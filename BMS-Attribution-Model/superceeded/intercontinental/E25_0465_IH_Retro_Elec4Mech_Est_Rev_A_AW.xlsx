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backupFile="1" codeName="ThisWorkbook"/>
  <mc:AlternateContent xmlns:mc="http://schemas.openxmlformats.org/markup-compatibility/2006">
    <mc:Choice Requires="x15">
      <x15ac:absPath xmlns:x15ac="http://schemas.microsoft.com/office/spreadsheetml/2010/11/ac" url="\\Pclnas\ele\est\Intercontinental Hotel\Estimates\Estimates Sept 2025\As Awarded Contract\"/>
    </mc:Choice>
  </mc:AlternateContent>
  <xr:revisionPtr revIDLastSave="0" documentId="13_ncr:1_{AEE3EB56-1659-46CE-A802-AD7BE19FF348}" xr6:coauthVersionLast="47" xr6:coauthVersionMax="47" xr10:uidLastSave="{00000000-0000-0000-0000-000000000000}"/>
  <bookViews>
    <workbookView xWindow="-108" yWindow="-108" windowWidth="23256" windowHeight="12456" tabRatio="745" firstSheet="3" activeTab="5" xr2:uid="{0E4ED368-67C6-4593-B1E2-2143258EBB4B}"/>
  </bookViews>
  <sheets>
    <sheet name="SUMM PG" sheetId="35" r:id="rId1"/>
    <sheet name="Notes" sheetId="10" r:id="rId2"/>
    <sheet name="Quote" sheetId="18" r:id="rId3"/>
    <sheet name="ML_Sum" sheetId="1" r:id="rId4"/>
    <sheet name="Elec_Rates" sheetId="11" r:id="rId5"/>
    <sheet name="Elec_Est" sheetId="8" r:id="rId6"/>
    <sheet name="Chillers_Dismantling_BOQ" sheetId="21" r:id="rId7"/>
    <sheet name="Chillers_New_BOQ" sheetId="22" r:id="rId8"/>
    <sheet name="Boilers_Dismantling_BOQ" sheetId="23" r:id="rId9"/>
    <sheet name="HTHP_New_BOQ" sheetId="24" r:id="rId10"/>
    <sheet name="Pumps_Dismantling_BOQ" sheetId="25" r:id="rId11"/>
    <sheet name="Pumps_New_BOQ" sheetId="27" r:id="rId12"/>
    <sheet name="AHU_Motors_New_BOQ" sheetId="28" r:id="rId13"/>
    <sheet name="EF_BOQ" sheetId="29" r:id="rId14"/>
    <sheet name="AC_Split_Unit_BOQ" sheetId="30" r:id="rId15"/>
    <sheet name="Commissioning_BOQ" sheetId="33" r:id="rId16"/>
    <sheet name="Maintenance_BOQ" sheetId="34" r:id="rId17"/>
    <sheet name="Fire_Barrier_BOQ" sheetId="36" r:id="rId18"/>
    <sheet name="Prelims_BOQ" sheetId="37" r:id="rId19"/>
    <sheet name="Comm_BOQ" sheetId="39" r:id="rId20"/>
    <sheet name="Maint_BOQ" sheetId="40" r:id="rId21"/>
  </sheets>
  <externalReferences>
    <externalReference r:id="rId22"/>
    <externalReference r:id="rId23"/>
  </externalReferences>
  <definedNames>
    <definedName name="_xlnm._FilterDatabase" localSheetId="12" hidden="1">AHU_Motors_New_BOQ!$B$1:$B$198</definedName>
    <definedName name="_xlnm._FilterDatabase" localSheetId="7" hidden="1">Chillers_New_BOQ!$C$1:$C$504</definedName>
    <definedName name="_xlnm._FilterDatabase" localSheetId="5" hidden="1">Elec_Est!$E$1:$E$3233</definedName>
    <definedName name="_xlnm._FilterDatabase" localSheetId="4" hidden="1">Elec_Rates!$D$1:$D$296</definedName>
    <definedName name="_xlnm._FilterDatabase" localSheetId="9" hidden="1">HTHP_New_BOQ!$M$1:$M$445</definedName>
    <definedName name="_xlnm._FilterDatabase" localSheetId="10" hidden="1">Pumps_Dismantling_BOQ!$B$1:$B$219</definedName>
    <definedName name="_xlnm._FilterDatabase" localSheetId="11" hidden="1">Pumps_New_BOQ!$M$1:$M$1456</definedName>
    <definedName name="_Key1" hidden="1">#REF!</definedName>
    <definedName name="_Order1" hidden="1">255</definedName>
    <definedName name="_Sort" hidden="1">#REF!</definedName>
    <definedName name="Access_Control" localSheetId="19">#REF!</definedName>
    <definedName name="Access_Control" localSheetId="17">#REF!</definedName>
    <definedName name="Access_Control" localSheetId="20">#REF!</definedName>
    <definedName name="Access_Control" localSheetId="18">#REF!</definedName>
    <definedName name="Access_Control">[1]Elec_Est!#REF!</definedName>
    <definedName name="AREAS" localSheetId="19">[2]ML_Sum!$X$1:$AD$16</definedName>
    <definedName name="AREAS" localSheetId="17">[2]ML_Sum!$X$1:$AD$16</definedName>
    <definedName name="AREAS" localSheetId="20">[2]ML_Sum!$X$1:$AD$16</definedName>
    <definedName name="AREAS" localSheetId="18">[2]ML_Sum!$X$1:$AD$16</definedName>
    <definedName name="AREAS" localSheetId="2">[1]ML_Sum!$X$1:$AD$16</definedName>
    <definedName name="AREAS">ML_Sum!$X$1:$AD$16</definedName>
    <definedName name="CCTV" localSheetId="19">#REF!</definedName>
    <definedName name="CCTV" localSheetId="17">#REF!</definedName>
    <definedName name="CCTV" localSheetId="20">#REF!</definedName>
    <definedName name="CCTV" localSheetId="18">#REF!</definedName>
    <definedName name="CCTV">[1]Elec_Est!#REF!</definedName>
    <definedName name="Commissioning">[2]Elec_Est!#REF!</definedName>
    <definedName name="Data" localSheetId="19">#REF!</definedName>
    <definedName name="Data" localSheetId="17">#REF!</definedName>
    <definedName name="Data" localSheetId="20">#REF!</definedName>
    <definedName name="Data" localSheetId="18">#REF!</definedName>
    <definedName name="Data">[1]Elec_Est!#REF!</definedName>
    <definedName name="Electrical">[2]Elec_Est!#REF!</definedName>
    <definedName name="Fire_Alarm" localSheetId="19">#REF!</definedName>
    <definedName name="Fire_Alarm" localSheetId="17">#REF!</definedName>
    <definedName name="Fire_Alarm" localSheetId="20">#REF!</definedName>
    <definedName name="Fire_Alarm" localSheetId="18">#REF!</definedName>
    <definedName name="Fire_Alarm">[1]Elec_Est!#REF!</definedName>
    <definedName name="Fire_Barriers">[2]Elec_Est!#REF!</definedName>
    <definedName name="FO" localSheetId="19">#REF!</definedName>
    <definedName name="FO" localSheetId="17">#REF!</definedName>
    <definedName name="FO" localSheetId="20">#REF!</definedName>
    <definedName name="FO" localSheetId="18">#REF!</definedName>
    <definedName name="FO">[1]Elec_Est!#REF!</definedName>
    <definedName name="Guard" localSheetId="19">#REF!</definedName>
    <definedName name="Guard" localSheetId="17">#REF!</definedName>
    <definedName name="Guard" localSheetId="20">#REF!</definedName>
    <definedName name="Guard" localSheetId="18">#REF!</definedName>
    <definedName name="Guard">[1]Elec_Est!#REF!</definedName>
    <definedName name="Intercom" localSheetId="19">#REF!</definedName>
    <definedName name="Intercom" localSheetId="17">#REF!</definedName>
    <definedName name="Intercom" localSheetId="20">#REF!</definedName>
    <definedName name="Intercom" localSheetId="18">#REF!</definedName>
    <definedName name="Intercom">[1]Elec_Est!#REF!</definedName>
    <definedName name="Intruder_Alarm" localSheetId="19">#REF!</definedName>
    <definedName name="Intruder_Alarm" localSheetId="17">#REF!</definedName>
    <definedName name="Intruder_Alarm" localSheetId="20">#REF!</definedName>
    <definedName name="Intruder_Alarm" localSheetId="18">#REF!</definedName>
    <definedName name="Intruder_Alarm">[1]Elec_Est!#REF!</definedName>
    <definedName name="_xlnm.Print_Area" localSheetId="5">Elec_Est!$A$1:$T$3230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40" l="1"/>
  <c r="R3119" i="8"/>
  <c r="R3118" i="8"/>
  <c r="R3120" i="8" s="1"/>
  <c r="R3117" i="8"/>
  <c r="R3114" i="8"/>
  <c r="R3113" i="8"/>
  <c r="R3115" i="8" s="1"/>
  <c r="R3112" i="8"/>
  <c r="R3109" i="8"/>
  <c r="R3108" i="8"/>
  <c r="R3110" i="8" s="1"/>
  <c r="R3107" i="8"/>
  <c r="R3098" i="8"/>
  <c r="R3097" i="8"/>
  <c r="Q3096" i="8"/>
  <c r="R3096" i="8" s="1"/>
  <c r="R3099" i="8" s="1"/>
  <c r="R3093" i="8"/>
  <c r="R3092" i="8"/>
  <c r="R3091" i="8"/>
  <c r="R3088" i="8"/>
  <c r="R3087" i="8"/>
  <c r="R3086" i="8"/>
  <c r="A12" i="39"/>
  <c r="A15" i="39" s="1"/>
  <c r="R3067" i="8"/>
  <c r="R3066" i="8"/>
  <c r="R3065" i="8"/>
  <c r="R3062" i="8"/>
  <c r="R3063" i="8" s="1"/>
  <c r="R3061" i="8"/>
  <c r="R3058" i="8"/>
  <c r="Q3057" i="8"/>
  <c r="R3057" i="8" s="1"/>
  <c r="R3056" i="8"/>
  <c r="Q3055" i="8"/>
  <c r="R3055" i="8" s="1"/>
  <c r="R3046" i="8"/>
  <c r="R3045" i="8"/>
  <c r="R3043" i="8"/>
  <c r="R3042" i="8"/>
  <c r="R3041" i="8"/>
  <c r="R3038" i="8"/>
  <c r="R3037" i="8"/>
  <c r="R3039" i="8" s="1"/>
  <c r="R3034" i="8"/>
  <c r="R3033" i="8"/>
  <c r="R3024" i="8"/>
  <c r="R3023" i="8"/>
  <c r="R3025" i="8" s="1"/>
  <c r="R3020" i="8"/>
  <c r="R3019" i="8"/>
  <c r="R3018" i="8"/>
  <c r="R3015" i="8"/>
  <c r="R3014" i="8"/>
  <c r="R3016" i="8" s="1"/>
  <c r="R3011" i="8"/>
  <c r="R3010" i="8"/>
  <c r="E28" i="37"/>
  <c r="E16" i="37"/>
  <c r="A10" i="37"/>
  <c r="A13" i="37" s="1"/>
  <c r="A16" i="37" s="1"/>
  <c r="A19" i="37" s="1"/>
  <c r="A22" i="37" s="1"/>
  <c r="A25" i="37" s="1"/>
  <c r="A28" i="37" s="1"/>
  <c r="A31" i="37" s="1"/>
  <c r="A34" i="37" s="1"/>
  <c r="A48" i="37" s="1"/>
  <c r="A51" i="37" s="1"/>
  <c r="A54" i="37" s="1"/>
  <c r="A57" i="37" s="1"/>
  <c r="R2993" i="8"/>
  <c r="R2992" i="8"/>
  <c r="R2994" i="8" s="1"/>
  <c r="R2987" i="8"/>
  <c r="R2986" i="8"/>
  <c r="R2981" i="8"/>
  <c r="R2980" i="8"/>
  <c r="R2982" i="8" s="1"/>
  <c r="R2975" i="8"/>
  <c r="R2974" i="8"/>
  <c r="R2963" i="8"/>
  <c r="R2962" i="8"/>
  <c r="R2964" i="8" s="1"/>
  <c r="R2957" i="8"/>
  <c r="R2956" i="8"/>
  <c r="R2951" i="8"/>
  <c r="R2950" i="8"/>
  <c r="R2952" i="8" s="1"/>
  <c r="R2943" i="8"/>
  <c r="R2942" i="8"/>
  <c r="R2939" i="8"/>
  <c r="R2938" i="8"/>
  <c r="R2931" i="8"/>
  <c r="R2930" i="8"/>
  <c r="R2925" i="8"/>
  <c r="R2924" i="8"/>
  <c r="R2919" i="8"/>
  <c r="R2918" i="8"/>
  <c r="R2913" i="8"/>
  <c r="R2912" i="8"/>
  <c r="R2907" i="8"/>
  <c r="R2906" i="8"/>
  <c r="R2908" i="8" s="1"/>
  <c r="R2901" i="8"/>
  <c r="R2900" i="8"/>
  <c r="T5" i="1"/>
  <c r="R2889" i="8"/>
  <c r="A2888" i="8"/>
  <c r="R2888" i="8" s="1"/>
  <c r="R3089" i="8" l="1"/>
  <c r="R3094" i="8"/>
  <c r="R2932" i="8"/>
  <c r="R2958" i="8"/>
  <c r="R2988" i="8"/>
  <c r="R3035" i="8"/>
  <c r="R3122" i="8"/>
  <c r="R3101" i="8"/>
  <c r="R3012" i="8"/>
  <c r="R3047" i="8"/>
  <c r="R3068" i="8"/>
  <c r="R2890" i="8"/>
  <c r="R2920" i="8"/>
  <c r="AM2916" i="8" s="1"/>
  <c r="R2944" i="8"/>
  <c r="R2976" i="8"/>
  <c r="R3021" i="8"/>
  <c r="R3027" i="8"/>
  <c r="R3049" i="8"/>
  <c r="R3059" i="8"/>
  <c r="R2902" i="8"/>
  <c r="R2926" i="8"/>
  <c r="AM2922" i="8" s="1"/>
  <c r="R2914" i="8"/>
  <c r="AM2910" i="8" s="1"/>
  <c r="R2940" i="8"/>
  <c r="AM2972" i="8"/>
  <c r="AM2898" i="8"/>
  <c r="R2967" i="8"/>
  <c r="AM2948" i="8"/>
  <c r="AM2978" i="8"/>
  <c r="AM2904" i="8"/>
  <c r="AM2928" i="8"/>
  <c r="AM2954" i="8"/>
  <c r="AM2984" i="8"/>
  <c r="R2946" i="8"/>
  <c r="AM2960" i="8"/>
  <c r="AM2990" i="8"/>
  <c r="R2893" i="8"/>
  <c r="AM2886" i="8"/>
  <c r="AM3082" i="8" l="1"/>
  <c r="AM3103" i="8"/>
  <c r="R2997" i="8"/>
  <c r="AM3006" i="8"/>
  <c r="AM3029" i="8"/>
  <c r="R3070" i="8"/>
  <c r="R3125" i="8" s="1"/>
  <c r="AM2934" i="8"/>
  <c r="R3073" i="8" l="1"/>
  <c r="AM3051" i="8"/>
  <c r="A2749" i="8" l="1"/>
  <c r="R2749" i="8" s="1"/>
  <c r="A2750" i="8"/>
  <c r="E7" i="33"/>
  <c r="E21" i="21"/>
  <c r="E19" i="21"/>
  <c r="E76" i="28" l="1"/>
  <c r="E86" i="28"/>
  <c r="E81" i="28"/>
  <c r="E31" i="28"/>
  <c r="E27" i="28"/>
  <c r="E23" i="28"/>
  <c r="E19" i="28"/>
  <c r="E11" i="28"/>
  <c r="R2779" i="8" l="1"/>
  <c r="R2778" i="8"/>
  <c r="Q2777" i="8"/>
  <c r="R2777" i="8" s="1"/>
  <c r="Q2754" i="8"/>
  <c r="R2754" i="8" s="1"/>
  <c r="Q2776" i="8"/>
  <c r="R2776" i="8" s="1"/>
  <c r="R460" i="8"/>
  <c r="R404" i="8"/>
  <c r="R301" i="8"/>
  <c r="R287" i="8"/>
  <c r="R166" i="8"/>
  <c r="R152" i="8"/>
  <c r="R136" i="8"/>
  <c r="R117" i="8"/>
  <c r="R2774" i="8"/>
  <c r="R2775" i="8"/>
  <c r="R2771" i="8"/>
  <c r="R2751" i="8"/>
  <c r="A2770" i="8"/>
  <c r="R2770" i="8" s="1"/>
  <c r="A2769" i="8"/>
  <c r="R2769" i="8" s="1"/>
  <c r="R2773" i="8"/>
  <c r="R2772" i="8"/>
  <c r="R2750" i="8"/>
  <c r="R2748" i="8"/>
  <c r="R2747" i="8"/>
  <c r="A733" i="8"/>
  <c r="A732" i="8"/>
  <c r="A731" i="8"/>
  <c r="R731" i="8" s="1"/>
  <c r="A730" i="8"/>
  <c r="A729" i="8"/>
  <c r="R728" i="8"/>
  <c r="A727" i="8"/>
  <c r="A726" i="8"/>
  <c r="A725" i="8"/>
  <c r="R725" i="8" s="1"/>
  <c r="A724" i="8"/>
  <c r="R724" i="8" s="1"/>
  <c r="A723" i="8"/>
  <c r="R722" i="8"/>
  <c r="R429" i="8"/>
  <c r="R423" i="8"/>
  <c r="R2753" i="8" l="1"/>
  <c r="R2752" i="8"/>
  <c r="R723" i="8"/>
  <c r="R726" i="8"/>
  <c r="R729" i="8"/>
  <c r="R732" i="8"/>
  <c r="R727" i="8"/>
  <c r="R730" i="8"/>
  <c r="R733" i="8"/>
  <c r="S2551" i="8"/>
  <c r="R2551" i="8"/>
  <c r="D2547" i="8"/>
  <c r="C2547" i="8"/>
  <c r="D2545" i="8"/>
  <c r="C2545" i="8"/>
  <c r="D2543" i="8"/>
  <c r="C2543" i="8"/>
  <c r="D2541" i="8"/>
  <c r="C2541" i="8"/>
  <c r="D2539" i="8"/>
  <c r="C2539" i="8"/>
  <c r="S2556" i="8"/>
  <c r="R2556" i="8"/>
  <c r="R2873" i="8"/>
  <c r="R2872" i="8"/>
  <c r="R2871" i="8"/>
  <c r="R2870" i="8"/>
  <c r="R2869" i="8"/>
  <c r="R2868" i="8"/>
  <c r="R2863" i="8"/>
  <c r="R2862" i="8"/>
  <c r="R2861" i="8"/>
  <c r="R2860" i="8"/>
  <c r="R2859" i="8"/>
  <c r="R2858" i="8"/>
  <c r="D2540" i="8"/>
  <c r="D2546" i="8"/>
  <c r="D2538" i="8"/>
  <c r="D2544" i="8"/>
  <c r="D2542" i="8"/>
  <c r="R2874" i="8" l="1"/>
  <c r="AM2866" i="8" s="1"/>
  <c r="R2864" i="8"/>
  <c r="AM2856" i="8" s="1"/>
  <c r="R824" i="8" l="1"/>
  <c r="R823" i="8"/>
  <c r="R822" i="8"/>
  <c r="R821" i="8"/>
  <c r="R825" i="8"/>
  <c r="R1293" i="8"/>
  <c r="R1292" i="8"/>
  <c r="R1291" i="8"/>
  <c r="R1290" i="8"/>
  <c r="R1289" i="8"/>
  <c r="R1288" i="8"/>
  <c r="R1287" i="8"/>
  <c r="R1286" i="8"/>
  <c r="R1432" i="8"/>
  <c r="R1431" i="8"/>
  <c r="R1430" i="8"/>
  <c r="R1429" i="8"/>
  <c r="R1428" i="8"/>
  <c r="R1427" i="8"/>
  <c r="R1426" i="8"/>
  <c r="R1425" i="8"/>
  <c r="R1405" i="8"/>
  <c r="R1404" i="8"/>
  <c r="R1403" i="8"/>
  <c r="R1402" i="8"/>
  <c r="R1401" i="8"/>
  <c r="R1400" i="8"/>
  <c r="R1399" i="8"/>
  <c r="R1398" i="8"/>
  <c r="R1378" i="8"/>
  <c r="R1377" i="8"/>
  <c r="R1376" i="8"/>
  <c r="R1375" i="8"/>
  <c r="R1374" i="8"/>
  <c r="R1373" i="8"/>
  <c r="R1372" i="8"/>
  <c r="R1371" i="8"/>
  <c r="R1351" i="8"/>
  <c r="R1350" i="8"/>
  <c r="R1349" i="8"/>
  <c r="R1348" i="8"/>
  <c r="R1347" i="8"/>
  <c r="R1346" i="8"/>
  <c r="R1345" i="8"/>
  <c r="R1344" i="8"/>
  <c r="R1324" i="8"/>
  <c r="R1323" i="8"/>
  <c r="R1322" i="8"/>
  <c r="R1321" i="8"/>
  <c r="R1320" i="8"/>
  <c r="R1319" i="8"/>
  <c r="R1318" i="8"/>
  <c r="R1317" i="8"/>
  <c r="R699" i="8"/>
  <c r="R698" i="8"/>
  <c r="R697" i="8"/>
  <c r="R696" i="8"/>
  <c r="R695" i="8"/>
  <c r="R694" i="8"/>
  <c r="R693" i="8"/>
  <c r="R692" i="8"/>
  <c r="R677" i="8"/>
  <c r="R676" i="8"/>
  <c r="R675" i="8"/>
  <c r="R674" i="8"/>
  <c r="R673" i="8"/>
  <c r="R672" i="8"/>
  <c r="R671" i="8"/>
  <c r="R670" i="8"/>
  <c r="R655" i="8"/>
  <c r="R654" i="8"/>
  <c r="R653" i="8"/>
  <c r="R652" i="8"/>
  <c r="R651" i="8"/>
  <c r="R650" i="8"/>
  <c r="R649" i="8"/>
  <c r="R648" i="8"/>
  <c r="R804" i="8"/>
  <c r="R803" i="8"/>
  <c r="R802" i="8"/>
  <c r="R801" i="8"/>
  <c r="R800" i="8"/>
  <c r="R799" i="8"/>
  <c r="R798" i="8"/>
  <c r="R797" i="8"/>
  <c r="R782" i="8"/>
  <c r="R781" i="8"/>
  <c r="R780" i="8"/>
  <c r="R779" i="8"/>
  <c r="R778" i="8"/>
  <c r="R777" i="8"/>
  <c r="R776" i="8"/>
  <c r="R775" i="8"/>
  <c r="R758" i="8"/>
  <c r="R756" i="8"/>
  <c r="R754" i="8"/>
  <c r="R760" i="8"/>
  <c r="R759" i="8"/>
  <c r="R757" i="8"/>
  <c r="R755" i="8"/>
  <c r="R753" i="8"/>
  <c r="R826" i="8" l="1"/>
  <c r="AM819" i="8" s="1"/>
  <c r="A614" i="8"/>
  <c r="R612" i="8"/>
  <c r="R611" i="8"/>
  <c r="R610" i="8"/>
  <c r="R609" i="8"/>
  <c r="R608" i="8"/>
  <c r="R606" i="8"/>
  <c r="F190" i="35"/>
  <c r="H190" i="35" s="1"/>
  <c r="F92" i="35"/>
  <c r="F90" i="35"/>
  <c r="F88" i="35"/>
  <c r="H195" i="35"/>
  <c r="H35" i="35"/>
  <c r="H30" i="35"/>
  <c r="H25" i="35"/>
  <c r="H10" i="35"/>
  <c r="R2849" i="8"/>
  <c r="R2848" i="8"/>
  <c r="R2847" i="8"/>
  <c r="R2846" i="8"/>
  <c r="R2845" i="8"/>
  <c r="R2844" i="8"/>
  <c r="R614" i="8" l="1"/>
  <c r="R607" i="8"/>
  <c r="R613" i="8"/>
  <c r="R2850" i="8"/>
  <c r="R2877" i="8" s="1"/>
  <c r="AM2842" i="8" l="1"/>
  <c r="A10" i="34" l="1"/>
  <c r="G7" i="34"/>
  <c r="G55" i="34" s="1"/>
  <c r="F15" i="33"/>
  <c r="F12" i="33"/>
  <c r="A12" i="33"/>
  <c r="A15" i="33" s="1"/>
  <c r="R2827" i="8"/>
  <c r="R2826" i="8"/>
  <c r="R2825" i="8"/>
  <c r="R2822" i="8"/>
  <c r="R2821" i="8"/>
  <c r="R2820" i="8"/>
  <c r="R2817" i="8"/>
  <c r="R2816" i="8"/>
  <c r="R2815" i="8"/>
  <c r="R2814" i="8"/>
  <c r="R2813" i="8"/>
  <c r="R2812" i="8"/>
  <c r="R2789" i="8"/>
  <c r="R2784" i="8"/>
  <c r="R2783" i="8"/>
  <c r="R2780" i="8"/>
  <c r="R2768" i="8"/>
  <c r="R2759" i="8"/>
  <c r="R2755" i="8"/>
  <c r="R2734" i="8"/>
  <c r="R2733" i="8"/>
  <c r="R2732" i="8"/>
  <c r="R2729" i="8"/>
  <c r="R2728" i="8"/>
  <c r="A2727" i="8"/>
  <c r="R2727" i="8" s="1"/>
  <c r="R2726" i="8"/>
  <c r="R2724" i="8"/>
  <c r="R2723" i="8"/>
  <c r="R2722" i="8"/>
  <c r="R2721" i="8"/>
  <c r="R2708" i="8"/>
  <c r="R2707" i="8"/>
  <c r="R2706" i="8"/>
  <c r="R2703" i="8"/>
  <c r="R2702" i="8"/>
  <c r="A2701" i="8"/>
  <c r="R2700" i="8"/>
  <c r="R2698" i="8"/>
  <c r="R2697" i="8"/>
  <c r="R2696" i="8"/>
  <c r="R2695" i="8"/>
  <c r="I19" i="29"/>
  <c r="I22" i="29" s="1"/>
  <c r="I14" i="29"/>
  <c r="E128" i="28"/>
  <c r="E123" i="28"/>
  <c r="E118" i="28"/>
  <c r="E39" i="28"/>
  <c r="E15" i="28"/>
  <c r="R2676" i="8"/>
  <c r="S2675" i="8"/>
  <c r="R2675" i="8"/>
  <c r="R2672" i="8"/>
  <c r="S2671" i="8"/>
  <c r="R2671" i="8"/>
  <c r="R2668" i="8"/>
  <c r="D2667" i="8"/>
  <c r="C2667" i="8"/>
  <c r="D2665" i="8"/>
  <c r="C2665" i="8"/>
  <c r="D2663" i="8"/>
  <c r="C2663" i="8"/>
  <c r="D2661" i="8"/>
  <c r="C2661" i="8"/>
  <c r="D2659" i="8"/>
  <c r="C2659" i="8"/>
  <c r="R2645" i="8"/>
  <c r="S2644" i="8"/>
  <c r="R2644" i="8"/>
  <c r="R2641" i="8"/>
  <c r="S2640" i="8"/>
  <c r="R2640" i="8"/>
  <c r="R2637" i="8"/>
  <c r="D2636" i="8"/>
  <c r="C2636" i="8"/>
  <c r="D2634" i="8"/>
  <c r="C2634" i="8"/>
  <c r="D2632" i="8"/>
  <c r="C2632" i="8"/>
  <c r="D2630" i="8"/>
  <c r="C2630" i="8"/>
  <c r="D2628" i="8"/>
  <c r="C2628" i="8"/>
  <c r="R2614" i="8"/>
  <c r="S2613" i="8"/>
  <c r="R2613" i="8"/>
  <c r="R2610" i="8"/>
  <c r="S2609" i="8"/>
  <c r="R2609" i="8"/>
  <c r="R2606" i="8"/>
  <c r="D2605" i="8"/>
  <c r="C2605" i="8"/>
  <c r="D2603" i="8"/>
  <c r="C2603" i="8"/>
  <c r="D2601" i="8"/>
  <c r="C2601" i="8"/>
  <c r="D2599" i="8"/>
  <c r="C2599" i="8"/>
  <c r="D2597" i="8"/>
  <c r="C2597" i="8"/>
  <c r="R2583" i="8"/>
  <c r="R2582" i="8"/>
  <c r="R2581" i="8"/>
  <c r="R2578" i="8"/>
  <c r="R2577" i="8"/>
  <c r="R2576" i="8"/>
  <c r="R2573" i="8"/>
  <c r="R2572" i="8"/>
  <c r="R2571" i="8"/>
  <c r="R2558" i="8"/>
  <c r="R2557" i="8"/>
  <c r="R2553" i="8"/>
  <c r="R2552" i="8"/>
  <c r="R2548" i="8"/>
  <c r="R2525" i="8"/>
  <c r="R2524" i="8"/>
  <c r="R2523" i="8"/>
  <c r="R2520" i="8"/>
  <c r="R2519" i="8"/>
  <c r="R2518" i="8"/>
  <c r="R2515" i="8"/>
  <c r="R2514" i="8"/>
  <c r="R2513" i="8"/>
  <c r="R2500" i="8"/>
  <c r="S2499" i="8"/>
  <c r="R2499" i="8"/>
  <c r="R2496" i="8"/>
  <c r="S2495" i="8"/>
  <c r="R2495" i="8"/>
  <c r="R2492" i="8"/>
  <c r="D2491" i="8"/>
  <c r="C2491" i="8"/>
  <c r="D2489" i="8"/>
  <c r="C2489" i="8"/>
  <c r="D2487" i="8"/>
  <c r="C2487" i="8"/>
  <c r="D2485" i="8"/>
  <c r="C2485" i="8"/>
  <c r="D2483" i="8"/>
  <c r="C2483" i="8"/>
  <c r="R2469" i="8"/>
  <c r="S2468" i="8"/>
  <c r="R2468" i="8"/>
  <c r="R2465" i="8"/>
  <c r="S2464" i="8"/>
  <c r="R2464" i="8"/>
  <c r="R2461" i="8"/>
  <c r="D2460" i="8"/>
  <c r="C2460" i="8"/>
  <c r="D2458" i="8"/>
  <c r="C2458" i="8"/>
  <c r="D2456" i="8"/>
  <c r="C2456" i="8"/>
  <c r="D2454" i="8"/>
  <c r="C2454" i="8"/>
  <c r="D2452" i="8"/>
  <c r="C2452" i="8"/>
  <c r="R2438" i="8"/>
  <c r="S2437" i="8"/>
  <c r="R2437" i="8"/>
  <c r="R2434" i="8"/>
  <c r="S2433" i="8"/>
  <c r="R2433" i="8"/>
  <c r="R2430" i="8"/>
  <c r="D2429" i="8"/>
  <c r="C2429" i="8"/>
  <c r="D2427" i="8"/>
  <c r="C2427" i="8"/>
  <c r="D2425" i="8"/>
  <c r="C2425" i="8"/>
  <c r="D2423" i="8"/>
  <c r="C2423" i="8"/>
  <c r="D2421" i="8"/>
  <c r="C2421" i="8"/>
  <c r="R2407" i="8"/>
  <c r="S2406" i="8"/>
  <c r="R2406" i="8"/>
  <c r="R2403" i="8"/>
  <c r="S2402" i="8"/>
  <c r="R2402" i="8"/>
  <c r="R2399" i="8"/>
  <c r="D2398" i="8"/>
  <c r="C2398" i="8"/>
  <c r="D2396" i="8"/>
  <c r="C2396" i="8"/>
  <c r="D2394" i="8"/>
  <c r="C2394" i="8"/>
  <c r="D2392" i="8"/>
  <c r="C2392" i="8"/>
  <c r="D2390" i="8"/>
  <c r="C2390" i="8"/>
  <c r="R2376" i="8"/>
  <c r="S2375" i="8"/>
  <c r="R2375" i="8"/>
  <c r="R2372" i="8"/>
  <c r="S2371" i="8"/>
  <c r="R2371" i="8"/>
  <c r="R2368" i="8"/>
  <c r="D2367" i="8"/>
  <c r="C2367" i="8"/>
  <c r="D2365" i="8"/>
  <c r="C2365" i="8"/>
  <c r="D2363" i="8"/>
  <c r="C2363" i="8"/>
  <c r="D2361" i="8"/>
  <c r="C2361" i="8"/>
  <c r="D2359" i="8"/>
  <c r="C2359" i="8"/>
  <c r="R2345" i="8"/>
  <c r="S2344" i="8"/>
  <c r="R2344" i="8"/>
  <c r="R2341" i="8"/>
  <c r="S2340" i="8"/>
  <c r="R2340" i="8"/>
  <c r="R2337" i="8"/>
  <c r="D2336" i="8"/>
  <c r="C2336" i="8"/>
  <c r="D2334" i="8"/>
  <c r="C2334" i="8"/>
  <c r="D2332" i="8"/>
  <c r="C2332" i="8"/>
  <c r="D2330" i="8"/>
  <c r="C2330" i="8"/>
  <c r="D2328" i="8"/>
  <c r="C2328" i="8"/>
  <c r="R2314" i="8"/>
  <c r="S2313" i="8"/>
  <c r="R2313" i="8"/>
  <c r="R2310" i="8"/>
  <c r="S2309" i="8"/>
  <c r="R2309" i="8"/>
  <c r="R2306" i="8"/>
  <c r="D2305" i="8"/>
  <c r="C2305" i="8"/>
  <c r="D2303" i="8"/>
  <c r="C2303" i="8"/>
  <c r="D2301" i="8"/>
  <c r="C2301" i="8"/>
  <c r="D2299" i="8"/>
  <c r="C2299" i="8"/>
  <c r="D2297" i="8"/>
  <c r="C2297" i="8"/>
  <c r="R2283" i="8"/>
  <c r="S2282" i="8"/>
  <c r="R2282" i="8"/>
  <c r="R2279" i="8"/>
  <c r="S2278" i="8"/>
  <c r="R2278" i="8"/>
  <c r="R2275" i="8"/>
  <c r="D2274" i="8"/>
  <c r="C2274" i="8"/>
  <c r="D2272" i="8"/>
  <c r="C2272" i="8"/>
  <c r="D2270" i="8"/>
  <c r="C2270" i="8"/>
  <c r="D2268" i="8"/>
  <c r="C2268" i="8"/>
  <c r="D2266" i="8"/>
  <c r="C2266" i="8"/>
  <c r="R2252" i="8"/>
  <c r="S2251" i="8"/>
  <c r="R2251" i="8"/>
  <c r="R2248" i="8"/>
  <c r="S2247" i="8"/>
  <c r="R2247" i="8"/>
  <c r="R2244" i="8"/>
  <c r="D2243" i="8"/>
  <c r="C2243" i="8"/>
  <c r="D2241" i="8"/>
  <c r="C2241" i="8"/>
  <c r="D2239" i="8"/>
  <c r="C2239" i="8"/>
  <c r="D2237" i="8"/>
  <c r="C2237" i="8"/>
  <c r="D2235" i="8"/>
  <c r="C2235" i="8"/>
  <c r="R2221" i="8"/>
  <c r="S2220" i="8"/>
  <c r="R2220" i="8"/>
  <c r="R2217" i="8"/>
  <c r="S2216" i="8"/>
  <c r="R2216" i="8"/>
  <c r="R2213" i="8"/>
  <c r="D2212" i="8"/>
  <c r="C2212" i="8"/>
  <c r="D2210" i="8"/>
  <c r="C2210" i="8"/>
  <c r="D2208" i="8"/>
  <c r="C2208" i="8"/>
  <c r="D2206" i="8"/>
  <c r="C2206" i="8"/>
  <c r="D2204" i="8"/>
  <c r="C2204" i="8"/>
  <c r="R2190" i="8"/>
  <c r="S2189" i="8"/>
  <c r="R2189" i="8"/>
  <c r="R2186" i="8"/>
  <c r="S2185" i="8"/>
  <c r="R2185" i="8"/>
  <c r="R2182" i="8"/>
  <c r="D2181" i="8"/>
  <c r="C2181" i="8"/>
  <c r="D2179" i="8"/>
  <c r="C2179" i="8"/>
  <c r="D2177" i="8"/>
  <c r="C2177" i="8"/>
  <c r="D2175" i="8"/>
  <c r="C2175" i="8"/>
  <c r="D2173" i="8"/>
  <c r="C2173" i="8"/>
  <c r="R2159" i="8"/>
  <c r="S2158" i="8"/>
  <c r="R2158" i="8"/>
  <c r="R2155" i="8"/>
  <c r="S2154" i="8"/>
  <c r="R2154" i="8"/>
  <c r="R2151" i="8"/>
  <c r="D2150" i="8"/>
  <c r="C2150" i="8"/>
  <c r="D2148" i="8"/>
  <c r="C2148" i="8"/>
  <c r="D2146" i="8"/>
  <c r="C2146" i="8"/>
  <c r="D2144" i="8"/>
  <c r="C2144" i="8"/>
  <c r="D2142" i="8"/>
  <c r="C2142" i="8"/>
  <c r="R2128" i="8"/>
  <c r="R2127" i="8"/>
  <c r="R2126" i="8"/>
  <c r="R2123" i="8"/>
  <c r="R2122" i="8"/>
  <c r="R2121" i="8"/>
  <c r="R2118" i="8"/>
  <c r="R2119" i="8" s="1"/>
  <c r="R2105" i="8"/>
  <c r="S2104" i="8"/>
  <c r="R2104" i="8"/>
  <c r="R2101" i="8"/>
  <c r="S2100" i="8"/>
  <c r="R2100" i="8"/>
  <c r="R2097" i="8"/>
  <c r="D2096" i="8"/>
  <c r="C2096" i="8"/>
  <c r="D2094" i="8"/>
  <c r="C2094" i="8"/>
  <c r="D2092" i="8"/>
  <c r="C2092" i="8"/>
  <c r="D2090" i="8"/>
  <c r="C2090" i="8"/>
  <c r="D2088" i="8"/>
  <c r="C2088" i="8"/>
  <c r="R2074" i="8"/>
  <c r="S2073" i="8"/>
  <c r="R2073" i="8"/>
  <c r="R2070" i="8"/>
  <c r="S2069" i="8"/>
  <c r="R2069" i="8"/>
  <c r="R2066" i="8"/>
  <c r="D2065" i="8"/>
  <c r="C2065" i="8"/>
  <c r="D2063" i="8"/>
  <c r="C2063" i="8"/>
  <c r="D2061" i="8"/>
  <c r="C2061" i="8"/>
  <c r="D2059" i="8"/>
  <c r="C2059" i="8"/>
  <c r="D2057" i="8"/>
  <c r="C2057" i="8"/>
  <c r="R2043" i="8"/>
  <c r="S2042" i="8"/>
  <c r="R2042" i="8"/>
  <c r="R2039" i="8"/>
  <c r="S2038" i="8"/>
  <c r="R2038" i="8"/>
  <c r="R2035" i="8"/>
  <c r="D2034" i="8"/>
  <c r="C2034" i="8"/>
  <c r="D2032" i="8"/>
  <c r="C2032" i="8"/>
  <c r="D2030" i="8"/>
  <c r="C2030" i="8"/>
  <c r="D2028" i="8"/>
  <c r="C2028" i="8"/>
  <c r="D2026" i="8"/>
  <c r="C2026" i="8"/>
  <c r="R2012" i="8"/>
  <c r="S2011" i="8"/>
  <c r="R2011" i="8"/>
  <c r="R2008" i="8"/>
  <c r="S2007" i="8"/>
  <c r="R2007" i="8"/>
  <c r="R2004" i="8"/>
  <c r="D2003" i="8"/>
  <c r="C2003" i="8"/>
  <c r="D2001" i="8"/>
  <c r="C2001" i="8"/>
  <c r="D1999" i="8"/>
  <c r="C1999" i="8"/>
  <c r="D1997" i="8"/>
  <c r="C1997" i="8"/>
  <c r="D1995" i="8"/>
  <c r="C1995" i="8"/>
  <c r="R1981" i="8"/>
  <c r="S1980" i="8"/>
  <c r="R1980" i="8"/>
  <c r="R1977" i="8"/>
  <c r="S1976" i="8"/>
  <c r="R1976" i="8"/>
  <c r="R1973" i="8"/>
  <c r="D1972" i="8"/>
  <c r="C1972" i="8"/>
  <c r="D1970" i="8"/>
  <c r="C1970" i="8"/>
  <c r="D1968" i="8"/>
  <c r="C1968" i="8"/>
  <c r="D1966" i="8"/>
  <c r="C1966" i="8"/>
  <c r="D1964" i="8"/>
  <c r="C1964" i="8"/>
  <c r="R1950" i="8"/>
  <c r="R1949" i="8"/>
  <c r="R1948" i="8"/>
  <c r="R1945" i="8"/>
  <c r="R1944" i="8"/>
  <c r="R1943" i="8"/>
  <c r="R1940" i="8"/>
  <c r="R1939" i="8"/>
  <c r="R1938" i="8"/>
  <c r="R1925" i="8"/>
  <c r="S1924" i="8"/>
  <c r="R1924" i="8"/>
  <c r="R1921" i="8"/>
  <c r="S1920" i="8"/>
  <c r="R1920" i="8"/>
  <c r="R1917" i="8"/>
  <c r="D1916" i="8"/>
  <c r="C1916" i="8"/>
  <c r="D1914" i="8"/>
  <c r="C1914" i="8"/>
  <c r="D1912" i="8"/>
  <c r="C1912" i="8"/>
  <c r="D1910" i="8"/>
  <c r="C1910" i="8"/>
  <c r="D1908" i="8"/>
  <c r="C1908" i="8"/>
  <c r="R1880" i="8"/>
  <c r="R1879" i="8"/>
  <c r="R1878" i="8"/>
  <c r="R1875" i="8"/>
  <c r="R1874" i="8"/>
  <c r="R1873" i="8"/>
  <c r="R1870" i="8"/>
  <c r="D1869" i="8"/>
  <c r="C1869" i="8"/>
  <c r="R1859" i="8"/>
  <c r="R1858" i="8"/>
  <c r="R1857" i="8"/>
  <c r="R1854" i="8"/>
  <c r="R1853" i="8"/>
  <c r="R1852" i="8"/>
  <c r="R1849" i="8"/>
  <c r="D1848" i="8"/>
  <c r="C1848" i="8"/>
  <c r="R1838" i="8"/>
  <c r="R1837" i="8"/>
  <c r="R1836" i="8"/>
  <c r="R1833" i="8"/>
  <c r="R1832" i="8"/>
  <c r="R1831" i="8"/>
  <c r="R1828" i="8"/>
  <c r="D1827" i="8"/>
  <c r="C1827" i="8"/>
  <c r="R1817" i="8"/>
  <c r="R1816" i="8"/>
  <c r="R1815" i="8"/>
  <c r="R1812" i="8"/>
  <c r="R1811" i="8"/>
  <c r="R1810" i="8"/>
  <c r="R1807" i="8"/>
  <c r="D1806" i="8"/>
  <c r="C1806" i="8"/>
  <c r="R1792" i="8"/>
  <c r="R1791" i="8"/>
  <c r="R1790" i="8"/>
  <c r="R1787" i="8"/>
  <c r="R1786" i="8"/>
  <c r="R1785" i="8"/>
  <c r="R1782" i="8"/>
  <c r="D1781" i="8"/>
  <c r="C1781" i="8"/>
  <c r="R1771" i="8"/>
  <c r="R1770" i="8"/>
  <c r="R1769" i="8"/>
  <c r="R1766" i="8"/>
  <c r="R1765" i="8"/>
  <c r="R1764" i="8"/>
  <c r="R1761" i="8"/>
  <c r="D1760" i="8"/>
  <c r="C1760" i="8"/>
  <c r="R1750" i="8"/>
  <c r="R1749" i="8"/>
  <c r="R1748" i="8"/>
  <c r="R1745" i="8"/>
  <c r="R1744" i="8"/>
  <c r="R1743" i="8"/>
  <c r="R1740" i="8"/>
  <c r="D1739" i="8"/>
  <c r="C1739" i="8"/>
  <c r="R1729" i="8"/>
  <c r="R1728" i="8"/>
  <c r="R1727" i="8"/>
  <c r="R1724" i="8"/>
  <c r="R1723" i="8"/>
  <c r="R1722" i="8"/>
  <c r="R1719" i="8"/>
  <c r="D1718" i="8"/>
  <c r="C1718" i="8"/>
  <c r="R1708" i="8"/>
  <c r="R1707" i="8"/>
  <c r="R1706" i="8"/>
  <c r="R1703" i="8"/>
  <c r="R1702" i="8"/>
  <c r="R1701" i="8"/>
  <c r="R1698" i="8"/>
  <c r="D1697" i="8"/>
  <c r="C1697" i="8"/>
  <c r="R1687" i="8"/>
  <c r="R1686" i="8"/>
  <c r="R1685" i="8"/>
  <c r="R1682" i="8"/>
  <c r="R1681" i="8"/>
  <c r="R1680" i="8"/>
  <c r="R1677" i="8"/>
  <c r="D1676" i="8"/>
  <c r="C1676" i="8"/>
  <c r="R1664" i="8"/>
  <c r="D1663" i="8"/>
  <c r="C1663" i="8"/>
  <c r="R1657" i="8"/>
  <c r="D1656" i="8"/>
  <c r="C1656" i="8"/>
  <c r="R1650" i="8"/>
  <c r="D1649" i="8"/>
  <c r="C1649" i="8"/>
  <c r="R1643" i="8"/>
  <c r="D1642" i="8"/>
  <c r="C1642" i="8"/>
  <c r="R1636" i="8"/>
  <c r="D1635" i="8"/>
  <c r="C1635" i="8"/>
  <c r="R1629" i="8"/>
  <c r="D1628" i="8"/>
  <c r="C1628" i="8"/>
  <c r="R1622" i="8"/>
  <c r="D1621" i="8"/>
  <c r="C1621" i="8"/>
  <c r="R1615" i="8"/>
  <c r="D1614" i="8"/>
  <c r="C1614" i="8"/>
  <c r="R1608" i="8"/>
  <c r="D1607" i="8"/>
  <c r="C1607" i="8"/>
  <c r="R1601" i="8"/>
  <c r="D1600" i="8"/>
  <c r="C1600" i="8"/>
  <c r="R1304" i="8"/>
  <c r="R1303" i="8"/>
  <c r="R1302" i="8"/>
  <c r="R1299" i="8"/>
  <c r="R1298" i="8"/>
  <c r="R1297" i="8"/>
  <c r="R1294" i="8"/>
  <c r="R1277" i="8"/>
  <c r="R1276" i="8"/>
  <c r="R1275" i="8"/>
  <c r="R1272" i="8"/>
  <c r="R1271" i="8"/>
  <c r="R1270" i="8"/>
  <c r="R1267" i="8"/>
  <c r="D1266" i="8"/>
  <c r="C1266" i="8"/>
  <c r="R1256" i="8"/>
  <c r="R1255" i="8"/>
  <c r="R1254" i="8"/>
  <c r="R1251" i="8"/>
  <c r="R1250" i="8"/>
  <c r="R1249" i="8"/>
  <c r="R1246" i="8"/>
  <c r="D1245" i="8"/>
  <c r="C1245" i="8"/>
  <c r="R1235" i="8"/>
  <c r="R1234" i="8"/>
  <c r="R1233" i="8"/>
  <c r="R1230" i="8"/>
  <c r="R1229" i="8"/>
  <c r="R1228" i="8"/>
  <c r="R1225" i="8"/>
  <c r="D1224" i="8"/>
  <c r="C1224" i="8"/>
  <c r="R1584" i="8"/>
  <c r="R1583" i="8"/>
  <c r="R1582" i="8"/>
  <c r="R1579" i="8"/>
  <c r="R1578" i="8"/>
  <c r="R1577" i="8"/>
  <c r="R1574" i="8"/>
  <c r="R1573" i="8"/>
  <c r="R1572" i="8"/>
  <c r="R1571" i="8"/>
  <c r="R1570" i="8"/>
  <c r="R1569" i="8"/>
  <c r="R1568" i="8"/>
  <c r="R1567" i="8"/>
  <c r="R1566" i="8"/>
  <c r="R1557" i="8"/>
  <c r="R1556" i="8"/>
  <c r="R1555" i="8"/>
  <c r="R1552" i="8"/>
  <c r="R1553" i="8" s="1"/>
  <c r="R1549" i="8"/>
  <c r="R1548" i="8"/>
  <c r="R1547" i="8"/>
  <c r="R1546" i="8"/>
  <c r="R1545" i="8"/>
  <c r="R1544" i="8"/>
  <c r="R1543" i="8"/>
  <c r="R1542" i="8"/>
  <c r="R1541" i="8"/>
  <c r="R1528" i="8"/>
  <c r="R1527" i="8"/>
  <c r="R1526" i="8"/>
  <c r="R1523" i="8"/>
  <c r="R1522" i="8"/>
  <c r="R1521" i="8"/>
  <c r="R1518" i="8"/>
  <c r="R1517" i="8"/>
  <c r="R1516" i="8"/>
  <c r="R1515" i="8"/>
  <c r="R1514" i="8"/>
  <c r="R1513" i="8"/>
  <c r="R1512" i="8"/>
  <c r="R1511" i="8"/>
  <c r="R1510" i="8"/>
  <c r="R1501" i="8"/>
  <c r="R1500" i="8"/>
  <c r="R1499" i="8"/>
  <c r="R1496" i="8"/>
  <c r="R1495" i="8"/>
  <c r="R1494" i="8"/>
  <c r="R1491" i="8"/>
  <c r="R1490" i="8"/>
  <c r="R1489" i="8"/>
  <c r="R1488" i="8"/>
  <c r="R1487" i="8"/>
  <c r="R1486" i="8"/>
  <c r="R1485" i="8"/>
  <c r="R1484" i="8"/>
  <c r="R1483" i="8"/>
  <c r="R1474" i="8"/>
  <c r="R1473" i="8"/>
  <c r="R1472" i="8"/>
  <c r="R1469" i="8"/>
  <c r="R1468" i="8"/>
  <c r="R1467" i="8"/>
  <c r="R1464" i="8"/>
  <c r="R1463" i="8"/>
  <c r="R1462" i="8"/>
  <c r="R1461" i="8"/>
  <c r="R1460" i="8"/>
  <c r="R1459" i="8"/>
  <c r="R1458" i="8"/>
  <c r="R1457" i="8"/>
  <c r="R1456" i="8"/>
  <c r="R1443" i="8"/>
  <c r="R1442" i="8"/>
  <c r="R1441" i="8"/>
  <c r="R1438" i="8"/>
  <c r="R1437" i="8"/>
  <c r="R1436" i="8"/>
  <c r="R1433" i="8"/>
  <c r="R1416" i="8"/>
  <c r="R1415" i="8"/>
  <c r="R1414" i="8"/>
  <c r="R1411" i="8"/>
  <c r="R1410" i="8"/>
  <c r="R1409" i="8"/>
  <c r="R1406" i="8"/>
  <c r="R1389" i="8"/>
  <c r="R1388" i="8"/>
  <c r="R1387" i="8"/>
  <c r="R1384" i="8"/>
  <c r="R1383" i="8"/>
  <c r="R1382" i="8"/>
  <c r="R1379" i="8"/>
  <c r="R1362" i="8"/>
  <c r="R1361" i="8"/>
  <c r="R1360" i="8"/>
  <c r="R1357" i="8"/>
  <c r="R1356" i="8"/>
  <c r="R1355" i="8"/>
  <c r="R1352" i="8"/>
  <c r="R1335" i="8"/>
  <c r="R1334" i="8"/>
  <c r="R1333" i="8"/>
  <c r="R1330" i="8"/>
  <c r="R1329" i="8"/>
  <c r="R1328" i="8"/>
  <c r="R1325" i="8"/>
  <c r="R1206" i="8"/>
  <c r="R1205" i="8"/>
  <c r="R1204" i="8"/>
  <c r="R1201" i="8"/>
  <c r="R1200" i="8"/>
  <c r="R1199" i="8"/>
  <c r="R1196" i="8"/>
  <c r="D1195" i="8"/>
  <c r="C1195" i="8"/>
  <c r="R1185" i="8"/>
  <c r="R1184" i="8"/>
  <c r="R1183" i="8"/>
  <c r="R1180" i="8"/>
  <c r="R1179" i="8"/>
  <c r="R1178" i="8"/>
  <c r="R1175" i="8"/>
  <c r="D1174" i="8"/>
  <c r="C1174" i="8"/>
  <c r="R1164" i="8"/>
  <c r="R1163" i="8"/>
  <c r="R1162" i="8"/>
  <c r="R1159" i="8"/>
  <c r="R1158" i="8"/>
  <c r="R1157" i="8"/>
  <c r="R1154" i="8"/>
  <c r="D1153" i="8"/>
  <c r="C1153" i="8"/>
  <c r="R1143" i="8"/>
  <c r="R1142" i="8"/>
  <c r="R1141" i="8"/>
  <c r="R1138" i="8"/>
  <c r="R1137" i="8"/>
  <c r="R1136" i="8"/>
  <c r="R1133" i="8"/>
  <c r="D1132" i="8"/>
  <c r="C1132" i="8"/>
  <c r="R1118" i="8"/>
  <c r="R1117" i="8"/>
  <c r="R1116" i="8"/>
  <c r="R1113" i="8"/>
  <c r="R1112" i="8"/>
  <c r="R1111" i="8"/>
  <c r="R1108" i="8"/>
  <c r="D1107" i="8"/>
  <c r="C1107" i="8"/>
  <c r="R1097" i="8"/>
  <c r="R1096" i="8"/>
  <c r="R1095" i="8"/>
  <c r="R1092" i="8"/>
  <c r="R1091" i="8"/>
  <c r="R1090" i="8"/>
  <c r="R1087" i="8"/>
  <c r="D1086" i="8"/>
  <c r="C1086" i="8"/>
  <c r="R1076" i="8"/>
  <c r="R1075" i="8"/>
  <c r="R1074" i="8"/>
  <c r="R1071" i="8"/>
  <c r="R1070" i="8"/>
  <c r="R1069" i="8"/>
  <c r="R1066" i="8"/>
  <c r="D1065" i="8"/>
  <c r="C1065" i="8"/>
  <c r="R1055" i="8"/>
  <c r="R1054" i="8"/>
  <c r="R1053" i="8"/>
  <c r="R1050" i="8"/>
  <c r="R1049" i="8"/>
  <c r="R1048" i="8"/>
  <c r="R1045" i="8"/>
  <c r="D1044" i="8"/>
  <c r="C1044" i="8"/>
  <c r="R1034" i="8"/>
  <c r="R1033" i="8"/>
  <c r="R1032" i="8"/>
  <c r="R1029" i="8"/>
  <c r="R1028" i="8"/>
  <c r="R1027" i="8"/>
  <c r="R1024" i="8"/>
  <c r="D1023" i="8"/>
  <c r="C1023" i="8"/>
  <c r="R1013" i="8"/>
  <c r="R1012" i="8"/>
  <c r="R1011" i="8"/>
  <c r="R1008" i="8"/>
  <c r="R1007" i="8"/>
  <c r="R1006" i="8"/>
  <c r="R1003" i="8"/>
  <c r="D1002" i="8"/>
  <c r="C1002" i="8"/>
  <c r="R990" i="8"/>
  <c r="D989" i="8"/>
  <c r="C989" i="8"/>
  <c r="R983" i="8"/>
  <c r="D982" i="8"/>
  <c r="C982" i="8"/>
  <c r="R976" i="8"/>
  <c r="D975" i="8"/>
  <c r="C975" i="8"/>
  <c r="R969" i="8"/>
  <c r="D968" i="8"/>
  <c r="C968" i="8"/>
  <c r="R962" i="8"/>
  <c r="D961" i="8"/>
  <c r="C961" i="8"/>
  <c r="R955" i="8"/>
  <c r="D954" i="8"/>
  <c r="C954" i="8"/>
  <c r="R948" i="8"/>
  <c r="D947" i="8"/>
  <c r="C947" i="8"/>
  <c r="R941" i="8"/>
  <c r="D940" i="8"/>
  <c r="C940" i="8"/>
  <c r="R934" i="8"/>
  <c r="D933" i="8"/>
  <c r="C933" i="8"/>
  <c r="R927" i="8"/>
  <c r="D926" i="8"/>
  <c r="C926" i="8"/>
  <c r="Q1088" i="27"/>
  <c r="Q1085" i="27"/>
  <c r="Q1083" i="27"/>
  <c r="Q1081" i="27"/>
  <c r="Q1079" i="27"/>
  <c r="Q1029" i="27"/>
  <c r="Q1027" i="27"/>
  <c r="Q1025" i="27"/>
  <c r="Q1023" i="27"/>
  <c r="Q1021" i="27"/>
  <c r="Q1019" i="27"/>
  <c r="Q977" i="27"/>
  <c r="Q975" i="27"/>
  <c r="Q973" i="27"/>
  <c r="Q971" i="27"/>
  <c r="Q969" i="27"/>
  <c r="Q967" i="27"/>
  <c r="Q965" i="27"/>
  <c r="Q963" i="27"/>
  <c r="Q961" i="27"/>
  <c r="Q959" i="27"/>
  <c r="Q915" i="27"/>
  <c r="Q913" i="27"/>
  <c r="Q911" i="27"/>
  <c r="Q909" i="27"/>
  <c r="Q907" i="27"/>
  <c r="Q905" i="27"/>
  <c r="Q903" i="27"/>
  <c r="Q901" i="27"/>
  <c r="Q899" i="27"/>
  <c r="Q845" i="27"/>
  <c r="Q889" i="27" s="1"/>
  <c r="F134" i="35" s="1"/>
  <c r="Q843" i="27"/>
  <c r="Q841" i="27"/>
  <c r="Q839" i="27"/>
  <c r="Q789" i="27"/>
  <c r="Q787" i="27"/>
  <c r="Q785" i="27"/>
  <c r="Q783" i="27"/>
  <c r="Q781" i="27"/>
  <c r="Q779" i="27"/>
  <c r="Q737" i="27"/>
  <c r="Q735" i="27"/>
  <c r="Q733" i="27"/>
  <c r="Q731" i="27"/>
  <c r="Q729" i="27"/>
  <c r="Q727" i="27"/>
  <c r="Q725" i="27"/>
  <c r="Q723" i="27"/>
  <c r="Q721" i="27"/>
  <c r="Q719" i="27"/>
  <c r="Q675" i="27"/>
  <c r="Q673" i="27"/>
  <c r="Q671" i="27"/>
  <c r="Q669" i="27"/>
  <c r="Q667" i="27"/>
  <c r="Q665" i="27"/>
  <c r="Q663" i="27"/>
  <c r="Q661" i="27"/>
  <c r="Q659" i="27"/>
  <c r="Q605" i="27"/>
  <c r="Q603" i="27"/>
  <c r="Q601" i="27"/>
  <c r="Q599" i="27"/>
  <c r="Q549" i="27"/>
  <c r="Q547" i="27"/>
  <c r="Q545" i="27"/>
  <c r="Q543" i="27"/>
  <c r="Q541" i="27"/>
  <c r="Q539" i="27"/>
  <c r="Q497" i="27"/>
  <c r="Q495" i="27"/>
  <c r="Q493" i="27"/>
  <c r="Q491" i="27"/>
  <c r="Q489" i="27"/>
  <c r="Q487" i="27"/>
  <c r="Q485" i="27"/>
  <c r="Q483" i="27"/>
  <c r="Q481" i="27"/>
  <c r="Q479" i="27"/>
  <c r="Q529" i="27" s="1"/>
  <c r="F122" i="35" s="1"/>
  <c r="Q435" i="27"/>
  <c r="Q433" i="27"/>
  <c r="Q431" i="27"/>
  <c r="Q429" i="27"/>
  <c r="Q427" i="27"/>
  <c r="Q425" i="27"/>
  <c r="Q423" i="27"/>
  <c r="Q421" i="27"/>
  <c r="Q419" i="27"/>
  <c r="Q366" i="27"/>
  <c r="Q364" i="27"/>
  <c r="Q362" i="27"/>
  <c r="Q360" i="27"/>
  <c r="Q311" i="27"/>
  <c r="Q309" i="27"/>
  <c r="Q307" i="27"/>
  <c r="Q305" i="27"/>
  <c r="Q303" i="27"/>
  <c r="Q301" i="27"/>
  <c r="Q260" i="27"/>
  <c r="Q258" i="27"/>
  <c r="Q256" i="27"/>
  <c r="Q254" i="27"/>
  <c r="Q252" i="27"/>
  <c r="Q250" i="27"/>
  <c r="Q248" i="27"/>
  <c r="Q246" i="27"/>
  <c r="Q244" i="27"/>
  <c r="Q242" i="27"/>
  <c r="Q199" i="27"/>
  <c r="Q197" i="27"/>
  <c r="Q195" i="27"/>
  <c r="Q193" i="27"/>
  <c r="Q191" i="27"/>
  <c r="Q189" i="27"/>
  <c r="Q187" i="27"/>
  <c r="Q185" i="27"/>
  <c r="Q183" i="27"/>
  <c r="K65" i="27"/>
  <c r="K123" i="27" s="1"/>
  <c r="K181" i="27" s="1"/>
  <c r="K240" i="27" s="1"/>
  <c r="K299" i="27" s="1"/>
  <c r="K358" i="27" s="1"/>
  <c r="K417" i="27" s="1"/>
  <c r="K477" i="27" s="1"/>
  <c r="K537" i="27" s="1"/>
  <c r="K597" i="27" s="1"/>
  <c r="K657" i="27" s="1"/>
  <c r="K717" i="27" s="1"/>
  <c r="K777" i="27" s="1"/>
  <c r="K837" i="27" s="1"/>
  <c r="K897" i="27" s="1"/>
  <c r="K957" i="27" s="1"/>
  <c r="K1017" i="27" s="1"/>
  <c r="K1077" i="27" s="1"/>
  <c r="K1088" i="27" s="1"/>
  <c r="K1142" i="27" s="1"/>
  <c r="K1153" i="27" s="1"/>
  <c r="K1166" i="27" s="1"/>
  <c r="K1185" i="27" s="1"/>
  <c r="K1247" i="27" s="1"/>
  <c r="K1297" i="27" s="1"/>
  <c r="K1354" i="27" s="1"/>
  <c r="R904" i="8"/>
  <c r="R903" i="8"/>
  <c r="R902" i="8"/>
  <c r="R899" i="8"/>
  <c r="R898" i="8"/>
  <c r="R897" i="8"/>
  <c r="R879" i="8"/>
  <c r="R878" i="8"/>
  <c r="R877" i="8"/>
  <c r="R874" i="8"/>
  <c r="R873" i="8"/>
  <c r="R872" i="8"/>
  <c r="R869" i="8"/>
  <c r="R868" i="8"/>
  <c r="R867" i="8"/>
  <c r="R866" i="8"/>
  <c r="R865" i="8"/>
  <c r="R864" i="8"/>
  <c r="R863" i="8"/>
  <c r="R862" i="8"/>
  <c r="R861" i="8"/>
  <c r="R852" i="8"/>
  <c r="R851" i="8"/>
  <c r="R850" i="8"/>
  <c r="R847" i="8"/>
  <c r="R848" i="8" s="1"/>
  <c r="R844" i="8"/>
  <c r="R843" i="8"/>
  <c r="R842" i="8"/>
  <c r="R841" i="8"/>
  <c r="R840" i="8"/>
  <c r="R839" i="8"/>
  <c r="R838" i="8"/>
  <c r="R837" i="8"/>
  <c r="R836" i="8"/>
  <c r="R810" i="8"/>
  <c r="R809" i="8"/>
  <c r="R808" i="8"/>
  <c r="R805" i="8"/>
  <c r="R788" i="8"/>
  <c r="R787" i="8"/>
  <c r="R786" i="8"/>
  <c r="R783" i="8"/>
  <c r="R766" i="8"/>
  <c r="R765" i="8"/>
  <c r="R764" i="8"/>
  <c r="R761" i="8"/>
  <c r="R740" i="8"/>
  <c r="R739" i="8"/>
  <c r="R738" i="8"/>
  <c r="R735" i="8"/>
  <c r="R705" i="8"/>
  <c r="R704" i="8"/>
  <c r="R703" i="8"/>
  <c r="R700" i="8"/>
  <c r="R683" i="8"/>
  <c r="R682" i="8"/>
  <c r="R681" i="8"/>
  <c r="R678" i="8"/>
  <c r="R661" i="8"/>
  <c r="R660" i="8"/>
  <c r="R659" i="8"/>
  <c r="R656" i="8"/>
  <c r="R635" i="8"/>
  <c r="R634" i="8"/>
  <c r="R633" i="8"/>
  <c r="R630" i="8"/>
  <c r="R629" i="8"/>
  <c r="R628" i="8"/>
  <c r="R627" i="8"/>
  <c r="R626" i="8"/>
  <c r="R615" i="8"/>
  <c r="R599" i="8"/>
  <c r="R598" i="8"/>
  <c r="R597" i="8"/>
  <c r="R594" i="8"/>
  <c r="R593" i="8"/>
  <c r="R592" i="8"/>
  <c r="R591" i="8"/>
  <c r="R590" i="8"/>
  <c r="Q338" i="24"/>
  <c r="Q333" i="24"/>
  <c r="Q328" i="24"/>
  <c r="O315" i="24"/>
  <c r="Q315" i="24" s="1"/>
  <c r="O310" i="24"/>
  <c r="Q310" i="24" s="1"/>
  <c r="Q305" i="24"/>
  <c r="O300" i="24"/>
  <c r="Q300" i="24" s="1"/>
  <c r="O288" i="24"/>
  <c r="Q288" i="24" s="1"/>
  <c r="Q283" i="24"/>
  <c r="O283" i="24"/>
  <c r="Q278" i="24"/>
  <c r="Q275" i="24"/>
  <c r="Q258" i="24"/>
  <c r="O253" i="24"/>
  <c r="Q253" i="24" s="1"/>
  <c r="Q240" i="24"/>
  <c r="Q235" i="24"/>
  <c r="O232" i="24"/>
  <c r="Q232" i="24" s="1"/>
  <c r="O229" i="24"/>
  <c r="Q229" i="24" s="1"/>
  <c r="Q226" i="24"/>
  <c r="Q221" i="24"/>
  <c r="Q202" i="24"/>
  <c r="O188" i="24"/>
  <c r="Q188" i="24" s="1"/>
  <c r="O183" i="24"/>
  <c r="Q183" i="24" s="1"/>
  <c r="Q178" i="24"/>
  <c r="Q154" i="24"/>
  <c r="Q151" i="24"/>
  <c r="O151" i="24"/>
  <c r="O148" i="24"/>
  <c r="Q148" i="24" s="1"/>
  <c r="Q145" i="24"/>
  <c r="Q140" i="24"/>
  <c r="Q135" i="24"/>
  <c r="Q121" i="24"/>
  <c r="O121" i="24"/>
  <c r="O116" i="24"/>
  <c r="Q116" i="24" s="1"/>
  <c r="Q101" i="24"/>
  <c r="Q96" i="24"/>
  <c r="Q83" i="24"/>
  <c r="Q75" i="24"/>
  <c r="Q70" i="24"/>
  <c r="O67" i="24"/>
  <c r="Q67" i="24" s="1"/>
  <c r="Q62" i="24"/>
  <c r="Q48" i="24"/>
  <c r="O43" i="24"/>
  <c r="Q43" i="24" s="1"/>
  <c r="Q38" i="24"/>
  <c r="Q33" i="24"/>
  <c r="Q23" i="24"/>
  <c r="Q20" i="24"/>
  <c r="Q17" i="24"/>
  <c r="K17" i="24"/>
  <c r="K20" i="24" s="1"/>
  <c r="K23" i="24" s="1"/>
  <c r="K26" i="24" s="1"/>
  <c r="K31" i="24" s="1"/>
  <c r="K36" i="24" s="1"/>
  <c r="K41" i="24" s="1"/>
  <c r="K46" i="24" s="1"/>
  <c r="K62" i="24" s="1"/>
  <c r="K65" i="24" s="1"/>
  <c r="K70" i="24" s="1"/>
  <c r="K73" i="24" s="1"/>
  <c r="K78" i="24" s="1"/>
  <c r="K81" i="24" s="1"/>
  <c r="K89" i="24" s="1"/>
  <c r="K94" i="24" s="1"/>
  <c r="K99" i="24" s="1"/>
  <c r="K114" i="24" s="1"/>
  <c r="K119" i="24" s="1"/>
  <c r="K124" i="24" s="1"/>
  <c r="K133" i="24" s="1"/>
  <c r="K138" i="24" s="1"/>
  <c r="K143" i="24" s="1"/>
  <c r="K148" i="24" s="1"/>
  <c r="K151" i="24" s="1"/>
  <c r="K154" i="24" s="1"/>
  <c r="K175" i="24" s="1"/>
  <c r="K178" i="24" s="1"/>
  <c r="K181" i="24" s="1"/>
  <c r="K186" i="24" s="1"/>
  <c r="K191" i="24" s="1"/>
  <c r="K200" i="24" s="1"/>
  <c r="K219" i="24" s="1"/>
  <c r="K224" i="24" s="1"/>
  <c r="K229" i="24" s="1"/>
  <c r="K232" i="24" s="1"/>
  <c r="K235" i="24" s="1"/>
  <c r="K238" i="24" s="1"/>
  <c r="K246" i="24" s="1"/>
  <c r="K251" i="24" s="1"/>
  <c r="K256" i="24" s="1"/>
  <c r="K275" i="24" s="1"/>
  <c r="K278" i="24" s="1"/>
  <c r="K281" i="24" s="1"/>
  <c r="K286" i="24" s="1"/>
  <c r="K291" i="24" s="1"/>
  <c r="K298" i="24" s="1"/>
  <c r="K303" i="24" s="1"/>
  <c r="K308" i="24" s="1"/>
  <c r="K313" i="24" s="1"/>
  <c r="K328" i="24" s="1"/>
  <c r="K331" i="24" s="1"/>
  <c r="K336" i="24" s="1"/>
  <c r="Q11" i="24"/>
  <c r="R571" i="8"/>
  <c r="R570" i="8"/>
  <c r="R569" i="8"/>
  <c r="R566" i="8"/>
  <c r="R565" i="8"/>
  <c r="R564" i="8"/>
  <c r="R563" i="8"/>
  <c r="R532" i="8"/>
  <c r="R531" i="8"/>
  <c r="R530" i="8"/>
  <c r="R527" i="8"/>
  <c r="R526" i="8"/>
  <c r="R525" i="8"/>
  <c r="R522" i="8"/>
  <c r="D521" i="8"/>
  <c r="C521" i="8"/>
  <c r="R507" i="8"/>
  <c r="R506" i="8"/>
  <c r="R505" i="8"/>
  <c r="R502" i="8"/>
  <c r="R501" i="8"/>
  <c r="R500" i="8"/>
  <c r="R497" i="8"/>
  <c r="D496" i="8"/>
  <c r="C496" i="8"/>
  <c r="R486" i="8"/>
  <c r="R485" i="8"/>
  <c r="R484" i="8"/>
  <c r="R481" i="8"/>
  <c r="R480" i="8"/>
  <c r="R479" i="8"/>
  <c r="R476" i="8"/>
  <c r="D475" i="8"/>
  <c r="C475" i="8"/>
  <c r="R461" i="8"/>
  <c r="R457" i="8"/>
  <c r="D456" i="8"/>
  <c r="C456" i="8"/>
  <c r="R442" i="8"/>
  <c r="R441" i="8"/>
  <c r="R440" i="8"/>
  <c r="R437" i="8"/>
  <c r="R436" i="8"/>
  <c r="R435" i="8"/>
  <c r="R432" i="8"/>
  <c r="R430" i="8"/>
  <c r="A428" i="8"/>
  <c r="R428" i="8" s="1"/>
  <c r="R427" i="8"/>
  <c r="R426" i="8"/>
  <c r="R425" i="8"/>
  <c r="R424" i="8"/>
  <c r="R422" i="8"/>
  <c r="R421" i="8"/>
  <c r="R420" i="8"/>
  <c r="R419" i="8"/>
  <c r="R415" i="8"/>
  <c r="D2300" i="8"/>
  <c r="D2602" i="8"/>
  <c r="D2600" i="8"/>
  <c r="D2033" i="8"/>
  <c r="D1907" i="8"/>
  <c r="D2362" i="8"/>
  <c r="D1173" i="8"/>
  <c r="D2662" i="8"/>
  <c r="D2333" i="8"/>
  <c r="D2087" i="8"/>
  <c r="D2329" i="8"/>
  <c r="D1244" i="8"/>
  <c r="D953" i="8"/>
  <c r="D1909" i="8"/>
  <c r="D1627" i="8"/>
  <c r="D1064" i="8"/>
  <c r="D2635" i="8"/>
  <c r="D2029" i="8"/>
  <c r="D2031" i="8"/>
  <c r="D1634" i="8"/>
  <c r="D2211" i="8"/>
  <c r="D2389" i="8"/>
  <c r="D1759" i="8"/>
  <c r="D2236" i="8"/>
  <c r="D2660" i="8"/>
  <c r="D2631" i="8"/>
  <c r="D2360" i="8"/>
  <c r="D1655" i="8"/>
  <c r="D1780" i="8"/>
  <c r="D2302" i="8"/>
  <c r="D2056" i="8"/>
  <c r="D2604" i="8"/>
  <c r="D2242" i="8"/>
  <c r="D2095" i="8"/>
  <c r="D2391" i="8"/>
  <c r="D932" i="8"/>
  <c r="D2366" i="8"/>
  <c r="D2147" i="8"/>
  <c r="D2666" i="8"/>
  <c r="D1613" i="8"/>
  <c r="D495" i="8"/>
  <c r="D2180" i="8"/>
  <c r="D2209" i="8"/>
  <c r="D2658" i="8"/>
  <c r="D2089" i="8"/>
  <c r="D2145" i="8"/>
  <c r="D2395" i="8"/>
  <c r="D981" i="8"/>
  <c r="D1085" i="8"/>
  <c r="D2488" i="8"/>
  <c r="D2397" i="8"/>
  <c r="D2025" i="8"/>
  <c r="D1868" i="8"/>
  <c r="D520" i="8"/>
  <c r="D2627" i="8"/>
  <c r="D2207" i="8"/>
  <c r="D2060" i="8"/>
  <c r="D2064" i="8"/>
  <c r="D2455" i="8"/>
  <c r="D2451" i="8"/>
  <c r="D1963" i="8"/>
  <c r="D2002" i="8"/>
  <c r="D2205" i="8"/>
  <c r="D2265" i="8"/>
  <c r="D2457" i="8"/>
  <c r="D2058" i="8"/>
  <c r="D1675" i="8"/>
  <c r="D1738" i="8"/>
  <c r="D2424" i="8"/>
  <c r="D455" i="8"/>
  <c r="D925" i="8"/>
  <c r="D2273" i="8"/>
  <c r="D2091" i="8"/>
  <c r="D2629" i="8"/>
  <c r="D1599" i="8"/>
  <c r="D2428" i="8"/>
  <c r="D2490" i="8"/>
  <c r="D2459" i="8"/>
  <c r="D1648" i="8"/>
  <c r="D2000" i="8"/>
  <c r="D2238" i="8"/>
  <c r="D1131" i="8"/>
  <c r="D2178" i="8"/>
  <c r="D2331" i="8"/>
  <c r="D2296" i="8"/>
  <c r="D1152" i="8"/>
  <c r="D1662" i="8"/>
  <c r="D939" i="8"/>
  <c r="D2062" i="8"/>
  <c r="D1847" i="8"/>
  <c r="D1641" i="8"/>
  <c r="D1001" i="8"/>
  <c r="D2176" i="8"/>
  <c r="D1194" i="8"/>
  <c r="D1106" i="8"/>
  <c r="D2149" i="8"/>
  <c r="D1971" i="8"/>
  <c r="D2596" i="8"/>
  <c r="D1996" i="8"/>
  <c r="D2240" i="8"/>
  <c r="D1911" i="8"/>
  <c r="D2393" i="8"/>
  <c r="D1043" i="8"/>
  <c r="D2335" i="8"/>
  <c r="D1826" i="8"/>
  <c r="D2453" i="8"/>
  <c r="D1994" i="8"/>
  <c r="D967" i="8"/>
  <c r="D2172" i="8"/>
  <c r="D2143" i="8"/>
  <c r="D988" i="8"/>
  <c r="D1620" i="8"/>
  <c r="D960" i="8"/>
  <c r="D2598" i="8"/>
  <c r="D2141" i="8"/>
  <c r="D1998" i="8"/>
  <c r="D1265" i="8"/>
  <c r="D1606" i="8"/>
  <c r="D2298" i="8"/>
  <c r="D2174" i="8"/>
  <c r="D2633" i="8"/>
  <c r="D2420" i="8"/>
  <c r="D2269" i="8"/>
  <c r="D2093" i="8"/>
  <c r="D1805" i="8"/>
  <c r="D974" i="8"/>
  <c r="D2267" i="8"/>
  <c r="D1965" i="8"/>
  <c r="D2358" i="8"/>
  <c r="D1696" i="8"/>
  <c r="D2664" i="8"/>
  <c r="D2484" i="8"/>
  <c r="D946" i="8"/>
  <c r="D1223" i="8"/>
  <c r="D1717" i="8"/>
  <c r="D2426" i="8"/>
  <c r="D1022" i="8"/>
  <c r="D2234" i="8"/>
  <c r="D2271" i="8"/>
  <c r="D2327" i="8"/>
  <c r="D1967" i="8"/>
  <c r="D2364" i="8"/>
  <c r="D2203" i="8"/>
  <c r="D1915" i="8"/>
  <c r="D2304" i="8"/>
  <c r="D2486" i="8"/>
  <c r="D474" i="8"/>
  <c r="D2422" i="8"/>
  <c r="D1969" i="8"/>
  <c r="D1913" i="8"/>
  <c r="D2482" i="8"/>
  <c r="D2027" i="8"/>
  <c r="Q232" i="27" l="1"/>
  <c r="F112" i="35" s="1"/>
  <c r="Q291" i="27"/>
  <c r="F114" i="35" s="1"/>
  <c r="Q350" i="27"/>
  <c r="F116" i="35" s="1"/>
  <c r="Q409" i="27"/>
  <c r="F118" i="35" s="1"/>
  <c r="Q589" i="27"/>
  <c r="F124" i="35" s="1"/>
  <c r="Q829" i="27"/>
  <c r="F132" i="35" s="1"/>
  <c r="Q1009" i="27"/>
  <c r="F138" i="35" s="1"/>
  <c r="Q1129" i="27"/>
  <c r="F142" i="35" s="1"/>
  <c r="Q649" i="27"/>
  <c r="F126" i="35" s="1"/>
  <c r="Q949" i="27"/>
  <c r="F136" i="35" s="1"/>
  <c r="Q709" i="27"/>
  <c r="F128" i="35" s="1"/>
  <c r="Q769" i="27"/>
  <c r="F130" i="35" s="1"/>
  <c r="Q1069" i="27"/>
  <c r="F140" i="35" s="1"/>
  <c r="Q469" i="27"/>
  <c r="F120" i="35" s="1"/>
  <c r="Q267" i="24"/>
  <c r="F79" i="35" s="1"/>
  <c r="Q378" i="24"/>
  <c r="F83" i="35" s="1"/>
  <c r="R2781" i="8"/>
  <c r="R2823" i="8"/>
  <c r="R2818" i="8"/>
  <c r="R2828" i="8"/>
  <c r="R1982" i="8"/>
  <c r="R1978" i="8"/>
  <c r="R2611" i="8"/>
  <c r="R2677" i="8"/>
  <c r="R1922" i="8"/>
  <c r="R2756" i="8"/>
  <c r="R2009" i="8"/>
  <c r="R2790" i="8"/>
  <c r="R1951" i="8"/>
  <c r="R2222" i="8"/>
  <c r="R2311" i="8"/>
  <c r="R1839" i="8"/>
  <c r="R2584" i="8"/>
  <c r="R2760" i="8"/>
  <c r="R2762" i="8" s="1"/>
  <c r="AM2743" i="8" s="1"/>
  <c r="R2253" i="8"/>
  <c r="R2342" i="8"/>
  <c r="R2470" i="8"/>
  <c r="R1941" i="8"/>
  <c r="R1926" i="8"/>
  <c r="R2071" i="8"/>
  <c r="R2709" i="8"/>
  <c r="R2040" i="8"/>
  <c r="R2408" i="8"/>
  <c r="R2466" i="8"/>
  <c r="R2521" i="8"/>
  <c r="R2249" i="8"/>
  <c r="R2554" i="8"/>
  <c r="R2075" i="8"/>
  <c r="R2501" i="8"/>
  <c r="R2160" i="8"/>
  <c r="R2106" i="8"/>
  <c r="R1751" i="8"/>
  <c r="R1813" i="8"/>
  <c r="R2373" i="8"/>
  <c r="R2526" i="8"/>
  <c r="R2124" i="8"/>
  <c r="R2516" i="8"/>
  <c r="R2642" i="8"/>
  <c r="R2735" i="8"/>
  <c r="R2013" i="8"/>
  <c r="R2435" i="8"/>
  <c r="R2497" i="8"/>
  <c r="R2044" i="8"/>
  <c r="R2439" i="8"/>
  <c r="R2615" i="8"/>
  <c r="R2730" i="8"/>
  <c r="R2102" i="8"/>
  <c r="R2280" i="8"/>
  <c r="R2404" i="8"/>
  <c r="R2673" i="8"/>
  <c r="R2346" i="8"/>
  <c r="R2156" i="8"/>
  <c r="R2129" i="8"/>
  <c r="R2701" i="8"/>
  <c r="R2704" i="8" s="1"/>
  <c r="R2187" i="8"/>
  <c r="R2315" i="8"/>
  <c r="R1860" i="8"/>
  <c r="R1881" i="8"/>
  <c r="R2218" i="8"/>
  <c r="R2574" i="8"/>
  <c r="R1946" i="8"/>
  <c r="R1730" i="8"/>
  <c r="R1788" i="8"/>
  <c r="R1834" i="8"/>
  <c r="R1855" i="8"/>
  <c r="R1725" i="8"/>
  <c r="R1876" i="8"/>
  <c r="R2191" i="8"/>
  <c r="R1818" i="8"/>
  <c r="R2284" i="8"/>
  <c r="R2646" i="8"/>
  <c r="R2579" i="8"/>
  <c r="R2559" i="8"/>
  <c r="R2377" i="8"/>
  <c r="R1688" i="8"/>
  <c r="R1746" i="8"/>
  <c r="R1709" i="8"/>
  <c r="R1767" i="8"/>
  <c r="R1772" i="8"/>
  <c r="R1683" i="8"/>
  <c r="R1793" i="8"/>
  <c r="R1704" i="8"/>
  <c r="R1252" i="8"/>
  <c r="R1236" i="8"/>
  <c r="R1257" i="8"/>
  <c r="R1524" i="8"/>
  <c r="R1390" i="8"/>
  <c r="R1305" i="8"/>
  <c r="R1575" i="8"/>
  <c r="R1278" i="8"/>
  <c r="R1181" i="8"/>
  <c r="R1580" i="8"/>
  <c r="R1231" i="8"/>
  <c r="R1358" i="8"/>
  <c r="R1273" i="8"/>
  <c r="R1300" i="8"/>
  <c r="R1417" i="8"/>
  <c r="R1475" i="8"/>
  <c r="R1331" i="8"/>
  <c r="R1444" i="8"/>
  <c r="R1519" i="8"/>
  <c r="R1550" i="8"/>
  <c r="R1492" i="8"/>
  <c r="R1385" i="8"/>
  <c r="R1465" i="8"/>
  <c r="R1497" i="8"/>
  <c r="R1412" i="8"/>
  <c r="R1470" i="8"/>
  <c r="R1558" i="8"/>
  <c r="R1336" i="8"/>
  <c r="R1439" i="8"/>
  <c r="R1585" i="8"/>
  <c r="R1363" i="8"/>
  <c r="R1502" i="8"/>
  <c r="R1529" i="8"/>
  <c r="R1202" i="8"/>
  <c r="R1139" i="8"/>
  <c r="R1160" i="8"/>
  <c r="R1144" i="8"/>
  <c r="R1014" i="8"/>
  <c r="R1072" i="8"/>
  <c r="R1165" i="8"/>
  <c r="R1186" i="8"/>
  <c r="R1035" i="8"/>
  <c r="R1093" i="8"/>
  <c r="R1056" i="8"/>
  <c r="R1114" i="8"/>
  <c r="R1207" i="8"/>
  <c r="R1077" i="8"/>
  <c r="R1098" i="8"/>
  <c r="R1009" i="8"/>
  <c r="R1119" i="8"/>
  <c r="R1030" i="8"/>
  <c r="R1051" i="8"/>
  <c r="R900" i="8"/>
  <c r="R875" i="8"/>
  <c r="R905" i="8"/>
  <c r="R845" i="8"/>
  <c r="R880" i="8"/>
  <c r="R853" i="8"/>
  <c r="R870" i="8"/>
  <c r="R789" i="8"/>
  <c r="R811" i="8"/>
  <c r="R806" i="8"/>
  <c r="R784" i="8"/>
  <c r="R767" i="8"/>
  <c r="R762" i="8"/>
  <c r="R736" i="8"/>
  <c r="R741" i="8"/>
  <c r="R701" i="8"/>
  <c r="R679" i="8"/>
  <c r="R706" i="8"/>
  <c r="R657" i="8"/>
  <c r="R684" i="8"/>
  <c r="R662" i="8"/>
  <c r="R631" i="8"/>
  <c r="R636" i="8"/>
  <c r="R528" i="8"/>
  <c r="R595" i="8"/>
  <c r="R600" i="8"/>
  <c r="R487" i="8"/>
  <c r="R572" i="8"/>
  <c r="R616" i="8"/>
  <c r="R462" i="8"/>
  <c r="R567" i="8"/>
  <c r="R533" i="8"/>
  <c r="R482" i="8"/>
  <c r="R508" i="8"/>
  <c r="R503" i="8"/>
  <c r="R443" i="8"/>
  <c r="R438" i="8"/>
  <c r="R433" i="8"/>
  <c r="R405" i="8"/>
  <c r="R401" i="8"/>
  <c r="R398" i="8"/>
  <c r="R396" i="8"/>
  <c r="R385" i="8"/>
  <c r="R384" i="8"/>
  <c r="R383" i="8"/>
  <c r="R380" i="8"/>
  <c r="R379" i="8"/>
  <c r="R378" i="8"/>
  <c r="R375" i="8"/>
  <c r="R374" i="8"/>
  <c r="R373" i="8"/>
  <c r="R372" i="8"/>
  <c r="R371" i="8"/>
  <c r="R370" i="8"/>
  <c r="R369" i="8"/>
  <c r="R368" i="8"/>
  <c r="R367" i="8"/>
  <c r="R358" i="8"/>
  <c r="R357" i="8"/>
  <c r="R356" i="8"/>
  <c r="R353" i="8"/>
  <c r="R352" i="8"/>
  <c r="R351" i="8"/>
  <c r="R348" i="8"/>
  <c r="R347" i="8"/>
  <c r="R346" i="8"/>
  <c r="R345" i="8"/>
  <c r="R344" i="8"/>
  <c r="R343" i="8"/>
  <c r="R342" i="8"/>
  <c r="R341" i="8"/>
  <c r="R340" i="8"/>
  <c r="R331" i="8"/>
  <c r="R330" i="8"/>
  <c r="R329" i="8"/>
  <c r="R326" i="8"/>
  <c r="R325" i="8"/>
  <c r="R324" i="8"/>
  <c r="R321" i="8"/>
  <c r="R320" i="8"/>
  <c r="R319" i="8"/>
  <c r="R318" i="8"/>
  <c r="R317" i="8"/>
  <c r="R316" i="8"/>
  <c r="R315" i="8"/>
  <c r="R314" i="8"/>
  <c r="R313" i="8"/>
  <c r="R302" i="8"/>
  <c r="R298" i="8"/>
  <c r="R296" i="8"/>
  <c r="R295" i="8"/>
  <c r="R293" i="8"/>
  <c r="R288" i="8"/>
  <c r="R286" i="8"/>
  <c r="R284" i="8"/>
  <c r="R282" i="8"/>
  <c r="R281" i="8"/>
  <c r="R279" i="8"/>
  <c r="R272" i="8"/>
  <c r="R271" i="8"/>
  <c r="R270" i="8"/>
  <c r="R267" i="8"/>
  <c r="D266" i="8"/>
  <c r="C266" i="8"/>
  <c r="D132" i="8"/>
  <c r="C132" i="8"/>
  <c r="R252" i="8"/>
  <c r="R251" i="8"/>
  <c r="R250" i="8"/>
  <c r="R247" i="8"/>
  <c r="D246" i="8"/>
  <c r="C246" i="8"/>
  <c r="R232" i="8"/>
  <c r="R231" i="8"/>
  <c r="R230" i="8"/>
  <c r="R227" i="8"/>
  <c r="R226" i="8"/>
  <c r="R225" i="8"/>
  <c r="R222" i="8"/>
  <c r="D221" i="8"/>
  <c r="C221" i="8"/>
  <c r="R211" i="8"/>
  <c r="R210" i="8"/>
  <c r="R209" i="8"/>
  <c r="R206" i="8"/>
  <c r="R205" i="8"/>
  <c r="R204" i="8"/>
  <c r="R201" i="8"/>
  <c r="D200" i="8"/>
  <c r="C200" i="8"/>
  <c r="R190" i="8"/>
  <c r="R189" i="8"/>
  <c r="R188" i="8"/>
  <c r="R185" i="8"/>
  <c r="R184" i="8"/>
  <c r="R183" i="8"/>
  <c r="R180" i="8"/>
  <c r="D179" i="8"/>
  <c r="C179" i="8"/>
  <c r="U163" i="8"/>
  <c r="U160" i="8"/>
  <c r="U159" i="8"/>
  <c r="R150" i="8"/>
  <c r="R149" i="8"/>
  <c r="R148" i="8"/>
  <c r="R167" i="8"/>
  <c r="R158" i="8"/>
  <c r="R147" i="8"/>
  <c r="R146" i="8"/>
  <c r="R145" i="8"/>
  <c r="R144" i="8"/>
  <c r="R153" i="8"/>
  <c r="R137" i="8"/>
  <c r="R133" i="8"/>
  <c r="G472" i="22"/>
  <c r="D467" i="22"/>
  <c r="G467" i="22" s="1"/>
  <c r="D462" i="22"/>
  <c r="G462" i="22" s="1"/>
  <c r="G428" i="22"/>
  <c r="G425" i="22"/>
  <c r="G421" i="22"/>
  <c r="G416" i="22"/>
  <c r="G406" i="22"/>
  <c r="G403" i="22"/>
  <c r="G400" i="22"/>
  <c r="D397" i="22"/>
  <c r="G397" i="22" s="1"/>
  <c r="G385" i="22"/>
  <c r="G380" i="22"/>
  <c r="D380" i="22"/>
  <c r="D375" i="22"/>
  <c r="G375" i="22" s="1"/>
  <c r="G368" i="22"/>
  <c r="G365" i="22"/>
  <c r="G360" i="22"/>
  <c r="G355" i="22"/>
  <c r="G343" i="22"/>
  <c r="G340" i="22"/>
  <c r="D323" i="22"/>
  <c r="G323" i="22" s="1"/>
  <c r="G320" i="22"/>
  <c r="G317" i="22"/>
  <c r="D307" i="22"/>
  <c r="G307" i="22" s="1"/>
  <c r="D302" i="22"/>
  <c r="G302" i="22" s="1"/>
  <c r="G295" i="22"/>
  <c r="G260" i="22"/>
  <c r="D257" i="22"/>
  <c r="G257" i="22" s="1"/>
  <c r="D254" i="22"/>
  <c r="G254" i="22" s="1"/>
  <c r="D251" i="22"/>
  <c r="D246" i="22"/>
  <c r="G246" i="22" s="1"/>
  <c r="D241" i="22"/>
  <c r="G241" i="22" s="1"/>
  <c r="D234" i="22"/>
  <c r="G234" i="22" s="1"/>
  <c r="D231" i="22"/>
  <c r="G231" i="22" s="1"/>
  <c r="G212" i="22"/>
  <c r="D212" i="22"/>
  <c r="G207" i="22"/>
  <c r="G193" i="22"/>
  <c r="G190" i="22"/>
  <c r="D190" i="22"/>
  <c r="D187" i="22"/>
  <c r="G187" i="22" s="1"/>
  <c r="D184" i="22"/>
  <c r="D178" i="22"/>
  <c r="G173" i="22"/>
  <c r="D152" i="22"/>
  <c r="G152" i="22" s="1"/>
  <c r="D147" i="22"/>
  <c r="G147" i="22" s="1"/>
  <c r="G140" i="22"/>
  <c r="D135" i="22"/>
  <c r="G135" i="22" s="1"/>
  <c r="G130" i="22"/>
  <c r="G127" i="22"/>
  <c r="G121" i="22"/>
  <c r="D103" i="22"/>
  <c r="G103" i="22" s="1"/>
  <c r="G100" i="22"/>
  <c r="D100" i="22"/>
  <c r="D95" i="22"/>
  <c r="G95" i="22" s="1"/>
  <c r="G90" i="22"/>
  <c r="G76" i="22"/>
  <c r="D73" i="22"/>
  <c r="G73" i="22" s="1"/>
  <c r="D70" i="22"/>
  <c r="G70" i="22" s="1"/>
  <c r="D67" i="22"/>
  <c r="D61" i="22"/>
  <c r="G46" i="22"/>
  <c r="G41" i="22"/>
  <c r="D26" i="22"/>
  <c r="G26" i="22" s="1"/>
  <c r="D21" i="22"/>
  <c r="G21" i="22" s="1"/>
  <c r="G14" i="22"/>
  <c r="A14" i="22"/>
  <c r="A19" i="22" s="1"/>
  <c r="A24" i="22" s="1"/>
  <c r="A29" i="22" s="1"/>
  <c r="A34" i="22" s="1"/>
  <c r="A39" i="22" s="1"/>
  <c r="A44" i="22" s="1"/>
  <c r="A59" i="22" s="1"/>
  <c r="A64" i="22" s="1"/>
  <c r="A67" i="22" s="1"/>
  <c r="A70" i="22" s="1"/>
  <c r="A73" i="22" s="1"/>
  <c r="A76" i="22" s="1"/>
  <c r="A79" i="22" s="1"/>
  <c r="A88" i="22" s="1"/>
  <c r="A93" i="22" s="1"/>
  <c r="A98" i="22" s="1"/>
  <c r="A103" i="22" s="1"/>
  <c r="A119" i="22" s="1"/>
  <c r="A127" i="22" s="1"/>
  <c r="A130" i="22" s="1"/>
  <c r="A133" i="22" s="1"/>
  <c r="A138" i="22" s="1"/>
  <c r="A145" i="22" s="1"/>
  <c r="A150" i="22" s="1"/>
  <c r="A155" i="22" s="1"/>
  <c r="A171" i="22" s="1"/>
  <c r="A176" i="22" s="1"/>
  <c r="A181" i="22" s="1"/>
  <c r="A184" i="22" s="1"/>
  <c r="A187" i="22" s="1"/>
  <c r="A190" i="22" s="1"/>
  <c r="A193" i="22" s="1"/>
  <c r="A196" i="22" s="1"/>
  <c r="A205" i="22" s="1"/>
  <c r="A210" i="22" s="1"/>
  <c r="A229" i="22" s="1"/>
  <c r="A234" i="22" s="1"/>
  <c r="A239" i="22" s="1"/>
  <c r="A244" i="22" s="1"/>
  <c r="A249" i="22" s="1"/>
  <c r="A254" i="22" s="1"/>
  <c r="A257" i="22" s="1"/>
  <c r="A260" i="22" s="1"/>
  <c r="A292" i="22" s="1"/>
  <c r="A295" i="22" s="1"/>
  <c r="A300" i="22" s="1"/>
  <c r="A305" i="22" s="1"/>
  <c r="A310" i="22" s="1"/>
  <c r="A315" i="22" s="1"/>
  <c r="A320" i="22" s="1"/>
  <c r="A323" i="22" s="1"/>
  <c r="A340" i="22" s="1"/>
  <c r="A343" i="22" s="1"/>
  <c r="A346" i="22" s="1"/>
  <c r="A353" i="22" s="1"/>
  <c r="A358" i="22" s="1"/>
  <c r="A363" i="22" s="1"/>
  <c r="A368" i="22" s="1"/>
  <c r="A373" i="22" s="1"/>
  <c r="A378" i="22" s="1"/>
  <c r="A383" i="22" s="1"/>
  <c r="A397" i="22" s="1"/>
  <c r="A400" i="22" s="1"/>
  <c r="A403" i="22" s="1"/>
  <c r="A406" i="22" s="1"/>
  <c r="A409" i="22" s="1"/>
  <c r="A414" i="22" s="1"/>
  <c r="A419" i="22" s="1"/>
  <c r="A423" i="22" s="1"/>
  <c r="A428" i="22" s="1"/>
  <c r="A460" i="22" s="1"/>
  <c r="A465" i="22" s="1"/>
  <c r="A470" i="22" s="1"/>
  <c r="D131" i="8"/>
  <c r="D178" i="8"/>
  <c r="D265" i="8"/>
  <c r="D245" i="8"/>
  <c r="D220" i="8"/>
  <c r="D199" i="8"/>
  <c r="AM604" i="8" l="1"/>
  <c r="R164" i="8"/>
  <c r="U164" i="8"/>
  <c r="R161" i="8"/>
  <c r="U161" i="8"/>
  <c r="R162" i="8"/>
  <c r="U162" i="8"/>
  <c r="R165" i="8"/>
  <c r="U165" i="8"/>
  <c r="R2792" i="8"/>
  <c r="R2830" i="8"/>
  <c r="R2833" i="8" s="1"/>
  <c r="R2528" i="8"/>
  <c r="AM2509" i="8" s="1"/>
  <c r="R2131" i="8"/>
  <c r="AM2114" i="8" s="1"/>
  <c r="R1953" i="8"/>
  <c r="AM1934" i="8" s="1"/>
  <c r="R2586" i="8"/>
  <c r="AM2567" i="8" s="1"/>
  <c r="R2711" i="8"/>
  <c r="R1560" i="8"/>
  <c r="AM1537" i="8" s="1"/>
  <c r="R2737" i="8"/>
  <c r="R1531" i="8"/>
  <c r="AM1506" i="8" s="1"/>
  <c r="R1477" i="8"/>
  <c r="AM1452" i="8" s="1"/>
  <c r="R813" i="8"/>
  <c r="AM793" i="8" s="1"/>
  <c r="R1504" i="8"/>
  <c r="AM1479" i="8" s="1"/>
  <c r="R1587" i="8"/>
  <c r="AM1562" i="8" s="1"/>
  <c r="R855" i="8"/>
  <c r="AM832" i="8" s="1"/>
  <c r="R769" i="8"/>
  <c r="AM749" i="8" s="1"/>
  <c r="R907" i="8"/>
  <c r="R910" i="8" s="1"/>
  <c r="R882" i="8"/>
  <c r="R791" i="8"/>
  <c r="AM771" i="8" s="1"/>
  <c r="R743" i="8"/>
  <c r="AM718" i="8" s="1"/>
  <c r="R686" i="8"/>
  <c r="AM666" i="8" s="1"/>
  <c r="R708" i="8"/>
  <c r="AM688" i="8" s="1"/>
  <c r="R664" i="8"/>
  <c r="AM644" i="8" s="1"/>
  <c r="R638" i="8"/>
  <c r="AM622" i="8" s="1"/>
  <c r="R602" i="8"/>
  <c r="R574" i="8"/>
  <c r="R577" i="8" s="1"/>
  <c r="R381" i="8"/>
  <c r="R354" i="8"/>
  <c r="R253" i="8"/>
  <c r="R332" i="8"/>
  <c r="R445" i="8"/>
  <c r="R327" i="8"/>
  <c r="R386" i="8"/>
  <c r="R359" i="8"/>
  <c r="R399" i="8"/>
  <c r="R322" i="8"/>
  <c r="R349" i="8"/>
  <c r="R400" i="8"/>
  <c r="R376" i="8"/>
  <c r="R402" i="8"/>
  <c r="R397" i="8"/>
  <c r="R403" i="8"/>
  <c r="R280" i="8"/>
  <c r="R283" i="8"/>
  <c r="R299" i="8"/>
  <c r="R294" i="8"/>
  <c r="R285" i="8"/>
  <c r="R297" i="8"/>
  <c r="R300" i="8"/>
  <c r="R273" i="8"/>
  <c r="R186" i="8"/>
  <c r="R228" i="8"/>
  <c r="R191" i="8"/>
  <c r="R233" i="8"/>
  <c r="R207" i="8"/>
  <c r="R212" i="8"/>
  <c r="R159" i="8"/>
  <c r="R160" i="8"/>
  <c r="R163" i="8"/>
  <c r="R151" i="8"/>
  <c r="R138" i="8"/>
  <c r="G503" i="22"/>
  <c r="F66" i="35" s="1"/>
  <c r="AM2808" i="8" l="1"/>
  <c r="R2795" i="8"/>
  <c r="AM2764" i="8"/>
  <c r="AM893" i="8"/>
  <c r="AM586" i="8"/>
  <c r="R885" i="8"/>
  <c r="AM857" i="8"/>
  <c r="AM559" i="8"/>
  <c r="AM2717" i="8"/>
  <c r="AM2691" i="8"/>
  <c r="R361" i="8"/>
  <c r="AM336" i="8" s="1"/>
  <c r="R388" i="8"/>
  <c r="AM363" i="8" s="1"/>
  <c r="R334" i="8"/>
  <c r="AM309" i="8" s="1"/>
  <c r="AM415" i="8"/>
  <c r="R406" i="8"/>
  <c r="R289" i="8"/>
  <c r="R303" i="8"/>
  <c r="R168" i="8"/>
  <c r="R154" i="8"/>
  <c r="R31" i="8"/>
  <c r="R25" i="8"/>
  <c r="AM291" i="8" l="1"/>
  <c r="AM277" i="8"/>
  <c r="AM394" i="8"/>
  <c r="AM156" i="8"/>
  <c r="AM142" i="8"/>
  <c r="R32" i="8"/>
  <c r="R33" i="8" s="1"/>
  <c r="AM29" i="8" s="1"/>
  <c r="T3" i="1" l="1"/>
  <c r="T4" i="1"/>
  <c r="T2" i="1"/>
  <c r="R53" i="8"/>
  <c r="D3225" i="8" l="1"/>
  <c r="R140" i="11"/>
  <c r="S139" i="11"/>
  <c r="Q125" i="11"/>
  <c r="C125" i="11"/>
  <c r="C124" i="11"/>
  <c r="C123" i="11"/>
  <c r="Q122" i="11"/>
  <c r="C122" i="11"/>
  <c r="Q121" i="11"/>
  <c r="C121" i="11"/>
  <c r="Q120" i="11"/>
  <c r="C120" i="11"/>
  <c r="C119" i="11"/>
  <c r="I25" i="1" l="1"/>
  <c r="G24" i="1"/>
  <c r="H24" i="1"/>
  <c r="I24" i="1"/>
  <c r="J24" i="1"/>
  <c r="G25" i="1"/>
  <c r="H25" i="1"/>
  <c r="J25" i="1"/>
  <c r="G26" i="1"/>
  <c r="H26" i="1"/>
  <c r="I26" i="1"/>
  <c r="J26" i="1"/>
  <c r="G27" i="1"/>
  <c r="H27" i="1"/>
  <c r="I27" i="1"/>
  <c r="J27" i="1"/>
  <c r="G28" i="1"/>
  <c r="H28" i="1"/>
  <c r="I28" i="1"/>
  <c r="J28" i="1"/>
  <c r="G29" i="1"/>
  <c r="H29" i="1"/>
  <c r="I29" i="1"/>
  <c r="J29" i="1"/>
  <c r="G30" i="1"/>
  <c r="H30" i="1"/>
  <c r="I30" i="1"/>
  <c r="J30" i="1"/>
  <c r="G31" i="1"/>
  <c r="H31" i="1"/>
  <c r="I31" i="1"/>
  <c r="J31" i="1"/>
  <c r="G32" i="1"/>
  <c r="H32" i="1"/>
  <c r="I32" i="1"/>
  <c r="J32" i="1"/>
  <c r="D3231" i="8" l="1"/>
  <c r="D3230" i="8"/>
  <c r="D3229" i="8"/>
  <c r="D3228" i="8"/>
  <c r="D3227" i="8"/>
  <c r="D3226" i="8"/>
  <c r="D3224" i="8"/>
  <c r="D3223" i="8"/>
  <c r="D3222" i="8"/>
  <c r="D3221" i="8"/>
  <c r="D3220" i="8"/>
  <c r="D3219" i="8"/>
  <c r="D3218" i="8"/>
  <c r="D3217" i="8"/>
  <c r="D3216" i="8"/>
  <c r="D3215" i="8"/>
  <c r="R225" i="11"/>
  <c r="R214" i="11"/>
  <c r="R207" i="11"/>
  <c r="R167" i="11"/>
  <c r="Q152" i="11"/>
  <c r="C152" i="11"/>
  <c r="C151" i="11"/>
  <c r="C150" i="11"/>
  <c r="Q149" i="11"/>
  <c r="C149" i="11"/>
  <c r="Q148" i="11"/>
  <c r="C148" i="11"/>
  <c r="Q147" i="11"/>
  <c r="C147" i="11"/>
  <c r="C146" i="11"/>
  <c r="R193" i="11"/>
  <c r="Q178" i="11"/>
  <c r="C178" i="11"/>
  <c r="C177" i="11"/>
  <c r="C176" i="11"/>
  <c r="Q175" i="11"/>
  <c r="C175" i="11"/>
  <c r="Q174" i="11"/>
  <c r="C174" i="11"/>
  <c r="Q173" i="11"/>
  <c r="C173" i="11"/>
  <c r="C172" i="11"/>
  <c r="R200" i="11" l="1"/>
  <c r="E180" i="27" l="1"/>
  <c r="E178" i="27"/>
  <c r="E176" i="27"/>
  <c r="E174" i="27"/>
  <c r="E126" i="27"/>
  <c r="E124" i="27"/>
  <c r="E122" i="27"/>
  <c r="E120" i="27"/>
  <c r="E118" i="27"/>
  <c r="E116" i="27"/>
  <c r="E85" i="27"/>
  <c r="E83" i="27"/>
  <c r="E81" i="27"/>
  <c r="E79" i="27"/>
  <c r="E77" i="27"/>
  <c r="E75" i="27"/>
  <c r="E73" i="27"/>
  <c r="E71" i="27"/>
  <c r="E69" i="27"/>
  <c r="E67" i="27"/>
  <c r="E62" i="27"/>
  <c r="E60" i="27"/>
  <c r="E41" i="27"/>
  <c r="E39" i="27"/>
  <c r="E37" i="27"/>
  <c r="E32" i="27"/>
  <c r="E30" i="27"/>
  <c r="E28" i="27"/>
  <c r="E26" i="27"/>
  <c r="E24" i="27"/>
  <c r="R70" i="11" l="1"/>
  <c r="R61" i="11"/>
  <c r="R52" i="11"/>
  <c r="D113" i="8"/>
  <c r="C113" i="8"/>
  <c r="D94" i="8"/>
  <c r="C94" i="8"/>
  <c r="R104" i="11"/>
  <c r="D93" i="8"/>
  <c r="D112" i="8"/>
  <c r="R114" i="11" l="1"/>
  <c r="R94" i="11"/>
  <c r="Q93" i="11"/>
  <c r="A93" i="11"/>
  <c r="Q92" i="11"/>
  <c r="A92" i="11"/>
  <c r="A91" i="11"/>
  <c r="R91" i="11" s="1"/>
  <c r="Q90" i="11"/>
  <c r="A90" i="11"/>
  <c r="A89" i="11"/>
  <c r="R89" i="11" s="1"/>
  <c r="Q88" i="11"/>
  <c r="A88" i="11"/>
  <c r="Q87" i="11"/>
  <c r="A87" i="11"/>
  <c r="R86" i="11"/>
  <c r="R81" i="11"/>
  <c r="A80" i="11"/>
  <c r="R80" i="11" s="1"/>
  <c r="A79" i="11"/>
  <c r="R79" i="11" s="1"/>
  <c r="A78" i="11"/>
  <c r="R78" i="11" s="1"/>
  <c r="A77" i="11"/>
  <c r="R77" i="11" s="1"/>
  <c r="Q76" i="11"/>
  <c r="A76" i="11"/>
  <c r="Q75" i="11"/>
  <c r="A75" i="11"/>
  <c r="R76" i="11" l="1"/>
  <c r="R90" i="11"/>
  <c r="R87" i="11"/>
  <c r="R93" i="11"/>
  <c r="R75" i="11"/>
  <c r="R92" i="11"/>
  <c r="R88" i="11"/>
  <c r="R82" i="11" l="1"/>
  <c r="R95" i="11"/>
  <c r="A67" i="8" l="1"/>
  <c r="A66" i="8"/>
  <c r="A60" i="8"/>
  <c r="R67" i="8" l="1"/>
  <c r="R25" i="11"/>
  <c r="R34" i="11"/>
  <c r="A68" i="8" l="1"/>
  <c r="R66" i="8"/>
  <c r="A65" i="8"/>
  <c r="R65" i="8" s="1"/>
  <c r="A64" i="8"/>
  <c r="R63" i="8"/>
  <c r="A62" i="8"/>
  <c r="R62" i="8" s="1"/>
  <c r="A61" i="8"/>
  <c r="R60" i="8"/>
  <c r="A59" i="8"/>
  <c r="R59" i="8" s="1"/>
  <c r="A58" i="8"/>
  <c r="R58" i="8" s="1"/>
  <c r="R98" i="8"/>
  <c r="R61" i="8" l="1"/>
  <c r="R64" i="8"/>
  <c r="R68" i="8"/>
  <c r="E361" i="24"/>
  <c r="E359" i="24"/>
  <c r="E36" i="24"/>
  <c r="E34" i="24"/>
  <c r="E32" i="24"/>
  <c r="T3148" i="8" l="1"/>
  <c r="R3148" i="8"/>
  <c r="F3148" i="8"/>
  <c r="T3139" i="8"/>
  <c r="T32" i="1" s="1"/>
  <c r="R3139" i="8"/>
  <c r="R32" i="1" s="1"/>
  <c r="F3139" i="8"/>
  <c r="F32" i="1" s="1"/>
  <c r="T3138" i="8"/>
  <c r="T31" i="1" s="1"/>
  <c r="R3138" i="8"/>
  <c r="R31" i="1" s="1"/>
  <c r="F3138" i="8"/>
  <c r="F31" i="1" s="1"/>
  <c r="T3137" i="8"/>
  <c r="T30" i="1" s="1"/>
  <c r="R3137" i="8"/>
  <c r="R30" i="1" s="1"/>
  <c r="F3137" i="8"/>
  <c r="F30" i="1" s="1"/>
  <c r="T3136" i="8"/>
  <c r="T29" i="1" s="1"/>
  <c r="R3136" i="8"/>
  <c r="R29" i="1" s="1"/>
  <c r="F3136" i="8"/>
  <c r="F29" i="1" s="1"/>
  <c r="T3135" i="8"/>
  <c r="T28" i="1" s="1"/>
  <c r="R3135" i="8"/>
  <c r="R28" i="1" s="1"/>
  <c r="F3135" i="8"/>
  <c r="F28" i="1" s="1"/>
  <c r="T3134" i="8"/>
  <c r="T27" i="1" s="1"/>
  <c r="R3134" i="8"/>
  <c r="R27" i="1" s="1"/>
  <c r="F3134" i="8"/>
  <c r="F27" i="1" s="1"/>
  <c r="R3133" i="8"/>
  <c r="R26" i="1" s="1"/>
  <c r="R118" i="8"/>
  <c r="R114" i="8"/>
  <c r="R99" i="8"/>
  <c r="R100" i="8" s="1"/>
  <c r="R95" i="8"/>
  <c r="R80" i="8"/>
  <c r="R79" i="8"/>
  <c r="R78" i="8"/>
  <c r="R75" i="8"/>
  <c r="R74" i="8"/>
  <c r="R73" i="8"/>
  <c r="R70" i="8"/>
  <c r="R57" i="8"/>
  <c r="R26" i="8"/>
  <c r="R119" i="8" l="1"/>
  <c r="R27" i="8"/>
  <c r="R71" i="8"/>
  <c r="R81" i="8"/>
  <c r="R76" i="8"/>
  <c r="F16" i="21"/>
  <c r="A16" i="21"/>
  <c r="A19" i="21" s="1"/>
  <c r="A21" i="21" s="1"/>
  <c r="R83" i="8" l="1"/>
  <c r="R3131" i="8"/>
  <c r="R24" i="1" s="1"/>
  <c r="R36" i="8"/>
  <c r="AM23" i="8"/>
  <c r="F14" i="29"/>
  <c r="F158" i="28"/>
  <c r="F1136" i="27"/>
  <c r="F1133" i="27"/>
  <c r="F1131" i="27"/>
  <c r="F1129" i="27"/>
  <c r="F1127" i="27"/>
  <c r="F1077" i="27"/>
  <c r="F1075" i="27"/>
  <c r="F1073" i="27"/>
  <c r="F1071" i="27"/>
  <c r="F1069" i="27"/>
  <c r="F1067" i="27"/>
  <c r="F1025" i="27"/>
  <c r="F1023" i="27"/>
  <c r="F1021" i="27"/>
  <c r="F1019" i="27"/>
  <c r="F1017" i="27"/>
  <c r="F1015" i="27"/>
  <c r="F1013" i="27"/>
  <c r="F1011" i="27"/>
  <c r="F1009" i="27"/>
  <c r="F1007" i="27"/>
  <c r="F963" i="27"/>
  <c r="F961" i="27"/>
  <c r="F959" i="27"/>
  <c r="F957" i="27"/>
  <c r="F955" i="27"/>
  <c r="F953" i="27"/>
  <c r="F951" i="27"/>
  <c r="F949" i="27"/>
  <c r="F947" i="27"/>
  <c r="F893" i="27"/>
  <c r="F891" i="27"/>
  <c r="F889" i="27"/>
  <c r="F887" i="27"/>
  <c r="F837" i="27"/>
  <c r="F835" i="27"/>
  <c r="F833" i="27"/>
  <c r="F831" i="27"/>
  <c r="F829" i="27"/>
  <c r="F827" i="27"/>
  <c r="F785" i="27"/>
  <c r="F783" i="27"/>
  <c r="F781" i="27"/>
  <c r="F779" i="27"/>
  <c r="F777" i="27"/>
  <c r="F775" i="27"/>
  <c r="F773" i="27"/>
  <c r="F771" i="27"/>
  <c r="F769" i="27"/>
  <c r="F767" i="27"/>
  <c r="F723" i="27"/>
  <c r="F721" i="27"/>
  <c r="F719" i="27"/>
  <c r="F717" i="27"/>
  <c r="F715" i="27"/>
  <c r="F713" i="27"/>
  <c r="F711" i="27"/>
  <c r="F709" i="27"/>
  <c r="F707" i="27"/>
  <c r="F653" i="27"/>
  <c r="F651" i="27"/>
  <c r="F649" i="27"/>
  <c r="F647" i="27"/>
  <c r="F598" i="27"/>
  <c r="F596" i="27"/>
  <c r="F594" i="27"/>
  <c r="F592" i="27"/>
  <c r="F590" i="27"/>
  <c r="F588" i="27"/>
  <c r="F546" i="27"/>
  <c r="F544" i="27"/>
  <c r="F542" i="27"/>
  <c r="F540" i="27"/>
  <c r="F538" i="27"/>
  <c r="F536" i="27"/>
  <c r="F534" i="27"/>
  <c r="F532" i="27"/>
  <c r="F530" i="27"/>
  <c r="F528" i="27"/>
  <c r="F484" i="27"/>
  <c r="F482" i="27"/>
  <c r="F480" i="27"/>
  <c r="F478" i="27"/>
  <c r="F476" i="27"/>
  <c r="F474" i="27"/>
  <c r="F472" i="27"/>
  <c r="F470" i="27"/>
  <c r="F468" i="27"/>
  <c r="F415" i="27"/>
  <c r="F413" i="27"/>
  <c r="F411" i="27"/>
  <c r="F409" i="27"/>
  <c r="F360" i="27"/>
  <c r="F358" i="27"/>
  <c r="F356" i="27"/>
  <c r="F354" i="27"/>
  <c r="F352" i="27"/>
  <c r="F350" i="27"/>
  <c r="F309" i="27"/>
  <c r="F307" i="27"/>
  <c r="F305" i="27"/>
  <c r="F303" i="27"/>
  <c r="F301" i="27"/>
  <c r="F299" i="27"/>
  <c r="F297" i="27"/>
  <c r="F295" i="27"/>
  <c r="F293" i="27"/>
  <c r="F291" i="27"/>
  <c r="F248" i="27"/>
  <c r="F246" i="27"/>
  <c r="F244" i="27"/>
  <c r="F242" i="27"/>
  <c r="F240" i="27"/>
  <c r="F238" i="27"/>
  <c r="F236" i="27"/>
  <c r="F234" i="27"/>
  <c r="F232" i="27"/>
  <c r="F19" i="27"/>
  <c r="F17" i="27"/>
  <c r="F15" i="27"/>
  <c r="F13" i="27"/>
  <c r="F180" i="25"/>
  <c r="F178" i="25"/>
  <c r="F176" i="25"/>
  <c r="F174" i="25"/>
  <c r="F128" i="25"/>
  <c r="F126" i="25"/>
  <c r="F124" i="25"/>
  <c r="F122" i="25"/>
  <c r="F120" i="25"/>
  <c r="F118" i="25"/>
  <c r="F80" i="25"/>
  <c r="F78" i="25"/>
  <c r="F76" i="25"/>
  <c r="F74" i="25"/>
  <c r="F72" i="25"/>
  <c r="F70" i="25"/>
  <c r="F68" i="25"/>
  <c r="F66" i="25"/>
  <c r="F64" i="25"/>
  <c r="F62" i="25"/>
  <c r="F33" i="25"/>
  <c r="F31" i="25"/>
  <c r="F29" i="25"/>
  <c r="F27" i="25"/>
  <c r="F25" i="25"/>
  <c r="F20" i="25"/>
  <c r="F18" i="25"/>
  <c r="F16" i="25"/>
  <c r="F14" i="25"/>
  <c r="C404" i="24"/>
  <c r="F404" i="24" s="1"/>
  <c r="F399" i="24"/>
  <c r="F394" i="24"/>
  <c r="C381" i="24"/>
  <c r="F381" i="24" s="1"/>
  <c r="C376" i="24"/>
  <c r="F376" i="24" s="1"/>
  <c r="F371" i="24"/>
  <c r="C366" i="24"/>
  <c r="F366" i="24" s="1"/>
  <c r="C354" i="24"/>
  <c r="F354" i="24" s="1"/>
  <c r="C349" i="24"/>
  <c r="F349" i="24" s="1"/>
  <c r="F344" i="24"/>
  <c r="F341" i="24"/>
  <c r="F326" i="24"/>
  <c r="C321" i="24"/>
  <c r="F321" i="24" s="1"/>
  <c r="F308" i="24"/>
  <c r="C303" i="24"/>
  <c r="F303" i="24" s="1"/>
  <c r="C300" i="24"/>
  <c r="F300" i="24" s="1"/>
  <c r="F296" i="24"/>
  <c r="C293" i="24"/>
  <c r="F293" i="24" s="1"/>
  <c r="C288" i="24"/>
  <c r="F288" i="24" s="1"/>
  <c r="C267" i="24"/>
  <c r="F267" i="24" s="1"/>
  <c r="C262" i="24"/>
  <c r="F262" i="24" s="1"/>
  <c r="C251" i="24"/>
  <c r="F251" i="24" s="1"/>
  <c r="C248" i="24"/>
  <c r="F248" i="24" s="1"/>
  <c r="C245" i="24"/>
  <c r="F245" i="24" s="1"/>
  <c r="C241" i="24"/>
  <c r="F241" i="24" s="1"/>
  <c r="C236" i="24"/>
  <c r="F236" i="24" s="1"/>
  <c r="C231" i="24"/>
  <c r="F231" i="24" s="1"/>
  <c r="C219" i="24"/>
  <c r="F219" i="24" s="1"/>
  <c r="F214" i="24"/>
  <c r="F209" i="24"/>
  <c r="F196" i="24"/>
  <c r="F191" i="24"/>
  <c r="F186" i="24"/>
  <c r="C183" i="24"/>
  <c r="F183" i="24" s="1"/>
  <c r="F178" i="24"/>
  <c r="F165" i="24"/>
  <c r="C160" i="24"/>
  <c r="F160" i="24" s="1"/>
  <c r="F155" i="24"/>
  <c r="F150" i="24"/>
  <c r="F140" i="24"/>
  <c r="F137" i="24"/>
  <c r="F134" i="24"/>
  <c r="F128" i="24"/>
  <c r="C69" i="24"/>
  <c r="F69" i="24" s="1"/>
  <c r="C66" i="24"/>
  <c r="F66" i="24" s="1"/>
  <c r="C51" i="24"/>
  <c r="F51" i="24" s="1"/>
  <c r="C46" i="24"/>
  <c r="F46" i="24" s="1"/>
  <c r="C41" i="24"/>
  <c r="F41" i="24" s="1"/>
  <c r="C27" i="24"/>
  <c r="F27" i="24" s="1"/>
  <c r="C24" i="24"/>
  <c r="F24" i="24" s="1"/>
  <c r="C16" i="24"/>
  <c r="F16" i="24" s="1"/>
  <c r="C11" i="24"/>
  <c r="F11" i="24" s="1"/>
  <c r="A15" i="23"/>
  <c r="F12" i="23"/>
  <c r="F11" i="21"/>
  <c r="AM53" i="8" l="1"/>
  <c r="F116" i="24"/>
  <c r="F444" i="24"/>
  <c r="F1177" i="27"/>
  <c r="F164" i="25"/>
  <c r="F637" i="27"/>
  <c r="F52" i="25"/>
  <c r="F340" i="27"/>
  <c r="F578" i="27"/>
  <c r="F108" i="25"/>
  <c r="F281" i="27"/>
  <c r="F458" i="27"/>
  <c r="F518" i="27"/>
  <c r="F997" i="27"/>
  <c r="F1057" i="27"/>
  <c r="F757" i="27"/>
  <c r="F877" i="27"/>
  <c r="F1117" i="27"/>
  <c r="F399" i="27"/>
  <c r="F697" i="27"/>
  <c r="F817" i="27"/>
  <c r="F937" i="27"/>
  <c r="F386" i="24"/>
  <c r="F333" i="24"/>
  <c r="R43" i="11" l="1"/>
  <c r="F21" i="18" l="1"/>
  <c r="D7" i="18" l="1"/>
  <c r="D8" i="18"/>
  <c r="D9" i="18"/>
  <c r="D10" i="18"/>
  <c r="D6" i="18"/>
  <c r="A1" i="18" l="1"/>
  <c r="A2" i="18" l="1"/>
  <c r="D5" i="18" s="1"/>
  <c r="S5" i="18"/>
  <c r="A31" i="1" l="1"/>
  <c r="A28" i="1"/>
  <c r="T1" i="8"/>
  <c r="T2" i="8"/>
  <c r="J23" i="1"/>
  <c r="H23" i="1"/>
  <c r="S2" i="8"/>
  <c r="S12" i="11"/>
  <c r="T12" i="11"/>
  <c r="F1" i="11"/>
  <c r="S12" i="8"/>
  <c r="T12" i="8"/>
  <c r="F1" i="8"/>
  <c r="O6" i="1"/>
  <c r="B18" i="1"/>
  <c r="Q1" i="1"/>
  <c r="E36" i="1" s="1"/>
  <c r="C11" i="1"/>
  <c r="S1" i="1"/>
  <c r="S1" i="11" s="1"/>
  <c r="C2" i="1"/>
  <c r="T13" i="1"/>
  <c r="T1" i="11"/>
  <c r="S2" i="11"/>
  <c r="F77" i="1"/>
  <c r="T235" i="11"/>
  <c r="T3152" i="8" s="1"/>
  <c r="T236" i="11"/>
  <c r="T3153" i="8" s="1"/>
  <c r="T237" i="11"/>
  <c r="T3154" i="8" s="1"/>
  <c r="T238" i="11"/>
  <c r="T239" i="11"/>
  <c r="T240" i="11"/>
  <c r="T241" i="11"/>
  <c r="T248" i="11"/>
  <c r="T249" i="11"/>
  <c r="T250" i="11"/>
  <c r="T251" i="11"/>
  <c r="T3168" i="8" s="1"/>
  <c r="T252" i="11"/>
  <c r="T253" i="11"/>
  <c r="T254" i="11"/>
  <c r="T256" i="11"/>
  <c r="T257" i="11"/>
  <c r="T258" i="11"/>
  <c r="T259" i="11"/>
  <c r="T260" i="11"/>
  <c r="T261" i="11"/>
  <c r="T262" i="11"/>
  <c r="T263" i="11"/>
  <c r="T264" i="11"/>
  <c r="T265" i="11"/>
  <c r="T266" i="11"/>
  <c r="T267" i="11"/>
  <c r="T268" i="11"/>
  <c r="T269" i="11"/>
  <c r="T270" i="11"/>
  <c r="T271" i="11"/>
  <c r="T272" i="11"/>
  <c r="T273" i="11"/>
  <c r="T274" i="11"/>
  <c r="T275" i="11"/>
  <c r="T276" i="11"/>
  <c r="T277" i="11"/>
  <c r="T278" i="11"/>
  <c r="T279" i="11"/>
  <c r="T3196" i="8" s="1"/>
  <c r="T281" i="11"/>
  <c r="T282" i="11"/>
  <c r="T284" i="11"/>
  <c r="T285" i="11"/>
  <c r="T286" i="11"/>
  <c r="T287" i="11"/>
  <c r="T288" i="11"/>
  <c r="T289" i="11"/>
  <c r="R235" i="11"/>
  <c r="R236" i="11"/>
  <c r="R3153" i="8" s="1"/>
  <c r="R237" i="11"/>
  <c r="R238" i="11"/>
  <c r="R239" i="11"/>
  <c r="R240" i="11"/>
  <c r="R241" i="11"/>
  <c r="R248" i="11"/>
  <c r="R3165" i="8" s="1"/>
  <c r="R249" i="11"/>
  <c r="R250" i="11"/>
  <c r="R251" i="11"/>
  <c r="R252" i="11"/>
  <c r="R253" i="11"/>
  <c r="R254" i="11"/>
  <c r="R256" i="11"/>
  <c r="R257" i="11"/>
  <c r="R3174" i="8" s="1"/>
  <c r="R258" i="11"/>
  <c r="R259" i="11"/>
  <c r="R260" i="11"/>
  <c r="R3177" i="8" s="1"/>
  <c r="R261" i="11"/>
  <c r="R262" i="11"/>
  <c r="R263" i="11"/>
  <c r="R264" i="11"/>
  <c r="R265" i="11"/>
  <c r="R266" i="11"/>
  <c r="R267" i="11"/>
  <c r="R268" i="11"/>
  <c r="R269" i="11"/>
  <c r="R270" i="11"/>
  <c r="R271" i="11"/>
  <c r="R272" i="11"/>
  <c r="R273" i="11"/>
  <c r="R274" i="11"/>
  <c r="R275" i="11"/>
  <c r="R276" i="11"/>
  <c r="R277" i="11"/>
  <c r="R278" i="11"/>
  <c r="R279" i="11"/>
  <c r="R281" i="11"/>
  <c r="R282" i="11"/>
  <c r="R284" i="11"/>
  <c r="R285" i="11"/>
  <c r="R286" i="11"/>
  <c r="R287" i="11"/>
  <c r="R288" i="11"/>
  <c r="R289" i="11"/>
  <c r="C3" i="1"/>
  <c r="C3" i="8" s="1"/>
  <c r="C4" i="1"/>
  <c r="C5" i="1"/>
  <c r="C6" i="1"/>
  <c r="C7" i="1"/>
  <c r="C8" i="1"/>
  <c r="C9" i="1"/>
  <c r="C10" i="1"/>
  <c r="C12" i="1"/>
  <c r="C12" i="8" s="1"/>
  <c r="Q12" i="11"/>
  <c r="F12" i="11"/>
  <c r="T11" i="11"/>
  <c r="S11" i="11"/>
  <c r="Q11" i="11"/>
  <c r="F11" i="11"/>
  <c r="T10" i="11"/>
  <c r="S10" i="11"/>
  <c r="Q10" i="11"/>
  <c r="O10" i="1"/>
  <c r="O10" i="11" s="1"/>
  <c r="N10" i="1"/>
  <c r="N10" i="8" s="1"/>
  <c r="M10" i="1"/>
  <c r="M10" i="11" s="1"/>
  <c r="L10" i="1"/>
  <c r="L10" i="11" s="1"/>
  <c r="K10" i="1"/>
  <c r="K10" i="11" s="1"/>
  <c r="J10" i="1"/>
  <c r="J10" i="11" s="1"/>
  <c r="F10" i="11"/>
  <c r="T9" i="11"/>
  <c r="S9" i="11"/>
  <c r="Q9" i="11"/>
  <c r="O9" i="11"/>
  <c r="N9" i="1"/>
  <c r="N9" i="11" s="1"/>
  <c r="M9" i="1"/>
  <c r="M9" i="8" s="1"/>
  <c r="M9" i="11"/>
  <c r="L9" i="1"/>
  <c r="L9" i="11" s="1"/>
  <c r="K9" i="1"/>
  <c r="K9" i="11" s="1"/>
  <c r="J9" i="1"/>
  <c r="J9" i="11" s="1"/>
  <c r="F9" i="11"/>
  <c r="D9" i="11"/>
  <c r="T8" i="11"/>
  <c r="S8" i="11"/>
  <c r="Q8" i="11"/>
  <c r="O8" i="11"/>
  <c r="N8" i="1"/>
  <c r="M8" i="1"/>
  <c r="M8" i="11" s="1"/>
  <c r="L8" i="1"/>
  <c r="L8" i="11" s="1"/>
  <c r="K8" i="1"/>
  <c r="K8" i="11" s="1"/>
  <c r="J8" i="1"/>
  <c r="F8" i="11"/>
  <c r="D8" i="11"/>
  <c r="T7" i="11"/>
  <c r="S7" i="11"/>
  <c r="Q7" i="11"/>
  <c r="O7" i="11"/>
  <c r="N7" i="1"/>
  <c r="N7" i="11" s="1"/>
  <c r="M7" i="1"/>
  <c r="M7" i="11" s="1"/>
  <c r="L7" i="1"/>
  <c r="L7" i="11" s="1"/>
  <c r="K7" i="1"/>
  <c r="K7" i="11" s="1"/>
  <c r="J7" i="1"/>
  <c r="J7" i="11" s="1"/>
  <c r="F7" i="11"/>
  <c r="C7" i="11"/>
  <c r="T6" i="11"/>
  <c r="S6" i="11"/>
  <c r="Q6" i="11"/>
  <c r="O6" i="11"/>
  <c r="N6" i="1"/>
  <c r="N6" i="11" s="1"/>
  <c r="M6" i="1"/>
  <c r="M6" i="11" s="1"/>
  <c r="L6" i="1"/>
  <c r="L6" i="11" s="1"/>
  <c r="K6" i="1"/>
  <c r="K6" i="11" s="1"/>
  <c r="J6" i="1"/>
  <c r="J6" i="11" s="1"/>
  <c r="F6" i="11"/>
  <c r="D6" i="11"/>
  <c r="T5" i="11"/>
  <c r="S5" i="11"/>
  <c r="Q5" i="11"/>
  <c r="O5" i="1"/>
  <c r="O5" i="8" s="1"/>
  <c r="N5" i="1"/>
  <c r="N5" i="11" s="1"/>
  <c r="M5" i="1"/>
  <c r="M5" i="11" s="1"/>
  <c r="L5" i="1"/>
  <c r="L5" i="8" s="1"/>
  <c r="K5" i="1"/>
  <c r="K5" i="11" s="1"/>
  <c r="J5" i="1"/>
  <c r="J5" i="8" s="1"/>
  <c r="F5" i="11"/>
  <c r="D5" i="11"/>
  <c r="T4" i="11"/>
  <c r="S4" i="11"/>
  <c r="Q4" i="11"/>
  <c r="O4" i="1"/>
  <c r="O4" i="11" s="1"/>
  <c r="N4" i="1"/>
  <c r="N4" i="11" s="1"/>
  <c r="M4" i="1"/>
  <c r="M4" i="11" s="1"/>
  <c r="L4" i="1"/>
  <c r="L4" i="11" s="1"/>
  <c r="K4" i="1"/>
  <c r="K4" i="8" s="1"/>
  <c r="J4" i="1"/>
  <c r="J4" i="11" s="1"/>
  <c r="F4" i="11"/>
  <c r="D4" i="11"/>
  <c r="T3" i="11"/>
  <c r="S3" i="11"/>
  <c r="Q3" i="11"/>
  <c r="O3" i="1"/>
  <c r="O3" i="11" s="1"/>
  <c r="N3" i="1"/>
  <c r="N3" i="8" s="1"/>
  <c r="M3" i="1"/>
  <c r="M3" i="11" s="1"/>
  <c r="L3" i="1"/>
  <c r="L3" i="11" s="1"/>
  <c r="K3" i="1"/>
  <c r="K3" i="11" s="1"/>
  <c r="J3" i="1"/>
  <c r="J3" i="11" s="1"/>
  <c r="F3" i="11"/>
  <c r="D3" i="11"/>
  <c r="Q2" i="11"/>
  <c r="O2" i="1"/>
  <c r="O2" i="11" s="1"/>
  <c r="N2" i="1"/>
  <c r="N2" i="11" s="1"/>
  <c r="M2" i="1"/>
  <c r="M2" i="11" s="1"/>
  <c r="L2" i="1"/>
  <c r="L2" i="11" s="1"/>
  <c r="K2" i="1"/>
  <c r="K2" i="8" s="1"/>
  <c r="J2" i="1"/>
  <c r="J2" i="11"/>
  <c r="F2" i="11"/>
  <c r="D2" i="11"/>
  <c r="U1" i="11"/>
  <c r="O1" i="1"/>
  <c r="O1" i="11" s="1"/>
  <c r="N1" i="1"/>
  <c r="N1" i="8" s="1"/>
  <c r="N1" i="11"/>
  <c r="M1" i="1"/>
  <c r="M1" i="8" s="1"/>
  <c r="M1" i="11"/>
  <c r="L1" i="1"/>
  <c r="L1" i="11" s="1"/>
  <c r="K1" i="1"/>
  <c r="K1" i="11" s="1"/>
  <c r="J1" i="1"/>
  <c r="J1" i="11" s="1"/>
  <c r="D1" i="11"/>
  <c r="C1" i="11"/>
  <c r="B16" i="1"/>
  <c r="S3" i="8"/>
  <c r="T3" i="8"/>
  <c r="B14" i="1"/>
  <c r="D95" i="1"/>
  <c r="D175" i="1" s="1"/>
  <c r="S11" i="8"/>
  <c r="AH3139" i="8" s="1"/>
  <c r="T11" i="8"/>
  <c r="AJ3139" i="8" s="1"/>
  <c r="S10" i="8"/>
  <c r="AH3138" i="8" s="1"/>
  <c r="T10" i="8"/>
  <c r="AJ3138" i="8" s="1"/>
  <c r="S9" i="8"/>
  <c r="AH3137" i="8" s="1"/>
  <c r="T9" i="8"/>
  <c r="AJ3137" i="8" s="1"/>
  <c r="S8" i="8"/>
  <c r="AH3136" i="8" s="1"/>
  <c r="T8" i="8"/>
  <c r="AJ3136" i="8" s="1"/>
  <c r="S7" i="8"/>
  <c r="AH3135" i="8" s="1"/>
  <c r="T7" i="8"/>
  <c r="AJ3135" i="8" s="1"/>
  <c r="S6" i="8"/>
  <c r="AH3134" i="8" s="1"/>
  <c r="T6" i="8"/>
  <c r="AJ3134" i="8" s="1"/>
  <c r="S5" i="8"/>
  <c r="T5" i="8"/>
  <c r="S4" i="8"/>
  <c r="T4" i="8"/>
  <c r="F11" i="8"/>
  <c r="F10" i="8"/>
  <c r="F9" i="8"/>
  <c r="E3137" i="8" s="1"/>
  <c r="F8" i="8"/>
  <c r="E3136" i="8" s="1"/>
  <c r="F7" i="8"/>
  <c r="E3135" i="8" s="1"/>
  <c r="F6" i="8"/>
  <c r="E3134" i="8" s="1"/>
  <c r="F5" i="8"/>
  <c r="F4" i="8"/>
  <c r="D24" i="1"/>
  <c r="D25" i="1"/>
  <c r="D26" i="1"/>
  <c r="D27" i="1"/>
  <c r="D28" i="1"/>
  <c r="D29" i="1"/>
  <c r="D30" i="1"/>
  <c r="D31" i="1"/>
  <c r="D32" i="1"/>
  <c r="D23" i="1"/>
  <c r="F3" i="8"/>
  <c r="F2" i="8"/>
  <c r="R11" i="1"/>
  <c r="R10" i="1"/>
  <c r="R9" i="1"/>
  <c r="R8" i="1"/>
  <c r="R7" i="1"/>
  <c r="R6" i="1"/>
  <c r="R5" i="1"/>
  <c r="R4" i="1"/>
  <c r="R3" i="1"/>
  <c r="R2" i="1"/>
  <c r="U1" i="8"/>
  <c r="Q2" i="8"/>
  <c r="Q3" i="8"/>
  <c r="Q4" i="8"/>
  <c r="Q5" i="8"/>
  <c r="Q6" i="8"/>
  <c r="Q7" i="8"/>
  <c r="Q8" i="8"/>
  <c r="Q9" i="8"/>
  <c r="Q10" i="8"/>
  <c r="Q11" i="8"/>
  <c r="Q12" i="8"/>
  <c r="D8" i="8"/>
  <c r="D9" i="8"/>
  <c r="D6" i="8"/>
  <c r="D4" i="8"/>
  <c r="D2" i="8"/>
  <c r="F12" i="8"/>
  <c r="C1" i="8"/>
  <c r="K1" i="8"/>
  <c r="J1" i="8"/>
  <c r="D1" i="8"/>
  <c r="J2" i="8"/>
  <c r="M2" i="8"/>
  <c r="K3" i="8"/>
  <c r="L3" i="8"/>
  <c r="J4" i="8"/>
  <c r="M4" i="8"/>
  <c r="N4" i="8"/>
  <c r="K5" i="8"/>
  <c r="O6" i="8"/>
  <c r="O7" i="8"/>
  <c r="L8" i="8"/>
  <c r="O8" i="8"/>
  <c r="N9" i="8"/>
  <c r="O9" i="8"/>
  <c r="S107" i="1"/>
  <c r="D55" i="1"/>
  <c r="D5" i="8"/>
  <c r="V1" i="1" a="1"/>
  <c r="V1" i="1" s="1"/>
  <c r="E64" i="1"/>
  <c r="E103" i="1" s="1"/>
  <c r="D3" i="8"/>
  <c r="A36" i="1"/>
  <c r="E63" i="1"/>
  <c r="E61" i="1"/>
  <c r="E101" i="1" s="1"/>
  <c r="E62" i="1"/>
  <c r="E102" i="1" s="1"/>
  <c r="E60" i="1"/>
  <c r="D51" i="1"/>
  <c r="AG3110" i="8" l="1"/>
  <c r="AG3089" i="8"/>
  <c r="D3106" i="8"/>
  <c r="D3085" i="8"/>
  <c r="D3095" i="8"/>
  <c r="D3116" i="8"/>
  <c r="D3111" i="8"/>
  <c r="D3090" i="8"/>
  <c r="T3113" i="8"/>
  <c r="T3097" i="8"/>
  <c r="T3091" i="8"/>
  <c r="T3119" i="8"/>
  <c r="B3120" i="8" s="1"/>
  <c r="T3112" i="8"/>
  <c r="T3109" i="8"/>
  <c r="B3110" i="8" s="1"/>
  <c r="T3088" i="8"/>
  <c r="B3089" i="8" s="1"/>
  <c r="T3086" i="8"/>
  <c r="T3096" i="8"/>
  <c r="T3118" i="8"/>
  <c r="T3108" i="8"/>
  <c r="T3087" i="8"/>
  <c r="T3093" i="8"/>
  <c r="B3094" i="8" s="1"/>
  <c r="T3117" i="8"/>
  <c r="T3114" i="8"/>
  <c r="B3115" i="8" s="1"/>
  <c r="T3107" i="8"/>
  <c r="T3098" i="8"/>
  <c r="B3099" i="8" s="1"/>
  <c r="T3092" i="8"/>
  <c r="AG3094" i="8"/>
  <c r="AG3115" i="8"/>
  <c r="AG3099" i="8"/>
  <c r="AG3120" i="8"/>
  <c r="D2937" i="8"/>
  <c r="D3032" i="8"/>
  <c r="D3017" i="8"/>
  <c r="D3009" i="8"/>
  <c r="D3054" i="8"/>
  <c r="AG3012" i="8"/>
  <c r="AG3021" i="8"/>
  <c r="AG3035" i="8"/>
  <c r="AG3059" i="8"/>
  <c r="D3064" i="8"/>
  <c r="D3040" i="8"/>
  <c r="D2824" i="8"/>
  <c r="D3022" i="8"/>
  <c r="D3044" i="8"/>
  <c r="D2941" i="8"/>
  <c r="D3013" i="8"/>
  <c r="D3060" i="8"/>
  <c r="D3036" i="8"/>
  <c r="AG3047" i="8"/>
  <c r="AG3025" i="8"/>
  <c r="T3019" i="8"/>
  <c r="T3010" i="8"/>
  <c r="T3020" i="8"/>
  <c r="B3021" i="8" s="1"/>
  <c r="T3061" i="8"/>
  <c r="T3055" i="8"/>
  <c r="T3046" i="8"/>
  <c r="B3047" i="8" s="1"/>
  <c r="T3037" i="8"/>
  <c r="T3041" i="8"/>
  <c r="T3067" i="8"/>
  <c r="B3068" i="8" s="1"/>
  <c r="T3058" i="8"/>
  <c r="B3059" i="8" s="1"/>
  <c r="T3034" i="8"/>
  <c r="B3035" i="8" s="1"/>
  <c r="T3018" i="8"/>
  <c r="T3045" i="8"/>
  <c r="T3024" i="8"/>
  <c r="B3025" i="8" s="1"/>
  <c r="T3015" i="8"/>
  <c r="B3016" i="8" s="1"/>
  <c r="T3066" i="8"/>
  <c r="T3057" i="8"/>
  <c r="T3042" i="8"/>
  <c r="B3043" i="8" s="1"/>
  <c r="T3033" i="8"/>
  <c r="T3035" i="8" s="1"/>
  <c r="E3032" i="8" s="1"/>
  <c r="T3023" i="8"/>
  <c r="T3014" i="8"/>
  <c r="T3011" i="8"/>
  <c r="B3012" i="8" s="1"/>
  <c r="T3062" i="8"/>
  <c r="B3063" i="8" s="1"/>
  <c r="T3056" i="8"/>
  <c r="T3038" i="8"/>
  <c r="B3039" i="8" s="1"/>
  <c r="T3065" i="8"/>
  <c r="AG3063" i="8"/>
  <c r="AG3016" i="8"/>
  <c r="AG3039" i="8"/>
  <c r="AG3043" i="8"/>
  <c r="AG3068" i="8"/>
  <c r="AG2940" i="8"/>
  <c r="T2912" i="8"/>
  <c r="T2992" i="8"/>
  <c r="T2987" i="8"/>
  <c r="B2988" i="8" s="1"/>
  <c r="T2950" i="8"/>
  <c r="T2938" i="8"/>
  <c r="T3198" i="8" s="1"/>
  <c r="T156" i="1" s="1"/>
  <c r="S156" i="1" s="1"/>
  <c r="T2986" i="8"/>
  <c r="T2981" i="8"/>
  <c r="B2982" i="8" s="1"/>
  <c r="T2963" i="8"/>
  <c r="B2964" i="8" s="1"/>
  <c r="T2925" i="8"/>
  <c r="B2926" i="8" s="1"/>
  <c r="T2906" i="8"/>
  <c r="T2901" i="8"/>
  <c r="B2902" i="8" s="1"/>
  <c r="T2943" i="8"/>
  <c r="B2944" i="8" s="1"/>
  <c r="T2980" i="8"/>
  <c r="T2975" i="8"/>
  <c r="B2976" i="8" s="1"/>
  <c r="T2962" i="8"/>
  <c r="T2957" i="8"/>
  <c r="B2958" i="8" s="1"/>
  <c r="T2931" i="8"/>
  <c r="B2932" i="8" s="1"/>
  <c r="T2924" i="8"/>
  <c r="T2919" i="8"/>
  <c r="B2920" i="8" s="1"/>
  <c r="T2900" i="8"/>
  <c r="T2942" i="8"/>
  <c r="T2993" i="8"/>
  <c r="B2994" i="8" s="1"/>
  <c r="T2974" i="8"/>
  <c r="T2956" i="8"/>
  <c r="T2958" i="8" s="1"/>
  <c r="T2951" i="8"/>
  <c r="B2952" i="8" s="1"/>
  <c r="T2939" i="8"/>
  <c r="B2940" i="8" s="1"/>
  <c r="T2930" i="8"/>
  <c r="T2918" i="8"/>
  <c r="T2913" i="8"/>
  <c r="B2914" i="8" s="1"/>
  <c r="T2907" i="8"/>
  <c r="B2908" i="8" s="1"/>
  <c r="AG2944" i="8"/>
  <c r="E3133" i="8"/>
  <c r="T2749" i="8"/>
  <c r="T2889" i="8"/>
  <c r="B2890" i="8" s="1"/>
  <c r="T2888" i="8"/>
  <c r="AH3133" i="8"/>
  <c r="T2778" i="8"/>
  <c r="T2779" i="8"/>
  <c r="T2754" i="8"/>
  <c r="T2777" i="8"/>
  <c r="T2776" i="8"/>
  <c r="T460" i="8"/>
  <c r="T166" i="8"/>
  <c r="T2774" i="8"/>
  <c r="T404" i="8"/>
  <c r="T152" i="8"/>
  <c r="T117" i="8"/>
  <c r="T301" i="8"/>
  <c r="T136" i="8"/>
  <c r="T287" i="8"/>
  <c r="T614" i="8"/>
  <c r="T2775" i="8"/>
  <c r="T2751" i="8"/>
  <c r="T2771" i="8"/>
  <c r="T2773" i="8"/>
  <c r="T2772" i="8"/>
  <c r="T2770" i="8"/>
  <c r="T2769" i="8"/>
  <c r="T2752" i="8"/>
  <c r="T2750" i="8"/>
  <c r="T2753" i="8"/>
  <c r="T2747" i="8"/>
  <c r="T2748" i="8"/>
  <c r="T724" i="8"/>
  <c r="T728" i="8"/>
  <c r="T725" i="8"/>
  <c r="T722" i="8"/>
  <c r="T731" i="8"/>
  <c r="T730" i="8"/>
  <c r="T726" i="8"/>
  <c r="T727" i="8"/>
  <c r="T729" i="8"/>
  <c r="T732" i="8"/>
  <c r="T723" i="8"/>
  <c r="T733" i="8"/>
  <c r="T429" i="8"/>
  <c r="T423" i="8"/>
  <c r="T2556" i="8"/>
  <c r="T2551" i="8"/>
  <c r="T67" i="8"/>
  <c r="T61" i="8"/>
  <c r="T2868" i="8"/>
  <c r="T2863" i="8"/>
  <c r="B2864" i="8" s="1"/>
  <c r="T2859" i="8"/>
  <c r="T2871" i="8"/>
  <c r="T2862" i="8"/>
  <c r="T2858" i="8"/>
  <c r="T2870" i="8"/>
  <c r="T2861" i="8"/>
  <c r="T2873" i="8"/>
  <c r="B2874" i="8" s="1"/>
  <c r="T2869" i="8"/>
  <c r="T2860" i="8"/>
  <c r="T2872" i="8"/>
  <c r="T824" i="8"/>
  <c r="T823" i="8"/>
  <c r="T822" i="8"/>
  <c r="T821" i="8"/>
  <c r="T825" i="8"/>
  <c r="B826" i="8" s="1"/>
  <c r="T1293" i="8"/>
  <c r="T1289" i="8"/>
  <c r="T1292" i="8"/>
  <c r="T1288" i="8"/>
  <c r="T1291" i="8"/>
  <c r="T1287" i="8"/>
  <c r="T1290" i="8"/>
  <c r="T1286" i="8"/>
  <c r="T1432" i="8"/>
  <c r="T1428" i="8"/>
  <c r="T1426" i="8"/>
  <c r="T1431" i="8"/>
  <c r="T1427" i="8"/>
  <c r="T1430" i="8"/>
  <c r="T1429" i="8"/>
  <c r="T1425" i="8"/>
  <c r="T1405" i="8"/>
  <c r="T1401" i="8"/>
  <c r="T1403" i="8"/>
  <c r="T1399" i="8"/>
  <c r="T1398" i="8"/>
  <c r="T1404" i="8"/>
  <c r="T1400" i="8"/>
  <c r="T1402" i="8"/>
  <c r="T1378" i="8"/>
  <c r="T1377" i="8"/>
  <c r="T1373" i="8"/>
  <c r="T1374" i="8"/>
  <c r="T1376" i="8"/>
  <c r="T1372" i="8"/>
  <c r="T1375" i="8"/>
  <c r="T1371" i="8"/>
  <c r="T1351" i="8"/>
  <c r="T1347" i="8"/>
  <c r="T1350" i="8"/>
  <c r="T1346" i="8"/>
  <c r="T1349" i="8"/>
  <c r="T1345" i="8"/>
  <c r="T1348" i="8"/>
  <c r="T1344" i="8"/>
  <c r="T754" i="8"/>
  <c r="T1324" i="8"/>
  <c r="T1320" i="8"/>
  <c r="T699" i="8"/>
  <c r="T695" i="8"/>
  <c r="T677" i="8"/>
  <c r="T673" i="8"/>
  <c r="T655" i="8"/>
  <c r="T651" i="8"/>
  <c r="T804" i="8"/>
  <c r="T800" i="8"/>
  <c r="T782" i="8"/>
  <c r="T778" i="8"/>
  <c r="T758" i="8"/>
  <c r="T1322" i="8"/>
  <c r="T697" i="8"/>
  <c r="T675" i="8"/>
  <c r="T653" i="8"/>
  <c r="T802" i="8"/>
  <c r="T780" i="8"/>
  <c r="T1321" i="8"/>
  <c r="T1317" i="8"/>
  <c r="T696" i="8"/>
  <c r="T670" i="8"/>
  <c r="T797" i="8"/>
  <c r="T1323" i="8"/>
  <c r="T1319" i="8"/>
  <c r="T698" i="8"/>
  <c r="T694" i="8"/>
  <c r="T676" i="8"/>
  <c r="T672" i="8"/>
  <c r="T654" i="8"/>
  <c r="T650" i="8"/>
  <c r="T803" i="8"/>
  <c r="T799" i="8"/>
  <c r="T781" i="8"/>
  <c r="T777" i="8"/>
  <c r="T1318" i="8"/>
  <c r="T693" i="8"/>
  <c r="T671" i="8"/>
  <c r="T649" i="8"/>
  <c r="T798" i="8"/>
  <c r="T776" i="8"/>
  <c r="T692" i="8"/>
  <c r="T652" i="8"/>
  <c r="T648" i="8"/>
  <c r="T801" i="8"/>
  <c r="T779" i="8"/>
  <c r="T775" i="8"/>
  <c r="T756" i="8"/>
  <c r="T674" i="8"/>
  <c r="T760" i="8"/>
  <c r="T755" i="8"/>
  <c r="T753" i="8"/>
  <c r="T759" i="8"/>
  <c r="T757" i="8"/>
  <c r="T606" i="8"/>
  <c r="T611" i="8"/>
  <c r="T610" i="8"/>
  <c r="T612" i="8"/>
  <c r="T607" i="8"/>
  <c r="T613" i="8"/>
  <c r="T608" i="8"/>
  <c r="T609" i="8"/>
  <c r="T2844" i="8"/>
  <c r="T2846" i="8"/>
  <c r="T2848" i="8"/>
  <c r="T2847" i="8"/>
  <c r="T2849" i="8"/>
  <c r="B2850" i="8" s="1"/>
  <c r="T2845" i="8"/>
  <c r="D2819" i="8"/>
  <c r="D2811" i="8"/>
  <c r="AG2818" i="8"/>
  <c r="AG2828" i="8"/>
  <c r="T2817" i="8"/>
  <c r="B2818" i="8" s="1"/>
  <c r="T2813" i="8"/>
  <c r="T2825" i="8"/>
  <c r="T2816" i="8"/>
  <c r="T2812" i="8"/>
  <c r="T2822" i="8"/>
  <c r="B2823" i="8" s="1"/>
  <c r="T2815" i="8"/>
  <c r="T2821" i="8"/>
  <c r="T2827" i="8"/>
  <c r="B2828" i="8" s="1"/>
  <c r="T2814" i="8"/>
  <c r="T2826" i="8"/>
  <c r="T2820" i="8"/>
  <c r="AG2823" i="8"/>
  <c r="AG2781" i="8"/>
  <c r="D2746" i="8"/>
  <c r="D2767" i="8"/>
  <c r="D2757" i="8"/>
  <c r="D2782" i="8"/>
  <c r="T2784" i="8"/>
  <c r="T2783" i="8"/>
  <c r="T2780" i="8"/>
  <c r="B2781" i="8" s="1"/>
  <c r="T2789" i="8"/>
  <c r="B2790" i="8" s="1"/>
  <c r="T2768" i="8"/>
  <c r="AG2790" i="8"/>
  <c r="AG2756" i="8"/>
  <c r="T2755" i="8"/>
  <c r="B2756" i="8" s="1"/>
  <c r="T2759" i="8"/>
  <c r="B2760" i="8" s="1"/>
  <c r="AG2760" i="8"/>
  <c r="AG2704" i="8"/>
  <c r="AG2730" i="8"/>
  <c r="D2705" i="8"/>
  <c r="D2731" i="8"/>
  <c r="T2733" i="8"/>
  <c r="T2722" i="8"/>
  <c r="T2702" i="8"/>
  <c r="T2727" i="8"/>
  <c r="T2708" i="8"/>
  <c r="B2709" i="8" s="1"/>
  <c r="T2697" i="8"/>
  <c r="T2698" i="8"/>
  <c r="T2732" i="8"/>
  <c r="T2726" i="8"/>
  <c r="T2721" i="8"/>
  <c r="T2729" i="8"/>
  <c r="B2730" i="8" s="1"/>
  <c r="T2707" i="8"/>
  <c r="T2696" i="8"/>
  <c r="T2724" i="8"/>
  <c r="T2728" i="8"/>
  <c r="T2706" i="8"/>
  <c r="T2700" i="8"/>
  <c r="T2695" i="8"/>
  <c r="T2734" i="8"/>
  <c r="B2735" i="8" s="1"/>
  <c r="T2723" i="8"/>
  <c r="T2703" i="8"/>
  <c r="B2704" i="8" s="1"/>
  <c r="T2701" i="8"/>
  <c r="AG2735" i="8"/>
  <c r="AG2709" i="8"/>
  <c r="D2694" i="8"/>
  <c r="D2720" i="8"/>
  <c r="D2626" i="8"/>
  <c r="D2537" i="8"/>
  <c r="D2326" i="8"/>
  <c r="D2512" i="8"/>
  <c r="D2357" i="8"/>
  <c r="D2295" i="8"/>
  <c r="D2657" i="8"/>
  <c r="D2481" i="8"/>
  <c r="D2450" i="8"/>
  <c r="D2419" i="8"/>
  <c r="D2595" i="8"/>
  <c r="D2264" i="8"/>
  <c r="D2388" i="8"/>
  <c r="D2202" i="8"/>
  <c r="D2117" i="8"/>
  <c r="D2171" i="8"/>
  <c r="D2570" i="8"/>
  <c r="D2086" i="8"/>
  <c r="D2024" i="8"/>
  <c r="D1937" i="8"/>
  <c r="D1993" i="8"/>
  <c r="D1906" i="8"/>
  <c r="D2233" i="8"/>
  <c r="D1962" i="8"/>
  <c r="D2140" i="8"/>
  <c r="D2055" i="8"/>
  <c r="D2670" i="8"/>
  <c r="D2608" i="8"/>
  <c r="D2463" i="8"/>
  <c r="D2432" i="8"/>
  <c r="D2277" i="8"/>
  <c r="D2639" i="8"/>
  <c r="D2575" i="8"/>
  <c r="D2401" i="8"/>
  <c r="D2370" i="8"/>
  <c r="D2550" i="8"/>
  <c r="D2099" i="8"/>
  <c r="D2153" i="8"/>
  <c r="D2339" i="8"/>
  <c r="D2308" i="8"/>
  <c r="D2517" i="8"/>
  <c r="D2120" i="8"/>
  <c r="D1975" i="8"/>
  <c r="D2246" i="8"/>
  <c r="D2215" i="8"/>
  <c r="D2184" i="8"/>
  <c r="D2068" i="8"/>
  <c r="D2037" i="8"/>
  <c r="D1942" i="8"/>
  <c r="D2006" i="8"/>
  <c r="D2494" i="8"/>
  <c r="D1919" i="8"/>
  <c r="AG2574" i="8"/>
  <c r="AG2516" i="8"/>
  <c r="AG2119" i="8"/>
  <c r="AG1941" i="8"/>
  <c r="D2643" i="8"/>
  <c r="D2374" i="8"/>
  <c r="D2343" i="8"/>
  <c r="D2312" i="8"/>
  <c r="D2580" i="8"/>
  <c r="D2555" i="8"/>
  <c r="D2405" i="8"/>
  <c r="D2281" i="8"/>
  <c r="D2498" i="8"/>
  <c r="D2219" i="8"/>
  <c r="D2612" i="8"/>
  <c r="D2467" i="8"/>
  <c r="D2250" i="8"/>
  <c r="D2674" i="8"/>
  <c r="D2436" i="8"/>
  <c r="D2188" i="8"/>
  <c r="D2125" i="8"/>
  <c r="D2103" i="8"/>
  <c r="D2522" i="8"/>
  <c r="D2041" i="8"/>
  <c r="D2157" i="8"/>
  <c r="D2072" i="8"/>
  <c r="D2010" i="8"/>
  <c r="D1923" i="8"/>
  <c r="D1979" i="8"/>
  <c r="D1947" i="8"/>
  <c r="AG2584" i="8"/>
  <c r="AG2439" i="8"/>
  <c r="AG2315" i="8"/>
  <c r="AG2075" i="8"/>
  <c r="AG2677" i="8"/>
  <c r="AG2129" i="8"/>
  <c r="AG2346" i="8"/>
  <c r="AG2044" i="8"/>
  <c r="AG1926" i="8"/>
  <c r="AG2106" i="8"/>
  <c r="AG2470" i="8"/>
  <c r="AG2253" i="8"/>
  <c r="AG2526" i="8"/>
  <c r="AG2501" i="8"/>
  <c r="AG1982" i="8"/>
  <c r="AG2160" i="8"/>
  <c r="AG2615" i="8"/>
  <c r="AG2013" i="8"/>
  <c r="AG2408" i="8"/>
  <c r="AG1951" i="8"/>
  <c r="AG2222" i="8"/>
  <c r="AG2191" i="8"/>
  <c r="AG2646" i="8"/>
  <c r="AG2377" i="8"/>
  <c r="AG2284" i="8"/>
  <c r="AG2559" i="8"/>
  <c r="T2641" i="8"/>
  <c r="B2642" i="8" s="1"/>
  <c r="T2576" i="8"/>
  <c r="T2519" i="8"/>
  <c r="T2469" i="8"/>
  <c r="B2470" i="8" s="1"/>
  <c r="T2461" i="8"/>
  <c r="B2462" i="8" s="1"/>
  <c r="T2407" i="8"/>
  <c r="B2408" i="8" s="1"/>
  <c r="T2399" i="8"/>
  <c r="B2400" i="8" s="1"/>
  <c r="T2341" i="8"/>
  <c r="B2342" i="8" s="1"/>
  <c r="T2672" i="8"/>
  <c r="B2673" i="8" s="1"/>
  <c r="T2640" i="8"/>
  <c r="T2518" i="8"/>
  <c r="T2496" i="8"/>
  <c r="B2497" i="8" s="1"/>
  <c r="T2438" i="8"/>
  <c r="B2439" i="8" s="1"/>
  <c r="T2430" i="8"/>
  <c r="B2431" i="8" s="1"/>
  <c r="T2376" i="8"/>
  <c r="B2377" i="8" s="1"/>
  <c r="T2368" i="8"/>
  <c r="B2369" i="8" s="1"/>
  <c r="T2577" i="8"/>
  <c r="T2573" i="8"/>
  <c r="B2574" i="8" s="1"/>
  <c r="T2524" i="8"/>
  <c r="T2500" i="8"/>
  <c r="B2501" i="8" s="1"/>
  <c r="T2340" i="8"/>
  <c r="T2668" i="8"/>
  <c r="B2669" i="8" s="1"/>
  <c r="T2613" i="8"/>
  <c r="T2610" i="8"/>
  <c r="B2611" i="8" s="1"/>
  <c r="T2552" i="8"/>
  <c r="T2520" i="8"/>
  <c r="B2521" i="8" s="1"/>
  <c r="T2337" i="8"/>
  <c r="B2338" i="8" s="1"/>
  <c r="T2279" i="8"/>
  <c r="B2280" i="8" s="1"/>
  <c r="T2676" i="8"/>
  <c r="B2677" i="8" s="1"/>
  <c r="T2572" i="8"/>
  <c r="T2548" i="8"/>
  <c r="B2549" i="8" s="1"/>
  <c r="T2523" i="8"/>
  <c r="T2515" i="8"/>
  <c r="B2516" i="8" s="1"/>
  <c r="T2465" i="8"/>
  <c r="B2466" i="8" s="1"/>
  <c r="T2437" i="8"/>
  <c r="T2434" i="8"/>
  <c r="B2435" i="8" s="1"/>
  <c r="T2606" i="8"/>
  <c r="B2607" i="8" s="1"/>
  <c r="T2583" i="8"/>
  <c r="B2584" i="8" s="1"/>
  <c r="T2492" i="8"/>
  <c r="B2493" i="8" s="1"/>
  <c r="T2345" i="8"/>
  <c r="B2346" i="8" s="1"/>
  <c r="T2314" i="8"/>
  <c r="B2315" i="8" s="1"/>
  <c r="T2306" i="8"/>
  <c r="B2307" i="8" s="1"/>
  <c r="T2278" i="8"/>
  <c r="T2248" i="8"/>
  <c r="B2249" i="8" s="1"/>
  <c r="T2571" i="8"/>
  <c r="T2514" i="8"/>
  <c r="T2645" i="8"/>
  <c r="B2646" i="8" s="1"/>
  <c r="T2578" i="8"/>
  <c r="B2579" i="8" s="1"/>
  <c r="T2525" i="8"/>
  <c r="B2526" i="8" s="1"/>
  <c r="T2513" i="8"/>
  <c r="T2403" i="8"/>
  <c r="B2404" i="8" s="1"/>
  <c r="T2283" i="8"/>
  <c r="B2284" i="8" s="1"/>
  <c r="T2244" i="8"/>
  <c r="B2245" i="8" s="1"/>
  <c r="T2186" i="8"/>
  <c r="B2187" i="8" s="1"/>
  <c r="T2126" i="8"/>
  <c r="T2581" i="8"/>
  <c r="T2557" i="8"/>
  <c r="T2313" i="8"/>
  <c r="T2637" i="8"/>
  <c r="B2638" i="8" s="1"/>
  <c r="T2372" i="8"/>
  <c r="B2373" i="8" s="1"/>
  <c r="T2282" i="8"/>
  <c r="T2221" i="8"/>
  <c r="B2222" i="8" s="1"/>
  <c r="T2213" i="8"/>
  <c r="B2214" i="8" s="1"/>
  <c r="T2155" i="8"/>
  <c r="B2156" i="8" s="1"/>
  <c r="T2122" i="8"/>
  <c r="T2100" i="8"/>
  <c r="T2252" i="8"/>
  <c r="B2253" i="8" s="1"/>
  <c r="T2190" i="8"/>
  <c r="B2191" i="8" s="1"/>
  <c r="T2182" i="8"/>
  <c r="B2183" i="8" s="1"/>
  <c r="T2128" i="8"/>
  <c r="B2129" i="8" s="1"/>
  <c r="T2614" i="8"/>
  <c r="B2615" i="8" s="1"/>
  <c r="T2553" i="8"/>
  <c r="B2554" i="8" s="1"/>
  <c r="T2310" i="8"/>
  <c r="B2311" i="8" s="1"/>
  <c r="T2217" i="8"/>
  <c r="B2218" i="8" s="1"/>
  <c r="T2159" i="8"/>
  <c r="B2160" i="8" s="1"/>
  <c r="T2151" i="8"/>
  <c r="B2152" i="8" s="1"/>
  <c r="T2127" i="8"/>
  <c r="T2118" i="8"/>
  <c r="T2275" i="8"/>
  <c r="B2276" i="8" s="1"/>
  <c r="T2097" i="8"/>
  <c r="B2098" i="8" s="1"/>
  <c r="T2066" i="8"/>
  <c r="B2067" i="8" s="1"/>
  <c r="T1943" i="8"/>
  <c r="T1921" i="8"/>
  <c r="B1922" i="8" s="1"/>
  <c r="T2070" i="8"/>
  <c r="B2071" i="8" s="1"/>
  <c r="T2558" i="8"/>
  <c r="B2559" i="8" s="1"/>
  <c r="T2101" i="8"/>
  <c r="B2102" i="8" s="1"/>
  <c r="T2043" i="8"/>
  <c r="B2044" i="8" s="1"/>
  <c r="T2035" i="8"/>
  <c r="B2036" i="8" s="1"/>
  <c r="T1977" i="8"/>
  <c r="B1978" i="8" s="1"/>
  <c r="T1949" i="8"/>
  <c r="T1940" i="8"/>
  <c r="B1941" i="8" s="1"/>
  <c r="T2011" i="8"/>
  <c r="T2123" i="8"/>
  <c r="B2124" i="8" s="1"/>
  <c r="T2105" i="8"/>
  <c r="B2106" i="8" s="1"/>
  <c r="T2074" i="8"/>
  <c r="B2075" i="8" s="1"/>
  <c r="T1920" i="8"/>
  <c r="T1938" i="8"/>
  <c r="T2012" i="8"/>
  <c r="B2013" i="8" s="1"/>
  <c r="T2004" i="8"/>
  <c r="B2005" i="8" s="1"/>
  <c r="T1948" i="8"/>
  <c r="T1939" i="8"/>
  <c r="T2039" i="8"/>
  <c r="B2040" i="8" s="1"/>
  <c r="T1981" i="8"/>
  <c r="B1982" i="8" s="1"/>
  <c r="T1973" i="8"/>
  <c r="B1974" i="8" s="1"/>
  <c r="T2104" i="8"/>
  <c r="T1945" i="8"/>
  <c r="B1946" i="8" s="1"/>
  <c r="T1925" i="8"/>
  <c r="B1926" i="8" s="1"/>
  <c r="T1917" i="8"/>
  <c r="B1918" i="8" s="1"/>
  <c r="T2121" i="8"/>
  <c r="T2582" i="8"/>
  <c r="T1944" i="8"/>
  <c r="T2038" i="8"/>
  <c r="T2008" i="8"/>
  <c r="B2009" i="8" s="1"/>
  <c r="T1950" i="8"/>
  <c r="B1951" i="8" s="1"/>
  <c r="T2069" i="8"/>
  <c r="T1980" i="8"/>
  <c r="T2406" i="8"/>
  <c r="T2247" i="8"/>
  <c r="T2675" i="8"/>
  <c r="T2433" i="8"/>
  <c r="T2007" i="8"/>
  <c r="T2185" i="8"/>
  <c r="T2344" i="8"/>
  <c r="T2644" i="8"/>
  <c r="T2042" i="8"/>
  <c r="T1924" i="8"/>
  <c r="T2671" i="8"/>
  <c r="T1976" i="8"/>
  <c r="T2073" i="8"/>
  <c r="T2158" i="8"/>
  <c r="T2309" i="8"/>
  <c r="T2468" i="8"/>
  <c r="T2371" i="8"/>
  <c r="T2499" i="8"/>
  <c r="T2609" i="8"/>
  <c r="T2375" i="8"/>
  <c r="T2154" i="8"/>
  <c r="T2464" i="8"/>
  <c r="T2495" i="8"/>
  <c r="T2402" i="8"/>
  <c r="T2189" i="8"/>
  <c r="T2251" i="8"/>
  <c r="T2216" i="8"/>
  <c r="T2220" i="8"/>
  <c r="AG2124" i="8"/>
  <c r="AG2102" i="8"/>
  <c r="AG1922" i="8"/>
  <c r="AG1978" i="8"/>
  <c r="AG2497" i="8"/>
  <c r="AG2611" i="8"/>
  <c r="AG2673" i="8"/>
  <c r="AG2466" i="8"/>
  <c r="AG2218" i="8"/>
  <c r="AG2187" i="8"/>
  <c r="AG2521" i="8"/>
  <c r="AG2249" i="8"/>
  <c r="AG2311" i="8"/>
  <c r="AG2373" i="8"/>
  <c r="AG2071" i="8"/>
  <c r="AG2009" i="8"/>
  <c r="AG2156" i="8"/>
  <c r="AG2342" i="8"/>
  <c r="AG2642" i="8"/>
  <c r="AG2404" i="8"/>
  <c r="AG2554" i="8"/>
  <c r="AG2040" i="8"/>
  <c r="AG2280" i="8"/>
  <c r="AG2435" i="8"/>
  <c r="AG1946" i="8"/>
  <c r="AG2579" i="8"/>
  <c r="D1867" i="8"/>
  <c r="D1846" i="8"/>
  <c r="D1825" i="8"/>
  <c r="D1804" i="8"/>
  <c r="AG1855" i="8"/>
  <c r="AG1876" i="8"/>
  <c r="AG1813" i="8"/>
  <c r="AG1834" i="8"/>
  <c r="D1872" i="8"/>
  <c r="D1851" i="8"/>
  <c r="D1830" i="8"/>
  <c r="D1809" i="8"/>
  <c r="D1877" i="8"/>
  <c r="D1856" i="8"/>
  <c r="D1835" i="8"/>
  <c r="D1814" i="8"/>
  <c r="AG1881" i="8"/>
  <c r="AG1818" i="8"/>
  <c r="AG1860" i="8"/>
  <c r="AG1839" i="8"/>
  <c r="T1853" i="8"/>
  <c r="T1832" i="8"/>
  <c r="T1811" i="8"/>
  <c r="T1858" i="8"/>
  <c r="T1849" i="8"/>
  <c r="B1850" i="8" s="1"/>
  <c r="T1878" i="8"/>
  <c r="T1857" i="8"/>
  <c r="T1836" i="8"/>
  <c r="T1815" i="8"/>
  <c r="T1875" i="8"/>
  <c r="B1876" i="8" s="1"/>
  <c r="T1854" i="8"/>
  <c r="B1855" i="8" s="1"/>
  <c r="T1833" i="8"/>
  <c r="B1834" i="8" s="1"/>
  <c r="T1812" i="8"/>
  <c r="B1813" i="8" s="1"/>
  <c r="T1874" i="8"/>
  <c r="T1880" i="8"/>
  <c r="B1881" i="8" s="1"/>
  <c r="T1859" i="8"/>
  <c r="B1860" i="8" s="1"/>
  <c r="T1838" i="8"/>
  <c r="B1839" i="8" s="1"/>
  <c r="T1817" i="8"/>
  <c r="B1818" i="8" s="1"/>
  <c r="T1852" i="8"/>
  <c r="T1831" i="8"/>
  <c r="T1810" i="8"/>
  <c r="T1816" i="8"/>
  <c r="T1807" i="8"/>
  <c r="B1808" i="8" s="1"/>
  <c r="T1873" i="8"/>
  <c r="T1879" i="8"/>
  <c r="T1870" i="8"/>
  <c r="B1871" i="8" s="1"/>
  <c r="T1837" i="8"/>
  <c r="T1828" i="8"/>
  <c r="B1829" i="8" s="1"/>
  <c r="D1784" i="8"/>
  <c r="D1763" i="8"/>
  <c r="D1742" i="8"/>
  <c r="D1721" i="8"/>
  <c r="D1700" i="8"/>
  <c r="D1679" i="8"/>
  <c r="D1779" i="8"/>
  <c r="D1758" i="8"/>
  <c r="D1737" i="8"/>
  <c r="D1716" i="8"/>
  <c r="D1695" i="8"/>
  <c r="D1674" i="8"/>
  <c r="D1747" i="8"/>
  <c r="D1726" i="8"/>
  <c r="D1705" i="8"/>
  <c r="D1684" i="8"/>
  <c r="D1789" i="8"/>
  <c r="D1768" i="8"/>
  <c r="AG1730" i="8"/>
  <c r="AG1793" i="8"/>
  <c r="AG1709" i="8"/>
  <c r="AG1772" i="8"/>
  <c r="AG1688" i="8"/>
  <c r="AG1751" i="8"/>
  <c r="T1791" i="8"/>
  <c r="T1782" i="8"/>
  <c r="B1783" i="8" s="1"/>
  <c r="T1770" i="8"/>
  <c r="T1761" i="8"/>
  <c r="B1762" i="8" s="1"/>
  <c r="T1749" i="8"/>
  <c r="T1740" i="8"/>
  <c r="B1741" i="8" s="1"/>
  <c r="T1728" i="8"/>
  <c r="T1719" i="8"/>
  <c r="B1720" i="8" s="1"/>
  <c r="T1707" i="8"/>
  <c r="T1698" i="8"/>
  <c r="B1699" i="8" s="1"/>
  <c r="T1686" i="8"/>
  <c r="T1677" i="8"/>
  <c r="B1678" i="8" s="1"/>
  <c r="T1785" i="8"/>
  <c r="T1701" i="8"/>
  <c r="T1680" i="8"/>
  <c r="T1787" i="8"/>
  <c r="B1788" i="8" s="1"/>
  <c r="T1766" i="8"/>
  <c r="B1767" i="8" s="1"/>
  <c r="T1745" i="8"/>
  <c r="B1746" i="8" s="1"/>
  <c r="T1724" i="8"/>
  <c r="B1725" i="8" s="1"/>
  <c r="T1703" i="8"/>
  <c r="B1704" i="8" s="1"/>
  <c r="T1682" i="8"/>
  <c r="B1683" i="8" s="1"/>
  <c r="T1750" i="8"/>
  <c r="B1751" i="8" s="1"/>
  <c r="T1729" i="8"/>
  <c r="B1730" i="8" s="1"/>
  <c r="T1708" i="8"/>
  <c r="B1709" i="8" s="1"/>
  <c r="T1790" i="8"/>
  <c r="T1769" i="8"/>
  <c r="T1748" i="8"/>
  <c r="T1727" i="8"/>
  <c r="T1706" i="8"/>
  <c r="T1685" i="8"/>
  <c r="T1764" i="8"/>
  <c r="T1743" i="8"/>
  <c r="T1722" i="8"/>
  <c r="T1786" i="8"/>
  <c r="T1765" i="8"/>
  <c r="T1744" i="8"/>
  <c r="T1723" i="8"/>
  <c r="T1702" i="8"/>
  <c r="T1681" i="8"/>
  <c r="T1792" i="8"/>
  <c r="B1793" i="8" s="1"/>
  <c r="T1771" i="8"/>
  <c r="B1772" i="8" s="1"/>
  <c r="T1687" i="8"/>
  <c r="B1688" i="8" s="1"/>
  <c r="AG1683" i="8"/>
  <c r="AG1725" i="8"/>
  <c r="AG1746" i="8"/>
  <c r="AG1767" i="8"/>
  <c r="AG1788" i="8"/>
  <c r="AG1704" i="8"/>
  <c r="T1643" i="8"/>
  <c r="B1644" i="8" s="1"/>
  <c r="T1650" i="8"/>
  <c r="B1651" i="8" s="1"/>
  <c r="T1657" i="8"/>
  <c r="B1658" i="8" s="1"/>
  <c r="T1601" i="8"/>
  <c r="B1602" i="8" s="1"/>
  <c r="T1664" i="8"/>
  <c r="B1665" i="8" s="1"/>
  <c r="T1608" i="8"/>
  <c r="B1609" i="8" s="1"/>
  <c r="T1615" i="8"/>
  <c r="B1616" i="8" s="1"/>
  <c r="T1622" i="8"/>
  <c r="B1623" i="8" s="1"/>
  <c r="T1636" i="8"/>
  <c r="B1637" i="8" s="1"/>
  <c r="T1629" i="8"/>
  <c r="B1630" i="8" s="1"/>
  <c r="AG1273" i="8"/>
  <c r="AG1300" i="8"/>
  <c r="AG1252" i="8"/>
  <c r="AG1231" i="8"/>
  <c r="D1285" i="8"/>
  <c r="D1264" i="8"/>
  <c r="D1243" i="8"/>
  <c r="D1222" i="8"/>
  <c r="D1296" i="8"/>
  <c r="D1269" i="8"/>
  <c r="D1248" i="8"/>
  <c r="D1227" i="8"/>
  <c r="D1301" i="8"/>
  <c r="D1274" i="8"/>
  <c r="D1253" i="8"/>
  <c r="D1232" i="8"/>
  <c r="AG1257" i="8"/>
  <c r="AG1278" i="8"/>
  <c r="AG1305" i="8"/>
  <c r="AG1236" i="8"/>
  <c r="T1303" i="8"/>
  <c r="T1294" i="8"/>
  <c r="B1295" i="8" s="1"/>
  <c r="T1276" i="8"/>
  <c r="T1267" i="8"/>
  <c r="B1268" i="8" s="1"/>
  <c r="T1255" i="8"/>
  <c r="T1246" i="8"/>
  <c r="B1247" i="8" s="1"/>
  <c r="T1234" i="8"/>
  <c r="T1225" i="8"/>
  <c r="B1226" i="8" s="1"/>
  <c r="T1302" i="8"/>
  <c r="T1275" i="8"/>
  <c r="T1254" i="8"/>
  <c r="T1233" i="8"/>
  <c r="T1299" i="8"/>
  <c r="B1300" i="8" s="1"/>
  <c r="T1272" i="8"/>
  <c r="B1273" i="8" s="1"/>
  <c r="T1251" i="8"/>
  <c r="B1252" i="8" s="1"/>
  <c r="T1230" i="8"/>
  <c r="B1231" i="8" s="1"/>
  <c r="T1297" i="8"/>
  <c r="T1249" i="8"/>
  <c r="T1228" i="8"/>
  <c r="T1298" i="8"/>
  <c r="T1271" i="8"/>
  <c r="T1250" i="8"/>
  <c r="T1229" i="8"/>
  <c r="T1304" i="8"/>
  <c r="B1305" i="8" s="1"/>
  <c r="T1277" i="8"/>
  <c r="B1278" i="8" s="1"/>
  <c r="T1256" i="8"/>
  <c r="B1257" i="8" s="1"/>
  <c r="T1235" i="8"/>
  <c r="B1236" i="8" s="1"/>
  <c r="T1270" i="8"/>
  <c r="D1540" i="8"/>
  <c r="D1509" i="8"/>
  <c r="D1482" i="8"/>
  <c r="D1565" i="8"/>
  <c r="D1455" i="8"/>
  <c r="D1424" i="8"/>
  <c r="D1397" i="8"/>
  <c r="D1370" i="8"/>
  <c r="D1343" i="8"/>
  <c r="D1316" i="8"/>
  <c r="AG1492" i="8"/>
  <c r="AG1550" i="8"/>
  <c r="AG1465" i="8"/>
  <c r="AG1519" i="8"/>
  <c r="AG1575" i="8"/>
  <c r="D1551" i="8"/>
  <c r="D1520" i="8"/>
  <c r="D1493" i="8"/>
  <c r="D1576" i="8"/>
  <c r="D1466" i="8"/>
  <c r="D1435" i="8"/>
  <c r="D1408" i="8"/>
  <c r="D1381" i="8"/>
  <c r="D1354" i="8"/>
  <c r="D1327" i="8"/>
  <c r="D1440" i="8"/>
  <c r="D1386" i="8"/>
  <c r="D1554" i="8"/>
  <c r="D1413" i="8"/>
  <c r="D1359" i="8"/>
  <c r="D1332" i="8"/>
  <c r="D1525" i="8"/>
  <c r="D1498" i="8"/>
  <c r="D1581" i="8"/>
  <c r="D1471" i="8"/>
  <c r="AG1417" i="8"/>
  <c r="AG1502" i="8"/>
  <c r="AG1390" i="8"/>
  <c r="AG1444" i="8"/>
  <c r="AG1475" i="8"/>
  <c r="AG1558" i="8"/>
  <c r="AG1585" i="8"/>
  <c r="AG1529" i="8"/>
  <c r="AG1336" i="8"/>
  <c r="AG1363" i="8"/>
  <c r="T1583" i="8"/>
  <c r="T1574" i="8"/>
  <c r="B1575" i="8" s="1"/>
  <c r="T1570" i="8"/>
  <c r="T1566" i="8"/>
  <c r="T1526" i="8"/>
  <c r="T1517" i="8"/>
  <c r="T1513" i="8"/>
  <c r="T1473" i="8"/>
  <c r="T1464" i="8"/>
  <c r="B1465" i="8" s="1"/>
  <c r="T1460" i="8"/>
  <c r="T1456" i="8"/>
  <c r="T1436" i="8"/>
  <c r="T1409" i="8"/>
  <c r="T1382" i="8"/>
  <c r="T1355" i="8"/>
  <c r="T1328" i="8"/>
  <c r="T1556" i="8"/>
  <c r="T1547" i="8"/>
  <c r="T1543" i="8"/>
  <c r="T1523" i="8"/>
  <c r="B1524" i="8" s="1"/>
  <c r="T1499" i="8"/>
  <c r="T1490" i="8"/>
  <c r="T1486" i="8"/>
  <c r="T1442" i="8"/>
  <c r="T1433" i="8"/>
  <c r="B1434" i="8" s="1"/>
  <c r="T1415" i="8"/>
  <c r="T1406" i="8"/>
  <c r="B1407" i="8" s="1"/>
  <c r="T1388" i="8"/>
  <c r="T1379" i="8"/>
  <c r="B1380" i="8" s="1"/>
  <c r="T1361" i="8"/>
  <c r="T1352" i="8"/>
  <c r="B1353" i="8" s="1"/>
  <c r="T1334" i="8"/>
  <c r="T1325" i="8"/>
  <c r="B1326" i="8" s="1"/>
  <c r="T1582" i="8"/>
  <c r="T1573" i="8"/>
  <c r="T1569" i="8"/>
  <c r="T1516" i="8"/>
  <c r="T1512" i="8"/>
  <c r="T1496" i="8"/>
  <c r="B1497" i="8" s="1"/>
  <c r="T1472" i="8"/>
  <c r="T1463" i="8"/>
  <c r="T1459" i="8"/>
  <c r="T1579" i="8"/>
  <c r="B1580" i="8" s="1"/>
  <c r="T1555" i="8"/>
  <c r="T1546" i="8"/>
  <c r="T1542" i="8"/>
  <c r="T1522" i="8"/>
  <c r="T1489" i="8"/>
  <c r="T1485" i="8"/>
  <c r="T1469" i="8"/>
  <c r="B1470" i="8" s="1"/>
  <c r="T1441" i="8"/>
  <c r="T1414" i="8"/>
  <c r="T1387" i="8"/>
  <c r="T1360" i="8"/>
  <c r="T1333" i="8"/>
  <c r="T1491" i="8"/>
  <c r="B1492" i="8" s="1"/>
  <c r="T1483" i="8"/>
  <c r="T1467" i="8"/>
  <c r="T1443" i="8"/>
  <c r="B1444" i="8" s="1"/>
  <c r="T1572" i="8"/>
  <c r="T1568" i="8"/>
  <c r="T1552" i="8"/>
  <c r="T1528" i="8"/>
  <c r="B1529" i="8" s="1"/>
  <c r="T1515" i="8"/>
  <c r="T1511" i="8"/>
  <c r="T1495" i="8"/>
  <c r="T1462" i="8"/>
  <c r="T1458" i="8"/>
  <c r="T1438" i="8"/>
  <c r="B1439" i="8" s="1"/>
  <c r="T1411" i="8"/>
  <c r="B1412" i="8" s="1"/>
  <c r="T1384" i="8"/>
  <c r="B1385" i="8" s="1"/>
  <c r="T1357" i="8"/>
  <c r="B1358" i="8" s="1"/>
  <c r="T1330" i="8"/>
  <c r="B1331" i="8" s="1"/>
  <c r="T1544" i="8"/>
  <c r="T1578" i="8"/>
  <c r="T1549" i="8"/>
  <c r="B1550" i="8" s="1"/>
  <c r="T1545" i="8"/>
  <c r="T1541" i="8"/>
  <c r="T1521" i="8"/>
  <c r="T1501" i="8"/>
  <c r="B1502" i="8" s="1"/>
  <c r="T1488" i="8"/>
  <c r="T1484" i="8"/>
  <c r="T1468" i="8"/>
  <c r="T1577" i="8"/>
  <c r="T1548" i="8"/>
  <c r="T1335" i="8"/>
  <c r="B1336" i="8" s="1"/>
  <c r="T1584" i="8"/>
  <c r="B1585" i="8" s="1"/>
  <c r="T1571" i="8"/>
  <c r="T1567" i="8"/>
  <c r="T1527" i="8"/>
  <c r="T1518" i="8"/>
  <c r="B1519" i="8" s="1"/>
  <c r="T1514" i="8"/>
  <c r="T1510" i="8"/>
  <c r="T1494" i="8"/>
  <c r="T1474" i="8"/>
  <c r="B1475" i="8" s="1"/>
  <c r="T1461" i="8"/>
  <c r="T1457" i="8"/>
  <c r="T1437" i="8"/>
  <c r="T1410" i="8"/>
  <c r="T1383" i="8"/>
  <c r="T1356" i="8"/>
  <c r="T1329" i="8"/>
  <c r="T1557" i="8"/>
  <c r="B1558" i="8" s="1"/>
  <c r="T1500" i="8"/>
  <c r="T1487" i="8"/>
  <c r="T1416" i="8"/>
  <c r="B1417" i="8" s="1"/>
  <c r="T1389" i="8"/>
  <c r="B1390" i="8" s="1"/>
  <c r="T1362" i="8"/>
  <c r="B1363" i="8" s="1"/>
  <c r="AG1553" i="8"/>
  <c r="AG1580" i="8"/>
  <c r="AG1470" i="8"/>
  <c r="AG1439" i="8"/>
  <c r="AG1358" i="8"/>
  <c r="AG1497" i="8"/>
  <c r="AG1385" i="8"/>
  <c r="AG1331" i="8"/>
  <c r="AG1412" i="8"/>
  <c r="AG1524" i="8"/>
  <c r="D1193" i="8"/>
  <c r="D1172" i="8"/>
  <c r="D1151" i="8"/>
  <c r="D1130" i="8"/>
  <c r="D1198" i="8"/>
  <c r="D1177" i="8"/>
  <c r="D1156" i="8"/>
  <c r="D1135" i="8"/>
  <c r="D1203" i="8"/>
  <c r="D1182" i="8"/>
  <c r="D1161" i="8"/>
  <c r="D1140" i="8"/>
  <c r="AG1186" i="8"/>
  <c r="AG1207" i="8"/>
  <c r="AG1165" i="8"/>
  <c r="AG1144" i="8"/>
  <c r="T1205" i="8"/>
  <c r="T1196" i="8"/>
  <c r="B1197" i="8" s="1"/>
  <c r="T1184" i="8"/>
  <c r="T1175" i="8"/>
  <c r="B1176" i="8" s="1"/>
  <c r="T1163" i="8"/>
  <c r="T1154" i="8"/>
  <c r="B1155" i="8" s="1"/>
  <c r="T1142" i="8"/>
  <c r="T1133" i="8"/>
  <c r="B1134" i="8" s="1"/>
  <c r="T1204" i="8"/>
  <c r="T1183" i="8"/>
  <c r="T1162" i="8"/>
  <c r="T1141" i="8"/>
  <c r="T1201" i="8"/>
  <c r="B1202" i="8" s="1"/>
  <c r="T1180" i="8"/>
  <c r="B1181" i="8" s="1"/>
  <c r="T1159" i="8"/>
  <c r="B1160" i="8" s="1"/>
  <c r="T1138" i="8"/>
  <c r="B1139" i="8" s="1"/>
  <c r="T1178" i="8"/>
  <c r="T1136" i="8"/>
  <c r="T1200" i="8"/>
  <c r="T1179" i="8"/>
  <c r="T1158" i="8"/>
  <c r="T1137" i="8"/>
  <c r="T1157" i="8"/>
  <c r="T1206" i="8"/>
  <c r="B1207" i="8" s="1"/>
  <c r="T1185" i="8"/>
  <c r="B1186" i="8" s="1"/>
  <c r="T1164" i="8"/>
  <c r="B1165" i="8" s="1"/>
  <c r="T1143" i="8"/>
  <c r="B1144" i="8" s="1"/>
  <c r="T1199" i="8"/>
  <c r="AG1202" i="8"/>
  <c r="AG1139" i="8"/>
  <c r="AG1181" i="8"/>
  <c r="AG1160" i="8"/>
  <c r="D1115" i="8"/>
  <c r="D1094" i="8"/>
  <c r="D1073" i="8"/>
  <c r="D1052" i="8"/>
  <c r="D1031" i="8"/>
  <c r="D1010" i="8"/>
  <c r="D896" i="8"/>
  <c r="D1105" i="8"/>
  <c r="D1084" i="8"/>
  <c r="D1063" i="8"/>
  <c r="D1042" i="8"/>
  <c r="D1021" i="8"/>
  <c r="D1000" i="8"/>
  <c r="D901" i="8"/>
  <c r="D1110" i="8"/>
  <c r="D1089" i="8"/>
  <c r="D1068" i="8"/>
  <c r="D1047" i="8"/>
  <c r="D1026" i="8"/>
  <c r="D1005" i="8"/>
  <c r="AG1014" i="8"/>
  <c r="AG1035" i="8"/>
  <c r="AG1119" i="8"/>
  <c r="AG1098" i="8"/>
  <c r="AG1077" i="8"/>
  <c r="AG1056" i="8"/>
  <c r="T1117" i="8"/>
  <c r="T1108" i="8"/>
  <c r="B1109" i="8" s="1"/>
  <c r="T1096" i="8"/>
  <c r="T1087" i="8"/>
  <c r="B1088" i="8" s="1"/>
  <c r="T1075" i="8"/>
  <c r="T1066" i="8"/>
  <c r="B1067" i="8" s="1"/>
  <c r="T1054" i="8"/>
  <c r="T1045" i="8"/>
  <c r="B1046" i="8" s="1"/>
  <c r="T1033" i="8"/>
  <c r="T1024" i="8"/>
  <c r="B1025" i="8" s="1"/>
  <c r="T1012" i="8"/>
  <c r="T1003" i="8"/>
  <c r="B1004" i="8" s="1"/>
  <c r="T1006" i="8"/>
  <c r="T1116" i="8"/>
  <c r="T1095" i="8"/>
  <c r="T1074" i="8"/>
  <c r="T1053" i="8"/>
  <c r="T1032" i="8"/>
  <c r="T1011" i="8"/>
  <c r="T1112" i="8"/>
  <c r="T1111" i="8"/>
  <c r="T1113" i="8"/>
  <c r="B1114" i="8" s="1"/>
  <c r="T1092" i="8"/>
  <c r="B1093" i="8" s="1"/>
  <c r="T1071" i="8"/>
  <c r="B1072" i="8" s="1"/>
  <c r="T1050" i="8"/>
  <c r="B1051" i="8" s="1"/>
  <c r="T1029" i="8"/>
  <c r="B1030" i="8" s="1"/>
  <c r="T1008" i="8"/>
  <c r="B1009" i="8" s="1"/>
  <c r="T1091" i="8"/>
  <c r="T1070" i="8"/>
  <c r="T1049" i="8"/>
  <c r="T1028" i="8"/>
  <c r="T1048" i="8"/>
  <c r="T1007" i="8"/>
  <c r="T1118" i="8"/>
  <c r="B1119" i="8" s="1"/>
  <c r="T1097" i="8"/>
  <c r="B1098" i="8" s="1"/>
  <c r="T1076" i="8"/>
  <c r="B1077" i="8" s="1"/>
  <c r="T1055" i="8"/>
  <c r="B1056" i="8" s="1"/>
  <c r="T1034" i="8"/>
  <c r="B1035" i="8" s="1"/>
  <c r="T1013" i="8"/>
  <c r="B1014" i="8" s="1"/>
  <c r="T1090" i="8"/>
  <c r="T1069" i="8"/>
  <c r="T1027" i="8"/>
  <c r="AG1093" i="8"/>
  <c r="AG1114" i="8"/>
  <c r="AG1030" i="8"/>
  <c r="AG1051" i="8"/>
  <c r="AG1009" i="8"/>
  <c r="AG1072" i="8"/>
  <c r="T969" i="8"/>
  <c r="B970" i="8" s="1"/>
  <c r="T976" i="8"/>
  <c r="B977" i="8" s="1"/>
  <c r="T983" i="8"/>
  <c r="B984" i="8" s="1"/>
  <c r="T927" i="8"/>
  <c r="B928" i="8" s="1"/>
  <c r="T990" i="8"/>
  <c r="B991" i="8" s="1"/>
  <c r="T934" i="8"/>
  <c r="B935" i="8" s="1"/>
  <c r="T941" i="8"/>
  <c r="B942" i="8" s="1"/>
  <c r="T948" i="8"/>
  <c r="B949" i="8" s="1"/>
  <c r="T962" i="8"/>
  <c r="B963" i="8" s="1"/>
  <c r="T955" i="8"/>
  <c r="B956" i="8" s="1"/>
  <c r="AG900" i="8"/>
  <c r="T903" i="8"/>
  <c r="T902" i="8"/>
  <c r="T899" i="8"/>
  <c r="B900" i="8" s="1"/>
  <c r="T898" i="8"/>
  <c r="T904" i="8"/>
  <c r="B905" i="8" s="1"/>
  <c r="T897" i="8"/>
  <c r="AG905" i="8"/>
  <c r="AG845" i="8"/>
  <c r="AG870" i="8"/>
  <c r="D846" i="8"/>
  <c r="D871" i="8"/>
  <c r="D835" i="8"/>
  <c r="D860" i="8"/>
  <c r="D876" i="8"/>
  <c r="D849" i="8"/>
  <c r="AG853" i="8"/>
  <c r="AG880" i="8"/>
  <c r="T878" i="8"/>
  <c r="T869" i="8"/>
  <c r="B870" i="8" s="1"/>
  <c r="T865" i="8"/>
  <c r="T861" i="8"/>
  <c r="T851" i="8"/>
  <c r="T842" i="8"/>
  <c r="T838" i="8"/>
  <c r="T877" i="8"/>
  <c r="T868" i="8"/>
  <c r="T864" i="8"/>
  <c r="T874" i="8"/>
  <c r="B875" i="8" s="1"/>
  <c r="T850" i="8"/>
  <c r="T841" i="8"/>
  <c r="T837" i="8"/>
  <c r="T843" i="8"/>
  <c r="T867" i="8"/>
  <c r="T863" i="8"/>
  <c r="T847" i="8"/>
  <c r="T873" i="8"/>
  <c r="T844" i="8"/>
  <c r="B845" i="8" s="1"/>
  <c r="T840" i="8"/>
  <c r="T836" i="8"/>
  <c r="T872" i="8"/>
  <c r="T852" i="8"/>
  <c r="B853" i="8" s="1"/>
  <c r="T839" i="8"/>
  <c r="T879" i="8"/>
  <c r="B880" i="8" s="1"/>
  <c r="T866" i="8"/>
  <c r="T862" i="8"/>
  <c r="AG875" i="8"/>
  <c r="AG848" i="8"/>
  <c r="D721" i="8"/>
  <c r="D796" i="8"/>
  <c r="D774" i="8"/>
  <c r="D752" i="8"/>
  <c r="AG784" i="8"/>
  <c r="AG806" i="8"/>
  <c r="AG762" i="8"/>
  <c r="D737" i="8"/>
  <c r="D807" i="8"/>
  <c r="D785" i="8"/>
  <c r="D763" i="8"/>
  <c r="T809" i="8"/>
  <c r="T787" i="8"/>
  <c r="T808" i="8"/>
  <c r="T786" i="8"/>
  <c r="T764" i="8"/>
  <c r="T805" i="8"/>
  <c r="B806" i="8" s="1"/>
  <c r="T783" i="8"/>
  <c r="B784" i="8" s="1"/>
  <c r="T761" i="8"/>
  <c r="B762" i="8" s="1"/>
  <c r="T810" i="8"/>
  <c r="B811" i="8" s="1"/>
  <c r="T788" i="8"/>
  <c r="B789" i="8" s="1"/>
  <c r="T766" i="8"/>
  <c r="B767" i="8" s="1"/>
  <c r="T765" i="8"/>
  <c r="AG789" i="8"/>
  <c r="AG767" i="8"/>
  <c r="AG811" i="8"/>
  <c r="AG736" i="8"/>
  <c r="T739" i="8"/>
  <c r="T738" i="8"/>
  <c r="T735" i="8"/>
  <c r="B736" i="8" s="1"/>
  <c r="T740" i="8"/>
  <c r="B741" i="8" s="1"/>
  <c r="AG741" i="8"/>
  <c r="AG701" i="8"/>
  <c r="D680" i="8"/>
  <c r="D702" i="8"/>
  <c r="D669" i="8"/>
  <c r="D691" i="8"/>
  <c r="T704" i="8"/>
  <c r="T703" i="8"/>
  <c r="T700" i="8"/>
  <c r="B701" i="8" s="1"/>
  <c r="T705" i="8"/>
  <c r="B706" i="8" s="1"/>
  <c r="AG706" i="8"/>
  <c r="AG679" i="8"/>
  <c r="AG684" i="8"/>
  <c r="T682" i="8"/>
  <c r="T681" i="8"/>
  <c r="T678" i="8"/>
  <c r="B679" i="8" s="1"/>
  <c r="T683" i="8"/>
  <c r="B684" i="8" s="1"/>
  <c r="D632" i="8"/>
  <c r="D658" i="8"/>
  <c r="AG657" i="8"/>
  <c r="D625" i="8"/>
  <c r="D647" i="8"/>
  <c r="T660" i="8"/>
  <c r="T659" i="8"/>
  <c r="T656" i="8"/>
  <c r="B657" i="8" s="1"/>
  <c r="T661" i="8"/>
  <c r="B662" i="8" s="1"/>
  <c r="AG662" i="8"/>
  <c r="AG631" i="8"/>
  <c r="T634" i="8"/>
  <c r="T627" i="8"/>
  <c r="T633" i="8"/>
  <c r="T630" i="8"/>
  <c r="B631" i="8" s="1"/>
  <c r="T626" i="8"/>
  <c r="T628" i="8"/>
  <c r="T629" i="8"/>
  <c r="T635" i="8"/>
  <c r="B636" i="8" s="1"/>
  <c r="AG636" i="8"/>
  <c r="T615" i="8"/>
  <c r="B616" i="8" s="1"/>
  <c r="D562" i="8"/>
  <c r="D589" i="8"/>
  <c r="D568" i="8"/>
  <c r="D596" i="8"/>
  <c r="AG595" i="8"/>
  <c r="AG600" i="8"/>
  <c r="T598" i="8"/>
  <c r="T591" i="8"/>
  <c r="T597" i="8"/>
  <c r="T594" i="8"/>
  <c r="B595" i="8" s="1"/>
  <c r="T590" i="8"/>
  <c r="T599" i="8"/>
  <c r="B600" i="8" s="1"/>
  <c r="T592" i="8"/>
  <c r="T593" i="8"/>
  <c r="AG567" i="8"/>
  <c r="T570" i="8"/>
  <c r="T563" i="8"/>
  <c r="T569" i="8"/>
  <c r="T566" i="8"/>
  <c r="B567" i="8" s="1"/>
  <c r="T564" i="8"/>
  <c r="T565" i="8"/>
  <c r="T571" i="8"/>
  <c r="B572" i="8" s="1"/>
  <c r="AG572" i="8"/>
  <c r="D494" i="8"/>
  <c r="D473" i="8"/>
  <c r="D519" i="8"/>
  <c r="D529" i="8"/>
  <c r="D504" i="8"/>
  <c r="D483" i="8"/>
  <c r="D499" i="8"/>
  <c r="D524" i="8"/>
  <c r="D478" i="8"/>
  <c r="AG533" i="8"/>
  <c r="AG487" i="8"/>
  <c r="AG508" i="8"/>
  <c r="T532" i="8"/>
  <c r="B533" i="8" s="1"/>
  <c r="T522" i="8"/>
  <c r="B523" i="8" s="1"/>
  <c r="T500" i="8"/>
  <c r="T476" i="8"/>
  <c r="B477" i="8" s="1"/>
  <c r="T527" i="8"/>
  <c r="B528" i="8" s="1"/>
  <c r="T505" i="8"/>
  <c r="T486" i="8"/>
  <c r="B487" i="8" s="1"/>
  <c r="T481" i="8"/>
  <c r="B482" i="8" s="1"/>
  <c r="T497" i="8"/>
  <c r="B498" i="8" s="1"/>
  <c r="T507" i="8"/>
  <c r="B508" i="8" s="1"/>
  <c r="T484" i="8"/>
  <c r="T531" i="8"/>
  <c r="T525" i="8"/>
  <c r="T501" i="8"/>
  <c r="T526" i="8"/>
  <c r="T485" i="8"/>
  <c r="T480" i="8"/>
  <c r="T530" i="8"/>
  <c r="T502" i="8"/>
  <c r="B503" i="8" s="1"/>
  <c r="T479" i="8"/>
  <c r="T506" i="8"/>
  <c r="AG482" i="8"/>
  <c r="AG528" i="8"/>
  <c r="AG503" i="8"/>
  <c r="D439" i="8"/>
  <c r="D418" i="8"/>
  <c r="D454" i="8"/>
  <c r="D434" i="8"/>
  <c r="D459" i="8"/>
  <c r="T457" i="8"/>
  <c r="B458" i="8" s="1"/>
  <c r="T461" i="8"/>
  <c r="B462" i="8" s="1"/>
  <c r="AG462" i="8"/>
  <c r="AG433" i="8"/>
  <c r="AG443" i="8"/>
  <c r="T427" i="8"/>
  <c r="T440" i="8"/>
  <c r="T430" i="8"/>
  <c r="T437" i="8"/>
  <c r="B438" i="8" s="1"/>
  <c r="T426" i="8"/>
  <c r="T422" i="8"/>
  <c r="T435" i="8"/>
  <c r="T441" i="8"/>
  <c r="T432" i="8"/>
  <c r="B433" i="8" s="1"/>
  <c r="T419" i="8"/>
  <c r="T420" i="8"/>
  <c r="T436" i="8"/>
  <c r="T425" i="8"/>
  <c r="T421" i="8"/>
  <c r="T442" i="8"/>
  <c r="B443" i="8" s="1"/>
  <c r="T424" i="8"/>
  <c r="T428" i="8"/>
  <c r="AG438" i="8"/>
  <c r="D366" i="8"/>
  <c r="D339" i="8"/>
  <c r="D312" i="8"/>
  <c r="AG322" i="8"/>
  <c r="AG349" i="8"/>
  <c r="AG376" i="8"/>
  <c r="D355" i="8"/>
  <c r="D328" i="8"/>
  <c r="D382" i="8"/>
  <c r="D350" i="8"/>
  <c r="D323" i="8"/>
  <c r="D377" i="8"/>
  <c r="AG386" i="8"/>
  <c r="AG332" i="8"/>
  <c r="AG359" i="8"/>
  <c r="T345" i="8"/>
  <c r="T341" i="8"/>
  <c r="T319" i="8"/>
  <c r="T315" i="8"/>
  <c r="T405" i="8"/>
  <c r="B406" i="8" s="1"/>
  <c r="T396" i="8"/>
  <c r="T384" i="8"/>
  <c r="T379" i="8"/>
  <c r="T374" i="8"/>
  <c r="T370" i="8"/>
  <c r="T329" i="8"/>
  <c r="T324" i="8"/>
  <c r="T358" i="8"/>
  <c r="B359" i="8" s="1"/>
  <c r="T348" i="8"/>
  <c r="B349" i="8" s="1"/>
  <c r="T344" i="8"/>
  <c r="T340" i="8"/>
  <c r="T318" i="8"/>
  <c r="T314" i="8"/>
  <c r="T383" i="8"/>
  <c r="T378" i="8"/>
  <c r="T373" i="8"/>
  <c r="T369" i="8"/>
  <c r="T353" i="8"/>
  <c r="B354" i="8" s="1"/>
  <c r="T380" i="8"/>
  <c r="B381" i="8" s="1"/>
  <c r="T357" i="8"/>
  <c r="T347" i="8"/>
  <c r="T343" i="8"/>
  <c r="T321" i="8"/>
  <c r="B322" i="8" s="1"/>
  <c r="T317" i="8"/>
  <c r="T313" i="8"/>
  <c r="T367" i="8"/>
  <c r="T325" i="8"/>
  <c r="T372" i="8"/>
  <c r="T368" i="8"/>
  <c r="T352" i="8"/>
  <c r="T331" i="8"/>
  <c r="B332" i="8" s="1"/>
  <c r="T326" i="8"/>
  <c r="B327" i="8" s="1"/>
  <c r="T385" i="8"/>
  <c r="B386" i="8" s="1"/>
  <c r="T375" i="8"/>
  <c r="B376" i="8" s="1"/>
  <c r="T356" i="8"/>
  <c r="T346" i="8"/>
  <c r="T342" i="8"/>
  <c r="T320" i="8"/>
  <c r="T316" i="8"/>
  <c r="T371" i="8"/>
  <c r="T351" i="8"/>
  <c r="T330" i="8"/>
  <c r="T398" i="8"/>
  <c r="T397" i="8"/>
  <c r="T402" i="8"/>
  <c r="T403" i="8"/>
  <c r="T401" i="8"/>
  <c r="T400" i="8"/>
  <c r="T399" i="8"/>
  <c r="AG327" i="8"/>
  <c r="AG354" i="8"/>
  <c r="AG381" i="8"/>
  <c r="D264" i="8"/>
  <c r="D269" i="8"/>
  <c r="T288" i="8"/>
  <c r="B289" i="8" s="1"/>
  <c r="T279" i="8"/>
  <c r="T281" i="8"/>
  <c r="T302" i="8"/>
  <c r="B303" i="8" s="1"/>
  <c r="T282" i="8"/>
  <c r="T295" i="8"/>
  <c r="T293" i="8"/>
  <c r="T298" i="8"/>
  <c r="T297" i="8"/>
  <c r="T300" i="8"/>
  <c r="T296" i="8"/>
  <c r="T280" i="8"/>
  <c r="T286" i="8"/>
  <c r="T285" i="8"/>
  <c r="T284" i="8"/>
  <c r="T283" i="8"/>
  <c r="T299" i="8"/>
  <c r="T294" i="8"/>
  <c r="T271" i="8"/>
  <c r="T272" i="8"/>
  <c r="B273" i="8" s="1"/>
  <c r="T270" i="8"/>
  <c r="T267" i="8"/>
  <c r="B268" i="8" s="1"/>
  <c r="AG273" i="8"/>
  <c r="D182" i="8"/>
  <c r="D224" i="8"/>
  <c r="D249" i="8"/>
  <c r="D203" i="8"/>
  <c r="D187" i="8"/>
  <c r="D208" i="8"/>
  <c r="D229" i="8"/>
  <c r="AG191" i="8"/>
  <c r="AG212" i="8"/>
  <c r="AG233" i="8"/>
  <c r="T251" i="8"/>
  <c r="T210" i="8"/>
  <c r="T250" i="8"/>
  <c r="T222" i="8"/>
  <c r="B223" i="8" s="1"/>
  <c r="T205" i="8"/>
  <c r="T247" i="8"/>
  <c r="B248" i="8" s="1"/>
  <c r="T232" i="8"/>
  <c r="B233" i="8" s="1"/>
  <c r="T227" i="8"/>
  <c r="B228" i="8" s="1"/>
  <c r="T209" i="8"/>
  <c r="T204" i="8"/>
  <c r="T190" i="8"/>
  <c r="B191" i="8" s="1"/>
  <c r="T180" i="8"/>
  <c r="B181" i="8" s="1"/>
  <c r="T231" i="8"/>
  <c r="T226" i="8"/>
  <c r="T185" i="8"/>
  <c r="B186" i="8" s="1"/>
  <c r="T206" i="8"/>
  <c r="B207" i="8" s="1"/>
  <c r="T252" i="8"/>
  <c r="B253" i="8" s="1"/>
  <c r="T189" i="8"/>
  <c r="T230" i="8"/>
  <c r="T225" i="8"/>
  <c r="T211" i="8"/>
  <c r="B212" i="8" s="1"/>
  <c r="T201" i="8"/>
  <c r="B202" i="8" s="1"/>
  <c r="T184" i="8"/>
  <c r="T188" i="8"/>
  <c r="T183" i="8"/>
  <c r="D130" i="8"/>
  <c r="D198" i="8"/>
  <c r="D177" i="8"/>
  <c r="D244" i="8"/>
  <c r="D219" i="8"/>
  <c r="AG228" i="8"/>
  <c r="AG207" i="8"/>
  <c r="AG253" i="8"/>
  <c r="AG186" i="8"/>
  <c r="T165" i="8"/>
  <c r="T162" i="8"/>
  <c r="T164" i="8"/>
  <c r="T163" i="8"/>
  <c r="T159" i="8"/>
  <c r="T160" i="8"/>
  <c r="T161" i="8"/>
  <c r="T150" i="8"/>
  <c r="T148" i="8"/>
  <c r="T151" i="8"/>
  <c r="T149" i="8"/>
  <c r="T167" i="8"/>
  <c r="B168" i="8" s="1"/>
  <c r="T158" i="8"/>
  <c r="T146" i="8"/>
  <c r="T144" i="8"/>
  <c r="T147" i="8"/>
  <c r="T145" i="8"/>
  <c r="T153" i="8"/>
  <c r="B154" i="8" s="1"/>
  <c r="D135" i="8"/>
  <c r="T137" i="8"/>
  <c r="B138" i="8" s="1"/>
  <c r="T133" i="8"/>
  <c r="B134" i="8" s="1"/>
  <c r="AG138" i="8"/>
  <c r="T25" i="8"/>
  <c r="T31" i="8"/>
  <c r="T32" i="8"/>
  <c r="B33" i="8" s="1"/>
  <c r="T3174" i="8"/>
  <c r="T132" i="1" s="1"/>
  <c r="T140" i="11"/>
  <c r="R3192" i="8"/>
  <c r="R150" i="1" s="1"/>
  <c r="R3184" i="8"/>
  <c r="R142" i="1" s="1"/>
  <c r="R3176" i="8"/>
  <c r="R134" i="1" s="1"/>
  <c r="R3167" i="8"/>
  <c r="R125" i="1" s="1"/>
  <c r="R3157" i="8"/>
  <c r="R115" i="1" s="1"/>
  <c r="T3205" i="8"/>
  <c r="T163" i="1" s="1"/>
  <c r="S163" i="1" s="1"/>
  <c r="T3195" i="8"/>
  <c r="T153" i="1" s="1"/>
  <c r="S153" i="1" s="1"/>
  <c r="T3187" i="8"/>
  <c r="T145" i="1" s="1"/>
  <c r="S145" i="1" s="1"/>
  <c r="T3179" i="8"/>
  <c r="T137" i="1" s="1"/>
  <c r="S137" i="1" s="1"/>
  <c r="T3170" i="8"/>
  <c r="T128" i="1" s="1"/>
  <c r="S128" i="1" s="1"/>
  <c r="T3156" i="8"/>
  <c r="T114" i="1" s="1"/>
  <c r="S114" i="1" s="1"/>
  <c r="R3199" i="8"/>
  <c r="R157" i="1" s="1"/>
  <c r="R3191" i="8"/>
  <c r="R149" i="1" s="1"/>
  <c r="R3183" i="8"/>
  <c r="R141" i="1" s="1"/>
  <c r="R3175" i="8"/>
  <c r="R133" i="1" s="1"/>
  <c r="R3166" i="8"/>
  <c r="R124" i="1" s="1"/>
  <c r="R3156" i="8"/>
  <c r="R114" i="1" s="1"/>
  <c r="T3204" i="8"/>
  <c r="T162" i="1" s="1"/>
  <c r="S162" i="1" s="1"/>
  <c r="T3194" i="8"/>
  <c r="T152" i="1" s="1"/>
  <c r="S152" i="1" s="1"/>
  <c r="T3186" i="8"/>
  <c r="T144" i="1" s="1"/>
  <c r="S144" i="1" s="1"/>
  <c r="T3178" i="8"/>
  <c r="T136" i="1" s="1"/>
  <c r="S136" i="1" s="1"/>
  <c r="T3169" i="8"/>
  <c r="T127" i="1" s="1"/>
  <c r="S127" i="1" s="1"/>
  <c r="R3198" i="8"/>
  <c r="R156" i="1" s="1"/>
  <c r="R3155" i="8"/>
  <c r="R113" i="1" s="1"/>
  <c r="T3185" i="8"/>
  <c r="T143" i="1" s="1"/>
  <c r="S143" i="1" s="1"/>
  <c r="T3177" i="8"/>
  <c r="T135" i="1" s="1"/>
  <c r="S135" i="1" s="1"/>
  <c r="R3205" i="8"/>
  <c r="R163" i="1" s="1"/>
  <c r="R3189" i="8"/>
  <c r="R147" i="1" s="1"/>
  <c r="R3181" i="8"/>
  <c r="R139" i="1" s="1"/>
  <c r="R3173" i="8"/>
  <c r="R131" i="1" s="1"/>
  <c r="R3154" i="8"/>
  <c r="R112" i="1" s="1"/>
  <c r="T3202" i="8"/>
  <c r="T160" i="1" s="1"/>
  <c r="S160" i="1" s="1"/>
  <c r="T3192" i="8"/>
  <c r="T150" i="1" s="1"/>
  <c r="S150" i="1" s="1"/>
  <c r="T3184" i="8"/>
  <c r="T142" i="1" s="1"/>
  <c r="S142" i="1" s="1"/>
  <c r="T3176" i="8"/>
  <c r="T134" i="1" s="1"/>
  <c r="S134" i="1" s="1"/>
  <c r="T3167" i="8"/>
  <c r="T125" i="1" s="1"/>
  <c r="S125" i="1" s="1"/>
  <c r="R3182" i="8"/>
  <c r="R140" i="1" s="1"/>
  <c r="T3193" i="8"/>
  <c r="T151" i="1" s="1"/>
  <c r="S151" i="1" s="1"/>
  <c r="R3204" i="8"/>
  <c r="R162" i="1" s="1"/>
  <c r="R3196" i="8"/>
  <c r="R154" i="1" s="1"/>
  <c r="R3188" i="8"/>
  <c r="R146" i="1" s="1"/>
  <c r="R3180" i="8"/>
  <c r="R138" i="1" s="1"/>
  <c r="R3171" i="8"/>
  <c r="R129" i="1" s="1"/>
  <c r="T3191" i="8"/>
  <c r="T149" i="1" s="1"/>
  <c r="S149" i="1" s="1"/>
  <c r="T3183" i="8"/>
  <c r="T141" i="1" s="1"/>
  <c r="S141" i="1" s="1"/>
  <c r="T3175" i="8"/>
  <c r="T133" i="1" s="1"/>
  <c r="S133" i="1" s="1"/>
  <c r="T3166" i="8"/>
  <c r="T124" i="1" s="1"/>
  <c r="S124" i="1" s="1"/>
  <c r="R3187" i="8"/>
  <c r="R145" i="1" s="1"/>
  <c r="R3170" i="8"/>
  <c r="R128" i="1" s="1"/>
  <c r="R3152" i="8"/>
  <c r="R110" i="1" s="1"/>
  <c r="T3190" i="8"/>
  <c r="T148" i="1" s="1"/>
  <c r="S148" i="1" s="1"/>
  <c r="T3182" i="8"/>
  <c r="T140" i="1" s="1"/>
  <c r="S140" i="1" s="1"/>
  <c r="T3165" i="8"/>
  <c r="T123" i="1" s="1"/>
  <c r="S123" i="1" s="1"/>
  <c r="R3206" i="8"/>
  <c r="R164" i="1" s="1"/>
  <c r="R3203" i="8"/>
  <c r="R161" i="1" s="1"/>
  <c r="R3179" i="8"/>
  <c r="R137" i="1" s="1"/>
  <c r="T3199" i="8"/>
  <c r="T157" i="1" s="1"/>
  <c r="S157" i="1" s="1"/>
  <c r="R3202" i="8"/>
  <c r="R160" i="1" s="1"/>
  <c r="R3194" i="8"/>
  <c r="R152" i="1" s="1"/>
  <c r="R3186" i="8"/>
  <c r="R144" i="1" s="1"/>
  <c r="R3178" i="8"/>
  <c r="R136" i="1" s="1"/>
  <c r="R3169" i="8"/>
  <c r="R127" i="1" s="1"/>
  <c r="T3189" i="8"/>
  <c r="T147" i="1" s="1"/>
  <c r="S147" i="1" s="1"/>
  <c r="T3181" i="8"/>
  <c r="T139" i="1" s="1"/>
  <c r="S139" i="1" s="1"/>
  <c r="T3173" i="8"/>
  <c r="T131" i="1" s="1"/>
  <c r="S131" i="1" s="1"/>
  <c r="T3158" i="8"/>
  <c r="T116" i="1" s="1"/>
  <c r="S116" i="1" s="1"/>
  <c r="R3190" i="8"/>
  <c r="R148" i="1" s="1"/>
  <c r="R3195" i="8"/>
  <c r="R153" i="1" s="1"/>
  <c r="R3201" i="8"/>
  <c r="R159" i="1" s="1"/>
  <c r="R3193" i="8"/>
  <c r="R151" i="1" s="1"/>
  <c r="R3185" i="8"/>
  <c r="R143" i="1" s="1"/>
  <c r="R3168" i="8"/>
  <c r="R126" i="1" s="1"/>
  <c r="R3158" i="8"/>
  <c r="R116" i="1" s="1"/>
  <c r="T3206" i="8"/>
  <c r="T164" i="1" s="1"/>
  <c r="S164" i="1" s="1"/>
  <c r="T3188" i="8"/>
  <c r="T146" i="1" s="1"/>
  <c r="S146" i="1" s="1"/>
  <c r="T3180" i="8"/>
  <c r="T138" i="1" s="1"/>
  <c r="S138" i="1" s="1"/>
  <c r="T3171" i="8"/>
  <c r="T129" i="1" s="1"/>
  <c r="S129" i="1" s="1"/>
  <c r="T3157" i="8"/>
  <c r="T115" i="1" s="1"/>
  <c r="S115" i="1" s="1"/>
  <c r="T225" i="11"/>
  <c r="B226" i="11" s="1"/>
  <c r="E3132" i="8"/>
  <c r="T214" i="11"/>
  <c r="B215" i="11" s="1"/>
  <c r="T207" i="11"/>
  <c r="B208" i="11" s="1"/>
  <c r="T167" i="11"/>
  <c r="T193" i="11"/>
  <c r="T200" i="11"/>
  <c r="B201" i="11" s="1"/>
  <c r="T61" i="11"/>
  <c r="B62" i="11" s="1"/>
  <c r="T52" i="11"/>
  <c r="B53" i="11" s="1"/>
  <c r="T70" i="11"/>
  <c r="B71" i="11" s="1"/>
  <c r="T104" i="11"/>
  <c r="B105" i="11" s="1"/>
  <c r="T114" i="11"/>
  <c r="B115" i="11" s="1"/>
  <c r="T86" i="11"/>
  <c r="T93" i="11"/>
  <c r="T89" i="11"/>
  <c r="T94" i="11"/>
  <c r="B95" i="11" s="1"/>
  <c r="T87" i="11"/>
  <c r="T91" i="11"/>
  <c r="T90" i="11"/>
  <c r="T88" i="11"/>
  <c r="T92" i="11"/>
  <c r="T79" i="11"/>
  <c r="T76" i="11"/>
  <c r="T81" i="11"/>
  <c r="B82" i="11" s="1"/>
  <c r="T78" i="11"/>
  <c r="T77" i="11"/>
  <c r="T75" i="11"/>
  <c r="T80" i="11"/>
  <c r="T25" i="11"/>
  <c r="B26" i="11" s="1"/>
  <c r="T34" i="11"/>
  <c r="B35" i="11" s="1"/>
  <c r="E3131" i="8"/>
  <c r="E3130" i="8"/>
  <c r="AH3131" i="8"/>
  <c r="T66" i="8"/>
  <c r="T63" i="8"/>
  <c r="T64" i="8"/>
  <c r="T65" i="8"/>
  <c r="T68" i="8"/>
  <c r="T62" i="8"/>
  <c r="T98" i="8"/>
  <c r="T60" i="8"/>
  <c r="T59" i="8"/>
  <c r="T58" i="8"/>
  <c r="K7" i="8"/>
  <c r="O3" i="8"/>
  <c r="Q1" i="8"/>
  <c r="J10" i="8"/>
  <c r="J7" i="8"/>
  <c r="M6" i="8"/>
  <c r="K9" i="8"/>
  <c r="L6" i="8"/>
  <c r="N2" i="8"/>
  <c r="K4" i="11"/>
  <c r="O5" i="11"/>
  <c r="E3138" i="8"/>
  <c r="E3139" i="8"/>
  <c r="L1" i="8"/>
  <c r="N10" i="11"/>
  <c r="C10" i="11"/>
  <c r="J9" i="8"/>
  <c r="C4" i="11"/>
  <c r="C12" i="11"/>
  <c r="L10" i="8"/>
  <c r="F22" i="1"/>
  <c r="D72" i="8"/>
  <c r="D116" i="8"/>
  <c r="D97" i="8"/>
  <c r="D111" i="8"/>
  <c r="D92" i="8"/>
  <c r="D56" i="8"/>
  <c r="D77" i="8"/>
  <c r="AG81" i="8"/>
  <c r="T114" i="8"/>
  <c r="B115" i="8" s="1"/>
  <c r="T95" i="8"/>
  <c r="B96" i="8" s="1"/>
  <c r="T75" i="8"/>
  <c r="B76" i="8" s="1"/>
  <c r="T99" i="8"/>
  <c r="B100" i="8" s="1"/>
  <c r="T80" i="8"/>
  <c r="B81" i="8" s="1"/>
  <c r="T78" i="8"/>
  <c r="T57" i="8"/>
  <c r="T26" i="8"/>
  <c r="B27" i="8" s="1"/>
  <c r="T79" i="8"/>
  <c r="T74" i="8"/>
  <c r="T73" i="8"/>
  <c r="T118" i="8"/>
  <c r="B119" i="8" s="1"/>
  <c r="T70" i="8"/>
  <c r="B71" i="8" s="1"/>
  <c r="AG100" i="8"/>
  <c r="AG119" i="8"/>
  <c r="AG76" i="8"/>
  <c r="AG71" i="8"/>
  <c r="T43" i="11"/>
  <c r="B44" i="11" s="1"/>
  <c r="T110" i="1"/>
  <c r="S110" i="1" s="1"/>
  <c r="C8" i="8"/>
  <c r="B3136" i="8" s="1"/>
  <c r="T294" i="11"/>
  <c r="L7" i="8"/>
  <c r="N5" i="8"/>
  <c r="O10" i="8"/>
  <c r="L9" i="8"/>
  <c r="J6" i="8"/>
  <c r="N7" i="8"/>
  <c r="M10" i="8"/>
  <c r="L2" i="8"/>
  <c r="C8" i="11"/>
  <c r="O4" i="8"/>
  <c r="J3" i="8"/>
  <c r="O1" i="8"/>
  <c r="C11" i="8"/>
  <c r="B3139" i="8" s="1"/>
  <c r="L5" i="11"/>
  <c r="R294" i="11"/>
  <c r="K10" i="8"/>
  <c r="M5" i="8"/>
  <c r="C10" i="8"/>
  <c r="B3138" i="8" s="1"/>
  <c r="C11" i="11"/>
  <c r="M7" i="8"/>
  <c r="K6" i="8"/>
  <c r="N6" i="8"/>
  <c r="N3" i="11"/>
  <c r="E22" i="1"/>
  <c r="M8" i="8"/>
  <c r="O2" i="8"/>
  <c r="S1" i="8"/>
  <c r="C6" i="11"/>
  <c r="K2" i="11"/>
  <c r="J5" i="11"/>
  <c r="C6" i="8"/>
  <c r="B3134" i="8" s="1"/>
  <c r="C4" i="8"/>
  <c r="L4" i="8"/>
  <c r="Q1" i="11"/>
  <c r="M3" i="8"/>
  <c r="T111" i="1"/>
  <c r="S111" i="1" s="1"/>
  <c r="I23" i="1"/>
  <c r="T2" i="11"/>
  <c r="T126" i="1"/>
  <c r="S126" i="1" s="1"/>
  <c r="E28" i="1"/>
  <c r="B28" i="1"/>
  <c r="R132" i="1"/>
  <c r="R111" i="1"/>
  <c r="J8" i="11"/>
  <c r="J8" i="8"/>
  <c r="N8" i="11"/>
  <c r="N8" i="8"/>
  <c r="T154" i="1"/>
  <c r="C9" i="8"/>
  <c r="B3137" i="8" s="1"/>
  <c r="C9" i="11"/>
  <c r="C5" i="8"/>
  <c r="C5" i="11"/>
  <c r="R135" i="1"/>
  <c r="B27" i="1"/>
  <c r="E27" i="1"/>
  <c r="B30" i="1"/>
  <c r="E30" i="1"/>
  <c r="A30" i="1"/>
  <c r="K8" i="8"/>
  <c r="C3" i="11"/>
  <c r="B31" i="1"/>
  <c r="E31" i="1"/>
  <c r="C7" i="8"/>
  <c r="B3135" i="8" s="1"/>
  <c r="G23" i="1"/>
  <c r="C2" i="8"/>
  <c r="C2" i="11"/>
  <c r="A27" i="1"/>
  <c r="T3021" i="8" l="1"/>
  <c r="E3017" i="8" s="1"/>
  <c r="F3017" i="8" s="1"/>
  <c r="T3115" i="8"/>
  <c r="E3111" i="8" s="1"/>
  <c r="T2890" i="8"/>
  <c r="T2944" i="8"/>
  <c r="E2941" i="8" s="1"/>
  <c r="T3120" i="8"/>
  <c r="E3116" i="8" s="1"/>
  <c r="E2886" i="8"/>
  <c r="E10" i="36" s="1"/>
  <c r="F10" i="36" s="1"/>
  <c r="F56" i="36" s="1"/>
  <c r="T3016" i="8"/>
  <c r="E3013" i="8" s="1"/>
  <c r="F3013" i="8" s="1"/>
  <c r="T3047" i="8"/>
  <c r="E3044" i="8" s="1"/>
  <c r="T3059" i="8"/>
  <c r="T3094" i="8"/>
  <c r="E3090" i="8" s="1"/>
  <c r="F3090" i="8" s="1"/>
  <c r="T2914" i="8"/>
  <c r="T3025" i="8"/>
  <c r="E3022" i="8" s="1"/>
  <c r="T3063" i="8"/>
  <c r="E3060" i="8" s="1"/>
  <c r="F3060" i="8" s="1"/>
  <c r="T3099" i="8"/>
  <c r="E3095" i="8" s="1"/>
  <c r="AG3082" i="8"/>
  <c r="T3068" i="8"/>
  <c r="E3064" i="8" s="1"/>
  <c r="T3110" i="8"/>
  <c r="T3089" i="8"/>
  <c r="AG3103" i="8"/>
  <c r="F3032" i="8"/>
  <c r="AG3006" i="8"/>
  <c r="T2976" i="8"/>
  <c r="AN2972" i="8" s="1"/>
  <c r="AO2972" i="8" s="1"/>
  <c r="AG3051" i="8"/>
  <c r="T3012" i="8"/>
  <c r="AG3029" i="8"/>
  <c r="T3043" i="8"/>
  <c r="E3040" i="8" s="1"/>
  <c r="F3040" i="8" s="1"/>
  <c r="T2926" i="8"/>
  <c r="AN2922" i="8" s="1"/>
  <c r="AO2922" i="8" s="1"/>
  <c r="T2908" i="8"/>
  <c r="E2904" i="8" s="1"/>
  <c r="E10" i="37" s="1"/>
  <c r="F10" i="37" s="1"/>
  <c r="T2994" i="8"/>
  <c r="AN2990" i="8" s="1"/>
  <c r="AO2990" i="8" s="1"/>
  <c r="T3039" i="8"/>
  <c r="E3036" i="8" s="1"/>
  <c r="F3036" i="8" s="1"/>
  <c r="T2932" i="8"/>
  <c r="E2910" i="8"/>
  <c r="E13" i="37" s="1"/>
  <c r="F13" i="37" s="1"/>
  <c r="AN2910" i="8"/>
  <c r="AO2910" i="8" s="1"/>
  <c r="AN2954" i="8"/>
  <c r="AO2954" i="8" s="1"/>
  <c r="T2954" i="8"/>
  <c r="AG2934" i="8"/>
  <c r="T2964" i="8"/>
  <c r="E2954" i="8"/>
  <c r="E31" i="37" s="1"/>
  <c r="F31" i="37" s="1"/>
  <c r="T2988" i="8"/>
  <c r="T2982" i="8"/>
  <c r="T2940" i="8"/>
  <c r="T2920" i="8"/>
  <c r="T2902" i="8"/>
  <c r="T2952" i="8"/>
  <c r="AG2886" i="8"/>
  <c r="AI2886" i="8" s="1"/>
  <c r="AJ2886" i="8" s="1"/>
  <c r="F2886" i="8"/>
  <c r="AN2886" i="8"/>
  <c r="AO2886" i="8" s="1"/>
  <c r="T2886" i="8"/>
  <c r="T2497" i="8"/>
  <c r="E2494" i="8" s="1"/>
  <c r="F2494" i="8" s="1"/>
  <c r="T2280" i="8"/>
  <c r="E2277" i="8" s="1"/>
  <c r="F2277" i="8" s="1"/>
  <c r="T2864" i="8"/>
  <c r="AN2856" i="8" s="1"/>
  <c r="AO2856" i="8" s="1"/>
  <c r="T826" i="8"/>
  <c r="E819" i="8" s="1"/>
  <c r="T819" i="8" s="1"/>
  <c r="T2874" i="8"/>
  <c r="T2009" i="8"/>
  <c r="E2006" i="8" s="1"/>
  <c r="F2006" i="8" s="1"/>
  <c r="T2611" i="8"/>
  <c r="E2608" i="8" s="1"/>
  <c r="F2608" i="8" s="1"/>
  <c r="T2673" i="8"/>
  <c r="E2670" i="8" s="1"/>
  <c r="F2670" i="8" s="1"/>
  <c r="T2850" i="8"/>
  <c r="T2823" i="8"/>
  <c r="E2819" i="8" s="1"/>
  <c r="F2819" i="8" s="1"/>
  <c r="AG2808" i="8"/>
  <c r="AH2808" i="8" s="1"/>
  <c r="T2828" i="8"/>
  <c r="E2824" i="8" s="1"/>
  <c r="T2677" i="8"/>
  <c r="E2674" i="8" s="1"/>
  <c r="T2818" i="8"/>
  <c r="T2790" i="8"/>
  <c r="E2782" i="8" s="1"/>
  <c r="AG2743" i="8"/>
  <c r="AH2743" i="8" s="1"/>
  <c r="T2756" i="8"/>
  <c r="E2746" i="8" s="1"/>
  <c r="AG2764" i="8"/>
  <c r="AH2764" i="8" s="1"/>
  <c r="T2218" i="8"/>
  <c r="E2215" i="8" s="1"/>
  <c r="F2215" i="8" s="1"/>
  <c r="T2501" i="8"/>
  <c r="E2498" i="8" s="1"/>
  <c r="T2249" i="8"/>
  <c r="E2246" i="8" s="1"/>
  <c r="F2246" i="8" s="1"/>
  <c r="T2781" i="8"/>
  <c r="T2191" i="8"/>
  <c r="E2188" i="8" s="1"/>
  <c r="T2373" i="8"/>
  <c r="E2370" i="8" s="1"/>
  <c r="F2370" i="8" s="1"/>
  <c r="T2408" i="8"/>
  <c r="E2405" i="8" s="1"/>
  <c r="T2284" i="8"/>
  <c r="E2281" i="8" s="1"/>
  <c r="T2470" i="8"/>
  <c r="E2467" i="8" s="1"/>
  <c r="T2253" i="8"/>
  <c r="E2250" i="8" s="1"/>
  <c r="T1926" i="8"/>
  <c r="E1923" i="8" s="1"/>
  <c r="T2404" i="8"/>
  <c r="E2401" i="8" s="1"/>
  <c r="F2401" i="8" s="1"/>
  <c r="T2760" i="8"/>
  <c r="E2757" i="8" s="1"/>
  <c r="T2160" i="8"/>
  <c r="E2157" i="8" s="1"/>
  <c r="T2435" i="8"/>
  <c r="E2432" i="8" s="1"/>
  <c r="F2432" i="8" s="1"/>
  <c r="T1922" i="8"/>
  <c r="E1919" i="8" s="1"/>
  <c r="F1919" i="8" s="1"/>
  <c r="T2642" i="8"/>
  <c r="E2639" i="8" s="1"/>
  <c r="F2639" i="8" s="1"/>
  <c r="T2709" i="8"/>
  <c r="E2705" i="8" s="1"/>
  <c r="T2735" i="8"/>
  <c r="E2731" i="8" s="1"/>
  <c r="T1834" i="8"/>
  <c r="E1830" i="8" s="1"/>
  <c r="F1830" i="8" s="1"/>
  <c r="T2311" i="8"/>
  <c r="E2308" i="8" s="1"/>
  <c r="F2308" i="8" s="1"/>
  <c r="T2704" i="8"/>
  <c r="T2730" i="8"/>
  <c r="T1855" i="8"/>
  <c r="E1851" i="8" s="1"/>
  <c r="F1851" i="8" s="1"/>
  <c r="T2466" i="8"/>
  <c r="E2463" i="8" s="1"/>
  <c r="F2463" i="8" s="1"/>
  <c r="T2315" i="8"/>
  <c r="E2312" i="8" s="1"/>
  <c r="AG2567" i="8"/>
  <c r="AH2567" i="8" s="1"/>
  <c r="T1978" i="8"/>
  <c r="E1975" i="8" s="1"/>
  <c r="F1975" i="8" s="1"/>
  <c r="T2526" i="8"/>
  <c r="E2522" i="8" s="1"/>
  <c r="T2559" i="8"/>
  <c r="E2555" i="8" s="1"/>
  <c r="T2554" i="8"/>
  <c r="E2550" i="8" s="1"/>
  <c r="F2550" i="8" s="1"/>
  <c r="T2615" i="8"/>
  <c r="E2612" i="8" s="1"/>
  <c r="T2579" i="8"/>
  <c r="E2575" i="8" s="1"/>
  <c r="F2575" i="8" s="1"/>
  <c r="AG1934" i="8"/>
  <c r="AH1934" i="8" s="1"/>
  <c r="AG2717" i="8"/>
  <c r="T2124" i="8"/>
  <c r="E2120" i="8" s="1"/>
  <c r="F2120" i="8" s="1"/>
  <c r="T2574" i="8"/>
  <c r="E2570" i="8" s="1"/>
  <c r="AG2691" i="8"/>
  <c r="T1951" i="8"/>
  <c r="E1947" i="8" s="1"/>
  <c r="T2013" i="8"/>
  <c r="E2010" i="8" s="1"/>
  <c r="T1876" i="8"/>
  <c r="E1872" i="8" s="1"/>
  <c r="F1872" i="8" s="1"/>
  <c r="T2222" i="8"/>
  <c r="E2219" i="8" s="1"/>
  <c r="T2377" i="8"/>
  <c r="E2374" i="8" s="1"/>
  <c r="T2040" i="8"/>
  <c r="E2037" i="8" s="1"/>
  <c r="F2037" i="8" s="1"/>
  <c r="T2584" i="8"/>
  <c r="E2580" i="8" s="1"/>
  <c r="T2129" i="8"/>
  <c r="E2125" i="8" s="1"/>
  <c r="T2119" i="8"/>
  <c r="B2119" i="8"/>
  <c r="T2044" i="8"/>
  <c r="E2041" i="8" s="1"/>
  <c r="T2646" i="8"/>
  <c r="E2643" i="8" s="1"/>
  <c r="T1982" i="8"/>
  <c r="E1979" i="8" s="1"/>
  <c r="T2342" i="8"/>
  <c r="E2339" i="8" s="1"/>
  <c r="F2339" i="8" s="1"/>
  <c r="T1767" i="8"/>
  <c r="E1763" i="8" s="1"/>
  <c r="F1763" i="8" s="1"/>
  <c r="T2346" i="8"/>
  <c r="E2343" i="8" s="1"/>
  <c r="T2071" i="8"/>
  <c r="E2068" i="8" s="1"/>
  <c r="F2068" i="8" s="1"/>
  <c r="T2187" i="8"/>
  <c r="E2184" i="8" s="1"/>
  <c r="F2184" i="8" s="1"/>
  <c r="T1946" i="8"/>
  <c r="E1942" i="8" s="1"/>
  <c r="F1942" i="8" s="1"/>
  <c r="T2102" i="8"/>
  <c r="E2099" i="8" s="1"/>
  <c r="F2099" i="8" s="1"/>
  <c r="T2516" i="8"/>
  <c r="T2439" i="8"/>
  <c r="E2436" i="8" s="1"/>
  <c r="T2521" i="8"/>
  <c r="E2517" i="8" s="1"/>
  <c r="F2517" i="8" s="1"/>
  <c r="AG2114" i="8"/>
  <c r="T2156" i="8"/>
  <c r="E2153" i="8" s="1"/>
  <c r="F2153" i="8" s="1"/>
  <c r="T2075" i="8"/>
  <c r="E2072" i="8" s="1"/>
  <c r="T2106" i="8"/>
  <c r="E2103" i="8" s="1"/>
  <c r="T1941" i="8"/>
  <c r="AG2509" i="8"/>
  <c r="T1818" i="8"/>
  <c r="E1814" i="8" s="1"/>
  <c r="T1839" i="8"/>
  <c r="E1835" i="8" s="1"/>
  <c r="T1860" i="8"/>
  <c r="E1856" i="8" s="1"/>
  <c r="T1278" i="8"/>
  <c r="E1274" i="8" s="1"/>
  <c r="T1772" i="8"/>
  <c r="E1768" i="8" s="1"/>
  <c r="T1881" i="8"/>
  <c r="E1877" i="8" s="1"/>
  <c r="T1305" i="8"/>
  <c r="E1301" i="8" s="1"/>
  <c r="T1725" i="8"/>
  <c r="E1721" i="8" s="1"/>
  <c r="F1721" i="8" s="1"/>
  <c r="T1813" i="8"/>
  <c r="E1809" i="8" s="1"/>
  <c r="F1809" i="8" s="1"/>
  <c r="T1793" i="8"/>
  <c r="E1789" i="8" s="1"/>
  <c r="T1746" i="8"/>
  <c r="E1742" i="8" s="1"/>
  <c r="F1742" i="8" s="1"/>
  <c r="T1683" i="8"/>
  <c r="E1679" i="8" s="1"/>
  <c r="F1679" i="8" s="1"/>
  <c r="T1252" i="8"/>
  <c r="E1248" i="8" s="1"/>
  <c r="F1248" i="8" s="1"/>
  <c r="T1688" i="8"/>
  <c r="E1684" i="8" s="1"/>
  <c r="T1704" i="8"/>
  <c r="E1700" i="8" s="1"/>
  <c r="F1700" i="8" s="1"/>
  <c r="T1300" i="8"/>
  <c r="E1296" i="8" s="1"/>
  <c r="F1296" i="8" s="1"/>
  <c r="T1709" i="8"/>
  <c r="E1705" i="8" s="1"/>
  <c r="T1788" i="8"/>
  <c r="E1784" i="8" s="1"/>
  <c r="F1784" i="8" s="1"/>
  <c r="T1730" i="8"/>
  <c r="E1726" i="8" s="1"/>
  <c r="T1751" i="8"/>
  <c r="E1747" i="8" s="1"/>
  <c r="T1273" i="8"/>
  <c r="E1269" i="8" s="1"/>
  <c r="F1269" i="8" s="1"/>
  <c r="T1231" i="8"/>
  <c r="E1227" i="8" s="1"/>
  <c r="F1227" i="8" s="1"/>
  <c r="T1236" i="8"/>
  <c r="E1232" i="8" s="1"/>
  <c r="T1257" i="8"/>
  <c r="E1253" i="8" s="1"/>
  <c r="T1580" i="8"/>
  <c r="E1576" i="8" s="1"/>
  <c r="F1576" i="8" s="1"/>
  <c r="T1417" i="8"/>
  <c r="E1413" i="8" s="1"/>
  <c r="T1558" i="8"/>
  <c r="E1554" i="8" s="1"/>
  <c r="T1439" i="8"/>
  <c r="E1435" i="8" s="1"/>
  <c r="F1435" i="8" s="1"/>
  <c r="T1575" i="8"/>
  <c r="T1444" i="8"/>
  <c r="E1440" i="8" s="1"/>
  <c r="T1465" i="8"/>
  <c r="AG1452" i="8"/>
  <c r="T1470" i="8"/>
  <c r="E1466" i="8" s="1"/>
  <c r="F1466" i="8" s="1"/>
  <c r="T1585" i="8"/>
  <c r="E1581" i="8" s="1"/>
  <c r="AG1537" i="8"/>
  <c r="T1492" i="8"/>
  <c r="T1475" i="8"/>
  <c r="E1471" i="8" s="1"/>
  <c r="T1331" i="8"/>
  <c r="E1327" i="8" s="1"/>
  <c r="F1327" i="8" s="1"/>
  <c r="AG1562" i="8"/>
  <c r="AG1479" i="8"/>
  <c r="T1524" i="8"/>
  <c r="E1520" i="8" s="1"/>
  <c r="F1520" i="8" s="1"/>
  <c r="T1336" i="8"/>
  <c r="E1332" i="8" s="1"/>
  <c r="T1358" i="8"/>
  <c r="E1354" i="8" s="1"/>
  <c r="F1354" i="8" s="1"/>
  <c r="AG1506" i="8"/>
  <c r="T1497" i="8"/>
  <c r="E1493" i="8" s="1"/>
  <c r="F1493" i="8" s="1"/>
  <c r="T1550" i="8"/>
  <c r="T1553" i="8"/>
  <c r="E1551" i="8" s="1"/>
  <c r="F1551" i="8" s="1"/>
  <c r="B1553" i="8"/>
  <c r="T1363" i="8"/>
  <c r="E1359" i="8" s="1"/>
  <c r="T1385" i="8"/>
  <c r="E1381" i="8" s="1"/>
  <c r="F1381" i="8" s="1"/>
  <c r="T1519" i="8"/>
  <c r="T1390" i="8"/>
  <c r="E1386" i="8" s="1"/>
  <c r="T1502" i="8"/>
  <c r="E1498" i="8" s="1"/>
  <c r="T1412" i="8"/>
  <c r="E1408" i="8" s="1"/>
  <c r="F1408" i="8" s="1"/>
  <c r="T1529" i="8"/>
  <c r="E1525" i="8" s="1"/>
  <c r="T1207" i="8"/>
  <c r="E1203" i="8" s="1"/>
  <c r="T1160" i="8"/>
  <c r="E1156" i="8" s="1"/>
  <c r="F1156" i="8" s="1"/>
  <c r="T1202" i="8"/>
  <c r="E1198" i="8" s="1"/>
  <c r="F1198" i="8" s="1"/>
  <c r="T1144" i="8"/>
  <c r="E1140" i="8" s="1"/>
  <c r="T1119" i="8"/>
  <c r="E1115" i="8" s="1"/>
  <c r="T1139" i="8"/>
  <c r="E1135" i="8" s="1"/>
  <c r="F1135" i="8" s="1"/>
  <c r="T1009" i="8"/>
  <c r="E1005" i="8" s="1"/>
  <c r="F1005" i="8" s="1"/>
  <c r="T1165" i="8"/>
  <c r="E1161" i="8" s="1"/>
  <c r="T1186" i="8"/>
  <c r="E1182" i="8" s="1"/>
  <c r="T1181" i="8"/>
  <c r="E1177" i="8" s="1"/>
  <c r="F1177" i="8" s="1"/>
  <c r="T1093" i="8"/>
  <c r="E1089" i="8" s="1"/>
  <c r="F1089" i="8" s="1"/>
  <c r="T1051" i="8"/>
  <c r="E1047" i="8" s="1"/>
  <c r="F1047" i="8" s="1"/>
  <c r="T1077" i="8"/>
  <c r="E1073" i="8" s="1"/>
  <c r="T1098" i="8"/>
  <c r="E1094" i="8" s="1"/>
  <c r="T1114" i="8"/>
  <c r="E1110" i="8" s="1"/>
  <c r="F1110" i="8" s="1"/>
  <c r="T1014" i="8"/>
  <c r="E1010" i="8" s="1"/>
  <c r="T1030" i="8"/>
  <c r="E1026" i="8" s="1"/>
  <c r="F1026" i="8" s="1"/>
  <c r="T1035" i="8"/>
  <c r="E1031" i="8" s="1"/>
  <c r="AG893" i="8"/>
  <c r="AH893" i="8" s="1"/>
  <c r="T1072" i="8"/>
  <c r="E1068" i="8" s="1"/>
  <c r="F1068" i="8" s="1"/>
  <c r="T1056" i="8"/>
  <c r="E1052" i="8" s="1"/>
  <c r="T900" i="8"/>
  <c r="E896" i="8" s="1"/>
  <c r="AG718" i="8"/>
  <c r="AH718" i="8" s="1"/>
  <c r="AG793" i="8"/>
  <c r="AH793" i="8" s="1"/>
  <c r="T845" i="8"/>
  <c r="E835" i="8" s="1"/>
  <c r="T905" i="8"/>
  <c r="E901" i="8" s="1"/>
  <c r="AG832" i="8"/>
  <c r="AH832" i="8" s="1"/>
  <c r="T880" i="8"/>
  <c r="E876" i="8" s="1"/>
  <c r="T875" i="8"/>
  <c r="E871" i="8" s="1"/>
  <c r="F871" i="8" s="1"/>
  <c r="T853" i="8"/>
  <c r="E849" i="8" s="1"/>
  <c r="T870" i="8"/>
  <c r="AG857" i="8"/>
  <c r="T848" i="8"/>
  <c r="E846" i="8" s="1"/>
  <c r="F846" i="8" s="1"/>
  <c r="B848" i="8"/>
  <c r="T736" i="8"/>
  <c r="E721" i="8" s="1"/>
  <c r="T762" i="8"/>
  <c r="E752" i="8" s="1"/>
  <c r="F752" i="8" s="1"/>
  <c r="T806" i="8"/>
  <c r="T784" i="8"/>
  <c r="AG771" i="8"/>
  <c r="T767" i="8"/>
  <c r="E763" i="8" s="1"/>
  <c r="T789" i="8"/>
  <c r="E785" i="8" s="1"/>
  <c r="AG749" i="8"/>
  <c r="T811" i="8"/>
  <c r="E807" i="8" s="1"/>
  <c r="T741" i="8"/>
  <c r="E737" i="8" s="1"/>
  <c r="T706" i="8"/>
  <c r="E702" i="8" s="1"/>
  <c r="T701" i="8"/>
  <c r="E691" i="8" s="1"/>
  <c r="T684" i="8"/>
  <c r="E680" i="8" s="1"/>
  <c r="AG688" i="8"/>
  <c r="AG644" i="8"/>
  <c r="AH644" i="8" s="1"/>
  <c r="T679" i="8"/>
  <c r="AG666" i="8"/>
  <c r="T662" i="8"/>
  <c r="E658" i="8" s="1"/>
  <c r="T631" i="8"/>
  <c r="E625" i="8" s="1"/>
  <c r="T657" i="8"/>
  <c r="AG586" i="8"/>
  <c r="AH586" i="8" s="1"/>
  <c r="T636" i="8"/>
  <c r="E632" i="8" s="1"/>
  <c r="T616" i="8"/>
  <c r="AG622" i="8"/>
  <c r="T595" i="8"/>
  <c r="T508" i="8"/>
  <c r="E504" i="8" s="1"/>
  <c r="T600" i="8"/>
  <c r="E596" i="8" s="1"/>
  <c r="T572" i="8"/>
  <c r="E568" i="8" s="1"/>
  <c r="T567" i="8"/>
  <c r="AG559" i="8"/>
  <c r="T487" i="8"/>
  <c r="E483" i="8" s="1"/>
  <c r="T528" i="8"/>
  <c r="E524" i="8" s="1"/>
  <c r="F524" i="8" s="1"/>
  <c r="T482" i="8"/>
  <c r="E478" i="8" s="1"/>
  <c r="F478" i="8" s="1"/>
  <c r="T533" i="8"/>
  <c r="E529" i="8" s="1"/>
  <c r="T503" i="8"/>
  <c r="E499" i="8" s="1"/>
  <c r="F499" i="8" s="1"/>
  <c r="T354" i="8"/>
  <c r="E350" i="8" s="1"/>
  <c r="F350" i="8" s="1"/>
  <c r="T332" i="8"/>
  <c r="E328" i="8" s="1"/>
  <c r="T443" i="8"/>
  <c r="E439" i="8" s="1"/>
  <c r="T462" i="8"/>
  <c r="E459" i="8" s="1"/>
  <c r="AG336" i="8"/>
  <c r="AH336" i="8" s="1"/>
  <c r="T433" i="8"/>
  <c r="T438" i="8"/>
  <c r="E434" i="8" s="1"/>
  <c r="F434" i="8" s="1"/>
  <c r="T359" i="8"/>
  <c r="E355" i="8" s="1"/>
  <c r="AG415" i="8"/>
  <c r="T349" i="8"/>
  <c r="T381" i="8"/>
  <c r="E377" i="8" s="1"/>
  <c r="F377" i="8" s="1"/>
  <c r="T376" i="8"/>
  <c r="AG309" i="8"/>
  <c r="T322" i="8"/>
  <c r="T406" i="8"/>
  <c r="T327" i="8"/>
  <c r="E323" i="8" s="1"/>
  <c r="F323" i="8" s="1"/>
  <c r="T386" i="8"/>
  <c r="E382" i="8" s="1"/>
  <c r="AG363" i="8"/>
  <c r="T289" i="8"/>
  <c r="T303" i="8"/>
  <c r="T273" i="8"/>
  <c r="E269" i="8" s="1"/>
  <c r="T191" i="8"/>
  <c r="E187" i="8" s="1"/>
  <c r="T186" i="8"/>
  <c r="E182" i="8" s="1"/>
  <c r="F182" i="8" s="1"/>
  <c r="T207" i="8"/>
  <c r="E203" i="8" s="1"/>
  <c r="F203" i="8" s="1"/>
  <c r="T212" i="8"/>
  <c r="E208" i="8" s="1"/>
  <c r="T3203" i="8"/>
  <c r="T161" i="1" s="1"/>
  <c r="S161" i="1" s="1"/>
  <c r="T233" i="8"/>
  <c r="E229" i="8" s="1"/>
  <c r="T228" i="8"/>
  <c r="E224" i="8" s="1"/>
  <c r="F224" i="8" s="1"/>
  <c r="T253" i="8"/>
  <c r="E249" i="8" s="1"/>
  <c r="T168" i="8"/>
  <c r="T33" i="8"/>
  <c r="AN29" i="8" s="1"/>
  <c r="AO29" i="8" s="1"/>
  <c r="T154" i="8"/>
  <c r="T138" i="8"/>
  <c r="E135" i="8" s="1"/>
  <c r="B3226" i="8"/>
  <c r="B143" i="11" s="1"/>
  <c r="B3225" i="8"/>
  <c r="B117" i="11" s="1"/>
  <c r="T3201" i="8"/>
  <c r="T159" i="1" s="1"/>
  <c r="S159" i="1" s="1"/>
  <c r="T3155" i="8"/>
  <c r="T113" i="1" s="1"/>
  <c r="S113" i="1" s="1"/>
  <c r="B3231" i="8"/>
  <c r="B217" i="11" s="1"/>
  <c r="B3223" i="8"/>
  <c r="B97" i="11" s="1"/>
  <c r="B3218" i="8"/>
  <c r="B46" i="11" s="1"/>
  <c r="B3216" i="8"/>
  <c r="B28" i="11" s="1"/>
  <c r="B3222" i="8"/>
  <c r="B84" i="11" s="1"/>
  <c r="B3227" i="8"/>
  <c r="B170" i="11" s="1"/>
  <c r="B3224" i="8"/>
  <c r="B107" i="11" s="1"/>
  <c r="B3230" i="8"/>
  <c r="B210" i="11" s="1"/>
  <c r="B3221" i="8"/>
  <c r="B73" i="11" s="1"/>
  <c r="B3220" i="8"/>
  <c r="B64" i="11" s="1"/>
  <c r="B3215" i="8"/>
  <c r="B19" i="11" s="1"/>
  <c r="B3219" i="8"/>
  <c r="B55" i="11" s="1"/>
  <c r="B3229" i="8"/>
  <c r="B203" i="11" s="1"/>
  <c r="B3217" i="8"/>
  <c r="B37" i="11" s="1"/>
  <c r="B3228" i="8"/>
  <c r="B196" i="11" s="1"/>
  <c r="R169" i="1"/>
  <c r="R3211" i="8"/>
  <c r="T95" i="11"/>
  <c r="T82" i="11"/>
  <c r="B3148" i="8"/>
  <c r="T119" i="8"/>
  <c r="E116" i="8" s="1"/>
  <c r="B29" i="1"/>
  <c r="T81" i="8"/>
  <c r="T76" i="8"/>
  <c r="T71" i="8"/>
  <c r="T27" i="8"/>
  <c r="AG53" i="8"/>
  <c r="T100" i="8"/>
  <c r="E97" i="8" s="1"/>
  <c r="T112" i="1"/>
  <c r="S112" i="1" s="1"/>
  <c r="A32" i="1"/>
  <c r="B32" i="1"/>
  <c r="E32" i="1"/>
  <c r="S132" i="1"/>
  <c r="S154" i="1"/>
  <c r="R123" i="1"/>
  <c r="T3070" i="8" l="1"/>
  <c r="AN3051" i="8" s="1"/>
  <c r="AO3051" i="8" s="1"/>
  <c r="T3101" i="8"/>
  <c r="E3085" i="8"/>
  <c r="T3049" i="8"/>
  <c r="AH3082" i="8"/>
  <c r="T3122" i="8"/>
  <c r="E3106" i="8"/>
  <c r="E3103" i="8" s="1"/>
  <c r="T2990" i="8"/>
  <c r="E2922" i="8"/>
  <c r="E19" i="37" s="1"/>
  <c r="F19" i="37" s="1"/>
  <c r="E2990" i="8"/>
  <c r="E57" i="37" s="1"/>
  <c r="F57" i="37" s="1"/>
  <c r="E3054" i="8"/>
  <c r="E3051" i="8" s="1"/>
  <c r="E15" i="39" s="1"/>
  <c r="F15" i="39" s="1"/>
  <c r="E2972" i="8"/>
  <c r="E48" i="37" s="1"/>
  <c r="F48" i="37" s="1"/>
  <c r="AH3051" i="8"/>
  <c r="AN3029" i="8"/>
  <c r="AO3029" i="8" s="1"/>
  <c r="AN2904" i="8"/>
  <c r="AO2904" i="8" s="1"/>
  <c r="AH3029" i="8"/>
  <c r="AH3006" i="8"/>
  <c r="F3054" i="8"/>
  <c r="E3029" i="8"/>
  <c r="E12" i="39" s="1"/>
  <c r="F12" i="39" s="1"/>
  <c r="T3027" i="8"/>
  <c r="E3009" i="8"/>
  <c r="T2946" i="8"/>
  <c r="E2937" i="8"/>
  <c r="AH2934" i="8"/>
  <c r="AN2978" i="8"/>
  <c r="AO2978" i="8" s="1"/>
  <c r="E2978" i="8"/>
  <c r="E51" i="37" s="1"/>
  <c r="F51" i="37" s="1"/>
  <c r="AN2916" i="8"/>
  <c r="AO2916" i="8" s="1"/>
  <c r="T2916" i="8"/>
  <c r="E2916" i="8"/>
  <c r="AN2984" i="8"/>
  <c r="AO2984" i="8" s="1"/>
  <c r="T2984" i="8"/>
  <c r="E2984" i="8"/>
  <c r="E54" i="37" s="1"/>
  <c r="F54" i="37" s="1"/>
  <c r="AG2922" i="8"/>
  <c r="AI2922" i="8" s="1"/>
  <c r="AJ2922" i="8" s="1"/>
  <c r="AG2990" i="8"/>
  <c r="AI2990" i="8" s="1"/>
  <c r="AJ2990" i="8" s="1"/>
  <c r="F2990" i="8"/>
  <c r="AG2954" i="8"/>
  <c r="F2954" i="8"/>
  <c r="AI2954" i="8"/>
  <c r="AJ2954" i="8" s="1"/>
  <c r="AG2910" i="8"/>
  <c r="F2910" i="8"/>
  <c r="T2910" i="8" s="1"/>
  <c r="AN2948" i="8"/>
  <c r="AO2948" i="8" s="1"/>
  <c r="T2948" i="8"/>
  <c r="E2948" i="8"/>
  <c r="AN2960" i="8"/>
  <c r="AO2960" i="8" s="1"/>
  <c r="E2960" i="8"/>
  <c r="E34" i="37" s="1"/>
  <c r="F34" i="37" s="1"/>
  <c r="AG2972" i="8"/>
  <c r="F2972" i="8"/>
  <c r="F2904" i="8"/>
  <c r="T2904" i="8" s="1"/>
  <c r="AG2904" i="8"/>
  <c r="AN2898" i="8"/>
  <c r="AO2898" i="8" s="1"/>
  <c r="E2898" i="8"/>
  <c r="E7" i="37" s="1"/>
  <c r="F7" i="37" s="1"/>
  <c r="AN2928" i="8"/>
  <c r="AO2928" i="8" s="1"/>
  <c r="E2928" i="8"/>
  <c r="E22" i="37" s="1"/>
  <c r="T2893" i="8"/>
  <c r="F2893" i="8"/>
  <c r="AK2886" i="8"/>
  <c r="AH2886" i="8"/>
  <c r="E142" i="8"/>
  <c r="AG142" i="8" s="1"/>
  <c r="E394" i="8"/>
  <c r="AG394" i="8" s="1"/>
  <c r="E156" i="8"/>
  <c r="AG156" i="8" s="1"/>
  <c r="E291" i="8"/>
  <c r="AG291" i="8" s="1"/>
  <c r="E604" i="8"/>
  <c r="AG604" i="8" s="1"/>
  <c r="E277" i="8"/>
  <c r="AG277" i="8" s="1"/>
  <c r="AN819" i="8"/>
  <c r="AO819" i="8" s="1"/>
  <c r="E2856" i="8"/>
  <c r="F2856" i="8" s="1"/>
  <c r="T2856" i="8"/>
  <c r="AN2866" i="8"/>
  <c r="AO2866" i="8" s="1"/>
  <c r="T2866" i="8"/>
  <c r="E2866" i="8"/>
  <c r="AG819" i="8"/>
  <c r="AI819" i="8" s="1"/>
  <c r="P248" i="24"/>
  <c r="AN2842" i="8"/>
  <c r="AO2842" i="8" s="1"/>
  <c r="T2842" i="8"/>
  <c r="E2842" i="8"/>
  <c r="F42" i="33" s="1"/>
  <c r="F183" i="35" s="1"/>
  <c r="H183" i="35" s="1"/>
  <c r="T2830" i="8"/>
  <c r="E2811" i="8"/>
  <c r="T2792" i="8"/>
  <c r="E2767" i="8"/>
  <c r="T3211" i="8"/>
  <c r="T169" i="1"/>
  <c r="T2762" i="8"/>
  <c r="AN2743" i="8" s="1"/>
  <c r="AO2743" i="8" s="1"/>
  <c r="F2746" i="8"/>
  <c r="E2743" i="8"/>
  <c r="N19" i="29" s="1"/>
  <c r="O19" i="29" s="1"/>
  <c r="T2737" i="8"/>
  <c r="E2720" i="8"/>
  <c r="AH2717" i="8"/>
  <c r="AH2691" i="8"/>
  <c r="T2711" i="8"/>
  <c r="E2694" i="8"/>
  <c r="T2586" i="8"/>
  <c r="T2567" i="8" s="1"/>
  <c r="AH2114" i="8"/>
  <c r="AH2509" i="8"/>
  <c r="T2528" i="8"/>
  <c r="E2512" i="8"/>
  <c r="T1953" i="8"/>
  <c r="E1937" i="8"/>
  <c r="T2131" i="8"/>
  <c r="E2117" i="8"/>
  <c r="E2567" i="8"/>
  <c r="F2570" i="8"/>
  <c r="T1531" i="8"/>
  <c r="E1509" i="8"/>
  <c r="AH1537" i="8"/>
  <c r="T1504" i="8"/>
  <c r="E1482" i="8"/>
  <c r="AH1479" i="8"/>
  <c r="AH1452" i="8"/>
  <c r="AH1562" i="8"/>
  <c r="T1477" i="8"/>
  <c r="E1455" i="8"/>
  <c r="AH1506" i="8"/>
  <c r="T1560" i="8"/>
  <c r="E1540" i="8"/>
  <c r="T1587" i="8"/>
  <c r="E1565" i="8"/>
  <c r="T855" i="8"/>
  <c r="AN832" i="8" s="1"/>
  <c r="AO832" i="8" s="1"/>
  <c r="T907" i="8"/>
  <c r="F896" i="8"/>
  <c r="E893" i="8"/>
  <c r="E183" i="25" s="1"/>
  <c r="T882" i="8"/>
  <c r="E860" i="8"/>
  <c r="E832" i="8"/>
  <c r="P293" i="24" s="1"/>
  <c r="Q293" i="24" s="1"/>
  <c r="F835" i="8"/>
  <c r="AH857" i="8"/>
  <c r="E749" i="8"/>
  <c r="P193" i="24" s="1"/>
  <c r="Q193" i="24" s="1"/>
  <c r="T769" i="8"/>
  <c r="AN749" i="8" s="1"/>
  <c r="AO749" i="8" s="1"/>
  <c r="AH771" i="8"/>
  <c r="T791" i="8"/>
  <c r="E774" i="8"/>
  <c r="AH749" i="8"/>
  <c r="T813" i="8"/>
  <c r="E796" i="8"/>
  <c r="T708" i="8"/>
  <c r="F721" i="8"/>
  <c r="E718" i="8"/>
  <c r="P175" i="24" s="1"/>
  <c r="Q175" i="24" s="1"/>
  <c r="T743" i="8"/>
  <c r="T638" i="8"/>
  <c r="AN622" i="8" s="1"/>
  <c r="AO622" i="8" s="1"/>
  <c r="AH688" i="8"/>
  <c r="F691" i="8"/>
  <c r="E688" i="8"/>
  <c r="P130" i="24" s="1"/>
  <c r="Q130" i="24" s="1"/>
  <c r="AH666" i="8"/>
  <c r="T686" i="8"/>
  <c r="E669" i="8"/>
  <c r="T664" i="8"/>
  <c r="E647" i="8"/>
  <c r="AN604" i="8"/>
  <c r="AO604" i="8" s="1"/>
  <c r="AH622" i="8"/>
  <c r="E622" i="8"/>
  <c r="P91" i="24" s="1"/>
  <c r="Q91" i="24" s="1"/>
  <c r="F625" i="8"/>
  <c r="T602" i="8"/>
  <c r="E589" i="8"/>
  <c r="AH559" i="8"/>
  <c r="T574" i="8"/>
  <c r="E562" i="8"/>
  <c r="AH415" i="8"/>
  <c r="T445" i="8"/>
  <c r="E418" i="8"/>
  <c r="AN394" i="8"/>
  <c r="AO394" i="8" s="1"/>
  <c r="T334" i="8"/>
  <c r="E312" i="8"/>
  <c r="AH309" i="8"/>
  <c r="T388" i="8"/>
  <c r="E366" i="8"/>
  <c r="AH363" i="8"/>
  <c r="T361" i="8"/>
  <c r="E339" i="8"/>
  <c r="AN291" i="8"/>
  <c r="AO291" i="8" s="1"/>
  <c r="AN277" i="8"/>
  <c r="AO277" i="8" s="1"/>
  <c r="E29" i="8"/>
  <c r="AN156" i="8"/>
  <c r="AO156" i="8" s="1"/>
  <c r="AN142" i="8"/>
  <c r="AO142" i="8" s="1"/>
  <c r="Q117" i="11"/>
  <c r="Q196" i="11"/>
  <c r="Q210" i="11"/>
  <c r="Q73" i="11"/>
  <c r="E82" i="11"/>
  <c r="F82" i="11" s="1"/>
  <c r="T73" i="11"/>
  <c r="R73" i="11"/>
  <c r="Q37" i="11"/>
  <c r="Q107" i="11"/>
  <c r="A112" i="11" s="1"/>
  <c r="Q203" i="11"/>
  <c r="Q170" i="11"/>
  <c r="Q55" i="11"/>
  <c r="Q84" i="11"/>
  <c r="R84" i="11"/>
  <c r="Q19" i="11"/>
  <c r="Q28" i="11"/>
  <c r="Q64" i="11"/>
  <c r="Q46" i="11"/>
  <c r="Q143" i="11"/>
  <c r="Q97" i="11"/>
  <c r="A103" i="11" s="1"/>
  <c r="Q217" i="11"/>
  <c r="T84" i="11"/>
  <c r="E95" i="11"/>
  <c r="F95" i="11" s="1"/>
  <c r="A29" i="1"/>
  <c r="E29" i="1"/>
  <c r="E77" i="8"/>
  <c r="E72" i="8"/>
  <c r="F72" i="8" s="1"/>
  <c r="E1218" i="27"/>
  <c r="F1218" i="27" s="1"/>
  <c r="E1216" i="27"/>
  <c r="F1216" i="27" s="1"/>
  <c r="AN23" i="8"/>
  <c r="AO23" i="8" s="1"/>
  <c r="E23" i="8"/>
  <c r="AH53" i="8"/>
  <c r="T83" i="8"/>
  <c r="E56" i="8"/>
  <c r="AI3103" i="8" l="1"/>
  <c r="E10" i="40"/>
  <c r="AN3103" i="8"/>
  <c r="AO3103" i="8" s="1"/>
  <c r="T3103" i="8"/>
  <c r="F2922" i="8"/>
  <c r="T2922" i="8" s="1"/>
  <c r="F3085" i="8"/>
  <c r="E3082" i="8"/>
  <c r="E7" i="40" s="1"/>
  <c r="F7" i="40" s="1"/>
  <c r="F55" i="40" s="1"/>
  <c r="AN3082" i="8"/>
  <c r="AO3082" i="8" s="1"/>
  <c r="E3006" i="8"/>
  <c r="E7" i="39" s="1"/>
  <c r="F7" i="39" s="1"/>
  <c r="F44" i="39" s="1"/>
  <c r="F3009" i="8"/>
  <c r="AN3006" i="8"/>
  <c r="AO3006" i="8" s="1"/>
  <c r="F3029" i="8"/>
  <c r="AI3029" i="8"/>
  <c r="F3051" i="8"/>
  <c r="AI3051" i="8"/>
  <c r="F97" i="37"/>
  <c r="F2978" i="8"/>
  <c r="T2978" i="8" s="1"/>
  <c r="AG2978" i="8"/>
  <c r="AI2978" i="8" s="1"/>
  <c r="AJ2978" i="8" s="1"/>
  <c r="AG2898" i="8"/>
  <c r="AI2898" i="8" s="1"/>
  <c r="AJ2898" i="8" s="1"/>
  <c r="F2898" i="8"/>
  <c r="AH2972" i="8"/>
  <c r="AK2922" i="8"/>
  <c r="AH2922" i="8"/>
  <c r="AH2904" i="8"/>
  <c r="F2984" i="8"/>
  <c r="AG2984" i="8"/>
  <c r="AI2904" i="8"/>
  <c r="AJ2904" i="8" s="1"/>
  <c r="AI2948" i="8"/>
  <c r="AJ2948" i="8" s="1"/>
  <c r="AG2948" i="8"/>
  <c r="F2948" i="8"/>
  <c r="AK2954" i="8"/>
  <c r="AH2954" i="8"/>
  <c r="AG2928" i="8"/>
  <c r="AI2928" i="8" s="1"/>
  <c r="AH2910" i="8"/>
  <c r="T2928" i="8"/>
  <c r="AI2972" i="8"/>
  <c r="AJ2972" i="8" s="1"/>
  <c r="AH2990" i="8"/>
  <c r="AK2990" i="8"/>
  <c r="F2916" i="8"/>
  <c r="AG2916" i="8"/>
  <c r="AI2916" i="8" s="1"/>
  <c r="AJ2916" i="8" s="1"/>
  <c r="E2934" i="8"/>
  <c r="E25" i="37" s="1"/>
  <c r="F25" i="37" s="1"/>
  <c r="F40" i="37" s="1"/>
  <c r="F2937" i="8"/>
  <c r="F2960" i="8"/>
  <c r="T2960" i="8" s="1"/>
  <c r="AG2960" i="8"/>
  <c r="T2972" i="8"/>
  <c r="AI2910" i="8"/>
  <c r="AJ2910" i="8" s="1"/>
  <c r="AN2934" i="8"/>
  <c r="AO2934" i="8" s="1"/>
  <c r="T2934" i="8"/>
  <c r="B2893" i="8"/>
  <c r="F67" i="22"/>
  <c r="G67" i="22" s="1"/>
  <c r="F64" i="22"/>
  <c r="G64" i="22" s="1"/>
  <c r="F181" i="22"/>
  <c r="G181" i="22" s="1"/>
  <c r="F604" i="8"/>
  <c r="T604" i="8" s="1"/>
  <c r="F184" i="22"/>
  <c r="G184" i="22" s="1"/>
  <c r="P78" i="24"/>
  <c r="Q78" i="24" s="1"/>
  <c r="Q106" i="24" s="1"/>
  <c r="F73" i="35" s="1"/>
  <c r="T2877" i="8"/>
  <c r="AG2856" i="8"/>
  <c r="AI2856" i="8" s="1"/>
  <c r="AJ2856" i="8" s="1"/>
  <c r="F2866" i="8"/>
  <c r="F2877" i="8" s="1"/>
  <c r="AG2866" i="8"/>
  <c r="AI2866" i="8" s="1"/>
  <c r="AJ2866" i="8" s="1"/>
  <c r="AN893" i="8"/>
  <c r="AO893" i="8" s="1"/>
  <c r="F2842" i="8"/>
  <c r="AG2842" i="8"/>
  <c r="AI2842" i="8" s="1"/>
  <c r="AJ2842" i="8" s="1"/>
  <c r="AN2567" i="8"/>
  <c r="AO2567" i="8" s="1"/>
  <c r="E2808" i="8"/>
  <c r="E9" i="30" s="1"/>
  <c r="F9" i="30" s="1"/>
  <c r="F55" i="30" s="1"/>
  <c r="F173" i="35" s="1"/>
  <c r="H173" i="35" s="1"/>
  <c r="F2811" i="8"/>
  <c r="AN2808" i="8"/>
  <c r="AO2808" i="8" s="1"/>
  <c r="F2767" i="8"/>
  <c r="E2764" i="8"/>
  <c r="N22" i="29" s="1"/>
  <c r="O22" i="29" s="1"/>
  <c r="AN2764" i="8"/>
  <c r="AO2764" i="8" s="1"/>
  <c r="AI2743" i="8"/>
  <c r="F2743" i="8"/>
  <c r="T2743" i="8" s="1"/>
  <c r="F2694" i="8"/>
  <c r="E2691" i="8"/>
  <c r="N9" i="29" s="1"/>
  <c r="O9" i="29" s="1"/>
  <c r="AN2691" i="8"/>
  <c r="AO2691" i="8" s="1"/>
  <c r="E2717" i="8"/>
  <c r="N14" i="29" s="1"/>
  <c r="O14" i="29" s="1"/>
  <c r="F2720" i="8"/>
  <c r="AN2717" i="8"/>
  <c r="AO2717" i="8" s="1"/>
  <c r="F29" i="8"/>
  <c r="F36" i="8" s="1"/>
  <c r="AI2567" i="8"/>
  <c r="F2567" i="8"/>
  <c r="F2117" i="8"/>
  <c r="E2114" i="8"/>
  <c r="AN2114" i="8"/>
  <c r="AO2114" i="8" s="1"/>
  <c r="T2114" i="8"/>
  <c r="E1934" i="8"/>
  <c r="F1937" i="8"/>
  <c r="AN1934" i="8"/>
  <c r="AO1934" i="8" s="1"/>
  <c r="T1934" i="8"/>
  <c r="F2512" i="8"/>
  <c r="E2509" i="8"/>
  <c r="AN2509" i="8"/>
  <c r="AO2509" i="8" s="1"/>
  <c r="T2509" i="8"/>
  <c r="E1452" i="8"/>
  <c r="P1168" i="27" s="1"/>
  <c r="F1455" i="8"/>
  <c r="F1482" i="8"/>
  <c r="E1479" i="8"/>
  <c r="P1170" i="27" s="1"/>
  <c r="Q1170" i="27" s="1"/>
  <c r="AN1452" i="8"/>
  <c r="AO1452" i="8" s="1"/>
  <c r="AN1479" i="8"/>
  <c r="AO1479" i="8" s="1"/>
  <c r="E1562" i="8"/>
  <c r="P1189" i="27" s="1"/>
  <c r="Q1189" i="27" s="1"/>
  <c r="F1565" i="8"/>
  <c r="AN1562" i="8"/>
  <c r="AO1562" i="8" s="1"/>
  <c r="F1540" i="8"/>
  <c r="E1537" i="8"/>
  <c r="P1187" i="27" s="1"/>
  <c r="Q1187" i="27" s="1"/>
  <c r="F1509" i="8"/>
  <c r="E1506" i="8"/>
  <c r="P1172" i="27" s="1"/>
  <c r="Q1172" i="27" s="1"/>
  <c r="AN1537" i="8"/>
  <c r="AO1537" i="8" s="1"/>
  <c r="AN1506" i="8"/>
  <c r="AO1506" i="8" s="1"/>
  <c r="AI893" i="8"/>
  <c r="F893" i="8"/>
  <c r="F910" i="8" s="1"/>
  <c r="AI832" i="8"/>
  <c r="F832" i="8"/>
  <c r="E857" i="8"/>
  <c r="P295" i="24" s="1"/>
  <c r="Q295" i="24" s="1"/>
  <c r="Q320" i="24" s="1"/>
  <c r="F81" i="35" s="1"/>
  <c r="F860" i="8"/>
  <c r="AN857" i="8"/>
  <c r="AO857" i="8" s="1"/>
  <c r="F749" i="8"/>
  <c r="E751" i="8" s="1"/>
  <c r="AI749" i="8"/>
  <c r="AN688" i="8"/>
  <c r="AO688" i="8" s="1"/>
  <c r="F774" i="8"/>
  <c r="E771" i="8"/>
  <c r="P195" i="24" s="1"/>
  <c r="Q195" i="24" s="1"/>
  <c r="AN771" i="8"/>
  <c r="AO771" i="8" s="1"/>
  <c r="F796" i="8"/>
  <c r="E793" i="8"/>
  <c r="P197" i="24" s="1"/>
  <c r="Q197" i="24" s="1"/>
  <c r="AN793" i="8"/>
  <c r="AO793" i="8" s="1"/>
  <c r="AN718" i="8"/>
  <c r="AO718" i="8" s="1"/>
  <c r="AI718" i="8"/>
  <c r="F718" i="8"/>
  <c r="T718" i="8" s="1"/>
  <c r="AI688" i="8"/>
  <c r="F688" i="8"/>
  <c r="T688" i="8" s="1"/>
  <c r="AN666" i="8"/>
  <c r="AO666" i="8" s="1"/>
  <c r="F669" i="8"/>
  <c r="E666" i="8"/>
  <c r="P128" i="24" s="1"/>
  <c r="Q128" i="24" s="1"/>
  <c r="F647" i="8"/>
  <c r="E644" i="8"/>
  <c r="P126" i="24" s="1"/>
  <c r="Q126" i="24" s="1"/>
  <c r="AN644" i="8"/>
  <c r="AO644" i="8" s="1"/>
  <c r="F622" i="8"/>
  <c r="AI622" i="8"/>
  <c r="AH604" i="8"/>
  <c r="AI604" i="8"/>
  <c r="AJ604" i="8" s="1"/>
  <c r="E586" i="8"/>
  <c r="P28" i="24" s="1"/>
  <c r="Q28" i="24" s="1"/>
  <c r="Q54" i="24" s="1"/>
  <c r="F71" i="35" s="1"/>
  <c r="F589" i="8"/>
  <c r="AN586" i="8"/>
  <c r="AO586" i="8" s="1"/>
  <c r="E559" i="8"/>
  <c r="E15" i="23" s="1"/>
  <c r="F562" i="8"/>
  <c r="AN559" i="8"/>
  <c r="AO559" i="8" s="1"/>
  <c r="E415" i="8"/>
  <c r="F292" i="22" s="1"/>
  <c r="G292" i="22" s="1"/>
  <c r="F418" i="8"/>
  <c r="AN415" i="8"/>
  <c r="AO415" i="8" s="1"/>
  <c r="E363" i="8"/>
  <c r="F366" i="8"/>
  <c r="AN363" i="8"/>
  <c r="AO363" i="8" s="1"/>
  <c r="E336" i="8"/>
  <c r="F339" i="8"/>
  <c r="F312" i="8"/>
  <c r="E309" i="8"/>
  <c r="AN336" i="8"/>
  <c r="AO336" i="8" s="1"/>
  <c r="AN309" i="8"/>
  <c r="AO309" i="8" s="1"/>
  <c r="F251" i="22"/>
  <c r="G251" i="22" s="1"/>
  <c r="G280" i="22" s="1"/>
  <c r="F58" i="35" s="1"/>
  <c r="AI394" i="8"/>
  <c r="AJ394" i="8" s="1"/>
  <c r="F394" i="8"/>
  <c r="T394" i="8" s="1"/>
  <c r="AI277" i="8"/>
  <c r="AJ277" i="8" s="1"/>
  <c r="F277" i="8"/>
  <c r="T277" i="8" s="1"/>
  <c r="F291" i="8"/>
  <c r="T291" i="8" s="1"/>
  <c r="AI291" i="8"/>
  <c r="AJ291" i="8" s="1"/>
  <c r="AG29" i="8"/>
  <c r="AH29" i="8" s="1"/>
  <c r="F156" i="8"/>
  <c r="T156" i="8" s="1"/>
  <c r="F142" i="8"/>
  <c r="T142" i="8" s="1"/>
  <c r="T29" i="8"/>
  <c r="T36" i="8" s="1"/>
  <c r="A139" i="11"/>
  <c r="A120" i="11"/>
  <c r="A124" i="11"/>
  <c r="A127" i="11"/>
  <c r="A138" i="11"/>
  <c r="A119" i="11"/>
  <c r="A129" i="11"/>
  <c r="A125" i="11"/>
  <c r="A121" i="11"/>
  <c r="A128" i="11"/>
  <c r="A133" i="11"/>
  <c r="A130" i="11"/>
  <c r="A136" i="11"/>
  <c r="A132" i="11"/>
  <c r="A122" i="11"/>
  <c r="A131" i="11"/>
  <c r="A123" i="11"/>
  <c r="A135" i="11"/>
  <c r="A137" i="11"/>
  <c r="A126" i="11"/>
  <c r="A100" i="11"/>
  <c r="A101" i="11"/>
  <c r="A99" i="11"/>
  <c r="A102" i="11"/>
  <c r="A31" i="11"/>
  <c r="A33" i="11"/>
  <c r="A32" i="11"/>
  <c r="A30" i="11"/>
  <c r="A183" i="11"/>
  <c r="A190" i="11"/>
  <c r="A185" i="11"/>
  <c r="A179" i="11"/>
  <c r="A184" i="11"/>
  <c r="A173" i="11"/>
  <c r="A174" i="11"/>
  <c r="A182" i="11"/>
  <c r="A177" i="11"/>
  <c r="A186" i="11"/>
  <c r="A175" i="11"/>
  <c r="A172" i="11"/>
  <c r="A192" i="11"/>
  <c r="A180" i="11"/>
  <c r="A191" i="11"/>
  <c r="A178" i="11"/>
  <c r="A188" i="11"/>
  <c r="A181" i="11"/>
  <c r="A176" i="11"/>
  <c r="A189" i="11"/>
  <c r="A149" i="11"/>
  <c r="A148" i="11"/>
  <c r="A146" i="11"/>
  <c r="A150" i="11"/>
  <c r="A162" i="11"/>
  <c r="A152" i="11"/>
  <c r="A165" i="11"/>
  <c r="A164" i="11"/>
  <c r="A147" i="11"/>
  <c r="A163" i="11"/>
  <c r="A154" i="11"/>
  <c r="A160" i="11"/>
  <c r="A159" i="11"/>
  <c r="A156" i="11"/>
  <c r="A166" i="11"/>
  <c r="A157" i="11"/>
  <c r="A151" i="11"/>
  <c r="A158" i="11"/>
  <c r="A153" i="11"/>
  <c r="A155" i="11"/>
  <c r="A23" i="11"/>
  <c r="A22" i="11"/>
  <c r="A24" i="11"/>
  <c r="A21" i="11"/>
  <c r="A206" i="11"/>
  <c r="A205" i="11"/>
  <c r="A49" i="11"/>
  <c r="A48" i="11"/>
  <c r="A50" i="11"/>
  <c r="A51" i="11"/>
  <c r="A110" i="11"/>
  <c r="A113" i="11"/>
  <c r="A109" i="11"/>
  <c r="A111" i="11"/>
  <c r="A213" i="11"/>
  <c r="A212" i="11"/>
  <c r="A224" i="11"/>
  <c r="A219" i="11"/>
  <c r="A223" i="11"/>
  <c r="A221" i="11"/>
  <c r="A222" i="11"/>
  <c r="A220" i="11"/>
  <c r="A67" i="11"/>
  <c r="A66" i="11"/>
  <c r="A68" i="11"/>
  <c r="A69" i="11"/>
  <c r="A60" i="11"/>
  <c r="A59" i="11"/>
  <c r="A58" i="11"/>
  <c r="A57" i="11"/>
  <c r="A42" i="11"/>
  <c r="A41" i="11"/>
  <c r="A40" i="11"/>
  <c r="A39" i="11"/>
  <c r="A199" i="11"/>
  <c r="A198" i="11"/>
  <c r="E24" i="29"/>
  <c r="F24" i="29" s="1"/>
  <c r="E9" i="29"/>
  <c r="F9" i="29" s="1"/>
  <c r="E19" i="29"/>
  <c r="F19" i="29" s="1"/>
  <c r="E1239" i="27"/>
  <c r="F1239" i="27" s="1"/>
  <c r="E1237" i="27"/>
  <c r="F1237" i="27" s="1"/>
  <c r="E1220" i="27"/>
  <c r="F1220" i="27" s="1"/>
  <c r="F183" i="25"/>
  <c r="F216" i="25" s="1"/>
  <c r="F94" i="35" s="1"/>
  <c r="H94" i="35" s="1"/>
  <c r="E257" i="24"/>
  <c r="F257" i="24" s="1"/>
  <c r="F278" i="24" s="1"/>
  <c r="E316" i="24"/>
  <c r="E53" i="8"/>
  <c r="F56" i="8"/>
  <c r="AN53" i="8"/>
  <c r="AO53" i="8" s="1"/>
  <c r="F23" i="8"/>
  <c r="T23" i="8" s="1"/>
  <c r="AG23" i="8"/>
  <c r="E145" i="24"/>
  <c r="F145" i="24" s="1"/>
  <c r="F170" i="24" s="1"/>
  <c r="AI3082" i="8" l="1"/>
  <c r="F3082" i="8"/>
  <c r="AK2972" i="8"/>
  <c r="AJ3051" i="8"/>
  <c r="AK3051" i="8"/>
  <c r="F3064" i="8"/>
  <c r="E3053" i="8"/>
  <c r="T3051" i="8"/>
  <c r="AJ3029" i="8"/>
  <c r="AK3029" i="8"/>
  <c r="E3031" i="8"/>
  <c r="F3044" i="8"/>
  <c r="T3029" i="8"/>
  <c r="AI3006" i="8"/>
  <c r="F3006" i="8"/>
  <c r="AK2916" i="8"/>
  <c r="AH2916" i="8"/>
  <c r="AH2984" i="8"/>
  <c r="T2898" i="8"/>
  <c r="T2967" i="8" s="1"/>
  <c r="AH2960" i="8"/>
  <c r="AI2984" i="8"/>
  <c r="AJ2984" i="8" s="1"/>
  <c r="AI2960" i="8"/>
  <c r="AJ2960" i="8" s="1"/>
  <c r="AK2904" i="8"/>
  <c r="AK2898" i="8"/>
  <c r="AH2898" i="8"/>
  <c r="AH2948" i="8"/>
  <c r="AK2948" i="8"/>
  <c r="AK2978" i="8"/>
  <c r="AH2978" i="8"/>
  <c r="F2934" i="8"/>
  <c r="F2967" i="8" s="1"/>
  <c r="AI2934" i="8"/>
  <c r="AK2910" i="8"/>
  <c r="T3131" i="8"/>
  <c r="AJ3131" i="8" s="1"/>
  <c r="B2877" i="8"/>
  <c r="AK2856" i="8"/>
  <c r="AH2856" i="8"/>
  <c r="AK2866" i="8"/>
  <c r="AH2866" i="8"/>
  <c r="T749" i="8"/>
  <c r="H101" i="35"/>
  <c r="AK2842" i="8"/>
  <c r="AH2842" i="8"/>
  <c r="F2808" i="8"/>
  <c r="F2833" i="8" s="1"/>
  <c r="AI2808" i="8"/>
  <c r="F51" i="21"/>
  <c r="F40" i="35" s="1"/>
  <c r="H40" i="35" s="1"/>
  <c r="F2764" i="8"/>
  <c r="T2764" i="8" s="1"/>
  <c r="AI2764" i="8"/>
  <c r="O44" i="29"/>
  <c r="F168" i="35" s="1"/>
  <c r="H168" i="35" s="1"/>
  <c r="F2757" i="8"/>
  <c r="E2745" i="8"/>
  <c r="AK2743" i="8"/>
  <c r="AJ2743" i="8"/>
  <c r="F2717" i="8"/>
  <c r="AI2717" i="8"/>
  <c r="AI2691" i="8"/>
  <c r="F2691" i="8"/>
  <c r="AI1934" i="8"/>
  <c r="F1934" i="8"/>
  <c r="E2569" i="8"/>
  <c r="F2580" i="8"/>
  <c r="AI2509" i="8"/>
  <c r="F2509" i="8"/>
  <c r="AJ2567" i="8"/>
  <c r="AK2567" i="8"/>
  <c r="AI2114" i="8"/>
  <c r="F2114" i="8"/>
  <c r="Q1235" i="27"/>
  <c r="F146" i="35" s="1"/>
  <c r="AI1506" i="8"/>
  <c r="F1506" i="8"/>
  <c r="AI1537" i="8"/>
  <c r="F1537" i="8"/>
  <c r="AI1479" i="8"/>
  <c r="F1479" i="8"/>
  <c r="AI1562" i="8"/>
  <c r="F1562" i="8"/>
  <c r="F1452" i="8"/>
  <c r="AI1452" i="8"/>
  <c r="F763" i="8"/>
  <c r="F901" i="8"/>
  <c r="E895" i="8"/>
  <c r="T893" i="8"/>
  <c r="T910" i="8" s="1"/>
  <c r="B910" i="8" s="1"/>
  <c r="AJ893" i="8"/>
  <c r="AK893" i="8"/>
  <c r="Q211" i="24"/>
  <c r="F77" i="35" s="1"/>
  <c r="AI857" i="8"/>
  <c r="F857" i="8"/>
  <c r="E834" i="8"/>
  <c r="F849" i="8"/>
  <c r="T832" i="8"/>
  <c r="AJ832" i="8"/>
  <c r="AK832" i="8"/>
  <c r="AJ749" i="8"/>
  <c r="AK749" i="8"/>
  <c r="AI793" i="8"/>
  <c r="F793" i="8"/>
  <c r="T793" i="8" s="1"/>
  <c r="AI771" i="8"/>
  <c r="F771" i="8"/>
  <c r="T771" i="8" s="1"/>
  <c r="F737" i="8"/>
  <c r="E720" i="8"/>
  <c r="AK718" i="8"/>
  <c r="AJ718" i="8"/>
  <c r="Q162" i="24"/>
  <c r="F75" i="35" s="1"/>
  <c r="F702" i="8"/>
  <c r="E690" i="8"/>
  <c r="AJ688" i="8"/>
  <c r="AK688" i="8"/>
  <c r="AI666" i="8"/>
  <c r="F666" i="8"/>
  <c r="T666" i="8" s="1"/>
  <c r="AI644" i="8"/>
  <c r="F644" i="8"/>
  <c r="T644" i="8" s="1"/>
  <c r="F15" i="23"/>
  <c r="F53" i="23" s="1"/>
  <c r="F45" i="35" s="1"/>
  <c r="H45" i="35" s="1"/>
  <c r="AJ622" i="8"/>
  <c r="AK622" i="8"/>
  <c r="E624" i="8"/>
  <c r="F632" i="8"/>
  <c r="T622" i="8"/>
  <c r="AK604" i="8"/>
  <c r="F586" i="8"/>
  <c r="AI586" i="8"/>
  <c r="F559" i="8"/>
  <c r="F577" i="8" s="1"/>
  <c r="AI559" i="8"/>
  <c r="B36" i="8"/>
  <c r="F415" i="8"/>
  <c r="AI415" i="8"/>
  <c r="F198" i="22"/>
  <c r="G198" i="22" s="1"/>
  <c r="AI309" i="8"/>
  <c r="F309" i="8"/>
  <c r="AI29" i="8"/>
  <c r="AJ29" i="8" s="1"/>
  <c r="AH394" i="8"/>
  <c r="AK394" i="8"/>
  <c r="F200" i="22"/>
  <c r="G200" i="22" s="1"/>
  <c r="AI336" i="8"/>
  <c r="F336" i="8"/>
  <c r="F202" i="22"/>
  <c r="G202" i="22" s="1"/>
  <c r="AI363" i="8"/>
  <c r="F363" i="8"/>
  <c r="AK291" i="8"/>
  <c r="AH291" i="8"/>
  <c r="AH277" i="8"/>
  <c r="AK277" i="8"/>
  <c r="AH156" i="8"/>
  <c r="AI156" i="8"/>
  <c r="AJ156" i="8" s="1"/>
  <c r="AH142" i="8"/>
  <c r="AI142" i="8"/>
  <c r="AJ142" i="8" s="1"/>
  <c r="F11" i="22"/>
  <c r="G11" i="22" s="1"/>
  <c r="R131" i="11"/>
  <c r="T131" i="11"/>
  <c r="R125" i="11"/>
  <c r="T125" i="11"/>
  <c r="R127" i="11"/>
  <c r="T127" i="11"/>
  <c r="R137" i="11"/>
  <c r="T137" i="11"/>
  <c r="R133" i="11"/>
  <c r="T133" i="11"/>
  <c r="R124" i="11"/>
  <c r="T124" i="11"/>
  <c r="R135" i="11"/>
  <c r="T135" i="11"/>
  <c r="R128" i="11"/>
  <c r="T128" i="11"/>
  <c r="R120" i="11"/>
  <c r="T120" i="11"/>
  <c r="R122" i="11"/>
  <c r="T122" i="11"/>
  <c r="R129" i="11"/>
  <c r="T129" i="11"/>
  <c r="R132" i="11"/>
  <c r="T132" i="11"/>
  <c r="R119" i="11"/>
  <c r="T119" i="11"/>
  <c r="R136" i="11"/>
  <c r="T136" i="11"/>
  <c r="R138" i="11"/>
  <c r="T138" i="11"/>
  <c r="R126" i="11"/>
  <c r="T126" i="11"/>
  <c r="R130" i="11"/>
  <c r="T130" i="11"/>
  <c r="R123" i="11"/>
  <c r="T123" i="11"/>
  <c r="R121" i="11"/>
  <c r="T121" i="11"/>
  <c r="R139" i="11"/>
  <c r="T139" i="11"/>
  <c r="R59" i="11"/>
  <c r="T59" i="11"/>
  <c r="R206" i="11"/>
  <c r="T206" i="11"/>
  <c r="R31" i="11"/>
  <c r="T31" i="11"/>
  <c r="R57" i="11"/>
  <c r="T57" i="11"/>
  <c r="R220" i="11"/>
  <c r="T220" i="11"/>
  <c r="R111" i="11"/>
  <c r="T111" i="11"/>
  <c r="R49" i="11"/>
  <c r="T49" i="11"/>
  <c r="R153" i="11"/>
  <c r="T153" i="11"/>
  <c r="R154" i="11"/>
  <c r="T154" i="11"/>
  <c r="R146" i="11"/>
  <c r="T146" i="11"/>
  <c r="R191" i="11"/>
  <c r="T191" i="11"/>
  <c r="R174" i="11"/>
  <c r="T174" i="11"/>
  <c r="R32" i="11"/>
  <c r="T32" i="11"/>
  <c r="R58" i="11"/>
  <c r="T58" i="11"/>
  <c r="R222" i="11"/>
  <c r="T222" i="11"/>
  <c r="R109" i="11"/>
  <c r="T109" i="11"/>
  <c r="R205" i="11"/>
  <c r="T205" i="11"/>
  <c r="R158" i="11"/>
  <c r="T158" i="11"/>
  <c r="R163" i="11"/>
  <c r="T163" i="11"/>
  <c r="R148" i="11"/>
  <c r="T148" i="11"/>
  <c r="R180" i="11"/>
  <c r="T180" i="11"/>
  <c r="R173" i="11"/>
  <c r="T173" i="11"/>
  <c r="R33" i="11"/>
  <c r="T33" i="11"/>
  <c r="R151" i="11"/>
  <c r="T151" i="11"/>
  <c r="R199" i="11"/>
  <c r="T199" i="11"/>
  <c r="R60" i="11"/>
  <c r="T60" i="11"/>
  <c r="R223" i="11"/>
  <c r="T223" i="11"/>
  <c r="R113" i="11"/>
  <c r="T113" i="11"/>
  <c r="R21" i="11"/>
  <c r="T21" i="11"/>
  <c r="R157" i="11"/>
  <c r="T157" i="11"/>
  <c r="R164" i="11"/>
  <c r="T164" i="11"/>
  <c r="R189" i="11"/>
  <c r="T189" i="11"/>
  <c r="R172" i="11"/>
  <c r="T172" i="11"/>
  <c r="R179" i="11"/>
  <c r="T179" i="11"/>
  <c r="R102" i="11"/>
  <c r="T102" i="11"/>
  <c r="R184" i="11"/>
  <c r="T184" i="11"/>
  <c r="R39" i="11"/>
  <c r="T39" i="11"/>
  <c r="R69" i="11"/>
  <c r="T69" i="11"/>
  <c r="R219" i="11"/>
  <c r="T219" i="11"/>
  <c r="R110" i="11"/>
  <c r="T110" i="11"/>
  <c r="R24" i="11"/>
  <c r="T24" i="11"/>
  <c r="R166" i="11"/>
  <c r="T166" i="11"/>
  <c r="R165" i="11"/>
  <c r="T165" i="11"/>
  <c r="R176" i="11"/>
  <c r="T176" i="11"/>
  <c r="R175" i="11"/>
  <c r="T175" i="11"/>
  <c r="R185" i="11"/>
  <c r="T185" i="11"/>
  <c r="R103" i="11"/>
  <c r="T103" i="11"/>
  <c r="R198" i="11"/>
  <c r="T198" i="11"/>
  <c r="R112" i="11"/>
  <c r="T112" i="11"/>
  <c r="R192" i="11"/>
  <c r="T192" i="11"/>
  <c r="R40" i="11"/>
  <c r="T40" i="11"/>
  <c r="R68" i="11"/>
  <c r="T68" i="11"/>
  <c r="R224" i="11"/>
  <c r="T224" i="11"/>
  <c r="R51" i="11"/>
  <c r="T51" i="11"/>
  <c r="R22" i="11"/>
  <c r="T22" i="11"/>
  <c r="R156" i="11"/>
  <c r="T156" i="11"/>
  <c r="R152" i="11"/>
  <c r="T152" i="11"/>
  <c r="R181" i="11"/>
  <c r="T181" i="11"/>
  <c r="R186" i="11"/>
  <c r="T186" i="11"/>
  <c r="R190" i="11"/>
  <c r="T190" i="11"/>
  <c r="R99" i="11"/>
  <c r="T99" i="11"/>
  <c r="R149" i="11"/>
  <c r="T149" i="11"/>
  <c r="R41" i="11"/>
  <c r="T41" i="11"/>
  <c r="R66" i="11"/>
  <c r="T66" i="11"/>
  <c r="R212" i="11"/>
  <c r="T212" i="11"/>
  <c r="R50" i="11"/>
  <c r="T50" i="11"/>
  <c r="R23" i="11"/>
  <c r="T23" i="11"/>
  <c r="R159" i="11"/>
  <c r="T159" i="11"/>
  <c r="R162" i="11"/>
  <c r="T162" i="11"/>
  <c r="R188" i="11"/>
  <c r="T188" i="11"/>
  <c r="R177" i="11"/>
  <c r="T177" i="11"/>
  <c r="R183" i="11"/>
  <c r="T183" i="11"/>
  <c r="R101" i="11"/>
  <c r="T101" i="11"/>
  <c r="R221" i="11"/>
  <c r="T221" i="11"/>
  <c r="R147" i="11"/>
  <c r="T147" i="11"/>
  <c r="R42" i="11"/>
  <c r="T42" i="11"/>
  <c r="R67" i="11"/>
  <c r="T67" i="11"/>
  <c r="R213" i="11"/>
  <c r="T213" i="11"/>
  <c r="R48" i="11"/>
  <c r="T48" i="11"/>
  <c r="R155" i="11"/>
  <c r="T155" i="11"/>
  <c r="R160" i="11"/>
  <c r="T160" i="11"/>
  <c r="R150" i="11"/>
  <c r="T150" i="11"/>
  <c r="R178" i="11"/>
  <c r="T178" i="11"/>
  <c r="R182" i="11"/>
  <c r="T182" i="11"/>
  <c r="R30" i="11"/>
  <c r="T30" i="11"/>
  <c r="R100" i="11"/>
  <c r="T100" i="11"/>
  <c r="E204" i="24"/>
  <c r="F204" i="24" s="1"/>
  <c r="F221" i="24" s="1"/>
  <c r="F1285" i="27"/>
  <c r="F164" i="27"/>
  <c r="F106" i="27"/>
  <c r="F222" i="27"/>
  <c r="F53" i="29"/>
  <c r="AH23" i="8"/>
  <c r="AI53" i="8"/>
  <c r="F53" i="8"/>
  <c r="AI23" i="8"/>
  <c r="AJ23" i="8" s="1"/>
  <c r="AK2960" i="8" l="1"/>
  <c r="AK2984" i="8"/>
  <c r="F3125" i="8"/>
  <c r="E3084" i="8"/>
  <c r="F3095" i="8"/>
  <c r="T3082" i="8"/>
  <c r="T3125" i="8" s="1"/>
  <c r="AJ3082" i="8"/>
  <c r="AK3082" i="8"/>
  <c r="E3008" i="8"/>
  <c r="F3022" i="8"/>
  <c r="F3073" i="8"/>
  <c r="T3006" i="8"/>
  <c r="AJ3006" i="8"/>
  <c r="AK3006" i="8"/>
  <c r="F2997" i="8"/>
  <c r="B2967" i="8"/>
  <c r="AJ2934" i="8"/>
  <c r="AK2934" i="8"/>
  <c r="F2941" i="8"/>
  <c r="E2936" i="8"/>
  <c r="T3133" i="8"/>
  <c r="F3133" i="8"/>
  <c r="T24" i="1"/>
  <c r="H178" i="35"/>
  <c r="F2795" i="8"/>
  <c r="F885" i="8"/>
  <c r="T53" i="8"/>
  <c r="H83" i="35"/>
  <c r="AJ2808" i="8"/>
  <c r="AK2808" i="8"/>
  <c r="F2824" i="8"/>
  <c r="E2810" i="8"/>
  <c r="T2808" i="8"/>
  <c r="T2833" i="8" s="1"/>
  <c r="B2833" i="8" s="1"/>
  <c r="AK2764" i="8"/>
  <c r="AJ2764" i="8"/>
  <c r="F2782" i="8"/>
  <c r="E2766" i="8"/>
  <c r="E2693" i="8"/>
  <c r="F2705" i="8"/>
  <c r="T2691" i="8"/>
  <c r="AJ2717" i="8"/>
  <c r="AK2717" i="8"/>
  <c r="AJ2691" i="8"/>
  <c r="AK2691" i="8"/>
  <c r="F2731" i="8"/>
  <c r="E2719" i="8"/>
  <c r="T2717" i="8"/>
  <c r="AJ2509" i="8"/>
  <c r="AK2509" i="8"/>
  <c r="E2511" i="8"/>
  <c r="F2522" i="8"/>
  <c r="F2125" i="8"/>
  <c r="E2116" i="8"/>
  <c r="E1936" i="8"/>
  <c r="F1947" i="8"/>
  <c r="AJ2114" i="8"/>
  <c r="AK2114" i="8"/>
  <c r="AJ1934" i="8"/>
  <c r="AK1934" i="8"/>
  <c r="F1581" i="8"/>
  <c r="E1564" i="8"/>
  <c r="T1562" i="8"/>
  <c r="AJ1562" i="8"/>
  <c r="AK1562" i="8"/>
  <c r="F1498" i="8"/>
  <c r="E1481" i="8"/>
  <c r="T1479" i="8"/>
  <c r="AJ1479" i="8"/>
  <c r="AK1479" i="8"/>
  <c r="E1539" i="8"/>
  <c r="F1554" i="8"/>
  <c r="T1537" i="8"/>
  <c r="AJ1537" i="8"/>
  <c r="AK1537" i="8"/>
  <c r="AJ1452" i="8"/>
  <c r="AK1452" i="8"/>
  <c r="F1525" i="8"/>
  <c r="E1508" i="8"/>
  <c r="T1506" i="8"/>
  <c r="F1471" i="8"/>
  <c r="E1454" i="8"/>
  <c r="T1452" i="8"/>
  <c r="AJ1506" i="8"/>
  <c r="AK1506" i="8"/>
  <c r="F876" i="8"/>
  <c r="E859" i="8"/>
  <c r="T857" i="8"/>
  <c r="AJ857" i="8"/>
  <c r="AK857" i="8"/>
  <c r="F785" i="8"/>
  <c r="E773" i="8"/>
  <c r="AJ771" i="8"/>
  <c r="AK771" i="8"/>
  <c r="F807" i="8"/>
  <c r="E795" i="8"/>
  <c r="AJ793" i="8"/>
  <c r="AK793" i="8"/>
  <c r="F680" i="8"/>
  <c r="E668" i="8"/>
  <c r="AJ666" i="8"/>
  <c r="AK666" i="8"/>
  <c r="F658" i="8"/>
  <c r="E646" i="8"/>
  <c r="AK644" i="8"/>
  <c r="AJ644" i="8"/>
  <c r="AJ586" i="8"/>
  <c r="AK586" i="8"/>
  <c r="E588" i="8"/>
  <c r="F596" i="8"/>
  <c r="T586" i="8"/>
  <c r="AJ559" i="8"/>
  <c r="AK559" i="8"/>
  <c r="F568" i="8"/>
  <c r="E561" i="8"/>
  <c r="T559" i="8"/>
  <c r="T577" i="8" s="1"/>
  <c r="B577" i="8" s="1"/>
  <c r="AJ415" i="8"/>
  <c r="AK415" i="8"/>
  <c r="AK29" i="8"/>
  <c r="E417" i="8"/>
  <c r="F439" i="8"/>
  <c r="T415" i="8"/>
  <c r="AJ336" i="8"/>
  <c r="AK336" i="8"/>
  <c r="F382" i="8"/>
  <c r="E365" i="8"/>
  <c r="T363" i="8"/>
  <c r="AJ363" i="8"/>
  <c r="AK363" i="8"/>
  <c r="E311" i="8"/>
  <c r="F328" i="8"/>
  <c r="T309" i="8"/>
  <c r="AJ309" i="8"/>
  <c r="AK309" i="8"/>
  <c r="F355" i="8"/>
  <c r="E338" i="8"/>
  <c r="T336" i="8"/>
  <c r="AK156" i="8"/>
  <c r="AK142" i="8"/>
  <c r="R280" i="11"/>
  <c r="R3197" i="8" s="1"/>
  <c r="R155" i="1" s="1"/>
  <c r="T141" i="11"/>
  <c r="T117" i="11" s="1"/>
  <c r="R141" i="11"/>
  <c r="T280" i="11"/>
  <c r="T3197" i="8" s="1"/>
  <c r="T155" i="1" s="1"/>
  <c r="S155" i="1" s="1"/>
  <c r="R35" i="11"/>
  <c r="R28" i="11" s="1"/>
  <c r="R1295" i="8" s="1"/>
  <c r="T245" i="11"/>
  <c r="T3162" i="8" s="1"/>
  <c r="T62" i="11"/>
  <c r="T55" i="11" s="1"/>
  <c r="R243" i="11"/>
  <c r="R3160" i="8" s="1"/>
  <c r="R118" i="1" s="1"/>
  <c r="T35" i="11"/>
  <c r="T28" i="11" s="1"/>
  <c r="T1295" i="8" s="1"/>
  <c r="T1307" i="8" s="1"/>
  <c r="AN1282" i="8" s="1"/>
  <c r="T243" i="11"/>
  <c r="T3160" i="8" s="1"/>
  <c r="T118" i="1" s="1"/>
  <c r="S118" i="1" s="1"/>
  <c r="R245" i="11"/>
  <c r="R3162" i="8" s="1"/>
  <c r="R215" i="11"/>
  <c r="R210" i="11" s="1"/>
  <c r="Q2545" i="8" s="1"/>
  <c r="R2545" i="8" s="1"/>
  <c r="R62" i="11"/>
  <c r="R244" i="11"/>
  <c r="R3161" i="8" s="1"/>
  <c r="R119" i="1" s="1"/>
  <c r="R53" i="11"/>
  <c r="R46" i="11" s="1"/>
  <c r="T71" i="11"/>
  <c r="T64" i="11" s="1"/>
  <c r="T244" i="11"/>
  <c r="T3161" i="8" s="1"/>
  <c r="T119" i="1" s="1"/>
  <c r="S119" i="1" s="1"/>
  <c r="R71" i="11"/>
  <c r="R64" i="11" s="1"/>
  <c r="R201" i="11"/>
  <c r="R242" i="11"/>
  <c r="R3159" i="8" s="1"/>
  <c r="R117" i="1" s="1"/>
  <c r="R115" i="11"/>
  <c r="T53" i="11"/>
  <c r="T46" i="11" s="1"/>
  <c r="T226" i="11"/>
  <c r="T217" i="11" s="1"/>
  <c r="S2547" i="8" s="1"/>
  <c r="T2547" i="8" s="1"/>
  <c r="T201" i="11"/>
  <c r="T196" i="11" s="1"/>
  <c r="S2541" i="8" s="1"/>
  <c r="T2541" i="8" s="1"/>
  <c r="T242" i="11"/>
  <c r="T3159" i="8" s="1"/>
  <c r="T117" i="1" s="1"/>
  <c r="S117" i="1" s="1"/>
  <c r="T115" i="11"/>
  <c r="T107" i="11" s="1"/>
  <c r="S266" i="8" s="1"/>
  <c r="T266" i="8" s="1"/>
  <c r="T268" i="8" s="1"/>
  <c r="T275" i="8" s="1"/>
  <c r="AN261" i="8" s="1"/>
  <c r="R226" i="11"/>
  <c r="T234" i="11"/>
  <c r="T3151" i="8" s="1"/>
  <c r="T109" i="1" s="1"/>
  <c r="S109" i="1" s="1"/>
  <c r="T168" i="11"/>
  <c r="T143" i="11" s="1"/>
  <c r="S2539" i="8" s="1"/>
  <c r="T2539" i="8" s="1"/>
  <c r="T247" i="11"/>
  <c r="T3164" i="8" s="1"/>
  <c r="T122" i="1" s="1"/>
  <c r="S122" i="1" s="1"/>
  <c r="R234" i="11"/>
  <c r="R3151" i="8" s="1"/>
  <c r="R109" i="1" s="1"/>
  <c r="R168" i="11"/>
  <c r="R247" i="11"/>
  <c r="R3164" i="8" s="1"/>
  <c r="R122" i="1" s="1"/>
  <c r="T215" i="11"/>
  <c r="T210" i="11" s="1"/>
  <c r="S2545" i="8" s="1"/>
  <c r="T2545" i="8" s="1"/>
  <c r="T105" i="11"/>
  <c r="T97" i="11" s="1"/>
  <c r="T283" i="11"/>
  <c r="T44" i="11"/>
  <c r="T37" i="11" s="1"/>
  <c r="T194" i="11"/>
  <c r="T170" i="11" s="1"/>
  <c r="T26" i="11"/>
  <c r="T19" i="11" s="1"/>
  <c r="T208" i="11"/>
  <c r="T203" i="11" s="1"/>
  <c r="S2543" i="8" s="1"/>
  <c r="T2543" i="8" s="1"/>
  <c r="R105" i="11"/>
  <c r="R283" i="11"/>
  <c r="R44" i="11"/>
  <c r="R194" i="11"/>
  <c r="R26" i="11"/>
  <c r="R208" i="11"/>
  <c r="E55" i="8"/>
  <c r="F77" i="8"/>
  <c r="AK23" i="8"/>
  <c r="AJ53" i="8"/>
  <c r="AK53" i="8"/>
  <c r="T246" i="11"/>
  <c r="R246" i="11"/>
  <c r="T255" i="11"/>
  <c r="T3172" i="8" s="1"/>
  <c r="T230" i="11"/>
  <c r="R230" i="11"/>
  <c r="R255" i="11"/>
  <c r="R3172" i="8" s="1"/>
  <c r="B3125" i="8" l="1"/>
  <c r="T3073" i="8"/>
  <c r="B3073" i="8" s="1"/>
  <c r="T2997" i="8"/>
  <c r="B2997" i="8" s="1"/>
  <c r="F26" i="1"/>
  <c r="E26" i="1" s="1"/>
  <c r="B3133" i="8"/>
  <c r="T26" i="1"/>
  <c r="AJ3133" i="8"/>
  <c r="T2549" i="8"/>
  <c r="T2561" i="8" s="1"/>
  <c r="AN2534" i="8" s="1"/>
  <c r="T2795" i="8"/>
  <c r="B2795" i="8" s="1"/>
  <c r="T885" i="8"/>
  <c r="B885" i="8" s="1"/>
  <c r="S2665" i="8"/>
  <c r="T2665" i="8" s="1"/>
  <c r="S2489" i="8"/>
  <c r="T2489" i="8" s="1"/>
  <c r="S2458" i="8"/>
  <c r="T2458" i="8" s="1"/>
  <c r="S2396" i="8"/>
  <c r="T2396" i="8" s="1"/>
  <c r="S2365" i="8"/>
  <c r="T2365" i="8" s="1"/>
  <c r="S2603" i="8"/>
  <c r="T2603" i="8" s="1"/>
  <c r="S2334" i="8"/>
  <c r="T2334" i="8" s="1"/>
  <c r="S2427" i="8"/>
  <c r="T2427" i="8" s="1"/>
  <c r="S2148" i="8"/>
  <c r="T2148" i="8" s="1"/>
  <c r="S2241" i="8"/>
  <c r="T2241" i="8" s="1"/>
  <c r="S2303" i="8"/>
  <c r="T2303" i="8" s="1"/>
  <c r="S2210" i="8"/>
  <c r="T2210" i="8" s="1"/>
  <c r="S2179" i="8"/>
  <c r="T2179" i="8" s="1"/>
  <c r="S2094" i="8"/>
  <c r="T2094" i="8" s="1"/>
  <c r="S2063" i="8"/>
  <c r="T2063" i="8" s="1"/>
  <c r="S2032" i="8"/>
  <c r="T2032" i="8" s="1"/>
  <c r="S2272" i="8"/>
  <c r="T2272" i="8" s="1"/>
  <c r="S2001" i="8"/>
  <c r="T2001" i="8" s="1"/>
  <c r="S2634" i="8"/>
  <c r="T2634" i="8" s="1"/>
  <c r="S1914" i="8"/>
  <c r="T1914" i="8" s="1"/>
  <c r="S1970" i="8"/>
  <c r="T1970" i="8" s="1"/>
  <c r="S2628" i="8"/>
  <c r="T2628" i="8" s="1"/>
  <c r="S2659" i="8"/>
  <c r="T2659" i="8" s="1"/>
  <c r="S2597" i="8"/>
  <c r="T2597" i="8" s="1"/>
  <c r="S2487" i="8"/>
  <c r="T2487" i="8" s="1"/>
  <c r="S2601" i="8"/>
  <c r="T2601" i="8" s="1"/>
  <c r="S2456" i="8"/>
  <c r="T2456" i="8" s="1"/>
  <c r="S2632" i="8"/>
  <c r="T2632" i="8" s="1"/>
  <c r="S2425" i="8"/>
  <c r="T2425" i="8" s="1"/>
  <c r="S2332" i="8"/>
  <c r="T2332" i="8" s="1"/>
  <c r="S2663" i="8"/>
  <c r="T2663" i="8" s="1"/>
  <c r="S2301" i="8"/>
  <c r="T2301" i="8" s="1"/>
  <c r="S2363" i="8"/>
  <c r="T2363" i="8" s="1"/>
  <c r="S2239" i="8"/>
  <c r="T2239" i="8" s="1"/>
  <c r="S2270" i="8"/>
  <c r="T2270" i="8" s="1"/>
  <c r="S2208" i="8"/>
  <c r="T2208" i="8" s="1"/>
  <c r="S2175" i="8"/>
  <c r="T2175" i="8" s="1"/>
  <c r="S2061" i="8"/>
  <c r="T2061" i="8" s="1"/>
  <c r="S1912" i="8"/>
  <c r="T1912" i="8" s="1"/>
  <c r="S2394" i="8"/>
  <c r="T2394" i="8" s="1"/>
  <c r="S2030" i="8"/>
  <c r="T2030" i="8" s="1"/>
  <c r="S2177" i="8"/>
  <c r="T2177" i="8" s="1"/>
  <c r="S2146" i="8"/>
  <c r="T2146" i="8" s="1"/>
  <c r="S1999" i="8"/>
  <c r="T1999" i="8" s="1"/>
  <c r="S2092" i="8"/>
  <c r="T2092" i="8" s="1"/>
  <c r="S1968" i="8"/>
  <c r="T1968" i="8" s="1"/>
  <c r="S2454" i="8"/>
  <c r="T2454" i="8" s="1"/>
  <c r="S2392" i="8"/>
  <c r="T2392" i="8" s="1"/>
  <c r="S2423" i="8"/>
  <c r="T2423" i="8" s="1"/>
  <c r="S2661" i="8"/>
  <c r="T2661" i="8" s="1"/>
  <c r="S2630" i="8"/>
  <c r="T2630" i="8" s="1"/>
  <c r="S2330" i="8"/>
  <c r="T2330" i="8" s="1"/>
  <c r="S2299" i="8"/>
  <c r="T2299" i="8" s="1"/>
  <c r="S2485" i="8"/>
  <c r="T2485" i="8" s="1"/>
  <c r="S2237" i="8"/>
  <c r="T2237" i="8" s="1"/>
  <c r="S2599" i="8"/>
  <c r="T2599" i="8" s="1"/>
  <c r="S2206" i="8"/>
  <c r="T2206" i="8" s="1"/>
  <c r="S2361" i="8"/>
  <c r="T2361" i="8" s="1"/>
  <c r="S2144" i="8"/>
  <c r="T2144" i="8" s="1"/>
  <c r="S2028" i="8"/>
  <c r="T2028" i="8" s="1"/>
  <c r="S1966" i="8"/>
  <c r="T1966" i="8" s="1"/>
  <c r="S2268" i="8"/>
  <c r="T2268" i="8" s="1"/>
  <c r="S2090" i="8"/>
  <c r="T2090" i="8" s="1"/>
  <c r="S1997" i="8"/>
  <c r="T1997" i="8" s="1"/>
  <c r="S1910" i="8"/>
  <c r="T1910" i="8" s="1"/>
  <c r="S2059" i="8"/>
  <c r="T2059" i="8" s="1"/>
  <c r="Q2634" i="8"/>
  <c r="R2634" i="8" s="1"/>
  <c r="Q2665" i="8"/>
  <c r="R2665" i="8" s="1"/>
  <c r="Q2489" i="8"/>
  <c r="R2489" i="8" s="1"/>
  <c r="Q2396" i="8"/>
  <c r="R2396" i="8" s="1"/>
  <c r="Q2272" i="8"/>
  <c r="R2272" i="8" s="1"/>
  <c r="Q2365" i="8"/>
  <c r="R2365" i="8" s="1"/>
  <c r="Q2603" i="8"/>
  <c r="R2603" i="8" s="1"/>
  <c r="Q2179" i="8"/>
  <c r="R2179" i="8" s="1"/>
  <c r="Q2427" i="8"/>
  <c r="R2427" i="8" s="1"/>
  <c r="Q2148" i="8"/>
  <c r="R2148" i="8" s="1"/>
  <c r="Q2334" i="8"/>
  <c r="R2334" i="8" s="1"/>
  <c r="Q2458" i="8"/>
  <c r="R2458" i="8" s="1"/>
  <c r="Q2241" i="8"/>
  <c r="R2241" i="8" s="1"/>
  <c r="Q2210" i="8"/>
  <c r="R2210" i="8" s="1"/>
  <c r="Q1914" i="8"/>
  <c r="R1914" i="8" s="1"/>
  <c r="Q2032" i="8"/>
  <c r="R2032" i="8" s="1"/>
  <c r="Q2094" i="8"/>
  <c r="R2094" i="8" s="1"/>
  <c r="Q1970" i="8"/>
  <c r="R1970" i="8" s="1"/>
  <c r="Q2063" i="8"/>
  <c r="R2063" i="8" s="1"/>
  <c r="Q2303" i="8"/>
  <c r="R2303" i="8" s="1"/>
  <c r="Q2001" i="8"/>
  <c r="R2001" i="8" s="1"/>
  <c r="S2667" i="8"/>
  <c r="T2667" i="8" s="1"/>
  <c r="S2605" i="8"/>
  <c r="T2605" i="8" s="1"/>
  <c r="S2636" i="8"/>
  <c r="T2636" i="8" s="1"/>
  <c r="S2274" i="8"/>
  <c r="T2274" i="8" s="1"/>
  <c r="S2398" i="8"/>
  <c r="T2398" i="8" s="1"/>
  <c r="S2367" i="8"/>
  <c r="T2367" i="8" s="1"/>
  <c r="S2336" i="8"/>
  <c r="T2336" i="8" s="1"/>
  <c r="S2460" i="8"/>
  <c r="T2460" i="8" s="1"/>
  <c r="S2096" i="8"/>
  <c r="T2096" i="8" s="1"/>
  <c r="S2150" i="8"/>
  <c r="T2150" i="8" s="1"/>
  <c r="S2243" i="8"/>
  <c r="T2243" i="8" s="1"/>
  <c r="S2429" i="8"/>
  <c r="T2429" i="8" s="1"/>
  <c r="S1972" i="8"/>
  <c r="T1972" i="8" s="1"/>
  <c r="S2491" i="8"/>
  <c r="T2491" i="8" s="1"/>
  <c r="S2305" i="8"/>
  <c r="T2305" i="8" s="1"/>
  <c r="S2212" i="8"/>
  <c r="T2212" i="8" s="1"/>
  <c r="S2065" i="8"/>
  <c r="T2065" i="8" s="1"/>
  <c r="S2181" i="8"/>
  <c r="T2181" i="8" s="1"/>
  <c r="S2034" i="8"/>
  <c r="T2034" i="8" s="1"/>
  <c r="S2003" i="8"/>
  <c r="T2003" i="8" s="1"/>
  <c r="S1916" i="8"/>
  <c r="T1916" i="8" s="1"/>
  <c r="S2235" i="8"/>
  <c r="T2235" i="8" s="1"/>
  <c r="S2390" i="8"/>
  <c r="T2390" i="8" s="1"/>
  <c r="S2328" i="8"/>
  <c r="T2328" i="8" s="1"/>
  <c r="S2297" i="8"/>
  <c r="T2297" i="8" s="1"/>
  <c r="S2359" i="8"/>
  <c r="T2359" i="8" s="1"/>
  <c r="S2483" i="8"/>
  <c r="T2483" i="8" s="1"/>
  <c r="S2452" i="8"/>
  <c r="T2452" i="8" s="1"/>
  <c r="S2266" i="8"/>
  <c r="T2266" i="8" s="1"/>
  <c r="S2421" i="8"/>
  <c r="T2421" i="8" s="1"/>
  <c r="S2204" i="8"/>
  <c r="T2204" i="8" s="1"/>
  <c r="S2173" i="8"/>
  <c r="T2173" i="8" s="1"/>
  <c r="S2088" i="8"/>
  <c r="T2088" i="8" s="1"/>
  <c r="S2026" i="8"/>
  <c r="T2026" i="8" s="1"/>
  <c r="S2142" i="8"/>
  <c r="T2142" i="8" s="1"/>
  <c r="S1995" i="8"/>
  <c r="T1995" i="8" s="1"/>
  <c r="S1908" i="8"/>
  <c r="T1908" i="8" s="1"/>
  <c r="S1964" i="8"/>
  <c r="T1964" i="8" s="1"/>
  <c r="S2057" i="8"/>
  <c r="T2057" i="8" s="1"/>
  <c r="Q1827" i="8"/>
  <c r="R1827" i="8" s="1"/>
  <c r="R1829" i="8" s="1"/>
  <c r="Q1806" i="8"/>
  <c r="R1806" i="8" s="1"/>
  <c r="R1808" i="8" s="1"/>
  <c r="S1869" i="8"/>
  <c r="T1869" i="8" s="1"/>
  <c r="T1871" i="8" s="1"/>
  <c r="T1883" i="8" s="1"/>
  <c r="S1848" i="8"/>
  <c r="T1848" i="8" s="1"/>
  <c r="T1850" i="8" s="1"/>
  <c r="T1862" i="8" s="1"/>
  <c r="AN1843" i="8" s="1"/>
  <c r="S1827" i="8"/>
  <c r="T1827" i="8" s="1"/>
  <c r="T1829" i="8" s="1"/>
  <c r="T1841" i="8" s="1"/>
  <c r="AN1822" i="8" s="1"/>
  <c r="S1806" i="8"/>
  <c r="T1806" i="8" s="1"/>
  <c r="T1808" i="8" s="1"/>
  <c r="T1820" i="8" s="1"/>
  <c r="AN1801" i="8" s="1"/>
  <c r="Q1739" i="8"/>
  <c r="R1739" i="8" s="1"/>
  <c r="R1741" i="8" s="1"/>
  <c r="Q1718" i="8"/>
  <c r="R1718" i="8" s="1"/>
  <c r="R1720" i="8" s="1"/>
  <c r="Q1697" i="8"/>
  <c r="R1697" i="8" s="1"/>
  <c r="R1699" i="8" s="1"/>
  <c r="Q1676" i="8"/>
  <c r="R1676" i="8" s="1"/>
  <c r="R1678" i="8" s="1"/>
  <c r="S1739" i="8"/>
  <c r="T1739" i="8" s="1"/>
  <c r="T1741" i="8" s="1"/>
  <c r="T1753" i="8" s="1"/>
  <c r="AN1734" i="8" s="1"/>
  <c r="S1718" i="8"/>
  <c r="T1718" i="8" s="1"/>
  <c r="T1720" i="8" s="1"/>
  <c r="T1732" i="8" s="1"/>
  <c r="AN1713" i="8" s="1"/>
  <c r="S1697" i="8"/>
  <c r="T1697" i="8" s="1"/>
  <c r="T1699" i="8" s="1"/>
  <c r="T1711" i="8" s="1"/>
  <c r="AN1692" i="8" s="1"/>
  <c r="S1676" i="8"/>
  <c r="T1676" i="8" s="1"/>
  <c r="T1678" i="8" s="1"/>
  <c r="T1690" i="8" s="1"/>
  <c r="AN1671" i="8" s="1"/>
  <c r="Q1781" i="8"/>
  <c r="R1781" i="8" s="1"/>
  <c r="R1783" i="8" s="1"/>
  <c r="Q1760" i="8"/>
  <c r="R1760" i="8" s="1"/>
  <c r="R1762" i="8" s="1"/>
  <c r="S1781" i="8"/>
  <c r="T1781" i="8" s="1"/>
  <c r="T1783" i="8" s="1"/>
  <c r="T1795" i="8" s="1"/>
  <c r="AN1776" i="8" s="1"/>
  <c r="S1760" i="8"/>
  <c r="T1760" i="8" s="1"/>
  <c r="T1762" i="8" s="1"/>
  <c r="T1774" i="8" s="1"/>
  <c r="AN1755" i="8" s="1"/>
  <c r="Q1607" i="8"/>
  <c r="R1607" i="8" s="1"/>
  <c r="R1609" i="8" s="1"/>
  <c r="Q1600" i="8"/>
  <c r="R1600" i="8" s="1"/>
  <c r="R1602" i="8" s="1"/>
  <c r="Q1628" i="8"/>
  <c r="R1628" i="8" s="1"/>
  <c r="R1630" i="8" s="1"/>
  <c r="Q1635" i="8"/>
  <c r="R1635" i="8" s="1"/>
  <c r="R1637" i="8" s="1"/>
  <c r="S1628" i="8"/>
  <c r="T1628" i="8" s="1"/>
  <c r="T1630" i="8" s="1"/>
  <c r="AN1625" i="8" s="1"/>
  <c r="S1635" i="8"/>
  <c r="T1635" i="8" s="1"/>
  <c r="T1637" i="8" s="1"/>
  <c r="AN1632" i="8" s="1"/>
  <c r="S1600" i="8"/>
  <c r="T1600" i="8" s="1"/>
  <c r="T1602" i="8" s="1"/>
  <c r="AN1597" i="8" s="1"/>
  <c r="S1607" i="8"/>
  <c r="T1607" i="8" s="1"/>
  <c r="T1609" i="8" s="1"/>
  <c r="AN1604" i="8" s="1"/>
  <c r="Q1663" i="8"/>
  <c r="R1663" i="8" s="1"/>
  <c r="R1665" i="8" s="1"/>
  <c r="Q1656" i="8"/>
  <c r="R1656" i="8" s="1"/>
  <c r="R1658" i="8" s="1"/>
  <c r="Q1642" i="8"/>
  <c r="R1642" i="8" s="1"/>
  <c r="R1644" i="8" s="1"/>
  <c r="Q1649" i="8"/>
  <c r="R1649" i="8" s="1"/>
  <c r="R1651" i="8" s="1"/>
  <c r="S1621" i="8"/>
  <c r="T1621" i="8" s="1"/>
  <c r="T1623" i="8" s="1"/>
  <c r="AN1618" i="8" s="1"/>
  <c r="S1614" i="8"/>
  <c r="T1614" i="8" s="1"/>
  <c r="T1616" i="8" s="1"/>
  <c r="AN1611" i="8" s="1"/>
  <c r="S1642" i="8"/>
  <c r="T1642" i="8" s="1"/>
  <c r="T1644" i="8" s="1"/>
  <c r="AN1639" i="8" s="1"/>
  <c r="S1649" i="8"/>
  <c r="T1649" i="8" s="1"/>
  <c r="T1651" i="8" s="1"/>
  <c r="AN1646" i="8" s="1"/>
  <c r="S1656" i="8"/>
  <c r="T1656" i="8" s="1"/>
  <c r="T1658" i="8" s="1"/>
  <c r="AN1653" i="8" s="1"/>
  <c r="S1663" i="8"/>
  <c r="T1663" i="8" s="1"/>
  <c r="T1665" i="8" s="1"/>
  <c r="AN1660" i="8" s="1"/>
  <c r="S1266" i="8"/>
  <c r="T1266" i="8" s="1"/>
  <c r="T1268" i="8" s="1"/>
  <c r="T1280" i="8" s="1"/>
  <c r="AN1261" i="8" s="1"/>
  <c r="S1245" i="8"/>
  <c r="T1245" i="8" s="1"/>
  <c r="T1247" i="8" s="1"/>
  <c r="T1259" i="8" s="1"/>
  <c r="AN1240" i="8" s="1"/>
  <c r="S1224" i="8"/>
  <c r="T1224" i="8" s="1"/>
  <c r="T1226" i="8" s="1"/>
  <c r="T1238" i="8" s="1"/>
  <c r="AN1219" i="8" s="1"/>
  <c r="R1307" i="8"/>
  <c r="E1285" i="8"/>
  <c r="AG1295" i="8"/>
  <c r="AG1282" i="8" s="1"/>
  <c r="S521" i="8"/>
  <c r="T521" i="8" s="1"/>
  <c r="T523" i="8" s="1"/>
  <c r="T535" i="8" s="1"/>
  <c r="T1380" i="8"/>
  <c r="T1392" i="8" s="1"/>
  <c r="AN1367" i="8" s="1"/>
  <c r="T1353" i="8"/>
  <c r="T1365" i="8" s="1"/>
  <c r="AN1340" i="8" s="1"/>
  <c r="T1326" i="8"/>
  <c r="T1338" i="8" s="1"/>
  <c r="AN1313" i="8" s="1"/>
  <c r="T1434" i="8"/>
  <c r="T1446" i="8" s="1"/>
  <c r="AN1421" i="8" s="1"/>
  <c r="T1407" i="8"/>
  <c r="T1419" i="8" s="1"/>
  <c r="AN1394" i="8" s="1"/>
  <c r="Q521" i="8"/>
  <c r="R521" i="8" s="1"/>
  <c r="R523" i="8" s="1"/>
  <c r="AG523" i="8" s="1"/>
  <c r="AG516" i="8" s="1"/>
  <c r="R1380" i="8"/>
  <c r="R1353" i="8"/>
  <c r="R1326" i="8"/>
  <c r="Q1153" i="8"/>
  <c r="R1153" i="8" s="1"/>
  <c r="R1155" i="8" s="1"/>
  <c r="Q1132" i="8"/>
  <c r="R1132" i="8" s="1"/>
  <c r="R1134" i="8" s="1"/>
  <c r="S1195" i="8"/>
  <c r="T1195" i="8" s="1"/>
  <c r="T1197" i="8" s="1"/>
  <c r="S1174" i="8"/>
  <c r="T1174" i="8" s="1"/>
  <c r="T1176" i="8" s="1"/>
  <c r="T1188" i="8" s="1"/>
  <c r="AN1169" i="8" s="1"/>
  <c r="S1153" i="8"/>
  <c r="T1153" i="8" s="1"/>
  <c r="T1155" i="8" s="1"/>
  <c r="T1167" i="8" s="1"/>
  <c r="AN1148" i="8" s="1"/>
  <c r="S1132" i="8"/>
  <c r="T1132" i="8" s="1"/>
  <c r="T1134" i="8" s="1"/>
  <c r="T1146" i="8" s="1"/>
  <c r="AN1127" i="8" s="1"/>
  <c r="Q1065" i="8"/>
  <c r="R1065" i="8" s="1"/>
  <c r="R1067" i="8" s="1"/>
  <c r="Q1023" i="8"/>
  <c r="R1023" i="8" s="1"/>
  <c r="R1025" i="8" s="1"/>
  <c r="Q1044" i="8"/>
  <c r="R1044" i="8" s="1"/>
  <c r="R1046" i="8" s="1"/>
  <c r="Q1002" i="8"/>
  <c r="R1002" i="8" s="1"/>
  <c r="R1004" i="8" s="1"/>
  <c r="S1065" i="8"/>
  <c r="T1065" i="8" s="1"/>
  <c r="T1067" i="8" s="1"/>
  <c r="T1079" i="8" s="1"/>
  <c r="AN1060" i="8" s="1"/>
  <c r="S1044" i="8"/>
  <c r="T1044" i="8" s="1"/>
  <c r="T1046" i="8" s="1"/>
  <c r="T1058" i="8" s="1"/>
  <c r="AN1039" i="8" s="1"/>
  <c r="S1023" i="8"/>
  <c r="T1023" i="8" s="1"/>
  <c r="T1025" i="8" s="1"/>
  <c r="T1037" i="8" s="1"/>
  <c r="AN1018" i="8" s="1"/>
  <c r="S1002" i="8"/>
  <c r="T1002" i="8" s="1"/>
  <c r="T1004" i="8" s="1"/>
  <c r="T1016" i="8" s="1"/>
  <c r="AN997" i="8" s="1"/>
  <c r="Q1086" i="8"/>
  <c r="R1086" i="8" s="1"/>
  <c r="R1088" i="8" s="1"/>
  <c r="Q1107" i="8"/>
  <c r="R1107" i="8" s="1"/>
  <c r="R1109" i="8" s="1"/>
  <c r="S1107" i="8"/>
  <c r="T1107" i="8" s="1"/>
  <c r="T1109" i="8" s="1"/>
  <c r="T1121" i="8" s="1"/>
  <c r="AN1102" i="8" s="1"/>
  <c r="S1086" i="8"/>
  <c r="T1086" i="8" s="1"/>
  <c r="T1088" i="8" s="1"/>
  <c r="T1100" i="8" s="1"/>
  <c r="AN1081" i="8" s="1"/>
  <c r="Q933" i="8"/>
  <c r="R933" i="8" s="1"/>
  <c r="R935" i="8" s="1"/>
  <c r="Q926" i="8"/>
  <c r="R926" i="8" s="1"/>
  <c r="R928" i="8" s="1"/>
  <c r="Q954" i="8"/>
  <c r="R954" i="8" s="1"/>
  <c r="R956" i="8" s="1"/>
  <c r="Q961" i="8"/>
  <c r="R961" i="8" s="1"/>
  <c r="R963" i="8" s="1"/>
  <c r="S954" i="8"/>
  <c r="T954" i="8" s="1"/>
  <c r="T956" i="8" s="1"/>
  <c r="AN951" i="8" s="1"/>
  <c r="S961" i="8"/>
  <c r="T961" i="8" s="1"/>
  <c r="T963" i="8" s="1"/>
  <c r="AN958" i="8" s="1"/>
  <c r="S926" i="8"/>
  <c r="T926" i="8" s="1"/>
  <c r="T928" i="8" s="1"/>
  <c r="AN923" i="8" s="1"/>
  <c r="S933" i="8"/>
  <c r="T933" i="8" s="1"/>
  <c r="T935" i="8" s="1"/>
  <c r="AN930" i="8" s="1"/>
  <c r="Q989" i="8"/>
  <c r="R989" i="8" s="1"/>
  <c r="R991" i="8" s="1"/>
  <c r="Q982" i="8"/>
  <c r="R982" i="8" s="1"/>
  <c r="R984" i="8" s="1"/>
  <c r="Q968" i="8"/>
  <c r="R968" i="8" s="1"/>
  <c r="R970" i="8" s="1"/>
  <c r="Q975" i="8"/>
  <c r="R975" i="8" s="1"/>
  <c r="R977" i="8" s="1"/>
  <c r="S947" i="8"/>
  <c r="T947" i="8" s="1"/>
  <c r="T949" i="8" s="1"/>
  <c r="AN944" i="8" s="1"/>
  <c r="S940" i="8"/>
  <c r="T940" i="8" s="1"/>
  <c r="T942" i="8" s="1"/>
  <c r="AN937" i="8" s="1"/>
  <c r="S968" i="8"/>
  <c r="T968" i="8" s="1"/>
  <c r="T970" i="8" s="1"/>
  <c r="AN965" i="8" s="1"/>
  <c r="S975" i="8"/>
  <c r="T975" i="8" s="1"/>
  <c r="T977" i="8" s="1"/>
  <c r="AN972" i="8" s="1"/>
  <c r="S982" i="8"/>
  <c r="T982" i="8" s="1"/>
  <c r="T984" i="8" s="1"/>
  <c r="AN979" i="8" s="1"/>
  <c r="S989" i="8"/>
  <c r="T989" i="8" s="1"/>
  <c r="T991" i="8" s="1"/>
  <c r="AN986" i="8" s="1"/>
  <c r="S496" i="8"/>
  <c r="T496" i="8" s="1"/>
  <c r="T498" i="8" s="1"/>
  <c r="T510" i="8" s="1"/>
  <c r="AN491" i="8" s="1"/>
  <c r="S475" i="8"/>
  <c r="T475" i="8" s="1"/>
  <c r="T477" i="8" s="1"/>
  <c r="T489" i="8" s="1"/>
  <c r="AN470" i="8" s="1"/>
  <c r="S246" i="8"/>
  <c r="T246" i="8" s="1"/>
  <c r="T248" i="8" s="1"/>
  <c r="T255" i="8" s="1"/>
  <c r="AN241" i="8" s="1"/>
  <c r="S456" i="8"/>
  <c r="T456" i="8" s="1"/>
  <c r="T458" i="8" s="1"/>
  <c r="T464" i="8" s="1"/>
  <c r="AN451" i="8" s="1"/>
  <c r="S132" i="8"/>
  <c r="T132" i="8" s="1"/>
  <c r="T134" i="8" s="1"/>
  <c r="T140" i="8" s="1"/>
  <c r="AN127" i="8" s="1"/>
  <c r="Q179" i="8"/>
  <c r="R179" i="8" s="1"/>
  <c r="R181" i="8" s="1"/>
  <c r="Q221" i="8"/>
  <c r="R221" i="8" s="1"/>
  <c r="R223" i="8" s="1"/>
  <c r="Q200" i="8"/>
  <c r="R200" i="8" s="1"/>
  <c r="R202" i="8" s="1"/>
  <c r="S179" i="8"/>
  <c r="T179" i="8" s="1"/>
  <c r="T181" i="8" s="1"/>
  <c r="T193" i="8" s="1"/>
  <c r="AN174" i="8" s="1"/>
  <c r="S221" i="8"/>
  <c r="T221" i="8" s="1"/>
  <c r="T223" i="8" s="1"/>
  <c r="T235" i="8" s="1"/>
  <c r="AN216" i="8" s="1"/>
  <c r="S200" i="8"/>
  <c r="T200" i="8" s="1"/>
  <c r="T202" i="8" s="1"/>
  <c r="T214" i="8" s="1"/>
  <c r="AN195" i="8" s="1"/>
  <c r="R117" i="11"/>
  <c r="E141" i="11"/>
  <c r="F141" i="11" s="1"/>
  <c r="B141" i="11"/>
  <c r="E35" i="11"/>
  <c r="F35" i="11" s="1"/>
  <c r="E62" i="11"/>
  <c r="F62" i="11" s="1"/>
  <c r="R55" i="11"/>
  <c r="E71" i="11"/>
  <c r="F71" i="11" s="1"/>
  <c r="R217" i="11"/>
  <c r="Q2547" i="8" s="1"/>
  <c r="R2547" i="8" s="1"/>
  <c r="E226" i="11"/>
  <c r="F226" i="11" s="1"/>
  <c r="S94" i="8"/>
  <c r="T94" i="8" s="1"/>
  <c r="B168" i="11"/>
  <c r="R143" i="11"/>
  <c r="Q2539" i="8" s="1"/>
  <c r="R2539" i="8" s="1"/>
  <c r="E168" i="11"/>
  <c r="F168" i="11" s="1"/>
  <c r="E105" i="11"/>
  <c r="F105" i="11" s="1"/>
  <c r="R97" i="11"/>
  <c r="E208" i="11"/>
  <c r="F208" i="11" s="1"/>
  <c r="R203" i="11"/>
  <c r="Q2543" i="8" s="1"/>
  <c r="R2543" i="8" s="1"/>
  <c r="E53" i="11"/>
  <c r="F53" i="11" s="1"/>
  <c r="E26" i="11"/>
  <c r="F26" i="11" s="1"/>
  <c r="R19" i="11"/>
  <c r="E215" i="11"/>
  <c r="F215" i="11" s="1"/>
  <c r="S113" i="8"/>
  <c r="T113" i="8" s="1"/>
  <c r="T115" i="8" s="1"/>
  <c r="T121" i="8" s="1"/>
  <c r="AN108" i="8" s="1"/>
  <c r="B194" i="11"/>
  <c r="E194" i="11"/>
  <c r="F194" i="11" s="1"/>
  <c r="R170" i="11"/>
  <c r="E115" i="11"/>
  <c r="F115" i="11" s="1"/>
  <c r="R107" i="11"/>
  <c r="Q266" i="8" s="1"/>
  <c r="R266" i="8" s="1"/>
  <c r="R268" i="8" s="1"/>
  <c r="R37" i="11"/>
  <c r="E44" i="11"/>
  <c r="F44" i="11" s="1"/>
  <c r="R3200" i="8"/>
  <c r="R293" i="11"/>
  <c r="T293" i="11"/>
  <c r="T3200" i="8"/>
  <c r="E201" i="11"/>
  <c r="F201" i="11" s="1"/>
  <c r="R196" i="11"/>
  <c r="Q2541" i="8" s="1"/>
  <c r="R2541" i="8" s="1"/>
  <c r="R3163" i="8"/>
  <c r="R121" i="1" s="1"/>
  <c r="T3163" i="8"/>
  <c r="T121" i="1" s="1"/>
  <c r="S121" i="1" s="1"/>
  <c r="T233" i="11"/>
  <c r="T292" i="11"/>
  <c r="T231" i="11"/>
  <c r="R292" i="11"/>
  <c r="R291" i="11"/>
  <c r="T120" i="1"/>
  <c r="R231" i="11"/>
  <c r="T291" i="11"/>
  <c r="R233" i="11"/>
  <c r="R120" i="1"/>
  <c r="R2549" i="8" l="1"/>
  <c r="AN1864" i="8"/>
  <c r="AN516" i="8"/>
  <c r="T2067" i="8"/>
  <c r="T2077" i="8" s="1"/>
  <c r="AN2052" i="8" s="1"/>
  <c r="T2214" i="8"/>
  <c r="T2224" i="8" s="1"/>
  <c r="AN2199" i="8" s="1"/>
  <c r="T2400" i="8"/>
  <c r="T2410" i="8" s="1"/>
  <c r="AN2385" i="8" s="1"/>
  <c r="T1974" i="8"/>
  <c r="T1984" i="8" s="1"/>
  <c r="AN1959" i="8" s="1"/>
  <c r="T2152" i="8"/>
  <c r="T2162" i="8" s="1"/>
  <c r="AN2137" i="8" s="1"/>
  <c r="T2638" i="8"/>
  <c r="T2648" i="8" s="1"/>
  <c r="T2005" i="8"/>
  <c r="T2015" i="8" s="1"/>
  <c r="AN1990" i="8" s="1"/>
  <c r="T2369" i="8"/>
  <c r="T2379" i="8" s="1"/>
  <c r="AN2354" i="8" s="1"/>
  <c r="T2183" i="8"/>
  <c r="T2193" i="8" s="1"/>
  <c r="AN2168" i="8" s="1"/>
  <c r="T2431" i="8"/>
  <c r="T2441" i="8" s="1"/>
  <c r="AN2416" i="8" s="1"/>
  <c r="T2245" i="8"/>
  <c r="T2255" i="8" s="1"/>
  <c r="AN2230" i="8" s="1"/>
  <c r="Q2636" i="8"/>
  <c r="R2636" i="8" s="1"/>
  <c r="Q2667" i="8"/>
  <c r="R2667" i="8" s="1"/>
  <c r="Q2605" i="8"/>
  <c r="R2605" i="8" s="1"/>
  <c r="Q2460" i="8"/>
  <c r="R2460" i="8" s="1"/>
  <c r="Q2429" i="8"/>
  <c r="R2429" i="8" s="1"/>
  <c r="Q2305" i="8"/>
  <c r="R2305" i="8" s="1"/>
  <c r="Q2398" i="8"/>
  <c r="R2398" i="8" s="1"/>
  <c r="Q2367" i="8"/>
  <c r="R2367" i="8" s="1"/>
  <c r="Q2491" i="8"/>
  <c r="R2491" i="8" s="1"/>
  <c r="Q2336" i="8"/>
  <c r="R2336" i="8" s="1"/>
  <c r="Q2181" i="8"/>
  <c r="R2181" i="8" s="1"/>
  <c r="Q2274" i="8"/>
  <c r="R2274" i="8" s="1"/>
  <c r="Q2096" i="8"/>
  <c r="R2096" i="8" s="1"/>
  <c r="Q2150" i="8"/>
  <c r="R2150" i="8" s="1"/>
  <c r="Q2003" i="8"/>
  <c r="R2003" i="8" s="1"/>
  <c r="Q1916" i="8"/>
  <c r="R1916" i="8" s="1"/>
  <c r="Q1972" i="8"/>
  <c r="R1972" i="8" s="1"/>
  <c r="Q2243" i="8"/>
  <c r="R2243" i="8" s="1"/>
  <c r="Q2065" i="8"/>
  <c r="R2065" i="8" s="1"/>
  <c r="Q2212" i="8"/>
  <c r="R2212" i="8" s="1"/>
  <c r="Q2034" i="8"/>
  <c r="R2034" i="8" s="1"/>
  <c r="T2669" i="8"/>
  <c r="T2679" i="8" s="1"/>
  <c r="Q2235" i="8"/>
  <c r="R2235" i="8" s="1"/>
  <c r="Q2390" i="8"/>
  <c r="R2390" i="8" s="1"/>
  <c r="Q2328" i="8"/>
  <c r="R2328" i="8" s="1"/>
  <c r="Q2297" i="8"/>
  <c r="R2297" i="8" s="1"/>
  <c r="Q2359" i="8"/>
  <c r="R2359" i="8" s="1"/>
  <c r="Q2421" i="8"/>
  <c r="R2421" i="8" s="1"/>
  <c r="Q2204" i="8"/>
  <c r="R2204" i="8" s="1"/>
  <c r="Q2483" i="8"/>
  <c r="R2483" i="8" s="1"/>
  <c r="Q2452" i="8"/>
  <c r="R2452" i="8" s="1"/>
  <c r="Q2266" i="8"/>
  <c r="R2266" i="8" s="1"/>
  <c r="Q2057" i="8"/>
  <c r="R2057" i="8" s="1"/>
  <c r="Q2088" i="8"/>
  <c r="R2088" i="8" s="1"/>
  <c r="Q1908" i="8"/>
  <c r="R1908" i="8" s="1"/>
  <c r="Q2173" i="8"/>
  <c r="R2173" i="8" s="1"/>
  <c r="Q2026" i="8"/>
  <c r="R2026" i="8" s="1"/>
  <c r="Q2142" i="8"/>
  <c r="R2142" i="8" s="1"/>
  <c r="Q1995" i="8"/>
  <c r="R1995" i="8" s="1"/>
  <c r="Q1964" i="8"/>
  <c r="R1964" i="8" s="1"/>
  <c r="T1918" i="8"/>
  <c r="T1928" i="8" s="1"/>
  <c r="AN1903" i="8" s="1"/>
  <c r="T2276" i="8"/>
  <c r="T2286" i="8" s="1"/>
  <c r="AN2261" i="8" s="1"/>
  <c r="T2462" i="8"/>
  <c r="T2472" i="8" s="1"/>
  <c r="AN2447" i="8" s="1"/>
  <c r="T2493" i="8"/>
  <c r="T2503" i="8" s="1"/>
  <c r="AN2478" i="8" s="1"/>
  <c r="T2036" i="8"/>
  <c r="T2046" i="8" s="1"/>
  <c r="AN2021" i="8" s="1"/>
  <c r="Q2663" i="8"/>
  <c r="R2663" i="8" s="1"/>
  <c r="Q2601" i="8"/>
  <c r="R2601" i="8" s="1"/>
  <c r="Q2270" i="8"/>
  <c r="R2270" i="8" s="1"/>
  <c r="Q2487" i="8"/>
  <c r="R2487" i="8" s="1"/>
  <c r="Q2363" i="8"/>
  <c r="R2363" i="8" s="1"/>
  <c r="Q2456" i="8"/>
  <c r="R2456" i="8" s="1"/>
  <c r="Q2632" i="8"/>
  <c r="R2632" i="8" s="1"/>
  <c r="Q2425" i="8"/>
  <c r="R2425" i="8" s="1"/>
  <c r="Q2332" i="8"/>
  <c r="R2332" i="8" s="1"/>
  <c r="Q2092" i="8"/>
  <c r="R2092" i="8" s="1"/>
  <c r="Q2301" i="8"/>
  <c r="R2301" i="8" s="1"/>
  <c r="Q2146" i="8"/>
  <c r="R2146" i="8" s="1"/>
  <c r="Q2239" i="8"/>
  <c r="R2239" i="8" s="1"/>
  <c r="Q2394" i="8"/>
  <c r="R2394" i="8" s="1"/>
  <c r="Q2175" i="8"/>
  <c r="R2175" i="8" s="1"/>
  <c r="Q1968" i="8"/>
  <c r="R1968" i="8" s="1"/>
  <c r="Q2061" i="8"/>
  <c r="R2061" i="8" s="1"/>
  <c r="Q2208" i="8"/>
  <c r="R2208" i="8" s="1"/>
  <c r="Q2177" i="8"/>
  <c r="R2177" i="8" s="1"/>
  <c r="Q2030" i="8"/>
  <c r="R2030" i="8" s="1"/>
  <c r="Q1999" i="8"/>
  <c r="R1999" i="8" s="1"/>
  <c r="Q1912" i="8"/>
  <c r="R1912" i="8" s="1"/>
  <c r="T2098" i="8"/>
  <c r="T2108" i="8" s="1"/>
  <c r="AN2083" i="8" s="1"/>
  <c r="T2307" i="8"/>
  <c r="T2317" i="8" s="1"/>
  <c r="AN2292" i="8" s="1"/>
  <c r="Q2661" i="8"/>
  <c r="R2661" i="8" s="1"/>
  <c r="Q2485" i="8"/>
  <c r="R2485" i="8" s="1"/>
  <c r="Q2454" i="8"/>
  <c r="R2454" i="8" s="1"/>
  <c r="Q2392" i="8"/>
  <c r="R2392" i="8" s="1"/>
  <c r="Q2599" i="8"/>
  <c r="R2599" i="8" s="1"/>
  <c r="Q2423" i="8"/>
  <c r="R2423" i="8" s="1"/>
  <c r="Q2630" i="8"/>
  <c r="R2630" i="8" s="1"/>
  <c r="Q2330" i="8"/>
  <c r="R2330" i="8" s="1"/>
  <c r="Q2144" i="8"/>
  <c r="R2144" i="8" s="1"/>
  <c r="Q2268" i="8"/>
  <c r="R2268" i="8" s="1"/>
  <c r="Q2237" i="8"/>
  <c r="R2237" i="8" s="1"/>
  <c r="Q2299" i="8"/>
  <c r="R2299" i="8" s="1"/>
  <c r="Q2206" i="8"/>
  <c r="R2206" i="8" s="1"/>
  <c r="Q2361" i="8"/>
  <c r="R2361" i="8" s="1"/>
  <c r="Q2059" i="8"/>
  <c r="R2059" i="8" s="1"/>
  <c r="Q1997" i="8"/>
  <c r="R1997" i="8" s="1"/>
  <c r="Q2028" i="8"/>
  <c r="R2028" i="8" s="1"/>
  <c r="Q2090" i="8"/>
  <c r="R2090" i="8" s="1"/>
  <c r="Q1910" i="8"/>
  <c r="R1910" i="8" s="1"/>
  <c r="Q1966" i="8"/>
  <c r="R1966" i="8" s="1"/>
  <c r="Q2628" i="8"/>
  <c r="R2628" i="8" s="1"/>
  <c r="Q2659" i="8"/>
  <c r="R2659" i="8" s="1"/>
  <c r="Q2597" i="8"/>
  <c r="R2597" i="8" s="1"/>
  <c r="T2338" i="8"/>
  <c r="T2348" i="8" s="1"/>
  <c r="AN2323" i="8" s="1"/>
  <c r="T2607" i="8"/>
  <c r="T2617" i="8" s="1"/>
  <c r="AN2592" i="8" s="1"/>
  <c r="Q1848" i="8"/>
  <c r="R1848" i="8" s="1"/>
  <c r="R1850" i="8" s="1"/>
  <c r="Q1869" i="8"/>
  <c r="R1869" i="8" s="1"/>
  <c r="R1871" i="8" s="1"/>
  <c r="R1820" i="8"/>
  <c r="E1804" i="8"/>
  <c r="AG1808" i="8"/>
  <c r="AG1801" i="8" s="1"/>
  <c r="R1841" i="8"/>
  <c r="E1825" i="8"/>
  <c r="AG1829" i="8"/>
  <c r="AG1822" i="8" s="1"/>
  <c r="R1690" i="8"/>
  <c r="E1674" i="8"/>
  <c r="AG1678" i="8"/>
  <c r="AG1671" i="8" s="1"/>
  <c r="R1711" i="8"/>
  <c r="E1695" i="8"/>
  <c r="AG1699" i="8"/>
  <c r="AG1692" i="8" s="1"/>
  <c r="R1774" i="8"/>
  <c r="E1758" i="8"/>
  <c r="AG1762" i="8"/>
  <c r="AG1755" i="8" s="1"/>
  <c r="R1732" i="8"/>
  <c r="E1716" i="8"/>
  <c r="AG1720" i="8"/>
  <c r="AG1713" i="8" s="1"/>
  <c r="R1795" i="8"/>
  <c r="E1779" i="8"/>
  <c r="AG1783" i="8"/>
  <c r="AG1776" i="8" s="1"/>
  <c r="R1753" i="8"/>
  <c r="E1737" i="8"/>
  <c r="AG1741" i="8"/>
  <c r="AG1734" i="8" s="1"/>
  <c r="AM1646" i="8"/>
  <c r="AO1646" i="8" s="1"/>
  <c r="E1646" i="8"/>
  <c r="P1263" i="27" s="1"/>
  <c r="Q1263" i="27" s="1"/>
  <c r="AM1632" i="8"/>
  <c r="AO1632" i="8" s="1"/>
  <c r="E1632" i="8"/>
  <c r="P1259" i="27" s="1"/>
  <c r="Q1259" i="27" s="1"/>
  <c r="AM1639" i="8"/>
  <c r="AO1639" i="8" s="1"/>
  <c r="E1639" i="8"/>
  <c r="P1261" i="27" s="1"/>
  <c r="Q1261" i="27" s="1"/>
  <c r="AM1625" i="8"/>
  <c r="AO1625" i="8" s="1"/>
  <c r="E1625" i="8"/>
  <c r="P1257" i="27" s="1"/>
  <c r="Q1257" i="27" s="1"/>
  <c r="AM1653" i="8"/>
  <c r="AO1653" i="8" s="1"/>
  <c r="E1653" i="8"/>
  <c r="P1265" i="27" s="1"/>
  <c r="Q1265" i="27" s="1"/>
  <c r="AM1597" i="8"/>
  <c r="AO1597" i="8" s="1"/>
  <c r="E1597" i="8"/>
  <c r="P1249" i="27" s="1"/>
  <c r="Q1249" i="27" s="1"/>
  <c r="Q1614" i="8"/>
  <c r="R1614" i="8" s="1"/>
  <c r="R1616" i="8" s="1"/>
  <c r="Q1621" i="8"/>
  <c r="R1621" i="8" s="1"/>
  <c r="R1623" i="8" s="1"/>
  <c r="AM1660" i="8"/>
  <c r="AO1660" i="8" s="1"/>
  <c r="E1660" i="8"/>
  <c r="P1267" i="27" s="1"/>
  <c r="Q1267" i="27" s="1"/>
  <c r="AM1604" i="8"/>
  <c r="AO1604" i="8" s="1"/>
  <c r="E1604" i="8"/>
  <c r="P1251" i="27" s="1"/>
  <c r="Q1251" i="27" s="1"/>
  <c r="E519" i="8"/>
  <c r="E516" i="8" s="1"/>
  <c r="F411" i="22" s="1"/>
  <c r="G411" i="22" s="1"/>
  <c r="G447" i="22" s="1"/>
  <c r="F64" i="35" s="1"/>
  <c r="R535" i="8"/>
  <c r="Q1266" i="8"/>
  <c r="R1266" i="8" s="1"/>
  <c r="R1268" i="8" s="1"/>
  <c r="Q1245" i="8"/>
  <c r="R1245" i="8" s="1"/>
  <c r="R1247" i="8" s="1"/>
  <c r="Q1224" i="8"/>
  <c r="R1224" i="8" s="1"/>
  <c r="R1226" i="8" s="1"/>
  <c r="AH1282" i="8"/>
  <c r="F1285" i="8"/>
  <c r="E1282" i="8"/>
  <c r="P1150" i="27" s="1"/>
  <c r="Q1150" i="27" s="1"/>
  <c r="AM1282" i="8"/>
  <c r="AO1282" i="8" s="1"/>
  <c r="R1434" i="8"/>
  <c r="R1407" i="8"/>
  <c r="R1392" i="8"/>
  <c r="E1370" i="8"/>
  <c r="AG1380" i="8"/>
  <c r="AG1367" i="8" s="1"/>
  <c r="R1338" i="8"/>
  <c r="E1316" i="8"/>
  <c r="AG1326" i="8"/>
  <c r="AG1313" i="8" s="1"/>
  <c r="R1365" i="8"/>
  <c r="E1343" i="8"/>
  <c r="AG1353" i="8"/>
  <c r="AG1340" i="8" s="1"/>
  <c r="T1209" i="8"/>
  <c r="Q1195" i="8"/>
  <c r="R1195" i="8" s="1"/>
  <c r="R1197" i="8" s="1"/>
  <c r="Q1174" i="8"/>
  <c r="R1174" i="8" s="1"/>
  <c r="R1176" i="8" s="1"/>
  <c r="R1146" i="8"/>
  <c r="E1130" i="8"/>
  <c r="AG1134" i="8"/>
  <c r="AG1127" i="8" s="1"/>
  <c r="R1167" i="8"/>
  <c r="E1151" i="8"/>
  <c r="AG1155" i="8"/>
  <c r="AG1148" i="8" s="1"/>
  <c r="R1016" i="8"/>
  <c r="E1000" i="8"/>
  <c r="AG1004" i="8"/>
  <c r="AG997" i="8" s="1"/>
  <c r="R1058" i="8"/>
  <c r="E1042" i="8"/>
  <c r="AG1046" i="8"/>
  <c r="AG1039" i="8" s="1"/>
  <c r="R1121" i="8"/>
  <c r="E1105" i="8"/>
  <c r="AG1109" i="8"/>
  <c r="AG1102" i="8" s="1"/>
  <c r="R1037" i="8"/>
  <c r="E1021" i="8"/>
  <c r="AG1025" i="8"/>
  <c r="AG1018" i="8" s="1"/>
  <c r="R1100" i="8"/>
  <c r="E1084" i="8"/>
  <c r="AG1088" i="8"/>
  <c r="AG1081" i="8" s="1"/>
  <c r="R1079" i="8"/>
  <c r="E1063" i="8"/>
  <c r="AG1067" i="8"/>
  <c r="AG1060" i="8" s="1"/>
  <c r="Q940" i="8"/>
  <c r="R940" i="8" s="1"/>
  <c r="R942" i="8" s="1"/>
  <c r="Q947" i="8"/>
  <c r="R947" i="8" s="1"/>
  <c r="R949" i="8" s="1"/>
  <c r="AM972" i="8"/>
  <c r="AO972" i="8" s="1"/>
  <c r="E972" i="8"/>
  <c r="P24" i="27" s="1"/>
  <c r="Q24" i="27" s="1"/>
  <c r="AM965" i="8"/>
  <c r="AO965" i="8" s="1"/>
  <c r="E965" i="8"/>
  <c r="P22" i="27" s="1"/>
  <c r="Q22" i="27" s="1"/>
  <c r="AM958" i="8"/>
  <c r="AO958" i="8" s="1"/>
  <c r="E958" i="8"/>
  <c r="P20" i="27" s="1"/>
  <c r="Q20" i="27" s="1"/>
  <c r="AM979" i="8"/>
  <c r="AO979" i="8" s="1"/>
  <c r="E979" i="8"/>
  <c r="P26" i="27" s="1"/>
  <c r="Q26" i="27" s="1"/>
  <c r="AM951" i="8"/>
  <c r="AO951" i="8" s="1"/>
  <c r="E951" i="8"/>
  <c r="P18" i="27" s="1"/>
  <c r="Q18" i="27" s="1"/>
  <c r="AM986" i="8"/>
  <c r="AO986" i="8" s="1"/>
  <c r="E986" i="8"/>
  <c r="P28" i="27" s="1"/>
  <c r="Q28" i="27" s="1"/>
  <c r="AM923" i="8"/>
  <c r="AO923" i="8" s="1"/>
  <c r="E923" i="8"/>
  <c r="P10" i="27" s="1"/>
  <c r="Q10" i="27" s="1"/>
  <c r="AM930" i="8"/>
  <c r="AO930" i="8" s="1"/>
  <c r="E930" i="8"/>
  <c r="P12" i="27" s="1"/>
  <c r="Q12" i="27" s="1"/>
  <c r="AH516" i="8"/>
  <c r="Q496" i="8"/>
  <c r="R496" i="8" s="1"/>
  <c r="R498" i="8" s="1"/>
  <c r="Q475" i="8"/>
  <c r="R475" i="8" s="1"/>
  <c r="R477" i="8" s="1"/>
  <c r="Q246" i="8"/>
  <c r="R246" i="8" s="1"/>
  <c r="R248" i="8" s="1"/>
  <c r="E244" i="8" s="1"/>
  <c r="Q456" i="8"/>
  <c r="R456" i="8" s="1"/>
  <c r="R458" i="8" s="1"/>
  <c r="R275" i="8"/>
  <c r="E264" i="8"/>
  <c r="AG268" i="8"/>
  <c r="AG261" i="8" s="1"/>
  <c r="Q132" i="8"/>
  <c r="R132" i="8" s="1"/>
  <c r="R134" i="8" s="1"/>
  <c r="R214" i="8"/>
  <c r="E198" i="8"/>
  <c r="AG202" i="8"/>
  <c r="AG195" i="8" s="1"/>
  <c r="R235" i="8"/>
  <c r="E219" i="8"/>
  <c r="AG223" i="8"/>
  <c r="AG216" i="8" s="1"/>
  <c r="R193" i="8"/>
  <c r="E177" i="8"/>
  <c r="AG181" i="8"/>
  <c r="AG174" i="8" s="1"/>
  <c r="E1299" i="27"/>
  <c r="F1299" i="27" s="1"/>
  <c r="Q113" i="8"/>
  <c r="R113" i="8" s="1"/>
  <c r="R115" i="8" s="1"/>
  <c r="R158" i="1"/>
  <c r="R168" i="1" s="1"/>
  <c r="R3210" i="8"/>
  <c r="Q94" i="8"/>
  <c r="R94" i="8" s="1"/>
  <c r="T3142" i="8"/>
  <c r="T96" i="8"/>
  <c r="T158" i="1"/>
  <c r="T3210" i="8"/>
  <c r="T3209" i="8"/>
  <c r="R3209" i="8"/>
  <c r="R295" i="11"/>
  <c r="F50" i="27"/>
  <c r="T295" i="11"/>
  <c r="R130" i="1"/>
  <c r="R166" i="1" s="1"/>
  <c r="R3208" i="8"/>
  <c r="R3150" i="8"/>
  <c r="T130" i="1"/>
  <c r="T3208" i="8"/>
  <c r="R167" i="1"/>
  <c r="T3150" i="8"/>
  <c r="S120" i="1"/>
  <c r="T167" i="1"/>
  <c r="R2561" i="8" l="1"/>
  <c r="AG2549" i="8"/>
  <c r="AG2534" i="8" s="1"/>
  <c r="E2537" i="8"/>
  <c r="AN2654" i="8"/>
  <c r="AM516" i="8"/>
  <c r="AO516" i="8" s="1"/>
  <c r="F519" i="8"/>
  <c r="AN2623" i="8"/>
  <c r="R2607" i="8"/>
  <c r="E2595" i="8" s="1"/>
  <c r="R2669" i="8"/>
  <c r="AG2669" i="8" s="1"/>
  <c r="AG2654" i="8" s="1"/>
  <c r="R2067" i="8"/>
  <c r="E2055" i="8" s="1"/>
  <c r="R2338" i="8"/>
  <c r="AG2338" i="8" s="1"/>
  <c r="AG2323" i="8" s="1"/>
  <c r="R1974" i="8"/>
  <c r="R2276" i="8"/>
  <c r="R2400" i="8"/>
  <c r="R2005" i="8"/>
  <c r="R2462" i="8"/>
  <c r="R2245" i="8"/>
  <c r="R2152" i="8"/>
  <c r="R2493" i="8"/>
  <c r="R2036" i="8"/>
  <c r="R2214" i="8"/>
  <c r="R2183" i="8"/>
  <c r="R2431" i="8"/>
  <c r="R2638" i="8"/>
  <c r="R1918" i="8"/>
  <c r="R2369" i="8"/>
  <c r="R2098" i="8"/>
  <c r="R2307" i="8"/>
  <c r="AH1822" i="8"/>
  <c r="F1825" i="8"/>
  <c r="E1822" i="8"/>
  <c r="P1358" i="27" s="1"/>
  <c r="Q1358" i="27" s="1"/>
  <c r="AM1822" i="8"/>
  <c r="AO1822" i="8" s="1"/>
  <c r="AH1801" i="8"/>
  <c r="F1804" i="8"/>
  <c r="E1801" i="8"/>
  <c r="P1356" i="27" s="1"/>
  <c r="Q1356" i="27" s="1"/>
  <c r="AM1801" i="8"/>
  <c r="AO1801" i="8" s="1"/>
  <c r="R1883" i="8"/>
  <c r="E1867" i="8"/>
  <c r="AG1871" i="8"/>
  <c r="AG1864" i="8" s="1"/>
  <c r="R1862" i="8"/>
  <c r="E1846" i="8"/>
  <c r="AG1850" i="8"/>
  <c r="AG1843" i="8" s="1"/>
  <c r="AM1734" i="8"/>
  <c r="AO1734" i="8" s="1"/>
  <c r="F1758" i="8"/>
  <c r="E1755" i="8"/>
  <c r="P1307" i="27" s="1"/>
  <c r="Q1307" i="27" s="1"/>
  <c r="AH1776" i="8"/>
  <c r="AM1755" i="8"/>
  <c r="AO1755" i="8" s="1"/>
  <c r="E1776" i="8"/>
  <c r="P1309" i="27" s="1"/>
  <c r="Q1309" i="27" s="1"/>
  <c r="F1779" i="8"/>
  <c r="AH1692" i="8"/>
  <c r="AM1776" i="8"/>
  <c r="AO1776" i="8" s="1"/>
  <c r="E1692" i="8"/>
  <c r="P1301" i="27" s="1"/>
  <c r="Q1301" i="27" s="1"/>
  <c r="F1695" i="8"/>
  <c r="AH1713" i="8"/>
  <c r="AM1692" i="8"/>
  <c r="AO1692" i="8" s="1"/>
  <c r="F1716" i="8"/>
  <c r="E1713" i="8"/>
  <c r="P1303" i="27" s="1"/>
  <c r="Q1303" i="27" s="1"/>
  <c r="AH1671" i="8"/>
  <c r="AH1734" i="8"/>
  <c r="AM1713" i="8"/>
  <c r="AO1713" i="8" s="1"/>
  <c r="E1671" i="8"/>
  <c r="P1299" i="27" s="1"/>
  <c r="Q1299" i="27" s="1"/>
  <c r="F1674" i="8"/>
  <c r="E1734" i="8"/>
  <c r="P1305" i="27" s="1"/>
  <c r="Q1305" i="27" s="1"/>
  <c r="F1737" i="8"/>
  <c r="AH1755" i="8"/>
  <c r="AM1671" i="8"/>
  <c r="AO1671" i="8" s="1"/>
  <c r="AG1660" i="8"/>
  <c r="F1660" i="8"/>
  <c r="T1660" i="8" s="1"/>
  <c r="AG1653" i="8"/>
  <c r="AI1653" i="8" s="1"/>
  <c r="AJ1653" i="8" s="1"/>
  <c r="F1653" i="8"/>
  <c r="T1653" i="8" s="1"/>
  <c r="F1632" i="8"/>
  <c r="T1632" i="8" s="1"/>
  <c r="AG1632" i="8"/>
  <c r="AI1632" i="8" s="1"/>
  <c r="AJ1632" i="8" s="1"/>
  <c r="AM1618" i="8"/>
  <c r="AO1618" i="8" s="1"/>
  <c r="E1618" i="8"/>
  <c r="P1255" i="27" s="1"/>
  <c r="Q1255" i="27" s="1"/>
  <c r="F1625" i="8"/>
  <c r="T1625" i="8" s="1"/>
  <c r="AG1625" i="8"/>
  <c r="AM1611" i="8"/>
  <c r="AO1611" i="8" s="1"/>
  <c r="E1611" i="8"/>
  <c r="P1253" i="27" s="1"/>
  <c r="Q1253" i="27" s="1"/>
  <c r="AG1646" i="8"/>
  <c r="AI1646" i="8" s="1"/>
  <c r="AJ1646" i="8" s="1"/>
  <c r="F1646" i="8"/>
  <c r="T1646" i="8" s="1"/>
  <c r="AG1604" i="8"/>
  <c r="F1604" i="8"/>
  <c r="T1604" i="8" s="1"/>
  <c r="AG1597" i="8"/>
  <c r="F1597" i="8"/>
  <c r="T1597" i="8" s="1"/>
  <c r="AG1639" i="8"/>
  <c r="AI1639" i="8" s="1"/>
  <c r="AJ1639" i="8" s="1"/>
  <c r="F1639" i="8"/>
  <c r="T1639" i="8" s="1"/>
  <c r="AI1282" i="8"/>
  <c r="F1282" i="8"/>
  <c r="R1238" i="8"/>
  <c r="E1222" i="8"/>
  <c r="AG1226" i="8"/>
  <c r="AG1219" i="8" s="1"/>
  <c r="R1259" i="8"/>
  <c r="E1243" i="8"/>
  <c r="AG1247" i="8"/>
  <c r="AG1240" i="8" s="1"/>
  <c r="R1280" i="8"/>
  <c r="E1264" i="8"/>
  <c r="AG1268" i="8"/>
  <c r="AG1261" i="8" s="1"/>
  <c r="AH1313" i="8"/>
  <c r="E1313" i="8"/>
  <c r="P1155" i="27" s="1"/>
  <c r="Q1155" i="27" s="1"/>
  <c r="F1316" i="8"/>
  <c r="AM1313" i="8"/>
  <c r="AO1313" i="8" s="1"/>
  <c r="AH1367" i="8"/>
  <c r="E1367" i="8"/>
  <c r="P1159" i="27" s="1"/>
  <c r="Q1159" i="27" s="1"/>
  <c r="F1370" i="8"/>
  <c r="AH1340" i="8"/>
  <c r="AM1367" i="8"/>
  <c r="AO1367" i="8" s="1"/>
  <c r="E1340" i="8"/>
  <c r="P1157" i="27" s="1"/>
  <c r="Q1157" i="27" s="1"/>
  <c r="F1343" i="8"/>
  <c r="R1419" i="8"/>
  <c r="E1397" i="8"/>
  <c r="AG1407" i="8"/>
  <c r="AG1394" i="8" s="1"/>
  <c r="AM1340" i="8"/>
  <c r="AO1340" i="8" s="1"/>
  <c r="R1446" i="8"/>
  <c r="E1424" i="8"/>
  <c r="AG1434" i="8"/>
  <c r="AG1421" i="8" s="1"/>
  <c r="AN1190" i="8"/>
  <c r="F1151" i="8"/>
  <c r="E1148" i="8"/>
  <c r="P127" i="27" s="1"/>
  <c r="Q127" i="27" s="1"/>
  <c r="AM1148" i="8"/>
  <c r="AO1148" i="8" s="1"/>
  <c r="AH1148" i="8"/>
  <c r="AH1127" i="8"/>
  <c r="F1130" i="8"/>
  <c r="E1127" i="8"/>
  <c r="P125" i="27" s="1"/>
  <c r="Q125" i="27" s="1"/>
  <c r="AM1127" i="8"/>
  <c r="AO1127" i="8" s="1"/>
  <c r="R1188" i="8"/>
  <c r="E1172" i="8"/>
  <c r="AG1176" i="8"/>
  <c r="AG1169" i="8" s="1"/>
  <c r="R1209" i="8"/>
  <c r="E1193" i="8"/>
  <c r="AG1197" i="8"/>
  <c r="AG1190" i="8" s="1"/>
  <c r="AM1060" i="8"/>
  <c r="AO1060" i="8" s="1"/>
  <c r="F1105" i="8"/>
  <c r="E1102" i="8"/>
  <c r="P77" i="27" s="1"/>
  <c r="Q77" i="27" s="1"/>
  <c r="AH1081" i="8"/>
  <c r="AM1102" i="8"/>
  <c r="AO1102" i="8" s="1"/>
  <c r="F1084" i="8"/>
  <c r="E1081" i="8"/>
  <c r="P75" i="27" s="1"/>
  <c r="Q75" i="27" s="1"/>
  <c r="AM1081" i="8"/>
  <c r="AO1081" i="8" s="1"/>
  <c r="F1042" i="8"/>
  <c r="E1039" i="8"/>
  <c r="P71" i="27" s="1"/>
  <c r="Q71" i="27" s="1"/>
  <c r="AH1039" i="8"/>
  <c r="AH1018" i="8"/>
  <c r="AM1039" i="8"/>
  <c r="AO1039" i="8" s="1"/>
  <c r="F1021" i="8"/>
  <c r="E1018" i="8"/>
  <c r="P69" i="27" s="1"/>
  <c r="Q69" i="27" s="1"/>
  <c r="AH997" i="8"/>
  <c r="AH1060" i="8"/>
  <c r="AM1018" i="8"/>
  <c r="AO1018" i="8" s="1"/>
  <c r="F1000" i="8"/>
  <c r="E997" i="8"/>
  <c r="P67" i="27" s="1"/>
  <c r="Q67" i="27" s="1"/>
  <c r="F1063" i="8"/>
  <c r="E1060" i="8"/>
  <c r="P73" i="27" s="1"/>
  <c r="Q73" i="27" s="1"/>
  <c r="AH1102" i="8"/>
  <c r="AM997" i="8"/>
  <c r="AO997" i="8" s="1"/>
  <c r="AG923" i="8"/>
  <c r="F923" i="8"/>
  <c r="AG979" i="8"/>
  <c r="F979" i="8"/>
  <c r="T979" i="8" s="1"/>
  <c r="AG972" i="8"/>
  <c r="F972" i="8"/>
  <c r="T972" i="8" s="1"/>
  <c r="AG986" i="8"/>
  <c r="F986" i="8"/>
  <c r="T986" i="8" s="1"/>
  <c r="F958" i="8"/>
  <c r="T958" i="8" s="1"/>
  <c r="AG958" i="8"/>
  <c r="AI958" i="8" s="1"/>
  <c r="AJ958" i="8" s="1"/>
  <c r="AG930" i="8"/>
  <c r="AI930" i="8" s="1"/>
  <c r="AJ930" i="8" s="1"/>
  <c r="F930" i="8"/>
  <c r="T930" i="8" s="1"/>
  <c r="AM944" i="8"/>
  <c r="AO944" i="8" s="1"/>
  <c r="E944" i="8"/>
  <c r="P16" i="27" s="1"/>
  <c r="Q16" i="27" s="1"/>
  <c r="AM937" i="8"/>
  <c r="AO937" i="8" s="1"/>
  <c r="E937" i="8"/>
  <c r="P14" i="27" s="1"/>
  <c r="Q14" i="27" s="1"/>
  <c r="F951" i="8"/>
  <c r="T951" i="8" s="1"/>
  <c r="AG951" i="8"/>
  <c r="AG965" i="8"/>
  <c r="AI965" i="8" s="1"/>
  <c r="AJ965" i="8" s="1"/>
  <c r="F965" i="8"/>
  <c r="T965" i="8" s="1"/>
  <c r="AI516" i="8"/>
  <c r="F516" i="8"/>
  <c r="R489" i="8"/>
  <c r="E473" i="8"/>
  <c r="AG477" i="8"/>
  <c r="AG470" i="8" s="1"/>
  <c r="R510" i="8"/>
  <c r="E494" i="8"/>
  <c r="AG498" i="8"/>
  <c r="AG491" i="8" s="1"/>
  <c r="AG248" i="8"/>
  <c r="AG241" i="8" s="1"/>
  <c r="AH241" i="8" s="1"/>
  <c r="R255" i="8"/>
  <c r="AM241" i="8" s="1"/>
  <c r="AO241" i="8" s="1"/>
  <c r="R464" i="8"/>
  <c r="E454" i="8"/>
  <c r="AG458" i="8"/>
  <c r="AG451" i="8" s="1"/>
  <c r="AH261" i="8"/>
  <c r="E261" i="8"/>
  <c r="F178" i="22" s="1"/>
  <c r="G178" i="22" s="1"/>
  <c r="G221" i="22" s="1"/>
  <c r="F56" i="35" s="1"/>
  <c r="F264" i="8"/>
  <c r="AM261" i="8"/>
  <c r="AO261" i="8" s="1"/>
  <c r="AG134" i="8"/>
  <c r="AG127" i="8" s="1"/>
  <c r="AH127" i="8" s="1"/>
  <c r="R140" i="8"/>
  <c r="AM127" i="8" s="1"/>
  <c r="AO127" i="8" s="1"/>
  <c r="E130" i="8"/>
  <c r="F130" i="8" s="1"/>
  <c r="E241" i="8"/>
  <c r="F157" i="22" s="1"/>
  <c r="G157" i="22" s="1"/>
  <c r="G163" i="22" s="1"/>
  <c r="F54" i="35" s="1"/>
  <c r="F244" i="8"/>
  <c r="F177" i="8"/>
  <c r="E174" i="8"/>
  <c r="F81" i="22" s="1"/>
  <c r="G81" i="22" s="1"/>
  <c r="AM174" i="8"/>
  <c r="AO174" i="8" s="1"/>
  <c r="AH216" i="8"/>
  <c r="F219" i="8"/>
  <c r="E216" i="8"/>
  <c r="F85" i="22" s="1"/>
  <c r="G85" i="22" s="1"/>
  <c r="AM216" i="8"/>
  <c r="AO216" i="8" s="1"/>
  <c r="AH195" i="8"/>
  <c r="F198" i="8"/>
  <c r="E195" i="8"/>
  <c r="F83" i="22" s="1"/>
  <c r="G83" i="22" s="1"/>
  <c r="AH174" i="8"/>
  <c r="AM195" i="8"/>
  <c r="AO195" i="8" s="1"/>
  <c r="E1349" i="27"/>
  <c r="F1349" i="27" s="1"/>
  <c r="T3212" i="8"/>
  <c r="E1315" i="27"/>
  <c r="F1315" i="27" s="1"/>
  <c r="S158" i="1"/>
  <c r="T168" i="1"/>
  <c r="T165" i="1"/>
  <c r="T37" i="1" s="1"/>
  <c r="E1307" i="27"/>
  <c r="F1307" i="27" s="1"/>
  <c r="T102" i="8"/>
  <c r="AN89" i="8" s="1"/>
  <c r="E1317" i="27"/>
  <c r="F1317" i="27" s="1"/>
  <c r="E1313" i="27"/>
  <c r="F1313" i="27" s="1"/>
  <c r="E1353" i="27"/>
  <c r="F1353" i="27" s="1"/>
  <c r="E1351" i="27"/>
  <c r="F1351" i="27" s="1"/>
  <c r="E1311" i="27"/>
  <c r="F1311" i="27" s="1"/>
  <c r="E1303" i="27"/>
  <c r="F1303" i="27" s="1"/>
  <c r="R121" i="8"/>
  <c r="AG115" i="8"/>
  <c r="AG108" i="8" s="1"/>
  <c r="E111" i="8"/>
  <c r="E1305" i="27"/>
  <c r="F1305" i="27" s="1"/>
  <c r="R96" i="8"/>
  <c r="R3142" i="8"/>
  <c r="E1301" i="27"/>
  <c r="F1301" i="27" s="1"/>
  <c r="E1309" i="27"/>
  <c r="F1309" i="27" s="1"/>
  <c r="R3212" i="8"/>
  <c r="R170" i="1"/>
  <c r="R165" i="1"/>
  <c r="S130" i="1"/>
  <c r="T166" i="1"/>
  <c r="E2534" i="8" l="1"/>
  <c r="F2537" i="8"/>
  <c r="AH2534" i="8"/>
  <c r="AM2534" i="8"/>
  <c r="AO2534" i="8" s="1"/>
  <c r="R1886" i="8"/>
  <c r="T923" i="8"/>
  <c r="AG2607" i="8"/>
  <c r="AG2592" i="8" s="1"/>
  <c r="AH2592" i="8" s="1"/>
  <c r="R2077" i="8"/>
  <c r="AM2052" i="8" s="1"/>
  <c r="AO2052" i="8" s="1"/>
  <c r="AG2067" i="8"/>
  <c r="AG2052" i="8" s="1"/>
  <c r="AH2052" i="8" s="1"/>
  <c r="R2617" i="8"/>
  <c r="AM2592" i="8" s="1"/>
  <c r="AO2592" i="8" s="1"/>
  <c r="E2657" i="8"/>
  <c r="F2657" i="8" s="1"/>
  <c r="R2679" i="8"/>
  <c r="E2326" i="8"/>
  <c r="E2323" i="8" s="1"/>
  <c r="R2348" i="8"/>
  <c r="AM2323" i="8" s="1"/>
  <c r="AO2323" i="8" s="1"/>
  <c r="E2419" i="8"/>
  <c r="AG2431" i="8"/>
  <c r="AG2416" i="8" s="1"/>
  <c r="R2441" i="8"/>
  <c r="E2202" i="8"/>
  <c r="AG2214" i="8"/>
  <c r="AG2199" i="8" s="1"/>
  <c r="R2224" i="8"/>
  <c r="AG2493" i="8"/>
  <c r="AG2478" i="8" s="1"/>
  <c r="E2481" i="8"/>
  <c r="R2503" i="8"/>
  <c r="AG2183" i="8"/>
  <c r="AG2168" i="8" s="1"/>
  <c r="E2171" i="8"/>
  <c r="R2193" i="8"/>
  <c r="AG2036" i="8"/>
  <c r="AG2021" i="8" s="1"/>
  <c r="R2046" i="8"/>
  <c r="E2024" i="8"/>
  <c r="R2162" i="8"/>
  <c r="AG2152" i="8"/>
  <c r="AG2137" i="8" s="1"/>
  <c r="E2140" i="8"/>
  <c r="E2592" i="8"/>
  <c r="E133" i="28" s="1"/>
  <c r="F133" i="28" s="1"/>
  <c r="F2595" i="8"/>
  <c r="AG2245" i="8"/>
  <c r="AG2230" i="8" s="1"/>
  <c r="R2255" i="8"/>
  <c r="E2233" i="8"/>
  <c r="E2295" i="8"/>
  <c r="AG2307" i="8"/>
  <c r="AG2292" i="8" s="1"/>
  <c r="R2317" i="8"/>
  <c r="AH2654" i="8"/>
  <c r="AG2462" i="8"/>
  <c r="AG2447" i="8" s="1"/>
  <c r="E2450" i="8"/>
  <c r="R2472" i="8"/>
  <c r="R2108" i="8"/>
  <c r="E2086" i="8"/>
  <c r="AG2098" i="8"/>
  <c r="AG2083" i="8" s="1"/>
  <c r="E1993" i="8"/>
  <c r="R2015" i="8"/>
  <c r="AG2005" i="8"/>
  <c r="AG1990" i="8" s="1"/>
  <c r="E2357" i="8"/>
  <c r="R2379" i="8"/>
  <c r="AG2369" i="8"/>
  <c r="AG2354" i="8" s="1"/>
  <c r="R2410" i="8"/>
  <c r="E2388" i="8"/>
  <c r="AG2400" i="8"/>
  <c r="AG2385" i="8" s="1"/>
  <c r="AG1918" i="8"/>
  <c r="AG1903" i="8" s="1"/>
  <c r="E1906" i="8"/>
  <c r="R1928" i="8"/>
  <c r="E2052" i="8"/>
  <c r="F2055" i="8"/>
  <c r="R2286" i="8"/>
  <c r="AG2276" i="8"/>
  <c r="AG2261" i="8" s="1"/>
  <c r="E2264" i="8"/>
  <c r="AG2638" i="8"/>
  <c r="AG2623" i="8" s="1"/>
  <c r="E2626" i="8"/>
  <c r="R2648" i="8"/>
  <c r="AH2323" i="8"/>
  <c r="R1984" i="8"/>
  <c r="AG1974" i="8"/>
  <c r="AG1959" i="8" s="1"/>
  <c r="E1962" i="8"/>
  <c r="AM1843" i="8"/>
  <c r="AO1843" i="8" s="1"/>
  <c r="AH1864" i="8"/>
  <c r="F1867" i="8"/>
  <c r="E1864" i="8"/>
  <c r="P1362" i="27" s="1"/>
  <c r="Q1362" i="27" s="1"/>
  <c r="AM1864" i="8"/>
  <c r="AO1864" i="8" s="1"/>
  <c r="AI1822" i="8"/>
  <c r="F1822" i="8"/>
  <c r="AH1843" i="8"/>
  <c r="AI1801" i="8"/>
  <c r="F1801" i="8"/>
  <c r="F1846" i="8"/>
  <c r="E1843" i="8"/>
  <c r="P1360" i="27" s="1"/>
  <c r="Q1360" i="27" s="1"/>
  <c r="Q1346" i="27"/>
  <c r="F150" i="35" s="1"/>
  <c r="F1734" i="8"/>
  <c r="AI1734" i="8"/>
  <c r="F1692" i="8"/>
  <c r="AI1692" i="8"/>
  <c r="F1713" i="8"/>
  <c r="AI1713" i="8"/>
  <c r="F1671" i="8"/>
  <c r="AI1671" i="8"/>
  <c r="F1755" i="8"/>
  <c r="AI1755" i="8"/>
  <c r="AI1776" i="8"/>
  <c r="F1776" i="8"/>
  <c r="Q1289" i="27"/>
  <c r="F148" i="35" s="1"/>
  <c r="AH1604" i="8"/>
  <c r="AH1625" i="8"/>
  <c r="AI1604" i="8"/>
  <c r="AJ1604" i="8" s="1"/>
  <c r="AI1625" i="8"/>
  <c r="AJ1625" i="8" s="1"/>
  <c r="AH1653" i="8"/>
  <c r="AK1653" i="8"/>
  <c r="AK1639" i="8"/>
  <c r="AH1639" i="8"/>
  <c r="AH1646" i="8"/>
  <c r="AK1646" i="8"/>
  <c r="F1618" i="8"/>
  <c r="T1618" i="8" s="1"/>
  <c r="AG1618" i="8"/>
  <c r="AI1618" i="8" s="1"/>
  <c r="AJ1618" i="8" s="1"/>
  <c r="AH1597" i="8"/>
  <c r="AG1611" i="8"/>
  <c r="F1611" i="8"/>
  <c r="T1611" i="8" s="1"/>
  <c r="AH1660" i="8"/>
  <c r="AI1597" i="8"/>
  <c r="AJ1597" i="8" s="1"/>
  <c r="AK1632" i="8"/>
  <c r="AH1632" i="8"/>
  <c r="AI1660" i="8"/>
  <c r="AJ1660" i="8" s="1"/>
  <c r="AH1240" i="8"/>
  <c r="F1243" i="8"/>
  <c r="E1240" i="8"/>
  <c r="P1146" i="27" s="1"/>
  <c r="Q1146" i="27" s="1"/>
  <c r="AM1240" i="8"/>
  <c r="AO1240" i="8" s="1"/>
  <c r="AH1219" i="8"/>
  <c r="F1222" i="8"/>
  <c r="E1219" i="8"/>
  <c r="P1144" i="27" s="1"/>
  <c r="Q1144" i="27" s="1"/>
  <c r="AH1261" i="8"/>
  <c r="AM1219" i="8"/>
  <c r="AO1219" i="8" s="1"/>
  <c r="F1264" i="8"/>
  <c r="E1261" i="8"/>
  <c r="P1148" i="27" s="1"/>
  <c r="Q1148" i="27" s="1"/>
  <c r="F1301" i="8"/>
  <c r="E1284" i="8"/>
  <c r="T1282" i="8"/>
  <c r="AM1261" i="8"/>
  <c r="AO1261" i="8" s="1"/>
  <c r="AJ1282" i="8"/>
  <c r="AK1282" i="8"/>
  <c r="AI1340" i="8"/>
  <c r="F1340" i="8"/>
  <c r="AM1421" i="8"/>
  <c r="AO1421" i="8" s="1"/>
  <c r="AH1421" i="8"/>
  <c r="E1421" i="8"/>
  <c r="F1424" i="8"/>
  <c r="AH1394" i="8"/>
  <c r="AI1313" i="8"/>
  <c r="F1313" i="8"/>
  <c r="E1394" i="8"/>
  <c r="P1161" i="27" s="1"/>
  <c r="Q1161" i="27" s="1"/>
  <c r="F1397" i="8"/>
  <c r="AM1394" i="8"/>
  <c r="AO1394" i="8" s="1"/>
  <c r="AI1367" i="8"/>
  <c r="F1367" i="8"/>
  <c r="R3132" i="8"/>
  <c r="T3132" i="8"/>
  <c r="AH1169" i="8"/>
  <c r="F1172" i="8"/>
  <c r="E1169" i="8"/>
  <c r="P129" i="27" s="1"/>
  <c r="Q129" i="27" s="1"/>
  <c r="AM1169" i="8"/>
  <c r="AO1169" i="8" s="1"/>
  <c r="AH1190" i="8"/>
  <c r="AI1127" i="8"/>
  <c r="F1127" i="8"/>
  <c r="F1193" i="8"/>
  <c r="E1190" i="8"/>
  <c r="P131" i="27" s="1"/>
  <c r="Q131" i="27" s="1"/>
  <c r="AI1148" i="8"/>
  <c r="F1148" i="8"/>
  <c r="AM1190" i="8"/>
  <c r="AO1190" i="8" s="1"/>
  <c r="Q115" i="27"/>
  <c r="F108" i="35" s="1"/>
  <c r="AI997" i="8"/>
  <c r="F997" i="8"/>
  <c r="AI1018" i="8"/>
  <c r="F1018" i="8"/>
  <c r="AI1039" i="8"/>
  <c r="F1039" i="8"/>
  <c r="AI1102" i="8"/>
  <c r="F1102" i="8"/>
  <c r="AI1081" i="8"/>
  <c r="F1081" i="8"/>
  <c r="AI1060" i="8"/>
  <c r="F1060" i="8"/>
  <c r="Q57" i="27"/>
  <c r="F106" i="35" s="1"/>
  <c r="AG937" i="8"/>
  <c r="F937" i="8"/>
  <c r="T937" i="8" s="1"/>
  <c r="AH972" i="8"/>
  <c r="AK958" i="8"/>
  <c r="AH958" i="8"/>
  <c r="AH979" i="8"/>
  <c r="AK965" i="8"/>
  <c r="AH965" i="8"/>
  <c r="AG944" i="8"/>
  <c r="F944" i="8"/>
  <c r="T944" i="8" s="1"/>
  <c r="AI979" i="8"/>
  <c r="AJ979" i="8" s="1"/>
  <c r="AH951" i="8"/>
  <c r="AH986" i="8"/>
  <c r="AI951" i="8"/>
  <c r="AJ951" i="8" s="1"/>
  <c r="AI986" i="8"/>
  <c r="AJ986" i="8" s="1"/>
  <c r="AH923" i="8"/>
  <c r="AH930" i="8"/>
  <c r="AK930" i="8"/>
  <c r="AI972" i="8"/>
  <c r="AJ972" i="8" s="1"/>
  <c r="AI923" i="8"/>
  <c r="AJ923" i="8" s="1"/>
  <c r="F529" i="8"/>
  <c r="E518" i="8"/>
  <c r="T516" i="8"/>
  <c r="AJ516" i="8"/>
  <c r="AK516" i="8"/>
  <c r="AH491" i="8"/>
  <c r="F494" i="8"/>
  <c r="E491" i="8"/>
  <c r="F350" i="22" s="1"/>
  <c r="G350" i="22" s="1"/>
  <c r="AM491" i="8"/>
  <c r="AO491" i="8" s="1"/>
  <c r="AH470" i="8"/>
  <c r="F473" i="8"/>
  <c r="E470" i="8"/>
  <c r="F348" i="22" s="1"/>
  <c r="G348" i="22" s="1"/>
  <c r="AM470" i="8"/>
  <c r="AO470" i="8" s="1"/>
  <c r="AH451" i="8"/>
  <c r="F454" i="8"/>
  <c r="E451" i="8"/>
  <c r="F312" i="22" s="1"/>
  <c r="G312" i="22" s="1"/>
  <c r="G332" i="22" s="1"/>
  <c r="F60" i="35" s="1"/>
  <c r="AM451" i="8"/>
  <c r="AO451" i="8" s="1"/>
  <c r="E127" i="8"/>
  <c r="F61" i="22" s="1"/>
  <c r="G61" i="22" s="1"/>
  <c r="G109" i="22" s="1"/>
  <c r="F52" i="35" s="1"/>
  <c r="F261" i="8"/>
  <c r="AI261" i="8"/>
  <c r="AI241" i="8"/>
  <c r="F241" i="8"/>
  <c r="AI195" i="8"/>
  <c r="F195" i="8"/>
  <c r="AI216" i="8"/>
  <c r="F216" i="8"/>
  <c r="AI174" i="8"/>
  <c r="F174" i="8"/>
  <c r="S165" i="1"/>
  <c r="F83" i="1" s="1"/>
  <c r="T170" i="1"/>
  <c r="F1339" i="27"/>
  <c r="E1198" i="27"/>
  <c r="F1198" i="27" s="1"/>
  <c r="E1357" i="27"/>
  <c r="F1357" i="27" s="1"/>
  <c r="E1410" i="27"/>
  <c r="F1410" i="27" s="1"/>
  <c r="R102" i="8"/>
  <c r="R538" i="8" s="1"/>
  <c r="R3130" i="8"/>
  <c r="R23" i="1" s="1"/>
  <c r="AG96" i="8"/>
  <c r="AG89" i="8" s="1"/>
  <c r="E92" i="8"/>
  <c r="E108" i="8"/>
  <c r="F36" i="22" s="1"/>
  <c r="G36" i="22" s="1"/>
  <c r="F111" i="8"/>
  <c r="E1406" i="27"/>
  <c r="F1406" i="27" s="1"/>
  <c r="B26" i="1"/>
  <c r="A26" i="1"/>
  <c r="AM108" i="8"/>
  <c r="AO108" i="8" s="1"/>
  <c r="E1205" i="27"/>
  <c r="F1205" i="27" s="1"/>
  <c r="AH108" i="8"/>
  <c r="E83" i="1"/>
  <c r="E1203" i="27"/>
  <c r="F1203" i="27" s="1"/>
  <c r="E1196" i="27"/>
  <c r="F1196" i="27" s="1"/>
  <c r="E1412" i="27"/>
  <c r="F1412" i="27" s="1"/>
  <c r="E1359" i="27"/>
  <c r="F1359" i="27" s="1"/>
  <c r="E1408" i="27"/>
  <c r="F1408" i="27" s="1"/>
  <c r="E1207" i="27"/>
  <c r="F1207" i="27" s="1"/>
  <c r="E1355" i="27"/>
  <c r="F1355" i="27" s="1"/>
  <c r="E1192" i="27"/>
  <c r="F1192" i="27" s="1"/>
  <c r="R37" i="1"/>
  <c r="D83" i="1"/>
  <c r="AI2534" i="8" l="1"/>
  <c r="F2534" i="8"/>
  <c r="R2682" i="8"/>
  <c r="AM2654" i="8"/>
  <c r="AO2654" i="8" s="1"/>
  <c r="Q1404" i="27"/>
  <c r="F152" i="35" s="1"/>
  <c r="T3130" i="8"/>
  <c r="AJ3130" i="8" s="1"/>
  <c r="E2654" i="8"/>
  <c r="F2326" i="8"/>
  <c r="AM2261" i="8"/>
  <c r="AO2261" i="8" s="1"/>
  <c r="AH2385" i="8"/>
  <c r="AM2354" i="8"/>
  <c r="AO2354" i="8" s="1"/>
  <c r="AH2230" i="8"/>
  <c r="E2021" i="8"/>
  <c r="F2024" i="8"/>
  <c r="AH2478" i="8"/>
  <c r="AH1903" i="8"/>
  <c r="AM2137" i="8"/>
  <c r="AO2137" i="8" s="1"/>
  <c r="E2385" i="8"/>
  <c r="E91" i="28" s="1"/>
  <c r="F91" i="28" s="1"/>
  <c r="F2388" i="8"/>
  <c r="F2357" i="8"/>
  <c r="E2354" i="8"/>
  <c r="AH2083" i="8"/>
  <c r="AM2021" i="8"/>
  <c r="AO2021" i="8" s="1"/>
  <c r="AM2199" i="8"/>
  <c r="AO2199" i="8" s="1"/>
  <c r="AH2261" i="8"/>
  <c r="AH2354" i="8"/>
  <c r="AM2230" i="8"/>
  <c r="AO2230" i="8" s="1"/>
  <c r="F2481" i="8"/>
  <c r="E2478" i="8"/>
  <c r="E113" i="28" s="1"/>
  <c r="F113" i="28" s="1"/>
  <c r="AM2385" i="8"/>
  <c r="AO2385" i="8" s="1"/>
  <c r="AH1990" i="8"/>
  <c r="E2083" i="8"/>
  <c r="E35" i="28" s="1"/>
  <c r="F35" i="28" s="1"/>
  <c r="F2086" i="8"/>
  <c r="AI2592" i="8"/>
  <c r="F2592" i="8"/>
  <c r="AH2021" i="8"/>
  <c r="AH2199" i="8"/>
  <c r="AM2623" i="8"/>
  <c r="AO2623" i="8" s="1"/>
  <c r="AM1990" i="8"/>
  <c r="AO1990" i="8" s="1"/>
  <c r="AM2083" i="8"/>
  <c r="AO2083" i="8" s="1"/>
  <c r="AM2292" i="8"/>
  <c r="AO2292" i="8" s="1"/>
  <c r="AM2168" i="8"/>
  <c r="AO2168" i="8" s="1"/>
  <c r="F2202" i="8"/>
  <c r="E2199" i="8"/>
  <c r="E61" i="28" s="1"/>
  <c r="F61" i="28" s="1"/>
  <c r="E1959" i="8"/>
  <c r="F1962" i="8"/>
  <c r="F2626" i="8"/>
  <c r="E2623" i="8"/>
  <c r="E138" i="28" s="1"/>
  <c r="F138" i="28" s="1"/>
  <c r="F2052" i="8"/>
  <c r="AI2052" i="8"/>
  <c r="F2323" i="8"/>
  <c r="AI2323" i="8"/>
  <c r="F1993" i="8"/>
  <c r="E1990" i="8"/>
  <c r="AM2447" i="8"/>
  <c r="AO2447" i="8" s="1"/>
  <c r="AH2292" i="8"/>
  <c r="F2171" i="8"/>
  <c r="E2168" i="8"/>
  <c r="E56" i="28" s="1"/>
  <c r="F56" i="28" s="1"/>
  <c r="AM2416" i="8"/>
  <c r="AO2416" i="8" s="1"/>
  <c r="AH1959" i="8"/>
  <c r="AH2623" i="8"/>
  <c r="AM1903" i="8"/>
  <c r="AO1903" i="8" s="1"/>
  <c r="F2450" i="8"/>
  <c r="E2447" i="8"/>
  <c r="E108" i="28" s="1"/>
  <c r="F108" i="28" s="1"/>
  <c r="F2295" i="8"/>
  <c r="E2292" i="8"/>
  <c r="E2137" i="8"/>
  <c r="E51" i="28" s="1"/>
  <c r="F51" i="28" s="1"/>
  <c r="F2140" i="8"/>
  <c r="AH2168" i="8"/>
  <c r="AH2416" i="8"/>
  <c r="AM1959" i="8"/>
  <c r="AO1959" i="8" s="1"/>
  <c r="E2261" i="8"/>
  <c r="E71" i="28" s="1"/>
  <c r="F71" i="28" s="1"/>
  <c r="F2264" i="8"/>
  <c r="F1906" i="8"/>
  <c r="E1903" i="8"/>
  <c r="AH2447" i="8"/>
  <c r="E2230" i="8"/>
  <c r="E66" i="28" s="1"/>
  <c r="F66" i="28" s="1"/>
  <c r="F2233" i="8"/>
  <c r="AH2137" i="8"/>
  <c r="AM2478" i="8"/>
  <c r="AO2478" i="8" s="1"/>
  <c r="F2419" i="8"/>
  <c r="E2416" i="8"/>
  <c r="E103" i="28" s="1"/>
  <c r="F103" i="28" s="1"/>
  <c r="AI1843" i="8"/>
  <c r="F1843" i="8"/>
  <c r="F1814" i="8"/>
  <c r="E1803" i="8"/>
  <c r="T1801" i="8"/>
  <c r="AI1864" i="8"/>
  <c r="F1864" i="8"/>
  <c r="AJ1801" i="8"/>
  <c r="AK1801" i="8"/>
  <c r="E1824" i="8"/>
  <c r="F1835" i="8"/>
  <c r="T1822" i="8"/>
  <c r="AJ1822" i="8"/>
  <c r="AK1822" i="8"/>
  <c r="F1684" i="8"/>
  <c r="E1673" i="8"/>
  <c r="T1671" i="8"/>
  <c r="AJ1713" i="8"/>
  <c r="AK1713" i="8"/>
  <c r="AJ1671" i="8"/>
  <c r="AK1671" i="8"/>
  <c r="F1726" i="8"/>
  <c r="E1715" i="8"/>
  <c r="T1713" i="8"/>
  <c r="F1789" i="8"/>
  <c r="E1778" i="8"/>
  <c r="T1776" i="8"/>
  <c r="AJ1692" i="8"/>
  <c r="AK1692" i="8"/>
  <c r="AJ1776" i="8"/>
  <c r="AK1776" i="8"/>
  <c r="F1705" i="8"/>
  <c r="E1694" i="8"/>
  <c r="T1692" i="8"/>
  <c r="AJ1755" i="8"/>
  <c r="AK1755" i="8"/>
  <c r="AJ1734" i="8"/>
  <c r="AK1734" i="8"/>
  <c r="F1768" i="8"/>
  <c r="E1757" i="8"/>
  <c r="T1755" i="8"/>
  <c r="F1747" i="8"/>
  <c r="E1736" i="8"/>
  <c r="T1734" i="8"/>
  <c r="AK1660" i="8"/>
  <c r="AK1618" i="8"/>
  <c r="AH1618" i="8"/>
  <c r="AH1611" i="8"/>
  <c r="AK1625" i="8"/>
  <c r="AI1611" i="8"/>
  <c r="AJ1611" i="8" s="1"/>
  <c r="AK1604" i="8"/>
  <c r="AK1597" i="8"/>
  <c r="P1163" i="27"/>
  <c r="Q1163" i="27" s="1"/>
  <c r="Q1168" i="27"/>
  <c r="AI1261" i="8"/>
  <c r="F1261" i="8"/>
  <c r="AI1240" i="8"/>
  <c r="F1240" i="8"/>
  <c r="AI1219" i="8"/>
  <c r="F1219" i="8"/>
  <c r="F1421" i="8"/>
  <c r="AI1421" i="8"/>
  <c r="AI1394" i="8"/>
  <c r="F1394" i="8"/>
  <c r="F1332" i="8"/>
  <c r="E1315" i="8"/>
  <c r="T1313" i="8"/>
  <c r="AJ1313" i="8"/>
  <c r="AK1313" i="8"/>
  <c r="F1386" i="8"/>
  <c r="E1369" i="8"/>
  <c r="T1367" i="8"/>
  <c r="F1359" i="8"/>
  <c r="E1342" i="8"/>
  <c r="T1340" i="8"/>
  <c r="AJ1367" i="8"/>
  <c r="AK1367" i="8"/>
  <c r="AJ1340" i="8"/>
  <c r="AK1340" i="8"/>
  <c r="Q173" i="27"/>
  <c r="F110" i="35" s="1"/>
  <c r="AJ3132" i="8"/>
  <c r="T25" i="1"/>
  <c r="R25" i="1"/>
  <c r="R35" i="1" s="1"/>
  <c r="E21" i="18" s="1"/>
  <c r="AH3132" i="8"/>
  <c r="F1161" i="8"/>
  <c r="E1150" i="8"/>
  <c r="T1148" i="8"/>
  <c r="AJ1148" i="8"/>
  <c r="AK1148" i="8"/>
  <c r="AI1190" i="8"/>
  <c r="F1190" i="8"/>
  <c r="AI1169" i="8"/>
  <c r="F1169" i="8"/>
  <c r="F1140" i="8"/>
  <c r="E1129" i="8"/>
  <c r="T1127" i="8"/>
  <c r="AJ1127" i="8"/>
  <c r="AK1127" i="8"/>
  <c r="F1115" i="8"/>
  <c r="E1104" i="8"/>
  <c r="T1102" i="8"/>
  <c r="AJ1102" i="8"/>
  <c r="AK1102" i="8"/>
  <c r="F1052" i="8"/>
  <c r="E1041" i="8"/>
  <c r="T1039" i="8"/>
  <c r="AJ1039" i="8"/>
  <c r="AK1039" i="8"/>
  <c r="F1073" i="8"/>
  <c r="E1062" i="8"/>
  <c r="T1060" i="8"/>
  <c r="F1031" i="8"/>
  <c r="E1020" i="8"/>
  <c r="T1018" i="8"/>
  <c r="AJ1060" i="8"/>
  <c r="AK1060" i="8"/>
  <c r="AJ1018" i="8"/>
  <c r="AK1018" i="8"/>
  <c r="F1094" i="8"/>
  <c r="E1083" i="8"/>
  <c r="T1081" i="8"/>
  <c r="F1010" i="8"/>
  <c r="E999" i="8"/>
  <c r="T997" i="8"/>
  <c r="AJ1081" i="8"/>
  <c r="AK1081" i="8"/>
  <c r="AJ997" i="8"/>
  <c r="AK997" i="8"/>
  <c r="AK986" i="8"/>
  <c r="AK951" i="8"/>
  <c r="AK923" i="8"/>
  <c r="AH944" i="8"/>
  <c r="AK972" i="8"/>
  <c r="AI944" i="8"/>
  <c r="AJ944" i="8" s="1"/>
  <c r="AH937" i="8"/>
  <c r="AK979" i="8"/>
  <c r="AI937" i="8"/>
  <c r="AJ937" i="8" s="1"/>
  <c r="G389" i="22"/>
  <c r="F62" i="35" s="1"/>
  <c r="AI491" i="8"/>
  <c r="F491" i="8"/>
  <c r="AI470" i="8"/>
  <c r="F470" i="8"/>
  <c r="AI451" i="8"/>
  <c r="F451" i="8"/>
  <c r="F127" i="8"/>
  <c r="F135" i="8" s="1"/>
  <c r="AI127" i="8"/>
  <c r="AJ127" i="8" s="1"/>
  <c r="AJ261" i="8"/>
  <c r="AK261" i="8"/>
  <c r="F269" i="8"/>
  <c r="E263" i="8"/>
  <c r="T261" i="8"/>
  <c r="F249" i="8"/>
  <c r="E243" i="8"/>
  <c r="T241" i="8"/>
  <c r="AJ241" i="8"/>
  <c r="AK241" i="8"/>
  <c r="F187" i="8"/>
  <c r="E176" i="8"/>
  <c r="T174" i="8"/>
  <c r="AJ174" i="8"/>
  <c r="AK174" i="8"/>
  <c r="F229" i="8"/>
  <c r="E218" i="8"/>
  <c r="T216" i="8"/>
  <c r="AJ216" i="8"/>
  <c r="AK216" i="8"/>
  <c r="F208" i="8"/>
  <c r="E197" i="8"/>
  <c r="T195" i="8"/>
  <c r="AJ195" i="8"/>
  <c r="AK195" i="8"/>
  <c r="F1396" i="27"/>
  <c r="E1211" i="27"/>
  <c r="F1211" i="27" s="1"/>
  <c r="E21" i="24"/>
  <c r="F21" i="24" s="1"/>
  <c r="F56" i="24" s="1"/>
  <c r="F92" i="8"/>
  <c r="E89" i="8"/>
  <c r="F31" i="22" s="1"/>
  <c r="G31" i="22" s="1"/>
  <c r="G51" i="22" s="1"/>
  <c r="F50" i="35" s="1"/>
  <c r="AH89" i="8"/>
  <c r="R3140" i="8"/>
  <c r="AH3130" i="8"/>
  <c r="F1453" i="27"/>
  <c r="F108" i="8"/>
  <c r="AI108" i="8"/>
  <c r="AM89" i="8"/>
  <c r="AO89" i="8" s="1"/>
  <c r="R3144" i="8"/>
  <c r="E1209" i="27"/>
  <c r="F1209" i="27" s="1"/>
  <c r="E2536" i="8" l="1"/>
  <c r="F2555" i="8"/>
  <c r="T2534" i="8"/>
  <c r="AJ2534" i="8"/>
  <c r="AK2534" i="8"/>
  <c r="F1886" i="8"/>
  <c r="H66" i="35"/>
  <c r="AJ3140" i="8"/>
  <c r="F2654" i="8"/>
  <c r="F2674" i="8" s="1"/>
  <c r="E155" i="28"/>
  <c r="F155" i="28" s="1"/>
  <c r="F197" i="28" s="1"/>
  <c r="F163" i="35" s="1"/>
  <c r="F145" i="28"/>
  <c r="F161" i="35" s="1"/>
  <c r="T3140" i="8"/>
  <c r="T23" i="1"/>
  <c r="AI2654" i="8"/>
  <c r="AK2654" i="8" s="1"/>
  <c r="F93" i="28"/>
  <c r="F159" i="35" s="1"/>
  <c r="F42" i="28"/>
  <c r="F157" i="35" s="1"/>
  <c r="AI2416" i="8"/>
  <c r="F2416" i="8"/>
  <c r="F2623" i="8"/>
  <c r="AI2623" i="8"/>
  <c r="AI1903" i="8"/>
  <c r="F1903" i="8"/>
  <c r="AI2168" i="8"/>
  <c r="F2168" i="8"/>
  <c r="AI1990" i="8"/>
  <c r="F1990" i="8"/>
  <c r="F2447" i="8"/>
  <c r="AI2447" i="8"/>
  <c r="AI1959" i="8"/>
  <c r="F1959" i="8"/>
  <c r="AJ2323" i="8"/>
  <c r="AK2323" i="8"/>
  <c r="AI2199" i="8"/>
  <c r="F2199" i="8"/>
  <c r="AI2354" i="8"/>
  <c r="F2354" i="8"/>
  <c r="AI2083" i="8"/>
  <c r="F2083" i="8"/>
  <c r="AI2261" i="8"/>
  <c r="F2261" i="8"/>
  <c r="F2137" i="8"/>
  <c r="AI2137" i="8"/>
  <c r="F2343" i="8"/>
  <c r="E2325" i="8"/>
  <c r="T2323" i="8"/>
  <c r="F2612" i="8"/>
  <c r="E2594" i="8"/>
  <c r="T2592" i="8"/>
  <c r="AI2292" i="8"/>
  <c r="F2292" i="8"/>
  <c r="AJ2052" i="8"/>
  <c r="AK2052" i="8"/>
  <c r="AJ2592" i="8"/>
  <c r="AK2592" i="8"/>
  <c r="F2478" i="8"/>
  <c r="AI2478" i="8"/>
  <c r="F2230" i="8"/>
  <c r="AI2230" i="8"/>
  <c r="E2054" i="8"/>
  <c r="F2072" i="8"/>
  <c r="T2052" i="8"/>
  <c r="F2385" i="8"/>
  <c r="AI2385" i="8"/>
  <c r="F2021" i="8"/>
  <c r="AI2021" i="8"/>
  <c r="E1866" i="8"/>
  <c r="F1877" i="8"/>
  <c r="T1864" i="8"/>
  <c r="AJ1864" i="8"/>
  <c r="AK1864" i="8"/>
  <c r="F1856" i="8"/>
  <c r="E1845" i="8"/>
  <c r="T1843" i="8"/>
  <c r="AJ1843" i="8"/>
  <c r="AK1843" i="8"/>
  <c r="AK1611" i="8"/>
  <c r="Q1177" i="27"/>
  <c r="F144" i="35" s="1"/>
  <c r="H152" i="35" s="1"/>
  <c r="F1232" i="8"/>
  <c r="E1221" i="8"/>
  <c r="T1219" i="8"/>
  <c r="AJ1219" i="8"/>
  <c r="AK1219" i="8"/>
  <c r="F1253" i="8"/>
  <c r="E1242" i="8"/>
  <c r="T1240" i="8"/>
  <c r="AJ1240" i="8"/>
  <c r="AK1240" i="8"/>
  <c r="F1274" i="8"/>
  <c r="E1263" i="8"/>
  <c r="T1261" i="8"/>
  <c r="AJ1261" i="8"/>
  <c r="AK1261" i="8"/>
  <c r="AH3140" i="8"/>
  <c r="F1413" i="8"/>
  <c r="E1396" i="8"/>
  <c r="T1394" i="8"/>
  <c r="AJ1394" i="8"/>
  <c r="AK1394" i="8"/>
  <c r="AJ1421" i="8"/>
  <c r="AK1421" i="8"/>
  <c r="F1440" i="8"/>
  <c r="E1423" i="8"/>
  <c r="T1421" i="8"/>
  <c r="AJ1169" i="8"/>
  <c r="AK1169" i="8"/>
  <c r="F1203" i="8"/>
  <c r="E1192" i="8"/>
  <c r="T1190" i="8"/>
  <c r="AJ1190" i="8"/>
  <c r="AK1190" i="8"/>
  <c r="F1182" i="8"/>
  <c r="E1171" i="8"/>
  <c r="T1169" i="8"/>
  <c r="AK937" i="8"/>
  <c r="AK944" i="8"/>
  <c r="F483" i="8"/>
  <c r="E472" i="8"/>
  <c r="T470" i="8"/>
  <c r="AJ470" i="8"/>
  <c r="AK470" i="8"/>
  <c r="F504" i="8"/>
  <c r="E493" i="8"/>
  <c r="T491" i="8"/>
  <c r="AJ491" i="8"/>
  <c r="AK491" i="8"/>
  <c r="F459" i="8"/>
  <c r="E453" i="8"/>
  <c r="T451" i="8"/>
  <c r="AJ451" i="8"/>
  <c r="AK451" i="8"/>
  <c r="AK127" i="8"/>
  <c r="T127" i="8"/>
  <c r="E129" i="8"/>
  <c r="R3146" i="8"/>
  <c r="E1194" i="27"/>
  <c r="F1194" i="27" s="1"/>
  <c r="F1227" i="27" s="1"/>
  <c r="AH3129" i="8"/>
  <c r="F116" i="8"/>
  <c r="E110" i="8"/>
  <c r="T108" i="8"/>
  <c r="AJ108" i="8"/>
  <c r="AK108" i="8"/>
  <c r="AI89" i="8"/>
  <c r="F89" i="8"/>
  <c r="F538" i="8" s="1"/>
  <c r="F3130" i="8"/>
  <c r="F23" i="1" s="1"/>
  <c r="R39" i="1"/>
  <c r="T1886" i="8" l="1"/>
  <c r="B1886" i="8" s="1"/>
  <c r="F2682" i="8"/>
  <c r="F3146" i="8" s="1"/>
  <c r="H163" i="35"/>
  <c r="H200" i="35" s="1"/>
  <c r="AH3141" i="8"/>
  <c r="AK3140" i="8"/>
  <c r="T2654" i="8"/>
  <c r="E2656" i="8"/>
  <c r="AJ2654" i="8"/>
  <c r="AJ2230" i="8"/>
  <c r="AK2230" i="8"/>
  <c r="F2312" i="8"/>
  <c r="E2294" i="8"/>
  <c r="T2292" i="8"/>
  <c r="AJ2083" i="8"/>
  <c r="AK2083" i="8"/>
  <c r="AJ2168" i="8"/>
  <c r="AK2168" i="8"/>
  <c r="AJ2021" i="8"/>
  <c r="AK2021" i="8"/>
  <c r="F2250" i="8"/>
  <c r="E2232" i="8"/>
  <c r="T2230" i="8"/>
  <c r="AJ2292" i="8"/>
  <c r="AK2292" i="8"/>
  <c r="F2374" i="8"/>
  <c r="E2356" i="8"/>
  <c r="T2354" i="8"/>
  <c r="F1979" i="8"/>
  <c r="E1961" i="8"/>
  <c r="T1959" i="8"/>
  <c r="F1923" i="8"/>
  <c r="E1905" i="8"/>
  <c r="T1903" i="8"/>
  <c r="E2023" i="8"/>
  <c r="F2041" i="8"/>
  <c r="T2021" i="8"/>
  <c r="AJ2478" i="8"/>
  <c r="AK2478" i="8"/>
  <c r="AJ2354" i="8"/>
  <c r="AK2354" i="8"/>
  <c r="AJ1959" i="8"/>
  <c r="AK1959" i="8"/>
  <c r="AJ1903" i="8"/>
  <c r="AK1903" i="8"/>
  <c r="AJ2385" i="8"/>
  <c r="AK2385" i="8"/>
  <c r="F2498" i="8"/>
  <c r="E2480" i="8"/>
  <c r="T2478" i="8"/>
  <c r="AJ2137" i="8"/>
  <c r="AK2137" i="8"/>
  <c r="E2201" i="8"/>
  <c r="F2219" i="8"/>
  <c r="T2199" i="8"/>
  <c r="AJ2447" i="8"/>
  <c r="AK2447" i="8"/>
  <c r="AJ2623" i="8"/>
  <c r="AK2623" i="8"/>
  <c r="F2188" i="8"/>
  <c r="E2170" i="8"/>
  <c r="T2168" i="8"/>
  <c r="E2387" i="8"/>
  <c r="F2405" i="8"/>
  <c r="T2385" i="8"/>
  <c r="F2157" i="8"/>
  <c r="E2139" i="8"/>
  <c r="T2137" i="8"/>
  <c r="AJ2199" i="8"/>
  <c r="AK2199" i="8"/>
  <c r="E2449" i="8"/>
  <c r="F2467" i="8"/>
  <c r="T2447" i="8"/>
  <c r="F2643" i="8"/>
  <c r="E2625" i="8"/>
  <c r="T2623" i="8"/>
  <c r="F2103" i="8"/>
  <c r="E2085" i="8"/>
  <c r="T2083" i="8"/>
  <c r="E2263" i="8"/>
  <c r="F2281" i="8"/>
  <c r="T2261" i="8"/>
  <c r="F2010" i="8"/>
  <c r="E1992" i="8"/>
  <c r="T1990" i="8"/>
  <c r="E2418" i="8"/>
  <c r="F2436" i="8"/>
  <c r="T2416" i="8"/>
  <c r="AJ2261" i="8"/>
  <c r="AK2261" i="8"/>
  <c r="AJ1990" i="8"/>
  <c r="AK1990" i="8"/>
  <c r="AJ2416" i="8"/>
  <c r="AK2416" i="8"/>
  <c r="B3130" i="8"/>
  <c r="F97" i="8"/>
  <c r="F3131" i="8" s="1"/>
  <c r="E91" i="8"/>
  <c r="F3144" i="8"/>
  <c r="T89" i="8"/>
  <c r="AJ89" i="8"/>
  <c r="AK89" i="8"/>
  <c r="H202" i="35" l="1"/>
  <c r="H204" i="35" s="1"/>
  <c r="T2682" i="8"/>
  <c r="B2682" i="8" s="1"/>
  <c r="T538" i="8"/>
  <c r="B538" i="8" s="1"/>
  <c r="B3131" i="8"/>
  <c r="F24" i="1"/>
  <c r="F3132" i="8"/>
  <c r="T3144" i="8"/>
  <c r="B3144" i="8" s="1"/>
  <c r="AK3129" i="8"/>
  <c r="AK3141" i="8" s="1"/>
  <c r="AJ3129" i="8"/>
  <c r="AJ3141" i="8" s="1"/>
  <c r="T35" i="1"/>
  <c r="E23" i="1"/>
  <c r="T3146" i="8" l="1"/>
  <c r="B3146" i="8" s="1"/>
  <c r="B3132" i="8"/>
  <c r="F25" i="1"/>
  <c r="C72" i="1" s="1"/>
  <c r="F72" i="1" s="1"/>
  <c r="B24" i="1"/>
  <c r="E24" i="1"/>
  <c r="A24" i="1"/>
  <c r="F3140" i="8"/>
  <c r="B23" i="1"/>
  <c r="A23" i="1"/>
  <c r="T39" i="1"/>
  <c r="E22" i="18"/>
  <c r="A25" i="1" l="1"/>
  <c r="B19" i="1" s="1"/>
  <c r="B25" i="1"/>
  <c r="E25" i="1"/>
  <c r="E35" i="1" s="1"/>
  <c r="F75" i="1" s="1"/>
  <c r="R83" i="1" s="1"/>
  <c r="Q19" i="1" s="1"/>
  <c r="Q16" i="1" l="1"/>
  <c r="Q15" i="1"/>
  <c r="F74" i="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2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2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2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2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2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2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2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2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2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2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2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2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2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2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200-00000F000000}">
      <text>
        <r>
          <rPr>
            <b/>
            <sz val="8"/>
            <color indexed="81"/>
            <rFont val="Tahoma"/>
            <family val="2"/>
          </rPr>
          <t>Michael Vella:</t>
        </r>
        <r>
          <rPr>
            <sz val="8"/>
            <color indexed="81"/>
            <rFont val="Tahoma"/>
            <family val="2"/>
          </rPr>
          <t xml:space="preserve">
Press &lt;CTRL :&gt; to enter the current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77" authorId="0" shapeId="0" xr:uid="{00000000-0006-0000-0400-000001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97" authorId="0" shapeId="0" xr:uid="{00000000-0006-0000-0400-000002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16" authorId="0" shapeId="0" xr:uid="{00000000-0006-0000-0400-0000030000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35" authorId="0" shapeId="0" xr:uid="{BC1B6E05-EF5F-4209-9A3F-61CBB7146C08}">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87" authorId="0" shapeId="0" xr:uid="{4C48EA35-1F5C-497D-83AC-510E51657245}">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08" authorId="0" shapeId="0" xr:uid="{A675DE7D-6A98-4CA2-BE37-2D2D586A7828}">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29" authorId="0" shapeId="0" xr:uid="{3636AE6B-B69A-4F4E-8C7B-EC340A49BF61}">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49" authorId="0" shapeId="0" xr:uid="{C749B4B9-D03A-465E-BF68-625A1D602F4E}">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69" authorId="0" shapeId="0" xr:uid="{62E1DD6B-BA0F-4313-82AE-33E106A5C756}">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328" authorId="0" shapeId="0" xr:uid="{8083D976-2A02-4C1E-B626-8B4FD4FAF106}">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355" authorId="0" shapeId="0" xr:uid="{71F9E0E9-ED37-41E2-831D-CC4766586D54}">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382" authorId="0" shapeId="0" xr:uid="{65E66741-E436-43C9-AC4B-5EA56A4B7AD3}">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39" authorId="0" shapeId="0" xr:uid="{ABDF6E0B-72C3-483F-8214-3AC3DD8DADF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59" authorId="0" shapeId="0" xr:uid="{4427BD39-A506-4FAE-ADFA-F73693E201F5}">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83" authorId="0" shapeId="0" xr:uid="{F125D3FE-6335-4A0C-A2A9-0DE0F00DCA27}">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04" authorId="0" shapeId="0" xr:uid="{4AF67792-61DB-4A42-966B-3F1604C575E5}">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29" authorId="0" shapeId="0" xr:uid="{660BB515-B4EC-447B-BD69-9957ABB3F07C}">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68" authorId="0" shapeId="0" xr:uid="{B9630B99-7707-42F6-89A1-592C24FD6F34}">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96" authorId="0" shapeId="0" xr:uid="{2861ED01-602D-4DF4-8010-3957E86042C1}">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632" authorId="0" shapeId="0" xr:uid="{6B166460-E43E-4A5E-9760-D0BC306467A4}">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658" authorId="0" shapeId="0" xr:uid="{FD864B01-4C09-4F94-88D1-07246F177D65}">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680" authorId="0" shapeId="0" xr:uid="{25C9B2E3-2543-4EFD-B4F4-8C7463C45923}">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702" authorId="0" shapeId="0" xr:uid="{EB62A599-FBF1-4894-8DD4-E7F13610294B}">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737" authorId="0" shapeId="0" xr:uid="{5AC4779A-0DCD-4E0C-B80D-1E1E26620FBB}">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763" authorId="0" shapeId="0" xr:uid="{2430F64D-82EA-4BDB-9626-FACA5ADBC797}">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785" authorId="0" shapeId="0" xr:uid="{A6F7DFE2-3F8B-47D4-95EC-B73972729F0E}">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807" authorId="0" shapeId="0" xr:uid="{D2CDE173-0DA0-4A30-8F0D-45CE83EADCC8}">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849" authorId="0" shapeId="0" xr:uid="{6F0F66E4-D734-4FA6-A885-5886BB5984F1}">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876" authorId="0" shapeId="0" xr:uid="{471E66B7-3052-43A8-A6E5-AFCE220C9105}">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901" authorId="0" shapeId="0" xr:uid="{5ABBE537-54F3-43AB-B2D8-5B6C174557BF}">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010" authorId="0" shapeId="0" xr:uid="{D5EE8403-C9CB-46A8-A6C0-6F3C0AAB818C}">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031" authorId="0" shapeId="0" xr:uid="{FE2F7484-FA0C-4863-8DFC-08C8BB27E372}">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052" authorId="0" shapeId="0" xr:uid="{393C2550-34D1-4156-A3ED-2342E70F2256}">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073" authorId="0" shapeId="0" xr:uid="{00DE7AE8-A427-4FD2-9AE1-5FB6A94DF811}">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094" authorId="0" shapeId="0" xr:uid="{0038FC23-CDB6-4683-8D97-4F19AC693568}">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115" authorId="0" shapeId="0" xr:uid="{073B3CA7-1CB7-4507-BAEE-79D0841AFE61}">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140" authorId="0" shapeId="0" xr:uid="{5F3A5598-B39D-472B-A47A-1C049900D6E6}">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161" authorId="0" shapeId="0" xr:uid="{4B99FA46-ABF7-4B13-80BB-99498C213F86}">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182" authorId="0" shapeId="0" xr:uid="{021A049B-98FE-421F-9D10-9C56126D6BD9}">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203" authorId="0" shapeId="0" xr:uid="{E9C96CA1-A42C-401E-B4A1-3AF292822C58}">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232" authorId="0" shapeId="0" xr:uid="{9AE593D1-005F-4F35-9C56-E27AABAE42FA}">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253" authorId="0" shapeId="0" xr:uid="{9EEBDCEF-92F2-4376-9EC8-31E77F026B23}">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274" authorId="0" shapeId="0" xr:uid="{C8F67FF9-EC40-46CF-807A-4A03D98BABB1}">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301" authorId="0" shapeId="0" xr:uid="{22B40472-9161-4F6F-B7DC-E33C1C76BA74}">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332" authorId="0" shapeId="0" xr:uid="{398B0758-81FB-43D3-B8C8-9D105E8861BE}">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359" authorId="0" shapeId="0" xr:uid="{A48A561E-063C-4F41-97CD-A4A09FA0BB99}">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386" authorId="0" shapeId="0" xr:uid="{AADC9D72-B642-4443-BFB6-AC8C3A05A635}">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413" authorId="0" shapeId="0" xr:uid="{60C36E94-4784-4991-A037-7AE113781579}">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440" authorId="0" shapeId="0" xr:uid="{15F804F2-329E-4B54-8F4B-9A55DDE3E934}">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471" authorId="0" shapeId="0" xr:uid="{37E2E10A-82EB-41A1-9C9A-B1E161ECAF62}">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498" authorId="0" shapeId="0" xr:uid="{37B1E73B-23A7-4751-B669-4085585051D8}">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525" authorId="0" shapeId="0" xr:uid="{2A1FADF5-52BF-47C4-BD78-7721BD54254F}">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554" authorId="0" shapeId="0" xr:uid="{83456B21-EFD8-44E6-A1E4-87242025A2D5}">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581" authorId="0" shapeId="0" xr:uid="{C9716ECD-B4E1-4211-9162-674146063894}">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684" authorId="0" shapeId="0" xr:uid="{B7D93AE7-E6E0-42DA-93D5-1651DB5302FB}">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705" authorId="0" shapeId="0" xr:uid="{92BA6D4C-5E3C-4649-94B7-215B043B12C8}">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726" authorId="0" shapeId="0" xr:uid="{3F75C737-9640-4F12-A76E-493EF9DD6546}">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747" authorId="0" shapeId="0" xr:uid="{E8ED900B-70B6-4389-AD9E-0F23803D7F1B}">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768" authorId="0" shapeId="0" xr:uid="{77FC2AC7-EE42-4D58-926A-4132415BDAC2}">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789" authorId="0" shapeId="0" xr:uid="{E43C518B-79AA-40CE-AD97-AFA465DC98BC}">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814" authorId="0" shapeId="0" xr:uid="{161CFA25-B62F-45E7-A384-689F3D5B28AE}">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835" authorId="0" shapeId="0" xr:uid="{3CAC678F-57EB-4D4C-8902-FF00D097B3C3}">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856" authorId="0" shapeId="0" xr:uid="{E455D7FA-72AF-4180-A01C-356EE65BB368}">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877" authorId="0" shapeId="0" xr:uid="{21D48F31-E888-45A9-9485-3425861C006A}">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923" authorId="0" shapeId="0" xr:uid="{6F0B5514-456E-4A33-BE52-0DE8A11C244A}">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L1923" authorId="0" shapeId="0" xr:uid="{9AD6B9FD-1099-42E8-943F-41482518B09F}">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947" authorId="0" shapeId="0" xr:uid="{F90D7491-7ED2-4B89-9756-957B6372B6D3}">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979" authorId="0" shapeId="0" xr:uid="{CF1B3DBE-25AC-4808-804C-211CBC563EE6}">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L1979" authorId="0" shapeId="0" xr:uid="{76244DD9-39CF-480C-9808-3FB47CDC3055}">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010" authorId="0" shapeId="0" xr:uid="{2E22BE01-87FC-467E-8F30-D49F313317BB}">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L2010" authorId="0" shapeId="0" xr:uid="{F01D9FA3-F427-4F40-AFC2-DAE715442974}">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041" authorId="0" shapeId="0" xr:uid="{BC118395-314B-4B0A-8EF6-92E424821A5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L2041" authorId="0" shapeId="0" xr:uid="{4F18AB17-4960-41A7-A1AD-A8D3197FB06C}">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072" authorId="0" shapeId="0" xr:uid="{9B8B771E-AC92-4448-B3EA-C56ABF3D0B65}">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L2072" authorId="0" shapeId="0" xr:uid="{ADDF7AC1-B963-4729-AD28-742A123A718A}">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103" authorId="0" shapeId="0" xr:uid="{4CBFA519-668E-4414-B6F0-A54C71FA1247}">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125" authorId="0" shapeId="0" xr:uid="{686A8EA9-569A-4A48-85B4-200983BA592B}">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157" authorId="0" shapeId="0" xr:uid="{EE07B3F8-0FBC-42C3-8B8A-4E1E5B7F9FF2}">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188" authorId="0" shapeId="0" xr:uid="{1D2D1A9B-F812-4CF3-B0DA-18A25DC53BA2}">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219" authorId="0" shapeId="0" xr:uid="{C101F787-5B49-4C8F-87CE-4E94B5A17D6F}">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250" authorId="0" shapeId="0" xr:uid="{0DF2B217-4AC5-4A95-8032-7553577A1BF4}">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281" authorId="0" shapeId="0" xr:uid="{6A8461E0-FFF9-492F-B982-171DF97AE69A}">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312" authorId="0" shapeId="0" xr:uid="{11337B2A-C514-4CD0-96EC-02A9A89ED8AC}">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L2312" authorId="0" shapeId="0" xr:uid="{AECBCF7F-5458-4169-AF6D-532A9427316E}">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343" authorId="0" shapeId="0" xr:uid="{AFF2F670-37E8-4E62-8C2D-DFE9A58A2E1F}">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L2343" authorId="0" shapeId="0" xr:uid="{0B64C5AA-4434-4C07-A894-B8249DCD81F1}">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374" authorId="0" shapeId="0" xr:uid="{CD2C5690-9051-40FC-AE3C-0B6914EE053E}">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L2374" authorId="0" shapeId="0" xr:uid="{6CC1777D-B9B0-4144-A3A3-FED1E5086122}">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405" authorId="0" shapeId="0" xr:uid="{F7FA3191-331E-49DD-80AF-11AE131E22D4}">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436" authorId="0" shapeId="0" xr:uid="{7D9A70E9-D2DC-414A-9EE2-E65517B84564}">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467" authorId="0" shapeId="0" xr:uid="{46DACDD6-5CA7-4B4C-8E53-37CEFCED56B9}">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498" authorId="0" shapeId="0" xr:uid="{16E8A8E1-D72B-4BAE-8DBD-3CEBE79CC586}">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522" authorId="0" shapeId="0" xr:uid="{A17B4FC9-759E-403E-BEE8-67147D8412EC}">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555" authorId="0" shapeId="0" xr:uid="{6A1910F9-5125-4E6F-845D-DC09736A4FF1}">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580" authorId="0" shapeId="0" xr:uid="{05D93B69-0296-4BF7-9775-D0C449041D14}">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612" authorId="0" shapeId="0" xr:uid="{811C3495-D2E5-45F5-9984-666737042C35}">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643" authorId="0" shapeId="0" xr:uid="{1BC82406-5FD7-4965-9A7D-F529D432C72B}">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674" authorId="0" shapeId="0" xr:uid="{92666494-0332-40AF-9A5E-31628984F13E}">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705" authorId="0" shapeId="0" xr:uid="{0D6092B3-0D46-45D3-B25D-3EEB5AB465AE}">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731" authorId="0" shapeId="0" xr:uid="{CE52D7B9-DF05-49FF-A648-7D8480BC7B18}">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757" authorId="0" shapeId="0" xr:uid="{A53AAD4C-A3F6-4932-9782-88D705D95A3E}">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782" authorId="0" shapeId="0" xr:uid="{B866C5BF-8260-4E21-A1FB-BB3E07D9D958}">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824" authorId="0" shapeId="0" xr:uid="{46ABA835-7CB3-4F9B-B917-554DC4E24626}">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941" authorId="0" shapeId="0" xr:uid="{48B556EA-74D0-428A-8D84-B9E8DEC44721}">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3022" authorId="0" shapeId="0" xr:uid="{DD83D63E-F760-4E58-AB65-AA54E82D8B95}">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3044" authorId="0" shapeId="0" xr:uid="{DCAF9C15-2779-4FD1-A342-E21D4036FE67}">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3064" authorId="0" shapeId="0" xr:uid="{59F21BC8-4E8C-4112-A1A5-8D65B71B7D25}">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3095" authorId="0" shapeId="0" xr:uid="{85CCB6BC-344A-46A1-A74B-2F2A0805280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K3129" authorId="0" shapeId="0" xr:uid="{00000000-0006-0000-0400-000069000000}">
      <text>
        <r>
          <rPr>
            <b/>
            <sz val="10"/>
            <color indexed="81"/>
            <rFont val="Tahoma"/>
            <family val="2"/>
          </rPr>
          <t>Michael Vella:</t>
        </r>
        <r>
          <rPr>
            <sz val="10"/>
            <color indexed="81"/>
            <rFont val="Tahoma"/>
            <family val="2"/>
          </rPr>
          <t xml:space="preserve">
This cell should be exactly equal to the MU SUMMARY TOTAL.</t>
        </r>
      </text>
    </comment>
    <comment ref="AH3141" authorId="0" shapeId="0" xr:uid="{00000000-0006-0000-0400-00006A000000}">
      <text>
        <r>
          <rPr>
            <b/>
            <sz val="10"/>
            <color indexed="81"/>
            <rFont val="Tahoma"/>
            <family val="2"/>
          </rPr>
          <t>Michael Vella:</t>
        </r>
        <r>
          <rPr>
            <sz val="10"/>
            <color indexed="81"/>
            <rFont val="Tahoma"/>
            <family val="2"/>
          </rPr>
          <t xml:space="preserve">
This discrepancy must be small</t>
        </r>
      </text>
    </comment>
    <comment ref="AJ3141" authorId="0" shapeId="0" xr:uid="{00000000-0006-0000-0400-00006B000000}">
      <text>
        <r>
          <rPr>
            <b/>
            <sz val="10"/>
            <color indexed="81"/>
            <rFont val="Tahoma"/>
            <family val="2"/>
          </rPr>
          <t>Michael Vella:</t>
        </r>
        <r>
          <rPr>
            <sz val="10"/>
            <color indexed="81"/>
            <rFont val="Tahoma"/>
            <family val="2"/>
          </rPr>
          <t xml:space="preserve">
This discrepancy must be small</t>
        </r>
      </text>
    </comment>
    <comment ref="AK3141" authorId="0" shapeId="0" xr:uid="{00000000-0006-0000-0400-00006C000000}">
      <text>
        <r>
          <rPr>
            <b/>
            <sz val="10"/>
            <color indexed="81"/>
            <rFont val="Tahoma"/>
            <family val="2"/>
          </rPr>
          <t>Michael Vella:</t>
        </r>
        <r>
          <rPr>
            <sz val="10"/>
            <color indexed="81"/>
            <rFont val="Tahoma"/>
            <family val="2"/>
          </rPr>
          <t xml:space="preserve">
This discrepancy must be small</t>
        </r>
      </text>
    </comment>
  </commentList>
</comments>
</file>

<file path=xl/sharedStrings.xml><?xml version="1.0" encoding="utf-8"?>
<sst xmlns="http://schemas.openxmlformats.org/spreadsheetml/2006/main" count="12166" uniqueCount="1154">
  <si>
    <t xml:space="preserve">CLIENT: </t>
  </si>
  <si>
    <t>R/Lab Cont</t>
  </si>
  <si>
    <t xml:space="preserve">PROJECT: </t>
  </si>
  <si>
    <t>mu_A</t>
  </si>
  <si>
    <t xml:space="preserve">JOB DESC: </t>
  </si>
  <si>
    <t>mu_B</t>
  </si>
  <si>
    <t xml:space="preserve">QUOTE No: </t>
  </si>
  <si>
    <t xml:space="preserve">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</si>
  <si>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</si>
  <si>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</si>
  <si>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</si>
  <si>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</si>
  <si>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</si>
  <si>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</si>
  <si>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</si>
  <si>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</si>
  <si>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</si>
  <si>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</si>
  <si>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</si>
  <si>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</si>
  <si>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</si>
  <si>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</si>
  <si>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</si>
  <si>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</si>
  <si>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</si>
  <si>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</si>
  <si>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</si>
  <si>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</si>
  <si>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</si>
  <si>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</si>
  <si>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</si>
  <si>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</si>
  <si>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</si>
  <si>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</si>
  <si>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</si>
  <si>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</si>
  <si>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</si>
  <si>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</si>
  <si>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</si>
  <si>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</si>
  <si>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</si>
  <si>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</si>
  <si>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</si>
  <si>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</si>
  <si>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</si>
  <si>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</si>
  <si>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</si>
  <si>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</si>
  <si>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</si>
  <si>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</si>
  <si>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</si>
  <si>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</si>
  <si>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</si>
  <si>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</si>
  <si>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</si>
  <si>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</si>
  <si>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</si>
  <si>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</si>
  <si>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</si>
  <si>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</si>
  <si>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</si>
  <si>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</si>
  <si>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</si>
  <si>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</si>
  <si>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</si>
  <si>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</si>
  <si>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</si>
  <si>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</si>
  <si>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</si>
  <si>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</si>
  <si>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</si>
  <si>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</si>
  <si>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</si>
  <si>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</si>
  <si>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</si>
  <si>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</si>
  <si>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</si>
  <si>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</si>
  <si>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</si>
  <si>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</si>
  <si>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</si>
  <si>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</si>
  <si>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</si>
  <si>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</si>
  <si>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</si>
  <si>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</si>
  <si>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</si>
  <si>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</si>
  <si>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</si>
  <si>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</si>
  <si>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</si>
  <si>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</si>
  <si>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</si>
  <si>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</si>
  <si>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</si>
  <si>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</si>
  <si>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</si>
  <si>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</si>
  <si>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</si>
  <si>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</si>
  <si>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</si>
  <si>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</si>
  <si>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</si>
  <si>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</si>
  <si>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</si>
  <si>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</si>
  <si>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</si>
  <si>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</si>
  <si>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</si>
  <si>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</si>
  <si>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</si>
  <si>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</si>
  <si>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</si>
  <si>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</si>
  <si>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</si>
  <si>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</si>
  <si>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</si>
  <si>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</si>
  <si>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</si>
  <si>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</si>
  <si>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</si>
  <si>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</si>
  <si>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</si>
  <si>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</si>
  <si>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</si>
  <si>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</si>
  <si>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</si>
  <si>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</si>
  <si>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</si>
  <si>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</si>
  <si>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</si>
  <si>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</si>
  <si>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</si>
  <si>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</si>
  <si>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</si>
  <si>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</si>
  <si>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</si>
  <si>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Start Typing Header</t>
  </si>
  <si>
    <t>Sell Rate</t>
  </si>
  <si>
    <t>Sell Total</t>
  </si>
  <si>
    <t>IB</t>
  </si>
  <si>
    <t>No</t>
  </si>
  <si>
    <t>ISELL</t>
  </si>
  <si>
    <t>ITEM</t>
  </si>
  <si>
    <t>n</t>
  </si>
  <si>
    <t>d&gt;</t>
  </si>
  <si>
    <t>ICOST</t>
  </si>
  <si>
    <t>SB!</t>
  </si>
  <si>
    <t>SB</t>
  </si>
  <si>
    <t xml:space="preserve">  SECTIONS TOTAL </t>
  </si>
  <si>
    <t>SECT_GT</t>
  </si>
  <si>
    <t>END!</t>
  </si>
  <si>
    <t>COSTCODE TOTAL</t>
  </si>
  <si>
    <t>Cables accessories</t>
  </si>
  <si>
    <t>Fix 1</t>
  </si>
  <si>
    <t>Fix 2</t>
  </si>
  <si>
    <t>Fix 3</t>
  </si>
  <si>
    <t>Others</t>
  </si>
  <si>
    <t>TOTAL</t>
  </si>
  <si>
    <t>PAGE</t>
  </si>
  <si>
    <t>PAGE SELL</t>
  </si>
  <si>
    <t>PAGE MAT</t>
  </si>
  <si>
    <t>PAGE LAB</t>
  </si>
  <si>
    <t>Multip</t>
  </si>
  <si>
    <t>RATE</t>
  </si>
  <si>
    <t>&lt;&lt; ==== TOTAL UNITS</t>
  </si>
  <si>
    <t>Sell_A</t>
  </si>
  <si>
    <t>RATE SHEET GRAND TOTAL</t>
  </si>
  <si>
    <t>COMPONENTS</t>
  </si>
  <si>
    <t>COMP_RT</t>
  </si>
  <si>
    <t>RATE SUMS (ITEMS)</t>
  </si>
  <si>
    <t>ITEM_RT</t>
  </si>
  <si>
    <t>RATE TOTALS IN CURRENT SHEET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</si>
  <si>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</si>
  <si>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</si>
  <si>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</si>
  <si>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</si>
  <si>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</si>
  <si>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</si>
  <si>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</si>
  <si>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</si>
  <si>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</si>
  <si>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</si>
  <si>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</si>
  <si>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</si>
  <si>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</si>
  <si>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</si>
  <si>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</si>
  <si>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</si>
  <si>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</si>
  <si>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</si>
  <si>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</si>
  <si>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</si>
  <si>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Electrical</t>
  </si>
  <si>
    <t>Contract /Variation (Excl. VAT)</t>
  </si>
  <si>
    <t>DISCOUNTED</t>
  </si>
  <si>
    <t>on Totals</t>
  </si>
  <si>
    <t>% Discnt</t>
  </si>
  <si>
    <t>Markup/LRate</t>
  </si>
  <si>
    <t>%Dsct in BOQ</t>
  </si>
  <si>
    <t>C.C.Totals</t>
  </si>
  <si>
    <t>ItemCode</t>
  </si>
  <si>
    <t>CostCode</t>
  </si>
  <si>
    <t>SET</t>
  </si>
  <si>
    <t>MIXED</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</si>
  <si>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</si>
  <si>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</si>
  <si>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</si>
  <si>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</si>
  <si>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</si>
  <si>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</si>
  <si>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</si>
  <si>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</si>
  <si>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</si>
  <si>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r>
      <t>2)</t>
    </r>
    <r>
      <rPr>
        <sz val="11"/>
        <rFont val="Arial"/>
        <family val="2"/>
      </rPr>
      <t xml:space="preserve"> </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</si>
  <si>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</si>
  <si>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</si>
  <si>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</si>
  <si>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</si>
  <si>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</si>
  <si>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</si>
  <si>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</si>
  <si>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</si>
  <si>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</si>
  <si>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</si>
  <si>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</si>
  <si>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</si>
  <si>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</si>
  <si>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</si>
  <si>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</si>
  <si>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</si>
  <si>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t>
  </si>
  <si>
    <t>Pair Hrs.</t>
  </si>
  <si>
    <t>Pair.Hrs</t>
  </si>
  <si>
    <t>Final Sell after Discounts excl.VAT (€):</t>
  </si>
  <si>
    <t>Estim.Sell before Discounts excl.VAT (€):</t>
  </si>
  <si>
    <t>Overall Discount:</t>
  </si>
  <si>
    <t>MAT CONT &gt;&gt;</t>
  </si>
  <si>
    <t>BOQ TOTAL</t>
  </si>
  <si>
    <t>NOTES</t>
  </si>
  <si>
    <t>ELECTRICAL</t>
  </si>
  <si>
    <t>PRINT</t>
  </si>
  <si>
    <t xml:space="preserve">VAT: </t>
  </si>
  <si>
    <t xml:space="preserve">LAB. COST: </t>
  </si>
  <si>
    <t>Mechanical for Electrical</t>
  </si>
  <si>
    <t>Ext. Ref:</t>
  </si>
  <si>
    <t xml:space="preserve">INT. QUOT No: </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</si>
  <si>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</si>
  <si>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</si>
  <si>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</si>
  <si>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</si>
  <si>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</si>
  <si>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</si>
  <si>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</si>
  <si>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</si>
  <si>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</si>
  <si>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</si>
  <si>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</si>
  <si>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</si>
  <si>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</si>
  <si>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</si>
  <si>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</si>
  <si>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</si>
  <si>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Sub-Contracting Installation Elec</t>
  </si>
  <si>
    <t>K. Micallef</t>
  </si>
  <si>
    <t>Mr. K. Micallef</t>
  </si>
  <si>
    <t>Unit</t>
  </si>
  <si>
    <t>Total</t>
  </si>
  <si>
    <t>Unit Lab phr.</t>
  </si>
  <si>
    <t>Material Cost (€) :</t>
  </si>
  <si>
    <t>Labour Pair Hours :</t>
  </si>
  <si>
    <t>Ms. V. Vella</t>
  </si>
  <si>
    <t>Mr. A. Sciberras</t>
  </si>
  <si>
    <t>BILL OF QUANTITIES</t>
  </si>
  <si>
    <t>CHILLERS</t>
  </si>
  <si>
    <t>DISMANTLING</t>
  </si>
  <si>
    <t>Item</t>
  </si>
  <si>
    <t>Qty</t>
  </si>
  <si>
    <t>Rate in €</t>
  </si>
  <si>
    <t>T</t>
  </si>
  <si>
    <t>Dismantle and cart away all systems listed below and as described in the specifications.</t>
  </si>
  <si>
    <t>CHILLERS - HOTEL</t>
  </si>
  <si>
    <t>Screw type chillers ref. C-1, C-2 and C-3 inclusive of flow switches, controls, etc. as specified.</t>
  </si>
  <si>
    <t>No.</t>
  </si>
  <si>
    <t>CHILLERS - EDEN ARENA</t>
  </si>
  <si>
    <t>Screw type chillers ref. C-4 inclusive of flow switches, controls, etc. as specified.</t>
  </si>
  <si>
    <t>Allow for disconnection of all existing power, control and piping connections, draining down of existing chillers and making safe including dismantling and removal of existing piping from adjacent isolating valves. To include for disposal of chillers and refrigerant gas in accordance with all current legislation.</t>
  </si>
  <si>
    <t>LS</t>
  </si>
  <si>
    <t>S</t>
  </si>
  <si>
    <t>Total carried forward to summary page</t>
  </si>
  <si>
    <t xml:space="preserve">NEW INSTALLATION </t>
  </si>
  <si>
    <t>Supply, deliver to site, install and set to work all systems listed below and as described in the specifications.</t>
  </si>
  <si>
    <t>4.0T</t>
  </si>
  <si>
    <t>Black steel piping to chillers condensers, complete with insulation, brackets, etc.</t>
  </si>
  <si>
    <t>a.</t>
  </si>
  <si>
    <t>8" dia.</t>
  </si>
  <si>
    <t>m</t>
  </si>
  <si>
    <t>5.0T</t>
  </si>
  <si>
    <t>Black steel piping to chilled water complete with insulation, brackets, etc.</t>
  </si>
  <si>
    <t>6.0T</t>
  </si>
  <si>
    <t>Butterfly valves with insulation</t>
  </si>
  <si>
    <t>DN200</t>
  </si>
  <si>
    <t>7.0T</t>
  </si>
  <si>
    <t>Energy Meter with M-Bus output</t>
  </si>
  <si>
    <t>8.0T</t>
  </si>
  <si>
    <t>Motorised Valve</t>
  </si>
  <si>
    <t>9.0T</t>
  </si>
  <si>
    <t xml:space="preserve">Pressure Independent Flow Limiting Valve </t>
  </si>
  <si>
    <t>10.0T</t>
  </si>
  <si>
    <t>Commissioning valves with insulation</t>
  </si>
  <si>
    <t>P</t>
  </si>
  <si>
    <t>Pressure gauges c/w siphon and cock</t>
  </si>
  <si>
    <t>Thermometers</t>
  </si>
  <si>
    <t>Automatic air vents c/w isolating valve</t>
  </si>
  <si>
    <t>Drain cocks</t>
  </si>
  <si>
    <t>17.0T</t>
  </si>
  <si>
    <t>6" dia.</t>
  </si>
  <si>
    <t>18.0T</t>
  </si>
  <si>
    <t>19.0T</t>
  </si>
  <si>
    <t>DN150</t>
  </si>
  <si>
    <t>20.0T</t>
  </si>
  <si>
    <t>21.0T</t>
  </si>
  <si>
    <t>22.0T</t>
  </si>
  <si>
    <t>23.0T</t>
  </si>
  <si>
    <t>BYPASS FROM CHILLED WATER HEADER TO EDEN ARENA SYSTEM</t>
  </si>
  <si>
    <t>28.0T</t>
  </si>
  <si>
    <t>29.0T</t>
  </si>
  <si>
    <t>30.0T</t>
  </si>
  <si>
    <t>BOILERS</t>
  </si>
  <si>
    <t>PLANTROOM (LEVEL 4)</t>
  </si>
  <si>
    <t>Shell and tube boilers complete as specified.</t>
  </si>
  <si>
    <t>Allow for disconnection of all existing power, control and piping connections, draining down of existing boilers and making safe including dismantling and removal of existing piping from adjacent isolating valves. To include for adjustment and blanking off of chimney and disposal of boilers in accordance with all current legislation.</t>
  </si>
  <si>
    <t xml:space="preserve">HIGH TEMPERATURE HEAT PUMPS </t>
  </si>
  <si>
    <t>HEATING SIDE</t>
  </si>
  <si>
    <t>1.0T</t>
  </si>
  <si>
    <t>Black steel piping to heating water headers, complete with insulation, brackets, etc.</t>
  </si>
  <si>
    <t>2.0T</t>
  </si>
  <si>
    <t>3.0T</t>
  </si>
  <si>
    <t>Heating circulating pumps, complete with anti-vibration mountings, differential pressure switch connected to BMS, and pipe flexible connections, etc. as specified.</t>
  </si>
  <si>
    <t>b.</t>
  </si>
  <si>
    <t>c.</t>
  </si>
  <si>
    <t>Commissioning Valves with insulation</t>
  </si>
  <si>
    <t>Strainers with insulation</t>
  </si>
  <si>
    <t xml:space="preserve">Non return valves with insulation </t>
  </si>
  <si>
    <t>HEATING HEADERS</t>
  </si>
  <si>
    <t>12.0T</t>
  </si>
  <si>
    <t>10" heating flow and return headers (45/40C) manufactured from black mild steel heavy gauge complete with insulation, brackets and having:</t>
  </si>
  <si>
    <t xml:space="preserve"> - 3 x 8" flanged connections
 - 1 x 10" flanged connections
 - 1 x 1" drain connections
 - 1 x 1" AAV </t>
  </si>
  <si>
    <t>1,000 litre make up and expansion tank c/w isolating valve</t>
  </si>
  <si>
    <t>16.0T</t>
  </si>
  <si>
    <t>Packaged pressurisation unit c/w expansion vessel &amp; safety valve</t>
  </si>
  <si>
    <t>PU-HTW1</t>
  </si>
  <si>
    <t xml:space="preserve">PPR piping from packaged pressurisation unit to heating return header </t>
  </si>
  <si>
    <t>32mm</t>
  </si>
  <si>
    <t>PPR ball valve</t>
  </si>
  <si>
    <t>Black steel piping from heating flow and return headers to hot water tank, complete with insulation, brackets, etc.</t>
  </si>
  <si>
    <t>10" dia.</t>
  </si>
  <si>
    <t>DN250</t>
  </si>
  <si>
    <t>3,000 litres horizontal hot water tanks (45C) with 2 x 10" and 2 x 8" connections (1 x spare blanked), air vent, drain, insulation, inspection manhole etc.</t>
  </si>
  <si>
    <t>Black steel piping from hot water tank to heating flow and return headers, complete with insulation, brackets, etc.</t>
  </si>
  <si>
    <t>24.0T</t>
  </si>
  <si>
    <t>25.0T</t>
  </si>
  <si>
    <t xml:space="preserve"> - 8 x 4" flanged connections
 - 1 x 10" flanged connections
 - 1 x 1" drain connections
 - 1 x 1" AAV </t>
  </si>
  <si>
    <t>26.0T</t>
  </si>
  <si>
    <t>PU-HTW2</t>
  </si>
  <si>
    <t>27.0T</t>
  </si>
  <si>
    <t>Black steel piping from heating flow and return headers to high temperature heat pumps, complete with insulation, brackets, etc.</t>
  </si>
  <si>
    <t>4" dia.</t>
  </si>
  <si>
    <t>DN100</t>
  </si>
  <si>
    <t>31.0T</t>
  </si>
  <si>
    <t>32.0T</t>
  </si>
  <si>
    <t xml:space="preserve">Commissioning valves with insulation </t>
  </si>
  <si>
    <t>PLANTROOM (LEVEL 2)</t>
  </si>
  <si>
    <t>High Temperature Heat Pumps inclusive of flexible bellows, AVM's, flow switches, controls, etc. as specified.</t>
  </si>
  <si>
    <t>37.0T</t>
  </si>
  <si>
    <t>Black steel piping from high temperature heat pumps to heating flow and return headers complete with insulation, brackets, etc.</t>
  </si>
  <si>
    <t>38.0T</t>
  </si>
  <si>
    <t>39.0T</t>
  </si>
  <si>
    <t>40.0T</t>
  </si>
  <si>
    <t>44.0T</t>
  </si>
  <si>
    <t>8" heating flow and return headers (78/70C) manufactured from black mild steel heavy gauge complete with insulation, brackets and having:</t>
  </si>
  <si>
    <t xml:space="preserve"> - 8 x 4" flanged connections
 - 1 x 8" flanged connections
 - 1 x 1" drain connections
 - 1 x 1" AAV </t>
  </si>
  <si>
    <t>45.0T</t>
  </si>
  <si>
    <t>PU-HTHW1</t>
  </si>
  <si>
    <t>Rate only</t>
  </si>
  <si>
    <t>46.0T</t>
  </si>
  <si>
    <t>47.0T</t>
  </si>
  <si>
    <t>5,000 litres horizontal hot water tanks (78C) with 4 x 8" connections, air vent, drain, insulation, inspection manhole etc.</t>
  </si>
  <si>
    <t>50.0T</t>
  </si>
  <si>
    <t>Black steel piping from hot water tank to heating flow and return headers in Level 4 plantroom, complete with insulation, brackets, etc.</t>
  </si>
  <si>
    <t>51.0T</t>
  </si>
  <si>
    <t>52.0T</t>
  </si>
  <si>
    <t>Heating circulating pumps, complete with anti-vibration mountings, differential pressure switch connected to BMS, differential pressure switch connected to BMS and pipe flexible connections, etc. as specified.</t>
  </si>
  <si>
    <t>P-206</t>
  </si>
  <si>
    <t>P-207</t>
  </si>
  <si>
    <t>53.0T</t>
  </si>
  <si>
    <t>54.0T</t>
  </si>
  <si>
    <t>55.0T</t>
  </si>
  <si>
    <t>56.0T</t>
  </si>
  <si>
    <t>Non-Return Valves with insulation</t>
  </si>
  <si>
    <t>58.0T</t>
  </si>
  <si>
    <t>Black steel piping bypass from heating flow header to geating return header in Level 4 plantroom, complete with insulation, brackets, etc.</t>
  </si>
  <si>
    <t>59.0T</t>
  </si>
  <si>
    <t>PUMPS</t>
  </si>
  <si>
    <t>Dismantling to include 2 x isolating valves, strainers, non return valve, strainers and pipe flexible connections and piping from isolating valves to pumps.</t>
  </si>
  <si>
    <t>Heat exchanger to chiller condenser circulating pumps, complete with anti-vibration mountings and pipe flexible connections, etc. as specified.</t>
  </si>
  <si>
    <t>a.  P-101</t>
  </si>
  <si>
    <t>b.  P-102</t>
  </si>
  <si>
    <t>c.  P-103</t>
  </si>
  <si>
    <t>d.</t>
  </si>
  <si>
    <t>d.  P-104</t>
  </si>
  <si>
    <t>Primary chilled water pumps complete with anti-vibration mountings and pipe flexible connections, etc. as specified.</t>
  </si>
  <si>
    <t>a.  P-201</t>
  </si>
  <si>
    <t>b.  P-202</t>
  </si>
  <si>
    <t>c.  P-203</t>
  </si>
  <si>
    <t>d.  P-204</t>
  </si>
  <si>
    <t>e.</t>
  </si>
  <si>
    <t>e.  P-205</t>
  </si>
  <si>
    <t>Cooling / heating secondary pumps complete with anti-vibration mounting and pipe flexible connections as specified.</t>
  </si>
  <si>
    <t>a.  P-301</t>
  </si>
  <si>
    <t>b.  P-302</t>
  </si>
  <si>
    <t>c.  P-303</t>
  </si>
  <si>
    <t>d.  P-304</t>
  </si>
  <si>
    <t>e.  P-305</t>
  </si>
  <si>
    <t>f.</t>
  </si>
  <si>
    <t>f.   P-306</t>
  </si>
  <si>
    <t>g.</t>
  </si>
  <si>
    <t>g.  P-307</t>
  </si>
  <si>
    <t>h.</t>
  </si>
  <si>
    <t>h.  P-308</t>
  </si>
  <si>
    <t>i.</t>
  </si>
  <si>
    <t>i.   P-309</t>
  </si>
  <si>
    <t>j.</t>
  </si>
  <si>
    <t>j.   P-310</t>
  </si>
  <si>
    <t>Cooling water secondary pumps complete with anti-vibration mountings, differential pressure switch connected to BMS and pipe flexible connections, etc. as specified.</t>
  </si>
  <si>
    <t>a.  P-401</t>
  </si>
  <si>
    <t>b.  P-402</t>
  </si>
  <si>
    <t>c.  P-403</t>
  </si>
  <si>
    <t>d.  P-404</t>
  </si>
  <si>
    <t>e.  P-405</t>
  </si>
  <si>
    <t>f.   P-406</t>
  </si>
  <si>
    <t>Heating water secondary pumps complete with anti-vibration mountings, differential pressure switch connected to BMS and pipe flexible connections, etc. as specified.</t>
  </si>
  <si>
    <t>a.  P-501</t>
  </si>
  <si>
    <t>b.  P-502</t>
  </si>
  <si>
    <t>c.  P-503</t>
  </si>
  <si>
    <t>d.  P-504</t>
  </si>
  <si>
    <t>Allow for disconnection of all existing power, control and piping connections, draining down of existing pumps and making safe including dismantling and removal of existing piping from adjacent isolating valves. To include for disposal of pumps in accordance with all current legislation.</t>
  </si>
  <si>
    <t>CENTRAL CONTROLLER</t>
  </si>
  <si>
    <t>NEW</t>
  </si>
  <si>
    <t>Heat exchanger to chiller condenser circulating pumps, complete with anti-vibration mountings, differential pressure switch connected to BMS and pipe flexible connections, etc. as specified.</t>
  </si>
  <si>
    <t>Primary chilled water pumps complete with anti-vibration mountings, differential pressure switch connected to BMS and pipe flexible connections, etc. as specified.</t>
  </si>
  <si>
    <t>Primary heating water pumps complete with anti-vibration mountings, differential pressure switch connected to BMS and pipe flexible connections, etc. as specified.</t>
  </si>
  <si>
    <t>a.  P-206</t>
  </si>
  <si>
    <t>b.  P-207</t>
  </si>
  <si>
    <t>c.  P-208</t>
  </si>
  <si>
    <t>a.  P-209</t>
  </si>
  <si>
    <t>b.  P-210</t>
  </si>
  <si>
    <t>Black steel piping from adjacent isolating valves to new pumps c/w insulation, brackets, etc.</t>
  </si>
  <si>
    <t>a.  P-101 - DN200</t>
  </si>
  <si>
    <t>L/S</t>
  </si>
  <si>
    <t>b.  P-102  - DN200</t>
  </si>
  <si>
    <t>c.  P-103 - DN200</t>
  </si>
  <si>
    <t>d.  P-104 - DN150</t>
  </si>
  <si>
    <t>a.  P-201 - DN200</t>
  </si>
  <si>
    <t>b.  P-202 - DN200</t>
  </si>
  <si>
    <t>c.  P-203 - DN200</t>
  </si>
  <si>
    <t>d.  P-204 - DN150</t>
  </si>
  <si>
    <t>e.  P-205 - DN150</t>
  </si>
  <si>
    <t>a.  P-301 - DN100</t>
  </si>
  <si>
    <t>b.  P-302 - DN100</t>
  </si>
  <si>
    <t>c.  P-303 - DN150</t>
  </si>
  <si>
    <t>d.  P-304 - DN150</t>
  </si>
  <si>
    <t>e.  P-305 - DN150</t>
  </si>
  <si>
    <t>f.   P-306 - DN150</t>
  </si>
  <si>
    <t>g.  P-307 - DN125</t>
  </si>
  <si>
    <t>h.  P-308 - DN125</t>
  </si>
  <si>
    <t>i.   P-309 - DN80</t>
  </si>
  <si>
    <t>j.   P-310 - DN80</t>
  </si>
  <si>
    <t>a.  P-401 - DN125</t>
  </si>
  <si>
    <t>b.  P-402 - DN125</t>
  </si>
  <si>
    <t>c.  P-403 - DN200</t>
  </si>
  <si>
    <t>d.  P-404 - DN200</t>
  </si>
  <si>
    <t>e.  P-405 - DN100</t>
  </si>
  <si>
    <t>f.   P-406 - DN100</t>
  </si>
  <si>
    <t>11.0t</t>
  </si>
  <si>
    <t>a.  P-501 - DN80</t>
  </si>
  <si>
    <t>b.  P-502 - DN80</t>
  </si>
  <si>
    <t>c.  P-503 - DN100</t>
  </si>
  <si>
    <t>d.  P-504 - DN100</t>
  </si>
  <si>
    <t>e.  P-201 - DN200</t>
  </si>
  <si>
    <t>f.  P-202 - DN200</t>
  </si>
  <si>
    <t>g.  P-203 - DN200</t>
  </si>
  <si>
    <t>h.  P-204 - DN150</t>
  </si>
  <si>
    <t>i.  P-205 - DN150</t>
  </si>
  <si>
    <t>13.0T</t>
  </si>
  <si>
    <t>14.0T</t>
  </si>
  <si>
    <t>15.0T</t>
  </si>
  <si>
    <t xml:space="preserve">Allow for variable speed control of all Condenser and Primary chilled and heating pumps including controllers, differential pressure sensors, cabling, containment, pipe fittings and pockets. System will be capable of working independently of existing BMS and include facility to interface with existing or future BMS. 
Pump operation will be controlled by Central Controller. </t>
  </si>
  <si>
    <t>Primary chilled water pumps complete with anti-vibration mounting and pipe flexible connections, etc. as specified.</t>
  </si>
  <si>
    <t>Allow for variable speed control of all secondary pumps including controllers, differential pressure sensors, cabling, containment, pipe fittings and pockets. Differential pressure sensors to be located remotely at approx. 60% distance of the index pipe run.</t>
  </si>
  <si>
    <t>AHU'S - NEW FAN MOTORS AND CONTROLS</t>
  </si>
  <si>
    <t xml:space="preserve">Dismantle and remove existing AHU motors, and replace with new high efficiency EC fans with all wiring controls, etc. for a complete working system. System will allow variable speed control based on load requirements. System will be capable of working independently of existing BMS and include facility to interface with existing or future BMS. </t>
  </si>
  <si>
    <t>SYSTEM ON AHU/1</t>
  </si>
  <si>
    <t>Air handling unit AHU/1 EC fan complete with all wiring controls, etc. for a complete working system.</t>
  </si>
  <si>
    <t>SYSTEM ON AHU/2</t>
  </si>
  <si>
    <t>Air handling unit AHU/2 EC fan complete with all wiring controls, etc. for a complete working system.</t>
  </si>
  <si>
    <t>SYSTEM ON AHU/3</t>
  </si>
  <si>
    <t>Air handling unit AHU/3 EC fan complete with all wiring controls, etc. for a complete working system.</t>
  </si>
  <si>
    <t>SYSTEM ON AHU/4</t>
  </si>
  <si>
    <t>Air handling unit AHU/4 EC fan complete with all wiring controls, etc. for a complete working system.</t>
  </si>
  <si>
    <t>SYSTEM ON AHU/5</t>
  </si>
  <si>
    <t>Air handling unit AHU/5 EC fan complete with all wiring controls, etc. for a complete working system.</t>
  </si>
  <si>
    <t>SYSTEM ON AHU/6</t>
  </si>
  <si>
    <t>Air handling unit AHU/6 EC fan complete with all wiring controls, etc. for a complete working system.</t>
  </si>
  <si>
    <t>SYSTEM ON AHU/7</t>
  </si>
  <si>
    <t>Air handling unit AHU/7 EC fan complete with all wiring controls, etc. for a complete working system.</t>
  </si>
  <si>
    <t>SYSTEM ON AHU/8</t>
  </si>
  <si>
    <t>Air handling unit AHU/8 EC fan complete with all wiring controls, etc. for a complete working system.</t>
  </si>
  <si>
    <t>SYSTEM ON AHU/9</t>
  </si>
  <si>
    <t>Air handling unit AHU/9 EC fan complete with all wiring controls, etc. for a complete working system.</t>
  </si>
  <si>
    <t>SYSTEM ON AHU/10</t>
  </si>
  <si>
    <t>Air handling unit AHU/10 EC fan complete with all wiring controls, etc. for a complete working system.</t>
  </si>
  <si>
    <t>SYSTEM ON AHU/11</t>
  </si>
  <si>
    <t>SYSTEM ON AHU12</t>
  </si>
  <si>
    <t>SYSTEM ON AHU/13</t>
  </si>
  <si>
    <t>SYSTEM ON AHU/14</t>
  </si>
  <si>
    <t>Air handling unit AHU/14 EC fan complete with all wiring controls, etc. for a complete working system.</t>
  </si>
  <si>
    <t>SYSTEM ON AHU/15</t>
  </si>
  <si>
    <t>Air handling unit AHU/15 EC fan complete with all wiring controls, etc. for a complete working system.</t>
  </si>
  <si>
    <t>SYSTEM ON AHU/16</t>
  </si>
  <si>
    <t>Air handling unit AHU/16 EC fan complete with all wiring controls, etc. for a complete working system.</t>
  </si>
  <si>
    <t>SYSTEM ON AHU/17</t>
  </si>
  <si>
    <t>Air handling unit AHU/17 EC fan complete with all wiring controls, etc. for a complete working system.</t>
  </si>
  <si>
    <t>SYSTEM ON AHU/18</t>
  </si>
  <si>
    <t>Air handling unit AHU/18 EC fan complete with all wiring controls, etc. for a complete working system.</t>
  </si>
  <si>
    <t>SYSTEM ON AHU/19</t>
  </si>
  <si>
    <t>Air handling unit AHU/19 EC fan complete with all wiring controls, etc. for a complete working system.</t>
  </si>
  <si>
    <t>SYSTEM ON AHU/20</t>
  </si>
  <si>
    <t>Air handling unit AHU/20 EC fan complete with all wiring controls, etc. for a complete working system.</t>
  </si>
  <si>
    <t>SYSTEM ON AHU/21</t>
  </si>
  <si>
    <t>Air handling unit AHU/21 EC fan complete with all wiring controls, etc. for a complete working system.</t>
  </si>
  <si>
    <t>SYSTEM ON AHU/22</t>
  </si>
  <si>
    <t>Air handling unit AHU/22 EC fan complete with all wiring controls, etc. for a complete working system.</t>
  </si>
  <si>
    <t>SYSTEM ON AHU/23</t>
  </si>
  <si>
    <t>Air handling unit AHU/23 EC fan complete with all wiring controls, etc. for a complete working system.</t>
  </si>
  <si>
    <t>SYSTEM ON AHU/24</t>
  </si>
  <si>
    <t>Air handling unit AHU/24 EC fan complete with all wiring controls, etc. for a complete working system.</t>
  </si>
  <si>
    <t>SYSTEM ON AHU/25A</t>
  </si>
  <si>
    <t>Air handling unit AHU/25A EC fan complete with all wiring controls, etc. for a complete working system.</t>
  </si>
  <si>
    <t>SYSTEM ON AHU/25B</t>
  </si>
  <si>
    <t>Air handling unit AHU/25B EC fan complete with all wiring controls, etc. for a complete working system.</t>
  </si>
  <si>
    <t>Allow for survey of existing AHU'S and detailed report.</t>
  </si>
  <si>
    <t>Before ordering the fans and motors, the contractor is required to survey existing AHU's to confirm existing motor ratings and issue a detailed report including a method statement how the existing motors will be removed and the new motors and fans will be installed prior to order of replacement motors. Report is to consider dimensions and access required to replace new fans and motors. </t>
  </si>
  <si>
    <t>EXTRACT FANS</t>
  </si>
  <si>
    <t>SYSTEM ON EF/1</t>
  </si>
  <si>
    <t>Extract fan reference EF/1 complete with mounting hardware, speed controller, flexible duct connections, supports, A.V.M. power supplies etc., as specified.</t>
  </si>
  <si>
    <t>2.T</t>
  </si>
  <si>
    <t>Weather louvre WL/x</t>
  </si>
  <si>
    <t>a.  800 x 600</t>
  </si>
  <si>
    <t>SYSTEM ON EF/2</t>
  </si>
  <si>
    <t>Extract fan reference EF/2 complete with mounting hardware, speed controller, flexible duct connections, supports, A.V.M. power supplies etc., as specified.</t>
  </si>
  <si>
    <t>SYSTEM ON EF/3</t>
  </si>
  <si>
    <t>Extract fan reference EF/3 complete with mounting hardware, speed controller, flexible duct connections, supports, A.V.M. power supplies etc., as specified.</t>
  </si>
  <si>
    <t>AC SPLIT UNIT</t>
  </si>
  <si>
    <t>Air cooled packaged heat pump air-conditioning units for Electrical switchgear room, wall mounted type complete with condensing units, controls and power wiring between indoor and outdoor unit, supporting brackets, refrigerant piping, drain pump, insulation, drains, etc</t>
  </si>
  <si>
    <t>a. AC/1</t>
  </si>
  <si>
    <t>CHILLER DISMANTLING</t>
  </si>
  <si>
    <t>Item: 3</t>
  </si>
  <si>
    <t xml:space="preserve">PAGE:  </t>
  </si>
  <si>
    <t>Discy:</t>
  </si>
  <si>
    <t>CHILLERS - NEW INSTALLATION</t>
  </si>
  <si>
    <t>Item: 1</t>
  </si>
  <si>
    <t>Discrepancy</t>
  </si>
  <si>
    <t>SUBI</t>
  </si>
  <si>
    <t>&gt;&gt;&gt; mu_A material here &gt;&gt;&gt;</t>
  </si>
  <si>
    <t>&gt;&gt;&gt; mu_B material here &gt;&gt;&gt;</t>
  </si>
  <si>
    <t>&gt;&gt;&gt; mu_C material here &gt;&gt;&gt;</t>
  </si>
  <si>
    <t>Item: a.</t>
  </si>
  <si>
    <t>Item: 15</t>
  </si>
  <si>
    <t>Item: 21.0</t>
  </si>
  <si>
    <t>Item:</t>
  </si>
  <si>
    <t>BOILERS DISMANTLING</t>
  </si>
  <si>
    <t>Item: 2</t>
  </si>
  <si>
    <t>Item: 3.0</t>
  </si>
  <si>
    <t>Item: 6.0</t>
  </si>
  <si>
    <t>Item: b.</t>
  </si>
  <si>
    <t>Item: c.</t>
  </si>
  <si>
    <t>Item: 16.0</t>
  </si>
  <si>
    <t>Item: 26.0</t>
  </si>
  <si>
    <t>PUMPS DISMANTLING</t>
  </si>
  <si>
    <t>Item: 6</t>
  </si>
  <si>
    <t>Item: 2.0</t>
  </si>
  <si>
    <t>Item: d.</t>
  </si>
  <si>
    <t>Item: e.</t>
  </si>
  <si>
    <t>Item: 4.0</t>
  </si>
  <si>
    <t>Item: 5.0</t>
  </si>
  <si>
    <t>Item: f.</t>
  </si>
  <si>
    <t>Item: g.</t>
  </si>
  <si>
    <t>Item: h.</t>
  </si>
  <si>
    <t>Item: i.</t>
  </si>
  <si>
    <t>Item: j.</t>
  </si>
  <si>
    <t>Item: 25.0</t>
  </si>
  <si>
    <t>Item: 27.0</t>
  </si>
  <si>
    <t>Item: 28.0</t>
  </si>
  <si>
    <t>Item: 29.0</t>
  </si>
  <si>
    <t>Item: 30.0</t>
  </si>
  <si>
    <t>Item: 31.0</t>
  </si>
  <si>
    <t>Dismantle and remove existing AHU motors, and replace with new high efficiency EC fans with all wiring controls, etc. for a complete working system. System will allow variable speed control based on load requirements. System will be capable of working independently of existing BMS and include facility to interface with existing or future BMS.</t>
  </si>
  <si>
    <t>Item: 4</t>
  </si>
  <si>
    <t>Item: 5</t>
  </si>
  <si>
    <t>Item: 7</t>
  </si>
  <si>
    <t>Item: 8</t>
  </si>
  <si>
    <t>Item: 9</t>
  </si>
  <si>
    <t>Item: 10</t>
  </si>
  <si>
    <t>Item: 11</t>
  </si>
  <si>
    <t>Item: 12</t>
  </si>
  <si>
    <t>Item: 13</t>
  </si>
  <si>
    <t>Item: 14</t>
  </si>
  <si>
    <t>Item: 16</t>
  </si>
  <si>
    <t>Item: 17</t>
  </si>
  <si>
    <t>Item: 18</t>
  </si>
  <si>
    <t>Item: 19</t>
  </si>
  <si>
    <t>Item: 20</t>
  </si>
  <si>
    <t>Item: 21</t>
  </si>
  <si>
    <t>Item: 22</t>
  </si>
  <si>
    <t>Item: 23</t>
  </si>
  <si>
    <t>Item: 24</t>
  </si>
  <si>
    <t>Item: 25</t>
  </si>
  <si>
    <t>Item: 26</t>
  </si>
  <si>
    <t>AC SPLIT</t>
  </si>
  <si>
    <t>Item: 1.0</t>
  </si>
  <si>
    <t xml:space="preserve">MATERIAL SUMMARY </t>
  </si>
  <si>
    <t>MU SUMMARY TOTAL</t>
  </si>
  <si>
    <t>Disc. with</t>
  </si>
  <si>
    <t>MATERIAL ITEMS TOTAL</t>
  </si>
  <si>
    <t>COMP_GT</t>
  </si>
  <si>
    <t>equal MUs</t>
  </si>
  <si>
    <t>BOQ  ITEMS  TOTAL</t>
  </si>
  <si>
    <t>ITEM_GT</t>
  </si>
  <si>
    <t xml:space="preserve">  PAGES  TOTAL</t>
  </si>
  <si>
    <t>PAGE_GT</t>
  </si>
  <si>
    <t xml:space="preserve"> BMS EQUIPMENT</t>
  </si>
  <si>
    <t>BMSE_001</t>
  </si>
  <si>
    <t>(__)</t>
  </si>
  <si>
    <t>Energy Meter</t>
  </si>
  <si>
    <t>Flow switch installation</t>
  </si>
  <si>
    <t>Conduit Galv. FLEX 20mm</t>
  </si>
  <si>
    <t>COGV_010</t>
  </si>
  <si>
    <t>BAR</t>
  </si>
  <si>
    <t>20mm</t>
  </si>
  <si>
    <t>Conduit BRASS ADAP.FLEX  20mm</t>
  </si>
  <si>
    <t>COGV_006</t>
  </si>
  <si>
    <t>Conduit Galv. 20mm RATE</t>
  </si>
  <si>
    <t>COGV_011</t>
  </si>
  <si>
    <t>Wiring Cable  1c    1.5 mm2 PVC Non-Arm</t>
  </si>
  <si>
    <t>CASC_017</t>
  </si>
  <si>
    <t>CRO</t>
  </si>
  <si>
    <t>02-002</t>
  </si>
  <si>
    <t>Labour to connect Mech Equip (FIX 3)</t>
  </si>
  <si>
    <t>LABO_009</t>
  </si>
  <si>
    <t>MISC</t>
  </si>
  <si>
    <t>Pump Chiller interlocks</t>
  </si>
  <si>
    <t>Dismantling</t>
  </si>
  <si>
    <t>DISM_002</t>
  </si>
  <si>
    <t>Erection Material</t>
  </si>
  <si>
    <t>EMAT_063</t>
  </si>
  <si>
    <t>01-002</t>
  </si>
  <si>
    <t>Disconnecting</t>
  </si>
  <si>
    <t>Based on: Star/Delta Starting</t>
  </si>
  <si>
    <t>Gland Indoor 20S BWL  4*1.5/2.5mm2</t>
  </si>
  <si>
    <t>CAAC_042</t>
  </si>
  <si>
    <t>CMP</t>
  </si>
  <si>
    <t>Cable Marker 8 digit c/w Carrier Strip</t>
  </si>
  <si>
    <t>CAAC_091</t>
  </si>
  <si>
    <t xml:space="preserve">Cable Lug   2.5  mm2   </t>
  </si>
  <si>
    <t>CAAC_005</t>
  </si>
  <si>
    <t>CTT</t>
  </si>
  <si>
    <t>Labour to Connect Up (FIX 3)</t>
  </si>
  <si>
    <t>LABO_003</t>
  </si>
  <si>
    <t>Gland Indoor 20  BWL  4*4/6mm2</t>
  </si>
  <si>
    <t>CAAC_040</t>
  </si>
  <si>
    <t xml:space="preserve">Cable Lug   4.0  mm2   </t>
  </si>
  <si>
    <t>CAAC_006</t>
  </si>
  <si>
    <t>Cable Lug   6.0  mm2</t>
  </si>
  <si>
    <t>CAAC_007</t>
  </si>
  <si>
    <t>Flow switch</t>
  </si>
  <si>
    <t xml:space="preserve">Based on: </t>
  </si>
  <si>
    <t xml:space="preserve">Tray  200mm  Galv.     </t>
  </si>
  <si>
    <t>Ardic</t>
  </si>
  <si>
    <t>HDG</t>
  </si>
  <si>
    <t>TRGV_023</t>
  </si>
  <si>
    <t xml:space="preserve">Tray Coupler Galv.     </t>
  </si>
  <si>
    <t>TRGV_051</t>
  </si>
  <si>
    <t xml:space="preserve">Roofing Bolt  </t>
  </si>
  <si>
    <t>CONS_031</t>
  </si>
  <si>
    <t>02-005</t>
  </si>
  <si>
    <t>Wing Nut Hilti  M6</t>
  </si>
  <si>
    <t>EMAT_059</t>
  </si>
  <si>
    <t>HIL</t>
  </si>
  <si>
    <t>MKN-FM8</t>
  </si>
  <si>
    <t>04-002</t>
  </si>
  <si>
    <t xml:space="preserve">Hex.Set Screws  M6x20 </t>
  </si>
  <si>
    <t>EMAT_025</t>
  </si>
  <si>
    <t>05-002</t>
  </si>
  <si>
    <t xml:space="preserve">Earth Strips Copper </t>
  </si>
  <si>
    <t>CONS_012</t>
  </si>
  <si>
    <t>01-011</t>
  </si>
  <si>
    <t>Based on: 1metres intervals as per specs</t>
  </si>
  <si>
    <t>Hanging below ceiling</t>
  </si>
  <si>
    <t>Anchor  8mm Hilti HKD-SM8x30</t>
  </si>
  <si>
    <t>CONS_003</t>
  </si>
  <si>
    <t>HKD-SM8x30</t>
  </si>
  <si>
    <t xml:space="preserve">Threaded Rod Galv. 8mm </t>
  </si>
  <si>
    <t>EMAT_043</t>
  </si>
  <si>
    <t>Hilti Channel 40x20 Endcap MQZ-E21</t>
  </si>
  <si>
    <t>EMAT_064</t>
  </si>
  <si>
    <t>Channel SHALLOW-Galv. Hilti MS-213M</t>
  </si>
  <si>
    <t>EMAT_020</t>
  </si>
  <si>
    <t>MS-213m</t>
  </si>
  <si>
    <t>Labour to manufacture brackets</t>
  </si>
  <si>
    <t>LABO_008</t>
  </si>
  <si>
    <t>NoMat?</t>
  </si>
  <si>
    <t xml:space="preserve">Galv. Nut  8mm </t>
  </si>
  <si>
    <t>EMAT_022</t>
  </si>
  <si>
    <t>Tray Washers M8</t>
  </si>
  <si>
    <t>EMAT_057</t>
  </si>
  <si>
    <t>Indoor Screened  3c Cable 0.75sqmm</t>
  </si>
  <si>
    <t>Batt Cables</t>
  </si>
  <si>
    <t>CASP_083</t>
  </si>
  <si>
    <t>Lappkabel</t>
  </si>
  <si>
    <t>0034703  UNITRONIC LiYCY</t>
  </si>
  <si>
    <t>CAAC_025</t>
  </si>
  <si>
    <t>M-bus Cab;le</t>
  </si>
  <si>
    <t>Guy</t>
  </si>
  <si>
    <t>Meter</t>
  </si>
  <si>
    <t>h</t>
  </si>
  <si>
    <t>RATE_AAA</t>
  </si>
  <si>
    <t>Local Rate</t>
  </si>
  <si>
    <t>RTLO_001</t>
  </si>
  <si>
    <t>RTLO_002</t>
  </si>
  <si>
    <t>Power Cable   3c   2.5 mm2 XLPE SWA-PVC</t>
  </si>
  <si>
    <t>CAMC_058</t>
  </si>
  <si>
    <t>2.5mm2</t>
  </si>
  <si>
    <t xml:space="preserve">Cable Tie 225mm  </t>
  </si>
  <si>
    <t>CONS_009</t>
  </si>
  <si>
    <t>01-003</t>
  </si>
  <si>
    <t>Gland Indoor 20/16  BWL  4*1.5/2.5mm2</t>
  </si>
  <si>
    <t>CAAC_041</t>
  </si>
  <si>
    <t>Pump</t>
  </si>
  <si>
    <t>CAMC_024</t>
  </si>
  <si>
    <t>16mm2</t>
  </si>
  <si>
    <t>Gland Indoor 25  BWL  4*10/16mm2</t>
  </si>
  <si>
    <t>CAAC_043</t>
  </si>
  <si>
    <t>Cable Lug  16  mm2</t>
  </si>
  <si>
    <t>CAAC_009</t>
  </si>
  <si>
    <t>Connecting up of power supply</t>
  </si>
  <si>
    <t>AJ Electric</t>
  </si>
  <si>
    <t>Differential pressure switch in on board inverter drive</t>
  </si>
  <si>
    <t>Based on: VFD Starting</t>
  </si>
  <si>
    <t>Power Cable   5c    2.5 mm2 XLPE SWA-PVC</t>
  </si>
  <si>
    <t>CAMC_017</t>
  </si>
  <si>
    <t>Wiring Cable  3c  2.5 mm2 PVC Non-Arm</t>
  </si>
  <si>
    <t>CAMC_049</t>
  </si>
  <si>
    <t>03-003</t>
  </si>
  <si>
    <t>Labour to connect A/C Indoor Unit (FIX 3)</t>
  </si>
  <si>
    <t>LABO_017</t>
  </si>
  <si>
    <t>P-208</t>
  </si>
  <si>
    <t>Control Panel 1</t>
  </si>
  <si>
    <t>CPAN_259</t>
  </si>
  <si>
    <t>Raymond - 24.07.2025</t>
  </si>
  <si>
    <t>Technician</t>
  </si>
  <si>
    <t>Engineer</t>
  </si>
  <si>
    <t>Already Awarded</t>
  </si>
  <si>
    <t>Based on:</t>
  </si>
  <si>
    <t xml:space="preserve">Tray  100mm  Galv.     </t>
  </si>
  <si>
    <t>Price from Torrent Pharma</t>
  </si>
  <si>
    <t>TRGV_009</t>
  </si>
  <si>
    <t xml:space="preserve">Hex.Set Screws  M6x25 </t>
  </si>
  <si>
    <t>EMAT_026</t>
  </si>
  <si>
    <t>05-003</t>
  </si>
  <si>
    <t>Tray Earth Links</t>
  </si>
  <si>
    <t>EMAT_027</t>
  </si>
  <si>
    <t xml:space="preserve">Tray Washers M6 </t>
  </si>
  <si>
    <t>07-003</t>
  </si>
  <si>
    <t>02-017</t>
  </si>
  <si>
    <t>02-019</t>
  </si>
  <si>
    <t>Labour to manufacture Brackets (FIX 1)</t>
  </si>
  <si>
    <t>CAMC_021</t>
  </si>
  <si>
    <t>6.0mm2</t>
  </si>
  <si>
    <t>Gland 25  A2  BRASS</t>
  </si>
  <si>
    <t>CAAC_030</t>
  </si>
  <si>
    <t>in isolator</t>
  </si>
  <si>
    <t>VSD bypass in MCC</t>
  </si>
  <si>
    <t>CASC_020</t>
  </si>
  <si>
    <t>Cable Marker</t>
  </si>
  <si>
    <t>Material contingency</t>
  </si>
  <si>
    <t>Labour only (FIX 2)</t>
  </si>
  <si>
    <t>Opening and reclosing of trunking</t>
  </si>
  <si>
    <t>LABO_006</t>
  </si>
  <si>
    <t xml:space="preserve">Power supply to control panel (4core x 4.0sqmm) </t>
  </si>
  <si>
    <t>CAMC_019</t>
  </si>
  <si>
    <t>4.0mm2</t>
  </si>
  <si>
    <t>Gland 20S A2  BRASS</t>
  </si>
  <si>
    <t>CAAC_029</t>
  </si>
  <si>
    <t>Wiring Cable  1c    4.0 mm2 PVC Non-Arm</t>
  </si>
  <si>
    <t>CASC_019</t>
  </si>
  <si>
    <t>02-004</t>
  </si>
  <si>
    <t>Installaiton of fan harness</t>
  </si>
  <si>
    <t>Supplied by Rosenberg</t>
  </si>
  <si>
    <t>Air handling unit AHU/11 EC fan complete with all wiring controls, etc. for a complete working system.</t>
  </si>
  <si>
    <t>Supplied by ECA</t>
  </si>
  <si>
    <t>for power supply and data patch lead</t>
  </si>
  <si>
    <t>Termination and points testing inlcuded by ECA</t>
  </si>
  <si>
    <t>Based on: 7No. Sensors per AHU</t>
  </si>
  <si>
    <t>Sensor and Actutor</t>
  </si>
  <si>
    <t>Gland 20  A2  PVC</t>
  </si>
  <si>
    <t>CAAC_027</t>
  </si>
  <si>
    <t>Cable Marker Wrap Around Type</t>
  </si>
  <si>
    <t>Junction box</t>
  </si>
  <si>
    <t>001# Connecting up of 3.0 kW 400Volt motor (Standard)</t>
  </si>
  <si>
    <t>002# Connecting up of 7.5 kW 400Volt motor (Standard)</t>
  </si>
  <si>
    <t>003# Connecting up of 11.0 kW 400Volt motor (Standard)</t>
  </si>
  <si>
    <t>004# Connecting up of 3.0/4.0 kW 400Volt motor (VFD)</t>
  </si>
  <si>
    <t>005# Connecting up of 7.5 kW 400Volt motor (VFD)</t>
  </si>
  <si>
    <t>006# Connecting up of 11.0/18.0 kW 400Volt motor (VFD)</t>
  </si>
  <si>
    <t>007# 200mm galvanised steel cable tray</t>
  </si>
  <si>
    <t>008# Bracket for 200-300mm cable tray</t>
  </si>
  <si>
    <t>009# Energy Meter M-Bus</t>
  </si>
  <si>
    <t>010# Motorised valve</t>
  </si>
  <si>
    <t>011# Power supply to control panel (4core x 4.0sqmm) and VDS by pass in MCC</t>
  </si>
  <si>
    <t>013# Installation of Rosenger control panel</t>
  </si>
  <si>
    <t>014# Installation of cable harness to fans</t>
  </si>
  <si>
    <t>015# Installation of control panels by ECA</t>
  </si>
  <si>
    <t>016# Installation of sensors on AHUs</t>
  </si>
  <si>
    <t>Labour to Install Mech Equip (FIX 3)</t>
  </si>
  <si>
    <t>Eden Lesuire Group</t>
  </si>
  <si>
    <t>Intercontinental - Plant Retrofit</t>
  </si>
  <si>
    <t>Tender</t>
  </si>
  <si>
    <t>T.Sammut</t>
  </si>
  <si>
    <t>004# Power supply to control panel (4core x 2.5sqmm)</t>
  </si>
  <si>
    <t>Wiring Cable  1c    2.5 mm2 PVC Non-Arm</t>
  </si>
  <si>
    <t>CASC_018</t>
  </si>
  <si>
    <t>02-003</t>
  </si>
  <si>
    <t>Connecting up of chiller included in electrical BOQ</t>
  </si>
  <si>
    <t>Chiller New Installation</t>
  </si>
  <si>
    <t>Rate includes for installation of a flow switch and pump/chiller interlocks.  Connection of power supplies to chillers is included in the electrical BOQ</t>
  </si>
  <si>
    <t>General</t>
  </si>
  <si>
    <t>High temperature heat pumps</t>
  </si>
  <si>
    <t>Energy Meters and Motorised valves - Any unions / reducers that may be required to fit the device are excluded</t>
  </si>
  <si>
    <t xml:space="preserve">Dismantling works - We covered disconnecting of equipment and dismantling of any related controls installations.  Dismantling of power cables is excluded.  No carting away of electrical material is being allowed as we assume this can be carted away along with the equipment in your quotation. </t>
  </si>
  <si>
    <t>Rate includes for installation of a flow switch and heat pump/chiller interlocks.  Connection of power supplies to chillers is included in the electrical BOQ</t>
  </si>
  <si>
    <t>Pumps - rate include connecting of pumps to local power supplies where quoted.</t>
  </si>
  <si>
    <t>New Pumps</t>
  </si>
  <si>
    <t xml:space="preserve">New pumps will be connected to the existing power cables.  We assume these are adequatly sized and long enough to reach the new pump location.  </t>
  </si>
  <si>
    <t xml:space="preserve">Any modifcations and upgrading of the MCC supplying  the new pumps is excluded. </t>
  </si>
  <si>
    <t>READY</t>
  </si>
  <si>
    <t>Empty Conduit for themostat</t>
  </si>
  <si>
    <t>Connecting up of indoor unit</t>
  </si>
  <si>
    <t>Installation of speed controller</t>
  </si>
  <si>
    <t>Fan</t>
  </si>
  <si>
    <t>Speed Controller</t>
  </si>
  <si>
    <t>Speed controller under fan</t>
  </si>
  <si>
    <t xml:space="preserve">Empty Conduit for Thermostat </t>
  </si>
  <si>
    <t>012# Power supply to control panel (4core x 10.0sqmm)</t>
  </si>
  <si>
    <t>Wiring Cable  1c    10.0 mm2 PVC Non-Arm</t>
  </si>
  <si>
    <t>Cable Lug   10.0  mm2</t>
  </si>
  <si>
    <t>Power Cable   4c    2.5 mm2 XLPE SWA-PVC</t>
  </si>
  <si>
    <t>Power Cable   4c    4.0 mm2 XLPE SWA-PVC</t>
  </si>
  <si>
    <t>Power Cable   4c    10.0 mm2 XLPE SWA-PVC</t>
  </si>
  <si>
    <t>AHU will be connected to existing power supply</t>
  </si>
  <si>
    <t>Connect pump to existing power supply - cable not extended</t>
  </si>
  <si>
    <t>Connect pump to local isolator</t>
  </si>
  <si>
    <t>Disconnecting only of power supplies to pumps</t>
  </si>
  <si>
    <t>Disconnecting of 2No. boilers and dismantling of controls - cartigng away to be included by Mech Div</t>
  </si>
  <si>
    <t>Connecting up of pump to local isolator</t>
  </si>
  <si>
    <t>Engineer (Man Hours)</t>
  </si>
  <si>
    <t>Electrician Pairs</t>
  </si>
  <si>
    <t>Technician Pairs - By Guy  25.07.2025</t>
  </si>
  <si>
    <t>Engineer Man Hours - By Guy  25.07.2025</t>
  </si>
  <si>
    <t>Supply of valve complete with wiring to hydronic controller</t>
  </si>
  <si>
    <t>Supply of meter complete with wiring to hydronic controller</t>
  </si>
  <si>
    <t>Installation for flow switch</t>
  </si>
  <si>
    <t>Allow for dismantling and carting away all existing power, cable containment, control and piping services in plantroom at Level 2 and all  piping, insulation and brackets between level 2 and level 4 plantrooms</t>
  </si>
  <si>
    <t>NB Chiller power cables to be retained and reused</t>
  </si>
  <si>
    <t>Subcontracting Works (Specify Contractor Name)</t>
  </si>
  <si>
    <t>Megaline</t>
  </si>
  <si>
    <t>SUBC_007</t>
  </si>
  <si>
    <t>Description</t>
  </si>
  <si>
    <t>Take delivery at site inside Car Park of Trane chillers procured by client, hoist into place, install and set to work all systems listed below and as described in the specifications.</t>
  </si>
  <si>
    <r>
      <rPr>
        <b/>
        <sz val="10"/>
        <rFont val="Arial"/>
        <family val="2"/>
      </rPr>
      <t xml:space="preserve">Install only </t>
    </r>
    <r>
      <rPr>
        <sz val="10"/>
        <rFont val="Arial"/>
        <family val="2"/>
      </rPr>
      <t>Screw type reversible chillers ref. C-1, C-2 and C-3 inclusive of flexible bellows, AVM's, flow switches, controls, etc. as specified.</t>
    </r>
  </si>
  <si>
    <t>Allow for assisting factory-trained employee of the manufacturer to carry out all start up and commissioning of all chillers.</t>
  </si>
  <si>
    <t>CHILLED WATER SIDE</t>
  </si>
  <si>
    <t>Black steel piping to chilled water headers, complete with insulation, brackets, etc.</t>
  </si>
  <si>
    <t>3- way motorised valve modulating 0-10V</t>
  </si>
  <si>
    <t xml:space="preserve">Install only temperature sensors (free issued by Trane) </t>
  </si>
  <si>
    <t>Chilled water circulating pumps, complete with anti-vibration mountings, differential pressure switch connected to BMS, and pipe flexible connections, etc. as specified.</t>
  </si>
  <si>
    <t>P-201</t>
  </si>
  <si>
    <t>P-202</t>
  </si>
  <si>
    <t>P-203</t>
  </si>
  <si>
    <t>CHILLED WATER HEADERS</t>
  </si>
  <si>
    <t>10" chilled water flow and return headers (7/12C) (approx. 15m length each) at Level 2 manufactured from black mild steel heavy gauge complete with insulation, brackets and having:</t>
  </si>
  <si>
    <t xml:space="preserve"> - 3 x 6" flanged connections</t>
  </si>
  <si>
    <t xml:space="preserve"> - 1 x 10" flanged connections</t>
  </si>
  <si>
    <t xml:space="preserve"> - 1 x 1" drain connections</t>
  </si>
  <si>
    <t xml:space="preserve"> - 1 x 1" AAV </t>
  </si>
  <si>
    <t>Black steel piping from chilled water flow and return headers in Level 2 to chilled water headers in Level 4 complete with insulation, brackets, etc.</t>
  </si>
  <si>
    <t>HEATING WATER SIDE</t>
  </si>
  <si>
    <t>3- way motorised valve on/off</t>
  </si>
  <si>
    <t>Heating water circulating pumps, complete with anti-vibration mountings, differential pressure switch connected to BMS, and pipe flexible connections, etc. as specified.</t>
  </si>
  <si>
    <t>SOURCE SIDE</t>
  </si>
  <si>
    <t>Black steel piping to existing heat exchangers, complete with insulation, brackets, etc.</t>
  </si>
  <si>
    <r>
      <rPr>
        <b/>
        <sz val="10"/>
        <rFont val="Arial"/>
        <family val="2"/>
      </rPr>
      <t xml:space="preserve">Install only </t>
    </r>
    <r>
      <rPr>
        <sz val="10"/>
        <rFont val="Arial"/>
        <family val="2"/>
      </rPr>
      <t>Screw type cooling only chiller ref. C-4 inclusive of flexible bellows, AVM's, flow switches, controls, etc. as specified.</t>
    </r>
  </si>
  <si>
    <t>Allow for assisting factory-trained employee of the manufacturer to carry out all start up and commissioning of all chillers</t>
  </si>
  <si>
    <t>P-204</t>
  </si>
  <si>
    <t>P-205</t>
  </si>
  <si>
    <t>Condenser circulating pumps, complete with anti-vibration mountings, differential pressure switch connected to BMS, and pipe flexible connections, etc. as specified.</t>
  </si>
  <si>
    <t>P-104</t>
  </si>
  <si>
    <t>Install only Screw type reversible chillers ref. C-1, C-2 and C-3 inclusive of flexible bellows, AVM's, flow switches, controls, etc. as specified.</t>
  </si>
  <si>
    <t>Item: 5.0a.</t>
  </si>
  <si>
    <t>Item: 6.0a.</t>
  </si>
  <si>
    <t>Item: 9.0</t>
  </si>
  <si>
    <t>Item: 9.0a.</t>
  </si>
  <si>
    <t>Item: 10.0</t>
  </si>
  <si>
    <t>Temperature sensor installation only</t>
  </si>
  <si>
    <t>Item: 15.0</t>
  </si>
  <si>
    <t>Item: 35.0</t>
  </si>
  <si>
    <t>Item: 42.0</t>
  </si>
  <si>
    <t>Item: c</t>
  </si>
  <si>
    <t>Install only Screw type cooling only chiller ref. C-4 inclusive of flexible bellows, AVM's, flow switches, controls, etc. as specified.</t>
  </si>
  <si>
    <t>Item: 46.0</t>
  </si>
  <si>
    <t>Item: 50.0</t>
  </si>
  <si>
    <t>Item: 50.0a.</t>
  </si>
  <si>
    <t>Item: 56.0</t>
  </si>
  <si>
    <t>Item: 68.0</t>
  </si>
  <si>
    <t>10" heating flow and return headers (33/28C) (approx. 4m length each) manufactured from black mild steel heavy gauge complete with insulation, brackets and having:</t>
  </si>
  <si>
    <t>3,000 litres vertical hot water tanks (33C) with 4 x 10" connections, air vent, drain, insulation, inspection manhole etc.</t>
  </si>
  <si>
    <t>10" heating flow and return headers (33/28C) (approx. 4m length each)  manufactured from black mild steel heavy gauge complete with insulation, brackets and having:</t>
  </si>
  <si>
    <t>P-214</t>
  </si>
  <si>
    <t>P-215</t>
  </si>
  <si>
    <t>P-216</t>
  </si>
  <si>
    <t>Take delivery at site inside Car Park of Trane HTHP's procured by client, hoist into place, install and set to work all systems listed below and as described in the specifications.</t>
  </si>
  <si>
    <r>
      <rPr>
        <b/>
        <sz val="10"/>
        <rFont val="Arial"/>
        <family val="2"/>
      </rPr>
      <t xml:space="preserve">Install only </t>
    </r>
    <r>
      <rPr>
        <sz val="10"/>
        <rFont val="Arial"/>
        <family val="2"/>
      </rPr>
      <t>HTHP's ref. HTHP-1, HTHP-2 and HTHP-3 inclusive of flexible bellows, AVM's, flow switches, controls, etc. as specified.</t>
    </r>
  </si>
  <si>
    <t>Allow for assisting factory-trained employee of the manufacturer to carry out all start up and commissioning of all HTHP's</t>
  </si>
  <si>
    <t>P-211</t>
  </si>
  <si>
    <t>P-212</t>
  </si>
  <si>
    <t>P-213</t>
  </si>
  <si>
    <t>8" heating flow and return headers (78/70C) (approx. 4m long) manufactured from black mild steel heavy gauge complete with insulation, brackets and having:</t>
  </si>
  <si>
    <t xml:space="preserve"> - 1 x 8" flanged connections</t>
  </si>
  <si>
    <t>P-209</t>
  </si>
  <si>
    <t>P-210</t>
  </si>
  <si>
    <t>Black steel piping bypass from heating flow header to heating return header in Level 4 plantroom, complete with insulation, brackets, etc.</t>
  </si>
  <si>
    <t>Item: 14.0</t>
  </si>
  <si>
    <t>Item: 21.0a</t>
  </si>
  <si>
    <t>Item: 21.0b</t>
  </si>
  <si>
    <t>Item: 21.0c</t>
  </si>
  <si>
    <t>Install only HTHP's ref. HTHP-1, HTHP-2 and HTHP-3 inclusive of flexible bellows, AVM's, flow switches, controls, etc. as specified.</t>
  </si>
  <si>
    <t>Item: 32.0</t>
  </si>
  <si>
    <t>Item: 32.0a</t>
  </si>
  <si>
    <t>Item: 32.0b</t>
  </si>
  <si>
    <t>Item: 32.0c</t>
  </si>
  <si>
    <t>Item: 40.0</t>
  </si>
  <si>
    <t>Item: 47.0</t>
  </si>
  <si>
    <t>Item: 24.0</t>
  </si>
  <si>
    <t>Item: 23.0</t>
  </si>
  <si>
    <t xml:space="preserve">EXTRACT FANS </t>
  </si>
  <si>
    <t>REFRIGERANT LEAK DETECTION</t>
  </si>
  <si>
    <t>Refrigerant leak detectors to detect when refrigerant concentration exceeds 25% of LFL for R1234ze. Detectors must be positioned a maximum of 30 cm from the floor and 1 m from the refrigerator</t>
  </si>
  <si>
    <t xml:space="preserve">Refrigerant leak control system which automatically triggers visual and audible alarms inside the refrigeration plant room and outside each entrance to the refrigeration plant room,
starts mechanical ventilation, and shuts down the system when activated. </t>
  </si>
  <si>
    <t>A remote (emergency) switching device for stopping the refrigeration system must be provided outside the room (near the door). A similarly functioning switch must be placed in a suitable location within the room.</t>
  </si>
  <si>
    <t>BUILDING MANAGEMENT SYSTEM</t>
  </si>
  <si>
    <t>COMMISSIONING AND DOCUMENTATION</t>
  </si>
  <si>
    <r>
      <t xml:space="preserve">Carry out all necessary testing and commissioning to the satisfaction of the Client's Engineer.  All commissioning documentation is to be certified for correctness and signed by a </t>
    </r>
    <r>
      <rPr>
        <b/>
        <sz val="10"/>
        <rFont val="Arial"/>
        <family val="2"/>
      </rPr>
      <t xml:space="preserve">Malta accredited Warranted Electrical Engineer, also holding a locally accredited Authorization B, </t>
    </r>
    <r>
      <rPr>
        <sz val="10"/>
        <rFont val="Arial"/>
        <family val="2"/>
      </rPr>
      <t xml:space="preserve">on behalf of the appointed contractor. </t>
    </r>
  </si>
  <si>
    <r>
      <t>All costs associated with phasing of works related to chilled water plant and phasing of commissioning  to ensure continuous supply of chilled water to the Hotel are to be included in the quoted rates.</t>
    </r>
    <r>
      <rPr>
        <sz val="10"/>
        <rFont val="Arial"/>
        <family val="2"/>
      </rPr>
      <t>   </t>
    </r>
  </si>
  <si>
    <t>Provide sufficient training on the operation and maintenance of all plant and systems to the Employer's representatives as specified.</t>
  </si>
  <si>
    <t xml:space="preserve">Supply and hand-over two complete sets of operation and maintenance manuals together with drawings of works "As Fitted".  These shall include: wiring diagrams; test / commissioning data and certificates; equipment data, including manufacturer's details, schedules, specifications and selection / performance data and parts lists.  In addition an electronic copy of the "As Fitted" drawings and manuals are to be furnished in both ACAD and pdf format. </t>
  </si>
  <si>
    <t xml:space="preserve">MAINTENANCE </t>
  </si>
  <si>
    <t>Allow for 3 years preventative maintenance for all contract scope including remote monitoring by factory engineers using cloud based software</t>
  </si>
  <si>
    <t>Years</t>
  </si>
  <si>
    <t>Rate for additional 1 years preventative maintenance for all contract scope including remote monitoring by factory engineers using cloud based software</t>
  </si>
  <si>
    <t xml:space="preserve">Carry out all necessary testing and commissioning to the satisfaction of the Client's Engineer.  All commissioning documentation is to be certified for correctness and signed by a Malta accredited Warranted Electrical Engineer, also holding a locally accredited Authorization B, on behalf of the appointed contractor. </t>
  </si>
  <si>
    <t>SUMMARY OF BILLS</t>
  </si>
  <si>
    <t xml:space="preserve">    </t>
  </si>
  <si>
    <t>PRELIMINARIES</t>
  </si>
  <si>
    <t>Collection from page 2</t>
  </si>
  <si>
    <t>Collection from page 3</t>
  </si>
  <si>
    <t>ELECTRICAL INFRASTRUCTURE</t>
  </si>
  <si>
    <t>Collection from page 4</t>
  </si>
  <si>
    <t>Collection from page 5</t>
  </si>
  <si>
    <t>Collection from page 6</t>
  </si>
  <si>
    <t>Collection from page 7</t>
  </si>
  <si>
    <t>Collection from page 8</t>
  </si>
  <si>
    <t>Collection from page 9</t>
  </si>
  <si>
    <t>FIRE STOPPING</t>
  </si>
  <si>
    <t>Collection from page 10</t>
  </si>
  <si>
    <t>DISMANTLING EXISTING SERVICES</t>
  </si>
  <si>
    <t>Collection from page 11</t>
  </si>
  <si>
    <t>CHILLERS DISMANTLING</t>
  </si>
  <si>
    <t>Collection from page 12</t>
  </si>
  <si>
    <t>Collection from page 13</t>
  </si>
  <si>
    <t>CHILLERS NEW</t>
  </si>
  <si>
    <t>Collection from page 14</t>
  </si>
  <si>
    <t>Collection from page 15</t>
  </si>
  <si>
    <t>Collection from page 16</t>
  </si>
  <si>
    <t>Collection from page 17</t>
  </si>
  <si>
    <t>Collection from page 18</t>
  </si>
  <si>
    <t>Collection from page 19</t>
  </si>
  <si>
    <t>Collection from page 20</t>
  </si>
  <si>
    <t>Collection from page 21</t>
  </si>
  <si>
    <t>Collection from page 22</t>
  </si>
  <si>
    <t>HTHP NEW</t>
  </si>
  <si>
    <t>Collection from page 23</t>
  </si>
  <si>
    <t>Collection from page 24</t>
  </si>
  <si>
    <t>Collection from page 25</t>
  </si>
  <si>
    <t>Collection from page 26</t>
  </si>
  <si>
    <t>Collection from page 27</t>
  </si>
  <si>
    <t>Collection from page 28</t>
  </si>
  <si>
    <t>Collection from page 29</t>
  </si>
  <si>
    <t>Collection from page 30</t>
  </si>
  <si>
    <t>Collection from page 31</t>
  </si>
  <si>
    <t>Collection from page 32</t>
  </si>
  <si>
    <t>Collection from page 33</t>
  </si>
  <si>
    <t>Collection from page 34</t>
  </si>
  <si>
    <t>Collection from page 35</t>
  </si>
  <si>
    <t>PUMPS NEW</t>
  </si>
  <si>
    <t>Collection from page 36</t>
  </si>
  <si>
    <t>Collection from page 37</t>
  </si>
  <si>
    <t>Collection from page 38</t>
  </si>
  <si>
    <t>Collection from page 39</t>
  </si>
  <si>
    <t>Collection from page 40</t>
  </si>
  <si>
    <t>Collection from page 41</t>
  </si>
  <si>
    <t>Collection from page 42</t>
  </si>
  <si>
    <t>Collection from page 43</t>
  </si>
  <si>
    <t>Collection from page 44</t>
  </si>
  <si>
    <t>Collection from page 45</t>
  </si>
  <si>
    <t>Collection from page 46</t>
  </si>
  <si>
    <t>Collection from page 47</t>
  </si>
  <si>
    <t>Collection from page 48</t>
  </si>
  <si>
    <t>Collection from page 49</t>
  </si>
  <si>
    <t>Collection from page 50</t>
  </si>
  <si>
    <t>Collection from page 51</t>
  </si>
  <si>
    <t>Collection from page 52</t>
  </si>
  <si>
    <t>Collection from page 53</t>
  </si>
  <si>
    <t>Collection from page 54</t>
  </si>
  <si>
    <t>Collection from page 55</t>
  </si>
  <si>
    <t>Collection from page 56</t>
  </si>
  <si>
    <t>Collection from page 57</t>
  </si>
  <si>
    <t>Collection from page 58</t>
  </si>
  <si>
    <t>Collection from page 59</t>
  </si>
  <si>
    <t>AHU MOTORS NEW</t>
  </si>
  <si>
    <t>Collection from page 60</t>
  </si>
  <si>
    <t>Collection from page 61</t>
  </si>
  <si>
    <t>Collection from page 62</t>
  </si>
  <si>
    <t>Collection from page 63</t>
  </si>
  <si>
    <t>Collection from page 64</t>
  </si>
  <si>
    <t>AC SPLIT UNITS</t>
  </si>
  <si>
    <t>Collection from page 65</t>
  </si>
  <si>
    <t>Collection from page 66</t>
  </si>
  <si>
    <t>Collection from page 67</t>
  </si>
  <si>
    <t>MAINTENANCE</t>
  </si>
  <si>
    <t>Collection from page 68</t>
  </si>
  <si>
    <t>PROVISIONAL SUM</t>
  </si>
  <si>
    <t>Collection from page 69</t>
  </si>
  <si>
    <t>Add / Omit (to specify):</t>
  </si>
  <si>
    <t>Total:</t>
  </si>
  <si>
    <t>V.A.T. @ 18%</t>
  </si>
  <si>
    <t xml:space="preserve">Overall Total in Euro: </t>
  </si>
  <si>
    <t>Signature:</t>
  </si>
  <si>
    <t>Name in Block:</t>
  </si>
  <si>
    <t>Occupation:</t>
  </si>
  <si>
    <t>I.D. Card No.:</t>
  </si>
  <si>
    <t>VAT Reg. No.:</t>
  </si>
  <si>
    <t>For and on behalf of:</t>
  </si>
  <si>
    <t>Company Reg. No.:</t>
  </si>
  <si>
    <t>Address:</t>
  </si>
  <si>
    <t>Telephone No.:</t>
  </si>
  <si>
    <t>Fax No.:</t>
  </si>
  <si>
    <t>E-mail Address:</t>
  </si>
  <si>
    <t>Date:</t>
  </si>
  <si>
    <t>CAMC_023</t>
  </si>
  <si>
    <t>10mm2</t>
  </si>
  <si>
    <t>AJ Electric  -AJQ38108</t>
  </si>
  <si>
    <t>Cable Lug  10  mm2</t>
  </si>
  <si>
    <t>CAAC_008</t>
  </si>
  <si>
    <t>Power Cable   5c   10 mm2 XLPE SWA-PVC</t>
  </si>
  <si>
    <t>Power Cable   5c   16 mm2 XLPE SWA-PVC</t>
  </si>
  <si>
    <t>BRATE</t>
  </si>
  <si>
    <t>RTONLY</t>
  </si>
  <si>
    <t>Not existing on site</t>
  </si>
  <si>
    <t>Same as AHU 24 - Isaac 10.09.2025</t>
  </si>
  <si>
    <t>two cables each as per Siegfried</t>
  </si>
  <si>
    <t>Connecting up of heat pump included in electrical BOQ</t>
  </si>
  <si>
    <t>Power cables and connecting up of</t>
  </si>
  <si>
    <t>power supply in electrical BOQ</t>
  </si>
  <si>
    <t>Install only</t>
  </si>
  <si>
    <t>CPAN_185</t>
  </si>
  <si>
    <t>G.E.</t>
  </si>
  <si>
    <t>AG P9XBD</t>
  </si>
  <si>
    <t>Beacon and sounder</t>
  </si>
  <si>
    <t>Wiring Included in BMS</t>
  </si>
  <si>
    <t>Flow Switch</t>
  </si>
  <si>
    <t>AIS</t>
  </si>
  <si>
    <t>Supply and install</t>
  </si>
  <si>
    <t>Design and Programming</t>
  </si>
  <si>
    <t>13amp power supply to panel</t>
  </si>
  <si>
    <t>Included in Electrical - Note by Megaline</t>
  </si>
  <si>
    <t>Included in PCQ-25-0440</t>
  </si>
  <si>
    <t>Temperature Sensor - Install only</t>
  </si>
  <si>
    <t>Raymond - 11.09.2025</t>
  </si>
  <si>
    <t>3way Motorised Valve</t>
  </si>
  <si>
    <t>Included with electrical quotation</t>
  </si>
  <si>
    <t>Conduit Galv. 25mm RATE</t>
  </si>
  <si>
    <t>COGV_013</t>
  </si>
  <si>
    <t>25mm</t>
  </si>
  <si>
    <t>Retrofitting works for the HVAC plant at Intercontinental Revision A</t>
  </si>
  <si>
    <t>ELM25-0465A</t>
  </si>
  <si>
    <t>Fire barrier provisions to maintain fire compartmentation as, required around and within all M&amp;E services. Contractor, to provide itemised cost breakdown under this sheet.</t>
  </si>
  <si>
    <t>Mobilisation and demobilisation including setting up of workshop storage facilities and their security.</t>
  </si>
  <si>
    <t>Safety clothing for all site personnel in accordance with statutory requirements.</t>
  </si>
  <si>
    <t>Allowance for weekly progress meetings within project execution period.</t>
  </si>
  <si>
    <t>Included</t>
  </si>
  <si>
    <t>Provision of instrumentation used for commissioning purposes including evidence of associated valid calibration certificates.</t>
  </si>
  <si>
    <t>Two copies of a complete set of installation drawings allowing for coordination with sub-contractors, client, interior designer, etc. as applicable.</t>
  </si>
  <si>
    <t>Rate only for the re-issue of one installation drawing, if so requested by the engineer, to include the changes requested through instructions and revisions identified during project execution.</t>
  </si>
  <si>
    <t>As advised by Alexie</t>
  </si>
  <si>
    <t>Provision for a Quality Control Engineer to certify that the equipment and materials are installed, tested and commissioned in accordance with manufacturer's recommendations and / or relevant statutory requirements and / or CIBSE and / or equal and approved documents.</t>
  </si>
  <si>
    <t xml:space="preserve">Meetings </t>
  </si>
  <si>
    <t>DOCS_001</t>
  </si>
  <si>
    <t>Allow for the preparation of project administration including minutes of progress meetings and other documentation required by the project Engineer / Client.</t>
  </si>
  <si>
    <t>Provision of signing of commissioning documentation by an independent Warranted Engineer.</t>
  </si>
  <si>
    <t xml:space="preserve"> PAGE: </t>
  </si>
  <si>
    <t>Provision of signing of as-fitted drawings by an independent Warranted Engineer.</t>
  </si>
  <si>
    <t>To allow for builders works in accordance to the preamble section of the technical specifications.</t>
  </si>
  <si>
    <t>Provision for a recognised Health and Safety Officer.</t>
  </si>
  <si>
    <t>Included by Mech</t>
  </si>
  <si>
    <t>Provision for completing the necessary risk assessment and method statements required.</t>
  </si>
  <si>
    <t>Rate Only per drawing</t>
  </si>
  <si>
    <t>Provision for a quality control engineer to ensure that the items being proposed are in accordance with technical specification and will fulfil the project requirements.</t>
  </si>
  <si>
    <t>Testing &amp; Commissioning (by Electrician)</t>
  </si>
  <si>
    <t>Motor Control Centre - Power</t>
  </si>
  <si>
    <t>COMM_003</t>
  </si>
  <si>
    <t xml:space="preserve"> BMS EQUIPMENT AND MCC</t>
  </si>
  <si>
    <t>mostly included (BMS)</t>
  </si>
  <si>
    <t xml:space="preserve">Provide sufficient training on the operation and maintenance of all plant and systems to the Employer's representatives as specified. Authorization B, on behalf of the appointed contractor. </t>
  </si>
  <si>
    <t>Training and maintenance</t>
  </si>
  <si>
    <t xml:space="preserve"> DRAWINGS &amp; MANUALS</t>
  </si>
  <si>
    <t>Pen Drive</t>
  </si>
  <si>
    <t>DOCS_012</t>
  </si>
  <si>
    <t>Operating and Maintenance Manuals</t>
  </si>
  <si>
    <t>DOCS_013</t>
  </si>
  <si>
    <t xml:space="preserve">Carry out all necessary testing and commissioning to the satisfaction of the Engineer.  All commissioning documentation is to be certified for correctness and signed by a Warranted Engineer. </t>
  </si>
  <si>
    <t>Preventive Maintenance</t>
  </si>
  <si>
    <t>Electrical installation</t>
  </si>
  <si>
    <t>LABO_019</t>
  </si>
  <si>
    <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</si>
</sst>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 #,##0.00_-;_-* &quot;-&quot;??_-;_-@_-"/>
    <numFmt numFmtId="164" formatCode="_(&quot;$&quot;* #,##0.00_);_(&quot;$&quot;* \(#,##0.00\);_(&quot;$&quot;* &quot;-&quot;??_);_(@_)"/>
    <numFmt numFmtId="165" formatCode="0.000"/>
    <numFmt numFmtId="166" formatCode="&quot;Lm &quot;#,##0.00_);[Red]\(&quot;Lm &quot;#,##0.00\)"/>
    <numFmt numFmtId="167" formatCode="\(\ 0.00%\ \)"/>
    <numFmt numFmtId="168" formatCode="&quot;Lm/hr &quot;#,##0.00_);[Red]\(&quot;Lm &quot;#,##0.00\)"/>
    <numFmt numFmtId="169" formatCode="dd/mm/yy;@"/>
    <numFmt numFmtId="170" formatCode="[$€-2]\ #,##0.00"/>
    <numFmt numFmtId="171" formatCode="0.0000"/>
    <numFmt numFmtId="172" formatCode="0.0000000"/>
    <numFmt numFmtId="173" formatCode="#,##0.00_ ;\-#,##0.00\ "/>
    <numFmt numFmtId="174" formatCode="[$-409]h:mm:ss\ AM/PM;@"/>
    <numFmt numFmtId="175" formatCode="[$-F400]h:mm:ss\ AM/PM"/>
    <numFmt numFmtId="176" formatCode="&quot;€/Prhr &quot;#,##0.00_);[Red]\(&quot;Lm &quot;#,##0.00\)"/>
    <numFmt numFmtId="177" formatCode="&quot;€/Prhr &quot;#,##0.000_);[Red]\(&quot;Lm &quot;#,##0.000\)"/>
    <numFmt numFmtId="178" formatCode="0.0"/>
    <numFmt numFmtId="179" formatCode="0.00_)"/>
    <numFmt numFmtId="180" formatCode="&quot;€/Manhr&quot;#,##0.000_);[Red]\(&quot;Lm &quot;#,##0.000\)"/>
  </numFmts>
  <fonts count="188">
    <font>
      <sz val="10"/>
      <name val="Arial"/>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sz val="9"/>
      <color indexed="13"/>
      <name val="Arial"/>
      <family val="2"/>
    </font>
    <font>
      <b/>
      <sz val="9"/>
      <name val="Arial"/>
      <family val="2"/>
    </font>
    <font>
      <b/>
      <sz val="9"/>
      <color indexed="13"/>
      <name val="Arial"/>
      <family val="2"/>
    </font>
    <font>
      <sz val="9"/>
      <color indexed="10"/>
      <name val="Arial"/>
      <family val="2"/>
    </font>
    <font>
      <b/>
      <sz val="10"/>
      <name val="Arial"/>
      <family val="2"/>
    </font>
    <font>
      <sz val="9"/>
      <color indexed="34"/>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8"/>
      <name val="Arial Narrow"/>
      <family val="2"/>
    </font>
    <font>
      <b/>
      <i/>
      <u/>
      <sz val="8"/>
      <name val="Arial"/>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10"/>
      <color indexed="50"/>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b/>
      <sz val="22.5"/>
      <name val="Arial"/>
      <family val="2"/>
    </font>
    <font>
      <sz val="14"/>
      <name val="Arial"/>
      <family val="2"/>
    </font>
    <font>
      <sz val="8"/>
      <color indexed="9"/>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i/>
      <sz val="8"/>
      <color indexed="23"/>
      <name val="Arial"/>
      <family val="2"/>
    </font>
    <font>
      <i/>
      <sz val="8"/>
      <color indexed="23"/>
      <name val="Arial"/>
      <family val="2"/>
    </font>
    <font>
      <sz val="10"/>
      <color indexed="81"/>
      <name val="Tahoma"/>
      <family val="2"/>
    </font>
    <font>
      <b/>
      <sz val="10"/>
      <color indexed="81"/>
      <name val="Tahoma"/>
      <family val="2"/>
    </font>
    <font>
      <b/>
      <sz val="9"/>
      <color indexed="63"/>
      <name val="Arial Narrow"/>
      <family val="2"/>
    </font>
    <font>
      <sz val="8"/>
      <color rgb="FF000000"/>
      <name val="Tahoma"/>
      <family val="2"/>
    </font>
    <font>
      <sz val="10"/>
      <color rgb="FF000000"/>
      <name val="Arial"/>
      <family val="2"/>
    </font>
    <font>
      <sz val="9"/>
      <color theme="0"/>
      <name val="Arial"/>
      <family val="2"/>
    </font>
    <font>
      <sz val="11"/>
      <color theme="1"/>
      <name val="Calibri"/>
      <family val="2"/>
      <scheme val="minor"/>
    </font>
    <font>
      <sz val="10"/>
      <name val="AvantGarde"/>
    </font>
    <font>
      <b/>
      <sz val="9"/>
      <color indexed="18"/>
      <name val="Arial"/>
      <family val="2"/>
    </font>
    <font>
      <sz val="9"/>
      <color indexed="18"/>
      <name val="Arial"/>
      <family val="2"/>
    </font>
    <font>
      <i/>
      <sz val="8"/>
      <color indexed="10"/>
      <name val="Arial"/>
      <family val="2"/>
    </font>
    <font>
      <i/>
      <sz val="8"/>
      <color indexed="10"/>
      <name val="Arial Narrow"/>
      <family val="2"/>
    </font>
    <font>
      <i/>
      <sz val="8"/>
      <color indexed="55"/>
      <name val="Arial"/>
      <family val="2"/>
    </font>
    <font>
      <sz val="10"/>
      <name val="AvantGarde Bk BT"/>
    </font>
    <font>
      <sz val="9"/>
      <name val="MS Sans Serif"/>
      <family val="2"/>
    </font>
    <font>
      <sz val="12"/>
      <name val="Arial MT"/>
    </font>
    <font>
      <sz val="9"/>
      <color indexed="8"/>
      <name val="MS Sans Serif"/>
      <family val="2"/>
    </font>
    <font>
      <sz val="9"/>
      <color indexed="23"/>
      <name val="MS Sans Serif"/>
      <family val="2"/>
    </font>
    <font>
      <sz val="9"/>
      <color indexed="12"/>
      <name val="MS Sans Serif"/>
      <family val="2"/>
    </font>
    <font>
      <b/>
      <sz val="9"/>
      <name val="MS Sans Serif"/>
      <family val="2"/>
    </font>
    <font>
      <sz val="9"/>
      <color indexed="10"/>
      <name val="Arial Narrow"/>
      <family val="2"/>
    </font>
    <font>
      <b/>
      <i/>
      <sz val="8"/>
      <name val="Arial"/>
      <family val="2"/>
    </font>
    <font>
      <b/>
      <i/>
      <sz val="11"/>
      <name val="Arial"/>
      <family val="2"/>
    </font>
    <font>
      <b/>
      <sz val="9"/>
      <color rgb="FFFF0000"/>
      <name val="Arial"/>
      <family val="2"/>
    </font>
    <font>
      <sz val="9"/>
      <name val="MS Sans Serif"/>
    </font>
    <font>
      <b/>
      <sz val="9"/>
      <name val="MS Sans Serif"/>
    </font>
    <font>
      <sz val="9"/>
      <color indexed="10"/>
      <name val="MS Sans Serif"/>
    </font>
    <font>
      <b/>
      <i/>
      <sz val="9"/>
      <color rgb="FFFF0000"/>
      <name val="Arial"/>
      <family val="2"/>
    </font>
    <font>
      <sz val="9"/>
      <color rgb="FF002060"/>
      <name val="MS Sans Serif"/>
    </font>
    <font>
      <i/>
      <sz val="10"/>
      <color indexed="12"/>
      <name val="Arial"/>
      <family val="2"/>
    </font>
    <font>
      <b/>
      <sz val="10"/>
      <color rgb="FFFF0000"/>
      <name val="Arial"/>
      <family val="2"/>
    </font>
    <font>
      <b/>
      <sz val="9"/>
      <color rgb="FF0070C0"/>
      <name val="MS Sans Serif"/>
    </font>
    <font>
      <i/>
      <sz val="10"/>
      <color rgb="FF0070C0"/>
      <name val="Arial"/>
      <family val="2"/>
    </font>
    <font>
      <b/>
      <i/>
      <sz val="9"/>
      <color rgb="FF0070C0"/>
      <name val="Arial"/>
      <family val="2"/>
    </font>
    <font>
      <sz val="10"/>
      <color theme="1"/>
      <name val="Arial"/>
      <family val="2"/>
    </font>
    <font>
      <sz val="10"/>
      <color rgb="FF0070C0"/>
      <name val="Arial"/>
      <family val="2"/>
    </font>
    <font>
      <sz val="9"/>
      <color rgb="FF0070C0"/>
      <name val="MS Sans Serif"/>
    </font>
    <font>
      <b/>
      <sz val="9"/>
      <color rgb="FFFF0000"/>
      <name val="MS Sans Serif"/>
    </font>
    <font>
      <sz val="9"/>
      <color rgb="FFFF0000"/>
      <name val="MS Sans Serif"/>
    </font>
    <font>
      <sz val="10"/>
      <color rgb="FFFF0000"/>
      <name val="Arial"/>
      <family val="2"/>
    </font>
    <font>
      <b/>
      <sz val="10"/>
      <color rgb="FF0070C0"/>
      <name val="Arial"/>
      <family val="2"/>
    </font>
    <font>
      <i/>
      <sz val="9"/>
      <color rgb="FFFF0000"/>
      <name val="Arial"/>
      <family val="2"/>
    </font>
    <font>
      <sz val="9"/>
      <color rgb="FFFF0000"/>
      <name val="Arial"/>
      <family val="2"/>
    </font>
    <font>
      <b/>
      <sz val="10"/>
      <name val="AvantGarde"/>
    </font>
    <font>
      <sz val="9"/>
      <color indexed="10"/>
      <name val="MS Sans Serif"/>
      <family val="2"/>
    </font>
  </fonts>
  <fills count="27">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rgb="FFFFFF00"/>
        <bgColor indexed="64"/>
      </patternFill>
    </fill>
    <fill>
      <patternFill patternType="lightUp"/>
    </fill>
    <fill>
      <patternFill patternType="solid">
        <fgColor indexed="47"/>
        <bgColor indexed="8"/>
      </patternFill>
    </fill>
    <fill>
      <patternFill patternType="lightGray">
        <bgColor indexed="51"/>
      </patternFill>
    </fill>
    <fill>
      <patternFill patternType="lightGray">
        <bgColor indexed="26"/>
      </patternFill>
    </fill>
    <fill>
      <patternFill patternType="solid">
        <fgColor indexed="10"/>
        <bgColor indexed="64"/>
      </patternFill>
    </fill>
    <fill>
      <patternFill patternType="solid">
        <fgColor rgb="FFFF0000"/>
        <bgColor indexed="64"/>
      </patternFill>
    </fill>
    <fill>
      <patternFill patternType="lightGray">
        <bgColor indexed="11"/>
      </patternFill>
    </fill>
  </fills>
  <borders count="58">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right/>
      <top/>
      <bottom style="dotted">
        <color indexed="64"/>
      </bottom>
      <diagonal/>
    </border>
    <border>
      <left style="dashed">
        <color indexed="64"/>
      </left>
      <right style="dashed">
        <color indexed="64"/>
      </right>
      <top style="dashed">
        <color indexed="64"/>
      </top>
      <bottom style="dashed">
        <color indexed="64"/>
      </bottom>
      <diagonal/>
    </border>
    <border>
      <left/>
      <right/>
      <top/>
      <bottom style="dashed">
        <color indexed="64"/>
      </bottom>
      <diagonal/>
    </border>
    <border>
      <left/>
      <right/>
      <top style="dotted">
        <color indexed="64"/>
      </top>
      <bottom/>
      <diagonal/>
    </border>
    <border>
      <left/>
      <right/>
      <top style="thin">
        <color indexed="64"/>
      </top>
      <bottom style="dashed">
        <color indexed="64"/>
      </bottom>
      <diagonal/>
    </border>
    <border>
      <left style="dotted">
        <color indexed="64"/>
      </left>
      <right style="dotted">
        <color indexed="64"/>
      </right>
      <top style="dotted">
        <color indexed="64"/>
      </top>
      <bottom style="dotted">
        <color indexed="64"/>
      </bottom>
      <diagonal/>
    </border>
    <border>
      <left/>
      <right/>
      <top style="dashed">
        <color indexed="64"/>
      </top>
      <bottom/>
      <diagonal/>
    </border>
    <border>
      <left style="dotted">
        <color indexed="64"/>
      </left>
      <right style="dotted">
        <color indexed="64"/>
      </right>
      <top style="dotted">
        <color indexed="64"/>
      </top>
      <bottom/>
      <diagonal/>
    </border>
    <border>
      <left/>
      <right/>
      <top style="double">
        <color indexed="64"/>
      </top>
      <bottom style="thin">
        <color indexed="64"/>
      </bottom>
      <diagonal/>
    </border>
    <border>
      <left/>
      <right/>
      <top style="thin">
        <color indexed="64"/>
      </top>
      <bottom style="dotted">
        <color indexed="64"/>
      </bottom>
      <diagonal/>
    </border>
  </borders>
  <cellStyleXfs count="20">
    <xf numFmtId="0" fontId="0"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1" fontId="8" fillId="0" borderId="0"/>
    <xf numFmtId="0" fontId="4" fillId="0" borderId="0"/>
    <xf numFmtId="1" fontId="8" fillId="0" borderId="0"/>
    <xf numFmtId="0" fontId="7" fillId="0" borderId="0"/>
    <xf numFmtId="0" fontId="28" fillId="0" borderId="0"/>
    <xf numFmtId="0" fontId="147" fillId="0" borderId="0"/>
    <xf numFmtId="1" fontId="4" fillId="0" borderId="0"/>
    <xf numFmtId="0" fontId="4" fillId="0" borderId="0"/>
    <xf numFmtId="0" fontId="149" fillId="0" borderId="0"/>
    <xf numFmtId="0" fontId="150" fillId="0" borderId="0"/>
    <xf numFmtId="0" fontId="156" fillId="0" borderId="0"/>
    <xf numFmtId="179" fontId="158" fillId="0" borderId="0"/>
    <xf numFmtId="1" fontId="4" fillId="0" borderId="0"/>
    <xf numFmtId="1" fontId="4" fillId="0" borderId="0"/>
    <xf numFmtId="43" fontId="149" fillId="0" borderId="0" applyFont="0" applyFill="0" applyBorder="0" applyAlignment="0" applyProtection="0"/>
    <xf numFmtId="0" fontId="150" fillId="0" borderId="0"/>
  </cellStyleXfs>
  <cellXfs count="1420">
    <xf numFmtId="0" fontId="0" fillId="0" borderId="0" xfId="0"/>
    <xf numFmtId="0" fontId="12" fillId="0" borderId="0" xfId="3" applyFont="1"/>
    <xf numFmtId="1" fontId="15" fillId="0" borderId="0" xfId="6" applyFont="1" applyProtection="1">
      <protection locked="0"/>
    </xf>
    <xf numFmtId="0" fontId="4" fillId="0" borderId="0" xfId="3"/>
    <xf numFmtId="1" fontId="23" fillId="0" borderId="0" xfId="6" applyFont="1" applyAlignment="1" applyProtection="1">
      <alignment horizontal="center"/>
      <protection locked="0"/>
    </xf>
    <xf numFmtId="0" fontId="34" fillId="0" borderId="0" xfId="2" applyNumberFormat="1" applyFont="1" applyFill="1" applyBorder="1" applyAlignment="1" applyProtection="1">
      <alignment horizontal="centerContinuous"/>
      <protection locked="0"/>
    </xf>
    <xf numFmtId="0" fontId="18" fillId="0" borderId="0" xfId="7" applyFont="1" applyAlignment="1" applyProtection="1">
      <alignment horizontal="center"/>
      <protection locked="0"/>
    </xf>
    <xf numFmtId="0" fontId="4" fillId="0" borderId="1" xfId="3" applyBorder="1"/>
    <xf numFmtId="1" fontId="12" fillId="0" borderId="0" xfId="6" applyFont="1" applyAlignment="1" applyProtection="1">
      <alignment horizontal="centerContinuous"/>
      <protection locked="0"/>
    </xf>
    <xf numFmtId="1" fontId="12" fillId="0" borderId="0" xfId="6" applyFont="1" applyAlignment="1" applyProtection="1">
      <alignment horizontal="left"/>
      <protection locked="0"/>
    </xf>
    <xf numFmtId="0" fontId="13" fillId="0" borderId="0" xfId="2" applyNumberFormat="1" applyFont="1" applyBorder="1" applyAlignment="1" applyProtection="1">
      <protection locked="0"/>
    </xf>
    <xf numFmtId="0" fontId="13" fillId="0" borderId="0" xfId="3" applyFont="1" applyAlignment="1" applyProtection="1">
      <alignment horizontal="left"/>
      <protection locked="0"/>
    </xf>
    <xf numFmtId="15" fontId="13" fillId="0" borderId="0" xfId="6" applyNumberFormat="1" applyFont="1" applyAlignment="1" applyProtection="1">
      <alignment horizontal="left"/>
      <protection locked="0"/>
    </xf>
    <xf numFmtId="0" fontId="13" fillId="0" borderId="0" xfId="2" applyNumberFormat="1" applyFont="1" applyFill="1" applyBorder="1" applyAlignment="1" applyProtection="1">
      <alignment horizontal="left"/>
      <protection locked="0"/>
    </xf>
    <xf numFmtId="0" fontId="29" fillId="0" borderId="0" xfId="2" applyNumberFormat="1" applyFont="1" applyBorder="1" applyAlignment="1" applyProtection="1">
      <alignment horizontal="centerContinuous"/>
      <protection locked="0"/>
    </xf>
    <xf numFmtId="0" fontId="9" fillId="2" borderId="2" xfId="3" applyFont="1" applyFill="1" applyBorder="1" applyAlignment="1">
      <alignment horizontal="center"/>
    </xf>
    <xf numFmtId="0" fontId="9" fillId="3" borderId="3" xfId="3" applyFont="1" applyFill="1" applyBorder="1" applyAlignment="1">
      <alignment horizontal="center"/>
    </xf>
    <xf numFmtId="0" fontId="9" fillId="4" borderId="3" xfId="3" applyFont="1" applyFill="1" applyBorder="1" applyAlignment="1">
      <alignment horizontal="center"/>
    </xf>
    <xf numFmtId="0" fontId="56" fillId="5" borderId="3" xfId="3" applyFont="1" applyFill="1" applyBorder="1" applyAlignment="1">
      <alignment horizontal="center"/>
    </xf>
    <xf numFmtId="0" fontId="9" fillId="6" borderId="3" xfId="3" applyFont="1" applyFill="1" applyBorder="1" applyAlignment="1">
      <alignment horizontal="center"/>
    </xf>
    <xf numFmtId="0" fontId="9" fillId="2" borderId="3" xfId="3" applyFont="1" applyFill="1" applyBorder="1" applyAlignment="1">
      <alignment horizontal="center"/>
    </xf>
    <xf numFmtId="0" fontId="9" fillId="7" borderId="3" xfId="3" applyFont="1" applyFill="1" applyBorder="1" applyAlignment="1">
      <alignment horizontal="center"/>
    </xf>
    <xf numFmtId="0" fontId="9" fillId="8" borderId="3" xfId="3" applyFont="1" applyFill="1" applyBorder="1" applyAlignment="1">
      <alignment horizontal="center"/>
    </xf>
    <xf numFmtId="0" fontId="9" fillId="9" borderId="3" xfId="3" applyFont="1" applyFill="1" applyBorder="1" applyAlignment="1">
      <alignment horizontal="center"/>
    </xf>
    <xf numFmtId="0" fontId="9" fillId="10" borderId="3" xfId="3" applyFont="1" applyFill="1" applyBorder="1" applyAlignment="1">
      <alignment horizontal="center"/>
    </xf>
    <xf numFmtId="0" fontId="9" fillId="11" borderId="3" xfId="3" applyFont="1" applyFill="1" applyBorder="1" applyAlignment="1">
      <alignment horizontal="center"/>
    </xf>
    <xf numFmtId="0" fontId="54" fillId="2" borderId="4" xfId="2" applyNumberFormat="1" applyFont="1" applyFill="1" applyBorder="1" applyAlignment="1" applyProtection="1">
      <alignment horizontal="center" vertical="center"/>
    </xf>
    <xf numFmtId="0" fontId="54" fillId="2" borderId="5" xfId="3" applyFont="1" applyFill="1" applyBorder="1" applyAlignment="1">
      <alignment horizontal="center" vertical="center"/>
    </xf>
    <xf numFmtId="0" fontId="54" fillId="2" borderId="6" xfId="0" applyFont="1" applyFill="1" applyBorder="1" applyAlignment="1">
      <alignment horizontal="center" vertical="center"/>
    </xf>
    <xf numFmtId="0" fontId="54" fillId="2" borderId="7" xfId="0" applyFont="1" applyFill="1" applyBorder="1" applyAlignment="1">
      <alignment horizontal="center" vertical="center"/>
    </xf>
    <xf numFmtId="0" fontId="11" fillId="0" borderId="0" xfId="0" applyFont="1" applyProtection="1">
      <protection locked="0"/>
    </xf>
    <xf numFmtId="0" fontId="12" fillId="0" borderId="0" xfId="3" applyFont="1" applyProtection="1">
      <protection locked="0"/>
    </xf>
    <xf numFmtId="0" fontId="4" fillId="0" borderId="0" xfId="3" applyProtection="1">
      <protection locked="0"/>
    </xf>
    <xf numFmtId="1" fontId="12" fillId="0" borderId="0" xfId="3" applyNumberFormat="1" applyFont="1" applyProtection="1">
      <protection locked="0"/>
    </xf>
    <xf numFmtId="0" fontId="0" fillId="0" borderId="0" xfId="0" applyProtection="1">
      <protection locked="0"/>
    </xf>
    <xf numFmtId="0" fontId="14" fillId="0" borderId="0" xfId="3" applyFont="1" applyProtection="1">
      <protection locked="0"/>
    </xf>
    <xf numFmtId="0" fontId="15" fillId="0" borderId="0" xfId="3" applyFont="1" applyAlignment="1" applyProtection="1">
      <alignment horizontal="right"/>
      <protection locked="0"/>
    </xf>
    <xf numFmtId="0" fontId="7" fillId="0" borderId="1" xfId="3" applyFont="1" applyBorder="1" applyProtection="1">
      <protection locked="0"/>
    </xf>
    <xf numFmtId="1" fontId="4" fillId="0" borderId="0" xfId="3" applyNumberFormat="1" applyProtection="1">
      <protection locked="0"/>
    </xf>
    <xf numFmtId="0" fontId="13" fillId="0" borderId="0" xfId="3" applyFont="1" applyAlignment="1" applyProtection="1">
      <alignment horizontal="center"/>
      <protection locked="0"/>
    </xf>
    <xf numFmtId="0" fontId="13" fillId="0" borderId="0" xfId="3" applyFont="1" applyAlignment="1" applyProtection="1">
      <alignment horizontal="right"/>
      <protection locked="0"/>
    </xf>
    <xf numFmtId="0" fontId="16" fillId="0" borderId="0" xfId="3" applyFont="1" applyProtection="1">
      <protection locked="0"/>
    </xf>
    <xf numFmtId="0" fontId="15" fillId="0" borderId="11" xfId="3" applyFont="1" applyBorder="1" applyAlignment="1" applyProtection="1">
      <alignment horizontal="center"/>
      <protection locked="0"/>
    </xf>
    <xf numFmtId="0" fontId="12" fillId="0" borderId="1" xfId="3" applyFont="1" applyBorder="1" applyProtection="1">
      <protection locked="0"/>
    </xf>
    <xf numFmtId="0" fontId="7" fillId="0" borderId="0" xfId="3" applyFont="1" applyProtection="1">
      <protection locked="0"/>
    </xf>
    <xf numFmtId="1" fontId="7" fillId="0" borderId="0" xfId="3" applyNumberFormat="1" applyFont="1" applyProtection="1">
      <protection locked="0"/>
    </xf>
    <xf numFmtId="0" fontId="15" fillId="0" borderId="0" xfId="3" applyFont="1" applyProtection="1">
      <protection locked="0"/>
    </xf>
    <xf numFmtId="0" fontId="16" fillId="0" borderId="1" xfId="3" applyFont="1" applyBorder="1" applyProtection="1">
      <protection locked="0"/>
    </xf>
    <xf numFmtId="2" fontId="15" fillId="0" borderId="1" xfId="3" applyNumberFormat="1" applyFont="1" applyBorder="1" applyAlignment="1" applyProtection="1">
      <alignment horizontal="right"/>
      <protection locked="0"/>
    </xf>
    <xf numFmtId="0" fontId="7" fillId="0" borderId="13" xfId="0" applyFont="1" applyBorder="1" applyAlignment="1" applyProtection="1">
      <alignment horizontal="right"/>
      <protection locked="0"/>
    </xf>
    <xf numFmtId="0" fontId="3" fillId="0" borderId="13" xfId="0" applyFont="1" applyBorder="1" applyProtection="1">
      <protection locked="0"/>
    </xf>
    <xf numFmtId="0" fontId="18"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1" fillId="0" borderId="13" xfId="0" applyFont="1" applyBorder="1" applyProtection="1">
      <protection locked="0"/>
    </xf>
    <xf numFmtId="2" fontId="1" fillId="2" borderId="14" xfId="0" applyNumberFormat="1" applyFont="1" applyFill="1" applyBorder="1" applyAlignment="1" applyProtection="1">
      <alignment horizontal="right"/>
      <protection locked="0"/>
    </xf>
    <xf numFmtId="165" fontId="1" fillId="2" borderId="14" xfId="0" applyNumberFormat="1" applyFont="1" applyFill="1" applyBorder="1" applyProtection="1">
      <protection locked="0"/>
    </xf>
    <xf numFmtId="0" fontId="7" fillId="0" borderId="0" xfId="0" applyFont="1" applyAlignment="1" applyProtection="1">
      <alignment horizontal="right"/>
      <protection locked="0"/>
    </xf>
    <xf numFmtId="0" fontId="1" fillId="0" borderId="0" xfId="0" applyFont="1" applyAlignment="1" applyProtection="1">
      <alignment horizontal="center"/>
      <protection locked="0"/>
    </xf>
    <xf numFmtId="1" fontId="0" fillId="0" borderId="0" xfId="0" applyNumberFormat="1" applyProtection="1">
      <protection locked="0"/>
    </xf>
    <xf numFmtId="2" fontId="8" fillId="0" borderId="0" xfId="0" applyNumberFormat="1" applyFont="1" applyProtection="1">
      <protection locked="0"/>
    </xf>
    <xf numFmtId="165" fontId="0" fillId="0" borderId="0" xfId="0" applyNumberFormat="1" applyProtection="1">
      <protection locked="0"/>
    </xf>
    <xf numFmtId="0" fontId="12" fillId="0" borderId="0" xfId="0" applyFont="1" applyProtection="1">
      <protection locked="0"/>
    </xf>
    <xf numFmtId="0" fontId="7" fillId="0" borderId="1" xfId="0" applyFont="1" applyBorder="1" applyAlignment="1" applyProtection="1">
      <alignment horizontal="right"/>
      <protection locked="0"/>
    </xf>
    <xf numFmtId="0" fontId="24" fillId="0" borderId="1" xfId="0" applyFont="1" applyBorder="1" applyAlignment="1" applyProtection="1">
      <alignment horizontal="left"/>
      <protection locked="0"/>
    </xf>
    <xf numFmtId="1" fontId="23" fillId="0" borderId="1" xfId="6" applyFont="1" applyBorder="1" applyAlignment="1" applyProtection="1">
      <alignment horizontal="center"/>
      <protection locked="0"/>
    </xf>
    <xf numFmtId="0" fontId="12" fillId="0" borderId="1" xfId="0" applyFont="1" applyBorder="1" applyProtection="1">
      <protection locked="0"/>
    </xf>
    <xf numFmtId="0" fontId="0" fillId="0" borderId="1" xfId="0" applyBorder="1" applyProtection="1">
      <protection locked="0"/>
    </xf>
    <xf numFmtId="0" fontId="1" fillId="0" borderId="1" xfId="0" applyFont="1" applyBorder="1" applyAlignment="1" applyProtection="1">
      <alignment horizontal="center"/>
      <protection locked="0"/>
    </xf>
    <xf numFmtId="1" fontId="0" fillId="0" borderId="1" xfId="0" applyNumberFormat="1" applyBorder="1" applyProtection="1">
      <protection locked="0"/>
    </xf>
    <xf numFmtId="2" fontId="8" fillId="0" borderId="1" xfId="0" applyNumberFormat="1" applyFont="1" applyBorder="1" applyProtection="1">
      <protection locked="0"/>
    </xf>
    <xf numFmtId="165" fontId="0" fillId="0" borderId="1" xfId="0" applyNumberFormat="1" applyBorder="1" applyProtection="1">
      <protection locked="0"/>
    </xf>
    <xf numFmtId="0" fontId="21" fillId="0" borderId="0" xfId="0" applyFont="1" applyAlignment="1" applyProtection="1">
      <alignment horizontal="center"/>
      <protection locked="0"/>
    </xf>
    <xf numFmtId="0" fontId="25" fillId="0" borderId="0" xfId="0" applyFont="1" applyProtection="1">
      <protection locked="0"/>
    </xf>
    <xf numFmtId="0" fontId="21" fillId="0" borderId="0" xfId="0" applyFont="1" applyAlignment="1" applyProtection="1">
      <alignment horizontal="left"/>
      <protection locked="0"/>
    </xf>
    <xf numFmtId="0" fontId="26" fillId="0" borderId="0" xfId="0" applyFont="1" applyAlignment="1" applyProtection="1">
      <alignment horizontal="center"/>
      <protection locked="0"/>
    </xf>
    <xf numFmtId="0" fontId="21" fillId="0" borderId="1" xfId="0" applyFont="1" applyBorder="1" applyAlignment="1" applyProtection="1">
      <alignment horizontal="center"/>
      <protection locked="0"/>
    </xf>
    <xf numFmtId="0" fontId="25" fillId="0" borderId="1" xfId="0" applyFont="1" applyBorder="1" applyProtection="1">
      <protection locked="0"/>
    </xf>
    <xf numFmtId="0" fontId="21" fillId="0" borderId="15" xfId="0" applyFont="1" applyBorder="1" applyAlignment="1" applyProtection="1">
      <alignment horizontal="left"/>
      <protection locked="0"/>
    </xf>
    <xf numFmtId="0" fontId="27"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4" fillId="0" borderId="15" xfId="0" applyNumberFormat="1" applyFont="1" applyBorder="1" applyAlignment="1" applyProtection="1">
      <alignment horizontal="right"/>
      <protection locked="0"/>
    </xf>
    <xf numFmtId="165" fontId="0" fillId="0" borderId="15" xfId="0" applyNumberFormat="1" applyBorder="1" applyProtection="1">
      <protection locked="0"/>
    </xf>
    <xf numFmtId="0" fontId="0" fillId="16" borderId="0" xfId="0" applyFill="1"/>
    <xf numFmtId="0" fontId="25" fillId="0" borderId="0" xfId="3" applyFont="1"/>
    <xf numFmtId="1" fontId="4" fillId="0" borderId="0" xfId="3" applyNumberFormat="1"/>
    <xf numFmtId="1" fontId="0" fillId="0" borderId="0" xfId="0" applyNumberFormat="1"/>
    <xf numFmtId="0" fontId="44" fillId="0" borderId="0" xfId="3" applyFont="1" applyProtection="1">
      <protection locked="0"/>
    </xf>
    <xf numFmtId="0" fontId="15" fillId="0" borderId="1" xfId="3" applyFont="1" applyBorder="1" applyAlignment="1">
      <alignment horizontal="center"/>
    </xf>
    <xf numFmtId="0" fontId="15" fillId="0" borderId="1" xfId="3" applyFont="1" applyBorder="1" applyAlignment="1" applyProtection="1">
      <alignment horizontal="right"/>
      <protection locked="0"/>
    </xf>
    <xf numFmtId="1" fontId="12" fillId="0" borderId="0" xfId="3" applyNumberFormat="1" applyFont="1"/>
    <xf numFmtId="0" fontId="15" fillId="0" borderId="0" xfId="3" applyFont="1"/>
    <xf numFmtId="1" fontId="15" fillId="0" borderId="0" xfId="3" applyNumberFormat="1" applyFont="1"/>
    <xf numFmtId="2" fontId="12" fillId="0" borderId="12" xfId="3" applyNumberFormat="1" applyFont="1" applyBorder="1"/>
    <xf numFmtId="0" fontId="12" fillId="0" borderId="12" xfId="3" applyFont="1" applyBorder="1" applyProtection="1">
      <protection locked="0"/>
    </xf>
    <xf numFmtId="2" fontId="12" fillId="13" borderId="12" xfId="6" applyNumberFormat="1" applyFont="1" applyFill="1" applyBorder="1"/>
    <xf numFmtId="1" fontId="12" fillId="0" borderId="12" xfId="6" applyFont="1" applyBorder="1" applyProtection="1">
      <protection locked="0"/>
    </xf>
    <xf numFmtId="1" fontId="4" fillId="0" borderId="1" xfId="3" applyNumberFormat="1" applyBorder="1"/>
    <xf numFmtId="0" fontId="0" fillId="14" borderId="0" xfId="0" applyFill="1" applyAlignment="1" applyProtection="1">
      <alignment horizontal="center"/>
      <protection locked="0"/>
    </xf>
    <xf numFmtId="0" fontId="71" fillId="7" borderId="0" xfId="0" applyFont="1" applyFill="1" applyAlignment="1" applyProtection="1">
      <alignment horizontal="center"/>
      <protection locked="0"/>
    </xf>
    <xf numFmtId="0" fontId="73" fillId="14" borderId="0" xfId="0" applyFont="1" applyFill="1" applyAlignment="1" applyProtection="1">
      <alignment horizontal="center"/>
      <protection locked="0"/>
    </xf>
    <xf numFmtId="0" fontId="73" fillId="2" borderId="0" xfId="0" applyFont="1" applyFill="1" applyAlignment="1">
      <alignment horizontal="center"/>
    </xf>
    <xf numFmtId="0" fontId="73" fillId="12" borderId="0" xfId="0" applyFont="1" applyFill="1" applyAlignment="1" applyProtection="1">
      <alignment horizontal="center"/>
      <protection locked="0"/>
    </xf>
    <xf numFmtId="0" fontId="74" fillId="0" borderId="0" xfId="0" applyFont="1" applyAlignment="1">
      <alignment horizontal="center"/>
    </xf>
    <xf numFmtId="0" fontId="73" fillId="0" borderId="0" xfId="0" applyFont="1" applyAlignment="1" applyProtection="1">
      <alignment horizontal="center"/>
      <protection locked="0"/>
    </xf>
    <xf numFmtId="0" fontId="29" fillId="0" borderId="13" xfId="2" applyNumberFormat="1" applyFont="1" applyBorder="1" applyAlignment="1" applyProtection="1">
      <alignment horizontal="centerContinuous"/>
      <protection locked="0"/>
    </xf>
    <xf numFmtId="0" fontId="7" fillId="0" borderId="0" xfId="7" applyProtection="1">
      <protection locked="0"/>
    </xf>
    <xf numFmtId="0" fontId="72" fillId="0" borderId="0" xfId="0" applyFont="1" applyProtection="1">
      <protection locked="0"/>
    </xf>
    <xf numFmtId="0" fontId="32" fillId="0" borderId="0" xfId="0" applyFont="1" applyProtection="1">
      <protection locked="0"/>
    </xf>
    <xf numFmtId="0" fontId="8" fillId="0" borderId="0" xfId="0" applyFont="1" applyAlignment="1" applyProtection="1">
      <alignment horizontal="centerContinuous"/>
      <protection locked="0"/>
    </xf>
    <xf numFmtId="0" fontId="0" fillId="0" borderId="0" xfId="0" applyAlignment="1" applyProtection="1">
      <alignment horizontal="left"/>
      <protection locked="0"/>
    </xf>
    <xf numFmtId="0" fontId="34" fillId="0" borderId="0" xfId="3" applyFont="1" applyAlignment="1" applyProtection="1">
      <alignment horizontal="centerContinuous"/>
      <protection locked="0"/>
    </xf>
    <xf numFmtId="0" fontId="33" fillId="0" borderId="0" xfId="0" applyFont="1" applyAlignment="1" applyProtection="1">
      <alignment horizontal="center"/>
      <protection locked="0"/>
    </xf>
    <xf numFmtId="0" fontId="0" fillId="0" borderId="0" xfId="0" applyAlignment="1" applyProtection="1">
      <alignment horizontal="right"/>
      <protection locked="0"/>
    </xf>
    <xf numFmtId="0" fontId="81" fillId="0" borderId="0" xfId="7" applyFont="1" applyAlignment="1" applyProtection="1">
      <alignment horizontal="left"/>
      <protection locked="0"/>
    </xf>
    <xf numFmtId="0" fontId="36"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7" fillId="0" borderId="0" xfId="7" applyAlignment="1" applyProtection="1">
      <alignment horizontal="left"/>
      <protection locked="0"/>
    </xf>
    <xf numFmtId="0" fontId="0" fillId="0" borderId="16" xfId="0" applyBorder="1" applyProtection="1">
      <protection locked="0"/>
    </xf>
    <xf numFmtId="0" fontId="25" fillId="0" borderId="0" xfId="7" applyFont="1" applyProtection="1">
      <protection locked="0"/>
    </xf>
    <xf numFmtId="0" fontId="38" fillId="0" borderId="0" xfId="7" applyFont="1" applyAlignment="1" applyProtection="1">
      <alignment horizontal="left"/>
      <protection locked="0"/>
    </xf>
    <xf numFmtId="0" fontId="62" fillId="0" borderId="0" xfId="7" applyFont="1" applyAlignment="1" applyProtection="1">
      <alignment horizontal="right"/>
      <protection locked="0"/>
    </xf>
    <xf numFmtId="2" fontId="55" fillId="0" borderId="0" xfId="1" applyNumberFormat="1" applyFont="1" applyAlignment="1" applyProtection="1">
      <alignment horizontal="right"/>
      <protection locked="0"/>
    </xf>
    <xf numFmtId="0" fontId="39" fillId="0" borderId="0" xfId="8" applyFont="1" applyProtection="1">
      <protection locked="0"/>
    </xf>
    <xf numFmtId="0" fontId="18" fillId="0" borderId="1" xfId="7" applyFont="1" applyBorder="1" applyProtection="1">
      <protection locked="0"/>
    </xf>
    <xf numFmtId="0" fontId="7" fillId="0" borderId="1" xfId="7" applyBorder="1" applyAlignment="1" applyProtection="1">
      <alignment horizontal="left"/>
      <protection locked="0"/>
    </xf>
    <xf numFmtId="0" fontId="7" fillId="0" borderId="1" xfId="7" applyBorder="1" applyProtection="1">
      <protection locked="0"/>
    </xf>
    <xf numFmtId="0" fontId="8" fillId="0" borderId="0" xfId="7" applyFont="1" applyProtection="1">
      <protection locked="0"/>
    </xf>
    <xf numFmtId="0" fontId="7" fillId="0" borderId="13" xfId="7" applyBorder="1" applyProtection="1">
      <protection locked="0"/>
    </xf>
    <xf numFmtId="0" fontId="18" fillId="0" borderId="0" xfId="7" applyFont="1" applyProtection="1">
      <protection locked="0"/>
    </xf>
    <xf numFmtId="0" fontId="1" fillId="0" borderId="0" xfId="7" applyFont="1" applyProtection="1">
      <protection locked="0"/>
    </xf>
    <xf numFmtId="0" fontId="0" fillId="0" borderId="17" xfId="0" applyBorder="1" applyAlignment="1" applyProtection="1">
      <alignment horizontal="left"/>
      <protection locked="0"/>
    </xf>
    <xf numFmtId="0" fontId="2" fillId="0" borderId="18" xfId="0" applyFont="1" applyBorder="1" applyProtection="1">
      <protection locked="0"/>
    </xf>
    <xf numFmtId="0" fontId="21" fillId="0" borderId="0" xfId="8" applyFont="1" applyAlignment="1" applyProtection="1">
      <alignment horizontal="right"/>
      <protection locked="0"/>
    </xf>
    <xf numFmtId="0" fontId="21" fillId="0" borderId="0" xfId="0" applyFont="1" applyAlignment="1" applyProtection="1">
      <alignment horizontal="right"/>
      <protection locked="0"/>
    </xf>
    <xf numFmtId="0" fontId="3" fillId="0" borderId="0" xfId="0" applyFont="1" applyAlignment="1" applyProtection="1">
      <alignment horizontal="right"/>
      <protection locked="0"/>
    </xf>
    <xf numFmtId="0" fontId="12" fillId="12" borderId="0" xfId="0" applyFont="1" applyFill="1" applyProtection="1">
      <protection locked="0"/>
    </xf>
    <xf numFmtId="0" fontId="0" fillId="12" borderId="0" xfId="0" applyFill="1" applyProtection="1">
      <protection locked="0"/>
    </xf>
    <xf numFmtId="0" fontId="2"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37" fillId="0" borderId="0" xfId="0" applyFont="1" applyAlignment="1" applyProtection="1">
      <alignment horizontal="centerContinuous"/>
      <protection locked="0"/>
    </xf>
    <xf numFmtId="0" fontId="0" fillId="0" borderId="3" xfId="0" applyBorder="1" applyProtection="1">
      <protection locked="0"/>
    </xf>
    <xf numFmtId="0" fontId="25" fillId="0" borderId="0" xfId="0" applyFont="1" applyAlignment="1" applyProtection="1">
      <alignment horizontal="centerContinuous"/>
      <protection locked="0"/>
    </xf>
    <xf numFmtId="0" fontId="63" fillId="0" borderId="0" xfId="0" applyFont="1" applyProtection="1">
      <protection locked="0"/>
    </xf>
    <xf numFmtId="0" fontId="64" fillId="0" borderId="0" xfId="0" applyFont="1" applyProtection="1">
      <protection locked="0"/>
    </xf>
    <xf numFmtId="0" fontId="41" fillId="0" borderId="17" xfId="8" applyFont="1" applyBorder="1" applyAlignment="1" applyProtection="1">
      <alignment horizontal="left"/>
      <protection locked="0"/>
    </xf>
    <xf numFmtId="0" fontId="41" fillId="0" borderId="0" xfId="8" applyFont="1" applyProtection="1">
      <protection locked="0"/>
    </xf>
    <xf numFmtId="0" fontId="82" fillId="0" borderId="0" xfId="0" applyFont="1" applyAlignment="1" applyProtection="1">
      <alignment horizontal="right"/>
      <protection locked="0"/>
    </xf>
    <xf numFmtId="0" fontId="66" fillId="0" borderId="22" xfId="8" applyFont="1" applyBorder="1" applyAlignment="1" applyProtection="1">
      <alignment horizontal="left"/>
      <protection locked="0"/>
    </xf>
    <xf numFmtId="0" fontId="65" fillId="0" borderId="22" xfId="8" applyFont="1" applyBorder="1" applyAlignment="1" applyProtection="1">
      <alignment horizontal="centerContinuous"/>
      <protection locked="0"/>
    </xf>
    <xf numFmtId="0" fontId="65" fillId="0" borderId="22" xfId="8" applyFont="1" applyBorder="1" applyProtection="1">
      <protection locked="0"/>
    </xf>
    <xf numFmtId="0" fontId="67" fillId="0" borderId="22" xfId="0" applyFont="1" applyBorder="1" applyProtection="1">
      <protection locked="0"/>
    </xf>
    <xf numFmtId="0" fontId="67" fillId="0" borderId="0" xfId="0" applyFont="1" applyProtection="1">
      <protection locked="0"/>
    </xf>
    <xf numFmtId="0" fontId="68" fillId="0" borderId="0" xfId="0" applyFont="1" applyAlignment="1" applyProtection="1">
      <alignment horizontal="right"/>
      <protection locked="0"/>
    </xf>
    <xf numFmtId="168" fontId="68" fillId="0" borderId="0" xfId="0" applyNumberFormat="1" applyFont="1" applyAlignment="1" applyProtection="1">
      <alignment horizontal="right"/>
      <protection locked="0"/>
    </xf>
    <xf numFmtId="0" fontId="66" fillId="0" borderId="0" xfId="8" applyFont="1" applyAlignment="1" applyProtection="1">
      <alignment horizontal="left"/>
      <protection locked="0"/>
    </xf>
    <xf numFmtId="0" fontId="65" fillId="0" borderId="0" xfId="8" applyFont="1" applyAlignment="1" applyProtection="1">
      <alignment horizontal="centerContinuous"/>
      <protection locked="0"/>
    </xf>
    <xf numFmtId="0" fontId="65" fillId="0" borderId="0" xfId="8" applyFont="1" applyProtection="1">
      <protection locked="0"/>
    </xf>
    <xf numFmtId="0" fontId="25" fillId="0" borderId="23" xfId="0" applyFont="1" applyBorder="1" applyAlignment="1" applyProtection="1">
      <alignment horizontal="center"/>
      <protection locked="0"/>
    </xf>
    <xf numFmtId="0" fontId="25" fillId="0" borderId="22" xfId="0" applyFont="1" applyBorder="1" applyAlignment="1" applyProtection="1">
      <alignment horizontal="center"/>
      <protection locked="0"/>
    </xf>
    <xf numFmtId="0" fontId="32"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1"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6" fontId="0" fillId="0" borderId="19" xfId="0" applyNumberFormat="1" applyBorder="1" applyAlignment="1" applyProtection="1">
      <alignment horizontal="center"/>
      <protection locked="0"/>
    </xf>
    <xf numFmtId="0" fontId="0" fillId="0" borderId="20" xfId="0" applyBorder="1" applyProtection="1">
      <protection locked="0"/>
    </xf>
    <xf numFmtId="0" fontId="41" fillId="0" borderId="13" xfId="8" applyFont="1" applyBorder="1" applyAlignment="1" applyProtection="1">
      <alignment horizontal="centerContinuous"/>
      <protection locked="0"/>
    </xf>
    <xf numFmtId="0" fontId="41" fillId="0" borderId="13" xfId="8" applyFont="1" applyBorder="1" applyProtection="1">
      <protection locked="0"/>
    </xf>
    <xf numFmtId="0" fontId="41" fillId="0" borderId="0" xfId="8" applyFont="1" applyAlignment="1" applyProtection="1">
      <alignment horizontal="centerContinuous"/>
      <protection locked="0"/>
    </xf>
    <xf numFmtId="9" fontId="43" fillId="2" borderId="3" xfId="8" applyNumberFormat="1" applyFont="1" applyFill="1" applyBorder="1" applyAlignment="1" applyProtection="1">
      <alignment horizontal="centerContinuous"/>
      <protection locked="0"/>
    </xf>
    <xf numFmtId="9" fontId="43" fillId="0" borderId="0" xfId="8" applyNumberFormat="1" applyFont="1" applyAlignment="1" applyProtection="1">
      <alignment horizontal="centerContinuous"/>
      <protection locked="0"/>
    </xf>
    <xf numFmtId="0" fontId="43" fillId="2" borderId="3" xfId="8" applyFont="1" applyFill="1" applyBorder="1" applyAlignment="1" applyProtection="1">
      <alignment horizontal="centerContinuous"/>
      <protection locked="0"/>
    </xf>
    <xf numFmtId="15" fontId="43" fillId="2" borderId="3" xfId="8" applyNumberFormat="1" applyFont="1" applyFill="1" applyBorder="1" applyAlignment="1" applyProtection="1">
      <alignment horizontal="centerContinuous"/>
      <protection locked="0"/>
    </xf>
    <xf numFmtId="0" fontId="44" fillId="0" borderId="0" xfId="8" applyFont="1" applyProtection="1">
      <protection locked="0"/>
    </xf>
    <xf numFmtId="0" fontId="45" fillId="0" borderId="0" xfId="8" applyFont="1" applyProtection="1">
      <protection locked="0"/>
    </xf>
    <xf numFmtId="0" fontId="41" fillId="0" borderId="0" xfId="8" applyFont="1" applyAlignment="1" applyProtection="1">
      <alignment horizontal="left"/>
      <protection locked="0"/>
    </xf>
    <xf numFmtId="15" fontId="41" fillId="0" borderId="0" xfId="8" applyNumberFormat="1" applyFont="1" applyAlignment="1" applyProtection="1">
      <alignment horizontal="centerContinuous"/>
      <protection locked="0"/>
    </xf>
    <xf numFmtId="0" fontId="46" fillId="0" borderId="0" xfId="8" applyFont="1" applyAlignment="1" applyProtection="1">
      <alignment horizontal="left"/>
      <protection locked="0"/>
    </xf>
    <xf numFmtId="15" fontId="47" fillId="0" borderId="0" xfId="0" applyNumberFormat="1" applyFont="1" applyAlignment="1" applyProtection="1">
      <alignment horizontal="left"/>
      <protection locked="0"/>
    </xf>
    <xf numFmtId="0" fontId="44" fillId="0" borderId="13" xfId="8" applyFont="1" applyBorder="1" applyProtection="1">
      <protection locked="0"/>
    </xf>
    <xf numFmtId="0" fontId="45" fillId="0" borderId="13" xfId="8" applyFont="1" applyBorder="1" applyProtection="1">
      <protection locked="0"/>
    </xf>
    <xf numFmtId="0" fontId="39" fillId="0" borderId="13" xfId="8" applyFont="1" applyBorder="1" applyProtection="1">
      <protection locked="0"/>
    </xf>
    <xf numFmtId="0" fontId="39" fillId="0" borderId="21" xfId="8" applyFont="1" applyBorder="1" applyProtection="1">
      <protection locked="0"/>
    </xf>
    <xf numFmtId="0" fontId="0" fillId="0" borderId="0" xfId="0" applyAlignment="1" applyProtection="1">
      <alignment vertical="center"/>
      <protection locked="0"/>
    </xf>
    <xf numFmtId="0" fontId="48" fillId="0" borderId="23" xfId="8" applyFont="1" applyBorder="1" applyAlignment="1" applyProtection="1">
      <alignment horizontal="left"/>
      <protection locked="0"/>
    </xf>
    <xf numFmtId="0" fontId="48"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41" fillId="0" borderId="22" xfId="8" applyNumberFormat="1" applyFont="1" applyBorder="1" applyAlignment="1" applyProtection="1">
      <alignment horizontal="centerContinuous"/>
      <protection locked="0"/>
    </xf>
    <xf numFmtId="0" fontId="41" fillId="0" borderId="22" xfId="8" applyFont="1" applyBorder="1" applyAlignment="1" applyProtection="1">
      <alignment horizontal="centerContinuous"/>
      <protection locked="0"/>
    </xf>
    <xf numFmtId="0" fontId="39" fillId="0" borderId="22" xfId="8" applyFont="1" applyBorder="1" applyAlignment="1" applyProtection="1">
      <alignment horizontal="centerContinuous"/>
      <protection locked="0"/>
    </xf>
    <xf numFmtId="0" fontId="45" fillId="0" borderId="22" xfId="8" applyFont="1" applyBorder="1" applyAlignment="1" applyProtection="1">
      <alignment horizontal="centerContinuous"/>
      <protection locked="0"/>
    </xf>
    <xf numFmtId="0" fontId="45" fillId="0" borderId="24" xfId="8" applyFont="1" applyBorder="1" applyAlignment="1" applyProtection="1">
      <alignment horizontal="centerContinuous"/>
      <protection locked="0"/>
    </xf>
    <xf numFmtId="0" fontId="21" fillId="0" borderId="20" xfId="8" applyFont="1" applyBorder="1" applyAlignment="1" applyProtection="1">
      <alignment horizontal="left"/>
      <protection locked="0"/>
    </xf>
    <xf numFmtId="0" fontId="21"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41" fillId="0" borderId="13" xfId="8" applyNumberFormat="1" applyFont="1" applyBorder="1" applyAlignment="1" applyProtection="1">
      <alignment horizontal="centerContinuous"/>
      <protection locked="0"/>
    </xf>
    <xf numFmtId="0" fontId="39" fillId="0" borderId="13" xfId="8" applyFont="1" applyBorder="1" applyAlignment="1" applyProtection="1">
      <alignment horizontal="centerContinuous"/>
      <protection locked="0"/>
    </xf>
    <xf numFmtId="0" fontId="39" fillId="0" borderId="21" xfId="8" applyFont="1" applyBorder="1" applyAlignment="1" applyProtection="1">
      <alignment horizontal="centerContinuous"/>
      <protection locked="0"/>
    </xf>
    <xf numFmtId="0" fontId="21" fillId="0" borderId="17" xfId="8" applyFont="1" applyBorder="1" applyAlignment="1" applyProtection="1">
      <alignment horizontal="left"/>
      <protection locked="0"/>
    </xf>
    <xf numFmtId="0" fontId="21" fillId="0" borderId="0" xfId="8" applyFont="1" applyAlignment="1" applyProtection="1">
      <alignment horizontal="centerContinuous"/>
      <protection locked="0"/>
    </xf>
    <xf numFmtId="0" fontId="48" fillId="0" borderId="0" xfId="8" applyFont="1" applyAlignment="1" applyProtection="1">
      <alignment horizontal="centerContinuous"/>
      <protection locked="0"/>
    </xf>
    <xf numFmtId="0" fontId="39" fillId="0" borderId="0" xfId="8" applyFont="1" applyAlignment="1" applyProtection="1">
      <alignment horizontal="centerContinuous"/>
      <protection locked="0"/>
    </xf>
    <xf numFmtId="0" fontId="39" fillId="0" borderId="19" xfId="8" applyFont="1" applyBorder="1" applyAlignment="1" applyProtection="1">
      <alignment horizontal="centerContinuous"/>
      <protection locked="0"/>
    </xf>
    <xf numFmtId="0" fontId="49" fillId="0" borderId="0" xfId="8" applyFont="1" applyAlignment="1" applyProtection="1">
      <alignment horizontal="right"/>
      <protection locked="0"/>
    </xf>
    <xf numFmtId="0" fontId="49" fillId="0" borderId="17" xfId="8" applyFont="1" applyBorder="1" applyAlignment="1" applyProtection="1">
      <alignment horizontal="left"/>
      <protection locked="0"/>
    </xf>
    <xf numFmtId="0" fontId="49" fillId="0" borderId="0" xfId="8" applyFont="1" applyAlignment="1" applyProtection="1">
      <alignment horizontal="left"/>
      <protection locked="0"/>
    </xf>
    <xf numFmtId="0" fontId="48" fillId="0" borderId="0" xfId="8" applyFont="1" applyAlignment="1" applyProtection="1">
      <alignment horizontal="left"/>
      <protection locked="0"/>
    </xf>
    <xf numFmtId="0" fontId="44" fillId="0" borderId="0" xfId="8" applyFont="1" applyAlignment="1" applyProtection="1">
      <alignment horizontal="left"/>
      <protection locked="0"/>
    </xf>
    <xf numFmtId="0" fontId="2"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2" fillId="0" borderId="17" xfId="0" applyFont="1" applyBorder="1" applyAlignment="1" applyProtection="1">
      <alignment horizontal="left"/>
      <protection locked="0"/>
    </xf>
    <xf numFmtId="0" fontId="42" fillId="0" borderId="0" xfId="0" applyFont="1" applyProtection="1">
      <protection locked="0"/>
    </xf>
    <xf numFmtId="0" fontId="4" fillId="0" borderId="19" xfId="0" applyFont="1" applyBorder="1" applyAlignment="1" applyProtection="1">
      <alignment horizontal="center"/>
      <protection locked="0"/>
    </xf>
    <xf numFmtId="0" fontId="0" fillId="0" borderId="11" xfId="0" applyBorder="1" applyProtection="1">
      <protection locked="0"/>
    </xf>
    <xf numFmtId="2" fontId="51" fillId="0" borderId="25" xfId="0" applyNumberFormat="1" applyFont="1" applyBorder="1" applyAlignment="1" applyProtection="1">
      <alignment horizontal="center"/>
      <protection locked="0"/>
    </xf>
    <xf numFmtId="0" fontId="12" fillId="0" borderId="13" xfId="0" applyFont="1" applyBorder="1" applyProtection="1">
      <protection locked="0"/>
    </xf>
    <xf numFmtId="0" fontId="1" fillId="0" borderId="13" xfId="0" applyFont="1" applyBorder="1" applyAlignment="1" applyProtection="1">
      <alignment horizontal="center"/>
      <protection locked="0"/>
    </xf>
    <xf numFmtId="0" fontId="4" fillId="0" borderId="13" xfId="3" applyBorder="1" applyProtection="1">
      <protection locked="0"/>
    </xf>
    <xf numFmtId="2" fontId="51" fillId="0" borderId="11" xfId="0" applyNumberFormat="1" applyFont="1" applyBorder="1" applyAlignment="1" applyProtection="1">
      <alignment horizontal="center"/>
      <protection locked="0"/>
    </xf>
    <xf numFmtId="0" fontId="0" fillId="0" borderId="26" xfId="0" applyBorder="1" applyProtection="1">
      <protection locked="0"/>
    </xf>
    <xf numFmtId="0" fontId="2" fillId="0" borderId="1" xfId="0" applyFont="1" applyBorder="1" applyProtection="1">
      <protection locked="0"/>
    </xf>
    <xf numFmtId="0" fontId="2" fillId="0" borderId="15" xfId="0" applyFont="1" applyBorder="1" applyProtection="1">
      <protection locked="0"/>
    </xf>
    <xf numFmtId="0" fontId="4" fillId="0" borderId="1" xfId="3" applyBorder="1" applyProtection="1">
      <protection locked="0"/>
    </xf>
    <xf numFmtId="0" fontId="4" fillId="0" borderId="27" xfId="3" applyBorder="1" applyProtection="1">
      <protection locked="0"/>
    </xf>
    <xf numFmtId="15" fontId="24" fillId="0" borderId="0" xfId="0" applyNumberFormat="1" applyFont="1" applyAlignment="1" applyProtection="1">
      <alignment horizontal="left"/>
      <protection locked="0"/>
    </xf>
    <xf numFmtId="0" fontId="7" fillId="2" borderId="14" xfId="7" applyFill="1" applyBorder="1" applyAlignment="1">
      <alignment horizontal="center"/>
    </xf>
    <xf numFmtId="0" fontId="12" fillId="2" borderId="14" xfId="7" applyFont="1" applyFill="1" applyBorder="1"/>
    <xf numFmtId="0" fontId="7" fillId="0" borderId="0" xfId="7" applyAlignment="1">
      <alignment horizontal="left"/>
    </xf>
    <xf numFmtId="0" fontId="7" fillId="0" borderId="0" xfId="7"/>
    <xf numFmtId="0" fontId="12" fillId="16" borderId="0" xfId="0" applyFont="1" applyFill="1" applyAlignment="1">
      <alignment horizontal="left"/>
    </xf>
    <xf numFmtId="0" fontId="12" fillId="16" borderId="0" xfId="0" applyFont="1" applyFill="1"/>
    <xf numFmtId="0" fontId="4" fillId="16" borderId="0" xfId="0" applyFont="1" applyFill="1"/>
    <xf numFmtId="166" fontId="12" fillId="0" borderId="0" xfId="0" applyNumberFormat="1" applyFont="1"/>
    <xf numFmtId="0" fontId="12" fillId="16" borderId="0" xfId="8" applyFont="1" applyFill="1" applyAlignment="1">
      <alignment horizontal="left"/>
    </xf>
    <xf numFmtId="0" fontId="8" fillId="16" borderId="0" xfId="0" applyFont="1" applyFill="1"/>
    <xf numFmtId="0" fontId="41" fillId="16" borderId="0" xfId="8" applyFont="1" applyFill="1"/>
    <xf numFmtId="1" fontId="50" fillId="2" borderId="3" xfId="6" applyFont="1" applyFill="1" applyBorder="1" applyAlignment="1">
      <alignment horizontal="center"/>
    </xf>
    <xf numFmtId="165" fontId="12" fillId="2" borderId="3" xfId="6" applyNumberFormat="1" applyFont="1" applyFill="1" applyBorder="1" applyAlignment="1">
      <alignment horizontal="center"/>
    </xf>
    <xf numFmtId="0" fontId="0" fillId="0" borderId="13" xfId="0" applyBorder="1"/>
    <xf numFmtId="0" fontId="29" fillId="0" borderId="0" xfId="3" applyFont="1" applyAlignment="1" applyProtection="1">
      <alignment horizontal="left"/>
      <protection locked="0"/>
    </xf>
    <xf numFmtId="0" fontId="10" fillId="16" borderId="18" xfId="0" applyFont="1" applyFill="1" applyBorder="1" applyAlignment="1">
      <alignment horizontal="center"/>
    </xf>
    <xf numFmtId="0" fontId="83"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18" fillId="0" borderId="0" xfId="1" applyFont="1" applyFill="1" applyBorder="1" applyProtection="1">
      <protection locked="0"/>
    </xf>
    <xf numFmtId="43" fontId="0" fillId="0" borderId="0" xfId="1" applyFont="1" applyProtection="1">
      <protection locked="0"/>
    </xf>
    <xf numFmtId="43" fontId="4" fillId="0" borderId="0" xfId="1" applyProtection="1">
      <protection locked="0"/>
    </xf>
    <xf numFmtId="43" fontId="12" fillId="18" borderId="9" xfId="1" applyFont="1" applyFill="1" applyBorder="1" applyProtection="1">
      <protection locked="0"/>
    </xf>
    <xf numFmtId="43" fontId="12" fillId="4" borderId="19" xfId="1" applyFont="1" applyFill="1" applyBorder="1" applyAlignment="1" applyProtection="1">
      <alignment horizontal="center"/>
      <protection locked="0"/>
    </xf>
    <xf numFmtId="39" fontId="18" fillId="0" borderId="3" xfId="1" applyNumberFormat="1" applyFont="1" applyFill="1" applyBorder="1" applyAlignment="1" applyProtection="1">
      <alignment horizontal="right"/>
      <protection locked="0"/>
    </xf>
    <xf numFmtId="2" fontId="51" fillId="0" borderId="19" xfId="0" applyNumberFormat="1" applyFont="1" applyBorder="1" applyAlignment="1" applyProtection="1">
      <alignment horizontal="center"/>
      <protection locked="0"/>
    </xf>
    <xf numFmtId="0" fontId="12" fillId="0" borderId="0" xfId="7" applyFont="1" applyAlignment="1" applyProtection="1">
      <alignment horizontal="right"/>
      <protection locked="0"/>
    </xf>
    <xf numFmtId="0" fontId="35" fillId="16" borderId="6" xfId="2" applyNumberFormat="1" applyFont="1" applyFill="1" applyBorder="1" applyAlignment="1" applyProtection="1">
      <alignment horizontal="center" vertical="center"/>
    </xf>
    <xf numFmtId="172" fontId="7" fillId="0" borderId="0" xfId="7" applyNumberFormat="1" applyProtection="1">
      <protection locked="0"/>
    </xf>
    <xf numFmtId="0" fontId="15" fillId="0" borderId="10" xfId="7" applyFont="1" applyBorder="1" applyAlignment="1" applyProtection="1">
      <alignment horizontal="center"/>
      <protection locked="0"/>
    </xf>
    <xf numFmtId="0" fontId="12" fillId="0" borderId="11" xfId="7" applyFont="1" applyBorder="1" applyAlignment="1" applyProtection="1">
      <alignment horizontal="center"/>
      <protection locked="0"/>
    </xf>
    <xf numFmtId="0" fontId="8" fillId="0" borderId="0" xfId="0" applyFont="1" applyAlignment="1" applyProtection="1">
      <alignment horizontal="center"/>
      <protection locked="0"/>
    </xf>
    <xf numFmtId="0" fontId="12"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78" fillId="0" borderId="17" xfId="0" applyNumberFormat="1" applyFont="1" applyBorder="1" applyAlignment="1" applyProtection="1">
      <alignment horizontal="center"/>
      <protection locked="0"/>
    </xf>
    <xf numFmtId="0" fontId="89" fillId="16" borderId="14" xfId="0" applyFont="1" applyFill="1" applyBorder="1"/>
    <xf numFmtId="0" fontId="89" fillId="16" borderId="16" xfId="0" applyFont="1" applyFill="1" applyBorder="1"/>
    <xf numFmtId="0" fontId="90" fillId="16" borderId="14" xfId="0" applyFont="1" applyFill="1" applyBorder="1"/>
    <xf numFmtId="0" fontId="0" fillId="0" borderId="0" xfId="0" applyAlignment="1">
      <alignment horizontal="center"/>
    </xf>
    <xf numFmtId="0" fontId="93" fillId="0" borderId="10" xfId="0" applyFont="1" applyBorder="1" applyAlignment="1">
      <alignment horizontal="center"/>
    </xf>
    <xf numFmtId="0" fontId="93" fillId="0" borderId="11" xfId="0" applyFont="1" applyBorder="1" applyAlignment="1">
      <alignment horizontal="center"/>
    </xf>
    <xf numFmtId="10" fontId="91" fillId="12" borderId="17" xfId="0" applyNumberFormat="1" applyFont="1" applyFill="1" applyBorder="1" applyAlignment="1" applyProtection="1">
      <alignment horizontal="center"/>
      <protection locked="0"/>
    </xf>
    <xf numFmtId="2" fontId="86" fillId="12" borderId="10" xfId="0" applyNumberFormat="1" applyFont="1" applyFill="1" applyBorder="1" applyAlignment="1" applyProtection="1">
      <alignment horizontal="center"/>
      <protection locked="0"/>
    </xf>
    <xf numFmtId="0" fontId="90" fillId="16" borderId="22" xfId="0" applyFont="1" applyFill="1" applyBorder="1"/>
    <xf numFmtId="0" fontId="89" fillId="16" borderId="22" xfId="0" applyFont="1" applyFill="1" applyBorder="1"/>
    <xf numFmtId="0" fontId="89" fillId="16" borderId="24" xfId="0" applyFont="1" applyFill="1" applyBorder="1"/>
    <xf numFmtId="0" fontId="90" fillId="14" borderId="14" xfId="0" applyFont="1" applyFill="1" applyBorder="1"/>
    <xf numFmtId="0" fontId="87" fillId="14" borderId="14" xfId="0" applyFont="1" applyFill="1" applyBorder="1"/>
    <xf numFmtId="0" fontId="92" fillId="16" borderId="10" xfId="7" applyFont="1" applyFill="1" applyBorder="1" applyAlignment="1" applyProtection="1">
      <alignment horizontal="center"/>
      <protection locked="0"/>
    </xf>
    <xf numFmtId="0" fontId="94" fillId="16" borderId="25" xfId="7" applyFont="1" applyFill="1" applyBorder="1" applyAlignment="1" applyProtection="1">
      <alignment horizontal="center"/>
      <protection locked="0"/>
    </xf>
    <xf numFmtId="0" fontId="37" fillId="0" borderId="0" xfId="7" applyFont="1" applyAlignment="1" applyProtection="1">
      <alignment vertical="top"/>
      <protection locked="0"/>
    </xf>
    <xf numFmtId="10" fontId="91" fillId="12" borderId="25" xfId="0" applyNumberFormat="1" applyFont="1" applyFill="1" applyBorder="1" applyAlignment="1" applyProtection="1">
      <alignment horizontal="center"/>
      <protection locked="0"/>
    </xf>
    <xf numFmtId="171" fontId="0" fillId="0" borderId="0" xfId="0" applyNumberFormat="1"/>
    <xf numFmtId="0" fontId="5" fillId="0" borderId="0" xfId="7" applyFont="1" applyProtection="1">
      <protection locked="0"/>
    </xf>
    <xf numFmtId="0" fontId="52" fillId="0" borderId="0" xfId="0" applyFont="1" applyProtection="1">
      <protection locked="0"/>
    </xf>
    <xf numFmtId="0" fontId="52" fillId="2" borderId="29" xfId="0" applyFont="1" applyFill="1" applyBorder="1" applyProtection="1">
      <protection locked="0"/>
    </xf>
    <xf numFmtId="0" fontId="22" fillId="12" borderId="0" xfId="3" applyFont="1" applyFill="1" applyProtection="1">
      <protection locked="0"/>
    </xf>
    <xf numFmtId="0" fontId="75" fillId="0" borderId="0" xfId="0" applyFont="1"/>
    <xf numFmtId="0" fontId="75" fillId="0" borderId="0" xfId="0" applyFont="1" applyProtection="1">
      <protection locked="0"/>
    </xf>
    <xf numFmtId="0" fontId="4" fillId="0" borderId="0" xfId="7" applyFont="1" applyAlignment="1">
      <alignment horizontal="centerContinuous" vertical="center"/>
    </xf>
    <xf numFmtId="0" fontId="78" fillId="0" borderId="0" xfId="2" applyNumberFormat="1" applyFont="1" applyFill="1" applyBorder="1" applyAlignment="1" applyProtection="1">
      <alignment horizontal="center"/>
    </xf>
    <xf numFmtId="2" fontId="13" fillId="16" borderId="0" xfId="4" applyNumberFormat="1" applyFont="1" applyFill="1" applyAlignment="1">
      <alignment horizontal="center"/>
    </xf>
    <xf numFmtId="1" fontId="13" fillId="16" borderId="0" xfId="4" applyFont="1" applyFill="1" applyAlignment="1">
      <alignment horizontal="center"/>
    </xf>
    <xf numFmtId="49" fontId="13" fillId="16" borderId="0" xfId="4" applyNumberFormat="1" applyFont="1" applyFill="1" applyAlignment="1">
      <alignment horizontal="center"/>
    </xf>
    <xf numFmtId="17" fontId="13" fillId="16" borderId="0" xfId="4" applyNumberFormat="1" applyFont="1" applyFill="1" applyAlignment="1">
      <alignment horizontal="center"/>
    </xf>
    <xf numFmtId="169" fontId="13" fillId="16" borderId="0" xfId="4" applyNumberFormat="1" applyFont="1" applyFill="1" applyAlignment="1">
      <alignment horizontal="center"/>
    </xf>
    <xf numFmtId="0" fontId="85" fillId="2" borderId="24" xfId="7" applyFont="1" applyFill="1" applyBorder="1" applyAlignment="1">
      <alignment horizontal="centerContinuous"/>
    </xf>
    <xf numFmtId="0" fontId="31" fillId="3" borderId="24" xfId="3" applyFont="1" applyFill="1" applyBorder="1" applyAlignment="1">
      <alignment horizontal="left"/>
    </xf>
    <xf numFmtId="0" fontId="31" fillId="4" borderId="19" xfId="3" applyFont="1" applyFill="1" applyBorder="1" applyAlignment="1">
      <alignment horizontal="left"/>
    </xf>
    <xf numFmtId="0" fontId="31" fillId="5" borderId="19" xfId="3" applyFont="1" applyFill="1" applyBorder="1" applyAlignment="1">
      <alignment horizontal="left"/>
    </xf>
    <xf numFmtId="0" fontId="31" fillId="6" borderId="19" xfId="3" applyFont="1" applyFill="1" applyBorder="1" applyAlignment="1">
      <alignment horizontal="left"/>
    </xf>
    <xf numFmtId="0" fontId="31" fillId="2" borderId="19" xfId="3" applyFont="1" applyFill="1" applyBorder="1" applyAlignment="1">
      <alignment horizontal="left"/>
    </xf>
    <xf numFmtId="0" fontId="31" fillId="7" borderId="19" xfId="3" applyFont="1" applyFill="1" applyBorder="1" applyAlignment="1">
      <alignment horizontal="left"/>
    </xf>
    <xf numFmtId="0" fontId="31" fillId="8" borderId="19" xfId="3" applyFont="1" applyFill="1" applyBorder="1" applyAlignment="1">
      <alignment horizontal="left"/>
    </xf>
    <xf numFmtId="0" fontId="31" fillId="9" borderId="19" xfId="3" applyFont="1" applyFill="1" applyBorder="1" applyAlignment="1">
      <alignment horizontal="left"/>
    </xf>
    <xf numFmtId="0" fontId="31" fillId="10" borderId="19" xfId="3" applyFont="1" applyFill="1" applyBorder="1" applyAlignment="1">
      <alignment horizontal="left"/>
    </xf>
    <xf numFmtId="0" fontId="31" fillId="11" borderId="19" xfId="3" applyFont="1" applyFill="1" applyBorder="1" applyAlignment="1">
      <alignment horizontal="left"/>
    </xf>
    <xf numFmtId="38" fontId="10" fillId="2" borderId="18" xfId="0" applyNumberFormat="1" applyFont="1" applyFill="1" applyBorder="1" applyAlignment="1">
      <alignment horizontal="center"/>
    </xf>
    <xf numFmtId="0" fontId="99" fillId="2" borderId="3" xfId="0" applyFont="1" applyFill="1" applyBorder="1" applyAlignment="1">
      <alignment horizontal="center"/>
    </xf>
    <xf numFmtId="1" fontId="23" fillId="0" borderId="13" xfId="6" applyFont="1" applyBorder="1" applyAlignment="1" applyProtection="1">
      <alignment horizontal="left"/>
      <protection locked="0"/>
    </xf>
    <xf numFmtId="0" fontId="0" fillId="2" borderId="0" xfId="0" applyFill="1"/>
    <xf numFmtId="43" fontId="12" fillId="0" borderId="0" xfId="1" applyFont="1" applyFill="1" applyBorder="1" applyAlignment="1" applyProtection="1">
      <alignment horizontal="right"/>
      <protection locked="0"/>
    </xf>
    <xf numFmtId="0" fontId="102" fillId="0" borderId="0" xfId="3" applyFont="1" applyAlignment="1">
      <alignment horizontal="center" vertical="center"/>
    </xf>
    <xf numFmtId="2" fontId="103" fillId="0" borderId="0" xfId="0" applyNumberFormat="1" applyFont="1" applyProtection="1">
      <protection locked="0"/>
    </xf>
    <xf numFmtId="2" fontId="10" fillId="2" borderId="3" xfId="0" applyNumberFormat="1" applyFont="1" applyFill="1" applyBorder="1" applyAlignment="1">
      <alignment horizontal="center"/>
    </xf>
    <xf numFmtId="40" fontId="10" fillId="2" borderId="18" xfId="0" applyNumberFormat="1" applyFont="1" applyFill="1" applyBorder="1" applyAlignment="1">
      <alignment horizontal="center"/>
    </xf>
    <xf numFmtId="40" fontId="9" fillId="2" borderId="2" xfId="3" applyNumberFormat="1" applyFont="1" applyFill="1" applyBorder="1" applyAlignment="1">
      <alignment horizontal="center"/>
    </xf>
    <xf numFmtId="0" fontId="21" fillId="0" borderId="30" xfId="0" applyFont="1" applyBorder="1" applyAlignment="1" applyProtection="1">
      <alignment horizontal="center"/>
      <protection locked="0"/>
    </xf>
    <xf numFmtId="0" fontId="21" fillId="0" borderId="26" xfId="0" applyFont="1" applyBorder="1" applyAlignment="1" applyProtection="1">
      <alignment horizontal="center"/>
      <protection locked="0"/>
    </xf>
    <xf numFmtId="0" fontId="63" fillId="0" borderId="0" xfId="0" applyFont="1" applyAlignment="1" applyProtection="1">
      <alignment horizontal="center"/>
      <protection locked="0"/>
    </xf>
    <xf numFmtId="0" fontId="63" fillId="0" borderId="21" xfId="0" applyFont="1" applyBorder="1" applyAlignment="1" applyProtection="1">
      <alignment horizontal="center"/>
      <protection locked="0"/>
    </xf>
    <xf numFmtId="0" fontId="105" fillId="0" borderId="19" xfId="0" applyFont="1" applyBorder="1" applyAlignment="1" applyProtection="1">
      <alignment horizontal="center"/>
      <protection locked="0"/>
    </xf>
    <xf numFmtId="0" fontId="0" fillId="14" borderId="16" xfId="0" applyFill="1" applyBorder="1"/>
    <xf numFmtId="2" fontId="8" fillId="16" borderId="31" xfId="0" applyNumberFormat="1" applyFont="1" applyFill="1" applyBorder="1"/>
    <xf numFmtId="2" fontId="8" fillId="16" borderId="19" xfId="0" applyNumberFormat="1" applyFont="1" applyFill="1" applyBorder="1"/>
    <xf numFmtId="2" fontId="8" fillId="16" borderId="0" xfId="0" applyNumberFormat="1" applyFont="1" applyFill="1"/>
    <xf numFmtId="2" fontId="4" fillId="18" borderId="15" xfId="0" applyNumberFormat="1" applyFont="1" applyFill="1" applyBorder="1" applyAlignment="1">
      <alignment horizontal="right"/>
    </xf>
    <xf numFmtId="2" fontId="4" fillId="18" borderId="9" xfId="0" applyNumberFormat="1" applyFont="1" applyFill="1" applyBorder="1" applyAlignment="1">
      <alignment horizontal="right"/>
    </xf>
    <xf numFmtId="0" fontId="0" fillId="16" borderId="32" xfId="0" applyFill="1" applyBorder="1" applyAlignment="1">
      <alignment horizontal="left"/>
    </xf>
    <xf numFmtId="0" fontId="1" fillId="16" borderId="0" xfId="0" applyFont="1" applyFill="1" applyAlignment="1">
      <alignment horizontal="center"/>
    </xf>
    <xf numFmtId="0" fontId="13" fillId="0" borderId="0" xfId="3" applyFont="1" applyAlignment="1">
      <alignment horizontal="left"/>
    </xf>
    <xf numFmtId="0" fontId="8" fillId="0" borderId="0" xfId="7" applyFont="1"/>
    <xf numFmtId="0" fontId="18" fillId="0" borderId="0" xfId="7" applyFont="1"/>
    <xf numFmtId="49" fontId="75" fillId="0" borderId="0" xfId="2" applyNumberFormat="1" applyFont="1" applyFill="1" applyBorder="1" applyAlignment="1" applyProtection="1">
      <alignment horizontal="right"/>
      <protection locked="0"/>
    </xf>
    <xf numFmtId="49" fontId="107" fillId="0" borderId="0" xfId="2" applyNumberFormat="1" applyFont="1" applyFill="1" applyBorder="1" applyAlignment="1" applyProtection="1">
      <alignment horizontal="right" vertical="center"/>
    </xf>
    <xf numFmtId="0" fontId="108" fillId="0" borderId="0" xfId="0" applyFont="1" applyAlignment="1">
      <alignment horizontal="right"/>
    </xf>
    <xf numFmtId="0" fontId="90" fillId="2" borderId="3" xfId="7" applyFont="1" applyFill="1" applyBorder="1" applyAlignment="1">
      <alignment horizontal="center"/>
    </xf>
    <xf numFmtId="43" fontId="0" fillId="0" borderId="0" xfId="1" applyFont="1" applyAlignment="1" applyProtection="1">
      <alignment horizontal="right"/>
    </xf>
    <xf numFmtId="0" fontId="104" fillId="16" borderId="11" xfId="3" applyFont="1" applyFill="1" applyBorder="1" applyAlignment="1" applyProtection="1">
      <alignment horizontal="left" vertical="center"/>
      <protection locked="0"/>
    </xf>
    <xf numFmtId="0" fontId="112" fillId="16" borderId="6" xfId="3" applyFont="1" applyFill="1" applyBorder="1" applyAlignment="1">
      <alignment horizontal="center" vertical="center"/>
    </xf>
    <xf numFmtId="0" fontId="113" fillId="16" borderId="3" xfId="2" applyNumberFormat="1" applyFont="1" applyFill="1" applyBorder="1" applyAlignment="1" applyProtection="1">
      <alignment horizontal="center" vertical="center"/>
    </xf>
    <xf numFmtId="0" fontId="25" fillId="0" borderId="0" xfId="7" applyFont="1" applyAlignment="1" applyProtection="1">
      <alignment horizontal="left"/>
      <protection locked="0"/>
    </xf>
    <xf numFmtId="0" fontId="96" fillId="0" borderId="0" xfId="7" applyFont="1" applyAlignment="1">
      <alignment vertical="center"/>
    </xf>
    <xf numFmtId="0" fontId="109" fillId="2" borderId="18" xfId="7" applyFont="1" applyFill="1" applyBorder="1" applyAlignment="1">
      <alignment horizontal="right"/>
    </xf>
    <xf numFmtId="0" fontId="95" fillId="12" borderId="10" xfId="0" applyFont="1" applyFill="1" applyBorder="1" applyAlignment="1" applyProtection="1">
      <alignment horizontal="center"/>
      <protection locked="0"/>
    </xf>
    <xf numFmtId="0" fontId="80" fillId="2" borderId="16" xfId="3" applyFont="1" applyFill="1" applyBorder="1" applyAlignment="1">
      <alignment horizontal="left"/>
    </xf>
    <xf numFmtId="0" fontId="95" fillId="12" borderId="25" xfId="0" applyFont="1" applyFill="1" applyBorder="1" applyAlignment="1" applyProtection="1">
      <alignment horizontal="center"/>
      <protection locked="0"/>
    </xf>
    <xf numFmtId="0" fontId="95" fillId="12" borderId="11" xfId="0" applyFont="1" applyFill="1" applyBorder="1" applyAlignment="1" applyProtection="1">
      <alignment horizontal="center"/>
      <protection locked="0"/>
    </xf>
    <xf numFmtId="0" fontId="70" fillId="0" borderId="0" xfId="3" applyFont="1" applyAlignment="1">
      <alignment horizontal="right"/>
    </xf>
    <xf numFmtId="0" fontId="88" fillId="14" borderId="14" xfId="0" applyFont="1" applyFill="1" applyBorder="1"/>
    <xf numFmtId="0" fontId="88" fillId="14" borderId="16" xfId="0" applyFont="1" applyFill="1" applyBorder="1"/>
    <xf numFmtId="2" fontId="89" fillId="2" borderId="10" xfId="3" applyNumberFormat="1" applyFont="1" applyFill="1" applyBorder="1" applyAlignment="1">
      <alignment horizontal="center"/>
    </xf>
    <xf numFmtId="2" fontId="89" fillId="2" borderId="25" xfId="3" applyNumberFormat="1" applyFont="1" applyFill="1" applyBorder="1" applyAlignment="1">
      <alignment horizontal="center"/>
    </xf>
    <xf numFmtId="2" fontId="89" fillId="2" borderId="11" xfId="3" applyNumberFormat="1" applyFont="1" applyFill="1" applyBorder="1" applyAlignment="1">
      <alignment horizontal="center"/>
    </xf>
    <xf numFmtId="2" fontId="13" fillId="12" borderId="0" xfId="3" applyNumberFormat="1" applyFont="1" applyFill="1" applyAlignment="1">
      <alignment horizontal="center"/>
    </xf>
    <xf numFmtId="0" fontId="69" fillId="12" borderId="3" xfId="3" applyFont="1" applyFill="1" applyBorder="1" applyAlignment="1" applyProtection="1">
      <alignment horizontal="center"/>
      <protection locked="0"/>
    </xf>
    <xf numFmtId="43" fontId="12" fillId="17" borderId="19" xfId="1" applyFont="1" applyFill="1" applyBorder="1" applyAlignment="1" applyProtection="1">
      <alignment horizontal="center"/>
      <protection locked="0"/>
    </xf>
    <xf numFmtId="0" fontId="116" fillId="0" borderId="19" xfId="0" applyFont="1" applyBorder="1" applyAlignment="1" applyProtection="1">
      <alignment horizontal="center"/>
      <protection locked="0"/>
    </xf>
    <xf numFmtId="0" fontId="116" fillId="0" borderId="25" xfId="0" applyFont="1" applyBorder="1" applyAlignment="1" applyProtection="1">
      <alignment horizontal="center"/>
      <protection locked="0"/>
    </xf>
    <xf numFmtId="0" fontId="116" fillId="0" borderId="0" xfId="0" applyFont="1" applyAlignment="1" applyProtection="1">
      <alignment horizontal="center"/>
      <protection locked="0"/>
    </xf>
    <xf numFmtId="0" fontId="13" fillId="0" borderId="0" xfId="0" applyFont="1" applyProtection="1">
      <protection locked="0"/>
    </xf>
    <xf numFmtId="0" fontId="117" fillId="0" borderId="0" xfId="0" applyFont="1" applyAlignment="1" applyProtection="1">
      <alignment horizontal="center"/>
      <protection locked="0"/>
    </xf>
    <xf numFmtId="0" fontId="118" fillId="0" borderId="0" xfId="0" applyFont="1" applyAlignment="1" applyProtection="1">
      <alignment horizontal="center"/>
      <protection locked="0"/>
    </xf>
    <xf numFmtId="0" fontId="90" fillId="16" borderId="5" xfId="7" applyFont="1" applyFill="1" applyBorder="1" applyAlignment="1">
      <alignment horizontal="centerContinuous" vertical="center"/>
    </xf>
    <xf numFmtId="0" fontId="9" fillId="16" borderId="3" xfId="3" applyFont="1" applyFill="1" applyBorder="1" applyAlignment="1">
      <alignment horizontal="center"/>
    </xf>
    <xf numFmtId="0" fontId="32" fillId="16" borderId="4" xfId="0" applyFont="1" applyFill="1" applyBorder="1"/>
    <xf numFmtId="0" fontId="40" fillId="16" borderId="29" xfId="7" applyFont="1" applyFill="1" applyBorder="1" applyAlignment="1">
      <alignment horizontal="left" vertical="center"/>
    </xf>
    <xf numFmtId="0" fontId="0" fillId="16" borderId="29" xfId="0" applyFill="1" applyBorder="1"/>
    <xf numFmtId="0" fontId="97" fillId="16" borderId="29" xfId="7" applyFont="1" applyFill="1" applyBorder="1" applyAlignment="1">
      <alignment horizontal="center"/>
    </xf>
    <xf numFmtId="0" fontId="4" fillId="16" borderId="29" xfId="7" applyFont="1" applyFill="1" applyBorder="1" applyAlignment="1">
      <alignment horizontal="centerContinuous" vertical="center"/>
    </xf>
    <xf numFmtId="0" fontId="4" fillId="16" borderId="33" xfId="7" applyFont="1" applyFill="1" applyBorder="1" applyAlignment="1">
      <alignment horizontal="centerContinuous" vertical="center"/>
    </xf>
    <xf numFmtId="10" fontId="91" fillId="12" borderId="11" xfId="0" applyNumberFormat="1" applyFont="1" applyFill="1" applyBorder="1" applyAlignment="1" applyProtection="1">
      <alignment horizontal="center"/>
      <protection locked="0"/>
    </xf>
    <xf numFmtId="0" fontId="121" fillId="0" borderId="0" xfId="3" applyFont="1" applyAlignment="1" applyProtection="1">
      <alignment horizontal="left"/>
      <protection locked="0"/>
    </xf>
    <xf numFmtId="39" fontId="12" fillId="16" borderId="3" xfId="1" applyNumberFormat="1" applyFont="1" applyFill="1" applyBorder="1" applyAlignment="1" applyProtection="1">
      <alignment horizontal="right"/>
    </xf>
    <xf numFmtId="43" fontId="15" fillId="16" borderId="17" xfId="1" applyFont="1" applyFill="1" applyBorder="1" applyAlignment="1" applyProtection="1">
      <alignment horizontal="center"/>
    </xf>
    <xf numFmtId="43" fontId="15" fillId="16" borderId="0" xfId="1" applyFont="1" applyFill="1" applyBorder="1" applyAlignment="1" applyProtection="1">
      <alignment horizontal="center"/>
    </xf>
    <xf numFmtId="43" fontId="12" fillId="16" borderId="0" xfId="1" applyFont="1" applyFill="1" applyBorder="1" applyAlignment="1" applyProtection="1">
      <alignment horizontal="center"/>
    </xf>
    <xf numFmtId="43" fontId="12" fillId="0" borderId="0" xfId="1" applyFont="1" applyBorder="1" applyProtection="1"/>
    <xf numFmtId="173" fontId="15" fillId="16" borderId="0" xfId="1" applyNumberFormat="1" applyFont="1" applyFill="1" applyBorder="1" applyAlignment="1" applyProtection="1">
      <alignment horizontal="center"/>
    </xf>
    <xf numFmtId="0" fontId="122" fillId="0" borderId="0" xfId="0" applyFont="1" applyAlignment="1" applyProtection="1">
      <alignment horizontal="right"/>
      <protection locked="0"/>
    </xf>
    <xf numFmtId="10" fontId="12" fillId="16" borderId="3" xfId="0" applyNumberFormat="1" applyFont="1" applyFill="1" applyBorder="1" applyAlignment="1">
      <alignment horizontal="right" vertical="center"/>
    </xf>
    <xf numFmtId="39" fontId="15" fillId="16" borderId="3" xfId="1" applyNumberFormat="1" applyFont="1" applyFill="1" applyBorder="1" applyAlignment="1" applyProtection="1">
      <alignment horizontal="right"/>
    </xf>
    <xf numFmtId="0" fontId="123" fillId="0" borderId="0" xfId="0" applyFont="1" applyAlignment="1" applyProtection="1">
      <alignment horizontal="right" vertical="top"/>
      <protection locked="0"/>
    </xf>
    <xf numFmtId="10" fontId="124" fillId="16" borderId="18" xfId="7" applyNumberFormat="1" applyFont="1" applyFill="1" applyBorder="1" applyAlignment="1">
      <alignment horizontal="center"/>
    </xf>
    <xf numFmtId="10" fontId="124" fillId="16" borderId="23" xfId="7" applyNumberFormat="1" applyFont="1" applyFill="1" applyBorder="1" applyAlignment="1">
      <alignment horizontal="center"/>
    </xf>
    <xf numFmtId="10" fontId="125" fillId="14" borderId="18" xfId="7" applyNumberFormat="1" applyFont="1" applyFill="1" applyBorder="1" applyAlignment="1">
      <alignment horizontal="center"/>
    </xf>
    <xf numFmtId="2" fontId="125" fillId="14" borderId="18" xfId="7" applyNumberFormat="1" applyFont="1" applyFill="1" applyBorder="1" applyAlignment="1">
      <alignment horizontal="center"/>
    </xf>
    <xf numFmtId="0" fontId="75" fillId="0" borderId="1" xfId="0" applyFont="1" applyBorder="1" applyProtection="1">
      <protection locked="0"/>
    </xf>
    <xf numFmtId="0" fontId="26" fillId="0" borderId="0" xfId="3" applyFont="1" applyAlignment="1" applyProtection="1">
      <alignment horizontal="right"/>
      <protection locked="0"/>
    </xf>
    <xf numFmtId="0" fontId="4" fillId="0" borderId="0" xfId="3" applyAlignment="1" applyProtection="1">
      <alignment horizontal="left"/>
      <protection locked="0"/>
    </xf>
    <xf numFmtId="0" fontId="79" fillId="16" borderId="0" xfId="3" applyFont="1" applyFill="1" applyAlignment="1" applyProtection="1">
      <alignment horizontal="left"/>
      <protection locked="0"/>
    </xf>
    <xf numFmtId="0" fontId="25" fillId="0" borderId="0" xfId="3" applyFont="1" applyProtection="1">
      <protection locked="0"/>
    </xf>
    <xf numFmtId="0" fontId="84" fillId="0" borderId="0" xfId="3" applyFont="1" applyAlignment="1" applyProtection="1">
      <alignment horizontal="right"/>
      <protection locked="0"/>
    </xf>
    <xf numFmtId="0" fontId="25" fillId="0" borderId="0" xfId="3" applyFont="1" applyAlignment="1" applyProtection="1">
      <alignment horizontal="left"/>
      <protection locked="0"/>
    </xf>
    <xf numFmtId="0" fontId="25" fillId="0" borderId="0" xfId="7" applyFont="1" applyAlignment="1" applyProtection="1">
      <alignment horizontal="left" vertical="center"/>
      <protection locked="0"/>
    </xf>
    <xf numFmtId="14" fontId="126" fillId="0" borderId="0" xfId="7" applyNumberFormat="1" applyFont="1" applyAlignment="1" applyProtection="1">
      <alignment horizontal="right"/>
      <protection locked="0"/>
    </xf>
    <xf numFmtId="14" fontId="55" fillId="0" borderId="0" xfId="7" applyNumberFormat="1" applyFont="1" applyAlignment="1" applyProtection="1">
      <alignment horizontal="center"/>
      <protection locked="0"/>
    </xf>
    <xf numFmtId="174" fontId="62" fillId="0" borderId="0" xfId="7" applyNumberFormat="1" applyFont="1" applyAlignment="1" applyProtection="1">
      <alignment horizontal="right"/>
      <protection locked="0"/>
    </xf>
    <xf numFmtId="175" fontId="62" fillId="0" borderId="0" xfId="7" applyNumberFormat="1" applyFont="1" applyAlignment="1" applyProtection="1">
      <alignment horizontal="left"/>
      <protection locked="0"/>
    </xf>
    <xf numFmtId="170" fontId="79" fillId="16" borderId="19" xfId="0" applyNumberFormat="1" applyFont="1" applyFill="1" applyBorder="1" applyAlignment="1" applyProtection="1">
      <alignment horizontal="center"/>
      <protection locked="0"/>
    </xf>
    <xf numFmtId="167" fontId="12" fillId="0" borderId="11" xfId="7" applyNumberFormat="1" applyFont="1" applyBorder="1" applyAlignment="1" applyProtection="1">
      <alignment horizontal="center"/>
      <protection locked="0"/>
    </xf>
    <xf numFmtId="39" fontId="128" fillId="0" borderId="16" xfId="1" applyNumberFormat="1" applyFont="1" applyFill="1" applyBorder="1" applyAlignment="1" applyProtection="1">
      <alignment horizontal="right"/>
    </xf>
    <xf numFmtId="39" fontId="128" fillId="0" borderId="18" xfId="1" applyNumberFormat="1" applyFont="1" applyFill="1" applyBorder="1" applyAlignment="1" applyProtection="1">
      <alignment horizontal="right"/>
    </xf>
    <xf numFmtId="0" fontId="129" fillId="0" borderId="14" xfId="7" applyFont="1" applyBorder="1" applyAlignment="1">
      <alignment horizontal="center"/>
    </xf>
    <xf numFmtId="40" fontId="20" fillId="2" borderId="14" xfId="7" applyNumberFormat="1" applyFont="1" applyFill="1" applyBorder="1" applyAlignment="1">
      <alignment horizontal="right"/>
    </xf>
    <xf numFmtId="40" fontId="20" fillId="2" borderId="16" xfId="7" applyNumberFormat="1" applyFont="1" applyFill="1" applyBorder="1" applyAlignment="1">
      <alignment horizontal="right"/>
    </xf>
    <xf numFmtId="14" fontId="55" fillId="0" borderId="0" xfId="7" applyNumberFormat="1" applyFont="1" applyAlignment="1" applyProtection="1">
      <alignment horizontal="right"/>
      <protection locked="0"/>
    </xf>
    <xf numFmtId="0" fontId="126" fillId="0" borderId="0" xfId="0" applyFont="1"/>
    <xf numFmtId="39" fontId="55" fillId="0" borderId="0" xfId="1" applyNumberFormat="1" applyFont="1" applyFill="1" applyBorder="1" applyAlignment="1" applyProtection="1">
      <alignment horizontal="right"/>
      <protection locked="0"/>
    </xf>
    <xf numFmtId="43" fontId="55" fillId="0" borderId="0" xfId="1" applyFont="1" applyFill="1" applyBorder="1" applyAlignment="1" applyProtection="1">
      <alignment horizontal="right"/>
      <protection locked="0"/>
    </xf>
    <xf numFmtId="43" fontId="55" fillId="0" borderId="0" xfId="1" applyFont="1" applyBorder="1" applyAlignment="1" applyProtection="1">
      <alignment horizontal="right"/>
      <protection locked="0"/>
    </xf>
    <xf numFmtId="4" fontId="4" fillId="16" borderId="0" xfId="1" applyNumberFormat="1" applyFont="1" applyFill="1" applyBorder="1" applyAlignment="1" applyProtection="1">
      <alignment horizontal="centerContinuous"/>
      <protection locked="0"/>
    </xf>
    <xf numFmtId="176" fontId="15" fillId="16" borderId="3" xfId="1" applyNumberFormat="1" applyFont="1" applyFill="1" applyBorder="1" applyAlignment="1" applyProtection="1">
      <alignment horizontal="right"/>
    </xf>
    <xf numFmtId="167" fontId="127" fillId="16" borderId="3" xfId="7" applyNumberFormat="1" applyFont="1" applyFill="1" applyBorder="1" applyAlignment="1">
      <alignment horizontal="center"/>
    </xf>
    <xf numFmtId="0" fontId="112" fillId="16" borderId="25" xfId="0" applyFont="1" applyFill="1" applyBorder="1" applyAlignment="1">
      <alignment horizontal="center" vertical="center"/>
    </xf>
    <xf numFmtId="0" fontId="112" fillId="16" borderId="19" xfId="0" applyFont="1" applyFill="1" applyBorder="1" applyAlignment="1">
      <alignment horizontal="center" vertical="center"/>
    </xf>
    <xf numFmtId="0" fontId="112" fillId="16" borderId="6" xfId="0" applyFont="1" applyFill="1" applyBorder="1" applyAlignment="1">
      <alignment horizontal="right" vertical="center"/>
    </xf>
    <xf numFmtId="0" fontId="31" fillId="11" borderId="11" xfId="3" applyFont="1" applyFill="1" applyBorder="1" applyAlignment="1">
      <alignment horizontal="left"/>
    </xf>
    <xf numFmtId="0" fontId="109" fillId="2" borderId="23" xfId="7" applyFont="1" applyFill="1" applyBorder="1" applyAlignment="1">
      <alignment horizontal="center"/>
    </xf>
    <xf numFmtId="2" fontId="31" fillId="2" borderId="17" xfId="7" applyNumberFormat="1" applyFont="1" applyFill="1" applyBorder="1" applyAlignment="1">
      <alignment horizontal="center"/>
    </xf>
    <xf numFmtId="0" fontId="80" fillId="2" borderId="21" xfId="3" applyFont="1" applyFill="1" applyBorder="1" applyAlignment="1">
      <alignment horizontal="left"/>
    </xf>
    <xf numFmtId="0" fontId="13" fillId="0" borderId="40" xfId="0" applyFont="1" applyBorder="1" applyAlignment="1" applyProtection="1">
      <alignment horizontal="center"/>
      <protection locked="0"/>
    </xf>
    <xf numFmtId="4" fontId="18" fillId="12" borderId="41" xfId="0" applyNumberFormat="1" applyFont="1" applyFill="1" applyBorder="1" applyAlignment="1" applyProtection="1">
      <alignment horizontal="center"/>
      <protection locked="0"/>
    </xf>
    <xf numFmtId="0" fontId="9" fillId="2" borderId="23" xfId="3" applyFont="1" applyFill="1" applyBorder="1" applyAlignment="1">
      <alignment horizontal="center"/>
    </xf>
    <xf numFmtId="0" fontId="0" fillId="0" borderId="3" xfId="0" applyBorder="1" applyAlignment="1" applyProtection="1">
      <alignment horizontal="center"/>
      <protection locked="0"/>
    </xf>
    <xf numFmtId="0" fontId="73" fillId="14" borderId="3" xfId="0" applyFont="1" applyFill="1" applyBorder="1" applyAlignment="1" applyProtection="1">
      <alignment horizontal="center"/>
      <protection locked="0"/>
    </xf>
    <xf numFmtId="0" fontId="73" fillId="12" borderId="3" xfId="0" applyFont="1" applyFill="1" applyBorder="1" applyAlignment="1" applyProtection="1">
      <alignment horizontal="center"/>
      <protection locked="0"/>
    </xf>
    <xf numFmtId="0" fontId="73" fillId="0" borderId="3" xfId="0" applyFont="1" applyBorder="1" applyAlignment="1" applyProtection="1">
      <alignment horizontal="center"/>
      <protection locked="0"/>
    </xf>
    <xf numFmtId="0" fontId="8" fillId="18" borderId="3" xfId="0" applyFont="1" applyFill="1" applyBorder="1" applyProtection="1">
      <protection locked="0"/>
    </xf>
    <xf numFmtId="38" fontId="132" fillId="16" borderId="18" xfId="0" applyNumberFormat="1" applyFont="1" applyFill="1" applyBorder="1" applyAlignment="1">
      <alignment horizontal="center"/>
    </xf>
    <xf numFmtId="38" fontId="29" fillId="12" borderId="14" xfId="0" applyNumberFormat="1" applyFont="1" applyFill="1" applyBorder="1" applyAlignment="1" applyProtection="1">
      <alignment horizontal="center"/>
      <protection locked="0"/>
    </xf>
    <xf numFmtId="0" fontId="60" fillId="0" borderId="0" xfId="0" applyFont="1" applyProtection="1">
      <protection locked="0"/>
    </xf>
    <xf numFmtId="0" fontId="133" fillId="0" borderId="0" xfId="7" applyFont="1" applyProtection="1">
      <protection locked="0"/>
    </xf>
    <xf numFmtId="0" fontId="134" fillId="0" borderId="0" xfId="0" applyFont="1" applyProtection="1">
      <protection locked="0"/>
    </xf>
    <xf numFmtId="0" fontId="135" fillId="0" borderId="0" xfId="0" applyFont="1" applyProtection="1">
      <protection locked="0"/>
    </xf>
    <xf numFmtId="0" fontId="111" fillId="0" borderId="0" xfId="0" applyFont="1" applyAlignment="1">
      <alignment vertical="center"/>
    </xf>
    <xf numFmtId="2" fontId="13" fillId="12" borderId="0" xfId="3" applyNumberFormat="1" applyFont="1" applyFill="1" applyAlignment="1">
      <alignment horizontal="center" vertical="top"/>
    </xf>
    <xf numFmtId="2" fontId="29" fillId="2" borderId="0" xfId="3" applyNumberFormat="1" applyFont="1" applyFill="1" applyAlignment="1" applyProtection="1">
      <alignment horizontal="center" vertical="top"/>
      <protection locked="0"/>
    </xf>
    <xf numFmtId="0" fontId="0" fillId="2" borderId="0" xfId="0" applyFill="1" applyProtection="1">
      <protection locked="0"/>
    </xf>
    <xf numFmtId="0" fontId="47" fillId="0" borderId="0" xfId="0" applyFont="1" applyAlignment="1" applyProtection="1">
      <alignment horizontal="center"/>
      <protection locked="0"/>
    </xf>
    <xf numFmtId="0" fontId="137" fillId="0" borderId="0" xfId="3" applyFont="1" applyAlignment="1">
      <alignment horizontal="right" vertical="top"/>
    </xf>
    <xf numFmtId="0" fontId="137" fillId="0" borderId="0" xfId="7" applyFont="1" applyAlignment="1">
      <alignment horizontal="right"/>
    </xf>
    <xf numFmtId="0" fontId="137" fillId="0" borderId="0" xfId="3" applyFont="1" applyAlignment="1">
      <alignment horizontal="right"/>
    </xf>
    <xf numFmtId="0" fontId="138" fillId="0" borderId="0" xfId="0" applyFont="1" applyAlignment="1" applyProtection="1">
      <alignment horizontal="left"/>
      <protection locked="0"/>
    </xf>
    <xf numFmtId="0" fontId="139" fillId="0" borderId="0" xfId="0" applyFont="1" applyProtection="1">
      <protection locked="0"/>
    </xf>
    <xf numFmtId="2" fontId="13" fillId="16" borderId="6" xfId="0" applyNumberFormat="1" applyFont="1" applyFill="1" applyBorder="1" applyAlignment="1">
      <alignment horizontal="center" vertical="center"/>
    </xf>
    <xf numFmtId="49" fontId="140" fillId="16" borderId="20" xfId="0" applyNumberFormat="1" applyFont="1" applyFill="1" applyBorder="1" applyAlignment="1">
      <alignment horizontal="left"/>
    </xf>
    <xf numFmtId="4" fontId="15" fillId="3" borderId="8" xfId="3" applyNumberFormat="1" applyFont="1" applyFill="1" applyBorder="1" applyAlignment="1">
      <alignment horizontal="right"/>
    </xf>
    <xf numFmtId="4" fontId="15" fillId="3" borderId="9" xfId="3" applyNumberFormat="1" applyFont="1" applyFill="1" applyBorder="1" applyAlignment="1">
      <alignment horizontal="right"/>
    </xf>
    <xf numFmtId="0" fontId="141" fillId="16" borderId="19" xfId="0" applyFont="1" applyFill="1" applyBorder="1" applyAlignment="1">
      <alignment horizontal="left"/>
    </xf>
    <xf numFmtId="0" fontId="142" fillId="0" borderId="0" xfId="0" applyFont="1" applyAlignment="1" applyProtection="1">
      <alignment horizontal="left"/>
      <protection locked="0"/>
    </xf>
    <xf numFmtId="2" fontId="13" fillId="3" borderId="3" xfId="3" applyNumberFormat="1" applyFont="1" applyFill="1" applyBorder="1" applyAlignment="1" applyProtection="1">
      <alignment horizontal="center"/>
      <protection locked="0"/>
    </xf>
    <xf numFmtId="165" fontId="13" fillId="12" borderId="2" xfId="3" applyNumberFormat="1" applyFont="1" applyFill="1" applyBorder="1" applyAlignment="1" applyProtection="1">
      <alignment horizontal="center"/>
      <protection locked="0"/>
    </xf>
    <xf numFmtId="0" fontId="11" fillId="0" borderId="0" xfId="0" applyFont="1"/>
    <xf numFmtId="0" fontId="6" fillId="0" borderId="0" xfId="7" applyFont="1" applyAlignment="1">
      <alignment horizontal="right"/>
    </xf>
    <xf numFmtId="2" fontId="5" fillId="0" borderId="0" xfId="7" applyNumberFormat="1" applyFont="1"/>
    <xf numFmtId="0" fontId="9" fillId="0" borderId="0" xfId="7" applyFont="1" applyAlignment="1">
      <alignment horizontal="left"/>
    </xf>
    <xf numFmtId="0" fontId="5" fillId="0" borderId="0" xfId="7" applyFont="1" applyAlignment="1">
      <alignment horizontal="centerContinuous" vertical="center"/>
    </xf>
    <xf numFmtId="0" fontId="98" fillId="0" borderId="0" xfId="0" applyFont="1" applyAlignment="1">
      <alignment horizontal="right"/>
    </xf>
    <xf numFmtId="1" fontId="5" fillId="0" borderId="0" xfId="6" applyFont="1" applyAlignment="1">
      <alignment horizontal="center"/>
    </xf>
    <xf numFmtId="0" fontId="5" fillId="0" borderId="0" xfId="7" applyFont="1" applyAlignment="1">
      <alignment horizontal="centerContinuous"/>
    </xf>
    <xf numFmtId="0" fontId="5" fillId="0" borderId="0" xfId="7" applyFont="1"/>
    <xf numFmtId="0" fontId="6" fillId="0" borderId="0" xfId="3" applyFont="1" applyAlignment="1">
      <alignment horizontal="right"/>
    </xf>
    <xf numFmtId="1" fontId="5" fillId="0" borderId="0" xfId="6" applyFont="1"/>
    <xf numFmtId="0" fontId="52" fillId="0" borderId="0" xfId="0" applyFont="1"/>
    <xf numFmtId="0" fontId="9" fillId="0" borderId="0" xfId="2" applyNumberFormat="1" applyFont="1" applyBorder="1" applyAlignment="1" applyProtection="1"/>
    <xf numFmtId="14" fontId="9" fillId="0" borderId="0" xfId="7" applyNumberFormat="1" applyFont="1" applyAlignment="1">
      <alignment horizontal="left"/>
    </xf>
    <xf numFmtId="0" fontId="11" fillId="0" borderId="0" xfId="3" applyFont="1"/>
    <xf numFmtId="0" fontId="11" fillId="0" borderId="0" xfId="0" applyFont="1" applyAlignment="1">
      <alignment horizontal="centerContinuous"/>
    </xf>
    <xf numFmtId="0" fontId="6" fillId="0" borderId="0" xfId="2" applyNumberFormat="1" applyFont="1" applyBorder="1" applyAlignment="1" applyProtection="1">
      <alignment horizontal="centerContinuous"/>
    </xf>
    <xf numFmtId="0" fontId="52" fillId="2" borderId="29" xfId="0" applyFont="1" applyFill="1" applyBorder="1"/>
    <xf numFmtId="0" fontId="11" fillId="2" borderId="29" xfId="0" applyFont="1" applyFill="1" applyBorder="1"/>
    <xf numFmtId="2" fontId="5" fillId="2" borderId="29" xfId="7" applyNumberFormat="1" applyFont="1" applyFill="1" applyBorder="1"/>
    <xf numFmtId="0" fontId="11" fillId="2" borderId="29" xfId="7" applyFont="1" applyFill="1" applyBorder="1" applyAlignment="1">
      <alignment horizontal="centerContinuous" vertical="center"/>
    </xf>
    <xf numFmtId="0" fontId="5" fillId="2" borderId="29" xfId="7" applyFont="1" applyFill="1" applyBorder="1" applyAlignment="1">
      <alignment horizontal="centerContinuous"/>
    </xf>
    <xf numFmtId="0" fontId="53" fillId="2" borderId="29" xfId="2" applyNumberFormat="1" applyFont="1" applyFill="1" applyBorder="1" applyAlignment="1" applyProtection="1">
      <alignment horizontal="center"/>
    </xf>
    <xf numFmtId="0" fontId="57" fillId="2" borderId="29" xfId="2" applyNumberFormat="1" applyFont="1" applyFill="1" applyBorder="1" applyAlignment="1" applyProtection="1">
      <alignment horizontal="centerContinuous"/>
    </xf>
    <xf numFmtId="0" fontId="130" fillId="0" borderId="0" xfId="0" applyFont="1" applyAlignment="1">
      <alignment horizontal="center"/>
    </xf>
    <xf numFmtId="0" fontId="73" fillId="2" borderId="3" xfId="0" applyFont="1" applyFill="1" applyBorder="1" applyAlignment="1" applyProtection="1">
      <alignment horizontal="center"/>
      <protection locked="0"/>
    </xf>
    <xf numFmtId="0" fontId="74" fillId="0" borderId="3" xfId="0" applyFont="1" applyBorder="1" applyAlignment="1" applyProtection="1">
      <alignment horizontal="center"/>
      <protection locked="0"/>
    </xf>
    <xf numFmtId="49" fontId="140" fillId="16" borderId="20" xfId="0" applyNumberFormat="1" applyFont="1" applyFill="1" applyBorder="1" applyAlignment="1" applyProtection="1">
      <alignment horizontal="left"/>
      <protection locked="0"/>
    </xf>
    <xf numFmtId="0" fontId="14" fillId="0" borderId="0" xfId="0" applyFont="1" applyProtection="1">
      <protection locked="0"/>
    </xf>
    <xf numFmtId="0" fontId="7" fillId="0" borderId="0" xfId="0" applyFont="1" applyProtection="1">
      <protection locked="0"/>
    </xf>
    <xf numFmtId="2" fontId="12" fillId="14" borderId="3" xfId="3" applyNumberFormat="1" applyFont="1" applyFill="1" applyBorder="1" applyProtection="1">
      <protection locked="0"/>
    </xf>
    <xf numFmtId="1" fontId="59" fillId="0" borderId="0" xfId="0" applyNumberFormat="1" applyFont="1" applyProtection="1">
      <protection locked="0"/>
    </xf>
    <xf numFmtId="0" fontId="7" fillId="0" borderId="1" xfId="0" applyFont="1" applyBorder="1" applyProtection="1">
      <protection locked="0"/>
    </xf>
    <xf numFmtId="167" fontId="145" fillId="0" borderId="3" xfId="7" applyNumberFormat="1" applyFont="1" applyBorder="1" applyAlignment="1">
      <alignment horizontal="right"/>
    </xf>
    <xf numFmtId="0" fontId="8" fillId="0" borderId="0" xfId="5" applyFont="1" applyAlignment="1">
      <alignment horizontal="center"/>
    </xf>
    <xf numFmtId="0" fontId="8" fillId="0" borderId="0" xfId="5" applyFont="1" applyAlignment="1" applyProtection="1">
      <alignment horizontal="center"/>
      <protection locked="0"/>
    </xf>
    <xf numFmtId="0" fontId="15" fillId="0" borderId="0" xfId="3" applyFont="1" applyAlignment="1">
      <alignment horizontal="center"/>
    </xf>
    <xf numFmtId="0" fontId="15" fillId="0" borderId="0" xfId="3" applyFont="1" applyAlignment="1">
      <alignment horizontal="left"/>
    </xf>
    <xf numFmtId="1" fontId="15" fillId="0" borderId="0" xfId="6" applyFont="1" applyAlignment="1" applyProtection="1">
      <alignment horizontal="center" vertical="top"/>
      <protection locked="0"/>
    </xf>
    <xf numFmtId="0" fontId="15" fillId="0" borderId="42" xfId="3" applyFont="1" applyBorder="1" applyAlignment="1">
      <alignment horizontal="center"/>
    </xf>
    <xf numFmtId="0" fontId="12" fillId="0" borderId="0" xfId="3" applyFont="1" applyAlignment="1">
      <alignment horizontal="left"/>
    </xf>
    <xf numFmtId="0" fontId="15" fillId="0" borderId="43" xfId="3" applyFont="1" applyBorder="1" applyAlignment="1">
      <alignment horizontal="center"/>
    </xf>
    <xf numFmtId="1" fontId="7" fillId="0" borderId="0" xfId="10" applyFont="1" applyProtection="1">
      <protection locked="0"/>
    </xf>
    <xf numFmtId="1" fontId="15" fillId="0" borderId="0" xfId="10" applyFont="1" applyProtection="1">
      <protection locked="0"/>
    </xf>
    <xf numFmtId="2" fontId="7" fillId="0" borderId="0" xfId="10" applyNumberFormat="1" applyFont="1" applyProtection="1">
      <protection locked="0"/>
    </xf>
    <xf numFmtId="2" fontId="7" fillId="17" borderId="0" xfId="10" applyNumberFormat="1" applyFont="1" applyFill="1"/>
    <xf numFmtId="0" fontId="7" fillId="0" borderId="0" xfId="3" applyFont="1"/>
    <xf numFmtId="0" fontId="13" fillId="0" borderId="0" xfId="3" applyFont="1" applyAlignment="1">
      <alignment horizontal="center"/>
    </xf>
    <xf numFmtId="0" fontId="7" fillId="0" borderId="24" xfId="3" applyFont="1" applyBorder="1" applyAlignment="1">
      <alignment horizontal="right"/>
    </xf>
    <xf numFmtId="0" fontId="1" fillId="0" borderId="3" xfId="0" applyFont="1" applyBorder="1" applyAlignment="1">
      <alignment horizontal="center"/>
    </xf>
    <xf numFmtId="1" fontId="7" fillId="0" borderId="0" xfId="10" applyFont="1" applyAlignment="1" applyProtection="1">
      <alignment horizontal="center"/>
      <protection locked="0"/>
    </xf>
    <xf numFmtId="1" fontId="15" fillId="0" borderId="0" xfId="10" applyFont="1" applyAlignment="1" applyProtection="1">
      <alignment vertical="top"/>
      <protection locked="0"/>
    </xf>
    <xf numFmtId="0" fontId="7" fillId="16" borderId="0" xfId="3" applyFont="1" applyFill="1"/>
    <xf numFmtId="4" fontId="13" fillId="3" borderId="3" xfId="3" applyNumberFormat="1" applyFont="1" applyFill="1" applyBorder="1" applyAlignment="1">
      <alignment horizontal="center"/>
    </xf>
    <xf numFmtId="2" fontId="15" fillId="3" borderId="3" xfId="3" applyNumberFormat="1" applyFont="1" applyFill="1" applyBorder="1" applyAlignment="1">
      <alignment horizontal="center"/>
    </xf>
    <xf numFmtId="2" fontId="7" fillId="0" borderId="20" xfId="3" applyNumberFormat="1" applyFont="1" applyBorder="1" applyAlignment="1">
      <alignment horizontal="right"/>
    </xf>
    <xf numFmtId="2" fontId="7" fillId="0" borderId="13" xfId="3" applyNumberFormat="1" applyFont="1" applyBorder="1" applyAlignment="1">
      <alignment horizontal="right"/>
    </xf>
    <xf numFmtId="2" fontId="7" fillId="2" borderId="21" xfId="3" applyNumberFormat="1" applyFont="1" applyFill="1" applyBorder="1" applyAlignment="1">
      <alignment horizontal="right"/>
    </xf>
    <xf numFmtId="1" fontId="7" fillId="0" borderId="8" xfId="10" applyFont="1" applyBorder="1" applyAlignment="1" applyProtection="1">
      <alignment horizontal="right"/>
      <protection locked="0"/>
    </xf>
    <xf numFmtId="2" fontId="7" fillId="0" borderId="9" xfId="10" applyNumberFormat="1" applyFont="1" applyBorder="1" applyAlignment="1" applyProtection="1">
      <alignment horizontal="left"/>
      <protection locked="0"/>
    </xf>
    <xf numFmtId="1" fontId="7" fillId="0" borderId="1" xfId="10" applyFont="1" applyBorder="1" applyProtection="1">
      <protection locked="0"/>
    </xf>
    <xf numFmtId="2" fontId="7" fillId="0" borderId="1" xfId="10" applyNumberFormat="1" applyFont="1" applyBorder="1" applyProtection="1">
      <protection locked="0"/>
    </xf>
    <xf numFmtId="1" fontId="7" fillId="0" borderId="1" xfId="10" applyFont="1" applyBorder="1"/>
    <xf numFmtId="0" fontId="7" fillId="0" borderId="1" xfId="3" applyFont="1" applyBorder="1"/>
    <xf numFmtId="0" fontId="7" fillId="0" borderId="0" xfId="3" applyFont="1" applyAlignment="1" applyProtection="1">
      <alignment horizontal="left"/>
      <protection locked="0"/>
    </xf>
    <xf numFmtId="0" fontId="1" fillId="0" borderId="0" xfId="3" applyFont="1" applyAlignment="1" applyProtection="1">
      <alignment horizontal="right"/>
      <protection locked="0"/>
    </xf>
    <xf numFmtId="0" fontId="4" fillId="0" borderId="0" xfId="11" applyProtection="1">
      <protection locked="0"/>
    </xf>
    <xf numFmtId="0" fontId="4" fillId="0" borderId="13" xfId="11" applyBorder="1" applyProtection="1">
      <protection locked="0"/>
    </xf>
    <xf numFmtId="0" fontId="7" fillId="0" borderId="13" xfId="3" applyFont="1" applyBorder="1" applyProtection="1">
      <protection locked="0"/>
    </xf>
    <xf numFmtId="0" fontId="1" fillId="0" borderId="0" xfId="11" applyFont="1" applyAlignment="1" applyProtection="1">
      <alignment horizontal="right"/>
      <protection locked="0"/>
    </xf>
    <xf numFmtId="15" fontId="4" fillId="0" borderId="0" xfId="11" applyNumberFormat="1" applyProtection="1">
      <protection locked="0"/>
    </xf>
    <xf numFmtId="0" fontId="26" fillId="0" borderId="0" xfId="7" applyFont="1" applyAlignment="1" applyProtection="1">
      <alignment horizontal="right"/>
      <protection locked="0"/>
    </xf>
    <xf numFmtId="0" fontId="26" fillId="0" borderId="0" xfId="11" applyFont="1" applyAlignment="1" applyProtection="1">
      <alignment horizontal="right"/>
      <protection locked="0"/>
    </xf>
    <xf numFmtId="0" fontId="15" fillId="0" borderId="13" xfId="7" applyFont="1" applyBorder="1" applyAlignment="1" applyProtection="1">
      <alignment horizontal="left"/>
      <protection locked="0"/>
    </xf>
    <xf numFmtId="0" fontId="15" fillId="0" borderId="0" xfId="7" applyFont="1" applyAlignment="1" applyProtection="1">
      <alignment horizontal="left"/>
      <protection locked="0"/>
    </xf>
    <xf numFmtId="0" fontId="4" fillId="0" borderId="0" xfId="11"/>
    <xf numFmtId="0" fontId="1" fillId="0" borderId="0" xfId="3" applyFont="1" applyAlignment="1" applyProtection="1">
      <alignment horizontal="left"/>
      <protection locked="0"/>
    </xf>
    <xf numFmtId="0" fontId="1" fillId="0" borderId="0" xfId="3" applyFont="1" applyProtection="1">
      <protection locked="0"/>
    </xf>
    <xf numFmtId="0" fontId="4" fillId="0" borderId="0" xfId="3" applyAlignment="1" applyProtection="1">
      <alignment horizontal="center"/>
      <protection locked="0"/>
    </xf>
    <xf numFmtId="0" fontId="4" fillId="0" borderId="22" xfId="3" applyBorder="1" applyProtection="1">
      <protection locked="0"/>
    </xf>
    <xf numFmtId="0" fontId="4" fillId="0" borderId="34" xfId="3" applyBorder="1" applyProtection="1">
      <protection locked="0"/>
    </xf>
    <xf numFmtId="0" fontId="4" fillId="0" borderId="35" xfId="3" applyBorder="1" applyProtection="1">
      <protection locked="0"/>
    </xf>
    <xf numFmtId="0" fontId="4" fillId="0" borderId="36" xfId="3" applyBorder="1" applyProtection="1">
      <protection locked="0"/>
    </xf>
    <xf numFmtId="0" fontId="4" fillId="0" borderId="37" xfId="3" applyBorder="1" applyProtection="1">
      <protection locked="0"/>
    </xf>
    <xf numFmtId="0" fontId="4" fillId="0" borderId="38" xfId="3" applyBorder="1" applyProtection="1">
      <protection locked="0"/>
    </xf>
    <xf numFmtId="0" fontId="4" fillId="0" borderId="39" xfId="3" applyBorder="1" applyProtection="1">
      <protection locked="0"/>
    </xf>
    <xf numFmtId="0" fontId="60" fillId="0" borderId="0" xfId="3" applyFont="1" applyProtection="1">
      <protection locked="0"/>
    </xf>
    <xf numFmtId="0" fontId="4" fillId="0" borderId="0" xfId="0" applyFont="1"/>
    <xf numFmtId="0" fontId="4" fillId="0" borderId="0" xfId="0" applyFont="1" applyAlignment="1">
      <alignment vertical="top"/>
    </xf>
    <xf numFmtId="1" fontId="4" fillId="0" borderId="25" xfId="0" applyNumberFormat="1" applyFont="1" applyBorder="1" applyAlignment="1">
      <alignment horizontal="center" vertical="top"/>
    </xf>
    <xf numFmtId="4" fontId="4" fillId="0" borderId="0" xfId="0" applyNumberFormat="1" applyFont="1" applyAlignment="1">
      <alignment vertical="top"/>
    </xf>
    <xf numFmtId="0" fontId="1" fillId="0" borderId="0" xfId="0" applyFont="1" applyAlignment="1">
      <alignment horizontal="center" vertical="top"/>
    </xf>
    <xf numFmtId="0" fontId="4" fillId="0" borderId="0" xfId="0" applyFont="1" applyProtection="1">
      <protection locked="0"/>
    </xf>
    <xf numFmtId="177" fontId="77" fillId="12" borderId="3" xfId="0" applyNumberFormat="1" applyFont="1" applyFill="1" applyBorder="1" applyAlignment="1" applyProtection="1">
      <alignment horizontal="center"/>
      <protection locked="0"/>
    </xf>
    <xf numFmtId="40" fontId="148" fillId="0" borderId="3" xfId="1" applyNumberFormat="1" applyFont="1" applyFill="1" applyBorder="1" applyAlignment="1" applyProtection="1">
      <alignment horizontal="right"/>
      <protection locked="0"/>
    </xf>
    <xf numFmtId="0" fontId="25" fillId="0" borderId="0" xfId="3" applyFont="1" applyAlignment="1" applyProtection="1">
      <alignment horizontal="right"/>
      <protection locked="0"/>
    </xf>
    <xf numFmtId="0" fontId="72" fillId="0" borderId="0" xfId="0" applyFont="1"/>
    <xf numFmtId="2" fontId="7" fillId="2" borderId="0" xfId="3" applyNumberFormat="1" applyFont="1" applyFill="1" applyAlignment="1" applyProtection="1">
      <alignment vertical="top"/>
      <protection locked="0"/>
    </xf>
    <xf numFmtId="2" fontId="15" fillId="14" borderId="3" xfId="10" applyNumberFormat="1" applyFont="1" applyFill="1" applyBorder="1" applyAlignment="1" applyProtection="1">
      <alignment horizontal="center" vertical="top"/>
      <protection locked="0"/>
    </xf>
    <xf numFmtId="1" fontId="7" fillId="0" borderId="0" xfId="10" applyFont="1" applyAlignment="1" applyProtection="1">
      <alignment horizontal="center" vertical="top"/>
      <protection locked="0"/>
    </xf>
    <xf numFmtId="1" fontId="59" fillId="0" borderId="0" xfId="10" applyFont="1" applyAlignment="1" applyProtection="1">
      <alignment horizontal="left" vertical="top"/>
      <protection locked="0"/>
    </xf>
    <xf numFmtId="1" fontId="14" fillId="0" borderId="0" xfId="10" applyFont="1" applyAlignment="1" applyProtection="1">
      <alignment vertical="top"/>
      <protection locked="0"/>
    </xf>
    <xf numFmtId="2" fontId="15" fillId="0" borderId="0" xfId="10" applyNumberFormat="1" applyFont="1" applyAlignment="1" applyProtection="1">
      <alignment vertical="top"/>
      <protection locked="0"/>
    </xf>
    <xf numFmtId="1" fontId="7" fillId="0" borderId="0" xfId="10" applyFont="1" applyAlignment="1" applyProtection="1">
      <alignment vertical="top"/>
      <protection locked="0"/>
    </xf>
    <xf numFmtId="2" fontId="15" fillId="3" borderId="0" xfId="3" applyNumberFormat="1" applyFont="1" applyFill="1" applyAlignment="1" applyProtection="1">
      <alignment vertical="top"/>
      <protection locked="0"/>
    </xf>
    <xf numFmtId="2" fontId="7" fillId="3" borderId="0" xfId="10" applyNumberFormat="1" applyFont="1" applyFill="1"/>
    <xf numFmtId="1" fontId="13" fillId="0" borderId="1" xfId="10" applyFont="1" applyBorder="1" applyAlignment="1" applyProtection="1">
      <alignment horizontal="right"/>
      <protection locked="0"/>
    </xf>
    <xf numFmtId="1" fontId="7" fillId="0" borderId="1" xfId="10" applyFont="1" applyBorder="1" applyAlignment="1" applyProtection="1">
      <alignment horizontal="center"/>
      <protection locked="0"/>
    </xf>
    <xf numFmtId="2" fontId="61" fillId="3" borderId="15" xfId="10" applyNumberFormat="1" applyFont="1" applyFill="1" applyBorder="1" applyAlignment="1">
      <alignment horizontal="right"/>
    </xf>
    <xf numFmtId="1" fontId="7" fillId="0" borderId="1" xfId="10" applyFont="1" applyBorder="1" applyAlignment="1" applyProtection="1">
      <alignment horizontal="right"/>
      <protection locked="0"/>
    </xf>
    <xf numFmtId="2" fontId="59" fillId="15" borderId="1" xfId="10" applyNumberFormat="1" applyFont="1" applyFill="1" applyBorder="1" applyAlignment="1">
      <alignment horizontal="right" vertical="top"/>
    </xf>
    <xf numFmtId="2" fontId="7" fillId="0" borderId="0" xfId="10" applyNumberFormat="1" applyFont="1" applyAlignment="1" applyProtection="1">
      <alignment horizontal="right" vertical="top"/>
      <protection locked="0"/>
    </xf>
    <xf numFmtId="2" fontId="7" fillId="0" borderId="0" xfId="3" applyNumberFormat="1" applyFont="1" applyProtection="1">
      <protection locked="0"/>
    </xf>
    <xf numFmtId="178" fontId="1" fillId="0" borderId="23" xfId="12" applyNumberFormat="1" applyFont="1" applyBorder="1" applyAlignment="1">
      <alignment horizontal="centerContinuous" vertical="top"/>
    </xf>
    <xf numFmtId="0" fontId="120" fillId="0" borderId="22" xfId="12" applyFont="1" applyBorder="1" applyAlignment="1">
      <alignment horizontal="centerContinuous" vertical="top"/>
    </xf>
    <xf numFmtId="1" fontId="120" fillId="0" borderId="22" xfId="12" applyNumberFormat="1" applyFont="1" applyBorder="1" applyAlignment="1">
      <alignment horizontal="centerContinuous" vertical="top"/>
    </xf>
    <xf numFmtId="0" fontId="120" fillId="0" borderId="22" xfId="12" applyFont="1" applyBorder="1" applyAlignment="1" applyProtection="1">
      <alignment horizontal="centerContinuous" vertical="top"/>
      <protection locked="0"/>
    </xf>
    <xf numFmtId="0" fontId="120" fillId="0" borderId="24" xfId="12" applyFont="1" applyBorder="1" applyAlignment="1" applyProtection="1">
      <alignment horizontal="centerContinuous" vertical="top"/>
      <protection locked="0"/>
    </xf>
    <xf numFmtId="0" fontId="149" fillId="0" borderId="0" xfId="12" applyAlignment="1">
      <alignment vertical="top"/>
    </xf>
    <xf numFmtId="178" fontId="1" fillId="0" borderId="17" xfId="12" applyNumberFormat="1" applyFont="1" applyBorder="1" applyAlignment="1">
      <alignment horizontal="centerContinuous" vertical="top"/>
    </xf>
    <xf numFmtId="0" fontId="4" fillId="0" borderId="0" xfId="12" applyFont="1" applyAlignment="1">
      <alignment horizontal="centerContinuous" vertical="top"/>
    </xf>
    <xf numFmtId="1" fontId="4" fillId="0" borderId="0" xfId="12" applyNumberFormat="1" applyFont="1" applyAlignment="1">
      <alignment horizontal="centerContinuous" vertical="top"/>
    </xf>
    <xf numFmtId="0" fontId="4" fillId="0" borderId="0" xfId="12" applyFont="1" applyAlignment="1" applyProtection="1">
      <alignment horizontal="centerContinuous" vertical="top"/>
      <protection locked="0"/>
    </xf>
    <xf numFmtId="0" fontId="4" fillId="0" borderId="19" xfId="12" applyFont="1" applyBorder="1" applyAlignment="1" applyProtection="1">
      <alignment horizontal="centerContinuous" vertical="top"/>
      <protection locked="0"/>
    </xf>
    <xf numFmtId="178" fontId="15" fillId="0" borderId="17" xfId="12" applyNumberFormat="1" applyFont="1" applyBorder="1" applyAlignment="1">
      <alignment vertical="top"/>
    </xf>
    <xf numFmtId="0" fontId="4" fillId="0" borderId="0" xfId="12" applyFont="1" applyAlignment="1">
      <alignment vertical="top"/>
    </xf>
    <xf numFmtId="1" fontId="4" fillId="0" borderId="0" xfId="12" applyNumberFormat="1" applyFont="1" applyAlignment="1">
      <alignment vertical="top"/>
    </xf>
    <xf numFmtId="0" fontId="4" fillId="0" borderId="0" xfId="12" applyFont="1" applyAlignment="1" applyProtection="1">
      <alignment vertical="top"/>
      <protection locked="0"/>
    </xf>
    <xf numFmtId="0" fontId="4" fillId="0" borderId="19" xfId="12" applyFont="1" applyBorder="1" applyAlignment="1" applyProtection="1">
      <alignment vertical="top"/>
      <protection locked="0"/>
    </xf>
    <xf numFmtId="178" fontId="1" fillId="0" borderId="4" xfId="12" applyNumberFormat="1" applyFont="1" applyBorder="1" applyAlignment="1">
      <alignment horizontal="center" vertical="top"/>
    </xf>
    <xf numFmtId="4" fontId="1" fillId="0" borderId="33" xfId="12" applyNumberFormat="1" applyFont="1" applyBorder="1" applyAlignment="1">
      <alignment horizontal="centerContinuous" vertical="top"/>
    </xf>
    <xf numFmtId="4" fontId="1" fillId="0" borderId="4" xfId="12" applyNumberFormat="1" applyFont="1" applyBorder="1" applyAlignment="1">
      <alignment horizontal="center" vertical="top"/>
    </xf>
    <xf numFmtId="1" fontId="1" fillId="0" borderId="4" xfId="12" applyNumberFormat="1" applyFont="1" applyBorder="1" applyAlignment="1">
      <alignment horizontal="center" vertical="top"/>
    </xf>
    <xf numFmtId="4" fontId="1" fillId="0" borderId="4" xfId="12" applyNumberFormat="1" applyFont="1" applyBorder="1" applyAlignment="1" applyProtection="1">
      <alignment horizontal="center" vertical="top"/>
      <protection locked="0"/>
    </xf>
    <xf numFmtId="4" fontId="1" fillId="0" borderId="6" xfId="12" applyNumberFormat="1" applyFont="1" applyBorder="1" applyAlignment="1" applyProtection="1">
      <alignment horizontal="center" vertical="top"/>
      <protection locked="0"/>
    </xf>
    <xf numFmtId="178" fontId="4" fillId="0" borderId="17" xfId="12" applyNumberFormat="1" applyFont="1" applyBorder="1" applyAlignment="1">
      <alignment horizontal="center" vertical="top"/>
    </xf>
    <xf numFmtId="4" fontId="4" fillId="0" borderId="0" xfId="12" applyNumberFormat="1" applyFont="1" applyAlignment="1">
      <alignment vertical="top" wrapText="1"/>
    </xf>
    <xf numFmtId="4" fontId="4" fillId="0" borderId="17" xfId="12" applyNumberFormat="1" applyFont="1" applyBorder="1" applyAlignment="1">
      <alignment horizontal="center" vertical="top"/>
    </xf>
    <xf numFmtId="1" fontId="4" fillId="0" borderId="17" xfId="12" applyNumberFormat="1" applyFont="1" applyBorder="1" applyAlignment="1">
      <alignment horizontal="center" vertical="top"/>
    </xf>
    <xf numFmtId="4" fontId="4" fillId="0" borderId="17" xfId="12" applyNumberFormat="1" applyFont="1" applyBorder="1" applyAlignment="1" applyProtection="1">
      <alignment horizontal="right" vertical="top"/>
      <protection locked="0"/>
    </xf>
    <xf numFmtId="4" fontId="4" fillId="0" borderId="25" xfId="12" applyNumberFormat="1" applyFont="1" applyBorder="1" applyAlignment="1" applyProtection="1">
      <alignment horizontal="right" vertical="top"/>
      <protection locked="0"/>
    </xf>
    <xf numFmtId="4" fontId="1" fillId="0" borderId="0" xfId="12" applyNumberFormat="1" applyFont="1" applyAlignment="1">
      <alignment vertical="top" wrapText="1"/>
    </xf>
    <xf numFmtId="4" fontId="25" fillId="0" borderId="0" xfId="12" applyNumberFormat="1" applyFont="1" applyAlignment="1">
      <alignment vertical="top" wrapText="1"/>
    </xf>
    <xf numFmtId="4" fontId="4" fillId="0" borderId="17" xfId="12" applyNumberFormat="1" applyFont="1" applyBorder="1" applyAlignment="1">
      <alignment horizontal="center"/>
    </xf>
    <xf numFmtId="1" fontId="4" fillId="0" borderId="17" xfId="12" applyNumberFormat="1" applyFont="1" applyBorder="1" applyAlignment="1">
      <alignment horizontal="center"/>
    </xf>
    <xf numFmtId="4" fontId="4" fillId="0" borderId="17" xfId="12" applyNumberFormat="1" applyFont="1" applyBorder="1" applyAlignment="1" applyProtection="1">
      <alignment horizontal="right"/>
      <protection locked="0"/>
    </xf>
    <xf numFmtId="4" fontId="4" fillId="0" borderId="25" xfId="12" applyNumberFormat="1" applyFont="1" applyBorder="1" applyAlignment="1" applyProtection="1">
      <alignment horizontal="right"/>
      <protection locked="0"/>
    </xf>
    <xf numFmtId="178" fontId="4" fillId="0" borderId="0" xfId="12" applyNumberFormat="1" applyFont="1" applyAlignment="1">
      <alignment horizontal="left" vertical="top" wrapText="1"/>
    </xf>
    <xf numFmtId="178" fontId="4" fillId="19" borderId="17" xfId="12" applyNumberFormat="1" applyFont="1" applyFill="1" applyBorder="1" applyAlignment="1">
      <alignment horizontal="center" vertical="top"/>
    </xf>
    <xf numFmtId="4" fontId="4" fillId="19" borderId="0" xfId="12" applyNumberFormat="1" applyFont="1" applyFill="1" applyAlignment="1">
      <alignment vertical="top" wrapText="1"/>
    </xf>
    <xf numFmtId="4" fontId="4" fillId="19" borderId="17" xfId="12" applyNumberFormat="1" applyFont="1" applyFill="1" applyBorder="1" applyAlignment="1">
      <alignment horizontal="center"/>
    </xf>
    <xf numFmtId="1" fontId="4" fillId="19" borderId="17" xfId="12" applyNumberFormat="1" applyFont="1" applyFill="1" applyBorder="1" applyAlignment="1">
      <alignment horizontal="center"/>
    </xf>
    <xf numFmtId="4" fontId="4" fillId="19" borderId="17" xfId="12" applyNumberFormat="1" applyFont="1" applyFill="1" applyBorder="1" applyAlignment="1" applyProtection="1">
      <alignment horizontal="right"/>
      <protection locked="0"/>
    </xf>
    <xf numFmtId="4" fontId="4" fillId="19" borderId="25" xfId="12" applyNumberFormat="1" applyFont="1" applyFill="1" applyBorder="1" applyAlignment="1" applyProtection="1">
      <alignment horizontal="right"/>
      <protection locked="0"/>
    </xf>
    <xf numFmtId="4" fontId="4" fillId="0" borderId="19" xfId="12" applyNumberFormat="1" applyFont="1" applyBorder="1" applyAlignment="1">
      <alignment horizontal="left" vertical="top" wrapText="1"/>
    </xf>
    <xf numFmtId="3" fontId="4" fillId="0" borderId="17" xfId="12" applyNumberFormat="1" applyFont="1" applyBorder="1" applyAlignment="1">
      <alignment horizontal="center" vertical="top"/>
    </xf>
    <xf numFmtId="4" fontId="4" fillId="0" borderId="44" xfId="12" applyNumberFormat="1" applyFont="1" applyBorder="1" applyAlignment="1">
      <alignment horizontal="left" vertical="top" wrapText="1"/>
    </xf>
    <xf numFmtId="178" fontId="4" fillId="0" borderId="45" xfId="12" applyNumberFormat="1" applyFont="1" applyBorder="1" applyAlignment="1">
      <alignment horizontal="center" vertical="top"/>
    </xf>
    <xf numFmtId="4" fontId="4" fillId="0" borderId="28" xfId="12" applyNumberFormat="1" applyFont="1" applyBorder="1" applyAlignment="1">
      <alignment vertical="top" wrapText="1"/>
    </xf>
    <xf numFmtId="4" fontId="4" fillId="0" borderId="28" xfId="12" applyNumberFormat="1" applyFont="1" applyBorder="1" applyAlignment="1">
      <alignment horizontal="center" vertical="top"/>
    </xf>
    <xf numFmtId="1" fontId="4" fillId="0" borderId="28" xfId="12" applyNumberFormat="1" applyFont="1" applyBorder="1" applyAlignment="1">
      <alignment horizontal="center" vertical="top"/>
    </xf>
    <xf numFmtId="4" fontId="4" fillId="0" borderId="28" xfId="12" applyNumberFormat="1" applyFont="1" applyBorder="1" applyAlignment="1" applyProtection="1">
      <alignment vertical="top"/>
      <protection locked="0"/>
    </xf>
    <xf numFmtId="4" fontId="4" fillId="0" borderId="46" xfId="12" applyNumberFormat="1" applyFont="1" applyBorder="1" applyAlignment="1" applyProtection="1">
      <alignment vertical="top"/>
      <protection locked="0"/>
    </xf>
    <xf numFmtId="178" fontId="4" fillId="0" borderId="17" xfId="12" applyNumberFormat="1" applyFont="1" applyBorder="1" applyAlignment="1">
      <alignment vertical="top"/>
    </xf>
    <xf numFmtId="4" fontId="1" fillId="0" borderId="0" xfId="12" applyNumberFormat="1" applyFont="1" applyAlignment="1">
      <alignment horizontal="left" vertical="top" wrapText="1"/>
    </xf>
    <xf numFmtId="4" fontId="1" fillId="0" borderId="0" xfId="12" applyNumberFormat="1" applyFont="1" applyAlignment="1">
      <alignment horizontal="right" vertical="top"/>
    </xf>
    <xf numFmtId="1" fontId="1" fillId="0" borderId="0" xfId="12" applyNumberFormat="1" applyFont="1" applyAlignment="1">
      <alignment horizontal="center" vertical="top"/>
    </xf>
    <xf numFmtId="4" fontId="1" fillId="0" borderId="0" xfId="12" applyNumberFormat="1" applyFont="1" applyAlignment="1" applyProtection="1">
      <alignment horizontal="center" vertical="top"/>
      <protection locked="0"/>
    </xf>
    <xf numFmtId="4" fontId="1" fillId="0" borderId="25" xfId="12" applyNumberFormat="1" applyFont="1" applyBorder="1" applyAlignment="1" applyProtection="1">
      <alignment horizontal="center" vertical="top"/>
      <protection locked="0"/>
    </xf>
    <xf numFmtId="178" fontId="4" fillId="0" borderId="20" xfId="12" applyNumberFormat="1" applyFont="1" applyBorder="1" applyAlignment="1">
      <alignment vertical="top"/>
    </xf>
    <xf numFmtId="0" fontId="4" fillId="0" borderId="13" xfId="12" applyFont="1" applyBorder="1" applyAlignment="1">
      <alignment vertical="top" wrapText="1"/>
    </xf>
    <xf numFmtId="0" fontId="4" fillId="0" borderId="13" xfId="12" applyFont="1" applyBorder="1" applyAlignment="1">
      <alignment vertical="top"/>
    </xf>
    <xf numFmtId="1" fontId="4" fillId="0" borderId="13" xfId="12" applyNumberFormat="1" applyFont="1" applyBorder="1" applyAlignment="1">
      <alignment vertical="top"/>
    </xf>
    <xf numFmtId="0" fontId="4" fillId="0" borderId="13" xfId="12" applyFont="1" applyBorder="1" applyAlignment="1" applyProtection="1">
      <alignment vertical="top"/>
      <protection locked="0"/>
    </xf>
    <xf numFmtId="0" fontId="4" fillId="0" borderId="11" xfId="12" applyFont="1" applyBorder="1" applyAlignment="1" applyProtection="1">
      <alignment vertical="top"/>
      <protection locked="0"/>
    </xf>
    <xf numFmtId="178" fontId="149" fillId="0" borderId="0" xfId="12" applyNumberFormat="1" applyAlignment="1">
      <alignment vertical="top"/>
    </xf>
    <xf numFmtId="1" fontId="149" fillId="0" borderId="0" xfId="12" applyNumberFormat="1" applyAlignment="1">
      <alignment vertical="top"/>
    </xf>
    <xf numFmtId="0" fontId="149" fillId="0" borderId="0" xfId="12" applyAlignment="1" applyProtection="1">
      <alignment vertical="top"/>
      <protection locked="0"/>
    </xf>
    <xf numFmtId="4" fontId="4" fillId="0" borderId="0" xfId="12" applyNumberFormat="1" applyFont="1" applyAlignment="1" applyProtection="1">
      <alignment horizontal="center" vertical="top"/>
      <protection locked="0"/>
    </xf>
    <xf numFmtId="178" fontId="1" fillId="0" borderId="17" xfId="12" applyNumberFormat="1" applyFont="1" applyBorder="1" applyAlignment="1">
      <alignment horizontal="center" vertical="top"/>
    </xf>
    <xf numFmtId="4" fontId="1" fillId="0" borderId="0" xfId="12" applyNumberFormat="1" applyFont="1" applyAlignment="1">
      <alignment horizontal="centerContinuous" vertical="top"/>
    </xf>
    <xf numFmtId="1" fontId="1" fillId="0" borderId="17" xfId="12" applyNumberFormat="1" applyFont="1" applyBorder="1" applyAlignment="1">
      <alignment horizontal="center" vertical="top"/>
    </xf>
    <xf numFmtId="4" fontId="1" fillId="0" borderId="17" xfId="12" applyNumberFormat="1" applyFont="1" applyBorder="1" applyAlignment="1">
      <alignment horizontal="center" vertical="top"/>
    </xf>
    <xf numFmtId="4" fontId="1" fillId="0" borderId="17" xfId="12" applyNumberFormat="1" applyFont="1" applyBorder="1" applyAlignment="1" applyProtection="1">
      <alignment horizontal="center" vertical="top"/>
      <protection locked="0"/>
    </xf>
    <xf numFmtId="4" fontId="1" fillId="0" borderId="19" xfId="12" applyNumberFormat="1" applyFont="1" applyBorder="1" applyAlignment="1">
      <alignment vertical="top" wrapText="1"/>
    </xf>
    <xf numFmtId="1" fontId="4" fillId="19" borderId="17" xfId="12" applyNumberFormat="1" applyFont="1" applyFill="1" applyBorder="1" applyAlignment="1">
      <alignment horizontal="center" vertical="top"/>
    </xf>
    <xf numFmtId="4" fontId="4" fillId="19" borderId="17" xfId="12" applyNumberFormat="1" applyFont="1" applyFill="1" applyBorder="1" applyAlignment="1">
      <alignment horizontal="center" vertical="top"/>
    </xf>
    <xf numFmtId="4" fontId="4" fillId="19" borderId="17" xfId="12" applyNumberFormat="1" applyFont="1" applyFill="1" applyBorder="1" applyAlignment="1" applyProtection="1">
      <alignment horizontal="right" vertical="top"/>
      <protection locked="0"/>
    </xf>
    <xf numFmtId="4" fontId="4" fillId="19" borderId="25" xfId="12" applyNumberFormat="1" applyFont="1" applyFill="1" applyBorder="1" applyAlignment="1" applyProtection="1">
      <alignment horizontal="right" vertical="top"/>
      <protection locked="0"/>
    </xf>
    <xf numFmtId="4" fontId="25" fillId="19" borderId="0" xfId="12" applyNumberFormat="1" applyFont="1" applyFill="1" applyAlignment="1">
      <alignment vertical="top" wrapText="1"/>
    </xf>
    <xf numFmtId="4" fontId="149" fillId="0" borderId="0" xfId="12" applyNumberFormat="1" applyAlignment="1">
      <alignment vertical="top"/>
    </xf>
    <xf numFmtId="1" fontId="4" fillId="0" borderId="25" xfId="12" applyNumberFormat="1" applyFont="1" applyBorder="1" applyAlignment="1">
      <alignment horizontal="center" vertical="top"/>
    </xf>
    <xf numFmtId="178" fontId="149" fillId="0" borderId="17" xfId="12" applyNumberFormat="1" applyBorder="1" applyAlignment="1">
      <alignment vertical="top"/>
    </xf>
    <xf numFmtId="0" fontId="4" fillId="0" borderId="0" xfId="12" applyFont="1" applyAlignment="1" applyProtection="1">
      <alignment horizontal="right" vertical="top"/>
      <protection locked="0"/>
    </xf>
    <xf numFmtId="4" fontId="1" fillId="0" borderId="4" xfId="12" applyNumberFormat="1" applyFont="1" applyBorder="1" applyAlignment="1" applyProtection="1">
      <alignment horizontal="right" vertical="top"/>
      <protection locked="0"/>
    </xf>
    <xf numFmtId="4" fontId="4" fillId="19" borderId="0" xfId="12" applyNumberFormat="1" applyFont="1" applyFill="1" applyAlignment="1">
      <alignment wrapText="1"/>
    </xf>
    <xf numFmtId="4" fontId="4" fillId="0" borderId="0" xfId="12" applyNumberFormat="1" applyFont="1" applyAlignment="1">
      <alignment wrapText="1"/>
    </xf>
    <xf numFmtId="178" fontId="4" fillId="0" borderId="25" xfId="12" applyNumberFormat="1" applyFont="1" applyBorder="1" applyAlignment="1">
      <alignment horizontal="center" vertical="top"/>
    </xf>
    <xf numFmtId="4" fontId="4" fillId="0" borderId="28" xfId="12" applyNumberFormat="1" applyFont="1" applyBorder="1" applyAlignment="1" applyProtection="1">
      <alignment horizontal="right" vertical="top"/>
      <protection locked="0"/>
    </xf>
    <xf numFmtId="4" fontId="1" fillId="0" borderId="0" xfId="12" applyNumberFormat="1" applyFont="1" applyAlignment="1" applyProtection="1">
      <alignment horizontal="right" vertical="top"/>
      <protection locked="0"/>
    </xf>
    <xf numFmtId="0" fontId="4" fillId="0" borderId="13" xfId="12" applyFont="1" applyBorder="1" applyAlignment="1" applyProtection="1">
      <alignment horizontal="right" vertical="top"/>
      <protection locked="0"/>
    </xf>
    <xf numFmtId="0" fontId="120" fillId="0" borderId="22" xfId="12" applyFont="1" applyBorder="1" applyAlignment="1" applyProtection="1">
      <alignment horizontal="right" vertical="top"/>
      <protection locked="0"/>
    </xf>
    <xf numFmtId="0" fontId="4" fillId="0" borderId="0" xfId="12" applyFont="1" applyAlignment="1">
      <alignment vertical="top" wrapText="1"/>
    </xf>
    <xf numFmtId="0" fontId="149" fillId="0" borderId="0" xfId="12"/>
    <xf numFmtId="4" fontId="1" fillId="0" borderId="17" xfId="12" applyNumberFormat="1" applyFont="1" applyBorder="1" applyAlignment="1" applyProtection="1">
      <alignment horizontal="right" vertical="top"/>
      <protection locked="0"/>
    </xf>
    <xf numFmtId="0" fontId="149" fillId="0" borderId="0" xfId="12" applyAlignment="1" applyProtection="1">
      <alignment horizontal="right" vertical="top"/>
      <protection locked="0"/>
    </xf>
    <xf numFmtId="4" fontId="4" fillId="0" borderId="19" xfId="12" applyNumberFormat="1" applyFont="1" applyBorder="1" applyAlignment="1">
      <alignment vertical="top" wrapText="1"/>
    </xf>
    <xf numFmtId="4" fontId="4" fillId="0" borderId="0" xfId="12" applyNumberFormat="1" applyFont="1" applyAlignment="1">
      <alignment horizontal="center" vertical="top"/>
    </xf>
    <xf numFmtId="0" fontId="120" fillId="0" borderId="22" xfId="12" applyFont="1" applyBorder="1" applyAlignment="1">
      <alignment horizontal="centerContinuous" vertical="top" wrapText="1"/>
    </xf>
    <xf numFmtId="0" fontId="4" fillId="0" borderId="0" xfId="12" applyFont="1" applyAlignment="1">
      <alignment horizontal="centerContinuous" vertical="top" wrapText="1"/>
    </xf>
    <xf numFmtId="4" fontId="4" fillId="0" borderId="44" xfId="12" applyNumberFormat="1" applyFont="1" applyBorder="1" applyAlignment="1">
      <alignment vertical="top" wrapText="1"/>
    </xf>
    <xf numFmtId="4" fontId="4" fillId="0" borderId="0" xfId="12" applyNumberFormat="1" applyFont="1" applyAlignment="1">
      <alignment horizontal="left" vertical="top" wrapText="1"/>
    </xf>
    <xf numFmtId="4" fontId="32" fillId="0" borderId="19" xfId="12" applyNumberFormat="1" applyFont="1" applyBorder="1" applyAlignment="1">
      <alignment horizontal="left" vertical="top" wrapText="1"/>
    </xf>
    <xf numFmtId="0" fontId="4" fillId="0" borderId="0" xfId="12" applyFont="1" applyAlignment="1">
      <alignment horizontal="centerContinuous"/>
    </xf>
    <xf numFmtId="4" fontId="4" fillId="0" borderId="0" xfId="12" applyNumberFormat="1" applyFont="1" applyAlignment="1">
      <alignment vertical="top"/>
    </xf>
    <xf numFmtId="0" fontId="4" fillId="0" borderId="17" xfId="12" applyFont="1" applyBorder="1" applyAlignment="1">
      <alignment horizontal="center" vertical="top"/>
    </xf>
    <xf numFmtId="4" fontId="4" fillId="0" borderId="17" xfId="12" applyNumberFormat="1" applyFont="1" applyBorder="1" applyAlignment="1">
      <alignment horizontal="center" wrapText="1"/>
    </xf>
    <xf numFmtId="4" fontId="4" fillId="19" borderId="19" xfId="12" applyNumberFormat="1" applyFont="1" applyFill="1" applyBorder="1" applyAlignment="1">
      <alignment horizontal="left" vertical="top" wrapText="1"/>
    </xf>
    <xf numFmtId="4" fontId="4" fillId="19" borderId="17" xfId="12" applyNumberFormat="1" applyFont="1" applyFill="1" applyBorder="1" applyAlignment="1">
      <alignment horizontal="center" wrapText="1"/>
    </xf>
    <xf numFmtId="4" fontId="4" fillId="0" borderId="17" xfId="12" applyNumberFormat="1" applyFont="1" applyBorder="1" applyAlignment="1">
      <alignment horizontal="center" vertical="top" wrapText="1"/>
    </xf>
    <xf numFmtId="0" fontId="4" fillId="0" borderId="28" xfId="12" applyFont="1" applyBorder="1" applyAlignment="1">
      <alignment horizontal="center" vertical="top"/>
    </xf>
    <xf numFmtId="0" fontId="1" fillId="0" borderId="0" xfId="12" applyFont="1" applyAlignment="1">
      <alignment horizontal="center" vertical="top"/>
    </xf>
    <xf numFmtId="4" fontId="25" fillId="0" borderId="19" xfId="12" applyNumberFormat="1" applyFont="1" applyBorder="1" applyAlignment="1">
      <alignment vertical="top" wrapText="1"/>
    </xf>
    <xf numFmtId="4" fontId="4" fillId="0" borderId="19" xfId="12" applyNumberFormat="1" applyFont="1" applyBorder="1" applyAlignment="1">
      <alignment wrapText="1"/>
    </xf>
    <xf numFmtId="178" fontId="4" fillId="19" borderId="25" xfId="12" applyNumberFormat="1" applyFont="1" applyFill="1" applyBorder="1" applyAlignment="1">
      <alignment horizontal="center" vertical="top"/>
    </xf>
    <xf numFmtId="4" fontId="4" fillId="19" borderId="19" xfId="12" applyNumberFormat="1" applyFont="1" applyFill="1" applyBorder="1" applyAlignment="1">
      <alignment wrapText="1"/>
    </xf>
    <xf numFmtId="4" fontId="4" fillId="19" borderId="0" xfId="12" applyNumberFormat="1" applyFont="1" applyFill="1" applyAlignment="1">
      <alignment horizontal="center" vertical="top"/>
    </xf>
    <xf numFmtId="3" fontId="4" fillId="19" borderId="17" xfId="12" applyNumberFormat="1" applyFont="1" applyFill="1" applyBorder="1" applyAlignment="1">
      <alignment horizontal="center" vertical="top"/>
    </xf>
    <xf numFmtId="4" fontId="4" fillId="19" borderId="19" xfId="12" applyNumberFormat="1" applyFont="1" applyFill="1" applyBorder="1" applyAlignment="1">
      <alignment vertical="top" wrapText="1"/>
    </xf>
    <xf numFmtId="4" fontId="4" fillId="0" borderId="25" xfId="12" applyNumberFormat="1" applyFont="1" applyBorder="1" applyAlignment="1">
      <alignment horizontal="center" vertical="top"/>
    </xf>
    <xf numFmtId="4" fontId="4" fillId="0" borderId="47" xfId="12" applyNumberFormat="1" applyFont="1" applyBorder="1" applyAlignment="1">
      <alignment vertical="top" wrapText="1"/>
    </xf>
    <xf numFmtId="4" fontId="25" fillId="0" borderId="0" xfId="12" applyNumberFormat="1" applyFont="1" applyAlignment="1">
      <alignment horizontal="justify" vertical="top" wrapText="1"/>
    </xf>
    <xf numFmtId="4" fontId="4" fillId="19" borderId="19" xfId="12" applyNumberFormat="1" applyFont="1" applyFill="1" applyBorder="1" applyAlignment="1">
      <alignment horizontal="justify" vertical="top" wrapText="1"/>
    </xf>
    <xf numFmtId="4" fontId="4" fillId="0" borderId="0" xfId="12" applyNumberFormat="1" applyFont="1" applyAlignment="1">
      <alignment horizontal="justify" vertical="top" wrapText="1"/>
    </xf>
    <xf numFmtId="4" fontId="4" fillId="0" borderId="19" xfId="12" applyNumberFormat="1" applyFont="1" applyBorder="1" applyAlignment="1">
      <alignment horizontal="justify" vertical="top" wrapText="1"/>
    </xf>
    <xf numFmtId="4" fontId="25" fillId="0" borderId="19" xfId="12" applyNumberFormat="1" applyFont="1" applyBorder="1" applyAlignment="1">
      <alignment horizontal="left" vertical="top" wrapText="1"/>
    </xf>
    <xf numFmtId="0" fontId="4" fillId="0" borderId="0" xfId="12" applyFont="1" applyAlignment="1">
      <alignment horizontal="justify" vertical="center"/>
    </xf>
    <xf numFmtId="4" fontId="4" fillId="19" borderId="0" xfId="12" applyNumberFormat="1" applyFont="1" applyFill="1" applyAlignment="1">
      <alignment horizontal="justify" vertical="top" wrapText="1"/>
    </xf>
    <xf numFmtId="3" fontId="4" fillId="19" borderId="17" xfId="12" applyNumberFormat="1" applyFont="1" applyFill="1" applyBorder="1" applyAlignment="1">
      <alignment horizontal="center"/>
    </xf>
    <xf numFmtId="3" fontId="4" fillId="0" borderId="17" xfId="12" applyNumberFormat="1" applyFont="1" applyBorder="1" applyAlignment="1">
      <alignment horizontal="center"/>
    </xf>
    <xf numFmtId="0" fontId="4" fillId="0" borderId="17" xfId="12" applyFont="1" applyBorder="1" applyAlignment="1">
      <alignment horizontal="center"/>
    </xf>
    <xf numFmtId="178" fontId="4" fillId="0" borderId="17" xfId="0" applyNumberFormat="1" applyFont="1" applyBorder="1" applyAlignment="1">
      <alignment horizontal="center" vertical="top"/>
    </xf>
    <xf numFmtId="4" fontId="25" fillId="0" borderId="0" xfId="0" applyNumberFormat="1" applyFont="1" applyAlignment="1">
      <alignment vertical="top" wrapText="1"/>
    </xf>
    <xf numFmtId="4" fontId="4" fillId="0" borderId="17" xfId="0" applyNumberFormat="1" applyFont="1" applyBorder="1" applyAlignment="1">
      <alignment horizontal="center"/>
    </xf>
    <xf numFmtId="1" fontId="4" fillId="0" borderId="17" xfId="0" applyNumberFormat="1" applyFont="1" applyBorder="1" applyAlignment="1">
      <alignment horizontal="center"/>
    </xf>
    <xf numFmtId="4" fontId="4" fillId="0" borderId="17" xfId="0" applyNumberFormat="1" applyFont="1" applyBorder="1" applyAlignment="1" applyProtection="1">
      <alignment horizontal="right"/>
      <protection locked="0"/>
    </xf>
    <xf numFmtId="4" fontId="4" fillId="0" borderId="25" xfId="0" applyNumberFormat="1" applyFont="1" applyBorder="1" applyAlignment="1" applyProtection="1">
      <alignment horizontal="right"/>
      <protection locked="0"/>
    </xf>
    <xf numFmtId="0" fontId="0" fillId="0" borderId="0" xfId="0" applyAlignment="1">
      <alignment vertical="top"/>
    </xf>
    <xf numFmtId="4" fontId="4" fillId="0" borderId="0" xfId="0" applyNumberFormat="1" applyFont="1" applyAlignment="1">
      <alignment vertical="top" wrapText="1"/>
    </xf>
    <xf numFmtId="178" fontId="4" fillId="0" borderId="0" xfId="0" applyNumberFormat="1" applyFont="1" applyAlignment="1">
      <alignment horizontal="left" vertical="top" wrapText="1"/>
    </xf>
    <xf numFmtId="178" fontId="4" fillId="19" borderId="17" xfId="0" applyNumberFormat="1" applyFont="1" applyFill="1" applyBorder="1" applyAlignment="1">
      <alignment horizontal="center" vertical="top"/>
    </xf>
    <xf numFmtId="4" fontId="4" fillId="19" borderId="0" xfId="0" applyNumberFormat="1" applyFont="1" applyFill="1" applyAlignment="1">
      <alignment vertical="top" wrapText="1"/>
    </xf>
    <xf numFmtId="4" fontId="4" fillId="19" borderId="17" xfId="0" applyNumberFormat="1" applyFont="1" applyFill="1" applyBorder="1" applyAlignment="1">
      <alignment horizontal="center"/>
    </xf>
    <xf numFmtId="1" fontId="4" fillId="19" borderId="17" xfId="0" applyNumberFormat="1" applyFont="1" applyFill="1" applyBorder="1" applyAlignment="1">
      <alignment horizontal="center"/>
    </xf>
    <xf numFmtId="4" fontId="4" fillId="19" borderId="25" xfId="0" applyNumberFormat="1" applyFont="1" applyFill="1" applyBorder="1" applyAlignment="1" applyProtection="1">
      <alignment horizontal="right"/>
      <protection locked="0"/>
    </xf>
    <xf numFmtId="0" fontId="13" fillId="0" borderId="23" xfId="3" applyFont="1" applyBorder="1" applyAlignment="1">
      <alignment horizontal="right"/>
    </xf>
    <xf numFmtId="0" fontId="13" fillId="0" borderId="22" xfId="3" applyFont="1" applyBorder="1" applyAlignment="1">
      <alignment horizontal="right"/>
    </xf>
    <xf numFmtId="1" fontId="15" fillId="0" borderId="3" xfId="10" applyFont="1" applyBorder="1" applyAlignment="1" applyProtection="1">
      <alignment horizontal="center"/>
      <protection locked="0"/>
    </xf>
    <xf numFmtId="1" fontId="14" fillId="0" borderId="0" xfId="10" applyFont="1" applyAlignment="1" applyProtection="1">
      <alignment horizontal="left"/>
      <protection locked="0"/>
    </xf>
    <xf numFmtId="4" fontId="15" fillId="3" borderId="18" xfId="3" applyNumberFormat="1" applyFont="1" applyFill="1" applyBorder="1" applyAlignment="1">
      <alignment horizontal="right"/>
    </xf>
    <xf numFmtId="4" fontId="15" fillId="3" borderId="16" xfId="3" applyNumberFormat="1" applyFont="1" applyFill="1" applyBorder="1" applyAlignment="1">
      <alignment horizontal="right"/>
    </xf>
    <xf numFmtId="2" fontId="15" fillId="0" borderId="0" xfId="10" applyNumberFormat="1" applyFont="1" applyProtection="1">
      <protection locked="0"/>
    </xf>
    <xf numFmtId="1" fontId="15" fillId="0" borderId="0" xfId="10" applyFont="1"/>
    <xf numFmtId="2" fontId="7" fillId="3" borderId="3" xfId="3" applyNumberFormat="1" applyFont="1" applyFill="1" applyBorder="1" applyAlignment="1">
      <alignment horizontal="center"/>
    </xf>
    <xf numFmtId="165" fontId="15" fillId="0" borderId="0" xfId="10" applyNumberFormat="1" applyFont="1" applyProtection="1">
      <protection locked="0"/>
    </xf>
    <xf numFmtId="2" fontId="7" fillId="13" borderId="0" xfId="10" applyNumberFormat="1" applyFont="1" applyFill="1"/>
    <xf numFmtId="1" fontId="15" fillId="0" borderId="1" xfId="10" applyFont="1" applyBorder="1" applyProtection="1">
      <protection locked="0"/>
    </xf>
    <xf numFmtId="165" fontId="7" fillId="0" borderId="1" xfId="10" applyNumberFormat="1" applyFont="1" applyBorder="1" applyProtection="1">
      <protection locked="0"/>
    </xf>
    <xf numFmtId="2" fontId="7" fillId="13" borderId="15" xfId="10" applyNumberFormat="1" applyFont="1" applyFill="1" applyBorder="1"/>
    <xf numFmtId="1" fontId="14" fillId="0" borderId="0" xfId="10" applyFont="1" applyAlignment="1" applyProtection="1">
      <alignment horizontal="left" vertical="top"/>
      <protection locked="0"/>
    </xf>
    <xf numFmtId="1" fontId="7" fillId="0" borderId="0" xfId="10" applyFont="1"/>
    <xf numFmtId="165" fontId="7" fillId="0" borderId="0" xfId="10" applyNumberFormat="1" applyFont="1" applyProtection="1">
      <protection locked="0"/>
    </xf>
    <xf numFmtId="1" fontId="7" fillId="0" borderId="0" xfId="3" applyNumberFormat="1" applyFont="1"/>
    <xf numFmtId="2" fontId="7" fillId="0" borderId="10" xfId="10" applyNumberFormat="1" applyFont="1" applyBorder="1" applyAlignment="1" applyProtection="1">
      <alignment horizontal="center"/>
      <protection locked="0"/>
    </xf>
    <xf numFmtId="1" fontId="15" fillId="0" borderId="0" xfId="10" applyFont="1" applyAlignment="1" applyProtection="1">
      <alignment horizontal="left"/>
      <protection locked="0"/>
    </xf>
    <xf numFmtId="170" fontId="13" fillId="0" borderId="0" xfId="3" applyNumberFormat="1" applyFont="1"/>
    <xf numFmtId="4" fontId="7" fillId="7" borderId="0" xfId="3" applyNumberFormat="1" applyFont="1" applyFill="1"/>
    <xf numFmtId="2" fontId="7" fillId="7" borderId="0" xfId="3" applyNumberFormat="1" applyFont="1" applyFill="1"/>
    <xf numFmtId="0" fontId="17" fillId="0" borderId="0" xfId="3" applyFont="1" applyProtection="1">
      <protection locked="0"/>
    </xf>
    <xf numFmtId="0" fontId="15" fillId="0" borderId="0" xfId="3" applyFont="1" applyAlignment="1">
      <alignment horizontal="right"/>
    </xf>
    <xf numFmtId="2" fontId="7" fillId="0" borderId="1" xfId="3" applyNumberFormat="1" applyFont="1" applyBorder="1"/>
    <xf numFmtId="0" fontId="17" fillId="0" borderId="1" xfId="3" applyFont="1" applyBorder="1" applyProtection="1">
      <protection locked="0"/>
    </xf>
    <xf numFmtId="0" fontId="7" fillId="0" borderId="0" xfId="3" applyFont="1" applyAlignment="1" applyProtection="1">
      <alignment horizontal="center"/>
      <protection locked="0"/>
    </xf>
    <xf numFmtId="4" fontId="151" fillId="2" borderId="18" xfId="10" applyNumberFormat="1" applyFont="1" applyFill="1" applyBorder="1" applyAlignment="1">
      <alignment horizontal="right"/>
    </xf>
    <xf numFmtId="4" fontId="151" fillId="2" borderId="16" xfId="10" applyNumberFormat="1" applyFont="1" applyFill="1" applyBorder="1" applyAlignment="1">
      <alignment horizontal="right"/>
    </xf>
    <xf numFmtId="0" fontId="1" fillId="0" borderId="0" xfId="3" applyFont="1"/>
    <xf numFmtId="1" fontId="15" fillId="0" borderId="0" xfId="10" applyFont="1" applyAlignment="1">
      <alignment horizontal="center"/>
    </xf>
    <xf numFmtId="2" fontId="152" fillId="2" borderId="3" xfId="10" applyNumberFormat="1" applyFont="1" applyFill="1" applyBorder="1" applyAlignment="1">
      <alignment horizontal="center"/>
    </xf>
    <xf numFmtId="2" fontId="13" fillId="2" borderId="3" xfId="3" applyNumberFormat="1" applyFont="1" applyFill="1" applyBorder="1" applyAlignment="1" applyProtection="1">
      <alignment horizontal="center"/>
      <protection locked="0"/>
    </xf>
    <xf numFmtId="2" fontId="15" fillId="2" borderId="3" xfId="3" applyNumberFormat="1" applyFont="1" applyFill="1" applyBorder="1" applyAlignment="1" applyProtection="1">
      <alignment horizontal="center"/>
      <protection locked="0"/>
    </xf>
    <xf numFmtId="1" fontId="20" fillId="0" borderId="22" xfId="10" applyFont="1" applyBorder="1" applyAlignment="1" applyProtection="1">
      <alignment vertical="center"/>
      <protection locked="0"/>
    </xf>
    <xf numFmtId="1" fontId="20" fillId="0" borderId="22" xfId="10" applyFont="1" applyBorder="1" applyAlignment="1" applyProtection="1">
      <alignment horizontal="centerContinuous" vertical="center"/>
      <protection locked="0"/>
    </xf>
    <xf numFmtId="1" fontId="15" fillId="0" borderId="0" xfId="10" applyFont="1" applyAlignment="1" applyProtection="1">
      <alignment horizontal="center"/>
      <protection locked="0"/>
    </xf>
    <xf numFmtId="1" fontId="20" fillId="0" borderId="13" xfId="10" applyFont="1" applyBorder="1" applyAlignment="1" applyProtection="1">
      <alignment vertical="center"/>
      <protection locked="0"/>
    </xf>
    <xf numFmtId="1" fontId="20" fillId="0" borderId="13" xfId="10" applyFont="1" applyBorder="1" applyAlignment="1" applyProtection="1">
      <alignment horizontal="centerContinuous" vertical="center"/>
      <protection locked="0"/>
    </xf>
    <xf numFmtId="1" fontId="15" fillId="0" borderId="48" xfId="10" applyFont="1" applyBorder="1" applyProtection="1">
      <protection locked="0"/>
    </xf>
    <xf numFmtId="2" fontId="153" fillId="0" borderId="49" xfId="3" applyNumberFormat="1" applyFont="1" applyBorder="1" applyAlignment="1">
      <alignment horizontal="right"/>
    </xf>
    <xf numFmtId="2" fontId="154" fillId="0" borderId="48" xfId="3" applyNumberFormat="1" applyFont="1" applyBorder="1" applyAlignment="1">
      <alignment horizontal="left"/>
    </xf>
    <xf numFmtId="1" fontId="7" fillId="0" borderId="48" xfId="10" applyFont="1" applyBorder="1" applyProtection="1">
      <protection locked="0"/>
    </xf>
    <xf numFmtId="2" fontId="7" fillId="0" borderId="48" xfId="10" applyNumberFormat="1" applyFont="1" applyBorder="1" applyProtection="1">
      <protection locked="0"/>
    </xf>
    <xf numFmtId="1" fontId="15" fillId="0" borderId="48" xfId="10" applyFont="1" applyBorder="1" applyAlignment="1">
      <alignment horizontal="center"/>
    </xf>
    <xf numFmtId="1" fontId="15" fillId="0" borderId="48" xfId="10" applyFont="1" applyBorder="1"/>
    <xf numFmtId="2" fontId="7" fillId="0" borderId="50" xfId="10" applyNumberFormat="1" applyFont="1" applyBorder="1" applyProtection="1">
      <protection locked="0"/>
    </xf>
    <xf numFmtId="2" fontId="7" fillId="0" borderId="50" xfId="3" applyNumberFormat="1" applyFont="1" applyBorder="1"/>
    <xf numFmtId="2" fontId="7" fillId="0" borderId="50" xfId="10" applyNumberFormat="1" applyFont="1" applyBorder="1"/>
    <xf numFmtId="0" fontId="7" fillId="20" borderId="18" xfId="3" applyFont="1" applyFill="1" applyBorder="1" applyProtection="1">
      <protection locked="0"/>
    </xf>
    <xf numFmtId="4" fontId="24" fillId="3" borderId="18" xfId="3" applyNumberFormat="1" applyFont="1" applyFill="1" applyBorder="1" applyAlignment="1">
      <alignment horizontal="right"/>
    </xf>
    <xf numFmtId="4" fontId="24" fillId="3" borderId="14" xfId="3" applyNumberFormat="1" applyFont="1" applyFill="1" applyBorder="1" applyAlignment="1">
      <alignment horizontal="right"/>
    </xf>
    <xf numFmtId="4" fontId="24" fillId="3" borderId="16" xfId="3" applyNumberFormat="1" applyFont="1" applyFill="1" applyBorder="1" applyAlignment="1">
      <alignment horizontal="right"/>
    </xf>
    <xf numFmtId="1" fontId="7" fillId="0" borderId="0" xfId="3" applyNumberFormat="1" applyFont="1" applyAlignment="1" applyProtection="1">
      <alignment horizontal="center"/>
      <protection locked="0"/>
    </xf>
    <xf numFmtId="1" fontId="15" fillId="0" borderId="51" xfId="10" applyFont="1" applyBorder="1" applyProtection="1">
      <protection locked="0"/>
    </xf>
    <xf numFmtId="1" fontId="7" fillId="0" borderId="51" xfId="10" applyFont="1" applyBorder="1" applyAlignment="1">
      <alignment horizontal="center"/>
    </xf>
    <xf numFmtId="0" fontId="7" fillId="0" borderId="0" xfId="3" applyFont="1" applyAlignment="1" applyProtection="1">
      <alignment horizontal="right"/>
      <protection locked="0"/>
    </xf>
    <xf numFmtId="0" fontId="155" fillId="0" borderId="0" xfId="3" applyFont="1" applyAlignment="1" applyProtection="1">
      <alignment horizontal="left"/>
      <protection locked="0"/>
    </xf>
    <xf numFmtId="17" fontId="7" fillId="0" borderId="0" xfId="3" applyNumberFormat="1" applyFont="1" applyAlignment="1" applyProtection="1">
      <alignment horizontal="center"/>
      <protection locked="0"/>
    </xf>
    <xf numFmtId="2" fontId="7" fillId="0" borderId="0" xfId="3" applyNumberFormat="1" applyFont="1" applyAlignment="1" applyProtection="1">
      <alignment horizontal="center"/>
      <protection locked="0"/>
    </xf>
    <xf numFmtId="2" fontId="7" fillId="3" borderId="0" xfId="3" applyNumberFormat="1" applyFont="1" applyFill="1"/>
    <xf numFmtId="1" fontId="7" fillId="0" borderId="18" xfId="10" applyFont="1" applyBorder="1" applyAlignment="1" applyProtection="1">
      <alignment horizontal="right"/>
      <protection locked="0"/>
    </xf>
    <xf numFmtId="2" fontId="7" fillId="0" borderId="16" xfId="10" applyNumberFormat="1" applyFont="1" applyBorder="1" applyAlignment="1" applyProtection="1">
      <alignment horizontal="left"/>
      <protection locked="0"/>
    </xf>
    <xf numFmtId="165" fontId="7" fillId="0" borderId="48" xfId="10" applyNumberFormat="1" applyFont="1" applyBorder="1" applyProtection="1">
      <protection locked="0"/>
    </xf>
    <xf numFmtId="1" fontId="7" fillId="0" borderId="48" xfId="10" applyFont="1" applyBorder="1" applyAlignment="1">
      <alignment horizontal="center"/>
    </xf>
    <xf numFmtId="165" fontId="7" fillId="0" borderId="50" xfId="10" applyNumberFormat="1" applyFont="1" applyBorder="1" applyProtection="1">
      <protection locked="0"/>
    </xf>
    <xf numFmtId="2" fontId="7" fillId="3" borderId="52" xfId="10" applyNumberFormat="1" applyFont="1" applyFill="1" applyBorder="1"/>
    <xf numFmtId="1" fontId="7" fillId="0" borderId="50" xfId="10" applyFont="1" applyBorder="1" applyProtection="1">
      <protection locked="0"/>
    </xf>
    <xf numFmtId="4" fontId="13" fillId="3" borderId="53" xfId="3" applyNumberFormat="1" applyFont="1" applyFill="1" applyBorder="1"/>
    <xf numFmtId="4" fontId="24" fillId="12" borderId="18" xfId="3" applyNumberFormat="1" applyFont="1" applyFill="1" applyBorder="1" applyAlignment="1">
      <alignment horizontal="right"/>
    </xf>
    <xf numFmtId="2" fontId="7" fillId="12" borderId="14" xfId="3" applyNumberFormat="1" applyFont="1" applyFill="1" applyBorder="1" applyProtection="1">
      <protection locked="0"/>
    </xf>
    <xf numFmtId="4" fontId="24" fillId="12" borderId="14" xfId="3" applyNumberFormat="1" applyFont="1" applyFill="1" applyBorder="1" applyAlignment="1">
      <alignment horizontal="right"/>
    </xf>
    <xf numFmtId="4" fontId="24" fillId="12" borderId="16" xfId="3" applyNumberFormat="1" applyFont="1" applyFill="1" applyBorder="1" applyAlignment="1">
      <alignment horizontal="right"/>
    </xf>
    <xf numFmtId="2" fontId="7" fillId="0" borderId="0" xfId="10" applyNumberFormat="1" applyFont="1"/>
    <xf numFmtId="1" fontId="7" fillId="0" borderId="0" xfId="0" applyNumberFormat="1" applyFont="1"/>
    <xf numFmtId="0" fontId="157" fillId="0" borderId="0" xfId="14" applyFont="1" applyAlignment="1">
      <alignment horizontal="center" vertical="center"/>
    </xf>
    <xf numFmtId="179" fontId="159" fillId="0" borderId="0" xfId="15" applyFont="1"/>
    <xf numFmtId="179" fontId="159" fillId="21" borderId="0" xfId="15" applyFont="1" applyFill="1" applyAlignment="1">
      <alignment horizontal="center"/>
    </xf>
    <xf numFmtId="0" fontId="157" fillId="16" borderId="0" xfId="14" applyFont="1" applyFill="1" applyAlignment="1">
      <alignment horizontal="center" vertical="center"/>
    </xf>
    <xf numFmtId="0" fontId="157" fillId="0" borderId="0" xfId="14" applyFont="1" applyAlignment="1">
      <alignment horizontal="left" vertical="center"/>
    </xf>
    <xf numFmtId="0" fontId="160" fillId="0" borderId="0" xfId="14" applyFont="1" applyAlignment="1">
      <alignment horizontal="center" vertical="center"/>
    </xf>
    <xf numFmtId="2" fontId="161" fillId="0" borderId="0" xfId="14" applyNumberFormat="1" applyFont="1" applyAlignment="1">
      <alignment horizontal="center" vertical="center"/>
    </xf>
    <xf numFmtId="171" fontId="161" fillId="0" borderId="0" xfId="14" applyNumberFormat="1" applyFont="1" applyAlignment="1">
      <alignment horizontal="center" vertical="center"/>
    </xf>
    <xf numFmtId="1" fontId="162" fillId="16" borderId="0" xfId="14" applyNumberFormat="1" applyFont="1" applyFill="1" applyAlignment="1">
      <alignment horizontal="center" vertical="center"/>
    </xf>
    <xf numFmtId="169" fontId="157" fillId="0" borderId="0" xfId="14" applyNumberFormat="1" applyFont="1" applyAlignment="1">
      <alignment horizontal="center" vertical="center"/>
    </xf>
    <xf numFmtId="2" fontId="157" fillId="0" borderId="0" xfId="14" applyNumberFormat="1" applyFont="1" applyAlignment="1">
      <alignment vertical="center"/>
    </xf>
    <xf numFmtId="0" fontId="157" fillId="0" borderId="0" xfId="14" applyFont="1" applyAlignment="1">
      <alignment vertical="center"/>
    </xf>
    <xf numFmtId="1" fontId="15" fillId="0" borderId="50" xfId="10" applyFont="1" applyBorder="1" applyProtection="1">
      <protection locked="0"/>
    </xf>
    <xf numFmtId="4" fontId="13" fillId="4" borderId="53" xfId="3" applyNumberFormat="1" applyFont="1" applyFill="1" applyBorder="1"/>
    <xf numFmtId="0" fontId="7" fillId="2" borderId="3" xfId="3" applyFont="1" applyFill="1" applyBorder="1" applyProtection="1">
      <protection locked="0"/>
    </xf>
    <xf numFmtId="4" fontId="89" fillId="5" borderId="18" xfId="3" applyNumberFormat="1" applyFont="1" applyFill="1" applyBorder="1" applyAlignment="1">
      <alignment horizontal="left"/>
    </xf>
    <xf numFmtId="1" fontId="7" fillId="5" borderId="14" xfId="10" applyFont="1" applyFill="1" applyBorder="1" applyProtection="1">
      <protection locked="0"/>
    </xf>
    <xf numFmtId="4" fontId="24" fillId="5" borderId="14" xfId="3" applyNumberFormat="1" applyFont="1" applyFill="1" applyBorder="1" applyAlignment="1">
      <alignment horizontal="right"/>
    </xf>
    <xf numFmtId="4" fontId="24" fillId="22" borderId="16" xfId="3" applyNumberFormat="1" applyFont="1" applyFill="1" applyBorder="1" applyAlignment="1">
      <alignment horizontal="right"/>
    </xf>
    <xf numFmtId="1" fontId="15" fillId="0" borderId="54" xfId="10" applyFont="1" applyBorder="1" applyProtection="1">
      <protection locked="0"/>
    </xf>
    <xf numFmtId="0" fontId="162" fillId="16" borderId="0" xfId="14" applyFont="1" applyFill="1" applyAlignment="1">
      <alignment horizontal="center" vertical="center"/>
    </xf>
    <xf numFmtId="1" fontId="59" fillId="0" borderId="0" xfId="10" applyFont="1" applyProtection="1">
      <protection locked="0"/>
    </xf>
    <xf numFmtId="2" fontId="15" fillId="0" borderId="0" xfId="3" applyNumberFormat="1" applyFont="1" applyAlignment="1">
      <alignment horizontal="right"/>
    </xf>
    <xf numFmtId="2" fontId="7" fillId="0" borderId="0" xfId="10" applyNumberFormat="1" applyFont="1" applyAlignment="1" applyProtection="1">
      <alignment horizontal="center"/>
      <protection locked="0"/>
    </xf>
    <xf numFmtId="0" fontId="7" fillId="0" borderId="50" xfId="3" applyFont="1" applyBorder="1"/>
    <xf numFmtId="1" fontId="7" fillId="0" borderId="50" xfId="10" applyFont="1" applyBorder="1" applyAlignment="1">
      <alignment horizontal="center"/>
    </xf>
    <xf numFmtId="4" fontId="13" fillId="5" borderId="53" xfId="3" applyNumberFormat="1" applyFont="1" applyFill="1" applyBorder="1"/>
    <xf numFmtId="1" fontId="89" fillId="2" borderId="22" xfId="10" applyFont="1" applyFill="1" applyBorder="1" applyAlignment="1" applyProtection="1">
      <alignment vertical="center"/>
      <protection locked="0"/>
    </xf>
    <xf numFmtId="0" fontId="7" fillId="2" borderId="0" xfId="3" applyFont="1" applyFill="1"/>
    <xf numFmtId="1" fontId="7" fillId="0" borderId="0" xfId="10" applyFont="1" applyAlignment="1">
      <alignment horizontal="center"/>
    </xf>
    <xf numFmtId="1" fontId="163" fillId="2" borderId="1" xfId="10" applyFont="1" applyFill="1" applyBorder="1" applyAlignment="1" applyProtection="1">
      <alignment horizontal="left" vertical="center"/>
      <protection locked="0"/>
    </xf>
    <xf numFmtId="0" fontId="7" fillId="2" borderId="1" xfId="3" applyFont="1" applyFill="1" applyBorder="1"/>
    <xf numFmtId="1" fontId="7" fillId="0" borderId="1" xfId="10" applyFont="1" applyBorder="1" applyAlignment="1">
      <alignment horizontal="center"/>
    </xf>
    <xf numFmtId="2" fontId="19" fillId="2" borderId="15" xfId="10" applyNumberFormat="1" applyFont="1" applyFill="1" applyBorder="1"/>
    <xf numFmtId="1" fontId="17" fillId="0" borderId="1" xfId="10" applyFont="1" applyBorder="1" applyProtection="1">
      <protection locked="0"/>
    </xf>
    <xf numFmtId="1" fontId="20" fillId="0" borderId="0" xfId="10" applyFont="1" applyAlignment="1" applyProtection="1">
      <alignment vertical="center"/>
      <protection locked="0"/>
    </xf>
    <xf numFmtId="1" fontId="20" fillId="0" borderId="0" xfId="10" applyFont="1" applyAlignment="1" applyProtection="1">
      <alignment horizontal="centerContinuous" vertical="center"/>
      <protection locked="0"/>
    </xf>
    <xf numFmtId="2" fontId="153" fillId="0" borderId="55" xfId="3" applyNumberFormat="1" applyFont="1" applyBorder="1" applyAlignment="1">
      <alignment horizontal="right"/>
    </xf>
    <xf numFmtId="2" fontId="154" fillId="0" borderId="0" xfId="3" applyNumberFormat="1" applyFont="1" applyAlignment="1">
      <alignment horizontal="left"/>
    </xf>
    <xf numFmtId="1" fontId="7" fillId="0" borderId="23" xfId="10" applyFont="1" applyBorder="1" applyAlignment="1" applyProtection="1">
      <alignment horizontal="right"/>
      <protection locked="0"/>
    </xf>
    <xf numFmtId="2" fontId="7" fillId="0" borderId="24" xfId="10" applyNumberFormat="1" applyFont="1" applyBorder="1" applyAlignment="1" applyProtection="1">
      <alignment horizontal="left"/>
      <protection locked="0"/>
    </xf>
    <xf numFmtId="4" fontId="89" fillId="4" borderId="18" xfId="3" applyNumberFormat="1" applyFont="1" applyFill="1" applyBorder="1" applyAlignment="1">
      <alignment horizontal="left"/>
    </xf>
    <xf numFmtId="4" fontId="24" fillId="4" borderId="14" xfId="3" applyNumberFormat="1" applyFont="1" applyFill="1" applyBorder="1" applyAlignment="1">
      <alignment horizontal="right"/>
    </xf>
    <xf numFmtId="4" fontId="24" fillId="23" borderId="16" xfId="3" applyNumberFormat="1" applyFont="1" applyFill="1" applyBorder="1" applyAlignment="1">
      <alignment horizontal="right"/>
    </xf>
    <xf numFmtId="43" fontId="15" fillId="2" borderId="15" xfId="1" applyFont="1" applyFill="1" applyBorder="1"/>
    <xf numFmtId="2" fontId="13" fillId="2" borderId="0" xfId="3" applyNumberFormat="1" applyFont="1" applyFill="1" applyAlignment="1" applyProtection="1">
      <alignment horizontal="center"/>
      <protection locked="0"/>
    </xf>
    <xf numFmtId="0" fontId="164" fillId="0" borderId="0" xfId="3" applyFont="1" applyAlignment="1">
      <alignment horizontal="right"/>
    </xf>
    <xf numFmtId="4" fontId="7" fillId="13" borderId="0" xfId="10" applyNumberFormat="1" applyFont="1" applyFill="1" applyAlignment="1">
      <alignment horizontal="right"/>
    </xf>
    <xf numFmtId="2" fontId="7" fillId="0" borderId="0" xfId="10" applyNumberFormat="1" applyFont="1" applyAlignment="1">
      <alignment horizontal="right"/>
    </xf>
    <xf numFmtId="4" fontId="7" fillId="13" borderId="0" xfId="10" applyNumberFormat="1" applyFont="1" applyFill="1" applyAlignment="1" applyProtection="1">
      <alignment horizontal="right"/>
      <protection locked="0"/>
    </xf>
    <xf numFmtId="4" fontId="7" fillId="4" borderId="0" xfId="3" applyNumberFormat="1" applyFont="1" applyFill="1" applyAlignment="1">
      <alignment horizontal="right"/>
    </xf>
    <xf numFmtId="2" fontId="7" fillId="0" borderId="0" xfId="3" applyNumberFormat="1" applyFont="1" applyAlignment="1">
      <alignment horizontal="right"/>
    </xf>
    <xf numFmtId="4" fontId="7" fillId="4" borderId="0" xfId="3" applyNumberFormat="1" applyFont="1" applyFill="1" applyAlignment="1" applyProtection="1">
      <alignment horizontal="right"/>
      <protection locked="0"/>
    </xf>
    <xf numFmtId="4" fontId="7" fillId="5" borderId="0" xfId="3" applyNumberFormat="1" applyFont="1" applyFill="1" applyAlignment="1">
      <alignment horizontal="right"/>
    </xf>
    <xf numFmtId="4" fontId="7" fillId="5" borderId="0" xfId="3" applyNumberFormat="1" applyFont="1" applyFill="1" applyAlignment="1" applyProtection="1">
      <alignment horizontal="right"/>
      <protection locked="0"/>
    </xf>
    <xf numFmtId="4" fontId="7" fillId="6" borderId="0" xfId="3" applyNumberFormat="1" applyFont="1" applyFill="1" applyAlignment="1">
      <alignment horizontal="right"/>
    </xf>
    <xf numFmtId="4" fontId="7" fillId="6" borderId="0" xfId="3" applyNumberFormat="1" applyFont="1" applyFill="1" applyAlignment="1" applyProtection="1">
      <alignment horizontal="right"/>
      <protection locked="0"/>
    </xf>
    <xf numFmtId="4" fontId="7" fillId="2" borderId="0" xfId="3" applyNumberFormat="1" applyFont="1" applyFill="1" applyAlignment="1">
      <alignment horizontal="right"/>
    </xf>
    <xf numFmtId="4" fontId="7" fillId="2" borderId="0" xfId="3" applyNumberFormat="1" applyFont="1" applyFill="1" applyAlignment="1" applyProtection="1">
      <alignment horizontal="right"/>
      <protection locked="0"/>
    </xf>
    <xf numFmtId="4" fontId="7" fillId="7" borderId="0" xfId="3" applyNumberFormat="1" applyFont="1" applyFill="1" applyAlignment="1">
      <alignment horizontal="right"/>
    </xf>
    <xf numFmtId="4" fontId="7" fillId="7" borderId="0" xfId="3" applyNumberFormat="1" applyFont="1" applyFill="1" applyAlignment="1" applyProtection="1">
      <alignment horizontal="right"/>
      <protection locked="0"/>
    </xf>
    <xf numFmtId="4" fontId="7" fillId="8" borderId="0" xfId="3" applyNumberFormat="1" applyFont="1" applyFill="1" applyAlignment="1">
      <alignment horizontal="right"/>
    </xf>
    <xf numFmtId="4" fontId="7" fillId="8" borderId="0" xfId="3" applyNumberFormat="1" applyFont="1" applyFill="1" applyProtection="1">
      <protection locked="0"/>
    </xf>
    <xf numFmtId="4" fontId="7" fillId="9" borderId="0" xfId="3" applyNumberFormat="1" applyFont="1" applyFill="1" applyAlignment="1">
      <alignment horizontal="right"/>
    </xf>
    <xf numFmtId="4" fontId="7" fillId="9" borderId="0" xfId="3" applyNumberFormat="1" applyFont="1" applyFill="1" applyProtection="1">
      <protection locked="0"/>
    </xf>
    <xf numFmtId="4" fontId="7" fillId="10" borderId="0" xfId="3" applyNumberFormat="1" applyFont="1" applyFill="1" applyAlignment="1">
      <alignment horizontal="right"/>
    </xf>
    <xf numFmtId="4" fontId="7" fillId="10" borderId="0" xfId="3" applyNumberFormat="1" applyFont="1" applyFill="1" applyProtection="1">
      <protection locked="0"/>
    </xf>
    <xf numFmtId="4" fontId="7" fillId="11" borderId="13" xfId="3" applyNumberFormat="1" applyFont="1" applyFill="1" applyBorder="1" applyAlignment="1">
      <alignment horizontal="right"/>
    </xf>
    <xf numFmtId="4" fontId="7" fillId="11" borderId="0" xfId="3" applyNumberFormat="1" applyFont="1" applyFill="1" applyProtection="1">
      <protection locked="0"/>
    </xf>
    <xf numFmtId="0" fontId="15" fillId="0" borderId="1" xfId="3" applyFont="1" applyBorder="1" applyAlignment="1">
      <alignment horizontal="left"/>
    </xf>
    <xf numFmtId="0" fontId="165" fillId="0" borderId="1" xfId="3" applyFont="1" applyBorder="1" applyAlignment="1">
      <alignment horizontal="right"/>
    </xf>
    <xf numFmtId="0" fontId="3" fillId="0" borderId="1" xfId="3" applyFont="1" applyBorder="1"/>
    <xf numFmtId="0" fontId="15" fillId="0" borderId="1" xfId="3" applyFont="1" applyBorder="1" applyAlignment="1">
      <alignment horizontal="right"/>
    </xf>
    <xf numFmtId="4" fontId="15" fillId="2" borderId="1" xfId="3" applyNumberFormat="1" applyFont="1" applyFill="1" applyBorder="1" applyAlignment="1">
      <alignment horizontal="right"/>
    </xf>
    <xf numFmtId="1" fontId="15" fillId="2" borderId="1" xfId="10" applyFont="1" applyFill="1" applyBorder="1" applyProtection="1">
      <protection locked="0"/>
    </xf>
    <xf numFmtId="2" fontId="15" fillId="2" borderId="1" xfId="10" applyNumberFormat="1" applyFont="1" applyFill="1" applyBorder="1" applyProtection="1">
      <protection locked="0"/>
    </xf>
    <xf numFmtId="1" fontId="15" fillId="2" borderId="1" xfId="10" applyFont="1" applyFill="1" applyBorder="1"/>
    <xf numFmtId="2" fontId="15" fillId="2" borderId="1" xfId="3" applyNumberFormat="1" applyFont="1" applyFill="1" applyBorder="1"/>
    <xf numFmtId="0" fontId="19" fillId="2" borderId="1" xfId="3" applyFont="1" applyFill="1" applyBorder="1" applyProtection="1">
      <protection locked="0"/>
    </xf>
    <xf numFmtId="43" fontId="15" fillId="0" borderId="1" xfId="1" applyFont="1" applyFill="1" applyBorder="1"/>
    <xf numFmtId="0" fontId="165" fillId="0" borderId="0" xfId="3" applyFont="1" applyAlignment="1">
      <alignment horizontal="right"/>
    </xf>
    <xf numFmtId="0" fontId="3" fillId="0" borderId="0" xfId="3" applyFont="1" applyAlignment="1">
      <alignment horizontal="right"/>
    </xf>
    <xf numFmtId="2" fontId="15" fillId="0" borderId="0" xfId="3" applyNumberFormat="1" applyFont="1"/>
    <xf numFmtId="2" fontId="15" fillId="0" borderId="0" xfId="10" applyNumberFormat="1" applyFont="1"/>
    <xf numFmtId="2" fontId="19" fillId="0" borderId="0" xfId="3" applyNumberFormat="1" applyFont="1" applyProtection="1">
      <protection locked="0"/>
    </xf>
    <xf numFmtId="43" fontId="20" fillId="0" borderId="56" xfId="3" applyNumberFormat="1" applyFont="1" applyBorder="1"/>
    <xf numFmtId="0" fontId="15" fillId="12" borderId="0" xfId="3" applyFont="1" applyFill="1" applyAlignment="1" applyProtection="1">
      <alignment horizontal="left"/>
      <protection locked="0"/>
    </xf>
    <xf numFmtId="0" fontId="15" fillId="12" borderId="0" xfId="3" applyFont="1" applyFill="1" applyAlignment="1" applyProtection="1">
      <alignment horizontal="center"/>
      <protection locked="0"/>
    </xf>
    <xf numFmtId="2" fontId="7" fillId="0" borderId="0" xfId="3" applyNumberFormat="1" applyFont="1"/>
    <xf numFmtId="2" fontId="7" fillId="0" borderId="12" xfId="3" applyNumberFormat="1" applyFont="1" applyBorder="1"/>
    <xf numFmtId="2" fontId="7" fillId="0" borderId="12" xfId="3" applyNumberFormat="1" applyFont="1" applyBorder="1" applyProtection="1">
      <protection locked="0"/>
    </xf>
    <xf numFmtId="0" fontId="20" fillId="12" borderId="0" xfId="3" applyFont="1" applyFill="1" applyProtection="1">
      <protection locked="0"/>
    </xf>
    <xf numFmtId="2" fontId="7" fillId="2" borderId="0" xfId="3" applyNumberFormat="1" applyFont="1" applyFill="1" applyAlignment="1" applyProtection="1">
      <alignment horizontal="center"/>
      <protection locked="0"/>
    </xf>
    <xf numFmtId="4" fontId="7" fillId="13" borderId="12" xfId="10" applyNumberFormat="1" applyFont="1" applyFill="1" applyBorder="1" applyAlignment="1">
      <alignment horizontal="right"/>
    </xf>
    <xf numFmtId="2" fontId="7" fillId="13" borderId="12" xfId="10" applyNumberFormat="1" applyFont="1" applyFill="1" applyBorder="1"/>
    <xf numFmtId="2" fontId="7" fillId="0" borderId="12" xfId="10" applyNumberFormat="1" applyFont="1" applyBorder="1" applyProtection="1">
      <protection locked="0"/>
    </xf>
    <xf numFmtId="0" fontId="7" fillId="2" borderId="0" xfId="3" applyFont="1" applyFill="1" applyAlignment="1" applyProtection="1">
      <alignment horizontal="center"/>
      <protection locked="0"/>
    </xf>
    <xf numFmtId="1" fontId="1" fillId="0" borderId="0" xfId="10" applyFont="1" applyProtection="1">
      <protection locked="0"/>
    </xf>
    <xf numFmtId="1" fontId="15" fillId="0" borderId="0" xfId="10" applyFont="1" applyAlignment="1" applyProtection="1">
      <alignment horizontal="right"/>
      <protection locked="0"/>
    </xf>
    <xf numFmtId="4" fontId="7" fillId="7" borderId="12" xfId="3" applyNumberFormat="1" applyFont="1" applyFill="1" applyBorder="1"/>
    <xf numFmtId="2" fontId="7" fillId="7" borderId="12" xfId="3" applyNumberFormat="1" applyFont="1" applyFill="1" applyBorder="1"/>
    <xf numFmtId="2" fontId="17" fillId="0" borderId="12" xfId="3" applyNumberFormat="1" applyFont="1" applyBorder="1" applyProtection="1">
      <protection locked="0"/>
    </xf>
    <xf numFmtId="4" fontId="7" fillId="6" borderId="12" xfId="3" applyNumberFormat="1" applyFont="1" applyFill="1" applyBorder="1"/>
    <xf numFmtId="2" fontId="7" fillId="6" borderId="12" xfId="3" applyNumberFormat="1" applyFont="1" applyFill="1" applyBorder="1"/>
    <xf numFmtId="2" fontId="15" fillId="0" borderId="1" xfId="3" applyNumberFormat="1" applyFont="1" applyBorder="1" applyAlignment="1">
      <alignment horizontal="right"/>
    </xf>
    <xf numFmtId="2" fontId="7" fillId="0" borderId="1" xfId="3" applyNumberFormat="1" applyFont="1" applyBorder="1" applyProtection="1">
      <protection locked="0"/>
    </xf>
    <xf numFmtId="0" fontId="166" fillId="0" borderId="0" xfId="3" applyFont="1" applyProtection="1">
      <protection locked="0"/>
    </xf>
    <xf numFmtId="0" fontId="167" fillId="0" borderId="0" xfId="0" applyFont="1"/>
    <xf numFmtId="0" fontId="167" fillId="16" borderId="0" xfId="0" applyFont="1" applyFill="1"/>
    <xf numFmtId="0" fontId="167" fillId="16" borderId="0" xfId="0" applyFont="1" applyFill="1" applyAlignment="1">
      <alignment horizontal="center"/>
    </xf>
    <xf numFmtId="0" fontId="168" fillId="16" borderId="0" xfId="0" applyFont="1" applyFill="1" applyAlignment="1">
      <alignment horizontal="center"/>
    </xf>
    <xf numFmtId="169" fontId="167" fillId="0" borderId="0" xfId="0" applyNumberFormat="1" applyFont="1"/>
    <xf numFmtId="2" fontId="167" fillId="0" borderId="0" xfId="0" applyNumberFormat="1" applyFont="1"/>
    <xf numFmtId="2" fontId="167" fillId="3" borderId="0" xfId="0" applyNumberFormat="1" applyFont="1" applyFill="1"/>
    <xf numFmtId="2" fontId="167" fillId="17" borderId="0" xfId="0" applyNumberFormat="1" applyFont="1" applyFill="1"/>
    <xf numFmtId="0" fontId="168" fillId="0" borderId="0" xfId="0" applyFont="1"/>
    <xf numFmtId="2" fontId="169" fillId="0" borderId="0" xfId="0" applyNumberFormat="1" applyFont="1"/>
    <xf numFmtId="2" fontId="170" fillId="0" borderId="0" xfId="3" applyNumberFormat="1" applyFont="1" applyProtection="1">
      <protection locked="0"/>
    </xf>
    <xf numFmtId="0" fontId="0" fillId="3" borderId="0" xfId="0" applyFill="1"/>
    <xf numFmtId="2" fontId="171" fillId="0" borderId="0" xfId="0" applyNumberFormat="1" applyFont="1"/>
    <xf numFmtId="0" fontId="157" fillId="0" borderId="0" xfId="0" applyFont="1" applyAlignment="1">
      <alignment horizontal="center"/>
    </xf>
    <xf numFmtId="0" fontId="172" fillId="0" borderId="0" xfId="3" applyFont="1"/>
    <xf numFmtId="9" fontId="4" fillId="0" borderId="0" xfId="3" applyNumberFormat="1"/>
    <xf numFmtId="2" fontId="157" fillId="3" borderId="0" xfId="0" applyNumberFormat="1" applyFont="1" applyFill="1"/>
    <xf numFmtId="2" fontId="157" fillId="17" borderId="0" xfId="0" applyNumberFormat="1" applyFont="1" applyFill="1"/>
    <xf numFmtId="0" fontId="7" fillId="3" borderId="0" xfId="0" applyFont="1" applyFill="1"/>
    <xf numFmtId="2" fontId="7" fillId="0" borderId="0" xfId="0" applyNumberFormat="1" applyFont="1" applyProtection="1">
      <protection locked="0"/>
    </xf>
    <xf numFmtId="2" fontId="7" fillId="0" borderId="0" xfId="0" applyNumberFormat="1" applyFont="1"/>
    <xf numFmtId="2" fontId="157" fillId="0" borderId="0" xfId="0" applyNumberFormat="1" applyFont="1"/>
    <xf numFmtId="49" fontId="13" fillId="2" borderId="0" xfId="16" applyNumberFormat="1" applyFont="1" applyFill="1" applyAlignment="1" applyProtection="1">
      <alignment horizontal="center"/>
      <protection locked="0"/>
    </xf>
    <xf numFmtId="1" fontId="15" fillId="0" borderId="0" xfId="0" applyNumberFormat="1" applyFont="1" applyAlignment="1">
      <alignment horizontal="center"/>
    </xf>
    <xf numFmtId="17" fontId="7" fillId="2" borderId="0" xfId="16" applyNumberFormat="1" applyFont="1" applyFill="1" applyAlignment="1" applyProtection="1">
      <alignment horizontal="center"/>
      <protection locked="0"/>
    </xf>
    <xf numFmtId="2" fontId="157" fillId="0" borderId="0" xfId="0" applyNumberFormat="1" applyFont="1" applyAlignment="1" applyProtection="1">
      <alignment horizontal="center"/>
      <protection locked="0"/>
    </xf>
    <xf numFmtId="49" fontId="13" fillId="2" borderId="0" xfId="0" applyNumberFormat="1" applyFont="1" applyFill="1" applyAlignment="1" applyProtection="1">
      <alignment horizontal="center"/>
      <protection locked="0"/>
    </xf>
    <xf numFmtId="0" fontId="157" fillId="0" borderId="0" xfId="0" applyFont="1"/>
    <xf numFmtId="0" fontId="162" fillId="16" borderId="0" xfId="0" applyFont="1" applyFill="1" applyAlignment="1">
      <alignment horizontal="center"/>
    </xf>
    <xf numFmtId="169" fontId="157" fillId="0" borderId="0" xfId="0" applyNumberFormat="1" applyFont="1"/>
    <xf numFmtId="1" fontId="15" fillId="0" borderId="0" xfId="0" applyNumberFormat="1" applyFont="1" applyAlignment="1" applyProtection="1">
      <alignment horizontal="center"/>
      <protection locked="0"/>
    </xf>
    <xf numFmtId="17" fontId="7" fillId="2" borderId="0" xfId="0" applyNumberFormat="1" applyFont="1" applyFill="1" applyAlignment="1" applyProtection="1">
      <alignment horizontal="center"/>
      <protection locked="0"/>
    </xf>
    <xf numFmtId="2" fontId="157" fillId="24" borderId="0" xfId="0" applyNumberFormat="1" applyFont="1" applyFill="1"/>
    <xf numFmtId="1" fontId="0" fillId="3" borderId="0" xfId="0" applyNumberFormat="1" applyFill="1"/>
    <xf numFmtId="2" fontId="15" fillId="0" borderId="0" xfId="17" applyNumberFormat="1" applyFont="1" applyProtection="1">
      <protection locked="0"/>
    </xf>
    <xf numFmtId="1" fontId="15" fillId="0" borderId="0" xfId="17" applyFont="1" applyProtection="1">
      <protection locked="0"/>
    </xf>
    <xf numFmtId="1" fontId="15" fillId="2" borderId="0" xfId="17" applyFont="1" applyFill="1" applyProtection="1">
      <protection locked="0"/>
    </xf>
    <xf numFmtId="17" fontId="15" fillId="2" borderId="0" xfId="17" applyNumberFormat="1" applyFont="1" applyFill="1" applyProtection="1">
      <protection locked="0"/>
    </xf>
    <xf numFmtId="1" fontId="15" fillId="0" borderId="0" xfId="17" applyFont="1" applyAlignment="1" applyProtection="1">
      <alignment horizontal="center"/>
      <protection locked="0"/>
    </xf>
    <xf numFmtId="2" fontId="59" fillId="0" borderId="0" xfId="17" applyNumberFormat="1" applyFont="1"/>
    <xf numFmtId="2" fontId="7" fillId="3" borderId="0" xfId="17" applyNumberFormat="1" applyFont="1" applyFill="1"/>
    <xf numFmtId="1" fontId="7" fillId="0" borderId="0" xfId="17" applyFont="1" applyProtection="1">
      <protection locked="0"/>
    </xf>
    <xf numFmtId="0" fontId="7" fillId="0" borderId="0" xfId="0" applyFont="1"/>
    <xf numFmtId="1" fontId="7" fillId="0" borderId="0" xfId="17" applyFont="1" applyAlignment="1" applyProtection="1">
      <alignment horizontal="right"/>
      <protection locked="0"/>
    </xf>
    <xf numFmtId="2" fontId="7" fillId="0" borderId="0" xfId="17" applyNumberFormat="1" applyFont="1" applyProtection="1">
      <protection locked="0"/>
    </xf>
    <xf numFmtId="1" fontId="59" fillId="0" borderId="0" xfId="17" applyFont="1" applyProtection="1">
      <protection locked="0"/>
    </xf>
    <xf numFmtId="1" fontId="7" fillId="2" borderId="0" xfId="17" applyFont="1" applyFill="1" applyProtection="1">
      <protection locked="0"/>
    </xf>
    <xf numFmtId="17" fontId="7" fillId="2" borderId="0" xfId="17" applyNumberFormat="1" applyFont="1" applyFill="1" applyProtection="1">
      <protection locked="0"/>
    </xf>
    <xf numFmtId="1" fontId="7" fillId="0" borderId="0" xfId="17" applyFont="1" applyAlignment="1" applyProtection="1">
      <alignment horizontal="center"/>
      <protection locked="0"/>
    </xf>
    <xf numFmtId="2" fontId="59" fillId="3" borderId="0" xfId="17" applyNumberFormat="1" applyFont="1" applyFill="1"/>
    <xf numFmtId="0" fontId="173" fillId="0" borderId="0" xfId="0" applyFont="1"/>
    <xf numFmtId="0" fontId="174" fillId="0" borderId="0" xfId="0" applyFont="1"/>
    <xf numFmtId="4" fontId="4" fillId="19" borderId="17" xfId="12" applyNumberFormat="1" applyFont="1" applyFill="1" applyBorder="1" applyAlignment="1" applyProtection="1">
      <alignment horizontal="right" vertical="top" wrapText="1"/>
      <protection locked="0"/>
    </xf>
    <xf numFmtId="4" fontId="4" fillId="19" borderId="17" xfId="12" applyNumberFormat="1" applyFont="1" applyFill="1" applyBorder="1" applyAlignment="1" applyProtection="1">
      <alignment horizontal="left" vertical="top"/>
      <protection locked="0"/>
    </xf>
    <xf numFmtId="4" fontId="4" fillId="0" borderId="17" xfId="12" applyNumberFormat="1" applyFont="1" applyBorder="1" applyAlignment="1" applyProtection="1">
      <alignment horizontal="left" vertical="top"/>
      <protection locked="0"/>
    </xf>
    <xf numFmtId="2" fontId="59" fillId="15" borderId="1" xfId="10" applyNumberFormat="1" applyFont="1" applyFill="1" applyBorder="1" applyAlignment="1">
      <alignment horizontal="center" vertical="top"/>
    </xf>
    <xf numFmtId="2" fontId="7" fillId="0" borderId="0" xfId="10" applyNumberFormat="1" applyFont="1" applyAlignment="1" applyProtection="1">
      <alignment vertical="top"/>
      <protection locked="0"/>
    </xf>
    <xf numFmtId="0" fontId="157" fillId="16" borderId="0" xfId="0" applyFont="1" applyFill="1"/>
    <xf numFmtId="0" fontId="157" fillId="16" borderId="0" xfId="0" applyFont="1" applyFill="1" applyAlignment="1">
      <alignment horizontal="center"/>
    </xf>
    <xf numFmtId="2" fontId="167" fillId="24" borderId="0" xfId="0" applyNumberFormat="1" applyFont="1" applyFill="1"/>
    <xf numFmtId="0" fontId="175" fillId="0" borderId="0" xfId="3" applyFont="1"/>
    <xf numFmtId="40" fontId="7" fillId="0" borderId="3" xfId="1" applyNumberFormat="1" applyFont="1" applyFill="1" applyBorder="1" applyAlignment="1" applyProtection="1">
      <alignment horizontal="right"/>
      <protection locked="0"/>
    </xf>
    <xf numFmtId="43" fontId="4" fillId="0" borderId="0" xfId="1" applyFont="1" applyAlignment="1" applyProtection="1">
      <alignment horizontal="right"/>
      <protection locked="0"/>
    </xf>
    <xf numFmtId="0" fontId="131" fillId="0" borderId="0" xfId="0" applyFont="1" applyAlignment="1">
      <alignment vertical="top"/>
    </xf>
    <xf numFmtId="0" fontId="21" fillId="0" borderId="0" xfId="0" applyFont="1" applyAlignment="1">
      <alignment vertical="top"/>
    </xf>
    <xf numFmtId="0" fontId="25" fillId="0" borderId="0" xfId="0" applyFont="1" applyAlignment="1">
      <alignment vertical="top"/>
    </xf>
    <xf numFmtId="0" fontId="4" fillId="0" borderId="0" xfId="0" applyFont="1" applyAlignment="1">
      <alignment vertical="top" wrapText="1"/>
    </xf>
    <xf numFmtId="0" fontId="1" fillId="0" borderId="0" xfId="0" applyFont="1" applyAlignment="1">
      <alignment vertical="top"/>
    </xf>
    <xf numFmtId="0" fontId="14" fillId="0" borderId="0" xfId="3" applyFont="1" applyAlignment="1" applyProtection="1">
      <alignment vertical="top"/>
      <protection locked="0"/>
    </xf>
    <xf numFmtId="1" fontId="176" fillId="0" borderId="0" xfId="10" applyFont="1" applyAlignment="1" applyProtection="1">
      <alignment horizontal="left" vertical="top"/>
      <protection locked="0"/>
    </xf>
    <xf numFmtId="0" fontId="166" fillId="0" borderId="0" xfId="3" applyFont="1"/>
    <xf numFmtId="2" fontId="173" fillId="0" borderId="0" xfId="0" applyNumberFormat="1" applyFont="1"/>
    <xf numFmtId="180" fontId="77" fillId="12" borderId="3" xfId="0" applyNumberFormat="1" applyFont="1" applyFill="1" applyBorder="1" applyAlignment="1" applyProtection="1">
      <alignment horizontal="center"/>
      <protection locked="0"/>
    </xf>
    <xf numFmtId="4" fontId="4" fillId="19" borderId="17" xfId="0" applyNumberFormat="1" applyFont="1" applyFill="1" applyBorder="1" applyAlignment="1" applyProtection="1">
      <alignment horizontal="right"/>
      <protection locked="0"/>
    </xf>
    <xf numFmtId="4" fontId="4" fillId="0" borderId="17" xfId="0" applyNumberFormat="1" applyFont="1" applyBorder="1" applyAlignment="1">
      <alignment horizontal="center" vertical="top"/>
    </xf>
    <xf numFmtId="1" fontId="4" fillId="0" borderId="17" xfId="0" applyNumberFormat="1" applyFont="1" applyBorder="1" applyAlignment="1">
      <alignment horizontal="center" vertical="top"/>
    </xf>
    <xf numFmtId="4" fontId="4" fillId="0" borderId="17" xfId="0" applyNumberFormat="1" applyFont="1" applyBorder="1" applyAlignment="1" applyProtection="1">
      <alignment horizontal="right" vertical="top"/>
      <protection locked="0"/>
    </xf>
    <xf numFmtId="4" fontId="4" fillId="0" borderId="25" xfId="0" applyNumberFormat="1" applyFont="1" applyBorder="1" applyAlignment="1" applyProtection="1">
      <alignment horizontal="right" vertical="top"/>
      <protection locked="0"/>
    </xf>
    <xf numFmtId="1" fontId="178" fillId="0" borderId="0" xfId="0" applyNumberFormat="1" applyFont="1"/>
    <xf numFmtId="0" fontId="179" fillId="0" borderId="0" xfId="0" applyFont="1"/>
    <xf numFmtId="0" fontId="179" fillId="16" borderId="0" xfId="0" applyFont="1" applyFill="1"/>
    <xf numFmtId="0" fontId="174" fillId="16" borderId="0" xfId="0" applyFont="1" applyFill="1" applyAlignment="1">
      <alignment horizontal="center"/>
    </xf>
    <xf numFmtId="169" fontId="179" fillId="0" borderId="0" xfId="0" applyNumberFormat="1" applyFont="1"/>
    <xf numFmtId="2" fontId="179" fillId="0" borderId="0" xfId="0" applyNumberFormat="1" applyFont="1"/>
    <xf numFmtId="2" fontId="179" fillId="3" borderId="0" xfId="0" applyNumberFormat="1" applyFont="1" applyFill="1"/>
    <xf numFmtId="2" fontId="179" fillId="17" borderId="0" xfId="0" applyNumberFormat="1" applyFont="1" applyFill="1"/>
    <xf numFmtId="0" fontId="179" fillId="16" borderId="0" xfId="0" applyFont="1" applyFill="1" applyAlignment="1">
      <alignment horizontal="center"/>
    </xf>
    <xf numFmtId="178" fontId="1" fillId="0" borderId="23" xfId="0" applyNumberFormat="1" applyFont="1" applyBorder="1" applyAlignment="1">
      <alignment horizontal="centerContinuous" vertical="top"/>
    </xf>
    <xf numFmtId="178" fontId="1" fillId="0" borderId="22" xfId="0" applyNumberFormat="1" applyFont="1" applyBorder="1" applyAlignment="1">
      <alignment horizontal="centerContinuous" vertical="top"/>
    </xf>
    <xf numFmtId="0" fontId="120" fillId="0" borderId="22" xfId="0" applyFont="1" applyBorder="1" applyAlignment="1">
      <alignment horizontal="centerContinuous" vertical="top"/>
    </xf>
    <xf numFmtId="1" fontId="120" fillId="0" borderId="22" xfId="0" applyNumberFormat="1" applyFont="1" applyBorder="1" applyAlignment="1">
      <alignment horizontal="centerContinuous" vertical="top"/>
    </xf>
    <xf numFmtId="0" fontId="120" fillId="0" borderId="22" xfId="0" applyFont="1" applyBorder="1" applyAlignment="1" applyProtection="1">
      <alignment horizontal="centerContinuous" vertical="top"/>
      <protection locked="0"/>
    </xf>
    <xf numFmtId="0" fontId="120" fillId="0" borderId="24" xfId="0" applyFont="1" applyBorder="1" applyAlignment="1" applyProtection="1">
      <alignment horizontal="centerContinuous" vertical="top"/>
      <protection locked="0"/>
    </xf>
    <xf numFmtId="178" fontId="1" fillId="0" borderId="17" xfId="0" applyNumberFormat="1" applyFont="1" applyBorder="1" applyAlignment="1">
      <alignment horizontal="centerContinuous" vertical="top"/>
    </xf>
    <xf numFmtId="178" fontId="1" fillId="0" borderId="0" xfId="0" applyNumberFormat="1" applyFont="1" applyAlignment="1">
      <alignment horizontal="centerContinuous" vertical="top"/>
    </xf>
    <xf numFmtId="0" fontId="4" fillId="0" borderId="0" xfId="0" applyFont="1" applyAlignment="1">
      <alignment horizontal="centerContinuous" vertical="top"/>
    </xf>
    <xf numFmtId="1" fontId="4" fillId="0" borderId="0" xfId="0" applyNumberFormat="1" applyFont="1" applyAlignment="1">
      <alignment horizontal="centerContinuous" vertical="top"/>
    </xf>
    <xf numFmtId="0" fontId="4" fillId="0" borderId="0" xfId="0" applyFont="1" applyAlignment="1" applyProtection="1">
      <alignment horizontal="centerContinuous" vertical="top"/>
      <protection locked="0"/>
    </xf>
    <xf numFmtId="0" fontId="4" fillId="0" borderId="19" xfId="0" applyFont="1" applyBorder="1" applyAlignment="1" applyProtection="1">
      <alignment horizontal="centerContinuous" vertical="top"/>
      <protection locked="0"/>
    </xf>
    <xf numFmtId="178" fontId="15" fillId="0" borderId="17" xfId="0" applyNumberFormat="1" applyFont="1" applyBorder="1" applyAlignment="1">
      <alignment vertical="top"/>
    </xf>
    <xf numFmtId="178" fontId="4" fillId="0" borderId="0" xfId="0" applyNumberFormat="1" applyFont="1" applyAlignment="1">
      <alignment vertical="top"/>
    </xf>
    <xf numFmtId="1" fontId="4" fillId="0" borderId="0" xfId="0" applyNumberFormat="1" applyFont="1" applyAlignment="1">
      <alignment vertical="top"/>
    </xf>
    <xf numFmtId="0" fontId="4" fillId="0" borderId="0" xfId="0" applyFont="1" applyAlignment="1" applyProtection="1">
      <alignment vertical="top"/>
      <protection locked="0"/>
    </xf>
    <xf numFmtId="0" fontId="4" fillId="0" borderId="19" xfId="0" applyFont="1" applyBorder="1" applyAlignment="1" applyProtection="1">
      <alignment vertical="top"/>
      <protection locked="0"/>
    </xf>
    <xf numFmtId="178" fontId="1" fillId="0" borderId="4" xfId="0" applyNumberFormat="1" applyFont="1" applyBorder="1" applyAlignment="1">
      <alignment horizontal="center" vertical="top"/>
    </xf>
    <xf numFmtId="4" fontId="1" fillId="0" borderId="4" xfId="0" applyNumberFormat="1" applyFont="1" applyBorder="1" applyAlignment="1">
      <alignment horizontal="centerContinuous" vertical="top"/>
    </xf>
    <xf numFmtId="4" fontId="1" fillId="0" borderId="33" xfId="0" applyNumberFormat="1" applyFont="1" applyBorder="1" applyAlignment="1">
      <alignment horizontal="centerContinuous" vertical="top"/>
    </xf>
    <xf numFmtId="4" fontId="1" fillId="0" borderId="4" xfId="0" applyNumberFormat="1" applyFont="1" applyBorder="1" applyAlignment="1">
      <alignment horizontal="center" vertical="top"/>
    </xf>
    <xf numFmtId="1" fontId="1" fillId="0" borderId="4" xfId="0" applyNumberFormat="1" applyFont="1" applyBorder="1" applyAlignment="1">
      <alignment horizontal="center" vertical="top"/>
    </xf>
    <xf numFmtId="4" fontId="1" fillId="0" borderId="4" xfId="0" applyNumberFormat="1" applyFont="1" applyBorder="1" applyAlignment="1" applyProtection="1">
      <alignment horizontal="center" vertical="top"/>
      <protection locked="0"/>
    </xf>
    <xf numFmtId="4" fontId="1" fillId="0" borderId="6" xfId="0" applyNumberFormat="1" applyFont="1" applyBorder="1" applyAlignment="1" applyProtection="1">
      <alignment horizontal="center" vertical="top"/>
      <protection locked="0"/>
    </xf>
    <xf numFmtId="178" fontId="1" fillId="0" borderId="17" xfId="0" applyNumberFormat="1" applyFont="1" applyBorder="1" applyAlignment="1">
      <alignment horizontal="center" vertical="top"/>
    </xf>
    <xf numFmtId="4" fontId="1" fillId="0" borderId="17" xfId="0" applyNumberFormat="1" applyFont="1" applyBorder="1" applyAlignment="1">
      <alignment horizontal="centerContinuous" vertical="top"/>
    </xf>
    <xf numFmtId="4" fontId="1" fillId="0" borderId="0" xfId="0" applyNumberFormat="1" applyFont="1" applyAlignment="1">
      <alignment horizontal="centerContinuous" vertical="top"/>
    </xf>
    <xf numFmtId="4" fontId="1" fillId="0" borderId="17" xfId="0" applyNumberFormat="1" applyFont="1" applyBorder="1" applyAlignment="1">
      <alignment horizontal="center" vertical="top"/>
    </xf>
    <xf numFmtId="1" fontId="1" fillId="0" borderId="17" xfId="0" applyNumberFormat="1" applyFont="1" applyBorder="1" applyAlignment="1">
      <alignment horizontal="center" vertical="top"/>
    </xf>
    <xf numFmtId="4" fontId="1" fillId="0" borderId="17" xfId="0" applyNumberFormat="1" applyFont="1" applyBorder="1" applyAlignment="1" applyProtection="1">
      <alignment horizontal="center" vertical="top"/>
      <protection locked="0"/>
    </xf>
    <xf numFmtId="4" fontId="1" fillId="0" borderId="25" xfId="0" applyNumberFormat="1" applyFont="1" applyBorder="1" applyAlignment="1" applyProtection="1">
      <alignment horizontal="center" vertical="top"/>
      <protection locked="0"/>
    </xf>
    <xf numFmtId="4" fontId="1" fillId="0" borderId="19" xfId="0" applyNumberFormat="1" applyFont="1" applyBorder="1" applyAlignment="1">
      <alignment vertical="top" wrapText="1"/>
    </xf>
    <xf numFmtId="4" fontId="1" fillId="0" borderId="0" xfId="0" applyNumberFormat="1" applyFont="1" applyAlignment="1">
      <alignment vertical="top" wrapText="1"/>
    </xf>
    <xf numFmtId="1" fontId="177" fillId="0" borderId="17" xfId="0" applyNumberFormat="1" applyFont="1" applyBorder="1" applyAlignment="1">
      <alignment horizontal="center" vertical="top"/>
    </xf>
    <xf numFmtId="178" fontId="4" fillId="0" borderId="45" xfId="0" applyNumberFormat="1" applyFont="1" applyBorder="1" applyAlignment="1">
      <alignment horizontal="center" vertical="top"/>
    </xf>
    <xf numFmtId="4" fontId="4" fillId="0" borderId="28" xfId="0" applyNumberFormat="1" applyFont="1" applyBorder="1" applyAlignment="1">
      <alignment vertical="top" wrapText="1"/>
    </xf>
    <xf numFmtId="4" fontId="4" fillId="0" borderId="28" xfId="0" applyNumberFormat="1" applyFont="1" applyBorder="1" applyAlignment="1">
      <alignment horizontal="center" vertical="top"/>
    </xf>
    <xf numFmtId="1" fontId="4" fillId="0" borderId="28" xfId="0" applyNumberFormat="1" applyFont="1" applyBorder="1" applyAlignment="1">
      <alignment horizontal="center" vertical="top"/>
    </xf>
    <xf numFmtId="4" fontId="4" fillId="0" borderId="28" xfId="0" applyNumberFormat="1" applyFont="1" applyBorder="1" applyAlignment="1" applyProtection="1">
      <alignment vertical="top"/>
      <protection locked="0"/>
    </xf>
    <xf numFmtId="4" fontId="4" fillId="0" borderId="46" xfId="0" applyNumberFormat="1" applyFont="1" applyBorder="1" applyAlignment="1" applyProtection="1">
      <alignment vertical="top"/>
      <protection locked="0"/>
    </xf>
    <xf numFmtId="178" fontId="4" fillId="0" borderId="17" xfId="0" applyNumberFormat="1" applyFont="1" applyBorder="1" applyAlignment="1">
      <alignment vertical="top"/>
    </xf>
    <xf numFmtId="4" fontId="1" fillId="0" borderId="0" xfId="0" applyNumberFormat="1" applyFont="1" applyAlignment="1">
      <alignment horizontal="left" vertical="top" wrapText="1"/>
    </xf>
    <xf numFmtId="4" fontId="1" fillId="0" borderId="0" xfId="0" applyNumberFormat="1" applyFont="1" applyAlignment="1">
      <alignment horizontal="right" vertical="top"/>
    </xf>
    <xf numFmtId="1" fontId="1" fillId="0" borderId="0" xfId="0" applyNumberFormat="1" applyFont="1" applyAlignment="1">
      <alignment horizontal="center" vertical="top"/>
    </xf>
    <xf numFmtId="4" fontId="1" fillId="0" borderId="0" xfId="0" applyNumberFormat="1" applyFont="1" applyAlignment="1" applyProtection="1">
      <alignment horizontal="center" vertical="top"/>
      <protection locked="0"/>
    </xf>
    <xf numFmtId="178" fontId="4" fillId="0" borderId="20" xfId="0" applyNumberFormat="1" applyFont="1" applyBorder="1" applyAlignment="1">
      <alignment vertical="top"/>
    </xf>
    <xf numFmtId="0" fontId="4" fillId="0" borderId="13" xfId="0" applyFont="1" applyBorder="1" applyAlignment="1">
      <alignment vertical="top" wrapText="1"/>
    </xf>
    <xf numFmtId="0" fontId="4" fillId="0" borderId="13" xfId="0" applyFont="1" applyBorder="1" applyAlignment="1">
      <alignment vertical="top"/>
    </xf>
    <xf numFmtId="1" fontId="4" fillId="0" borderId="13" xfId="0" applyNumberFormat="1" applyFont="1" applyBorder="1" applyAlignment="1">
      <alignment vertical="top"/>
    </xf>
    <xf numFmtId="0" fontId="4" fillId="0" borderId="13" xfId="0" applyFont="1" applyBorder="1" applyAlignment="1" applyProtection="1">
      <alignment vertical="top"/>
      <protection locked="0"/>
    </xf>
    <xf numFmtId="0" fontId="4" fillId="0" borderId="11" xfId="0" applyFont="1" applyBorder="1" applyAlignment="1" applyProtection="1">
      <alignment vertical="top"/>
      <protection locked="0"/>
    </xf>
    <xf numFmtId="178" fontId="4" fillId="0" borderId="25" xfId="0" applyNumberFormat="1" applyFont="1" applyBorder="1" applyAlignment="1">
      <alignment horizontal="center" vertical="top"/>
    </xf>
    <xf numFmtId="4" fontId="4" fillId="0" borderId="0" xfId="0" applyNumberFormat="1" applyFont="1" applyAlignment="1">
      <alignment wrapText="1"/>
    </xf>
    <xf numFmtId="0" fontId="4" fillId="0" borderId="0" xfId="0" applyFont="1" applyAlignment="1">
      <alignment horizontal="centerContinuous"/>
    </xf>
    <xf numFmtId="0" fontId="4" fillId="0" borderId="17" xfId="0" applyFont="1" applyBorder="1" applyAlignment="1">
      <alignment horizontal="center" vertical="top"/>
    </xf>
    <xf numFmtId="0" fontId="4" fillId="0" borderId="17" xfId="0" applyFont="1" applyBorder="1" applyAlignment="1">
      <alignment horizontal="center"/>
    </xf>
    <xf numFmtId="4" fontId="4" fillId="0" borderId="45" xfId="0" applyNumberFormat="1" applyFont="1" applyBorder="1" applyAlignment="1">
      <alignment horizontal="center" vertical="top"/>
    </xf>
    <xf numFmtId="0" fontId="4" fillId="0" borderId="28" xfId="0" applyFont="1" applyBorder="1" applyAlignment="1">
      <alignment horizontal="center" vertical="top"/>
    </xf>
    <xf numFmtId="4" fontId="4" fillId="0" borderId="17" xfId="0" applyNumberFormat="1" applyFont="1" applyBorder="1" applyAlignment="1">
      <alignment vertical="top"/>
    </xf>
    <xf numFmtId="0" fontId="4" fillId="0" borderId="20" xfId="0" applyFont="1" applyBorder="1" applyAlignment="1">
      <alignment vertical="top"/>
    </xf>
    <xf numFmtId="4" fontId="4" fillId="0" borderId="19" xfId="0" applyNumberFormat="1" applyFont="1" applyBorder="1" applyAlignment="1">
      <alignment horizontal="left" vertical="top" wrapText="1"/>
    </xf>
    <xf numFmtId="3" fontId="4" fillId="0" borderId="17" xfId="0" applyNumberFormat="1" applyFont="1" applyBorder="1" applyAlignment="1">
      <alignment horizontal="center" vertical="top"/>
    </xf>
    <xf numFmtId="4" fontId="4" fillId="0" borderId="44" xfId="0" applyNumberFormat="1" applyFont="1" applyBorder="1" applyAlignment="1">
      <alignment horizontal="left" vertical="top" wrapText="1"/>
    </xf>
    <xf numFmtId="178" fontId="0" fillId="0" borderId="0" xfId="0" applyNumberFormat="1" applyAlignment="1">
      <alignment vertical="top"/>
    </xf>
    <xf numFmtId="1" fontId="0" fillId="0" borderId="0" xfId="0" applyNumberFormat="1" applyAlignment="1">
      <alignment vertical="top"/>
    </xf>
    <xf numFmtId="0" fontId="0" fillId="0" borderId="0" xfId="0" applyAlignment="1" applyProtection="1">
      <alignment vertical="top"/>
      <protection locked="0"/>
    </xf>
    <xf numFmtId="178" fontId="4" fillId="19" borderId="0" xfId="0" applyNumberFormat="1" applyFont="1" applyFill="1" applyAlignment="1">
      <alignment horizontal="left" vertical="top" wrapText="1"/>
    </xf>
    <xf numFmtId="4" fontId="4" fillId="19" borderId="17" xfId="0" applyNumberFormat="1" applyFont="1" applyFill="1" applyBorder="1" applyAlignment="1">
      <alignment horizontal="center" vertical="top"/>
    </xf>
    <xf numFmtId="1" fontId="4" fillId="19" borderId="17" xfId="0" applyNumberFormat="1" applyFont="1" applyFill="1" applyBorder="1" applyAlignment="1">
      <alignment horizontal="center" vertical="top"/>
    </xf>
    <xf numFmtId="4" fontId="4" fillId="19" borderId="17" xfId="0" applyNumberFormat="1" applyFont="1" applyFill="1" applyBorder="1" applyAlignment="1" applyProtection="1">
      <alignment horizontal="right" vertical="top"/>
      <protection locked="0"/>
    </xf>
    <xf numFmtId="4" fontId="4" fillId="19" borderId="25" xfId="0" applyNumberFormat="1" applyFont="1" applyFill="1" applyBorder="1" applyAlignment="1" applyProtection="1">
      <alignment horizontal="right" vertical="top"/>
      <protection locked="0"/>
    </xf>
    <xf numFmtId="4" fontId="25" fillId="19" borderId="0" xfId="0" applyNumberFormat="1" applyFont="1" applyFill="1" applyAlignment="1">
      <alignment vertical="top" wrapText="1"/>
    </xf>
    <xf numFmtId="0" fontId="180" fillId="0" borderId="0" xfId="0" applyFont="1"/>
    <xf numFmtId="0" fontId="181" fillId="16" borderId="0" xfId="0" applyFont="1" applyFill="1"/>
    <xf numFmtId="0" fontId="181" fillId="16" borderId="0" xfId="0" applyFont="1" applyFill="1" applyAlignment="1">
      <alignment horizontal="center"/>
    </xf>
    <xf numFmtId="0" fontId="181" fillId="0" borderId="0" xfId="0" applyFont="1"/>
    <xf numFmtId="0" fontId="180" fillId="16" borderId="0" xfId="0" applyFont="1" applyFill="1" applyAlignment="1">
      <alignment horizontal="center"/>
    </xf>
    <xf numFmtId="169" fontId="181" fillId="0" borderId="0" xfId="0" applyNumberFormat="1" applyFont="1"/>
    <xf numFmtId="2" fontId="181" fillId="0" borderId="0" xfId="0" applyNumberFormat="1" applyFont="1"/>
    <xf numFmtId="0" fontId="4" fillId="0" borderId="0" xfId="0" applyFont="1" applyAlignment="1" applyProtection="1">
      <alignment horizontal="right" vertical="top"/>
      <protection locked="0"/>
    </xf>
    <xf numFmtId="4" fontId="1" fillId="0" borderId="4" xfId="0" applyNumberFormat="1" applyFont="1" applyBorder="1" applyAlignment="1" applyProtection="1">
      <alignment horizontal="right" vertical="top"/>
      <protection locked="0"/>
    </xf>
    <xf numFmtId="4" fontId="4" fillId="0" borderId="28" xfId="0" applyNumberFormat="1" applyFont="1" applyBorder="1" applyAlignment="1" applyProtection="1">
      <alignment horizontal="right" vertical="top"/>
      <protection locked="0"/>
    </xf>
    <xf numFmtId="4" fontId="1" fillId="0" borderId="0" xfId="0" applyNumberFormat="1" applyFont="1" applyAlignment="1" applyProtection="1">
      <alignment horizontal="right" vertical="top"/>
      <protection locked="0"/>
    </xf>
    <xf numFmtId="0" fontId="4" fillId="0" borderId="13" xfId="0" applyFont="1" applyBorder="1" applyAlignment="1" applyProtection="1">
      <alignment horizontal="right" vertical="top"/>
      <protection locked="0"/>
    </xf>
    <xf numFmtId="0" fontId="120" fillId="0" borderId="22" xfId="0" applyFont="1" applyBorder="1" applyAlignment="1" applyProtection="1">
      <alignment horizontal="right" vertical="top"/>
      <protection locked="0"/>
    </xf>
    <xf numFmtId="178" fontId="0" fillId="0" borderId="17" xfId="0" applyNumberFormat="1" applyBorder="1" applyAlignment="1">
      <alignment vertical="top"/>
    </xf>
    <xf numFmtId="4" fontId="1" fillId="0" borderId="17" xfId="0" applyNumberFormat="1" applyFont="1" applyBorder="1" applyAlignment="1" applyProtection="1">
      <alignment horizontal="right" vertical="top"/>
      <protection locked="0"/>
    </xf>
    <xf numFmtId="0" fontId="0" fillId="0" borderId="0" xfId="0" applyAlignment="1" applyProtection="1">
      <alignment horizontal="right" vertical="top"/>
      <protection locked="0"/>
    </xf>
    <xf numFmtId="4" fontId="4" fillId="19" borderId="0" xfId="0" applyNumberFormat="1" applyFont="1" applyFill="1" applyAlignment="1">
      <alignment horizontal="left" vertical="top" wrapText="1"/>
    </xf>
    <xf numFmtId="4" fontId="1" fillId="19" borderId="0" xfId="0" applyNumberFormat="1" applyFont="1" applyFill="1" applyAlignment="1">
      <alignment vertical="top" wrapText="1"/>
    </xf>
    <xf numFmtId="178" fontId="4" fillId="19" borderId="25" xfId="0" applyNumberFormat="1" applyFont="1" applyFill="1" applyBorder="1" applyAlignment="1">
      <alignment horizontal="center" vertical="top"/>
    </xf>
    <xf numFmtId="4" fontId="4" fillId="19" borderId="0" xfId="0" applyNumberFormat="1" applyFont="1" applyFill="1" applyAlignment="1">
      <alignment wrapText="1"/>
    </xf>
    <xf numFmtId="3" fontId="4" fillId="19" borderId="17" xfId="0" applyNumberFormat="1" applyFont="1" applyFill="1" applyBorder="1" applyAlignment="1">
      <alignment horizontal="center" vertical="top"/>
    </xf>
    <xf numFmtId="4" fontId="4" fillId="19" borderId="19" xfId="0" applyNumberFormat="1" applyFont="1" applyFill="1" applyBorder="1" applyAlignment="1">
      <alignment vertical="top" wrapText="1"/>
    </xf>
    <xf numFmtId="4" fontId="4" fillId="19" borderId="0" xfId="0" applyNumberFormat="1" applyFont="1" applyFill="1" applyAlignment="1">
      <alignment horizontal="center" vertical="top"/>
    </xf>
    <xf numFmtId="4" fontId="4" fillId="0" borderId="19" xfId="0" applyNumberFormat="1" applyFont="1" applyBorder="1" applyAlignment="1">
      <alignment vertical="top" wrapText="1"/>
    </xf>
    <xf numFmtId="4" fontId="4" fillId="0" borderId="0" xfId="0" applyNumberFormat="1" applyFont="1" applyAlignment="1">
      <alignment horizontal="center" vertical="top"/>
    </xf>
    <xf numFmtId="0" fontId="120" fillId="0" borderId="22" xfId="0" applyFont="1" applyBorder="1" applyAlignment="1">
      <alignment horizontal="centerContinuous" vertical="top" wrapText="1"/>
    </xf>
    <xf numFmtId="0" fontId="4" fillId="0" borderId="0" xfId="0" applyFont="1" applyAlignment="1">
      <alignment horizontal="centerContinuous" vertical="top" wrapText="1"/>
    </xf>
    <xf numFmtId="4" fontId="4" fillId="0" borderId="44" xfId="0" applyNumberFormat="1" applyFont="1" applyBorder="1" applyAlignment="1">
      <alignment vertical="top" wrapText="1"/>
    </xf>
    <xf numFmtId="4" fontId="4" fillId="0" borderId="0" xfId="0" applyNumberFormat="1" applyFont="1" applyAlignment="1">
      <alignment horizontal="left" vertical="top" wrapText="1"/>
    </xf>
    <xf numFmtId="4" fontId="32" fillId="0" borderId="19" xfId="0" applyNumberFormat="1" applyFont="1" applyBorder="1" applyAlignment="1">
      <alignment horizontal="left" vertical="top" wrapText="1"/>
    </xf>
    <xf numFmtId="4" fontId="4" fillId="0" borderId="19" xfId="0" applyNumberFormat="1" applyFont="1" applyBorder="1" applyAlignment="1">
      <alignment wrapText="1"/>
    </xf>
    <xf numFmtId="4" fontId="4" fillId="0" borderId="25" xfId="0" applyNumberFormat="1" applyFont="1" applyBorder="1" applyAlignment="1">
      <alignment horizontal="center" vertical="top"/>
    </xf>
    <xf numFmtId="4" fontId="4" fillId="0" borderId="47" xfId="0" applyNumberFormat="1" applyFont="1" applyBorder="1" applyAlignment="1">
      <alignment vertical="top" wrapText="1"/>
    </xf>
    <xf numFmtId="4" fontId="4" fillId="19" borderId="19" xfId="0" applyNumberFormat="1" applyFont="1" applyFill="1" applyBorder="1" applyAlignment="1">
      <alignment wrapText="1"/>
    </xf>
    <xf numFmtId="4" fontId="4" fillId="0" borderId="0" xfId="0" applyNumberFormat="1" applyFont="1" applyAlignment="1" applyProtection="1">
      <alignment horizontal="center" vertical="top"/>
      <protection locked="0"/>
    </xf>
    <xf numFmtId="4" fontId="4" fillId="19" borderId="17" xfId="0" applyNumberFormat="1" applyFont="1" applyFill="1" applyBorder="1" applyAlignment="1" applyProtection="1">
      <alignment horizontal="center" wrapText="1"/>
      <protection locked="0"/>
    </xf>
    <xf numFmtId="4" fontId="25" fillId="0" borderId="0" xfId="0" applyNumberFormat="1" applyFont="1" applyAlignment="1">
      <alignment horizontal="justify" vertical="top" wrapText="1"/>
    </xf>
    <xf numFmtId="4" fontId="4" fillId="0" borderId="17" xfId="0" applyNumberFormat="1" applyFont="1" applyBorder="1" applyAlignment="1">
      <alignment horizontal="center" wrapText="1"/>
    </xf>
    <xf numFmtId="4" fontId="4" fillId="19" borderId="0" xfId="0" applyNumberFormat="1" applyFont="1" applyFill="1" applyAlignment="1">
      <alignment horizontal="justify" vertical="top" wrapText="1"/>
    </xf>
    <xf numFmtId="3" fontId="4" fillId="19" borderId="17" xfId="0" applyNumberFormat="1" applyFont="1" applyFill="1" applyBorder="1" applyAlignment="1">
      <alignment horizontal="center"/>
    </xf>
    <xf numFmtId="4" fontId="4" fillId="0" borderId="0" xfId="0" applyNumberFormat="1" applyFont="1" applyAlignment="1">
      <alignment horizontal="justify" vertical="top" wrapText="1"/>
    </xf>
    <xf numFmtId="3" fontId="4" fillId="0" borderId="17" xfId="0" applyNumberFormat="1" applyFont="1" applyBorder="1" applyAlignment="1">
      <alignment horizontal="center"/>
    </xf>
    <xf numFmtId="0" fontId="4" fillId="19" borderId="17" xfId="0" applyFont="1" applyFill="1" applyBorder="1" applyAlignment="1">
      <alignment horizontal="center"/>
    </xf>
    <xf numFmtId="178" fontId="1" fillId="0" borderId="22" xfId="12" applyNumberFormat="1" applyFont="1" applyBorder="1" applyAlignment="1">
      <alignment horizontal="centerContinuous" vertical="top"/>
    </xf>
    <xf numFmtId="178" fontId="1" fillId="0" borderId="0" xfId="12" applyNumberFormat="1" applyFont="1" applyAlignment="1">
      <alignment horizontal="centerContinuous" vertical="top"/>
    </xf>
    <xf numFmtId="178" fontId="4" fillId="0" borderId="0" xfId="12" applyNumberFormat="1" applyFont="1" applyAlignment="1">
      <alignment vertical="top"/>
    </xf>
    <xf numFmtId="4" fontId="1" fillId="0" borderId="4" xfId="12" applyNumberFormat="1" applyFont="1" applyBorder="1" applyAlignment="1">
      <alignment horizontal="centerContinuous" vertical="top"/>
    </xf>
    <xf numFmtId="4" fontId="4" fillId="0" borderId="17" xfId="12" applyNumberFormat="1" applyFont="1" applyBorder="1" applyAlignment="1" applyProtection="1">
      <alignment vertical="top"/>
      <protection locked="0"/>
    </xf>
    <xf numFmtId="4" fontId="4" fillId="0" borderId="25" xfId="12" applyNumberFormat="1" applyFont="1" applyBorder="1" applyAlignment="1" applyProtection="1">
      <alignment vertical="top"/>
      <protection locked="0"/>
    </xf>
    <xf numFmtId="4" fontId="4" fillId="0" borderId="45" xfId="12" applyNumberFormat="1" applyFont="1" applyBorder="1" applyAlignment="1">
      <alignment horizontal="center" vertical="top"/>
    </xf>
    <xf numFmtId="4" fontId="4" fillId="0" borderId="17" xfId="12" applyNumberFormat="1" applyFont="1" applyBorder="1" applyAlignment="1">
      <alignment vertical="top"/>
    </xf>
    <xf numFmtId="0" fontId="4" fillId="0" borderId="20" xfId="12" applyFont="1" applyBorder="1" applyAlignment="1">
      <alignment vertical="top"/>
    </xf>
    <xf numFmtId="0" fontId="4" fillId="19" borderId="19" xfId="12" applyFont="1" applyFill="1" applyBorder="1" applyAlignment="1">
      <alignment horizontal="left" vertical="top" wrapText="1"/>
    </xf>
    <xf numFmtId="0" fontId="1" fillId="0" borderId="0" xfId="12" applyFont="1" applyAlignment="1">
      <alignment horizontal="justify" vertical="center"/>
    </xf>
    <xf numFmtId="4" fontId="4" fillId="0" borderId="25" xfId="12" applyNumberFormat="1" applyFont="1" applyBorder="1" applyAlignment="1" applyProtection="1">
      <alignment horizontal="right" wrapText="1"/>
      <protection locked="0"/>
    </xf>
    <xf numFmtId="4" fontId="4" fillId="0" borderId="17" xfId="12" applyNumberFormat="1" applyFont="1" applyBorder="1" applyProtection="1">
      <protection locked="0"/>
    </xf>
    <xf numFmtId="4" fontId="4" fillId="0" borderId="25" xfId="12" applyNumberFormat="1" applyFont="1" applyBorder="1" applyProtection="1">
      <protection locked="0"/>
    </xf>
    <xf numFmtId="178" fontId="1" fillId="0" borderId="23" xfId="12" applyNumberFormat="1" applyFont="1" applyBorder="1" applyAlignment="1">
      <alignment horizontal="center" vertical="top"/>
    </xf>
    <xf numFmtId="178" fontId="1" fillId="0" borderId="17" xfId="12" applyNumberFormat="1" applyFont="1" applyBorder="1" applyAlignment="1">
      <alignment vertical="top"/>
    </xf>
    <xf numFmtId="178" fontId="1" fillId="0" borderId="0" xfId="12" applyNumberFormat="1" applyFont="1" applyAlignment="1">
      <alignment vertical="top"/>
    </xf>
    <xf numFmtId="178" fontId="1" fillId="0" borderId="23" xfId="12" applyNumberFormat="1" applyFont="1" applyBorder="1" applyAlignment="1">
      <alignment vertical="top"/>
    </xf>
    <xf numFmtId="178" fontId="1" fillId="0" borderId="22" xfId="12" applyNumberFormat="1" applyFont="1" applyBorder="1" applyAlignment="1">
      <alignment vertical="top"/>
    </xf>
    <xf numFmtId="178" fontId="1" fillId="0" borderId="24" xfId="12" applyNumberFormat="1" applyFont="1" applyBorder="1" applyAlignment="1">
      <alignment vertical="top"/>
    </xf>
    <xf numFmtId="178" fontId="1" fillId="0" borderId="19" xfId="12" applyNumberFormat="1" applyFont="1" applyBorder="1" applyAlignment="1">
      <alignment vertical="top"/>
    </xf>
    <xf numFmtId="0" fontId="25" fillId="0" borderId="0" xfId="12" applyFont="1" applyAlignment="1">
      <alignment horizontal="centerContinuous" vertical="top"/>
    </xf>
    <xf numFmtId="0" fontId="1" fillId="0" borderId="0" xfId="12" applyFont="1" applyAlignment="1">
      <alignment horizontal="right" vertical="top"/>
    </xf>
    <xf numFmtId="0" fontId="1" fillId="0" borderId="0" xfId="12" applyFont="1" applyAlignment="1">
      <alignment vertical="top"/>
    </xf>
    <xf numFmtId="4" fontId="4" fillId="0" borderId="13" xfId="12" applyNumberFormat="1" applyFont="1" applyBorder="1" applyAlignment="1">
      <alignment vertical="top"/>
    </xf>
    <xf numFmtId="4" fontId="1" fillId="0" borderId="12" xfId="12" applyNumberFormat="1" applyFont="1" applyBorder="1" applyAlignment="1">
      <alignment vertical="top"/>
    </xf>
    <xf numFmtId="4" fontId="1" fillId="0" borderId="0" xfId="12" applyNumberFormat="1" applyFont="1" applyAlignment="1">
      <alignment vertical="top"/>
    </xf>
    <xf numFmtId="0" fontId="182" fillId="0" borderId="0" xfId="12" applyFont="1" applyAlignment="1">
      <alignment vertical="top"/>
    </xf>
    <xf numFmtId="43" fontId="4" fillId="0" borderId="0" xfId="18" applyFont="1" applyAlignment="1">
      <alignment vertical="top"/>
    </xf>
    <xf numFmtId="4" fontId="1" fillId="0" borderId="1" xfId="12" applyNumberFormat="1" applyFont="1" applyBorder="1" applyAlignment="1">
      <alignment vertical="top"/>
    </xf>
    <xf numFmtId="0" fontId="4" fillId="0" borderId="0" xfId="12" applyFont="1" applyAlignment="1">
      <alignment horizontal="left" vertical="top"/>
    </xf>
    <xf numFmtId="4" fontId="4" fillId="0" borderId="13" xfId="0" applyNumberFormat="1" applyFont="1" applyBorder="1" applyAlignment="1">
      <alignment vertical="top"/>
    </xf>
    <xf numFmtId="0" fontId="183" fillId="0" borderId="0" xfId="0" applyFont="1" applyAlignment="1">
      <alignment vertical="top"/>
    </xf>
    <xf numFmtId="0" fontId="178" fillId="0" borderId="0" xfId="0" applyFont="1" applyAlignment="1">
      <alignment vertical="top" wrapText="1"/>
    </xf>
    <xf numFmtId="0" fontId="13" fillId="0" borderId="0" xfId="0" applyFont="1"/>
    <xf numFmtId="4" fontId="15" fillId="3" borderId="3" xfId="3" applyNumberFormat="1" applyFont="1" applyFill="1" applyBorder="1" applyAlignment="1">
      <alignment horizontal="right"/>
    </xf>
    <xf numFmtId="1" fontId="15" fillId="7" borderId="0" xfId="10" applyFont="1" applyFill="1"/>
    <xf numFmtId="1" fontId="15" fillId="7" borderId="0" xfId="10" applyFont="1" applyFill="1" applyAlignment="1">
      <alignment horizontal="center"/>
    </xf>
    <xf numFmtId="1" fontId="15" fillId="0" borderId="1" xfId="10" applyFont="1" applyBorder="1" applyAlignment="1" applyProtection="1">
      <alignment horizontal="center"/>
      <protection locked="0"/>
    </xf>
    <xf numFmtId="0" fontId="168" fillId="25" borderId="0" xfId="0" applyFont="1" applyFill="1"/>
    <xf numFmtId="4" fontId="15" fillId="4" borderId="18" xfId="3" applyNumberFormat="1" applyFont="1" applyFill="1" applyBorder="1" applyAlignment="1">
      <alignment horizontal="right"/>
    </xf>
    <xf numFmtId="4" fontId="15" fillId="4" borderId="16" xfId="3" applyNumberFormat="1" applyFont="1" applyFill="1" applyBorder="1" applyAlignment="1">
      <alignment horizontal="right"/>
    </xf>
    <xf numFmtId="2" fontId="13" fillId="4" borderId="3" xfId="3" applyNumberFormat="1" applyFont="1" applyFill="1" applyBorder="1" applyAlignment="1" applyProtection="1">
      <alignment horizontal="center"/>
      <protection locked="0"/>
    </xf>
    <xf numFmtId="4" fontId="13" fillId="4" borderId="3" xfId="3" applyNumberFormat="1" applyFont="1" applyFill="1" applyBorder="1" applyAlignment="1">
      <alignment horizontal="center"/>
    </xf>
    <xf numFmtId="2" fontId="15" fillId="4" borderId="3" xfId="3" applyNumberFormat="1" applyFont="1" applyFill="1" applyBorder="1" applyAlignment="1">
      <alignment horizontal="center"/>
    </xf>
    <xf numFmtId="2" fontId="7" fillId="4" borderId="3" xfId="3" applyNumberFormat="1" applyFont="1" applyFill="1" applyBorder="1" applyAlignment="1">
      <alignment horizontal="center"/>
    </xf>
    <xf numFmtId="1" fontId="182" fillId="0" borderId="0" xfId="0" applyNumberFormat="1" applyFont="1"/>
    <xf numFmtId="2" fontId="181" fillId="3" borderId="0" xfId="0" applyNumberFormat="1" applyFont="1" applyFill="1"/>
    <xf numFmtId="2" fontId="181" fillId="17" borderId="0" xfId="0" applyNumberFormat="1" applyFont="1" applyFill="1"/>
    <xf numFmtId="0" fontId="182" fillId="0" borderId="0" xfId="0" applyFont="1"/>
    <xf numFmtId="2" fontId="166" fillId="0" borderId="0" xfId="17" applyNumberFormat="1" applyFont="1" applyProtection="1">
      <protection locked="0"/>
    </xf>
    <xf numFmtId="1" fontId="166" fillId="0" borderId="0" xfId="17" applyFont="1" applyProtection="1">
      <protection locked="0"/>
    </xf>
    <xf numFmtId="1" fontId="166" fillId="2" borderId="0" xfId="17" applyFont="1" applyFill="1" applyProtection="1">
      <protection locked="0"/>
    </xf>
    <xf numFmtId="17" fontId="166" fillId="2" borderId="0" xfId="17" applyNumberFormat="1" applyFont="1" applyFill="1" applyProtection="1">
      <protection locked="0"/>
    </xf>
    <xf numFmtId="1" fontId="166" fillId="0" borderId="0" xfId="17" applyFont="1" applyAlignment="1" applyProtection="1">
      <alignment horizontal="center"/>
      <protection locked="0"/>
    </xf>
    <xf numFmtId="2" fontId="184" fillId="0" borderId="0" xfId="17" applyNumberFormat="1" applyFont="1"/>
    <xf numFmtId="2" fontId="185" fillId="3" borderId="0" xfId="17" applyNumberFormat="1" applyFont="1" applyFill="1"/>
    <xf numFmtId="2" fontId="185" fillId="3" borderId="0" xfId="10" applyNumberFormat="1" applyFont="1" applyFill="1"/>
    <xf numFmtId="1" fontId="185" fillId="0" borderId="0" xfId="17" applyFont="1" applyAlignment="1" applyProtection="1">
      <alignment horizontal="right"/>
      <protection locked="0"/>
    </xf>
    <xf numFmtId="2" fontId="185" fillId="0" borderId="0" xfId="17" applyNumberFormat="1" applyFont="1" applyProtection="1">
      <protection locked="0"/>
    </xf>
    <xf numFmtId="1" fontId="184" fillId="0" borderId="0" xfId="17" applyFont="1" applyProtection="1">
      <protection locked="0"/>
    </xf>
    <xf numFmtId="1" fontId="185" fillId="2" borderId="0" xfId="17" applyFont="1" applyFill="1" applyProtection="1">
      <protection locked="0"/>
    </xf>
    <xf numFmtId="17" fontId="185" fillId="2" borderId="0" xfId="17" applyNumberFormat="1" applyFont="1" applyFill="1" applyProtection="1">
      <protection locked="0"/>
    </xf>
    <xf numFmtId="1" fontId="185" fillId="0" borderId="0" xfId="17" applyFont="1" applyProtection="1">
      <protection locked="0"/>
    </xf>
    <xf numFmtId="1" fontId="185" fillId="0" borderId="0" xfId="17" applyFont="1" applyAlignment="1" applyProtection="1">
      <alignment horizontal="center"/>
      <protection locked="0"/>
    </xf>
    <xf numFmtId="2" fontId="184" fillId="3" borderId="0" xfId="17" applyNumberFormat="1" applyFont="1" applyFill="1"/>
    <xf numFmtId="4" fontId="4" fillId="19" borderId="17" xfId="12" applyNumberFormat="1" applyFont="1" applyFill="1" applyBorder="1" applyAlignment="1" applyProtection="1">
      <alignment horizontal="left"/>
      <protection locked="0"/>
    </xf>
    <xf numFmtId="0" fontId="4" fillId="0" borderId="13" xfId="12" applyFont="1" applyBorder="1" applyAlignment="1">
      <alignment horizontal="left" vertical="top"/>
    </xf>
    <xf numFmtId="0" fontId="119" fillId="0" borderId="0" xfId="3" applyFont="1" applyAlignment="1">
      <alignment horizontal="center"/>
    </xf>
    <xf numFmtId="0" fontId="120" fillId="0" borderId="0" xfId="3" applyFont="1" applyAlignment="1">
      <alignment horizontal="center"/>
    </xf>
    <xf numFmtId="0" fontId="136" fillId="0" borderId="0" xfId="0" applyFont="1" applyAlignment="1">
      <alignment horizontal="center"/>
    </xf>
    <xf numFmtId="0" fontId="13" fillId="0" borderId="17" xfId="0" applyFont="1" applyBorder="1" applyAlignment="1" applyProtection="1">
      <alignment horizontal="center"/>
      <protection locked="0"/>
    </xf>
    <xf numFmtId="0" fontId="13" fillId="0" borderId="0" xfId="0" applyFont="1" applyAlignment="1" applyProtection="1">
      <alignment horizontal="center"/>
      <protection locked="0"/>
    </xf>
    <xf numFmtId="0" fontId="40" fillId="0" borderId="23" xfId="8" applyFont="1" applyBorder="1" applyAlignment="1" applyProtection="1">
      <alignment horizontal="center"/>
      <protection locked="0"/>
    </xf>
    <xf numFmtId="0" fontId="40" fillId="0" borderId="22" xfId="8" applyFont="1" applyBorder="1" applyAlignment="1" applyProtection="1">
      <alignment horizontal="center"/>
      <protection locked="0"/>
    </xf>
    <xf numFmtId="0" fontId="40" fillId="0" borderId="24" xfId="8" applyFont="1" applyBorder="1" applyAlignment="1" applyProtection="1">
      <alignment horizontal="center"/>
      <protection locked="0"/>
    </xf>
    <xf numFmtId="0" fontId="21" fillId="0" borderId="20" xfId="8" applyFont="1" applyBorder="1" applyAlignment="1" applyProtection="1">
      <alignment horizontal="center" vertical="center"/>
      <protection locked="0"/>
    </xf>
    <xf numFmtId="0" fontId="21" fillId="0" borderId="13" xfId="8" applyFont="1" applyBorder="1" applyAlignment="1" applyProtection="1">
      <alignment horizontal="center" vertical="center"/>
      <protection locked="0"/>
    </xf>
    <xf numFmtId="0" fontId="21" fillId="0" borderId="0" xfId="8" applyFont="1" applyAlignment="1" applyProtection="1">
      <alignment horizontal="center" vertical="center"/>
      <protection locked="0"/>
    </xf>
    <xf numFmtId="0" fontId="21" fillId="0" borderId="19" xfId="8" applyFont="1" applyBorder="1" applyAlignment="1" applyProtection="1">
      <alignment horizontal="center" vertical="center"/>
      <protection locked="0"/>
    </xf>
    <xf numFmtId="0" fontId="29" fillId="0" borderId="0" xfId="3" applyFont="1" applyAlignment="1" applyProtection="1">
      <alignment horizontal="left"/>
      <protection locked="0"/>
    </xf>
    <xf numFmtId="0" fontId="48" fillId="0" borderId="0" xfId="8" applyFont="1" applyAlignment="1" applyProtection="1">
      <alignment horizontal="left"/>
      <protection locked="0"/>
    </xf>
    <xf numFmtId="0" fontId="111" fillId="0" borderId="14" xfId="0" applyFont="1" applyBorder="1" applyAlignment="1">
      <alignment horizontal="center" vertical="center"/>
    </xf>
    <xf numFmtId="0" fontId="110" fillId="0" borderId="0" xfId="0" applyFont="1" applyAlignment="1">
      <alignment horizontal="left" vertical="center"/>
    </xf>
    <xf numFmtId="0" fontId="13" fillId="0" borderId="0" xfId="3" applyFont="1" applyAlignment="1" applyProtection="1">
      <alignment horizontal="left" vertical="top" wrapText="1"/>
      <protection locked="0"/>
    </xf>
    <xf numFmtId="0" fontId="115" fillId="0" borderId="0" xfId="0" applyFont="1" applyAlignment="1">
      <alignment horizontal="center"/>
    </xf>
    <xf numFmtId="0" fontId="106" fillId="7" borderId="0" xfId="7" applyFont="1" applyFill="1" applyAlignment="1">
      <alignment horizontal="center" vertical="top" wrapText="1"/>
    </xf>
    <xf numFmtId="1" fontId="14" fillId="0" borderId="0" xfId="10" applyFont="1" applyAlignment="1" applyProtection="1">
      <alignment horizontal="left" wrapText="1"/>
      <protection locked="0"/>
    </xf>
    <xf numFmtId="1" fontId="14" fillId="0" borderId="0" xfId="10" applyFont="1" applyAlignment="1" applyProtection="1">
      <alignment horizontal="left" vertical="top" wrapText="1"/>
      <protection locked="0"/>
    </xf>
    <xf numFmtId="0" fontId="0" fillId="0" borderId="0" xfId="0" applyAlignment="1">
      <alignment vertical="top" wrapText="1"/>
    </xf>
    <xf numFmtId="0" fontId="14" fillId="0" borderId="0" xfId="3" applyFont="1" applyAlignment="1" applyProtection="1">
      <alignment vertical="top" wrapText="1"/>
      <protection locked="0"/>
    </xf>
    <xf numFmtId="0" fontId="173" fillId="0" borderId="0" xfId="3" applyFont="1" applyAlignment="1">
      <alignment horizontal="left" vertical="top" wrapText="1"/>
    </xf>
    <xf numFmtId="4" fontId="15" fillId="6" borderId="18" xfId="3" applyNumberFormat="1" applyFont="1" applyFill="1" applyBorder="1" applyAlignment="1">
      <alignment horizontal="right"/>
    </xf>
    <xf numFmtId="4" fontId="15" fillId="6" borderId="16" xfId="3" applyNumberFormat="1" applyFont="1" applyFill="1" applyBorder="1" applyAlignment="1">
      <alignment horizontal="right"/>
    </xf>
    <xf numFmtId="2" fontId="7" fillId="6" borderId="3" xfId="3" applyNumberFormat="1" applyFont="1" applyFill="1" applyBorder="1" applyAlignment="1">
      <alignment horizontal="center"/>
    </xf>
    <xf numFmtId="2" fontId="13" fillId="6" borderId="3" xfId="3" applyNumberFormat="1" applyFont="1" applyFill="1" applyBorder="1" applyAlignment="1" applyProtection="1">
      <alignment horizontal="center"/>
      <protection locked="0"/>
    </xf>
    <xf numFmtId="4" fontId="13" fillId="6" borderId="3" xfId="3" applyNumberFormat="1" applyFont="1" applyFill="1" applyBorder="1" applyAlignment="1">
      <alignment horizontal="center"/>
    </xf>
    <xf numFmtId="2" fontId="15" fillId="6" borderId="3" xfId="3" applyNumberFormat="1" applyFont="1" applyFill="1" applyBorder="1" applyAlignment="1">
      <alignment horizontal="center"/>
    </xf>
    <xf numFmtId="178" fontId="1" fillId="0" borderId="23" xfId="19" applyNumberFormat="1" applyFont="1" applyBorder="1" applyAlignment="1">
      <alignment horizontal="centerContinuous" vertical="center"/>
    </xf>
    <xf numFmtId="0" fontId="4" fillId="0" borderId="22" xfId="19" applyFont="1" applyBorder="1" applyAlignment="1">
      <alignment horizontal="centerContinuous" vertical="center"/>
    </xf>
    <xf numFmtId="1" fontId="4" fillId="0" borderId="22" xfId="19" applyNumberFormat="1" applyFont="1" applyBorder="1" applyAlignment="1">
      <alignment horizontal="centerContinuous" vertical="center"/>
    </xf>
    <xf numFmtId="2" fontId="4" fillId="0" borderId="22" xfId="19" applyNumberFormat="1" applyFont="1" applyBorder="1" applyAlignment="1" applyProtection="1">
      <alignment horizontal="centerContinuous" vertical="center"/>
      <protection locked="0"/>
    </xf>
    <xf numFmtId="2" fontId="4" fillId="0" borderId="24" xfId="19" applyNumberFormat="1" applyFont="1" applyBorder="1" applyAlignment="1" applyProtection="1">
      <alignment horizontal="centerContinuous" vertical="center"/>
      <protection locked="0"/>
    </xf>
    <xf numFmtId="0" fontId="4" fillId="0" borderId="0" xfId="19" applyFont="1" applyAlignment="1">
      <alignment vertical="center"/>
    </xf>
    <xf numFmtId="178" fontId="1" fillId="0" borderId="17" xfId="19" applyNumberFormat="1" applyFont="1" applyBorder="1" applyAlignment="1">
      <alignment horizontal="centerContinuous" vertical="center"/>
    </xf>
    <xf numFmtId="0" fontId="4" fillId="0" borderId="0" xfId="19" applyFont="1" applyAlignment="1">
      <alignment horizontal="centerContinuous" vertical="center"/>
    </xf>
    <xf numFmtId="1" fontId="4" fillId="0" borderId="0" xfId="19" applyNumberFormat="1" applyFont="1" applyAlignment="1">
      <alignment horizontal="centerContinuous" vertical="center"/>
    </xf>
    <xf numFmtId="2" fontId="4" fillId="0" borderId="0" xfId="19" applyNumberFormat="1" applyFont="1" applyAlignment="1" applyProtection="1">
      <alignment horizontal="centerContinuous" vertical="center"/>
      <protection locked="0"/>
    </xf>
    <xf numFmtId="2" fontId="4" fillId="0" borderId="19" xfId="19" applyNumberFormat="1" applyFont="1" applyBorder="1" applyAlignment="1" applyProtection="1">
      <alignment horizontal="centerContinuous" vertical="center"/>
      <protection locked="0"/>
    </xf>
    <xf numFmtId="178" fontId="4" fillId="0" borderId="17" xfId="19" applyNumberFormat="1" applyFont="1" applyBorder="1" applyAlignment="1">
      <alignment horizontal="center"/>
    </xf>
    <xf numFmtId="0" fontId="4" fillId="0" borderId="0" xfId="19" applyFont="1" applyAlignment="1">
      <alignment horizontal="left"/>
    </xf>
    <xf numFmtId="1" fontId="4" fillId="0" borderId="0" xfId="19" applyNumberFormat="1" applyFont="1" applyAlignment="1">
      <alignment horizontal="center"/>
    </xf>
    <xf numFmtId="0" fontId="4" fillId="0" borderId="0" xfId="19" applyFont="1" applyAlignment="1">
      <alignment horizontal="center"/>
    </xf>
    <xf numFmtId="2" fontId="4" fillId="0" borderId="0" xfId="19" applyNumberFormat="1" applyFont="1" applyAlignment="1" applyProtection="1">
      <alignment horizontal="center"/>
      <protection locked="0"/>
    </xf>
    <xf numFmtId="2" fontId="4" fillId="0" borderId="19" xfId="19" applyNumberFormat="1" applyFont="1" applyBorder="1" applyAlignment="1" applyProtection="1">
      <alignment horizontal="center"/>
      <protection locked="0"/>
    </xf>
    <xf numFmtId="0" fontId="4" fillId="0" borderId="0" xfId="19" applyFont="1"/>
    <xf numFmtId="178" fontId="4" fillId="0" borderId="20" xfId="19" applyNumberFormat="1" applyFont="1" applyBorder="1" applyAlignment="1">
      <alignment horizontal="center"/>
    </xf>
    <xf numFmtId="0" fontId="4" fillId="0" borderId="13" xfId="19" applyFont="1" applyBorder="1" applyAlignment="1">
      <alignment horizontal="left"/>
    </xf>
    <xf numFmtId="1" fontId="4" fillId="0" borderId="13" xfId="19" applyNumberFormat="1" applyFont="1" applyBorder="1" applyAlignment="1">
      <alignment horizontal="center"/>
    </xf>
    <xf numFmtId="0" fontId="4" fillId="0" borderId="13" xfId="19" applyFont="1" applyBorder="1" applyAlignment="1">
      <alignment horizontal="center"/>
    </xf>
    <xf numFmtId="2" fontId="4" fillId="0" borderId="13" xfId="19" applyNumberFormat="1" applyFont="1" applyBorder="1" applyAlignment="1" applyProtection="1">
      <alignment horizontal="center"/>
      <protection locked="0"/>
    </xf>
    <xf numFmtId="2" fontId="4" fillId="0" borderId="21" xfId="19" applyNumberFormat="1" applyFont="1" applyBorder="1" applyAlignment="1" applyProtection="1">
      <alignment horizontal="center"/>
      <protection locked="0"/>
    </xf>
    <xf numFmtId="178" fontId="1" fillId="0" borderId="4" xfId="19" applyNumberFormat="1" applyFont="1" applyBorder="1" applyAlignment="1">
      <alignment horizontal="center"/>
    </xf>
    <xf numFmtId="4" fontId="1" fillId="0" borderId="33" xfId="19" applyNumberFormat="1" applyFont="1" applyBorder="1" applyAlignment="1">
      <alignment horizontal="centerContinuous"/>
    </xf>
    <xf numFmtId="1" fontId="1" fillId="0" borderId="4" xfId="19" applyNumberFormat="1" applyFont="1" applyBorder="1" applyAlignment="1">
      <alignment horizontal="center"/>
    </xf>
    <xf numFmtId="4" fontId="1" fillId="0" borderId="4" xfId="19" applyNumberFormat="1" applyFont="1" applyBorder="1" applyAlignment="1">
      <alignment horizontal="center"/>
    </xf>
    <xf numFmtId="4" fontId="1" fillId="0" borderId="4" xfId="19" applyNumberFormat="1" applyFont="1" applyBorder="1" applyAlignment="1" applyProtection="1">
      <alignment horizontal="center"/>
      <protection locked="0"/>
    </xf>
    <xf numFmtId="4" fontId="1" fillId="0" borderId="6" xfId="19" applyNumberFormat="1" applyFont="1" applyBorder="1" applyAlignment="1" applyProtection="1">
      <alignment horizontal="center"/>
      <protection locked="0"/>
    </xf>
    <xf numFmtId="178" fontId="4" fillId="0" borderId="10" xfId="19" applyNumberFormat="1" applyFont="1" applyBorder="1" applyAlignment="1">
      <alignment horizontal="center" vertical="center"/>
    </xf>
    <xf numFmtId="0" fontId="4" fillId="0" borderId="24" xfId="19" applyFont="1" applyBorder="1" applyAlignment="1">
      <alignment horizontal="left" vertical="center"/>
    </xf>
    <xf numFmtId="1" fontId="4" fillId="0" borderId="10" xfId="19" applyNumberFormat="1" applyFont="1" applyBorder="1" applyAlignment="1">
      <alignment horizontal="center"/>
    </xf>
    <xf numFmtId="0" fontId="4" fillId="0" borderId="10" xfId="19" applyFont="1" applyBorder="1" applyAlignment="1">
      <alignment horizontal="center"/>
    </xf>
    <xf numFmtId="2" fontId="4" fillId="0" borderId="10" xfId="19" applyNumberFormat="1" applyFont="1" applyBorder="1" applyAlignment="1" applyProtection="1">
      <alignment horizontal="center"/>
      <protection locked="0"/>
    </xf>
    <xf numFmtId="178" fontId="4" fillId="0" borderId="25" xfId="19" applyNumberFormat="1" applyFont="1" applyBorder="1" applyAlignment="1">
      <alignment horizontal="center" vertical="center"/>
    </xf>
    <xf numFmtId="0" fontId="4" fillId="0" borderId="19" xfId="19" applyFont="1" applyBorder="1" applyAlignment="1">
      <alignment horizontal="left" vertical="center"/>
    </xf>
    <xf numFmtId="1" fontId="4" fillId="0" borderId="25" xfId="19" applyNumberFormat="1" applyFont="1" applyBorder="1" applyAlignment="1">
      <alignment horizontal="center"/>
    </xf>
    <xf numFmtId="0" fontId="4" fillId="0" borderId="25" xfId="19" applyFont="1" applyBorder="1" applyAlignment="1">
      <alignment horizontal="center"/>
    </xf>
    <xf numFmtId="2" fontId="4" fillId="0" borderId="25" xfId="19" applyNumberFormat="1" applyFont="1" applyBorder="1" applyAlignment="1" applyProtection="1">
      <alignment horizontal="center"/>
      <protection locked="0"/>
    </xf>
    <xf numFmtId="178" fontId="4" fillId="0" borderId="0" xfId="19" applyNumberFormat="1" applyFont="1" applyAlignment="1">
      <alignment horizontal="center"/>
    </xf>
    <xf numFmtId="0" fontId="4" fillId="0" borderId="0" xfId="19" applyFont="1" applyAlignment="1">
      <alignment horizontal="left" vertical="center"/>
    </xf>
    <xf numFmtId="3" fontId="4" fillId="0" borderId="17" xfId="19" applyNumberFormat="1" applyFont="1" applyBorder="1" applyAlignment="1">
      <alignment horizontal="center"/>
    </xf>
    <xf numFmtId="4" fontId="4" fillId="0" borderId="17" xfId="19" applyNumberFormat="1" applyFont="1" applyBorder="1" applyAlignment="1">
      <alignment horizontal="center"/>
    </xf>
    <xf numFmtId="4" fontId="4" fillId="0" borderId="19" xfId="13" applyNumberFormat="1" applyFont="1" applyBorder="1" applyAlignment="1">
      <alignment horizontal="left" vertical="center"/>
    </xf>
    <xf numFmtId="178" fontId="4" fillId="0" borderId="17" xfId="19" applyNumberFormat="1" applyFont="1" applyBorder="1" applyAlignment="1">
      <alignment horizontal="center" vertical="center"/>
    </xf>
    <xf numFmtId="4" fontId="4" fillId="0" borderId="0" xfId="19" applyNumberFormat="1" applyFont="1" applyAlignment="1">
      <alignment horizontal="left" vertical="top" wrapText="1"/>
    </xf>
    <xf numFmtId="4" fontId="4" fillId="0" borderId="17" xfId="19" applyNumberFormat="1" applyFont="1" applyBorder="1" applyAlignment="1" applyProtection="1">
      <alignment horizontal="right"/>
      <protection locked="0"/>
    </xf>
    <xf numFmtId="4" fontId="4" fillId="0" borderId="25" xfId="19" applyNumberFormat="1" applyFont="1" applyBorder="1" applyAlignment="1" applyProtection="1">
      <alignment horizontal="right"/>
      <protection locked="0"/>
    </xf>
    <xf numFmtId="4" fontId="4" fillId="0" borderId="19" xfId="19" applyNumberFormat="1" applyFont="1" applyBorder="1" applyAlignment="1">
      <alignment horizontal="left" vertical="center"/>
    </xf>
    <xf numFmtId="178" fontId="4" fillId="0" borderId="46" xfId="19" applyNumberFormat="1" applyFont="1" applyBorder="1" applyAlignment="1">
      <alignment horizontal="center"/>
    </xf>
    <xf numFmtId="0" fontId="4" fillId="0" borderId="28" xfId="19" applyFont="1" applyBorder="1" applyAlignment="1">
      <alignment horizontal="left"/>
    </xf>
    <xf numFmtId="1" fontId="4" fillId="0" borderId="28" xfId="19" applyNumberFormat="1" applyFont="1" applyBorder="1" applyAlignment="1">
      <alignment horizontal="center"/>
    </xf>
    <xf numFmtId="0" fontId="4" fillId="0" borderId="28" xfId="19" applyFont="1" applyBorder="1" applyAlignment="1">
      <alignment horizontal="center"/>
    </xf>
    <xf numFmtId="2" fontId="4" fillId="0" borderId="47" xfId="19" applyNumberFormat="1" applyFont="1" applyBorder="1" applyAlignment="1" applyProtection="1">
      <alignment horizontal="center"/>
      <protection locked="0"/>
    </xf>
    <xf numFmtId="178" fontId="4" fillId="0" borderId="25" xfId="19" applyNumberFormat="1" applyFont="1" applyBorder="1" applyAlignment="1">
      <alignment horizontal="center"/>
    </xf>
    <xf numFmtId="4" fontId="1" fillId="0" borderId="0" xfId="19" applyNumberFormat="1" applyFont="1" applyAlignment="1">
      <alignment horizontal="left" vertical="center"/>
    </xf>
    <xf numFmtId="2" fontId="1" fillId="0" borderId="19" xfId="19" applyNumberFormat="1" applyFont="1" applyBorder="1" applyAlignment="1" applyProtection="1">
      <alignment horizontal="center"/>
      <protection locked="0"/>
    </xf>
    <xf numFmtId="178" fontId="4" fillId="0" borderId="11" xfId="19" applyNumberFormat="1" applyFont="1" applyBorder="1" applyAlignment="1">
      <alignment horizontal="center"/>
    </xf>
    <xf numFmtId="4" fontId="15" fillId="6" borderId="3" xfId="3" applyNumberFormat="1" applyFont="1" applyFill="1" applyBorder="1" applyAlignment="1">
      <alignment horizontal="right"/>
    </xf>
    <xf numFmtId="0" fontId="0" fillId="6" borderId="0" xfId="0" applyFill="1"/>
    <xf numFmtId="4" fontId="89" fillId="6" borderId="18" xfId="3" applyNumberFormat="1" applyFont="1" applyFill="1" applyBorder="1" applyAlignment="1">
      <alignment horizontal="left"/>
    </xf>
    <xf numFmtId="4" fontId="24" fillId="6" borderId="14" xfId="3" applyNumberFormat="1" applyFont="1" applyFill="1" applyBorder="1" applyAlignment="1">
      <alignment horizontal="right"/>
    </xf>
    <xf numFmtId="4" fontId="24" fillId="26" borderId="16" xfId="3" applyNumberFormat="1" applyFont="1" applyFill="1" applyBorder="1" applyAlignment="1">
      <alignment horizontal="right"/>
    </xf>
    <xf numFmtId="4" fontId="13" fillId="6" borderId="53" xfId="3" applyNumberFormat="1" applyFont="1" applyFill="1" applyBorder="1"/>
    <xf numFmtId="178" fontId="1" fillId="0" borderId="23" xfId="19" applyNumberFormat="1" applyFont="1" applyBorder="1" applyAlignment="1">
      <alignment horizontal="centerContinuous" vertical="top"/>
    </xf>
    <xf numFmtId="0" fontId="120" fillId="0" borderId="22" xfId="19" applyFont="1" applyBorder="1" applyAlignment="1">
      <alignment horizontal="centerContinuous" vertical="top"/>
    </xf>
    <xf numFmtId="1" fontId="120" fillId="0" borderId="22" xfId="19" applyNumberFormat="1" applyFont="1" applyBorder="1" applyAlignment="1">
      <alignment horizontal="centerContinuous" vertical="top"/>
    </xf>
    <xf numFmtId="0" fontId="120" fillId="0" borderId="22" xfId="19" applyFont="1" applyBorder="1" applyAlignment="1" applyProtection="1">
      <alignment horizontal="centerContinuous" vertical="top"/>
      <protection locked="0"/>
    </xf>
    <xf numFmtId="0" fontId="120" fillId="0" borderId="24" xfId="19" applyFont="1" applyBorder="1" applyAlignment="1" applyProtection="1">
      <alignment horizontal="centerContinuous" vertical="top"/>
      <protection locked="0"/>
    </xf>
    <xf numFmtId="0" fontId="150" fillId="0" borderId="0" xfId="19" applyAlignment="1">
      <alignment vertical="top"/>
    </xf>
    <xf numFmtId="178" fontId="1" fillId="0" borderId="17" xfId="19" applyNumberFormat="1" applyFont="1" applyBorder="1" applyAlignment="1">
      <alignment horizontal="centerContinuous" vertical="top"/>
    </xf>
    <xf numFmtId="0" fontId="4" fillId="0" borderId="0" xfId="19" applyFont="1" applyAlignment="1">
      <alignment horizontal="centerContinuous" vertical="top"/>
    </xf>
    <xf numFmtId="1" fontId="4" fillId="0" borderId="0" xfId="19" applyNumberFormat="1" applyFont="1" applyAlignment="1">
      <alignment horizontal="centerContinuous" vertical="top"/>
    </xf>
    <xf numFmtId="0" fontId="4" fillId="0" borderId="0" xfId="19" applyFont="1" applyAlignment="1" applyProtection="1">
      <alignment horizontal="centerContinuous" vertical="top"/>
      <protection locked="0"/>
    </xf>
    <xf numFmtId="0" fontId="4" fillId="0" borderId="19" xfId="19" applyFont="1" applyBorder="1" applyAlignment="1" applyProtection="1">
      <alignment horizontal="centerContinuous" vertical="top"/>
      <protection locked="0"/>
    </xf>
    <xf numFmtId="0" fontId="4" fillId="0" borderId="19" xfId="19" applyFont="1" applyBorder="1" applyAlignment="1" applyProtection="1">
      <alignment horizontal="center" vertical="top"/>
      <protection locked="0"/>
    </xf>
    <xf numFmtId="178" fontId="15" fillId="0" borderId="17" xfId="19" applyNumberFormat="1" applyFont="1" applyBorder="1" applyAlignment="1">
      <alignment vertical="top"/>
    </xf>
    <xf numFmtId="0" fontId="4" fillId="0" borderId="0" xfId="19" applyFont="1" applyAlignment="1">
      <alignment vertical="top"/>
    </xf>
    <xf numFmtId="1" fontId="4" fillId="0" borderId="0" xfId="19" applyNumberFormat="1" applyFont="1" applyAlignment="1">
      <alignment vertical="top"/>
    </xf>
    <xf numFmtId="0" fontId="4" fillId="0" borderId="0" xfId="19" applyFont="1" applyAlignment="1" applyProtection="1">
      <alignment vertical="top"/>
      <protection locked="0"/>
    </xf>
    <xf numFmtId="178" fontId="1" fillId="0" borderId="4" xfId="19" applyNumberFormat="1" applyFont="1" applyBorder="1" applyAlignment="1">
      <alignment horizontal="center" vertical="top"/>
    </xf>
    <xf numFmtId="4" fontId="1" fillId="0" borderId="33" xfId="19" applyNumberFormat="1" applyFont="1" applyBorder="1" applyAlignment="1">
      <alignment horizontal="centerContinuous" vertical="top"/>
    </xf>
    <xf numFmtId="1" fontId="1" fillId="0" borderId="4" xfId="19" applyNumberFormat="1" applyFont="1" applyBorder="1" applyAlignment="1">
      <alignment horizontal="center" vertical="top"/>
    </xf>
    <xf numFmtId="4" fontId="1" fillId="0" borderId="4" xfId="19" applyNumberFormat="1" applyFont="1" applyBorder="1" applyAlignment="1">
      <alignment horizontal="center" vertical="top"/>
    </xf>
    <xf numFmtId="4" fontId="1" fillId="0" borderId="4" xfId="19" applyNumberFormat="1" applyFont="1" applyBorder="1" applyAlignment="1" applyProtection="1">
      <alignment horizontal="center" vertical="top"/>
      <protection locked="0"/>
    </xf>
    <xf numFmtId="4" fontId="1" fillId="0" borderId="6" xfId="19" applyNumberFormat="1" applyFont="1" applyBorder="1" applyAlignment="1" applyProtection="1">
      <alignment horizontal="center" vertical="top"/>
      <protection locked="0"/>
    </xf>
    <xf numFmtId="178" fontId="1" fillId="0" borderId="17" xfId="19" applyNumberFormat="1" applyFont="1" applyBorder="1" applyAlignment="1">
      <alignment horizontal="center" vertical="top"/>
    </xf>
    <xf numFmtId="4" fontId="1" fillId="0" borderId="0" xfId="19" applyNumberFormat="1" applyFont="1" applyAlignment="1">
      <alignment horizontal="centerContinuous" vertical="top"/>
    </xf>
    <xf numFmtId="1" fontId="1" fillId="0" borderId="17" xfId="19" applyNumberFormat="1" applyFont="1" applyBorder="1" applyAlignment="1">
      <alignment horizontal="center" vertical="top"/>
    </xf>
    <xf numFmtId="4" fontId="1" fillId="0" borderId="17" xfId="19" applyNumberFormat="1" applyFont="1" applyBorder="1" applyAlignment="1">
      <alignment horizontal="center" vertical="top"/>
    </xf>
    <xf numFmtId="4" fontId="1" fillId="0" borderId="17" xfId="19" applyNumberFormat="1" applyFont="1" applyBorder="1" applyAlignment="1" applyProtection="1">
      <alignment horizontal="center" vertical="top"/>
      <protection locked="0"/>
    </xf>
    <xf numFmtId="4" fontId="1" fillId="0" borderId="25" xfId="19" applyNumberFormat="1" applyFont="1" applyBorder="1" applyAlignment="1" applyProtection="1">
      <alignment horizontal="center" vertical="top"/>
      <protection locked="0"/>
    </xf>
    <xf numFmtId="178" fontId="4" fillId="0" borderId="17" xfId="19" applyNumberFormat="1" applyFont="1" applyBorder="1" applyAlignment="1">
      <alignment horizontal="center" vertical="top"/>
    </xf>
    <xf numFmtId="4" fontId="4" fillId="0" borderId="19" xfId="19" applyNumberFormat="1" applyFont="1" applyBorder="1" applyAlignment="1">
      <alignment horizontal="left" vertical="top" wrapText="1"/>
    </xf>
    <xf numFmtId="0" fontId="186" fillId="0" borderId="0" xfId="19" applyFont="1" applyAlignment="1">
      <alignment vertical="top"/>
    </xf>
    <xf numFmtId="4" fontId="4" fillId="0" borderId="25" xfId="19" applyNumberFormat="1" applyFont="1" applyBorder="1" applyAlignment="1" applyProtection="1">
      <alignment horizontal="center" wrapText="1"/>
      <protection locked="0"/>
    </xf>
    <xf numFmtId="3" fontId="4" fillId="0" borderId="17" xfId="19" applyNumberFormat="1" applyFont="1" applyBorder="1" applyAlignment="1">
      <alignment horizontal="center" vertical="top"/>
    </xf>
    <xf numFmtId="4" fontId="4" fillId="0" borderId="17" xfId="19" applyNumberFormat="1" applyFont="1" applyBorder="1" applyAlignment="1">
      <alignment horizontal="center" vertical="top"/>
    </xf>
    <xf numFmtId="4" fontId="4" fillId="0" borderId="17" xfId="19" applyNumberFormat="1" applyFont="1" applyBorder="1" applyAlignment="1" applyProtection="1">
      <alignment horizontal="right" vertical="top"/>
      <protection locked="0"/>
    </xf>
    <xf numFmtId="4" fontId="4" fillId="0" borderId="25" xfId="19" applyNumberFormat="1" applyFont="1" applyBorder="1" applyAlignment="1" applyProtection="1">
      <alignment horizontal="center" vertical="top" wrapText="1"/>
      <protection locked="0"/>
    </xf>
    <xf numFmtId="4" fontId="32" fillId="0" borderId="19" xfId="19" applyNumberFormat="1" applyFont="1" applyBorder="1" applyAlignment="1">
      <alignment horizontal="left" vertical="top" wrapText="1"/>
    </xf>
    <xf numFmtId="4" fontId="4" fillId="0" borderId="25" xfId="19" applyNumberFormat="1" applyFont="1" applyBorder="1" applyAlignment="1" applyProtection="1">
      <alignment horizontal="right" vertical="top"/>
      <protection locked="0"/>
    </xf>
    <xf numFmtId="4" fontId="4" fillId="0" borderId="44" xfId="19" applyNumberFormat="1" applyFont="1" applyBorder="1" applyAlignment="1">
      <alignment horizontal="left" vertical="top" wrapText="1"/>
    </xf>
    <xf numFmtId="1" fontId="4" fillId="0" borderId="17" xfId="19" applyNumberFormat="1" applyFont="1" applyBorder="1" applyAlignment="1">
      <alignment horizontal="center" vertical="top"/>
    </xf>
    <xf numFmtId="4" fontId="4" fillId="0" borderId="25" xfId="19" applyNumberFormat="1" applyFont="1" applyBorder="1" applyAlignment="1" applyProtection="1">
      <alignment horizontal="center" vertical="top"/>
      <protection locked="0"/>
    </xf>
    <xf numFmtId="178" fontId="4" fillId="0" borderId="45" xfId="19" applyNumberFormat="1" applyFont="1" applyBorder="1" applyAlignment="1">
      <alignment horizontal="center" vertical="top"/>
    </xf>
    <xf numFmtId="4" fontId="4" fillId="0" borderId="28" xfId="19" applyNumberFormat="1" applyFont="1" applyBorder="1" applyAlignment="1">
      <alignment vertical="top" wrapText="1"/>
    </xf>
    <xf numFmtId="1" fontId="4" fillId="0" borderId="28" xfId="19" applyNumberFormat="1" applyFont="1" applyBorder="1" applyAlignment="1">
      <alignment horizontal="center" vertical="top"/>
    </xf>
    <xf numFmtId="4" fontId="4" fillId="0" borderId="28" xfId="19" applyNumberFormat="1" applyFont="1" applyBorder="1" applyAlignment="1">
      <alignment horizontal="center" vertical="top"/>
    </xf>
    <xf numFmtId="4" fontId="4" fillId="0" borderId="28" xfId="19" applyNumberFormat="1" applyFont="1" applyBorder="1" applyAlignment="1" applyProtection="1">
      <alignment vertical="top"/>
      <protection locked="0"/>
    </xf>
    <xf numFmtId="4" fontId="4" fillId="0" borderId="46" xfId="19" applyNumberFormat="1" applyFont="1" applyBorder="1" applyAlignment="1" applyProtection="1">
      <alignment horizontal="center" vertical="top"/>
      <protection locked="0"/>
    </xf>
    <xf numFmtId="178" fontId="4" fillId="0" borderId="17" xfId="19" applyNumberFormat="1" applyFont="1" applyBorder="1" applyAlignment="1">
      <alignment vertical="top"/>
    </xf>
    <xf numFmtId="4" fontId="1" fillId="0" borderId="0" xfId="19" applyNumberFormat="1" applyFont="1" applyAlignment="1">
      <alignment horizontal="left" vertical="top" wrapText="1"/>
    </xf>
    <xf numFmtId="1" fontId="1" fillId="0" borderId="0" xfId="19" applyNumberFormat="1" applyFont="1" applyAlignment="1">
      <alignment horizontal="center" vertical="top"/>
    </xf>
    <xf numFmtId="4" fontId="1" fillId="0" borderId="0" xfId="19" applyNumberFormat="1" applyFont="1" applyAlignment="1">
      <alignment horizontal="right" vertical="top"/>
    </xf>
    <xf numFmtId="4" fontId="1" fillId="0" borderId="0" xfId="19" applyNumberFormat="1" applyFont="1" applyAlignment="1" applyProtection="1">
      <alignment horizontal="center" vertical="top"/>
      <protection locked="0"/>
    </xf>
    <xf numFmtId="4" fontId="150" fillId="0" borderId="0" xfId="19" applyNumberFormat="1" applyAlignment="1">
      <alignment vertical="top"/>
    </xf>
    <xf numFmtId="178" fontId="4" fillId="0" borderId="20" xfId="19" applyNumberFormat="1" applyFont="1" applyBorder="1" applyAlignment="1">
      <alignment vertical="top"/>
    </xf>
    <xf numFmtId="0" fontId="4" fillId="0" borderId="13" xfId="19" applyFont="1" applyBorder="1" applyAlignment="1">
      <alignment vertical="top" wrapText="1"/>
    </xf>
    <xf numFmtId="1" fontId="4" fillId="0" borderId="13" xfId="19" applyNumberFormat="1" applyFont="1" applyBorder="1" applyAlignment="1">
      <alignment vertical="top"/>
    </xf>
    <xf numFmtId="0" fontId="4" fillId="0" borderId="13" xfId="19" applyFont="1" applyBorder="1" applyAlignment="1">
      <alignment vertical="top"/>
    </xf>
    <xf numFmtId="0" fontId="4" fillId="0" borderId="13" xfId="19" applyFont="1" applyBorder="1" applyAlignment="1" applyProtection="1">
      <alignment vertical="top"/>
      <protection locked="0"/>
    </xf>
    <xf numFmtId="0" fontId="4" fillId="0" borderId="11" xfId="19" applyFont="1" applyBorder="1" applyAlignment="1" applyProtection="1">
      <alignment horizontal="center" vertical="top"/>
      <protection locked="0"/>
    </xf>
    <xf numFmtId="0" fontId="120" fillId="0" borderId="22" xfId="19" applyFont="1" applyBorder="1" applyAlignment="1">
      <alignment horizontal="centerContinuous" vertical="top" wrapText="1"/>
    </xf>
    <xf numFmtId="0" fontId="120" fillId="0" borderId="24" xfId="19" applyFont="1" applyBorder="1" applyAlignment="1" applyProtection="1">
      <alignment horizontal="center" vertical="top"/>
      <protection locked="0"/>
    </xf>
    <xf numFmtId="0" fontId="4" fillId="0" borderId="0" xfId="19" applyFont="1" applyAlignment="1">
      <alignment horizontal="centerContinuous" vertical="top" wrapText="1"/>
    </xf>
    <xf numFmtId="0" fontId="4" fillId="0" borderId="0" xfId="19" applyFont="1" applyAlignment="1">
      <alignment vertical="top" wrapText="1"/>
    </xf>
    <xf numFmtId="1" fontId="4" fillId="0" borderId="25" xfId="19" applyNumberFormat="1" applyFont="1" applyBorder="1" applyAlignment="1">
      <alignment horizontal="center" vertical="top"/>
    </xf>
    <xf numFmtId="4" fontId="4" fillId="0" borderId="0" xfId="19" applyNumberFormat="1" applyFont="1" applyAlignment="1">
      <alignment vertical="top" wrapText="1"/>
    </xf>
    <xf numFmtId="178" fontId="150" fillId="0" borderId="0" xfId="19" applyNumberFormat="1" applyAlignment="1">
      <alignment vertical="top"/>
    </xf>
    <xf numFmtId="1" fontId="150" fillId="0" borderId="0" xfId="19" applyNumberFormat="1" applyAlignment="1">
      <alignment vertical="top"/>
    </xf>
    <xf numFmtId="0" fontId="150" fillId="0" borderId="0" xfId="19" applyAlignment="1" applyProtection="1">
      <alignment vertical="top"/>
      <protection locked="0"/>
    </xf>
    <xf numFmtId="4" fontId="4" fillId="0" borderId="0" xfId="19" applyNumberFormat="1" applyFont="1" applyAlignment="1" applyProtection="1">
      <alignment horizontal="center" vertical="top"/>
      <protection locked="0"/>
    </xf>
    <xf numFmtId="0" fontId="150" fillId="0" borderId="0" xfId="19" applyAlignment="1" applyProtection="1">
      <alignment horizontal="center" vertical="top"/>
      <protection locked="0"/>
    </xf>
    <xf numFmtId="4" fontId="24" fillId="6" borderId="18" xfId="3" applyNumberFormat="1" applyFont="1" applyFill="1" applyBorder="1" applyAlignment="1">
      <alignment horizontal="right"/>
    </xf>
    <xf numFmtId="2" fontId="7" fillId="6" borderId="14" xfId="3" applyNumberFormat="1" applyFont="1" applyFill="1" applyBorder="1" applyProtection="1">
      <protection locked="0"/>
    </xf>
    <xf numFmtId="4" fontId="24" fillId="6" borderId="16" xfId="3" applyNumberFormat="1" applyFont="1" applyFill="1" applyBorder="1" applyAlignment="1">
      <alignment horizontal="right"/>
    </xf>
    <xf numFmtId="2" fontId="166" fillId="0" borderId="0" xfId="3" applyNumberFormat="1" applyFont="1" applyProtection="1">
      <protection locked="0"/>
    </xf>
    <xf numFmtId="178" fontId="1" fillId="0" borderId="23" xfId="13" applyNumberFormat="1" applyFont="1" applyBorder="1" applyAlignment="1">
      <alignment horizontal="centerContinuous" vertical="top"/>
    </xf>
    <xf numFmtId="0" fontId="120" fillId="0" borderId="22" xfId="13" applyFont="1" applyBorder="1" applyAlignment="1">
      <alignment horizontal="centerContinuous" vertical="top"/>
    </xf>
    <xf numFmtId="1" fontId="120" fillId="0" borderId="22" xfId="13" applyNumberFormat="1" applyFont="1" applyBorder="1" applyAlignment="1">
      <alignment horizontal="centerContinuous" vertical="top"/>
    </xf>
    <xf numFmtId="0" fontId="120" fillId="0" borderId="22" xfId="13" applyFont="1" applyBorder="1" applyAlignment="1" applyProtection="1">
      <alignment horizontal="centerContinuous" vertical="top"/>
      <protection locked="0"/>
    </xf>
    <xf numFmtId="0" fontId="120" fillId="0" borderId="24" xfId="13" applyFont="1" applyBorder="1" applyAlignment="1" applyProtection="1">
      <alignment horizontal="centerContinuous" vertical="top"/>
      <protection locked="0"/>
    </xf>
    <xf numFmtId="0" fontId="150" fillId="0" borderId="0" xfId="13" applyAlignment="1">
      <alignment vertical="top"/>
    </xf>
    <xf numFmtId="178" fontId="1" fillId="0" borderId="17" xfId="13" applyNumberFormat="1" applyFont="1" applyBorder="1" applyAlignment="1">
      <alignment horizontal="centerContinuous" vertical="top"/>
    </xf>
    <xf numFmtId="0" fontId="4" fillId="0" borderId="0" xfId="13" applyFont="1" applyAlignment="1">
      <alignment horizontal="centerContinuous"/>
    </xf>
    <xf numFmtId="1" fontId="4" fillId="0" borderId="0" xfId="13" applyNumberFormat="1" applyFont="1" applyAlignment="1">
      <alignment horizontal="centerContinuous" vertical="top"/>
    </xf>
    <xf numFmtId="0" fontId="4" fillId="0" borderId="0" xfId="13" applyFont="1" applyAlignment="1">
      <alignment horizontal="centerContinuous" vertical="top"/>
    </xf>
    <xf numFmtId="0" fontId="4" fillId="0" borderId="0" xfId="13" applyFont="1" applyAlignment="1" applyProtection="1">
      <alignment horizontal="centerContinuous" vertical="top"/>
      <protection locked="0"/>
    </xf>
    <xf numFmtId="0" fontId="4" fillId="0" borderId="19" xfId="13" applyFont="1" applyBorder="1" applyAlignment="1" applyProtection="1">
      <alignment horizontal="centerContinuous" vertical="top"/>
      <protection locked="0"/>
    </xf>
    <xf numFmtId="178" fontId="15" fillId="0" borderId="17" xfId="13" applyNumberFormat="1" applyFont="1" applyBorder="1" applyAlignment="1">
      <alignment vertical="top"/>
    </xf>
    <xf numFmtId="0" fontId="4" fillId="0" borderId="0" xfId="13" applyFont="1" applyAlignment="1">
      <alignment vertical="top"/>
    </xf>
    <xf numFmtId="1" fontId="4" fillId="0" borderId="0" xfId="13" applyNumberFormat="1" applyFont="1" applyAlignment="1">
      <alignment vertical="top"/>
    </xf>
    <xf numFmtId="0" fontId="4" fillId="0" borderId="0" xfId="13" applyFont="1" applyAlignment="1" applyProtection="1">
      <alignment vertical="top"/>
      <protection locked="0"/>
    </xf>
    <xf numFmtId="0" fontId="4" fillId="0" borderId="19" xfId="13" applyFont="1" applyBorder="1" applyAlignment="1" applyProtection="1">
      <alignment vertical="top"/>
      <protection locked="0"/>
    </xf>
    <xf numFmtId="178" fontId="1" fillId="0" borderId="4" xfId="13" applyNumberFormat="1" applyFont="1" applyBorder="1" applyAlignment="1">
      <alignment horizontal="center" vertical="top"/>
    </xf>
    <xf numFmtId="4" fontId="1" fillId="0" borderId="33" xfId="13" applyNumberFormat="1" applyFont="1" applyBorder="1" applyAlignment="1">
      <alignment horizontal="centerContinuous" vertical="top"/>
    </xf>
    <xf numFmtId="1" fontId="1" fillId="0" borderId="4" xfId="13" applyNumberFormat="1" applyFont="1" applyBorder="1" applyAlignment="1">
      <alignment horizontal="center" vertical="top"/>
    </xf>
    <xf numFmtId="4" fontId="1" fillId="0" borderId="4" xfId="13" applyNumberFormat="1" applyFont="1" applyBorder="1" applyAlignment="1">
      <alignment horizontal="center" vertical="top"/>
    </xf>
    <xf numFmtId="4" fontId="1" fillId="0" borderId="4" xfId="13" applyNumberFormat="1" applyFont="1" applyBorder="1" applyAlignment="1" applyProtection="1">
      <alignment horizontal="center" vertical="top"/>
      <protection locked="0"/>
    </xf>
    <xf numFmtId="4" fontId="1" fillId="0" borderId="6" xfId="13" applyNumberFormat="1" applyFont="1" applyBorder="1" applyAlignment="1" applyProtection="1">
      <alignment horizontal="center" vertical="top"/>
      <protection locked="0"/>
    </xf>
    <xf numFmtId="178" fontId="4" fillId="0" borderId="17" xfId="13" applyNumberFormat="1" applyFont="1" applyBorder="1" applyAlignment="1">
      <alignment horizontal="center" vertical="top"/>
    </xf>
    <xf numFmtId="4" fontId="4" fillId="0" borderId="0" xfId="13" applyNumberFormat="1" applyFont="1" applyAlignment="1">
      <alignment vertical="top"/>
    </xf>
    <xf numFmtId="0" fontId="4" fillId="0" borderId="17" xfId="13" applyFont="1" applyBorder="1" applyAlignment="1">
      <alignment horizontal="center" vertical="top"/>
    </xf>
    <xf numFmtId="4" fontId="4" fillId="0" borderId="17" xfId="13" applyNumberFormat="1" applyFont="1" applyBorder="1" applyAlignment="1">
      <alignment horizontal="center" vertical="top"/>
    </xf>
    <xf numFmtId="4" fontId="4" fillId="0" borderId="17" xfId="13" applyNumberFormat="1" applyFont="1" applyBorder="1" applyAlignment="1" applyProtection="1">
      <alignment horizontal="right" vertical="top"/>
      <protection locked="0"/>
    </xf>
    <xf numFmtId="4" fontId="4" fillId="0" borderId="25" xfId="13" applyNumberFormat="1" applyFont="1" applyBorder="1" applyAlignment="1" applyProtection="1">
      <alignment horizontal="right" vertical="top"/>
      <protection locked="0"/>
    </xf>
    <xf numFmtId="4" fontId="4" fillId="0" borderId="19" xfId="13" applyNumberFormat="1" applyFont="1" applyBorder="1" applyAlignment="1">
      <alignment horizontal="left" vertical="top" wrapText="1"/>
    </xf>
    <xf numFmtId="1" fontId="4" fillId="0" borderId="17" xfId="13" applyNumberFormat="1" applyFont="1" applyBorder="1" applyAlignment="1">
      <alignment horizontal="center"/>
    </xf>
    <xf numFmtId="4" fontId="4" fillId="0" borderId="17" xfId="13" applyNumberFormat="1" applyFont="1" applyBorder="1" applyAlignment="1">
      <alignment horizontal="center" wrapText="1"/>
    </xf>
    <xf numFmtId="4" fontId="4" fillId="0" borderId="17" xfId="13" applyNumberFormat="1" applyFont="1" applyBorder="1" applyAlignment="1" applyProtection="1">
      <alignment horizontal="right"/>
      <protection locked="0"/>
    </xf>
    <xf numFmtId="4" fontId="4" fillId="0" borderId="25" xfId="13" applyNumberFormat="1" applyFont="1" applyBorder="1" applyAlignment="1" applyProtection="1">
      <alignment horizontal="right"/>
      <protection locked="0"/>
    </xf>
    <xf numFmtId="4" fontId="4" fillId="0" borderId="0" xfId="13" applyNumberFormat="1" applyFont="1" applyAlignment="1">
      <alignment horizontal="left" vertical="top" wrapText="1"/>
    </xf>
    <xf numFmtId="0" fontId="1" fillId="0" borderId="0" xfId="13" applyFont="1" applyAlignment="1">
      <alignment horizontal="justify" vertical="center"/>
    </xf>
    <xf numFmtId="4" fontId="4" fillId="0" borderId="0" xfId="13" applyNumberFormat="1" applyFont="1" applyAlignment="1">
      <alignment vertical="top" wrapText="1"/>
    </xf>
    <xf numFmtId="0" fontId="4" fillId="0" borderId="17" xfId="13" applyFont="1" applyBorder="1" applyAlignment="1">
      <alignment horizontal="center"/>
    </xf>
    <xf numFmtId="4" fontId="4" fillId="0" borderId="17" xfId="13" applyNumberFormat="1" applyFont="1" applyBorder="1" applyAlignment="1">
      <alignment horizontal="center"/>
    </xf>
    <xf numFmtId="178" fontId="4" fillId="0" borderId="45" xfId="13" applyNumberFormat="1" applyFont="1" applyBorder="1" applyAlignment="1">
      <alignment horizontal="center" vertical="top"/>
    </xf>
    <xf numFmtId="4" fontId="4" fillId="0" borderId="28" xfId="13" applyNumberFormat="1" applyFont="1" applyBorder="1" applyAlignment="1">
      <alignment vertical="top" wrapText="1"/>
    </xf>
    <xf numFmtId="0" fontId="4" fillId="0" borderId="28" xfId="13" applyFont="1" applyBorder="1" applyAlignment="1">
      <alignment horizontal="center" vertical="top"/>
    </xf>
    <xf numFmtId="4" fontId="4" fillId="0" borderId="28" xfId="13" applyNumberFormat="1" applyFont="1" applyBorder="1" applyAlignment="1">
      <alignment horizontal="center" vertical="top"/>
    </xf>
    <xf numFmtId="4" fontId="4" fillId="0" borderId="28" xfId="13" applyNumberFormat="1" applyFont="1" applyBorder="1" applyAlignment="1" applyProtection="1">
      <alignment vertical="top"/>
      <protection locked="0"/>
    </xf>
    <xf numFmtId="4" fontId="4" fillId="0" borderId="46" xfId="13" applyNumberFormat="1" applyFont="1" applyBorder="1" applyAlignment="1" applyProtection="1">
      <alignment vertical="top"/>
      <protection locked="0"/>
    </xf>
    <xf numFmtId="178" fontId="4" fillId="0" borderId="17" xfId="13" applyNumberFormat="1" applyFont="1" applyBorder="1" applyAlignment="1">
      <alignment vertical="top"/>
    </xf>
    <xf numFmtId="4" fontId="1" fillId="0" borderId="0" xfId="13" applyNumberFormat="1" applyFont="1" applyAlignment="1">
      <alignment horizontal="left" vertical="top" wrapText="1"/>
    </xf>
    <xf numFmtId="0" fontId="1" fillId="0" borderId="0" xfId="13" applyFont="1" applyAlignment="1">
      <alignment horizontal="center" vertical="top"/>
    </xf>
    <xf numFmtId="4" fontId="1" fillId="0" borderId="0" xfId="13" applyNumberFormat="1" applyFont="1" applyAlignment="1">
      <alignment horizontal="right" vertical="top"/>
    </xf>
    <xf numFmtId="4" fontId="1" fillId="0" borderId="0" xfId="13" applyNumberFormat="1" applyFont="1" applyAlignment="1" applyProtection="1">
      <alignment horizontal="center" vertical="top"/>
      <protection locked="0"/>
    </xf>
    <xf numFmtId="4" fontId="1" fillId="0" borderId="25" xfId="13" applyNumberFormat="1" applyFont="1" applyBorder="1" applyAlignment="1" applyProtection="1">
      <alignment horizontal="center" vertical="top"/>
      <protection locked="0"/>
    </xf>
    <xf numFmtId="178" fontId="4" fillId="0" borderId="20" xfId="13" applyNumberFormat="1" applyFont="1" applyBorder="1" applyAlignment="1">
      <alignment vertical="top"/>
    </xf>
    <xf numFmtId="0" fontId="4" fillId="0" borderId="13" xfId="13" applyFont="1" applyBorder="1" applyAlignment="1">
      <alignment vertical="top" wrapText="1"/>
    </xf>
    <xf numFmtId="0" fontId="4" fillId="0" borderId="13" xfId="13" applyFont="1" applyBorder="1" applyAlignment="1">
      <alignment vertical="top"/>
    </xf>
    <xf numFmtId="0" fontId="4" fillId="0" borderId="13" xfId="13" applyFont="1" applyBorder="1" applyAlignment="1" applyProtection="1">
      <alignment vertical="top"/>
      <protection locked="0"/>
    </xf>
    <xf numFmtId="0" fontId="4" fillId="0" borderId="11" xfId="13" applyFont="1" applyBorder="1" applyAlignment="1" applyProtection="1">
      <alignment vertical="top"/>
      <protection locked="0"/>
    </xf>
    <xf numFmtId="178" fontId="150" fillId="0" borderId="0" xfId="13" applyNumberFormat="1" applyAlignment="1">
      <alignment vertical="top"/>
    </xf>
    <xf numFmtId="1" fontId="150" fillId="0" borderId="0" xfId="13" applyNumberFormat="1" applyAlignment="1">
      <alignment vertical="top"/>
    </xf>
    <xf numFmtId="0" fontId="150" fillId="0" borderId="0" xfId="13" applyAlignment="1" applyProtection="1">
      <alignment vertical="top"/>
      <protection locked="0"/>
    </xf>
    <xf numFmtId="4" fontId="4" fillId="0" borderId="0" xfId="13" applyNumberFormat="1" applyFont="1" applyAlignment="1" applyProtection="1">
      <alignment horizontal="center" vertical="top"/>
      <protection locked="0"/>
    </xf>
    <xf numFmtId="1" fontId="7" fillId="4" borderId="14" xfId="10" applyFont="1" applyFill="1" applyBorder="1" applyProtection="1">
      <protection locked="0"/>
    </xf>
    <xf numFmtId="0" fontId="15" fillId="0" borderId="3" xfId="0" applyFont="1" applyBorder="1" applyAlignment="1">
      <alignment horizontal="center"/>
    </xf>
    <xf numFmtId="4" fontId="15" fillId="16" borderId="3" xfId="10" applyNumberFormat="1" applyFont="1" applyFill="1" applyBorder="1" applyAlignment="1">
      <alignment horizontal="right"/>
    </xf>
    <xf numFmtId="0" fontId="1" fillId="0" borderId="0" xfId="3" applyFont="1" applyAlignment="1">
      <alignment horizontal="center"/>
    </xf>
    <xf numFmtId="2" fontId="7" fillId="16" borderId="3" xfId="10" applyNumberFormat="1" applyFont="1" applyFill="1" applyBorder="1" applyAlignment="1">
      <alignment horizontal="center"/>
    </xf>
    <xf numFmtId="4" fontId="13" fillId="2" borderId="3" xfId="3" applyNumberFormat="1" applyFont="1" applyFill="1" applyBorder="1" applyAlignment="1">
      <alignment horizontal="center"/>
    </xf>
    <xf numFmtId="2" fontId="15" fillId="0" borderId="50" xfId="10" applyNumberFormat="1" applyFont="1" applyBorder="1" applyProtection="1">
      <protection locked="0"/>
    </xf>
    <xf numFmtId="1" fontId="15" fillId="0" borderId="50" xfId="10" applyFont="1" applyBorder="1" applyAlignment="1" applyProtection="1">
      <alignment horizontal="center"/>
      <protection locked="0"/>
    </xf>
    <xf numFmtId="0" fontId="7" fillId="0" borderId="50" xfId="3" applyFont="1" applyBorder="1" applyProtection="1">
      <protection locked="0"/>
    </xf>
    <xf numFmtId="2" fontId="7" fillId="0" borderId="50" xfId="3" applyNumberFormat="1" applyFont="1" applyBorder="1" applyProtection="1">
      <protection locked="0"/>
    </xf>
    <xf numFmtId="165" fontId="15" fillId="0" borderId="50" xfId="10" applyNumberFormat="1" applyFont="1" applyBorder="1" applyProtection="1">
      <protection locked="0"/>
    </xf>
    <xf numFmtId="0" fontId="162" fillId="0" borderId="0" xfId="14" applyFont="1" applyAlignment="1">
      <alignment horizontal="center" vertical="center"/>
    </xf>
    <xf numFmtId="2" fontId="187" fillId="0" borderId="0" xfId="14" applyNumberFormat="1" applyFont="1" applyAlignment="1">
      <alignment vertical="center"/>
    </xf>
    <xf numFmtId="1" fontId="7" fillId="0" borderId="48" xfId="10" applyFont="1" applyBorder="1" applyAlignment="1" applyProtection="1">
      <alignment horizontal="center"/>
      <protection locked="0"/>
    </xf>
    <xf numFmtId="1" fontId="7" fillId="0" borderId="48" xfId="10" applyFont="1" applyBorder="1"/>
    <xf numFmtId="2" fontId="7" fillId="3" borderId="57" xfId="10" applyNumberFormat="1" applyFont="1" applyFill="1" applyBorder="1"/>
    <xf numFmtId="4" fontId="24" fillId="12" borderId="20" xfId="3" applyNumberFormat="1" applyFont="1" applyFill="1" applyBorder="1" applyAlignment="1">
      <alignment horizontal="right"/>
    </xf>
    <xf numFmtId="1" fontId="7" fillId="12" borderId="14" xfId="10" applyFont="1" applyFill="1" applyBorder="1" applyProtection="1">
      <protection locked="0"/>
    </xf>
    <xf numFmtId="2" fontId="7" fillId="0" borderId="0" xfId="10" applyNumberFormat="1" applyFont="1" applyAlignment="1" applyProtection="1">
      <alignment horizontal="left"/>
      <protection locked="0"/>
    </xf>
    <xf numFmtId="1" fontId="15" fillId="0" borderId="1" xfId="10" applyFont="1" applyBorder="1"/>
    <xf numFmtId="2" fontId="15" fillId="16" borderId="15" xfId="10" applyNumberFormat="1" applyFont="1" applyFill="1" applyBorder="1"/>
    <xf numFmtId="4" fontId="4" fillId="0" borderId="25" xfId="13" applyNumberFormat="1" applyFont="1" applyBorder="1" applyAlignment="1" applyProtection="1">
      <alignment horizontal="right" wrapText="1"/>
      <protection locked="0"/>
    </xf>
    <xf numFmtId="4" fontId="4" fillId="0" borderId="17" xfId="13" applyNumberFormat="1" applyFont="1" applyBorder="1" applyProtection="1">
      <protection locked="0"/>
    </xf>
    <xf numFmtId="4" fontId="4" fillId="0" borderId="25" xfId="13" applyNumberFormat="1" applyFont="1" applyBorder="1" applyProtection="1">
      <protection locked="0"/>
    </xf>
    <xf numFmtId="1" fontId="4" fillId="0" borderId="17" xfId="13" applyNumberFormat="1" applyFont="1" applyBorder="1" applyAlignment="1">
      <alignment horizontal="center" vertical="top"/>
    </xf>
    <xf numFmtId="4" fontId="4" fillId="0" borderId="17" xfId="13" applyNumberFormat="1" applyFont="1" applyBorder="1" applyAlignment="1">
      <alignment horizontal="center" vertical="top" wrapText="1"/>
    </xf>
    <xf numFmtId="4" fontId="4" fillId="0" borderId="17" xfId="13" applyNumberFormat="1" applyFont="1" applyBorder="1" applyAlignment="1" applyProtection="1">
      <alignment vertical="top"/>
      <protection locked="0"/>
    </xf>
    <xf numFmtId="4" fontId="4" fillId="0" borderId="25" xfId="13" applyNumberFormat="1" applyFont="1" applyBorder="1" applyAlignment="1" applyProtection="1">
      <alignment vertical="top"/>
      <protection locked="0"/>
    </xf>
  </cellXfs>
  <cellStyles count="20">
    <cellStyle name="Comma" xfId="1" builtinId="3"/>
    <cellStyle name="Comma 2" xfId="18" xr:uid="{10280FB9-87C0-4037-85ED-5585FB2BD2DA}"/>
    <cellStyle name="Currency_Estimate" xfId="2" xr:uid="{00000000-0005-0000-0000-000001000000}"/>
    <cellStyle name="Normal" xfId="0" builtinId="0"/>
    <cellStyle name="Normal 2" xfId="9" xr:uid="{00000000-0005-0000-0000-000003000000}"/>
    <cellStyle name="Normal 2 2" xfId="13" xr:uid="{00000000-0005-0000-0000-000004000000}"/>
    <cellStyle name="Normal 3" xfId="11" xr:uid="{00000000-0005-0000-0000-000005000000}"/>
    <cellStyle name="Normal 4" xfId="12" xr:uid="{00000000-0005-0000-0000-000006000000}"/>
    <cellStyle name="Normal 4 2" xfId="19" xr:uid="{0D5111ED-BAFC-45CA-80A0-1348433A842D}"/>
    <cellStyle name="Normal_BLOCKS" xfId="3" xr:uid="{00000000-0005-0000-0000-000007000000}"/>
    <cellStyle name="Normal_CABLE" xfId="4" xr:uid="{00000000-0005-0000-0000-000008000000}"/>
    <cellStyle name="Normal_E11_0126_Seabank_Hotel_Electrical" xfId="5" xr:uid="{00000000-0005-0000-0000-000009000000}"/>
    <cellStyle name="Normal_Estimate" xfId="6" xr:uid="{00000000-0005-0000-0000-00000A000000}"/>
    <cellStyle name="Normal_Estimate 2" xfId="10" xr:uid="{00000000-0005-0000-0000-00000B000000}"/>
    <cellStyle name="Normal_Mark_up" xfId="7" xr:uid="{00000000-0005-0000-0000-00000C000000}"/>
    <cellStyle name="Normal_PANELS" xfId="16" xr:uid="{3B1263EE-B25B-4DBC-AD42-0074886C6CF3}"/>
    <cellStyle name="Normal_Price Lists" xfId="14" xr:uid="{00000000-0005-0000-0000-00000D000000}"/>
    <cellStyle name="Normal_Prince_Est" xfId="15" xr:uid="{00000000-0005-0000-0000-00000E000000}"/>
    <cellStyle name="Normal_RATES" xfId="17" xr:uid="{206F11A2-CFA4-48ED-B227-C261D4613C2D}"/>
    <cellStyle name="Normal_STANDARD" xfId="8" xr:uid="{00000000-0005-0000-0000-00000F000000}"/>
  </cellStyles>
  <dxfs count="25">
    <dxf>
      <font>
        <condense val="0"/>
        <extend val="0"/>
        <color indexed="56"/>
      </font>
    </dxf>
    <dxf>
      <font>
        <condense val="0"/>
        <extend val="0"/>
        <color indexed="10"/>
      </font>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13"/>
      </font>
      <fill>
        <patternFill>
          <bgColor indexed="10"/>
        </patternFill>
      </fill>
    </dxf>
    <dxf>
      <font>
        <condense val="0"/>
        <extend val="0"/>
        <color indexed="9"/>
      </font>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
      <font>
        <condense val="0"/>
        <extend val="0"/>
        <color indexed="56"/>
      </font>
    </dxf>
    <dxf>
      <font>
        <condense val="0"/>
        <extend val="0"/>
        <color indexed="10"/>
      </font>
    </dxf>
    <dxf>
      <font>
        <condense val="0"/>
        <extend val="0"/>
        <color indexed="56"/>
      </font>
    </dxf>
    <dxf>
      <font>
        <condense val="0"/>
        <extend val="0"/>
        <color indexed="10"/>
      </font>
    </dxf>
    <dxf>
      <font>
        <b/>
        <i val="0"/>
        <condense val="0"/>
        <extend val="0"/>
      </font>
      <fill>
        <patternFill>
          <bgColor indexed="3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calcChain" Target="calcChain.xml"/></Relationships>
</file>

<file path=xl/ctrlProps/ctrlProp1.xml><?xml version="1.0" encoding="utf-8"?>
<formControlPr xmlns="http://schemas.microsoft.com/office/spreadsheetml/2009/9/main" objectType="CheckBox" checked="Checked" fmlaLink="$G$1" lockText="1" noThreeD="1"/>
</file>

<file path=xl/ctrlProps/ctrlProp2.xml><?xml version="1.0" encoding="utf-8"?>
<formControlPr xmlns="http://schemas.microsoft.com/office/spreadsheetml/2009/9/main" objectType="CheckBox" checked="Checked" fmlaLink="$G$2" lockText="1" noThreeD="1"/>
</file>

<file path=xl/ctrlProps/ctrlProp3.xml><?xml version="1.0" encoding="utf-8"?>
<formControlPr xmlns="http://schemas.microsoft.com/office/spreadsheetml/2009/9/main" objectType="CheckBox" checked="Checked" fmlaLink="$G$3" lockText="1" noThreeD="1"/>
</file>

<file path=xl/ctrlProps/ctrlProp4.xml><?xml version="1.0" encoding="utf-8"?>
<formControlPr xmlns="http://schemas.microsoft.com/office/spreadsheetml/2009/9/main" objectType="CheckBox" checked="Checked" fmlaLink="$G$4" lockText="1" noThreeD="1"/>
</file>

<file path=xl/ctrlProps/ctrlProp5.xml><?xml version="1.0" encoding="utf-8"?>
<formControlPr xmlns="http://schemas.microsoft.com/office/spreadsheetml/2009/9/main" objectType="CheckBox" checked="Checked" fmlaLink="$G$5" lockText="1" noThreeD="1"/>
</file>

<file path=xl/ctrlProps/ctrlProp6.xml><?xml version="1.0" encoding="utf-8"?>
<formControlPr xmlns="http://schemas.microsoft.com/office/spreadsheetml/2009/9/main" objectType="CheckBox" checked="Checked" fmlaLink="$G$6" lockText="1" noThreeD="1"/>
</file>

<file path=xl/ctrlProps/ctrlProp7.xml><?xml version="1.0" encoding="utf-8"?>
<formControlPr xmlns="http://schemas.microsoft.com/office/spreadsheetml/2009/9/main" objectType="CheckBox" checked="Checked" fmlaLink="$G$7" lockText="1" noThreeD="1"/>
</file>

<file path=xl/ctrlProps/ctrlProp8.xml><?xml version="1.0" encoding="utf-8"?>
<formControlPr xmlns="http://schemas.microsoft.com/office/spreadsheetml/2009/9/main" objectType="CheckBox" checked="Checked" fmlaLink="$G$8" lockText="1" noThreeD="1"/>
</file>

<file path=xl/ctrlProps/ctrlProp9.xml><?xml version="1.0" encoding="utf-8"?>
<formControlPr xmlns="http://schemas.microsoft.com/office/spreadsheetml/2009/9/main" objectType="CheckBox" checked="Checked" fmlaLink="$G$9" lockText="1" noThreeD="1"/>
</file>

<file path=xl/ctrlProps/ctrlProp10.xml><?xml version="1.0" encoding="utf-8"?>
<formControlPr xmlns="http://schemas.microsoft.com/office/spreadsheetml/2009/9/main" objectType="CheckBox" checked="Checked" fmlaLink="$H$1" lockText="1" noThreeD="1"/>
</file>

<file path=xl/ctrlProps/ctrlProp11.xml><?xml version="1.0" encoding="utf-8"?>
<formControlPr xmlns="http://schemas.microsoft.com/office/spreadsheetml/2009/9/main" objectType="CheckBox" checked="Checked" fmlaLink="$G$10" lockText="1" noThreeD="1"/>
</file>

<file path=xl/drawings/drawing1.xml><?xml version="1.0" encoding="utf-8"?>
<xdr:wsDr xmlns:xdr="http://schemas.openxmlformats.org/drawingml/2006/spreadsheetDrawing" xmlns:a="http://schemas.openxmlformats.org/drawingml/2006/main">
  <xdr:twoCellAnchor>
    <xdr:from>
      <xdr:col>0</xdr:col>
      <xdr:colOff>43815</xdr:colOff>
      <xdr:row>23</xdr:row>
      <xdr:rowOff>15240</xdr:rowOff>
    </xdr:from>
    <xdr:to>
      <xdr:col>20</xdr:col>
      <xdr:colOff>182881</xdr:colOff>
      <xdr:row>49</xdr:row>
      <xdr:rowOff>114300</xdr:rowOff>
    </xdr:to>
    <xdr:sp macro="" textlink="">
      <xdr:nvSpPr>
        <xdr:cNvPr id="2" name="Text 4">
          <a:extLst>
            <a:ext uri="{FF2B5EF4-FFF2-40B4-BE49-F238E27FC236}">
              <a16:creationId xmlns:a16="http://schemas.microsoft.com/office/drawing/2014/main" id="{00000000-0008-0000-0100-000002000000}"/>
            </a:ext>
          </a:extLst>
        </xdr:cNvPr>
        <xdr:cNvSpPr txBox="1">
          <a:spLocks noChangeArrowheads="1"/>
        </xdr:cNvSpPr>
      </xdr:nvSpPr>
      <xdr:spPr bwMode="auto">
        <a:xfrm>
          <a:off x="43815" y="3832860"/>
          <a:ext cx="6433186" cy="44577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marL="0" indent="0" rtl="0"/>
          <a:r>
            <a:rPr lang="en-GB" sz="1000" b="1" i="0" u="sng" strike="noStrike" baseline="0">
              <a:solidFill>
                <a:srgbClr val="000000"/>
              </a:solidFill>
              <a:latin typeface="Arial"/>
              <a:ea typeface="+mn-ea"/>
              <a:cs typeface="Arial"/>
            </a:rPr>
            <a:t>CONDITIONS:</a:t>
          </a:r>
        </a:p>
        <a:p>
          <a:pPr rtl="0"/>
          <a:r>
            <a:rPr lang="en-GB" sz="1000" b="0" i="0" u="none" strike="noStrike" baseline="0">
              <a:solidFill>
                <a:srgbClr val="000000"/>
              </a:solidFill>
              <a:latin typeface="Arial"/>
              <a:ea typeface="+mn-ea"/>
              <a:cs typeface="Arial"/>
            </a:rPr>
            <a:t>1) Payment - 100% on completion / as per contract.</a:t>
          </a:r>
        </a:p>
        <a:p>
          <a:pPr rtl="0"/>
          <a:r>
            <a:rPr lang="en-GB" sz="1000" b="0" i="0" u="none" strike="noStrike" baseline="0">
              <a:solidFill>
                <a:srgbClr val="000000"/>
              </a:solidFill>
              <a:latin typeface="Arial"/>
              <a:ea typeface="+mn-ea"/>
              <a:cs typeface="Arial"/>
            </a:rPr>
            <a:t>2) Quote is valid for 30 days from above date.</a:t>
          </a:r>
        </a:p>
        <a:p>
          <a:pPr rtl="0"/>
          <a:r>
            <a:rPr lang="en-GB" sz="1000" b="0" i="0" u="none" strike="noStrike" baseline="0">
              <a:solidFill>
                <a:srgbClr val="000000"/>
              </a:solidFill>
              <a:latin typeface="Arial"/>
              <a:ea typeface="+mn-ea"/>
              <a:cs typeface="Arial"/>
            </a:rPr>
            <a:t>3) Commencement - to be confirmed at time of order.</a:t>
          </a:r>
        </a:p>
        <a:p>
          <a:pPr rtl="0"/>
          <a:r>
            <a:rPr lang="en-GB" sz="1000" b="0" i="0" u="none" strike="noStrike" baseline="0">
              <a:solidFill>
                <a:srgbClr val="000000"/>
              </a:solidFill>
              <a:latin typeface="Arial"/>
              <a:ea typeface="+mn-ea"/>
              <a:cs typeface="Arial"/>
            </a:rPr>
            <a:t>4) Works are proceeding. / Works await approval in order to proceed. / First and second fix works are</a:t>
          </a:r>
        </a:p>
        <a:p>
          <a:pPr rtl="0"/>
          <a:r>
            <a:rPr lang="en-GB" sz="1000" b="0" i="0" u="none" strike="noStrike" baseline="0">
              <a:solidFill>
                <a:srgbClr val="000000"/>
              </a:solidFill>
              <a:latin typeface="Arial"/>
              <a:ea typeface="+mn-ea"/>
              <a:cs typeface="Arial"/>
            </a:rPr>
            <a:t>    proceeding but supply of equipment awaits approval.</a:t>
          </a:r>
        </a:p>
        <a:p>
          <a:pPr rtl="0"/>
          <a:r>
            <a:rPr lang="en-GB" sz="1000" b="0" i="0" u="none" strike="noStrike" baseline="0">
              <a:solidFill>
                <a:srgbClr val="000000"/>
              </a:solidFill>
              <a:latin typeface="Arial"/>
              <a:ea typeface="+mn-ea"/>
              <a:cs typeface="Arial"/>
            </a:rPr>
            <a:t>5) Execution Approx. ?? working weeks</a:t>
          </a:r>
        </a:p>
        <a:p>
          <a:pPr rtl="0"/>
          <a:r>
            <a:rPr lang="en-GB" sz="1000" b="0" i="0" u="none" strike="noStrike" baseline="0">
              <a:solidFill>
                <a:srgbClr val="000000"/>
              </a:solidFill>
              <a:latin typeface="Arial"/>
              <a:ea typeface="+mn-ea"/>
              <a:cs typeface="Arial"/>
            </a:rPr>
            <a:t>6) Delivery of Equipment - ?? weeks, most other materials are available ex-stock, subject to being unsold.</a:t>
          </a:r>
        </a:p>
        <a:p>
          <a:pPr rtl="0"/>
          <a:r>
            <a:rPr lang="en-GB" sz="1000" b="0" i="0" u="none" strike="noStrike" baseline="0">
              <a:solidFill>
                <a:srgbClr val="000000"/>
              </a:solidFill>
              <a:latin typeface="Arial"/>
              <a:ea typeface="+mn-ea"/>
              <a:cs typeface="Arial"/>
            </a:rPr>
            <a:t>7) The above selling price includes the contract discount and is additional to the contract value. </a:t>
          </a:r>
        </a:p>
        <a:p>
          <a:pPr rtl="0"/>
          <a:r>
            <a:rPr lang="en-GB" sz="1000" b="0" i="0" u="none" strike="noStrike" baseline="0">
              <a:solidFill>
                <a:srgbClr val="000000"/>
              </a:solidFill>
              <a:latin typeface="Arial"/>
              <a:ea typeface="+mn-ea"/>
              <a:cs typeface="Arial"/>
            </a:rPr>
            <a:t>8) The original contract value for BOQ Items / that have remained unchanged / that are related to system / is to be claimed in full. </a:t>
          </a:r>
        </a:p>
        <a:p>
          <a:pPr rtl="0"/>
          <a:r>
            <a:rPr lang="en-GB" sz="1000" b="0" i="0" u="none" strike="noStrike" baseline="0">
              <a:solidFill>
                <a:srgbClr val="000000"/>
              </a:solidFill>
              <a:latin typeface="Arial"/>
              <a:ea typeface="+mn-ea"/>
              <a:cs typeface="Arial"/>
            </a:rPr>
            <a:t>9) We have assumed that we will be allowed to work unhindered between 7.00 to 15.30 on weekdays</a:t>
          </a:r>
          <a:r>
            <a:rPr lang="en-GB" sz="1100" b="0" i="0" baseline="0">
              <a:effectLst/>
              <a:latin typeface="+mn-lt"/>
              <a:ea typeface="+mn-ea"/>
              <a:cs typeface="+mn-cs"/>
            </a:rPr>
            <a:t>.</a:t>
          </a:r>
        </a:p>
        <a:p>
          <a:pPr rtl="0"/>
          <a:endParaRPr lang="en-GB" sz="1000">
            <a:effectLst/>
          </a:endParaRPr>
        </a:p>
        <a:p>
          <a:pPr rtl="0"/>
          <a:r>
            <a:rPr lang="en-GB" sz="1000" b="1" i="0" u="sng" strike="noStrike" baseline="0">
              <a:solidFill>
                <a:srgbClr val="000000"/>
              </a:solidFill>
              <a:latin typeface="Arial"/>
              <a:ea typeface="+mn-ea"/>
              <a:cs typeface="Arial"/>
            </a:rPr>
            <a:t>EXCLUSIONS:</a:t>
          </a:r>
        </a:p>
        <a:p>
          <a:pPr marL="0" indent="0" algn="l" rtl="0">
            <a:defRPr sz="1000"/>
          </a:pPr>
          <a:r>
            <a:rPr lang="en-GB" sz="1000" b="0" i="0" u="none" strike="noStrike" baseline="0">
              <a:solidFill>
                <a:srgbClr val="000000"/>
              </a:solidFill>
              <a:latin typeface="Arial"/>
              <a:ea typeface="+mn-ea"/>
              <a:cs typeface="Arial"/>
            </a:rPr>
            <a:t>1) Any builders' work except conduit chases in walls / as per contract.</a:t>
          </a:r>
        </a:p>
        <a:p>
          <a:pPr marL="0" indent="0" algn="l" rtl="0">
            <a:defRPr sz="1000"/>
          </a:pPr>
          <a:r>
            <a:rPr lang="en-GB" sz="1000" b="0" i="0" u="none" strike="noStrike" baseline="0">
              <a:solidFill>
                <a:srgbClr val="000000"/>
              </a:solidFill>
              <a:latin typeface="Arial"/>
              <a:ea typeface="+mn-ea"/>
              <a:cs typeface="Arial"/>
            </a:rPr>
            <a:t>2) Work outside our normal working hours.</a:t>
          </a:r>
        </a:p>
        <a:p>
          <a:pPr marL="0" indent="0" algn="l" rtl="0">
            <a:defRPr sz="1000"/>
          </a:pPr>
          <a:r>
            <a:rPr lang="en-GB" sz="1000" b="0" i="0" u="none" strike="noStrike" baseline="0">
              <a:solidFill>
                <a:srgbClr val="000000"/>
              </a:solidFill>
              <a:latin typeface="Arial"/>
              <a:ea typeface="+mn-ea"/>
              <a:cs typeface="Arial"/>
            </a:rPr>
            <a:t>3) Security of the works after normal working hours.</a:t>
          </a:r>
        </a:p>
        <a:p>
          <a:pPr marL="0" indent="0" algn="l" rtl="0">
            <a:defRPr sz="1000"/>
          </a:pPr>
          <a:r>
            <a:rPr lang="en-GB" sz="1000" b="0" i="0" u="none" strike="noStrike" baseline="0">
              <a:solidFill>
                <a:srgbClr val="000000"/>
              </a:solidFill>
              <a:latin typeface="Arial"/>
              <a:ea typeface="+mn-ea"/>
              <a:cs typeface="Arial"/>
            </a:rPr>
            <a:t>4) Cutting of holes in gypsum partitions or false ceilings to accommodate electrical devices.</a:t>
          </a:r>
        </a:p>
        <a:p>
          <a:pPr marL="0" indent="0" algn="l" rtl="0">
            <a:defRPr sz="1000"/>
          </a:pPr>
          <a:r>
            <a:rPr lang="en-GB" sz="1000" b="0" i="0" u="none" strike="noStrike" baseline="0">
              <a:solidFill>
                <a:srgbClr val="000000"/>
              </a:solidFill>
              <a:latin typeface="Arial"/>
              <a:ea typeface="+mn-ea"/>
              <a:cs typeface="Arial"/>
            </a:rPr>
            <a:t>5) Dismantling of any existing installation / false ceiling / furnishings unless included in attached BOQ.</a:t>
          </a:r>
        </a:p>
        <a:p>
          <a:pPr marL="0" indent="0" algn="l" rtl="0">
            <a:defRPr sz="1000"/>
          </a:pPr>
          <a:r>
            <a:rPr lang="en-GB" sz="1000" b="0" i="0" u="none" strike="noStrike" baseline="0">
              <a:solidFill>
                <a:srgbClr val="000000"/>
              </a:solidFill>
              <a:latin typeface="Arial"/>
              <a:ea typeface="+mn-ea"/>
              <a:cs typeface="Arial"/>
            </a:rPr>
            <a:t>6) Anything not mentioned in our Bill of Quantities.</a:t>
          </a: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76201</xdr:rowOff>
    </xdr:from>
    <xdr:to>
      <xdr:col>20</xdr:col>
      <xdr:colOff>28575</xdr:colOff>
      <xdr:row>16</xdr:row>
      <xdr:rowOff>15241</xdr:rowOff>
    </xdr:to>
    <xdr:sp macro="" textlink="">
      <xdr:nvSpPr>
        <xdr:cNvPr id="3" name="Text 6">
          <a:extLst>
            <a:ext uri="{FF2B5EF4-FFF2-40B4-BE49-F238E27FC236}">
              <a16:creationId xmlns:a16="http://schemas.microsoft.com/office/drawing/2014/main" id="{00000000-0008-0000-0100-000003000000}"/>
            </a:ext>
          </a:extLst>
        </xdr:cNvPr>
        <xdr:cNvSpPr txBox="1">
          <a:spLocks noChangeArrowheads="1"/>
        </xdr:cNvSpPr>
      </xdr:nvSpPr>
      <xdr:spPr bwMode="auto">
        <a:xfrm>
          <a:off x="28575" y="2042161"/>
          <a:ext cx="6294120" cy="6096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Arial"/>
              <a:cs typeface="Arial"/>
            </a:rPr>
            <a:t>DESCRIPTION OF WORKS / SPECIFICATIONS:</a:t>
          </a:r>
          <a:endParaRPr lang="en-GB" sz="1000" b="0" i="0" u="none" strike="noStrike" baseline="0">
            <a:solidFill>
              <a:srgbClr val="000000"/>
            </a:solidFill>
            <a:latin typeface="Arial"/>
            <a:cs typeface="Arial"/>
          </a:endParaRPr>
        </a:p>
        <a:p>
          <a:pPr rtl="0"/>
          <a:r>
            <a:rPr lang="en-GB" sz="1000" b="0" i="0" u="none" strike="noStrike" baseline="0">
              <a:solidFill>
                <a:srgbClr val="000000"/>
              </a:solidFill>
              <a:latin typeface="Arial"/>
              <a:cs typeface="Arial"/>
            </a:rPr>
            <a:t>1) As per the attached BOQ. </a:t>
          </a:r>
          <a:r>
            <a:rPr lang="en-GB" sz="1000" b="0" i="0" u="none" strike="noStrike" baseline="0">
              <a:solidFill>
                <a:srgbClr val="000000"/>
              </a:solidFill>
              <a:latin typeface="Arial"/>
              <a:ea typeface="+mn-ea"/>
              <a:cs typeface="Arial"/>
            </a:rPr>
            <a:t>/ This quotation covers the supply, installation and commissioning ……..</a:t>
          </a:r>
        </a:p>
        <a:p>
          <a:pPr rtl="0"/>
          <a:r>
            <a:rPr lang="en-GB" sz="1000" b="0" i="0" u="none" strike="noStrike" baseline="0">
              <a:solidFill>
                <a:srgbClr val="000000"/>
              </a:solidFill>
              <a:latin typeface="Arial"/>
              <a:ea typeface="+mn-ea"/>
              <a:cs typeface="Arial"/>
            </a:rPr>
            <a:t>2) Technical literature for the items offered is attached.</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drawings/drawing2.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2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167640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3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2</xdr:row>
          <xdr:rowOff>220980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3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1</xdr:col>
          <xdr:colOff>38100</xdr:colOff>
          <xdr:row>3</xdr:row>
          <xdr:rowOff>137160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3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243840</xdr:colOff>
          <xdr:row>4</xdr:row>
          <xdr:rowOff>83820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3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236220</xdr:colOff>
          <xdr:row>5</xdr:row>
          <xdr:rowOff>60960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3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175260</xdr:colOff>
          <xdr:row>6</xdr:row>
          <xdr:rowOff>30480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3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152400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3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3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0</xdr:col>
          <xdr:colOff>640080</xdr:colOff>
          <xdr:row>8</xdr:row>
          <xdr:rowOff>144780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3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91440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3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464820</xdr:colOff>
          <xdr:row>9</xdr:row>
          <xdr:rowOff>121920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3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xdr:oneCellAnchor>
    <xdr:from>
      <xdr:col>3</xdr:col>
      <xdr:colOff>483685</xdr:colOff>
      <xdr:row>2880</xdr:row>
      <xdr:rowOff>142875</xdr:rowOff>
    </xdr:from>
    <xdr:ext cx="6509218" cy="1782924"/>
    <xdr:sp macro="" textlink="">
      <xdr:nvSpPr>
        <xdr:cNvPr id="2" name="Rectangle 1">
          <a:extLst>
            <a:ext uri="{FF2B5EF4-FFF2-40B4-BE49-F238E27FC236}">
              <a16:creationId xmlns:a16="http://schemas.microsoft.com/office/drawing/2014/main" id="{C0C43AB4-3BB3-4901-A443-2069DCA32A3A}"/>
            </a:ext>
          </a:extLst>
        </xdr:cNvPr>
        <xdr:cNvSpPr/>
      </xdr:nvSpPr>
      <xdr:spPr>
        <a:xfrm>
          <a:off x="2041975" y="107382945"/>
          <a:ext cx="6509218" cy="1782924"/>
        </a:xfrm>
        <a:prstGeom prst="rect">
          <a:avLst/>
        </a:prstGeom>
        <a:noFill/>
      </xdr:spPr>
      <xdr:txBody>
        <a:bodyPr wrap="none" lIns="91440" tIns="45720" rIns="91440" bIns="45720">
          <a:spAutoFit/>
        </a:bodyPr>
        <a:lstStyle/>
        <a:p>
          <a:pPr algn="ctr"/>
          <a:r>
            <a:rPr lang="en-US" sz="5400" b="1" cap="none" spc="0">
              <a:ln w="22225">
                <a:solidFill>
                  <a:schemeClr val="accent2"/>
                </a:solidFill>
                <a:prstDash val="solid"/>
              </a:ln>
              <a:solidFill>
                <a:schemeClr val="accent2">
                  <a:lumMod val="40000"/>
                  <a:lumOff val="60000"/>
                </a:schemeClr>
              </a:solidFill>
              <a:effectLst/>
            </a:rPr>
            <a:t>Costs for fire stopping</a:t>
          </a:r>
        </a:p>
        <a:p>
          <a:pPr algn="ctr"/>
          <a:r>
            <a:rPr lang="en-US" sz="5400" b="1" cap="none" spc="0">
              <a:ln w="22225">
                <a:solidFill>
                  <a:schemeClr val="accent2"/>
                </a:solidFill>
                <a:prstDash val="solid"/>
              </a:ln>
              <a:solidFill>
                <a:schemeClr val="accent2">
                  <a:lumMod val="40000"/>
                  <a:lumOff val="60000"/>
                </a:schemeClr>
              </a:solidFill>
              <a:effectLst/>
            </a:rPr>
            <a:t>were</a:t>
          </a:r>
          <a:r>
            <a:rPr lang="en-US" sz="5400" b="1" cap="none" spc="0" baseline="0">
              <a:ln w="22225">
                <a:solidFill>
                  <a:schemeClr val="accent2"/>
                </a:solidFill>
                <a:prstDash val="solid"/>
              </a:ln>
              <a:solidFill>
                <a:schemeClr val="accent2">
                  <a:lumMod val="40000"/>
                  <a:lumOff val="60000"/>
                </a:schemeClr>
              </a:solidFill>
              <a:effectLst/>
            </a:rPr>
            <a:t> shifted to ELM</a:t>
          </a:r>
          <a:endParaRPr lang="en-US" sz="5400" b="1" cap="none" spc="0">
            <a:ln w="22225">
              <a:solidFill>
                <a:schemeClr val="accent2"/>
              </a:solidFill>
              <a:prstDash val="solid"/>
            </a:ln>
            <a:solidFill>
              <a:schemeClr val="accent2">
                <a:lumMod val="40000"/>
                <a:lumOff val="60000"/>
              </a:schemeClr>
            </a:solidFill>
            <a:effectLst/>
          </a:endParaRPr>
        </a:p>
      </xdr:txBody>
    </xdr:sp>
    <xdr:clientData/>
  </xdr:oneCellAnchor>
  <xdr:oneCellAnchor>
    <xdr:from>
      <xdr:col>1</xdr:col>
      <xdr:colOff>137160</xdr:colOff>
      <xdr:row>2903</xdr:row>
      <xdr:rowOff>45720</xdr:rowOff>
    </xdr:from>
    <xdr:ext cx="12589601" cy="937629"/>
    <xdr:sp macro="" textlink="">
      <xdr:nvSpPr>
        <xdr:cNvPr id="4" name="Rectangle 3">
          <a:extLst>
            <a:ext uri="{FF2B5EF4-FFF2-40B4-BE49-F238E27FC236}">
              <a16:creationId xmlns:a16="http://schemas.microsoft.com/office/drawing/2014/main" id="{DCB14019-D221-4C36-BE18-009172B9D987}"/>
            </a:ext>
          </a:extLst>
        </xdr:cNvPr>
        <xdr:cNvSpPr/>
      </xdr:nvSpPr>
      <xdr:spPr>
        <a:xfrm>
          <a:off x="647700" y="500588280"/>
          <a:ext cx="12589601" cy="937629"/>
        </a:xfrm>
        <a:prstGeom prst="rect">
          <a:avLst/>
        </a:prstGeom>
        <a:noFill/>
      </xdr:spPr>
      <xdr:txBody>
        <a:bodyPr wrap="none" lIns="91440" tIns="45720" rIns="91440" bIns="45720">
          <a:spAutoFit/>
        </a:bodyPr>
        <a:lstStyle/>
        <a:p>
          <a:pPr algn="ctr"/>
          <a:r>
            <a:rPr lang="en-US" sz="5400" b="1" cap="none" spc="0">
              <a:ln w="22225">
                <a:solidFill>
                  <a:schemeClr val="accent2"/>
                </a:solidFill>
                <a:prstDash val="solid"/>
              </a:ln>
              <a:solidFill>
                <a:schemeClr val="accent2">
                  <a:lumMod val="40000"/>
                  <a:lumOff val="60000"/>
                </a:schemeClr>
              </a:solidFill>
              <a:effectLst/>
            </a:rPr>
            <a:t>Costs for Preliminaries</a:t>
          </a:r>
          <a:r>
            <a:rPr lang="en-US" sz="5400" b="1" cap="none" spc="0" baseline="0">
              <a:ln w="22225">
                <a:solidFill>
                  <a:schemeClr val="accent2"/>
                </a:solidFill>
                <a:prstDash val="solid"/>
              </a:ln>
              <a:solidFill>
                <a:schemeClr val="accent2">
                  <a:lumMod val="40000"/>
                  <a:lumOff val="60000"/>
                </a:schemeClr>
              </a:solidFill>
              <a:effectLst/>
            </a:rPr>
            <a:t> were shifted to ELM</a:t>
          </a:r>
          <a:endParaRPr lang="en-US" sz="5400" b="1" cap="none" spc="0">
            <a:ln w="22225">
              <a:solidFill>
                <a:schemeClr val="accent2"/>
              </a:solidFill>
              <a:prstDash val="solid"/>
            </a:ln>
            <a:solidFill>
              <a:schemeClr val="accent2">
                <a:lumMod val="40000"/>
                <a:lumOff val="60000"/>
              </a:schemeClr>
            </a:solidFill>
            <a:effectLst/>
          </a:endParaRPr>
        </a:p>
      </xdr:txBody>
    </xdr:sp>
    <xdr:clientData/>
  </xdr:oneCellAnchor>
  <xdr:oneCellAnchor>
    <xdr:from>
      <xdr:col>2</xdr:col>
      <xdr:colOff>0</xdr:colOff>
      <xdr:row>3006</xdr:row>
      <xdr:rowOff>0</xdr:rowOff>
    </xdr:from>
    <xdr:ext cx="12985350" cy="1782924"/>
    <xdr:sp macro="" textlink="">
      <xdr:nvSpPr>
        <xdr:cNvPr id="5" name="Rectangle 4">
          <a:extLst>
            <a:ext uri="{FF2B5EF4-FFF2-40B4-BE49-F238E27FC236}">
              <a16:creationId xmlns:a16="http://schemas.microsoft.com/office/drawing/2014/main" id="{4DF1AC02-8593-40B0-BA46-FA8240D95E00}"/>
            </a:ext>
          </a:extLst>
        </xdr:cNvPr>
        <xdr:cNvSpPr/>
      </xdr:nvSpPr>
      <xdr:spPr>
        <a:xfrm>
          <a:off x="1562100" y="194186175"/>
          <a:ext cx="12985350" cy="1782924"/>
        </a:xfrm>
        <a:prstGeom prst="rect">
          <a:avLst/>
        </a:prstGeom>
        <a:noFill/>
      </xdr:spPr>
      <xdr:txBody>
        <a:bodyPr wrap="none" lIns="91440" tIns="45720" rIns="91440" bIns="45720">
          <a:spAutoFit/>
        </a:bodyPr>
        <a:lstStyle/>
        <a:p>
          <a:pPr algn="ctr"/>
          <a:r>
            <a:rPr lang="en-US" sz="5400" b="1" cap="none" spc="0">
              <a:ln w="22225">
                <a:solidFill>
                  <a:schemeClr val="accent2"/>
                </a:solidFill>
                <a:prstDash val="solid"/>
              </a:ln>
              <a:solidFill>
                <a:schemeClr val="accent2">
                  <a:lumMod val="40000"/>
                  <a:lumOff val="60000"/>
                </a:schemeClr>
              </a:solidFill>
              <a:effectLst/>
            </a:rPr>
            <a:t>Costs for commissioning</a:t>
          </a:r>
          <a:r>
            <a:rPr lang="en-US" sz="5400" b="1" cap="none" spc="0" baseline="0">
              <a:ln w="22225">
                <a:solidFill>
                  <a:schemeClr val="accent2"/>
                </a:solidFill>
                <a:prstDash val="solid"/>
              </a:ln>
              <a:solidFill>
                <a:schemeClr val="accent2">
                  <a:lumMod val="40000"/>
                  <a:lumOff val="60000"/>
                </a:schemeClr>
              </a:solidFill>
              <a:effectLst/>
            </a:rPr>
            <a:t> and documentation</a:t>
          </a:r>
        </a:p>
        <a:p>
          <a:pPr algn="ctr"/>
          <a:r>
            <a:rPr lang="en-US" sz="5400" b="1" cap="none" spc="0">
              <a:ln w="22225">
                <a:solidFill>
                  <a:schemeClr val="accent2"/>
                </a:solidFill>
                <a:prstDash val="solid"/>
              </a:ln>
              <a:solidFill>
                <a:schemeClr val="accent2">
                  <a:lumMod val="40000"/>
                  <a:lumOff val="60000"/>
                </a:schemeClr>
              </a:solidFill>
              <a:effectLst/>
            </a:rPr>
            <a:t> were</a:t>
          </a:r>
          <a:r>
            <a:rPr lang="en-US" sz="5400" b="1" cap="none" spc="0" baseline="0">
              <a:ln w="22225">
                <a:solidFill>
                  <a:schemeClr val="accent2"/>
                </a:solidFill>
                <a:prstDash val="solid"/>
              </a:ln>
              <a:solidFill>
                <a:schemeClr val="accent2">
                  <a:lumMod val="40000"/>
                  <a:lumOff val="60000"/>
                </a:schemeClr>
              </a:solidFill>
              <a:effectLst/>
            </a:rPr>
            <a:t> shifted to ELM</a:t>
          </a:r>
          <a:endParaRPr lang="en-US" sz="5400" b="1" cap="none" spc="0">
            <a:ln w="22225">
              <a:solidFill>
                <a:schemeClr val="accent2"/>
              </a:solidFill>
              <a:prstDash val="solid"/>
            </a:ln>
            <a:solidFill>
              <a:schemeClr val="accent2">
                <a:lumMod val="40000"/>
                <a:lumOff val="60000"/>
              </a:schemeClr>
            </a:solidFill>
            <a:effectLst/>
          </a:endParaRPr>
        </a:p>
      </xdr:txBody>
    </xdr:sp>
    <xdr:clientData/>
  </xdr:oneCellAnchor>
  <xdr:twoCellAnchor>
    <xdr:from>
      <xdr:col>21</xdr:col>
      <xdr:colOff>169334</xdr:colOff>
      <xdr:row>3084</xdr:row>
      <xdr:rowOff>12489</xdr:rowOff>
    </xdr:from>
    <xdr:to>
      <xdr:col>31</xdr:col>
      <xdr:colOff>190500</xdr:colOff>
      <xdr:row>3100</xdr:row>
      <xdr:rowOff>84667</xdr:rowOff>
    </xdr:to>
    <xdr:sp macro="" textlink="">
      <xdr:nvSpPr>
        <xdr:cNvPr id="6" name="TextBox 5">
          <a:extLst>
            <a:ext uri="{FF2B5EF4-FFF2-40B4-BE49-F238E27FC236}">
              <a16:creationId xmlns:a16="http://schemas.microsoft.com/office/drawing/2014/main" id="{CF99052D-4CE2-447B-B1A3-35A448C6A5D7}"/>
            </a:ext>
          </a:extLst>
        </xdr:cNvPr>
        <xdr:cNvSpPr txBox="1"/>
      </xdr:nvSpPr>
      <xdr:spPr>
        <a:xfrm>
          <a:off x="14498744" y="209137674"/>
          <a:ext cx="4122631" cy="27372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Maintenance Calculation:</a:t>
          </a:r>
        </a:p>
        <a:p>
          <a:r>
            <a:rPr lang="en-GB" sz="1100"/>
            <a:t>Annual:</a:t>
          </a:r>
        </a:p>
        <a:p>
          <a:r>
            <a:rPr lang="en-GB" sz="1100"/>
            <a:t>1</a:t>
          </a:r>
          <a:r>
            <a:rPr lang="en-GB" sz="1100" baseline="0"/>
            <a:t> hours per panel - MCC-PR, DDC-L2, DDC-L4	.5 Day</a:t>
          </a:r>
        </a:p>
        <a:p>
          <a:r>
            <a:rPr lang="en-GB" sz="1100" baseline="0"/>
            <a:t>5min per point - x 400 points = 4 days.</a:t>
          </a:r>
        </a:p>
        <a:p>
          <a:r>
            <a:rPr lang="en-GB" sz="1100" baseline="0"/>
            <a:t>	</a:t>
          </a:r>
          <a:r>
            <a:rPr lang="en-GB" sz="1100" u="sng" baseline="0"/>
            <a:t>=1 Week = €2500</a:t>
          </a:r>
        </a:p>
        <a:p>
          <a:r>
            <a:rPr lang="en-GB" sz="1100" baseline="0"/>
            <a:t>Programming Changes - per annum - 2days</a:t>
          </a:r>
        </a:p>
        <a:p>
          <a:r>
            <a:rPr lang="en-GB" sz="1100" baseline="0"/>
            <a:t>GUI Changes per annum - 2days</a:t>
          </a:r>
        </a:p>
        <a:p>
          <a:r>
            <a:rPr lang="en-GB" sz="1100" baseline="0"/>
            <a:t>	=1 Week = €2500</a:t>
          </a:r>
        </a:p>
        <a:p>
          <a:r>
            <a:rPr lang="en-GB" sz="1100"/>
            <a:t>Quaterly:</a:t>
          </a:r>
        </a:p>
        <a:p>
          <a:r>
            <a:rPr lang="en-GB" sz="1100"/>
            <a:t>Controller</a:t>
          </a:r>
          <a:r>
            <a:rPr lang="en-GB" sz="1100" baseline="0"/>
            <a:t> Backups.</a:t>
          </a:r>
        </a:p>
        <a:p>
          <a:r>
            <a:rPr lang="en-GB" sz="1100" baseline="0"/>
            <a:t>Software Updates for Security</a:t>
          </a:r>
        </a:p>
        <a:p>
          <a:r>
            <a:rPr lang="en-GB" sz="1100" baseline="0"/>
            <a:t>Enclosure check.</a:t>
          </a:r>
        </a:p>
        <a:p>
          <a:r>
            <a:rPr lang="en-GB" sz="1100" baseline="0"/>
            <a:t>	=4 Days = €7000</a:t>
          </a:r>
        </a:p>
        <a:p>
          <a:endParaRPr lang="en-GB" sz="1100" baseline="0"/>
        </a:p>
        <a:p>
          <a:r>
            <a:rPr lang="en-GB" sz="1100" baseline="0"/>
            <a:t>Total = €7000 (Discount for 3 years = 10%)</a:t>
          </a:r>
        </a:p>
        <a:p>
          <a:endParaRPr lang="en-GB" sz="1100" baseline="0"/>
        </a:p>
      </xdr:txBody>
    </xdr:sp>
    <xdr:clientData/>
  </xdr:twoCellAnchor>
  <xdr:oneCellAnchor>
    <xdr:from>
      <xdr:col>3</xdr:col>
      <xdr:colOff>217939</xdr:colOff>
      <xdr:row>3087</xdr:row>
      <xdr:rowOff>0</xdr:rowOff>
    </xdr:from>
    <xdr:ext cx="12557092" cy="937629"/>
    <xdr:sp macro="" textlink="">
      <xdr:nvSpPr>
        <xdr:cNvPr id="7" name="Rectangle 6">
          <a:extLst>
            <a:ext uri="{FF2B5EF4-FFF2-40B4-BE49-F238E27FC236}">
              <a16:creationId xmlns:a16="http://schemas.microsoft.com/office/drawing/2014/main" id="{27C90FBB-2C6A-439D-A4F9-ABE43E33D9B0}"/>
            </a:ext>
          </a:extLst>
        </xdr:cNvPr>
        <xdr:cNvSpPr/>
      </xdr:nvSpPr>
      <xdr:spPr>
        <a:xfrm>
          <a:off x="1778134" y="209626200"/>
          <a:ext cx="12557092" cy="937629"/>
        </a:xfrm>
        <a:prstGeom prst="rect">
          <a:avLst/>
        </a:prstGeom>
        <a:noFill/>
      </xdr:spPr>
      <xdr:txBody>
        <a:bodyPr wrap="none" lIns="91440" tIns="45720" rIns="91440" bIns="45720">
          <a:spAutoFit/>
        </a:bodyPr>
        <a:lstStyle/>
        <a:p>
          <a:pPr algn="ctr"/>
          <a:r>
            <a:rPr lang="en-US" sz="5400" b="1" cap="none" spc="0">
              <a:ln w="22225">
                <a:solidFill>
                  <a:schemeClr val="accent2"/>
                </a:solidFill>
                <a:prstDash val="solid"/>
              </a:ln>
              <a:solidFill>
                <a:schemeClr val="accent2">
                  <a:lumMod val="40000"/>
                  <a:lumOff val="60000"/>
                </a:schemeClr>
              </a:solidFill>
              <a:effectLst/>
            </a:rPr>
            <a:t>Costs for maintenance were</a:t>
          </a:r>
          <a:r>
            <a:rPr lang="en-US" sz="5400" b="1" cap="none" spc="0" baseline="0">
              <a:ln w="22225">
                <a:solidFill>
                  <a:schemeClr val="accent2"/>
                </a:solidFill>
                <a:prstDash val="solid"/>
              </a:ln>
              <a:solidFill>
                <a:schemeClr val="accent2">
                  <a:lumMod val="40000"/>
                  <a:lumOff val="60000"/>
                </a:schemeClr>
              </a:solidFill>
              <a:effectLst/>
            </a:rPr>
            <a:t> shifted to ELM</a:t>
          </a:r>
          <a:endParaRPr lang="en-US" sz="5400" b="1" cap="none" spc="0">
            <a:ln w="22225">
              <a:solidFill>
                <a:schemeClr val="accent2"/>
              </a:solidFill>
              <a:prstDash val="solid"/>
            </a:ln>
            <a:solidFill>
              <a:schemeClr val="accent2">
                <a:lumMod val="40000"/>
                <a:lumOff val="60000"/>
              </a:schemeClr>
            </a:solidFill>
            <a:effectLst/>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st/CBOM/Annex%20II/Estimates/E14_XXXX_Estimate_LightningProtectio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Pclnas\ele\est\Intercontinental%20Hotel\Estimates\Estimates%20Sept%202025\As%20Awarded%20Contract\E25_0477_IH_Retro_Elec_Est_Rev_A.xlsx" TargetMode="External"/><Relationship Id="rId1" Type="http://schemas.openxmlformats.org/officeDocument/2006/relationships/externalLinkPath" Target="E25_0477_IH_Retro_Elec_Est_Rev_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s"/>
      <sheetName val="ML_Sum"/>
      <sheetName val="Quote"/>
      <sheetName val="Elec_Rates"/>
      <sheetName val="Elec_Est"/>
      <sheetName val="BMS_Points"/>
      <sheetName val="Elec_BOQ"/>
      <sheetName val="Central_Controller_BOQ"/>
      <sheetName val="BMS_BOQ"/>
      <sheetName val="SUMM PG "/>
      <sheetName val="Old_Est"/>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27D7D-5520-43CA-9969-DED6AF66C0FE}">
  <dimension ref="A1:K234"/>
  <sheetViews>
    <sheetView topLeftCell="A181" workbookViewId="0">
      <selection activeCell="D127" sqref="D127"/>
    </sheetView>
  </sheetViews>
  <sheetFormatPr defaultColWidth="9.109375" defaultRowHeight="13.2"/>
  <cols>
    <col min="1" max="5" width="9.109375" style="580"/>
    <col min="6" max="6" width="14.5546875" style="580" customWidth="1"/>
    <col min="7" max="7" width="9.109375" style="580"/>
    <col min="8" max="8" width="12.6640625" style="580" customWidth="1"/>
    <col min="9" max="10" width="9.109375" style="580"/>
    <col min="11" max="11" width="13.44140625" style="580" bestFit="1" customWidth="1"/>
    <col min="12" max="16384" width="9.109375" style="580"/>
  </cols>
  <sheetData>
    <row r="1" spans="1:11">
      <c r="A1" s="1116" t="s">
        <v>980</v>
      </c>
      <c r="B1" s="1116"/>
      <c r="C1" s="1116"/>
      <c r="D1" s="1116"/>
      <c r="E1" s="1116"/>
      <c r="F1" s="1116"/>
      <c r="G1" s="1116"/>
      <c r="H1" s="1116"/>
      <c r="I1" s="1116"/>
    </row>
    <row r="4" spans="1:11">
      <c r="F4" s="1117" t="s">
        <v>231</v>
      </c>
      <c r="H4" s="1117" t="s">
        <v>231</v>
      </c>
      <c r="J4" s="580" t="s">
        <v>981</v>
      </c>
    </row>
    <row r="6" spans="1:11">
      <c r="A6" s="1118" t="s">
        <v>982</v>
      </c>
    </row>
    <row r="8" spans="1:11">
      <c r="A8" s="580" t="s">
        <v>983</v>
      </c>
      <c r="F8" s="1119"/>
      <c r="G8" s="669"/>
      <c r="H8" s="669"/>
    </row>
    <row r="9" spans="1:11">
      <c r="F9" s="669"/>
      <c r="G9" s="669"/>
      <c r="H9" s="669"/>
    </row>
    <row r="10" spans="1:11" ht="13.8" thickBot="1">
      <c r="A10" s="580" t="s">
        <v>984</v>
      </c>
      <c r="F10" s="1119"/>
      <c r="G10" s="669"/>
      <c r="H10" s="1120">
        <f>SUM(F7:F10)</f>
        <v>0</v>
      </c>
      <c r="K10" s="669"/>
    </row>
    <row r="11" spans="1:11">
      <c r="F11" s="669"/>
      <c r="G11" s="669"/>
      <c r="H11" s="1121"/>
    </row>
    <row r="12" spans="1:11">
      <c r="F12" s="669"/>
      <c r="G12" s="669"/>
      <c r="H12" s="1121"/>
    </row>
    <row r="13" spans="1:11">
      <c r="A13" s="1118" t="s">
        <v>985</v>
      </c>
      <c r="F13" s="669"/>
      <c r="G13" s="669"/>
      <c r="H13" s="1121"/>
    </row>
    <row r="14" spans="1:11">
      <c r="F14" s="669"/>
      <c r="G14" s="669"/>
      <c r="H14" s="1121"/>
    </row>
    <row r="15" spans="1:11">
      <c r="A15" s="580" t="s">
        <v>986</v>
      </c>
      <c r="F15" s="1119"/>
      <c r="G15" s="669"/>
      <c r="H15" s="669"/>
    </row>
    <row r="16" spans="1:11">
      <c r="F16" s="669"/>
      <c r="G16" s="669"/>
      <c r="H16" s="669"/>
    </row>
    <row r="17" spans="1:8">
      <c r="A17" s="580" t="s">
        <v>987</v>
      </c>
      <c r="F17" s="1119"/>
      <c r="G17" s="669"/>
      <c r="H17" s="669"/>
    </row>
    <row r="18" spans="1:8">
      <c r="F18" s="669"/>
      <c r="G18" s="669"/>
      <c r="H18" s="1121"/>
    </row>
    <row r="19" spans="1:8">
      <c r="A19" s="580" t="s">
        <v>988</v>
      </c>
      <c r="F19" s="1119"/>
      <c r="G19" s="669"/>
    </row>
    <row r="20" spans="1:8">
      <c r="F20" s="669"/>
      <c r="G20" s="669"/>
      <c r="H20" s="1121"/>
    </row>
    <row r="21" spans="1:8">
      <c r="A21" s="580" t="s">
        <v>989</v>
      </c>
      <c r="F21" s="1119"/>
      <c r="G21" s="669"/>
      <c r="H21" s="1121"/>
    </row>
    <row r="22" spans="1:8">
      <c r="F22" s="669"/>
      <c r="G22" s="669"/>
      <c r="H22" s="1121"/>
    </row>
    <row r="23" spans="1:8">
      <c r="A23" s="580" t="s">
        <v>990</v>
      </c>
      <c r="F23" s="1119"/>
      <c r="G23" s="669"/>
      <c r="H23" s="1121"/>
    </row>
    <row r="24" spans="1:8">
      <c r="F24" s="669"/>
      <c r="G24" s="669"/>
      <c r="H24" s="1121"/>
    </row>
    <row r="25" spans="1:8" ht="13.8" thickBot="1">
      <c r="A25" s="580" t="s">
        <v>991</v>
      </c>
      <c r="F25" s="1119"/>
      <c r="G25" s="669"/>
      <c r="H25" s="1120">
        <f>SUM(F15:F25)</f>
        <v>0</v>
      </c>
    </row>
    <row r="26" spans="1:8">
      <c r="F26" s="669"/>
      <c r="G26" s="669"/>
      <c r="H26" s="1121"/>
    </row>
    <row r="27" spans="1:8">
      <c r="F27" s="669"/>
      <c r="G27" s="669"/>
      <c r="H27" s="1121"/>
    </row>
    <row r="28" spans="1:8">
      <c r="A28" s="1118" t="s">
        <v>992</v>
      </c>
      <c r="F28" s="669"/>
      <c r="G28" s="669"/>
      <c r="H28" s="1121"/>
    </row>
    <row r="29" spans="1:8">
      <c r="F29" s="669"/>
      <c r="G29" s="669"/>
      <c r="H29" s="1121"/>
    </row>
    <row r="30" spans="1:8" ht="13.8" thickBot="1">
      <c r="A30" s="580" t="s">
        <v>993</v>
      </c>
      <c r="F30" s="1119"/>
      <c r="G30" s="669"/>
      <c r="H30" s="1120">
        <f>SUM(F30:G30)</f>
        <v>0</v>
      </c>
    </row>
    <row r="31" spans="1:8">
      <c r="F31" s="669"/>
      <c r="G31" s="669"/>
      <c r="H31" s="1121"/>
    </row>
    <row r="32" spans="1:8">
      <c r="F32" s="669"/>
      <c r="G32" s="669"/>
      <c r="H32" s="1121"/>
    </row>
    <row r="33" spans="1:11">
      <c r="A33" s="1118" t="s">
        <v>994</v>
      </c>
    </row>
    <row r="34" spans="1:11">
      <c r="F34" s="669"/>
      <c r="G34" s="669"/>
      <c r="H34" s="669"/>
    </row>
    <row r="35" spans="1:11" ht="13.8" thickBot="1">
      <c r="A35" s="580" t="s">
        <v>995</v>
      </c>
      <c r="F35" s="1119"/>
      <c r="G35" s="669"/>
      <c r="H35" s="1120">
        <f>SUM(F35:G35)</f>
        <v>0</v>
      </c>
      <c r="K35" s="669"/>
    </row>
    <row r="36" spans="1:11">
      <c r="F36" s="669"/>
      <c r="G36" s="669"/>
      <c r="H36" s="1121"/>
    </row>
    <row r="37" spans="1:11">
      <c r="F37" s="669"/>
      <c r="G37" s="669"/>
      <c r="H37" s="1121"/>
    </row>
    <row r="38" spans="1:11">
      <c r="A38" s="1118" t="s">
        <v>996</v>
      </c>
    </row>
    <row r="39" spans="1:11">
      <c r="F39" s="669"/>
      <c r="G39" s="669"/>
      <c r="H39" s="669"/>
    </row>
    <row r="40" spans="1:11" ht="13.8" thickBot="1">
      <c r="A40" s="580" t="s">
        <v>997</v>
      </c>
      <c r="F40" s="1119">
        <f>Chillers_Dismantling_BOQ!F51</f>
        <v>0</v>
      </c>
      <c r="G40" s="669"/>
      <c r="H40" s="1120">
        <f>SUM(F40:G40)</f>
        <v>0</v>
      </c>
      <c r="K40" s="669"/>
    </row>
    <row r="41" spans="1:11">
      <c r="F41" s="669"/>
      <c r="G41" s="669"/>
      <c r="H41" s="1121"/>
      <c r="K41" s="669"/>
    </row>
    <row r="42" spans="1:11">
      <c r="F42" s="669"/>
      <c r="G42" s="669"/>
      <c r="H42" s="1121"/>
      <c r="K42" s="669"/>
    </row>
    <row r="43" spans="1:11">
      <c r="A43" s="1118" t="s">
        <v>581</v>
      </c>
    </row>
    <row r="44" spans="1:11">
      <c r="F44" s="669"/>
      <c r="G44" s="669"/>
      <c r="H44" s="669"/>
    </row>
    <row r="45" spans="1:11" ht="13.8" thickBot="1">
      <c r="A45" s="580" t="s">
        <v>998</v>
      </c>
      <c r="F45" s="1119">
        <f>Boilers_Dismantling_BOQ!F53</f>
        <v>283.27999999999997</v>
      </c>
      <c r="G45" s="669"/>
      <c r="H45" s="1120">
        <f>SUM(F45:G45)</f>
        <v>283.27999999999997</v>
      </c>
      <c r="K45" s="669"/>
    </row>
    <row r="46" spans="1:11">
      <c r="F46" s="669"/>
      <c r="G46" s="669"/>
      <c r="H46" s="1121"/>
      <c r="K46" s="669"/>
    </row>
    <row r="47" spans="1:11">
      <c r="F47" s="669"/>
      <c r="G47" s="669"/>
      <c r="H47" s="1121"/>
      <c r="K47" s="669"/>
    </row>
    <row r="48" spans="1:11">
      <c r="A48" s="1118" t="s">
        <v>999</v>
      </c>
      <c r="F48" s="669"/>
      <c r="G48" s="669"/>
      <c r="H48" s="1121"/>
    </row>
    <row r="49" spans="1:11">
      <c r="F49" s="669"/>
      <c r="G49" s="669"/>
      <c r="H49" s="1121"/>
    </row>
    <row r="50" spans="1:11">
      <c r="A50" s="580" t="s">
        <v>1000</v>
      </c>
      <c r="F50" s="1119">
        <f ca="1">Chillers_New_BOQ!G51</f>
        <v>17970.629999999997</v>
      </c>
      <c r="G50" s="669"/>
      <c r="H50" s="1121"/>
    </row>
    <row r="51" spans="1:11">
      <c r="F51" s="669"/>
      <c r="G51" s="669"/>
      <c r="H51" s="1121"/>
    </row>
    <row r="52" spans="1:11">
      <c r="A52" s="580" t="s">
        <v>1001</v>
      </c>
      <c r="F52" s="1119">
        <f ca="1">Chillers_New_BOQ!G109</f>
        <v>14968.500000000004</v>
      </c>
      <c r="G52" s="669"/>
      <c r="H52" s="1121"/>
    </row>
    <row r="53" spans="1:11">
      <c r="F53" s="669"/>
      <c r="G53" s="669"/>
      <c r="H53" s="1121"/>
    </row>
    <row r="54" spans="1:11">
      <c r="A54" s="580" t="s">
        <v>1002</v>
      </c>
      <c r="F54" s="1119">
        <f ca="1">Chillers_New_BOQ!G163</f>
        <v>14194.89</v>
      </c>
      <c r="G54" s="669"/>
      <c r="H54" s="1121"/>
    </row>
    <row r="55" spans="1:11">
      <c r="F55" s="669"/>
      <c r="G55" s="669"/>
      <c r="H55" s="1121"/>
    </row>
    <row r="56" spans="1:11">
      <c r="A56" s="580" t="s">
        <v>1003</v>
      </c>
      <c r="F56" s="1119">
        <f ca="1">Chillers_New_BOQ!G221</f>
        <v>15236.34</v>
      </c>
      <c r="G56" s="669"/>
      <c r="H56" s="1121"/>
    </row>
    <row r="57" spans="1:11">
      <c r="F57" s="669"/>
      <c r="G57" s="669"/>
      <c r="H57" s="1121"/>
    </row>
    <row r="58" spans="1:11">
      <c r="A58" s="580" t="s">
        <v>1004</v>
      </c>
      <c r="F58" s="1119">
        <f>Chillers_New_BOQ!G280</f>
        <v>136.56</v>
      </c>
      <c r="G58" s="669"/>
      <c r="H58" s="1121"/>
    </row>
    <row r="59" spans="1:11">
      <c r="F59" s="669"/>
      <c r="G59" s="669"/>
      <c r="H59" s="1121"/>
    </row>
    <row r="60" spans="1:11">
      <c r="A60" s="580" t="s">
        <v>1005</v>
      </c>
      <c r="F60" s="1126">
        <f ca="1">Chillers_New_BOQ!G332</f>
        <v>4769.2299999999996</v>
      </c>
      <c r="G60" s="669"/>
      <c r="H60" s="1121"/>
    </row>
    <row r="61" spans="1:11">
      <c r="F61" s="545"/>
      <c r="G61" s="669"/>
      <c r="H61" s="1121"/>
    </row>
    <row r="62" spans="1:11">
      <c r="A62" s="580" t="s">
        <v>1006</v>
      </c>
      <c r="F62" s="1126">
        <f ca="1">Chillers_New_BOQ!G389</f>
        <v>138.28</v>
      </c>
      <c r="G62" s="669"/>
      <c r="H62" s="1121"/>
    </row>
    <row r="63" spans="1:11">
      <c r="F63" s="545"/>
      <c r="G63" s="669"/>
      <c r="H63" s="1121"/>
    </row>
    <row r="64" spans="1:11">
      <c r="A64" s="580" t="s">
        <v>1007</v>
      </c>
      <c r="F64" s="1126">
        <f ca="1">Chillers_New_BOQ!G447</f>
        <v>76.62</v>
      </c>
      <c r="G64" s="669"/>
      <c r="H64" s="1121"/>
      <c r="K64" s="669"/>
    </row>
    <row r="65" spans="1:11">
      <c r="F65" s="545"/>
      <c r="G65" s="669"/>
      <c r="H65" s="1121"/>
    </row>
    <row r="66" spans="1:11" ht="13.8" thickBot="1">
      <c r="A66" s="580" t="s">
        <v>1008</v>
      </c>
      <c r="F66" s="1126">
        <f>Chillers_New_BOQ!G503</f>
        <v>0</v>
      </c>
      <c r="G66" s="669"/>
      <c r="H66" s="1120">
        <f ca="1">SUM(F50:F66)</f>
        <v>67491.049999999988</v>
      </c>
      <c r="K66" s="669"/>
    </row>
    <row r="67" spans="1:11">
      <c r="F67" s="669"/>
      <c r="G67" s="669"/>
      <c r="H67" s="1121"/>
    </row>
    <row r="68" spans="1:11">
      <c r="F68" s="669"/>
      <c r="G68" s="669"/>
      <c r="H68" s="1121"/>
    </row>
    <row r="69" spans="1:11">
      <c r="A69" s="1118" t="s">
        <v>1009</v>
      </c>
      <c r="F69" s="669"/>
      <c r="G69" s="669"/>
      <c r="H69" s="1121"/>
    </row>
    <row r="70" spans="1:11" ht="13.2" customHeight="1">
      <c r="F70" s="669"/>
      <c r="G70" s="669"/>
      <c r="H70" s="1121"/>
    </row>
    <row r="71" spans="1:11">
      <c r="A71" s="580" t="s">
        <v>1010</v>
      </c>
      <c r="F71" s="1126">
        <f>HTHP_New_BOQ!Q54</f>
        <v>62.88</v>
      </c>
      <c r="G71" s="669"/>
      <c r="H71" s="1121"/>
    </row>
    <row r="72" spans="1:11">
      <c r="F72" s="545"/>
      <c r="G72" s="669"/>
      <c r="H72" s="1121"/>
    </row>
    <row r="73" spans="1:11">
      <c r="A73" s="580" t="s">
        <v>1011</v>
      </c>
      <c r="F73" s="1126">
        <f>HTHP_New_BOQ!Q106</f>
        <v>153.92000000000002</v>
      </c>
      <c r="G73" s="669"/>
      <c r="H73" s="1121"/>
    </row>
    <row r="74" spans="1:11">
      <c r="F74" s="545"/>
      <c r="G74" s="669"/>
      <c r="H74" s="1121"/>
    </row>
    <row r="75" spans="1:11">
      <c r="A75" s="580" t="s">
        <v>1012</v>
      </c>
      <c r="F75" s="1126">
        <f>HTHP_New_BOQ!Q162</f>
        <v>458.73</v>
      </c>
      <c r="G75" s="669"/>
      <c r="H75" s="1121"/>
    </row>
    <row r="76" spans="1:11">
      <c r="F76" s="545"/>
      <c r="G76" s="669"/>
      <c r="H76" s="1121"/>
    </row>
    <row r="77" spans="1:11">
      <c r="A77" s="580" t="s">
        <v>1013</v>
      </c>
      <c r="F77" s="1126">
        <f>HTHP_New_BOQ!Q211</f>
        <v>2791.2599999999993</v>
      </c>
      <c r="G77" s="669"/>
      <c r="H77" s="1121"/>
    </row>
    <row r="78" spans="1:11">
      <c r="F78" s="545"/>
      <c r="G78" s="669"/>
      <c r="H78" s="1121"/>
    </row>
    <row r="79" spans="1:11">
      <c r="A79" s="580" t="s">
        <v>1014</v>
      </c>
      <c r="F79" s="1126">
        <f>HTHP_New_BOQ!Q267</f>
        <v>0</v>
      </c>
      <c r="G79" s="669"/>
      <c r="H79" s="1121"/>
    </row>
    <row r="80" spans="1:11">
      <c r="F80" s="545"/>
      <c r="G80" s="669"/>
      <c r="H80" s="1121"/>
    </row>
    <row r="81" spans="1:11">
      <c r="A81" s="580" t="s">
        <v>1015</v>
      </c>
      <c r="F81" s="1126">
        <f>HTHP_New_BOQ!Q320</f>
        <v>331.8</v>
      </c>
      <c r="G81" s="669"/>
      <c r="H81" s="1121"/>
    </row>
    <row r="82" spans="1:11">
      <c r="F82" s="545"/>
      <c r="G82" s="669"/>
      <c r="H82" s="1121"/>
    </row>
    <row r="83" spans="1:11" ht="13.8" thickBot="1">
      <c r="A83" s="580" t="s">
        <v>1016</v>
      </c>
      <c r="F83" s="1126">
        <f>HTHP_New_BOQ!Q378</f>
        <v>0</v>
      </c>
      <c r="G83" s="669"/>
      <c r="H83" s="1120">
        <f>SUM(F71:F83)</f>
        <v>3798.5899999999992</v>
      </c>
      <c r="K83" s="669"/>
    </row>
    <row r="84" spans="1:11">
      <c r="F84" s="669"/>
      <c r="G84" s="669"/>
      <c r="H84" s="1121"/>
    </row>
    <row r="85" spans="1:11">
      <c r="F85" s="669"/>
      <c r="G85" s="669"/>
      <c r="H85" s="1121"/>
    </row>
    <row r="86" spans="1:11">
      <c r="A86" s="1118" t="s">
        <v>589</v>
      </c>
    </row>
    <row r="87" spans="1:11">
      <c r="A87" s="1118"/>
    </row>
    <row r="88" spans="1:11">
      <c r="A88" s="580" t="s">
        <v>1017</v>
      </c>
      <c r="F88" s="1126">
        <f>Pumps_Dismantling_BOQ!F52</f>
        <v>0</v>
      </c>
      <c r="G88" s="669"/>
      <c r="H88" s="1121"/>
    </row>
    <row r="89" spans="1:11">
      <c r="F89" s="545"/>
      <c r="G89" s="669"/>
      <c r="H89" s="1121"/>
    </row>
    <row r="90" spans="1:11">
      <c r="A90" s="580" t="s">
        <v>1018</v>
      </c>
      <c r="F90" s="1126">
        <f>Pumps_Dismantling_BOQ!F108</f>
        <v>0</v>
      </c>
      <c r="G90" s="669"/>
      <c r="H90" s="1121"/>
    </row>
    <row r="91" spans="1:11">
      <c r="A91" s="1118"/>
      <c r="F91" s="545"/>
      <c r="G91" s="669"/>
      <c r="H91" s="1121"/>
    </row>
    <row r="92" spans="1:11">
      <c r="A92" s="580" t="s">
        <v>1019</v>
      </c>
      <c r="F92" s="1126">
        <f>Pumps_Dismantling_BOQ!F164</f>
        <v>0</v>
      </c>
      <c r="G92" s="669"/>
      <c r="H92" s="1121"/>
    </row>
    <row r="93" spans="1:11">
      <c r="F93" s="545"/>
      <c r="G93" s="669"/>
      <c r="H93" s="1121"/>
    </row>
    <row r="94" spans="1:11" ht="13.8" thickBot="1">
      <c r="A94" s="580" t="s">
        <v>1020</v>
      </c>
      <c r="F94" s="1126">
        <f>Pumps_Dismantling_BOQ!F216</f>
        <v>929.03</v>
      </c>
      <c r="G94" s="669"/>
      <c r="H94" s="1120">
        <f>SUM(F87:F94)</f>
        <v>929.03</v>
      </c>
      <c r="K94" s="669"/>
    </row>
    <row r="95" spans="1:11">
      <c r="F95" s="545"/>
      <c r="G95" s="669"/>
      <c r="H95" s="1121"/>
      <c r="K95" s="669"/>
    </row>
    <row r="96" spans="1:11">
      <c r="F96" s="545"/>
      <c r="G96" s="669"/>
      <c r="H96" s="1121"/>
    </row>
    <row r="97" spans="1:11">
      <c r="A97" s="1118" t="s">
        <v>447</v>
      </c>
      <c r="F97" s="545"/>
      <c r="G97" s="669"/>
      <c r="H97" s="1121"/>
    </row>
    <row r="98" spans="1:11">
      <c r="F98" s="545"/>
      <c r="G98" s="669"/>
      <c r="H98" s="1121"/>
    </row>
    <row r="99" spans="1:11">
      <c r="A99" s="580" t="s">
        <v>1021</v>
      </c>
      <c r="F99" s="1126"/>
      <c r="G99" s="669"/>
      <c r="H99" s="1121"/>
      <c r="K99" s="669"/>
    </row>
    <row r="100" spans="1:11">
      <c r="F100" s="545"/>
      <c r="G100" s="669"/>
      <c r="H100" s="1121"/>
      <c r="K100" s="669"/>
    </row>
    <row r="101" spans="1:11" ht="13.8" thickBot="1">
      <c r="A101" s="580" t="s">
        <v>1022</v>
      </c>
      <c r="F101" s="1126"/>
      <c r="G101" s="669"/>
      <c r="H101" s="1120">
        <f>SUM(F99:F101)</f>
        <v>0</v>
      </c>
      <c r="K101" s="669"/>
    </row>
    <row r="102" spans="1:11">
      <c r="F102" s="545"/>
      <c r="G102" s="669"/>
      <c r="H102" s="1121"/>
      <c r="K102" s="669"/>
    </row>
    <row r="103" spans="1:11">
      <c r="F103" s="545"/>
      <c r="G103" s="669"/>
      <c r="H103" s="1121"/>
    </row>
    <row r="104" spans="1:11">
      <c r="A104" s="1118" t="s">
        <v>1023</v>
      </c>
      <c r="F104" s="545"/>
      <c r="G104" s="669"/>
      <c r="H104" s="1121"/>
    </row>
    <row r="105" spans="1:11">
      <c r="F105" s="545"/>
      <c r="G105" s="669"/>
      <c r="H105" s="1121"/>
    </row>
    <row r="106" spans="1:11">
      <c r="A106" s="580" t="s">
        <v>1024</v>
      </c>
      <c r="F106" s="1126">
        <f ca="1">Pumps_New_BOQ!Q57</f>
        <v>517.88000000000011</v>
      </c>
      <c r="G106" s="669"/>
      <c r="H106" s="1121"/>
    </row>
    <row r="107" spans="1:11">
      <c r="F107" s="545"/>
      <c r="G107" s="669"/>
      <c r="H107" s="1121"/>
    </row>
    <row r="108" spans="1:11">
      <c r="A108" s="580" t="s">
        <v>1025</v>
      </c>
      <c r="F108" s="1126">
        <f ca="1">Pumps_New_BOQ!Q115</f>
        <v>335.04000000000008</v>
      </c>
      <c r="G108" s="669"/>
      <c r="H108" s="1121"/>
    </row>
    <row r="109" spans="1:11">
      <c r="F109" s="545"/>
      <c r="G109" s="669"/>
      <c r="H109" s="1121"/>
    </row>
    <row r="110" spans="1:11">
      <c r="A110" s="580" t="s">
        <v>1026</v>
      </c>
      <c r="F110" s="1126">
        <f ca="1">Pumps_New_BOQ!Q173</f>
        <v>182.83999999999997</v>
      </c>
      <c r="G110" s="669"/>
      <c r="H110" s="1121"/>
    </row>
    <row r="111" spans="1:11">
      <c r="F111" s="545"/>
      <c r="G111" s="669"/>
      <c r="H111" s="1121"/>
    </row>
    <row r="112" spans="1:11">
      <c r="A112" s="580" t="s">
        <v>1027</v>
      </c>
      <c r="F112" s="1126">
        <f>Pumps_New_BOQ!Q232</f>
        <v>0</v>
      </c>
      <c r="G112" s="669"/>
      <c r="H112" s="1121"/>
    </row>
    <row r="113" spans="1:8">
      <c r="F113" s="545"/>
      <c r="G113" s="669"/>
      <c r="H113" s="1121"/>
    </row>
    <row r="114" spans="1:8">
      <c r="A114" s="580" t="s">
        <v>1028</v>
      </c>
      <c r="F114" s="1126">
        <f>Pumps_New_BOQ!Q291</f>
        <v>0</v>
      </c>
      <c r="G114" s="669"/>
      <c r="H114" s="1121"/>
    </row>
    <row r="115" spans="1:8">
      <c r="F115" s="545"/>
      <c r="G115" s="669"/>
      <c r="H115" s="1121"/>
    </row>
    <row r="116" spans="1:8">
      <c r="A116" s="580" t="s">
        <v>1029</v>
      </c>
      <c r="F116" s="1126">
        <f>Pumps_New_BOQ!Q350</f>
        <v>0</v>
      </c>
      <c r="G116" s="669"/>
      <c r="H116" s="1121"/>
    </row>
    <row r="117" spans="1:8">
      <c r="F117" s="545"/>
      <c r="G117" s="669"/>
      <c r="H117" s="1121"/>
    </row>
    <row r="118" spans="1:8">
      <c r="A118" s="580" t="s">
        <v>1030</v>
      </c>
      <c r="F118" s="1126">
        <f>Pumps_New_BOQ!Q409</f>
        <v>0</v>
      </c>
      <c r="G118" s="669"/>
      <c r="H118" s="1121"/>
    </row>
    <row r="119" spans="1:8">
      <c r="F119" s="545"/>
      <c r="G119" s="669"/>
      <c r="H119" s="1121"/>
    </row>
    <row r="120" spans="1:8">
      <c r="A120" s="580" t="s">
        <v>1031</v>
      </c>
      <c r="F120" s="1126">
        <f>Pumps_New_BOQ!Q469</f>
        <v>0</v>
      </c>
      <c r="G120" s="669"/>
      <c r="H120" s="1121"/>
    </row>
    <row r="121" spans="1:8">
      <c r="F121" s="545"/>
      <c r="G121" s="669"/>
      <c r="H121" s="1121"/>
    </row>
    <row r="122" spans="1:8">
      <c r="A122" s="580" t="s">
        <v>1032</v>
      </c>
      <c r="F122" s="1126">
        <f>Pumps_New_BOQ!Q529</f>
        <v>0</v>
      </c>
      <c r="G122" s="669"/>
      <c r="H122" s="1121"/>
    </row>
    <row r="123" spans="1:8">
      <c r="F123" s="545"/>
      <c r="G123" s="669"/>
      <c r="H123" s="1121"/>
    </row>
    <row r="124" spans="1:8">
      <c r="A124" s="580" t="s">
        <v>1033</v>
      </c>
      <c r="F124" s="1126">
        <f>Pumps_New_BOQ!Q589</f>
        <v>0</v>
      </c>
      <c r="G124" s="669"/>
      <c r="H124" s="1121"/>
    </row>
    <row r="125" spans="1:8">
      <c r="F125" s="545"/>
      <c r="G125" s="669"/>
      <c r="H125" s="1121"/>
    </row>
    <row r="126" spans="1:8">
      <c r="A126" s="580" t="s">
        <v>1034</v>
      </c>
      <c r="F126" s="1126">
        <f>Pumps_New_BOQ!Q649</f>
        <v>0</v>
      </c>
      <c r="G126" s="669"/>
      <c r="H126" s="1121"/>
    </row>
    <row r="127" spans="1:8">
      <c r="F127" s="545"/>
      <c r="G127" s="669"/>
      <c r="H127" s="1121"/>
    </row>
    <row r="128" spans="1:8">
      <c r="A128" s="580" t="s">
        <v>1035</v>
      </c>
      <c r="F128" s="1126">
        <f>Pumps_New_BOQ!Q709</f>
        <v>0</v>
      </c>
      <c r="G128" s="669"/>
      <c r="H128" s="1121"/>
    </row>
    <row r="129" spans="1:8">
      <c r="F129" s="545"/>
      <c r="G129" s="669"/>
      <c r="H129" s="1121"/>
    </row>
    <row r="130" spans="1:8">
      <c r="A130" s="580" t="s">
        <v>1036</v>
      </c>
      <c r="F130" s="1126">
        <f>Pumps_New_BOQ!Q769</f>
        <v>0</v>
      </c>
      <c r="G130" s="669"/>
      <c r="H130" s="1121"/>
    </row>
    <row r="131" spans="1:8">
      <c r="F131" s="545"/>
      <c r="G131" s="669"/>
      <c r="H131" s="1121"/>
    </row>
    <row r="132" spans="1:8">
      <c r="A132" s="580" t="s">
        <v>1037</v>
      </c>
      <c r="F132" s="1126">
        <f>Pumps_New_BOQ!Q829</f>
        <v>0</v>
      </c>
      <c r="G132" s="669"/>
      <c r="H132" s="1121"/>
    </row>
    <row r="133" spans="1:8">
      <c r="F133" s="545"/>
      <c r="G133" s="669"/>
      <c r="H133" s="1121"/>
    </row>
    <row r="134" spans="1:8">
      <c r="A134" s="580" t="s">
        <v>1038</v>
      </c>
      <c r="F134" s="1126">
        <f>Pumps_New_BOQ!Q889</f>
        <v>0</v>
      </c>
      <c r="G134" s="669"/>
      <c r="H134" s="1121"/>
    </row>
    <row r="135" spans="1:8">
      <c r="F135" s="545"/>
      <c r="G135" s="669"/>
      <c r="H135" s="1121"/>
    </row>
    <row r="136" spans="1:8">
      <c r="A136" s="580" t="s">
        <v>1039</v>
      </c>
      <c r="F136" s="1126">
        <f>Pumps_New_BOQ!Q949</f>
        <v>0</v>
      </c>
      <c r="G136" s="669"/>
      <c r="H136" s="1121"/>
    </row>
    <row r="137" spans="1:8">
      <c r="F137" s="545"/>
      <c r="G137" s="669"/>
      <c r="H137" s="1121"/>
    </row>
    <row r="138" spans="1:8">
      <c r="A138" s="580" t="s">
        <v>1040</v>
      </c>
      <c r="F138" s="1126">
        <f>Pumps_New_BOQ!Q1009</f>
        <v>0</v>
      </c>
      <c r="G138" s="669"/>
      <c r="H138" s="1121"/>
    </row>
    <row r="139" spans="1:8">
      <c r="F139" s="545"/>
      <c r="G139" s="669"/>
      <c r="H139" s="1121"/>
    </row>
    <row r="140" spans="1:8">
      <c r="A140" s="580" t="s">
        <v>1041</v>
      </c>
      <c r="F140" s="1126">
        <f>Pumps_New_BOQ!Q1069</f>
        <v>0</v>
      </c>
      <c r="G140" s="669"/>
      <c r="H140" s="1121"/>
    </row>
    <row r="141" spans="1:8">
      <c r="F141" s="545"/>
      <c r="G141" s="669"/>
      <c r="H141" s="1121"/>
    </row>
    <row r="142" spans="1:8">
      <c r="A142" s="580" t="s">
        <v>1042</v>
      </c>
      <c r="F142" s="1126">
        <f>Pumps_New_BOQ!Q1129</f>
        <v>0</v>
      </c>
      <c r="G142" s="669"/>
      <c r="H142" s="1121"/>
    </row>
    <row r="143" spans="1:8">
      <c r="F143" s="545"/>
      <c r="G143" s="669"/>
      <c r="H143" s="1121"/>
    </row>
    <row r="144" spans="1:8">
      <c r="A144" s="580" t="s">
        <v>1043</v>
      </c>
      <c r="F144" s="1126">
        <f ca="1">Pumps_New_BOQ!Q1177</f>
        <v>1697.1300000000003</v>
      </c>
      <c r="G144" s="669"/>
      <c r="H144" s="1121"/>
    </row>
    <row r="145" spans="1:11">
      <c r="F145" s="545"/>
      <c r="G145" s="669"/>
      <c r="H145" s="1121"/>
    </row>
    <row r="146" spans="1:11">
      <c r="A146" s="580" t="s">
        <v>1044</v>
      </c>
      <c r="F146" s="1126">
        <f>Pumps_New_BOQ!Q1235</f>
        <v>331.8</v>
      </c>
      <c r="G146" s="669"/>
      <c r="H146" s="1121"/>
    </row>
    <row r="147" spans="1:11">
      <c r="F147" s="545"/>
      <c r="G147" s="669"/>
      <c r="H147" s="1121"/>
    </row>
    <row r="148" spans="1:11">
      <c r="A148" s="580" t="s">
        <v>1045</v>
      </c>
      <c r="F148" s="1126">
        <f ca="1">Pumps_New_BOQ!Q1289</f>
        <v>517.88000000000011</v>
      </c>
      <c r="G148" s="669"/>
      <c r="H148" s="1121"/>
    </row>
    <row r="149" spans="1:11">
      <c r="F149" s="545"/>
      <c r="G149" s="669"/>
      <c r="H149" s="1121"/>
    </row>
    <row r="150" spans="1:11">
      <c r="A150" s="580" t="s">
        <v>1046</v>
      </c>
      <c r="F150" s="1126">
        <f ca="1">Pumps_New_BOQ!Q1346</f>
        <v>335.04000000000008</v>
      </c>
      <c r="G150" s="669"/>
      <c r="H150" s="1121"/>
    </row>
    <row r="151" spans="1:11">
      <c r="F151" s="543"/>
      <c r="H151" s="1121"/>
    </row>
    <row r="152" spans="1:11" ht="13.8" thickBot="1">
      <c r="A152" s="580" t="s">
        <v>1047</v>
      </c>
      <c r="F152" s="1126">
        <f ca="1">Pumps_New_BOQ!Q1404</f>
        <v>182.83999999999997</v>
      </c>
      <c r="G152" s="669"/>
      <c r="H152" s="1120">
        <f ca="1">SUM(F105:F152)</f>
        <v>4100.4500000000007</v>
      </c>
      <c r="K152" s="669"/>
    </row>
    <row r="153" spans="1:11">
      <c r="F153" s="545"/>
      <c r="G153" s="669"/>
      <c r="H153" s="1121"/>
    </row>
    <row r="154" spans="1:11">
      <c r="F154" s="545"/>
      <c r="G154" s="669"/>
      <c r="H154" s="1121"/>
    </row>
    <row r="155" spans="1:11">
      <c r="A155" s="1118" t="s">
        <v>1048</v>
      </c>
      <c r="F155" s="545"/>
      <c r="G155" s="669"/>
      <c r="H155" s="1121"/>
    </row>
    <row r="156" spans="1:11">
      <c r="F156" s="545"/>
      <c r="G156" s="669"/>
      <c r="H156" s="1121"/>
    </row>
    <row r="157" spans="1:11">
      <c r="A157" s="580" t="s">
        <v>1049</v>
      </c>
      <c r="F157" s="1126">
        <f ca="1">AHU_Motors_New_BOQ!F42</f>
        <v>5699.05</v>
      </c>
      <c r="G157" s="669"/>
      <c r="H157" s="1121"/>
    </row>
    <row r="158" spans="1:11">
      <c r="F158" s="545"/>
      <c r="G158" s="669"/>
      <c r="H158" s="1121"/>
    </row>
    <row r="159" spans="1:11">
      <c r="A159" s="580" t="s">
        <v>1050</v>
      </c>
      <c r="F159" s="1126">
        <f ca="1">AHU_Motors_New_BOQ!F93</f>
        <v>33944.910000000003</v>
      </c>
      <c r="G159" s="669"/>
      <c r="H159" s="1121"/>
    </row>
    <row r="160" spans="1:11">
      <c r="F160" s="545"/>
      <c r="G160" s="669"/>
      <c r="H160" s="1121"/>
    </row>
    <row r="161" spans="1:11">
      <c r="A161" s="580" t="s">
        <v>1051</v>
      </c>
      <c r="F161" s="1126">
        <f ca="1">AHU_Motors_New_BOQ!F145</f>
        <v>27686.300000000003</v>
      </c>
      <c r="G161" s="669"/>
      <c r="H161" s="1121"/>
    </row>
    <row r="162" spans="1:11">
      <c r="F162" s="543"/>
      <c r="H162" s="1121"/>
    </row>
    <row r="163" spans="1:11" ht="13.8" thickBot="1">
      <c r="A163" s="580" t="s">
        <v>1052</v>
      </c>
      <c r="F163" s="1126">
        <f ca="1">AHU_Motors_New_BOQ!F197</f>
        <v>5486.79</v>
      </c>
      <c r="G163" s="669"/>
      <c r="H163" s="1120">
        <f ca="1">SUM(F157:F163)</f>
        <v>72817.05</v>
      </c>
      <c r="K163" s="669"/>
    </row>
    <row r="164" spans="1:11">
      <c r="F164" s="545"/>
      <c r="G164" s="669"/>
      <c r="H164" s="1121"/>
      <c r="K164" s="669"/>
    </row>
    <row r="165" spans="1:11">
      <c r="F165" s="545"/>
      <c r="G165" s="669"/>
      <c r="H165" s="1121"/>
    </row>
    <row r="166" spans="1:11">
      <c r="A166" s="1118" t="s">
        <v>553</v>
      </c>
      <c r="F166" s="545"/>
      <c r="G166" s="669"/>
      <c r="H166" s="1121"/>
    </row>
    <row r="167" spans="1:11">
      <c r="F167" s="545"/>
      <c r="G167" s="669"/>
      <c r="H167" s="1121"/>
    </row>
    <row r="168" spans="1:11" ht="13.8" thickBot="1">
      <c r="A168" s="580" t="s">
        <v>1053</v>
      </c>
      <c r="F168" s="1126">
        <f>EF_BOQ!O44</f>
        <v>15366.1</v>
      </c>
      <c r="G168" s="669"/>
      <c r="H168" s="1120">
        <f>SUM(F168:G168)</f>
        <v>15366.1</v>
      </c>
      <c r="K168" s="669"/>
    </row>
    <row r="169" spans="1:11">
      <c r="F169" s="545"/>
      <c r="G169" s="669"/>
      <c r="H169" s="1121"/>
      <c r="K169" s="669"/>
    </row>
    <row r="170" spans="1:11">
      <c r="F170" s="545"/>
      <c r="G170" s="669"/>
      <c r="H170" s="1121"/>
      <c r="K170" s="669"/>
    </row>
    <row r="171" spans="1:11">
      <c r="A171" s="1118" t="s">
        <v>1054</v>
      </c>
      <c r="F171" s="545"/>
      <c r="G171" s="669"/>
      <c r="H171" s="1121"/>
    </row>
    <row r="172" spans="1:11">
      <c r="F172" s="545"/>
      <c r="G172" s="669"/>
      <c r="H172" s="1121"/>
    </row>
    <row r="173" spans="1:11" ht="13.8" thickBot="1">
      <c r="A173" s="580" t="s">
        <v>1055</v>
      </c>
      <c r="F173" s="1126">
        <f>AC_Split_Unit_BOQ!F55</f>
        <v>58</v>
      </c>
      <c r="G173" s="669"/>
      <c r="H173" s="1120">
        <f>SUM(F173:G173)</f>
        <v>58</v>
      </c>
      <c r="K173" s="669"/>
    </row>
    <row r="174" spans="1:11">
      <c r="F174" s="545"/>
      <c r="G174" s="669"/>
      <c r="H174" s="1121"/>
      <c r="K174" s="669"/>
    </row>
    <row r="175" spans="1:11">
      <c r="F175" s="545"/>
      <c r="G175" s="669"/>
      <c r="H175" s="1121"/>
    </row>
    <row r="176" spans="1:11">
      <c r="A176" s="1118" t="s">
        <v>969</v>
      </c>
      <c r="F176" s="545"/>
      <c r="G176" s="669"/>
      <c r="H176" s="1121"/>
    </row>
    <row r="177" spans="1:11">
      <c r="F177" s="545"/>
      <c r="G177" s="669"/>
      <c r="H177" s="1121"/>
    </row>
    <row r="178" spans="1:11" ht="13.8" thickBot="1">
      <c r="A178" s="580" t="s">
        <v>1056</v>
      </c>
      <c r="B178" s="1122"/>
      <c r="C178" s="1122"/>
      <c r="F178" s="1126"/>
      <c r="G178" s="669"/>
      <c r="H178" s="1120">
        <f>SUM(F178:G178)</f>
        <v>0</v>
      </c>
      <c r="K178" s="669"/>
    </row>
    <row r="179" spans="1:11">
      <c r="A179" s="1122"/>
      <c r="B179" s="1122"/>
      <c r="C179" s="1122"/>
      <c r="F179" s="545"/>
      <c r="G179" s="669"/>
      <c r="H179" s="1121"/>
      <c r="K179" s="669"/>
    </row>
    <row r="180" spans="1:11">
      <c r="F180" s="545"/>
      <c r="G180" s="669"/>
      <c r="H180" s="1121"/>
    </row>
    <row r="181" spans="1:11">
      <c r="A181" s="1118" t="s">
        <v>970</v>
      </c>
      <c r="F181" s="545"/>
      <c r="G181" s="669"/>
      <c r="H181" s="1121"/>
    </row>
    <row r="182" spans="1:11">
      <c r="F182" s="545"/>
      <c r="G182" s="669"/>
      <c r="H182" s="1121"/>
    </row>
    <row r="183" spans="1:11" ht="13.8" thickBot="1">
      <c r="A183" s="580" t="s">
        <v>1057</v>
      </c>
      <c r="F183" s="1126">
        <f>Commissioning_BOQ!F42</f>
        <v>0</v>
      </c>
      <c r="G183" s="669"/>
      <c r="H183" s="1120">
        <f>SUM(F183:G183)</f>
        <v>0</v>
      </c>
      <c r="K183" s="669"/>
    </row>
    <row r="184" spans="1:11">
      <c r="F184" s="545"/>
      <c r="G184" s="669"/>
      <c r="H184" s="1121"/>
    </row>
    <row r="185" spans="1:11">
      <c r="F185" s="545"/>
      <c r="G185" s="669"/>
      <c r="H185" s="1121"/>
    </row>
    <row r="186" spans="1:11">
      <c r="F186" s="545"/>
      <c r="G186" s="669"/>
      <c r="H186" s="1121"/>
    </row>
    <row r="187" spans="1:11">
      <c r="F187" s="545"/>
      <c r="G187" s="669"/>
      <c r="H187" s="1121"/>
    </row>
    <row r="188" spans="1:11">
      <c r="A188" s="1118" t="s">
        <v>1058</v>
      </c>
      <c r="F188" s="545"/>
      <c r="G188" s="669"/>
      <c r="H188" s="1121"/>
    </row>
    <row r="189" spans="1:11">
      <c r="F189" s="545"/>
      <c r="G189" s="669"/>
      <c r="H189" s="1121"/>
    </row>
    <row r="190" spans="1:11" ht="13.8" thickBot="1">
      <c r="A190" s="580" t="s">
        <v>1059</v>
      </c>
      <c r="F190" s="1126">
        <f>Maintenance_BOQ!G55</f>
        <v>0</v>
      </c>
      <c r="G190" s="669"/>
      <c r="H190" s="1120">
        <f>SUM(F190:G190)</f>
        <v>0</v>
      </c>
      <c r="K190" s="669"/>
    </row>
    <row r="191" spans="1:11">
      <c r="F191" s="669"/>
      <c r="G191" s="669"/>
      <c r="H191" s="1121"/>
    </row>
    <row r="192" spans="1:11">
      <c r="F192" s="669"/>
      <c r="G192" s="669"/>
      <c r="H192" s="1121"/>
    </row>
    <row r="193" spans="1:11">
      <c r="A193" s="1118" t="s">
        <v>1060</v>
      </c>
      <c r="F193" s="669"/>
      <c r="G193" s="669"/>
      <c r="H193" s="1121"/>
    </row>
    <row r="194" spans="1:11">
      <c r="F194" s="669"/>
      <c r="G194" s="669"/>
      <c r="H194" s="1121"/>
    </row>
    <row r="195" spans="1:11" ht="13.8" thickBot="1">
      <c r="A195" s="580" t="s">
        <v>1061</v>
      </c>
      <c r="F195" s="1119"/>
      <c r="G195" s="669"/>
      <c r="H195" s="1120">
        <f>SUM(F195:G195)</f>
        <v>0</v>
      </c>
      <c r="K195" s="669"/>
    </row>
    <row r="196" spans="1:11">
      <c r="F196" s="669"/>
      <c r="G196" s="669"/>
      <c r="H196" s="1121"/>
      <c r="K196" s="1123"/>
    </row>
    <row r="197" spans="1:11">
      <c r="F197" s="669"/>
      <c r="G197" s="669"/>
      <c r="H197" s="1121"/>
    </row>
    <row r="198" spans="1:11" ht="13.8" thickBot="1">
      <c r="A198" s="1118" t="s">
        <v>1062</v>
      </c>
      <c r="B198" s="1118"/>
      <c r="F198" s="669"/>
      <c r="G198" s="669"/>
      <c r="H198" s="1120"/>
    </row>
    <row r="199" spans="1:11">
      <c r="A199" s="1118"/>
      <c r="B199" s="1118"/>
      <c r="F199" s="669"/>
      <c r="G199" s="669"/>
      <c r="H199" s="1121"/>
    </row>
    <row r="200" spans="1:11" ht="13.8" thickBot="1">
      <c r="A200" s="1118" t="s">
        <v>1063</v>
      </c>
      <c r="B200" s="1118"/>
      <c r="F200" s="669"/>
      <c r="G200" s="669"/>
      <c r="H200" s="1120">
        <f ca="1">SUM(H1:H199)</f>
        <v>164843.54999999999</v>
      </c>
    </row>
    <row r="201" spans="1:11">
      <c r="A201" s="1118"/>
      <c r="B201" s="1118"/>
      <c r="F201" s="669"/>
      <c r="G201" s="669"/>
      <c r="H201" s="1121"/>
    </row>
    <row r="202" spans="1:11" ht="13.8" thickBot="1">
      <c r="A202" s="1118" t="s">
        <v>1064</v>
      </c>
      <c r="B202" s="1118"/>
      <c r="F202" s="669"/>
      <c r="G202" s="669"/>
      <c r="H202" s="1120">
        <f ca="1">H200*18%</f>
        <v>29671.838999999996</v>
      </c>
    </row>
    <row r="203" spans="1:11">
      <c r="A203" s="1118"/>
      <c r="B203" s="1118"/>
      <c r="F203" s="669"/>
      <c r="G203" s="669"/>
      <c r="H203" s="1121"/>
    </row>
    <row r="204" spans="1:11" ht="13.8" thickBot="1">
      <c r="A204" s="1118" t="s">
        <v>1065</v>
      </c>
      <c r="B204" s="1118"/>
      <c r="G204" s="620" t="s">
        <v>231</v>
      </c>
      <c r="H204" s="1124">
        <f ca="1">H202+H200</f>
        <v>194515.389</v>
      </c>
    </row>
    <row r="205" spans="1:11" ht="13.8" thickTop="1"/>
    <row r="210" spans="1:9">
      <c r="A210" s="580" t="s">
        <v>1066</v>
      </c>
      <c r="C210" s="1162"/>
      <c r="D210" s="1162"/>
      <c r="E210" s="1162"/>
      <c r="F210" s="1162"/>
      <c r="G210" s="1162"/>
      <c r="H210" s="1162"/>
      <c r="I210" s="1162"/>
    </row>
    <row r="211" spans="1:9">
      <c r="C211" s="1125"/>
      <c r="D211" s="1125"/>
      <c r="E211" s="1125"/>
      <c r="F211" s="1125"/>
      <c r="G211" s="1125"/>
      <c r="H211" s="1125"/>
      <c r="I211" s="1125"/>
    </row>
    <row r="212" spans="1:9">
      <c r="A212" s="580" t="s">
        <v>1067</v>
      </c>
      <c r="C212" s="1162"/>
      <c r="D212" s="1162"/>
      <c r="E212" s="1162"/>
      <c r="F212" s="1162"/>
      <c r="G212" s="1162"/>
      <c r="H212" s="1162"/>
      <c r="I212" s="1162"/>
    </row>
    <row r="213" spans="1:9">
      <c r="C213" s="1125"/>
      <c r="D213" s="1125"/>
      <c r="E213" s="1125"/>
      <c r="F213" s="1125"/>
      <c r="G213" s="1125"/>
      <c r="H213" s="1125"/>
      <c r="I213" s="1125"/>
    </row>
    <row r="214" spans="1:9">
      <c r="A214" s="580" t="s">
        <v>1068</v>
      </c>
      <c r="C214" s="1162"/>
      <c r="D214" s="1162"/>
      <c r="E214" s="1162"/>
      <c r="F214" s="1162"/>
      <c r="G214" s="1162"/>
      <c r="H214" s="1162"/>
      <c r="I214" s="1162"/>
    </row>
    <row r="215" spans="1:9">
      <c r="C215" s="1125"/>
      <c r="D215" s="1125"/>
      <c r="E215" s="1125"/>
      <c r="F215" s="1125"/>
      <c r="G215" s="1125"/>
      <c r="H215" s="1125"/>
      <c r="I215" s="1125"/>
    </row>
    <row r="216" spans="1:9">
      <c r="A216" s="580" t="s">
        <v>1069</v>
      </c>
      <c r="C216" s="1162"/>
      <c r="D216" s="1162"/>
      <c r="E216" s="1162"/>
      <c r="F216" s="1162"/>
      <c r="G216" s="1162"/>
      <c r="H216" s="1162"/>
      <c r="I216" s="1162"/>
    </row>
    <row r="217" spans="1:9">
      <c r="C217" s="1125"/>
      <c r="D217" s="1125"/>
      <c r="E217" s="1125"/>
      <c r="F217" s="1125"/>
      <c r="G217" s="1125"/>
      <c r="H217" s="1125"/>
      <c r="I217" s="1125"/>
    </row>
    <row r="218" spans="1:9">
      <c r="A218" s="580" t="s">
        <v>1070</v>
      </c>
      <c r="C218" s="1162"/>
      <c r="D218" s="1162"/>
      <c r="E218" s="1162"/>
      <c r="F218" s="1162"/>
      <c r="G218" s="1162"/>
      <c r="H218" s="1162"/>
      <c r="I218" s="1162"/>
    </row>
    <row r="219" spans="1:9">
      <c r="C219" s="1125"/>
      <c r="D219" s="1125"/>
      <c r="E219" s="1125"/>
      <c r="F219" s="1125"/>
      <c r="G219" s="1125"/>
      <c r="H219" s="1125"/>
      <c r="I219" s="1125"/>
    </row>
    <row r="220" spans="1:9">
      <c r="A220" s="580" t="s">
        <v>1071</v>
      </c>
      <c r="C220" s="1162"/>
      <c r="D220" s="1162"/>
      <c r="E220" s="1162"/>
      <c r="F220" s="1162"/>
      <c r="G220" s="1162"/>
      <c r="H220" s="1162"/>
      <c r="I220" s="1162"/>
    </row>
    <row r="221" spans="1:9">
      <c r="C221" s="1125"/>
      <c r="D221" s="1125"/>
      <c r="E221" s="1125"/>
      <c r="F221" s="1125"/>
      <c r="G221" s="1125"/>
      <c r="H221" s="1125"/>
      <c r="I221" s="1125"/>
    </row>
    <row r="222" spans="1:9">
      <c r="A222" s="580" t="s">
        <v>1072</v>
      </c>
      <c r="C222" s="1162"/>
      <c r="D222" s="1162"/>
      <c r="E222" s="1162"/>
      <c r="F222" s="1162"/>
      <c r="G222" s="1162"/>
      <c r="H222" s="1162"/>
      <c r="I222" s="1162"/>
    </row>
    <row r="223" spans="1:9">
      <c r="C223" s="1125"/>
      <c r="D223" s="1125"/>
      <c r="E223" s="1125"/>
      <c r="F223" s="1125"/>
      <c r="G223" s="1125"/>
      <c r="H223" s="1125"/>
      <c r="I223" s="1125"/>
    </row>
    <row r="224" spans="1:9">
      <c r="A224" s="580" t="s">
        <v>1073</v>
      </c>
      <c r="C224" s="1162"/>
      <c r="D224" s="1162"/>
      <c r="E224" s="1162"/>
      <c r="F224" s="1162"/>
      <c r="G224" s="1162"/>
      <c r="H224" s="1162"/>
      <c r="I224" s="1162"/>
    </row>
    <row r="225" spans="1:9">
      <c r="C225" s="1125"/>
      <c r="D225" s="1125"/>
      <c r="E225" s="1125"/>
      <c r="F225" s="1125"/>
      <c r="G225" s="1125"/>
      <c r="H225" s="1125"/>
      <c r="I225" s="1125"/>
    </row>
    <row r="226" spans="1:9">
      <c r="C226" s="1162"/>
      <c r="D226" s="1162"/>
      <c r="E226" s="1162"/>
      <c r="F226" s="1162"/>
      <c r="G226" s="1162"/>
      <c r="H226" s="1162"/>
      <c r="I226" s="1162"/>
    </row>
    <row r="227" spans="1:9">
      <c r="C227" s="1125"/>
      <c r="D227" s="1125"/>
      <c r="E227" s="1125"/>
      <c r="F227" s="1125"/>
      <c r="G227" s="1125"/>
      <c r="H227" s="1125"/>
      <c r="I227" s="1125"/>
    </row>
    <row r="228" spans="1:9">
      <c r="A228" s="580" t="s">
        <v>1074</v>
      </c>
      <c r="C228" s="1162"/>
      <c r="D228" s="1162"/>
      <c r="E228" s="1162"/>
      <c r="F228" s="1162"/>
      <c r="G228" s="1162"/>
      <c r="H228" s="1162"/>
      <c r="I228" s="1162"/>
    </row>
    <row r="229" spans="1:9">
      <c r="C229" s="1125"/>
      <c r="D229" s="1125"/>
      <c r="E229" s="1125"/>
      <c r="F229" s="1125"/>
      <c r="G229" s="1125"/>
      <c r="H229" s="1125"/>
      <c r="I229" s="1125"/>
    </row>
    <row r="230" spans="1:9">
      <c r="A230" s="580" t="s">
        <v>1075</v>
      </c>
      <c r="C230" s="1162"/>
      <c r="D230" s="1162"/>
      <c r="E230" s="1162"/>
      <c r="F230" s="1162"/>
      <c r="G230" s="1162"/>
      <c r="H230" s="1162"/>
      <c r="I230" s="1162"/>
    </row>
    <row r="231" spans="1:9">
      <c r="C231" s="1125"/>
      <c r="D231" s="1125"/>
      <c r="E231" s="1125"/>
      <c r="F231" s="1125"/>
      <c r="G231" s="1125"/>
      <c r="H231" s="1125"/>
      <c r="I231" s="1125"/>
    </row>
    <row r="232" spans="1:9">
      <c r="A232" s="580" t="s">
        <v>1076</v>
      </c>
      <c r="C232" s="1162"/>
      <c r="D232" s="1162"/>
      <c r="E232" s="1162"/>
      <c r="F232" s="1162"/>
      <c r="G232" s="1162"/>
      <c r="H232" s="1162"/>
      <c r="I232" s="1162"/>
    </row>
    <row r="234" spans="1:9">
      <c r="A234" s="580" t="s">
        <v>1077</v>
      </c>
      <c r="C234" s="1162"/>
      <c r="D234" s="1162"/>
      <c r="E234" s="1162"/>
      <c r="F234" s="1162"/>
      <c r="G234" s="1162"/>
      <c r="H234" s="1162"/>
      <c r="I234" s="1162"/>
    </row>
  </sheetData>
  <mergeCells count="13">
    <mergeCell ref="C220:I220"/>
    <mergeCell ref="C210:I210"/>
    <mergeCell ref="C212:I212"/>
    <mergeCell ref="C214:I214"/>
    <mergeCell ref="C216:I216"/>
    <mergeCell ref="C218:I218"/>
    <mergeCell ref="C234:I234"/>
    <mergeCell ref="C222:I222"/>
    <mergeCell ref="C224:I224"/>
    <mergeCell ref="C226:I226"/>
    <mergeCell ref="C228:I228"/>
    <mergeCell ref="C230:I230"/>
    <mergeCell ref="C232:I2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D40"/>
  <sheetViews>
    <sheetView workbookViewId="0">
      <selection activeCell="B27" sqref="B27"/>
    </sheetView>
  </sheetViews>
  <sheetFormatPr defaultRowHeight="13.2"/>
  <cols>
    <col min="1" max="1" width="7.109375" style="957" customWidth="1"/>
    <col min="2" max="2" width="89.6640625" style="702" customWidth="1"/>
    <col min="3" max="3" width="10.5546875" customWidth="1"/>
    <col min="5" max="5" width="9.5546875" customWidth="1"/>
    <col min="7" max="7" width="10.109375" customWidth="1"/>
    <col min="10" max="10" width="7.6640625" customWidth="1"/>
  </cols>
  <sheetData>
    <row r="1" spans="1:4" ht="17.399999999999999">
      <c r="A1" s="956" t="s">
        <v>239</v>
      </c>
      <c r="D1" s="249"/>
    </row>
    <row r="3" spans="1:4">
      <c r="A3" s="958" t="s">
        <v>240</v>
      </c>
    </row>
    <row r="5" spans="1:4">
      <c r="B5" s="960" t="s">
        <v>846</v>
      </c>
    </row>
    <row r="6" spans="1:4" ht="52.2" customHeight="1">
      <c r="A6" s="957">
        <v>1</v>
      </c>
      <c r="B6" s="959" t="s">
        <v>849</v>
      </c>
    </row>
    <row r="8" spans="1:4">
      <c r="B8" s="960" t="s">
        <v>844</v>
      </c>
    </row>
    <row r="9" spans="1:4" ht="39" customHeight="1">
      <c r="A9" s="1127">
        <v>1</v>
      </c>
      <c r="B9" s="1128" t="s">
        <v>845</v>
      </c>
    </row>
    <row r="10" spans="1:4">
      <c r="B10" s="959"/>
    </row>
    <row r="11" spans="1:4" ht="26.4">
      <c r="A11" s="1127">
        <v>2</v>
      </c>
      <c r="B11" s="1128" t="s">
        <v>848</v>
      </c>
    </row>
    <row r="12" spans="1:4">
      <c r="B12" s="959"/>
    </row>
    <row r="13" spans="1:4">
      <c r="B13" s="960" t="s">
        <v>847</v>
      </c>
    </row>
    <row r="14" spans="1:4" ht="40.799999999999997" customHeight="1">
      <c r="A14" s="957">
        <v>1</v>
      </c>
      <c r="B14" s="959" t="s">
        <v>850</v>
      </c>
    </row>
    <row r="15" spans="1:4">
      <c r="A15" s="957">
        <v>2</v>
      </c>
      <c r="B15" s="959" t="s">
        <v>851</v>
      </c>
    </row>
    <row r="16" spans="1:4" ht="26.4">
      <c r="A16" s="957">
        <v>3</v>
      </c>
      <c r="B16" s="959" t="s">
        <v>848</v>
      </c>
    </row>
    <row r="18" spans="1:2">
      <c r="A18" s="958"/>
      <c r="B18" s="960" t="s">
        <v>852</v>
      </c>
    </row>
    <row r="19" spans="1:2" ht="34.799999999999997" customHeight="1">
      <c r="A19" s="957">
        <v>1</v>
      </c>
      <c r="B19" s="959" t="s">
        <v>853</v>
      </c>
    </row>
    <row r="20" spans="1:2">
      <c r="A20" s="960">
        <v>2</v>
      </c>
      <c r="B20" s="702" t="s">
        <v>854</v>
      </c>
    </row>
    <row r="29" spans="1:2">
      <c r="B29" s="543"/>
    </row>
    <row r="30" spans="1:2">
      <c r="A30" s="960"/>
      <c r="B30" s="543"/>
    </row>
    <row r="31" spans="1:2">
      <c r="A31" s="960"/>
      <c r="B31" s="543"/>
    </row>
    <row r="32" spans="1:2">
      <c r="A32" s="960"/>
      <c r="B32" s="543"/>
    </row>
    <row r="33" spans="1:2">
      <c r="A33" s="960"/>
      <c r="B33" s="543"/>
    </row>
    <row r="34" spans="1:2">
      <c r="A34" s="960"/>
      <c r="B34" s="543"/>
    </row>
    <row r="35" spans="1:2">
      <c r="B35" s="543"/>
    </row>
    <row r="37" spans="1:2">
      <c r="B37" s="961"/>
    </row>
    <row r="38" spans="1:2">
      <c r="B38" s="543"/>
    </row>
    <row r="39" spans="1:2">
      <c r="B39" s="543"/>
    </row>
    <row r="40" spans="1:2">
      <c r="B40" s="543"/>
    </row>
  </sheetData>
  <phoneticPr fontId="30"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43"/>
  </sheetPr>
  <dimension ref="A1:U60"/>
  <sheetViews>
    <sheetView workbookViewId="0">
      <selection activeCell="AA27" sqref="AA27:AA28"/>
    </sheetView>
  </sheetViews>
  <sheetFormatPr defaultColWidth="9.109375" defaultRowHeight="13.2"/>
  <cols>
    <col min="1" max="1" width="4.6640625" style="521" customWidth="1"/>
    <col min="2" max="2" width="6.109375" style="521" customWidth="1"/>
    <col min="3" max="3" width="3.88671875" style="521" hidden="1" customWidth="1"/>
    <col min="4" max="4" width="15.6640625" style="521" customWidth="1"/>
    <col min="5" max="6" width="12.6640625" style="521" customWidth="1"/>
    <col min="7" max="7" width="9.6640625" style="521" hidden="1" customWidth="1"/>
    <col min="8" max="8" width="7.6640625" style="521" hidden="1" customWidth="1"/>
    <col min="9" max="11" width="8.6640625" style="521" hidden="1" customWidth="1"/>
    <col min="12" max="12" width="6.6640625" style="521" hidden="1" customWidth="1"/>
    <col min="13" max="16" width="8.6640625" style="521" hidden="1" customWidth="1"/>
    <col min="17" max="17" width="12.88671875" style="521" customWidth="1"/>
    <col min="18" max="18" width="8.6640625" style="521" customWidth="1"/>
    <col min="19" max="19" width="10.109375" style="521" customWidth="1"/>
    <col min="20" max="20" width="8.33203125" style="521" customWidth="1"/>
    <col min="21" max="16384" width="9.109375" style="521"/>
  </cols>
  <sheetData>
    <row r="1" spans="1:21" s="44" customFormat="1" ht="28.8">
      <c r="A1" s="1163" t="str">
        <f>IF(AND(UPPER(LEFT(TRIM($D$8),11))="01",UPPER(LEFT(TRIM($D$9),3))&lt;&gt;"ELM"),"PANTA RETAIL LTD.","PANTA CONTRACTING LIMITED")</f>
        <v>PANTA CONTRACTING LIMITED</v>
      </c>
      <c r="B1" s="1163"/>
      <c r="C1" s="1163"/>
      <c r="D1" s="1163"/>
      <c r="E1" s="1163"/>
      <c r="F1" s="1163"/>
      <c r="G1" s="1163"/>
      <c r="H1" s="1163"/>
      <c r="I1" s="1163"/>
      <c r="J1" s="1163"/>
      <c r="K1" s="1163"/>
      <c r="L1" s="1163"/>
      <c r="M1" s="1163"/>
      <c r="N1" s="1163"/>
      <c r="O1" s="1163"/>
      <c r="P1" s="1163"/>
      <c r="Q1" s="1163"/>
      <c r="R1" s="1163"/>
      <c r="S1" s="1163"/>
      <c r="T1" s="1163"/>
      <c r="U1" s="519"/>
    </row>
    <row r="2" spans="1:21" s="44" customFormat="1" ht="17.399999999999999">
      <c r="A2" s="1164" t="str">
        <f>IF(UPPER(LEFT(TRIM($D$9),3))="ELM","ELEC-FOR-MECH INTERNAL QUOTATION","ELECTRICAL INTERNAL QUOTATION")</f>
        <v>ELEC-FOR-MECH INTERNAL QUOTATION</v>
      </c>
      <c r="B2" s="1164"/>
      <c r="C2" s="1164"/>
      <c r="D2" s="1164"/>
      <c r="E2" s="1164"/>
      <c r="F2" s="1164"/>
      <c r="G2" s="1164"/>
      <c r="H2" s="1164"/>
      <c r="I2" s="1164"/>
      <c r="J2" s="1164"/>
      <c r="K2" s="1164"/>
      <c r="L2" s="1164"/>
      <c r="M2" s="1164"/>
      <c r="N2" s="1164"/>
      <c r="O2" s="1164"/>
      <c r="P2" s="1164"/>
      <c r="Q2" s="1164"/>
      <c r="R2" s="1164"/>
      <c r="S2" s="1164"/>
      <c r="T2" s="1164"/>
    </row>
    <row r="3" spans="1:21" s="44" customFormat="1">
      <c r="A3" s="32"/>
      <c r="B3" s="520"/>
      <c r="C3" s="32"/>
      <c r="D3" s="32"/>
      <c r="E3" s="32"/>
      <c r="F3" s="32"/>
      <c r="G3" s="521"/>
      <c r="H3" s="521"/>
      <c r="I3" s="521"/>
      <c r="J3" s="521"/>
      <c r="K3" s="32"/>
      <c r="Q3" s="32"/>
      <c r="R3" s="32"/>
      <c r="S3" s="32"/>
      <c r="T3" s="32"/>
    </row>
    <row r="4" spans="1:21" s="44" customFormat="1">
      <c r="A4" s="521"/>
      <c r="B4" s="521"/>
      <c r="C4" s="521"/>
      <c r="D4" s="521"/>
      <c r="E4" s="521"/>
      <c r="F4" s="521"/>
      <c r="G4" s="521"/>
      <c r="H4" s="521"/>
      <c r="I4" s="521"/>
      <c r="J4" s="521"/>
      <c r="K4" s="521"/>
      <c r="L4" s="521"/>
      <c r="M4" s="521"/>
      <c r="N4" s="521"/>
      <c r="O4" s="521"/>
      <c r="P4" s="521"/>
      <c r="Q4" s="521"/>
      <c r="R4" s="521"/>
      <c r="S4" s="521"/>
      <c r="T4" s="521"/>
    </row>
    <row r="5" spans="1:21" s="44" customFormat="1">
      <c r="A5" s="32"/>
      <c r="B5" s="390" t="s">
        <v>220</v>
      </c>
      <c r="C5" s="521"/>
      <c r="D5" s="391" t="str">
        <f>IF(A2="Internal Quotation", "Mechanical Division","")</f>
        <v/>
      </c>
      <c r="E5" s="521"/>
      <c r="F5" s="521"/>
      <c r="G5" s="224"/>
      <c r="H5" s="224"/>
      <c r="I5" s="522"/>
      <c r="J5" s="522"/>
      <c r="K5" s="224"/>
      <c r="L5" s="523"/>
      <c r="M5" s="523"/>
      <c r="N5" s="523"/>
      <c r="O5" s="523"/>
      <c r="P5" s="523"/>
      <c r="Q5" s="521"/>
      <c r="R5" s="524" t="s">
        <v>184</v>
      </c>
      <c r="S5" s="525">
        <f ca="1">NOW()</f>
        <v>45925.647620023148</v>
      </c>
      <c r="T5" s="521"/>
    </row>
    <row r="6" spans="1:21" s="44" customFormat="1" ht="13.8">
      <c r="A6" s="526"/>
      <c r="B6" s="526" t="s">
        <v>0</v>
      </c>
      <c r="C6" s="392" t="s">
        <v>221</v>
      </c>
      <c r="D6" s="32" t="str">
        <f>ML_Sum!D1</f>
        <v>Eden Lesuire Group</v>
      </c>
      <c r="E6" s="32"/>
      <c r="F6" s="32"/>
      <c r="G6" s="521"/>
      <c r="H6" s="521"/>
      <c r="I6" s="521"/>
      <c r="J6" s="521"/>
      <c r="K6" s="32"/>
      <c r="Q6" s="32"/>
      <c r="R6" s="521"/>
      <c r="S6" s="521"/>
      <c r="T6" s="521"/>
    </row>
    <row r="7" spans="1:21" s="44" customFormat="1" ht="13.8">
      <c r="A7" s="526"/>
      <c r="B7" s="526" t="s">
        <v>2</v>
      </c>
      <c r="C7" s="392" t="s">
        <v>222</v>
      </c>
      <c r="D7" s="32" t="str">
        <f>ML_Sum!D2</f>
        <v>Intercontinental - Plant Retrofit</v>
      </c>
      <c r="E7" s="32"/>
      <c r="F7" s="32"/>
      <c r="G7" s="521"/>
      <c r="H7" s="521"/>
      <c r="I7" s="521"/>
      <c r="J7" s="521"/>
      <c r="K7" s="32"/>
      <c r="Q7" s="32"/>
      <c r="R7" s="521"/>
      <c r="S7" s="521"/>
      <c r="T7" s="521"/>
    </row>
    <row r="8" spans="1:21" s="44" customFormat="1" ht="13.8">
      <c r="A8" s="526"/>
      <c r="B8" s="526" t="s">
        <v>4</v>
      </c>
      <c r="C8" s="392" t="s">
        <v>223</v>
      </c>
      <c r="D8" s="32" t="str">
        <f>ML_Sum!D3</f>
        <v>Retrofitting works for the HVAC plant at Intercontinental Revision A</v>
      </c>
      <c r="E8" s="32"/>
      <c r="F8" s="32"/>
      <c r="G8" s="521"/>
      <c r="H8" s="521"/>
      <c r="I8" s="521"/>
      <c r="J8" s="521"/>
      <c r="K8" s="32"/>
      <c r="Q8" s="32"/>
      <c r="R8" s="521"/>
      <c r="S8" s="521"/>
      <c r="T8" s="521"/>
    </row>
    <row r="9" spans="1:21" s="44" customFormat="1" ht="13.8">
      <c r="A9" s="521"/>
      <c r="B9" s="390" t="s">
        <v>6</v>
      </c>
      <c r="C9" s="392" t="s">
        <v>224</v>
      </c>
      <c r="D9" s="32" t="str">
        <f>ML_Sum!D4</f>
        <v>ELM25-0465A</v>
      </c>
      <c r="E9" s="32"/>
      <c r="F9" s="32"/>
      <c r="G9" s="521"/>
      <c r="H9" s="521"/>
      <c r="I9" s="521"/>
      <c r="J9" s="521"/>
      <c r="K9" s="32"/>
      <c r="Q9" s="32"/>
      <c r="R9" s="32"/>
      <c r="S9" s="32"/>
      <c r="T9" s="32"/>
    </row>
    <row r="10" spans="1:21" s="44" customFormat="1" ht="13.8">
      <c r="A10" s="521"/>
      <c r="B10" s="527" t="s">
        <v>176</v>
      </c>
      <c r="C10" s="392" t="s">
        <v>225</v>
      </c>
      <c r="D10" s="32" t="str">
        <f>ML_Sum!D5</f>
        <v>Tender</v>
      </c>
      <c r="E10" s="521"/>
      <c r="F10" s="521"/>
      <c r="G10" s="521"/>
      <c r="H10" s="521"/>
      <c r="I10" s="521"/>
      <c r="J10" s="521"/>
      <c r="K10" s="521"/>
      <c r="L10" s="521"/>
      <c r="M10" s="521"/>
      <c r="N10" s="521"/>
      <c r="O10" s="521"/>
      <c r="P10" s="521"/>
      <c r="Q10" s="521"/>
      <c r="R10" s="521"/>
      <c r="S10" s="521"/>
      <c r="T10" s="521"/>
    </row>
    <row r="11" spans="1:21" s="44" customFormat="1">
      <c r="A11" s="521"/>
      <c r="B11" s="521"/>
      <c r="C11" s="224"/>
      <c r="D11" s="521"/>
      <c r="E11" s="521"/>
      <c r="F11" s="521"/>
      <c r="G11" s="521"/>
      <c r="H11" s="521"/>
      <c r="I11" s="521"/>
      <c r="J11" s="521"/>
      <c r="K11" s="521"/>
      <c r="L11" s="521"/>
      <c r="M11" s="521"/>
      <c r="N11" s="521"/>
      <c r="O11" s="521"/>
      <c r="P11" s="521"/>
      <c r="Q11" s="521"/>
      <c r="R11" s="521"/>
      <c r="S11" s="521"/>
      <c r="T11" s="521"/>
    </row>
    <row r="12" spans="1:21" s="44" customFormat="1">
      <c r="A12" s="32"/>
      <c r="B12" s="32"/>
      <c r="C12" s="32"/>
      <c r="D12" s="521"/>
      <c r="E12" s="521"/>
      <c r="F12" s="521"/>
      <c r="G12" s="521"/>
      <c r="H12" s="521"/>
      <c r="I12" s="521"/>
      <c r="J12" s="521"/>
      <c r="K12" s="521"/>
      <c r="L12" s="521"/>
      <c r="M12" s="521"/>
      <c r="N12" s="521"/>
      <c r="O12" s="521"/>
      <c r="P12" s="521"/>
      <c r="Q12" s="521"/>
      <c r="R12" s="521"/>
      <c r="S12" s="521"/>
      <c r="T12" s="521"/>
    </row>
    <row r="13" spans="1:21" s="44" customFormat="1">
      <c r="A13" s="32"/>
      <c r="B13" s="32"/>
      <c r="C13" s="32"/>
      <c r="D13" s="521"/>
      <c r="E13" s="521"/>
      <c r="F13" s="521"/>
      <c r="G13" s="521"/>
      <c r="H13" s="521"/>
      <c r="I13" s="521"/>
      <c r="J13" s="521"/>
      <c r="K13" s="521"/>
      <c r="L13" s="521"/>
      <c r="M13" s="521"/>
      <c r="N13" s="521"/>
      <c r="O13" s="521"/>
      <c r="P13" s="521"/>
      <c r="Q13" s="521"/>
      <c r="R13" s="521"/>
      <c r="S13" s="521"/>
      <c r="T13" s="521"/>
    </row>
    <row r="14" spans="1:21" s="44" customFormat="1">
      <c r="A14" s="32"/>
      <c r="B14" s="32"/>
      <c r="C14" s="32"/>
      <c r="D14" s="521"/>
      <c r="E14" s="521"/>
      <c r="F14" s="521"/>
      <c r="G14" s="521"/>
      <c r="H14" s="521"/>
      <c r="I14" s="521"/>
      <c r="J14" s="521"/>
      <c r="K14" s="521"/>
      <c r="L14" s="521"/>
      <c r="M14" s="521"/>
      <c r="N14" s="521"/>
      <c r="O14" s="521"/>
      <c r="P14" s="521"/>
      <c r="Q14" s="521"/>
      <c r="R14" s="521"/>
      <c r="S14" s="521"/>
      <c r="T14" s="521"/>
    </row>
    <row r="15" spans="1:21" s="44" customFormat="1">
      <c r="A15" s="393"/>
      <c r="B15" s="32"/>
      <c r="C15" s="32"/>
      <c r="D15" s="521"/>
      <c r="E15" s="521"/>
      <c r="F15" s="521"/>
      <c r="G15" s="521"/>
      <c r="H15" s="521"/>
      <c r="I15" s="521"/>
      <c r="J15" s="521"/>
      <c r="K15" s="521"/>
      <c r="L15" s="521"/>
      <c r="M15" s="521"/>
      <c r="N15" s="521"/>
      <c r="O15" s="521"/>
      <c r="P15" s="521"/>
      <c r="Q15" s="521"/>
      <c r="R15" s="521"/>
      <c r="S15" s="521"/>
      <c r="T15" s="521"/>
    </row>
    <row r="16" spans="1:21" s="44" customFormat="1">
      <c r="A16" s="32"/>
      <c r="B16" s="32"/>
      <c r="C16" s="32"/>
      <c r="D16" s="32"/>
      <c r="E16" s="32"/>
      <c r="F16" s="32"/>
      <c r="G16" s="521"/>
      <c r="H16" s="521"/>
      <c r="I16" s="521"/>
      <c r="J16" s="521"/>
      <c r="K16" s="32"/>
      <c r="Q16" s="32"/>
      <c r="R16" s="32"/>
      <c r="S16" s="32"/>
      <c r="T16" s="32"/>
    </row>
    <row r="17" spans="1:20" s="44" customFormat="1">
      <c r="A17" s="32"/>
      <c r="B17" s="32"/>
      <c r="C17" s="32"/>
      <c r="D17" s="32"/>
      <c r="E17" s="32"/>
      <c r="F17" s="32"/>
      <c r="G17" s="521"/>
      <c r="H17" s="521"/>
      <c r="I17" s="521"/>
      <c r="J17" s="521"/>
      <c r="K17" s="32"/>
      <c r="Q17" s="32"/>
      <c r="R17" s="32"/>
      <c r="S17" s="32"/>
      <c r="T17" s="32"/>
    </row>
    <row r="18" spans="1:20" s="44" customFormat="1">
      <c r="A18" s="32"/>
      <c r="B18" s="32"/>
      <c r="C18" s="32"/>
      <c r="D18" s="32"/>
      <c r="E18" s="32"/>
      <c r="F18" s="32"/>
      <c r="G18" s="521"/>
      <c r="H18" s="521"/>
      <c r="I18" s="521"/>
      <c r="J18" s="521"/>
      <c r="K18" s="32"/>
      <c r="Q18" s="32"/>
      <c r="R18" s="32"/>
      <c r="S18" s="32"/>
      <c r="T18" s="32"/>
    </row>
    <row r="19" spans="1:20" s="44" customFormat="1">
      <c r="A19" s="32"/>
      <c r="B19" s="32"/>
      <c r="C19" s="32"/>
      <c r="D19" s="32"/>
      <c r="E19" s="32"/>
      <c r="F19" s="32"/>
      <c r="G19" s="521"/>
      <c r="H19" s="521"/>
      <c r="I19" s="521"/>
      <c r="J19" s="521"/>
      <c r="K19" s="32"/>
      <c r="Q19" s="32"/>
      <c r="R19" s="32"/>
      <c r="S19" s="32"/>
      <c r="T19" s="32"/>
    </row>
    <row r="20" spans="1:20" s="44" customFormat="1">
      <c r="A20" s="32"/>
      <c r="B20" s="32"/>
      <c r="C20" s="32"/>
      <c r="D20" s="32"/>
      <c r="E20" s="32"/>
      <c r="F20" s="32"/>
      <c r="G20" s="521"/>
      <c r="H20" s="521"/>
      <c r="I20" s="521"/>
      <c r="J20" s="521"/>
      <c r="K20" s="32"/>
      <c r="Q20" s="32"/>
      <c r="R20" s="32"/>
      <c r="S20" s="32"/>
      <c r="T20" s="32"/>
    </row>
    <row r="21" spans="1:20" s="44" customFormat="1" ht="13.8">
      <c r="A21" s="521"/>
      <c r="B21" s="521"/>
      <c r="C21" s="521"/>
      <c r="D21" s="550" t="s">
        <v>269</v>
      </c>
      <c r="E21" s="413">
        <f ca="1">ML_Sum!R35</f>
        <v>129825.1275</v>
      </c>
      <c r="F21" s="392" t="str">
        <f>ML_Sum!D6</f>
        <v>VAT EXCL.</v>
      </c>
      <c r="G21" s="528" t="s">
        <v>185</v>
      </c>
      <c r="H21" s="528" t="s">
        <v>185</v>
      </c>
      <c r="I21" s="528" t="s">
        <v>185</v>
      </c>
      <c r="J21" s="528" t="s">
        <v>185</v>
      </c>
      <c r="K21" s="528" t="s">
        <v>185</v>
      </c>
      <c r="L21" s="528" t="s">
        <v>185</v>
      </c>
      <c r="M21" s="528" t="s">
        <v>185</v>
      </c>
      <c r="N21" s="528" t="s">
        <v>185</v>
      </c>
      <c r="O21" s="528" t="s">
        <v>185</v>
      </c>
      <c r="P21" s="528" t="s">
        <v>185</v>
      </c>
      <c r="Q21" s="529"/>
      <c r="R21" s="521"/>
      <c r="S21" s="521"/>
      <c r="T21" s="521"/>
    </row>
    <row r="22" spans="1:20" s="44" customFormat="1">
      <c r="A22" s="521"/>
      <c r="B22" s="521"/>
      <c r="C22" s="521"/>
      <c r="D22" s="550" t="s">
        <v>270</v>
      </c>
      <c r="E22" s="413">
        <f ca="1">ML_Sum!T35</f>
        <v>949.22999999999968</v>
      </c>
      <c r="F22" s="530"/>
      <c r="G22" s="529"/>
      <c r="H22" s="529"/>
      <c r="I22" s="529"/>
      <c r="J22" s="529"/>
      <c r="K22" s="529"/>
      <c r="L22" s="529"/>
      <c r="M22" s="529"/>
      <c r="N22" s="529"/>
      <c r="O22" s="529"/>
      <c r="P22" s="529"/>
      <c r="Q22" s="529"/>
      <c r="R22" s="32"/>
      <c r="S22" s="521"/>
      <c r="T22" s="32"/>
    </row>
    <row r="23" spans="1:20" s="44" customFormat="1">
      <c r="A23" s="521"/>
      <c r="B23" s="521"/>
      <c r="C23" s="521"/>
      <c r="D23" s="394"/>
      <c r="E23" s="530"/>
      <c r="F23" s="530"/>
      <c r="G23" s="529"/>
      <c r="H23" s="529"/>
      <c r="I23" s="529"/>
      <c r="J23" s="529"/>
      <c r="K23" s="529"/>
      <c r="L23" s="529"/>
      <c r="M23" s="529"/>
      <c r="N23" s="529"/>
      <c r="O23" s="529"/>
      <c r="P23" s="529"/>
      <c r="Q23" s="529"/>
      <c r="R23" s="32"/>
      <c r="S23" s="521"/>
      <c r="T23" s="32"/>
    </row>
    <row r="24" spans="1:20" s="44" customFormat="1">
      <c r="A24" s="521"/>
      <c r="B24" s="521"/>
      <c r="C24" s="521"/>
      <c r="D24" s="531"/>
      <c r="E24" s="529"/>
      <c r="F24" s="529"/>
      <c r="G24" s="529"/>
      <c r="H24" s="529"/>
      <c r="I24" s="529"/>
      <c r="J24" s="529"/>
      <c r="K24" s="529"/>
      <c r="L24" s="529"/>
      <c r="M24" s="529"/>
      <c r="N24" s="529"/>
      <c r="O24" s="529"/>
      <c r="P24" s="529"/>
      <c r="Q24" s="529"/>
      <c r="R24" s="32"/>
      <c r="S24" s="521"/>
      <c r="T24" s="32"/>
    </row>
    <row r="25" spans="1:20" s="44" customFormat="1">
      <c r="A25" s="395"/>
      <c r="B25" s="532"/>
      <c r="C25" s="532"/>
      <c r="D25" s="521"/>
      <c r="E25" s="521"/>
      <c r="F25" s="521"/>
      <c r="G25" s="521"/>
      <c r="H25" s="521"/>
      <c r="I25" s="521"/>
      <c r="J25" s="521"/>
      <c r="K25" s="521"/>
      <c r="L25" s="521"/>
      <c r="M25" s="521"/>
      <c r="N25" s="521"/>
      <c r="O25" s="521"/>
      <c r="P25" s="521"/>
      <c r="Q25" s="521"/>
      <c r="R25" s="32"/>
      <c r="S25" s="32"/>
      <c r="T25" s="32"/>
    </row>
    <row r="26" spans="1:20" s="44" customFormat="1">
      <c r="A26" s="391"/>
      <c r="B26" s="32"/>
      <c r="C26" s="32"/>
      <c r="D26" s="32"/>
      <c r="E26" s="32"/>
      <c r="F26" s="32"/>
      <c r="G26" s="521"/>
      <c r="H26" s="521"/>
      <c r="I26" s="521"/>
      <c r="J26" s="521"/>
      <c r="K26" s="32"/>
      <c r="Q26" s="32"/>
      <c r="R26" s="32"/>
      <c r="S26" s="32"/>
      <c r="T26" s="32"/>
    </row>
    <row r="27" spans="1:20" s="44" customFormat="1">
      <c r="A27" s="391"/>
      <c r="B27" s="32"/>
      <c r="C27" s="32"/>
      <c r="D27" s="32"/>
      <c r="E27" s="32"/>
      <c r="F27" s="32"/>
      <c r="G27" s="521"/>
      <c r="H27" s="521"/>
      <c r="I27" s="521"/>
      <c r="J27" s="521"/>
      <c r="K27" s="32"/>
      <c r="Q27" s="32"/>
      <c r="R27" s="32"/>
      <c r="S27" s="32"/>
      <c r="T27" s="32"/>
    </row>
    <row r="28" spans="1:20" s="44" customFormat="1">
      <c r="A28" s="391"/>
      <c r="B28" s="32"/>
      <c r="C28" s="32"/>
      <c r="D28" s="32"/>
      <c r="E28" s="32"/>
      <c r="F28" s="32"/>
      <c r="G28" s="521"/>
      <c r="H28" s="521"/>
      <c r="I28" s="521"/>
      <c r="J28" s="521"/>
      <c r="K28" s="32"/>
      <c r="Q28" s="32"/>
      <c r="R28" s="32"/>
      <c r="S28" s="32"/>
      <c r="T28" s="32"/>
    </row>
    <row r="29" spans="1:20" s="44" customFormat="1">
      <c r="A29" s="391"/>
      <c r="B29" s="32"/>
      <c r="C29" s="32"/>
      <c r="D29" s="32"/>
      <c r="E29" s="32"/>
      <c r="F29" s="32"/>
      <c r="G29" s="521"/>
      <c r="H29" s="521"/>
      <c r="I29" s="521"/>
      <c r="J29" s="521"/>
      <c r="K29" s="32"/>
      <c r="Q29" s="32"/>
      <c r="R29" s="32"/>
      <c r="S29" s="32"/>
      <c r="T29" s="32"/>
    </row>
    <row r="30" spans="1:20" s="44" customFormat="1">
      <c r="A30" s="391"/>
      <c r="B30" s="32"/>
      <c r="C30" s="32"/>
      <c r="D30" s="32"/>
      <c r="E30" s="32"/>
      <c r="F30" s="32"/>
      <c r="G30" s="521"/>
      <c r="H30" s="521"/>
      <c r="I30" s="521"/>
      <c r="J30" s="521"/>
      <c r="K30" s="32"/>
      <c r="Q30" s="32"/>
      <c r="R30" s="32"/>
      <c r="S30" s="32"/>
      <c r="T30" s="32"/>
    </row>
    <row r="31" spans="1:20" s="44" customFormat="1">
      <c r="A31" s="391"/>
      <c r="B31" s="32"/>
      <c r="C31" s="32"/>
      <c r="D31" s="32"/>
      <c r="E31" s="32"/>
      <c r="F31" s="32"/>
      <c r="G31" s="521"/>
      <c r="H31" s="521"/>
      <c r="I31" s="521"/>
      <c r="J31" s="521"/>
      <c r="K31" s="32"/>
      <c r="Q31" s="32"/>
      <c r="R31" s="32"/>
      <c r="S31" s="32"/>
      <c r="T31" s="32"/>
    </row>
    <row r="32" spans="1:20" s="44" customFormat="1">
      <c r="A32" s="391"/>
      <c r="B32" s="32"/>
      <c r="C32" s="32"/>
      <c r="D32" s="32"/>
      <c r="E32" s="32"/>
      <c r="F32" s="32"/>
      <c r="G32" s="521"/>
      <c r="H32" s="521"/>
      <c r="I32" s="521"/>
      <c r="J32" s="521"/>
      <c r="K32" s="32"/>
      <c r="Q32" s="32"/>
      <c r="R32" s="32"/>
      <c r="S32" s="32"/>
      <c r="T32" s="32"/>
    </row>
    <row r="33" spans="1:20" s="44" customFormat="1">
      <c r="A33" s="32"/>
      <c r="B33" s="32"/>
      <c r="C33" s="32"/>
      <c r="D33" s="32"/>
      <c r="E33" s="32"/>
      <c r="F33" s="32"/>
      <c r="G33" s="521"/>
      <c r="H33" s="521"/>
      <c r="I33" s="521"/>
      <c r="J33" s="521"/>
      <c r="K33" s="32"/>
      <c r="Q33" s="32"/>
      <c r="R33" s="32"/>
      <c r="S33" s="32"/>
      <c r="T33" s="32"/>
    </row>
    <row r="34" spans="1:20" s="44" customFormat="1">
      <c r="A34" s="521"/>
      <c r="B34" s="521"/>
      <c r="C34" s="521"/>
      <c r="D34" s="521"/>
      <c r="E34" s="521"/>
      <c r="F34" s="521"/>
      <c r="G34" s="521"/>
      <c r="H34" s="521"/>
      <c r="I34" s="521"/>
      <c r="J34" s="521"/>
      <c r="K34" s="521"/>
      <c r="L34" s="521"/>
      <c r="M34" s="521"/>
      <c r="N34" s="521"/>
      <c r="O34" s="521"/>
      <c r="P34" s="521"/>
      <c r="Q34" s="521"/>
      <c r="R34" s="521"/>
      <c r="S34" s="521"/>
      <c r="T34" s="521"/>
    </row>
    <row r="35" spans="1:20" s="44" customFormat="1">
      <c r="A35" s="521"/>
      <c r="B35" s="521"/>
      <c r="C35" s="521"/>
      <c r="D35" s="521"/>
      <c r="E35" s="521"/>
      <c r="F35" s="521"/>
      <c r="G35" s="521"/>
      <c r="H35" s="521"/>
      <c r="I35" s="521"/>
      <c r="J35" s="521"/>
      <c r="K35" s="521"/>
      <c r="L35" s="521"/>
      <c r="M35" s="521"/>
      <c r="N35" s="521"/>
      <c r="O35" s="521"/>
      <c r="P35" s="521"/>
      <c r="Q35" s="521"/>
      <c r="R35" s="521"/>
      <c r="S35" s="521"/>
      <c r="T35" s="521"/>
    </row>
    <row r="36" spans="1:20" s="44" customFormat="1">
      <c r="A36" s="521"/>
      <c r="B36" s="521"/>
      <c r="C36" s="521"/>
      <c r="D36" s="521"/>
      <c r="E36" s="521"/>
      <c r="F36" s="521"/>
      <c r="G36" s="521"/>
      <c r="H36" s="521"/>
      <c r="I36" s="521"/>
      <c r="J36" s="521"/>
      <c r="K36" s="521"/>
      <c r="L36" s="521"/>
      <c r="M36" s="521"/>
      <c r="N36" s="521"/>
      <c r="O36" s="521"/>
      <c r="P36" s="521"/>
      <c r="Q36" s="521"/>
      <c r="R36" s="521"/>
      <c r="S36" s="521"/>
      <c r="T36" s="521"/>
    </row>
    <row r="37" spans="1:20" s="44" customFormat="1">
      <c r="A37" s="32"/>
      <c r="B37" s="32"/>
      <c r="C37" s="32"/>
      <c r="D37" s="32"/>
      <c r="E37" s="32"/>
      <c r="F37" s="32"/>
      <c r="G37" s="521"/>
      <c r="H37" s="521"/>
      <c r="I37" s="521"/>
      <c r="J37" s="521"/>
      <c r="K37" s="32"/>
      <c r="Q37" s="32"/>
      <c r="R37" s="32"/>
      <c r="S37" s="32"/>
      <c r="T37" s="32"/>
    </row>
    <row r="38" spans="1:20" s="44" customFormat="1">
      <c r="A38" s="393"/>
      <c r="B38" s="533"/>
      <c r="C38" s="32"/>
      <c r="D38" s="32"/>
      <c r="E38" s="32"/>
      <c r="F38" s="32"/>
      <c r="G38" s="521"/>
      <c r="H38" s="521"/>
      <c r="I38" s="521"/>
      <c r="J38" s="521"/>
      <c r="K38" s="32"/>
      <c r="Q38" s="32"/>
      <c r="R38" s="32"/>
      <c r="S38" s="32"/>
      <c r="T38" s="32"/>
    </row>
    <row r="39" spans="1:20" s="44" customFormat="1">
      <c r="A39" s="391"/>
      <c r="B39" s="32"/>
      <c r="C39" s="32"/>
      <c r="D39" s="32"/>
      <c r="E39" s="32"/>
      <c r="F39" s="32"/>
      <c r="G39" s="521"/>
      <c r="H39" s="521"/>
      <c r="I39" s="521"/>
      <c r="J39" s="521"/>
      <c r="K39" s="32"/>
      <c r="Q39" s="32"/>
      <c r="R39" s="32"/>
      <c r="S39" s="32"/>
      <c r="T39" s="32"/>
    </row>
    <row r="40" spans="1:20" s="44" customFormat="1">
      <c r="A40" s="391"/>
      <c r="B40" s="32"/>
      <c r="C40" s="32"/>
      <c r="D40" s="32"/>
      <c r="E40" s="32"/>
      <c r="F40" s="32"/>
      <c r="G40" s="521"/>
      <c r="H40" s="521"/>
      <c r="I40" s="521"/>
      <c r="J40" s="521"/>
      <c r="K40" s="32"/>
      <c r="Q40" s="32"/>
      <c r="R40" s="32"/>
      <c r="S40" s="32"/>
      <c r="T40" s="32"/>
    </row>
    <row r="41" spans="1:20" s="44" customFormat="1">
      <c r="A41" s="391"/>
      <c r="B41" s="32"/>
      <c r="C41" s="32"/>
      <c r="D41" s="32"/>
      <c r="E41" s="32"/>
      <c r="F41" s="32"/>
      <c r="G41" s="521"/>
      <c r="H41" s="521"/>
      <c r="I41" s="521"/>
      <c r="J41" s="521"/>
      <c r="K41" s="32"/>
      <c r="Q41" s="32"/>
      <c r="R41" s="32"/>
      <c r="S41" s="32"/>
      <c r="T41" s="32"/>
    </row>
    <row r="42" spans="1:20" s="44" customFormat="1">
      <c r="A42" s="391"/>
      <c r="B42" s="32"/>
      <c r="C42" s="32"/>
      <c r="D42" s="32"/>
      <c r="E42" s="32"/>
      <c r="F42" s="32"/>
      <c r="G42" s="521"/>
      <c r="H42" s="521"/>
      <c r="I42" s="521"/>
      <c r="J42" s="521"/>
      <c r="K42" s="32"/>
      <c r="Q42" s="32"/>
      <c r="R42" s="32"/>
      <c r="S42" s="32"/>
      <c r="T42" s="32"/>
    </row>
    <row r="43" spans="1:20" s="44" customFormat="1">
      <c r="A43" s="391"/>
      <c r="B43" s="32"/>
      <c r="C43" s="32"/>
      <c r="D43" s="32"/>
      <c r="E43" s="32"/>
      <c r="F43" s="32"/>
      <c r="G43" s="521"/>
      <c r="H43" s="521"/>
      <c r="I43" s="521"/>
      <c r="J43" s="521"/>
      <c r="K43" s="32"/>
      <c r="Q43" s="32"/>
      <c r="R43" s="32"/>
      <c r="S43" s="32"/>
      <c r="T43" s="32"/>
    </row>
    <row r="44" spans="1:20" s="44" customFormat="1">
      <c r="A44" s="391"/>
      <c r="B44" s="32"/>
      <c r="C44" s="32"/>
      <c r="D44" s="32"/>
      <c r="E44" s="32"/>
      <c r="F44" s="32"/>
      <c r="G44" s="521"/>
      <c r="H44" s="521"/>
      <c r="I44" s="521"/>
      <c r="J44" s="521"/>
      <c r="K44" s="32"/>
      <c r="Q44" s="32"/>
      <c r="R44" s="32"/>
      <c r="S44" s="32"/>
      <c r="T44" s="32"/>
    </row>
    <row r="45" spans="1:20" s="44" customFormat="1">
      <c r="A45" s="391"/>
      <c r="B45" s="32"/>
      <c r="C45" s="32"/>
      <c r="D45" s="32"/>
      <c r="E45" s="32"/>
      <c r="F45" s="32"/>
      <c r="G45" s="521"/>
      <c r="H45" s="521"/>
      <c r="I45" s="521"/>
      <c r="J45" s="521"/>
      <c r="K45" s="32"/>
      <c r="Q45" s="32"/>
      <c r="R45" s="32"/>
      <c r="S45" s="32"/>
      <c r="T45" s="32"/>
    </row>
    <row r="46" spans="1:20" s="44" customFormat="1">
      <c r="A46" s="391"/>
      <c r="B46" s="32"/>
      <c r="C46" s="32"/>
      <c r="D46" s="32"/>
      <c r="E46" s="32"/>
      <c r="F46" s="32"/>
      <c r="G46" s="521"/>
      <c r="H46" s="521"/>
      <c r="I46" s="521"/>
      <c r="J46" s="521"/>
      <c r="K46" s="32"/>
      <c r="Q46" s="32"/>
      <c r="R46" s="32"/>
      <c r="S46" s="32"/>
      <c r="T46" s="32"/>
    </row>
    <row r="47" spans="1:20" s="44" customFormat="1">
      <c r="A47" s="391"/>
      <c r="B47" s="32"/>
      <c r="C47" s="32"/>
      <c r="D47" s="32"/>
      <c r="E47" s="32"/>
      <c r="F47" s="32"/>
      <c r="G47" s="521"/>
      <c r="H47" s="521"/>
      <c r="I47" s="521"/>
      <c r="J47" s="521"/>
      <c r="K47" s="32"/>
      <c r="Q47" s="32"/>
      <c r="R47" s="32"/>
      <c r="S47" s="32"/>
      <c r="T47" s="32"/>
    </row>
    <row r="48" spans="1:20" s="44" customFormat="1">
      <c r="A48" s="32"/>
      <c r="B48" s="32"/>
      <c r="C48" s="32"/>
      <c r="D48" s="32"/>
      <c r="E48" s="32"/>
      <c r="F48" s="32"/>
      <c r="G48" s="521"/>
      <c r="H48" s="521"/>
      <c r="I48" s="521"/>
      <c r="J48" s="521"/>
      <c r="K48" s="32"/>
      <c r="Q48" s="32"/>
      <c r="R48" s="32"/>
      <c r="S48" s="32"/>
      <c r="T48" s="32"/>
    </row>
    <row r="49" spans="1:20" s="44" customFormat="1">
      <c r="A49" s="32"/>
      <c r="B49" s="32"/>
      <c r="C49" s="32"/>
      <c r="D49" s="32"/>
      <c r="E49" s="32"/>
      <c r="F49" s="32"/>
      <c r="G49" s="521"/>
      <c r="H49" s="521"/>
      <c r="I49" s="521"/>
      <c r="J49" s="521"/>
      <c r="K49" s="32"/>
      <c r="Q49" s="32"/>
      <c r="R49" s="32"/>
      <c r="S49" s="32"/>
      <c r="T49" s="32"/>
    </row>
    <row r="50" spans="1:20" s="44" customFormat="1">
      <c r="A50" s="32"/>
      <c r="B50" s="32"/>
      <c r="C50" s="32"/>
      <c r="D50" s="32"/>
      <c r="E50" s="32"/>
      <c r="F50" s="32"/>
      <c r="G50" s="521"/>
      <c r="H50" s="521"/>
      <c r="I50" s="521"/>
      <c r="J50" s="521"/>
      <c r="K50" s="32"/>
      <c r="Q50" s="32"/>
      <c r="R50" s="32"/>
      <c r="S50" s="32"/>
      <c r="T50" s="32"/>
    </row>
    <row r="51" spans="1:20" s="44" customFormat="1">
      <c r="A51" s="32"/>
      <c r="B51" s="32"/>
      <c r="C51" s="32"/>
      <c r="D51" s="32"/>
      <c r="E51" s="32"/>
      <c r="F51" s="32"/>
      <c r="G51" s="521"/>
      <c r="H51" s="521"/>
      <c r="I51" s="521"/>
      <c r="J51" s="521"/>
      <c r="K51" s="32"/>
      <c r="Q51" s="32"/>
      <c r="R51" s="32"/>
      <c r="S51" s="32"/>
      <c r="T51" s="32"/>
    </row>
    <row r="52" spans="1:20" s="44" customFormat="1">
      <c r="A52" s="224"/>
      <c r="B52" s="224"/>
      <c r="C52" s="224"/>
      <c r="D52" s="32"/>
      <c r="E52" s="32"/>
      <c r="F52" s="32"/>
      <c r="G52" s="521"/>
      <c r="H52" s="521"/>
      <c r="I52" s="521"/>
      <c r="J52" s="521"/>
      <c r="K52" s="32"/>
      <c r="Q52" s="224"/>
      <c r="R52" s="224"/>
      <c r="S52" s="224"/>
      <c r="T52" s="32"/>
    </row>
    <row r="53" spans="1:20" s="44" customFormat="1">
      <c r="A53" s="32" t="s">
        <v>132</v>
      </c>
      <c r="B53" s="32"/>
      <c r="C53" s="32"/>
      <c r="D53" s="534"/>
      <c r="E53" s="32"/>
      <c r="F53" s="32"/>
      <c r="G53" s="521"/>
      <c r="H53" s="521"/>
      <c r="I53" s="521"/>
      <c r="J53" s="521"/>
      <c r="K53" s="32"/>
      <c r="Q53" s="32" t="s">
        <v>132</v>
      </c>
      <c r="R53" s="32"/>
      <c r="S53" s="32"/>
      <c r="T53" s="32"/>
    </row>
    <row r="54" spans="1:20" s="44" customFormat="1">
      <c r="A54" s="32" t="s">
        <v>133</v>
      </c>
      <c r="B54" s="32"/>
      <c r="C54" s="32"/>
      <c r="D54" s="32"/>
      <c r="E54" s="32"/>
      <c r="F54" s="32"/>
      <c r="G54" s="521"/>
      <c r="H54" s="521"/>
      <c r="I54" s="521"/>
      <c r="J54" s="521"/>
      <c r="K54" s="32"/>
      <c r="Q54" s="32" t="s">
        <v>186</v>
      </c>
      <c r="R54" s="32"/>
      <c r="S54" s="32"/>
      <c r="T54" s="32"/>
    </row>
    <row r="55" spans="1:20" s="44" customFormat="1" ht="13.8" thickBot="1">
      <c r="B55" s="32"/>
      <c r="C55" s="32"/>
      <c r="D55" s="32"/>
      <c r="E55" s="32"/>
      <c r="F55" s="32"/>
      <c r="G55" s="521"/>
      <c r="H55" s="521"/>
      <c r="I55" s="521"/>
      <c r="J55" s="521"/>
      <c r="K55" s="32"/>
      <c r="S55" s="32"/>
      <c r="T55" s="32"/>
    </row>
    <row r="56" spans="1:20" s="44" customFormat="1">
      <c r="B56" s="32"/>
      <c r="C56" s="32"/>
      <c r="D56" s="32"/>
      <c r="E56" s="32"/>
      <c r="F56" s="32"/>
      <c r="G56" s="521"/>
      <c r="H56" s="521"/>
      <c r="I56" s="521"/>
      <c r="J56" s="521"/>
      <c r="K56" s="32"/>
      <c r="Q56" s="535" t="s">
        <v>187</v>
      </c>
      <c r="R56" s="536"/>
      <c r="S56" s="32"/>
      <c r="T56" s="32"/>
    </row>
    <row r="57" spans="1:20" s="44" customFormat="1">
      <c r="A57" s="32"/>
      <c r="B57" s="32"/>
      <c r="C57" s="32"/>
      <c r="D57" s="32"/>
      <c r="E57" s="32"/>
      <c r="F57" s="32"/>
      <c r="G57" s="521"/>
      <c r="H57" s="521"/>
      <c r="I57" s="521"/>
      <c r="J57" s="521"/>
      <c r="K57" s="32"/>
      <c r="Q57" s="537" t="s">
        <v>265</v>
      </c>
      <c r="R57" s="538"/>
      <c r="S57" s="32"/>
      <c r="T57" s="32"/>
    </row>
    <row r="58" spans="1:20" s="44" customFormat="1">
      <c r="A58" s="32"/>
      <c r="B58" s="32"/>
      <c r="C58" s="32"/>
      <c r="D58" s="32"/>
      <c r="E58" s="32"/>
      <c r="F58" s="32"/>
      <c r="G58" s="521"/>
      <c r="H58" s="521"/>
      <c r="I58" s="521"/>
      <c r="J58" s="521"/>
      <c r="K58" s="32"/>
      <c r="Q58" s="537"/>
      <c r="R58" s="538"/>
      <c r="S58" s="32"/>
      <c r="T58" s="32"/>
    </row>
    <row r="59" spans="1:20" s="44" customFormat="1" ht="13.8" thickBot="1">
      <c r="A59" s="396"/>
      <c r="B59" s="32"/>
      <c r="C59" s="32"/>
      <c r="D59" s="32"/>
      <c r="E59" s="32"/>
      <c r="F59" s="32"/>
      <c r="G59" s="32"/>
      <c r="H59" s="32"/>
      <c r="I59" s="32"/>
      <c r="J59" s="32"/>
      <c r="K59" s="32"/>
      <c r="Q59" s="539" t="s">
        <v>188</v>
      </c>
      <c r="R59" s="540"/>
      <c r="S59" s="32"/>
      <c r="T59" s="32"/>
    </row>
    <row r="60" spans="1:20" s="44" customFormat="1">
      <c r="A60" s="374"/>
      <c r="B60" s="541"/>
      <c r="C60" s="541"/>
      <c r="D60" s="541"/>
      <c r="E60" s="541"/>
      <c r="F60" s="541"/>
      <c r="G60" s="32"/>
      <c r="H60" s="32"/>
      <c r="I60" s="32"/>
      <c r="J60" s="32"/>
      <c r="K60" s="32"/>
    </row>
  </sheetData>
  <sheetProtection formatCells="0" formatColumns="0" formatRows="0" insertColumns="0" insertRows="0"/>
  <mergeCells count="2">
    <mergeCell ref="A1:T1"/>
    <mergeCell ref="A2:T2"/>
  </mergeCells>
  <conditionalFormatting sqref="A1:T1">
    <cfRule type="cellIs" dxfId="24" priority="5" stopIfTrue="1" operator="equal">
      <formula>"PANTA RETAIL LTD."</formula>
    </cfRule>
  </conditionalFormatting>
  <conditionalFormatting sqref="C6:C10">
    <cfRule type="cellIs" dxfId="23" priority="3" stopIfTrue="1" operator="equal">
      <formula>"VAT INCLUDED"</formula>
    </cfRule>
    <cfRule type="cellIs" dxfId="22" priority="4" stopIfTrue="1" operator="equal">
      <formula>"VAT EXCLUDED"</formula>
    </cfRule>
  </conditionalFormatting>
  <conditionalFormatting sqref="F21">
    <cfRule type="cellIs" dxfId="21" priority="1" stopIfTrue="1" operator="equal">
      <formula>"VAT INCLUDED"</formula>
    </cfRule>
    <cfRule type="cellIs" dxfId="20"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indexed="10"/>
  </sheetPr>
  <dimension ref="A1:AD176"/>
  <sheetViews>
    <sheetView topLeftCell="A21" zoomScale="80" zoomScaleNormal="80" workbookViewId="0">
      <selection activeCell="F19" sqref="F19"/>
    </sheetView>
  </sheetViews>
  <sheetFormatPr defaultColWidth="9.109375" defaultRowHeight="13.2"/>
  <cols>
    <col min="1" max="1" width="9.77734375" style="34" customWidth="1"/>
    <col min="2" max="2" width="9.77734375" style="111" customWidth="1"/>
    <col min="3" max="3" width="6.6640625" style="34" hidden="1" customWidth="1"/>
    <col min="4" max="6" width="21.109375" style="34" customWidth="1"/>
    <col min="7" max="7" width="10" style="34" hidden="1" customWidth="1"/>
    <col min="8" max="14" width="8.6640625" style="34" hidden="1" customWidth="1"/>
    <col min="15" max="15" width="5.33203125" style="34" hidden="1" customWidth="1"/>
    <col min="16" max="16" width="7.6640625" style="34" hidden="1" customWidth="1"/>
    <col min="17" max="20" width="11.77734375" style="34" customWidth="1"/>
    <col min="21" max="21" width="8.6640625" style="34" customWidth="1"/>
    <col min="22" max="22" width="9.6640625" style="34" customWidth="1"/>
    <col min="23" max="23" width="6.6640625" style="34" customWidth="1"/>
    <col min="24" max="24" width="11.44140625" style="34" customWidth="1"/>
    <col min="25" max="16384" width="9.109375" style="34"/>
  </cols>
  <sheetData>
    <row r="1" spans="1:30" ht="19.5" customHeight="1">
      <c r="B1" s="442" t="s">
        <v>0</v>
      </c>
      <c r="C1" s="439">
        <v>1</v>
      </c>
      <c r="D1" s="1179" t="s">
        <v>835</v>
      </c>
      <c r="E1" s="1179"/>
      <c r="G1" s="440" t="b">
        <v>1</v>
      </c>
      <c r="H1" s="440" t="b">
        <v>1</v>
      </c>
      <c r="I1" s="243">
        <v>1</v>
      </c>
      <c r="J1" s="244">
        <f t="shared" ref="J1:J10" si="0">$Q109</f>
        <v>1</v>
      </c>
      <c r="K1" s="244">
        <f t="shared" ref="K1:K10" si="1">$Q119</f>
        <v>1</v>
      </c>
      <c r="L1" s="244">
        <f t="shared" ref="L1:L10" si="2">$Q129</f>
        <v>1</v>
      </c>
      <c r="M1" s="244">
        <f t="shared" ref="M1:M10" si="3">$Q139</f>
        <v>1</v>
      </c>
      <c r="N1" s="244">
        <f t="shared" ref="N1:N9" si="4">$Q149</f>
        <v>1</v>
      </c>
      <c r="O1" s="244">
        <f t="shared" ref="O1:O6" si="5">$Q159</f>
        <v>1</v>
      </c>
      <c r="P1" s="9"/>
      <c r="Q1" s="415" t="str">
        <f>IF(C1=1,"€","Curr?")</f>
        <v>€</v>
      </c>
      <c r="R1" s="342" t="s">
        <v>210</v>
      </c>
      <c r="S1" s="431" t="str">
        <f>IF($S$39="PRINT","R","Do Not Print")</f>
        <v>R</v>
      </c>
      <c r="T1" s="454">
        <v>1</v>
      </c>
      <c r="V1" s="99">
        <f t="array" ref="V1">IF(OR(X1=AREAS),1,0)</f>
        <v>1</v>
      </c>
      <c r="W1" s="430" t="s">
        <v>181</v>
      </c>
      <c r="X1" s="100" t="s">
        <v>178</v>
      </c>
      <c r="Y1" s="100" t="s">
        <v>178</v>
      </c>
      <c r="Z1" s="100" t="s">
        <v>178</v>
      </c>
      <c r="AA1" s="100" t="s">
        <v>178</v>
      </c>
      <c r="AB1" s="100" t="s">
        <v>178</v>
      </c>
      <c r="AC1" s="100" t="s">
        <v>178</v>
      </c>
      <c r="AD1" s="100" t="s">
        <v>178</v>
      </c>
    </row>
    <row r="2" spans="1:30" ht="21.75" customHeight="1">
      <c r="A2" s="433"/>
      <c r="B2" s="442" t="s">
        <v>2</v>
      </c>
      <c r="C2" s="438">
        <f>IF($D$6="VAT INCLUDED",1.18,1)*(1-$Q2)*$C$1</f>
        <v>1</v>
      </c>
      <c r="D2" s="1179" t="s">
        <v>836</v>
      </c>
      <c r="E2" s="1179"/>
      <c r="F2" s="335" t="s">
        <v>193</v>
      </c>
      <c r="G2" s="440" t="b">
        <v>1</v>
      </c>
      <c r="I2" s="243">
        <v>2</v>
      </c>
      <c r="J2" s="244">
        <f t="shared" si="0"/>
        <v>1</v>
      </c>
      <c r="K2" s="244">
        <f t="shared" si="1"/>
        <v>1</v>
      </c>
      <c r="L2" s="244">
        <f t="shared" si="2"/>
        <v>1</v>
      </c>
      <c r="M2" s="244">
        <f t="shared" si="3"/>
        <v>1</v>
      </c>
      <c r="N2" s="244">
        <f t="shared" si="4"/>
        <v>1</v>
      </c>
      <c r="O2" s="244">
        <f t="shared" si="5"/>
        <v>1</v>
      </c>
      <c r="P2" s="9"/>
      <c r="Q2" s="283"/>
      <c r="R2" s="299" t="str">
        <f>"A) " &amp; IF($S2=0,"",ROUND($S2,2) &amp; "-" &amp; ROUND($T2/$D$9,2))</f>
        <v>A) 1.35-1.35</v>
      </c>
      <c r="S2" s="274">
        <v>1.35</v>
      </c>
      <c r="T2" s="274">
        <f>$S2*$D9</f>
        <v>37.071000000000005</v>
      </c>
      <c r="V2" s="108"/>
      <c r="W2" s="108"/>
      <c r="X2" s="100" t="s">
        <v>178</v>
      </c>
      <c r="Y2" s="100" t="s">
        <v>178</v>
      </c>
      <c r="Z2" s="100" t="s">
        <v>178</v>
      </c>
      <c r="AA2" s="100" t="s">
        <v>178</v>
      </c>
      <c r="AB2" s="100" t="s">
        <v>178</v>
      </c>
      <c r="AC2" s="100" t="s">
        <v>178</v>
      </c>
      <c r="AD2" s="100" t="s">
        <v>178</v>
      </c>
    </row>
    <row r="3" spans="1:30" ht="21" customHeight="1">
      <c r="A3" s="434"/>
      <c r="B3" s="442" t="s">
        <v>4</v>
      </c>
      <c r="C3" s="438">
        <f t="shared" ref="C3:C12" si="6">IF($D$6="VAT INCLUDED",1.18,1)*(1-$Q3)*$C$1</f>
        <v>1</v>
      </c>
      <c r="D3" s="1179" t="s">
        <v>1113</v>
      </c>
      <c r="E3" s="1179"/>
      <c r="F3" s="335" t="s">
        <v>770</v>
      </c>
      <c r="G3" s="440" t="b">
        <v>1</v>
      </c>
      <c r="I3" s="243">
        <v>3</v>
      </c>
      <c r="J3" s="244">
        <f t="shared" si="0"/>
        <v>1</v>
      </c>
      <c r="K3" s="244">
        <f t="shared" si="1"/>
        <v>1</v>
      </c>
      <c r="L3" s="244">
        <f t="shared" si="2"/>
        <v>1</v>
      </c>
      <c r="M3" s="244">
        <f t="shared" si="3"/>
        <v>1</v>
      </c>
      <c r="N3" s="244">
        <f t="shared" si="4"/>
        <v>1</v>
      </c>
      <c r="O3" s="244">
        <f t="shared" si="5"/>
        <v>1</v>
      </c>
      <c r="P3" s="9"/>
      <c r="Q3" s="283"/>
      <c r="R3" s="300" t="str">
        <f>"B) " &amp; IF($S3=0,"",ROUND($S3,2) &amp; "-" &amp; ROUND($T3/$D$9,2))</f>
        <v>B) 1.35-1.66</v>
      </c>
      <c r="S3" s="274">
        <v>1.35</v>
      </c>
      <c r="T3" s="274">
        <f>$S3*$D10</f>
        <v>45.521999999999998</v>
      </c>
      <c r="V3" s="108"/>
      <c r="W3" s="108"/>
      <c r="X3" s="100" t="s">
        <v>178</v>
      </c>
      <c r="Y3" s="100" t="s">
        <v>178</v>
      </c>
      <c r="Z3" s="100" t="s">
        <v>178</v>
      </c>
      <c r="AA3" s="100" t="s">
        <v>178</v>
      </c>
      <c r="AB3" s="100" t="s">
        <v>178</v>
      </c>
      <c r="AC3" s="100" t="s">
        <v>178</v>
      </c>
      <c r="AD3" s="100" t="s">
        <v>178</v>
      </c>
    </row>
    <row r="4" spans="1:30" ht="15.75" customHeight="1">
      <c r="A4" s="435"/>
      <c r="B4" s="443" t="s">
        <v>246</v>
      </c>
      <c r="C4" s="356">
        <f t="shared" si="6"/>
        <v>1</v>
      </c>
      <c r="D4" s="11" t="s">
        <v>1114</v>
      </c>
      <c r="E4" s="260"/>
      <c r="F4" s="335" t="s">
        <v>875</v>
      </c>
      <c r="G4" s="440" t="b">
        <v>1</v>
      </c>
      <c r="I4" s="243">
        <v>4</v>
      </c>
      <c r="J4" s="244">
        <f t="shared" si="0"/>
        <v>1</v>
      </c>
      <c r="K4" s="244">
        <f t="shared" si="1"/>
        <v>1</v>
      </c>
      <c r="L4" s="244">
        <f t="shared" si="2"/>
        <v>1</v>
      </c>
      <c r="M4" s="244">
        <f t="shared" si="3"/>
        <v>1</v>
      </c>
      <c r="N4" s="244">
        <f t="shared" si="4"/>
        <v>1</v>
      </c>
      <c r="O4" s="244">
        <f t="shared" si="5"/>
        <v>1</v>
      </c>
      <c r="P4" s="9"/>
      <c r="Q4" s="283"/>
      <c r="R4" s="301" t="str">
        <f>"C) " &amp; IF($S4=0,"",ROUND($S4,2) &amp; "-" &amp; ROUND($T4/$D$9,2))</f>
        <v>C) 1.35-1.47</v>
      </c>
      <c r="S4" s="274">
        <v>1.35</v>
      </c>
      <c r="T4" s="274">
        <f>$S4*$D11</f>
        <v>40.5</v>
      </c>
      <c r="V4" s="108"/>
      <c r="W4" s="108"/>
      <c r="X4" s="100" t="s">
        <v>178</v>
      </c>
      <c r="Y4" s="100" t="s">
        <v>178</v>
      </c>
      <c r="Z4" s="100" t="s">
        <v>178</v>
      </c>
      <c r="AA4" s="100" t="s">
        <v>178</v>
      </c>
      <c r="AB4" s="100" t="s">
        <v>178</v>
      </c>
      <c r="AC4" s="100" t="s">
        <v>178</v>
      </c>
      <c r="AD4" s="100" t="s">
        <v>178</v>
      </c>
    </row>
    <row r="5" spans="1:30" ht="13.8">
      <c r="A5" s="433"/>
      <c r="B5" s="444" t="s">
        <v>191</v>
      </c>
      <c r="C5" s="356">
        <f t="shared" si="6"/>
        <v>1</v>
      </c>
      <c r="D5" s="11" t="s">
        <v>837</v>
      </c>
      <c r="E5" s="284"/>
      <c r="F5" s="335" t="s">
        <v>885</v>
      </c>
      <c r="G5" s="440" t="b">
        <v>1</v>
      </c>
      <c r="I5" s="243">
        <v>5</v>
      </c>
      <c r="J5" s="244">
        <f t="shared" si="0"/>
        <v>1</v>
      </c>
      <c r="K5" s="244">
        <f t="shared" si="1"/>
        <v>1</v>
      </c>
      <c r="L5" s="244">
        <f t="shared" si="2"/>
        <v>1</v>
      </c>
      <c r="M5" s="244">
        <f t="shared" si="3"/>
        <v>1</v>
      </c>
      <c r="N5" s="244">
        <f t="shared" si="4"/>
        <v>1</v>
      </c>
      <c r="O5" s="244">
        <f t="shared" si="5"/>
        <v>1</v>
      </c>
      <c r="P5" s="10"/>
      <c r="Q5" s="283"/>
      <c r="R5" s="302" t="str">
        <f>"D) " &amp; IF($S5=0,"",ROUND($S5,2) &amp; "-" &amp; ROUND($T5/$D$9,2))</f>
        <v>D) 1-1.35</v>
      </c>
      <c r="S5" s="274">
        <v>1</v>
      </c>
      <c r="T5" s="274">
        <f>S2*D9</f>
        <v>37.071000000000005</v>
      </c>
      <c r="V5" s="108"/>
      <c r="W5" s="108"/>
      <c r="X5" s="100" t="s">
        <v>178</v>
      </c>
      <c r="Y5" s="100" t="s">
        <v>178</v>
      </c>
      <c r="Z5" s="100" t="s">
        <v>178</v>
      </c>
      <c r="AA5" s="100" t="s">
        <v>178</v>
      </c>
      <c r="AB5" s="100" t="s">
        <v>178</v>
      </c>
      <c r="AC5" s="100" t="s">
        <v>178</v>
      </c>
      <c r="AD5" s="100" t="s">
        <v>178</v>
      </c>
    </row>
    <row r="6" spans="1:30" ht="13.8">
      <c r="A6" s="435"/>
      <c r="B6" s="444" t="s">
        <v>242</v>
      </c>
      <c r="C6" s="356">
        <f t="shared" si="6"/>
        <v>1</v>
      </c>
      <c r="D6" s="357" t="s">
        <v>205</v>
      </c>
      <c r="E6"/>
      <c r="F6" s="335"/>
      <c r="G6" s="440" t="b">
        <v>1</v>
      </c>
      <c r="I6" s="243">
        <v>6</v>
      </c>
      <c r="J6" s="244">
        <f t="shared" si="0"/>
        <v>1</v>
      </c>
      <c r="K6" s="244">
        <f t="shared" si="1"/>
        <v>1</v>
      </c>
      <c r="L6" s="244">
        <f t="shared" si="2"/>
        <v>1</v>
      </c>
      <c r="M6" s="244">
        <f t="shared" si="3"/>
        <v>1</v>
      </c>
      <c r="N6" s="244">
        <f t="shared" si="4"/>
        <v>1</v>
      </c>
      <c r="O6" s="244">
        <f t="shared" si="5"/>
        <v>1</v>
      </c>
      <c r="P6" s="10"/>
      <c r="Q6" s="283"/>
      <c r="R6" s="303" t="str">
        <f>"E) " &amp; IF($S6=0,"",ROUND($S6,2) &amp; "-" &amp; ROUND($T6/$D$9,2))</f>
        <v xml:space="preserve">E) </v>
      </c>
      <c r="S6" s="274"/>
      <c r="T6" s="274"/>
      <c r="V6" s="108"/>
      <c r="W6" s="108"/>
      <c r="X6" s="100" t="s">
        <v>178</v>
      </c>
      <c r="Y6" s="100" t="s">
        <v>178</v>
      </c>
      <c r="Z6" s="100" t="s">
        <v>178</v>
      </c>
      <c r="AA6" s="100" t="s">
        <v>178</v>
      </c>
      <c r="AB6" s="100" t="s">
        <v>178</v>
      </c>
      <c r="AC6" s="100" t="s">
        <v>178</v>
      </c>
      <c r="AD6" s="100" t="s">
        <v>178</v>
      </c>
    </row>
    <row r="7" spans="1:30" ht="13.8">
      <c r="A7" s="435"/>
      <c r="B7" s="444" t="s">
        <v>12</v>
      </c>
      <c r="C7" s="356">
        <f t="shared" si="6"/>
        <v>1</v>
      </c>
      <c r="D7" s="12">
        <v>45862</v>
      </c>
      <c r="E7"/>
      <c r="F7" s="335"/>
      <c r="G7" s="440" t="b">
        <v>1</v>
      </c>
      <c r="I7" s="243">
        <v>7</v>
      </c>
      <c r="J7" s="244">
        <f t="shared" si="0"/>
        <v>1</v>
      </c>
      <c r="K7" s="244">
        <f t="shared" si="1"/>
        <v>1</v>
      </c>
      <c r="L7" s="244">
        <f t="shared" si="2"/>
        <v>1</v>
      </c>
      <c r="M7" s="244">
        <f t="shared" si="3"/>
        <v>1</v>
      </c>
      <c r="N7" s="244">
        <f t="shared" si="4"/>
        <v>1</v>
      </c>
      <c r="O7" s="244"/>
      <c r="P7" s="110"/>
      <c r="Q7" s="283"/>
      <c r="R7" s="304" t="str">
        <f>"F) " &amp; IF($S7=0,"",ROUND($S7,2) &amp; "-" &amp; ROUND($T7/$D$9,2))</f>
        <v xml:space="preserve">F) </v>
      </c>
      <c r="S7" s="274"/>
      <c r="T7" s="274"/>
      <c r="V7" s="108"/>
      <c r="W7" s="108"/>
      <c r="X7" s="100" t="s">
        <v>178</v>
      </c>
      <c r="Y7" s="100" t="s">
        <v>178</v>
      </c>
      <c r="Z7" s="100" t="s">
        <v>178</v>
      </c>
      <c r="AA7" s="100" t="s">
        <v>178</v>
      </c>
      <c r="AB7" s="100" t="s">
        <v>178</v>
      </c>
      <c r="AC7" s="100" t="s">
        <v>178</v>
      </c>
      <c r="AD7" s="100" t="s">
        <v>178</v>
      </c>
    </row>
    <row r="8" spans="1:30" ht="13.8">
      <c r="A8" s="433"/>
      <c r="B8" s="444" t="s">
        <v>14</v>
      </c>
      <c r="C8" s="356">
        <f t="shared" si="6"/>
        <v>1</v>
      </c>
      <c r="D8" s="13" t="s">
        <v>838</v>
      </c>
      <c r="E8"/>
      <c r="F8" s="335"/>
      <c r="G8" s="440" t="b">
        <v>1</v>
      </c>
      <c r="I8" s="243">
        <v>8</v>
      </c>
      <c r="J8" s="244">
        <f t="shared" si="0"/>
        <v>1</v>
      </c>
      <c r="K8" s="244">
        <f t="shared" si="1"/>
        <v>1</v>
      </c>
      <c r="L8" s="244">
        <f t="shared" si="2"/>
        <v>1</v>
      </c>
      <c r="M8" s="244">
        <f t="shared" si="3"/>
        <v>1</v>
      </c>
      <c r="N8" s="244">
        <f t="shared" si="4"/>
        <v>1</v>
      </c>
      <c r="O8" s="244"/>
      <c r="P8" s="14"/>
      <c r="Q8" s="283"/>
      <c r="R8" s="305" t="str">
        <f>"G) " &amp; IF($S8=0,"",ROUND($S8,2) &amp; "-" &amp; ROUND($T8/$D$9,2))</f>
        <v xml:space="preserve">G) </v>
      </c>
      <c r="S8" s="274"/>
      <c r="T8" s="274"/>
      <c r="V8" s="108"/>
      <c r="W8" s="108"/>
      <c r="X8" s="100" t="s">
        <v>178</v>
      </c>
      <c r="Y8" s="100" t="s">
        <v>178</v>
      </c>
      <c r="Z8" s="100" t="s">
        <v>178</v>
      </c>
      <c r="AA8" s="100" t="s">
        <v>178</v>
      </c>
      <c r="AB8" s="100" t="s">
        <v>178</v>
      </c>
      <c r="AC8" s="100" t="s">
        <v>178</v>
      </c>
      <c r="AD8" s="100" t="s">
        <v>178</v>
      </c>
    </row>
    <row r="9" spans="1:30" ht="13.8">
      <c r="A9" s="435"/>
      <c r="B9" s="444" t="s">
        <v>243</v>
      </c>
      <c r="C9" s="356">
        <f t="shared" si="6"/>
        <v>1</v>
      </c>
      <c r="D9" s="548">
        <v>27.46</v>
      </c>
      <c r="E9" s="13" t="s">
        <v>876</v>
      </c>
      <c r="F9" s="335"/>
      <c r="G9" s="440" t="b">
        <v>1</v>
      </c>
      <c r="I9" s="243">
        <v>9</v>
      </c>
      <c r="J9" s="244">
        <f t="shared" si="0"/>
        <v>1</v>
      </c>
      <c r="K9" s="244">
        <f t="shared" si="1"/>
        <v>1</v>
      </c>
      <c r="L9" s="244">
        <f t="shared" si="2"/>
        <v>1</v>
      </c>
      <c r="M9" s="244">
        <f t="shared" si="3"/>
        <v>1</v>
      </c>
      <c r="N9" s="244">
        <f t="shared" si="4"/>
        <v>1</v>
      </c>
      <c r="O9" s="244"/>
      <c r="P9" s="14"/>
      <c r="Q9" s="283"/>
      <c r="R9" s="306" t="str">
        <f>"H) " &amp; IF($S9=0,"",ROUND($S9,2) &amp; "-" &amp; ROUND($T9/$D$9,2))</f>
        <v xml:space="preserve">H) </v>
      </c>
      <c r="S9" s="274"/>
      <c r="T9" s="274"/>
      <c r="V9" s="551"/>
      <c r="W9" s="108"/>
      <c r="X9" s="100" t="s">
        <v>178</v>
      </c>
      <c r="Y9" s="100" t="s">
        <v>178</v>
      </c>
      <c r="Z9" s="100" t="s">
        <v>178</v>
      </c>
      <c r="AA9" s="100" t="s">
        <v>178</v>
      </c>
      <c r="AB9" s="100" t="s">
        <v>178</v>
      </c>
      <c r="AC9" s="100" t="s">
        <v>178</v>
      </c>
      <c r="AD9" s="100" t="s">
        <v>178</v>
      </c>
    </row>
    <row r="10" spans="1:30" ht="13.8">
      <c r="A10" s="435"/>
      <c r="B10" s="445"/>
      <c r="C10" s="356">
        <f t="shared" si="6"/>
        <v>1</v>
      </c>
      <c r="D10" s="548">
        <v>33.72</v>
      </c>
      <c r="E10" s="13" t="s">
        <v>877</v>
      </c>
      <c r="F10" s="335"/>
      <c r="G10" s="440" t="b">
        <v>1</v>
      </c>
      <c r="I10" s="243">
        <v>10</v>
      </c>
      <c r="J10" s="244">
        <f t="shared" si="0"/>
        <v>1</v>
      </c>
      <c r="K10" s="244">
        <f t="shared" si="1"/>
        <v>1</v>
      </c>
      <c r="L10" s="244">
        <f t="shared" si="2"/>
        <v>1</v>
      </c>
      <c r="M10" s="244">
        <f t="shared" si="3"/>
        <v>1</v>
      </c>
      <c r="N10" s="244">
        <f>$Q158</f>
        <v>1</v>
      </c>
      <c r="O10" s="244">
        <f>Q108</f>
        <v>1</v>
      </c>
      <c r="P10" s="14"/>
      <c r="Q10" s="283"/>
      <c r="R10" s="307" t="str">
        <f>" I) " &amp; IF($S10=0,"",ROUND($S10,2) &amp; "-" &amp; ROUND($T10/$D$9,2))</f>
        <v xml:space="preserve"> I) </v>
      </c>
      <c r="S10" s="274"/>
      <c r="T10" s="274"/>
      <c r="V10" s="108"/>
      <c r="W10" s="108"/>
      <c r="X10" s="100" t="s">
        <v>178</v>
      </c>
      <c r="Y10" s="100" t="s">
        <v>178</v>
      </c>
      <c r="Z10" s="100" t="s">
        <v>178</v>
      </c>
      <c r="AA10" s="100" t="s">
        <v>178</v>
      </c>
      <c r="AB10" s="100" t="s">
        <v>178</v>
      </c>
      <c r="AC10" s="100" t="s">
        <v>178</v>
      </c>
      <c r="AD10" s="100" t="s">
        <v>178</v>
      </c>
    </row>
    <row r="11" spans="1:30" ht="14.4">
      <c r="A11" s="436"/>
      <c r="B11" s="446"/>
      <c r="C11" s="356">
        <f t="shared" si="6"/>
        <v>1</v>
      </c>
      <c r="D11" s="965">
        <v>30</v>
      </c>
      <c r="E11" s="13" t="s">
        <v>878</v>
      </c>
      <c r="F11" s="335"/>
      <c r="H11"/>
      <c r="I11" s="245"/>
      <c r="J11" s="245"/>
      <c r="K11" s="245"/>
      <c r="L11" s="245"/>
      <c r="M11" s="245"/>
      <c r="N11" s="245"/>
      <c r="O11" s="245"/>
      <c r="P11" s="106"/>
      <c r="Q11" s="283"/>
      <c r="R11" s="308" t="str">
        <f>"J) " &amp; IF($S11=0,"",ROUND($S11,2) &amp; "-" &amp; ROUND($T11/$D$9,2))</f>
        <v xml:space="preserve">J) </v>
      </c>
      <c r="S11" s="274"/>
      <c r="T11" s="274"/>
      <c r="X11" s="100" t="s">
        <v>178</v>
      </c>
      <c r="Y11" s="100" t="s">
        <v>178</v>
      </c>
      <c r="Z11" s="100" t="s">
        <v>178</v>
      </c>
      <c r="AA11" s="100" t="s">
        <v>178</v>
      </c>
      <c r="AB11" s="100" t="s">
        <v>178</v>
      </c>
      <c r="AC11" s="100" t="s">
        <v>178</v>
      </c>
      <c r="AD11" s="100" t="s">
        <v>178</v>
      </c>
    </row>
    <row r="12" spans="1:30" ht="12.75" customHeight="1" thickBot="1">
      <c r="A12" s="433"/>
      <c r="B12"/>
      <c r="C12" s="356">
        <f t="shared" si="6"/>
        <v>1</v>
      </c>
      <c r="D12" s="291"/>
      <c r="E12" s="292"/>
      <c r="F12" s="336"/>
      <c r="G12" s="259" t="s">
        <v>29</v>
      </c>
      <c r="H12" s="259" t="s">
        <v>29</v>
      </c>
      <c r="I12" s="259" t="s">
        <v>29</v>
      </c>
      <c r="J12" s="259" t="s">
        <v>29</v>
      </c>
      <c r="K12" s="259" t="s">
        <v>29</v>
      </c>
      <c r="L12" s="259" t="s">
        <v>29</v>
      </c>
      <c r="M12" s="259" t="s">
        <v>29</v>
      </c>
      <c r="N12" s="259" t="s">
        <v>29</v>
      </c>
      <c r="O12" s="259" t="s">
        <v>29</v>
      </c>
      <c r="P12" s="259" t="s">
        <v>29</v>
      </c>
      <c r="Q12" s="373"/>
      <c r="R12" s="340" t="s">
        <v>211</v>
      </c>
      <c r="S12" s="416" t="s">
        <v>31</v>
      </c>
      <c r="T12" s="417" t="s">
        <v>32</v>
      </c>
      <c r="X12" s="100" t="s">
        <v>178</v>
      </c>
      <c r="Y12" s="100" t="s">
        <v>178</v>
      </c>
      <c r="Z12" s="100" t="s">
        <v>178</v>
      </c>
      <c r="AA12" s="100" t="s">
        <v>178</v>
      </c>
      <c r="AB12" s="100" t="s">
        <v>178</v>
      </c>
      <c r="AC12" s="100" t="s">
        <v>178</v>
      </c>
      <c r="AD12" s="100" t="s">
        <v>178</v>
      </c>
    </row>
    <row r="13" spans="1:30" ht="17.25" customHeight="1" thickBot="1">
      <c r="A13" s="367"/>
      <c r="B13" s="368" t="s">
        <v>219</v>
      </c>
      <c r="C13" s="369"/>
      <c r="D13" s="370"/>
      <c r="E13" s="371"/>
      <c r="F13" s="372"/>
      <c r="G13" s="293" t="s">
        <v>201</v>
      </c>
      <c r="H13" s="294" t="s">
        <v>202</v>
      </c>
      <c r="I13" s="295" t="s">
        <v>21</v>
      </c>
      <c r="J13" s="295" t="s">
        <v>22</v>
      </c>
      <c r="K13" s="296" t="s">
        <v>23</v>
      </c>
      <c r="L13" s="293" t="s">
        <v>24</v>
      </c>
      <c r="M13" s="293" t="s">
        <v>25</v>
      </c>
      <c r="N13" s="294" t="s">
        <v>203</v>
      </c>
      <c r="O13" s="293" t="s">
        <v>27</v>
      </c>
      <c r="P13" s="297" t="s">
        <v>28</v>
      </c>
      <c r="Q13" s="365" t="s">
        <v>199</v>
      </c>
      <c r="R13" s="341" t="s">
        <v>212</v>
      </c>
      <c r="S13" s="418" t="s">
        <v>237</v>
      </c>
      <c r="T13" s="447">
        <f>SUM(Q108:Q164)/57</f>
        <v>1</v>
      </c>
      <c r="X13" s="100"/>
      <c r="Y13" s="100"/>
      <c r="Z13" s="100"/>
      <c r="AA13" s="100"/>
      <c r="AB13" s="100"/>
      <c r="AC13" s="100"/>
      <c r="AD13" s="100"/>
    </row>
    <row r="14" spans="1:30" ht="27.75" customHeight="1">
      <c r="A14" s="109"/>
      <c r="B14" s="1181" t="str">
        <f>IF($D$6&lt;&gt;"VAT EXCL.", "QUOTE ISSUED WITH                    VAT INCLUDED", "")</f>
        <v/>
      </c>
      <c r="C14" s="1181"/>
      <c r="D14" s="1181"/>
      <c r="E14" s="1181"/>
      <c r="F14" s="5"/>
      <c r="G14" s="5"/>
      <c r="H14" s="5"/>
      <c r="I14" s="5"/>
      <c r="J14" s="5"/>
      <c r="K14" s="5"/>
      <c r="L14" s="5"/>
      <c r="M14" s="5"/>
      <c r="N14" s="5"/>
      <c r="O14" s="5"/>
      <c r="P14" s="5"/>
      <c r="Q14" s="5"/>
      <c r="R14" s="112"/>
      <c r="S14"/>
      <c r="T14" s="113"/>
      <c r="X14" s="100" t="s">
        <v>178</v>
      </c>
      <c r="Y14" s="100" t="s">
        <v>178</v>
      </c>
      <c r="Z14" s="100" t="s">
        <v>178</v>
      </c>
      <c r="AA14" s="100" t="s">
        <v>178</v>
      </c>
      <c r="AB14" s="100" t="s">
        <v>178</v>
      </c>
      <c r="AC14" s="100" t="s">
        <v>178</v>
      </c>
      <c r="AD14" s="100" t="s">
        <v>178</v>
      </c>
    </row>
    <row r="15" spans="1:30" ht="14.25" customHeight="1">
      <c r="A15" s="282"/>
      <c r="B15" s="1181"/>
      <c r="C15" s="1181"/>
      <c r="D15" s="1181"/>
      <c r="E15" s="1181"/>
      <c r="F15" s="282"/>
      <c r="G15" s="282"/>
      <c r="H15" s="282"/>
      <c r="I15" s="282"/>
      <c r="J15" s="282"/>
      <c r="K15" s="282"/>
      <c r="L15" s="282"/>
      <c r="M15" s="282"/>
      <c r="N15" s="282"/>
      <c r="O15" s="282"/>
      <c r="P15" s="282"/>
      <c r="Q15" s="385">
        <f ca="1">(C72-F35)/C72</f>
        <v>1</v>
      </c>
      <c r="R15" s="269" t="s">
        <v>217</v>
      </c>
      <c r="S15" s="267"/>
      <c r="T15" s="268"/>
      <c r="X15" s="100" t="s">
        <v>178</v>
      </c>
      <c r="Y15" s="100" t="s">
        <v>178</v>
      </c>
      <c r="Z15" s="100" t="s">
        <v>178</v>
      </c>
      <c r="AA15" s="100" t="s">
        <v>178</v>
      </c>
      <c r="AB15" s="100" t="s">
        <v>178</v>
      </c>
      <c r="AC15" s="100" t="s">
        <v>178</v>
      </c>
      <c r="AD15" s="100" t="s">
        <v>178</v>
      </c>
    </row>
    <row r="16" spans="1:30" ht="13.5" customHeight="1">
      <c r="A16" s="109"/>
      <c r="B16" s="1180" t="str">
        <f>IF($W$1&lt;&gt;"BOQ", "DIFF SET TO " &amp; W1,"")</f>
        <v/>
      </c>
      <c r="C16" s="1180"/>
      <c r="D16" s="1180"/>
      <c r="E16" s="1180"/>
      <c r="F16" s="107"/>
      <c r="G16" s="107"/>
      <c r="H16" s="107"/>
      <c r="I16" s="107"/>
      <c r="J16" s="107"/>
      <c r="K16" s="107"/>
      <c r="L16" s="107"/>
      <c r="M16" s="107"/>
      <c r="N16" s="107"/>
      <c r="O16" s="107"/>
      <c r="P16" s="107"/>
      <c r="Q16" s="386" t="e">
        <f ca="1">(F35-E35)/F35</f>
        <v>#DIV/0!</v>
      </c>
      <c r="R16" s="275" t="s">
        <v>218</v>
      </c>
      <c r="S16" s="276"/>
      <c r="T16" s="277"/>
      <c r="X16" s="100" t="s">
        <v>178</v>
      </c>
      <c r="Y16" s="100" t="s">
        <v>178</v>
      </c>
      <c r="Z16" s="100" t="s">
        <v>178</v>
      </c>
      <c r="AA16" s="100" t="s">
        <v>178</v>
      </c>
      <c r="AB16" s="100" t="s">
        <v>178</v>
      </c>
      <c r="AC16" s="100" t="s">
        <v>178</v>
      </c>
      <c r="AD16" s="100" t="s">
        <v>178</v>
      </c>
    </row>
    <row r="17" spans="1:24" ht="13.5" customHeight="1">
      <c r="B17" s="1180"/>
      <c r="C17" s="1180"/>
      <c r="D17" s="1180"/>
      <c r="E17" s="1180"/>
      <c r="G17" s="6"/>
      <c r="H17" s="6"/>
      <c r="I17" s="6"/>
      <c r="J17" s="6"/>
      <c r="K17" s="6"/>
      <c r="L17" s="6"/>
      <c r="M17" s="6"/>
      <c r="N17" s="6"/>
      <c r="O17" s="6"/>
      <c r="P17" s="6"/>
      <c r="Q17" s="387">
        <f ca="1">F74</f>
        <v>0</v>
      </c>
      <c r="R17" s="278" t="s">
        <v>215</v>
      </c>
      <c r="S17" s="279"/>
      <c r="T17" s="324"/>
    </row>
    <row r="18" spans="1:24" ht="18.75" customHeight="1">
      <c r="A18" s="344"/>
      <c r="B18" s="1165" t="str">
        <f>IF(AND(G1,G2,G3,G4,G5,G6,G7,G8,G9,G10,H1)=TRUE, "", "CHECKLIST INCOMPLETE !" )</f>
        <v/>
      </c>
      <c r="C18" s="1165"/>
      <c r="D18" s="1165"/>
      <c r="E18" s="1165"/>
      <c r="F18" s="344"/>
      <c r="G18"/>
      <c r="H18"/>
      <c r="I18"/>
      <c r="J18"/>
      <c r="K18"/>
      <c r="L18"/>
      <c r="M18"/>
      <c r="N18"/>
      <c r="O18"/>
      <c r="P18"/>
      <c r="Q18" s="1177"/>
      <c r="R18" s="1177"/>
      <c r="S18" s="1177"/>
      <c r="T18" s="1177"/>
      <c r="V18" s="547"/>
    </row>
    <row r="19" spans="1:24" ht="18" customHeight="1">
      <c r="B19" s="1178" t="str">
        <f ca="1">IF(ABS(SUM(A23:A32))&gt;100,"[Discy A-J] are high, Check it out."," ")</f>
        <v xml:space="preserve"> </v>
      </c>
      <c r="C19" s="1178"/>
      <c r="D19" s="1178"/>
      <c r="E19" s="1178"/>
      <c r="G19"/>
      <c r="H19"/>
      <c r="I19"/>
      <c r="J19"/>
      <c r="K19"/>
      <c r="L19"/>
      <c r="M19"/>
      <c r="N19"/>
      <c r="O19"/>
      <c r="P19"/>
      <c r="Q19" s="388">
        <f ca="1">R83</f>
        <v>1.3431071521727609</v>
      </c>
      <c r="R19" s="278" t="s">
        <v>216</v>
      </c>
      <c r="S19" s="351"/>
      <c r="T19" s="352"/>
    </row>
    <row r="20" spans="1:24" ht="12.75" customHeight="1">
      <c r="A20" s="437"/>
      <c r="B20" s="437"/>
      <c r="C20" s="437"/>
      <c r="D20" s="437"/>
      <c r="E20" s="437"/>
      <c r="F20"/>
      <c r="G20"/>
      <c r="H20"/>
      <c r="I20"/>
      <c r="J20"/>
      <c r="K20"/>
      <c r="L20"/>
      <c r="M20"/>
      <c r="N20"/>
      <c r="O20"/>
      <c r="P20"/>
      <c r="Q20"/>
      <c r="R20"/>
      <c r="S20"/>
      <c r="T20"/>
    </row>
    <row r="21" spans="1:24" ht="13.8">
      <c r="A21"/>
      <c r="B21" s="115"/>
      <c r="C21" s="116"/>
      <c r="D21" s="270"/>
      <c r="E21" s="280" t="s">
        <v>195</v>
      </c>
      <c r="F21" s="261" t="s">
        <v>33</v>
      </c>
      <c r="G21" s="72"/>
      <c r="H21" s="72"/>
      <c r="I21" s="72"/>
      <c r="J21" s="72"/>
      <c r="K21" s="72"/>
      <c r="L21" s="72"/>
      <c r="M21" s="72"/>
      <c r="N21" s="72"/>
      <c r="O21" s="72"/>
      <c r="P21" s="72"/>
      <c r="Q21" s="271" t="s">
        <v>197</v>
      </c>
      <c r="R21" s="261" t="s">
        <v>34</v>
      </c>
      <c r="S21" s="72"/>
      <c r="T21" s="261" t="s">
        <v>35</v>
      </c>
      <c r="V21"/>
      <c r="W21"/>
      <c r="X21"/>
    </row>
    <row r="22" spans="1:24">
      <c r="A22" s="338" t="s">
        <v>206</v>
      </c>
      <c r="B22" s="298" t="s">
        <v>198</v>
      </c>
      <c r="C22"/>
      <c r="D22" s="270"/>
      <c r="E22" s="281" t="str">
        <f>"SELLING  " &amp; $Q$1</f>
        <v>SELLING  €</v>
      </c>
      <c r="F22" s="402" t="str">
        <f>$Q$1</f>
        <v>€</v>
      </c>
      <c r="G22" s="263" t="s">
        <v>255</v>
      </c>
      <c r="H22" s="489" t="s">
        <v>252</v>
      </c>
      <c r="I22" s="489" t="s">
        <v>253</v>
      </c>
      <c r="J22" s="490" t="s">
        <v>254</v>
      </c>
      <c r="K22" s="263"/>
      <c r="L22" s="263"/>
      <c r="M22" s="263"/>
      <c r="N22" s="263"/>
      <c r="O22" s="263"/>
      <c r="P22" s="263"/>
      <c r="Q22" s="272" t="s">
        <v>196</v>
      </c>
      <c r="R22" s="264" t="s">
        <v>231</v>
      </c>
      <c r="S22" s="263"/>
      <c r="T22" s="262" t="s">
        <v>232</v>
      </c>
      <c r="V22"/>
      <c r="W22"/>
      <c r="X22"/>
    </row>
    <row r="23" spans="1:24">
      <c r="A23" s="353">
        <f ca="1">IF($F23=0,"",($F23/$C2)-($R23*$S2+$T23*$T2))</f>
        <v>4.5045000006211922E-2</v>
      </c>
      <c r="B23" s="299" t="str">
        <f ca="1">IF(F23=0,"",IF(R23=0,"A) "&amp;"---,    "&amp;ROUND(($F23/$C2-($R23*$S2))/$T23,2),IF(T23=0,"A) "&amp;ROUND(($F23/$C2)/$R23,2),"A) "&amp;ROUND(($F23/$C2-($T23*$T2))/$R23,2)&amp;", "
&amp;ROUND(($F23/$C2-($R23*$S2))/$T23,2))))</f>
        <v>A) 1.35, 37.07</v>
      </c>
      <c r="C23"/>
      <c r="D23" s="337" t="str">
        <f>IF($F2="","",$F2)</f>
        <v>Electrical</v>
      </c>
      <c r="E23" s="549">
        <f ca="1">F23*(1-Q23)</f>
        <v>59159.25</v>
      </c>
      <c r="F23" s="549">
        <f ca="1">Elec_Est!F3130</f>
        <v>59159.25</v>
      </c>
      <c r="G23" s="250">
        <f>C2</f>
        <v>1</v>
      </c>
      <c r="H23" s="339">
        <f>$S2</f>
        <v>1.35</v>
      </c>
      <c r="I23" s="339">
        <f>$T2</f>
        <v>37.071000000000005</v>
      </c>
      <c r="J23" s="250">
        <f>$D$9</f>
        <v>27.46</v>
      </c>
      <c r="K23" s="250"/>
      <c r="L23" s="250"/>
      <c r="M23" s="250"/>
      <c r="N23" s="250"/>
      <c r="O23" s="250"/>
      <c r="P23" s="250"/>
      <c r="Q23" s="273"/>
      <c r="R23" s="954">
        <f ca="1">Elec_Est!R3130</f>
        <v>24030.387500000001</v>
      </c>
      <c r="S23" s="955"/>
      <c r="T23" s="954">
        <f ca="1">Elec_Est!T3130</f>
        <v>720.72999999999968</v>
      </c>
      <c r="V23"/>
      <c r="W23"/>
      <c r="X23"/>
    </row>
    <row r="24" spans="1:24">
      <c r="A24" s="354">
        <f t="shared" ref="A24:A32" ca="1" si="7">IF($F24=0,"",($F24/$C3)-($R24*$S3+$T24*$T3))</f>
        <v>4.7999999893363565E-2</v>
      </c>
      <c r="B24" s="300" t="str">
        <f t="shared" ref="B24:B32" ca="1" si="8">IF(F24=0,"",IF(R24=0,"A) "&amp;"---,    "&amp;ROUND(($F24/$C3-($R24*$S3))/$T24,2),IF(T24=0,"A) "&amp;ROUND(($F24/$C3)/$R24,2),"A) "&amp;ROUND(($F24/$C3-($T24*$T3))/$R24,2)&amp;", "
&amp;ROUND(($F24/$C3-($R24*$S3))/$T24,2))))</f>
        <v>A) 1.35, 45.52</v>
      </c>
      <c r="C24"/>
      <c r="D24" s="337" t="str">
        <f t="shared" ref="D24:D32" si="9">IF($F3="","",$F3)</f>
        <v>Technician</v>
      </c>
      <c r="E24" s="549">
        <f t="shared" ref="E24:E32" ca="1" si="10">F24*(1-Q24)</f>
        <v>139537.55999999991</v>
      </c>
      <c r="F24" s="549">
        <f ca="1">Elec_Est!F3131</f>
        <v>139537.55999999991</v>
      </c>
      <c r="G24" s="250">
        <f t="shared" ref="G24:G32" si="11">C3</f>
        <v>1</v>
      </c>
      <c r="H24" s="339">
        <f t="shared" ref="H24:H32" si="12">$S3</f>
        <v>1.35</v>
      </c>
      <c r="I24" s="339">
        <f t="shared" ref="I24:I32" si="13">$T3</f>
        <v>45.521999999999998</v>
      </c>
      <c r="J24" s="250">
        <f t="shared" ref="J24:J32" si="14">$D$9</f>
        <v>27.46</v>
      </c>
      <c r="K24" s="250"/>
      <c r="L24" s="250"/>
      <c r="M24" s="250"/>
      <c r="N24" s="250"/>
      <c r="O24" s="250"/>
      <c r="P24" s="250"/>
      <c r="Q24" s="273"/>
      <c r="R24" s="954">
        <f>Elec_Est!R3131</f>
        <v>98353.700000000012</v>
      </c>
      <c r="S24" s="955"/>
      <c r="T24" s="954">
        <f>Elec_Est!T3131</f>
        <v>148.5</v>
      </c>
      <c r="V24"/>
      <c r="W24"/>
      <c r="X24"/>
    </row>
    <row r="25" spans="1:24">
      <c r="A25" s="354">
        <f t="shared" ca="1" si="7"/>
        <v>1.0000000000218279E-2</v>
      </c>
      <c r="B25" s="301" t="str">
        <f t="shared" ca="1" si="8"/>
        <v>A) ---,    40.5</v>
      </c>
      <c r="C25"/>
      <c r="D25" s="337" t="str">
        <f t="shared" si="9"/>
        <v>Engineer (Man Hours)</v>
      </c>
      <c r="E25" s="549">
        <f t="shared" ca="1" si="10"/>
        <v>3240.01</v>
      </c>
      <c r="F25" s="549">
        <f ca="1">Elec_Est!F3132</f>
        <v>3240.01</v>
      </c>
      <c r="G25" s="250">
        <f t="shared" si="11"/>
        <v>1</v>
      </c>
      <c r="H25" s="339">
        <f t="shared" si="12"/>
        <v>1.35</v>
      </c>
      <c r="I25" s="339">
        <f t="shared" si="13"/>
        <v>40.5</v>
      </c>
      <c r="J25" s="250">
        <f t="shared" si="14"/>
        <v>27.46</v>
      </c>
      <c r="K25" s="250"/>
      <c r="L25" s="250"/>
      <c r="M25" s="250"/>
      <c r="N25" s="250"/>
      <c r="O25" s="250"/>
      <c r="P25" s="250"/>
      <c r="Q25" s="273"/>
      <c r="R25" s="954">
        <f>Elec_Est!R3132</f>
        <v>0</v>
      </c>
      <c r="S25" s="955"/>
      <c r="T25" s="954">
        <f>Elec_Est!T3132</f>
        <v>80</v>
      </c>
      <c r="V25"/>
      <c r="W25"/>
      <c r="X25"/>
    </row>
    <row r="26" spans="1:24">
      <c r="A26" s="354">
        <f t="shared" ca="1" si="7"/>
        <v>0</v>
      </c>
      <c r="B26" s="302" t="str">
        <f t="shared" ca="1" si="8"/>
        <v>A) 1</v>
      </c>
      <c r="C26"/>
      <c r="D26" s="337" t="str">
        <f t="shared" si="9"/>
        <v>Megaline</v>
      </c>
      <c r="E26" s="549">
        <f t="shared" ca="1" si="10"/>
        <v>7441.04</v>
      </c>
      <c r="F26" s="549">
        <f ca="1">Elec_Est!F3133</f>
        <v>7441.04</v>
      </c>
      <c r="G26" s="250">
        <f t="shared" si="11"/>
        <v>1</v>
      </c>
      <c r="H26" s="339">
        <f t="shared" si="12"/>
        <v>1</v>
      </c>
      <c r="I26" s="339">
        <f t="shared" si="13"/>
        <v>37.071000000000005</v>
      </c>
      <c r="J26" s="250">
        <f t="shared" si="14"/>
        <v>27.46</v>
      </c>
      <c r="K26" s="250"/>
      <c r="L26" s="250"/>
      <c r="M26" s="250"/>
      <c r="N26" s="250"/>
      <c r="O26" s="250"/>
      <c r="P26" s="250"/>
      <c r="Q26" s="273"/>
      <c r="R26" s="954">
        <f>Elec_Est!R3133</f>
        <v>7441.04</v>
      </c>
      <c r="S26" s="955"/>
      <c r="T26" s="954">
        <f>Elec_Est!T3133</f>
        <v>0</v>
      </c>
      <c r="V26"/>
      <c r="W26"/>
      <c r="X26"/>
    </row>
    <row r="27" spans="1:24">
      <c r="A27" s="354" t="str">
        <f t="shared" si="7"/>
        <v/>
      </c>
      <c r="B27" s="303" t="str">
        <f t="shared" si="8"/>
        <v/>
      </c>
      <c r="C27"/>
      <c r="D27" s="337" t="str">
        <f t="shared" si="9"/>
        <v/>
      </c>
      <c r="E27" s="549">
        <f t="shared" si="10"/>
        <v>0</v>
      </c>
      <c r="F27" s="549">
        <f>Elec_Est!F3134</f>
        <v>0</v>
      </c>
      <c r="G27" s="250">
        <f t="shared" si="11"/>
        <v>1</v>
      </c>
      <c r="H27" s="339">
        <f t="shared" si="12"/>
        <v>0</v>
      </c>
      <c r="I27" s="339">
        <f t="shared" si="13"/>
        <v>0</v>
      </c>
      <c r="J27" s="250">
        <f t="shared" si="14"/>
        <v>27.46</v>
      </c>
      <c r="K27" s="250"/>
      <c r="L27" s="250"/>
      <c r="M27" s="250"/>
      <c r="N27" s="250"/>
      <c r="O27" s="250"/>
      <c r="P27" s="250"/>
      <c r="Q27" s="273"/>
      <c r="R27" s="954">
        <f>Elec_Est!R3134</f>
        <v>0</v>
      </c>
      <c r="S27" s="955"/>
      <c r="T27" s="954">
        <f>Elec_Est!T3134</f>
        <v>0</v>
      </c>
      <c r="V27"/>
      <c r="W27"/>
      <c r="X27"/>
    </row>
    <row r="28" spans="1:24">
      <c r="A28" s="354" t="str">
        <f t="shared" si="7"/>
        <v/>
      </c>
      <c r="B28" s="304" t="str">
        <f t="shared" si="8"/>
        <v/>
      </c>
      <c r="C28"/>
      <c r="D28" s="337" t="str">
        <f t="shared" si="9"/>
        <v/>
      </c>
      <c r="E28" s="549">
        <f t="shared" si="10"/>
        <v>0</v>
      </c>
      <c r="F28" s="549">
        <f>Elec_Est!F3135</f>
        <v>0</v>
      </c>
      <c r="G28" s="250">
        <f t="shared" si="11"/>
        <v>1</v>
      </c>
      <c r="H28" s="339">
        <f t="shared" si="12"/>
        <v>0</v>
      </c>
      <c r="I28" s="339">
        <f t="shared" si="13"/>
        <v>0</v>
      </c>
      <c r="J28" s="250">
        <f t="shared" si="14"/>
        <v>27.46</v>
      </c>
      <c r="K28" s="250"/>
      <c r="L28" s="250"/>
      <c r="M28" s="250"/>
      <c r="N28" s="250"/>
      <c r="O28" s="250"/>
      <c r="P28" s="250"/>
      <c r="Q28" s="273"/>
      <c r="R28" s="954">
        <f>Elec_Est!R3135</f>
        <v>0</v>
      </c>
      <c r="S28" s="955"/>
      <c r="T28" s="954">
        <f>Elec_Est!T3135</f>
        <v>0</v>
      </c>
      <c r="V28"/>
      <c r="W28"/>
      <c r="X28"/>
    </row>
    <row r="29" spans="1:24">
      <c r="A29" s="354" t="str">
        <f t="shared" si="7"/>
        <v/>
      </c>
      <c r="B29" s="305" t="str">
        <f t="shared" si="8"/>
        <v/>
      </c>
      <c r="C29"/>
      <c r="D29" s="337" t="str">
        <f t="shared" si="9"/>
        <v/>
      </c>
      <c r="E29" s="549">
        <f t="shared" si="10"/>
        <v>0</v>
      </c>
      <c r="F29" s="549">
        <f>Elec_Est!F3136</f>
        <v>0</v>
      </c>
      <c r="G29" s="250">
        <f t="shared" si="11"/>
        <v>1</v>
      </c>
      <c r="H29" s="339">
        <f t="shared" si="12"/>
        <v>0</v>
      </c>
      <c r="I29" s="339">
        <f t="shared" si="13"/>
        <v>0</v>
      </c>
      <c r="J29" s="250">
        <f t="shared" si="14"/>
        <v>27.46</v>
      </c>
      <c r="K29" s="250"/>
      <c r="L29" s="250"/>
      <c r="M29" s="250"/>
      <c r="N29" s="250"/>
      <c r="O29" s="250"/>
      <c r="P29" s="250"/>
      <c r="Q29" s="273"/>
      <c r="R29" s="954">
        <f>Elec_Est!R3136</f>
        <v>0</v>
      </c>
      <c r="S29" s="955"/>
      <c r="T29" s="954">
        <f>Elec_Est!T3136</f>
        <v>0</v>
      </c>
      <c r="V29"/>
      <c r="W29"/>
      <c r="X29"/>
    </row>
    <row r="30" spans="1:24">
      <c r="A30" s="354" t="str">
        <f t="shared" si="7"/>
        <v/>
      </c>
      <c r="B30" s="306" t="str">
        <f t="shared" si="8"/>
        <v/>
      </c>
      <c r="C30"/>
      <c r="D30" s="337" t="str">
        <f t="shared" si="9"/>
        <v/>
      </c>
      <c r="E30" s="549">
        <f t="shared" si="10"/>
        <v>0</v>
      </c>
      <c r="F30" s="549">
        <f>Elec_Est!F3137</f>
        <v>0</v>
      </c>
      <c r="G30" s="250">
        <f t="shared" si="11"/>
        <v>1</v>
      </c>
      <c r="H30" s="339">
        <f t="shared" si="12"/>
        <v>0</v>
      </c>
      <c r="I30" s="339">
        <f t="shared" si="13"/>
        <v>0</v>
      </c>
      <c r="J30" s="250">
        <f t="shared" si="14"/>
        <v>27.46</v>
      </c>
      <c r="K30" s="250"/>
      <c r="L30" s="250"/>
      <c r="M30" s="250"/>
      <c r="N30" s="250"/>
      <c r="O30" s="250"/>
      <c r="P30" s="250"/>
      <c r="Q30" s="273"/>
      <c r="R30" s="954">
        <f>Elec_Est!R3137</f>
        <v>0</v>
      </c>
      <c r="S30" s="955"/>
      <c r="T30" s="954">
        <f>Elec_Est!T3137</f>
        <v>0</v>
      </c>
      <c r="V30"/>
      <c r="W30"/>
      <c r="X30"/>
    </row>
    <row r="31" spans="1:24">
      <c r="A31" s="354" t="str">
        <f t="shared" si="7"/>
        <v/>
      </c>
      <c r="B31" s="307" t="str">
        <f t="shared" si="8"/>
        <v/>
      </c>
      <c r="C31"/>
      <c r="D31" s="337" t="str">
        <f t="shared" si="9"/>
        <v/>
      </c>
      <c r="E31" s="549">
        <f t="shared" si="10"/>
        <v>0</v>
      </c>
      <c r="F31" s="549">
        <f>Elec_Est!F3138</f>
        <v>0</v>
      </c>
      <c r="G31" s="250">
        <f t="shared" si="11"/>
        <v>1</v>
      </c>
      <c r="H31" s="339">
        <f t="shared" si="12"/>
        <v>0</v>
      </c>
      <c r="I31" s="339">
        <f t="shared" si="13"/>
        <v>0</v>
      </c>
      <c r="J31" s="250">
        <f t="shared" si="14"/>
        <v>27.46</v>
      </c>
      <c r="K31" s="250"/>
      <c r="L31" s="250"/>
      <c r="M31" s="250"/>
      <c r="N31" s="250"/>
      <c r="O31" s="250"/>
      <c r="P31" s="250"/>
      <c r="Q31" s="273"/>
      <c r="R31" s="954">
        <f>Elec_Est!R3138</f>
        <v>0</v>
      </c>
      <c r="S31" s="955"/>
      <c r="T31" s="954">
        <f>Elec_Est!T3138</f>
        <v>0</v>
      </c>
      <c r="V31"/>
      <c r="W31"/>
      <c r="X31"/>
    </row>
    <row r="32" spans="1:24">
      <c r="A32" s="355" t="str">
        <f t="shared" si="7"/>
        <v/>
      </c>
      <c r="B32" s="419" t="str">
        <f t="shared" si="8"/>
        <v/>
      </c>
      <c r="C32"/>
      <c r="D32" s="337" t="str">
        <f t="shared" si="9"/>
        <v/>
      </c>
      <c r="E32" s="549">
        <f t="shared" si="10"/>
        <v>0</v>
      </c>
      <c r="F32" s="549">
        <f>Elec_Est!F3139</f>
        <v>0</v>
      </c>
      <c r="G32" s="250">
        <f t="shared" si="11"/>
        <v>1</v>
      </c>
      <c r="H32" s="339">
        <f t="shared" si="12"/>
        <v>0</v>
      </c>
      <c r="I32" s="339">
        <f t="shared" si="13"/>
        <v>0</v>
      </c>
      <c r="J32" s="250">
        <f t="shared" si="14"/>
        <v>27.46</v>
      </c>
      <c r="K32" s="250"/>
      <c r="L32" s="250"/>
      <c r="M32" s="250"/>
      <c r="N32" s="250"/>
      <c r="O32" s="250"/>
      <c r="P32" s="250"/>
      <c r="Q32" s="273"/>
      <c r="R32" s="954">
        <f>Elec_Est!R3139</f>
        <v>0</v>
      </c>
      <c r="S32" s="955"/>
      <c r="T32" s="954">
        <f>Elec_Est!T3139</f>
        <v>0</v>
      </c>
      <c r="V32"/>
      <c r="W32"/>
      <c r="X32"/>
    </row>
    <row r="33" spans="1:24">
      <c r="B33"/>
      <c r="C33" s="314" t="s">
        <v>204</v>
      </c>
      <c r="D33"/>
      <c r="E33"/>
      <c r="F33" s="313"/>
      <c r="G33" s="250"/>
      <c r="H33" s="250"/>
      <c r="I33" s="250"/>
      <c r="J33" s="250"/>
      <c r="K33" s="250"/>
      <c r="L33" s="250"/>
      <c r="M33" s="250"/>
      <c r="N33" s="250"/>
      <c r="O33" s="250"/>
      <c r="P33" s="250"/>
      <c r="R33" s="314"/>
      <c r="S33" s="250"/>
      <c r="T33" s="313"/>
      <c r="V33"/>
      <c r="W33"/>
      <c r="X33"/>
    </row>
    <row r="34" spans="1:24" ht="13.8" thickBot="1">
      <c r="B34" s="34"/>
      <c r="C34"/>
      <c r="R34" s="258"/>
      <c r="S34" s="258"/>
      <c r="T34" s="258"/>
      <c r="V34"/>
      <c r="W34"/>
      <c r="X34"/>
    </row>
    <row r="35" spans="1:24">
      <c r="A35" s="420" t="s">
        <v>207</v>
      </c>
      <c r="B35" s="424"/>
      <c r="E35" s="549">
        <f ca="1">SUM(E23:E32)</f>
        <v>209377.85999999993</v>
      </c>
      <c r="F35" s="954"/>
      <c r="G35" s="251"/>
      <c r="H35" s="251"/>
      <c r="I35" s="251"/>
      <c r="J35" s="251"/>
      <c r="K35" s="251"/>
      <c r="L35" s="251"/>
      <c r="M35" s="251"/>
      <c r="N35" s="251"/>
      <c r="O35" s="251"/>
      <c r="P35" s="251"/>
      <c r="Q35" s="252"/>
      <c r="R35" s="256">
        <f ca="1">SUM(R23:R32)</f>
        <v>129825.1275</v>
      </c>
      <c r="S35" s="253"/>
      <c r="T35" s="256">
        <f ca="1">SUM(T23:T32)</f>
        <v>949.22999999999968</v>
      </c>
      <c r="V35"/>
      <c r="W35"/>
      <c r="X35"/>
    </row>
    <row r="36" spans="1:24" ht="14.4" thickBot="1">
      <c r="A36" s="421" t="str">
        <f xml:space="preserve"> IF(A39=0,"0.00",A39-(A38*A37))</f>
        <v>0.00</v>
      </c>
      <c r="B36" s="423" t="s">
        <v>238</v>
      </c>
      <c r="E36" s="488" t="str">
        <f>"ESTIM TOTAL (" &amp; $Q$1 &amp; ")"</f>
        <v>ESTIM TOTAL (€)</v>
      </c>
      <c r="G36" s="251"/>
      <c r="H36" s="251"/>
      <c r="I36" s="251"/>
      <c r="J36" s="251"/>
      <c r="K36" s="251"/>
      <c r="L36" s="251"/>
      <c r="M36" s="251"/>
      <c r="N36" s="251"/>
      <c r="O36" s="251"/>
      <c r="P36" s="251"/>
      <c r="Q36" s="252"/>
      <c r="V36"/>
      <c r="W36"/>
      <c r="X36"/>
    </row>
    <row r="37" spans="1:24" ht="13.8">
      <c r="A37" s="346">
        <v>1.125</v>
      </c>
      <c r="B37" s="422" t="s">
        <v>229</v>
      </c>
      <c r="C37" s="233"/>
      <c r="D37"/>
      <c r="E37" s="350"/>
      <c r="G37"/>
      <c r="H37"/>
      <c r="I37"/>
      <c r="J37"/>
      <c r="K37"/>
      <c r="L37"/>
      <c r="M37"/>
      <c r="N37"/>
      <c r="O37"/>
      <c r="P37"/>
      <c r="Q37"/>
      <c r="R37" s="404">
        <f ca="1">R165</f>
        <v>129825.07849999997</v>
      </c>
      <c r="S37" s="405" t="s">
        <v>200</v>
      </c>
      <c r="T37" s="403">
        <f ca="1">T165</f>
        <v>949.21999999999991</v>
      </c>
      <c r="V37"/>
      <c r="W37"/>
      <c r="X37"/>
    </row>
    <row r="38" spans="1:24">
      <c r="A38" s="348"/>
      <c r="B38" s="347" t="s">
        <v>227</v>
      </c>
      <c r="C38"/>
      <c r="D38"/>
      <c r="G38"/>
      <c r="H38"/>
      <c r="I38"/>
      <c r="J38"/>
      <c r="K38"/>
      <c r="L38"/>
      <c r="M38"/>
      <c r="N38"/>
      <c r="O38"/>
      <c r="P38"/>
      <c r="Q38"/>
      <c r="R38"/>
      <c r="S38"/>
      <c r="T38"/>
    </row>
    <row r="39" spans="1:24">
      <c r="A39" s="349"/>
      <c r="B39" s="347" t="s">
        <v>228</v>
      </c>
      <c r="C39"/>
      <c r="D39"/>
      <c r="E39"/>
      <c r="F39"/>
      <c r="G39" s="232"/>
      <c r="H39" s="232"/>
      <c r="I39" s="232"/>
      <c r="J39" s="232"/>
      <c r="K39" s="232"/>
      <c r="L39" s="232"/>
      <c r="M39" s="232"/>
      <c r="N39" s="232"/>
      <c r="O39" s="232"/>
      <c r="P39" s="232"/>
      <c r="Q39" s="345" t="s">
        <v>208</v>
      </c>
      <c r="R39" s="406">
        <f ca="1">R37-R35</f>
        <v>-4.9000000028172508E-2</v>
      </c>
      <c r="S39" s="432" t="s">
        <v>241</v>
      </c>
      <c r="T39" s="407">
        <f ca="1">T37-T35</f>
        <v>-9.9999999997635314E-3</v>
      </c>
    </row>
    <row r="40" spans="1:24" ht="14.25" customHeight="1">
      <c r="S40" s="441"/>
    </row>
    <row r="41" spans="1:24">
      <c r="B41" s="408" t="s">
        <v>230</v>
      </c>
      <c r="C41" s="409"/>
      <c r="D41" s="398">
        <v>45911</v>
      </c>
      <c r="E41" s="410"/>
      <c r="F41" s="410"/>
      <c r="G41" s="411"/>
      <c r="H41" s="411"/>
      <c r="I41" s="411"/>
      <c r="J41" s="411"/>
      <c r="K41" s="411"/>
      <c r="L41" s="411"/>
      <c r="M41" s="411"/>
      <c r="N41" s="411"/>
      <c r="O41" s="411"/>
      <c r="P41" s="411"/>
      <c r="Q41" s="412"/>
      <c r="R41" s="410">
        <v>100965.04750000002</v>
      </c>
      <c r="S41" s="412"/>
      <c r="T41" s="410">
        <v>881.22999999999968</v>
      </c>
    </row>
    <row r="42" spans="1:24" ht="13.8">
      <c r="B42" s="397"/>
      <c r="C42"/>
      <c r="D42" s="399"/>
      <c r="E42" s="315"/>
      <c r="F42" s="315"/>
      <c r="G42" s="315"/>
      <c r="H42" s="315"/>
      <c r="I42" s="315"/>
      <c r="J42" s="315"/>
      <c r="K42" s="315"/>
      <c r="L42" s="315"/>
      <c r="M42" s="315"/>
      <c r="N42" s="315"/>
      <c r="O42" s="315"/>
      <c r="P42" s="315"/>
      <c r="Q42" s="315"/>
      <c r="R42" s="315"/>
      <c r="S42" s="315"/>
      <c r="T42" s="315"/>
    </row>
    <row r="43" spans="1:24" ht="13.8">
      <c r="B43" s="397"/>
      <c r="C43"/>
      <c r="D43" s="400" t="s">
        <v>7</v>
      </c>
      <c r="E43" s="315"/>
      <c r="F43" s="315"/>
      <c r="G43" s="315"/>
      <c r="H43" s="315"/>
      <c r="I43" s="315"/>
      <c r="J43" s="315"/>
      <c r="K43" s="315"/>
      <c r="L43" s="315"/>
      <c r="M43" s="315"/>
      <c r="N43" s="315"/>
      <c r="O43" s="315"/>
      <c r="P43" s="315"/>
      <c r="Q43" s="315"/>
      <c r="R43" s="315"/>
      <c r="S43" s="315"/>
      <c r="T43" s="315"/>
    </row>
    <row r="44" spans="1:24">
      <c r="B44" s="234"/>
      <c r="C44" s="235"/>
      <c r="D44" s="235"/>
    </row>
    <row r="45" spans="1:24" s="124" customFormat="1" ht="14.25" customHeight="1">
      <c r="A45" s="120"/>
      <c r="B45" s="121"/>
      <c r="C45" s="118"/>
      <c r="D45" s="118"/>
    </row>
    <row r="46" spans="1:24" s="124" customFormat="1" ht="13.8">
      <c r="A46" s="343" t="s">
        <v>36</v>
      </c>
      <c r="C46" s="34"/>
      <c r="D46" s="34"/>
    </row>
    <row r="47" spans="1:24" s="124" customFormat="1" ht="14.25" customHeight="1">
      <c r="A47" s="1176" t="s">
        <v>213</v>
      </c>
      <c r="B47" s="1176"/>
      <c r="C47" s="1176"/>
      <c r="D47" s="1176"/>
      <c r="E47" s="1176"/>
      <c r="F47" s="1176"/>
      <c r="G47" s="1176"/>
      <c r="H47" s="1176"/>
      <c r="I47" s="1176"/>
      <c r="J47" s="1176"/>
      <c r="K47" s="1176"/>
      <c r="L47" s="1176"/>
      <c r="M47" s="1176"/>
      <c r="N47" s="1176"/>
      <c r="O47" s="1176"/>
      <c r="P47" s="1176"/>
      <c r="Q47" s="1176"/>
      <c r="R47" s="1176"/>
      <c r="S47" s="1176"/>
    </row>
    <row r="48" spans="1:24" s="124" customFormat="1" ht="14.25" customHeight="1">
      <c r="A48" s="1176" t="s">
        <v>214</v>
      </c>
      <c r="B48" s="1176"/>
      <c r="C48" s="1176"/>
      <c r="D48" s="1176"/>
      <c r="E48" s="1176"/>
      <c r="F48" s="1176"/>
      <c r="G48" s="1176"/>
      <c r="H48" s="1176"/>
      <c r="I48" s="1176"/>
      <c r="J48" s="1176"/>
      <c r="K48" s="1176"/>
      <c r="L48" s="1176"/>
      <c r="M48" s="1176"/>
      <c r="N48" s="1176"/>
      <c r="O48" s="1176"/>
      <c r="P48" s="1176"/>
      <c r="Q48" s="1176"/>
      <c r="R48" s="1176"/>
      <c r="S48" s="1176"/>
      <c r="T48" s="34"/>
    </row>
    <row r="49" spans="1:20" s="124" customFormat="1" ht="13.8">
      <c r="A49" s="34"/>
      <c r="B49" s="111"/>
      <c r="C49" s="34"/>
      <c r="D49" s="34"/>
      <c r="E49" s="34"/>
      <c r="F49" s="34"/>
      <c r="G49" s="34"/>
      <c r="H49" s="34"/>
      <c r="I49" s="34"/>
      <c r="J49" s="34"/>
      <c r="K49" s="34"/>
      <c r="L49" s="34"/>
      <c r="M49" s="34"/>
      <c r="N49" s="34"/>
      <c r="O49" s="34"/>
      <c r="P49" s="34"/>
      <c r="Q49" s="34"/>
      <c r="R49" s="34"/>
      <c r="S49" s="34"/>
      <c r="T49" s="34"/>
    </row>
    <row r="50" spans="1:20" s="124" customFormat="1" ht="13.5" customHeight="1">
      <c r="A50" s="107"/>
      <c r="B50" s="118"/>
      <c r="C50" s="107"/>
      <c r="D50" s="107"/>
      <c r="E50" s="107"/>
      <c r="F50" s="107"/>
      <c r="G50" s="107"/>
      <c r="H50" s="107"/>
      <c r="I50" s="107"/>
      <c r="J50" s="107"/>
      <c r="K50" s="107"/>
      <c r="L50" s="107"/>
      <c r="M50" s="107"/>
      <c r="N50" s="107"/>
      <c r="O50" s="107"/>
      <c r="P50" s="107"/>
      <c r="Q50" s="107"/>
      <c r="R50" s="107"/>
      <c r="S50" s="107"/>
      <c r="T50" s="107"/>
    </row>
    <row r="51" spans="1:20" s="124" customFormat="1" ht="13.5" customHeight="1" thickBot="1">
      <c r="A51" s="125" t="s">
        <v>37</v>
      </c>
      <c r="B51" s="126"/>
      <c r="C51" s="127"/>
      <c r="D51" s="127" t="str">
        <f>D8</f>
        <v>T.Sammut</v>
      </c>
      <c r="E51" s="107"/>
      <c r="F51" s="128"/>
      <c r="G51" s="129"/>
      <c r="H51" s="129"/>
      <c r="I51" s="129"/>
      <c r="J51" s="129"/>
      <c r="K51" s="129"/>
      <c r="L51" s="129"/>
      <c r="M51" s="107"/>
      <c r="N51" s="107"/>
      <c r="O51" s="107"/>
      <c r="P51" s="107"/>
      <c r="Q51" s="125" t="s">
        <v>38</v>
      </c>
      <c r="R51" s="127"/>
      <c r="S51" s="127"/>
      <c r="T51" s="127"/>
    </row>
    <row r="52" spans="1:20" s="124" customFormat="1" ht="13.5" customHeight="1" thickTop="1">
      <c r="A52" s="130"/>
      <c r="B52" s="118"/>
      <c r="C52" s="107"/>
      <c r="D52" s="107"/>
      <c r="E52" s="107"/>
      <c r="F52" s="107"/>
      <c r="G52" s="107"/>
      <c r="H52" s="107"/>
      <c r="I52" s="107"/>
      <c r="J52" s="107"/>
      <c r="K52" s="107"/>
      <c r="L52" s="107"/>
      <c r="M52" s="107"/>
      <c r="N52" s="107"/>
      <c r="O52" s="107"/>
      <c r="P52" s="107"/>
      <c r="Q52" s="130"/>
      <c r="R52" s="107"/>
      <c r="S52" s="107"/>
      <c r="T52" s="107"/>
    </row>
    <row r="53" spans="1:20" s="124" customFormat="1" ht="13.5" customHeight="1" thickBot="1">
      <c r="A53" s="131" t="s">
        <v>39</v>
      </c>
      <c r="B53" s="127"/>
      <c r="C53" s="127"/>
      <c r="D53" s="127"/>
      <c r="E53" s="107"/>
      <c r="F53" s="128"/>
      <c r="G53" s="129"/>
      <c r="H53" s="129"/>
      <c r="I53" s="129"/>
      <c r="J53" s="129"/>
      <c r="K53" s="129"/>
      <c r="L53" s="129"/>
      <c r="M53" s="107"/>
      <c r="N53" s="107"/>
      <c r="O53" s="107"/>
      <c r="P53" s="107"/>
      <c r="Q53" s="130" t="s">
        <v>40</v>
      </c>
      <c r="R53" s="107"/>
      <c r="S53" s="127"/>
      <c r="T53" s="127"/>
    </row>
    <row r="54" spans="1:20" s="124" customFormat="1" ht="13.5" customHeight="1" thickTop="1">
      <c r="A54" s="131"/>
      <c r="B54" s="118"/>
      <c r="C54" s="107"/>
      <c r="D54" s="107"/>
      <c r="E54" s="107"/>
      <c r="F54" s="128"/>
      <c r="G54" s="107"/>
      <c r="H54" s="107"/>
      <c r="I54" s="107"/>
      <c r="J54" s="107"/>
      <c r="K54" s="107"/>
      <c r="L54" s="107"/>
      <c r="M54" s="107"/>
      <c r="N54" s="107"/>
      <c r="O54" s="107"/>
      <c r="P54" s="107"/>
      <c r="Q54" s="130"/>
      <c r="R54" s="107"/>
      <c r="S54" s="107"/>
      <c r="T54" s="107"/>
    </row>
    <row r="55" spans="1:20" s="124" customFormat="1" ht="13.5" customHeight="1">
      <c r="A55" s="1175" t="s">
        <v>190</v>
      </c>
      <c r="B55" s="1175"/>
      <c r="C55" s="10"/>
      <c r="D55" s="332" t="str">
        <f ca="1" xml:space="preserve"> CELL("filename")</f>
        <v xml:space="preserve">\\Pclnas\ele\est\Intercontinental Hotel\Estimates\Estimates Sept 2025\As Awarded Contract\[E25_0477_IH_Retro_Elec_Est_Rev_A.xlsx]SUMM PG </v>
      </c>
      <c r="E55" s="235"/>
      <c r="F55" s="333"/>
      <c r="G55" s="235"/>
      <c r="H55" s="235"/>
      <c r="I55" s="235"/>
      <c r="J55" s="235"/>
      <c r="K55" s="235"/>
      <c r="L55" s="235"/>
      <c r="M55" s="235"/>
      <c r="N55" s="235"/>
      <c r="O55" s="235"/>
      <c r="P55" s="235"/>
      <c r="Q55" s="334"/>
      <c r="R55" s="107"/>
      <c r="S55" s="107"/>
      <c r="T55" s="107"/>
    </row>
    <row r="56" spans="1:20" s="124" customFormat="1" ht="12.75" customHeight="1">
      <c r="A56" s="246"/>
      <c r="B56" s="246"/>
      <c r="C56" s="10"/>
      <c r="D56" s="11"/>
      <c r="E56" s="107"/>
      <c r="F56" s="128"/>
      <c r="G56" s="107"/>
      <c r="H56" s="107"/>
      <c r="I56" s="107"/>
      <c r="J56" s="107"/>
      <c r="K56" s="107"/>
      <c r="L56" s="107"/>
      <c r="M56" s="107"/>
      <c r="N56" s="107"/>
      <c r="O56" s="107"/>
      <c r="P56" s="107"/>
      <c r="Q56" s="130"/>
      <c r="R56" s="107"/>
      <c r="S56" s="107"/>
      <c r="T56" s="107"/>
    </row>
    <row r="57" spans="1:20" ht="21" customHeight="1">
      <c r="B57" s="1168" t="s">
        <v>41</v>
      </c>
      <c r="C57" s="1169"/>
      <c r="D57" s="1169"/>
      <c r="E57" s="1169"/>
      <c r="F57" s="1169"/>
      <c r="G57" s="1169"/>
      <c r="H57" s="1169"/>
      <c r="I57" s="1169"/>
      <c r="J57" s="1169"/>
      <c r="K57" s="1169"/>
      <c r="L57" s="1169"/>
      <c r="M57" s="1169"/>
      <c r="N57" s="1169"/>
      <c r="O57" s="1169"/>
      <c r="P57" s="1169"/>
      <c r="Q57" s="1169"/>
      <c r="R57" s="1169"/>
      <c r="S57" s="1169"/>
      <c r="T57" s="1170"/>
    </row>
    <row r="58" spans="1:20" ht="18" customHeight="1">
      <c r="B58" s="1171" t="s">
        <v>42</v>
      </c>
      <c r="C58" s="1172"/>
      <c r="D58" s="1172"/>
      <c r="E58" s="1172"/>
      <c r="F58" s="1172"/>
      <c r="G58" s="1172"/>
      <c r="H58" s="1172"/>
      <c r="I58" s="1172"/>
      <c r="J58" s="1172"/>
      <c r="K58" s="1172"/>
      <c r="L58" s="1172"/>
      <c r="M58" s="1172"/>
      <c r="N58" s="1172"/>
      <c r="O58" s="1172"/>
      <c r="P58" s="1172"/>
      <c r="Q58" s="1172"/>
      <c r="R58" s="1172"/>
      <c r="S58" s="1173"/>
      <c r="T58" s="1174"/>
    </row>
    <row r="59" spans="1:20">
      <c r="B59" s="132"/>
      <c r="S59" s="133" t="s">
        <v>43</v>
      </c>
      <c r="T59" s="119"/>
    </row>
    <row r="60" spans="1:20">
      <c r="B60" s="132"/>
      <c r="D60" s="134" t="s">
        <v>44</v>
      </c>
      <c r="E60" s="236" t="str">
        <f>D1</f>
        <v>Eden Lesuire Group</v>
      </c>
      <c r="F60" s="237"/>
      <c r="G60" s="84"/>
      <c r="H60" s="84"/>
      <c r="I60" s="84"/>
      <c r="J60" s="84"/>
      <c r="K60" s="84"/>
      <c r="L60" s="84"/>
      <c r="M60" s="84"/>
      <c r="N60" s="84"/>
      <c r="O60" s="84"/>
      <c r="P60" s="84"/>
      <c r="Q60" s="238"/>
      <c r="R60" s="84"/>
      <c r="S60" s="133" t="s">
        <v>271</v>
      </c>
      <c r="T60" s="119"/>
    </row>
    <row r="61" spans="1:20">
      <c r="B61" s="132"/>
      <c r="D61" s="135" t="s">
        <v>45</v>
      </c>
      <c r="E61" s="236" t="str">
        <f>D2</f>
        <v>Intercontinental - Plant Retrofit</v>
      </c>
      <c r="F61" s="237"/>
      <c r="G61" s="84"/>
      <c r="H61" s="84"/>
      <c r="I61" s="84"/>
      <c r="J61" s="84"/>
      <c r="K61" s="84"/>
      <c r="L61" s="84"/>
      <c r="M61" s="84"/>
      <c r="N61" s="84"/>
      <c r="O61" s="84"/>
      <c r="P61" s="84"/>
      <c r="Q61" s="238"/>
      <c r="R61" s="84"/>
      <c r="S61" s="133" t="s">
        <v>265</v>
      </c>
      <c r="T61" s="119"/>
    </row>
    <row r="62" spans="1:20">
      <c r="B62" s="132"/>
      <c r="D62" s="134" t="s">
        <v>46</v>
      </c>
      <c r="E62" s="236" t="str">
        <f>D3</f>
        <v>Retrofitting works for the HVAC plant at Intercontinental Revision A</v>
      </c>
      <c r="F62" s="237"/>
      <c r="G62" s="84"/>
      <c r="H62" s="84"/>
      <c r="I62" s="84"/>
      <c r="J62" s="84"/>
      <c r="K62" s="84"/>
      <c r="L62" s="84"/>
      <c r="M62" s="84"/>
      <c r="N62" s="84"/>
      <c r="O62" s="84"/>
      <c r="P62" s="84"/>
      <c r="Q62" s="238"/>
      <c r="R62" s="84"/>
      <c r="S62" s="133" t="s">
        <v>272</v>
      </c>
      <c r="T62" s="119"/>
    </row>
    <row r="63" spans="1:20">
      <c r="B63" s="132"/>
      <c r="D63" s="136" t="s">
        <v>49</v>
      </c>
      <c r="E63" s="236" t="str">
        <f>D4</f>
        <v>ELM25-0465A</v>
      </c>
      <c r="F63" s="237"/>
      <c r="G63" s="84"/>
      <c r="H63" s="84"/>
      <c r="I63" s="84"/>
      <c r="J63" s="84"/>
      <c r="K63" s="84"/>
      <c r="L63" s="84"/>
      <c r="M63" s="84"/>
      <c r="N63" s="84"/>
      <c r="O63" s="84"/>
      <c r="P63" s="84"/>
      <c r="Q63" s="238"/>
      <c r="R63" s="84"/>
      <c r="S63" s="133"/>
      <c r="T63" s="119"/>
    </row>
    <row r="64" spans="1:20">
      <c r="B64" s="132"/>
      <c r="D64" s="136" t="s">
        <v>50</v>
      </c>
      <c r="E64" s="236" t="str">
        <f>D5</f>
        <v>Tender</v>
      </c>
      <c r="F64" s="237"/>
      <c r="G64" s="84"/>
      <c r="H64" s="84"/>
      <c r="I64" s="84"/>
      <c r="J64" s="84"/>
      <c r="K64" s="84"/>
      <c r="L64" s="84"/>
      <c r="M64" s="84"/>
      <c r="N64" s="84"/>
      <c r="O64" s="84"/>
      <c r="P64" s="84"/>
      <c r="Q64" s="238"/>
      <c r="R64" s="84"/>
      <c r="S64" s="133"/>
      <c r="T64" s="119"/>
    </row>
    <row r="65" spans="2:20">
      <c r="B65" s="132"/>
      <c r="S65" s="133" t="s">
        <v>48</v>
      </c>
      <c r="T65" s="119"/>
    </row>
    <row r="66" spans="2:20">
      <c r="B66" s="132"/>
      <c r="D66" s="136" t="s">
        <v>47</v>
      </c>
      <c r="E66" s="137"/>
      <c r="F66" s="137"/>
      <c r="G66" s="138"/>
      <c r="H66" s="138"/>
      <c r="I66" s="138"/>
      <c r="J66" s="138"/>
      <c r="K66" s="138"/>
      <c r="L66" s="138"/>
      <c r="M66" s="138"/>
      <c r="N66" s="138"/>
      <c r="O66" s="138"/>
      <c r="P66" s="138"/>
      <c r="S66" s="139"/>
      <c r="T66" s="140"/>
    </row>
    <row r="67" spans="2:20">
      <c r="B67" s="132"/>
      <c r="D67" s="136" t="s">
        <v>245</v>
      </c>
      <c r="E67" s="137"/>
      <c r="F67" s="137"/>
      <c r="G67" s="138"/>
      <c r="H67" s="138"/>
      <c r="I67" s="138"/>
      <c r="J67" s="138"/>
      <c r="K67" s="138"/>
      <c r="L67" s="138"/>
      <c r="M67" s="138"/>
      <c r="N67" s="138"/>
      <c r="O67" s="138"/>
      <c r="P67" s="138"/>
      <c r="S67" s="139"/>
      <c r="T67" s="140"/>
    </row>
    <row r="68" spans="2:20">
      <c r="B68" s="141"/>
      <c r="C68" s="52"/>
      <c r="D68" s="52"/>
      <c r="E68" s="52"/>
      <c r="F68" s="52"/>
      <c r="G68" s="52"/>
      <c r="H68" s="52"/>
      <c r="I68" s="52"/>
      <c r="J68" s="52"/>
      <c r="K68" s="52"/>
      <c r="L68" s="52"/>
      <c r="M68" s="52"/>
      <c r="N68" s="52"/>
      <c r="O68" s="52"/>
      <c r="P68" s="52"/>
      <c r="Q68" s="52"/>
      <c r="R68" s="52"/>
      <c r="S68" s="52"/>
      <c r="T68" s="142"/>
    </row>
    <row r="69" spans="2:20" ht="14.25" customHeight="1">
      <c r="B69" s="132"/>
      <c r="T69" s="140"/>
    </row>
    <row r="70" spans="2:20" ht="15.6">
      <c r="B70" s="132"/>
      <c r="E70" s="143" t="s">
        <v>194</v>
      </c>
      <c r="F70" s="117"/>
      <c r="G70" s="117"/>
      <c r="H70" s="117"/>
      <c r="I70" s="117"/>
      <c r="J70" s="117"/>
      <c r="K70" s="117"/>
      <c r="L70" s="117"/>
      <c r="M70" s="117"/>
      <c r="N70" s="117"/>
      <c r="O70" s="117"/>
      <c r="P70" s="117"/>
      <c r="Q70" s="117"/>
      <c r="R70" s="117"/>
      <c r="S70" s="62"/>
      <c r="T70" s="140"/>
    </row>
    <row r="71" spans="2:20">
      <c r="B71" s="132"/>
      <c r="E71" s="145"/>
      <c r="F71" s="117"/>
      <c r="G71" s="117"/>
      <c r="H71" s="117"/>
      <c r="I71" s="117"/>
      <c r="J71" s="117"/>
      <c r="K71" s="117"/>
      <c r="L71" s="117"/>
      <c r="M71" s="117"/>
      <c r="N71" s="117"/>
      <c r="O71" s="117"/>
      <c r="P71" s="117"/>
      <c r="Q71" s="117"/>
      <c r="R71" s="117"/>
      <c r="S71" s="62"/>
      <c r="T71" s="140"/>
    </row>
    <row r="72" spans="2:20">
      <c r="B72" s="265"/>
      <c r="C72" s="312">
        <f ca="1">IF($A$33="MIXED",F23/(1-Q2)+F24/(1-Q3)+F25/(1-Q4)+F26/(1-Q5)+F27/(1-Q6)+F28/(1-Q7)+F29/(1-Q8)+F30/(1-Q9)+F31/(1-Q10)+F32/(1-Q11)-SUM(A23:A32),   F23/(1-Q2)+F24/(1-Q3)+F25/(1-Q4)+F26/(1-Q5)+F27/(1-Q6)+F28/(1-Q7)+F29/(1-Q8)+F30/(1-Q9)+F31/(1-Q10)+F32/(1-Q11))</f>
        <v>209377.85999999993</v>
      </c>
      <c r="E72" s="114" t="s">
        <v>235</v>
      </c>
      <c r="F72" s="375">
        <f ca="1">IF(D6="VAT INCLUDED",C72/($C$1*1.18),C72/$C$1)</f>
        <v>209377.85999999993</v>
      </c>
      <c r="G72" s="117"/>
      <c r="H72" s="117"/>
      <c r="I72" s="117"/>
      <c r="J72" s="117"/>
      <c r="K72" s="117"/>
      <c r="L72" s="117"/>
      <c r="M72" s="117"/>
      <c r="N72" s="117"/>
      <c r="O72" s="117"/>
      <c r="P72" s="117"/>
      <c r="Q72" s="117"/>
      <c r="R72" s="117"/>
      <c r="S72" s="62"/>
      <c r="T72" s="140"/>
    </row>
    <row r="73" spans="2:20">
      <c r="B73" s="132"/>
      <c r="F73" s="381"/>
      <c r="G73" s="117"/>
      <c r="H73" s="117"/>
      <c r="I73" s="117"/>
      <c r="J73" s="117"/>
      <c r="K73" s="117"/>
      <c r="L73" s="117"/>
      <c r="M73" s="117"/>
      <c r="N73" s="117"/>
      <c r="O73" s="117"/>
      <c r="P73" s="117"/>
      <c r="Q73" s="117"/>
      <c r="R73" s="117"/>
      <c r="S73" s="62"/>
      <c r="T73" s="140"/>
    </row>
    <row r="74" spans="2:20" ht="15" customHeight="1">
      <c r="B74" s="265"/>
      <c r="E74" s="384" t="s">
        <v>236</v>
      </c>
      <c r="F74" s="382">
        <f ca="1">(F72-F75)/F72</f>
        <v>0</v>
      </c>
      <c r="G74" s="146"/>
      <c r="H74" s="146"/>
      <c r="I74" s="146"/>
      <c r="J74" s="146"/>
      <c r="K74" s="146"/>
      <c r="L74" s="146"/>
      <c r="M74" s="146"/>
      <c r="N74" s="146"/>
      <c r="O74" s="146"/>
      <c r="P74" s="146"/>
      <c r="Q74" s="147"/>
      <c r="T74" s="140"/>
    </row>
    <row r="75" spans="2:20">
      <c r="B75" s="266"/>
      <c r="E75" s="135" t="s">
        <v>234</v>
      </c>
      <c r="F75" s="383">
        <f ca="1">IF(D6="VAT INCLUDED",E35/($C$1*1.18),E35/$C$1)</f>
        <v>209377.85999999993</v>
      </c>
      <c r="T75" s="140"/>
    </row>
    <row r="76" spans="2:20" ht="14.25" customHeight="1">
      <c r="B76" s="132"/>
      <c r="E76" s="114"/>
      <c r="F76" s="239"/>
      <c r="R76" s="114"/>
      <c r="T76" s="140"/>
    </row>
    <row r="77" spans="2:20" ht="15.6">
      <c r="B77" s="148"/>
      <c r="C77" s="149"/>
      <c r="E77" s="150" t="s">
        <v>192</v>
      </c>
      <c r="F77" s="414">
        <f>$D$9</f>
        <v>27.46</v>
      </c>
      <c r="G77" s="151"/>
      <c r="H77" s="152"/>
      <c r="I77" s="153"/>
      <c r="J77" s="154"/>
      <c r="K77" s="154"/>
      <c r="L77" s="154"/>
      <c r="M77" s="154"/>
      <c r="N77" s="154"/>
      <c r="O77" s="154"/>
      <c r="P77" s="154"/>
      <c r="Q77" s="155"/>
      <c r="R77" s="114" t="s">
        <v>173</v>
      </c>
      <c r="S77" s="144"/>
      <c r="T77" s="140"/>
    </row>
    <row r="78" spans="2:20" ht="15.6">
      <c r="B78" s="148"/>
      <c r="C78" s="149"/>
      <c r="E78" s="156"/>
      <c r="F78" s="157"/>
      <c r="G78" s="158"/>
      <c r="H78" s="159"/>
      <c r="I78" s="160"/>
      <c r="J78" s="155"/>
      <c r="K78" s="155"/>
      <c r="L78" s="155"/>
      <c r="M78" s="155"/>
      <c r="N78" s="155"/>
      <c r="O78" s="155"/>
      <c r="P78" s="155"/>
      <c r="Q78" s="155"/>
      <c r="T78" s="140"/>
    </row>
    <row r="79" spans="2:20" ht="15.6">
      <c r="B79" s="148"/>
      <c r="C79" s="149"/>
      <c r="E79" s="156"/>
      <c r="F79" s="157"/>
      <c r="G79" s="158"/>
      <c r="H79" s="159"/>
      <c r="I79" s="160"/>
      <c r="J79" s="155"/>
      <c r="K79" s="155"/>
      <c r="L79" s="155"/>
      <c r="M79" s="155"/>
      <c r="N79" s="155"/>
      <c r="O79" s="155"/>
      <c r="P79" s="155"/>
      <c r="Q79" s="155"/>
      <c r="T79" s="140"/>
    </row>
    <row r="80" spans="2:20" ht="15">
      <c r="B80" s="148"/>
      <c r="C80" s="149"/>
      <c r="D80" s="161" t="s">
        <v>51</v>
      </c>
      <c r="E80" s="162" t="s">
        <v>68</v>
      </c>
      <c r="F80" s="163" t="s">
        <v>52</v>
      </c>
      <c r="G80" s="164"/>
      <c r="H80" s="164"/>
      <c r="I80" s="164"/>
      <c r="J80" s="164"/>
      <c r="K80" s="164"/>
      <c r="L80" s="164"/>
      <c r="M80" s="164"/>
      <c r="N80" s="164"/>
      <c r="O80" s="164"/>
      <c r="P80" s="164"/>
      <c r="Q80" s="164"/>
      <c r="R80" s="162" t="s">
        <v>226</v>
      </c>
      <c r="S80" s="165"/>
      <c r="T80" s="140"/>
    </row>
    <row r="81" spans="2:20" ht="13.8">
      <c r="B81" s="132"/>
      <c r="D81" s="166" t="s">
        <v>231</v>
      </c>
      <c r="E81" s="72" t="s">
        <v>233</v>
      </c>
      <c r="F81" s="167" t="s">
        <v>231</v>
      </c>
      <c r="R81" s="248"/>
      <c r="S81" s="140"/>
      <c r="T81" s="168"/>
    </row>
    <row r="82" spans="2:20">
      <c r="B82" s="132"/>
      <c r="D82" s="169"/>
      <c r="S82" s="170"/>
      <c r="T82" s="140"/>
    </row>
    <row r="83" spans="2:20">
      <c r="B83" s="132"/>
      <c r="D83" s="376">
        <f ca="1">R165</f>
        <v>129825.07849999997</v>
      </c>
      <c r="E83" s="377">
        <f ca="1">T165</f>
        <v>949.21999999999991</v>
      </c>
      <c r="F83" s="378">
        <f ca="1">R165+S165</f>
        <v>155890.65969999996</v>
      </c>
      <c r="G83" s="379"/>
      <c r="H83" s="379"/>
      <c r="I83" s="379"/>
      <c r="J83" s="379"/>
      <c r="K83" s="379"/>
      <c r="L83" s="379"/>
      <c r="M83" s="379"/>
      <c r="N83" s="379"/>
      <c r="O83" s="379"/>
      <c r="P83" s="379"/>
      <c r="Q83" s="379"/>
      <c r="R83" s="380">
        <f ca="1">IF(F83=0,0,F75/F83)</f>
        <v>1.3431071521727609</v>
      </c>
      <c r="S83" s="170"/>
      <c r="T83" s="140"/>
    </row>
    <row r="84" spans="2:20">
      <c r="B84" s="132"/>
      <c r="D84" s="1166" t="s">
        <v>174</v>
      </c>
      <c r="E84" s="1167"/>
      <c r="S84" s="140"/>
      <c r="T84" s="170"/>
    </row>
    <row r="85" spans="2:20" ht="15">
      <c r="B85" s="132"/>
      <c r="D85" s="171"/>
      <c r="E85" s="52"/>
      <c r="F85" s="52"/>
      <c r="G85" s="52"/>
      <c r="H85" s="172"/>
      <c r="I85" s="173"/>
      <c r="J85" s="52"/>
      <c r="K85" s="52"/>
      <c r="L85" s="52"/>
      <c r="M85" s="52"/>
      <c r="N85" s="52"/>
      <c r="O85" s="52"/>
      <c r="P85" s="52"/>
      <c r="Q85" s="52"/>
      <c r="R85" s="52"/>
      <c r="S85" s="142"/>
      <c r="T85" s="140"/>
    </row>
    <row r="86" spans="2:20" ht="15">
      <c r="B86" s="132"/>
      <c r="H86" s="174"/>
      <c r="I86" s="149"/>
      <c r="T86" s="140"/>
    </row>
    <row r="87" spans="2:20" ht="15">
      <c r="B87" s="132"/>
      <c r="H87" s="174"/>
      <c r="I87" s="149"/>
      <c r="R87" s="114" t="s">
        <v>53</v>
      </c>
      <c r="S87" s="175"/>
      <c r="T87" s="140"/>
    </row>
    <row r="88" spans="2:20" ht="15">
      <c r="B88" s="132"/>
      <c r="H88" s="174"/>
      <c r="I88" s="149"/>
      <c r="R88" s="114" t="s">
        <v>54</v>
      </c>
      <c r="S88" s="175"/>
      <c r="T88" s="140"/>
    </row>
    <row r="89" spans="2:20" ht="15">
      <c r="B89" s="132"/>
      <c r="H89" s="174"/>
      <c r="I89" s="149"/>
      <c r="R89" s="114"/>
      <c r="S89" s="176"/>
      <c r="T89" s="140"/>
    </row>
    <row r="90" spans="2:20" ht="15">
      <c r="B90" s="132"/>
      <c r="H90" s="174"/>
      <c r="I90" s="149"/>
      <c r="R90" s="114" t="s">
        <v>55</v>
      </c>
      <c r="S90" s="177"/>
      <c r="T90" s="140"/>
    </row>
    <row r="91" spans="2:20" ht="15">
      <c r="B91" s="132"/>
      <c r="I91" s="149"/>
      <c r="R91" s="114" t="s">
        <v>56</v>
      </c>
      <c r="S91" s="178"/>
      <c r="T91" s="140"/>
    </row>
    <row r="92" spans="2:20" ht="15">
      <c r="B92" s="132"/>
      <c r="I92" s="149"/>
      <c r="J92" s="179"/>
      <c r="K92" s="180"/>
      <c r="L92" s="180"/>
      <c r="M92" s="180"/>
      <c r="N92" s="180"/>
      <c r="O92" s="180"/>
      <c r="P92" s="180"/>
      <c r="Q92" s="180"/>
      <c r="R92" s="114" t="s">
        <v>57</v>
      </c>
      <c r="S92" s="178"/>
      <c r="T92" s="140"/>
    </row>
    <row r="93" spans="2:20" ht="15">
      <c r="B93" s="132"/>
      <c r="D93" s="181" t="s">
        <v>58</v>
      </c>
      <c r="G93" s="182"/>
      <c r="I93" s="149"/>
      <c r="J93" s="179"/>
      <c r="K93" s="180"/>
      <c r="L93" s="180"/>
      <c r="M93" s="180"/>
      <c r="N93" s="180"/>
      <c r="O93" s="180"/>
      <c r="P93" s="180"/>
      <c r="Q93" s="180"/>
      <c r="R93" s="114"/>
      <c r="T93" s="140"/>
    </row>
    <row r="94" spans="2:20" ht="15.6">
      <c r="B94" s="132"/>
      <c r="D94" s="183" t="s">
        <v>264</v>
      </c>
      <c r="G94" s="182"/>
      <c r="I94" s="149"/>
      <c r="J94" s="179"/>
      <c r="K94" s="180"/>
      <c r="L94" s="180"/>
      <c r="M94" s="180"/>
      <c r="N94" s="180"/>
      <c r="O94" s="180"/>
      <c r="P94" s="180"/>
      <c r="Q94" s="180"/>
      <c r="R94" s="114" t="s">
        <v>59</v>
      </c>
      <c r="S94" s="178"/>
      <c r="T94" s="140"/>
    </row>
    <row r="95" spans="2:20" ht="15">
      <c r="B95" s="132"/>
      <c r="D95" s="184">
        <f ca="1">NOW()</f>
        <v>45925.647620023148</v>
      </c>
      <c r="G95" s="182"/>
      <c r="I95" s="149"/>
      <c r="J95" s="179"/>
      <c r="K95" s="180"/>
      <c r="L95" s="180"/>
      <c r="M95" s="180"/>
      <c r="N95" s="180"/>
      <c r="O95" s="180"/>
      <c r="P95" s="180"/>
      <c r="Q95" s="180"/>
      <c r="R95" s="180"/>
      <c r="T95" s="140"/>
    </row>
    <row r="96" spans="2:20" s="189" customFormat="1" ht="15">
      <c r="B96" s="141"/>
      <c r="C96" s="52"/>
      <c r="D96" s="52"/>
      <c r="E96" s="52"/>
      <c r="F96" s="52"/>
      <c r="G96" s="52"/>
      <c r="H96" s="52"/>
      <c r="I96" s="173"/>
      <c r="J96" s="185"/>
      <c r="K96" s="186"/>
      <c r="L96" s="186"/>
      <c r="M96" s="186"/>
      <c r="N96" s="186"/>
      <c r="O96" s="186"/>
      <c r="P96" s="186"/>
      <c r="Q96" s="186"/>
      <c r="R96" s="186"/>
      <c r="S96" s="187"/>
      <c r="T96" s="188"/>
    </row>
    <row r="97" spans="1:20" s="189" customFormat="1" ht="12" customHeight="1">
      <c r="B97" s="111"/>
      <c r="C97" s="34"/>
      <c r="D97" s="34"/>
      <c r="E97" s="34"/>
      <c r="F97" s="34"/>
      <c r="G97" s="34"/>
      <c r="H97" s="149"/>
      <c r="I97" s="149"/>
      <c r="J97" s="179"/>
      <c r="K97" s="180"/>
      <c r="L97" s="180"/>
      <c r="M97" s="180"/>
      <c r="N97" s="180"/>
      <c r="O97" s="180"/>
      <c r="P97" s="180"/>
      <c r="Q97" s="180"/>
      <c r="R97" s="180"/>
      <c r="S97" s="124"/>
      <c r="T97" s="124"/>
    </row>
    <row r="98" spans="1:20" ht="21" customHeight="1">
      <c r="B98" s="190"/>
      <c r="C98" s="191"/>
      <c r="D98" s="191" t="s">
        <v>41</v>
      </c>
      <c r="E98" s="192"/>
      <c r="F98" s="192"/>
      <c r="G98" s="192"/>
      <c r="H98" s="193"/>
      <c r="I98" s="194"/>
      <c r="J98" s="195"/>
      <c r="K98" s="195"/>
      <c r="L98" s="195"/>
      <c r="M98" s="195"/>
      <c r="N98" s="195"/>
      <c r="O98" s="195"/>
      <c r="P98" s="195"/>
      <c r="Q98" s="195"/>
      <c r="R98" s="195"/>
      <c r="S98" s="196"/>
      <c r="T98" s="197"/>
    </row>
    <row r="99" spans="1:20" ht="15">
      <c r="B99" s="198"/>
      <c r="C99" s="199"/>
      <c r="D99" s="199" t="s">
        <v>60</v>
      </c>
      <c r="E99" s="200"/>
      <c r="F99" s="200"/>
      <c r="G99" s="200"/>
      <c r="H99" s="201"/>
      <c r="I99" s="172"/>
      <c r="J99" s="202"/>
      <c r="K99" s="202"/>
      <c r="L99" s="202"/>
      <c r="M99" s="202"/>
      <c r="N99" s="202"/>
      <c r="O99" s="202"/>
      <c r="P99" s="202"/>
      <c r="Q99" s="202"/>
      <c r="R99" s="202"/>
      <c r="S99" s="202"/>
      <c r="T99" s="203"/>
    </row>
    <row r="100" spans="1:20" ht="15">
      <c r="B100" s="204"/>
      <c r="C100" s="205"/>
      <c r="D100" s="206"/>
      <c r="E100" s="117"/>
      <c r="F100" s="117"/>
      <c r="G100" s="117"/>
      <c r="H100" s="182"/>
      <c r="I100" s="174"/>
      <c r="J100" s="207"/>
      <c r="K100" s="207"/>
      <c r="L100" s="207"/>
      <c r="M100" s="207"/>
      <c r="N100" s="207"/>
      <c r="O100" s="207"/>
      <c r="P100" s="207"/>
      <c r="Q100" s="207"/>
      <c r="R100" s="207"/>
      <c r="S100" s="207"/>
      <c r="T100" s="208"/>
    </row>
    <row r="101" spans="1:20" ht="15">
      <c r="B101" s="132"/>
      <c r="D101" s="209" t="s">
        <v>61</v>
      </c>
      <c r="E101" s="240" t="str">
        <f>E61</f>
        <v>Intercontinental - Plant Retrofit</v>
      </c>
      <c r="F101" s="238"/>
      <c r="G101" s="241"/>
      <c r="H101" s="242"/>
      <c r="I101" s="242"/>
      <c r="J101" s="238"/>
      <c r="K101" s="238"/>
      <c r="L101" s="238"/>
      <c r="M101" s="238"/>
      <c r="N101" s="238"/>
      <c r="O101" s="238"/>
      <c r="P101" s="238"/>
      <c r="Q101" s="238"/>
      <c r="R101" s="238"/>
      <c r="S101" s="84"/>
      <c r="T101" s="140"/>
    </row>
    <row r="102" spans="1:20" ht="15">
      <c r="B102" s="132"/>
      <c r="D102" s="209" t="s">
        <v>62</v>
      </c>
      <c r="E102" s="240" t="str">
        <f>E62</f>
        <v>Retrofitting works for the HVAC plant at Intercontinental Revision A</v>
      </c>
      <c r="F102" s="238"/>
      <c r="G102" s="241"/>
      <c r="H102" s="242"/>
      <c r="I102" s="242"/>
      <c r="J102" s="238"/>
      <c r="K102" s="238"/>
      <c r="L102" s="238"/>
      <c r="M102" s="238"/>
      <c r="N102" s="238"/>
      <c r="O102" s="238"/>
      <c r="P102" s="238"/>
      <c r="Q102" s="238"/>
      <c r="R102" s="238"/>
      <c r="S102" s="84"/>
      <c r="T102" s="140"/>
    </row>
    <row r="103" spans="1:20" ht="15">
      <c r="B103" s="210"/>
      <c r="C103" s="211"/>
      <c r="D103" s="136" t="s">
        <v>50</v>
      </c>
      <c r="E103" s="240" t="str">
        <f>E64</f>
        <v>Tender</v>
      </c>
      <c r="F103" s="84"/>
      <c r="G103" s="84"/>
      <c r="H103" s="242"/>
      <c r="I103" s="242"/>
      <c r="J103" s="84"/>
      <c r="K103" s="84"/>
      <c r="L103" s="84"/>
      <c r="M103" s="84"/>
      <c r="N103" s="84"/>
      <c r="O103" s="84"/>
      <c r="P103" s="84"/>
      <c r="Q103" s="84"/>
      <c r="R103" s="84"/>
      <c r="S103" s="84"/>
      <c r="T103" s="140"/>
    </row>
    <row r="104" spans="1:20" ht="15">
      <c r="B104" s="210"/>
      <c r="C104" s="211"/>
      <c r="D104" s="212"/>
      <c r="F104" s="213"/>
      <c r="G104" s="109"/>
      <c r="H104" s="149"/>
      <c r="I104" s="149"/>
      <c r="T104" s="214"/>
    </row>
    <row r="105" spans="1:20">
      <c r="B105" s="215"/>
      <c r="C105" s="164"/>
      <c r="D105" s="164"/>
      <c r="E105" s="164"/>
      <c r="F105" s="216"/>
      <c r="G105" s="164"/>
      <c r="H105" s="164"/>
      <c r="I105" s="164"/>
      <c r="J105" s="164"/>
      <c r="K105" s="164"/>
      <c r="L105" s="164"/>
      <c r="M105" s="164"/>
      <c r="N105" s="164"/>
      <c r="O105" s="164"/>
      <c r="P105" s="164"/>
      <c r="Q105" s="216"/>
      <c r="R105" s="165"/>
      <c r="S105" s="165"/>
      <c r="T105" s="165"/>
    </row>
    <row r="106" spans="1:20">
      <c r="B106" s="132"/>
      <c r="D106" s="73" t="s">
        <v>63</v>
      </c>
      <c r="F106" s="360" t="s">
        <v>64</v>
      </c>
      <c r="G106" s="361"/>
      <c r="H106" s="362"/>
      <c r="I106" s="362"/>
      <c r="J106" s="362"/>
      <c r="K106" s="362"/>
      <c r="L106" s="362"/>
      <c r="M106" s="362"/>
      <c r="N106" s="362"/>
      <c r="O106" s="362"/>
      <c r="P106" s="363"/>
      <c r="Q106" s="360" t="s">
        <v>65</v>
      </c>
      <c r="R106" s="359" t="s">
        <v>66</v>
      </c>
      <c r="S106" s="359" t="s">
        <v>67</v>
      </c>
      <c r="T106" s="359" t="s">
        <v>68</v>
      </c>
    </row>
    <row r="107" spans="1:20" ht="13.8">
      <c r="B107" s="217"/>
      <c r="C107" s="218"/>
      <c r="D107" s="4"/>
      <c r="F107" s="360" t="s">
        <v>69</v>
      </c>
      <c r="G107" s="361"/>
      <c r="H107" s="362"/>
      <c r="I107" s="362"/>
      <c r="J107" s="362"/>
      <c r="K107" s="362"/>
      <c r="L107" s="362"/>
      <c r="M107" s="362"/>
      <c r="N107" s="362"/>
      <c r="O107" s="362"/>
      <c r="P107" s="364"/>
      <c r="Q107" s="360" t="s">
        <v>70</v>
      </c>
      <c r="R107" s="219" t="s">
        <v>231</v>
      </c>
      <c r="S107" s="401">
        <f>$D$9</f>
        <v>27.46</v>
      </c>
      <c r="T107" s="219" t="s">
        <v>233</v>
      </c>
    </row>
    <row r="108" spans="1:20">
      <c r="B108" s="448" t="s">
        <v>71</v>
      </c>
      <c r="C108" s="52"/>
      <c r="D108" s="311" t="s">
        <v>209</v>
      </c>
      <c r="E108" s="52"/>
      <c r="F108" s="220"/>
      <c r="P108" s="323" t="s">
        <v>27</v>
      </c>
      <c r="Q108" s="257">
        <v>1</v>
      </c>
      <c r="R108" s="142"/>
      <c r="S108" s="142"/>
      <c r="T108" s="142"/>
    </row>
    <row r="109" spans="1:20">
      <c r="A109" s="140"/>
      <c r="B109" s="451" t="s">
        <v>72</v>
      </c>
      <c r="C109" s="4" t="s">
        <v>73</v>
      </c>
      <c r="D109" s="34" t="s">
        <v>74</v>
      </c>
      <c r="E109" s="140"/>
      <c r="F109" s="331">
        <v>501</v>
      </c>
      <c r="G109" s="58"/>
      <c r="P109" s="321">
        <v>1</v>
      </c>
      <c r="Q109" s="221">
        <v>1</v>
      </c>
      <c r="R109" s="255">
        <f ca="1">Elec_Est!R3151</f>
        <v>1948.364</v>
      </c>
      <c r="S109" s="358">
        <f ca="1">T109*$D$9</f>
        <v>0</v>
      </c>
      <c r="T109" s="255">
        <f ca="1">Elec_Est!T3151</f>
        <v>0</v>
      </c>
    </row>
    <row r="110" spans="1:20">
      <c r="A110" s="140"/>
      <c r="B110" s="451">
        <v>2</v>
      </c>
      <c r="C110" s="4" t="s">
        <v>73</v>
      </c>
      <c r="D110" s="34" t="s">
        <v>75</v>
      </c>
      <c r="E110" s="140"/>
      <c r="F110" s="331">
        <v>505</v>
      </c>
      <c r="G110" s="58"/>
      <c r="P110" s="321">
        <v>1</v>
      </c>
      <c r="Q110" s="221">
        <v>1</v>
      </c>
      <c r="R110" s="255">
        <f>Elec_Est!R3152</f>
        <v>0</v>
      </c>
      <c r="S110" s="358">
        <f t="shared" ref="S110:S164" si="15">T110*$D$9</f>
        <v>0</v>
      </c>
      <c r="T110" s="255">
        <f>Elec_Est!T3152</f>
        <v>0</v>
      </c>
    </row>
    <row r="111" spans="1:20">
      <c r="A111" s="140"/>
      <c r="B111" s="451">
        <v>3</v>
      </c>
      <c r="C111" s="4" t="s">
        <v>73</v>
      </c>
      <c r="D111" s="34" t="s">
        <v>76</v>
      </c>
      <c r="E111" s="140"/>
      <c r="F111" s="331">
        <v>510</v>
      </c>
      <c r="G111" s="58"/>
      <c r="P111" s="321">
        <v>2</v>
      </c>
      <c r="Q111" s="221">
        <v>1</v>
      </c>
      <c r="R111" s="255">
        <f>Elec_Est!R3153</f>
        <v>0</v>
      </c>
      <c r="S111" s="358">
        <f t="shared" si="15"/>
        <v>0</v>
      </c>
      <c r="T111" s="255">
        <f>Elec_Est!T3153</f>
        <v>0</v>
      </c>
    </row>
    <row r="112" spans="1:20">
      <c r="A112" s="140"/>
      <c r="B112" s="451">
        <v>4</v>
      </c>
      <c r="C112" s="4" t="s">
        <v>73</v>
      </c>
      <c r="D112" s="34" t="s">
        <v>77</v>
      </c>
      <c r="E112" s="140"/>
      <c r="F112" s="331">
        <v>511</v>
      </c>
      <c r="G112" s="58"/>
      <c r="P112" s="321">
        <v>2</v>
      </c>
      <c r="Q112" s="221">
        <v>1</v>
      </c>
      <c r="R112" s="255">
        <f>Elec_Est!R3154</f>
        <v>0</v>
      </c>
      <c r="S112" s="358">
        <f t="shared" si="15"/>
        <v>0</v>
      </c>
      <c r="T112" s="255">
        <f>Elec_Est!T3154</f>
        <v>0</v>
      </c>
    </row>
    <row r="113" spans="1:20">
      <c r="A113" s="140"/>
      <c r="B113" s="451">
        <v>5</v>
      </c>
      <c r="C113" s="4" t="s">
        <v>73</v>
      </c>
      <c r="D113" s="34" t="s">
        <v>78</v>
      </c>
      <c r="E113" s="140"/>
      <c r="F113" s="331">
        <v>512</v>
      </c>
      <c r="G113" s="58"/>
      <c r="P113" s="321">
        <v>2</v>
      </c>
      <c r="Q113" s="221">
        <v>1</v>
      </c>
      <c r="R113" s="255">
        <f>Elec_Est!R3155</f>
        <v>70901.5</v>
      </c>
      <c r="S113" s="358">
        <f t="shared" si="15"/>
        <v>2196.8000000000002</v>
      </c>
      <c r="T113" s="255">
        <f>Elec_Est!T3155</f>
        <v>80</v>
      </c>
    </row>
    <row r="114" spans="1:20">
      <c r="A114" s="140"/>
      <c r="B114" s="451">
        <v>6</v>
      </c>
      <c r="C114" s="4" t="s">
        <v>73</v>
      </c>
      <c r="D114" s="34" t="s">
        <v>79</v>
      </c>
      <c r="E114" s="140"/>
      <c r="F114" s="331">
        <v>520</v>
      </c>
      <c r="G114" s="58"/>
      <c r="P114" s="321">
        <v>1</v>
      </c>
      <c r="Q114" s="221">
        <v>1</v>
      </c>
      <c r="R114" s="255">
        <f>Elec_Est!R3156</f>
        <v>0</v>
      </c>
      <c r="S114" s="358">
        <f t="shared" si="15"/>
        <v>0</v>
      </c>
      <c r="T114" s="255">
        <f>Elec_Est!T3156</f>
        <v>0</v>
      </c>
    </row>
    <row r="115" spans="1:20">
      <c r="A115" s="140"/>
      <c r="B115" s="451">
        <v>7</v>
      </c>
      <c r="C115" s="4" t="s">
        <v>73</v>
      </c>
      <c r="D115" s="34" t="s">
        <v>80</v>
      </c>
      <c r="E115" s="140"/>
      <c r="F115" s="331">
        <v>530</v>
      </c>
      <c r="G115" s="58"/>
      <c r="P115" s="321">
        <v>2</v>
      </c>
      <c r="Q115" s="221">
        <v>1</v>
      </c>
      <c r="R115" s="255">
        <f>Elec_Est!R3157</f>
        <v>0</v>
      </c>
      <c r="S115" s="358">
        <f t="shared" si="15"/>
        <v>0</v>
      </c>
      <c r="T115" s="255">
        <f>Elec_Est!T3157</f>
        <v>0</v>
      </c>
    </row>
    <row r="116" spans="1:20">
      <c r="A116" s="140"/>
      <c r="B116" s="451">
        <v>8</v>
      </c>
      <c r="C116" s="4" t="s">
        <v>73</v>
      </c>
      <c r="D116" s="34" t="s">
        <v>81</v>
      </c>
      <c r="E116" s="140"/>
      <c r="F116" s="331">
        <v>550</v>
      </c>
      <c r="G116" s="58"/>
      <c r="P116" s="321">
        <v>2</v>
      </c>
      <c r="Q116" s="221">
        <v>1</v>
      </c>
      <c r="R116" s="255">
        <f>Elec_Est!R3158</f>
        <v>0</v>
      </c>
      <c r="S116" s="358">
        <f t="shared" si="15"/>
        <v>0</v>
      </c>
      <c r="T116" s="255">
        <f>Elec_Est!T3158</f>
        <v>0</v>
      </c>
    </row>
    <row r="117" spans="1:20">
      <c r="A117" s="140"/>
      <c r="B117" s="451">
        <v>9</v>
      </c>
      <c r="C117" s="4" t="s">
        <v>73</v>
      </c>
      <c r="D117" s="34" t="s">
        <v>82</v>
      </c>
      <c r="E117" s="140"/>
      <c r="F117" s="331">
        <v>570</v>
      </c>
      <c r="G117" s="58"/>
      <c r="P117" s="321">
        <v>2</v>
      </c>
      <c r="Q117" s="221">
        <v>1</v>
      </c>
      <c r="R117" s="255">
        <f ca="1">Elec_Est!R3159</f>
        <v>35715</v>
      </c>
      <c r="S117" s="358">
        <f t="shared" ca="1" si="15"/>
        <v>6210.3536000000004</v>
      </c>
      <c r="T117" s="255">
        <f ca="1">Elec_Est!T3159</f>
        <v>226.16</v>
      </c>
    </row>
    <row r="118" spans="1:20">
      <c r="A118" s="140"/>
      <c r="B118" s="451">
        <v>10</v>
      </c>
      <c r="C118" s="4" t="s">
        <v>73</v>
      </c>
      <c r="D118" s="34" t="s">
        <v>83</v>
      </c>
      <c r="E118" s="140"/>
      <c r="F118" s="331">
        <v>615</v>
      </c>
      <c r="G118" s="58"/>
      <c r="P118" s="321">
        <v>2</v>
      </c>
      <c r="Q118" s="221">
        <v>1</v>
      </c>
      <c r="R118" s="255">
        <f ca="1">Elec_Est!R3160</f>
        <v>185</v>
      </c>
      <c r="S118" s="358">
        <f t="shared" ca="1" si="15"/>
        <v>172.99799999999999</v>
      </c>
      <c r="T118" s="255">
        <f ca="1">Elec_Est!T3160</f>
        <v>6.3</v>
      </c>
    </row>
    <row r="119" spans="1:20">
      <c r="A119" s="140"/>
      <c r="B119" s="451" t="s">
        <v>84</v>
      </c>
      <c r="C119" s="4" t="s">
        <v>73</v>
      </c>
      <c r="D119" s="34" t="s">
        <v>85</v>
      </c>
      <c r="E119" s="140"/>
      <c r="F119" s="331">
        <v>616</v>
      </c>
      <c r="G119" s="58"/>
      <c r="P119" s="321">
        <v>2</v>
      </c>
      <c r="Q119" s="221">
        <v>1</v>
      </c>
      <c r="R119" s="255">
        <f ca="1">Elec_Est!R3161</f>
        <v>853.62000000000023</v>
      </c>
      <c r="S119" s="358">
        <f t="shared" ca="1" si="15"/>
        <v>268.55879999999996</v>
      </c>
      <c r="T119" s="255">
        <f ca="1">Elec_Est!T3161</f>
        <v>9.7799999999999976</v>
      </c>
    </row>
    <row r="120" spans="1:20">
      <c r="A120" s="140"/>
      <c r="B120" s="451">
        <v>12</v>
      </c>
      <c r="C120" s="4" t="s">
        <v>73</v>
      </c>
      <c r="D120" s="34" t="s">
        <v>86</v>
      </c>
      <c r="E120" s="140"/>
      <c r="F120" s="331">
        <v>617</v>
      </c>
      <c r="G120" s="58"/>
      <c r="P120" s="321">
        <v>2</v>
      </c>
      <c r="Q120" s="221">
        <v>1</v>
      </c>
      <c r="R120" s="255">
        <f ca="1">Elec_Est!R3162</f>
        <v>3794.9375</v>
      </c>
      <c r="S120" s="358">
        <f t="shared" ca="1" si="15"/>
        <v>2207.7840000000001</v>
      </c>
      <c r="T120" s="255">
        <f ca="1">Elec_Est!T3162</f>
        <v>80.400000000000006</v>
      </c>
    </row>
    <row r="121" spans="1:20">
      <c r="A121" s="140"/>
      <c r="B121" s="451">
        <v>13</v>
      </c>
      <c r="C121" s="4" t="s">
        <v>73</v>
      </c>
      <c r="D121" s="34" t="s">
        <v>87</v>
      </c>
      <c r="E121" s="140"/>
      <c r="F121" s="331">
        <v>620</v>
      </c>
      <c r="G121" s="58"/>
      <c r="P121" s="321">
        <v>2</v>
      </c>
      <c r="Q121" s="221">
        <v>1</v>
      </c>
      <c r="R121" s="255">
        <f ca="1">Elec_Est!R3163</f>
        <v>1415.06</v>
      </c>
      <c r="S121" s="358">
        <f t="shared" ca="1" si="15"/>
        <v>2307.1892000000003</v>
      </c>
      <c r="T121" s="255">
        <f ca="1">Elec_Est!T3163</f>
        <v>84.02000000000001</v>
      </c>
    </row>
    <row r="122" spans="1:20">
      <c r="A122" s="140"/>
      <c r="B122" s="451">
        <v>14</v>
      </c>
      <c r="C122" s="4" t="s">
        <v>73</v>
      </c>
      <c r="D122" s="34" t="s">
        <v>88</v>
      </c>
      <c r="E122" s="140"/>
      <c r="F122" s="331">
        <v>650</v>
      </c>
      <c r="G122" s="58"/>
      <c r="P122" s="321">
        <v>1</v>
      </c>
      <c r="Q122" s="221">
        <v>1</v>
      </c>
      <c r="R122" s="255">
        <f ca="1">Elec_Est!R3164</f>
        <v>221.87200000000001</v>
      </c>
      <c r="S122" s="358">
        <f t="shared" ca="1" si="15"/>
        <v>242.19720000000001</v>
      </c>
      <c r="T122" s="255">
        <f ca="1">Elec_Est!T3164</f>
        <v>8.82</v>
      </c>
    </row>
    <row r="123" spans="1:20">
      <c r="A123" s="140"/>
      <c r="B123" s="451">
        <v>15</v>
      </c>
      <c r="C123" s="4" t="s">
        <v>73</v>
      </c>
      <c r="D123" s="34" t="s">
        <v>89</v>
      </c>
      <c r="E123" s="140"/>
      <c r="F123" s="331">
        <v>651</v>
      </c>
      <c r="G123" s="58"/>
      <c r="P123" s="321">
        <v>1</v>
      </c>
      <c r="Q123" s="221">
        <v>1</v>
      </c>
      <c r="R123" s="255">
        <f>Elec_Est!R3165</f>
        <v>0</v>
      </c>
      <c r="S123" s="358">
        <f t="shared" si="15"/>
        <v>0</v>
      </c>
      <c r="T123" s="255">
        <f>Elec_Est!T3165</f>
        <v>0</v>
      </c>
    </row>
    <row r="124" spans="1:20">
      <c r="A124" s="140"/>
      <c r="B124" s="451">
        <v>16</v>
      </c>
      <c r="C124" s="4" t="s">
        <v>73</v>
      </c>
      <c r="D124" s="34" t="s">
        <v>90</v>
      </c>
      <c r="E124" s="140"/>
      <c r="F124" s="331">
        <v>652</v>
      </c>
      <c r="G124" s="58"/>
      <c r="P124" s="321">
        <v>1</v>
      </c>
      <c r="Q124" s="221">
        <v>1</v>
      </c>
      <c r="R124" s="255">
        <f>Elec_Est!R3166</f>
        <v>0</v>
      </c>
      <c r="S124" s="358">
        <f t="shared" si="15"/>
        <v>0</v>
      </c>
      <c r="T124" s="255">
        <f>Elec_Est!T3166</f>
        <v>0</v>
      </c>
    </row>
    <row r="125" spans="1:20">
      <c r="A125" s="140"/>
      <c r="B125" s="451">
        <v>17</v>
      </c>
      <c r="C125" s="4" t="s">
        <v>73</v>
      </c>
      <c r="D125" s="34" t="s">
        <v>91</v>
      </c>
      <c r="E125" s="140"/>
      <c r="F125" s="331">
        <v>654</v>
      </c>
      <c r="G125" s="58"/>
      <c r="P125" s="321">
        <v>1</v>
      </c>
      <c r="Q125" s="221">
        <v>1</v>
      </c>
      <c r="R125" s="255">
        <f>Elec_Est!R3167</f>
        <v>0</v>
      </c>
      <c r="S125" s="358">
        <f t="shared" si="15"/>
        <v>0</v>
      </c>
      <c r="T125" s="255">
        <f>Elec_Est!T3167</f>
        <v>0</v>
      </c>
    </row>
    <row r="126" spans="1:20">
      <c r="A126" s="140"/>
      <c r="B126" s="451">
        <v>18</v>
      </c>
      <c r="C126" s="4" t="s">
        <v>73</v>
      </c>
      <c r="D126" s="34" t="s">
        <v>92</v>
      </c>
      <c r="E126" s="140"/>
      <c r="F126" s="331">
        <v>675</v>
      </c>
      <c r="G126" s="58"/>
      <c r="P126" s="321">
        <v>1</v>
      </c>
      <c r="Q126" s="221">
        <v>1</v>
      </c>
      <c r="R126" s="255">
        <f>Elec_Est!R3168</f>
        <v>0</v>
      </c>
      <c r="S126" s="358">
        <f t="shared" si="15"/>
        <v>0</v>
      </c>
      <c r="T126" s="255">
        <f>Elec_Est!T3168</f>
        <v>0</v>
      </c>
    </row>
    <row r="127" spans="1:20">
      <c r="A127" s="140"/>
      <c r="B127" s="451">
        <v>19</v>
      </c>
      <c r="C127" s="4" t="s">
        <v>73</v>
      </c>
      <c r="D127" s="34" t="s">
        <v>93</v>
      </c>
      <c r="E127" s="140"/>
      <c r="F127" s="331">
        <v>676</v>
      </c>
      <c r="G127" s="58"/>
      <c r="P127" s="321">
        <v>1</v>
      </c>
      <c r="Q127" s="221">
        <v>1</v>
      </c>
      <c r="R127" s="255">
        <f>Elec_Est!R3169</f>
        <v>0</v>
      </c>
      <c r="S127" s="358">
        <f t="shared" si="15"/>
        <v>0</v>
      </c>
      <c r="T127" s="255">
        <f>Elec_Est!T3169</f>
        <v>0</v>
      </c>
    </row>
    <row r="128" spans="1:20">
      <c r="A128" s="140"/>
      <c r="B128" s="451">
        <v>20</v>
      </c>
      <c r="C128" s="4" t="s">
        <v>73</v>
      </c>
      <c r="D128" s="34" t="s">
        <v>94</v>
      </c>
      <c r="E128" s="140"/>
      <c r="F128" s="331">
        <v>680</v>
      </c>
      <c r="G128" s="58"/>
      <c r="P128" s="321">
        <v>1</v>
      </c>
      <c r="Q128" s="221">
        <v>1</v>
      </c>
      <c r="R128" s="255">
        <f>Elec_Est!R3170</f>
        <v>0</v>
      </c>
      <c r="S128" s="358">
        <f t="shared" si="15"/>
        <v>0</v>
      </c>
      <c r="T128" s="255">
        <f>Elec_Est!T3170</f>
        <v>0</v>
      </c>
    </row>
    <row r="129" spans="1:20">
      <c r="A129" s="140"/>
      <c r="B129" s="451" t="s">
        <v>95</v>
      </c>
      <c r="C129" s="4" t="s">
        <v>73</v>
      </c>
      <c r="D129" s="34" t="s">
        <v>96</v>
      </c>
      <c r="E129" s="140"/>
      <c r="F129" s="331">
        <v>681</v>
      </c>
      <c r="G129" s="58"/>
      <c r="P129" s="321">
        <v>1</v>
      </c>
      <c r="Q129" s="221">
        <v>1</v>
      </c>
      <c r="R129" s="255">
        <f>Elec_Est!R3171</f>
        <v>0</v>
      </c>
      <c r="S129" s="358">
        <f t="shared" si="15"/>
        <v>0</v>
      </c>
      <c r="T129" s="255">
        <f>Elec_Est!T3171</f>
        <v>0</v>
      </c>
    </row>
    <row r="130" spans="1:20">
      <c r="A130" s="140"/>
      <c r="B130" s="451">
        <v>22</v>
      </c>
      <c r="C130" s="4" t="s">
        <v>73</v>
      </c>
      <c r="D130" s="34" t="s">
        <v>97</v>
      </c>
      <c r="E130" s="140"/>
      <c r="F130" s="331">
        <v>690</v>
      </c>
      <c r="G130" s="58"/>
      <c r="P130" s="321">
        <v>1</v>
      </c>
      <c r="Q130" s="221">
        <v>1</v>
      </c>
      <c r="R130" s="255">
        <f ca="1">Elec_Est!R3172</f>
        <v>4793.84</v>
      </c>
      <c r="S130" s="358">
        <f t="shared" ca="1" si="15"/>
        <v>7169.8060000000005</v>
      </c>
      <c r="T130" s="255">
        <f ca="1">Elec_Est!T3172</f>
        <v>261.10000000000002</v>
      </c>
    </row>
    <row r="131" spans="1:20">
      <c r="A131" s="140"/>
      <c r="B131" s="451">
        <v>23</v>
      </c>
      <c r="C131" s="4" t="s">
        <v>73</v>
      </c>
      <c r="D131" s="34" t="s">
        <v>98</v>
      </c>
      <c r="E131" s="140"/>
      <c r="F131" s="331">
        <v>700</v>
      </c>
      <c r="G131" s="58"/>
      <c r="P131" s="321">
        <v>1</v>
      </c>
      <c r="Q131" s="221">
        <v>1</v>
      </c>
      <c r="R131" s="255">
        <f>Elec_Est!R3173</f>
        <v>0</v>
      </c>
      <c r="S131" s="358">
        <f t="shared" si="15"/>
        <v>0</v>
      </c>
      <c r="T131" s="255">
        <f>Elec_Est!T3173</f>
        <v>0</v>
      </c>
    </row>
    <row r="132" spans="1:20">
      <c r="A132" s="140"/>
      <c r="B132" s="451">
        <v>24</v>
      </c>
      <c r="C132" s="4" t="s">
        <v>73</v>
      </c>
      <c r="D132" s="34" t="s">
        <v>99</v>
      </c>
      <c r="E132" s="140"/>
      <c r="F132" s="331">
        <v>705</v>
      </c>
      <c r="G132" s="58"/>
      <c r="P132" s="321">
        <v>3</v>
      </c>
      <c r="Q132" s="221">
        <v>1</v>
      </c>
      <c r="R132" s="255">
        <f>Elec_Est!R3174</f>
        <v>0</v>
      </c>
      <c r="S132" s="358">
        <f t="shared" si="15"/>
        <v>0</v>
      </c>
      <c r="T132" s="255">
        <f>Elec_Est!T3174</f>
        <v>0</v>
      </c>
    </row>
    <row r="133" spans="1:20">
      <c r="A133" s="140"/>
      <c r="B133" s="451">
        <v>25</v>
      </c>
      <c r="C133" s="4" t="s">
        <v>73</v>
      </c>
      <c r="D133" s="34" t="s">
        <v>100</v>
      </c>
      <c r="E133" s="140"/>
      <c r="F133" s="331">
        <v>706</v>
      </c>
      <c r="G133" s="58"/>
      <c r="P133" s="321">
        <v>3</v>
      </c>
      <c r="Q133" s="221">
        <v>1</v>
      </c>
      <c r="R133" s="255">
        <f>Elec_Est!R3175</f>
        <v>0</v>
      </c>
      <c r="S133" s="358">
        <f t="shared" si="15"/>
        <v>0</v>
      </c>
      <c r="T133" s="255">
        <f>Elec_Est!T3175</f>
        <v>0</v>
      </c>
    </row>
    <row r="134" spans="1:20">
      <c r="A134" s="140"/>
      <c r="B134" s="451">
        <v>26</v>
      </c>
      <c r="C134" s="4" t="s">
        <v>73</v>
      </c>
      <c r="D134" s="34" t="s">
        <v>101</v>
      </c>
      <c r="E134" s="140"/>
      <c r="F134" s="331">
        <v>725</v>
      </c>
      <c r="G134" s="58"/>
      <c r="P134" s="321">
        <v>3</v>
      </c>
      <c r="Q134" s="221">
        <v>1</v>
      </c>
      <c r="R134" s="255">
        <f>Elec_Est!R3176</f>
        <v>0</v>
      </c>
      <c r="S134" s="358">
        <f t="shared" si="15"/>
        <v>0</v>
      </c>
      <c r="T134" s="255">
        <f>Elec_Est!T3176</f>
        <v>0</v>
      </c>
    </row>
    <row r="135" spans="1:20">
      <c r="A135" s="140"/>
      <c r="B135" s="451">
        <v>27</v>
      </c>
      <c r="C135" s="4" t="s">
        <v>73</v>
      </c>
      <c r="D135" s="34" t="s">
        <v>102</v>
      </c>
      <c r="E135" s="140"/>
      <c r="F135" s="331">
        <v>726</v>
      </c>
      <c r="G135" s="58"/>
      <c r="P135" s="321">
        <v>3</v>
      </c>
      <c r="Q135" s="221">
        <v>1</v>
      </c>
      <c r="R135" s="255">
        <f>Elec_Est!R3177</f>
        <v>0</v>
      </c>
      <c r="S135" s="358">
        <f t="shared" si="15"/>
        <v>0</v>
      </c>
      <c r="T135" s="255">
        <f>Elec_Est!T3177</f>
        <v>0</v>
      </c>
    </row>
    <row r="136" spans="1:20">
      <c r="A136" s="140"/>
      <c r="B136" s="451">
        <v>28</v>
      </c>
      <c r="C136" s="4" t="s">
        <v>73</v>
      </c>
      <c r="D136" s="34" t="s">
        <v>103</v>
      </c>
      <c r="E136" s="140"/>
      <c r="F136" s="331">
        <v>750</v>
      </c>
      <c r="G136" s="58"/>
      <c r="P136" s="321">
        <v>3</v>
      </c>
      <c r="Q136" s="221">
        <v>1</v>
      </c>
      <c r="R136" s="255">
        <f>Elec_Est!R3178</f>
        <v>0</v>
      </c>
      <c r="S136" s="358">
        <f t="shared" si="15"/>
        <v>0</v>
      </c>
      <c r="T136" s="255">
        <f>Elec_Est!T3178</f>
        <v>0</v>
      </c>
    </row>
    <row r="137" spans="1:20">
      <c r="A137" s="140"/>
      <c r="B137" s="451">
        <v>29</v>
      </c>
      <c r="C137" s="4" t="s">
        <v>73</v>
      </c>
      <c r="D137" s="34" t="s">
        <v>104</v>
      </c>
      <c r="E137" s="140"/>
      <c r="F137" s="331">
        <v>751</v>
      </c>
      <c r="G137" s="58"/>
      <c r="P137" s="321">
        <v>3</v>
      </c>
      <c r="Q137" s="221">
        <v>1</v>
      </c>
      <c r="R137" s="255">
        <f>Elec_Est!R3179</f>
        <v>0</v>
      </c>
      <c r="S137" s="358">
        <f t="shared" si="15"/>
        <v>0</v>
      </c>
      <c r="T137" s="255">
        <f>Elec_Est!T3179</f>
        <v>0</v>
      </c>
    </row>
    <row r="138" spans="1:20">
      <c r="A138" s="140"/>
      <c r="B138" s="451">
        <v>30</v>
      </c>
      <c r="C138" s="4" t="s">
        <v>73</v>
      </c>
      <c r="D138" s="34" t="s">
        <v>105</v>
      </c>
      <c r="E138" s="140"/>
      <c r="F138" s="331">
        <v>752</v>
      </c>
      <c r="G138" s="58"/>
      <c r="P138" s="321">
        <v>3</v>
      </c>
      <c r="Q138" s="221">
        <v>1</v>
      </c>
      <c r="R138" s="255">
        <f>Elec_Est!R3180</f>
        <v>0</v>
      </c>
      <c r="S138" s="358">
        <f t="shared" si="15"/>
        <v>0</v>
      </c>
      <c r="T138" s="255">
        <f>Elec_Est!T3180</f>
        <v>0</v>
      </c>
    </row>
    <row r="139" spans="1:20">
      <c r="A139" s="140"/>
      <c r="B139" s="451" t="s">
        <v>106</v>
      </c>
      <c r="C139" s="4" t="s">
        <v>73</v>
      </c>
      <c r="D139" s="547" t="s">
        <v>263</v>
      </c>
      <c r="E139" s="140"/>
      <c r="F139" s="331">
        <v>753</v>
      </c>
      <c r="G139" s="58"/>
      <c r="P139" s="321">
        <v>3</v>
      </c>
      <c r="Q139" s="221">
        <v>1</v>
      </c>
      <c r="R139" s="255">
        <f>Elec_Est!R3181</f>
        <v>0</v>
      </c>
      <c r="S139" s="358">
        <f t="shared" si="15"/>
        <v>0</v>
      </c>
      <c r="T139" s="255">
        <f>Elec_Est!T3181</f>
        <v>0</v>
      </c>
    </row>
    <row r="140" spans="1:20">
      <c r="A140" s="140"/>
      <c r="B140" s="451">
        <v>32</v>
      </c>
      <c r="C140" s="4" t="s">
        <v>73</v>
      </c>
      <c r="D140" s="34" t="s">
        <v>107</v>
      </c>
      <c r="E140" s="140"/>
      <c r="F140" s="331">
        <v>770</v>
      </c>
      <c r="G140" s="58"/>
      <c r="P140" s="321">
        <v>3</v>
      </c>
      <c r="Q140" s="221">
        <v>1</v>
      </c>
      <c r="R140" s="255">
        <f>Elec_Est!R3182</f>
        <v>0</v>
      </c>
      <c r="S140" s="358">
        <f t="shared" si="15"/>
        <v>0</v>
      </c>
      <c r="T140" s="255">
        <f>Elec_Est!T3182</f>
        <v>0</v>
      </c>
    </row>
    <row r="141" spans="1:20">
      <c r="A141" s="140"/>
      <c r="B141" s="451">
        <v>33</v>
      </c>
      <c r="C141" s="4" t="s">
        <v>73</v>
      </c>
      <c r="D141" s="34" t="s">
        <v>108</v>
      </c>
      <c r="E141" s="140"/>
      <c r="F141" s="331">
        <v>790</v>
      </c>
      <c r="G141" s="58"/>
      <c r="P141" s="321">
        <v>3</v>
      </c>
      <c r="Q141" s="221">
        <v>1</v>
      </c>
      <c r="R141" s="255">
        <f>Elec_Est!R3183</f>
        <v>0</v>
      </c>
      <c r="S141" s="358">
        <f t="shared" si="15"/>
        <v>0</v>
      </c>
      <c r="T141" s="255">
        <f>Elec_Est!T3183</f>
        <v>0</v>
      </c>
    </row>
    <row r="142" spans="1:20">
      <c r="A142" s="140"/>
      <c r="B142" s="451">
        <v>34</v>
      </c>
      <c r="C142" s="4" t="s">
        <v>73</v>
      </c>
      <c r="D142" s="34" t="s">
        <v>109</v>
      </c>
      <c r="E142" s="140"/>
      <c r="F142" s="331">
        <v>791</v>
      </c>
      <c r="G142" s="58"/>
      <c r="P142" s="321">
        <v>3</v>
      </c>
      <c r="Q142" s="221">
        <v>1</v>
      </c>
      <c r="R142" s="255">
        <f>Elec_Est!R3184</f>
        <v>0</v>
      </c>
      <c r="S142" s="358">
        <f t="shared" si="15"/>
        <v>0</v>
      </c>
      <c r="T142" s="255">
        <f>Elec_Est!T3184</f>
        <v>0</v>
      </c>
    </row>
    <row r="143" spans="1:20">
      <c r="A143" s="140"/>
      <c r="B143" s="451">
        <v>35</v>
      </c>
      <c r="C143" s="4" t="s">
        <v>73</v>
      </c>
      <c r="D143" s="34" t="s">
        <v>110</v>
      </c>
      <c r="E143" s="140"/>
      <c r="F143" s="331">
        <v>810</v>
      </c>
      <c r="G143" s="58"/>
      <c r="P143" s="321">
        <v>3</v>
      </c>
      <c r="Q143" s="221">
        <v>1</v>
      </c>
      <c r="R143" s="255">
        <f>Elec_Est!R3185</f>
        <v>0</v>
      </c>
      <c r="S143" s="358">
        <f t="shared" si="15"/>
        <v>0</v>
      </c>
      <c r="T143" s="255">
        <f>Elec_Est!T3185</f>
        <v>0</v>
      </c>
    </row>
    <row r="144" spans="1:20">
      <c r="A144" s="140"/>
      <c r="B144" s="451">
        <v>36</v>
      </c>
      <c r="C144" s="4" t="s">
        <v>73</v>
      </c>
      <c r="D144" s="34" t="s">
        <v>111</v>
      </c>
      <c r="E144" s="140"/>
      <c r="F144" s="331">
        <v>815</v>
      </c>
      <c r="G144" s="58"/>
      <c r="P144" s="321">
        <v>3</v>
      </c>
      <c r="Q144" s="221">
        <v>1</v>
      </c>
      <c r="R144" s="255">
        <f>Elec_Est!R3186</f>
        <v>0</v>
      </c>
      <c r="S144" s="358">
        <f t="shared" si="15"/>
        <v>0</v>
      </c>
      <c r="T144" s="255">
        <f>Elec_Est!T3186</f>
        <v>0</v>
      </c>
    </row>
    <row r="145" spans="1:20">
      <c r="A145" s="140"/>
      <c r="B145" s="451">
        <v>37</v>
      </c>
      <c r="C145" s="4" t="s">
        <v>73</v>
      </c>
      <c r="D145" s="34" t="s">
        <v>112</v>
      </c>
      <c r="E145" s="140"/>
      <c r="F145" s="331">
        <v>820</v>
      </c>
      <c r="G145" s="58"/>
      <c r="P145" s="321">
        <v>2</v>
      </c>
      <c r="Q145" s="221">
        <v>1</v>
      </c>
      <c r="R145" s="255">
        <f>Elec_Est!R3187</f>
        <v>0</v>
      </c>
      <c r="S145" s="358">
        <f t="shared" si="15"/>
        <v>0</v>
      </c>
      <c r="T145" s="255">
        <f>Elec_Est!T3187</f>
        <v>0</v>
      </c>
    </row>
    <row r="146" spans="1:20">
      <c r="A146" s="140"/>
      <c r="B146" s="451">
        <v>38</v>
      </c>
      <c r="C146" s="4" t="s">
        <v>73</v>
      </c>
      <c r="D146" s="34" t="s">
        <v>113</v>
      </c>
      <c r="E146" s="140"/>
      <c r="F146" s="331">
        <v>821</v>
      </c>
      <c r="G146" s="58"/>
      <c r="P146" s="321">
        <v>3</v>
      </c>
      <c r="Q146" s="221">
        <v>1</v>
      </c>
      <c r="R146" s="255">
        <f>Elec_Est!R3188</f>
        <v>0</v>
      </c>
      <c r="S146" s="358">
        <f t="shared" si="15"/>
        <v>0</v>
      </c>
      <c r="T146" s="255">
        <f>Elec_Est!T3188</f>
        <v>0</v>
      </c>
    </row>
    <row r="147" spans="1:20">
      <c r="A147" s="140"/>
      <c r="B147" s="451">
        <v>39</v>
      </c>
      <c r="C147" s="4" t="s">
        <v>73</v>
      </c>
      <c r="D147" s="34" t="s">
        <v>114</v>
      </c>
      <c r="E147" s="140"/>
      <c r="F147" s="331">
        <v>835</v>
      </c>
      <c r="G147" s="58"/>
      <c r="P147" s="321">
        <v>3</v>
      </c>
      <c r="Q147" s="221">
        <v>1</v>
      </c>
      <c r="R147" s="255">
        <f>Elec_Est!R3189</f>
        <v>0</v>
      </c>
      <c r="S147" s="358">
        <f t="shared" si="15"/>
        <v>0</v>
      </c>
      <c r="T147" s="255">
        <f>Elec_Est!T3189</f>
        <v>0</v>
      </c>
    </row>
    <row r="148" spans="1:20">
      <c r="A148" s="140"/>
      <c r="B148" s="451">
        <v>40</v>
      </c>
      <c r="C148" s="4" t="s">
        <v>73</v>
      </c>
      <c r="D148" s="34" t="s">
        <v>115</v>
      </c>
      <c r="E148" s="140"/>
      <c r="F148" s="331">
        <v>845</v>
      </c>
      <c r="G148" s="58"/>
      <c r="P148" s="321">
        <v>2</v>
      </c>
      <c r="Q148" s="221">
        <v>1</v>
      </c>
      <c r="R148" s="255">
        <f>Elec_Est!R3190</f>
        <v>0</v>
      </c>
      <c r="S148" s="358">
        <f t="shared" si="15"/>
        <v>0</v>
      </c>
      <c r="T148" s="255">
        <f>Elec_Est!T3190</f>
        <v>0</v>
      </c>
    </row>
    <row r="149" spans="1:20">
      <c r="A149" s="140"/>
      <c r="B149" s="451" t="s">
        <v>116</v>
      </c>
      <c r="C149" s="4" t="s">
        <v>73</v>
      </c>
      <c r="D149" s="34" t="s">
        <v>117</v>
      </c>
      <c r="E149" s="140"/>
      <c r="F149" s="331">
        <v>855</v>
      </c>
      <c r="G149" s="58"/>
      <c r="P149" s="321">
        <v>3</v>
      </c>
      <c r="Q149" s="221">
        <v>1</v>
      </c>
      <c r="R149" s="255">
        <f>Elec_Est!R3191</f>
        <v>0</v>
      </c>
      <c r="S149" s="358">
        <f t="shared" si="15"/>
        <v>0</v>
      </c>
      <c r="T149" s="255">
        <f>Elec_Est!T3191</f>
        <v>0</v>
      </c>
    </row>
    <row r="150" spans="1:20">
      <c r="A150" s="140"/>
      <c r="B150" s="451">
        <v>42</v>
      </c>
      <c r="C150" s="4" t="s">
        <v>73</v>
      </c>
      <c r="D150" s="34" t="s">
        <v>118</v>
      </c>
      <c r="E150" s="140"/>
      <c r="F150" s="331">
        <v>856</v>
      </c>
      <c r="G150" s="58"/>
      <c r="P150" s="321">
        <v>3</v>
      </c>
      <c r="Q150" s="221">
        <v>1</v>
      </c>
      <c r="R150" s="255">
        <f>Elec_Est!R3192</f>
        <v>0</v>
      </c>
      <c r="S150" s="358">
        <f t="shared" si="15"/>
        <v>0</v>
      </c>
      <c r="T150" s="255">
        <f>Elec_Est!T3192</f>
        <v>0</v>
      </c>
    </row>
    <row r="151" spans="1:20">
      <c r="A151" s="140"/>
      <c r="B151" s="451">
        <v>43</v>
      </c>
      <c r="C151" s="4" t="s">
        <v>73</v>
      </c>
      <c r="D151" s="34" t="s">
        <v>244</v>
      </c>
      <c r="E151" s="140"/>
      <c r="F151" s="331">
        <v>857</v>
      </c>
      <c r="G151" s="58"/>
      <c r="P151" s="321">
        <v>4</v>
      </c>
      <c r="Q151" s="221">
        <v>1</v>
      </c>
      <c r="R151" s="255">
        <f>Elec_Est!R3193</f>
        <v>0</v>
      </c>
      <c r="S151" s="358">
        <f t="shared" si="15"/>
        <v>0</v>
      </c>
      <c r="T151" s="255">
        <f>Elec_Est!T3193</f>
        <v>0</v>
      </c>
    </row>
    <row r="152" spans="1:20">
      <c r="A152" s="140"/>
      <c r="B152" s="451">
        <v>44</v>
      </c>
      <c r="C152" s="4" t="s">
        <v>73</v>
      </c>
      <c r="D152" s="34" t="s">
        <v>119</v>
      </c>
      <c r="E152" s="140"/>
      <c r="F152" s="331">
        <v>858</v>
      </c>
      <c r="G152" s="58"/>
      <c r="P152" s="321">
        <v>3</v>
      </c>
      <c r="Q152" s="221">
        <v>1</v>
      </c>
      <c r="R152" s="255">
        <f>Elec_Est!R3194</f>
        <v>0</v>
      </c>
      <c r="S152" s="358">
        <f t="shared" si="15"/>
        <v>0</v>
      </c>
      <c r="T152" s="255">
        <f>Elec_Est!T3194</f>
        <v>0</v>
      </c>
    </row>
    <row r="153" spans="1:20">
      <c r="A153" s="140"/>
      <c r="B153" s="451">
        <v>45</v>
      </c>
      <c r="C153" s="4" t="s">
        <v>73</v>
      </c>
      <c r="D153" s="34" t="s">
        <v>120</v>
      </c>
      <c r="E153" s="140"/>
      <c r="F153" s="331">
        <v>865</v>
      </c>
      <c r="G153" s="58"/>
      <c r="P153" s="321">
        <v>3</v>
      </c>
      <c r="Q153" s="221">
        <v>1</v>
      </c>
      <c r="R153" s="255">
        <f>Elec_Est!R3195</f>
        <v>0</v>
      </c>
      <c r="S153" s="358">
        <f t="shared" si="15"/>
        <v>0</v>
      </c>
      <c r="T153" s="255">
        <f>Elec_Est!T3195</f>
        <v>0</v>
      </c>
    </row>
    <row r="154" spans="1:20">
      <c r="A154" s="140"/>
      <c r="B154" s="451">
        <v>46</v>
      </c>
      <c r="C154" s="4" t="s">
        <v>73</v>
      </c>
      <c r="D154" s="34" t="s">
        <v>121</v>
      </c>
      <c r="E154" s="140"/>
      <c r="F154" s="331">
        <v>870</v>
      </c>
      <c r="G154" s="58"/>
      <c r="P154" s="321">
        <v>4</v>
      </c>
      <c r="Q154" s="221">
        <v>1</v>
      </c>
      <c r="R154" s="255">
        <f>Elec_Est!R3196</f>
        <v>0</v>
      </c>
      <c r="S154" s="358">
        <f t="shared" si="15"/>
        <v>0</v>
      </c>
      <c r="T154" s="255">
        <f>Elec_Est!T3196</f>
        <v>0</v>
      </c>
    </row>
    <row r="155" spans="1:20">
      <c r="A155" s="140"/>
      <c r="B155" s="451">
        <v>47</v>
      </c>
      <c r="C155" s="4" t="s">
        <v>73</v>
      </c>
      <c r="D155" s="34" t="s">
        <v>122</v>
      </c>
      <c r="E155" s="140"/>
      <c r="F155" s="331">
        <v>875</v>
      </c>
      <c r="G155" s="58"/>
      <c r="P155" s="321">
        <v>1</v>
      </c>
      <c r="Q155" s="221">
        <v>1</v>
      </c>
      <c r="R155" s="255">
        <f ca="1">Elec_Est!R3197</f>
        <v>35.805</v>
      </c>
      <c r="S155" s="358">
        <f t="shared" ca="1" si="15"/>
        <v>0</v>
      </c>
      <c r="T155" s="255">
        <f ca="1">Elec_Est!T3197</f>
        <v>0</v>
      </c>
    </row>
    <row r="156" spans="1:20">
      <c r="A156" s="140"/>
      <c r="B156" s="451">
        <v>48</v>
      </c>
      <c r="C156" s="4" t="s">
        <v>73</v>
      </c>
      <c r="D156" s="34" t="s">
        <v>123</v>
      </c>
      <c r="E156" s="140"/>
      <c r="F156" s="331">
        <v>880</v>
      </c>
      <c r="G156" s="58"/>
      <c r="P156" s="321">
        <v>3</v>
      </c>
      <c r="Q156" s="221">
        <v>1</v>
      </c>
      <c r="R156" s="255">
        <f>Elec_Est!R3198</f>
        <v>719.04</v>
      </c>
      <c r="S156" s="358">
        <f t="shared" si="15"/>
        <v>0</v>
      </c>
      <c r="T156" s="255">
        <f>Elec_Est!T3198</f>
        <v>0</v>
      </c>
    </row>
    <row r="157" spans="1:20">
      <c r="A157" s="140"/>
      <c r="B157" s="451">
        <v>49</v>
      </c>
      <c r="C157" s="4" t="s">
        <v>73</v>
      </c>
      <c r="D157" s="34" t="s">
        <v>124</v>
      </c>
      <c r="E157" s="140"/>
      <c r="F157" s="331">
        <v>885</v>
      </c>
      <c r="G157" s="58"/>
      <c r="P157" s="321">
        <v>4</v>
      </c>
      <c r="Q157" s="221">
        <v>1</v>
      </c>
      <c r="R157" s="255">
        <f>Elec_Est!R3199</f>
        <v>0</v>
      </c>
      <c r="S157" s="358">
        <f t="shared" si="15"/>
        <v>0</v>
      </c>
      <c r="T157" s="255">
        <f>Elec_Est!T3199</f>
        <v>0</v>
      </c>
    </row>
    <row r="158" spans="1:20">
      <c r="A158" s="140"/>
      <c r="B158" s="451">
        <v>50</v>
      </c>
      <c r="C158" s="4" t="s">
        <v>73</v>
      </c>
      <c r="D158" s="34" t="s">
        <v>68</v>
      </c>
      <c r="E158" s="140"/>
      <c r="F158" s="331">
        <v>900</v>
      </c>
      <c r="G158" s="58"/>
      <c r="P158" s="321">
        <v>3</v>
      </c>
      <c r="Q158" s="221">
        <v>1</v>
      </c>
      <c r="R158" s="255">
        <f ca="1">Elec_Est!R3200</f>
        <v>1800</v>
      </c>
      <c r="S158" s="358">
        <f t="shared" ca="1" si="15"/>
        <v>4013.0043999999998</v>
      </c>
      <c r="T158" s="255">
        <f ca="1">Elec_Est!T3200</f>
        <v>146.13999999999999</v>
      </c>
    </row>
    <row r="159" spans="1:20">
      <c r="A159" s="140"/>
      <c r="B159" s="451" t="s">
        <v>125</v>
      </c>
      <c r="C159" s="4" t="s">
        <v>73</v>
      </c>
      <c r="D159" s="34" t="s">
        <v>126</v>
      </c>
      <c r="E159" s="140"/>
      <c r="F159" s="331">
        <v>901</v>
      </c>
      <c r="G159" s="58"/>
      <c r="P159" s="321">
        <v>1</v>
      </c>
      <c r="Q159" s="221">
        <v>1</v>
      </c>
      <c r="R159" s="255">
        <f>Elec_Est!R3201</f>
        <v>0</v>
      </c>
      <c r="S159" s="358">
        <f t="shared" si="15"/>
        <v>508.01</v>
      </c>
      <c r="T159" s="255">
        <f>Elec_Est!T3201</f>
        <v>18.5</v>
      </c>
    </row>
    <row r="160" spans="1:20">
      <c r="A160" s="140"/>
      <c r="B160" s="451">
        <v>52</v>
      </c>
      <c r="C160" s="4" t="s">
        <v>73</v>
      </c>
      <c r="D160" s="34" t="s">
        <v>127</v>
      </c>
      <c r="E160" s="140"/>
      <c r="F160" s="331">
        <v>902</v>
      </c>
      <c r="G160" s="58"/>
      <c r="P160" s="321">
        <v>3</v>
      </c>
      <c r="Q160" s="221">
        <v>1</v>
      </c>
      <c r="R160" s="255">
        <f>Elec_Est!R3202</f>
        <v>0</v>
      </c>
      <c r="S160" s="358">
        <f t="shared" si="15"/>
        <v>768.88</v>
      </c>
      <c r="T160" s="255">
        <f>Elec_Est!T3202</f>
        <v>28</v>
      </c>
    </row>
    <row r="161" spans="1:28">
      <c r="A161" s="140"/>
      <c r="B161" s="451">
        <v>53</v>
      </c>
      <c r="C161" s="4" t="s">
        <v>73</v>
      </c>
      <c r="D161" s="62" t="s">
        <v>128</v>
      </c>
      <c r="E161" s="140"/>
      <c r="F161" s="331">
        <v>960</v>
      </c>
      <c r="G161" s="58"/>
      <c r="P161" s="321">
        <v>4</v>
      </c>
      <c r="Q161" s="221">
        <v>1</v>
      </c>
      <c r="R161" s="255">
        <f>Elec_Est!R3203</f>
        <v>7441.04</v>
      </c>
      <c r="S161" s="358">
        <f t="shared" si="15"/>
        <v>0</v>
      </c>
      <c r="T161" s="255">
        <f>Elec_Est!T3203</f>
        <v>0</v>
      </c>
    </row>
    <row r="162" spans="1:28">
      <c r="A162" s="140"/>
      <c r="B162" s="451">
        <v>54</v>
      </c>
      <c r="C162" s="4" t="s">
        <v>73</v>
      </c>
      <c r="D162" s="62" t="s">
        <v>129</v>
      </c>
      <c r="E162" s="140"/>
      <c r="F162" s="331">
        <v>961</v>
      </c>
      <c r="G162" s="58"/>
      <c r="P162" s="321">
        <v>3</v>
      </c>
      <c r="Q162" s="221">
        <v>1</v>
      </c>
      <c r="R162" s="255">
        <f>Elec_Est!R3204</f>
        <v>0</v>
      </c>
      <c r="S162" s="358">
        <f t="shared" si="15"/>
        <v>0</v>
      </c>
      <c r="T162" s="255">
        <f>Elec_Est!T3204</f>
        <v>0</v>
      </c>
    </row>
    <row r="163" spans="1:28">
      <c r="A163" s="140"/>
      <c r="B163" s="451">
        <v>55</v>
      </c>
      <c r="C163" s="4" t="s">
        <v>73</v>
      </c>
      <c r="D163" s="62" t="s">
        <v>130</v>
      </c>
      <c r="E163" s="140"/>
      <c r="F163" s="331">
        <v>962</v>
      </c>
      <c r="G163" s="58"/>
      <c r="P163" s="321">
        <v>1</v>
      </c>
      <c r="Q163" s="221">
        <v>1</v>
      </c>
      <c r="R163" s="255">
        <f>Elec_Est!R3205</f>
        <v>0</v>
      </c>
      <c r="S163" s="358">
        <f t="shared" si="15"/>
        <v>0</v>
      </c>
      <c r="T163" s="255">
        <f>Elec_Est!T3205</f>
        <v>0</v>
      </c>
    </row>
    <row r="164" spans="1:28">
      <c r="A164" s="140"/>
      <c r="B164" s="451">
        <v>56</v>
      </c>
      <c r="C164" s="4" t="s">
        <v>73</v>
      </c>
      <c r="D164" s="222" t="s">
        <v>131</v>
      </c>
      <c r="E164" s="140"/>
      <c r="F164" s="331">
        <v>970</v>
      </c>
      <c r="G164" s="223"/>
      <c r="H164" s="52"/>
      <c r="I164" s="52"/>
      <c r="J164" s="224"/>
      <c r="K164" s="224"/>
      <c r="L164" s="224"/>
      <c r="M164" s="224"/>
      <c r="N164" s="224"/>
      <c r="O164" s="224"/>
      <c r="P164" s="322">
        <v>4</v>
      </c>
      <c r="Q164" s="225">
        <v>1</v>
      </c>
      <c r="R164" s="255">
        <f>Elec_Est!R3206</f>
        <v>0</v>
      </c>
      <c r="S164" s="358">
        <f t="shared" si="15"/>
        <v>0</v>
      </c>
      <c r="T164" s="255">
        <f>Elec_Est!T3206</f>
        <v>0</v>
      </c>
    </row>
    <row r="165" spans="1:28" ht="13.8" thickBot="1">
      <c r="A165" s="140"/>
      <c r="B165" s="330"/>
      <c r="C165" s="226"/>
      <c r="D165" s="227" t="s">
        <v>175</v>
      </c>
      <c r="E165" s="228"/>
      <c r="F165" s="80"/>
      <c r="G165" s="67"/>
      <c r="H165" s="67"/>
      <c r="I165" s="67"/>
      <c r="J165" s="229"/>
      <c r="K165" s="229"/>
      <c r="L165" s="229"/>
      <c r="M165" s="229"/>
      <c r="N165" s="229"/>
      <c r="O165" s="229"/>
      <c r="P165" s="229"/>
      <c r="Q165" s="230"/>
      <c r="R165" s="254">
        <f ca="1">SUM(R109:R164)</f>
        <v>129825.07849999997</v>
      </c>
      <c r="S165" s="254">
        <f ca="1">SUM(S109:S164)</f>
        <v>26065.581200000001</v>
      </c>
      <c r="T165" s="254">
        <f ca="1">SUM(T109:T164)</f>
        <v>949.21999999999991</v>
      </c>
    </row>
    <row r="166" spans="1:28" ht="14.4" hidden="1" thickTop="1">
      <c r="A166" s="57"/>
      <c r="B166" s="319"/>
      <c r="C166" s="4" t="s">
        <v>73</v>
      </c>
      <c r="D166" s="73"/>
      <c r="F166" s="74" t="s">
        <v>154</v>
      </c>
      <c r="G166" s="75"/>
      <c r="H166" s="34">
        <v>1</v>
      </c>
      <c r="O166" s="59"/>
      <c r="R166" s="327">
        <f ca="1">SUMIF($P109:$P164,1,R109:R164)</f>
        <v>6999.8810000000003</v>
      </c>
      <c r="T166" s="325">
        <f ca="1">SUMIF($P109:$P164,1,T109:T164)</f>
        <v>288.42</v>
      </c>
      <c r="V166" s="290"/>
      <c r="W166" s="290"/>
      <c r="X166" s="290"/>
      <c r="Y166" s="290"/>
      <c r="Z166" s="290"/>
      <c r="AA166" s="290"/>
      <c r="AB166" s="290"/>
    </row>
    <row r="167" spans="1:28" ht="13.8" hidden="1">
      <c r="A167" s="57"/>
      <c r="B167" s="166"/>
      <c r="C167" s="4" t="s">
        <v>73</v>
      </c>
      <c r="D167" s="73"/>
      <c r="F167" s="74" t="s">
        <v>155</v>
      </c>
      <c r="G167" s="75"/>
      <c r="H167" s="34">
        <v>2</v>
      </c>
      <c r="O167" s="59"/>
      <c r="R167" s="327">
        <f ca="1">SUMIF($P109:$P164,2,R109:R164)</f>
        <v>112865.11749999999</v>
      </c>
      <c r="T167" s="326">
        <f ca="1">SUMIF($P109:$P164,2,T109:T164)</f>
        <v>486.65999999999997</v>
      </c>
      <c r="V167" s="290"/>
      <c r="W167" s="290"/>
      <c r="X167" s="290"/>
      <c r="Y167" s="290"/>
      <c r="Z167" s="290"/>
      <c r="AA167" s="290"/>
      <c r="AB167" s="290"/>
    </row>
    <row r="168" spans="1:28" ht="13.8" hidden="1">
      <c r="A168" s="57"/>
      <c r="B168" s="166"/>
      <c r="C168" s="4" t="s">
        <v>73</v>
      </c>
      <c r="D168" s="73"/>
      <c r="F168" s="74" t="s">
        <v>156</v>
      </c>
      <c r="G168" s="75"/>
      <c r="H168" s="34">
        <v>2</v>
      </c>
      <c r="O168" s="59"/>
      <c r="R168" s="327">
        <f ca="1">SUMIF($P109:$P164,3,R109:R164)</f>
        <v>2519.04</v>
      </c>
      <c r="T168" s="326">
        <f ca="1">SUMIF($P109:$P164,3,T109:T164)</f>
        <v>174.14</v>
      </c>
      <c r="V168" s="290"/>
      <c r="W168" s="290"/>
      <c r="X168" s="290"/>
      <c r="Y168" s="290"/>
      <c r="Z168" s="290"/>
      <c r="AA168" s="290"/>
      <c r="AB168" s="290"/>
    </row>
    <row r="169" spans="1:28" ht="13.8" hidden="1">
      <c r="A169" s="57"/>
      <c r="B169" s="166"/>
      <c r="C169" s="4" t="s">
        <v>73</v>
      </c>
      <c r="D169" s="73"/>
      <c r="F169" s="74" t="s">
        <v>157</v>
      </c>
      <c r="G169" s="75"/>
      <c r="H169" s="34">
        <v>3</v>
      </c>
      <c r="O169" s="59"/>
      <c r="R169" s="327">
        <f>SUMIF($P109:$P164,4,R109:R164)</f>
        <v>7441.04</v>
      </c>
      <c r="T169" s="326">
        <f>SUMIF($P109:$P164,4,T109:T164)</f>
        <v>0</v>
      </c>
      <c r="V169" s="290"/>
      <c r="W169" s="290"/>
      <c r="X169" s="290"/>
      <c r="Y169" s="290"/>
      <c r="Z169" s="290"/>
      <c r="AA169" s="290"/>
      <c r="AB169" s="290"/>
    </row>
    <row r="170" spans="1:28" ht="14.4" hidden="1" thickBot="1">
      <c r="A170" s="57"/>
      <c r="B170" s="320"/>
      <c r="C170" s="65" t="s">
        <v>73</v>
      </c>
      <c r="D170" s="77"/>
      <c r="E170" s="67"/>
      <c r="F170" s="78" t="s">
        <v>158</v>
      </c>
      <c r="G170" s="79"/>
      <c r="H170" s="80"/>
      <c r="I170" s="80"/>
      <c r="J170" s="80"/>
      <c r="K170" s="80"/>
      <c r="L170" s="80"/>
      <c r="M170" s="80"/>
      <c r="N170" s="80"/>
      <c r="O170" s="81"/>
      <c r="P170" s="80"/>
      <c r="Q170" s="80"/>
      <c r="R170" s="328">
        <f ca="1">SUM(R166:R169)</f>
        <v>129825.07849999997</v>
      </c>
      <c r="S170" s="83"/>
      <c r="T170" s="329">
        <f ca="1">SUM(T166:T169)</f>
        <v>949.21999999999991</v>
      </c>
      <c r="V170" s="290"/>
      <c r="W170" s="290"/>
      <c r="X170" s="290"/>
      <c r="Y170" s="290"/>
      <c r="Z170" s="290"/>
      <c r="AA170" s="290"/>
      <c r="AB170" s="290"/>
    </row>
    <row r="171" spans="1:28" ht="14.4" thickTop="1">
      <c r="B171" s="34"/>
      <c r="E171" s="122"/>
      <c r="F171" s="123"/>
      <c r="G171" s="107"/>
      <c r="H171" s="107"/>
      <c r="I171" s="107"/>
      <c r="J171" s="107"/>
      <c r="K171" s="107"/>
      <c r="L171" s="107"/>
      <c r="M171" s="107"/>
      <c r="N171" s="107"/>
      <c r="O171" s="107"/>
      <c r="P171" s="107"/>
      <c r="Q171" s="123"/>
      <c r="R171" s="123"/>
      <c r="S171" s="123"/>
      <c r="T171" s="123"/>
    </row>
    <row r="172" spans="1:28">
      <c r="C172" s="32"/>
      <c r="D172" s="32"/>
      <c r="E172" s="32"/>
      <c r="F172" s="32"/>
      <c r="G172" s="32"/>
      <c r="J172" s="32"/>
      <c r="K172" s="32"/>
      <c r="L172" s="32"/>
      <c r="M172" s="32"/>
      <c r="N172" s="32"/>
      <c r="O172" s="32"/>
      <c r="P172" s="32"/>
      <c r="Q172" s="32"/>
      <c r="R172" s="32"/>
      <c r="S172" s="32"/>
      <c r="T172" s="32"/>
    </row>
    <row r="173" spans="1:28">
      <c r="D173" s="34" t="s">
        <v>58</v>
      </c>
      <c r="E173" s="8"/>
      <c r="F173" s="117"/>
      <c r="G173" s="2"/>
      <c r="S173" s="31"/>
      <c r="T173" s="31"/>
    </row>
    <row r="174" spans="1:28" ht="15.6">
      <c r="D174" s="183" t="s">
        <v>264</v>
      </c>
    </row>
    <row r="175" spans="1:28">
      <c r="D175" s="231">
        <f ca="1">D95</f>
        <v>45925.647620023148</v>
      </c>
    </row>
    <row r="176" spans="1:28">
      <c r="A176" s="32"/>
    </row>
  </sheetData>
  <sheetProtection formatCells="0" formatColumns="0" formatRows="0" insertHyperlinks="0"/>
  <mergeCells count="14">
    <mergeCell ref="D1:E1"/>
    <mergeCell ref="D2:E2"/>
    <mergeCell ref="D3:E3"/>
    <mergeCell ref="B16:E17"/>
    <mergeCell ref="B14:E15"/>
    <mergeCell ref="B18:E18"/>
    <mergeCell ref="D84:E84"/>
    <mergeCell ref="B57:T57"/>
    <mergeCell ref="B58:T58"/>
    <mergeCell ref="A55:B55"/>
    <mergeCell ref="A48:S48"/>
    <mergeCell ref="Q18:T18"/>
    <mergeCell ref="A47:S47"/>
    <mergeCell ref="B19:E19"/>
  </mergeCells>
  <phoneticPr fontId="30" type="noConversion"/>
  <conditionalFormatting sqref="B11">
    <cfRule type="cellIs" dxfId="19" priority="15" stopIfTrue="1" operator="equal">
      <formula>"CHECKLIST IS INCOMPLETE !"</formula>
    </cfRule>
    <cfRule type="cellIs" dxfId="18" priority="16" stopIfTrue="1" operator="equal">
      <formula>"CHECKLIST OK"</formula>
    </cfRule>
  </conditionalFormatting>
  <conditionalFormatting sqref="B14">
    <cfRule type="cellIs" dxfId="17" priority="7" stopIfTrue="1" operator="equal">
      <formula>"QUOTE ISSUED WITH                    VAT INCLUDED"</formula>
    </cfRule>
    <cfRule type="cellIs" dxfId="16" priority="8" stopIfTrue="1" operator="notEqual">
      <formula>"QUOTE ISSUED WITH                    VAT INCLUDED"</formula>
    </cfRule>
  </conditionalFormatting>
  <conditionalFormatting sqref="B35">
    <cfRule type="cellIs" dxfId="15" priority="19" stopIfTrue="1" operator="notEqual">
      <formula>ROUND($E$35,2)</formula>
    </cfRule>
  </conditionalFormatting>
  <conditionalFormatting sqref="B18:E18">
    <cfRule type="cellIs" dxfId="14" priority="17" stopIfTrue="1" operator="equal">
      <formula>"CHECKLIST INCOMPLETE !"</formula>
    </cfRule>
  </conditionalFormatting>
  <conditionalFormatting sqref="D6 E37">
    <cfRule type="cellIs" dxfId="13" priority="1" stopIfTrue="1" operator="equal">
      <formula>"VAT INCLUDED"</formula>
    </cfRule>
    <cfRule type="cellIs" dxfId="12" priority="2" stopIfTrue="1" operator="equal">
      <formula>"VAT EXCL."</formula>
    </cfRule>
  </conditionalFormatting>
  <conditionalFormatting sqref="E24:E32">
    <cfRule type="cellIs" dxfId="11" priority="18" stopIfTrue="1" operator="equal">
      <formula>0</formula>
    </cfRule>
  </conditionalFormatting>
  <conditionalFormatting sqref="E36">
    <cfRule type="cellIs" dxfId="10" priority="10" stopIfTrue="1" operator="equal">
      <formula>"Final Sell Curr?"</formula>
    </cfRule>
  </conditionalFormatting>
  <conditionalFormatting sqref="Q1">
    <cfRule type="cellIs" dxfId="9" priority="9" stopIfTrue="1" operator="notEqual">
      <formula>"€"</formula>
    </cfRule>
  </conditionalFormatting>
  <conditionalFormatting sqref="Q2:Q12 Q23:Q32">
    <cfRule type="cellIs" dxfId="8" priority="3" stopIfTrue="1" operator="greaterThan">
      <formula>0</formula>
    </cfRule>
    <cfRule type="cellIs" dxfId="7" priority="4" stopIfTrue="1" operator="equal">
      <formula>0</formula>
    </cfRule>
  </conditionalFormatting>
  <conditionalFormatting sqref="S1">
    <cfRule type="cellIs" dxfId="6" priority="12" stopIfTrue="1" operator="notEqual">
      <formula>"R"</formula>
    </cfRule>
    <cfRule type="cellIs" dxfId="5" priority="13" stopIfTrue="1" operator="equal">
      <formula>"R"</formula>
    </cfRule>
  </conditionalFormatting>
  <conditionalFormatting sqref="S39">
    <cfRule type="cellIs" dxfId="4" priority="11" stopIfTrue="1" operator="notEqual">
      <formula>"PRINT"</formula>
    </cfRule>
  </conditionalFormatting>
  <conditionalFormatting sqref="S2:T11">
    <cfRule type="cellIs" dxfId="3" priority="5" stopIfTrue="1" operator="greaterThan">
      <formula>0</formula>
    </cfRule>
    <cfRule type="cellIs" dxfId="2" priority="6" stopIfTrue="1" operator="equal">
      <formula>0</formula>
    </cfRule>
  </conditionalFormatting>
  <dataValidations xWindow="555" yWindow="397" count="10">
    <dataValidation type="list" allowBlank="1" showInputMessage="1" showErrorMessage="1" sqref="D8" xr:uid="{00000000-0002-0000-0200-000000000000}">
      <formula1>"K.Asciak,G.Grima,M.Scicluna,M.Falzon,M.Vella,T.Sammut,R.Farrugia,A.Montebello,A.Vella,J.Gatt,J.Grech,S.James,K.Galea,F.Vella"</formula1>
    </dataValidation>
    <dataValidation type="list" allowBlank="1" showInputMessage="1" showErrorMessage="1" sqref="D6" xr:uid="{00000000-0002-0000-0200-000001000000}">
      <formula1>"VAT EXCL., VAT INCLUDED, VAT IN MARKUPS"</formula1>
    </dataValidation>
    <dataValidation type="list" allowBlank="1" showInputMessage="1" showErrorMessage="1" sqref="W1" xr:uid="{00000000-0002-0000-0200-000002000000}">
      <formula1>"BOQ,TDWG,ACT,DIF_TD,DIF_A"</formula1>
    </dataValidation>
    <dataValidation type="textLength" showInputMessage="1" showErrorMessage="1" sqref="S1" xr:uid="{00000000-0002-0000-0200-000003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200-000004000000}">
      <formula1>"PRINT,Test for 0.00,"</formula1>
    </dataValidation>
    <dataValidation type="list" allowBlank="1" showInputMessage="1" showErrorMessage="1" sqref="A33" xr:uid="{00000000-0002-0000-0200-000005000000}">
      <formula1>"MIXED, ,"</formula1>
    </dataValidation>
    <dataValidation type="list" allowBlank="1" showInputMessage="1" showErrorMessage="1" sqref="Q1" xr:uid="{00000000-0002-0000-0200-000006000000}">
      <formula1>"Lm,€,$US,CIF,LibDin,"</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9" xr:uid="{00000000-0002-0000-0200-000007000000}">
      <formula1>"27.46,24.50,23.95,22.96,23.02,23.52,22.42,21.57,24.39,23.36,23.23,24.10,23.75,26.30,not used"</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11" xr:uid="{F686A30F-48F9-48AC-8E48-962153E679BE}">
      <formula1>"30,not used"</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10" xr:uid="{260D431D-E762-427C-BC08-6C588122036A}">
      <formula1>"33.72,not used"</formula1>
    </dataValidation>
  </dataValidations>
  <pageMargins left="0.26" right="0.19685039370078741" top="0.48" bottom="0.34" header="0.3" footer="0.19685039370078741"/>
  <pageSetup paperSize="9" orientation="portrait" horizontalDpi="300" verticalDpi="300"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167640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1</xdr:col>
                    <xdr:colOff>38100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243840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236220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175260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152400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0</xdr:col>
                    <xdr:colOff>640080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91440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464820</xdr:colOff>
                    <xdr:row>9</xdr:row>
                    <xdr:rowOff>121920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14"/>
  </sheetPr>
  <dimension ref="A1:IV296"/>
  <sheetViews>
    <sheetView topLeftCell="A222" workbookViewId="0">
      <selection activeCell="A227" sqref="A227"/>
    </sheetView>
  </sheetViews>
  <sheetFormatPr defaultColWidth="9.109375" defaultRowHeight="13.2"/>
  <cols>
    <col min="1" max="2" width="9.88671875" style="34" customWidth="1"/>
    <col min="3" max="3" width="4.33203125" style="34" hidden="1" customWidth="1"/>
    <col min="4" max="4" width="26.109375" style="34" customWidth="1"/>
    <col min="5" max="5" width="32.44140625" style="34" bestFit="1" customWidth="1"/>
    <col min="6" max="6" width="26.109375" style="34" customWidth="1"/>
    <col min="7" max="7" width="9.6640625" style="34" hidden="1" customWidth="1"/>
    <col min="8" max="8" width="7.6640625" style="34" hidden="1" customWidth="1"/>
    <col min="9" max="11" width="8.6640625" style="34" hidden="1" customWidth="1"/>
    <col min="12" max="12" width="6.6640625" style="34" hidden="1" customWidth="1"/>
    <col min="13" max="16" width="8.6640625" style="34" hidden="1" customWidth="1"/>
    <col min="17" max="20" width="17.33203125" style="34" customWidth="1"/>
    <col min="21" max="21" width="4.88671875" style="34" customWidth="1"/>
    <col min="22" max="23" width="4.33203125" style="34" customWidth="1"/>
    <col min="24" max="24" width="5.6640625" style="34" customWidth="1"/>
    <col min="25" max="28" width="4.33203125" style="34" customWidth="1"/>
    <col min="29" max="16384" width="9.109375" style="34"/>
  </cols>
  <sheetData>
    <row r="1" spans="1:31" s="30" customFormat="1" ht="13.8">
      <c r="A1" s="455"/>
      <c r="B1" s="456" t="s">
        <v>0</v>
      </c>
      <c r="C1" s="457">
        <f>ML_Sum!$C1</f>
        <v>1</v>
      </c>
      <c r="D1" s="458" t="str">
        <f>ML_Sum!$D1</f>
        <v>Eden Lesuire Group</v>
      </c>
      <c r="E1" s="459"/>
      <c r="F1" s="460">
        <f>ML_Sum!$F1</f>
        <v>0</v>
      </c>
      <c r="G1" s="461"/>
      <c r="H1"/>
      <c r="I1" s="243">
        <v>1</v>
      </c>
      <c r="J1" s="244">
        <f>ML_Sum!$J1</f>
        <v>1</v>
      </c>
      <c r="K1" s="244">
        <f>ML_Sum!$K1</f>
        <v>1</v>
      </c>
      <c r="L1" s="244">
        <f>ML_Sum!$L1</f>
        <v>1</v>
      </c>
      <c r="M1" s="244">
        <f>ML_Sum!$M1</f>
        <v>1</v>
      </c>
      <c r="N1" s="244">
        <f>ML_Sum!$N1</f>
        <v>1</v>
      </c>
      <c r="O1" s="244">
        <f>ML_Sum!$O1</f>
        <v>1</v>
      </c>
      <c r="P1"/>
      <c r="Q1" s="310" t="str">
        <f>ML_Sum!$Q1</f>
        <v>€</v>
      </c>
      <c r="R1" s="247" t="s">
        <v>1</v>
      </c>
      <c r="S1" s="309" t="str">
        <f>ML_Sum!$S1</f>
        <v>R</v>
      </c>
      <c r="T1" s="15">
        <f>ML_Sum!$T1</f>
        <v>1</v>
      </c>
      <c r="U1" s="167" t="str">
        <f>ML_Sum!W1</f>
        <v>BOQ</v>
      </c>
      <c r="V1" s="101" t="s">
        <v>189</v>
      </c>
      <c r="W1" s="102" t="s">
        <v>179</v>
      </c>
      <c r="X1" s="103" t="s">
        <v>180</v>
      </c>
      <c r="Y1" s="104" t="s">
        <v>181</v>
      </c>
      <c r="Z1" s="105" t="s">
        <v>177</v>
      </c>
      <c r="AA1" s="105" t="s">
        <v>182</v>
      </c>
      <c r="AB1" s="102" t="s">
        <v>183</v>
      </c>
    </row>
    <row r="2" spans="1:31" s="30" customFormat="1" ht="13.8">
      <c r="A2" s="455"/>
      <c r="B2" s="456" t="s">
        <v>2</v>
      </c>
      <c r="C2" s="457">
        <f>ML_Sum!$C2</f>
        <v>1</v>
      </c>
      <c r="D2" s="458" t="str">
        <f>ML_Sum!$D2</f>
        <v>Intercontinental - Plant Retrofit</v>
      </c>
      <c r="E2" s="462"/>
      <c r="F2" s="460" t="str">
        <f>ML_Sum!$F2</f>
        <v>Electrical</v>
      </c>
      <c r="G2" s="461"/>
      <c r="H2"/>
      <c r="I2" s="243">
        <v>2</v>
      </c>
      <c r="J2" s="244">
        <f>ML_Sum!$J2</f>
        <v>1</v>
      </c>
      <c r="K2" s="244">
        <f>ML_Sum!$K2</f>
        <v>1</v>
      </c>
      <c r="L2" s="244">
        <f>ML_Sum!$L2</f>
        <v>1</v>
      </c>
      <c r="M2" s="244">
        <f>ML_Sum!$M2</f>
        <v>1</v>
      </c>
      <c r="N2" s="244">
        <f>ML_Sum!$N2</f>
        <v>1</v>
      </c>
      <c r="O2" s="244">
        <f>ML_Sum!$O2</f>
        <v>1</v>
      </c>
      <c r="P2"/>
      <c r="Q2" s="316">
        <f>ML_Sum!$Q2</f>
        <v>0</v>
      </c>
      <c r="R2" s="16" t="s">
        <v>3</v>
      </c>
      <c r="S2" s="317">
        <f>ML_Sum!$S2</f>
        <v>1.35</v>
      </c>
      <c r="T2" s="318">
        <f>ML_Sum!$T2</f>
        <v>37.071000000000005</v>
      </c>
      <c r="V2" s="289"/>
      <c r="W2" s="289"/>
      <c r="X2" s="289"/>
      <c r="Y2" s="289"/>
      <c r="Z2" s="289"/>
      <c r="AA2" s="289"/>
      <c r="AB2" s="289"/>
    </row>
    <row r="3" spans="1:31" s="30" customFormat="1" ht="13.8">
      <c r="A3" s="463"/>
      <c r="B3" s="464" t="s">
        <v>4</v>
      </c>
      <c r="C3" s="457">
        <f>ML_Sum!$C3</f>
        <v>1</v>
      </c>
      <c r="D3" s="458" t="str">
        <f>ML_Sum!$D3</f>
        <v>Retrofitting works for the HVAC plant at Intercontinental Revision A</v>
      </c>
      <c r="E3" s="463"/>
      <c r="F3" s="460" t="str">
        <f>ML_Sum!$F3</f>
        <v>Technician</v>
      </c>
      <c r="G3" s="465"/>
      <c r="H3"/>
      <c r="I3" s="243">
        <v>3</v>
      </c>
      <c r="J3" s="244">
        <f>ML_Sum!$J3</f>
        <v>1</v>
      </c>
      <c r="K3" s="244">
        <f>ML_Sum!$K3</f>
        <v>1</v>
      </c>
      <c r="L3" s="244">
        <f>ML_Sum!$L3</f>
        <v>1</v>
      </c>
      <c r="M3" s="244">
        <f>ML_Sum!$M3</f>
        <v>1</v>
      </c>
      <c r="N3" s="244">
        <f>ML_Sum!$N3</f>
        <v>1</v>
      </c>
      <c r="O3" s="244">
        <f>ML_Sum!$O3</f>
        <v>1</v>
      </c>
      <c r="P3"/>
      <c r="Q3" s="316">
        <f>ML_Sum!$Q3</f>
        <v>0</v>
      </c>
      <c r="R3" s="17" t="s">
        <v>5</v>
      </c>
      <c r="S3" s="317">
        <f>ML_Sum!$S3</f>
        <v>1.35</v>
      </c>
      <c r="T3" s="318">
        <f>ML_Sum!$T3</f>
        <v>45.521999999999998</v>
      </c>
      <c r="V3" s="289"/>
      <c r="W3" s="289"/>
      <c r="X3" s="289"/>
      <c r="Y3" s="289"/>
      <c r="Z3" s="289"/>
      <c r="AA3" s="289"/>
      <c r="AB3" s="289"/>
      <c r="AE3" s="285"/>
    </row>
    <row r="4" spans="1:31" s="30" customFormat="1" ht="13.8">
      <c r="A4" s="466"/>
      <c r="B4" s="456" t="s">
        <v>6</v>
      </c>
      <c r="C4" s="457">
        <f>ML_Sum!$C4</f>
        <v>1</v>
      </c>
      <c r="D4" s="458" t="str">
        <f>ML_Sum!$D4</f>
        <v>ELM25-0465A</v>
      </c>
      <c r="E4" s="463"/>
      <c r="F4" s="460" t="str">
        <f>ML_Sum!$F4</f>
        <v>Engineer (Man Hours)</v>
      </c>
      <c r="G4" s="465"/>
      <c r="H4"/>
      <c r="I4" s="243">
        <v>4</v>
      </c>
      <c r="J4" s="244">
        <f>ML_Sum!$J4</f>
        <v>1</v>
      </c>
      <c r="K4" s="244">
        <f>ML_Sum!$K4</f>
        <v>1</v>
      </c>
      <c r="L4" s="244">
        <f>ML_Sum!$L4</f>
        <v>1</v>
      </c>
      <c r="M4" s="244">
        <f>ML_Sum!$M4</f>
        <v>1</v>
      </c>
      <c r="N4" s="244">
        <f>ML_Sum!$N4</f>
        <v>1</v>
      </c>
      <c r="O4" s="244">
        <f>ML_Sum!$O4</f>
        <v>1</v>
      </c>
      <c r="P4"/>
      <c r="Q4" s="316">
        <f>ML_Sum!$Q4</f>
        <v>0</v>
      </c>
      <c r="R4" s="18" t="s">
        <v>8</v>
      </c>
      <c r="S4" s="317">
        <f>ML_Sum!$S4</f>
        <v>1.35</v>
      </c>
      <c r="T4" s="318">
        <f>ML_Sum!$T4</f>
        <v>40.5</v>
      </c>
      <c r="V4" s="289"/>
      <c r="W4" s="289"/>
      <c r="X4" s="289"/>
      <c r="Y4" s="289"/>
      <c r="Z4" s="289"/>
      <c r="AA4" s="289"/>
      <c r="AB4" s="289"/>
      <c r="AE4" s="286"/>
    </row>
    <row r="5" spans="1:31" s="30" customFormat="1" ht="13.8">
      <c r="A5" s="466"/>
      <c r="B5" s="456" t="s">
        <v>191</v>
      </c>
      <c r="C5" s="457">
        <f>ML_Sum!$C5</f>
        <v>1</v>
      </c>
      <c r="D5" s="458" t="str">
        <f>ML_Sum!$D5</f>
        <v>Tender</v>
      </c>
      <c r="E5" s="463"/>
      <c r="F5" s="460" t="str">
        <f>ML_Sum!$F5</f>
        <v>Megaline</v>
      </c>
      <c r="G5" s="467"/>
      <c r="H5"/>
      <c r="I5" s="243">
        <v>5</v>
      </c>
      <c r="J5" s="244">
        <f>ML_Sum!$J5</f>
        <v>1</v>
      </c>
      <c r="K5" s="244">
        <f>ML_Sum!$K5</f>
        <v>1</v>
      </c>
      <c r="L5" s="244">
        <f>ML_Sum!$L5</f>
        <v>1</v>
      </c>
      <c r="M5" s="244">
        <f>ML_Sum!$M5</f>
        <v>1</v>
      </c>
      <c r="N5" s="244">
        <f>ML_Sum!$N5</f>
        <v>1</v>
      </c>
      <c r="O5" s="244">
        <f>ML_Sum!$O5</f>
        <v>1</v>
      </c>
      <c r="P5"/>
      <c r="Q5" s="316">
        <f>ML_Sum!$Q5</f>
        <v>0</v>
      </c>
      <c r="R5" s="19" t="s">
        <v>10</v>
      </c>
      <c r="S5" s="317">
        <f>ML_Sum!$S5</f>
        <v>1</v>
      </c>
      <c r="T5" s="318">
        <f>ML_Sum!$T5</f>
        <v>37.071000000000005</v>
      </c>
      <c r="V5" s="289"/>
      <c r="W5" s="289"/>
      <c r="X5" s="289"/>
      <c r="Y5" s="289"/>
      <c r="Z5" s="289"/>
      <c r="AA5" s="289"/>
      <c r="AB5" s="289"/>
      <c r="AE5" s="286"/>
    </row>
    <row r="6" spans="1:31" s="30" customFormat="1" ht="13.8">
      <c r="A6"/>
      <c r="B6" s="464" t="s">
        <v>9</v>
      </c>
      <c r="C6" s="457">
        <f>ML_Sum!$C6</f>
        <v>1</v>
      </c>
      <c r="D6" s="458" t="str">
        <f>ML_Sum!$D6</f>
        <v>VAT EXCL.</v>
      </c>
      <c r="E6"/>
      <c r="F6" s="460">
        <f>ML_Sum!$F6</f>
        <v>0</v>
      </c>
      <c r="G6" s="467"/>
      <c r="H6"/>
      <c r="I6" s="243">
        <v>6</v>
      </c>
      <c r="J6" s="244">
        <f>ML_Sum!$J6</f>
        <v>1</v>
      </c>
      <c r="K6" s="244">
        <f>ML_Sum!$K6</f>
        <v>1</v>
      </c>
      <c r="L6" s="244">
        <f>ML_Sum!$L6</f>
        <v>1</v>
      </c>
      <c r="M6" s="244">
        <f>ML_Sum!$M6</f>
        <v>1</v>
      </c>
      <c r="N6" s="244">
        <f>ML_Sum!$N6</f>
        <v>1</v>
      </c>
      <c r="O6" s="244">
        <f>ML_Sum!$O6</f>
        <v>1</v>
      </c>
      <c r="P6"/>
      <c r="Q6" s="316">
        <f>ML_Sum!$Q6</f>
        <v>0</v>
      </c>
      <c r="R6" s="20" t="s">
        <v>11</v>
      </c>
      <c r="S6" s="317">
        <f>ML_Sum!$S6</f>
        <v>0</v>
      </c>
      <c r="T6" s="318">
        <f>ML_Sum!$T6</f>
        <v>0</v>
      </c>
      <c r="V6" s="289"/>
      <c r="W6" s="289"/>
      <c r="X6" s="289"/>
      <c r="Y6" s="289"/>
      <c r="Z6" s="289"/>
      <c r="AA6" s="289"/>
      <c r="AB6" s="289"/>
      <c r="AE6"/>
    </row>
    <row r="7" spans="1:31" s="30" customFormat="1" ht="13.8">
      <c r="A7" s="455"/>
      <c r="B7" s="464" t="s">
        <v>12</v>
      </c>
      <c r="C7" s="457">
        <f>ML_Sum!$C7</f>
        <v>1</v>
      </c>
      <c r="D7" s="468">
        <v>39364</v>
      </c>
      <c r="E7" s="469"/>
      <c r="F7" s="460">
        <f>ML_Sum!$F7</f>
        <v>0</v>
      </c>
      <c r="G7" s="470"/>
      <c r="H7"/>
      <c r="I7" s="243">
        <v>7</v>
      </c>
      <c r="J7" s="244">
        <f>ML_Sum!$J7</f>
        <v>1</v>
      </c>
      <c r="K7" s="244">
        <f>ML_Sum!$K7</f>
        <v>1</v>
      </c>
      <c r="L7" s="244">
        <f>ML_Sum!$L7</f>
        <v>1</v>
      </c>
      <c r="M7" s="244">
        <f>ML_Sum!$M7</f>
        <v>1</v>
      </c>
      <c r="N7" s="244">
        <f>ML_Sum!$N7</f>
        <v>1</v>
      </c>
      <c r="O7" s="244">
        <f>ML_Sum!$O7</f>
        <v>0</v>
      </c>
      <c r="P7"/>
      <c r="Q7" s="316">
        <f>ML_Sum!$Q7</f>
        <v>0</v>
      </c>
      <c r="R7" s="21" t="s">
        <v>13</v>
      </c>
      <c r="S7" s="317">
        <f>ML_Sum!$S7</f>
        <v>0</v>
      </c>
      <c r="T7" s="318">
        <f>ML_Sum!$T7</f>
        <v>0</v>
      </c>
      <c r="V7" s="289"/>
      <c r="W7" s="289"/>
      <c r="X7" s="289"/>
      <c r="Y7" s="289"/>
      <c r="Z7" s="289"/>
      <c r="AA7" s="289"/>
      <c r="AB7" s="289"/>
    </row>
    <row r="8" spans="1:31" s="30" customFormat="1" ht="13.8">
      <c r="A8" s="466"/>
      <c r="B8" s="464" t="s">
        <v>14</v>
      </c>
      <c r="C8" s="457">
        <f>ML_Sum!$C8</f>
        <v>1</v>
      </c>
      <c r="D8" s="458" t="str">
        <f>ML_Sum!$D8</f>
        <v>T.Sammut</v>
      </c>
      <c r="E8" s="463"/>
      <c r="F8" s="460">
        <f>ML_Sum!$F8</f>
        <v>0</v>
      </c>
      <c r="G8" s="471"/>
      <c r="H8"/>
      <c r="I8" s="243">
        <v>8</v>
      </c>
      <c r="J8" s="244">
        <f>ML_Sum!$J8</f>
        <v>1</v>
      </c>
      <c r="K8" s="244">
        <f>ML_Sum!$K8</f>
        <v>1</v>
      </c>
      <c r="L8" s="244">
        <f>ML_Sum!$L8</f>
        <v>1</v>
      </c>
      <c r="M8" s="244">
        <f>ML_Sum!$M8</f>
        <v>1</v>
      </c>
      <c r="N8" s="244">
        <f>ML_Sum!$N8</f>
        <v>1</v>
      </c>
      <c r="O8" s="244">
        <f>ML_Sum!$O8</f>
        <v>0</v>
      </c>
      <c r="P8"/>
      <c r="Q8" s="316">
        <f>ML_Sum!$Q8</f>
        <v>0</v>
      </c>
      <c r="R8" s="22" t="s">
        <v>15</v>
      </c>
      <c r="S8" s="317">
        <f>ML_Sum!$S8</f>
        <v>0</v>
      </c>
      <c r="T8" s="318">
        <f>ML_Sum!$T8</f>
        <v>0</v>
      </c>
      <c r="V8" s="289"/>
      <c r="W8" s="289"/>
      <c r="X8" s="289"/>
      <c r="Y8" s="289"/>
      <c r="Z8" s="289"/>
      <c r="AA8" s="289"/>
      <c r="AB8" s="289"/>
      <c r="AE8" s="286"/>
    </row>
    <row r="9" spans="1:31" s="30" customFormat="1" ht="13.8">
      <c r="A9" s="466"/>
      <c r="B9" s="464" t="s">
        <v>262</v>
      </c>
      <c r="C9" s="457">
        <f>ML_Sum!$C9</f>
        <v>1</v>
      </c>
      <c r="D9" s="458">
        <f>ML_Sum!$D9</f>
        <v>27.46</v>
      </c>
      <c r="E9" s="463"/>
      <c r="F9" s="460">
        <f>ML_Sum!$F9</f>
        <v>0</v>
      </c>
      <c r="G9" s="471"/>
      <c r="H9"/>
      <c r="I9" s="243">
        <v>9</v>
      </c>
      <c r="J9" s="244">
        <f>ML_Sum!$J9</f>
        <v>1</v>
      </c>
      <c r="K9" s="244">
        <f>ML_Sum!$K9</f>
        <v>1</v>
      </c>
      <c r="L9" s="244">
        <f>ML_Sum!$L9</f>
        <v>1</v>
      </c>
      <c r="M9" s="244">
        <f>ML_Sum!$M9</f>
        <v>1</v>
      </c>
      <c r="N9" s="244">
        <f>ML_Sum!$N9</f>
        <v>1</v>
      </c>
      <c r="O9" s="244">
        <f>ML_Sum!$O9</f>
        <v>0</v>
      </c>
      <c r="P9"/>
      <c r="Q9" s="316">
        <f>ML_Sum!$Q9</f>
        <v>0</v>
      </c>
      <c r="R9" s="23" t="s">
        <v>16</v>
      </c>
      <c r="S9" s="317">
        <f>ML_Sum!$S9</f>
        <v>0</v>
      </c>
      <c r="T9" s="318">
        <f>ML_Sum!$T9</f>
        <v>0</v>
      </c>
      <c r="V9" s="289"/>
      <c r="W9" s="289"/>
      <c r="X9" s="289"/>
      <c r="Y9" s="289"/>
      <c r="Z9" s="289"/>
      <c r="AA9" s="289"/>
      <c r="AB9" s="289"/>
      <c r="AE9" s="286"/>
    </row>
    <row r="10" spans="1:31" s="30" customFormat="1" ht="13.8">
      <c r="A10" s="466"/>
      <c r="B10" s="455"/>
      <c r="C10" s="457">
        <f>ML_Sum!$C10</f>
        <v>1</v>
      </c>
      <c r="D10" s="455"/>
      <c r="E10" s="463"/>
      <c r="F10" s="460">
        <f>ML_Sum!$F10</f>
        <v>0</v>
      </c>
      <c r="G10" s="471"/>
      <c r="H10"/>
      <c r="I10" s="243">
        <v>10</v>
      </c>
      <c r="J10" s="244">
        <f>ML_Sum!$J10</f>
        <v>1</v>
      </c>
      <c r="K10" s="244">
        <f>ML_Sum!$K10</f>
        <v>1</v>
      </c>
      <c r="L10" s="244">
        <f>ML_Sum!$L10</f>
        <v>1</v>
      </c>
      <c r="M10" s="244">
        <f>ML_Sum!$M10</f>
        <v>1</v>
      </c>
      <c r="N10" s="244">
        <f>ML_Sum!$N10</f>
        <v>1</v>
      </c>
      <c r="O10" s="244">
        <f>ML_Sum!$O10</f>
        <v>1</v>
      </c>
      <c r="P10"/>
      <c r="Q10" s="316">
        <f>ML_Sum!$Q10</f>
        <v>0</v>
      </c>
      <c r="R10" s="24" t="s">
        <v>17</v>
      </c>
      <c r="S10" s="317">
        <f>ML_Sum!$S10</f>
        <v>0</v>
      </c>
      <c r="T10" s="318">
        <f>ML_Sum!$T10</f>
        <v>0</v>
      </c>
      <c r="V10" s="289"/>
      <c r="W10" s="289"/>
      <c r="X10" s="289"/>
      <c r="Y10" s="289"/>
      <c r="Z10" s="289"/>
      <c r="AA10" s="289"/>
      <c r="AB10" s="289"/>
      <c r="AE10" s="286"/>
    </row>
    <row r="11" spans="1:31" s="30" customFormat="1" ht="13.8">
      <c r="A11" s="466"/>
      <c r="B11" s="455"/>
      <c r="C11" s="457">
        <f>ML_Sum!$C11</f>
        <v>1</v>
      </c>
      <c r="D11" s="455"/>
      <c r="E11" s="463"/>
      <c r="F11" s="460">
        <f>ML_Sum!$F11</f>
        <v>0</v>
      </c>
      <c r="G11" s="471"/>
      <c r="H11" s="471"/>
      <c r="I11" s="455"/>
      <c r="J11" s="455"/>
      <c r="K11" s="455"/>
      <c r="L11" s="455"/>
      <c r="M11" s="455"/>
      <c r="N11" s="455"/>
      <c r="O11" s="455"/>
      <c r="P11" s="471"/>
      <c r="Q11" s="316">
        <f>ML_Sum!$Q11</f>
        <v>0</v>
      </c>
      <c r="R11" s="25" t="s">
        <v>18</v>
      </c>
      <c r="S11" s="317">
        <f>ML_Sum!$S11</f>
        <v>0</v>
      </c>
      <c r="T11" s="318">
        <f>ML_Sum!$T11</f>
        <v>0</v>
      </c>
      <c r="V11" s="289"/>
      <c r="W11" s="289"/>
      <c r="X11" s="289"/>
      <c r="Y11" s="289"/>
      <c r="Z11" s="289"/>
      <c r="AA11" s="289"/>
      <c r="AB11" s="289"/>
      <c r="AE11" s="286"/>
    </row>
    <row r="12" spans="1:31" s="30" customFormat="1" ht="13.8">
      <c r="A12" s="466"/>
      <c r="B12" s="455"/>
      <c r="C12" s="457">
        <f>ML_Sum!$C12</f>
        <v>1</v>
      </c>
      <c r="D12" s="455"/>
      <c r="E12" s="463"/>
      <c r="F12" s="460">
        <f>ML_Sum!$F12</f>
        <v>0</v>
      </c>
      <c r="G12" s="471"/>
      <c r="H12" s="471"/>
      <c r="I12" s="455"/>
      <c r="J12" s="455"/>
      <c r="K12" s="455"/>
      <c r="L12" s="455"/>
      <c r="M12" s="455"/>
      <c r="N12" s="455"/>
      <c r="O12" s="455"/>
      <c r="P12" s="471"/>
      <c r="Q12" s="316">
        <f>ML_Sum!$Q12</f>
        <v>0</v>
      </c>
      <c r="R12" s="366" t="s">
        <v>204</v>
      </c>
      <c r="S12" s="317" t="str">
        <f>ML_Sum!$S12</f>
        <v>MAT MU</v>
      </c>
      <c r="T12" s="318" t="str">
        <f>ML_Sum!$T12</f>
        <v>LAB RATE</v>
      </c>
      <c r="V12" s="289"/>
      <c r="W12" s="289"/>
      <c r="X12" s="289"/>
      <c r="Y12" s="289"/>
      <c r="Z12" s="289"/>
      <c r="AA12" s="289"/>
      <c r="AB12" s="289"/>
      <c r="AE12" s="286"/>
    </row>
    <row r="13" spans="1:31" s="30" customFormat="1" ht="14.4" thickBot="1">
      <c r="A13" s="472"/>
      <c r="B13" s="473"/>
      <c r="C13" s="474"/>
      <c r="D13" s="475"/>
      <c r="E13" s="476"/>
      <c r="F13" s="477"/>
      <c r="G13" s="478" t="s">
        <v>19</v>
      </c>
      <c r="H13" s="478" t="s">
        <v>20</v>
      </c>
      <c r="I13" s="478" t="s">
        <v>21</v>
      </c>
      <c r="J13" s="478" t="s">
        <v>22</v>
      </c>
      <c r="K13" s="478" t="s">
        <v>23</v>
      </c>
      <c r="L13" s="478" t="s">
        <v>24</v>
      </c>
      <c r="M13" s="478" t="s">
        <v>25</v>
      </c>
      <c r="N13" s="478" t="s">
        <v>26</v>
      </c>
      <c r="O13" s="478" t="s">
        <v>27</v>
      </c>
      <c r="P13" s="478" t="s">
        <v>28</v>
      </c>
      <c r="Q13" s="26" t="s">
        <v>199</v>
      </c>
      <c r="R13" s="27" t="s">
        <v>30</v>
      </c>
      <c r="S13" s="28" t="s">
        <v>31</v>
      </c>
      <c r="T13" s="29" t="s">
        <v>32</v>
      </c>
      <c r="V13" s="289"/>
      <c r="W13" s="289"/>
      <c r="X13" s="289"/>
      <c r="Y13" s="289"/>
      <c r="Z13" s="289"/>
      <c r="AA13" s="289"/>
      <c r="AB13" s="289"/>
      <c r="AE13" s="287"/>
    </row>
    <row r="14" spans="1:31" customFormat="1"/>
    <row r="15" spans="1:31">
      <c r="A15" s="31"/>
      <c r="B15" s="31"/>
      <c r="C15" s="31" t="s">
        <v>135</v>
      </c>
      <c r="D15" s="35" t="s">
        <v>136</v>
      </c>
      <c r="E15" s="31"/>
      <c r="F15" s="31"/>
      <c r="G15" s="31"/>
      <c r="H15" s="31"/>
      <c r="I15" s="31"/>
      <c r="J15" s="31"/>
      <c r="K15" s="31"/>
      <c r="L15" s="31"/>
      <c r="M15" s="31"/>
      <c r="N15" s="31"/>
      <c r="O15" s="33"/>
      <c r="P15" s="31"/>
      <c r="Q15" s="31"/>
      <c r="R15" s="31"/>
      <c r="S15" s="31"/>
      <c r="T15" s="31"/>
    </row>
    <row r="16" spans="1:31">
      <c r="A16" s="31"/>
      <c r="B16" s="31"/>
      <c r="C16" s="31"/>
      <c r="D16" s="35" t="s">
        <v>137</v>
      </c>
      <c r="E16" s="31"/>
      <c r="F16" s="31"/>
      <c r="G16" s="31"/>
      <c r="H16" s="31"/>
      <c r="I16" s="31"/>
      <c r="J16" s="31"/>
      <c r="K16" s="31"/>
      <c r="L16" s="31"/>
      <c r="M16" s="31"/>
      <c r="N16" s="31"/>
      <c r="O16" s="33"/>
      <c r="P16" s="31"/>
      <c r="Q16" s="31"/>
      <c r="R16" s="31"/>
      <c r="S16" s="36"/>
      <c r="T16" s="36"/>
    </row>
    <row r="17" spans="1:28" ht="13.8" thickBot="1">
      <c r="A17" s="37"/>
      <c r="B17" s="32"/>
      <c r="C17" s="32"/>
      <c r="D17" s="32"/>
      <c r="E17" s="32"/>
      <c r="F17" s="32"/>
      <c r="G17" s="32"/>
      <c r="H17" s="32"/>
      <c r="I17" s="32"/>
      <c r="J17" s="32"/>
      <c r="K17" s="32"/>
      <c r="L17" s="32"/>
      <c r="M17" s="32"/>
      <c r="N17" s="32"/>
      <c r="O17" s="38"/>
      <c r="P17" s="32"/>
      <c r="Q17" s="32"/>
      <c r="R17" s="32"/>
      <c r="S17" s="32"/>
      <c r="T17" s="32"/>
    </row>
    <row r="18" spans="1:28" s="501" customFormat="1" ht="12" thickTop="1">
      <c r="A18" s="44"/>
      <c r="B18" s="44"/>
      <c r="C18" s="44"/>
      <c r="D18" s="44"/>
      <c r="E18" s="44"/>
      <c r="F18" s="44"/>
      <c r="G18" s="44"/>
      <c r="H18" s="44"/>
      <c r="I18" s="44"/>
      <c r="J18" s="44"/>
      <c r="K18" s="44"/>
      <c r="L18" s="44"/>
      <c r="M18" s="44"/>
      <c r="N18" s="44"/>
      <c r="O18" s="45"/>
      <c r="P18" s="44"/>
      <c r="Q18" s="40" t="s">
        <v>163</v>
      </c>
      <c r="R18" s="44"/>
      <c r="S18" s="11"/>
      <c r="T18" s="44"/>
    </row>
    <row r="19" spans="1:28" s="501" customFormat="1" ht="12" customHeight="1" thickBot="1">
      <c r="A19" s="552">
        <v>1</v>
      </c>
      <c r="B19" s="553">
        <f ca="1">Elec_Est!B3215</f>
        <v>2</v>
      </c>
      <c r="C19" s="554"/>
      <c r="D19" s="555" t="s">
        <v>819</v>
      </c>
      <c r="E19" s="556"/>
      <c r="F19" s="556"/>
      <c r="G19" s="506"/>
      <c r="H19" s="506"/>
      <c r="I19" s="557"/>
      <c r="J19" s="506"/>
      <c r="K19" s="554" t="s">
        <v>164</v>
      </c>
      <c r="L19" s="558" t="s">
        <v>164</v>
      </c>
      <c r="M19" s="558"/>
      <c r="N19" s="558"/>
      <c r="O19" s="558"/>
      <c r="P19" s="558"/>
      <c r="Q19" s="559">
        <f ca="1">B19/A19</f>
        <v>2</v>
      </c>
      <c r="R19" s="565">
        <f ca="1">IF($B19=0,0,IF($S$1="R",ROUND(R26/$B19,2),R26/$B19))</f>
        <v>11.12</v>
      </c>
      <c r="S19" s="566"/>
      <c r="T19" s="565">
        <f ca="1">IF($B19=0,0,IF($S$1="R",ROUND(T26/$B19,2),T26/$B19))</f>
        <v>1.46</v>
      </c>
    </row>
    <row r="20" spans="1:28" s="501" customFormat="1" ht="13.8" thickTop="1">
      <c r="A20" s="505"/>
      <c r="B20" s="3"/>
      <c r="C20" s="3"/>
      <c r="D20" s="85" t="s">
        <v>668</v>
      </c>
      <c r="E20" s="3"/>
      <c r="F20" s="3"/>
      <c r="G20" s="3"/>
      <c r="H20" s="3"/>
      <c r="I20" s="3"/>
      <c r="J20" s="3"/>
      <c r="K20" s="3"/>
      <c r="L20" s="3"/>
      <c r="M20" s="3"/>
      <c r="N20" s="3"/>
      <c r="O20" s="86"/>
      <c r="P20" s="3"/>
      <c r="Q20" s="3"/>
      <c r="R20" s="3"/>
      <c r="S20" s="3"/>
      <c r="T20" s="3"/>
    </row>
    <row r="21" spans="1:28" s="893" customFormat="1">
      <c r="A21" s="904">
        <f ca="1">$Q$19 *(2)</f>
        <v>4</v>
      </c>
      <c r="B21" s="893" t="s">
        <v>141</v>
      </c>
      <c r="D21" s="893" t="s">
        <v>669</v>
      </c>
      <c r="G21" s="894" t="s">
        <v>670</v>
      </c>
      <c r="H21" s="895">
        <v>620</v>
      </c>
      <c r="I21" s="893" t="s">
        <v>671</v>
      </c>
      <c r="O21" s="896">
        <v>2</v>
      </c>
      <c r="P21" s="897">
        <v>35431</v>
      </c>
      <c r="Q21" s="898">
        <v>3.56</v>
      </c>
      <c r="R21" s="899">
        <f ca="1">$A21*Q21</f>
        <v>14.24</v>
      </c>
      <c r="S21" s="898">
        <v>0.3</v>
      </c>
      <c r="T21" s="900">
        <f ca="1">$A21*S21*$T$1</f>
        <v>1.2</v>
      </c>
    </row>
    <row r="22" spans="1:28" s="893" customFormat="1">
      <c r="A22" s="904">
        <f ca="1">$Q$19 *(2)</f>
        <v>4</v>
      </c>
      <c r="B22" s="893" t="s">
        <v>296</v>
      </c>
      <c r="D22" s="893" t="s">
        <v>672</v>
      </c>
      <c r="G22" s="894" t="s">
        <v>673</v>
      </c>
      <c r="H22" s="895">
        <v>620</v>
      </c>
      <c r="I22" s="893" t="s">
        <v>643</v>
      </c>
      <c r="O22" s="896">
        <v>2</v>
      </c>
      <c r="P22" s="897">
        <v>38148</v>
      </c>
      <c r="Q22" s="898">
        <v>1.5</v>
      </c>
      <c r="R22" s="899">
        <f ca="1">$A22*Q22</f>
        <v>6</v>
      </c>
      <c r="S22" s="898">
        <v>0.08</v>
      </c>
      <c r="T22" s="900">
        <f ca="1">$A22*S22*$T$1</f>
        <v>0.32</v>
      </c>
    </row>
    <row r="23" spans="1:28" s="893" customFormat="1">
      <c r="A23" s="904">
        <f ca="1">$Q$19 *(10)</f>
        <v>20</v>
      </c>
      <c r="B23" s="893" t="s">
        <v>141</v>
      </c>
      <c r="D23" s="893" t="s">
        <v>674</v>
      </c>
      <c r="G23" s="894" t="s">
        <v>675</v>
      </c>
      <c r="H23" s="895">
        <v>620</v>
      </c>
      <c r="I23" s="893" t="s">
        <v>676</v>
      </c>
      <c r="O23" s="896">
        <v>2</v>
      </c>
      <c r="P23" s="897">
        <v>34669</v>
      </c>
      <c r="Q23" s="898">
        <v>0.1</v>
      </c>
      <c r="R23" s="899">
        <f ca="1">$A23*Q23</f>
        <v>2</v>
      </c>
      <c r="S23" s="898">
        <v>0.02</v>
      </c>
      <c r="T23" s="900">
        <f ca="1">$A23*S23*$T$1</f>
        <v>0.4</v>
      </c>
    </row>
    <row r="24" spans="1:28" s="893" customFormat="1">
      <c r="A24" s="926">
        <f ca="1">$Q$19 *(1)</f>
        <v>2</v>
      </c>
      <c r="B24" s="893" t="s">
        <v>141</v>
      </c>
      <c r="D24" s="893" t="s">
        <v>677</v>
      </c>
      <c r="G24" s="894" t="s">
        <v>678</v>
      </c>
      <c r="H24" s="895">
        <v>900</v>
      </c>
      <c r="I24" s="893" t="s">
        <v>660</v>
      </c>
      <c r="O24" s="896">
        <v>3</v>
      </c>
      <c r="P24" s="897">
        <v>34790</v>
      </c>
      <c r="Q24" s="898"/>
      <c r="R24" s="899">
        <f ca="1">$A24*Q24</f>
        <v>0</v>
      </c>
      <c r="S24" s="898">
        <v>0.5</v>
      </c>
      <c r="T24" s="900">
        <f ca="1">$A24*S24*$T$1</f>
        <v>1</v>
      </c>
    </row>
    <row r="25" spans="1:28" s="501" customFormat="1">
      <c r="A25" s="497"/>
      <c r="B25" s="3"/>
      <c r="C25" s="497" t="s">
        <v>165</v>
      </c>
      <c r="D25" s="3"/>
      <c r="E25" s="497"/>
      <c r="F25" s="498"/>
      <c r="G25" s="497"/>
      <c r="H25" s="497"/>
      <c r="I25" s="499"/>
      <c r="J25" s="497"/>
      <c r="K25" s="497"/>
      <c r="L25" s="497"/>
      <c r="M25" s="497"/>
      <c r="N25" s="497"/>
      <c r="O25" s="497"/>
      <c r="P25" s="497"/>
      <c r="Q25" s="499"/>
      <c r="R25" s="560">
        <f>$A25*Q25</f>
        <v>0</v>
      </c>
      <c r="S25" s="499"/>
      <c r="T25" s="500">
        <f>$A25*S25*$T$1</f>
        <v>0</v>
      </c>
    </row>
    <row r="26" spans="1:28" s="501" customFormat="1" ht="12.6" thickBot="1">
      <c r="A26" s="513" t="s">
        <v>145</v>
      </c>
      <c r="B26" s="514">
        <f>(R25+T25)</f>
        <v>0</v>
      </c>
      <c r="C26" s="515"/>
      <c r="D26" s="561" t="s">
        <v>166</v>
      </c>
      <c r="E26" s="449">
        <f ca="1">IF($B19=0,0,ROUND(ROUND(($R26*$S$2+($T26*$T$2))/$B19, 2)*$C$2,2))</f>
        <v>69.14</v>
      </c>
      <c r="F26" s="450">
        <f ca="1">ROUND($B19*$E26,2)</f>
        <v>138.28</v>
      </c>
      <c r="G26" s="515"/>
      <c r="H26" s="515"/>
      <c r="I26" s="516"/>
      <c r="J26" s="515"/>
      <c r="K26" s="562" t="s">
        <v>143</v>
      </c>
      <c r="L26" s="517" t="s">
        <v>143</v>
      </c>
      <c r="M26" s="517"/>
      <c r="N26" s="517"/>
      <c r="O26" s="517"/>
      <c r="P26" s="517"/>
      <c r="Q26" s="562"/>
      <c r="R26" s="563">
        <f ca="1">SUM(R20:R25)</f>
        <v>22.240000000000002</v>
      </c>
      <c r="S26" s="564"/>
      <c r="T26" s="563">
        <f ca="1">SUM(T20:T25)</f>
        <v>2.92</v>
      </c>
      <c r="U26" s="518"/>
      <c r="V26" s="518"/>
      <c r="W26" s="518"/>
      <c r="X26" s="518"/>
      <c r="Y26" s="518"/>
      <c r="Z26" s="518"/>
      <c r="AA26" s="518"/>
      <c r="AB26" s="518"/>
    </row>
    <row r="27" spans="1:28" s="501" customFormat="1" ht="12" thickTop="1">
      <c r="A27" s="44"/>
      <c r="B27" s="44"/>
      <c r="C27" s="44"/>
      <c r="D27" s="44"/>
      <c r="E27" s="44"/>
      <c r="F27" s="44"/>
      <c r="G27" s="44"/>
      <c r="H27" s="44"/>
      <c r="I27" s="44"/>
      <c r="J27" s="44"/>
      <c r="K27" s="44"/>
      <c r="L27" s="44"/>
      <c r="M27" s="44"/>
      <c r="N27" s="44"/>
      <c r="O27" s="45"/>
      <c r="P27" s="44"/>
      <c r="Q27" s="40" t="s">
        <v>163</v>
      </c>
      <c r="R27" s="44"/>
      <c r="S27" s="11"/>
      <c r="T27" s="44"/>
    </row>
    <row r="28" spans="1:28" s="501" customFormat="1" ht="12" customHeight="1" thickBot="1">
      <c r="A28" s="552">
        <v>1</v>
      </c>
      <c r="B28" s="553">
        <f ca="1">Elec_Est!B3216</f>
        <v>4</v>
      </c>
      <c r="C28" s="554"/>
      <c r="D28" s="555" t="s">
        <v>820</v>
      </c>
      <c r="E28" s="556"/>
      <c r="F28" s="556"/>
      <c r="G28" s="506"/>
      <c r="H28" s="506"/>
      <c r="I28" s="557"/>
      <c r="J28" s="506"/>
      <c r="K28" s="554" t="s">
        <v>164</v>
      </c>
      <c r="L28" s="558" t="s">
        <v>164</v>
      </c>
      <c r="M28" s="558"/>
      <c r="N28" s="558"/>
      <c r="O28" s="558"/>
      <c r="P28" s="558"/>
      <c r="Q28" s="559">
        <f ca="1">B28/A28</f>
        <v>4</v>
      </c>
      <c r="R28" s="565">
        <f ca="1">IF($B28=0,0,IF($S$1="R",ROUND(R35/$B28,2),R35/$B28))</f>
        <v>13.92</v>
      </c>
      <c r="S28" s="566"/>
      <c r="T28" s="565">
        <f ca="1">IF($B28=0,0,IF($S$1="R",ROUND(T35/$B28,2),T35/$B28))</f>
        <v>1.56</v>
      </c>
    </row>
    <row r="29" spans="1:28" s="501" customFormat="1" ht="13.8" thickTop="1">
      <c r="A29" s="505"/>
      <c r="B29" s="3"/>
      <c r="C29" s="3"/>
      <c r="D29" s="85" t="s">
        <v>668</v>
      </c>
      <c r="E29" s="3"/>
      <c r="F29" s="3"/>
      <c r="G29" s="3"/>
      <c r="H29" s="3"/>
      <c r="I29" s="3"/>
      <c r="J29" s="3"/>
      <c r="K29" s="3"/>
      <c r="L29" s="3"/>
      <c r="M29" s="3"/>
      <c r="N29" s="3"/>
      <c r="O29" s="86"/>
      <c r="P29" s="3"/>
      <c r="Q29" s="3"/>
      <c r="R29" s="3"/>
      <c r="S29" s="3"/>
      <c r="T29" s="3"/>
    </row>
    <row r="30" spans="1:28" s="893" customFormat="1">
      <c r="A30" s="904">
        <f ca="1">$Q$28 *(2)</f>
        <v>8</v>
      </c>
      <c r="B30" s="893" t="s">
        <v>141</v>
      </c>
      <c r="D30" s="893" t="s">
        <v>679</v>
      </c>
      <c r="G30" s="894" t="s">
        <v>680</v>
      </c>
      <c r="H30" s="895">
        <v>620</v>
      </c>
      <c r="I30" s="893" t="s">
        <v>671</v>
      </c>
      <c r="O30" s="896">
        <v>2</v>
      </c>
      <c r="P30" s="897">
        <v>35431</v>
      </c>
      <c r="Q30" s="898">
        <v>4.71</v>
      </c>
      <c r="R30" s="899">
        <f ca="1">$A30*Q30</f>
        <v>37.68</v>
      </c>
      <c r="S30" s="898">
        <v>0.35000000000000003</v>
      </c>
      <c r="T30" s="900">
        <f ca="1">$A30*S30*$T$1</f>
        <v>2.8000000000000003</v>
      </c>
    </row>
    <row r="31" spans="1:28" s="893" customFormat="1">
      <c r="A31" s="904">
        <f ca="1">$Q$28 *(2)</f>
        <v>8</v>
      </c>
      <c r="B31" s="893" t="s">
        <v>296</v>
      </c>
      <c r="D31" s="893" t="s">
        <v>672</v>
      </c>
      <c r="G31" s="894" t="s">
        <v>673</v>
      </c>
      <c r="H31" s="895">
        <v>620</v>
      </c>
      <c r="I31" s="893" t="s">
        <v>643</v>
      </c>
      <c r="O31" s="896">
        <v>2</v>
      </c>
      <c r="P31" s="897">
        <v>38148</v>
      </c>
      <c r="Q31" s="898">
        <v>1.5</v>
      </c>
      <c r="R31" s="899">
        <f ca="1">$A31*Q31</f>
        <v>12</v>
      </c>
      <c r="S31" s="898">
        <v>0.08</v>
      </c>
      <c r="T31" s="900">
        <f ca="1">$A31*S31*$T$1</f>
        <v>0.64</v>
      </c>
    </row>
    <row r="32" spans="1:28" s="893" customFormat="1">
      <c r="A32" s="904">
        <f ca="1">$Q$28 *(10)</f>
        <v>40</v>
      </c>
      <c r="B32" s="893" t="s">
        <v>141</v>
      </c>
      <c r="D32" s="893" t="s">
        <v>681</v>
      </c>
      <c r="G32" s="894" t="s">
        <v>682</v>
      </c>
      <c r="H32" s="895">
        <v>620</v>
      </c>
      <c r="I32" s="893" t="s">
        <v>676</v>
      </c>
      <c r="O32" s="896">
        <v>2</v>
      </c>
      <c r="P32" s="897">
        <v>34669</v>
      </c>
      <c r="Q32" s="898">
        <v>0.15</v>
      </c>
      <c r="R32" s="899">
        <f ca="1">$A32*Q32</f>
        <v>6</v>
      </c>
      <c r="S32" s="898">
        <v>0.02</v>
      </c>
      <c r="T32" s="900">
        <f ca="1">$A32*S32*$T$1</f>
        <v>0.8</v>
      </c>
    </row>
    <row r="33" spans="1:28" s="893" customFormat="1">
      <c r="A33" s="926">
        <f ca="1">$Q$28 *(1)</f>
        <v>4</v>
      </c>
      <c r="B33" s="893" t="s">
        <v>141</v>
      </c>
      <c r="D33" s="893" t="s">
        <v>677</v>
      </c>
      <c r="G33" s="894" t="s">
        <v>678</v>
      </c>
      <c r="H33" s="895">
        <v>900</v>
      </c>
      <c r="I33" s="893" t="s">
        <v>660</v>
      </c>
      <c r="O33" s="896">
        <v>3</v>
      </c>
      <c r="P33" s="897">
        <v>34790</v>
      </c>
      <c r="Q33" s="898"/>
      <c r="R33" s="899">
        <f ca="1">$A33*Q33</f>
        <v>0</v>
      </c>
      <c r="S33" s="898">
        <v>0.5</v>
      </c>
      <c r="T33" s="900">
        <f ca="1">$A33*S33*$T$1</f>
        <v>2</v>
      </c>
    </row>
    <row r="34" spans="1:28" s="501" customFormat="1">
      <c r="A34" s="497"/>
      <c r="B34" s="3"/>
      <c r="C34" s="497" t="s">
        <v>165</v>
      </c>
      <c r="D34" s="3"/>
      <c r="E34" s="497"/>
      <c r="F34" s="498"/>
      <c r="G34" s="497"/>
      <c r="H34" s="497"/>
      <c r="I34" s="499"/>
      <c r="J34" s="497"/>
      <c r="K34" s="497"/>
      <c r="L34" s="497"/>
      <c r="M34" s="497"/>
      <c r="N34" s="497"/>
      <c r="O34" s="497"/>
      <c r="P34" s="497"/>
      <c r="Q34" s="499"/>
      <c r="R34" s="560">
        <f>$A34*Q34</f>
        <v>0</v>
      </c>
      <c r="S34" s="499"/>
      <c r="T34" s="500">
        <f>$A34*S34*$T$1</f>
        <v>0</v>
      </c>
    </row>
    <row r="35" spans="1:28" s="501" customFormat="1" ht="12.6" thickBot="1">
      <c r="A35" s="513" t="s">
        <v>145</v>
      </c>
      <c r="B35" s="514">
        <f>(R34+T34)</f>
        <v>0</v>
      </c>
      <c r="C35" s="515"/>
      <c r="D35" s="561" t="s">
        <v>166</v>
      </c>
      <c r="E35" s="449">
        <f ca="1">IF($B28=0,0,ROUND(ROUND(($R35*$S$2+($T35*$T$2))/$B28, 2)*$C$2,2))</f>
        <v>76.62</v>
      </c>
      <c r="F35" s="450">
        <f ca="1">ROUND($B28*$E35,2)</f>
        <v>306.48</v>
      </c>
      <c r="G35" s="515"/>
      <c r="H35" s="515"/>
      <c r="I35" s="516"/>
      <c r="J35" s="515"/>
      <c r="K35" s="562" t="s">
        <v>143</v>
      </c>
      <c r="L35" s="517" t="s">
        <v>143</v>
      </c>
      <c r="M35" s="517"/>
      <c r="N35" s="517"/>
      <c r="O35" s="517"/>
      <c r="P35" s="517"/>
      <c r="Q35" s="562"/>
      <c r="R35" s="563">
        <f ca="1">SUM(R29:R34)</f>
        <v>55.68</v>
      </c>
      <c r="S35" s="564"/>
      <c r="T35" s="563">
        <f ca="1">SUM(T29:T34)</f>
        <v>6.24</v>
      </c>
      <c r="U35" s="518"/>
      <c r="V35" s="518"/>
      <c r="W35" s="518"/>
      <c r="X35" s="518"/>
      <c r="Y35" s="518"/>
      <c r="Z35" s="518"/>
      <c r="AA35" s="518"/>
      <c r="AB35" s="518"/>
    </row>
    <row r="36" spans="1:28" s="501" customFormat="1" ht="12" thickTop="1">
      <c r="A36" s="44"/>
      <c r="B36" s="44"/>
      <c r="C36" s="44"/>
      <c r="D36" s="44"/>
      <c r="E36" s="44"/>
      <c r="F36" s="44"/>
      <c r="G36" s="44"/>
      <c r="H36" s="44"/>
      <c r="I36" s="44"/>
      <c r="J36" s="44"/>
      <c r="K36" s="44"/>
      <c r="L36" s="44"/>
      <c r="M36" s="44"/>
      <c r="N36" s="44"/>
      <c r="O36" s="45"/>
      <c r="P36" s="44"/>
      <c r="Q36" s="40" t="s">
        <v>163</v>
      </c>
      <c r="R36" s="44"/>
      <c r="S36" s="11"/>
      <c r="T36" s="44"/>
    </row>
    <row r="37" spans="1:28" s="501" customFormat="1" ht="12" customHeight="1" thickBot="1">
      <c r="A37" s="552">
        <v>1</v>
      </c>
      <c r="B37" s="553">
        <f ca="1">Elec_Est!B3217</f>
        <v>3</v>
      </c>
      <c r="C37" s="554"/>
      <c r="D37" s="555" t="s">
        <v>821</v>
      </c>
      <c r="E37" s="556"/>
      <c r="F37" s="556"/>
      <c r="G37" s="506"/>
      <c r="H37" s="506"/>
      <c r="I37" s="557"/>
      <c r="J37" s="506"/>
      <c r="K37" s="554" t="s">
        <v>164</v>
      </c>
      <c r="L37" s="558" t="s">
        <v>164</v>
      </c>
      <c r="M37" s="558"/>
      <c r="N37" s="558"/>
      <c r="O37" s="558"/>
      <c r="P37" s="558"/>
      <c r="Q37" s="559">
        <f ca="1">B37/A37</f>
        <v>3</v>
      </c>
      <c r="R37" s="565">
        <f ca="1">IF($B37=0,0,IF($S$1="R",ROUND(R44/$B37,2),R44/$B37))</f>
        <v>14.42</v>
      </c>
      <c r="S37" s="566"/>
      <c r="T37" s="565">
        <f ca="1">IF($B37=0,0,IF($S$1="R",ROUND(T44/$B37,2),T44/$B37))</f>
        <v>1.66</v>
      </c>
    </row>
    <row r="38" spans="1:28" s="501" customFormat="1" ht="13.8" thickTop="1">
      <c r="A38" s="505"/>
      <c r="B38" s="3"/>
      <c r="C38" s="3"/>
      <c r="D38" s="85" t="s">
        <v>668</v>
      </c>
      <c r="E38" s="3"/>
      <c r="F38" s="3"/>
      <c r="G38" s="3"/>
      <c r="H38" s="3"/>
      <c r="I38" s="3"/>
      <c r="J38" s="3"/>
      <c r="K38" s="3"/>
      <c r="L38" s="3"/>
      <c r="M38" s="3"/>
      <c r="N38" s="3"/>
      <c r="O38" s="86"/>
      <c r="P38" s="3"/>
      <c r="Q38" s="3"/>
      <c r="R38" s="3"/>
      <c r="S38" s="3"/>
      <c r="T38" s="3"/>
    </row>
    <row r="39" spans="1:28" s="893" customFormat="1">
      <c r="A39" s="904">
        <f ca="1">$Q$37 *(2)</f>
        <v>6</v>
      </c>
      <c r="B39" s="893" t="s">
        <v>141</v>
      </c>
      <c r="D39" s="893" t="s">
        <v>679</v>
      </c>
      <c r="G39" s="894" t="s">
        <v>680</v>
      </c>
      <c r="H39" s="895">
        <v>620</v>
      </c>
      <c r="I39" s="893" t="s">
        <v>671</v>
      </c>
      <c r="O39" s="896">
        <v>2</v>
      </c>
      <c r="P39" s="897">
        <v>35431</v>
      </c>
      <c r="Q39" s="898">
        <v>4.71</v>
      </c>
      <c r="R39" s="899">
        <f ca="1">$A39*Q39</f>
        <v>28.259999999999998</v>
      </c>
      <c r="S39" s="898">
        <v>0.35000000000000003</v>
      </c>
      <c r="T39" s="900">
        <f ca="1">$A39*S39*$T$1</f>
        <v>2.1</v>
      </c>
    </row>
    <row r="40" spans="1:28" s="893" customFormat="1">
      <c r="A40" s="904">
        <f ca="1">$Q$37 *(2)</f>
        <v>6</v>
      </c>
      <c r="B40" s="893" t="s">
        <v>296</v>
      </c>
      <c r="D40" s="893" t="s">
        <v>672</v>
      </c>
      <c r="G40" s="894" t="s">
        <v>673</v>
      </c>
      <c r="H40" s="895">
        <v>620</v>
      </c>
      <c r="I40" s="893" t="s">
        <v>643</v>
      </c>
      <c r="O40" s="896">
        <v>2</v>
      </c>
      <c r="P40" s="897">
        <v>38148</v>
      </c>
      <c r="Q40" s="898">
        <v>1.5</v>
      </c>
      <c r="R40" s="899">
        <f ca="1">$A40*Q40</f>
        <v>9</v>
      </c>
      <c r="S40" s="898">
        <v>0.08</v>
      </c>
      <c r="T40" s="900">
        <f ca="1">$A40*S40*$T$1</f>
        <v>0.48</v>
      </c>
    </row>
    <row r="41" spans="1:28" s="893" customFormat="1">
      <c r="A41" s="904">
        <f ca="1">$Q$37 *(10)</f>
        <v>30</v>
      </c>
      <c r="B41" s="893" t="s">
        <v>141</v>
      </c>
      <c r="D41" s="893" t="s">
        <v>683</v>
      </c>
      <c r="G41" s="894" t="s">
        <v>684</v>
      </c>
      <c r="H41" s="895">
        <v>620</v>
      </c>
      <c r="I41" s="893" t="s">
        <v>676</v>
      </c>
      <c r="O41" s="896">
        <v>2</v>
      </c>
      <c r="P41" s="897">
        <v>34669</v>
      </c>
      <c r="Q41" s="898">
        <v>0.2</v>
      </c>
      <c r="R41" s="899">
        <f ca="1">$A41*Q41</f>
        <v>6</v>
      </c>
      <c r="S41" s="898">
        <v>0.03</v>
      </c>
      <c r="T41" s="900">
        <f ca="1">$A41*S41*$T$1</f>
        <v>0.89999999999999991</v>
      </c>
    </row>
    <row r="42" spans="1:28" s="893" customFormat="1">
      <c r="A42" s="926">
        <f ca="1">$Q$37 *(1)</f>
        <v>3</v>
      </c>
      <c r="B42" s="893" t="s">
        <v>141</v>
      </c>
      <c r="D42" s="893" t="s">
        <v>677</v>
      </c>
      <c r="G42" s="894" t="s">
        <v>678</v>
      </c>
      <c r="H42" s="895">
        <v>900</v>
      </c>
      <c r="I42" s="893" t="s">
        <v>660</v>
      </c>
      <c r="O42" s="896">
        <v>3</v>
      </c>
      <c r="P42" s="897">
        <v>34790</v>
      </c>
      <c r="Q42" s="898"/>
      <c r="R42" s="899">
        <f ca="1">$A42*Q42</f>
        <v>0</v>
      </c>
      <c r="S42" s="898">
        <v>0.5</v>
      </c>
      <c r="T42" s="900">
        <f ca="1">$A42*S42*$T$1</f>
        <v>1.5</v>
      </c>
    </row>
    <row r="43" spans="1:28" s="501" customFormat="1">
      <c r="A43" s="497"/>
      <c r="B43" s="3"/>
      <c r="C43" s="497" t="s">
        <v>165</v>
      </c>
      <c r="D43" s="3"/>
      <c r="E43" s="497"/>
      <c r="F43" s="498"/>
      <c r="G43" s="497"/>
      <c r="H43" s="497"/>
      <c r="I43" s="499"/>
      <c r="J43" s="497"/>
      <c r="K43" s="497"/>
      <c r="L43" s="497"/>
      <c r="M43" s="497"/>
      <c r="N43" s="497"/>
      <c r="O43" s="497"/>
      <c r="P43" s="497"/>
      <c r="Q43" s="499"/>
      <c r="R43" s="560">
        <f>$A43*Q43</f>
        <v>0</v>
      </c>
      <c r="S43" s="499"/>
      <c r="T43" s="500">
        <f>$A43*S43*$T$1</f>
        <v>0</v>
      </c>
    </row>
    <row r="44" spans="1:28" s="501" customFormat="1" ht="12.6" thickBot="1">
      <c r="A44" s="513" t="s">
        <v>145</v>
      </c>
      <c r="B44" s="514">
        <f>(R43+T43)</f>
        <v>0</v>
      </c>
      <c r="C44" s="515"/>
      <c r="D44" s="561" t="s">
        <v>166</v>
      </c>
      <c r="E44" s="449">
        <f ca="1">IF($B37=0,0,ROUND(ROUND(($R44*$S$2+($T44*$T$2))/$B37, 2)*$C$2,2))</f>
        <v>81</v>
      </c>
      <c r="F44" s="450">
        <f ca="1">ROUND($B37*$E44,2)</f>
        <v>243</v>
      </c>
      <c r="G44" s="515"/>
      <c r="H44" s="515"/>
      <c r="I44" s="516"/>
      <c r="J44" s="515"/>
      <c r="K44" s="562" t="s">
        <v>143</v>
      </c>
      <c r="L44" s="517" t="s">
        <v>143</v>
      </c>
      <c r="M44" s="517"/>
      <c r="N44" s="517"/>
      <c r="O44" s="517"/>
      <c r="P44" s="517"/>
      <c r="Q44" s="562"/>
      <c r="R44" s="563">
        <f ca="1">SUM(R38:R43)</f>
        <v>43.26</v>
      </c>
      <c r="S44" s="564"/>
      <c r="T44" s="563">
        <f ca="1">SUM(T38:T43)</f>
        <v>4.9800000000000004</v>
      </c>
      <c r="U44" s="518"/>
      <c r="V44" s="518"/>
      <c r="W44" s="518"/>
      <c r="X44" s="518"/>
      <c r="Y44" s="518"/>
      <c r="Z44" s="518"/>
      <c r="AA44" s="518"/>
      <c r="AB44" s="518"/>
    </row>
    <row r="45" spans="1:28" s="501" customFormat="1" ht="12" thickTop="1">
      <c r="A45" s="44"/>
      <c r="B45" s="44"/>
      <c r="C45" s="44"/>
      <c r="D45" s="44"/>
      <c r="E45" s="44"/>
      <c r="F45" s="44"/>
      <c r="G45" s="44"/>
      <c r="H45" s="44"/>
      <c r="I45" s="44"/>
      <c r="J45" s="44"/>
      <c r="K45" s="44"/>
      <c r="L45" s="44"/>
      <c r="M45" s="44"/>
      <c r="N45" s="44"/>
      <c r="O45" s="45"/>
      <c r="P45" s="44"/>
      <c r="Q45" s="40" t="s">
        <v>163</v>
      </c>
      <c r="R45" s="44"/>
      <c r="S45" s="11"/>
      <c r="T45" s="44"/>
    </row>
    <row r="46" spans="1:28" s="501" customFormat="1" ht="12" customHeight="1" thickBot="1">
      <c r="A46" s="552">
        <v>1</v>
      </c>
      <c r="B46" s="553">
        <f ca="1">Elec_Est!B3218</f>
        <v>16</v>
      </c>
      <c r="C46" s="554"/>
      <c r="D46" s="555" t="s">
        <v>822</v>
      </c>
      <c r="E46" s="556"/>
      <c r="F46" s="556"/>
      <c r="G46" s="506"/>
      <c r="H46" s="506"/>
      <c r="I46" s="557"/>
      <c r="J46" s="506"/>
      <c r="K46" s="554" t="s">
        <v>164</v>
      </c>
      <c r="L46" s="558" t="s">
        <v>164</v>
      </c>
      <c r="M46" s="558"/>
      <c r="N46" s="558"/>
      <c r="O46" s="558"/>
      <c r="P46" s="558"/>
      <c r="Q46" s="559">
        <f ca="1">B46/A46</f>
        <v>16</v>
      </c>
      <c r="R46" s="565">
        <f ca="1">IF($B46=0,0,IF($S$1="R",ROUND(R53/$B46,2),R53/$B46))</f>
        <v>5.56</v>
      </c>
      <c r="S46" s="566"/>
      <c r="T46" s="565">
        <f ca="1">IF($B46=0,0,IF($S$1="R",ROUND(T53/$B46,2),T53/$B46))</f>
        <v>0.98</v>
      </c>
    </row>
    <row r="47" spans="1:28" s="501" customFormat="1" ht="13.8" thickTop="1">
      <c r="A47" s="505"/>
      <c r="B47" s="3"/>
      <c r="C47" s="3"/>
      <c r="D47" s="85" t="s">
        <v>758</v>
      </c>
      <c r="E47" s="3"/>
      <c r="F47" s="3"/>
      <c r="G47" s="3"/>
      <c r="H47" s="3"/>
      <c r="I47" s="3"/>
      <c r="J47" s="3"/>
      <c r="K47" s="3"/>
      <c r="L47" s="3"/>
      <c r="M47" s="3"/>
      <c r="N47" s="3"/>
      <c r="O47" s="86"/>
      <c r="P47" s="3"/>
      <c r="Q47" s="3"/>
      <c r="R47" s="3"/>
      <c r="S47" s="3"/>
      <c r="T47" s="3"/>
    </row>
    <row r="48" spans="1:28" s="893" customFormat="1">
      <c r="A48" s="904">
        <f ca="1">$Q$46 *(1)</f>
        <v>16</v>
      </c>
      <c r="B48" s="893" t="s">
        <v>141</v>
      </c>
      <c r="D48" s="893" t="s">
        <v>669</v>
      </c>
      <c r="G48" s="894" t="s">
        <v>670</v>
      </c>
      <c r="H48" s="895">
        <v>620</v>
      </c>
      <c r="I48" s="893" t="s">
        <v>671</v>
      </c>
      <c r="O48" s="896">
        <v>2</v>
      </c>
      <c r="P48" s="897">
        <v>35431</v>
      </c>
      <c r="Q48" s="898">
        <v>3.56</v>
      </c>
      <c r="R48" s="899">
        <f ca="1">$A48*Q48</f>
        <v>56.96</v>
      </c>
      <c r="S48" s="898">
        <v>0.3</v>
      </c>
      <c r="T48" s="900">
        <f ca="1">$A48*S48*$T$1</f>
        <v>4.8</v>
      </c>
    </row>
    <row r="49" spans="1:28" s="893" customFormat="1">
      <c r="A49" s="904">
        <f ca="1">$Q$46 *(1)</f>
        <v>16</v>
      </c>
      <c r="B49" s="893" t="s">
        <v>296</v>
      </c>
      <c r="D49" s="893" t="s">
        <v>672</v>
      </c>
      <c r="G49" s="894" t="s">
        <v>673</v>
      </c>
      <c r="H49" s="895">
        <v>620</v>
      </c>
      <c r="I49" s="893" t="s">
        <v>643</v>
      </c>
      <c r="O49" s="896">
        <v>2</v>
      </c>
      <c r="P49" s="897">
        <v>38148</v>
      </c>
      <c r="Q49" s="898">
        <v>1.5</v>
      </c>
      <c r="R49" s="899">
        <f ca="1">$A49*Q49</f>
        <v>24</v>
      </c>
      <c r="S49" s="898">
        <v>0.08</v>
      </c>
      <c r="T49" s="900">
        <f ca="1">$A49*S49*$T$1</f>
        <v>1.28</v>
      </c>
    </row>
    <row r="50" spans="1:28" s="893" customFormat="1">
      <c r="A50" s="904">
        <f ca="1">$Q$46 *(5)</f>
        <v>80</v>
      </c>
      <c r="B50" s="893" t="s">
        <v>141</v>
      </c>
      <c r="D50" s="893" t="s">
        <v>674</v>
      </c>
      <c r="G50" s="894" t="s">
        <v>675</v>
      </c>
      <c r="H50" s="895">
        <v>620</v>
      </c>
      <c r="I50" s="893" t="s">
        <v>676</v>
      </c>
      <c r="O50" s="896">
        <v>2</v>
      </c>
      <c r="P50" s="897">
        <v>34669</v>
      </c>
      <c r="Q50" s="898">
        <v>0.1</v>
      </c>
      <c r="R50" s="899">
        <f ca="1">$A50*Q50</f>
        <v>8</v>
      </c>
      <c r="S50" s="898">
        <v>0.02</v>
      </c>
      <c r="T50" s="900">
        <f ca="1">$A50*S50*$T$1</f>
        <v>1.6</v>
      </c>
    </row>
    <row r="51" spans="1:28" s="893" customFormat="1">
      <c r="A51" s="926">
        <f ca="1">$Q$46 *(1)</f>
        <v>16</v>
      </c>
      <c r="B51" s="893" t="s">
        <v>141</v>
      </c>
      <c r="D51" s="893" t="s">
        <v>677</v>
      </c>
      <c r="G51" s="894" t="s">
        <v>678</v>
      </c>
      <c r="H51" s="895">
        <v>900</v>
      </c>
      <c r="I51" s="893" t="s">
        <v>660</v>
      </c>
      <c r="O51" s="896">
        <v>3</v>
      </c>
      <c r="P51" s="897">
        <v>34790</v>
      </c>
      <c r="Q51" s="898"/>
      <c r="R51" s="899">
        <f ca="1">$A51*Q51</f>
        <v>0</v>
      </c>
      <c r="S51" s="898">
        <v>0.5</v>
      </c>
      <c r="T51" s="900">
        <f ca="1">$A51*S51*$T$1</f>
        <v>8</v>
      </c>
    </row>
    <row r="52" spans="1:28" s="501" customFormat="1">
      <c r="A52" s="497"/>
      <c r="B52" s="3"/>
      <c r="C52" s="497" t="s">
        <v>165</v>
      </c>
      <c r="D52" s="3"/>
      <c r="E52" s="497"/>
      <c r="F52" s="498"/>
      <c r="G52" s="497"/>
      <c r="H52" s="497"/>
      <c r="I52" s="499"/>
      <c r="J52" s="497"/>
      <c r="K52" s="497"/>
      <c r="L52" s="497"/>
      <c r="M52" s="497"/>
      <c r="N52" s="497"/>
      <c r="O52" s="497"/>
      <c r="P52" s="497"/>
      <c r="Q52" s="499"/>
      <c r="R52" s="560">
        <f>$A52*Q52</f>
        <v>0</v>
      </c>
      <c r="S52" s="499"/>
      <c r="T52" s="500">
        <f>$A52*S52*$T$1</f>
        <v>0</v>
      </c>
    </row>
    <row r="53" spans="1:28" s="501" customFormat="1" ht="12.6" thickBot="1">
      <c r="A53" s="513" t="s">
        <v>145</v>
      </c>
      <c r="B53" s="514">
        <f>(R52+T52)</f>
        <v>0</v>
      </c>
      <c r="C53" s="515"/>
      <c r="D53" s="561" t="s">
        <v>166</v>
      </c>
      <c r="E53" s="449">
        <f ca="1">IF($B46=0,0,ROUND(ROUND(($R53*$S$2+($T53*$T$2))/$B46, 2)*$C$2,2))</f>
        <v>43.84</v>
      </c>
      <c r="F53" s="450">
        <f ca="1">ROUND($B46*$E53,2)</f>
        <v>701.44</v>
      </c>
      <c r="G53" s="515"/>
      <c r="H53" s="515"/>
      <c r="I53" s="516"/>
      <c r="J53" s="515"/>
      <c r="K53" s="562" t="s">
        <v>143</v>
      </c>
      <c r="L53" s="517" t="s">
        <v>143</v>
      </c>
      <c r="M53" s="517"/>
      <c r="N53" s="517"/>
      <c r="O53" s="517"/>
      <c r="P53" s="517"/>
      <c r="Q53" s="562"/>
      <c r="R53" s="563">
        <f ca="1">SUM(R47:R52)</f>
        <v>88.960000000000008</v>
      </c>
      <c r="S53" s="564"/>
      <c r="T53" s="563">
        <f ca="1">SUM(T47:T52)</f>
        <v>15.68</v>
      </c>
      <c r="U53" s="518"/>
      <c r="V53" s="518"/>
      <c r="W53" s="518"/>
      <c r="X53" s="518"/>
      <c r="Y53" s="518"/>
      <c r="Z53" s="518"/>
      <c r="AA53" s="518"/>
      <c r="AB53" s="518"/>
    </row>
    <row r="54" spans="1:28" s="501" customFormat="1" ht="12" thickTop="1">
      <c r="A54" s="44"/>
      <c r="B54" s="44"/>
      <c r="C54" s="44"/>
      <c r="D54" s="44"/>
      <c r="E54" s="44"/>
      <c r="F54" s="44"/>
      <c r="G54" s="44"/>
      <c r="H54" s="44"/>
      <c r="I54" s="44"/>
      <c r="J54" s="44"/>
      <c r="K54" s="44"/>
      <c r="L54" s="44"/>
      <c r="M54" s="44"/>
      <c r="N54" s="44"/>
      <c r="O54" s="45"/>
      <c r="P54" s="44"/>
      <c r="Q54" s="40" t="s">
        <v>163</v>
      </c>
      <c r="R54" s="44"/>
      <c r="S54" s="11"/>
      <c r="T54" s="44"/>
    </row>
    <row r="55" spans="1:28" s="501" customFormat="1" ht="12" customHeight="1" thickBot="1">
      <c r="A55" s="552">
        <v>1</v>
      </c>
      <c r="B55" s="553">
        <f ca="1">Elec_Est!B3219</f>
        <v>8</v>
      </c>
      <c r="C55" s="554"/>
      <c r="D55" s="555" t="s">
        <v>823</v>
      </c>
      <c r="E55" s="556"/>
      <c r="F55" s="556"/>
      <c r="G55" s="506"/>
      <c r="H55" s="506"/>
      <c r="I55" s="557"/>
      <c r="J55" s="506"/>
      <c r="K55" s="554" t="s">
        <v>164</v>
      </c>
      <c r="L55" s="558" t="s">
        <v>164</v>
      </c>
      <c r="M55" s="558"/>
      <c r="N55" s="558"/>
      <c r="O55" s="558"/>
      <c r="P55" s="558"/>
      <c r="Q55" s="559">
        <f ca="1">B55/A55</f>
        <v>8</v>
      </c>
      <c r="R55" s="565">
        <f ca="1">IF($B55=0,0,IF($S$1="R",ROUND(R62/$B55,2),R62/$B55))</f>
        <v>6.96</v>
      </c>
      <c r="S55" s="566"/>
      <c r="T55" s="565">
        <f ca="1">IF($B55=0,0,IF($S$1="R",ROUND(T62/$B55,2),T62/$B55))</f>
        <v>1.03</v>
      </c>
    </row>
    <row r="56" spans="1:28" s="501" customFormat="1" ht="13.8" thickTop="1">
      <c r="A56" s="505"/>
      <c r="B56" s="3"/>
      <c r="C56" s="3"/>
      <c r="D56" s="85" t="s">
        <v>758</v>
      </c>
      <c r="E56" s="3"/>
      <c r="F56" s="3"/>
      <c r="G56" s="3"/>
      <c r="H56" s="3"/>
      <c r="I56" s="3"/>
      <c r="J56" s="3"/>
      <c r="K56" s="3"/>
      <c r="L56" s="3"/>
      <c r="M56" s="3"/>
      <c r="N56" s="3"/>
      <c r="O56" s="86"/>
      <c r="P56" s="3"/>
      <c r="Q56" s="3"/>
      <c r="R56" s="3"/>
      <c r="S56" s="3"/>
      <c r="T56" s="3"/>
    </row>
    <row r="57" spans="1:28" s="893" customFormat="1">
      <c r="A57" s="904">
        <f ca="1">$Q$55 *(1)</f>
        <v>8</v>
      </c>
      <c r="B57" s="893" t="s">
        <v>141</v>
      </c>
      <c r="D57" s="893" t="s">
        <v>679</v>
      </c>
      <c r="G57" s="894" t="s">
        <v>680</v>
      </c>
      <c r="H57" s="895">
        <v>620</v>
      </c>
      <c r="I57" s="893" t="s">
        <v>671</v>
      </c>
      <c r="O57" s="896">
        <v>2</v>
      </c>
      <c r="P57" s="897">
        <v>35431</v>
      </c>
      <c r="Q57" s="898">
        <v>4.71</v>
      </c>
      <c r="R57" s="899">
        <f ca="1">$A57*Q57</f>
        <v>37.68</v>
      </c>
      <c r="S57" s="898">
        <v>0.35000000000000003</v>
      </c>
      <c r="T57" s="900">
        <f ca="1">$A57*S57*$T$1</f>
        <v>2.8000000000000003</v>
      </c>
    </row>
    <row r="58" spans="1:28" s="893" customFormat="1">
      <c r="A58" s="904">
        <f ca="1">$Q$55 *(1)</f>
        <v>8</v>
      </c>
      <c r="B58" s="893" t="s">
        <v>296</v>
      </c>
      <c r="D58" s="893" t="s">
        <v>672</v>
      </c>
      <c r="G58" s="894" t="s">
        <v>673</v>
      </c>
      <c r="H58" s="895">
        <v>620</v>
      </c>
      <c r="I58" s="893" t="s">
        <v>643</v>
      </c>
      <c r="O58" s="896">
        <v>2</v>
      </c>
      <c r="P58" s="897">
        <v>38148</v>
      </c>
      <c r="Q58" s="898">
        <v>1.5</v>
      </c>
      <c r="R58" s="899">
        <f ca="1">$A58*Q58</f>
        <v>12</v>
      </c>
      <c r="S58" s="898">
        <v>0.08</v>
      </c>
      <c r="T58" s="900">
        <f ca="1">$A58*S58*$T$1</f>
        <v>0.64</v>
      </c>
    </row>
    <row r="59" spans="1:28" s="893" customFormat="1">
      <c r="A59" s="904">
        <f ca="1">$Q$55 *(5)</f>
        <v>40</v>
      </c>
      <c r="B59" s="893" t="s">
        <v>141</v>
      </c>
      <c r="D59" s="893" t="s">
        <v>681</v>
      </c>
      <c r="G59" s="894" t="s">
        <v>682</v>
      </c>
      <c r="H59" s="895">
        <v>620</v>
      </c>
      <c r="I59" s="893" t="s">
        <v>676</v>
      </c>
      <c r="O59" s="896">
        <v>2</v>
      </c>
      <c r="P59" s="897">
        <v>34669</v>
      </c>
      <c r="Q59" s="898">
        <v>0.15</v>
      </c>
      <c r="R59" s="899">
        <f ca="1">$A59*Q59</f>
        <v>6</v>
      </c>
      <c r="S59" s="898">
        <v>0.02</v>
      </c>
      <c r="T59" s="900">
        <f ca="1">$A59*S59*$T$1</f>
        <v>0.8</v>
      </c>
    </row>
    <row r="60" spans="1:28" s="893" customFormat="1">
      <c r="A60" s="926">
        <f ca="1">$Q$55 *(1)</f>
        <v>8</v>
      </c>
      <c r="B60" s="893" t="s">
        <v>141</v>
      </c>
      <c r="D60" s="893" t="s">
        <v>677</v>
      </c>
      <c r="G60" s="894" t="s">
        <v>678</v>
      </c>
      <c r="H60" s="895">
        <v>900</v>
      </c>
      <c r="I60" s="893" t="s">
        <v>660</v>
      </c>
      <c r="O60" s="896">
        <v>3</v>
      </c>
      <c r="P60" s="897">
        <v>34790</v>
      </c>
      <c r="Q60" s="898"/>
      <c r="R60" s="899">
        <f ca="1">$A60*Q60</f>
        <v>0</v>
      </c>
      <c r="S60" s="898">
        <v>0.5</v>
      </c>
      <c r="T60" s="900">
        <f ca="1">$A60*S60*$T$1</f>
        <v>4</v>
      </c>
    </row>
    <row r="61" spans="1:28" s="501" customFormat="1">
      <c r="A61" s="497"/>
      <c r="B61" s="3"/>
      <c r="C61" s="497" t="s">
        <v>165</v>
      </c>
      <c r="D61" s="3"/>
      <c r="E61" s="497"/>
      <c r="F61" s="498"/>
      <c r="G61" s="497"/>
      <c r="H61" s="497"/>
      <c r="I61" s="499"/>
      <c r="J61" s="497"/>
      <c r="K61" s="497"/>
      <c r="L61" s="497"/>
      <c r="M61" s="497"/>
      <c r="N61" s="497"/>
      <c r="O61" s="497"/>
      <c r="P61" s="497"/>
      <c r="Q61" s="499"/>
      <c r="R61" s="560">
        <f>$A61*Q61</f>
        <v>0</v>
      </c>
      <c r="S61" s="499"/>
      <c r="T61" s="500">
        <f>$A61*S61*$T$1</f>
        <v>0</v>
      </c>
    </row>
    <row r="62" spans="1:28" s="501" customFormat="1" ht="12.6" thickBot="1">
      <c r="A62" s="513" t="s">
        <v>145</v>
      </c>
      <c r="B62" s="514">
        <f>(R61+T61)</f>
        <v>0</v>
      </c>
      <c r="C62" s="515"/>
      <c r="D62" s="561" t="s">
        <v>166</v>
      </c>
      <c r="E62" s="449">
        <f ca="1">IF($B55=0,0,ROUND(ROUND(($R62*$S$2+($T62*$T$2))/$B55, 2)*$C$2,2))</f>
        <v>47.58</v>
      </c>
      <c r="F62" s="450">
        <f ca="1">ROUND($B55*$E62,2)</f>
        <v>380.64</v>
      </c>
      <c r="G62" s="515"/>
      <c r="H62" s="515"/>
      <c r="I62" s="516"/>
      <c r="J62" s="515"/>
      <c r="K62" s="562" t="s">
        <v>143</v>
      </c>
      <c r="L62" s="517" t="s">
        <v>143</v>
      </c>
      <c r="M62" s="517"/>
      <c r="N62" s="517"/>
      <c r="O62" s="517"/>
      <c r="P62" s="517"/>
      <c r="Q62" s="562"/>
      <c r="R62" s="563">
        <f ca="1">SUM(R56:R61)</f>
        <v>55.68</v>
      </c>
      <c r="S62" s="564"/>
      <c r="T62" s="563">
        <f ca="1">SUM(T56:T61)</f>
        <v>8.24</v>
      </c>
      <c r="U62" s="518"/>
      <c r="V62" s="518"/>
      <c r="W62" s="518"/>
      <c r="X62" s="518"/>
      <c r="Y62" s="518"/>
      <c r="Z62" s="518"/>
      <c r="AA62" s="518"/>
      <c r="AB62" s="518"/>
    </row>
    <row r="63" spans="1:28" s="501" customFormat="1" ht="12" thickTop="1">
      <c r="A63" s="44"/>
      <c r="B63" s="44"/>
      <c r="C63" s="44"/>
      <c r="D63" s="44"/>
      <c r="E63" s="44"/>
      <c r="F63" s="44"/>
      <c r="G63" s="44"/>
      <c r="H63" s="44"/>
      <c r="I63" s="44"/>
      <c r="J63" s="44"/>
      <c r="K63" s="44"/>
      <c r="L63" s="44"/>
      <c r="M63" s="44"/>
      <c r="N63" s="44"/>
      <c r="O63" s="45"/>
      <c r="P63" s="44"/>
      <c r="Q63" s="40" t="s">
        <v>163</v>
      </c>
      <c r="R63" s="44"/>
      <c r="S63" s="11"/>
      <c r="T63" s="44"/>
    </row>
    <row r="64" spans="1:28" s="501" customFormat="1" ht="12" customHeight="1" thickBot="1">
      <c r="A64" s="552">
        <v>1</v>
      </c>
      <c r="B64" s="553">
        <f ca="1">Elec_Est!B3220</f>
        <v>16</v>
      </c>
      <c r="C64" s="554"/>
      <c r="D64" s="555" t="s">
        <v>824</v>
      </c>
      <c r="E64" s="556"/>
      <c r="F64" s="556"/>
      <c r="G64" s="506"/>
      <c r="H64" s="506"/>
      <c r="I64" s="557"/>
      <c r="J64" s="506"/>
      <c r="K64" s="554" t="s">
        <v>164</v>
      </c>
      <c r="L64" s="558" t="s">
        <v>164</v>
      </c>
      <c r="M64" s="558"/>
      <c r="N64" s="558"/>
      <c r="O64" s="558"/>
      <c r="P64" s="558"/>
      <c r="Q64" s="559">
        <f ca="1">B64/A64</f>
        <v>16</v>
      </c>
      <c r="R64" s="565">
        <f ca="1">IF($B64=0,0,IF($S$1="R",ROUND(R71/$B64,2),R71/$B64))</f>
        <v>10.66</v>
      </c>
      <c r="S64" s="566"/>
      <c r="T64" s="565">
        <f ca="1">IF($B64=0,0,IF($S$1="R",ROUND(T71/$B64,2),T71/$B64))</f>
        <v>1.28</v>
      </c>
    </row>
    <row r="65" spans="1:28" s="501" customFormat="1" ht="13.8" thickTop="1">
      <c r="A65" s="505"/>
      <c r="B65" s="3"/>
      <c r="C65" s="3"/>
      <c r="D65" s="85" t="s">
        <v>758</v>
      </c>
      <c r="E65" s="3"/>
      <c r="F65" s="3"/>
      <c r="G65" s="3"/>
      <c r="H65" s="3"/>
      <c r="I65" s="3"/>
      <c r="J65" s="3"/>
      <c r="K65" s="3"/>
      <c r="L65" s="3"/>
      <c r="M65" s="3"/>
      <c r="N65" s="3"/>
      <c r="O65" s="86"/>
      <c r="P65" s="3"/>
      <c r="Q65" s="3"/>
      <c r="R65" s="3"/>
      <c r="S65" s="3"/>
      <c r="T65" s="3"/>
    </row>
    <row r="66" spans="1:28" s="893" customFormat="1">
      <c r="A66" s="904">
        <f ca="1">$Q$64 *(1)</f>
        <v>16</v>
      </c>
      <c r="B66" s="893" t="s">
        <v>141</v>
      </c>
      <c r="D66" s="893" t="s">
        <v>751</v>
      </c>
      <c r="G66" s="894" t="s">
        <v>752</v>
      </c>
      <c r="H66" s="895">
        <v>620</v>
      </c>
      <c r="I66" s="893" t="s">
        <v>671</v>
      </c>
      <c r="O66" s="896">
        <v>2</v>
      </c>
      <c r="P66" s="897">
        <v>35431</v>
      </c>
      <c r="Q66" s="898">
        <v>7.66</v>
      </c>
      <c r="R66" s="899">
        <f ca="1">$A66*Q66</f>
        <v>122.56</v>
      </c>
      <c r="S66" s="898">
        <v>0.4</v>
      </c>
      <c r="T66" s="900">
        <f ca="1">$A66*S66*$T$1</f>
        <v>6.4</v>
      </c>
    </row>
    <row r="67" spans="1:28" s="893" customFormat="1">
      <c r="A67" s="904">
        <f ca="1">$Q$64 *(1)</f>
        <v>16</v>
      </c>
      <c r="B67" s="893" t="s">
        <v>296</v>
      </c>
      <c r="D67" s="893" t="s">
        <v>672</v>
      </c>
      <c r="G67" s="894" t="s">
        <v>673</v>
      </c>
      <c r="H67" s="895">
        <v>620</v>
      </c>
      <c r="I67" s="893" t="s">
        <v>643</v>
      </c>
      <c r="O67" s="896">
        <v>2</v>
      </c>
      <c r="P67" s="897">
        <v>38148</v>
      </c>
      <c r="Q67" s="898">
        <v>1.5</v>
      </c>
      <c r="R67" s="899">
        <f ca="1">$A67*Q67</f>
        <v>24</v>
      </c>
      <c r="S67" s="898">
        <v>0.08</v>
      </c>
      <c r="T67" s="900">
        <f ca="1">$A67*S67*$T$1</f>
        <v>1.28</v>
      </c>
    </row>
    <row r="68" spans="1:28" s="893" customFormat="1">
      <c r="A68" s="904">
        <f ca="1">$Q$64 *(5)</f>
        <v>80</v>
      </c>
      <c r="B68" s="893" t="s">
        <v>141</v>
      </c>
      <c r="D68" s="893" t="s">
        <v>753</v>
      </c>
      <c r="G68" s="894" t="s">
        <v>754</v>
      </c>
      <c r="H68" s="895">
        <v>620</v>
      </c>
      <c r="I68" s="893" t="s">
        <v>676</v>
      </c>
      <c r="O68" s="896">
        <v>2</v>
      </c>
      <c r="P68" s="897">
        <v>34669</v>
      </c>
      <c r="Q68" s="898">
        <v>0.3</v>
      </c>
      <c r="R68" s="899">
        <f ca="1">$A68*Q68</f>
        <v>24</v>
      </c>
      <c r="S68" s="898">
        <v>0.06</v>
      </c>
      <c r="T68" s="900">
        <f ca="1">$A68*S68*$T$1</f>
        <v>4.8</v>
      </c>
    </row>
    <row r="69" spans="1:28" s="893" customFormat="1">
      <c r="A69" s="926">
        <f ca="1">$Q$64 *(1)</f>
        <v>16</v>
      </c>
      <c r="B69" s="893" t="s">
        <v>141</v>
      </c>
      <c r="D69" s="893" t="s">
        <v>677</v>
      </c>
      <c r="G69" s="894" t="s">
        <v>678</v>
      </c>
      <c r="H69" s="895">
        <v>900</v>
      </c>
      <c r="I69" s="893" t="s">
        <v>660</v>
      </c>
      <c r="O69" s="896">
        <v>3</v>
      </c>
      <c r="P69" s="897">
        <v>34790</v>
      </c>
      <c r="Q69" s="898"/>
      <c r="R69" s="899">
        <f ca="1">$A69*Q69</f>
        <v>0</v>
      </c>
      <c r="S69" s="898">
        <v>0.5</v>
      </c>
      <c r="T69" s="900">
        <f ca="1">$A69*S69*$T$1</f>
        <v>8</v>
      </c>
    </row>
    <row r="70" spans="1:28" s="501" customFormat="1">
      <c r="A70" s="497"/>
      <c r="B70" s="3"/>
      <c r="C70" s="497" t="s">
        <v>165</v>
      </c>
      <c r="D70" s="3"/>
      <c r="E70" s="497"/>
      <c r="F70" s="498"/>
      <c r="G70" s="497"/>
      <c r="H70" s="497"/>
      <c r="I70" s="499"/>
      <c r="J70" s="497"/>
      <c r="K70" s="497"/>
      <c r="L70" s="497"/>
      <c r="M70" s="497"/>
      <c r="N70" s="497"/>
      <c r="O70" s="497"/>
      <c r="P70" s="497"/>
      <c r="Q70" s="499"/>
      <c r="R70" s="560">
        <f>$A70*Q70</f>
        <v>0</v>
      </c>
      <c r="S70" s="499"/>
      <c r="T70" s="500">
        <f>$A70*S70*$T$1</f>
        <v>0</v>
      </c>
    </row>
    <row r="71" spans="1:28" s="501" customFormat="1" ht="12.6" thickBot="1">
      <c r="A71" s="513" t="s">
        <v>145</v>
      </c>
      <c r="B71" s="514">
        <f>(R70+T70)</f>
        <v>0</v>
      </c>
      <c r="C71" s="515"/>
      <c r="D71" s="561" t="s">
        <v>166</v>
      </c>
      <c r="E71" s="449">
        <f ca="1">IF($B64=0,0,ROUND(ROUND(($R71*$S$2+($T71*$T$2))/$B64, 2)*$C$2,2))</f>
        <v>61.84</v>
      </c>
      <c r="F71" s="450">
        <f ca="1">ROUND($B64*$E71,2)</f>
        <v>989.44</v>
      </c>
      <c r="G71" s="515"/>
      <c r="H71" s="515"/>
      <c r="I71" s="516"/>
      <c r="J71" s="515"/>
      <c r="K71" s="562" t="s">
        <v>143</v>
      </c>
      <c r="L71" s="517" t="s">
        <v>143</v>
      </c>
      <c r="M71" s="517"/>
      <c r="N71" s="517"/>
      <c r="O71" s="517"/>
      <c r="P71" s="517"/>
      <c r="Q71" s="562"/>
      <c r="R71" s="563">
        <f ca="1">SUM(R65:R70)</f>
        <v>170.56</v>
      </c>
      <c r="S71" s="564"/>
      <c r="T71" s="563">
        <f ca="1">SUM(T65:T70)</f>
        <v>20.48</v>
      </c>
      <c r="U71" s="518"/>
      <c r="V71" s="518"/>
      <c r="W71" s="518"/>
      <c r="X71" s="518"/>
      <c r="Y71" s="518"/>
      <c r="Z71" s="518"/>
      <c r="AA71" s="518"/>
      <c r="AB71" s="518"/>
    </row>
    <row r="72" spans="1:28" s="501" customFormat="1" ht="12" thickTop="1">
      <c r="A72" s="44"/>
      <c r="B72" s="44"/>
      <c r="C72" s="44"/>
      <c r="D72" s="44"/>
      <c r="E72" s="44"/>
      <c r="F72" s="44"/>
      <c r="G72" s="44"/>
      <c r="H72" s="44"/>
      <c r="I72" s="44"/>
      <c r="J72" s="44"/>
      <c r="K72" s="44"/>
      <c r="L72" s="44"/>
      <c r="M72" s="44"/>
      <c r="N72" s="44"/>
      <c r="O72" s="45"/>
      <c r="P72" s="44"/>
      <c r="Q72" s="40" t="s">
        <v>163</v>
      </c>
      <c r="R72" s="44"/>
      <c r="S72" s="11"/>
      <c r="T72" s="44"/>
    </row>
    <row r="73" spans="1:28" s="501" customFormat="1" ht="12" customHeight="1" thickBot="1">
      <c r="A73" s="552">
        <v>57</v>
      </c>
      <c r="B73" s="553">
        <f ca="1">Elec_Est!B3221</f>
        <v>0</v>
      </c>
      <c r="C73" s="554"/>
      <c r="D73" s="555" t="s">
        <v>825</v>
      </c>
      <c r="E73" s="556"/>
      <c r="F73" s="556"/>
      <c r="G73" s="506"/>
      <c r="H73" s="506"/>
      <c r="I73" s="557"/>
      <c r="J73" s="506"/>
      <c r="K73" s="554" t="s">
        <v>164</v>
      </c>
      <c r="L73" s="558" t="s">
        <v>164</v>
      </c>
      <c r="M73" s="558"/>
      <c r="N73" s="558"/>
      <c r="O73" s="558"/>
      <c r="P73" s="558"/>
      <c r="Q73" s="559">
        <f ca="1">B73/A73</f>
        <v>0</v>
      </c>
      <c r="R73" s="565">
        <f ca="1">IF($B73=0,0,IF($S$1="R",ROUND(R82/$B73,2),R82/$B73))</f>
        <v>0</v>
      </c>
      <c r="S73" s="566"/>
      <c r="T73" s="565">
        <f ca="1">IF($B73=0,0,IF($S$1="R",ROUND(T82/$B73,2),T82/$B73))</f>
        <v>0</v>
      </c>
    </row>
    <row r="74" spans="1:28" s="501" customFormat="1" ht="13.8" thickTop="1">
      <c r="A74" s="505"/>
      <c r="B74" s="3"/>
      <c r="C74" s="3"/>
      <c r="D74" s="85" t="s">
        <v>686</v>
      </c>
      <c r="E74" s="3"/>
      <c r="F74" s="3"/>
      <c r="G74" s="3"/>
      <c r="H74" s="3"/>
      <c r="I74" s="3"/>
      <c r="J74" s="3"/>
      <c r="K74" s="3"/>
      <c r="L74" s="3"/>
      <c r="M74" s="3"/>
      <c r="N74" s="3"/>
      <c r="O74" s="86"/>
      <c r="P74" s="3"/>
      <c r="Q74" s="3"/>
      <c r="R74" s="3"/>
      <c r="S74" s="3"/>
      <c r="T74" s="3"/>
    </row>
    <row r="75" spans="1:28" s="893" customFormat="1">
      <c r="A75" s="904">
        <f>$Q$359 *(57)</f>
        <v>0</v>
      </c>
      <c r="B75" s="893" t="s">
        <v>296</v>
      </c>
      <c r="D75" s="893" t="s">
        <v>687</v>
      </c>
      <c r="E75" s="893" t="s">
        <v>688</v>
      </c>
      <c r="F75" s="893" t="s">
        <v>689</v>
      </c>
      <c r="G75" s="894" t="s">
        <v>690</v>
      </c>
      <c r="H75" s="895">
        <v>650</v>
      </c>
      <c r="I75" s="893" t="s">
        <v>643</v>
      </c>
      <c r="O75" s="896">
        <v>1</v>
      </c>
      <c r="P75" s="897">
        <v>36897</v>
      </c>
      <c r="Q75" s="905">
        <f>ROUNDUP(5.77*1.145,2)</f>
        <v>6.6099999999999994</v>
      </c>
      <c r="R75" s="899">
        <f>$A75*Q75</f>
        <v>0</v>
      </c>
      <c r="S75" s="898">
        <v>0.3</v>
      </c>
      <c r="T75" s="900">
        <f>$A75*S75*$T$1</f>
        <v>0</v>
      </c>
    </row>
    <row r="76" spans="1:28" s="893" customFormat="1">
      <c r="A76" s="904">
        <f>$Q$359 *(ROUNDUP(57/3,0))</f>
        <v>0</v>
      </c>
      <c r="B76" s="893" t="s">
        <v>296</v>
      </c>
      <c r="D76" s="893" t="s">
        <v>691</v>
      </c>
      <c r="E76" s="893" t="s">
        <v>688</v>
      </c>
      <c r="G76" s="894" t="s">
        <v>692</v>
      </c>
      <c r="H76" s="895">
        <v>650</v>
      </c>
      <c r="I76" s="893" t="s">
        <v>643</v>
      </c>
      <c r="O76" s="896">
        <v>1</v>
      </c>
      <c r="P76" s="897">
        <v>35705</v>
      </c>
      <c r="Q76" s="905">
        <f>ROUNDUP(0.22*2*1.145,2)</f>
        <v>0.51</v>
      </c>
      <c r="R76" s="899">
        <f t="shared" ref="R76:R81" si="0">$A76*Q76</f>
        <v>0</v>
      </c>
      <c r="S76" s="898"/>
      <c r="T76" s="900">
        <f t="shared" ref="T76:T81" si="1">$A76*S76*$T$1</f>
        <v>0</v>
      </c>
    </row>
    <row r="77" spans="1:28" s="893" customFormat="1">
      <c r="A77" s="904">
        <f>$Q$359 *(ROUNDUP(57/3*8,0))</f>
        <v>0</v>
      </c>
      <c r="B77" s="893" t="s">
        <v>141</v>
      </c>
      <c r="D77" s="893" t="s">
        <v>693</v>
      </c>
      <c r="G77" s="894" t="s">
        <v>694</v>
      </c>
      <c r="H77" s="895">
        <v>875</v>
      </c>
      <c r="I77" s="893" t="s">
        <v>643</v>
      </c>
      <c r="K77" s="893" t="s">
        <v>695</v>
      </c>
      <c r="O77" s="896">
        <v>1</v>
      </c>
      <c r="P77" s="897">
        <v>34669</v>
      </c>
      <c r="Q77" s="905">
        <v>7.0000000000000007E-2</v>
      </c>
      <c r="R77" s="899">
        <f t="shared" si="0"/>
        <v>0</v>
      </c>
      <c r="S77" s="898"/>
      <c r="T77" s="900">
        <f t="shared" si="1"/>
        <v>0</v>
      </c>
    </row>
    <row r="78" spans="1:28" s="893" customFormat="1">
      <c r="A78" s="904">
        <f>$Q$359 *(ROUNDUP(57*2,0))</f>
        <v>0</v>
      </c>
      <c r="B78" s="893" t="s">
        <v>141</v>
      </c>
      <c r="D78" s="893" t="s">
        <v>696</v>
      </c>
      <c r="G78" s="894" t="s">
        <v>697</v>
      </c>
      <c r="H78" s="895">
        <v>501</v>
      </c>
      <c r="I78" s="893" t="s">
        <v>698</v>
      </c>
      <c r="J78" s="893" t="s">
        <v>699</v>
      </c>
      <c r="K78" s="893" t="s">
        <v>700</v>
      </c>
      <c r="O78" s="896">
        <v>1</v>
      </c>
      <c r="P78" s="897">
        <v>36175</v>
      </c>
      <c r="Q78" s="905">
        <v>0.51</v>
      </c>
      <c r="R78" s="899">
        <f t="shared" si="0"/>
        <v>0</v>
      </c>
      <c r="S78" s="898"/>
      <c r="T78" s="900">
        <f t="shared" si="1"/>
        <v>0</v>
      </c>
    </row>
    <row r="79" spans="1:28" s="893" customFormat="1">
      <c r="A79" s="904">
        <f>$Q$359 *(ROUNDUP(57*2,0))</f>
        <v>0</v>
      </c>
      <c r="B79" s="893" t="s">
        <v>141</v>
      </c>
      <c r="D79" s="893" t="s">
        <v>701</v>
      </c>
      <c r="G79" s="894" t="s">
        <v>702</v>
      </c>
      <c r="H79" s="895">
        <v>501</v>
      </c>
      <c r="I79" s="893" t="s">
        <v>643</v>
      </c>
      <c r="K79" s="893" t="s">
        <v>703</v>
      </c>
      <c r="O79" s="896">
        <v>1</v>
      </c>
      <c r="P79" s="897"/>
      <c r="Q79" s="898">
        <v>0.05</v>
      </c>
      <c r="R79" s="899">
        <f t="shared" si="0"/>
        <v>0</v>
      </c>
      <c r="S79" s="898"/>
      <c r="T79" s="900">
        <f t="shared" si="1"/>
        <v>0</v>
      </c>
    </row>
    <row r="80" spans="1:28" s="893" customFormat="1">
      <c r="A80" s="904">
        <f>$Q$359 *(ROUNDUP(57/3,0))</f>
        <v>0</v>
      </c>
      <c r="B80" s="893" t="s">
        <v>141</v>
      </c>
      <c r="D80" s="893" t="s">
        <v>704</v>
      </c>
      <c r="G80" s="894" t="s">
        <v>705</v>
      </c>
      <c r="H80" s="895">
        <v>875</v>
      </c>
      <c r="I80" s="893" t="s">
        <v>643</v>
      </c>
      <c r="K80" s="893" t="s">
        <v>706</v>
      </c>
      <c r="O80" s="896">
        <v>1</v>
      </c>
      <c r="P80" s="897">
        <v>34669</v>
      </c>
      <c r="Q80" s="905">
        <v>0.5</v>
      </c>
      <c r="R80" s="899">
        <f t="shared" si="0"/>
        <v>0</v>
      </c>
      <c r="S80" s="898">
        <v>0</v>
      </c>
      <c r="T80" s="900">
        <f t="shared" si="1"/>
        <v>0</v>
      </c>
    </row>
    <row r="81" spans="1:256" s="501" customFormat="1">
      <c r="A81" s="497"/>
      <c r="B81" s="3"/>
      <c r="C81" s="497" t="s">
        <v>165</v>
      </c>
      <c r="D81" s="3"/>
      <c r="E81" s="497"/>
      <c r="F81" s="498"/>
      <c r="G81" s="497"/>
      <c r="H81" s="497"/>
      <c r="I81" s="499"/>
      <c r="J81" s="497"/>
      <c r="K81" s="497"/>
      <c r="L81" s="497"/>
      <c r="M81" s="497"/>
      <c r="N81" s="497"/>
      <c r="O81" s="497"/>
      <c r="P81" s="497"/>
      <c r="Q81" s="499"/>
      <c r="R81" s="560">
        <f t="shared" si="0"/>
        <v>0</v>
      </c>
      <c r="S81" s="499"/>
      <c r="T81" s="500">
        <f t="shared" si="1"/>
        <v>0</v>
      </c>
    </row>
    <row r="82" spans="1:256" s="501" customFormat="1" ht="12.6" thickBot="1">
      <c r="A82" s="513" t="s">
        <v>145</v>
      </c>
      <c r="B82" s="514">
        <f>(R81+T81)</f>
        <v>0</v>
      </c>
      <c r="C82" s="515"/>
      <c r="D82" s="561" t="s">
        <v>166</v>
      </c>
      <c r="E82" s="449">
        <f ca="1">IF($B73=0,0,ROUND(ROUND(($R82*$S$2+($T82*$T$2))/$B73, 2)*$C$2,2))</f>
        <v>0</v>
      </c>
      <c r="F82" s="450">
        <f ca="1">ROUND($B73*$E82,2)</f>
        <v>0</v>
      </c>
      <c r="G82" s="515"/>
      <c r="H82" s="515"/>
      <c r="I82" s="516"/>
      <c r="J82" s="515"/>
      <c r="K82" s="562" t="s">
        <v>143</v>
      </c>
      <c r="L82" s="517" t="s">
        <v>143</v>
      </c>
      <c r="M82" s="517"/>
      <c r="N82" s="517"/>
      <c r="O82" s="517"/>
      <c r="P82" s="517"/>
      <c r="Q82" s="562"/>
      <c r="R82" s="563">
        <f>SUM(R74:R81)</f>
        <v>0</v>
      </c>
      <c r="S82" s="564"/>
      <c r="T82" s="563">
        <f>SUM(T74:T81)</f>
        <v>0</v>
      </c>
      <c r="U82" s="518"/>
      <c r="V82" s="518"/>
      <c r="W82" s="518"/>
      <c r="X82" s="518"/>
      <c r="Y82" s="518"/>
      <c r="Z82" s="518"/>
      <c r="AA82" s="518"/>
      <c r="AB82" s="518"/>
    </row>
    <row r="83" spans="1:256" s="501" customFormat="1" ht="12" customHeight="1" thickTop="1">
      <c r="A83" s="44"/>
      <c r="B83" s="44"/>
      <c r="C83" s="44"/>
      <c r="D83" s="44"/>
      <c r="E83" s="44"/>
      <c r="F83" s="44"/>
      <c r="G83" s="44"/>
      <c r="H83" s="44"/>
      <c r="I83" s="44"/>
      <c r="J83" s="44"/>
      <c r="K83" s="44"/>
      <c r="L83" s="44"/>
      <c r="M83" s="44"/>
      <c r="N83" s="44"/>
      <c r="O83" s="45"/>
      <c r="P83" s="44"/>
      <c r="Q83" s="40" t="s">
        <v>163</v>
      </c>
      <c r="R83" s="44"/>
      <c r="S83" s="11"/>
      <c r="T83" s="44"/>
      <c r="AC83" s="906"/>
    </row>
    <row r="84" spans="1:256" s="893" customFormat="1" ht="12" customHeight="1" thickBot="1">
      <c r="A84" s="552">
        <v>137</v>
      </c>
      <c r="B84" s="553">
        <f ca="1">Elec_Est!B3222</f>
        <v>0</v>
      </c>
      <c r="C84" s="554"/>
      <c r="D84" s="555" t="s">
        <v>826</v>
      </c>
      <c r="E84" s="556"/>
      <c r="F84" s="556"/>
      <c r="G84" s="506"/>
      <c r="H84" s="506"/>
      <c r="I84" s="557"/>
      <c r="J84" s="506"/>
      <c r="K84" s="554" t="s">
        <v>164</v>
      </c>
      <c r="L84" s="558" t="s">
        <v>164</v>
      </c>
      <c r="M84" s="558"/>
      <c r="N84" s="558"/>
      <c r="O84" s="558"/>
      <c r="P84" s="558"/>
      <c r="Q84" s="559">
        <f ca="1">B84/A84</f>
        <v>0</v>
      </c>
      <c r="R84" s="565">
        <f ca="1">IF($B84=0,0,IF($S$1="R",ROUND(R95/$B84,2),R95/$B84))</f>
        <v>0</v>
      </c>
      <c r="S84" s="566"/>
      <c r="T84" s="565">
        <f ca="1">IF($B84=0,0,IF($S$1="R",ROUND(T95/$B84,2),T95/$B84))</f>
        <v>0</v>
      </c>
      <c r="U84" s="501"/>
      <c r="V84" s="501"/>
      <c r="W84" s="501"/>
      <c r="X84" s="501"/>
      <c r="Y84" s="501"/>
      <c r="Z84" s="501"/>
      <c r="AA84" s="906"/>
      <c r="AB84" s="906"/>
      <c r="AC84" s="906"/>
      <c r="AD84" s="906"/>
      <c r="AE84" s="906"/>
      <c r="AF84" s="501"/>
      <c r="AG84" s="501"/>
      <c r="AH84" s="501"/>
      <c r="AI84" s="501"/>
      <c r="AJ84" s="501"/>
      <c r="AK84" s="501"/>
      <c r="AL84" s="501"/>
      <c r="AM84" s="501"/>
      <c r="AN84" s="501"/>
      <c r="AO84" s="501"/>
      <c r="AP84" s="501"/>
      <c r="AQ84" s="501"/>
      <c r="AR84" s="501"/>
      <c r="AS84" s="501"/>
      <c r="AT84" s="501"/>
      <c r="AU84" s="501"/>
      <c r="AV84" s="501"/>
      <c r="AW84" s="501"/>
      <c r="AX84" s="501"/>
      <c r="AY84" s="501"/>
      <c r="AZ84" s="501"/>
      <c r="BA84" s="501"/>
      <c r="BB84" s="501"/>
      <c r="BC84" s="501"/>
      <c r="BD84" s="501"/>
      <c r="BE84" s="501"/>
      <c r="BF84" s="501"/>
      <c r="BG84" s="501"/>
      <c r="BH84" s="501"/>
      <c r="BI84" s="501"/>
      <c r="BJ84" s="501"/>
      <c r="BK84" s="501"/>
      <c r="BL84" s="501"/>
      <c r="BM84" s="501"/>
      <c r="BN84" s="501"/>
      <c r="BO84" s="501"/>
      <c r="BP84" s="501"/>
      <c r="BQ84" s="501"/>
      <c r="BR84" s="501"/>
      <c r="BS84" s="501"/>
      <c r="BT84" s="501"/>
      <c r="BU84" s="501"/>
      <c r="BV84" s="501"/>
      <c r="BW84" s="501"/>
      <c r="BX84" s="501"/>
      <c r="BY84" s="501"/>
      <c r="BZ84" s="501"/>
      <c r="CA84" s="501"/>
      <c r="CB84" s="501"/>
      <c r="CC84" s="501"/>
      <c r="CD84" s="501"/>
      <c r="CE84" s="501"/>
      <c r="CF84" s="501"/>
      <c r="CG84" s="501"/>
      <c r="CH84" s="501"/>
      <c r="CI84" s="501"/>
      <c r="CJ84" s="501"/>
      <c r="CK84" s="501"/>
      <c r="CL84" s="501"/>
      <c r="CM84" s="501"/>
      <c r="CN84" s="501"/>
      <c r="CO84" s="501"/>
      <c r="CP84" s="501"/>
      <c r="CQ84" s="501"/>
      <c r="CR84" s="501"/>
      <c r="CS84" s="501"/>
      <c r="CT84" s="501"/>
      <c r="CU84" s="501"/>
      <c r="CV84" s="501"/>
      <c r="CW84" s="501"/>
      <c r="CX84" s="501"/>
      <c r="CY84" s="501"/>
      <c r="CZ84" s="501"/>
      <c r="DA84" s="501"/>
      <c r="DB84" s="501"/>
      <c r="DC84" s="501"/>
      <c r="DD84" s="501"/>
      <c r="DE84" s="501"/>
      <c r="DF84" s="501"/>
      <c r="DG84" s="501"/>
      <c r="DH84" s="501"/>
      <c r="DI84" s="501"/>
      <c r="DJ84" s="501"/>
      <c r="DK84" s="501"/>
      <c r="DL84" s="501"/>
      <c r="DM84" s="501"/>
      <c r="DN84" s="501"/>
      <c r="DO84" s="501"/>
      <c r="DP84" s="501"/>
      <c r="DQ84" s="501"/>
      <c r="DR84" s="501"/>
      <c r="DS84" s="501"/>
      <c r="DT84" s="501"/>
      <c r="DU84" s="501"/>
      <c r="DV84" s="501"/>
      <c r="DW84" s="501"/>
      <c r="DX84" s="501"/>
      <c r="DY84" s="501"/>
      <c r="DZ84" s="501"/>
      <c r="EA84" s="501"/>
      <c r="EB84" s="501"/>
      <c r="EC84" s="501"/>
      <c r="ED84" s="501"/>
      <c r="EE84" s="501"/>
      <c r="EF84" s="501"/>
      <c r="EG84" s="501"/>
      <c r="EH84" s="501"/>
      <c r="EI84" s="501"/>
      <c r="EJ84" s="501"/>
      <c r="EK84" s="501"/>
      <c r="EL84" s="501"/>
      <c r="EM84" s="501"/>
      <c r="EN84" s="501"/>
      <c r="EO84" s="501"/>
      <c r="EP84" s="501"/>
      <c r="EQ84" s="501"/>
      <c r="ER84" s="501"/>
      <c r="ES84" s="501"/>
      <c r="ET84" s="501"/>
      <c r="EU84" s="501"/>
      <c r="EV84" s="501"/>
      <c r="EW84" s="501"/>
      <c r="EX84" s="501"/>
      <c r="EY84" s="501"/>
      <c r="EZ84" s="501"/>
      <c r="FA84" s="501"/>
      <c r="FB84" s="501"/>
      <c r="FC84" s="501"/>
      <c r="FD84" s="501"/>
      <c r="FE84" s="501"/>
      <c r="FF84" s="501"/>
      <c r="FG84" s="501"/>
      <c r="FH84" s="501"/>
      <c r="FI84" s="501"/>
      <c r="FJ84" s="501"/>
      <c r="FK84" s="501"/>
      <c r="FL84" s="501"/>
      <c r="FM84" s="501"/>
      <c r="FN84" s="501"/>
      <c r="FO84" s="501"/>
      <c r="FP84" s="501"/>
      <c r="FQ84" s="501"/>
      <c r="FR84" s="501"/>
      <c r="FS84" s="501"/>
      <c r="FT84" s="501"/>
      <c r="FU84" s="501"/>
      <c r="FV84" s="501"/>
      <c r="FW84" s="501"/>
      <c r="FX84" s="501"/>
      <c r="FY84" s="501"/>
      <c r="FZ84" s="501"/>
      <c r="GA84" s="501"/>
      <c r="GB84" s="501"/>
      <c r="GC84" s="501"/>
      <c r="GD84" s="501"/>
      <c r="GE84" s="501"/>
      <c r="GF84" s="501"/>
      <c r="GG84" s="501"/>
      <c r="GH84" s="501"/>
      <c r="GI84" s="501"/>
      <c r="GJ84" s="501"/>
      <c r="GK84" s="501"/>
      <c r="GL84" s="501"/>
      <c r="GM84" s="501"/>
      <c r="GN84" s="501"/>
      <c r="GO84" s="501"/>
      <c r="GP84" s="501"/>
      <c r="GQ84" s="501"/>
      <c r="GR84" s="501"/>
      <c r="GS84" s="501"/>
      <c r="GT84" s="501"/>
      <c r="GU84" s="501"/>
      <c r="GV84" s="501"/>
      <c r="GW84" s="501"/>
      <c r="GX84" s="501"/>
      <c r="GY84" s="501"/>
      <c r="GZ84" s="501"/>
      <c r="HA84" s="501"/>
      <c r="HB84" s="501"/>
      <c r="HC84" s="501"/>
      <c r="HD84" s="501"/>
      <c r="HE84" s="501"/>
      <c r="HF84" s="501"/>
      <c r="HG84" s="501"/>
      <c r="HH84" s="501"/>
      <c r="HI84" s="501"/>
      <c r="HJ84" s="501"/>
      <c r="HK84" s="501"/>
      <c r="HL84" s="501"/>
      <c r="HM84" s="501"/>
      <c r="HN84" s="501"/>
      <c r="HO84" s="501"/>
      <c r="HP84" s="501"/>
      <c r="HQ84" s="501"/>
      <c r="HR84" s="501"/>
      <c r="HS84" s="501"/>
      <c r="HT84" s="501"/>
      <c r="HU84" s="501"/>
      <c r="HV84" s="501"/>
      <c r="HW84" s="501"/>
      <c r="HX84" s="501"/>
      <c r="HY84" s="501"/>
      <c r="HZ84" s="501"/>
      <c r="IA84" s="501"/>
      <c r="IB84" s="501"/>
      <c r="IC84" s="501"/>
      <c r="ID84" s="501"/>
      <c r="IE84" s="501"/>
      <c r="IF84" s="501"/>
      <c r="IG84" s="501"/>
      <c r="IH84" s="501"/>
      <c r="II84" s="501"/>
      <c r="IJ84" s="501"/>
      <c r="IK84" s="501"/>
      <c r="IL84" s="501"/>
      <c r="IM84" s="501"/>
      <c r="IN84" s="501"/>
      <c r="IO84" s="501"/>
      <c r="IP84" s="501"/>
      <c r="IQ84" s="501"/>
      <c r="IR84" s="501"/>
      <c r="IS84" s="501"/>
      <c r="IT84" s="501"/>
      <c r="IU84" s="501"/>
      <c r="IV84" s="501"/>
    </row>
    <row r="85" spans="1:256" s="893" customFormat="1" ht="12" customHeight="1" thickTop="1">
      <c r="A85" s="505"/>
      <c r="B85" s="3"/>
      <c r="C85" s="3"/>
      <c r="D85" s="85" t="s">
        <v>707</v>
      </c>
      <c r="E85" s="3"/>
      <c r="F85" s="3"/>
      <c r="G85" s="3"/>
      <c r="H85" s="3"/>
      <c r="I85" s="3"/>
      <c r="J85" s="3"/>
      <c r="K85" s="3"/>
      <c r="L85" s="3"/>
      <c r="M85" s="3"/>
      <c r="N85" s="3"/>
      <c r="O85" s="86"/>
      <c r="P85" s="3"/>
      <c r="Q85" s="3"/>
      <c r="R85" s="3"/>
      <c r="S85" s="3"/>
      <c r="T85" s="3"/>
      <c r="U85" s="501"/>
      <c r="V85" s="501"/>
      <c r="W85" s="501"/>
      <c r="X85" s="501"/>
      <c r="Y85" s="501"/>
      <c r="Z85" s="501"/>
      <c r="AB85" s="906"/>
      <c r="AC85" s="906"/>
      <c r="AD85" s="906"/>
      <c r="AE85" s="906"/>
      <c r="AF85" s="501"/>
      <c r="AG85" s="501"/>
      <c r="AH85" s="501"/>
      <c r="AI85" s="501"/>
      <c r="AJ85" s="501"/>
      <c r="AK85" s="501"/>
      <c r="AL85" s="501"/>
      <c r="AM85" s="501"/>
      <c r="AN85" s="501"/>
      <c r="AO85" s="501"/>
      <c r="AP85" s="501"/>
      <c r="AQ85" s="501"/>
      <c r="AR85" s="501"/>
      <c r="AS85" s="501"/>
      <c r="AT85" s="501"/>
      <c r="AU85" s="501"/>
      <c r="AV85" s="501"/>
      <c r="AW85" s="501"/>
      <c r="AX85" s="501"/>
      <c r="AY85" s="501"/>
      <c r="AZ85" s="501"/>
      <c r="BA85" s="501"/>
      <c r="BB85" s="501"/>
      <c r="BC85" s="501"/>
      <c r="BD85" s="501"/>
      <c r="BE85" s="501"/>
      <c r="BF85" s="501"/>
      <c r="BG85" s="501"/>
      <c r="BH85" s="501"/>
      <c r="BI85" s="501"/>
      <c r="BJ85" s="501"/>
      <c r="BK85" s="501"/>
      <c r="BL85" s="501"/>
      <c r="BM85" s="501"/>
      <c r="BN85" s="501"/>
      <c r="BO85" s="501"/>
      <c r="BP85" s="501"/>
      <c r="BQ85" s="501"/>
      <c r="BR85" s="501"/>
      <c r="BS85" s="501"/>
      <c r="BT85" s="501"/>
      <c r="BU85" s="501"/>
      <c r="BV85" s="501"/>
      <c r="BW85" s="501"/>
      <c r="BX85" s="501"/>
      <c r="BY85" s="501"/>
      <c r="BZ85" s="501"/>
      <c r="CA85" s="501"/>
      <c r="CB85" s="501"/>
      <c r="CC85" s="501"/>
      <c r="CD85" s="501"/>
      <c r="CE85" s="501"/>
      <c r="CF85" s="501"/>
      <c r="CG85" s="501"/>
      <c r="CH85" s="501"/>
      <c r="CI85" s="501"/>
      <c r="CJ85" s="501"/>
      <c r="CK85" s="501"/>
      <c r="CL85" s="501"/>
      <c r="CM85" s="501"/>
      <c r="CN85" s="501"/>
      <c r="CO85" s="501"/>
      <c r="CP85" s="501"/>
      <c r="CQ85" s="501"/>
      <c r="CR85" s="501"/>
      <c r="CS85" s="501"/>
      <c r="CT85" s="501"/>
      <c r="CU85" s="501"/>
      <c r="CV85" s="501"/>
      <c r="CW85" s="501"/>
      <c r="CX85" s="501"/>
      <c r="CY85" s="501"/>
      <c r="CZ85" s="501"/>
      <c r="DA85" s="501"/>
      <c r="DB85" s="501"/>
      <c r="DC85" s="501"/>
      <c r="DD85" s="501"/>
      <c r="DE85" s="501"/>
      <c r="DF85" s="501"/>
      <c r="DG85" s="501"/>
      <c r="DH85" s="501"/>
      <c r="DI85" s="501"/>
      <c r="DJ85" s="501"/>
      <c r="DK85" s="501"/>
      <c r="DL85" s="501"/>
      <c r="DM85" s="501"/>
      <c r="DN85" s="501"/>
      <c r="DO85" s="501"/>
      <c r="DP85" s="501"/>
      <c r="DQ85" s="501"/>
      <c r="DR85" s="501"/>
      <c r="DS85" s="501"/>
      <c r="DT85" s="501"/>
      <c r="DU85" s="501"/>
      <c r="DV85" s="501"/>
      <c r="DW85" s="501"/>
      <c r="DX85" s="501"/>
      <c r="DY85" s="501"/>
      <c r="DZ85" s="501"/>
      <c r="EA85" s="501"/>
      <c r="EB85" s="501"/>
      <c r="EC85" s="501"/>
      <c r="ED85" s="501"/>
      <c r="EE85" s="501"/>
      <c r="EF85" s="501"/>
      <c r="EG85" s="501"/>
      <c r="EH85" s="501"/>
      <c r="EI85" s="501"/>
      <c r="EJ85" s="501"/>
      <c r="EK85" s="501"/>
      <c r="EL85" s="501"/>
      <c r="EM85" s="501"/>
      <c r="EN85" s="501"/>
      <c r="EO85" s="501"/>
      <c r="EP85" s="501"/>
      <c r="EQ85" s="501"/>
      <c r="ER85" s="501"/>
      <c r="ES85" s="501"/>
      <c r="ET85" s="501"/>
      <c r="EU85" s="501"/>
      <c r="EV85" s="501"/>
      <c r="EW85" s="501"/>
      <c r="EX85" s="501"/>
      <c r="EY85" s="501"/>
      <c r="EZ85" s="501"/>
      <c r="FA85" s="501"/>
      <c r="FB85" s="501"/>
      <c r="FC85" s="501"/>
      <c r="FD85" s="501"/>
      <c r="FE85" s="501"/>
      <c r="FF85" s="501"/>
      <c r="FG85" s="501"/>
      <c r="FH85" s="501"/>
      <c r="FI85" s="501"/>
      <c r="FJ85" s="501"/>
      <c r="FK85" s="501"/>
      <c r="FL85" s="501"/>
      <c r="FM85" s="501"/>
      <c r="FN85" s="501"/>
      <c r="FO85" s="501"/>
      <c r="FP85" s="501"/>
      <c r="FQ85" s="501"/>
      <c r="FR85" s="501"/>
      <c r="FS85" s="501"/>
      <c r="FT85" s="501"/>
      <c r="FU85" s="501"/>
      <c r="FV85" s="501"/>
      <c r="FW85" s="501"/>
      <c r="FX85" s="501"/>
      <c r="FY85" s="501"/>
      <c r="FZ85" s="501"/>
      <c r="GA85" s="501"/>
      <c r="GB85" s="501"/>
      <c r="GC85" s="501"/>
      <c r="GD85" s="501"/>
      <c r="GE85" s="501"/>
      <c r="GF85" s="501"/>
      <c r="GG85" s="501"/>
      <c r="GH85" s="501"/>
      <c r="GI85" s="501"/>
      <c r="GJ85" s="501"/>
      <c r="GK85" s="501"/>
      <c r="GL85" s="501"/>
      <c r="GM85" s="501"/>
      <c r="GN85" s="501"/>
      <c r="GO85" s="501"/>
      <c r="GP85" s="501"/>
      <c r="GQ85" s="501"/>
      <c r="GR85" s="501"/>
      <c r="GS85" s="501"/>
      <c r="GT85" s="501"/>
      <c r="GU85" s="501"/>
      <c r="GV85" s="501"/>
      <c r="GW85" s="501"/>
      <c r="GX85" s="501"/>
      <c r="GY85" s="501"/>
      <c r="GZ85" s="501"/>
      <c r="HA85" s="501"/>
      <c r="HB85" s="501"/>
      <c r="HC85" s="501"/>
      <c r="HD85" s="501"/>
      <c r="HE85" s="501"/>
      <c r="HF85" s="501"/>
      <c r="HG85" s="501"/>
      <c r="HH85" s="501"/>
      <c r="HI85" s="501"/>
      <c r="HJ85" s="501"/>
      <c r="HK85" s="501"/>
      <c r="HL85" s="501"/>
      <c r="HM85" s="501"/>
      <c r="HN85" s="501"/>
      <c r="HO85" s="501"/>
      <c r="HP85" s="501"/>
      <c r="HQ85" s="501"/>
      <c r="HR85" s="501"/>
      <c r="HS85" s="501"/>
      <c r="HT85" s="501"/>
      <c r="HU85" s="501"/>
      <c r="HV85" s="501"/>
      <c r="HW85" s="501"/>
      <c r="HX85" s="501"/>
      <c r="HY85" s="501"/>
      <c r="HZ85" s="501"/>
      <c r="IA85" s="501"/>
      <c r="IB85" s="501"/>
      <c r="IC85" s="501"/>
      <c r="ID85" s="501"/>
      <c r="IE85" s="501"/>
      <c r="IF85" s="501"/>
      <c r="IG85" s="501"/>
      <c r="IH85" s="501"/>
      <c r="II85" s="501"/>
      <c r="IJ85" s="501"/>
      <c r="IK85" s="501"/>
      <c r="IL85" s="501"/>
      <c r="IM85" s="501"/>
      <c r="IN85" s="501"/>
      <c r="IO85" s="501"/>
      <c r="IP85" s="501"/>
      <c r="IQ85" s="501"/>
      <c r="IR85" s="501"/>
      <c r="IS85" s="501"/>
      <c r="IT85" s="501"/>
      <c r="IU85" s="501"/>
      <c r="IV85" s="501"/>
    </row>
    <row r="86" spans="1:256" s="501" customFormat="1" ht="12" customHeight="1">
      <c r="A86" s="505"/>
      <c r="B86" s="3"/>
      <c r="C86" s="3"/>
      <c r="D86" s="907" t="s">
        <v>708</v>
      </c>
      <c r="F86" s="908"/>
      <c r="G86" s="3"/>
      <c r="H86" s="3"/>
      <c r="I86" s="3"/>
      <c r="J86" s="3"/>
      <c r="K86" s="3"/>
      <c r="L86" s="3"/>
      <c r="M86" s="3"/>
      <c r="N86" s="3"/>
      <c r="O86" s="86"/>
      <c r="P86" s="3"/>
      <c r="Q86" s="3"/>
      <c r="R86" s="909">
        <f t="shared" ref="R86:R93" si="2">$A86*Q86</f>
        <v>0</v>
      </c>
      <c r="S86" s="3"/>
      <c r="T86" s="910">
        <f t="shared" ref="T86:T93" si="3">$A86*S86*$T$1</f>
        <v>0</v>
      </c>
      <c r="AA86" s="893"/>
      <c r="AB86" s="906"/>
      <c r="AC86" s="906"/>
      <c r="AD86" s="906"/>
      <c r="AE86" s="906"/>
    </row>
    <row r="87" spans="1:256" s="501" customFormat="1" ht="12" customHeight="1">
      <c r="A87" s="911">
        <f>$Q$390*(ROUND(137*2,0))</f>
        <v>0</v>
      </c>
      <c r="B87" s="912" t="s">
        <v>141</v>
      </c>
      <c r="C87" s="913"/>
      <c r="D87" s="914" t="s">
        <v>709</v>
      </c>
      <c r="E87" s="913"/>
      <c r="G87" s="894" t="s">
        <v>710</v>
      </c>
      <c r="H87" s="895">
        <v>875</v>
      </c>
      <c r="I87" s="915" t="s">
        <v>698</v>
      </c>
      <c r="J87" s="915" t="s">
        <v>711</v>
      </c>
      <c r="K87" s="914" t="s">
        <v>7</v>
      </c>
      <c r="L87" s="913"/>
      <c r="M87" s="912"/>
      <c r="N87" s="913"/>
      <c r="O87" s="916">
        <v>1</v>
      </c>
      <c r="P87" s="917">
        <v>36175</v>
      </c>
      <c r="Q87" s="914">
        <f>2.33 *(0.05)</f>
        <v>0.11650000000000001</v>
      </c>
      <c r="R87" s="909">
        <f t="shared" si="2"/>
        <v>0</v>
      </c>
      <c r="S87" s="913"/>
      <c r="T87" s="910">
        <f t="shared" si="3"/>
        <v>0</v>
      </c>
      <c r="U87"/>
      <c r="X87"/>
      <c r="Y87"/>
      <c r="Z87"/>
      <c r="AA87" s="893"/>
      <c r="AB87" s="906"/>
      <c r="AC87" s="906"/>
      <c r="AD87" s="906"/>
      <c r="AE87" s="906"/>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row>
    <row r="88" spans="1:256" s="501" customFormat="1" ht="12" customHeight="1">
      <c r="A88" s="911">
        <f>$Q$390*(ROUND(137*2,0))</f>
        <v>0</v>
      </c>
      <c r="B88" s="912" t="s">
        <v>296</v>
      </c>
      <c r="C88" s="912"/>
      <c r="D88" s="914" t="s">
        <v>712</v>
      </c>
      <c r="E88" s="893" t="s">
        <v>688</v>
      </c>
      <c r="F88" s="918"/>
      <c r="G88" s="894" t="s">
        <v>713</v>
      </c>
      <c r="H88" s="895">
        <v>501</v>
      </c>
      <c r="I88" s="919"/>
      <c r="J88" s="919"/>
      <c r="K88" s="914" t="s">
        <v>7</v>
      </c>
      <c r="L88" s="912"/>
      <c r="M88" s="912"/>
      <c r="N88" s="912"/>
      <c r="O88" s="916">
        <v>1</v>
      </c>
      <c r="P88" s="917">
        <v>36175</v>
      </c>
      <c r="Q88" s="905">
        <f>ROUNDUP(0.96*1.145,2)</f>
        <v>1.1000000000000001</v>
      </c>
      <c r="R88" s="909">
        <f t="shared" si="2"/>
        <v>0</v>
      </c>
      <c r="S88" s="912"/>
      <c r="T88" s="910">
        <f t="shared" si="3"/>
        <v>0</v>
      </c>
      <c r="U88"/>
      <c r="X88"/>
      <c r="Y88"/>
      <c r="Z88"/>
      <c r="AB88" s="906"/>
      <c r="AC88" s="906"/>
      <c r="AD88" s="906"/>
      <c r="AE88" s="906"/>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row>
    <row r="89" spans="1:256" s="501" customFormat="1" ht="12" customHeight="1">
      <c r="A89" s="911">
        <f>$Q$390*(ROUND(137*2,0))</f>
        <v>0</v>
      </c>
      <c r="B89" s="920" t="s">
        <v>141</v>
      </c>
      <c r="C89" s="920"/>
      <c r="D89" s="920" t="s">
        <v>714</v>
      </c>
      <c r="E89" s="920"/>
      <c r="F89" s="920"/>
      <c r="G89" s="894" t="s">
        <v>715</v>
      </c>
      <c r="H89" s="895">
        <v>501</v>
      </c>
      <c r="I89" s="920"/>
      <c r="J89" s="920"/>
      <c r="K89" s="920"/>
      <c r="L89" s="920"/>
      <c r="M89" s="920"/>
      <c r="N89" s="921"/>
      <c r="O89" s="921">
        <v>1</v>
      </c>
      <c r="P89" s="922"/>
      <c r="Q89" s="914">
        <v>0.12</v>
      </c>
      <c r="R89" s="909">
        <f t="shared" si="2"/>
        <v>0</v>
      </c>
      <c r="S89" s="914"/>
      <c r="T89" s="910">
        <f t="shared" si="3"/>
        <v>0</v>
      </c>
      <c r="U89" s="920"/>
      <c r="X89" s="920"/>
      <c r="Y89" s="920"/>
      <c r="Z89" s="920"/>
      <c r="AA89" s="906"/>
      <c r="AB89" s="906"/>
      <c r="AC89" s="906"/>
      <c r="AD89" s="906"/>
      <c r="AE89" s="906"/>
      <c r="AF89" s="920"/>
      <c r="AG89" s="920"/>
      <c r="AH89" s="920"/>
      <c r="AI89" s="920"/>
      <c r="AJ89" s="920"/>
      <c r="AK89" s="920"/>
      <c r="AL89" s="920"/>
      <c r="AM89" s="920"/>
      <c r="AN89" s="920"/>
      <c r="AO89" s="920"/>
      <c r="AP89" s="920"/>
      <c r="AQ89" s="920"/>
      <c r="AR89" s="920"/>
      <c r="AS89" s="920"/>
      <c r="AT89" s="920"/>
      <c r="AU89" s="920"/>
      <c r="AV89" s="920"/>
      <c r="AW89" s="920"/>
      <c r="AX89" s="920"/>
      <c r="AY89" s="920"/>
      <c r="AZ89" s="920"/>
      <c r="BA89" s="920"/>
      <c r="BB89" s="920"/>
      <c r="BC89" s="920"/>
      <c r="BD89" s="920"/>
      <c r="BE89" s="920"/>
      <c r="BF89" s="920"/>
      <c r="BG89" s="920"/>
      <c r="BH89" s="920"/>
      <c r="BI89" s="920"/>
      <c r="BJ89" s="920"/>
      <c r="BK89" s="920"/>
      <c r="BL89" s="920"/>
      <c r="BM89" s="920"/>
      <c r="BN89" s="920"/>
      <c r="BO89" s="920"/>
      <c r="BP89" s="920"/>
      <c r="BQ89" s="920"/>
      <c r="BR89" s="920"/>
      <c r="BS89" s="920"/>
      <c r="BT89" s="920"/>
      <c r="BU89" s="920"/>
      <c r="BV89" s="920"/>
      <c r="BW89" s="920"/>
      <c r="BX89" s="920"/>
      <c r="BY89" s="920"/>
      <c r="BZ89" s="920"/>
      <c r="CA89" s="920"/>
      <c r="CB89" s="920"/>
      <c r="CC89" s="920"/>
      <c r="CD89" s="920"/>
      <c r="CE89" s="920"/>
      <c r="CF89" s="920"/>
      <c r="CG89" s="920"/>
      <c r="CH89" s="920"/>
      <c r="CI89" s="920"/>
      <c r="CJ89" s="920"/>
      <c r="CK89" s="920"/>
      <c r="CL89" s="920"/>
      <c r="CM89" s="920"/>
      <c r="CN89" s="920"/>
      <c r="CO89" s="920"/>
      <c r="CP89" s="920"/>
      <c r="CQ89" s="920"/>
      <c r="CR89" s="920"/>
      <c r="CS89" s="920"/>
      <c r="CT89" s="920"/>
      <c r="CU89" s="920"/>
      <c r="CV89" s="920"/>
      <c r="CW89" s="920"/>
      <c r="CX89" s="920"/>
      <c r="CY89" s="920"/>
      <c r="CZ89" s="920"/>
      <c r="DA89" s="920"/>
      <c r="DB89" s="920"/>
      <c r="DC89" s="920"/>
      <c r="DD89" s="920"/>
      <c r="DE89" s="920"/>
      <c r="DF89" s="920"/>
      <c r="DG89" s="920"/>
      <c r="DH89" s="920"/>
      <c r="DI89" s="920"/>
      <c r="DJ89" s="920"/>
      <c r="DK89" s="920"/>
      <c r="DL89" s="920"/>
      <c r="DM89" s="920"/>
      <c r="DN89" s="920"/>
      <c r="DO89" s="920"/>
      <c r="DP89" s="920"/>
      <c r="DQ89" s="920"/>
      <c r="DR89" s="920"/>
      <c r="DS89" s="920"/>
      <c r="DT89" s="920"/>
      <c r="DU89" s="920"/>
      <c r="DV89" s="920"/>
      <c r="DW89" s="920"/>
      <c r="DX89" s="920"/>
      <c r="DY89" s="920"/>
      <c r="DZ89" s="920"/>
      <c r="EA89" s="920"/>
      <c r="EB89" s="920"/>
      <c r="EC89" s="920"/>
      <c r="ED89" s="920"/>
      <c r="EE89" s="920"/>
      <c r="EF89" s="920"/>
      <c r="EG89" s="920"/>
      <c r="EH89" s="920"/>
      <c r="EI89" s="920"/>
      <c r="EJ89" s="920"/>
      <c r="EK89" s="920"/>
      <c r="EL89" s="920"/>
      <c r="EM89" s="920"/>
      <c r="EN89" s="920"/>
      <c r="EO89" s="920"/>
      <c r="EP89" s="920"/>
      <c r="EQ89" s="920"/>
      <c r="ER89" s="920"/>
      <c r="ES89" s="920"/>
      <c r="ET89" s="920"/>
      <c r="EU89" s="920"/>
      <c r="EV89" s="920"/>
      <c r="EW89" s="920"/>
      <c r="EX89" s="920"/>
      <c r="EY89" s="920"/>
      <c r="EZ89" s="920"/>
      <c r="FA89" s="920"/>
      <c r="FB89" s="920"/>
      <c r="FC89" s="920"/>
      <c r="FD89" s="920"/>
      <c r="FE89" s="920"/>
      <c r="FF89" s="920"/>
      <c r="FG89" s="920"/>
      <c r="FH89" s="920"/>
      <c r="FI89" s="920"/>
      <c r="FJ89" s="920"/>
      <c r="FK89" s="920"/>
      <c r="FL89" s="920"/>
      <c r="FM89" s="920"/>
      <c r="FN89" s="920"/>
      <c r="FO89" s="920"/>
      <c r="FP89" s="920"/>
      <c r="FQ89" s="920"/>
      <c r="FR89" s="920"/>
      <c r="FS89" s="920"/>
      <c r="FT89" s="920"/>
      <c r="FU89" s="920"/>
      <c r="FV89" s="920"/>
      <c r="FW89" s="920"/>
      <c r="FX89" s="920"/>
      <c r="FY89" s="920"/>
      <c r="FZ89" s="920"/>
      <c r="GA89" s="920"/>
      <c r="GB89" s="920"/>
      <c r="GC89" s="920"/>
      <c r="GD89" s="920"/>
      <c r="GE89" s="920"/>
      <c r="GF89" s="920"/>
      <c r="GG89" s="920"/>
      <c r="GH89" s="920"/>
      <c r="GI89" s="920"/>
      <c r="GJ89" s="920"/>
      <c r="GK89" s="920"/>
      <c r="GL89" s="920"/>
      <c r="GM89" s="920"/>
      <c r="GN89" s="920"/>
      <c r="GO89" s="920"/>
      <c r="GP89" s="920"/>
      <c r="GQ89" s="920"/>
      <c r="GR89" s="920"/>
      <c r="GS89" s="920"/>
      <c r="GT89" s="920"/>
      <c r="GU89" s="920"/>
      <c r="GV89" s="920"/>
      <c r="GW89" s="920"/>
      <c r="GX89" s="920"/>
      <c r="GY89" s="920"/>
      <c r="GZ89" s="920"/>
      <c r="HA89" s="920"/>
      <c r="HB89" s="920"/>
      <c r="HC89" s="920"/>
      <c r="HD89" s="920"/>
      <c r="HE89" s="920"/>
      <c r="HF89" s="920"/>
      <c r="HG89" s="920"/>
      <c r="HH89" s="920"/>
      <c r="HI89" s="920"/>
      <c r="HJ89" s="920"/>
      <c r="HK89" s="920"/>
      <c r="HL89" s="920"/>
      <c r="HM89" s="920"/>
      <c r="HN89" s="920"/>
      <c r="HO89" s="920"/>
      <c r="HP89" s="920"/>
      <c r="HQ89" s="920"/>
      <c r="HR89" s="920"/>
      <c r="HS89" s="920"/>
      <c r="HT89" s="920"/>
      <c r="HU89" s="920"/>
      <c r="HV89" s="920"/>
      <c r="HW89" s="920"/>
      <c r="HX89" s="920"/>
      <c r="HY89" s="920"/>
      <c r="HZ89" s="920"/>
      <c r="IA89" s="920"/>
      <c r="IB89" s="920"/>
      <c r="IC89" s="920"/>
      <c r="ID89" s="920"/>
      <c r="IE89" s="920"/>
      <c r="IF89" s="920"/>
      <c r="IG89" s="920"/>
      <c r="IH89" s="920"/>
      <c r="II89" s="920"/>
      <c r="IJ89" s="920"/>
      <c r="IK89" s="920"/>
      <c r="IL89" s="920"/>
      <c r="IM89" s="920"/>
      <c r="IN89" s="920"/>
      <c r="IO89" s="920"/>
      <c r="IP89" s="920"/>
      <c r="IQ89" s="920"/>
      <c r="IR89" s="920"/>
      <c r="IS89" s="920"/>
      <c r="IT89" s="920"/>
      <c r="IU89" s="920"/>
      <c r="IV89" s="920"/>
    </row>
    <row r="90" spans="1:256" s="893" customFormat="1" ht="12" customHeight="1">
      <c r="A90" s="911">
        <f>$Q$390*(ROUND(137*0.4,0))</f>
        <v>0</v>
      </c>
      <c r="B90" s="912" t="s">
        <v>296</v>
      </c>
      <c r="C90" s="912"/>
      <c r="D90" s="914" t="s">
        <v>716</v>
      </c>
      <c r="E90" s="893" t="s">
        <v>688</v>
      </c>
      <c r="F90" s="918"/>
      <c r="G90" s="894" t="s">
        <v>717</v>
      </c>
      <c r="H90" s="895">
        <v>501</v>
      </c>
      <c r="I90" s="915" t="s">
        <v>698</v>
      </c>
      <c r="J90" s="919" t="s">
        <v>718</v>
      </c>
      <c r="K90" s="914" t="s">
        <v>7</v>
      </c>
      <c r="L90" s="912"/>
      <c r="M90" s="912"/>
      <c r="N90" s="912"/>
      <c r="O90" s="916">
        <v>1</v>
      </c>
      <c r="P90" s="917">
        <v>36175</v>
      </c>
      <c r="Q90" s="905">
        <f>ROUNDUP(1.45*1.145,2)</f>
        <v>1.67</v>
      </c>
      <c r="R90" s="909">
        <f t="shared" si="2"/>
        <v>0</v>
      </c>
      <c r="S90" s="912"/>
      <c r="T90" s="910">
        <f t="shared" si="3"/>
        <v>0</v>
      </c>
      <c r="U90"/>
      <c r="V90" s="501"/>
      <c r="W90" s="501"/>
      <c r="X90"/>
      <c r="Y90"/>
      <c r="Z90"/>
      <c r="AA90" s="906"/>
      <c r="AB90" s="906"/>
      <c r="AC90" s="906"/>
      <c r="AD90" s="906"/>
      <c r="AE90" s="906"/>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row>
    <row r="91" spans="1:256" s="501" customFormat="1" ht="12" customHeight="1">
      <c r="A91" s="911">
        <f>$Q$390*(ROUND(137,0))</f>
        <v>0</v>
      </c>
      <c r="B91" s="912" t="s">
        <v>141</v>
      </c>
      <c r="C91" s="912"/>
      <c r="D91" s="914" t="s">
        <v>719</v>
      </c>
      <c r="E91" s="913"/>
      <c r="F91" s="918"/>
      <c r="G91" s="894" t="s">
        <v>720</v>
      </c>
      <c r="H91" s="895">
        <v>501</v>
      </c>
      <c r="I91" s="919" t="s">
        <v>660</v>
      </c>
      <c r="J91" s="919"/>
      <c r="K91" s="914" t="s">
        <v>7</v>
      </c>
      <c r="L91" s="912"/>
      <c r="M91" s="912"/>
      <c r="N91" s="912"/>
      <c r="O91" s="923">
        <v>3</v>
      </c>
      <c r="P91" s="924"/>
      <c r="Q91" s="925"/>
      <c r="R91" s="909">
        <f t="shared" si="2"/>
        <v>0</v>
      </c>
      <c r="S91" s="914">
        <v>0.25</v>
      </c>
      <c r="T91" s="910">
        <f t="shared" si="3"/>
        <v>0</v>
      </c>
      <c r="U91" t="s">
        <v>721</v>
      </c>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row>
    <row r="92" spans="1:256" s="501" customFormat="1" ht="12" customHeight="1">
      <c r="A92" s="911">
        <f>$Q$390*(ROUND(137*4,0))</f>
        <v>0</v>
      </c>
      <c r="B92" s="912" t="s">
        <v>141</v>
      </c>
      <c r="C92" s="912"/>
      <c r="D92" s="914" t="s">
        <v>722</v>
      </c>
      <c r="E92" s="913"/>
      <c r="F92" s="918"/>
      <c r="G92" s="894" t="s">
        <v>723</v>
      </c>
      <c r="H92" s="895">
        <v>501</v>
      </c>
      <c r="I92" s="919"/>
      <c r="J92" s="919"/>
      <c r="K92" s="914" t="s">
        <v>7</v>
      </c>
      <c r="L92" s="912"/>
      <c r="M92" s="912"/>
      <c r="N92" s="912"/>
      <c r="O92" s="916">
        <v>1</v>
      </c>
      <c r="P92" s="917"/>
      <c r="Q92" s="914">
        <f>2.33 *(0.03)</f>
        <v>6.9900000000000004E-2</v>
      </c>
      <c r="R92" s="909">
        <f t="shared" si="2"/>
        <v>0</v>
      </c>
      <c r="S92" s="912"/>
      <c r="T92" s="910">
        <f t="shared" si="3"/>
        <v>0</v>
      </c>
      <c r="U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row>
    <row r="93" spans="1:256" s="501" customFormat="1" ht="12" customHeight="1">
      <c r="A93" s="911">
        <f>$Q$390*(ROUND(137*4,0))</f>
        <v>0</v>
      </c>
      <c r="B93" s="912" t="s">
        <v>141</v>
      </c>
      <c r="C93" s="912"/>
      <c r="D93" s="914" t="s">
        <v>724</v>
      </c>
      <c r="E93" s="913"/>
      <c r="F93" s="918"/>
      <c r="G93" s="894" t="s">
        <v>725</v>
      </c>
      <c r="H93" s="895">
        <v>501</v>
      </c>
      <c r="I93" s="919"/>
      <c r="J93" s="919"/>
      <c r="K93" s="914" t="s">
        <v>7</v>
      </c>
      <c r="L93" s="912"/>
      <c r="M93" s="912"/>
      <c r="N93" s="912"/>
      <c r="O93" s="923">
        <v>1</v>
      </c>
      <c r="P93" s="924"/>
      <c r="Q93" s="914">
        <f>2.33 *(0.01)</f>
        <v>2.3300000000000001E-2</v>
      </c>
      <c r="R93" s="909">
        <f t="shared" si="2"/>
        <v>0</v>
      </c>
      <c r="S93" s="912"/>
      <c r="T93" s="910">
        <f t="shared" si="3"/>
        <v>0</v>
      </c>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row>
    <row r="94" spans="1:256" s="893" customFormat="1" ht="12" customHeight="1">
      <c r="A94" s="497"/>
      <c r="B94" s="3"/>
      <c r="C94" s="497" t="s">
        <v>165</v>
      </c>
      <c r="D94" s="3"/>
      <c r="E94" s="497"/>
      <c r="F94" s="498"/>
      <c r="G94" s="497"/>
      <c r="H94" s="497"/>
      <c r="I94" s="499"/>
      <c r="J94" s="497"/>
      <c r="K94" s="497"/>
      <c r="L94" s="497"/>
      <c r="M94" s="497"/>
      <c r="N94" s="497"/>
      <c r="O94" s="497"/>
      <c r="P94" s="497"/>
      <c r="Q94" s="499"/>
      <c r="R94" s="560">
        <f>$A94*Q94</f>
        <v>0</v>
      </c>
      <c r="S94" s="499"/>
      <c r="T94" s="500">
        <f>$A94*S94*$T$1</f>
        <v>0</v>
      </c>
      <c r="U94" s="501"/>
      <c r="V94" s="501"/>
      <c r="W94" s="501"/>
      <c r="X94" s="501"/>
      <c r="Y94" s="501"/>
      <c r="Z94" s="501"/>
      <c r="AA94" s="501"/>
      <c r="AB94" s="501"/>
      <c r="AC94" s="501"/>
      <c r="AD94" s="501"/>
      <c r="AE94" s="501"/>
      <c r="AF94" s="501"/>
      <c r="AG94" s="501"/>
      <c r="AH94" s="501"/>
      <c r="AI94" s="501"/>
      <c r="AJ94" s="501"/>
      <c r="AK94" s="501"/>
      <c r="AL94" s="501"/>
      <c r="AM94" s="501"/>
      <c r="AN94" s="501"/>
      <c r="AO94" s="501"/>
      <c r="AP94" s="501"/>
      <c r="AQ94" s="501"/>
      <c r="AR94" s="501"/>
      <c r="AS94" s="501"/>
      <c r="AT94" s="501"/>
      <c r="AU94" s="501"/>
      <c r="AV94" s="501"/>
      <c r="AW94" s="501"/>
      <c r="AX94" s="501"/>
      <c r="AY94" s="501"/>
      <c r="AZ94" s="501"/>
      <c r="BA94" s="501"/>
      <c r="BB94" s="501"/>
      <c r="BC94" s="501"/>
      <c r="BD94" s="501"/>
      <c r="BE94" s="501"/>
      <c r="BF94" s="501"/>
      <c r="BG94" s="501"/>
      <c r="BH94" s="501"/>
      <c r="BI94" s="501"/>
      <c r="BJ94" s="501"/>
      <c r="BK94" s="501"/>
      <c r="BL94" s="501"/>
      <c r="BM94" s="501"/>
      <c r="BN94" s="501"/>
      <c r="BO94" s="501"/>
      <c r="BP94" s="501"/>
      <c r="BQ94" s="501"/>
      <c r="BR94" s="501"/>
      <c r="BS94" s="501"/>
      <c r="BT94" s="501"/>
      <c r="BU94" s="501"/>
      <c r="BV94" s="501"/>
      <c r="BW94" s="501"/>
      <c r="BX94" s="501"/>
      <c r="BY94" s="501"/>
      <c r="BZ94" s="501"/>
      <c r="CA94" s="501"/>
      <c r="CB94" s="501"/>
      <c r="CC94" s="501"/>
      <c r="CD94" s="501"/>
      <c r="CE94" s="501"/>
      <c r="CF94" s="501"/>
      <c r="CG94" s="501"/>
      <c r="CH94" s="501"/>
      <c r="CI94" s="501"/>
      <c r="CJ94" s="501"/>
      <c r="CK94" s="501"/>
      <c r="CL94" s="501"/>
      <c r="CM94" s="501"/>
      <c r="CN94" s="501"/>
      <c r="CO94" s="501"/>
      <c r="CP94" s="501"/>
      <c r="CQ94" s="501"/>
      <c r="CR94" s="501"/>
      <c r="CS94" s="501"/>
      <c r="CT94" s="501"/>
      <c r="CU94" s="501"/>
      <c r="CV94" s="501"/>
      <c r="CW94" s="501"/>
      <c r="CX94" s="501"/>
      <c r="CY94" s="501"/>
      <c r="CZ94" s="501"/>
      <c r="DA94" s="501"/>
      <c r="DB94" s="501"/>
      <c r="DC94" s="501"/>
      <c r="DD94" s="501"/>
      <c r="DE94" s="501"/>
      <c r="DF94" s="501"/>
      <c r="DG94" s="501"/>
      <c r="DH94" s="501"/>
      <c r="DI94" s="501"/>
      <c r="DJ94" s="501"/>
      <c r="DK94" s="501"/>
      <c r="DL94" s="501"/>
      <c r="DM94" s="501"/>
      <c r="DN94" s="501"/>
      <c r="DO94" s="501"/>
      <c r="DP94" s="501"/>
      <c r="DQ94" s="501"/>
      <c r="DR94" s="501"/>
      <c r="DS94" s="501"/>
      <c r="DT94" s="501"/>
      <c r="DU94" s="501"/>
      <c r="DV94" s="501"/>
      <c r="DW94" s="501"/>
      <c r="DX94" s="501"/>
      <c r="DY94" s="501"/>
      <c r="DZ94" s="501"/>
      <c r="EA94" s="501"/>
      <c r="EB94" s="501"/>
      <c r="EC94" s="501"/>
      <c r="ED94" s="501"/>
      <c r="EE94" s="501"/>
      <c r="EF94" s="501"/>
      <c r="EG94" s="501"/>
      <c r="EH94" s="501"/>
      <c r="EI94" s="501"/>
      <c r="EJ94" s="501"/>
      <c r="EK94" s="501"/>
      <c r="EL94" s="501"/>
      <c r="EM94" s="501"/>
      <c r="EN94" s="501"/>
      <c r="EO94" s="501"/>
      <c r="EP94" s="501"/>
      <c r="EQ94" s="501"/>
      <c r="ER94" s="501"/>
      <c r="ES94" s="501"/>
      <c r="ET94" s="501"/>
      <c r="EU94" s="501"/>
      <c r="EV94" s="501"/>
      <c r="EW94" s="501"/>
      <c r="EX94" s="501"/>
      <c r="EY94" s="501"/>
      <c r="EZ94" s="501"/>
      <c r="FA94" s="501"/>
      <c r="FB94" s="501"/>
      <c r="FC94" s="501"/>
      <c r="FD94" s="501"/>
      <c r="FE94" s="501"/>
      <c r="FF94" s="501"/>
      <c r="FG94" s="501"/>
      <c r="FH94" s="501"/>
      <c r="FI94" s="501"/>
      <c r="FJ94" s="501"/>
      <c r="FK94" s="501"/>
      <c r="FL94" s="501"/>
      <c r="FM94" s="501"/>
      <c r="FN94" s="501"/>
      <c r="FO94" s="501"/>
      <c r="FP94" s="501"/>
      <c r="FQ94" s="501"/>
      <c r="FR94" s="501"/>
      <c r="FS94" s="501"/>
      <c r="FT94" s="501"/>
      <c r="FU94" s="501"/>
      <c r="FV94" s="501"/>
      <c r="FW94" s="501"/>
      <c r="FX94" s="501"/>
      <c r="FY94" s="501"/>
      <c r="FZ94" s="501"/>
      <c r="GA94" s="501"/>
      <c r="GB94" s="501"/>
      <c r="GC94" s="501"/>
      <c r="GD94" s="501"/>
      <c r="GE94" s="501"/>
      <c r="GF94" s="501"/>
      <c r="GG94" s="501"/>
      <c r="GH94" s="501"/>
      <c r="GI94" s="501"/>
      <c r="GJ94" s="501"/>
      <c r="GK94" s="501"/>
      <c r="GL94" s="501"/>
      <c r="GM94" s="501"/>
      <c r="GN94" s="501"/>
      <c r="GO94" s="501"/>
      <c r="GP94" s="501"/>
      <c r="GQ94" s="501"/>
      <c r="GR94" s="501"/>
      <c r="GS94" s="501"/>
      <c r="GT94" s="501"/>
      <c r="GU94" s="501"/>
      <c r="GV94" s="501"/>
      <c r="GW94" s="501"/>
      <c r="GX94" s="501"/>
      <c r="GY94" s="501"/>
      <c r="GZ94" s="501"/>
      <c r="HA94" s="501"/>
      <c r="HB94" s="501"/>
      <c r="HC94" s="501"/>
      <c r="HD94" s="501"/>
      <c r="HE94" s="501"/>
      <c r="HF94" s="501"/>
      <c r="HG94" s="501"/>
      <c r="HH94" s="501"/>
      <c r="HI94" s="501"/>
      <c r="HJ94" s="501"/>
      <c r="HK94" s="501"/>
      <c r="HL94" s="501"/>
      <c r="HM94" s="501"/>
      <c r="HN94" s="501"/>
      <c r="HO94" s="501"/>
      <c r="HP94" s="501"/>
      <c r="HQ94" s="501"/>
      <c r="HR94" s="501"/>
      <c r="HS94" s="501"/>
      <c r="HT94" s="501"/>
      <c r="HU94" s="501"/>
      <c r="HV94" s="501"/>
      <c r="HW94" s="501"/>
      <c r="HX94" s="501"/>
      <c r="HY94" s="501"/>
      <c r="HZ94" s="501"/>
      <c r="IA94" s="501"/>
      <c r="IB94" s="501"/>
      <c r="IC94" s="501"/>
      <c r="ID94" s="501"/>
      <c r="IE94" s="501"/>
      <c r="IF94" s="501"/>
      <c r="IG94" s="501"/>
      <c r="IH94" s="501"/>
      <c r="II94" s="501"/>
      <c r="IJ94" s="501"/>
      <c r="IK94" s="501"/>
      <c r="IL94" s="501"/>
      <c r="IM94" s="501"/>
      <c r="IN94" s="501"/>
      <c r="IO94" s="501"/>
      <c r="IP94" s="501"/>
      <c r="IQ94" s="501"/>
      <c r="IR94" s="501"/>
      <c r="IS94" s="501"/>
      <c r="IT94" s="501"/>
      <c r="IU94" s="501"/>
      <c r="IV94" s="501"/>
    </row>
    <row r="95" spans="1:256" s="893" customFormat="1" ht="12" customHeight="1" thickBot="1">
      <c r="A95" s="513" t="s">
        <v>145</v>
      </c>
      <c r="B95" s="514">
        <f>(R94+T94)</f>
        <v>0</v>
      </c>
      <c r="C95" s="515"/>
      <c r="D95" s="561" t="s">
        <v>166</v>
      </c>
      <c r="E95" s="449">
        <f ca="1">IF($B84=0,0,ROUND(ROUND(($R95*$S$2+($T95*$T$2))/$B84, 2)*$C$2,2))</f>
        <v>0</v>
      </c>
      <c r="F95" s="450">
        <f ca="1">ROUND($B84*$E95,2)</f>
        <v>0</v>
      </c>
      <c r="G95" s="515"/>
      <c r="H95" s="515"/>
      <c r="I95" s="516"/>
      <c r="J95" s="515"/>
      <c r="K95" s="562" t="s">
        <v>143</v>
      </c>
      <c r="L95" s="517" t="s">
        <v>143</v>
      </c>
      <c r="M95" s="517"/>
      <c r="N95" s="517"/>
      <c r="O95" s="517"/>
      <c r="P95" s="517"/>
      <c r="Q95" s="562"/>
      <c r="R95" s="563">
        <f>SUM(R85:R94)</f>
        <v>0</v>
      </c>
      <c r="S95" s="564"/>
      <c r="T95" s="563">
        <f>SUM(T85:T94)</f>
        <v>0</v>
      </c>
      <c r="U95" s="518"/>
      <c r="V95" s="518"/>
      <c r="W95" s="518"/>
      <c r="X95" s="518"/>
      <c r="Y95" s="518"/>
      <c r="Z95" s="518"/>
      <c r="AA95" s="518"/>
      <c r="AB95" s="518"/>
      <c r="AC95" s="501"/>
      <c r="AD95" s="501"/>
      <c r="AE95" s="501"/>
      <c r="AF95" s="501"/>
      <c r="AG95" s="501"/>
      <c r="AH95" s="501"/>
      <c r="AI95" s="501"/>
      <c r="AJ95" s="501"/>
      <c r="AK95" s="501"/>
      <c r="AL95" s="501"/>
      <c r="AM95" s="501"/>
      <c r="AN95" s="501"/>
      <c r="AO95" s="501"/>
      <c r="AP95" s="501"/>
      <c r="AQ95" s="501"/>
      <c r="AR95" s="501"/>
      <c r="AS95" s="501"/>
      <c r="AT95" s="501"/>
      <c r="AU95" s="501"/>
      <c r="AV95" s="501"/>
      <c r="AW95" s="501"/>
      <c r="AX95" s="501"/>
      <c r="AY95" s="501"/>
      <c r="AZ95" s="501"/>
      <c r="BA95" s="501"/>
      <c r="BB95" s="501"/>
      <c r="BC95" s="501"/>
      <c r="BD95" s="501"/>
      <c r="BE95" s="501"/>
      <c r="BF95" s="501"/>
      <c r="BG95" s="501"/>
      <c r="BH95" s="501"/>
      <c r="BI95" s="501"/>
      <c r="BJ95" s="501"/>
      <c r="BK95" s="501"/>
      <c r="BL95" s="501"/>
      <c r="BM95" s="501"/>
      <c r="BN95" s="501"/>
      <c r="BO95" s="501"/>
      <c r="BP95" s="501"/>
      <c r="BQ95" s="501"/>
      <c r="BR95" s="501"/>
      <c r="BS95" s="501"/>
      <c r="BT95" s="501"/>
      <c r="BU95" s="501"/>
      <c r="BV95" s="501"/>
      <c r="BW95" s="501"/>
      <c r="BX95" s="501"/>
      <c r="BY95" s="501"/>
      <c r="BZ95" s="501"/>
      <c r="CA95" s="501"/>
      <c r="CB95" s="501"/>
      <c r="CC95" s="501"/>
      <c r="CD95" s="501"/>
      <c r="CE95" s="501"/>
      <c r="CF95" s="501"/>
      <c r="CG95" s="501"/>
      <c r="CH95" s="501"/>
      <c r="CI95" s="501"/>
      <c r="CJ95" s="501"/>
      <c r="CK95" s="501"/>
      <c r="CL95" s="501"/>
      <c r="CM95" s="501"/>
      <c r="CN95" s="501"/>
      <c r="CO95" s="501"/>
      <c r="CP95" s="501"/>
      <c r="CQ95" s="501"/>
      <c r="CR95" s="501"/>
      <c r="CS95" s="501"/>
      <c r="CT95" s="501"/>
      <c r="CU95" s="501"/>
      <c r="CV95" s="501"/>
      <c r="CW95" s="501"/>
      <c r="CX95" s="501"/>
      <c r="CY95" s="501"/>
      <c r="CZ95" s="501"/>
      <c r="DA95" s="501"/>
      <c r="DB95" s="501"/>
      <c r="DC95" s="501"/>
      <c r="DD95" s="501"/>
      <c r="DE95" s="501"/>
      <c r="DF95" s="501"/>
      <c r="DG95" s="501"/>
      <c r="DH95" s="501"/>
      <c r="DI95" s="501"/>
      <c r="DJ95" s="501"/>
      <c r="DK95" s="501"/>
      <c r="DL95" s="501"/>
      <c r="DM95" s="501"/>
      <c r="DN95" s="501"/>
      <c r="DO95" s="501"/>
      <c r="DP95" s="501"/>
      <c r="DQ95" s="501"/>
      <c r="DR95" s="501"/>
      <c r="DS95" s="501"/>
      <c r="DT95" s="501"/>
      <c r="DU95" s="501"/>
      <c r="DV95" s="501"/>
      <c r="DW95" s="501"/>
      <c r="DX95" s="501"/>
      <c r="DY95" s="501"/>
      <c r="DZ95" s="501"/>
      <c r="EA95" s="501"/>
      <c r="EB95" s="501"/>
      <c r="EC95" s="501"/>
      <c r="ED95" s="501"/>
      <c r="EE95" s="501"/>
      <c r="EF95" s="501"/>
      <c r="EG95" s="501"/>
      <c r="EH95" s="501"/>
      <c r="EI95" s="501"/>
      <c r="EJ95" s="501"/>
      <c r="EK95" s="501"/>
      <c r="EL95" s="501"/>
      <c r="EM95" s="501"/>
      <c r="EN95" s="501"/>
      <c r="EO95" s="501"/>
      <c r="EP95" s="501"/>
      <c r="EQ95" s="501"/>
      <c r="ER95" s="501"/>
      <c r="ES95" s="501"/>
      <c r="ET95" s="501"/>
      <c r="EU95" s="501"/>
      <c r="EV95" s="501"/>
      <c r="EW95" s="501"/>
      <c r="EX95" s="501"/>
      <c r="EY95" s="501"/>
      <c r="EZ95" s="501"/>
      <c r="FA95" s="501"/>
      <c r="FB95" s="501"/>
      <c r="FC95" s="501"/>
      <c r="FD95" s="501"/>
      <c r="FE95" s="501"/>
      <c r="FF95" s="501"/>
      <c r="FG95" s="501"/>
      <c r="FH95" s="501"/>
      <c r="FI95" s="501"/>
      <c r="FJ95" s="501"/>
      <c r="FK95" s="501"/>
      <c r="FL95" s="501"/>
      <c r="FM95" s="501"/>
      <c r="FN95" s="501"/>
      <c r="FO95" s="501"/>
      <c r="FP95" s="501"/>
      <c r="FQ95" s="501"/>
      <c r="FR95" s="501"/>
      <c r="FS95" s="501"/>
      <c r="FT95" s="501"/>
      <c r="FU95" s="501"/>
      <c r="FV95" s="501"/>
      <c r="FW95" s="501"/>
      <c r="FX95" s="501"/>
      <c r="FY95" s="501"/>
      <c r="FZ95" s="501"/>
      <c r="GA95" s="501"/>
      <c r="GB95" s="501"/>
      <c r="GC95" s="501"/>
      <c r="GD95" s="501"/>
      <c r="GE95" s="501"/>
      <c r="GF95" s="501"/>
      <c r="GG95" s="501"/>
      <c r="GH95" s="501"/>
      <c r="GI95" s="501"/>
      <c r="GJ95" s="501"/>
      <c r="GK95" s="501"/>
      <c r="GL95" s="501"/>
      <c r="GM95" s="501"/>
      <c r="GN95" s="501"/>
      <c r="GO95" s="501"/>
      <c r="GP95" s="501"/>
      <c r="GQ95" s="501"/>
      <c r="GR95" s="501"/>
      <c r="GS95" s="501"/>
      <c r="GT95" s="501"/>
      <c r="GU95" s="501"/>
      <c r="GV95" s="501"/>
      <c r="GW95" s="501"/>
      <c r="GX95" s="501"/>
      <c r="GY95" s="501"/>
      <c r="GZ95" s="501"/>
      <c r="HA95" s="501"/>
      <c r="HB95" s="501"/>
      <c r="HC95" s="501"/>
      <c r="HD95" s="501"/>
      <c r="HE95" s="501"/>
      <c r="HF95" s="501"/>
      <c r="HG95" s="501"/>
      <c r="HH95" s="501"/>
      <c r="HI95" s="501"/>
      <c r="HJ95" s="501"/>
      <c r="HK95" s="501"/>
      <c r="HL95" s="501"/>
      <c r="HM95" s="501"/>
      <c r="HN95" s="501"/>
      <c r="HO95" s="501"/>
      <c r="HP95" s="501"/>
      <c r="HQ95" s="501"/>
      <c r="HR95" s="501"/>
      <c r="HS95" s="501"/>
      <c r="HT95" s="501"/>
      <c r="HU95" s="501"/>
      <c r="HV95" s="501"/>
      <c r="HW95" s="501"/>
      <c r="HX95" s="501"/>
      <c r="HY95" s="501"/>
      <c r="HZ95" s="501"/>
      <c r="IA95" s="501"/>
      <c r="IB95" s="501"/>
      <c r="IC95" s="501"/>
      <c r="ID95" s="501"/>
      <c r="IE95" s="501"/>
      <c r="IF95" s="501"/>
      <c r="IG95" s="501"/>
      <c r="IH95" s="501"/>
      <c r="II95" s="501"/>
      <c r="IJ95" s="501"/>
      <c r="IK95" s="501"/>
      <c r="IL95" s="501"/>
      <c r="IM95" s="501"/>
      <c r="IN95" s="501"/>
      <c r="IO95" s="501"/>
      <c r="IP95" s="501"/>
      <c r="IQ95" s="501"/>
      <c r="IR95" s="501"/>
      <c r="IS95" s="501"/>
      <c r="IT95" s="501"/>
      <c r="IU95" s="501"/>
      <c r="IV95" s="501"/>
    </row>
    <row r="96" spans="1:256" s="501" customFormat="1" ht="12" thickTop="1">
      <c r="A96" s="44"/>
      <c r="B96" s="44"/>
      <c r="C96" s="44"/>
      <c r="D96" s="44"/>
      <c r="E96" s="44"/>
      <c r="F96" s="44"/>
      <c r="G96" s="44"/>
      <c r="H96" s="44"/>
      <c r="I96" s="44"/>
      <c r="J96" s="44"/>
      <c r="K96" s="44"/>
      <c r="L96" s="44"/>
      <c r="M96" s="44"/>
      <c r="N96" s="44"/>
      <c r="O96" s="45"/>
      <c r="P96" s="44"/>
      <c r="Q96" s="40" t="s">
        <v>163</v>
      </c>
      <c r="R96" s="44"/>
      <c r="S96" s="11"/>
      <c r="T96" s="44"/>
    </row>
    <row r="97" spans="1:28" s="501" customFormat="1" ht="12" customHeight="1" thickBot="1">
      <c r="A97" s="552">
        <v>1</v>
      </c>
      <c r="B97" s="553">
        <f ca="1">Elec_Est!B3223</f>
        <v>3</v>
      </c>
      <c r="C97" s="554"/>
      <c r="D97" s="555" t="s">
        <v>827</v>
      </c>
      <c r="E97" s="556"/>
      <c r="F97" s="556"/>
      <c r="G97" s="506"/>
      <c r="H97" s="506"/>
      <c r="I97" s="557"/>
      <c r="J97" s="506"/>
      <c r="K97" s="554" t="s">
        <v>164</v>
      </c>
      <c r="L97" s="558" t="s">
        <v>164</v>
      </c>
      <c r="M97" s="558"/>
      <c r="N97" s="558"/>
      <c r="O97" s="558"/>
      <c r="P97" s="558"/>
      <c r="Q97" s="559">
        <f ca="1">B97/A97</f>
        <v>3</v>
      </c>
      <c r="R97" s="565">
        <f ca="1">IF($B97=0,0,IF($S$1="R",ROUND(R105/$B97,2),R105/$B97))</f>
        <v>226.8</v>
      </c>
      <c r="S97" s="566"/>
      <c r="T97" s="565">
        <f ca="1">IF($B97=0,0,IF($S$1="R",ROUND(T105/$B97,2),T105/$B97))</f>
        <v>11.7</v>
      </c>
    </row>
    <row r="98" spans="1:28" s="501" customFormat="1" ht="13.8" thickTop="1">
      <c r="A98" s="505"/>
      <c r="B98" s="3"/>
      <c r="C98" s="3"/>
      <c r="D98" s="85" t="s">
        <v>686</v>
      </c>
      <c r="E98" s="3"/>
      <c r="F98" s="3"/>
      <c r="G98" s="3"/>
      <c r="H98" s="3"/>
      <c r="I98" s="3"/>
      <c r="J98" s="3"/>
      <c r="K98" s="3"/>
      <c r="L98" s="3"/>
      <c r="M98" s="3"/>
      <c r="N98" s="3"/>
      <c r="O98" s="86"/>
      <c r="P98" s="3"/>
      <c r="Q98" s="3"/>
      <c r="R98" s="3"/>
      <c r="S98" s="3"/>
      <c r="T98" s="3"/>
    </row>
    <row r="99" spans="1:28" s="893" customFormat="1">
      <c r="A99" s="926">
        <f ca="1">$Q$97 *(1)</f>
        <v>3</v>
      </c>
      <c r="B99" s="893" t="s">
        <v>296</v>
      </c>
      <c r="D99" s="893" t="s">
        <v>646</v>
      </c>
      <c r="G99" s="894" t="s">
        <v>647</v>
      </c>
      <c r="H99" s="895">
        <v>690</v>
      </c>
      <c r="I99" s="893" t="s">
        <v>648</v>
      </c>
      <c r="J99" s="893" t="s">
        <v>649</v>
      </c>
      <c r="O99" s="896">
        <v>1</v>
      </c>
      <c r="P99" s="897">
        <v>34669</v>
      </c>
      <c r="Q99" s="902">
        <v>1.86</v>
      </c>
      <c r="R99" s="899">
        <f t="shared" ref="R99:R104" ca="1" si="4">$A99*Q99</f>
        <v>5.58</v>
      </c>
      <c r="S99" s="898">
        <v>0.2</v>
      </c>
      <c r="T99" s="900">
        <f t="shared" ref="T99:T104" ca="1" si="5">$A99*S99*$T$1</f>
        <v>0.60000000000000009</v>
      </c>
    </row>
    <row r="100" spans="1:28" s="893" customFormat="1">
      <c r="A100" s="926">
        <f ca="1">$Q$97 *(2)</f>
        <v>6</v>
      </c>
      <c r="B100" s="893" t="s">
        <v>296</v>
      </c>
      <c r="D100" s="893" t="s">
        <v>650</v>
      </c>
      <c r="G100" s="894" t="s">
        <v>651</v>
      </c>
      <c r="H100" s="895">
        <v>690</v>
      </c>
      <c r="I100" s="893" t="s">
        <v>648</v>
      </c>
      <c r="J100" s="893" t="s">
        <v>649</v>
      </c>
      <c r="O100" s="896">
        <v>1</v>
      </c>
      <c r="P100" s="897">
        <v>34669</v>
      </c>
      <c r="Q100" s="902">
        <v>0.98</v>
      </c>
      <c r="R100" s="899">
        <f t="shared" ca="1" si="4"/>
        <v>5.88</v>
      </c>
      <c r="S100" s="898"/>
      <c r="T100" s="900">
        <f t="shared" ca="1" si="5"/>
        <v>0</v>
      </c>
    </row>
    <row r="101" spans="1:28" s="893" customFormat="1">
      <c r="A101" s="926">
        <f ca="1">$Q$97 *(3+30+9+6)</f>
        <v>144</v>
      </c>
      <c r="B101" s="893" t="s">
        <v>296</v>
      </c>
      <c r="D101" s="893" t="s">
        <v>652</v>
      </c>
      <c r="G101" s="894" t="s">
        <v>653</v>
      </c>
      <c r="H101" s="895">
        <v>690</v>
      </c>
      <c r="I101" s="893" t="s">
        <v>648</v>
      </c>
      <c r="J101" s="893" t="s">
        <v>649</v>
      </c>
      <c r="O101" s="896">
        <v>1</v>
      </c>
      <c r="P101" s="897">
        <v>34669</v>
      </c>
      <c r="Q101" s="902">
        <v>3.66</v>
      </c>
      <c r="R101" s="899">
        <f t="shared" ca="1" si="4"/>
        <v>527.04</v>
      </c>
      <c r="S101" s="898">
        <v>0.2</v>
      </c>
      <c r="T101" s="900">
        <f t="shared" ca="1" si="5"/>
        <v>28.8</v>
      </c>
    </row>
    <row r="102" spans="1:28" s="893" customFormat="1">
      <c r="A102" s="926">
        <f ca="1">$Q$97 *(55)</f>
        <v>165</v>
      </c>
      <c r="B102" s="893" t="s">
        <v>296</v>
      </c>
      <c r="D102" s="893" t="s">
        <v>732</v>
      </c>
      <c r="F102" s="893" t="s">
        <v>733</v>
      </c>
      <c r="G102" s="894" t="s">
        <v>728</v>
      </c>
      <c r="H102" s="895">
        <v>617</v>
      </c>
      <c r="I102" s="893" t="s">
        <v>729</v>
      </c>
      <c r="J102" s="893" t="s">
        <v>730</v>
      </c>
      <c r="O102" s="896">
        <v>2</v>
      </c>
      <c r="P102" s="897">
        <v>38433</v>
      </c>
      <c r="Q102" s="898">
        <v>0.86</v>
      </c>
      <c r="R102" s="899">
        <f t="shared" ca="1" si="4"/>
        <v>141.9</v>
      </c>
      <c r="S102" s="898">
        <v>0.03</v>
      </c>
      <c r="T102" s="900">
        <f t="shared" ca="1" si="5"/>
        <v>4.95</v>
      </c>
    </row>
    <row r="103" spans="1:28" s="893" customFormat="1">
      <c r="A103" s="904">
        <f ca="1">$Q$97 *(1)</f>
        <v>3</v>
      </c>
      <c r="B103" s="893" t="s">
        <v>141</v>
      </c>
      <c r="D103" s="893" t="s">
        <v>658</v>
      </c>
      <c r="F103" s="893" t="s">
        <v>734</v>
      </c>
      <c r="G103" s="894" t="s">
        <v>659</v>
      </c>
      <c r="H103" s="895">
        <v>900</v>
      </c>
      <c r="I103" s="893" t="s">
        <v>660</v>
      </c>
      <c r="O103" s="896">
        <v>1</v>
      </c>
      <c r="P103" s="897"/>
      <c r="Q103" s="898"/>
      <c r="R103" s="899">
        <f t="shared" ca="1" si="4"/>
        <v>0</v>
      </c>
      <c r="S103" s="898">
        <v>0.25</v>
      </c>
      <c r="T103" s="900">
        <f t="shared" ca="1" si="5"/>
        <v>0.75</v>
      </c>
    </row>
    <row r="104" spans="1:28" s="501" customFormat="1">
      <c r="A104" s="497"/>
      <c r="B104" s="3"/>
      <c r="C104" s="497" t="s">
        <v>165</v>
      </c>
      <c r="D104" s="3"/>
      <c r="E104" s="497"/>
      <c r="F104" s="498"/>
      <c r="G104" s="497"/>
      <c r="H104" s="497"/>
      <c r="I104" s="499"/>
      <c r="J104" s="497"/>
      <c r="K104" s="497"/>
      <c r="L104" s="497"/>
      <c r="M104" s="497"/>
      <c r="N104" s="497"/>
      <c r="O104" s="497"/>
      <c r="P104" s="497"/>
      <c r="Q104" s="499"/>
      <c r="R104" s="560">
        <f t="shared" si="4"/>
        <v>0</v>
      </c>
      <c r="S104" s="499"/>
      <c r="T104" s="500">
        <f t="shared" si="5"/>
        <v>0</v>
      </c>
    </row>
    <row r="105" spans="1:28" s="501" customFormat="1" ht="12.6" thickBot="1">
      <c r="A105" s="513" t="s">
        <v>145</v>
      </c>
      <c r="B105" s="514">
        <f>(R104+T104)</f>
        <v>0</v>
      </c>
      <c r="C105" s="515"/>
      <c r="D105" s="561" t="s">
        <v>166</v>
      </c>
      <c r="E105" s="449">
        <f ca="1">IF($B97=0,0,ROUND(ROUND(($R105*$S$2+($T105*$T$2))/$B97, 2)*$C$2,2))</f>
        <v>739.91</v>
      </c>
      <c r="F105" s="450">
        <f ca="1">ROUND($B97*$E105,2)</f>
        <v>2219.73</v>
      </c>
      <c r="G105" s="515"/>
      <c r="H105" s="515"/>
      <c r="I105" s="516"/>
      <c r="J105" s="515"/>
      <c r="K105" s="562" t="s">
        <v>143</v>
      </c>
      <c r="L105" s="517" t="s">
        <v>143</v>
      </c>
      <c r="M105" s="517"/>
      <c r="N105" s="517"/>
      <c r="O105" s="517"/>
      <c r="P105" s="517"/>
      <c r="Q105" s="562"/>
      <c r="R105" s="563">
        <f ca="1">SUM(R98:R104)</f>
        <v>680.4</v>
      </c>
      <c r="S105" s="564"/>
      <c r="T105" s="563">
        <f ca="1">SUM(T98:T104)</f>
        <v>35.1</v>
      </c>
      <c r="U105" s="518"/>
      <c r="V105" s="518"/>
      <c r="W105" s="518"/>
      <c r="X105" s="518"/>
      <c r="Y105" s="518"/>
      <c r="Z105" s="518"/>
      <c r="AA105" s="518"/>
      <c r="AB105" s="518"/>
    </row>
    <row r="106" spans="1:28" s="501" customFormat="1" ht="12" thickTop="1">
      <c r="A106" s="44"/>
      <c r="B106" s="44"/>
      <c r="C106" s="44"/>
      <c r="D106" s="44"/>
      <c r="E106" s="44"/>
      <c r="F106" s="44"/>
      <c r="G106" s="44"/>
      <c r="H106" s="44"/>
      <c r="I106" s="44"/>
      <c r="J106" s="44"/>
      <c r="K106" s="44"/>
      <c r="L106" s="44"/>
      <c r="M106" s="44"/>
      <c r="N106" s="44"/>
      <c r="O106" s="45"/>
      <c r="P106" s="44"/>
      <c r="Q106" s="40" t="s">
        <v>163</v>
      </c>
      <c r="R106" s="44"/>
      <c r="S106" s="11"/>
      <c r="T106" s="44"/>
    </row>
    <row r="107" spans="1:28" s="501" customFormat="1" ht="12" customHeight="1" thickBot="1">
      <c r="A107" s="552">
        <v>1</v>
      </c>
      <c r="B107" s="553">
        <f ca="1">Elec_Est!B3224</f>
        <v>0</v>
      </c>
      <c r="C107" s="554"/>
      <c r="D107" s="555" t="s">
        <v>828</v>
      </c>
      <c r="E107" s="556" t="s">
        <v>1089</v>
      </c>
      <c r="F107" s="556"/>
      <c r="G107" s="506"/>
      <c r="H107" s="506"/>
      <c r="I107" s="557"/>
      <c r="J107" s="506"/>
      <c r="K107" s="554" t="s">
        <v>164</v>
      </c>
      <c r="L107" s="558" t="s">
        <v>164</v>
      </c>
      <c r="M107" s="558"/>
      <c r="N107" s="558"/>
      <c r="O107" s="558"/>
      <c r="P107" s="558"/>
      <c r="Q107" s="559">
        <f ca="1">B107/A107</f>
        <v>0</v>
      </c>
      <c r="R107" s="565">
        <f ca="1">IF($B107=0,0,IF($S$1="R",ROUND(R115/$B107,2),R115/$B107))</f>
        <v>0</v>
      </c>
      <c r="S107" s="566"/>
      <c r="T107" s="565">
        <f ca="1">IF($B107=0,0,IF($S$1="R",ROUND(T115/$B107,2),T115/$B107))</f>
        <v>0</v>
      </c>
    </row>
    <row r="108" spans="1:28" s="501" customFormat="1" ht="13.8" thickTop="1">
      <c r="A108" s="505"/>
      <c r="B108" s="3"/>
      <c r="C108" s="3"/>
      <c r="D108" s="85" t="s">
        <v>686</v>
      </c>
      <c r="E108" s="3"/>
      <c r="F108" s="3"/>
      <c r="G108" s="3"/>
      <c r="H108" s="3"/>
      <c r="I108" s="3"/>
      <c r="J108" s="3"/>
      <c r="K108" s="3"/>
      <c r="L108" s="3"/>
      <c r="M108" s="3"/>
      <c r="N108" s="3"/>
      <c r="O108" s="86"/>
      <c r="P108" s="3"/>
      <c r="Q108" s="3"/>
      <c r="R108" s="3"/>
      <c r="S108" s="3"/>
      <c r="T108" s="3"/>
    </row>
    <row r="109" spans="1:28" s="893" customFormat="1">
      <c r="A109" s="926">
        <f ca="1">$Q$107 *(1)</f>
        <v>0</v>
      </c>
      <c r="B109" s="893" t="s">
        <v>296</v>
      </c>
      <c r="D109" s="893" t="s">
        <v>646</v>
      </c>
      <c r="G109" s="894" t="s">
        <v>647</v>
      </c>
      <c r="H109" s="895">
        <v>690</v>
      </c>
      <c r="I109" s="893" t="s">
        <v>648</v>
      </c>
      <c r="J109" s="893" t="s">
        <v>649</v>
      </c>
      <c r="O109" s="896">
        <v>1</v>
      </c>
      <c r="P109" s="897">
        <v>34669</v>
      </c>
      <c r="Q109" s="902">
        <v>1.86</v>
      </c>
      <c r="R109" s="899">
        <f t="shared" ref="R109:R114" ca="1" si="6">$A109*Q109</f>
        <v>0</v>
      </c>
      <c r="S109" s="898">
        <v>0.2</v>
      </c>
      <c r="T109" s="900">
        <f t="shared" ref="T109:T114" ca="1" si="7">$A109*S109*$T$1</f>
        <v>0</v>
      </c>
    </row>
    <row r="110" spans="1:28" s="893" customFormat="1">
      <c r="A110" s="926">
        <f ca="1">$Q$107 *(2)</f>
        <v>0</v>
      </c>
      <c r="B110" s="893" t="s">
        <v>296</v>
      </c>
      <c r="D110" s="893" t="s">
        <v>650</v>
      </c>
      <c r="G110" s="894" t="s">
        <v>651</v>
      </c>
      <c r="H110" s="895">
        <v>690</v>
      </c>
      <c r="I110" s="893" t="s">
        <v>648</v>
      </c>
      <c r="J110" s="893" t="s">
        <v>649</v>
      </c>
      <c r="O110" s="896">
        <v>1</v>
      </c>
      <c r="P110" s="897">
        <v>34669</v>
      </c>
      <c r="Q110" s="902">
        <v>0.98</v>
      </c>
      <c r="R110" s="899">
        <f t="shared" ca="1" si="6"/>
        <v>0</v>
      </c>
      <c r="S110" s="898"/>
      <c r="T110" s="900">
        <f t="shared" ca="1" si="7"/>
        <v>0</v>
      </c>
    </row>
    <row r="111" spans="1:28" s="893" customFormat="1">
      <c r="A111" s="926">
        <f ca="1">$Q$107 *(3+30+7+2)</f>
        <v>0</v>
      </c>
      <c r="B111" s="893" t="s">
        <v>296</v>
      </c>
      <c r="D111" s="893" t="s">
        <v>652</v>
      </c>
      <c r="G111" s="894" t="s">
        <v>653</v>
      </c>
      <c r="H111" s="895">
        <v>690</v>
      </c>
      <c r="I111" s="893" t="s">
        <v>648</v>
      </c>
      <c r="J111" s="893" t="s">
        <v>649</v>
      </c>
      <c r="O111" s="896">
        <v>1</v>
      </c>
      <c r="P111" s="897">
        <v>34669</v>
      </c>
      <c r="Q111" s="902">
        <v>3.66</v>
      </c>
      <c r="R111" s="899">
        <f t="shared" ca="1" si="6"/>
        <v>0</v>
      </c>
      <c r="S111" s="898">
        <v>0.2</v>
      </c>
      <c r="T111" s="900">
        <f t="shared" ca="1" si="7"/>
        <v>0</v>
      </c>
    </row>
    <row r="112" spans="1:28" s="893" customFormat="1">
      <c r="A112" s="926">
        <f ca="1">$Q$107 *(45*2)</f>
        <v>0</v>
      </c>
      <c r="B112" s="893" t="s">
        <v>296</v>
      </c>
      <c r="D112" s="893" t="s">
        <v>726</v>
      </c>
      <c r="F112" s="893" t="s">
        <v>727</v>
      </c>
      <c r="G112" s="894" t="s">
        <v>728</v>
      </c>
      <c r="H112" s="895">
        <v>617</v>
      </c>
      <c r="I112" s="893" t="s">
        <v>729</v>
      </c>
      <c r="J112" s="893" t="s">
        <v>730</v>
      </c>
      <c r="O112" s="896">
        <v>2</v>
      </c>
      <c r="P112" s="897">
        <v>38433</v>
      </c>
      <c r="Q112" s="898">
        <v>1.4524999999999999</v>
      </c>
      <c r="R112" s="899">
        <f t="shared" ca="1" si="6"/>
        <v>0</v>
      </c>
      <c r="S112" s="898">
        <v>0.03</v>
      </c>
      <c r="T112" s="900">
        <f t="shared" ca="1" si="7"/>
        <v>0</v>
      </c>
    </row>
    <row r="113" spans="1:256" s="893" customFormat="1">
      <c r="A113" s="904">
        <f ca="1">$Q$107 *(1)</f>
        <v>0</v>
      </c>
      <c r="B113" s="893" t="s">
        <v>141</v>
      </c>
      <c r="D113" s="893" t="s">
        <v>658</v>
      </c>
      <c r="F113" s="893" t="s">
        <v>305</v>
      </c>
      <c r="G113" s="894" t="s">
        <v>659</v>
      </c>
      <c r="H113" s="895">
        <v>900</v>
      </c>
      <c r="I113" s="893" t="s">
        <v>660</v>
      </c>
      <c r="O113" s="896">
        <v>1</v>
      </c>
      <c r="P113" s="897"/>
      <c r="Q113" s="898"/>
      <c r="R113" s="899">
        <f t="shared" ca="1" si="6"/>
        <v>0</v>
      </c>
      <c r="S113" s="898">
        <v>0.25</v>
      </c>
      <c r="T113" s="900">
        <f t="shared" ca="1" si="7"/>
        <v>0</v>
      </c>
    </row>
    <row r="114" spans="1:256" s="501" customFormat="1">
      <c r="A114" s="497"/>
      <c r="B114" s="3"/>
      <c r="C114" s="497" t="s">
        <v>165</v>
      </c>
      <c r="D114" s="3"/>
      <c r="E114" s="497"/>
      <c r="F114" s="498"/>
      <c r="G114" s="497"/>
      <c r="H114" s="497"/>
      <c r="I114" s="499"/>
      <c r="J114" s="497"/>
      <c r="K114" s="497"/>
      <c r="L114" s="497"/>
      <c r="M114" s="497"/>
      <c r="N114" s="497"/>
      <c r="O114" s="497"/>
      <c r="P114" s="497"/>
      <c r="Q114" s="499"/>
      <c r="R114" s="560">
        <f t="shared" si="6"/>
        <v>0</v>
      </c>
      <c r="S114" s="499"/>
      <c r="T114" s="500">
        <f t="shared" si="7"/>
        <v>0</v>
      </c>
    </row>
    <row r="115" spans="1:256" s="501" customFormat="1" ht="12.6" thickBot="1">
      <c r="A115" s="513" t="s">
        <v>145</v>
      </c>
      <c r="B115" s="514">
        <f>(R114+T114)</f>
        <v>0</v>
      </c>
      <c r="C115" s="515"/>
      <c r="D115" s="561" t="s">
        <v>166</v>
      </c>
      <c r="E115" s="449">
        <f ca="1">IF($B107=0,0,ROUND(ROUND(($R115*$S$2+($T115*$T$2))/$B107, 2)*$C$2,2))</f>
        <v>0</v>
      </c>
      <c r="F115" s="450">
        <f ca="1">ROUND($B107*$E115,2)</f>
        <v>0</v>
      </c>
      <c r="G115" s="515"/>
      <c r="H115" s="515"/>
      <c r="I115" s="516"/>
      <c r="J115" s="515"/>
      <c r="K115" s="562" t="s">
        <v>143</v>
      </c>
      <c r="L115" s="517" t="s">
        <v>143</v>
      </c>
      <c r="M115" s="517"/>
      <c r="N115" s="517"/>
      <c r="O115" s="517"/>
      <c r="P115" s="517"/>
      <c r="Q115" s="562"/>
      <c r="R115" s="563">
        <f ca="1">SUM(R108:R114)</f>
        <v>0</v>
      </c>
      <c r="S115" s="564"/>
      <c r="T115" s="563">
        <f ca="1">SUM(T108:T114)</f>
        <v>0</v>
      </c>
      <c r="U115" s="518"/>
      <c r="V115" s="518"/>
      <c r="W115" s="518"/>
      <c r="X115" s="518"/>
      <c r="Y115" s="518"/>
      <c r="Z115" s="518"/>
      <c r="AA115" s="518"/>
      <c r="AB115" s="518"/>
    </row>
    <row r="116" spans="1:256" s="501" customFormat="1" ht="12" thickTop="1">
      <c r="A116" s="44"/>
      <c r="B116" s="44"/>
      <c r="C116" s="44"/>
      <c r="D116" s="44"/>
      <c r="E116" s="44"/>
      <c r="F116" s="44"/>
      <c r="G116" s="44"/>
      <c r="H116" s="44"/>
      <c r="I116" s="44"/>
      <c r="J116" s="44"/>
      <c r="K116" s="44"/>
      <c r="L116" s="44"/>
      <c r="M116" s="44"/>
      <c r="N116" s="44"/>
      <c r="O116" s="45"/>
      <c r="P116" s="44"/>
      <c r="Q116" s="40" t="s">
        <v>163</v>
      </c>
      <c r="R116" s="44"/>
      <c r="S116" s="11"/>
      <c r="T116" s="44"/>
    </row>
    <row r="117" spans="1:256" s="501" customFormat="1" ht="12.6" thickBot="1">
      <c r="A117" s="552">
        <v>1</v>
      </c>
      <c r="B117" s="553">
        <f ca="1">Elec_Est!B3225</f>
        <v>3</v>
      </c>
      <c r="C117" s="554"/>
      <c r="D117" s="555" t="s">
        <v>839</v>
      </c>
      <c r="E117" s="556"/>
      <c r="F117" s="556"/>
      <c r="G117" s="506"/>
      <c r="H117" s="506"/>
      <c r="I117" s="557"/>
      <c r="J117" s="506"/>
      <c r="K117" s="554" t="s">
        <v>164</v>
      </c>
      <c r="L117" s="558" t="s">
        <v>164</v>
      </c>
      <c r="M117" s="558"/>
      <c r="N117" s="558"/>
      <c r="O117" s="558"/>
      <c r="P117" s="558"/>
      <c r="Q117" s="559">
        <f ca="1">B117/A117</f>
        <v>3</v>
      </c>
      <c r="R117" s="948">
        <f ca="1">IF($B117=0,0,IF($S$1="R",ROUND(R141/$B117,2),R141/$B117))</f>
        <v>62.41</v>
      </c>
      <c r="S117" s="949"/>
      <c r="T117" s="948">
        <f ca="1">IF($B117=0,0,IF($S$1="R",ROUND(T141/$B117,2),T141/$B117))</f>
        <v>3.06</v>
      </c>
    </row>
    <row r="118" spans="1:256" s="501" customFormat="1" ht="13.8" thickTop="1">
      <c r="A118" s="505"/>
      <c r="B118" s="3"/>
      <c r="C118" s="3"/>
      <c r="D118" s="85" t="s">
        <v>773</v>
      </c>
      <c r="E118" s="3"/>
      <c r="F118" s="3"/>
      <c r="G118" s="3"/>
      <c r="H118" s="3"/>
      <c r="I118" s="3"/>
      <c r="J118" s="3"/>
      <c r="K118" s="3"/>
      <c r="L118" s="3"/>
      <c r="M118" s="3"/>
      <c r="N118" s="3"/>
      <c r="O118" s="86"/>
      <c r="P118" s="3"/>
      <c r="Q118" s="3"/>
      <c r="R118" s="3"/>
      <c r="S118" s="3"/>
      <c r="T118" s="3"/>
    </row>
    <row r="119" spans="1:256" s="893" customFormat="1">
      <c r="A119" s="904">
        <f ca="1">$Q$117 *(3)</f>
        <v>9</v>
      </c>
      <c r="B119" s="920" t="s">
        <v>296</v>
      </c>
      <c r="C119" s="911">
        <f>$Q$433 *(425)</f>
        <v>0</v>
      </c>
      <c r="D119" s="920" t="s">
        <v>774</v>
      </c>
      <c r="E119" s="920" t="s">
        <v>689</v>
      </c>
      <c r="F119" s="901" t="s">
        <v>775</v>
      </c>
      <c r="G119" s="950" t="s">
        <v>776</v>
      </c>
      <c r="H119" s="951">
        <v>650</v>
      </c>
      <c r="I119" s="920"/>
      <c r="J119" s="920"/>
      <c r="K119" s="920"/>
      <c r="L119" s="920"/>
      <c r="M119" s="920"/>
      <c r="N119" s="921"/>
      <c r="O119" s="921">
        <v>1</v>
      </c>
      <c r="P119" s="922">
        <v>36897</v>
      </c>
      <c r="Q119" s="898">
        <v>3.36</v>
      </c>
      <c r="R119" s="909">
        <f t="shared" ref="R119:R133" ca="1" si="8">$A119*Q119</f>
        <v>30.24</v>
      </c>
      <c r="S119" s="914">
        <v>0.2</v>
      </c>
      <c r="T119" s="910">
        <f t="shared" ref="T119:T133" ca="1" si="9">$A119*S119*$T$1</f>
        <v>1.8</v>
      </c>
      <c r="U119" s="501"/>
      <c r="V119" s="501"/>
      <c r="W119" s="501"/>
      <c r="X119" s="920"/>
      <c r="Y119" s="920"/>
      <c r="Z119" s="920"/>
      <c r="AA119" s="920"/>
      <c r="AB119" s="920"/>
      <c r="AC119" s="920"/>
      <c r="AD119" s="920"/>
      <c r="AE119" s="920"/>
      <c r="AF119" s="920"/>
      <c r="AG119" s="920"/>
      <c r="AH119" s="920"/>
      <c r="AI119" s="920"/>
      <c r="AJ119" s="920"/>
      <c r="AK119" s="920"/>
      <c r="AL119" s="920"/>
      <c r="AM119" s="920"/>
      <c r="AN119" s="920"/>
      <c r="AO119" s="920"/>
      <c r="AP119" s="920"/>
      <c r="AQ119" s="920"/>
      <c r="AR119" s="920"/>
      <c r="AS119" s="920"/>
      <c r="AT119" s="920"/>
      <c r="AU119" s="920"/>
      <c r="AV119" s="920"/>
      <c r="AW119" s="920"/>
      <c r="AX119" s="920"/>
      <c r="AY119" s="920"/>
      <c r="AZ119" s="920"/>
      <c r="BA119" s="920"/>
      <c r="BB119" s="920"/>
      <c r="BC119" s="920"/>
      <c r="BD119" s="920"/>
      <c r="BE119" s="920"/>
      <c r="BF119" s="920"/>
      <c r="BG119" s="920"/>
      <c r="BH119" s="920"/>
      <c r="BI119" s="920"/>
      <c r="BJ119" s="920"/>
      <c r="BK119" s="920"/>
      <c r="BL119" s="920"/>
      <c r="BM119" s="920"/>
      <c r="BN119" s="920"/>
      <c r="BO119" s="920"/>
      <c r="BP119" s="920"/>
      <c r="BQ119" s="920"/>
      <c r="BR119" s="920"/>
      <c r="BS119" s="920"/>
      <c r="BT119" s="920"/>
      <c r="BU119" s="920"/>
      <c r="BV119" s="920"/>
      <c r="BW119" s="920"/>
      <c r="BX119" s="920"/>
      <c r="BY119" s="920"/>
      <c r="BZ119" s="920"/>
      <c r="CA119" s="920"/>
      <c r="CB119" s="920"/>
      <c r="CC119" s="920"/>
      <c r="CD119" s="920"/>
      <c r="CE119" s="920"/>
      <c r="CF119" s="920"/>
      <c r="CG119" s="920"/>
      <c r="CH119" s="920"/>
      <c r="CI119" s="920"/>
      <c r="CJ119" s="920"/>
      <c r="CK119" s="920"/>
      <c r="CL119" s="920"/>
      <c r="CM119" s="920"/>
      <c r="CN119" s="920"/>
      <c r="CO119" s="920"/>
      <c r="CP119" s="920"/>
      <c r="CQ119" s="920"/>
      <c r="CR119" s="920"/>
      <c r="CS119" s="920"/>
      <c r="CT119" s="920"/>
      <c r="CU119" s="920"/>
      <c r="CV119" s="920"/>
      <c r="CW119" s="920"/>
      <c r="CX119" s="920"/>
      <c r="CY119" s="920"/>
      <c r="CZ119" s="920"/>
      <c r="DA119" s="920"/>
      <c r="DB119" s="920"/>
      <c r="DC119" s="920"/>
      <c r="DD119" s="920"/>
      <c r="DE119" s="920"/>
      <c r="DF119" s="920"/>
      <c r="DG119" s="920"/>
      <c r="DH119" s="920"/>
      <c r="DI119" s="920"/>
      <c r="DJ119" s="920"/>
      <c r="DK119" s="920"/>
      <c r="DL119" s="920"/>
      <c r="DM119" s="920"/>
      <c r="DN119" s="920"/>
      <c r="DO119" s="920"/>
      <c r="DP119" s="920"/>
      <c r="DQ119" s="920"/>
      <c r="DR119" s="920"/>
      <c r="DS119" s="920"/>
      <c r="DT119" s="920"/>
      <c r="DU119" s="920"/>
      <c r="DV119" s="920"/>
      <c r="DW119" s="920"/>
      <c r="DX119" s="920"/>
      <c r="DY119" s="920"/>
      <c r="DZ119" s="920"/>
      <c r="EA119" s="920"/>
      <c r="EB119" s="920"/>
      <c r="EC119" s="920"/>
      <c r="ED119" s="920"/>
      <c r="EE119" s="920"/>
      <c r="EF119" s="920"/>
      <c r="EG119" s="920"/>
      <c r="EH119" s="920"/>
      <c r="EI119" s="920"/>
      <c r="EJ119" s="920"/>
      <c r="EK119" s="920"/>
      <c r="EL119" s="920"/>
      <c r="EM119" s="920"/>
      <c r="EN119" s="920"/>
      <c r="EO119" s="920"/>
      <c r="EP119" s="920"/>
      <c r="EQ119" s="920"/>
      <c r="ER119" s="920"/>
      <c r="ES119" s="920"/>
      <c r="ET119" s="920"/>
      <c r="EU119" s="920"/>
      <c r="EV119" s="920"/>
      <c r="EW119" s="920"/>
      <c r="EX119" s="920"/>
      <c r="EY119" s="920"/>
      <c r="EZ119" s="920"/>
      <c r="FA119" s="920"/>
      <c r="FB119" s="920"/>
      <c r="FC119" s="920"/>
      <c r="FD119" s="920"/>
      <c r="FE119" s="920"/>
      <c r="FF119" s="920"/>
      <c r="FG119" s="920"/>
      <c r="FH119" s="920"/>
      <c r="FI119" s="920"/>
      <c r="FJ119" s="920"/>
      <c r="FK119" s="920"/>
      <c r="FL119" s="920"/>
      <c r="FM119" s="920"/>
      <c r="FN119" s="920"/>
      <c r="FO119" s="920"/>
      <c r="FP119" s="920"/>
      <c r="FQ119" s="920"/>
      <c r="FR119" s="920"/>
      <c r="FS119" s="920"/>
      <c r="FT119" s="920"/>
      <c r="FU119" s="920"/>
      <c r="FV119" s="920"/>
      <c r="FW119" s="920"/>
      <c r="FX119" s="920"/>
      <c r="FY119" s="920"/>
      <c r="FZ119" s="920"/>
      <c r="GA119" s="920"/>
      <c r="GB119" s="920"/>
      <c r="GC119" s="920"/>
      <c r="GD119" s="920"/>
      <c r="GE119" s="920"/>
      <c r="GF119" s="920"/>
      <c r="GG119" s="920"/>
      <c r="GH119" s="920"/>
      <c r="GI119" s="920"/>
      <c r="GJ119" s="920"/>
      <c r="GK119" s="920"/>
      <c r="GL119" s="920"/>
      <c r="GM119" s="920"/>
      <c r="GN119" s="920"/>
      <c r="GO119" s="920"/>
      <c r="GP119" s="920"/>
      <c r="GQ119" s="920"/>
      <c r="GR119" s="920"/>
      <c r="GS119" s="920"/>
      <c r="GT119" s="920"/>
      <c r="GU119" s="920"/>
      <c r="GV119" s="920"/>
      <c r="GW119" s="920"/>
      <c r="GX119" s="920"/>
      <c r="GY119" s="920"/>
      <c r="GZ119" s="920"/>
      <c r="HA119" s="920"/>
      <c r="HB119" s="920"/>
      <c r="HC119" s="920"/>
      <c r="HD119" s="920"/>
      <c r="HE119" s="920"/>
      <c r="HF119" s="920"/>
      <c r="HG119" s="920"/>
      <c r="HH119" s="920"/>
      <c r="HI119" s="920"/>
      <c r="HJ119" s="920"/>
      <c r="HK119" s="920"/>
      <c r="HL119" s="920"/>
      <c r="HM119" s="920"/>
      <c r="HN119" s="920"/>
      <c r="HO119" s="920"/>
      <c r="HP119" s="920"/>
      <c r="HQ119" s="920"/>
      <c r="HR119" s="920"/>
      <c r="HS119" s="920"/>
      <c r="HT119" s="920"/>
      <c r="HU119" s="920"/>
      <c r="HV119" s="920"/>
      <c r="HW119" s="920"/>
      <c r="HX119" s="920"/>
      <c r="HY119" s="920"/>
      <c r="HZ119" s="920"/>
      <c r="IA119" s="920"/>
      <c r="IB119" s="920"/>
      <c r="IC119" s="920"/>
      <c r="ID119" s="920"/>
      <c r="IE119" s="920"/>
      <c r="IF119" s="920"/>
      <c r="IG119" s="920"/>
      <c r="IH119" s="920"/>
      <c r="II119" s="920"/>
      <c r="IJ119" s="920"/>
      <c r="IK119" s="920"/>
      <c r="IL119" s="920"/>
      <c r="IM119" s="920"/>
      <c r="IN119" s="920"/>
      <c r="IO119" s="920"/>
      <c r="IP119" s="920"/>
      <c r="IQ119" s="920"/>
      <c r="IR119" s="920"/>
      <c r="IS119" s="920"/>
      <c r="IT119" s="920"/>
      <c r="IU119" s="920"/>
      <c r="IV119" s="920"/>
    </row>
    <row r="120" spans="1:256" s="501" customFormat="1">
      <c r="A120" s="904">
        <f ca="1">$Q$117 *(2)</f>
        <v>6</v>
      </c>
      <c r="B120" s="920" t="s">
        <v>296</v>
      </c>
      <c r="C120" s="911">
        <f>$Q$433 *(ROUNDUP(425/3,0))</f>
        <v>0</v>
      </c>
      <c r="D120" s="920" t="s">
        <v>691</v>
      </c>
      <c r="E120" s="920"/>
      <c r="F120" s="901"/>
      <c r="G120" s="950" t="s">
        <v>692</v>
      </c>
      <c r="H120" s="951">
        <v>650</v>
      </c>
      <c r="I120" s="920"/>
      <c r="J120" s="920"/>
      <c r="K120" s="920"/>
      <c r="L120" s="920"/>
      <c r="M120" s="920"/>
      <c r="N120" s="921"/>
      <c r="O120" s="921">
        <v>1</v>
      </c>
      <c r="P120" s="922">
        <v>35705</v>
      </c>
      <c r="Q120" s="898">
        <f>ROUNDUP(0.2*2*1.225,2)</f>
        <v>0.49</v>
      </c>
      <c r="R120" s="909">
        <f t="shared" ca="1" si="8"/>
        <v>2.94</v>
      </c>
      <c r="S120" s="914"/>
      <c r="T120" s="910">
        <f t="shared" ca="1" si="9"/>
        <v>0</v>
      </c>
      <c r="X120" s="920"/>
      <c r="Y120" s="920"/>
      <c r="Z120" s="920"/>
      <c r="AA120" s="920"/>
      <c r="AB120" s="920"/>
      <c r="AC120" s="920"/>
      <c r="AD120" s="920"/>
      <c r="AE120" s="920"/>
      <c r="AF120" s="920"/>
      <c r="AG120" s="920"/>
      <c r="AH120" s="920"/>
      <c r="AI120" s="920"/>
      <c r="AJ120" s="920"/>
      <c r="AK120" s="920"/>
      <c r="AL120" s="920"/>
      <c r="AM120" s="920"/>
      <c r="AN120" s="920"/>
      <c r="AO120" s="920"/>
      <c r="AP120" s="920"/>
      <c r="AQ120" s="920"/>
      <c r="AR120" s="920"/>
      <c r="AS120" s="920"/>
      <c r="AT120" s="920"/>
      <c r="AU120" s="920"/>
      <c r="AV120" s="920"/>
      <c r="AW120" s="920"/>
      <c r="AX120" s="920"/>
      <c r="AY120" s="920"/>
      <c r="AZ120" s="920"/>
      <c r="BA120" s="920"/>
      <c r="BB120" s="920"/>
      <c r="BC120" s="920"/>
      <c r="BD120" s="920"/>
      <c r="BE120" s="920"/>
      <c r="BF120" s="920"/>
      <c r="BG120" s="920"/>
      <c r="BH120" s="920"/>
      <c r="BI120" s="920"/>
      <c r="BJ120" s="920"/>
      <c r="BK120" s="920"/>
      <c r="BL120" s="920"/>
      <c r="BM120" s="920"/>
      <c r="BN120" s="920"/>
      <c r="BO120" s="920"/>
      <c r="BP120" s="920"/>
      <c r="BQ120" s="920"/>
      <c r="BR120" s="920"/>
      <c r="BS120" s="920"/>
      <c r="BT120" s="920"/>
      <c r="BU120" s="920"/>
      <c r="BV120" s="920"/>
      <c r="BW120" s="920"/>
      <c r="BX120" s="920"/>
      <c r="BY120" s="920"/>
      <c r="BZ120" s="920"/>
      <c r="CA120" s="920"/>
      <c r="CB120" s="920"/>
      <c r="CC120" s="920"/>
      <c r="CD120" s="920"/>
      <c r="CE120" s="920"/>
      <c r="CF120" s="920"/>
      <c r="CG120" s="920"/>
      <c r="CH120" s="920"/>
      <c r="CI120" s="920"/>
      <c r="CJ120" s="920"/>
      <c r="CK120" s="920"/>
      <c r="CL120" s="920"/>
      <c r="CM120" s="920"/>
      <c r="CN120" s="920"/>
      <c r="CO120" s="920"/>
      <c r="CP120" s="920"/>
      <c r="CQ120" s="920"/>
      <c r="CR120" s="920"/>
      <c r="CS120" s="920"/>
      <c r="CT120" s="920"/>
      <c r="CU120" s="920"/>
      <c r="CV120" s="920"/>
      <c r="CW120" s="920"/>
      <c r="CX120" s="920"/>
      <c r="CY120" s="920"/>
      <c r="CZ120" s="920"/>
      <c r="DA120" s="920"/>
      <c r="DB120" s="920"/>
      <c r="DC120" s="920"/>
      <c r="DD120" s="920"/>
      <c r="DE120" s="920"/>
      <c r="DF120" s="920"/>
      <c r="DG120" s="920"/>
      <c r="DH120" s="920"/>
      <c r="DI120" s="920"/>
      <c r="DJ120" s="920"/>
      <c r="DK120" s="920"/>
      <c r="DL120" s="920"/>
      <c r="DM120" s="920"/>
      <c r="DN120" s="920"/>
      <c r="DO120" s="920"/>
      <c r="DP120" s="920"/>
      <c r="DQ120" s="920"/>
      <c r="DR120" s="920"/>
      <c r="DS120" s="920"/>
      <c r="DT120" s="920"/>
      <c r="DU120" s="920"/>
      <c r="DV120" s="920"/>
      <c r="DW120" s="920"/>
      <c r="DX120" s="920"/>
      <c r="DY120" s="920"/>
      <c r="DZ120" s="920"/>
      <c r="EA120" s="920"/>
      <c r="EB120" s="920"/>
      <c r="EC120" s="920"/>
      <c r="ED120" s="920"/>
      <c r="EE120" s="920"/>
      <c r="EF120" s="920"/>
      <c r="EG120" s="920"/>
      <c r="EH120" s="920"/>
      <c r="EI120" s="920"/>
      <c r="EJ120" s="920"/>
      <c r="EK120" s="920"/>
      <c r="EL120" s="920"/>
      <c r="EM120" s="920"/>
      <c r="EN120" s="920"/>
      <c r="EO120" s="920"/>
      <c r="EP120" s="920"/>
      <c r="EQ120" s="920"/>
      <c r="ER120" s="920"/>
      <c r="ES120" s="920"/>
      <c r="ET120" s="920"/>
      <c r="EU120" s="920"/>
      <c r="EV120" s="920"/>
      <c r="EW120" s="920"/>
      <c r="EX120" s="920"/>
      <c r="EY120" s="920"/>
      <c r="EZ120" s="920"/>
      <c r="FA120" s="920"/>
      <c r="FB120" s="920"/>
      <c r="FC120" s="920"/>
      <c r="FD120" s="920"/>
      <c r="FE120" s="920"/>
      <c r="FF120" s="920"/>
      <c r="FG120" s="920"/>
      <c r="FH120" s="920"/>
      <c r="FI120" s="920"/>
      <c r="FJ120" s="920"/>
      <c r="FK120" s="920"/>
      <c r="FL120" s="920"/>
      <c r="FM120" s="920"/>
      <c r="FN120" s="920"/>
      <c r="FO120" s="920"/>
      <c r="FP120" s="920"/>
      <c r="FQ120" s="920"/>
      <c r="FR120" s="920"/>
      <c r="FS120" s="920"/>
      <c r="FT120" s="920"/>
      <c r="FU120" s="920"/>
      <c r="FV120" s="920"/>
      <c r="FW120" s="920"/>
      <c r="FX120" s="920"/>
      <c r="FY120" s="920"/>
      <c r="FZ120" s="920"/>
      <c r="GA120" s="920"/>
      <c r="GB120" s="920"/>
      <c r="GC120" s="920"/>
      <c r="GD120" s="920"/>
      <c r="GE120" s="920"/>
      <c r="GF120" s="920"/>
      <c r="GG120" s="920"/>
      <c r="GH120" s="920"/>
      <c r="GI120" s="920"/>
      <c r="GJ120" s="920"/>
      <c r="GK120" s="920"/>
      <c r="GL120" s="920"/>
      <c r="GM120" s="920"/>
      <c r="GN120" s="920"/>
      <c r="GO120" s="920"/>
      <c r="GP120" s="920"/>
      <c r="GQ120" s="920"/>
      <c r="GR120" s="920"/>
      <c r="GS120" s="920"/>
      <c r="GT120" s="920"/>
      <c r="GU120" s="920"/>
      <c r="GV120" s="920"/>
      <c r="GW120" s="920"/>
      <c r="GX120" s="920"/>
      <c r="GY120" s="920"/>
      <c r="GZ120" s="920"/>
      <c r="HA120" s="920"/>
      <c r="HB120" s="920"/>
      <c r="HC120" s="920"/>
      <c r="HD120" s="920"/>
      <c r="HE120" s="920"/>
      <c r="HF120" s="920"/>
      <c r="HG120" s="920"/>
      <c r="HH120" s="920"/>
      <c r="HI120" s="920"/>
      <c r="HJ120" s="920"/>
      <c r="HK120" s="920"/>
      <c r="HL120" s="920"/>
      <c r="HM120" s="920"/>
      <c r="HN120" s="920"/>
      <c r="HO120" s="920"/>
      <c r="HP120" s="920"/>
      <c r="HQ120" s="920"/>
      <c r="HR120" s="920"/>
      <c r="HS120" s="920"/>
      <c r="HT120" s="920"/>
      <c r="HU120" s="920"/>
      <c r="HV120" s="920"/>
      <c r="HW120" s="920"/>
      <c r="HX120" s="920"/>
      <c r="HY120" s="920"/>
      <c r="HZ120" s="920"/>
      <c r="IA120" s="920"/>
      <c r="IB120" s="920"/>
      <c r="IC120" s="920"/>
      <c r="ID120" s="920"/>
      <c r="IE120" s="920"/>
      <c r="IF120" s="920"/>
      <c r="IG120" s="920"/>
      <c r="IH120" s="920"/>
      <c r="II120" s="920"/>
      <c r="IJ120" s="920"/>
      <c r="IK120" s="920"/>
      <c r="IL120" s="920"/>
      <c r="IM120" s="920"/>
      <c r="IN120" s="920"/>
      <c r="IO120" s="920"/>
      <c r="IP120" s="920"/>
      <c r="IQ120" s="920"/>
      <c r="IR120" s="920"/>
      <c r="IS120" s="920"/>
      <c r="IT120" s="920"/>
      <c r="IU120" s="920"/>
      <c r="IV120" s="920"/>
    </row>
    <row r="121" spans="1:256" s="501" customFormat="1">
      <c r="A121" s="904">
        <f ca="1">$Q$117 *(10)</f>
        <v>30</v>
      </c>
      <c r="B121" s="920" t="s">
        <v>141</v>
      </c>
      <c r="C121" s="911">
        <f>$Q$433 *(ROUNDUP(425/3*8,0))</f>
        <v>0</v>
      </c>
      <c r="D121" s="920" t="s">
        <v>693</v>
      </c>
      <c r="E121" s="920"/>
      <c r="F121" s="901"/>
      <c r="G121" s="950" t="s">
        <v>694</v>
      </c>
      <c r="H121" s="951">
        <v>875</v>
      </c>
      <c r="I121" s="920"/>
      <c r="J121" s="920"/>
      <c r="K121" s="920"/>
      <c r="L121" s="920"/>
      <c r="M121" s="920"/>
      <c r="N121" s="921"/>
      <c r="O121" s="921">
        <v>1</v>
      </c>
      <c r="P121" s="922">
        <v>34669</v>
      </c>
      <c r="Q121" s="898">
        <f>1.225 *(0.07)</f>
        <v>8.5750000000000021E-2</v>
      </c>
      <c r="R121" s="909">
        <f t="shared" ca="1" si="8"/>
        <v>2.5725000000000007</v>
      </c>
      <c r="S121" s="914"/>
      <c r="T121" s="910">
        <f t="shared" ca="1" si="9"/>
        <v>0</v>
      </c>
      <c r="X121" s="920"/>
      <c r="Y121" s="920"/>
      <c r="Z121" s="920"/>
      <c r="AA121" s="920"/>
      <c r="AB121" s="920"/>
      <c r="AC121" s="920"/>
      <c r="AD121" s="920"/>
      <c r="AE121" s="920"/>
      <c r="AF121" s="920"/>
      <c r="AG121" s="920"/>
      <c r="AH121" s="920"/>
      <c r="AI121" s="920"/>
      <c r="AJ121" s="920"/>
      <c r="AK121" s="920"/>
      <c r="AL121" s="920"/>
      <c r="AM121" s="920"/>
      <c r="AN121" s="920"/>
      <c r="AO121" s="920"/>
      <c r="AP121" s="920"/>
      <c r="AQ121" s="920"/>
      <c r="AR121" s="920"/>
      <c r="AS121" s="920"/>
      <c r="AT121" s="920"/>
      <c r="AU121" s="920"/>
      <c r="AV121" s="920"/>
      <c r="AW121" s="920"/>
      <c r="AX121" s="920"/>
      <c r="AY121" s="920"/>
      <c r="AZ121" s="920"/>
      <c r="BA121" s="920"/>
      <c r="BB121" s="920"/>
      <c r="BC121" s="920"/>
      <c r="BD121" s="920"/>
      <c r="BE121" s="920"/>
      <c r="BF121" s="920"/>
      <c r="BG121" s="920"/>
      <c r="BH121" s="920"/>
      <c r="BI121" s="920"/>
      <c r="BJ121" s="920"/>
      <c r="BK121" s="920"/>
      <c r="BL121" s="920"/>
      <c r="BM121" s="920"/>
      <c r="BN121" s="920"/>
      <c r="BO121" s="920"/>
      <c r="BP121" s="920"/>
      <c r="BQ121" s="920"/>
      <c r="BR121" s="920"/>
      <c r="BS121" s="920"/>
      <c r="BT121" s="920"/>
      <c r="BU121" s="920"/>
      <c r="BV121" s="920"/>
      <c r="BW121" s="920"/>
      <c r="BX121" s="920"/>
      <c r="BY121" s="920"/>
      <c r="BZ121" s="920"/>
      <c r="CA121" s="920"/>
      <c r="CB121" s="920"/>
      <c r="CC121" s="920"/>
      <c r="CD121" s="920"/>
      <c r="CE121" s="920"/>
      <c r="CF121" s="920"/>
      <c r="CG121" s="920"/>
      <c r="CH121" s="920"/>
      <c r="CI121" s="920"/>
      <c r="CJ121" s="920"/>
      <c r="CK121" s="920"/>
      <c r="CL121" s="920"/>
      <c r="CM121" s="920"/>
      <c r="CN121" s="920"/>
      <c r="CO121" s="920"/>
      <c r="CP121" s="920"/>
      <c r="CQ121" s="920"/>
      <c r="CR121" s="920"/>
      <c r="CS121" s="920"/>
      <c r="CT121" s="920"/>
      <c r="CU121" s="920"/>
      <c r="CV121" s="920"/>
      <c r="CW121" s="920"/>
      <c r="CX121" s="920"/>
      <c r="CY121" s="920"/>
      <c r="CZ121" s="920"/>
      <c r="DA121" s="920"/>
      <c r="DB121" s="920"/>
      <c r="DC121" s="920"/>
      <c r="DD121" s="920"/>
      <c r="DE121" s="920"/>
      <c r="DF121" s="920"/>
      <c r="DG121" s="920"/>
      <c r="DH121" s="920"/>
      <c r="DI121" s="920"/>
      <c r="DJ121" s="920"/>
      <c r="DK121" s="920"/>
      <c r="DL121" s="920"/>
      <c r="DM121" s="920"/>
      <c r="DN121" s="920"/>
      <c r="DO121" s="920"/>
      <c r="DP121" s="920"/>
      <c r="DQ121" s="920"/>
      <c r="DR121" s="920"/>
      <c r="DS121" s="920"/>
      <c r="DT121" s="920"/>
      <c r="DU121" s="920"/>
      <c r="DV121" s="920"/>
      <c r="DW121" s="920"/>
      <c r="DX121" s="920"/>
      <c r="DY121" s="920"/>
      <c r="DZ121" s="920"/>
      <c r="EA121" s="920"/>
      <c r="EB121" s="920"/>
      <c r="EC121" s="920"/>
      <c r="ED121" s="920"/>
      <c r="EE121" s="920"/>
      <c r="EF121" s="920"/>
      <c r="EG121" s="920"/>
      <c r="EH121" s="920"/>
      <c r="EI121" s="920"/>
      <c r="EJ121" s="920"/>
      <c r="EK121" s="920"/>
      <c r="EL121" s="920"/>
      <c r="EM121" s="920"/>
      <c r="EN121" s="920"/>
      <c r="EO121" s="920"/>
      <c r="EP121" s="920"/>
      <c r="EQ121" s="920"/>
      <c r="ER121" s="920"/>
      <c r="ES121" s="920"/>
      <c r="ET121" s="920"/>
      <c r="EU121" s="920"/>
      <c r="EV121" s="920"/>
      <c r="EW121" s="920"/>
      <c r="EX121" s="920"/>
      <c r="EY121" s="920"/>
      <c r="EZ121" s="920"/>
      <c r="FA121" s="920"/>
      <c r="FB121" s="920"/>
      <c r="FC121" s="920"/>
      <c r="FD121" s="920"/>
      <c r="FE121" s="920"/>
      <c r="FF121" s="920"/>
      <c r="FG121" s="920"/>
      <c r="FH121" s="920"/>
      <c r="FI121" s="920"/>
      <c r="FJ121" s="920"/>
      <c r="FK121" s="920"/>
      <c r="FL121" s="920"/>
      <c r="FM121" s="920"/>
      <c r="FN121" s="920"/>
      <c r="FO121" s="920"/>
      <c r="FP121" s="920"/>
      <c r="FQ121" s="920"/>
      <c r="FR121" s="920"/>
      <c r="FS121" s="920"/>
      <c r="FT121" s="920"/>
      <c r="FU121" s="920"/>
      <c r="FV121" s="920"/>
      <c r="FW121" s="920"/>
      <c r="FX121" s="920"/>
      <c r="FY121" s="920"/>
      <c r="FZ121" s="920"/>
      <c r="GA121" s="920"/>
      <c r="GB121" s="920"/>
      <c r="GC121" s="920"/>
      <c r="GD121" s="920"/>
      <c r="GE121" s="920"/>
      <c r="GF121" s="920"/>
      <c r="GG121" s="920"/>
      <c r="GH121" s="920"/>
      <c r="GI121" s="920"/>
      <c r="GJ121" s="920"/>
      <c r="GK121" s="920"/>
      <c r="GL121" s="920"/>
      <c r="GM121" s="920"/>
      <c r="GN121" s="920"/>
      <c r="GO121" s="920"/>
      <c r="GP121" s="920"/>
      <c r="GQ121" s="920"/>
      <c r="GR121" s="920"/>
      <c r="GS121" s="920"/>
      <c r="GT121" s="920"/>
      <c r="GU121" s="920"/>
      <c r="GV121" s="920"/>
      <c r="GW121" s="920"/>
      <c r="GX121" s="920"/>
      <c r="GY121" s="920"/>
      <c r="GZ121" s="920"/>
      <c r="HA121" s="920"/>
      <c r="HB121" s="920"/>
      <c r="HC121" s="920"/>
      <c r="HD121" s="920"/>
      <c r="HE121" s="920"/>
      <c r="HF121" s="920"/>
      <c r="HG121" s="920"/>
      <c r="HH121" s="920"/>
      <c r="HI121" s="920"/>
      <c r="HJ121" s="920"/>
      <c r="HK121" s="920"/>
      <c r="HL121" s="920"/>
      <c r="HM121" s="920"/>
      <c r="HN121" s="920"/>
      <c r="HO121" s="920"/>
      <c r="HP121" s="920"/>
      <c r="HQ121" s="920"/>
      <c r="HR121" s="920"/>
      <c r="HS121" s="920"/>
      <c r="HT121" s="920"/>
      <c r="HU121" s="920"/>
      <c r="HV121" s="920"/>
      <c r="HW121" s="920"/>
      <c r="HX121" s="920"/>
      <c r="HY121" s="920"/>
      <c r="HZ121" s="920"/>
      <c r="IA121" s="920"/>
      <c r="IB121" s="920"/>
      <c r="IC121" s="920"/>
      <c r="ID121" s="920"/>
      <c r="IE121" s="920"/>
      <c r="IF121" s="920"/>
      <c r="IG121" s="920"/>
      <c r="IH121" s="920"/>
      <c r="II121" s="920"/>
      <c r="IJ121" s="920"/>
      <c r="IK121" s="920"/>
      <c r="IL121" s="920"/>
      <c r="IM121" s="920"/>
      <c r="IN121" s="920"/>
      <c r="IO121" s="920"/>
      <c r="IP121" s="920"/>
      <c r="IQ121" s="920"/>
      <c r="IR121" s="920"/>
      <c r="IS121" s="920"/>
      <c r="IT121" s="920"/>
      <c r="IU121" s="920"/>
      <c r="IV121" s="920"/>
    </row>
    <row r="122" spans="1:256" s="893" customFormat="1">
      <c r="A122" s="904">
        <f ca="1">$Q$117 *(3)</f>
        <v>9</v>
      </c>
      <c r="B122" s="893" t="s">
        <v>141</v>
      </c>
      <c r="C122" s="911">
        <f>$Q$433 *(425/1.5)</f>
        <v>0</v>
      </c>
      <c r="D122" s="893" t="s">
        <v>696</v>
      </c>
      <c r="F122" s="901"/>
      <c r="G122" s="894" t="s">
        <v>697</v>
      </c>
      <c r="H122" s="895">
        <v>501</v>
      </c>
      <c r="I122" s="893" t="s">
        <v>698</v>
      </c>
      <c r="J122" s="893" t="s">
        <v>699</v>
      </c>
      <c r="K122" s="893" t="s">
        <v>700</v>
      </c>
      <c r="O122" s="896">
        <v>1</v>
      </c>
      <c r="P122" s="897">
        <v>36175</v>
      </c>
      <c r="Q122" s="898">
        <f>1.225 *(0.51)</f>
        <v>0.62475000000000003</v>
      </c>
      <c r="R122" s="899">
        <f t="shared" ca="1" si="8"/>
        <v>5.6227499999999999</v>
      </c>
      <c r="S122" s="898"/>
      <c r="T122" s="900">
        <f t="shared" ca="1" si="9"/>
        <v>0</v>
      </c>
      <c r="U122" s="501"/>
      <c r="V122" s="501"/>
      <c r="W122" s="501"/>
    </row>
    <row r="123" spans="1:256" s="893" customFormat="1">
      <c r="A123" s="904">
        <f ca="1">$Q$117 *(3)</f>
        <v>9</v>
      </c>
      <c r="B123" s="893" t="s">
        <v>141</v>
      </c>
      <c r="C123" s="911">
        <f>$Q$433 *(425/1.5)</f>
        <v>0</v>
      </c>
      <c r="D123" s="893" t="s">
        <v>777</v>
      </c>
      <c r="F123" s="901"/>
      <c r="G123" s="894" t="s">
        <v>778</v>
      </c>
      <c r="H123" s="895">
        <v>501</v>
      </c>
      <c r="I123" s="893" t="s">
        <v>643</v>
      </c>
      <c r="K123" s="893" t="s">
        <v>779</v>
      </c>
      <c r="O123" s="896">
        <v>1</v>
      </c>
      <c r="P123" s="897"/>
      <c r="Q123" s="898">
        <v>0.06</v>
      </c>
      <c r="R123" s="899">
        <f t="shared" ca="1" si="8"/>
        <v>0.54</v>
      </c>
      <c r="S123" s="898"/>
      <c r="T123" s="900">
        <f t="shared" ca="1" si="9"/>
        <v>0</v>
      </c>
      <c r="U123" s="501"/>
      <c r="V123" s="501"/>
      <c r="W123" s="501"/>
    </row>
    <row r="124" spans="1:256" s="501" customFormat="1">
      <c r="A124" s="904">
        <f ca="1">$Q$117 *(3)</f>
        <v>9</v>
      </c>
      <c r="B124" s="497" t="s">
        <v>283</v>
      </c>
      <c r="C124" s="911">
        <f>$Q$433 *(ROUNDUP(425/3,0))</f>
        <v>0</v>
      </c>
      <c r="D124" s="893" t="s">
        <v>780</v>
      </c>
      <c r="E124" s="497"/>
      <c r="F124" s="498"/>
      <c r="G124" s="894" t="s">
        <v>781</v>
      </c>
      <c r="H124" s="895">
        <v>650</v>
      </c>
      <c r="I124" s="499"/>
      <c r="J124" s="497"/>
      <c r="K124" s="497"/>
      <c r="L124" s="497"/>
      <c r="M124" s="497"/>
      <c r="N124" s="497"/>
      <c r="O124" s="896">
        <v>1</v>
      </c>
      <c r="P124" s="497"/>
      <c r="Q124" s="898">
        <v>1.5960000000000001</v>
      </c>
      <c r="R124" s="899">
        <f t="shared" ca="1" si="8"/>
        <v>14.364000000000001</v>
      </c>
      <c r="S124" s="898">
        <v>0.01</v>
      </c>
      <c r="T124" s="900">
        <f t="shared" ca="1" si="9"/>
        <v>0.09</v>
      </c>
    </row>
    <row r="125" spans="1:256" s="501" customFormat="1">
      <c r="A125" s="904">
        <f ca="1">$Q$117 *(3)</f>
        <v>9</v>
      </c>
      <c r="B125" s="893" t="s">
        <v>141</v>
      </c>
      <c r="C125" s="911">
        <f>$Q$433 *(425/1.5)</f>
        <v>0</v>
      </c>
      <c r="D125" s="893" t="s">
        <v>782</v>
      </c>
      <c r="E125" s="893"/>
      <c r="F125" s="901"/>
      <c r="G125" s="894" t="s">
        <v>725</v>
      </c>
      <c r="H125" s="895">
        <v>501</v>
      </c>
      <c r="I125" s="893" t="s">
        <v>643</v>
      </c>
      <c r="J125" s="893"/>
      <c r="K125" s="893" t="s">
        <v>783</v>
      </c>
      <c r="L125" s="893"/>
      <c r="M125" s="893"/>
      <c r="N125" s="893"/>
      <c r="O125" s="896">
        <v>1</v>
      </c>
      <c r="P125" s="897"/>
      <c r="Q125" s="898">
        <f>1.225 *(0.01)</f>
        <v>1.225E-2</v>
      </c>
      <c r="R125" s="899">
        <f t="shared" ca="1" si="8"/>
        <v>0.11025</v>
      </c>
      <c r="S125" s="898"/>
      <c r="T125" s="900">
        <f t="shared" ca="1" si="9"/>
        <v>0</v>
      </c>
      <c r="X125" s="893"/>
      <c r="Y125" s="893"/>
      <c r="Z125" s="893"/>
      <c r="AA125" s="893"/>
      <c r="AB125" s="893"/>
      <c r="AC125" s="893"/>
      <c r="AD125" s="893"/>
      <c r="AE125" s="893"/>
      <c r="AF125" s="893"/>
      <c r="AG125" s="893"/>
      <c r="AH125" s="893"/>
      <c r="AI125" s="893"/>
      <c r="AJ125" s="893"/>
      <c r="AK125" s="893"/>
      <c r="AL125" s="893"/>
      <c r="AM125" s="893"/>
      <c r="AN125" s="893"/>
      <c r="AO125" s="893"/>
      <c r="AP125" s="893"/>
      <c r="AQ125" s="893"/>
      <c r="AR125" s="893"/>
      <c r="AS125" s="893"/>
      <c r="AT125" s="893"/>
      <c r="AU125" s="893"/>
      <c r="AV125" s="893"/>
      <c r="AW125" s="893"/>
      <c r="AX125" s="893"/>
      <c r="AY125" s="893"/>
      <c r="AZ125" s="893"/>
      <c r="BA125" s="893"/>
      <c r="BB125" s="893"/>
      <c r="BC125" s="893"/>
      <c r="BD125" s="893"/>
      <c r="BE125" s="893"/>
      <c r="BF125" s="893"/>
      <c r="BG125" s="893"/>
      <c r="BH125" s="893"/>
      <c r="BI125" s="893"/>
      <c r="BJ125" s="893"/>
      <c r="BK125" s="893"/>
      <c r="BL125" s="893"/>
      <c r="BM125" s="893"/>
      <c r="BN125" s="893"/>
      <c r="BO125" s="893"/>
      <c r="BP125" s="893"/>
      <c r="BQ125" s="893"/>
      <c r="BR125" s="893"/>
      <c r="BS125" s="893"/>
      <c r="BT125" s="893"/>
      <c r="BU125" s="893"/>
      <c r="BV125" s="893"/>
      <c r="BW125" s="893"/>
      <c r="BX125" s="893"/>
      <c r="BY125" s="893"/>
      <c r="BZ125" s="893"/>
      <c r="CA125" s="893"/>
      <c r="CB125" s="893"/>
      <c r="CC125" s="893"/>
      <c r="CD125" s="893"/>
      <c r="CE125" s="893"/>
      <c r="CF125" s="893"/>
      <c r="CG125" s="893"/>
      <c r="CH125" s="893"/>
      <c r="CI125" s="893"/>
      <c r="CJ125" s="893"/>
      <c r="CK125" s="893"/>
      <c r="CL125" s="893"/>
      <c r="CM125" s="893"/>
      <c r="CN125" s="893"/>
      <c r="CO125" s="893"/>
      <c r="CP125" s="893"/>
      <c r="CQ125" s="893"/>
      <c r="CR125" s="893"/>
      <c r="CS125" s="893"/>
      <c r="CT125" s="893"/>
      <c r="CU125" s="893"/>
      <c r="CV125" s="893"/>
      <c r="CW125" s="893"/>
      <c r="CX125" s="893"/>
      <c r="CY125" s="893"/>
      <c r="CZ125" s="893"/>
      <c r="DA125" s="893"/>
      <c r="DB125" s="893"/>
      <c r="DC125" s="893"/>
      <c r="DD125" s="893"/>
      <c r="DE125" s="893"/>
      <c r="DF125" s="893"/>
      <c r="DG125" s="893"/>
      <c r="DH125" s="893"/>
      <c r="DI125" s="893"/>
      <c r="DJ125" s="893"/>
      <c r="DK125" s="893"/>
      <c r="DL125" s="893"/>
      <c r="DM125" s="893"/>
      <c r="DN125" s="893"/>
      <c r="DO125" s="893"/>
      <c r="DP125" s="893"/>
      <c r="DQ125" s="893"/>
      <c r="DR125" s="893"/>
      <c r="DS125" s="893"/>
      <c r="DT125" s="893"/>
      <c r="DU125" s="893"/>
      <c r="DV125" s="893"/>
      <c r="DW125" s="893"/>
      <c r="DX125" s="893"/>
      <c r="DY125" s="893"/>
      <c r="DZ125" s="893"/>
      <c r="EA125" s="893"/>
      <c r="EB125" s="893"/>
      <c r="EC125" s="893"/>
      <c r="ED125" s="893"/>
      <c r="EE125" s="893"/>
      <c r="EF125" s="893"/>
      <c r="EG125" s="893"/>
      <c r="EH125" s="893"/>
      <c r="EI125" s="893"/>
      <c r="EJ125" s="893"/>
      <c r="EK125" s="893"/>
      <c r="EL125" s="893"/>
      <c r="EM125" s="893"/>
      <c r="EN125" s="893"/>
      <c r="EO125" s="893"/>
      <c r="EP125" s="893"/>
      <c r="EQ125" s="893"/>
      <c r="ER125" s="893"/>
      <c r="ES125" s="893"/>
      <c r="ET125" s="893"/>
      <c r="EU125" s="893"/>
      <c r="EV125" s="893"/>
      <c r="EW125" s="893"/>
      <c r="EX125" s="893"/>
      <c r="EY125" s="893"/>
      <c r="EZ125" s="893"/>
      <c r="FA125" s="893"/>
      <c r="FB125" s="893"/>
      <c r="FC125" s="893"/>
      <c r="FD125" s="893"/>
      <c r="FE125" s="893"/>
      <c r="FF125" s="893"/>
      <c r="FG125" s="893"/>
      <c r="FH125" s="893"/>
      <c r="FI125" s="893"/>
      <c r="FJ125" s="893"/>
      <c r="FK125" s="893"/>
      <c r="FL125" s="893"/>
      <c r="FM125" s="893"/>
      <c r="FN125" s="893"/>
      <c r="FO125" s="893"/>
      <c r="FP125" s="893"/>
      <c r="FQ125" s="893"/>
      <c r="FR125" s="893"/>
      <c r="FS125" s="893"/>
      <c r="FT125" s="893"/>
      <c r="FU125" s="893"/>
      <c r="FV125" s="893"/>
      <c r="FW125" s="893"/>
      <c r="FX125" s="893"/>
      <c r="FY125" s="893"/>
      <c r="FZ125" s="893"/>
      <c r="GA125" s="893"/>
      <c r="GB125" s="893"/>
      <c r="GC125" s="893"/>
      <c r="GD125" s="893"/>
      <c r="GE125" s="893"/>
      <c r="GF125" s="893"/>
      <c r="GG125" s="893"/>
      <c r="GH125" s="893"/>
      <c r="GI125" s="893"/>
      <c r="GJ125" s="893"/>
      <c r="GK125" s="893"/>
      <c r="GL125" s="893"/>
      <c r="GM125" s="893"/>
      <c r="GN125" s="893"/>
      <c r="GO125" s="893"/>
      <c r="GP125" s="893"/>
      <c r="GQ125" s="893"/>
      <c r="GR125" s="893"/>
      <c r="GS125" s="893"/>
      <c r="GT125" s="893"/>
      <c r="GU125" s="893"/>
      <c r="GV125" s="893"/>
      <c r="GW125" s="893"/>
      <c r="GX125" s="893"/>
      <c r="GY125" s="893"/>
      <c r="GZ125" s="893"/>
      <c r="HA125" s="893"/>
      <c r="HB125" s="893"/>
      <c r="HC125" s="893"/>
      <c r="HD125" s="893"/>
      <c r="HE125" s="893"/>
      <c r="HF125" s="893"/>
      <c r="HG125" s="893"/>
      <c r="HH125" s="893"/>
      <c r="HI125" s="893"/>
      <c r="HJ125" s="893"/>
      <c r="HK125" s="893"/>
      <c r="HL125" s="893"/>
      <c r="HM125" s="893"/>
      <c r="HN125" s="893"/>
      <c r="HO125" s="893"/>
      <c r="HP125" s="893"/>
      <c r="HQ125" s="893"/>
      <c r="HR125" s="893"/>
      <c r="HS125" s="893"/>
      <c r="HT125" s="893"/>
      <c r="HU125" s="893"/>
      <c r="HV125" s="893"/>
      <c r="HW125" s="893"/>
      <c r="HX125" s="893"/>
      <c r="HY125" s="893"/>
      <c r="HZ125" s="893"/>
      <c r="IA125" s="893"/>
      <c r="IB125" s="893"/>
      <c r="IC125" s="893"/>
      <c r="ID125" s="893"/>
      <c r="IE125" s="893"/>
      <c r="IF125" s="893"/>
      <c r="IG125" s="893"/>
      <c r="IH125" s="893"/>
      <c r="II125" s="893"/>
      <c r="IJ125" s="893"/>
      <c r="IK125" s="893"/>
      <c r="IL125" s="893"/>
      <c r="IM125" s="893"/>
      <c r="IN125" s="893"/>
      <c r="IO125" s="893"/>
      <c r="IP125" s="893"/>
      <c r="IQ125" s="893"/>
      <c r="IR125" s="893"/>
      <c r="IS125" s="893"/>
      <c r="IT125" s="893"/>
      <c r="IU125" s="893"/>
      <c r="IV125" s="893"/>
    </row>
    <row r="126" spans="1:256" s="893" customFormat="1">
      <c r="A126" s="904">
        <f ca="1">$Q$117 *(0.5)</f>
        <v>1.5</v>
      </c>
      <c r="B126" s="893" t="s">
        <v>296</v>
      </c>
      <c r="D126" s="893" t="s">
        <v>716</v>
      </c>
      <c r="G126" s="894" t="s">
        <v>717</v>
      </c>
      <c r="H126" s="895">
        <v>501</v>
      </c>
      <c r="I126" s="893" t="s">
        <v>698</v>
      </c>
      <c r="J126" s="893" t="s">
        <v>718</v>
      </c>
      <c r="K126" s="893" t="s">
        <v>784</v>
      </c>
      <c r="O126" s="896">
        <v>1</v>
      </c>
      <c r="P126" s="897">
        <v>36175</v>
      </c>
      <c r="Q126" s="898">
        <v>3.07</v>
      </c>
      <c r="R126" s="899">
        <f t="shared" ca="1" si="8"/>
        <v>4.6049999999999995</v>
      </c>
      <c r="S126" s="898"/>
      <c r="T126" s="900">
        <f t="shared" ca="1" si="9"/>
        <v>0</v>
      </c>
      <c r="U126" s="501"/>
      <c r="V126" s="501"/>
      <c r="W126" s="501"/>
    </row>
    <row r="127" spans="1:256" s="893" customFormat="1">
      <c r="A127" s="904">
        <f ca="1">$Q$117 *(6)</f>
        <v>18</v>
      </c>
      <c r="B127" s="893" t="s">
        <v>141</v>
      </c>
      <c r="D127" s="893" t="s">
        <v>714</v>
      </c>
      <c r="G127" s="894" t="s">
        <v>715</v>
      </c>
      <c r="H127" s="895">
        <v>501</v>
      </c>
      <c r="I127" s="893" t="s">
        <v>643</v>
      </c>
      <c r="K127" s="893" t="s">
        <v>785</v>
      </c>
      <c r="O127" s="896">
        <v>1</v>
      </c>
      <c r="P127" s="897"/>
      <c r="Q127" s="898">
        <v>0.15</v>
      </c>
      <c r="R127" s="899">
        <f t="shared" ca="1" si="8"/>
        <v>2.6999999999999997</v>
      </c>
      <c r="S127" s="898"/>
      <c r="T127" s="900">
        <f t="shared" ca="1" si="9"/>
        <v>0</v>
      </c>
    </row>
    <row r="128" spans="1:256" s="893" customFormat="1">
      <c r="A128" s="926">
        <f ca="1">$Q$117 *(3)</f>
        <v>9</v>
      </c>
      <c r="B128" s="893" t="s">
        <v>141</v>
      </c>
      <c r="D128" s="893" t="s">
        <v>786</v>
      </c>
      <c r="G128" s="894" t="s">
        <v>720</v>
      </c>
      <c r="H128" s="895">
        <v>900</v>
      </c>
      <c r="I128" s="893" t="s">
        <v>660</v>
      </c>
      <c r="O128" s="896">
        <v>1</v>
      </c>
      <c r="P128" s="897"/>
      <c r="Q128" s="952"/>
      <c r="R128" s="899">
        <f t="shared" ca="1" si="8"/>
        <v>0</v>
      </c>
      <c r="S128" s="898">
        <v>0.17</v>
      </c>
      <c r="T128" s="900">
        <f t="shared" ca="1" si="9"/>
        <v>1.53</v>
      </c>
      <c r="U128" s="893" t="s">
        <v>721</v>
      </c>
    </row>
    <row r="129" spans="1:28" s="893" customFormat="1">
      <c r="A129" s="904">
        <f ca="1">$Q$117 *(3)</f>
        <v>9</v>
      </c>
      <c r="B129" s="893" t="s">
        <v>296</v>
      </c>
      <c r="D129" s="893" t="s">
        <v>866</v>
      </c>
      <c r="G129" s="894" t="s">
        <v>760</v>
      </c>
      <c r="H129" s="895">
        <v>616</v>
      </c>
      <c r="I129" s="893" t="s">
        <v>656</v>
      </c>
      <c r="J129" s="893" t="s">
        <v>742</v>
      </c>
      <c r="O129" s="896">
        <v>2</v>
      </c>
      <c r="P129" s="897">
        <v>40767</v>
      </c>
      <c r="Q129" s="898">
        <v>3.6</v>
      </c>
      <c r="R129" s="899">
        <f t="shared" ca="1" si="8"/>
        <v>32.4</v>
      </c>
      <c r="S129" s="898">
        <v>0.06</v>
      </c>
      <c r="T129" s="900">
        <f t="shared" ca="1" si="9"/>
        <v>0.54</v>
      </c>
    </row>
    <row r="130" spans="1:28" s="893" customFormat="1">
      <c r="A130" s="904">
        <f ca="1">$Q$117 *(2)</f>
        <v>6</v>
      </c>
      <c r="B130" s="893" t="s">
        <v>141</v>
      </c>
      <c r="D130" s="893" t="s">
        <v>802</v>
      </c>
      <c r="G130" s="894" t="s">
        <v>803</v>
      </c>
      <c r="H130" s="895">
        <v>620</v>
      </c>
      <c r="I130" s="893" t="s">
        <v>671</v>
      </c>
      <c r="O130" s="896">
        <v>2</v>
      </c>
      <c r="P130" s="897">
        <v>35431</v>
      </c>
      <c r="Q130" s="898">
        <v>3.59</v>
      </c>
      <c r="R130" s="899">
        <f t="shared" ca="1" si="8"/>
        <v>21.54</v>
      </c>
      <c r="S130" s="898">
        <v>0.2</v>
      </c>
      <c r="T130" s="900">
        <f t="shared" ca="1" si="9"/>
        <v>1.2000000000000002</v>
      </c>
    </row>
    <row r="131" spans="1:28" s="893" customFormat="1">
      <c r="A131" s="904">
        <f ca="1">$Q$117 *(2)</f>
        <v>6</v>
      </c>
      <c r="B131" s="893" t="s">
        <v>296</v>
      </c>
      <c r="D131" s="893" t="s">
        <v>672</v>
      </c>
      <c r="G131" s="894" t="s">
        <v>673</v>
      </c>
      <c r="H131" s="895">
        <v>620</v>
      </c>
      <c r="I131" s="893" t="s">
        <v>643</v>
      </c>
      <c r="O131" s="896">
        <v>2</v>
      </c>
      <c r="P131" s="897">
        <v>38148</v>
      </c>
      <c r="Q131" s="898">
        <v>1</v>
      </c>
      <c r="R131" s="899">
        <f t="shared" ca="1" si="8"/>
        <v>6</v>
      </c>
      <c r="S131" s="898">
        <v>0.08</v>
      </c>
      <c r="T131" s="900">
        <f t="shared" ca="1" si="9"/>
        <v>0.48</v>
      </c>
    </row>
    <row r="132" spans="1:28" s="893" customFormat="1">
      <c r="A132" s="904">
        <f ca="1">$Q$117 *(5*2)</f>
        <v>30</v>
      </c>
      <c r="B132" s="893" t="s">
        <v>141</v>
      </c>
      <c r="D132" s="893" t="s">
        <v>674</v>
      </c>
      <c r="G132" s="894" t="s">
        <v>675</v>
      </c>
      <c r="H132" s="895">
        <v>620</v>
      </c>
      <c r="I132" s="893" t="s">
        <v>676</v>
      </c>
      <c r="O132" s="896">
        <v>2</v>
      </c>
      <c r="P132" s="897">
        <v>34669</v>
      </c>
      <c r="Q132" s="898">
        <v>0.1</v>
      </c>
      <c r="R132" s="899">
        <f t="shared" ca="1" si="8"/>
        <v>3</v>
      </c>
      <c r="S132" s="898">
        <v>0.02</v>
      </c>
      <c r="T132" s="900">
        <f t="shared" ca="1" si="9"/>
        <v>0.6</v>
      </c>
    </row>
    <row r="133" spans="1:28" s="893" customFormat="1">
      <c r="A133" s="926">
        <f ca="1">$Q$117 *(1)</f>
        <v>3</v>
      </c>
      <c r="B133" s="893" t="s">
        <v>141</v>
      </c>
      <c r="D133" s="893" t="s">
        <v>677</v>
      </c>
      <c r="F133" s="893" t="s">
        <v>791</v>
      </c>
      <c r="G133" s="894" t="s">
        <v>678</v>
      </c>
      <c r="H133" s="895">
        <v>900</v>
      </c>
      <c r="I133" s="893" t="s">
        <v>660</v>
      </c>
      <c r="O133" s="896">
        <v>3</v>
      </c>
      <c r="P133" s="897">
        <v>34790</v>
      </c>
      <c r="Q133" s="952"/>
      <c r="R133" s="899">
        <f t="shared" ca="1" si="8"/>
        <v>0</v>
      </c>
      <c r="S133" s="898">
        <v>0.25</v>
      </c>
      <c r="T133" s="900">
        <f t="shared" ca="1" si="9"/>
        <v>0.75</v>
      </c>
      <c r="U133" s="893" t="s">
        <v>721</v>
      </c>
    </row>
    <row r="134" spans="1:28" s="893" customFormat="1">
      <c r="A134" s="926"/>
      <c r="D134" s="953" t="s">
        <v>792</v>
      </c>
      <c r="G134" s="894"/>
      <c r="H134" s="895"/>
      <c r="O134" s="896"/>
      <c r="P134" s="897"/>
      <c r="Q134" s="898"/>
      <c r="R134" s="899"/>
      <c r="S134" s="898"/>
      <c r="T134" s="900"/>
    </row>
    <row r="135" spans="1:28" s="893" customFormat="1">
      <c r="A135" s="926">
        <f ca="1">$Q$117 *(4*5)</f>
        <v>60</v>
      </c>
      <c r="B135" s="893" t="s">
        <v>296</v>
      </c>
      <c r="D135" s="893" t="s">
        <v>840</v>
      </c>
      <c r="G135" s="894" t="s">
        <v>841</v>
      </c>
      <c r="H135" s="895">
        <v>615</v>
      </c>
      <c r="I135" s="893" t="s">
        <v>656</v>
      </c>
      <c r="K135" s="893" t="s">
        <v>842</v>
      </c>
      <c r="O135" s="896">
        <v>2</v>
      </c>
      <c r="P135" s="897">
        <v>38988</v>
      </c>
      <c r="Q135" s="898">
        <v>0.45</v>
      </c>
      <c r="R135" s="899">
        <f t="shared" ref="R135:R140" ca="1" si="10">$A135*Q135</f>
        <v>27</v>
      </c>
      <c r="S135" s="898">
        <v>0.02</v>
      </c>
      <c r="T135" s="900">
        <f t="shared" ref="T135:T140" ca="1" si="11">$A135*S135*$T$1</f>
        <v>1.2</v>
      </c>
    </row>
    <row r="136" spans="1:28" s="893" customFormat="1">
      <c r="A136" s="904">
        <f ca="1">$Q$117 *(8)</f>
        <v>24</v>
      </c>
      <c r="B136" s="893" t="s">
        <v>141</v>
      </c>
      <c r="D136" s="893" t="s">
        <v>794</v>
      </c>
      <c r="G136" s="894" t="s">
        <v>731</v>
      </c>
      <c r="H136" s="895">
        <v>620</v>
      </c>
      <c r="I136" s="893" t="s">
        <v>643</v>
      </c>
      <c r="O136" s="896">
        <v>2</v>
      </c>
      <c r="P136" s="897"/>
      <c r="Q136" s="898">
        <v>0.05</v>
      </c>
      <c r="R136" s="899">
        <f t="shared" ca="1" si="10"/>
        <v>1.2000000000000002</v>
      </c>
      <c r="S136" s="898"/>
      <c r="T136" s="900">
        <f t="shared" ca="1" si="11"/>
        <v>0</v>
      </c>
    </row>
    <row r="137" spans="1:28" s="893" customFormat="1">
      <c r="A137" s="904">
        <f ca="1">$Q$117 *(8)</f>
        <v>24</v>
      </c>
      <c r="B137" s="893" t="s">
        <v>141</v>
      </c>
      <c r="D137" s="893" t="s">
        <v>674</v>
      </c>
      <c r="G137" s="894" t="s">
        <v>682</v>
      </c>
      <c r="H137" s="895">
        <v>620</v>
      </c>
      <c r="I137" s="893" t="s">
        <v>676</v>
      </c>
      <c r="O137" s="896">
        <v>2</v>
      </c>
      <c r="P137" s="897">
        <v>34669</v>
      </c>
      <c r="Q137" s="898">
        <v>0.1</v>
      </c>
      <c r="R137" s="899">
        <f t="shared" ca="1" si="10"/>
        <v>2.4000000000000004</v>
      </c>
      <c r="S137" s="898">
        <v>0.02</v>
      </c>
      <c r="T137" s="900">
        <f t="shared" ca="1" si="11"/>
        <v>0.48</v>
      </c>
    </row>
    <row r="138" spans="1:28" s="893" customFormat="1">
      <c r="A138" s="904">
        <f ca="1">$Q$117 *(1)</f>
        <v>3</v>
      </c>
      <c r="B138" s="893" t="s">
        <v>141</v>
      </c>
      <c r="D138" s="893" t="s">
        <v>795</v>
      </c>
      <c r="G138" s="894" t="s">
        <v>684</v>
      </c>
      <c r="H138" s="895">
        <v>620</v>
      </c>
      <c r="I138" s="893" t="s">
        <v>676</v>
      </c>
      <c r="O138" s="896">
        <v>2</v>
      </c>
      <c r="P138" s="897">
        <v>34669</v>
      </c>
      <c r="Q138" s="898">
        <v>10</v>
      </c>
      <c r="R138" s="899">
        <f t="shared" ca="1" si="10"/>
        <v>30</v>
      </c>
      <c r="S138" s="898"/>
      <c r="T138" s="900">
        <f t="shared" ca="1" si="11"/>
        <v>0</v>
      </c>
    </row>
    <row r="139" spans="1:28" s="893" customFormat="1">
      <c r="A139" s="904">
        <f ca="1">$Q$117 *(1)</f>
        <v>3</v>
      </c>
      <c r="B139" s="893" t="s">
        <v>141</v>
      </c>
      <c r="D139" s="893" t="s">
        <v>796</v>
      </c>
      <c r="F139" s="893" t="s">
        <v>797</v>
      </c>
      <c r="G139" s="894" t="s">
        <v>798</v>
      </c>
      <c r="H139" s="895">
        <v>900</v>
      </c>
      <c r="I139" s="893" t="s">
        <v>660</v>
      </c>
      <c r="O139" s="896">
        <v>2</v>
      </c>
      <c r="P139" s="897"/>
      <c r="Q139" s="952"/>
      <c r="R139" s="899">
        <f t="shared" ca="1" si="10"/>
        <v>0</v>
      </c>
      <c r="S139" s="898">
        <f>10/60</f>
        <v>0.16666666666666666</v>
      </c>
      <c r="T139" s="900">
        <f t="shared" ca="1" si="11"/>
        <v>0.5</v>
      </c>
      <c r="U139" s="893" t="s">
        <v>721</v>
      </c>
    </row>
    <row r="140" spans="1:28" s="501" customFormat="1">
      <c r="A140" s="497"/>
      <c r="B140" s="3"/>
      <c r="C140" s="497" t="s">
        <v>165</v>
      </c>
      <c r="D140" s="3"/>
      <c r="E140" s="497"/>
      <c r="F140" s="498"/>
      <c r="G140" s="497"/>
      <c r="H140" s="497"/>
      <c r="I140" s="499"/>
      <c r="J140" s="497"/>
      <c r="K140" s="497"/>
      <c r="L140" s="497"/>
      <c r="M140" s="497"/>
      <c r="N140" s="497"/>
      <c r="O140" s="497"/>
      <c r="P140" s="497"/>
      <c r="Q140" s="499"/>
      <c r="R140" s="560">
        <f t="shared" si="10"/>
        <v>0</v>
      </c>
      <c r="S140" s="499"/>
      <c r="T140" s="500">
        <f t="shared" si="11"/>
        <v>0</v>
      </c>
    </row>
    <row r="141" spans="1:28" s="501" customFormat="1" ht="12.6" thickBot="1">
      <c r="A141" s="513" t="s">
        <v>145</v>
      </c>
      <c r="B141" s="514">
        <f ca="1">(R141+T141)-SUM(R118:R140,T118:T140)</f>
        <v>0</v>
      </c>
      <c r="C141" s="515"/>
      <c r="D141" s="561" t="s">
        <v>166</v>
      </c>
      <c r="E141" s="449">
        <f ca="1">IF($B117=0,0,ROUND(ROUND(($R141*$S$2+($T141*$T$2))/$B117, 2)*$C$2,2))</f>
        <v>197.57</v>
      </c>
      <c r="F141" s="450">
        <f ca="1">ROUND($B117*$E141,2)</f>
        <v>592.71</v>
      </c>
      <c r="G141" s="515"/>
      <c r="H141" s="515"/>
      <c r="I141" s="516"/>
      <c r="J141" s="515"/>
      <c r="K141" s="562" t="s">
        <v>143</v>
      </c>
      <c r="L141" s="517" t="s">
        <v>143</v>
      </c>
      <c r="M141" s="517"/>
      <c r="N141" s="517"/>
      <c r="O141" s="517"/>
      <c r="P141" s="517"/>
      <c r="Q141" s="562"/>
      <c r="R141" s="563">
        <f ca="1">SUM(R118:R140)</f>
        <v>187.23449999999997</v>
      </c>
      <c r="S141" s="564"/>
      <c r="T141" s="563">
        <f ca="1">SUM(T118:T140)</f>
        <v>9.17</v>
      </c>
      <c r="U141" s="518"/>
      <c r="V141" s="518"/>
      <c r="W141" s="518"/>
      <c r="X141" s="518"/>
      <c r="Y141" s="518"/>
      <c r="Z141" s="518"/>
      <c r="AA141" s="518"/>
      <c r="AB141" s="518"/>
    </row>
    <row r="142" spans="1:28" s="501" customFormat="1" ht="12" thickTop="1">
      <c r="A142" s="44"/>
      <c r="B142" s="44"/>
      <c r="C142" s="44"/>
      <c r="D142" s="44"/>
      <c r="E142" s="44"/>
      <c r="F142" s="44"/>
      <c r="G142" s="44"/>
      <c r="H142" s="44"/>
      <c r="I142" s="44"/>
      <c r="J142" s="44"/>
      <c r="K142" s="44"/>
      <c r="L142" s="44"/>
      <c r="M142" s="44"/>
      <c r="N142" s="44"/>
      <c r="O142" s="45"/>
      <c r="P142" s="44"/>
      <c r="Q142" s="40" t="s">
        <v>163</v>
      </c>
      <c r="R142" s="44"/>
      <c r="S142" s="11"/>
      <c r="T142" s="44"/>
    </row>
    <row r="143" spans="1:28" s="501" customFormat="1" ht="12.6" thickBot="1">
      <c r="A143" s="552">
        <v>1</v>
      </c>
      <c r="B143" s="553">
        <f ca="1">Elec_Est!B3226</f>
        <v>10</v>
      </c>
      <c r="C143" s="554"/>
      <c r="D143" s="555" t="s">
        <v>829</v>
      </c>
      <c r="E143" s="556"/>
      <c r="F143" s="556"/>
      <c r="G143" s="506"/>
      <c r="H143" s="506"/>
      <c r="I143" s="557"/>
      <c r="J143" s="506"/>
      <c r="K143" s="554" t="s">
        <v>164</v>
      </c>
      <c r="L143" s="558" t="s">
        <v>164</v>
      </c>
      <c r="M143" s="558"/>
      <c r="N143" s="558"/>
      <c r="O143" s="558"/>
      <c r="P143" s="558"/>
      <c r="Q143" s="559">
        <f ca="1">B143/A143</f>
        <v>10</v>
      </c>
      <c r="R143" s="948">
        <f ca="1">IF($B143=0,0,IF($S$1="R",ROUND(R168/$B143,2),R168/$B143))</f>
        <v>74.239999999999995</v>
      </c>
      <c r="S143" s="949"/>
      <c r="T143" s="948">
        <f ca="1">IF($B143=0,0,IF($S$1="R",ROUND(T168/$B143,2),T168/$B143))</f>
        <v>3.17</v>
      </c>
    </row>
    <row r="144" spans="1:28" s="501" customFormat="1" ht="13.8" thickTop="1">
      <c r="A144" s="505"/>
      <c r="B144" s="3"/>
      <c r="C144" s="3"/>
      <c r="D144" s="85" t="s">
        <v>773</v>
      </c>
      <c r="E144" s="3"/>
      <c r="F144" s="3"/>
      <c r="G144" s="3"/>
      <c r="H144" s="3"/>
      <c r="I144" s="3"/>
      <c r="J144" s="3"/>
      <c r="K144" s="3"/>
      <c r="L144" s="3"/>
      <c r="M144" s="3"/>
      <c r="N144" s="3"/>
      <c r="O144" s="86"/>
      <c r="P144" s="3"/>
      <c r="Q144" s="3"/>
      <c r="R144" s="3"/>
      <c r="S144" s="3"/>
      <c r="T144" s="3"/>
    </row>
    <row r="145" spans="1:256" s="501" customFormat="1">
      <c r="A145" s="505"/>
      <c r="B145" s="3"/>
      <c r="C145" s="3"/>
      <c r="D145" s="953" t="s">
        <v>799</v>
      </c>
      <c r="E145" s="3"/>
      <c r="F145" s="3"/>
      <c r="G145" s="3"/>
      <c r="H145" s="3"/>
      <c r="I145" s="3"/>
      <c r="J145" s="3"/>
      <c r="K145" s="3"/>
      <c r="L145" s="3"/>
      <c r="M145" s="3"/>
      <c r="N145" s="3"/>
      <c r="O145" s="86"/>
      <c r="P145" s="3"/>
      <c r="Q145" s="3"/>
      <c r="R145" s="3"/>
      <c r="S145" s="3"/>
      <c r="T145" s="3"/>
    </row>
    <row r="146" spans="1:256" s="893" customFormat="1">
      <c r="A146" s="904">
        <f ca="1">$Q$143 *(3)</f>
        <v>30</v>
      </c>
      <c r="B146" s="920" t="s">
        <v>296</v>
      </c>
      <c r="C146" s="911">
        <f>$Q$481 *(425)</f>
        <v>0</v>
      </c>
      <c r="D146" s="920" t="s">
        <v>774</v>
      </c>
      <c r="E146" s="920" t="s">
        <v>689</v>
      </c>
      <c r="F146" s="901" t="s">
        <v>775</v>
      </c>
      <c r="G146" s="950" t="s">
        <v>776</v>
      </c>
      <c r="H146" s="951">
        <v>650</v>
      </c>
      <c r="I146" s="920"/>
      <c r="J146" s="920"/>
      <c r="K146" s="920"/>
      <c r="L146" s="920"/>
      <c r="M146" s="920"/>
      <c r="N146" s="921"/>
      <c r="O146" s="921">
        <v>1</v>
      </c>
      <c r="P146" s="922">
        <v>36897</v>
      </c>
      <c r="Q146" s="898">
        <v>3.36</v>
      </c>
      <c r="R146" s="909">
        <f t="shared" ref="R146:R160" ca="1" si="12">$A146*Q146</f>
        <v>100.8</v>
      </c>
      <c r="S146" s="914">
        <v>0.2</v>
      </c>
      <c r="T146" s="910">
        <f t="shared" ref="T146:T160" ca="1" si="13">$A146*S146*$T$1</f>
        <v>6</v>
      </c>
      <c r="U146" s="501"/>
      <c r="V146" s="501"/>
      <c r="W146" s="501"/>
      <c r="X146" s="920"/>
      <c r="Y146" s="920"/>
      <c r="Z146" s="920"/>
      <c r="AA146" s="920"/>
      <c r="AB146" s="920"/>
      <c r="AC146" s="920"/>
      <c r="AD146" s="920"/>
      <c r="AE146" s="920"/>
      <c r="AF146" s="920"/>
      <c r="AG146" s="920"/>
      <c r="AH146" s="920"/>
      <c r="AI146" s="920"/>
      <c r="AJ146" s="920"/>
      <c r="AK146" s="920"/>
      <c r="AL146" s="920"/>
      <c r="AM146" s="920"/>
      <c r="AN146" s="920"/>
      <c r="AO146" s="920"/>
      <c r="AP146" s="920"/>
      <c r="AQ146" s="920"/>
      <c r="AR146" s="920"/>
      <c r="AS146" s="920"/>
      <c r="AT146" s="920"/>
      <c r="AU146" s="920"/>
      <c r="AV146" s="920"/>
      <c r="AW146" s="920"/>
      <c r="AX146" s="920"/>
      <c r="AY146" s="920"/>
      <c r="AZ146" s="920"/>
      <c r="BA146" s="920"/>
      <c r="BB146" s="920"/>
      <c r="BC146" s="920"/>
      <c r="BD146" s="920"/>
      <c r="BE146" s="920"/>
      <c r="BF146" s="920"/>
      <c r="BG146" s="920"/>
      <c r="BH146" s="920"/>
      <c r="BI146" s="920"/>
      <c r="BJ146" s="920"/>
      <c r="BK146" s="920"/>
      <c r="BL146" s="920"/>
      <c r="BM146" s="920"/>
      <c r="BN146" s="920"/>
      <c r="BO146" s="920"/>
      <c r="BP146" s="920"/>
      <c r="BQ146" s="920"/>
      <c r="BR146" s="920"/>
      <c r="BS146" s="920"/>
      <c r="BT146" s="920"/>
      <c r="BU146" s="920"/>
      <c r="BV146" s="920"/>
      <c r="BW146" s="920"/>
      <c r="BX146" s="920"/>
      <c r="BY146" s="920"/>
      <c r="BZ146" s="920"/>
      <c r="CA146" s="920"/>
      <c r="CB146" s="920"/>
      <c r="CC146" s="920"/>
      <c r="CD146" s="920"/>
      <c r="CE146" s="920"/>
      <c r="CF146" s="920"/>
      <c r="CG146" s="920"/>
      <c r="CH146" s="920"/>
      <c r="CI146" s="920"/>
      <c r="CJ146" s="920"/>
      <c r="CK146" s="920"/>
      <c r="CL146" s="920"/>
      <c r="CM146" s="920"/>
      <c r="CN146" s="920"/>
      <c r="CO146" s="920"/>
      <c r="CP146" s="920"/>
      <c r="CQ146" s="920"/>
      <c r="CR146" s="920"/>
      <c r="CS146" s="920"/>
      <c r="CT146" s="920"/>
      <c r="CU146" s="920"/>
      <c r="CV146" s="920"/>
      <c r="CW146" s="920"/>
      <c r="CX146" s="920"/>
      <c r="CY146" s="920"/>
      <c r="CZ146" s="920"/>
      <c r="DA146" s="920"/>
      <c r="DB146" s="920"/>
      <c r="DC146" s="920"/>
      <c r="DD146" s="920"/>
      <c r="DE146" s="920"/>
      <c r="DF146" s="920"/>
      <c r="DG146" s="920"/>
      <c r="DH146" s="920"/>
      <c r="DI146" s="920"/>
      <c r="DJ146" s="920"/>
      <c r="DK146" s="920"/>
      <c r="DL146" s="920"/>
      <c r="DM146" s="920"/>
      <c r="DN146" s="920"/>
      <c r="DO146" s="920"/>
      <c r="DP146" s="920"/>
      <c r="DQ146" s="920"/>
      <c r="DR146" s="920"/>
      <c r="DS146" s="920"/>
      <c r="DT146" s="920"/>
      <c r="DU146" s="920"/>
      <c r="DV146" s="920"/>
      <c r="DW146" s="920"/>
      <c r="DX146" s="920"/>
      <c r="DY146" s="920"/>
      <c r="DZ146" s="920"/>
      <c r="EA146" s="920"/>
      <c r="EB146" s="920"/>
      <c r="EC146" s="920"/>
      <c r="ED146" s="920"/>
      <c r="EE146" s="920"/>
      <c r="EF146" s="920"/>
      <c r="EG146" s="920"/>
      <c r="EH146" s="920"/>
      <c r="EI146" s="920"/>
      <c r="EJ146" s="920"/>
      <c r="EK146" s="920"/>
      <c r="EL146" s="920"/>
      <c r="EM146" s="920"/>
      <c r="EN146" s="920"/>
      <c r="EO146" s="920"/>
      <c r="EP146" s="920"/>
      <c r="EQ146" s="920"/>
      <c r="ER146" s="920"/>
      <c r="ES146" s="920"/>
      <c r="ET146" s="920"/>
      <c r="EU146" s="920"/>
      <c r="EV146" s="920"/>
      <c r="EW146" s="920"/>
      <c r="EX146" s="920"/>
      <c r="EY146" s="920"/>
      <c r="EZ146" s="920"/>
      <c r="FA146" s="920"/>
      <c r="FB146" s="920"/>
      <c r="FC146" s="920"/>
      <c r="FD146" s="920"/>
      <c r="FE146" s="920"/>
      <c r="FF146" s="920"/>
      <c r="FG146" s="920"/>
      <c r="FH146" s="920"/>
      <c r="FI146" s="920"/>
      <c r="FJ146" s="920"/>
      <c r="FK146" s="920"/>
      <c r="FL146" s="920"/>
      <c r="FM146" s="920"/>
      <c r="FN146" s="920"/>
      <c r="FO146" s="920"/>
      <c r="FP146" s="920"/>
      <c r="FQ146" s="920"/>
      <c r="FR146" s="920"/>
      <c r="FS146" s="920"/>
      <c r="FT146" s="920"/>
      <c r="FU146" s="920"/>
      <c r="FV146" s="920"/>
      <c r="FW146" s="920"/>
      <c r="FX146" s="920"/>
      <c r="FY146" s="920"/>
      <c r="FZ146" s="920"/>
      <c r="GA146" s="920"/>
      <c r="GB146" s="920"/>
      <c r="GC146" s="920"/>
      <c r="GD146" s="920"/>
      <c r="GE146" s="920"/>
      <c r="GF146" s="920"/>
      <c r="GG146" s="920"/>
      <c r="GH146" s="920"/>
      <c r="GI146" s="920"/>
      <c r="GJ146" s="920"/>
      <c r="GK146" s="920"/>
      <c r="GL146" s="920"/>
      <c r="GM146" s="920"/>
      <c r="GN146" s="920"/>
      <c r="GO146" s="920"/>
      <c r="GP146" s="920"/>
      <c r="GQ146" s="920"/>
      <c r="GR146" s="920"/>
      <c r="GS146" s="920"/>
      <c r="GT146" s="920"/>
      <c r="GU146" s="920"/>
      <c r="GV146" s="920"/>
      <c r="GW146" s="920"/>
      <c r="GX146" s="920"/>
      <c r="GY146" s="920"/>
      <c r="GZ146" s="920"/>
      <c r="HA146" s="920"/>
      <c r="HB146" s="920"/>
      <c r="HC146" s="920"/>
      <c r="HD146" s="920"/>
      <c r="HE146" s="920"/>
      <c r="HF146" s="920"/>
      <c r="HG146" s="920"/>
      <c r="HH146" s="920"/>
      <c r="HI146" s="920"/>
      <c r="HJ146" s="920"/>
      <c r="HK146" s="920"/>
      <c r="HL146" s="920"/>
      <c r="HM146" s="920"/>
      <c r="HN146" s="920"/>
      <c r="HO146" s="920"/>
      <c r="HP146" s="920"/>
      <c r="HQ146" s="920"/>
      <c r="HR146" s="920"/>
      <c r="HS146" s="920"/>
      <c r="HT146" s="920"/>
      <c r="HU146" s="920"/>
      <c r="HV146" s="920"/>
      <c r="HW146" s="920"/>
      <c r="HX146" s="920"/>
      <c r="HY146" s="920"/>
      <c r="HZ146" s="920"/>
      <c r="IA146" s="920"/>
      <c r="IB146" s="920"/>
      <c r="IC146" s="920"/>
      <c r="ID146" s="920"/>
      <c r="IE146" s="920"/>
      <c r="IF146" s="920"/>
      <c r="IG146" s="920"/>
      <c r="IH146" s="920"/>
      <c r="II146" s="920"/>
      <c r="IJ146" s="920"/>
      <c r="IK146" s="920"/>
      <c r="IL146" s="920"/>
      <c r="IM146" s="920"/>
      <c r="IN146" s="920"/>
      <c r="IO146" s="920"/>
      <c r="IP146" s="920"/>
      <c r="IQ146" s="920"/>
      <c r="IR146" s="920"/>
      <c r="IS146" s="920"/>
      <c r="IT146" s="920"/>
      <c r="IU146" s="920"/>
      <c r="IV146" s="920"/>
    </row>
    <row r="147" spans="1:256" s="501" customFormat="1">
      <c r="A147" s="904">
        <f ca="1">$Q$143 *(2)</f>
        <v>20</v>
      </c>
      <c r="B147" s="920" t="s">
        <v>296</v>
      </c>
      <c r="C147" s="911">
        <f>$Q$481 *(ROUNDUP(425/3,0))</f>
        <v>0</v>
      </c>
      <c r="D147" s="920" t="s">
        <v>691</v>
      </c>
      <c r="E147" s="920"/>
      <c r="F147" s="901"/>
      <c r="G147" s="950" t="s">
        <v>692</v>
      </c>
      <c r="H147" s="951">
        <v>650</v>
      </c>
      <c r="I147" s="920"/>
      <c r="J147" s="920"/>
      <c r="K147" s="920"/>
      <c r="L147" s="920"/>
      <c r="M147" s="920"/>
      <c r="N147" s="921"/>
      <c r="O147" s="921">
        <v>1</v>
      </c>
      <c r="P147" s="922">
        <v>35705</v>
      </c>
      <c r="Q147" s="898">
        <f>ROUNDUP(0.2*2*1.225,2)</f>
        <v>0.49</v>
      </c>
      <c r="R147" s="909">
        <f t="shared" ca="1" si="12"/>
        <v>9.8000000000000007</v>
      </c>
      <c r="S147" s="914"/>
      <c r="T147" s="910">
        <f t="shared" ca="1" si="13"/>
        <v>0</v>
      </c>
      <c r="X147" s="920"/>
      <c r="Y147" s="920"/>
      <c r="Z147" s="920"/>
      <c r="AA147" s="920"/>
      <c r="AB147" s="920"/>
      <c r="AC147" s="920"/>
      <c r="AD147" s="920"/>
      <c r="AE147" s="920"/>
      <c r="AF147" s="920"/>
      <c r="AG147" s="920"/>
      <c r="AH147" s="920"/>
      <c r="AI147" s="920"/>
      <c r="AJ147" s="920"/>
      <c r="AK147" s="920"/>
      <c r="AL147" s="920"/>
      <c r="AM147" s="920"/>
      <c r="AN147" s="920"/>
      <c r="AO147" s="920"/>
      <c r="AP147" s="920"/>
      <c r="AQ147" s="920"/>
      <c r="AR147" s="920"/>
      <c r="AS147" s="920"/>
      <c r="AT147" s="920"/>
      <c r="AU147" s="920"/>
      <c r="AV147" s="920"/>
      <c r="AW147" s="920"/>
      <c r="AX147" s="920"/>
      <c r="AY147" s="920"/>
      <c r="AZ147" s="920"/>
      <c r="BA147" s="920"/>
      <c r="BB147" s="920"/>
      <c r="BC147" s="920"/>
      <c r="BD147" s="920"/>
      <c r="BE147" s="920"/>
      <c r="BF147" s="920"/>
      <c r="BG147" s="920"/>
      <c r="BH147" s="920"/>
      <c r="BI147" s="920"/>
      <c r="BJ147" s="920"/>
      <c r="BK147" s="920"/>
      <c r="BL147" s="920"/>
      <c r="BM147" s="920"/>
      <c r="BN147" s="920"/>
      <c r="BO147" s="920"/>
      <c r="BP147" s="920"/>
      <c r="BQ147" s="920"/>
      <c r="BR147" s="920"/>
      <c r="BS147" s="920"/>
      <c r="BT147" s="920"/>
      <c r="BU147" s="920"/>
      <c r="BV147" s="920"/>
      <c r="BW147" s="920"/>
      <c r="BX147" s="920"/>
      <c r="BY147" s="920"/>
      <c r="BZ147" s="920"/>
      <c r="CA147" s="920"/>
      <c r="CB147" s="920"/>
      <c r="CC147" s="920"/>
      <c r="CD147" s="920"/>
      <c r="CE147" s="920"/>
      <c r="CF147" s="920"/>
      <c r="CG147" s="920"/>
      <c r="CH147" s="920"/>
      <c r="CI147" s="920"/>
      <c r="CJ147" s="920"/>
      <c r="CK147" s="920"/>
      <c r="CL147" s="920"/>
      <c r="CM147" s="920"/>
      <c r="CN147" s="920"/>
      <c r="CO147" s="920"/>
      <c r="CP147" s="920"/>
      <c r="CQ147" s="920"/>
      <c r="CR147" s="920"/>
      <c r="CS147" s="920"/>
      <c r="CT147" s="920"/>
      <c r="CU147" s="920"/>
      <c r="CV147" s="920"/>
      <c r="CW147" s="920"/>
      <c r="CX147" s="920"/>
      <c r="CY147" s="920"/>
      <c r="CZ147" s="920"/>
      <c r="DA147" s="920"/>
      <c r="DB147" s="920"/>
      <c r="DC147" s="920"/>
      <c r="DD147" s="920"/>
      <c r="DE147" s="920"/>
      <c r="DF147" s="920"/>
      <c r="DG147" s="920"/>
      <c r="DH147" s="920"/>
      <c r="DI147" s="920"/>
      <c r="DJ147" s="920"/>
      <c r="DK147" s="920"/>
      <c r="DL147" s="920"/>
      <c r="DM147" s="920"/>
      <c r="DN147" s="920"/>
      <c r="DO147" s="920"/>
      <c r="DP147" s="920"/>
      <c r="DQ147" s="920"/>
      <c r="DR147" s="920"/>
      <c r="DS147" s="920"/>
      <c r="DT147" s="920"/>
      <c r="DU147" s="920"/>
      <c r="DV147" s="920"/>
      <c r="DW147" s="920"/>
      <c r="DX147" s="920"/>
      <c r="DY147" s="920"/>
      <c r="DZ147" s="920"/>
      <c r="EA147" s="920"/>
      <c r="EB147" s="920"/>
      <c r="EC147" s="920"/>
      <c r="ED147" s="920"/>
      <c r="EE147" s="920"/>
      <c r="EF147" s="920"/>
      <c r="EG147" s="920"/>
      <c r="EH147" s="920"/>
      <c r="EI147" s="920"/>
      <c r="EJ147" s="920"/>
      <c r="EK147" s="920"/>
      <c r="EL147" s="920"/>
      <c r="EM147" s="920"/>
      <c r="EN147" s="920"/>
      <c r="EO147" s="920"/>
      <c r="EP147" s="920"/>
      <c r="EQ147" s="920"/>
      <c r="ER147" s="920"/>
      <c r="ES147" s="920"/>
      <c r="ET147" s="920"/>
      <c r="EU147" s="920"/>
      <c r="EV147" s="920"/>
      <c r="EW147" s="920"/>
      <c r="EX147" s="920"/>
      <c r="EY147" s="920"/>
      <c r="EZ147" s="920"/>
      <c r="FA147" s="920"/>
      <c r="FB147" s="920"/>
      <c r="FC147" s="920"/>
      <c r="FD147" s="920"/>
      <c r="FE147" s="920"/>
      <c r="FF147" s="920"/>
      <c r="FG147" s="920"/>
      <c r="FH147" s="920"/>
      <c r="FI147" s="920"/>
      <c r="FJ147" s="920"/>
      <c r="FK147" s="920"/>
      <c r="FL147" s="920"/>
      <c r="FM147" s="920"/>
      <c r="FN147" s="920"/>
      <c r="FO147" s="920"/>
      <c r="FP147" s="920"/>
      <c r="FQ147" s="920"/>
      <c r="FR147" s="920"/>
      <c r="FS147" s="920"/>
      <c r="FT147" s="920"/>
      <c r="FU147" s="920"/>
      <c r="FV147" s="920"/>
      <c r="FW147" s="920"/>
      <c r="FX147" s="920"/>
      <c r="FY147" s="920"/>
      <c r="FZ147" s="920"/>
      <c r="GA147" s="920"/>
      <c r="GB147" s="920"/>
      <c r="GC147" s="920"/>
      <c r="GD147" s="920"/>
      <c r="GE147" s="920"/>
      <c r="GF147" s="920"/>
      <c r="GG147" s="920"/>
      <c r="GH147" s="920"/>
      <c r="GI147" s="920"/>
      <c r="GJ147" s="920"/>
      <c r="GK147" s="920"/>
      <c r="GL147" s="920"/>
      <c r="GM147" s="920"/>
      <c r="GN147" s="920"/>
      <c r="GO147" s="920"/>
      <c r="GP147" s="920"/>
      <c r="GQ147" s="920"/>
      <c r="GR147" s="920"/>
      <c r="GS147" s="920"/>
      <c r="GT147" s="920"/>
      <c r="GU147" s="920"/>
      <c r="GV147" s="920"/>
      <c r="GW147" s="920"/>
      <c r="GX147" s="920"/>
      <c r="GY147" s="920"/>
      <c r="GZ147" s="920"/>
      <c r="HA147" s="920"/>
      <c r="HB147" s="920"/>
      <c r="HC147" s="920"/>
      <c r="HD147" s="920"/>
      <c r="HE147" s="920"/>
      <c r="HF147" s="920"/>
      <c r="HG147" s="920"/>
      <c r="HH147" s="920"/>
      <c r="HI147" s="920"/>
      <c r="HJ147" s="920"/>
      <c r="HK147" s="920"/>
      <c r="HL147" s="920"/>
      <c r="HM147" s="920"/>
      <c r="HN147" s="920"/>
      <c r="HO147" s="920"/>
      <c r="HP147" s="920"/>
      <c r="HQ147" s="920"/>
      <c r="HR147" s="920"/>
      <c r="HS147" s="920"/>
      <c r="HT147" s="920"/>
      <c r="HU147" s="920"/>
      <c r="HV147" s="920"/>
      <c r="HW147" s="920"/>
      <c r="HX147" s="920"/>
      <c r="HY147" s="920"/>
      <c r="HZ147" s="920"/>
      <c r="IA147" s="920"/>
      <c r="IB147" s="920"/>
      <c r="IC147" s="920"/>
      <c r="ID147" s="920"/>
      <c r="IE147" s="920"/>
      <c r="IF147" s="920"/>
      <c r="IG147" s="920"/>
      <c r="IH147" s="920"/>
      <c r="II147" s="920"/>
      <c r="IJ147" s="920"/>
      <c r="IK147" s="920"/>
      <c r="IL147" s="920"/>
      <c r="IM147" s="920"/>
      <c r="IN147" s="920"/>
      <c r="IO147" s="920"/>
      <c r="IP147" s="920"/>
      <c r="IQ147" s="920"/>
      <c r="IR147" s="920"/>
      <c r="IS147" s="920"/>
      <c r="IT147" s="920"/>
      <c r="IU147" s="920"/>
      <c r="IV147" s="920"/>
    </row>
    <row r="148" spans="1:256" s="501" customFormat="1">
      <c r="A148" s="904">
        <f ca="1">$Q$143 *(10)</f>
        <v>100</v>
      </c>
      <c r="B148" s="920" t="s">
        <v>141</v>
      </c>
      <c r="C148" s="911">
        <f>$Q$481 *(ROUNDUP(425/3*8,0))</f>
        <v>0</v>
      </c>
      <c r="D148" s="920" t="s">
        <v>693</v>
      </c>
      <c r="E148" s="920"/>
      <c r="F148" s="901"/>
      <c r="G148" s="950" t="s">
        <v>694</v>
      </c>
      <c r="H148" s="951">
        <v>875</v>
      </c>
      <c r="I148" s="920"/>
      <c r="J148" s="920"/>
      <c r="K148" s="920"/>
      <c r="L148" s="920"/>
      <c r="M148" s="920"/>
      <c r="N148" s="921"/>
      <c r="O148" s="921">
        <v>1</v>
      </c>
      <c r="P148" s="922">
        <v>34669</v>
      </c>
      <c r="Q148" s="898">
        <f>1.225 *(0.07)</f>
        <v>8.5750000000000021E-2</v>
      </c>
      <c r="R148" s="909">
        <f t="shared" ca="1" si="12"/>
        <v>8.5750000000000028</v>
      </c>
      <c r="S148" s="914"/>
      <c r="T148" s="910">
        <f t="shared" ca="1" si="13"/>
        <v>0</v>
      </c>
      <c r="X148" s="920"/>
      <c r="Y148" s="920"/>
      <c r="Z148" s="920"/>
      <c r="AA148" s="920"/>
      <c r="AB148" s="920"/>
      <c r="AC148" s="920"/>
      <c r="AD148" s="920"/>
      <c r="AE148" s="920"/>
      <c r="AF148" s="920"/>
      <c r="AG148" s="920"/>
      <c r="AH148" s="920"/>
      <c r="AI148" s="920"/>
      <c r="AJ148" s="920"/>
      <c r="AK148" s="920"/>
      <c r="AL148" s="920"/>
      <c r="AM148" s="920"/>
      <c r="AN148" s="920"/>
      <c r="AO148" s="920"/>
      <c r="AP148" s="920"/>
      <c r="AQ148" s="920"/>
      <c r="AR148" s="920"/>
      <c r="AS148" s="920"/>
      <c r="AT148" s="920"/>
      <c r="AU148" s="920"/>
      <c r="AV148" s="920"/>
      <c r="AW148" s="920"/>
      <c r="AX148" s="920"/>
      <c r="AY148" s="920"/>
      <c r="AZ148" s="920"/>
      <c r="BA148" s="920"/>
      <c r="BB148" s="920"/>
      <c r="BC148" s="920"/>
      <c r="BD148" s="920"/>
      <c r="BE148" s="920"/>
      <c r="BF148" s="920"/>
      <c r="BG148" s="920"/>
      <c r="BH148" s="920"/>
      <c r="BI148" s="920"/>
      <c r="BJ148" s="920"/>
      <c r="BK148" s="920"/>
      <c r="BL148" s="920"/>
      <c r="BM148" s="920"/>
      <c r="BN148" s="920"/>
      <c r="BO148" s="920"/>
      <c r="BP148" s="920"/>
      <c r="BQ148" s="920"/>
      <c r="BR148" s="920"/>
      <c r="BS148" s="920"/>
      <c r="BT148" s="920"/>
      <c r="BU148" s="920"/>
      <c r="BV148" s="920"/>
      <c r="BW148" s="920"/>
      <c r="BX148" s="920"/>
      <c r="BY148" s="920"/>
      <c r="BZ148" s="920"/>
      <c r="CA148" s="920"/>
      <c r="CB148" s="920"/>
      <c r="CC148" s="920"/>
      <c r="CD148" s="920"/>
      <c r="CE148" s="920"/>
      <c r="CF148" s="920"/>
      <c r="CG148" s="920"/>
      <c r="CH148" s="920"/>
      <c r="CI148" s="920"/>
      <c r="CJ148" s="920"/>
      <c r="CK148" s="920"/>
      <c r="CL148" s="920"/>
      <c r="CM148" s="920"/>
      <c r="CN148" s="920"/>
      <c r="CO148" s="920"/>
      <c r="CP148" s="920"/>
      <c r="CQ148" s="920"/>
      <c r="CR148" s="920"/>
      <c r="CS148" s="920"/>
      <c r="CT148" s="920"/>
      <c r="CU148" s="920"/>
      <c r="CV148" s="920"/>
      <c r="CW148" s="920"/>
      <c r="CX148" s="920"/>
      <c r="CY148" s="920"/>
      <c r="CZ148" s="920"/>
      <c r="DA148" s="920"/>
      <c r="DB148" s="920"/>
      <c r="DC148" s="920"/>
      <c r="DD148" s="920"/>
      <c r="DE148" s="920"/>
      <c r="DF148" s="920"/>
      <c r="DG148" s="920"/>
      <c r="DH148" s="920"/>
      <c r="DI148" s="920"/>
      <c r="DJ148" s="920"/>
      <c r="DK148" s="920"/>
      <c r="DL148" s="920"/>
      <c r="DM148" s="920"/>
      <c r="DN148" s="920"/>
      <c r="DO148" s="920"/>
      <c r="DP148" s="920"/>
      <c r="DQ148" s="920"/>
      <c r="DR148" s="920"/>
      <c r="DS148" s="920"/>
      <c r="DT148" s="920"/>
      <c r="DU148" s="920"/>
      <c r="DV148" s="920"/>
      <c r="DW148" s="920"/>
      <c r="DX148" s="920"/>
      <c r="DY148" s="920"/>
      <c r="DZ148" s="920"/>
      <c r="EA148" s="920"/>
      <c r="EB148" s="920"/>
      <c r="EC148" s="920"/>
      <c r="ED148" s="920"/>
      <c r="EE148" s="920"/>
      <c r="EF148" s="920"/>
      <c r="EG148" s="920"/>
      <c r="EH148" s="920"/>
      <c r="EI148" s="920"/>
      <c r="EJ148" s="920"/>
      <c r="EK148" s="920"/>
      <c r="EL148" s="920"/>
      <c r="EM148" s="920"/>
      <c r="EN148" s="920"/>
      <c r="EO148" s="920"/>
      <c r="EP148" s="920"/>
      <c r="EQ148" s="920"/>
      <c r="ER148" s="920"/>
      <c r="ES148" s="920"/>
      <c r="ET148" s="920"/>
      <c r="EU148" s="920"/>
      <c r="EV148" s="920"/>
      <c r="EW148" s="920"/>
      <c r="EX148" s="920"/>
      <c r="EY148" s="920"/>
      <c r="EZ148" s="920"/>
      <c r="FA148" s="920"/>
      <c r="FB148" s="920"/>
      <c r="FC148" s="920"/>
      <c r="FD148" s="920"/>
      <c r="FE148" s="920"/>
      <c r="FF148" s="920"/>
      <c r="FG148" s="920"/>
      <c r="FH148" s="920"/>
      <c r="FI148" s="920"/>
      <c r="FJ148" s="920"/>
      <c r="FK148" s="920"/>
      <c r="FL148" s="920"/>
      <c r="FM148" s="920"/>
      <c r="FN148" s="920"/>
      <c r="FO148" s="920"/>
      <c r="FP148" s="920"/>
      <c r="FQ148" s="920"/>
      <c r="FR148" s="920"/>
      <c r="FS148" s="920"/>
      <c r="FT148" s="920"/>
      <c r="FU148" s="920"/>
      <c r="FV148" s="920"/>
      <c r="FW148" s="920"/>
      <c r="FX148" s="920"/>
      <c r="FY148" s="920"/>
      <c r="FZ148" s="920"/>
      <c r="GA148" s="920"/>
      <c r="GB148" s="920"/>
      <c r="GC148" s="920"/>
      <c r="GD148" s="920"/>
      <c r="GE148" s="920"/>
      <c r="GF148" s="920"/>
      <c r="GG148" s="920"/>
      <c r="GH148" s="920"/>
      <c r="GI148" s="920"/>
      <c r="GJ148" s="920"/>
      <c r="GK148" s="920"/>
      <c r="GL148" s="920"/>
      <c r="GM148" s="920"/>
      <c r="GN148" s="920"/>
      <c r="GO148" s="920"/>
      <c r="GP148" s="920"/>
      <c r="GQ148" s="920"/>
      <c r="GR148" s="920"/>
      <c r="GS148" s="920"/>
      <c r="GT148" s="920"/>
      <c r="GU148" s="920"/>
      <c r="GV148" s="920"/>
      <c r="GW148" s="920"/>
      <c r="GX148" s="920"/>
      <c r="GY148" s="920"/>
      <c r="GZ148" s="920"/>
      <c r="HA148" s="920"/>
      <c r="HB148" s="920"/>
      <c r="HC148" s="920"/>
      <c r="HD148" s="920"/>
      <c r="HE148" s="920"/>
      <c r="HF148" s="920"/>
      <c r="HG148" s="920"/>
      <c r="HH148" s="920"/>
      <c r="HI148" s="920"/>
      <c r="HJ148" s="920"/>
      <c r="HK148" s="920"/>
      <c r="HL148" s="920"/>
      <c r="HM148" s="920"/>
      <c r="HN148" s="920"/>
      <c r="HO148" s="920"/>
      <c r="HP148" s="920"/>
      <c r="HQ148" s="920"/>
      <c r="HR148" s="920"/>
      <c r="HS148" s="920"/>
      <c r="HT148" s="920"/>
      <c r="HU148" s="920"/>
      <c r="HV148" s="920"/>
      <c r="HW148" s="920"/>
      <c r="HX148" s="920"/>
      <c r="HY148" s="920"/>
      <c r="HZ148" s="920"/>
      <c r="IA148" s="920"/>
      <c r="IB148" s="920"/>
      <c r="IC148" s="920"/>
      <c r="ID148" s="920"/>
      <c r="IE148" s="920"/>
      <c r="IF148" s="920"/>
      <c r="IG148" s="920"/>
      <c r="IH148" s="920"/>
      <c r="II148" s="920"/>
      <c r="IJ148" s="920"/>
      <c r="IK148" s="920"/>
      <c r="IL148" s="920"/>
      <c r="IM148" s="920"/>
      <c r="IN148" s="920"/>
      <c r="IO148" s="920"/>
      <c r="IP148" s="920"/>
      <c r="IQ148" s="920"/>
      <c r="IR148" s="920"/>
      <c r="IS148" s="920"/>
      <c r="IT148" s="920"/>
      <c r="IU148" s="920"/>
      <c r="IV148" s="920"/>
    </row>
    <row r="149" spans="1:256" s="893" customFormat="1">
      <c r="A149" s="904">
        <f ca="1">$Q$143 *(3)</f>
        <v>30</v>
      </c>
      <c r="B149" s="893" t="s">
        <v>141</v>
      </c>
      <c r="C149" s="911">
        <f>$Q$481 *(425/1.5)</f>
        <v>0</v>
      </c>
      <c r="D149" s="893" t="s">
        <v>696</v>
      </c>
      <c r="F149" s="901"/>
      <c r="G149" s="894" t="s">
        <v>697</v>
      </c>
      <c r="H149" s="895">
        <v>501</v>
      </c>
      <c r="I149" s="893" t="s">
        <v>698</v>
      </c>
      <c r="J149" s="893" t="s">
        <v>699</v>
      </c>
      <c r="K149" s="893" t="s">
        <v>700</v>
      </c>
      <c r="O149" s="896">
        <v>1</v>
      </c>
      <c r="P149" s="897">
        <v>36175</v>
      </c>
      <c r="Q149" s="898">
        <f>1.225 *(0.51)</f>
        <v>0.62475000000000003</v>
      </c>
      <c r="R149" s="899">
        <f t="shared" ca="1" si="12"/>
        <v>18.7425</v>
      </c>
      <c r="S149" s="898"/>
      <c r="T149" s="900">
        <f t="shared" ca="1" si="13"/>
        <v>0</v>
      </c>
      <c r="U149" s="501"/>
      <c r="V149" s="501"/>
      <c r="W149" s="501"/>
    </row>
    <row r="150" spans="1:256" s="893" customFormat="1">
      <c r="A150" s="904">
        <f ca="1">$Q$143 *(3)</f>
        <v>30</v>
      </c>
      <c r="B150" s="893" t="s">
        <v>141</v>
      </c>
      <c r="C150" s="911">
        <f>$Q$481 *(425/1.5)</f>
        <v>0</v>
      </c>
      <c r="D150" s="893" t="s">
        <v>777</v>
      </c>
      <c r="F150" s="901"/>
      <c r="G150" s="894" t="s">
        <v>778</v>
      </c>
      <c r="H150" s="895">
        <v>501</v>
      </c>
      <c r="I150" s="893" t="s">
        <v>643</v>
      </c>
      <c r="K150" s="893" t="s">
        <v>779</v>
      </c>
      <c r="O150" s="896">
        <v>1</v>
      </c>
      <c r="P150" s="897"/>
      <c r="Q150" s="898">
        <v>0.06</v>
      </c>
      <c r="R150" s="899">
        <f t="shared" ca="1" si="12"/>
        <v>1.7999999999999998</v>
      </c>
      <c r="S150" s="898"/>
      <c r="T150" s="900">
        <f t="shared" ca="1" si="13"/>
        <v>0</v>
      </c>
      <c r="U150" s="501"/>
      <c r="V150" s="501"/>
      <c r="W150" s="501"/>
    </row>
    <row r="151" spans="1:256" s="501" customFormat="1">
      <c r="A151" s="904">
        <f ca="1">$Q$143 *(3)</f>
        <v>30</v>
      </c>
      <c r="B151" s="497" t="s">
        <v>283</v>
      </c>
      <c r="C151" s="911">
        <f>$Q$481 *(ROUNDUP(425/3,0))</f>
        <v>0</v>
      </c>
      <c r="D151" s="893" t="s">
        <v>780</v>
      </c>
      <c r="E151" s="497"/>
      <c r="F151" s="498"/>
      <c r="G151" s="894" t="s">
        <v>781</v>
      </c>
      <c r="H151" s="895">
        <v>650</v>
      </c>
      <c r="I151" s="499"/>
      <c r="J151" s="497"/>
      <c r="K151" s="497"/>
      <c r="L151" s="497"/>
      <c r="M151" s="497"/>
      <c r="N151" s="497"/>
      <c r="O151" s="896">
        <v>1</v>
      </c>
      <c r="P151" s="497"/>
      <c r="Q151" s="898">
        <v>1.5960000000000001</v>
      </c>
      <c r="R151" s="899">
        <f t="shared" ca="1" si="12"/>
        <v>47.88</v>
      </c>
      <c r="S151" s="898">
        <v>0.01</v>
      </c>
      <c r="T151" s="900">
        <f t="shared" ca="1" si="13"/>
        <v>0.3</v>
      </c>
    </row>
    <row r="152" spans="1:256" s="501" customFormat="1">
      <c r="A152" s="904">
        <f ca="1">$Q$143 *(3)</f>
        <v>30</v>
      </c>
      <c r="B152" s="893" t="s">
        <v>141</v>
      </c>
      <c r="C152" s="911">
        <f>$Q$481 *(425/1.5)</f>
        <v>0</v>
      </c>
      <c r="D152" s="893" t="s">
        <v>782</v>
      </c>
      <c r="E152" s="893"/>
      <c r="F152" s="901"/>
      <c r="G152" s="894" t="s">
        <v>725</v>
      </c>
      <c r="H152" s="895">
        <v>501</v>
      </c>
      <c r="I152" s="893" t="s">
        <v>643</v>
      </c>
      <c r="J152" s="893"/>
      <c r="K152" s="893" t="s">
        <v>783</v>
      </c>
      <c r="L152" s="893"/>
      <c r="M152" s="893"/>
      <c r="N152" s="893"/>
      <c r="O152" s="896">
        <v>1</v>
      </c>
      <c r="P152" s="897"/>
      <c r="Q152" s="898">
        <f>1.225 *(0.01)</f>
        <v>1.225E-2</v>
      </c>
      <c r="R152" s="899">
        <f t="shared" ca="1" si="12"/>
        <v>0.36749999999999999</v>
      </c>
      <c r="S152" s="898"/>
      <c r="T152" s="900">
        <f t="shared" ca="1" si="13"/>
        <v>0</v>
      </c>
      <c r="X152" s="893"/>
      <c r="Y152" s="893"/>
      <c r="Z152" s="893"/>
      <c r="AA152" s="893"/>
      <c r="AB152" s="893"/>
      <c r="AC152" s="893"/>
      <c r="AD152" s="893"/>
      <c r="AE152" s="893"/>
      <c r="AF152" s="893"/>
      <c r="AG152" s="893"/>
      <c r="AH152" s="893"/>
      <c r="AI152" s="893"/>
      <c r="AJ152" s="893"/>
      <c r="AK152" s="893"/>
      <c r="AL152" s="893"/>
      <c r="AM152" s="893"/>
      <c r="AN152" s="893"/>
      <c r="AO152" s="893"/>
      <c r="AP152" s="893"/>
      <c r="AQ152" s="893"/>
      <c r="AR152" s="893"/>
      <c r="AS152" s="893"/>
      <c r="AT152" s="893"/>
      <c r="AU152" s="893"/>
      <c r="AV152" s="893"/>
      <c r="AW152" s="893"/>
      <c r="AX152" s="893"/>
      <c r="AY152" s="893"/>
      <c r="AZ152" s="893"/>
      <c r="BA152" s="893"/>
      <c r="BB152" s="893"/>
      <c r="BC152" s="893"/>
      <c r="BD152" s="893"/>
      <c r="BE152" s="893"/>
      <c r="BF152" s="893"/>
      <c r="BG152" s="893"/>
      <c r="BH152" s="893"/>
      <c r="BI152" s="893"/>
      <c r="BJ152" s="893"/>
      <c r="BK152" s="893"/>
      <c r="BL152" s="893"/>
      <c r="BM152" s="893"/>
      <c r="BN152" s="893"/>
      <c r="BO152" s="893"/>
      <c r="BP152" s="893"/>
      <c r="BQ152" s="893"/>
      <c r="BR152" s="893"/>
      <c r="BS152" s="893"/>
      <c r="BT152" s="893"/>
      <c r="BU152" s="893"/>
      <c r="BV152" s="893"/>
      <c r="BW152" s="893"/>
      <c r="BX152" s="893"/>
      <c r="BY152" s="893"/>
      <c r="BZ152" s="893"/>
      <c r="CA152" s="893"/>
      <c r="CB152" s="893"/>
      <c r="CC152" s="893"/>
      <c r="CD152" s="893"/>
      <c r="CE152" s="893"/>
      <c r="CF152" s="893"/>
      <c r="CG152" s="893"/>
      <c r="CH152" s="893"/>
      <c r="CI152" s="893"/>
      <c r="CJ152" s="893"/>
      <c r="CK152" s="893"/>
      <c r="CL152" s="893"/>
      <c r="CM152" s="893"/>
      <c r="CN152" s="893"/>
      <c r="CO152" s="893"/>
      <c r="CP152" s="893"/>
      <c r="CQ152" s="893"/>
      <c r="CR152" s="893"/>
      <c r="CS152" s="893"/>
      <c r="CT152" s="893"/>
      <c r="CU152" s="893"/>
      <c r="CV152" s="893"/>
      <c r="CW152" s="893"/>
      <c r="CX152" s="893"/>
      <c r="CY152" s="893"/>
      <c r="CZ152" s="893"/>
      <c r="DA152" s="893"/>
      <c r="DB152" s="893"/>
      <c r="DC152" s="893"/>
      <c r="DD152" s="893"/>
      <c r="DE152" s="893"/>
      <c r="DF152" s="893"/>
      <c r="DG152" s="893"/>
      <c r="DH152" s="893"/>
      <c r="DI152" s="893"/>
      <c r="DJ152" s="893"/>
      <c r="DK152" s="893"/>
      <c r="DL152" s="893"/>
      <c r="DM152" s="893"/>
      <c r="DN152" s="893"/>
      <c r="DO152" s="893"/>
      <c r="DP152" s="893"/>
      <c r="DQ152" s="893"/>
      <c r="DR152" s="893"/>
      <c r="DS152" s="893"/>
      <c r="DT152" s="893"/>
      <c r="DU152" s="893"/>
      <c r="DV152" s="893"/>
      <c r="DW152" s="893"/>
      <c r="DX152" s="893"/>
      <c r="DY152" s="893"/>
      <c r="DZ152" s="893"/>
      <c r="EA152" s="893"/>
      <c r="EB152" s="893"/>
      <c r="EC152" s="893"/>
      <c r="ED152" s="893"/>
      <c r="EE152" s="893"/>
      <c r="EF152" s="893"/>
      <c r="EG152" s="893"/>
      <c r="EH152" s="893"/>
      <c r="EI152" s="893"/>
      <c r="EJ152" s="893"/>
      <c r="EK152" s="893"/>
      <c r="EL152" s="893"/>
      <c r="EM152" s="893"/>
      <c r="EN152" s="893"/>
      <c r="EO152" s="893"/>
      <c r="EP152" s="893"/>
      <c r="EQ152" s="893"/>
      <c r="ER152" s="893"/>
      <c r="ES152" s="893"/>
      <c r="ET152" s="893"/>
      <c r="EU152" s="893"/>
      <c r="EV152" s="893"/>
      <c r="EW152" s="893"/>
      <c r="EX152" s="893"/>
      <c r="EY152" s="893"/>
      <c r="EZ152" s="893"/>
      <c r="FA152" s="893"/>
      <c r="FB152" s="893"/>
      <c r="FC152" s="893"/>
      <c r="FD152" s="893"/>
      <c r="FE152" s="893"/>
      <c r="FF152" s="893"/>
      <c r="FG152" s="893"/>
      <c r="FH152" s="893"/>
      <c r="FI152" s="893"/>
      <c r="FJ152" s="893"/>
      <c r="FK152" s="893"/>
      <c r="FL152" s="893"/>
      <c r="FM152" s="893"/>
      <c r="FN152" s="893"/>
      <c r="FO152" s="893"/>
      <c r="FP152" s="893"/>
      <c r="FQ152" s="893"/>
      <c r="FR152" s="893"/>
      <c r="FS152" s="893"/>
      <c r="FT152" s="893"/>
      <c r="FU152" s="893"/>
      <c r="FV152" s="893"/>
      <c r="FW152" s="893"/>
      <c r="FX152" s="893"/>
      <c r="FY152" s="893"/>
      <c r="FZ152" s="893"/>
      <c r="GA152" s="893"/>
      <c r="GB152" s="893"/>
      <c r="GC152" s="893"/>
      <c r="GD152" s="893"/>
      <c r="GE152" s="893"/>
      <c r="GF152" s="893"/>
      <c r="GG152" s="893"/>
      <c r="GH152" s="893"/>
      <c r="GI152" s="893"/>
      <c r="GJ152" s="893"/>
      <c r="GK152" s="893"/>
      <c r="GL152" s="893"/>
      <c r="GM152" s="893"/>
      <c r="GN152" s="893"/>
      <c r="GO152" s="893"/>
      <c r="GP152" s="893"/>
      <c r="GQ152" s="893"/>
      <c r="GR152" s="893"/>
      <c r="GS152" s="893"/>
      <c r="GT152" s="893"/>
      <c r="GU152" s="893"/>
      <c r="GV152" s="893"/>
      <c r="GW152" s="893"/>
      <c r="GX152" s="893"/>
      <c r="GY152" s="893"/>
      <c r="GZ152" s="893"/>
      <c r="HA152" s="893"/>
      <c r="HB152" s="893"/>
      <c r="HC152" s="893"/>
      <c r="HD152" s="893"/>
      <c r="HE152" s="893"/>
      <c r="HF152" s="893"/>
      <c r="HG152" s="893"/>
      <c r="HH152" s="893"/>
      <c r="HI152" s="893"/>
      <c r="HJ152" s="893"/>
      <c r="HK152" s="893"/>
      <c r="HL152" s="893"/>
      <c r="HM152" s="893"/>
      <c r="HN152" s="893"/>
      <c r="HO152" s="893"/>
      <c r="HP152" s="893"/>
      <c r="HQ152" s="893"/>
      <c r="HR152" s="893"/>
      <c r="HS152" s="893"/>
      <c r="HT152" s="893"/>
      <c r="HU152" s="893"/>
      <c r="HV152" s="893"/>
      <c r="HW152" s="893"/>
      <c r="HX152" s="893"/>
      <c r="HY152" s="893"/>
      <c r="HZ152" s="893"/>
      <c r="IA152" s="893"/>
      <c r="IB152" s="893"/>
      <c r="IC152" s="893"/>
      <c r="ID152" s="893"/>
      <c r="IE152" s="893"/>
      <c r="IF152" s="893"/>
      <c r="IG152" s="893"/>
      <c r="IH152" s="893"/>
      <c r="II152" s="893"/>
      <c r="IJ152" s="893"/>
      <c r="IK152" s="893"/>
      <c r="IL152" s="893"/>
      <c r="IM152" s="893"/>
      <c r="IN152" s="893"/>
      <c r="IO152" s="893"/>
      <c r="IP152" s="893"/>
      <c r="IQ152" s="893"/>
      <c r="IR152" s="893"/>
      <c r="IS152" s="893"/>
      <c r="IT152" s="893"/>
      <c r="IU152" s="893"/>
      <c r="IV152" s="893"/>
    </row>
    <row r="153" spans="1:256" s="893" customFormat="1">
      <c r="A153" s="904">
        <f ca="1">$Q$143 *(0.5)</f>
        <v>5</v>
      </c>
      <c r="B153" s="893" t="s">
        <v>296</v>
      </c>
      <c r="D153" s="893" t="s">
        <v>716</v>
      </c>
      <c r="G153" s="894" t="s">
        <v>717</v>
      </c>
      <c r="H153" s="895">
        <v>501</v>
      </c>
      <c r="I153" s="893" t="s">
        <v>698</v>
      </c>
      <c r="J153" s="893" t="s">
        <v>718</v>
      </c>
      <c r="K153" s="893" t="s">
        <v>784</v>
      </c>
      <c r="O153" s="896">
        <v>1</v>
      </c>
      <c r="P153" s="897">
        <v>36175</v>
      </c>
      <c r="Q153" s="898">
        <v>3.07</v>
      </c>
      <c r="R153" s="899">
        <f t="shared" ca="1" si="12"/>
        <v>15.35</v>
      </c>
      <c r="S153" s="898"/>
      <c r="T153" s="900">
        <f t="shared" ca="1" si="13"/>
        <v>0</v>
      </c>
    </row>
    <row r="154" spans="1:256" s="893" customFormat="1">
      <c r="A154" s="904">
        <f ca="1">$Q$143 *(6)</f>
        <v>60</v>
      </c>
      <c r="B154" s="893" t="s">
        <v>141</v>
      </c>
      <c r="D154" s="893" t="s">
        <v>714</v>
      </c>
      <c r="G154" s="894" t="s">
        <v>715</v>
      </c>
      <c r="H154" s="895">
        <v>501</v>
      </c>
      <c r="I154" s="893" t="s">
        <v>643</v>
      </c>
      <c r="K154" s="893" t="s">
        <v>785</v>
      </c>
      <c r="O154" s="896">
        <v>1</v>
      </c>
      <c r="P154" s="897"/>
      <c r="Q154" s="898">
        <v>0.15</v>
      </c>
      <c r="R154" s="899">
        <f t="shared" ca="1" si="12"/>
        <v>9</v>
      </c>
      <c r="S154" s="898"/>
      <c r="T154" s="900">
        <f t="shared" ca="1" si="13"/>
        <v>0</v>
      </c>
    </row>
    <row r="155" spans="1:256" s="893" customFormat="1">
      <c r="A155" s="926">
        <f ca="1">$Q$143 *(3)</f>
        <v>30</v>
      </c>
      <c r="B155" s="893" t="s">
        <v>141</v>
      </c>
      <c r="D155" s="893" t="s">
        <v>786</v>
      </c>
      <c r="G155" s="894" t="s">
        <v>720</v>
      </c>
      <c r="H155" s="895">
        <v>900</v>
      </c>
      <c r="I155" s="893" t="s">
        <v>660</v>
      </c>
      <c r="O155" s="896">
        <v>1</v>
      </c>
      <c r="P155" s="897"/>
      <c r="Q155" s="952"/>
      <c r="R155" s="899">
        <f t="shared" ca="1" si="12"/>
        <v>0</v>
      </c>
      <c r="S155" s="898">
        <v>0.17</v>
      </c>
      <c r="T155" s="900">
        <f t="shared" ca="1" si="13"/>
        <v>5.1000000000000005</v>
      </c>
      <c r="U155" s="893" t="s">
        <v>721</v>
      </c>
    </row>
    <row r="156" spans="1:256" s="893" customFormat="1">
      <c r="A156" s="904">
        <f ca="1">$Q$143 *(3)</f>
        <v>30</v>
      </c>
      <c r="B156" s="893" t="s">
        <v>296</v>
      </c>
      <c r="D156" s="893" t="s">
        <v>867</v>
      </c>
      <c r="G156" s="894" t="s">
        <v>800</v>
      </c>
      <c r="H156" s="895">
        <v>616</v>
      </c>
      <c r="I156" s="893" t="s">
        <v>656</v>
      </c>
      <c r="J156" s="893" t="s">
        <v>801</v>
      </c>
      <c r="O156" s="896">
        <v>2</v>
      </c>
      <c r="P156" s="897">
        <v>40767</v>
      </c>
      <c r="Q156" s="898">
        <v>5.91</v>
      </c>
      <c r="R156" s="899">
        <f t="shared" ca="1" si="12"/>
        <v>177.3</v>
      </c>
      <c r="S156" s="898">
        <v>7.0000000000000007E-2</v>
      </c>
      <c r="T156" s="900">
        <f t="shared" ca="1" si="13"/>
        <v>2.1</v>
      </c>
    </row>
    <row r="157" spans="1:256" s="893" customFormat="1">
      <c r="A157" s="904">
        <f ca="1">$Q$143 *(2)</f>
        <v>20</v>
      </c>
      <c r="B157" s="893" t="s">
        <v>141</v>
      </c>
      <c r="D157" s="893" t="s">
        <v>802</v>
      </c>
      <c r="G157" s="894" t="s">
        <v>803</v>
      </c>
      <c r="H157" s="895">
        <v>620</v>
      </c>
      <c r="I157" s="893" t="s">
        <v>671</v>
      </c>
      <c r="O157" s="896">
        <v>2</v>
      </c>
      <c r="P157" s="897">
        <v>35431</v>
      </c>
      <c r="Q157" s="898">
        <v>3.59</v>
      </c>
      <c r="R157" s="899">
        <f t="shared" ca="1" si="12"/>
        <v>71.8</v>
      </c>
      <c r="S157" s="898">
        <v>0.2</v>
      </c>
      <c r="T157" s="900">
        <f t="shared" ca="1" si="13"/>
        <v>4</v>
      </c>
    </row>
    <row r="158" spans="1:256" s="893" customFormat="1">
      <c r="A158" s="904">
        <f ca="1">$Q$143 *(2)</f>
        <v>20</v>
      </c>
      <c r="B158" s="893" t="s">
        <v>296</v>
      </c>
      <c r="D158" s="893" t="s">
        <v>672</v>
      </c>
      <c r="G158" s="894" t="s">
        <v>673</v>
      </c>
      <c r="H158" s="895">
        <v>620</v>
      </c>
      <c r="I158" s="893" t="s">
        <v>643</v>
      </c>
      <c r="O158" s="896">
        <v>2</v>
      </c>
      <c r="P158" s="897">
        <v>38148</v>
      </c>
      <c r="Q158" s="898">
        <v>1</v>
      </c>
      <c r="R158" s="899">
        <f t="shared" ca="1" si="12"/>
        <v>20</v>
      </c>
      <c r="S158" s="898">
        <v>0.08</v>
      </c>
      <c r="T158" s="900">
        <f t="shared" ca="1" si="13"/>
        <v>1.6</v>
      </c>
    </row>
    <row r="159" spans="1:256" s="893" customFormat="1">
      <c r="A159" s="904">
        <f ca="1">$Q$143 *(10)</f>
        <v>100</v>
      </c>
      <c r="B159" s="893" t="s">
        <v>141</v>
      </c>
      <c r="D159" s="893" t="s">
        <v>681</v>
      </c>
      <c r="G159" s="894" t="s">
        <v>682</v>
      </c>
      <c r="H159" s="895">
        <v>620</v>
      </c>
      <c r="I159" s="893" t="s">
        <v>676</v>
      </c>
      <c r="O159" s="896">
        <v>2</v>
      </c>
      <c r="P159" s="897">
        <v>34669</v>
      </c>
      <c r="Q159" s="898">
        <v>0.15</v>
      </c>
      <c r="R159" s="899">
        <f t="shared" ca="1" si="12"/>
        <v>15</v>
      </c>
      <c r="S159" s="898">
        <v>0.02</v>
      </c>
      <c r="T159" s="900">
        <f t="shared" ca="1" si="13"/>
        <v>2</v>
      </c>
    </row>
    <row r="160" spans="1:256" s="893" customFormat="1">
      <c r="A160" s="926">
        <f ca="1">$Q$143 *(1)</f>
        <v>10</v>
      </c>
      <c r="B160" s="893" t="s">
        <v>141</v>
      </c>
      <c r="D160" s="893" t="s">
        <v>677</v>
      </c>
      <c r="F160" s="893" t="s">
        <v>791</v>
      </c>
      <c r="G160" s="894" t="s">
        <v>678</v>
      </c>
      <c r="H160" s="895">
        <v>900</v>
      </c>
      <c r="I160" s="893" t="s">
        <v>660</v>
      </c>
      <c r="O160" s="896">
        <v>3</v>
      </c>
      <c r="P160" s="897">
        <v>34790</v>
      </c>
      <c r="Q160" s="952"/>
      <c r="R160" s="899">
        <f t="shared" ca="1" si="12"/>
        <v>0</v>
      </c>
      <c r="S160" s="898">
        <v>0.25</v>
      </c>
      <c r="T160" s="900">
        <f t="shared" ca="1" si="13"/>
        <v>2.5</v>
      </c>
      <c r="U160" s="893" t="s">
        <v>721</v>
      </c>
    </row>
    <row r="161" spans="1:256" s="893" customFormat="1">
      <c r="A161" s="926"/>
      <c r="D161" s="953" t="s">
        <v>792</v>
      </c>
      <c r="G161" s="894"/>
      <c r="H161" s="895"/>
      <c r="O161" s="896"/>
      <c r="P161" s="897"/>
      <c r="Q161" s="898"/>
      <c r="R161" s="899"/>
      <c r="S161" s="898"/>
      <c r="T161" s="900"/>
    </row>
    <row r="162" spans="1:256" s="893" customFormat="1">
      <c r="A162" s="926">
        <f ca="1">$Q$143 *(4*5)</f>
        <v>200</v>
      </c>
      <c r="B162" s="893" t="s">
        <v>296</v>
      </c>
      <c r="D162" s="893" t="s">
        <v>804</v>
      </c>
      <c r="G162" s="894" t="s">
        <v>805</v>
      </c>
      <c r="H162" s="895">
        <v>615</v>
      </c>
      <c r="I162" s="893" t="s">
        <v>656</v>
      </c>
      <c r="K162" s="893" t="s">
        <v>806</v>
      </c>
      <c r="O162" s="896">
        <v>2</v>
      </c>
      <c r="P162" s="897">
        <v>38988</v>
      </c>
      <c r="Q162" s="898">
        <v>0.65</v>
      </c>
      <c r="R162" s="899">
        <f t="shared" ref="R162:R167" ca="1" si="14">$A162*Q162</f>
        <v>130</v>
      </c>
      <c r="S162" s="898">
        <v>0.02</v>
      </c>
      <c r="T162" s="900">
        <f t="shared" ref="T162:T167" ca="1" si="15">$A162*S162*$T$1</f>
        <v>4</v>
      </c>
    </row>
    <row r="163" spans="1:256" s="893" customFormat="1">
      <c r="A163" s="904">
        <f ca="1">$Q$143 *(8)</f>
        <v>80</v>
      </c>
      <c r="B163" s="893" t="s">
        <v>141</v>
      </c>
      <c r="D163" s="893" t="s">
        <v>794</v>
      </c>
      <c r="G163" s="894" t="s">
        <v>731</v>
      </c>
      <c r="H163" s="895">
        <v>620</v>
      </c>
      <c r="I163" s="893" t="s">
        <v>643</v>
      </c>
      <c r="O163" s="896">
        <v>2</v>
      </c>
      <c r="P163" s="897"/>
      <c r="Q163" s="898">
        <v>0.05</v>
      </c>
      <c r="R163" s="899">
        <f t="shared" ca="1" si="14"/>
        <v>4</v>
      </c>
      <c r="S163" s="898"/>
      <c r="T163" s="900">
        <f t="shared" ca="1" si="15"/>
        <v>0</v>
      </c>
    </row>
    <row r="164" spans="1:256" s="893" customFormat="1">
      <c r="A164" s="904">
        <f ca="1">$Q$143 *(8)</f>
        <v>80</v>
      </c>
      <c r="B164" s="893" t="s">
        <v>141</v>
      </c>
      <c r="D164" s="893" t="s">
        <v>681</v>
      </c>
      <c r="G164" s="894" t="s">
        <v>682</v>
      </c>
      <c r="H164" s="895">
        <v>620</v>
      </c>
      <c r="I164" s="893" t="s">
        <v>676</v>
      </c>
      <c r="O164" s="896">
        <v>2</v>
      </c>
      <c r="P164" s="897">
        <v>34669</v>
      </c>
      <c r="Q164" s="898">
        <v>0.15</v>
      </c>
      <c r="R164" s="899">
        <f t="shared" ca="1" si="14"/>
        <v>12</v>
      </c>
      <c r="S164" s="898">
        <v>0.02</v>
      </c>
      <c r="T164" s="900">
        <f t="shared" ca="1" si="15"/>
        <v>1.6</v>
      </c>
    </row>
    <row r="165" spans="1:256" s="893" customFormat="1">
      <c r="A165" s="904">
        <f ca="1">$Q$143 *(1)</f>
        <v>10</v>
      </c>
      <c r="B165" s="893" t="s">
        <v>141</v>
      </c>
      <c r="D165" s="893" t="s">
        <v>795</v>
      </c>
      <c r="G165" s="894" t="s">
        <v>684</v>
      </c>
      <c r="H165" s="895">
        <v>620</v>
      </c>
      <c r="I165" s="893" t="s">
        <v>676</v>
      </c>
      <c r="O165" s="896">
        <v>2</v>
      </c>
      <c r="P165" s="897">
        <v>34669</v>
      </c>
      <c r="Q165" s="898">
        <v>10</v>
      </c>
      <c r="R165" s="899">
        <f t="shared" ca="1" si="14"/>
        <v>100</v>
      </c>
      <c r="S165" s="898"/>
      <c r="T165" s="900">
        <f t="shared" ca="1" si="15"/>
        <v>0</v>
      </c>
    </row>
    <row r="166" spans="1:256" s="893" customFormat="1">
      <c r="A166" s="904">
        <f ca="1">$Q$143 *(1)</f>
        <v>10</v>
      </c>
      <c r="B166" s="893" t="s">
        <v>141</v>
      </c>
      <c r="D166" s="893" t="s">
        <v>796</v>
      </c>
      <c r="F166" s="893" t="s">
        <v>797</v>
      </c>
      <c r="G166" s="894" t="s">
        <v>798</v>
      </c>
      <c r="H166" s="895">
        <v>900</v>
      </c>
      <c r="I166" s="893" t="s">
        <v>660</v>
      </c>
      <c r="O166" s="896">
        <v>2</v>
      </c>
      <c r="P166" s="897"/>
      <c r="Q166" s="952"/>
      <c r="R166" s="899">
        <f t="shared" ca="1" si="14"/>
        <v>0</v>
      </c>
      <c r="S166" s="898">
        <v>0.25</v>
      </c>
      <c r="T166" s="900">
        <f t="shared" ca="1" si="15"/>
        <v>2.5</v>
      </c>
      <c r="U166" s="893" t="s">
        <v>721</v>
      </c>
    </row>
    <row r="167" spans="1:256" s="501" customFormat="1">
      <c r="A167" s="497"/>
      <c r="B167" s="3"/>
      <c r="C167" s="497" t="s">
        <v>165</v>
      </c>
      <c r="D167" s="3"/>
      <c r="E167" s="497"/>
      <c r="F167" s="498"/>
      <c r="G167" s="497"/>
      <c r="H167" s="497"/>
      <c r="I167" s="499"/>
      <c r="J167" s="497"/>
      <c r="K167" s="497"/>
      <c r="L167" s="497"/>
      <c r="M167" s="497"/>
      <c r="N167" s="497"/>
      <c r="O167" s="497"/>
      <c r="P167" s="497"/>
      <c r="Q167" s="499"/>
      <c r="R167" s="560">
        <f t="shared" si="14"/>
        <v>0</v>
      </c>
      <c r="S167" s="499"/>
      <c r="T167" s="500">
        <f t="shared" si="15"/>
        <v>0</v>
      </c>
    </row>
    <row r="168" spans="1:256" s="501" customFormat="1" ht="12.6" thickBot="1">
      <c r="A168" s="513" t="s">
        <v>145</v>
      </c>
      <c r="B168" s="514">
        <f ca="1">(R168+T168)-SUM(R144:R167,T144:T167)</f>
        <v>0</v>
      </c>
      <c r="C168" s="515"/>
      <c r="D168" s="561" t="s">
        <v>166</v>
      </c>
      <c r="E168" s="449">
        <f ca="1">IF($B143=0,0,ROUND(ROUND(($R168*$S$2+($T168*$T$2))/$B143, 2)*$C$2,2))</f>
        <v>217.74</v>
      </c>
      <c r="F168" s="450">
        <f ca="1">ROUND($B143*$E168,2)</f>
        <v>2177.4</v>
      </c>
      <c r="G168" s="515"/>
      <c r="H168" s="515"/>
      <c r="I168" s="516"/>
      <c r="J168" s="515"/>
      <c r="K168" s="562" t="s">
        <v>143</v>
      </c>
      <c r="L168" s="517" t="s">
        <v>143</v>
      </c>
      <c r="M168" s="517"/>
      <c r="N168" s="517"/>
      <c r="O168" s="517"/>
      <c r="P168" s="517"/>
      <c r="Q168" s="562"/>
      <c r="R168" s="563">
        <f ca="1">SUM(R144:R167)</f>
        <v>742.41499999999996</v>
      </c>
      <c r="S168" s="564"/>
      <c r="T168" s="563">
        <f ca="1">SUM(T144:T167)</f>
        <v>31.700000000000003</v>
      </c>
      <c r="U168" s="518"/>
      <c r="V168" s="518"/>
      <c r="W168" s="518"/>
      <c r="X168" s="518"/>
      <c r="Y168" s="518"/>
      <c r="Z168" s="518"/>
      <c r="AA168" s="518"/>
      <c r="AB168" s="518"/>
    </row>
    <row r="169" spans="1:256" s="501" customFormat="1" ht="12" thickTop="1">
      <c r="A169" s="44"/>
      <c r="B169" s="44"/>
      <c r="C169" s="44"/>
      <c r="D169" s="44"/>
      <c r="E169" s="44"/>
      <c r="F169" s="44"/>
      <c r="G169" s="44"/>
      <c r="H169" s="44"/>
      <c r="I169" s="44"/>
      <c r="J169" s="44"/>
      <c r="K169" s="44"/>
      <c r="L169" s="44"/>
      <c r="M169" s="44"/>
      <c r="N169" s="44"/>
      <c r="O169" s="45"/>
      <c r="P169" s="44"/>
      <c r="Q169" s="40" t="s">
        <v>163</v>
      </c>
      <c r="R169" s="44"/>
      <c r="S169" s="11"/>
      <c r="T169" s="44"/>
    </row>
    <row r="170" spans="1:256" s="501" customFormat="1" ht="12.6" thickBot="1">
      <c r="A170" s="552">
        <v>1</v>
      </c>
      <c r="B170" s="553">
        <f ca="1">Elec_Est!B3227</f>
        <v>1</v>
      </c>
      <c r="C170" s="554"/>
      <c r="D170" s="555" t="s">
        <v>863</v>
      </c>
      <c r="E170" s="556"/>
      <c r="F170" s="556"/>
      <c r="G170" s="506"/>
      <c r="H170" s="506"/>
      <c r="I170" s="557"/>
      <c r="J170" s="506"/>
      <c r="K170" s="554" t="s">
        <v>164</v>
      </c>
      <c r="L170" s="558" t="s">
        <v>164</v>
      </c>
      <c r="M170" s="558"/>
      <c r="N170" s="558"/>
      <c r="O170" s="558"/>
      <c r="P170" s="558"/>
      <c r="Q170" s="559">
        <f ca="1">B170/A170</f>
        <v>1</v>
      </c>
      <c r="R170" s="948">
        <f ca="1">IF($B170=0,0,IF($S$1="R",ROUND(R194/$B170,2),R194/$B170))</f>
        <v>92.8</v>
      </c>
      <c r="S170" s="949"/>
      <c r="T170" s="948">
        <f ca="1">IF($B170=0,0,IF($S$1="R",ROUND(T194/$B170,2),T194/$B170))</f>
        <v>3.68</v>
      </c>
    </row>
    <row r="171" spans="1:256" s="501" customFormat="1" ht="13.8" thickTop="1">
      <c r="A171" s="505"/>
      <c r="B171" s="3"/>
      <c r="C171" s="3"/>
      <c r="D171" s="85" t="s">
        <v>773</v>
      </c>
      <c r="E171" s="3"/>
      <c r="F171" s="3"/>
      <c r="G171" s="3"/>
      <c r="H171" s="3"/>
      <c r="I171" s="3"/>
      <c r="J171" s="3"/>
      <c r="K171" s="3"/>
      <c r="L171" s="3"/>
      <c r="M171" s="3"/>
      <c r="N171" s="3"/>
      <c r="O171" s="86"/>
      <c r="P171" s="3"/>
      <c r="Q171" s="3"/>
      <c r="R171" s="3"/>
      <c r="S171" s="3"/>
      <c r="T171" s="3"/>
    </row>
    <row r="172" spans="1:256" s="893" customFormat="1">
      <c r="A172" s="904">
        <f ca="1">$Q$170 *(3)</f>
        <v>3</v>
      </c>
      <c r="B172" s="920" t="s">
        <v>296</v>
      </c>
      <c r="C172" s="911">
        <f>$Q$508 *(425)</f>
        <v>0</v>
      </c>
      <c r="D172" s="920" t="s">
        <v>774</v>
      </c>
      <c r="E172" s="920" t="s">
        <v>689</v>
      </c>
      <c r="F172" s="901" t="s">
        <v>775</v>
      </c>
      <c r="G172" s="950" t="s">
        <v>776</v>
      </c>
      <c r="H172" s="951">
        <v>650</v>
      </c>
      <c r="I172" s="920"/>
      <c r="J172" s="920"/>
      <c r="K172" s="920"/>
      <c r="L172" s="920"/>
      <c r="M172" s="920"/>
      <c r="N172" s="921"/>
      <c r="O172" s="921">
        <v>1</v>
      </c>
      <c r="P172" s="922">
        <v>36897</v>
      </c>
      <c r="Q172" s="898">
        <v>3.36</v>
      </c>
      <c r="R172" s="909">
        <f t="shared" ref="R172:R186" ca="1" si="16">$A172*Q172</f>
        <v>10.08</v>
      </c>
      <c r="S172" s="914">
        <v>0.2</v>
      </c>
      <c r="T172" s="910">
        <f t="shared" ref="T172:T186" ca="1" si="17">$A172*S172*$T$1</f>
        <v>0.60000000000000009</v>
      </c>
      <c r="V172" s="501"/>
      <c r="W172" s="920"/>
      <c r="X172" s="920"/>
      <c r="Y172" s="920"/>
      <c r="Z172" s="920"/>
      <c r="AA172" s="920"/>
      <c r="AB172" s="920"/>
      <c r="AC172" s="920"/>
      <c r="AD172" s="920"/>
      <c r="AE172" s="920"/>
      <c r="AF172" s="920"/>
      <c r="AG172" s="920"/>
      <c r="AH172" s="920"/>
      <c r="AI172" s="920"/>
      <c r="AJ172" s="920"/>
      <c r="AK172" s="920"/>
      <c r="AL172" s="920"/>
      <c r="AM172" s="920"/>
      <c r="AN172" s="920"/>
      <c r="AO172" s="920"/>
      <c r="AP172" s="920"/>
      <c r="AQ172" s="920"/>
      <c r="AR172" s="920"/>
      <c r="AS172" s="920"/>
      <c r="AT172" s="920"/>
      <c r="AU172" s="920"/>
      <c r="AV172" s="920"/>
      <c r="AW172" s="920"/>
      <c r="AX172" s="920"/>
      <c r="AY172" s="920"/>
      <c r="AZ172" s="920"/>
      <c r="BA172" s="920"/>
      <c r="BB172" s="920"/>
      <c r="BC172" s="920"/>
      <c r="BD172" s="920"/>
      <c r="BE172" s="920"/>
      <c r="BF172" s="920"/>
      <c r="BG172" s="920"/>
      <c r="BH172" s="920"/>
      <c r="BI172" s="920"/>
      <c r="BJ172" s="920"/>
      <c r="BK172" s="920"/>
      <c r="BL172" s="920"/>
      <c r="BM172" s="920"/>
      <c r="BN172" s="920"/>
      <c r="BO172" s="920"/>
      <c r="BP172" s="920"/>
      <c r="BQ172" s="920"/>
      <c r="BR172" s="920"/>
      <c r="BS172" s="920"/>
      <c r="BT172" s="920"/>
      <c r="BU172" s="920"/>
      <c r="BV172" s="920"/>
      <c r="BW172" s="920"/>
      <c r="BX172" s="920"/>
      <c r="BY172" s="920"/>
      <c r="BZ172" s="920"/>
      <c r="CA172" s="920"/>
      <c r="CB172" s="920"/>
      <c r="CC172" s="920"/>
      <c r="CD172" s="920"/>
      <c r="CE172" s="920"/>
      <c r="CF172" s="920"/>
      <c r="CG172" s="920"/>
      <c r="CH172" s="920"/>
      <c r="CI172" s="920"/>
      <c r="CJ172" s="920"/>
      <c r="CK172" s="920"/>
      <c r="CL172" s="920"/>
      <c r="CM172" s="920"/>
      <c r="CN172" s="920"/>
      <c r="CO172" s="920"/>
      <c r="CP172" s="920"/>
      <c r="CQ172" s="920"/>
      <c r="CR172" s="920"/>
      <c r="CS172" s="920"/>
      <c r="CT172" s="920"/>
      <c r="CU172" s="920"/>
      <c r="CV172" s="920"/>
      <c r="CW172" s="920"/>
      <c r="CX172" s="920"/>
      <c r="CY172" s="920"/>
      <c r="CZ172" s="920"/>
      <c r="DA172" s="920"/>
      <c r="DB172" s="920"/>
      <c r="DC172" s="920"/>
      <c r="DD172" s="920"/>
      <c r="DE172" s="920"/>
      <c r="DF172" s="920"/>
      <c r="DG172" s="920"/>
      <c r="DH172" s="920"/>
      <c r="DI172" s="920"/>
      <c r="DJ172" s="920"/>
      <c r="DK172" s="920"/>
      <c r="DL172" s="920"/>
      <c r="DM172" s="920"/>
      <c r="DN172" s="920"/>
      <c r="DO172" s="920"/>
      <c r="DP172" s="920"/>
      <c r="DQ172" s="920"/>
      <c r="DR172" s="920"/>
      <c r="DS172" s="920"/>
      <c r="DT172" s="920"/>
      <c r="DU172" s="920"/>
      <c r="DV172" s="920"/>
      <c r="DW172" s="920"/>
      <c r="DX172" s="920"/>
      <c r="DY172" s="920"/>
      <c r="DZ172" s="920"/>
      <c r="EA172" s="920"/>
      <c r="EB172" s="920"/>
      <c r="EC172" s="920"/>
      <c r="ED172" s="920"/>
      <c r="EE172" s="920"/>
      <c r="EF172" s="920"/>
      <c r="EG172" s="920"/>
      <c r="EH172" s="920"/>
      <c r="EI172" s="920"/>
      <c r="EJ172" s="920"/>
      <c r="EK172" s="920"/>
      <c r="EL172" s="920"/>
      <c r="EM172" s="920"/>
      <c r="EN172" s="920"/>
      <c r="EO172" s="920"/>
      <c r="EP172" s="920"/>
      <c r="EQ172" s="920"/>
      <c r="ER172" s="920"/>
      <c r="ES172" s="920"/>
      <c r="ET172" s="920"/>
      <c r="EU172" s="920"/>
      <c r="EV172" s="920"/>
      <c r="EW172" s="920"/>
      <c r="EX172" s="920"/>
      <c r="EY172" s="920"/>
      <c r="EZ172" s="920"/>
      <c r="FA172" s="920"/>
      <c r="FB172" s="920"/>
      <c r="FC172" s="920"/>
      <c r="FD172" s="920"/>
      <c r="FE172" s="920"/>
      <c r="FF172" s="920"/>
      <c r="FG172" s="920"/>
      <c r="FH172" s="920"/>
      <c r="FI172" s="920"/>
      <c r="FJ172" s="920"/>
      <c r="FK172" s="920"/>
      <c r="FL172" s="920"/>
      <c r="FM172" s="920"/>
      <c r="FN172" s="920"/>
      <c r="FO172" s="920"/>
      <c r="FP172" s="920"/>
      <c r="FQ172" s="920"/>
      <c r="FR172" s="920"/>
      <c r="FS172" s="920"/>
      <c r="FT172" s="920"/>
      <c r="FU172" s="920"/>
      <c r="FV172" s="920"/>
      <c r="FW172" s="920"/>
      <c r="FX172" s="920"/>
      <c r="FY172" s="920"/>
      <c r="FZ172" s="920"/>
      <c r="GA172" s="920"/>
      <c r="GB172" s="920"/>
      <c r="GC172" s="920"/>
      <c r="GD172" s="920"/>
      <c r="GE172" s="920"/>
      <c r="GF172" s="920"/>
      <c r="GG172" s="920"/>
      <c r="GH172" s="920"/>
      <c r="GI172" s="920"/>
      <c r="GJ172" s="920"/>
      <c r="GK172" s="920"/>
      <c r="GL172" s="920"/>
      <c r="GM172" s="920"/>
      <c r="GN172" s="920"/>
      <c r="GO172" s="920"/>
      <c r="GP172" s="920"/>
      <c r="GQ172" s="920"/>
      <c r="GR172" s="920"/>
      <c r="GS172" s="920"/>
      <c r="GT172" s="920"/>
      <c r="GU172" s="920"/>
      <c r="GV172" s="920"/>
      <c r="GW172" s="920"/>
      <c r="GX172" s="920"/>
      <c r="GY172" s="920"/>
      <c r="GZ172" s="920"/>
      <c r="HA172" s="920"/>
      <c r="HB172" s="920"/>
      <c r="HC172" s="920"/>
      <c r="HD172" s="920"/>
      <c r="HE172" s="920"/>
      <c r="HF172" s="920"/>
      <c r="HG172" s="920"/>
      <c r="HH172" s="920"/>
      <c r="HI172" s="920"/>
      <c r="HJ172" s="920"/>
      <c r="HK172" s="920"/>
      <c r="HL172" s="920"/>
      <c r="HM172" s="920"/>
      <c r="HN172" s="920"/>
      <c r="HO172" s="920"/>
      <c r="HP172" s="920"/>
      <c r="HQ172" s="920"/>
      <c r="HR172" s="920"/>
      <c r="HS172" s="920"/>
      <c r="HT172" s="920"/>
      <c r="HU172" s="920"/>
      <c r="HV172" s="920"/>
      <c r="HW172" s="920"/>
      <c r="HX172" s="920"/>
      <c r="HY172" s="920"/>
      <c r="HZ172" s="920"/>
      <c r="IA172" s="920"/>
      <c r="IB172" s="920"/>
      <c r="IC172" s="920"/>
      <c r="ID172" s="920"/>
      <c r="IE172" s="920"/>
      <c r="IF172" s="920"/>
      <c r="IG172" s="920"/>
      <c r="IH172" s="920"/>
      <c r="II172" s="920"/>
      <c r="IJ172" s="920"/>
      <c r="IK172" s="920"/>
      <c r="IL172" s="920"/>
      <c r="IM172" s="920"/>
      <c r="IN172" s="920"/>
      <c r="IO172" s="920"/>
      <c r="IP172" s="920"/>
      <c r="IQ172" s="920"/>
      <c r="IR172" s="920"/>
      <c r="IS172" s="920"/>
      <c r="IT172" s="920"/>
      <c r="IU172" s="920"/>
      <c r="IV172" s="920"/>
    </row>
    <row r="173" spans="1:256" s="501" customFormat="1">
      <c r="A173" s="904">
        <f ca="1">$Q$170 *(2)</f>
        <v>2</v>
      </c>
      <c r="B173" s="920" t="s">
        <v>296</v>
      </c>
      <c r="C173" s="911">
        <f>$Q$508 *(ROUNDUP(425/3,0))</f>
        <v>0</v>
      </c>
      <c r="D173" s="920" t="s">
        <v>691</v>
      </c>
      <c r="E173" s="920"/>
      <c r="F173" s="901"/>
      <c r="G173" s="950" t="s">
        <v>692</v>
      </c>
      <c r="H173" s="951">
        <v>650</v>
      </c>
      <c r="I173" s="920"/>
      <c r="J173" s="920"/>
      <c r="K173" s="920"/>
      <c r="L173" s="920"/>
      <c r="M173" s="920"/>
      <c r="N173" s="921"/>
      <c r="O173" s="921">
        <v>1</v>
      </c>
      <c r="P173" s="922">
        <v>35705</v>
      </c>
      <c r="Q173" s="898">
        <f>ROUNDUP(0.2*2*1.225,2)</f>
        <v>0.49</v>
      </c>
      <c r="R173" s="909">
        <f t="shared" ca="1" si="16"/>
        <v>0.98</v>
      </c>
      <c r="S173" s="914"/>
      <c r="T173" s="910">
        <f t="shared" ca="1" si="17"/>
        <v>0</v>
      </c>
      <c r="U173" s="893"/>
      <c r="V173" s="920"/>
      <c r="W173" s="920"/>
      <c r="X173" s="920"/>
      <c r="Y173" s="920"/>
      <c r="Z173" s="920"/>
      <c r="AA173" s="920"/>
      <c r="AB173" s="920"/>
      <c r="AC173" s="920"/>
      <c r="AD173" s="920"/>
      <c r="AE173" s="920"/>
      <c r="AF173" s="920"/>
      <c r="AG173" s="920"/>
      <c r="AH173" s="920"/>
      <c r="AI173" s="920"/>
      <c r="AJ173" s="920"/>
      <c r="AK173" s="920"/>
      <c r="AL173" s="920"/>
      <c r="AM173" s="920"/>
      <c r="AN173" s="920"/>
      <c r="AO173" s="920"/>
      <c r="AP173" s="920"/>
      <c r="AQ173" s="920"/>
      <c r="AR173" s="920"/>
      <c r="AS173" s="920"/>
      <c r="AT173" s="920"/>
      <c r="AU173" s="920"/>
      <c r="AV173" s="920"/>
      <c r="AW173" s="920"/>
      <c r="AX173" s="920"/>
      <c r="AY173" s="920"/>
      <c r="AZ173" s="920"/>
      <c r="BA173" s="920"/>
      <c r="BB173" s="920"/>
      <c r="BC173" s="920"/>
      <c r="BD173" s="920"/>
      <c r="BE173" s="920"/>
      <c r="BF173" s="920"/>
      <c r="BG173" s="920"/>
      <c r="BH173" s="920"/>
      <c r="BI173" s="920"/>
      <c r="BJ173" s="920"/>
      <c r="BK173" s="920"/>
      <c r="BL173" s="920"/>
      <c r="BM173" s="920"/>
      <c r="BN173" s="920"/>
      <c r="BO173" s="920"/>
      <c r="BP173" s="920"/>
      <c r="BQ173" s="920"/>
      <c r="BR173" s="920"/>
      <c r="BS173" s="920"/>
      <c r="BT173" s="920"/>
      <c r="BU173" s="920"/>
      <c r="BV173" s="920"/>
      <c r="BW173" s="920"/>
      <c r="BX173" s="920"/>
      <c r="BY173" s="920"/>
      <c r="BZ173" s="920"/>
      <c r="CA173" s="920"/>
      <c r="CB173" s="920"/>
      <c r="CC173" s="920"/>
      <c r="CD173" s="920"/>
      <c r="CE173" s="920"/>
      <c r="CF173" s="920"/>
      <c r="CG173" s="920"/>
      <c r="CH173" s="920"/>
      <c r="CI173" s="920"/>
      <c r="CJ173" s="920"/>
      <c r="CK173" s="920"/>
      <c r="CL173" s="920"/>
      <c r="CM173" s="920"/>
      <c r="CN173" s="920"/>
      <c r="CO173" s="920"/>
      <c r="CP173" s="920"/>
      <c r="CQ173" s="920"/>
      <c r="CR173" s="920"/>
      <c r="CS173" s="920"/>
      <c r="CT173" s="920"/>
      <c r="CU173" s="920"/>
      <c r="CV173" s="920"/>
      <c r="CW173" s="920"/>
      <c r="CX173" s="920"/>
      <c r="CY173" s="920"/>
      <c r="CZ173" s="920"/>
      <c r="DA173" s="920"/>
      <c r="DB173" s="920"/>
      <c r="DC173" s="920"/>
      <c r="DD173" s="920"/>
      <c r="DE173" s="920"/>
      <c r="DF173" s="920"/>
      <c r="DG173" s="920"/>
      <c r="DH173" s="920"/>
      <c r="DI173" s="920"/>
      <c r="DJ173" s="920"/>
      <c r="DK173" s="920"/>
      <c r="DL173" s="920"/>
      <c r="DM173" s="920"/>
      <c r="DN173" s="920"/>
      <c r="DO173" s="920"/>
      <c r="DP173" s="920"/>
      <c r="DQ173" s="920"/>
      <c r="DR173" s="920"/>
      <c r="DS173" s="920"/>
      <c r="DT173" s="920"/>
      <c r="DU173" s="920"/>
      <c r="DV173" s="920"/>
      <c r="DW173" s="920"/>
      <c r="DX173" s="920"/>
      <c r="DY173" s="920"/>
      <c r="DZ173" s="920"/>
      <c r="EA173" s="920"/>
      <c r="EB173" s="920"/>
      <c r="EC173" s="920"/>
      <c r="ED173" s="920"/>
      <c r="EE173" s="920"/>
      <c r="EF173" s="920"/>
      <c r="EG173" s="920"/>
      <c r="EH173" s="920"/>
      <c r="EI173" s="920"/>
      <c r="EJ173" s="920"/>
      <c r="EK173" s="920"/>
      <c r="EL173" s="920"/>
      <c r="EM173" s="920"/>
      <c r="EN173" s="920"/>
      <c r="EO173" s="920"/>
      <c r="EP173" s="920"/>
      <c r="EQ173" s="920"/>
      <c r="ER173" s="920"/>
      <c r="ES173" s="920"/>
      <c r="ET173" s="920"/>
      <c r="EU173" s="920"/>
      <c r="EV173" s="920"/>
      <c r="EW173" s="920"/>
      <c r="EX173" s="920"/>
      <c r="EY173" s="920"/>
      <c r="EZ173" s="920"/>
      <c r="FA173" s="920"/>
      <c r="FB173" s="920"/>
      <c r="FC173" s="920"/>
      <c r="FD173" s="920"/>
      <c r="FE173" s="920"/>
      <c r="FF173" s="920"/>
      <c r="FG173" s="920"/>
      <c r="FH173" s="920"/>
      <c r="FI173" s="920"/>
      <c r="FJ173" s="920"/>
      <c r="FK173" s="920"/>
      <c r="FL173" s="920"/>
      <c r="FM173" s="920"/>
      <c r="FN173" s="920"/>
      <c r="FO173" s="920"/>
      <c r="FP173" s="920"/>
      <c r="FQ173" s="920"/>
      <c r="FR173" s="920"/>
      <c r="FS173" s="920"/>
      <c r="FT173" s="920"/>
      <c r="FU173" s="920"/>
      <c r="FV173" s="920"/>
      <c r="FW173" s="920"/>
      <c r="FX173" s="920"/>
      <c r="FY173" s="920"/>
      <c r="FZ173" s="920"/>
      <c r="GA173" s="920"/>
      <c r="GB173" s="920"/>
      <c r="GC173" s="920"/>
      <c r="GD173" s="920"/>
      <c r="GE173" s="920"/>
      <c r="GF173" s="920"/>
      <c r="GG173" s="920"/>
      <c r="GH173" s="920"/>
      <c r="GI173" s="920"/>
      <c r="GJ173" s="920"/>
      <c r="GK173" s="920"/>
      <c r="GL173" s="920"/>
      <c r="GM173" s="920"/>
      <c r="GN173" s="920"/>
      <c r="GO173" s="920"/>
      <c r="GP173" s="920"/>
      <c r="GQ173" s="920"/>
      <c r="GR173" s="920"/>
      <c r="GS173" s="920"/>
      <c r="GT173" s="920"/>
      <c r="GU173" s="920"/>
      <c r="GV173" s="920"/>
      <c r="GW173" s="920"/>
      <c r="GX173" s="920"/>
      <c r="GY173" s="920"/>
      <c r="GZ173" s="920"/>
      <c r="HA173" s="920"/>
      <c r="HB173" s="920"/>
      <c r="HC173" s="920"/>
      <c r="HD173" s="920"/>
      <c r="HE173" s="920"/>
      <c r="HF173" s="920"/>
      <c r="HG173" s="920"/>
      <c r="HH173" s="920"/>
      <c r="HI173" s="920"/>
      <c r="HJ173" s="920"/>
      <c r="HK173" s="920"/>
      <c r="HL173" s="920"/>
      <c r="HM173" s="920"/>
      <c r="HN173" s="920"/>
      <c r="HO173" s="920"/>
      <c r="HP173" s="920"/>
      <c r="HQ173" s="920"/>
      <c r="HR173" s="920"/>
      <c r="HS173" s="920"/>
      <c r="HT173" s="920"/>
      <c r="HU173" s="920"/>
      <c r="HV173" s="920"/>
      <c r="HW173" s="920"/>
      <c r="HX173" s="920"/>
      <c r="HY173" s="920"/>
      <c r="HZ173" s="920"/>
      <c r="IA173" s="920"/>
      <c r="IB173" s="920"/>
      <c r="IC173" s="920"/>
      <c r="ID173" s="920"/>
      <c r="IE173" s="920"/>
      <c r="IF173" s="920"/>
      <c r="IG173" s="920"/>
      <c r="IH173" s="920"/>
      <c r="II173" s="920"/>
      <c r="IJ173" s="920"/>
      <c r="IK173" s="920"/>
      <c r="IL173" s="920"/>
      <c r="IM173" s="920"/>
      <c r="IN173" s="920"/>
      <c r="IO173" s="920"/>
      <c r="IP173" s="920"/>
      <c r="IQ173" s="920"/>
      <c r="IR173" s="920"/>
      <c r="IS173" s="920"/>
      <c r="IT173" s="920"/>
      <c r="IU173" s="920"/>
      <c r="IV173" s="920"/>
    </row>
    <row r="174" spans="1:256" s="501" customFormat="1">
      <c r="A174" s="904">
        <f ca="1">$Q$170 *(10)</f>
        <v>10</v>
      </c>
      <c r="B174" s="920" t="s">
        <v>141</v>
      </c>
      <c r="C174" s="911">
        <f>$Q$508 *(ROUNDUP(425/3*8,0))</f>
        <v>0</v>
      </c>
      <c r="D174" s="920" t="s">
        <v>693</v>
      </c>
      <c r="E174" s="920"/>
      <c r="F174" s="901"/>
      <c r="G174" s="950" t="s">
        <v>694</v>
      </c>
      <c r="H174" s="951">
        <v>875</v>
      </c>
      <c r="I174" s="920"/>
      <c r="J174" s="920"/>
      <c r="K174" s="920"/>
      <c r="L174" s="920"/>
      <c r="M174" s="920"/>
      <c r="N174" s="921"/>
      <c r="O174" s="921">
        <v>1</v>
      </c>
      <c r="P174" s="922">
        <v>34669</v>
      </c>
      <c r="Q174" s="898">
        <f>1.225 *(0.07)</f>
        <v>8.5750000000000021E-2</v>
      </c>
      <c r="R174" s="909">
        <f t="shared" ca="1" si="16"/>
        <v>0.85750000000000015</v>
      </c>
      <c r="S174" s="914"/>
      <c r="T174" s="910">
        <f t="shared" ca="1" si="17"/>
        <v>0</v>
      </c>
      <c r="U174" s="893"/>
      <c r="V174" s="920"/>
      <c r="W174" s="920"/>
      <c r="X174" s="920"/>
      <c r="Y174" s="920"/>
      <c r="Z174" s="920"/>
      <c r="AA174" s="920"/>
      <c r="AB174" s="920"/>
      <c r="AC174" s="920"/>
      <c r="AD174" s="920"/>
      <c r="AE174" s="920"/>
      <c r="AF174" s="920"/>
      <c r="AG174" s="920"/>
      <c r="AH174" s="920"/>
      <c r="AI174" s="920"/>
      <c r="AJ174" s="920"/>
      <c r="AK174" s="920"/>
      <c r="AL174" s="920"/>
      <c r="AM174" s="920"/>
      <c r="AN174" s="920"/>
      <c r="AO174" s="920"/>
      <c r="AP174" s="920"/>
      <c r="AQ174" s="920"/>
      <c r="AR174" s="920"/>
      <c r="AS174" s="920"/>
      <c r="AT174" s="920"/>
      <c r="AU174" s="920"/>
      <c r="AV174" s="920"/>
      <c r="AW174" s="920"/>
      <c r="AX174" s="920"/>
      <c r="AY174" s="920"/>
      <c r="AZ174" s="920"/>
      <c r="BA174" s="920"/>
      <c r="BB174" s="920"/>
      <c r="BC174" s="920"/>
      <c r="BD174" s="920"/>
      <c r="BE174" s="920"/>
      <c r="BF174" s="920"/>
      <c r="BG174" s="920"/>
      <c r="BH174" s="920"/>
      <c r="BI174" s="920"/>
      <c r="BJ174" s="920"/>
      <c r="BK174" s="920"/>
      <c r="BL174" s="920"/>
      <c r="BM174" s="920"/>
      <c r="BN174" s="920"/>
      <c r="BO174" s="920"/>
      <c r="BP174" s="920"/>
      <c r="BQ174" s="920"/>
      <c r="BR174" s="920"/>
      <c r="BS174" s="920"/>
      <c r="BT174" s="920"/>
      <c r="BU174" s="920"/>
      <c r="BV174" s="920"/>
      <c r="BW174" s="920"/>
      <c r="BX174" s="920"/>
      <c r="BY174" s="920"/>
      <c r="BZ174" s="920"/>
      <c r="CA174" s="920"/>
      <c r="CB174" s="920"/>
      <c r="CC174" s="920"/>
      <c r="CD174" s="920"/>
      <c r="CE174" s="920"/>
      <c r="CF174" s="920"/>
      <c r="CG174" s="920"/>
      <c r="CH174" s="920"/>
      <c r="CI174" s="920"/>
      <c r="CJ174" s="920"/>
      <c r="CK174" s="920"/>
      <c r="CL174" s="920"/>
      <c r="CM174" s="920"/>
      <c r="CN174" s="920"/>
      <c r="CO174" s="920"/>
      <c r="CP174" s="920"/>
      <c r="CQ174" s="920"/>
      <c r="CR174" s="920"/>
      <c r="CS174" s="920"/>
      <c r="CT174" s="920"/>
      <c r="CU174" s="920"/>
      <c r="CV174" s="920"/>
      <c r="CW174" s="920"/>
      <c r="CX174" s="920"/>
      <c r="CY174" s="920"/>
      <c r="CZ174" s="920"/>
      <c r="DA174" s="920"/>
      <c r="DB174" s="920"/>
      <c r="DC174" s="920"/>
      <c r="DD174" s="920"/>
      <c r="DE174" s="920"/>
      <c r="DF174" s="920"/>
      <c r="DG174" s="920"/>
      <c r="DH174" s="920"/>
      <c r="DI174" s="920"/>
      <c r="DJ174" s="920"/>
      <c r="DK174" s="920"/>
      <c r="DL174" s="920"/>
      <c r="DM174" s="920"/>
      <c r="DN174" s="920"/>
      <c r="DO174" s="920"/>
      <c r="DP174" s="920"/>
      <c r="DQ174" s="920"/>
      <c r="DR174" s="920"/>
      <c r="DS174" s="920"/>
      <c r="DT174" s="920"/>
      <c r="DU174" s="920"/>
      <c r="DV174" s="920"/>
      <c r="DW174" s="920"/>
      <c r="DX174" s="920"/>
      <c r="DY174" s="920"/>
      <c r="DZ174" s="920"/>
      <c r="EA174" s="920"/>
      <c r="EB174" s="920"/>
      <c r="EC174" s="920"/>
      <c r="ED174" s="920"/>
      <c r="EE174" s="920"/>
      <c r="EF174" s="920"/>
      <c r="EG174" s="920"/>
      <c r="EH174" s="920"/>
      <c r="EI174" s="920"/>
      <c r="EJ174" s="920"/>
      <c r="EK174" s="920"/>
      <c r="EL174" s="920"/>
      <c r="EM174" s="920"/>
      <c r="EN174" s="920"/>
      <c r="EO174" s="920"/>
      <c r="EP174" s="920"/>
      <c r="EQ174" s="920"/>
      <c r="ER174" s="920"/>
      <c r="ES174" s="920"/>
      <c r="ET174" s="920"/>
      <c r="EU174" s="920"/>
      <c r="EV174" s="920"/>
      <c r="EW174" s="920"/>
      <c r="EX174" s="920"/>
      <c r="EY174" s="920"/>
      <c r="EZ174" s="920"/>
      <c r="FA174" s="920"/>
      <c r="FB174" s="920"/>
      <c r="FC174" s="920"/>
      <c r="FD174" s="920"/>
      <c r="FE174" s="920"/>
      <c r="FF174" s="920"/>
      <c r="FG174" s="920"/>
      <c r="FH174" s="920"/>
      <c r="FI174" s="920"/>
      <c r="FJ174" s="920"/>
      <c r="FK174" s="920"/>
      <c r="FL174" s="920"/>
      <c r="FM174" s="920"/>
      <c r="FN174" s="920"/>
      <c r="FO174" s="920"/>
      <c r="FP174" s="920"/>
      <c r="FQ174" s="920"/>
      <c r="FR174" s="920"/>
      <c r="FS174" s="920"/>
      <c r="FT174" s="920"/>
      <c r="FU174" s="920"/>
      <c r="FV174" s="920"/>
      <c r="FW174" s="920"/>
      <c r="FX174" s="920"/>
      <c r="FY174" s="920"/>
      <c r="FZ174" s="920"/>
      <c r="GA174" s="920"/>
      <c r="GB174" s="920"/>
      <c r="GC174" s="920"/>
      <c r="GD174" s="920"/>
      <c r="GE174" s="920"/>
      <c r="GF174" s="920"/>
      <c r="GG174" s="920"/>
      <c r="GH174" s="920"/>
      <c r="GI174" s="920"/>
      <c r="GJ174" s="920"/>
      <c r="GK174" s="920"/>
      <c r="GL174" s="920"/>
      <c r="GM174" s="920"/>
      <c r="GN174" s="920"/>
      <c r="GO174" s="920"/>
      <c r="GP174" s="920"/>
      <c r="GQ174" s="920"/>
      <c r="GR174" s="920"/>
      <c r="GS174" s="920"/>
      <c r="GT174" s="920"/>
      <c r="GU174" s="920"/>
      <c r="GV174" s="920"/>
      <c r="GW174" s="920"/>
      <c r="GX174" s="920"/>
      <c r="GY174" s="920"/>
      <c r="GZ174" s="920"/>
      <c r="HA174" s="920"/>
      <c r="HB174" s="920"/>
      <c r="HC174" s="920"/>
      <c r="HD174" s="920"/>
      <c r="HE174" s="920"/>
      <c r="HF174" s="920"/>
      <c r="HG174" s="920"/>
      <c r="HH174" s="920"/>
      <c r="HI174" s="920"/>
      <c r="HJ174" s="920"/>
      <c r="HK174" s="920"/>
      <c r="HL174" s="920"/>
      <c r="HM174" s="920"/>
      <c r="HN174" s="920"/>
      <c r="HO174" s="920"/>
      <c r="HP174" s="920"/>
      <c r="HQ174" s="920"/>
      <c r="HR174" s="920"/>
      <c r="HS174" s="920"/>
      <c r="HT174" s="920"/>
      <c r="HU174" s="920"/>
      <c r="HV174" s="920"/>
      <c r="HW174" s="920"/>
      <c r="HX174" s="920"/>
      <c r="HY174" s="920"/>
      <c r="HZ174" s="920"/>
      <c r="IA174" s="920"/>
      <c r="IB174" s="920"/>
      <c r="IC174" s="920"/>
      <c r="ID174" s="920"/>
      <c r="IE174" s="920"/>
      <c r="IF174" s="920"/>
      <c r="IG174" s="920"/>
      <c r="IH174" s="920"/>
      <c r="II174" s="920"/>
      <c r="IJ174" s="920"/>
      <c r="IK174" s="920"/>
      <c r="IL174" s="920"/>
      <c r="IM174" s="920"/>
      <c r="IN174" s="920"/>
      <c r="IO174" s="920"/>
      <c r="IP174" s="920"/>
      <c r="IQ174" s="920"/>
      <c r="IR174" s="920"/>
      <c r="IS174" s="920"/>
      <c r="IT174" s="920"/>
      <c r="IU174" s="920"/>
      <c r="IV174" s="920"/>
    </row>
    <row r="175" spans="1:256" s="893" customFormat="1">
      <c r="A175" s="904">
        <f ca="1">$Q$170 *(3)</f>
        <v>3</v>
      </c>
      <c r="B175" s="893" t="s">
        <v>141</v>
      </c>
      <c r="C175" s="911">
        <f>$Q$508 *(425/1.5)</f>
        <v>0</v>
      </c>
      <c r="D175" s="893" t="s">
        <v>696</v>
      </c>
      <c r="F175" s="901"/>
      <c r="G175" s="894" t="s">
        <v>697</v>
      </c>
      <c r="H175" s="895">
        <v>501</v>
      </c>
      <c r="I175" s="893" t="s">
        <v>698</v>
      </c>
      <c r="J175" s="893" t="s">
        <v>699</v>
      </c>
      <c r="K175" s="893" t="s">
        <v>700</v>
      </c>
      <c r="O175" s="896">
        <v>1</v>
      </c>
      <c r="P175" s="897">
        <v>36175</v>
      </c>
      <c r="Q175" s="898">
        <f>1.225 *(0.51)</f>
        <v>0.62475000000000003</v>
      </c>
      <c r="R175" s="899">
        <f t="shared" ca="1" si="16"/>
        <v>1.87425</v>
      </c>
      <c r="S175" s="898"/>
      <c r="T175" s="900">
        <f t="shared" ca="1" si="17"/>
        <v>0</v>
      </c>
    </row>
    <row r="176" spans="1:256" s="893" customFormat="1">
      <c r="A176" s="904">
        <f ca="1">$Q$170 *(3)</f>
        <v>3</v>
      </c>
      <c r="B176" s="893" t="s">
        <v>141</v>
      </c>
      <c r="C176" s="911">
        <f>$Q$508 *(425/1.5)</f>
        <v>0</v>
      </c>
      <c r="D176" s="893" t="s">
        <v>777</v>
      </c>
      <c r="F176" s="901"/>
      <c r="G176" s="894" t="s">
        <v>778</v>
      </c>
      <c r="H176" s="895">
        <v>501</v>
      </c>
      <c r="I176" s="893" t="s">
        <v>643</v>
      </c>
      <c r="K176" s="893" t="s">
        <v>779</v>
      </c>
      <c r="O176" s="896">
        <v>1</v>
      </c>
      <c r="P176" s="897"/>
      <c r="Q176" s="898">
        <v>0.06</v>
      </c>
      <c r="R176" s="899">
        <f t="shared" ca="1" si="16"/>
        <v>0.18</v>
      </c>
      <c r="S176" s="898"/>
      <c r="T176" s="900">
        <f t="shared" ca="1" si="17"/>
        <v>0</v>
      </c>
    </row>
    <row r="177" spans="1:256" s="501" customFormat="1">
      <c r="A177" s="904">
        <f ca="1">$Q$170 *(3)</f>
        <v>3</v>
      </c>
      <c r="B177" s="497" t="s">
        <v>283</v>
      </c>
      <c r="C177" s="911">
        <f>$Q$508 *(ROUNDUP(425/3,0))</f>
        <v>0</v>
      </c>
      <c r="D177" s="893" t="s">
        <v>780</v>
      </c>
      <c r="E177" s="497"/>
      <c r="F177" s="498"/>
      <c r="G177" s="894" t="s">
        <v>781</v>
      </c>
      <c r="H177" s="895">
        <v>650</v>
      </c>
      <c r="I177" s="499"/>
      <c r="J177" s="497"/>
      <c r="K177" s="497"/>
      <c r="L177" s="497"/>
      <c r="M177" s="497"/>
      <c r="N177" s="497"/>
      <c r="O177" s="896">
        <v>1</v>
      </c>
      <c r="P177" s="497"/>
      <c r="Q177" s="898">
        <v>1.5960000000000001</v>
      </c>
      <c r="R177" s="899">
        <f t="shared" ca="1" si="16"/>
        <v>4.7880000000000003</v>
      </c>
      <c r="S177" s="898">
        <v>0.01</v>
      </c>
      <c r="T177" s="900">
        <f t="shared" ca="1" si="17"/>
        <v>0.03</v>
      </c>
      <c r="U177" s="893"/>
    </row>
    <row r="178" spans="1:256" s="501" customFormat="1">
      <c r="A178" s="904">
        <f ca="1">$Q$170 *(3)</f>
        <v>3</v>
      </c>
      <c r="B178" s="893" t="s">
        <v>141</v>
      </c>
      <c r="C178" s="911">
        <f>$Q$508 *(425/1.5)</f>
        <v>0</v>
      </c>
      <c r="D178" s="893" t="s">
        <v>782</v>
      </c>
      <c r="E178" s="893"/>
      <c r="F178" s="901"/>
      <c r="G178" s="894" t="s">
        <v>725</v>
      </c>
      <c r="H178" s="895">
        <v>501</v>
      </c>
      <c r="I178" s="893" t="s">
        <v>643</v>
      </c>
      <c r="J178" s="893"/>
      <c r="K178" s="893" t="s">
        <v>783</v>
      </c>
      <c r="L178" s="893"/>
      <c r="M178" s="893"/>
      <c r="N178" s="893"/>
      <c r="O178" s="896">
        <v>1</v>
      </c>
      <c r="P178" s="897"/>
      <c r="Q178" s="898">
        <f>1.225 *(0.01)</f>
        <v>1.225E-2</v>
      </c>
      <c r="R178" s="899">
        <f t="shared" ca="1" si="16"/>
        <v>3.6750000000000005E-2</v>
      </c>
      <c r="S178" s="898"/>
      <c r="T178" s="900">
        <f t="shared" ca="1" si="17"/>
        <v>0</v>
      </c>
      <c r="U178" s="893"/>
      <c r="V178" s="893"/>
      <c r="W178" s="893"/>
      <c r="X178" s="893"/>
      <c r="Y178" s="893"/>
      <c r="Z178" s="893"/>
      <c r="AA178" s="893"/>
      <c r="AB178" s="893"/>
      <c r="AC178" s="893"/>
      <c r="AD178" s="893"/>
      <c r="AE178" s="893"/>
      <c r="AF178" s="893"/>
      <c r="AG178" s="893"/>
      <c r="AH178" s="893"/>
      <c r="AI178" s="893"/>
      <c r="AJ178" s="893"/>
      <c r="AK178" s="893"/>
      <c r="AL178" s="893"/>
      <c r="AM178" s="893"/>
      <c r="AN178" s="893"/>
      <c r="AO178" s="893"/>
      <c r="AP178" s="893"/>
      <c r="AQ178" s="893"/>
      <c r="AR178" s="893"/>
      <c r="AS178" s="893"/>
      <c r="AT178" s="893"/>
      <c r="AU178" s="893"/>
      <c r="AV178" s="893"/>
      <c r="AW178" s="893"/>
      <c r="AX178" s="893"/>
      <c r="AY178" s="893"/>
      <c r="AZ178" s="893"/>
      <c r="BA178" s="893"/>
      <c r="BB178" s="893"/>
      <c r="BC178" s="893"/>
      <c r="BD178" s="893"/>
      <c r="BE178" s="893"/>
      <c r="BF178" s="893"/>
      <c r="BG178" s="893"/>
      <c r="BH178" s="893"/>
      <c r="BI178" s="893"/>
      <c r="BJ178" s="893"/>
      <c r="BK178" s="893"/>
      <c r="BL178" s="893"/>
      <c r="BM178" s="893"/>
      <c r="BN178" s="893"/>
      <c r="BO178" s="893"/>
      <c r="BP178" s="893"/>
      <c r="BQ178" s="893"/>
      <c r="BR178" s="893"/>
      <c r="BS178" s="893"/>
      <c r="BT178" s="893"/>
      <c r="BU178" s="893"/>
      <c r="BV178" s="893"/>
      <c r="BW178" s="893"/>
      <c r="BX178" s="893"/>
      <c r="BY178" s="893"/>
      <c r="BZ178" s="893"/>
      <c r="CA178" s="893"/>
      <c r="CB178" s="893"/>
      <c r="CC178" s="893"/>
      <c r="CD178" s="893"/>
      <c r="CE178" s="893"/>
      <c r="CF178" s="893"/>
      <c r="CG178" s="893"/>
      <c r="CH178" s="893"/>
      <c r="CI178" s="893"/>
      <c r="CJ178" s="893"/>
      <c r="CK178" s="893"/>
      <c r="CL178" s="893"/>
      <c r="CM178" s="893"/>
      <c r="CN178" s="893"/>
      <c r="CO178" s="893"/>
      <c r="CP178" s="893"/>
      <c r="CQ178" s="893"/>
      <c r="CR178" s="893"/>
      <c r="CS178" s="893"/>
      <c r="CT178" s="893"/>
      <c r="CU178" s="893"/>
      <c r="CV178" s="893"/>
      <c r="CW178" s="893"/>
      <c r="CX178" s="893"/>
      <c r="CY178" s="893"/>
      <c r="CZ178" s="893"/>
      <c r="DA178" s="893"/>
      <c r="DB178" s="893"/>
      <c r="DC178" s="893"/>
      <c r="DD178" s="893"/>
      <c r="DE178" s="893"/>
      <c r="DF178" s="893"/>
      <c r="DG178" s="893"/>
      <c r="DH178" s="893"/>
      <c r="DI178" s="893"/>
      <c r="DJ178" s="893"/>
      <c r="DK178" s="893"/>
      <c r="DL178" s="893"/>
      <c r="DM178" s="893"/>
      <c r="DN178" s="893"/>
      <c r="DO178" s="893"/>
      <c r="DP178" s="893"/>
      <c r="DQ178" s="893"/>
      <c r="DR178" s="893"/>
      <c r="DS178" s="893"/>
      <c r="DT178" s="893"/>
      <c r="DU178" s="893"/>
      <c r="DV178" s="893"/>
      <c r="DW178" s="893"/>
      <c r="DX178" s="893"/>
      <c r="DY178" s="893"/>
      <c r="DZ178" s="893"/>
      <c r="EA178" s="893"/>
      <c r="EB178" s="893"/>
      <c r="EC178" s="893"/>
      <c r="ED178" s="893"/>
      <c r="EE178" s="893"/>
      <c r="EF178" s="893"/>
      <c r="EG178" s="893"/>
      <c r="EH178" s="893"/>
      <c r="EI178" s="893"/>
      <c r="EJ178" s="893"/>
      <c r="EK178" s="893"/>
      <c r="EL178" s="893"/>
      <c r="EM178" s="893"/>
      <c r="EN178" s="893"/>
      <c r="EO178" s="893"/>
      <c r="EP178" s="893"/>
      <c r="EQ178" s="893"/>
      <c r="ER178" s="893"/>
      <c r="ES178" s="893"/>
      <c r="ET178" s="893"/>
      <c r="EU178" s="893"/>
      <c r="EV178" s="893"/>
      <c r="EW178" s="893"/>
      <c r="EX178" s="893"/>
      <c r="EY178" s="893"/>
      <c r="EZ178" s="893"/>
      <c r="FA178" s="893"/>
      <c r="FB178" s="893"/>
      <c r="FC178" s="893"/>
      <c r="FD178" s="893"/>
      <c r="FE178" s="893"/>
      <c r="FF178" s="893"/>
      <c r="FG178" s="893"/>
      <c r="FH178" s="893"/>
      <c r="FI178" s="893"/>
      <c r="FJ178" s="893"/>
      <c r="FK178" s="893"/>
      <c r="FL178" s="893"/>
      <c r="FM178" s="893"/>
      <c r="FN178" s="893"/>
      <c r="FO178" s="893"/>
      <c r="FP178" s="893"/>
      <c r="FQ178" s="893"/>
      <c r="FR178" s="893"/>
      <c r="FS178" s="893"/>
      <c r="FT178" s="893"/>
      <c r="FU178" s="893"/>
      <c r="FV178" s="893"/>
      <c r="FW178" s="893"/>
      <c r="FX178" s="893"/>
      <c r="FY178" s="893"/>
      <c r="FZ178" s="893"/>
      <c r="GA178" s="893"/>
      <c r="GB178" s="893"/>
      <c r="GC178" s="893"/>
      <c r="GD178" s="893"/>
      <c r="GE178" s="893"/>
      <c r="GF178" s="893"/>
      <c r="GG178" s="893"/>
      <c r="GH178" s="893"/>
      <c r="GI178" s="893"/>
      <c r="GJ178" s="893"/>
      <c r="GK178" s="893"/>
      <c r="GL178" s="893"/>
      <c r="GM178" s="893"/>
      <c r="GN178" s="893"/>
      <c r="GO178" s="893"/>
      <c r="GP178" s="893"/>
      <c r="GQ178" s="893"/>
      <c r="GR178" s="893"/>
      <c r="GS178" s="893"/>
      <c r="GT178" s="893"/>
      <c r="GU178" s="893"/>
      <c r="GV178" s="893"/>
      <c r="GW178" s="893"/>
      <c r="GX178" s="893"/>
      <c r="GY178" s="893"/>
      <c r="GZ178" s="893"/>
      <c r="HA178" s="893"/>
      <c r="HB178" s="893"/>
      <c r="HC178" s="893"/>
      <c r="HD178" s="893"/>
      <c r="HE178" s="893"/>
      <c r="HF178" s="893"/>
      <c r="HG178" s="893"/>
      <c r="HH178" s="893"/>
      <c r="HI178" s="893"/>
      <c r="HJ178" s="893"/>
      <c r="HK178" s="893"/>
      <c r="HL178" s="893"/>
      <c r="HM178" s="893"/>
      <c r="HN178" s="893"/>
      <c r="HO178" s="893"/>
      <c r="HP178" s="893"/>
      <c r="HQ178" s="893"/>
      <c r="HR178" s="893"/>
      <c r="HS178" s="893"/>
      <c r="HT178" s="893"/>
      <c r="HU178" s="893"/>
      <c r="HV178" s="893"/>
      <c r="HW178" s="893"/>
      <c r="HX178" s="893"/>
      <c r="HY178" s="893"/>
      <c r="HZ178" s="893"/>
      <c r="IA178" s="893"/>
      <c r="IB178" s="893"/>
      <c r="IC178" s="893"/>
      <c r="ID178" s="893"/>
      <c r="IE178" s="893"/>
      <c r="IF178" s="893"/>
      <c r="IG178" s="893"/>
      <c r="IH178" s="893"/>
      <c r="II178" s="893"/>
      <c r="IJ178" s="893"/>
      <c r="IK178" s="893"/>
      <c r="IL178" s="893"/>
      <c r="IM178" s="893"/>
      <c r="IN178" s="893"/>
      <c r="IO178" s="893"/>
      <c r="IP178" s="893"/>
      <c r="IQ178" s="893"/>
      <c r="IR178" s="893"/>
      <c r="IS178" s="893"/>
      <c r="IT178" s="893"/>
      <c r="IU178" s="893"/>
      <c r="IV178" s="893"/>
    </row>
    <row r="179" spans="1:256" s="893" customFormat="1">
      <c r="A179" s="904">
        <f ca="1">$Q$170 *(0.5)</f>
        <v>0.5</v>
      </c>
      <c r="B179" s="893" t="s">
        <v>296</v>
      </c>
      <c r="D179" s="893" t="s">
        <v>716</v>
      </c>
      <c r="G179" s="894" t="s">
        <v>717</v>
      </c>
      <c r="H179" s="895">
        <v>501</v>
      </c>
      <c r="I179" s="893" t="s">
        <v>698</v>
      </c>
      <c r="J179" s="893" t="s">
        <v>718</v>
      </c>
      <c r="K179" s="893" t="s">
        <v>784</v>
      </c>
      <c r="O179" s="896">
        <v>1</v>
      </c>
      <c r="P179" s="897">
        <v>36175</v>
      </c>
      <c r="Q179" s="898">
        <v>3.07</v>
      </c>
      <c r="R179" s="899">
        <f t="shared" ca="1" si="16"/>
        <v>1.5349999999999999</v>
      </c>
      <c r="S179" s="898"/>
      <c r="T179" s="900">
        <f t="shared" ca="1" si="17"/>
        <v>0</v>
      </c>
    </row>
    <row r="180" spans="1:256" s="893" customFormat="1">
      <c r="A180" s="904">
        <f ca="1">$Q$170 *(6)</f>
        <v>6</v>
      </c>
      <c r="B180" s="893" t="s">
        <v>141</v>
      </c>
      <c r="D180" s="893" t="s">
        <v>714</v>
      </c>
      <c r="G180" s="894" t="s">
        <v>715</v>
      </c>
      <c r="H180" s="895">
        <v>501</v>
      </c>
      <c r="I180" s="893" t="s">
        <v>643</v>
      </c>
      <c r="K180" s="893" t="s">
        <v>785</v>
      </c>
      <c r="O180" s="896">
        <v>1</v>
      </c>
      <c r="P180" s="897"/>
      <c r="Q180" s="898">
        <v>0.15</v>
      </c>
      <c r="R180" s="899">
        <f t="shared" ca="1" si="16"/>
        <v>0.89999999999999991</v>
      </c>
      <c r="S180" s="898"/>
      <c r="T180" s="900">
        <f t="shared" ca="1" si="17"/>
        <v>0</v>
      </c>
    </row>
    <row r="181" spans="1:256" s="893" customFormat="1">
      <c r="A181" s="926">
        <f ca="1">$Q$170 *(3)</f>
        <v>3</v>
      </c>
      <c r="B181" s="893" t="s">
        <v>141</v>
      </c>
      <c r="D181" s="893" t="s">
        <v>786</v>
      </c>
      <c r="G181" s="894" t="s">
        <v>720</v>
      </c>
      <c r="H181" s="895">
        <v>900</v>
      </c>
      <c r="I181" s="893" t="s">
        <v>660</v>
      </c>
      <c r="O181" s="896">
        <v>1</v>
      </c>
      <c r="P181" s="897"/>
      <c r="Q181" s="952"/>
      <c r="R181" s="899">
        <f t="shared" ca="1" si="16"/>
        <v>0</v>
      </c>
      <c r="S181" s="898">
        <v>0.17</v>
      </c>
      <c r="T181" s="900">
        <f t="shared" ca="1" si="17"/>
        <v>0.51</v>
      </c>
      <c r="U181" s="893" t="s">
        <v>721</v>
      </c>
    </row>
    <row r="182" spans="1:256" s="893" customFormat="1">
      <c r="A182" s="904">
        <f ca="1">$Q$170 *(3)</f>
        <v>3</v>
      </c>
      <c r="B182" s="893" t="s">
        <v>296</v>
      </c>
      <c r="D182" s="893" t="s">
        <v>868</v>
      </c>
      <c r="G182" s="894" t="s">
        <v>787</v>
      </c>
      <c r="H182" s="895">
        <v>616</v>
      </c>
      <c r="I182" s="893" t="s">
        <v>656</v>
      </c>
      <c r="J182" s="893" t="s">
        <v>788</v>
      </c>
      <c r="O182" s="896">
        <v>2</v>
      </c>
      <c r="P182" s="897">
        <v>40767</v>
      </c>
      <c r="Q182" s="898">
        <v>7.79</v>
      </c>
      <c r="R182" s="899">
        <f t="shared" ca="1" si="16"/>
        <v>23.37</v>
      </c>
      <c r="S182" s="898">
        <v>0.08</v>
      </c>
      <c r="T182" s="900">
        <f t="shared" ca="1" si="17"/>
        <v>0.24</v>
      </c>
    </row>
    <row r="183" spans="1:256" s="893" customFormat="1">
      <c r="A183" s="904">
        <f ca="1">$Q$170 *(2)</f>
        <v>2</v>
      </c>
      <c r="B183" s="893" t="s">
        <v>141</v>
      </c>
      <c r="D183" s="893" t="s">
        <v>789</v>
      </c>
      <c r="G183" s="894" t="s">
        <v>790</v>
      </c>
      <c r="H183" s="895">
        <v>620</v>
      </c>
      <c r="I183" s="893" t="s">
        <v>671</v>
      </c>
      <c r="O183" s="896">
        <v>2</v>
      </c>
      <c r="P183" s="897">
        <v>35431</v>
      </c>
      <c r="Q183" s="898">
        <v>6.57</v>
      </c>
      <c r="R183" s="899">
        <f t="shared" ca="1" si="16"/>
        <v>13.14</v>
      </c>
      <c r="S183" s="898">
        <v>0.3</v>
      </c>
      <c r="T183" s="900">
        <f t="shared" ca="1" si="17"/>
        <v>0.6</v>
      </c>
    </row>
    <row r="184" spans="1:256" s="893" customFormat="1">
      <c r="A184" s="904">
        <f ca="1">$Q$170 *(2)</f>
        <v>2</v>
      </c>
      <c r="B184" s="893" t="s">
        <v>296</v>
      </c>
      <c r="D184" s="893" t="s">
        <v>672</v>
      </c>
      <c r="G184" s="894" t="s">
        <v>673</v>
      </c>
      <c r="H184" s="895">
        <v>620</v>
      </c>
      <c r="I184" s="893" t="s">
        <v>643</v>
      </c>
      <c r="O184" s="896">
        <v>2</v>
      </c>
      <c r="P184" s="897">
        <v>38148</v>
      </c>
      <c r="Q184" s="898">
        <v>1</v>
      </c>
      <c r="R184" s="899">
        <f t="shared" ca="1" si="16"/>
        <v>2</v>
      </c>
      <c r="S184" s="898">
        <v>0.08</v>
      </c>
      <c r="T184" s="900">
        <f t="shared" ca="1" si="17"/>
        <v>0.16</v>
      </c>
    </row>
    <row r="185" spans="1:256" s="893" customFormat="1">
      <c r="A185" s="904">
        <f ca="1">$Q$170 *(10)</f>
        <v>10</v>
      </c>
      <c r="B185" s="893" t="s">
        <v>141</v>
      </c>
      <c r="D185" s="893" t="s">
        <v>865</v>
      </c>
      <c r="G185" s="894" t="s">
        <v>684</v>
      </c>
      <c r="H185" s="895">
        <v>620</v>
      </c>
      <c r="I185" s="893" t="s">
        <v>676</v>
      </c>
      <c r="O185" s="896">
        <v>2</v>
      </c>
      <c r="P185" s="897">
        <v>34669</v>
      </c>
      <c r="Q185" s="898">
        <v>0.25</v>
      </c>
      <c r="R185" s="899">
        <f t="shared" ca="1" si="16"/>
        <v>2.5</v>
      </c>
      <c r="S185" s="898">
        <v>0.03</v>
      </c>
      <c r="T185" s="900">
        <f t="shared" ca="1" si="17"/>
        <v>0.3</v>
      </c>
    </row>
    <row r="186" spans="1:256" s="893" customFormat="1">
      <c r="A186" s="926">
        <f ca="1">$Q$170 *(1)</f>
        <v>1</v>
      </c>
      <c r="B186" s="893" t="s">
        <v>141</v>
      </c>
      <c r="D186" s="893" t="s">
        <v>677</v>
      </c>
      <c r="F186" s="893" t="s">
        <v>791</v>
      </c>
      <c r="G186" s="894" t="s">
        <v>678</v>
      </c>
      <c r="H186" s="895">
        <v>900</v>
      </c>
      <c r="I186" s="893" t="s">
        <v>660</v>
      </c>
      <c r="O186" s="896">
        <v>3</v>
      </c>
      <c r="P186" s="897">
        <v>34790</v>
      </c>
      <c r="Q186" s="952"/>
      <c r="R186" s="899">
        <f t="shared" ca="1" si="16"/>
        <v>0</v>
      </c>
      <c r="S186" s="898">
        <v>0.25</v>
      </c>
      <c r="T186" s="900">
        <f t="shared" ca="1" si="17"/>
        <v>0.25</v>
      </c>
      <c r="U186" s="893" t="s">
        <v>721</v>
      </c>
    </row>
    <row r="187" spans="1:256" s="893" customFormat="1">
      <c r="A187" s="926"/>
      <c r="D187" s="953" t="s">
        <v>792</v>
      </c>
      <c r="G187" s="894"/>
      <c r="H187" s="895"/>
      <c r="O187" s="896"/>
      <c r="P187" s="897"/>
      <c r="Q187" s="898"/>
      <c r="R187" s="899"/>
      <c r="S187" s="898"/>
      <c r="T187" s="900"/>
    </row>
    <row r="188" spans="1:256" s="893" customFormat="1">
      <c r="A188" s="926">
        <f ca="1">$Q$170 *(4*5)</f>
        <v>20</v>
      </c>
      <c r="B188" s="893" t="s">
        <v>296</v>
      </c>
      <c r="D188" s="893" t="s">
        <v>864</v>
      </c>
      <c r="G188" s="894" t="s">
        <v>793</v>
      </c>
      <c r="H188" s="895">
        <v>615</v>
      </c>
      <c r="I188" s="893" t="s">
        <v>656</v>
      </c>
      <c r="K188" s="893" t="s">
        <v>695</v>
      </c>
      <c r="O188" s="896">
        <v>2</v>
      </c>
      <c r="P188" s="897">
        <v>38988</v>
      </c>
      <c r="Q188" s="898">
        <v>0.9</v>
      </c>
      <c r="R188" s="899">
        <f t="shared" ref="R188:R193" ca="1" si="18">$A188*Q188</f>
        <v>18</v>
      </c>
      <c r="S188" s="898">
        <v>2.5000000000000001E-2</v>
      </c>
      <c r="T188" s="900">
        <f t="shared" ref="T188:T193" ca="1" si="19">$A188*S188*$T$1</f>
        <v>0.5</v>
      </c>
    </row>
    <row r="189" spans="1:256" s="893" customFormat="1">
      <c r="A189" s="904">
        <f ca="1">$Q$170 *(8)</f>
        <v>8</v>
      </c>
      <c r="B189" s="893" t="s">
        <v>141</v>
      </c>
      <c r="D189" s="893" t="s">
        <v>794</v>
      </c>
      <c r="G189" s="894" t="s">
        <v>731</v>
      </c>
      <c r="H189" s="895">
        <v>620</v>
      </c>
      <c r="I189" s="893" t="s">
        <v>643</v>
      </c>
      <c r="O189" s="896">
        <v>2</v>
      </c>
      <c r="P189" s="897"/>
      <c r="Q189" s="898">
        <v>0.05</v>
      </c>
      <c r="R189" s="899">
        <f t="shared" ca="1" si="18"/>
        <v>0.4</v>
      </c>
      <c r="S189" s="898"/>
      <c r="T189" s="900">
        <f t="shared" ca="1" si="19"/>
        <v>0</v>
      </c>
    </row>
    <row r="190" spans="1:256" s="893" customFormat="1">
      <c r="A190" s="904">
        <f ca="1">$Q$170 *(8)</f>
        <v>8</v>
      </c>
      <c r="B190" s="893" t="s">
        <v>141</v>
      </c>
      <c r="D190" s="893" t="s">
        <v>865</v>
      </c>
      <c r="G190" s="894" t="s">
        <v>684</v>
      </c>
      <c r="H190" s="895">
        <v>620</v>
      </c>
      <c r="I190" s="893" t="s">
        <v>676</v>
      </c>
      <c r="O190" s="896">
        <v>2</v>
      </c>
      <c r="P190" s="897">
        <v>34669</v>
      </c>
      <c r="Q190" s="898">
        <v>0.27</v>
      </c>
      <c r="R190" s="899">
        <f t="shared" ca="1" si="18"/>
        <v>2.16</v>
      </c>
      <c r="S190" s="898">
        <v>0.03</v>
      </c>
      <c r="T190" s="900">
        <f t="shared" ca="1" si="19"/>
        <v>0.24</v>
      </c>
    </row>
    <row r="191" spans="1:256" s="893" customFormat="1">
      <c r="A191" s="904">
        <f ca="1">$Q$170 *(1)</f>
        <v>1</v>
      </c>
      <c r="B191" s="893" t="s">
        <v>141</v>
      </c>
      <c r="D191" s="893" t="s">
        <v>795</v>
      </c>
      <c r="G191" s="894" t="s">
        <v>684</v>
      </c>
      <c r="H191" s="895">
        <v>620</v>
      </c>
      <c r="I191" s="893" t="s">
        <v>676</v>
      </c>
      <c r="O191" s="896">
        <v>2</v>
      </c>
      <c r="P191" s="897">
        <v>34669</v>
      </c>
      <c r="Q191" s="898">
        <v>10</v>
      </c>
      <c r="R191" s="899">
        <f t="shared" ca="1" si="18"/>
        <v>10</v>
      </c>
      <c r="S191" s="898"/>
      <c r="T191" s="900">
        <f t="shared" ca="1" si="19"/>
        <v>0</v>
      </c>
    </row>
    <row r="192" spans="1:256" s="893" customFormat="1">
      <c r="A192" s="904">
        <f ca="1">$Q$170 *(1)</f>
        <v>1</v>
      </c>
      <c r="B192" s="893" t="s">
        <v>141</v>
      </c>
      <c r="D192" s="893" t="s">
        <v>796</v>
      </c>
      <c r="F192" s="893" t="s">
        <v>797</v>
      </c>
      <c r="G192" s="894" t="s">
        <v>798</v>
      </c>
      <c r="H192" s="895">
        <v>900</v>
      </c>
      <c r="I192" s="893" t="s">
        <v>660</v>
      </c>
      <c r="O192" s="896">
        <v>2</v>
      </c>
      <c r="P192" s="897"/>
      <c r="Q192" s="952"/>
      <c r="R192" s="899">
        <f t="shared" ca="1" si="18"/>
        <v>0</v>
      </c>
      <c r="S192" s="898">
        <v>0.25</v>
      </c>
      <c r="T192" s="900">
        <f t="shared" ca="1" si="19"/>
        <v>0.25</v>
      </c>
      <c r="U192" s="893" t="s">
        <v>721</v>
      </c>
    </row>
    <row r="193" spans="1:28" s="501" customFormat="1">
      <c r="A193" s="497"/>
      <c r="B193" s="3"/>
      <c r="C193" s="497" t="s">
        <v>165</v>
      </c>
      <c r="D193" s="3"/>
      <c r="E193" s="497"/>
      <c r="F193" s="498"/>
      <c r="G193" s="497"/>
      <c r="H193" s="497"/>
      <c r="I193" s="499"/>
      <c r="J193" s="497"/>
      <c r="K193" s="497"/>
      <c r="L193" s="497"/>
      <c r="M193" s="497"/>
      <c r="N193" s="497"/>
      <c r="O193" s="497"/>
      <c r="P193" s="497"/>
      <c r="Q193" s="499"/>
      <c r="R193" s="560">
        <f t="shared" si="18"/>
        <v>0</v>
      </c>
      <c r="S193" s="499"/>
      <c r="T193" s="500">
        <f t="shared" si="19"/>
        <v>0</v>
      </c>
    </row>
    <row r="194" spans="1:28" s="501" customFormat="1" ht="12.6" thickBot="1">
      <c r="A194" s="513" t="s">
        <v>145</v>
      </c>
      <c r="B194" s="514">
        <f ca="1">(R194+T194)-SUM(R171:R193,T171:T193)</f>
        <v>0</v>
      </c>
      <c r="C194" s="515"/>
      <c r="D194" s="561" t="s">
        <v>166</v>
      </c>
      <c r="E194" s="449">
        <f ca="1">IF($B170=0,0,ROUND(ROUND(($R194*$S$2+($T194*$T$2))/$B170, 2)*$C$2,2))</f>
        <v>261.7</v>
      </c>
      <c r="F194" s="450">
        <f ca="1">ROUND($B170*$E194,2)</f>
        <v>261.7</v>
      </c>
      <c r="G194" s="515"/>
      <c r="H194" s="515"/>
      <c r="I194" s="516"/>
      <c r="J194" s="515"/>
      <c r="K194" s="562" t="s">
        <v>143</v>
      </c>
      <c r="L194" s="517" t="s">
        <v>143</v>
      </c>
      <c r="M194" s="517"/>
      <c r="N194" s="517"/>
      <c r="O194" s="517"/>
      <c r="P194" s="517"/>
      <c r="Q194" s="562"/>
      <c r="R194" s="563">
        <f ca="1">SUM(R171:R193)</f>
        <v>92.801500000000004</v>
      </c>
      <c r="S194" s="564"/>
      <c r="T194" s="563">
        <f ca="1">SUM(T171:T193)</f>
        <v>3.6799999999999997</v>
      </c>
      <c r="U194" s="518"/>
      <c r="V194" s="518"/>
      <c r="W194" s="518"/>
      <c r="X194" s="518"/>
      <c r="Y194" s="518"/>
      <c r="Z194" s="518"/>
      <c r="AA194" s="518"/>
      <c r="AB194" s="518"/>
    </row>
    <row r="195" spans="1:28" s="501" customFormat="1" ht="12" thickTop="1">
      <c r="A195" s="44"/>
      <c r="B195" s="44"/>
      <c r="C195" s="44"/>
      <c r="D195" s="44"/>
      <c r="E195" s="44"/>
      <c r="F195" s="44"/>
      <c r="G195" s="44"/>
      <c r="H195" s="44"/>
      <c r="I195" s="44"/>
      <c r="J195" s="44"/>
      <c r="K195" s="44"/>
      <c r="L195" s="44"/>
      <c r="M195" s="44"/>
      <c r="N195" s="44"/>
      <c r="O195" s="45"/>
      <c r="P195" s="44"/>
      <c r="Q195" s="40" t="s">
        <v>163</v>
      </c>
      <c r="R195" s="44"/>
      <c r="S195" s="11"/>
      <c r="T195" s="44"/>
    </row>
    <row r="196" spans="1:28" s="501" customFormat="1" ht="12" customHeight="1" thickBot="1">
      <c r="A196" s="552">
        <v>1</v>
      </c>
      <c r="B196" s="553">
        <f ca="1">Elec_Est!B3228</f>
        <v>13</v>
      </c>
      <c r="C196" s="554"/>
      <c r="D196" s="555" t="s">
        <v>830</v>
      </c>
      <c r="E196" s="556"/>
      <c r="F196" s="556"/>
      <c r="G196" s="506"/>
      <c r="H196" s="506"/>
      <c r="I196" s="557"/>
      <c r="J196" s="506"/>
      <c r="K196" s="554" t="s">
        <v>164</v>
      </c>
      <c r="L196" s="558" t="s">
        <v>164</v>
      </c>
      <c r="M196" s="558"/>
      <c r="N196" s="558"/>
      <c r="O196" s="558"/>
      <c r="P196" s="558"/>
      <c r="Q196" s="559">
        <f ca="1">B196/A196</f>
        <v>13</v>
      </c>
      <c r="R196" s="565">
        <f ca="1">IF($B196=0,0,IF($S$1="R",ROUND(R201/$B196,2),R201/$B196))</f>
        <v>20</v>
      </c>
      <c r="S196" s="566"/>
      <c r="T196" s="565">
        <f ca="1">IF($B196=0,0,IF($S$1="R",ROUND(T201/$B196,2),T201/$B196))</f>
        <v>2</v>
      </c>
    </row>
    <row r="197" spans="1:28" s="501" customFormat="1" ht="13.8" thickTop="1">
      <c r="A197" s="505"/>
      <c r="B197" s="3"/>
      <c r="C197" s="3"/>
      <c r="D197" s="85" t="s">
        <v>686</v>
      </c>
      <c r="E197" s="3"/>
      <c r="F197" s="3"/>
      <c r="G197" s="3"/>
      <c r="H197" s="3"/>
      <c r="I197" s="3"/>
      <c r="J197" s="3"/>
      <c r="K197" s="3"/>
      <c r="L197" s="3"/>
      <c r="M197" s="3"/>
      <c r="N197" s="3"/>
      <c r="O197" s="86"/>
      <c r="P197" s="3"/>
      <c r="Q197" s="3"/>
      <c r="R197" s="3"/>
      <c r="S197" s="3"/>
      <c r="T197" s="3"/>
    </row>
    <row r="198" spans="1:28" s="893" customFormat="1">
      <c r="A198" s="904">
        <f ca="1">$Q$196 *(1)</f>
        <v>13</v>
      </c>
      <c r="B198" s="893" t="s">
        <v>141</v>
      </c>
      <c r="D198" s="893" t="s">
        <v>767</v>
      </c>
      <c r="F198" s="893" t="s">
        <v>808</v>
      </c>
      <c r="G198" s="894" t="s">
        <v>768</v>
      </c>
      <c r="H198" s="895">
        <v>570</v>
      </c>
      <c r="I198" s="893" t="s">
        <v>643</v>
      </c>
      <c r="O198" s="896">
        <v>2</v>
      </c>
      <c r="P198" s="897">
        <v>38443</v>
      </c>
      <c r="Q198" s="898"/>
      <c r="R198" s="899">
        <f ca="1">$A198*Q198</f>
        <v>0</v>
      </c>
      <c r="S198" s="898">
        <v>2</v>
      </c>
      <c r="T198" s="900">
        <f ca="1">$A198*S198*$T$1</f>
        <v>26</v>
      </c>
    </row>
    <row r="199" spans="1:28" s="893" customFormat="1">
      <c r="A199" s="904">
        <f ca="1">$Q$196 *(1)</f>
        <v>13</v>
      </c>
      <c r="B199" s="893" t="s">
        <v>141</v>
      </c>
      <c r="D199" s="893" t="s">
        <v>664</v>
      </c>
      <c r="G199" s="894" t="s">
        <v>665</v>
      </c>
      <c r="H199" s="895">
        <v>501</v>
      </c>
      <c r="I199" s="893" t="s">
        <v>643</v>
      </c>
      <c r="K199" s="893" t="s">
        <v>666</v>
      </c>
      <c r="O199" s="896">
        <v>1</v>
      </c>
      <c r="P199" s="897"/>
      <c r="Q199" s="898">
        <v>20</v>
      </c>
      <c r="R199" s="899">
        <f ca="1">$A199*Q199</f>
        <v>260</v>
      </c>
      <c r="S199" s="898"/>
      <c r="T199" s="900">
        <f ca="1">$A199*S199*$T$1</f>
        <v>0</v>
      </c>
    </row>
    <row r="200" spans="1:28" s="501" customFormat="1">
      <c r="A200" s="497"/>
      <c r="B200" s="3"/>
      <c r="C200" s="497" t="s">
        <v>165</v>
      </c>
      <c r="D200" s="3"/>
      <c r="E200" s="497"/>
      <c r="F200" s="498"/>
      <c r="G200" s="497"/>
      <c r="H200" s="497"/>
      <c r="I200" s="499"/>
      <c r="J200" s="497"/>
      <c r="K200" s="497"/>
      <c r="L200" s="497"/>
      <c r="M200" s="497"/>
      <c r="N200" s="497"/>
      <c r="O200" s="497"/>
      <c r="P200" s="497"/>
      <c r="Q200" s="499"/>
      <c r="R200" s="560">
        <f>$A200*Q200</f>
        <v>0</v>
      </c>
      <c r="S200" s="499"/>
      <c r="T200" s="500">
        <f>$A200*S200*$T$1</f>
        <v>0</v>
      </c>
    </row>
    <row r="201" spans="1:28" s="501" customFormat="1" ht="12.6" thickBot="1">
      <c r="A201" s="513" t="s">
        <v>145</v>
      </c>
      <c r="B201" s="514">
        <f>(R200+T200)</f>
        <v>0</v>
      </c>
      <c r="C201" s="515"/>
      <c r="D201" s="561" t="s">
        <v>166</v>
      </c>
      <c r="E201" s="449">
        <f ca="1">IF($B196=0,0,ROUND(ROUND(($R201*$S$2+($T201*$T$2))/$B196, 2)*$C$2,2))</f>
        <v>101.14</v>
      </c>
      <c r="F201" s="450">
        <f ca="1">ROUND($B196*$E201,2)</f>
        <v>1314.82</v>
      </c>
      <c r="G201" s="515"/>
      <c r="H201" s="515"/>
      <c r="I201" s="516"/>
      <c r="J201" s="515"/>
      <c r="K201" s="562" t="s">
        <v>143</v>
      </c>
      <c r="L201" s="517" t="s">
        <v>143</v>
      </c>
      <c r="M201" s="517"/>
      <c r="N201" s="517"/>
      <c r="O201" s="517"/>
      <c r="P201" s="517"/>
      <c r="Q201" s="562"/>
      <c r="R201" s="563">
        <f ca="1">SUM(R197:R200)</f>
        <v>260</v>
      </c>
      <c r="S201" s="564"/>
      <c r="T201" s="563">
        <f ca="1">SUM(T197:T200)</f>
        <v>26</v>
      </c>
      <c r="U201" s="518"/>
      <c r="V201" s="518"/>
      <c r="W201" s="518"/>
      <c r="X201" s="518"/>
      <c r="Y201" s="518"/>
      <c r="Z201" s="518"/>
      <c r="AA201" s="518"/>
      <c r="AB201" s="518"/>
    </row>
    <row r="202" spans="1:28" s="501" customFormat="1" ht="12" thickTop="1">
      <c r="A202" s="44"/>
      <c r="B202" s="44"/>
      <c r="C202" s="44"/>
      <c r="D202" s="44"/>
      <c r="E202" s="44"/>
      <c r="F202" s="44"/>
      <c r="G202" s="44"/>
      <c r="H202" s="44"/>
      <c r="I202" s="44"/>
      <c r="J202" s="44"/>
      <c r="K202" s="44"/>
      <c r="L202" s="44"/>
      <c r="M202" s="44"/>
      <c r="N202" s="44"/>
      <c r="O202" s="45"/>
      <c r="P202" s="44"/>
      <c r="Q202" s="40" t="s">
        <v>163</v>
      </c>
      <c r="R202" s="44"/>
      <c r="S202" s="11"/>
      <c r="T202" s="44"/>
    </row>
    <row r="203" spans="1:28" s="501" customFormat="1" ht="12" customHeight="1" thickBot="1">
      <c r="A203" s="552">
        <v>1</v>
      </c>
      <c r="B203" s="553">
        <f ca="1">Elec_Est!B3229</f>
        <v>35</v>
      </c>
      <c r="C203" s="554"/>
      <c r="D203" s="555" t="s">
        <v>831</v>
      </c>
      <c r="E203" s="556"/>
      <c r="F203" s="556"/>
      <c r="G203" s="506"/>
      <c r="H203" s="506"/>
      <c r="I203" s="557"/>
      <c r="J203" s="506"/>
      <c r="K203" s="554" t="s">
        <v>164</v>
      </c>
      <c r="L203" s="558" t="s">
        <v>164</v>
      </c>
      <c r="M203" s="558"/>
      <c r="N203" s="558"/>
      <c r="O203" s="558"/>
      <c r="P203" s="558"/>
      <c r="Q203" s="559">
        <f ca="1">B203/A203</f>
        <v>35</v>
      </c>
      <c r="R203" s="565">
        <f ca="1">IF($B203=0,0,IF($S$1="R",ROUND(R208/$B203,2),R208/$B203))</f>
        <v>20</v>
      </c>
      <c r="S203" s="566"/>
      <c r="T203" s="565">
        <f ca="1">IF($B203=0,0,IF($S$1="R",ROUND(T208/$B203,2),T208/$B203))</f>
        <v>1</v>
      </c>
    </row>
    <row r="204" spans="1:28" s="501" customFormat="1" ht="13.8" thickTop="1">
      <c r="A204" s="505"/>
      <c r="B204" s="3"/>
      <c r="C204" s="3"/>
      <c r="D204" s="85" t="s">
        <v>686</v>
      </c>
      <c r="E204" s="3"/>
      <c r="F204" s="3"/>
      <c r="G204" s="3"/>
      <c r="H204" s="3"/>
      <c r="I204" s="3"/>
      <c r="J204" s="3"/>
      <c r="K204" s="3"/>
      <c r="L204" s="3"/>
      <c r="M204" s="3"/>
      <c r="N204" s="3"/>
      <c r="O204" s="86"/>
      <c r="P204" s="3"/>
      <c r="Q204" s="3"/>
      <c r="R204" s="3"/>
      <c r="S204" s="3"/>
      <c r="T204" s="3"/>
    </row>
    <row r="205" spans="1:28" s="893" customFormat="1">
      <c r="A205" s="926">
        <f ca="1">$Q$203 *(1)</f>
        <v>35</v>
      </c>
      <c r="B205" s="893" t="s">
        <v>141</v>
      </c>
      <c r="D205" s="893" t="s">
        <v>796</v>
      </c>
      <c r="F205" s="893" t="s">
        <v>807</v>
      </c>
      <c r="G205" s="894" t="s">
        <v>798</v>
      </c>
      <c r="H205" s="895">
        <v>900</v>
      </c>
      <c r="I205" s="893" t="s">
        <v>660</v>
      </c>
      <c r="O205" s="896">
        <v>2</v>
      </c>
      <c r="P205" s="897"/>
      <c r="Q205" s="898"/>
      <c r="R205" s="899">
        <f ca="1">$A205*Q205</f>
        <v>0</v>
      </c>
      <c r="S205" s="898">
        <v>1</v>
      </c>
      <c r="T205" s="900">
        <f ca="1">$A205*S205*$T$1</f>
        <v>35</v>
      </c>
    </row>
    <row r="206" spans="1:28" s="893" customFormat="1">
      <c r="A206" s="904">
        <f ca="1">$Q$203 *(1)</f>
        <v>35</v>
      </c>
      <c r="B206" s="893" t="s">
        <v>141</v>
      </c>
      <c r="D206" s="893" t="s">
        <v>664</v>
      </c>
      <c r="G206" s="894" t="s">
        <v>665</v>
      </c>
      <c r="H206" s="895">
        <v>501</v>
      </c>
      <c r="I206" s="893" t="s">
        <v>643</v>
      </c>
      <c r="K206" s="893" t="s">
        <v>666</v>
      </c>
      <c r="O206" s="896">
        <v>1</v>
      </c>
      <c r="P206" s="897"/>
      <c r="Q206" s="898">
        <v>20</v>
      </c>
      <c r="R206" s="899">
        <f ca="1">$A206*Q206</f>
        <v>700</v>
      </c>
      <c r="S206" s="898"/>
      <c r="T206" s="900">
        <f ca="1">$A206*S206*$T$1</f>
        <v>0</v>
      </c>
    </row>
    <row r="207" spans="1:28" s="501" customFormat="1">
      <c r="A207" s="497"/>
      <c r="B207" s="3"/>
      <c r="C207" s="497" t="s">
        <v>165</v>
      </c>
      <c r="D207" s="3"/>
      <c r="E207" s="497"/>
      <c r="F207" s="498"/>
      <c r="G207" s="497"/>
      <c r="H207" s="497"/>
      <c r="I207" s="499"/>
      <c r="J207" s="497"/>
      <c r="K207" s="497"/>
      <c r="L207" s="497"/>
      <c r="M207" s="497"/>
      <c r="N207" s="497"/>
      <c r="O207" s="497"/>
      <c r="P207" s="497"/>
      <c r="Q207" s="499"/>
      <c r="R207" s="560">
        <f>$A207*Q207</f>
        <v>0</v>
      </c>
      <c r="S207" s="499"/>
      <c r="T207" s="500">
        <f>$A207*S207*$T$1</f>
        <v>0</v>
      </c>
    </row>
    <row r="208" spans="1:28" s="501" customFormat="1" ht="12.6" thickBot="1">
      <c r="A208" s="513" t="s">
        <v>145</v>
      </c>
      <c r="B208" s="514">
        <f>(R207+T207)</f>
        <v>0</v>
      </c>
      <c r="C208" s="515"/>
      <c r="D208" s="561" t="s">
        <v>166</v>
      </c>
      <c r="E208" s="449">
        <f ca="1">IF($B203=0,0,ROUND(ROUND(($R208*$S$2+($T208*$T$2))/$B203, 2)*$C$2,2))</f>
        <v>64.069999999999993</v>
      </c>
      <c r="F208" s="450">
        <f ca="1">ROUND($B203*$E208,2)</f>
        <v>2242.4499999999998</v>
      </c>
      <c r="G208" s="515"/>
      <c r="H208" s="515"/>
      <c r="I208" s="516"/>
      <c r="J208" s="515"/>
      <c r="K208" s="562" t="s">
        <v>143</v>
      </c>
      <c r="L208" s="517" t="s">
        <v>143</v>
      </c>
      <c r="M208" s="517"/>
      <c r="N208" s="517"/>
      <c r="O208" s="517"/>
      <c r="P208" s="517"/>
      <c r="Q208" s="562"/>
      <c r="R208" s="563">
        <f ca="1">SUM(R204:R207)</f>
        <v>700</v>
      </c>
      <c r="S208" s="564"/>
      <c r="T208" s="563">
        <f ca="1">SUM(T204:T207)</f>
        <v>35</v>
      </c>
      <c r="U208" s="518"/>
      <c r="V208" s="518"/>
      <c r="W208" s="518"/>
      <c r="X208" s="518"/>
      <c r="Y208" s="518"/>
      <c r="Z208" s="518"/>
      <c r="AA208" s="518"/>
      <c r="AB208" s="518"/>
    </row>
    <row r="209" spans="1:28" s="501" customFormat="1" ht="12" thickTop="1">
      <c r="A209" s="44"/>
      <c r="B209" s="44"/>
      <c r="C209" s="44"/>
      <c r="D209" s="44"/>
      <c r="E209" s="44"/>
      <c r="F209" s="44"/>
      <c r="G209" s="44"/>
      <c r="H209" s="44"/>
      <c r="I209" s="44"/>
      <c r="J209" s="44"/>
      <c r="K209" s="44"/>
      <c r="L209" s="44"/>
      <c r="M209" s="44"/>
      <c r="N209" s="44"/>
      <c r="O209" s="45"/>
      <c r="P209" s="44"/>
      <c r="Q209" s="40" t="s">
        <v>163</v>
      </c>
      <c r="R209" s="44"/>
      <c r="S209" s="11"/>
      <c r="T209" s="44"/>
    </row>
    <row r="210" spans="1:28" s="501" customFormat="1" ht="12" customHeight="1" thickBot="1">
      <c r="A210" s="552">
        <v>1</v>
      </c>
      <c r="B210" s="553">
        <f ca="1">Elec_Est!B3230</f>
        <v>14</v>
      </c>
      <c r="C210" s="554"/>
      <c r="D210" s="555" t="s">
        <v>832</v>
      </c>
      <c r="E210" s="556"/>
      <c r="F210" s="556"/>
      <c r="G210" s="506"/>
      <c r="H210" s="506"/>
      <c r="I210" s="557"/>
      <c r="J210" s="506"/>
      <c r="K210" s="554" t="s">
        <v>164</v>
      </c>
      <c r="L210" s="558" t="s">
        <v>164</v>
      </c>
      <c r="M210" s="558"/>
      <c r="N210" s="558"/>
      <c r="O210" s="558"/>
      <c r="P210" s="558"/>
      <c r="Q210" s="559">
        <f ca="1">B210/A210</f>
        <v>14</v>
      </c>
      <c r="R210" s="565">
        <f ca="1">IF($B210=0,0,IF($S$1="R",ROUND(R215/$B210,2),R215/$B210))</f>
        <v>30</v>
      </c>
      <c r="S210" s="566"/>
      <c r="T210" s="565">
        <f ca="1">IF($B210=0,0,IF($S$1="R",ROUND(T215/$B210,2),T215/$B210))</f>
        <v>1</v>
      </c>
    </row>
    <row r="211" spans="1:28" s="501" customFormat="1" ht="13.8" thickTop="1">
      <c r="A211" s="505"/>
      <c r="B211" s="3"/>
      <c r="C211" s="3"/>
      <c r="D211" s="85" t="s">
        <v>686</v>
      </c>
      <c r="E211" s="3"/>
      <c r="F211" s="3"/>
      <c r="G211" s="3"/>
      <c r="H211" s="3"/>
      <c r="I211" s="3"/>
      <c r="J211" s="3"/>
      <c r="K211" s="3"/>
      <c r="L211" s="3"/>
      <c r="M211" s="3"/>
      <c r="N211" s="3"/>
      <c r="O211" s="86"/>
      <c r="P211" s="3"/>
      <c r="Q211" s="3"/>
      <c r="R211" s="3"/>
      <c r="S211" s="3"/>
      <c r="T211" s="3"/>
    </row>
    <row r="212" spans="1:28" s="893" customFormat="1">
      <c r="A212" s="904">
        <f ca="1">$Q$210 *(1)</f>
        <v>14</v>
      </c>
      <c r="B212" s="893" t="s">
        <v>141</v>
      </c>
      <c r="D212" s="893" t="s">
        <v>767</v>
      </c>
      <c r="E212" s="893" t="s">
        <v>812</v>
      </c>
      <c r="F212" s="893" t="s">
        <v>810</v>
      </c>
      <c r="G212" s="894" t="s">
        <v>768</v>
      </c>
      <c r="H212" s="895">
        <v>570</v>
      </c>
      <c r="I212" s="893" t="s">
        <v>643</v>
      </c>
      <c r="O212" s="896">
        <v>2</v>
      </c>
      <c r="P212" s="897">
        <v>38443</v>
      </c>
      <c r="Q212" s="898"/>
      <c r="R212" s="899">
        <f ca="1">$A212*Q212</f>
        <v>0</v>
      </c>
      <c r="S212" s="898">
        <v>1</v>
      </c>
      <c r="T212" s="900">
        <f ca="1">$A212*S212*$T$1</f>
        <v>14</v>
      </c>
    </row>
    <row r="213" spans="1:28" s="893" customFormat="1">
      <c r="A213" s="904">
        <f ca="1">$Q$210 *(1)</f>
        <v>14</v>
      </c>
      <c r="B213" s="893" t="s">
        <v>141</v>
      </c>
      <c r="D213" s="893" t="s">
        <v>664</v>
      </c>
      <c r="F213" s="893" t="s">
        <v>811</v>
      </c>
      <c r="G213" s="894" t="s">
        <v>665</v>
      </c>
      <c r="H213" s="895">
        <v>501</v>
      </c>
      <c r="I213" s="893" t="s">
        <v>643</v>
      </c>
      <c r="K213" s="893" t="s">
        <v>666</v>
      </c>
      <c r="O213" s="896">
        <v>1</v>
      </c>
      <c r="P213" s="897"/>
      <c r="Q213" s="898">
        <v>30</v>
      </c>
      <c r="R213" s="899">
        <f ca="1">$A213*Q213</f>
        <v>420</v>
      </c>
      <c r="S213" s="898"/>
      <c r="T213" s="900">
        <f ca="1">$A213*S213*$T$1</f>
        <v>0</v>
      </c>
    </row>
    <row r="214" spans="1:28" s="501" customFormat="1">
      <c r="A214" s="497"/>
      <c r="B214" s="3"/>
      <c r="C214" s="497" t="s">
        <v>165</v>
      </c>
      <c r="D214" s="3"/>
      <c r="E214" s="497"/>
      <c r="F214" s="498"/>
      <c r="G214" s="497"/>
      <c r="H214" s="497"/>
      <c r="I214" s="499"/>
      <c r="J214" s="497"/>
      <c r="K214" s="497"/>
      <c r="L214" s="497"/>
      <c r="M214" s="497"/>
      <c r="N214" s="497"/>
      <c r="O214" s="497"/>
      <c r="P214" s="497"/>
      <c r="Q214" s="499"/>
      <c r="R214" s="560">
        <f>$A214*Q214</f>
        <v>0</v>
      </c>
      <c r="S214" s="499"/>
      <c r="T214" s="500">
        <f>$A214*S214*$T$1</f>
        <v>0</v>
      </c>
    </row>
    <row r="215" spans="1:28" s="501" customFormat="1" ht="12.6" thickBot="1">
      <c r="A215" s="513" t="s">
        <v>145</v>
      </c>
      <c r="B215" s="514">
        <f>(R214+T214)</f>
        <v>0</v>
      </c>
      <c r="C215" s="515"/>
      <c r="D215" s="561" t="s">
        <v>166</v>
      </c>
      <c r="E215" s="449">
        <f ca="1">IF($B210=0,0,ROUND(ROUND(($R215*$S$2+($T215*$T$2))/$B210, 2)*$C$2,2))</f>
        <v>77.569999999999993</v>
      </c>
      <c r="F215" s="450">
        <f ca="1">ROUND($B210*$E215,2)</f>
        <v>1085.98</v>
      </c>
      <c r="G215" s="515"/>
      <c r="H215" s="515"/>
      <c r="I215" s="516"/>
      <c r="J215" s="515"/>
      <c r="K215" s="562" t="s">
        <v>143</v>
      </c>
      <c r="L215" s="517" t="s">
        <v>143</v>
      </c>
      <c r="M215" s="517"/>
      <c r="N215" s="517"/>
      <c r="O215" s="517"/>
      <c r="P215" s="517"/>
      <c r="Q215" s="562"/>
      <c r="R215" s="563">
        <f ca="1">SUM(R211:R214)</f>
        <v>420</v>
      </c>
      <c r="S215" s="564"/>
      <c r="T215" s="563">
        <f ca="1">SUM(T211:T214)</f>
        <v>14</v>
      </c>
      <c r="U215" s="518"/>
      <c r="V215" s="518"/>
      <c r="W215" s="518"/>
      <c r="X215" s="518"/>
      <c r="Y215" s="518"/>
      <c r="Z215" s="518"/>
      <c r="AA215" s="518"/>
      <c r="AB215" s="518"/>
    </row>
    <row r="216" spans="1:28" s="501" customFormat="1" ht="12" thickTop="1">
      <c r="A216" s="44"/>
      <c r="B216" s="44"/>
      <c r="C216" s="44"/>
      <c r="D216" s="44"/>
      <c r="E216" s="44"/>
      <c r="F216" s="44"/>
      <c r="G216" s="44"/>
      <c r="H216" s="44"/>
      <c r="I216" s="44"/>
      <c r="J216" s="44"/>
      <c r="K216" s="44"/>
      <c r="L216" s="44"/>
      <c r="M216" s="44"/>
      <c r="N216" s="44"/>
      <c r="O216" s="45"/>
      <c r="P216" s="44"/>
      <c r="Q216" s="40" t="s">
        <v>163</v>
      </c>
      <c r="R216" s="44"/>
      <c r="S216" s="11"/>
      <c r="T216" s="44"/>
    </row>
    <row r="217" spans="1:28" s="501" customFormat="1" ht="12" customHeight="1" thickBot="1">
      <c r="A217" s="552">
        <v>1</v>
      </c>
      <c r="B217" s="553">
        <f ca="1">Elec_Est!B3231</f>
        <v>14</v>
      </c>
      <c r="C217" s="554"/>
      <c r="D217" s="555" t="s">
        <v>833</v>
      </c>
      <c r="E217" s="556"/>
      <c r="F217" s="556"/>
      <c r="G217" s="506"/>
      <c r="H217" s="506"/>
      <c r="I217" s="557"/>
      <c r="J217" s="506"/>
      <c r="K217" s="554" t="s">
        <v>164</v>
      </c>
      <c r="L217" s="558" t="s">
        <v>164</v>
      </c>
      <c r="M217" s="558"/>
      <c r="N217" s="558"/>
      <c r="O217" s="558"/>
      <c r="P217" s="558"/>
      <c r="Q217" s="559">
        <f ca="1">B217/A217</f>
        <v>14</v>
      </c>
      <c r="R217" s="565">
        <f ca="1">IF($B217=0,0,IF($S$1="R",ROUND(R226/$B217,2),R226/$B217))</f>
        <v>354.24</v>
      </c>
      <c r="S217" s="566"/>
      <c r="T217" s="565">
        <f ca="1">IF($B217=0,0,IF($S$1="R",ROUND(T226/$B217,2),T226/$B217))</f>
        <v>17.989999999999998</v>
      </c>
    </row>
    <row r="218" spans="1:28" s="501" customFormat="1" ht="13.8" thickTop="1">
      <c r="A218" s="505"/>
      <c r="B218" s="3"/>
      <c r="C218" s="3"/>
      <c r="D218" s="85" t="s">
        <v>813</v>
      </c>
      <c r="E218" s="3"/>
      <c r="F218" s="3"/>
      <c r="G218" s="3"/>
      <c r="H218" s="3"/>
      <c r="I218" s="3"/>
      <c r="J218" s="3"/>
      <c r="K218" s="3"/>
      <c r="L218" s="3"/>
      <c r="M218" s="3"/>
      <c r="N218" s="3"/>
      <c r="O218" s="86"/>
      <c r="P218" s="3"/>
      <c r="Q218" s="3"/>
      <c r="R218" s="3"/>
      <c r="S218" s="3"/>
      <c r="T218" s="3"/>
    </row>
    <row r="219" spans="1:28" s="893" customFormat="1">
      <c r="A219" s="926">
        <f ca="1">$Q$217 *(7*8)</f>
        <v>784</v>
      </c>
      <c r="B219" s="893" t="s">
        <v>296</v>
      </c>
      <c r="D219" s="893" t="s">
        <v>652</v>
      </c>
      <c r="G219" s="894" t="s">
        <v>653</v>
      </c>
      <c r="H219" s="895">
        <v>690</v>
      </c>
      <c r="I219" s="893" t="s">
        <v>648</v>
      </c>
      <c r="J219" s="893" t="s">
        <v>649</v>
      </c>
      <c r="O219" s="896">
        <v>1</v>
      </c>
      <c r="P219" s="897">
        <v>34669</v>
      </c>
      <c r="Q219" s="898">
        <v>3.66</v>
      </c>
      <c r="R219" s="899">
        <f t="shared" ref="R219:R225" ca="1" si="20">$A219*Q219</f>
        <v>2869.44</v>
      </c>
      <c r="S219" s="898">
        <v>0.2</v>
      </c>
      <c r="T219" s="900">
        <f t="shared" ref="T219:T225" ca="1" si="21">$A219*S219*$T$1</f>
        <v>156.80000000000001</v>
      </c>
    </row>
    <row r="220" spans="1:28" s="893" customFormat="1">
      <c r="A220" s="926">
        <f ca="1">$Q$217 *(7*10)</f>
        <v>980</v>
      </c>
      <c r="B220" s="893" t="s">
        <v>296</v>
      </c>
      <c r="D220" s="893" t="s">
        <v>726</v>
      </c>
      <c r="G220" s="894" t="s">
        <v>728</v>
      </c>
      <c r="H220" s="895">
        <v>617</v>
      </c>
      <c r="I220" s="893" t="s">
        <v>729</v>
      </c>
      <c r="J220" s="893" t="s">
        <v>730</v>
      </c>
      <c r="O220" s="896">
        <v>2</v>
      </c>
      <c r="P220" s="897">
        <v>38433</v>
      </c>
      <c r="Q220" s="898">
        <v>1.4524999999999999</v>
      </c>
      <c r="R220" s="899">
        <f t="shared" ca="1" si="20"/>
        <v>1423.4499999999998</v>
      </c>
      <c r="S220" s="898">
        <v>0.03</v>
      </c>
      <c r="T220" s="900">
        <f t="shared" ca="1" si="21"/>
        <v>29.4</v>
      </c>
    </row>
    <row r="221" spans="1:28" s="893" customFormat="1">
      <c r="A221" s="904">
        <f ca="1">$Q$217 *(7*4)</f>
        <v>392</v>
      </c>
      <c r="B221" s="893" t="s">
        <v>141</v>
      </c>
      <c r="D221" s="893" t="s">
        <v>815</v>
      </c>
      <c r="G221" s="894" t="s">
        <v>816</v>
      </c>
      <c r="H221" s="895">
        <v>620</v>
      </c>
      <c r="I221" s="893" t="s">
        <v>643</v>
      </c>
      <c r="O221" s="896">
        <v>2</v>
      </c>
      <c r="P221" s="897">
        <v>35431</v>
      </c>
      <c r="Q221" s="898">
        <v>0.35</v>
      </c>
      <c r="R221" s="899">
        <f t="shared" ca="1" si="20"/>
        <v>137.19999999999999</v>
      </c>
      <c r="S221" s="898"/>
      <c r="T221" s="900">
        <f t="shared" ca="1" si="21"/>
        <v>0</v>
      </c>
    </row>
    <row r="222" spans="1:28" s="893" customFormat="1">
      <c r="A222" s="904">
        <f ca="1">$Q$217 *(14)</f>
        <v>196</v>
      </c>
      <c r="B222" s="893" t="s">
        <v>141</v>
      </c>
      <c r="D222" s="893" t="s">
        <v>817</v>
      </c>
      <c r="G222" s="894" t="s">
        <v>731</v>
      </c>
      <c r="H222" s="895">
        <v>620</v>
      </c>
      <c r="I222" s="893" t="s">
        <v>643</v>
      </c>
      <c r="O222" s="896">
        <v>2</v>
      </c>
      <c r="P222" s="897"/>
      <c r="Q222" s="898">
        <v>0.2</v>
      </c>
      <c r="R222" s="899">
        <f t="shared" ca="1" si="20"/>
        <v>39.200000000000003</v>
      </c>
      <c r="S222" s="898"/>
      <c r="T222" s="900">
        <f t="shared" ca="1" si="21"/>
        <v>0</v>
      </c>
    </row>
    <row r="223" spans="1:28" s="893" customFormat="1">
      <c r="A223" s="904">
        <f ca="1">$Q$217 *(7)</f>
        <v>98</v>
      </c>
      <c r="B223" s="893" t="s">
        <v>141</v>
      </c>
      <c r="D223" s="893" t="s">
        <v>834</v>
      </c>
      <c r="F223" s="893" t="s">
        <v>814</v>
      </c>
      <c r="G223" s="894" t="s">
        <v>659</v>
      </c>
      <c r="H223" s="895">
        <v>900</v>
      </c>
      <c r="I223" s="893" t="s">
        <v>660</v>
      </c>
      <c r="O223" s="896">
        <v>1</v>
      </c>
      <c r="P223" s="897"/>
      <c r="Q223" s="898"/>
      <c r="R223" s="899">
        <f t="shared" ca="1" si="20"/>
        <v>0</v>
      </c>
      <c r="S223" s="898">
        <v>0.5</v>
      </c>
      <c r="T223" s="900">
        <f t="shared" ca="1" si="21"/>
        <v>49</v>
      </c>
    </row>
    <row r="224" spans="1:28" s="893" customFormat="1">
      <c r="A224" s="904">
        <f ca="1">$Q$217 *(7)</f>
        <v>98</v>
      </c>
      <c r="B224" s="893" t="s">
        <v>141</v>
      </c>
      <c r="D224" s="893" t="s">
        <v>818</v>
      </c>
      <c r="G224" s="894" t="s">
        <v>768</v>
      </c>
      <c r="H224" s="895">
        <v>570</v>
      </c>
      <c r="I224" s="893" t="s">
        <v>643</v>
      </c>
      <c r="O224" s="896">
        <v>2</v>
      </c>
      <c r="P224" s="897">
        <v>38443</v>
      </c>
      <c r="Q224" s="898">
        <v>5</v>
      </c>
      <c r="R224" s="899">
        <f t="shared" ca="1" si="20"/>
        <v>490</v>
      </c>
      <c r="S224" s="898">
        <v>0.17</v>
      </c>
      <c r="T224" s="900">
        <f t="shared" ca="1" si="21"/>
        <v>16.66</v>
      </c>
    </row>
    <row r="225" spans="1:28" s="501" customFormat="1">
      <c r="A225" s="497"/>
      <c r="B225" s="3"/>
      <c r="C225" s="497" t="s">
        <v>165</v>
      </c>
      <c r="D225" s="3"/>
      <c r="E225" s="497"/>
      <c r="F225" s="498"/>
      <c r="G225" s="497"/>
      <c r="H225" s="497"/>
      <c r="I225" s="499"/>
      <c r="J225" s="497"/>
      <c r="K225" s="497"/>
      <c r="L225" s="497"/>
      <c r="M225" s="497"/>
      <c r="N225" s="497"/>
      <c r="O225" s="497"/>
      <c r="P225" s="497"/>
      <c r="Q225" s="499"/>
      <c r="R225" s="560">
        <f t="shared" si="20"/>
        <v>0</v>
      </c>
      <c r="S225" s="499"/>
      <c r="T225" s="500">
        <f t="shared" si="21"/>
        <v>0</v>
      </c>
    </row>
    <row r="226" spans="1:28" s="501" customFormat="1" ht="12.6" thickBot="1">
      <c r="A226" s="513" t="s">
        <v>145</v>
      </c>
      <c r="B226" s="514">
        <f>(R225+T225)</f>
        <v>0</v>
      </c>
      <c r="C226" s="515"/>
      <c r="D226" s="561" t="s">
        <v>166</v>
      </c>
      <c r="E226" s="449">
        <f ca="1">IF($B217=0,0,ROUND(ROUND(($R226*$S$2+($T226*$T$2))/$B217, 2)*$C$2,2))</f>
        <v>1145.1199999999999</v>
      </c>
      <c r="F226" s="450">
        <f ca="1">ROUND($B217*$E226,2)</f>
        <v>16031.68</v>
      </c>
      <c r="G226" s="515"/>
      <c r="H226" s="515"/>
      <c r="I226" s="516"/>
      <c r="J226" s="515"/>
      <c r="K226" s="562" t="s">
        <v>143</v>
      </c>
      <c r="L226" s="517" t="s">
        <v>143</v>
      </c>
      <c r="M226" s="517"/>
      <c r="N226" s="517"/>
      <c r="O226" s="517"/>
      <c r="P226" s="517"/>
      <c r="Q226" s="562"/>
      <c r="R226" s="563">
        <f ca="1">SUM(R218:R225)</f>
        <v>4959.2899999999991</v>
      </c>
      <c r="S226" s="564"/>
      <c r="T226" s="563">
        <f ca="1">SUM(T218:T225)</f>
        <v>251.86</v>
      </c>
      <c r="U226" s="518"/>
      <c r="V226" s="518"/>
      <c r="W226" s="518"/>
      <c r="X226" s="518"/>
      <c r="Y226" s="518"/>
      <c r="Z226" s="518"/>
      <c r="AA226" s="518"/>
      <c r="AB226" s="518"/>
    </row>
    <row r="227" spans="1:28" ht="13.8" thickTop="1">
      <c r="A227" s="41" t="s">
        <v>151</v>
      </c>
      <c r="B227"/>
      <c r="C227"/>
      <c r="D227"/>
      <c r="E227"/>
      <c r="F227"/>
      <c r="G227"/>
      <c r="H227"/>
      <c r="I227"/>
      <c r="J227"/>
      <c r="K227"/>
      <c r="L227"/>
      <c r="M227"/>
      <c r="N227"/>
      <c r="O227" s="87"/>
      <c r="P227"/>
      <c r="Q227"/>
      <c r="R227"/>
      <c r="S227"/>
      <c r="T227"/>
    </row>
    <row r="228" spans="1:28" ht="14.4" thickBot="1">
      <c r="A228" s="41" t="s">
        <v>151</v>
      </c>
      <c r="B228" s="1"/>
      <c r="C228" s="31"/>
      <c r="D228" s="88" t="s">
        <v>167</v>
      </c>
      <c r="E228" s="1"/>
      <c r="F228" s="3"/>
      <c r="G228" s="3"/>
      <c r="H228" s="3"/>
      <c r="I228" s="3"/>
      <c r="J228" s="3"/>
      <c r="K228" s="3"/>
      <c r="L228" s="3"/>
      <c r="M228" s="3"/>
      <c r="N228" s="3"/>
      <c r="O228" s="86"/>
      <c r="P228" s="3"/>
      <c r="Q228" s="3"/>
      <c r="R228" s="89" t="s">
        <v>34</v>
      </c>
      <c r="S228" s="90"/>
      <c r="T228" s="89" t="s">
        <v>35</v>
      </c>
    </row>
    <row r="229" spans="1:28" ht="13.8" thickTop="1">
      <c r="A229" s="41" t="s">
        <v>151</v>
      </c>
      <c r="B229" s="3"/>
      <c r="C229" s="31"/>
      <c r="D229" s="1"/>
      <c r="E229" s="1"/>
      <c r="F229" s="31"/>
      <c r="G229" s="1"/>
      <c r="H229" s="1"/>
      <c r="I229" s="1"/>
      <c r="J229" s="1"/>
      <c r="K229" s="3"/>
      <c r="L229" s="1"/>
      <c r="M229" s="1"/>
      <c r="N229" s="1"/>
      <c r="O229" s="91"/>
      <c r="P229" s="1"/>
      <c r="Q229" s="1"/>
      <c r="R229" s="1"/>
      <c r="S229" s="1"/>
      <c r="T229" s="1"/>
    </row>
    <row r="230" spans="1:28" ht="13.8" thickBot="1">
      <c r="A230" s="41" t="s">
        <v>151</v>
      </c>
      <c r="B230" s="3"/>
      <c r="C230" s="31"/>
      <c r="D230" s="46" t="s">
        <v>168</v>
      </c>
      <c r="E230" s="1"/>
      <c r="F230" s="1"/>
      <c r="G230" s="31"/>
      <c r="H230" s="31"/>
      <c r="I230" s="31"/>
      <c r="J230" s="31"/>
      <c r="K230" s="3"/>
      <c r="L230" s="92" t="s">
        <v>169</v>
      </c>
      <c r="M230" s="92"/>
      <c r="N230" s="92"/>
      <c r="O230" s="93"/>
      <c r="P230" s="92"/>
      <c r="Q230" s="31"/>
      <c r="R230" s="94">
        <f ca="1">SUMIF($L$12:$L228,"",R$12:R228)</f>
        <v>8478.5210000000006</v>
      </c>
      <c r="S230" s="95"/>
      <c r="T230" s="94">
        <f ca="1">SUMIF($L$12:$L228,"",T$12:T228)</f>
        <v>465.05</v>
      </c>
    </row>
    <row r="231" spans="1:28" ht="13.8" thickBot="1">
      <c r="A231" s="41" t="s">
        <v>151</v>
      </c>
      <c r="B231" s="3"/>
      <c r="C231" s="31"/>
      <c r="D231" s="46" t="s">
        <v>170</v>
      </c>
      <c r="E231" s="1"/>
      <c r="F231" s="3"/>
      <c r="G231" s="3"/>
      <c r="H231" s="3"/>
      <c r="I231" s="3"/>
      <c r="J231" s="3"/>
      <c r="K231" s="3"/>
      <c r="L231" s="92" t="s">
        <v>171</v>
      </c>
      <c r="M231" s="92"/>
      <c r="N231" s="92"/>
      <c r="O231" s="93"/>
      <c r="P231" s="92"/>
      <c r="Q231" s="3"/>
      <c r="R231" s="96">
        <f ca="1">SUMIF($L$12:$L228,"ITEM",R$12:R228)</f>
        <v>8478.5209999999988</v>
      </c>
      <c r="S231" s="97"/>
      <c r="T231" s="96">
        <f ca="1">SUMIF($L$12:$L228,"ITEM",T$12:T228)</f>
        <v>465.05000000000007</v>
      </c>
    </row>
    <row r="232" spans="1:28" ht="13.8" thickBot="1">
      <c r="A232" s="47" t="s">
        <v>147</v>
      </c>
      <c r="B232" s="7"/>
      <c r="C232" s="43"/>
      <c r="D232" s="7"/>
      <c r="E232" s="7"/>
      <c r="F232" s="7"/>
      <c r="G232" s="7"/>
      <c r="H232" s="7"/>
      <c r="I232" s="7"/>
      <c r="J232" s="7"/>
      <c r="K232" s="7"/>
      <c r="L232" s="7"/>
      <c r="M232" s="7"/>
      <c r="N232" s="7"/>
      <c r="O232" s="98"/>
      <c r="P232" s="7"/>
      <c r="Q232" s="7"/>
      <c r="R232" s="7"/>
      <c r="S232" s="7"/>
      <c r="T232" s="7"/>
      <c r="U232" s="67"/>
      <c r="V232" s="67"/>
      <c r="W232" s="67"/>
      <c r="X232" s="67"/>
      <c r="Y232" s="67"/>
      <c r="Z232" s="67"/>
      <c r="AA232" s="67"/>
      <c r="AB232" s="67"/>
    </row>
    <row r="233" spans="1:28" ht="13.8" thickTop="1">
      <c r="A233" s="49"/>
      <c r="B233" s="448" t="s">
        <v>71</v>
      </c>
      <c r="C233" s="4"/>
      <c r="D233" s="50"/>
      <c r="E233" s="51" t="s">
        <v>152</v>
      </c>
      <c r="F233" s="52"/>
      <c r="G233" s="52"/>
      <c r="H233" s="52"/>
      <c r="I233" s="52"/>
      <c r="J233" s="52"/>
      <c r="K233" s="52"/>
      <c r="L233" s="52"/>
      <c r="M233" s="52"/>
      <c r="N233" s="52"/>
      <c r="O233" s="53"/>
      <c r="P233" s="52"/>
      <c r="Q233" s="54"/>
      <c r="R233" s="55">
        <f ca="1">SUM(R234:R289)</f>
        <v>8478.5209999999988</v>
      </c>
      <c r="S233" s="56"/>
      <c r="T233" s="55">
        <f ca="1">SUM(T234:T289)</f>
        <v>465.04999999999995</v>
      </c>
    </row>
    <row r="234" spans="1:28">
      <c r="A234" s="57"/>
      <c r="B234" s="452">
        <v>1</v>
      </c>
      <c r="C234" s="4" t="s">
        <v>73</v>
      </c>
      <c r="D234" s="34" t="s">
        <v>74</v>
      </c>
      <c r="F234" s="58">
        <v>501</v>
      </c>
      <c r="O234" s="59"/>
      <c r="P234" s="34">
        <v>1</v>
      </c>
      <c r="R234" s="60">
        <f t="shared" ref="R234:R265" ca="1" si="22">SUMIF($H$12:$H$227,$F234,R$12:R$227)</f>
        <v>1443.364</v>
      </c>
      <c r="S234" s="61"/>
      <c r="T234" s="60">
        <f t="shared" ref="T234:T265" ca="1" si="23">SUMIF($H$12:$H$227,$F234,T$12:T$227)</f>
        <v>0</v>
      </c>
    </row>
    <row r="235" spans="1:28">
      <c r="A235" s="57"/>
      <c r="B235" s="452">
        <v>2</v>
      </c>
      <c r="C235" s="4" t="s">
        <v>73</v>
      </c>
      <c r="D235" s="34" t="s">
        <v>75</v>
      </c>
      <c r="F235" s="58">
        <v>505</v>
      </c>
      <c r="O235" s="59"/>
      <c r="P235" s="34">
        <v>1</v>
      </c>
      <c r="R235" s="60">
        <f t="shared" si="22"/>
        <v>0</v>
      </c>
      <c r="S235" s="61"/>
      <c r="T235" s="60">
        <f t="shared" si="23"/>
        <v>0</v>
      </c>
    </row>
    <row r="236" spans="1:28">
      <c r="A236" s="57"/>
      <c r="B236" s="452">
        <v>3</v>
      </c>
      <c r="C236" s="4" t="s">
        <v>73</v>
      </c>
      <c r="D236" s="34" t="s">
        <v>76</v>
      </c>
      <c r="F236" s="58">
        <v>510</v>
      </c>
      <c r="O236" s="59"/>
      <c r="P236" s="34">
        <v>2</v>
      </c>
      <c r="R236" s="60">
        <f t="shared" si="22"/>
        <v>0</v>
      </c>
      <c r="S236" s="61"/>
      <c r="T236" s="60">
        <f t="shared" si="23"/>
        <v>0</v>
      </c>
    </row>
    <row r="237" spans="1:28">
      <c r="A237" s="57"/>
      <c r="B237" s="452">
        <v>4</v>
      </c>
      <c r="C237" s="4" t="s">
        <v>73</v>
      </c>
      <c r="D237" s="34" t="s">
        <v>77</v>
      </c>
      <c r="F237" s="58">
        <v>511</v>
      </c>
      <c r="O237" s="59"/>
      <c r="P237" s="34">
        <v>2</v>
      </c>
      <c r="R237" s="60">
        <f t="shared" si="22"/>
        <v>0</v>
      </c>
      <c r="S237" s="61"/>
      <c r="T237" s="60">
        <f t="shared" si="23"/>
        <v>0</v>
      </c>
    </row>
    <row r="238" spans="1:28">
      <c r="A238" s="57"/>
      <c r="B238" s="452">
        <v>5</v>
      </c>
      <c r="C238" s="4" t="s">
        <v>73</v>
      </c>
      <c r="D238" s="34" t="s">
        <v>78</v>
      </c>
      <c r="F238" s="58">
        <v>512</v>
      </c>
      <c r="O238" s="59"/>
      <c r="P238" s="34">
        <v>2</v>
      </c>
      <c r="R238" s="60">
        <f t="shared" si="22"/>
        <v>0</v>
      </c>
      <c r="S238" s="61"/>
      <c r="T238" s="60">
        <f t="shared" si="23"/>
        <v>0</v>
      </c>
    </row>
    <row r="239" spans="1:28">
      <c r="A239" s="57"/>
      <c r="B239" s="452">
        <v>6</v>
      </c>
      <c r="C239" s="4" t="s">
        <v>73</v>
      </c>
      <c r="D239" s="34" t="s">
        <v>79</v>
      </c>
      <c r="F239" s="58">
        <v>520</v>
      </c>
      <c r="O239" s="59"/>
      <c r="P239" s="34">
        <v>1</v>
      </c>
      <c r="R239" s="60">
        <f t="shared" si="22"/>
        <v>0</v>
      </c>
      <c r="S239" s="61"/>
      <c r="T239" s="60">
        <f t="shared" si="23"/>
        <v>0</v>
      </c>
    </row>
    <row r="240" spans="1:28">
      <c r="A240" s="57"/>
      <c r="B240" s="452">
        <v>7</v>
      </c>
      <c r="C240" s="4" t="s">
        <v>73</v>
      </c>
      <c r="D240" s="34" t="s">
        <v>80</v>
      </c>
      <c r="F240" s="58">
        <v>530</v>
      </c>
      <c r="O240" s="59"/>
      <c r="P240" s="34">
        <v>2</v>
      </c>
      <c r="R240" s="60">
        <f t="shared" si="22"/>
        <v>0</v>
      </c>
      <c r="S240" s="61"/>
      <c r="T240" s="60">
        <f t="shared" si="23"/>
        <v>0</v>
      </c>
    </row>
    <row r="241" spans="1:20">
      <c r="A241" s="57"/>
      <c r="B241" s="452">
        <v>8</v>
      </c>
      <c r="C241" s="4" t="s">
        <v>73</v>
      </c>
      <c r="D241" s="34" t="s">
        <v>81</v>
      </c>
      <c r="F241" s="58">
        <v>550</v>
      </c>
      <c r="O241" s="59"/>
      <c r="P241" s="34">
        <v>2</v>
      </c>
      <c r="R241" s="60">
        <f t="shared" si="22"/>
        <v>0</v>
      </c>
      <c r="S241" s="61"/>
      <c r="T241" s="60">
        <f t="shared" si="23"/>
        <v>0</v>
      </c>
    </row>
    <row r="242" spans="1:20">
      <c r="A242" s="57"/>
      <c r="B242" s="452">
        <v>9</v>
      </c>
      <c r="C242" s="4" t="s">
        <v>73</v>
      </c>
      <c r="D242" s="34" t="s">
        <v>82</v>
      </c>
      <c r="F242" s="58">
        <v>570</v>
      </c>
      <c r="O242" s="59"/>
      <c r="P242" s="34">
        <v>2</v>
      </c>
      <c r="R242" s="60">
        <f t="shared" ca="1" si="22"/>
        <v>490</v>
      </c>
      <c r="S242" s="61"/>
      <c r="T242" s="60">
        <f t="shared" ca="1" si="23"/>
        <v>56.66</v>
      </c>
    </row>
    <row r="243" spans="1:20">
      <c r="A243" s="57"/>
      <c r="B243" s="452">
        <v>10</v>
      </c>
      <c r="C243" s="4" t="s">
        <v>73</v>
      </c>
      <c r="D243" s="34" t="s">
        <v>83</v>
      </c>
      <c r="F243" s="58">
        <v>615</v>
      </c>
      <c r="O243" s="59"/>
      <c r="P243" s="34">
        <v>2</v>
      </c>
      <c r="R243" s="60">
        <f t="shared" ca="1" si="22"/>
        <v>175</v>
      </c>
      <c r="S243" s="61"/>
      <c r="T243" s="60">
        <f t="shared" ca="1" si="23"/>
        <v>5.7</v>
      </c>
    </row>
    <row r="244" spans="1:20">
      <c r="A244" s="57"/>
      <c r="B244" s="452">
        <v>11</v>
      </c>
      <c r="C244" s="4" t="s">
        <v>73</v>
      </c>
      <c r="D244" s="34" t="s">
        <v>85</v>
      </c>
      <c r="F244" s="58">
        <v>616</v>
      </c>
      <c r="O244" s="59"/>
      <c r="P244" s="34">
        <v>2</v>
      </c>
      <c r="R244" s="60">
        <f t="shared" ca="1" si="22"/>
        <v>233.07000000000002</v>
      </c>
      <c r="S244" s="61"/>
      <c r="T244" s="60">
        <f t="shared" ca="1" si="23"/>
        <v>2.88</v>
      </c>
    </row>
    <row r="245" spans="1:20">
      <c r="A245" s="57"/>
      <c r="B245" s="452">
        <v>12</v>
      </c>
      <c r="C245" s="4" t="s">
        <v>73</v>
      </c>
      <c r="D245" s="34" t="s">
        <v>86</v>
      </c>
      <c r="F245" s="58">
        <v>617</v>
      </c>
      <c r="O245" s="59"/>
      <c r="P245" s="34">
        <v>2</v>
      </c>
      <c r="R245" s="60">
        <f t="shared" ca="1" si="22"/>
        <v>1565.35</v>
      </c>
      <c r="S245" s="61"/>
      <c r="T245" s="60">
        <f t="shared" ca="1" si="23"/>
        <v>34.35</v>
      </c>
    </row>
    <row r="246" spans="1:20">
      <c r="A246" s="57"/>
      <c r="B246" s="452">
        <v>13</v>
      </c>
      <c r="C246" s="4" t="s">
        <v>73</v>
      </c>
      <c r="D246" s="34" t="s">
        <v>153</v>
      </c>
      <c r="F246" s="58">
        <v>620</v>
      </c>
      <c r="O246" s="59"/>
      <c r="P246" s="34">
        <v>2</v>
      </c>
      <c r="R246" s="60">
        <f t="shared" ca="1" si="22"/>
        <v>929.92000000000007</v>
      </c>
      <c r="S246" s="61"/>
      <c r="T246" s="60">
        <f t="shared" ca="1" si="23"/>
        <v>47.3</v>
      </c>
    </row>
    <row r="247" spans="1:20">
      <c r="A247" s="57"/>
      <c r="B247" s="452">
        <v>14</v>
      </c>
      <c r="C247" s="4" t="s">
        <v>73</v>
      </c>
      <c r="D247" s="34" t="s">
        <v>88</v>
      </c>
      <c r="F247" s="58">
        <v>650</v>
      </c>
      <c r="O247" s="59"/>
      <c r="P247" s="34">
        <v>1</v>
      </c>
      <c r="R247" s="60">
        <f t="shared" ca="1" si="22"/>
        <v>221.87200000000001</v>
      </c>
      <c r="S247" s="61"/>
      <c r="T247" s="60">
        <f t="shared" ca="1" si="23"/>
        <v>8.82</v>
      </c>
    </row>
    <row r="248" spans="1:20">
      <c r="A248" s="57"/>
      <c r="B248" s="452">
        <v>15</v>
      </c>
      <c r="C248" s="4" t="s">
        <v>73</v>
      </c>
      <c r="D248" s="34" t="s">
        <v>89</v>
      </c>
      <c r="F248" s="58">
        <v>651</v>
      </c>
      <c r="O248" s="59"/>
      <c r="P248" s="34">
        <v>1</v>
      </c>
      <c r="R248" s="60">
        <f t="shared" si="22"/>
        <v>0</v>
      </c>
      <c r="S248" s="61"/>
      <c r="T248" s="60">
        <f t="shared" si="23"/>
        <v>0</v>
      </c>
    </row>
    <row r="249" spans="1:20">
      <c r="A249" s="57"/>
      <c r="B249" s="452">
        <v>16</v>
      </c>
      <c r="C249" s="4" t="s">
        <v>73</v>
      </c>
      <c r="D249" s="34" t="s">
        <v>90</v>
      </c>
      <c r="F249" s="58">
        <v>652</v>
      </c>
      <c r="O249" s="59"/>
      <c r="P249" s="34">
        <v>1</v>
      </c>
      <c r="R249" s="60">
        <f t="shared" si="22"/>
        <v>0</v>
      </c>
      <c r="S249" s="61"/>
      <c r="T249" s="60">
        <f t="shared" si="23"/>
        <v>0</v>
      </c>
    </row>
    <row r="250" spans="1:20">
      <c r="A250" s="57"/>
      <c r="B250" s="452">
        <v>17</v>
      </c>
      <c r="C250" s="4" t="s">
        <v>73</v>
      </c>
      <c r="D250" s="34" t="s">
        <v>91</v>
      </c>
      <c r="F250" s="58">
        <v>654</v>
      </c>
      <c r="O250" s="59"/>
      <c r="P250" s="34">
        <v>1</v>
      </c>
      <c r="R250" s="60">
        <f t="shared" si="22"/>
        <v>0</v>
      </c>
      <c r="S250" s="61"/>
      <c r="T250" s="60">
        <f t="shared" si="23"/>
        <v>0</v>
      </c>
    </row>
    <row r="251" spans="1:20">
      <c r="A251" s="57"/>
      <c r="B251" s="452">
        <v>18</v>
      </c>
      <c r="C251" s="4" t="s">
        <v>73</v>
      </c>
      <c r="D251" s="34" t="s">
        <v>92</v>
      </c>
      <c r="F251" s="58">
        <v>675</v>
      </c>
      <c r="O251" s="59"/>
      <c r="P251" s="34">
        <v>1</v>
      </c>
      <c r="R251" s="60">
        <f t="shared" si="22"/>
        <v>0</v>
      </c>
      <c r="S251" s="61"/>
      <c r="T251" s="60">
        <f t="shared" si="23"/>
        <v>0</v>
      </c>
    </row>
    <row r="252" spans="1:20">
      <c r="A252" s="57"/>
      <c r="B252" s="452">
        <v>19</v>
      </c>
      <c r="C252" s="4" t="s">
        <v>73</v>
      </c>
      <c r="D252" s="34" t="s">
        <v>93</v>
      </c>
      <c r="F252" s="58">
        <v>676</v>
      </c>
      <c r="O252" s="59"/>
      <c r="P252" s="34">
        <v>1</v>
      </c>
      <c r="R252" s="60">
        <f t="shared" si="22"/>
        <v>0</v>
      </c>
      <c r="S252" s="61"/>
      <c r="T252" s="60">
        <f t="shared" si="23"/>
        <v>0</v>
      </c>
    </row>
    <row r="253" spans="1:20">
      <c r="A253" s="57"/>
      <c r="B253" s="452">
        <v>20</v>
      </c>
      <c r="C253" s="4" t="s">
        <v>73</v>
      </c>
      <c r="D253" s="34" t="s">
        <v>94</v>
      </c>
      <c r="F253" s="58">
        <v>680</v>
      </c>
      <c r="O253" s="59"/>
      <c r="P253" s="34">
        <v>1</v>
      </c>
      <c r="R253" s="60">
        <f t="shared" si="22"/>
        <v>0</v>
      </c>
      <c r="S253" s="61"/>
      <c r="T253" s="60">
        <f t="shared" si="23"/>
        <v>0</v>
      </c>
    </row>
    <row r="254" spans="1:20">
      <c r="A254" s="57"/>
      <c r="B254" s="452">
        <v>21</v>
      </c>
      <c r="C254" s="4" t="s">
        <v>73</v>
      </c>
      <c r="D254" s="34" t="s">
        <v>96</v>
      </c>
      <c r="F254" s="58">
        <v>681</v>
      </c>
      <c r="O254" s="59"/>
      <c r="P254" s="34">
        <v>1</v>
      </c>
      <c r="R254" s="60">
        <f t="shared" si="22"/>
        <v>0</v>
      </c>
      <c r="S254" s="61"/>
      <c r="T254" s="60">
        <f t="shared" si="23"/>
        <v>0</v>
      </c>
    </row>
    <row r="255" spans="1:20">
      <c r="A255" s="57"/>
      <c r="B255" s="452">
        <v>22</v>
      </c>
      <c r="C255" s="4" t="s">
        <v>73</v>
      </c>
      <c r="D255" s="34" t="s">
        <v>97</v>
      </c>
      <c r="F255" s="58">
        <v>690</v>
      </c>
      <c r="O255" s="59"/>
      <c r="P255" s="34">
        <v>1</v>
      </c>
      <c r="R255" s="60">
        <f t="shared" ca="1" si="22"/>
        <v>3407.94</v>
      </c>
      <c r="S255" s="61"/>
      <c r="T255" s="60">
        <f t="shared" ca="1" si="23"/>
        <v>186.20000000000002</v>
      </c>
    </row>
    <row r="256" spans="1:20">
      <c r="A256" s="57"/>
      <c r="B256" s="452">
        <v>23</v>
      </c>
      <c r="C256" s="4" t="s">
        <v>73</v>
      </c>
      <c r="D256" s="34" t="s">
        <v>98</v>
      </c>
      <c r="F256" s="58">
        <v>700</v>
      </c>
      <c r="O256" s="59"/>
      <c r="P256" s="34">
        <v>1</v>
      </c>
      <c r="R256" s="60">
        <f t="shared" si="22"/>
        <v>0</v>
      </c>
      <c r="S256" s="61"/>
      <c r="T256" s="60">
        <f t="shared" si="23"/>
        <v>0</v>
      </c>
    </row>
    <row r="257" spans="1:20">
      <c r="A257" s="57"/>
      <c r="B257" s="452">
        <v>24</v>
      </c>
      <c r="C257" s="4" t="s">
        <v>73</v>
      </c>
      <c r="D257" s="34" t="s">
        <v>99</v>
      </c>
      <c r="F257" s="58">
        <v>705</v>
      </c>
      <c r="O257" s="59"/>
      <c r="P257" s="34">
        <v>3</v>
      </c>
      <c r="R257" s="60">
        <f t="shared" si="22"/>
        <v>0</v>
      </c>
      <c r="S257" s="61"/>
      <c r="T257" s="60">
        <f t="shared" si="23"/>
        <v>0</v>
      </c>
    </row>
    <row r="258" spans="1:20">
      <c r="A258" s="57"/>
      <c r="B258" s="452">
        <v>25</v>
      </c>
      <c r="C258" s="4" t="s">
        <v>73</v>
      </c>
      <c r="D258" s="34" t="s">
        <v>100</v>
      </c>
      <c r="F258" s="58">
        <v>706</v>
      </c>
      <c r="O258" s="59"/>
      <c r="P258" s="34">
        <v>3</v>
      </c>
      <c r="R258" s="60">
        <f t="shared" si="22"/>
        <v>0</v>
      </c>
      <c r="S258" s="61"/>
      <c r="T258" s="60">
        <f t="shared" si="23"/>
        <v>0</v>
      </c>
    </row>
    <row r="259" spans="1:20">
      <c r="A259" s="57"/>
      <c r="B259" s="452">
        <v>26</v>
      </c>
      <c r="C259" s="4" t="s">
        <v>73</v>
      </c>
      <c r="D259" s="34" t="s">
        <v>101</v>
      </c>
      <c r="F259" s="58">
        <v>725</v>
      </c>
      <c r="O259" s="59"/>
      <c r="P259" s="34">
        <v>3</v>
      </c>
      <c r="R259" s="60">
        <f t="shared" si="22"/>
        <v>0</v>
      </c>
      <c r="S259" s="61"/>
      <c r="T259" s="60">
        <f t="shared" si="23"/>
        <v>0</v>
      </c>
    </row>
    <row r="260" spans="1:20">
      <c r="A260" s="57"/>
      <c r="B260" s="452">
        <v>27</v>
      </c>
      <c r="C260" s="4" t="s">
        <v>73</v>
      </c>
      <c r="D260" s="34" t="s">
        <v>102</v>
      </c>
      <c r="F260" s="58">
        <v>726</v>
      </c>
      <c r="O260" s="59"/>
      <c r="P260" s="34">
        <v>3</v>
      </c>
      <c r="R260" s="60">
        <f t="shared" si="22"/>
        <v>0</v>
      </c>
      <c r="S260" s="61"/>
      <c r="T260" s="60">
        <f t="shared" si="23"/>
        <v>0</v>
      </c>
    </row>
    <row r="261" spans="1:20">
      <c r="A261" s="57"/>
      <c r="B261" s="452">
        <v>28</v>
      </c>
      <c r="C261" s="4" t="s">
        <v>73</v>
      </c>
      <c r="D261" s="34" t="s">
        <v>103</v>
      </c>
      <c r="F261" s="58">
        <v>750</v>
      </c>
      <c r="O261" s="59"/>
      <c r="P261" s="34">
        <v>3</v>
      </c>
      <c r="R261" s="60">
        <f t="shared" si="22"/>
        <v>0</v>
      </c>
      <c r="S261" s="61"/>
      <c r="T261" s="60">
        <f t="shared" si="23"/>
        <v>0</v>
      </c>
    </row>
    <row r="262" spans="1:20">
      <c r="A262" s="57"/>
      <c r="B262" s="452">
        <v>29</v>
      </c>
      <c r="C262" s="4" t="s">
        <v>73</v>
      </c>
      <c r="D262" s="34" t="s">
        <v>104</v>
      </c>
      <c r="F262" s="58">
        <v>751</v>
      </c>
      <c r="O262" s="59"/>
      <c r="P262" s="34">
        <v>3</v>
      </c>
      <c r="R262" s="60">
        <f t="shared" si="22"/>
        <v>0</v>
      </c>
      <c r="S262" s="61"/>
      <c r="T262" s="60">
        <f t="shared" si="23"/>
        <v>0</v>
      </c>
    </row>
    <row r="263" spans="1:20">
      <c r="A263" s="57"/>
      <c r="B263" s="452">
        <v>30</v>
      </c>
      <c r="C263" s="4" t="s">
        <v>73</v>
      </c>
      <c r="D263" s="34" t="s">
        <v>105</v>
      </c>
      <c r="F263" s="58">
        <v>752</v>
      </c>
      <c r="O263" s="59"/>
      <c r="P263" s="34">
        <v>3</v>
      </c>
      <c r="R263" s="60">
        <f t="shared" si="22"/>
        <v>0</v>
      </c>
      <c r="S263" s="61"/>
      <c r="T263" s="60">
        <f t="shared" si="23"/>
        <v>0</v>
      </c>
    </row>
    <row r="264" spans="1:20">
      <c r="A264" s="57"/>
      <c r="B264" s="452">
        <v>31</v>
      </c>
      <c r="C264" s="4" t="s">
        <v>73</v>
      </c>
      <c r="D264" s="547" t="s">
        <v>263</v>
      </c>
      <c r="F264" s="58">
        <v>753</v>
      </c>
      <c r="O264" s="59"/>
      <c r="P264" s="34">
        <v>3</v>
      </c>
      <c r="R264" s="60">
        <f t="shared" si="22"/>
        <v>0</v>
      </c>
      <c r="S264" s="61"/>
      <c r="T264" s="60">
        <f t="shared" si="23"/>
        <v>0</v>
      </c>
    </row>
    <row r="265" spans="1:20">
      <c r="A265" s="57"/>
      <c r="B265" s="452">
        <v>32</v>
      </c>
      <c r="C265" s="4" t="s">
        <v>73</v>
      </c>
      <c r="D265" s="34" t="s">
        <v>107</v>
      </c>
      <c r="F265" s="58">
        <v>770</v>
      </c>
      <c r="O265" s="59"/>
      <c r="P265" s="34">
        <v>3</v>
      </c>
      <c r="R265" s="60">
        <f t="shared" si="22"/>
        <v>0</v>
      </c>
      <c r="S265" s="61"/>
      <c r="T265" s="60">
        <f t="shared" si="23"/>
        <v>0</v>
      </c>
    </row>
    <row r="266" spans="1:20">
      <c r="A266" s="57"/>
      <c r="B266" s="452">
        <v>33</v>
      </c>
      <c r="C266" s="4" t="s">
        <v>73</v>
      </c>
      <c r="D266" s="34" t="s">
        <v>108</v>
      </c>
      <c r="F266" s="58">
        <v>790</v>
      </c>
      <c r="O266" s="59"/>
      <c r="P266" s="34">
        <v>3</v>
      </c>
      <c r="R266" s="60">
        <f t="shared" ref="R266:R289" si="24">SUMIF($H$12:$H$227,$F266,R$12:R$227)</f>
        <v>0</v>
      </c>
      <c r="S266" s="61"/>
      <c r="T266" s="60">
        <f t="shared" ref="T266:T289" si="25">SUMIF($H$12:$H$227,$F266,T$12:T$227)</f>
        <v>0</v>
      </c>
    </row>
    <row r="267" spans="1:20">
      <c r="A267" s="57"/>
      <c r="B267" s="452">
        <v>34</v>
      </c>
      <c r="C267" s="4" t="s">
        <v>73</v>
      </c>
      <c r="D267" s="34" t="s">
        <v>109</v>
      </c>
      <c r="F267" s="58">
        <v>791</v>
      </c>
      <c r="O267" s="59"/>
      <c r="P267" s="34">
        <v>3</v>
      </c>
      <c r="R267" s="60">
        <f t="shared" si="24"/>
        <v>0</v>
      </c>
      <c r="S267" s="61"/>
      <c r="T267" s="60">
        <f t="shared" si="25"/>
        <v>0</v>
      </c>
    </row>
    <row r="268" spans="1:20">
      <c r="A268" s="57"/>
      <c r="B268" s="452">
        <v>35</v>
      </c>
      <c r="C268" s="4" t="s">
        <v>73</v>
      </c>
      <c r="D268" s="34" t="s">
        <v>110</v>
      </c>
      <c r="F268" s="58">
        <v>810</v>
      </c>
      <c r="O268" s="59"/>
      <c r="P268" s="34">
        <v>3</v>
      </c>
      <c r="R268" s="60">
        <f t="shared" si="24"/>
        <v>0</v>
      </c>
      <c r="S268" s="61"/>
      <c r="T268" s="60">
        <f t="shared" si="25"/>
        <v>0</v>
      </c>
    </row>
    <row r="269" spans="1:20">
      <c r="A269" s="57"/>
      <c r="B269" s="452">
        <v>36</v>
      </c>
      <c r="C269" s="4" t="s">
        <v>73</v>
      </c>
      <c r="D269" s="34" t="s">
        <v>111</v>
      </c>
      <c r="F269" s="58">
        <v>815</v>
      </c>
      <c r="O269" s="59"/>
      <c r="P269" s="34">
        <v>3</v>
      </c>
      <c r="R269" s="60">
        <f t="shared" si="24"/>
        <v>0</v>
      </c>
      <c r="S269" s="61"/>
      <c r="T269" s="60">
        <f t="shared" si="25"/>
        <v>0</v>
      </c>
    </row>
    <row r="270" spans="1:20">
      <c r="A270" s="57"/>
      <c r="B270" s="452">
        <v>37</v>
      </c>
      <c r="C270" s="4" t="s">
        <v>73</v>
      </c>
      <c r="D270" s="34" t="s">
        <v>112</v>
      </c>
      <c r="F270" s="58">
        <v>820</v>
      </c>
      <c r="O270" s="59"/>
      <c r="P270" s="34">
        <v>2</v>
      </c>
      <c r="R270" s="60">
        <f t="shared" si="24"/>
        <v>0</v>
      </c>
      <c r="S270" s="61"/>
      <c r="T270" s="60">
        <f t="shared" si="25"/>
        <v>0</v>
      </c>
    </row>
    <row r="271" spans="1:20">
      <c r="A271" s="57"/>
      <c r="B271" s="452">
        <v>38</v>
      </c>
      <c r="C271" s="4" t="s">
        <v>73</v>
      </c>
      <c r="D271" s="34" t="s">
        <v>113</v>
      </c>
      <c r="F271" s="58">
        <v>821</v>
      </c>
      <c r="O271" s="59"/>
      <c r="P271" s="34">
        <v>3</v>
      </c>
      <c r="R271" s="60">
        <f t="shared" si="24"/>
        <v>0</v>
      </c>
      <c r="S271" s="61"/>
      <c r="T271" s="60">
        <f t="shared" si="25"/>
        <v>0</v>
      </c>
    </row>
    <row r="272" spans="1:20">
      <c r="A272" s="57"/>
      <c r="B272" s="452">
        <v>39</v>
      </c>
      <c r="C272" s="4" t="s">
        <v>73</v>
      </c>
      <c r="D272" s="34" t="s">
        <v>114</v>
      </c>
      <c r="F272" s="58">
        <v>835</v>
      </c>
      <c r="O272" s="59"/>
      <c r="P272" s="34">
        <v>3</v>
      </c>
      <c r="R272" s="60">
        <f t="shared" si="24"/>
        <v>0</v>
      </c>
      <c r="S272" s="61"/>
      <c r="T272" s="60">
        <f t="shared" si="25"/>
        <v>0</v>
      </c>
    </row>
    <row r="273" spans="1:20">
      <c r="A273" s="57"/>
      <c r="B273" s="452">
        <v>40</v>
      </c>
      <c r="C273" s="4" t="s">
        <v>73</v>
      </c>
      <c r="D273" s="34" t="s">
        <v>115</v>
      </c>
      <c r="F273" s="58">
        <v>845</v>
      </c>
      <c r="O273" s="59"/>
      <c r="P273" s="34">
        <v>2</v>
      </c>
      <c r="R273" s="60">
        <f t="shared" si="24"/>
        <v>0</v>
      </c>
      <c r="S273" s="61"/>
      <c r="T273" s="60">
        <f t="shared" si="25"/>
        <v>0</v>
      </c>
    </row>
    <row r="274" spans="1:20">
      <c r="A274" s="57"/>
      <c r="B274" s="452">
        <v>41</v>
      </c>
      <c r="C274" s="4" t="s">
        <v>73</v>
      </c>
      <c r="D274" s="34" t="s">
        <v>117</v>
      </c>
      <c r="F274" s="58">
        <v>855</v>
      </c>
      <c r="O274" s="59"/>
      <c r="P274" s="34">
        <v>3</v>
      </c>
      <c r="R274" s="60">
        <f t="shared" si="24"/>
        <v>0</v>
      </c>
      <c r="S274" s="61"/>
      <c r="T274" s="60">
        <f t="shared" si="25"/>
        <v>0</v>
      </c>
    </row>
    <row r="275" spans="1:20">
      <c r="A275" s="57"/>
      <c r="B275" s="452">
        <v>42</v>
      </c>
      <c r="C275" s="4" t="s">
        <v>73</v>
      </c>
      <c r="D275" s="34" t="s">
        <v>118</v>
      </c>
      <c r="F275" s="58">
        <v>856</v>
      </c>
      <c r="O275" s="59"/>
      <c r="P275" s="34">
        <v>3</v>
      </c>
      <c r="R275" s="60">
        <f t="shared" si="24"/>
        <v>0</v>
      </c>
      <c r="S275" s="61"/>
      <c r="T275" s="60">
        <f t="shared" si="25"/>
        <v>0</v>
      </c>
    </row>
    <row r="276" spans="1:20">
      <c r="A276" s="57"/>
      <c r="B276" s="452">
        <v>43</v>
      </c>
      <c r="C276" s="4" t="s">
        <v>73</v>
      </c>
      <c r="D276" s="34" t="s">
        <v>244</v>
      </c>
      <c r="F276" s="58">
        <v>857</v>
      </c>
      <c r="O276" s="59"/>
      <c r="P276" s="34">
        <v>3</v>
      </c>
      <c r="R276" s="60">
        <f t="shared" si="24"/>
        <v>0</v>
      </c>
      <c r="S276" s="61"/>
      <c r="T276" s="60">
        <f t="shared" si="25"/>
        <v>0</v>
      </c>
    </row>
    <row r="277" spans="1:20">
      <c r="A277" s="57"/>
      <c r="B277" s="452">
        <v>44</v>
      </c>
      <c r="C277" s="4" t="s">
        <v>73</v>
      </c>
      <c r="D277" s="34" t="s">
        <v>119</v>
      </c>
      <c r="F277" s="58">
        <v>858</v>
      </c>
      <c r="O277" s="59"/>
      <c r="P277" s="34">
        <v>3</v>
      </c>
      <c r="R277" s="60">
        <f t="shared" si="24"/>
        <v>0</v>
      </c>
      <c r="S277" s="61"/>
      <c r="T277" s="60">
        <f t="shared" si="25"/>
        <v>0</v>
      </c>
    </row>
    <row r="278" spans="1:20">
      <c r="A278" s="57"/>
      <c r="B278" s="452">
        <v>45</v>
      </c>
      <c r="C278" s="4" t="s">
        <v>73</v>
      </c>
      <c r="D278" s="34" t="s">
        <v>120</v>
      </c>
      <c r="F278" s="58">
        <v>865</v>
      </c>
      <c r="O278" s="59"/>
      <c r="P278" s="34">
        <v>3</v>
      </c>
      <c r="R278" s="60">
        <f t="shared" si="24"/>
        <v>0</v>
      </c>
      <c r="S278" s="61"/>
      <c r="T278" s="60">
        <f t="shared" si="25"/>
        <v>0</v>
      </c>
    </row>
    <row r="279" spans="1:20">
      <c r="A279" s="57"/>
      <c r="B279" s="452">
        <v>46</v>
      </c>
      <c r="C279" s="4" t="s">
        <v>73</v>
      </c>
      <c r="D279" s="34" t="s">
        <v>121</v>
      </c>
      <c r="F279" s="58">
        <v>870</v>
      </c>
      <c r="O279" s="59"/>
      <c r="P279" s="34">
        <v>4</v>
      </c>
      <c r="R279" s="60">
        <f t="shared" si="24"/>
        <v>0</v>
      </c>
      <c r="S279" s="61"/>
      <c r="T279" s="60">
        <f t="shared" si="25"/>
        <v>0</v>
      </c>
    </row>
    <row r="280" spans="1:20">
      <c r="A280" s="57"/>
      <c r="B280" s="452">
        <v>47</v>
      </c>
      <c r="C280" s="4" t="s">
        <v>73</v>
      </c>
      <c r="D280" s="34" t="s">
        <v>122</v>
      </c>
      <c r="F280" s="58">
        <v>875</v>
      </c>
      <c r="O280" s="59"/>
      <c r="P280" s="34">
        <v>1</v>
      </c>
      <c r="R280" s="60">
        <f t="shared" ca="1" si="24"/>
        <v>12.005000000000004</v>
      </c>
      <c r="S280" s="61"/>
      <c r="T280" s="60">
        <f t="shared" ca="1" si="25"/>
        <v>0</v>
      </c>
    </row>
    <row r="281" spans="1:20">
      <c r="A281" s="57"/>
      <c r="B281" s="452">
        <v>48</v>
      </c>
      <c r="C281" s="4" t="s">
        <v>73</v>
      </c>
      <c r="D281" s="34" t="s">
        <v>123</v>
      </c>
      <c r="F281" s="58">
        <v>880</v>
      </c>
      <c r="O281" s="59"/>
      <c r="P281" s="34">
        <v>3</v>
      </c>
      <c r="R281" s="60">
        <f t="shared" si="24"/>
        <v>0</v>
      </c>
      <c r="S281" s="61"/>
      <c r="T281" s="60">
        <f t="shared" si="25"/>
        <v>0</v>
      </c>
    </row>
    <row r="282" spans="1:20">
      <c r="A282" s="57"/>
      <c r="B282" s="452">
        <v>49</v>
      </c>
      <c r="C282" s="4" t="s">
        <v>73</v>
      </c>
      <c r="D282" s="34" t="s">
        <v>124</v>
      </c>
      <c r="F282" s="58">
        <v>885</v>
      </c>
      <c r="O282" s="59"/>
      <c r="P282" s="34">
        <v>4</v>
      </c>
      <c r="R282" s="60">
        <f t="shared" si="24"/>
        <v>0</v>
      </c>
      <c r="S282" s="61"/>
      <c r="T282" s="60">
        <f t="shared" si="25"/>
        <v>0</v>
      </c>
    </row>
    <row r="283" spans="1:20">
      <c r="A283" s="57"/>
      <c r="B283" s="452">
        <v>50</v>
      </c>
      <c r="C283" s="4" t="s">
        <v>73</v>
      </c>
      <c r="D283" s="34" t="s">
        <v>68</v>
      </c>
      <c r="F283" s="58">
        <v>900</v>
      </c>
      <c r="O283" s="59"/>
      <c r="P283" s="34">
        <v>3</v>
      </c>
      <c r="R283" s="60">
        <f t="shared" ca="1" si="24"/>
        <v>0</v>
      </c>
      <c r="S283" s="61"/>
      <c r="T283" s="60">
        <f t="shared" ca="1" si="25"/>
        <v>123.14</v>
      </c>
    </row>
    <row r="284" spans="1:20">
      <c r="A284" s="57"/>
      <c r="B284" s="452">
        <v>51</v>
      </c>
      <c r="C284" s="4" t="s">
        <v>73</v>
      </c>
      <c r="D284" s="34" t="s">
        <v>126</v>
      </c>
      <c r="F284" s="58">
        <v>901</v>
      </c>
      <c r="O284" s="59"/>
      <c r="P284" s="34">
        <v>1</v>
      </c>
      <c r="R284" s="60">
        <f t="shared" si="24"/>
        <v>0</v>
      </c>
      <c r="S284" s="61"/>
      <c r="T284" s="60">
        <f t="shared" si="25"/>
        <v>0</v>
      </c>
    </row>
    <row r="285" spans="1:20">
      <c r="A285" s="57"/>
      <c r="B285" s="452">
        <v>52</v>
      </c>
      <c r="C285" s="4" t="s">
        <v>73</v>
      </c>
      <c r="D285" s="34" t="s">
        <v>127</v>
      </c>
      <c r="F285" s="58">
        <v>902</v>
      </c>
      <c r="O285" s="59"/>
      <c r="P285" s="34">
        <v>3</v>
      </c>
      <c r="R285" s="60">
        <f t="shared" si="24"/>
        <v>0</v>
      </c>
      <c r="S285" s="61"/>
      <c r="T285" s="60">
        <f t="shared" si="25"/>
        <v>0</v>
      </c>
    </row>
    <row r="286" spans="1:20">
      <c r="A286" s="57"/>
      <c r="B286" s="452">
        <v>53</v>
      </c>
      <c r="C286" s="4" t="s">
        <v>73</v>
      </c>
      <c r="D286" s="62" t="s">
        <v>128</v>
      </c>
      <c r="F286" s="58">
        <v>960</v>
      </c>
      <c r="O286" s="59"/>
      <c r="P286" s="34">
        <v>4</v>
      </c>
      <c r="R286" s="60">
        <f t="shared" si="24"/>
        <v>0</v>
      </c>
      <c r="S286" s="61"/>
      <c r="T286" s="60">
        <f t="shared" si="25"/>
        <v>0</v>
      </c>
    </row>
    <row r="287" spans="1:20">
      <c r="A287" s="57"/>
      <c r="B287" s="452">
        <v>54</v>
      </c>
      <c r="C287" s="4" t="s">
        <v>73</v>
      </c>
      <c r="D287" s="62" t="s">
        <v>129</v>
      </c>
      <c r="F287" s="58">
        <v>961</v>
      </c>
      <c r="O287" s="59"/>
      <c r="P287" s="34">
        <v>3</v>
      </c>
      <c r="R287" s="60">
        <f t="shared" si="24"/>
        <v>0</v>
      </c>
      <c r="S287" s="61"/>
      <c r="T287" s="60">
        <f t="shared" si="25"/>
        <v>0</v>
      </c>
    </row>
    <row r="288" spans="1:20">
      <c r="A288" s="57"/>
      <c r="B288" s="452">
        <v>55</v>
      </c>
      <c r="C288" s="4" t="s">
        <v>73</v>
      </c>
      <c r="D288" s="62" t="s">
        <v>130</v>
      </c>
      <c r="F288" s="58">
        <v>962</v>
      </c>
      <c r="O288" s="59"/>
      <c r="P288" s="34">
        <v>1</v>
      </c>
      <c r="R288" s="60">
        <f t="shared" si="24"/>
        <v>0</v>
      </c>
      <c r="S288" s="61"/>
      <c r="T288" s="60">
        <f t="shared" si="25"/>
        <v>0</v>
      </c>
    </row>
    <row r="289" spans="1:28">
      <c r="A289" s="57"/>
      <c r="B289" s="452">
        <v>56</v>
      </c>
      <c r="C289" s="4" t="s">
        <v>73</v>
      </c>
      <c r="D289" s="62" t="s">
        <v>131</v>
      </c>
      <c r="F289" s="58">
        <v>970</v>
      </c>
      <c r="O289" s="59"/>
      <c r="P289" s="34">
        <v>4</v>
      </c>
      <c r="R289" s="60">
        <f t="shared" si="24"/>
        <v>0</v>
      </c>
      <c r="S289" s="61"/>
      <c r="T289" s="60">
        <f t="shared" si="25"/>
        <v>0</v>
      </c>
    </row>
    <row r="290" spans="1:28" ht="13.8" thickBot="1">
      <c r="A290" s="63"/>
      <c r="B290" s="64"/>
      <c r="C290" s="65"/>
      <c r="D290" s="66"/>
      <c r="E290" s="67"/>
      <c r="F290" s="68"/>
      <c r="G290" s="67"/>
      <c r="H290" s="67"/>
      <c r="I290" s="67"/>
      <c r="J290" s="67"/>
      <c r="K290" s="67"/>
      <c r="L290" s="67"/>
      <c r="M290" s="67"/>
      <c r="N290" s="67"/>
      <c r="O290" s="69"/>
      <c r="P290" s="67"/>
      <c r="Q290" s="67"/>
      <c r="R290" s="70"/>
      <c r="S290" s="71"/>
      <c r="T290" s="70"/>
      <c r="U290" s="67"/>
      <c r="V290" s="67"/>
      <c r="W290" s="67"/>
      <c r="X290" s="67"/>
      <c r="Y290" s="67"/>
      <c r="Z290" s="67"/>
      <c r="AA290" s="67"/>
      <c r="AB290" s="67"/>
    </row>
    <row r="291" spans="1:28" ht="13.8" thickTop="1">
      <c r="A291" s="57"/>
      <c r="B291" s="72"/>
      <c r="C291" s="4" t="s">
        <v>73</v>
      </c>
      <c r="D291" s="73"/>
      <c r="F291" s="74" t="s">
        <v>154</v>
      </c>
      <c r="G291" s="75"/>
      <c r="H291" s="34">
        <v>1</v>
      </c>
      <c r="O291" s="59"/>
      <c r="R291" s="60">
        <f ca="1">SUMIF($P234:$P289,1,R234:R289)</f>
        <v>5085.1810000000005</v>
      </c>
      <c r="T291" s="60">
        <f ca="1">SUMIF($P234:$P289,1,T234:T289)</f>
        <v>195.02</v>
      </c>
    </row>
    <row r="292" spans="1:28">
      <c r="A292" s="57"/>
      <c r="B292" s="72"/>
      <c r="C292" s="4" t="s">
        <v>73</v>
      </c>
      <c r="D292" s="73"/>
      <c r="F292" s="74" t="s">
        <v>155</v>
      </c>
      <c r="G292" s="75"/>
      <c r="H292" s="34">
        <v>2</v>
      </c>
      <c r="O292" s="59"/>
      <c r="R292" s="60">
        <f ca="1">SUMIF($P234:$P289,2,R234:R289)</f>
        <v>3393.34</v>
      </c>
      <c r="T292" s="60">
        <f ca="1">SUMIF($P234:$P289,2,T234:T289)</f>
        <v>146.88999999999999</v>
      </c>
    </row>
    <row r="293" spans="1:28">
      <c r="A293" s="57"/>
      <c r="B293" s="72"/>
      <c r="C293" s="4" t="s">
        <v>73</v>
      </c>
      <c r="D293" s="73"/>
      <c r="F293" s="74" t="s">
        <v>156</v>
      </c>
      <c r="G293" s="75"/>
      <c r="H293" s="34">
        <v>2</v>
      </c>
      <c r="O293" s="59"/>
      <c r="R293" s="60">
        <f ca="1">SUMIF($P234:$P289,3,R234:R289)</f>
        <v>0</v>
      </c>
      <c r="T293" s="60">
        <f ca="1">SUMIF($P234:$P289,3,T234:T289)</f>
        <v>123.14</v>
      </c>
    </row>
    <row r="294" spans="1:28">
      <c r="A294" s="57"/>
      <c r="B294" s="72"/>
      <c r="C294" s="4" t="s">
        <v>73</v>
      </c>
      <c r="D294" s="73"/>
      <c r="F294" s="74" t="s">
        <v>157</v>
      </c>
      <c r="G294" s="75"/>
      <c r="H294" s="34">
        <v>3</v>
      </c>
      <c r="O294" s="59"/>
      <c r="R294" s="60">
        <f>SUMIF($P234:$P289,4,R234:R289)</f>
        <v>0</v>
      </c>
      <c r="T294" s="60">
        <f>SUMIF($P234:$P289,4,T234:T289)</f>
        <v>0</v>
      </c>
    </row>
    <row r="295" spans="1:28" ht="13.8" thickBot="1">
      <c r="A295" s="63"/>
      <c r="B295" s="76"/>
      <c r="C295" s="65" t="s">
        <v>73</v>
      </c>
      <c r="D295" s="77"/>
      <c r="E295" s="67"/>
      <c r="F295" s="78" t="s">
        <v>158</v>
      </c>
      <c r="G295" s="79"/>
      <c r="H295" s="80"/>
      <c r="I295" s="80"/>
      <c r="J295" s="80"/>
      <c r="K295" s="80"/>
      <c r="L295" s="80"/>
      <c r="M295" s="80"/>
      <c r="N295" s="80"/>
      <c r="O295" s="81"/>
      <c r="P295" s="80"/>
      <c r="Q295" s="80"/>
      <c r="R295" s="82">
        <f ca="1">SUM(R291:R294)</f>
        <v>8478.5210000000006</v>
      </c>
      <c r="S295" s="83"/>
      <c r="T295" s="82">
        <f ca="1">SUM(T291:T294)</f>
        <v>465.04999999999995</v>
      </c>
      <c r="U295" s="67"/>
      <c r="V295" s="67"/>
      <c r="W295" s="67"/>
      <c r="X295" s="67"/>
      <c r="Y295" s="67"/>
      <c r="Z295" s="67"/>
      <c r="AA295" s="67"/>
      <c r="AB295" s="67"/>
    </row>
    <row r="296" spans="1:28" ht="13.8" thickTop="1"/>
  </sheetData>
  <sheetProtection formatCells="0" formatColumns="0" formatRows="0" insertColumns="0" insertRows="0" insertHyperlinks="0" deleteColumns="0" deleteRows="0" sort="0" autoFilter="0" pivotTables="0"/>
  <phoneticPr fontId="30" type="noConversion"/>
  <conditionalFormatting sqref="D6">
    <cfRule type="cellIs" dxfId="1" priority="1" stopIfTrue="1" operator="equal">
      <formula>"VAT INCLUDED"</formula>
    </cfRule>
    <cfRule type="cellIs" dxfId="0" priority="2" stopIfTrue="1" operator="equal">
      <formula>"VAT EXCLUDED"</formula>
    </cfRule>
  </conditionalFormatting>
  <printOptions gridLines="1"/>
  <pageMargins left="0.31496062992125984" right="0.17" top="0.43307086614173229" bottom="0.59055118110236227" header="0.23622047244094491" footer="0.23622047244094491"/>
  <pageSetup paperSize="9" orientation="portrait" verticalDpi="0" r:id="rId1"/>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indexed="14"/>
  </sheetPr>
  <dimension ref="A1:IV3233"/>
  <sheetViews>
    <sheetView tabSelected="1" topLeftCell="A3131" zoomScale="115" zoomScaleNormal="115" workbookViewId="0">
      <selection activeCell="E3141" sqref="E3141"/>
    </sheetView>
  </sheetViews>
  <sheetFormatPr defaultColWidth="9.109375" defaultRowHeight="13.8"/>
  <cols>
    <col min="1" max="2" width="7.44140625" style="34" customWidth="1"/>
    <col min="3" max="3" width="3.88671875" style="34" hidden="1" customWidth="1"/>
    <col min="4" max="4" width="24.6640625" style="34" customWidth="1"/>
    <col min="5" max="5" width="31.77734375" style="34" customWidth="1"/>
    <col min="6" max="6" width="24.6640625" style="34" customWidth="1"/>
    <col min="7" max="7" width="9.6640625" style="34" hidden="1" customWidth="1"/>
    <col min="8" max="8" width="7.6640625" style="34" hidden="1" customWidth="1"/>
    <col min="9" max="11" width="8.6640625" style="34" hidden="1" customWidth="1"/>
    <col min="12" max="12" width="6.6640625" style="34" hidden="1" customWidth="1"/>
    <col min="13" max="16" width="8.6640625" style="34" hidden="1" customWidth="1"/>
    <col min="17" max="17" width="18" style="34" customWidth="1"/>
    <col min="18" max="18" width="14.77734375" style="34" customWidth="1"/>
    <col min="19" max="19" width="18.44140625" style="34" customWidth="1"/>
    <col min="20" max="20" width="14.77734375" style="34" customWidth="1"/>
    <col min="21" max="21" width="6.33203125" style="34" customWidth="1"/>
    <col min="22" max="22" width="4.6640625" style="290" customWidth="1"/>
    <col min="23" max="23" width="5" style="290" bestFit="1" customWidth="1"/>
    <col min="24" max="24" width="4.88671875" style="290" bestFit="1" customWidth="1"/>
    <col min="25" max="25" width="4.33203125" style="290" bestFit="1" customWidth="1"/>
    <col min="26" max="26" width="5.33203125" style="290" customWidth="1"/>
    <col min="27" max="27" width="4" style="290" customWidth="1"/>
    <col min="28" max="28" width="4.109375" style="290" customWidth="1"/>
    <col min="29" max="32" width="9.109375" style="34" hidden="1" customWidth="1"/>
    <col min="33" max="33" width="12.88671875" style="34" hidden="1" customWidth="1"/>
    <col min="34" max="34" width="10.6640625" style="34" hidden="1" customWidth="1"/>
    <col min="35" max="35" width="11.44140625" style="34" hidden="1" customWidth="1"/>
    <col min="36" max="36" width="9.109375" style="34" hidden="1" customWidth="1"/>
    <col min="37" max="37" width="13.6640625" style="34" hidden="1" customWidth="1"/>
    <col min="38" max="38" width="9.109375" style="34" customWidth="1"/>
    <col min="39" max="40" width="12" style="34" customWidth="1"/>
    <col min="41" max="41" width="11.109375" style="34" customWidth="1"/>
    <col min="42" max="42" width="9.109375" style="34" customWidth="1"/>
    <col min="43" max="16384" width="9.109375" style="34"/>
  </cols>
  <sheetData>
    <row r="1" spans="1:42" s="30" customFormat="1" ht="15.6">
      <c r="A1" s="479"/>
      <c r="B1" s="456" t="s">
        <v>0</v>
      </c>
      <c r="C1" s="457">
        <f>ML_Sum!$C1</f>
        <v>1</v>
      </c>
      <c r="D1" s="458" t="str">
        <f>ML_Sum!$D1</f>
        <v>Eden Lesuire Group</v>
      </c>
      <c r="E1" s="459"/>
      <c r="F1" s="460">
        <f>ML_Sum!$F1</f>
        <v>0</v>
      </c>
      <c r="G1" s="493"/>
      <c r="H1"/>
      <c r="I1" s="243">
        <v>1</v>
      </c>
      <c r="J1" s="244">
        <f>ML_Sum!$J1</f>
        <v>1</v>
      </c>
      <c r="K1" s="244">
        <f>ML_Sum!$K1</f>
        <v>1</v>
      </c>
      <c r="L1" s="244">
        <f>ML_Sum!$L1</f>
        <v>1</v>
      </c>
      <c r="M1" s="244">
        <f>ML_Sum!$M1</f>
        <v>1</v>
      </c>
      <c r="N1" s="244">
        <f>ML_Sum!$N1</f>
        <v>1</v>
      </c>
      <c r="O1" s="244">
        <f>ML_Sum!$O1</f>
        <v>1</v>
      </c>
      <c r="P1"/>
      <c r="Q1" s="310" t="str">
        <f>ML_Sum!$Q1</f>
        <v>€</v>
      </c>
      <c r="R1" s="247" t="s">
        <v>1</v>
      </c>
      <c r="S1" s="309" t="str">
        <f>ML_Sum!$S1</f>
        <v>R</v>
      </c>
      <c r="T1" s="425">
        <f>ML_Sum!$T1</f>
        <v>1</v>
      </c>
      <c r="U1" s="426" t="str">
        <f>ML_Sum!W1</f>
        <v>BOQ</v>
      </c>
      <c r="V1" s="427" t="s">
        <v>189</v>
      </c>
      <c r="W1" s="480" t="s">
        <v>179</v>
      </c>
      <c r="X1" s="428" t="s">
        <v>180</v>
      </c>
      <c r="Y1" s="481" t="s">
        <v>181</v>
      </c>
      <c r="Z1" s="429" t="s">
        <v>177</v>
      </c>
      <c r="AA1" s="429" t="s">
        <v>182</v>
      </c>
      <c r="AB1" s="480" t="s">
        <v>183</v>
      </c>
      <c r="AG1" s="491"/>
      <c r="AH1" s="491"/>
      <c r="AI1" s="491"/>
      <c r="AJ1" s="491"/>
      <c r="AK1" s="492"/>
    </row>
    <row r="2" spans="1:42" s="30" customFormat="1">
      <c r="A2" s="455"/>
      <c r="B2" s="456" t="s">
        <v>2</v>
      </c>
      <c r="C2" s="457">
        <f>ML_Sum!$C2</f>
        <v>1</v>
      </c>
      <c r="D2" s="458" t="str">
        <f>ML_Sum!$D2</f>
        <v>Intercontinental - Plant Retrofit</v>
      </c>
      <c r="E2" s="462"/>
      <c r="F2" s="460" t="str">
        <f>ML_Sum!$F2</f>
        <v>Electrical</v>
      </c>
      <c r="G2" s="461"/>
      <c r="H2"/>
      <c r="I2" s="243">
        <v>2</v>
      </c>
      <c r="J2" s="244">
        <f>ML_Sum!$J2</f>
        <v>1</v>
      </c>
      <c r="K2" s="244">
        <f>ML_Sum!$K2</f>
        <v>1</v>
      </c>
      <c r="L2" s="244">
        <f>ML_Sum!$L2</f>
        <v>1</v>
      </c>
      <c r="M2" s="244">
        <f>ML_Sum!$M2</f>
        <v>1</v>
      </c>
      <c r="N2" s="244">
        <f>ML_Sum!$N2</f>
        <v>1</v>
      </c>
      <c r="O2" s="244">
        <f>ML_Sum!$O2</f>
        <v>1</v>
      </c>
      <c r="P2"/>
      <c r="Q2" s="316">
        <f>ML_Sum!$Q2</f>
        <v>0</v>
      </c>
      <c r="R2" s="16" t="s">
        <v>3</v>
      </c>
      <c r="S2" s="317">
        <f>ML_Sum!$S2</f>
        <v>1.35</v>
      </c>
      <c r="T2" s="318">
        <f>ML_Sum!$T2</f>
        <v>37.071000000000005</v>
      </c>
      <c r="V2" s="290"/>
      <c r="W2" s="290"/>
      <c r="X2" s="290"/>
      <c r="Y2" s="290"/>
      <c r="Z2" s="290"/>
      <c r="AA2" s="290"/>
      <c r="AB2" s="290"/>
    </row>
    <row r="3" spans="1:42" s="30" customFormat="1">
      <c r="A3" s="463"/>
      <c r="B3" s="464" t="s">
        <v>4</v>
      </c>
      <c r="C3" s="457">
        <f>ML_Sum!$C3</f>
        <v>1</v>
      </c>
      <c r="D3" s="458" t="str">
        <f>ML_Sum!$D3</f>
        <v>Retrofitting works for the HVAC plant at Intercontinental Revision A</v>
      </c>
      <c r="E3" s="463"/>
      <c r="F3" s="460" t="str">
        <f>ML_Sum!$F3</f>
        <v>Technician</v>
      </c>
      <c r="G3" s="465"/>
      <c r="H3"/>
      <c r="I3" s="243">
        <v>3</v>
      </c>
      <c r="J3" s="244">
        <f>ML_Sum!$J3</f>
        <v>1</v>
      </c>
      <c r="K3" s="244">
        <f>ML_Sum!$K3</f>
        <v>1</v>
      </c>
      <c r="L3" s="244">
        <f>ML_Sum!$L3</f>
        <v>1</v>
      </c>
      <c r="M3" s="244">
        <f>ML_Sum!$M3</f>
        <v>1</v>
      </c>
      <c r="N3" s="244">
        <f>ML_Sum!$N3</f>
        <v>1</v>
      </c>
      <c r="O3" s="244">
        <f>ML_Sum!$O3</f>
        <v>1</v>
      </c>
      <c r="P3"/>
      <c r="Q3" s="316">
        <f>ML_Sum!$Q3</f>
        <v>0</v>
      </c>
      <c r="R3" s="17" t="s">
        <v>5</v>
      </c>
      <c r="S3" s="317">
        <f>ML_Sum!$S3</f>
        <v>1.35</v>
      </c>
      <c r="T3" s="318">
        <f>ML_Sum!$T3</f>
        <v>45.521999999999998</v>
      </c>
      <c r="V3" s="290"/>
      <c r="W3" s="290"/>
      <c r="X3" s="290"/>
      <c r="Y3" s="290"/>
      <c r="Z3" s="290"/>
      <c r="AA3" s="290"/>
      <c r="AB3" s="290"/>
    </row>
    <row r="4" spans="1:42" s="30" customFormat="1">
      <c r="A4" s="466"/>
      <c r="B4" s="456" t="s">
        <v>6</v>
      </c>
      <c r="C4" s="457">
        <f>ML_Sum!$C4</f>
        <v>1</v>
      </c>
      <c r="D4" s="458" t="str">
        <f>ML_Sum!$D4</f>
        <v>ELM25-0465A</v>
      </c>
      <c r="E4" s="463"/>
      <c r="F4" s="460" t="str">
        <f>ML_Sum!$F4</f>
        <v>Engineer (Man Hours)</v>
      </c>
      <c r="G4" s="465"/>
      <c r="H4"/>
      <c r="I4" s="243">
        <v>4</v>
      </c>
      <c r="J4" s="244">
        <f>ML_Sum!$J4</f>
        <v>1</v>
      </c>
      <c r="K4" s="244">
        <f>ML_Sum!$K4</f>
        <v>1</v>
      </c>
      <c r="L4" s="244">
        <f>ML_Sum!$L4</f>
        <v>1</v>
      </c>
      <c r="M4" s="244">
        <f>ML_Sum!$M4</f>
        <v>1</v>
      </c>
      <c r="N4" s="244">
        <f>ML_Sum!$N4</f>
        <v>1</v>
      </c>
      <c r="O4" s="244">
        <f>ML_Sum!$O4</f>
        <v>1</v>
      </c>
      <c r="P4"/>
      <c r="Q4" s="316">
        <f>ML_Sum!$Q4</f>
        <v>0</v>
      </c>
      <c r="R4" s="18" t="s">
        <v>8</v>
      </c>
      <c r="S4" s="317">
        <f>ML_Sum!$S4</f>
        <v>1.35</v>
      </c>
      <c r="T4" s="318">
        <f>ML_Sum!$T4</f>
        <v>40.5</v>
      </c>
      <c r="V4" s="290"/>
      <c r="W4" s="290"/>
      <c r="X4" s="290"/>
      <c r="Y4" s="290"/>
      <c r="Z4" s="290"/>
      <c r="AA4" s="290"/>
      <c r="AB4" s="290"/>
    </row>
    <row r="5" spans="1:42" s="30" customFormat="1">
      <c r="A5" s="466"/>
      <c r="B5" s="456" t="s">
        <v>191</v>
      </c>
      <c r="C5" s="457">
        <f>ML_Sum!$C5</f>
        <v>1</v>
      </c>
      <c r="D5" s="458" t="str">
        <f>ML_Sum!$D5</f>
        <v>Tender</v>
      </c>
      <c r="E5" s="463"/>
      <c r="F5" s="460" t="str">
        <f>ML_Sum!$F5</f>
        <v>Megaline</v>
      </c>
      <c r="G5" s="467"/>
      <c r="H5"/>
      <c r="I5" s="243">
        <v>5</v>
      </c>
      <c r="J5" s="244">
        <f>ML_Sum!$J5</f>
        <v>1</v>
      </c>
      <c r="K5" s="244">
        <f>ML_Sum!$K5</f>
        <v>1</v>
      </c>
      <c r="L5" s="244">
        <f>ML_Sum!$L5</f>
        <v>1</v>
      </c>
      <c r="M5" s="244">
        <f>ML_Sum!$M5</f>
        <v>1</v>
      </c>
      <c r="N5" s="244">
        <f>ML_Sum!$N5</f>
        <v>1</v>
      </c>
      <c r="O5" s="244">
        <f>ML_Sum!$O5</f>
        <v>1</v>
      </c>
      <c r="P5"/>
      <c r="Q5" s="316">
        <f>ML_Sum!$Q5</f>
        <v>0</v>
      </c>
      <c r="R5" s="19" t="s">
        <v>10</v>
      </c>
      <c r="S5" s="317">
        <f>ML_Sum!$S5</f>
        <v>1</v>
      </c>
      <c r="T5" s="318">
        <f>ML_Sum!$T5</f>
        <v>37.071000000000005</v>
      </c>
      <c r="V5" s="290"/>
      <c r="W5" s="290"/>
      <c r="X5" s="290"/>
      <c r="Y5" s="290"/>
      <c r="Z5" s="290"/>
      <c r="AA5" s="290"/>
      <c r="AB5" s="290"/>
    </row>
    <row r="6" spans="1:42" s="30" customFormat="1">
      <c r="A6"/>
      <c r="B6" s="464" t="s">
        <v>9</v>
      </c>
      <c r="C6" s="457">
        <f>ML_Sum!$C6</f>
        <v>1</v>
      </c>
      <c r="D6" s="458" t="str">
        <f>ML_Sum!$D6</f>
        <v>VAT EXCL.</v>
      </c>
      <c r="E6"/>
      <c r="F6" s="460">
        <f>ML_Sum!$F6</f>
        <v>0</v>
      </c>
      <c r="G6" s="467"/>
      <c r="H6"/>
      <c r="I6" s="243">
        <v>6</v>
      </c>
      <c r="J6" s="244">
        <f>ML_Sum!$J6</f>
        <v>1</v>
      </c>
      <c r="K6" s="244">
        <f>ML_Sum!$K6</f>
        <v>1</v>
      </c>
      <c r="L6" s="244">
        <f>ML_Sum!$L6</f>
        <v>1</v>
      </c>
      <c r="M6" s="244">
        <f>ML_Sum!$M6</f>
        <v>1</v>
      </c>
      <c r="N6" s="244">
        <f>ML_Sum!$N6</f>
        <v>1</v>
      </c>
      <c r="O6" s="244">
        <f>ML_Sum!$O6</f>
        <v>1</v>
      </c>
      <c r="P6"/>
      <c r="Q6" s="316">
        <f>ML_Sum!$Q6</f>
        <v>0</v>
      </c>
      <c r="R6" s="20" t="s">
        <v>11</v>
      </c>
      <c r="S6" s="317">
        <f>ML_Sum!$S6</f>
        <v>0</v>
      </c>
      <c r="T6" s="318">
        <f>ML_Sum!$T6</f>
        <v>0</v>
      </c>
      <c r="V6" s="290"/>
      <c r="W6" s="290"/>
      <c r="X6" s="290"/>
      <c r="Y6" s="290"/>
      <c r="Z6" s="290"/>
      <c r="AA6" s="290"/>
      <c r="AB6" s="290"/>
    </row>
    <row r="7" spans="1:42" s="30" customFormat="1">
      <c r="A7" s="455"/>
      <c r="B7" s="464" t="s">
        <v>12</v>
      </c>
      <c r="C7" s="457">
        <f>ML_Sum!$C7</f>
        <v>1</v>
      </c>
      <c r="D7" s="468">
        <v>39364</v>
      </c>
      <c r="E7" s="469"/>
      <c r="F7" s="460">
        <f>ML_Sum!$F7</f>
        <v>0</v>
      </c>
      <c r="G7" s="470"/>
      <c r="H7"/>
      <c r="I7" s="243">
        <v>7</v>
      </c>
      <c r="J7" s="244">
        <f>ML_Sum!$J7</f>
        <v>1</v>
      </c>
      <c r="K7" s="244">
        <f>ML_Sum!$K7</f>
        <v>1</v>
      </c>
      <c r="L7" s="244">
        <f>ML_Sum!$L7</f>
        <v>1</v>
      </c>
      <c r="M7" s="244">
        <f>ML_Sum!$M7</f>
        <v>1</v>
      </c>
      <c r="N7" s="244">
        <f>ML_Sum!$N7</f>
        <v>1</v>
      </c>
      <c r="O7" s="244">
        <f>ML_Sum!$O7</f>
        <v>0</v>
      </c>
      <c r="P7"/>
      <c r="Q7" s="316">
        <f>ML_Sum!$Q7</f>
        <v>0</v>
      </c>
      <c r="R7" s="21" t="s">
        <v>13</v>
      </c>
      <c r="S7" s="317">
        <f>ML_Sum!$S7</f>
        <v>0</v>
      </c>
      <c r="T7" s="318">
        <f>ML_Sum!$T7</f>
        <v>0</v>
      </c>
      <c r="V7" s="290"/>
      <c r="W7" s="290"/>
      <c r="X7" s="290"/>
      <c r="Y7" s="290"/>
      <c r="Z7" s="290"/>
      <c r="AA7" s="290"/>
      <c r="AB7" s="290"/>
    </row>
    <row r="8" spans="1:42" s="30" customFormat="1">
      <c r="A8" s="466"/>
      <c r="B8" s="464" t="s">
        <v>14</v>
      </c>
      <c r="C8" s="457">
        <f>ML_Sum!$C8</f>
        <v>1</v>
      </c>
      <c r="D8" s="458" t="str">
        <f>ML_Sum!$D8</f>
        <v>T.Sammut</v>
      </c>
      <c r="E8" s="463"/>
      <c r="F8" s="460">
        <f>ML_Sum!$F8</f>
        <v>0</v>
      </c>
      <c r="G8" s="471"/>
      <c r="H8"/>
      <c r="I8" s="243">
        <v>8</v>
      </c>
      <c r="J8" s="244">
        <f>ML_Sum!$J8</f>
        <v>1</v>
      </c>
      <c r="K8" s="244">
        <f>ML_Sum!$K8</f>
        <v>1</v>
      </c>
      <c r="L8" s="244">
        <f>ML_Sum!$L8</f>
        <v>1</v>
      </c>
      <c r="M8" s="244">
        <f>ML_Sum!$M8</f>
        <v>1</v>
      </c>
      <c r="N8" s="244">
        <f>ML_Sum!$N8</f>
        <v>1</v>
      </c>
      <c r="O8" s="244">
        <f>ML_Sum!$O8</f>
        <v>0</v>
      </c>
      <c r="P8"/>
      <c r="Q8" s="316">
        <f>ML_Sum!$Q8</f>
        <v>0</v>
      </c>
      <c r="R8" s="22" t="s">
        <v>15</v>
      </c>
      <c r="S8" s="317">
        <f>ML_Sum!$S8</f>
        <v>0</v>
      </c>
      <c r="T8" s="318">
        <f>ML_Sum!$T8</f>
        <v>0</v>
      </c>
      <c r="V8" s="290"/>
      <c r="W8" s="290"/>
      <c r="X8" s="290"/>
      <c r="Y8" s="290"/>
      <c r="Z8" s="290"/>
      <c r="AA8" s="290"/>
      <c r="AB8" s="290"/>
    </row>
    <row r="9" spans="1:42" s="30" customFormat="1">
      <c r="A9" s="466"/>
      <c r="B9" s="464" t="s">
        <v>262</v>
      </c>
      <c r="C9" s="457">
        <f>ML_Sum!$C9</f>
        <v>1</v>
      </c>
      <c r="D9" s="458">
        <f>ML_Sum!$D9</f>
        <v>27.46</v>
      </c>
      <c r="E9" s="463"/>
      <c r="F9" s="460">
        <f>ML_Sum!$F9</f>
        <v>0</v>
      </c>
      <c r="G9" s="471"/>
      <c r="H9"/>
      <c r="I9" s="243">
        <v>9</v>
      </c>
      <c r="J9" s="244">
        <f>ML_Sum!$J9</f>
        <v>1</v>
      </c>
      <c r="K9" s="244">
        <f>ML_Sum!$K9</f>
        <v>1</v>
      </c>
      <c r="L9" s="244">
        <f>ML_Sum!$L9</f>
        <v>1</v>
      </c>
      <c r="M9" s="244">
        <f>ML_Sum!$M9</f>
        <v>1</v>
      </c>
      <c r="N9" s="244">
        <f>ML_Sum!$N9</f>
        <v>1</v>
      </c>
      <c r="O9" s="244">
        <f>ML_Sum!$O9</f>
        <v>0</v>
      </c>
      <c r="P9"/>
      <c r="Q9" s="316">
        <f>ML_Sum!$Q9</f>
        <v>0</v>
      </c>
      <c r="R9" s="23" t="s">
        <v>16</v>
      </c>
      <c r="S9" s="317">
        <f>ML_Sum!$S9</f>
        <v>0</v>
      </c>
      <c r="T9" s="318">
        <f>ML_Sum!$T9</f>
        <v>0</v>
      </c>
      <c r="V9" s="290"/>
      <c r="W9" s="290"/>
      <c r="X9" s="290"/>
      <c r="Y9" s="290"/>
      <c r="Z9" s="290"/>
      <c r="AA9" s="290"/>
      <c r="AB9" s="290"/>
    </row>
    <row r="10" spans="1:42" s="30" customFormat="1">
      <c r="A10" s="466"/>
      <c r="B10" s="455"/>
      <c r="C10" s="457">
        <f>ML_Sum!$C10</f>
        <v>1</v>
      </c>
      <c r="D10" s="455"/>
      <c r="E10" s="463"/>
      <c r="F10" s="460">
        <f>ML_Sum!$F10</f>
        <v>0</v>
      </c>
      <c r="G10" s="471"/>
      <c r="H10"/>
      <c r="I10" s="243">
        <v>10</v>
      </c>
      <c r="J10" s="244">
        <f>ML_Sum!$J10</f>
        <v>1</v>
      </c>
      <c r="K10" s="244">
        <f>ML_Sum!$K10</f>
        <v>1</v>
      </c>
      <c r="L10" s="244">
        <f>ML_Sum!$L10</f>
        <v>1</v>
      </c>
      <c r="M10" s="244">
        <f>ML_Sum!$M10</f>
        <v>1</v>
      </c>
      <c r="N10" s="244">
        <f>ML_Sum!$N10</f>
        <v>1</v>
      </c>
      <c r="O10" s="244">
        <f>ML_Sum!$O10</f>
        <v>1</v>
      </c>
      <c r="P10"/>
      <c r="Q10" s="316">
        <f>ML_Sum!$Q10</f>
        <v>0</v>
      </c>
      <c r="R10" s="24" t="s">
        <v>17</v>
      </c>
      <c r="S10" s="317">
        <f>ML_Sum!$S10</f>
        <v>0</v>
      </c>
      <c r="T10" s="318">
        <f>ML_Sum!$T10</f>
        <v>0</v>
      </c>
      <c r="V10" s="290"/>
      <c r="W10" s="290"/>
      <c r="X10" s="290"/>
      <c r="Y10" s="290"/>
      <c r="Z10" s="290"/>
      <c r="AA10" s="290"/>
      <c r="AB10" s="290"/>
    </row>
    <row r="11" spans="1:42" s="30" customFormat="1">
      <c r="A11" s="466"/>
      <c r="B11" s="455"/>
      <c r="C11" s="457">
        <f>ML_Sum!$C11</f>
        <v>1</v>
      </c>
      <c r="D11" s="455"/>
      <c r="E11" s="463"/>
      <c r="F11" s="460">
        <f>ML_Sum!$F11</f>
        <v>0</v>
      </c>
      <c r="G11" s="471"/>
      <c r="H11" s="471"/>
      <c r="I11" s="455"/>
      <c r="J11" s="455"/>
      <c r="K11" s="455"/>
      <c r="L11" s="455"/>
      <c r="M11" s="455"/>
      <c r="N11" s="455"/>
      <c r="O11" s="455"/>
      <c r="P11" s="471"/>
      <c r="Q11" s="316">
        <f>ML_Sum!$Q11</f>
        <v>0</v>
      </c>
      <c r="R11" s="25" t="s">
        <v>18</v>
      </c>
      <c r="S11" s="317">
        <f>ML_Sum!$S11</f>
        <v>0</v>
      </c>
      <c r="T11" s="318">
        <f>ML_Sum!$T11</f>
        <v>0</v>
      </c>
      <c r="V11" s="290"/>
      <c r="W11" s="290"/>
      <c r="X11" s="290"/>
      <c r="Y11" s="290"/>
      <c r="Z11" s="290"/>
      <c r="AA11" s="290"/>
      <c r="AB11" s="290"/>
    </row>
    <row r="12" spans="1:42" s="30" customFormat="1" ht="14.4" thickBot="1">
      <c r="A12" s="466"/>
      <c r="B12" s="455"/>
      <c r="C12" s="457">
        <f>ML_Sum!$C12</f>
        <v>1</v>
      </c>
      <c r="D12" s="455"/>
      <c r="E12" s="463"/>
      <c r="F12" s="460">
        <f>ML_Sum!$F12</f>
        <v>0</v>
      </c>
      <c r="G12" s="471"/>
      <c r="H12" s="471"/>
      <c r="I12" s="455"/>
      <c r="J12" s="455"/>
      <c r="K12" s="455"/>
      <c r="L12" s="455"/>
      <c r="M12" s="455"/>
      <c r="N12" s="455"/>
      <c r="O12" s="455"/>
      <c r="P12" s="471"/>
      <c r="Q12" s="316">
        <f>ML_Sum!$Q12</f>
        <v>0</v>
      </c>
      <c r="R12" s="366" t="s">
        <v>204</v>
      </c>
      <c r="S12" s="317" t="str">
        <f>ML_Sum!$S12</f>
        <v>MAT MU</v>
      </c>
      <c r="T12" s="318" t="str">
        <f>ML_Sum!$T12</f>
        <v>LAB RATE</v>
      </c>
      <c r="V12" s="290"/>
      <c r="W12" s="290"/>
      <c r="X12" s="290"/>
      <c r="Y12" s="290"/>
      <c r="Z12" s="290"/>
      <c r="AA12" s="290"/>
      <c r="AB12" s="290"/>
    </row>
    <row r="13" spans="1:42" s="30" customFormat="1" ht="14.4" thickBot="1">
      <c r="A13" s="472"/>
      <c r="B13" s="473"/>
      <c r="C13" s="474"/>
      <c r="D13" s="475"/>
      <c r="E13" s="476"/>
      <c r="F13" s="477"/>
      <c r="G13" s="478" t="s">
        <v>142</v>
      </c>
      <c r="H13" s="478" t="s">
        <v>20</v>
      </c>
      <c r="I13" s="478" t="s">
        <v>21</v>
      </c>
      <c r="J13" s="478" t="s">
        <v>22</v>
      </c>
      <c r="K13" s="478" t="s">
        <v>23</v>
      </c>
      <c r="L13" s="478" t="s">
        <v>24</v>
      </c>
      <c r="M13" s="478" t="s">
        <v>25</v>
      </c>
      <c r="N13" s="478" t="s">
        <v>26</v>
      </c>
      <c r="O13" s="478" t="s">
        <v>27</v>
      </c>
      <c r="P13" s="478" t="s">
        <v>28</v>
      </c>
      <c r="Q13" s="26" t="s">
        <v>199</v>
      </c>
      <c r="R13" s="27" t="s">
        <v>30</v>
      </c>
      <c r="S13" s="28" t="s">
        <v>31</v>
      </c>
      <c r="T13" s="29" t="s">
        <v>32</v>
      </c>
      <c r="V13" s="290"/>
      <c r="W13" s="290"/>
      <c r="X13" s="290"/>
      <c r="Y13" s="290"/>
      <c r="Z13" s="290"/>
      <c r="AA13" s="290"/>
      <c r="AB13" s="290"/>
      <c r="AG13"/>
      <c r="AH13"/>
      <c r="AI13"/>
      <c r="AJ13"/>
      <c r="AK13"/>
      <c r="AM13" s="494" t="s">
        <v>258</v>
      </c>
      <c r="AN13" s="496" t="s">
        <v>268</v>
      </c>
      <c r="AO13" s="496" t="s">
        <v>259</v>
      </c>
      <c r="AP13" s="495" t="s">
        <v>256</v>
      </c>
    </row>
    <row r="14" spans="1:42" s="44" customFormat="1" ht="13.2">
      <c r="C14" s="32"/>
      <c r="D14" s="32"/>
      <c r="K14" s="44" t="s">
        <v>134</v>
      </c>
      <c r="O14" s="45"/>
    </row>
    <row r="15" spans="1:42" s="44" customFormat="1" ht="12">
      <c r="C15" s="44" t="s">
        <v>135</v>
      </c>
      <c r="D15" s="35"/>
      <c r="O15" s="45"/>
    </row>
    <row r="16" spans="1:42" s="44" customFormat="1" ht="12">
      <c r="D16" s="35" t="s">
        <v>566</v>
      </c>
      <c r="O16" s="45"/>
      <c r="S16" s="36"/>
      <c r="T16" s="36"/>
    </row>
    <row r="17" spans="1:41" s="32" customFormat="1" thickBot="1">
      <c r="A17" s="37"/>
      <c r="O17" s="38"/>
    </row>
    <row r="18" spans="1:41" s="501" customFormat="1" thickTop="1">
      <c r="A18" s="44"/>
      <c r="B18" s="44"/>
      <c r="C18" s="3"/>
      <c r="D18" s="3"/>
      <c r="E18" s="44"/>
      <c r="F18" s="44"/>
      <c r="G18" s="44"/>
      <c r="H18" s="44"/>
      <c r="I18" s="44"/>
      <c r="J18" s="44"/>
      <c r="K18" s="44" t="s">
        <v>134</v>
      </c>
      <c r="L18" s="44"/>
      <c r="M18" s="44"/>
      <c r="N18" s="44"/>
      <c r="O18" s="45"/>
      <c r="P18" s="44"/>
      <c r="Q18" s="44"/>
      <c r="R18" s="44"/>
      <c r="S18" s="44"/>
      <c r="T18" s="44"/>
    </row>
    <row r="19" spans="1:41" s="501" customFormat="1" ht="12">
      <c r="A19" s="44"/>
      <c r="B19" s="44"/>
      <c r="C19" s="44" t="s">
        <v>135</v>
      </c>
      <c r="D19" s="35"/>
      <c r="E19" s="44"/>
      <c r="F19" s="44"/>
      <c r="G19" s="44"/>
      <c r="H19" s="44"/>
      <c r="I19" s="44"/>
      <c r="J19" s="44"/>
      <c r="K19" s="44"/>
      <c r="L19" s="44"/>
      <c r="M19" s="44"/>
      <c r="N19" s="44"/>
      <c r="O19" s="45"/>
      <c r="P19" s="44"/>
      <c r="Q19" s="44"/>
      <c r="R19" s="44"/>
      <c r="S19" s="44"/>
      <c r="T19" s="44"/>
    </row>
    <row r="20" spans="1:41" s="501" customFormat="1" ht="12">
      <c r="A20" s="44"/>
      <c r="B20" s="44"/>
      <c r="C20" s="44"/>
      <c r="D20" s="35" t="s">
        <v>284</v>
      </c>
      <c r="E20" s="44"/>
      <c r="F20" s="44"/>
      <c r="G20" s="44"/>
      <c r="H20" s="44"/>
      <c r="I20" s="44"/>
      <c r="J20" s="44"/>
      <c r="K20" s="44"/>
      <c r="L20" s="44"/>
      <c r="M20" s="44"/>
      <c r="N20" s="44"/>
      <c r="O20" s="45"/>
      <c r="P20" s="44"/>
      <c r="Q20" s="44"/>
      <c r="R20" s="44"/>
      <c r="S20" s="36"/>
      <c r="T20" s="36"/>
    </row>
    <row r="21" spans="1:41" s="3" customFormat="1" thickBot="1">
      <c r="A21" s="518"/>
      <c r="O21" s="86"/>
    </row>
    <row r="22" spans="1:41" s="501" customFormat="1" ht="12" thickTop="1">
      <c r="A22" s="44"/>
      <c r="B22" s="39"/>
      <c r="C22" s="44"/>
      <c r="E22" s="40" t="s">
        <v>138</v>
      </c>
      <c r="F22" s="40" t="s">
        <v>139</v>
      </c>
      <c r="G22" s="44"/>
      <c r="H22" s="44"/>
      <c r="I22" s="44"/>
      <c r="J22" s="44"/>
      <c r="K22" s="44" t="s">
        <v>140</v>
      </c>
      <c r="L22" s="44"/>
      <c r="M22" s="44"/>
      <c r="N22" s="44"/>
      <c r="O22" s="45"/>
      <c r="P22" s="44"/>
      <c r="Q22" s="44"/>
      <c r="R22" s="44"/>
      <c r="S22" s="44"/>
      <c r="T22" s="39"/>
      <c r="AG22" s="502" t="s">
        <v>247</v>
      </c>
      <c r="AH22" s="502" t="s">
        <v>248</v>
      </c>
      <c r="AI22" s="502" t="s">
        <v>249</v>
      </c>
      <c r="AJ22" s="502" t="s">
        <v>250</v>
      </c>
      <c r="AK22" s="502" t="s">
        <v>251</v>
      </c>
      <c r="AM22" s="710" t="s">
        <v>260</v>
      </c>
      <c r="AN22" s="711" t="s">
        <v>261</v>
      </c>
      <c r="AO22" s="503" t="s">
        <v>257</v>
      </c>
    </row>
    <row r="23" spans="1:41" s="501" customFormat="1" ht="12" customHeight="1">
      <c r="A23" s="712">
        <v>1</v>
      </c>
      <c r="B23" s="504" t="s">
        <v>287</v>
      </c>
      <c r="C23" s="505"/>
      <c r="D23" s="713" t="s">
        <v>567</v>
      </c>
      <c r="E23" s="714">
        <f>IF(AND($A23=0,$A$1="DIF"),0, ROUND(ROUND(($R27*$S$2+($T27*$T$2))/A23,2)*$C$2,2))</f>
        <v>0</v>
      </c>
      <c r="F23" s="715">
        <f>ROUND($A23*$E23,2)</f>
        <v>0</v>
      </c>
      <c r="G23" s="506" t="s">
        <v>142</v>
      </c>
      <c r="H23" s="498"/>
      <c r="I23" s="716"/>
      <c r="J23" s="498"/>
      <c r="K23" s="498" t="s">
        <v>3</v>
      </c>
      <c r="L23" s="717" t="s">
        <v>143</v>
      </c>
      <c r="M23" s="717"/>
      <c r="N23" s="717"/>
      <c r="O23" s="717"/>
      <c r="P23" s="717"/>
      <c r="Q23" s="892" t="s">
        <v>1104</v>
      </c>
      <c r="R23" s="963"/>
      <c r="S23" s="963"/>
      <c r="T23" s="718" t="str">
        <f>IF(AND($R27=0,$T27=0),"0.00","mu :" &amp; ROUND($F23/$C$2/($R27+$T27*$D$9),2))</f>
        <v>0.00</v>
      </c>
      <c r="W23" s="507"/>
      <c r="AG23" s="453">
        <f>IF($E23=0,0,ROUND($R27*$S$2*$C$2/$A23,2))</f>
        <v>0</v>
      </c>
      <c r="AH23" s="453">
        <f>$AG23*$A23</f>
        <v>0</v>
      </c>
      <c r="AI23" s="508">
        <f>$E23-$AG23</f>
        <v>0</v>
      </c>
      <c r="AJ23" s="508">
        <f>$A23*$AI23</f>
        <v>0</v>
      </c>
      <c r="AK23" s="509">
        <f>ROUND(($AG23+$AI23)*$A23,2)</f>
        <v>0</v>
      </c>
      <c r="AM23" s="510">
        <f>ROUND(R27,2)</f>
        <v>0</v>
      </c>
      <c r="AN23" s="511">
        <f>ROUND(T27,2)</f>
        <v>0</v>
      </c>
      <c r="AO23" s="512">
        <f>ROUND(AM23+AN23,2)*A23</f>
        <v>0</v>
      </c>
    </row>
    <row r="24" spans="1:41" s="501" customFormat="1" ht="39.9" customHeight="1">
      <c r="A24" s="505"/>
      <c r="B24"/>
      <c r="C24" s="505"/>
      <c r="D24" s="1183" t="s">
        <v>286</v>
      </c>
      <c r="E24" s="1184"/>
      <c r="F24" s="1184"/>
      <c r="G24" s="1184"/>
      <c r="H24" s="1184"/>
      <c r="I24" s="1184"/>
      <c r="J24" s="1184"/>
      <c r="K24" s="1184"/>
      <c r="L24" s="1184"/>
      <c r="M24" s="1184"/>
      <c r="N24" s="1184"/>
      <c r="O24" s="1184"/>
      <c r="P24" s="1184"/>
      <c r="Q24" s="1184"/>
      <c r="R24" s="1184"/>
      <c r="S24" s="1184"/>
      <c r="T24" s="1184"/>
    </row>
    <row r="25" spans="1:41" s="893" customFormat="1" ht="13.2">
      <c r="A25" s="971">
        <v>1</v>
      </c>
      <c r="B25" s="972" t="s">
        <v>287</v>
      </c>
      <c r="C25" s="972"/>
      <c r="D25" s="972" t="s">
        <v>884</v>
      </c>
      <c r="E25" s="972"/>
      <c r="F25" s="944" t="s">
        <v>885</v>
      </c>
      <c r="G25" s="973" t="s">
        <v>886</v>
      </c>
      <c r="H25" s="979">
        <v>960</v>
      </c>
      <c r="I25" s="972" t="s">
        <v>660</v>
      </c>
      <c r="J25" s="972"/>
      <c r="K25" s="972"/>
      <c r="L25" s="972"/>
      <c r="M25" s="972"/>
      <c r="N25" s="972"/>
      <c r="O25" s="974">
        <v>4</v>
      </c>
      <c r="P25" s="975">
        <v>38594</v>
      </c>
      <c r="Q25" s="976"/>
      <c r="R25" s="977">
        <f>$A25*Q25</f>
        <v>0</v>
      </c>
      <c r="S25" s="976"/>
      <c r="T25" s="978">
        <f>$A25*S25*$T$1</f>
        <v>0</v>
      </c>
    </row>
    <row r="26" spans="1:41" s="501" customFormat="1" ht="12">
      <c r="A26" s="497"/>
      <c r="B26" s="497"/>
      <c r="C26" s="497"/>
      <c r="D26" s="497"/>
      <c r="E26" s="497"/>
      <c r="F26" s="498"/>
      <c r="G26" s="497"/>
      <c r="H26" s="497"/>
      <c r="I26" s="499"/>
      <c r="J26" s="497"/>
      <c r="K26" s="497"/>
      <c r="L26" s="497"/>
      <c r="M26" s="497"/>
      <c r="N26" s="497"/>
      <c r="O26" s="497"/>
      <c r="P26" s="497"/>
      <c r="Q26" s="499"/>
      <c r="R26" s="720">
        <f>$A26*Q26</f>
        <v>0</v>
      </c>
      <c r="S26" s="499"/>
      <c r="T26" s="500">
        <f>$A26*S26*$T$1</f>
        <v>0</v>
      </c>
    </row>
    <row r="27" spans="1:41" s="501" customFormat="1" ht="12.6" thickBot="1">
      <c r="A27" s="513" t="s">
        <v>145</v>
      </c>
      <c r="B27" s="514">
        <f>(R26+T26)</f>
        <v>0</v>
      </c>
      <c r="C27" s="515"/>
      <c r="D27" s="515"/>
      <c r="E27" s="515"/>
      <c r="F27" s="721"/>
      <c r="G27" s="515" t="s">
        <v>146</v>
      </c>
      <c r="H27" s="515"/>
      <c r="I27" s="516"/>
      <c r="J27" s="515"/>
      <c r="K27" s="515" t="s">
        <v>3</v>
      </c>
      <c r="L27" s="517" t="s">
        <v>143</v>
      </c>
      <c r="M27" s="517"/>
      <c r="N27" s="517"/>
      <c r="O27" s="517"/>
      <c r="P27" s="517"/>
      <c r="Q27" s="722"/>
      <c r="R27" s="723">
        <f>SUM(R24:R26)</f>
        <v>0</v>
      </c>
      <c r="S27" s="515"/>
      <c r="T27" s="723">
        <f>SUM(T24:T26)</f>
        <v>0</v>
      </c>
      <c r="U27" s="518"/>
      <c r="V27" s="518"/>
      <c r="W27" s="518"/>
      <c r="X27" s="518"/>
      <c r="Y27" s="518"/>
      <c r="Z27" s="518"/>
      <c r="AA27" s="518"/>
      <c r="AB27" s="518"/>
      <c r="AC27" s="518"/>
      <c r="AD27" s="518"/>
      <c r="AE27" s="518"/>
      <c r="AF27" s="518"/>
      <c r="AG27" s="518"/>
      <c r="AH27" s="518"/>
      <c r="AI27" s="518"/>
      <c r="AJ27" s="518"/>
      <c r="AK27" s="518"/>
      <c r="AL27" s="518"/>
      <c r="AM27" s="518"/>
      <c r="AN27" s="518"/>
      <c r="AO27" s="518"/>
    </row>
    <row r="28" spans="1:41" s="501" customFormat="1" ht="12" thickTop="1">
      <c r="A28" s="44"/>
      <c r="B28" s="39"/>
      <c r="C28" s="44"/>
      <c r="E28" s="40" t="s">
        <v>138</v>
      </c>
      <c r="F28" s="40" t="s">
        <v>139</v>
      </c>
      <c r="G28" s="44"/>
      <c r="H28" s="44"/>
      <c r="I28" s="44"/>
      <c r="J28" s="44"/>
      <c r="K28" s="44" t="s">
        <v>140</v>
      </c>
      <c r="L28" s="44"/>
      <c r="M28" s="44"/>
      <c r="N28" s="44"/>
      <c r="O28" s="45"/>
      <c r="P28" s="44"/>
      <c r="Q28" s="44"/>
      <c r="R28" s="44"/>
      <c r="S28" s="44"/>
      <c r="T28" s="39"/>
      <c r="AG28" s="502" t="s">
        <v>247</v>
      </c>
      <c r="AH28" s="502" t="s">
        <v>248</v>
      </c>
      <c r="AI28" s="502" t="s">
        <v>249</v>
      </c>
      <c r="AJ28" s="502" t="s">
        <v>250</v>
      </c>
      <c r="AK28" s="502" t="s">
        <v>251</v>
      </c>
      <c r="AM28" s="710" t="s">
        <v>260</v>
      </c>
      <c r="AN28" s="711" t="s">
        <v>261</v>
      </c>
      <c r="AO28" s="503" t="s">
        <v>257</v>
      </c>
    </row>
    <row r="29" spans="1:41" s="501" customFormat="1" ht="12" customHeight="1">
      <c r="A29" s="712">
        <v>1</v>
      </c>
      <c r="B29" s="504" t="s">
        <v>287</v>
      </c>
      <c r="C29" s="505"/>
      <c r="D29" s="713" t="s">
        <v>608</v>
      </c>
      <c r="E29" s="714">
        <f>IF(AND($A29=0,$A$1="DIF"),0, ROUND(ROUND(($R33*$S$2+($T33*$T$2))/A29,2)*$C$2,2))</f>
        <v>0</v>
      </c>
      <c r="F29" s="715">
        <f>ROUND($A29*$E29,2)</f>
        <v>0</v>
      </c>
      <c r="G29" s="506" t="s">
        <v>142</v>
      </c>
      <c r="H29" s="498"/>
      <c r="I29" s="716"/>
      <c r="J29" s="498"/>
      <c r="K29" s="498" t="s">
        <v>3</v>
      </c>
      <c r="L29" s="717" t="s">
        <v>143</v>
      </c>
      <c r="M29" s="717"/>
      <c r="N29" s="717"/>
      <c r="O29" s="717"/>
      <c r="P29" s="717"/>
      <c r="Q29" s="892" t="s">
        <v>1104</v>
      </c>
      <c r="R29" s="963"/>
      <c r="S29" s="963"/>
      <c r="T29" s="718" t="str">
        <f>IF(AND($R33=0,$T33=0),"0.00","mu :" &amp; ROUND($F29/$C$2/($R33+$T33*$D$9),2))</f>
        <v>0.00</v>
      </c>
      <c r="W29" s="507"/>
      <c r="AG29" s="453">
        <f>IF($E29=0,0,ROUND($R33*$S$2*$C$2/$A29,2))</f>
        <v>0</v>
      </c>
      <c r="AH29" s="453">
        <f>$AG29*$A29</f>
        <v>0</v>
      </c>
      <c r="AI29" s="508">
        <f>$E29-$AG29</f>
        <v>0</v>
      </c>
      <c r="AJ29" s="508">
        <f>$A29*$AI29</f>
        <v>0</v>
      </c>
      <c r="AK29" s="509">
        <f>ROUND(($AG29+$AI29)*$A29,2)</f>
        <v>0</v>
      </c>
      <c r="AM29" s="510">
        <f>ROUND(R33,2)</f>
        <v>0</v>
      </c>
      <c r="AN29" s="511">
        <f>ROUND(T33,2)</f>
        <v>0</v>
      </c>
      <c r="AO29" s="512">
        <f>ROUND(AM29+AN29,2)*A29</f>
        <v>0</v>
      </c>
    </row>
    <row r="30" spans="1:41" s="501" customFormat="1" ht="39.9" customHeight="1">
      <c r="A30" s="505"/>
      <c r="B30"/>
      <c r="C30" s="505"/>
      <c r="D30" s="1183" t="s">
        <v>882</v>
      </c>
      <c r="E30" s="1184"/>
      <c r="F30" s="1184"/>
      <c r="G30" s="1184"/>
      <c r="H30" s="1184"/>
      <c r="I30" s="1184"/>
      <c r="J30" s="1184"/>
      <c r="K30" s="1184"/>
      <c r="L30" s="1184"/>
      <c r="M30" s="1184"/>
      <c r="N30" s="1184"/>
      <c r="O30" s="1184"/>
      <c r="P30" s="1184"/>
      <c r="Q30" s="1184"/>
      <c r="R30" s="1184"/>
      <c r="S30" s="1184"/>
      <c r="T30" s="1184"/>
    </row>
    <row r="31" spans="1:41" s="893" customFormat="1" ht="13.2">
      <c r="A31" s="971">
        <v>1</v>
      </c>
      <c r="B31" s="972" t="s">
        <v>287</v>
      </c>
      <c r="C31" s="972"/>
      <c r="D31" s="972" t="s">
        <v>884</v>
      </c>
      <c r="E31" s="972"/>
      <c r="F31" s="944" t="s">
        <v>885</v>
      </c>
      <c r="G31" s="973" t="s">
        <v>886</v>
      </c>
      <c r="H31" s="979">
        <v>960</v>
      </c>
      <c r="I31" s="972" t="s">
        <v>660</v>
      </c>
      <c r="J31" s="972"/>
      <c r="K31" s="972"/>
      <c r="L31" s="972"/>
      <c r="M31" s="972"/>
      <c r="N31" s="972"/>
      <c r="O31" s="974">
        <v>4</v>
      </c>
      <c r="P31" s="975">
        <v>38594</v>
      </c>
      <c r="Q31" s="976"/>
      <c r="R31" s="977">
        <f>$A31*Q31</f>
        <v>0</v>
      </c>
      <c r="S31" s="976"/>
      <c r="T31" s="978">
        <f>$A31*S31*$T$1</f>
        <v>0</v>
      </c>
    </row>
    <row r="32" spans="1:41" s="501" customFormat="1" ht="12">
      <c r="A32" s="497"/>
      <c r="B32" s="497"/>
      <c r="C32" s="497"/>
      <c r="D32" s="497"/>
      <c r="E32" s="497"/>
      <c r="F32" s="498"/>
      <c r="G32" s="497"/>
      <c r="H32" s="497"/>
      <c r="I32" s="499"/>
      <c r="J32" s="497"/>
      <c r="K32" s="497"/>
      <c r="L32" s="497"/>
      <c r="M32" s="497"/>
      <c r="N32" s="497"/>
      <c r="O32" s="497"/>
      <c r="P32" s="497"/>
      <c r="Q32" s="499"/>
      <c r="R32" s="720">
        <f>$A32*Q32</f>
        <v>0</v>
      </c>
      <c r="S32" s="499"/>
      <c r="T32" s="500">
        <f>$A32*S32*$T$1</f>
        <v>0</v>
      </c>
    </row>
    <row r="33" spans="1:41" s="501" customFormat="1" ht="12.6" thickBot="1">
      <c r="A33" s="513" t="s">
        <v>145</v>
      </c>
      <c r="B33" s="514">
        <f>(R32+T32)</f>
        <v>0</v>
      </c>
      <c r="C33" s="515"/>
      <c r="D33" s="515"/>
      <c r="E33" s="515"/>
      <c r="F33" s="721"/>
      <c r="G33" s="515" t="s">
        <v>146</v>
      </c>
      <c r="H33" s="515"/>
      <c r="I33" s="516"/>
      <c r="J33" s="515"/>
      <c r="K33" s="515" t="s">
        <v>3</v>
      </c>
      <c r="L33" s="517" t="s">
        <v>143</v>
      </c>
      <c r="M33" s="517"/>
      <c r="N33" s="517"/>
      <c r="O33" s="517"/>
      <c r="P33" s="517"/>
      <c r="Q33" s="722"/>
      <c r="R33" s="723">
        <f>SUM(R30:R32)</f>
        <v>0</v>
      </c>
      <c r="S33" s="515"/>
      <c r="T33" s="723">
        <f>SUM(T30:T32)</f>
        <v>0</v>
      </c>
      <c r="U33" s="518"/>
      <c r="V33" s="518"/>
      <c r="W33" s="518"/>
      <c r="X33" s="518"/>
      <c r="Y33" s="518"/>
      <c r="Z33" s="518"/>
      <c r="AA33" s="518"/>
      <c r="AB33" s="518"/>
      <c r="AC33" s="518"/>
      <c r="AD33" s="518"/>
      <c r="AE33" s="518"/>
      <c r="AF33" s="518"/>
      <c r="AG33" s="518"/>
      <c r="AH33" s="518"/>
      <c r="AI33" s="518"/>
      <c r="AJ33" s="518"/>
      <c r="AK33" s="518"/>
      <c r="AL33" s="518"/>
      <c r="AM33" s="518"/>
      <c r="AN33" s="518"/>
      <c r="AO33" s="518"/>
    </row>
    <row r="34" spans="1:41" s="501" customFormat="1" ht="12" thickTop="1">
      <c r="A34" s="41" t="s">
        <v>148</v>
      </c>
      <c r="D34" s="11"/>
      <c r="E34" s="40"/>
      <c r="O34" s="727"/>
    </row>
    <row r="35" spans="1:41" s="501" customFormat="1" ht="13.2">
      <c r="B35" s="3"/>
      <c r="O35" s="727"/>
    </row>
    <row r="36" spans="1:41" s="501" customFormat="1" ht="12">
      <c r="B36" s="728">
        <f>$F36/$C$2-($R36*$S$2+$T36*$T$2)</f>
        <v>0</v>
      </c>
      <c r="D36" s="729" t="s">
        <v>568</v>
      </c>
      <c r="E36" s="730"/>
      <c r="F36" s="731">
        <f>SUMIF($L27:$L34,"ITEM",F27:F34)</f>
        <v>0</v>
      </c>
      <c r="G36" s="497"/>
      <c r="H36" s="497"/>
      <c r="I36" s="499"/>
      <c r="J36" s="497"/>
      <c r="K36" s="497"/>
      <c r="L36" s="717" t="s">
        <v>159</v>
      </c>
      <c r="M36" s="717"/>
      <c r="N36" s="717"/>
      <c r="O36" s="717"/>
      <c r="P36" s="717"/>
      <c r="R36" s="732">
        <f>SUMIF($L27:$L34,"ITEM",R27:R34)</f>
        <v>0</v>
      </c>
      <c r="S36" s="733"/>
      <c r="T36" s="732">
        <f>SUMIF($L27:$L34,"ITEM",T27:T34)</f>
        <v>0</v>
      </c>
    </row>
    <row r="37" spans="1:41" s="501" customFormat="1" ht="13.2">
      <c r="A37" s="44"/>
      <c r="B37" s="42" t="s">
        <v>569</v>
      </c>
      <c r="C37" s="44"/>
      <c r="D37" s="3"/>
      <c r="F37" s="734" t="s">
        <v>160</v>
      </c>
      <c r="G37" s="497"/>
      <c r="H37" s="497"/>
      <c r="I37" s="499"/>
      <c r="J37" s="497"/>
      <c r="K37" s="497"/>
      <c r="L37" s="497"/>
      <c r="M37" s="497"/>
      <c r="N37" s="497"/>
      <c r="O37" s="497"/>
      <c r="P37" s="497"/>
      <c r="Q37" s="726"/>
      <c r="R37" s="734" t="s">
        <v>161</v>
      </c>
      <c r="S37" s="36"/>
      <c r="T37" s="734" t="s">
        <v>162</v>
      </c>
    </row>
    <row r="38" spans="1:41" s="501" customFormat="1" ht="13.2">
      <c r="A38" s="497"/>
      <c r="B38" s="3"/>
      <c r="C38" s="497"/>
      <c r="D38" s="3"/>
      <c r="E38" s="3"/>
      <c r="G38" s="3"/>
      <c r="H38" s="3"/>
      <c r="I38" s="3"/>
      <c r="J38" s="3"/>
      <c r="K38" s="3"/>
      <c r="L38" s="3"/>
      <c r="M38" s="3"/>
      <c r="N38" s="3"/>
      <c r="O38" s="86"/>
      <c r="P38" s="3"/>
      <c r="Q38" s="3"/>
      <c r="R38" s="3"/>
      <c r="S38" s="3"/>
      <c r="T38" s="3"/>
    </row>
    <row r="39" spans="1:41" s="501" customFormat="1" ht="12" thickBot="1">
      <c r="A39" s="518"/>
      <c r="B39" s="515"/>
      <c r="C39" s="515"/>
      <c r="D39" s="518"/>
      <c r="E39" s="37"/>
      <c r="F39" s="735"/>
      <c r="G39" s="515"/>
      <c r="H39" s="515"/>
      <c r="I39" s="516"/>
      <c r="J39" s="515"/>
      <c r="K39" s="515"/>
      <c r="L39" s="517"/>
      <c r="M39" s="517"/>
      <c r="N39" s="517"/>
      <c r="O39" s="517"/>
      <c r="P39" s="517"/>
      <c r="Q39" s="722"/>
      <c r="R39" s="735"/>
      <c r="S39" s="736"/>
      <c r="T39" s="735"/>
      <c r="U39" s="518"/>
      <c r="V39" s="518"/>
      <c r="W39" s="518"/>
      <c r="X39" s="518"/>
      <c r="Y39" s="518"/>
      <c r="Z39" s="518"/>
      <c r="AA39" s="518"/>
      <c r="AB39" s="518"/>
      <c r="AC39" s="518"/>
      <c r="AD39" s="518"/>
      <c r="AE39" s="518"/>
      <c r="AF39" s="518"/>
      <c r="AG39" s="518"/>
      <c r="AH39" s="518"/>
      <c r="AI39" s="518"/>
      <c r="AJ39" s="518"/>
      <c r="AK39" s="518"/>
    </row>
    <row r="40" spans="1:41" s="501" customFormat="1" thickTop="1">
      <c r="A40" s="44"/>
      <c r="B40" s="44"/>
      <c r="C40" s="3"/>
      <c r="D40" s="3"/>
      <c r="E40" s="44"/>
      <c r="F40" s="44"/>
      <c r="G40" s="44"/>
      <c r="H40" s="44"/>
      <c r="I40" s="44"/>
      <c r="J40" s="44"/>
      <c r="K40" s="44" t="s">
        <v>134</v>
      </c>
      <c r="L40" s="44"/>
      <c r="M40" s="44"/>
      <c r="N40" s="44"/>
      <c r="O40" s="45"/>
      <c r="P40" s="44"/>
      <c r="Q40" s="44"/>
      <c r="R40" s="44"/>
      <c r="S40" s="44"/>
      <c r="T40" s="44"/>
    </row>
    <row r="41" spans="1:41" s="501" customFormat="1" ht="12">
      <c r="A41" s="44"/>
      <c r="B41" s="44"/>
      <c r="C41" s="44" t="s">
        <v>135</v>
      </c>
      <c r="D41" s="35"/>
      <c r="E41" s="44"/>
      <c r="F41" s="44"/>
      <c r="G41" s="44"/>
      <c r="H41" s="44"/>
      <c r="I41" s="44"/>
      <c r="J41" s="44"/>
      <c r="K41" s="44"/>
      <c r="L41" s="44"/>
      <c r="M41" s="44"/>
      <c r="N41" s="44"/>
      <c r="O41" s="45"/>
      <c r="P41" s="44"/>
      <c r="Q41" s="44"/>
      <c r="R41" s="44"/>
      <c r="S41" s="44"/>
      <c r="T41" s="44"/>
    </row>
    <row r="42" spans="1:41" s="501" customFormat="1" ht="12">
      <c r="A42" s="44"/>
      <c r="B42" s="44"/>
      <c r="C42" s="44"/>
      <c r="D42" s="35" t="s">
        <v>570</v>
      </c>
      <c r="E42" s="44"/>
      <c r="F42" s="44"/>
      <c r="G42" s="44"/>
      <c r="H42" s="44"/>
      <c r="I42" s="44"/>
      <c r="J42" s="44"/>
      <c r="K42" s="44"/>
      <c r="L42" s="44"/>
      <c r="M42" s="44"/>
      <c r="N42" s="44"/>
      <c r="O42" s="45"/>
      <c r="P42" s="44"/>
      <c r="Q42" s="44"/>
      <c r="R42" s="44"/>
      <c r="S42" s="36"/>
      <c r="T42" s="36"/>
    </row>
    <row r="43" spans="1:41" s="3" customFormat="1" thickBot="1">
      <c r="A43" s="518"/>
      <c r="O43" s="86"/>
    </row>
    <row r="44" spans="1:41" s="501" customFormat="1" thickTop="1">
      <c r="A44" s="44"/>
      <c r="B44" s="44"/>
      <c r="C44" s="3"/>
      <c r="D44" s="3"/>
      <c r="E44" s="44"/>
      <c r="F44" s="44"/>
      <c r="G44" s="44"/>
      <c r="H44" s="44"/>
      <c r="I44" s="44"/>
      <c r="J44" s="44"/>
      <c r="K44" s="44" t="s">
        <v>134</v>
      </c>
      <c r="L44" s="44"/>
      <c r="M44" s="44"/>
      <c r="N44" s="44"/>
      <c r="O44" s="45"/>
      <c r="P44" s="44"/>
      <c r="Q44" s="44"/>
      <c r="R44" s="44"/>
      <c r="S44" s="44"/>
      <c r="T44" s="44"/>
    </row>
    <row r="45" spans="1:41" s="501" customFormat="1" ht="12">
      <c r="A45" s="44"/>
      <c r="B45" s="44"/>
      <c r="C45" s="44" t="s">
        <v>135</v>
      </c>
      <c r="D45" s="35"/>
      <c r="E45" s="44"/>
      <c r="F45" s="44"/>
      <c r="G45" s="44"/>
      <c r="H45" s="44"/>
      <c r="I45" s="44"/>
      <c r="J45" s="44"/>
      <c r="K45" s="44"/>
      <c r="L45" s="44"/>
      <c r="M45" s="44"/>
      <c r="N45" s="44"/>
      <c r="O45" s="45"/>
      <c r="P45" s="44"/>
      <c r="Q45" s="44"/>
      <c r="R45" s="44"/>
      <c r="S45" s="44"/>
      <c r="T45" s="44"/>
    </row>
    <row r="46" spans="1:41" s="501" customFormat="1" ht="39.9" customHeight="1">
      <c r="A46" s="44"/>
      <c r="B46" s="44"/>
      <c r="C46" s="44"/>
      <c r="D46" s="1185" t="s">
        <v>888</v>
      </c>
      <c r="E46" s="1184"/>
      <c r="F46" s="1184"/>
      <c r="G46" s="1184"/>
      <c r="H46" s="1184"/>
      <c r="I46" s="1184"/>
      <c r="J46" s="1184"/>
      <c r="K46" s="1184"/>
      <c r="L46" s="1184"/>
      <c r="M46" s="1184"/>
      <c r="N46" s="1184"/>
      <c r="O46" s="1184"/>
      <c r="P46" s="1184"/>
      <c r="Q46" s="1184"/>
      <c r="R46" s="1184"/>
      <c r="S46" s="1184"/>
      <c r="T46" s="1184"/>
    </row>
    <row r="47" spans="1:41" s="3" customFormat="1" thickBot="1">
      <c r="A47" s="518"/>
      <c r="O47" s="86"/>
    </row>
    <row r="48" spans="1:41" s="501" customFormat="1" thickTop="1">
      <c r="A48" s="44"/>
      <c r="B48" s="44"/>
      <c r="C48" s="3"/>
      <c r="D48" s="3"/>
      <c r="E48" s="44"/>
      <c r="F48" s="44"/>
      <c r="G48" s="44"/>
      <c r="H48" s="44"/>
      <c r="I48" s="44"/>
      <c r="J48" s="44"/>
      <c r="K48" s="44" t="s">
        <v>134</v>
      </c>
      <c r="L48" s="44"/>
      <c r="M48" s="44"/>
      <c r="N48" s="44"/>
      <c r="O48" s="45"/>
      <c r="P48" s="44"/>
      <c r="Q48" s="44"/>
      <c r="R48" s="44"/>
      <c r="S48" s="44"/>
      <c r="T48" s="44"/>
    </row>
    <row r="49" spans="1:41" s="501" customFormat="1" ht="12">
      <c r="A49" s="44"/>
      <c r="B49" s="44"/>
      <c r="C49" s="44" t="s">
        <v>135</v>
      </c>
      <c r="D49" s="35"/>
      <c r="E49" s="44"/>
      <c r="F49" s="44"/>
      <c r="G49" s="44"/>
      <c r="H49" s="44"/>
      <c r="I49" s="44"/>
      <c r="J49" s="44"/>
      <c r="K49" s="44"/>
      <c r="L49" s="44"/>
      <c r="M49" s="44"/>
      <c r="N49" s="44"/>
      <c r="O49" s="45"/>
      <c r="P49" s="44"/>
      <c r="Q49" s="44"/>
      <c r="R49" s="44"/>
      <c r="S49" s="44"/>
      <c r="T49" s="44"/>
    </row>
    <row r="50" spans="1:41" s="501" customFormat="1" ht="12">
      <c r="A50" s="44"/>
      <c r="B50" s="44"/>
      <c r="C50" s="44"/>
      <c r="D50" s="35" t="s">
        <v>281</v>
      </c>
      <c r="E50" s="44"/>
      <c r="F50" s="44"/>
      <c r="G50" s="44"/>
      <c r="H50" s="44"/>
      <c r="I50" s="44"/>
      <c r="J50" s="44"/>
      <c r="K50" s="44"/>
      <c r="L50" s="44"/>
      <c r="M50" s="44"/>
      <c r="N50" s="44"/>
      <c r="O50" s="45"/>
      <c r="P50" s="44"/>
      <c r="Q50" s="44"/>
      <c r="R50" s="44"/>
      <c r="S50" s="36"/>
      <c r="T50" s="36"/>
    </row>
    <row r="51" spans="1:41" s="3" customFormat="1" thickBot="1">
      <c r="A51" s="518"/>
      <c r="O51" s="86"/>
    </row>
    <row r="52" spans="1:41" s="501" customFormat="1" thickTop="1">
      <c r="A52" s="44"/>
      <c r="B52" s="39"/>
      <c r="C52" s="44"/>
      <c r="E52" s="40" t="s">
        <v>138</v>
      </c>
      <c r="F52" s="40" t="s">
        <v>139</v>
      </c>
      <c r="G52" s="44"/>
      <c r="H52" s="44"/>
      <c r="I52" s="44"/>
      <c r="J52" s="44"/>
      <c r="K52" s="44" t="s">
        <v>140</v>
      </c>
      <c r="L52" s="737"/>
      <c r="M52" s="44"/>
      <c r="N52" s="44"/>
      <c r="O52" s="45"/>
      <c r="P52" s="44"/>
      <c r="Q52"/>
      <c r="R52" s="943" t="s">
        <v>881</v>
      </c>
      <c r="S52"/>
      <c r="T52" s="39"/>
      <c r="AG52" s="502" t="s">
        <v>247</v>
      </c>
      <c r="AH52" s="502" t="s">
        <v>248</v>
      </c>
      <c r="AI52" s="502" t="s">
        <v>249</v>
      </c>
      <c r="AJ52" s="502" t="s">
        <v>250</v>
      </c>
      <c r="AK52" s="502" t="s">
        <v>251</v>
      </c>
      <c r="AM52" s="710" t="s">
        <v>260</v>
      </c>
      <c r="AN52" s="711" t="s">
        <v>261</v>
      </c>
      <c r="AO52" s="503" t="s">
        <v>257</v>
      </c>
    </row>
    <row r="53" spans="1:41" s="501" customFormat="1" ht="13.2">
      <c r="A53" s="712">
        <v>3</v>
      </c>
      <c r="B53" s="504" t="s">
        <v>283</v>
      </c>
      <c r="C53" s="505"/>
      <c r="D53" s="713" t="s">
        <v>571</v>
      </c>
      <c r="E53" s="738">
        <f>IF(AND($A53=0,$A$1="DIF"),0,ROUND(ROUND(SUMIF($L55:$L77,"SUBI",$E55:$E77)/$A53,2)*$C$12,2))</f>
        <v>777.51</v>
      </c>
      <c r="F53" s="739">
        <f>ROUND($A53*$E53,2)</f>
        <v>2332.5300000000002</v>
      </c>
      <c r="G53" s="506" t="s">
        <v>142</v>
      </c>
      <c r="H53" s="498"/>
      <c r="I53" s="716"/>
      <c r="J53" s="498"/>
      <c r="K53" s="740"/>
      <c r="L53" s="741" t="s">
        <v>143</v>
      </c>
      <c r="M53" s="717"/>
      <c r="N53" s="717"/>
      <c r="O53" s="717"/>
      <c r="P53" s="717"/>
      <c r="Q53" s="943" t="s">
        <v>855</v>
      </c>
      <c r="R53" s="964" t="str">
        <f>D69</f>
        <v>Connecting up of chiller included in electrical BOQ</v>
      </c>
      <c r="S53"/>
      <c r="T53" s="742" t="str">
        <f>IF(AND($R83=0,$T83=0),"0.00","mu :" &amp; ROUND($F53/$C$12/($R83+$T83*$D$9),2))</f>
        <v>mu :1.35</v>
      </c>
      <c r="W53" s="507"/>
      <c r="AG53" s="743">
        <f>IF(A53=0,0,ROUND(SUM(AG55:AG83)/A53,2))</f>
        <v>384.55</v>
      </c>
      <c r="AH53" s="743">
        <f>$AG53*$A53</f>
        <v>1153.6500000000001</v>
      </c>
      <c r="AI53" s="743">
        <f>$E53-$AG53</f>
        <v>392.96</v>
      </c>
      <c r="AJ53" s="743">
        <f>$A53*$AI53</f>
        <v>1178.8799999999999</v>
      </c>
      <c r="AK53" s="744">
        <f>ROUND(($AG53+$AI53)*$A53,2)</f>
        <v>2332.5300000000002</v>
      </c>
      <c r="AM53" s="510">
        <f>ROUND(R83,2)</f>
        <v>854.57</v>
      </c>
      <c r="AN53" s="511">
        <f>ROUND(T83,2)</f>
        <v>31.8</v>
      </c>
      <c r="AO53" s="512">
        <f>ROUND(AM53+AN53,2)*A53</f>
        <v>2659.11</v>
      </c>
    </row>
    <row r="54" spans="1:41" s="501" customFormat="1" ht="39.9" customHeight="1">
      <c r="A54" s="745"/>
      <c r="B54" s="746"/>
      <c r="C54" s="505"/>
      <c r="D54" s="1183" t="s">
        <v>917</v>
      </c>
      <c r="E54" s="1184"/>
      <c r="F54" s="1184"/>
      <c r="G54" s="1184"/>
      <c r="H54" s="1184"/>
      <c r="I54" s="1184"/>
      <c r="J54" s="1184"/>
      <c r="K54" s="1184"/>
      <c r="L54" s="1184"/>
      <c r="M54" s="1184"/>
      <c r="N54" s="1184"/>
      <c r="O54" s="1184"/>
      <c r="P54" s="1184"/>
      <c r="Q54" s="1184"/>
      <c r="R54" s="1184"/>
      <c r="S54" s="1184"/>
      <c r="T54" s="1184"/>
    </row>
    <row r="55" spans="1:41" s="501" customFormat="1" ht="12">
      <c r="A55" s="748"/>
      <c r="B55" s="749"/>
      <c r="C55" s="497"/>
      <c r="D55" s="750"/>
      <c r="E55" s="751">
        <f>F53/$C$12-SUMIF($L52:$L83,"SUBI",$E52:$E83)</f>
        <v>1.0000000000218279E-2</v>
      </c>
      <c r="F55" s="752" t="s">
        <v>572</v>
      </c>
      <c r="G55" s="753"/>
      <c r="H55" s="753"/>
      <c r="I55" s="754"/>
      <c r="J55" s="753"/>
      <c r="K55" s="753"/>
      <c r="L55" s="755"/>
      <c r="M55" s="756"/>
      <c r="N55" s="756"/>
      <c r="O55" s="756"/>
      <c r="P55" s="756"/>
      <c r="Q55" s="757"/>
      <c r="R55" s="758"/>
      <c r="S55" s="757"/>
      <c r="T55" s="759"/>
    </row>
    <row r="56" spans="1:41" s="501" customFormat="1" ht="12" customHeight="1">
      <c r="A56" s="760"/>
      <c r="B56" s="761"/>
      <c r="C56" s="762"/>
      <c r="D56" s="762" t="str">
        <f>$F$2</f>
        <v>Electrical</v>
      </c>
      <c r="E56" s="762">
        <f>ROUND(($R71*$S$2 + ($T71*$T$2)), 2)</f>
        <v>2332.52</v>
      </c>
      <c r="F56" s="763">
        <f>$E56*$C$12</f>
        <v>2332.52</v>
      </c>
      <c r="G56" s="567"/>
      <c r="H56" s="764"/>
      <c r="I56" s="567"/>
      <c r="J56" s="45"/>
      <c r="K56" s="765" t="s">
        <v>3</v>
      </c>
      <c r="L56" s="766" t="s">
        <v>573</v>
      </c>
      <c r="M56" s="567"/>
      <c r="N56" s="567"/>
      <c r="O56" s="45"/>
      <c r="P56" s="567"/>
      <c r="Q56" s="567"/>
      <c r="R56"/>
      <c r="S56"/>
      <c r="T56"/>
    </row>
    <row r="57" spans="1:41" s="501" customFormat="1" ht="14.4" customHeight="1">
      <c r="A57" s="767"/>
      <c r="B57" s="768" t="s">
        <v>574</v>
      </c>
      <c r="C57" s="567"/>
      <c r="D57" s="903" t="s">
        <v>645</v>
      </c>
      <c r="E57" s="567"/>
      <c r="F57" s="567"/>
      <c r="G57" s="567"/>
      <c r="H57" s="764"/>
      <c r="I57" s="567"/>
      <c r="J57" s="45"/>
      <c r="K57" s="769"/>
      <c r="L57" s="770"/>
      <c r="M57" s="567"/>
      <c r="N57" s="567"/>
      <c r="O57" s="45"/>
      <c r="P57" s="567"/>
      <c r="Q57" s="567"/>
      <c r="R57" s="771">
        <f t="shared" ref="R57:R68" si="0">$A57*Q57</f>
        <v>0</v>
      </c>
      <c r="S57" s="567"/>
      <c r="T57" s="500">
        <f t="shared" ref="T57:T68" si="1">$A57*S57*$T$1</f>
        <v>0</v>
      </c>
    </row>
    <row r="58" spans="1:41" s="893" customFormat="1" ht="13.2">
      <c r="A58" s="87">
        <f>3 *(2)</f>
        <v>6</v>
      </c>
      <c r="B58" s="893" t="s">
        <v>296</v>
      </c>
      <c r="D58" s="893" t="s">
        <v>646</v>
      </c>
      <c r="G58" s="894" t="s">
        <v>647</v>
      </c>
      <c r="H58" s="895">
        <v>690</v>
      </c>
      <c r="I58" s="893" t="s">
        <v>648</v>
      </c>
      <c r="J58" s="893" t="s">
        <v>649</v>
      </c>
      <c r="O58" s="896">
        <v>1</v>
      </c>
      <c r="P58" s="897">
        <v>34669</v>
      </c>
      <c r="Q58" s="898">
        <v>1.86</v>
      </c>
      <c r="R58" s="899">
        <f t="shared" si="0"/>
        <v>11.16</v>
      </c>
      <c r="S58" s="898">
        <v>0.2</v>
      </c>
      <c r="T58" s="900">
        <f t="shared" si="1"/>
        <v>1.2000000000000002</v>
      </c>
    </row>
    <row r="59" spans="1:41" s="893" customFormat="1" ht="13.2">
      <c r="A59" s="87">
        <f>3 *(4)</f>
        <v>12</v>
      </c>
      <c r="B59" s="893" t="s">
        <v>296</v>
      </c>
      <c r="D59" s="893" t="s">
        <v>650</v>
      </c>
      <c r="G59" s="894" t="s">
        <v>651</v>
      </c>
      <c r="H59" s="895">
        <v>690</v>
      </c>
      <c r="I59" s="893" t="s">
        <v>648</v>
      </c>
      <c r="J59" s="893" t="s">
        <v>649</v>
      </c>
      <c r="O59" s="896">
        <v>1</v>
      </c>
      <c r="P59" s="897">
        <v>34669</v>
      </c>
      <c r="Q59" s="898">
        <v>0.98</v>
      </c>
      <c r="R59" s="899">
        <f t="shared" si="0"/>
        <v>11.76</v>
      </c>
      <c r="S59" s="898"/>
      <c r="T59" s="900">
        <f t="shared" si="1"/>
        <v>0</v>
      </c>
    </row>
    <row r="60" spans="1:41" s="893" customFormat="1" ht="13.2">
      <c r="A60" s="87">
        <f>3 *(10)</f>
        <v>30</v>
      </c>
      <c r="B60" s="893" t="s">
        <v>296</v>
      </c>
      <c r="D60" s="893" t="s">
        <v>652</v>
      </c>
      <c r="G60" s="894" t="s">
        <v>653</v>
      </c>
      <c r="H60" s="895">
        <v>690</v>
      </c>
      <c r="I60" s="893" t="s">
        <v>648</v>
      </c>
      <c r="J60" s="893" t="s">
        <v>649</v>
      </c>
      <c r="O60" s="896">
        <v>1</v>
      </c>
      <c r="P60" s="897">
        <v>34669</v>
      </c>
      <c r="Q60" s="898">
        <v>3.66</v>
      </c>
      <c r="R60" s="899">
        <f t="shared" si="0"/>
        <v>109.80000000000001</v>
      </c>
      <c r="S60" s="898">
        <v>0.2</v>
      </c>
      <c r="T60" s="900">
        <f t="shared" si="1"/>
        <v>6</v>
      </c>
    </row>
    <row r="61" spans="1:41" s="893" customFormat="1" ht="13.2">
      <c r="A61">
        <f>3 *(50)</f>
        <v>150</v>
      </c>
      <c r="B61" s="893" t="s">
        <v>296</v>
      </c>
      <c r="D61" s="893" t="s">
        <v>726</v>
      </c>
      <c r="F61" s="893" t="s">
        <v>727</v>
      </c>
      <c r="G61" s="894" t="s">
        <v>728</v>
      </c>
      <c r="H61" s="895">
        <v>617</v>
      </c>
      <c r="I61" s="893" t="s">
        <v>729</v>
      </c>
      <c r="J61" s="893" t="s">
        <v>730</v>
      </c>
      <c r="O61" s="896">
        <v>2</v>
      </c>
      <c r="P61" s="897">
        <v>38433</v>
      </c>
      <c r="Q61" s="898">
        <v>1.4524999999999999</v>
      </c>
      <c r="R61" s="899">
        <f>$A61*Q61</f>
        <v>217.87499999999997</v>
      </c>
      <c r="S61" s="898">
        <v>0.03</v>
      </c>
      <c r="T61" s="900">
        <f>$A61*S61*$T$1</f>
        <v>4.5</v>
      </c>
    </row>
    <row r="62" spans="1:41" s="893" customFormat="1" ht="13.2">
      <c r="A62">
        <f>3 *(1)</f>
        <v>3</v>
      </c>
      <c r="B62" s="893" t="s">
        <v>141</v>
      </c>
      <c r="D62" s="893" t="s">
        <v>658</v>
      </c>
      <c r="F62" s="893" t="s">
        <v>685</v>
      </c>
      <c r="G62" s="894" t="s">
        <v>659</v>
      </c>
      <c r="H62" s="895">
        <v>900</v>
      </c>
      <c r="I62" s="893" t="s">
        <v>660</v>
      </c>
      <c r="O62" s="896">
        <v>1</v>
      </c>
      <c r="P62" s="897"/>
      <c r="Q62" s="898"/>
      <c r="R62" s="899">
        <f t="shared" si="0"/>
        <v>0</v>
      </c>
      <c r="S62" s="898">
        <v>0.25</v>
      </c>
      <c r="T62" s="900">
        <f t="shared" si="1"/>
        <v>0.75</v>
      </c>
    </row>
    <row r="63" spans="1:41" s="501" customFormat="1" ht="14.4" customHeight="1">
      <c r="A63" s="767"/>
      <c r="B63" s="768" t="s">
        <v>574</v>
      </c>
      <c r="C63" s="567"/>
      <c r="D63" s="903" t="s">
        <v>661</v>
      </c>
      <c r="E63" s="567"/>
      <c r="F63" s="567"/>
      <c r="G63" s="567"/>
      <c r="H63" s="764"/>
      <c r="I63" s="567"/>
      <c r="J63" s="45"/>
      <c r="K63" s="769"/>
      <c r="L63" s="770"/>
      <c r="M63" s="567"/>
      <c r="N63" s="567"/>
      <c r="O63" s="45"/>
      <c r="P63" s="567"/>
      <c r="Q63" s="567"/>
      <c r="R63" s="771">
        <f t="shared" si="0"/>
        <v>0</v>
      </c>
      <c r="S63" s="567"/>
      <c r="T63" s="500">
        <f t="shared" si="1"/>
        <v>0</v>
      </c>
    </row>
    <row r="64" spans="1:41" s="893" customFormat="1" ht="13.2">
      <c r="A64" s="87">
        <f>3 *(2)</f>
        <v>6</v>
      </c>
      <c r="B64" s="893" t="s">
        <v>296</v>
      </c>
      <c r="D64" s="893" t="s">
        <v>646</v>
      </c>
      <c r="G64" s="894" t="s">
        <v>647</v>
      </c>
      <c r="H64" s="895">
        <v>690</v>
      </c>
      <c r="I64" s="893" t="s">
        <v>648</v>
      </c>
      <c r="J64" s="893" t="s">
        <v>649</v>
      </c>
      <c r="O64" s="896">
        <v>1</v>
      </c>
      <c r="P64" s="897">
        <v>34669</v>
      </c>
      <c r="Q64" s="898">
        <v>1.86</v>
      </c>
      <c r="R64" s="899">
        <f t="shared" si="0"/>
        <v>11.16</v>
      </c>
      <c r="S64" s="898">
        <v>0.2</v>
      </c>
      <c r="T64" s="900">
        <f t="shared" si="1"/>
        <v>1.2000000000000002</v>
      </c>
    </row>
    <row r="65" spans="1:33" s="893" customFormat="1" ht="13.2">
      <c r="A65" s="87">
        <f>3 *(4)</f>
        <v>12</v>
      </c>
      <c r="B65" s="893" t="s">
        <v>296</v>
      </c>
      <c r="D65" s="893" t="s">
        <v>650</v>
      </c>
      <c r="G65" s="894" t="s">
        <v>651</v>
      </c>
      <c r="H65" s="895">
        <v>690</v>
      </c>
      <c r="I65" s="893" t="s">
        <v>648</v>
      </c>
      <c r="J65" s="893" t="s">
        <v>649</v>
      </c>
      <c r="O65" s="896">
        <v>1</v>
      </c>
      <c r="P65" s="897">
        <v>34669</v>
      </c>
      <c r="Q65" s="898">
        <v>0.98</v>
      </c>
      <c r="R65" s="899">
        <f t="shared" si="0"/>
        <v>11.76</v>
      </c>
      <c r="S65" s="898"/>
      <c r="T65" s="900">
        <f t="shared" si="1"/>
        <v>0</v>
      </c>
    </row>
    <row r="66" spans="1:33" s="893" customFormat="1" ht="13.2">
      <c r="A66" s="87">
        <f>(2+5+10+3)*3</f>
        <v>60</v>
      </c>
      <c r="B66" s="893" t="s">
        <v>296</v>
      </c>
      <c r="D66" s="893" t="s">
        <v>652</v>
      </c>
      <c r="G66" s="894" t="s">
        <v>653</v>
      </c>
      <c r="H66" s="895">
        <v>690</v>
      </c>
      <c r="I66" s="893" t="s">
        <v>648</v>
      </c>
      <c r="J66" s="893" t="s">
        <v>649</v>
      </c>
      <c r="O66" s="896">
        <v>1</v>
      </c>
      <c r="P66" s="897">
        <v>34669</v>
      </c>
      <c r="Q66" s="898">
        <v>3.66</v>
      </c>
      <c r="R66" s="899">
        <f t="shared" si="0"/>
        <v>219.60000000000002</v>
      </c>
      <c r="S66" s="898">
        <v>0.2</v>
      </c>
      <c r="T66" s="900">
        <f t="shared" si="1"/>
        <v>12</v>
      </c>
    </row>
    <row r="67" spans="1:33" s="893" customFormat="1" ht="13.2">
      <c r="A67" s="87">
        <f>3 *(60)</f>
        <v>180</v>
      </c>
      <c r="B67" s="893" t="s">
        <v>296</v>
      </c>
      <c r="D67" s="893" t="s">
        <v>726</v>
      </c>
      <c r="F67" s="893" t="s">
        <v>727</v>
      </c>
      <c r="G67" s="894" t="s">
        <v>728</v>
      </c>
      <c r="H67" s="895">
        <v>617</v>
      </c>
      <c r="I67" s="893" t="s">
        <v>729</v>
      </c>
      <c r="J67" s="893" t="s">
        <v>730</v>
      </c>
      <c r="O67" s="896">
        <v>2</v>
      </c>
      <c r="P67" s="897">
        <v>38433</v>
      </c>
      <c r="Q67" s="898">
        <v>1.4524999999999999</v>
      </c>
      <c r="R67" s="899">
        <f t="shared" si="0"/>
        <v>261.45</v>
      </c>
      <c r="S67" s="898">
        <v>0.03</v>
      </c>
      <c r="T67" s="900">
        <f t="shared" si="1"/>
        <v>5.3999999999999995</v>
      </c>
    </row>
    <row r="68" spans="1:33" s="893" customFormat="1" ht="13.2">
      <c r="A68" s="87">
        <f>3 *(1)</f>
        <v>3</v>
      </c>
      <c r="B68" s="893" t="s">
        <v>141</v>
      </c>
      <c r="D68" s="893" t="s">
        <v>658</v>
      </c>
      <c r="G68" s="894" t="s">
        <v>659</v>
      </c>
      <c r="H68" s="895">
        <v>900</v>
      </c>
      <c r="I68" s="893" t="s">
        <v>660</v>
      </c>
      <c r="O68" s="896">
        <v>1</v>
      </c>
      <c r="P68" s="897"/>
      <c r="Q68" s="898"/>
      <c r="R68" s="899">
        <f t="shared" si="0"/>
        <v>0</v>
      </c>
      <c r="S68" s="898">
        <v>0.25</v>
      </c>
      <c r="T68" s="900">
        <f t="shared" si="1"/>
        <v>0.75</v>
      </c>
    </row>
    <row r="69" spans="1:33" s="893" customFormat="1" ht="13.2">
      <c r="A69"/>
      <c r="D69" s="903" t="s">
        <v>843</v>
      </c>
      <c r="G69" s="894"/>
      <c r="H69" s="895"/>
      <c r="O69" s="896"/>
      <c r="P69" s="897"/>
      <c r="Q69" s="898"/>
      <c r="R69" s="899"/>
      <c r="S69" s="898"/>
      <c r="T69" s="900"/>
    </row>
    <row r="70" spans="1:33" s="501" customFormat="1" ht="14.4" customHeight="1">
      <c r="A70" s="767"/>
      <c r="B70" s="567"/>
      <c r="C70" s="567"/>
      <c r="D70" s="567"/>
      <c r="E70" s="567"/>
      <c r="F70" s="567"/>
      <c r="G70" s="567"/>
      <c r="H70" s="764"/>
      <c r="I70" s="567"/>
      <c r="J70" s="45"/>
      <c r="K70" s="769"/>
      <c r="L70" s="770"/>
      <c r="M70" s="567"/>
      <c r="N70" s="567"/>
      <c r="O70" s="45"/>
      <c r="P70" s="567"/>
      <c r="Q70" s="567"/>
      <c r="R70" s="771">
        <f>$A70*Q70</f>
        <v>0</v>
      </c>
      <c r="S70" s="567"/>
      <c r="T70" s="500">
        <f>$A70*S70*$T$1</f>
        <v>0</v>
      </c>
    </row>
    <row r="71" spans="1:33" s="501" customFormat="1" ht="12">
      <c r="A71" s="772" t="s">
        <v>145</v>
      </c>
      <c r="B71" s="773">
        <f>(R70+T70)</f>
        <v>0</v>
      </c>
      <c r="C71" s="753"/>
      <c r="G71" s="774"/>
      <c r="H71" s="774"/>
      <c r="I71" s="774"/>
      <c r="J71" s="774"/>
      <c r="K71" s="750" t="s">
        <v>3</v>
      </c>
      <c r="L71" s="775" t="s">
        <v>573</v>
      </c>
      <c r="M71" s="774"/>
      <c r="N71" s="774"/>
      <c r="O71" s="774"/>
      <c r="P71" s="774"/>
      <c r="Q71" s="776"/>
      <c r="R71" s="777">
        <f>SUM(R56:R70)</f>
        <v>854.56500000000005</v>
      </c>
      <c r="S71" s="778"/>
      <c r="T71" s="777">
        <f>SUM(T56:T70)</f>
        <v>31.799999999999997</v>
      </c>
      <c r="AG71" s="779">
        <f>ROUND($R71*$S$2,2)</f>
        <v>1153.6600000000001</v>
      </c>
    </row>
    <row r="72" spans="1:33" s="501" customFormat="1" ht="12" customHeight="1">
      <c r="A72" s="760"/>
      <c r="B72" s="780"/>
      <c r="C72" s="781"/>
      <c r="D72" s="782" t="str">
        <f>$F$3</f>
        <v>Technician</v>
      </c>
      <c r="E72" s="782">
        <f>ROUND(($R76*$S$3 + ($T76*$T$3)), 2)</f>
        <v>0</v>
      </c>
      <c r="F72" s="783">
        <f>$E72*$C$12</f>
        <v>0</v>
      </c>
      <c r="G72" s="499"/>
      <c r="H72" s="499"/>
      <c r="I72" s="499"/>
      <c r="J72" s="499"/>
      <c r="K72" s="765" t="s">
        <v>5</v>
      </c>
      <c r="L72" s="766" t="s">
        <v>573</v>
      </c>
      <c r="M72" s="499"/>
      <c r="N72" s="499"/>
      <c r="O72" s="499"/>
      <c r="P72" s="499"/>
      <c r="Q72" s="499"/>
      <c r="R72" s="784"/>
      <c r="S72" s="499"/>
      <c r="T72" s="784"/>
    </row>
    <row r="73" spans="1:33" s="797" customFormat="1" ht="15.6" customHeight="1">
      <c r="A73" s="785"/>
      <c r="B73" s="768" t="s">
        <v>575</v>
      </c>
      <c r="C73" s="786"/>
      <c r="D73" s="787"/>
      <c r="E73" s="787"/>
      <c r="F73" s="787"/>
      <c r="G73" s="788"/>
      <c r="H73" s="789"/>
      <c r="I73" s="789"/>
      <c r="J73" s="790"/>
      <c r="K73" s="791"/>
      <c r="L73" s="786"/>
      <c r="M73" s="792"/>
      <c r="N73" s="793"/>
      <c r="O73" s="794"/>
      <c r="P73" s="795"/>
      <c r="Q73" s="796"/>
      <c r="R73" s="771">
        <f>$A73*Q73</f>
        <v>0</v>
      </c>
      <c r="S73" s="567"/>
      <c r="T73" s="500">
        <f>$A73*S73*$T$1</f>
        <v>0</v>
      </c>
    </row>
    <row r="74" spans="1:33" s="501" customFormat="1" ht="15.6" customHeight="1">
      <c r="A74" s="767"/>
      <c r="B74" s="567"/>
      <c r="C74" s="567"/>
      <c r="D74" s="567"/>
      <c r="E74" s="567"/>
      <c r="F74" s="567"/>
      <c r="G74" s="567"/>
      <c r="H74" s="567"/>
      <c r="I74" s="567"/>
      <c r="J74" s="567"/>
      <c r="K74" s="567"/>
      <c r="L74" s="770"/>
      <c r="M74" s="567"/>
      <c r="N74" s="567"/>
      <c r="O74" s="567"/>
      <c r="P74" s="567"/>
      <c r="Q74" s="567"/>
      <c r="R74" s="771">
        <f>$A74*Q74</f>
        <v>0</v>
      </c>
      <c r="S74" s="567"/>
      <c r="T74" s="500">
        <f>$A74*S74*$T$1</f>
        <v>0</v>
      </c>
    </row>
    <row r="75" spans="1:33" s="501" customFormat="1" ht="15.6" customHeight="1">
      <c r="A75" s="767"/>
      <c r="B75" s="567"/>
      <c r="C75" s="567"/>
      <c r="D75" s="3"/>
      <c r="E75" s="567"/>
      <c r="F75" s="567"/>
      <c r="G75" s="567"/>
      <c r="H75" s="567"/>
      <c r="I75" s="567"/>
      <c r="J75" s="567"/>
      <c r="K75" s="567"/>
      <c r="L75" s="770"/>
      <c r="M75" s="567"/>
      <c r="N75" s="567"/>
      <c r="O75" s="567"/>
      <c r="P75" s="567"/>
      <c r="Q75" s="567"/>
      <c r="R75" s="771">
        <f>$A75*Q75</f>
        <v>0</v>
      </c>
      <c r="S75" s="567"/>
      <c r="T75" s="500">
        <f>$A75*S75*$T$1</f>
        <v>0</v>
      </c>
    </row>
    <row r="76" spans="1:33" s="501" customFormat="1" ht="12">
      <c r="A76" s="772" t="s">
        <v>145</v>
      </c>
      <c r="B76" s="773">
        <f>(R75+T75)</f>
        <v>0</v>
      </c>
      <c r="C76" s="753"/>
      <c r="G76" s="774"/>
      <c r="H76" s="774"/>
      <c r="I76" s="774"/>
      <c r="J76" s="774"/>
      <c r="K76" s="798" t="s">
        <v>5</v>
      </c>
      <c r="L76" s="775" t="s">
        <v>573</v>
      </c>
      <c r="M76" s="774"/>
      <c r="N76" s="774"/>
      <c r="O76" s="774"/>
      <c r="P76" s="774"/>
      <c r="Q76" s="776"/>
      <c r="R76" s="777">
        <f>SUM(R72:R75)</f>
        <v>0</v>
      </c>
      <c r="S76" s="778"/>
      <c r="T76" s="777">
        <f>SUM(T72:T75)</f>
        <v>0</v>
      </c>
      <c r="AG76" s="799">
        <f>ROUND($R76*$S$3,2)</f>
        <v>0</v>
      </c>
    </row>
    <row r="77" spans="1:33" s="501" customFormat="1" ht="12" customHeight="1">
      <c r="A77" s="800"/>
      <c r="B77" s="801"/>
      <c r="C77" s="802"/>
      <c r="D77" s="803" t="str">
        <f>$F$4</f>
        <v>Engineer (Man Hours)</v>
      </c>
      <c r="E77" s="803">
        <f>ROUND(($R81*$S$4 + ($T81*$T$4)), 2)</f>
        <v>0</v>
      </c>
      <c r="F77" s="804">
        <f ca="1">$F53-SUMIF($L55:$P74,"SUBI",$F55:$F74)</f>
        <v>1.0000000000218279E-2</v>
      </c>
      <c r="G77" s="499"/>
      <c r="H77" s="499"/>
      <c r="I77" s="499"/>
      <c r="J77" s="499"/>
      <c r="K77" s="805" t="s">
        <v>8</v>
      </c>
      <c r="L77" s="766" t="s">
        <v>573</v>
      </c>
      <c r="M77" s="499"/>
      <c r="N77" s="499"/>
      <c r="O77" s="499"/>
      <c r="P77" s="499"/>
      <c r="Q77" s="499"/>
      <c r="R77" s="784"/>
      <c r="S77" s="499"/>
      <c r="T77" s="784"/>
    </row>
    <row r="78" spans="1:33" s="797" customFormat="1" ht="14.4" customHeight="1">
      <c r="A78" s="785"/>
      <c r="B78" s="768" t="s">
        <v>576</v>
      </c>
      <c r="C78" s="786"/>
      <c r="D78" s="787"/>
      <c r="E78" s="787"/>
      <c r="F78" s="787"/>
      <c r="G78" s="788"/>
      <c r="H78" s="789"/>
      <c r="I78" s="789"/>
      <c r="J78" s="790"/>
      <c r="K78" s="791"/>
      <c r="L78" s="786"/>
      <c r="M78" s="792"/>
      <c r="N78" s="793"/>
      <c r="O78" s="806"/>
      <c r="P78" s="795"/>
      <c r="Q78" s="796"/>
      <c r="R78" s="720">
        <f>$A78*Q78</f>
        <v>0</v>
      </c>
      <c r="S78" s="796"/>
      <c r="T78" s="500">
        <f>$A78*S78*$T$1</f>
        <v>0</v>
      </c>
    </row>
    <row r="79" spans="1:33" s="501" customFormat="1" ht="12">
      <c r="A79" s="44"/>
      <c r="B79" s="497"/>
      <c r="C79" s="497"/>
      <c r="D79" s="807"/>
      <c r="E79" s="808"/>
      <c r="F79" s="499"/>
      <c r="G79" s="499"/>
      <c r="H79" s="499"/>
      <c r="I79" s="499"/>
      <c r="J79" s="499"/>
      <c r="K79" s="499"/>
      <c r="L79" s="809"/>
      <c r="M79" s="499"/>
      <c r="N79" s="499"/>
      <c r="O79" s="499"/>
      <c r="P79" s="499"/>
      <c r="Q79" s="499"/>
      <c r="R79" s="720">
        <f>$A79*Q79</f>
        <v>0</v>
      </c>
      <c r="S79" s="499"/>
      <c r="T79" s="500">
        <f>$A79*S79*$T$1</f>
        <v>0</v>
      </c>
    </row>
    <row r="80" spans="1:33" s="501" customFormat="1" ht="12">
      <c r="A80" s="44"/>
      <c r="B80" s="497"/>
      <c r="C80" s="497"/>
      <c r="D80" s="807"/>
      <c r="E80" s="808"/>
      <c r="F80" s="499"/>
      <c r="G80" s="499"/>
      <c r="H80" s="499"/>
      <c r="I80" s="499"/>
      <c r="J80" s="499"/>
      <c r="K80" s="499"/>
      <c r="L80" s="809"/>
      <c r="M80" s="499"/>
      <c r="N80" s="499"/>
      <c r="O80" s="499"/>
      <c r="P80" s="499"/>
      <c r="Q80" s="499"/>
      <c r="R80" s="720">
        <f>$A80*Q80</f>
        <v>0</v>
      </c>
      <c r="S80" s="499"/>
      <c r="T80" s="500">
        <f>$A80*S80*$T$1</f>
        <v>0</v>
      </c>
    </row>
    <row r="81" spans="1:41" s="501" customFormat="1" ht="12.75" customHeight="1">
      <c r="A81" s="772" t="s">
        <v>145</v>
      </c>
      <c r="B81" s="773">
        <f>(R80+T80)</f>
        <v>0</v>
      </c>
      <c r="C81" s="810"/>
      <c r="D81" s="810"/>
      <c r="E81" s="810"/>
      <c r="F81" s="810"/>
      <c r="G81" s="776"/>
      <c r="H81" s="776"/>
      <c r="I81" s="776"/>
      <c r="J81" s="776"/>
      <c r="K81" s="798" t="s">
        <v>8</v>
      </c>
      <c r="L81" s="811" t="s">
        <v>573</v>
      </c>
      <c r="M81" s="776"/>
      <c r="N81" s="776"/>
      <c r="O81" s="776"/>
      <c r="P81" s="776"/>
      <c r="Q81" s="776"/>
      <c r="R81" s="777">
        <f>SUM(R77:R80)</f>
        <v>0</v>
      </c>
      <c r="S81" s="778"/>
      <c r="T81" s="777">
        <f>SUM(T77:T80)</f>
        <v>0</v>
      </c>
      <c r="AG81" s="812">
        <f>ROUND($R81*$S$4,2)</f>
        <v>0</v>
      </c>
    </row>
    <row r="82" spans="1:41" s="501" customFormat="1" ht="12.75" customHeight="1">
      <c r="A82" s="813"/>
      <c r="B82" s="814"/>
      <c r="E82" s="497"/>
      <c r="F82" s="808"/>
      <c r="G82" s="497"/>
      <c r="H82" s="497"/>
      <c r="I82" s="499"/>
      <c r="J82" s="497"/>
      <c r="K82" s="497"/>
      <c r="L82" s="815"/>
      <c r="M82" s="725"/>
      <c r="N82" s="725"/>
      <c r="O82" s="725"/>
      <c r="P82" s="725"/>
      <c r="Q82" s="726"/>
      <c r="R82" s="784"/>
      <c r="S82" s="497"/>
      <c r="T82" s="784"/>
    </row>
    <row r="83" spans="1:41" s="501" customFormat="1" ht="13.5" customHeight="1" thickBot="1">
      <c r="A83" s="816"/>
      <c r="B83" s="817"/>
      <c r="C83" s="518"/>
      <c r="D83" s="518"/>
      <c r="E83" s="515"/>
      <c r="F83" s="721"/>
      <c r="G83" s="515" t="s">
        <v>146</v>
      </c>
      <c r="H83" s="515"/>
      <c r="I83" s="516"/>
      <c r="J83" s="515"/>
      <c r="K83" s="515"/>
      <c r="L83" s="818" t="s">
        <v>143</v>
      </c>
      <c r="M83" s="517"/>
      <c r="N83" s="517"/>
      <c r="O83" s="517"/>
      <c r="P83" s="517"/>
      <c r="Q83" s="722"/>
      <c r="R83" s="819">
        <f>SUMIF($L54:$L82,"SUBI",R54:R82)</f>
        <v>854.56500000000005</v>
      </c>
      <c r="S83" s="820"/>
      <c r="T83" s="819">
        <f>SUMIF($L54:$L82,"SUBI",T54:T82)</f>
        <v>31.799999999999997</v>
      </c>
      <c r="U83" s="518"/>
      <c r="V83" s="518"/>
      <c r="W83" s="518"/>
      <c r="X83" s="518"/>
      <c r="Y83" s="518"/>
      <c r="Z83" s="518"/>
      <c r="AA83" s="518"/>
      <c r="AB83" s="518"/>
      <c r="AC83" s="518"/>
      <c r="AD83" s="518"/>
      <c r="AE83" s="518"/>
      <c r="AF83" s="518"/>
      <c r="AG83" s="518"/>
      <c r="AH83" s="518"/>
      <c r="AI83" s="518"/>
      <c r="AJ83" s="518"/>
      <c r="AK83" s="518"/>
      <c r="AL83" s="518"/>
      <c r="AM83" s="518"/>
      <c r="AN83" s="518"/>
      <c r="AO83" s="518"/>
    </row>
    <row r="84" spans="1:41" s="501" customFormat="1" thickTop="1">
      <c r="A84" s="44"/>
      <c r="B84" s="44"/>
      <c r="C84" s="3"/>
      <c r="D84" s="3"/>
      <c r="E84" s="44"/>
      <c r="F84" s="44"/>
      <c r="G84" s="44"/>
      <c r="H84" s="44"/>
      <c r="I84" s="44"/>
      <c r="J84" s="44"/>
      <c r="K84" s="44" t="s">
        <v>134</v>
      </c>
      <c r="L84" s="44"/>
      <c r="M84" s="44"/>
      <c r="N84" s="44"/>
      <c r="O84" s="45"/>
      <c r="P84" s="44"/>
      <c r="Q84" s="44"/>
      <c r="R84" s="44"/>
      <c r="S84" s="44"/>
      <c r="T84" s="44"/>
    </row>
    <row r="85" spans="1:41" s="501" customFormat="1" ht="12">
      <c r="A85" s="44"/>
      <c r="B85" s="44"/>
      <c r="C85" s="44" t="s">
        <v>135</v>
      </c>
      <c r="D85" s="35" t="s">
        <v>595</v>
      </c>
      <c r="E85" s="44"/>
      <c r="F85" s="44"/>
      <c r="G85" s="44"/>
      <c r="H85" s="44"/>
      <c r="I85" s="44"/>
      <c r="J85" s="44"/>
      <c r="K85" s="44"/>
      <c r="L85" s="44"/>
      <c r="M85" s="44"/>
      <c r="N85" s="44"/>
      <c r="O85" s="45"/>
      <c r="P85" s="44"/>
      <c r="Q85" s="44"/>
      <c r="R85" s="44"/>
      <c r="S85" s="44"/>
      <c r="T85" s="44"/>
    </row>
    <row r="86" spans="1:41" s="501" customFormat="1" ht="12">
      <c r="A86" s="44"/>
      <c r="B86" s="44"/>
      <c r="C86" s="44"/>
      <c r="D86" s="35" t="s">
        <v>303</v>
      </c>
      <c r="E86" s="44"/>
      <c r="F86" s="44"/>
      <c r="G86" s="44"/>
      <c r="H86" s="44"/>
      <c r="I86" s="44"/>
      <c r="J86" s="44"/>
      <c r="K86" s="44"/>
      <c r="L86" s="44"/>
      <c r="M86" s="44"/>
      <c r="N86" s="44"/>
      <c r="O86" s="45"/>
      <c r="P86" s="44"/>
      <c r="Q86" s="44"/>
      <c r="R86" s="44"/>
      <c r="S86" s="36"/>
      <c r="T86" s="36"/>
    </row>
    <row r="87" spans="1:41" s="3" customFormat="1" thickBot="1">
      <c r="A87" s="518"/>
      <c r="O87" s="86"/>
    </row>
    <row r="88" spans="1:41" s="501" customFormat="1" thickTop="1">
      <c r="A88" s="44"/>
      <c r="B88" s="39"/>
      <c r="C88" s="44"/>
      <c r="E88" s="40" t="s">
        <v>138</v>
      </c>
      <c r="F88" s="40" t="s">
        <v>139</v>
      </c>
      <c r="G88" s="44"/>
      <c r="H88" s="44"/>
      <c r="I88" s="44"/>
      <c r="J88" s="44"/>
      <c r="K88" s="44" t="s">
        <v>140</v>
      </c>
      <c r="L88" s="737"/>
      <c r="M88" s="44"/>
      <c r="N88" s="44"/>
      <c r="O88" s="45"/>
      <c r="P88" s="44"/>
      <c r="Q88"/>
      <c r="R88"/>
      <c r="S88"/>
      <c r="T88" s="39"/>
      <c r="AG88" s="502" t="s">
        <v>247</v>
      </c>
      <c r="AH88" s="502" t="s">
        <v>248</v>
      </c>
      <c r="AI88" s="502" t="s">
        <v>249</v>
      </c>
      <c r="AJ88" s="502" t="s">
        <v>250</v>
      </c>
      <c r="AK88" s="502" t="s">
        <v>251</v>
      </c>
      <c r="AM88" s="710" t="s">
        <v>260</v>
      </c>
      <c r="AN88" s="711" t="s">
        <v>261</v>
      </c>
      <c r="AO88" s="503" t="s">
        <v>257</v>
      </c>
    </row>
    <row r="89" spans="1:41" s="501" customFormat="1" ht="13.2">
      <c r="A89" s="712">
        <v>3</v>
      </c>
      <c r="B89" s="504" t="s">
        <v>283</v>
      </c>
      <c r="C89" s="505"/>
      <c r="D89" s="713" t="s">
        <v>918</v>
      </c>
      <c r="E89" s="738">
        <f ca="1">IF(AND($A89=0,$A$1="DIF"),0, ROUND(ROUND(SUMIF($L91:$L97,"SUBI",$E91:$E97)/$A89,2)*$C$12,2))</f>
        <v>3991.72</v>
      </c>
      <c r="F89" s="739">
        <f ca="1">ROUND($A89*$E89,2)</f>
        <v>11975.16</v>
      </c>
      <c r="G89" s="506" t="s">
        <v>142</v>
      </c>
      <c r="H89" s="498"/>
      <c r="I89" s="716"/>
      <c r="J89" s="498"/>
      <c r="K89" s="740"/>
      <c r="L89" s="741" t="s">
        <v>143</v>
      </c>
      <c r="M89" s="717"/>
      <c r="N89" s="717"/>
      <c r="O89" s="717"/>
      <c r="P89" s="717"/>
      <c r="Q89" s="943" t="s">
        <v>855</v>
      </c>
      <c r="R89" s="943" t="s">
        <v>880</v>
      </c>
      <c r="S89"/>
      <c r="T89" s="742" t="str">
        <f ca="1">IF(AND($R102=0,$T102=0),"0.00","mu :" &amp; ROUND($F89/$C$12/($R102+$T102*$D$9),2))</f>
        <v>mu :1.35</v>
      </c>
      <c r="W89" s="507"/>
      <c r="AG89" s="743">
        <f ca="1">IF(A89=0,0,ROUND(SUM(AG91:AG102)/A89,2))</f>
        <v>3946.2</v>
      </c>
      <c r="AH89" s="743">
        <f ca="1">$AG89*$A89</f>
        <v>11838.599999999999</v>
      </c>
      <c r="AI89" s="743">
        <f ca="1">$E89-$AG89</f>
        <v>45.519999999999982</v>
      </c>
      <c r="AJ89" s="743">
        <f ca="1">$A89*$AI89</f>
        <v>136.55999999999995</v>
      </c>
      <c r="AK89" s="744">
        <f ca="1">ROUND(($AG89+$AI89)*$A89,2)</f>
        <v>11975.16</v>
      </c>
      <c r="AM89" s="510">
        <f ca="1">ROUND(R102,2)</f>
        <v>8769.33</v>
      </c>
      <c r="AN89" s="511">
        <f ca="1">ROUND(T102,2)</f>
        <v>3</v>
      </c>
      <c r="AO89" s="512">
        <f ca="1">ROUND(AM89+AN89,2)*A89</f>
        <v>26316.989999999998</v>
      </c>
    </row>
    <row r="90" spans="1:41" s="501" customFormat="1" ht="19.95" customHeight="1">
      <c r="A90" s="745"/>
      <c r="B90" s="746"/>
      <c r="C90" s="505"/>
      <c r="D90" s="724" t="s">
        <v>319</v>
      </c>
      <c r="F90" s="498"/>
      <c r="G90" s="498"/>
      <c r="H90" s="498"/>
      <c r="I90" s="716"/>
      <c r="J90" s="498"/>
      <c r="K90" s="498" t="s">
        <v>144</v>
      </c>
      <c r="L90" s="747"/>
      <c r="M90" s="498"/>
      <c r="N90" s="498"/>
      <c r="O90" s="498"/>
      <c r="P90" s="498"/>
      <c r="Q90" s="44"/>
      <c r="R90" s="567"/>
      <c r="S90" s="719"/>
      <c r="T90" s="498"/>
    </row>
    <row r="91" spans="1:41" s="501" customFormat="1" ht="12">
      <c r="A91" s="821"/>
      <c r="B91" s="822"/>
      <c r="C91" s="497"/>
      <c r="D91" s="498"/>
      <c r="E91" s="823">
        <f ca="1">F89/$C$12-SUMIF($L88:$L102,"SUBI",$E88:$E102)</f>
        <v>0</v>
      </c>
      <c r="F91" s="824" t="s">
        <v>572</v>
      </c>
      <c r="G91" s="753"/>
      <c r="H91" s="753"/>
      <c r="I91" s="754"/>
      <c r="J91" s="753"/>
      <c r="K91" s="753"/>
      <c r="L91" s="755"/>
      <c r="M91" s="756"/>
      <c r="N91" s="756"/>
      <c r="O91" s="756"/>
      <c r="P91" s="756"/>
      <c r="Q91" s="757"/>
      <c r="R91" s="758"/>
      <c r="S91" s="757"/>
      <c r="T91" s="759"/>
    </row>
    <row r="92" spans="1:41" s="501" customFormat="1" ht="12" customHeight="1">
      <c r="A92" s="760"/>
      <c r="B92" s="761"/>
      <c r="C92" s="762"/>
      <c r="D92" s="762" t="str">
        <f>$F$2</f>
        <v>Electrical</v>
      </c>
      <c r="E92" s="762">
        <f ca="1">ROUND(($R96*$S$2 + ($T96*$T$2)), 2)</f>
        <v>0</v>
      </c>
      <c r="F92" s="763">
        <f ca="1">$E92*$C$12</f>
        <v>0</v>
      </c>
      <c r="G92" s="567"/>
      <c r="H92" s="764"/>
      <c r="I92" s="567"/>
      <c r="J92" s="45"/>
      <c r="K92" s="765" t="s">
        <v>3</v>
      </c>
      <c r="L92" s="766" t="s">
        <v>573</v>
      </c>
      <c r="M92" s="567"/>
      <c r="N92" s="567"/>
      <c r="O92" s="45"/>
      <c r="P92" s="567"/>
      <c r="Q92" s="943" t="s">
        <v>1098</v>
      </c>
      <c r="R92"/>
      <c r="S92"/>
      <c r="T92"/>
    </row>
    <row r="93" spans="1:41" s="935" customFormat="1" ht="13.2">
      <c r="A93" s="1144"/>
      <c r="B93" s="1145"/>
      <c r="C93" s="1145" t="s">
        <v>735</v>
      </c>
      <c r="D93" s="1145" t="str">
        <f ca="1">CELL("Address",Elec_Rates!D$97)</f>
        <v>[E25_0465_IH_Retro_Elec4Mech_Est_Rev_A.xlsx]Elec_Rates!$D$97</v>
      </c>
      <c r="E93" s="1146"/>
      <c r="F93" s="1146"/>
      <c r="G93" s="1147" t="s">
        <v>736</v>
      </c>
      <c r="H93" s="1147"/>
      <c r="I93" s="1147"/>
      <c r="J93" s="1147"/>
      <c r="K93" s="1148"/>
      <c r="L93" s="1146"/>
      <c r="M93" s="1146"/>
      <c r="N93" s="1146"/>
      <c r="O93" s="1149"/>
      <c r="P93" s="1146"/>
      <c r="Q93" s="1150"/>
      <c r="R93" s="1151"/>
      <c r="S93" s="1150"/>
      <c r="T93" s="1152"/>
      <c r="U93" s="934"/>
    </row>
    <row r="94" spans="1:41" s="935" customFormat="1" ht="11.4">
      <c r="A94" s="1153">
        <v>0</v>
      </c>
      <c r="B94" s="1154">
        <v>1</v>
      </c>
      <c r="C94" s="1154">
        <f>$A94*$B94</f>
        <v>0</v>
      </c>
      <c r="D94" s="1155" t="str">
        <f>Elec_Rates!$D$97</f>
        <v>009# Energy Meter M-Bus</v>
      </c>
      <c r="E94" s="1155"/>
      <c r="F94" s="1155" t="s">
        <v>737</v>
      </c>
      <c r="G94" s="1156" t="s">
        <v>738</v>
      </c>
      <c r="H94" s="1156"/>
      <c r="I94" s="1156"/>
      <c r="J94" s="1156"/>
      <c r="K94" s="1157"/>
      <c r="L94" s="1158"/>
      <c r="M94" s="1158"/>
      <c r="N94" s="1158"/>
      <c r="O94" s="1159"/>
      <c r="P94" s="1155"/>
      <c r="Q94" s="1160">
        <f ca="1">$B94*Elec_Rates!$R$97</f>
        <v>226.8</v>
      </c>
      <c r="R94" s="1151">
        <f ca="1">$A94*Q94</f>
        <v>0</v>
      </c>
      <c r="S94" s="1160">
        <f ca="1">$B94*Elec_Rates!$T$97</f>
        <v>11.7</v>
      </c>
      <c r="T94" s="1152">
        <f ca="1">$A94*S94</f>
        <v>0</v>
      </c>
      <c r="U94" s="484"/>
    </row>
    <row r="95" spans="1:41" s="501" customFormat="1" ht="13.95" customHeight="1">
      <c r="A95" s="767"/>
      <c r="B95" s="567"/>
      <c r="C95" s="567"/>
      <c r="D95" s="567"/>
      <c r="E95" s="567"/>
      <c r="F95" s="567"/>
      <c r="G95" s="567"/>
      <c r="H95" s="764"/>
      <c r="I95" s="567"/>
      <c r="J95" s="45"/>
      <c r="K95" s="769"/>
      <c r="L95" s="770"/>
      <c r="M95" s="567"/>
      <c r="N95" s="567"/>
      <c r="O95" s="45"/>
      <c r="P95" s="567"/>
      <c r="Q95" s="567"/>
      <c r="R95" s="771">
        <f>$A95*Q95</f>
        <v>0</v>
      </c>
      <c r="S95" s="567"/>
      <c r="T95" s="500">
        <f>$A95*S95*$T$1</f>
        <v>0</v>
      </c>
    </row>
    <row r="96" spans="1:41" s="501" customFormat="1" ht="12">
      <c r="A96" s="825" t="s">
        <v>145</v>
      </c>
      <c r="B96" s="826">
        <f>(R95+T95)</f>
        <v>0</v>
      </c>
      <c r="C96" s="497"/>
      <c r="G96" s="774"/>
      <c r="H96" s="774"/>
      <c r="I96" s="774"/>
      <c r="J96" s="774"/>
      <c r="K96" s="750" t="s">
        <v>3</v>
      </c>
      <c r="L96" s="775" t="s">
        <v>573</v>
      </c>
      <c r="M96" s="774"/>
      <c r="N96" s="774"/>
      <c r="O96" s="774"/>
      <c r="P96" s="774"/>
      <c r="Q96" s="776"/>
      <c r="R96" s="777">
        <f ca="1">SUM(R92:R95)</f>
        <v>0</v>
      </c>
      <c r="S96" s="778"/>
      <c r="T96" s="777">
        <f ca="1">SUM(T92:T95)</f>
        <v>0</v>
      </c>
      <c r="AG96" s="779">
        <f ca="1">ROUND($R96*$S$2,2)</f>
        <v>0</v>
      </c>
    </row>
    <row r="97" spans="1:41" s="501" customFormat="1" ht="12" customHeight="1">
      <c r="A97" s="800"/>
      <c r="B97" s="827"/>
      <c r="C97" s="828"/>
      <c r="D97" s="828" t="str">
        <f>$F$3</f>
        <v>Technician</v>
      </c>
      <c r="E97" s="828">
        <f>ROUND(($R100*$S$3 + ($T100*$T$3)), 2)</f>
        <v>11975.16</v>
      </c>
      <c r="F97" s="829">
        <f ca="1">$F89-SUMIF($L91:$P94,"SUBI",$F91:$F94)</f>
        <v>11975.16</v>
      </c>
      <c r="G97" s="499"/>
      <c r="H97" s="499"/>
      <c r="I97" s="499"/>
      <c r="J97" s="499"/>
      <c r="K97" s="765" t="s">
        <v>5</v>
      </c>
      <c r="L97" s="766" t="s">
        <v>573</v>
      </c>
      <c r="M97" s="499"/>
      <c r="N97" s="499"/>
      <c r="O97" s="499"/>
      <c r="P97" s="499"/>
      <c r="Q97" s="499"/>
      <c r="R97" s="784"/>
      <c r="S97" s="499"/>
      <c r="T97" s="784"/>
    </row>
    <row r="98" spans="1:41" s="893" customFormat="1" ht="13.2">
      <c r="A98">
        <v>3</v>
      </c>
      <c r="B98" s="893" t="s">
        <v>141</v>
      </c>
      <c r="D98" s="893" t="s">
        <v>641</v>
      </c>
      <c r="E98" s="901" t="s">
        <v>644</v>
      </c>
      <c r="F98" s="1134" t="s">
        <v>1107</v>
      </c>
      <c r="G98" s="894" t="s">
        <v>642</v>
      </c>
      <c r="H98" s="895">
        <v>512</v>
      </c>
      <c r="I98" s="893" t="s">
        <v>643</v>
      </c>
      <c r="O98" s="896">
        <v>3</v>
      </c>
      <c r="P98" s="897"/>
      <c r="Q98" s="898">
        <v>2923.11</v>
      </c>
      <c r="R98" s="899">
        <f>$A98*Q98</f>
        <v>8769.33</v>
      </c>
      <c r="S98" s="898">
        <v>1</v>
      </c>
      <c r="T98" s="900">
        <f>$A98*S98*$T$1</f>
        <v>3</v>
      </c>
    </row>
    <row r="99" spans="1:41" s="501" customFormat="1" ht="13.2">
      <c r="A99" s="767"/>
      <c r="B99" s="567"/>
      <c r="C99" s="567"/>
      <c r="D99" s="3"/>
      <c r="E99" s="567"/>
      <c r="F99" s="567"/>
      <c r="G99" s="567"/>
      <c r="H99" s="567"/>
      <c r="I99" s="567"/>
      <c r="J99" s="567"/>
      <c r="K99" s="567"/>
      <c r="L99" s="770"/>
      <c r="M99" s="567"/>
      <c r="N99" s="567"/>
      <c r="O99" s="567"/>
      <c r="P99" s="567"/>
      <c r="Q99" s="567"/>
      <c r="R99" s="771">
        <f>$A99*Q99</f>
        <v>0</v>
      </c>
      <c r="S99" s="567"/>
      <c r="T99" s="500">
        <f>$A99*S99*$T$1</f>
        <v>0</v>
      </c>
    </row>
    <row r="100" spans="1:41" s="501" customFormat="1" ht="12" customHeight="1">
      <c r="A100" s="772" t="s">
        <v>145</v>
      </c>
      <c r="B100" s="773">
        <f>(R99+T99)</f>
        <v>0</v>
      </c>
      <c r="C100" s="810"/>
      <c r="D100" s="810"/>
      <c r="E100" s="810"/>
      <c r="F100" s="810"/>
      <c r="G100" s="776"/>
      <c r="H100" s="776"/>
      <c r="I100" s="776"/>
      <c r="J100" s="776"/>
      <c r="K100" s="798" t="s">
        <v>5</v>
      </c>
      <c r="L100" s="811" t="s">
        <v>573</v>
      </c>
      <c r="M100" s="776"/>
      <c r="N100" s="776"/>
      <c r="O100" s="776"/>
      <c r="P100" s="776"/>
      <c r="Q100" s="776"/>
      <c r="R100" s="777">
        <f>SUM(R97:R99)</f>
        <v>8769.33</v>
      </c>
      <c r="S100" s="778"/>
      <c r="T100" s="777">
        <f>SUM(T97:T99)</f>
        <v>3</v>
      </c>
      <c r="AG100" s="799">
        <f>ROUND($R100*$S$3,2)</f>
        <v>11838.6</v>
      </c>
    </row>
    <row r="101" spans="1:41" s="501" customFormat="1" ht="12.75" customHeight="1">
      <c r="A101" s="813"/>
      <c r="B101" s="814"/>
      <c r="E101" s="497"/>
      <c r="F101" s="808"/>
      <c r="G101" s="497"/>
      <c r="H101" s="497"/>
      <c r="I101" s="499"/>
      <c r="J101" s="497"/>
      <c r="K101" s="497"/>
      <c r="L101" s="815"/>
      <c r="M101" s="725"/>
      <c r="N101" s="725"/>
      <c r="O101" s="725"/>
      <c r="P101" s="725"/>
      <c r="Q101" s="726"/>
      <c r="R101" s="784"/>
      <c r="S101" s="497"/>
      <c r="T101" s="784"/>
    </row>
    <row r="102" spans="1:41" s="501" customFormat="1" ht="13.5" customHeight="1" thickBot="1">
      <c r="A102" s="816"/>
      <c r="B102" s="817"/>
      <c r="C102" s="518"/>
      <c r="D102" s="518"/>
      <c r="E102" s="515"/>
      <c r="F102" s="721"/>
      <c r="G102" s="515" t="s">
        <v>146</v>
      </c>
      <c r="H102" s="515"/>
      <c r="I102" s="516"/>
      <c r="J102" s="515"/>
      <c r="K102" s="515"/>
      <c r="L102" s="818" t="s">
        <v>143</v>
      </c>
      <c r="M102" s="517"/>
      <c r="N102" s="517"/>
      <c r="O102" s="517"/>
      <c r="P102" s="517"/>
      <c r="Q102" s="722"/>
      <c r="R102" s="819">
        <f ca="1">SUMIF($L90:$L101,"SUBI",R90:R101)</f>
        <v>8769.33</v>
      </c>
      <c r="S102" s="515"/>
      <c r="T102" s="819">
        <f ca="1">SUMIF($L90:$L101,"SUBI",T90:T101)</f>
        <v>3</v>
      </c>
      <c r="U102" s="518"/>
      <c r="V102" s="518"/>
      <c r="W102" s="518"/>
      <c r="X102" s="518"/>
      <c r="Y102" s="518"/>
      <c r="Z102" s="518"/>
      <c r="AA102" s="518"/>
      <c r="AB102" s="518"/>
      <c r="AC102" s="518"/>
      <c r="AD102" s="518"/>
      <c r="AE102" s="518"/>
      <c r="AF102" s="518"/>
      <c r="AG102" s="518"/>
      <c r="AH102" s="518"/>
      <c r="AI102" s="518"/>
      <c r="AJ102" s="518"/>
      <c r="AK102" s="518"/>
      <c r="AL102" s="518"/>
      <c r="AM102" s="518"/>
      <c r="AN102" s="518"/>
      <c r="AO102" s="518"/>
    </row>
    <row r="103" spans="1:41" s="501" customFormat="1" thickTop="1">
      <c r="A103" s="44"/>
      <c r="B103" s="44"/>
      <c r="C103" s="3"/>
      <c r="D103" s="3"/>
      <c r="E103" s="44"/>
      <c r="F103" s="44"/>
      <c r="G103" s="44"/>
      <c r="H103" s="44"/>
      <c r="I103" s="44"/>
      <c r="J103" s="44"/>
      <c r="K103" s="44" t="s">
        <v>134</v>
      </c>
      <c r="L103" s="44"/>
      <c r="M103" s="44"/>
      <c r="N103" s="44"/>
      <c r="O103" s="45"/>
      <c r="P103" s="44"/>
      <c r="Q103" s="44"/>
      <c r="R103" s="44"/>
      <c r="S103" s="44"/>
      <c r="T103" s="44"/>
    </row>
    <row r="104" spans="1:41" s="501" customFormat="1" ht="12">
      <c r="A104" s="44"/>
      <c r="B104" s="44"/>
      <c r="C104" s="44" t="s">
        <v>135</v>
      </c>
      <c r="D104" s="35" t="s">
        <v>584</v>
      </c>
      <c r="E104" s="44"/>
      <c r="F104" s="44"/>
      <c r="G104" s="44"/>
      <c r="H104" s="44"/>
      <c r="I104" s="44"/>
      <c r="J104" s="44"/>
      <c r="K104" s="44"/>
      <c r="L104" s="44"/>
      <c r="M104" s="44"/>
      <c r="N104" s="44"/>
      <c r="O104" s="45"/>
      <c r="P104" s="44"/>
      <c r="Q104" s="44"/>
      <c r="R104" s="44"/>
      <c r="S104" s="44"/>
      <c r="T104" s="44"/>
    </row>
    <row r="105" spans="1:41" s="501" customFormat="1" ht="12">
      <c r="A105" s="44"/>
      <c r="B105" s="44"/>
      <c r="C105" s="44"/>
      <c r="D105" s="35" t="s">
        <v>305</v>
      </c>
      <c r="E105" s="44"/>
      <c r="F105" s="44"/>
      <c r="G105" s="44"/>
      <c r="H105" s="44"/>
      <c r="I105" s="44"/>
      <c r="J105" s="44"/>
      <c r="K105" s="44"/>
      <c r="L105" s="44"/>
      <c r="M105" s="44"/>
      <c r="N105" s="44"/>
      <c r="O105" s="45"/>
      <c r="P105" s="44"/>
      <c r="Q105" s="44"/>
      <c r="R105" s="44"/>
      <c r="S105" s="36"/>
      <c r="T105" s="36"/>
    </row>
    <row r="106" spans="1:41" s="3" customFormat="1" thickBot="1">
      <c r="A106" s="518"/>
      <c r="O106" s="86"/>
    </row>
    <row r="107" spans="1:41" s="501" customFormat="1" thickTop="1">
      <c r="A107" s="44"/>
      <c r="B107" s="39"/>
      <c r="C107" s="44"/>
      <c r="E107" s="40" t="s">
        <v>138</v>
      </c>
      <c r="F107" s="40" t="s">
        <v>139</v>
      </c>
      <c r="G107" s="44"/>
      <c r="H107" s="44"/>
      <c r="I107" s="44"/>
      <c r="J107" s="44"/>
      <c r="K107" s="44" t="s">
        <v>140</v>
      </c>
      <c r="L107" s="737"/>
      <c r="M107" s="44"/>
      <c r="N107" s="44"/>
      <c r="O107" s="45"/>
      <c r="P107" s="44"/>
      <c r="Q107"/>
      <c r="R107"/>
      <c r="S107"/>
      <c r="T107" s="39"/>
      <c r="AG107" s="502" t="s">
        <v>247</v>
      </c>
      <c r="AH107" s="502" t="s">
        <v>248</v>
      </c>
      <c r="AI107" s="502" t="s">
        <v>249</v>
      </c>
      <c r="AJ107" s="502" t="s">
        <v>250</v>
      </c>
      <c r="AK107" s="502" t="s">
        <v>251</v>
      </c>
      <c r="AM107" s="710" t="s">
        <v>260</v>
      </c>
      <c r="AN107" s="711" t="s">
        <v>261</v>
      </c>
      <c r="AO107" s="503" t="s">
        <v>257</v>
      </c>
    </row>
    <row r="108" spans="1:41" s="501" customFormat="1" ht="13.2">
      <c r="A108" s="712">
        <v>3</v>
      </c>
      <c r="B108" s="504" t="s">
        <v>283</v>
      </c>
      <c r="C108" s="505"/>
      <c r="D108" s="713" t="s">
        <v>919</v>
      </c>
      <c r="E108" s="738">
        <f ca="1">IF(AND($A108=0,$A$1="DIF"),0, ROUND(ROUND(SUMIF($L110:$L116,"SUBI",$E110:$E116)/$A108,2)*$C$12,2))</f>
        <v>1220.98</v>
      </c>
      <c r="F108" s="739">
        <f ca="1">ROUND($A108*$E108,2)</f>
        <v>3662.94</v>
      </c>
      <c r="G108" s="506" t="s">
        <v>142</v>
      </c>
      <c r="H108" s="498"/>
      <c r="I108" s="716"/>
      <c r="J108" s="498"/>
      <c r="K108" s="740"/>
      <c r="L108" s="741" t="s">
        <v>143</v>
      </c>
      <c r="M108" s="717"/>
      <c r="N108" s="717"/>
      <c r="O108" s="717"/>
      <c r="P108" s="717"/>
      <c r="Q108" s="943" t="s">
        <v>855</v>
      </c>
      <c r="R108" s="943" t="s">
        <v>879</v>
      </c>
      <c r="S108"/>
      <c r="T108" s="742" t="str">
        <f ca="1">IF(AND($R121=0,$T121=0),"0.00","mu :" &amp; ROUND($F108/$C$12/($R121+$T121*$D$9),2))</f>
        <v>mu :1.35</v>
      </c>
      <c r="W108" s="507"/>
      <c r="AG108" s="743">
        <f ca="1">IF(A108=0,0,ROUND(SUM(AG110:AG121)/A108,2))</f>
        <v>1198.22</v>
      </c>
      <c r="AH108" s="743">
        <f ca="1">$AG108*$A108</f>
        <v>3594.66</v>
      </c>
      <c r="AI108" s="743">
        <f ca="1">$E108-$AG108</f>
        <v>22.759999999999991</v>
      </c>
      <c r="AJ108" s="743">
        <f ca="1">$A108*$AI108</f>
        <v>68.279999999999973</v>
      </c>
      <c r="AK108" s="744">
        <f ca="1">ROUND(($AG108+$AI108)*$A108,2)</f>
        <v>3662.94</v>
      </c>
      <c r="AM108" s="510">
        <f ca="1">ROUND(R121,2)</f>
        <v>2662.71</v>
      </c>
      <c r="AN108" s="511">
        <f ca="1">ROUND(T121,2)</f>
        <v>1.5</v>
      </c>
      <c r="AO108" s="512">
        <f ca="1">ROUND(AM108+AN108,2)*A108</f>
        <v>7992.63</v>
      </c>
    </row>
    <row r="109" spans="1:41" s="501" customFormat="1" ht="19.95" customHeight="1">
      <c r="A109" s="745"/>
      <c r="B109" s="746"/>
      <c r="C109" s="505"/>
      <c r="D109" s="724" t="s">
        <v>319</v>
      </c>
      <c r="F109" s="498"/>
      <c r="G109" s="498"/>
      <c r="H109" s="498"/>
      <c r="I109" s="716"/>
      <c r="J109" s="498"/>
      <c r="K109" s="498" t="s">
        <v>144</v>
      </c>
      <c r="L109" s="747"/>
      <c r="M109" s="498"/>
      <c r="N109" s="498"/>
      <c r="O109" s="498"/>
      <c r="P109" s="498"/>
      <c r="Q109" s="44"/>
      <c r="R109" s="567"/>
      <c r="S109" s="719"/>
      <c r="T109" s="498"/>
    </row>
    <row r="110" spans="1:41" s="501" customFormat="1" ht="12">
      <c r="A110" s="821"/>
      <c r="B110" s="822"/>
      <c r="C110" s="497"/>
      <c r="D110" s="498"/>
      <c r="E110" s="823">
        <f ca="1">F108/$C$12-SUMIF($L107:$L121,"SUBI",$E107:$E121)</f>
        <v>0</v>
      </c>
      <c r="F110" s="824" t="s">
        <v>572</v>
      </c>
      <c r="G110" s="753"/>
      <c r="H110" s="753"/>
      <c r="I110" s="754"/>
      <c r="J110" s="753"/>
      <c r="K110" s="753"/>
      <c r="L110" s="755"/>
      <c r="M110" s="756"/>
      <c r="N110" s="756"/>
      <c r="O110" s="756"/>
      <c r="P110" s="756"/>
      <c r="Q110" s="757"/>
      <c r="R110" s="758"/>
      <c r="S110" s="757"/>
      <c r="T110" s="759"/>
    </row>
    <row r="111" spans="1:41" s="501" customFormat="1" ht="12" customHeight="1">
      <c r="A111" s="760"/>
      <c r="B111" s="761"/>
      <c r="C111" s="762"/>
      <c r="D111" s="762" t="str">
        <f>$F$2</f>
        <v>Electrical</v>
      </c>
      <c r="E111" s="762">
        <f ca="1">ROUND(($R115*$S$2 + ($T115*$T$2)), 2)</f>
        <v>0</v>
      </c>
      <c r="F111" s="763">
        <f ca="1">$E111*$C$12</f>
        <v>0</v>
      </c>
      <c r="G111" s="567"/>
      <c r="H111" s="764"/>
      <c r="I111" s="567"/>
      <c r="J111" s="45"/>
      <c r="K111" s="765" t="s">
        <v>3</v>
      </c>
      <c r="L111" s="766" t="s">
        <v>573</v>
      </c>
      <c r="M111" s="567"/>
      <c r="N111" s="567"/>
      <c r="O111" s="45"/>
      <c r="P111" s="567"/>
      <c r="Q111" s="943" t="s">
        <v>1098</v>
      </c>
      <c r="R111"/>
      <c r="S111"/>
      <c r="T111"/>
    </row>
    <row r="112" spans="1:41" s="935" customFormat="1" ht="13.2">
      <c r="A112" s="1144"/>
      <c r="B112" s="1145"/>
      <c r="C112" s="1145" t="s">
        <v>735</v>
      </c>
      <c r="D112" s="1145" t="str">
        <f ca="1">CELL("Address",Elec_Rates!D$107)</f>
        <v>[E25_0465_IH_Retro_Elec4Mech_Est_Rev_A.xlsx]Elec_Rates!$D$107</v>
      </c>
      <c r="E112" s="1146"/>
      <c r="F112" s="1146"/>
      <c r="G112" s="1147" t="s">
        <v>736</v>
      </c>
      <c r="H112" s="1147"/>
      <c r="I112" s="1147"/>
      <c r="J112" s="1147"/>
      <c r="K112" s="1148"/>
      <c r="L112" s="1146"/>
      <c r="M112" s="1146"/>
      <c r="N112" s="1146"/>
      <c r="O112" s="1149"/>
      <c r="P112" s="1146"/>
      <c r="Q112" s="1150"/>
      <c r="R112" s="1151"/>
      <c r="S112" s="1150"/>
      <c r="T112" s="1152"/>
      <c r="U112" s="934"/>
    </row>
    <row r="113" spans="1:41" s="935" customFormat="1" ht="11.4">
      <c r="A113" s="1153">
        <v>0</v>
      </c>
      <c r="B113" s="1154">
        <v>1</v>
      </c>
      <c r="C113" s="1154">
        <f>$A113*$B113</f>
        <v>0</v>
      </c>
      <c r="D113" s="1155" t="str">
        <f>Elec_Rates!$D$107</f>
        <v>010# Motorised valve</v>
      </c>
      <c r="E113" s="1155"/>
      <c r="F113" s="1155" t="s">
        <v>737</v>
      </c>
      <c r="G113" s="1156" t="s">
        <v>739</v>
      </c>
      <c r="H113" s="1156"/>
      <c r="I113" s="1156"/>
      <c r="J113" s="1156"/>
      <c r="K113" s="1157"/>
      <c r="L113" s="1158"/>
      <c r="M113" s="1158"/>
      <c r="N113" s="1158"/>
      <c r="O113" s="1159"/>
      <c r="P113" s="1155"/>
      <c r="Q113" s="1160">
        <f ca="1">$B113*Elec_Rates!$R$107</f>
        <v>0</v>
      </c>
      <c r="R113" s="1151">
        <f ca="1">$A113*Q113</f>
        <v>0</v>
      </c>
      <c r="S113" s="1160">
        <f ca="1">$B113*Elec_Rates!$T$107</f>
        <v>0</v>
      </c>
      <c r="T113" s="1152">
        <f ca="1">$A113*S113</f>
        <v>0</v>
      </c>
      <c r="U113" s="484"/>
    </row>
    <row r="114" spans="1:41" s="501" customFormat="1" ht="13.95" customHeight="1">
      <c r="A114" s="767"/>
      <c r="B114" s="567"/>
      <c r="C114" s="567"/>
      <c r="D114" s="567"/>
      <c r="E114" s="567"/>
      <c r="F114" s="567"/>
      <c r="G114" s="567"/>
      <c r="H114" s="764"/>
      <c r="I114" s="567"/>
      <c r="J114" s="45"/>
      <c r="K114" s="769"/>
      <c r="L114" s="770"/>
      <c r="M114" s="567"/>
      <c r="N114" s="567"/>
      <c r="O114" s="45"/>
      <c r="P114" s="567"/>
      <c r="Q114" s="567"/>
      <c r="R114" s="771">
        <f>$A114*Q114</f>
        <v>0</v>
      </c>
      <c r="S114" s="567"/>
      <c r="T114" s="500">
        <f>$A114*S114*$T$1</f>
        <v>0</v>
      </c>
    </row>
    <row r="115" spans="1:41" s="501" customFormat="1" ht="12">
      <c r="A115" s="825" t="s">
        <v>145</v>
      </c>
      <c r="B115" s="826">
        <f>(R114+T114)</f>
        <v>0</v>
      </c>
      <c r="C115" s="497"/>
      <c r="G115" s="774"/>
      <c r="H115" s="774"/>
      <c r="I115" s="774"/>
      <c r="J115" s="774"/>
      <c r="K115" s="750" t="s">
        <v>3</v>
      </c>
      <c r="L115" s="775" t="s">
        <v>573</v>
      </c>
      <c r="M115" s="774"/>
      <c r="N115" s="774"/>
      <c r="O115" s="774"/>
      <c r="P115" s="774"/>
      <c r="Q115" s="776"/>
      <c r="R115" s="777">
        <f ca="1">SUM(R111:R114)</f>
        <v>0</v>
      </c>
      <c r="S115" s="778"/>
      <c r="T115" s="777">
        <f ca="1">SUM(T111:T114)</f>
        <v>0</v>
      </c>
      <c r="AG115" s="779">
        <f ca="1">ROUND($R115*$S$2,2)</f>
        <v>0</v>
      </c>
    </row>
    <row r="116" spans="1:41" s="501" customFormat="1" ht="12" customHeight="1">
      <c r="A116" s="800"/>
      <c r="B116" s="827"/>
      <c r="C116" s="828"/>
      <c r="D116" s="828" t="str">
        <f>$F$3</f>
        <v>Technician</v>
      </c>
      <c r="E116" s="828">
        <f>ROUND(($R119*$S$3 + ($T119*$T$3)), 2)</f>
        <v>3662.94</v>
      </c>
      <c r="F116" s="829">
        <f ca="1">$F108-SUMIF($L110:$P113,"SUBI",$F110:$F113)</f>
        <v>3662.94</v>
      </c>
      <c r="G116" s="499"/>
      <c r="H116" s="499"/>
      <c r="I116" s="499"/>
      <c r="J116" s="499"/>
      <c r="K116" s="765" t="s">
        <v>5</v>
      </c>
      <c r="L116" s="766" t="s">
        <v>573</v>
      </c>
      <c r="M116" s="499"/>
      <c r="N116" s="499"/>
      <c r="O116" s="499"/>
      <c r="P116" s="499"/>
      <c r="Q116" s="499"/>
      <c r="R116" s="784"/>
      <c r="S116" s="499"/>
      <c r="T116" s="784"/>
    </row>
    <row r="117" spans="1:41" s="893" customFormat="1" ht="13.2">
      <c r="A117">
        <v>3</v>
      </c>
      <c r="B117" s="893" t="s">
        <v>141</v>
      </c>
      <c r="D117" s="893" t="s">
        <v>641</v>
      </c>
      <c r="E117" s="901" t="s">
        <v>305</v>
      </c>
      <c r="F117" s="1134" t="s">
        <v>1107</v>
      </c>
      <c r="G117" s="894" t="s">
        <v>642</v>
      </c>
      <c r="H117" s="895">
        <v>512</v>
      </c>
      <c r="I117" s="893" t="s">
        <v>643</v>
      </c>
      <c r="O117" s="896">
        <v>3</v>
      </c>
      <c r="P117" s="897"/>
      <c r="Q117" s="898">
        <v>887.57</v>
      </c>
      <c r="R117" s="899">
        <f>$A117*Q117</f>
        <v>2662.71</v>
      </c>
      <c r="S117" s="898">
        <v>0.5</v>
      </c>
      <c r="T117" s="900">
        <f>$A117*S117*$T$1</f>
        <v>1.5</v>
      </c>
    </row>
    <row r="118" spans="1:41" s="501" customFormat="1" ht="13.2">
      <c r="A118" s="767"/>
      <c r="B118" s="567"/>
      <c r="C118" s="567"/>
      <c r="D118" s="3"/>
      <c r="E118" s="567"/>
      <c r="F118" s="567"/>
      <c r="G118" s="567"/>
      <c r="H118" s="567"/>
      <c r="I118" s="567"/>
      <c r="J118" s="567"/>
      <c r="K118" s="567"/>
      <c r="L118" s="770"/>
      <c r="M118" s="567"/>
      <c r="N118" s="567"/>
      <c r="O118" s="567"/>
      <c r="P118" s="567"/>
      <c r="Q118" s="567"/>
      <c r="R118" s="771">
        <f>$A118*Q118</f>
        <v>0</v>
      </c>
      <c r="S118" s="567"/>
      <c r="T118" s="500">
        <f>$A118*S118*$T$1</f>
        <v>0</v>
      </c>
    </row>
    <row r="119" spans="1:41" s="501" customFormat="1" ht="12" customHeight="1">
      <c r="A119" s="772" t="s">
        <v>145</v>
      </c>
      <c r="B119" s="773">
        <f>(R118+T118)</f>
        <v>0</v>
      </c>
      <c r="C119" s="810"/>
      <c r="D119" s="810"/>
      <c r="E119" s="810"/>
      <c r="F119" s="810"/>
      <c r="G119" s="776"/>
      <c r="H119" s="776"/>
      <c r="I119" s="776"/>
      <c r="J119" s="776"/>
      <c r="K119" s="798" t="s">
        <v>5</v>
      </c>
      <c r="L119" s="811" t="s">
        <v>573</v>
      </c>
      <c r="M119" s="776"/>
      <c r="N119" s="776"/>
      <c r="O119" s="776"/>
      <c r="P119" s="776"/>
      <c r="Q119" s="776"/>
      <c r="R119" s="777">
        <f>SUM(R116:R118)</f>
        <v>2662.71</v>
      </c>
      <c r="S119" s="778"/>
      <c r="T119" s="777">
        <f>SUM(T116:T118)</f>
        <v>1.5</v>
      </c>
      <c r="AG119" s="799">
        <f>ROUND($R119*$S$3,2)</f>
        <v>3594.66</v>
      </c>
    </row>
    <row r="120" spans="1:41" s="501" customFormat="1" ht="12.75" customHeight="1">
      <c r="A120" s="813"/>
      <c r="B120" s="814"/>
      <c r="E120" s="497"/>
      <c r="F120" s="808"/>
      <c r="G120" s="497"/>
      <c r="H120" s="497"/>
      <c r="I120" s="499"/>
      <c r="J120" s="497"/>
      <c r="K120" s="497"/>
      <c r="L120" s="815"/>
      <c r="M120" s="725"/>
      <c r="N120" s="725"/>
      <c r="O120" s="725"/>
      <c r="P120" s="725"/>
      <c r="Q120" s="726"/>
      <c r="R120" s="784"/>
      <c r="S120" s="497"/>
      <c r="T120" s="784"/>
    </row>
    <row r="121" spans="1:41" s="501" customFormat="1" ht="13.5" customHeight="1" thickBot="1">
      <c r="A121" s="816"/>
      <c r="B121" s="817"/>
      <c r="C121" s="518"/>
      <c r="D121" s="518"/>
      <c r="E121" s="515"/>
      <c r="F121" s="721"/>
      <c r="G121" s="515" t="s">
        <v>146</v>
      </c>
      <c r="H121" s="515"/>
      <c r="I121" s="516"/>
      <c r="J121" s="515"/>
      <c r="K121" s="515"/>
      <c r="L121" s="818" t="s">
        <v>143</v>
      </c>
      <c r="M121" s="517"/>
      <c r="N121" s="517"/>
      <c r="O121" s="517"/>
      <c r="P121" s="517"/>
      <c r="Q121" s="722"/>
      <c r="R121" s="819">
        <f ca="1">SUMIF($L109:$L120,"SUBI",R109:R120)</f>
        <v>2662.71</v>
      </c>
      <c r="S121" s="515"/>
      <c r="T121" s="819">
        <f ca="1">SUMIF($L109:$L120,"SUBI",T109:T120)</f>
        <v>1.5</v>
      </c>
      <c r="U121" s="518"/>
      <c r="V121" s="518"/>
      <c r="W121" s="518"/>
      <c r="X121" s="518"/>
      <c r="Y121" s="518"/>
      <c r="Z121" s="518"/>
      <c r="AA121" s="518"/>
      <c r="AB121" s="518"/>
      <c r="AC121" s="518"/>
      <c r="AD121" s="518"/>
      <c r="AE121" s="518"/>
      <c r="AF121" s="518"/>
      <c r="AG121" s="518"/>
      <c r="AH121" s="518"/>
      <c r="AI121" s="518"/>
      <c r="AJ121" s="518"/>
      <c r="AK121" s="518"/>
      <c r="AL121" s="518"/>
      <c r="AM121" s="518"/>
      <c r="AN121" s="518"/>
      <c r="AO121" s="518"/>
    </row>
    <row r="122" spans="1:41" s="501" customFormat="1" thickTop="1">
      <c r="A122" s="44"/>
      <c r="B122" s="44"/>
      <c r="C122" s="3"/>
      <c r="D122" s="3"/>
      <c r="E122" s="44"/>
      <c r="F122" s="44"/>
      <c r="G122" s="44"/>
      <c r="H122" s="44"/>
      <c r="I122" s="44"/>
      <c r="J122" s="44"/>
      <c r="K122" s="44" t="s">
        <v>134</v>
      </c>
      <c r="L122" s="44"/>
      <c r="M122" s="44"/>
      <c r="N122" s="44"/>
      <c r="O122" s="45"/>
      <c r="P122" s="44"/>
      <c r="Q122" s="44"/>
      <c r="R122" s="44"/>
      <c r="S122" s="44"/>
      <c r="T122" s="44"/>
    </row>
    <row r="123" spans="1:41" s="501" customFormat="1" ht="12">
      <c r="A123" s="44"/>
      <c r="B123" s="44"/>
      <c r="C123" s="44" t="s">
        <v>135</v>
      </c>
      <c r="D123" s="35" t="s">
        <v>920</v>
      </c>
      <c r="E123" s="44"/>
      <c r="F123" s="44"/>
      <c r="G123" s="44"/>
      <c r="H123" s="44"/>
      <c r="I123" s="44"/>
      <c r="J123" s="44"/>
      <c r="K123" s="44"/>
      <c r="L123" s="44"/>
      <c r="M123" s="44"/>
      <c r="N123" s="44"/>
      <c r="O123" s="45"/>
      <c r="P123" s="44"/>
      <c r="Q123" s="44"/>
      <c r="R123" s="44"/>
      <c r="S123" s="44"/>
      <c r="T123" s="44"/>
    </row>
    <row r="124" spans="1:41" s="501" customFormat="1" ht="12">
      <c r="A124" s="44"/>
      <c r="B124" s="44"/>
      <c r="C124" s="44"/>
      <c r="D124" s="35" t="s">
        <v>893</v>
      </c>
      <c r="E124" s="44"/>
      <c r="F124" s="44"/>
      <c r="G124" s="44"/>
      <c r="H124" s="44"/>
      <c r="I124" s="44"/>
      <c r="J124" s="44"/>
      <c r="K124" s="44"/>
      <c r="L124" s="44"/>
      <c r="M124" s="44"/>
      <c r="N124" s="44"/>
      <c r="O124" s="45"/>
      <c r="P124" s="44"/>
      <c r="Q124" s="44"/>
      <c r="R124" s="44"/>
      <c r="S124" s="36"/>
      <c r="T124" s="36"/>
    </row>
    <row r="125" spans="1:41" s="3" customFormat="1" thickBot="1">
      <c r="A125" s="518"/>
      <c r="O125" s="86"/>
    </row>
    <row r="126" spans="1:41" s="501" customFormat="1" thickTop="1">
      <c r="A126" s="44"/>
      <c r="B126" s="39"/>
      <c r="C126" s="44"/>
      <c r="E126" s="40" t="s">
        <v>138</v>
      </c>
      <c r="F126" s="40" t="s">
        <v>139</v>
      </c>
      <c r="G126" s="44"/>
      <c r="H126" s="44"/>
      <c r="I126" s="44"/>
      <c r="J126" s="44"/>
      <c r="K126" s="44" t="s">
        <v>140</v>
      </c>
      <c r="L126" s="737"/>
      <c r="M126" s="44"/>
      <c r="N126" s="44"/>
      <c r="O126" s="45"/>
      <c r="P126" s="44"/>
      <c r="Q126"/>
      <c r="R126"/>
      <c r="S126"/>
      <c r="T126" s="39"/>
      <c r="AG126" s="502" t="s">
        <v>247</v>
      </c>
      <c r="AH126" s="502" t="s">
        <v>248</v>
      </c>
      <c r="AI126" s="502" t="s">
        <v>249</v>
      </c>
      <c r="AJ126" s="502" t="s">
        <v>250</v>
      </c>
      <c r="AK126" s="502" t="s">
        <v>251</v>
      </c>
      <c r="AM126" s="710" t="s">
        <v>260</v>
      </c>
      <c r="AN126" s="711" t="s">
        <v>261</v>
      </c>
      <c r="AO126" s="503" t="s">
        <v>257</v>
      </c>
    </row>
    <row r="127" spans="1:41" s="501" customFormat="1" ht="13.2">
      <c r="A127" s="712">
        <v>6</v>
      </c>
      <c r="B127" s="504" t="s">
        <v>283</v>
      </c>
      <c r="C127" s="505"/>
      <c r="D127" s="713" t="s">
        <v>921</v>
      </c>
      <c r="E127" s="738">
        <f ca="1">IF(AND($A127=0,$A$1="DIF"),0, ROUND(ROUND(SUMIF($L129:$L135,"SUBI",$E129:$E135)/$A127,2)*$C$12,2))</f>
        <v>2368.98</v>
      </c>
      <c r="F127" s="739">
        <f ca="1">ROUND($A127*$E127,2)</f>
        <v>14213.88</v>
      </c>
      <c r="G127" s="506" t="s">
        <v>142</v>
      </c>
      <c r="H127" s="498"/>
      <c r="I127" s="716"/>
      <c r="J127" s="498"/>
      <c r="K127" s="740"/>
      <c r="L127" s="741" t="s">
        <v>143</v>
      </c>
      <c r="M127" s="717"/>
      <c r="N127" s="717"/>
      <c r="O127" s="717"/>
      <c r="P127" s="717"/>
      <c r="Q127" s="943" t="s">
        <v>855</v>
      </c>
      <c r="R127" s="943"/>
      <c r="S127"/>
      <c r="T127" s="742" t="str">
        <f ca="1">IF(AND($R140=0,$T140=0),"0.00","mu :" &amp; ROUND($F127/$C$12/($R140+$T140*$D$9),2))</f>
        <v>mu :1.35</v>
      </c>
      <c r="W127" s="507"/>
      <c r="AG127" s="743">
        <f ca="1">IF(A127=0,0,ROUND(SUM(AG129:AG140)/A127,2))</f>
        <v>2346.2199999999998</v>
      </c>
      <c r="AH127" s="743">
        <f ca="1">$AG127*$A127</f>
        <v>14077.32</v>
      </c>
      <c r="AI127" s="743">
        <f ca="1">$E127-$AG127</f>
        <v>22.760000000000218</v>
      </c>
      <c r="AJ127" s="743">
        <f ca="1">$A127*$AI127</f>
        <v>136.56000000000131</v>
      </c>
      <c r="AK127" s="744">
        <f ca="1">ROUND(($AG127+$AI127)*$A127,2)</f>
        <v>14213.88</v>
      </c>
      <c r="AM127" s="510">
        <f ca="1">ROUND(R140,2)</f>
        <v>10427.64</v>
      </c>
      <c r="AN127" s="511">
        <f ca="1">ROUND(T140,2)</f>
        <v>3</v>
      </c>
      <c r="AO127" s="512">
        <f ca="1">ROUND(AM127+AN127,2)*A127</f>
        <v>62583.839999999997</v>
      </c>
    </row>
    <row r="128" spans="1:41" s="501" customFormat="1" ht="19.95" customHeight="1">
      <c r="A128" s="745"/>
      <c r="B128" s="746"/>
      <c r="C128" s="505"/>
      <c r="D128" s="724" t="s">
        <v>319</v>
      </c>
      <c r="F128" s="498"/>
      <c r="G128" s="498"/>
      <c r="H128" s="498"/>
      <c r="I128" s="716"/>
      <c r="J128" s="498"/>
      <c r="K128" s="498" t="s">
        <v>144</v>
      </c>
      <c r="L128" s="747"/>
      <c r="M128" s="498"/>
      <c r="N128" s="498"/>
      <c r="O128" s="498"/>
      <c r="P128" s="498"/>
      <c r="Q128" s="44"/>
      <c r="R128" s="567"/>
      <c r="S128" s="719"/>
      <c r="T128" s="498"/>
    </row>
    <row r="129" spans="1:41" s="501" customFormat="1" ht="12">
      <c r="A129" s="821"/>
      <c r="B129" s="822"/>
      <c r="C129" s="497"/>
      <c r="D129" s="498"/>
      <c r="E129" s="823">
        <f ca="1">F127/$C$12-SUMIF($L126:$L140,"SUBI",$E126:$E140)</f>
        <v>0</v>
      </c>
      <c r="F129" s="824" t="s">
        <v>572</v>
      </c>
      <c r="G129" s="753"/>
      <c r="H129" s="753"/>
      <c r="I129" s="754"/>
      <c r="J129" s="753"/>
      <c r="K129" s="753"/>
      <c r="L129" s="755"/>
      <c r="M129" s="756"/>
      <c r="N129" s="756"/>
      <c r="O129" s="756"/>
      <c r="P129" s="756"/>
      <c r="Q129" s="757"/>
      <c r="R129" s="758"/>
      <c r="S129" s="757"/>
      <c r="T129" s="759"/>
    </row>
    <row r="130" spans="1:41" s="501" customFormat="1" ht="12" customHeight="1">
      <c r="A130" s="760"/>
      <c r="B130" s="761"/>
      <c r="C130" s="762"/>
      <c r="D130" s="762" t="str">
        <f>$F$2</f>
        <v>Electrical</v>
      </c>
      <c r="E130" s="762">
        <f ca="1">ROUND(($R134*$S$2 + ($T134*$T$2)), 2)</f>
        <v>0</v>
      </c>
      <c r="F130" s="763">
        <f ca="1">$E130*$C$12</f>
        <v>0</v>
      </c>
      <c r="G130" s="567"/>
      <c r="H130" s="764"/>
      <c r="I130" s="567"/>
      <c r="J130" s="45"/>
      <c r="K130" s="765" t="s">
        <v>3</v>
      </c>
      <c r="L130" s="766" t="s">
        <v>573</v>
      </c>
      <c r="M130" s="567"/>
      <c r="N130" s="567"/>
      <c r="O130" s="45"/>
      <c r="P130" s="567"/>
      <c r="Q130" s="943" t="s">
        <v>1098</v>
      </c>
      <c r="R130"/>
      <c r="S130"/>
      <c r="T130"/>
    </row>
    <row r="131" spans="1:41" s="935" customFormat="1" ht="13.2">
      <c r="A131" s="1144"/>
      <c r="B131" s="1145"/>
      <c r="C131" s="1145" t="s">
        <v>735</v>
      </c>
      <c r="D131" s="1145" t="str">
        <f ca="1">CELL("Address",Elec_Rates!D$107)</f>
        <v>[E25_0465_IH_Retro_Elec4Mech_Est_Rev_A.xlsx]Elec_Rates!$D$107</v>
      </c>
      <c r="E131" s="1146"/>
      <c r="F131" s="1146"/>
      <c r="G131" s="1147" t="s">
        <v>736</v>
      </c>
      <c r="H131" s="1147"/>
      <c r="I131" s="1147"/>
      <c r="J131" s="1147"/>
      <c r="K131" s="1148"/>
      <c r="L131" s="1146"/>
      <c r="M131" s="1146"/>
      <c r="N131" s="1146"/>
      <c r="O131" s="1149"/>
      <c r="P131" s="1146"/>
      <c r="Q131" s="1150"/>
      <c r="R131" s="1151"/>
      <c r="S131" s="1150"/>
      <c r="T131" s="1152"/>
      <c r="U131" s="934"/>
    </row>
    <row r="132" spans="1:41" s="935" customFormat="1" ht="11.4">
      <c r="A132" s="1153">
        <v>0</v>
      </c>
      <c r="B132" s="1154">
        <v>1</v>
      </c>
      <c r="C132" s="1154">
        <f>$A132*$B132</f>
        <v>0</v>
      </c>
      <c r="D132" s="1155" t="str">
        <f>Elec_Rates!$D$107</f>
        <v>010# Motorised valve</v>
      </c>
      <c r="E132" s="1155"/>
      <c r="F132" s="1155" t="s">
        <v>737</v>
      </c>
      <c r="G132" s="1156" t="s">
        <v>739</v>
      </c>
      <c r="H132" s="1156"/>
      <c r="I132" s="1156"/>
      <c r="J132" s="1156"/>
      <c r="K132" s="1157"/>
      <c r="L132" s="1158"/>
      <c r="M132" s="1158"/>
      <c r="N132" s="1158"/>
      <c r="O132" s="1159"/>
      <c r="P132" s="1155"/>
      <c r="Q132" s="1160">
        <f ca="1">$B132*Elec_Rates!$R$107</f>
        <v>0</v>
      </c>
      <c r="R132" s="1151">
        <f ca="1">$A132*Q132</f>
        <v>0</v>
      </c>
      <c r="S132" s="1160">
        <f ca="1">$B132*Elec_Rates!$T$107</f>
        <v>0</v>
      </c>
      <c r="T132" s="1152">
        <f ca="1">$A132*S132</f>
        <v>0</v>
      </c>
      <c r="U132" s="484"/>
    </row>
    <row r="133" spans="1:41" s="501" customFormat="1" ht="13.95" customHeight="1">
      <c r="A133" s="767"/>
      <c r="B133" s="567"/>
      <c r="C133" s="567"/>
      <c r="D133" s="567"/>
      <c r="E133" s="567"/>
      <c r="F133" s="567"/>
      <c r="G133" s="567"/>
      <c r="H133" s="764"/>
      <c r="I133" s="567"/>
      <c r="J133" s="45"/>
      <c r="K133" s="769"/>
      <c r="L133" s="770"/>
      <c r="M133" s="567"/>
      <c r="N133" s="567"/>
      <c r="O133" s="45"/>
      <c r="P133" s="567"/>
      <c r="Q133" s="567"/>
      <c r="R133" s="771">
        <f>$A133*Q133</f>
        <v>0</v>
      </c>
      <c r="S133" s="567"/>
      <c r="T133" s="500">
        <f>$A133*S133*$T$1</f>
        <v>0</v>
      </c>
    </row>
    <row r="134" spans="1:41" s="501" customFormat="1" ht="12">
      <c r="A134" s="825" t="s">
        <v>145</v>
      </c>
      <c r="B134" s="826">
        <f>(R133+T133)</f>
        <v>0</v>
      </c>
      <c r="C134" s="497"/>
      <c r="G134" s="774"/>
      <c r="H134" s="774"/>
      <c r="I134" s="774"/>
      <c r="J134" s="774"/>
      <c r="K134" s="750" t="s">
        <v>3</v>
      </c>
      <c r="L134" s="775" t="s">
        <v>573</v>
      </c>
      <c r="M134" s="774"/>
      <c r="N134" s="774"/>
      <c r="O134" s="774"/>
      <c r="P134" s="774"/>
      <c r="Q134" s="776"/>
      <c r="R134" s="777">
        <f ca="1">SUM(R130:R133)</f>
        <v>0</v>
      </c>
      <c r="S134" s="778"/>
      <c r="T134" s="777">
        <f ca="1">SUM(T130:T133)</f>
        <v>0</v>
      </c>
      <c r="AG134" s="779">
        <f ca="1">ROUND($R134*$S$2,2)</f>
        <v>0</v>
      </c>
    </row>
    <row r="135" spans="1:41" s="501" customFormat="1" ht="12" customHeight="1">
      <c r="A135" s="800"/>
      <c r="B135" s="827"/>
      <c r="C135" s="828"/>
      <c r="D135" s="828" t="str">
        <f>$F$3</f>
        <v>Technician</v>
      </c>
      <c r="E135" s="828">
        <f>ROUND(($R138*$S$3 + ($T138*$T$3)), 2)</f>
        <v>14213.88</v>
      </c>
      <c r="F135" s="829">
        <f ca="1">$F127-SUMIF($L129:$P132,"SUBI",$F129:$F132)</f>
        <v>14213.88</v>
      </c>
      <c r="G135" s="499"/>
      <c r="H135" s="499"/>
      <c r="I135" s="499"/>
      <c r="J135" s="499"/>
      <c r="K135" s="765" t="s">
        <v>5</v>
      </c>
      <c r="L135" s="766" t="s">
        <v>573</v>
      </c>
      <c r="M135" s="499"/>
      <c r="N135" s="499"/>
      <c r="O135" s="499"/>
      <c r="P135" s="499"/>
      <c r="Q135" s="499"/>
      <c r="R135" s="784"/>
      <c r="S135" s="499"/>
      <c r="T135" s="784"/>
    </row>
    <row r="136" spans="1:41" s="893" customFormat="1" ht="13.2">
      <c r="A136">
        <v>6</v>
      </c>
      <c r="B136" s="893" t="s">
        <v>141</v>
      </c>
      <c r="D136" s="893" t="s">
        <v>641</v>
      </c>
      <c r="E136" s="901" t="s">
        <v>1108</v>
      </c>
      <c r="F136" s="1134" t="s">
        <v>1107</v>
      </c>
      <c r="G136" s="894" t="s">
        <v>642</v>
      </c>
      <c r="H136" s="895">
        <v>512</v>
      </c>
      <c r="I136" s="893" t="s">
        <v>643</v>
      </c>
      <c r="O136" s="896">
        <v>3</v>
      </c>
      <c r="P136" s="897"/>
      <c r="Q136" s="898">
        <v>1737.94</v>
      </c>
      <c r="R136" s="899">
        <f>$A136*Q136</f>
        <v>10427.64</v>
      </c>
      <c r="S136" s="898">
        <v>0.5</v>
      </c>
      <c r="T136" s="900">
        <f>$A136*S136*$T$1</f>
        <v>3</v>
      </c>
    </row>
    <row r="137" spans="1:41" s="501" customFormat="1" ht="13.2">
      <c r="A137" s="767"/>
      <c r="B137" s="567"/>
      <c r="C137" s="567"/>
      <c r="D137" s="3"/>
      <c r="E137" s="567"/>
      <c r="F137" s="567"/>
      <c r="G137" s="567"/>
      <c r="H137" s="567"/>
      <c r="I137" s="567"/>
      <c r="J137" s="567"/>
      <c r="K137" s="567"/>
      <c r="L137" s="770"/>
      <c r="M137" s="567"/>
      <c r="N137" s="567"/>
      <c r="O137" s="567"/>
      <c r="P137" s="567"/>
      <c r="Q137" s="567"/>
      <c r="R137" s="771">
        <f>$A137*Q137</f>
        <v>0</v>
      </c>
      <c r="S137" s="567"/>
      <c r="T137" s="500">
        <f>$A137*S137*$T$1</f>
        <v>0</v>
      </c>
    </row>
    <row r="138" spans="1:41" s="501" customFormat="1" ht="12" customHeight="1">
      <c r="A138" s="772" t="s">
        <v>145</v>
      </c>
      <c r="B138" s="773">
        <f>(R137+T137)</f>
        <v>0</v>
      </c>
      <c r="C138" s="810"/>
      <c r="D138" s="810"/>
      <c r="E138" s="810"/>
      <c r="F138" s="810"/>
      <c r="G138" s="776"/>
      <c r="H138" s="776"/>
      <c r="I138" s="776"/>
      <c r="J138" s="776"/>
      <c r="K138" s="798" t="s">
        <v>5</v>
      </c>
      <c r="L138" s="811" t="s">
        <v>573</v>
      </c>
      <c r="M138" s="776"/>
      <c r="N138" s="776"/>
      <c r="O138" s="776"/>
      <c r="P138" s="776"/>
      <c r="Q138" s="776"/>
      <c r="R138" s="777">
        <f>SUM(R135:R137)</f>
        <v>10427.64</v>
      </c>
      <c r="S138" s="778"/>
      <c r="T138" s="777">
        <f>SUM(T135:T137)</f>
        <v>3</v>
      </c>
      <c r="AG138" s="799">
        <f>ROUND($R138*$S$3,2)</f>
        <v>14077.31</v>
      </c>
    </row>
    <row r="139" spans="1:41" s="501" customFormat="1" ht="12.75" customHeight="1">
      <c r="A139" s="813"/>
      <c r="B139" s="814"/>
      <c r="E139" s="497"/>
      <c r="F139" s="808"/>
      <c r="G139" s="497"/>
      <c r="H139" s="497"/>
      <c r="I139" s="499"/>
      <c r="J139" s="497"/>
      <c r="K139" s="497"/>
      <c r="L139" s="815"/>
      <c r="M139" s="725"/>
      <c r="N139" s="725"/>
      <c r="O139" s="725"/>
      <c r="P139" s="725"/>
      <c r="Q139" s="726"/>
      <c r="R139" s="784"/>
      <c r="S139" s="497"/>
      <c r="T139" s="784"/>
    </row>
    <row r="140" spans="1:41" s="501" customFormat="1" ht="13.5" customHeight="1" thickBot="1">
      <c r="A140" s="816"/>
      <c r="B140" s="817"/>
      <c r="C140" s="518"/>
      <c r="D140" s="518"/>
      <c r="E140" s="515"/>
      <c r="F140" s="721"/>
      <c r="G140" s="515" t="s">
        <v>146</v>
      </c>
      <c r="H140" s="515"/>
      <c r="I140" s="516"/>
      <c r="J140" s="515"/>
      <c r="K140" s="515"/>
      <c r="L140" s="818" t="s">
        <v>143</v>
      </c>
      <c r="M140" s="517"/>
      <c r="N140" s="517"/>
      <c r="O140" s="517"/>
      <c r="P140" s="517"/>
      <c r="Q140" s="722"/>
      <c r="R140" s="819">
        <f ca="1">SUMIF($L128:$L139,"SUBI",R128:R139)</f>
        <v>10427.64</v>
      </c>
      <c r="S140" s="515"/>
      <c r="T140" s="819">
        <f ca="1">SUMIF($L128:$L139,"SUBI",T128:T139)</f>
        <v>3</v>
      </c>
      <c r="U140" s="518"/>
      <c r="V140" s="518"/>
      <c r="W140" s="518"/>
      <c r="X140" s="518"/>
      <c r="Y140" s="518"/>
      <c r="Z140" s="518"/>
      <c r="AA140" s="518"/>
      <c r="AB140" s="518"/>
      <c r="AC140" s="518"/>
      <c r="AD140" s="518"/>
      <c r="AE140" s="518"/>
      <c r="AF140" s="518"/>
      <c r="AG140" s="518"/>
      <c r="AH140" s="518"/>
      <c r="AI140" s="518"/>
      <c r="AJ140" s="518"/>
      <c r="AK140" s="518"/>
      <c r="AL140" s="518"/>
      <c r="AM140" s="518"/>
      <c r="AN140" s="518"/>
      <c r="AO140" s="518"/>
    </row>
    <row r="141" spans="1:41" s="501" customFormat="1" ht="12" thickTop="1">
      <c r="A141" s="44"/>
      <c r="B141" s="39"/>
      <c r="C141" s="44"/>
      <c r="E141" s="40" t="s">
        <v>138</v>
      </c>
      <c r="F141" s="40" t="s">
        <v>139</v>
      </c>
      <c r="G141" s="44"/>
      <c r="H141" s="44"/>
      <c r="I141" s="44"/>
      <c r="J141" s="44"/>
      <c r="K141" s="44" t="s">
        <v>140</v>
      </c>
      <c r="L141" s="44"/>
      <c r="M141" s="44"/>
      <c r="N141" s="44"/>
      <c r="O141" s="45"/>
      <c r="P141" s="44"/>
      <c r="Q141" s="44"/>
      <c r="R141" s="44"/>
      <c r="S141" s="44"/>
      <c r="T141" s="39"/>
      <c r="AG141" s="502" t="s">
        <v>247</v>
      </c>
      <c r="AH141" s="502" t="s">
        <v>248</v>
      </c>
      <c r="AI141" s="502" t="s">
        <v>249</v>
      </c>
      <c r="AJ141" s="502" t="s">
        <v>250</v>
      </c>
      <c r="AK141" s="502" t="s">
        <v>251</v>
      </c>
      <c r="AM141" s="710" t="s">
        <v>260</v>
      </c>
      <c r="AN141" s="711" t="s">
        <v>261</v>
      </c>
      <c r="AO141" s="503" t="s">
        <v>257</v>
      </c>
    </row>
    <row r="142" spans="1:41" s="501" customFormat="1" ht="12" customHeight="1">
      <c r="A142" s="712">
        <v>3</v>
      </c>
      <c r="B142" s="504" t="s">
        <v>141</v>
      </c>
      <c r="C142" s="505"/>
      <c r="D142" s="713" t="s">
        <v>922</v>
      </c>
      <c r="E142" s="1135">
        <f>IF(AND($A142=0,$A$1="DIF"),0, ROUND(ROUND(($R154*$S$3+($T154*$T$3))/$A142,2)*$C$3,2))</f>
        <v>129.4</v>
      </c>
      <c r="F142" s="1136">
        <f>ROUND($A142*$E142,2)</f>
        <v>388.2</v>
      </c>
      <c r="G142" s="506" t="s">
        <v>142</v>
      </c>
      <c r="H142" s="498"/>
      <c r="I142" s="716"/>
      <c r="J142" s="498"/>
      <c r="K142" s="498" t="s">
        <v>5</v>
      </c>
      <c r="L142" s="717" t="s">
        <v>143</v>
      </c>
      <c r="M142" s="717"/>
      <c r="N142" s="717"/>
      <c r="O142" s="717"/>
      <c r="P142" s="717"/>
      <c r="Q142" s="943" t="s">
        <v>1098</v>
      </c>
      <c r="T142" s="1140" t="str">
        <f>IF(AND($R154=0,$T154=0),"0.00","mu: "&amp; ROUND(F142/$C$3/($R154+$T154*$D$9),2))</f>
        <v>mu: 1.4</v>
      </c>
      <c r="W142" s="507"/>
      <c r="AG142" s="1137">
        <f>IF($E142=0,0,ROUND($R154*$S$3*$C$3/$A142,2))</f>
        <v>106.64</v>
      </c>
      <c r="AH142" s="1137">
        <f>$AG142*$A142</f>
        <v>319.92</v>
      </c>
      <c r="AI142" s="1138">
        <f>$E142-$AG142</f>
        <v>22.760000000000005</v>
      </c>
      <c r="AJ142" s="1138">
        <f>$A142*$AI142</f>
        <v>68.280000000000015</v>
      </c>
      <c r="AK142" s="1139">
        <f>ROUND(($AG142+$AI142)*$A142,2)</f>
        <v>388.2</v>
      </c>
      <c r="AM142" s="510">
        <f>ROUND(R154,2)</f>
        <v>236.97</v>
      </c>
      <c r="AN142" s="511">
        <f>ROUND(T154,2)</f>
        <v>1.5</v>
      </c>
      <c r="AO142" s="512">
        <f>ROUND(AM142+AN142,2)*A142</f>
        <v>715.41</v>
      </c>
    </row>
    <row r="143" spans="1:41" s="501" customFormat="1" ht="13.2">
      <c r="A143" s="505"/>
      <c r="B143"/>
      <c r="C143" s="505"/>
      <c r="D143" s="713" t="s">
        <v>685</v>
      </c>
      <c r="F143" s="498"/>
      <c r="G143" s="3"/>
      <c r="H143" s="498"/>
      <c r="I143" s="716"/>
      <c r="J143" s="498"/>
      <c r="K143" s="498" t="s">
        <v>144</v>
      </c>
      <c r="L143" s="498"/>
      <c r="M143" s="498"/>
      <c r="N143" s="498"/>
      <c r="O143" s="498"/>
      <c r="P143" s="498"/>
      <c r="Q143" s="44"/>
      <c r="R143" s="567"/>
      <c r="S143" s="719"/>
      <c r="T143" s="498"/>
    </row>
    <row r="144" spans="1:41" s="501" customFormat="1" ht="14.4" customHeight="1">
      <c r="A144" s="767"/>
      <c r="B144" s="768" t="s">
        <v>574</v>
      </c>
      <c r="C144" s="567"/>
      <c r="D144" s="903" t="s">
        <v>645</v>
      </c>
      <c r="E144" s="567"/>
      <c r="F144" s="567"/>
      <c r="G144" s="567"/>
      <c r="H144" s="764"/>
      <c r="I144" s="567"/>
      <c r="J144" s="45"/>
      <c r="K144" s="769"/>
      <c r="L144" s="770"/>
      <c r="M144" s="567"/>
      <c r="N144" s="567"/>
      <c r="O144" s="45"/>
      <c r="P144" s="567"/>
      <c r="Q144" s="567"/>
      <c r="R144" s="771">
        <f t="shared" ref="R144:R148" si="2">$A144*Q144</f>
        <v>0</v>
      </c>
      <c r="S144" s="567"/>
      <c r="T144" s="500">
        <f t="shared" ref="T144:T148" si="3">$A144*S144*$T$1</f>
        <v>0</v>
      </c>
    </row>
    <row r="145" spans="1:41" s="893" customFormat="1" ht="13.2">
      <c r="A145" s="1141">
        <v>0</v>
      </c>
      <c r="B145" s="1055" t="s">
        <v>296</v>
      </c>
      <c r="C145" s="1055"/>
      <c r="D145" s="1055" t="s">
        <v>646</v>
      </c>
      <c r="E145" s="1055"/>
      <c r="F145" s="1055"/>
      <c r="G145" s="1053" t="s">
        <v>647</v>
      </c>
      <c r="H145" s="1054">
        <v>690</v>
      </c>
      <c r="I145" s="1055" t="s">
        <v>648</v>
      </c>
      <c r="J145" s="1055" t="s">
        <v>649</v>
      </c>
      <c r="K145" s="1055"/>
      <c r="L145" s="1055"/>
      <c r="M145" s="1055"/>
      <c r="N145" s="1055"/>
      <c r="O145" s="1056">
        <v>1</v>
      </c>
      <c r="P145" s="1057">
        <v>34669</v>
      </c>
      <c r="Q145" s="1058">
        <v>1.86</v>
      </c>
      <c r="R145" s="1142">
        <f t="shared" si="2"/>
        <v>0</v>
      </c>
      <c r="S145" s="1058">
        <v>0.2</v>
      </c>
      <c r="T145" s="1143">
        <f t="shared" si="3"/>
        <v>0</v>
      </c>
    </row>
    <row r="146" spans="1:41" s="893" customFormat="1" ht="13.2">
      <c r="A146" s="1141">
        <v>0</v>
      </c>
      <c r="B146" s="1055" t="s">
        <v>296</v>
      </c>
      <c r="C146" s="1055"/>
      <c r="D146" s="1055" t="s">
        <v>650</v>
      </c>
      <c r="E146" s="1055"/>
      <c r="F146" s="1055"/>
      <c r="G146" s="1053" t="s">
        <v>651</v>
      </c>
      <c r="H146" s="1054">
        <v>690</v>
      </c>
      <c r="I146" s="1055" t="s">
        <v>648</v>
      </c>
      <c r="J146" s="1055" t="s">
        <v>649</v>
      </c>
      <c r="K146" s="1055"/>
      <c r="L146" s="1055"/>
      <c r="M146" s="1055"/>
      <c r="N146" s="1055"/>
      <c r="O146" s="1056">
        <v>1</v>
      </c>
      <c r="P146" s="1057">
        <v>34669</v>
      </c>
      <c r="Q146" s="1058">
        <v>0.98</v>
      </c>
      <c r="R146" s="1142">
        <f t="shared" si="2"/>
        <v>0</v>
      </c>
      <c r="S146" s="1058"/>
      <c r="T146" s="1143">
        <f t="shared" si="3"/>
        <v>0</v>
      </c>
    </row>
    <row r="147" spans="1:41" s="893" customFormat="1" ht="13.2">
      <c r="A147" s="1141">
        <v>0</v>
      </c>
      <c r="B147" s="1055" t="s">
        <v>296</v>
      </c>
      <c r="C147" s="1055"/>
      <c r="D147" s="1055" t="s">
        <v>652</v>
      </c>
      <c r="E147" s="1055"/>
      <c r="F147" s="1055"/>
      <c r="G147" s="1053" t="s">
        <v>653</v>
      </c>
      <c r="H147" s="1054">
        <v>690</v>
      </c>
      <c r="I147" s="1055" t="s">
        <v>648</v>
      </c>
      <c r="J147" s="1055" t="s">
        <v>649</v>
      </c>
      <c r="K147" s="1055"/>
      <c r="L147" s="1055"/>
      <c r="M147" s="1055"/>
      <c r="N147" s="1055"/>
      <c r="O147" s="1056">
        <v>1</v>
      </c>
      <c r="P147" s="1057">
        <v>34669</v>
      </c>
      <c r="Q147" s="1058">
        <v>3.66</v>
      </c>
      <c r="R147" s="1142">
        <f t="shared" si="2"/>
        <v>0</v>
      </c>
      <c r="S147" s="1058">
        <v>0.2</v>
      </c>
      <c r="T147" s="1143">
        <f t="shared" si="3"/>
        <v>0</v>
      </c>
    </row>
    <row r="148" spans="1:41" s="893" customFormat="1" ht="13.2">
      <c r="A148" s="1141">
        <v>0</v>
      </c>
      <c r="B148" s="1055" t="s">
        <v>296</v>
      </c>
      <c r="C148" s="1055"/>
      <c r="D148" s="1055" t="s">
        <v>726</v>
      </c>
      <c r="E148" s="1055"/>
      <c r="F148" s="1055"/>
      <c r="G148" s="1053" t="s">
        <v>728</v>
      </c>
      <c r="H148" s="1054">
        <v>617</v>
      </c>
      <c r="I148" s="1055" t="s">
        <v>729</v>
      </c>
      <c r="J148" s="1055" t="s">
        <v>730</v>
      </c>
      <c r="K148" s="1055"/>
      <c r="L148" s="1055"/>
      <c r="M148" s="1055"/>
      <c r="N148" s="1055"/>
      <c r="O148" s="1056">
        <v>2</v>
      </c>
      <c r="P148" s="1057">
        <v>38433</v>
      </c>
      <c r="Q148" s="1058">
        <v>1.4524999999999999</v>
      </c>
      <c r="R148" s="1142">
        <f t="shared" si="2"/>
        <v>0</v>
      </c>
      <c r="S148" s="1058">
        <v>0.03</v>
      </c>
      <c r="T148" s="1143">
        <f t="shared" si="3"/>
        <v>0</v>
      </c>
    </row>
    <row r="149" spans="1:41" s="893" customFormat="1" ht="13.2">
      <c r="A149" s="1141">
        <v>0</v>
      </c>
      <c r="B149" s="1055" t="s">
        <v>141</v>
      </c>
      <c r="C149" s="1055"/>
      <c r="D149" s="1055" t="s">
        <v>815</v>
      </c>
      <c r="E149" s="1055"/>
      <c r="F149" s="1055"/>
      <c r="G149" s="1053" t="s">
        <v>816</v>
      </c>
      <c r="H149" s="1054">
        <v>620</v>
      </c>
      <c r="I149" s="1055" t="s">
        <v>643</v>
      </c>
      <c r="J149" s="1055"/>
      <c r="K149" s="1055"/>
      <c r="L149" s="1055"/>
      <c r="M149" s="1055"/>
      <c r="N149" s="1055"/>
      <c r="O149" s="1056">
        <v>2</v>
      </c>
      <c r="P149" s="1057">
        <v>35431</v>
      </c>
      <c r="Q149" s="1058">
        <v>0.35</v>
      </c>
      <c r="R149" s="1142">
        <f>$A149*Q149</f>
        <v>0</v>
      </c>
      <c r="S149" s="1058"/>
      <c r="T149" s="1143">
        <f>$A149*S149*$T$1</f>
        <v>0</v>
      </c>
    </row>
    <row r="150" spans="1:41" s="893" customFormat="1" ht="13.2">
      <c r="A150" s="1141">
        <v>0</v>
      </c>
      <c r="B150" s="1055" t="s">
        <v>141</v>
      </c>
      <c r="C150" s="1055"/>
      <c r="D150" s="1055" t="s">
        <v>817</v>
      </c>
      <c r="E150" s="1055"/>
      <c r="F150" s="1055"/>
      <c r="G150" s="1053" t="s">
        <v>731</v>
      </c>
      <c r="H150" s="1054">
        <v>620</v>
      </c>
      <c r="I150" s="1055" t="s">
        <v>643</v>
      </c>
      <c r="J150" s="1055"/>
      <c r="K150" s="1055"/>
      <c r="L150" s="1055"/>
      <c r="M150" s="1055"/>
      <c r="N150" s="1055"/>
      <c r="O150" s="1056">
        <v>2</v>
      </c>
      <c r="P150" s="1057"/>
      <c r="Q150" s="1058">
        <v>0.2</v>
      </c>
      <c r="R150" s="1142">
        <f>$A150*Q150</f>
        <v>0</v>
      </c>
      <c r="S150" s="1058"/>
      <c r="T150" s="1143">
        <f>$A150*S150*$T$1</f>
        <v>0</v>
      </c>
    </row>
    <row r="151" spans="1:41" s="893" customFormat="1" ht="13.2">
      <c r="A151" s="1141">
        <v>0</v>
      </c>
      <c r="B151" s="1055" t="s">
        <v>141</v>
      </c>
      <c r="C151" s="1055"/>
      <c r="D151" s="1055" t="s">
        <v>818</v>
      </c>
      <c r="E151" s="1055"/>
      <c r="F151" s="1055"/>
      <c r="G151" s="1053" t="s">
        <v>768</v>
      </c>
      <c r="H151" s="1054">
        <v>570</v>
      </c>
      <c r="I151" s="1055" t="s">
        <v>643</v>
      </c>
      <c r="J151" s="1055"/>
      <c r="K151" s="1055"/>
      <c r="L151" s="1055"/>
      <c r="M151" s="1055"/>
      <c r="N151" s="1055"/>
      <c r="O151" s="1056">
        <v>2</v>
      </c>
      <c r="P151" s="1057">
        <v>38443</v>
      </c>
      <c r="Q151" s="1058">
        <v>5</v>
      </c>
      <c r="R151" s="1142">
        <f>$A151*Q151</f>
        <v>0</v>
      </c>
      <c r="S151" s="1058">
        <v>0.17</v>
      </c>
      <c r="T151" s="1143">
        <f>$A151*S151*$T$1</f>
        <v>0</v>
      </c>
    </row>
    <row r="152" spans="1:41" s="893" customFormat="1" ht="13.2">
      <c r="A152">
        <v>3</v>
      </c>
      <c r="B152" s="893" t="s">
        <v>141</v>
      </c>
      <c r="D152" s="893" t="s">
        <v>641</v>
      </c>
      <c r="E152" s="901" t="s">
        <v>1099</v>
      </c>
      <c r="F152" s="1134" t="s">
        <v>1107</v>
      </c>
      <c r="G152" s="894" t="s">
        <v>642</v>
      </c>
      <c r="H152" s="895">
        <v>512</v>
      </c>
      <c r="I152" s="893" t="s">
        <v>643</v>
      </c>
      <c r="O152" s="896">
        <v>3</v>
      </c>
      <c r="P152" s="897"/>
      <c r="Q152" s="898">
        <v>78.989999999999995</v>
      </c>
      <c r="R152" s="899">
        <f>$A152*Q152</f>
        <v>236.96999999999997</v>
      </c>
      <c r="S152" s="898">
        <v>0.5</v>
      </c>
      <c r="T152" s="900">
        <f>$A152*S152*$T$1</f>
        <v>1.5</v>
      </c>
    </row>
    <row r="153" spans="1:41" s="501" customFormat="1" ht="12">
      <c r="A153" s="497"/>
      <c r="B153" s="497"/>
      <c r="C153" s="497"/>
      <c r="D153" s="497"/>
      <c r="E153" s="497"/>
      <c r="F153" s="498"/>
      <c r="G153" s="497"/>
      <c r="H153" s="497"/>
      <c r="I153" s="499"/>
      <c r="J153" s="497"/>
      <c r="K153" s="497"/>
      <c r="L153" s="497"/>
      <c r="M153" s="497"/>
      <c r="N153" s="497"/>
      <c r="O153" s="497"/>
      <c r="P153" s="497"/>
      <c r="Q153" s="499"/>
      <c r="R153" s="720">
        <f>$A153*Q153</f>
        <v>0</v>
      </c>
      <c r="S153" s="499"/>
      <c r="T153" s="500">
        <f>$A153*S153*$T$1</f>
        <v>0</v>
      </c>
    </row>
    <row r="154" spans="1:41" s="501" customFormat="1" ht="12.6" thickBot="1">
      <c r="A154" s="513" t="s">
        <v>145</v>
      </c>
      <c r="B154" s="514">
        <f>(R153+T153)</f>
        <v>0</v>
      </c>
      <c r="C154" s="515"/>
      <c r="D154" s="515"/>
      <c r="E154" s="515"/>
      <c r="F154" s="721"/>
      <c r="G154" s="515" t="s">
        <v>146</v>
      </c>
      <c r="H154" s="515"/>
      <c r="I154" s="516"/>
      <c r="J154" s="515"/>
      <c r="K154" s="515" t="s">
        <v>5</v>
      </c>
      <c r="L154" s="517" t="s">
        <v>143</v>
      </c>
      <c r="M154" s="517"/>
      <c r="N154" s="517"/>
      <c r="O154" s="517"/>
      <c r="P154" s="517"/>
      <c r="Q154" s="722"/>
      <c r="R154" s="723">
        <f>SUM(R143:R153)</f>
        <v>236.96999999999997</v>
      </c>
      <c r="S154" s="515"/>
      <c r="T154" s="723">
        <f>SUM(T143:T153)</f>
        <v>1.5</v>
      </c>
      <c r="U154" s="518"/>
      <c r="V154" s="518"/>
      <c r="W154" s="518"/>
      <c r="X154" s="518"/>
      <c r="Y154" s="518"/>
      <c r="Z154" s="518"/>
      <c r="AA154" s="518"/>
      <c r="AB154" s="518"/>
      <c r="AC154" s="518"/>
      <c r="AD154" s="518"/>
      <c r="AE154" s="518"/>
      <c r="AF154" s="518"/>
      <c r="AG154" s="518"/>
      <c r="AH154" s="518"/>
      <c r="AI154" s="518"/>
      <c r="AJ154" s="518"/>
      <c r="AK154" s="518"/>
      <c r="AL154" s="518"/>
      <c r="AM154" s="518"/>
      <c r="AN154" s="518"/>
      <c r="AO154" s="518"/>
    </row>
    <row r="155" spans="1:41" s="501" customFormat="1" ht="12" thickTop="1">
      <c r="A155" s="44"/>
      <c r="B155" s="39"/>
      <c r="C155" s="44"/>
      <c r="E155" s="40" t="s">
        <v>138</v>
      </c>
      <c r="F155" s="40" t="s">
        <v>139</v>
      </c>
      <c r="G155" s="44"/>
      <c r="H155" s="44"/>
      <c r="I155" s="44"/>
      <c r="J155" s="44"/>
      <c r="K155" s="44" t="s">
        <v>140</v>
      </c>
      <c r="L155" s="44"/>
      <c r="M155" s="44"/>
      <c r="N155" s="44"/>
      <c r="O155" s="45"/>
      <c r="P155" s="44"/>
      <c r="Q155" s="44"/>
      <c r="R155" s="44"/>
      <c r="S155" s="44"/>
      <c r="T155" s="39"/>
      <c r="AG155" s="502" t="s">
        <v>247</v>
      </c>
      <c r="AH155" s="502" t="s">
        <v>248</v>
      </c>
      <c r="AI155" s="502" t="s">
        <v>249</v>
      </c>
      <c r="AJ155" s="502" t="s">
        <v>250</v>
      </c>
      <c r="AK155" s="502" t="s">
        <v>251</v>
      </c>
      <c r="AM155" s="710" t="s">
        <v>260</v>
      </c>
      <c r="AN155" s="711" t="s">
        <v>261</v>
      </c>
      <c r="AO155" s="503" t="s">
        <v>257</v>
      </c>
    </row>
    <row r="156" spans="1:41" s="501" customFormat="1" ht="12" customHeight="1">
      <c r="A156" s="712">
        <v>6</v>
      </c>
      <c r="B156" s="504" t="s">
        <v>141</v>
      </c>
      <c r="C156" s="505"/>
      <c r="D156" s="713" t="s">
        <v>922</v>
      </c>
      <c r="E156" s="1135">
        <f>IF(AND($A156=0,$A$1="DIF"),0, ROUND(ROUND(($R168*$S$3+($T168*$T$3))/$A156,2)*$C$3,2))</f>
        <v>22.76</v>
      </c>
      <c r="F156" s="1136">
        <f>ROUND($A156*$E156,2)</f>
        <v>136.56</v>
      </c>
      <c r="G156" s="506" t="s">
        <v>142</v>
      </c>
      <c r="H156" s="498"/>
      <c r="I156" s="716"/>
      <c r="J156" s="498"/>
      <c r="K156" s="498" t="s">
        <v>5</v>
      </c>
      <c r="L156" s="717" t="s">
        <v>143</v>
      </c>
      <c r="M156" s="717"/>
      <c r="N156" s="717"/>
      <c r="O156" s="717"/>
      <c r="P156" s="717"/>
      <c r="Q156" s="943" t="s">
        <v>1098</v>
      </c>
      <c r="T156" s="1140" t="str">
        <f>IF(AND($R168=0,$T168=0),"0.00","mu: "&amp; ROUND(F156/$C$3/($R168+$T168*$D$9),2))</f>
        <v>mu: 1.66</v>
      </c>
      <c r="W156" s="507"/>
      <c r="AG156" s="1137">
        <f>IF($E156=0,0,ROUND($R168*$S$3*$C$3/$A156,2))</f>
        <v>0</v>
      </c>
      <c r="AH156" s="1137">
        <f>$AG156*$A156</f>
        <v>0</v>
      </c>
      <c r="AI156" s="1138">
        <f>$E156-$AG156</f>
        <v>22.76</v>
      </c>
      <c r="AJ156" s="1138">
        <f>$A156*$AI156</f>
        <v>136.56</v>
      </c>
      <c r="AK156" s="1139">
        <f>ROUND(($AG156+$AI156)*$A156,2)</f>
        <v>136.56</v>
      </c>
      <c r="AM156" s="510">
        <f>ROUND(R168,2)</f>
        <v>0</v>
      </c>
      <c r="AN156" s="511">
        <f>ROUND(T168,2)</f>
        <v>3</v>
      </c>
      <c r="AO156" s="512">
        <f>ROUND(AM156+AN156,2)*A156</f>
        <v>18</v>
      </c>
    </row>
    <row r="157" spans="1:41" s="501" customFormat="1" ht="13.2">
      <c r="A157" s="505"/>
      <c r="B157"/>
      <c r="C157" s="505"/>
      <c r="D157" s="713" t="s">
        <v>894</v>
      </c>
      <c r="F157" s="498"/>
      <c r="G157" s="3"/>
      <c r="H157" s="498"/>
      <c r="I157" s="716"/>
      <c r="J157" s="498"/>
      <c r="K157" s="498" t="s">
        <v>144</v>
      </c>
      <c r="L157" s="498"/>
      <c r="M157" s="498"/>
      <c r="N157" s="498"/>
      <c r="O157" s="498"/>
      <c r="P157" s="498"/>
      <c r="Q157" s="44"/>
      <c r="R157" s="567"/>
      <c r="S157" s="719"/>
      <c r="T157" s="498"/>
    </row>
    <row r="158" spans="1:41" s="501" customFormat="1" ht="14.4" customHeight="1">
      <c r="A158" s="767"/>
      <c r="B158" s="768" t="s">
        <v>574</v>
      </c>
      <c r="C158" s="567"/>
      <c r="D158" s="903" t="s">
        <v>923</v>
      </c>
      <c r="E158" s="567"/>
      <c r="F158" s="567"/>
      <c r="G158" s="567"/>
      <c r="H158" s="764"/>
      <c r="I158" s="567"/>
      <c r="J158" s="45"/>
      <c r="K158" s="769"/>
      <c r="L158" s="770"/>
      <c r="M158" s="567"/>
      <c r="N158" s="567"/>
      <c r="O158" s="45"/>
      <c r="P158" s="567"/>
      <c r="Q158" s="567"/>
      <c r="R158" s="771">
        <f t="shared" ref="R158:R167" si="4">$A158*Q158</f>
        <v>0</v>
      </c>
      <c r="S158" s="567"/>
      <c r="T158" s="500">
        <f t="shared" ref="T158:T167" si="5">$A158*S158*$T$1</f>
        <v>0</v>
      </c>
    </row>
    <row r="159" spans="1:41" s="893" customFormat="1" ht="13.2">
      <c r="A159" s="1141">
        <v>0</v>
      </c>
      <c r="B159" s="1055" t="s">
        <v>296</v>
      </c>
      <c r="C159" s="1055"/>
      <c r="D159" s="1055" t="s">
        <v>646</v>
      </c>
      <c r="E159" s="1055"/>
      <c r="F159" s="1055"/>
      <c r="G159" s="1053" t="s">
        <v>647</v>
      </c>
      <c r="H159" s="1054">
        <v>690</v>
      </c>
      <c r="I159" s="1055" t="s">
        <v>648</v>
      </c>
      <c r="J159" s="1055" t="s">
        <v>649</v>
      </c>
      <c r="K159" s="1055"/>
      <c r="L159" s="1055"/>
      <c r="M159" s="1055"/>
      <c r="N159" s="1055"/>
      <c r="O159" s="1056">
        <v>1</v>
      </c>
      <c r="P159" s="1057">
        <v>34669</v>
      </c>
      <c r="Q159" s="1058">
        <v>1.86</v>
      </c>
      <c r="R159" s="1142">
        <f t="shared" si="4"/>
        <v>0</v>
      </c>
      <c r="S159" s="1058">
        <v>0.2</v>
      </c>
      <c r="T159" s="1143">
        <f t="shared" si="5"/>
        <v>0</v>
      </c>
      <c r="U159" s="893">
        <f>A159/6</f>
        <v>0</v>
      </c>
    </row>
    <row r="160" spans="1:41" s="893" customFormat="1" ht="13.2">
      <c r="A160" s="1141">
        <v>0</v>
      </c>
      <c r="B160" s="1055" t="s">
        <v>296</v>
      </c>
      <c r="C160" s="1055"/>
      <c r="D160" s="1055" t="s">
        <v>650</v>
      </c>
      <c r="E160" s="1055"/>
      <c r="F160" s="1055"/>
      <c r="G160" s="1053" t="s">
        <v>651</v>
      </c>
      <c r="H160" s="1054">
        <v>690</v>
      </c>
      <c r="I160" s="1055" t="s">
        <v>648</v>
      </c>
      <c r="J160" s="1055" t="s">
        <v>649</v>
      </c>
      <c r="K160" s="1055"/>
      <c r="L160" s="1055"/>
      <c r="M160" s="1055"/>
      <c r="N160" s="1055"/>
      <c r="O160" s="1056">
        <v>1</v>
      </c>
      <c r="P160" s="1057">
        <v>34669</v>
      </c>
      <c r="Q160" s="1058">
        <v>0.98</v>
      </c>
      <c r="R160" s="1142">
        <f t="shared" si="4"/>
        <v>0</v>
      </c>
      <c r="S160" s="1058"/>
      <c r="T160" s="1143">
        <f t="shared" si="5"/>
        <v>0</v>
      </c>
      <c r="U160" s="893">
        <f t="shared" ref="U160:U165" si="6">A160/6</f>
        <v>0</v>
      </c>
    </row>
    <row r="161" spans="1:41" s="893" customFormat="1" ht="13.2">
      <c r="A161" s="1141">
        <v>0</v>
      </c>
      <c r="B161" s="1055" t="s">
        <v>296</v>
      </c>
      <c r="C161" s="1055"/>
      <c r="D161" s="1055" t="s">
        <v>652</v>
      </c>
      <c r="E161" s="1055"/>
      <c r="F161" s="1055"/>
      <c r="G161" s="1053" t="s">
        <v>653</v>
      </c>
      <c r="H161" s="1054">
        <v>690</v>
      </c>
      <c r="I161" s="1055" t="s">
        <v>648</v>
      </c>
      <c r="J161" s="1055" t="s">
        <v>649</v>
      </c>
      <c r="K161" s="1055"/>
      <c r="L161" s="1055"/>
      <c r="M161" s="1055"/>
      <c r="N161" s="1055"/>
      <c r="O161" s="1056">
        <v>1</v>
      </c>
      <c r="P161" s="1057">
        <v>34669</v>
      </c>
      <c r="Q161" s="1058">
        <v>3.66</v>
      </c>
      <c r="R161" s="1142">
        <f t="shared" si="4"/>
        <v>0</v>
      </c>
      <c r="S161" s="1058">
        <v>0.2</v>
      </c>
      <c r="T161" s="1143">
        <f t="shared" si="5"/>
        <v>0</v>
      </c>
      <c r="U161" s="893">
        <f t="shared" si="6"/>
        <v>0</v>
      </c>
    </row>
    <row r="162" spans="1:41" s="893" customFormat="1" ht="13.2">
      <c r="A162" s="1141">
        <v>0</v>
      </c>
      <c r="B162" s="1055" t="s">
        <v>296</v>
      </c>
      <c r="C162" s="1055"/>
      <c r="D162" s="1055" t="s">
        <v>726</v>
      </c>
      <c r="E162" s="1055"/>
      <c r="F162" s="1055"/>
      <c r="G162" s="1053" t="s">
        <v>728</v>
      </c>
      <c r="H162" s="1054">
        <v>617</v>
      </c>
      <c r="I162" s="1055" t="s">
        <v>729</v>
      </c>
      <c r="J162" s="1055" t="s">
        <v>730</v>
      </c>
      <c r="K162" s="1055"/>
      <c r="L162" s="1055"/>
      <c r="M162" s="1055"/>
      <c r="N162" s="1055"/>
      <c r="O162" s="1056">
        <v>2</v>
      </c>
      <c r="P162" s="1057">
        <v>38433</v>
      </c>
      <c r="Q162" s="1058">
        <v>1.4524999999999999</v>
      </c>
      <c r="R162" s="1142">
        <f t="shared" si="4"/>
        <v>0</v>
      </c>
      <c r="S162" s="1058">
        <v>0.03</v>
      </c>
      <c r="T162" s="1143">
        <f t="shared" si="5"/>
        <v>0</v>
      </c>
      <c r="U162" s="893">
        <f t="shared" si="6"/>
        <v>0</v>
      </c>
    </row>
    <row r="163" spans="1:41" s="893" customFormat="1" ht="13.2">
      <c r="A163" s="1141">
        <v>0</v>
      </c>
      <c r="B163" s="1055" t="s">
        <v>141</v>
      </c>
      <c r="C163" s="1055"/>
      <c r="D163" s="1055" t="s">
        <v>815</v>
      </c>
      <c r="E163" s="1055"/>
      <c r="F163" s="1055"/>
      <c r="G163" s="1053" t="s">
        <v>816</v>
      </c>
      <c r="H163" s="1054">
        <v>620</v>
      </c>
      <c r="I163" s="1055" t="s">
        <v>643</v>
      </c>
      <c r="J163" s="1055"/>
      <c r="K163" s="1055"/>
      <c r="L163" s="1055"/>
      <c r="M163" s="1055"/>
      <c r="N163" s="1055"/>
      <c r="O163" s="1056">
        <v>2</v>
      </c>
      <c r="P163" s="1057">
        <v>35431</v>
      </c>
      <c r="Q163" s="1058">
        <v>0.35</v>
      </c>
      <c r="R163" s="1142">
        <f>$A163*Q163</f>
        <v>0</v>
      </c>
      <c r="S163" s="1058"/>
      <c r="T163" s="1143">
        <f>$A163*S163*$T$1</f>
        <v>0</v>
      </c>
      <c r="U163" s="893">
        <f t="shared" si="6"/>
        <v>0</v>
      </c>
    </row>
    <row r="164" spans="1:41" s="893" customFormat="1" ht="13.2">
      <c r="A164" s="1141">
        <v>0</v>
      </c>
      <c r="B164" s="1055" t="s">
        <v>141</v>
      </c>
      <c r="C164" s="1055"/>
      <c r="D164" s="1055" t="s">
        <v>817</v>
      </c>
      <c r="E164" s="1055"/>
      <c r="F164" s="1055"/>
      <c r="G164" s="1053" t="s">
        <v>731</v>
      </c>
      <c r="H164" s="1054">
        <v>620</v>
      </c>
      <c r="I164" s="1055" t="s">
        <v>643</v>
      </c>
      <c r="J164" s="1055"/>
      <c r="K164" s="1055"/>
      <c r="L164" s="1055"/>
      <c r="M164" s="1055"/>
      <c r="N164" s="1055"/>
      <c r="O164" s="1056">
        <v>2</v>
      </c>
      <c r="P164" s="1057"/>
      <c r="Q164" s="1058">
        <v>0.2</v>
      </c>
      <c r="R164" s="1142">
        <f>$A164*Q164</f>
        <v>0</v>
      </c>
      <c r="S164" s="1058"/>
      <c r="T164" s="1143">
        <f>$A164*S164*$T$1</f>
        <v>0</v>
      </c>
      <c r="U164" s="893">
        <f t="shared" si="6"/>
        <v>0</v>
      </c>
    </row>
    <row r="165" spans="1:41" s="893" customFormat="1" ht="13.2">
      <c r="A165" s="1141">
        <v>0</v>
      </c>
      <c r="B165" s="1055" t="s">
        <v>141</v>
      </c>
      <c r="C165" s="1055"/>
      <c r="D165" s="1055" t="s">
        <v>818</v>
      </c>
      <c r="E165" s="1055"/>
      <c r="F165" s="1055"/>
      <c r="G165" s="1053" t="s">
        <v>768</v>
      </c>
      <c r="H165" s="1054">
        <v>570</v>
      </c>
      <c r="I165" s="1055" t="s">
        <v>643</v>
      </c>
      <c r="J165" s="1055"/>
      <c r="K165" s="1055"/>
      <c r="L165" s="1055"/>
      <c r="M165" s="1055"/>
      <c r="N165" s="1055"/>
      <c r="O165" s="1056">
        <v>2</v>
      </c>
      <c r="P165" s="1057">
        <v>38443</v>
      </c>
      <c r="Q165" s="1058">
        <v>5</v>
      </c>
      <c r="R165" s="1142">
        <f>$A165*Q165</f>
        <v>0</v>
      </c>
      <c r="S165" s="1058">
        <v>0.17</v>
      </c>
      <c r="T165" s="1143">
        <f>$A165*S165*$T$1</f>
        <v>0</v>
      </c>
      <c r="U165" s="893">
        <f t="shared" si="6"/>
        <v>0</v>
      </c>
    </row>
    <row r="166" spans="1:41" s="893" customFormat="1" ht="13.2">
      <c r="A166">
        <v>6</v>
      </c>
      <c r="B166" s="893" t="s">
        <v>141</v>
      </c>
      <c r="D166" s="893" t="s">
        <v>641</v>
      </c>
      <c r="E166" s="1052" t="s">
        <v>1106</v>
      </c>
      <c r="G166" s="894" t="s">
        <v>642</v>
      </c>
      <c r="H166" s="895">
        <v>512</v>
      </c>
      <c r="I166" s="893" t="s">
        <v>643</v>
      </c>
      <c r="O166" s="896">
        <v>3</v>
      </c>
      <c r="P166" s="897"/>
      <c r="Q166" s="898"/>
      <c r="R166" s="899">
        <f>$A166*Q166</f>
        <v>0</v>
      </c>
      <c r="S166" s="898">
        <v>0.5</v>
      </c>
      <c r="T166" s="900">
        <f>$A166*S166*$T$1</f>
        <v>3</v>
      </c>
    </row>
    <row r="167" spans="1:41" s="501" customFormat="1" ht="12">
      <c r="A167" s="497"/>
      <c r="B167" s="497"/>
      <c r="C167" s="497"/>
      <c r="D167" s="497"/>
      <c r="E167" s="497"/>
      <c r="F167" s="498"/>
      <c r="G167" s="497"/>
      <c r="H167" s="497"/>
      <c r="I167" s="499"/>
      <c r="J167" s="497"/>
      <c r="K167" s="497"/>
      <c r="L167" s="497"/>
      <c r="M167" s="497"/>
      <c r="N167" s="497"/>
      <c r="O167" s="497"/>
      <c r="P167" s="497"/>
      <c r="Q167" s="499"/>
      <c r="R167" s="720">
        <f t="shared" si="4"/>
        <v>0</v>
      </c>
      <c r="S167" s="499"/>
      <c r="T167" s="500">
        <f t="shared" si="5"/>
        <v>0</v>
      </c>
    </row>
    <row r="168" spans="1:41" s="501" customFormat="1" ht="12.6" thickBot="1">
      <c r="A168" s="513" t="s">
        <v>145</v>
      </c>
      <c r="B168" s="514">
        <f>(R167+T167)</f>
        <v>0</v>
      </c>
      <c r="C168" s="515"/>
      <c r="D168" s="515"/>
      <c r="E168" s="515"/>
      <c r="F168" s="721"/>
      <c r="G168" s="515" t="s">
        <v>146</v>
      </c>
      <c r="H168" s="515"/>
      <c r="I168" s="516"/>
      <c r="J168" s="515"/>
      <c r="K168" s="515" t="s">
        <v>5</v>
      </c>
      <c r="L168" s="517" t="s">
        <v>143</v>
      </c>
      <c r="M168" s="517"/>
      <c r="N168" s="517"/>
      <c r="O168" s="517"/>
      <c r="P168" s="517"/>
      <c r="Q168" s="722"/>
      <c r="R168" s="723">
        <f>SUM(R157:R167)</f>
        <v>0</v>
      </c>
      <c r="S168" s="515"/>
      <c r="T168" s="723">
        <f>SUM(T157:T167)</f>
        <v>3</v>
      </c>
      <c r="U168" s="518"/>
      <c r="V168" s="518"/>
      <c r="W168" s="518"/>
      <c r="X168" s="518"/>
      <c r="Y168" s="518"/>
      <c r="Z168" s="518"/>
      <c r="AA168" s="518"/>
      <c r="AB168" s="518"/>
      <c r="AC168" s="518"/>
      <c r="AD168" s="518"/>
      <c r="AE168" s="518"/>
      <c r="AF168" s="518"/>
      <c r="AG168" s="518"/>
      <c r="AH168" s="518"/>
      <c r="AI168" s="518"/>
      <c r="AJ168" s="518"/>
      <c r="AK168" s="518"/>
      <c r="AL168" s="518"/>
      <c r="AM168" s="518"/>
      <c r="AN168" s="518"/>
      <c r="AO168" s="518"/>
    </row>
    <row r="169" spans="1:41" s="501" customFormat="1" thickTop="1">
      <c r="A169" s="44"/>
      <c r="B169" s="44"/>
      <c r="C169" s="3"/>
      <c r="D169" s="3"/>
      <c r="E169" s="44"/>
      <c r="F169" s="44"/>
      <c r="G169" s="44"/>
      <c r="H169" s="44"/>
      <c r="I169" s="44"/>
      <c r="J169" s="44"/>
      <c r="K169" s="44" t="s">
        <v>134</v>
      </c>
      <c r="L169" s="44"/>
      <c r="M169" s="44"/>
      <c r="N169" s="44"/>
      <c r="O169" s="45"/>
      <c r="P169" s="44"/>
      <c r="Q169" s="44"/>
      <c r="R169" s="44"/>
      <c r="S169" s="44"/>
      <c r="T169" s="44"/>
    </row>
    <row r="170" spans="1:41" s="501" customFormat="1" ht="12">
      <c r="A170" s="44"/>
      <c r="B170" s="44"/>
      <c r="C170" s="44" t="s">
        <v>135</v>
      </c>
      <c r="D170" s="35" t="s">
        <v>924</v>
      </c>
      <c r="E170" s="44"/>
      <c r="F170" s="44"/>
      <c r="G170" s="44"/>
      <c r="H170" s="44"/>
      <c r="I170" s="44"/>
      <c r="J170" s="44"/>
      <c r="K170" s="44"/>
      <c r="L170" s="44"/>
      <c r="M170" s="44"/>
      <c r="N170" s="44"/>
      <c r="O170" s="45"/>
      <c r="P170" s="44"/>
      <c r="Q170" s="44"/>
      <c r="R170" s="44"/>
      <c r="S170" s="44"/>
      <c r="T170" s="44"/>
    </row>
    <row r="171" spans="1:41" s="501" customFormat="1" ht="39.9" customHeight="1">
      <c r="A171" s="44"/>
      <c r="B171" s="44"/>
      <c r="C171" s="44"/>
      <c r="D171" s="1185" t="s">
        <v>895</v>
      </c>
      <c r="E171" s="1184"/>
      <c r="F171" s="1184"/>
      <c r="G171" s="1184"/>
      <c r="H171" s="1184"/>
      <c r="I171" s="1184"/>
      <c r="J171" s="1184"/>
      <c r="K171" s="1184"/>
      <c r="L171" s="1184"/>
      <c r="M171" s="1184"/>
      <c r="N171" s="1184"/>
      <c r="O171" s="1184"/>
      <c r="P171" s="1184"/>
      <c r="Q171" s="1184"/>
      <c r="R171" s="1184"/>
      <c r="S171" s="1184"/>
      <c r="T171" s="1184"/>
    </row>
    <row r="172" spans="1:41" s="3" customFormat="1" thickBot="1">
      <c r="A172" s="518"/>
      <c r="O172" s="86"/>
    </row>
    <row r="173" spans="1:41" s="501" customFormat="1" thickTop="1">
      <c r="A173" s="44"/>
      <c r="B173" s="39"/>
      <c r="C173" s="44"/>
      <c r="E173" s="40" t="s">
        <v>138</v>
      </c>
      <c r="F173" s="40" t="s">
        <v>139</v>
      </c>
      <c r="G173" s="44"/>
      <c r="H173" s="44"/>
      <c r="I173" s="44"/>
      <c r="J173" s="44"/>
      <c r="K173" s="44" t="s">
        <v>140</v>
      </c>
      <c r="L173" s="737"/>
      <c r="M173" s="44"/>
      <c r="N173" s="44"/>
      <c r="O173" s="45"/>
      <c r="P173" s="44"/>
      <c r="Q173"/>
      <c r="R173"/>
      <c r="S173"/>
      <c r="T173" s="39"/>
      <c r="AG173" s="502" t="s">
        <v>247</v>
      </c>
      <c r="AH173" s="502" t="s">
        <v>248</v>
      </c>
      <c r="AI173" s="502" t="s">
        <v>249</v>
      </c>
      <c r="AJ173" s="502" t="s">
        <v>250</v>
      </c>
      <c r="AK173" s="502" t="s">
        <v>251</v>
      </c>
      <c r="AM173" s="710" t="s">
        <v>260</v>
      </c>
      <c r="AN173" s="711" t="s">
        <v>261</v>
      </c>
      <c r="AO173" s="503" t="s">
        <v>257</v>
      </c>
    </row>
    <row r="174" spans="1:41" s="501" customFormat="1" ht="13.2">
      <c r="A174" s="712">
        <v>1</v>
      </c>
      <c r="B174" s="504" t="s">
        <v>283</v>
      </c>
      <c r="C174" s="505"/>
      <c r="D174" s="713" t="s">
        <v>577</v>
      </c>
      <c r="E174" s="738">
        <f ca="1">IF(AND($A174=0,$A$1="DIF"),0,ROUND(ROUND(SUMIF($L176:$L187,"SUBI",$E176:$E187)/$A174,2)*$C$12,2))</f>
        <v>76.62</v>
      </c>
      <c r="F174" s="739">
        <f ca="1">ROUND($A174*$E174,2)</f>
        <v>76.62</v>
      </c>
      <c r="G174" s="506" t="s">
        <v>142</v>
      </c>
      <c r="H174" s="498"/>
      <c r="I174" s="716"/>
      <c r="J174" s="498"/>
      <c r="K174" s="740"/>
      <c r="L174" s="741" t="s">
        <v>143</v>
      </c>
      <c r="M174" s="717"/>
      <c r="N174" s="717"/>
      <c r="O174" s="717"/>
      <c r="P174" s="717"/>
      <c r="Q174" s="943" t="s">
        <v>855</v>
      </c>
      <c r="R174" s="943" t="s">
        <v>870</v>
      </c>
      <c r="S174"/>
      <c r="T174" s="742" t="str">
        <f ca="1">IF(AND($R193=0,$T193=0),"0.00","mu :" &amp; ROUND($F174/$C$12/($R193+$T193*$D$9),2))</f>
        <v>mu :1.35</v>
      </c>
      <c r="W174" s="507"/>
      <c r="AG174" s="743">
        <f ca="1">IF(A174=0,0,ROUND(SUM(AG176:AG193)/A174,2))</f>
        <v>18.79</v>
      </c>
      <c r="AH174" s="743">
        <f ca="1">$AG174*$A174</f>
        <v>18.79</v>
      </c>
      <c r="AI174" s="743">
        <f ca="1">$E174-$AG174</f>
        <v>57.830000000000005</v>
      </c>
      <c r="AJ174" s="743">
        <f ca="1">$A174*$AI174</f>
        <v>57.830000000000005</v>
      </c>
      <c r="AK174" s="744">
        <f ca="1">ROUND(($AG174+$AI174)*$A174,2)</f>
        <v>76.62</v>
      </c>
      <c r="AM174" s="510">
        <f ca="1">ROUND(R193,2)</f>
        <v>13.92</v>
      </c>
      <c r="AN174" s="511">
        <f ca="1">ROUND(T193,2)</f>
        <v>1.56</v>
      </c>
      <c r="AO174" s="512">
        <f ca="1">ROUND(AM174+AN174,2)*A174</f>
        <v>15.48</v>
      </c>
    </row>
    <row r="175" spans="1:41" s="501" customFormat="1" ht="21.6" customHeight="1">
      <c r="A175" s="745"/>
      <c r="B175" s="746"/>
      <c r="C175" s="505"/>
      <c r="D175" s="724" t="s">
        <v>412</v>
      </c>
      <c r="F175" s="498"/>
      <c r="G175" s="498"/>
      <c r="H175" s="498"/>
      <c r="I175" s="716"/>
      <c r="J175" s="498"/>
      <c r="K175" s="498" t="s">
        <v>144</v>
      </c>
      <c r="L175" s="747"/>
      <c r="M175" s="498"/>
      <c r="N175" s="498"/>
      <c r="O175" s="498"/>
      <c r="P175" s="498"/>
      <c r="Q175" s="44"/>
      <c r="R175" s="567"/>
      <c r="S175" s="719"/>
      <c r="T175" s="498"/>
    </row>
    <row r="176" spans="1:41" s="501" customFormat="1" ht="12">
      <c r="A176" s="748"/>
      <c r="B176" s="749"/>
      <c r="C176" s="497"/>
      <c r="D176" s="750"/>
      <c r="E176" s="751">
        <f ca="1">F174/$C$12-SUMIF($L173:$L193,"SUBI",$E173:$E193)</f>
        <v>0</v>
      </c>
      <c r="F176" s="752" t="s">
        <v>572</v>
      </c>
      <c r="G176" s="753"/>
      <c r="H176" s="753"/>
      <c r="I176" s="754"/>
      <c r="J176" s="753"/>
      <c r="K176" s="753"/>
      <c r="L176" s="755"/>
      <c r="M176" s="756"/>
      <c r="N176" s="756"/>
      <c r="O176" s="756"/>
      <c r="P176" s="756"/>
      <c r="Q176" s="757"/>
      <c r="R176" s="758"/>
      <c r="S176" s="757"/>
      <c r="T176" s="759"/>
    </row>
    <row r="177" spans="1:33" s="501" customFormat="1" ht="12" customHeight="1">
      <c r="A177" s="760"/>
      <c r="B177" s="761"/>
      <c r="C177" s="762"/>
      <c r="D177" s="762" t="str">
        <f>$F$2</f>
        <v>Electrical</v>
      </c>
      <c r="E177" s="762">
        <f ca="1">ROUND(($R181*$S$2 + ($T181*$T$2)), 2)</f>
        <v>76.62</v>
      </c>
      <c r="F177" s="763">
        <f ca="1">$E177*$C$12</f>
        <v>76.62</v>
      </c>
      <c r="G177" s="567"/>
      <c r="H177" s="764"/>
      <c r="I177" s="567"/>
      <c r="J177" s="45"/>
      <c r="K177" s="765" t="s">
        <v>3</v>
      </c>
      <c r="L177" s="766" t="s">
        <v>573</v>
      </c>
      <c r="M177" s="567"/>
      <c r="N177" s="567"/>
      <c r="O177" s="45"/>
      <c r="P177" s="567"/>
      <c r="Q177" s="567"/>
      <c r="R177"/>
      <c r="S177"/>
      <c r="T177"/>
    </row>
    <row r="178" spans="1:33" s="935" customFormat="1" ht="13.2">
      <c r="A178"/>
      <c r="B178" s="927"/>
      <c r="C178" s="927" t="s">
        <v>735</v>
      </c>
      <c r="D178" s="927" t="str">
        <f ca="1">CELL("Address",Elec_Rates!D$28)</f>
        <v>[E25_0465_IH_Retro_Elec4Mech_Est_Rev_A.xlsx]Elec_Rates!$D$28</v>
      </c>
      <c r="E178" s="928"/>
      <c r="F178" s="928"/>
      <c r="G178" s="929" t="s">
        <v>736</v>
      </c>
      <c r="H178" s="929"/>
      <c r="I178" s="929"/>
      <c r="J178" s="929"/>
      <c r="K178" s="930"/>
      <c r="L178" s="928"/>
      <c r="M178" s="928"/>
      <c r="N178" s="928"/>
      <c r="O178" s="931"/>
      <c r="P178" s="928"/>
      <c r="Q178" s="932"/>
      <c r="R178" s="933"/>
      <c r="S178" s="932"/>
      <c r="T178" s="560"/>
      <c r="U178" s="934"/>
    </row>
    <row r="179" spans="1:33" s="935" customFormat="1" ht="11.4">
      <c r="A179" s="936">
        <v>1</v>
      </c>
      <c r="B179" s="937">
        <v>1</v>
      </c>
      <c r="C179" s="937">
        <f>$A179*$B179</f>
        <v>1</v>
      </c>
      <c r="D179" s="938" t="str">
        <f>Elec_Rates!$D$28</f>
        <v>002# Connecting up of 7.5 kW 400Volt motor (Standard)</v>
      </c>
      <c r="E179" s="938"/>
      <c r="F179" s="938" t="s">
        <v>737</v>
      </c>
      <c r="G179" s="939" t="s">
        <v>738</v>
      </c>
      <c r="H179" s="939"/>
      <c r="I179" s="939"/>
      <c r="J179" s="939"/>
      <c r="K179" s="940"/>
      <c r="L179" s="934"/>
      <c r="M179" s="934"/>
      <c r="N179" s="934"/>
      <c r="O179" s="941"/>
      <c r="P179" s="938"/>
      <c r="Q179" s="942">
        <f ca="1">$B179*Elec_Rates!$R$28</f>
        <v>13.92</v>
      </c>
      <c r="R179" s="933">
        <f ca="1">$A179*Q179</f>
        <v>13.92</v>
      </c>
      <c r="S179" s="942">
        <f ca="1">$B179*Elec_Rates!$T$28</f>
        <v>1.56</v>
      </c>
      <c r="T179" s="560">
        <f ca="1">$A179*S179</f>
        <v>1.56</v>
      </c>
      <c r="U179" s="484"/>
    </row>
    <row r="180" spans="1:33" s="501" customFormat="1" ht="14.4" customHeight="1">
      <c r="A180" s="767"/>
      <c r="B180" s="567"/>
      <c r="C180" s="567"/>
      <c r="D180" s="567"/>
      <c r="E180" s="567"/>
      <c r="F180" s="567"/>
      <c r="G180" s="567"/>
      <c r="H180" s="764"/>
      <c r="I180" s="567"/>
      <c r="J180" s="45"/>
      <c r="K180" s="769"/>
      <c r="L180" s="770"/>
      <c r="M180" s="567"/>
      <c r="N180" s="567"/>
      <c r="O180" s="45"/>
      <c r="P180" s="567"/>
      <c r="Q180" s="567"/>
      <c r="R180" s="771">
        <f>$A180*Q180</f>
        <v>0</v>
      </c>
      <c r="S180" s="567"/>
      <c r="T180" s="500">
        <f>$A180*S180*$T$1</f>
        <v>0</v>
      </c>
    </row>
    <row r="181" spans="1:33" s="501" customFormat="1" ht="12">
      <c r="A181" s="772" t="s">
        <v>145</v>
      </c>
      <c r="B181" s="773">
        <f>(R180+T180)</f>
        <v>0</v>
      </c>
      <c r="C181" s="753"/>
      <c r="G181" s="774"/>
      <c r="H181" s="774"/>
      <c r="I181" s="774"/>
      <c r="J181" s="774"/>
      <c r="K181" s="750" t="s">
        <v>3</v>
      </c>
      <c r="L181" s="775" t="s">
        <v>573</v>
      </c>
      <c r="M181" s="774"/>
      <c r="N181" s="774"/>
      <c r="O181" s="774"/>
      <c r="P181" s="774"/>
      <c r="Q181" s="776"/>
      <c r="R181" s="777">
        <f ca="1">SUM(R177:R180)</f>
        <v>13.92</v>
      </c>
      <c r="S181" s="778"/>
      <c r="T181" s="777">
        <f ca="1">SUM(T177:T180)</f>
        <v>1.56</v>
      </c>
      <c r="AG181" s="779">
        <f ca="1">ROUND($R181*$S$2,2)</f>
        <v>18.79</v>
      </c>
    </row>
    <row r="182" spans="1:33" s="501" customFormat="1" ht="12" customHeight="1">
      <c r="A182" s="760"/>
      <c r="B182" s="780"/>
      <c r="C182" s="781"/>
      <c r="D182" s="782" t="str">
        <f>$F$3</f>
        <v>Technician</v>
      </c>
      <c r="E182" s="782">
        <f>ROUND(($R186*$S$3 + ($T186*$T$3)), 2)</f>
        <v>0</v>
      </c>
      <c r="F182" s="783">
        <f>$E182*$C$12</f>
        <v>0</v>
      </c>
      <c r="G182" s="499"/>
      <c r="H182" s="499"/>
      <c r="I182" s="499"/>
      <c r="J182" s="499"/>
      <c r="K182" s="765" t="s">
        <v>5</v>
      </c>
      <c r="L182" s="766" t="s">
        <v>573</v>
      </c>
      <c r="M182" s="499"/>
      <c r="N182" s="499"/>
      <c r="O182" s="499"/>
      <c r="P182" s="499"/>
      <c r="Q182" s="499"/>
      <c r="R182" s="784"/>
      <c r="S182" s="499"/>
      <c r="T182" s="784"/>
    </row>
    <row r="183" spans="1:33" s="797" customFormat="1" ht="15.6" customHeight="1">
      <c r="A183" s="785"/>
      <c r="B183" s="768" t="s">
        <v>575</v>
      </c>
      <c r="C183" s="786"/>
      <c r="D183" s="787"/>
      <c r="E183" s="787"/>
      <c r="F183" s="787"/>
      <c r="G183" s="788"/>
      <c r="H183" s="789"/>
      <c r="I183" s="789"/>
      <c r="J183" s="790"/>
      <c r="K183" s="791"/>
      <c r="L183" s="786"/>
      <c r="M183" s="792"/>
      <c r="N183" s="793"/>
      <c r="O183" s="794"/>
      <c r="P183" s="795"/>
      <c r="Q183" s="796"/>
      <c r="R183" s="771">
        <f>$A183*Q183</f>
        <v>0</v>
      </c>
      <c r="S183" s="567"/>
      <c r="T183" s="500">
        <f>$A183*S183*$T$1</f>
        <v>0</v>
      </c>
    </row>
    <row r="184" spans="1:33" s="501" customFormat="1" ht="15.6" customHeight="1">
      <c r="A184" s="767"/>
      <c r="B184" s="567"/>
      <c r="C184" s="567"/>
      <c r="D184" s="567"/>
      <c r="E184" s="567"/>
      <c r="F184" s="567"/>
      <c r="G184" s="567"/>
      <c r="H184" s="567"/>
      <c r="I184" s="567"/>
      <c r="J184" s="567"/>
      <c r="K184" s="567"/>
      <c r="L184" s="770"/>
      <c r="M184" s="567"/>
      <c r="N184" s="567"/>
      <c r="O184" s="567"/>
      <c r="P184" s="567"/>
      <c r="Q184" s="567"/>
      <c r="R184" s="771">
        <f>$A184*Q184</f>
        <v>0</v>
      </c>
      <c r="S184" s="567"/>
      <c r="T184" s="500">
        <f>$A184*S184*$T$1</f>
        <v>0</v>
      </c>
    </row>
    <row r="185" spans="1:33" s="501" customFormat="1" ht="15.6" customHeight="1">
      <c r="A185" s="767"/>
      <c r="B185" s="567"/>
      <c r="C185" s="567"/>
      <c r="D185" s="3"/>
      <c r="E185" s="567"/>
      <c r="F185" s="567"/>
      <c r="G185" s="567"/>
      <c r="H185" s="567"/>
      <c r="I185" s="567"/>
      <c r="J185" s="567"/>
      <c r="K185" s="567"/>
      <c r="L185" s="770"/>
      <c r="M185" s="567"/>
      <c r="N185" s="567"/>
      <c r="O185" s="567"/>
      <c r="P185" s="567"/>
      <c r="Q185" s="567"/>
      <c r="R185" s="771">
        <f>$A185*Q185</f>
        <v>0</v>
      </c>
      <c r="S185" s="567"/>
      <c r="T185" s="500">
        <f>$A185*S185*$T$1</f>
        <v>0</v>
      </c>
    </row>
    <row r="186" spans="1:33" s="501" customFormat="1" ht="12">
      <c r="A186" s="772" t="s">
        <v>145</v>
      </c>
      <c r="B186" s="773">
        <f>(R185+T185)</f>
        <v>0</v>
      </c>
      <c r="C186" s="753"/>
      <c r="G186" s="774"/>
      <c r="H186" s="774"/>
      <c r="I186" s="774"/>
      <c r="J186" s="774"/>
      <c r="K186" s="798" t="s">
        <v>5</v>
      </c>
      <c r="L186" s="775" t="s">
        <v>573</v>
      </c>
      <c r="M186" s="774"/>
      <c r="N186" s="774"/>
      <c r="O186" s="774"/>
      <c r="P186" s="774"/>
      <c r="Q186" s="776"/>
      <c r="R186" s="777">
        <f>SUM(R182:R185)</f>
        <v>0</v>
      </c>
      <c r="S186" s="778"/>
      <c r="T186" s="777">
        <f>SUM(T182:T185)</f>
        <v>0</v>
      </c>
      <c r="AG186" s="799">
        <f>ROUND($R186*$S$3,2)</f>
        <v>0</v>
      </c>
    </row>
    <row r="187" spans="1:33" s="501" customFormat="1" ht="12" customHeight="1">
      <c r="A187" s="800"/>
      <c r="B187" s="801"/>
      <c r="C187" s="802"/>
      <c r="D187" s="803" t="str">
        <f>$F$4</f>
        <v>Engineer (Man Hours)</v>
      </c>
      <c r="E187" s="803">
        <f>ROUND(($R191*$S$4 + ($T191*$T$4)), 2)</f>
        <v>0</v>
      </c>
      <c r="F187" s="804">
        <f ca="1">$F174-SUMIF($L176:$P184,"SUBI",$F176:$F184)</f>
        <v>0</v>
      </c>
      <c r="G187" s="499"/>
      <c r="H187" s="499"/>
      <c r="I187" s="499"/>
      <c r="J187" s="499"/>
      <c r="K187" s="805" t="s">
        <v>8</v>
      </c>
      <c r="L187" s="766" t="s">
        <v>573</v>
      </c>
      <c r="M187" s="499"/>
      <c r="N187" s="499"/>
      <c r="O187" s="499"/>
      <c r="P187" s="499"/>
      <c r="Q187" s="499"/>
      <c r="R187" s="784"/>
      <c r="S187" s="499"/>
      <c r="T187" s="784"/>
    </row>
    <row r="188" spans="1:33" s="797" customFormat="1" ht="14.4" customHeight="1">
      <c r="A188" s="785"/>
      <c r="B188" s="768" t="s">
        <v>576</v>
      </c>
      <c r="C188" s="786"/>
      <c r="D188" s="787"/>
      <c r="E188" s="787"/>
      <c r="F188" s="787"/>
      <c r="G188" s="788"/>
      <c r="H188" s="789"/>
      <c r="I188" s="789"/>
      <c r="J188" s="790"/>
      <c r="K188" s="791"/>
      <c r="L188" s="786"/>
      <c r="M188" s="792"/>
      <c r="N188" s="793"/>
      <c r="O188" s="806"/>
      <c r="P188" s="795"/>
      <c r="Q188" s="796"/>
      <c r="R188" s="720">
        <f>$A188*Q188</f>
        <v>0</v>
      </c>
      <c r="S188" s="796"/>
      <c r="T188" s="500">
        <f>$A188*S188*$T$1</f>
        <v>0</v>
      </c>
    </row>
    <row r="189" spans="1:33" s="501" customFormat="1" ht="12">
      <c r="A189" s="44"/>
      <c r="B189" s="497"/>
      <c r="C189" s="497"/>
      <c r="D189" s="807"/>
      <c r="E189" s="808"/>
      <c r="F189" s="499"/>
      <c r="G189" s="499"/>
      <c r="H189" s="499"/>
      <c r="I189" s="499"/>
      <c r="J189" s="499"/>
      <c r="K189" s="499"/>
      <c r="L189" s="809"/>
      <c r="M189" s="499"/>
      <c r="N189" s="499"/>
      <c r="O189" s="499"/>
      <c r="P189" s="499"/>
      <c r="Q189" s="499"/>
      <c r="R189" s="720">
        <f>$A189*Q189</f>
        <v>0</v>
      </c>
      <c r="S189" s="499"/>
      <c r="T189" s="500">
        <f>$A189*S189*$T$1</f>
        <v>0</v>
      </c>
    </row>
    <row r="190" spans="1:33" s="501" customFormat="1" ht="12">
      <c r="A190" s="44"/>
      <c r="B190" s="497"/>
      <c r="C190" s="497"/>
      <c r="D190" s="807"/>
      <c r="E190" s="808"/>
      <c r="F190" s="499"/>
      <c r="G190" s="499"/>
      <c r="H190" s="499"/>
      <c r="I190" s="499"/>
      <c r="J190" s="499"/>
      <c r="K190" s="499"/>
      <c r="L190" s="809"/>
      <c r="M190" s="499"/>
      <c r="N190" s="499"/>
      <c r="O190" s="499"/>
      <c r="P190" s="499"/>
      <c r="Q190" s="499"/>
      <c r="R190" s="720">
        <f>$A190*Q190</f>
        <v>0</v>
      </c>
      <c r="S190" s="499"/>
      <c r="T190" s="500">
        <f>$A190*S190*$T$1</f>
        <v>0</v>
      </c>
    </row>
    <row r="191" spans="1:33" s="501" customFormat="1" ht="12.75" customHeight="1">
      <c r="A191" s="772" t="s">
        <v>145</v>
      </c>
      <c r="B191" s="773">
        <f>(R190+T190)</f>
        <v>0</v>
      </c>
      <c r="C191" s="810"/>
      <c r="D191" s="810"/>
      <c r="E191" s="810"/>
      <c r="F191" s="810"/>
      <c r="G191" s="776"/>
      <c r="H191" s="776"/>
      <c r="I191" s="776"/>
      <c r="J191" s="776"/>
      <c r="K191" s="798" t="s">
        <v>8</v>
      </c>
      <c r="L191" s="811" t="s">
        <v>573</v>
      </c>
      <c r="M191" s="776"/>
      <c r="N191" s="776"/>
      <c r="O191" s="776"/>
      <c r="P191" s="776"/>
      <c r="Q191" s="776"/>
      <c r="R191" s="777">
        <f>SUM(R187:R190)</f>
        <v>0</v>
      </c>
      <c r="S191" s="778"/>
      <c r="T191" s="777">
        <f>SUM(T187:T190)</f>
        <v>0</v>
      </c>
      <c r="AG191" s="812">
        <f>ROUND($R191*$S$4,2)</f>
        <v>0</v>
      </c>
    </row>
    <row r="192" spans="1:33" s="501" customFormat="1" ht="12.75" customHeight="1">
      <c r="A192" s="813"/>
      <c r="B192" s="814"/>
      <c r="E192" s="497"/>
      <c r="F192" s="808"/>
      <c r="G192" s="497"/>
      <c r="H192" s="497"/>
      <c r="I192" s="499"/>
      <c r="J192" s="497"/>
      <c r="K192" s="497"/>
      <c r="L192" s="815"/>
      <c r="M192" s="725"/>
      <c r="N192" s="725"/>
      <c r="O192" s="725"/>
      <c r="P192" s="725"/>
      <c r="Q192" s="726"/>
      <c r="R192" s="784"/>
      <c r="S192" s="497"/>
      <c r="T192" s="784"/>
    </row>
    <row r="193" spans="1:41" s="501" customFormat="1" ht="13.5" customHeight="1" thickBot="1">
      <c r="A193" s="816"/>
      <c r="B193" s="817"/>
      <c r="C193" s="518"/>
      <c r="D193" s="518"/>
      <c r="E193" s="515"/>
      <c r="F193" s="721"/>
      <c r="G193" s="515" t="s">
        <v>146</v>
      </c>
      <c r="H193" s="515"/>
      <c r="I193" s="516"/>
      <c r="J193" s="515"/>
      <c r="K193" s="515"/>
      <c r="L193" s="818" t="s">
        <v>143</v>
      </c>
      <c r="M193" s="517"/>
      <c r="N193" s="517"/>
      <c r="O193" s="517"/>
      <c r="P193" s="517"/>
      <c r="Q193" s="722"/>
      <c r="R193" s="819">
        <f ca="1">SUMIF($L175:$L192,"SUBI",R175:R192)</f>
        <v>13.92</v>
      </c>
      <c r="S193" s="820"/>
      <c r="T193" s="819">
        <f ca="1">SUMIF($L175:$L192,"SUBI",T175:T192)</f>
        <v>1.56</v>
      </c>
      <c r="U193" s="518"/>
      <c r="V193" s="518"/>
      <c r="W193" s="518"/>
      <c r="X193" s="518"/>
      <c r="Y193" s="518"/>
      <c r="Z193" s="518"/>
      <c r="AA193" s="518"/>
      <c r="AB193" s="518"/>
      <c r="AC193" s="518"/>
      <c r="AD193" s="518"/>
      <c r="AE193" s="518"/>
      <c r="AF193" s="518"/>
      <c r="AG193" s="518"/>
      <c r="AH193" s="518"/>
      <c r="AI193" s="518"/>
      <c r="AJ193" s="518"/>
      <c r="AK193" s="518"/>
      <c r="AL193" s="518"/>
      <c r="AM193" s="518"/>
      <c r="AN193" s="518"/>
      <c r="AO193" s="518"/>
    </row>
    <row r="194" spans="1:41" s="501" customFormat="1" thickTop="1">
      <c r="A194" s="44"/>
      <c r="B194" s="39"/>
      <c r="C194" s="44"/>
      <c r="E194" s="40" t="s">
        <v>138</v>
      </c>
      <c r="F194" s="40" t="s">
        <v>139</v>
      </c>
      <c r="G194" s="44"/>
      <c r="H194" s="44"/>
      <c r="I194" s="44"/>
      <c r="J194" s="44"/>
      <c r="K194" s="44" t="s">
        <v>140</v>
      </c>
      <c r="L194" s="737"/>
      <c r="M194" s="44"/>
      <c r="N194" s="44"/>
      <c r="O194" s="45"/>
      <c r="P194" s="44"/>
      <c r="Q194"/>
      <c r="R194"/>
      <c r="S194"/>
      <c r="T194" s="39"/>
      <c r="AG194" s="502" t="s">
        <v>247</v>
      </c>
      <c r="AH194" s="502" t="s">
        <v>248</v>
      </c>
      <c r="AI194" s="502" t="s">
        <v>249</v>
      </c>
      <c r="AJ194" s="502" t="s">
        <v>250</v>
      </c>
      <c r="AK194" s="502" t="s">
        <v>251</v>
      </c>
      <c r="AM194" s="710" t="s">
        <v>260</v>
      </c>
      <c r="AN194" s="711" t="s">
        <v>261</v>
      </c>
      <c r="AO194" s="503" t="s">
        <v>257</v>
      </c>
    </row>
    <row r="195" spans="1:41" s="501" customFormat="1" ht="13.2">
      <c r="A195" s="712">
        <v>1</v>
      </c>
      <c r="B195" s="504" t="s">
        <v>283</v>
      </c>
      <c r="C195" s="505"/>
      <c r="D195" s="713" t="s">
        <v>585</v>
      </c>
      <c r="E195" s="738">
        <f ca="1">IF(AND($A195=0,$A$1="DIF"),0,ROUND(ROUND(SUMIF($L197:$L208,"SUBI",$E197:$E208)/$A195,2)*$C$12,2))</f>
        <v>76.62</v>
      </c>
      <c r="F195" s="739">
        <f ca="1">ROUND($A195*$E195,2)</f>
        <v>76.62</v>
      </c>
      <c r="G195" s="506" t="s">
        <v>142</v>
      </c>
      <c r="H195" s="498"/>
      <c r="I195" s="716"/>
      <c r="J195" s="498"/>
      <c r="K195" s="740"/>
      <c r="L195" s="741" t="s">
        <v>143</v>
      </c>
      <c r="M195" s="717"/>
      <c r="N195" s="717"/>
      <c r="O195" s="717"/>
      <c r="P195" s="717"/>
      <c r="Q195" s="943" t="s">
        <v>855</v>
      </c>
      <c r="R195" s="943" t="s">
        <v>870</v>
      </c>
      <c r="S195"/>
      <c r="T195" s="742" t="str">
        <f ca="1">IF(AND($R214=0,$T214=0),"0.00","mu :" &amp; ROUND($F195/$C$12/($R214+$T214*$D$9),2))</f>
        <v>mu :1.35</v>
      </c>
      <c r="W195" s="507"/>
      <c r="AG195" s="743">
        <f ca="1">IF(A195=0,0,ROUND(SUM(AG197:AG214)/A195,2))</f>
        <v>18.79</v>
      </c>
      <c r="AH195" s="743">
        <f ca="1">$AG195*$A195</f>
        <v>18.79</v>
      </c>
      <c r="AI195" s="743">
        <f ca="1">$E195-$AG195</f>
        <v>57.830000000000005</v>
      </c>
      <c r="AJ195" s="743">
        <f ca="1">$A195*$AI195</f>
        <v>57.830000000000005</v>
      </c>
      <c r="AK195" s="744">
        <f ca="1">ROUND(($AG195+$AI195)*$A195,2)</f>
        <v>76.62</v>
      </c>
      <c r="AM195" s="510">
        <f ca="1">ROUND(R214,2)</f>
        <v>13.92</v>
      </c>
      <c r="AN195" s="511">
        <f ca="1">ROUND(T214,2)</f>
        <v>1.56</v>
      </c>
      <c r="AO195" s="512">
        <f ca="1">ROUND(AM195+AN195,2)*A195</f>
        <v>15.48</v>
      </c>
    </row>
    <row r="196" spans="1:41" s="501" customFormat="1" ht="21.6" customHeight="1">
      <c r="A196" s="745"/>
      <c r="B196" s="746"/>
      <c r="C196" s="505"/>
      <c r="D196" s="724" t="s">
        <v>413</v>
      </c>
      <c r="F196" s="498"/>
      <c r="G196" s="498"/>
      <c r="H196" s="498"/>
      <c r="I196" s="716"/>
      <c r="J196" s="498"/>
      <c r="K196" s="498" t="s">
        <v>144</v>
      </c>
      <c r="L196" s="747"/>
      <c r="M196" s="498"/>
      <c r="N196" s="498"/>
      <c r="O196" s="498"/>
      <c r="P196" s="498"/>
      <c r="Q196" s="44"/>
      <c r="R196" s="567"/>
      <c r="S196" s="719"/>
      <c r="T196" s="498"/>
    </row>
    <row r="197" spans="1:41" s="501" customFormat="1" ht="12">
      <c r="A197" s="748"/>
      <c r="B197" s="749"/>
      <c r="C197" s="497"/>
      <c r="D197" s="750"/>
      <c r="E197" s="751">
        <f ca="1">F195/$C$12-SUMIF($L194:$L214,"SUBI",$E194:$E214)</f>
        <v>0</v>
      </c>
      <c r="F197" s="752" t="s">
        <v>572</v>
      </c>
      <c r="G197" s="753"/>
      <c r="H197" s="753"/>
      <c r="I197" s="754"/>
      <c r="J197" s="753"/>
      <c r="K197" s="753"/>
      <c r="L197" s="755"/>
      <c r="M197" s="756"/>
      <c r="N197" s="756"/>
      <c r="O197" s="756"/>
      <c r="P197" s="756"/>
      <c r="Q197" s="757"/>
      <c r="R197" s="758"/>
      <c r="S197" s="757"/>
      <c r="T197" s="759"/>
    </row>
    <row r="198" spans="1:41" s="501" customFormat="1" ht="12" customHeight="1">
      <c r="A198" s="760"/>
      <c r="B198" s="761"/>
      <c r="C198" s="762"/>
      <c r="D198" s="762" t="str">
        <f>$F$2</f>
        <v>Electrical</v>
      </c>
      <c r="E198" s="762">
        <f ca="1">ROUND(($R202*$S$2 + ($T202*$T$2)), 2)</f>
        <v>76.62</v>
      </c>
      <c r="F198" s="763">
        <f ca="1">$E198*$C$12</f>
        <v>76.62</v>
      </c>
      <c r="G198" s="567"/>
      <c r="H198" s="764"/>
      <c r="I198" s="567"/>
      <c r="J198" s="45"/>
      <c r="K198" s="765" t="s">
        <v>3</v>
      </c>
      <c r="L198" s="766" t="s">
        <v>573</v>
      </c>
      <c r="M198" s="567"/>
      <c r="N198" s="567"/>
      <c r="O198" s="45"/>
      <c r="P198" s="567"/>
      <c r="Q198" s="567"/>
      <c r="R198"/>
      <c r="S198"/>
      <c r="T198"/>
    </row>
    <row r="199" spans="1:41" s="935" customFormat="1" ht="13.2">
      <c r="A199"/>
      <c r="B199" s="927"/>
      <c r="C199" s="927" t="s">
        <v>735</v>
      </c>
      <c r="D199" s="927" t="str">
        <f ca="1">CELL("Address",Elec_Rates!D$28)</f>
        <v>[E25_0465_IH_Retro_Elec4Mech_Est_Rev_A.xlsx]Elec_Rates!$D$28</v>
      </c>
      <c r="E199" s="928"/>
      <c r="F199" s="928"/>
      <c r="G199" s="929" t="s">
        <v>736</v>
      </c>
      <c r="H199" s="929"/>
      <c r="I199" s="929"/>
      <c r="J199" s="929"/>
      <c r="K199" s="930"/>
      <c r="L199" s="928"/>
      <c r="M199" s="928"/>
      <c r="N199" s="928"/>
      <c r="O199" s="931"/>
      <c r="P199" s="928"/>
      <c r="Q199" s="932"/>
      <c r="R199" s="933"/>
      <c r="S199" s="932"/>
      <c r="T199" s="560"/>
      <c r="U199" s="934"/>
    </row>
    <row r="200" spans="1:41" s="935" customFormat="1" ht="11.4">
      <c r="A200" s="936">
        <v>1</v>
      </c>
      <c r="B200" s="937">
        <v>1</v>
      </c>
      <c r="C200" s="937">
        <f>$A200*$B200</f>
        <v>1</v>
      </c>
      <c r="D200" s="938" t="str">
        <f>Elec_Rates!$D$28</f>
        <v>002# Connecting up of 7.5 kW 400Volt motor (Standard)</v>
      </c>
      <c r="E200" s="938"/>
      <c r="F200" s="938" t="s">
        <v>737</v>
      </c>
      <c r="G200" s="939" t="s">
        <v>738</v>
      </c>
      <c r="H200" s="939"/>
      <c r="I200" s="939"/>
      <c r="J200" s="939"/>
      <c r="K200" s="940"/>
      <c r="L200" s="934"/>
      <c r="M200" s="934"/>
      <c r="N200" s="934"/>
      <c r="O200" s="941"/>
      <c r="P200" s="938"/>
      <c r="Q200" s="942">
        <f ca="1">$B200*Elec_Rates!$R$28</f>
        <v>13.92</v>
      </c>
      <c r="R200" s="933">
        <f ca="1">$A200*Q200</f>
        <v>13.92</v>
      </c>
      <c r="S200" s="942">
        <f ca="1">$B200*Elec_Rates!$T$28</f>
        <v>1.56</v>
      </c>
      <c r="T200" s="560">
        <f ca="1">$A200*S200</f>
        <v>1.56</v>
      </c>
      <c r="U200" s="484"/>
    </row>
    <row r="201" spans="1:41" s="501" customFormat="1" ht="14.4" customHeight="1">
      <c r="A201" s="767"/>
      <c r="B201" s="567"/>
      <c r="C201" s="567"/>
      <c r="D201" s="567"/>
      <c r="E201" s="567"/>
      <c r="F201" s="567"/>
      <c r="G201" s="567"/>
      <c r="H201" s="764"/>
      <c r="I201" s="567"/>
      <c r="J201" s="45"/>
      <c r="K201" s="769"/>
      <c r="L201" s="770"/>
      <c r="M201" s="567"/>
      <c r="N201" s="567"/>
      <c r="O201" s="45"/>
      <c r="P201" s="567"/>
      <c r="Q201" s="567"/>
      <c r="R201" s="771">
        <f>$A201*Q201</f>
        <v>0</v>
      </c>
      <c r="S201" s="567"/>
      <c r="T201" s="500">
        <f>$A201*S201*$T$1</f>
        <v>0</v>
      </c>
    </row>
    <row r="202" spans="1:41" s="501" customFormat="1" ht="12">
      <c r="A202" s="772" t="s">
        <v>145</v>
      </c>
      <c r="B202" s="773">
        <f>(R201+T201)</f>
        <v>0</v>
      </c>
      <c r="C202" s="753"/>
      <c r="G202" s="774"/>
      <c r="H202" s="774"/>
      <c r="I202" s="774"/>
      <c r="J202" s="774"/>
      <c r="K202" s="750" t="s">
        <v>3</v>
      </c>
      <c r="L202" s="775" t="s">
        <v>573</v>
      </c>
      <c r="M202" s="774"/>
      <c r="N202" s="774"/>
      <c r="O202" s="774"/>
      <c r="P202" s="774"/>
      <c r="Q202" s="776"/>
      <c r="R202" s="777">
        <f ca="1">SUM(R198:R201)</f>
        <v>13.92</v>
      </c>
      <c r="S202" s="778"/>
      <c r="T202" s="777">
        <f ca="1">SUM(T198:T201)</f>
        <v>1.56</v>
      </c>
      <c r="AG202" s="779">
        <f ca="1">ROUND($R202*$S$2,2)</f>
        <v>18.79</v>
      </c>
    </row>
    <row r="203" spans="1:41" s="501" customFormat="1" ht="12" customHeight="1">
      <c r="A203" s="760"/>
      <c r="B203" s="780"/>
      <c r="C203" s="781"/>
      <c r="D203" s="782" t="str">
        <f>$F$3</f>
        <v>Technician</v>
      </c>
      <c r="E203" s="782">
        <f>ROUND(($R207*$S$3 + ($T207*$T$3)), 2)</f>
        <v>0</v>
      </c>
      <c r="F203" s="783">
        <f>$E203*$C$12</f>
        <v>0</v>
      </c>
      <c r="G203" s="499"/>
      <c r="H203" s="499"/>
      <c r="I203" s="499"/>
      <c r="J203" s="499"/>
      <c r="K203" s="765" t="s">
        <v>5</v>
      </c>
      <c r="L203" s="766" t="s">
        <v>573</v>
      </c>
      <c r="M203" s="499"/>
      <c r="N203" s="499"/>
      <c r="O203" s="499"/>
      <c r="P203" s="499"/>
      <c r="Q203" s="499"/>
      <c r="R203" s="784"/>
      <c r="S203" s="499"/>
      <c r="T203" s="784"/>
    </row>
    <row r="204" spans="1:41" s="797" customFormat="1" ht="15.6" customHeight="1">
      <c r="A204" s="785"/>
      <c r="B204" s="768" t="s">
        <v>575</v>
      </c>
      <c r="C204" s="786"/>
      <c r="D204" s="787"/>
      <c r="E204" s="787"/>
      <c r="F204" s="787"/>
      <c r="G204" s="788"/>
      <c r="H204" s="789"/>
      <c r="I204" s="789"/>
      <c r="J204" s="790"/>
      <c r="K204" s="791"/>
      <c r="L204" s="786"/>
      <c r="M204" s="792"/>
      <c r="N204" s="793"/>
      <c r="O204" s="794"/>
      <c r="P204" s="795"/>
      <c r="Q204" s="796"/>
      <c r="R204" s="771">
        <f>$A204*Q204</f>
        <v>0</v>
      </c>
      <c r="S204" s="567"/>
      <c r="T204" s="500">
        <f>$A204*S204*$T$1</f>
        <v>0</v>
      </c>
    </row>
    <row r="205" spans="1:41" s="501" customFormat="1" ht="15.6" customHeight="1">
      <c r="A205" s="767"/>
      <c r="B205" s="567"/>
      <c r="C205" s="567"/>
      <c r="D205" s="567"/>
      <c r="E205" s="567"/>
      <c r="F205" s="567"/>
      <c r="G205" s="567"/>
      <c r="H205" s="567"/>
      <c r="I205" s="567"/>
      <c r="J205" s="567"/>
      <c r="K205" s="567"/>
      <c r="L205" s="770"/>
      <c r="M205" s="567"/>
      <c r="N205" s="567"/>
      <c r="O205" s="567"/>
      <c r="P205" s="567"/>
      <c r="Q205" s="567"/>
      <c r="R205" s="771">
        <f>$A205*Q205</f>
        <v>0</v>
      </c>
      <c r="S205" s="567"/>
      <c r="T205" s="500">
        <f>$A205*S205*$T$1</f>
        <v>0</v>
      </c>
    </row>
    <row r="206" spans="1:41" s="501" customFormat="1" ht="15.6" customHeight="1">
      <c r="A206" s="767"/>
      <c r="B206" s="567"/>
      <c r="C206" s="567"/>
      <c r="D206" s="3"/>
      <c r="E206" s="567"/>
      <c r="F206" s="567"/>
      <c r="G206" s="567"/>
      <c r="H206" s="567"/>
      <c r="I206" s="567"/>
      <c r="J206" s="567"/>
      <c r="K206" s="567"/>
      <c r="L206" s="770"/>
      <c r="M206" s="567"/>
      <c r="N206" s="567"/>
      <c r="O206" s="567"/>
      <c r="P206" s="567"/>
      <c r="Q206" s="567"/>
      <c r="R206" s="771">
        <f>$A206*Q206</f>
        <v>0</v>
      </c>
      <c r="S206" s="567"/>
      <c r="T206" s="500">
        <f>$A206*S206*$T$1</f>
        <v>0</v>
      </c>
    </row>
    <row r="207" spans="1:41" s="501" customFormat="1" ht="12">
      <c r="A207" s="772" t="s">
        <v>145</v>
      </c>
      <c r="B207" s="773">
        <f>(R206+T206)</f>
        <v>0</v>
      </c>
      <c r="C207" s="753"/>
      <c r="G207" s="774"/>
      <c r="H207" s="774"/>
      <c r="I207" s="774"/>
      <c r="J207" s="774"/>
      <c r="K207" s="798" t="s">
        <v>5</v>
      </c>
      <c r="L207" s="775" t="s">
        <v>573</v>
      </c>
      <c r="M207" s="774"/>
      <c r="N207" s="774"/>
      <c r="O207" s="774"/>
      <c r="P207" s="774"/>
      <c r="Q207" s="776"/>
      <c r="R207" s="777">
        <f>SUM(R203:R206)</f>
        <v>0</v>
      </c>
      <c r="S207" s="778"/>
      <c r="T207" s="777">
        <f>SUM(T203:T206)</f>
        <v>0</v>
      </c>
      <c r="AG207" s="799">
        <f>ROUND($R207*$S$3,2)</f>
        <v>0</v>
      </c>
    </row>
    <row r="208" spans="1:41" s="501" customFormat="1" ht="12" customHeight="1">
      <c r="A208" s="800"/>
      <c r="B208" s="801"/>
      <c r="C208" s="802"/>
      <c r="D208" s="803" t="str">
        <f>$F$4</f>
        <v>Engineer (Man Hours)</v>
      </c>
      <c r="E208" s="803">
        <f>ROUND(($R212*$S$4 + ($T212*$T$4)), 2)</f>
        <v>0</v>
      </c>
      <c r="F208" s="804">
        <f ca="1">$F195-SUMIF($L197:$P205,"SUBI",$F197:$F205)</f>
        <v>0</v>
      </c>
      <c r="G208" s="499"/>
      <c r="H208" s="499"/>
      <c r="I208" s="499"/>
      <c r="J208" s="499"/>
      <c r="K208" s="805" t="s">
        <v>8</v>
      </c>
      <c r="L208" s="766" t="s">
        <v>573</v>
      </c>
      <c r="M208" s="499"/>
      <c r="N208" s="499"/>
      <c r="O208" s="499"/>
      <c r="P208" s="499"/>
      <c r="Q208" s="499"/>
      <c r="R208" s="784"/>
      <c r="S208" s="499"/>
      <c r="T208" s="784"/>
    </row>
    <row r="209" spans="1:41" s="797" customFormat="1" ht="14.4" customHeight="1">
      <c r="A209" s="785"/>
      <c r="B209" s="768" t="s">
        <v>576</v>
      </c>
      <c r="C209" s="786"/>
      <c r="D209" s="787"/>
      <c r="E209" s="787"/>
      <c r="F209" s="787"/>
      <c r="G209" s="788"/>
      <c r="H209" s="789"/>
      <c r="I209" s="789"/>
      <c r="J209" s="790"/>
      <c r="K209" s="791"/>
      <c r="L209" s="786"/>
      <c r="M209" s="792"/>
      <c r="N209" s="793"/>
      <c r="O209" s="806"/>
      <c r="P209" s="795"/>
      <c r="Q209" s="796"/>
      <c r="R209" s="720">
        <f>$A209*Q209</f>
        <v>0</v>
      </c>
      <c r="S209" s="796"/>
      <c r="T209" s="500">
        <f>$A209*S209*$T$1</f>
        <v>0</v>
      </c>
    </row>
    <row r="210" spans="1:41" s="501" customFormat="1" ht="12">
      <c r="A210" s="44"/>
      <c r="B210" s="497"/>
      <c r="C210" s="497"/>
      <c r="D210" s="807"/>
      <c r="E210" s="808"/>
      <c r="F210" s="499"/>
      <c r="G210" s="499"/>
      <c r="H210" s="499"/>
      <c r="I210" s="499"/>
      <c r="J210" s="499"/>
      <c r="K210" s="499"/>
      <c r="L210" s="809"/>
      <c r="M210" s="499"/>
      <c r="N210" s="499"/>
      <c r="O210" s="499"/>
      <c r="P210" s="499"/>
      <c r="Q210" s="499"/>
      <c r="R210" s="720">
        <f>$A210*Q210</f>
        <v>0</v>
      </c>
      <c r="S210" s="499"/>
      <c r="T210" s="500">
        <f>$A210*S210*$T$1</f>
        <v>0</v>
      </c>
    </row>
    <row r="211" spans="1:41" s="501" customFormat="1" ht="12">
      <c r="A211" s="44"/>
      <c r="B211" s="497"/>
      <c r="C211" s="497"/>
      <c r="D211" s="807"/>
      <c r="E211" s="808"/>
      <c r="F211" s="499"/>
      <c r="G211" s="499"/>
      <c r="H211" s="499"/>
      <c r="I211" s="499"/>
      <c r="J211" s="499"/>
      <c r="K211" s="499"/>
      <c r="L211" s="809"/>
      <c r="M211" s="499"/>
      <c r="N211" s="499"/>
      <c r="O211" s="499"/>
      <c r="P211" s="499"/>
      <c r="Q211" s="499"/>
      <c r="R211" s="720">
        <f>$A211*Q211</f>
        <v>0</v>
      </c>
      <c r="S211" s="499"/>
      <c r="T211" s="500">
        <f>$A211*S211*$T$1</f>
        <v>0</v>
      </c>
    </row>
    <row r="212" spans="1:41" s="501" customFormat="1" ht="12.75" customHeight="1">
      <c r="A212" s="772" t="s">
        <v>145</v>
      </c>
      <c r="B212" s="773">
        <f>(R211+T211)</f>
        <v>0</v>
      </c>
      <c r="C212" s="810"/>
      <c r="D212" s="810"/>
      <c r="E212" s="810"/>
      <c r="F212" s="810"/>
      <c r="G212" s="776"/>
      <c r="H212" s="776"/>
      <c r="I212" s="776"/>
      <c r="J212" s="776"/>
      <c r="K212" s="798" t="s">
        <v>8</v>
      </c>
      <c r="L212" s="811" t="s">
        <v>573</v>
      </c>
      <c r="M212" s="776"/>
      <c r="N212" s="776"/>
      <c r="O212" s="776"/>
      <c r="P212" s="776"/>
      <c r="Q212" s="776"/>
      <c r="R212" s="777">
        <f>SUM(R208:R211)</f>
        <v>0</v>
      </c>
      <c r="S212" s="778"/>
      <c r="T212" s="777">
        <f>SUM(T208:T211)</f>
        <v>0</v>
      </c>
      <c r="AG212" s="812">
        <f>ROUND($R212*$S$4,2)</f>
        <v>0</v>
      </c>
    </row>
    <row r="213" spans="1:41" s="501" customFormat="1" ht="12.75" customHeight="1">
      <c r="A213" s="813"/>
      <c r="B213" s="814"/>
      <c r="E213" s="497"/>
      <c r="F213" s="808"/>
      <c r="G213" s="497"/>
      <c r="H213" s="497"/>
      <c r="I213" s="499"/>
      <c r="J213" s="497"/>
      <c r="K213" s="497"/>
      <c r="L213" s="815"/>
      <c r="M213" s="725"/>
      <c r="N213" s="725"/>
      <c r="O213" s="725"/>
      <c r="P213" s="725"/>
      <c r="Q213" s="726"/>
      <c r="R213" s="784"/>
      <c r="S213" s="497"/>
      <c r="T213" s="784"/>
    </row>
    <row r="214" spans="1:41" s="501" customFormat="1" ht="13.5" customHeight="1" thickBot="1">
      <c r="A214" s="816"/>
      <c r="B214" s="817"/>
      <c r="C214" s="518"/>
      <c r="D214" s="518"/>
      <c r="E214" s="515"/>
      <c r="F214" s="721"/>
      <c r="G214" s="515" t="s">
        <v>146</v>
      </c>
      <c r="H214" s="515"/>
      <c r="I214" s="516"/>
      <c r="J214" s="515"/>
      <c r="K214" s="515"/>
      <c r="L214" s="818" t="s">
        <v>143</v>
      </c>
      <c r="M214" s="517"/>
      <c r="N214" s="517"/>
      <c r="O214" s="517"/>
      <c r="P214" s="517"/>
      <c r="Q214" s="722"/>
      <c r="R214" s="819">
        <f ca="1">SUMIF($L196:$L213,"SUBI",R196:R213)</f>
        <v>13.92</v>
      </c>
      <c r="S214" s="820"/>
      <c r="T214" s="819">
        <f ca="1">SUMIF($L196:$L213,"SUBI",T196:T213)</f>
        <v>1.56</v>
      </c>
      <c r="U214" s="518"/>
      <c r="V214" s="518"/>
      <c r="W214" s="518"/>
      <c r="X214" s="518"/>
      <c r="Y214" s="518"/>
      <c r="Z214" s="518"/>
      <c r="AA214" s="518"/>
      <c r="AB214" s="518"/>
      <c r="AC214" s="518"/>
      <c r="AD214" s="518"/>
      <c r="AE214" s="518"/>
      <c r="AF214" s="518"/>
      <c r="AG214" s="518"/>
      <c r="AH214" s="518"/>
      <c r="AI214" s="518"/>
      <c r="AJ214" s="518"/>
      <c r="AK214" s="518"/>
      <c r="AL214" s="518"/>
      <c r="AM214" s="518"/>
      <c r="AN214" s="518"/>
      <c r="AO214" s="518"/>
    </row>
    <row r="215" spans="1:41" s="501" customFormat="1" thickTop="1">
      <c r="A215" s="44"/>
      <c r="B215" s="39"/>
      <c r="C215" s="44"/>
      <c r="E215" s="40" t="s">
        <v>138</v>
      </c>
      <c r="F215" s="40" t="s">
        <v>139</v>
      </c>
      <c r="G215" s="44"/>
      <c r="H215" s="44"/>
      <c r="I215" s="44"/>
      <c r="J215" s="44"/>
      <c r="K215" s="44" t="s">
        <v>140</v>
      </c>
      <c r="L215" s="737"/>
      <c r="M215" s="44"/>
      <c r="N215" s="44"/>
      <c r="O215" s="45"/>
      <c r="P215" s="44"/>
      <c r="Q215"/>
      <c r="R215"/>
      <c r="S215"/>
      <c r="T215" s="39"/>
      <c r="AG215" s="502" t="s">
        <v>247</v>
      </c>
      <c r="AH215" s="502" t="s">
        <v>248</v>
      </c>
      <c r="AI215" s="502" t="s">
        <v>249</v>
      </c>
      <c r="AJ215" s="502" t="s">
        <v>250</v>
      </c>
      <c r="AK215" s="502" t="s">
        <v>251</v>
      </c>
      <c r="AM215" s="710" t="s">
        <v>260</v>
      </c>
      <c r="AN215" s="711" t="s">
        <v>261</v>
      </c>
      <c r="AO215" s="503" t="s">
        <v>257</v>
      </c>
    </row>
    <row r="216" spans="1:41" s="501" customFormat="1" ht="13.2">
      <c r="A216" s="712">
        <v>1</v>
      </c>
      <c r="B216" s="504" t="s">
        <v>283</v>
      </c>
      <c r="C216" s="505"/>
      <c r="D216" s="713" t="s">
        <v>586</v>
      </c>
      <c r="E216" s="738">
        <f ca="1">IF(AND($A216=0,$A$1="DIF"),0,ROUND(ROUND(SUMIF($L218:$L229,"SUBI",$E218:$E229)/$A216,2)*$C$12,2))</f>
        <v>76.62</v>
      </c>
      <c r="F216" s="739">
        <f ca="1">ROUND($A216*$E216,2)</f>
        <v>76.62</v>
      </c>
      <c r="G216" s="506" t="s">
        <v>142</v>
      </c>
      <c r="H216" s="498"/>
      <c r="I216" s="716"/>
      <c r="J216" s="498"/>
      <c r="K216" s="740"/>
      <c r="L216" s="741" t="s">
        <v>143</v>
      </c>
      <c r="M216" s="717"/>
      <c r="N216" s="717"/>
      <c r="O216" s="717"/>
      <c r="P216" s="717"/>
      <c r="Q216" s="943" t="s">
        <v>855</v>
      </c>
      <c r="R216" s="943" t="s">
        <v>870</v>
      </c>
      <c r="S216"/>
      <c r="T216" s="742" t="str">
        <f ca="1">IF(AND($R235=0,$T235=0),"0.00","mu :" &amp; ROUND($F216/$C$12/($R235+$T235*$D$9),2))</f>
        <v>mu :1.35</v>
      </c>
      <c r="W216" s="507"/>
      <c r="AG216" s="743">
        <f ca="1">IF(A216=0,0,ROUND(SUM(AG218:AG235)/A216,2))</f>
        <v>18.79</v>
      </c>
      <c r="AH216" s="743">
        <f ca="1">$AG216*$A216</f>
        <v>18.79</v>
      </c>
      <c r="AI216" s="743">
        <f ca="1">$E216-$AG216</f>
        <v>57.830000000000005</v>
      </c>
      <c r="AJ216" s="743">
        <f ca="1">$A216*$AI216</f>
        <v>57.830000000000005</v>
      </c>
      <c r="AK216" s="744">
        <f ca="1">ROUND(($AG216+$AI216)*$A216,2)</f>
        <v>76.62</v>
      </c>
      <c r="AM216" s="510">
        <f ca="1">ROUND(R235,2)</f>
        <v>13.92</v>
      </c>
      <c r="AN216" s="511">
        <f ca="1">ROUND(T235,2)</f>
        <v>1.56</v>
      </c>
      <c r="AO216" s="512">
        <f ca="1">ROUND(AM216+AN216,2)*A216</f>
        <v>15.48</v>
      </c>
    </row>
    <row r="217" spans="1:41" s="501" customFormat="1" ht="21.6" customHeight="1">
      <c r="A217" s="745"/>
      <c r="B217" s="746"/>
      <c r="C217" s="505"/>
      <c r="D217" s="724" t="s">
        <v>414</v>
      </c>
      <c r="F217" s="498"/>
      <c r="G217" s="498"/>
      <c r="H217" s="498"/>
      <c r="I217" s="716"/>
      <c r="J217" s="498"/>
      <c r="K217" s="498" t="s">
        <v>144</v>
      </c>
      <c r="L217" s="747"/>
      <c r="M217" s="498"/>
      <c r="N217" s="498"/>
      <c r="O217" s="498"/>
      <c r="P217" s="498"/>
      <c r="Q217" s="44"/>
      <c r="R217" s="567"/>
      <c r="S217" s="719"/>
      <c r="T217" s="498"/>
    </row>
    <row r="218" spans="1:41" s="501" customFormat="1" ht="12">
      <c r="A218" s="748"/>
      <c r="B218" s="749"/>
      <c r="C218" s="497"/>
      <c r="D218" s="750"/>
      <c r="E218" s="751">
        <f ca="1">F216/$C$12-SUMIF($L215:$L235,"SUBI",$E215:$E235)</f>
        <v>0</v>
      </c>
      <c r="F218" s="752" t="s">
        <v>572</v>
      </c>
      <c r="G218" s="753"/>
      <c r="H218" s="753"/>
      <c r="I218" s="754"/>
      <c r="J218" s="753"/>
      <c r="K218" s="753"/>
      <c r="L218" s="755"/>
      <c r="M218" s="756"/>
      <c r="N218" s="756"/>
      <c r="O218" s="756"/>
      <c r="P218" s="756"/>
      <c r="Q218" s="757"/>
      <c r="R218" s="758"/>
      <c r="S218" s="757"/>
      <c r="T218" s="759"/>
    </row>
    <row r="219" spans="1:41" s="501" customFormat="1" ht="12" customHeight="1">
      <c r="A219" s="760"/>
      <c r="B219" s="761"/>
      <c r="C219" s="762"/>
      <c r="D219" s="762" t="str">
        <f>$F$2</f>
        <v>Electrical</v>
      </c>
      <c r="E219" s="762">
        <f ca="1">ROUND(($R223*$S$2 + ($T223*$T$2)), 2)</f>
        <v>76.62</v>
      </c>
      <c r="F219" s="763">
        <f ca="1">$E219*$C$12</f>
        <v>76.62</v>
      </c>
      <c r="G219" s="567"/>
      <c r="H219" s="764"/>
      <c r="I219" s="567"/>
      <c r="J219" s="45"/>
      <c r="K219" s="765" t="s">
        <v>3</v>
      </c>
      <c r="L219" s="766" t="s">
        <v>573</v>
      </c>
      <c r="M219" s="567"/>
      <c r="N219" s="567"/>
      <c r="O219" s="45"/>
      <c r="P219" s="567"/>
      <c r="Q219" s="567"/>
      <c r="R219"/>
      <c r="S219"/>
      <c r="T219"/>
    </row>
    <row r="220" spans="1:41" s="935" customFormat="1" ht="13.2">
      <c r="A220"/>
      <c r="B220" s="927"/>
      <c r="C220" s="927" t="s">
        <v>735</v>
      </c>
      <c r="D220" s="927" t="str">
        <f ca="1">CELL("Address",Elec_Rates!D$28)</f>
        <v>[E25_0465_IH_Retro_Elec4Mech_Est_Rev_A.xlsx]Elec_Rates!$D$28</v>
      </c>
      <c r="E220" s="928"/>
      <c r="F220" s="928"/>
      <c r="G220" s="929" t="s">
        <v>736</v>
      </c>
      <c r="H220" s="929"/>
      <c r="I220" s="929"/>
      <c r="J220" s="929"/>
      <c r="K220" s="930"/>
      <c r="L220" s="928"/>
      <c r="M220" s="928"/>
      <c r="N220" s="928"/>
      <c r="O220" s="931"/>
      <c r="P220" s="928"/>
      <c r="Q220" s="932"/>
      <c r="R220" s="933"/>
      <c r="S220" s="932"/>
      <c r="T220" s="560"/>
      <c r="U220" s="934"/>
    </row>
    <row r="221" spans="1:41" s="935" customFormat="1" ht="11.4">
      <c r="A221" s="936">
        <v>1</v>
      </c>
      <c r="B221" s="937">
        <v>1</v>
      </c>
      <c r="C221" s="937">
        <f>$A221*$B221</f>
        <v>1</v>
      </c>
      <c r="D221" s="938" t="str">
        <f>Elec_Rates!$D$28</f>
        <v>002# Connecting up of 7.5 kW 400Volt motor (Standard)</v>
      </c>
      <c r="E221" s="938"/>
      <c r="F221" s="938" t="s">
        <v>737</v>
      </c>
      <c r="G221" s="939" t="s">
        <v>738</v>
      </c>
      <c r="H221" s="939"/>
      <c r="I221" s="939"/>
      <c r="J221" s="939"/>
      <c r="K221" s="940"/>
      <c r="L221" s="934"/>
      <c r="M221" s="934"/>
      <c r="N221" s="934"/>
      <c r="O221" s="941"/>
      <c r="P221" s="938"/>
      <c r="Q221" s="942">
        <f ca="1">$B221*Elec_Rates!$R$28</f>
        <v>13.92</v>
      </c>
      <c r="R221" s="933">
        <f ca="1">$A221*Q221</f>
        <v>13.92</v>
      </c>
      <c r="S221" s="942">
        <f ca="1">$B221*Elec_Rates!$T$28</f>
        <v>1.56</v>
      </c>
      <c r="T221" s="560">
        <f ca="1">$A221*S221</f>
        <v>1.56</v>
      </c>
      <c r="U221" s="484"/>
    </row>
    <row r="222" spans="1:41" s="501" customFormat="1" ht="14.4" customHeight="1">
      <c r="A222" s="767"/>
      <c r="B222" s="567"/>
      <c r="C222" s="567"/>
      <c r="D222" s="567"/>
      <c r="E222" s="567"/>
      <c r="F222" s="567"/>
      <c r="G222" s="567"/>
      <c r="H222" s="764"/>
      <c r="I222" s="567"/>
      <c r="J222" s="45"/>
      <c r="K222" s="769"/>
      <c r="L222" s="770"/>
      <c r="M222" s="567"/>
      <c r="N222" s="567"/>
      <c r="O222" s="45"/>
      <c r="P222" s="567"/>
      <c r="Q222" s="567"/>
      <c r="R222" s="771">
        <f>$A222*Q222</f>
        <v>0</v>
      </c>
      <c r="S222" s="567"/>
      <c r="T222" s="500">
        <f>$A222*S222*$T$1</f>
        <v>0</v>
      </c>
    </row>
    <row r="223" spans="1:41" s="501" customFormat="1" ht="12">
      <c r="A223" s="772" t="s">
        <v>145</v>
      </c>
      <c r="B223" s="773">
        <f>(R222+T222)</f>
        <v>0</v>
      </c>
      <c r="C223" s="753"/>
      <c r="G223" s="774"/>
      <c r="H223" s="774"/>
      <c r="I223" s="774"/>
      <c r="J223" s="774"/>
      <c r="K223" s="750" t="s">
        <v>3</v>
      </c>
      <c r="L223" s="775" t="s">
        <v>573</v>
      </c>
      <c r="M223" s="774"/>
      <c r="N223" s="774"/>
      <c r="O223" s="774"/>
      <c r="P223" s="774"/>
      <c r="Q223" s="776"/>
      <c r="R223" s="777">
        <f ca="1">SUM(R219:R222)</f>
        <v>13.92</v>
      </c>
      <c r="S223" s="778"/>
      <c r="T223" s="777">
        <f ca="1">SUM(T219:T222)</f>
        <v>1.56</v>
      </c>
      <c r="AG223" s="779">
        <f ca="1">ROUND($R223*$S$2,2)</f>
        <v>18.79</v>
      </c>
    </row>
    <row r="224" spans="1:41" s="501" customFormat="1" ht="12" customHeight="1">
      <c r="A224" s="760"/>
      <c r="B224" s="780"/>
      <c r="C224" s="781"/>
      <c r="D224" s="782" t="str">
        <f>$F$3</f>
        <v>Technician</v>
      </c>
      <c r="E224" s="782">
        <f>ROUND(($R228*$S$3 + ($T228*$T$3)), 2)</f>
        <v>0</v>
      </c>
      <c r="F224" s="783">
        <f>$E224*$C$12</f>
        <v>0</v>
      </c>
      <c r="G224" s="499"/>
      <c r="H224" s="499"/>
      <c r="I224" s="499"/>
      <c r="J224" s="499"/>
      <c r="K224" s="765" t="s">
        <v>5</v>
      </c>
      <c r="L224" s="766" t="s">
        <v>573</v>
      </c>
      <c r="M224" s="499"/>
      <c r="N224" s="499"/>
      <c r="O224" s="499"/>
      <c r="P224" s="499"/>
      <c r="Q224" s="499"/>
      <c r="R224" s="784"/>
      <c r="S224" s="499"/>
      <c r="T224" s="784"/>
    </row>
    <row r="225" spans="1:41" s="797" customFormat="1" ht="15.6" customHeight="1">
      <c r="A225" s="785"/>
      <c r="B225" s="768" t="s">
        <v>575</v>
      </c>
      <c r="C225" s="786"/>
      <c r="D225" s="787"/>
      <c r="E225" s="787"/>
      <c r="F225" s="787"/>
      <c r="G225" s="788"/>
      <c r="H225" s="789"/>
      <c r="I225" s="789"/>
      <c r="J225" s="790"/>
      <c r="K225" s="791"/>
      <c r="L225" s="786"/>
      <c r="M225" s="792"/>
      <c r="N225" s="793"/>
      <c r="O225" s="794"/>
      <c r="P225" s="795"/>
      <c r="Q225" s="796"/>
      <c r="R225" s="771">
        <f>$A225*Q225</f>
        <v>0</v>
      </c>
      <c r="S225" s="567"/>
      <c r="T225" s="500">
        <f>$A225*S225*$T$1</f>
        <v>0</v>
      </c>
    </row>
    <row r="226" spans="1:41" s="501" customFormat="1" ht="15.6" customHeight="1">
      <c r="A226" s="767"/>
      <c r="B226" s="567"/>
      <c r="C226" s="567"/>
      <c r="D226" s="567"/>
      <c r="E226" s="567"/>
      <c r="F226" s="567"/>
      <c r="G226" s="567"/>
      <c r="H226" s="567"/>
      <c r="I226" s="567"/>
      <c r="J226" s="567"/>
      <c r="K226" s="567"/>
      <c r="L226" s="770"/>
      <c r="M226" s="567"/>
      <c r="N226" s="567"/>
      <c r="O226" s="567"/>
      <c r="P226" s="567"/>
      <c r="Q226" s="567"/>
      <c r="R226" s="771">
        <f>$A226*Q226</f>
        <v>0</v>
      </c>
      <c r="S226" s="567"/>
      <c r="T226" s="500">
        <f>$A226*S226*$T$1</f>
        <v>0</v>
      </c>
    </row>
    <row r="227" spans="1:41" s="501" customFormat="1" ht="15.6" customHeight="1">
      <c r="A227" s="767"/>
      <c r="B227" s="567"/>
      <c r="C227" s="567"/>
      <c r="D227" s="3"/>
      <c r="E227" s="567"/>
      <c r="F227" s="567"/>
      <c r="G227" s="567"/>
      <c r="H227" s="567"/>
      <c r="I227" s="567"/>
      <c r="J227" s="567"/>
      <c r="K227" s="567"/>
      <c r="L227" s="770"/>
      <c r="M227" s="567"/>
      <c r="N227" s="567"/>
      <c r="O227" s="567"/>
      <c r="P227" s="567"/>
      <c r="Q227" s="567"/>
      <c r="R227" s="771">
        <f>$A227*Q227</f>
        <v>0</v>
      </c>
      <c r="S227" s="567"/>
      <c r="T227" s="500">
        <f>$A227*S227*$T$1</f>
        <v>0</v>
      </c>
    </row>
    <row r="228" spans="1:41" s="501" customFormat="1" ht="12">
      <c r="A228" s="772" t="s">
        <v>145</v>
      </c>
      <c r="B228" s="773">
        <f>(R227+T227)</f>
        <v>0</v>
      </c>
      <c r="C228" s="753"/>
      <c r="G228" s="774"/>
      <c r="H228" s="774"/>
      <c r="I228" s="774"/>
      <c r="J228" s="774"/>
      <c r="K228" s="798" t="s">
        <v>5</v>
      </c>
      <c r="L228" s="775" t="s">
        <v>573</v>
      </c>
      <c r="M228" s="774"/>
      <c r="N228" s="774"/>
      <c r="O228" s="774"/>
      <c r="P228" s="774"/>
      <c r="Q228" s="776"/>
      <c r="R228" s="777">
        <f>SUM(R224:R227)</f>
        <v>0</v>
      </c>
      <c r="S228" s="778"/>
      <c r="T228" s="777">
        <f>SUM(T224:T227)</f>
        <v>0</v>
      </c>
      <c r="AG228" s="799">
        <f>ROUND($R228*$S$3,2)</f>
        <v>0</v>
      </c>
    </row>
    <row r="229" spans="1:41" s="501" customFormat="1" ht="12" customHeight="1">
      <c r="A229" s="800"/>
      <c r="B229" s="801"/>
      <c r="C229" s="802"/>
      <c r="D229" s="803" t="str">
        <f>$F$4</f>
        <v>Engineer (Man Hours)</v>
      </c>
      <c r="E229" s="803">
        <f>ROUND(($R233*$S$4 + ($T233*$T$4)), 2)</f>
        <v>0</v>
      </c>
      <c r="F229" s="804">
        <f ca="1">$F216-SUMIF($L218:$P226,"SUBI",$F218:$F226)</f>
        <v>0</v>
      </c>
      <c r="G229" s="499"/>
      <c r="H229" s="499"/>
      <c r="I229" s="499"/>
      <c r="J229" s="499"/>
      <c r="K229" s="805" t="s">
        <v>8</v>
      </c>
      <c r="L229" s="766" t="s">
        <v>573</v>
      </c>
      <c r="M229" s="499"/>
      <c r="N229" s="499"/>
      <c r="O229" s="499"/>
      <c r="P229" s="499"/>
      <c r="Q229" s="499"/>
      <c r="R229" s="784"/>
      <c r="S229" s="499"/>
      <c r="T229" s="784"/>
    </row>
    <row r="230" spans="1:41" s="797" customFormat="1" ht="14.4" customHeight="1">
      <c r="A230" s="785"/>
      <c r="B230" s="768" t="s">
        <v>576</v>
      </c>
      <c r="C230" s="786"/>
      <c r="D230" s="787"/>
      <c r="E230" s="787"/>
      <c r="F230" s="787"/>
      <c r="G230" s="788"/>
      <c r="H230" s="789"/>
      <c r="I230" s="789"/>
      <c r="J230" s="790"/>
      <c r="K230" s="791"/>
      <c r="L230" s="786"/>
      <c r="M230" s="792"/>
      <c r="N230" s="793"/>
      <c r="O230" s="806"/>
      <c r="P230" s="795"/>
      <c r="Q230" s="796"/>
      <c r="R230" s="720">
        <f>$A230*Q230</f>
        <v>0</v>
      </c>
      <c r="S230" s="796"/>
      <c r="T230" s="500">
        <f>$A230*S230*$T$1</f>
        <v>0</v>
      </c>
    </row>
    <row r="231" spans="1:41" s="501" customFormat="1" ht="12">
      <c r="A231" s="44"/>
      <c r="B231" s="497"/>
      <c r="C231" s="497"/>
      <c r="D231" s="807"/>
      <c r="E231" s="808"/>
      <c r="F231" s="499"/>
      <c r="G231" s="499"/>
      <c r="H231" s="499"/>
      <c r="I231" s="499"/>
      <c r="J231" s="499"/>
      <c r="K231" s="499"/>
      <c r="L231" s="809"/>
      <c r="M231" s="499"/>
      <c r="N231" s="499"/>
      <c r="O231" s="499"/>
      <c r="P231" s="499"/>
      <c r="Q231" s="499"/>
      <c r="R231" s="720">
        <f>$A231*Q231</f>
        <v>0</v>
      </c>
      <c r="S231" s="499"/>
      <c r="T231" s="500">
        <f>$A231*S231*$T$1</f>
        <v>0</v>
      </c>
    </row>
    <row r="232" spans="1:41" s="501" customFormat="1" ht="12">
      <c r="A232" s="44"/>
      <c r="B232" s="497"/>
      <c r="C232" s="497"/>
      <c r="D232" s="807"/>
      <c r="E232" s="808"/>
      <c r="F232" s="499"/>
      <c r="G232" s="499"/>
      <c r="H232" s="499"/>
      <c r="I232" s="499"/>
      <c r="J232" s="499"/>
      <c r="K232" s="499"/>
      <c r="L232" s="809"/>
      <c r="M232" s="499"/>
      <c r="N232" s="499"/>
      <c r="O232" s="499"/>
      <c r="P232" s="499"/>
      <c r="Q232" s="499"/>
      <c r="R232" s="720">
        <f>$A232*Q232</f>
        <v>0</v>
      </c>
      <c r="S232" s="499"/>
      <c r="T232" s="500">
        <f>$A232*S232*$T$1</f>
        <v>0</v>
      </c>
    </row>
    <row r="233" spans="1:41" s="501" customFormat="1" ht="12.75" customHeight="1">
      <c r="A233" s="772" t="s">
        <v>145</v>
      </c>
      <c r="B233" s="773">
        <f>(R232+T232)</f>
        <v>0</v>
      </c>
      <c r="C233" s="810"/>
      <c r="D233" s="810"/>
      <c r="E233" s="810"/>
      <c r="F233" s="810"/>
      <c r="G233" s="776"/>
      <c r="H233" s="776"/>
      <c r="I233" s="776"/>
      <c r="J233" s="776"/>
      <c r="K233" s="798" t="s">
        <v>8</v>
      </c>
      <c r="L233" s="811" t="s">
        <v>573</v>
      </c>
      <c r="M233" s="776"/>
      <c r="N233" s="776"/>
      <c r="O233" s="776"/>
      <c r="P233" s="776"/>
      <c r="Q233" s="776"/>
      <c r="R233" s="777">
        <f>SUM(R229:R232)</f>
        <v>0</v>
      </c>
      <c r="S233" s="778"/>
      <c r="T233" s="777">
        <f>SUM(T229:T232)</f>
        <v>0</v>
      </c>
      <c r="AG233" s="812">
        <f>ROUND($R233*$S$4,2)</f>
        <v>0</v>
      </c>
    </row>
    <row r="234" spans="1:41" s="501" customFormat="1" ht="12.75" customHeight="1">
      <c r="A234" s="813"/>
      <c r="B234" s="814"/>
      <c r="E234" s="497"/>
      <c r="F234" s="808"/>
      <c r="G234" s="497"/>
      <c r="H234" s="497"/>
      <c r="I234" s="499"/>
      <c r="J234" s="497"/>
      <c r="K234" s="497"/>
      <c r="L234" s="815"/>
      <c r="M234" s="725"/>
      <c r="N234" s="725"/>
      <c r="O234" s="725"/>
      <c r="P234" s="725"/>
      <c r="Q234" s="726"/>
      <c r="R234" s="784"/>
      <c r="S234" s="497"/>
      <c r="T234" s="784"/>
    </row>
    <row r="235" spans="1:41" s="501" customFormat="1" ht="13.5" customHeight="1" thickBot="1">
      <c r="A235" s="816"/>
      <c r="B235" s="817"/>
      <c r="C235" s="518"/>
      <c r="D235" s="518"/>
      <c r="E235" s="515"/>
      <c r="F235" s="721"/>
      <c r="G235" s="515" t="s">
        <v>146</v>
      </c>
      <c r="H235" s="515"/>
      <c r="I235" s="516"/>
      <c r="J235" s="515"/>
      <c r="K235" s="515"/>
      <c r="L235" s="818" t="s">
        <v>143</v>
      </c>
      <c r="M235" s="517"/>
      <c r="N235" s="517"/>
      <c r="O235" s="517"/>
      <c r="P235" s="517"/>
      <c r="Q235" s="722"/>
      <c r="R235" s="819">
        <f ca="1">SUMIF($L217:$L234,"SUBI",R217:R234)</f>
        <v>13.92</v>
      </c>
      <c r="S235" s="820"/>
      <c r="T235" s="819">
        <f ca="1">SUMIF($L217:$L234,"SUBI",T217:T234)</f>
        <v>1.56</v>
      </c>
      <c r="U235" s="518"/>
      <c r="V235" s="518"/>
      <c r="W235" s="518"/>
      <c r="X235" s="518"/>
      <c r="Y235" s="518"/>
      <c r="Z235" s="518"/>
      <c r="AA235" s="518"/>
      <c r="AB235" s="518"/>
      <c r="AC235" s="518"/>
      <c r="AD235" s="518"/>
      <c r="AE235" s="518"/>
      <c r="AF235" s="518"/>
      <c r="AG235" s="518"/>
      <c r="AH235" s="518"/>
      <c r="AI235" s="518"/>
      <c r="AJ235" s="518"/>
      <c r="AK235" s="518"/>
      <c r="AL235" s="518"/>
      <c r="AM235" s="518"/>
      <c r="AN235" s="518"/>
      <c r="AO235" s="518"/>
    </row>
    <row r="236" spans="1:41" s="501" customFormat="1" thickTop="1">
      <c r="A236" s="44"/>
      <c r="B236" s="44"/>
      <c r="C236" s="3"/>
      <c r="D236" s="3"/>
      <c r="E236" s="44"/>
      <c r="F236" s="44"/>
      <c r="G236" s="44"/>
      <c r="H236" s="44"/>
      <c r="I236" s="44"/>
      <c r="J236" s="44"/>
      <c r="K236" s="44" t="s">
        <v>134</v>
      </c>
      <c r="L236" s="44"/>
      <c r="M236" s="44"/>
      <c r="N236" s="44"/>
      <c r="O236" s="45"/>
      <c r="P236" s="44"/>
      <c r="Q236" s="44"/>
      <c r="R236" s="44"/>
      <c r="S236" s="44"/>
      <c r="T236" s="44"/>
    </row>
    <row r="237" spans="1:41" s="501" customFormat="1" ht="12">
      <c r="A237" s="44"/>
      <c r="B237" s="44"/>
      <c r="C237" s="44" t="s">
        <v>135</v>
      </c>
      <c r="D237" s="35" t="s">
        <v>602</v>
      </c>
      <c r="E237" s="44"/>
      <c r="F237" s="44"/>
      <c r="G237" s="44"/>
      <c r="H237" s="44"/>
      <c r="I237" s="44"/>
      <c r="J237" s="44"/>
      <c r="K237" s="44"/>
      <c r="L237" s="44"/>
      <c r="M237" s="44"/>
      <c r="N237" s="44"/>
      <c r="O237" s="45"/>
      <c r="P237" s="44"/>
      <c r="Q237" s="44"/>
      <c r="R237" s="44"/>
      <c r="S237" s="44"/>
      <c r="T237" s="44"/>
    </row>
    <row r="238" spans="1:41" s="501" customFormat="1" ht="12">
      <c r="A238" s="44"/>
      <c r="B238" s="44"/>
      <c r="C238" s="44"/>
      <c r="D238" s="35" t="s">
        <v>303</v>
      </c>
      <c r="E238" s="44"/>
      <c r="F238" s="44"/>
      <c r="G238" s="44"/>
      <c r="H238" s="44"/>
      <c r="I238" s="44"/>
      <c r="J238" s="44"/>
      <c r="K238" s="44"/>
      <c r="L238" s="44"/>
      <c r="M238" s="44"/>
      <c r="N238" s="44"/>
      <c r="O238" s="45"/>
      <c r="P238" s="44"/>
      <c r="Q238" s="44"/>
      <c r="R238" s="44"/>
      <c r="S238" s="36"/>
      <c r="T238" s="36"/>
    </row>
    <row r="239" spans="1:41" s="3" customFormat="1" thickBot="1">
      <c r="A239" s="518"/>
      <c r="O239" s="86"/>
    </row>
    <row r="240" spans="1:41" s="501" customFormat="1" thickTop="1">
      <c r="A240" s="44"/>
      <c r="B240" s="39"/>
      <c r="C240" s="44"/>
      <c r="E240" s="40" t="s">
        <v>138</v>
      </c>
      <c r="F240" s="40" t="s">
        <v>139</v>
      </c>
      <c r="G240" s="44"/>
      <c r="H240" s="44"/>
      <c r="I240" s="44"/>
      <c r="J240" s="44"/>
      <c r="K240" s="44" t="s">
        <v>140</v>
      </c>
      <c r="L240" s="737"/>
      <c r="M240" s="44"/>
      <c r="N240" s="44"/>
      <c r="O240" s="45"/>
      <c r="P240" s="44"/>
      <c r="Q240"/>
      <c r="R240"/>
      <c r="S240"/>
      <c r="T240" s="39"/>
      <c r="AG240" s="502" t="s">
        <v>247</v>
      </c>
      <c r="AH240" s="502" t="s">
        <v>248</v>
      </c>
      <c r="AI240" s="502" t="s">
        <v>249</v>
      </c>
      <c r="AJ240" s="502" t="s">
        <v>250</v>
      </c>
      <c r="AK240" s="502" t="s">
        <v>251</v>
      </c>
      <c r="AM240" s="710" t="s">
        <v>260</v>
      </c>
      <c r="AN240" s="711" t="s">
        <v>261</v>
      </c>
      <c r="AO240" s="503" t="s">
        <v>257</v>
      </c>
    </row>
    <row r="241" spans="1:41" s="501" customFormat="1" ht="13.2">
      <c r="A241" s="712">
        <v>3</v>
      </c>
      <c r="B241" s="504" t="s">
        <v>283</v>
      </c>
      <c r="C241" s="505"/>
      <c r="D241" s="713" t="s">
        <v>577</v>
      </c>
      <c r="E241" s="738">
        <f ca="1">IF(AND($A241=0,$A$1="DIF"),0, ROUND(ROUND(SUMIF($L243:$L249,"SUBI",$E243:$E249)/$A241,2)*$C$12,2))</f>
        <v>4731.63</v>
      </c>
      <c r="F241" s="739">
        <f ca="1">ROUND($A241*$E241,2)</f>
        <v>14194.89</v>
      </c>
      <c r="G241" s="506" t="s">
        <v>142</v>
      </c>
      <c r="H241" s="498"/>
      <c r="I241" s="716"/>
      <c r="J241" s="498"/>
      <c r="K241" s="740"/>
      <c r="L241" s="741" t="s">
        <v>143</v>
      </c>
      <c r="M241" s="717"/>
      <c r="N241" s="717"/>
      <c r="O241" s="717"/>
      <c r="P241" s="717"/>
      <c r="Q241" s="943" t="s">
        <v>855</v>
      </c>
      <c r="R241" s="943" t="s">
        <v>880</v>
      </c>
      <c r="S241"/>
      <c r="T241" s="742" t="str">
        <f ca="1">IF(AND($R255=0,$T255=0),"0.00","mu :" &amp; ROUND($F241/$C$12/($R255+$T255*$D$9),2))</f>
        <v>mu :1.35</v>
      </c>
      <c r="W241" s="507"/>
      <c r="AG241" s="743">
        <f ca="1">IF(A241=0,0,ROUND(SUM(AG243:AG255)/A241,2))</f>
        <v>4252.38</v>
      </c>
      <c r="AH241" s="743">
        <f ca="1">$AG241*$A241</f>
        <v>12757.14</v>
      </c>
      <c r="AI241" s="743">
        <f ca="1">$E241-$AG241</f>
        <v>479.25</v>
      </c>
      <c r="AJ241" s="743">
        <f ca="1">$A241*$AI241</f>
        <v>1437.75</v>
      </c>
      <c r="AK241" s="744">
        <f ca="1">ROUND(($AG241+$AI241)*$A241,2)</f>
        <v>14194.89</v>
      </c>
      <c r="AM241" s="510">
        <f ca="1">ROUND(R255,2)</f>
        <v>9449.73</v>
      </c>
      <c r="AN241" s="511">
        <f ca="1">ROUND(T255,2)</f>
        <v>38.1</v>
      </c>
      <c r="AO241" s="512">
        <f ca="1">ROUND(AM241+AN241,2)*A241</f>
        <v>28463.489999999998</v>
      </c>
    </row>
    <row r="242" spans="1:41" s="501" customFormat="1" ht="19.95" customHeight="1">
      <c r="A242" s="745"/>
      <c r="B242" s="746"/>
      <c r="C242" s="505"/>
      <c r="D242" s="724" t="s">
        <v>319</v>
      </c>
      <c r="F242" s="498"/>
      <c r="G242" s="498"/>
      <c r="H242" s="498"/>
      <c r="I242" s="716"/>
      <c r="J242" s="498"/>
      <c r="K242" s="498" t="s">
        <v>144</v>
      </c>
      <c r="L242" s="747"/>
      <c r="M242" s="498"/>
      <c r="N242" s="498"/>
      <c r="O242" s="498"/>
      <c r="P242" s="498"/>
      <c r="Q242" s="44"/>
      <c r="R242" s="567"/>
      <c r="S242" s="719"/>
      <c r="T242" s="498"/>
    </row>
    <row r="243" spans="1:41" s="501" customFormat="1" ht="12">
      <c r="A243" s="821"/>
      <c r="B243" s="822"/>
      <c r="C243" s="497"/>
      <c r="D243" s="498"/>
      <c r="E243" s="823">
        <f ca="1">F241/$C$12-SUMIF($L240:$L255,"SUBI",$E240:$E255)</f>
        <v>0</v>
      </c>
      <c r="F243" s="824" t="s">
        <v>572</v>
      </c>
      <c r="G243" s="753"/>
      <c r="H243" s="753"/>
      <c r="I243" s="754"/>
      <c r="J243" s="753"/>
      <c r="K243" s="753"/>
      <c r="L243" s="755"/>
      <c r="M243" s="756"/>
      <c r="N243" s="756"/>
      <c r="O243" s="756"/>
      <c r="P243" s="756"/>
      <c r="Q243" s="757"/>
      <c r="R243" s="758"/>
      <c r="S243" s="757"/>
      <c r="T243" s="759"/>
    </row>
    <row r="244" spans="1:41" s="501" customFormat="1" ht="12" customHeight="1">
      <c r="A244" s="760"/>
      <c r="B244" s="761"/>
      <c r="C244" s="762"/>
      <c r="D244" s="762" t="str">
        <f>$F$2</f>
        <v>Electrical</v>
      </c>
      <c r="E244" s="762">
        <f ca="1">ROUND(($R248*$S$2 + ($T248*$T$2)), 2)</f>
        <v>2219.73</v>
      </c>
      <c r="F244" s="763">
        <f ca="1">$E244*$C$12</f>
        <v>2219.73</v>
      </c>
      <c r="G244" s="567"/>
      <c r="H244" s="764"/>
      <c r="I244" s="567"/>
      <c r="J244" s="45"/>
      <c r="K244" s="765" t="s">
        <v>3</v>
      </c>
      <c r="L244" s="766" t="s">
        <v>573</v>
      </c>
      <c r="M244" s="567"/>
      <c r="N244" s="567"/>
      <c r="O244" s="45"/>
      <c r="P244" s="567"/>
      <c r="Q244" s="567"/>
      <c r="R244"/>
      <c r="S244"/>
      <c r="T244"/>
    </row>
    <row r="245" spans="1:41" s="935" customFormat="1" ht="13.2">
      <c r="A245"/>
      <c r="B245" s="927"/>
      <c r="C245" s="927" t="s">
        <v>735</v>
      </c>
      <c r="D245" s="927" t="str">
        <f ca="1">CELL("Address",Elec_Rates!D$97)</f>
        <v>[E25_0465_IH_Retro_Elec4Mech_Est_Rev_A.xlsx]Elec_Rates!$D$97</v>
      </c>
      <c r="E245" s="928"/>
      <c r="F245" s="928"/>
      <c r="G245" s="929" t="s">
        <v>736</v>
      </c>
      <c r="H245" s="929"/>
      <c r="I245" s="929"/>
      <c r="J245" s="929"/>
      <c r="K245" s="930"/>
      <c r="L245" s="928"/>
      <c r="M245" s="928"/>
      <c r="N245" s="928"/>
      <c r="O245" s="931"/>
      <c r="P245" s="928"/>
      <c r="Q245" s="932"/>
      <c r="R245" s="933"/>
      <c r="S245" s="932"/>
      <c r="T245" s="560"/>
      <c r="U245" s="934"/>
    </row>
    <row r="246" spans="1:41" s="935" customFormat="1" ht="11.4">
      <c r="A246" s="936">
        <v>3</v>
      </c>
      <c r="B246" s="937">
        <v>1</v>
      </c>
      <c r="C246" s="937">
        <f>$A246*$B246</f>
        <v>3</v>
      </c>
      <c r="D246" s="938" t="str">
        <f>Elec_Rates!$D$97</f>
        <v>009# Energy Meter M-Bus</v>
      </c>
      <c r="E246" s="938"/>
      <c r="F246" s="938" t="s">
        <v>737</v>
      </c>
      <c r="G246" s="939" t="s">
        <v>738</v>
      </c>
      <c r="H246" s="939"/>
      <c r="I246" s="939"/>
      <c r="J246" s="939"/>
      <c r="K246" s="940"/>
      <c r="L246" s="934"/>
      <c r="M246" s="934"/>
      <c r="N246" s="934"/>
      <c r="O246" s="941"/>
      <c r="P246" s="938"/>
      <c r="Q246" s="942">
        <f ca="1">$B246*Elec_Rates!$R$97</f>
        <v>226.8</v>
      </c>
      <c r="R246" s="933">
        <f ca="1">$A246*Q246</f>
        <v>680.40000000000009</v>
      </c>
      <c r="S246" s="942">
        <f ca="1">$B246*Elec_Rates!$T$97</f>
        <v>11.7</v>
      </c>
      <c r="T246" s="560">
        <f ca="1">$A246*S246</f>
        <v>35.099999999999994</v>
      </c>
      <c r="U246" s="484"/>
    </row>
    <row r="247" spans="1:41" s="501" customFormat="1" ht="13.95" customHeight="1">
      <c r="A247" s="767"/>
      <c r="B247" s="567"/>
      <c r="C247" s="567"/>
      <c r="D247" s="567"/>
      <c r="E247" s="567"/>
      <c r="F247" s="567"/>
      <c r="G247" s="567"/>
      <c r="H247" s="764"/>
      <c r="I247" s="567"/>
      <c r="J247" s="45"/>
      <c r="K247" s="769"/>
      <c r="L247" s="770"/>
      <c r="M247" s="567"/>
      <c r="N247" s="567"/>
      <c r="O247" s="45"/>
      <c r="P247" s="567"/>
      <c r="Q247" s="567"/>
      <c r="R247" s="771">
        <f>$A247*Q247</f>
        <v>0</v>
      </c>
      <c r="S247" s="567"/>
      <c r="T247" s="500">
        <f>$A247*S247*$T$1</f>
        <v>0</v>
      </c>
    </row>
    <row r="248" spans="1:41" s="501" customFormat="1" ht="12">
      <c r="A248" s="825" t="s">
        <v>145</v>
      </c>
      <c r="B248" s="826">
        <f>(R247+T247)</f>
        <v>0</v>
      </c>
      <c r="C248" s="497"/>
      <c r="G248" s="774"/>
      <c r="H248" s="774"/>
      <c r="I248" s="774"/>
      <c r="J248" s="774"/>
      <c r="K248" s="750" t="s">
        <v>3</v>
      </c>
      <c r="L248" s="775" t="s">
        <v>573</v>
      </c>
      <c r="M248" s="774"/>
      <c r="N248" s="774"/>
      <c r="O248" s="774"/>
      <c r="P248" s="774"/>
      <c r="Q248" s="776"/>
      <c r="R248" s="777">
        <f ca="1">SUM(R244:R247)</f>
        <v>680.40000000000009</v>
      </c>
      <c r="S248" s="778"/>
      <c r="T248" s="777">
        <f ca="1">SUM(T244:T247)</f>
        <v>35.099999999999994</v>
      </c>
      <c r="AG248" s="779">
        <f ca="1">ROUND($R248*$S$2,2)</f>
        <v>918.54</v>
      </c>
    </row>
    <row r="249" spans="1:41" s="501" customFormat="1" ht="12" customHeight="1">
      <c r="A249" s="800"/>
      <c r="B249" s="827"/>
      <c r="C249" s="828"/>
      <c r="D249" s="828" t="str">
        <f>$F$3</f>
        <v>Technician</v>
      </c>
      <c r="E249" s="828">
        <f>ROUND(($R253*$S$3 + ($T253*$T$3)), 2)</f>
        <v>11975.16</v>
      </c>
      <c r="F249" s="829">
        <f ca="1">$F241-SUMIF($L243:$P246,"SUBI",$F243:$F246)</f>
        <v>11975.16</v>
      </c>
      <c r="G249" s="499"/>
      <c r="H249" s="499"/>
      <c r="I249" s="499"/>
      <c r="J249" s="499"/>
      <c r="K249" s="765" t="s">
        <v>5</v>
      </c>
      <c r="L249" s="766" t="s">
        <v>573</v>
      </c>
      <c r="M249" s="499"/>
      <c r="N249" s="499"/>
      <c r="O249" s="499"/>
      <c r="P249" s="499"/>
      <c r="Q249" s="499"/>
      <c r="R249" s="784"/>
      <c r="S249" s="499"/>
      <c r="T249" s="784"/>
    </row>
    <row r="250" spans="1:41" s="893" customFormat="1" ht="13.2">
      <c r="A250">
        <v>3</v>
      </c>
      <c r="B250" s="893" t="s">
        <v>141</v>
      </c>
      <c r="D250" s="893" t="s">
        <v>641</v>
      </c>
      <c r="E250" s="901" t="s">
        <v>644</v>
      </c>
      <c r="F250" s="1134" t="s">
        <v>1107</v>
      </c>
      <c r="G250" s="894" t="s">
        <v>642</v>
      </c>
      <c r="H250" s="895">
        <v>512</v>
      </c>
      <c r="I250" s="893" t="s">
        <v>643</v>
      </c>
      <c r="O250" s="896">
        <v>3</v>
      </c>
      <c r="P250" s="897"/>
      <c r="Q250" s="898">
        <v>2923.11</v>
      </c>
      <c r="R250" s="899">
        <f>$A250*Q250</f>
        <v>8769.33</v>
      </c>
      <c r="S250" s="898">
        <v>1</v>
      </c>
      <c r="T250" s="900">
        <f>$A250*S250*$T$1</f>
        <v>3</v>
      </c>
    </row>
    <row r="251" spans="1:41" s="501" customFormat="1" ht="11.4">
      <c r="A251" s="767"/>
      <c r="B251" s="567"/>
      <c r="C251" s="567"/>
      <c r="D251" s="567"/>
      <c r="E251" s="567"/>
      <c r="F251" s="567"/>
      <c r="G251" s="567"/>
      <c r="H251" s="567"/>
      <c r="I251" s="567"/>
      <c r="J251" s="567"/>
      <c r="K251" s="567"/>
      <c r="L251" s="770"/>
      <c r="M251" s="567"/>
      <c r="N251" s="567"/>
      <c r="O251" s="567"/>
      <c r="P251" s="567"/>
      <c r="Q251" s="567"/>
      <c r="R251" s="771">
        <f>$A251*Q251</f>
        <v>0</v>
      </c>
      <c r="S251" s="567"/>
      <c r="T251" s="500">
        <f>$A251*S251*$T$1</f>
        <v>0</v>
      </c>
    </row>
    <row r="252" spans="1:41" s="501" customFormat="1" ht="13.2">
      <c r="A252" s="767"/>
      <c r="B252" s="567"/>
      <c r="C252" s="567"/>
      <c r="D252" s="3"/>
      <c r="E252" s="567"/>
      <c r="F252" s="567"/>
      <c r="G252" s="567"/>
      <c r="H252" s="567"/>
      <c r="I252" s="567"/>
      <c r="J252" s="567"/>
      <c r="K252" s="567"/>
      <c r="L252" s="770"/>
      <c r="M252" s="567"/>
      <c r="N252" s="567"/>
      <c r="O252" s="567"/>
      <c r="P252" s="567"/>
      <c r="Q252" s="567"/>
      <c r="R252" s="771">
        <f>$A252*Q252</f>
        <v>0</v>
      </c>
      <c r="S252" s="567"/>
      <c r="T252" s="500">
        <f>$A252*S252*$T$1</f>
        <v>0</v>
      </c>
    </row>
    <row r="253" spans="1:41" s="501" customFormat="1" ht="12" customHeight="1">
      <c r="A253" s="772" t="s">
        <v>145</v>
      </c>
      <c r="B253" s="773">
        <f>(R252+T252)</f>
        <v>0</v>
      </c>
      <c r="C253" s="810"/>
      <c r="D253" s="810"/>
      <c r="E253" s="810"/>
      <c r="F253" s="810"/>
      <c r="G253" s="776"/>
      <c r="H253" s="776"/>
      <c r="I253" s="776"/>
      <c r="J253" s="776"/>
      <c r="K253" s="798" t="s">
        <v>5</v>
      </c>
      <c r="L253" s="811" t="s">
        <v>573</v>
      </c>
      <c r="M253" s="776"/>
      <c r="N253" s="776"/>
      <c r="O253" s="776"/>
      <c r="P253" s="776"/>
      <c r="Q253" s="776"/>
      <c r="R253" s="777">
        <f>SUM(R249:R252)</f>
        <v>8769.33</v>
      </c>
      <c r="S253" s="778"/>
      <c r="T253" s="777">
        <f>SUM(T249:T252)</f>
        <v>3</v>
      </c>
      <c r="AG253" s="799">
        <f>ROUND($R253*$S$3,2)</f>
        <v>11838.6</v>
      </c>
    </row>
    <row r="254" spans="1:41" s="501" customFormat="1" ht="12.75" customHeight="1">
      <c r="A254" s="813"/>
      <c r="B254" s="814"/>
      <c r="E254" s="497"/>
      <c r="F254" s="808"/>
      <c r="G254" s="497"/>
      <c r="H254" s="497"/>
      <c r="I254" s="499"/>
      <c r="J254" s="497"/>
      <c r="K254" s="497"/>
      <c r="L254" s="815"/>
      <c r="M254" s="725"/>
      <c r="N254" s="725"/>
      <c r="O254" s="725"/>
      <c r="P254" s="725"/>
      <c r="Q254" s="726"/>
      <c r="R254" s="784"/>
      <c r="S254" s="497"/>
      <c r="T254" s="784"/>
    </row>
    <row r="255" spans="1:41" s="501" customFormat="1" ht="13.5" customHeight="1" thickBot="1">
      <c r="A255" s="816"/>
      <c r="B255" s="817"/>
      <c r="C255" s="518"/>
      <c r="D255" s="518"/>
      <c r="E255" s="515"/>
      <c r="F255" s="721"/>
      <c r="G255" s="515" t="s">
        <v>146</v>
      </c>
      <c r="H255" s="515"/>
      <c r="I255" s="516"/>
      <c r="J255" s="515"/>
      <c r="K255" s="515"/>
      <c r="L255" s="818" t="s">
        <v>143</v>
      </c>
      <c r="M255" s="517"/>
      <c r="N255" s="517"/>
      <c r="O255" s="517"/>
      <c r="P255" s="517"/>
      <c r="Q255" s="722"/>
      <c r="R255" s="819">
        <f ca="1">SUMIF($L242:$L254,"SUBI",R242:R254)</f>
        <v>9449.73</v>
      </c>
      <c r="S255" s="515"/>
      <c r="T255" s="819">
        <f ca="1">SUMIF($L242:$L254,"SUBI",T242:T254)</f>
        <v>38.099999999999994</v>
      </c>
      <c r="U255" s="518"/>
      <c r="V255" s="518"/>
      <c r="W255" s="518"/>
      <c r="X255" s="518"/>
      <c r="Y255" s="518"/>
      <c r="Z255" s="518"/>
      <c r="AA255" s="518"/>
      <c r="AB255" s="518"/>
      <c r="AC255" s="518"/>
      <c r="AD255" s="518"/>
      <c r="AE255" s="518"/>
      <c r="AF255" s="518"/>
      <c r="AG255" s="518"/>
      <c r="AH255" s="518"/>
      <c r="AI255" s="518"/>
      <c r="AJ255" s="518"/>
      <c r="AK255" s="518"/>
      <c r="AL255" s="518"/>
      <c r="AM255" s="518"/>
      <c r="AN255" s="518"/>
      <c r="AO255" s="518"/>
    </row>
    <row r="256" spans="1:41" s="501" customFormat="1" thickTop="1">
      <c r="A256" s="44"/>
      <c r="B256" s="44"/>
      <c r="C256" s="3"/>
      <c r="D256" s="3"/>
      <c r="E256" s="44"/>
      <c r="F256" s="44"/>
      <c r="G256" s="44"/>
      <c r="H256" s="44"/>
      <c r="I256" s="44"/>
      <c r="J256" s="44"/>
      <c r="K256" s="44" t="s">
        <v>134</v>
      </c>
      <c r="L256" s="44"/>
      <c r="M256" s="44"/>
      <c r="N256" s="44"/>
      <c r="O256" s="45"/>
      <c r="P256" s="44"/>
      <c r="Q256" s="44"/>
      <c r="R256" s="44"/>
      <c r="S256" s="44"/>
      <c r="T256" s="44"/>
    </row>
    <row r="257" spans="1:41" s="501" customFormat="1" ht="12">
      <c r="A257" s="44"/>
      <c r="B257" s="44"/>
      <c r="C257" s="44" t="s">
        <v>135</v>
      </c>
      <c r="D257" s="35" t="s">
        <v>604</v>
      </c>
      <c r="E257" s="44"/>
      <c r="F257" s="44"/>
      <c r="G257" s="44"/>
      <c r="H257" s="44"/>
      <c r="I257" s="44"/>
      <c r="J257" s="44"/>
      <c r="K257" s="44"/>
      <c r="L257" s="44"/>
      <c r="M257" s="44"/>
      <c r="N257" s="44"/>
      <c r="O257" s="45"/>
      <c r="P257" s="44"/>
      <c r="Q257" s="44"/>
      <c r="R257" s="44"/>
      <c r="S257" s="44"/>
      <c r="T257" s="44"/>
    </row>
    <row r="258" spans="1:41" s="501" customFormat="1" ht="12">
      <c r="A258" s="44"/>
      <c r="B258" s="44"/>
      <c r="C258" s="44"/>
      <c r="D258" s="35" t="s">
        <v>907</v>
      </c>
      <c r="E258" s="44"/>
      <c r="F258" s="44"/>
      <c r="G258" s="44"/>
      <c r="H258" s="44"/>
      <c r="I258" s="44"/>
      <c r="J258" s="44"/>
      <c r="K258" s="44"/>
      <c r="L258" s="44"/>
      <c r="M258" s="44"/>
      <c r="N258" s="44"/>
      <c r="O258" s="45"/>
      <c r="P258" s="44"/>
      <c r="Q258" s="44"/>
      <c r="R258" s="44"/>
      <c r="S258" s="36"/>
      <c r="T258" s="36"/>
    </row>
    <row r="259" spans="1:41" s="3" customFormat="1" thickBot="1">
      <c r="A259" s="518"/>
      <c r="O259" s="86"/>
    </row>
    <row r="260" spans="1:41" s="501" customFormat="1" thickTop="1">
      <c r="A260" s="44"/>
      <c r="B260" s="39"/>
      <c r="C260" s="44"/>
      <c r="E260" s="40" t="s">
        <v>138</v>
      </c>
      <c r="F260" s="40" t="s">
        <v>139</v>
      </c>
      <c r="G260" s="44"/>
      <c r="H260" s="44"/>
      <c r="I260" s="44"/>
      <c r="J260" s="44"/>
      <c r="K260" s="44" t="s">
        <v>140</v>
      </c>
      <c r="L260" s="737"/>
      <c r="M260" s="44"/>
      <c r="N260" s="44"/>
      <c r="O260" s="45"/>
      <c r="P260" s="44"/>
      <c r="Q260"/>
      <c r="R260"/>
      <c r="S260"/>
      <c r="T260" s="39"/>
      <c r="AG260" s="502" t="s">
        <v>247</v>
      </c>
      <c r="AH260" s="502" t="s">
        <v>248</v>
      </c>
      <c r="AI260" s="502" t="s">
        <v>249</v>
      </c>
      <c r="AJ260" s="502" t="s">
        <v>250</v>
      </c>
      <c r="AK260" s="502" t="s">
        <v>251</v>
      </c>
      <c r="AM260" s="710" t="s">
        <v>260</v>
      </c>
      <c r="AN260" s="711" t="s">
        <v>261</v>
      </c>
      <c r="AO260" s="503" t="s">
        <v>257</v>
      </c>
    </row>
    <row r="261" spans="1:41" s="501" customFormat="1" ht="13.2">
      <c r="A261" s="712">
        <v>6</v>
      </c>
      <c r="B261" s="504" t="s">
        <v>283</v>
      </c>
      <c r="C261" s="505"/>
      <c r="D261" s="713" t="s">
        <v>577</v>
      </c>
      <c r="E261" s="738">
        <f ca="1">IF(AND($A261=0,$A$1="DIF"),0, ROUND(ROUND(SUMIF($L263:$L269,"SUBI",$E263:$E269)/$A261,2)*$C$12,2))</f>
        <v>2368.98</v>
      </c>
      <c r="F261" s="739">
        <f ca="1">ROUND($A261*$E261,2)</f>
        <v>14213.88</v>
      </c>
      <c r="G261" s="506" t="s">
        <v>142</v>
      </c>
      <c r="H261" s="498"/>
      <c r="I261" s="716"/>
      <c r="J261" s="498"/>
      <c r="K261" s="740"/>
      <c r="L261" s="741" t="s">
        <v>143</v>
      </c>
      <c r="M261" s="717"/>
      <c r="N261" s="717"/>
      <c r="O261" s="717"/>
      <c r="P261" s="717"/>
      <c r="Q261" s="943" t="s">
        <v>1098</v>
      </c>
      <c r="R261" s="943"/>
      <c r="S261"/>
      <c r="T261" s="742" t="str">
        <f ca="1">IF(AND($R275=0,$T275=0),"0.00","mu :" &amp; ROUND($F261/$C$12/($R275+$T275*$D$9),2))</f>
        <v>mu :1.35</v>
      </c>
      <c r="W261" s="507"/>
      <c r="AG261" s="743">
        <f ca="1">IF(A261=0,0,ROUND(SUM(AG263:AG275)/A261,2))</f>
        <v>2346.2199999999998</v>
      </c>
      <c r="AH261" s="743">
        <f ca="1">$AG261*$A261</f>
        <v>14077.32</v>
      </c>
      <c r="AI261" s="743">
        <f ca="1">$E261-$AG261</f>
        <v>22.760000000000218</v>
      </c>
      <c r="AJ261" s="743">
        <f ca="1">$A261*$AI261</f>
        <v>136.56000000000131</v>
      </c>
      <c r="AK261" s="744">
        <f ca="1">ROUND(($AG261+$AI261)*$A261,2)</f>
        <v>14213.88</v>
      </c>
      <c r="AM261" s="510">
        <f ca="1">ROUND(R275,2)</f>
        <v>10427.64</v>
      </c>
      <c r="AN261" s="511">
        <f ca="1">ROUND(T275,2)</f>
        <v>3</v>
      </c>
      <c r="AO261" s="512">
        <f ca="1">ROUND(AM261+AN261,2)*A261</f>
        <v>62583.839999999997</v>
      </c>
    </row>
    <row r="262" spans="1:41" s="501" customFormat="1" ht="19.95" customHeight="1">
      <c r="A262" s="745"/>
      <c r="B262" s="746"/>
      <c r="C262" s="505"/>
      <c r="D262" s="724" t="s">
        <v>319</v>
      </c>
      <c r="F262" s="498"/>
      <c r="G262" s="498"/>
      <c r="H262" s="498"/>
      <c r="I262" s="716"/>
      <c r="J262" s="498"/>
      <c r="K262" s="498" t="s">
        <v>144</v>
      </c>
      <c r="L262" s="747"/>
      <c r="M262" s="498"/>
      <c r="N262" s="498"/>
      <c r="O262" s="498"/>
      <c r="P262" s="498"/>
      <c r="Q262" s="44"/>
      <c r="R262" s="567"/>
      <c r="S262" s="719"/>
      <c r="T262" s="498"/>
    </row>
    <row r="263" spans="1:41" s="501" customFormat="1" ht="12">
      <c r="A263" s="821"/>
      <c r="B263" s="822"/>
      <c r="C263" s="497"/>
      <c r="D263" s="498"/>
      <c r="E263" s="823">
        <f ca="1">F261/$C$12-SUMIF($L260:$L275,"SUBI",$E260:$E275)</f>
        <v>0</v>
      </c>
      <c r="F263" s="824" t="s">
        <v>572</v>
      </c>
      <c r="G263" s="753"/>
      <c r="H263" s="753"/>
      <c r="I263" s="754"/>
      <c r="J263" s="753"/>
      <c r="K263" s="753"/>
      <c r="L263" s="755"/>
      <c r="M263" s="756"/>
      <c r="N263" s="756"/>
      <c r="O263" s="756"/>
      <c r="P263" s="756"/>
      <c r="Q263" s="757"/>
      <c r="R263" s="758"/>
      <c r="S263" s="757"/>
      <c r="T263" s="759"/>
    </row>
    <row r="264" spans="1:41" s="501" customFormat="1" ht="12" customHeight="1">
      <c r="A264" s="760"/>
      <c r="B264" s="761"/>
      <c r="C264" s="762"/>
      <c r="D264" s="762" t="str">
        <f>$F$2</f>
        <v>Electrical</v>
      </c>
      <c r="E264" s="762">
        <f ca="1">ROUND(($R268*$S$2 + ($T268*$T$2)), 2)</f>
        <v>0</v>
      </c>
      <c r="F264" s="763">
        <f ca="1">$E264*$C$12</f>
        <v>0</v>
      </c>
      <c r="G264" s="567"/>
      <c r="H264" s="764"/>
      <c r="I264" s="567"/>
      <c r="J264" s="45"/>
      <c r="K264" s="765" t="s">
        <v>3</v>
      </c>
      <c r="L264" s="766" t="s">
        <v>573</v>
      </c>
      <c r="M264" s="567"/>
      <c r="N264" s="567"/>
      <c r="O264" s="45"/>
      <c r="P264" s="567"/>
      <c r="Q264" s="567"/>
      <c r="R264"/>
      <c r="S264"/>
      <c r="T264"/>
    </row>
    <row r="265" spans="1:41" s="935" customFormat="1" ht="13.2">
      <c r="A265" s="1144"/>
      <c r="B265" s="1145"/>
      <c r="C265" s="1145" t="s">
        <v>735</v>
      </c>
      <c r="D265" s="1145" t="str">
        <f ca="1">CELL("Address",Elec_Rates!D$107)</f>
        <v>[E25_0465_IH_Retro_Elec4Mech_Est_Rev_A.xlsx]Elec_Rates!$D$107</v>
      </c>
      <c r="E265" s="1146"/>
      <c r="F265" s="1146"/>
      <c r="G265" s="1147" t="s">
        <v>736</v>
      </c>
      <c r="H265" s="1147"/>
      <c r="I265" s="1147"/>
      <c r="J265" s="1147"/>
      <c r="K265" s="1148"/>
      <c r="L265" s="1146"/>
      <c r="M265" s="1146"/>
      <c r="N265" s="1146"/>
      <c r="O265" s="1149"/>
      <c r="P265" s="1146"/>
      <c r="Q265" s="1150"/>
      <c r="R265" s="1151"/>
      <c r="S265" s="1150"/>
      <c r="T265" s="1152"/>
      <c r="U265" s="934"/>
    </row>
    <row r="266" spans="1:41" s="935" customFormat="1" ht="11.4">
      <c r="A266" s="1153">
        <v>0</v>
      </c>
      <c r="B266" s="1154">
        <v>1</v>
      </c>
      <c r="C266" s="1154">
        <f>$A266*$B266</f>
        <v>0</v>
      </c>
      <c r="D266" s="1155" t="str">
        <f>Elec_Rates!$D$107</f>
        <v>010# Motorised valve</v>
      </c>
      <c r="E266" s="1155"/>
      <c r="F266" s="1155" t="s">
        <v>737</v>
      </c>
      <c r="G266" s="1156" t="s">
        <v>739</v>
      </c>
      <c r="H266" s="1156"/>
      <c r="I266" s="1156"/>
      <c r="J266" s="1156"/>
      <c r="K266" s="1157"/>
      <c r="L266" s="1158"/>
      <c r="M266" s="1158"/>
      <c r="N266" s="1158"/>
      <c r="O266" s="1159"/>
      <c r="P266" s="1155"/>
      <c r="Q266" s="1160">
        <f ca="1">$B266*Elec_Rates!$R$107</f>
        <v>0</v>
      </c>
      <c r="R266" s="1151">
        <f ca="1">$A266*Q266</f>
        <v>0</v>
      </c>
      <c r="S266" s="1160">
        <f ca="1">$B266*Elec_Rates!$T$107</f>
        <v>0</v>
      </c>
      <c r="T266" s="1152">
        <f ca="1">$A266*S266</f>
        <v>0</v>
      </c>
      <c r="U266" s="484"/>
    </row>
    <row r="267" spans="1:41" s="501" customFormat="1" ht="13.95" customHeight="1">
      <c r="A267" s="767"/>
      <c r="B267" s="567"/>
      <c r="C267" s="567"/>
      <c r="D267" s="567"/>
      <c r="E267" s="567"/>
      <c r="F267" s="567"/>
      <c r="G267" s="567"/>
      <c r="H267" s="764"/>
      <c r="I267" s="567"/>
      <c r="J267" s="45"/>
      <c r="K267" s="769"/>
      <c r="L267" s="770"/>
      <c r="M267" s="567"/>
      <c r="N267" s="567"/>
      <c r="O267" s="45"/>
      <c r="P267" s="567"/>
      <c r="Q267" s="567"/>
      <c r="R267" s="771">
        <f>$A267*Q267</f>
        <v>0</v>
      </c>
      <c r="S267" s="567"/>
      <c r="T267" s="500">
        <f>$A267*S267*$T$1</f>
        <v>0</v>
      </c>
    </row>
    <row r="268" spans="1:41" s="501" customFormat="1" ht="12">
      <c r="A268" s="825" t="s">
        <v>145</v>
      </c>
      <c r="B268" s="826">
        <f>(R267+T267)</f>
        <v>0</v>
      </c>
      <c r="C268" s="497"/>
      <c r="G268" s="774"/>
      <c r="H268" s="774"/>
      <c r="I268" s="774"/>
      <c r="J268" s="774"/>
      <c r="K268" s="750" t="s">
        <v>3</v>
      </c>
      <c r="L268" s="775" t="s">
        <v>573</v>
      </c>
      <c r="M268" s="774"/>
      <c r="N268" s="774"/>
      <c r="O268" s="774"/>
      <c r="P268" s="774"/>
      <c r="Q268" s="776"/>
      <c r="R268" s="777">
        <f ca="1">SUM(R264:R267)</f>
        <v>0</v>
      </c>
      <c r="S268" s="778"/>
      <c r="T268" s="777">
        <f ca="1">SUM(T264:T267)</f>
        <v>0</v>
      </c>
      <c r="AG268" s="779">
        <f ca="1">ROUND($R268*$S$2,2)</f>
        <v>0</v>
      </c>
    </row>
    <row r="269" spans="1:41" s="501" customFormat="1" ht="12" customHeight="1">
      <c r="A269" s="800"/>
      <c r="B269" s="827"/>
      <c r="C269" s="828"/>
      <c r="D269" s="828" t="str">
        <f>$F$3</f>
        <v>Technician</v>
      </c>
      <c r="E269" s="828">
        <f>ROUND(($R273*$S$3 + ($T273*$T$3)), 2)</f>
        <v>14213.88</v>
      </c>
      <c r="F269" s="829">
        <f ca="1">$F261-SUMIF($L263:$P266,"SUBI",$F263:$F266)</f>
        <v>14213.88</v>
      </c>
      <c r="G269" s="499"/>
      <c r="H269" s="499"/>
      <c r="I269" s="499"/>
      <c r="J269" s="499"/>
      <c r="K269" s="765" t="s">
        <v>5</v>
      </c>
      <c r="L269" s="766" t="s">
        <v>573</v>
      </c>
      <c r="M269" s="499"/>
      <c r="N269" s="499"/>
      <c r="O269" s="499"/>
      <c r="P269" s="499"/>
      <c r="Q269" s="499"/>
      <c r="R269" s="784"/>
      <c r="S269" s="499"/>
      <c r="T269" s="784"/>
    </row>
    <row r="270" spans="1:41" s="893" customFormat="1" ht="13.2">
      <c r="A270">
        <v>6</v>
      </c>
      <c r="B270" s="893" t="s">
        <v>141</v>
      </c>
      <c r="D270" s="893" t="s">
        <v>641</v>
      </c>
      <c r="E270" s="901" t="s">
        <v>305</v>
      </c>
      <c r="F270" s="1134" t="s">
        <v>1107</v>
      </c>
      <c r="G270" s="894" t="s">
        <v>642</v>
      </c>
      <c r="H270" s="895">
        <v>512</v>
      </c>
      <c r="I270" s="893" t="s">
        <v>643</v>
      </c>
      <c r="O270" s="896">
        <v>3</v>
      </c>
      <c r="P270" s="897"/>
      <c r="Q270" s="898">
        <v>1737.94</v>
      </c>
      <c r="R270" s="899">
        <f>$A270*Q270</f>
        <v>10427.64</v>
      </c>
      <c r="S270" s="898">
        <v>0.5</v>
      </c>
      <c r="T270" s="900">
        <f>$A270*S270*$T$1</f>
        <v>3</v>
      </c>
    </row>
    <row r="271" spans="1:41" s="501" customFormat="1" ht="11.4">
      <c r="A271" s="767"/>
      <c r="B271" s="567"/>
      <c r="C271" s="567"/>
      <c r="D271" s="567"/>
      <c r="E271" s="567"/>
      <c r="F271" s="567"/>
      <c r="G271" s="567"/>
      <c r="H271" s="567"/>
      <c r="I271" s="567"/>
      <c r="J271" s="567"/>
      <c r="K271" s="567"/>
      <c r="L271" s="770"/>
      <c r="M271" s="567"/>
      <c r="N271" s="567"/>
      <c r="O271" s="567"/>
      <c r="P271" s="567"/>
      <c r="Q271" s="567"/>
      <c r="R271" s="771">
        <f>$A271*Q271</f>
        <v>0</v>
      </c>
      <c r="S271" s="567"/>
      <c r="T271" s="500">
        <f>$A271*S271*$T$1</f>
        <v>0</v>
      </c>
    </row>
    <row r="272" spans="1:41" s="501" customFormat="1" ht="13.2">
      <c r="A272" s="767"/>
      <c r="B272" s="567"/>
      <c r="C272" s="567"/>
      <c r="D272" s="3"/>
      <c r="E272" s="567"/>
      <c r="F272" s="567"/>
      <c r="G272" s="567"/>
      <c r="H272" s="567"/>
      <c r="I272" s="567"/>
      <c r="J272" s="567"/>
      <c r="K272" s="567"/>
      <c r="L272" s="770"/>
      <c r="M272" s="567"/>
      <c r="N272" s="567"/>
      <c r="O272" s="567"/>
      <c r="P272" s="567"/>
      <c r="Q272" s="567"/>
      <c r="R272" s="771">
        <f>$A272*Q272</f>
        <v>0</v>
      </c>
      <c r="S272" s="567"/>
      <c r="T272" s="500">
        <f>$A272*S272*$T$1</f>
        <v>0</v>
      </c>
    </row>
    <row r="273" spans="1:41" s="501" customFormat="1" ht="12" customHeight="1">
      <c r="A273" s="772" t="s">
        <v>145</v>
      </c>
      <c r="B273" s="773">
        <f>(R272+T272)</f>
        <v>0</v>
      </c>
      <c r="C273" s="810"/>
      <c r="D273" s="810"/>
      <c r="E273" s="810"/>
      <c r="F273" s="810"/>
      <c r="G273" s="776"/>
      <c r="H273" s="776"/>
      <c r="I273" s="776"/>
      <c r="J273" s="776"/>
      <c r="K273" s="798" t="s">
        <v>5</v>
      </c>
      <c r="L273" s="811" t="s">
        <v>573</v>
      </c>
      <c r="M273" s="776"/>
      <c r="N273" s="776"/>
      <c r="O273" s="776"/>
      <c r="P273" s="776"/>
      <c r="Q273" s="776"/>
      <c r="R273" s="777">
        <f>SUM(R269:R272)</f>
        <v>10427.64</v>
      </c>
      <c r="S273" s="778"/>
      <c r="T273" s="777">
        <f>SUM(T269:T272)</f>
        <v>3</v>
      </c>
      <c r="AG273" s="799">
        <f>ROUND($R273*$S$3,2)</f>
        <v>14077.31</v>
      </c>
    </row>
    <row r="274" spans="1:41" s="501" customFormat="1" ht="12.75" customHeight="1">
      <c r="A274" s="813"/>
      <c r="B274" s="814"/>
      <c r="E274" s="497"/>
      <c r="F274" s="808"/>
      <c r="G274" s="497"/>
      <c r="H274" s="497"/>
      <c r="I274" s="499"/>
      <c r="J274" s="497"/>
      <c r="K274" s="497"/>
      <c r="L274" s="815"/>
      <c r="M274" s="725"/>
      <c r="N274" s="725"/>
      <c r="O274" s="725"/>
      <c r="P274" s="725"/>
      <c r="Q274" s="726"/>
      <c r="R274" s="784"/>
      <c r="S274" s="497"/>
      <c r="T274" s="784"/>
    </row>
    <row r="275" spans="1:41" s="501" customFormat="1" ht="13.5" customHeight="1" thickBot="1">
      <c r="A275" s="816"/>
      <c r="B275" s="817"/>
      <c r="C275" s="518"/>
      <c r="D275" s="518"/>
      <c r="E275" s="515"/>
      <c r="F275" s="721"/>
      <c r="G275" s="515" t="s">
        <v>146</v>
      </c>
      <c r="H275" s="515"/>
      <c r="I275" s="516"/>
      <c r="J275" s="515"/>
      <c r="K275" s="515"/>
      <c r="L275" s="818" t="s">
        <v>143</v>
      </c>
      <c r="M275" s="517"/>
      <c r="N275" s="517"/>
      <c r="O275" s="517"/>
      <c r="P275" s="517"/>
      <c r="Q275" s="722"/>
      <c r="R275" s="819">
        <f ca="1">SUMIF($L262:$L274,"SUBI",R262:R274)</f>
        <v>10427.64</v>
      </c>
      <c r="S275" s="515"/>
      <c r="T275" s="819">
        <f ca="1">SUMIF($L262:$L274,"SUBI",T262:T274)</f>
        <v>3</v>
      </c>
      <c r="U275" s="518"/>
      <c r="V275" s="518"/>
      <c r="W275" s="518"/>
      <c r="X275" s="518"/>
      <c r="Y275" s="518"/>
      <c r="Z275" s="518"/>
      <c r="AA275" s="518"/>
      <c r="AB275" s="518"/>
      <c r="AC275" s="518"/>
      <c r="AD275" s="518"/>
      <c r="AE275" s="518"/>
      <c r="AF275" s="518"/>
      <c r="AG275" s="518"/>
      <c r="AH275" s="518"/>
      <c r="AI275" s="518"/>
      <c r="AJ275" s="518"/>
      <c r="AK275" s="518"/>
      <c r="AL275" s="518"/>
      <c r="AM275" s="518"/>
      <c r="AN275" s="518"/>
      <c r="AO275" s="518"/>
    </row>
    <row r="276" spans="1:41" s="501" customFormat="1" ht="12" thickTop="1">
      <c r="A276" s="44"/>
      <c r="B276" s="39"/>
      <c r="C276" s="44"/>
      <c r="E276" s="40" t="s">
        <v>138</v>
      </c>
      <c r="F276" s="40" t="s">
        <v>139</v>
      </c>
      <c r="G276" s="44"/>
      <c r="H276" s="44"/>
      <c r="I276" s="44"/>
      <c r="J276" s="44"/>
      <c r="K276" s="44" t="s">
        <v>140</v>
      </c>
      <c r="L276" s="44"/>
      <c r="M276" s="44"/>
      <c r="N276" s="44"/>
      <c r="O276" s="45"/>
      <c r="P276" s="44"/>
      <c r="Q276" s="44"/>
      <c r="R276" s="44"/>
      <c r="S276" s="44"/>
      <c r="T276" s="39"/>
      <c r="AG276" s="502" t="s">
        <v>247</v>
      </c>
      <c r="AH276" s="502" t="s">
        <v>248</v>
      </c>
      <c r="AI276" s="502" t="s">
        <v>249</v>
      </c>
      <c r="AJ276" s="502" t="s">
        <v>250</v>
      </c>
      <c r="AK276" s="502" t="s">
        <v>251</v>
      </c>
      <c r="AM276" s="710" t="s">
        <v>260</v>
      </c>
      <c r="AN276" s="711" t="s">
        <v>261</v>
      </c>
      <c r="AO276" s="503" t="s">
        <v>257</v>
      </c>
    </row>
    <row r="277" spans="1:41" s="501" customFormat="1" ht="12" customHeight="1">
      <c r="A277" s="712">
        <v>3</v>
      </c>
      <c r="B277" s="504" t="s">
        <v>141</v>
      </c>
      <c r="C277" s="505"/>
      <c r="D277" s="713" t="s">
        <v>605</v>
      </c>
      <c r="E277" s="1135">
        <f>IF(AND($A277=0,$A$1="DIF"),0, ROUND(ROUND(($R289*$S$3+($T289*$T$3))/$A277,2)*$C$3,2))</f>
        <v>129.4</v>
      </c>
      <c r="F277" s="1136">
        <f>ROUND($A277*$E277,2)</f>
        <v>388.2</v>
      </c>
      <c r="G277" s="506" t="s">
        <v>142</v>
      </c>
      <c r="H277" s="498"/>
      <c r="I277" s="716"/>
      <c r="J277" s="498"/>
      <c r="K277" s="498" t="s">
        <v>5</v>
      </c>
      <c r="L277" s="717" t="s">
        <v>143</v>
      </c>
      <c r="M277" s="717"/>
      <c r="N277" s="717"/>
      <c r="O277" s="717"/>
      <c r="P277" s="717"/>
      <c r="Q277" s="943" t="s">
        <v>1098</v>
      </c>
      <c r="T277" s="1140" t="str">
        <f>IF(AND($R289=0,$T289=0),"0.00","mu: "&amp; ROUND(F277/$C$3/($R289+$T289*$D$9),2))</f>
        <v>mu: 1.4</v>
      </c>
      <c r="W277" s="507"/>
      <c r="AG277" s="1137">
        <f>IF($E277=0,0,ROUND($R289*$S$3*$C$3/$A277,2))</f>
        <v>106.64</v>
      </c>
      <c r="AH277" s="1137">
        <f>$AG277*$A277</f>
        <v>319.92</v>
      </c>
      <c r="AI277" s="1138">
        <f>$E277-$AG277</f>
        <v>22.760000000000005</v>
      </c>
      <c r="AJ277" s="1138">
        <f>$A277*$AI277</f>
        <v>68.280000000000015</v>
      </c>
      <c r="AK277" s="1139">
        <f>ROUND(($AG277+$AI277)*$A277,2)</f>
        <v>388.2</v>
      </c>
      <c r="AM277" s="510">
        <f>ROUND(R289,2)</f>
        <v>236.97</v>
      </c>
      <c r="AN277" s="511">
        <f>ROUND(T289,2)</f>
        <v>1.5</v>
      </c>
      <c r="AO277" s="512">
        <f>ROUND(AM277+AN277,2)*A277</f>
        <v>715.41</v>
      </c>
    </row>
    <row r="278" spans="1:41" s="501" customFormat="1" ht="13.2">
      <c r="A278" s="505"/>
      <c r="B278"/>
      <c r="C278" s="505"/>
      <c r="D278" s="713" t="s">
        <v>685</v>
      </c>
      <c r="F278" s="498"/>
      <c r="G278" s="3"/>
      <c r="H278" s="498"/>
      <c r="I278" s="716"/>
      <c r="J278" s="498"/>
      <c r="K278" s="498" t="s">
        <v>144</v>
      </c>
      <c r="L278" s="498"/>
      <c r="M278" s="498"/>
      <c r="N278" s="498"/>
      <c r="O278" s="498"/>
      <c r="P278" s="498"/>
      <c r="Q278" s="44"/>
      <c r="R278" s="567"/>
      <c r="S278" s="719"/>
      <c r="T278" s="498"/>
    </row>
    <row r="279" spans="1:41" s="501" customFormat="1" ht="14.4" customHeight="1">
      <c r="A279" s="767"/>
      <c r="B279" s="768" t="s">
        <v>574</v>
      </c>
      <c r="C279" s="567"/>
      <c r="D279" s="903" t="s">
        <v>645</v>
      </c>
      <c r="E279" s="567"/>
      <c r="F279" s="567"/>
      <c r="G279" s="567"/>
      <c r="H279" s="764"/>
      <c r="I279" s="567"/>
      <c r="J279" s="45"/>
      <c r="K279" s="769"/>
      <c r="L279" s="770"/>
      <c r="M279" s="567"/>
      <c r="N279" s="567"/>
      <c r="O279" s="45"/>
      <c r="P279" s="567"/>
      <c r="Q279" s="567"/>
      <c r="R279" s="771">
        <f t="shared" ref="R279:R288" si="7">$A279*Q279</f>
        <v>0</v>
      </c>
      <c r="S279" s="567"/>
      <c r="T279" s="500">
        <f t="shared" ref="T279:T288" si="8">$A279*S279*$T$1</f>
        <v>0</v>
      </c>
    </row>
    <row r="280" spans="1:41" s="893" customFormat="1" ht="13.2">
      <c r="A280" s="1141">
        <v>0</v>
      </c>
      <c r="B280" s="1055" t="s">
        <v>296</v>
      </c>
      <c r="C280" s="1055"/>
      <c r="D280" s="1055" t="s">
        <v>646</v>
      </c>
      <c r="E280" s="1055"/>
      <c r="F280" s="1055"/>
      <c r="G280" s="1053" t="s">
        <v>647</v>
      </c>
      <c r="H280" s="1054">
        <v>690</v>
      </c>
      <c r="I280" s="1055" t="s">
        <v>648</v>
      </c>
      <c r="J280" s="1055" t="s">
        <v>649</v>
      </c>
      <c r="K280" s="1055"/>
      <c r="L280" s="1055"/>
      <c r="M280" s="1055"/>
      <c r="N280" s="1055"/>
      <c r="O280" s="1056">
        <v>1</v>
      </c>
      <c r="P280" s="1057">
        <v>34669</v>
      </c>
      <c r="Q280" s="1058">
        <v>1.86</v>
      </c>
      <c r="R280" s="1142">
        <f t="shared" si="7"/>
        <v>0</v>
      </c>
      <c r="S280" s="1058">
        <v>0.2</v>
      </c>
      <c r="T280" s="1143">
        <f t="shared" si="8"/>
        <v>0</v>
      </c>
    </row>
    <row r="281" spans="1:41" s="893" customFormat="1" ht="13.2">
      <c r="A281" s="1141">
        <v>0</v>
      </c>
      <c r="B281" s="1055" t="s">
        <v>296</v>
      </c>
      <c r="C281" s="1055"/>
      <c r="D281" s="1055" t="s">
        <v>650</v>
      </c>
      <c r="E281" s="1055"/>
      <c r="F281" s="1055"/>
      <c r="G281" s="1053" t="s">
        <v>651</v>
      </c>
      <c r="H281" s="1054">
        <v>690</v>
      </c>
      <c r="I281" s="1055" t="s">
        <v>648</v>
      </c>
      <c r="J281" s="1055" t="s">
        <v>649</v>
      </c>
      <c r="K281" s="1055"/>
      <c r="L281" s="1055"/>
      <c r="M281" s="1055"/>
      <c r="N281" s="1055"/>
      <c r="O281" s="1056">
        <v>1</v>
      </c>
      <c r="P281" s="1057">
        <v>34669</v>
      </c>
      <c r="Q281" s="1058">
        <v>0.98</v>
      </c>
      <c r="R281" s="1142">
        <f t="shared" si="7"/>
        <v>0</v>
      </c>
      <c r="S281" s="1058"/>
      <c r="T281" s="1143">
        <f t="shared" si="8"/>
        <v>0</v>
      </c>
    </row>
    <row r="282" spans="1:41" s="893" customFormat="1" ht="13.2">
      <c r="A282" s="1141">
        <v>0</v>
      </c>
      <c r="B282" s="1055" t="s">
        <v>296</v>
      </c>
      <c r="C282" s="1055"/>
      <c r="D282" s="1055" t="s">
        <v>652</v>
      </c>
      <c r="E282" s="1055"/>
      <c r="F282" s="1055"/>
      <c r="G282" s="1053" t="s">
        <v>653</v>
      </c>
      <c r="H282" s="1054">
        <v>690</v>
      </c>
      <c r="I282" s="1055" t="s">
        <v>648</v>
      </c>
      <c r="J282" s="1055" t="s">
        <v>649</v>
      </c>
      <c r="K282" s="1055"/>
      <c r="L282" s="1055"/>
      <c r="M282" s="1055"/>
      <c r="N282" s="1055"/>
      <c r="O282" s="1056">
        <v>1</v>
      </c>
      <c r="P282" s="1057">
        <v>34669</v>
      </c>
      <c r="Q282" s="1058">
        <v>3.66</v>
      </c>
      <c r="R282" s="1142">
        <f t="shared" si="7"/>
        <v>0</v>
      </c>
      <c r="S282" s="1058">
        <v>0.2</v>
      </c>
      <c r="T282" s="1143">
        <f t="shared" si="8"/>
        <v>0</v>
      </c>
    </row>
    <row r="283" spans="1:41" s="893" customFormat="1" ht="13.2">
      <c r="A283" s="1141">
        <v>0</v>
      </c>
      <c r="B283" s="1055" t="s">
        <v>296</v>
      </c>
      <c r="C283" s="1055"/>
      <c r="D283" s="1055" t="s">
        <v>726</v>
      </c>
      <c r="E283" s="1055"/>
      <c r="F283" s="1055"/>
      <c r="G283" s="1053" t="s">
        <v>728</v>
      </c>
      <c r="H283" s="1054">
        <v>617</v>
      </c>
      <c r="I283" s="1055" t="s">
        <v>729</v>
      </c>
      <c r="J283" s="1055" t="s">
        <v>730</v>
      </c>
      <c r="K283" s="1055"/>
      <c r="L283" s="1055"/>
      <c r="M283" s="1055"/>
      <c r="N283" s="1055"/>
      <c r="O283" s="1056">
        <v>2</v>
      </c>
      <c r="P283" s="1057">
        <v>38433</v>
      </c>
      <c r="Q283" s="1058">
        <v>1.4524999999999999</v>
      </c>
      <c r="R283" s="1142">
        <f t="shared" si="7"/>
        <v>0</v>
      </c>
      <c r="S283" s="1058">
        <v>0.03</v>
      </c>
      <c r="T283" s="1143">
        <f t="shared" si="8"/>
        <v>0</v>
      </c>
    </row>
    <row r="284" spans="1:41" s="893" customFormat="1" ht="13.2">
      <c r="A284" s="1141">
        <v>0</v>
      </c>
      <c r="B284" s="1055" t="s">
        <v>141</v>
      </c>
      <c r="C284" s="1055"/>
      <c r="D284" s="1055" t="s">
        <v>815</v>
      </c>
      <c r="E284" s="1055"/>
      <c r="F284" s="1055"/>
      <c r="G284" s="1053" t="s">
        <v>816</v>
      </c>
      <c r="H284" s="1054">
        <v>620</v>
      </c>
      <c r="I284" s="1055" t="s">
        <v>643</v>
      </c>
      <c r="J284" s="1055"/>
      <c r="K284" s="1055"/>
      <c r="L284" s="1055"/>
      <c r="M284" s="1055"/>
      <c r="N284" s="1055"/>
      <c r="O284" s="1056">
        <v>2</v>
      </c>
      <c r="P284" s="1057">
        <v>35431</v>
      </c>
      <c r="Q284" s="1058">
        <v>0.35</v>
      </c>
      <c r="R284" s="1142">
        <f t="shared" si="7"/>
        <v>0</v>
      </c>
      <c r="S284" s="1058"/>
      <c r="T284" s="1143">
        <f t="shared" si="8"/>
        <v>0</v>
      </c>
    </row>
    <row r="285" spans="1:41" s="893" customFormat="1" ht="13.2">
      <c r="A285" s="1141">
        <v>0</v>
      </c>
      <c r="B285" s="1055" t="s">
        <v>141</v>
      </c>
      <c r="C285" s="1055"/>
      <c r="D285" s="1055" t="s">
        <v>817</v>
      </c>
      <c r="E285" s="1055"/>
      <c r="F285" s="1055"/>
      <c r="G285" s="1053" t="s">
        <v>731</v>
      </c>
      <c r="H285" s="1054">
        <v>620</v>
      </c>
      <c r="I285" s="1055" t="s">
        <v>643</v>
      </c>
      <c r="J285" s="1055"/>
      <c r="K285" s="1055"/>
      <c r="L285" s="1055"/>
      <c r="M285" s="1055"/>
      <c r="N285" s="1055"/>
      <c r="O285" s="1056">
        <v>2</v>
      </c>
      <c r="P285" s="1057"/>
      <c r="Q285" s="1058">
        <v>0.2</v>
      </c>
      <c r="R285" s="1142">
        <f t="shared" si="7"/>
        <v>0</v>
      </c>
      <c r="S285" s="1058"/>
      <c r="T285" s="1143">
        <f t="shared" si="8"/>
        <v>0</v>
      </c>
    </row>
    <row r="286" spans="1:41" s="893" customFormat="1" ht="13.2">
      <c r="A286" s="1141">
        <v>0</v>
      </c>
      <c r="B286" s="1055" t="s">
        <v>141</v>
      </c>
      <c r="C286" s="1055"/>
      <c r="D286" s="1055" t="s">
        <v>818</v>
      </c>
      <c r="E286" s="1055"/>
      <c r="F286" s="1055"/>
      <c r="G286" s="1053" t="s">
        <v>768</v>
      </c>
      <c r="H286" s="1054">
        <v>570</v>
      </c>
      <c r="I286" s="1055" t="s">
        <v>643</v>
      </c>
      <c r="J286" s="1055"/>
      <c r="K286" s="1055"/>
      <c r="L286" s="1055"/>
      <c r="M286" s="1055"/>
      <c r="N286" s="1055"/>
      <c r="O286" s="1056">
        <v>2</v>
      </c>
      <c r="P286" s="1057">
        <v>38443</v>
      </c>
      <c r="Q286" s="1058">
        <v>5</v>
      </c>
      <c r="R286" s="1142">
        <f t="shared" si="7"/>
        <v>0</v>
      </c>
      <c r="S286" s="1058">
        <v>0.17</v>
      </c>
      <c r="T286" s="1143">
        <f t="shared" si="8"/>
        <v>0</v>
      </c>
    </row>
    <row r="287" spans="1:41" s="893" customFormat="1" ht="13.2">
      <c r="A287">
        <v>3</v>
      </c>
      <c r="B287" s="893" t="s">
        <v>141</v>
      </c>
      <c r="D287" s="893" t="s">
        <v>641</v>
      </c>
      <c r="E287" s="901" t="s">
        <v>1099</v>
      </c>
      <c r="F287" s="1134" t="s">
        <v>1107</v>
      </c>
      <c r="G287" s="894" t="s">
        <v>642</v>
      </c>
      <c r="H287" s="895">
        <v>512</v>
      </c>
      <c r="I287" s="893" t="s">
        <v>643</v>
      </c>
      <c r="O287" s="896">
        <v>3</v>
      </c>
      <c r="P287" s="897"/>
      <c r="Q287" s="898">
        <v>78.989999999999995</v>
      </c>
      <c r="R287" s="899">
        <f>$A287*Q287</f>
        <v>236.96999999999997</v>
      </c>
      <c r="S287" s="898">
        <v>0.5</v>
      </c>
      <c r="T287" s="900">
        <f>$A287*S287*$T$1</f>
        <v>1.5</v>
      </c>
    </row>
    <row r="288" spans="1:41" s="501" customFormat="1" ht="12">
      <c r="A288" s="497"/>
      <c r="B288" s="497"/>
      <c r="C288" s="497"/>
      <c r="D288" s="497"/>
      <c r="E288" s="497"/>
      <c r="F288" s="498"/>
      <c r="G288" s="497"/>
      <c r="H288" s="497"/>
      <c r="I288" s="499"/>
      <c r="J288" s="497"/>
      <c r="K288" s="497"/>
      <c r="L288" s="497"/>
      <c r="M288" s="497"/>
      <c r="N288" s="497"/>
      <c r="O288" s="497"/>
      <c r="P288" s="497"/>
      <c r="Q288" s="499"/>
      <c r="R288" s="720">
        <f t="shared" si="7"/>
        <v>0</v>
      </c>
      <c r="S288" s="499"/>
      <c r="T288" s="500">
        <f t="shared" si="8"/>
        <v>0</v>
      </c>
    </row>
    <row r="289" spans="1:41" s="501" customFormat="1" ht="12.6" thickBot="1">
      <c r="A289" s="513" t="s">
        <v>145</v>
      </c>
      <c r="B289" s="514">
        <f>(R288+T288)</f>
        <v>0</v>
      </c>
      <c r="C289" s="515"/>
      <c r="D289" s="515"/>
      <c r="E289" s="515"/>
      <c r="F289" s="721"/>
      <c r="G289" s="515" t="s">
        <v>146</v>
      </c>
      <c r="H289" s="515"/>
      <c r="I289" s="516"/>
      <c r="J289" s="515"/>
      <c r="K289" s="515" t="s">
        <v>5</v>
      </c>
      <c r="L289" s="517" t="s">
        <v>143</v>
      </c>
      <c r="M289" s="517"/>
      <c r="N289" s="517"/>
      <c r="O289" s="517"/>
      <c r="P289" s="517"/>
      <c r="Q289" s="722"/>
      <c r="R289" s="723">
        <f>SUM(R278:R288)</f>
        <v>236.96999999999997</v>
      </c>
      <c r="S289" s="515"/>
      <c r="T289" s="723">
        <f>SUM(T278:T288)</f>
        <v>1.5</v>
      </c>
      <c r="U289" s="518"/>
      <c r="V289" s="518"/>
      <c r="W289" s="518"/>
      <c r="X289" s="518"/>
      <c r="Y289" s="518"/>
      <c r="Z289" s="518"/>
      <c r="AA289" s="518"/>
      <c r="AB289" s="518"/>
      <c r="AC289" s="518"/>
      <c r="AD289" s="518"/>
      <c r="AE289" s="518"/>
      <c r="AF289" s="518"/>
      <c r="AG289" s="518"/>
      <c r="AH289" s="518"/>
      <c r="AI289" s="518"/>
      <c r="AJ289" s="518"/>
      <c r="AK289" s="518"/>
      <c r="AL289" s="518"/>
      <c r="AM289" s="518"/>
      <c r="AN289" s="518"/>
      <c r="AO289" s="518"/>
    </row>
    <row r="290" spans="1:41" s="501" customFormat="1" ht="12" thickTop="1">
      <c r="A290" s="44"/>
      <c r="B290" s="39"/>
      <c r="C290" s="44"/>
      <c r="E290" s="40" t="s">
        <v>138</v>
      </c>
      <c r="F290" s="40" t="s">
        <v>139</v>
      </c>
      <c r="G290" s="44"/>
      <c r="H290" s="44"/>
      <c r="I290" s="44"/>
      <c r="J290" s="44"/>
      <c r="K290" s="44" t="s">
        <v>140</v>
      </c>
      <c r="L290" s="44"/>
      <c r="M290" s="44"/>
      <c r="N290" s="44"/>
      <c r="O290" s="45"/>
      <c r="P290" s="44"/>
      <c r="Q290" s="44"/>
      <c r="R290" s="44"/>
      <c r="S290" s="44"/>
      <c r="T290" s="39"/>
      <c r="AG290" s="502" t="s">
        <v>247</v>
      </c>
      <c r="AH290" s="502" t="s">
        <v>248</v>
      </c>
      <c r="AI290" s="502" t="s">
        <v>249</v>
      </c>
      <c r="AJ290" s="502" t="s">
        <v>250</v>
      </c>
      <c r="AK290" s="502" t="s">
        <v>251</v>
      </c>
      <c r="AM290" s="710" t="s">
        <v>260</v>
      </c>
      <c r="AN290" s="711" t="s">
        <v>261</v>
      </c>
      <c r="AO290" s="503" t="s">
        <v>257</v>
      </c>
    </row>
    <row r="291" spans="1:41" s="501" customFormat="1" ht="12" customHeight="1">
      <c r="A291" s="712">
        <v>6</v>
      </c>
      <c r="B291" s="504" t="s">
        <v>141</v>
      </c>
      <c r="C291" s="505"/>
      <c r="D291" s="713" t="s">
        <v>606</v>
      </c>
      <c r="E291" s="1135">
        <f>IF(AND($A291=0,$A$1="DIF"),0, ROUND(ROUND(($R303*$S$3+($T303*$T$3))/$A291,2)*$C$3,2))</f>
        <v>22.76</v>
      </c>
      <c r="F291" s="1136">
        <f>ROUND($A291*$E291,2)</f>
        <v>136.56</v>
      </c>
      <c r="G291" s="506" t="s">
        <v>142</v>
      </c>
      <c r="H291" s="498"/>
      <c r="I291" s="716"/>
      <c r="J291" s="498"/>
      <c r="K291" s="498" t="s">
        <v>5</v>
      </c>
      <c r="L291" s="717" t="s">
        <v>143</v>
      </c>
      <c r="M291" s="717"/>
      <c r="N291" s="717"/>
      <c r="O291" s="717"/>
      <c r="P291" s="717"/>
      <c r="Q291" s="943" t="s">
        <v>1098</v>
      </c>
      <c r="T291" s="1140" t="str">
        <f>IF(AND($R303=0,$T303=0),"0.00","mu: "&amp; ROUND(F291/$C$3/($R303+$T303*$D$9),2))</f>
        <v>mu: 1.66</v>
      </c>
      <c r="W291" s="507"/>
      <c r="AG291" s="1137">
        <f>IF($E291=0,0,ROUND($R303*$S$3*$C$3/$A291,2))</f>
        <v>0</v>
      </c>
      <c r="AH291" s="1137">
        <f>$AG291*$A291</f>
        <v>0</v>
      </c>
      <c r="AI291" s="1138">
        <f>$E291-$AG291</f>
        <v>22.76</v>
      </c>
      <c r="AJ291" s="1138">
        <f>$A291*$AI291</f>
        <v>136.56</v>
      </c>
      <c r="AK291" s="1139">
        <f>ROUND(($AG291+$AI291)*$A291,2)</f>
        <v>136.56</v>
      </c>
      <c r="AM291" s="510">
        <f>ROUND(R303,2)</f>
        <v>0</v>
      </c>
      <c r="AN291" s="511">
        <f>ROUND(T303,2)</f>
        <v>3</v>
      </c>
      <c r="AO291" s="512">
        <f>ROUND(AM291+AN291,2)*A291</f>
        <v>18</v>
      </c>
    </row>
    <row r="292" spans="1:41" s="501" customFormat="1" ht="13.2">
      <c r="A292" s="505"/>
      <c r="B292"/>
      <c r="C292" s="505"/>
      <c r="D292" s="713" t="s">
        <v>894</v>
      </c>
      <c r="F292" s="498"/>
      <c r="G292" s="3"/>
      <c r="H292" s="498"/>
      <c r="I292" s="716"/>
      <c r="J292" s="498"/>
      <c r="K292" s="498" t="s">
        <v>144</v>
      </c>
      <c r="L292" s="498"/>
      <c r="M292" s="498"/>
      <c r="N292" s="498"/>
      <c r="O292" s="498"/>
      <c r="P292" s="498"/>
      <c r="Q292" s="44"/>
      <c r="R292" s="567"/>
      <c r="S292" s="719"/>
      <c r="T292" s="498"/>
    </row>
    <row r="293" spans="1:41" s="501" customFormat="1" ht="14.4" customHeight="1">
      <c r="A293" s="767"/>
      <c r="B293" s="768" t="s">
        <v>574</v>
      </c>
      <c r="C293" s="567"/>
      <c r="D293" s="903" t="s">
        <v>923</v>
      </c>
      <c r="E293" s="567"/>
      <c r="F293" s="567"/>
      <c r="G293" s="567"/>
      <c r="H293" s="764"/>
      <c r="I293" s="567"/>
      <c r="J293" s="45"/>
      <c r="K293" s="769"/>
      <c r="L293" s="770"/>
      <c r="M293" s="567"/>
      <c r="N293" s="567"/>
      <c r="O293" s="45"/>
      <c r="P293" s="567"/>
      <c r="Q293" s="567"/>
      <c r="R293" s="771">
        <f t="shared" ref="R293:R302" si="9">$A293*Q293</f>
        <v>0</v>
      </c>
      <c r="S293" s="567"/>
      <c r="T293" s="500">
        <f t="shared" ref="T293:T302" si="10">$A293*S293*$T$1</f>
        <v>0</v>
      </c>
    </row>
    <row r="294" spans="1:41" s="893" customFormat="1" ht="13.2">
      <c r="A294" s="1141">
        <v>0</v>
      </c>
      <c r="B294" s="1055" t="s">
        <v>296</v>
      </c>
      <c r="C294" s="1055"/>
      <c r="D294" s="1055" t="s">
        <v>646</v>
      </c>
      <c r="E294" s="1055"/>
      <c r="F294" s="1055"/>
      <c r="G294" s="1053" t="s">
        <v>647</v>
      </c>
      <c r="H294" s="1054">
        <v>690</v>
      </c>
      <c r="I294" s="1055" t="s">
        <v>648</v>
      </c>
      <c r="J294" s="1055" t="s">
        <v>649</v>
      </c>
      <c r="K294" s="1055"/>
      <c r="L294" s="1055"/>
      <c r="M294" s="1055"/>
      <c r="N294" s="1055"/>
      <c r="O294" s="1056">
        <v>1</v>
      </c>
      <c r="P294" s="1057">
        <v>34669</v>
      </c>
      <c r="Q294" s="1058">
        <v>1.86</v>
      </c>
      <c r="R294" s="1142">
        <f t="shared" si="9"/>
        <v>0</v>
      </c>
      <c r="S294" s="1058">
        <v>0.2</v>
      </c>
      <c r="T294" s="1143">
        <f t="shared" si="10"/>
        <v>0</v>
      </c>
    </row>
    <row r="295" spans="1:41" s="893" customFormat="1" ht="13.2">
      <c r="A295" s="1141">
        <v>0</v>
      </c>
      <c r="B295" s="1055" t="s">
        <v>296</v>
      </c>
      <c r="C295" s="1055"/>
      <c r="D295" s="1055" t="s">
        <v>650</v>
      </c>
      <c r="E295" s="1055"/>
      <c r="F295" s="1055"/>
      <c r="G295" s="1053" t="s">
        <v>651</v>
      </c>
      <c r="H295" s="1054">
        <v>690</v>
      </c>
      <c r="I295" s="1055" t="s">
        <v>648</v>
      </c>
      <c r="J295" s="1055" t="s">
        <v>649</v>
      </c>
      <c r="K295" s="1055"/>
      <c r="L295" s="1055"/>
      <c r="M295" s="1055"/>
      <c r="N295" s="1055"/>
      <c r="O295" s="1056">
        <v>1</v>
      </c>
      <c r="P295" s="1057">
        <v>34669</v>
      </c>
      <c r="Q295" s="1058">
        <v>0.98</v>
      </c>
      <c r="R295" s="1142">
        <f t="shared" si="9"/>
        <v>0</v>
      </c>
      <c r="S295" s="1058"/>
      <c r="T295" s="1143">
        <f t="shared" si="10"/>
        <v>0</v>
      </c>
    </row>
    <row r="296" spans="1:41" s="893" customFormat="1" ht="13.2">
      <c r="A296" s="1141">
        <v>0</v>
      </c>
      <c r="B296" s="1055" t="s">
        <v>296</v>
      </c>
      <c r="C296" s="1055"/>
      <c r="D296" s="1055" t="s">
        <v>652</v>
      </c>
      <c r="E296" s="1055"/>
      <c r="F296" s="1055"/>
      <c r="G296" s="1053" t="s">
        <v>653</v>
      </c>
      <c r="H296" s="1054">
        <v>690</v>
      </c>
      <c r="I296" s="1055" t="s">
        <v>648</v>
      </c>
      <c r="J296" s="1055" t="s">
        <v>649</v>
      </c>
      <c r="K296" s="1055"/>
      <c r="L296" s="1055"/>
      <c r="M296" s="1055"/>
      <c r="N296" s="1055"/>
      <c r="O296" s="1056">
        <v>1</v>
      </c>
      <c r="P296" s="1057">
        <v>34669</v>
      </c>
      <c r="Q296" s="1058">
        <v>3.66</v>
      </c>
      <c r="R296" s="1142">
        <f t="shared" si="9"/>
        <v>0</v>
      </c>
      <c r="S296" s="1058">
        <v>0.2</v>
      </c>
      <c r="T296" s="1143">
        <f t="shared" si="10"/>
        <v>0</v>
      </c>
    </row>
    <row r="297" spans="1:41" s="893" customFormat="1" ht="13.2">
      <c r="A297" s="1141">
        <v>0</v>
      </c>
      <c r="B297" s="1055" t="s">
        <v>296</v>
      </c>
      <c r="C297" s="1055"/>
      <c r="D297" s="1055" t="s">
        <v>726</v>
      </c>
      <c r="E297" s="1055"/>
      <c r="F297" s="1055"/>
      <c r="G297" s="1053" t="s">
        <v>728</v>
      </c>
      <c r="H297" s="1054">
        <v>617</v>
      </c>
      <c r="I297" s="1055" t="s">
        <v>729</v>
      </c>
      <c r="J297" s="1055" t="s">
        <v>730</v>
      </c>
      <c r="K297" s="1055"/>
      <c r="L297" s="1055"/>
      <c r="M297" s="1055"/>
      <c r="N297" s="1055"/>
      <c r="O297" s="1056">
        <v>2</v>
      </c>
      <c r="P297" s="1057">
        <v>38433</v>
      </c>
      <c r="Q297" s="1058">
        <v>1.4524999999999999</v>
      </c>
      <c r="R297" s="1142">
        <f t="shared" si="9"/>
        <v>0</v>
      </c>
      <c r="S297" s="1058">
        <v>0.03</v>
      </c>
      <c r="T297" s="1143">
        <f t="shared" si="10"/>
        <v>0</v>
      </c>
    </row>
    <row r="298" spans="1:41" s="893" customFormat="1" ht="13.2">
      <c r="A298" s="1141">
        <v>0</v>
      </c>
      <c r="B298" s="1055" t="s">
        <v>141</v>
      </c>
      <c r="C298" s="1055"/>
      <c r="D298" s="1055" t="s">
        <v>815</v>
      </c>
      <c r="E298" s="1055"/>
      <c r="F298" s="1055"/>
      <c r="G298" s="1053" t="s">
        <v>816</v>
      </c>
      <c r="H298" s="1054">
        <v>620</v>
      </c>
      <c r="I298" s="1055" t="s">
        <v>643</v>
      </c>
      <c r="J298" s="1055"/>
      <c r="K298" s="1055"/>
      <c r="L298" s="1055"/>
      <c r="M298" s="1055"/>
      <c r="N298" s="1055"/>
      <c r="O298" s="1056">
        <v>2</v>
      </c>
      <c r="P298" s="1057">
        <v>35431</v>
      </c>
      <c r="Q298" s="1058">
        <v>0.35</v>
      </c>
      <c r="R298" s="1142">
        <f t="shared" si="9"/>
        <v>0</v>
      </c>
      <c r="S298" s="1058"/>
      <c r="T298" s="1143">
        <f t="shared" si="10"/>
        <v>0</v>
      </c>
    </row>
    <row r="299" spans="1:41" s="893" customFormat="1" ht="13.2">
      <c r="A299" s="1141">
        <v>0</v>
      </c>
      <c r="B299" s="1055" t="s">
        <v>141</v>
      </c>
      <c r="C299" s="1055"/>
      <c r="D299" s="1055" t="s">
        <v>817</v>
      </c>
      <c r="E299" s="1055"/>
      <c r="F299" s="1055"/>
      <c r="G299" s="1053" t="s">
        <v>731</v>
      </c>
      <c r="H299" s="1054">
        <v>620</v>
      </c>
      <c r="I299" s="1055" t="s">
        <v>643</v>
      </c>
      <c r="J299" s="1055"/>
      <c r="K299" s="1055"/>
      <c r="L299" s="1055"/>
      <c r="M299" s="1055"/>
      <c r="N299" s="1055"/>
      <c r="O299" s="1056">
        <v>2</v>
      </c>
      <c r="P299" s="1057"/>
      <c r="Q299" s="1058">
        <v>0.2</v>
      </c>
      <c r="R299" s="1142">
        <f t="shared" si="9"/>
        <v>0</v>
      </c>
      <c r="S299" s="1058"/>
      <c r="T299" s="1143">
        <f t="shared" si="10"/>
        <v>0</v>
      </c>
    </row>
    <row r="300" spans="1:41" s="893" customFormat="1" ht="13.2">
      <c r="A300" s="1141">
        <v>0</v>
      </c>
      <c r="B300" s="1055" t="s">
        <v>141</v>
      </c>
      <c r="C300" s="1055"/>
      <c r="D300" s="1055" t="s">
        <v>818</v>
      </c>
      <c r="E300" s="1055"/>
      <c r="F300" s="1055"/>
      <c r="G300" s="1053" t="s">
        <v>768</v>
      </c>
      <c r="H300" s="1054">
        <v>570</v>
      </c>
      <c r="I300" s="1055" t="s">
        <v>643</v>
      </c>
      <c r="J300" s="1055"/>
      <c r="K300" s="1055"/>
      <c r="L300" s="1055"/>
      <c r="M300" s="1055"/>
      <c r="N300" s="1055"/>
      <c r="O300" s="1056">
        <v>2</v>
      </c>
      <c r="P300" s="1057">
        <v>38443</v>
      </c>
      <c r="Q300" s="1058">
        <v>5</v>
      </c>
      <c r="R300" s="1142">
        <f t="shared" si="9"/>
        <v>0</v>
      </c>
      <c r="S300" s="1058">
        <v>0.17</v>
      </c>
      <c r="T300" s="1143">
        <f t="shared" si="10"/>
        <v>0</v>
      </c>
    </row>
    <row r="301" spans="1:41" s="893" customFormat="1" ht="13.2">
      <c r="A301">
        <v>6</v>
      </c>
      <c r="B301" s="893" t="s">
        <v>141</v>
      </c>
      <c r="D301" s="893" t="s">
        <v>641</v>
      </c>
      <c r="E301" s="1052" t="s">
        <v>1106</v>
      </c>
      <c r="G301" s="894" t="s">
        <v>642</v>
      </c>
      <c r="H301" s="895">
        <v>512</v>
      </c>
      <c r="I301" s="893" t="s">
        <v>643</v>
      </c>
      <c r="O301" s="896">
        <v>3</v>
      </c>
      <c r="P301" s="897"/>
      <c r="Q301" s="898"/>
      <c r="R301" s="899">
        <f>$A301*Q301</f>
        <v>0</v>
      </c>
      <c r="S301" s="898">
        <v>0.5</v>
      </c>
      <c r="T301" s="900">
        <f>$A301*S301*$T$1</f>
        <v>3</v>
      </c>
    </row>
    <row r="302" spans="1:41" s="501" customFormat="1" ht="12">
      <c r="A302" s="497"/>
      <c r="B302" s="497"/>
      <c r="C302" s="497"/>
      <c r="D302" s="497"/>
      <c r="E302" s="497"/>
      <c r="F302" s="498"/>
      <c r="G302" s="497"/>
      <c r="H302" s="497"/>
      <c r="I302" s="499"/>
      <c r="J302" s="497"/>
      <c r="K302" s="497"/>
      <c r="L302" s="497"/>
      <c r="M302" s="497"/>
      <c r="N302" s="497"/>
      <c r="O302" s="497"/>
      <c r="P302" s="497"/>
      <c r="Q302" s="499"/>
      <c r="R302" s="720">
        <f t="shared" si="9"/>
        <v>0</v>
      </c>
      <c r="S302" s="499"/>
      <c r="T302" s="500">
        <f t="shared" si="10"/>
        <v>0</v>
      </c>
    </row>
    <row r="303" spans="1:41" s="501" customFormat="1" ht="12.6" thickBot="1">
      <c r="A303" s="513" t="s">
        <v>145</v>
      </c>
      <c r="B303" s="514">
        <f>(R302+T302)</f>
        <v>0</v>
      </c>
      <c r="C303" s="515"/>
      <c r="D303" s="515"/>
      <c r="E303" s="515"/>
      <c r="F303" s="721"/>
      <c r="G303" s="515" t="s">
        <v>146</v>
      </c>
      <c r="H303" s="515"/>
      <c r="I303" s="516"/>
      <c r="J303" s="515"/>
      <c r="K303" s="515" t="s">
        <v>5</v>
      </c>
      <c r="L303" s="517" t="s">
        <v>143</v>
      </c>
      <c r="M303" s="517"/>
      <c r="N303" s="517"/>
      <c r="O303" s="517"/>
      <c r="P303" s="517"/>
      <c r="Q303" s="722"/>
      <c r="R303" s="723">
        <f>SUM(R292:R302)</f>
        <v>0</v>
      </c>
      <c r="S303" s="515"/>
      <c r="T303" s="723">
        <f>SUM(T292:T302)</f>
        <v>3</v>
      </c>
      <c r="U303" s="518"/>
      <c r="V303" s="518"/>
      <c r="W303" s="518"/>
      <c r="X303" s="518"/>
      <c r="Y303" s="518"/>
      <c r="Z303" s="518"/>
      <c r="AA303" s="518"/>
      <c r="AB303" s="518"/>
      <c r="AC303" s="518"/>
      <c r="AD303" s="518"/>
      <c r="AE303" s="518"/>
      <c r="AF303" s="518"/>
      <c r="AG303" s="518"/>
      <c r="AH303" s="518"/>
      <c r="AI303" s="518"/>
      <c r="AJ303" s="518"/>
      <c r="AK303" s="518"/>
      <c r="AL303" s="518"/>
      <c r="AM303" s="518"/>
      <c r="AN303" s="518"/>
      <c r="AO303" s="518"/>
    </row>
    <row r="304" spans="1:41" s="501" customFormat="1" thickTop="1">
      <c r="A304" s="44"/>
      <c r="B304" s="44"/>
      <c r="C304" s="3"/>
      <c r="D304" s="3"/>
      <c r="E304" s="44"/>
      <c r="F304" s="44"/>
      <c r="G304" s="44"/>
      <c r="H304" s="44"/>
      <c r="I304" s="44"/>
      <c r="J304" s="44"/>
      <c r="K304" s="44" t="s">
        <v>134</v>
      </c>
      <c r="L304" s="44"/>
      <c r="M304" s="44"/>
      <c r="N304" s="44"/>
      <c r="O304" s="45"/>
      <c r="P304" s="44"/>
      <c r="Q304" s="44"/>
      <c r="R304" s="44"/>
      <c r="S304" s="44"/>
      <c r="T304" s="44"/>
    </row>
    <row r="305" spans="1:41" s="501" customFormat="1" ht="12">
      <c r="A305" s="44"/>
      <c r="B305" s="44"/>
      <c r="C305" s="44" t="s">
        <v>135</v>
      </c>
      <c r="D305" s="35" t="s">
        <v>925</v>
      </c>
      <c r="E305" s="44"/>
      <c r="F305" s="44"/>
      <c r="G305" s="44"/>
      <c r="H305" s="44"/>
      <c r="I305" s="44"/>
      <c r="J305" s="44"/>
      <c r="K305" s="44"/>
      <c r="L305" s="44"/>
      <c r="M305" s="44"/>
      <c r="N305" s="44"/>
      <c r="O305" s="45"/>
      <c r="P305" s="44"/>
      <c r="Q305" s="44"/>
      <c r="R305" s="44"/>
      <c r="S305" s="44"/>
      <c r="T305" s="44"/>
    </row>
    <row r="306" spans="1:41" s="501" customFormat="1" ht="39.9" customHeight="1">
      <c r="A306" s="44"/>
      <c r="B306" s="44"/>
      <c r="C306" s="44"/>
      <c r="D306" s="1185" t="s">
        <v>908</v>
      </c>
      <c r="E306" s="1184"/>
      <c r="F306" s="1184"/>
      <c r="G306" s="1184"/>
      <c r="H306" s="1184"/>
      <c r="I306" s="1184"/>
      <c r="J306" s="1184"/>
      <c r="K306" s="1184"/>
      <c r="L306" s="1184"/>
      <c r="M306" s="1184"/>
      <c r="N306" s="1184"/>
      <c r="O306" s="1184"/>
      <c r="P306" s="1184"/>
      <c r="Q306" s="1184"/>
      <c r="R306" s="1184"/>
      <c r="S306" s="1184"/>
      <c r="T306" s="1184"/>
    </row>
    <row r="307" spans="1:41" s="3" customFormat="1" thickBot="1">
      <c r="A307" s="518"/>
      <c r="O307" s="86"/>
    </row>
    <row r="308" spans="1:41" s="501" customFormat="1" thickTop="1">
      <c r="A308" s="44"/>
      <c r="B308" s="39"/>
      <c r="C308" s="44"/>
      <c r="E308" s="40" t="s">
        <v>138</v>
      </c>
      <c r="F308" s="40" t="s">
        <v>139</v>
      </c>
      <c r="G308" s="44"/>
      <c r="H308" s="44"/>
      <c r="I308" s="44"/>
      <c r="J308" s="44"/>
      <c r="K308" s="44" t="s">
        <v>140</v>
      </c>
      <c r="L308" s="737"/>
      <c r="M308" s="44"/>
      <c r="N308" s="44"/>
      <c r="O308" s="45"/>
      <c r="P308" s="44"/>
      <c r="Q308"/>
      <c r="R308"/>
      <c r="S308"/>
      <c r="T308" s="39"/>
      <c r="AG308" s="502" t="s">
        <v>247</v>
      </c>
      <c r="AH308" s="502" t="s">
        <v>248</v>
      </c>
      <c r="AI308" s="502" t="s">
        <v>249</v>
      </c>
      <c r="AJ308" s="502" t="s">
        <v>250</v>
      </c>
      <c r="AK308" s="502" t="s">
        <v>251</v>
      </c>
      <c r="AM308" s="710" t="s">
        <v>260</v>
      </c>
      <c r="AN308" s="711" t="s">
        <v>261</v>
      </c>
      <c r="AO308" s="503" t="s">
        <v>257</v>
      </c>
    </row>
    <row r="309" spans="1:41" s="501" customFormat="1" ht="13.2">
      <c r="A309" s="712">
        <v>1</v>
      </c>
      <c r="B309" s="504" t="s">
        <v>283</v>
      </c>
      <c r="C309" s="505"/>
      <c r="D309" s="713" t="s">
        <v>577</v>
      </c>
      <c r="E309" s="738">
        <f>IF(AND($A309=0,$A$1="DIF"),0,ROUND(ROUND(SUMIF($L311:$L328,"SUBI",$E311:$E328)/$A309,2)*$C$12,2))</f>
        <v>165.9</v>
      </c>
      <c r="F309" s="739">
        <f>ROUND($A309*$E309,2)</f>
        <v>165.9</v>
      </c>
      <c r="G309" s="506" t="s">
        <v>142</v>
      </c>
      <c r="H309" s="498"/>
      <c r="I309" s="716"/>
      <c r="J309" s="498"/>
      <c r="K309" s="740"/>
      <c r="L309" s="741" t="s">
        <v>143</v>
      </c>
      <c r="M309" s="717"/>
      <c r="N309" s="717"/>
      <c r="O309" s="717"/>
      <c r="P309" s="717"/>
      <c r="Q309" s="943" t="s">
        <v>855</v>
      </c>
      <c r="R309" s="943" t="s">
        <v>871</v>
      </c>
      <c r="S309"/>
      <c r="T309" s="742" t="str">
        <f>IF(AND($R334=0,$T334=0),"0.00","mu :" &amp; ROUND($F309/$C$12/($R334+$T334*$D$9),2))</f>
        <v>mu :1.35</v>
      </c>
      <c r="W309" s="507"/>
      <c r="AG309" s="743">
        <f>IF(A309=0,0,ROUND(SUM(AG311:AG334)/A309,2))</f>
        <v>69.150000000000006</v>
      </c>
      <c r="AH309" s="743">
        <f>$AG309*$A309</f>
        <v>69.150000000000006</v>
      </c>
      <c r="AI309" s="743">
        <f>$E309-$AG309</f>
        <v>96.75</v>
      </c>
      <c r="AJ309" s="743">
        <f>$A309*$AI309</f>
        <v>96.75</v>
      </c>
      <c r="AK309" s="744">
        <f>ROUND(($AG309+$AI309)*$A309,2)</f>
        <v>165.9</v>
      </c>
      <c r="AM309" s="510">
        <f>ROUND(R334,2)</f>
        <v>51.22</v>
      </c>
      <c r="AN309" s="511">
        <f>ROUND(T334,2)</f>
        <v>2.61</v>
      </c>
      <c r="AO309" s="512">
        <f>ROUND(AM309+AN309,2)*A309</f>
        <v>53.83</v>
      </c>
    </row>
    <row r="310" spans="1:41" s="501" customFormat="1" ht="21.6" customHeight="1">
      <c r="A310" s="745"/>
      <c r="B310" s="746"/>
      <c r="C310" s="505"/>
      <c r="D310" s="724" t="s">
        <v>452</v>
      </c>
      <c r="F310" s="498"/>
      <c r="G310" s="498"/>
      <c r="H310" s="498"/>
      <c r="I310" s="716"/>
      <c r="J310" s="498"/>
      <c r="K310" s="498" t="s">
        <v>144</v>
      </c>
      <c r="L310" s="747"/>
      <c r="M310" s="498"/>
      <c r="N310" s="498"/>
      <c r="O310" s="498"/>
      <c r="P310" s="498"/>
      <c r="Q310" s="44"/>
      <c r="R310" s="567"/>
      <c r="S310" s="719"/>
      <c r="T310" s="498"/>
    </row>
    <row r="311" spans="1:41" s="501" customFormat="1" ht="12">
      <c r="A311" s="748"/>
      <c r="B311" s="749"/>
      <c r="C311" s="497"/>
      <c r="D311" s="750"/>
      <c r="E311" s="751">
        <f>F309/$C$12-SUMIF($L308:$L334,"SUBI",$E308:$E334)</f>
        <v>0</v>
      </c>
      <c r="F311" s="752" t="s">
        <v>572</v>
      </c>
      <c r="G311" s="753"/>
      <c r="H311" s="753"/>
      <c r="I311" s="754"/>
      <c r="J311" s="753"/>
      <c r="K311" s="753"/>
      <c r="L311" s="755"/>
      <c r="M311" s="756"/>
      <c r="N311" s="756"/>
      <c r="O311" s="756"/>
      <c r="P311" s="756"/>
      <c r="Q311" s="757"/>
      <c r="R311" s="758"/>
      <c r="S311" s="757"/>
      <c r="T311" s="759"/>
    </row>
    <row r="312" spans="1:41" s="501" customFormat="1" ht="12" customHeight="1">
      <c r="A312" s="760"/>
      <c r="B312" s="761"/>
      <c r="C312" s="762"/>
      <c r="D312" s="762" t="str">
        <f>$F$2</f>
        <v>Electrical</v>
      </c>
      <c r="E312" s="762">
        <f>ROUND(($R322*$S$2 + ($T322*$T$2)), 2)</f>
        <v>165.9</v>
      </c>
      <c r="F312" s="763">
        <f>$E312*$C$12</f>
        <v>165.9</v>
      </c>
      <c r="G312" s="567"/>
      <c r="H312" s="764"/>
      <c r="I312" s="567"/>
      <c r="J312" s="45"/>
      <c r="K312" s="765" t="s">
        <v>3</v>
      </c>
      <c r="L312" s="766" t="s">
        <v>573</v>
      </c>
      <c r="M312" s="567"/>
      <c r="N312" s="567"/>
      <c r="O312" s="45"/>
      <c r="P312" s="567"/>
      <c r="Q312" s="567"/>
      <c r="R312"/>
      <c r="S312"/>
      <c r="T312"/>
    </row>
    <row r="313" spans="1:41" s="893" customFormat="1" ht="13.2">
      <c r="A313"/>
      <c r="D313" s="944" t="s">
        <v>755</v>
      </c>
      <c r="G313" s="894" t="s">
        <v>749</v>
      </c>
      <c r="H313" s="895">
        <v>616</v>
      </c>
      <c r="I313" s="893" t="s">
        <v>656</v>
      </c>
      <c r="J313" s="893" t="s">
        <v>750</v>
      </c>
      <c r="O313" s="896">
        <v>2</v>
      </c>
      <c r="P313" s="897">
        <v>40767</v>
      </c>
      <c r="Q313" s="898"/>
      <c r="R313" s="899">
        <f t="shared" ref="R313:R318" si="11">$A313*Q313</f>
        <v>0</v>
      </c>
      <c r="S313" s="898"/>
      <c r="T313" s="900">
        <f t="shared" ref="T313:T318" si="12">$A313*S313*$T$1</f>
        <v>0</v>
      </c>
    </row>
    <row r="314" spans="1:41" s="893" customFormat="1" ht="13.2">
      <c r="A314">
        <v>3</v>
      </c>
      <c r="B314" s="893" t="s">
        <v>296</v>
      </c>
      <c r="D314" s="893" t="s">
        <v>1084</v>
      </c>
      <c r="F314" s="893" t="s">
        <v>756</v>
      </c>
      <c r="G314" s="894" t="s">
        <v>749</v>
      </c>
      <c r="H314" s="895">
        <v>616</v>
      </c>
      <c r="I314" s="893" t="s">
        <v>656</v>
      </c>
      <c r="J314" s="893" t="s">
        <v>750</v>
      </c>
      <c r="O314" s="896">
        <v>2</v>
      </c>
      <c r="P314" s="897">
        <v>40767</v>
      </c>
      <c r="Q314" s="898">
        <v>10.45</v>
      </c>
      <c r="R314" s="899">
        <f t="shared" si="11"/>
        <v>31.349999999999998</v>
      </c>
      <c r="S314" s="898">
        <v>0.1</v>
      </c>
      <c r="T314" s="900">
        <f t="shared" si="12"/>
        <v>0.30000000000000004</v>
      </c>
    </row>
    <row r="315" spans="1:41" s="893" customFormat="1" ht="13.2">
      <c r="A315" s="87">
        <v>3</v>
      </c>
      <c r="B315" s="893" t="s">
        <v>141</v>
      </c>
      <c r="D315" s="893" t="s">
        <v>743</v>
      </c>
      <c r="G315" s="894" t="s">
        <v>744</v>
      </c>
      <c r="H315" s="895">
        <v>875</v>
      </c>
      <c r="I315" s="893" t="s">
        <v>643</v>
      </c>
      <c r="K315" s="893" t="s">
        <v>745</v>
      </c>
      <c r="O315" s="896">
        <v>1</v>
      </c>
      <c r="P315" s="897">
        <v>34669</v>
      </c>
      <c r="Q315" s="898">
        <v>0.05</v>
      </c>
      <c r="R315" s="899">
        <f t="shared" si="11"/>
        <v>0.15000000000000002</v>
      </c>
      <c r="S315" s="898"/>
      <c r="T315" s="900">
        <f t="shared" si="12"/>
        <v>0</v>
      </c>
    </row>
    <row r="316" spans="1:41" s="893" customFormat="1" ht="13.2">
      <c r="A316">
        <v>2</v>
      </c>
      <c r="B316" s="893" t="s">
        <v>141</v>
      </c>
      <c r="D316" s="893" t="s">
        <v>751</v>
      </c>
      <c r="G316" s="894" t="s">
        <v>752</v>
      </c>
      <c r="H316" s="895">
        <v>620</v>
      </c>
      <c r="I316" s="893" t="s">
        <v>671</v>
      </c>
      <c r="O316" s="896">
        <v>2</v>
      </c>
      <c r="P316" s="897">
        <v>35431</v>
      </c>
      <c r="Q316" s="898">
        <v>7.66</v>
      </c>
      <c r="R316" s="899">
        <f t="shared" si="11"/>
        <v>15.32</v>
      </c>
      <c r="S316" s="898">
        <v>0.4</v>
      </c>
      <c r="T316" s="900">
        <f t="shared" si="12"/>
        <v>0.8</v>
      </c>
    </row>
    <row r="317" spans="1:41" s="893" customFormat="1" ht="13.2">
      <c r="A317">
        <v>2</v>
      </c>
      <c r="B317" s="893" t="s">
        <v>296</v>
      </c>
      <c r="D317" s="893" t="s">
        <v>672</v>
      </c>
      <c r="G317" s="894" t="s">
        <v>673</v>
      </c>
      <c r="H317" s="895">
        <v>620</v>
      </c>
      <c r="I317" s="893" t="s">
        <v>643</v>
      </c>
      <c r="O317" s="896">
        <v>2</v>
      </c>
      <c r="P317" s="897">
        <v>38148</v>
      </c>
      <c r="Q317" s="898">
        <v>1.5</v>
      </c>
      <c r="R317" s="899">
        <f t="shared" si="11"/>
        <v>3</v>
      </c>
      <c r="S317" s="898">
        <v>0.08</v>
      </c>
      <c r="T317" s="900">
        <f t="shared" si="12"/>
        <v>0.16</v>
      </c>
    </row>
    <row r="318" spans="1:41" s="893" customFormat="1" ht="13.2">
      <c r="A318">
        <v>10</v>
      </c>
      <c r="B318" s="893" t="s">
        <v>141</v>
      </c>
      <c r="D318" s="893" t="s">
        <v>753</v>
      </c>
      <c r="G318" s="894" t="s">
        <v>754</v>
      </c>
      <c r="H318" s="895">
        <v>620</v>
      </c>
      <c r="I318" s="893" t="s">
        <v>676</v>
      </c>
      <c r="O318" s="896">
        <v>2</v>
      </c>
      <c r="P318" s="897">
        <v>34669</v>
      </c>
      <c r="Q318" s="898">
        <v>0.14000000000000001</v>
      </c>
      <c r="R318" s="899">
        <f t="shared" si="11"/>
        <v>1.4000000000000001</v>
      </c>
      <c r="S318" s="898">
        <v>0.06</v>
      </c>
      <c r="T318" s="900">
        <f t="shared" si="12"/>
        <v>0.6</v>
      </c>
    </row>
    <row r="319" spans="1:41" s="893" customFormat="1" ht="13.2">
      <c r="A319">
        <v>1</v>
      </c>
      <c r="B319" s="893" t="s">
        <v>141</v>
      </c>
      <c r="D319" s="893" t="s">
        <v>658</v>
      </c>
      <c r="F319" s="893" t="s">
        <v>748</v>
      </c>
      <c r="G319" s="894" t="s">
        <v>659</v>
      </c>
      <c r="H319" s="895">
        <v>900</v>
      </c>
      <c r="I319" s="893" t="s">
        <v>660</v>
      </c>
      <c r="O319" s="896">
        <v>1</v>
      </c>
      <c r="P319" s="897"/>
      <c r="Q319" s="898"/>
      <c r="R319" s="899">
        <f>$A319*Q319</f>
        <v>0</v>
      </c>
      <c r="S319" s="898">
        <v>0.5</v>
      </c>
      <c r="T319" s="900">
        <f>$A319*S319*$T$1</f>
        <v>0.5</v>
      </c>
    </row>
    <row r="320" spans="1:41" s="893" customFormat="1" ht="13.2">
      <c r="A320">
        <v>1</v>
      </c>
      <c r="B320" s="893" t="s">
        <v>141</v>
      </c>
      <c r="D320" s="893" t="s">
        <v>658</v>
      </c>
      <c r="F320" s="893" t="s">
        <v>757</v>
      </c>
      <c r="G320" s="894" t="s">
        <v>659</v>
      </c>
      <c r="H320" s="895">
        <v>900</v>
      </c>
      <c r="I320" s="893" t="s">
        <v>660</v>
      </c>
      <c r="O320" s="896">
        <v>1</v>
      </c>
      <c r="P320" s="897"/>
      <c r="Q320" s="898"/>
      <c r="R320" s="899">
        <f>$A320*Q320</f>
        <v>0</v>
      </c>
      <c r="S320" s="898">
        <v>0.25</v>
      </c>
      <c r="T320" s="900">
        <f>$A320*S320*$T$1</f>
        <v>0.25</v>
      </c>
    </row>
    <row r="321" spans="1:41" s="501" customFormat="1" ht="14.4" customHeight="1">
      <c r="A321" s="767"/>
      <c r="B321" s="567"/>
      <c r="C321" s="567"/>
      <c r="D321" s="567"/>
      <c r="E321" s="567"/>
      <c r="F321" s="567"/>
      <c r="G321" s="567"/>
      <c r="H321" s="764"/>
      <c r="I321" s="567"/>
      <c r="J321" s="45"/>
      <c r="K321" s="769"/>
      <c r="L321" s="770"/>
      <c r="M321" s="567"/>
      <c r="N321" s="567"/>
      <c r="O321" s="45"/>
      <c r="P321" s="567"/>
      <c r="Q321" s="567"/>
      <c r="R321" s="771">
        <f>$A321*Q321</f>
        <v>0</v>
      </c>
      <c r="S321" s="567"/>
      <c r="T321" s="500">
        <f>$A321*S321*$T$1</f>
        <v>0</v>
      </c>
    </row>
    <row r="322" spans="1:41" s="501" customFormat="1" ht="12">
      <c r="A322" s="772" t="s">
        <v>145</v>
      </c>
      <c r="B322" s="773">
        <f>(R321+T321)</f>
        <v>0</v>
      </c>
      <c r="C322" s="753"/>
      <c r="G322" s="774"/>
      <c r="H322" s="774"/>
      <c r="I322" s="774"/>
      <c r="J322" s="774"/>
      <c r="K322" s="750" t="s">
        <v>3</v>
      </c>
      <c r="L322" s="775" t="s">
        <v>573</v>
      </c>
      <c r="M322" s="774"/>
      <c r="N322" s="774"/>
      <c r="O322" s="774"/>
      <c r="P322" s="774"/>
      <c r="Q322" s="776"/>
      <c r="R322" s="777">
        <f>SUM(R312:R321)</f>
        <v>51.219999999999992</v>
      </c>
      <c r="S322" s="778"/>
      <c r="T322" s="777">
        <f>SUM(T312:T321)</f>
        <v>2.61</v>
      </c>
      <c r="AG322" s="779">
        <f>ROUND($R322*$S$2,2)</f>
        <v>69.150000000000006</v>
      </c>
    </row>
    <row r="323" spans="1:41" s="501" customFormat="1" ht="12" customHeight="1">
      <c r="A323" s="760"/>
      <c r="B323" s="780"/>
      <c r="C323" s="781"/>
      <c r="D323" s="782" t="str">
        <f>$F$3</f>
        <v>Technician</v>
      </c>
      <c r="E323" s="782">
        <f>ROUND(($R327*$S$3 + ($T327*$T$3)), 2)</f>
        <v>0</v>
      </c>
      <c r="F323" s="783">
        <f>$E323*$C$12</f>
        <v>0</v>
      </c>
      <c r="G323" s="499"/>
      <c r="H323" s="499"/>
      <c r="I323" s="499"/>
      <c r="J323" s="499"/>
      <c r="K323" s="765" t="s">
        <v>5</v>
      </c>
      <c r="L323" s="766" t="s">
        <v>573</v>
      </c>
      <c r="M323" s="499"/>
      <c r="N323" s="499"/>
      <c r="O323" s="499"/>
      <c r="P323" s="499"/>
      <c r="Q323" s="499"/>
      <c r="R323" s="784"/>
      <c r="S323" s="499"/>
      <c r="T323" s="784"/>
    </row>
    <row r="324" spans="1:41" s="797" customFormat="1" ht="15.6" customHeight="1">
      <c r="A324" s="785"/>
      <c r="B324" s="768" t="s">
        <v>575</v>
      </c>
      <c r="C324" s="786"/>
      <c r="D324" s="787"/>
      <c r="E324" s="787"/>
      <c r="F324" s="787"/>
      <c r="G324" s="788"/>
      <c r="H324" s="789"/>
      <c r="I324" s="789"/>
      <c r="J324" s="790"/>
      <c r="K324" s="791"/>
      <c r="L324" s="786"/>
      <c r="M324" s="792"/>
      <c r="N324" s="793"/>
      <c r="O324" s="794"/>
      <c r="P324" s="795"/>
      <c r="Q324" s="796"/>
      <c r="R324" s="771">
        <f>$A324*Q324</f>
        <v>0</v>
      </c>
      <c r="S324" s="567"/>
      <c r="T324" s="500">
        <f>$A324*S324*$T$1</f>
        <v>0</v>
      </c>
    </row>
    <row r="325" spans="1:41" s="501" customFormat="1" ht="15.6" customHeight="1">
      <c r="A325" s="767"/>
      <c r="B325" s="567"/>
      <c r="C325" s="567"/>
      <c r="D325" s="567"/>
      <c r="E325" s="567"/>
      <c r="F325" s="567"/>
      <c r="G325" s="567"/>
      <c r="H325" s="567"/>
      <c r="I325" s="567"/>
      <c r="J325" s="567"/>
      <c r="K325" s="567"/>
      <c r="L325" s="770"/>
      <c r="M325" s="567"/>
      <c r="N325" s="567"/>
      <c r="O325" s="567"/>
      <c r="P325" s="567"/>
      <c r="Q325" s="567"/>
      <c r="R325" s="771">
        <f>$A325*Q325</f>
        <v>0</v>
      </c>
      <c r="S325" s="567"/>
      <c r="T325" s="500">
        <f>$A325*S325*$T$1</f>
        <v>0</v>
      </c>
    </row>
    <row r="326" spans="1:41" s="501" customFormat="1" ht="15.6" customHeight="1">
      <c r="A326" s="767"/>
      <c r="B326" s="567"/>
      <c r="C326" s="567"/>
      <c r="D326" s="3"/>
      <c r="E326" s="567"/>
      <c r="F326" s="567"/>
      <c r="G326" s="567"/>
      <c r="H326" s="567"/>
      <c r="I326" s="567"/>
      <c r="J326" s="567"/>
      <c r="K326" s="567"/>
      <c r="L326" s="770"/>
      <c r="M326" s="567"/>
      <c r="N326" s="567"/>
      <c r="O326" s="567"/>
      <c r="P326" s="567"/>
      <c r="Q326" s="567"/>
      <c r="R326" s="771">
        <f>$A326*Q326</f>
        <v>0</v>
      </c>
      <c r="S326" s="567"/>
      <c r="T326" s="500">
        <f>$A326*S326*$T$1</f>
        <v>0</v>
      </c>
    </row>
    <row r="327" spans="1:41" s="501" customFormat="1" ht="12">
      <c r="A327" s="772" t="s">
        <v>145</v>
      </c>
      <c r="B327" s="773">
        <f>(R326+T326)</f>
        <v>0</v>
      </c>
      <c r="C327" s="753"/>
      <c r="G327" s="774"/>
      <c r="H327" s="774"/>
      <c r="I327" s="774"/>
      <c r="J327" s="774"/>
      <c r="K327" s="798" t="s">
        <v>5</v>
      </c>
      <c r="L327" s="775" t="s">
        <v>573</v>
      </c>
      <c r="M327" s="774"/>
      <c r="N327" s="774"/>
      <c r="O327" s="774"/>
      <c r="P327" s="774"/>
      <c r="Q327" s="776"/>
      <c r="R327" s="777">
        <f>SUM(R323:R326)</f>
        <v>0</v>
      </c>
      <c r="S327" s="778"/>
      <c r="T327" s="777">
        <f>SUM(T323:T326)</f>
        <v>0</v>
      </c>
      <c r="AG327" s="799">
        <f>ROUND($R327*$S$3,2)</f>
        <v>0</v>
      </c>
    </row>
    <row r="328" spans="1:41" s="501" customFormat="1" ht="12" customHeight="1">
      <c r="A328" s="800"/>
      <c r="B328" s="801"/>
      <c r="C328" s="802"/>
      <c r="D328" s="803" t="str">
        <f>$F$4</f>
        <v>Engineer (Man Hours)</v>
      </c>
      <c r="E328" s="803">
        <f>ROUND(($R332*$S$4 + ($T332*$T$4)), 2)</f>
        <v>0</v>
      </c>
      <c r="F328" s="804">
        <f ca="1">$F309-SUMIF($L311:$P325,"SUBI",$F311:$F325)</f>
        <v>0</v>
      </c>
      <c r="G328" s="499"/>
      <c r="H328" s="499"/>
      <c r="I328" s="499"/>
      <c r="J328" s="499"/>
      <c r="K328" s="805" t="s">
        <v>8</v>
      </c>
      <c r="L328" s="766" t="s">
        <v>573</v>
      </c>
      <c r="M328" s="499"/>
      <c r="N328" s="499"/>
      <c r="O328" s="499"/>
      <c r="P328" s="499"/>
      <c r="Q328" s="499"/>
      <c r="R328" s="784"/>
      <c r="S328" s="499"/>
      <c r="T328" s="784"/>
    </row>
    <row r="329" spans="1:41" s="797" customFormat="1" ht="14.4" customHeight="1">
      <c r="A329" s="785"/>
      <c r="B329" s="768" t="s">
        <v>576</v>
      </c>
      <c r="C329" s="786"/>
      <c r="D329" s="787"/>
      <c r="E329" s="787"/>
      <c r="F329" s="787"/>
      <c r="G329" s="788"/>
      <c r="H329" s="789"/>
      <c r="I329" s="789"/>
      <c r="J329" s="790"/>
      <c r="K329" s="791"/>
      <c r="L329" s="786"/>
      <c r="M329" s="792"/>
      <c r="N329" s="793"/>
      <c r="O329" s="806"/>
      <c r="P329" s="795"/>
      <c r="Q329" s="796"/>
      <c r="R329" s="720">
        <f>$A329*Q329</f>
        <v>0</v>
      </c>
      <c r="S329" s="796"/>
      <c r="T329" s="500">
        <f>$A329*S329*$T$1</f>
        <v>0</v>
      </c>
    </row>
    <row r="330" spans="1:41" s="501" customFormat="1" ht="12">
      <c r="A330" s="44"/>
      <c r="B330" s="497"/>
      <c r="C330" s="497"/>
      <c r="D330" s="807"/>
      <c r="E330" s="808"/>
      <c r="F330" s="499"/>
      <c r="G330" s="499"/>
      <c r="H330" s="499"/>
      <c r="I330" s="499"/>
      <c r="J330" s="499"/>
      <c r="K330" s="499"/>
      <c r="L330" s="809"/>
      <c r="M330" s="499"/>
      <c r="N330" s="499"/>
      <c r="O330" s="499"/>
      <c r="P330" s="499"/>
      <c r="Q330" s="499"/>
      <c r="R330" s="720">
        <f>$A330*Q330</f>
        <v>0</v>
      </c>
      <c r="S330" s="499"/>
      <c r="T330" s="500">
        <f>$A330*S330*$T$1</f>
        <v>0</v>
      </c>
    </row>
    <row r="331" spans="1:41" s="501" customFormat="1" ht="12">
      <c r="A331" s="44"/>
      <c r="B331" s="497"/>
      <c r="C331" s="497"/>
      <c r="D331" s="807"/>
      <c r="E331" s="808"/>
      <c r="F331" s="499"/>
      <c r="G331" s="499"/>
      <c r="H331" s="499"/>
      <c r="I331" s="499"/>
      <c r="J331" s="499"/>
      <c r="K331" s="499"/>
      <c r="L331" s="809"/>
      <c r="M331" s="499"/>
      <c r="N331" s="499"/>
      <c r="O331" s="499"/>
      <c r="P331" s="499"/>
      <c r="Q331" s="499"/>
      <c r="R331" s="720">
        <f>$A331*Q331</f>
        <v>0</v>
      </c>
      <c r="S331" s="499"/>
      <c r="T331" s="500">
        <f>$A331*S331*$T$1</f>
        <v>0</v>
      </c>
    </row>
    <row r="332" spans="1:41" s="501" customFormat="1" ht="12.75" customHeight="1">
      <c r="A332" s="772" t="s">
        <v>145</v>
      </c>
      <c r="B332" s="773">
        <f>(R331+T331)</f>
        <v>0</v>
      </c>
      <c r="C332" s="810"/>
      <c r="D332" s="810"/>
      <c r="E332" s="810"/>
      <c r="F332" s="810"/>
      <c r="G332" s="776"/>
      <c r="H332" s="776"/>
      <c r="I332" s="776"/>
      <c r="J332" s="776"/>
      <c r="K332" s="798" t="s">
        <v>8</v>
      </c>
      <c r="L332" s="811" t="s">
        <v>573</v>
      </c>
      <c r="M332" s="776"/>
      <c r="N332" s="776"/>
      <c r="O332" s="776"/>
      <c r="P332" s="776"/>
      <c r="Q332" s="776"/>
      <c r="R332" s="777">
        <f>SUM(R328:R331)</f>
        <v>0</v>
      </c>
      <c r="S332" s="778"/>
      <c r="T332" s="777">
        <f>SUM(T328:T331)</f>
        <v>0</v>
      </c>
      <c r="AG332" s="812">
        <f>ROUND($R332*$S$4,2)</f>
        <v>0</v>
      </c>
    </row>
    <row r="333" spans="1:41" s="501" customFormat="1" ht="12.75" customHeight="1">
      <c r="A333" s="813"/>
      <c r="B333" s="814"/>
      <c r="E333" s="497"/>
      <c r="F333" s="808"/>
      <c r="G333" s="497"/>
      <c r="H333" s="497"/>
      <c r="I333" s="499"/>
      <c r="J333" s="497"/>
      <c r="K333" s="497"/>
      <c r="L333" s="815"/>
      <c r="M333" s="725"/>
      <c r="N333" s="725"/>
      <c r="O333" s="725"/>
      <c r="P333" s="725"/>
      <c r="Q333" s="726"/>
      <c r="R333" s="784"/>
      <c r="S333" s="497"/>
      <c r="T333" s="784"/>
    </row>
    <row r="334" spans="1:41" s="501" customFormat="1" ht="13.5" customHeight="1" thickBot="1">
      <c r="A334" s="816"/>
      <c r="B334" s="817"/>
      <c r="C334" s="518"/>
      <c r="D334" s="518"/>
      <c r="E334" s="515"/>
      <c r="F334" s="721"/>
      <c r="G334" s="515" t="s">
        <v>146</v>
      </c>
      <c r="H334" s="515"/>
      <c r="I334" s="516"/>
      <c r="J334" s="515"/>
      <c r="K334" s="515"/>
      <c r="L334" s="818" t="s">
        <v>143</v>
      </c>
      <c r="M334" s="517"/>
      <c r="N334" s="517"/>
      <c r="O334" s="517"/>
      <c r="P334" s="517"/>
      <c r="Q334" s="722"/>
      <c r="R334" s="819">
        <f>SUMIF($L310:$L333,"SUBI",R310:R333)</f>
        <v>51.219999999999992</v>
      </c>
      <c r="S334" s="820"/>
      <c r="T334" s="819">
        <f>SUMIF($L310:$L333,"SUBI",T310:T333)</f>
        <v>2.61</v>
      </c>
      <c r="U334" s="518"/>
      <c r="V334" s="518"/>
      <c r="W334" s="518"/>
      <c r="X334" s="518"/>
      <c r="Y334" s="518"/>
      <c r="Z334" s="518"/>
      <c r="AA334" s="518"/>
      <c r="AB334" s="518"/>
      <c r="AC334" s="518"/>
      <c r="AD334" s="518"/>
      <c r="AE334" s="518"/>
      <c r="AF334" s="518"/>
      <c r="AG334" s="518"/>
      <c r="AH334" s="518"/>
      <c r="AI334" s="518"/>
      <c r="AJ334" s="518"/>
      <c r="AK334" s="518"/>
      <c r="AL334" s="518"/>
      <c r="AM334" s="518"/>
      <c r="AN334" s="518"/>
      <c r="AO334" s="518"/>
    </row>
    <row r="335" spans="1:41" s="501" customFormat="1" thickTop="1">
      <c r="A335" s="44"/>
      <c r="B335" s="39"/>
      <c r="C335" s="44"/>
      <c r="E335" s="40" t="s">
        <v>138</v>
      </c>
      <c r="F335" s="40" t="s">
        <v>139</v>
      </c>
      <c r="G335" s="44"/>
      <c r="H335" s="44"/>
      <c r="I335" s="44"/>
      <c r="J335" s="44"/>
      <c r="K335" s="44" t="s">
        <v>140</v>
      </c>
      <c r="L335" s="737"/>
      <c r="M335" s="44"/>
      <c r="N335" s="44"/>
      <c r="O335" s="45"/>
      <c r="P335" s="44"/>
      <c r="Q335"/>
      <c r="R335"/>
      <c r="S335"/>
      <c r="T335" s="39"/>
      <c r="AG335" s="502" t="s">
        <v>247</v>
      </c>
      <c r="AH335" s="502" t="s">
        <v>248</v>
      </c>
      <c r="AI335" s="502" t="s">
        <v>249</v>
      </c>
      <c r="AJ335" s="502" t="s">
        <v>250</v>
      </c>
      <c r="AK335" s="502" t="s">
        <v>251</v>
      </c>
      <c r="AM335" s="710" t="s">
        <v>260</v>
      </c>
      <c r="AN335" s="711" t="s">
        <v>261</v>
      </c>
      <c r="AO335" s="503" t="s">
        <v>257</v>
      </c>
    </row>
    <row r="336" spans="1:41" s="501" customFormat="1" ht="13.2">
      <c r="A336" s="712">
        <v>1</v>
      </c>
      <c r="B336" s="504" t="s">
        <v>283</v>
      </c>
      <c r="C336" s="505"/>
      <c r="D336" s="713" t="s">
        <v>585</v>
      </c>
      <c r="E336" s="738">
        <f>IF(AND($A336=0,$A$1="DIF"),0,ROUND(ROUND(SUMIF($L338:$L355,"SUBI",$E338:$E355)/$A336,2)*$C$12,2))</f>
        <v>165.9</v>
      </c>
      <c r="F336" s="739">
        <f>ROUND($A336*$E336,2)</f>
        <v>165.9</v>
      </c>
      <c r="G336" s="506" t="s">
        <v>142</v>
      </c>
      <c r="H336" s="498"/>
      <c r="I336" s="716"/>
      <c r="J336" s="498"/>
      <c r="K336" s="740"/>
      <c r="L336" s="741" t="s">
        <v>143</v>
      </c>
      <c r="M336" s="717"/>
      <c r="N336" s="717"/>
      <c r="O336" s="717"/>
      <c r="P336" s="717"/>
      <c r="Q336" s="943" t="s">
        <v>855</v>
      </c>
      <c r="R336" s="943" t="s">
        <v>871</v>
      </c>
      <c r="S336"/>
      <c r="T336" s="742" t="str">
        <f>IF(AND($R361=0,$T361=0),"0.00","mu :" &amp; ROUND($F336/$C$12/($R361+$T361*$D$9),2))</f>
        <v>mu :1.35</v>
      </c>
      <c r="W336" s="507"/>
      <c r="AG336" s="743">
        <f>IF(A336=0,0,ROUND(SUM(AG338:AG361)/A336,2))</f>
        <v>69.150000000000006</v>
      </c>
      <c r="AH336" s="743">
        <f>$AG336*$A336</f>
        <v>69.150000000000006</v>
      </c>
      <c r="AI336" s="743">
        <f>$E336-$AG336</f>
        <v>96.75</v>
      </c>
      <c r="AJ336" s="743">
        <f>$A336*$AI336</f>
        <v>96.75</v>
      </c>
      <c r="AK336" s="744">
        <f>ROUND(($AG336+$AI336)*$A336,2)</f>
        <v>165.9</v>
      </c>
      <c r="AM336" s="510">
        <f>ROUND(R361,2)</f>
        <v>51.22</v>
      </c>
      <c r="AN336" s="511">
        <f>ROUND(T361,2)</f>
        <v>2.61</v>
      </c>
      <c r="AO336" s="512">
        <f>ROUND(AM336+AN336,2)*A336</f>
        <v>53.83</v>
      </c>
    </row>
    <row r="337" spans="1:33" s="501" customFormat="1" ht="21.6" customHeight="1">
      <c r="A337" s="745"/>
      <c r="B337" s="746"/>
      <c r="C337" s="505"/>
      <c r="D337" s="724" t="s">
        <v>453</v>
      </c>
      <c r="F337" s="498"/>
      <c r="G337" s="498"/>
      <c r="H337" s="498"/>
      <c r="I337" s="716"/>
      <c r="J337" s="498"/>
      <c r="K337" s="498" t="s">
        <v>144</v>
      </c>
      <c r="L337" s="747"/>
      <c r="M337" s="498"/>
      <c r="N337" s="498"/>
      <c r="O337" s="498"/>
      <c r="P337" s="498"/>
      <c r="Q337" s="44"/>
      <c r="R337" s="567"/>
      <c r="S337" s="719"/>
      <c r="T337" s="498"/>
    </row>
    <row r="338" spans="1:33" s="501" customFormat="1" ht="12">
      <c r="A338" s="748"/>
      <c r="B338" s="749"/>
      <c r="C338" s="497"/>
      <c r="D338" s="750"/>
      <c r="E338" s="751">
        <f>F336/$C$12-SUMIF($L335:$L361,"SUBI",$E335:$E361)</f>
        <v>0</v>
      </c>
      <c r="F338" s="752" t="s">
        <v>572</v>
      </c>
      <c r="G338" s="753"/>
      <c r="H338" s="753"/>
      <c r="I338" s="754"/>
      <c r="J338" s="753"/>
      <c r="K338" s="753"/>
      <c r="L338" s="755"/>
      <c r="M338" s="756"/>
      <c r="N338" s="756"/>
      <c r="O338" s="756"/>
      <c r="P338" s="756"/>
      <c r="Q338" s="757"/>
      <c r="R338" s="758"/>
      <c r="S338" s="757"/>
      <c r="T338" s="759"/>
    </row>
    <row r="339" spans="1:33" s="501" customFormat="1" ht="12" customHeight="1">
      <c r="A339" s="760"/>
      <c r="B339" s="761"/>
      <c r="C339" s="762"/>
      <c r="D339" s="762" t="str">
        <f>$F$2</f>
        <v>Electrical</v>
      </c>
      <c r="E339" s="762">
        <f>ROUND(($R349*$S$2 + ($T349*$T$2)), 2)</f>
        <v>165.9</v>
      </c>
      <c r="F339" s="763">
        <f>$E339*$C$12</f>
        <v>165.9</v>
      </c>
      <c r="G339" s="567"/>
      <c r="H339" s="764"/>
      <c r="I339" s="567"/>
      <c r="J339" s="45"/>
      <c r="K339" s="765" t="s">
        <v>3</v>
      </c>
      <c r="L339" s="766" t="s">
        <v>573</v>
      </c>
      <c r="M339" s="567"/>
      <c r="N339" s="567"/>
      <c r="O339" s="45"/>
      <c r="P339" s="567"/>
      <c r="Q339" s="567"/>
      <c r="R339"/>
      <c r="S339"/>
      <c r="T339"/>
    </row>
    <row r="340" spans="1:33" s="893" customFormat="1" ht="13.2">
      <c r="A340"/>
      <c r="D340" s="944" t="s">
        <v>755</v>
      </c>
      <c r="G340" s="894" t="s">
        <v>749</v>
      </c>
      <c r="H340" s="895">
        <v>616</v>
      </c>
      <c r="I340" s="893" t="s">
        <v>656</v>
      </c>
      <c r="J340" s="893" t="s">
        <v>750</v>
      </c>
      <c r="O340" s="896">
        <v>2</v>
      </c>
      <c r="P340" s="897">
        <v>40767</v>
      </c>
      <c r="Q340" s="898"/>
      <c r="R340" s="899">
        <f t="shared" ref="R340:R345" si="13">$A340*Q340</f>
        <v>0</v>
      </c>
      <c r="S340" s="898"/>
      <c r="T340" s="900">
        <f t="shared" ref="T340:T345" si="14">$A340*S340*$T$1</f>
        <v>0</v>
      </c>
    </row>
    <row r="341" spans="1:33" s="893" customFormat="1" ht="13.2">
      <c r="A341">
        <v>3</v>
      </c>
      <c r="B341" s="893" t="s">
        <v>296</v>
      </c>
      <c r="D341" s="893" t="s">
        <v>1084</v>
      </c>
      <c r="F341" s="893" t="s">
        <v>756</v>
      </c>
      <c r="G341" s="894" t="s">
        <v>749</v>
      </c>
      <c r="H341" s="895">
        <v>616</v>
      </c>
      <c r="I341" s="893" t="s">
        <v>656</v>
      </c>
      <c r="J341" s="893" t="s">
        <v>750</v>
      </c>
      <c r="O341" s="896">
        <v>2</v>
      </c>
      <c r="P341" s="897">
        <v>40767</v>
      </c>
      <c r="Q341" s="898">
        <v>10.45</v>
      </c>
      <c r="R341" s="899">
        <f t="shared" si="13"/>
        <v>31.349999999999998</v>
      </c>
      <c r="S341" s="898">
        <v>0.1</v>
      </c>
      <c r="T341" s="900">
        <f t="shared" si="14"/>
        <v>0.30000000000000004</v>
      </c>
    </row>
    <row r="342" spans="1:33" s="893" customFormat="1" ht="13.2">
      <c r="A342" s="87">
        <v>3</v>
      </c>
      <c r="B342" s="893" t="s">
        <v>141</v>
      </c>
      <c r="D342" s="893" t="s">
        <v>743</v>
      </c>
      <c r="G342" s="894" t="s">
        <v>744</v>
      </c>
      <c r="H342" s="895">
        <v>875</v>
      </c>
      <c r="I342" s="893" t="s">
        <v>643</v>
      </c>
      <c r="K342" s="893" t="s">
        <v>745</v>
      </c>
      <c r="O342" s="896">
        <v>1</v>
      </c>
      <c r="P342" s="897">
        <v>34669</v>
      </c>
      <c r="Q342" s="898">
        <v>0.05</v>
      </c>
      <c r="R342" s="899">
        <f t="shared" si="13"/>
        <v>0.15000000000000002</v>
      </c>
      <c r="S342" s="898"/>
      <c r="T342" s="900">
        <f t="shared" si="14"/>
        <v>0</v>
      </c>
    </row>
    <row r="343" spans="1:33" s="893" customFormat="1" ht="13.2">
      <c r="A343">
        <v>2</v>
      </c>
      <c r="B343" s="893" t="s">
        <v>141</v>
      </c>
      <c r="D343" s="893" t="s">
        <v>751</v>
      </c>
      <c r="G343" s="894" t="s">
        <v>752</v>
      </c>
      <c r="H343" s="895">
        <v>620</v>
      </c>
      <c r="I343" s="893" t="s">
        <v>671</v>
      </c>
      <c r="O343" s="896">
        <v>2</v>
      </c>
      <c r="P343" s="897">
        <v>35431</v>
      </c>
      <c r="Q343" s="898">
        <v>7.66</v>
      </c>
      <c r="R343" s="899">
        <f t="shared" si="13"/>
        <v>15.32</v>
      </c>
      <c r="S343" s="898">
        <v>0.4</v>
      </c>
      <c r="T343" s="900">
        <f t="shared" si="14"/>
        <v>0.8</v>
      </c>
    </row>
    <row r="344" spans="1:33" s="893" customFormat="1" ht="13.2">
      <c r="A344">
        <v>2</v>
      </c>
      <c r="B344" s="893" t="s">
        <v>296</v>
      </c>
      <c r="D344" s="893" t="s">
        <v>672</v>
      </c>
      <c r="G344" s="894" t="s">
        <v>673</v>
      </c>
      <c r="H344" s="895">
        <v>620</v>
      </c>
      <c r="I344" s="893" t="s">
        <v>643</v>
      </c>
      <c r="O344" s="896">
        <v>2</v>
      </c>
      <c r="P344" s="897">
        <v>38148</v>
      </c>
      <c r="Q344" s="898">
        <v>1.5</v>
      </c>
      <c r="R344" s="899">
        <f t="shared" si="13"/>
        <v>3</v>
      </c>
      <c r="S344" s="898">
        <v>0.08</v>
      </c>
      <c r="T344" s="900">
        <f t="shared" si="14"/>
        <v>0.16</v>
      </c>
    </row>
    <row r="345" spans="1:33" s="893" customFormat="1" ht="13.2">
      <c r="A345">
        <v>10</v>
      </c>
      <c r="B345" s="893" t="s">
        <v>141</v>
      </c>
      <c r="D345" s="893" t="s">
        <v>753</v>
      </c>
      <c r="G345" s="894" t="s">
        <v>754</v>
      </c>
      <c r="H345" s="895">
        <v>620</v>
      </c>
      <c r="I345" s="893" t="s">
        <v>676</v>
      </c>
      <c r="O345" s="896">
        <v>2</v>
      </c>
      <c r="P345" s="897">
        <v>34669</v>
      </c>
      <c r="Q345" s="898">
        <v>0.14000000000000001</v>
      </c>
      <c r="R345" s="899">
        <f t="shared" si="13"/>
        <v>1.4000000000000001</v>
      </c>
      <c r="S345" s="898">
        <v>0.06</v>
      </c>
      <c r="T345" s="900">
        <f t="shared" si="14"/>
        <v>0.6</v>
      </c>
    </row>
    <row r="346" spans="1:33" s="893" customFormat="1" ht="13.2">
      <c r="A346">
        <v>1</v>
      </c>
      <c r="B346" s="893" t="s">
        <v>141</v>
      </c>
      <c r="D346" s="893" t="s">
        <v>658</v>
      </c>
      <c r="F346" s="893" t="s">
        <v>748</v>
      </c>
      <c r="G346" s="894" t="s">
        <v>659</v>
      </c>
      <c r="H346" s="895">
        <v>900</v>
      </c>
      <c r="I346" s="893" t="s">
        <v>660</v>
      </c>
      <c r="O346" s="896">
        <v>1</v>
      </c>
      <c r="P346" s="897"/>
      <c r="Q346" s="898"/>
      <c r="R346" s="899">
        <f>$A346*Q346</f>
        <v>0</v>
      </c>
      <c r="S346" s="898">
        <v>0.5</v>
      </c>
      <c r="T346" s="900">
        <f>$A346*S346*$T$1</f>
        <v>0.5</v>
      </c>
    </row>
    <row r="347" spans="1:33" s="893" customFormat="1" ht="13.2">
      <c r="A347">
        <v>1</v>
      </c>
      <c r="B347" s="893" t="s">
        <v>141</v>
      </c>
      <c r="D347" s="893" t="s">
        <v>658</v>
      </c>
      <c r="F347" s="893" t="s">
        <v>757</v>
      </c>
      <c r="G347" s="894" t="s">
        <v>659</v>
      </c>
      <c r="H347" s="895">
        <v>900</v>
      </c>
      <c r="I347" s="893" t="s">
        <v>660</v>
      </c>
      <c r="O347" s="896">
        <v>1</v>
      </c>
      <c r="P347" s="897"/>
      <c r="Q347" s="898"/>
      <c r="R347" s="899">
        <f>$A347*Q347</f>
        <v>0</v>
      </c>
      <c r="S347" s="898">
        <v>0.25</v>
      </c>
      <c r="T347" s="900">
        <f>$A347*S347*$T$1</f>
        <v>0.25</v>
      </c>
    </row>
    <row r="348" spans="1:33" s="501" customFormat="1" ht="14.4" customHeight="1">
      <c r="A348" s="767"/>
      <c r="B348" s="567"/>
      <c r="C348" s="567"/>
      <c r="D348" s="567"/>
      <c r="E348" s="567"/>
      <c r="F348" s="567"/>
      <c r="G348" s="567"/>
      <c r="H348" s="764"/>
      <c r="I348" s="567"/>
      <c r="J348" s="45"/>
      <c r="K348" s="769"/>
      <c r="L348" s="770"/>
      <c r="M348" s="567"/>
      <c r="N348" s="567"/>
      <c r="O348" s="45"/>
      <c r="P348" s="567"/>
      <c r="Q348" s="567"/>
      <c r="R348" s="771">
        <f>$A348*Q348</f>
        <v>0</v>
      </c>
      <c r="S348" s="567"/>
      <c r="T348" s="500">
        <f>$A348*S348*$T$1</f>
        <v>0</v>
      </c>
    </row>
    <row r="349" spans="1:33" s="501" customFormat="1" ht="12">
      <c r="A349" s="772" t="s">
        <v>145</v>
      </c>
      <c r="B349" s="773">
        <f>(R348+T348)</f>
        <v>0</v>
      </c>
      <c r="C349" s="753"/>
      <c r="G349" s="774"/>
      <c r="H349" s="774"/>
      <c r="I349" s="774"/>
      <c r="J349" s="774"/>
      <c r="K349" s="750" t="s">
        <v>3</v>
      </c>
      <c r="L349" s="775" t="s">
        <v>573</v>
      </c>
      <c r="M349" s="774"/>
      <c r="N349" s="774"/>
      <c r="O349" s="774"/>
      <c r="P349" s="774"/>
      <c r="Q349" s="776"/>
      <c r="R349" s="777">
        <f>SUM(R339:R348)</f>
        <v>51.219999999999992</v>
      </c>
      <c r="S349" s="778"/>
      <c r="T349" s="777">
        <f>SUM(T339:T348)</f>
        <v>2.61</v>
      </c>
      <c r="AG349" s="779">
        <f>ROUND($R349*$S$2,2)</f>
        <v>69.150000000000006</v>
      </c>
    </row>
    <row r="350" spans="1:33" s="501" customFormat="1" ht="12" customHeight="1">
      <c r="A350" s="760"/>
      <c r="B350" s="780"/>
      <c r="C350" s="781"/>
      <c r="D350" s="782" t="str">
        <f>$F$3</f>
        <v>Technician</v>
      </c>
      <c r="E350" s="782">
        <f>ROUND(($R354*$S$3 + ($T354*$T$3)), 2)</f>
        <v>0</v>
      </c>
      <c r="F350" s="783">
        <f>$E350*$C$12</f>
        <v>0</v>
      </c>
      <c r="G350" s="499"/>
      <c r="H350" s="499"/>
      <c r="I350" s="499"/>
      <c r="J350" s="499"/>
      <c r="K350" s="765" t="s">
        <v>5</v>
      </c>
      <c r="L350" s="766" t="s">
        <v>573</v>
      </c>
      <c r="M350" s="499"/>
      <c r="N350" s="499"/>
      <c r="O350" s="499"/>
      <c r="P350" s="499"/>
      <c r="Q350" s="499"/>
      <c r="R350" s="784"/>
      <c r="S350" s="499"/>
      <c r="T350" s="784"/>
    </row>
    <row r="351" spans="1:33" s="797" customFormat="1" ht="15.6" customHeight="1">
      <c r="A351" s="785"/>
      <c r="B351" s="768" t="s">
        <v>575</v>
      </c>
      <c r="C351" s="786"/>
      <c r="D351" s="787"/>
      <c r="E351" s="787"/>
      <c r="F351" s="787"/>
      <c r="G351" s="788"/>
      <c r="H351" s="789"/>
      <c r="I351" s="789"/>
      <c r="J351" s="790"/>
      <c r="K351" s="791"/>
      <c r="L351" s="786"/>
      <c r="M351" s="792"/>
      <c r="N351" s="793"/>
      <c r="O351" s="794"/>
      <c r="P351" s="795"/>
      <c r="Q351" s="796"/>
      <c r="R351" s="771">
        <f>$A351*Q351</f>
        <v>0</v>
      </c>
      <c r="S351" s="567"/>
      <c r="T351" s="500">
        <f>$A351*S351*$T$1</f>
        <v>0</v>
      </c>
    </row>
    <row r="352" spans="1:33" s="501" customFormat="1" ht="15.6" customHeight="1">
      <c r="A352" s="767"/>
      <c r="B352" s="567"/>
      <c r="C352" s="567"/>
      <c r="D352" s="567"/>
      <c r="E352" s="567"/>
      <c r="F352" s="567"/>
      <c r="G352" s="567"/>
      <c r="H352" s="567"/>
      <c r="I352" s="567"/>
      <c r="J352" s="567"/>
      <c r="K352" s="567"/>
      <c r="L352" s="770"/>
      <c r="M352" s="567"/>
      <c r="N352" s="567"/>
      <c r="O352" s="567"/>
      <c r="P352" s="567"/>
      <c r="Q352" s="567"/>
      <c r="R352" s="771">
        <f>$A352*Q352</f>
        <v>0</v>
      </c>
      <c r="S352" s="567"/>
      <c r="T352" s="500">
        <f>$A352*S352*$T$1</f>
        <v>0</v>
      </c>
    </row>
    <row r="353" spans="1:41" s="501" customFormat="1" ht="15.6" customHeight="1">
      <c r="A353" s="767"/>
      <c r="B353" s="567"/>
      <c r="C353" s="567"/>
      <c r="D353" s="3"/>
      <c r="E353" s="567"/>
      <c r="F353" s="567"/>
      <c r="G353" s="567"/>
      <c r="H353" s="567"/>
      <c r="I353" s="567"/>
      <c r="J353" s="567"/>
      <c r="K353" s="567"/>
      <c r="L353" s="770"/>
      <c r="M353" s="567"/>
      <c r="N353" s="567"/>
      <c r="O353" s="567"/>
      <c r="P353" s="567"/>
      <c r="Q353" s="567"/>
      <c r="R353" s="771">
        <f>$A353*Q353</f>
        <v>0</v>
      </c>
      <c r="S353" s="567"/>
      <c r="T353" s="500">
        <f>$A353*S353*$T$1</f>
        <v>0</v>
      </c>
    </row>
    <row r="354" spans="1:41" s="501" customFormat="1" ht="12">
      <c r="A354" s="772" t="s">
        <v>145</v>
      </c>
      <c r="B354" s="773">
        <f>(R353+T353)</f>
        <v>0</v>
      </c>
      <c r="C354" s="753"/>
      <c r="G354" s="774"/>
      <c r="H354" s="774"/>
      <c r="I354" s="774"/>
      <c r="J354" s="774"/>
      <c r="K354" s="798" t="s">
        <v>5</v>
      </c>
      <c r="L354" s="775" t="s">
        <v>573</v>
      </c>
      <c r="M354" s="774"/>
      <c r="N354" s="774"/>
      <c r="O354" s="774"/>
      <c r="P354" s="774"/>
      <c r="Q354" s="776"/>
      <c r="R354" s="777">
        <f>SUM(R350:R353)</f>
        <v>0</v>
      </c>
      <c r="S354" s="778"/>
      <c r="T354" s="777">
        <f>SUM(T350:T353)</f>
        <v>0</v>
      </c>
      <c r="AG354" s="799">
        <f>ROUND($R354*$S$3,2)</f>
        <v>0</v>
      </c>
    </row>
    <row r="355" spans="1:41" s="501" customFormat="1" ht="12" customHeight="1">
      <c r="A355" s="800"/>
      <c r="B355" s="801"/>
      <c r="C355" s="802"/>
      <c r="D355" s="803" t="str">
        <f>$F$4</f>
        <v>Engineer (Man Hours)</v>
      </c>
      <c r="E355" s="803">
        <f>ROUND(($R359*$S$4 + ($T359*$T$4)), 2)</f>
        <v>0</v>
      </c>
      <c r="F355" s="804">
        <f ca="1">$F336-SUMIF($L338:$P352,"SUBI",$F338:$F352)</f>
        <v>0</v>
      </c>
      <c r="G355" s="499"/>
      <c r="H355" s="499"/>
      <c r="I355" s="499"/>
      <c r="J355" s="499"/>
      <c r="K355" s="805" t="s">
        <v>8</v>
      </c>
      <c r="L355" s="766" t="s">
        <v>573</v>
      </c>
      <c r="M355" s="499"/>
      <c r="N355" s="499"/>
      <c r="O355" s="499"/>
      <c r="P355" s="499"/>
      <c r="Q355" s="499"/>
      <c r="R355" s="784"/>
      <c r="S355" s="499"/>
      <c r="T355" s="784"/>
    </row>
    <row r="356" spans="1:41" s="797" customFormat="1" ht="14.4" customHeight="1">
      <c r="A356" s="785"/>
      <c r="B356" s="768" t="s">
        <v>576</v>
      </c>
      <c r="C356" s="786"/>
      <c r="D356" s="787"/>
      <c r="E356" s="787"/>
      <c r="F356" s="787"/>
      <c r="G356" s="788"/>
      <c r="H356" s="789"/>
      <c r="I356" s="789"/>
      <c r="J356" s="790"/>
      <c r="K356" s="791"/>
      <c r="L356" s="786"/>
      <c r="M356" s="792"/>
      <c r="N356" s="793"/>
      <c r="O356" s="806"/>
      <c r="P356" s="795"/>
      <c r="Q356" s="796"/>
      <c r="R356" s="720">
        <f>$A356*Q356</f>
        <v>0</v>
      </c>
      <c r="S356" s="796"/>
      <c r="T356" s="500">
        <f>$A356*S356*$T$1</f>
        <v>0</v>
      </c>
    </row>
    <row r="357" spans="1:41" s="501" customFormat="1" ht="12">
      <c r="A357" s="44"/>
      <c r="B357" s="497"/>
      <c r="C357" s="497"/>
      <c r="D357" s="807"/>
      <c r="E357" s="808"/>
      <c r="F357" s="499"/>
      <c r="G357" s="499"/>
      <c r="H357" s="499"/>
      <c r="I357" s="499"/>
      <c r="J357" s="499"/>
      <c r="K357" s="499"/>
      <c r="L357" s="809"/>
      <c r="M357" s="499"/>
      <c r="N357" s="499"/>
      <c r="O357" s="499"/>
      <c r="P357" s="499"/>
      <c r="Q357" s="499"/>
      <c r="R357" s="720">
        <f>$A357*Q357</f>
        <v>0</v>
      </c>
      <c r="S357" s="499"/>
      <c r="T357" s="500">
        <f>$A357*S357*$T$1</f>
        <v>0</v>
      </c>
    </row>
    <row r="358" spans="1:41" s="501" customFormat="1" ht="12">
      <c r="A358" s="44"/>
      <c r="B358" s="497"/>
      <c r="C358" s="497"/>
      <c r="D358" s="807"/>
      <c r="E358" s="808"/>
      <c r="F358" s="499"/>
      <c r="G358" s="499"/>
      <c r="H358" s="499"/>
      <c r="I358" s="499"/>
      <c r="J358" s="499"/>
      <c r="K358" s="499"/>
      <c r="L358" s="809"/>
      <c r="M358" s="499"/>
      <c r="N358" s="499"/>
      <c r="O358" s="499"/>
      <c r="P358" s="499"/>
      <c r="Q358" s="499"/>
      <c r="R358" s="720">
        <f>$A358*Q358</f>
        <v>0</v>
      </c>
      <c r="S358" s="499"/>
      <c r="T358" s="500">
        <f>$A358*S358*$T$1</f>
        <v>0</v>
      </c>
    </row>
    <row r="359" spans="1:41" s="501" customFormat="1" ht="12.75" customHeight="1">
      <c r="A359" s="772" t="s">
        <v>145</v>
      </c>
      <c r="B359" s="773">
        <f>(R358+T358)</f>
        <v>0</v>
      </c>
      <c r="C359" s="810"/>
      <c r="D359" s="810"/>
      <c r="E359" s="810"/>
      <c r="F359" s="810"/>
      <c r="G359" s="776"/>
      <c r="H359" s="776"/>
      <c r="I359" s="776"/>
      <c r="J359" s="776"/>
      <c r="K359" s="798" t="s">
        <v>8</v>
      </c>
      <c r="L359" s="811" t="s">
        <v>573</v>
      </c>
      <c r="M359" s="776"/>
      <c r="N359" s="776"/>
      <c r="O359" s="776"/>
      <c r="P359" s="776"/>
      <c r="Q359" s="776"/>
      <c r="R359" s="777">
        <f>SUM(R355:R358)</f>
        <v>0</v>
      </c>
      <c r="S359" s="778"/>
      <c r="T359" s="777">
        <f>SUM(T355:T358)</f>
        <v>0</v>
      </c>
      <c r="AG359" s="812">
        <f>ROUND($R359*$S$4,2)</f>
        <v>0</v>
      </c>
    </row>
    <row r="360" spans="1:41" s="501" customFormat="1" ht="12.75" customHeight="1">
      <c r="A360" s="813"/>
      <c r="B360" s="814"/>
      <c r="E360" s="497"/>
      <c r="F360" s="808"/>
      <c r="G360" s="497"/>
      <c r="H360" s="497"/>
      <c r="I360" s="499"/>
      <c r="J360" s="497"/>
      <c r="K360" s="497"/>
      <c r="L360" s="815"/>
      <c r="M360" s="725"/>
      <c r="N360" s="725"/>
      <c r="O360" s="725"/>
      <c r="P360" s="725"/>
      <c r="Q360" s="726"/>
      <c r="R360" s="784"/>
      <c r="S360" s="497"/>
      <c r="T360" s="784"/>
    </row>
    <row r="361" spans="1:41" s="501" customFormat="1" ht="13.5" customHeight="1" thickBot="1">
      <c r="A361" s="816"/>
      <c r="B361" s="817"/>
      <c r="C361" s="518"/>
      <c r="D361" s="518"/>
      <c r="E361" s="515"/>
      <c r="F361" s="721"/>
      <c r="G361" s="515" t="s">
        <v>146</v>
      </c>
      <c r="H361" s="515"/>
      <c r="I361" s="516"/>
      <c r="J361" s="515"/>
      <c r="K361" s="515"/>
      <c r="L361" s="818" t="s">
        <v>143</v>
      </c>
      <c r="M361" s="517"/>
      <c r="N361" s="517"/>
      <c r="O361" s="517"/>
      <c r="P361" s="517"/>
      <c r="Q361" s="722"/>
      <c r="R361" s="819">
        <f>SUMIF($L337:$L360,"SUBI",R337:R360)</f>
        <v>51.219999999999992</v>
      </c>
      <c r="S361" s="820"/>
      <c r="T361" s="819">
        <f>SUMIF($L337:$L360,"SUBI",T337:T360)</f>
        <v>2.61</v>
      </c>
      <c r="U361" s="518"/>
      <c r="V361" s="518"/>
      <c r="W361" s="518"/>
      <c r="X361" s="518"/>
      <c r="Y361" s="518"/>
      <c r="Z361" s="518"/>
      <c r="AA361" s="518"/>
      <c r="AB361" s="518"/>
      <c r="AC361" s="518"/>
      <c r="AD361" s="518"/>
      <c r="AE361" s="518"/>
      <c r="AF361" s="518"/>
      <c r="AG361" s="518"/>
      <c r="AH361" s="518"/>
      <c r="AI361" s="518"/>
      <c r="AJ361" s="518"/>
      <c r="AK361" s="518"/>
      <c r="AL361" s="518"/>
      <c r="AM361" s="518"/>
      <c r="AN361" s="518"/>
      <c r="AO361" s="518"/>
    </row>
    <row r="362" spans="1:41" s="501" customFormat="1" thickTop="1">
      <c r="A362" s="44"/>
      <c r="B362" s="39"/>
      <c r="C362" s="44"/>
      <c r="E362" s="40" t="s">
        <v>138</v>
      </c>
      <c r="F362" s="40" t="s">
        <v>139</v>
      </c>
      <c r="G362" s="44"/>
      <c r="H362" s="44"/>
      <c r="I362" s="44"/>
      <c r="J362" s="44"/>
      <c r="K362" s="44" t="s">
        <v>140</v>
      </c>
      <c r="L362" s="737"/>
      <c r="M362" s="44"/>
      <c r="N362" s="44"/>
      <c r="O362" s="45"/>
      <c r="P362" s="44"/>
      <c r="Q362"/>
      <c r="R362"/>
      <c r="S362"/>
      <c r="T362" s="39"/>
      <c r="AG362" s="502" t="s">
        <v>247</v>
      </c>
      <c r="AH362" s="502" t="s">
        <v>248</v>
      </c>
      <c r="AI362" s="502" t="s">
        <v>249</v>
      </c>
      <c r="AJ362" s="502" t="s">
        <v>250</v>
      </c>
      <c r="AK362" s="502" t="s">
        <v>251</v>
      </c>
      <c r="AM362" s="710" t="s">
        <v>260</v>
      </c>
      <c r="AN362" s="711" t="s">
        <v>261</v>
      </c>
      <c r="AO362" s="503" t="s">
        <v>257</v>
      </c>
    </row>
    <row r="363" spans="1:41" s="501" customFormat="1" ht="13.2">
      <c r="A363" s="712">
        <v>1</v>
      </c>
      <c r="B363" s="504" t="s">
        <v>283</v>
      </c>
      <c r="C363" s="505"/>
      <c r="D363" s="713" t="s">
        <v>586</v>
      </c>
      <c r="E363" s="738">
        <f>IF(AND($A363=0,$A$1="DIF"),0,ROUND(ROUND(SUMIF($L365:$L382,"SUBI",$E365:$E382)/$A363,2)*$C$12,2))</f>
        <v>165.9</v>
      </c>
      <c r="F363" s="739">
        <f>ROUND($A363*$E363,2)</f>
        <v>165.9</v>
      </c>
      <c r="G363" s="506" t="s">
        <v>142</v>
      </c>
      <c r="H363" s="498"/>
      <c r="I363" s="716"/>
      <c r="J363" s="498"/>
      <c r="K363" s="740"/>
      <c r="L363" s="741" t="s">
        <v>143</v>
      </c>
      <c r="M363" s="717"/>
      <c r="N363" s="717"/>
      <c r="O363" s="717"/>
      <c r="P363" s="717"/>
      <c r="Q363" s="943" t="s">
        <v>855</v>
      </c>
      <c r="R363" s="943" t="s">
        <v>871</v>
      </c>
      <c r="S363"/>
      <c r="T363" s="742" t="str">
        <f>IF(AND($R388=0,$T388=0),"0.00","mu :" &amp; ROUND($F363/$C$12/($R388+$T388*$D$9),2))</f>
        <v>mu :1.35</v>
      </c>
      <c r="W363" s="507"/>
      <c r="AG363" s="743">
        <f>IF(A363=0,0,ROUND(SUM(AG365:AG388)/A363,2))</f>
        <v>69.150000000000006</v>
      </c>
      <c r="AH363" s="743">
        <f>$AG363*$A363</f>
        <v>69.150000000000006</v>
      </c>
      <c r="AI363" s="743">
        <f>$E363-$AG363</f>
        <v>96.75</v>
      </c>
      <c r="AJ363" s="743">
        <f>$A363*$AI363</f>
        <v>96.75</v>
      </c>
      <c r="AK363" s="744">
        <f>ROUND(($AG363+$AI363)*$A363,2)</f>
        <v>165.9</v>
      </c>
      <c r="AM363" s="510">
        <f>ROUND(R388,2)</f>
        <v>51.22</v>
      </c>
      <c r="AN363" s="511">
        <f>ROUND(T388,2)</f>
        <v>2.61</v>
      </c>
      <c r="AO363" s="512">
        <f>ROUND(AM363+AN363,2)*A363</f>
        <v>53.83</v>
      </c>
    </row>
    <row r="364" spans="1:41" s="501" customFormat="1" ht="21.6" customHeight="1">
      <c r="A364" s="745"/>
      <c r="B364" s="746"/>
      <c r="C364" s="505"/>
      <c r="D364" s="724" t="s">
        <v>454</v>
      </c>
      <c r="F364" s="498"/>
      <c r="G364" s="498"/>
      <c r="H364" s="498"/>
      <c r="I364" s="716"/>
      <c r="J364" s="498"/>
      <c r="K364" s="498" t="s">
        <v>144</v>
      </c>
      <c r="L364" s="747"/>
      <c r="M364" s="498"/>
      <c r="N364" s="498"/>
      <c r="O364" s="498"/>
      <c r="P364" s="498"/>
      <c r="Q364" s="44"/>
      <c r="R364" s="567"/>
      <c r="S364" s="719"/>
      <c r="T364" s="498"/>
    </row>
    <row r="365" spans="1:41" s="501" customFormat="1" ht="12">
      <c r="A365" s="748"/>
      <c r="B365" s="749"/>
      <c r="C365" s="497"/>
      <c r="D365" s="750"/>
      <c r="E365" s="751">
        <f>F363/$C$12-SUMIF($L362:$L388,"SUBI",$E362:$E388)</f>
        <v>0</v>
      </c>
      <c r="F365" s="752" t="s">
        <v>572</v>
      </c>
      <c r="G365" s="753"/>
      <c r="H365" s="753"/>
      <c r="I365" s="754"/>
      <c r="J365" s="753"/>
      <c r="K365" s="753"/>
      <c r="L365" s="755"/>
      <c r="M365" s="756"/>
      <c r="N365" s="756"/>
      <c r="O365" s="756"/>
      <c r="P365" s="756"/>
      <c r="Q365" s="757"/>
      <c r="R365" s="758"/>
      <c r="S365" s="757"/>
      <c r="T365" s="759"/>
    </row>
    <row r="366" spans="1:41" s="501" customFormat="1" ht="12" customHeight="1">
      <c r="A366" s="760"/>
      <c r="B366" s="761"/>
      <c r="C366" s="762"/>
      <c r="D366" s="762" t="str">
        <f>$F$2</f>
        <v>Electrical</v>
      </c>
      <c r="E366" s="762">
        <f>ROUND(($R376*$S$2 + ($T376*$T$2)), 2)</f>
        <v>165.9</v>
      </c>
      <c r="F366" s="763">
        <f>$E366*$C$12</f>
        <v>165.9</v>
      </c>
      <c r="G366" s="567"/>
      <c r="H366" s="764"/>
      <c r="I366" s="567"/>
      <c r="J366" s="45"/>
      <c r="K366" s="765" t="s">
        <v>3</v>
      </c>
      <c r="L366" s="766" t="s">
        <v>573</v>
      </c>
      <c r="M366" s="567"/>
      <c r="N366" s="567"/>
      <c r="O366" s="45"/>
      <c r="P366" s="567"/>
      <c r="Q366" s="567"/>
      <c r="R366"/>
      <c r="S366"/>
      <c r="T366"/>
    </row>
    <row r="367" spans="1:41" s="893" customFormat="1" ht="13.2">
      <c r="A367"/>
      <c r="D367" s="944" t="s">
        <v>755</v>
      </c>
      <c r="G367" s="894" t="s">
        <v>749</v>
      </c>
      <c r="H367" s="895">
        <v>616</v>
      </c>
      <c r="I367" s="893" t="s">
        <v>656</v>
      </c>
      <c r="J367" s="893" t="s">
        <v>750</v>
      </c>
      <c r="O367" s="896">
        <v>2</v>
      </c>
      <c r="P367" s="897">
        <v>40767</v>
      </c>
      <c r="Q367" s="898"/>
      <c r="R367" s="899">
        <f t="shared" ref="R367:R372" si="15">$A367*Q367</f>
        <v>0</v>
      </c>
      <c r="S367" s="898"/>
      <c r="T367" s="900">
        <f t="shared" ref="T367:T372" si="16">$A367*S367*$T$1</f>
        <v>0</v>
      </c>
    </row>
    <row r="368" spans="1:41" s="893" customFormat="1" ht="13.2">
      <c r="A368">
        <v>3</v>
      </c>
      <c r="B368" s="893" t="s">
        <v>296</v>
      </c>
      <c r="D368" s="893" t="s">
        <v>1084</v>
      </c>
      <c r="F368" s="893" t="s">
        <v>756</v>
      </c>
      <c r="G368" s="894" t="s">
        <v>749</v>
      </c>
      <c r="H368" s="895">
        <v>616</v>
      </c>
      <c r="I368" s="893" t="s">
        <v>656</v>
      </c>
      <c r="J368" s="893" t="s">
        <v>750</v>
      </c>
      <c r="O368" s="896">
        <v>2</v>
      </c>
      <c r="P368" s="897">
        <v>40767</v>
      </c>
      <c r="Q368" s="898">
        <v>10.45</v>
      </c>
      <c r="R368" s="899">
        <f t="shared" si="15"/>
        <v>31.349999999999998</v>
      </c>
      <c r="S368" s="898">
        <v>0.1</v>
      </c>
      <c r="T368" s="900">
        <f t="shared" si="16"/>
        <v>0.30000000000000004</v>
      </c>
    </row>
    <row r="369" spans="1:33" s="893" customFormat="1" ht="13.2">
      <c r="A369" s="87">
        <v>3</v>
      </c>
      <c r="B369" s="893" t="s">
        <v>141</v>
      </c>
      <c r="D369" s="893" t="s">
        <v>743</v>
      </c>
      <c r="G369" s="894" t="s">
        <v>744</v>
      </c>
      <c r="H369" s="895">
        <v>875</v>
      </c>
      <c r="I369" s="893" t="s">
        <v>643</v>
      </c>
      <c r="K369" s="893" t="s">
        <v>745</v>
      </c>
      <c r="O369" s="896">
        <v>1</v>
      </c>
      <c r="P369" s="897">
        <v>34669</v>
      </c>
      <c r="Q369" s="898">
        <v>0.05</v>
      </c>
      <c r="R369" s="899">
        <f t="shared" si="15"/>
        <v>0.15000000000000002</v>
      </c>
      <c r="S369" s="898"/>
      <c r="T369" s="900">
        <f t="shared" si="16"/>
        <v>0</v>
      </c>
    </row>
    <row r="370" spans="1:33" s="893" customFormat="1" ht="13.2">
      <c r="A370">
        <v>2</v>
      </c>
      <c r="B370" s="893" t="s">
        <v>141</v>
      </c>
      <c r="D370" s="893" t="s">
        <v>751</v>
      </c>
      <c r="G370" s="894" t="s">
        <v>752</v>
      </c>
      <c r="H370" s="895">
        <v>620</v>
      </c>
      <c r="I370" s="893" t="s">
        <v>671</v>
      </c>
      <c r="O370" s="896">
        <v>2</v>
      </c>
      <c r="P370" s="897">
        <v>35431</v>
      </c>
      <c r="Q370" s="898">
        <v>7.66</v>
      </c>
      <c r="R370" s="899">
        <f t="shared" si="15"/>
        <v>15.32</v>
      </c>
      <c r="S370" s="898">
        <v>0.4</v>
      </c>
      <c r="T370" s="900">
        <f t="shared" si="16"/>
        <v>0.8</v>
      </c>
    </row>
    <row r="371" spans="1:33" s="893" customFormat="1" ht="13.2">
      <c r="A371">
        <v>2</v>
      </c>
      <c r="B371" s="893" t="s">
        <v>296</v>
      </c>
      <c r="D371" s="893" t="s">
        <v>672</v>
      </c>
      <c r="G371" s="894" t="s">
        <v>673</v>
      </c>
      <c r="H371" s="895">
        <v>620</v>
      </c>
      <c r="I371" s="893" t="s">
        <v>643</v>
      </c>
      <c r="O371" s="896">
        <v>2</v>
      </c>
      <c r="P371" s="897">
        <v>38148</v>
      </c>
      <c r="Q371" s="898">
        <v>1.5</v>
      </c>
      <c r="R371" s="899">
        <f t="shared" si="15"/>
        <v>3</v>
      </c>
      <c r="S371" s="898">
        <v>0.08</v>
      </c>
      <c r="T371" s="900">
        <f t="shared" si="16"/>
        <v>0.16</v>
      </c>
    </row>
    <row r="372" spans="1:33" s="893" customFormat="1" ht="13.2">
      <c r="A372">
        <v>10</v>
      </c>
      <c r="B372" s="893" t="s">
        <v>141</v>
      </c>
      <c r="D372" s="893" t="s">
        <v>753</v>
      </c>
      <c r="G372" s="894" t="s">
        <v>754</v>
      </c>
      <c r="H372" s="895">
        <v>620</v>
      </c>
      <c r="I372" s="893" t="s">
        <v>676</v>
      </c>
      <c r="O372" s="896">
        <v>2</v>
      </c>
      <c r="P372" s="897">
        <v>34669</v>
      </c>
      <c r="Q372" s="898">
        <v>0.14000000000000001</v>
      </c>
      <c r="R372" s="899">
        <f t="shared" si="15"/>
        <v>1.4000000000000001</v>
      </c>
      <c r="S372" s="898">
        <v>0.06</v>
      </c>
      <c r="T372" s="900">
        <f t="shared" si="16"/>
        <v>0.6</v>
      </c>
    </row>
    <row r="373" spans="1:33" s="893" customFormat="1" ht="13.2">
      <c r="A373">
        <v>1</v>
      </c>
      <c r="B373" s="893" t="s">
        <v>141</v>
      </c>
      <c r="D373" s="893" t="s">
        <v>658</v>
      </c>
      <c r="F373" s="893" t="s">
        <v>748</v>
      </c>
      <c r="G373" s="894" t="s">
        <v>659</v>
      </c>
      <c r="H373" s="895">
        <v>900</v>
      </c>
      <c r="I373" s="893" t="s">
        <v>660</v>
      </c>
      <c r="O373" s="896">
        <v>1</v>
      </c>
      <c r="P373" s="897"/>
      <c r="Q373" s="898"/>
      <c r="R373" s="899">
        <f>$A373*Q373</f>
        <v>0</v>
      </c>
      <c r="S373" s="898">
        <v>0.5</v>
      </c>
      <c r="T373" s="900">
        <f>$A373*S373*$T$1</f>
        <v>0.5</v>
      </c>
    </row>
    <row r="374" spans="1:33" s="893" customFormat="1" ht="13.2">
      <c r="A374">
        <v>1</v>
      </c>
      <c r="B374" s="893" t="s">
        <v>141</v>
      </c>
      <c r="D374" s="893" t="s">
        <v>658</v>
      </c>
      <c r="F374" s="893" t="s">
        <v>757</v>
      </c>
      <c r="G374" s="894" t="s">
        <v>659</v>
      </c>
      <c r="H374" s="895">
        <v>900</v>
      </c>
      <c r="I374" s="893" t="s">
        <v>660</v>
      </c>
      <c r="O374" s="896">
        <v>1</v>
      </c>
      <c r="P374" s="897"/>
      <c r="Q374" s="898"/>
      <c r="R374" s="899">
        <f>$A374*Q374</f>
        <v>0</v>
      </c>
      <c r="S374" s="898">
        <v>0.25</v>
      </c>
      <c r="T374" s="900">
        <f>$A374*S374*$T$1</f>
        <v>0.25</v>
      </c>
    </row>
    <row r="375" spans="1:33" s="501" customFormat="1" ht="14.4" customHeight="1">
      <c r="A375" s="767"/>
      <c r="B375" s="567"/>
      <c r="C375" s="567"/>
      <c r="D375" s="567"/>
      <c r="E375" s="567"/>
      <c r="F375" s="567"/>
      <c r="G375" s="567"/>
      <c r="H375" s="764"/>
      <c r="I375" s="567"/>
      <c r="J375" s="45"/>
      <c r="K375" s="769"/>
      <c r="L375" s="770"/>
      <c r="M375" s="567"/>
      <c r="N375" s="567"/>
      <c r="O375" s="45"/>
      <c r="P375" s="567"/>
      <c r="Q375" s="567"/>
      <c r="R375" s="771">
        <f>$A375*Q375</f>
        <v>0</v>
      </c>
      <c r="S375" s="567"/>
      <c r="T375" s="500">
        <f>$A375*S375*$T$1</f>
        <v>0</v>
      </c>
    </row>
    <row r="376" spans="1:33" s="501" customFormat="1" ht="12">
      <c r="A376" s="772" t="s">
        <v>145</v>
      </c>
      <c r="B376" s="773">
        <f>(R375+T375)</f>
        <v>0</v>
      </c>
      <c r="C376" s="753"/>
      <c r="G376" s="774"/>
      <c r="H376" s="774"/>
      <c r="I376" s="774"/>
      <c r="J376" s="774"/>
      <c r="K376" s="750" t="s">
        <v>3</v>
      </c>
      <c r="L376" s="775" t="s">
        <v>573</v>
      </c>
      <c r="M376" s="774"/>
      <c r="N376" s="774"/>
      <c r="O376" s="774"/>
      <c r="P376" s="774"/>
      <c r="Q376" s="776"/>
      <c r="R376" s="777">
        <f>SUM(R366:R375)</f>
        <v>51.219999999999992</v>
      </c>
      <c r="S376" s="778"/>
      <c r="T376" s="777">
        <f>SUM(T366:T375)</f>
        <v>2.61</v>
      </c>
      <c r="AG376" s="779">
        <f>ROUND($R376*$S$2,2)</f>
        <v>69.150000000000006</v>
      </c>
    </row>
    <row r="377" spans="1:33" s="501" customFormat="1" ht="12" customHeight="1">
      <c r="A377" s="760"/>
      <c r="B377" s="780"/>
      <c r="C377" s="781"/>
      <c r="D377" s="782" t="str">
        <f>$F$3</f>
        <v>Technician</v>
      </c>
      <c r="E377" s="782">
        <f>ROUND(($R381*$S$3 + ($T381*$T$3)), 2)</f>
        <v>0</v>
      </c>
      <c r="F377" s="783">
        <f>$E377*$C$12</f>
        <v>0</v>
      </c>
      <c r="G377" s="499"/>
      <c r="H377" s="499"/>
      <c r="I377" s="499"/>
      <c r="J377" s="499"/>
      <c r="K377" s="765" t="s">
        <v>5</v>
      </c>
      <c r="L377" s="766" t="s">
        <v>573</v>
      </c>
      <c r="M377" s="499"/>
      <c r="N377" s="499"/>
      <c r="O377" s="499"/>
      <c r="P377" s="499"/>
      <c r="Q377" s="499"/>
      <c r="R377" s="784"/>
      <c r="S377" s="499"/>
      <c r="T377" s="784"/>
    </row>
    <row r="378" spans="1:33" s="797" customFormat="1" ht="15.6" customHeight="1">
      <c r="A378" s="785"/>
      <c r="B378" s="768" t="s">
        <v>575</v>
      </c>
      <c r="C378" s="786"/>
      <c r="D378" s="787"/>
      <c r="E378" s="787"/>
      <c r="F378" s="787"/>
      <c r="G378" s="788"/>
      <c r="H378" s="789"/>
      <c r="I378" s="789"/>
      <c r="J378" s="790"/>
      <c r="K378" s="791"/>
      <c r="L378" s="786"/>
      <c r="M378" s="792"/>
      <c r="N378" s="793"/>
      <c r="O378" s="794"/>
      <c r="P378" s="795"/>
      <c r="Q378" s="796"/>
      <c r="R378" s="771">
        <f>$A378*Q378</f>
        <v>0</v>
      </c>
      <c r="S378" s="567"/>
      <c r="T378" s="500">
        <f>$A378*S378*$T$1</f>
        <v>0</v>
      </c>
    </row>
    <row r="379" spans="1:33" s="501" customFormat="1" ht="15.6" customHeight="1">
      <c r="A379" s="767"/>
      <c r="B379" s="567"/>
      <c r="C379" s="567"/>
      <c r="D379" s="567"/>
      <c r="E379" s="567"/>
      <c r="F379" s="567"/>
      <c r="G379" s="567"/>
      <c r="H379" s="567"/>
      <c r="I379" s="567"/>
      <c r="J379" s="567"/>
      <c r="K379" s="567"/>
      <c r="L379" s="770"/>
      <c r="M379" s="567"/>
      <c r="N379" s="567"/>
      <c r="O379" s="567"/>
      <c r="P379" s="567"/>
      <c r="Q379" s="567"/>
      <c r="R379" s="771">
        <f>$A379*Q379</f>
        <v>0</v>
      </c>
      <c r="S379" s="567"/>
      <c r="T379" s="500">
        <f>$A379*S379*$T$1</f>
        <v>0</v>
      </c>
    </row>
    <row r="380" spans="1:33" s="501" customFormat="1" ht="15.6" customHeight="1">
      <c r="A380" s="767"/>
      <c r="B380" s="567"/>
      <c r="C380" s="567"/>
      <c r="D380" s="3"/>
      <c r="E380" s="567"/>
      <c r="F380" s="567"/>
      <c r="G380" s="567"/>
      <c r="H380" s="567"/>
      <c r="I380" s="567"/>
      <c r="J380" s="567"/>
      <c r="K380" s="567"/>
      <c r="L380" s="770"/>
      <c r="M380" s="567"/>
      <c r="N380" s="567"/>
      <c r="O380" s="567"/>
      <c r="P380" s="567"/>
      <c r="Q380" s="567"/>
      <c r="R380" s="771">
        <f>$A380*Q380</f>
        <v>0</v>
      </c>
      <c r="S380" s="567"/>
      <c r="T380" s="500">
        <f>$A380*S380*$T$1</f>
        <v>0</v>
      </c>
    </row>
    <row r="381" spans="1:33" s="501" customFormat="1" ht="12">
      <c r="A381" s="772" t="s">
        <v>145</v>
      </c>
      <c r="B381" s="773">
        <f>(R380+T380)</f>
        <v>0</v>
      </c>
      <c r="C381" s="753"/>
      <c r="G381" s="774"/>
      <c r="H381" s="774"/>
      <c r="I381" s="774"/>
      <c r="J381" s="774"/>
      <c r="K381" s="798" t="s">
        <v>5</v>
      </c>
      <c r="L381" s="775" t="s">
        <v>573</v>
      </c>
      <c r="M381" s="774"/>
      <c r="N381" s="774"/>
      <c r="O381" s="774"/>
      <c r="P381" s="774"/>
      <c r="Q381" s="776"/>
      <c r="R381" s="777">
        <f>SUM(R377:R380)</f>
        <v>0</v>
      </c>
      <c r="S381" s="778"/>
      <c r="T381" s="777">
        <f>SUM(T377:T380)</f>
        <v>0</v>
      </c>
      <c r="AG381" s="799">
        <f>ROUND($R381*$S$3,2)</f>
        <v>0</v>
      </c>
    </row>
    <row r="382" spans="1:33" s="501" customFormat="1" ht="12" customHeight="1">
      <c r="A382" s="800"/>
      <c r="B382" s="801"/>
      <c r="C382" s="802"/>
      <c r="D382" s="803" t="str">
        <f>$F$4</f>
        <v>Engineer (Man Hours)</v>
      </c>
      <c r="E382" s="803">
        <f>ROUND(($R386*$S$4 + ($T386*$T$4)), 2)</f>
        <v>0</v>
      </c>
      <c r="F382" s="804">
        <f ca="1">$F363-SUMIF($L365:$P379,"SUBI",$F365:$F379)</f>
        <v>0</v>
      </c>
      <c r="G382" s="499"/>
      <c r="H382" s="499"/>
      <c r="I382" s="499"/>
      <c r="J382" s="499"/>
      <c r="K382" s="805" t="s">
        <v>8</v>
      </c>
      <c r="L382" s="766" t="s">
        <v>573</v>
      </c>
      <c r="M382" s="499"/>
      <c r="N382" s="499"/>
      <c r="O382" s="499"/>
      <c r="P382" s="499"/>
      <c r="Q382" s="499"/>
      <c r="R382" s="784"/>
      <c r="S382" s="499"/>
      <c r="T382" s="784"/>
    </row>
    <row r="383" spans="1:33" s="797" customFormat="1" ht="14.4" customHeight="1">
      <c r="A383" s="785"/>
      <c r="B383" s="768" t="s">
        <v>576</v>
      </c>
      <c r="C383" s="786"/>
      <c r="D383" s="787"/>
      <c r="E383" s="787"/>
      <c r="F383" s="787"/>
      <c r="G383" s="788"/>
      <c r="H383" s="789"/>
      <c r="I383" s="789"/>
      <c r="J383" s="790"/>
      <c r="K383" s="791"/>
      <c r="L383" s="786"/>
      <c r="M383" s="792"/>
      <c r="N383" s="793"/>
      <c r="O383" s="806"/>
      <c r="P383" s="795"/>
      <c r="Q383" s="796"/>
      <c r="R383" s="720">
        <f>$A383*Q383</f>
        <v>0</v>
      </c>
      <c r="S383" s="796"/>
      <c r="T383" s="500">
        <f>$A383*S383*$T$1</f>
        <v>0</v>
      </c>
    </row>
    <row r="384" spans="1:33" s="501" customFormat="1" ht="12">
      <c r="A384" s="44"/>
      <c r="B384" s="497"/>
      <c r="C384" s="497"/>
      <c r="D384" s="807"/>
      <c r="E384" s="808"/>
      <c r="F384" s="499"/>
      <c r="G384" s="499"/>
      <c r="H384" s="499"/>
      <c r="I384" s="499"/>
      <c r="J384" s="499"/>
      <c r="K384" s="499"/>
      <c r="L384" s="809"/>
      <c r="M384" s="499"/>
      <c r="N384" s="499"/>
      <c r="O384" s="499"/>
      <c r="P384" s="499"/>
      <c r="Q384" s="499"/>
      <c r="R384" s="720">
        <f>$A384*Q384</f>
        <v>0</v>
      </c>
      <c r="S384" s="499"/>
      <c r="T384" s="500">
        <f>$A384*S384*$T$1</f>
        <v>0</v>
      </c>
    </row>
    <row r="385" spans="1:41" s="501" customFormat="1" ht="12">
      <c r="A385" s="44"/>
      <c r="B385" s="497"/>
      <c r="C385" s="497"/>
      <c r="D385" s="807"/>
      <c r="E385" s="808"/>
      <c r="F385" s="499"/>
      <c r="G385" s="499"/>
      <c r="H385" s="499"/>
      <c r="I385" s="499"/>
      <c r="J385" s="499"/>
      <c r="K385" s="499"/>
      <c r="L385" s="809"/>
      <c r="M385" s="499"/>
      <c r="N385" s="499"/>
      <c r="O385" s="499"/>
      <c r="P385" s="499"/>
      <c r="Q385" s="499"/>
      <c r="R385" s="720">
        <f>$A385*Q385</f>
        <v>0</v>
      </c>
      <c r="S385" s="499"/>
      <c r="T385" s="500">
        <f>$A385*S385*$T$1</f>
        <v>0</v>
      </c>
    </row>
    <row r="386" spans="1:41" s="501" customFormat="1" ht="12.75" customHeight="1">
      <c r="A386" s="772" t="s">
        <v>145</v>
      </c>
      <c r="B386" s="773">
        <f>(R385+T385)</f>
        <v>0</v>
      </c>
      <c r="C386" s="810"/>
      <c r="D386" s="810"/>
      <c r="E386" s="810"/>
      <c r="F386" s="810"/>
      <c r="G386" s="776"/>
      <c r="H386" s="776"/>
      <c r="I386" s="776"/>
      <c r="J386" s="776"/>
      <c r="K386" s="798" t="s">
        <v>8</v>
      </c>
      <c r="L386" s="811" t="s">
        <v>573</v>
      </c>
      <c r="M386" s="776"/>
      <c r="N386" s="776"/>
      <c r="O386" s="776"/>
      <c r="P386" s="776"/>
      <c r="Q386" s="776"/>
      <c r="R386" s="777">
        <f>SUM(R382:R385)</f>
        <v>0</v>
      </c>
      <c r="S386" s="778"/>
      <c r="T386" s="777">
        <f>SUM(T382:T385)</f>
        <v>0</v>
      </c>
      <c r="AG386" s="812">
        <f>ROUND($R386*$S$4,2)</f>
        <v>0</v>
      </c>
    </row>
    <row r="387" spans="1:41" s="501" customFormat="1" ht="12.75" customHeight="1">
      <c r="A387" s="813"/>
      <c r="B387" s="814"/>
      <c r="E387" s="497"/>
      <c r="F387" s="808"/>
      <c r="G387" s="497"/>
      <c r="H387" s="497"/>
      <c r="I387" s="499"/>
      <c r="J387" s="497"/>
      <c r="K387" s="497"/>
      <c r="L387" s="815"/>
      <c r="M387" s="725"/>
      <c r="N387" s="725"/>
      <c r="O387" s="725"/>
      <c r="P387" s="725"/>
      <c r="Q387" s="726"/>
      <c r="R387" s="784"/>
      <c r="S387" s="497"/>
      <c r="T387" s="784"/>
    </row>
    <row r="388" spans="1:41" s="501" customFormat="1" ht="13.5" customHeight="1" thickBot="1">
      <c r="A388" s="816"/>
      <c r="B388" s="817"/>
      <c r="C388" s="518"/>
      <c r="D388" s="518"/>
      <c r="E388" s="515"/>
      <c r="F388" s="721"/>
      <c r="G388" s="515" t="s">
        <v>146</v>
      </c>
      <c r="H388" s="515"/>
      <c r="I388" s="516"/>
      <c r="J388" s="515"/>
      <c r="K388" s="515"/>
      <c r="L388" s="818" t="s">
        <v>143</v>
      </c>
      <c r="M388" s="517"/>
      <c r="N388" s="517"/>
      <c r="O388" s="517"/>
      <c r="P388" s="517"/>
      <c r="Q388" s="722"/>
      <c r="R388" s="819">
        <f>SUMIF($L364:$L387,"SUBI",R364:R387)</f>
        <v>51.219999999999992</v>
      </c>
      <c r="S388" s="820"/>
      <c r="T388" s="819">
        <f>SUMIF($L364:$L387,"SUBI",T364:T387)</f>
        <v>2.61</v>
      </c>
      <c r="U388" s="518"/>
      <c r="V388" s="518"/>
      <c r="W388" s="518"/>
      <c r="X388" s="518"/>
      <c r="Y388" s="518"/>
      <c r="Z388" s="518"/>
      <c r="AA388" s="518"/>
      <c r="AB388" s="518"/>
      <c r="AC388" s="518"/>
      <c r="AD388" s="518"/>
      <c r="AE388" s="518"/>
      <c r="AF388" s="518"/>
      <c r="AG388" s="518"/>
      <c r="AH388" s="518"/>
      <c r="AI388" s="518"/>
      <c r="AJ388" s="518"/>
      <c r="AK388" s="518"/>
      <c r="AL388" s="518"/>
      <c r="AM388" s="518"/>
      <c r="AN388" s="518"/>
      <c r="AO388" s="518"/>
    </row>
    <row r="389" spans="1:41" s="501" customFormat="1" thickTop="1">
      <c r="A389" s="44"/>
      <c r="B389" s="44"/>
      <c r="C389" s="3"/>
      <c r="D389" s="3"/>
      <c r="E389" s="44"/>
      <c r="F389" s="44"/>
      <c r="G389" s="44"/>
      <c r="H389" s="44"/>
      <c r="I389" s="44"/>
      <c r="J389" s="44"/>
      <c r="K389" s="44" t="s">
        <v>134</v>
      </c>
      <c r="L389" s="44"/>
      <c r="M389" s="44"/>
      <c r="N389" s="44"/>
      <c r="O389" s="45"/>
      <c r="P389" s="44"/>
      <c r="Q389" s="44"/>
      <c r="R389" s="44"/>
      <c r="S389" s="44"/>
      <c r="T389" s="44"/>
    </row>
    <row r="390" spans="1:41" s="501" customFormat="1" ht="12">
      <c r="A390" s="44"/>
      <c r="B390" s="44"/>
      <c r="C390" s="44" t="s">
        <v>135</v>
      </c>
      <c r="D390" s="35" t="s">
        <v>926</v>
      </c>
      <c r="E390" s="44"/>
      <c r="F390" s="44"/>
      <c r="G390" s="44"/>
      <c r="H390" s="44"/>
      <c r="I390" s="44"/>
      <c r="J390" s="44"/>
      <c r="K390" s="44"/>
      <c r="L390" s="44"/>
      <c r="M390" s="44"/>
      <c r="N390" s="44"/>
      <c r="O390" s="45"/>
      <c r="P390" s="44"/>
      <c r="Q390" s="44"/>
      <c r="R390" s="44"/>
      <c r="S390" s="44"/>
      <c r="T390" s="44"/>
    </row>
    <row r="391" spans="1:41" s="501" customFormat="1" ht="12">
      <c r="A391" s="44"/>
      <c r="B391" s="44"/>
      <c r="C391" s="44"/>
      <c r="D391" s="35" t="s">
        <v>894</v>
      </c>
      <c r="E391" s="44"/>
      <c r="F391" s="44"/>
      <c r="G391" s="44"/>
      <c r="H391" s="44"/>
      <c r="I391" s="44"/>
      <c r="J391" s="44"/>
      <c r="K391" s="44"/>
      <c r="L391" s="44"/>
      <c r="M391" s="44"/>
      <c r="N391" s="44"/>
      <c r="O391" s="45"/>
      <c r="P391" s="44"/>
      <c r="Q391" s="44"/>
      <c r="R391" s="44"/>
      <c r="S391" s="36"/>
      <c r="T391" s="36"/>
    </row>
    <row r="392" spans="1:41" s="3" customFormat="1" thickBot="1">
      <c r="A392" s="518"/>
      <c r="O392" s="86"/>
    </row>
    <row r="393" spans="1:41" s="501" customFormat="1" ht="12" thickTop="1">
      <c r="A393" s="44"/>
      <c r="B393" s="39"/>
      <c r="C393" s="44"/>
      <c r="E393" s="40" t="s">
        <v>138</v>
      </c>
      <c r="F393" s="40" t="s">
        <v>139</v>
      </c>
      <c r="G393" s="44"/>
      <c r="H393" s="44"/>
      <c r="I393" s="44"/>
      <c r="J393" s="44"/>
      <c r="K393" s="44" t="s">
        <v>140</v>
      </c>
      <c r="L393" s="44"/>
      <c r="M393" s="44"/>
      <c r="N393" s="44"/>
      <c r="O393" s="45"/>
      <c r="P393" s="44"/>
      <c r="Q393" s="44"/>
      <c r="R393" s="44"/>
      <c r="S393" s="44"/>
      <c r="T393" s="39"/>
      <c r="AG393" s="502" t="s">
        <v>247</v>
      </c>
      <c r="AH393" s="502" t="s">
        <v>248</v>
      </c>
      <c r="AI393" s="502" t="s">
        <v>249</v>
      </c>
      <c r="AJ393" s="502" t="s">
        <v>250</v>
      </c>
      <c r="AK393" s="502" t="s">
        <v>251</v>
      </c>
      <c r="AM393" s="710" t="s">
        <v>260</v>
      </c>
      <c r="AN393" s="711" t="s">
        <v>261</v>
      </c>
      <c r="AO393" s="503" t="s">
        <v>257</v>
      </c>
    </row>
    <row r="394" spans="1:41" s="501" customFormat="1" ht="12" customHeight="1">
      <c r="A394" s="712">
        <v>6</v>
      </c>
      <c r="B394" s="504" t="s">
        <v>141</v>
      </c>
      <c r="C394" s="505"/>
      <c r="D394" s="713" t="s">
        <v>927</v>
      </c>
      <c r="E394" s="1135">
        <f>IF(AND($A394=0,$A$1="DIF"),0, ROUND(ROUND(($R406*$S$3+($T406*$T$3))/$A394,2)*$C$3,2))</f>
        <v>22.76</v>
      </c>
      <c r="F394" s="1136">
        <f>ROUND($A394*$E394,2)</f>
        <v>136.56</v>
      </c>
      <c r="G394" s="506" t="s">
        <v>142</v>
      </c>
      <c r="H394" s="498"/>
      <c r="I394" s="716"/>
      <c r="J394" s="498"/>
      <c r="K394" s="498" t="s">
        <v>5</v>
      </c>
      <c r="L394" s="717" t="s">
        <v>143</v>
      </c>
      <c r="M394" s="717"/>
      <c r="N394" s="717"/>
      <c r="O394" s="717"/>
      <c r="P394" s="717"/>
      <c r="Q394" s="943" t="s">
        <v>1098</v>
      </c>
      <c r="T394" s="1140" t="str">
        <f>IF(AND($R406=0,$T406=0),"0.00","mu: "&amp; ROUND(F394/$C$3/($R406+$T406*$D$9),2))</f>
        <v>mu: 1.66</v>
      </c>
      <c r="W394" s="507"/>
      <c r="AG394" s="1137">
        <f>IF($E394=0,0,ROUND($R406*$S$3*$C$3/$A394,2))</f>
        <v>0</v>
      </c>
      <c r="AH394" s="1137">
        <f>$AG394*$A394</f>
        <v>0</v>
      </c>
      <c r="AI394" s="1138">
        <f>$E394-$AG394</f>
        <v>22.76</v>
      </c>
      <c r="AJ394" s="1138">
        <f>$A394*$AI394</f>
        <v>136.56</v>
      </c>
      <c r="AK394" s="1139">
        <f>ROUND(($AG394+$AI394)*$A394,2)</f>
        <v>136.56</v>
      </c>
      <c r="AM394" s="510">
        <f>ROUND(R406,2)</f>
        <v>0</v>
      </c>
      <c r="AN394" s="511">
        <f>ROUND(T406,2)</f>
        <v>3</v>
      </c>
      <c r="AO394" s="512">
        <f>ROUND(AM394+AN394,2)*A394</f>
        <v>18</v>
      </c>
    </row>
    <row r="395" spans="1:41" s="501" customFormat="1" ht="13.2">
      <c r="A395" s="505"/>
      <c r="B395"/>
      <c r="C395" s="505"/>
      <c r="D395" s="713" t="s">
        <v>319</v>
      </c>
      <c r="F395" s="498"/>
      <c r="G395" s="3"/>
      <c r="H395" s="498"/>
      <c r="I395" s="716"/>
      <c r="J395" s="498"/>
      <c r="K395" s="498" t="s">
        <v>144</v>
      </c>
      <c r="L395" s="498"/>
      <c r="M395" s="498"/>
      <c r="N395" s="498"/>
      <c r="O395" s="498"/>
      <c r="P395" s="498"/>
      <c r="Q395" s="44"/>
      <c r="R395" s="567"/>
      <c r="S395" s="719"/>
      <c r="T395" s="498"/>
    </row>
    <row r="396" spans="1:41" s="501" customFormat="1" ht="14.4" customHeight="1">
      <c r="A396" s="767"/>
      <c r="B396" s="768" t="s">
        <v>574</v>
      </c>
      <c r="C396" s="567"/>
      <c r="D396" s="903" t="s">
        <v>923</v>
      </c>
      <c r="E396" s="567"/>
      <c r="F396" s="567"/>
      <c r="G396" s="567"/>
      <c r="H396" s="764"/>
      <c r="I396" s="567"/>
      <c r="J396" s="45"/>
      <c r="K396" s="769"/>
      <c r="L396" s="770"/>
      <c r="M396" s="567"/>
      <c r="N396" s="567"/>
      <c r="O396" s="45"/>
      <c r="P396" s="567"/>
      <c r="Q396" s="567"/>
      <c r="R396" s="771">
        <f t="shared" ref="R396:R405" si="17">$A396*Q396</f>
        <v>0</v>
      </c>
      <c r="S396" s="567"/>
      <c r="T396" s="500">
        <f t="shared" ref="T396:T405" si="18">$A396*S396*$T$1</f>
        <v>0</v>
      </c>
    </row>
    <row r="397" spans="1:41" s="893" customFormat="1" ht="13.2">
      <c r="A397" s="1141">
        <v>0</v>
      </c>
      <c r="B397" s="1055" t="s">
        <v>296</v>
      </c>
      <c r="C397" s="1055"/>
      <c r="D397" s="1055" t="s">
        <v>646</v>
      </c>
      <c r="E397" s="1055"/>
      <c r="F397" s="1055"/>
      <c r="G397" s="1053" t="s">
        <v>647</v>
      </c>
      <c r="H397" s="1054">
        <v>690</v>
      </c>
      <c r="I397" s="1055" t="s">
        <v>648</v>
      </c>
      <c r="J397" s="1055" t="s">
        <v>649</v>
      </c>
      <c r="K397" s="1055"/>
      <c r="L397" s="1055"/>
      <c r="M397" s="1055"/>
      <c r="N397" s="1055"/>
      <c r="O397" s="1056">
        <v>1</v>
      </c>
      <c r="P397" s="1057">
        <v>34669</v>
      </c>
      <c r="Q397" s="1058">
        <v>1.86</v>
      </c>
      <c r="R397" s="1142">
        <f t="shared" si="17"/>
        <v>0</v>
      </c>
      <c r="S397" s="1058">
        <v>0.2</v>
      </c>
      <c r="T397" s="1143">
        <f t="shared" si="18"/>
        <v>0</v>
      </c>
    </row>
    <row r="398" spans="1:41" s="893" customFormat="1" ht="13.2">
      <c r="A398" s="1141">
        <v>0</v>
      </c>
      <c r="B398" s="1055" t="s">
        <v>296</v>
      </c>
      <c r="C398" s="1055"/>
      <c r="D398" s="1055" t="s">
        <v>650</v>
      </c>
      <c r="E398" s="1055"/>
      <c r="F398" s="1055"/>
      <c r="G398" s="1053" t="s">
        <v>651</v>
      </c>
      <c r="H398" s="1054">
        <v>690</v>
      </c>
      <c r="I398" s="1055" t="s">
        <v>648</v>
      </c>
      <c r="J398" s="1055" t="s">
        <v>649</v>
      </c>
      <c r="K398" s="1055"/>
      <c r="L398" s="1055"/>
      <c r="M398" s="1055"/>
      <c r="N398" s="1055"/>
      <c r="O398" s="1056">
        <v>1</v>
      </c>
      <c r="P398" s="1057">
        <v>34669</v>
      </c>
      <c r="Q398" s="1058">
        <v>0.98</v>
      </c>
      <c r="R398" s="1142">
        <f t="shared" si="17"/>
        <v>0</v>
      </c>
      <c r="S398" s="1058"/>
      <c r="T398" s="1143">
        <f t="shared" si="18"/>
        <v>0</v>
      </c>
    </row>
    <row r="399" spans="1:41" s="893" customFormat="1" ht="13.2">
      <c r="A399" s="1141">
        <v>0</v>
      </c>
      <c r="B399" s="1055" t="s">
        <v>296</v>
      </c>
      <c r="C399" s="1055"/>
      <c r="D399" s="1055" t="s">
        <v>652</v>
      </c>
      <c r="E399" s="1055"/>
      <c r="F399" s="1055"/>
      <c r="G399" s="1053" t="s">
        <v>653</v>
      </c>
      <c r="H399" s="1054">
        <v>690</v>
      </c>
      <c r="I399" s="1055" t="s">
        <v>648</v>
      </c>
      <c r="J399" s="1055" t="s">
        <v>649</v>
      </c>
      <c r="K399" s="1055"/>
      <c r="L399" s="1055"/>
      <c r="M399" s="1055"/>
      <c r="N399" s="1055"/>
      <c r="O399" s="1056">
        <v>1</v>
      </c>
      <c r="P399" s="1057">
        <v>34669</v>
      </c>
      <c r="Q399" s="1058">
        <v>3.66</v>
      </c>
      <c r="R399" s="1142">
        <f t="shared" si="17"/>
        <v>0</v>
      </c>
      <c r="S399" s="1058">
        <v>0.2</v>
      </c>
      <c r="T399" s="1143">
        <f t="shared" si="18"/>
        <v>0</v>
      </c>
    </row>
    <row r="400" spans="1:41" s="893" customFormat="1" ht="13.2">
      <c r="A400" s="1141">
        <v>0</v>
      </c>
      <c r="B400" s="1055" t="s">
        <v>296</v>
      </c>
      <c r="C400" s="1055"/>
      <c r="D400" s="1055" t="s">
        <v>726</v>
      </c>
      <c r="E400" s="1055"/>
      <c r="F400" s="1055"/>
      <c r="G400" s="1053" t="s">
        <v>728</v>
      </c>
      <c r="H400" s="1054">
        <v>617</v>
      </c>
      <c r="I400" s="1055" t="s">
        <v>729</v>
      </c>
      <c r="J400" s="1055" t="s">
        <v>730</v>
      </c>
      <c r="K400" s="1055"/>
      <c r="L400" s="1055"/>
      <c r="M400" s="1055"/>
      <c r="N400" s="1055"/>
      <c r="O400" s="1056">
        <v>2</v>
      </c>
      <c r="P400" s="1057">
        <v>38433</v>
      </c>
      <c r="Q400" s="1058">
        <v>1.4524999999999999</v>
      </c>
      <c r="R400" s="1142">
        <f t="shared" si="17"/>
        <v>0</v>
      </c>
      <c r="S400" s="1058">
        <v>0.03</v>
      </c>
      <c r="T400" s="1143">
        <f t="shared" si="18"/>
        <v>0</v>
      </c>
    </row>
    <row r="401" spans="1:41" s="893" customFormat="1" ht="13.2">
      <c r="A401" s="1141">
        <v>0</v>
      </c>
      <c r="B401" s="1055" t="s">
        <v>141</v>
      </c>
      <c r="C401" s="1055"/>
      <c r="D401" s="1055" t="s">
        <v>815</v>
      </c>
      <c r="E401" s="1055"/>
      <c r="F401" s="1055"/>
      <c r="G401" s="1053" t="s">
        <v>816</v>
      </c>
      <c r="H401" s="1054">
        <v>620</v>
      </c>
      <c r="I401" s="1055" t="s">
        <v>643</v>
      </c>
      <c r="J401" s="1055"/>
      <c r="K401" s="1055"/>
      <c r="L401" s="1055"/>
      <c r="M401" s="1055"/>
      <c r="N401" s="1055"/>
      <c r="O401" s="1056">
        <v>2</v>
      </c>
      <c r="P401" s="1057">
        <v>35431</v>
      </c>
      <c r="Q401" s="1058">
        <v>0.35</v>
      </c>
      <c r="R401" s="1142">
        <f t="shared" si="17"/>
        <v>0</v>
      </c>
      <c r="S401" s="1058"/>
      <c r="T401" s="1143">
        <f t="shared" si="18"/>
        <v>0</v>
      </c>
    </row>
    <row r="402" spans="1:41" s="893" customFormat="1" ht="13.2">
      <c r="A402" s="1141">
        <v>0</v>
      </c>
      <c r="B402" s="1055" t="s">
        <v>141</v>
      </c>
      <c r="C402" s="1055"/>
      <c r="D402" s="1055" t="s">
        <v>817</v>
      </c>
      <c r="E402" s="1055"/>
      <c r="F402" s="1055"/>
      <c r="G402" s="1053" t="s">
        <v>731</v>
      </c>
      <c r="H402" s="1054">
        <v>620</v>
      </c>
      <c r="I402" s="1055" t="s">
        <v>643</v>
      </c>
      <c r="J402" s="1055"/>
      <c r="K402" s="1055"/>
      <c r="L402" s="1055"/>
      <c r="M402" s="1055"/>
      <c r="N402" s="1055"/>
      <c r="O402" s="1056">
        <v>2</v>
      </c>
      <c r="P402" s="1057"/>
      <c r="Q402" s="1058">
        <v>0.2</v>
      </c>
      <c r="R402" s="1142">
        <f t="shared" si="17"/>
        <v>0</v>
      </c>
      <c r="S402" s="1058"/>
      <c r="T402" s="1143">
        <f t="shared" si="18"/>
        <v>0</v>
      </c>
    </row>
    <row r="403" spans="1:41" s="893" customFormat="1" ht="13.2">
      <c r="A403" s="1141">
        <v>0</v>
      </c>
      <c r="B403" s="1055" t="s">
        <v>141</v>
      </c>
      <c r="C403" s="1055"/>
      <c r="D403" s="1055" t="s">
        <v>818</v>
      </c>
      <c r="E403" s="1055"/>
      <c r="F403" s="1055"/>
      <c r="G403" s="1053" t="s">
        <v>768</v>
      </c>
      <c r="H403" s="1054">
        <v>570</v>
      </c>
      <c r="I403" s="1055" t="s">
        <v>643</v>
      </c>
      <c r="J403" s="1055"/>
      <c r="K403" s="1055"/>
      <c r="L403" s="1055"/>
      <c r="M403" s="1055"/>
      <c r="N403" s="1055"/>
      <c r="O403" s="1056">
        <v>2</v>
      </c>
      <c r="P403" s="1057">
        <v>38443</v>
      </c>
      <c r="Q403" s="1058">
        <v>5</v>
      </c>
      <c r="R403" s="1142">
        <f t="shared" si="17"/>
        <v>0</v>
      </c>
      <c r="S403" s="1058">
        <v>0.17</v>
      </c>
      <c r="T403" s="1143">
        <f t="shared" si="18"/>
        <v>0</v>
      </c>
    </row>
    <row r="404" spans="1:41" s="893" customFormat="1" ht="13.2">
      <c r="A404">
        <v>6</v>
      </c>
      <c r="B404" s="893" t="s">
        <v>141</v>
      </c>
      <c r="D404" s="893" t="s">
        <v>641</v>
      </c>
      <c r="E404" s="1052" t="s">
        <v>1106</v>
      </c>
      <c r="G404" s="894" t="s">
        <v>642</v>
      </c>
      <c r="H404" s="895">
        <v>512</v>
      </c>
      <c r="I404" s="893" t="s">
        <v>643</v>
      </c>
      <c r="O404" s="896">
        <v>3</v>
      </c>
      <c r="P404" s="897"/>
      <c r="Q404" s="898"/>
      <c r="R404" s="899">
        <f>$A404*Q404</f>
        <v>0</v>
      </c>
      <c r="S404" s="898">
        <v>0.5</v>
      </c>
      <c r="T404" s="900">
        <f>$A404*S404*$T$1</f>
        <v>3</v>
      </c>
    </row>
    <row r="405" spans="1:41" s="501" customFormat="1" ht="12">
      <c r="A405" s="497"/>
      <c r="B405" s="497"/>
      <c r="C405" s="497"/>
      <c r="D405" s="497"/>
      <c r="E405" s="497"/>
      <c r="F405" s="498"/>
      <c r="G405" s="497"/>
      <c r="H405" s="497"/>
      <c r="I405" s="499"/>
      <c r="J405" s="497"/>
      <c r="K405" s="497"/>
      <c r="L405" s="497"/>
      <c r="M405" s="497"/>
      <c r="N405" s="497"/>
      <c r="O405" s="497"/>
      <c r="P405" s="497"/>
      <c r="Q405" s="499"/>
      <c r="R405" s="720">
        <f t="shared" si="17"/>
        <v>0</v>
      </c>
      <c r="S405" s="499"/>
      <c r="T405" s="500">
        <f t="shared" si="18"/>
        <v>0</v>
      </c>
    </row>
    <row r="406" spans="1:41" s="501" customFormat="1" ht="12.6" thickBot="1">
      <c r="A406" s="513" t="s">
        <v>145</v>
      </c>
      <c r="B406" s="514">
        <f>(R405+T405)</f>
        <v>0</v>
      </c>
      <c r="C406" s="515"/>
      <c r="D406" s="515"/>
      <c r="E406" s="515"/>
      <c r="F406" s="721"/>
      <c r="G406" s="515" t="s">
        <v>146</v>
      </c>
      <c r="H406" s="515"/>
      <c r="I406" s="516"/>
      <c r="J406" s="515"/>
      <c r="K406" s="515" t="s">
        <v>5</v>
      </c>
      <c r="L406" s="517" t="s">
        <v>143</v>
      </c>
      <c r="M406" s="517"/>
      <c r="N406" s="517"/>
      <c r="O406" s="517"/>
      <c r="P406" s="517"/>
      <c r="Q406" s="722"/>
      <c r="R406" s="723">
        <f>SUM(R395:R405)</f>
        <v>0</v>
      </c>
      <c r="S406" s="515"/>
      <c r="T406" s="723">
        <f>SUM(T395:T405)</f>
        <v>3</v>
      </c>
      <c r="U406" s="518"/>
      <c r="V406" s="518"/>
      <c r="W406" s="518"/>
      <c r="X406" s="518"/>
      <c r="Y406" s="518"/>
      <c r="Z406" s="518"/>
      <c r="AA406" s="518"/>
      <c r="AB406" s="518"/>
      <c r="AC406" s="518"/>
      <c r="AD406" s="518"/>
      <c r="AE406" s="518"/>
      <c r="AF406" s="518"/>
      <c r="AG406" s="518"/>
      <c r="AH406" s="518"/>
      <c r="AI406" s="518"/>
      <c r="AJ406" s="518"/>
      <c r="AK406" s="518"/>
      <c r="AL406" s="518"/>
      <c r="AM406" s="518"/>
      <c r="AN406" s="518"/>
      <c r="AO406" s="518"/>
    </row>
    <row r="407" spans="1:41" s="501" customFormat="1" ht="12.6" thickTop="1">
      <c r="A407" s="44"/>
      <c r="B407" s="44"/>
      <c r="C407" s="44" t="s">
        <v>135</v>
      </c>
      <c r="D407" s="35"/>
      <c r="E407" s="44"/>
      <c r="F407" s="44"/>
      <c r="G407" s="44"/>
      <c r="H407" s="44"/>
      <c r="I407" s="44"/>
      <c r="J407" s="44"/>
      <c r="K407" s="44"/>
      <c r="L407" s="44"/>
      <c r="M407" s="44"/>
      <c r="N407" s="44"/>
      <c r="O407" s="45"/>
      <c r="P407" s="44"/>
      <c r="Q407" s="44"/>
      <c r="R407" s="44"/>
      <c r="S407" s="44"/>
      <c r="T407" s="44"/>
    </row>
    <row r="408" spans="1:41" s="501" customFormat="1" ht="13.2">
      <c r="A408" s="44"/>
      <c r="B408" s="44"/>
      <c r="C408" s="44"/>
      <c r="D408" s="1185" t="s">
        <v>291</v>
      </c>
      <c r="E408" s="1184"/>
      <c r="F408" s="1184"/>
      <c r="G408" s="1184"/>
      <c r="H408" s="1184"/>
      <c r="I408" s="1184"/>
      <c r="J408" s="1184"/>
      <c r="K408" s="1184"/>
      <c r="L408" s="1184"/>
      <c r="M408" s="1184"/>
      <c r="N408" s="1184"/>
      <c r="O408" s="1184"/>
      <c r="P408" s="1184"/>
      <c r="Q408" s="1184"/>
      <c r="R408" s="1184"/>
      <c r="S408" s="1184"/>
      <c r="T408" s="1184"/>
    </row>
    <row r="409" spans="1:41" s="3" customFormat="1" thickBot="1">
      <c r="A409" s="518"/>
      <c r="O409" s="86"/>
    </row>
    <row r="410" spans="1:41" s="501" customFormat="1" thickTop="1">
      <c r="A410" s="44"/>
      <c r="B410" s="44"/>
      <c r="C410" s="3"/>
      <c r="D410" s="3"/>
      <c r="E410" s="44"/>
      <c r="F410" s="44"/>
      <c r="G410" s="44"/>
      <c r="H410" s="44"/>
      <c r="I410" s="44"/>
      <c r="J410" s="44"/>
      <c r="K410" s="44" t="s">
        <v>134</v>
      </c>
      <c r="L410" s="44"/>
      <c r="M410" s="44"/>
      <c r="N410" s="44"/>
      <c r="O410" s="45"/>
      <c r="P410" s="44"/>
      <c r="Q410" s="44"/>
      <c r="R410" s="44"/>
      <c r="S410" s="44"/>
      <c r="T410" s="44"/>
    </row>
    <row r="411" spans="1:41" s="501" customFormat="1" ht="12">
      <c r="A411" s="44"/>
      <c r="B411" s="44"/>
      <c r="C411" s="44" t="s">
        <v>135</v>
      </c>
      <c r="D411" s="35"/>
      <c r="E411" s="44"/>
      <c r="F411" s="44"/>
      <c r="G411" s="44"/>
      <c r="H411" s="44"/>
      <c r="I411" s="44"/>
      <c r="J411" s="44"/>
      <c r="K411" s="44"/>
      <c r="L411" s="44"/>
      <c r="M411" s="44"/>
      <c r="N411" s="44"/>
      <c r="O411" s="45"/>
      <c r="P411" s="44"/>
      <c r="Q411" s="44"/>
      <c r="R411" s="44"/>
      <c r="S411" s="44"/>
      <c r="T411" s="44"/>
    </row>
    <row r="412" spans="1:41" s="501" customFormat="1" ht="12">
      <c r="A412" s="44"/>
      <c r="B412" s="44"/>
      <c r="C412" s="44"/>
      <c r="D412" s="35" t="s">
        <v>284</v>
      </c>
      <c r="E412" s="44"/>
      <c r="F412" s="44"/>
      <c r="G412" s="44"/>
      <c r="H412" s="44"/>
      <c r="I412" s="44"/>
      <c r="J412" s="44"/>
      <c r="K412" s="44"/>
      <c r="L412" s="44"/>
      <c r="M412" s="44"/>
      <c r="N412" s="44"/>
      <c r="O412" s="45"/>
      <c r="P412" s="44"/>
      <c r="Q412" s="44"/>
      <c r="R412" s="44"/>
      <c r="S412" s="36"/>
      <c r="T412" s="36"/>
    </row>
    <row r="413" spans="1:41" s="3" customFormat="1" thickBot="1">
      <c r="A413" s="518"/>
      <c r="O413" s="86"/>
    </row>
    <row r="414" spans="1:41" s="501" customFormat="1" thickTop="1">
      <c r="A414" s="44"/>
      <c r="B414" s="39"/>
      <c r="C414" s="44"/>
      <c r="E414" s="40" t="s">
        <v>138</v>
      </c>
      <c r="F414" s="40" t="s">
        <v>139</v>
      </c>
      <c r="G414" s="44"/>
      <c r="H414" s="44"/>
      <c r="I414" s="44"/>
      <c r="J414" s="44"/>
      <c r="K414" s="44" t="s">
        <v>140</v>
      </c>
      <c r="L414" s="737"/>
      <c r="M414" s="44"/>
      <c r="N414" s="44"/>
      <c r="O414" s="45"/>
      <c r="P414" s="44"/>
      <c r="Q414"/>
      <c r="R414" s="943" t="s">
        <v>881</v>
      </c>
      <c r="S414"/>
      <c r="T414" s="39"/>
      <c r="AG414" s="502" t="s">
        <v>247</v>
      </c>
      <c r="AH414" s="502" t="s">
        <v>248</v>
      </c>
      <c r="AI414" s="502" t="s">
        <v>249</v>
      </c>
      <c r="AJ414" s="502" t="s">
        <v>250</v>
      </c>
      <c r="AK414" s="502" t="s">
        <v>251</v>
      </c>
      <c r="AM414" s="710" t="s">
        <v>260</v>
      </c>
      <c r="AN414" s="711" t="s">
        <v>261</v>
      </c>
      <c r="AO414" s="503" t="s">
        <v>257</v>
      </c>
    </row>
    <row r="415" spans="1:41" s="501" customFormat="1" ht="13.2">
      <c r="A415" s="712">
        <v>1</v>
      </c>
      <c r="B415" s="504" t="s">
        <v>283</v>
      </c>
      <c r="C415" s="505"/>
      <c r="D415" s="713" t="s">
        <v>929</v>
      </c>
      <c r="E415" s="738">
        <f>IF(AND($A415=0,$A$1="DIF"),0,ROUND(ROUND(SUMIF($L417:$L439,"SUBI",$E417:$E439)/$A415,2)*$C$12,2))</f>
        <v>777.51</v>
      </c>
      <c r="F415" s="739">
        <f>ROUND($A415*$E415,2)</f>
        <v>777.51</v>
      </c>
      <c r="G415" s="506" t="s">
        <v>142</v>
      </c>
      <c r="H415" s="498"/>
      <c r="I415" s="716"/>
      <c r="J415" s="498"/>
      <c r="K415" s="740"/>
      <c r="L415" s="741" t="s">
        <v>143</v>
      </c>
      <c r="M415" s="717"/>
      <c r="N415" s="717"/>
      <c r="O415" s="717"/>
      <c r="P415" s="717"/>
      <c r="Q415" s="943" t="s">
        <v>855</v>
      </c>
      <c r="R415" s="964" t="str">
        <f>D431</f>
        <v>Connecting up of chiller included in electrical BOQ</v>
      </c>
      <c r="S415"/>
      <c r="T415" s="742" t="str">
        <f>IF(AND($R445=0,$T445=0),"0.00","mu :" &amp; ROUND($F415/$C$12/($R445+$T445*$D$9),2))</f>
        <v>mu :1.35</v>
      </c>
      <c r="W415" s="507"/>
      <c r="AG415" s="743">
        <f>IF(A415=0,0,ROUND(SUM(AG417:AG445)/A415,2))</f>
        <v>384.55</v>
      </c>
      <c r="AH415" s="743">
        <f>$AG415*$A415</f>
        <v>384.55</v>
      </c>
      <c r="AI415" s="743">
        <f>$E415-$AG415</f>
        <v>392.96</v>
      </c>
      <c r="AJ415" s="743">
        <f>$A415*$AI415</f>
        <v>392.96</v>
      </c>
      <c r="AK415" s="744">
        <f>ROUND(($AG415+$AI415)*$A415,2)</f>
        <v>777.51</v>
      </c>
      <c r="AM415" s="510">
        <f>ROUND(R445,2)</f>
        <v>284.86</v>
      </c>
      <c r="AN415" s="511">
        <f>ROUND(T445,2)</f>
        <v>10.6</v>
      </c>
      <c r="AO415" s="512">
        <f>ROUND(AM415+AN415,2)*A415</f>
        <v>295.45999999999998</v>
      </c>
    </row>
    <row r="416" spans="1:41" s="501" customFormat="1" ht="39.9" customHeight="1">
      <c r="A416" s="745"/>
      <c r="B416" s="746"/>
      <c r="C416" s="505"/>
      <c r="D416" s="1183" t="s">
        <v>928</v>
      </c>
      <c r="E416" s="1184"/>
      <c r="F416" s="1184"/>
      <c r="G416" s="1184"/>
      <c r="H416" s="1184"/>
      <c r="I416" s="1184"/>
      <c r="J416" s="1184"/>
      <c r="K416" s="1184"/>
      <c r="L416" s="1184"/>
      <c r="M416" s="1184"/>
      <c r="N416" s="1184"/>
      <c r="O416" s="1184"/>
      <c r="P416" s="1184"/>
      <c r="Q416" s="1184"/>
      <c r="R416" s="1184"/>
      <c r="S416" s="1184"/>
      <c r="T416" s="1184"/>
    </row>
    <row r="417" spans="1:20" s="501" customFormat="1" ht="12">
      <c r="A417" s="748"/>
      <c r="B417" s="749"/>
      <c r="C417" s="497"/>
      <c r="D417" s="750"/>
      <c r="E417" s="751">
        <f>F415/$C$12-SUMIF($L414:$L445,"SUBI",$E414:$E445)</f>
        <v>0</v>
      </c>
      <c r="F417" s="752" t="s">
        <v>572</v>
      </c>
      <c r="G417" s="753"/>
      <c r="H417" s="753"/>
      <c r="I417" s="754"/>
      <c r="J417" s="753"/>
      <c r="K417" s="753"/>
      <c r="L417" s="755"/>
      <c r="M417" s="756"/>
      <c r="N417" s="756"/>
      <c r="O417" s="756"/>
      <c r="P417" s="756"/>
      <c r="Q417" s="757"/>
      <c r="R417" s="758"/>
      <c r="S417" s="757"/>
      <c r="T417" s="759"/>
    </row>
    <row r="418" spans="1:20" s="501" customFormat="1" ht="12" customHeight="1">
      <c r="A418" s="760"/>
      <c r="B418" s="761"/>
      <c r="C418" s="762"/>
      <c r="D418" s="762" t="str">
        <f>$F$2</f>
        <v>Electrical</v>
      </c>
      <c r="E418" s="762">
        <f>ROUND(($R433*$S$2 + ($T433*$T$2)), 2)</f>
        <v>777.51</v>
      </c>
      <c r="F418" s="763">
        <f>$E418*$C$12</f>
        <v>777.51</v>
      </c>
      <c r="G418" s="567"/>
      <c r="H418" s="764"/>
      <c r="I418" s="567"/>
      <c r="J418" s="45"/>
      <c r="K418" s="765" t="s">
        <v>3</v>
      </c>
      <c r="L418" s="766" t="s">
        <v>573</v>
      </c>
      <c r="M418" s="567"/>
      <c r="N418" s="567"/>
      <c r="O418" s="45"/>
      <c r="P418" s="567"/>
      <c r="Q418" s="567"/>
      <c r="R418"/>
      <c r="S418"/>
      <c r="T418"/>
    </row>
    <row r="419" spans="1:20" s="501" customFormat="1" ht="14.4" customHeight="1">
      <c r="A419" s="767"/>
      <c r="B419" s="768" t="s">
        <v>574</v>
      </c>
      <c r="C419" s="567"/>
      <c r="D419" s="903" t="s">
        <v>645</v>
      </c>
      <c r="E419" s="567"/>
      <c r="F419" s="567"/>
      <c r="G419" s="567"/>
      <c r="H419" s="764"/>
      <c r="I419" s="567"/>
      <c r="J419" s="45"/>
      <c r="K419" s="769"/>
      <c r="L419" s="770"/>
      <c r="M419" s="567"/>
      <c r="N419" s="567"/>
      <c r="O419" s="45"/>
      <c r="P419" s="567"/>
      <c r="Q419" s="567"/>
      <c r="R419" s="771">
        <f t="shared" ref="R419:R430" si="19">$A419*Q419</f>
        <v>0</v>
      </c>
      <c r="S419" s="567"/>
      <c r="T419" s="500">
        <f t="shared" ref="T419:T430" si="20">$A419*S419*$T$1</f>
        <v>0</v>
      </c>
    </row>
    <row r="420" spans="1:20" s="893" customFormat="1" ht="13.2">
      <c r="A420" s="87">
        <v>2</v>
      </c>
      <c r="B420" s="893" t="s">
        <v>296</v>
      </c>
      <c r="D420" s="893" t="s">
        <v>646</v>
      </c>
      <c r="G420" s="894" t="s">
        <v>647</v>
      </c>
      <c r="H420" s="895">
        <v>690</v>
      </c>
      <c r="I420" s="893" t="s">
        <v>648</v>
      </c>
      <c r="J420" s="893" t="s">
        <v>649</v>
      </c>
      <c r="O420" s="896">
        <v>1</v>
      </c>
      <c r="P420" s="897">
        <v>34669</v>
      </c>
      <c r="Q420" s="902">
        <v>1.86</v>
      </c>
      <c r="R420" s="899">
        <f t="shared" si="19"/>
        <v>3.72</v>
      </c>
      <c r="S420" s="898">
        <v>0.2</v>
      </c>
      <c r="T420" s="900">
        <f t="shared" si="20"/>
        <v>0.4</v>
      </c>
    </row>
    <row r="421" spans="1:20" s="893" customFormat="1" ht="13.2">
      <c r="A421" s="87">
        <v>4</v>
      </c>
      <c r="B421" s="893" t="s">
        <v>296</v>
      </c>
      <c r="D421" s="893" t="s">
        <v>650</v>
      </c>
      <c r="G421" s="894" t="s">
        <v>651</v>
      </c>
      <c r="H421" s="895">
        <v>690</v>
      </c>
      <c r="I421" s="893" t="s">
        <v>648</v>
      </c>
      <c r="J421" s="893" t="s">
        <v>649</v>
      </c>
      <c r="O421" s="896">
        <v>1</v>
      </c>
      <c r="P421" s="897">
        <v>34669</v>
      </c>
      <c r="Q421" s="902">
        <v>0.98</v>
      </c>
      <c r="R421" s="899">
        <f t="shared" si="19"/>
        <v>3.92</v>
      </c>
      <c r="S421" s="898"/>
      <c r="T421" s="900">
        <f t="shared" si="20"/>
        <v>0</v>
      </c>
    </row>
    <row r="422" spans="1:20" s="893" customFormat="1" ht="13.2">
      <c r="A422" s="87">
        <v>10</v>
      </c>
      <c r="B422" s="893" t="s">
        <v>296</v>
      </c>
      <c r="D422" s="893" t="s">
        <v>652</v>
      </c>
      <c r="G422" s="894" t="s">
        <v>653</v>
      </c>
      <c r="H422" s="895">
        <v>690</v>
      </c>
      <c r="I422" s="893" t="s">
        <v>648</v>
      </c>
      <c r="J422" s="893" t="s">
        <v>649</v>
      </c>
      <c r="O422" s="896">
        <v>1</v>
      </c>
      <c r="P422" s="897">
        <v>34669</v>
      </c>
      <c r="Q422" s="902">
        <v>3.66</v>
      </c>
      <c r="R422" s="899">
        <f t="shared" si="19"/>
        <v>36.6</v>
      </c>
      <c r="S422" s="898">
        <v>0.2</v>
      </c>
      <c r="T422" s="900">
        <f t="shared" si="20"/>
        <v>2</v>
      </c>
    </row>
    <row r="423" spans="1:20" s="893" customFormat="1" ht="13.2">
      <c r="A423">
        <v>50</v>
      </c>
      <c r="B423" s="893" t="s">
        <v>296</v>
      </c>
      <c r="D423" s="893" t="s">
        <v>726</v>
      </c>
      <c r="G423" s="894" t="s">
        <v>728</v>
      </c>
      <c r="H423" s="895">
        <v>617</v>
      </c>
      <c r="I423" s="893" t="s">
        <v>729</v>
      </c>
      <c r="J423" s="893" t="s">
        <v>730</v>
      </c>
      <c r="O423" s="896">
        <v>2</v>
      </c>
      <c r="P423" s="897">
        <v>38433</v>
      </c>
      <c r="Q423" s="898">
        <v>1.4524999999999999</v>
      </c>
      <c r="R423" s="899">
        <f t="shared" si="19"/>
        <v>72.625</v>
      </c>
      <c r="S423" s="898">
        <v>0.03</v>
      </c>
      <c r="T423" s="900">
        <f t="shared" si="20"/>
        <v>1.5</v>
      </c>
    </row>
    <row r="424" spans="1:20" s="893" customFormat="1" ht="13.2">
      <c r="A424">
        <v>1</v>
      </c>
      <c r="B424" s="893" t="s">
        <v>141</v>
      </c>
      <c r="D424" s="893" t="s">
        <v>658</v>
      </c>
      <c r="G424" s="894" t="s">
        <v>659</v>
      </c>
      <c r="H424" s="895">
        <v>900</v>
      </c>
      <c r="I424" s="893" t="s">
        <v>660</v>
      </c>
      <c r="O424" s="896">
        <v>1</v>
      </c>
      <c r="P424" s="897"/>
      <c r="Q424" s="898"/>
      <c r="R424" s="899">
        <f t="shared" si="19"/>
        <v>0</v>
      </c>
      <c r="S424" s="898">
        <v>0.25</v>
      </c>
      <c r="T424" s="900">
        <f t="shared" si="20"/>
        <v>0.25</v>
      </c>
    </row>
    <row r="425" spans="1:20" s="501" customFormat="1" ht="14.4" customHeight="1">
      <c r="A425" s="767"/>
      <c r="B425" s="768" t="s">
        <v>574</v>
      </c>
      <c r="C425" s="567"/>
      <c r="D425" s="903" t="s">
        <v>661</v>
      </c>
      <c r="E425" s="567"/>
      <c r="F425" s="567"/>
      <c r="G425" s="567"/>
      <c r="H425" s="764"/>
      <c r="I425" s="567"/>
      <c r="J425" s="45"/>
      <c r="K425" s="769"/>
      <c r="L425" s="770"/>
      <c r="M425" s="567"/>
      <c r="N425" s="567"/>
      <c r="O425" s="45"/>
      <c r="P425" s="567"/>
      <c r="Q425" s="567"/>
      <c r="R425" s="771">
        <f t="shared" si="19"/>
        <v>0</v>
      </c>
      <c r="S425" s="567"/>
      <c r="T425" s="500">
        <f t="shared" si="20"/>
        <v>0</v>
      </c>
    </row>
    <row r="426" spans="1:20" s="893" customFormat="1" ht="13.2">
      <c r="A426" s="87">
        <v>2</v>
      </c>
      <c r="B426" s="893" t="s">
        <v>296</v>
      </c>
      <c r="D426" s="893" t="s">
        <v>646</v>
      </c>
      <c r="G426" s="894" t="s">
        <v>647</v>
      </c>
      <c r="H426" s="895">
        <v>690</v>
      </c>
      <c r="I426" s="893" t="s">
        <v>648</v>
      </c>
      <c r="J426" s="893" t="s">
        <v>649</v>
      </c>
      <c r="O426" s="896">
        <v>1</v>
      </c>
      <c r="P426" s="897">
        <v>34669</v>
      </c>
      <c r="Q426" s="902">
        <v>1.86</v>
      </c>
      <c r="R426" s="899">
        <f t="shared" si="19"/>
        <v>3.72</v>
      </c>
      <c r="S426" s="898">
        <v>0.2</v>
      </c>
      <c r="T426" s="900">
        <f t="shared" si="20"/>
        <v>0.4</v>
      </c>
    </row>
    <row r="427" spans="1:20" s="893" customFormat="1" ht="13.2">
      <c r="A427" s="87">
        <v>4</v>
      </c>
      <c r="B427" s="893" t="s">
        <v>296</v>
      </c>
      <c r="D427" s="893" t="s">
        <v>650</v>
      </c>
      <c r="G427" s="894" t="s">
        <v>651</v>
      </c>
      <c r="H427" s="895">
        <v>690</v>
      </c>
      <c r="I427" s="893" t="s">
        <v>648</v>
      </c>
      <c r="J427" s="893" t="s">
        <v>649</v>
      </c>
      <c r="O427" s="896">
        <v>1</v>
      </c>
      <c r="P427" s="897">
        <v>34669</v>
      </c>
      <c r="Q427" s="902">
        <v>0.98</v>
      </c>
      <c r="R427" s="899">
        <f t="shared" si="19"/>
        <v>3.92</v>
      </c>
      <c r="S427" s="898"/>
      <c r="T427" s="900">
        <f t="shared" si="20"/>
        <v>0</v>
      </c>
    </row>
    <row r="428" spans="1:20" s="893" customFormat="1" ht="13.2">
      <c r="A428" s="87">
        <f>(2+5+10+3)</f>
        <v>20</v>
      </c>
      <c r="B428" s="893" t="s">
        <v>296</v>
      </c>
      <c r="D428" s="893" t="s">
        <v>652</v>
      </c>
      <c r="G428" s="894" t="s">
        <v>653</v>
      </c>
      <c r="H428" s="895">
        <v>690</v>
      </c>
      <c r="I428" s="893" t="s">
        <v>648</v>
      </c>
      <c r="J428" s="893" t="s">
        <v>649</v>
      </c>
      <c r="O428" s="896">
        <v>1</v>
      </c>
      <c r="P428" s="897">
        <v>34669</v>
      </c>
      <c r="Q428" s="902">
        <v>3.66</v>
      </c>
      <c r="R428" s="899">
        <f t="shared" si="19"/>
        <v>73.2</v>
      </c>
      <c r="S428" s="898">
        <v>0.2</v>
      </c>
      <c r="T428" s="900">
        <f t="shared" si="20"/>
        <v>4</v>
      </c>
    </row>
    <row r="429" spans="1:20" s="893" customFormat="1" ht="13.2">
      <c r="A429" s="87">
        <v>60</v>
      </c>
      <c r="B429" s="893" t="s">
        <v>296</v>
      </c>
      <c r="D429" s="893" t="s">
        <v>726</v>
      </c>
      <c r="G429" s="894" t="s">
        <v>728</v>
      </c>
      <c r="H429" s="895">
        <v>617</v>
      </c>
      <c r="I429" s="893" t="s">
        <v>729</v>
      </c>
      <c r="J429" s="893" t="s">
        <v>730</v>
      </c>
      <c r="O429" s="896">
        <v>2</v>
      </c>
      <c r="P429" s="897">
        <v>38433</v>
      </c>
      <c r="Q429" s="898">
        <v>1.4524999999999999</v>
      </c>
      <c r="R429" s="899">
        <f>$A429*Q429</f>
        <v>87.149999999999991</v>
      </c>
      <c r="S429" s="898">
        <v>0.03</v>
      </c>
      <c r="T429" s="900">
        <f>$A429*S429*$T$1</f>
        <v>1.7999999999999998</v>
      </c>
    </row>
    <row r="430" spans="1:20" s="893" customFormat="1" ht="13.2">
      <c r="A430" s="87">
        <v>1</v>
      </c>
      <c r="B430" s="893" t="s">
        <v>141</v>
      </c>
      <c r="D430" s="893" t="s">
        <v>658</v>
      </c>
      <c r="G430" s="894" t="s">
        <v>659</v>
      </c>
      <c r="H430" s="895">
        <v>900</v>
      </c>
      <c r="I430" s="893" t="s">
        <v>660</v>
      </c>
      <c r="O430" s="896">
        <v>1</v>
      </c>
      <c r="P430" s="897"/>
      <c r="Q430" s="898"/>
      <c r="R430" s="899">
        <f t="shared" si="19"/>
        <v>0</v>
      </c>
      <c r="S430" s="898">
        <v>0.25</v>
      </c>
      <c r="T430" s="900">
        <f t="shared" si="20"/>
        <v>0.25</v>
      </c>
    </row>
    <row r="431" spans="1:20" s="893" customFormat="1" ht="13.2">
      <c r="A431"/>
      <c r="D431" s="903" t="s">
        <v>843</v>
      </c>
      <c r="G431" s="894"/>
      <c r="H431" s="895"/>
      <c r="O431" s="896"/>
      <c r="P431" s="897"/>
      <c r="Q431" s="898"/>
      <c r="R431" s="899"/>
      <c r="S431" s="898"/>
      <c r="T431" s="900"/>
    </row>
    <row r="432" spans="1:20" s="501" customFormat="1" ht="14.4" customHeight="1">
      <c r="A432" s="767"/>
      <c r="B432" s="567"/>
      <c r="C432" s="567"/>
      <c r="D432" s="567"/>
      <c r="E432" s="567"/>
      <c r="F432" s="567"/>
      <c r="G432" s="567"/>
      <c r="H432" s="764"/>
      <c r="I432" s="567"/>
      <c r="J432" s="45"/>
      <c r="K432" s="769"/>
      <c r="L432" s="770"/>
      <c r="M432" s="567"/>
      <c r="N432" s="567"/>
      <c r="O432" s="45"/>
      <c r="P432" s="567"/>
      <c r="Q432" s="567"/>
      <c r="R432" s="771">
        <f>$A432*Q432</f>
        <v>0</v>
      </c>
      <c r="S432" s="567"/>
      <c r="T432" s="500">
        <f>$A432*S432*$T$1</f>
        <v>0</v>
      </c>
    </row>
    <row r="433" spans="1:41" s="501" customFormat="1" ht="12">
      <c r="A433" s="772" t="s">
        <v>145</v>
      </c>
      <c r="B433" s="773">
        <f>(R432+T432)</f>
        <v>0</v>
      </c>
      <c r="C433" s="753"/>
      <c r="G433" s="774"/>
      <c r="H433" s="774"/>
      <c r="I433" s="774"/>
      <c r="J433" s="774"/>
      <c r="K433" s="750" t="s">
        <v>3</v>
      </c>
      <c r="L433" s="775" t="s">
        <v>573</v>
      </c>
      <c r="M433" s="774"/>
      <c r="N433" s="774"/>
      <c r="O433" s="774"/>
      <c r="P433" s="774"/>
      <c r="Q433" s="776"/>
      <c r="R433" s="777">
        <f>SUM(R418:R432)</f>
        <v>284.85500000000002</v>
      </c>
      <c r="S433" s="778"/>
      <c r="T433" s="777">
        <f>SUM(T418:T432)</f>
        <v>10.600000000000001</v>
      </c>
      <c r="AG433" s="779">
        <f>ROUND($R433*$S$2,2)</f>
        <v>384.55</v>
      </c>
    </row>
    <row r="434" spans="1:41" s="501" customFormat="1" ht="12" customHeight="1">
      <c r="A434" s="760"/>
      <c r="B434" s="780"/>
      <c r="C434" s="781"/>
      <c r="D434" s="782" t="str">
        <f>$F$3</f>
        <v>Technician</v>
      </c>
      <c r="E434" s="782">
        <f>ROUND(($R438*$S$3 + ($T438*$T$3)), 2)</f>
        <v>0</v>
      </c>
      <c r="F434" s="783">
        <f>$E434*$C$12</f>
        <v>0</v>
      </c>
      <c r="G434" s="499"/>
      <c r="H434" s="499"/>
      <c r="I434" s="499"/>
      <c r="J434" s="499"/>
      <c r="K434" s="765" t="s">
        <v>5</v>
      </c>
      <c r="L434" s="766" t="s">
        <v>573</v>
      </c>
      <c r="M434" s="499"/>
      <c r="N434" s="499"/>
      <c r="O434" s="499"/>
      <c r="P434" s="499"/>
      <c r="Q434" s="499"/>
      <c r="R434" s="784"/>
      <c r="S434" s="499"/>
      <c r="T434" s="784"/>
    </row>
    <row r="435" spans="1:41" s="797" customFormat="1" ht="15.6" customHeight="1">
      <c r="A435" s="785"/>
      <c r="B435" s="768" t="s">
        <v>575</v>
      </c>
      <c r="C435" s="786"/>
      <c r="D435" s="787"/>
      <c r="E435" s="787"/>
      <c r="F435" s="787"/>
      <c r="G435" s="788"/>
      <c r="H435" s="789"/>
      <c r="I435" s="789"/>
      <c r="J435" s="790"/>
      <c r="K435" s="791"/>
      <c r="L435" s="786"/>
      <c r="M435" s="792"/>
      <c r="N435" s="793"/>
      <c r="O435" s="794"/>
      <c r="P435" s="795"/>
      <c r="Q435" s="796"/>
      <c r="R435" s="771">
        <f>$A435*Q435</f>
        <v>0</v>
      </c>
      <c r="S435" s="567"/>
      <c r="T435" s="500">
        <f>$A435*S435*$T$1</f>
        <v>0</v>
      </c>
    </row>
    <row r="436" spans="1:41" s="501" customFormat="1" ht="15.6" customHeight="1">
      <c r="A436" s="767"/>
      <c r="B436" s="567"/>
      <c r="C436" s="567"/>
      <c r="D436" s="567"/>
      <c r="E436" s="567"/>
      <c r="F436" s="567"/>
      <c r="G436" s="567"/>
      <c r="H436" s="567"/>
      <c r="I436" s="567"/>
      <c r="J436" s="567"/>
      <c r="K436" s="567"/>
      <c r="L436" s="770"/>
      <c r="M436" s="567"/>
      <c r="N436" s="567"/>
      <c r="O436" s="567"/>
      <c r="P436" s="567"/>
      <c r="Q436" s="567"/>
      <c r="R436" s="771">
        <f>$A436*Q436</f>
        <v>0</v>
      </c>
      <c r="S436" s="567"/>
      <c r="T436" s="500">
        <f>$A436*S436*$T$1</f>
        <v>0</v>
      </c>
    </row>
    <row r="437" spans="1:41" s="501" customFormat="1" ht="15.6" customHeight="1">
      <c r="A437" s="767"/>
      <c r="B437" s="567"/>
      <c r="C437" s="567"/>
      <c r="D437" s="3"/>
      <c r="E437" s="567"/>
      <c r="F437" s="567"/>
      <c r="G437" s="567"/>
      <c r="H437" s="567"/>
      <c r="I437" s="567"/>
      <c r="J437" s="567"/>
      <c r="K437" s="567"/>
      <c r="L437" s="770"/>
      <c r="M437" s="567"/>
      <c r="N437" s="567"/>
      <c r="O437" s="567"/>
      <c r="P437" s="567"/>
      <c r="Q437" s="567"/>
      <c r="R437" s="771">
        <f>$A437*Q437</f>
        <v>0</v>
      </c>
      <c r="S437" s="567"/>
      <c r="T437" s="500">
        <f>$A437*S437*$T$1</f>
        <v>0</v>
      </c>
    </row>
    <row r="438" spans="1:41" s="501" customFormat="1" ht="12">
      <c r="A438" s="772" t="s">
        <v>145</v>
      </c>
      <c r="B438" s="773">
        <f>(R437+T437)</f>
        <v>0</v>
      </c>
      <c r="C438" s="753"/>
      <c r="G438" s="774"/>
      <c r="H438" s="774"/>
      <c r="I438" s="774"/>
      <c r="J438" s="774"/>
      <c r="K438" s="798" t="s">
        <v>5</v>
      </c>
      <c r="L438" s="775" t="s">
        <v>573</v>
      </c>
      <c r="M438" s="774"/>
      <c r="N438" s="774"/>
      <c r="O438" s="774"/>
      <c r="P438" s="774"/>
      <c r="Q438" s="776"/>
      <c r="R438" s="777">
        <f>SUM(R434:R437)</f>
        <v>0</v>
      </c>
      <c r="S438" s="778"/>
      <c r="T438" s="777">
        <f>SUM(T434:T437)</f>
        <v>0</v>
      </c>
      <c r="AG438" s="799">
        <f>ROUND($R438*$S$3,2)</f>
        <v>0</v>
      </c>
    </row>
    <row r="439" spans="1:41" s="501" customFormat="1" ht="12" customHeight="1">
      <c r="A439" s="800"/>
      <c r="B439" s="801"/>
      <c r="C439" s="802"/>
      <c r="D439" s="803" t="str">
        <f>$F$4</f>
        <v>Engineer (Man Hours)</v>
      </c>
      <c r="E439" s="803">
        <f>ROUND(($R443*$S$4 + ($T443*$T$4)), 2)</f>
        <v>0</v>
      </c>
      <c r="F439" s="804">
        <f ca="1">$F415-SUMIF($L417:$P436,"SUBI",$F417:$F436)</f>
        <v>0</v>
      </c>
      <c r="G439" s="499"/>
      <c r="H439" s="499"/>
      <c r="I439" s="499"/>
      <c r="J439" s="499"/>
      <c r="K439" s="805" t="s">
        <v>8</v>
      </c>
      <c r="L439" s="766" t="s">
        <v>573</v>
      </c>
      <c r="M439" s="499"/>
      <c r="N439" s="499"/>
      <c r="O439" s="499"/>
      <c r="P439" s="499"/>
      <c r="Q439" s="499"/>
      <c r="R439" s="784"/>
      <c r="S439" s="499"/>
      <c r="T439" s="784"/>
    </row>
    <row r="440" spans="1:41" s="797" customFormat="1" ht="14.4" customHeight="1">
      <c r="A440" s="785"/>
      <c r="B440" s="768" t="s">
        <v>576</v>
      </c>
      <c r="C440" s="786"/>
      <c r="D440" s="787"/>
      <c r="E440" s="787"/>
      <c r="F440" s="787"/>
      <c r="G440" s="788"/>
      <c r="H440" s="789"/>
      <c r="I440" s="789"/>
      <c r="J440" s="790"/>
      <c r="K440" s="791"/>
      <c r="L440" s="786"/>
      <c r="M440" s="792"/>
      <c r="N440" s="793"/>
      <c r="O440" s="806"/>
      <c r="P440" s="795"/>
      <c r="Q440" s="796"/>
      <c r="R440" s="720">
        <f>$A440*Q440</f>
        <v>0</v>
      </c>
      <c r="S440" s="796"/>
      <c r="T440" s="500">
        <f>$A440*S440*$T$1</f>
        <v>0</v>
      </c>
    </row>
    <row r="441" spans="1:41" s="501" customFormat="1" ht="12">
      <c r="A441" s="44"/>
      <c r="B441" s="497"/>
      <c r="C441" s="497"/>
      <c r="D441" s="807"/>
      <c r="E441" s="808"/>
      <c r="F441" s="499"/>
      <c r="G441" s="499"/>
      <c r="H441" s="499"/>
      <c r="I441" s="499"/>
      <c r="J441" s="499"/>
      <c r="K441" s="499"/>
      <c r="L441" s="809"/>
      <c r="M441" s="499"/>
      <c r="N441" s="499"/>
      <c r="O441" s="499"/>
      <c r="P441" s="499"/>
      <c r="Q441" s="499"/>
      <c r="R441" s="720">
        <f>$A441*Q441</f>
        <v>0</v>
      </c>
      <c r="S441" s="499"/>
      <c r="T441" s="500">
        <f>$A441*S441*$T$1</f>
        <v>0</v>
      </c>
    </row>
    <row r="442" spans="1:41" s="501" customFormat="1" ht="12">
      <c r="A442" s="44"/>
      <c r="B442" s="497"/>
      <c r="C442" s="497"/>
      <c r="D442" s="807"/>
      <c r="E442" s="808"/>
      <c r="F442" s="499"/>
      <c r="G442" s="499"/>
      <c r="H442" s="499"/>
      <c r="I442" s="499"/>
      <c r="J442" s="499"/>
      <c r="K442" s="499"/>
      <c r="L442" s="809"/>
      <c r="M442" s="499"/>
      <c r="N442" s="499"/>
      <c r="O442" s="499"/>
      <c r="P442" s="499"/>
      <c r="Q442" s="499"/>
      <c r="R442" s="720">
        <f>$A442*Q442</f>
        <v>0</v>
      </c>
      <c r="S442" s="499"/>
      <c r="T442" s="500">
        <f>$A442*S442*$T$1</f>
        <v>0</v>
      </c>
    </row>
    <row r="443" spans="1:41" s="501" customFormat="1" ht="12.75" customHeight="1">
      <c r="A443" s="772" t="s">
        <v>145</v>
      </c>
      <c r="B443" s="773">
        <f>(R442+T442)</f>
        <v>0</v>
      </c>
      <c r="C443" s="810"/>
      <c r="D443" s="810"/>
      <c r="E443" s="810"/>
      <c r="F443" s="810"/>
      <c r="G443" s="776"/>
      <c r="H443" s="776"/>
      <c r="I443" s="776"/>
      <c r="J443" s="776"/>
      <c r="K443" s="798" t="s">
        <v>8</v>
      </c>
      <c r="L443" s="811" t="s">
        <v>573</v>
      </c>
      <c r="M443" s="776"/>
      <c r="N443" s="776"/>
      <c r="O443" s="776"/>
      <c r="P443" s="776"/>
      <c r="Q443" s="776"/>
      <c r="R443" s="777">
        <f>SUM(R439:R442)</f>
        <v>0</v>
      </c>
      <c r="S443" s="778"/>
      <c r="T443" s="777">
        <f>SUM(T439:T442)</f>
        <v>0</v>
      </c>
      <c r="AG443" s="812">
        <f>ROUND($R443*$S$4,2)</f>
        <v>0</v>
      </c>
    </row>
    <row r="444" spans="1:41" s="501" customFormat="1" ht="12.75" customHeight="1">
      <c r="A444" s="813"/>
      <c r="B444" s="814"/>
      <c r="E444" s="497"/>
      <c r="F444" s="808"/>
      <c r="G444" s="497"/>
      <c r="H444" s="497"/>
      <c r="I444" s="499"/>
      <c r="J444" s="497"/>
      <c r="K444" s="497"/>
      <c r="L444" s="815"/>
      <c r="M444" s="725"/>
      <c r="N444" s="725"/>
      <c r="O444" s="725"/>
      <c r="P444" s="725"/>
      <c r="Q444" s="726"/>
      <c r="R444" s="784"/>
      <c r="S444" s="497"/>
      <c r="T444" s="784"/>
    </row>
    <row r="445" spans="1:41" s="501" customFormat="1" ht="13.5" customHeight="1" thickBot="1">
      <c r="A445" s="816"/>
      <c r="B445" s="817"/>
      <c r="C445" s="518"/>
      <c r="D445" s="518"/>
      <c r="E445" s="515"/>
      <c r="F445" s="721"/>
      <c r="G445" s="515" t="s">
        <v>146</v>
      </c>
      <c r="H445" s="515"/>
      <c r="I445" s="516"/>
      <c r="J445" s="515"/>
      <c r="K445" s="515"/>
      <c r="L445" s="818" t="s">
        <v>143</v>
      </c>
      <c r="M445" s="517"/>
      <c r="N445" s="517"/>
      <c r="O445" s="517"/>
      <c r="P445" s="517"/>
      <c r="Q445" s="722"/>
      <c r="R445" s="819">
        <f>SUMIF($L416:$L444,"SUBI",R416:R444)</f>
        <v>284.85500000000002</v>
      </c>
      <c r="S445" s="820"/>
      <c r="T445" s="819">
        <f>SUMIF($L416:$L444,"SUBI",T416:T444)</f>
        <v>10.600000000000001</v>
      </c>
      <c r="U445" s="518"/>
      <c r="V445" s="518"/>
      <c r="W445" s="518"/>
      <c r="X445" s="518"/>
      <c r="Y445" s="518"/>
      <c r="Z445" s="518"/>
      <c r="AA445" s="518"/>
      <c r="AB445" s="518"/>
      <c r="AC445" s="518"/>
      <c r="AD445" s="518"/>
      <c r="AE445" s="518"/>
      <c r="AF445" s="518"/>
      <c r="AG445" s="518"/>
      <c r="AH445" s="518"/>
      <c r="AI445" s="518"/>
      <c r="AJ445" s="518"/>
      <c r="AK445" s="518"/>
      <c r="AL445" s="518"/>
      <c r="AM445" s="518"/>
      <c r="AN445" s="518"/>
      <c r="AO445" s="518"/>
    </row>
    <row r="446" spans="1:41" s="501" customFormat="1" thickTop="1">
      <c r="A446" s="44"/>
      <c r="B446" s="44"/>
      <c r="C446" s="3"/>
      <c r="D446" s="3"/>
      <c r="E446" s="44"/>
      <c r="F446" s="44"/>
      <c r="G446" s="44"/>
      <c r="H446" s="44"/>
      <c r="I446" s="44"/>
      <c r="J446" s="44"/>
      <c r="K446" s="44" t="s">
        <v>134</v>
      </c>
      <c r="L446" s="44"/>
      <c r="M446" s="44"/>
      <c r="N446" s="44"/>
      <c r="O446" s="45"/>
      <c r="P446" s="44"/>
      <c r="Q446" s="44"/>
      <c r="R446" s="44"/>
      <c r="S446" s="44"/>
      <c r="T446" s="44"/>
    </row>
    <row r="447" spans="1:41" s="501" customFormat="1" ht="12">
      <c r="A447" s="44"/>
      <c r="B447" s="44"/>
      <c r="C447" s="44" t="s">
        <v>135</v>
      </c>
      <c r="D447" s="35" t="s">
        <v>930</v>
      </c>
      <c r="E447" s="44"/>
      <c r="F447" s="44"/>
      <c r="G447" s="44"/>
      <c r="H447" s="44"/>
      <c r="I447" s="44"/>
      <c r="J447" s="44"/>
      <c r="K447" s="44"/>
      <c r="L447" s="44"/>
      <c r="M447" s="44"/>
      <c r="N447" s="44"/>
      <c r="O447" s="45"/>
      <c r="P447" s="44"/>
      <c r="Q447" s="44"/>
      <c r="R447" s="44"/>
      <c r="S447" s="44"/>
      <c r="T447" s="44"/>
    </row>
    <row r="448" spans="1:41" s="501" customFormat="1" ht="12">
      <c r="A448" s="44"/>
      <c r="B448" s="44"/>
      <c r="C448" s="44"/>
      <c r="D448" s="35" t="s">
        <v>303</v>
      </c>
      <c r="E448" s="44"/>
      <c r="F448" s="44"/>
      <c r="G448" s="44"/>
      <c r="H448" s="44"/>
      <c r="I448" s="44"/>
      <c r="J448" s="44"/>
      <c r="K448" s="44"/>
      <c r="L448" s="44"/>
      <c r="M448" s="44"/>
      <c r="N448" s="44"/>
      <c r="O448" s="45"/>
      <c r="P448" s="44"/>
      <c r="Q448" s="44"/>
      <c r="R448" s="44"/>
      <c r="S448" s="36"/>
      <c r="T448" s="36"/>
    </row>
    <row r="449" spans="1:41" s="3" customFormat="1" thickBot="1">
      <c r="A449" s="518"/>
      <c r="O449" s="86"/>
    </row>
    <row r="450" spans="1:41" s="501" customFormat="1" thickTop="1">
      <c r="A450" s="44"/>
      <c r="B450" s="39"/>
      <c r="C450" s="44"/>
      <c r="E450" s="40" t="s">
        <v>138</v>
      </c>
      <c r="F450" s="40" t="s">
        <v>139</v>
      </c>
      <c r="G450" s="44"/>
      <c r="H450" s="44"/>
      <c r="I450" s="44"/>
      <c r="J450" s="44"/>
      <c r="K450" s="44" t="s">
        <v>140</v>
      </c>
      <c r="L450" s="737"/>
      <c r="M450" s="44"/>
      <c r="N450" s="44"/>
      <c r="O450" s="45"/>
      <c r="P450" s="44"/>
      <c r="Q450"/>
      <c r="R450"/>
      <c r="S450"/>
      <c r="T450" s="39"/>
      <c r="AG450" s="502" t="s">
        <v>247</v>
      </c>
      <c r="AH450" s="502" t="s">
        <v>248</v>
      </c>
      <c r="AI450" s="502" t="s">
        <v>249</v>
      </c>
      <c r="AJ450" s="502" t="s">
        <v>250</v>
      </c>
      <c r="AK450" s="502" t="s">
        <v>251</v>
      </c>
      <c r="AM450" s="710" t="s">
        <v>260</v>
      </c>
      <c r="AN450" s="711" t="s">
        <v>261</v>
      </c>
      <c r="AO450" s="503" t="s">
        <v>257</v>
      </c>
    </row>
    <row r="451" spans="1:41" s="501" customFormat="1" ht="13.2">
      <c r="A451" s="712">
        <v>1</v>
      </c>
      <c r="B451" s="504" t="s">
        <v>283</v>
      </c>
      <c r="C451" s="505"/>
      <c r="D451" s="713" t="s">
        <v>931</v>
      </c>
      <c r="E451" s="738">
        <f ca="1">IF(AND($A451=0,$A$1="DIF"),0, ROUND(ROUND(SUMIF($L453:$L459,"SUBI",$E453:$E459)/$A451,2)*$C$12,2))</f>
        <v>3991.72</v>
      </c>
      <c r="F451" s="739">
        <f ca="1">ROUND($A451*$E451,2)</f>
        <v>3991.72</v>
      </c>
      <c r="G451" s="506" t="s">
        <v>142</v>
      </c>
      <c r="H451" s="498"/>
      <c r="I451" s="716"/>
      <c r="J451" s="498"/>
      <c r="K451" s="740"/>
      <c r="L451" s="741" t="s">
        <v>143</v>
      </c>
      <c r="M451" s="717"/>
      <c r="N451" s="717"/>
      <c r="O451" s="717"/>
      <c r="P451" s="717"/>
      <c r="Q451" s="943" t="s">
        <v>855</v>
      </c>
      <c r="R451" s="943" t="s">
        <v>1098</v>
      </c>
      <c r="S451"/>
      <c r="T451" s="742" t="str">
        <f ca="1">IF(AND($R464=0,$T464=0),"0.00","mu :" &amp; ROUND($F451/$C$12/($R464+$T464*$D$9),2))</f>
        <v>mu :1.35</v>
      </c>
      <c r="W451" s="507"/>
      <c r="AG451" s="743">
        <f ca="1">IF(A451=0,0,ROUND(SUM(AG453:AG464)/A451,2))</f>
        <v>3946.2</v>
      </c>
      <c r="AH451" s="743">
        <f ca="1">$AG451*$A451</f>
        <v>3946.2</v>
      </c>
      <c r="AI451" s="743">
        <f ca="1">$E451-$AG451</f>
        <v>45.519999999999982</v>
      </c>
      <c r="AJ451" s="743">
        <f ca="1">$A451*$AI451</f>
        <v>45.519999999999982</v>
      </c>
      <c r="AK451" s="744">
        <f ca="1">ROUND(($AG451+$AI451)*$A451,2)</f>
        <v>3991.72</v>
      </c>
      <c r="AM451" s="510">
        <f ca="1">ROUND(R464,2)</f>
        <v>2923.11</v>
      </c>
      <c r="AN451" s="511">
        <f ca="1">ROUND(T464,2)</f>
        <v>1</v>
      </c>
      <c r="AO451" s="512">
        <f ca="1">ROUND(AM451+AN451,2)*A451</f>
        <v>2924.11</v>
      </c>
    </row>
    <row r="452" spans="1:41" s="501" customFormat="1" ht="19.95" customHeight="1">
      <c r="A452" s="745"/>
      <c r="B452" s="746"/>
      <c r="C452" s="505"/>
      <c r="D452" s="724" t="s">
        <v>319</v>
      </c>
      <c r="F452" s="498"/>
      <c r="G452" s="498"/>
      <c r="H452" s="498"/>
      <c r="I452" s="716"/>
      <c r="J452" s="498"/>
      <c r="K452" s="498" t="s">
        <v>144</v>
      </c>
      <c r="L452" s="747"/>
      <c r="M452" s="498"/>
      <c r="N452" s="498"/>
      <c r="O452" s="498"/>
      <c r="P452" s="498"/>
      <c r="Q452" s="44"/>
      <c r="R452" s="567"/>
      <c r="S452" s="719"/>
      <c r="T452" s="498"/>
    </row>
    <row r="453" spans="1:41" s="501" customFormat="1" ht="12">
      <c r="A453" s="821"/>
      <c r="B453" s="822"/>
      <c r="C453" s="497"/>
      <c r="D453" s="498"/>
      <c r="E453" s="823">
        <f ca="1">F451/$C$12-SUMIF($L450:$L464,"SUBI",$E450:$E464)</f>
        <v>0</v>
      </c>
      <c r="F453" s="824" t="s">
        <v>572</v>
      </c>
      <c r="G453" s="753"/>
      <c r="H453" s="753"/>
      <c r="I453" s="754"/>
      <c r="J453" s="753"/>
      <c r="K453" s="753"/>
      <c r="L453" s="755"/>
      <c r="M453" s="756"/>
      <c r="N453" s="756"/>
      <c r="O453" s="756"/>
      <c r="P453" s="756"/>
      <c r="Q453" s="757"/>
      <c r="R453" s="758"/>
      <c r="S453" s="757"/>
      <c r="T453" s="759"/>
    </row>
    <row r="454" spans="1:41" s="501" customFormat="1" ht="12" customHeight="1">
      <c r="A454" s="760"/>
      <c r="B454" s="761"/>
      <c r="C454" s="762"/>
      <c r="D454" s="762" t="str">
        <f>$F$2</f>
        <v>Electrical</v>
      </c>
      <c r="E454" s="762">
        <f ca="1">ROUND(($R458*$S$2 + ($T458*$T$2)), 2)</f>
        <v>0</v>
      </c>
      <c r="F454" s="763">
        <f ca="1">$E454*$C$12</f>
        <v>0</v>
      </c>
      <c r="G454" s="567"/>
      <c r="H454" s="764"/>
      <c r="I454" s="567"/>
      <c r="J454" s="45"/>
      <c r="K454" s="765" t="s">
        <v>3</v>
      </c>
      <c r="L454" s="766" t="s">
        <v>573</v>
      </c>
      <c r="M454" s="567"/>
      <c r="N454" s="567"/>
      <c r="O454" s="45"/>
      <c r="P454" s="567"/>
      <c r="Q454" s="567"/>
      <c r="R454"/>
      <c r="S454"/>
      <c r="T454"/>
    </row>
    <row r="455" spans="1:41" s="935" customFormat="1" ht="13.2">
      <c r="A455" s="1144"/>
      <c r="B455" s="1145"/>
      <c r="C455" s="1145" t="s">
        <v>735</v>
      </c>
      <c r="D455" s="1145" t="str">
        <f ca="1">CELL("Address",Elec_Rates!D$97)</f>
        <v>[E25_0465_IH_Retro_Elec4Mech_Est_Rev_A.xlsx]Elec_Rates!$D$97</v>
      </c>
      <c r="E455" s="1146"/>
      <c r="F455" s="1146"/>
      <c r="G455" s="1147" t="s">
        <v>736</v>
      </c>
      <c r="H455" s="1147"/>
      <c r="I455" s="1147"/>
      <c r="J455" s="1147"/>
      <c r="K455" s="1148"/>
      <c r="L455" s="1146"/>
      <c r="M455" s="1146"/>
      <c r="N455" s="1146"/>
      <c r="O455" s="1149"/>
      <c r="P455" s="1146"/>
      <c r="Q455" s="1150"/>
      <c r="R455" s="1151"/>
      <c r="S455" s="1150"/>
      <c r="T455" s="1152"/>
      <c r="U455" s="934"/>
    </row>
    <row r="456" spans="1:41" s="935" customFormat="1" ht="11.4">
      <c r="A456" s="1153">
        <v>0</v>
      </c>
      <c r="B456" s="1154">
        <v>1</v>
      </c>
      <c r="C456" s="1154">
        <f>$A456*$B456</f>
        <v>0</v>
      </c>
      <c r="D456" s="1155" t="str">
        <f>Elec_Rates!$D$97</f>
        <v>009# Energy Meter M-Bus</v>
      </c>
      <c r="E456" s="1155"/>
      <c r="F456" s="1155" t="s">
        <v>737</v>
      </c>
      <c r="G456" s="1156" t="s">
        <v>738</v>
      </c>
      <c r="H456" s="1156"/>
      <c r="I456" s="1156"/>
      <c r="J456" s="1156"/>
      <c r="K456" s="1157"/>
      <c r="L456" s="1158"/>
      <c r="M456" s="1158"/>
      <c r="N456" s="1158"/>
      <c r="O456" s="1159"/>
      <c r="P456" s="1155"/>
      <c r="Q456" s="1160">
        <f ca="1">$B456*Elec_Rates!$R$97</f>
        <v>226.8</v>
      </c>
      <c r="R456" s="1151">
        <f ca="1">$A456*Q456</f>
        <v>0</v>
      </c>
      <c r="S456" s="1160">
        <f ca="1">$B456*Elec_Rates!$T$97</f>
        <v>11.7</v>
      </c>
      <c r="T456" s="1152">
        <f ca="1">$A456*S456</f>
        <v>0</v>
      </c>
      <c r="U456" s="484"/>
    </row>
    <row r="457" spans="1:41" s="501" customFormat="1" ht="13.95" customHeight="1">
      <c r="A457" s="767"/>
      <c r="B457" s="567"/>
      <c r="C457" s="567"/>
      <c r="D457" s="567"/>
      <c r="E457" s="567"/>
      <c r="F457" s="567"/>
      <c r="G457" s="567"/>
      <c r="H457" s="764"/>
      <c r="I457" s="567"/>
      <c r="J457" s="45"/>
      <c r="K457" s="769"/>
      <c r="L457" s="770"/>
      <c r="M457" s="567"/>
      <c r="N457" s="567"/>
      <c r="O457" s="45"/>
      <c r="P457" s="567"/>
      <c r="Q457" s="567"/>
      <c r="R457" s="771">
        <f>$A457*Q457</f>
        <v>0</v>
      </c>
      <c r="S457" s="567"/>
      <c r="T457" s="500">
        <f>$A457*S457*$T$1</f>
        <v>0</v>
      </c>
    </row>
    <row r="458" spans="1:41" s="501" customFormat="1" ht="12">
      <c r="A458" s="825" t="s">
        <v>145</v>
      </c>
      <c r="B458" s="826">
        <f>(R457+T457)</f>
        <v>0</v>
      </c>
      <c r="C458" s="497"/>
      <c r="G458" s="774"/>
      <c r="H458" s="774"/>
      <c r="I458" s="774"/>
      <c r="J458" s="774"/>
      <c r="K458" s="750" t="s">
        <v>3</v>
      </c>
      <c r="L458" s="775" t="s">
        <v>573</v>
      </c>
      <c r="M458" s="774"/>
      <c r="N458" s="774"/>
      <c r="O458" s="774"/>
      <c r="P458" s="774"/>
      <c r="Q458" s="776"/>
      <c r="R458" s="777">
        <f ca="1">SUM(R454:R457)</f>
        <v>0</v>
      </c>
      <c r="S458" s="778"/>
      <c r="T458" s="777">
        <f ca="1">SUM(T454:T457)</f>
        <v>0</v>
      </c>
      <c r="AG458" s="779">
        <f ca="1">ROUND($R458*$S$2,2)</f>
        <v>0</v>
      </c>
    </row>
    <row r="459" spans="1:41" s="501" customFormat="1" ht="12" customHeight="1">
      <c r="A459" s="800"/>
      <c r="B459" s="827"/>
      <c r="C459" s="828"/>
      <c r="D459" s="828" t="str">
        <f>$F$3</f>
        <v>Technician</v>
      </c>
      <c r="E459" s="828">
        <f>ROUND(($R462*$S$3 + ($T462*$T$3)), 2)</f>
        <v>3991.72</v>
      </c>
      <c r="F459" s="829">
        <f ca="1">$F451-SUMIF($L453:$P456,"SUBI",$F453:$F456)</f>
        <v>3991.72</v>
      </c>
      <c r="G459" s="499"/>
      <c r="H459" s="499"/>
      <c r="I459" s="499"/>
      <c r="J459" s="499"/>
      <c r="K459" s="765" t="s">
        <v>5</v>
      </c>
      <c r="L459" s="766" t="s">
        <v>573</v>
      </c>
      <c r="M459" s="499"/>
      <c r="N459" s="499"/>
      <c r="O459" s="499"/>
      <c r="P459" s="499"/>
      <c r="Q459" s="499"/>
      <c r="R459" s="784"/>
      <c r="S459" s="499"/>
      <c r="T459" s="784"/>
    </row>
    <row r="460" spans="1:41" s="893" customFormat="1" ht="13.2">
      <c r="A460">
        <v>1</v>
      </c>
      <c r="B460" s="893" t="s">
        <v>141</v>
      </c>
      <c r="D460" s="893" t="s">
        <v>641</v>
      </c>
      <c r="E460" s="901" t="s">
        <v>644</v>
      </c>
      <c r="F460" s="1134" t="s">
        <v>1107</v>
      </c>
      <c r="G460" s="894" t="s">
        <v>642</v>
      </c>
      <c r="H460" s="895">
        <v>512</v>
      </c>
      <c r="I460" s="893" t="s">
        <v>643</v>
      </c>
      <c r="O460" s="896">
        <v>3</v>
      </c>
      <c r="P460" s="897"/>
      <c r="Q460" s="898">
        <v>2923.11</v>
      </c>
      <c r="R460" s="899">
        <f>$A460*Q460</f>
        <v>2923.11</v>
      </c>
      <c r="S460" s="898">
        <v>1</v>
      </c>
      <c r="T460" s="900">
        <f>$A460*S460*$T$1</f>
        <v>1</v>
      </c>
    </row>
    <row r="461" spans="1:41" s="501" customFormat="1" ht="13.2">
      <c r="A461" s="767"/>
      <c r="B461" s="567"/>
      <c r="C461" s="567"/>
      <c r="D461" s="3"/>
      <c r="E461" s="567"/>
      <c r="F461" s="567"/>
      <c r="G461" s="567"/>
      <c r="H461" s="567"/>
      <c r="I461" s="567"/>
      <c r="J461" s="567"/>
      <c r="K461" s="567"/>
      <c r="L461" s="770"/>
      <c r="M461" s="567"/>
      <c r="N461" s="567"/>
      <c r="O461" s="567"/>
      <c r="P461" s="567"/>
      <c r="Q461" s="567"/>
      <c r="R461" s="771">
        <f>$A461*Q461</f>
        <v>0</v>
      </c>
      <c r="S461" s="567"/>
      <c r="T461" s="500">
        <f>$A461*S461*$T$1</f>
        <v>0</v>
      </c>
    </row>
    <row r="462" spans="1:41" s="501" customFormat="1" ht="12" customHeight="1">
      <c r="A462" s="772" t="s">
        <v>145</v>
      </c>
      <c r="B462" s="773">
        <f>(R461+T461)</f>
        <v>0</v>
      </c>
      <c r="C462" s="810"/>
      <c r="D462" s="810"/>
      <c r="E462" s="810"/>
      <c r="F462" s="810"/>
      <c r="G462" s="776"/>
      <c r="H462" s="776"/>
      <c r="I462" s="776"/>
      <c r="J462" s="776"/>
      <c r="K462" s="798" t="s">
        <v>5</v>
      </c>
      <c r="L462" s="811" t="s">
        <v>573</v>
      </c>
      <c r="M462" s="776"/>
      <c r="N462" s="776"/>
      <c r="O462" s="776"/>
      <c r="P462" s="776"/>
      <c r="Q462" s="776"/>
      <c r="R462" s="777">
        <f>SUM(R459:R461)</f>
        <v>2923.11</v>
      </c>
      <c r="S462" s="778"/>
      <c r="T462" s="777">
        <f>SUM(T459:T461)</f>
        <v>1</v>
      </c>
      <c r="AG462" s="799">
        <f>ROUND($R462*$S$3,2)</f>
        <v>3946.2</v>
      </c>
    </row>
    <row r="463" spans="1:41" s="501" customFormat="1" ht="12.75" customHeight="1">
      <c r="A463" s="813"/>
      <c r="B463" s="814"/>
      <c r="E463" s="497"/>
      <c r="F463" s="808"/>
      <c r="G463" s="497"/>
      <c r="H463" s="497"/>
      <c r="I463" s="499"/>
      <c r="J463" s="497"/>
      <c r="K463" s="497"/>
      <c r="L463" s="815"/>
      <c r="M463" s="725"/>
      <c r="N463" s="725"/>
      <c r="O463" s="725"/>
      <c r="P463" s="725"/>
      <c r="Q463" s="726"/>
      <c r="R463" s="784"/>
      <c r="S463" s="497"/>
      <c r="T463" s="784"/>
    </row>
    <row r="464" spans="1:41" s="501" customFormat="1" ht="13.5" customHeight="1" thickBot="1">
      <c r="A464" s="816"/>
      <c r="B464" s="817"/>
      <c r="C464" s="518"/>
      <c r="D464" s="518"/>
      <c r="E464" s="515"/>
      <c r="F464" s="721"/>
      <c r="G464" s="515" t="s">
        <v>146</v>
      </c>
      <c r="H464" s="515"/>
      <c r="I464" s="516"/>
      <c r="J464" s="515"/>
      <c r="K464" s="515"/>
      <c r="L464" s="818" t="s">
        <v>143</v>
      </c>
      <c r="M464" s="517"/>
      <c r="N464" s="517"/>
      <c r="O464" s="517"/>
      <c r="P464" s="517"/>
      <c r="Q464" s="722"/>
      <c r="R464" s="819">
        <f ca="1">SUMIF($L452:$L463,"SUBI",R452:R463)</f>
        <v>2923.11</v>
      </c>
      <c r="S464" s="515"/>
      <c r="T464" s="819">
        <f ca="1">SUMIF($L452:$L463,"SUBI",T452:T463)</f>
        <v>1</v>
      </c>
      <c r="U464" s="518"/>
      <c r="V464" s="518"/>
      <c r="W464" s="518"/>
      <c r="X464" s="518"/>
      <c r="Y464" s="518"/>
      <c r="Z464" s="518"/>
      <c r="AA464" s="518"/>
      <c r="AB464" s="518"/>
      <c r="AC464" s="518"/>
      <c r="AD464" s="518"/>
      <c r="AE464" s="518"/>
      <c r="AF464" s="518"/>
      <c r="AG464" s="518"/>
      <c r="AH464" s="518"/>
      <c r="AI464" s="518"/>
      <c r="AJ464" s="518"/>
      <c r="AK464" s="518"/>
      <c r="AL464" s="518"/>
      <c r="AM464" s="518"/>
      <c r="AN464" s="518"/>
      <c r="AO464" s="518"/>
    </row>
    <row r="465" spans="1:41" s="501" customFormat="1" thickTop="1">
      <c r="A465" s="44"/>
      <c r="B465" s="44"/>
      <c r="C465" s="3"/>
      <c r="D465" s="3"/>
      <c r="E465" s="44"/>
      <c r="F465" s="44"/>
      <c r="G465" s="44"/>
      <c r="H465" s="44"/>
      <c r="I465" s="44"/>
      <c r="J465" s="44"/>
      <c r="K465" s="44" t="s">
        <v>134</v>
      </c>
      <c r="L465" s="44"/>
      <c r="M465" s="44"/>
      <c r="N465" s="44"/>
      <c r="O465" s="45"/>
      <c r="P465" s="44"/>
      <c r="Q465" s="44"/>
      <c r="R465" s="44"/>
      <c r="S465" s="44"/>
      <c r="T465" s="44"/>
    </row>
    <row r="466" spans="1:41" s="501" customFormat="1" ht="12">
      <c r="A466" s="44"/>
      <c r="B466" s="44"/>
      <c r="C466" s="44" t="s">
        <v>135</v>
      </c>
      <c r="D466" s="35" t="s">
        <v>932</v>
      </c>
      <c r="E466" s="44"/>
      <c r="F466" s="44"/>
      <c r="G466" s="44"/>
      <c r="H466" s="44"/>
      <c r="I466" s="44"/>
      <c r="J466" s="44"/>
      <c r="K466" s="44"/>
      <c r="L466" s="44"/>
      <c r="M466" s="44"/>
      <c r="N466" s="44"/>
      <c r="O466" s="45"/>
      <c r="P466" s="44"/>
      <c r="Q466" s="44"/>
      <c r="R466" s="44"/>
      <c r="S466" s="44"/>
      <c r="T466" s="44"/>
    </row>
    <row r="467" spans="1:41" s="501" customFormat="1" ht="12">
      <c r="A467" s="44"/>
      <c r="B467" s="44"/>
      <c r="C467" s="44"/>
      <c r="D467" s="35" t="s">
        <v>895</v>
      </c>
      <c r="E467" s="44"/>
      <c r="F467" s="44"/>
      <c r="G467" s="44"/>
      <c r="H467" s="44"/>
      <c r="I467" s="44"/>
      <c r="J467" s="44"/>
      <c r="K467" s="44"/>
      <c r="L467" s="44"/>
      <c r="M467" s="44"/>
      <c r="N467" s="44"/>
      <c r="O467" s="45"/>
      <c r="P467" s="44"/>
      <c r="Q467" s="44"/>
      <c r="R467" s="44"/>
      <c r="S467" s="36"/>
      <c r="T467" s="36"/>
    </row>
    <row r="468" spans="1:41" s="3" customFormat="1" thickBot="1">
      <c r="A468" s="518"/>
      <c r="O468" s="86"/>
    </row>
    <row r="469" spans="1:41" s="501" customFormat="1" thickTop="1">
      <c r="A469" s="44"/>
      <c r="B469" s="39"/>
      <c r="C469" s="44"/>
      <c r="E469" s="40" t="s">
        <v>138</v>
      </c>
      <c r="F469" s="40" t="s">
        <v>139</v>
      </c>
      <c r="G469" s="44"/>
      <c r="H469" s="44"/>
      <c r="I469" s="44"/>
      <c r="J469" s="44"/>
      <c r="K469" s="44" t="s">
        <v>140</v>
      </c>
      <c r="L469" s="737"/>
      <c r="M469" s="44"/>
      <c r="N469" s="44"/>
      <c r="O469" s="45"/>
      <c r="P469" s="44"/>
      <c r="Q469"/>
      <c r="R469"/>
      <c r="S469"/>
      <c r="T469" s="39"/>
      <c r="AG469" s="502" t="s">
        <v>247</v>
      </c>
      <c r="AH469" s="502" t="s">
        <v>248</v>
      </c>
      <c r="AI469" s="502" t="s">
        <v>249</v>
      </c>
      <c r="AJ469" s="502" t="s">
        <v>250</v>
      </c>
      <c r="AK469" s="502" t="s">
        <v>251</v>
      </c>
      <c r="AM469" s="710" t="s">
        <v>260</v>
      </c>
      <c r="AN469" s="711" t="s">
        <v>261</v>
      </c>
      <c r="AO469" s="503" t="s">
        <v>257</v>
      </c>
    </row>
    <row r="470" spans="1:41" s="501" customFormat="1" ht="13.2">
      <c r="A470" s="712">
        <v>1</v>
      </c>
      <c r="B470" s="504" t="s">
        <v>283</v>
      </c>
      <c r="C470" s="505"/>
      <c r="D470" s="713" t="s">
        <v>592</v>
      </c>
      <c r="E470" s="738">
        <f ca="1">IF(AND($A470=0,$A$1="DIF"),0,ROUND(ROUND(SUMIF($L472:$L483,"SUBI",$E472:$E483)/$A470,2)*$C$12,2))</f>
        <v>69.14</v>
      </c>
      <c r="F470" s="739">
        <f ca="1">ROUND($A470*$E470,2)</f>
        <v>69.14</v>
      </c>
      <c r="G470" s="506" t="s">
        <v>142</v>
      </c>
      <c r="H470" s="498"/>
      <c r="I470" s="716"/>
      <c r="J470" s="498"/>
      <c r="K470" s="740"/>
      <c r="L470" s="741" t="s">
        <v>143</v>
      </c>
      <c r="M470" s="717"/>
      <c r="N470" s="717"/>
      <c r="O470" s="717"/>
      <c r="P470" s="717"/>
      <c r="Q470" s="943" t="s">
        <v>855</v>
      </c>
      <c r="R470" s="943" t="s">
        <v>870</v>
      </c>
      <c r="S470"/>
      <c r="T470" s="742" t="str">
        <f ca="1">IF(AND($R489=0,$T489=0),"0.00","mu :" &amp; ROUND($F470/$C$12/($R489+$T489*$D$9),2))</f>
        <v>mu :1.35</v>
      </c>
      <c r="W470" s="507"/>
      <c r="AG470" s="743">
        <f ca="1">IF(A470=0,0,ROUND(SUM(AG472:AG489)/A470,2))</f>
        <v>15.01</v>
      </c>
      <c r="AH470" s="743">
        <f ca="1">$AG470*$A470</f>
        <v>15.01</v>
      </c>
      <c r="AI470" s="743">
        <f ca="1">$E470-$AG470</f>
        <v>54.13</v>
      </c>
      <c r="AJ470" s="743">
        <f ca="1">$A470*$AI470</f>
        <v>54.13</v>
      </c>
      <c r="AK470" s="744">
        <f ca="1">ROUND(($AG470+$AI470)*$A470,2)</f>
        <v>69.14</v>
      </c>
      <c r="AM470" s="510">
        <f ca="1">ROUND(R489,2)</f>
        <v>11.12</v>
      </c>
      <c r="AN470" s="511">
        <f ca="1">ROUND(T489,2)</f>
        <v>1.46</v>
      </c>
      <c r="AO470" s="512">
        <f ca="1">ROUND(AM470+AN470,2)*A470</f>
        <v>12.58</v>
      </c>
    </row>
    <row r="471" spans="1:41" s="501" customFormat="1" ht="21.6" customHeight="1">
      <c r="A471" s="745"/>
      <c r="B471" s="746"/>
      <c r="C471" s="505"/>
      <c r="D471" s="724" t="s">
        <v>415</v>
      </c>
      <c r="F471" s="498"/>
      <c r="G471" s="498"/>
      <c r="H471" s="498"/>
      <c r="I471" s="716"/>
      <c r="J471" s="498"/>
      <c r="K471" s="498" t="s">
        <v>144</v>
      </c>
      <c r="L471" s="747"/>
      <c r="M471" s="498"/>
      <c r="N471" s="498"/>
      <c r="O471" s="498"/>
      <c r="P471" s="498"/>
      <c r="Q471" s="44"/>
      <c r="R471" s="567"/>
      <c r="S471" s="719"/>
      <c r="T471" s="498"/>
    </row>
    <row r="472" spans="1:41" s="501" customFormat="1" ht="12">
      <c r="A472" s="748"/>
      <c r="B472" s="749"/>
      <c r="C472" s="497"/>
      <c r="D472" s="750"/>
      <c r="E472" s="751">
        <f ca="1">F470/$C$12-SUMIF($L469:$L489,"SUBI",$E469:$E489)</f>
        <v>0</v>
      </c>
      <c r="F472" s="752" t="s">
        <v>572</v>
      </c>
      <c r="G472" s="753"/>
      <c r="H472" s="753"/>
      <c r="I472" s="754"/>
      <c r="J472" s="753"/>
      <c r="K472" s="753"/>
      <c r="L472" s="755"/>
      <c r="M472" s="756"/>
      <c r="N472" s="756"/>
      <c r="O472" s="756"/>
      <c r="P472" s="756"/>
      <c r="Q472" s="757"/>
      <c r="R472" s="758"/>
      <c r="S472" s="757"/>
      <c r="T472" s="759"/>
    </row>
    <row r="473" spans="1:41" s="501" customFormat="1" ht="12" customHeight="1">
      <c r="A473" s="760"/>
      <c r="B473" s="761"/>
      <c r="C473" s="762"/>
      <c r="D473" s="762" t="str">
        <f>$F$2</f>
        <v>Electrical</v>
      </c>
      <c r="E473" s="762">
        <f ca="1">ROUND(($R477*$S$2 + ($T477*$T$2)), 2)</f>
        <v>69.14</v>
      </c>
      <c r="F473" s="763">
        <f ca="1">$E473*$C$12</f>
        <v>69.14</v>
      </c>
      <c r="G473" s="567"/>
      <c r="H473" s="764"/>
      <c r="I473" s="567"/>
      <c r="J473" s="45"/>
      <c r="K473" s="765" t="s">
        <v>3</v>
      </c>
      <c r="L473" s="766" t="s">
        <v>573</v>
      </c>
      <c r="M473" s="567"/>
      <c r="N473" s="567"/>
      <c r="O473" s="45"/>
      <c r="P473" s="567"/>
      <c r="Q473" s="567"/>
      <c r="R473"/>
      <c r="S473"/>
      <c r="T473"/>
    </row>
    <row r="474" spans="1:41" s="935" customFormat="1" ht="13.2">
      <c r="A474"/>
      <c r="B474" s="927"/>
      <c r="C474" s="927" t="s">
        <v>735</v>
      </c>
      <c r="D474" s="927" t="str">
        <f ca="1">CELL("Address",Elec_Rates!D$19)</f>
        <v>[E25_0465_IH_Retro_Elec4Mech_Est_Rev_A.xlsx]Elec_Rates!$D$19</v>
      </c>
      <c r="E474" s="928"/>
      <c r="F474" s="928"/>
      <c r="G474" s="929" t="s">
        <v>736</v>
      </c>
      <c r="H474" s="929"/>
      <c r="I474" s="929"/>
      <c r="J474" s="929"/>
      <c r="K474" s="930"/>
      <c r="L474" s="928"/>
      <c r="M474" s="928"/>
      <c r="N474" s="928"/>
      <c r="O474" s="931"/>
      <c r="P474" s="928"/>
      <c r="Q474" s="932"/>
      <c r="R474" s="933"/>
      <c r="S474" s="932"/>
      <c r="T474" s="560"/>
      <c r="U474" s="934"/>
    </row>
    <row r="475" spans="1:41" s="935" customFormat="1" ht="11.4">
      <c r="A475" s="936">
        <v>1</v>
      </c>
      <c r="B475" s="937">
        <v>1</v>
      </c>
      <c r="C475" s="937">
        <f>$A475*$B475</f>
        <v>1</v>
      </c>
      <c r="D475" s="938" t="str">
        <f>Elec_Rates!$D$19</f>
        <v>001# Connecting up of 3.0 kW 400Volt motor (Standard)</v>
      </c>
      <c r="E475" s="938"/>
      <c r="F475" s="938" t="s">
        <v>737</v>
      </c>
      <c r="G475" s="939" t="s">
        <v>739</v>
      </c>
      <c r="H475" s="939"/>
      <c r="I475" s="939"/>
      <c r="J475" s="939"/>
      <c r="K475" s="940"/>
      <c r="L475" s="934"/>
      <c r="M475" s="934"/>
      <c r="N475" s="934"/>
      <c r="O475" s="941"/>
      <c r="P475" s="938"/>
      <c r="Q475" s="942">
        <f ca="1">$B475*Elec_Rates!$R$19</f>
        <v>11.12</v>
      </c>
      <c r="R475" s="933">
        <f ca="1">$A475*Q475</f>
        <v>11.12</v>
      </c>
      <c r="S475" s="942">
        <f ca="1">$B475*Elec_Rates!$T$19</f>
        <v>1.46</v>
      </c>
      <c r="T475" s="560">
        <f ca="1">$A475*S475</f>
        <v>1.46</v>
      </c>
      <c r="U475" s="484"/>
    </row>
    <row r="476" spans="1:41" s="501" customFormat="1" ht="14.4" customHeight="1">
      <c r="A476" s="767"/>
      <c r="B476" s="567"/>
      <c r="C476" s="567"/>
      <c r="D476" s="567"/>
      <c r="E476" s="567"/>
      <c r="F476" s="567"/>
      <c r="G476" s="567"/>
      <c r="H476" s="764"/>
      <c r="I476" s="567"/>
      <c r="J476" s="45"/>
      <c r="K476" s="769"/>
      <c r="L476" s="770"/>
      <c r="M476" s="567"/>
      <c r="N476" s="567"/>
      <c r="O476" s="45"/>
      <c r="P476" s="567"/>
      <c r="Q476" s="567"/>
      <c r="R476" s="771">
        <f>$A476*Q476</f>
        <v>0</v>
      </c>
      <c r="S476" s="567"/>
      <c r="T476" s="500">
        <f>$A476*S476*$T$1</f>
        <v>0</v>
      </c>
    </row>
    <row r="477" spans="1:41" s="501" customFormat="1" ht="12">
      <c r="A477" s="772" t="s">
        <v>145</v>
      </c>
      <c r="B477" s="773">
        <f>(R476+T476)</f>
        <v>0</v>
      </c>
      <c r="C477" s="753"/>
      <c r="G477" s="774"/>
      <c r="H477" s="774"/>
      <c r="I477" s="774"/>
      <c r="J477" s="774"/>
      <c r="K477" s="750" t="s">
        <v>3</v>
      </c>
      <c r="L477" s="775" t="s">
        <v>573</v>
      </c>
      <c r="M477" s="774"/>
      <c r="N477" s="774"/>
      <c r="O477" s="774"/>
      <c r="P477" s="774"/>
      <c r="Q477" s="776"/>
      <c r="R477" s="777">
        <f ca="1">SUM(R473:R476)</f>
        <v>11.12</v>
      </c>
      <c r="S477" s="778"/>
      <c r="T477" s="777">
        <f ca="1">SUM(T473:T476)</f>
        <v>1.46</v>
      </c>
      <c r="AG477" s="779">
        <f ca="1">ROUND($R477*$S$2,2)</f>
        <v>15.01</v>
      </c>
    </row>
    <row r="478" spans="1:41" s="501" customFormat="1" ht="12" customHeight="1">
      <c r="A478" s="760"/>
      <c r="B478" s="780"/>
      <c r="C478" s="781"/>
      <c r="D478" s="782" t="str">
        <f>$F$3</f>
        <v>Technician</v>
      </c>
      <c r="E478" s="782">
        <f>ROUND(($R482*$S$3 + ($T482*$T$3)), 2)</f>
        <v>0</v>
      </c>
      <c r="F478" s="783">
        <f>$E478*$C$12</f>
        <v>0</v>
      </c>
      <c r="G478" s="499"/>
      <c r="H478" s="499"/>
      <c r="I478" s="499"/>
      <c r="J478" s="499"/>
      <c r="K478" s="765" t="s">
        <v>5</v>
      </c>
      <c r="L478" s="766" t="s">
        <v>573</v>
      </c>
      <c r="M478" s="499"/>
      <c r="N478" s="499"/>
      <c r="O478" s="499"/>
      <c r="P478" s="499"/>
      <c r="Q478" s="499"/>
      <c r="R478" s="784"/>
      <c r="S478" s="499"/>
      <c r="T478" s="784"/>
    </row>
    <row r="479" spans="1:41" s="797" customFormat="1" ht="15.6" customHeight="1">
      <c r="A479" s="785"/>
      <c r="B479" s="768" t="s">
        <v>575</v>
      </c>
      <c r="C479" s="786"/>
      <c r="D479" s="787"/>
      <c r="E479" s="787"/>
      <c r="F479" s="787"/>
      <c r="G479" s="788"/>
      <c r="H479" s="789"/>
      <c r="I479" s="789"/>
      <c r="J479" s="790"/>
      <c r="K479" s="791"/>
      <c r="L479" s="786"/>
      <c r="M479" s="792"/>
      <c r="N479" s="793"/>
      <c r="O479" s="794"/>
      <c r="P479" s="795"/>
      <c r="Q479" s="796"/>
      <c r="R479" s="771">
        <f>$A479*Q479</f>
        <v>0</v>
      </c>
      <c r="S479" s="567"/>
      <c r="T479" s="500">
        <f>$A479*S479*$T$1</f>
        <v>0</v>
      </c>
    </row>
    <row r="480" spans="1:41" s="501" customFormat="1" ht="15.6" customHeight="1">
      <c r="A480" s="767"/>
      <c r="B480" s="567"/>
      <c r="C480" s="567"/>
      <c r="D480" s="567"/>
      <c r="E480" s="567"/>
      <c r="F480" s="567"/>
      <c r="G480" s="567"/>
      <c r="H480" s="567"/>
      <c r="I480" s="567"/>
      <c r="J480" s="567"/>
      <c r="K480" s="567"/>
      <c r="L480" s="770"/>
      <c r="M480" s="567"/>
      <c r="N480" s="567"/>
      <c r="O480" s="567"/>
      <c r="P480" s="567"/>
      <c r="Q480" s="567"/>
      <c r="R480" s="771">
        <f>$A480*Q480</f>
        <v>0</v>
      </c>
      <c r="S480" s="567"/>
      <c r="T480" s="500">
        <f>$A480*S480*$T$1</f>
        <v>0</v>
      </c>
    </row>
    <row r="481" spans="1:41" s="501" customFormat="1" ht="15.6" customHeight="1">
      <c r="A481" s="767"/>
      <c r="B481" s="567"/>
      <c r="C481" s="567"/>
      <c r="D481" s="3"/>
      <c r="E481" s="567"/>
      <c r="F481" s="567"/>
      <c r="G481" s="567"/>
      <c r="H481" s="567"/>
      <c r="I481" s="567"/>
      <c r="J481" s="567"/>
      <c r="K481" s="567"/>
      <c r="L481" s="770"/>
      <c r="M481" s="567"/>
      <c r="N481" s="567"/>
      <c r="O481" s="567"/>
      <c r="P481" s="567"/>
      <c r="Q481" s="567"/>
      <c r="R481" s="771">
        <f>$A481*Q481</f>
        <v>0</v>
      </c>
      <c r="S481" s="567"/>
      <c r="T481" s="500">
        <f>$A481*S481*$T$1</f>
        <v>0</v>
      </c>
    </row>
    <row r="482" spans="1:41" s="501" customFormat="1" ht="12">
      <c r="A482" s="772" t="s">
        <v>145</v>
      </c>
      <c r="B482" s="773">
        <f>(R481+T481)</f>
        <v>0</v>
      </c>
      <c r="C482" s="753"/>
      <c r="G482" s="774"/>
      <c r="H482" s="774"/>
      <c r="I482" s="774"/>
      <c r="J482" s="774"/>
      <c r="K482" s="798" t="s">
        <v>5</v>
      </c>
      <c r="L482" s="775" t="s">
        <v>573</v>
      </c>
      <c r="M482" s="774"/>
      <c r="N482" s="774"/>
      <c r="O482" s="774"/>
      <c r="P482" s="774"/>
      <c r="Q482" s="776"/>
      <c r="R482" s="777">
        <f>SUM(R478:R481)</f>
        <v>0</v>
      </c>
      <c r="S482" s="778"/>
      <c r="T482" s="777">
        <f>SUM(T478:T481)</f>
        <v>0</v>
      </c>
      <c r="AG482" s="799">
        <f>ROUND($R482*$S$3,2)</f>
        <v>0</v>
      </c>
    </row>
    <row r="483" spans="1:41" s="501" customFormat="1" ht="12" customHeight="1">
      <c r="A483" s="800"/>
      <c r="B483" s="801"/>
      <c r="C483" s="802"/>
      <c r="D483" s="803" t="str">
        <f>$F$4</f>
        <v>Engineer (Man Hours)</v>
      </c>
      <c r="E483" s="803">
        <f>ROUND(($R487*$S$4 + ($T487*$T$4)), 2)</f>
        <v>0</v>
      </c>
      <c r="F483" s="804">
        <f ca="1">$F470-SUMIF($L472:$P480,"SUBI",$F472:$F480)</f>
        <v>0</v>
      </c>
      <c r="G483" s="499"/>
      <c r="H483" s="499"/>
      <c r="I483" s="499"/>
      <c r="J483" s="499"/>
      <c r="K483" s="805" t="s">
        <v>8</v>
      </c>
      <c r="L483" s="766" t="s">
        <v>573</v>
      </c>
      <c r="M483" s="499"/>
      <c r="N483" s="499"/>
      <c r="O483" s="499"/>
      <c r="P483" s="499"/>
      <c r="Q483" s="499"/>
      <c r="R483" s="784"/>
      <c r="S483" s="499"/>
      <c r="T483" s="784"/>
    </row>
    <row r="484" spans="1:41" s="797" customFormat="1" ht="14.4" customHeight="1">
      <c r="A484" s="785"/>
      <c r="B484" s="768" t="s">
        <v>576</v>
      </c>
      <c r="C484" s="786"/>
      <c r="D484" s="787"/>
      <c r="E484" s="787"/>
      <c r="F484" s="787"/>
      <c r="G484" s="788"/>
      <c r="H484" s="789"/>
      <c r="I484" s="789"/>
      <c r="J484" s="790"/>
      <c r="K484" s="791"/>
      <c r="L484" s="786"/>
      <c r="M484" s="792"/>
      <c r="N484" s="793"/>
      <c r="O484" s="806"/>
      <c r="P484" s="795"/>
      <c r="Q484" s="796"/>
      <c r="R484" s="720">
        <f>$A484*Q484</f>
        <v>0</v>
      </c>
      <c r="S484" s="796"/>
      <c r="T484" s="500">
        <f>$A484*S484*$T$1</f>
        <v>0</v>
      </c>
    </row>
    <row r="485" spans="1:41" s="501" customFormat="1" ht="12">
      <c r="A485" s="44"/>
      <c r="B485" s="497"/>
      <c r="C485" s="497"/>
      <c r="D485" s="807"/>
      <c r="E485" s="808"/>
      <c r="F485" s="499"/>
      <c r="G485" s="499"/>
      <c r="H485" s="499"/>
      <c r="I485" s="499"/>
      <c r="J485" s="499"/>
      <c r="K485" s="499"/>
      <c r="L485" s="809"/>
      <c r="M485" s="499"/>
      <c r="N485" s="499"/>
      <c r="O485" s="499"/>
      <c r="P485" s="499"/>
      <c r="Q485" s="499"/>
      <c r="R485" s="720">
        <f>$A485*Q485</f>
        <v>0</v>
      </c>
      <c r="S485" s="499"/>
      <c r="T485" s="500">
        <f>$A485*S485*$T$1</f>
        <v>0</v>
      </c>
    </row>
    <row r="486" spans="1:41" s="501" customFormat="1" ht="12">
      <c r="A486" s="44"/>
      <c r="B486" s="497"/>
      <c r="C486" s="497"/>
      <c r="D486" s="807"/>
      <c r="E486" s="808"/>
      <c r="F486" s="499"/>
      <c r="G486" s="499"/>
      <c r="H486" s="499"/>
      <c r="I486" s="499"/>
      <c r="J486" s="499"/>
      <c r="K486" s="499"/>
      <c r="L486" s="809"/>
      <c r="M486" s="499"/>
      <c r="N486" s="499"/>
      <c r="O486" s="499"/>
      <c r="P486" s="499"/>
      <c r="Q486" s="499"/>
      <c r="R486" s="720">
        <f>$A486*Q486</f>
        <v>0</v>
      </c>
      <c r="S486" s="499"/>
      <c r="T486" s="500">
        <f>$A486*S486*$T$1</f>
        <v>0</v>
      </c>
    </row>
    <row r="487" spans="1:41" s="501" customFormat="1" ht="12.75" customHeight="1">
      <c r="A487" s="772" t="s">
        <v>145</v>
      </c>
      <c r="B487" s="773">
        <f>(R486+T486)</f>
        <v>0</v>
      </c>
      <c r="C487" s="810"/>
      <c r="D487" s="810"/>
      <c r="E487" s="810"/>
      <c r="F487" s="810"/>
      <c r="G487" s="776"/>
      <c r="H487" s="776"/>
      <c r="I487" s="776"/>
      <c r="J487" s="776"/>
      <c r="K487" s="798" t="s">
        <v>8</v>
      </c>
      <c r="L487" s="811" t="s">
        <v>573</v>
      </c>
      <c r="M487" s="776"/>
      <c r="N487" s="776"/>
      <c r="O487" s="776"/>
      <c r="P487" s="776"/>
      <c r="Q487" s="776"/>
      <c r="R487" s="777">
        <f>SUM(R483:R486)</f>
        <v>0</v>
      </c>
      <c r="S487" s="778"/>
      <c r="T487" s="777">
        <f>SUM(T483:T486)</f>
        <v>0</v>
      </c>
      <c r="AG487" s="812">
        <f>ROUND($R487*$S$4,2)</f>
        <v>0</v>
      </c>
    </row>
    <row r="488" spans="1:41" s="501" customFormat="1" ht="12.75" customHeight="1">
      <c r="A488" s="813"/>
      <c r="B488" s="814"/>
      <c r="E488" s="497"/>
      <c r="F488" s="808"/>
      <c r="G488" s="497"/>
      <c r="H488" s="497"/>
      <c r="I488" s="499"/>
      <c r="J488" s="497"/>
      <c r="K488" s="497"/>
      <c r="L488" s="815"/>
      <c r="M488" s="725"/>
      <c r="N488" s="725"/>
      <c r="O488" s="725"/>
      <c r="P488" s="725"/>
      <c r="Q488" s="726"/>
      <c r="R488" s="784"/>
      <c r="S488" s="497"/>
      <c r="T488" s="784"/>
    </row>
    <row r="489" spans="1:41" s="501" customFormat="1" ht="13.5" customHeight="1" thickBot="1">
      <c r="A489" s="816"/>
      <c r="B489" s="817"/>
      <c r="C489" s="518"/>
      <c r="D489" s="518"/>
      <c r="E489" s="515"/>
      <c r="F489" s="721"/>
      <c r="G489" s="515" t="s">
        <v>146</v>
      </c>
      <c r="H489" s="515"/>
      <c r="I489" s="516"/>
      <c r="J489" s="515"/>
      <c r="K489" s="515"/>
      <c r="L489" s="818" t="s">
        <v>143</v>
      </c>
      <c r="M489" s="517"/>
      <c r="N489" s="517"/>
      <c r="O489" s="517"/>
      <c r="P489" s="517"/>
      <c r="Q489" s="722"/>
      <c r="R489" s="819">
        <f ca="1">SUMIF($L471:$L488,"SUBI",R471:R488)</f>
        <v>11.12</v>
      </c>
      <c r="S489" s="820"/>
      <c r="T489" s="819">
        <f ca="1">SUMIF($L471:$L488,"SUBI",T471:T488)</f>
        <v>1.46</v>
      </c>
      <c r="U489" s="518"/>
      <c r="V489" s="518"/>
      <c r="W489" s="518"/>
      <c r="X489" s="518"/>
      <c r="Y489" s="518"/>
      <c r="Z489" s="518"/>
      <c r="AA489" s="518"/>
      <c r="AB489" s="518"/>
      <c r="AC489" s="518"/>
      <c r="AD489" s="518"/>
      <c r="AE489" s="518"/>
      <c r="AF489" s="518"/>
      <c r="AG489" s="518"/>
      <c r="AH489" s="518"/>
      <c r="AI489" s="518"/>
      <c r="AJ489" s="518"/>
      <c r="AK489" s="518"/>
      <c r="AL489" s="518"/>
      <c r="AM489" s="518"/>
      <c r="AN489" s="518"/>
      <c r="AO489" s="518"/>
    </row>
    <row r="490" spans="1:41" s="501" customFormat="1" thickTop="1">
      <c r="A490" s="44"/>
      <c r="B490" s="39"/>
      <c r="C490" s="44"/>
      <c r="E490" s="40" t="s">
        <v>138</v>
      </c>
      <c r="F490" s="40" t="s">
        <v>139</v>
      </c>
      <c r="G490" s="44"/>
      <c r="H490" s="44"/>
      <c r="I490" s="44"/>
      <c r="J490" s="44"/>
      <c r="K490" s="44" t="s">
        <v>140</v>
      </c>
      <c r="L490" s="737"/>
      <c r="M490" s="44"/>
      <c r="N490" s="44"/>
      <c r="O490" s="45"/>
      <c r="P490" s="44"/>
      <c r="Q490"/>
      <c r="R490"/>
      <c r="S490"/>
      <c r="T490" s="39"/>
      <c r="AG490" s="502" t="s">
        <v>247</v>
      </c>
      <c r="AH490" s="502" t="s">
        <v>248</v>
      </c>
      <c r="AI490" s="502" t="s">
        <v>249</v>
      </c>
      <c r="AJ490" s="502" t="s">
        <v>250</v>
      </c>
      <c r="AK490" s="502" t="s">
        <v>251</v>
      </c>
      <c r="AM490" s="710" t="s">
        <v>260</v>
      </c>
      <c r="AN490" s="711" t="s">
        <v>261</v>
      </c>
      <c r="AO490" s="503" t="s">
        <v>257</v>
      </c>
    </row>
    <row r="491" spans="1:41" s="501" customFormat="1" ht="13.2">
      <c r="A491" s="712">
        <v>1</v>
      </c>
      <c r="B491" s="504" t="s">
        <v>283</v>
      </c>
      <c r="C491" s="505"/>
      <c r="D491" s="713" t="s">
        <v>593</v>
      </c>
      <c r="E491" s="738">
        <f ca="1">IF(AND($A491=0,$A$1="DIF"),0,ROUND(ROUND(SUMIF($L493:$L504,"SUBI",$E493:$E504)/$A491,2)*$C$12,2))</f>
        <v>69.14</v>
      </c>
      <c r="F491" s="739">
        <f ca="1">ROUND($A491*$E491,2)</f>
        <v>69.14</v>
      </c>
      <c r="G491" s="506" t="s">
        <v>142</v>
      </c>
      <c r="H491" s="498"/>
      <c r="I491" s="716"/>
      <c r="J491" s="498"/>
      <c r="K491" s="740"/>
      <c r="L491" s="741" t="s">
        <v>143</v>
      </c>
      <c r="M491" s="717"/>
      <c r="N491" s="717"/>
      <c r="O491" s="717"/>
      <c r="P491" s="717"/>
      <c r="Q491" s="943" t="s">
        <v>855</v>
      </c>
      <c r="R491" s="943" t="s">
        <v>870</v>
      </c>
      <c r="S491"/>
      <c r="T491" s="742" t="str">
        <f ca="1">IF(AND($R510=0,$T510=0),"0.00","mu :" &amp; ROUND($F491/$C$12/($R510+$T510*$D$9),2))</f>
        <v>mu :1.35</v>
      </c>
      <c r="W491" s="507"/>
      <c r="AG491" s="743">
        <f ca="1">IF(A491=0,0,ROUND(SUM(AG493:AG510)/A491,2))</f>
        <v>15.01</v>
      </c>
      <c r="AH491" s="743">
        <f ca="1">$AG491*$A491</f>
        <v>15.01</v>
      </c>
      <c r="AI491" s="743">
        <f ca="1">$E491-$AG491</f>
        <v>54.13</v>
      </c>
      <c r="AJ491" s="743">
        <f ca="1">$A491*$AI491</f>
        <v>54.13</v>
      </c>
      <c r="AK491" s="744">
        <f ca="1">ROUND(($AG491+$AI491)*$A491,2)</f>
        <v>69.14</v>
      </c>
      <c r="AM491" s="510">
        <f ca="1">ROUND(R510,2)</f>
        <v>11.12</v>
      </c>
      <c r="AN491" s="511">
        <f ca="1">ROUND(T510,2)</f>
        <v>1.46</v>
      </c>
      <c r="AO491" s="512">
        <f ca="1">ROUND(AM491+AN491,2)*A491</f>
        <v>12.58</v>
      </c>
    </row>
    <row r="492" spans="1:41" s="501" customFormat="1" ht="21.6" customHeight="1">
      <c r="A492" s="745"/>
      <c r="B492" s="746"/>
      <c r="C492" s="505"/>
      <c r="D492" s="724" t="s">
        <v>417</v>
      </c>
      <c r="F492" s="498"/>
      <c r="G492" s="498"/>
      <c r="H492" s="498"/>
      <c r="I492" s="716"/>
      <c r="J492" s="498"/>
      <c r="K492" s="498" t="s">
        <v>144</v>
      </c>
      <c r="L492" s="747"/>
      <c r="M492" s="498"/>
      <c r="N492" s="498"/>
      <c r="O492" s="498"/>
      <c r="P492" s="498"/>
      <c r="Q492" s="44"/>
      <c r="R492" s="567"/>
      <c r="S492" s="719"/>
      <c r="T492" s="498"/>
    </row>
    <row r="493" spans="1:41" s="501" customFormat="1" ht="12">
      <c r="A493" s="748"/>
      <c r="B493" s="749"/>
      <c r="C493" s="497"/>
      <c r="D493" s="750"/>
      <c r="E493" s="751">
        <f ca="1">F491/$C$12-SUMIF($L490:$L510,"SUBI",$E490:$E510)</f>
        <v>0</v>
      </c>
      <c r="F493" s="752" t="s">
        <v>572</v>
      </c>
      <c r="G493" s="753"/>
      <c r="H493" s="753"/>
      <c r="I493" s="754"/>
      <c r="J493" s="753"/>
      <c r="K493" s="753"/>
      <c r="L493" s="755"/>
      <c r="M493" s="756"/>
      <c r="N493" s="756"/>
      <c r="O493" s="756"/>
      <c r="P493" s="756"/>
      <c r="Q493" s="757"/>
      <c r="R493" s="758"/>
      <c r="S493" s="757"/>
      <c r="T493" s="759"/>
    </row>
    <row r="494" spans="1:41" s="501" customFormat="1" ht="12" customHeight="1">
      <c r="A494" s="760"/>
      <c r="B494" s="761"/>
      <c r="C494" s="762"/>
      <c r="D494" s="762" t="str">
        <f>$F$2</f>
        <v>Electrical</v>
      </c>
      <c r="E494" s="762">
        <f ca="1">ROUND(($R498*$S$2 + ($T498*$T$2)), 2)</f>
        <v>69.14</v>
      </c>
      <c r="F494" s="763">
        <f ca="1">$E494*$C$12</f>
        <v>69.14</v>
      </c>
      <c r="G494" s="567"/>
      <c r="H494" s="764"/>
      <c r="I494" s="567"/>
      <c r="J494" s="45"/>
      <c r="K494" s="765" t="s">
        <v>3</v>
      </c>
      <c r="L494" s="766" t="s">
        <v>573</v>
      </c>
      <c r="M494" s="567"/>
      <c r="N494" s="567"/>
      <c r="O494" s="45"/>
      <c r="P494" s="567"/>
      <c r="Q494" s="567"/>
      <c r="R494"/>
      <c r="S494"/>
      <c r="T494"/>
    </row>
    <row r="495" spans="1:41" s="935" customFormat="1" ht="13.2">
      <c r="A495"/>
      <c r="B495" s="927"/>
      <c r="C495" s="927" t="s">
        <v>735</v>
      </c>
      <c r="D495" s="927" t="str">
        <f ca="1">CELL("Address",Elec_Rates!D$19)</f>
        <v>[E25_0465_IH_Retro_Elec4Mech_Est_Rev_A.xlsx]Elec_Rates!$D$19</v>
      </c>
      <c r="E495" s="928"/>
      <c r="F495" s="928"/>
      <c r="G495" s="929" t="s">
        <v>736</v>
      </c>
      <c r="H495" s="929"/>
      <c r="I495" s="929"/>
      <c r="J495" s="929"/>
      <c r="K495" s="930"/>
      <c r="L495" s="928"/>
      <c r="M495" s="928"/>
      <c r="N495" s="928"/>
      <c r="O495" s="931"/>
      <c r="P495" s="928"/>
      <c r="Q495" s="932"/>
      <c r="R495" s="933"/>
      <c r="S495" s="932"/>
      <c r="T495" s="560"/>
      <c r="U495" s="934"/>
    </row>
    <row r="496" spans="1:41" s="935" customFormat="1" ht="11.4">
      <c r="A496" s="936">
        <v>1</v>
      </c>
      <c r="B496" s="937">
        <v>1</v>
      </c>
      <c r="C496" s="937">
        <f>$A496*$B496</f>
        <v>1</v>
      </c>
      <c r="D496" s="938" t="str">
        <f>Elec_Rates!$D$19</f>
        <v>001# Connecting up of 3.0 kW 400Volt motor (Standard)</v>
      </c>
      <c r="E496" s="938"/>
      <c r="F496" s="938" t="s">
        <v>737</v>
      </c>
      <c r="G496" s="939" t="s">
        <v>739</v>
      </c>
      <c r="H496" s="939"/>
      <c r="I496" s="939"/>
      <c r="J496" s="939"/>
      <c r="K496" s="940"/>
      <c r="L496" s="934"/>
      <c r="M496" s="934"/>
      <c r="N496" s="934"/>
      <c r="O496" s="941"/>
      <c r="P496" s="938"/>
      <c r="Q496" s="942">
        <f ca="1">$B496*Elec_Rates!$R$19</f>
        <v>11.12</v>
      </c>
      <c r="R496" s="933">
        <f ca="1">$A496*Q496</f>
        <v>11.12</v>
      </c>
      <c r="S496" s="942">
        <f ca="1">$B496*Elec_Rates!$T$19</f>
        <v>1.46</v>
      </c>
      <c r="T496" s="560">
        <f ca="1">$A496*S496</f>
        <v>1.46</v>
      </c>
      <c r="U496" s="484"/>
    </row>
    <row r="497" spans="1:41" s="501" customFormat="1" ht="14.4" customHeight="1">
      <c r="A497" s="767"/>
      <c r="B497" s="567"/>
      <c r="C497" s="567"/>
      <c r="D497" s="567"/>
      <c r="E497" s="567"/>
      <c r="F497" s="567"/>
      <c r="G497" s="567"/>
      <c r="H497" s="764"/>
      <c r="I497" s="567"/>
      <c r="J497" s="45"/>
      <c r="K497" s="769"/>
      <c r="L497" s="770"/>
      <c r="M497" s="567"/>
      <c r="N497" s="567"/>
      <c r="O497" s="45"/>
      <c r="P497" s="567"/>
      <c r="Q497" s="567"/>
      <c r="R497" s="771">
        <f>$A497*Q497</f>
        <v>0</v>
      </c>
      <c r="S497" s="567"/>
      <c r="T497" s="500">
        <f>$A497*S497*$T$1</f>
        <v>0</v>
      </c>
    </row>
    <row r="498" spans="1:41" s="501" customFormat="1" ht="12">
      <c r="A498" s="772" t="s">
        <v>145</v>
      </c>
      <c r="B498" s="773">
        <f>(R497+T497)</f>
        <v>0</v>
      </c>
      <c r="C498" s="753"/>
      <c r="G498" s="774"/>
      <c r="H498" s="774"/>
      <c r="I498" s="774"/>
      <c r="J498" s="774"/>
      <c r="K498" s="750" t="s">
        <v>3</v>
      </c>
      <c r="L498" s="775" t="s">
        <v>573</v>
      </c>
      <c r="M498" s="774"/>
      <c r="N498" s="774"/>
      <c r="O498" s="774"/>
      <c r="P498" s="774"/>
      <c r="Q498" s="776"/>
      <c r="R498" s="777">
        <f ca="1">SUM(R494:R497)</f>
        <v>11.12</v>
      </c>
      <c r="S498" s="778"/>
      <c r="T498" s="777">
        <f ca="1">SUM(T494:T497)</f>
        <v>1.46</v>
      </c>
      <c r="AG498" s="779">
        <f ca="1">ROUND($R498*$S$2,2)</f>
        <v>15.01</v>
      </c>
    </row>
    <row r="499" spans="1:41" s="501" customFormat="1" ht="12" customHeight="1">
      <c r="A499" s="760"/>
      <c r="B499" s="780"/>
      <c r="C499" s="781"/>
      <c r="D499" s="782" t="str">
        <f>$F$3</f>
        <v>Technician</v>
      </c>
      <c r="E499" s="782">
        <f>ROUND(($R503*$S$3 + ($T503*$T$3)), 2)</f>
        <v>0</v>
      </c>
      <c r="F499" s="783">
        <f>$E499*$C$12</f>
        <v>0</v>
      </c>
      <c r="G499" s="499"/>
      <c r="H499" s="499"/>
      <c r="I499" s="499"/>
      <c r="J499" s="499"/>
      <c r="K499" s="765" t="s">
        <v>5</v>
      </c>
      <c r="L499" s="766" t="s">
        <v>573</v>
      </c>
      <c r="M499" s="499"/>
      <c r="N499" s="499"/>
      <c r="O499" s="499"/>
      <c r="P499" s="499"/>
      <c r="Q499" s="499"/>
      <c r="R499" s="784"/>
      <c r="S499" s="499"/>
      <c r="T499" s="784"/>
    </row>
    <row r="500" spans="1:41" s="797" customFormat="1" ht="15.6" customHeight="1">
      <c r="A500" s="785"/>
      <c r="B500" s="768" t="s">
        <v>575</v>
      </c>
      <c r="C500" s="786"/>
      <c r="D500" s="787"/>
      <c r="E500" s="787"/>
      <c r="F500" s="787"/>
      <c r="G500" s="788"/>
      <c r="H500" s="789"/>
      <c r="I500" s="789"/>
      <c r="J500" s="790"/>
      <c r="K500" s="791"/>
      <c r="L500" s="786"/>
      <c r="M500" s="792"/>
      <c r="N500" s="793"/>
      <c r="O500" s="794"/>
      <c r="P500" s="795"/>
      <c r="Q500" s="796"/>
      <c r="R500" s="771">
        <f>$A500*Q500</f>
        <v>0</v>
      </c>
      <c r="S500" s="567"/>
      <c r="T500" s="500">
        <f>$A500*S500*$T$1</f>
        <v>0</v>
      </c>
    </row>
    <row r="501" spans="1:41" s="501" customFormat="1" ht="15.6" customHeight="1">
      <c r="A501" s="767"/>
      <c r="B501" s="567"/>
      <c r="C501" s="567"/>
      <c r="D501" s="567"/>
      <c r="E501" s="567"/>
      <c r="F501" s="567"/>
      <c r="G501" s="567"/>
      <c r="H501" s="567"/>
      <c r="I501" s="567"/>
      <c r="J501" s="567"/>
      <c r="K501" s="567"/>
      <c r="L501" s="770"/>
      <c r="M501" s="567"/>
      <c r="N501" s="567"/>
      <c r="O501" s="567"/>
      <c r="P501" s="567"/>
      <c r="Q501" s="567"/>
      <c r="R501" s="771">
        <f>$A501*Q501</f>
        <v>0</v>
      </c>
      <c r="S501" s="567"/>
      <c r="T501" s="500">
        <f>$A501*S501*$T$1</f>
        <v>0</v>
      </c>
    </row>
    <row r="502" spans="1:41" s="501" customFormat="1" ht="15.6" customHeight="1">
      <c r="A502" s="767"/>
      <c r="B502" s="567"/>
      <c r="C502" s="567"/>
      <c r="D502" s="3"/>
      <c r="E502" s="567"/>
      <c r="F502" s="567"/>
      <c r="G502" s="567"/>
      <c r="H502" s="567"/>
      <c r="I502" s="567"/>
      <c r="J502" s="567"/>
      <c r="K502" s="567"/>
      <c r="L502" s="770"/>
      <c r="M502" s="567"/>
      <c r="N502" s="567"/>
      <c r="O502" s="567"/>
      <c r="P502" s="567"/>
      <c r="Q502" s="567"/>
      <c r="R502" s="771">
        <f>$A502*Q502</f>
        <v>0</v>
      </c>
      <c r="S502" s="567"/>
      <c r="T502" s="500">
        <f>$A502*S502*$T$1</f>
        <v>0</v>
      </c>
    </row>
    <row r="503" spans="1:41" s="501" customFormat="1" ht="12">
      <c r="A503" s="772" t="s">
        <v>145</v>
      </c>
      <c r="B503" s="773">
        <f>(R502+T502)</f>
        <v>0</v>
      </c>
      <c r="C503" s="753"/>
      <c r="G503" s="774"/>
      <c r="H503" s="774"/>
      <c r="I503" s="774"/>
      <c r="J503" s="774"/>
      <c r="K503" s="798" t="s">
        <v>5</v>
      </c>
      <c r="L503" s="775" t="s">
        <v>573</v>
      </c>
      <c r="M503" s="774"/>
      <c r="N503" s="774"/>
      <c r="O503" s="774"/>
      <c r="P503" s="774"/>
      <c r="Q503" s="776"/>
      <c r="R503" s="777">
        <f>SUM(R499:R502)</f>
        <v>0</v>
      </c>
      <c r="S503" s="778"/>
      <c r="T503" s="777">
        <f>SUM(T499:T502)</f>
        <v>0</v>
      </c>
      <c r="AG503" s="799">
        <f>ROUND($R503*$S$3,2)</f>
        <v>0</v>
      </c>
    </row>
    <row r="504" spans="1:41" s="501" customFormat="1" ht="12" customHeight="1">
      <c r="A504" s="800"/>
      <c r="B504" s="801"/>
      <c r="C504" s="802"/>
      <c r="D504" s="803" t="str">
        <f>$F$4</f>
        <v>Engineer (Man Hours)</v>
      </c>
      <c r="E504" s="803">
        <f>ROUND(($R508*$S$4 + ($T508*$T$4)), 2)</f>
        <v>0</v>
      </c>
      <c r="F504" s="804">
        <f ca="1">$F491-SUMIF($L493:$P501,"SUBI",$F493:$F501)</f>
        <v>0</v>
      </c>
      <c r="G504" s="499"/>
      <c r="H504" s="499"/>
      <c r="I504" s="499"/>
      <c r="J504" s="499"/>
      <c r="K504" s="805" t="s">
        <v>8</v>
      </c>
      <c r="L504" s="766" t="s">
        <v>573</v>
      </c>
      <c r="M504" s="499"/>
      <c r="N504" s="499"/>
      <c r="O504" s="499"/>
      <c r="P504" s="499"/>
      <c r="Q504" s="499"/>
      <c r="R504" s="784"/>
      <c r="S504" s="499"/>
      <c r="T504" s="784"/>
    </row>
    <row r="505" spans="1:41" s="797" customFormat="1" ht="14.4" customHeight="1">
      <c r="A505" s="785"/>
      <c r="B505" s="768" t="s">
        <v>576</v>
      </c>
      <c r="C505" s="786"/>
      <c r="D505" s="787"/>
      <c r="E505" s="787"/>
      <c r="F505" s="787"/>
      <c r="G505" s="788"/>
      <c r="H505" s="789"/>
      <c r="I505" s="789"/>
      <c r="J505" s="790"/>
      <c r="K505" s="791"/>
      <c r="L505" s="786"/>
      <c r="M505" s="792"/>
      <c r="N505" s="793"/>
      <c r="O505" s="806"/>
      <c r="P505" s="795"/>
      <c r="Q505" s="796"/>
      <c r="R505" s="720">
        <f>$A505*Q505</f>
        <v>0</v>
      </c>
      <c r="S505" s="796"/>
      <c r="T505" s="500">
        <f>$A505*S505*$T$1</f>
        <v>0</v>
      </c>
    </row>
    <row r="506" spans="1:41" s="501" customFormat="1" ht="12">
      <c r="A506" s="44"/>
      <c r="B506" s="497"/>
      <c r="C506" s="497"/>
      <c r="D506" s="807"/>
      <c r="E506" s="808"/>
      <c r="F506" s="499"/>
      <c r="G506" s="499"/>
      <c r="H506" s="499"/>
      <c r="I506" s="499"/>
      <c r="J506" s="499"/>
      <c r="K506" s="499"/>
      <c r="L506" s="809"/>
      <c r="M506" s="499"/>
      <c r="N506" s="499"/>
      <c r="O506" s="499"/>
      <c r="P506" s="499"/>
      <c r="Q506" s="499"/>
      <c r="R506" s="720">
        <f>$A506*Q506</f>
        <v>0</v>
      </c>
      <c r="S506" s="499"/>
      <c r="T506" s="500">
        <f>$A506*S506*$T$1</f>
        <v>0</v>
      </c>
    </row>
    <row r="507" spans="1:41" s="501" customFormat="1" ht="12">
      <c r="A507" s="44"/>
      <c r="B507" s="497"/>
      <c r="C507" s="497"/>
      <c r="D507" s="807"/>
      <c r="E507" s="808"/>
      <c r="F507" s="499"/>
      <c r="G507" s="499"/>
      <c r="H507" s="499"/>
      <c r="I507" s="499"/>
      <c r="J507" s="499"/>
      <c r="K507" s="499"/>
      <c r="L507" s="809"/>
      <c r="M507" s="499"/>
      <c r="N507" s="499"/>
      <c r="O507" s="499"/>
      <c r="P507" s="499"/>
      <c r="Q507" s="499"/>
      <c r="R507" s="720">
        <f>$A507*Q507</f>
        <v>0</v>
      </c>
      <c r="S507" s="499"/>
      <c r="T507" s="500">
        <f>$A507*S507*$T$1</f>
        <v>0</v>
      </c>
    </row>
    <row r="508" spans="1:41" s="501" customFormat="1" ht="12.75" customHeight="1">
      <c r="A508" s="772" t="s">
        <v>145</v>
      </c>
      <c r="B508" s="773">
        <f>(R507+T507)</f>
        <v>0</v>
      </c>
      <c r="C508" s="810"/>
      <c r="D508" s="810"/>
      <c r="E508" s="810"/>
      <c r="F508" s="810"/>
      <c r="G508" s="776"/>
      <c r="H508" s="776"/>
      <c r="I508" s="776"/>
      <c r="J508" s="776"/>
      <c r="K508" s="798" t="s">
        <v>8</v>
      </c>
      <c r="L508" s="811" t="s">
        <v>573</v>
      </c>
      <c r="M508" s="776"/>
      <c r="N508" s="776"/>
      <c r="O508" s="776"/>
      <c r="P508" s="776"/>
      <c r="Q508" s="776"/>
      <c r="R508" s="777">
        <f>SUM(R504:R507)</f>
        <v>0</v>
      </c>
      <c r="S508" s="778"/>
      <c r="T508" s="777">
        <f>SUM(T504:T507)</f>
        <v>0</v>
      </c>
      <c r="AG508" s="812">
        <f>ROUND($R508*$S$4,2)</f>
        <v>0</v>
      </c>
    </row>
    <row r="509" spans="1:41" s="501" customFormat="1" ht="12.75" customHeight="1">
      <c r="A509" s="813"/>
      <c r="B509" s="814"/>
      <c r="E509" s="497"/>
      <c r="F509" s="808"/>
      <c r="G509" s="497"/>
      <c r="H509" s="497"/>
      <c r="I509" s="499"/>
      <c r="J509" s="497"/>
      <c r="K509" s="497"/>
      <c r="L509" s="815"/>
      <c r="M509" s="725"/>
      <c r="N509" s="725"/>
      <c r="O509" s="725"/>
      <c r="P509" s="725"/>
      <c r="Q509" s="726"/>
      <c r="R509" s="784"/>
      <c r="S509" s="497"/>
      <c r="T509" s="784"/>
    </row>
    <row r="510" spans="1:41" s="501" customFormat="1" ht="13.5" customHeight="1" thickBot="1">
      <c r="A510" s="816"/>
      <c r="B510" s="817"/>
      <c r="C510" s="518"/>
      <c r="D510" s="518"/>
      <c r="E510" s="515"/>
      <c r="F510" s="721"/>
      <c r="G510" s="515" t="s">
        <v>146</v>
      </c>
      <c r="H510" s="515"/>
      <c r="I510" s="516"/>
      <c r="J510" s="515"/>
      <c r="K510" s="515"/>
      <c r="L510" s="818" t="s">
        <v>143</v>
      </c>
      <c r="M510" s="517"/>
      <c r="N510" s="517"/>
      <c r="O510" s="517"/>
      <c r="P510" s="517"/>
      <c r="Q510" s="722"/>
      <c r="R510" s="819">
        <f ca="1">SUMIF($L492:$L509,"SUBI",R492:R509)</f>
        <v>11.12</v>
      </c>
      <c r="S510" s="820"/>
      <c r="T510" s="819">
        <f ca="1">SUMIF($L492:$L509,"SUBI",T492:T509)</f>
        <v>1.46</v>
      </c>
      <c r="U510" s="518"/>
      <c r="V510" s="518"/>
      <c r="W510" s="518"/>
      <c r="X510" s="518"/>
      <c r="Y510" s="518"/>
      <c r="Z510" s="518"/>
      <c r="AA510" s="518"/>
      <c r="AB510" s="518"/>
      <c r="AC510" s="518"/>
      <c r="AD510" s="518"/>
      <c r="AE510" s="518"/>
      <c r="AF510" s="518"/>
      <c r="AG510" s="518"/>
      <c r="AH510" s="518"/>
      <c r="AI510" s="518"/>
      <c r="AJ510" s="518"/>
      <c r="AK510" s="518"/>
      <c r="AL510" s="518"/>
      <c r="AM510" s="518"/>
      <c r="AN510" s="518"/>
      <c r="AO510" s="518"/>
    </row>
    <row r="511" spans="1:41" s="501" customFormat="1" thickTop="1">
      <c r="A511" s="44"/>
      <c r="B511" s="44"/>
      <c r="C511" s="3"/>
      <c r="D511" s="3"/>
      <c r="E511" s="44"/>
      <c r="F511" s="44"/>
      <c r="G511" s="44"/>
      <c r="H511" s="44"/>
      <c r="I511" s="44"/>
      <c r="J511" s="44"/>
      <c r="K511" s="44" t="s">
        <v>134</v>
      </c>
      <c r="L511" s="44"/>
      <c r="M511" s="44"/>
      <c r="N511" s="44"/>
      <c r="O511" s="45"/>
      <c r="P511" s="44"/>
      <c r="Q511" s="44"/>
      <c r="R511" s="44"/>
      <c r="S511" s="44"/>
      <c r="T511" s="44"/>
    </row>
    <row r="512" spans="1:41" s="501" customFormat="1" ht="12">
      <c r="A512" s="44"/>
      <c r="B512" s="44"/>
      <c r="C512" s="44" t="s">
        <v>135</v>
      </c>
      <c r="D512" s="35" t="s">
        <v>933</v>
      </c>
      <c r="E512" s="44"/>
      <c r="F512" s="44"/>
      <c r="G512" s="44"/>
      <c r="H512" s="44"/>
      <c r="I512" s="44"/>
      <c r="J512" s="44"/>
      <c r="K512" s="44"/>
      <c r="L512" s="44"/>
      <c r="M512" s="44"/>
      <c r="N512" s="44"/>
      <c r="O512" s="45"/>
      <c r="P512" s="44"/>
      <c r="Q512" s="44"/>
      <c r="R512" s="44"/>
      <c r="S512" s="44"/>
      <c r="T512" s="44"/>
    </row>
    <row r="513" spans="1:41" s="501" customFormat="1" ht="12">
      <c r="A513" s="44"/>
      <c r="B513" s="44"/>
      <c r="C513" s="44"/>
      <c r="D513" s="35" t="s">
        <v>915</v>
      </c>
      <c r="E513" s="44"/>
      <c r="F513" s="44"/>
      <c r="G513" s="44"/>
      <c r="H513" s="44"/>
      <c r="I513" s="44"/>
      <c r="J513" s="44"/>
      <c r="K513" s="44"/>
      <c r="L513" s="44"/>
      <c r="M513" s="44"/>
      <c r="N513" s="44"/>
      <c r="O513" s="45"/>
      <c r="P513" s="44"/>
      <c r="Q513" s="44"/>
      <c r="R513" s="44"/>
      <c r="S513" s="36"/>
      <c r="T513" s="36"/>
    </row>
    <row r="514" spans="1:41" s="3" customFormat="1" thickBot="1">
      <c r="A514" s="518"/>
      <c r="O514" s="86"/>
    </row>
    <row r="515" spans="1:41" s="501" customFormat="1" thickTop="1">
      <c r="A515" s="44"/>
      <c r="B515" s="39"/>
      <c r="C515" s="44"/>
      <c r="E515" s="40" t="s">
        <v>138</v>
      </c>
      <c r="F515" s="40" t="s">
        <v>139</v>
      </c>
      <c r="G515" s="44"/>
      <c r="H515" s="44"/>
      <c r="I515" s="44"/>
      <c r="J515" s="44"/>
      <c r="K515" s="44" t="s">
        <v>140</v>
      </c>
      <c r="L515" s="737"/>
      <c r="M515" s="44"/>
      <c r="N515" s="44"/>
      <c r="O515" s="45"/>
      <c r="P515" s="44"/>
      <c r="Q515"/>
      <c r="R515"/>
      <c r="S515"/>
      <c r="T515" s="39"/>
      <c r="AG515" s="502" t="s">
        <v>247</v>
      </c>
      <c r="AH515" s="502" t="s">
        <v>248</v>
      </c>
      <c r="AI515" s="502" t="s">
        <v>249</v>
      </c>
      <c r="AJ515" s="502" t="s">
        <v>250</v>
      </c>
      <c r="AK515" s="502" t="s">
        <v>251</v>
      </c>
      <c r="AM515" s="710" t="s">
        <v>260</v>
      </c>
      <c r="AN515" s="711" t="s">
        <v>261</v>
      </c>
      <c r="AO515" s="503" t="s">
        <v>257</v>
      </c>
    </row>
    <row r="516" spans="1:41" s="501" customFormat="1" ht="13.2">
      <c r="A516" s="712">
        <v>1</v>
      </c>
      <c r="B516" s="504" t="s">
        <v>283</v>
      </c>
      <c r="C516" s="505"/>
      <c r="D516" s="713" t="s">
        <v>577</v>
      </c>
      <c r="E516" s="738">
        <f ca="1">IF(AND($A516=0,$A$1="DIF"),0,ROUND(ROUND(SUMIF($L518:$L529,"SUBI",$E518:$E529)/$A516,2)*$C$12,2))</f>
        <v>76.62</v>
      </c>
      <c r="F516" s="739">
        <f ca="1">ROUND($A516*$E516,2)</f>
        <v>76.62</v>
      </c>
      <c r="G516" s="506" t="s">
        <v>142</v>
      </c>
      <c r="H516" s="498"/>
      <c r="I516" s="716"/>
      <c r="J516" s="498"/>
      <c r="K516" s="740"/>
      <c r="L516" s="741" t="s">
        <v>143</v>
      </c>
      <c r="M516" s="717"/>
      <c r="N516" s="717"/>
      <c r="O516" s="717"/>
      <c r="P516" s="717"/>
      <c r="Q516" s="943" t="s">
        <v>855</v>
      </c>
      <c r="R516" s="943" t="s">
        <v>870</v>
      </c>
      <c r="S516"/>
      <c r="T516" s="742" t="str">
        <f ca="1">IF(AND($R535=0,$T535=0),"0.00","mu :" &amp; ROUND($F516/$C$12/($R535+$T535*$D$9),2))</f>
        <v>mu :1.35</v>
      </c>
      <c r="W516" s="507"/>
      <c r="AG516" s="743">
        <f ca="1">IF(A516=0,0,ROUND(SUM(AG518:AG535)/A516,2))</f>
        <v>18.79</v>
      </c>
      <c r="AH516" s="743">
        <f ca="1">$AG516*$A516</f>
        <v>18.79</v>
      </c>
      <c r="AI516" s="743">
        <f ca="1">$E516-$AG516</f>
        <v>57.830000000000005</v>
      </c>
      <c r="AJ516" s="743">
        <f ca="1">$A516*$AI516</f>
        <v>57.830000000000005</v>
      </c>
      <c r="AK516" s="744">
        <f ca="1">ROUND(($AG516+$AI516)*$A516,2)</f>
        <v>76.62</v>
      </c>
      <c r="AM516" s="510">
        <f ca="1">ROUND(R535,2)</f>
        <v>13.92</v>
      </c>
      <c r="AN516" s="511">
        <f ca="1">ROUND(T535,2)</f>
        <v>1.56</v>
      </c>
      <c r="AO516" s="512">
        <f ca="1">ROUND(AM516+AN516,2)*A516</f>
        <v>15.48</v>
      </c>
    </row>
    <row r="517" spans="1:41" s="501" customFormat="1" ht="21.6" customHeight="1">
      <c r="A517" s="745"/>
      <c r="B517" s="746"/>
      <c r="C517" s="505"/>
      <c r="D517" s="724" t="s">
        <v>410</v>
      </c>
      <c r="F517" s="498"/>
      <c r="G517" s="498"/>
      <c r="H517" s="498"/>
      <c r="I517" s="716"/>
      <c r="J517" s="498"/>
      <c r="K517" s="498" t="s">
        <v>144</v>
      </c>
      <c r="L517" s="747"/>
      <c r="M517" s="498"/>
      <c r="N517" s="498"/>
      <c r="O517" s="498"/>
      <c r="P517" s="498"/>
      <c r="Q517" s="44"/>
      <c r="R517" s="567"/>
      <c r="S517" s="719"/>
      <c r="T517" s="498"/>
    </row>
    <row r="518" spans="1:41" s="501" customFormat="1" ht="12">
      <c r="A518" s="748"/>
      <c r="B518" s="749"/>
      <c r="C518" s="497"/>
      <c r="D518" s="750"/>
      <c r="E518" s="751">
        <f ca="1">F516/$C$12-SUMIF($L515:$L535,"SUBI",$E515:$E535)</f>
        <v>0</v>
      </c>
      <c r="F518" s="752" t="s">
        <v>572</v>
      </c>
      <c r="G518" s="753"/>
      <c r="H518" s="753"/>
      <c r="I518" s="754"/>
      <c r="J518" s="753"/>
      <c r="K518" s="753"/>
      <c r="L518" s="755"/>
      <c r="M518" s="756"/>
      <c r="N518" s="756"/>
      <c r="O518" s="756"/>
      <c r="P518" s="756"/>
      <c r="Q518" s="757"/>
      <c r="R518" s="758"/>
      <c r="S518" s="757"/>
      <c r="T518" s="759"/>
    </row>
    <row r="519" spans="1:41" s="501" customFormat="1" ht="12" customHeight="1">
      <c r="A519" s="760"/>
      <c r="B519" s="761"/>
      <c r="C519" s="762"/>
      <c r="D519" s="762" t="str">
        <f>$F$2</f>
        <v>Electrical</v>
      </c>
      <c r="E519" s="762">
        <f ca="1">ROUND(($R523*$S$2 + ($T523*$T$2)), 2)</f>
        <v>76.62</v>
      </c>
      <c r="F519" s="763">
        <f ca="1">$E519*$C$12</f>
        <v>76.62</v>
      </c>
      <c r="G519" s="567"/>
      <c r="H519" s="764"/>
      <c r="I519" s="567"/>
      <c r="J519" s="45"/>
      <c r="K519" s="765" t="s">
        <v>3</v>
      </c>
      <c r="L519" s="766" t="s">
        <v>573</v>
      </c>
      <c r="M519" s="567"/>
      <c r="N519" s="567"/>
      <c r="O519" s="45"/>
      <c r="P519" s="567"/>
      <c r="Q519" s="567"/>
      <c r="R519"/>
      <c r="S519"/>
      <c r="T519"/>
    </row>
    <row r="520" spans="1:41" s="935" customFormat="1" ht="13.2">
      <c r="A520"/>
      <c r="B520" s="927"/>
      <c r="C520" s="927" t="s">
        <v>735</v>
      </c>
      <c r="D520" s="927" t="str">
        <f ca="1">CELL("Address",Elec_Rates!D$28)</f>
        <v>[E25_0465_IH_Retro_Elec4Mech_Est_Rev_A.xlsx]Elec_Rates!$D$28</v>
      </c>
      <c r="E520" s="928"/>
      <c r="F520" s="928"/>
      <c r="G520" s="929" t="s">
        <v>736</v>
      </c>
      <c r="H520" s="929"/>
      <c r="I520" s="929"/>
      <c r="J520" s="929"/>
      <c r="K520" s="930"/>
      <c r="L520" s="928"/>
      <c r="M520" s="928"/>
      <c r="N520" s="928"/>
      <c r="O520" s="931"/>
      <c r="P520" s="928"/>
      <c r="Q520" s="932"/>
      <c r="R520" s="933"/>
      <c r="S520" s="932"/>
      <c r="T520" s="560"/>
      <c r="U520" s="934"/>
    </row>
    <row r="521" spans="1:41" s="935" customFormat="1" ht="11.4">
      <c r="A521" s="936">
        <v>1</v>
      </c>
      <c r="B521" s="937">
        <v>1</v>
      </c>
      <c r="C521" s="937">
        <f>$A521*$B521</f>
        <v>1</v>
      </c>
      <c r="D521" s="938" t="str">
        <f>Elec_Rates!$D$28</f>
        <v>002# Connecting up of 7.5 kW 400Volt motor (Standard)</v>
      </c>
      <c r="E521" s="938"/>
      <c r="F521" s="938" t="s">
        <v>737</v>
      </c>
      <c r="G521" s="939" t="s">
        <v>739</v>
      </c>
      <c r="H521" s="939"/>
      <c r="I521" s="939"/>
      <c r="J521" s="939"/>
      <c r="K521" s="940"/>
      <c r="L521" s="934"/>
      <c r="M521" s="934"/>
      <c r="N521" s="934"/>
      <c r="O521" s="941"/>
      <c r="P521" s="938"/>
      <c r="Q521" s="942">
        <f ca="1">$B521*Elec_Rates!$R$28</f>
        <v>13.92</v>
      </c>
      <c r="R521" s="933">
        <f ca="1">$A521*Q521</f>
        <v>13.92</v>
      </c>
      <c r="S521" s="942">
        <f ca="1">$B521*Elec_Rates!$T$28</f>
        <v>1.56</v>
      </c>
      <c r="T521" s="560">
        <f ca="1">$A521*S521</f>
        <v>1.56</v>
      </c>
      <c r="U521" s="484"/>
    </row>
    <row r="522" spans="1:41" s="501" customFormat="1" ht="14.4" customHeight="1">
      <c r="A522" s="767"/>
      <c r="B522" s="567"/>
      <c r="C522" s="567"/>
      <c r="D522" s="567"/>
      <c r="E522" s="567"/>
      <c r="F522" s="567"/>
      <c r="G522" s="567"/>
      <c r="H522" s="764"/>
      <c r="I522" s="567"/>
      <c r="J522" s="45"/>
      <c r="K522" s="769"/>
      <c r="L522" s="770"/>
      <c r="M522" s="567"/>
      <c r="N522" s="567"/>
      <c r="O522" s="45"/>
      <c r="P522" s="567"/>
      <c r="Q522" s="567"/>
      <c r="R522" s="771">
        <f>$A522*Q522</f>
        <v>0</v>
      </c>
      <c r="S522" s="567"/>
      <c r="T522" s="500">
        <f>$A522*S522*$T$1</f>
        <v>0</v>
      </c>
    </row>
    <row r="523" spans="1:41" s="501" customFormat="1" ht="12">
      <c r="A523" s="772" t="s">
        <v>145</v>
      </c>
      <c r="B523" s="773">
        <f>(R522+T522)</f>
        <v>0</v>
      </c>
      <c r="C523" s="753"/>
      <c r="G523" s="774"/>
      <c r="H523" s="774"/>
      <c r="I523" s="774"/>
      <c r="J523" s="774"/>
      <c r="K523" s="750" t="s">
        <v>3</v>
      </c>
      <c r="L523" s="775" t="s">
        <v>573</v>
      </c>
      <c r="M523" s="774"/>
      <c r="N523" s="774"/>
      <c r="O523" s="774"/>
      <c r="P523" s="774"/>
      <c r="Q523" s="776"/>
      <c r="R523" s="777">
        <f ca="1">SUM(R519:R522)</f>
        <v>13.92</v>
      </c>
      <c r="S523" s="778"/>
      <c r="T523" s="777">
        <f ca="1">SUM(T519:T522)</f>
        <v>1.56</v>
      </c>
      <c r="AG523" s="779">
        <f ca="1">ROUND($R523*$S$2,2)</f>
        <v>18.79</v>
      </c>
    </row>
    <row r="524" spans="1:41" s="501" customFormat="1" ht="12" customHeight="1">
      <c r="A524" s="760"/>
      <c r="B524" s="780"/>
      <c r="C524" s="781"/>
      <c r="D524" s="782" t="str">
        <f>$F$3</f>
        <v>Technician</v>
      </c>
      <c r="E524" s="782">
        <f>ROUND(($R528*$S$3 + ($T528*$T$3)), 2)</f>
        <v>0</v>
      </c>
      <c r="F524" s="783">
        <f>$E524*$C$12</f>
        <v>0</v>
      </c>
      <c r="G524" s="499"/>
      <c r="H524" s="499"/>
      <c r="I524" s="499"/>
      <c r="J524" s="499"/>
      <c r="K524" s="765" t="s">
        <v>5</v>
      </c>
      <c r="L524" s="766" t="s">
        <v>573</v>
      </c>
      <c r="M524" s="499"/>
      <c r="N524" s="499"/>
      <c r="O524" s="499"/>
      <c r="P524" s="499"/>
      <c r="Q524" s="499"/>
      <c r="R524" s="784"/>
      <c r="S524" s="499"/>
      <c r="T524" s="784"/>
    </row>
    <row r="525" spans="1:41" s="797" customFormat="1" ht="15.6" customHeight="1">
      <c r="A525" s="785"/>
      <c r="B525" s="768" t="s">
        <v>575</v>
      </c>
      <c r="C525" s="786"/>
      <c r="D525" s="787"/>
      <c r="E525" s="787"/>
      <c r="F525" s="787"/>
      <c r="G525" s="788"/>
      <c r="H525" s="789"/>
      <c r="I525" s="789"/>
      <c r="J525" s="790"/>
      <c r="K525" s="791"/>
      <c r="L525" s="786"/>
      <c r="M525" s="792"/>
      <c r="N525" s="793"/>
      <c r="O525" s="794"/>
      <c r="P525" s="795"/>
      <c r="Q525" s="796"/>
      <c r="R525" s="771">
        <f>$A525*Q525</f>
        <v>0</v>
      </c>
      <c r="S525" s="567"/>
      <c r="T525" s="500">
        <f>$A525*S525*$T$1</f>
        <v>0</v>
      </c>
    </row>
    <row r="526" spans="1:41" s="501" customFormat="1" ht="15.6" customHeight="1">
      <c r="A526" s="767"/>
      <c r="B526" s="567"/>
      <c r="C526" s="567"/>
      <c r="D526" s="567"/>
      <c r="E526" s="567"/>
      <c r="F526" s="567"/>
      <c r="G526" s="567"/>
      <c r="H526" s="567"/>
      <c r="I526" s="567"/>
      <c r="J526" s="567"/>
      <c r="K526" s="567"/>
      <c r="L526" s="770"/>
      <c r="M526" s="567"/>
      <c r="N526" s="567"/>
      <c r="O526" s="567"/>
      <c r="P526" s="567"/>
      <c r="Q526" s="567"/>
      <c r="R526" s="771">
        <f>$A526*Q526</f>
        <v>0</v>
      </c>
      <c r="S526" s="567"/>
      <c r="T526" s="500">
        <f>$A526*S526*$T$1</f>
        <v>0</v>
      </c>
    </row>
    <row r="527" spans="1:41" s="501" customFormat="1" ht="15.6" customHeight="1">
      <c r="A527" s="767"/>
      <c r="B527" s="567"/>
      <c r="C527" s="567"/>
      <c r="D527" s="3"/>
      <c r="E527" s="567"/>
      <c r="F527" s="567"/>
      <c r="G527" s="567"/>
      <c r="H527" s="567"/>
      <c r="I527" s="567"/>
      <c r="J527" s="567"/>
      <c r="K527" s="567"/>
      <c r="L527" s="770"/>
      <c r="M527" s="567"/>
      <c r="N527" s="567"/>
      <c r="O527" s="567"/>
      <c r="P527" s="567"/>
      <c r="Q527" s="567"/>
      <c r="R527" s="771">
        <f>$A527*Q527</f>
        <v>0</v>
      </c>
      <c r="S527" s="567"/>
      <c r="T527" s="500">
        <f>$A527*S527*$T$1</f>
        <v>0</v>
      </c>
    </row>
    <row r="528" spans="1:41" s="501" customFormat="1" ht="12">
      <c r="A528" s="772" t="s">
        <v>145</v>
      </c>
      <c r="B528" s="773">
        <f>(R527+T527)</f>
        <v>0</v>
      </c>
      <c r="C528" s="753"/>
      <c r="G528" s="774"/>
      <c r="H528" s="774"/>
      <c r="I528" s="774"/>
      <c r="J528" s="774"/>
      <c r="K528" s="798" t="s">
        <v>5</v>
      </c>
      <c r="L528" s="775" t="s">
        <v>573</v>
      </c>
      <c r="M528" s="774"/>
      <c r="N528" s="774"/>
      <c r="O528" s="774"/>
      <c r="P528" s="774"/>
      <c r="Q528" s="776"/>
      <c r="R528" s="777">
        <f>SUM(R524:R527)</f>
        <v>0</v>
      </c>
      <c r="S528" s="778"/>
      <c r="T528" s="777">
        <f>SUM(T524:T527)</f>
        <v>0</v>
      </c>
      <c r="AG528" s="799">
        <f>ROUND($R528*$S$3,2)</f>
        <v>0</v>
      </c>
    </row>
    <row r="529" spans="1:41" s="501" customFormat="1" ht="12" customHeight="1">
      <c r="A529" s="800"/>
      <c r="B529" s="801"/>
      <c r="C529" s="802"/>
      <c r="D529" s="803" t="str">
        <f>$F$4</f>
        <v>Engineer (Man Hours)</v>
      </c>
      <c r="E529" s="803">
        <f>ROUND(($R533*$S$4 + ($T533*$T$4)), 2)</f>
        <v>0</v>
      </c>
      <c r="F529" s="804">
        <f ca="1">$F516-SUMIF($L518:$P526,"SUBI",$F518:$F526)</f>
        <v>0</v>
      </c>
      <c r="G529" s="499"/>
      <c r="H529" s="499"/>
      <c r="I529" s="499"/>
      <c r="J529" s="499"/>
      <c r="K529" s="805" t="s">
        <v>8</v>
      </c>
      <c r="L529" s="766" t="s">
        <v>573</v>
      </c>
      <c r="M529" s="499"/>
      <c r="N529" s="499"/>
      <c r="O529" s="499"/>
      <c r="P529" s="499"/>
      <c r="Q529" s="499"/>
      <c r="R529" s="784"/>
      <c r="S529" s="499"/>
      <c r="T529" s="784"/>
    </row>
    <row r="530" spans="1:41" s="797" customFormat="1" ht="14.4" customHeight="1">
      <c r="A530" s="785"/>
      <c r="B530" s="768" t="s">
        <v>576</v>
      </c>
      <c r="C530" s="786"/>
      <c r="D530" s="787"/>
      <c r="E530" s="787"/>
      <c r="F530" s="787"/>
      <c r="G530" s="788"/>
      <c r="H530" s="789"/>
      <c r="I530" s="789"/>
      <c r="J530" s="790"/>
      <c r="K530" s="791"/>
      <c r="L530" s="786"/>
      <c r="M530" s="792"/>
      <c r="N530" s="793"/>
      <c r="O530" s="806"/>
      <c r="P530" s="795"/>
      <c r="Q530" s="796"/>
      <c r="R530" s="720">
        <f>$A530*Q530</f>
        <v>0</v>
      </c>
      <c r="S530" s="796"/>
      <c r="T530" s="500">
        <f>$A530*S530*$T$1</f>
        <v>0</v>
      </c>
    </row>
    <row r="531" spans="1:41" s="501" customFormat="1" ht="12">
      <c r="A531" s="44"/>
      <c r="B531" s="497"/>
      <c r="C531" s="497"/>
      <c r="D531" s="807"/>
      <c r="E531" s="808"/>
      <c r="F531" s="499"/>
      <c r="G531" s="499"/>
      <c r="H531" s="499"/>
      <c r="I531" s="499"/>
      <c r="J531" s="499"/>
      <c r="K531" s="499"/>
      <c r="L531" s="809"/>
      <c r="M531" s="499"/>
      <c r="N531" s="499"/>
      <c r="O531" s="499"/>
      <c r="P531" s="499"/>
      <c r="Q531" s="499"/>
      <c r="R531" s="720">
        <f>$A531*Q531</f>
        <v>0</v>
      </c>
      <c r="S531" s="499"/>
      <c r="T531" s="500">
        <f>$A531*S531*$T$1</f>
        <v>0</v>
      </c>
    </row>
    <row r="532" spans="1:41" s="501" customFormat="1" ht="12">
      <c r="A532" s="44"/>
      <c r="B532" s="497"/>
      <c r="C532" s="497"/>
      <c r="D532" s="807"/>
      <c r="E532" s="808"/>
      <c r="F532" s="499"/>
      <c r="G532" s="499"/>
      <c r="H532" s="499"/>
      <c r="I532" s="499"/>
      <c r="J532" s="499"/>
      <c r="K532" s="499"/>
      <c r="L532" s="809"/>
      <c r="M532" s="499"/>
      <c r="N532" s="499"/>
      <c r="O532" s="499"/>
      <c r="P532" s="499"/>
      <c r="Q532" s="499"/>
      <c r="R532" s="720">
        <f>$A532*Q532</f>
        <v>0</v>
      </c>
      <c r="S532" s="499"/>
      <c r="T532" s="500">
        <f>$A532*S532*$T$1</f>
        <v>0</v>
      </c>
    </row>
    <row r="533" spans="1:41" s="501" customFormat="1" ht="12.75" customHeight="1">
      <c r="A533" s="772" t="s">
        <v>145</v>
      </c>
      <c r="B533" s="773">
        <f>(R532+T532)</f>
        <v>0</v>
      </c>
      <c r="C533" s="810"/>
      <c r="D533" s="810"/>
      <c r="E533" s="810"/>
      <c r="F533" s="810"/>
      <c r="G533" s="776"/>
      <c r="H533" s="776"/>
      <c r="I533" s="776"/>
      <c r="J533" s="776"/>
      <c r="K533" s="798" t="s">
        <v>8</v>
      </c>
      <c r="L533" s="811" t="s">
        <v>573</v>
      </c>
      <c r="M533" s="776"/>
      <c r="N533" s="776"/>
      <c r="O533" s="776"/>
      <c r="P533" s="776"/>
      <c r="Q533" s="776"/>
      <c r="R533" s="777">
        <f>SUM(R529:R532)</f>
        <v>0</v>
      </c>
      <c r="S533" s="778"/>
      <c r="T533" s="777">
        <f>SUM(T529:T532)</f>
        <v>0</v>
      </c>
      <c r="AG533" s="812">
        <f>ROUND($R533*$S$4,2)</f>
        <v>0</v>
      </c>
    </row>
    <row r="534" spans="1:41" s="501" customFormat="1" ht="12.75" customHeight="1">
      <c r="A534" s="813"/>
      <c r="B534" s="814"/>
      <c r="E534" s="497"/>
      <c r="F534" s="808"/>
      <c r="G534" s="497"/>
      <c r="H534" s="497"/>
      <c r="I534" s="499"/>
      <c r="J534" s="497"/>
      <c r="K534" s="497"/>
      <c r="L534" s="815"/>
      <c r="M534" s="725"/>
      <c r="N534" s="725"/>
      <c r="O534" s="725"/>
      <c r="P534" s="725"/>
      <c r="Q534" s="726"/>
      <c r="R534" s="784"/>
      <c r="S534" s="497"/>
      <c r="T534" s="784"/>
    </row>
    <row r="535" spans="1:41" s="501" customFormat="1" ht="13.5" customHeight="1" thickBot="1">
      <c r="A535" s="816"/>
      <c r="B535" s="817"/>
      <c r="C535" s="518"/>
      <c r="D535" s="518"/>
      <c r="E535" s="515"/>
      <c r="F535" s="721"/>
      <c r="G535" s="515" t="s">
        <v>146</v>
      </c>
      <c r="H535" s="515"/>
      <c r="I535" s="516"/>
      <c r="J535" s="515"/>
      <c r="K535" s="515"/>
      <c r="L535" s="818" t="s">
        <v>143</v>
      </c>
      <c r="M535" s="517"/>
      <c r="N535" s="517"/>
      <c r="O535" s="517"/>
      <c r="P535" s="517"/>
      <c r="Q535" s="722"/>
      <c r="R535" s="819">
        <f ca="1">SUMIF($L517:$L534,"SUBI",R517:R534)</f>
        <v>13.92</v>
      </c>
      <c r="S535" s="820"/>
      <c r="T535" s="819">
        <f ca="1">SUMIF($L517:$L534,"SUBI",T517:T534)</f>
        <v>1.56</v>
      </c>
      <c r="U535" s="518"/>
      <c r="V535" s="518"/>
      <c r="W535" s="518"/>
      <c r="X535" s="518"/>
      <c r="Y535" s="518"/>
      <c r="Z535" s="518"/>
      <c r="AA535" s="518"/>
      <c r="AB535" s="518"/>
      <c r="AC535" s="518"/>
      <c r="AD535" s="518"/>
      <c r="AE535" s="518"/>
      <c r="AF535" s="518"/>
      <c r="AG535" s="518"/>
      <c r="AH535" s="518"/>
      <c r="AI535" s="518"/>
      <c r="AJ535" s="518"/>
      <c r="AK535" s="518"/>
      <c r="AL535" s="518"/>
      <c r="AM535" s="518"/>
      <c r="AN535" s="518"/>
      <c r="AO535" s="518"/>
    </row>
    <row r="536" spans="1:41" s="501" customFormat="1" ht="12" thickTop="1">
      <c r="A536" s="41" t="s">
        <v>148</v>
      </c>
      <c r="D536" s="11"/>
      <c r="E536" s="40"/>
      <c r="O536" s="727"/>
    </row>
    <row r="537" spans="1:41" s="501" customFormat="1" ht="13.2">
      <c r="B537" s="3"/>
      <c r="O537" s="727"/>
    </row>
    <row r="538" spans="1:41" s="501" customFormat="1" ht="12">
      <c r="B538" s="728">
        <f ca="1">$F538/$C$2-($R538*$S$2+$T538*$T$2)</f>
        <v>223.94470999999612</v>
      </c>
      <c r="D538" s="729" t="s">
        <v>568</v>
      </c>
      <c r="E538" s="730"/>
      <c r="F538" s="731">
        <f ca="1">SUMIF($L40:$L536,"ITEM",F40:F536)</f>
        <v>67491.05</v>
      </c>
      <c r="G538" s="497"/>
      <c r="H538" s="497"/>
      <c r="I538" s="499"/>
      <c r="J538" s="497"/>
      <c r="K538" s="497"/>
      <c r="L538" s="717" t="s">
        <v>159</v>
      </c>
      <c r="M538" s="717"/>
      <c r="N538" s="717"/>
      <c r="O538" s="717"/>
      <c r="P538" s="717"/>
      <c r="R538" s="731">
        <f ca="1">SUMIF($L40:$L536,"ITEM",R40:R536)</f>
        <v>46505.100000000006</v>
      </c>
      <c r="S538" s="733"/>
      <c r="T538" s="731">
        <f ca="1">SUMIF($L40:$L536,"ITEM",T40:T536)</f>
        <v>120.98999999999998</v>
      </c>
    </row>
    <row r="539" spans="1:41" s="501" customFormat="1" ht="13.2">
      <c r="A539" s="44"/>
      <c r="B539" s="42" t="s">
        <v>569</v>
      </c>
      <c r="C539" s="44"/>
      <c r="D539" s="3"/>
      <c r="F539" s="734" t="s">
        <v>160</v>
      </c>
      <c r="G539" s="497"/>
      <c r="H539" s="497"/>
      <c r="I539" s="499"/>
      <c r="J539" s="497"/>
      <c r="K539" s="497"/>
      <c r="L539" s="497"/>
      <c r="M539" s="497"/>
      <c r="N539" s="497"/>
      <c r="O539" s="497"/>
      <c r="P539" s="497"/>
      <c r="Q539" s="726"/>
      <c r="R539" s="734" t="s">
        <v>161</v>
      </c>
      <c r="S539" s="36"/>
      <c r="T539" s="734" t="s">
        <v>162</v>
      </c>
    </row>
    <row r="540" spans="1:41" s="501" customFormat="1" ht="13.2">
      <c r="A540" s="497"/>
      <c r="B540" s="3"/>
      <c r="C540" s="497"/>
      <c r="D540" s="3"/>
      <c r="E540" s="3"/>
      <c r="G540" s="3"/>
      <c r="H540" s="3"/>
      <c r="I540" s="3"/>
      <c r="J540" s="3"/>
      <c r="K540" s="3"/>
      <c r="L540" s="3"/>
      <c r="M540" s="3"/>
      <c r="N540" s="3"/>
      <c r="O540" s="86"/>
      <c r="P540" s="3"/>
      <c r="Q540" s="3"/>
      <c r="R540" s="3"/>
      <c r="S540" s="3"/>
      <c r="T540" s="3"/>
    </row>
    <row r="541" spans="1:41" s="501" customFormat="1" ht="12" thickBot="1">
      <c r="A541" s="518"/>
      <c r="B541" s="515"/>
      <c r="C541" s="515"/>
      <c r="D541" s="518"/>
      <c r="E541" s="37"/>
      <c r="F541" s="735"/>
      <c r="G541" s="515"/>
      <c r="H541" s="515"/>
      <c r="I541" s="516"/>
      <c r="J541" s="515"/>
      <c r="K541" s="515"/>
      <c r="L541" s="517"/>
      <c r="M541" s="517"/>
      <c r="N541" s="517"/>
      <c r="O541" s="517"/>
      <c r="P541" s="517"/>
      <c r="Q541" s="722"/>
      <c r="R541" s="735"/>
      <c r="S541" s="736"/>
      <c r="T541" s="735"/>
      <c r="U541" s="518"/>
      <c r="V541" s="518"/>
      <c r="W541" s="518"/>
      <c r="X541" s="518"/>
      <c r="Y541" s="518"/>
      <c r="Z541" s="518"/>
      <c r="AA541" s="518"/>
      <c r="AB541" s="518"/>
      <c r="AC541" s="518"/>
      <c r="AD541" s="518"/>
      <c r="AE541" s="518"/>
      <c r="AF541" s="518"/>
      <c r="AG541" s="518"/>
      <c r="AH541" s="518"/>
      <c r="AI541" s="518"/>
      <c r="AJ541" s="518"/>
      <c r="AK541" s="518"/>
    </row>
    <row r="542" spans="1:41" s="501" customFormat="1" thickTop="1">
      <c r="A542" s="44"/>
      <c r="B542" s="44"/>
      <c r="C542" s="3"/>
      <c r="D542" s="3"/>
      <c r="E542" s="44"/>
      <c r="F542" s="44"/>
      <c r="G542" s="44"/>
      <c r="H542" s="44"/>
      <c r="I542" s="44"/>
      <c r="J542" s="44"/>
      <c r="K542" s="44" t="s">
        <v>134</v>
      </c>
      <c r="L542" s="44"/>
      <c r="M542" s="44"/>
      <c r="N542" s="44"/>
      <c r="O542" s="45"/>
      <c r="P542" s="44"/>
      <c r="Q542" s="44"/>
      <c r="R542" s="44"/>
      <c r="S542" s="44"/>
      <c r="T542" s="44"/>
    </row>
    <row r="543" spans="1:41" s="501" customFormat="1" ht="12">
      <c r="A543" s="44"/>
      <c r="B543" s="44"/>
      <c r="C543" s="44" t="s">
        <v>135</v>
      </c>
      <c r="D543" s="35" t="s">
        <v>580</v>
      </c>
      <c r="E543" s="44"/>
      <c r="F543" s="44"/>
      <c r="G543" s="44"/>
      <c r="H543" s="44"/>
      <c r="I543" s="44"/>
      <c r="J543" s="44"/>
      <c r="K543" s="44"/>
      <c r="L543" s="44"/>
      <c r="M543" s="44"/>
      <c r="N543" s="44"/>
      <c r="O543" s="45"/>
      <c r="P543" s="44"/>
      <c r="Q543" s="44"/>
      <c r="R543" s="44"/>
      <c r="S543" s="44"/>
      <c r="T543" s="44"/>
    </row>
    <row r="544" spans="1:41" s="501" customFormat="1" ht="12">
      <c r="A544" s="44"/>
      <c r="B544" s="44"/>
      <c r="C544" s="44"/>
      <c r="D544" s="35" t="s">
        <v>581</v>
      </c>
      <c r="E544" s="44"/>
      <c r="F544" s="44"/>
      <c r="G544" s="44"/>
      <c r="H544" s="44"/>
      <c r="I544" s="44"/>
      <c r="J544" s="44"/>
      <c r="K544" s="44"/>
      <c r="L544" s="44"/>
      <c r="M544" s="44"/>
      <c r="N544" s="44"/>
      <c r="O544" s="45"/>
      <c r="P544" s="44"/>
      <c r="Q544" s="44"/>
      <c r="R544" s="44"/>
      <c r="S544" s="36"/>
      <c r="T544" s="36"/>
    </row>
    <row r="545" spans="1:41" s="3" customFormat="1" thickBot="1">
      <c r="A545" s="518"/>
      <c r="O545" s="86"/>
    </row>
    <row r="546" spans="1:41" s="501" customFormat="1" thickTop="1">
      <c r="A546" s="44"/>
      <c r="B546" s="44"/>
      <c r="C546" s="3"/>
      <c r="D546" s="3"/>
      <c r="E546" s="44"/>
      <c r="F546" s="44"/>
      <c r="G546" s="44"/>
      <c r="H546" s="44"/>
      <c r="I546" s="44"/>
      <c r="J546" s="44"/>
      <c r="K546" s="44" t="s">
        <v>134</v>
      </c>
      <c r="L546" s="44"/>
      <c r="M546" s="44"/>
      <c r="N546" s="44"/>
      <c r="O546" s="45"/>
      <c r="P546" s="44"/>
      <c r="Q546" s="44"/>
      <c r="R546" s="44"/>
      <c r="S546" s="44"/>
      <c r="T546" s="44"/>
    </row>
    <row r="547" spans="1:41" s="501" customFormat="1" ht="12">
      <c r="A547" s="44"/>
      <c r="B547" s="44"/>
      <c r="C547" s="44" t="s">
        <v>135</v>
      </c>
      <c r="D547" s="35"/>
      <c r="E547" s="44"/>
      <c r="F547" s="44"/>
      <c r="G547" s="44"/>
      <c r="H547" s="44"/>
      <c r="I547" s="44"/>
      <c r="J547" s="44"/>
      <c r="K547" s="44"/>
      <c r="L547" s="44"/>
      <c r="M547" s="44"/>
      <c r="N547" s="44"/>
      <c r="O547" s="45"/>
      <c r="P547" s="44"/>
      <c r="Q547" s="44"/>
      <c r="R547" s="44"/>
      <c r="S547" s="44"/>
      <c r="T547" s="44"/>
    </row>
    <row r="548" spans="1:41" s="501" customFormat="1" ht="12">
      <c r="A548" s="44"/>
      <c r="B548" s="44"/>
      <c r="C548" s="44"/>
      <c r="D548" s="35" t="s">
        <v>280</v>
      </c>
      <c r="E548" s="44"/>
      <c r="F548" s="44"/>
      <c r="G548" s="44"/>
      <c r="H548" s="44"/>
      <c r="I548" s="44"/>
      <c r="J548" s="44"/>
      <c r="K548" s="44"/>
      <c r="L548" s="44"/>
      <c r="M548" s="44"/>
      <c r="N548" s="44"/>
      <c r="O548" s="45"/>
      <c r="P548" s="44"/>
      <c r="Q548" s="44"/>
      <c r="R548" s="44"/>
      <c r="S548" s="36"/>
      <c r="T548" s="36"/>
    </row>
    <row r="549" spans="1:41" s="3" customFormat="1" thickBot="1">
      <c r="A549" s="518"/>
      <c r="O549" s="86"/>
    </row>
    <row r="550" spans="1:41" s="501" customFormat="1" thickTop="1">
      <c r="A550" s="44"/>
      <c r="B550" s="44"/>
      <c r="C550" s="3"/>
      <c r="D550" s="3"/>
      <c r="E550" s="44"/>
      <c r="F550" s="44"/>
      <c r="G550" s="44"/>
      <c r="H550" s="44"/>
      <c r="I550" s="44"/>
      <c r="J550" s="44"/>
      <c r="K550" s="44" t="s">
        <v>134</v>
      </c>
      <c r="L550" s="44"/>
      <c r="M550" s="44"/>
      <c r="N550" s="44"/>
      <c r="O550" s="45"/>
      <c r="P550" s="44"/>
      <c r="Q550" s="44"/>
      <c r="R550" s="44"/>
      <c r="S550" s="44"/>
      <c r="T550" s="44"/>
    </row>
    <row r="551" spans="1:41" s="501" customFormat="1" ht="12">
      <c r="A551" s="44"/>
      <c r="B551" s="44"/>
      <c r="C551" s="44" t="s">
        <v>135</v>
      </c>
      <c r="D551" s="35"/>
      <c r="E551" s="44"/>
      <c r="F551" s="44"/>
      <c r="G551" s="44"/>
      <c r="H551" s="44"/>
      <c r="I551" s="44"/>
      <c r="J551" s="44"/>
      <c r="K551" s="44"/>
      <c r="L551" s="44"/>
      <c r="M551" s="44"/>
      <c r="N551" s="44"/>
      <c r="O551" s="45"/>
      <c r="P551" s="44"/>
      <c r="Q551" s="44"/>
      <c r="R551" s="44"/>
      <c r="S551" s="44"/>
      <c r="T551" s="44"/>
    </row>
    <row r="552" spans="1:41" s="501" customFormat="1" ht="12">
      <c r="A552" s="44"/>
      <c r="B552" s="44"/>
      <c r="C552" s="44"/>
      <c r="D552" s="35" t="s">
        <v>329</v>
      </c>
      <c r="E552" s="44"/>
      <c r="F552" s="44"/>
      <c r="G552" s="44"/>
      <c r="H552" s="44"/>
      <c r="I552" s="44"/>
      <c r="J552" s="44"/>
      <c r="K552" s="44"/>
      <c r="L552" s="44"/>
      <c r="M552" s="44"/>
      <c r="N552" s="44"/>
      <c r="O552" s="45"/>
      <c r="P552" s="44"/>
      <c r="Q552" s="44"/>
      <c r="R552" s="44"/>
      <c r="S552" s="36"/>
      <c r="T552" s="36"/>
    </row>
    <row r="553" spans="1:41" s="3" customFormat="1" thickBot="1">
      <c r="A553" s="518"/>
      <c r="O553" s="86"/>
    </row>
    <row r="554" spans="1:41" s="501" customFormat="1" thickTop="1">
      <c r="A554" s="44"/>
      <c r="B554" s="44"/>
      <c r="C554" s="3"/>
      <c r="D554" s="3"/>
      <c r="E554" s="44"/>
      <c r="F554" s="44"/>
      <c r="G554" s="44"/>
      <c r="H554" s="44"/>
      <c r="I554" s="44"/>
      <c r="J554" s="44"/>
      <c r="K554" s="44" t="s">
        <v>134</v>
      </c>
      <c r="L554" s="44"/>
      <c r="M554" s="44"/>
      <c r="N554" s="44"/>
      <c r="O554" s="45"/>
      <c r="P554" s="44"/>
      <c r="Q554" s="44"/>
      <c r="R554" s="44"/>
      <c r="S554" s="44"/>
      <c r="T554" s="44"/>
    </row>
    <row r="555" spans="1:41" s="501" customFormat="1" ht="12">
      <c r="A555" s="44"/>
      <c r="B555" s="44"/>
      <c r="C555" s="44" t="s">
        <v>135</v>
      </c>
      <c r="D555" s="35"/>
      <c r="E555" s="44"/>
      <c r="F555" s="44"/>
      <c r="G555" s="44"/>
      <c r="H555" s="44"/>
      <c r="I555" s="44"/>
      <c r="J555" s="44"/>
      <c r="K555" s="44"/>
      <c r="L555" s="44"/>
      <c r="M555" s="44"/>
      <c r="N555" s="44"/>
      <c r="O555" s="45"/>
      <c r="P555" s="44"/>
      <c r="Q555" s="44"/>
      <c r="R555" s="44"/>
      <c r="S555" s="44"/>
      <c r="T555" s="44"/>
    </row>
    <row r="556" spans="1:41" s="501" customFormat="1" ht="12">
      <c r="A556" s="44"/>
      <c r="B556" s="44"/>
      <c r="C556" s="44"/>
      <c r="D556" s="35" t="s">
        <v>328</v>
      </c>
      <c r="E556" s="44"/>
      <c r="F556" s="44"/>
      <c r="G556" s="44"/>
      <c r="H556" s="44"/>
      <c r="I556" s="44"/>
      <c r="J556" s="44"/>
      <c r="K556" s="44"/>
      <c r="L556" s="44"/>
      <c r="M556" s="44"/>
      <c r="N556" s="44"/>
      <c r="O556" s="45"/>
      <c r="P556" s="44"/>
      <c r="Q556" s="44"/>
      <c r="R556" s="44"/>
      <c r="S556" s="36"/>
      <c r="T556" s="36"/>
    </row>
    <row r="557" spans="1:41" s="3" customFormat="1" thickBot="1">
      <c r="A557" s="518"/>
      <c r="O557" s="86"/>
    </row>
    <row r="558" spans="1:41" s="501" customFormat="1" thickTop="1">
      <c r="A558" s="44"/>
      <c r="B558" s="39"/>
      <c r="C558" s="44"/>
      <c r="E558" s="40" t="s">
        <v>138</v>
      </c>
      <c r="F558" s="40" t="s">
        <v>139</v>
      </c>
      <c r="G558" s="44"/>
      <c r="H558" s="44"/>
      <c r="I558" s="44"/>
      <c r="J558" s="44"/>
      <c r="K558" s="44" t="s">
        <v>140</v>
      </c>
      <c r="L558" s="737"/>
      <c r="M558" s="44"/>
      <c r="N558" s="44"/>
      <c r="O558" s="45"/>
      <c r="P558" s="44"/>
      <c r="Q558"/>
      <c r="R558" s="943" t="s">
        <v>873</v>
      </c>
      <c r="S558"/>
      <c r="T558" s="39"/>
      <c r="AG558" s="502" t="s">
        <v>247</v>
      </c>
      <c r="AH558" s="502" t="s">
        <v>248</v>
      </c>
      <c r="AI558" s="502" t="s">
        <v>249</v>
      </c>
      <c r="AJ558" s="502" t="s">
        <v>250</v>
      </c>
      <c r="AK558" s="502" t="s">
        <v>251</v>
      </c>
      <c r="AM558" s="710" t="s">
        <v>260</v>
      </c>
      <c r="AN558" s="711" t="s">
        <v>261</v>
      </c>
      <c r="AO558" s="503" t="s">
        <v>257</v>
      </c>
    </row>
    <row r="559" spans="1:41" s="501" customFormat="1" ht="13.2">
      <c r="A559" s="712">
        <v>1</v>
      </c>
      <c r="B559" s="504" t="s">
        <v>287</v>
      </c>
      <c r="C559" s="505"/>
      <c r="D559" s="713" t="s">
        <v>582</v>
      </c>
      <c r="E559" s="738">
        <f>IF(AND($A559=0,$A$1="DIF"),0, ROUND(ROUND(SUMIF($L561:$L568,"SUBI",$E561:$E568)/$A559,2)*$C$12,2))</f>
        <v>283.27999999999997</v>
      </c>
      <c r="F559" s="739">
        <f>ROUND($A559*$E559,2)</f>
        <v>283.27999999999997</v>
      </c>
      <c r="G559" s="506" t="s">
        <v>142</v>
      </c>
      <c r="H559" s="498"/>
      <c r="I559" s="716"/>
      <c r="J559" s="498"/>
      <c r="K559" s="740"/>
      <c r="L559" s="741" t="s">
        <v>143</v>
      </c>
      <c r="M559" s="717"/>
      <c r="N559" s="717"/>
      <c r="O559" s="717"/>
      <c r="P559" s="717"/>
      <c r="Q559" s="943" t="s">
        <v>855</v>
      </c>
      <c r="S559"/>
      <c r="T559" s="742" t="str">
        <f>IF(AND($R574=0,$T574=0),"0.00","mu :" &amp; ROUND($F559/$C$12/($R574+$T574*$D$9),2))</f>
        <v>mu :1.35</v>
      </c>
      <c r="W559" s="507"/>
      <c r="AG559" s="743">
        <f>IF(A559=0,0,ROUND(SUM(AG561:AG574)/A559,2))</f>
        <v>135</v>
      </c>
      <c r="AH559" s="743">
        <f>$AG559*$A559</f>
        <v>135</v>
      </c>
      <c r="AI559" s="743">
        <f>$E559-$AG559</f>
        <v>148.27999999999997</v>
      </c>
      <c r="AJ559" s="743">
        <f>$A559*$AI559</f>
        <v>148.27999999999997</v>
      </c>
      <c r="AK559" s="744">
        <f>ROUND(($AG559+$AI559)*$A559,2)</f>
        <v>283.27999999999997</v>
      </c>
      <c r="AM559" s="510">
        <f>ROUND(R574,2)</f>
        <v>100</v>
      </c>
      <c r="AN559" s="511">
        <f>ROUND(T574,2)</f>
        <v>4</v>
      </c>
      <c r="AO559" s="512">
        <f>ROUND(AM559+AN559,2)*A559</f>
        <v>104</v>
      </c>
    </row>
    <row r="560" spans="1:41" s="501" customFormat="1" ht="33.6" customHeight="1">
      <c r="A560" s="745"/>
      <c r="B560" s="746"/>
      <c r="C560" s="505"/>
      <c r="D560" s="1183" t="s">
        <v>331</v>
      </c>
      <c r="E560" s="1184"/>
      <c r="F560" s="1184"/>
      <c r="G560" s="1184"/>
      <c r="H560" s="1184"/>
      <c r="I560" s="1184"/>
      <c r="J560" s="1184"/>
      <c r="K560" s="1184"/>
      <c r="L560" s="1184"/>
      <c r="M560" s="1184"/>
      <c r="N560" s="1184"/>
      <c r="O560" s="1184"/>
      <c r="P560" s="1184"/>
      <c r="Q560" s="1184"/>
      <c r="R560" s="1184"/>
      <c r="S560" s="1184"/>
      <c r="T560" s="1184"/>
    </row>
    <row r="561" spans="1:41" s="501" customFormat="1" ht="12">
      <c r="A561" s="821"/>
      <c r="B561" s="822"/>
      <c r="C561" s="497"/>
      <c r="D561" s="498"/>
      <c r="E561" s="823">
        <f>F559/$C$12-SUMIF($L558:$L574,"SUBI",$E558:$E574)</f>
        <v>0</v>
      </c>
      <c r="F561" s="824" t="s">
        <v>572</v>
      </c>
      <c r="G561" s="753"/>
      <c r="H561" s="753"/>
      <c r="I561" s="754"/>
      <c r="J561" s="753"/>
      <c r="K561" s="753"/>
      <c r="L561" s="755"/>
      <c r="M561" s="756"/>
      <c r="N561" s="756"/>
      <c r="O561" s="756"/>
      <c r="P561" s="756"/>
      <c r="Q561" s="757"/>
      <c r="R561" s="758"/>
      <c r="S561" s="757"/>
      <c r="T561" s="759"/>
    </row>
    <row r="562" spans="1:41" s="501" customFormat="1" ht="12" customHeight="1">
      <c r="A562" s="760"/>
      <c r="B562" s="761"/>
      <c r="C562" s="762"/>
      <c r="D562" s="762" t="str">
        <f>$F$2</f>
        <v>Electrical</v>
      </c>
      <c r="E562" s="762">
        <f>ROUND(($R567*$S$2 + ($T567*$T$2)), 2)</f>
        <v>283.27999999999997</v>
      </c>
      <c r="F562" s="763">
        <f>$E562*$C$12</f>
        <v>283.27999999999997</v>
      </c>
      <c r="G562" s="567"/>
      <c r="H562" s="764"/>
      <c r="I562" s="567"/>
      <c r="J562" s="45"/>
      <c r="K562" s="765" t="s">
        <v>3</v>
      </c>
      <c r="L562" s="766" t="s">
        <v>573</v>
      </c>
      <c r="M562" s="567"/>
      <c r="N562" s="567"/>
      <c r="O562" s="45"/>
      <c r="P562" s="567"/>
      <c r="Q562" s="567"/>
      <c r="R562"/>
      <c r="S562"/>
      <c r="T562"/>
    </row>
    <row r="563" spans="1:41" s="501" customFormat="1" ht="13.95" customHeight="1">
      <c r="A563" s="767"/>
      <c r="B563" s="768" t="s">
        <v>574</v>
      </c>
      <c r="C563" s="567"/>
      <c r="D563" s="567"/>
      <c r="E563" s="567"/>
      <c r="F563" s="567"/>
      <c r="G563" s="567"/>
      <c r="H563" s="764"/>
      <c r="I563" s="567"/>
      <c r="J563" s="45"/>
      <c r="K563" s="769"/>
      <c r="L563" s="770"/>
      <c r="M563" s="567"/>
      <c r="N563" s="567"/>
      <c r="O563" s="45"/>
      <c r="P563" s="567"/>
      <c r="Q563" s="567"/>
      <c r="R563" s="771">
        <f>$A563*Q563</f>
        <v>0</v>
      </c>
      <c r="S563" s="567"/>
      <c r="T563" s="500">
        <f>$A563*S563*$T$1</f>
        <v>0</v>
      </c>
    </row>
    <row r="564" spans="1:41" s="893" customFormat="1" ht="13.2">
      <c r="A564" s="87">
        <v>2</v>
      </c>
      <c r="B564" s="893" t="s">
        <v>287</v>
      </c>
      <c r="D564" s="893" t="s">
        <v>662</v>
      </c>
      <c r="G564" s="894" t="s">
        <v>663</v>
      </c>
      <c r="H564" s="895">
        <v>901</v>
      </c>
      <c r="I564" s="893" t="s">
        <v>660</v>
      </c>
      <c r="O564" s="896">
        <v>1</v>
      </c>
      <c r="P564" s="897">
        <v>40613</v>
      </c>
      <c r="Q564" s="898"/>
      <c r="R564" s="899">
        <f>$A564*Q564</f>
        <v>0</v>
      </c>
      <c r="S564" s="898">
        <v>2</v>
      </c>
      <c r="T564" s="900">
        <f>$A564*S564*$T$1</f>
        <v>4</v>
      </c>
    </row>
    <row r="565" spans="1:41" s="893" customFormat="1" ht="13.2">
      <c r="A565">
        <v>2</v>
      </c>
      <c r="B565" s="893" t="s">
        <v>141</v>
      </c>
      <c r="D565" s="893" t="s">
        <v>664</v>
      </c>
      <c r="G565" s="894" t="s">
        <v>665</v>
      </c>
      <c r="H565" s="895">
        <v>501</v>
      </c>
      <c r="I565" s="893" t="s">
        <v>643</v>
      </c>
      <c r="K565" s="893" t="s">
        <v>666</v>
      </c>
      <c r="O565" s="896">
        <v>1</v>
      </c>
      <c r="P565" s="897"/>
      <c r="Q565" s="898">
        <v>50</v>
      </c>
      <c r="R565" s="899">
        <f>$A565*Q565</f>
        <v>100</v>
      </c>
      <c r="S565" s="898"/>
      <c r="T565" s="900">
        <f>$A565*S565*$T$1</f>
        <v>0</v>
      </c>
    </row>
    <row r="566" spans="1:41" s="501" customFormat="1" ht="13.95" customHeight="1">
      <c r="A566" s="767"/>
      <c r="B566" s="567"/>
      <c r="C566" s="567"/>
      <c r="D566" s="567"/>
      <c r="E566" s="567"/>
      <c r="F566" s="567"/>
      <c r="G566" s="567"/>
      <c r="H566" s="764"/>
      <c r="I566" s="567"/>
      <c r="J566" s="45"/>
      <c r="K566" s="769"/>
      <c r="L566" s="770"/>
      <c r="M566" s="567"/>
      <c r="N566" s="567"/>
      <c r="O566" s="45"/>
      <c r="P566" s="567"/>
      <c r="Q566" s="567"/>
      <c r="R566" s="771">
        <f>$A566*Q566</f>
        <v>0</v>
      </c>
      <c r="S566" s="567"/>
      <c r="T566" s="500">
        <f>$A566*S566*$T$1</f>
        <v>0</v>
      </c>
    </row>
    <row r="567" spans="1:41" s="501" customFormat="1" ht="12">
      <c r="A567" s="825" t="s">
        <v>145</v>
      </c>
      <c r="B567" s="826">
        <f>(R566+T566)</f>
        <v>0</v>
      </c>
      <c r="C567" s="497"/>
      <c r="G567" s="774"/>
      <c r="H567" s="774"/>
      <c r="I567" s="774"/>
      <c r="J567" s="774"/>
      <c r="K567" s="750" t="s">
        <v>3</v>
      </c>
      <c r="L567" s="775" t="s">
        <v>573</v>
      </c>
      <c r="M567" s="774"/>
      <c r="N567" s="774"/>
      <c r="O567" s="774"/>
      <c r="P567" s="774"/>
      <c r="Q567" s="776"/>
      <c r="R567" s="777">
        <f>SUM(R562:R566)</f>
        <v>100</v>
      </c>
      <c r="S567" s="778"/>
      <c r="T567" s="777">
        <f>SUM(T562:T566)</f>
        <v>4</v>
      </c>
      <c r="AG567" s="779">
        <f>ROUND($R567*$S$2,2)</f>
        <v>135</v>
      </c>
    </row>
    <row r="568" spans="1:41" s="501" customFormat="1" ht="12" customHeight="1">
      <c r="A568" s="800"/>
      <c r="B568" s="827"/>
      <c r="C568" s="828"/>
      <c r="D568" s="828" t="str">
        <f>$F$3</f>
        <v>Technician</v>
      </c>
      <c r="E568" s="828">
        <f>ROUND(($R572*$S$3 + ($T572*$T$3)), 2)</f>
        <v>0</v>
      </c>
      <c r="F568" s="829">
        <f ca="1">$F559-SUMIF($L561:$P565,"SUBI",$F561:$F565)</f>
        <v>0</v>
      </c>
      <c r="G568" s="499"/>
      <c r="H568" s="499"/>
      <c r="I568" s="499"/>
      <c r="J568" s="499"/>
      <c r="K568" s="765" t="s">
        <v>5</v>
      </c>
      <c r="L568" s="766" t="s">
        <v>573</v>
      </c>
      <c r="M568" s="499"/>
      <c r="N568" s="499"/>
      <c r="O568" s="499"/>
      <c r="P568" s="499"/>
      <c r="Q568" s="499"/>
      <c r="R568" s="784"/>
      <c r="S568" s="499"/>
      <c r="T568" s="784"/>
    </row>
    <row r="569" spans="1:41" s="797" customFormat="1" ht="14.4" customHeight="1">
      <c r="A569" s="785"/>
      <c r="B569" s="768" t="s">
        <v>575</v>
      </c>
      <c r="C569" s="786"/>
      <c r="D569" s="787"/>
      <c r="E569" s="787"/>
      <c r="F569" s="787"/>
      <c r="G569" s="788"/>
      <c r="H569" s="789"/>
      <c r="I569" s="789"/>
      <c r="J569" s="790"/>
      <c r="K569" s="791"/>
      <c r="L569" s="786"/>
      <c r="M569" s="792"/>
      <c r="N569" s="793"/>
      <c r="O569" s="794"/>
      <c r="P569" s="795"/>
      <c r="Q569" s="796"/>
      <c r="R569" s="771">
        <f>$A569*Q569</f>
        <v>0</v>
      </c>
      <c r="S569" s="567"/>
      <c r="T569" s="500">
        <f>$A569*S569*$T$1</f>
        <v>0</v>
      </c>
    </row>
    <row r="570" spans="1:41" s="501" customFormat="1" ht="11.4">
      <c r="A570" s="767"/>
      <c r="B570" s="567"/>
      <c r="C570" s="567"/>
      <c r="D570" s="567"/>
      <c r="E570" s="567"/>
      <c r="F570" s="567"/>
      <c r="G570" s="567"/>
      <c r="H570" s="567"/>
      <c r="I570" s="567"/>
      <c r="J570" s="567"/>
      <c r="K570" s="567"/>
      <c r="L570" s="770"/>
      <c r="M570" s="567"/>
      <c r="N570" s="567"/>
      <c r="O570" s="567"/>
      <c r="P570" s="567"/>
      <c r="Q570" s="567"/>
      <c r="R570" s="771">
        <f>$A570*Q570</f>
        <v>0</v>
      </c>
      <c r="S570" s="567"/>
      <c r="T570" s="500">
        <f>$A570*S570*$T$1</f>
        <v>0</v>
      </c>
    </row>
    <row r="571" spans="1:41" s="501" customFormat="1" ht="13.2">
      <c r="A571" s="767"/>
      <c r="B571" s="567"/>
      <c r="C571" s="567"/>
      <c r="D571" s="3"/>
      <c r="E571" s="567"/>
      <c r="F571" s="567"/>
      <c r="G571" s="567"/>
      <c r="H571" s="567"/>
      <c r="I571" s="567"/>
      <c r="J571" s="567"/>
      <c r="K571" s="567"/>
      <c r="L571" s="770"/>
      <c r="M571" s="567"/>
      <c r="N571" s="567"/>
      <c r="O571" s="567"/>
      <c r="P571" s="567"/>
      <c r="Q571" s="567"/>
      <c r="R571" s="771">
        <f>$A571*Q571</f>
        <v>0</v>
      </c>
      <c r="S571" s="567"/>
      <c r="T571" s="500">
        <f>$A571*S571*$T$1</f>
        <v>0</v>
      </c>
    </row>
    <row r="572" spans="1:41" s="501" customFormat="1" ht="12" customHeight="1">
      <c r="A572" s="772" t="s">
        <v>145</v>
      </c>
      <c r="B572" s="773">
        <f>(R571+T571)</f>
        <v>0</v>
      </c>
      <c r="C572" s="810"/>
      <c r="D572" s="810"/>
      <c r="E572" s="810"/>
      <c r="F572" s="810"/>
      <c r="G572" s="776"/>
      <c r="H572" s="776"/>
      <c r="I572" s="776"/>
      <c r="J572" s="776"/>
      <c r="K572" s="798" t="s">
        <v>5</v>
      </c>
      <c r="L572" s="811" t="s">
        <v>573</v>
      </c>
      <c r="M572" s="776"/>
      <c r="N572" s="776"/>
      <c r="O572" s="776"/>
      <c r="P572" s="776"/>
      <c r="Q572" s="776"/>
      <c r="R572" s="777">
        <f>SUM(R568:R571)</f>
        <v>0</v>
      </c>
      <c r="S572" s="778"/>
      <c r="T572" s="777">
        <f>SUM(T568:T571)</f>
        <v>0</v>
      </c>
      <c r="AG572" s="799">
        <f>ROUND($R572*$S$3,2)</f>
        <v>0</v>
      </c>
    </row>
    <row r="573" spans="1:41" s="501" customFormat="1" ht="12.75" customHeight="1">
      <c r="A573" s="813"/>
      <c r="B573" s="814"/>
      <c r="E573" s="497"/>
      <c r="F573" s="808"/>
      <c r="G573" s="497"/>
      <c r="H573" s="497"/>
      <c r="I573" s="499"/>
      <c r="J573" s="497"/>
      <c r="K573" s="497"/>
      <c r="L573" s="815"/>
      <c r="M573" s="725"/>
      <c r="N573" s="725"/>
      <c r="O573" s="725"/>
      <c r="P573" s="725"/>
      <c r="Q573" s="726"/>
      <c r="R573" s="784"/>
      <c r="S573" s="497"/>
      <c r="T573" s="784"/>
    </row>
    <row r="574" spans="1:41" s="501" customFormat="1" ht="13.5" customHeight="1" thickBot="1">
      <c r="A574" s="816"/>
      <c r="B574" s="817"/>
      <c r="C574" s="518"/>
      <c r="D574" s="518"/>
      <c r="E574" s="515"/>
      <c r="F574" s="721"/>
      <c r="G574" s="515" t="s">
        <v>146</v>
      </c>
      <c r="H574" s="515"/>
      <c r="I574" s="516"/>
      <c r="J574" s="515"/>
      <c r="K574" s="515"/>
      <c r="L574" s="818" t="s">
        <v>143</v>
      </c>
      <c r="M574" s="517"/>
      <c r="N574" s="517"/>
      <c r="O574" s="517"/>
      <c r="P574" s="517"/>
      <c r="Q574" s="722"/>
      <c r="R574" s="819">
        <f>SUMIF($L560:$L573,"SUBI",R560:R573)</f>
        <v>100</v>
      </c>
      <c r="S574" s="515"/>
      <c r="T574" s="819">
        <f>SUMIF($L560:$L573,"SUBI",T560:T573)</f>
        <v>4</v>
      </c>
      <c r="U574" s="518"/>
      <c r="V574" s="518"/>
      <c r="W574" s="518"/>
      <c r="X574" s="518"/>
      <c r="Y574" s="518"/>
      <c r="Z574" s="518"/>
      <c r="AA574" s="518"/>
      <c r="AB574" s="518"/>
      <c r="AC574" s="518"/>
      <c r="AD574" s="518"/>
      <c r="AE574" s="518"/>
      <c r="AF574" s="518"/>
      <c r="AG574" s="518"/>
      <c r="AH574" s="518"/>
      <c r="AI574" s="518"/>
      <c r="AJ574" s="518"/>
      <c r="AK574" s="518"/>
      <c r="AL574" s="518"/>
      <c r="AM574" s="518"/>
      <c r="AN574" s="518"/>
      <c r="AO574" s="518"/>
    </row>
    <row r="575" spans="1:41" s="501" customFormat="1" ht="12" thickTop="1">
      <c r="A575" s="41" t="s">
        <v>148</v>
      </c>
      <c r="D575" s="11"/>
      <c r="E575" s="40"/>
      <c r="O575" s="727"/>
    </row>
    <row r="576" spans="1:41" s="501" customFormat="1" ht="13.2">
      <c r="B576" s="3"/>
      <c r="O576" s="727"/>
    </row>
    <row r="577" spans="1:41" s="501" customFormat="1" ht="12">
      <c r="B577" s="728">
        <f>$F577/$C$2-($R577*$S$2+$T577*$T$2)</f>
        <v>-4.0000000000190994E-3</v>
      </c>
      <c r="D577" s="729" t="s">
        <v>568</v>
      </c>
      <c r="E577" s="730"/>
      <c r="F577" s="731">
        <f>SUMIF($L542:$L575,"ITEM",F542:F575)</f>
        <v>283.27999999999997</v>
      </c>
      <c r="G577" s="497"/>
      <c r="H577" s="497"/>
      <c r="I577" s="499"/>
      <c r="J577" s="497"/>
      <c r="K577" s="497"/>
      <c r="L577" s="717" t="s">
        <v>159</v>
      </c>
      <c r="M577" s="717"/>
      <c r="N577" s="717"/>
      <c r="O577" s="717"/>
      <c r="P577" s="717"/>
      <c r="R577" s="731">
        <f>SUMIF($L542:$L575,"ITEM",R542:R575)</f>
        <v>100</v>
      </c>
      <c r="S577" s="733"/>
      <c r="T577" s="731">
        <f>SUMIF($L542:$L575,"ITEM",T542:T575)</f>
        <v>4</v>
      </c>
    </row>
    <row r="578" spans="1:41" s="501" customFormat="1" ht="13.2">
      <c r="A578" s="44"/>
      <c r="B578" s="42" t="s">
        <v>569</v>
      </c>
      <c r="C578" s="44"/>
      <c r="D578" s="3"/>
      <c r="F578" s="734" t="s">
        <v>160</v>
      </c>
      <c r="G578" s="497"/>
      <c r="H578" s="497"/>
      <c r="I578" s="499"/>
      <c r="J578" s="497"/>
      <c r="K578" s="497"/>
      <c r="L578" s="497"/>
      <c r="M578" s="497"/>
      <c r="N578" s="497"/>
      <c r="O578" s="497"/>
      <c r="P578" s="497"/>
      <c r="Q578" s="726"/>
      <c r="R578" s="734" t="s">
        <v>161</v>
      </c>
      <c r="S578" s="36"/>
      <c r="T578" s="734" t="s">
        <v>162</v>
      </c>
    </row>
    <row r="579" spans="1:41" s="501" customFormat="1" ht="13.2">
      <c r="A579" s="497"/>
      <c r="B579" s="3"/>
      <c r="C579" s="497"/>
      <c r="D579" s="3"/>
      <c r="E579" s="3"/>
      <c r="G579" s="3"/>
      <c r="H579" s="3"/>
      <c r="I579" s="3"/>
      <c r="J579" s="3"/>
      <c r="K579" s="3"/>
      <c r="L579" s="3"/>
      <c r="M579" s="3"/>
      <c r="N579" s="3"/>
      <c r="O579" s="86"/>
      <c r="P579" s="3"/>
      <c r="Q579" s="3"/>
      <c r="R579" s="3"/>
      <c r="S579" s="3"/>
      <c r="T579" s="3"/>
    </row>
    <row r="580" spans="1:41" s="501" customFormat="1" ht="12" thickBot="1">
      <c r="A580" s="518"/>
      <c r="B580" s="515"/>
      <c r="C580" s="515"/>
      <c r="D580" s="518"/>
      <c r="E580" s="37"/>
      <c r="F580" s="735"/>
      <c r="G580" s="515"/>
      <c r="H580" s="515"/>
      <c r="I580" s="516"/>
      <c r="J580" s="515"/>
      <c r="K580" s="515"/>
      <c r="L580" s="517"/>
      <c r="M580" s="517"/>
      <c r="N580" s="517"/>
      <c r="O580" s="517"/>
      <c r="P580" s="517"/>
      <c r="Q580" s="722"/>
      <c r="R580" s="735"/>
      <c r="S580" s="736"/>
      <c r="T580" s="735"/>
      <c r="U580" s="518"/>
      <c r="V580" s="518"/>
      <c r="W580" s="518"/>
      <c r="X580" s="518"/>
      <c r="Y580" s="518"/>
      <c r="Z580" s="518"/>
      <c r="AA580" s="518"/>
      <c r="AB580" s="518"/>
      <c r="AC580" s="518"/>
      <c r="AD580" s="518"/>
      <c r="AE580" s="518"/>
      <c r="AF580" s="518"/>
      <c r="AG580" s="518"/>
      <c r="AH580" s="518"/>
      <c r="AI580" s="518"/>
      <c r="AJ580" s="518"/>
      <c r="AK580" s="518"/>
    </row>
    <row r="581" spans="1:41" s="501" customFormat="1" thickTop="1">
      <c r="A581" s="44"/>
      <c r="B581" s="44"/>
      <c r="C581" s="3"/>
      <c r="D581" s="3"/>
      <c r="E581" s="44"/>
      <c r="F581" s="44"/>
      <c r="G581" s="44"/>
      <c r="H581" s="44"/>
      <c r="I581" s="44"/>
      <c r="J581" s="44"/>
      <c r="K581" s="44" t="s">
        <v>134</v>
      </c>
      <c r="L581" s="44"/>
      <c r="M581" s="44"/>
      <c r="N581" s="44"/>
      <c r="O581" s="45"/>
      <c r="P581" s="44"/>
      <c r="Q581" s="44"/>
      <c r="R581" s="44"/>
      <c r="S581" s="44"/>
      <c r="T581" s="44"/>
    </row>
    <row r="582" spans="1:41" s="501" customFormat="1" ht="12">
      <c r="A582" s="44"/>
      <c r="B582" s="44"/>
      <c r="C582" s="44" t="s">
        <v>135</v>
      </c>
      <c r="D582" s="35" t="s">
        <v>595</v>
      </c>
      <c r="E582" s="44"/>
      <c r="F582" s="44"/>
      <c r="G582" s="44"/>
      <c r="H582" s="44"/>
      <c r="I582" s="44"/>
      <c r="J582" s="44"/>
      <c r="K582" s="44"/>
      <c r="L582" s="44"/>
      <c r="M582" s="44"/>
      <c r="N582" s="44"/>
      <c r="O582" s="45"/>
      <c r="P582" s="44"/>
      <c r="Q582" s="44"/>
      <c r="R582" s="44"/>
      <c r="S582" s="44"/>
      <c r="T582" s="44"/>
    </row>
    <row r="583" spans="1:41" s="501" customFormat="1" ht="12">
      <c r="A583" s="44"/>
      <c r="B583" s="44"/>
      <c r="C583" s="44"/>
      <c r="D583" s="35" t="s">
        <v>350</v>
      </c>
      <c r="E583" s="44"/>
      <c r="F583" s="44"/>
      <c r="G583" s="44"/>
      <c r="H583" s="44"/>
      <c r="I583" s="44"/>
      <c r="J583" s="44"/>
      <c r="K583" s="44"/>
      <c r="L583" s="44"/>
      <c r="M583" s="44"/>
      <c r="N583" s="44"/>
      <c r="O583" s="45"/>
      <c r="P583" s="44"/>
      <c r="Q583" s="44"/>
      <c r="R583" s="44"/>
      <c r="S583" s="36"/>
      <c r="T583" s="36"/>
    </row>
    <row r="584" spans="1:41" s="3" customFormat="1" thickBot="1">
      <c r="A584" s="518"/>
      <c r="O584" s="86"/>
    </row>
    <row r="585" spans="1:41" s="501" customFormat="1" thickTop="1">
      <c r="A585" s="44"/>
      <c r="B585" s="39"/>
      <c r="C585" s="44"/>
      <c r="E585" s="40" t="s">
        <v>138</v>
      </c>
      <c r="F585" s="40" t="s">
        <v>139</v>
      </c>
      <c r="G585" s="44"/>
      <c r="H585" s="44"/>
      <c r="I585" s="44"/>
      <c r="J585" s="44"/>
      <c r="K585" s="44" t="s">
        <v>140</v>
      </c>
      <c r="L585" s="737"/>
      <c r="M585" s="44"/>
      <c r="N585" s="44"/>
      <c r="O585" s="45"/>
      <c r="P585" s="44"/>
      <c r="Q585"/>
      <c r="R585"/>
      <c r="S585"/>
      <c r="T585" s="39"/>
      <c r="AG585" s="502" t="s">
        <v>247</v>
      </c>
      <c r="AH585" s="502" t="s">
        <v>248</v>
      </c>
      <c r="AI585" s="502" t="s">
        <v>249</v>
      </c>
      <c r="AJ585" s="502" t="s">
        <v>250</v>
      </c>
      <c r="AK585" s="502" t="s">
        <v>251</v>
      </c>
      <c r="AM585" s="710" t="s">
        <v>260</v>
      </c>
      <c r="AN585" s="711" t="s">
        <v>261</v>
      </c>
      <c r="AO585" s="503" t="s">
        <v>257</v>
      </c>
    </row>
    <row r="586" spans="1:41" s="501" customFormat="1" ht="13.2">
      <c r="A586" s="504">
        <v>1</v>
      </c>
      <c r="B586" s="504" t="s">
        <v>283</v>
      </c>
      <c r="C586" s="505"/>
      <c r="D586" s="713" t="s">
        <v>577</v>
      </c>
      <c r="E586" s="738">
        <f>IF(AND($A586=0,$A$1="DIF"),0, ROUND(ROUND(SUMIF($L588:$L596,"SUBI",$E588:$E596)/$A586,2)*$C$12,2))</f>
        <v>62.88</v>
      </c>
      <c r="F586" s="739">
        <f>ROUND($A586*$E586,2)</f>
        <v>62.88</v>
      </c>
      <c r="G586" s="506" t="s">
        <v>142</v>
      </c>
      <c r="H586" s="498"/>
      <c r="I586" s="716"/>
      <c r="J586" s="498"/>
      <c r="K586" s="740"/>
      <c r="L586" s="741" t="s">
        <v>143</v>
      </c>
      <c r="M586" s="717"/>
      <c r="N586" s="717"/>
      <c r="O586" s="717"/>
      <c r="P586" s="717"/>
      <c r="Q586" s="943" t="s">
        <v>855</v>
      </c>
      <c r="R586" s="943" t="s">
        <v>874</v>
      </c>
      <c r="S586"/>
      <c r="T586" s="742" t="str">
        <f>IF(AND($R602=0,$T602=0),"0.00","mu :" &amp; ROUND($F586/$C$12/($R602+$T602*$D$9),2))</f>
        <v>mu :1.35</v>
      </c>
      <c r="W586" s="507"/>
      <c r="AG586" s="743">
        <f>IF(A586=0,0,ROUND(SUM(AG588:AG602)/A586,2))</f>
        <v>16.54</v>
      </c>
      <c r="AH586" s="743">
        <f>$AG586*$A586</f>
        <v>16.54</v>
      </c>
      <c r="AI586" s="743">
        <f>$E586-$AG586</f>
        <v>46.34</v>
      </c>
      <c r="AJ586" s="743">
        <f>$A586*$AI586</f>
        <v>46.34</v>
      </c>
      <c r="AK586" s="744">
        <f>ROUND(($AG586+$AI586)*$A586,2)</f>
        <v>62.88</v>
      </c>
      <c r="AM586" s="510">
        <f>ROUND(R602,2)</f>
        <v>12.25</v>
      </c>
      <c r="AN586" s="511">
        <f>ROUND(T602,2)</f>
        <v>1.25</v>
      </c>
      <c r="AO586" s="512">
        <f>ROUND(AM586+AN586,2)*A586</f>
        <v>13.5</v>
      </c>
    </row>
    <row r="587" spans="1:41" s="501" customFormat="1" ht="19.95" customHeight="1">
      <c r="A587" s="745"/>
      <c r="B587" s="746"/>
      <c r="C587" s="505"/>
      <c r="D587" s="724" t="s">
        <v>351</v>
      </c>
      <c r="F587" s="498"/>
      <c r="G587" s="498"/>
      <c r="H587" s="498"/>
      <c r="I587" s="716"/>
      <c r="J587" s="498"/>
      <c r="K587" s="498" t="s">
        <v>144</v>
      </c>
      <c r="L587" s="747"/>
      <c r="M587" s="498"/>
      <c r="N587" s="498"/>
      <c r="O587" s="498"/>
      <c r="P587" s="498"/>
      <c r="Q587" s="44"/>
      <c r="R587" s="567"/>
      <c r="S587" s="719"/>
      <c r="T587" s="498"/>
    </row>
    <row r="588" spans="1:41" s="501" customFormat="1" ht="12">
      <c r="A588" s="821"/>
      <c r="B588" s="822"/>
      <c r="C588" s="497"/>
      <c r="D588" s="498"/>
      <c r="E588" s="823">
        <f>F586/$C$12-SUMIF($L585:$L602,"SUBI",$E585:$E602)</f>
        <v>0</v>
      </c>
      <c r="F588" s="824" t="s">
        <v>572</v>
      </c>
      <c r="G588" s="753"/>
      <c r="H588" s="753"/>
      <c r="I588" s="754"/>
      <c r="J588" s="753"/>
      <c r="K588" s="753"/>
      <c r="L588" s="755"/>
      <c r="M588" s="756"/>
      <c r="N588" s="756"/>
      <c r="O588" s="756"/>
      <c r="P588" s="756"/>
      <c r="Q588" s="757"/>
      <c r="R588" s="758"/>
      <c r="S588" s="757"/>
      <c r="T588" s="759"/>
    </row>
    <row r="589" spans="1:41" s="501" customFormat="1" ht="12" customHeight="1">
      <c r="A589" s="760"/>
      <c r="B589" s="761"/>
      <c r="C589" s="762"/>
      <c r="D589" s="762" t="str">
        <f>$F$2</f>
        <v>Electrical</v>
      </c>
      <c r="E589" s="762">
        <f>ROUND(($R595*$S$2 + ($T595*$T$2)), 2)</f>
        <v>62.88</v>
      </c>
      <c r="F589" s="763">
        <f>$E589*$C$12</f>
        <v>62.88</v>
      </c>
      <c r="G589" s="567"/>
      <c r="H589" s="764"/>
      <c r="I589" s="567"/>
      <c r="J589" s="45"/>
      <c r="K589" s="765" t="s">
        <v>3</v>
      </c>
      <c r="L589" s="766" t="s">
        <v>573</v>
      </c>
      <c r="M589" s="567"/>
      <c r="N589" s="567"/>
      <c r="O589" s="45"/>
      <c r="P589" s="567"/>
      <c r="Q589" s="567"/>
      <c r="R589"/>
      <c r="S589"/>
      <c r="T589"/>
    </row>
    <row r="590" spans="1:41" s="893" customFormat="1" ht="13.2">
      <c r="A590">
        <v>3</v>
      </c>
      <c r="B590" s="893" t="s">
        <v>296</v>
      </c>
      <c r="D590" s="893" t="s">
        <v>740</v>
      </c>
      <c r="G590" s="894" t="s">
        <v>741</v>
      </c>
      <c r="H590" s="895">
        <v>616</v>
      </c>
      <c r="I590" s="893" t="s">
        <v>656</v>
      </c>
      <c r="J590" s="893" t="s">
        <v>742</v>
      </c>
      <c r="O590" s="896">
        <v>2</v>
      </c>
      <c r="P590" s="897"/>
      <c r="Q590" s="898">
        <v>1.5</v>
      </c>
      <c r="R590" s="899">
        <f>$A590*Q590</f>
        <v>4.5</v>
      </c>
      <c r="S590" s="898">
        <v>0.05</v>
      </c>
      <c r="T590" s="900">
        <f>$A590*S590*$T$1</f>
        <v>0.15000000000000002</v>
      </c>
    </row>
    <row r="591" spans="1:41" s="893" customFormat="1" ht="13.2">
      <c r="A591" s="87">
        <v>3</v>
      </c>
      <c r="B591" s="893" t="s">
        <v>141</v>
      </c>
      <c r="D591" s="893" t="s">
        <v>743</v>
      </c>
      <c r="G591" s="894" t="s">
        <v>744</v>
      </c>
      <c r="H591" s="895">
        <v>875</v>
      </c>
      <c r="I591" s="893" t="s">
        <v>643</v>
      </c>
      <c r="K591" s="893" t="s">
        <v>745</v>
      </c>
      <c r="O591" s="896">
        <v>1</v>
      </c>
      <c r="P591" s="897">
        <v>34669</v>
      </c>
      <c r="Q591" s="898">
        <v>0.05</v>
      </c>
      <c r="R591" s="899">
        <f>$A591*Q591</f>
        <v>0.15000000000000002</v>
      </c>
      <c r="S591" s="898"/>
      <c r="T591" s="900">
        <f>$A591*S591*$T$1</f>
        <v>0</v>
      </c>
    </row>
    <row r="592" spans="1:41" s="893" customFormat="1" ht="13.2">
      <c r="A592">
        <v>2</v>
      </c>
      <c r="B592" s="893" t="s">
        <v>141</v>
      </c>
      <c r="D592" s="893" t="s">
        <v>746</v>
      </c>
      <c r="G592" s="894" t="s">
        <v>747</v>
      </c>
      <c r="H592" s="895">
        <v>620</v>
      </c>
      <c r="I592" s="893" t="s">
        <v>671</v>
      </c>
      <c r="O592" s="896">
        <v>2</v>
      </c>
      <c r="P592" s="897">
        <v>35431</v>
      </c>
      <c r="Q592" s="902">
        <v>3.8</v>
      </c>
      <c r="R592" s="899">
        <f>$A592*Q592</f>
        <v>7.6</v>
      </c>
      <c r="S592" s="898">
        <v>0.3</v>
      </c>
      <c r="T592" s="900">
        <f>$A592*S592*$T$1</f>
        <v>0.6</v>
      </c>
    </row>
    <row r="593" spans="1:41" s="893" customFormat="1" ht="13.2">
      <c r="A593">
        <v>1</v>
      </c>
      <c r="B593" s="893" t="s">
        <v>141</v>
      </c>
      <c r="D593" s="893" t="s">
        <v>658</v>
      </c>
      <c r="F593" s="893" t="s">
        <v>748</v>
      </c>
      <c r="G593" s="894" t="s">
        <v>659</v>
      </c>
      <c r="H593" s="895">
        <v>900</v>
      </c>
      <c r="I593" s="893" t="s">
        <v>660</v>
      </c>
      <c r="O593" s="896">
        <v>1</v>
      </c>
      <c r="P593" s="897"/>
      <c r="Q593" s="898"/>
      <c r="R593" s="899">
        <f>$A593*Q593</f>
        <v>0</v>
      </c>
      <c r="S593" s="898">
        <v>0.5</v>
      </c>
      <c r="T593" s="900">
        <f>$A593*S593*$T$1</f>
        <v>0.5</v>
      </c>
    </row>
    <row r="594" spans="1:41" s="501" customFormat="1" ht="13.95" customHeight="1">
      <c r="A594" s="767"/>
      <c r="B594" s="567"/>
      <c r="C594" s="567"/>
      <c r="D594" s="567"/>
      <c r="E594" s="567"/>
      <c r="F594" s="567"/>
      <c r="G594" s="567"/>
      <c r="H594" s="764"/>
      <c r="I594" s="567"/>
      <c r="J594" s="45"/>
      <c r="K594" s="769"/>
      <c r="L594" s="770"/>
      <c r="M594" s="567"/>
      <c r="N594" s="567"/>
      <c r="O594" s="45"/>
      <c r="P594" s="567"/>
      <c r="Q594" s="567"/>
      <c r="R594" s="771">
        <f>$A594*Q594</f>
        <v>0</v>
      </c>
      <c r="S594" s="567"/>
      <c r="T594" s="500">
        <f>$A594*S594*$T$1</f>
        <v>0</v>
      </c>
    </row>
    <row r="595" spans="1:41" s="501" customFormat="1" ht="12">
      <c r="A595" s="825" t="s">
        <v>145</v>
      </c>
      <c r="B595" s="826">
        <f>(R594+T594)</f>
        <v>0</v>
      </c>
      <c r="C595" s="497"/>
      <c r="G595" s="774"/>
      <c r="H595" s="774"/>
      <c r="I595" s="774"/>
      <c r="J595" s="774"/>
      <c r="K595" s="750" t="s">
        <v>3</v>
      </c>
      <c r="L595" s="775" t="s">
        <v>573</v>
      </c>
      <c r="M595" s="774"/>
      <c r="N595" s="774"/>
      <c r="O595" s="774"/>
      <c r="P595" s="774"/>
      <c r="Q595" s="776"/>
      <c r="R595" s="777">
        <f>SUM(R589:R594)</f>
        <v>12.25</v>
      </c>
      <c r="S595" s="778"/>
      <c r="T595" s="777">
        <f>SUM(T589:T594)</f>
        <v>1.25</v>
      </c>
      <c r="AG595" s="779">
        <f>ROUND($R595*$S$2,2)</f>
        <v>16.54</v>
      </c>
    </row>
    <row r="596" spans="1:41" s="501" customFormat="1" ht="12" customHeight="1">
      <c r="A596" s="800"/>
      <c r="B596" s="827"/>
      <c r="C596" s="828"/>
      <c r="D596" s="828" t="str">
        <f>$F$3</f>
        <v>Technician</v>
      </c>
      <c r="E596" s="828">
        <f>ROUND(($R600*$S$3 + ($T600*$T$3)), 2)</f>
        <v>0</v>
      </c>
      <c r="F596" s="829">
        <f ca="1">$F586-SUMIF($L588:$P593,"SUBI",$F588:$F593)</f>
        <v>0</v>
      </c>
      <c r="G596" s="499"/>
      <c r="H596" s="499"/>
      <c r="I596" s="499"/>
      <c r="J596" s="499"/>
      <c r="K596" s="765" t="s">
        <v>5</v>
      </c>
      <c r="L596" s="766" t="s">
        <v>573</v>
      </c>
      <c r="M596" s="499"/>
      <c r="N596" s="499"/>
      <c r="O596" s="499"/>
      <c r="P596" s="499"/>
      <c r="Q596" s="499"/>
      <c r="R596" s="784"/>
      <c r="S596" s="499"/>
      <c r="T596" s="784"/>
    </row>
    <row r="597" spans="1:41" s="797" customFormat="1" ht="14.4" customHeight="1">
      <c r="A597" s="785"/>
      <c r="B597" s="768" t="s">
        <v>575</v>
      </c>
      <c r="C597" s="786"/>
      <c r="D597" s="787"/>
      <c r="E597" s="787"/>
      <c r="F597" s="787"/>
      <c r="G597" s="788"/>
      <c r="H597" s="789"/>
      <c r="I597" s="789"/>
      <c r="J597" s="790"/>
      <c r="K597" s="791"/>
      <c r="L597" s="786"/>
      <c r="M597" s="792"/>
      <c r="N597" s="793"/>
      <c r="O597" s="794"/>
      <c r="P597" s="795"/>
      <c r="Q597" s="796"/>
      <c r="R597" s="771">
        <f>$A597*Q597</f>
        <v>0</v>
      </c>
      <c r="S597" s="567"/>
      <c r="T597" s="500">
        <f>$A597*S597*$T$1</f>
        <v>0</v>
      </c>
    </row>
    <row r="598" spans="1:41" s="501" customFormat="1" ht="11.4">
      <c r="A598" s="767"/>
      <c r="B598" s="567"/>
      <c r="C598" s="567"/>
      <c r="D598" s="567"/>
      <c r="E598" s="567"/>
      <c r="F598" s="567"/>
      <c r="G598" s="567"/>
      <c r="H598" s="567"/>
      <c r="I598" s="567"/>
      <c r="J598" s="567"/>
      <c r="K598" s="567"/>
      <c r="L598" s="770"/>
      <c r="M598" s="567"/>
      <c r="N598" s="567"/>
      <c r="O598" s="567"/>
      <c r="P598" s="567"/>
      <c r="Q598" s="567"/>
      <c r="R598" s="771">
        <f>$A598*Q598</f>
        <v>0</v>
      </c>
      <c r="S598" s="567"/>
      <c r="T598" s="500">
        <f>$A598*S598*$T$1</f>
        <v>0</v>
      </c>
    </row>
    <row r="599" spans="1:41" s="501" customFormat="1" ht="13.2">
      <c r="A599" s="767"/>
      <c r="B599" s="567"/>
      <c r="C599" s="567"/>
      <c r="D599" s="3"/>
      <c r="E599" s="567"/>
      <c r="F599" s="567"/>
      <c r="G599" s="567"/>
      <c r="H599" s="567"/>
      <c r="I599" s="567"/>
      <c r="J599" s="567"/>
      <c r="K599" s="567"/>
      <c r="L599" s="770"/>
      <c r="M599" s="567"/>
      <c r="N599" s="567"/>
      <c r="O599" s="567"/>
      <c r="P599" s="567"/>
      <c r="Q599" s="567"/>
      <c r="R599" s="771">
        <f>$A599*Q599</f>
        <v>0</v>
      </c>
      <c r="S599" s="567"/>
      <c r="T599" s="500">
        <f>$A599*S599*$T$1</f>
        <v>0</v>
      </c>
    </row>
    <row r="600" spans="1:41" s="501" customFormat="1" ht="12" customHeight="1">
      <c r="A600" s="772" t="s">
        <v>145</v>
      </c>
      <c r="B600" s="773">
        <f>(R599+T599)</f>
        <v>0</v>
      </c>
      <c r="C600" s="810"/>
      <c r="D600" s="810"/>
      <c r="E600" s="810"/>
      <c r="F600" s="810"/>
      <c r="G600" s="776"/>
      <c r="H600" s="776"/>
      <c r="I600" s="776"/>
      <c r="J600" s="776"/>
      <c r="K600" s="798" t="s">
        <v>5</v>
      </c>
      <c r="L600" s="811" t="s">
        <v>573</v>
      </c>
      <c r="M600" s="776"/>
      <c r="N600" s="776"/>
      <c r="O600" s="776"/>
      <c r="P600" s="776"/>
      <c r="Q600" s="776"/>
      <c r="R600" s="777">
        <f>SUM(R596:R599)</f>
        <v>0</v>
      </c>
      <c r="S600" s="778"/>
      <c r="T600" s="777">
        <f>SUM(T596:T599)</f>
        <v>0</v>
      </c>
      <c r="AG600" s="799">
        <f>ROUND($R600*$S$3,2)</f>
        <v>0</v>
      </c>
    </row>
    <row r="601" spans="1:41" s="501" customFormat="1" ht="12.75" customHeight="1">
      <c r="A601" s="813"/>
      <c r="B601" s="814"/>
      <c r="E601" s="497"/>
      <c r="F601" s="808"/>
      <c r="G601" s="497"/>
      <c r="H601" s="497"/>
      <c r="I601" s="499"/>
      <c r="J601" s="497"/>
      <c r="K601" s="497"/>
      <c r="L601" s="815"/>
      <c r="M601" s="725"/>
      <c r="N601" s="725"/>
      <c r="O601" s="725"/>
      <c r="P601" s="725"/>
      <c r="Q601" s="726"/>
      <c r="R601" s="784"/>
      <c r="S601" s="497"/>
      <c r="T601" s="784"/>
    </row>
    <row r="602" spans="1:41" s="501" customFormat="1" ht="13.5" customHeight="1" thickBot="1">
      <c r="A602" s="816"/>
      <c r="B602" s="817"/>
      <c r="C602" s="518"/>
      <c r="D602" s="518"/>
      <c r="E602" s="515"/>
      <c r="F602" s="721"/>
      <c r="G602" s="515" t="s">
        <v>146</v>
      </c>
      <c r="H602" s="515"/>
      <c r="I602" s="516"/>
      <c r="J602" s="515"/>
      <c r="K602" s="515"/>
      <c r="L602" s="818" t="s">
        <v>143</v>
      </c>
      <c r="M602" s="517"/>
      <c r="N602" s="517"/>
      <c r="O602" s="517"/>
      <c r="P602" s="517"/>
      <c r="Q602" s="722"/>
      <c r="R602" s="819">
        <f>SUMIF($L587:$L601,"SUBI",R587:R601)</f>
        <v>12.25</v>
      </c>
      <c r="S602" s="515"/>
      <c r="T602" s="819">
        <f>SUMIF($L587:$L601,"SUBI",T587:T601)</f>
        <v>1.25</v>
      </c>
      <c r="U602" s="518"/>
      <c r="V602" s="518"/>
      <c r="W602" s="518"/>
      <c r="X602" s="518"/>
      <c r="Y602" s="518"/>
      <c r="Z602" s="518"/>
      <c r="AA602" s="518"/>
      <c r="AB602" s="518"/>
      <c r="AC602" s="518"/>
      <c r="AD602" s="518"/>
      <c r="AE602" s="518"/>
      <c r="AF602" s="518"/>
      <c r="AG602" s="518"/>
      <c r="AH602" s="518"/>
      <c r="AI602" s="518"/>
      <c r="AJ602" s="518"/>
      <c r="AK602" s="518"/>
      <c r="AL602" s="518"/>
      <c r="AM602" s="518"/>
      <c r="AN602" s="518"/>
      <c r="AO602" s="518"/>
    </row>
    <row r="603" spans="1:41" s="501" customFormat="1" ht="12" thickTop="1">
      <c r="A603" s="44"/>
      <c r="B603" s="39"/>
      <c r="C603" s="44"/>
      <c r="E603" s="40" t="s">
        <v>138</v>
      </c>
      <c r="F603" s="40" t="s">
        <v>139</v>
      </c>
      <c r="G603" s="44"/>
      <c r="H603" s="44"/>
      <c r="I603" s="44"/>
      <c r="J603" s="44"/>
      <c r="K603" s="44" t="s">
        <v>140</v>
      </c>
      <c r="L603" s="44"/>
      <c r="M603" s="44"/>
      <c r="N603" s="44"/>
      <c r="O603" s="45"/>
      <c r="P603" s="44"/>
      <c r="Q603" s="44"/>
      <c r="R603" s="44"/>
      <c r="S603" s="44"/>
      <c r="T603" s="39"/>
      <c r="AG603" s="502" t="s">
        <v>247</v>
      </c>
      <c r="AH603" s="502" t="s">
        <v>248</v>
      </c>
      <c r="AI603" s="502" t="s">
        <v>249</v>
      </c>
      <c r="AJ603" s="502" t="s">
        <v>250</v>
      </c>
      <c r="AK603" s="502" t="s">
        <v>251</v>
      </c>
      <c r="AM603" s="710" t="s">
        <v>260</v>
      </c>
      <c r="AN603" s="711" t="s">
        <v>261</v>
      </c>
      <c r="AO603" s="503" t="s">
        <v>257</v>
      </c>
    </row>
    <row r="604" spans="1:41" s="501" customFormat="1" ht="12" customHeight="1">
      <c r="A604" s="712">
        <v>4</v>
      </c>
      <c r="B604" s="504" t="s">
        <v>141</v>
      </c>
      <c r="C604" s="505"/>
      <c r="D604" s="713" t="s">
        <v>951</v>
      </c>
      <c r="E604" s="1135">
        <f>IF(AND($A604=0,$A$1="DIF"),0, ROUND(ROUND(($R616*$S$3+($T616*$T$3))/$A604,2)*$C$3,2))</f>
        <v>22.76</v>
      </c>
      <c r="F604" s="1136">
        <f>ROUND($A604*$E604,2)</f>
        <v>91.04</v>
      </c>
      <c r="G604" s="506" t="s">
        <v>142</v>
      </c>
      <c r="H604" s="498"/>
      <c r="I604" s="716"/>
      <c r="J604" s="498"/>
      <c r="K604" s="498" t="s">
        <v>5</v>
      </c>
      <c r="L604" s="717" t="s">
        <v>143</v>
      </c>
      <c r="M604" s="717"/>
      <c r="N604" s="717"/>
      <c r="O604" s="717"/>
      <c r="P604" s="717"/>
      <c r="Q604" s="943" t="s">
        <v>1098</v>
      </c>
      <c r="T604" s="1140" t="str">
        <f>IF(AND($R616=0,$T616=0),"0.00","mu: "&amp; ROUND(F604/$C$3/($R616+$T616*$D$9),2))</f>
        <v>mu: 1.66</v>
      </c>
      <c r="W604" s="507"/>
      <c r="AG604" s="1137">
        <f>IF($E604=0,0,ROUND($R616*$S$3*$C$3/$A604,2))</f>
        <v>0</v>
      </c>
      <c r="AH604" s="1137">
        <f>$AG604*$A604</f>
        <v>0</v>
      </c>
      <c r="AI604" s="1138">
        <f>$E604-$AG604</f>
        <v>22.76</v>
      </c>
      <c r="AJ604" s="1138">
        <f>$A604*$AI604</f>
        <v>91.04</v>
      </c>
      <c r="AK604" s="1139">
        <f>ROUND(($AG604+$AI604)*$A604,2)</f>
        <v>91.04</v>
      </c>
      <c r="AM604" s="510">
        <f>ROUND(R616,2)</f>
        <v>0</v>
      </c>
      <c r="AN604" s="511">
        <f>ROUND(T616,2)</f>
        <v>2</v>
      </c>
      <c r="AO604" s="512">
        <f>ROUND(AM604+AN604,2)*A604</f>
        <v>8</v>
      </c>
    </row>
    <row r="605" spans="1:41" s="501" customFormat="1" ht="13.2">
      <c r="A605" s="505"/>
      <c r="B605"/>
      <c r="C605" s="505"/>
      <c r="D605" s="713" t="s">
        <v>894</v>
      </c>
      <c r="F605" s="498"/>
      <c r="G605" s="3"/>
      <c r="H605" s="498"/>
      <c r="I605" s="716"/>
      <c r="J605" s="498"/>
      <c r="K605" s="498" t="s">
        <v>144</v>
      </c>
      <c r="L605" s="498"/>
      <c r="M605" s="498"/>
      <c r="N605" s="498"/>
      <c r="O605" s="498"/>
      <c r="P605" s="498"/>
      <c r="Q605" s="44"/>
      <c r="R605" s="567"/>
      <c r="S605" s="719"/>
      <c r="T605" s="498"/>
    </row>
    <row r="606" spans="1:41" s="501" customFormat="1" ht="14.4" customHeight="1">
      <c r="A606" s="767"/>
      <c r="B606" s="768" t="s">
        <v>574</v>
      </c>
      <c r="C606" s="567"/>
      <c r="D606" s="903" t="s">
        <v>923</v>
      </c>
      <c r="E606" s="567"/>
      <c r="F606" s="567"/>
      <c r="G606" s="567"/>
      <c r="H606" s="764"/>
      <c r="I606" s="567"/>
      <c r="J606" s="45"/>
      <c r="K606" s="769"/>
      <c r="L606" s="770"/>
      <c r="M606" s="567"/>
      <c r="N606" s="567"/>
      <c r="O606" s="45"/>
      <c r="P606" s="567"/>
      <c r="Q606" s="567"/>
      <c r="R606" s="771">
        <f t="shared" ref="R606:R615" si="21">$A606*Q606</f>
        <v>0</v>
      </c>
      <c r="S606" s="567"/>
      <c r="T606" s="500">
        <f t="shared" ref="T606:T615" si="22">$A606*S606*$T$1</f>
        <v>0</v>
      </c>
    </row>
    <row r="607" spans="1:41" s="893" customFormat="1" ht="13.2">
      <c r="A607" s="1141">
        <v>0</v>
      </c>
      <c r="B607" s="1055" t="s">
        <v>296</v>
      </c>
      <c r="C607" s="1055"/>
      <c r="D607" s="1055" t="s">
        <v>646</v>
      </c>
      <c r="E607" s="1055"/>
      <c r="F607" s="1055"/>
      <c r="G607" s="1053" t="s">
        <v>647</v>
      </c>
      <c r="H607" s="1054">
        <v>690</v>
      </c>
      <c r="I607" s="1055" t="s">
        <v>648</v>
      </c>
      <c r="J607" s="1055" t="s">
        <v>649</v>
      </c>
      <c r="K607" s="1055"/>
      <c r="L607" s="1055"/>
      <c r="M607" s="1055"/>
      <c r="N607" s="1055"/>
      <c r="O607" s="1056">
        <v>1</v>
      </c>
      <c r="P607" s="1057">
        <v>34669</v>
      </c>
      <c r="Q607" s="1058">
        <v>1.86</v>
      </c>
      <c r="R607" s="1142">
        <f t="shared" si="21"/>
        <v>0</v>
      </c>
      <c r="S607" s="1058">
        <v>0.2</v>
      </c>
      <c r="T607" s="1143">
        <f t="shared" si="22"/>
        <v>0</v>
      </c>
    </row>
    <row r="608" spans="1:41" s="893" customFormat="1" ht="13.2">
      <c r="A608" s="1141">
        <v>0</v>
      </c>
      <c r="B608" s="1055" t="s">
        <v>296</v>
      </c>
      <c r="C608" s="1055"/>
      <c r="D608" s="1055" t="s">
        <v>650</v>
      </c>
      <c r="E608" s="1055"/>
      <c r="F608" s="1055"/>
      <c r="G608" s="1053" t="s">
        <v>651</v>
      </c>
      <c r="H608" s="1054">
        <v>690</v>
      </c>
      <c r="I608" s="1055" t="s">
        <v>648</v>
      </c>
      <c r="J608" s="1055" t="s">
        <v>649</v>
      </c>
      <c r="K608" s="1055"/>
      <c r="L608" s="1055"/>
      <c r="M608" s="1055"/>
      <c r="N608" s="1055"/>
      <c r="O608" s="1056">
        <v>1</v>
      </c>
      <c r="P608" s="1057">
        <v>34669</v>
      </c>
      <c r="Q608" s="1058">
        <v>0.98</v>
      </c>
      <c r="R608" s="1142">
        <f t="shared" si="21"/>
        <v>0</v>
      </c>
      <c r="S608" s="1058"/>
      <c r="T608" s="1143">
        <f t="shared" si="22"/>
        <v>0</v>
      </c>
    </row>
    <row r="609" spans="1:41" s="893" customFormat="1" ht="13.2">
      <c r="A609" s="1141">
        <v>0</v>
      </c>
      <c r="B609" s="1055" t="s">
        <v>296</v>
      </c>
      <c r="C609" s="1055"/>
      <c r="D609" s="1055" t="s">
        <v>652</v>
      </c>
      <c r="E609" s="1055"/>
      <c r="F609" s="1055"/>
      <c r="G609" s="1053" t="s">
        <v>653</v>
      </c>
      <c r="H609" s="1054">
        <v>690</v>
      </c>
      <c r="I609" s="1055" t="s">
        <v>648</v>
      </c>
      <c r="J609" s="1055" t="s">
        <v>649</v>
      </c>
      <c r="K609" s="1055"/>
      <c r="L609" s="1055"/>
      <c r="M609" s="1055"/>
      <c r="N609" s="1055"/>
      <c r="O609" s="1056">
        <v>1</v>
      </c>
      <c r="P609" s="1057">
        <v>34669</v>
      </c>
      <c r="Q609" s="1058">
        <v>3.66</v>
      </c>
      <c r="R609" s="1142">
        <f t="shared" si="21"/>
        <v>0</v>
      </c>
      <c r="S609" s="1058">
        <v>0.2</v>
      </c>
      <c r="T609" s="1143">
        <f t="shared" si="22"/>
        <v>0</v>
      </c>
    </row>
    <row r="610" spans="1:41" s="893" customFormat="1" ht="13.2">
      <c r="A610" s="1141">
        <v>0</v>
      </c>
      <c r="B610" s="1055" t="s">
        <v>296</v>
      </c>
      <c r="C610" s="1055"/>
      <c r="D610" s="1055" t="s">
        <v>726</v>
      </c>
      <c r="E610" s="1055"/>
      <c r="F610" s="1055"/>
      <c r="G610" s="1053" t="s">
        <v>728</v>
      </c>
      <c r="H610" s="1054">
        <v>617</v>
      </c>
      <c r="I610" s="1055" t="s">
        <v>729</v>
      </c>
      <c r="J610" s="1055" t="s">
        <v>730</v>
      </c>
      <c r="K610" s="1055"/>
      <c r="L610" s="1055"/>
      <c r="M610" s="1055"/>
      <c r="N610" s="1055"/>
      <c r="O610" s="1056">
        <v>2</v>
      </c>
      <c r="P610" s="1057">
        <v>38433</v>
      </c>
      <c r="Q610" s="1058">
        <v>1.4524999999999999</v>
      </c>
      <c r="R610" s="1142">
        <f t="shared" si="21"/>
        <v>0</v>
      </c>
      <c r="S610" s="1058">
        <v>0.03</v>
      </c>
      <c r="T610" s="1143">
        <f t="shared" si="22"/>
        <v>0</v>
      </c>
    </row>
    <row r="611" spans="1:41" s="893" customFormat="1" ht="13.2">
      <c r="A611" s="1141">
        <v>0</v>
      </c>
      <c r="B611" s="1055" t="s">
        <v>141</v>
      </c>
      <c r="C611" s="1055"/>
      <c r="D611" s="1055" t="s">
        <v>815</v>
      </c>
      <c r="E611" s="1055"/>
      <c r="F611" s="1055"/>
      <c r="G611" s="1053" t="s">
        <v>816</v>
      </c>
      <c r="H611" s="1054">
        <v>620</v>
      </c>
      <c r="I611" s="1055" t="s">
        <v>643</v>
      </c>
      <c r="J611" s="1055"/>
      <c r="K611" s="1055"/>
      <c r="L611" s="1055"/>
      <c r="M611" s="1055"/>
      <c r="N611" s="1055"/>
      <c r="O611" s="1056">
        <v>2</v>
      </c>
      <c r="P611" s="1057">
        <v>35431</v>
      </c>
      <c r="Q611" s="1058">
        <v>0.35</v>
      </c>
      <c r="R611" s="1142">
        <f t="shared" si="21"/>
        <v>0</v>
      </c>
      <c r="S611" s="1058"/>
      <c r="T611" s="1143">
        <f t="shared" si="22"/>
        <v>0</v>
      </c>
    </row>
    <row r="612" spans="1:41" s="893" customFormat="1" ht="13.2">
      <c r="A612" s="1141">
        <v>0</v>
      </c>
      <c r="B612" s="1055" t="s">
        <v>141</v>
      </c>
      <c r="C612" s="1055"/>
      <c r="D612" s="1055" t="s">
        <v>817</v>
      </c>
      <c r="E612" s="1055"/>
      <c r="F612" s="1055"/>
      <c r="G612" s="1053" t="s">
        <v>731</v>
      </c>
      <c r="H612" s="1054">
        <v>620</v>
      </c>
      <c r="I612" s="1055" t="s">
        <v>643</v>
      </c>
      <c r="J612" s="1055"/>
      <c r="K612" s="1055"/>
      <c r="L612" s="1055"/>
      <c r="M612" s="1055"/>
      <c r="N612" s="1055"/>
      <c r="O612" s="1056">
        <v>2</v>
      </c>
      <c r="P612" s="1057"/>
      <c r="Q612" s="1058">
        <v>0.2</v>
      </c>
      <c r="R612" s="1142">
        <f t="shared" si="21"/>
        <v>0</v>
      </c>
      <c r="S612" s="1058"/>
      <c r="T612" s="1143">
        <f t="shared" si="22"/>
        <v>0</v>
      </c>
    </row>
    <row r="613" spans="1:41" s="893" customFormat="1" ht="13.2">
      <c r="A613" s="1141">
        <v>0</v>
      </c>
      <c r="B613" s="1055" t="s">
        <v>141</v>
      </c>
      <c r="C613" s="1055"/>
      <c r="D613" s="1055" t="s">
        <v>818</v>
      </c>
      <c r="E613" s="1055"/>
      <c r="F613" s="1055"/>
      <c r="G613" s="1053" t="s">
        <v>768</v>
      </c>
      <c r="H613" s="1054">
        <v>570</v>
      </c>
      <c r="I613" s="1055" t="s">
        <v>643</v>
      </c>
      <c r="J613" s="1055"/>
      <c r="K613" s="1055"/>
      <c r="L613" s="1055"/>
      <c r="M613" s="1055"/>
      <c r="N613" s="1055"/>
      <c r="O613" s="1056">
        <v>2</v>
      </c>
      <c r="P613" s="1057">
        <v>38443</v>
      </c>
      <c r="Q613" s="1058">
        <v>5</v>
      </c>
      <c r="R613" s="1142">
        <f t="shared" si="21"/>
        <v>0</v>
      </c>
      <c r="S613" s="1058">
        <v>0.17</v>
      </c>
      <c r="T613" s="1143">
        <f t="shared" si="22"/>
        <v>0</v>
      </c>
    </row>
    <row r="614" spans="1:41" s="893" customFormat="1" ht="13.2">
      <c r="A614">
        <f>4 *(1)</f>
        <v>4</v>
      </c>
      <c r="B614" s="893" t="s">
        <v>141</v>
      </c>
      <c r="D614" s="893" t="s">
        <v>641</v>
      </c>
      <c r="E614" s="1052" t="s">
        <v>1106</v>
      </c>
      <c r="G614" s="894" t="s">
        <v>642</v>
      </c>
      <c r="H614" s="895">
        <v>512</v>
      </c>
      <c r="I614" s="893" t="s">
        <v>643</v>
      </c>
      <c r="O614" s="896">
        <v>3</v>
      </c>
      <c r="P614" s="897"/>
      <c r="Q614" s="898"/>
      <c r="R614" s="899">
        <f>$A614*Q614</f>
        <v>0</v>
      </c>
      <c r="S614" s="898">
        <v>0.5</v>
      </c>
      <c r="T614" s="900">
        <f>$A614*S614*$T$1</f>
        <v>2</v>
      </c>
    </row>
    <row r="615" spans="1:41" s="501" customFormat="1" ht="12">
      <c r="A615" s="497"/>
      <c r="B615" s="497"/>
      <c r="C615" s="497"/>
      <c r="D615" s="497"/>
      <c r="E615" s="497"/>
      <c r="F615" s="498"/>
      <c r="G615" s="497"/>
      <c r="H615" s="497"/>
      <c r="I615" s="499"/>
      <c r="J615" s="497"/>
      <c r="K615" s="497"/>
      <c r="L615" s="497"/>
      <c r="M615" s="497"/>
      <c r="N615" s="497"/>
      <c r="O615" s="497"/>
      <c r="P615" s="497"/>
      <c r="Q615" s="499"/>
      <c r="R615" s="720">
        <f t="shared" si="21"/>
        <v>0</v>
      </c>
      <c r="S615" s="499"/>
      <c r="T615" s="500">
        <f t="shared" si="22"/>
        <v>0</v>
      </c>
    </row>
    <row r="616" spans="1:41" s="501" customFormat="1" ht="12.6" thickBot="1">
      <c r="A616" s="513" t="s">
        <v>145</v>
      </c>
      <c r="B616" s="514">
        <f>(R615+T615)</f>
        <v>0</v>
      </c>
      <c r="C616" s="515"/>
      <c r="D616" s="515"/>
      <c r="E616" s="515"/>
      <c r="F616" s="721"/>
      <c r="G616" s="515" t="s">
        <v>146</v>
      </c>
      <c r="H616" s="515"/>
      <c r="I616" s="516"/>
      <c r="J616" s="515"/>
      <c r="K616" s="515" t="s">
        <v>5</v>
      </c>
      <c r="L616" s="517" t="s">
        <v>143</v>
      </c>
      <c r="M616" s="517"/>
      <c r="N616" s="517"/>
      <c r="O616" s="517"/>
      <c r="P616" s="517"/>
      <c r="Q616" s="722"/>
      <c r="R616" s="723">
        <f>SUM(R605:R615)</f>
        <v>0</v>
      </c>
      <c r="S616" s="515"/>
      <c r="T616" s="723">
        <f>SUM(T605:T615)</f>
        <v>2</v>
      </c>
      <c r="U616" s="518"/>
      <c r="V616" s="518"/>
      <c r="W616" s="518"/>
      <c r="X616" s="518"/>
      <c r="Y616" s="518"/>
      <c r="Z616" s="518"/>
      <c r="AA616" s="518"/>
      <c r="AB616" s="518"/>
      <c r="AC616" s="518"/>
      <c r="AD616" s="518"/>
      <c r="AE616" s="518"/>
      <c r="AF616" s="518"/>
      <c r="AG616" s="518"/>
      <c r="AH616" s="518"/>
      <c r="AI616" s="518"/>
      <c r="AJ616" s="518"/>
      <c r="AK616" s="518"/>
      <c r="AL616" s="518"/>
      <c r="AM616" s="518"/>
      <c r="AN616" s="518"/>
      <c r="AO616" s="518"/>
    </row>
    <row r="617" spans="1:41" s="501" customFormat="1" thickTop="1">
      <c r="A617" s="44"/>
      <c r="B617" s="44"/>
      <c r="C617" s="3"/>
      <c r="D617" s="3"/>
      <c r="E617" s="44"/>
      <c r="F617" s="44"/>
      <c r="G617" s="44"/>
      <c r="H617" s="44"/>
      <c r="I617" s="44"/>
      <c r="J617" s="44"/>
      <c r="K617" s="44" t="s">
        <v>134</v>
      </c>
      <c r="L617" s="44"/>
      <c r="M617" s="44"/>
      <c r="N617" s="44"/>
      <c r="O617" s="45"/>
      <c r="P617" s="44"/>
      <c r="Q617" s="44"/>
      <c r="R617" s="44"/>
      <c r="S617" s="44"/>
      <c r="T617" s="44"/>
    </row>
    <row r="618" spans="1:41" s="501" customFormat="1" ht="12">
      <c r="A618" s="44"/>
      <c r="B618" s="44"/>
      <c r="C618" s="44" t="s">
        <v>135</v>
      </c>
      <c r="D618" s="35" t="s">
        <v>587</v>
      </c>
      <c r="E618" s="44"/>
      <c r="F618" s="44"/>
      <c r="G618" s="44"/>
      <c r="H618" s="44"/>
      <c r="I618" s="44"/>
      <c r="J618" s="44"/>
      <c r="K618" s="44"/>
      <c r="L618" s="44"/>
      <c r="M618" s="44"/>
      <c r="N618" s="44"/>
      <c r="O618" s="45"/>
      <c r="P618" s="44"/>
      <c r="Q618" s="44"/>
      <c r="R618" s="44"/>
      <c r="S618" s="44"/>
      <c r="T618" s="44"/>
    </row>
    <row r="619" spans="1:41" s="501" customFormat="1" ht="12">
      <c r="A619" s="44"/>
      <c r="B619" s="44"/>
      <c r="C619" s="44"/>
      <c r="D619" s="35" t="s">
        <v>350</v>
      </c>
      <c r="E619" s="44"/>
      <c r="F619" s="44"/>
      <c r="G619" s="44"/>
      <c r="H619" s="44"/>
      <c r="I619" s="44"/>
      <c r="J619" s="44"/>
      <c r="K619" s="44"/>
      <c r="L619" s="44"/>
      <c r="M619" s="44"/>
      <c r="N619" s="44"/>
      <c r="O619" s="45"/>
      <c r="P619" s="44"/>
      <c r="Q619" s="44"/>
      <c r="R619" s="44"/>
      <c r="S619" s="36"/>
      <c r="T619" s="36"/>
    </row>
    <row r="620" spans="1:41" s="3" customFormat="1" thickBot="1">
      <c r="A620" s="518"/>
      <c r="O620" s="86"/>
    </row>
    <row r="621" spans="1:41" s="501" customFormat="1" thickTop="1">
      <c r="A621" s="44"/>
      <c r="B621" s="39"/>
      <c r="C621" s="44"/>
      <c r="E621" s="40" t="s">
        <v>138</v>
      </c>
      <c r="F621" s="40" t="s">
        <v>139</v>
      </c>
      <c r="G621" s="44"/>
      <c r="H621" s="44"/>
      <c r="I621" s="44"/>
      <c r="J621" s="44"/>
      <c r="K621" s="44" t="s">
        <v>140</v>
      </c>
      <c r="L621" s="737"/>
      <c r="M621" s="44"/>
      <c r="N621" s="44"/>
      <c r="O621" s="45"/>
      <c r="P621" s="44"/>
      <c r="Q621"/>
      <c r="R621"/>
      <c r="S621"/>
      <c r="T621" s="39"/>
      <c r="AG621" s="502" t="s">
        <v>247</v>
      </c>
      <c r="AH621" s="502" t="s">
        <v>248</v>
      </c>
      <c r="AI621" s="502" t="s">
        <v>249</v>
      </c>
      <c r="AJ621" s="502" t="s">
        <v>250</v>
      </c>
      <c r="AK621" s="502" t="s">
        <v>251</v>
      </c>
      <c r="AM621" s="710" t="s">
        <v>260</v>
      </c>
      <c r="AN621" s="711" t="s">
        <v>261</v>
      </c>
      <c r="AO621" s="503" t="s">
        <v>257</v>
      </c>
    </row>
    <row r="622" spans="1:41" s="501" customFormat="1" ht="13.2">
      <c r="A622" s="504">
        <v>1</v>
      </c>
      <c r="B622" s="504" t="s">
        <v>283</v>
      </c>
      <c r="C622" s="505"/>
      <c r="D622" s="713" t="s">
        <v>577</v>
      </c>
      <c r="E622" s="738">
        <f>IF(AND($A622=0,$A$1="DIF"),0, ROUND(ROUND(SUMIF($L624:$L632,"SUBI",$E624:$E632)/$A622,2)*$C$12,2))</f>
        <v>62.88</v>
      </c>
      <c r="F622" s="739">
        <f>ROUND($A622*$E622,2)</f>
        <v>62.88</v>
      </c>
      <c r="G622" s="506" t="s">
        <v>142</v>
      </c>
      <c r="H622" s="498"/>
      <c r="I622" s="716"/>
      <c r="J622" s="498"/>
      <c r="K622" s="740"/>
      <c r="L622" s="741" t="s">
        <v>143</v>
      </c>
      <c r="M622" s="717"/>
      <c r="N622" s="717"/>
      <c r="O622" s="717"/>
      <c r="P622" s="717"/>
      <c r="Q622" s="943" t="s">
        <v>855</v>
      </c>
      <c r="R622" s="943" t="s">
        <v>874</v>
      </c>
      <c r="S622"/>
      <c r="T622" s="742" t="str">
        <f>IF(AND($R638=0,$T638=0),"0.00","mu :" &amp; ROUND($F622/$C$12/($R638+$T638*$D$9),2))</f>
        <v>mu :1.35</v>
      </c>
      <c r="W622" s="507"/>
      <c r="AG622" s="743">
        <f>IF(A622=0,0,ROUND(SUM(AG624:AG638)/A622,2))</f>
        <v>16.54</v>
      </c>
      <c r="AH622" s="743">
        <f>$AG622*$A622</f>
        <v>16.54</v>
      </c>
      <c r="AI622" s="743">
        <f>$E622-$AG622</f>
        <v>46.34</v>
      </c>
      <c r="AJ622" s="743">
        <f>$A622*$AI622</f>
        <v>46.34</v>
      </c>
      <c r="AK622" s="744">
        <f>ROUND(($AG622+$AI622)*$A622,2)</f>
        <v>62.88</v>
      </c>
      <c r="AM622" s="510">
        <f>ROUND(R638,2)</f>
        <v>12.25</v>
      </c>
      <c r="AN622" s="511">
        <f>ROUND(T638,2)</f>
        <v>1.25</v>
      </c>
      <c r="AO622" s="512">
        <f>ROUND(AM622+AN622,2)*A622</f>
        <v>13.5</v>
      </c>
    </row>
    <row r="623" spans="1:41" s="501" customFormat="1" ht="19.95" customHeight="1">
      <c r="A623" s="745"/>
      <c r="B623" s="746"/>
      <c r="C623" s="505"/>
      <c r="D623" s="724" t="s">
        <v>364</v>
      </c>
      <c r="F623" s="498"/>
      <c r="G623" s="498"/>
      <c r="H623" s="498"/>
      <c r="I623" s="716"/>
      <c r="J623" s="498"/>
      <c r="K623" s="498" t="s">
        <v>144</v>
      </c>
      <c r="L623" s="747"/>
      <c r="M623" s="498"/>
      <c r="N623" s="498"/>
      <c r="O623" s="498"/>
      <c r="P623" s="498"/>
      <c r="Q623" s="44"/>
      <c r="R623" s="567"/>
      <c r="S623" s="719"/>
      <c r="T623" s="498"/>
    </row>
    <row r="624" spans="1:41" s="501" customFormat="1" ht="12">
      <c r="A624" s="821"/>
      <c r="B624" s="822"/>
      <c r="C624" s="497"/>
      <c r="D624" s="498"/>
      <c r="E624" s="823">
        <f>F622/$C$12-SUMIF($L621:$L638,"SUBI",$E621:$E638)</f>
        <v>0</v>
      </c>
      <c r="F624" s="824" t="s">
        <v>572</v>
      </c>
      <c r="G624" s="753"/>
      <c r="H624" s="753"/>
      <c r="I624" s="754"/>
      <c r="J624" s="753"/>
      <c r="K624" s="753"/>
      <c r="L624" s="755"/>
      <c r="M624" s="756"/>
      <c r="N624" s="756"/>
      <c r="O624" s="756"/>
      <c r="P624" s="756"/>
      <c r="Q624" s="757"/>
      <c r="R624" s="758"/>
      <c r="S624" s="757"/>
      <c r="T624" s="759"/>
    </row>
    <row r="625" spans="1:41" s="501" customFormat="1" ht="12" customHeight="1">
      <c r="A625" s="760"/>
      <c r="B625" s="761"/>
      <c r="C625" s="762"/>
      <c r="D625" s="762" t="str">
        <f>$F$2</f>
        <v>Electrical</v>
      </c>
      <c r="E625" s="762">
        <f>ROUND(($R631*$S$2 + ($T631*$T$2)), 2)</f>
        <v>62.88</v>
      </c>
      <c r="F625" s="763">
        <f>$E625*$C$12</f>
        <v>62.88</v>
      </c>
      <c r="G625" s="567"/>
      <c r="H625" s="764"/>
      <c r="I625" s="567"/>
      <c r="J625" s="45"/>
      <c r="K625" s="765" t="s">
        <v>3</v>
      </c>
      <c r="L625" s="766" t="s">
        <v>573</v>
      </c>
      <c r="M625" s="567"/>
      <c r="N625" s="567"/>
      <c r="O625" s="45"/>
      <c r="P625" s="567"/>
      <c r="Q625" s="567"/>
      <c r="R625"/>
      <c r="S625"/>
      <c r="T625"/>
    </row>
    <row r="626" spans="1:41" s="893" customFormat="1" ht="13.2">
      <c r="A626">
        <v>3</v>
      </c>
      <c r="B626" s="893" t="s">
        <v>296</v>
      </c>
      <c r="D626" s="893" t="s">
        <v>740</v>
      </c>
      <c r="G626" s="894" t="s">
        <v>741</v>
      </c>
      <c r="H626" s="895">
        <v>616</v>
      </c>
      <c r="I626" s="893" t="s">
        <v>656</v>
      </c>
      <c r="J626" s="893" t="s">
        <v>742</v>
      </c>
      <c r="O626" s="896">
        <v>2</v>
      </c>
      <c r="P626" s="897"/>
      <c r="Q626" s="898">
        <v>1.5</v>
      </c>
      <c r="R626" s="899">
        <f>$A626*Q626</f>
        <v>4.5</v>
      </c>
      <c r="S626" s="898">
        <v>0.05</v>
      </c>
      <c r="T626" s="900">
        <f>$A626*S626*$T$1</f>
        <v>0.15000000000000002</v>
      </c>
    </row>
    <row r="627" spans="1:41" s="893" customFormat="1" ht="13.2">
      <c r="A627" s="87">
        <v>3</v>
      </c>
      <c r="B627" s="893" t="s">
        <v>141</v>
      </c>
      <c r="D627" s="893" t="s">
        <v>743</v>
      </c>
      <c r="G627" s="894" t="s">
        <v>744</v>
      </c>
      <c r="H627" s="895">
        <v>875</v>
      </c>
      <c r="I627" s="893" t="s">
        <v>643</v>
      </c>
      <c r="K627" s="893" t="s">
        <v>745</v>
      </c>
      <c r="O627" s="896">
        <v>1</v>
      </c>
      <c r="P627" s="897">
        <v>34669</v>
      </c>
      <c r="Q627" s="898">
        <v>0.05</v>
      </c>
      <c r="R627" s="899">
        <f>$A627*Q627</f>
        <v>0.15000000000000002</v>
      </c>
      <c r="S627" s="898"/>
      <c r="T627" s="900">
        <f>$A627*S627*$T$1</f>
        <v>0</v>
      </c>
    </row>
    <row r="628" spans="1:41" s="893" customFormat="1" ht="13.2">
      <c r="A628">
        <v>2</v>
      </c>
      <c r="B628" s="893" t="s">
        <v>141</v>
      </c>
      <c r="D628" s="893" t="s">
        <v>746</v>
      </c>
      <c r="G628" s="894" t="s">
        <v>747</v>
      </c>
      <c r="H628" s="895">
        <v>620</v>
      </c>
      <c r="I628" s="893" t="s">
        <v>671</v>
      </c>
      <c r="O628" s="896">
        <v>2</v>
      </c>
      <c r="P628" s="897">
        <v>35431</v>
      </c>
      <c r="Q628" s="902">
        <v>3.8</v>
      </c>
      <c r="R628" s="899">
        <f>$A628*Q628</f>
        <v>7.6</v>
      </c>
      <c r="S628" s="898">
        <v>0.3</v>
      </c>
      <c r="T628" s="900">
        <f>$A628*S628*$T$1</f>
        <v>0.6</v>
      </c>
    </row>
    <row r="629" spans="1:41" s="893" customFormat="1" ht="13.2">
      <c r="A629">
        <v>1</v>
      </c>
      <c r="B629" s="893" t="s">
        <v>141</v>
      </c>
      <c r="D629" s="893" t="s">
        <v>658</v>
      </c>
      <c r="F629" s="893" t="s">
        <v>748</v>
      </c>
      <c r="G629" s="894" t="s">
        <v>659</v>
      </c>
      <c r="H629" s="895">
        <v>900</v>
      </c>
      <c r="I629" s="893" t="s">
        <v>660</v>
      </c>
      <c r="O629" s="896">
        <v>1</v>
      </c>
      <c r="P629" s="897"/>
      <c r="Q629" s="898"/>
      <c r="R629" s="899">
        <f>$A629*Q629</f>
        <v>0</v>
      </c>
      <c r="S629" s="898">
        <v>0.5</v>
      </c>
      <c r="T629" s="900">
        <f>$A629*S629*$T$1</f>
        <v>0.5</v>
      </c>
    </row>
    <row r="630" spans="1:41" s="501" customFormat="1" ht="13.95" customHeight="1">
      <c r="A630" s="767"/>
      <c r="B630" s="567"/>
      <c r="C630" s="567"/>
      <c r="D630" s="567"/>
      <c r="E630" s="567"/>
      <c r="F630" s="567"/>
      <c r="G630" s="567"/>
      <c r="H630" s="764"/>
      <c r="I630" s="567"/>
      <c r="J630" s="45"/>
      <c r="K630" s="769"/>
      <c r="L630" s="770"/>
      <c r="M630" s="567"/>
      <c r="N630" s="567"/>
      <c r="O630" s="45"/>
      <c r="P630" s="567"/>
      <c r="Q630" s="567"/>
      <c r="R630" s="771">
        <f>$A630*Q630</f>
        <v>0</v>
      </c>
      <c r="S630" s="567"/>
      <c r="T630" s="500">
        <f>$A630*S630*$T$1</f>
        <v>0</v>
      </c>
    </row>
    <row r="631" spans="1:41" s="501" customFormat="1" ht="12">
      <c r="A631" s="825" t="s">
        <v>145</v>
      </c>
      <c r="B631" s="826">
        <f>(R630+T630)</f>
        <v>0</v>
      </c>
      <c r="C631" s="497"/>
      <c r="G631" s="774"/>
      <c r="H631" s="774"/>
      <c r="I631" s="774"/>
      <c r="J631" s="774"/>
      <c r="K631" s="750" t="s">
        <v>3</v>
      </c>
      <c r="L631" s="775" t="s">
        <v>573</v>
      </c>
      <c r="M631" s="774"/>
      <c r="N631" s="774"/>
      <c r="O631" s="774"/>
      <c r="P631" s="774"/>
      <c r="Q631" s="776"/>
      <c r="R631" s="777">
        <f>SUM(R625:R630)</f>
        <v>12.25</v>
      </c>
      <c r="S631" s="778"/>
      <c r="T631" s="777">
        <f>SUM(T625:T630)</f>
        <v>1.25</v>
      </c>
      <c r="AG631" s="779">
        <f>ROUND($R631*$S$2,2)</f>
        <v>16.54</v>
      </c>
    </row>
    <row r="632" spans="1:41" s="501" customFormat="1" ht="12" customHeight="1">
      <c r="A632" s="800"/>
      <c r="B632" s="827"/>
      <c r="C632" s="828"/>
      <c r="D632" s="828" t="str">
        <f>$F$3</f>
        <v>Technician</v>
      </c>
      <c r="E632" s="828">
        <f>ROUND(($R636*$S$3 + ($T636*$T$3)), 2)</f>
        <v>0</v>
      </c>
      <c r="F632" s="829">
        <f ca="1">$F622-SUMIF($L624:$P629,"SUBI",$F624:$F629)</f>
        <v>0</v>
      </c>
      <c r="G632" s="499"/>
      <c r="H632" s="499"/>
      <c r="I632" s="499"/>
      <c r="J632" s="499"/>
      <c r="K632" s="765" t="s">
        <v>5</v>
      </c>
      <c r="L632" s="766" t="s">
        <v>573</v>
      </c>
      <c r="M632" s="499"/>
      <c r="N632" s="499"/>
      <c r="O632" s="499"/>
      <c r="P632" s="499"/>
      <c r="Q632" s="499"/>
      <c r="R632" s="784"/>
      <c r="S632" s="499"/>
      <c r="T632" s="784"/>
    </row>
    <row r="633" spans="1:41" s="797" customFormat="1" ht="14.4" customHeight="1">
      <c r="A633" s="785"/>
      <c r="B633" s="768" t="s">
        <v>575</v>
      </c>
      <c r="C633" s="786"/>
      <c r="D633" s="787"/>
      <c r="E633" s="787"/>
      <c r="F633" s="787"/>
      <c r="G633" s="788"/>
      <c r="H633" s="789"/>
      <c r="I633" s="789"/>
      <c r="J633" s="790"/>
      <c r="K633" s="791"/>
      <c r="L633" s="786"/>
      <c r="M633" s="792"/>
      <c r="N633" s="793"/>
      <c r="O633" s="794"/>
      <c r="P633" s="795"/>
      <c r="Q633" s="796"/>
      <c r="R633" s="771">
        <f>$A633*Q633</f>
        <v>0</v>
      </c>
      <c r="S633" s="567"/>
      <c r="T633" s="500">
        <f>$A633*S633*$T$1</f>
        <v>0</v>
      </c>
    </row>
    <row r="634" spans="1:41" s="501" customFormat="1" ht="11.4">
      <c r="A634" s="767"/>
      <c r="B634" s="567"/>
      <c r="C634" s="567"/>
      <c r="D634" s="567"/>
      <c r="E634" s="567"/>
      <c r="F634" s="567"/>
      <c r="G634" s="567"/>
      <c r="H634" s="567"/>
      <c r="I634" s="567"/>
      <c r="J634" s="567"/>
      <c r="K634" s="567"/>
      <c r="L634" s="770"/>
      <c r="M634" s="567"/>
      <c r="N634" s="567"/>
      <c r="O634" s="567"/>
      <c r="P634" s="567"/>
      <c r="Q634" s="567"/>
      <c r="R634" s="771">
        <f>$A634*Q634</f>
        <v>0</v>
      </c>
      <c r="S634" s="567"/>
      <c r="T634" s="500">
        <f>$A634*S634*$T$1</f>
        <v>0</v>
      </c>
    </row>
    <row r="635" spans="1:41" s="501" customFormat="1" ht="13.2">
      <c r="A635" s="767"/>
      <c r="B635" s="567"/>
      <c r="C635" s="567"/>
      <c r="D635" s="3"/>
      <c r="E635" s="567"/>
      <c r="F635" s="567"/>
      <c r="G635" s="567"/>
      <c r="H635" s="567"/>
      <c r="I635" s="567"/>
      <c r="J635" s="567"/>
      <c r="K635" s="567"/>
      <c r="L635" s="770"/>
      <c r="M635" s="567"/>
      <c r="N635" s="567"/>
      <c r="O635" s="567"/>
      <c r="P635" s="567"/>
      <c r="Q635" s="567"/>
      <c r="R635" s="771">
        <f>$A635*Q635</f>
        <v>0</v>
      </c>
      <c r="S635" s="567"/>
      <c r="T635" s="500">
        <f>$A635*S635*$T$1</f>
        <v>0</v>
      </c>
    </row>
    <row r="636" spans="1:41" s="501" customFormat="1" ht="12" customHeight="1">
      <c r="A636" s="772" t="s">
        <v>145</v>
      </c>
      <c r="B636" s="773">
        <f>(R635+T635)</f>
        <v>0</v>
      </c>
      <c r="C636" s="810"/>
      <c r="D636" s="810"/>
      <c r="E636" s="810"/>
      <c r="F636" s="810"/>
      <c r="G636" s="776"/>
      <c r="H636" s="776"/>
      <c r="I636" s="776"/>
      <c r="J636" s="776"/>
      <c r="K636" s="798" t="s">
        <v>5</v>
      </c>
      <c r="L636" s="811" t="s">
        <v>573</v>
      </c>
      <c r="M636" s="776"/>
      <c r="N636" s="776"/>
      <c r="O636" s="776"/>
      <c r="P636" s="776"/>
      <c r="Q636" s="776"/>
      <c r="R636" s="777">
        <f>SUM(R632:R635)</f>
        <v>0</v>
      </c>
      <c r="S636" s="778"/>
      <c r="T636" s="777">
        <f>SUM(T632:T635)</f>
        <v>0</v>
      </c>
      <c r="AG636" s="799">
        <f>ROUND($R636*$S$3,2)</f>
        <v>0</v>
      </c>
    </row>
    <row r="637" spans="1:41" s="501" customFormat="1" ht="12.75" customHeight="1">
      <c r="A637" s="813"/>
      <c r="B637" s="814"/>
      <c r="E637" s="497"/>
      <c r="F637" s="808"/>
      <c r="G637" s="497"/>
      <c r="H637" s="497"/>
      <c r="I637" s="499"/>
      <c r="J637" s="497"/>
      <c r="K637" s="497"/>
      <c r="L637" s="815"/>
      <c r="M637" s="725"/>
      <c r="N637" s="725"/>
      <c r="O637" s="725"/>
      <c r="P637" s="725"/>
      <c r="Q637" s="726"/>
      <c r="R637" s="784"/>
      <c r="S637" s="497"/>
      <c r="T637" s="784"/>
    </row>
    <row r="638" spans="1:41" s="501" customFormat="1" ht="13.5" customHeight="1" thickBot="1">
      <c r="A638" s="816"/>
      <c r="B638" s="817"/>
      <c r="C638" s="518"/>
      <c r="D638" s="518"/>
      <c r="E638" s="515"/>
      <c r="F638" s="721"/>
      <c r="G638" s="515" t="s">
        <v>146</v>
      </c>
      <c r="H638" s="515"/>
      <c r="I638" s="516"/>
      <c r="J638" s="515"/>
      <c r="K638" s="515"/>
      <c r="L638" s="818" t="s">
        <v>143</v>
      </c>
      <c r="M638" s="517"/>
      <c r="N638" s="517"/>
      <c r="O638" s="517"/>
      <c r="P638" s="517"/>
      <c r="Q638" s="722"/>
      <c r="R638" s="819">
        <f>SUMIF($L623:$L637,"SUBI",R623:R637)</f>
        <v>12.25</v>
      </c>
      <c r="S638" s="515"/>
      <c r="T638" s="819">
        <f>SUMIF($L623:$L637,"SUBI",T623:T637)</f>
        <v>1.25</v>
      </c>
      <c r="U638" s="518"/>
      <c r="V638" s="518"/>
      <c r="W638" s="518"/>
      <c r="X638" s="518"/>
      <c r="Y638" s="518"/>
      <c r="Z638" s="518"/>
      <c r="AA638" s="518"/>
      <c r="AB638" s="518"/>
      <c r="AC638" s="518"/>
      <c r="AD638" s="518"/>
      <c r="AE638" s="518"/>
      <c r="AF638" s="518"/>
      <c r="AG638" s="518"/>
      <c r="AH638" s="518"/>
      <c r="AI638" s="518"/>
      <c r="AJ638" s="518"/>
      <c r="AK638" s="518"/>
      <c r="AL638" s="518"/>
      <c r="AM638" s="518"/>
      <c r="AN638" s="518"/>
      <c r="AO638" s="518"/>
    </row>
    <row r="639" spans="1:41" s="501" customFormat="1" thickTop="1">
      <c r="A639" s="44"/>
      <c r="B639" s="44"/>
      <c r="C639" s="3"/>
      <c r="D639" s="3"/>
      <c r="E639" s="44"/>
      <c r="F639" s="44"/>
      <c r="G639" s="44"/>
      <c r="H639" s="44"/>
      <c r="I639" s="44"/>
      <c r="J639" s="44"/>
      <c r="K639" s="44" t="s">
        <v>134</v>
      </c>
      <c r="L639" s="44"/>
      <c r="M639" s="44"/>
      <c r="N639" s="44"/>
      <c r="O639" s="45"/>
      <c r="P639" s="44"/>
      <c r="Q639" s="44"/>
      <c r="R639" s="44"/>
      <c r="S639" s="44"/>
      <c r="T639" s="44"/>
    </row>
    <row r="640" spans="1:41" s="501" customFormat="1" ht="12">
      <c r="A640" s="44"/>
      <c r="B640" s="44"/>
      <c r="C640" s="44" t="s">
        <v>135</v>
      </c>
      <c r="D640" s="35" t="s">
        <v>579</v>
      </c>
      <c r="E640" s="44"/>
      <c r="F640" s="44"/>
      <c r="G640" s="44"/>
      <c r="H640" s="44"/>
      <c r="I640" s="44"/>
      <c r="J640" s="44"/>
      <c r="K640" s="44"/>
      <c r="L640" s="44"/>
      <c r="M640" s="44"/>
      <c r="N640" s="44"/>
      <c r="O640" s="45"/>
      <c r="P640" s="44"/>
      <c r="Q640" s="44"/>
      <c r="R640" s="44"/>
      <c r="S640" s="44"/>
      <c r="T640" s="44"/>
    </row>
    <row r="641" spans="1:41" s="501" customFormat="1" ht="12">
      <c r="A641" s="44"/>
      <c r="B641" s="44"/>
      <c r="C641" s="44"/>
      <c r="D641" s="35" t="s">
        <v>908</v>
      </c>
      <c r="E641" s="44"/>
      <c r="F641" s="44"/>
      <c r="G641" s="44"/>
      <c r="H641" s="44"/>
      <c r="I641" s="44"/>
      <c r="J641" s="44"/>
      <c r="K641" s="44"/>
      <c r="L641" s="44"/>
      <c r="M641" s="44"/>
      <c r="N641" s="44"/>
      <c r="O641" s="45"/>
      <c r="P641" s="44"/>
      <c r="Q641" s="44"/>
      <c r="R641" s="44"/>
      <c r="S641" s="36"/>
      <c r="T641" s="36"/>
    </row>
    <row r="642" spans="1:41" s="3" customFormat="1" thickBot="1">
      <c r="A642" s="518"/>
      <c r="O642" s="86"/>
    </row>
    <row r="643" spans="1:41" s="501" customFormat="1" thickTop="1">
      <c r="A643" s="44"/>
      <c r="B643" s="39"/>
      <c r="C643" s="44"/>
      <c r="E643" s="40" t="s">
        <v>138</v>
      </c>
      <c r="F643" s="40" t="s">
        <v>139</v>
      </c>
      <c r="G643" s="44"/>
      <c r="H643" s="44"/>
      <c r="I643" s="44"/>
      <c r="J643" s="44"/>
      <c r="K643" s="44" t="s">
        <v>140</v>
      </c>
      <c r="L643" s="737"/>
      <c r="M643" s="44"/>
      <c r="N643" s="44"/>
      <c r="O643" s="45"/>
      <c r="P643" s="44"/>
      <c r="Q643"/>
      <c r="R643"/>
      <c r="S643"/>
      <c r="T643" s="39"/>
      <c r="AG643" s="502" t="s">
        <v>247</v>
      </c>
      <c r="AH643" s="502" t="s">
        <v>248</v>
      </c>
      <c r="AI643" s="502" t="s">
        <v>249</v>
      </c>
      <c r="AJ643" s="502" t="s">
        <v>250</v>
      </c>
      <c r="AK643" s="502" t="s">
        <v>251</v>
      </c>
      <c r="AM643" s="710" t="s">
        <v>260</v>
      </c>
      <c r="AN643" s="711" t="s">
        <v>261</v>
      </c>
      <c r="AO643" s="503" t="s">
        <v>257</v>
      </c>
    </row>
    <row r="644" spans="1:41" s="501" customFormat="1" ht="13.2">
      <c r="A644" s="712">
        <v>1</v>
      </c>
      <c r="B644" s="504" t="s">
        <v>141</v>
      </c>
      <c r="C644" s="505"/>
      <c r="D644" s="713" t="s">
        <v>952</v>
      </c>
      <c r="E644" s="738">
        <f>IF(AND($A644=0,$A$1="DIF"),0, ROUND(ROUND(SUMIF($L646:$L658,"SUBI",$E646:$E658)/$A644,2)*$C$12,2))</f>
        <v>152.91</v>
      </c>
      <c r="F644" s="739">
        <f>ROUND($A644*$E644,2)</f>
        <v>152.91</v>
      </c>
      <c r="G644" s="506" t="s">
        <v>142</v>
      </c>
      <c r="H644" s="498"/>
      <c r="I644" s="716"/>
      <c r="J644" s="498"/>
      <c r="K644" s="740"/>
      <c r="L644" s="741" t="s">
        <v>143</v>
      </c>
      <c r="M644" s="717"/>
      <c r="N644" s="717"/>
      <c r="O644" s="717"/>
      <c r="P644" s="717"/>
      <c r="Q644"/>
      <c r="R644"/>
      <c r="S644"/>
      <c r="T644" s="742" t="str">
        <f>IF(AND($R664=0,$T664=0),"0.00","mu :" &amp; ROUND($F644/$C$12/($R664+$T664*$D$9),2))</f>
        <v>mu :1.35</v>
      </c>
      <c r="W644" s="507"/>
      <c r="AG644" s="743">
        <f>IF(A644=0,0,ROUND(SUM(AG646:AG664)/A644,2))</f>
        <v>57.27</v>
      </c>
      <c r="AH644" s="743">
        <f>$AG644*$A644</f>
        <v>57.27</v>
      </c>
      <c r="AI644" s="743">
        <f>$E644-$AG644</f>
        <v>95.639999999999986</v>
      </c>
      <c r="AJ644" s="743">
        <f>$A644*$AI644</f>
        <v>95.639999999999986</v>
      </c>
      <c r="AK644" s="744">
        <f>ROUND(($AG644+$AI644)*$A644,2)</f>
        <v>152.91</v>
      </c>
      <c r="AM644" s="510">
        <f>ROUND(R664,2)</f>
        <v>42.42</v>
      </c>
      <c r="AN644" s="511">
        <f>ROUND(T664,2)</f>
        <v>2.58</v>
      </c>
      <c r="AO644" s="512">
        <f>ROUND(AM644+AN644,2)*A644</f>
        <v>45</v>
      </c>
    </row>
    <row r="645" spans="1:41" s="501" customFormat="1" ht="19.95" customHeight="1">
      <c r="A645" s="745"/>
      <c r="B645" s="746"/>
      <c r="C645" s="505"/>
      <c r="D645" s="724" t="s">
        <v>937</v>
      </c>
      <c r="F645" s="498"/>
      <c r="G645" s="498"/>
      <c r="H645" s="498"/>
      <c r="I645" s="716"/>
      <c r="J645" s="498"/>
      <c r="K645" s="498" t="s">
        <v>144</v>
      </c>
      <c r="L645" s="747"/>
      <c r="M645" s="498"/>
      <c r="N645" s="498"/>
      <c r="O645" s="498"/>
      <c r="P645" s="498"/>
      <c r="Q645" s="44"/>
      <c r="R645" s="567"/>
      <c r="S645" s="719"/>
      <c r="T645" s="498"/>
    </row>
    <row r="646" spans="1:41" s="501" customFormat="1" ht="12">
      <c r="A646" s="821"/>
      <c r="B646" s="822"/>
      <c r="C646" s="497"/>
      <c r="D646" s="498"/>
      <c r="E646" s="823">
        <f>F644/$C$12-SUMIF($L643:$L664,"SUBI",$E643:$E664)</f>
        <v>0</v>
      </c>
      <c r="F646" s="824" t="s">
        <v>572</v>
      </c>
      <c r="G646" s="753"/>
      <c r="H646" s="753"/>
      <c r="I646" s="754"/>
      <c r="J646" s="753"/>
      <c r="K646" s="753"/>
      <c r="L646" s="755"/>
      <c r="M646" s="756"/>
      <c r="N646" s="756"/>
      <c r="O646" s="756"/>
      <c r="P646" s="756"/>
      <c r="Q646" s="757"/>
      <c r="R646" s="758"/>
      <c r="S646" s="757"/>
      <c r="T646" s="759"/>
    </row>
    <row r="647" spans="1:41" s="501" customFormat="1" ht="12" customHeight="1">
      <c r="A647" s="760"/>
      <c r="B647" s="761"/>
      <c r="C647" s="762"/>
      <c r="D647" s="762" t="str">
        <f>$F$2</f>
        <v>Electrical</v>
      </c>
      <c r="E647" s="762">
        <f>ROUND(($R657*$S$2 + ($T657*$T$2)), 2)</f>
        <v>152.91</v>
      </c>
      <c r="F647" s="763">
        <f>$E647*$C$12</f>
        <v>152.91</v>
      </c>
      <c r="G647" s="567"/>
      <c r="H647" s="764"/>
      <c r="I647" s="567"/>
      <c r="J647" s="45"/>
      <c r="K647" s="765" t="s">
        <v>3</v>
      </c>
      <c r="L647" s="766" t="s">
        <v>573</v>
      </c>
      <c r="M647" s="567"/>
      <c r="N647" s="567"/>
      <c r="O647" s="45"/>
      <c r="P647" s="567"/>
      <c r="Q647" s="567"/>
      <c r="R647"/>
      <c r="S647"/>
      <c r="T647"/>
    </row>
    <row r="648" spans="1:41" s="893" customFormat="1" ht="13.2">
      <c r="A648"/>
      <c r="D648" s="944" t="s">
        <v>755</v>
      </c>
      <c r="G648" s="894" t="s">
        <v>749</v>
      </c>
      <c r="H648" s="895">
        <v>616</v>
      </c>
      <c r="I648" s="893" t="s">
        <v>656</v>
      </c>
      <c r="J648" s="893" t="s">
        <v>750</v>
      </c>
      <c r="O648" s="896">
        <v>2</v>
      </c>
      <c r="P648" s="897">
        <v>40767</v>
      </c>
      <c r="Q648" s="898"/>
      <c r="R648" s="899">
        <f t="shared" ref="R648:R656" si="23">$A648*Q648</f>
        <v>0</v>
      </c>
      <c r="S648" s="898"/>
      <c r="T648" s="900">
        <f t="shared" ref="T648:T656" si="24">$A648*S648*$T$1</f>
        <v>0</v>
      </c>
    </row>
    <row r="649" spans="1:41" s="893" customFormat="1" ht="13.2">
      <c r="A649">
        <v>3</v>
      </c>
      <c r="B649" s="893" t="s">
        <v>296</v>
      </c>
      <c r="D649" s="893" t="s">
        <v>1083</v>
      </c>
      <c r="F649" s="893" t="s">
        <v>1080</v>
      </c>
      <c r="G649" s="894" t="s">
        <v>1078</v>
      </c>
      <c r="H649" s="895">
        <v>616</v>
      </c>
      <c r="I649" s="893" t="s">
        <v>656</v>
      </c>
      <c r="J649" s="893" t="s">
        <v>1079</v>
      </c>
      <c r="O649" s="896">
        <v>2</v>
      </c>
      <c r="P649" s="897">
        <v>40767</v>
      </c>
      <c r="Q649" s="898">
        <v>7.15</v>
      </c>
      <c r="R649" s="899">
        <f t="shared" si="23"/>
        <v>21.450000000000003</v>
      </c>
      <c r="S649" s="898">
        <v>0.09</v>
      </c>
      <c r="T649" s="900">
        <f t="shared" si="24"/>
        <v>0.27</v>
      </c>
    </row>
    <row r="650" spans="1:41" s="893" customFormat="1" ht="13.2">
      <c r="A650" s="87">
        <v>3</v>
      </c>
      <c r="B650" s="893" t="s">
        <v>141</v>
      </c>
      <c r="D650" s="893" t="s">
        <v>743</v>
      </c>
      <c r="G650" s="894" t="s">
        <v>744</v>
      </c>
      <c r="H650" s="895">
        <v>875</v>
      </c>
      <c r="I650" s="893" t="s">
        <v>643</v>
      </c>
      <c r="K650" s="893" t="s">
        <v>745</v>
      </c>
      <c r="O650" s="896">
        <v>1</v>
      </c>
      <c r="P650" s="897">
        <v>34669</v>
      </c>
      <c r="Q650" s="898">
        <v>0.05</v>
      </c>
      <c r="R650" s="899">
        <f t="shared" si="23"/>
        <v>0.15000000000000002</v>
      </c>
      <c r="S650" s="898"/>
      <c r="T650" s="900">
        <f t="shared" si="24"/>
        <v>0</v>
      </c>
    </row>
    <row r="651" spans="1:41" s="893" customFormat="1" ht="13.2">
      <c r="A651">
        <v>2</v>
      </c>
      <c r="B651" s="893" t="s">
        <v>141</v>
      </c>
      <c r="D651" s="893" t="s">
        <v>751</v>
      </c>
      <c r="G651" s="894" t="s">
        <v>752</v>
      </c>
      <c r="H651" s="895">
        <v>620</v>
      </c>
      <c r="I651" s="893" t="s">
        <v>671</v>
      </c>
      <c r="O651" s="896">
        <v>2</v>
      </c>
      <c r="P651" s="897">
        <v>35431</v>
      </c>
      <c r="Q651" s="898">
        <v>7.66</v>
      </c>
      <c r="R651" s="899">
        <f t="shared" si="23"/>
        <v>15.32</v>
      </c>
      <c r="S651" s="898">
        <v>0.4</v>
      </c>
      <c r="T651" s="900">
        <f t="shared" si="24"/>
        <v>0.8</v>
      </c>
    </row>
    <row r="652" spans="1:41" s="893" customFormat="1" ht="13.2">
      <c r="A652">
        <v>2</v>
      </c>
      <c r="B652" s="893" t="s">
        <v>296</v>
      </c>
      <c r="D652" s="893" t="s">
        <v>672</v>
      </c>
      <c r="G652" s="894" t="s">
        <v>673</v>
      </c>
      <c r="H652" s="895">
        <v>620</v>
      </c>
      <c r="I652" s="893" t="s">
        <v>643</v>
      </c>
      <c r="O652" s="896">
        <v>2</v>
      </c>
      <c r="P652" s="897">
        <v>38148</v>
      </c>
      <c r="Q652" s="898">
        <v>1.5</v>
      </c>
      <c r="R652" s="899">
        <f t="shared" si="23"/>
        <v>3</v>
      </c>
      <c r="S652" s="898">
        <v>0.08</v>
      </c>
      <c r="T652" s="900">
        <f t="shared" si="24"/>
        <v>0.16</v>
      </c>
    </row>
    <row r="653" spans="1:41" s="893" customFormat="1" ht="13.2">
      <c r="A653">
        <v>10</v>
      </c>
      <c r="B653" s="893" t="s">
        <v>141</v>
      </c>
      <c r="D653" s="893" t="s">
        <v>1081</v>
      </c>
      <c r="G653" s="894" t="s">
        <v>1082</v>
      </c>
      <c r="H653" s="895">
        <v>620</v>
      </c>
      <c r="I653" s="893" t="s">
        <v>676</v>
      </c>
      <c r="O653" s="896">
        <v>2</v>
      </c>
      <c r="P653" s="897">
        <v>34669</v>
      </c>
      <c r="Q653" s="902">
        <v>0.25</v>
      </c>
      <c r="R653" s="899">
        <f t="shared" si="23"/>
        <v>2.5</v>
      </c>
      <c r="S653" s="898">
        <v>0.06</v>
      </c>
      <c r="T653" s="900">
        <f t="shared" si="24"/>
        <v>0.6</v>
      </c>
    </row>
    <row r="654" spans="1:41" s="893" customFormat="1" ht="13.2">
      <c r="A654">
        <v>1</v>
      </c>
      <c r="B654" s="893" t="s">
        <v>141</v>
      </c>
      <c r="D654" s="893" t="s">
        <v>658</v>
      </c>
      <c r="F654" s="893" t="s">
        <v>748</v>
      </c>
      <c r="G654" s="894" t="s">
        <v>659</v>
      </c>
      <c r="H654" s="895">
        <v>900</v>
      </c>
      <c r="I654" s="893" t="s">
        <v>660</v>
      </c>
      <c r="O654" s="896">
        <v>1</v>
      </c>
      <c r="P654" s="897"/>
      <c r="Q654" s="898"/>
      <c r="R654" s="899">
        <f t="shared" si="23"/>
        <v>0</v>
      </c>
      <c r="S654" s="898">
        <v>0.5</v>
      </c>
      <c r="T654" s="900">
        <f t="shared" si="24"/>
        <v>0.5</v>
      </c>
    </row>
    <row r="655" spans="1:41" s="893" customFormat="1" ht="13.2">
      <c r="A655">
        <v>1</v>
      </c>
      <c r="B655" s="893" t="s">
        <v>141</v>
      </c>
      <c r="D655" s="893" t="s">
        <v>658</v>
      </c>
      <c r="F655" s="893" t="s">
        <v>757</v>
      </c>
      <c r="G655" s="894" t="s">
        <v>659</v>
      </c>
      <c r="H655" s="895">
        <v>900</v>
      </c>
      <c r="I655" s="893" t="s">
        <v>660</v>
      </c>
      <c r="O655" s="896">
        <v>1</v>
      </c>
      <c r="P655" s="897"/>
      <c r="Q655" s="898"/>
      <c r="R655" s="899">
        <f t="shared" si="23"/>
        <v>0</v>
      </c>
      <c r="S655" s="898">
        <v>0.25</v>
      </c>
      <c r="T655" s="900">
        <f t="shared" si="24"/>
        <v>0.25</v>
      </c>
    </row>
    <row r="656" spans="1:41" s="501" customFormat="1" ht="13.95" customHeight="1">
      <c r="A656" s="767"/>
      <c r="B656" s="567"/>
      <c r="C656" s="567"/>
      <c r="D656" s="567"/>
      <c r="E656" s="567"/>
      <c r="F656" s="567"/>
      <c r="G656" s="567"/>
      <c r="H656" s="764"/>
      <c r="I656" s="567"/>
      <c r="J656" s="45"/>
      <c r="K656" s="769"/>
      <c r="L656" s="770"/>
      <c r="M656" s="567"/>
      <c r="N656" s="567"/>
      <c r="O656" s="45"/>
      <c r="P656" s="567"/>
      <c r="Q656" s="567"/>
      <c r="R656" s="771">
        <f t="shared" si="23"/>
        <v>0</v>
      </c>
      <c r="S656" s="567"/>
      <c r="T656" s="500">
        <f t="shared" si="24"/>
        <v>0</v>
      </c>
    </row>
    <row r="657" spans="1:41" s="501" customFormat="1" ht="12">
      <c r="A657" s="825" t="s">
        <v>145</v>
      </c>
      <c r="B657" s="826">
        <f>(R656+T656)</f>
        <v>0</v>
      </c>
      <c r="C657" s="497"/>
      <c r="G657" s="774"/>
      <c r="H657" s="774"/>
      <c r="I657" s="774"/>
      <c r="J657" s="774"/>
      <c r="K657" s="750" t="s">
        <v>3</v>
      </c>
      <c r="L657" s="775" t="s">
        <v>573</v>
      </c>
      <c r="M657" s="774"/>
      <c r="N657" s="774"/>
      <c r="O657" s="774"/>
      <c r="P657" s="774"/>
      <c r="Q657" s="776"/>
      <c r="R657" s="777">
        <f>SUM(R647:R656)</f>
        <v>42.42</v>
      </c>
      <c r="S657" s="778"/>
      <c r="T657" s="777">
        <f>SUM(T647:T656)</f>
        <v>2.58</v>
      </c>
      <c r="AG657" s="779">
        <f>ROUND($R657*$S$2,2)</f>
        <v>57.27</v>
      </c>
    </row>
    <row r="658" spans="1:41" s="501" customFormat="1" ht="12" customHeight="1">
      <c r="A658" s="800"/>
      <c r="B658" s="827"/>
      <c r="C658" s="828"/>
      <c r="D658" s="828" t="str">
        <f>$F$3</f>
        <v>Technician</v>
      </c>
      <c r="E658" s="828">
        <f>ROUND(($R662*$S$3 + ($T662*$T$3)), 2)</f>
        <v>0</v>
      </c>
      <c r="F658" s="829">
        <f ca="1">$F644-SUMIF($L646:$P655,"SUBI",$F646:$F655)</f>
        <v>0</v>
      </c>
      <c r="G658" s="499"/>
      <c r="H658" s="499"/>
      <c r="I658" s="499"/>
      <c r="J658" s="499"/>
      <c r="K658" s="765" t="s">
        <v>5</v>
      </c>
      <c r="L658" s="766" t="s">
        <v>573</v>
      </c>
      <c r="M658" s="499"/>
      <c r="N658" s="499"/>
      <c r="O658" s="499"/>
      <c r="P658" s="499"/>
      <c r="Q658" s="499"/>
      <c r="R658" s="784"/>
      <c r="S658" s="499"/>
      <c r="T658" s="784"/>
    </row>
    <row r="659" spans="1:41" s="797" customFormat="1" ht="14.4" customHeight="1">
      <c r="A659" s="785"/>
      <c r="B659" s="768" t="s">
        <v>575</v>
      </c>
      <c r="C659" s="786"/>
      <c r="D659" s="787"/>
      <c r="E659" s="787"/>
      <c r="F659" s="787"/>
      <c r="G659" s="788"/>
      <c r="H659" s="789"/>
      <c r="I659" s="789"/>
      <c r="J659" s="790"/>
      <c r="K659" s="791"/>
      <c r="L659" s="786"/>
      <c r="M659" s="792"/>
      <c r="N659" s="793"/>
      <c r="O659" s="794"/>
      <c r="P659" s="795"/>
      <c r="Q659" s="796"/>
      <c r="R659" s="771">
        <f>$A659*Q659</f>
        <v>0</v>
      </c>
      <c r="S659" s="567"/>
      <c r="T659" s="500">
        <f>$A659*S659*$T$1</f>
        <v>0</v>
      </c>
    </row>
    <row r="660" spans="1:41" s="501" customFormat="1" ht="11.4">
      <c r="A660" s="767"/>
      <c r="B660" s="567"/>
      <c r="C660" s="567"/>
      <c r="D660" s="567"/>
      <c r="E660" s="567"/>
      <c r="F660" s="567"/>
      <c r="G660" s="567"/>
      <c r="H660" s="567"/>
      <c r="I660" s="567"/>
      <c r="J660" s="567"/>
      <c r="K660" s="567"/>
      <c r="L660" s="770"/>
      <c r="M660" s="567"/>
      <c r="N660" s="567"/>
      <c r="O660" s="567"/>
      <c r="P660" s="567"/>
      <c r="Q660" s="567"/>
      <c r="R660" s="771">
        <f>$A660*Q660</f>
        <v>0</v>
      </c>
      <c r="S660" s="567"/>
      <c r="T660" s="500">
        <f>$A660*S660*$T$1</f>
        <v>0</v>
      </c>
    </row>
    <row r="661" spans="1:41" s="501" customFormat="1" ht="13.2">
      <c r="A661" s="767"/>
      <c r="B661" s="567"/>
      <c r="C661" s="567"/>
      <c r="D661" s="3"/>
      <c r="E661" s="567"/>
      <c r="F661" s="567"/>
      <c r="G661" s="567"/>
      <c r="H661" s="567"/>
      <c r="I661" s="567"/>
      <c r="J661" s="567"/>
      <c r="K661" s="567"/>
      <c r="L661" s="770"/>
      <c r="M661" s="567"/>
      <c r="N661" s="567"/>
      <c r="O661" s="567"/>
      <c r="P661" s="567"/>
      <c r="Q661" s="567"/>
      <c r="R661" s="771">
        <f>$A661*Q661</f>
        <v>0</v>
      </c>
      <c r="S661" s="567"/>
      <c r="T661" s="500">
        <f>$A661*S661*$T$1</f>
        <v>0</v>
      </c>
    </row>
    <row r="662" spans="1:41" s="501" customFormat="1" ht="12" customHeight="1">
      <c r="A662" s="772" t="s">
        <v>145</v>
      </c>
      <c r="B662" s="773">
        <f>(R661+T661)</f>
        <v>0</v>
      </c>
      <c r="C662" s="810"/>
      <c r="D662" s="810"/>
      <c r="E662" s="810"/>
      <c r="F662" s="810"/>
      <c r="G662" s="776"/>
      <c r="H662" s="776"/>
      <c r="I662" s="776"/>
      <c r="J662" s="776"/>
      <c r="K662" s="798" t="s">
        <v>5</v>
      </c>
      <c r="L662" s="811" t="s">
        <v>573</v>
      </c>
      <c r="M662" s="776"/>
      <c r="N662" s="776"/>
      <c r="O662" s="776"/>
      <c r="P662" s="776"/>
      <c r="Q662" s="776"/>
      <c r="R662" s="777">
        <f>SUM(R658:R661)</f>
        <v>0</v>
      </c>
      <c r="S662" s="778"/>
      <c r="T662" s="777">
        <f>SUM(T658:T661)</f>
        <v>0</v>
      </c>
      <c r="AG662" s="799">
        <f>ROUND($R662*$S$3,2)</f>
        <v>0</v>
      </c>
    </row>
    <row r="663" spans="1:41" s="501" customFormat="1" ht="12.75" customHeight="1">
      <c r="A663" s="813"/>
      <c r="B663" s="814"/>
      <c r="E663" s="497"/>
      <c r="F663" s="808"/>
      <c r="G663" s="497"/>
      <c r="H663" s="497"/>
      <c r="I663" s="499"/>
      <c r="J663" s="497"/>
      <c r="K663" s="497"/>
      <c r="L663" s="815"/>
      <c r="M663" s="725"/>
      <c r="N663" s="725"/>
      <c r="O663" s="725"/>
      <c r="P663" s="725"/>
      <c r="Q663" s="726"/>
      <c r="R663" s="784"/>
      <c r="S663" s="497"/>
      <c r="T663" s="784"/>
    </row>
    <row r="664" spans="1:41" s="501" customFormat="1" ht="13.5" customHeight="1" thickBot="1">
      <c r="A664" s="816"/>
      <c r="B664" s="817"/>
      <c r="C664" s="518"/>
      <c r="D664" s="518"/>
      <c r="E664" s="515"/>
      <c r="F664" s="721"/>
      <c r="G664" s="515" t="s">
        <v>146</v>
      </c>
      <c r="H664" s="515"/>
      <c r="I664" s="516"/>
      <c r="J664" s="515"/>
      <c r="K664" s="515"/>
      <c r="L664" s="818" t="s">
        <v>143</v>
      </c>
      <c r="M664" s="517"/>
      <c r="N664" s="517"/>
      <c r="O664" s="517"/>
      <c r="P664" s="517"/>
      <c r="Q664" s="722"/>
      <c r="R664" s="819">
        <f>SUMIF($L645:$L663,"SUBI",R645:R663)</f>
        <v>42.42</v>
      </c>
      <c r="S664" s="515"/>
      <c r="T664" s="819">
        <f>SUMIF($L645:$L663,"SUBI",T645:T663)</f>
        <v>2.58</v>
      </c>
      <c r="U664" s="518"/>
      <c r="V664" s="518"/>
      <c r="W664" s="518"/>
      <c r="X664" s="518"/>
      <c r="Y664" s="518"/>
      <c r="Z664" s="518"/>
      <c r="AA664" s="518"/>
      <c r="AB664" s="518"/>
      <c r="AC664" s="518"/>
      <c r="AD664" s="518"/>
      <c r="AE664" s="518"/>
      <c r="AF664" s="518"/>
      <c r="AG664" s="518"/>
      <c r="AH664" s="518"/>
      <c r="AI664" s="518"/>
      <c r="AJ664" s="518"/>
      <c r="AK664" s="518"/>
      <c r="AL664" s="518"/>
      <c r="AM664" s="518"/>
      <c r="AN664" s="518"/>
      <c r="AO664" s="518"/>
    </row>
    <row r="665" spans="1:41" s="501" customFormat="1" thickTop="1">
      <c r="A665" s="44"/>
      <c r="B665" s="39"/>
      <c r="C665" s="44"/>
      <c r="E665" s="40" t="s">
        <v>138</v>
      </c>
      <c r="F665" s="40" t="s">
        <v>139</v>
      </c>
      <c r="G665" s="44"/>
      <c r="H665" s="44"/>
      <c r="I665" s="44"/>
      <c r="J665" s="44"/>
      <c r="K665" s="44" t="s">
        <v>140</v>
      </c>
      <c r="L665" s="737"/>
      <c r="M665" s="44"/>
      <c r="N665" s="44"/>
      <c r="O665" s="45"/>
      <c r="P665" s="44"/>
      <c r="Q665"/>
      <c r="R665"/>
      <c r="S665"/>
      <c r="T665" s="39"/>
      <c r="AG665" s="502" t="s">
        <v>247</v>
      </c>
      <c r="AH665" s="502" t="s">
        <v>248</v>
      </c>
      <c r="AI665" s="502" t="s">
        <v>249</v>
      </c>
      <c r="AJ665" s="502" t="s">
        <v>250</v>
      </c>
      <c r="AK665" s="502" t="s">
        <v>251</v>
      </c>
      <c r="AM665" s="710" t="s">
        <v>260</v>
      </c>
      <c r="AN665" s="711" t="s">
        <v>261</v>
      </c>
      <c r="AO665" s="503" t="s">
        <v>257</v>
      </c>
    </row>
    <row r="666" spans="1:41" s="501" customFormat="1" ht="13.2">
      <c r="A666" s="712">
        <v>1</v>
      </c>
      <c r="B666" s="504" t="s">
        <v>141</v>
      </c>
      <c r="C666" s="505"/>
      <c r="D666" s="713" t="s">
        <v>953</v>
      </c>
      <c r="E666" s="738">
        <f>IF(AND($A666=0,$A$1="DIF"),0, ROUND(ROUND(SUMIF($L668:$L680,"SUBI",$E668:$E680)/$A666,2)*$C$12,2))</f>
        <v>152.91</v>
      </c>
      <c r="F666" s="739">
        <f>ROUND($A666*$E666,2)</f>
        <v>152.91</v>
      </c>
      <c r="G666" s="506" t="s">
        <v>142</v>
      </c>
      <c r="H666" s="498"/>
      <c r="I666" s="716"/>
      <c r="J666" s="498"/>
      <c r="K666" s="740"/>
      <c r="L666" s="741" t="s">
        <v>143</v>
      </c>
      <c r="M666" s="717"/>
      <c r="N666" s="717"/>
      <c r="O666" s="717"/>
      <c r="P666" s="717"/>
      <c r="Q666"/>
      <c r="R666"/>
      <c r="S666"/>
      <c r="T666" s="742" t="str">
        <f>IF(AND($R686=0,$T686=0),"0.00","mu :" &amp; ROUND($F666/$C$12/($R686+$T686*$D$9),2))</f>
        <v>mu :1.35</v>
      </c>
      <c r="W666" s="507"/>
      <c r="AG666" s="743">
        <f>IF(A666=0,0,ROUND(SUM(AG668:AG686)/A666,2))</f>
        <v>57.27</v>
      </c>
      <c r="AH666" s="743">
        <f>$AG666*$A666</f>
        <v>57.27</v>
      </c>
      <c r="AI666" s="743">
        <f>$E666-$AG666</f>
        <v>95.639999999999986</v>
      </c>
      <c r="AJ666" s="743">
        <f>$A666*$AI666</f>
        <v>95.639999999999986</v>
      </c>
      <c r="AK666" s="744">
        <f>ROUND(($AG666+$AI666)*$A666,2)</f>
        <v>152.91</v>
      </c>
      <c r="AM666" s="510">
        <f>ROUND(R686,2)</f>
        <v>42.42</v>
      </c>
      <c r="AN666" s="511">
        <f>ROUND(T686,2)</f>
        <v>2.58</v>
      </c>
      <c r="AO666" s="512">
        <f>ROUND(AM666+AN666,2)*A666</f>
        <v>45</v>
      </c>
    </row>
    <row r="667" spans="1:41" s="501" customFormat="1" ht="19.95" customHeight="1">
      <c r="A667" s="745"/>
      <c r="B667" s="746"/>
      <c r="C667" s="505"/>
      <c r="D667" s="724" t="s">
        <v>938</v>
      </c>
      <c r="F667" s="498"/>
      <c r="G667" s="498"/>
      <c r="H667" s="498"/>
      <c r="I667" s="716"/>
      <c r="J667" s="498"/>
      <c r="K667" s="498" t="s">
        <v>144</v>
      </c>
      <c r="L667" s="747"/>
      <c r="M667" s="498"/>
      <c r="N667" s="498"/>
      <c r="O667" s="498"/>
      <c r="P667" s="498"/>
      <c r="Q667" s="44"/>
      <c r="R667" s="567"/>
      <c r="S667" s="719"/>
      <c r="T667" s="498"/>
    </row>
    <row r="668" spans="1:41" s="501" customFormat="1" ht="12">
      <c r="A668" s="821"/>
      <c r="B668" s="822"/>
      <c r="C668" s="497"/>
      <c r="D668" s="498"/>
      <c r="E668" s="823">
        <f>F666/$C$12-SUMIF($L665:$L686,"SUBI",$E665:$E686)</f>
        <v>0</v>
      </c>
      <c r="F668" s="824" t="s">
        <v>572</v>
      </c>
      <c r="G668" s="753"/>
      <c r="H668" s="753"/>
      <c r="I668" s="754"/>
      <c r="J668" s="753"/>
      <c r="K668" s="753"/>
      <c r="L668" s="755"/>
      <c r="M668" s="756"/>
      <c r="N668" s="756"/>
      <c r="O668" s="756"/>
      <c r="P668" s="756"/>
      <c r="Q668" s="757"/>
      <c r="R668" s="758"/>
      <c r="S668" s="757"/>
      <c r="T668" s="759"/>
    </row>
    <row r="669" spans="1:41" s="501" customFormat="1" ht="12" customHeight="1">
      <c r="A669" s="760"/>
      <c r="B669" s="761"/>
      <c r="C669" s="762"/>
      <c r="D669" s="762" t="str">
        <f>$F$2</f>
        <v>Electrical</v>
      </c>
      <c r="E669" s="762">
        <f>ROUND(($R679*$S$2 + ($T679*$T$2)), 2)</f>
        <v>152.91</v>
      </c>
      <c r="F669" s="763">
        <f>$E669*$C$12</f>
        <v>152.91</v>
      </c>
      <c r="G669" s="567"/>
      <c r="H669" s="764"/>
      <c r="I669" s="567"/>
      <c r="J669" s="45"/>
      <c r="K669" s="765" t="s">
        <v>3</v>
      </c>
      <c r="L669" s="766" t="s">
        <v>573</v>
      </c>
      <c r="M669" s="567"/>
      <c r="N669" s="567"/>
      <c r="O669" s="45"/>
      <c r="P669" s="567"/>
      <c r="Q669" s="567"/>
      <c r="R669"/>
      <c r="S669"/>
      <c r="T669"/>
    </row>
    <row r="670" spans="1:41" s="893" customFormat="1" ht="13.2">
      <c r="A670"/>
      <c r="D670" s="944" t="s">
        <v>755</v>
      </c>
      <c r="G670" s="894" t="s">
        <v>749</v>
      </c>
      <c r="H670" s="895">
        <v>616</v>
      </c>
      <c r="I670" s="893" t="s">
        <v>656</v>
      </c>
      <c r="J670" s="893" t="s">
        <v>750</v>
      </c>
      <c r="O670" s="896">
        <v>2</v>
      </c>
      <c r="P670" s="897">
        <v>40767</v>
      </c>
      <c r="Q670" s="898"/>
      <c r="R670" s="899">
        <f t="shared" ref="R670:R678" si="25">$A670*Q670</f>
        <v>0</v>
      </c>
      <c r="S670" s="898"/>
      <c r="T670" s="900">
        <f t="shared" ref="T670:T678" si="26">$A670*S670*$T$1</f>
        <v>0</v>
      </c>
    </row>
    <row r="671" spans="1:41" s="893" customFormat="1" ht="13.2">
      <c r="A671">
        <v>3</v>
      </c>
      <c r="B671" s="893" t="s">
        <v>296</v>
      </c>
      <c r="D671" s="893" t="s">
        <v>1083</v>
      </c>
      <c r="F671" s="893" t="s">
        <v>1080</v>
      </c>
      <c r="G671" s="894" t="s">
        <v>1078</v>
      </c>
      <c r="H671" s="895">
        <v>616</v>
      </c>
      <c r="I671" s="893" t="s">
        <v>656</v>
      </c>
      <c r="J671" s="893" t="s">
        <v>1079</v>
      </c>
      <c r="O671" s="896">
        <v>2</v>
      </c>
      <c r="P671" s="897">
        <v>40767</v>
      </c>
      <c r="Q671" s="898">
        <v>7.15</v>
      </c>
      <c r="R671" s="899">
        <f t="shared" si="25"/>
        <v>21.450000000000003</v>
      </c>
      <c r="S671" s="898">
        <v>0.09</v>
      </c>
      <c r="T671" s="900">
        <f t="shared" si="26"/>
        <v>0.27</v>
      </c>
    </row>
    <row r="672" spans="1:41" s="893" customFormat="1" ht="13.2">
      <c r="A672" s="87">
        <v>3</v>
      </c>
      <c r="B672" s="893" t="s">
        <v>141</v>
      </c>
      <c r="D672" s="893" t="s">
        <v>743</v>
      </c>
      <c r="G672" s="894" t="s">
        <v>744</v>
      </c>
      <c r="H672" s="895">
        <v>875</v>
      </c>
      <c r="I672" s="893" t="s">
        <v>643</v>
      </c>
      <c r="K672" s="893" t="s">
        <v>745</v>
      </c>
      <c r="O672" s="896">
        <v>1</v>
      </c>
      <c r="P672" s="897">
        <v>34669</v>
      </c>
      <c r="Q672" s="898">
        <v>0.05</v>
      </c>
      <c r="R672" s="899">
        <f t="shared" si="25"/>
        <v>0.15000000000000002</v>
      </c>
      <c r="S672" s="898"/>
      <c r="T672" s="900">
        <f t="shared" si="26"/>
        <v>0</v>
      </c>
    </row>
    <row r="673" spans="1:41" s="893" customFormat="1" ht="13.2">
      <c r="A673">
        <v>2</v>
      </c>
      <c r="B673" s="893" t="s">
        <v>141</v>
      </c>
      <c r="D673" s="893" t="s">
        <v>751</v>
      </c>
      <c r="G673" s="894" t="s">
        <v>752</v>
      </c>
      <c r="H673" s="895">
        <v>620</v>
      </c>
      <c r="I673" s="893" t="s">
        <v>671</v>
      </c>
      <c r="O673" s="896">
        <v>2</v>
      </c>
      <c r="P673" s="897">
        <v>35431</v>
      </c>
      <c r="Q673" s="898">
        <v>7.66</v>
      </c>
      <c r="R673" s="899">
        <f t="shared" si="25"/>
        <v>15.32</v>
      </c>
      <c r="S673" s="898">
        <v>0.4</v>
      </c>
      <c r="T673" s="900">
        <f t="shared" si="26"/>
        <v>0.8</v>
      </c>
    </row>
    <row r="674" spans="1:41" s="893" customFormat="1" ht="13.2">
      <c r="A674">
        <v>2</v>
      </c>
      <c r="B674" s="893" t="s">
        <v>296</v>
      </c>
      <c r="D674" s="893" t="s">
        <v>672</v>
      </c>
      <c r="G674" s="894" t="s">
        <v>673</v>
      </c>
      <c r="H674" s="895">
        <v>620</v>
      </c>
      <c r="I674" s="893" t="s">
        <v>643</v>
      </c>
      <c r="O674" s="896">
        <v>2</v>
      </c>
      <c r="P674" s="897">
        <v>38148</v>
      </c>
      <c r="Q674" s="898">
        <v>1.5</v>
      </c>
      <c r="R674" s="899">
        <f t="shared" si="25"/>
        <v>3</v>
      </c>
      <c r="S674" s="898">
        <v>0.08</v>
      </c>
      <c r="T674" s="900">
        <f t="shared" si="26"/>
        <v>0.16</v>
      </c>
    </row>
    <row r="675" spans="1:41" s="893" customFormat="1" ht="13.2">
      <c r="A675">
        <v>10</v>
      </c>
      <c r="B675" s="893" t="s">
        <v>141</v>
      </c>
      <c r="D675" s="893" t="s">
        <v>1081</v>
      </c>
      <c r="G675" s="894" t="s">
        <v>1082</v>
      </c>
      <c r="H675" s="895">
        <v>620</v>
      </c>
      <c r="I675" s="893" t="s">
        <v>676</v>
      </c>
      <c r="O675" s="896">
        <v>2</v>
      </c>
      <c r="P675" s="897">
        <v>34669</v>
      </c>
      <c r="Q675" s="902">
        <v>0.25</v>
      </c>
      <c r="R675" s="899">
        <f t="shared" si="25"/>
        <v>2.5</v>
      </c>
      <c r="S675" s="898">
        <v>0.06</v>
      </c>
      <c r="T675" s="900">
        <f t="shared" si="26"/>
        <v>0.6</v>
      </c>
    </row>
    <row r="676" spans="1:41" s="893" customFormat="1" ht="13.2">
      <c r="A676">
        <v>1</v>
      </c>
      <c r="B676" s="893" t="s">
        <v>141</v>
      </c>
      <c r="D676" s="893" t="s">
        <v>658</v>
      </c>
      <c r="F676" s="893" t="s">
        <v>748</v>
      </c>
      <c r="G676" s="894" t="s">
        <v>659</v>
      </c>
      <c r="H676" s="895">
        <v>900</v>
      </c>
      <c r="I676" s="893" t="s">
        <v>660</v>
      </c>
      <c r="O676" s="896">
        <v>1</v>
      </c>
      <c r="P676" s="897"/>
      <c r="Q676" s="898"/>
      <c r="R676" s="899">
        <f t="shared" si="25"/>
        <v>0</v>
      </c>
      <c r="S676" s="898">
        <v>0.5</v>
      </c>
      <c r="T676" s="900">
        <f t="shared" si="26"/>
        <v>0.5</v>
      </c>
    </row>
    <row r="677" spans="1:41" s="893" customFormat="1" ht="13.2">
      <c r="A677">
        <v>1</v>
      </c>
      <c r="B677" s="893" t="s">
        <v>141</v>
      </c>
      <c r="D677" s="893" t="s">
        <v>658</v>
      </c>
      <c r="F677" s="893" t="s">
        <v>757</v>
      </c>
      <c r="G677" s="894" t="s">
        <v>659</v>
      </c>
      <c r="H677" s="895">
        <v>900</v>
      </c>
      <c r="I677" s="893" t="s">
        <v>660</v>
      </c>
      <c r="O677" s="896">
        <v>1</v>
      </c>
      <c r="P677" s="897"/>
      <c r="Q677" s="898"/>
      <c r="R677" s="899">
        <f t="shared" si="25"/>
        <v>0</v>
      </c>
      <c r="S677" s="898">
        <v>0.25</v>
      </c>
      <c r="T677" s="900">
        <f t="shared" si="26"/>
        <v>0.25</v>
      </c>
    </row>
    <row r="678" spans="1:41" s="501" customFormat="1" ht="13.95" customHeight="1">
      <c r="A678" s="767"/>
      <c r="B678" s="567"/>
      <c r="C678" s="567"/>
      <c r="D678" s="567"/>
      <c r="E678" s="567"/>
      <c r="F678" s="567"/>
      <c r="G678" s="567"/>
      <c r="H678" s="764"/>
      <c r="I678" s="567"/>
      <c r="J678" s="45"/>
      <c r="K678" s="769"/>
      <c r="L678" s="770"/>
      <c r="M678" s="567"/>
      <c r="N678" s="567"/>
      <c r="O678" s="45"/>
      <c r="P678" s="567"/>
      <c r="Q678" s="567"/>
      <c r="R678" s="771">
        <f t="shared" si="25"/>
        <v>0</v>
      </c>
      <c r="S678" s="567"/>
      <c r="T678" s="500">
        <f t="shared" si="26"/>
        <v>0</v>
      </c>
    </row>
    <row r="679" spans="1:41" s="501" customFormat="1" ht="12">
      <c r="A679" s="825" t="s">
        <v>145</v>
      </c>
      <c r="B679" s="826">
        <f>(R678+T678)</f>
        <v>0</v>
      </c>
      <c r="C679" s="497"/>
      <c r="G679" s="774"/>
      <c r="H679" s="774"/>
      <c r="I679" s="774"/>
      <c r="J679" s="774"/>
      <c r="K679" s="750" t="s">
        <v>3</v>
      </c>
      <c r="L679" s="775" t="s">
        <v>573</v>
      </c>
      <c r="M679" s="774"/>
      <c r="N679" s="774"/>
      <c r="O679" s="774"/>
      <c r="P679" s="774"/>
      <c r="Q679" s="776"/>
      <c r="R679" s="777">
        <f>SUM(R669:R678)</f>
        <v>42.42</v>
      </c>
      <c r="S679" s="778"/>
      <c r="T679" s="777">
        <f>SUM(T669:T678)</f>
        <v>2.58</v>
      </c>
      <c r="AG679" s="779">
        <f>ROUND($R679*$S$2,2)</f>
        <v>57.27</v>
      </c>
    </row>
    <row r="680" spans="1:41" s="501" customFormat="1" ht="12" customHeight="1">
      <c r="A680" s="800"/>
      <c r="B680" s="827"/>
      <c r="C680" s="828"/>
      <c r="D680" s="828" t="str">
        <f>$F$3</f>
        <v>Technician</v>
      </c>
      <c r="E680" s="828">
        <f>ROUND(($R684*$S$3 + ($T684*$T$3)), 2)</f>
        <v>0</v>
      </c>
      <c r="F680" s="829">
        <f ca="1">$F666-SUMIF($L668:$P677,"SUBI",$F668:$F677)</f>
        <v>0</v>
      </c>
      <c r="G680" s="499"/>
      <c r="H680" s="499"/>
      <c r="I680" s="499"/>
      <c r="J680" s="499"/>
      <c r="K680" s="765" t="s">
        <v>5</v>
      </c>
      <c r="L680" s="766" t="s">
        <v>573</v>
      </c>
      <c r="M680" s="499"/>
      <c r="N680" s="499"/>
      <c r="O680" s="499"/>
      <c r="P680" s="499"/>
      <c r="Q680" s="499"/>
      <c r="R680" s="784"/>
      <c r="S680" s="499"/>
      <c r="T680" s="784"/>
    </row>
    <row r="681" spans="1:41" s="797" customFormat="1" ht="14.4" customHeight="1">
      <c r="A681" s="785"/>
      <c r="B681" s="768" t="s">
        <v>575</v>
      </c>
      <c r="C681" s="786"/>
      <c r="D681" s="787"/>
      <c r="E681" s="787"/>
      <c r="F681" s="787"/>
      <c r="G681" s="788"/>
      <c r="H681" s="789"/>
      <c r="I681" s="789"/>
      <c r="J681" s="790"/>
      <c r="K681" s="791"/>
      <c r="L681" s="786"/>
      <c r="M681" s="792"/>
      <c r="N681" s="793"/>
      <c r="O681" s="794"/>
      <c r="P681" s="795"/>
      <c r="Q681" s="796"/>
      <c r="R681" s="771">
        <f>$A681*Q681</f>
        <v>0</v>
      </c>
      <c r="S681" s="567"/>
      <c r="T681" s="500">
        <f>$A681*S681*$T$1</f>
        <v>0</v>
      </c>
    </row>
    <row r="682" spans="1:41" s="501" customFormat="1" ht="11.4">
      <c r="A682" s="767"/>
      <c r="B682" s="567"/>
      <c r="C682" s="567"/>
      <c r="D682" s="567"/>
      <c r="E682" s="567"/>
      <c r="F682" s="567"/>
      <c r="G682" s="567"/>
      <c r="H682" s="567"/>
      <c r="I682" s="567"/>
      <c r="J682" s="567"/>
      <c r="K682" s="567"/>
      <c r="L682" s="770"/>
      <c r="M682" s="567"/>
      <c r="N682" s="567"/>
      <c r="O682" s="567"/>
      <c r="P682" s="567"/>
      <c r="Q682" s="567"/>
      <c r="R682" s="771">
        <f>$A682*Q682</f>
        <v>0</v>
      </c>
      <c r="S682" s="567"/>
      <c r="T682" s="500">
        <f>$A682*S682*$T$1</f>
        <v>0</v>
      </c>
    </row>
    <row r="683" spans="1:41" s="501" customFormat="1" ht="13.2">
      <c r="A683" s="767"/>
      <c r="B683" s="567"/>
      <c r="C683" s="567"/>
      <c r="D683" s="3"/>
      <c r="E683" s="567"/>
      <c r="F683" s="567"/>
      <c r="G683" s="567"/>
      <c r="H683" s="567"/>
      <c r="I683" s="567"/>
      <c r="J683" s="567"/>
      <c r="K683" s="567"/>
      <c r="L683" s="770"/>
      <c r="M683" s="567"/>
      <c r="N683" s="567"/>
      <c r="O683" s="567"/>
      <c r="P683" s="567"/>
      <c r="Q683" s="567"/>
      <c r="R683" s="771">
        <f>$A683*Q683</f>
        <v>0</v>
      </c>
      <c r="S683" s="567"/>
      <c r="T683" s="500">
        <f>$A683*S683*$T$1</f>
        <v>0</v>
      </c>
    </row>
    <row r="684" spans="1:41" s="501" customFormat="1" ht="12" customHeight="1">
      <c r="A684" s="772" t="s">
        <v>145</v>
      </c>
      <c r="B684" s="773">
        <f>(R683+T683)</f>
        <v>0</v>
      </c>
      <c r="C684" s="810"/>
      <c r="D684" s="810"/>
      <c r="E684" s="810"/>
      <c r="F684" s="810"/>
      <c r="G684" s="776"/>
      <c r="H684" s="776"/>
      <c r="I684" s="776"/>
      <c r="J684" s="776"/>
      <c r="K684" s="798" t="s">
        <v>5</v>
      </c>
      <c r="L684" s="811" t="s">
        <v>573</v>
      </c>
      <c r="M684" s="776"/>
      <c r="N684" s="776"/>
      <c r="O684" s="776"/>
      <c r="P684" s="776"/>
      <c r="Q684" s="776"/>
      <c r="R684" s="777">
        <f>SUM(R680:R683)</f>
        <v>0</v>
      </c>
      <c r="S684" s="778"/>
      <c r="T684" s="777">
        <f>SUM(T680:T683)</f>
        <v>0</v>
      </c>
      <c r="AG684" s="799">
        <f>ROUND($R684*$S$3,2)</f>
        <v>0</v>
      </c>
    </row>
    <row r="685" spans="1:41" s="501" customFormat="1" ht="12.75" customHeight="1">
      <c r="A685" s="813"/>
      <c r="B685" s="814"/>
      <c r="E685" s="497"/>
      <c r="F685" s="808"/>
      <c r="G685" s="497"/>
      <c r="H685" s="497"/>
      <c r="I685" s="499"/>
      <c r="J685" s="497"/>
      <c r="K685" s="497"/>
      <c r="L685" s="815"/>
      <c r="M685" s="725"/>
      <c r="N685" s="725"/>
      <c r="O685" s="725"/>
      <c r="P685" s="725"/>
      <c r="Q685" s="726"/>
      <c r="R685" s="784"/>
      <c r="S685" s="497"/>
      <c r="T685" s="784"/>
    </row>
    <row r="686" spans="1:41" s="501" customFormat="1" ht="13.5" customHeight="1" thickBot="1">
      <c r="A686" s="816"/>
      <c r="B686" s="817"/>
      <c r="C686" s="518"/>
      <c r="D686" s="518"/>
      <c r="E686" s="515"/>
      <c r="F686" s="721"/>
      <c r="G686" s="515" t="s">
        <v>146</v>
      </c>
      <c r="H686" s="515"/>
      <c r="I686" s="516"/>
      <c r="J686" s="515"/>
      <c r="K686" s="515"/>
      <c r="L686" s="818" t="s">
        <v>143</v>
      </c>
      <c r="M686" s="517"/>
      <c r="N686" s="517"/>
      <c r="O686" s="517"/>
      <c r="P686" s="517"/>
      <c r="Q686" s="722"/>
      <c r="R686" s="819">
        <f>SUMIF($L667:$L685,"SUBI",R667:R685)</f>
        <v>42.42</v>
      </c>
      <c r="S686" s="515"/>
      <c r="T686" s="819">
        <f>SUMIF($L667:$L685,"SUBI",T667:T685)</f>
        <v>2.58</v>
      </c>
      <c r="U686" s="518"/>
      <c r="V686" s="518"/>
      <c r="W686" s="518"/>
      <c r="X686" s="518"/>
      <c r="Y686" s="518"/>
      <c r="Z686" s="518"/>
      <c r="AA686" s="518"/>
      <c r="AB686" s="518"/>
      <c r="AC686" s="518"/>
      <c r="AD686" s="518"/>
      <c r="AE686" s="518"/>
      <c r="AF686" s="518"/>
      <c r="AG686" s="518"/>
      <c r="AH686" s="518"/>
      <c r="AI686" s="518"/>
      <c r="AJ686" s="518"/>
      <c r="AK686" s="518"/>
      <c r="AL686" s="518"/>
      <c r="AM686" s="518"/>
      <c r="AN686" s="518"/>
      <c r="AO686" s="518"/>
    </row>
    <row r="687" spans="1:41" s="501" customFormat="1" thickTop="1">
      <c r="A687" s="44"/>
      <c r="B687" s="39"/>
      <c r="C687" s="44"/>
      <c r="E687" s="40" t="s">
        <v>138</v>
      </c>
      <c r="F687" s="40" t="s">
        <v>139</v>
      </c>
      <c r="G687" s="44"/>
      <c r="H687" s="44"/>
      <c r="I687" s="44"/>
      <c r="J687" s="44"/>
      <c r="K687" s="44" t="s">
        <v>140</v>
      </c>
      <c r="L687" s="737"/>
      <c r="M687" s="44"/>
      <c r="N687" s="44"/>
      <c r="O687" s="45"/>
      <c r="P687" s="44"/>
      <c r="Q687"/>
      <c r="R687"/>
      <c r="S687"/>
      <c r="T687" s="39"/>
      <c r="AG687" s="502" t="s">
        <v>247</v>
      </c>
      <c r="AH687" s="502" t="s">
        <v>248</v>
      </c>
      <c r="AI687" s="502" t="s">
        <v>249</v>
      </c>
      <c r="AJ687" s="502" t="s">
        <v>250</v>
      </c>
      <c r="AK687" s="502" t="s">
        <v>251</v>
      </c>
      <c r="AM687" s="710" t="s">
        <v>260</v>
      </c>
      <c r="AN687" s="711" t="s">
        <v>261</v>
      </c>
      <c r="AO687" s="503" t="s">
        <v>257</v>
      </c>
    </row>
    <row r="688" spans="1:41" s="501" customFormat="1" ht="13.2">
      <c r="A688" s="712">
        <v>1</v>
      </c>
      <c r="B688" s="504" t="s">
        <v>141</v>
      </c>
      <c r="C688" s="505"/>
      <c r="D688" s="713" t="s">
        <v>954</v>
      </c>
      <c r="E688" s="738">
        <f>IF(AND($A688=0,$A$1="DIF"),0, ROUND(ROUND(SUMIF($L690:$L702,"SUBI",$E690:$E702)/$A688,2)*$C$12,2))</f>
        <v>152.91</v>
      </c>
      <c r="F688" s="739">
        <f>ROUND($A688*$E688,2)</f>
        <v>152.91</v>
      </c>
      <c r="G688" s="506" t="s">
        <v>142</v>
      </c>
      <c r="H688" s="498"/>
      <c r="I688" s="716"/>
      <c r="J688" s="498"/>
      <c r="K688" s="740"/>
      <c r="L688" s="741" t="s">
        <v>143</v>
      </c>
      <c r="M688" s="717"/>
      <c r="N688" s="717"/>
      <c r="O688" s="717"/>
      <c r="P688" s="717"/>
      <c r="Q688"/>
      <c r="R688"/>
      <c r="S688"/>
      <c r="T688" s="742" t="str">
        <f>IF(AND($R708=0,$T708=0),"0.00","mu :" &amp; ROUND($F688/$C$12/($R708+$T708*$D$9),2))</f>
        <v>mu :1.35</v>
      </c>
      <c r="W688" s="507"/>
      <c r="AG688" s="743">
        <f>IF(A688=0,0,ROUND(SUM(AG690:AG708)/A688,2))</f>
        <v>57.27</v>
      </c>
      <c r="AH688" s="743">
        <f>$AG688*$A688</f>
        <v>57.27</v>
      </c>
      <c r="AI688" s="743">
        <f>$E688-$AG688</f>
        <v>95.639999999999986</v>
      </c>
      <c r="AJ688" s="743">
        <f>$A688*$AI688</f>
        <v>95.639999999999986</v>
      </c>
      <c r="AK688" s="744">
        <f>ROUND(($AG688+$AI688)*$A688,2)</f>
        <v>152.91</v>
      </c>
      <c r="AM688" s="510">
        <f>ROUND(R708,2)</f>
        <v>42.42</v>
      </c>
      <c r="AN688" s="511">
        <f>ROUND(T708,2)</f>
        <v>2.58</v>
      </c>
      <c r="AO688" s="512">
        <f>ROUND(AM688+AN688,2)*A688</f>
        <v>45</v>
      </c>
    </row>
    <row r="689" spans="1:33" s="501" customFormat="1" ht="19.95" customHeight="1">
      <c r="A689" s="745"/>
      <c r="B689" s="746"/>
      <c r="C689" s="505"/>
      <c r="D689" s="724" t="s">
        <v>939</v>
      </c>
      <c r="F689" s="498"/>
      <c r="G689" s="498"/>
      <c r="H689" s="498"/>
      <c r="I689" s="716"/>
      <c r="J689" s="498"/>
      <c r="K689" s="498" t="s">
        <v>144</v>
      </c>
      <c r="L689" s="747"/>
      <c r="M689" s="498"/>
      <c r="N689" s="498"/>
      <c r="O689" s="498"/>
      <c r="P689" s="498"/>
      <c r="Q689" s="44"/>
      <c r="R689" s="567"/>
      <c r="S689" s="719"/>
      <c r="T689" s="498"/>
    </row>
    <row r="690" spans="1:33" s="501" customFormat="1" ht="12">
      <c r="A690" s="821"/>
      <c r="B690" s="822"/>
      <c r="C690" s="497"/>
      <c r="D690" s="498"/>
      <c r="E690" s="823">
        <f>F688/$C$12-SUMIF($L687:$L708,"SUBI",$E687:$E708)</f>
        <v>0</v>
      </c>
      <c r="F690" s="824" t="s">
        <v>572</v>
      </c>
      <c r="G690" s="753"/>
      <c r="H690" s="753"/>
      <c r="I690" s="754"/>
      <c r="J690" s="753"/>
      <c r="K690" s="753"/>
      <c r="L690" s="755"/>
      <c r="M690" s="756"/>
      <c r="N690" s="756"/>
      <c r="O690" s="756"/>
      <c r="P690" s="756"/>
      <c r="Q690" s="757"/>
      <c r="R690" s="758"/>
      <c r="S690" s="757"/>
      <c r="T690" s="759"/>
    </row>
    <row r="691" spans="1:33" s="501" customFormat="1" ht="12" customHeight="1">
      <c r="A691" s="760"/>
      <c r="B691" s="761"/>
      <c r="C691" s="762"/>
      <c r="D691" s="762" t="str">
        <f>$F$2</f>
        <v>Electrical</v>
      </c>
      <c r="E691" s="762">
        <f>ROUND(($R701*$S$2 + ($T701*$T$2)), 2)</f>
        <v>152.91</v>
      </c>
      <c r="F691" s="763">
        <f>$E691*$C$12</f>
        <v>152.91</v>
      </c>
      <c r="G691" s="567"/>
      <c r="H691" s="764"/>
      <c r="I691" s="567"/>
      <c r="J691" s="45"/>
      <c r="K691" s="765" t="s">
        <v>3</v>
      </c>
      <c r="L691" s="766" t="s">
        <v>573</v>
      </c>
      <c r="M691" s="567"/>
      <c r="N691" s="567"/>
      <c r="O691" s="45"/>
      <c r="P691" s="567"/>
      <c r="Q691" s="567"/>
      <c r="R691"/>
      <c r="S691"/>
      <c r="T691"/>
    </row>
    <row r="692" spans="1:33" s="893" customFormat="1" ht="13.2">
      <c r="A692"/>
      <c r="D692" s="944" t="s">
        <v>755</v>
      </c>
      <c r="G692" s="894" t="s">
        <v>749</v>
      </c>
      <c r="H692" s="895">
        <v>616</v>
      </c>
      <c r="I692" s="893" t="s">
        <v>656</v>
      </c>
      <c r="J692" s="893" t="s">
        <v>750</v>
      </c>
      <c r="O692" s="896">
        <v>2</v>
      </c>
      <c r="P692" s="897">
        <v>40767</v>
      </c>
      <c r="Q692" s="898"/>
      <c r="R692" s="899">
        <f t="shared" ref="R692:R700" si="27">$A692*Q692</f>
        <v>0</v>
      </c>
      <c r="S692" s="898"/>
      <c r="T692" s="900">
        <f t="shared" ref="T692:T700" si="28">$A692*S692*$T$1</f>
        <v>0</v>
      </c>
    </row>
    <row r="693" spans="1:33" s="893" customFormat="1" ht="13.2">
      <c r="A693">
        <v>3</v>
      </c>
      <c r="B693" s="893" t="s">
        <v>296</v>
      </c>
      <c r="D693" s="893" t="s">
        <v>1083</v>
      </c>
      <c r="F693" s="893" t="s">
        <v>1080</v>
      </c>
      <c r="G693" s="894" t="s">
        <v>1078</v>
      </c>
      <c r="H693" s="895">
        <v>616</v>
      </c>
      <c r="I693" s="893" t="s">
        <v>656</v>
      </c>
      <c r="J693" s="893" t="s">
        <v>1079</v>
      </c>
      <c r="O693" s="896">
        <v>2</v>
      </c>
      <c r="P693" s="897">
        <v>40767</v>
      </c>
      <c r="Q693" s="898">
        <v>7.15</v>
      </c>
      <c r="R693" s="899">
        <f t="shared" si="27"/>
        <v>21.450000000000003</v>
      </c>
      <c r="S693" s="898">
        <v>0.09</v>
      </c>
      <c r="T693" s="900">
        <f t="shared" si="28"/>
        <v>0.27</v>
      </c>
    </row>
    <row r="694" spans="1:33" s="893" customFormat="1" ht="13.2">
      <c r="A694" s="87">
        <v>3</v>
      </c>
      <c r="B694" s="893" t="s">
        <v>141</v>
      </c>
      <c r="D694" s="893" t="s">
        <v>743</v>
      </c>
      <c r="G694" s="894" t="s">
        <v>744</v>
      </c>
      <c r="H694" s="895">
        <v>875</v>
      </c>
      <c r="I694" s="893" t="s">
        <v>643</v>
      </c>
      <c r="K694" s="893" t="s">
        <v>745</v>
      </c>
      <c r="O694" s="896">
        <v>1</v>
      </c>
      <c r="P694" s="897">
        <v>34669</v>
      </c>
      <c r="Q694" s="898">
        <v>0.05</v>
      </c>
      <c r="R694" s="899">
        <f t="shared" si="27"/>
        <v>0.15000000000000002</v>
      </c>
      <c r="S694" s="898"/>
      <c r="T694" s="900">
        <f t="shared" si="28"/>
        <v>0</v>
      </c>
    </row>
    <row r="695" spans="1:33" s="893" customFormat="1" ht="13.2">
      <c r="A695">
        <v>2</v>
      </c>
      <c r="B695" s="893" t="s">
        <v>141</v>
      </c>
      <c r="D695" s="893" t="s">
        <v>751</v>
      </c>
      <c r="G695" s="894" t="s">
        <v>752</v>
      </c>
      <c r="H695" s="895">
        <v>620</v>
      </c>
      <c r="I695" s="893" t="s">
        <v>671</v>
      </c>
      <c r="O695" s="896">
        <v>2</v>
      </c>
      <c r="P695" s="897">
        <v>35431</v>
      </c>
      <c r="Q695" s="898">
        <v>7.66</v>
      </c>
      <c r="R695" s="899">
        <f t="shared" si="27"/>
        <v>15.32</v>
      </c>
      <c r="S695" s="898">
        <v>0.4</v>
      </c>
      <c r="T695" s="900">
        <f t="shared" si="28"/>
        <v>0.8</v>
      </c>
    </row>
    <row r="696" spans="1:33" s="893" customFormat="1" ht="13.2">
      <c r="A696">
        <v>2</v>
      </c>
      <c r="B696" s="893" t="s">
        <v>296</v>
      </c>
      <c r="D696" s="893" t="s">
        <v>672</v>
      </c>
      <c r="G696" s="894" t="s">
        <v>673</v>
      </c>
      <c r="H696" s="895">
        <v>620</v>
      </c>
      <c r="I696" s="893" t="s">
        <v>643</v>
      </c>
      <c r="O696" s="896">
        <v>2</v>
      </c>
      <c r="P696" s="897">
        <v>38148</v>
      </c>
      <c r="Q696" s="898">
        <v>1.5</v>
      </c>
      <c r="R696" s="899">
        <f t="shared" si="27"/>
        <v>3</v>
      </c>
      <c r="S696" s="898">
        <v>0.08</v>
      </c>
      <c r="T696" s="900">
        <f t="shared" si="28"/>
        <v>0.16</v>
      </c>
    </row>
    <row r="697" spans="1:33" s="893" customFormat="1" ht="13.2">
      <c r="A697">
        <v>10</v>
      </c>
      <c r="B697" s="893" t="s">
        <v>141</v>
      </c>
      <c r="D697" s="893" t="s">
        <v>1081</v>
      </c>
      <c r="G697" s="894" t="s">
        <v>1082</v>
      </c>
      <c r="H697" s="895">
        <v>620</v>
      </c>
      <c r="I697" s="893" t="s">
        <v>676</v>
      </c>
      <c r="O697" s="896">
        <v>2</v>
      </c>
      <c r="P697" s="897">
        <v>34669</v>
      </c>
      <c r="Q697" s="902">
        <v>0.25</v>
      </c>
      <c r="R697" s="899">
        <f t="shared" si="27"/>
        <v>2.5</v>
      </c>
      <c r="S697" s="898">
        <v>0.06</v>
      </c>
      <c r="T697" s="900">
        <f t="shared" si="28"/>
        <v>0.6</v>
      </c>
    </row>
    <row r="698" spans="1:33" s="893" customFormat="1" ht="13.2">
      <c r="A698">
        <v>1</v>
      </c>
      <c r="B698" s="893" t="s">
        <v>141</v>
      </c>
      <c r="D698" s="893" t="s">
        <v>658</v>
      </c>
      <c r="F698" s="893" t="s">
        <v>748</v>
      </c>
      <c r="G698" s="894" t="s">
        <v>659</v>
      </c>
      <c r="H698" s="895">
        <v>900</v>
      </c>
      <c r="I698" s="893" t="s">
        <v>660</v>
      </c>
      <c r="O698" s="896">
        <v>1</v>
      </c>
      <c r="P698" s="897"/>
      <c r="Q698" s="898"/>
      <c r="R698" s="899">
        <f t="shared" si="27"/>
        <v>0</v>
      </c>
      <c r="S698" s="898">
        <v>0.5</v>
      </c>
      <c r="T698" s="900">
        <f t="shared" si="28"/>
        <v>0.5</v>
      </c>
    </row>
    <row r="699" spans="1:33" s="893" customFormat="1" ht="13.2">
      <c r="A699">
        <v>1</v>
      </c>
      <c r="B699" s="893" t="s">
        <v>141</v>
      </c>
      <c r="D699" s="893" t="s">
        <v>658</v>
      </c>
      <c r="F699" s="893" t="s">
        <v>757</v>
      </c>
      <c r="G699" s="894" t="s">
        <v>659</v>
      </c>
      <c r="H699" s="895">
        <v>900</v>
      </c>
      <c r="I699" s="893" t="s">
        <v>660</v>
      </c>
      <c r="O699" s="896">
        <v>1</v>
      </c>
      <c r="P699" s="897"/>
      <c r="Q699" s="898"/>
      <c r="R699" s="899">
        <f t="shared" si="27"/>
        <v>0</v>
      </c>
      <c r="S699" s="898">
        <v>0.25</v>
      </c>
      <c r="T699" s="900">
        <f t="shared" si="28"/>
        <v>0.25</v>
      </c>
    </row>
    <row r="700" spans="1:33" s="501" customFormat="1" ht="13.95" customHeight="1">
      <c r="A700" s="767"/>
      <c r="B700" s="567"/>
      <c r="C700" s="567"/>
      <c r="D700" s="567"/>
      <c r="E700" s="567"/>
      <c r="F700" s="567"/>
      <c r="G700" s="567"/>
      <c r="H700" s="764"/>
      <c r="I700" s="567"/>
      <c r="J700" s="45"/>
      <c r="K700" s="769"/>
      <c r="L700" s="770"/>
      <c r="M700" s="567"/>
      <c r="N700" s="567"/>
      <c r="O700" s="45"/>
      <c r="P700" s="567"/>
      <c r="Q700" s="567"/>
      <c r="R700" s="771">
        <f t="shared" si="27"/>
        <v>0</v>
      </c>
      <c r="S700" s="567"/>
      <c r="T700" s="500">
        <f t="shared" si="28"/>
        <v>0</v>
      </c>
    </row>
    <row r="701" spans="1:33" s="501" customFormat="1" ht="12">
      <c r="A701" s="825" t="s">
        <v>145</v>
      </c>
      <c r="B701" s="826">
        <f>(R700+T700)</f>
        <v>0</v>
      </c>
      <c r="C701" s="497"/>
      <c r="G701" s="774"/>
      <c r="H701" s="774"/>
      <c r="I701" s="774"/>
      <c r="J701" s="774"/>
      <c r="K701" s="750" t="s">
        <v>3</v>
      </c>
      <c r="L701" s="775" t="s">
        <v>573</v>
      </c>
      <c r="M701" s="774"/>
      <c r="N701" s="774"/>
      <c r="O701" s="774"/>
      <c r="P701" s="774"/>
      <c r="Q701" s="776"/>
      <c r="R701" s="777">
        <f>SUM(R691:R700)</f>
        <v>42.42</v>
      </c>
      <c r="S701" s="778"/>
      <c r="T701" s="777">
        <f>SUM(T691:T700)</f>
        <v>2.58</v>
      </c>
      <c r="AG701" s="779">
        <f>ROUND($R701*$S$2,2)</f>
        <v>57.27</v>
      </c>
    </row>
    <row r="702" spans="1:33" s="501" customFormat="1" ht="12" customHeight="1">
      <c r="A702" s="800"/>
      <c r="B702" s="827"/>
      <c r="C702" s="828"/>
      <c r="D702" s="828" t="str">
        <f>$F$3</f>
        <v>Technician</v>
      </c>
      <c r="E702" s="828">
        <f>ROUND(($R706*$S$3 + ($T706*$T$3)), 2)</f>
        <v>0</v>
      </c>
      <c r="F702" s="829">
        <f ca="1">$F688-SUMIF($L690:$P699,"SUBI",$F690:$F699)</f>
        <v>0</v>
      </c>
      <c r="G702" s="499"/>
      <c r="H702" s="499"/>
      <c r="I702" s="499"/>
      <c r="J702" s="499"/>
      <c r="K702" s="765" t="s">
        <v>5</v>
      </c>
      <c r="L702" s="766" t="s">
        <v>573</v>
      </c>
      <c r="M702" s="499"/>
      <c r="N702" s="499"/>
      <c r="O702" s="499"/>
      <c r="P702" s="499"/>
      <c r="Q702" s="499"/>
      <c r="R702" s="784"/>
      <c r="S702" s="499"/>
      <c r="T702" s="784"/>
    </row>
    <row r="703" spans="1:33" s="797" customFormat="1" ht="14.4" customHeight="1">
      <c r="A703" s="785"/>
      <c r="B703" s="768" t="s">
        <v>575</v>
      </c>
      <c r="C703" s="786"/>
      <c r="D703" s="787"/>
      <c r="E703" s="787"/>
      <c r="F703" s="787"/>
      <c r="G703" s="788"/>
      <c r="H703" s="789"/>
      <c r="I703" s="789"/>
      <c r="J703" s="790"/>
      <c r="K703" s="791"/>
      <c r="L703" s="786"/>
      <c r="M703" s="792"/>
      <c r="N703" s="793"/>
      <c r="O703" s="794"/>
      <c r="P703" s="795"/>
      <c r="Q703" s="796"/>
      <c r="R703" s="771">
        <f>$A703*Q703</f>
        <v>0</v>
      </c>
      <c r="S703" s="567"/>
      <c r="T703" s="500">
        <f>$A703*S703*$T$1</f>
        <v>0</v>
      </c>
    </row>
    <row r="704" spans="1:33" s="501" customFormat="1" ht="11.4">
      <c r="A704" s="767"/>
      <c r="B704" s="567"/>
      <c r="C704" s="567"/>
      <c r="D704" s="567"/>
      <c r="E704" s="567"/>
      <c r="F704" s="567"/>
      <c r="G704" s="567"/>
      <c r="H704" s="567"/>
      <c r="I704" s="567"/>
      <c r="J704" s="567"/>
      <c r="K704" s="567"/>
      <c r="L704" s="770"/>
      <c r="M704" s="567"/>
      <c r="N704" s="567"/>
      <c r="O704" s="567"/>
      <c r="P704" s="567"/>
      <c r="Q704" s="567"/>
      <c r="R704" s="771">
        <f>$A704*Q704</f>
        <v>0</v>
      </c>
      <c r="S704" s="567"/>
      <c r="T704" s="500">
        <f>$A704*S704*$T$1</f>
        <v>0</v>
      </c>
    </row>
    <row r="705" spans="1:41" s="501" customFormat="1" ht="13.2">
      <c r="A705" s="767"/>
      <c r="B705" s="567"/>
      <c r="C705" s="567"/>
      <c r="D705" s="3"/>
      <c r="E705" s="567"/>
      <c r="F705" s="567"/>
      <c r="G705" s="567"/>
      <c r="H705" s="567"/>
      <c r="I705" s="567"/>
      <c r="J705" s="567"/>
      <c r="K705" s="567"/>
      <c r="L705" s="770"/>
      <c r="M705" s="567"/>
      <c r="N705" s="567"/>
      <c r="O705" s="567"/>
      <c r="P705" s="567"/>
      <c r="Q705" s="567"/>
      <c r="R705" s="771">
        <f>$A705*Q705</f>
        <v>0</v>
      </c>
      <c r="S705" s="567"/>
      <c r="T705" s="500">
        <f>$A705*S705*$T$1</f>
        <v>0</v>
      </c>
    </row>
    <row r="706" spans="1:41" s="501" customFormat="1" ht="12" customHeight="1">
      <c r="A706" s="772" t="s">
        <v>145</v>
      </c>
      <c r="B706" s="773">
        <f>(R705+T705)</f>
        <v>0</v>
      </c>
      <c r="C706" s="810"/>
      <c r="D706" s="810"/>
      <c r="E706" s="810"/>
      <c r="F706" s="810"/>
      <c r="G706" s="776"/>
      <c r="H706" s="776"/>
      <c r="I706" s="776"/>
      <c r="J706" s="776"/>
      <c r="K706" s="798" t="s">
        <v>5</v>
      </c>
      <c r="L706" s="811" t="s">
        <v>573</v>
      </c>
      <c r="M706" s="776"/>
      <c r="N706" s="776"/>
      <c r="O706" s="776"/>
      <c r="P706" s="776"/>
      <c r="Q706" s="776"/>
      <c r="R706" s="777">
        <f>SUM(R702:R705)</f>
        <v>0</v>
      </c>
      <c r="S706" s="778"/>
      <c r="T706" s="777">
        <f>SUM(T702:T705)</f>
        <v>0</v>
      </c>
      <c r="AG706" s="799">
        <f>ROUND($R706*$S$3,2)</f>
        <v>0</v>
      </c>
    </row>
    <row r="707" spans="1:41" s="501" customFormat="1" ht="12.75" customHeight="1">
      <c r="A707" s="813"/>
      <c r="B707" s="814"/>
      <c r="E707" s="497"/>
      <c r="F707" s="808"/>
      <c r="G707" s="497"/>
      <c r="H707" s="497"/>
      <c r="I707" s="499"/>
      <c r="J707" s="497"/>
      <c r="K707" s="497"/>
      <c r="L707" s="815"/>
      <c r="M707" s="725"/>
      <c r="N707" s="725"/>
      <c r="O707" s="725"/>
      <c r="P707" s="725"/>
      <c r="Q707" s="726"/>
      <c r="R707" s="784"/>
      <c r="S707" s="497"/>
      <c r="T707" s="784"/>
    </row>
    <row r="708" spans="1:41" s="501" customFormat="1" ht="13.5" customHeight="1" thickBot="1">
      <c r="A708" s="816"/>
      <c r="B708" s="817"/>
      <c r="C708" s="518"/>
      <c r="D708" s="518"/>
      <c r="E708" s="515"/>
      <c r="F708" s="721"/>
      <c r="G708" s="515" t="s">
        <v>146</v>
      </c>
      <c r="H708" s="515"/>
      <c r="I708" s="516"/>
      <c r="J708" s="515"/>
      <c r="K708" s="515"/>
      <c r="L708" s="818" t="s">
        <v>143</v>
      </c>
      <c r="M708" s="517"/>
      <c r="N708" s="517"/>
      <c r="O708" s="517"/>
      <c r="P708" s="517"/>
      <c r="Q708" s="722"/>
      <c r="R708" s="819">
        <f>SUMIF($L689:$L707,"SUBI",R689:R707)</f>
        <v>42.42</v>
      </c>
      <c r="S708" s="515"/>
      <c r="T708" s="819">
        <f>SUMIF($L689:$L707,"SUBI",T689:T707)</f>
        <v>2.58</v>
      </c>
      <c r="U708" s="518"/>
      <c r="V708" s="518"/>
      <c r="W708" s="518"/>
      <c r="X708" s="518"/>
      <c r="Y708" s="518"/>
      <c r="Z708" s="518"/>
      <c r="AA708" s="518"/>
      <c r="AB708" s="518"/>
      <c r="AC708" s="518"/>
      <c r="AD708" s="518"/>
      <c r="AE708" s="518"/>
      <c r="AF708" s="518"/>
      <c r="AG708" s="518"/>
      <c r="AH708" s="518"/>
      <c r="AI708" s="518"/>
      <c r="AJ708" s="518"/>
      <c r="AK708" s="518"/>
      <c r="AL708" s="518"/>
      <c r="AM708" s="518"/>
      <c r="AN708" s="518"/>
      <c r="AO708" s="518"/>
    </row>
    <row r="709" spans="1:41" s="501" customFormat="1" thickTop="1">
      <c r="A709" s="44"/>
      <c r="B709" s="44"/>
      <c r="C709" s="3"/>
      <c r="D709" s="3"/>
      <c r="E709" s="44"/>
      <c r="F709" s="44"/>
      <c r="G709" s="44"/>
      <c r="H709" s="44"/>
      <c r="I709" s="44"/>
      <c r="J709" s="44"/>
      <c r="K709" s="44" t="s">
        <v>134</v>
      </c>
      <c r="L709" s="44"/>
      <c r="M709" s="44"/>
      <c r="N709" s="44"/>
      <c r="O709" s="45"/>
      <c r="P709" s="44"/>
      <c r="Q709" s="44"/>
      <c r="R709" s="44"/>
      <c r="S709" s="44"/>
      <c r="T709" s="44"/>
    </row>
    <row r="710" spans="1:41" s="501" customFormat="1" ht="12">
      <c r="A710" s="44"/>
      <c r="B710" s="44"/>
      <c r="C710" s="44" t="s">
        <v>135</v>
      </c>
      <c r="D710" s="35" t="s">
        <v>136</v>
      </c>
      <c r="E710" s="44"/>
      <c r="F710" s="44"/>
      <c r="G710" s="44"/>
      <c r="H710" s="44"/>
      <c r="I710" s="44"/>
      <c r="J710" s="44"/>
      <c r="K710" s="44"/>
      <c r="L710" s="44"/>
      <c r="M710" s="44"/>
      <c r="N710" s="44"/>
      <c r="O710" s="45"/>
      <c r="P710" s="44"/>
      <c r="Q710" s="44"/>
      <c r="R710" s="44"/>
      <c r="S710" s="44"/>
      <c r="T710" s="44"/>
    </row>
    <row r="711" spans="1:41" s="501" customFormat="1" ht="12">
      <c r="A711" s="44"/>
      <c r="B711" s="44"/>
      <c r="C711" s="44"/>
      <c r="D711" s="35" t="s">
        <v>372</v>
      </c>
      <c r="E711" s="44"/>
      <c r="F711" s="44"/>
      <c r="G711" s="44"/>
      <c r="H711" s="44"/>
      <c r="I711" s="44"/>
      <c r="J711" s="44"/>
      <c r="K711" s="44"/>
      <c r="L711" s="44"/>
      <c r="M711" s="44"/>
      <c r="N711" s="44"/>
      <c r="O711" s="45"/>
      <c r="P711" s="44"/>
      <c r="Q711" s="44"/>
      <c r="R711" s="44"/>
      <c r="S711" s="36"/>
      <c r="T711" s="36"/>
    </row>
    <row r="712" spans="1:41" s="3" customFormat="1" thickBot="1">
      <c r="A712" s="518"/>
      <c r="D712" s="35" t="s">
        <v>332</v>
      </c>
      <c r="O712" s="86"/>
    </row>
    <row r="713" spans="1:41" s="501" customFormat="1" thickTop="1">
      <c r="A713" s="44"/>
      <c r="B713" s="44"/>
      <c r="C713" s="3"/>
      <c r="D713" s="3"/>
      <c r="E713" s="44"/>
      <c r="F713" s="44"/>
      <c r="G713" s="44"/>
      <c r="H713" s="44"/>
      <c r="I713" s="44"/>
      <c r="J713" s="44"/>
      <c r="K713" s="44" t="s">
        <v>134</v>
      </c>
      <c r="L713" s="44"/>
      <c r="M713" s="44"/>
      <c r="N713" s="44"/>
      <c r="O713" s="45"/>
      <c r="P713" s="44"/>
      <c r="Q713" s="44"/>
      <c r="R713" s="44"/>
      <c r="S713" s="44"/>
      <c r="T713" s="44"/>
    </row>
    <row r="714" spans="1:41" s="501" customFormat="1" ht="12">
      <c r="A714" s="44"/>
      <c r="B714" s="44"/>
      <c r="C714" s="44" t="s">
        <v>135</v>
      </c>
      <c r="D714" s="35" t="s">
        <v>136</v>
      </c>
      <c r="E714" s="44"/>
      <c r="F714" s="44"/>
      <c r="G714" s="44"/>
      <c r="H714" s="44"/>
      <c r="I714" s="44"/>
      <c r="J714" s="44"/>
      <c r="K714" s="44"/>
      <c r="L714" s="44"/>
      <c r="M714" s="44"/>
      <c r="N714" s="44"/>
      <c r="O714" s="45"/>
      <c r="P714" s="44"/>
      <c r="Q714" s="44"/>
      <c r="R714" s="44"/>
      <c r="S714" s="44"/>
      <c r="T714" s="44"/>
    </row>
    <row r="715" spans="1:41" s="501" customFormat="1" ht="12">
      <c r="A715" s="44"/>
      <c r="B715" s="44"/>
      <c r="C715" s="44"/>
      <c r="D715" s="35" t="s">
        <v>940</v>
      </c>
      <c r="E715" s="44"/>
      <c r="F715" s="44"/>
      <c r="G715" s="44"/>
      <c r="H715" s="44"/>
      <c r="I715" s="44"/>
      <c r="J715" s="44"/>
      <c r="K715" s="44"/>
      <c r="L715" s="44"/>
      <c r="M715" s="44"/>
      <c r="N715" s="44"/>
      <c r="O715" s="45"/>
      <c r="P715" s="44"/>
      <c r="Q715" s="44"/>
      <c r="R715" s="44"/>
      <c r="S715" s="36"/>
      <c r="T715" s="36"/>
    </row>
    <row r="716" spans="1:41" s="3" customFormat="1" thickBot="1">
      <c r="A716" s="518"/>
      <c r="O716" s="86"/>
    </row>
    <row r="717" spans="1:41" s="501" customFormat="1" thickTop="1">
      <c r="A717" s="44"/>
      <c r="B717" s="39"/>
      <c r="C717" s="44"/>
      <c r="E717" s="40" t="s">
        <v>138</v>
      </c>
      <c r="F717" s="40" t="s">
        <v>139</v>
      </c>
      <c r="G717" s="44"/>
      <c r="H717" s="44"/>
      <c r="I717" s="44"/>
      <c r="J717" s="44"/>
      <c r="K717" s="44" t="s">
        <v>140</v>
      </c>
      <c r="L717" s="737"/>
      <c r="M717" s="44"/>
      <c r="N717" s="44"/>
      <c r="O717" s="45"/>
      <c r="P717" s="44"/>
      <c r="Q717"/>
      <c r="R717" s="943" t="s">
        <v>1091</v>
      </c>
      <c r="S717"/>
      <c r="T717" s="39"/>
      <c r="AG717" s="502" t="s">
        <v>247</v>
      </c>
      <c r="AH717" s="502" t="s">
        <v>248</v>
      </c>
      <c r="AI717" s="502" t="s">
        <v>249</v>
      </c>
      <c r="AJ717" s="502" t="s">
        <v>250</v>
      </c>
      <c r="AK717" s="502" t="s">
        <v>251</v>
      </c>
      <c r="AM717" s="710" t="s">
        <v>260</v>
      </c>
      <c r="AN717" s="711" t="s">
        <v>261</v>
      </c>
      <c r="AO717" s="503" t="s">
        <v>257</v>
      </c>
    </row>
    <row r="718" spans="1:41" s="501" customFormat="1" ht="13.2">
      <c r="A718" s="712">
        <v>3</v>
      </c>
      <c r="B718" s="504" t="s">
        <v>141</v>
      </c>
      <c r="C718" s="505"/>
      <c r="D718" s="713" t="s">
        <v>603</v>
      </c>
      <c r="E718" s="738">
        <f>IF(AND($A718=0,$A$1="DIF"),0, ROUND(ROUND(SUMIF($L720:$L737,"SUBI",$E720:$E737)/$A718,2)*$C$12,2))</f>
        <v>777.51</v>
      </c>
      <c r="F718" s="739">
        <f>ROUND($A718*$E718,2)</f>
        <v>2332.5300000000002</v>
      </c>
      <c r="G718" s="506" t="s">
        <v>142</v>
      </c>
      <c r="H718" s="498"/>
      <c r="I718" s="716"/>
      <c r="J718" s="498"/>
      <c r="K718" s="740"/>
      <c r="L718" s="741" t="s">
        <v>143</v>
      </c>
      <c r="M718" s="717"/>
      <c r="N718" s="717"/>
      <c r="O718" s="717"/>
      <c r="P718" s="717"/>
      <c r="Q718"/>
      <c r="R718" s="943" t="s">
        <v>1092</v>
      </c>
      <c r="S718"/>
      <c r="T718" s="742" t="str">
        <f>IF(AND($R743=0,$T743=0),"0.00","mu :" &amp; ROUND($F718/$C$12/($R743+$T743*$D$9),2))</f>
        <v>mu :1.35</v>
      </c>
      <c r="W718" s="507"/>
      <c r="AG718" s="743">
        <f>IF(A718=0,0,ROUND(SUM(AG720:AG743)/A718,2))</f>
        <v>384.55</v>
      </c>
      <c r="AH718" s="743">
        <f>$AG718*$A718</f>
        <v>1153.6500000000001</v>
      </c>
      <c r="AI718" s="743">
        <f>$E718-$AG718</f>
        <v>392.96</v>
      </c>
      <c r="AJ718" s="743">
        <f>$A718*$AI718</f>
        <v>1178.8799999999999</v>
      </c>
      <c r="AK718" s="744">
        <f>ROUND(($AG718+$AI718)*$A718,2)</f>
        <v>2332.5300000000002</v>
      </c>
      <c r="AM718" s="510">
        <f>ROUND(R743,2)</f>
        <v>854.57</v>
      </c>
      <c r="AN718" s="511">
        <f>ROUND(T743,2)</f>
        <v>31.8</v>
      </c>
      <c r="AO718" s="512">
        <f>ROUND(AM718+AN718,2)*A718</f>
        <v>2659.11</v>
      </c>
    </row>
    <row r="719" spans="1:41" s="501" customFormat="1" ht="19.95" customHeight="1">
      <c r="A719" s="745"/>
      <c r="B719" s="746"/>
      <c r="C719" s="505"/>
      <c r="D719" s="724" t="s">
        <v>955</v>
      </c>
      <c r="F719" s="498"/>
      <c r="G719" s="498"/>
      <c r="H719" s="498"/>
      <c r="I719" s="716"/>
      <c r="J719" s="498"/>
      <c r="K719" s="498" t="s">
        <v>144</v>
      </c>
      <c r="L719" s="747"/>
      <c r="M719" s="498"/>
      <c r="N719" s="498"/>
      <c r="O719" s="498"/>
      <c r="P719" s="498"/>
      <c r="Q719" s="44"/>
      <c r="R719" s="567"/>
      <c r="S719" s="719"/>
      <c r="T719" s="498"/>
    </row>
    <row r="720" spans="1:41" s="501" customFormat="1" ht="12">
      <c r="A720" s="821"/>
      <c r="B720" s="822"/>
      <c r="C720" s="497"/>
      <c r="D720" s="498"/>
      <c r="E720" s="823">
        <f>F718/$C$12-SUMIF($L717:$L743,"SUBI",$E717:$E743)</f>
        <v>1.0000000000218279E-2</v>
      </c>
      <c r="F720" s="824" t="s">
        <v>572</v>
      </c>
      <c r="G720" s="753"/>
      <c r="H720" s="753"/>
      <c r="I720" s="754"/>
      <c r="J720" s="753"/>
      <c r="K720" s="753"/>
      <c r="L720" s="755"/>
      <c r="M720" s="756"/>
      <c r="N720" s="756"/>
      <c r="O720" s="756"/>
      <c r="P720" s="756"/>
      <c r="Q720" s="757"/>
      <c r="R720" s="758"/>
      <c r="S720" s="757"/>
      <c r="T720" s="759"/>
    </row>
    <row r="721" spans="1:33" s="501" customFormat="1" ht="12" customHeight="1">
      <c r="A721" s="760"/>
      <c r="B721" s="761"/>
      <c r="C721" s="762"/>
      <c r="D721" s="762" t="str">
        <f>$F$2</f>
        <v>Electrical</v>
      </c>
      <c r="E721" s="762">
        <f>ROUND(($R736*$S$2 + ($T736*$T$2)), 2)</f>
        <v>2332.52</v>
      </c>
      <c r="F721" s="763">
        <f>$E721*$C$12</f>
        <v>2332.52</v>
      </c>
      <c r="G721" s="567"/>
      <c r="H721" s="764"/>
      <c r="I721" s="567"/>
      <c r="J721" s="45"/>
      <c r="K721" s="765" t="s">
        <v>3</v>
      </c>
      <c r="L721" s="766" t="s">
        <v>573</v>
      </c>
      <c r="M721" s="567"/>
      <c r="N721" s="567"/>
      <c r="O721" s="45"/>
      <c r="P721" s="567"/>
      <c r="Q721" s="567"/>
      <c r="R721"/>
      <c r="S721"/>
      <c r="T721"/>
    </row>
    <row r="722" spans="1:33" s="501" customFormat="1" ht="14.4" customHeight="1">
      <c r="A722" s="767"/>
      <c r="B722" s="768" t="s">
        <v>574</v>
      </c>
      <c r="C722" s="567"/>
      <c r="D722" s="903" t="s">
        <v>645</v>
      </c>
      <c r="E722" s="567"/>
      <c r="F722" s="567"/>
      <c r="G722" s="567"/>
      <c r="H722" s="764"/>
      <c r="I722" s="567"/>
      <c r="J722" s="45"/>
      <c r="K722" s="769"/>
      <c r="L722" s="770"/>
      <c r="M722" s="567"/>
      <c r="N722" s="567"/>
      <c r="O722" s="45"/>
      <c r="P722" s="567"/>
      <c r="Q722" s="567"/>
      <c r="R722" s="771">
        <f t="shared" ref="R722:R733" si="29">$A722*Q722</f>
        <v>0</v>
      </c>
      <c r="S722" s="567"/>
      <c r="T722" s="500">
        <f t="shared" ref="T722:T733" si="30">$A722*S722*$T$1</f>
        <v>0</v>
      </c>
    </row>
    <row r="723" spans="1:33" s="893" customFormat="1" ht="13.2">
      <c r="A723" s="87">
        <f>3 *(2)</f>
        <v>6</v>
      </c>
      <c r="B723" s="893" t="s">
        <v>296</v>
      </c>
      <c r="D723" s="893" t="s">
        <v>646</v>
      </c>
      <c r="G723" s="894" t="s">
        <v>647</v>
      </c>
      <c r="H723" s="895">
        <v>690</v>
      </c>
      <c r="I723" s="893" t="s">
        <v>648</v>
      </c>
      <c r="J723" s="893" t="s">
        <v>649</v>
      </c>
      <c r="O723" s="896">
        <v>1</v>
      </c>
      <c r="P723" s="897">
        <v>34669</v>
      </c>
      <c r="Q723" s="898">
        <v>1.86</v>
      </c>
      <c r="R723" s="899">
        <f t="shared" si="29"/>
        <v>11.16</v>
      </c>
      <c r="S723" s="898">
        <v>0.2</v>
      </c>
      <c r="T723" s="900">
        <f t="shared" si="30"/>
        <v>1.2000000000000002</v>
      </c>
    </row>
    <row r="724" spans="1:33" s="893" customFormat="1" ht="13.2">
      <c r="A724" s="87">
        <f>3 *(4)</f>
        <v>12</v>
      </c>
      <c r="B724" s="893" t="s">
        <v>296</v>
      </c>
      <c r="D724" s="893" t="s">
        <v>650</v>
      </c>
      <c r="G724" s="894" t="s">
        <v>651</v>
      </c>
      <c r="H724" s="895">
        <v>690</v>
      </c>
      <c r="I724" s="893" t="s">
        <v>648</v>
      </c>
      <c r="J724" s="893" t="s">
        <v>649</v>
      </c>
      <c r="O724" s="896">
        <v>1</v>
      </c>
      <c r="P724" s="897">
        <v>34669</v>
      </c>
      <c r="Q724" s="898">
        <v>0.98</v>
      </c>
      <c r="R724" s="899">
        <f t="shared" si="29"/>
        <v>11.76</v>
      </c>
      <c r="S724" s="898"/>
      <c r="T724" s="900">
        <f t="shared" si="30"/>
        <v>0</v>
      </c>
    </row>
    <row r="725" spans="1:33" s="893" customFormat="1" ht="13.2">
      <c r="A725" s="87">
        <f>3 *(10)</f>
        <v>30</v>
      </c>
      <c r="B725" s="893" t="s">
        <v>296</v>
      </c>
      <c r="D725" s="893" t="s">
        <v>652</v>
      </c>
      <c r="G725" s="894" t="s">
        <v>653</v>
      </c>
      <c r="H725" s="895">
        <v>690</v>
      </c>
      <c r="I725" s="893" t="s">
        <v>648</v>
      </c>
      <c r="J725" s="893" t="s">
        <v>649</v>
      </c>
      <c r="O725" s="896">
        <v>1</v>
      </c>
      <c r="P725" s="897">
        <v>34669</v>
      </c>
      <c r="Q725" s="898">
        <v>3.66</v>
      </c>
      <c r="R725" s="899">
        <f t="shared" si="29"/>
        <v>109.80000000000001</v>
      </c>
      <c r="S725" s="898">
        <v>0.2</v>
      </c>
      <c r="T725" s="900">
        <f t="shared" si="30"/>
        <v>6</v>
      </c>
    </row>
    <row r="726" spans="1:33" s="893" customFormat="1" ht="13.2">
      <c r="A726">
        <f>3 *(50)</f>
        <v>150</v>
      </c>
      <c r="B726" s="893" t="s">
        <v>296</v>
      </c>
      <c r="D726" s="893" t="s">
        <v>726</v>
      </c>
      <c r="F726" s="893" t="s">
        <v>727</v>
      </c>
      <c r="G726" s="894" t="s">
        <v>728</v>
      </c>
      <c r="H726" s="895">
        <v>617</v>
      </c>
      <c r="I726" s="893" t="s">
        <v>729</v>
      </c>
      <c r="J726" s="893" t="s">
        <v>730</v>
      </c>
      <c r="O726" s="896">
        <v>2</v>
      </c>
      <c r="P726" s="897">
        <v>38433</v>
      </c>
      <c r="Q726" s="898">
        <v>1.4524999999999999</v>
      </c>
      <c r="R726" s="899">
        <f t="shared" si="29"/>
        <v>217.87499999999997</v>
      </c>
      <c r="S726" s="898">
        <v>0.03</v>
      </c>
      <c r="T726" s="900">
        <f t="shared" si="30"/>
        <v>4.5</v>
      </c>
    </row>
    <row r="727" spans="1:33" s="893" customFormat="1" ht="13.2">
      <c r="A727">
        <f>3 *(1)</f>
        <v>3</v>
      </c>
      <c r="B727" s="893" t="s">
        <v>141</v>
      </c>
      <c r="D727" s="893" t="s">
        <v>658</v>
      </c>
      <c r="F727" s="893" t="s">
        <v>685</v>
      </c>
      <c r="G727" s="894" t="s">
        <v>659</v>
      </c>
      <c r="H727" s="895">
        <v>900</v>
      </c>
      <c r="I727" s="893" t="s">
        <v>660</v>
      </c>
      <c r="O727" s="896">
        <v>1</v>
      </c>
      <c r="P727" s="897"/>
      <c r="Q727" s="898"/>
      <c r="R727" s="899">
        <f t="shared" si="29"/>
        <v>0</v>
      </c>
      <c r="S727" s="898">
        <v>0.25</v>
      </c>
      <c r="T727" s="900">
        <f t="shared" si="30"/>
        <v>0.75</v>
      </c>
    </row>
    <row r="728" spans="1:33" s="501" customFormat="1" ht="14.4" customHeight="1">
      <c r="A728" s="767"/>
      <c r="B728" s="768" t="s">
        <v>574</v>
      </c>
      <c r="C728" s="567"/>
      <c r="D728" s="903" t="s">
        <v>661</v>
      </c>
      <c r="E728" s="567"/>
      <c r="F728" s="567"/>
      <c r="G728" s="567"/>
      <c r="H728" s="764"/>
      <c r="I728" s="567"/>
      <c r="J728" s="45"/>
      <c r="K728" s="769"/>
      <c r="L728" s="770"/>
      <c r="M728" s="567"/>
      <c r="N728" s="567"/>
      <c r="O728" s="45"/>
      <c r="P728" s="567"/>
      <c r="Q728" s="567"/>
      <c r="R728" s="771">
        <f t="shared" si="29"/>
        <v>0</v>
      </c>
      <c r="S728" s="567"/>
      <c r="T728" s="500">
        <f t="shared" si="30"/>
        <v>0</v>
      </c>
    </row>
    <row r="729" spans="1:33" s="893" customFormat="1" ht="13.2">
      <c r="A729" s="87">
        <f>3 *(2)</f>
        <v>6</v>
      </c>
      <c r="B729" s="893" t="s">
        <v>296</v>
      </c>
      <c r="D729" s="893" t="s">
        <v>646</v>
      </c>
      <c r="G729" s="894" t="s">
        <v>647</v>
      </c>
      <c r="H729" s="895">
        <v>690</v>
      </c>
      <c r="I729" s="893" t="s">
        <v>648</v>
      </c>
      <c r="J729" s="893" t="s">
        <v>649</v>
      </c>
      <c r="O729" s="896">
        <v>1</v>
      </c>
      <c r="P729" s="897">
        <v>34669</v>
      </c>
      <c r="Q729" s="898">
        <v>1.86</v>
      </c>
      <c r="R729" s="899">
        <f t="shared" si="29"/>
        <v>11.16</v>
      </c>
      <c r="S729" s="898">
        <v>0.2</v>
      </c>
      <c r="T729" s="900">
        <f t="shared" si="30"/>
        <v>1.2000000000000002</v>
      </c>
    </row>
    <row r="730" spans="1:33" s="893" customFormat="1" ht="13.2">
      <c r="A730" s="87">
        <f>3 *(4)</f>
        <v>12</v>
      </c>
      <c r="B730" s="893" t="s">
        <v>296</v>
      </c>
      <c r="D730" s="893" t="s">
        <v>650</v>
      </c>
      <c r="G730" s="894" t="s">
        <v>651</v>
      </c>
      <c r="H730" s="895">
        <v>690</v>
      </c>
      <c r="I730" s="893" t="s">
        <v>648</v>
      </c>
      <c r="J730" s="893" t="s">
        <v>649</v>
      </c>
      <c r="O730" s="896">
        <v>1</v>
      </c>
      <c r="P730" s="897">
        <v>34669</v>
      </c>
      <c r="Q730" s="898">
        <v>0.98</v>
      </c>
      <c r="R730" s="899">
        <f t="shared" si="29"/>
        <v>11.76</v>
      </c>
      <c r="S730" s="898"/>
      <c r="T730" s="900">
        <f t="shared" si="30"/>
        <v>0</v>
      </c>
    </row>
    <row r="731" spans="1:33" s="893" customFormat="1" ht="13.2">
      <c r="A731" s="87">
        <f>(2+5+10+3)*3</f>
        <v>60</v>
      </c>
      <c r="B731" s="893" t="s">
        <v>296</v>
      </c>
      <c r="D731" s="893" t="s">
        <v>652</v>
      </c>
      <c r="G731" s="894" t="s">
        <v>653</v>
      </c>
      <c r="H731" s="895">
        <v>690</v>
      </c>
      <c r="I731" s="893" t="s">
        <v>648</v>
      </c>
      <c r="J731" s="893" t="s">
        <v>649</v>
      </c>
      <c r="O731" s="896">
        <v>1</v>
      </c>
      <c r="P731" s="897">
        <v>34669</v>
      </c>
      <c r="Q731" s="898">
        <v>3.66</v>
      </c>
      <c r="R731" s="899">
        <f t="shared" si="29"/>
        <v>219.60000000000002</v>
      </c>
      <c r="S731" s="898">
        <v>0.2</v>
      </c>
      <c r="T731" s="900">
        <f t="shared" si="30"/>
        <v>12</v>
      </c>
    </row>
    <row r="732" spans="1:33" s="893" customFormat="1" ht="13.2">
      <c r="A732" s="87">
        <f>3 *(60)</f>
        <v>180</v>
      </c>
      <c r="B732" s="893" t="s">
        <v>296</v>
      </c>
      <c r="D732" s="893" t="s">
        <v>726</v>
      </c>
      <c r="F732" s="893" t="s">
        <v>727</v>
      </c>
      <c r="G732" s="894" t="s">
        <v>728</v>
      </c>
      <c r="H732" s="895">
        <v>617</v>
      </c>
      <c r="I732" s="893" t="s">
        <v>729</v>
      </c>
      <c r="J732" s="893" t="s">
        <v>730</v>
      </c>
      <c r="O732" s="896">
        <v>2</v>
      </c>
      <c r="P732" s="897">
        <v>38433</v>
      </c>
      <c r="Q732" s="898">
        <v>1.4524999999999999</v>
      </c>
      <c r="R732" s="899">
        <f t="shared" si="29"/>
        <v>261.45</v>
      </c>
      <c r="S732" s="898">
        <v>0.03</v>
      </c>
      <c r="T732" s="900">
        <f t="shared" si="30"/>
        <v>5.3999999999999995</v>
      </c>
    </row>
    <row r="733" spans="1:33" s="893" customFormat="1" ht="13.2">
      <c r="A733" s="87">
        <f>3 *(1)</f>
        <v>3</v>
      </c>
      <c r="B733" s="893" t="s">
        <v>141</v>
      </c>
      <c r="D733" s="893" t="s">
        <v>658</v>
      </c>
      <c r="G733" s="894" t="s">
        <v>659</v>
      </c>
      <c r="H733" s="895">
        <v>900</v>
      </c>
      <c r="I733" s="893" t="s">
        <v>660</v>
      </c>
      <c r="O733" s="896">
        <v>1</v>
      </c>
      <c r="P733" s="897"/>
      <c r="Q733" s="898"/>
      <c r="R733" s="899">
        <f t="shared" si="29"/>
        <v>0</v>
      </c>
      <c r="S733" s="898">
        <v>0.25</v>
      </c>
      <c r="T733" s="900">
        <f t="shared" si="30"/>
        <v>0.75</v>
      </c>
    </row>
    <row r="734" spans="1:33" s="893" customFormat="1" ht="13.2">
      <c r="A734"/>
      <c r="D734" s="903" t="s">
        <v>1090</v>
      </c>
      <c r="G734" s="894"/>
      <c r="H734" s="895"/>
      <c r="O734" s="896"/>
      <c r="P734" s="897"/>
      <c r="Q734" s="898"/>
      <c r="R734" s="899"/>
      <c r="S734" s="898"/>
      <c r="T734" s="900"/>
    </row>
    <row r="735" spans="1:33" s="501" customFormat="1" ht="13.95" customHeight="1">
      <c r="A735" s="767"/>
      <c r="B735" s="567"/>
      <c r="C735" s="567"/>
      <c r="D735" s="567"/>
      <c r="E735" s="567"/>
      <c r="F735" s="567"/>
      <c r="G735" s="567"/>
      <c r="H735" s="764"/>
      <c r="I735" s="567"/>
      <c r="J735" s="45"/>
      <c r="K735" s="769"/>
      <c r="L735" s="770"/>
      <c r="M735" s="567"/>
      <c r="N735" s="567"/>
      <c r="O735" s="45"/>
      <c r="P735" s="567"/>
      <c r="Q735" s="567"/>
      <c r="R735" s="771">
        <f>$A735*Q735</f>
        <v>0</v>
      </c>
      <c r="S735" s="567"/>
      <c r="T735" s="500">
        <f>$A735*S735*$T$1</f>
        <v>0</v>
      </c>
    </row>
    <row r="736" spans="1:33" s="501" customFormat="1" ht="12">
      <c r="A736" s="825" t="s">
        <v>145</v>
      </c>
      <c r="B736" s="826">
        <f>(R735+T735)</f>
        <v>0</v>
      </c>
      <c r="C736" s="497"/>
      <c r="G736" s="774"/>
      <c r="H736" s="774"/>
      <c r="I736" s="774"/>
      <c r="J736" s="774"/>
      <c r="K736" s="750" t="s">
        <v>3</v>
      </c>
      <c r="L736" s="775" t="s">
        <v>573</v>
      </c>
      <c r="M736" s="774"/>
      <c r="N736" s="774"/>
      <c r="O736" s="774"/>
      <c r="P736" s="774"/>
      <c r="Q736" s="776"/>
      <c r="R736" s="777">
        <f>SUM(R721:R735)</f>
        <v>854.56500000000005</v>
      </c>
      <c r="S736" s="778"/>
      <c r="T736" s="777">
        <f>SUM(T721:T735)</f>
        <v>31.799999999999997</v>
      </c>
      <c r="AG736" s="779">
        <f>ROUND($R736*$S$2,2)</f>
        <v>1153.6600000000001</v>
      </c>
    </row>
    <row r="737" spans="1:41" s="501" customFormat="1" ht="12" customHeight="1">
      <c r="A737" s="800"/>
      <c r="B737" s="827"/>
      <c r="C737" s="828"/>
      <c r="D737" s="828" t="str">
        <f>$F$3</f>
        <v>Technician</v>
      </c>
      <c r="E737" s="828">
        <f>ROUND(($R741*$S$3 + ($T741*$T$3)), 2)</f>
        <v>0</v>
      </c>
      <c r="F737" s="829">
        <f ca="1">$F718-SUMIF($L720:$P734,"SUBI",$F720:$F734)</f>
        <v>1.0000000000218279E-2</v>
      </c>
      <c r="G737" s="499"/>
      <c r="H737" s="499"/>
      <c r="I737" s="499"/>
      <c r="J737" s="499"/>
      <c r="K737" s="765" t="s">
        <v>5</v>
      </c>
      <c r="L737" s="766" t="s">
        <v>573</v>
      </c>
      <c r="M737" s="499"/>
      <c r="N737" s="499"/>
      <c r="O737" s="499"/>
      <c r="P737" s="499"/>
      <c r="Q737" s="499"/>
      <c r="R737" s="784"/>
      <c r="S737" s="499"/>
      <c r="T737" s="784"/>
    </row>
    <row r="738" spans="1:41" s="797" customFormat="1" ht="14.4" customHeight="1">
      <c r="A738" s="785"/>
      <c r="B738" s="768" t="s">
        <v>575</v>
      </c>
      <c r="C738" s="786"/>
      <c r="D738" s="787"/>
      <c r="E738" s="787"/>
      <c r="F738" s="787"/>
      <c r="G738" s="788"/>
      <c r="H738" s="789"/>
      <c r="I738" s="789"/>
      <c r="J738" s="790"/>
      <c r="K738" s="791"/>
      <c r="L738" s="786"/>
      <c r="M738" s="792"/>
      <c r="N738" s="793"/>
      <c r="O738" s="794"/>
      <c r="P738" s="795"/>
      <c r="Q738" s="796"/>
      <c r="R738" s="771">
        <f>$A738*Q738</f>
        <v>0</v>
      </c>
      <c r="S738" s="567"/>
      <c r="T738" s="500">
        <f>$A738*S738*$T$1</f>
        <v>0</v>
      </c>
    </row>
    <row r="739" spans="1:41" s="501" customFormat="1" ht="11.4">
      <c r="A739" s="767"/>
      <c r="B739" s="567"/>
      <c r="C739" s="567"/>
      <c r="D739" s="567"/>
      <c r="E739" s="567"/>
      <c r="F739" s="567"/>
      <c r="G739" s="567"/>
      <c r="H739" s="567"/>
      <c r="I739" s="567"/>
      <c r="J739" s="567"/>
      <c r="K739" s="567"/>
      <c r="L739" s="770"/>
      <c r="M739" s="567"/>
      <c r="N739" s="567"/>
      <c r="O739" s="567"/>
      <c r="P739" s="567"/>
      <c r="Q739" s="567"/>
      <c r="R739" s="771">
        <f>$A739*Q739</f>
        <v>0</v>
      </c>
      <c r="S739" s="567"/>
      <c r="T739" s="500">
        <f>$A739*S739*$T$1</f>
        <v>0</v>
      </c>
    </row>
    <row r="740" spans="1:41" s="501" customFormat="1" ht="13.2">
      <c r="A740" s="767"/>
      <c r="B740" s="567"/>
      <c r="C740" s="567"/>
      <c r="D740" s="3"/>
      <c r="E740" s="567"/>
      <c r="F740" s="567"/>
      <c r="G740" s="567"/>
      <c r="H740" s="567"/>
      <c r="I740" s="567"/>
      <c r="J740" s="567"/>
      <c r="K740" s="567"/>
      <c r="L740" s="770"/>
      <c r="M740" s="567"/>
      <c r="N740" s="567"/>
      <c r="O740" s="567"/>
      <c r="P740" s="567"/>
      <c r="Q740" s="567"/>
      <c r="R740" s="771">
        <f>$A740*Q740</f>
        <v>0</v>
      </c>
      <c r="S740" s="567"/>
      <c r="T740" s="500">
        <f>$A740*S740*$T$1</f>
        <v>0</v>
      </c>
    </row>
    <row r="741" spans="1:41" s="501" customFormat="1" ht="12" customHeight="1">
      <c r="A741" s="772" t="s">
        <v>145</v>
      </c>
      <c r="B741" s="773">
        <f>(R740+T740)</f>
        <v>0</v>
      </c>
      <c r="C741" s="810"/>
      <c r="D741" s="810"/>
      <c r="E741" s="810"/>
      <c r="F741" s="810"/>
      <c r="G741" s="776"/>
      <c r="H741" s="776"/>
      <c r="I741" s="776"/>
      <c r="J741" s="776"/>
      <c r="K741" s="798" t="s">
        <v>5</v>
      </c>
      <c r="L741" s="811" t="s">
        <v>573</v>
      </c>
      <c r="M741" s="776"/>
      <c r="N741" s="776"/>
      <c r="O741" s="776"/>
      <c r="P741" s="776"/>
      <c r="Q741" s="776"/>
      <c r="R741" s="777">
        <f>SUM(R737:R740)</f>
        <v>0</v>
      </c>
      <c r="S741" s="778"/>
      <c r="T741" s="777">
        <f>SUM(T737:T740)</f>
        <v>0</v>
      </c>
      <c r="AG741" s="799">
        <f>ROUND($R741*$S$3,2)</f>
        <v>0</v>
      </c>
    </row>
    <row r="742" spans="1:41" s="501" customFormat="1" ht="12.75" customHeight="1">
      <c r="A742" s="813"/>
      <c r="B742" s="814"/>
      <c r="E742" s="497"/>
      <c r="F742" s="808"/>
      <c r="G742" s="497"/>
      <c r="H742" s="497"/>
      <c r="I742" s="499"/>
      <c r="J742" s="497"/>
      <c r="K742" s="497"/>
      <c r="L742" s="815"/>
      <c r="M742" s="725"/>
      <c r="N742" s="725"/>
      <c r="O742" s="725"/>
      <c r="P742" s="725"/>
      <c r="Q742" s="726"/>
      <c r="R742" s="784"/>
      <c r="S742" s="497"/>
      <c r="T742" s="784"/>
    </row>
    <row r="743" spans="1:41" s="501" customFormat="1" ht="13.5" customHeight="1" thickBot="1">
      <c r="A743" s="816"/>
      <c r="B743" s="817"/>
      <c r="C743" s="518"/>
      <c r="D743" s="518"/>
      <c r="E743" s="515"/>
      <c r="F743" s="721"/>
      <c r="G743" s="515" t="s">
        <v>146</v>
      </c>
      <c r="H743" s="515"/>
      <c r="I743" s="516"/>
      <c r="J743" s="515"/>
      <c r="K743" s="515"/>
      <c r="L743" s="818" t="s">
        <v>143</v>
      </c>
      <c r="M743" s="517"/>
      <c r="N743" s="517"/>
      <c r="O743" s="517"/>
      <c r="P743" s="517"/>
      <c r="Q743" s="722"/>
      <c r="R743" s="819">
        <f>SUMIF($L719:$L742,"SUBI",R719:R742)</f>
        <v>854.56500000000005</v>
      </c>
      <c r="S743" s="515"/>
      <c r="T743" s="819">
        <f>SUMIF($L719:$L742,"SUBI",T719:T742)</f>
        <v>31.799999999999997</v>
      </c>
      <c r="U743" s="518"/>
      <c r="V743" s="518"/>
      <c r="W743" s="518"/>
      <c r="X743" s="518"/>
      <c r="Y743" s="518"/>
      <c r="Z743" s="518"/>
      <c r="AA743" s="518"/>
      <c r="AB743" s="518"/>
      <c r="AC743" s="518"/>
      <c r="AD743" s="518"/>
      <c r="AE743" s="518"/>
      <c r="AF743" s="518"/>
      <c r="AG743" s="518"/>
      <c r="AH743" s="518"/>
      <c r="AI743" s="518"/>
      <c r="AJ743" s="518"/>
      <c r="AK743" s="518"/>
      <c r="AL743" s="518"/>
      <c r="AM743" s="518"/>
      <c r="AN743" s="518"/>
      <c r="AO743" s="518"/>
    </row>
    <row r="744" spans="1:41" s="501" customFormat="1" thickTop="1">
      <c r="A744" s="44"/>
      <c r="B744" s="44"/>
      <c r="C744" s="3"/>
      <c r="D744" s="3"/>
      <c r="E744" s="44"/>
      <c r="F744" s="44"/>
      <c r="G744" s="44"/>
      <c r="H744" s="44"/>
      <c r="I744" s="44"/>
      <c r="J744" s="44"/>
      <c r="K744" s="44" t="s">
        <v>134</v>
      </c>
      <c r="L744" s="44"/>
      <c r="M744" s="44"/>
      <c r="N744" s="44"/>
      <c r="O744" s="45"/>
      <c r="P744" s="44"/>
      <c r="Q744" s="44"/>
      <c r="R744" s="44"/>
      <c r="S744" s="44"/>
      <c r="T744" s="44"/>
    </row>
    <row r="745" spans="1:41" s="501" customFormat="1" ht="12">
      <c r="A745" s="44"/>
      <c r="B745" s="44"/>
      <c r="C745" s="44" t="s">
        <v>135</v>
      </c>
      <c r="D745" s="35" t="s">
        <v>956</v>
      </c>
      <c r="E745" s="44"/>
      <c r="F745" s="44"/>
      <c r="G745" s="44"/>
      <c r="H745" s="44"/>
      <c r="I745" s="44"/>
      <c r="J745" s="44"/>
      <c r="K745" s="44"/>
      <c r="L745" s="44"/>
      <c r="M745" s="44"/>
      <c r="N745" s="44"/>
      <c r="O745" s="45"/>
      <c r="P745" s="44"/>
      <c r="Q745" s="44"/>
      <c r="R745" s="44"/>
      <c r="S745" s="44"/>
      <c r="T745" s="44"/>
    </row>
    <row r="746" spans="1:41" s="501" customFormat="1" ht="12">
      <c r="A746" s="44"/>
      <c r="B746" s="44"/>
      <c r="C746" s="44"/>
      <c r="D746" s="35" t="s">
        <v>908</v>
      </c>
      <c r="E746" s="44"/>
      <c r="F746" s="44"/>
      <c r="G746" s="44"/>
      <c r="H746" s="44"/>
      <c r="I746" s="44"/>
      <c r="J746" s="44"/>
      <c r="K746" s="44"/>
      <c r="L746" s="44"/>
      <c r="M746" s="44"/>
      <c r="N746" s="44"/>
      <c r="O746" s="45"/>
      <c r="P746" s="44"/>
      <c r="Q746" s="44"/>
      <c r="R746" s="44"/>
      <c r="S746" s="36"/>
      <c r="T746" s="36"/>
    </row>
    <row r="747" spans="1:41" s="3" customFormat="1" thickBot="1">
      <c r="A747" s="518"/>
      <c r="O747" s="86"/>
    </row>
    <row r="748" spans="1:41" s="501" customFormat="1" thickTop="1">
      <c r="A748" s="44"/>
      <c r="B748" s="39"/>
      <c r="C748" s="44"/>
      <c r="E748" s="40" t="s">
        <v>138</v>
      </c>
      <c r="F748" s="40" t="s">
        <v>139</v>
      </c>
      <c r="G748" s="44"/>
      <c r="H748" s="44"/>
      <c r="I748" s="44"/>
      <c r="J748" s="44"/>
      <c r="K748" s="44" t="s">
        <v>140</v>
      </c>
      <c r="L748" s="737"/>
      <c r="M748" s="44"/>
      <c r="N748" s="44"/>
      <c r="O748" s="45"/>
      <c r="P748" s="44"/>
      <c r="Q748"/>
      <c r="R748"/>
      <c r="S748"/>
      <c r="T748" s="39"/>
      <c r="AG748" s="502" t="s">
        <v>247</v>
      </c>
      <c r="AH748" s="502" t="s">
        <v>248</v>
      </c>
      <c r="AI748" s="502" t="s">
        <v>249</v>
      </c>
      <c r="AJ748" s="502" t="s">
        <v>250</v>
      </c>
      <c r="AK748" s="502" t="s">
        <v>251</v>
      </c>
      <c r="AM748" s="710" t="s">
        <v>260</v>
      </c>
      <c r="AN748" s="711" t="s">
        <v>261</v>
      </c>
      <c r="AO748" s="503" t="s">
        <v>257</v>
      </c>
    </row>
    <row r="749" spans="1:41" s="501" customFormat="1" ht="13.2">
      <c r="A749" s="712">
        <v>1</v>
      </c>
      <c r="B749" s="504" t="s">
        <v>141</v>
      </c>
      <c r="C749" s="505"/>
      <c r="D749" s="713" t="s">
        <v>957</v>
      </c>
      <c r="E749" s="738">
        <f>IF(AND($A749=0,$A$1="DIF"),0, ROUND(ROUND(SUMIF($L751:$L763,"SUBI",$E751:$E763)/$A749,2)*$C$12,2))</f>
        <v>152.91</v>
      </c>
      <c r="F749" s="739">
        <f>ROUND($A749*$E749,2)</f>
        <v>152.91</v>
      </c>
      <c r="G749" s="506" t="s">
        <v>142</v>
      </c>
      <c r="H749" s="498"/>
      <c r="I749" s="716"/>
      <c r="J749" s="498"/>
      <c r="K749" s="740"/>
      <c r="L749" s="741" t="s">
        <v>143</v>
      </c>
      <c r="M749" s="717"/>
      <c r="N749" s="717"/>
      <c r="O749" s="717"/>
      <c r="P749" s="717"/>
      <c r="Q749"/>
      <c r="R749"/>
      <c r="S749"/>
      <c r="T749" s="742" t="str">
        <f>IF(AND($R769=0,$T769=0),"0.00","mu :" &amp; ROUND($F749/$C$12/($R769+$T769*$D$9),2))</f>
        <v>mu :1.35</v>
      </c>
      <c r="W749" s="507"/>
      <c r="AG749" s="743">
        <f>IF(A749=0,0,ROUND(SUM(AG751:AG769)/A749,2))</f>
        <v>57.27</v>
      </c>
      <c r="AH749" s="743">
        <f>$AG749*$A749</f>
        <v>57.27</v>
      </c>
      <c r="AI749" s="743">
        <f>$E749-$AG749</f>
        <v>95.639999999999986</v>
      </c>
      <c r="AJ749" s="743">
        <f>$A749*$AI749</f>
        <v>95.639999999999986</v>
      </c>
      <c r="AK749" s="744">
        <f>ROUND(($AG749+$AI749)*$A749,2)</f>
        <v>152.91</v>
      </c>
      <c r="AM749" s="510">
        <f>ROUND(R769,2)</f>
        <v>42.42</v>
      </c>
      <c r="AN749" s="511">
        <f>ROUND(T769,2)</f>
        <v>2.58</v>
      </c>
      <c r="AO749" s="512">
        <f>ROUND(AM749+AN749,2)*A749</f>
        <v>45</v>
      </c>
    </row>
    <row r="750" spans="1:41" s="501" customFormat="1" ht="19.95" customHeight="1">
      <c r="A750" s="745"/>
      <c r="B750" s="746"/>
      <c r="C750" s="505"/>
      <c r="D750" s="724" t="s">
        <v>943</v>
      </c>
      <c r="F750" s="498"/>
      <c r="G750" s="498"/>
      <c r="H750" s="498"/>
      <c r="I750" s="716"/>
      <c r="J750" s="498"/>
      <c r="K750" s="498" t="s">
        <v>144</v>
      </c>
      <c r="L750" s="747"/>
      <c r="M750" s="498"/>
      <c r="N750" s="498"/>
      <c r="O750" s="498"/>
      <c r="P750" s="498"/>
      <c r="Q750" s="44"/>
      <c r="R750" s="567"/>
      <c r="S750" s="719"/>
      <c r="T750" s="498"/>
    </row>
    <row r="751" spans="1:41" s="501" customFormat="1" ht="12">
      <c r="A751" s="821"/>
      <c r="B751" s="822"/>
      <c r="C751" s="497"/>
      <c r="D751" s="498"/>
      <c r="E751" s="823">
        <f>F749/$C$12-SUMIF($L748:$L769,"SUBI",$E748:$E769)</f>
        <v>0</v>
      </c>
      <c r="F751" s="824" t="s">
        <v>572</v>
      </c>
      <c r="G751" s="753"/>
      <c r="H751" s="753"/>
      <c r="I751" s="754"/>
      <c r="J751" s="753"/>
      <c r="K751" s="753"/>
      <c r="L751" s="755"/>
      <c r="M751" s="756"/>
      <c r="N751" s="756"/>
      <c r="O751" s="756"/>
      <c r="P751" s="756"/>
      <c r="Q751" s="757"/>
      <c r="R751" s="758"/>
      <c r="S751" s="757"/>
      <c r="T751" s="759"/>
    </row>
    <row r="752" spans="1:41" s="501" customFormat="1" ht="12" customHeight="1">
      <c r="A752" s="760"/>
      <c r="B752" s="761"/>
      <c r="C752" s="762"/>
      <c r="D752" s="762" t="str">
        <f>$F$2</f>
        <v>Electrical</v>
      </c>
      <c r="E752" s="762">
        <f>ROUND(($R762*$S$2 + ($T762*$T$2)), 2)</f>
        <v>152.91</v>
      </c>
      <c r="F752" s="763">
        <f>$E752*$C$12</f>
        <v>152.91</v>
      </c>
      <c r="G752" s="567"/>
      <c r="H752" s="764"/>
      <c r="I752" s="567"/>
      <c r="J752" s="45"/>
      <c r="K752" s="765" t="s">
        <v>3</v>
      </c>
      <c r="L752" s="766" t="s">
        <v>573</v>
      </c>
      <c r="M752" s="567"/>
      <c r="N752" s="567"/>
      <c r="O752" s="45"/>
      <c r="P752" s="567"/>
      <c r="Q752" s="567"/>
      <c r="R752"/>
      <c r="S752"/>
      <c r="T752"/>
    </row>
    <row r="753" spans="1:33" s="893" customFormat="1" ht="13.2">
      <c r="A753"/>
      <c r="D753" s="944" t="s">
        <v>755</v>
      </c>
      <c r="G753" s="894" t="s">
        <v>749</v>
      </c>
      <c r="H753" s="895">
        <v>616</v>
      </c>
      <c r="I753" s="893" t="s">
        <v>656</v>
      </c>
      <c r="J753" s="893" t="s">
        <v>750</v>
      </c>
      <c r="O753" s="896">
        <v>2</v>
      </c>
      <c r="P753" s="897">
        <v>40767</v>
      </c>
      <c r="Q753" s="898"/>
      <c r="R753" s="899">
        <f t="shared" ref="R753:R761" si="31">$A753*Q753</f>
        <v>0</v>
      </c>
      <c r="S753" s="898"/>
      <c r="T753" s="900">
        <f t="shared" ref="T753:T761" si="32">$A753*S753*$T$1</f>
        <v>0</v>
      </c>
    </row>
    <row r="754" spans="1:33" s="893" customFormat="1" ht="13.2">
      <c r="A754">
        <v>3</v>
      </c>
      <c r="B754" s="893" t="s">
        <v>296</v>
      </c>
      <c r="D754" s="893" t="s">
        <v>1083</v>
      </c>
      <c r="F754" s="893" t="s">
        <v>1080</v>
      </c>
      <c r="G754" s="894" t="s">
        <v>1078</v>
      </c>
      <c r="H754" s="895">
        <v>616</v>
      </c>
      <c r="I754" s="893" t="s">
        <v>656</v>
      </c>
      <c r="J754" s="893" t="s">
        <v>1079</v>
      </c>
      <c r="O754" s="896">
        <v>2</v>
      </c>
      <c r="P754" s="897">
        <v>40767</v>
      </c>
      <c r="Q754" s="898">
        <v>7.15</v>
      </c>
      <c r="R754" s="899">
        <f t="shared" si="31"/>
        <v>21.450000000000003</v>
      </c>
      <c r="S754" s="898">
        <v>0.09</v>
      </c>
      <c r="T754" s="900">
        <f t="shared" si="32"/>
        <v>0.27</v>
      </c>
    </row>
    <row r="755" spans="1:33" s="893" customFormat="1" ht="13.2">
      <c r="A755" s="87">
        <v>3</v>
      </c>
      <c r="B755" s="893" t="s">
        <v>141</v>
      </c>
      <c r="D755" s="893" t="s">
        <v>743</v>
      </c>
      <c r="G755" s="894" t="s">
        <v>744</v>
      </c>
      <c r="H755" s="895">
        <v>875</v>
      </c>
      <c r="I755" s="893" t="s">
        <v>643</v>
      </c>
      <c r="K755" s="893" t="s">
        <v>745</v>
      </c>
      <c r="O755" s="896">
        <v>1</v>
      </c>
      <c r="P755" s="897">
        <v>34669</v>
      </c>
      <c r="Q755" s="898">
        <v>0.05</v>
      </c>
      <c r="R755" s="899">
        <f t="shared" si="31"/>
        <v>0.15000000000000002</v>
      </c>
      <c r="S755" s="898"/>
      <c r="T755" s="900">
        <f t="shared" si="32"/>
        <v>0</v>
      </c>
    </row>
    <row r="756" spans="1:33" s="893" customFormat="1" ht="13.2">
      <c r="A756">
        <v>2</v>
      </c>
      <c r="B756" s="893" t="s">
        <v>141</v>
      </c>
      <c r="D756" s="893" t="s">
        <v>751</v>
      </c>
      <c r="G756" s="894" t="s">
        <v>752</v>
      </c>
      <c r="H756" s="895">
        <v>620</v>
      </c>
      <c r="I756" s="893" t="s">
        <v>671</v>
      </c>
      <c r="O756" s="896">
        <v>2</v>
      </c>
      <c r="P756" s="897">
        <v>35431</v>
      </c>
      <c r="Q756" s="898">
        <v>7.66</v>
      </c>
      <c r="R756" s="899">
        <f t="shared" si="31"/>
        <v>15.32</v>
      </c>
      <c r="S756" s="898">
        <v>0.4</v>
      </c>
      <c r="T756" s="900">
        <f t="shared" si="32"/>
        <v>0.8</v>
      </c>
    </row>
    <row r="757" spans="1:33" s="893" customFormat="1" ht="13.2">
      <c r="A757">
        <v>2</v>
      </c>
      <c r="B757" s="893" t="s">
        <v>296</v>
      </c>
      <c r="D757" s="893" t="s">
        <v>672</v>
      </c>
      <c r="G757" s="894" t="s">
        <v>673</v>
      </c>
      <c r="H757" s="895">
        <v>620</v>
      </c>
      <c r="I757" s="893" t="s">
        <v>643</v>
      </c>
      <c r="O757" s="896">
        <v>2</v>
      </c>
      <c r="P757" s="897">
        <v>38148</v>
      </c>
      <c r="Q757" s="898">
        <v>1.5</v>
      </c>
      <c r="R757" s="899">
        <f t="shared" si="31"/>
        <v>3</v>
      </c>
      <c r="S757" s="898">
        <v>0.08</v>
      </c>
      <c r="T757" s="900">
        <f t="shared" si="32"/>
        <v>0.16</v>
      </c>
    </row>
    <row r="758" spans="1:33" s="893" customFormat="1" ht="13.2">
      <c r="A758">
        <v>10</v>
      </c>
      <c r="B758" s="893" t="s">
        <v>141</v>
      </c>
      <c r="D758" s="893" t="s">
        <v>1081</v>
      </c>
      <c r="G758" s="894" t="s">
        <v>1082</v>
      </c>
      <c r="H758" s="895">
        <v>620</v>
      </c>
      <c r="I758" s="893" t="s">
        <v>676</v>
      </c>
      <c r="O758" s="896">
        <v>2</v>
      </c>
      <c r="P758" s="897">
        <v>34669</v>
      </c>
      <c r="Q758" s="902">
        <v>0.25</v>
      </c>
      <c r="R758" s="899">
        <f t="shared" si="31"/>
        <v>2.5</v>
      </c>
      <c r="S758" s="898">
        <v>0.06</v>
      </c>
      <c r="T758" s="900">
        <f t="shared" si="32"/>
        <v>0.6</v>
      </c>
    </row>
    <row r="759" spans="1:33" s="893" customFormat="1" ht="13.2">
      <c r="A759">
        <v>1</v>
      </c>
      <c r="B759" s="893" t="s">
        <v>141</v>
      </c>
      <c r="D759" s="893" t="s">
        <v>658</v>
      </c>
      <c r="F759" s="893" t="s">
        <v>748</v>
      </c>
      <c r="G759" s="894" t="s">
        <v>659</v>
      </c>
      <c r="H759" s="895">
        <v>900</v>
      </c>
      <c r="I759" s="893" t="s">
        <v>660</v>
      </c>
      <c r="O759" s="896">
        <v>1</v>
      </c>
      <c r="P759" s="897"/>
      <c r="Q759" s="898"/>
      <c r="R759" s="899">
        <f t="shared" si="31"/>
        <v>0</v>
      </c>
      <c r="S759" s="898">
        <v>0.5</v>
      </c>
      <c r="T759" s="900">
        <f t="shared" si="32"/>
        <v>0.5</v>
      </c>
    </row>
    <row r="760" spans="1:33" s="893" customFormat="1" ht="13.2">
      <c r="A760">
        <v>1</v>
      </c>
      <c r="B760" s="893" t="s">
        <v>141</v>
      </c>
      <c r="D760" s="893" t="s">
        <v>658</v>
      </c>
      <c r="F760" s="893" t="s">
        <v>757</v>
      </c>
      <c r="G760" s="894" t="s">
        <v>659</v>
      </c>
      <c r="H760" s="895">
        <v>900</v>
      </c>
      <c r="I760" s="893" t="s">
        <v>660</v>
      </c>
      <c r="O760" s="896">
        <v>1</v>
      </c>
      <c r="P760" s="897"/>
      <c r="Q760" s="898"/>
      <c r="R760" s="899">
        <f t="shared" si="31"/>
        <v>0</v>
      </c>
      <c r="S760" s="898">
        <v>0.25</v>
      </c>
      <c r="T760" s="900">
        <f t="shared" si="32"/>
        <v>0.25</v>
      </c>
    </row>
    <row r="761" spans="1:33" s="501" customFormat="1" ht="13.95" customHeight="1">
      <c r="A761" s="767"/>
      <c r="B761" s="567"/>
      <c r="C761" s="567"/>
      <c r="D761" s="567"/>
      <c r="E761" s="567"/>
      <c r="F761" s="567"/>
      <c r="G761" s="567"/>
      <c r="H761" s="764"/>
      <c r="I761" s="567"/>
      <c r="J761" s="45"/>
      <c r="K761" s="769"/>
      <c r="L761" s="770"/>
      <c r="M761" s="567"/>
      <c r="N761" s="567"/>
      <c r="O761" s="45"/>
      <c r="P761" s="567"/>
      <c r="Q761" s="567"/>
      <c r="R761" s="771">
        <f t="shared" si="31"/>
        <v>0</v>
      </c>
      <c r="S761" s="567"/>
      <c r="T761" s="500">
        <f t="shared" si="32"/>
        <v>0</v>
      </c>
    </row>
    <row r="762" spans="1:33" s="501" customFormat="1" ht="12">
      <c r="A762" s="825" t="s">
        <v>145</v>
      </c>
      <c r="B762" s="826">
        <f>(R761+T761)</f>
        <v>0</v>
      </c>
      <c r="C762" s="497"/>
      <c r="G762" s="774"/>
      <c r="H762" s="774"/>
      <c r="I762" s="774"/>
      <c r="J762" s="774"/>
      <c r="K762" s="750" t="s">
        <v>3</v>
      </c>
      <c r="L762" s="775" t="s">
        <v>573</v>
      </c>
      <c r="M762" s="774"/>
      <c r="N762" s="774"/>
      <c r="O762" s="774"/>
      <c r="P762" s="774"/>
      <c r="Q762" s="776"/>
      <c r="R762" s="777">
        <f>SUM(R752:R761)</f>
        <v>42.42</v>
      </c>
      <c r="S762" s="778"/>
      <c r="T762" s="777">
        <f>SUM(T752:T761)</f>
        <v>2.58</v>
      </c>
      <c r="AG762" s="779">
        <f>ROUND($R762*$S$2,2)</f>
        <v>57.27</v>
      </c>
    </row>
    <row r="763" spans="1:33" s="501" customFormat="1" ht="12" customHeight="1">
      <c r="A763" s="800"/>
      <c r="B763" s="827"/>
      <c r="C763" s="828"/>
      <c r="D763" s="828" t="str">
        <f>$F$3</f>
        <v>Technician</v>
      </c>
      <c r="E763" s="828">
        <f>ROUND(($R767*$S$3 + ($T767*$T$3)), 2)</f>
        <v>0</v>
      </c>
      <c r="F763" s="829">
        <f ca="1">$F749-SUMIF($L751:$P760,"SUBI",$F751:$F760)</f>
        <v>0</v>
      </c>
      <c r="G763" s="499"/>
      <c r="H763" s="499"/>
      <c r="I763" s="499"/>
      <c r="J763" s="499"/>
      <c r="K763" s="765" t="s">
        <v>5</v>
      </c>
      <c r="L763" s="766" t="s">
        <v>573</v>
      </c>
      <c r="M763" s="499"/>
      <c r="N763" s="499"/>
      <c r="O763" s="499"/>
      <c r="P763" s="499"/>
      <c r="Q763" s="499"/>
      <c r="R763" s="784"/>
      <c r="S763" s="499"/>
      <c r="T763" s="784"/>
    </row>
    <row r="764" spans="1:33" s="797" customFormat="1" ht="14.4" customHeight="1">
      <c r="A764" s="785"/>
      <c r="B764" s="768" t="s">
        <v>575</v>
      </c>
      <c r="C764" s="786"/>
      <c r="D764" s="787"/>
      <c r="E764" s="787"/>
      <c r="F764" s="787"/>
      <c r="G764" s="788"/>
      <c r="H764" s="789"/>
      <c r="I764" s="789"/>
      <c r="J764" s="790"/>
      <c r="K764" s="791"/>
      <c r="L764" s="786"/>
      <c r="M764" s="792"/>
      <c r="N764" s="793"/>
      <c r="O764" s="794"/>
      <c r="P764" s="795"/>
      <c r="Q764" s="796"/>
      <c r="R764" s="771">
        <f>$A764*Q764</f>
        <v>0</v>
      </c>
      <c r="S764" s="567"/>
      <c r="T764" s="500">
        <f>$A764*S764*$T$1</f>
        <v>0</v>
      </c>
    </row>
    <row r="765" spans="1:33" s="501" customFormat="1" ht="11.4">
      <c r="A765" s="767"/>
      <c r="B765" s="567"/>
      <c r="C765" s="567"/>
      <c r="D765" s="567"/>
      <c r="E765" s="567"/>
      <c r="F765" s="567"/>
      <c r="G765" s="567"/>
      <c r="H765" s="567"/>
      <c r="I765" s="567"/>
      <c r="J765" s="567"/>
      <c r="K765" s="567"/>
      <c r="L765" s="770"/>
      <c r="M765" s="567"/>
      <c r="N765" s="567"/>
      <c r="O765" s="567"/>
      <c r="P765" s="567"/>
      <c r="Q765" s="567"/>
      <c r="R765" s="771">
        <f>$A765*Q765</f>
        <v>0</v>
      </c>
      <c r="S765" s="567"/>
      <c r="T765" s="500">
        <f>$A765*S765*$T$1</f>
        <v>0</v>
      </c>
    </row>
    <row r="766" spans="1:33" s="501" customFormat="1" ht="13.2">
      <c r="A766" s="767"/>
      <c r="B766" s="567"/>
      <c r="C766" s="567"/>
      <c r="D766" s="3"/>
      <c r="E766" s="567"/>
      <c r="F766" s="567"/>
      <c r="G766" s="567"/>
      <c r="H766" s="567"/>
      <c r="I766" s="567"/>
      <c r="J766" s="567"/>
      <c r="K766" s="567"/>
      <c r="L766" s="770"/>
      <c r="M766" s="567"/>
      <c r="N766" s="567"/>
      <c r="O766" s="567"/>
      <c r="P766" s="567"/>
      <c r="Q766" s="567"/>
      <c r="R766" s="771">
        <f>$A766*Q766</f>
        <v>0</v>
      </c>
      <c r="S766" s="567"/>
      <c r="T766" s="500">
        <f>$A766*S766*$T$1</f>
        <v>0</v>
      </c>
    </row>
    <row r="767" spans="1:33" s="501" customFormat="1" ht="12" customHeight="1">
      <c r="A767" s="772" t="s">
        <v>145</v>
      </c>
      <c r="B767" s="773">
        <f>(R766+T766)</f>
        <v>0</v>
      </c>
      <c r="C767" s="810"/>
      <c r="D767" s="810"/>
      <c r="E767" s="810"/>
      <c r="F767" s="810"/>
      <c r="G767" s="776"/>
      <c r="H767" s="776"/>
      <c r="I767" s="776"/>
      <c r="J767" s="776"/>
      <c r="K767" s="798" t="s">
        <v>5</v>
      </c>
      <c r="L767" s="811" t="s">
        <v>573</v>
      </c>
      <c r="M767" s="776"/>
      <c r="N767" s="776"/>
      <c r="O767" s="776"/>
      <c r="P767" s="776"/>
      <c r="Q767" s="776"/>
      <c r="R767" s="777">
        <f>SUM(R763:R766)</f>
        <v>0</v>
      </c>
      <c r="S767" s="778"/>
      <c r="T767" s="777">
        <f>SUM(T763:T766)</f>
        <v>0</v>
      </c>
      <c r="AG767" s="799">
        <f>ROUND($R767*$S$3,2)</f>
        <v>0</v>
      </c>
    </row>
    <row r="768" spans="1:33" s="501" customFormat="1" ht="12.75" customHeight="1">
      <c r="A768" s="813"/>
      <c r="B768" s="814"/>
      <c r="E768" s="497"/>
      <c r="F768" s="808"/>
      <c r="G768" s="497"/>
      <c r="H768" s="497"/>
      <c r="I768" s="499"/>
      <c r="J768" s="497"/>
      <c r="K768" s="497"/>
      <c r="L768" s="815"/>
      <c r="M768" s="725"/>
      <c r="N768" s="725"/>
      <c r="O768" s="725"/>
      <c r="P768" s="725"/>
      <c r="Q768" s="726"/>
      <c r="R768" s="784"/>
      <c r="S768" s="497"/>
      <c r="T768" s="784"/>
    </row>
    <row r="769" spans="1:41" s="501" customFormat="1" ht="13.5" customHeight="1" thickBot="1">
      <c r="A769" s="816"/>
      <c r="B769" s="817"/>
      <c r="C769" s="518"/>
      <c r="D769" s="518"/>
      <c r="E769" s="515"/>
      <c r="F769" s="721"/>
      <c r="G769" s="515" t="s">
        <v>146</v>
      </c>
      <c r="H769" s="515"/>
      <c r="I769" s="516"/>
      <c r="J769" s="515"/>
      <c r="K769" s="515"/>
      <c r="L769" s="818" t="s">
        <v>143</v>
      </c>
      <c r="M769" s="517"/>
      <c r="N769" s="517"/>
      <c r="O769" s="517"/>
      <c r="P769" s="517"/>
      <c r="Q769" s="722"/>
      <c r="R769" s="819">
        <f>SUMIF($L750:$L768,"SUBI",R750:R768)</f>
        <v>42.42</v>
      </c>
      <c r="S769" s="515"/>
      <c r="T769" s="819">
        <f>SUMIF($L750:$L768,"SUBI",T750:T768)</f>
        <v>2.58</v>
      </c>
      <c r="U769" s="518"/>
      <c r="V769" s="518"/>
      <c r="W769" s="518"/>
      <c r="X769" s="518"/>
      <c r="Y769" s="518"/>
      <c r="Z769" s="518"/>
      <c r="AA769" s="518"/>
      <c r="AB769" s="518"/>
      <c r="AC769" s="518"/>
      <c r="AD769" s="518"/>
      <c r="AE769" s="518"/>
      <c r="AF769" s="518"/>
      <c r="AG769" s="518"/>
      <c r="AH769" s="518"/>
      <c r="AI769" s="518"/>
      <c r="AJ769" s="518"/>
      <c r="AK769" s="518"/>
      <c r="AL769" s="518"/>
      <c r="AM769" s="518"/>
      <c r="AN769" s="518"/>
      <c r="AO769" s="518"/>
    </row>
    <row r="770" spans="1:41" s="501" customFormat="1" thickTop="1">
      <c r="A770" s="44"/>
      <c r="B770" s="39"/>
      <c r="C770" s="44"/>
      <c r="E770" s="40" t="s">
        <v>138</v>
      </c>
      <c r="F770" s="40" t="s">
        <v>139</v>
      </c>
      <c r="G770" s="44"/>
      <c r="H770" s="44"/>
      <c r="I770" s="44"/>
      <c r="J770" s="44"/>
      <c r="K770" s="44" t="s">
        <v>140</v>
      </c>
      <c r="L770" s="737"/>
      <c r="M770" s="44"/>
      <c r="N770" s="44"/>
      <c r="O770" s="45"/>
      <c r="P770" s="44"/>
      <c r="Q770"/>
      <c r="R770"/>
      <c r="S770"/>
      <c r="T770" s="39"/>
      <c r="AG770" s="502" t="s">
        <v>247</v>
      </c>
      <c r="AH770" s="502" t="s">
        <v>248</v>
      </c>
      <c r="AI770" s="502" t="s">
        <v>249</v>
      </c>
      <c r="AJ770" s="502" t="s">
        <v>250</v>
      </c>
      <c r="AK770" s="502" t="s">
        <v>251</v>
      </c>
      <c r="AM770" s="710" t="s">
        <v>260</v>
      </c>
      <c r="AN770" s="711" t="s">
        <v>261</v>
      </c>
      <c r="AO770" s="503" t="s">
        <v>257</v>
      </c>
    </row>
    <row r="771" spans="1:41" s="501" customFormat="1" ht="13.2">
      <c r="A771" s="712">
        <v>1</v>
      </c>
      <c r="B771" s="504" t="s">
        <v>141</v>
      </c>
      <c r="C771" s="505"/>
      <c r="D771" s="713" t="s">
        <v>958</v>
      </c>
      <c r="E771" s="738">
        <f>IF(AND($A771=0,$A$1="DIF"),0, ROUND(ROUND(SUMIF($L773:$L785,"SUBI",$E773:$E785)/$A771,2)*$C$12,2))</f>
        <v>152.91</v>
      </c>
      <c r="F771" s="739">
        <f>ROUND($A771*$E771,2)</f>
        <v>152.91</v>
      </c>
      <c r="G771" s="506" t="s">
        <v>142</v>
      </c>
      <c r="H771" s="498"/>
      <c r="I771" s="716"/>
      <c r="J771" s="498"/>
      <c r="K771" s="740"/>
      <c r="L771" s="741" t="s">
        <v>143</v>
      </c>
      <c r="M771" s="717"/>
      <c r="N771" s="717"/>
      <c r="O771" s="717"/>
      <c r="P771" s="717"/>
      <c r="Q771"/>
      <c r="R771"/>
      <c r="S771"/>
      <c r="T771" s="742" t="str">
        <f>IF(AND($R791=0,$T791=0),"0.00","mu :" &amp; ROUND($F771/$C$12/($R791+$T791*$D$9),2))</f>
        <v>mu :1.35</v>
      </c>
      <c r="W771" s="507"/>
      <c r="AG771" s="743">
        <f>IF(A771=0,0,ROUND(SUM(AG773:AG791)/A771,2))</f>
        <v>57.27</v>
      </c>
      <c r="AH771" s="743">
        <f>$AG771*$A771</f>
        <v>57.27</v>
      </c>
      <c r="AI771" s="743">
        <f>$E771-$AG771</f>
        <v>95.639999999999986</v>
      </c>
      <c r="AJ771" s="743">
        <f>$A771*$AI771</f>
        <v>95.639999999999986</v>
      </c>
      <c r="AK771" s="744">
        <f>ROUND(($AG771+$AI771)*$A771,2)</f>
        <v>152.91</v>
      </c>
      <c r="AM771" s="510">
        <f>ROUND(R791,2)</f>
        <v>42.42</v>
      </c>
      <c r="AN771" s="511">
        <f>ROUND(T791,2)</f>
        <v>2.58</v>
      </c>
      <c r="AO771" s="512">
        <f>ROUND(AM771+AN771,2)*A771</f>
        <v>45</v>
      </c>
    </row>
    <row r="772" spans="1:41" s="501" customFormat="1" ht="19.95" customHeight="1">
      <c r="A772" s="745"/>
      <c r="B772" s="746"/>
      <c r="C772" s="505"/>
      <c r="D772" s="724" t="s">
        <v>944</v>
      </c>
      <c r="F772" s="498"/>
      <c r="G772" s="498"/>
      <c r="H772" s="498"/>
      <c r="I772" s="716"/>
      <c r="J772" s="498"/>
      <c r="K772" s="498" t="s">
        <v>144</v>
      </c>
      <c r="L772" s="747"/>
      <c r="M772" s="498"/>
      <c r="N772" s="498"/>
      <c r="O772" s="498"/>
      <c r="P772" s="498"/>
      <c r="Q772" s="44"/>
      <c r="R772" s="567"/>
      <c r="S772" s="719"/>
      <c r="T772" s="498"/>
    </row>
    <row r="773" spans="1:41" s="501" customFormat="1" ht="12">
      <c r="A773" s="821"/>
      <c r="B773" s="822"/>
      <c r="C773" s="497"/>
      <c r="D773" s="498"/>
      <c r="E773" s="823">
        <f>F771/$C$12-SUMIF($L770:$L791,"SUBI",$E770:$E791)</f>
        <v>0</v>
      </c>
      <c r="F773" s="824" t="s">
        <v>572</v>
      </c>
      <c r="G773" s="753"/>
      <c r="H773" s="753"/>
      <c r="I773" s="754"/>
      <c r="J773" s="753"/>
      <c r="K773" s="753"/>
      <c r="L773" s="755"/>
      <c r="M773" s="756"/>
      <c r="N773" s="756"/>
      <c r="O773" s="756"/>
      <c r="P773" s="756"/>
      <c r="Q773" s="757"/>
      <c r="R773" s="758"/>
      <c r="S773" s="757"/>
      <c r="T773" s="759"/>
    </row>
    <row r="774" spans="1:41" s="501" customFormat="1" ht="12" customHeight="1">
      <c r="A774" s="760"/>
      <c r="B774" s="761"/>
      <c r="C774" s="762"/>
      <c r="D774" s="762" t="str">
        <f>$F$2</f>
        <v>Electrical</v>
      </c>
      <c r="E774" s="762">
        <f>ROUND(($R784*$S$2 + ($T784*$T$2)), 2)</f>
        <v>152.91</v>
      </c>
      <c r="F774" s="763">
        <f>$E774*$C$12</f>
        <v>152.91</v>
      </c>
      <c r="G774" s="567"/>
      <c r="H774" s="764"/>
      <c r="I774" s="567"/>
      <c r="J774" s="45"/>
      <c r="K774" s="765" t="s">
        <v>3</v>
      </c>
      <c r="L774" s="766" t="s">
        <v>573</v>
      </c>
      <c r="M774" s="567"/>
      <c r="N774" s="567"/>
      <c r="O774" s="45"/>
      <c r="P774" s="567"/>
      <c r="Q774" s="567"/>
      <c r="R774"/>
      <c r="S774"/>
      <c r="T774"/>
    </row>
    <row r="775" spans="1:41" s="893" customFormat="1" ht="13.2">
      <c r="A775"/>
      <c r="D775" s="944" t="s">
        <v>755</v>
      </c>
      <c r="G775" s="894" t="s">
        <v>749</v>
      </c>
      <c r="H775" s="895">
        <v>616</v>
      </c>
      <c r="I775" s="893" t="s">
        <v>656</v>
      </c>
      <c r="J775" s="893" t="s">
        <v>750</v>
      </c>
      <c r="O775" s="896">
        <v>2</v>
      </c>
      <c r="P775" s="897">
        <v>40767</v>
      </c>
      <c r="Q775" s="898"/>
      <c r="R775" s="899">
        <f t="shared" ref="R775:R783" si="33">$A775*Q775</f>
        <v>0</v>
      </c>
      <c r="S775" s="898"/>
      <c r="T775" s="900">
        <f t="shared" ref="T775:T783" si="34">$A775*S775*$T$1</f>
        <v>0</v>
      </c>
    </row>
    <row r="776" spans="1:41" s="893" customFormat="1" ht="13.2">
      <c r="A776">
        <v>3</v>
      </c>
      <c r="B776" s="893" t="s">
        <v>296</v>
      </c>
      <c r="D776" s="893" t="s">
        <v>1083</v>
      </c>
      <c r="F776" s="893" t="s">
        <v>1080</v>
      </c>
      <c r="G776" s="894" t="s">
        <v>1078</v>
      </c>
      <c r="H776" s="895">
        <v>616</v>
      </c>
      <c r="I776" s="893" t="s">
        <v>656</v>
      </c>
      <c r="J776" s="893" t="s">
        <v>1079</v>
      </c>
      <c r="O776" s="896">
        <v>2</v>
      </c>
      <c r="P776" s="897">
        <v>40767</v>
      </c>
      <c r="Q776" s="898">
        <v>7.15</v>
      </c>
      <c r="R776" s="899">
        <f t="shared" si="33"/>
        <v>21.450000000000003</v>
      </c>
      <c r="S776" s="898">
        <v>0.09</v>
      </c>
      <c r="T776" s="900">
        <f t="shared" si="34"/>
        <v>0.27</v>
      </c>
    </row>
    <row r="777" spans="1:41" s="893" customFormat="1" ht="13.2">
      <c r="A777" s="87">
        <v>3</v>
      </c>
      <c r="B777" s="893" t="s">
        <v>141</v>
      </c>
      <c r="D777" s="893" t="s">
        <v>743</v>
      </c>
      <c r="G777" s="894" t="s">
        <v>744</v>
      </c>
      <c r="H777" s="895">
        <v>875</v>
      </c>
      <c r="I777" s="893" t="s">
        <v>643</v>
      </c>
      <c r="K777" s="893" t="s">
        <v>745</v>
      </c>
      <c r="O777" s="896">
        <v>1</v>
      </c>
      <c r="P777" s="897">
        <v>34669</v>
      </c>
      <c r="Q777" s="898">
        <v>0.05</v>
      </c>
      <c r="R777" s="899">
        <f t="shared" si="33"/>
        <v>0.15000000000000002</v>
      </c>
      <c r="S777" s="898"/>
      <c r="T777" s="900">
        <f t="shared" si="34"/>
        <v>0</v>
      </c>
    </row>
    <row r="778" spans="1:41" s="893" customFormat="1" ht="13.2">
      <c r="A778">
        <v>2</v>
      </c>
      <c r="B778" s="893" t="s">
        <v>141</v>
      </c>
      <c r="D778" s="893" t="s">
        <v>751</v>
      </c>
      <c r="G778" s="894" t="s">
        <v>752</v>
      </c>
      <c r="H778" s="895">
        <v>620</v>
      </c>
      <c r="I778" s="893" t="s">
        <v>671</v>
      </c>
      <c r="O778" s="896">
        <v>2</v>
      </c>
      <c r="P778" s="897">
        <v>35431</v>
      </c>
      <c r="Q778" s="898">
        <v>7.66</v>
      </c>
      <c r="R778" s="899">
        <f t="shared" si="33"/>
        <v>15.32</v>
      </c>
      <c r="S778" s="898">
        <v>0.4</v>
      </c>
      <c r="T778" s="900">
        <f t="shared" si="34"/>
        <v>0.8</v>
      </c>
    </row>
    <row r="779" spans="1:41" s="893" customFormat="1" ht="13.2">
      <c r="A779">
        <v>2</v>
      </c>
      <c r="B779" s="893" t="s">
        <v>296</v>
      </c>
      <c r="D779" s="893" t="s">
        <v>672</v>
      </c>
      <c r="G779" s="894" t="s">
        <v>673</v>
      </c>
      <c r="H779" s="895">
        <v>620</v>
      </c>
      <c r="I779" s="893" t="s">
        <v>643</v>
      </c>
      <c r="O779" s="896">
        <v>2</v>
      </c>
      <c r="P779" s="897">
        <v>38148</v>
      </c>
      <c r="Q779" s="898">
        <v>1.5</v>
      </c>
      <c r="R779" s="899">
        <f t="shared" si="33"/>
        <v>3</v>
      </c>
      <c r="S779" s="898">
        <v>0.08</v>
      </c>
      <c r="T779" s="900">
        <f t="shared" si="34"/>
        <v>0.16</v>
      </c>
    </row>
    <row r="780" spans="1:41" s="893" customFormat="1" ht="13.2">
      <c r="A780">
        <v>10</v>
      </c>
      <c r="B780" s="893" t="s">
        <v>141</v>
      </c>
      <c r="D780" s="893" t="s">
        <v>1081</v>
      </c>
      <c r="G780" s="894" t="s">
        <v>1082</v>
      </c>
      <c r="H780" s="895">
        <v>620</v>
      </c>
      <c r="I780" s="893" t="s">
        <v>676</v>
      </c>
      <c r="O780" s="896">
        <v>2</v>
      </c>
      <c r="P780" s="897">
        <v>34669</v>
      </c>
      <c r="Q780" s="902">
        <v>0.25</v>
      </c>
      <c r="R780" s="899">
        <f t="shared" si="33"/>
        <v>2.5</v>
      </c>
      <c r="S780" s="898">
        <v>0.06</v>
      </c>
      <c r="T780" s="900">
        <f t="shared" si="34"/>
        <v>0.6</v>
      </c>
    </row>
    <row r="781" spans="1:41" s="893" customFormat="1" ht="13.2">
      <c r="A781">
        <v>1</v>
      </c>
      <c r="B781" s="893" t="s">
        <v>141</v>
      </c>
      <c r="D781" s="893" t="s">
        <v>658</v>
      </c>
      <c r="F781" s="893" t="s">
        <v>748</v>
      </c>
      <c r="G781" s="894" t="s">
        <v>659</v>
      </c>
      <c r="H781" s="895">
        <v>900</v>
      </c>
      <c r="I781" s="893" t="s">
        <v>660</v>
      </c>
      <c r="O781" s="896">
        <v>1</v>
      </c>
      <c r="P781" s="897"/>
      <c r="Q781" s="898"/>
      <c r="R781" s="899">
        <f t="shared" si="33"/>
        <v>0</v>
      </c>
      <c r="S781" s="898">
        <v>0.5</v>
      </c>
      <c r="T781" s="900">
        <f t="shared" si="34"/>
        <v>0.5</v>
      </c>
    </row>
    <row r="782" spans="1:41" s="893" customFormat="1" ht="13.2">
      <c r="A782">
        <v>1</v>
      </c>
      <c r="B782" s="893" t="s">
        <v>141</v>
      </c>
      <c r="D782" s="893" t="s">
        <v>658</v>
      </c>
      <c r="F782" s="893" t="s">
        <v>757</v>
      </c>
      <c r="G782" s="894" t="s">
        <v>659</v>
      </c>
      <c r="H782" s="895">
        <v>900</v>
      </c>
      <c r="I782" s="893" t="s">
        <v>660</v>
      </c>
      <c r="O782" s="896">
        <v>1</v>
      </c>
      <c r="P782" s="897"/>
      <c r="Q782" s="898"/>
      <c r="R782" s="899">
        <f t="shared" si="33"/>
        <v>0</v>
      </c>
      <c r="S782" s="898">
        <v>0.25</v>
      </c>
      <c r="T782" s="900">
        <f t="shared" si="34"/>
        <v>0.25</v>
      </c>
    </row>
    <row r="783" spans="1:41" s="501" customFormat="1" ht="13.95" customHeight="1">
      <c r="A783" s="767"/>
      <c r="B783" s="567"/>
      <c r="C783" s="567"/>
      <c r="D783" s="567"/>
      <c r="E783" s="567"/>
      <c r="F783" s="567"/>
      <c r="G783" s="567"/>
      <c r="H783" s="764"/>
      <c r="I783" s="567"/>
      <c r="J783" s="45"/>
      <c r="K783" s="769"/>
      <c r="L783" s="770"/>
      <c r="M783" s="567"/>
      <c r="N783" s="567"/>
      <c r="O783" s="45"/>
      <c r="P783" s="567"/>
      <c r="Q783" s="567"/>
      <c r="R783" s="771">
        <f t="shared" si="33"/>
        <v>0</v>
      </c>
      <c r="S783" s="567"/>
      <c r="T783" s="500">
        <f t="shared" si="34"/>
        <v>0</v>
      </c>
    </row>
    <row r="784" spans="1:41" s="501" customFormat="1" ht="12">
      <c r="A784" s="825" t="s">
        <v>145</v>
      </c>
      <c r="B784" s="826">
        <f>(R783+T783)</f>
        <v>0</v>
      </c>
      <c r="C784" s="497"/>
      <c r="G784" s="774"/>
      <c r="H784" s="774"/>
      <c r="I784" s="774"/>
      <c r="J784" s="774"/>
      <c r="K784" s="750" t="s">
        <v>3</v>
      </c>
      <c r="L784" s="775" t="s">
        <v>573</v>
      </c>
      <c r="M784" s="774"/>
      <c r="N784" s="774"/>
      <c r="O784" s="774"/>
      <c r="P784" s="774"/>
      <c r="Q784" s="776"/>
      <c r="R784" s="777">
        <f>SUM(R774:R783)</f>
        <v>42.42</v>
      </c>
      <c r="S784" s="778"/>
      <c r="T784" s="777">
        <f>SUM(T774:T783)</f>
        <v>2.58</v>
      </c>
      <c r="AG784" s="779">
        <f>ROUND($R784*$S$2,2)</f>
        <v>57.27</v>
      </c>
    </row>
    <row r="785" spans="1:41" s="501" customFormat="1" ht="12" customHeight="1">
      <c r="A785" s="800"/>
      <c r="B785" s="827"/>
      <c r="C785" s="828"/>
      <c r="D785" s="828" t="str">
        <f>$F$3</f>
        <v>Technician</v>
      </c>
      <c r="E785" s="828">
        <f>ROUND(($R789*$S$3 + ($T789*$T$3)), 2)</f>
        <v>0</v>
      </c>
      <c r="F785" s="829">
        <f ca="1">$F771-SUMIF($L773:$P782,"SUBI",$F773:$F782)</f>
        <v>0</v>
      </c>
      <c r="G785" s="499"/>
      <c r="H785" s="499"/>
      <c r="I785" s="499"/>
      <c r="J785" s="499"/>
      <c r="K785" s="765" t="s">
        <v>5</v>
      </c>
      <c r="L785" s="766" t="s">
        <v>573</v>
      </c>
      <c r="M785" s="499"/>
      <c r="N785" s="499"/>
      <c r="O785" s="499"/>
      <c r="P785" s="499"/>
      <c r="Q785" s="499"/>
      <c r="R785" s="784"/>
      <c r="S785" s="499"/>
      <c r="T785" s="784"/>
    </row>
    <row r="786" spans="1:41" s="797" customFormat="1" ht="14.4" customHeight="1">
      <c r="A786" s="785"/>
      <c r="B786" s="768" t="s">
        <v>575</v>
      </c>
      <c r="C786" s="786"/>
      <c r="D786" s="787"/>
      <c r="E786" s="787"/>
      <c r="F786" s="787"/>
      <c r="G786" s="788"/>
      <c r="H786" s="789"/>
      <c r="I786" s="789"/>
      <c r="J786" s="790"/>
      <c r="K786" s="791"/>
      <c r="L786" s="786"/>
      <c r="M786" s="792"/>
      <c r="N786" s="793"/>
      <c r="O786" s="794"/>
      <c r="P786" s="795"/>
      <c r="Q786" s="796"/>
      <c r="R786" s="771">
        <f>$A786*Q786</f>
        <v>0</v>
      </c>
      <c r="S786" s="567"/>
      <c r="T786" s="500">
        <f>$A786*S786*$T$1</f>
        <v>0</v>
      </c>
    </row>
    <row r="787" spans="1:41" s="501" customFormat="1" ht="11.4">
      <c r="A787" s="767"/>
      <c r="B787" s="567"/>
      <c r="C787" s="567"/>
      <c r="D787" s="567"/>
      <c r="E787" s="567"/>
      <c r="F787" s="567"/>
      <c r="G787" s="567"/>
      <c r="H787" s="567"/>
      <c r="I787" s="567"/>
      <c r="J787" s="567"/>
      <c r="K787" s="567"/>
      <c r="L787" s="770"/>
      <c r="M787" s="567"/>
      <c r="N787" s="567"/>
      <c r="O787" s="567"/>
      <c r="P787" s="567"/>
      <c r="Q787" s="567"/>
      <c r="R787" s="771">
        <f>$A787*Q787</f>
        <v>0</v>
      </c>
      <c r="S787" s="567"/>
      <c r="T787" s="500">
        <f>$A787*S787*$T$1</f>
        <v>0</v>
      </c>
    </row>
    <row r="788" spans="1:41" s="501" customFormat="1" ht="13.2">
      <c r="A788" s="767"/>
      <c r="B788" s="567"/>
      <c r="C788" s="567"/>
      <c r="D788" s="3"/>
      <c r="E788" s="567"/>
      <c r="F788" s="567"/>
      <c r="G788" s="567"/>
      <c r="H788" s="567"/>
      <c r="I788" s="567"/>
      <c r="J788" s="567"/>
      <c r="K788" s="567"/>
      <c r="L788" s="770"/>
      <c r="M788" s="567"/>
      <c r="N788" s="567"/>
      <c r="O788" s="567"/>
      <c r="P788" s="567"/>
      <c r="Q788" s="567"/>
      <c r="R788" s="771">
        <f>$A788*Q788</f>
        <v>0</v>
      </c>
      <c r="S788" s="567"/>
      <c r="T788" s="500">
        <f>$A788*S788*$T$1</f>
        <v>0</v>
      </c>
    </row>
    <row r="789" spans="1:41" s="501" customFormat="1" ht="12" customHeight="1">
      <c r="A789" s="772" t="s">
        <v>145</v>
      </c>
      <c r="B789" s="773">
        <f>(R788+T788)</f>
        <v>0</v>
      </c>
      <c r="C789" s="810"/>
      <c r="D789" s="810"/>
      <c r="E789" s="810"/>
      <c r="F789" s="810"/>
      <c r="G789" s="776"/>
      <c r="H789" s="776"/>
      <c r="I789" s="776"/>
      <c r="J789" s="776"/>
      <c r="K789" s="798" t="s">
        <v>5</v>
      </c>
      <c r="L789" s="811" t="s">
        <v>573</v>
      </c>
      <c r="M789" s="776"/>
      <c r="N789" s="776"/>
      <c r="O789" s="776"/>
      <c r="P789" s="776"/>
      <c r="Q789" s="776"/>
      <c r="R789" s="777">
        <f>SUM(R785:R788)</f>
        <v>0</v>
      </c>
      <c r="S789" s="778"/>
      <c r="T789" s="777">
        <f>SUM(T785:T788)</f>
        <v>0</v>
      </c>
      <c r="AG789" s="799">
        <f>ROUND($R789*$S$3,2)</f>
        <v>0</v>
      </c>
    </row>
    <row r="790" spans="1:41" s="501" customFormat="1" ht="12.75" customHeight="1">
      <c r="A790" s="813"/>
      <c r="B790" s="814"/>
      <c r="E790" s="497"/>
      <c r="F790" s="808"/>
      <c r="G790" s="497"/>
      <c r="H790" s="497"/>
      <c r="I790" s="499"/>
      <c r="J790" s="497"/>
      <c r="K790" s="497"/>
      <c r="L790" s="815"/>
      <c r="M790" s="725"/>
      <c r="N790" s="725"/>
      <c r="O790" s="725"/>
      <c r="P790" s="725"/>
      <c r="Q790" s="726"/>
      <c r="R790" s="784"/>
      <c r="S790" s="497"/>
      <c r="T790" s="784"/>
    </row>
    <row r="791" spans="1:41" s="501" customFormat="1" ht="13.5" customHeight="1" thickBot="1">
      <c r="A791" s="816"/>
      <c r="B791" s="817"/>
      <c r="C791" s="518"/>
      <c r="D791" s="518"/>
      <c r="E791" s="515"/>
      <c r="F791" s="721"/>
      <c r="G791" s="515" t="s">
        <v>146</v>
      </c>
      <c r="H791" s="515"/>
      <c r="I791" s="516"/>
      <c r="J791" s="515"/>
      <c r="K791" s="515"/>
      <c r="L791" s="818" t="s">
        <v>143</v>
      </c>
      <c r="M791" s="517"/>
      <c r="N791" s="517"/>
      <c r="O791" s="517"/>
      <c r="P791" s="517"/>
      <c r="Q791" s="722"/>
      <c r="R791" s="819">
        <f>SUMIF($L772:$L790,"SUBI",R772:R790)</f>
        <v>42.42</v>
      </c>
      <c r="S791" s="515"/>
      <c r="T791" s="819">
        <f>SUMIF($L772:$L790,"SUBI",T772:T790)</f>
        <v>2.58</v>
      </c>
      <c r="U791" s="518"/>
      <c r="V791" s="518"/>
      <c r="W791" s="518"/>
      <c r="X791" s="518"/>
      <c r="Y791" s="518"/>
      <c r="Z791" s="518"/>
      <c r="AA791" s="518"/>
      <c r="AB791" s="518"/>
      <c r="AC791" s="518"/>
      <c r="AD791" s="518"/>
      <c r="AE791" s="518"/>
      <c r="AF791" s="518"/>
      <c r="AG791" s="518"/>
      <c r="AH791" s="518"/>
      <c r="AI791" s="518"/>
      <c r="AJ791" s="518"/>
      <c r="AK791" s="518"/>
      <c r="AL791" s="518"/>
      <c r="AM791" s="518"/>
      <c r="AN791" s="518"/>
      <c r="AO791" s="518"/>
    </row>
    <row r="792" spans="1:41" s="501" customFormat="1" thickTop="1">
      <c r="A792" s="44"/>
      <c r="B792" s="39"/>
      <c r="C792" s="44"/>
      <c r="E792" s="40" t="s">
        <v>138</v>
      </c>
      <c r="F792" s="40" t="s">
        <v>139</v>
      </c>
      <c r="G792" s="44"/>
      <c r="H792" s="44"/>
      <c r="I792" s="44"/>
      <c r="J792" s="44"/>
      <c r="K792" s="44" t="s">
        <v>140</v>
      </c>
      <c r="L792" s="737"/>
      <c r="M792" s="44"/>
      <c r="N792" s="44"/>
      <c r="O792" s="45"/>
      <c r="P792" s="44"/>
      <c r="Q792"/>
      <c r="R792"/>
      <c r="S792"/>
      <c r="T792" s="39"/>
      <c r="AG792" s="502" t="s">
        <v>247</v>
      </c>
      <c r="AH792" s="502" t="s">
        <v>248</v>
      </c>
      <c r="AI792" s="502" t="s">
        <v>249</v>
      </c>
      <c r="AJ792" s="502" t="s">
        <v>250</v>
      </c>
      <c r="AK792" s="502" t="s">
        <v>251</v>
      </c>
      <c r="AM792" s="710" t="s">
        <v>260</v>
      </c>
      <c r="AN792" s="711" t="s">
        <v>261</v>
      </c>
      <c r="AO792" s="503" t="s">
        <v>257</v>
      </c>
    </row>
    <row r="793" spans="1:41" s="501" customFormat="1" ht="13.2">
      <c r="A793" s="712">
        <v>1</v>
      </c>
      <c r="B793" s="504" t="s">
        <v>141</v>
      </c>
      <c r="C793" s="505"/>
      <c r="D793" s="713" t="s">
        <v>959</v>
      </c>
      <c r="E793" s="738">
        <f>IF(AND($A793=0,$A$1="DIF"),0, ROUND(ROUND(SUMIF($L795:$L807,"SUBI",$E795:$E807)/$A793,2)*$C$12,2))</f>
        <v>152.91</v>
      </c>
      <c r="F793" s="739">
        <f>ROUND($A793*$E793,2)</f>
        <v>152.91</v>
      </c>
      <c r="G793" s="506" t="s">
        <v>142</v>
      </c>
      <c r="H793" s="498"/>
      <c r="I793" s="716"/>
      <c r="J793" s="498"/>
      <c r="K793" s="740"/>
      <c r="L793" s="741" t="s">
        <v>143</v>
      </c>
      <c r="M793" s="717"/>
      <c r="N793" s="717"/>
      <c r="O793" s="717"/>
      <c r="P793" s="717"/>
      <c r="Q793"/>
      <c r="R793"/>
      <c r="S793"/>
      <c r="T793" s="742" t="str">
        <f>IF(AND($R813=0,$T813=0),"0.00","mu :" &amp; ROUND($F793/$C$12/($R813+$T813*$D$9),2))</f>
        <v>mu :1.35</v>
      </c>
      <c r="W793" s="507"/>
      <c r="AG793" s="743">
        <f>IF(A793=0,0,ROUND(SUM(AG795:AG813)/A793,2))</f>
        <v>57.27</v>
      </c>
      <c r="AH793" s="743">
        <f>$AG793*$A793</f>
        <v>57.27</v>
      </c>
      <c r="AI793" s="743">
        <f>$E793-$AG793</f>
        <v>95.639999999999986</v>
      </c>
      <c r="AJ793" s="743">
        <f>$A793*$AI793</f>
        <v>95.639999999999986</v>
      </c>
      <c r="AK793" s="744">
        <f>ROUND(($AG793+$AI793)*$A793,2)</f>
        <v>152.91</v>
      </c>
      <c r="AM793" s="510">
        <f>ROUND(R813,2)</f>
        <v>42.42</v>
      </c>
      <c r="AN793" s="511">
        <f>ROUND(T813,2)</f>
        <v>2.58</v>
      </c>
      <c r="AO793" s="512">
        <f>ROUND(AM793+AN793,2)*A793</f>
        <v>45</v>
      </c>
    </row>
    <row r="794" spans="1:41" s="501" customFormat="1" ht="19.95" customHeight="1">
      <c r="A794" s="745"/>
      <c r="B794" s="746"/>
      <c r="C794" s="505"/>
      <c r="D794" s="724" t="s">
        <v>945</v>
      </c>
      <c r="F794" s="498"/>
      <c r="G794" s="498"/>
      <c r="H794" s="498"/>
      <c r="I794" s="716"/>
      <c r="J794" s="498"/>
      <c r="K794" s="498" t="s">
        <v>144</v>
      </c>
      <c r="L794" s="747"/>
      <c r="M794" s="498"/>
      <c r="N794" s="498"/>
      <c r="O794" s="498"/>
      <c r="P794" s="498"/>
      <c r="Q794" s="44"/>
      <c r="R794" s="567"/>
      <c r="S794" s="719"/>
      <c r="T794" s="498"/>
    </row>
    <row r="795" spans="1:41" s="501" customFormat="1" ht="12">
      <c r="A795" s="821"/>
      <c r="B795" s="822"/>
      <c r="C795" s="497"/>
      <c r="D795" s="498"/>
      <c r="E795" s="823">
        <f>F793/$C$12-SUMIF($L792:$L813,"SUBI",$E792:$E813)</f>
        <v>0</v>
      </c>
      <c r="F795" s="824" t="s">
        <v>572</v>
      </c>
      <c r="G795" s="753"/>
      <c r="H795" s="753"/>
      <c r="I795" s="754"/>
      <c r="J795" s="753"/>
      <c r="K795" s="753"/>
      <c r="L795" s="755"/>
      <c r="M795" s="756"/>
      <c r="N795" s="756"/>
      <c r="O795" s="756"/>
      <c r="P795" s="756"/>
      <c r="Q795" s="757"/>
      <c r="R795" s="758"/>
      <c r="S795" s="757"/>
      <c r="T795" s="759"/>
    </row>
    <row r="796" spans="1:41" s="501" customFormat="1" ht="12" customHeight="1">
      <c r="A796" s="760"/>
      <c r="B796" s="761"/>
      <c r="C796" s="762"/>
      <c r="D796" s="762" t="str">
        <f>$F$2</f>
        <v>Electrical</v>
      </c>
      <c r="E796" s="762">
        <f>ROUND(($R806*$S$2 + ($T806*$T$2)), 2)</f>
        <v>152.91</v>
      </c>
      <c r="F796" s="763">
        <f>$E796*$C$12</f>
        <v>152.91</v>
      </c>
      <c r="G796" s="567"/>
      <c r="H796" s="764"/>
      <c r="I796" s="567"/>
      <c r="J796" s="45"/>
      <c r="K796" s="765" t="s">
        <v>3</v>
      </c>
      <c r="L796" s="766" t="s">
        <v>573</v>
      </c>
      <c r="M796" s="567"/>
      <c r="N796" s="567"/>
      <c r="O796" s="45"/>
      <c r="P796" s="567"/>
      <c r="Q796" s="567"/>
      <c r="R796"/>
      <c r="S796"/>
      <c r="T796"/>
    </row>
    <row r="797" spans="1:41" s="893" customFormat="1" ht="13.2">
      <c r="A797"/>
      <c r="D797" s="944" t="s">
        <v>755</v>
      </c>
      <c r="G797" s="894" t="s">
        <v>749</v>
      </c>
      <c r="H797" s="895">
        <v>616</v>
      </c>
      <c r="I797" s="893" t="s">
        <v>656</v>
      </c>
      <c r="J797" s="893" t="s">
        <v>750</v>
      </c>
      <c r="O797" s="896">
        <v>2</v>
      </c>
      <c r="P797" s="897">
        <v>40767</v>
      </c>
      <c r="Q797" s="898"/>
      <c r="R797" s="899">
        <f t="shared" ref="R797:R805" si="35">$A797*Q797</f>
        <v>0</v>
      </c>
      <c r="S797" s="898"/>
      <c r="T797" s="900">
        <f t="shared" ref="T797:T805" si="36">$A797*S797*$T$1</f>
        <v>0</v>
      </c>
    </row>
    <row r="798" spans="1:41" s="893" customFormat="1" ht="13.2">
      <c r="A798">
        <v>3</v>
      </c>
      <c r="B798" s="893" t="s">
        <v>296</v>
      </c>
      <c r="D798" s="893" t="s">
        <v>1083</v>
      </c>
      <c r="F798" s="893" t="s">
        <v>1080</v>
      </c>
      <c r="G798" s="894" t="s">
        <v>1078</v>
      </c>
      <c r="H798" s="895">
        <v>616</v>
      </c>
      <c r="I798" s="893" t="s">
        <v>656</v>
      </c>
      <c r="J798" s="893" t="s">
        <v>1079</v>
      </c>
      <c r="O798" s="896">
        <v>2</v>
      </c>
      <c r="P798" s="897">
        <v>40767</v>
      </c>
      <c r="Q798" s="898">
        <v>7.15</v>
      </c>
      <c r="R798" s="899">
        <f t="shared" si="35"/>
        <v>21.450000000000003</v>
      </c>
      <c r="S798" s="898">
        <v>0.09</v>
      </c>
      <c r="T798" s="900">
        <f t="shared" si="36"/>
        <v>0.27</v>
      </c>
    </row>
    <row r="799" spans="1:41" s="893" customFormat="1" ht="13.2">
      <c r="A799" s="87">
        <v>3</v>
      </c>
      <c r="B799" s="893" t="s">
        <v>141</v>
      </c>
      <c r="D799" s="893" t="s">
        <v>743</v>
      </c>
      <c r="G799" s="894" t="s">
        <v>744</v>
      </c>
      <c r="H799" s="895">
        <v>875</v>
      </c>
      <c r="I799" s="893" t="s">
        <v>643</v>
      </c>
      <c r="K799" s="893" t="s">
        <v>745</v>
      </c>
      <c r="O799" s="896">
        <v>1</v>
      </c>
      <c r="P799" s="897">
        <v>34669</v>
      </c>
      <c r="Q799" s="898">
        <v>0.05</v>
      </c>
      <c r="R799" s="899">
        <f t="shared" si="35"/>
        <v>0.15000000000000002</v>
      </c>
      <c r="S799" s="898"/>
      <c r="T799" s="900">
        <f t="shared" si="36"/>
        <v>0</v>
      </c>
    </row>
    <row r="800" spans="1:41" s="893" customFormat="1" ht="13.2">
      <c r="A800">
        <v>2</v>
      </c>
      <c r="B800" s="893" t="s">
        <v>141</v>
      </c>
      <c r="D800" s="893" t="s">
        <v>751</v>
      </c>
      <c r="G800" s="894" t="s">
        <v>752</v>
      </c>
      <c r="H800" s="895">
        <v>620</v>
      </c>
      <c r="I800" s="893" t="s">
        <v>671</v>
      </c>
      <c r="O800" s="896">
        <v>2</v>
      </c>
      <c r="P800" s="897">
        <v>35431</v>
      </c>
      <c r="Q800" s="898">
        <v>7.66</v>
      </c>
      <c r="R800" s="899">
        <f t="shared" si="35"/>
        <v>15.32</v>
      </c>
      <c r="S800" s="898">
        <v>0.4</v>
      </c>
      <c r="T800" s="900">
        <f t="shared" si="36"/>
        <v>0.8</v>
      </c>
    </row>
    <row r="801" spans="1:41" s="893" customFormat="1" ht="13.2">
      <c r="A801">
        <v>2</v>
      </c>
      <c r="B801" s="893" t="s">
        <v>296</v>
      </c>
      <c r="D801" s="893" t="s">
        <v>672</v>
      </c>
      <c r="G801" s="894" t="s">
        <v>673</v>
      </c>
      <c r="H801" s="895">
        <v>620</v>
      </c>
      <c r="I801" s="893" t="s">
        <v>643</v>
      </c>
      <c r="O801" s="896">
        <v>2</v>
      </c>
      <c r="P801" s="897">
        <v>38148</v>
      </c>
      <c r="Q801" s="898">
        <v>1.5</v>
      </c>
      <c r="R801" s="899">
        <f t="shared" si="35"/>
        <v>3</v>
      </c>
      <c r="S801" s="898">
        <v>0.08</v>
      </c>
      <c r="T801" s="900">
        <f t="shared" si="36"/>
        <v>0.16</v>
      </c>
    </row>
    <row r="802" spans="1:41" s="893" customFormat="1" ht="13.2">
      <c r="A802">
        <v>10</v>
      </c>
      <c r="B802" s="893" t="s">
        <v>141</v>
      </c>
      <c r="D802" s="893" t="s">
        <v>1081</v>
      </c>
      <c r="G802" s="894" t="s">
        <v>1082</v>
      </c>
      <c r="H802" s="895">
        <v>620</v>
      </c>
      <c r="I802" s="893" t="s">
        <v>676</v>
      </c>
      <c r="O802" s="896">
        <v>2</v>
      </c>
      <c r="P802" s="897">
        <v>34669</v>
      </c>
      <c r="Q802" s="902">
        <v>0.25</v>
      </c>
      <c r="R802" s="899">
        <f t="shared" si="35"/>
        <v>2.5</v>
      </c>
      <c r="S802" s="898">
        <v>0.06</v>
      </c>
      <c r="T802" s="900">
        <f t="shared" si="36"/>
        <v>0.6</v>
      </c>
    </row>
    <row r="803" spans="1:41" s="893" customFormat="1" ht="13.2">
      <c r="A803">
        <v>1</v>
      </c>
      <c r="B803" s="893" t="s">
        <v>141</v>
      </c>
      <c r="D803" s="893" t="s">
        <v>658</v>
      </c>
      <c r="F803" s="893" t="s">
        <v>748</v>
      </c>
      <c r="G803" s="894" t="s">
        <v>659</v>
      </c>
      <c r="H803" s="895">
        <v>900</v>
      </c>
      <c r="I803" s="893" t="s">
        <v>660</v>
      </c>
      <c r="O803" s="896">
        <v>1</v>
      </c>
      <c r="P803" s="897"/>
      <c r="Q803" s="898"/>
      <c r="R803" s="899">
        <f t="shared" si="35"/>
        <v>0</v>
      </c>
      <c r="S803" s="898">
        <v>0.5</v>
      </c>
      <c r="T803" s="900">
        <f t="shared" si="36"/>
        <v>0.5</v>
      </c>
    </row>
    <row r="804" spans="1:41" s="893" customFormat="1" ht="13.2">
      <c r="A804">
        <v>1</v>
      </c>
      <c r="B804" s="893" t="s">
        <v>141</v>
      </c>
      <c r="D804" s="893" t="s">
        <v>658</v>
      </c>
      <c r="F804" s="893" t="s">
        <v>757</v>
      </c>
      <c r="G804" s="894" t="s">
        <v>659</v>
      </c>
      <c r="H804" s="895">
        <v>900</v>
      </c>
      <c r="I804" s="893" t="s">
        <v>660</v>
      </c>
      <c r="O804" s="896">
        <v>1</v>
      </c>
      <c r="P804" s="897"/>
      <c r="Q804" s="898"/>
      <c r="R804" s="899">
        <f t="shared" si="35"/>
        <v>0</v>
      </c>
      <c r="S804" s="898">
        <v>0.25</v>
      </c>
      <c r="T804" s="900">
        <f t="shared" si="36"/>
        <v>0.25</v>
      </c>
    </row>
    <row r="805" spans="1:41" s="501" customFormat="1" ht="13.95" customHeight="1">
      <c r="A805" s="767"/>
      <c r="B805" s="567"/>
      <c r="C805" s="567"/>
      <c r="D805" s="567"/>
      <c r="E805" s="567"/>
      <c r="F805" s="567"/>
      <c r="G805" s="567"/>
      <c r="H805" s="764"/>
      <c r="I805" s="567"/>
      <c r="J805" s="45"/>
      <c r="K805" s="769"/>
      <c r="L805" s="770"/>
      <c r="M805" s="567"/>
      <c r="N805" s="567"/>
      <c r="O805" s="45"/>
      <c r="P805" s="567"/>
      <c r="Q805" s="567"/>
      <c r="R805" s="771">
        <f t="shared" si="35"/>
        <v>0</v>
      </c>
      <c r="S805" s="567"/>
      <c r="T805" s="500">
        <f t="shared" si="36"/>
        <v>0</v>
      </c>
    </row>
    <row r="806" spans="1:41" s="501" customFormat="1" ht="12">
      <c r="A806" s="825" t="s">
        <v>145</v>
      </c>
      <c r="B806" s="826">
        <f>(R805+T805)</f>
        <v>0</v>
      </c>
      <c r="C806" s="497"/>
      <c r="G806" s="774"/>
      <c r="H806" s="774"/>
      <c r="I806" s="774"/>
      <c r="J806" s="774"/>
      <c r="K806" s="750" t="s">
        <v>3</v>
      </c>
      <c r="L806" s="775" t="s">
        <v>573</v>
      </c>
      <c r="M806" s="774"/>
      <c r="N806" s="774"/>
      <c r="O806" s="774"/>
      <c r="P806" s="774"/>
      <c r="Q806" s="776"/>
      <c r="R806" s="777">
        <f>SUM(R796:R805)</f>
        <v>42.42</v>
      </c>
      <c r="S806" s="778"/>
      <c r="T806" s="777">
        <f>SUM(T796:T805)</f>
        <v>2.58</v>
      </c>
      <c r="AG806" s="779">
        <f>ROUND($R806*$S$2,2)</f>
        <v>57.27</v>
      </c>
    </row>
    <row r="807" spans="1:41" s="501" customFormat="1" ht="12" customHeight="1">
      <c r="A807" s="800"/>
      <c r="B807" s="827"/>
      <c r="C807" s="828"/>
      <c r="D807" s="828" t="str">
        <f>$F$3</f>
        <v>Technician</v>
      </c>
      <c r="E807" s="828">
        <f>ROUND(($R811*$S$3 + ($T811*$T$3)), 2)</f>
        <v>0</v>
      </c>
      <c r="F807" s="829">
        <f ca="1">$F793-SUMIF($L795:$P804,"SUBI",$F795:$F804)</f>
        <v>0</v>
      </c>
      <c r="G807" s="499"/>
      <c r="H807" s="499"/>
      <c r="I807" s="499"/>
      <c r="J807" s="499"/>
      <c r="K807" s="765" t="s">
        <v>5</v>
      </c>
      <c r="L807" s="766" t="s">
        <v>573</v>
      </c>
      <c r="M807" s="499"/>
      <c r="N807" s="499"/>
      <c r="O807" s="499"/>
      <c r="P807" s="499"/>
      <c r="Q807" s="499"/>
      <c r="R807" s="784"/>
      <c r="S807" s="499"/>
      <c r="T807" s="784"/>
    </row>
    <row r="808" spans="1:41" s="797" customFormat="1" ht="14.4" customHeight="1">
      <c r="A808" s="785"/>
      <c r="B808" s="768" t="s">
        <v>575</v>
      </c>
      <c r="C808" s="786"/>
      <c r="D808" s="787"/>
      <c r="E808" s="787"/>
      <c r="F808" s="787"/>
      <c r="G808" s="788"/>
      <c r="H808" s="789"/>
      <c r="I808" s="789"/>
      <c r="J808" s="790"/>
      <c r="K808" s="791"/>
      <c r="L808" s="786"/>
      <c r="M808" s="792"/>
      <c r="N808" s="793"/>
      <c r="O808" s="794"/>
      <c r="P808" s="795"/>
      <c r="Q808" s="796"/>
      <c r="R808" s="771">
        <f>$A808*Q808</f>
        <v>0</v>
      </c>
      <c r="S808" s="567"/>
      <c r="T808" s="500">
        <f>$A808*S808*$T$1</f>
        <v>0</v>
      </c>
    </row>
    <row r="809" spans="1:41" s="501" customFormat="1" ht="11.4">
      <c r="A809" s="767"/>
      <c r="B809" s="567"/>
      <c r="C809" s="567"/>
      <c r="D809" s="567"/>
      <c r="E809" s="567"/>
      <c r="F809" s="567"/>
      <c r="G809" s="567"/>
      <c r="H809" s="567"/>
      <c r="I809" s="567"/>
      <c r="J809" s="567"/>
      <c r="K809" s="567"/>
      <c r="L809" s="770"/>
      <c r="M809" s="567"/>
      <c r="N809" s="567"/>
      <c r="O809" s="567"/>
      <c r="P809" s="567"/>
      <c r="Q809" s="567"/>
      <c r="R809" s="771">
        <f>$A809*Q809</f>
        <v>0</v>
      </c>
      <c r="S809" s="567"/>
      <c r="T809" s="500">
        <f>$A809*S809*$T$1</f>
        <v>0</v>
      </c>
    </row>
    <row r="810" spans="1:41" s="501" customFormat="1" ht="13.2">
      <c r="A810" s="767"/>
      <c r="B810" s="567"/>
      <c r="C810" s="567"/>
      <c r="D810" s="3"/>
      <c r="E810" s="567"/>
      <c r="F810" s="567"/>
      <c r="G810" s="567"/>
      <c r="H810" s="567"/>
      <c r="I810" s="567"/>
      <c r="J810" s="567"/>
      <c r="K810" s="567"/>
      <c r="L810" s="770"/>
      <c r="M810" s="567"/>
      <c r="N810" s="567"/>
      <c r="O810" s="567"/>
      <c r="P810" s="567"/>
      <c r="Q810" s="567"/>
      <c r="R810" s="771">
        <f>$A810*Q810</f>
        <v>0</v>
      </c>
      <c r="S810" s="567"/>
      <c r="T810" s="500">
        <f>$A810*S810*$T$1</f>
        <v>0</v>
      </c>
    </row>
    <row r="811" spans="1:41" s="501" customFormat="1" ht="12" customHeight="1">
      <c r="A811" s="772" t="s">
        <v>145</v>
      </c>
      <c r="B811" s="773">
        <f>(R810+T810)</f>
        <v>0</v>
      </c>
      <c r="C811" s="810"/>
      <c r="D811" s="810"/>
      <c r="E811" s="810"/>
      <c r="F811" s="810"/>
      <c r="G811" s="776"/>
      <c r="H811" s="776"/>
      <c r="I811" s="776"/>
      <c r="J811" s="776"/>
      <c r="K811" s="798" t="s">
        <v>5</v>
      </c>
      <c r="L811" s="811" t="s">
        <v>573</v>
      </c>
      <c r="M811" s="776"/>
      <c r="N811" s="776"/>
      <c r="O811" s="776"/>
      <c r="P811" s="776"/>
      <c r="Q811" s="776"/>
      <c r="R811" s="777">
        <f>SUM(R807:R810)</f>
        <v>0</v>
      </c>
      <c r="S811" s="778"/>
      <c r="T811" s="777">
        <f>SUM(T807:T810)</f>
        <v>0</v>
      </c>
      <c r="AG811" s="799">
        <f>ROUND($R811*$S$3,2)</f>
        <v>0</v>
      </c>
    </row>
    <row r="812" spans="1:41" s="501" customFormat="1" ht="12.75" customHeight="1">
      <c r="A812" s="813"/>
      <c r="B812" s="814"/>
      <c r="E812" s="497"/>
      <c r="F812" s="808"/>
      <c r="G812" s="497"/>
      <c r="H812" s="497"/>
      <c r="I812" s="499"/>
      <c r="J812" s="497"/>
      <c r="K812" s="497"/>
      <c r="L812" s="815"/>
      <c r="M812" s="725"/>
      <c r="N812" s="725"/>
      <c r="O812" s="725"/>
      <c r="P812" s="725"/>
      <c r="Q812" s="726"/>
      <c r="R812" s="784"/>
      <c r="S812" s="497"/>
      <c r="T812" s="784"/>
    </row>
    <row r="813" spans="1:41" s="501" customFormat="1" ht="13.5" customHeight="1" thickBot="1">
      <c r="A813" s="816"/>
      <c r="B813" s="817"/>
      <c r="C813" s="518"/>
      <c r="D813" s="518"/>
      <c r="E813" s="515"/>
      <c r="F813" s="721"/>
      <c r="G813" s="515" t="s">
        <v>146</v>
      </c>
      <c r="H813" s="515"/>
      <c r="I813" s="516"/>
      <c r="J813" s="515"/>
      <c r="K813" s="515"/>
      <c r="L813" s="818" t="s">
        <v>143</v>
      </c>
      <c r="M813" s="517"/>
      <c r="N813" s="517"/>
      <c r="O813" s="517"/>
      <c r="P813" s="517"/>
      <c r="Q813" s="722"/>
      <c r="R813" s="819">
        <f>SUMIF($L794:$L812,"SUBI",R794:R812)</f>
        <v>42.42</v>
      </c>
      <c r="S813" s="515"/>
      <c r="T813" s="819">
        <f>SUMIF($L794:$L812,"SUBI",T794:T812)</f>
        <v>2.58</v>
      </c>
      <c r="U813" s="518"/>
      <c r="V813" s="518"/>
      <c r="W813" s="518"/>
      <c r="X813" s="518"/>
      <c r="Y813" s="518"/>
      <c r="Z813" s="518"/>
      <c r="AA813" s="518"/>
      <c r="AB813" s="518"/>
      <c r="AC813" s="518"/>
      <c r="AD813" s="518"/>
      <c r="AE813" s="518"/>
      <c r="AF813" s="518"/>
      <c r="AG813" s="518"/>
      <c r="AH813" s="518"/>
      <c r="AI813" s="518"/>
      <c r="AJ813" s="518"/>
      <c r="AK813" s="518"/>
      <c r="AL813" s="518"/>
      <c r="AM813" s="518"/>
      <c r="AN813" s="518"/>
      <c r="AO813" s="518"/>
    </row>
    <row r="814" spans="1:41" s="501" customFormat="1" thickTop="1">
      <c r="A814" s="44"/>
      <c r="B814" s="44"/>
      <c r="C814" s="3"/>
      <c r="D814" s="3"/>
      <c r="E814" s="44"/>
      <c r="F814" s="44"/>
      <c r="G814" s="44"/>
      <c r="H814" s="44"/>
      <c r="I814" s="44"/>
      <c r="J814" s="44"/>
      <c r="K814" s="44" t="s">
        <v>134</v>
      </c>
      <c r="L814" s="44"/>
      <c r="M814" s="44"/>
      <c r="N814" s="44"/>
      <c r="O814" s="45"/>
      <c r="P814" s="44"/>
      <c r="Q814" s="44"/>
      <c r="R814" s="44"/>
      <c r="S814" s="44"/>
      <c r="T814" s="44"/>
    </row>
    <row r="815" spans="1:41" s="501" customFormat="1" ht="12">
      <c r="A815" s="44"/>
      <c r="B815" s="44"/>
      <c r="C815" s="44" t="s">
        <v>135</v>
      </c>
      <c r="D815" s="35" t="s">
        <v>960</v>
      </c>
      <c r="E815" s="44"/>
      <c r="F815" s="44"/>
      <c r="G815" s="44"/>
      <c r="H815" s="44"/>
      <c r="I815" s="44"/>
      <c r="J815" s="44"/>
      <c r="K815" s="44"/>
      <c r="L815" s="44"/>
      <c r="M815" s="44"/>
      <c r="N815" s="44"/>
      <c r="O815" s="45"/>
      <c r="P815" s="44"/>
      <c r="Q815" s="44"/>
      <c r="R815" s="44"/>
      <c r="S815" s="44"/>
      <c r="T815" s="44"/>
    </row>
    <row r="816" spans="1:41" s="501" customFormat="1" ht="12">
      <c r="A816" s="44"/>
      <c r="B816" s="44"/>
      <c r="C816" s="44"/>
      <c r="D816" s="35" t="s">
        <v>350</v>
      </c>
      <c r="E816" s="44"/>
      <c r="F816" s="44"/>
      <c r="G816" s="44"/>
      <c r="H816" s="44"/>
      <c r="I816" s="44"/>
      <c r="J816" s="44"/>
      <c r="K816" s="44"/>
      <c r="L816" s="44"/>
      <c r="M816" s="44"/>
      <c r="N816" s="44"/>
      <c r="O816" s="45"/>
      <c r="P816" s="44"/>
      <c r="Q816" s="44"/>
      <c r="R816" s="44"/>
      <c r="S816" s="36"/>
      <c r="T816" s="36"/>
    </row>
    <row r="817" spans="1:41" s="3" customFormat="1" thickBot="1">
      <c r="A817" s="518"/>
      <c r="O817" s="86"/>
    </row>
    <row r="818" spans="1:41" s="501" customFormat="1" thickTop="1">
      <c r="A818" s="44"/>
      <c r="B818" s="39"/>
      <c r="C818" s="44"/>
      <c r="E818" s="40" t="s">
        <v>138</v>
      </c>
      <c r="F818"/>
      <c r="G818" s="44"/>
      <c r="H818" s="44"/>
      <c r="I818" s="44"/>
      <c r="J818" s="44"/>
      <c r="K818" s="44" t="s">
        <v>140</v>
      </c>
      <c r="L818" s="741"/>
      <c r="M818" s="44"/>
      <c r="N818" s="44"/>
      <c r="O818" s="45"/>
      <c r="P818" s="44"/>
      <c r="Q818" s="44"/>
      <c r="R818" s="44"/>
      <c r="S818" s="44"/>
      <c r="T818" s="39"/>
      <c r="AG818" s="502" t="s">
        <v>247</v>
      </c>
      <c r="AH818" s="1129"/>
      <c r="AI818" s="502" t="s">
        <v>249</v>
      </c>
      <c r="AM818" s="710" t="s">
        <v>260</v>
      </c>
      <c r="AN818" s="711" t="s">
        <v>261</v>
      </c>
      <c r="AO818" s="503" t="s">
        <v>257</v>
      </c>
    </row>
    <row r="819" spans="1:41" s="501" customFormat="1" ht="13.2">
      <c r="A819" s="712">
        <v>1</v>
      </c>
      <c r="B819" s="504" t="s">
        <v>283</v>
      </c>
      <c r="C819" s="505"/>
      <c r="D819" s="713" t="s">
        <v>577</v>
      </c>
      <c r="E819" s="1130">
        <f>IF(AND($A819=0,$A$1="DIF"),0, ROUND(ROUND(($R826*$S$2+($T826*$T$2))/A819,2)*$C$2,2))</f>
        <v>62.88</v>
      </c>
      <c r="F819"/>
      <c r="G819" s="506" t="s">
        <v>142</v>
      </c>
      <c r="H819" s="498"/>
      <c r="I819" s="716"/>
      <c r="J819" s="498"/>
      <c r="K819" s="747" t="s">
        <v>1085</v>
      </c>
      <c r="L819" s="741" t="s">
        <v>143</v>
      </c>
      <c r="M819" s="717"/>
      <c r="N819" s="717"/>
      <c r="O819" s="717"/>
      <c r="P819" s="717"/>
      <c r="Q819" s="44"/>
      <c r="T819" s="718" t="str">
        <f>IF(AND($R826=0,$T826=0),"0.00","mu :" &amp; ROUND($A819*$E819/$C$2/($R826+$T826*$D$9),2))</f>
        <v>mu :1.35</v>
      </c>
      <c r="W819" s="507"/>
      <c r="AG819" s="508">
        <f>IF($E819=0,0,ROUND($R826*$S$2*$C$2/$A819,2))</f>
        <v>16.54</v>
      </c>
      <c r="AH819" s="1129"/>
      <c r="AI819" s="508">
        <f>$E819-$AG819</f>
        <v>46.34</v>
      </c>
      <c r="AM819" s="510">
        <f>ROUND(R826,2)</f>
        <v>12.25</v>
      </c>
      <c r="AN819" s="511">
        <f>ROUND(T826,2)</f>
        <v>1.25</v>
      </c>
      <c r="AO819" s="512">
        <f>ROUND(AM819+AN819,2)*A819</f>
        <v>13.5</v>
      </c>
    </row>
    <row r="820" spans="1:41" s="501" customFormat="1" ht="13.2">
      <c r="A820" s="745"/>
      <c r="B820" s="746"/>
      <c r="C820" s="505"/>
      <c r="D820" s="724" t="s">
        <v>383</v>
      </c>
      <c r="F820" s="498"/>
      <c r="G820" s="3"/>
      <c r="H820" s="498"/>
      <c r="I820" s="716"/>
      <c r="J820" s="498"/>
      <c r="K820" s="498" t="s">
        <v>144</v>
      </c>
      <c r="L820" s="747"/>
      <c r="M820" s="498"/>
      <c r="N820" s="498"/>
      <c r="O820" s="498"/>
      <c r="P820" s="498"/>
      <c r="Q820" s="44"/>
      <c r="R820" s="567"/>
      <c r="S820" s="719"/>
      <c r="T820" s="498"/>
    </row>
    <row r="821" spans="1:41" s="893" customFormat="1" ht="13.2">
      <c r="A821">
        <v>3</v>
      </c>
      <c r="B821" s="893" t="s">
        <v>296</v>
      </c>
      <c r="D821" s="893" t="s">
        <v>740</v>
      </c>
      <c r="G821" s="894" t="s">
        <v>741</v>
      </c>
      <c r="H821" s="1131" t="s">
        <v>1086</v>
      </c>
      <c r="I821" s="893" t="s">
        <v>656</v>
      </c>
      <c r="J821" s="893" t="s">
        <v>742</v>
      </c>
      <c r="L821" s="1132" t="s">
        <v>1086</v>
      </c>
      <c r="O821" s="896">
        <v>2</v>
      </c>
      <c r="P821" s="897"/>
      <c r="Q821" s="898">
        <v>1.5</v>
      </c>
      <c r="R821" s="899">
        <f>$A821*Q821</f>
        <v>4.5</v>
      </c>
      <c r="S821" s="898">
        <v>0.05</v>
      </c>
      <c r="T821" s="900">
        <f>$A821*S821*$T$1</f>
        <v>0.15000000000000002</v>
      </c>
    </row>
    <row r="822" spans="1:41" s="893" customFormat="1" ht="13.2">
      <c r="A822" s="87">
        <v>3</v>
      </c>
      <c r="B822" s="893" t="s">
        <v>141</v>
      </c>
      <c r="D822" s="893" t="s">
        <v>743</v>
      </c>
      <c r="G822" s="894" t="s">
        <v>744</v>
      </c>
      <c r="H822" s="1131" t="s">
        <v>1086</v>
      </c>
      <c r="I822" s="893" t="s">
        <v>643</v>
      </c>
      <c r="K822" s="893" t="s">
        <v>745</v>
      </c>
      <c r="L822" s="1132" t="s">
        <v>1086</v>
      </c>
      <c r="O822" s="896">
        <v>1</v>
      </c>
      <c r="P822" s="897">
        <v>34669</v>
      </c>
      <c r="Q822" s="898">
        <v>0.05</v>
      </c>
      <c r="R822" s="899">
        <f>$A822*Q822</f>
        <v>0.15000000000000002</v>
      </c>
      <c r="S822" s="898"/>
      <c r="T822" s="900">
        <f>$A822*S822*$T$1</f>
        <v>0</v>
      </c>
    </row>
    <row r="823" spans="1:41" s="893" customFormat="1" ht="13.2">
      <c r="A823">
        <v>2</v>
      </c>
      <c r="B823" s="893" t="s">
        <v>141</v>
      </c>
      <c r="D823" s="893" t="s">
        <v>746</v>
      </c>
      <c r="G823" s="894" t="s">
        <v>747</v>
      </c>
      <c r="H823" s="1131" t="s">
        <v>1086</v>
      </c>
      <c r="I823" s="893" t="s">
        <v>671</v>
      </c>
      <c r="L823" s="1132" t="s">
        <v>1086</v>
      </c>
      <c r="O823" s="896">
        <v>2</v>
      </c>
      <c r="P823" s="897">
        <v>35431</v>
      </c>
      <c r="Q823" s="902">
        <v>3.8</v>
      </c>
      <c r="R823" s="899">
        <f>$A823*Q823</f>
        <v>7.6</v>
      </c>
      <c r="S823" s="898">
        <v>0.3</v>
      </c>
      <c r="T823" s="900">
        <f>$A823*S823*$T$1</f>
        <v>0.6</v>
      </c>
    </row>
    <row r="824" spans="1:41" s="893" customFormat="1" ht="13.2">
      <c r="A824">
        <v>1</v>
      </c>
      <c r="B824" s="893" t="s">
        <v>141</v>
      </c>
      <c r="D824" s="893" t="s">
        <v>658</v>
      </c>
      <c r="F824" s="893" t="s">
        <v>748</v>
      </c>
      <c r="G824" s="894" t="s">
        <v>659</v>
      </c>
      <c r="H824" s="1131" t="s">
        <v>1086</v>
      </c>
      <c r="I824" s="893" t="s">
        <v>660</v>
      </c>
      <c r="L824" s="1132" t="s">
        <v>1086</v>
      </c>
      <c r="O824" s="896">
        <v>1</v>
      </c>
      <c r="P824" s="897"/>
      <c r="Q824" s="898"/>
      <c r="R824" s="899">
        <f>$A824*Q824</f>
        <v>0</v>
      </c>
      <c r="S824" s="898">
        <v>0.5</v>
      </c>
      <c r="T824" s="900">
        <f>$A824*S824*$T$1</f>
        <v>0.5</v>
      </c>
    </row>
    <row r="825" spans="1:41" s="501" customFormat="1" ht="12">
      <c r="A825" s="497"/>
      <c r="B825" s="497"/>
      <c r="C825" s="497"/>
      <c r="D825" s="497"/>
      <c r="E825" s="497"/>
      <c r="F825" s="498"/>
      <c r="G825" s="497"/>
      <c r="H825" s="497"/>
      <c r="I825" s="499"/>
      <c r="J825" s="497"/>
      <c r="K825" s="497"/>
      <c r="L825" s="741"/>
      <c r="M825" s="497"/>
      <c r="N825" s="497"/>
      <c r="O825" s="497"/>
      <c r="P825" s="497"/>
      <c r="Q825" s="499"/>
      <c r="R825" s="720">
        <f>$A825*Q825</f>
        <v>0</v>
      </c>
      <c r="S825" s="499"/>
      <c r="T825" s="500">
        <f>$A825*S825*$T$1</f>
        <v>0</v>
      </c>
    </row>
    <row r="826" spans="1:41" s="501" customFormat="1" ht="12.6" thickBot="1">
      <c r="A826" s="513" t="s">
        <v>145</v>
      </c>
      <c r="B826" s="514">
        <f>(R825+T825)</f>
        <v>0</v>
      </c>
      <c r="C826" s="515"/>
      <c r="D826" s="515"/>
      <c r="E826" s="515"/>
      <c r="F826" s="721"/>
      <c r="G826" s="515" t="s">
        <v>146</v>
      </c>
      <c r="H826" s="515"/>
      <c r="I826" s="516"/>
      <c r="J826" s="515"/>
      <c r="K826" s="1133"/>
      <c r="L826" s="818" t="s">
        <v>1085</v>
      </c>
      <c r="M826" s="517"/>
      <c r="N826" s="517"/>
      <c r="O826" s="517"/>
      <c r="P826" s="517"/>
      <c r="Q826" s="722"/>
      <c r="R826" s="723">
        <f>SUM(R820:R825)</f>
        <v>12.25</v>
      </c>
      <c r="S826" s="515"/>
      <c r="T826" s="723">
        <f>SUM(T820:T825)</f>
        <v>1.25</v>
      </c>
      <c r="U826" s="518"/>
      <c r="V826" s="518"/>
      <c r="W826" s="518"/>
      <c r="X826" s="518"/>
      <c r="Y826" s="518"/>
      <c r="Z826" s="518"/>
      <c r="AA826" s="518"/>
      <c r="AB826" s="518"/>
      <c r="AC826" s="518"/>
      <c r="AD826" s="518"/>
      <c r="AE826" s="518"/>
      <c r="AF826" s="518"/>
      <c r="AG826" s="518"/>
      <c r="AH826" s="518"/>
      <c r="AI826" s="518"/>
      <c r="AJ826" s="518"/>
      <c r="AK826" s="518"/>
      <c r="AL826" s="518"/>
      <c r="AM826" s="518"/>
      <c r="AN826" s="518"/>
      <c r="AO826" s="518"/>
    </row>
    <row r="827" spans="1:41" s="501" customFormat="1" thickTop="1">
      <c r="A827" s="44"/>
      <c r="B827" s="44"/>
      <c r="C827" s="3"/>
      <c r="D827" s="3"/>
      <c r="E827" s="44"/>
      <c r="F827" s="44"/>
      <c r="G827" s="44"/>
      <c r="H827" s="44"/>
      <c r="I827" s="44"/>
      <c r="J827" s="44"/>
      <c r="K827" s="44" t="s">
        <v>134</v>
      </c>
      <c r="L827" s="44"/>
      <c r="M827" s="44"/>
      <c r="N827" s="44"/>
      <c r="O827" s="45"/>
      <c r="P827" s="44"/>
      <c r="Q827" s="44"/>
      <c r="R827" s="44"/>
      <c r="S827" s="44"/>
      <c r="T827" s="44"/>
    </row>
    <row r="828" spans="1:41" s="501" customFormat="1" ht="12">
      <c r="A828" s="44"/>
      <c r="B828" s="44"/>
      <c r="C828" s="44" t="s">
        <v>135</v>
      </c>
      <c r="D828" s="35" t="s">
        <v>961</v>
      </c>
      <c r="E828" s="44"/>
      <c r="F828" s="44"/>
      <c r="G828" s="44"/>
      <c r="H828" s="44"/>
      <c r="I828" s="44"/>
      <c r="J828" s="44"/>
      <c r="K828" s="44"/>
      <c r="L828" s="44"/>
      <c r="M828" s="44"/>
      <c r="N828" s="44"/>
      <c r="O828" s="45"/>
      <c r="P828" s="44"/>
      <c r="Q828" s="44"/>
      <c r="R828" s="44"/>
      <c r="S828" s="44"/>
      <c r="T828" s="44"/>
    </row>
    <row r="829" spans="1:41" s="501" customFormat="1" ht="13.2">
      <c r="A829" s="44"/>
      <c r="B829" s="44"/>
      <c r="C829" s="44"/>
      <c r="D829" s="1185" t="s">
        <v>392</v>
      </c>
      <c r="E829" s="1184"/>
      <c r="F829" s="1184"/>
      <c r="G829" s="1184"/>
      <c r="H829" s="1184"/>
      <c r="I829" s="1184"/>
      <c r="J829" s="1184"/>
      <c r="K829" s="1184"/>
      <c r="L829" s="1184"/>
      <c r="M829" s="1184"/>
      <c r="N829" s="1184"/>
      <c r="O829" s="1184"/>
      <c r="P829" s="1184"/>
      <c r="Q829" s="1184"/>
      <c r="R829" s="1184"/>
      <c r="S829" s="1184"/>
      <c r="T829" s="1184"/>
    </row>
    <row r="830" spans="1:41" s="3" customFormat="1" thickBot="1">
      <c r="A830" s="518"/>
      <c r="O830" s="86"/>
    </row>
    <row r="831" spans="1:41" s="501" customFormat="1" thickTop="1">
      <c r="A831" s="44"/>
      <c r="B831" s="39"/>
      <c r="C831" s="44"/>
      <c r="E831" s="40" t="s">
        <v>138</v>
      </c>
      <c r="F831" s="40" t="s">
        <v>139</v>
      </c>
      <c r="G831" s="44"/>
      <c r="H831" s="44"/>
      <c r="I831" s="44"/>
      <c r="J831" s="44"/>
      <c r="K831" s="44" t="s">
        <v>140</v>
      </c>
      <c r="L831" s="737"/>
      <c r="M831" s="44"/>
      <c r="N831" s="44"/>
      <c r="O831" s="45"/>
      <c r="P831" s="44"/>
      <c r="Q831"/>
      <c r="R831"/>
      <c r="S831"/>
      <c r="T831" s="39"/>
      <c r="AG831" s="502" t="s">
        <v>247</v>
      </c>
      <c r="AH831" s="502" t="s">
        <v>248</v>
      </c>
      <c r="AI831" s="502" t="s">
        <v>249</v>
      </c>
      <c r="AJ831" s="502" t="s">
        <v>250</v>
      </c>
      <c r="AK831" s="502" t="s">
        <v>251</v>
      </c>
      <c r="AM831" s="710" t="s">
        <v>260</v>
      </c>
      <c r="AN831" s="711" t="s">
        <v>261</v>
      </c>
      <c r="AO831" s="503" t="s">
        <v>257</v>
      </c>
    </row>
    <row r="832" spans="1:41" s="501" customFormat="1" ht="13.2">
      <c r="A832" s="712">
        <v>1</v>
      </c>
      <c r="B832" s="504" t="s">
        <v>283</v>
      </c>
      <c r="C832" s="505"/>
      <c r="D832" s="713" t="s">
        <v>577</v>
      </c>
      <c r="E832" s="738">
        <f>IF(AND($A832=0,$A$1="DIF"),0,ROUND(ROUND(SUMIF($L834:$L849,"SUBI",$E834:$E849)/$A832,2)*$C$12,2))</f>
        <v>165.9</v>
      </c>
      <c r="F832" s="739">
        <f>ROUND($A832*$E832,2)</f>
        <v>165.9</v>
      </c>
      <c r="G832" s="506" t="s">
        <v>142</v>
      </c>
      <c r="H832" s="498"/>
      <c r="I832" s="716"/>
      <c r="J832" s="498"/>
      <c r="K832" s="740"/>
      <c r="L832" s="741" t="s">
        <v>143</v>
      </c>
      <c r="M832" s="717"/>
      <c r="N832" s="717"/>
      <c r="O832" s="717"/>
      <c r="P832" s="717"/>
      <c r="Q832" s="943" t="s">
        <v>855</v>
      </c>
      <c r="R832" s="943" t="s">
        <v>871</v>
      </c>
      <c r="S832"/>
      <c r="T832" s="742" t="str">
        <f>IF(AND($R855=0,$T855=0),"0.00","mu :" &amp; ROUND($F832/$C$12/($R855+$T855*$D$9),2))</f>
        <v>mu :1.35</v>
      </c>
      <c r="W832" s="507"/>
      <c r="AG832" s="743">
        <f>IF(A832=0,0,ROUND(SUM(AG834:AG855)/A832,2))</f>
        <v>69.150000000000006</v>
      </c>
      <c r="AH832" s="743">
        <f>$AG832*$A832</f>
        <v>69.150000000000006</v>
      </c>
      <c r="AI832" s="743">
        <f>$E832-$AG832</f>
        <v>96.75</v>
      </c>
      <c r="AJ832" s="743">
        <f>$A832*$AI832</f>
        <v>96.75</v>
      </c>
      <c r="AK832" s="744">
        <f>ROUND(($AG832+$AI832)*$A832,2)</f>
        <v>165.9</v>
      </c>
      <c r="AM832" s="510">
        <f>ROUND(R855,2)</f>
        <v>51.22</v>
      </c>
      <c r="AN832" s="511">
        <f>ROUND(T855,2)</f>
        <v>2.61</v>
      </c>
      <c r="AO832" s="512">
        <f>ROUND(AM832+AN832,2)*A832</f>
        <v>53.83</v>
      </c>
    </row>
    <row r="833" spans="1:33" s="501" customFormat="1" ht="21.6" customHeight="1">
      <c r="A833" s="745"/>
      <c r="B833" s="746"/>
      <c r="C833" s="505"/>
      <c r="D833" s="724" t="s">
        <v>455</v>
      </c>
      <c r="F833" s="498"/>
      <c r="G833" s="498"/>
      <c r="H833" s="498"/>
      <c r="I833" s="716"/>
      <c r="J833" s="498"/>
      <c r="K833" s="498" t="s">
        <v>144</v>
      </c>
      <c r="L833" s="747"/>
      <c r="M833" s="498"/>
      <c r="N833" s="498"/>
      <c r="O833" s="498"/>
      <c r="P833" s="498"/>
      <c r="Q833" s="44"/>
      <c r="R833" s="567"/>
      <c r="S833" s="719"/>
      <c r="T833" s="498"/>
    </row>
    <row r="834" spans="1:33" s="501" customFormat="1" ht="12">
      <c r="A834" s="748"/>
      <c r="B834" s="749"/>
      <c r="C834" s="497"/>
      <c r="D834" s="750"/>
      <c r="E834" s="751">
        <f>F832/$C$12-SUMIF($L831:$L855,"SUBI",$E831:$E855)</f>
        <v>0</v>
      </c>
      <c r="F834" s="752" t="s">
        <v>572</v>
      </c>
      <c r="G834" s="753"/>
      <c r="H834" s="753"/>
      <c r="I834" s="754"/>
      <c r="J834" s="753"/>
      <c r="K834" s="753"/>
      <c r="L834" s="755"/>
      <c r="M834" s="756"/>
      <c r="N834" s="756"/>
      <c r="O834" s="756"/>
      <c r="P834" s="756"/>
      <c r="Q834" s="757"/>
      <c r="R834" s="758"/>
      <c r="S834" s="757"/>
      <c r="T834" s="759"/>
    </row>
    <row r="835" spans="1:33" s="501" customFormat="1" ht="12" customHeight="1">
      <c r="A835" s="760"/>
      <c r="B835" s="761"/>
      <c r="C835" s="762"/>
      <c r="D835" s="762" t="str">
        <f>$F$2</f>
        <v>Electrical</v>
      </c>
      <c r="E835" s="762">
        <f>ROUND(($R845*$S$2 + ($T845*$T$2)), 2)</f>
        <v>165.9</v>
      </c>
      <c r="F835" s="763">
        <f>$E835*$C$12</f>
        <v>165.9</v>
      </c>
      <c r="G835" s="567"/>
      <c r="H835" s="764"/>
      <c r="I835" s="567"/>
      <c r="J835" s="45"/>
      <c r="K835" s="765" t="s">
        <v>3</v>
      </c>
      <c r="L835" s="766" t="s">
        <v>573</v>
      </c>
      <c r="M835" s="567"/>
      <c r="N835" s="567"/>
      <c r="O835" s="45"/>
      <c r="P835" s="567"/>
      <c r="Q835" s="567"/>
      <c r="R835"/>
      <c r="S835"/>
      <c r="T835"/>
    </row>
    <row r="836" spans="1:33" s="893" customFormat="1" ht="13.2">
      <c r="A836"/>
      <c r="D836" s="944" t="s">
        <v>755</v>
      </c>
      <c r="G836" s="894" t="s">
        <v>749</v>
      </c>
      <c r="H836" s="895">
        <v>616</v>
      </c>
      <c r="I836" s="893" t="s">
        <v>656</v>
      </c>
      <c r="J836" s="893" t="s">
        <v>750</v>
      </c>
      <c r="O836" s="896">
        <v>2</v>
      </c>
      <c r="P836" s="897">
        <v>40767</v>
      </c>
      <c r="Q836" s="898"/>
      <c r="R836" s="899">
        <f t="shared" ref="R836:R841" si="37">$A836*Q836</f>
        <v>0</v>
      </c>
      <c r="S836" s="898"/>
      <c r="T836" s="900">
        <f t="shared" ref="T836:T841" si="38">$A836*S836*$T$1</f>
        <v>0</v>
      </c>
    </row>
    <row r="837" spans="1:33" s="893" customFormat="1" ht="13.2">
      <c r="A837">
        <v>3</v>
      </c>
      <c r="B837" s="893" t="s">
        <v>296</v>
      </c>
      <c r="D837" s="893" t="s">
        <v>1084</v>
      </c>
      <c r="F837" s="893" t="s">
        <v>756</v>
      </c>
      <c r="G837" s="894" t="s">
        <v>749</v>
      </c>
      <c r="H837" s="895">
        <v>616</v>
      </c>
      <c r="I837" s="893" t="s">
        <v>656</v>
      </c>
      <c r="J837" s="893" t="s">
        <v>750</v>
      </c>
      <c r="O837" s="896">
        <v>2</v>
      </c>
      <c r="P837" s="897">
        <v>40767</v>
      </c>
      <c r="Q837" s="898">
        <v>10.45</v>
      </c>
      <c r="R837" s="899">
        <f t="shared" si="37"/>
        <v>31.349999999999998</v>
      </c>
      <c r="S837" s="898">
        <v>0.1</v>
      </c>
      <c r="T837" s="900">
        <f t="shared" si="38"/>
        <v>0.30000000000000004</v>
      </c>
    </row>
    <row r="838" spans="1:33" s="893" customFormat="1" ht="13.2">
      <c r="A838" s="87">
        <v>3</v>
      </c>
      <c r="B838" s="893" t="s">
        <v>141</v>
      </c>
      <c r="D838" s="893" t="s">
        <v>743</v>
      </c>
      <c r="G838" s="894" t="s">
        <v>744</v>
      </c>
      <c r="H838" s="895">
        <v>875</v>
      </c>
      <c r="I838" s="893" t="s">
        <v>643</v>
      </c>
      <c r="K838" s="893" t="s">
        <v>745</v>
      </c>
      <c r="O838" s="896">
        <v>1</v>
      </c>
      <c r="P838" s="897">
        <v>34669</v>
      </c>
      <c r="Q838" s="898">
        <v>0.05</v>
      </c>
      <c r="R838" s="899">
        <f t="shared" si="37"/>
        <v>0.15000000000000002</v>
      </c>
      <c r="S838" s="898"/>
      <c r="T838" s="900">
        <f t="shared" si="38"/>
        <v>0</v>
      </c>
    </row>
    <row r="839" spans="1:33" s="893" customFormat="1" ht="13.2">
      <c r="A839">
        <v>2</v>
      </c>
      <c r="B839" s="893" t="s">
        <v>141</v>
      </c>
      <c r="D839" s="893" t="s">
        <v>751</v>
      </c>
      <c r="G839" s="894" t="s">
        <v>752</v>
      </c>
      <c r="H839" s="895">
        <v>620</v>
      </c>
      <c r="I839" s="893" t="s">
        <v>671</v>
      </c>
      <c r="O839" s="896">
        <v>2</v>
      </c>
      <c r="P839" s="897">
        <v>35431</v>
      </c>
      <c r="Q839" s="898">
        <v>7.66</v>
      </c>
      <c r="R839" s="899">
        <f t="shared" si="37"/>
        <v>15.32</v>
      </c>
      <c r="S839" s="898">
        <v>0.4</v>
      </c>
      <c r="T839" s="900">
        <f t="shared" si="38"/>
        <v>0.8</v>
      </c>
    </row>
    <row r="840" spans="1:33" s="893" customFormat="1" ht="13.2">
      <c r="A840">
        <v>2</v>
      </c>
      <c r="B840" s="893" t="s">
        <v>296</v>
      </c>
      <c r="D840" s="893" t="s">
        <v>672</v>
      </c>
      <c r="G840" s="894" t="s">
        <v>673</v>
      </c>
      <c r="H840" s="895">
        <v>620</v>
      </c>
      <c r="I840" s="893" t="s">
        <v>643</v>
      </c>
      <c r="O840" s="896">
        <v>2</v>
      </c>
      <c r="P840" s="897">
        <v>38148</v>
      </c>
      <c r="Q840" s="898">
        <v>1.5</v>
      </c>
      <c r="R840" s="899">
        <f t="shared" si="37"/>
        <v>3</v>
      </c>
      <c r="S840" s="898">
        <v>0.08</v>
      </c>
      <c r="T840" s="900">
        <f t="shared" si="38"/>
        <v>0.16</v>
      </c>
    </row>
    <row r="841" spans="1:33" s="893" customFormat="1" ht="13.2">
      <c r="A841">
        <v>10</v>
      </c>
      <c r="B841" s="893" t="s">
        <v>141</v>
      </c>
      <c r="D841" s="893" t="s">
        <v>753</v>
      </c>
      <c r="G841" s="894" t="s">
        <v>754</v>
      </c>
      <c r="H841" s="895">
        <v>620</v>
      </c>
      <c r="I841" s="893" t="s">
        <v>676</v>
      </c>
      <c r="O841" s="896">
        <v>2</v>
      </c>
      <c r="P841" s="897">
        <v>34669</v>
      </c>
      <c r="Q841" s="898">
        <v>0.14000000000000001</v>
      </c>
      <c r="R841" s="899">
        <f t="shared" si="37"/>
        <v>1.4000000000000001</v>
      </c>
      <c r="S841" s="898">
        <v>0.06</v>
      </c>
      <c r="T841" s="900">
        <f t="shared" si="38"/>
        <v>0.6</v>
      </c>
    </row>
    <row r="842" spans="1:33" s="893" customFormat="1" ht="13.2">
      <c r="A842">
        <v>1</v>
      </c>
      <c r="B842" s="893" t="s">
        <v>141</v>
      </c>
      <c r="D842" s="893" t="s">
        <v>658</v>
      </c>
      <c r="F842" s="893" t="s">
        <v>748</v>
      </c>
      <c r="G842" s="894" t="s">
        <v>659</v>
      </c>
      <c r="H842" s="895">
        <v>900</v>
      </c>
      <c r="I842" s="893" t="s">
        <v>660</v>
      </c>
      <c r="O842" s="896">
        <v>1</v>
      </c>
      <c r="P842" s="897"/>
      <c r="Q842" s="898"/>
      <c r="R842" s="899">
        <f>$A842*Q842</f>
        <v>0</v>
      </c>
      <c r="S842" s="898">
        <v>0.5</v>
      </c>
      <c r="T842" s="900">
        <f>$A842*S842*$T$1</f>
        <v>0.5</v>
      </c>
    </row>
    <row r="843" spans="1:33" s="893" customFormat="1" ht="13.2">
      <c r="A843">
        <v>1</v>
      </c>
      <c r="B843" s="893" t="s">
        <v>141</v>
      </c>
      <c r="D843" s="893" t="s">
        <v>658</v>
      </c>
      <c r="F843" s="893" t="s">
        <v>757</v>
      </c>
      <c r="G843" s="894" t="s">
        <v>659</v>
      </c>
      <c r="H843" s="895">
        <v>900</v>
      </c>
      <c r="I843" s="893" t="s">
        <v>660</v>
      </c>
      <c r="O843" s="896">
        <v>1</v>
      </c>
      <c r="P843" s="897"/>
      <c r="Q843" s="898"/>
      <c r="R843" s="899">
        <f>$A843*Q843</f>
        <v>0</v>
      </c>
      <c r="S843" s="898">
        <v>0.25</v>
      </c>
      <c r="T843" s="900">
        <f>$A843*S843*$T$1</f>
        <v>0.25</v>
      </c>
    </row>
    <row r="844" spans="1:33" s="501" customFormat="1" ht="14.4" customHeight="1">
      <c r="A844" s="767"/>
      <c r="B844" s="567"/>
      <c r="C844" s="567"/>
      <c r="D844" s="567"/>
      <c r="E844" s="567"/>
      <c r="F844" s="567"/>
      <c r="G844" s="567"/>
      <c r="H844" s="764"/>
      <c r="I844" s="567"/>
      <c r="J844" s="45"/>
      <c r="K844" s="769"/>
      <c r="L844" s="770"/>
      <c r="M844" s="567"/>
      <c r="N844" s="567"/>
      <c r="O844" s="45"/>
      <c r="P844" s="567"/>
      <c r="Q844" s="567"/>
      <c r="R844" s="771">
        <f>$A844*Q844</f>
        <v>0</v>
      </c>
      <c r="S844" s="567"/>
      <c r="T844" s="500">
        <f>$A844*S844*$T$1</f>
        <v>0</v>
      </c>
    </row>
    <row r="845" spans="1:33" s="501" customFormat="1" ht="12">
      <c r="A845" s="772" t="s">
        <v>145</v>
      </c>
      <c r="B845" s="773">
        <f>(R844+T844)</f>
        <v>0</v>
      </c>
      <c r="C845" s="753"/>
      <c r="G845" s="774"/>
      <c r="H845" s="774"/>
      <c r="I845" s="774"/>
      <c r="J845" s="774"/>
      <c r="K845" s="750" t="s">
        <v>3</v>
      </c>
      <c r="L845" s="775" t="s">
        <v>573</v>
      </c>
      <c r="M845" s="774"/>
      <c r="N845" s="774"/>
      <c r="O845" s="774"/>
      <c r="P845" s="774"/>
      <c r="Q845" s="776"/>
      <c r="R845" s="777">
        <f>SUM(R835:R844)</f>
        <v>51.219999999999992</v>
      </c>
      <c r="S845" s="778"/>
      <c r="T845" s="777">
        <f>SUM(T835:T844)</f>
        <v>2.61</v>
      </c>
      <c r="AG845" s="779">
        <f>ROUND($R845*$S$2,2)</f>
        <v>69.150000000000006</v>
      </c>
    </row>
    <row r="846" spans="1:33" s="501" customFormat="1" ht="12" customHeight="1">
      <c r="A846" s="760"/>
      <c r="B846" s="780"/>
      <c r="C846" s="781"/>
      <c r="D846" s="782" t="str">
        <f>$F$3</f>
        <v>Technician</v>
      </c>
      <c r="E846" s="782">
        <f>ROUND(($R848*$S$3 + ($T848*$T$3)), 2)</f>
        <v>0</v>
      </c>
      <c r="F846" s="783">
        <f>$E846*$C$12</f>
        <v>0</v>
      </c>
      <c r="G846" s="499"/>
      <c r="H846" s="499"/>
      <c r="I846" s="499"/>
      <c r="J846" s="499"/>
      <c r="K846" s="765" t="s">
        <v>5</v>
      </c>
      <c r="L846" s="766" t="s">
        <v>573</v>
      </c>
      <c r="M846" s="499"/>
      <c r="N846" s="499"/>
      <c r="O846" s="499"/>
      <c r="P846" s="499"/>
      <c r="Q846" s="499"/>
      <c r="R846" s="784"/>
      <c r="S846" s="499"/>
      <c r="T846" s="784"/>
    </row>
    <row r="847" spans="1:33" s="501" customFormat="1" ht="15.6" customHeight="1">
      <c r="A847" s="767"/>
      <c r="B847" s="567"/>
      <c r="C847" s="567"/>
      <c r="D847" s="3"/>
      <c r="E847" s="567"/>
      <c r="F847" s="567"/>
      <c r="G847" s="567"/>
      <c r="H847" s="567"/>
      <c r="I847" s="567"/>
      <c r="J847" s="567"/>
      <c r="K847" s="567"/>
      <c r="L847" s="770"/>
      <c r="M847" s="567"/>
      <c r="N847" s="567"/>
      <c r="O847" s="567"/>
      <c r="P847" s="567"/>
      <c r="Q847" s="567"/>
      <c r="R847" s="771">
        <f>$A847*Q847</f>
        <v>0</v>
      </c>
      <c r="S847" s="567"/>
      <c r="T847" s="500">
        <f>$A847*S847*$T$1</f>
        <v>0</v>
      </c>
    </row>
    <row r="848" spans="1:33" s="501" customFormat="1" ht="12">
      <c r="A848" s="772" t="s">
        <v>145</v>
      </c>
      <c r="B848" s="773">
        <f>(R847+T847)</f>
        <v>0</v>
      </c>
      <c r="C848" s="753"/>
      <c r="G848" s="774"/>
      <c r="H848" s="774"/>
      <c r="I848" s="774"/>
      <c r="J848" s="774"/>
      <c r="K848" s="798" t="s">
        <v>5</v>
      </c>
      <c r="L848" s="775" t="s">
        <v>573</v>
      </c>
      <c r="M848" s="774"/>
      <c r="N848" s="774"/>
      <c r="O848" s="774"/>
      <c r="P848" s="774"/>
      <c r="Q848" s="776"/>
      <c r="R848" s="777">
        <f>SUM(R846:R847)</f>
        <v>0</v>
      </c>
      <c r="S848" s="778"/>
      <c r="T848" s="777">
        <f>SUM(T846:T847)</f>
        <v>0</v>
      </c>
      <c r="AG848" s="799">
        <f>ROUND($R848*$S$3,2)</f>
        <v>0</v>
      </c>
    </row>
    <row r="849" spans="1:41" s="501" customFormat="1" ht="12" customHeight="1">
      <c r="A849" s="800"/>
      <c r="B849" s="801"/>
      <c r="C849" s="802"/>
      <c r="D849" s="803" t="str">
        <f>$F$4</f>
        <v>Engineer (Man Hours)</v>
      </c>
      <c r="E849" s="803">
        <f>ROUND(($R853*$S$4 + ($T853*$T$4)), 2)</f>
        <v>0</v>
      </c>
      <c r="F849" s="804">
        <f ca="1">$F832-SUMIF($L834:$P846,"SUBI",$F834:$F846)</f>
        <v>0</v>
      </c>
      <c r="G849" s="499"/>
      <c r="H849" s="499"/>
      <c r="I849" s="499"/>
      <c r="J849" s="499"/>
      <c r="K849" s="805" t="s">
        <v>8</v>
      </c>
      <c r="L849" s="766" t="s">
        <v>573</v>
      </c>
      <c r="M849" s="499"/>
      <c r="N849" s="499"/>
      <c r="O849" s="499"/>
      <c r="P849" s="499"/>
      <c r="Q849" s="499"/>
      <c r="R849" s="784"/>
      <c r="S849" s="499"/>
      <c r="T849" s="784"/>
    </row>
    <row r="850" spans="1:41" s="797" customFormat="1" ht="14.4" customHeight="1">
      <c r="A850" s="785"/>
      <c r="B850" s="768" t="s">
        <v>576</v>
      </c>
      <c r="C850" s="786"/>
      <c r="D850" s="787"/>
      <c r="E850" s="787"/>
      <c r="F850" s="787"/>
      <c r="G850" s="788"/>
      <c r="H850" s="789"/>
      <c r="I850" s="789"/>
      <c r="J850" s="790"/>
      <c r="K850" s="791"/>
      <c r="L850" s="786"/>
      <c r="M850" s="792"/>
      <c r="N850" s="793"/>
      <c r="O850" s="806"/>
      <c r="P850" s="795"/>
      <c r="Q850" s="796"/>
      <c r="R850" s="720">
        <f>$A850*Q850</f>
        <v>0</v>
      </c>
      <c r="S850" s="796"/>
      <c r="T850" s="500">
        <f>$A850*S850*$T$1</f>
        <v>0</v>
      </c>
    </row>
    <row r="851" spans="1:41" s="501" customFormat="1" ht="12">
      <c r="A851" s="44"/>
      <c r="B851" s="497"/>
      <c r="C851" s="497"/>
      <c r="D851" s="807"/>
      <c r="E851" s="808"/>
      <c r="F851" s="499"/>
      <c r="G851" s="499"/>
      <c r="H851" s="499"/>
      <c r="I851" s="499"/>
      <c r="J851" s="499"/>
      <c r="K851" s="499"/>
      <c r="L851" s="809"/>
      <c r="M851" s="499"/>
      <c r="N851" s="499"/>
      <c r="O851" s="499"/>
      <c r="P851" s="499"/>
      <c r="Q851" s="499"/>
      <c r="R851" s="720">
        <f>$A851*Q851</f>
        <v>0</v>
      </c>
      <c r="S851" s="499"/>
      <c r="T851" s="500">
        <f>$A851*S851*$T$1</f>
        <v>0</v>
      </c>
    </row>
    <row r="852" spans="1:41" s="501" customFormat="1" ht="12">
      <c r="A852" s="44"/>
      <c r="B852" s="497"/>
      <c r="C852" s="497"/>
      <c r="D852" s="807"/>
      <c r="E852" s="808"/>
      <c r="F852" s="499"/>
      <c r="G852" s="499"/>
      <c r="H852" s="499"/>
      <c r="I852" s="499"/>
      <c r="J852" s="499"/>
      <c r="K852" s="499"/>
      <c r="L852" s="809"/>
      <c r="M852" s="499"/>
      <c r="N852" s="499"/>
      <c r="O852" s="499"/>
      <c r="P852" s="499"/>
      <c r="Q852" s="499"/>
      <c r="R852" s="720">
        <f>$A852*Q852</f>
        <v>0</v>
      </c>
      <c r="S852" s="499"/>
      <c r="T852" s="500">
        <f>$A852*S852*$T$1</f>
        <v>0</v>
      </c>
    </row>
    <row r="853" spans="1:41" s="501" customFormat="1" ht="12.75" customHeight="1">
      <c r="A853" s="772" t="s">
        <v>145</v>
      </c>
      <c r="B853" s="773">
        <f>(R852+T852)</f>
        <v>0</v>
      </c>
      <c r="C853" s="810"/>
      <c r="D853" s="810"/>
      <c r="E853" s="810"/>
      <c r="F853" s="810"/>
      <c r="G853" s="776"/>
      <c r="H853" s="776"/>
      <c r="I853" s="776"/>
      <c r="J853" s="776"/>
      <c r="K853" s="798" t="s">
        <v>8</v>
      </c>
      <c r="L853" s="811" t="s">
        <v>573</v>
      </c>
      <c r="M853" s="776"/>
      <c r="N853" s="776"/>
      <c r="O853" s="776"/>
      <c r="P853" s="776"/>
      <c r="Q853" s="776"/>
      <c r="R853" s="777">
        <f>SUM(R849:R852)</f>
        <v>0</v>
      </c>
      <c r="S853" s="778"/>
      <c r="T853" s="777">
        <f>SUM(T849:T852)</f>
        <v>0</v>
      </c>
      <c r="AG853" s="812">
        <f>ROUND($R853*$S$4,2)</f>
        <v>0</v>
      </c>
    </row>
    <row r="854" spans="1:41" s="501" customFormat="1" ht="12.75" customHeight="1">
      <c r="A854" s="813"/>
      <c r="B854" s="814"/>
      <c r="E854" s="497"/>
      <c r="F854" s="808"/>
      <c r="G854" s="497"/>
      <c r="H854" s="497"/>
      <c r="I854" s="499"/>
      <c r="J854" s="497"/>
      <c r="K854" s="497"/>
      <c r="L854" s="815"/>
      <c r="M854" s="725"/>
      <c r="N854" s="725"/>
      <c r="O854" s="725"/>
      <c r="P854" s="725"/>
      <c r="Q854" s="726"/>
      <c r="R854" s="784"/>
      <c r="S854" s="497"/>
      <c r="T854" s="784"/>
    </row>
    <row r="855" spans="1:41" s="501" customFormat="1" ht="13.5" customHeight="1" thickBot="1">
      <c r="A855" s="816"/>
      <c r="B855" s="817"/>
      <c r="C855" s="518"/>
      <c r="D855" s="518"/>
      <c r="E855" s="515"/>
      <c r="F855" s="721"/>
      <c r="G855" s="515" t="s">
        <v>146</v>
      </c>
      <c r="H855" s="515"/>
      <c r="I855" s="516"/>
      <c r="J855" s="515"/>
      <c r="K855" s="515"/>
      <c r="L855" s="818" t="s">
        <v>143</v>
      </c>
      <c r="M855" s="517"/>
      <c r="N855" s="517"/>
      <c r="O855" s="517"/>
      <c r="P855" s="517"/>
      <c r="Q855" s="722"/>
      <c r="R855" s="819">
        <f>SUMIF($L833:$L854,"SUBI",R833:R854)</f>
        <v>51.219999999999992</v>
      </c>
      <c r="S855" s="820"/>
      <c r="T855" s="819">
        <f>SUMIF($L833:$L854,"SUBI",T833:T854)</f>
        <v>2.61</v>
      </c>
      <c r="U855" s="518"/>
      <c r="V855" s="518"/>
      <c r="W855" s="518"/>
      <c r="X855" s="518"/>
      <c r="Y855" s="518"/>
      <c r="Z855" s="518"/>
      <c r="AA855" s="518"/>
      <c r="AB855" s="518"/>
      <c r="AC855" s="518"/>
      <c r="AD855" s="518"/>
      <c r="AE855" s="518"/>
      <c r="AF855" s="518"/>
      <c r="AG855" s="518"/>
      <c r="AH855" s="518"/>
      <c r="AI855" s="518"/>
      <c r="AJ855" s="518"/>
      <c r="AK855" s="518"/>
      <c r="AL855" s="518"/>
      <c r="AM855" s="518"/>
      <c r="AN855" s="518"/>
      <c r="AO855" s="518"/>
    </row>
    <row r="856" spans="1:41" s="501" customFormat="1" thickTop="1">
      <c r="A856" s="44"/>
      <c r="B856" s="39"/>
      <c r="C856" s="44"/>
      <c r="E856" s="40" t="s">
        <v>138</v>
      </c>
      <c r="F856" s="40" t="s">
        <v>139</v>
      </c>
      <c r="G856" s="44"/>
      <c r="H856" s="44"/>
      <c r="I856" s="44"/>
      <c r="J856" s="44"/>
      <c r="K856" s="44" t="s">
        <v>140</v>
      </c>
      <c r="L856" s="737"/>
      <c r="M856" s="44"/>
      <c r="N856" s="44"/>
      <c r="O856" s="45"/>
      <c r="P856" s="44"/>
      <c r="Q856"/>
      <c r="R856"/>
      <c r="S856"/>
      <c r="T856" s="39"/>
      <c r="AG856" s="502" t="s">
        <v>247</v>
      </c>
      <c r="AH856" s="502" t="s">
        <v>248</v>
      </c>
      <c r="AI856" s="502" t="s">
        <v>249</v>
      </c>
      <c r="AJ856" s="502" t="s">
        <v>250</v>
      </c>
      <c r="AK856" s="502" t="s">
        <v>251</v>
      </c>
      <c r="AM856" s="710" t="s">
        <v>260</v>
      </c>
      <c r="AN856" s="711" t="s">
        <v>261</v>
      </c>
      <c r="AO856" s="503" t="s">
        <v>257</v>
      </c>
    </row>
    <row r="857" spans="1:41" s="501" customFormat="1" ht="13.2">
      <c r="A857" s="712">
        <v>1</v>
      </c>
      <c r="B857" s="504" t="s">
        <v>283</v>
      </c>
      <c r="C857" s="505"/>
      <c r="D857" s="713" t="s">
        <v>585</v>
      </c>
      <c r="E857" s="738">
        <f>IF(AND($A857=0,$A$1="DIF"),0,ROUND(ROUND(SUMIF($L859:$L876,"SUBI",$E859:$E876)/$A857,2)*$C$12,2))</f>
        <v>165.9</v>
      </c>
      <c r="F857" s="739">
        <f>ROUND($A857*$E857,2)</f>
        <v>165.9</v>
      </c>
      <c r="G857" s="506" t="s">
        <v>142</v>
      </c>
      <c r="H857" s="498"/>
      <c r="I857" s="716"/>
      <c r="J857" s="498"/>
      <c r="K857" s="740"/>
      <c r="L857" s="741" t="s">
        <v>143</v>
      </c>
      <c r="M857" s="717"/>
      <c r="N857" s="717"/>
      <c r="O857" s="717"/>
      <c r="P857" s="717"/>
      <c r="Q857" s="943" t="s">
        <v>855</v>
      </c>
      <c r="R857" s="943" t="s">
        <v>871</v>
      </c>
      <c r="S857"/>
      <c r="T857" s="742" t="str">
        <f>IF(AND($R882=0,$T882=0),"0.00","mu :" &amp; ROUND($F857/$C$12/($R882+$T882*$D$9),2))</f>
        <v>mu :1.35</v>
      </c>
      <c r="W857" s="507"/>
      <c r="AG857" s="743">
        <f>IF(A857=0,0,ROUND(SUM(AG859:AG882)/A857,2))</f>
        <v>69.150000000000006</v>
      </c>
      <c r="AH857" s="743">
        <f>$AG857*$A857</f>
        <v>69.150000000000006</v>
      </c>
      <c r="AI857" s="743">
        <f>$E857-$AG857</f>
        <v>96.75</v>
      </c>
      <c r="AJ857" s="743">
        <f>$A857*$AI857</f>
        <v>96.75</v>
      </c>
      <c r="AK857" s="744">
        <f>ROUND(($AG857+$AI857)*$A857,2)</f>
        <v>165.9</v>
      </c>
      <c r="AM857" s="510">
        <f>ROUND(R882,2)</f>
        <v>51.22</v>
      </c>
      <c r="AN857" s="511">
        <f>ROUND(T882,2)</f>
        <v>2.61</v>
      </c>
      <c r="AO857" s="512">
        <f>ROUND(AM857+AN857,2)*A857</f>
        <v>53.83</v>
      </c>
    </row>
    <row r="858" spans="1:41" s="501" customFormat="1" ht="21.6" customHeight="1">
      <c r="A858" s="745"/>
      <c r="B858" s="746"/>
      <c r="C858" s="505"/>
      <c r="D858" s="724" t="s">
        <v>456</v>
      </c>
      <c r="F858" s="498"/>
      <c r="G858" s="498"/>
      <c r="H858" s="498"/>
      <c r="I858" s="716"/>
      <c r="J858" s="498"/>
      <c r="K858" s="498" t="s">
        <v>144</v>
      </c>
      <c r="L858" s="747"/>
      <c r="M858" s="498"/>
      <c r="N858" s="498"/>
      <c r="O858" s="498"/>
      <c r="P858" s="498"/>
      <c r="Q858" s="44"/>
      <c r="R858" s="567"/>
      <c r="S858" s="719"/>
      <c r="T858" s="498"/>
    </row>
    <row r="859" spans="1:41" s="501" customFormat="1" ht="12">
      <c r="A859" s="748"/>
      <c r="B859" s="749"/>
      <c r="C859" s="497"/>
      <c r="D859" s="750"/>
      <c r="E859" s="751">
        <f>F857/$C$12-SUMIF($L856:$L882,"SUBI",$E856:$E882)</f>
        <v>0</v>
      </c>
      <c r="F859" s="752" t="s">
        <v>572</v>
      </c>
      <c r="G859" s="753"/>
      <c r="H859" s="753"/>
      <c r="I859" s="754"/>
      <c r="J859" s="753"/>
      <c r="K859" s="753"/>
      <c r="L859" s="755"/>
      <c r="M859" s="756"/>
      <c r="N859" s="756"/>
      <c r="O859" s="756"/>
      <c r="P859" s="756"/>
      <c r="Q859" s="757"/>
      <c r="R859" s="758"/>
      <c r="S859" s="757"/>
      <c r="T859" s="759"/>
    </row>
    <row r="860" spans="1:41" s="501" customFormat="1" ht="12" customHeight="1">
      <c r="A860" s="760"/>
      <c r="B860" s="761"/>
      <c r="C860" s="762"/>
      <c r="D860" s="762" t="str">
        <f>$F$2</f>
        <v>Electrical</v>
      </c>
      <c r="E860" s="762">
        <f>ROUND(($R870*$S$2 + ($T870*$T$2)), 2)</f>
        <v>165.9</v>
      </c>
      <c r="F860" s="763">
        <f>$E860*$C$12</f>
        <v>165.9</v>
      </c>
      <c r="G860" s="567"/>
      <c r="H860" s="764"/>
      <c r="I860" s="567"/>
      <c r="J860" s="45"/>
      <c r="K860" s="765" t="s">
        <v>3</v>
      </c>
      <c r="L860" s="766" t="s">
        <v>573</v>
      </c>
      <c r="M860" s="567"/>
      <c r="N860" s="567"/>
      <c r="O860" s="45"/>
      <c r="P860" s="567"/>
      <c r="Q860" s="567"/>
      <c r="R860"/>
      <c r="S860"/>
      <c r="T860"/>
    </row>
    <row r="861" spans="1:41" s="893" customFormat="1" ht="13.2">
      <c r="A861"/>
      <c r="D861" s="944" t="s">
        <v>755</v>
      </c>
      <c r="G861" s="894" t="s">
        <v>749</v>
      </c>
      <c r="H861" s="895">
        <v>616</v>
      </c>
      <c r="I861" s="893" t="s">
        <v>656</v>
      </c>
      <c r="J861" s="893" t="s">
        <v>750</v>
      </c>
      <c r="O861" s="896">
        <v>2</v>
      </c>
      <c r="P861" s="897">
        <v>40767</v>
      </c>
      <c r="Q861" s="898"/>
      <c r="R861" s="899">
        <f t="shared" ref="R861:R866" si="39">$A861*Q861</f>
        <v>0</v>
      </c>
      <c r="S861" s="898"/>
      <c r="T861" s="900">
        <f t="shared" ref="T861:T866" si="40">$A861*S861*$T$1</f>
        <v>0</v>
      </c>
    </row>
    <row r="862" spans="1:41" s="893" customFormat="1" ht="13.2">
      <c r="A862">
        <v>3</v>
      </c>
      <c r="B862" s="893" t="s">
        <v>296</v>
      </c>
      <c r="D862" s="893" t="s">
        <v>1084</v>
      </c>
      <c r="F862" s="893" t="s">
        <v>756</v>
      </c>
      <c r="G862" s="894" t="s">
        <v>749</v>
      </c>
      <c r="H862" s="895">
        <v>616</v>
      </c>
      <c r="I862" s="893" t="s">
        <v>656</v>
      </c>
      <c r="J862" s="893" t="s">
        <v>750</v>
      </c>
      <c r="O862" s="896">
        <v>2</v>
      </c>
      <c r="P862" s="897">
        <v>40767</v>
      </c>
      <c r="Q862" s="898">
        <v>10.45</v>
      </c>
      <c r="R862" s="899">
        <f t="shared" si="39"/>
        <v>31.349999999999998</v>
      </c>
      <c r="S862" s="898">
        <v>0.1</v>
      </c>
      <c r="T862" s="900">
        <f t="shared" si="40"/>
        <v>0.30000000000000004</v>
      </c>
    </row>
    <row r="863" spans="1:41" s="893" customFormat="1" ht="13.2">
      <c r="A863" s="87">
        <v>3</v>
      </c>
      <c r="B863" s="893" t="s">
        <v>141</v>
      </c>
      <c r="D863" s="893" t="s">
        <v>743</v>
      </c>
      <c r="G863" s="894" t="s">
        <v>744</v>
      </c>
      <c r="H863" s="895">
        <v>875</v>
      </c>
      <c r="I863" s="893" t="s">
        <v>643</v>
      </c>
      <c r="K863" s="893" t="s">
        <v>745</v>
      </c>
      <c r="O863" s="896">
        <v>1</v>
      </c>
      <c r="P863" s="897">
        <v>34669</v>
      </c>
      <c r="Q863" s="898">
        <v>0.05</v>
      </c>
      <c r="R863" s="899">
        <f t="shared" si="39"/>
        <v>0.15000000000000002</v>
      </c>
      <c r="S863" s="898"/>
      <c r="T863" s="900">
        <f t="shared" si="40"/>
        <v>0</v>
      </c>
    </row>
    <row r="864" spans="1:41" s="893" customFormat="1" ht="13.2">
      <c r="A864">
        <v>2</v>
      </c>
      <c r="B864" s="893" t="s">
        <v>141</v>
      </c>
      <c r="D864" s="893" t="s">
        <v>751</v>
      </c>
      <c r="G864" s="894" t="s">
        <v>752</v>
      </c>
      <c r="H864" s="895">
        <v>620</v>
      </c>
      <c r="I864" s="893" t="s">
        <v>671</v>
      </c>
      <c r="O864" s="896">
        <v>2</v>
      </c>
      <c r="P864" s="897">
        <v>35431</v>
      </c>
      <c r="Q864" s="898">
        <v>7.66</v>
      </c>
      <c r="R864" s="899">
        <f t="shared" si="39"/>
        <v>15.32</v>
      </c>
      <c r="S864" s="898">
        <v>0.4</v>
      </c>
      <c r="T864" s="900">
        <f t="shared" si="40"/>
        <v>0.8</v>
      </c>
    </row>
    <row r="865" spans="1:33" s="893" customFormat="1" ht="13.2">
      <c r="A865">
        <v>2</v>
      </c>
      <c r="B865" s="893" t="s">
        <v>296</v>
      </c>
      <c r="D865" s="893" t="s">
        <v>672</v>
      </c>
      <c r="G865" s="894" t="s">
        <v>673</v>
      </c>
      <c r="H865" s="895">
        <v>620</v>
      </c>
      <c r="I865" s="893" t="s">
        <v>643</v>
      </c>
      <c r="O865" s="896">
        <v>2</v>
      </c>
      <c r="P865" s="897">
        <v>38148</v>
      </c>
      <c r="Q865" s="898">
        <v>1.5</v>
      </c>
      <c r="R865" s="899">
        <f t="shared" si="39"/>
        <v>3</v>
      </c>
      <c r="S865" s="898">
        <v>0.08</v>
      </c>
      <c r="T865" s="900">
        <f t="shared" si="40"/>
        <v>0.16</v>
      </c>
    </row>
    <row r="866" spans="1:33" s="893" customFormat="1" ht="13.2">
      <c r="A866">
        <v>10</v>
      </c>
      <c r="B866" s="893" t="s">
        <v>141</v>
      </c>
      <c r="D866" s="893" t="s">
        <v>753</v>
      </c>
      <c r="G866" s="894" t="s">
        <v>754</v>
      </c>
      <c r="H866" s="895">
        <v>620</v>
      </c>
      <c r="I866" s="893" t="s">
        <v>676</v>
      </c>
      <c r="O866" s="896">
        <v>2</v>
      </c>
      <c r="P866" s="897">
        <v>34669</v>
      </c>
      <c r="Q866" s="898">
        <v>0.14000000000000001</v>
      </c>
      <c r="R866" s="899">
        <f t="shared" si="39"/>
        <v>1.4000000000000001</v>
      </c>
      <c r="S866" s="898">
        <v>0.06</v>
      </c>
      <c r="T866" s="900">
        <f t="shared" si="40"/>
        <v>0.6</v>
      </c>
    </row>
    <row r="867" spans="1:33" s="893" customFormat="1" ht="13.2">
      <c r="A867">
        <v>1</v>
      </c>
      <c r="B867" s="893" t="s">
        <v>141</v>
      </c>
      <c r="D867" s="893" t="s">
        <v>658</v>
      </c>
      <c r="F867" s="893" t="s">
        <v>748</v>
      </c>
      <c r="G867" s="894" t="s">
        <v>659</v>
      </c>
      <c r="H867" s="895">
        <v>900</v>
      </c>
      <c r="I867" s="893" t="s">
        <v>660</v>
      </c>
      <c r="O867" s="896">
        <v>1</v>
      </c>
      <c r="P867" s="897"/>
      <c r="Q867" s="898"/>
      <c r="R867" s="899">
        <f>$A867*Q867</f>
        <v>0</v>
      </c>
      <c r="S867" s="898">
        <v>0.5</v>
      </c>
      <c r="T867" s="900">
        <f>$A867*S867*$T$1</f>
        <v>0.5</v>
      </c>
    </row>
    <row r="868" spans="1:33" s="893" customFormat="1" ht="13.2">
      <c r="A868">
        <v>1</v>
      </c>
      <c r="B868" s="893" t="s">
        <v>141</v>
      </c>
      <c r="D868" s="893" t="s">
        <v>658</v>
      </c>
      <c r="F868" s="893" t="s">
        <v>757</v>
      </c>
      <c r="G868" s="894" t="s">
        <v>659</v>
      </c>
      <c r="H868" s="895">
        <v>900</v>
      </c>
      <c r="I868" s="893" t="s">
        <v>660</v>
      </c>
      <c r="O868" s="896">
        <v>1</v>
      </c>
      <c r="P868" s="897"/>
      <c r="Q868" s="898"/>
      <c r="R868" s="899">
        <f>$A868*Q868</f>
        <v>0</v>
      </c>
      <c r="S868" s="898">
        <v>0.25</v>
      </c>
      <c r="T868" s="900">
        <f>$A868*S868*$T$1</f>
        <v>0.25</v>
      </c>
    </row>
    <row r="869" spans="1:33" s="501" customFormat="1" ht="14.4" customHeight="1">
      <c r="A869" s="767"/>
      <c r="B869" s="567"/>
      <c r="C869" s="567"/>
      <c r="D869" s="567"/>
      <c r="E869" s="567"/>
      <c r="F869" s="567"/>
      <c r="G869" s="567"/>
      <c r="H869" s="764"/>
      <c r="I869" s="567"/>
      <c r="J869" s="45"/>
      <c r="K869" s="769"/>
      <c r="L869" s="770"/>
      <c r="M869" s="567"/>
      <c r="N869" s="567"/>
      <c r="O869" s="45"/>
      <c r="P869" s="567"/>
      <c r="Q869" s="567"/>
      <c r="R869" s="771">
        <f>$A869*Q869</f>
        <v>0</v>
      </c>
      <c r="S869" s="567"/>
      <c r="T869" s="500">
        <f>$A869*S869*$T$1</f>
        <v>0</v>
      </c>
    </row>
    <row r="870" spans="1:33" s="501" customFormat="1" ht="12">
      <c r="A870" s="772" t="s">
        <v>145</v>
      </c>
      <c r="B870" s="773">
        <f>(R869+T869)</f>
        <v>0</v>
      </c>
      <c r="C870" s="753"/>
      <c r="G870" s="774"/>
      <c r="H870" s="774"/>
      <c r="I870" s="774"/>
      <c r="J870" s="774"/>
      <c r="K870" s="750" t="s">
        <v>3</v>
      </c>
      <c r="L870" s="775" t="s">
        <v>573</v>
      </c>
      <c r="M870" s="774"/>
      <c r="N870" s="774"/>
      <c r="O870" s="774"/>
      <c r="P870" s="774"/>
      <c r="Q870" s="776"/>
      <c r="R870" s="777">
        <f>SUM(R860:R869)</f>
        <v>51.219999999999992</v>
      </c>
      <c r="S870" s="778"/>
      <c r="T870" s="777">
        <f>SUM(T860:T869)</f>
        <v>2.61</v>
      </c>
      <c r="AG870" s="779">
        <f>ROUND($R870*$S$2,2)</f>
        <v>69.150000000000006</v>
      </c>
    </row>
    <row r="871" spans="1:33" s="501" customFormat="1" ht="12" customHeight="1">
      <c r="A871" s="760"/>
      <c r="B871" s="780"/>
      <c r="C871" s="781"/>
      <c r="D871" s="782" t="str">
        <f>$F$3</f>
        <v>Technician</v>
      </c>
      <c r="E871" s="782">
        <f>ROUND(($R875*$S$3 + ($T875*$T$3)), 2)</f>
        <v>0</v>
      </c>
      <c r="F871" s="783">
        <f>$E871*$C$12</f>
        <v>0</v>
      </c>
      <c r="G871" s="499"/>
      <c r="H871" s="499"/>
      <c r="I871" s="499"/>
      <c r="J871" s="499"/>
      <c r="K871" s="765" t="s">
        <v>5</v>
      </c>
      <c r="L871" s="766" t="s">
        <v>573</v>
      </c>
      <c r="M871" s="499"/>
      <c r="N871" s="499"/>
      <c r="O871" s="499"/>
      <c r="P871" s="499"/>
      <c r="Q871" s="499"/>
      <c r="R871" s="784"/>
      <c r="S871" s="499"/>
      <c r="T871" s="784"/>
    </row>
    <row r="872" spans="1:33" s="797" customFormat="1" ht="15.6" customHeight="1">
      <c r="A872" s="785"/>
      <c r="B872" s="768" t="s">
        <v>575</v>
      </c>
      <c r="C872" s="786"/>
      <c r="D872" s="787"/>
      <c r="E872" s="787"/>
      <c r="F872" s="787"/>
      <c r="G872" s="788"/>
      <c r="H872" s="789"/>
      <c r="I872" s="789"/>
      <c r="J872" s="790"/>
      <c r="K872" s="791"/>
      <c r="L872" s="786"/>
      <c r="M872" s="792"/>
      <c r="N872" s="793"/>
      <c r="O872" s="794"/>
      <c r="P872" s="795"/>
      <c r="Q872" s="796"/>
      <c r="R872" s="771">
        <f>$A872*Q872</f>
        <v>0</v>
      </c>
      <c r="S872" s="567"/>
      <c r="T872" s="500">
        <f>$A872*S872*$T$1</f>
        <v>0</v>
      </c>
    </row>
    <row r="873" spans="1:33" s="501" customFormat="1" ht="15.6" customHeight="1">
      <c r="A873" s="767"/>
      <c r="B873" s="567"/>
      <c r="C873" s="567"/>
      <c r="D873" s="567"/>
      <c r="E873" s="567"/>
      <c r="F873" s="567"/>
      <c r="G873" s="567"/>
      <c r="H873" s="567"/>
      <c r="I873" s="567"/>
      <c r="J873" s="567"/>
      <c r="K873" s="567"/>
      <c r="L873" s="770"/>
      <c r="M873" s="567"/>
      <c r="N873" s="567"/>
      <c r="O873" s="567"/>
      <c r="P873" s="567"/>
      <c r="Q873" s="567"/>
      <c r="R873" s="771">
        <f>$A873*Q873</f>
        <v>0</v>
      </c>
      <c r="S873" s="567"/>
      <c r="T873" s="500">
        <f>$A873*S873*$T$1</f>
        <v>0</v>
      </c>
    </row>
    <row r="874" spans="1:33" s="501" customFormat="1" ht="15.6" customHeight="1">
      <c r="A874" s="767"/>
      <c r="B874" s="567"/>
      <c r="C874" s="567"/>
      <c r="D874" s="3"/>
      <c r="E874" s="567"/>
      <c r="F874" s="567"/>
      <c r="G874" s="567"/>
      <c r="H874" s="567"/>
      <c r="I874" s="567"/>
      <c r="J874" s="567"/>
      <c r="K874" s="567"/>
      <c r="L874" s="770"/>
      <c r="M874" s="567"/>
      <c r="N874" s="567"/>
      <c r="O874" s="567"/>
      <c r="P874" s="567"/>
      <c r="Q874" s="567"/>
      <c r="R874" s="771">
        <f>$A874*Q874</f>
        <v>0</v>
      </c>
      <c r="S874" s="567"/>
      <c r="T874" s="500">
        <f>$A874*S874*$T$1</f>
        <v>0</v>
      </c>
    </row>
    <row r="875" spans="1:33" s="501" customFormat="1" ht="12">
      <c r="A875" s="772" t="s">
        <v>145</v>
      </c>
      <c r="B875" s="773">
        <f>(R874+T874)</f>
        <v>0</v>
      </c>
      <c r="C875" s="753"/>
      <c r="G875" s="774"/>
      <c r="H875" s="774"/>
      <c r="I875" s="774"/>
      <c r="J875" s="774"/>
      <c r="K875" s="798" t="s">
        <v>5</v>
      </c>
      <c r="L875" s="775" t="s">
        <v>573</v>
      </c>
      <c r="M875" s="774"/>
      <c r="N875" s="774"/>
      <c r="O875" s="774"/>
      <c r="P875" s="774"/>
      <c r="Q875" s="776"/>
      <c r="R875" s="777">
        <f>SUM(R871:R874)</f>
        <v>0</v>
      </c>
      <c r="S875" s="778"/>
      <c r="T875" s="777">
        <f>SUM(T871:T874)</f>
        <v>0</v>
      </c>
      <c r="AG875" s="799">
        <f>ROUND($R875*$S$3,2)</f>
        <v>0</v>
      </c>
    </row>
    <row r="876" spans="1:33" s="501" customFormat="1" ht="12" customHeight="1">
      <c r="A876" s="800"/>
      <c r="B876" s="801"/>
      <c r="C876" s="802"/>
      <c r="D876" s="803" t="str">
        <f>$F$4</f>
        <v>Engineer (Man Hours)</v>
      </c>
      <c r="E876" s="803">
        <f>ROUND(($R880*$S$4 + ($T880*$T$4)), 2)</f>
        <v>0</v>
      </c>
      <c r="F876" s="804">
        <f ca="1">$F857-SUMIF($L859:$P873,"SUBI",$F859:$F873)</f>
        <v>0</v>
      </c>
      <c r="G876" s="499"/>
      <c r="H876" s="499"/>
      <c r="I876" s="499"/>
      <c r="J876" s="499"/>
      <c r="K876" s="805" t="s">
        <v>8</v>
      </c>
      <c r="L876" s="766" t="s">
        <v>573</v>
      </c>
      <c r="M876" s="499"/>
      <c r="N876" s="499"/>
      <c r="O876" s="499"/>
      <c r="P876" s="499"/>
      <c r="Q876" s="499"/>
      <c r="R876" s="784"/>
      <c r="S876" s="499"/>
      <c r="T876" s="784"/>
    </row>
    <row r="877" spans="1:33" s="797" customFormat="1" ht="14.4" customHeight="1">
      <c r="A877" s="785"/>
      <c r="B877" s="768" t="s">
        <v>576</v>
      </c>
      <c r="C877" s="786"/>
      <c r="D877" s="787"/>
      <c r="E877" s="787"/>
      <c r="F877" s="787"/>
      <c r="G877" s="788"/>
      <c r="H877" s="789"/>
      <c r="I877" s="789"/>
      <c r="J877" s="790"/>
      <c r="K877" s="791"/>
      <c r="L877" s="786"/>
      <c r="M877" s="792"/>
      <c r="N877" s="793"/>
      <c r="O877" s="806"/>
      <c r="P877" s="795"/>
      <c r="Q877" s="796"/>
      <c r="R877" s="720">
        <f>$A877*Q877</f>
        <v>0</v>
      </c>
      <c r="S877" s="796"/>
      <c r="T877" s="500">
        <f>$A877*S877*$T$1</f>
        <v>0</v>
      </c>
    </row>
    <row r="878" spans="1:33" s="501" customFormat="1" ht="12">
      <c r="A878" s="44"/>
      <c r="B878" s="497"/>
      <c r="C878" s="497"/>
      <c r="D878" s="807"/>
      <c r="E878" s="808"/>
      <c r="F878" s="499"/>
      <c r="G878" s="499"/>
      <c r="H878" s="499"/>
      <c r="I878" s="499"/>
      <c r="J878" s="499"/>
      <c r="K878" s="499"/>
      <c r="L878" s="809"/>
      <c r="M878" s="499"/>
      <c r="N878" s="499"/>
      <c r="O878" s="499"/>
      <c r="P878" s="499"/>
      <c r="Q878" s="499"/>
      <c r="R878" s="720">
        <f>$A878*Q878</f>
        <v>0</v>
      </c>
      <c r="S878" s="499"/>
      <c r="T878" s="500">
        <f>$A878*S878*$T$1</f>
        <v>0</v>
      </c>
    </row>
    <row r="879" spans="1:33" s="501" customFormat="1" ht="12">
      <c r="A879" s="44"/>
      <c r="B879" s="497"/>
      <c r="C879" s="497"/>
      <c r="D879" s="807"/>
      <c r="E879" s="808"/>
      <c r="F879" s="499"/>
      <c r="G879" s="499"/>
      <c r="H879" s="499"/>
      <c r="I879" s="499"/>
      <c r="J879" s="499"/>
      <c r="K879" s="499"/>
      <c r="L879" s="809"/>
      <c r="M879" s="499"/>
      <c r="N879" s="499"/>
      <c r="O879" s="499"/>
      <c r="P879" s="499"/>
      <c r="Q879" s="499"/>
      <c r="R879" s="720">
        <f>$A879*Q879</f>
        <v>0</v>
      </c>
      <c r="S879" s="499"/>
      <c r="T879" s="500">
        <f>$A879*S879*$T$1</f>
        <v>0</v>
      </c>
    </row>
    <row r="880" spans="1:33" s="501" customFormat="1" ht="12.75" customHeight="1">
      <c r="A880" s="772" t="s">
        <v>145</v>
      </c>
      <c r="B880" s="773">
        <f>(R879+T879)</f>
        <v>0</v>
      </c>
      <c r="C880" s="810"/>
      <c r="D880" s="810"/>
      <c r="E880" s="810"/>
      <c r="F880" s="810"/>
      <c r="G880" s="776"/>
      <c r="H880" s="776"/>
      <c r="I880" s="776"/>
      <c r="J880" s="776"/>
      <c r="K880" s="798" t="s">
        <v>8</v>
      </c>
      <c r="L880" s="811" t="s">
        <v>573</v>
      </c>
      <c r="M880" s="776"/>
      <c r="N880" s="776"/>
      <c r="O880" s="776"/>
      <c r="P880" s="776"/>
      <c r="Q880" s="776"/>
      <c r="R880" s="777">
        <f>SUM(R876:R879)</f>
        <v>0</v>
      </c>
      <c r="S880" s="778"/>
      <c r="T880" s="777">
        <f>SUM(T876:T879)</f>
        <v>0</v>
      </c>
      <c r="AG880" s="812">
        <f>ROUND($R880*$S$4,2)</f>
        <v>0</v>
      </c>
    </row>
    <row r="881" spans="1:41" s="501" customFormat="1" ht="12.75" customHeight="1">
      <c r="A881" s="813"/>
      <c r="B881" s="814"/>
      <c r="E881" s="497"/>
      <c r="F881" s="808"/>
      <c r="G881" s="497"/>
      <c r="H881" s="497"/>
      <c r="I881" s="499"/>
      <c r="J881" s="497"/>
      <c r="K881" s="497"/>
      <c r="L881" s="815"/>
      <c r="M881" s="725"/>
      <c r="N881" s="725"/>
      <c r="O881" s="725"/>
      <c r="P881" s="725"/>
      <c r="Q881" s="726"/>
      <c r="R881" s="784"/>
      <c r="S881" s="497"/>
      <c r="T881" s="784"/>
    </row>
    <row r="882" spans="1:41" s="501" customFormat="1" ht="13.5" customHeight="1" thickBot="1">
      <c r="A882" s="816"/>
      <c r="B882" s="817"/>
      <c r="C882" s="518"/>
      <c r="D882" s="518"/>
      <c r="E882" s="515"/>
      <c r="F882" s="721"/>
      <c r="G882" s="515" t="s">
        <v>146</v>
      </c>
      <c r="H882" s="515"/>
      <c r="I882" s="516"/>
      <c r="J882" s="515"/>
      <c r="K882" s="515"/>
      <c r="L882" s="818" t="s">
        <v>143</v>
      </c>
      <c r="M882" s="517"/>
      <c r="N882" s="517"/>
      <c r="O882" s="517"/>
      <c r="P882" s="517"/>
      <c r="Q882" s="722"/>
      <c r="R882" s="819">
        <f>SUMIF($L858:$L881,"SUBI",R858:R881)</f>
        <v>51.219999999999992</v>
      </c>
      <c r="S882" s="820"/>
      <c r="T882" s="819">
        <f>SUMIF($L858:$L881,"SUBI",T858:T881)</f>
        <v>2.61</v>
      </c>
      <c r="U882" s="518"/>
      <c r="V882" s="518"/>
      <c r="W882" s="518"/>
      <c r="X882" s="518"/>
      <c r="Y882" s="518"/>
      <c r="Z882" s="518"/>
      <c r="AA882" s="518"/>
      <c r="AB882" s="518"/>
      <c r="AC882" s="518"/>
      <c r="AD882" s="518"/>
      <c r="AE882" s="518"/>
      <c r="AF882" s="518"/>
      <c r="AG882" s="518"/>
      <c r="AH882" s="518"/>
      <c r="AI882" s="518"/>
      <c r="AJ882" s="518"/>
      <c r="AK882" s="518"/>
      <c r="AL882" s="518"/>
      <c r="AM882" s="518"/>
      <c r="AN882" s="518"/>
      <c r="AO882" s="518"/>
    </row>
    <row r="883" spans="1:41" s="501" customFormat="1" ht="12" thickTop="1">
      <c r="A883" s="41" t="s">
        <v>148</v>
      </c>
      <c r="D883" s="11"/>
      <c r="E883" s="40"/>
      <c r="O883" s="727"/>
    </row>
    <row r="884" spans="1:41" s="501" customFormat="1" ht="13.2">
      <c r="B884" s="3"/>
      <c r="O884" s="727"/>
    </row>
    <row r="885" spans="1:41" s="501" customFormat="1" ht="12">
      <c r="B885" s="728">
        <f>$F885/$C$2-($R885*$S$2+$T885*$T$2)</f>
        <v>16.909249999999702</v>
      </c>
      <c r="D885" s="729" t="s">
        <v>568</v>
      </c>
      <c r="E885" s="730"/>
      <c r="F885" s="731">
        <f>SUMIF($L581:$L883,"ITEM",F581:F883)</f>
        <v>3798.59</v>
      </c>
      <c r="G885" s="497"/>
      <c r="H885" s="497"/>
      <c r="I885" s="499"/>
      <c r="J885" s="497"/>
      <c r="K885" s="497"/>
      <c r="L885" s="717" t="s">
        <v>159</v>
      </c>
      <c r="M885" s="717"/>
      <c r="N885" s="717"/>
      <c r="O885" s="717"/>
      <c r="P885" s="717"/>
      <c r="R885" s="731">
        <f>SUMIF($L581:$L883,"ITEM",R581:R883)</f>
        <v>1236.0250000000003</v>
      </c>
      <c r="S885" s="733"/>
      <c r="T885" s="731">
        <f>SUMIF($L581:$L883,"ITEM",T581:T883)</f>
        <v>56.999999999999993</v>
      </c>
    </row>
    <row r="886" spans="1:41" s="501" customFormat="1" ht="13.2">
      <c r="A886" s="44"/>
      <c r="B886" s="42" t="s">
        <v>569</v>
      </c>
      <c r="C886" s="44"/>
      <c r="D886" s="3"/>
      <c r="F886" s="734" t="s">
        <v>160</v>
      </c>
      <c r="G886" s="497"/>
      <c r="H886" s="497"/>
      <c r="I886" s="499"/>
      <c r="J886" s="497"/>
      <c r="K886" s="497"/>
      <c r="L886" s="497"/>
      <c r="M886" s="497"/>
      <c r="N886" s="497"/>
      <c r="O886" s="497"/>
      <c r="P886" s="497"/>
      <c r="Q886" s="726"/>
      <c r="R886" s="734" t="s">
        <v>161</v>
      </c>
      <c r="S886" s="36"/>
      <c r="T886" s="734" t="s">
        <v>162</v>
      </c>
    </row>
    <row r="887" spans="1:41" s="501" customFormat="1" ht="13.2">
      <c r="A887" s="497"/>
      <c r="B887" s="3"/>
      <c r="C887" s="497"/>
      <c r="D887" s="3"/>
      <c r="E887" s="3"/>
      <c r="G887" s="3"/>
      <c r="H887" s="3"/>
      <c r="I887" s="3"/>
      <c r="J887" s="3"/>
      <c r="K887" s="3"/>
      <c r="L887" s="3"/>
      <c r="M887" s="3"/>
      <c r="N887" s="3"/>
      <c r="O887" s="86"/>
      <c r="P887" s="3"/>
      <c r="Q887" s="3"/>
      <c r="R887" s="3"/>
      <c r="S887" s="3"/>
      <c r="T887" s="3"/>
    </row>
    <row r="888" spans="1:41" s="501" customFormat="1" ht="12" thickBot="1">
      <c r="A888" s="518"/>
      <c r="B888" s="515"/>
      <c r="C888" s="515"/>
      <c r="D888" s="518"/>
      <c r="E888" s="37"/>
      <c r="F888" s="735"/>
      <c r="G888" s="515"/>
      <c r="H888" s="515"/>
      <c r="I888" s="516"/>
      <c r="J888" s="515"/>
      <c r="K888" s="515"/>
      <c r="L888" s="517"/>
      <c r="M888" s="517"/>
      <c r="N888" s="517"/>
      <c r="O888" s="517"/>
      <c r="P888" s="517"/>
      <c r="Q888" s="722"/>
      <c r="R888" s="735"/>
      <c r="S888" s="736"/>
      <c r="T888" s="735"/>
      <c r="U888" s="518"/>
      <c r="V888" s="518"/>
      <c r="W888" s="518"/>
      <c r="X888" s="518"/>
      <c r="Y888" s="518"/>
      <c r="Z888" s="518"/>
      <c r="AA888" s="518"/>
      <c r="AB888" s="518"/>
      <c r="AC888" s="518"/>
      <c r="AD888" s="518"/>
      <c r="AE888" s="518"/>
      <c r="AF888" s="518"/>
      <c r="AG888" s="518"/>
      <c r="AH888" s="518"/>
      <c r="AI888" s="518"/>
      <c r="AJ888" s="518"/>
      <c r="AK888" s="518"/>
    </row>
    <row r="889" spans="1:41" s="501" customFormat="1" thickTop="1">
      <c r="A889" s="44"/>
      <c r="B889" s="44"/>
      <c r="C889" s="3"/>
      <c r="D889" s="3"/>
      <c r="E889" s="44"/>
      <c r="F889" s="44"/>
      <c r="G889" s="44"/>
      <c r="H889" s="44"/>
      <c r="I889" s="44"/>
      <c r="J889" s="44"/>
      <c r="K889" s="44" t="s">
        <v>134</v>
      </c>
      <c r="L889" s="44"/>
      <c r="M889" s="44"/>
      <c r="N889" s="44"/>
      <c r="O889" s="45"/>
      <c r="P889" s="44"/>
      <c r="Q889" s="44"/>
      <c r="R889" s="44"/>
      <c r="S889" s="44"/>
      <c r="T889" s="44"/>
    </row>
    <row r="890" spans="1:41" s="501" customFormat="1" ht="12">
      <c r="A890" s="44"/>
      <c r="B890" s="44"/>
      <c r="C890" s="44" t="s">
        <v>135</v>
      </c>
      <c r="D890" s="35" t="s">
        <v>136</v>
      </c>
      <c r="E890" s="44"/>
      <c r="F890" s="44"/>
      <c r="G890" s="44"/>
      <c r="H890" s="44"/>
      <c r="I890" s="44"/>
      <c r="J890" s="44"/>
      <c r="K890" s="44"/>
      <c r="L890" s="44"/>
      <c r="M890" s="44"/>
      <c r="N890" s="44"/>
      <c r="O890" s="45"/>
      <c r="P890" s="44"/>
      <c r="Q890" s="44"/>
      <c r="R890" s="44"/>
      <c r="S890" s="44"/>
      <c r="T890" s="44"/>
    </row>
    <row r="891" spans="1:41" s="501" customFormat="1" ht="12">
      <c r="A891" s="44"/>
      <c r="B891" s="44"/>
      <c r="C891" s="44"/>
      <c r="D891" s="35" t="s">
        <v>589</v>
      </c>
      <c r="E891" s="44"/>
      <c r="F891" s="44"/>
      <c r="G891" s="44"/>
      <c r="H891" s="44"/>
      <c r="I891" s="44"/>
      <c r="J891" s="44"/>
      <c r="K891" s="44"/>
      <c r="L891" s="44"/>
      <c r="M891" s="44"/>
      <c r="N891" s="44"/>
      <c r="O891" s="45"/>
      <c r="P891" s="44"/>
      <c r="Q891" s="44"/>
      <c r="R891" s="44"/>
      <c r="S891" s="36"/>
      <c r="T891" s="36"/>
    </row>
    <row r="892" spans="1:41" s="501" customFormat="1" ht="13.2">
      <c r="A892" s="44"/>
      <c r="B892" s="39"/>
      <c r="C892" s="44"/>
      <c r="E892" s="40" t="s">
        <v>138</v>
      </c>
      <c r="F892" s="40" t="s">
        <v>139</v>
      </c>
      <c r="G892" s="44"/>
      <c r="H892" s="44"/>
      <c r="I892" s="44"/>
      <c r="J892" s="44"/>
      <c r="K892" s="44" t="s">
        <v>140</v>
      </c>
      <c r="L892" s="737"/>
      <c r="M892" s="44"/>
      <c r="N892" s="44"/>
      <c r="O892" s="45"/>
      <c r="P892" s="44"/>
      <c r="Q892"/>
      <c r="R892"/>
      <c r="S892"/>
      <c r="T892" s="39"/>
      <c r="AG892" s="502" t="s">
        <v>247</v>
      </c>
      <c r="AH892" s="502" t="s">
        <v>248</v>
      </c>
      <c r="AI892" s="502" t="s">
        <v>249</v>
      </c>
      <c r="AJ892" s="502" t="s">
        <v>250</v>
      </c>
      <c r="AK892" s="502" t="s">
        <v>251</v>
      </c>
      <c r="AM892" s="710" t="s">
        <v>260</v>
      </c>
      <c r="AN892" s="711" t="s">
        <v>261</v>
      </c>
      <c r="AO892" s="503" t="s">
        <v>257</v>
      </c>
    </row>
    <row r="893" spans="1:41" s="501" customFormat="1" ht="13.2">
      <c r="A893" s="712">
        <v>1</v>
      </c>
      <c r="B893" s="504" t="s">
        <v>287</v>
      </c>
      <c r="C893" s="505"/>
      <c r="D893" s="713" t="s">
        <v>590</v>
      </c>
      <c r="E893" s="738">
        <f>IF(AND($A893=0,$A$1="DIF"),0, ROUND(ROUND(SUMIF($L895:$L901,"SUBI",$E895:$E901)/$A893,2)*$C$12,2))</f>
        <v>929.03</v>
      </c>
      <c r="F893" s="739">
        <f>ROUND($A893*$E893,2)</f>
        <v>929.03</v>
      </c>
      <c r="G893" s="506" t="s">
        <v>142</v>
      </c>
      <c r="H893" s="498"/>
      <c r="I893" s="716"/>
      <c r="J893" s="498"/>
      <c r="K893" s="740"/>
      <c r="L893" s="741" t="s">
        <v>143</v>
      </c>
      <c r="M893" s="717"/>
      <c r="N893" s="717"/>
      <c r="O893" s="717"/>
      <c r="P893" s="717"/>
      <c r="Q893" s="943" t="s">
        <v>855</v>
      </c>
      <c r="R893" s="943" t="s">
        <v>872</v>
      </c>
      <c r="S893"/>
      <c r="T893" s="742" t="str">
        <f>IF(AND($R907=0,$T907=0),"0.00","mu :" &amp; ROUND($F893/$C$12/($R907+$T907*$D$9),2))</f>
        <v>mu :1.35</v>
      </c>
      <c r="W893" s="507"/>
      <c r="AG893" s="743">
        <f>IF(A893=0,0,ROUND(SUM(AG895:AG907)/A893,2))</f>
        <v>391.5</v>
      </c>
      <c r="AH893" s="743">
        <f>$AG893*$A893</f>
        <v>391.5</v>
      </c>
      <c r="AI893" s="743">
        <f>$E893-$AG893</f>
        <v>537.53</v>
      </c>
      <c r="AJ893" s="743">
        <f>$A893*$AI893</f>
        <v>537.53</v>
      </c>
      <c r="AK893" s="744">
        <f>ROUND(($AG893+$AI893)*$A893,2)</f>
        <v>929.03</v>
      </c>
      <c r="AM893" s="510">
        <f>ROUND(R907,2)</f>
        <v>290</v>
      </c>
      <c r="AN893" s="511">
        <f>ROUND(T907,2)</f>
        <v>14.5</v>
      </c>
      <c r="AO893" s="512">
        <f>ROUND(AM893+AN893,2)*A893</f>
        <v>304.5</v>
      </c>
    </row>
    <row r="894" spans="1:41" s="501" customFormat="1" ht="39.9" customHeight="1">
      <c r="A894" s="745"/>
      <c r="B894" s="746"/>
      <c r="C894" s="505"/>
      <c r="D894" s="1183" t="s">
        <v>446</v>
      </c>
      <c r="E894" s="1184"/>
      <c r="F894" s="1184"/>
      <c r="G894" s="1184"/>
      <c r="H894" s="1184"/>
      <c r="I894" s="1184"/>
      <c r="J894" s="1184"/>
      <c r="K894" s="1184"/>
      <c r="L894" s="1184"/>
      <c r="M894" s="1184"/>
      <c r="N894" s="1184"/>
      <c r="O894" s="1184"/>
      <c r="P894" s="1184"/>
      <c r="Q894" s="1184"/>
      <c r="R894" s="1184"/>
      <c r="S894" s="1184"/>
      <c r="T894" s="1184"/>
    </row>
    <row r="895" spans="1:41" s="501" customFormat="1" ht="12">
      <c r="A895" s="821"/>
      <c r="B895" s="822"/>
      <c r="C895" s="497"/>
      <c r="D895" s="498"/>
      <c r="E895" s="823">
        <f>F893/$C$12-SUMIF($L892:$L907,"SUBI",$E892:$E907)</f>
        <v>0</v>
      </c>
      <c r="F895" s="824" t="s">
        <v>572</v>
      </c>
      <c r="G895" s="753"/>
      <c r="H895" s="753"/>
      <c r="I895" s="754"/>
      <c r="J895" s="753"/>
      <c r="K895" s="753"/>
      <c r="L895" s="755"/>
      <c r="M895" s="756"/>
      <c r="N895" s="756"/>
      <c r="O895" s="756"/>
      <c r="P895" s="756"/>
      <c r="Q895" s="757"/>
      <c r="R895" s="758"/>
      <c r="S895" s="757"/>
      <c r="T895" s="759"/>
    </row>
    <row r="896" spans="1:41" s="501" customFormat="1" ht="12" customHeight="1">
      <c r="A896" s="760"/>
      <c r="B896" s="761"/>
      <c r="C896" s="762"/>
      <c r="D896" s="762" t="str">
        <f>$F$2</f>
        <v>Electrical</v>
      </c>
      <c r="E896" s="762">
        <f>ROUND(($R900*$S$2 + ($T900*$T$2)), 2)</f>
        <v>929.03</v>
      </c>
      <c r="F896" s="763">
        <f>$E896*$C$12</f>
        <v>929.03</v>
      </c>
      <c r="G896" s="567"/>
      <c r="H896" s="764"/>
      <c r="I896" s="567"/>
      <c r="J896" s="45"/>
      <c r="K896" s="765" t="s">
        <v>3</v>
      </c>
      <c r="L896" s="766" t="s">
        <v>573</v>
      </c>
      <c r="M896" s="567"/>
      <c r="N896" s="567"/>
      <c r="O896" s="45"/>
      <c r="P896" s="567"/>
      <c r="Q896" s="567"/>
      <c r="R896"/>
      <c r="S896"/>
      <c r="T896"/>
    </row>
    <row r="897" spans="1:41" s="893" customFormat="1" ht="13.2">
      <c r="A897">
        <v>29</v>
      </c>
      <c r="B897" s="893" t="s">
        <v>141</v>
      </c>
      <c r="D897" s="893" t="s">
        <v>667</v>
      </c>
      <c r="G897" s="894" t="s">
        <v>663</v>
      </c>
      <c r="H897" s="895">
        <v>901</v>
      </c>
      <c r="I897" s="893" t="s">
        <v>660</v>
      </c>
      <c r="O897" s="896">
        <v>1</v>
      </c>
      <c r="P897" s="897">
        <v>40613</v>
      </c>
      <c r="Q897" s="898"/>
      <c r="R897" s="899">
        <f>$A897*Q897</f>
        <v>0</v>
      </c>
      <c r="S897" s="898">
        <v>0.5</v>
      </c>
      <c r="T897" s="900">
        <f>$A897*S897*$T$1</f>
        <v>14.5</v>
      </c>
    </row>
    <row r="898" spans="1:41" s="893" customFormat="1" ht="13.2">
      <c r="A898">
        <v>29</v>
      </c>
      <c r="B898" s="893" t="s">
        <v>141</v>
      </c>
      <c r="D898" s="893" t="s">
        <v>664</v>
      </c>
      <c r="G898" s="894" t="s">
        <v>665</v>
      </c>
      <c r="H898" s="895">
        <v>501</v>
      </c>
      <c r="I898" s="893" t="s">
        <v>643</v>
      </c>
      <c r="K898" s="893" t="s">
        <v>666</v>
      </c>
      <c r="O898" s="896">
        <v>1</v>
      </c>
      <c r="P898" s="897"/>
      <c r="Q898" s="898">
        <v>10</v>
      </c>
      <c r="R898" s="899">
        <f>$A898*Q898</f>
        <v>290</v>
      </c>
      <c r="S898" s="898"/>
      <c r="T898" s="900">
        <f>$A898*S898*$T$1</f>
        <v>0</v>
      </c>
    </row>
    <row r="899" spans="1:41" s="501" customFormat="1" ht="13.95" customHeight="1">
      <c r="A899" s="767"/>
      <c r="B899" s="567"/>
      <c r="C899" s="567"/>
      <c r="D899" s="567"/>
      <c r="E899" s="567"/>
      <c r="F899" s="567"/>
      <c r="G899" s="567"/>
      <c r="H899" s="764"/>
      <c r="I899" s="567"/>
      <c r="J899" s="45"/>
      <c r="K899" s="769"/>
      <c r="L899" s="770"/>
      <c r="M899" s="567"/>
      <c r="N899" s="567"/>
      <c r="O899" s="45"/>
      <c r="P899" s="567"/>
      <c r="Q899" s="567"/>
      <c r="R899" s="771">
        <f>$A899*Q899</f>
        <v>0</v>
      </c>
      <c r="S899" s="567"/>
      <c r="T899" s="500">
        <f>$A899*S899*$T$1</f>
        <v>0</v>
      </c>
    </row>
    <row r="900" spans="1:41" s="501" customFormat="1" ht="12">
      <c r="A900" s="825" t="s">
        <v>145</v>
      </c>
      <c r="B900" s="826">
        <f>(R899+T899)</f>
        <v>0</v>
      </c>
      <c r="C900" s="497"/>
      <c r="G900" s="774"/>
      <c r="H900" s="774"/>
      <c r="I900" s="774"/>
      <c r="J900" s="774"/>
      <c r="K900" s="750" t="s">
        <v>3</v>
      </c>
      <c r="L900" s="775" t="s">
        <v>573</v>
      </c>
      <c r="M900" s="774"/>
      <c r="N900" s="774"/>
      <c r="O900" s="774"/>
      <c r="P900" s="774"/>
      <c r="Q900" s="776"/>
      <c r="R900" s="777">
        <f>SUM(R896:R899)</f>
        <v>290</v>
      </c>
      <c r="S900" s="778"/>
      <c r="T900" s="777">
        <f>SUM(T896:T899)</f>
        <v>14.5</v>
      </c>
      <c r="AG900" s="779">
        <f>ROUND($R900*$S$2,2)</f>
        <v>391.5</v>
      </c>
    </row>
    <row r="901" spans="1:41" s="501" customFormat="1" ht="12" customHeight="1">
      <c r="A901" s="800"/>
      <c r="B901" s="827"/>
      <c r="C901" s="828"/>
      <c r="D901" s="828" t="str">
        <f>$F$3</f>
        <v>Technician</v>
      </c>
      <c r="E901" s="828">
        <f>ROUND(($R905*$S$3 + ($T905*$T$3)), 2)</f>
        <v>0</v>
      </c>
      <c r="F901" s="829">
        <f ca="1">$F893-SUMIF($L895:$P897,"SUBI",$F895:$F897)</f>
        <v>0</v>
      </c>
      <c r="G901" s="499"/>
      <c r="H901" s="499"/>
      <c r="I901" s="499"/>
      <c r="J901" s="499"/>
      <c r="K901" s="765" t="s">
        <v>5</v>
      </c>
      <c r="L901" s="766" t="s">
        <v>573</v>
      </c>
      <c r="M901" s="499"/>
      <c r="N901" s="499"/>
      <c r="O901" s="499"/>
      <c r="P901" s="499"/>
      <c r="Q901" s="499"/>
      <c r="R901" s="784"/>
      <c r="S901" s="499"/>
      <c r="T901" s="784"/>
    </row>
    <row r="902" spans="1:41" s="797" customFormat="1" ht="14.4" customHeight="1">
      <c r="A902" s="785"/>
      <c r="B902" s="768" t="s">
        <v>575</v>
      </c>
      <c r="C902" s="786"/>
      <c r="D902" s="787"/>
      <c r="E902" s="787"/>
      <c r="F902" s="787"/>
      <c r="G902" s="788"/>
      <c r="H902" s="789"/>
      <c r="I902" s="789"/>
      <c r="J902" s="790"/>
      <c r="K902" s="791"/>
      <c r="L902" s="786"/>
      <c r="M902" s="792"/>
      <c r="N902" s="793"/>
      <c r="O902" s="794"/>
      <c r="P902" s="795"/>
      <c r="Q902" s="796"/>
      <c r="R902" s="771">
        <f>$A902*Q902</f>
        <v>0</v>
      </c>
      <c r="S902" s="567"/>
      <c r="T902" s="500">
        <f>$A902*S902*$T$1</f>
        <v>0</v>
      </c>
    </row>
    <row r="903" spans="1:41" s="501" customFormat="1" ht="11.4">
      <c r="A903" s="767"/>
      <c r="B903" s="567"/>
      <c r="C903" s="567"/>
      <c r="D903" s="567"/>
      <c r="E903" s="567"/>
      <c r="F903" s="567"/>
      <c r="G903" s="567"/>
      <c r="H903" s="567"/>
      <c r="I903" s="567"/>
      <c r="J903" s="567"/>
      <c r="K903" s="567"/>
      <c r="L903" s="770"/>
      <c r="M903" s="567"/>
      <c r="N903" s="567"/>
      <c r="O903" s="567"/>
      <c r="P903" s="567"/>
      <c r="Q903" s="567"/>
      <c r="R903" s="771">
        <f>$A903*Q903</f>
        <v>0</v>
      </c>
      <c r="S903" s="567"/>
      <c r="T903" s="500">
        <f>$A903*S903*$T$1</f>
        <v>0</v>
      </c>
    </row>
    <row r="904" spans="1:41" s="501" customFormat="1" ht="13.2">
      <c r="A904" s="767"/>
      <c r="B904" s="567"/>
      <c r="C904" s="567"/>
      <c r="D904" s="3"/>
      <c r="E904" s="567"/>
      <c r="F904" s="567"/>
      <c r="G904" s="567"/>
      <c r="H904" s="567"/>
      <c r="I904" s="567"/>
      <c r="J904" s="567"/>
      <c r="K904" s="567"/>
      <c r="L904" s="770"/>
      <c r="M904" s="567"/>
      <c r="N904" s="567"/>
      <c r="O904" s="567"/>
      <c r="P904" s="567"/>
      <c r="Q904" s="567"/>
      <c r="R904" s="771">
        <f>$A904*Q904</f>
        <v>0</v>
      </c>
      <c r="S904" s="567"/>
      <c r="T904" s="500">
        <f>$A904*S904*$T$1</f>
        <v>0</v>
      </c>
    </row>
    <row r="905" spans="1:41" s="501" customFormat="1" ht="12" customHeight="1">
      <c r="A905" s="772" t="s">
        <v>145</v>
      </c>
      <c r="B905" s="773">
        <f>(R904+T904)</f>
        <v>0</v>
      </c>
      <c r="C905" s="810"/>
      <c r="D905" s="810"/>
      <c r="E905" s="810"/>
      <c r="F905" s="810"/>
      <c r="G905" s="776"/>
      <c r="H905" s="776"/>
      <c r="I905" s="776"/>
      <c r="J905" s="776"/>
      <c r="K905" s="798" t="s">
        <v>5</v>
      </c>
      <c r="L905" s="811" t="s">
        <v>573</v>
      </c>
      <c r="M905" s="776"/>
      <c r="N905" s="776"/>
      <c r="O905" s="776"/>
      <c r="P905" s="776"/>
      <c r="Q905" s="776"/>
      <c r="R905" s="777">
        <f>SUM(R901:R904)</f>
        <v>0</v>
      </c>
      <c r="S905" s="778"/>
      <c r="T905" s="777">
        <f>SUM(T901:T904)</f>
        <v>0</v>
      </c>
      <c r="AG905" s="799">
        <f>ROUND($R905*$S$3,2)</f>
        <v>0</v>
      </c>
    </row>
    <row r="906" spans="1:41" s="501" customFormat="1" ht="12.75" customHeight="1">
      <c r="A906" s="813"/>
      <c r="B906" s="814"/>
      <c r="E906" s="497"/>
      <c r="F906" s="808"/>
      <c r="G906" s="497"/>
      <c r="H906" s="497"/>
      <c r="I906" s="499"/>
      <c r="J906" s="497"/>
      <c r="K906" s="497"/>
      <c r="L906" s="815"/>
      <c r="M906" s="725"/>
      <c r="N906" s="725"/>
      <c r="O906" s="725"/>
      <c r="P906" s="725"/>
      <c r="Q906" s="726"/>
      <c r="R906" s="784"/>
      <c r="S906" s="497"/>
      <c r="T906" s="784"/>
    </row>
    <row r="907" spans="1:41" s="501" customFormat="1" ht="13.5" customHeight="1" thickBot="1">
      <c r="A907" s="816"/>
      <c r="B907" s="817"/>
      <c r="C907" s="518"/>
      <c r="D907" s="518"/>
      <c r="E907" s="515"/>
      <c r="F907" s="721"/>
      <c r="G907" s="515" t="s">
        <v>146</v>
      </c>
      <c r="H907" s="515"/>
      <c r="I907" s="516"/>
      <c r="J907" s="515"/>
      <c r="K907" s="515"/>
      <c r="L907" s="818" t="s">
        <v>143</v>
      </c>
      <c r="M907" s="517"/>
      <c r="N907" s="517"/>
      <c r="O907" s="517"/>
      <c r="P907" s="517"/>
      <c r="Q907" s="722"/>
      <c r="R907" s="819">
        <f>SUMIF($L894:$L906,"SUBI",R894:R906)</f>
        <v>290</v>
      </c>
      <c r="S907" s="515"/>
      <c r="T907" s="819">
        <f>SUMIF($L894:$L906,"SUBI",T894:T906)</f>
        <v>14.5</v>
      </c>
      <c r="U907" s="518"/>
      <c r="V907" s="518"/>
      <c r="W907" s="518"/>
      <c r="X907" s="518"/>
      <c r="Y907" s="518"/>
      <c r="Z907" s="518"/>
      <c r="AA907" s="518"/>
      <c r="AB907" s="518"/>
      <c r="AC907" s="518"/>
      <c r="AD907" s="518"/>
      <c r="AE907" s="518"/>
      <c r="AF907" s="518"/>
      <c r="AG907" s="518"/>
      <c r="AH907" s="518"/>
      <c r="AI907" s="518"/>
      <c r="AJ907" s="518"/>
      <c r="AK907" s="518"/>
      <c r="AL907" s="518"/>
      <c r="AM907" s="518"/>
      <c r="AN907" s="518"/>
      <c r="AO907" s="518"/>
    </row>
    <row r="908" spans="1:41" s="501" customFormat="1" ht="12" thickTop="1">
      <c r="A908" s="41" t="s">
        <v>148</v>
      </c>
      <c r="D908" s="11"/>
      <c r="E908" s="40"/>
      <c r="O908" s="727"/>
    </row>
    <row r="909" spans="1:41" s="501" customFormat="1" ht="13.2">
      <c r="B909" s="3"/>
      <c r="O909" s="727"/>
    </row>
    <row r="910" spans="1:41" s="501" customFormat="1" ht="12">
      <c r="B910" s="728">
        <f>$F910/$C$2-($R910*$S$2+$T910*$T$2)</f>
        <v>4.9999999987448973E-4</v>
      </c>
      <c r="D910" s="729" t="s">
        <v>568</v>
      </c>
      <c r="E910" s="730"/>
      <c r="F910" s="731">
        <f>SUMIF($L889:$L908,"ITEM",F889:F908)</f>
        <v>929.03</v>
      </c>
      <c r="G910" s="497"/>
      <c r="H910" s="497"/>
      <c r="I910" s="499"/>
      <c r="J910" s="497"/>
      <c r="K910" s="497"/>
      <c r="L910" s="717" t="s">
        <v>159</v>
      </c>
      <c r="M910" s="717"/>
      <c r="N910" s="717"/>
      <c r="O910" s="717"/>
      <c r="P910" s="717"/>
      <c r="R910" s="731">
        <f>SUMIF($L889:$L908,"ITEM",R889:R908)</f>
        <v>290</v>
      </c>
      <c r="S910" s="733"/>
      <c r="T910" s="731">
        <f>SUMIF($L889:$L908,"ITEM",T889:T908)</f>
        <v>14.5</v>
      </c>
    </row>
    <row r="911" spans="1:41" s="501" customFormat="1" ht="13.2">
      <c r="A911" s="44"/>
      <c r="B911" s="42" t="s">
        <v>569</v>
      </c>
      <c r="C911" s="44"/>
      <c r="D911" s="3"/>
      <c r="F911" s="734" t="s">
        <v>160</v>
      </c>
      <c r="G911" s="497"/>
      <c r="H911" s="497"/>
      <c r="I911" s="499"/>
      <c r="J911" s="497"/>
      <c r="K911" s="497"/>
      <c r="L911" s="497"/>
      <c r="M911" s="497"/>
      <c r="N911" s="497"/>
      <c r="O911" s="497"/>
      <c r="P911" s="497"/>
      <c r="Q911" s="726"/>
      <c r="R911" s="734" t="s">
        <v>161</v>
      </c>
      <c r="S911" s="36"/>
      <c r="T911" s="734" t="s">
        <v>162</v>
      </c>
    </row>
    <row r="912" spans="1:41" s="501" customFormat="1" ht="13.2">
      <c r="A912" s="497"/>
      <c r="B912" s="3"/>
      <c r="C912" s="497"/>
      <c r="D912" s="3"/>
      <c r="E912" s="3"/>
      <c r="G912" s="3"/>
      <c r="H912" s="3"/>
      <c r="I912" s="3"/>
      <c r="J912" s="3"/>
      <c r="K912" s="3"/>
      <c r="L912" s="3"/>
      <c r="M912" s="3"/>
      <c r="N912" s="3"/>
      <c r="O912" s="86"/>
      <c r="P912" s="3"/>
      <c r="Q912" s="3"/>
      <c r="R912" s="3"/>
      <c r="S912" s="3"/>
      <c r="T912" s="3"/>
    </row>
    <row r="913" spans="1:41" s="501" customFormat="1" ht="12" thickBot="1">
      <c r="A913" s="518"/>
      <c r="B913" s="515"/>
      <c r="C913" s="515"/>
      <c r="D913" s="518"/>
      <c r="E913" s="37"/>
      <c r="F913" s="735"/>
      <c r="G913" s="515"/>
      <c r="H913" s="515"/>
      <c r="I913" s="516"/>
      <c r="J913" s="515"/>
      <c r="K913" s="515"/>
      <c r="L913" s="517"/>
      <c r="M913" s="517"/>
      <c r="N913" s="517"/>
      <c r="O913" s="517"/>
      <c r="P913" s="517"/>
      <c r="Q913" s="722"/>
      <c r="R913" s="735"/>
      <c r="S913" s="736"/>
      <c r="T913" s="735"/>
      <c r="U913" s="518"/>
      <c r="V913" s="518"/>
      <c r="W913" s="518"/>
      <c r="X913" s="518"/>
      <c r="Y913" s="518"/>
      <c r="Z913" s="518"/>
      <c r="AA913" s="518"/>
      <c r="AB913" s="518"/>
      <c r="AC913" s="518"/>
      <c r="AD913" s="518"/>
      <c r="AE913" s="518"/>
      <c r="AF913" s="518"/>
      <c r="AG913" s="518"/>
      <c r="AH913" s="518"/>
      <c r="AI913" s="518"/>
      <c r="AJ913" s="518"/>
      <c r="AK913" s="518"/>
    </row>
    <row r="914" spans="1:41" s="501" customFormat="1" thickTop="1">
      <c r="A914" s="44"/>
      <c r="B914" s="44"/>
      <c r="C914" s="3"/>
      <c r="D914" s="3"/>
      <c r="E914" s="44"/>
      <c r="F914" s="44"/>
      <c r="G914" s="44"/>
      <c r="H914" s="44"/>
      <c r="I914" s="44"/>
      <c r="J914" s="44"/>
      <c r="K914" s="44" t="s">
        <v>134</v>
      </c>
      <c r="L914" s="44"/>
      <c r="M914" s="44"/>
      <c r="N914" s="44"/>
      <c r="O914" s="45"/>
      <c r="P914" s="44"/>
      <c r="Q914" s="44"/>
      <c r="R914" s="44"/>
      <c r="S914" s="44"/>
      <c r="T914" s="44"/>
    </row>
    <row r="915" spans="1:41" s="501" customFormat="1" ht="12">
      <c r="A915" s="44"/>
      <c r="B915" s="44"/>
      <c r="C915" s="44" t="s">
        <v>135</v>
      </c>
      <c r="D915" s="35"/>
      <c r="E915" s="44"/>
      <c r="F915" s="44"/>
      <c r="G915" s="44"/>
      <c r="H915" s="44"/>
      <c r="I915" s="44"/>
      <c r="J915" s="44"/>
      <c r="K915" s="44"/>
      <c r="L915" s="44"/>
      <c r="M915" s="44"/>
      <c r="N915" s="44"/>
      <c r="O915" s="45"/>
      <c r="P915" s="44"/>
      <c r="Q915" s="44"/>
      <c r="R915" s="44"/>
      <c r="S915" s="44"/>
      <c r="T915" s="44"/>
    </row>
    <row r="916" spans="1:41" s="501" customFormat="1" ht="12">
      <c r="A916" s="44"/>
      <c r="B916" s="44"/>
      <c r="C916" s="44"/>
      <c r="D916" s="35" t="s">
        <v>403</v>
      </c>
      <c r="E916" s="44"/>
      <c r="F916" s="44"/>
      <c r="G916" s="44"/>
      <c r="H916" s="44"/>
      <c r="I916" s="44"/>
      <c r="J916" s="44"/>
      <c r="K916" s="44"/>
      <c r="L916" s="44"/>
      <c r="M916" s="44"/>
      <c r="N916" s="44"/>
      <c r="O916" s="45"/>
      <c r="P916" s="44"/>
      <c r="Q916" s="44"/>
      <c r="R916" s="44"/>
      <c r="S916" s="36"/>
      <c r="T916" s="36"/>
    </row>
    <row r="917" spans="1:41" s="3" customFormat="1" thickBot="1">
      <c r="A917" s="518"/>
      <c r="O917" s="86"/>
    </row>
    <row r="918" spans="1:41" s="501" customFormat="1" thickTop="1">
      <c r="A918" s="44"/>
      <c r="B918" s="44"/>
      <c r="C918" s="3"/>
      <c r="D918" s="3"/>
      <c r="E918" s="44"/>
      <c r="F918" s="44"/>
      <c r="G918" s="44"/>
      <c r="H918" s="44"/>
      <c r="I918" s="44"/>
      <c r="J918" s="44"/>
      <c r="K918" s="44" t="s">
        <v>134</v>
      </c>
      <c r="L918" s="44"/>
      <c r="M918" s="44"/>
      <c r="N918" s="44"/>
      <c r="O918" s="45"/>
      <c r="P918" s="44"/>
      <c r="Q918" s="44"/>
      <c r="R918" s="44"/>
      <c r="S918" s="44"/>
      <c r="T918" s="44"/>
    </row>
    <row r="919" spans="1:41" s="501" customFormat="1" ht="12">
      <c r="A919" s="44"/>
      <c r="B919" s="44"/>
      <c r="C919" s="44" t="s">
        <v>135</v>
      </c>
      <c r="D919" s="35" t="s">
        <v>630</v>
      </c>
      <c r="E919" s="44"/>
      <c r="F919" s="44"/>
      <c r="G919" s="44"/>
      <c r="H919" s="44"/>
      <c r="I919" s="44"/>
      <c r="J919" s="44"/>
      <c r="K919" s="44"/>
      <c r="L919" s="44"/>
      <c r="M919" s="44"/>
      <c r="N919" s="44"/>
      <c r="O919" s="45"/>
      <c r="P919" s="44"/>
      <c r="Q919" s="44"/>
      <c r="R919" s="44"/>
      <c r="S919" s="44"/>
      <c r="T919" s="44"/>
    </row>
    <row r="920" spans="1:41" s="501" customFormat="1" ht="39.9" customHeight="1">
      <c r="A920" s="44"/>
      <c r="B920" s="44"/>
      <c r="C920" s="44"/>
      <c r="D920" s="1185" t="s">
        <v>418</v>
      </c>
      <c r="E920" s="1184"/>
      <c r="F920" s="1184"/>
      <c r="G920" s="1184"/>
      <c r="H920" s="1184"/>
      <c r="I920" s="1184"/>
      <c r="J920" s="1184"/>
      <c r="K920" s="1184"/>
      <c r="L920" s="1184"/>
      <c r="M920" s="1184"/>
      <c r="N920" s="1184"/>
      <c r="O920" s="1184"/>
      <c r="P920" s="1184"/>
      <c r="Q920" s="1184"/>
      <c r="R920" s="1184"/>
      <c r="S920" s="1184"/>
      <c r="T920" s="1184"/>
    </row>
    <row r="921" spans="1:41" s="3" customFormat="1" thickBot="1">
      <c r="A921" s="518"/>
      <c r="O921" s="86"/>
    </row>
    <row r="922" spans="1:41" s="501" customFormat="1" ht="12" thickTop="1">
      <c r="A922" s="44"/>
      <c r="B922" s="39"/>
      <c r="C922" s="44"/>
      <c r="E922" s="40" t="s">
        <v>138</v>
      </c>
      <c r="F922" s="40" t="s">
        <v>139</v>
      </c>
      <c r="G922" s="44"/>
      <c r="H922" s="44"/>
      <c r="I922" s="44"/>
      <c r="J922" s="44"/>
      <c r="K922" s="44" t="s">
        <v>140</v>
      </c>
      <c r="L922" s="44"/>
      <c r="M922" s="44"/>
      <c r="N922" s="44"/>
      <c r="O922" s="45"/>
      <c r="P922" s="44"/>
      <c r="Q922" s="44"/>
      <c r="R922" s="44"/>
      <c r="S922" s="44"/>
      <c r="T922" s="39"/>
      <c r="AG922" s="502" t="s">
        <v>247</v>
      </c>
      <c r="AH922" s="502" t="s">
        <v>248</v>
      </c>
      <c r="AI922" s="502" t="s">
        <v>249</v>
      </c>
      <c r="AJ922" s="502" t="s">
        <v>250</v>
      </c>
      <c r="AK922" s="502" t="s">
        <v>251</v>
      </c>
      <c r="AM922" s="710" t="s">
        <v>260</v>
      </c>
      <c r="AN922" s="711" t="s">
        <v>261</v>
      </c>
      <c r="AO922" s="503" t="s">
        <v>257</v>
      </c>
    </row>
    <row r="923" spans="1:41" s="501" customFormat="1" ht="12" customHeight="1">
      <c r="A923" s="712">
        <v>1</v>
      </c>
      <c r="B923" s="504" t="s">
        <v>283</v>
      </c>
      <c r="C923" s="505"/>
      <c r="D923" s="713" t="s">
        <v>577</v>
      </c>
      <c r="E923" s="714">
        <f ca="1">IF(AND($A923=0,$A$1="DIF"),0, ROUND(ROUND(($R928*$S$2+($T928*$T$2))/A923,2)*$C$2,2))</f>
        <v>61.84</v>
      </c>
      <c r="F923" s="715">
        <f ca="1">ROUND($A923*$E923,2)</f>
        <v>61.84</v>
      </c>
      <c r="G923" s="506" t="s">
        <v>142</v>
      </c>
      <c r="H923" s="498"/>
      <c r="I923" s="716"/>
      <c r="J923" s="498"/>
      <c r="K923" s="498" t="s">
        <v>3</v>
      </c>
      <c r="L923" s="717" t="s">
        <v>143</v>
      </c>
      <c r="M923" s="717"/>
      <c r="N923" s="717"/>
      <c r="O923" s="717"/>
      <c r="P923" s="717"/>
      <c r="Q923" s="943" t="s">
        <v>855</v>
      </c>
      <c r="R923" s="943" t="s">
        <v>870</v>
      </c>
      <c r="T923" s="718" t="str">
        <f ca="1">IF(AND($R928=0,$T928=0),"0.00","mu :" &amp; ROUND($F923/$C$2/($R928+$T928*$D$9),2))</f>
        <v>mu :1.35</v>
      </c>
      <c r="W923" s="507"/>
      <c r="AG923" s="453">
        <f ca="1">IF($E923=0,0,ROUND($R928*$S$2*$C$2/$A923,2))</f>
        <v>14.39</v>
      </c>
      <c r="AH923" s="453">
        <f ca="1">$AG923*$A923</f>
        <v>14.39</v>
      </c>
      <c r="AI923" s="508">
        <f ca="1">$E923-$AG923</f>
        <v>47.45</v>
      </c>
      <c r="AJ923" s="508">
        <f ca="1">$A923*$AI923</f>
        <v>47.45</v>
      </c>
      <c r="AK923" s="509">
        <f ca="1">ROUND(($AG923+$AI923)*$A923,2)</f>
        <v>61.84</v>
      </c>
      <c r="AM923" s="510">
        <f ca="1">ROUND(R928,2)</f>
        <v>10.66</v>
      </c>
      <c r="AN923" s="511">
        <f ca="1">ROUND(T928,2)</f>
        <v>1.28</v>
      </c>
      <c r="AO923" s="512">
        <f ca="1">ROUND(AM923+AN923,2)*A923</f>
        <v>11.94</v>
      </c>
    </row>
    <row r="924" spans="1:41" s="501" customFormat="1" ht="13.2">
      <c r="A924" s="505"/>
      <c r="B924"/>
      <c r="C924" s="505"/>
      <c r="D924" s="713" t="s">
        <v>419</v>
      </c>
      <c r="F924" s="498"/>
      <c r="G924" s="3"/>
      <c r="H924" s="498"/>
      <c r="I924" s="716"/>
      <c r="J924" s="498"/>
      <c r="K924" s="498" t="s">
        <v>144</v>
      </c>
      <c r="L924" s="498"/>
      <c r="M924" s="498"/>
      <c r="N924" s="498"/>
      <c r="O924" s="498"/>
      <c r="P924" s="498"/>
      <c r="Q924" s="44"/>
      <c r="R924" s="567"/>
      <c r="S924" s="719"/>
      <c r="T924" s="498"/>
    </row>
    <row r="925" spans="1:41" s="935" customFormat="1" ht="13.2">
      <c r="A925"/>
      <c r="B925" s="927"/>
      <c r="C925" s="927" t="s">
        <v>735</v>
      </c>
      <c r="D925" s="927" t="str">
        <f ca="1">CELL("Address",Elec_Rates!D$64)</f>
        <v>[E25_0465_IH_Retro_Elec4Mech_Est_Rev_A.xlsx]Elec_Rates!$D$64</v>
      </c>
      <c r="E925" s="928"/>
      <c r="F925" s="928"/>
      <c r="G925" s="929" t="s">
        <v>736</v>
      </c>
      <c r="H925" s="929"/>
      <c r="I925" s="929"/>
      <c r="J925" s="929"/>
      <c r="K925" s="930"/>
      <c r="L925" s="928"/>
      <c r="M925" s="928"/>
      <c r="N925" s="928"/>
      <c r="O925" s="931"/>
      <c r="P925" s="928"/>
      <c r="Q925" s="932"/>
      <c r="R925" s="933"/>
      <c r="S925" s="932"/>
      <c r="T925" s="560"/>
      <c r="U925" s="934"/>
    </row>
    <row r="926" spans="1:41" s="935" customFormat="1" ht="11.4">
      <c r="A926" s="936">
        <v>1</v>
      </c>
      <c r="B926" s="937">
        <v>1</v>
      </c>
      <c r="C926" s="937">
        <f>$A926*$B926</f>
        <v>1</v>
      </c>
      <c r="D926" s="938" t="str">
        <f>Elec_Rates!$D$64</f>
        <v>006# Connecting up of 11.0/18.0 kW 400Volt motor (VFD)</v>
      </c>
      <c r="E926" s="938"/>
      <c r="F926" s="938" t="s">
        <v>737</v>
      </c>
      <c r="G926" s="939" t="s">
        <v>738</v>
      </c>
      <c r="H926" s="939"/>
      <c r="I926" s="939"/>
      <c r="J926" s="939"/>
      <c r="K926" s="940"/>
      <c r="L926" s="934"/>
      <c r="M926" s="934"/>
      <c r="N926" s="934"/>
      <c r="O926" s="941"/>
      <c r="P926" s="938"/>
      <c r="Q926" s="942">
        <f ca="1">$B926*Elec_Rates!$R$64</f>
        <v>10.66</v>
      </c>
      <c r="R926" s="933">
        <f ca="1">$A926*Q926</f>
        <v>10.66</v>
      </c>
      <c r="S926" s="942">
        <f ca="1">$B926*Elec_Rates!$T$64</f>
        <v>1.28</v>
      </c>
      <c r="T926" s="560">
        <f ca="1">$A926*S926</f>
        <v>1.28</v>
      </c>
      <c r="U926" s="484"/>
    </row>
    <row r="927" spans="1:41" s="501" customFormat="1" ht="12">
      <c r="A927" s="497"/>
      <c r="B927" s="497"/>
      <c r="C927" s="497"/>
      <c r="D927" s="497"/>
      <c r="E927" s="497"/>
      <c r="F927" s="498"/>
      <c r="G927" s="497"/>
      <c r="H927" s="497"/>
      <c r="I927" s="499"/>
      <c r="J927" s="497"/>
      <c r="K927" s="497"/>
      <c r="L927" s="497"/>
      <c r="M927" s="497"/>
      <c r="N927" s="497"/>
      <c r="O927" s="497"/>
      <c r="P927" s="497"/>
      <c r="Q927" s="499"/>
      <c r="R927" s="720">
        <f>$A927*Q927</f>
        <v>0</v>
      </c>
      <c r="S927" s="499"/>
      <c r="T927" s="500">
        <f>$A927*S927*$T$1</f>
        <v>0</v>
      </c>
    </row>
    <row r="928" spans="1:41" s="501" customFormat="1" ht="12.6" thickBot="1">
      <c r="A928" s="513" t="s">
        <v>145</v>
      </c>
      <c r="B928" s="514">
        <f>(R927+T927)</f>
        <v>0</v>
      </c>
      <c r="C928" s="515"/>
      <c r="D928" s="515"/>
      <c r="E928" s="515"/>
      <c r="F928" s="721"/>
      <c r="G928" s="515" t="s">
        <v>146</v>
      </c>
      <c r="H928" s="515"/>
      <c r="I928" s="516"/>
      <c r="J928" s="515"/>
      <c r="K928" s="515" t="s">
        <v>3</v>
      </c>
      <c r="L928" s="517" t="s">
        <v>143</v>
      </c>
      <c r="M928" s="517"/>
      <c r="N928" s="517"/>
      <c r="O928" s="517"/>
      <c r="P928" s="517"/>
      <c r="Q928" s="722"/>
      <c r="R928" s="723">
        <f ca="1">SUM(R924:R927)</f>
        <v>10.66</v>
      </c>
      <c r="S928" s="515"/>
      <c r="T928" s="723">
        <f ca="1">SUM(T924:T927)</f>
        <v>1.28</v>
      </c>
      <c r="U928" s="518"/>
      <c r="V928" s="518"/>
      <c r="W928" s="518"/>
      <c r="X928" s="518"/>
      <c r="Y928" s="518"/>
      <c r="Z928" s="518"/>
      <c r="AA928" s="518"/>
      <c r="AB928" s="518"/>
      <c r="AC928" s="518"/>
      <c r="AD928" s="518"/>
      <c r="AE928" s="518"/>
      <c r="AF928" s="518"/>
      <c r="AG928" s="518"/>
      <c r="AH928" s="518"/>
      <c r="AI928" s="518"/>
      <c r="AJ928" s="518"/>
      <c r="AK928" s="518"/>
      <c r="AL928" s="518"/>
      <c r="AM928" s="518"/>
      <c r="AN928" s="518"/>
      <c r="AO928" s="518"/>
    </row>
    <row r="929" spans="1:41" s="501" customFormat="1" ht="12" thickTop="1">
      <c r="A929" s="44"/>
      <c r="B929" s="39"/>
      <c r="C929" s="44"/>
      <c r="E929" s="40" t="s">
        <v>138</v>
      </c>
      <c r="F929" s="40" t="s">
        <v>139</v>
      </c>
      <c r="G929" s="44"/>
      <c r="H929" s="44"/>
      <c r="I929" s="44"/>
      <c r="J929" s="44"/>
      <c r="K929" s="44" t="s">
        <v>140</v>
      </c>
      <c r="L929" s="44"/>
      <c r="M929" s="44"/>
      <c r="N929" s="44"/>
      <c r="O929" s="45"/>
      <c r="P929" s="44"/>
      <c r="Q929" s="44"/>
      <c r="R929" s="44"/>
      <c r="S929" s="44"/>
      <c r="T929" s="39"/>
      <c r="AG929" s="502" t="s">
        <v>247</v>
      </c>
      <c r="AH929" s="502" t="s">
        <v>248</v>
      </c>
      <c r="AI929" s="502" t="s">
        <v>249</v>
      </c>
      <c r="AJ929" s="502" t="s">
        <v>250</v>
      </c>
      <c r="AK929" s="502" t="s">
        <v>251</v>
      </c>
      <c r="AM929" s="710" t="s">
        <v>260</v>
      </c>
      <c r="AN929" s="711" t="s">
        <v>261</v>
      </c>
      <c r="AO929" s="503" t="s">
        <v>257</v>
      </c>
    </row>
    <row r="930" spans="1:41" s="501" customFormat="1" ht="12" customHeight="1">
      <c r="A930" s="712">
        <v>1</v>
      </c>
      <c r="B930" s="504" t="s">
        <v>283</v>
      </c>
      <c r="C930" s="505"/>
      <c r="D930" s="713" t="s">
        <v>585</v>
      </c>
      <c r="E930" s="714">
        <f ca="1">IF(AND($A930=0,$A$1="DIF"),0, ROUND(ROUND(($R935*$S$2+($T935*$T$2))/A930,2)*$C$2,2))</f>
        <v>61.84</v>
      </c>
      <c r="F930" s="715">
        <f ca="1">ROUND($A930*$E930,2)</f>
        <v>61.84</v>
      </c>
      <c r="G930" s="506" t="s">
        <v>142</v>
      </c>
      <c r="H930" s="498"/>
      <c r="I930" s="716"/>
      <c r="J930" s="498"/>
      <c r="K930" s="498" t="s">
        <v>3</v>
      </c>
      <c r="L930" s="717" t="s">
        <v>143</v>
      </c>
      <c r="M930" s="717"/>
      <c r="N930" s="717"/>
      <c r="O930" s="717"/>
      <c r="P930" s="717"/>
      <c r="Q930" s="943" t="s">
        <v>855</v>
      </c>
      <c r="R930" s="943" t="s">
        <v>870</v>
      </c>
      <c r="T930" s="718" t="str">
        <f ca="1">IF(AND($R935=0,$T935=0),"0.00","mu :" &amp; ROUND($F930/$C$2/($R935+$T935*$D$9),2))</f>
        <v>mu :1.35</v>
      </c>
      <c r="W930" s="507"/>
      <c r="AG930" s="453">
        <f ca="1">IF($E930=0,0,ROUND($R935*$S$2*$C$2/$A930,2))</f>
        <v>14.39</v>
      </c>
      <c r="AH930" s="453">
        <f ca="1">$AG930*$A930</f>
        <v>14.39</v>
      </c>
      <c r="AI930" s="508">
        <f ca="1">$E930-$AG930</f>
        <v>47.45</v>
      </c>
      <c r="AJ930" s="508">
        <f ca="1">$A930*$AI930</f>
        <v>47.45</v>
      </c>
      <c r="AK930" s="509">
        <f ca="1">ROUND(($AG930+$AI930)*$A930,2)</f>
        <v>61.84</v>
      </c>
      <c r="AM930" s="510">
        <f ca="1">ROUND(R935,2)</f>
        <v>10.66</v>
      </c>
      <c r="AN930" s="511">
        <f ca="1">ROUND(T935,2)</f>
        <v>1.28</v>
      </c>
      <c r="AO930" s="512">
        <f ca="1">ROUND(AM930+AN930,2)*A930</f>
        <v>11.94</v>
      </c>
    </row>
    <row r="931" spans="1:41" s="501" customFormat="1" ht="13.2">
      <c r="A931" s="505"/>
      <c r="B931"/>
      <c r="C931" s="505"/>
      <c r="D931" s="713" t="s">
        <v>420</v>
      </c>
      <c r="F931" s="498"/>
      <c r="G931" s="3"/>
      <c r="H931" s="498"/>
      <c r="I931" s="716"/>
      <c r="J931" s="498"/>
      <c r="K931" s="498" t="s">
        <v>144</v>
      </c>
      <c r="L931" s="498"/>
      <c r="M931" s="498"/>
      <c r="N931" s="498"/>
      <c r="O931" s="498"/>
      <c r="P931" s="498"/>
      <c r="Q931" s="44"/>
      <c r="R931" s="567"/>
      <c r="S931" s="719"/>
      <c r="T931" s="498"/>
    </row>
    <row r="932" spans="1:41" s="935" customFormat="1" ht="13.2">
      <c r="A932"/>
      <c r="B932" s="927"/>
      <c r="C932" s="927" t="s">
        <v>735</v>
      </c>
      <c r="D932" s="927" t="str">
        <f ca="1">CELL("Address",Elec_Rates!D$64)</f>
        <v>[E25_0465_IH_Retro_Elec4Mech_Est_Rev_A.xlsx]Elec_Rates!$D$64</v>
      </c>
      <c r="E932" s="928"/>
      <c r="F932" s="928"/>
      <c r="G932" s="929" t="s">
        <v>736</v>
      </c>
      <c r="H932" s="929"/>
      <c r="I932" s="929"/>
      <c r="J932" s="929"/>
      <c r="K932" s="930"/>
      <c r="L932" s="928"/>
      <c r="M932" s="928"/>
      <c r="N932" s="928"/>
      <c r="O932" s="931"/>
      <c r="P932" s="928"/>
      <c r="Q932" s="932"/>
      <c r="R932" s="933"/>
      <c r="S932" s="932"/>
      <c r="T932" s="560"/>
      <c r="U932" s="934"/>
    </row>
    <row r="933" spans="1:41" s="935" customFormat="1" ht="11.4">
      <c r="A933" s="936">
        <v>1</v>
      </c>
      <c r="B933" s="937">
        <v>1</v>
      </c>
      <c r="C933" s="937">
        <f>$A933*$B933</f>
        <v>1</v>
      </c>
      <c r="D933" s="938" t="str">
        <f>Elec_Rates!$D$64</f>
        <v>006# Connecting up of 11.0/18.0 kW 400Volt motor (VFD)</v>
      </c>
      <c r="E933" s="938"/>
      <c r="F933" s="938" t="s">
        <v>737</v>
      </c>
      <c r="G933" s="939" t="s">
        <v>738</v>
      </c>
      <c r="H933" s="939"/>
      <c r="I933" s="939"/>
      <c r="J933" s="939"/>
      <c r="K933" s="940"/>
      <c r="L933" s="934"/>
      <c r="M933" s="934"/>
      <c r="N933" s="934"/>
      <c r="O933" s="941"/>
      <c r="P933" s="938"/>
      <c r="Q933" s="942">
        <f ca="1">$B933*Elec_Rates!$R$64</f>
        <v>10.66</v>
      </c>
      <c r="R933" s="933">
        <f ca="1">$A933*Q933</f>
        <v>10.66</v>
      </c>
      <c r="S933" s="942">
        <f ca="1">$B933*Elec_Rates!$T$64</f>
        <v>1.28</v>
      </c>
      <c r="T933" s="560">
        <f ca="1">$A933*S933</f>
        <v>1.28</v>
      </c>
      <c r="U933" s="484"/>
    </row>
    <row r="934" spans="1:41" s="501" customFormat="1" ht="12">
      <c r="A934" s="497"/>
      <c r="B934" s="497"/>
      <c r="C934" s="497"/>
      <c r="D934" s="497"/>
      <c r="E934" s="497"/>
      <c r="F934" s="498"/>
      <c r="G934" s="497"/>
      <c r="H934" s="497"/>
      <c r="I934" s="499"/>
      <c r="J934" s="497"/>
      <c r="K934" s="497"/>
      <c r="L934" s="497"/>
      <c r="M934" s="497"/>
      <c r="N934" s="497"/>
      <c r="O934" s="497"/>
      <c r="P934" s="497"/>
      <c r="Q934" s="499"/>
      <c r="R934" s="720">
        <f>$A934*Q934</f>
        <v>0</v>
      </c>
      <c r="S934" s="499"/>
      <c r="T934" s="500">
        <f>$A934*S934*$T$1</f>
        <v>0</v>
      </c>
    </row>
    <row r="935" spans="1:41" s="501" customFormat="1" ht="12.6" thickBot="1">
      <c r="A935" s="513" t="s">
        <v>145</v>
      </c>
      <c r="B935" s="514">
        <f>(R934+T934)</f>
        <v>0</v>
      </c>
      <c r="C935" s="515"/>
      <c r="D935" s="515"/>
      <c r="E935" s="515"/>
      <c r="F935" s="721"/>
      <c r="G935" s="515" t="s">
        <v>146</v>
      </c>
      <c r="H935" s="515"/>
      <c r="I935" s="516"/>
      <c r="J935" s="515"/>
      <c r="K935" s="515" t="s">
        <v>3</v>
      </c>
      <c r="L935" s="517" t="s">
        <v>143</v>
      </c>
      <c r="M935" s="517"/>
      <c r="N935" s="517"/>
      <c r="O935" s="517"/>
      <c r="P935" s="517"/>
      <c r="Q935" s="722"/>
      <c r="R935" s="723">
        <f ca="1">SUM(R931:R934)</f>
        <v>10.66</v>
      </c>
      <c r="S935" s="515"/>
      <c r="T935" s="723">
        <f ca="1">SUM(T931:T934)</f>
        <v>1.28</v>
      </c>
      <c r="U935" s="518"/>
      <c r="V935" s="518"/>
      <c r="W935" s="518"/>
      <c r="X935" s="518"/>
      <c r="Y935" s="518"/>
      <c r="Z935" s="518"/>
      <c r="AA935" s="518"/>
      <c r="AB935" s="518"/>
      <c r="AC935" s="518"/>
      <c r="AD935" s="518"/>
      <c r="AE935" s="518"/>
      <c r="AF935" s="518"/>
      <c r="AG935" s="518"/>
      <c r="AH935" s="518"/>
      <c r="AI935" s="518"/>
      <c r="AJ935" s="518"/>
      <c r="AK935" s="518"/>
      <c r="AL935" s="518"/>
      <c r="AM935" s="518"/>
      <c r="AN935" s="518"/>
      <c r="AO935" s="518"/>
    </row>
    <row r="936" spans="1:41" s="501" customFormat="1" ht="12" thickTop="1">
      <c r="A936" s="44"/>
      <c r="B936" s="39"/>
      <c r="C936" s="44"/>
      <c r="E936" s="40" t="s">
        <v>138</v>
      </c>
      <c r="F936" s="40" t="s">
        <v>139</v>
      </c>
      <c r="G936" s="44"/>
      <c r="H936" s="44"/>
      <c r="I936" s="44"/>
      <c r="J936" s="44"/>
      <c r="K936" s="44" t="s">
        <v>140</v>
      </c>
      <c r="L936" s="44"/>
      <c r="M936" s="44"/>
      <c r="N936" s="44"/>
      <c r="O936" s="45"/>
      <c r="P936" s="44"/>
      <c r="Q936" s="44"/>
      <c r="R936" s="44"/>
      <c r="S936" s="44"/>
      <c r="T936" s="39"/>
      <c r="AG936" s="502" t="s">
        <v>247</v>
      </c>
      <c r="AH936" s="502" t="s">
        <v>248</v>
      </c>
      <c r="AI936" s="502" t="s">
        <v>249</v>
      </c>
      <c r="AJ936" s="502" t="s">
        <v>250</v>
      </c>
      <c r="AK936" s="502" t="s">
        <v>251</v>
      </c>
      <c r="AM936" s="710" t="s">
        <v>260</v>
      </c>
      <c r="AN936" s="711" t="s">
        <v>261</v>
      </c>
      <c r="AO936" s="503" t="s">
        <v>257</v>
      </c>
    </row>
    <row r="937" spans="1:41" s="501" customFormat="1" ht="12" customHeight="1">
      <c r="A937" s="712">
        <v>1</v>
      </c>
      <c r="B937" s="504" t="s">
        <v>283</v>
      </c>
      <c r="C937" s="505"/>
      <c r="D937" s="713" t="s">
        <v>586</v>
      </c>
      <c r="E937" s="714">
        <f ca="1">IF(AND($A937=0,$A$1="DIF"),0, ROUND(ROUND(($R942*$S$2+($T942*$T$2))/A937,2)*$C$2,2))</f>
        <v>47.58</v>
      </c>
      <c r="F937" s="715">
        <f ca="1">ROUND($A937*$E937,2)</f>
        <v>47.58</v>
      </c>
      <c r="G937" s="506" t="s">
        <v>142</v>
      </c>
      <c r="H937" s="498"/>
      <c r="I937" s="716"/>
      <c r="J937" s="498"/>
      <c r="K937" s="498" t="s">
        <v>3</v>
      </c>
      <c r="L937" s="717" t="s">
        <v>143</v>
      </c>
      <c r="M937" s="717"/>
      <c r="N937" s="717"/>
      <c r="O937" s="717"/>
      <c r="P937" s="717"/>
      <c r="Q937" s="943" t="s">
        <v>855</v>
      </c>
      <c r="R937" s="943" t="s">
        <v>870</v>
      </c>
      <c r="T937" s="718" t="str">
        <f ca="1">IF(AND($R942=0,$T942=0),"0.00","mu :" &amp; ROUND($F937/$C$2/($R942+$T942*$D$9),2))</f>
        <v>mu :1.35</v>
      </c>
      <c r="W937" s="507"/>
      <c r="AG937" s="453">
        <f ca="1">IF($E937=0,0,ROUND($R942*$S$2*$C$2/$A937,2))</f>
        <v>9.4</v>
      </c>
      <c r="AH937" s="453">
        <f ca="1">$AG937*$A937</f>
        <v>9.4</v>
      </c>
      <c r="AI937" s="508">
        <f ca="1">$E937-$AG937</f>
        <v>38.18</v>
      </c>
      <c r="AJ937" s="508">
        <f ca="1">$A937*$AI937</f>
        <v>38.18</v>
      </c>
      <c r="AK937" s="509">
        <f ca="1">ROUND(($AG937+$AI937)*$A937,2)</f>
        <v>47.58</v>
      </c>
      <c r="AM937" s="510">
        <f ca="1">ROUND(R942,2)</f>
        <v>6.96</v>
      </c>
      <c r="AN937" s="511">
        <f ca="1">ROUND(T942,2)</f>
        <v>1.03</v>
      </c>
      <c r="AO937" s="512">
        <f ca="1">ROUND(AM937+AN937,2)*A937</f>
        <v>7.99</v>
      </c>
    </row>
    <row r="938" spans="1:41" s="501" customFormat="1" ht="13.2">
      <c r="A938" s="505"/>
      <c r="B938"/>
      <c r="C938" s="505"/>
      <c r="D938" s="713" t="s">
        <v>421</v>
      </c>
      <c r="F938" s="498"/>
      <c r="G938" s="3"/>
      <c r="H938" s="498"/>
      <c r="I938" s="716"/>
      <c r="J938" s="498"/>
      <c r="K938" s="498" t="s">
        <v>144</v>
      </c>
      <c r="L938" s="498"/>
      <c r="M938" s="498"/>
      <c r="N938" s="498"/>
      <c r="O938" s="498"/>
      <c r="P938" s="498"/>
      <c r="Q938" s="44"/>
      <c r="R938" s="567"/>
      <c r="S938" s="719"/>
      <c r="T938" s="498"/>
    </row>
    <row r="939" spans="1:41" s="935" customFormat="1" ht="13.2">
      <c r="A939"/>
      <c r="B939" s="927"/>
      <c r="C939" s="927" t="s">
        <v>735</v>
      </c>
      <c r="D939" s="927" t="str">
        <f ca="1">CELL("Address",Elec_Rates!D$55)</f>
        <v>[E25_0465_IH_Retro_Elec4Mech_Est_Rev_A.xlsx]Elec_Rates!$D$55</v>
      </c>
      <c r="E939" s="928"/>
      <c r="F939" s="928"/>
      <c r="G939" s="929" t="s">
        <v>736</v>
      </c>
      <c r="H939" s="929"/>
      <c r="I939" s="929"/>
      <c r="J939" s="929"/>
      <c r="K939" s="930"/>
      <c r="L939" s="928"/>
      <c r="M939" s="928"/>
      <c r="N939" s="928"/>
      <c r="O939" s="931"/>
      <c r="P939" s="928"/>
      <c r="Q939" s="932"/>
      <c r="R939" s="933"/>
      <c r="S939" s="932"/>
      <c r="T939" s="560"/>
      <c r="U939" s="934"/>
    </row>
    <row r="940" spans="1:41" s="935" customFormat="1" ht="11.4">
      <c r="A940" s="936">
        <v>1</v>
      </c>
      <c r="B940" s="937">
        <v>1</v>
      </c>
      <c r="C940" s="937">
        <f>$A940*$B940</f>
        <v>1</v>
      </c>
      <c r="D940" s="938" t="str">
        <f>Elec_Rates!$D$55</f>
        <v>005# Connecting up of 7.5 kW 400Volt motor (VFD)</v>
      </c>
      <c r="E940" s="938"/>
      <c r="F940" s="938" t="s">
        <v>737</v>
      </c>
      <c r="G940" s="939" t="s">
        <v>739</v>
      </c>
      <c r="H940" s="939"/>
      <c r="I940" s="939"/>
      <c r="J940" s="939"/>
      <c r="K940" s="940"/>
      <c r="L940" s="934"/>
      <c r="M940" s="934"/>
      <c r="N940" s="934"/>
      <c r="O940" s="941"/>
      <c r="P940" s="938"/>
      <c r="Q940" s="942">
        <f ca="1">$B940*Elec_Rates!$R$55</f>
        <v>6.96</v>
      </c>
      <c r="R940" s="933">
        <f ca="1">$A940*Q940</f>
        <v>6.96</v>
      </c>
      <c r="S940" s="942">
        <f ca="1">$B940*Elec_Rates!$T$55</f>
        <v>1.03</v>
      </c>
      <c r="T940" s="560">
        <f ca="1">$A940*S940</f>
        <v>1.03</v>
      </c>
      <c r="U940" s="484"/>
    </row>
    <row r="941" spans="1:41" s="501" customFormat="1" ht="12">
      <c r="A941" s="497"/>
      <c r="B941" s="497"/>
      <c r="C941" s="497"/>
      <c r="D941" s="497"/>
      <c r="E941" s="497"/>
      <c r="F941" s="498"/>
      <c r="G941" s="497"/>
      <c r="H941" s="497"/>
      <c r="I941" s="499"/>
      <c r="J941" s="497"/>
      <c r="K941" s="497"/>
      <c r="L941" s="497"/>
      <c r="M941" s="497"/>
      <c r="N941" s="497"/>
      <c r="O941" s="497"/>
      <c r="P941" s="497"/>
      <c r="Q941" s="499"/>
      <c r="R941" s="720">
        <f>$A941*Q941</f>
        <v>0</v>
      </c>
      <c r="S941" s="499"/>
      <c r="T941" s="500">
        <f>$A941*S941*$T$1</f>
        <v>0</v>
      </c>
    </row>
    <row r="942" spans="1:41" s="501" customFormat="1" ht="12.6" thickBot="1">
      <c r="A942" s="513" t="s">
        <v>145</v>
      </c>
      <c r="B942" s="514">
        <f>(R941+T941)</f>
        <v>0</v>
      </c>
      <c r="C942" s="515"/>
      <c r="D942" s="515"/>
      <c r="E942" s="515"/>
      <c r="F942" s="721"/>
      <c r="G942" s="515" t="s">
        <v>146</v>
      </c>
      <c r="H942" s="515"/>
      <c r="I942" s="516"/>
      <c r="J942" s="515"/>
      <c r="K942" s="515" t="s">
        <v>3</v>
      </c>
      <c r="L942" s="517" t="s">
        <v>143</v>
      </c>
      <c r="M942" s="517"/>
      <c r="N942" s="517"/>
      <c r="O942" s="517"/>
      <c r="P942" s="517"/>
      <c r="Q942" s="722"/>
      <c r="R942" s="723">
        <f ca="1">SUM(R938:R941)</f>
        <v>6.96</v>
      </c>
      <c r="S942" s="515"/>
      <c r="T942" s="723">
        <f ca="1">SUM(T938:T941)</f>
        <v>1.03</v>
      </c>
      <c r="U942" s="518"/>
      <c r="V942" s="518"/>
      <c r="W942" s="518"/>
      <c r="X942" s="518"/>
      <c r="Y942" s="518"/>
      <c r="Z942" s="518"/>
      <c r="AA942" s="518"/>
      <c r="AB942" s="518"/>
      <c r="AC942" s="518"/>
      <c r="AD942" s="518"/>
      <c r="AE942" s="518"/>
      <c r="AF942" s="518"/>
      <c r="AG942" s="518"/>
      <c r="AH942" s="518"/>
      <c r="AI942" s="518"/>
      <c r="AJ942" s="518"/>
      <c r="AK942" s="518"/>
      <c r="AL942" s="518"/>
      <c r="AM942" s="518"/>
      <c r="AN942" s="518"/>
      <c r="AO942" s="518"/>
    </row>
    <row r="943" spans="1:41" s="501" customFormat="1" ht="12" thickTop="1">
      <c r="A943" s="44"/>
      <c r="B943" s="39"/>
      <c r="C943" s="44"/>
      <c r="E943" s="40" t="s">
        <v>138</v>
      </c>
      <c r="F943" s="40" t="s">
        <v>139</v>
      </c>
      <c r="G943" s="44"/>
      <c r="H943" s="44"/>
      <c r="I943" s="44"/>
      <c r="J943" s="44"/>
      <c r="K943" s="44" t="s">
        <v>140</v>
      </c>
      <c r="L943" s="44"/>
      <c r="M943" s="44"/>
      <c r="N943" s="44"/>
      <c r="O943" s="45"/>
      <c r="P943" s="44"/>
      <c r="Q943" s="44"/>
      <c r="R943" s="44"/>
      <c r="S943" s="44"/>
      <c r="T943" s="39"/>
      <c r="AG943" s="502" t="s">
        <v>247</v>
      </c>
      <c r="AH943" s="502" t="s">
        <v>248</v>
      </c>
      <c r="AI943" s="502" t="s">
        <v>249</v>
      </c>
      <c r="AJ943" s="502" t="s">
        <v>250</v>
      </c>
      <c r="AK943" s="502" t="s">
        <v>251</v>
      </c>
      <c r="AM943" s="710" t="s">
        <v>260</v>
      </c>
      <c r="AN943" s="711" t="s">
        <v>261</v>
      </c>
      <c r="AO943" s="503" t="s">
        <v>257</v>
      </c>
    </row>
    <row r="944" spans="1:41" s="501" customFormat="1" ht="12" customHeight="1">
      <c r="A944" s="712">
        <v>1</v>
      </c>
      <c r="B944" s="504" t="s">
        <v>283</v>
      </c>
      <c r="C944" s="505"/>
      <c r="D944" s="713" t="s">
        <v>592</v>
      </c>
      <c r="E944" s="714">
        <f ca="1">IF(AND($A944=0,$A$1="DIF"),0, ROUND(ROUND(($R949*$S$2+($T949*$T$2))/A944,2)*$C$2,2))</f>
        <v>47.58</v>
      </c>
      <c r="F944" s="715">
        <f ca="1">ROUND($A944*$E944,2)</f>
        <v>47.58</v>
      </c>
      <c r="G944" s="506" t="s">
        <v>142</v>
      </c>
      <c r="H944" s="498"/>
      <c r="I944" s="716"/>
      <c r="J944" s="498"/>
      <c r="K944" s="498" t="s">
        <v>3</v>
      </c>
      <c r="L944" s="717" t="s">
        <v>143</v>
      </c>
      <c r="M944" s="717"/>
      <c r="N944" s="717"/>
      <c r="O944" s="717"/>
      <c r="P944" s="717"/>
      <c r="Q944" s="943" t="s">
        <v>855</v>
      </c>
      <c r="R944" s="943" t="s">
        <v>870</v>
      </c>
      <c r="T944" s="718" t="str">
        <f ca="1">IF(AND($R949=0,$T949=0),"0.00","mu :" &amp; ROUND($F944/$C$2/($R949+$T949*$D$9),2))</f>
        <v>mu :1.35</v>
      </c>
      <c r="W944" s="507"/>
      <c r="AG944" s="453">
        <f ca="1">IF($E944=0,0,ROUND($R949*$S$2*$C$2/$A944,2))</f>
        <v>9.4</v>
      </c>
      <c r="AH944" s="453">
        <f ca="1">$AG944*$A944</f>
        <v>9.4</v>
      </c>
      <c r="AI944" s="508">
        <f ca="1">$E944-$AG944</f>
        <v>38.18</v>
      </c>
      <c r="AJ944" s="508">
        <f ca="1">$A944*$AI944</f>
        <v>38.18</v>
      </c>
      <c r="AK944" s="509">
        <f ca="1">ROUND(($AG944+$AI944)*$A944,2)</f>
        <v>47.58</v>
      </c>
      <c r="AM944" s="510">
        <f ca="1">ROUND(R949,2)</f>
        <v>6.96</v>
      </c>
      <c r="AN944" s="511">
        <f ca="1">ROUND(T949,2)</f>
        <v>1.03</v>
      </c>
      <c r="AO944" s="512">
        <f ca="1">ROUND(AM944+AN944,2)*A944</f>
        <v>7.99</v>
      </c>
    </row>
    <row r="945" spans="1:41" s="501" customFormat="1" ht="13.2">
      <c r="A945" s="505"/>
      <c r="B945"/>
      <c r="C945" s="505"/>
      <c r="D945" s="713" t="s">
        <v>422</v>
      </c>
      <c r="F945" s="498"/>
      <c r="G945" s="3"/>
      <c r="H945" s="498"/>
      <c r="I945" s="716"/>
      <c r="J945" s="498"/>
      <c r="K945" s="498" t="s">
        <v>144</v>
      </c>
      <c r="L945" s="498"/>
      <c r="M945" s="498"/>
      <c r="N945" s="498"/>
      <c r="O945" s="498"/>
      <c r="P945" s="498"/>
      <c r="Q945" s="44"/>
      <c r="R945" s="567"/>
      <c r="S945" s="719"/>
      <c r="T945" s="498"/>
    </row>
    <row r="946" spans="1:41" s="935" customFormat="1" ht="13.2">
      <c r="A946"/>
      <c r="B946" s="927"/>
      <c r="C946" s="927" t="s">
        <v>735</v>
      </c>
      <c r="D946" s="927" t="str">
        <f ca="1">CELL("Address",Elec_Rates!D$55)</f>
        <v>[E25_0465_IH_Retro_Elec4Mech_Est_Rev_A.xlsx]Elec_Rates!$D$55</v>
      </c>
      <c r="E946" s="928"/>
      <c r="F946" s="928"/>
      <c r="G946" s="929" t="s">
        <v>736</v>
      </c>
      <c r="H946" s="929"/>
      <c r="I946" s="929"/>
      <c r="J946" s="929"/>
      <c r="K946" s="930"/>
      <c r="L946" s="928"/>
      <c r="M946" s="928"/>
      <c r="N946" s="928"/>
      <c r="O946" s="931"/>
      <c r="P946" s="928"/>
      <c r="Q946" s="932"/>
      <c r="R946" s="933"/>
      <c r="S946" s="932"/>
      <c r="T946" s="560"/>
      <c r="U946" s="934"/>
    </row>
    <row r="947" spans="1:41" s="935" customFormat="1" ht="11.4">
      <c r="A947" s="936">
        <v>1</v>
      </c>
      <c r="B947" s="937">
        <v>1</v>
      </c>
      <c r="C947" s="937">
        <f>$A947*$B947</f>
        <v>1</v>
      </c>
      <c r="D947" s="938" t="str">
        <f>Elec_Rates!$D$55</f>
        <v>005# Connecting up of 7.5 kW 400Volt motor (VFD)</v>
      </c>
      <c r="E947" s="938"/>
      <c r="F947" s="938" t="s">
        <v>737</v>
      </c>
      <c r="G947" s="939" t="s">
        <v>739</v>
      </c>
      <c r="H947" s="939"/>
      <c r="I947" s="939"/>
      <c r="J947" s="939"/>
      <c r="K947" s="940"/>
      <c r="L947" s="934"/>
      <c r="M947" s="934"/>
      <c r="N947" s="934"/>
      <c r="O947" s="941"/>
      <c r="P947" s="938"/>
      <c r="Q947" s="942">
        <f ca="1">$B947*Elec_Rates!$R$55</f>
        <v>6.96</v>
      </c>
      <c r="R947" s="933">
        <f ca="1">$A947*Q947</f>
        <v>6.96</v>
      </c>
      <c r="S947" s="942">
        <f ca="1">$B947*Elec_Rates!$T$55</f>
        <v>1.03</v>
      </c>
      <c r="T947" s="560">
        <f ca="1">$A947*S947</f>
        <v>1.03</v>
      </c>
      <c r="U947" s="484"/>
    </row>
    <row r="948" spans="1:41" s="501" customFormat="1" ht="12">
      <c r="A948" s="497"/>
      <c r="B948" s="497"/>
      <c r="C948" s="497"/>
      <c r="D948" s="497"/>
      <c r="E948" s="497"/>
      <c r="F948" s="498"/>
      <c r="G948" s="497"/>
      <c r="H948" s="497"/>
      <c r="I948" s="499"/>
      <c r="J948" s="497"/>
      <c r="K948" s="497"/>
      <c r="L948" s="497"/>
      <c r="M948" s="497"/>
      <c r="N948" s="497"/>
      <c r="O948" s="497"/>
      <c r="P948" s="497"/>
      <c r="Q948" s="499"/>
      <c r="R948" s="720">
        <f>$A948*Q948</f>
        <v>0</v>
      </c>
      <c r="S948" s="499"/>
      <c r="T948" s="500">
        <f>$A948*S948*$T$1</f>
        <v>0</v>
      </c>
    </row>
    <row r="949" spans="1:41" s="501" customFormat="1" ht="12.6" thickBot="1">
      <c r="A949" s="513" t="s">
        <v>145</v>
      </c>
      <c r="B949" s="514">
        <f>(R948+T948)</f>
        <v>0</v>
      </c>
      <c r="C949" s="515"/>
      <c r="D949" s="515"/>
      <c r="E949" s="515"/>
      <c r="F949" s="721"/>
      <c r="G949" s="515" t="s">
        <v>146</v>
      </c>
      <c r="H949" s="515"/>
      <c r="I949" s="516"/>
      <c r="J949" s="515"/>
      <c r="K949" s="515" t="s">
        <v>3</v>
      </c>
      <c r="L949" s="517" t="s">
        <v>143</v>
      </c>
      <c r="M949" s="517"/>
      <c r="N949" s="517"/>
      <c r="O949" s="517"/>
      <c r="P949" s="517"/>
      <c r="Q949" s="722"/>
      <c r="R949" s="723">
        <f ca="1">SUM(R945:R948)</f>
        <v>6.96</v>
      </c>
      <c r="S949" s="515"/>
      <c r="T949" s="723">
        <f ca="1">SUM(T945:T948)</f>
        <v>1.03</v>
      </c>
      <c r="U949" s="518"/>
      <c r="V949" s="518"/>
      <c r="W949" s="518"/>
      <c r="X949" s="518"/>
      <c r="Y949" s="518"/>
      <c r="Z949" s="518"/>
      <c r="AA949" s="518"/>
      <c r="AB949" s="518"/>
      <c r="AC949" s="518"/>
      <c r="AD949" s="518"/>
      <c r="AE949" s="518"/>
      <c r="AF949" s="518"/>
      <c r="AG949" s="518"/>
      <c r="AH949" s="518"/>
      <c r="AI949" s="518"/>
      <c r="AJ949" s="518"/>
      <c r="AK949" s="518"/>
      <c r="AL949" s="518"/>
      <c r="AM949" s="518"/>
      <c r="AN949" s="518"/>
      <c r="AO949" s="518"/>
    </row>
    <row r="950" spans="1:41" s="501" customFormat="1" ht="12" thickTop="1">
      <c r="A950" s="44"/>
      <c r="B950" s="39"/>
      <c r="C950" s="44"/>
      <c r="E950" s="40" t="s">
        <v>138</v>
      </c>
      <c r="F950" s="40" t="s">
        <v>139</v>
      </c>
      <c r="G950" s="44"/>
      <c r="H950" s="44"/>
      <c r="I950" s="44"/>
      <c r="J950" s="44"/>
      <c r="K950" s="44" t="s">
        <v>140</v>
      </c>
      <c r="L950" s="44"/>
      <c r="M950" s="44"/>
      <c r="N950" s="44"/>
      <c r="O950" s="45"/>
      <c r="P950" s="44"/>
      <c r="Q950" s="44"/>
      <c r="R950" s="44"/>
      <c r="S950" s="44"/>
      <c r="T950" s="39"/>
      <c r="AG950" s="502" t="s">
        <v>247</v>
      </c>
      <c r="AH950" s="502" t="s">
        <v>248</v>
      </c>
      <c r="AI950" s="502" t="s">
        <v>249</v>
      </c>
      <c r="AJ950" s="502" t="s">
        <v>250</v>
      </c>
      <c r="AK950" s="502" t="s">
        <v>251</v>
      </c>
      <c r="AM950" s="710" t="s">
        <v>260</v>
      </c>
      <c r="AN950" s="711" t="s">
        <v>261</v>
      </c>
      <c r="AO950" s="503" t="s">
        <v>257</v>
      </c>
    </row>
    <row r="951" spans="1:41" s="501" customFormat="1" ht="12" customHeight="1">
      <c r="A951" s="712">
        <v>1</v>
      </c>
      <c r="B951" s="504" t="s">
        <v>283</v>
      </c>
      <c r="C951" s="505"/>
      <c r="D951" s="713" t="s">
        <v>593</v>
      </c>
      <c r="E951" s="714">
        <f ca="1">IF(AND($A951=0,$A$1="DIF"),0, ROUND(ROUND(($R956*$S$2+($T956*$T$2))/A951,2)*$C$2,2))</f>
        <v>61.84</v>
      </c>
      <c r="F951" s="715">
        <f ca="1">ROUND($A951*$E951,2)</f>
        <v>61.84</v>
      </c>
      <c r="G951" s="506" t="s">
        <v>142</v>
      </c>
      <c r="H951" s="498"/>
      <c r="I951" s="716"/>
      <c r="J951" s="498"/>
      <c r="K951" s="498" t="s">
        <v>3</v>
      </c>
      <c r="L951" s="717" t="s">
        <v>143</v>
      </c>
      <c r="M951" s="717"/>
      <c r="N951" s="717"/>
      <c r="O951" s="717"/>
      <c r="P951" s="717"/>
      <c r="Q951" s="943" t="s">
        <v>855</v>
      </c>
      <c r="R951" s="943" t="s">
        <v>870</v>
      </c>
      <c r="T951" s="718" t="str">
        <f ca="1">IF(AND($R956=0,$T956=0),"0.00","mu :" &amp; ROUND($F951/$C$2/($R956+$T956*$D$9),2))</f>
        <v>mu :1.35</v>
      </c>
      <c r="W951" s="507"/>
      <c r="AG951" s="453">
        <f ca="1">IF($E951=0,0,ROUND($R956*$S$2*$C$2/$A951,2))</f>
        <v>14.39</v>
      </c>
      <c r="AH951" s="453">
        <f ca="1">$AG951*$A951</f>
        <v>14.39</v>
      </c>
      <c r="AI951" s="508">
        <f ca="1">$E951-$AG951</f>
        <v>47.45</v>
      </c>
      <c r="AJ951" s="508">
        <f ca="1">$A951*$AI951</f>
        <v>47.45</v>
      </c>
      <c r="AK951" s="509">
        <f ca="1">ROUND(($AG951+$AI951)*$A951,2)</f>
        <v>61.84</v>
      </c>
      <c r="AM951" s="510">
        <f ca="1">ROUND(R956,2)</f>
        <v>10.66</v>
      </c>
      <c r="AN951" s="511">
        <f ca="1">ROUND(T956,2)</f>
        <v>1.28</v>
      </c>
      <c r="AO951" s="512">
        <f ca="1">ROUND(AM951+AN951,2)*A951</f>
        <v>11.94</v>
      </c>
    </row>
    <row r="952" spans="1:41" s="501" customFormat="1" ht="13.2">
      <c r="A952" s="505"/>
      <c r="B952"/>
      <c r="C952" s="505"/>
      <c r="D952" s="713" t="s">
        <v>423</v>
      </c>
      <c r="F952" s="498"/>
      <c r="G952" s="3"/>
      <c r="H952" s="498"/>
      <c r="I952" s="716"/>
      <c r="J952" s="498"/>
      <c r="K952" s="498" t="s">
        <v>144</v>
      </c>
      <c r="L952" s="498"/>
      <c r="M952" s="498"/>
      <c r="N952" s="498"/>
      <c r="O952" s="498"/>
      <c r="P952" s="498"/>
      <c r="Q952" s="44"/>
      <c r="R952" s="567"/>
      <c r="S952" s="719"/>
      <c r="T952" s="498"/>
    </row>
    <row r="953" spans="1:41" s="935" customFormat="1" ht="13.2">
      <c r="A953"/>
      <c r="B953" s="927"/>
      <c r="C953" s="927" t="s">
        <v>735</v>
      </c>
      <c r="D953" s="927" t="str">
        <f ca="1">CELL("Address",Elec_Rates!D$64)</f>
        <v>[E25_0465_IH_Retro_Elec4Mech_Est_Rev_A.xlsx]Elec_Rates!$D$64</v>
      </c>
      <c r="E953" s="928"/>
      <c r="F953" s="928"/>
      <c r="G953" s="929" t="s">
        <v>736</v>
      </c>
      <c r="H953" s="929"/>
      <c r="I953" s="929"/>
      <c r="J953" s="929"/>
      <c r="K953" s="930"/>
      <c r="L953" s="928"/>
      <c r="M953" s="928"/>
      <c r="N953" s="928"/>
      <c r="O953" s="931"/>
      <c r="P953" s="928"/>
      <c r="Q953" s="932"/>
      <c r="R953" s="933"/>
      <c r="S953" s="932"/>
      <c r="T953" s="560"/>
      <c r="U953" s="934"/>
    </row>
    <row r="954" spans="1:41" s="935" customFormat="1" ht="11.4">
      <c r="A954" s="936">
        <v>1</v>
      </c>
      <c r="B954" s="937">
        <v>1</v>
      </c>
      <c r="C954" s="937">
        <f>$A954*$B954</f>
        <v>1</v>
      </c>
      <c r="D954" s="938" t="str">
        <f>Elec_Rates!$D$64</f>
        <v>006# Connecting up of 11.0/18.0 kW 400Volt motor (VFD)</v>
      </c>
      <c r="E954" s="938"/>
      <c r="F954" s="938" t="s">
        <v>737</v>
      </c>
      <c r="G954" s="939" t="s">
        <v>738</v>
      </c>
      <c r="H954" s="939"/>
      <c r="I954" s="939"/>
      <c r="J954" s="939"/>
      <c r="K954" s="940"/>
      <c r="L954" s="934"/>
      <c r="M954" s="934"/>
      <c r="N954" s="934"/>
      <c r="O954" s="941"/>
      <c r="P954" s="938"/>
      <c r="Q954" s="942">
        <f ca="1">$B954*Elec_Rates!$R$64</f>
        <v>10.66</v>
      </c>
      <c r="R954" s="933">
        <f ca="1">$A954*Q954</f>
        <v>10.66</v>
      </c>
      <c r="S954" s="942">
        <f ca="1">$B954*Elec_Rates!$T$64</f>
        <v>1.28</v>
      </c>
      <c r="T954" s="560">
        <f ca="1">$A954*S954</f>
        <v>1.28</v>
      </c>
      <c r="U954" s="484"/>
    </row>
    <row r="955" spans="1:41" s="501" customFormat="1" ht="12">
      <c r="A955" s="497"/>
      <c r="B955" s="497"/>
      <c r="C955" s="497"/>
      <c r="D955" s="497"/>
      <c r="E955" s="497"/>
      <c r="F955" s="498"/>
      <c r="G955" s="497"/>
      <c r="H955" s="497"/>
      <c r="I955" s="499"/>
      <c r="J955" s="497"/>
      <c r="K955" s="497"/>
      <c r="L955" s="497"/>
      <c r="M955" s="497"/>
      <c r="N955" s="497"/>
      <c r="O955" s="497"/>
      <c r="P955" s="497"/>
      <c r="Q955" s="499"/>
      <c r="R955" s="720">
        <f>$A955*Q955</f>
        <v>0</v>
      </c>
      <c r="S955" s="499"/>
      <c r="T955" s="500">
        <f>$A955*S955*$T$1</f>
        <v>0</v>
      </c>
    </row>
    <row r="956" spans="1:41" s="501" customFormat="1" ht="12.6" thickBot="1">
      <c r="A956" s="513" t="s">
        <v>145</v>
      </c>
      <c r="B956" s="514">
        <f>(R955+T955)</f>
        <v>0</v>
      </c>
      <c r="C956" s="515"/>
      <c r="D956" s="515"/>
      <c r="E956" s="515"/>
      <c r="F956" s="721"/>
      <c r="G956" s="515" t="s">
        <v>146</v>
      </c>
      <c r="H956" s="515"/>
      <c r="I956" s="516"/>
      <c r="J956" s="515"/>
      <c r="K956" s="515" t="s">
        <v>3</v>
      </c>
      <c r="L956" s="517" t="s">
        <v>143</v>
      </c>
      <c r="M956" s="517"/>
      <c r="N956" s="517"/>
      <c r="O956" s="517"/>
      <c r="P956" s="517"/>
      <c r="Q956" s="722"/>
      <c r="R956" s="723">
        <f ca="1">SUM(R952:R955)</f>
        <v>10.66</v>
      </c>
      <c r="S956" s="515"/>
      <c r="T956" s="723">
        <f ca="1">SUM(T952:T955)</f>
        <v>1.28</v>
      </c>
      <c r="U956" s="518"/>
      <c r="V956" s="518"/>
      <c r="W956" s="518"/>
      <c r="X956" s="518"/>
      <c r="Y956" s="518"/>
      <c r="Z956" s="518"/>
      <c r="AA956" s="518"/>
      <c r="AB956" s="518"/>
      <c r="AC956" s="518"/>
      <c r="AD956" s="518"/>
      <c r="AE956" s="518"/>
      <c r="AF956" s="518"/>
      <c r="AG956" s="518"/>
      <c r="AH956" s="518"/>
      <c r="AI956" s="518"/>
      <c r="AJ956" s="518"/>
      <c r="AK956" s="518"/>
      <c r="AL956" s="518"/>
      <c r="AM956" s="518"/>
      <c r="AN956" s="518"/>
      <c r="AO956" s="518"/>
    </row>
    <row r="957" spans="1:41" s="501" customFormat="1" ht="12" thickTop="1">
      <c r="A957" s="44"/>
      <c r="B957" s="39"/>
      <c r="C957" s="44"/>
      <c r="E957" s="40" t="s">
        <v>138</v>
      </c>
      <c r="F957" s="40" t="s">
        <v>139</v>
      </c>
      <c r="G957" s="44"/>
      <c r="H957" s="44"/>
      <c r="I957" s="44"/>
      <c r="J957" s="44"/>
      <c r="K957" s="44" t="s">
        <v>140</v>
      </c>
      <c r="L957" s="44"/>
      <c r="M957" s="44"/>
      <c r="N957" s="44"/>
      <c r="O957" s="45"/>
      <c r="P957" s="44"/>
      <c r="Q957" s="44"/>
      <c r="R957" s="44"/>
      <c r="S957" s="44"/>
      <c r="T957" s="39"/>
      <c r="AG957" s="502" t="s">
        <v>247</v>
      </c>
      <c r="AH957" s="502" t="s">
        <v>248</v>
      </c>
      <c r="AI957" s="502" t="s">
        <v>249</v>
      </c>
      <c r="AJ957" s="502" t="s">
        <v>250</v>
      </c>
      <c r="AK957" s="502" t="s">
        <v>251</v>
      </c>
      <c r="AM957" s="710" t="s">
        <v>260</v>
      </c>
      <c r="AN957" s="711" t="s">
        <v>261</v>
      </c>
      <c r="AO957" s="503" t="s">
        <v>257</v>
      </c>
    </row>
    <row r="958" spans="1:41" s="501" customFormat="1" ht="12" customHeight="1">
      <c r="A958" s="712">
        <v>1</v>
      </c>
      <c r="B958" s="504" t="s">
        <v>283</v>
      </c>
      <c r="C958" s="505"/>
      <c r="D958" s="713" t="s">
        <v>596</v>
      </c>
      <c r="E958" s="714">
        <f ca="1">IF(AND($A958=0,$A$1="DIF"),0, ROUND(ROUND(($R963*$S$2+($T963*$T$2))/A958,2)*$C$2,2))</f>
        <v>61.84</v>
      </c>
      <c r="F958" s="715">
        <f ca="1">ROUND($A958*$E958,2)</f>
        <v>61.84</v>
      </c>
      <c r="G958" s="506" t="s">
        <v>142</v>
      </c>
      <c r="H958" s="498"/>
      <c r="I958" s="716"/>
      <c r="J958" s="498"/>
      <c r="K958" s="498" t="s">
        <v>3</v>
      </c>
      <c r="L958" s="717" t="s">
        <v>143</v>
      </c>
      <c r="M958" s="717"/>
      <c r="N958" s="717"/>
      <c r="O958" s="717"/>
      <c r="P958" s="717"/>
      <c r="Q958" s="943" t="s">
        <v>855</v>
      </c>
      <c r="R958" s="943" t="s">
        <v>870</v>
      </c>
      <c r="T958" s="718" t="str">
        <f ca="1">IF(AND($R963=0,$T963=0),"0.00","mu :" &amp; ROUND($F958/$C$2/($R963+$T963*$D$9),2))</f>
        <v>mu :1.35</v>
      </c>
      <c r="W958" s="507"/>
      <c r="AG958" s="453">
        <f ca="1">IF($E958=0,0,ROUND($R963*$S$2*$C$2/$A958,2))</f>
        <v>14.39</v>
      </c>
      <c r="AH958" s="453">
        <f ca="1">$AG958*$A958</f>
        <v>14.39</v>
      </c>
      <c r="AI958" s="508">
        <f ca="1">$E958-$AG958</f>
        <v>47.45</v>
      </c>
      <c r="AJ958" s="508">
        <f ca="1">$A958*$AI958</f>
        <v>47.45</v>
      </c>
      <c r="AK958" s="509">
        <f ca="1">ROUND(($AG958+$AI958)*$A958,2)</f>
        <v>61.84</v>
      </c>
      <c r="AM958" s="510">
        <f ca="1">ROUND(R963,2)</f>
        <v>10.66</v>
      </c>
      <c r="AN958" s="511">
        <f ca="1">ROUND(T963,2)</f>
        <v>1.28</v>
      </c>
      <c r="AO958" s="512">
        <f ca="1">ROUND(AM958+AN958,2)*A958</f>
        <v>11.94</v>
      </c>
    </row>
    <row r="959" spans="1:41" s="501" customFormat="1" ht="13.2">
      <c r="A959" s="505"/>
      <c r="B959"/>
      <c r="C959" s="505"/>
      <c r="D959" s="713" t="s">
        <v>425</v>
      </c>
      <c r="F959" s="498"/>
      <c r="G959" s="3"/>
      <c r="H959" s="498"/>
      <c r="I959" s="716"/>
      <c r="J959" s="498"/>
      <c r="K959" s="498" t="s">
        <v>144</v>
      </c>
      <c r="L959" s="498"/>
      <c r="M959" s="498"/>
      <c r="N959" s="498"/>
      <c r="O959" s="498"/>
      <c r="P959" s="498"/>
      <c r="Q959" s="44"/>
      <c r="R959" s="567"/>
      <c r="S959" s="719"/>
      <c r="T959" s="498"/>
    </row>
    <row r="960" spans="1:41" s="935" customFormat="1" ht="13.2">
      <c r="A960"/>
      <c r="B960" s="927"/>
      <c r="C960" s="927" t="s">
        <v>735</v>
      </c>
      <c r="D960" s="927" t="str">
        <f ca="1">CELL("Address",Elec_Rates!D$64)</f>
        <v>[E25_0465_IH_Retro_Elec4Mech_Est_Rev_A.xlsx]Elec_Rates!$D$64</v>
      </c>
      <c r="E960" s="928"/>
      <c r="F960" s="928"/>
      <c r="G960" s="929" t="s">
        <v>736</v>
      </c>
      <c r="H960" s="929"/>
      <c r="I960" s="929"/>
      <c r="J960" s="929"/>
      <c r="K960" s="930"/>
      <c r="L960" s="928"/>
      <c r="M960" s="928"/>
      <c r="N960" s="928"/>
      <c r="O960" s="931"/>
      <c r="P960" s="928"/>
      <c r="Q960" s="932"/>
      <c r="R960" s="933"/>
      <c r="S960" s="932"/>
      <c r="T960" s="560"/>
      <c r="U960" s="934"/>
    </row>
    <row r="961" spans="1:41" s="935" customFormat="1" ht="11.4">
      <c r="A961" s="936">
        <v>1</v>
      </c>
      <c r="B961" s="937">
        <v>1</v>
      </c>
      <c r="C961" s="937">
        <f>$A961*$B961</f>
        <v>1</v>
      </c>
      <c r="D961" s="938" t="str">
        <f>Elec_Rates!$D$64</f>
        <v>006# Connecting up of 11.0/18.0 kW 400Volt motor (VFD)</v>
      </c>
      <c r="E961" s="938"/>
      <c r="F961" s="938" t="s">
        <v>737</v>
      </c>
      <c r="G961" s="939" t="s">
        <v>738</v>
      </c>
      <c r="H961" s="939"/>
      <c r="I961" s="939"/>
      <c r="J961" s="939"/>
      <c r="K961" s="940"/>
      <c r="L961" s="934"/>
      <c r="M961" s="934"/>
      <c r="N961" s="934"/>
      <c r="O961" s="941"/>
      <c r="P961" s="938"/>
      <c r="Q961" s="942">
        <f ca="1">$B961*Elec_Rates!$R$64</f>
        <v>10.66</v>
      </c>
      <c r="R961" s="933">
        <f ca="1">$A961*Q961</f>
        <v>10.66</v>
      </c>
      <c r="S961" s="942">
        <f ca="1">$B961*Elec_Rates!$T$64</f>
        <v>1.28</v>
      </c>
      <c r="T961" s="560">
        <f ca="1">$A961*S961</f>
        <v>1.28</v>
      </c>
      <c r="U961" s="484"/>
    </row>
    <row r="962" spans="1:41" s="501" customFormat="1" ht="12">
      <c r="A962" s="497"/>
      <c r="B962" s="497"/>
      <c r="C962" s="497"/>
      <c r="D962" s="497"/>
      <c r="E962" s="497"/>
      <c r="F962" s="498"/>
      <c r="G962" s="497"/>
      <c r="H962" s="497"/>
      <c r="I962" s="499"/>
      <c r="J962" s="497"/>
      <c r="K962" s="497"/>
      <c r="L962" s="497"/>
      <c r="M962" s="497"/>
      <c r="N962" s="497"/>
      <c r="O962" s="497"/>
      <c r="P962" s="497"/>
      <c r="Q962" s="499"/>
      <c r="R962" s="720">
        <f>$A962*Q962</f>
        <v>0</v>
      </c>
      <c r="S962" s="499"/>
      <c r="T962" s="500">
        <f>$A962*S962*$T$1</f>
        <v>0</v>
      </c>
    </row>
    <row r="963" spans="1:41" s="501" customFormat="1" ht="12.6" thickBot="1">
      <c r="A963" s="513" t="s">
        <v>145</v>
      </c>
      <c r="B963" s="514">
        <f>(R962+T962)</f>
        <v>0</v>
      </c>
      <c r="C963" s="515"/>
      <c r="D963" s="515"/>
      <c r="E963" s="515"/>
      <c r="F963" s="721"/>
      <c r="G963" s="515" t="s">
        <v>146</v>
      </c>
      <c r="H963" s="515"/>
      <c r="I963" s="516"/>
      <c r="J963" s="515"/>
      <c r="K963" s="515" t="s">
        <v>3</v>
      </c>
      <c r="L963" s="517" t="s">
        <v>143</v>
      </c>
      <c r="M963" s="517"/>
      <c r="N963" s="517"/>
      <c r="O963" s="517"/>
      <c r="P963" s="517"/>
      <c r="Q963" s="722"/>
      <c r="R963" s="723">
        <f ca="1">SUM(R959:R962)</f>
        <v>10.66</v>
      </c>
      <c r="S963" s="515"/>
      <c r="T963" s="723">
        <f ca="1">SUM(T959:T962)</f>
        <v>1.28</v>
      </c>
      <c r="U963" s="518"/>
      <c r="V963" s="518"/>
      <c r="W963" s="518"/>
      <c r="X963" s="518"/>
      <c r="Y963" s="518"/>
      <c r="Z963" s="518"/>
      <c r="AA963" s="518"/>
      <c r="AB963" s="518"/>
      <c r="AC963" s="518"/>
      <c r="AD963" s="518"/>
      <c r="AE963" s="518"/>
      <c r="AF963" s="518"/>
      <c r="AG963" s="518"/>
      <c r="AH963" s="518"/>
      <c r="AI963" s="518"/>
      <c r="AJ963" s="518"/>
      <c r="AK963" s="518"/>
      <c r="AL963" s="518"/>
      <c r="AM963" s="518"/>
      <c r="AN963" s="518"/>
      <c r="AO963" s="518"/>
    </row>
    <row r="964" spans="1:41" s="501" customFormat="1" thickTop="1">
      <c r="A964" s="44"/>
      <c r="B964" s="39"/>
      <c r="C964" s="44"/>
      <c r="E964" s="40" t="s">
        <v>138</v>
      </c>
      <c r="F964" s="40" t="s">
        <v>139</v>
      </c>
      <c r="G964" s="44"/>
      <c r="H964" s="44"/>
      <c r="I964" s="44"/>
      <c r="J964" s="44"/>
      <c r="K964" s="44" t="s">
        <v>140</v>
      </c>
      <c r="L964" s="44"/>
      <c r="M964" s="44"/>
      <c r="N964" s="44"/>
      <c r="O964" s="45"/>
      <c r="P964" s="44"/>
      <c r="Q964" s="44"/>
      <c r="R964" s="943"/>
      <c r="S964" s="44"/>
      <c r="T964" s="39"/>
      <c r="AG964" s="502" t="s">
        <v>247</v>
      </c>
      <c r="AH964" s="502" t="s">
        <v>248</v>
      </c>
      <c r="AI964" s="502" t="s">
        <v>249</v>
      </c>
      <c r="AJ964" s="502" t="s">
        <v>250</v>
      </c>
      <c r="AK964" s="502" t="s">
        <v>251</v>
      </c>
      <c r="AM964" s="710" t="s">
        <v>260</v>
      </c>
      <c r="AN964" s="711" t="s">
        <v>261</v>
      </c>
      <c r="AO964" s="503" t="s">
        <v>257</v>
      </c>
    </row>
    <row r="965" spans="1:41" s="501" customFormat="1" ht="12" customHeight="1">
      <c r="A965" s="712">
        <v>1</v>
      </c>
      <c r="B965" s="504" t="s">
        <v>283</v>
      </c>
      <c r="C965" s="505"/>
      <c r="D965" s="713" t="s">
        <v>597</v>
      </c>
      <c r="E965" s="714">
        <f ca="1">IF(AND($A965=0,$A$1="DIF"),0, ROUND(ROUND(($R970*$S$2+($T970*$T$2))/A965,2)*$C$2,2))</f>
        <v>43.84</v>
      </c>
      <c r="F965" s="715">
        <f ca="1">ROUND($A965*$E965,2)</f>
        <v>43.84</v>
      </c>
      <c r="G965" s="506" t="s">
        <v>142</v>
      </c>
      <c r="H965" s="498"/>
      <c r="I965" s="716"/>
      <c r="J965" s="498"/>
      <c r="K965" s="498" t="s">
        <v>3</v>
      </c>
      <c r="L965" s="717" t="s">
        <v>143</v>
      </c>
      <c r="M965" s="717"/>
      <c r="N965" s="717"/>
      <c r="O965" s="717"/>
      <c r="P965" s="717"/>
      <c r="Q965" s="943" t="s">
        <v>855</v>
      </c>
      <c r="R965" s="943" t="s">
        <v>870</v>
      </c>
      <c r="T965" s="718" t="str">
        <f ca="1">IF(AND($R970=0,$T970=0),"0.00","mu :" &amp; ROUND($F965/$C$2/($R970+$T970*$D$9),2))</f>
        <v>mu :1.35</v>
      </c>
      <c r="W965" s="507"/>
      <c r="AG965" s="453">
        <f ca="1">IF($E965=0,0,ROUND($R970*$S$2*$C$2/$A965,2))</f>
        <v>7.51</v>
      </c>
      <c r="AH965" s="453">
        <f ca="1">$AG965*$A965</f>
        <v>7.51</v>
      </c>
      <c r="AI965" s="508">
        <f ca="1">$E965-$AG965</f>
        <v>36.330000000000005</v>
      </c>
      <c r="AJ965" s="508">
        <f ca="1">$A965*$AI965</f>
        <v>36.330000000000005</v>
      </c>
      <c r="AK965" s="509">
        <f ca="1">ROUND(($AG965+$AI965)*$A965,2)</f>
        <v>43.84</v>
      </c>
      <c r="AM965" s="510">
        <f ca="1">ROUND(R970,2)</f>
        <v>5.56</v>
      </c>
      <c r="AN965" s="511">
        <f ca="1">ROUND(T970,2)</f>
        <v>0.98</v>
      </c>
      <c r="AO965" s="512">
        <f ca="1">ROUND(AM965+AN965,2)*A965</f>
        <v>6.54</v>
      </c>
    </row>
    <row r="966" spans="1:41" s="501" customFormat="1" ht="13.2">
      <c r="A966" s="505"/>
      <c r="B966"/>
      <c r="C966" s="505"/>
      <c r="D966" s="713" t="s">
        <v>427</v>
      </c>
      <c r="F966" s="498"/>
      <c r="G966" s="3"/>
      <c r="H966" s="498"/>
      <c r="I966" s="716"/>
      <c r="J966" s="498"/>
      <c r="K966" s="498" t="s">
        <v>144</v>
      </c>
      <c r="L966" s="498"/>
      <c r="M966" s="498"/>
      <c r="N966" s="498"/>
      <c r="O966" s="498"/>
      <c r="P966" s="498"/>
      <c r="Q966" s="44"/>
      <c r="R966" s="567"/>
      <c r="S966" s="719"/>
      <c r="T966" s="498"/>
    </row>
    <row r="967" spans="1:41" s="935" customFormat="1" ht="13.2">
      <c r="A967"/>
      <c r="B967" s="927"/>
      <c r="C967" s="927" t="s">
        <v>735</v>
      </c>
      <c r="D967" s="927" t="str">
        <f ca="1">CELL("Address",Elec_Rates!D$46)</f>
        <v>[E25_0465_IH_Retro_Elec4Mech_Est_Rev_A.xlsx]Elec_Rates!$D$46</v>
      </c>
      <c r="E967" s="928"/>
      <c r="F967" s="928"/>
      <c r="G967" s="929" t="s">
        <v>736</v>
      </c>
      <c r="H967" s="929"/>
      <c r="I967" s="929"/>
      <c r="J967" s="929"/>
      <c r="K967" s="930"/>
      <c r="L967" s="928"/>
      <c r="M967" s="928"/>
      <c r="N967" s="928"/>
      <c r="O967" s="931"/>
      <c r="P967" s="928"/>
      <c r="Q967" s="932"/>
      <c r="R967" s="933"/>
      <c r="S967" s="932"/>
      <c r="T967" s="560"/>
      <c r="U967" s="934"/>
    </row>
    <row r="968" spans="1:41" s="935" customFormat="1" ht="11.4">
      <c r="A968" s="936">
        <v>1</v>
      </c>
      <c r="B968" s="937">
        <v>1</v>
      </c>
      <c r="C968" s="937">
        <f>$A968*$B968</f>
        <v>1</v>
      </c>
      <c r="D968" s="938" t="str">
        <f>Elec_Rates!$D$46</f>
        <v>004# Connecting up of 3.0/4.0 kW 400Volt motor (VFD)</v>
      </c>
      <c r="E968" s="938"/>
      <c r="F968" s="938" t="s">
        <v>737</v>
      </c>
      <c r="G968" s="939" t="s">
        <v>739</v>
      </c>
      <c r="H968" s="939"/>
      <c r="I968" s="939"/>
      <c r="J968" s="939"/>
      <c r="K968" s="940"/>
      <c r="L968" s="934"/>
      <c r="M968" s="934"/>
      <c r="N968" s="934"/>
      <c r="O968" s="941"/>
      <c r="P968" s="938"/>
      <c r="Q968" s="942">
        <f ca="1">$B968*Elec_Rates!$R$46</f>
        <v>5.56</v>
      </c>
      <c r="R968" s="933">
        <f ca="1">$A968*Q968</f>
        <v>5.56</v>
      </c>
      <c r="S968" s="942">
        <f ca="1">$B968*Elec_Rates!$T$46</f>
        <v>0.98</v>
      </c>
      <c r="T968" s="560">
        <f ca="1">$A968*S968</f>
        <v>0.98</v>
      </c>
      <c r="U968" s="484"/>
    </row>
    <row r="969" spans="1:41" s="501" customFormat="1" ht="12">
      <c r="A969" s="497"/>
      <c r="B969" s="497"/>
      <c r="C969" s="497"/>
      <c r="D969" s="497"/>
      <c r="E969" s="497"/>
      <c r="F969" s="498"/>
      <c r="G969" s="497"/>
      <c r="H969" s="497"/>
      <c r="I969" s="499"/>
      <c r="J969" s="497"/>
      <c r="K969" s="497"/>
      <c r="L969" s="497"/>
      <c r="M969" s="497"/>
      <c r="N969" s="497"/>
      <c r="O969" s="497"/>
      <c r="P969" s="497"/>
      <c r="Q969" s="499"/>
      <c r="R969" s="720">
        <f>$A969*Q969</f>
        <v>0</v>
      </c>
      <c r="S969" s="499"/>
      <c r="T969" s="500">
        <f>$A969*S969*$T$1</f>
        <v>0</v>
      </c>
    </row>
    <row r="970" spans="1:41" s="501" customFormat="1" ht="12.6" thickBot="1">
      <c r="A970" s="513" t="s">
        <v>145</v>
      </c>
      <c r="B970" s="514">
        <f>(R969+T969)</f>
        <v>0</v>
      </c>
      <c r="C970" s="515"/>
      <c r="D970" s="515"/>
      <c r="E970" s="515"/>
      <c r="F970" s="721"/>
      <c r="G970" s="515" t="s">
        <v>146</v>
      </c>
      <c r="H970" s="515"/>
      <c r="I970" s="516"/>
      <c r="J970" s="515"/>
      <c r="K970" s="515" t="s">
        <v>3</v>
      </c>
      <c r="L970" s="517" t="s">
        <v>143</v>
      </c>
      <c r="M970" s="517"/>
      <c r="N970" s="517"/>
      <c r="O970" s="517"/>
      <c r="P970" s="517"/>
      <c r="Q970" s="722"/>
      <c r="R970" s="723">
        <f ca="1">SUM(R966:R969)</f>
        <v>5.56</v>
      </c>
      <c r="S970" s="515"/>
      <c r="T970" s="723">
        <f ca="1">SUM(T966:T969)</f>
        <v>0.98</v>
      </c>
      <c r="U970" s="518"/>
      <c r="V970" s="518"/>
      <c r="W970" s="518"/>
      <c r="X970" s="518"/>
      <c r="Y970" s="518"/>
      <c r="Z970" s="518"/>
      <c r="AA970" s="518"/>
      <c r="AB970" s="518"/>
      <c r="AC970" s="518"/>
      <c r="AD970" s="518"/>
      <c r="AE970" s="518"/>
      <c r="AF970" s="518"/>
      <c r="AG970" s="518"/>
      <c r="AH970" s="518"/>
      <c r="AI970" s="518"/>
      <c r="AJ970" s="518"/>
      <c r="AK970" s="518"/>
      <c r="AL970" s="518"/>
      <c r="AM970" s="518"/>
      <c r="AN970" s="518"/>
      <c r="AO970" s="518"/>
    </row>
    <row r="971" spans="1:41" s="501" customFormat="1" ht="12" thickTop="1">
      <c r="A971" s="44"/>
      <c r="B971" s="39"/>
      <c r="C971" s="44"/>
      <c r="E971" s="40" t="s">
        <v>138</v>
      </c>
      <c r="F971" s="40" t="s">
        <v>139</v>
      </c>
      <c r="G971" s="44"/>
      <c r="H971" s="44"/>
      <c r="I971" s="44"/>
      <c r="J971" s="44"/>
      <c r="K971" s="44" t="s">
        <v>140</v>
      </c>
      <c r="L971" s="44"/>
      <c r="M971" s="44"/>
      <c r="N971" s="44"/>
      <c r="O971" s="45"/>
      <c r="P971" s="44"/>
      <c r="Q971" s="44"/>
      <c r="R971" s="44"/>
      <c r="S971" s="44"/>
      <c r="T971" s="39"/>
      <c r="AG971" s="502" t="s">
        <v>247</v>
      </c>
      <c r="AH971" s="502" t="s">
        <v>248</v>
      </c>
      <c r="AI971" s="502" t="s">
        <v>249</v>
      </c>
      <c r="AJ971" s="502" t="s">
        <v>250</v>
      </c>
      <c r="AK971" s="502" t="s">
        <v>251</v>
      </c>
      <c r="AM971" s="710" t="s">
        <v>260</v>
      </c>
      <c r="AN971" s="711" t="s">
        <v>261</v>
      </c>
      <c r="AO971" s="503" t="s">
        <v>257</v>
      </c>
    </row>
    <row r="972" spans="1:41" s="501" customFormat="1" ht="12" customHeight="1">
      <c r="A972" s="712">
        <v>1</v>
      </c>
      <c r="B972" s="504" t="s">
        <v>283</v>
      </c>
      <c r="C972" s="505"/>
      <c r="D972" s="713" t="s">
        <v>598</v>
      </c>
      <c r="E972" s="714">
        <f ca="1">IF(AND($A972=0,$A$1="DIF"),0, ROUND(ROUND(($R977*$S$2+($T977*$T$2))/A972,2)*$C$2,2))</f>
        <v>43.84</v>
      </c>
      <c r="F972" s="715">
        <f ca="1">ROUND($A972*$E972,2)</f>
        <v>43.84</v>
      </c>
      <c r="G972" s="506" t="s">
        <v>142</v>
      </c>
      <c r="H972" s="498"/>
      <c r="I972" s="716"/>
      <c r="J972" s="498"/>
      <c r="K972" s="498" t="s">
        <v>3</v>
      </c>
      <c r="L972" s="717" t="s">
        <v>143</v>
      </c>
      <c r="M972" s="717"/>
      <c r="N972" s="717"/>
      <c r="O972" s="717"/>
      <c r="P972" s="717"/>
      <c r="Q972" s="943" t="s">
        <v>855</v>
      </c>
      <c r="R972" s="943" t="s">
        <v>870</v>
      </c>
      <c r="T972" s="718" t="str">
        <f ca="1">IF(AND($R977=0,$T977=0),"0.00","mu :" &amp; ROUND($F972/$C$2/($R977+$T977*$D$9),2))</f>
        <v>mu :1.35</v>
      </c>
      <c r="W972" s="507"/>
      <c r="AG972" s="453">
        <f ca="1">IF($E972=0,0,ROUND($R977*$S$2*$C$2/$A972,2))</f>
        <v>7.51</v>
      </c>
      <c r="AH972" s="453">
        <f ca="1">$AG972*$A972</f>
        <v>7.51</v>
      </c>
      <c r="AI972" s="508">
        <f ca="1">$E972-$AG972</f>
        <v>36.330000000000005</v>
      </c>
      <c r="AJ972" s="508">
        <f ca="1">$A972*$AI972</f>
        <v>36.330000000000005</v>
      </c>
      <c r="AK972" s="509">
        <f ca="1">ROUND(($AG972+$AI972)*$A972,2)</f>
        <v>43.84</v>
      </c>
      <c r="AM972" s="510">
        <f ca="1">ROUND(R977,2)</f>
        <v>5.56</v>
      </c>
      <c r="AN972" s="511">
        <f ca="1">ROUND(T977,2)</f>
        <v>0.98</v>
      </c>
      <c r="AO972" s="512">
        <f ca="1">ROUND(AM972+AN972,2)*A972</f>
        <v>6.54</v>
      </c>
    </row>
    <row r="973" spans="1:41" s="501" customFormat="1" ht="13.2">
      <c r="A973" s="505"/>
      <c r="B973"/>
      <c r="C973" s="505"/>
      <c r="D973" s="713" t="s">
        <v>429</v>
      </c>
      <c r="F973" s="498"/>
      <c r="G973" s="3"/>
      <c r="H973" s="498"/>
      <c r="I973" s="716"/>
      <c r="J973" s="498"/>
      <c r="K973" s="498" t="s">
        <v>144</v>
      </c>
      <c r="L973" s="498"/>
      <c r="M973" s="498"/>
      <c r="N973" s="498"/>
      <c r="O973" s="498"/>
      <c r="P973" s="498"/>
      <c r="Q973" s="44"/>
      <c r="R973" s="567"/>
      <c r="S973" s="719"/>
      <c r="T973" s="498"/>
    </row>
    <row r="974" spans="1:41" s="935" customFormat="1" ht="13.2">
      <c r="A974"/>
      <c r="B974" s="927"/>
      <c r="C974" s="927" t="s">
        <v>735</v>
      </c>
      <c r="D974" s="927" t="str">
        <f ca="1">CELL("Address",Elec_Rates!D$46)</f>
        <v>[E25_0465_IH_Retro_Elec4Mech_Est_Rev_A.xlsx]Elec_Rates!$D$46</v>
      </c>
      <c r="E974" s="928"/>
      <c r="F974" s="928"/>
      <c r="G974" s="929" t="s">
        <v>736</v>
      </c>
      <c r="H974" s="929"/>
      <c r="I974" s="929"/>
      <c r="J974" s="929"/>
      <c r="K974" s="930"/>
      <c r="L974" s="928"/>
      <c r="M974" s="928"/>
      <c r="N974" s="928"/>
      <c r="O974" s="931"/>
      <c r="P974" s="928"/>
      <c r="Q974" s="932"/>
      <c r="R974" s="933"/>
      <c r="S974" s="932"/>
      <c r="T974" s="560"/>
      <c r="U974" s="934"/>
    </row>
    <row r="975" spans="1:41" s="935" customFormat="1" ht="11.4">
      <c r="A975" s="936">
        <v>1</v>
      </c>
      <c r="B975" s="937">
        <v>1</v>
      </c>
      <c r="C975" s="937">
        <f>$A975*$B975</f>
        <v>1</v>
      </c>
      <c r="D975" s="938" t="str">
        <f>Elec_Rates!$D$46</f>
        <v>004# Connecting up of 3.0/4.0 kW 400Volt motor (VFD)</v>
      </c>
      <c r="E975" s="938"/>
      <c r="F975" s="938" t="s">
        <v>737</v>
      </c>
      <c r="G975" s="939" t="s">
        <v>739</v>
      </c>
      <c r="H975" s="939"/>
      <c r="I975" s="939"/>
      <c r="J975" s="939"/>
      <c r="K975" s="940"/>
      <c r="L975" s="934"/>
      <c r="M975" s="934"/>
      <c r="N975" s="934"/>
      <c r="O975" s="941"/>
      <c r="P975" s="938"/>
      <c r="Q975" s="942">
        <f ca="1">$B975*Elec_Rates!$R$46</f>
        <v>5.56</v>
      </c>
      <c r="R975" s="933">
        <f ca="1">$A975*Q975</f>
        <v>5.56</v>
      </c>
      <c r="S975" s="942">
        <f ca="1">$B975*Elec_Rates!$T$46</f>
        <v>0.98</v>
      </c>
      <c r="T975" s="560">
        <f ca="1">$A975*S975</f>
        <v>0.98</v>
      </c>
      <c r="U975" s="484"/>
    </row>
    <row r="976" spans="1:41" s="501" customFormat="1" ht="12">
      <c r="A976" s="497"/>
      <c r="B976" s="497"/>
      <c r="C976" s="497"/>
      <c r="D976" s="497"/>
      <c r="E976" s="497"/>
      <c r="F976" s="498"/>
      <c r="G976" s="497"/>
      <c r="H976" s="497"/>
      <c r="I976" s="499"/>
      <c r="J976" s="497"/>
      <c r="K976" s="497"/>
      <c r="L976" s="497"/>
      <c r="M976" s="497"/>
      <c r="N976" s="497"/>
      <c r="O976" s="497"/>
      <c r="P976" s="497"/>
      <c r="Q976" s="499"/>
      <c r="R976" s="720">
        <f>$A976*Q976</f>
        <v>0</v>
      </c>
      <c r="S976" s="499"/>
      <c r="T976" s="500">
        <f>$A976*S976*$T$1</f>
        <v>0</v>
      </c>
    </row>
    <row r="977" spans="1:41" s="501" customFormat="1" ht="12.6" thickBot="1">
      <c r="A977" s="513" t="s">
        <v>145</v>
      </c>
      <c r="B977" s="514">
        <f>(R976+T976)</f>
        <v>0</v>
      </c>
      <c r="C977" s="515"/>
      <c r="D977" s="515"/>
      <c r="E977" s="515"/>
      <c r="F977" s="721"/>
      <c r="G977" s="515" t="s">
        <v>146</v>
      </c>
      <c r="H977" s="515"/>
      <c r="I977" s="516"/>
      <c r="J977" s="515"/>
      <c r="K977" s="515" t="s">
        <v>3</v>
      </c>
      <c r="L977" s="517" t="s">
        <v>143</v>
      </c>
      <c r="M977" s="517"/>
      <c r="N977" s="517"/>
      <c r="O977" s="517"/>
      <c r="P977" s="517"/>
      <c r="Q977" s="722"/>
      <c r="R977" s="723">
        <f ca="1">SUM(R973:R976)</f>
        <v>5.56</v>
      </c>
      <c r="S977" s="515"/>
      <c r="T977" s="723">
        <f ca="1">SUM(T973:T976)</f>
        <v>0.98</v>
      </c>
      <c r="U977" s="518"/>
      <c r="V977" s="518"/>
      <c r="W977" s="518"/>
      <c r="X977" s="518"/>
      <c r="Y977" s="518"/>
      <c r="Z977" s="518"/>
      <c r="AA977" s="518"/>
      <c r="AB977" s="518"/>
      <c r="AC977" s="518"/>
      <c r="AD977" s="518"/>
      <c r="AE977" s="518"/>
      <c r="AF977" s="518"/>
      <c r="AG977" s="518"/>
      <c r="AH977" s="518"/>
      <c r="AI977" s="518"/>
      <c r="AJ977" s="518"/>
      <c r="AK977" s="518"/>
      <c r="AL977" s="518"/>
      <c r="AM977" s="518"/>
      <c r="AN977" s="518"/>
      <c r="AO977" s="518"/>
    </row>
    <row r="978" spans="1:41" s="501" customFormat="1" ht="12" thickTop="1">
      <c r="A978" s="44"/>
      <c r="B978" s="39"/>
      <c r="C978" s="44"/>
      <c r="E978" s="40" t="s">
        <v>138</v>
      </c>
      <c r="F978" s="40" t="s">
        <v>139</v>
      </c>
      <c r="G978" s="44"/>
      <c r="H978" s="44"/>
      <c r="I978" s="44"/>
      <c r="J978" s="44"/>
      <c r="K978" s="44" t="s">
        <v>140</v>
      </c>
      <c r="L978" s="44"/>
      <c r="M978" s="44"/>
      <c r="N978" s="44"/>
      <c r="O978" s="45"/>
      <c r="P978" s="44"/>
      <c r="Q978" s="44"/>
      <c r="R978" s="44"/>
      <c r="S978" s="44"/>
      <c r="T978" s="39"/>
      <c r="AG978" s="502" t="s">
        <v>247</v>
      </c>
      <c r="AH978" s="502" t="s">
        <v>248</v>
      </c>
      <c r="AI978" s="502" t="s">
        <v>249</v>
      </c>
      <c r="AJ978" s="502" t="s">
        <v>250</v>
      </c>
      <c r="AK978" s="502" t="s">
        <v>251</v>
      </c>
      <c r="AM978" s="710" t="s">
        <v>260</v>
      </c>
      <c r="AN978" s="711" t="s">
        <v>261</v>
      </c>
      <c r="AO978" s="503" t="s">
        <v>257</v>
      </c>
    </row>
    <row r="979" spans="1:41" s="501" customFormat="1" ht="12" customHeight="1">
      <c r="A979" s="712">
        <v>1</v>
      </c>
      <c r="B979" s="504" t="s">
        <v>283</v>
      </c>
      <c r="C979" s="505"/>
      <c r="D979" s="713" t="s">
        <v>599</v>
      </c>
      <c r="E979" s="714">
        <f ca="1">IF(AND($A979=0,$A$1="DIF"),0, ROUND(ROUND(($R984*$S$2+($T984*$T$2))/A979,2)*$C$2,2))</f>
        <v>43.84</v>
      </c>
      <c r="F979" s="715">
        <f ca="1">ROUND($A979*$E979,2)</f>
        <v>43.84</v>
      </c>
      <c r="G979" s="506" t="s">
        <v>142</v>
      </c>
      <c r="H979" s="498"/>
      <c r="I979" s="716"/>
      <c r="J979" s="498"/>
      <c r="K979" s="498" t="s">
        <v>3</v>
      </c>
      <c r="L979" s="717" t="s">
        <v>143</v>
      </c>
      <c r="M979" s="717"/>
      <c r="N979" s="717"/>
      <c r="O979" s="717"/>
      <c r="P979" s="717"/>
      <c r="Q979" s="943" t="s">
        <v>855</v>
      </c>
      <c r="R979" s="943" t="s">
        <v>870</v>
      </c>
      <c r="T979" s="718" t="str">
        <f ca="1">IF(AND($R984=0,$T984=0),"0.00","mu :" &amp; ROUND($F979/$C$2/($R984+$T984*$D$9),2))</f>
        <v>mu :1.35</v>
      </c>
      <c r="W979" s="507"/>
      <c r="AG979" s="453">
        <f ca="1">IF($E979=0,0,ROUND($R984*$S$2*$C$2/$A979,2))</f>
        <v>7.51</v>
      </c>
      <c r="AH979" s="453">
        <f ca="1">$AG979*$A979</f>
        <v>7.51</v>
      </c>
      <c r="AI979" s="508">
        <f ca="1">$E979-$AG979</f>
        <v>36.330000000000005</v>
      </c>
      <c r="AJ979" s="508">
        <f ca="1">$A979*$AI979</f>
        <v>36.330000000000005</v>
      </c>
      <c r="AK979" s="509">
        <f ca="1">ROUND(($AG979+$AI979)*$A979,2)</f>
        <v>43.84</v>
      </c>
      <c r="AM979" s="510">
        <f ca="1">ROUND(R984,2)</f>
        <v>5.56</v>
      </c>
      <c r="AN979" s="511">
        <f ca="1">ROUND(T984,2)</f>
        <v>0.98</v>
      </c>
      <c r="AO979" s="512">
        <f ca="1">ROUND(AM979+AN979,2)*A979</f>
        <v>6.54</v>
      </c>
    </row>
    <row r="980" spans="1:41" s="501" customFormat="1" ht="13.2">
      <c r="A980" s="505"/>
      <c r="B980"/>
      <c r="C980" s="505"/>
      <c r="D980" s="713" t="s">
        <v>431</v>
      </c>
      <c r="F980" s="498"/>
      <c r="G980" s="3"/>
      <c r="H980" s="498"/>
      <c r="I980" s="716"/>
      <c r="J980" s="498"/>
      <c r="K980" s="498" t="s">
        <v>144</v>
      </c>
      <c r="L980" s="498"/>
      <c r="M980" s="498"/>
      <c r="N980" s="498"/>
      <c r="O980" s="498"/>
      <c r="P980" s="498"/>
      <c r="Q980" s="44"/>
      <c r="R980" s="567"/>
      <c r="S980" s="719"/>
      <c r="T980" s="498"/>
    </row>
    <row r="981" spans="1:41" s="935" customFormat="1" ht="13.2">
      <c r="A981"/>
      <c r="B981" s="927"/>
      <c r="C981" s="927" t="s">
        <v>735</v>
      </c>
      <c r="D981" s="927" t="str">
        <f ca="1">CELL("Address",Elec_Rates!D$46)</f>
        <v>[E25_0465_IH_Retro_Elec4Mech_Est_Rev_A.xlsx]Elec_Rates!$D$46</v>
      </c>
      <c r="E981" s="928"/>
      <c r="F981" s="928"/>
      <c r="G981" s="929" t="s">
        <v>736</v>
      </c>
      <c r="H981" s="929"/>
      <c r="I981" s="929"/>
      <c r="J981" s="929"/>
      <c r="K981" s="930"/>
      <c r="L981" s="928"/>
      <c r="M981" s="928"/>
      <c r="N981" s="928"/>
      <c r="O981" s="931"/>
      <c r="P981" s="928"/>
      <c r="Q981" s="932"/>
      <c r="R981" s="933"/>
      <c r="S981" s="932"/>
      <c r="T981" s="560"/>
      <c r="U981" s="934"/>
    </row>
    <row r="982" spans="1:41" s="935" customFormat="1" ht="11.4">
      <c r="A982" s="936">
        <v>1</v>
      </c>
      <c r="B982" s="937">
        <v>1</v>
      </c>
      <c r="C982" s="937">
        <f>$A982*$B982</f>
        <v>1</v>
      </c>
      <c r="D982" s="938" t="str">
        <f>Elec_Rates!$D$46</f>
        <v>004# Connecting up of 3.0/4.0 kW 400Volt motor (VFD)</v>
      </c>
      <c r="E982" s="938"/>
      <c r="F982" s="938" t="s">
        <v>737</v>
      </c>
      <c r="G982" s="939" t="s">
        <v>739</v>
      </c>
      <c r="H982" s="939"/>
      <c r="I982" s="939"/>
      <c r="J982" s="939"/>
      <c r="K982" s="940"/>
      <c r="L982" s="934"/>
      <c r="M982" s="934"/>
      <c r="N982" s="934"/>
      <c r="O982" s="941"/>
      <c r="P982" s="938"/>
      <c r="Q982" s="942">
        <f ca="1">$B982*Elec_Rates!$R$46</f>
        <v>5.56</v>
      </c>
      <c r="R982" s="933">
        <f ca="1">$A982*Q982</f>
        <v>5.56</v>
      </c>
      <c r="S982" s="942">
        <f ca="1">$B982*Elec_Rates!$T$46</f>
        <v>0.98</v>
      </c>
      <c r="T982" s="560">
        <f ca="1">$A982*S982</f>
        <v>0.98</v>
      </c>
      <c r="U982" s="484"/>
    </row>
    <row r="983" spans="1:41" s="501" customFormat="1" ht="12">
      <c r="A983" s="497"/>
      <c r="B983" s="497"/>
      <c r="C983" s="497"/>
      <c r="D983" s="497"/>
      <c r="E983" s="497"/>
      <c r="F983" s="498"/>
      <c r="G983" s="497"/>
      <c r="H983" s="497"/>
      <c r="I983" s="499"/>
      <c r="J983" s="497"/>
      <c r="K983" s="497"/>
      <c r="L983" s="497"/>
      <c r="M983" s="497"/>
      <c r="N983" s="497"/>
      <c r="O983" s="497"/>
      <c r="P983" s="497"/>
      <c r="Q983" s="499"/>
      <c r="R983" s="720">
        <f>$A983*Q983</f>
        <v>0</v>
      </c>
      <c r="S983" s="499"/>
      <c r="T983" s="500">
        <f>$A983*S983*$T$1</f>
        <v>0</v>
      </c>
    </row>
    <row r="984" spans="1:41" s="501" customFormat="1" ht="12.6" thickBot="1">
      <c r="A984" s="513" t="s">
        <v>145</v>
      </c>
      <c r="B984" s="514">
        <f>(R983+T983)</f>
        <v>0</v>
      </c>
      <c r="C984" s="515"/>
      <c r="D984" s="515"/>
      <c r="E984" s="515"/>
      <c r="F984" s="721"/>
      <c r="G984" s="515" t="s">
        <v>146</v>
      </c>
      <c r="H984" s="515"/>
      <c r="I984" s="516"/>
      <c r="J984" s="515"/>
      <c r="K984" s="515" t="s">
        <v>3</v>
      </c>
      <c r="L984" s="517" t="s">
        <v>143</v>
      </c>
      <c r="M984" s="517"/>
      <c r="N984" s="517"/>
      <c r="O984" s="517"/>
      <c r="P984" s="517"/>
      <c r="Q984" s="722"/>
      <c r="R984" s="723">
        <f ca="1">SUM(R980:R983)</f>
        <v>5.56</v>
      </c>
      <c r="S984" s="515"/>
      <c r="T984" s="723">
        <f ca="1">SUM(T980:T983)</f>
        <v>0.98</v>
      </c>
      <c r="U984" s="518"/>
      <c r="V984" s="518"/>
      <c r="W984" s="518"/>
      <c r="X984" s="518"/>
      <c r="Y984" s="518"/>
      <c r="Z984" s="518"/>
      <c r="AA984" s="518"/>
      <c r="AB984" s="518"/>
      <c r="AC984" s="518"/>
      <c r="AD984" s="518"/>
      <c r="AE984" s="518"/>
      <c r="AF984" s="518"/>
      <c r="AG984" s="518"/>
      <c r="AH984" s="518"/>
      <c r="AI984" s="518"/>
      <c r="AJ984" s="518"/>
      <c r="AK984" s="518"/>
      <c r="AL984" s="518"/>
      <c r="AM984" s="518"/>
      <c r="AN984" s="518"/>
      <c r="AO984" s="518"/>
    </row>
    <row r="985" spans="1:41" s="501" customFormat="1" ht="12" thickTop="1">
      <c r="A985" s="44"/>
      <c r="B985" s="39"/>
      <c r="C985" s="44"/>
      <c r="E985" s="40" t="s">
        <v>138</v>
      </c>
      <c r="F985" s="40" t="s">
        <v>139</v>
      </c>
      <c r="G985" s="44"/>
      <c r="H985" s="44"/>
      <c r="I985" s="44"/>
      <c r="J985" s="44"/>
      <c r="K985" s="44" t="s">
        <v>140</v>
      </c>
      <c r="L985" s="44"/>
      <c r="M985" s="44"/>
      <c r="N985" s="44"/>
      <c r="O985" s="45"/>
      <c r="P985" s="44"/>
      <c r="Q985" s="44"/>
      <c r="R985" s="44"/>
      <c r="S985" s="44"/>
      <c r="T985" s="39"/>
      <c r="AG985" s="502" t="s">
        <v>247</v>
      </c>
      <c r="AH985" s="502" t="s">
        <v>248</v>
      </c>
      <c r="AI985" s="502" t="s">
        <v>249</v>
      </c>
      <c r="AJ985" s="502" t="s">
        <v>250</v>
      </c>
      <c r="AK985" s="502" t="s">
        <v>251</v>
      </c>
      <c r="AM985" s="710" t="s">
        <v>260</v>
      </c>
      <c r="AN985" s="711" t="s">
        <v>261</v>
      </c>
      <c r="AO985" s="503" t="s">
        <v>257</v>
      </c>
    </row>
    <row r="986" spans="1:41" s="501" customFormat="1" ht="12" customHeight="1">
      <c r="A986" s="712">
        <v>1</v>
      </c>
      <c r="B986" s="504" t="s">
        <v>283</v>
      </c>
      <c r="C986" s="505"/>
      <c r="D986" s="713" t="s">
        <v>600</v>
      </c>
      <c r="E986" s="714">
        <f ca="1">IF(AND($A986=0,$A$1="DIF"),0, ROUND(ROUND(($R991*$S$2+($T991*$T$2))/A986,2)*$C$2,2))</f>
        <v>43.84</v>
      </c>
      <c r="F986" s="715">
        <f ca="1">ROUND($A986*$E986,2)</f>
        <v>43.84</v>
      </c>
      <c r="G986" s="506" t="s">
        <v>142</v>
      </c>
      <c r="H986" s="498"/>
      <c r="I986" s="716"/>
      <c r="J986" s="498"/>
      <c r="K986" s="498" t="s">
        <v>3</v>
      </c>
      <c r="L986" s="717" t="s">
        <v>143</v>
      </c>
      <c r="M986" s="717"/>
      <c r="N986" s="717"/>
      <c r="O986" s="717"/>
      <c r="P986" s="717"/>
      <c r="Q986" s="943" t="s">
        <v>855</v>
      </c>
      <c r="R986" s="943" t="s">
        <v>870</v>
      </c>
      <c r="T986" s="718" t="str">
        <f ca="1">IF(AND($R991=0,$T991=0),"0.00","mu :" &amp; ROUND($F986/$C$2/($R991+$T991*$D$9),2))</f>
        <v>mu :1.35</v>
      </c>
      <c r="W986" s="507"/>
      <c r="AG986" s="453">
        <f ca="1">IF($E986=0,0,ROUND($R991*$S$2*$C$2/$A986,2))</f>
        <v>7.51</v>
      </c>
      <c r="AH986" s="453">
        <f ca="1">$AG986*$A986</f>
        <v>7.51</v>
      </c>
      <c r="AI986" s="508">
        <f ca="1">$E986-$AG986</f>
        <v>36.330000000000005</v>
      </c>
      <c r="AJ986" s="508">
        <f ca="1">$A986*$AI986</f>
        <v>36.330000000000005</v>
      </c>
      <c r="AK986" s="509">
        <f ca="1">ROUND(($AG986+$AI986)*$A986,2)</f>
        <v>43.84</v>
      </c>
      <c r="AM986" s="510">
        <f ca="1">ROUND(R991,2)</f>
        <v>5.56</v>
      </c>
      <c r="AN986" s="511">
        <f ca="1">ROUND(T991,2)</f>
        <v>0.98</v>
      </c>
      <c r="AO986" s="512">
        <f ca="1">ROUND(AM986+AN986,2)*A986</f>
        <v>6.54</v>
      </c>
    </row>
    <row r="987" spans="1:41" s="501" customFormat="1" ht="13.2">
      <c r="A987" s="505"/>
      <c r="B987"/>
      <c r="C987" s="505"/>
      <c r="D987" s="713" t="s">
        <v>433</v>
      </c>
      <c r="F987" s="498"/>
      <c r="G987" s="3"/>
      <c r="H987" s="498"/>
      <c r="I987" s="716"/>
      <c r="J987" s="498"/>
      <c r="K987" s="498" t="s">
        <v>144</v>
      </c>
      <c r="L987" s="498"/>
      <c r="M987" s="498"/>
      <c r="N987" s="498"/>
      <c r="O987" s="498"/>
      <c r="P987" s="498"/>
      <c r="Q987" s="44"/>
      <c r="R987" s="567"/>
      <c r="S987" s="719"/>
      <c r="T987" s="498"/>
    </row>
    <row r="988" spans="1:41" s="935" customFormat="1" ht="13.2">
      <c r="A988"/>
      <c r="B988" s="927"/>
      <c r="C988" s="927" t="s">
        <v>735</v>
      </c>
      <c r="D988" s="927" t="str">
        <f ca="1">CELL("Address",Elec_Rates!D$46)</f>
        <v>[E25_0465_IH_Retro_Elec4Mech_Est_Rev_A.xlsx]Elec_Rates!$D$46</v>
      </c>
      <c r="E988" s="928"/>
      <c r="F988" s="928"/>
      <c r="G988" s="929" t="s">
        <v>736</v>
      </c>
      <c r="H988" s="929"/>
      <c r="I988" s="929"/>
      <c r="J988" s="929"/>
      <c r="K988" s="930"/>
      <c r="L988" s="928"/>
      <c r="M988" s="928"/>
      <c r="N988" s="928"/>
      <c r="O988" s="931"/>
      <c r="P988" s="928"/>
      <c r="Q988" s="932"/>
      <c r="R988" s="933"/>
      <c r="S988" s="932"/>
      <c r="T988" s="560"/>
      <c r="U988" s="934"/>
    </row>
    <row r="989" spans="1:41" s="935" customFormat="1" ht="11.4">
      <c r="A989" s="936">
        <v>1</v>
      </c>
      <c r="B989" s="937">
        <v>1</v>
      </c>
      <c r="C989" s="937">
        <f>$A989*$B989</f>
        <v>1</v>
      </c>
      <c r="D989" s="938" t="str">
        <f>Elec_Rates!$D$46</f>
        <v>004# Connecting up of 3.0/4.0 kW 400Volt motor (VFD)</v>
      </c>
      <c r="E989" s="938"/>
      <c r="F989" s="938" t="s">
        <v>737</v>
      </c>
      <c r="G989" s="939" t="s">
        <v>739</v>
      </c>
      <c r="H989" s="939"/>
      <c r="I989" s="939"/>
      <c r="J989" s="939"/>
      <c r="K989" s="940"/>
      <c r="L989" s="934"/>
      <c r="M989" s="934"/>
      <c r="N989" s="934"/>
      <c r="O989" s="941"/>
      <c r="P989" s="938"/>
      <c r="Q989" s="942">
        <f ca="1">$B989*Elec_Rates!$R$46</f>
        <v>5.56</v>
      </c>
      <c r="R989" s="933">
        <f ca="1">$A989*Q989</f>
        <v>5.56</v>
      </c>
      <c r="S989" s="942">
        <f ca="1">$B989*Elec_Rates!$T$46</f>
        <v>0.98</v>
      </c>
      <c r="T989" s="560">
        <f ca="1">$A989*S989</f>
        <v>0.98</v>
      </c>
      <c r="U989" s="484"/>
    </row>
    <row r="990" spans="1:41" s="501" customFormat="1" ht="12">
      <c r="A990" s="497"/>
      <c r="B990" s="497"/>
      <c r="C990" s="497"/>
      <c r="D990" s="497"/>
      <c r="E990" s="497"/>
      <c r="F990" s="498"/>
      <c r="G990" s="497"/>
      <c r="H990" s="497"/>
      <c r="I990" s="499"/>
      <c r="J990" s="497"/>
      <c r="K990" s="497"/>
      <c r="L990" s="497"/>
      <c r="M990" s="497"/>
      <c r="N990" s="497"/>
      <c r="O990" s="497"/>
      <c r="P990" s="497"/>
      <c r="Q990" s="499"/>
      <c r="R990" s="720">
        <f>$A990*Q990</f>
        <v>0</v>
      </c>
      <c r="S990" s="499"/>
      <c r="T990" s="500">
        <f>$A990*S990*$T$1</f>
        <v>0</v>
      </c>
    </row>
    <row r="991" spans="1:41" s="501" customFormat="1" ht="12.6" thickBot="1">
      <c r="A991" s="513" t="s">
        <v>145</v>
      </c>
      <c r="B991" s="514">
        <f>(R990+T990)</f>
        <v>0</v>
      </c>
      <c r="C991" s="515"/>
      <c r="D991" s="515"/>
      <c r="E991" s="515"/>
      <c r="F991" s="721"/>
      <c r="G991" s="515" t="s">
        <v>146</v>
      </c>
      <c r="H991" s="515"/>
      <c r="I991" s="516"/>
      <c r="J991" s="515"/>
      <c r="K991" s="515" t="s">
        <v>3</v>
      </c>
      <c r="L991" s="517" t="s">
        <v>143</v>
      </c>
      <c r="M991" s="517"/>
      <c r="N991" s="517"/>
      <c r="O991" s="517"/>
      <c r="P991" s="517"/>
      <c r="Q991" s="722"/>
      <c r="R991" s="723">
        <f ca="1">SUM(R987:R990)</f>
        <v>5.56</v>
      </c>
      <c r="S991" s="515"/>
      <c r="T991" s="723">
        <f ca="1">SUM(T987:T990)</f>
        <v>0.98</v>
      </c>
      <c r="U991" s="518"/>
      <c r="V991" s="518"/>
      <c r="W991" s="518"/>
      <c r="X991" s="518"/>
      <c r="Y991" s="518"/>
      <c r="Z991" s="518"/>
      <c r="AA991" s="518"/>
      <c r="AB991" s="518"/>
      <c r="AC991" s="518"/>
      <c r="AD991" s="518"/>
      <c r="AE991" s="518"/>
      <c r="AF991" s="518"/>
      <c r="AG991" s="518"/>
      <c r="AH991" s="518"/>
      <c r="AI991" s="518"/>
      <c r="AJ991" s="518"/>
      <c r="AK991" s="518"/>
      <c r="AL991" s="518"/>
      <c r="AM991" s="518"/>
      <c r="AN991" s="518"/>
      <c r="AO991" s="518"/>
    </row>
    <row r="992" spans="1:41" s="501" customFormat="1" thickTop="1">
      <c r="A992" s="44"/>
      <c r="B992" s="44"/>
      <c r="C992" s="3"/>
      <c r="D992" s="3"/>
      <c r="E992" s="44"/>
      <c r="F992" s="44"/>
      <c r="G992" s="44"/>
      <c r="H992" s="44"/>
      <c r="I992" s="44"/>
      <c r="J992" s="44"/>
      <c r="K992" s="44" t="s">
        <v>134</v>
      </c>
      <c r="L992" s="44"/>
      <c r="M992" s="44"/>
      <c r="N992" s="44"/>
      <c r="O992" s="45"/>
      <c r="P992" s="44"/>
      <c r="Q992" s="44"/>
      <c r="R992" s="44"/>
      <c r="S992" s="44"/>
      <c r="T992" s="44"/>
    </row>
    <row r="993" spans="1:41" s="501" customFormat="1" ht="12">
      <c r="A993" s="44"/>
      <c r="B993" s="44"/>
      <c r="C993" s="44" t="s">
        <v>135</v>
      </c>
      <c r="D993" s="35" t="s">
        <v>591</v>
      </c>
      <c r="E993" s="44"/>
      <c r="F993" s="44"/>
      <c r="G993" s="44"/>
      <c r="H993" s="44"/>
      <c r="I993" s="44"/>
      <c r="J993" s="44"/>
      <c r="K993" s="44"/>
      <c r="L993" s="44"/>
      <c r="M993" s="44"/>
      <c r="N993" s="44"/>
      <c r="O993" s="45"/>
      <c r="P993" s="44"/>
      <c r="Q993" s="44"/>
      <c r="R993" s="44"/>
      <c r="S993" s="44"/>
      <c r="T993" s="44"/>
    </row>
    <row r="994" spans="1:41" s="501" customFormat="1" ht="39.9" customHeight="1">
      <c r="A994" s="44"/>
      <c r="B994" s="44"/>
      <c r="C994" s="44"/>
      <c r="D994" s="1185" t="s">
        <v>434</v>
      </c>
      <c r="E994" s="1184"/>
      <c r="F994" s="1184"/>
      <c r="G994" s="1184"/>
      <c r="H994" s="1184"/>
      <c r="I994" s="1184"/>
      <c r="J994" s="1184"/>
      <c r="K994" s="1184"/>
      <c r="L994" s="1184"/>
      <c r="M994" s="1184"/>
      <c r="N994" s="1184"/>
      <c r="O994" s="1184"/>
      <c r="P994" s="1184"/>
      <c r="Q994" s="1184"/>
      <c r="R994" s="1184"/>
      <c r="S994" s="1184"/>
      <c r="T994" s="1184"/>
    </row>
    <row r="995" spans="1:41" s="3" customFormat="1" thickBot="1">
      <c r="A995" s="518"/>
      <c r="O995" s="86"/>
    </row>
    <row r="996" spans="1:41" s="501" customFormat="1" thickTop="1">
      <c r="A996" s="44"/>
      <c r="B996" s="39"/>
      <c r="C996" s="44"/>
      <c r="E996" s="40" t="s">
        <v>138</v>
      </c>
      <c r="F996" s="40" t="s">
        <v>139</v>
      </c>
      <c r="G996" s="44"/>
      <c r="H996" s="44"/>
      <c r="I996" s="44"/>
      <c r="J996" s="44"/>
      <c r="K996" s="44" t="s">
        <v>140</v>
      </c>
      <c r="L996" s="737"/>
      <c r="M996" s="44"/>
      <c r="N996" s="44"/>
      <c r="O996" s="45"/>
      <c r="P996" s="44"/>
      <c r="Q996"/>
      <c r="R996"/>
      <c r="S996"/>
      <c r="T996" s="39"/>
      <c r="AG996" s="502" t="s">
        <v>247</v>
      </c>
      <c r="AH996" s="502" t="s">
        <v>248</v>
      </c>
      <c r="AI996" s="502" t="s">
        <v>249</v>
      </c>
      <c r="AJ996" s="502" t="s">
        <v>250</v>
      </c>
      <c r="AK996" s="502" t="s">
        <v>251</v>
      </c>
      <c r="AM996" s="710" t="s">
        <v>260</v>
      </c>
      <c r="AN996" s="711" t="s">
        <v>261</v>
      </c>
      <c r="AO996" s="503" t="s">
        <v>257</v>
      </c>
    </row>
    <row r="997" spans="1:41" s="501" customFormat="1" ht="13.2">
      <c r="A997" s="712">
        <v>1</v>
      </c>
      <c r="B997" s="504" t="s">
        <v>283</v>
      </c>
      <c r="C997" s="505"/>
      <c r="D997" s="713" t="s">
        <v>577</v>
      </c>
      <c r="E997" s="738">
        <f ca="1">IF(AND($A997=0,$A$1="DIF"),0,ROUND(ROUND(SUMIF($L999:$L1010,"SUBI",$E999:$E1010)/$A997,2)*$C$12,2))</f>
        <v>61.84</v>
      </c>
      <c r="F997" s="739">
        <f ca="1">ROUND($A997*$E997,2)</f>
        <v>61.84</v>
      </c>
      <c r="G997" s="506" t="s">
        <v>142</v>
      </c>
      <c r="H997" s="498"/>
      <c r="I997" s="716"/>
      <c r="J997" s="498"/>
      <c r="K997" s="740"/>
      <c r="L997" s="741" t="s">
        <v>143</v>
      </c>
      <c r="M997" s="717"/>
      <c r="N997" s="717"/>
      <c r="O997" s="717"/>
      <c r="P997" s="717"/>
      <c r="Q997" s="943" t="s">
        <v>855</v>
      </c>
      <c r="R997" s="943" t="s">
        <v>870</v>
      </c>
      <c r="S997"/>
      <c r="T997" s="742" t="str">
        <f ca="1">IF(AND($R1016=0,$T1016=0),"0.00","mu :" &amp; ROUND($F997/$C$12/($R1016+$T1016*$D$9),2))</f>
        <v>mu :1.35</v>
      </c>
      <c r="W997" s="507"/>
      <c r="AG997" s="743">
        <f ca="1">IF(A997=0,0,ROUND(SUM(AG999:AG1016)/A997,2))</f>
        <v>14.39</v>
      </c>
      <c r="AH997" s="743">
        <f ca="1">$AG997*$A997</f>
        <v>14.39</v>
      </c>
      <c r="AI997" s="743">
        <f ca="1">$E997-$AG997</f>
        <v>47.45</v>
      </c>
      <c r="AJ997" s="743">
        <f ca="1">$A997*$AI997</f>
        <v>47.45</v>
      </c>
      <c r="AK997" s="744">
        <f ca="1">ROUND(($AG997+$AI997)*$A997,2)</f>
        <v>61.84</v>
      </c>
      <c r="AM997" s="510">
        <f ca="1">ROUND(R1016,2)</f>
        <v>10.66</v>
      </c>
      <c r="AN997" s="511">
        <f ca="1">ROUND(T1016,2)</f>
        <v>1.28</v>
      </c>
      <c r="AO997" s="512">
        <f ca="1">ROUND(AM997+AN997,2)*A997</f>
        <v>11.94</v>
      </c>
    </row>
    <row r="998" spans="1:41" s="501" customFormat="1" ht="21.6" customHeight="1">
      <c r="A998" s="745"/>
      <c r="B998" s="746"/>
      <c r="C998" s="505"/>
      <c r="D998" s="724" t="s">
        <v>435</v>
      </c>
      <c r="F998" s="498"/>
      <c r="G998" s="498"/>
      <c r="H998" s="498"/>
      <c r="I998" s="716"/>
      <c r="J998" s="498"/>
      <c r="K998" s="498" t="s">
        <v>144</v>
      </c>
      <c r="L998" s="747"/>
      <c r="M998" s="498"/>
      <c r="N998" s="498"/>
      <c r="O998" s="498"/>
      <c r="P998" s="498"/>
      <c r="Q998" s="44"/>
      <c r="R998" s="567"/>
      <c r="S998" s="719"/>
      <c r="T998" s="498"/>
    </row>
    <row r="999" spans="1:41" s="501" customFormat="1" ht="12">
      <c r="A999" s="748"/>
      <c r="B999" s="749"/>
      <c r="C999" s="497"/>
      <c r="D999" s="750"/>
      <c r="E999" s="751">
        <f ca="1">F997/$C$12-SUMIF($L996:$L1016,"SUBI",$E996:$E1016)</f>
        <v>0</v>
      </c>
      <c r="F999" s="752" t="s">
        <v>572</v>
      </c>
      <c r="G999" s="753"/>
      <c r="H999" s="753"/>
      <c r="I999" s="754"/>
      <c r="J999" s="753"/>
      <c r="K999" s="753"/>
      <c r="L999" s="755"/>
      <c r="M999" s="756"/>
      <c r="N999" s="756"/>
      <c r="O999" s="756"/>
      <c r="P999" s="756"/>
      <c r="Q999" s="757"/>
      <c r="R999" s="758"/>
      <c r="S999" s="757"/>
      <c r="T999" s="759"/>
    </row>
    <row r="1000" spans="1:41" s="501" customFormat="1" ht="12" customHeight="1">
      <c r="A1000" s="760"/>
      <c r="B1000" s="761"/>
      <c r="C1000" s="762"/>
      <c r="D1000" s="762" t="str">
        <f>$F$2</f>
        <v>Electrical</v>
      </c>
      <c r="E1000" s="762">
        <f ca="1">ROUND(($R1004*$S$2 + ($T1004*$T$2)), 2)</f>
        <v>61.84</v>
      </c>
      <c r="F1000" s="763">
        <f ca="1">$E1000*$C$12</f>
        <v>61.84</v>
      </c>
      <c r="G1000" s="567"/>
      <c r="H1000" s="764"/>
      <c r="I1000" s="567"/>
      <c r="J1000" s="45"/>
      <c r="K1000" s="765" t="s">
        <v>3</v>
      </c>
      <c r="L1000" s="766" t="s">
        <v>573</v>
      </c>
      <c r="M1000" s="567"/>
      <c r="N1000" s="567"/>
      <c r="O1000" s="45"/>
      <c r="P1000" s="567"/>
      <c r="Q1000" s="567"/>
      <c r="R1000"/>
      <c r="S1000"/>
      <c r="T1000"/>
    </row>
    <row r="1001" spans="1:41" s="935" customFormat="1" ht="13.2">
      <c r="A1001"/>
      <c r="B1001" s="927"/>
      <c r="C1001" s="927" t="s">
        <v>735</v>
      </c>
      <c r="D1001" s="927" t="str">
        <f ca="1">CELL("Address",Elec_Rates!D$64)</f>
        <v>[E25_0465_IH_Retro_Elec4Mech_Est_Rev_A.xlsx]Elec_Rates!$D$64</v>
      </c>
      <c r="E1001" s="928"/>
      <c r="F1001" s="928"/>
      <c r="G1001" s="929" t="s">
        <v>736</v>
      </c>
      <c r="H1001" s="929"/>
      <c r="I1001" s="929"/>
      <c r="J1001" s="929"/>
      <c r="K1001" s="930"/>
      <c r="L1001" s="928"/>
      <c r="M1001" s="928"/>
      <c r="N1001" s="928"/>
      <c r="O1001" s="931"/>
      <c r="P1001" s="928"/>
      <c r="Q1001" s="932"/>
      <c r="R1001" s="933"/>
      <c r="S1001" s="932"/>
      <c r="T1001" s="560"/>
      <c r="U1001" s="934"/>
    </row>
    <row r="1002" spans="1:41" s="935" customFormat="1" ht="11.4">
      <c r="A1002" s="936">
        <v>1</v>
      </c>
      <c r="B1002" s="937">
        <v>1</v>
      </c>
      <c r="C1002" s="937">
        <f>$A1002*$B1002</f>
        <v>1</v>
      </c>
      <c r="D1002" s="938" t="str">
        <f>Elec_Rates!$D$64</f>
        <v>006# Connecting up of 11.0/18.0 kW 400Volt motor (VFD)</v>
      </c>
      <c r="E1002" s="938"/>
      <c r="F1002" s="938" t="s">
        <v>737</v>
      </c>
      <c r="G1002" s="939" t="s">
        <v>738</v>
      </c>
      <c r="H1002" s="939"/>
      <c r="I1002" s="939"/>
      <c r="J1002" s="939"/>
      <c r="K1002" s="940"/>
      <c r="L1002" s="934"/>
      <c r="M1002" s="934"/>
      <c r="N1002" s="934"/>
      <c r="O1002" s="941"/>
      <c r="P1002" s="938"/>
      <c r="Q1002" s="942">
        <f ca="1">$B1002*Elec_Rates!$R$64</f>
        <v>10.66</v>
      </c>
      <c r="R1002" s="933">
        <f ca="1">$A1002*Q1002</f>
        <v>10.66</v>
      </c>
      <c r="S1002" s="942">
        <f ca="1">$B1002*Elec_Rates!$T$64</f>
        <v>1.28</v>
      </c>
      <c r="T1002" s="560">
        <f ca="1">$A1002*S1002</f>
        <v>1.28</v>
      </c>
      <c r="U1002" s="484"/>
    </row>
    <row r="1003" spans="1:41" s="501" customFormat="1" ht="14.4" customHeight="1">
      <c r="A1003" s="767"/>
      <c r="B1003" s="567"/>
      <c r="C1003" s="567"/>
      <c r="D1003" s="567"/>
      <c r="E1003" s="567"/>
      <c r="F1003" s="567"/>
      <c r="G1003" s="567"/>
      <c r="H1003" s="764"/>
      <c r="I1003" s="567"/>
      <c r="J1003" s="45"/>
      <c r="K1003" s="769"/>
      <c r="L1003" s="770"/>
      <c r="M1003" s="567"/>
      <c r="N1003" s="567"/>
      <c r="O1003" s="45"/>
      <c r="P1003" s="567"/>
      <c r="Q1003" s="567"/>
      <c r="R1003" s="771">
        <f>$A1003*Q1003</f>
        <v>0</v>
      </c>
      <c r="S1003" s="567"/>
      <c r="T1003" s="500">
        <f>$A1003*S1003*$T$1</f>
        <v>0</v>
      </c>
    </row>
    <row r="1004" spans="1:41" s="501" customFormat="1" ht="12">
      <c r="A1004" s="772" t="s">
        <v>145</v>
      </c>
      <c r="B1004" s="773">
        <f>(R1003+T1003)</f>
        <v>0</v>
      </c>
      <c r="C1004" s="753"/>
      <c r="G1004" s="774"/>
      <c r="H1004" s="774"/>
      <c r="I1004" s="774"/>
      <c r="J1004" s="774"/>
      <c r="K1004" s="750" t="s">
        <v>3</v>
      </c>
      <c r="L1004" s="775" t="s">
        <v>573</v>
      </c>
      <c r="M1004" s="774"/>
      <c r="N1004" s="774"/>
      <c r="O1004" s="774"/>
      <c r="P1004" s="774"/>
      <c r="Q1004" s="776"/>
      <c r="R1004" s="777">
        <f ca="1">SUM(R1000:R1003)</f>
        <v>10.66</v>
      </c>
      <c r="S1004" s="778"/>
      <c r="T1004" s="777">
        <f ca="1">SUM(T1000:T1003)</f>
        <v>1.28</v>
      </c>
      <c r="AG1004" s="779">
        <f ca="1">ROUND($R1004*$S$2,2)</f>
        <v>14.39</v>
      </c>
    </row>
    <row r="1005" spans="1:41" s="501" customFormat="1" ht="12" customHeight="1">
      <c r="A1005" s="760"/>
      <c r="B1005" s="780"/>
      <c r="C1005" s="781"/>
      <c r="D1005" s="782" t="str">
        <f>$F$3</f>
        <v>Technician</v>
      </c>
      <c r="E1005" s="782">
        <f>ROUND(($R1009*$S$3 + ($T1009*$T$3)), 2)</f>
        <v>0</v>
      </c>
      <c r="F1005" s="783">
        <f>$E1005*$C$12</f>
        <v>0</v>
      </c>
      <c r="G1005" s="499"/>
      <c r="H1005" s="499"/>
      <c r="I1005" s="499"/>
      <c r="J1005" s="499"/>
      <c r="K1005" s="765" t="s">
        <v>5</v>
      </c>
      <c r="L1005" s="766" t="s">
        <v>573</v>
      </c>
      <c r="M1005" s="499"/>
      <c r="N1005" s="499"/>
      <c r="O1005" s="499"/>
      <c r="P1005" s="499"/>
      <c r="Q1005" s="499"/>
      <c r="R1005" s="784"/>
      <c r="S1005" s="499"/>
      <c r="T1005" s="784"/>
    </row>
    <row r="1006" spans="1:41" s="797" customFormat="1" ht="15.6" customHeight="1">
      <c r="A1006" s="785"/>
      <c r="B1006" s="768" t="s">
        <v>575</v>
      </c>
      <c r="C1006" s="786"/>
      <c r="D1006" s="787"/>
      <c r="E1006" s="787"/>
      <c r="F1006" s="787"/>
      <c r="G1006" s="788"/>
      <c r="H1006" s="789"/>
      <c r="I1006" s="789"/>
      <c r="J1006" s="790"/>
      <c r="K1006" s="791"/>
      <c r="L1006" s="786"/>
      <c r="M1006" s="792"/>
      <c r="N1006" s="793"/>
      <c r="O1006" s="794"/>
      <c r="P1006" s="795"/>
      <c r="Q1006" s="796"/>
      <c r="R1006" s="771">
        <f>$A1006*Q1006</f>
        <v>0</v>
      </c>
      <c r="S1006" s="567"/>
      <c r="T1006" s="500">
        <f>$A1006*S1006*$T$1</f>
        <v>0</v>
      </c>
    </row>
    <row r="1007" spans="1:41" s="501" customFormat="1" ht="15.6" customHeight="1">
      <c r="A1007" s="767"/>
      <c r="B1007" s="567"/>
      <c r="C1007" s="567"/>
      <c r="D1007" s="567"/>
      <c r="E1007" s="567"/>
      <c r="F1007" s="567"/>
      <c r="G1007" s="567"/>
      <c r="H1007" s="567"/>
      <c r="I1007" s="567"/>
      <c r="J1007" s="567"/>
      <c r="K1007" s="567"/>
      <c r="L1007" s="770"/>
      <c r="M1007" s="567"/>
      <c r="N1007" s="567"/>
      <c r="O1007" s="567"/>
      <c r="P1007" s="567"/>
      <c r="Q1007" s="567"/>
      <c r="R1007" s="771">
        <f>$A1007*Q1007</f>
        <v>0</v>
      </c>
      <c r="S1007" s="567"/>
      <c r="T1007" s="500">
        <f>$A1007*S1007*$T$1</f>
        <v>0</v>
      </c>
    </row>
    <row r="1008" spans="1:41" s="501" customFormat="1" ht="15.6" customHeight="1">
      <c r="A1008" s="767"/>
      <c r="B1008" s="567"/>
      <c r="C1008" s="567"/>
      <c r="D1008" s="3"/>
      <c r="E1008" s="567"/>
      <c r="F1008" s="567"/>
      <c r="G1008" s="567"/>
      <c r="H1008" s="567"/>
      <c r="I1008" s="567"/>
      <c r="J1008" s="567"/>
      <c r="K1008" s="567"/>
      <c r="L1008" s="770"/>
      <c r="M1008" s="567"/>
      <c r="N1008" s="567"/>
      <c r="O1008" s="567"/>
      <c r="P1008" s="567"/>
      <c r="Q1008" s="567"/>
      <c r="R1008" s="771">
        <f>$A1008*Q1008</f>
        <v>0</v>
      </c>
      <c r="S1008" s="567"/>
      <c r="T1008" s="500">
        <f>$A1008*S1008*$T$1</f>
        <v>0</v>
      </c>
    </row>
    <row r="1009" spans="1:41" s="501" customFormat="1" ht="12">
      <c r="A1009" s="772" t="s">
        <v>145</v>
      </c>
      <c r="B1009" s="773">
        <f>(R1008+T1008)</f>
        <v>0</v>
      </c>
      <c r="C1009" s="753"/>
      <c r="G1009" s="774"/>
      <c r="H1009" s="774"/>
      <c r="I1009" s="774"/>
      <c r="J1009" s="774"/>
      <c r="K1009" s="798" t="s">
        <v>5</v>
      </c>
      <c r="L1009" s="775" t="s">
        <v>573</v>
      </c>
      <c r="M1009" s="774"/>
      <c r="N1009" s="774"/>
      <c r="O1009" s="774"/>
      <c r="P1009" s="774"/>
      <c r="Q1009" s="776"/>
      <c r="R1009" s="777">
        <f>SUM(R1005:R1008)</f>
        <v>0</v>
      </c>
      <c r="S1009" s="778"/>
      <c r="T1009" s="777">
        <f>SUM(T1005:T1008)</f>
        <v>0</v>
      </c>
      <c r="AG1009" s="799">
        <f>ROUND($R1009*$S$3,2)</f>
        <v>0</v>
      </c>
    </row>
    <row r="1010" spans="1:41" s="501" customFormat="1" ht="12" customHeight="1">
      <c r="A1010" s="800"/>
      <c r="B1010" s="801"/>
      <c r="C1010" s="802"/>
      <c r="D1010" s="803" t="str">
        <f>$F$4</f>
        <v>Engineer (Man Hours)</v>
      </c>
      <c r="E1010" s="803">
        <f>ROUND(($R1014*$S$4 + ($T1014*$T$4)), 2)</f>
        <v>0</v>
      </c>
      <c r="F1010" s="804">
        <f ca="1">$F997-SUMIF($L999:$P1007,"SUBI",$F999:$F1007)</f>
        <v>0</v>
      </c>
      <c r="G1010" s="499"/>
      <c r="H1010" s="499"/>
      <c r="I1010" s="499"/>
      <c r="J1010" s="499"/>
      <c r="K1010" s="805" t="s">
        <v>8</v>
      </c>
      <c r="L1010" s="766" t="s">
        <v>573</v>
      </c>
      <c r="M1010" s="499"/>
      <c r="N1010" s="499"/>
      <c r="O1010" s="499"/>
      <c r="P1010" s="499"/>
      <c r="Q1010" s="499"/>
      <c r="R1010" s="784"/>
      <c r="S1010" s="499"/>
      <c r="T1010" s="784"/>
    </row>
    <row r="1011" spans="1:41" s="797" customFormat="1" ht="14.4" customHeight="1">
      <c r="A1011" s="785"/>
      <c r="B1011" s="768" t="s">
        <v>576</v>
      </c>
      <c r="C1011" s="786"/>
      <c r="D1011" s="787"/>
      <c r="E1011" s="787"/>
      <c r="F1011" s="787"/>
      <c r="G1011" s="788"/>
      <c r="H1011" s="789"/>
      <c r="I1011" s="789"/>
      <c r="J1011" s="790"/>
      <c r="K1011" s="791"/>
      <c r="L1011" s="786"/>
      <c r="M1011" s="792"/>
      <c r="N1011" s="793"/>
      <c r="O1011" s="806"/>
      <c r="P1011" s="795"/>
      <c r="Q1011" s="796"/>
      <c r="R1011" s="720">
        <f>$A1011*Q1011</f>
        <v>0</v>
      </c>
      <c r="S1011" s="796"/>
      <c r="T1011" s="500">
        <f>$A1011*S1011*$T$1</f>
        <v>0</v>
      </c>
    </row>
    <row r="1012" spans="1:41" s="501" customFormat="1" ht="12">
      <c r="A1012" s="44"/>
      <c r="B1012" s="497"/>
      <c r="C1012" s="497"/>
      <c r="D1012" s="807"/>
      <c r="E1012" s="808"/>
      <c r="F1012" s="499"/>
      <c r="G1012" s="499"/>
      <c r="H1012" s="499"/>
      <c r="I1012" s="499"/>
      <c r="J1012" s="499"/>
      <c r="K1012" s="499"/>
      <c r="L1012" s="809"/>
      <c r="M1012" s="499"/>
      <c r="N1012" s="499"/>
      <c r="O1012" s="499"/>
      <c r="P1012" s="499"/>
      <c r="Q1012" s="499"/>
      <c r="R1012" s="720">
        <f>$A1012*Q1012</f>
        <v>0</v>
      </c>
      <c r="S1012" s="499"/>
      <c r="T1012" s="500">
        <f>$A1012*S1012*$T$1</f>
        <v>0</v>
      </c>
    </row>
    <row r="1013" spans="1:41" s="501" customFormat="1" ht="12">
      <c r="A1013" s="44"/>
      <c r="B1013" s="497"/>
      <c r="C1013" s="497"/>
      <c r="D1013" s="807"/>
      <c r="E1013" s="808"/>
      <c r="F1013" s="499"/>
      <c r="G1013" s="499"/>
      <c r="H1013" s="499"/>
      <c r="I1013" s="499"/>
      <c r="J1013" s="499"/>
      <c r="K1013" s="499"/>
      <c r="L1013" s="809"/>
      <c r="M1013" s="499"/>
      <c r="N1013" s="499"/>
      <c r="O1013" s="499"/>
      <c r="P1013" s="499"/>
      <c r="Q1013" s="499"/>
      <c r="R1013" s="720">
        <f>$A1013*Q1013</f>
        <v>0</v>
      </c>
      <c r="S1013" s="499"/>
      <c r="T1013" s="500">
        <f>$A1013*S1013*$T$1</f>
        <v>0</v>
      </c>
    </row>
    <row r="1014" spans="1:41" s="501" customFormat="1" ht="12.75" customHeight="1">
      <c r="A1014" s="772" t="s">
        <v>145</v>
      </c>
      <c r="B1014" s="773">
        <f>(R1013+T1013)</f>
        <v>0</v>
      </c>
      <c r="C1014" s="810"/>
      <c r="D1014" s="810"/>
      <c r="E1014" s="810"/>
      <c r="F1014" s="810"/>
      <c r="G1014" s="776"/>
      <c r="H1014" s="776"/>
      <c r="I1014" s="776"/>
      <c r="J1014" s="776"/>
      <c r="K1014" s="798" t="s">
        <v>8</v>
      </c>
      <c r="L1014" s="811" t="s">
        <v>573</v>
      </c>
      <c r="M1014" s="776"/>
      <c r="N1014" s="776"/>
      <c r="O1014" s="776"/>
      <c r="P1014" s="776"/>
      <c r="Q1014" s="776"/>
      <c r="R1014" s="777">
        <f>SUM(R1010:R1013)</f>
        <v>0</v>
      </c>
      <c r="S1014" s="778"/>
      <c r="T1014" s="777">
        <f>SUM(T1010:T1013)</f>
        <v>0</v>
      </c>
      <c r="AG1014" s="812">
        <f>ROUND($R1014*$S$4,2)</f>
        <v>0</v>
      </c>
    </row>
    <row r="1015" spans="1:41" s="501" customFormat="1" ht="12.75" customHeight="1">
      <c r="A1015" s="813"/>
      <c r="B1015" s="814"/>
      <c r="E1015" s="497"/>
      <c r="F1015" s="808"/>
      <c r="G1015" s="497"/>
      <c r="H1015" s="497"/>
      <c r="I1015" s="499"/>
      <c r="J1015" s="497"/>
      <c r="K1015" s="497"/>
      <c r="L1015" s="815"/>
      <c r="M1015" s="725"/>
      <c r="N1015" s="725"/>
      <c r="O1015" s="725"/>
      <c r="P1015" s="725"/>
      <c r="Q1015" s="726"/>
      <c r="R1015" s="784"/>
      <c r="S1015" s="497"/>
      <c r="T1015" s="784"/>
    </row>
    <row r="1016" spans="1:41" s="501" customFormat="1" ht="13.5" customHeight="1" thickBot="1">
      <c r="A1016" s="816"/>
      <c r="B1016" s="817"/>
      <c r="C1016" s="518"/>
      <c r="D1016" s="518"/>
      <c r="E1016" s="515"/>
      <c r="F1016" s="721"/>
      <c r="G1016" s="515" t="s">
        <v>146</v>
      </c>
      <c r="H1016" s="515"/>
      <c r="I1016" s="516"/>
      <c r="J1016" s="515"/>
      <c r="K1016" s="515"/>
      <c r="L1016" s="818" t="s">
        <v>143</v>
      </c>
      <c r="M1016" s="517"/>
      <c r="N1016" s="517"/>
      <c r="O1016" s="517"/>
      <c r="P1016" s="517"/>
      <c r="Q1016" s="722"/>
      <c r="R1016" s="819">
        <f ca="1">SUMIF($L998:$L1015,"SUBI",R998:R1015)</f>
        <v>10.66</v>
      </c>
      <c r="S1016" s="820"/>
      <c r="T1016" s="819">
        <f ca="1">SUMIF($L998:$L1015,"SUBI",T998:T1015)</f>
        <v>1.28</v>
      </c>
      <c r="U1016" s="518"/>
      <c r="V1016" s="518"/>
      <c r="W1016" s="518"/>
      <c r="X1016" s="518"/>
      <c r="Y1016" s="518"/>
      <c r="Z1016" s="518"/>
      <c r="AA1016" s="518"/>
      <c r="AB1016" s="518"/>
      <c r="AC1016" s="518"/>
      <c r="AD1016" s="518"/>
      <c r="AE1016" s="518"/>
      <c r="AF1016" s="518"/>
      <c r="AG1016" s="518"/>
      <c r="AH1016" s="518"/>
      <c r="AI1016" s="518"/>
      <c r="AJ1016" s="518"/>
      <c r="AK1016" s="518"/>
      <c r="AL1016" s="518"/>
      <c r="AM1016" s="518"/>
      <c r="AN1016" s="518"/>
      <c r="AO1016" s="518"/>
    </row>
    <row r="1017" spans="1:41" s="501" customFormat="1" thickTop="1">
      <c r="A1017" s="44"/>
      <c r="B1017" s="39"/>
      <c r="C1017" s="44"/>
      <c r="E1017" s="40" t="s">
        <v>138</v>
      </c>
      <c r="F1017" s="40" t="s">
        <v>139</v>
      </c>
      <c r="G1017" s="44"/>
      <c r="H1017" s="44"/>
      <c r="I1017" s="44"/>
      <c r="J1017" s="44"/>
      <c r="K1017" s="44" t="s">
        <v>140</v>
      </c>
      <c r="L1017" s="737"/>
      <c r="M1017" s="44"/>
      <c r="N1017" s="44"/>
      <c r="O1017" s="45"/>
      <c r="P1017" s="44"/>
      <c r="Q1017"/>
      <c r="R1017"/>
      <c r="S1017"/>
      <c r="T1017" s="39"/>
      <c r="AG1017" s="502" t="s">
        <v>247</v>
      </c>
      <c r="AH1017" s="502" t="s">
        <v>248</v>
      </c>
      <c r="AI1017" s="502" t="s">
        <v>249</v>
      </c>
      <c r="AJ1017" s="502" t="s">
        <v>250</v>
      </c>
      <c r="AK1017" s="502" t="s">
        <v>251</v>
      </c>
      <c r="AM1017" s="710" t="s">
        <v>260</v>
      </c>
      <c r="AN1017" s="711" t="s">
        <v>261</v>
      </c>
      <c r="AO1017" s="503" t="s">
        <v>257</v>
      </c>
    </row>
    <row r="1018" spans="1:41" s="501" customFormat="1" ht="13.2">
      <c r="A1018" s="712">
        <v>1</v>
      </c>
      <c r="B1018" s="504" t="s">
        <v>283</v>
      </c>
      <c r="C1018" s="505"/>
      <c r="D1018" s="713" t="s">
        <v>585</v>
      </c>
      <c r="E1018" s="738">
        <f ca="1">IF(AND($A1018=0,$A$1="DIF"),0,ROUND(ROUND(SUMIF($L1020:$L1031,"SUBI",$E1020:$E1031)/$A1018,2)*$C$12,2))</f>
        <v>61.84</v>
      </c>
      <c r="F1018" s="739">
        <f ca="1">ROUND($A1018*$E1018,2)</f>
        <v>61.84</v>
      </c>
      <c r="G1018" s="506" t="s">
        <v>142</v>
      </c>
      <c r="H1018" s="498"/>
      <c r="I1018" s="716"/>
      <c r="J1018" s="498"/>
      <c r="K1018" s="740"/>
      <c r="L1018" s="741" t="s">
        <v>143</v>
      </c>
      <c r="M1018" s="717"/>
      <c r="N1018" s="717"/>
      <c r="O1018" s="717"/>
      <c r="P1018" s="717"/>
      <c r="Q1018" s="943" t="s">
        <v>855</v>
      </c>
      <c r="R1018" s="943" t="s">
        <v>870</v>
      </c>
      <c r="S1018"/>
      <c r="T1018" s="742" t="str">
        <f ca="1">IF(AND($R1037=0,$T1037=0),"0.00","mu :" &amp; ROUND($F1018/$C$12/($R1037+$T1037*$D$9),2))</f>
        <v>mu :1.35</v>
      </c>
      <c r="W1018" s="507"/>
      <c r="AG1018" s="743">
        <f ca="1">IF(A1018=0,0,ROUND(SUM(AG1020:AG1037)/A1018,2))</f>
        <v>14.39</v>
      </c>
      <c r="AH1018" s="743">
        <f ca="1">$AG1018*$A1018</f>
        <v>14.39</v>
      </c>
      <c r="AI1018" s="743">
        <f ca="1">$E1018-$AG1018</f>
        <v>47.45</v>
      </c>
      <c r="AJ1018" s="743">
        <f ca="1">$A1018*$AI1018</f>
        <v>47.45</v>
      </c>
      <c r="AK1018" s="744">
        <f ca="1">ROUND(($AG1018+$AI1018)*$A1018,2)</f>
        <v>61.84</v>
      </c>
      <c r="AM1018" s="510">
        <f ca="1">ROUND(R1037,2)</f>
        <v>10.66</v>
      </c>
      <c r="AN1018" s="511">
        <f ca="1">ROUND(T1037,2)</f>
        <v>1.28</v>
      </c>
      <c r="AO1018" s="512">
        <f ca="1">ROUND(AM1018+AN1018,2)*A1018</f>
        <v>11.94</v>
      </c>
    </row>
    <row r="1019" spans="1:41" s="501" customFormat="1" ht="21.6" customHeight="1">
      <c r="A1019" s="745"/>
      <c r="B1019" s="746"/>
      <c r="C1019" s="505"/>
      <c r="D1019" s="724" t="s">
        <v>436</v>
      </c>
      <c r="F1019" s="498"/>
      <c r="G1019" s="498"/>
      <c r="H1019" s="498"/>
      <c r="I1019" s="716"/>
      <c r="J1019" s="498"/>
      <c r="K1019" s="498" t="s">
        <v>144</v>
      </c>
      <c r="L1019" s="747"/>
      <c r="M1019" s="498"/>
      <c r="N1019" s="498"/>
      <c r="O1019" s="498"/>
      <c r="P1019" s="498"/>
      <c r="Q1019" s="44"/>
      <c r="R1019" s="567"/>
      <c r="S1019" s="719"/>
      <c r="T1019" s="498"/>
    </row>
    <row r="1020" spans="1:41" s="501" customFormat="1" ht="12">
      <c r="A1020" s="748"/>
      <c r="B1020" s="749"/>
      <c r="C1020" s="497"/>
      <c r="D1020" s="750"/>
      <c r="E1020" s="751">
        <f ca="1">F1018/$C$12-SUMIF($L1017:$L1037,"SUBI",$E1017:$E1037)</f>
        <v>0</v>
      </c>
      <c r="F1020" s="752" t="s">
        <v>572</v>
      </c>
      <c r="G1020" s="753"/>
      <c r="H1020" s="753"/>
      <c r="I1020" s="754"/>
      <c r="J1020" s="753"/>
      <c r="K1020" s="753"/>
      <c r="L1020" s="755"/>
      <c r="M1020" s="756"/>
      <c r="N1020" s="756"/>
      <c r="O1020" s="756"/>
      <c r="P1020" s="756"/>
      <c r="Q1020" s="757"/>
      <c r="R1020" s="758"/>
      <c r="S1020" s="757"/>
      <c r="T1020" s="759"/>
    </row>
    <row r="1021" spans="1:41" s="501" customFormat="1" ht="12" customHeight="1">
      <c r="A1021" s="760"/>
      <c r="B1021" s="761"/>
      <c r="C1021" s="762"/>
      <c r="D1021" s="762" t="str">
        <f>$F$2</f>
        <v>Electrical</v>
      </c>
      <c r="E1021" s="762">
        <f ca="1">ROUND(($R1025*$S$2 + ($T1025*$T$2)), 2)</f>
        <v>61.84</v>
      </c>
      <c r="F1021" s="763">
        <f ca="1">$E1021*$C$12</f>
        <v>61.84</v>
      </c>
      <c r="G1021" s="567"/>
      <c r="H1021" s="764"/>
      <c r="I1021" s="567"/>
      <c r="J1021" s="45"/>
      <c r="K1021" s="765" t="s">
        <v>3</v>
      </c>
      <c r="L1021" s="766" t="s">
        <v>573</v>
      </c>
      <c r="M1021" s="567"/>
      <c r="N1021" s="567"/>
      <c r="O1021" s="45"/>
      <c r="P1021" s="567"/>
      <c r="Q1021" s="567"/>
      <c r="R1021"/>
      <c r="S1021"/>
      <c r="T1021"/>
    </row>
    <row r="1022" spans="1:41" s="935" customFormat="1" ht="13.2">
      <c r="A1022"/>
      <c r="B1022" s="927"/>
      <c r="C1022" s="927" t="s">
        <v>735</v>
      </c>
      <c r="D1022" s="927" t="str">
        <f ca="1">CELL("Address",Elec_Rates!D$64)</f>
        <v>[E25_0465_IH_Retro_Elec4Mech_Est_Rev_A.xlsx]Elec_Rates!$D$64</v>
      </c>
      <c r="E1022" s="928"/>
      <c r="F1022" s="928"/>
      <c r="G1022" s="929" t="s">
        <v>736</v>
      </c>
      <c r="H1022" s="929"/>
      <c r="I1022" s="929"/>
      <c r="J1022" s="929"/>
      <c r="K1022" s="930"/>
      <c r="L1022" s="928"/>
      <c r="M1022" s="928"/>
      <c r="N1022" s="928"/>
      <c r="O1022" s="931"/>
      <c r="P1022" s="928"/>
      <c r="Q1022" s="932"/>
      <c r="R1022" s="933"/>
      <c r="S1022" s="932"/>
      <c r="T1022" s="560"/>
      <c r="U1022" s="934"/>
    </row>
    <row r="1023" spans="1:41" s="935" customFormat="1" ht="11.4">
      <c r="A1023" s="936">
        <v>1</v>
      </c>
      <c r="B1023" s="937">
        <v>1</v>
      </c>
      <c r="C1023" s="937">
        <f>$A1023*$B1023</f>
        <v>1</v>
      </c>
      <c r="D1023" s="938" t="str">
        <f>Elec_Rates!$D$64</f>
        <v>006# Connecting up of 11.0/18.0 kW 400Volt motor (VFD)</v>
      </c>
      <c r="E1023" s="938"/>
      <c r="F1023" s="938" t="s">
        <v>737</v>
      </c>
      <c r="G1023" s="939" t="s">
        <v>738</v>
      </c>
      <c r="H1023" s="939"/>
      <c r="I1023" s="939"/>
      <c r="J1023" s="939"/>
      <c r="K1023" s="940"/>
      <c r="L1023" s="934"/>
      <c r="M1023" s="934"/>
      <c r="N1023" s="934"/>
      <c r="O1023" s="941"/>
      <c r="P1023" s="938"/>
      <c r="Q1023" s="942">
        <f ca="1">$B1023*Elec_Rates!$R$64</f>
        <v>10.66</v>
      </c>
      <c r="R1023" s="933">
        <f ca="1">$A1023*Q1023</f>
        <v>10.66</v>
      </c>
      <c r="S1023" s="942">
        <f ca="1">$B1023*Elec_Rates!$T$64</f>
        <v>1.28</v>
      </c>
      <c r="T1023" s="560">
        <f ca="1">$A1023*S1023</f>
        <v>1.28</v>
      </c>
      <c r="U1023" s="484"/>
    </row>
    <row r="1024" spans="1:41" s="501" customFormat="1" ht="14.4" customHeight="1">
      <c r="A1024" s="767"/>
      <c r="B1024" s="567"/>
      <c r="C1024" s="567"/>
      <c r="D1024" s="567"/>
      <c r="E1024" s="567"/>
      <c r="F1024" s="567"/>
      <c r="G1024" s="567"/>
      <c r="H1024" s="764"/>
      <c r="I1024" s="567"/>
      <c r="J1024" s="45"/>
      <c r="K1024" s="769"/>
      <c r="L1024" s="770"/>
      <c r="M1024" s="567"/>
      <c r="N1024" s="567"/>
      <c r="O1024" s="45"/>
      <c r="P1024" s="567"/>
      <c r="Q1024" s="567"/>
      <c r="R1024" s="771">
        <f>$A1024*Q1024</f>
        <v>0</v>
      </c>
      <c r="S1024" s="567"/>
      <c r="T1024" s="500">
        <f>$A1024*S1024*$T$1</f>
        <v>0</v>
      </c>
    </row>
    <row r="1025" spans="1:41" s="501" customFormat="1" ht="12">
      <c r="A1025" s="772" t="s">
        <v>145</v>
      </c>
      <c r="B1025" s="773">
        <f>(R1024+T1024)</f>
        <v>0</v>
      </c>
      <c r="C1025" s="753"/>
      <c r="G1025" s="774"/>
      <c r="H1025" s="774"/>
      <c r="I1025" s="774"/>
      <c r="J1025" s="774"/>
      <c r="K1025" s="750" t="s">
        <v>3</v>
      </c>
      <c r="L1025" s="775" t="s">
        <v>573</v>
      </c>
      <c r="M1025" s="774"/>
      <c r="N1025" s="774"/>
      <c r="O1025" s="774"/>
      <c r="P1025" s="774"/>
      <c r="Q1025" s="776"/>
      <c r="R1025" s="777">
        <f ca="1">SUM(R1021:R1024)</f>
        <v>10.66</v>
      </c>
      <c r="S1025" s="778"/>
      <c r="T1025" s="777">
        <f ca="1">SUM(T1021:T1024)</f>
        <v>1.28</v>
      </c>
      <c r="AG1025" s="779">
        <f ca="1">ROUND($R1025*$S$2,2)</f>
        <v>14.39</v>
      </c>
    </row>
    <row r="1026" spans="1:41" s="501" customFormat="1" ht="12" customHeight="1">
      <c r="A1026" s="760"/>
      <c r="B1026" s="780"/>
      <c r="C1026" s="781"/>
      <c r="D1026" s="782" t="str">
        <f>$F$3</f>
        <v>Technician</v>
      </c>
      <c r="E1026" s="782">
        <f>ROUND(($R1030*$S$3 + ($T1030*$T$3)), 2)</f>
        <v>0</v>
      </c>
      <c r="F1026" s="783">
        <f>$E1026*$C$12</f>
        <v>0</v>
      </c>
      <c r="G1026" s="499"/>
      <c r="H1026" s="499"/>
      <c r="I1026" s="499"/>
      <c r="J1026" s="499"/>
      <c r="K1026" s="765" t="s">
        <v>5</v>
      </c>
      <c r="L1026" s="766" t="s">
        <v>573</v>
      </c>
      <c r="M1026" s="499"/>
      <c r="N1026" s="499"/>
      <c r="O1026" s="499"/>
      <c r="P1026" s="499"/>
      <c r="Q1026" s="499"/>
      <c r="R1026" s="784"/>
      <c r="S1026" s="499"/>
      <c r="T1026" s="784"/>
    </row>
    <row r="1027" spans="1:41" s="797" customFormat="1" ht="15.6" customHeight="1">
      <c r="A1027" s="785"/>
      <c r="B1027" s="768" t="s">
        <v>575</v>
      </c>
      <c r="C1027" s="786"/>
      <c r="D1027" s="787"/>
      <c r="E1027" s="787"/>
      <c r="F1027" s="787"/>
      <c r="G1027" s="788"/>
      <c r="H1027" s="789"/>
      <c r="I1027" s="789"/>
      <c r="J1027" s="790"/>
      <c r="K1027" s="791"/>
      <c r="L1027" s="786"/>
      <c r="M1027" s="792"/>
      <c r="N1027" s="793"/>
      <c r="O1027" s="794"/>
      <c r="P1027" s="795"/>
      <c r="Q1027" s="796"/>
      <c r="R1027" s="771">
        <f>$A1027*Q1027</f>
        <v>0</v>
      </c>
      <c r="S1027" s="567"/>
      <c r="T1027" s="500">
        <f>$A1027*S1027*$T$1</f>
        <v>0</v>
      </c>
    </row>
    <row r="1028" spans="1:41" s="501" customFormat="1" ht="15.6" customHeight="1">
      <c r="A1028" s="767"/>
      <c r="B1028" s="567"/>
      <c r="C1028" s="567"/>
      <c r="D1028" s="567"/>
      <c r="E1028" s="567"/>
      <c r="F1028" s="567"/>
      <c r="G1028" s="567"/>
      <c r="H1028" s="567"/>
      <c r="I1028" s="567"/>
      <c r="J1028" s="567"/>
      <c r="K1028" s="567"/>
      <c r="L1028" s="770"/>
      <c r="M1028" s="567"/>
      <c r="N1028" s="567"/>
      <c r="O1028" s="567"/>
      <c r="P1028" s="567"/>
      <c r="Q1028" s="567"/>
      <c r="R1028" s="771">
        <f>$A1028*Q1028</f>
        <v>0</v>
      </c>
      <c r="S1028" s="567"/>
      <c r="T1028" s="500">
        <f>$A1028*S1028*$T$1</f>
        <v>0</v>
      </c>
    </row>
    <row r="1029" spans="1:41" s="501" customFormat="1" ht="15.6" customHeight="1">
      <c r="A1029" s="767"/>
      <c r="B1029" s="567"/>
      <c r="C1029" s="567"/>
      <c r="D1029" s="3"/>
      <c r="E1029" s="567"/>
      <c r="F1029" s="567"/>
      <c r="G1029" s="567"/>
      <c r="H1029" s="567"/>
      <c r="I1029" s="567"/>
      <c r="J1029" s="567"/>
      <c r="K1029" s="567"/>
      <c r="L1029" s="770"/>
      <c r="M1029" s="567"/>
      <c r="N1029" s="567"/>
      <c r="O1029" s="567"/>
      <c r="P1029" s="567"/>
      <c r="Q1029" s="567"/>
      <c r="R1029" s="771">
        <f>$A1029*Q1029</f>
        <v>0</v>
      </c>
      <c r="S1029" s="567"/>
      <c r="T1029" s="500">
        <f>$A1029*S1029*$T$1</f>
        <v>0</v>
      </c>
    </row>
    <row r="1030" spans="1:41" s="501" customFormat="1" ht="12">
      <c r="A1030" s="772" t="s">
        <v>145</v>
      </c>
      <c r="B1030" s="773">
        <f>(R1029+T1029)</f>
        <v>0</v>
      </c>
      <c r="C1030" s="753"/>
      <c r="G1030" s="774"/>
      <c r="H1030" s="774"/>
      <c r="I1030" s="774"/>
      <c r="J1030" s="774"/>
      <c r="K1030" s="798" t="s">
        <v>5</v>
      </c>
      <c r="L1030" s="775" t="s">
        <v>573</v>
      </c>
      <c r="M1030" s="774"/>
      <c r="N1030" s="774"/>
      <c r="O1030" s="774"/>
      <c r="P1030" s="774"/>
      <c r="Q1030" s="776"/>
      <c r="R1030" s="777">
        <f>SUM(R1026:R1029)</f>
        <v>0</v>
      </c>
      <c r="S1030" s="778"/>
      <c r="T1030" s="777">
        <f>SUM(T1026:T1029)</f>
        <v>0</v>
      </c>
      <c r="AG1030" s="799">
        <f>ROUND($R1030*$S$3,2)</f>
        <v>0</v>
      </c>
    </row>
    <row r="1031" spans="1:41" s="501" customFormat="1" ht="12" customHeight="1">
      <c r="A1031" s="800"/>
      <c r="B1031" s="801"/>
      <c r="C1031" s="802"/>
      <c r="D1031" s="803" t="str">
        <f>$F$4</f>
        <v>Engineer (Man Hours)</v>
      </c>
      <c r="E1031" s="803">
        <f>ROUND(($R1035*$S$4 + ($T1035*$T$4)), 2)</f>
        <v>0</v>
      </c>
      <c r="F1031" s="804">
        <f ca="1">$F1018-SUMIF($L1020:$P1028,"SUBI",$F1020:$F1028)</f>
        <v>0</v>
      </c>
      <c r="G1031" s="499"/>
      <c r="H1031" s="499"/>
      <c r="I1031" s="499"/>
      <c r="J1031" s="499"/>
      <c r="K1031" s="805" t="s">
        <v>8</v>
      </c>
      <c r="L1031" s="766" t="s">
        <v>573</v>
      </c>
      <c r="M1031" s="499"/>
      <c r="N1031" s="499"/>
      <c r="O1031" s="499"/>
      <c r="P1031" s="499"/>
      <c r="Q1031" s="499"/>
      <c r="R1031" s="784"/>
      <c r="S1031" s="499"/>
      <c r="T1031" s="784"/>
    </row>
    <row r="1032" spans="1:41" s="797" customFormat="1" ht="14.4" customHeight="1">
      <c r="A1032" s="785"/>
      <c r="B1032" s="768" t="s">
        <v>576</v>
      </c>
      <c r="C1032" s="786"/>
      <c r="D1032" s="787"/>
      <c r="E1032" s="787"/>
      <c r="F1032" s="787"/>
      <c r="G1032" s="788"/>
      <c r="H1032" s="789"/>
      <c r="I1032" s="789"/>
      <c r="J1032" s="790"/>
      <c r="K1032" s="791"/>
      <c r="L1032" s="786"/>
      <c r="M1032" s="792"/>
      <c r="N1032" s="793"/>
      <c r="O1032" s="806"/>
      <c r="P1032" s="795"/>
      <c r="Q1032" s="796"/>
      <c r="R1032" s="720">
        <f>$A1032*Q1032</f>
        <v>0</v>
      </c>
      <c r="S1032" s="796"/>
      <c r="T1032" s="500">
        <f>$A1032*S1032*$T$1</f>
        <v>0</v>
      </c>
    </row>
    <row r="1033" spans="1:41" s="501" customFormat="1" ht="12">
      <c r="A1033" s="44"/>
      <c r="B1033" s="497"/>
      <c r="C1033" s="497"/>
      <c r="D1033" s="807"/>
      <c r="E1033" s="808"/>
      <c r="F1033" s="499"/>
      <c r="G1033" s="499"/>
      <c r="H1033" s="499"/>
      <c r="I1033" s="499"/>
      <c r="J1033" s="499"/>
      <c r="K1033" s="499"/>
      <c r="L1033" s="809"/>
      <c r="M1033" s="499"/>
      <c r="N1033" s="499"/>
      <c r="O1033" s="499"/>
      <c r="P1033" s="499"/>
      <c r="Q1033" s="499"/>
      <c r="R1033" s="720">
        <f>$A1033*Q1033</f>
        <v>0</v>
      </c>
      <c r="S1033" s="499"/>
      <c r="T1033" s="500">
        <f>$A1033*S1033*$T$1</f>
        <v>0</v>
      </c>
    </row>
    <row r="1034" spans="1:41" s="501" customFormat="1" ht="12">
      <c r="A1034" s="44"/>
      <c r="B1034" s="497"/>
      <c r="C1034" s="497"/>
      <c r="D1034" s="807"/>
      <c r="E1034" s="808"/>
      <c r="F1034" s="499"/>
      <c r="G1034" s="499"/>
      <c r="H1034" s="499"/>
      <c r="I1034" s="499"/>
      <c r="J1034" s="499"/>
      <c r="K1034" s="499"/>
      <c r="L1034" s="809"/>
      <c r="M1034" s="499"/>
      <c r="N1034" s="499"/>
      <c r="O1034" s="499"/>
      <c r="P1034" s="499"/>
      <c r="Q1034" s="499"/>
      <c r="R1034" s="720">
        <f>$A1034*Q1034</f>
        <v>0</v>
      </c>
      <c r="S1034" s="499"/>
      <c r="T1034" s="500">
        <f>$A1034*S1034*$T$1</f>
        <v>0</v>
      </c>
    </row>
    <row r="1035" spans="1:41" s="501" customFormat="1" ht="12.75" customHeight="1">
      <c r="A1035" s="772" t="s">
        <v>145</v>
      </c>
      <c r="B1035" s="773">
        <f>(R1034+T1034)</f>
        <v>0</v>
      </c>
      <c r="C1035" s="810"/>
      <c r="D1035" s="810"/>
      <c r="E1035" s="810"/>
      <c r="F1035" s="810"/>
      <c r="G1035" s="776"/>
      <c r="H1035" s="776"/>
      <c r="I1035" s="776"/>
      <c r="J1035" s="776"/>
      <c r="K1035" s="798" t="s">
        <v>8</v>
      </c>
      <c r="L1035" s="811" t="s">
        <v>573</v>
      </c>
      <c r="M1035" s="776"/>
      <c r="N1035" s="776"/>
      <c r="O1035" s="776"/>
      <c r="P1035" s="776"/>
      <c r="Q1035" s="776"/>
      <c r="R1035" s="777">
        <f>SUM(R1031:R1034)</f>
        <v>0</v>
      </c>
      <c r="S1035" s="778"/>
      <c r="T1035" s="777">
        <f>SUM(T1031:T1034)</f>
        <v>0</v>
      </c>
      <c r="AG1035" s="812">
        <f>ROUND($R1035*$S$4,2)</f>
        <v>0</v>
      </c>
    </row>
    <row r="1036" spans="1:41" s="501" customFormat="1" ht="12.75" customHeight="1">
      <c r="A1036" s="813"/>
      <c r="B1036" s="814"/>
      <c r="E1036" s="497"/>
      <c r="F1036" s="808"/>
      <c r="G1036" s="497"/>
      <c r="H1036" s="497"/>
      <c r="I1036" s="499"/>
      <c r="J1036" s="497"/>
      <c r="K1036" s="497"/>
      <c r="L1036" s="815"/>
      <c r="M1036" s="725"/>
      <c r="N1036" s="725"/>
      <c r="O1036" s="725"/>
      <c r="P1036" s="725"/>
      <c r="Q1036" s="726"/>
      <c r="R1036" s="784"/>
      <c r="S1036" s="497"/>
      <c r="T1036" s="784"/>
    </row>
    <row r="1037" spans="1:41" s="501" customFormat="1" ht="13.5" customHeight="1" thickBot="1">
      <c r="A1037" s="816"/>
      <c r="B1037" s="817"/>
      <c r="C1037" s="518"/>
      <c r="D1037" s="518"/>
      <c r="E1037" s="515"/>
      <c r="F1037" s="721"/>
      <c r="G1037" s="515" t="s">
        <v>146</v>
      </c>
      <c r="H1037" s="515"/>
      <c r="I1037" s="516"/>
      <c r="J1037" s="515"/>
      <c r="K1037" s="515"/>
      <c r="L1037" s="818" t="s">
        <v>143</v>
      </c>
      <c r="M1037" s="517"/>
      <c r="N1037" s="517"/>
      <c r="O1037" s="517"/>
      <c r="P1037" s="517"/>
      <c r="Q1037" s="722"/>
      <c r="R1037" s="819">
        <f ca="1">SUMIF($L1019:$L1036,"SUBI",R1019:R1036)</f>
        <v>10.66</v>
      </c>
      <c r="S1037" s="820"/>
      <c r="T1037" s="819">
        <f ca="1">SUMIF($L1019:$L1036,"SUBI",T1019:T1036)</f>
        <v>1.28</v>
      </c>
      <c r="U1037" s="518"/>
      <c r="V1037" s="518"/>
      <c r="W1037" s="518"/>
      <c r="X1037" s="518"/>
      <c r="Y1037" s="518"/>
      <c r="Z1037" s="518"/>
      <c r="AA1037" s="518"/>
      <c r="AB1037" s="518"/>
      <c r="AC1037" s="518"/>
      <c r="AD1037" s="518"/>
      <c r="AE1037" s="518"/>
      <c r="AF1037" s="518"/>
      <c r="AG1037" s="518"/>
      <c r="AH1037" s="518"/>
      <c r="AI1037" s="518"/>
      <c r="AJ1037" s="518"/>
      <c r="AK1037" s="518"/>
      <c r="AL1037" s="518"/>
      <c r="AM1037" s="518"/>
      <c r="AN1037" s="518"/>
      <c r="AO1037" s="518"/>
    </row>
    <row r="1038" spans="1:41" s="501" customFormat="1" thickTop="1">
      <c r="A1038" s="44"/>
      <c r="B1038" s="39"/>
      <c r="C1038" s="44"/>
      <c r="E1038" s="40" t="s">
        <v>138</v>
      </c>
      <c r="F1038" s="40" t="s">
        <v>139</v>
      </c>
      <c r="G1038" s="44"/>
      <c r="H1038" s="44"/>
      <c r="I1038" s="44"/>
      <c r="J1038" s="44"/>
      <c r="K1038" s="44" t="s">
        <v>140</v>
      </c>
      <c r="L1038" s="737"/>
      <c r="M1038" s="44"/>
      <c r="N1038" s="44"/>
      <c r="O1038" s="45"/>
      <c r="P1038" s="44"/>
      <c r="Q1038"/>
      <c r="R1038"/>
      <c r="S1038"/>
      <c r="T1038" s="39"/>
      <c r="AG1038" s="502" t="s">
        <v>247</v>
      </c>
      <c r="AH1038" s="502" t="s">
        <v>248</v>
      </c>
      <c r="AI1038" s="502" t="s">
        <v>249</v>
      </c>
      <c r="AJ1038" s="502" t="s">
        <v>250</v>
      </c>
      <c r="AK1038" s="502" t="s">
        <v>251</v>
      </c>
      <c r="AM1038" s="710" t="s">
        <v>260</v>
      </c>
      <c r="AN1038" s="711" t="s">
        <v>261</v>
      </c>
      <c r="AO1038" s="503" t="s">
        <v>257</v>
      </c>
    </row>
    <row r="1039" spans="1:41" s="501" customFormat="1" ht="13.2">
      <c r="A1039" s="712">
        <v>1</v>
      </c>
      <c r="B1039" s="504" t="s">
        <v>283</v>
      </c>
      <c r="C1039" s="505"/>
      <c r="D1039" s="713" t="s">
        <v>586</v>
      </c>
      <c r="E1039" s="738">
        <f ca="1">IF(AND($A1039=0,$A$1="DIF"),0,ROUND(ROUND(SUMIF($L1041:$L1052,"SUBI",$E1041:$E1052)/$A1039,2)*$C$12,2))</f>
        <v>61.84</v>
      </c>
      <c r="F1039" s="739">
        <f ca="1">ROUND($A1039*$E1039,2)</f>
        <v>61.84</v>
      </c>
      <c r="G1039" s="506" t="s">
        <v>142</v>
      </c>
      <c r="H1039" s="498"/>
      <c r="I1039" s="716"/>
      <c r="J1039" s="498"/>
      <c r="K1039" s="740"/>
      <c r="L1039" s="741" t="s">
        <v>143</v>
      </c>
      <c r="M1039" s="717"/>
      <c r="N1039" s="717"/>
      <c r="O1039" s="717"/>
      <c r="P1039" s="717"/>
      <c r="Q1039" s="943" t="s">
        <v>855</v>
      </c>
      <c r="R1039" s="943" t="s">
        <v>870</v>
      </c>
      <c r="S1039"/>
      <c r="T1039" s="742" t="str">
        <f ca="1">IF(AND($R1058=0,$T1058=0),"0.00","mu :" &amp; ROUND($F1039/$C$12/($R1058+$T1058*$D$9),2))</f>
        <v>mu :1.35</v>
      </c>
      <c r="W1039" s="507"/>
      <c r="AG1039" s="743">
        <f ca="1">IF(A1039=0,0,ROUND(SUM(AG1041:AG1058)/A1039,2))</f>
        <v>14.39</v>
      </c>
      <c r="AH1039" s="743">
        <f ca="1">$AG1039*$A1039</f>
        <v>14.39</v>
      </c>
      <c r="AI1039" s="743">
        <f ca="1">$E1039-$AG1039</f>
        <v>47.45</v>
      </c>
      <c r="AJ1039" s="743">
        <f ca="1">$A1039*$AI1039</f>
        <v>47.45</v>
      </c>
      <c r="AK1039" s="744">
        <f ca="1">ROUND(($AG1039+$AI1039)*$A1039,2)</f>
        <v>61.84</v>
      </c>
      <c r="AM1039" s="510">
        <f ca="1">ROUND(R1058,2)</f>
        <v>10.66</v>
      </c>
      <c r="AN1039" s="511">
        <f ca="1">ROUND(T1058,2)</f>
        <v>1.28</v>
      </c>
      <c r="AO1039" s="512">
        <f ca="1">ROUND(AM1039+AN1039,2)*A1039</f>
        <v>11.94</v>
      </c>
    </row>
    <row r="1040" spans="1:41" s="501" customFormat="1" ht="21.6" customHeight="1">
      <c r="A1040" s="745"/>
      <c r="B1040" s="746"/>
      <c r="C1040" s="505"/>
      <c r="D1040" s="724" t="s">
        <v>437</v>
      </c>
      <c r="F1040" s="498"/>
      <c r="G1040" s="498"/>
      <c r="H1040" s="498"/>
      <c r="I1040" s="716"/>
      <c r="J1040" s="498"/>
      <c r="K1040" s="498" t="s">
        <v>144</v>
      </c>
      <c r="L1040" s="747"/>
      <c r="M1040" s="498"/>
      <c r="N1040" s="498"/>
      <c r="O1040" s="498"/>
      <c r="P1040" s="498"/>
      <c r="Q1040" s="44"/>
      <c r="R1040" s="567"/>
      <c r="S1040" s="719"/>
      <c r="T1040" s="498"/>
    </row>
    <row r="1041" spans="1:33" s="501" customFormat="1" ht="12">
      <c r="A1041" s="748"/>
      <c r="B1041" s="749"/>
      <c r="C1041" s="497"/>
      <c r="D1041" s="750"/>
      <c r="E1041" s="751">
        <f ca="1">F1039/$C$12-SUMIF($L1038:$L1058,"SUBI",$E1038:$E1058)</f>
        <v>0</v>
      </c>
      <c r="F1041" s="752" t="s">
        <v>572</v>
      </c>
      <c r="G1041" s="753"/>
      <c r="H1041" s="753"/>
      <c r="I1041" s="754"/>
      <c r="J1041" s="753"/>
      <c r="K1041" s="753"/>
      <c r="L1041" s="755"/>
      <c r="M1041" s="756"/>
      <c r="N1041" s="756"/>
      <c r="O1041" s="756"/>
      <c r="P1041" s="756"/>
      <c r="Q1041" s="757"/>
      <c r="R1041" s="758"/>
      <c r="S1041" s="757"/>
      <c r="T1041" s="759"/>
    </row>
    <row r="1042" spans="1:33" s="501" customFormat="1" ht="12" customHeight="1">
      <c r="A1042" s="760"/>
      <c r="B1042" s="761"/>
      <c r="C1042" s="762"/>
      <c r="D1042" s="762" t="str">
        <f>$F$2</f>
        <v>Electrical</v>
      </c>
      <c r="E1042" s="762">
        <f ca="1">ROUND(($R1046*$S$2 + ($T1046*$T$2)), 2)</f>
        <v>61.84</v>
      </c>
      <c r="F1042" s="763">
        <f ca="1">$E1042*$C$12</f>
        <v>61.84</v>
      </c>
      <c r="G1042" s="567"/>
      <c r="H1042" s="764"/>
      <c r="I1042" s="567"/>
      <c r="J1042" s="45"/>
      <c r="K1042" s="765" t="s">
        <v>3</v>
      </c>
      <c r="L1042" s="766" t="s">
        <v>573</v>
      </c>
      <c r="M1042" s="567"/>
      <c r="N1042" s="567"/>
      <c r="O1042" s="45"/>
      <c r="P1042" s="567"/>
      <c r="Q1042" s="567"/>
      <c r="R1042"/>
      <c r="S1042"/>
      <c r="T1042"/>
    </row>
    <row r="1043" spans="1:33" s="935" customFormat="1" ht="13.2">
      <c r="A1043"/>
      <c r="B1043" s="927"/>
      <c r="C1043" s="927" t="s">
        <v>735</v>
      </c>
      <c r="D1043" s="927" t="str">
        <f ca="1">CELL("Address",Elec_Rates!D$64)</f>
        <v>[E25_0465_IH_Retro_Elec4Mech_Est_Rev_A.xlsx]Elec_Rates!$D$64</v>
      </c>
      <c r="E1043" s="928"/>
      <c r="F1043" s="928"/>
      <c r="G1043" s="929" t="s">
        <v>736</v>
      </c>
      <c r="H1043" s="929"/>
      <c r="I1043" s="929"/>
      <c r="J1043" s="929"/>
      <c r="K1043" s="930"/>
      <c r="L1043" s="928"/>
      <c r="M1043" s="928"/>
      <c r="N1043" s="928"/>
      <c r="O1043" s="931"/>
      <c r="P1043" s="928"/>
      <c r="Q1043" s="932"/>
      <c r="R1043" s="933"/>
      <c r="S1043" s="932"/>
      <c r="T1043" s="560"/>
      <c r="U1043" s="934"/>
    </row>
    <row r="1044" spans="1:33" s="935" customFormat="1" ht="11.4">
      <c r="A1044" s="936">
        <v>1</v>
      </c>
      <c r="B1044" s="937">
        <v>1</v>
      </c>
      <c r="C1044" s="937">
        <f>$A1044*$B1044</f>
        <v>1</v>
      </c>
      <c r="D1044" s="938" t="str">
        <f>Elec_Rates!$D$64</f>
        <v>006# Connecting up of 11.0/18.0 kW 400Volt motor (VFD)</v>
      </c>
      <c r="E1044" s="938"/>
      <c r="F1044" s="938" t="s">
        <v>737</v>
      </c>
      <c r="G1044" s="939" t="s">
        <v>738</v>
      </c>
      <c r="H1044" s="939"/>
      <c r="I1044" s="939"/>
      <c r="J1044" s="939"/>
      <c r="K1044" s="940"/>
      <c r="L1044" s="934"/>
      <c r="M1044" s="934"/>
      <c r="N1044" s="934"/>
      <c r="O1044" s="941"/>
      <c r="P1044" s="938"/>
      <c r="Q1044" s="942">
        <f ca="1">$B1044*Elec_Rates!$R$64</f>
        <v>10.66</v>
      </c>
      <c r="R1044" s="933">
        <f ca="1">$A1044*Q1044</f>
        <v>10.66</v>
      </c>
      <c r="S1044" s="942">
        <f ca="1">$B1044*Elec_Rates!$T$64</f>
        <v>1.28</v>
      </c>
      <c r="T1044" s="560">
        <f ca="1">$A1044*S1044</f>
        <v>1.28</v>
      </c>
      <c r="U1044" s="484"/>
    </row>
    <row r="1045" spans="1:33" s="501" customFormat="1" ht="14.4" customHeight="1">
      <c r="A1045" s="767"/>
      <c r="B1045" s="567"/>
      <c r="C1045" s="567"/>
      <c r="D1045" s="567"/>
      <c r="E1045" s="567"/>
      <c r="F1045" s="567"/>
      <c r="G1045" s="567"/>
      <c r="H1045" s="764"/>
      <c r="I1045" s="567"/>
      <c r="J1045" s="45"/>
      <c r="K1045" s="769"/>
      <c r="L1045" s="770"/>
      <c r="M1045" s="567"/>
      <c r="N1045" s="567"/>
      <c r="O1045" s="45"/>
      <c r="P1045" s="567"/>
      <c r="Q1045" s="567"/>
      <c r="R1045" s="771">
        <f>$A1045*Q1045</f>
        <v>0</v>
      </c>
      <c r="S1045" s="567"/>
      <c r="T1045" s="500">
        <f>$A1045*S1045*$T$1</f>
        <v>0</v>
      </c>
    </row>
    <row r="1046" spans="1:33" s="501" customFormat="1" ht="12">
      <c r="A1046" s="772" t="s">
        <v>145</v>
      </c>
      <c r="B1046" s="773">
        <f>(R1045+T1045)</f>
        <v>0</v>
      </c>
      <c r="C1046" s="753"/>
      <c r="G1046" s="774"/>
      <c r="H1046" s="774"/>
      <c r="I1046" s="774"/>
      <c r="J1046" s="774"/>
      <c r="K1046" s="750" t="s">
        <v>3</v>
      </c>
      <c r="L1046" s="775" t="s">
        <v>573</v>
      </c>
      <c r="M1046" s="774"/>
      <c r="N1046" s="774"/>
      <c r="O1046" s="774"/>
      <c r="P1046" s="774"/>
      <c r="Q1046" s="776"/>
      <c r="R1046" s="777">
        <f ca="1">SUM(R1042:R1045)</f>
        <v>10.66</v>
      </c>
      <c r="S1046" s="778"/>
      <c r="T1046" s="777">
        <f ca="1">SUM(T1042:T1045)</f>
        <v>1.28</v>
      </c>
      <c r="AG1046" s="779">
        <f ca="1">ROUND($R1046*$S$2,2)</f>
        <v>14.39</v>
      </c>
    </row>
    <row r="1047" spans="1:33" s="501" customFormat="1" ht="12" customHeight="1">
      <c r="A1047" s="760"/>
      <c r="B1047" s="780"/>
      <c r="C1047" s="781"/>
      <c r="D1047" s="782" t="str">
        <f>$F$3</f>
        <v>Technician</v>
      </c>
      <c r="E1047" s="782">
        <f>ROUND(($R1051*$S$3 + ($T1051*$T$3)), 2)</f>
        <v>0</v>
      </c>
      <c r="F1047" s="783">
        <f>$E1047*$C$12</f>
        <v>0</v>
      </c>
      <c r="G1047" s="499"/>
      <c r="H1047" s="499"/>
      <c r="I1047" s="499"/>
      <c r="J1047" s="499"/>
      <c r="K1047" s="765" t="s">
        <v>5</v>
      </c>
      <c r="L1047" s="766" t="s">
        <v>573</v>
      </c>
      <c r="M1047" s="499"/>
      <c r="N1047" s="499"/>
      <c r="O1047" s="499"/>
      <c r="P1047" s="499"/>
      <c r="Q1047" s="499"/>
      <c r="R1047" s="784"/>
      <c r="S1047" s="499"/>
      <c r="T1047" s="784"/>
    </row>
    <row r="1048" spans="1:33" s="797" customFormat="1" ht="15.6" customHeight="1">
      <c r="A1048" s="785"/>
      <c r="B1048" s="768" t="s">
        <v>575</v>
      </c>
      <c r="C1048" s="786"/>
      <c r="D1048" s="787"/>
      <c r="E1048" s="787"/>
      <c r="F1048" s="787"/>
      <c r="G1048" s="788"/>
      <c r="H1048" s="789"/>
      <c r="I1048" s="789"/>
      <c r="J1048" s="790"/>
      <c r="K1048" s="791"/>
      <c r="L1048" s="786"/>
      <c r="M1048" s="792"/>
      <c r="N1048" s="793"/>
      <c r="O1048" s="794"/>
      <c r="P1048" s="795"/>
      <c r="Q1048" s="796"/>
      <c r="R1048" s="771">
        <f>$A1048*Q1048</f>
        <v>0</v>
      </c>
      <c r="S1048" s="567"/>
      <c r="T1048" s="500">
        <f>$A1048*S1048*$T$1</f>
        <v>0</v>
      </c>
    </row>
    <row r="1049" spans="1:33" s="501" customFormat="1" ht="15.6" customHeight="1">
      <c r="A1049" s="767"/>
      <c r="B1049" s="567"/>
      <c r="C1049" s="567"/>
      <c r="D1049" s="567"/>
      <c r="E1049" s="567"/>
      <c r="F1049" s="567"/>
      <c r="G1049" s="567"/>
      <c r="H1049" s="567"/>
      <c r="I1049" s="567"/>
      <c r="J1049" s="567"/>
      <c r="K1049" s="567"/>
      <c r="L1049" s="770"/>
      <c r="M1049" s="567"/>
      <c r="N1049" s="567"/>
      <c r="O1049" s="567"/>
      <c r="P1049" s="567"/>
      <c r="Q1049" s="567"/>
      <c r="R1049" s="771">
        <f>$A1049*Q1049</f>
        <v>0</v>
      </c>
      <c r="S1049" s="567"/>
      <c r="T1049" s="500">
        <f>$A1049*S1049*$T$1</f>
        <v>0</v>
      </c>
    </row>
    <row r="1050" spans="1:33" s="501" customFormat="1" ht="15.6" customHeight="1">
      <c r="A1050" s="767"/>
      <c r="B1050" s="567"/>
      <c r="C1050" s="567"/>
      <c r="D1050" s="3"/>
      <c r="E1050" s="567"/>
      <c r="F1050" s="567"/>
      <c r="G1050" s="567"/>
      <c r="H1050" s="567"/>
      <c r="I1050" s="567"/>
      <c r="J1050" s="567"/>
      <c r="K1050" s="567"/>
      <c r="L1050" s="770"/>
      <c r="M1050" s="567"/>
      <c r="N1050" s="567"/>
      <c r="O1050" s="567"/>
      <c r="P1050" s="567"/>
      <c r="Q1050" s="567"/>
      <c r="R1050" s="771">
        <f>$A1050*Q1050</f>
        <v>0</v>
      </c>
      <c r="S1050" s="567"/>
      <c r="T1050" s="500">
        <f>$A1050*S1050*$T$1</f>
        <v>0</v>
      </c>
    </row>
    <row r="1051" spans="1:33" s="501" customFormat="1" ht="12">
      <c r="A1051" s="772" t="s">
        <v>145</v>
      </c>
      <c r="B1051" s="773">
        <f>(R1050+T1050)</f>
        <v>0</v>
      </c>
      <c r="C1051" s="753"/>
      <c r="G1051" s="774"/>
      <c r="H1051" s="774"/>
      <c r="I1051" s="774"/>
      <c r="J1051" s="774"/>
      <c r="K1051" s="798" t="s">
        <v>5</v>
      </c>
      <c r="L1051" s="775" t="s">
        <v>573</v>
      </c>
      <c r="M1051" s="774"/>
      <c r="N1051" s="774"/>
      <c r="O1051" s="774"/>
      <c r="P1051" s="774"/>
      <c r="Q1051" s="776"/>
      <c r="R1051" s="777">
        <f>SUM(R1047:R1050)</f>
        <v>0</v>
      </c>
      <c r="S1051" s="778"/>
      <c r="T1051" s="777">
        <f>SUM(T1047:T1050)</f>
        <v>0</v>
      </c>
      <c r="AG1051" s="799">
        <f>ROUND($R1051*$S$3,2)</f>
        <v>0</v>
      </c>
    </row>
    <row r="1052" spans="1:33" s="501" customFormat="1" ht="12" customHeight="1">
      <c r="A1052" s="800"/>
      <c r="B1052" s="801"/>
      <c r="C1052" s="802"/>
      <c r="D1052" s="803" t="str">
        <f>$F$4</f>
        <v>Engineer (Man Hours)</v>
      </c>
      <c r="E1052" s="803">
        <f>ROUND(($R1056*$S$4 + ($T1056*$T$4)), 2)</f>
        <v>0</v>
      </c>
      <c r="F1052" s="804">
        <f ca="1">$F1039-SUMIF($L1041:$P1049,"SUBI",$F1041:$F1049)</f>
        <v>0</v>
      </c>
      <c r="G1052" s="499"/>
      <c r="H1052" s="499"/>
      <c r="I1052" s="499"/>
      <c r="J1052" s="499"/>
      <c r="K1052" s="805" t="s">
        <v>8</v>
      </c>
      <c r="L1052" s="766" t="s">
        <v>573</v>
      </c>
      <c r="M1052" s="499"/>
      <c r="N1052" s="499"/>
      <c r="O1052" s="499"/>
      <c r="P1052" s="499"/>
      <c r="Q1052" s="499"/>
      <c r="R1052" s="784"/>
      <c r="S1052" s="499"/>
      <c r="T1052" s="784"/>
    </row>
    <row r="1053" spans="1:33" s="797" customFormat="1" ht="14.4" customHeight="1">
      <c r="A1053" s="785"/>
      <c r="B1053" s="768" t="s">
        <v>576</v>
      </c>
      <c r="C1053" s="786"/>
      <c r="D1053" s="787"/>
      <c r="E1053" s="787"/>
      <c r="F1053" s="787"/>
      <c r="G1053" s="788"/>
      <c r="H1053" s="789"/>
      <c r="I1053" s="789"/>
      <c r="J1053" s="790"/>
      <c r="K1053" s="791"/>
      <c r="L1053" s="786"/>
      <c r="M1053" s="792"/>
      <c r="N1053" s="793"/>
      <c r="O1053" s="806"/>
      <c r="P1053" s="795"/>
      <c r="Q1053" s="796"/>
      <c r="R1053" s="720">
        <f>$A1053*Q1053</f>
        <v>0</v>
      </c>
      <c r="S1053" s="796"/>
      <c r="T1053" s="500">
        <f>$A1053*S1053*$T$1</f>
        <v>0</v>
      </c>
    </row>
    <row r="1054" spans="1:33" s="501" customFormat="1" ht="12">
      <c r="A1054" s="44"/>
      <c r="B1054" s="497"/>
      <c r="C1054" s="497"/>
      <c r="D1054" s="807"/>
      <c r="E1054" s="808"/>
      <c r="F1054" s="499"/>
      <c r="G1054" s="499"/>
      <c r="H1054" s="499"/>
      <c r="I1054" s="499"/>
      <c r="J1054" s="499"/>
      <c r="K1054" s="499"/>
      <c r="L1054" s="809"/>
      <c r="M1054" s="499"/>
      <c r="N1054" s="499"/>
      <c r="O1054" s="499"/>
      <c r="P1054" s="499"/>
      <c r="Q1054" s="499"/>
      <c r="R1054" s="720">
        <f>$A1054*Q1054</f>
        <v>0</v>
      </c>
      <c r="S1054" s="499"/>
      <c r="T1054" s="500">
        <f>$A1054*S1054*$T$1</f>
        <v>0</v>
      </c>
    </row>
    <row r="1055" spans="1:33" s="501" customFormat="1" ht="12">
      <c r="A1055" s="44"/>
      <c r="B1055" s="497"/>
      <c r="C1055" s="497"/>
      <c r="D1055" s="807"/>
      <c r="E1055" s="808"/>
      <c r="F1055" s="499"/>
      <c r="G1055" s="499"/>
      <c r="H1055" s="499"/>
      <c r="I1055" s="499"/>
      <c r="J1055" s="499"/>
      <c r="K1055" s="499"/>
      <c r="L1055" s="809"/>
      <c r="M1055" s="499"/>
      <c r="N1055" s="499"/>
      <c r="O1055" s="499"/>
      <c r="P1055" s="499"/>
      <c r="Q1055" s="499"/>
      <c r="R1055" s="720">
        <f>$A1055*Q1055</f>
        <v>0</v>
      </c>
      <c r="S1055" s="499"/>
      <c r="T1055" s="500">
        <f>$A1055*S1055*$T$1</f>
        <v>0</v>
      </c>
    </row>
    <row r="1056" spans="1:33" s="501" customFormat="1" ht="12.75" customHeight="1">
      <c r="A1056" s="772" t="s">
        <v>145</v>
      </c>
      <c r="B1056" s="773">
        <f>(R1055+T1055)</f>
        <v>0</v>
      </c>
      <c r="C1056" s="810"/>
      <c r="D1056" s="810"/>
      <c r="E1056" s="810"/>
      <c r="F1056" s="810"/>
      <c r="G1056" s="776"/>
      <c r="H1056" s="776"/>
      <c r="I1056" s="776"/>
      <c r="J1056" s="776"/>
      <c r="K1056" s="798" t="s">
        <v>8</v>
      </c>
      <c r="L1056" s="811" t="s">
        <v>573</v>
      </c>
      <c r="M1056" s="776"/>
      <c r="N1056" s="776"/>
      <c r="O1056" s="776"/>
      <c r="P1056" s="776"/>
      <c r="Q1056" s="776"/>
      <c r="R1056" s="777">
        <f>SUM(R1052:R1055)</f>
        <v>0</v>
      </c>
      <c r="S1056" s="778"/>
      <c r="T1056" s="777">
        <f>SUM(T1052:T1055)</f>
        <v>0</v>
      </c>
      <c r="AG1056" s="812">
        <f>ROUND($R1056*$S$4,2)</f>
        <v>0</v>
      </c>
    </row>
    <row r="1057" spans="1:41" s="501" customFormat="1" ht="12.75" customHeight="1">
      <c r="A1057" s="813"/>
      <c r="B1057" s="814"/>
      <c r="E1057" s="497"/>
      <c r="F1057" s="808"/>
      <c r="G1057" s="497"/>
      <c r="H1057" s="497"/>
      <c r="I1057" s="499"/>
      <c r="J1057" s="497"/>
      <c r="K1057" s="497"/>
      <c r="L1057" s="815"/>
      <c r="M1057" s="725"/>
      <c r="N1057" s="725"/>
      <c r="O1057" s="725"/>
      <c r="P1057" s="725"/>
      <c r="Q1057" s="726"/>
      <c r="R1057" s="784"/>
      <c r="S1057" s="497"/>
      <c r="T1057" s="784"/>
    </row>
    <row r="1058" spans="1:41" s="501" customFormat="1" ht="13.5" customHeight="1" thickBot="1">
      <c r="A1058" s="816"/>
      <c r="B1058" s="817"/>
      <c r="C1058" s="518"/>
      <c r="D1058" s="518"/>
      <c r="E1058" s="515"/>
      <c r="F1058" s="721"/>
      <c r="G1058" s="515" t="s">
        <v>146</v>
      </c>
      <c r="H1058" s="515"/>
      <c r="I1058" s="516"/>
      <c r="J1058" s="515"/>
      <c r="K1058" s="515"/>
      <c r="L1058" s="818" t="s">
        <v>143</v>
      </c>
      <c r="M1058" s="517"/>
      <c r="N1058" s="517"/>
      <c r="O1058" s="517"/>
      <c r="P1058" s="517"/>
      <c r="Q1058" s="722"/>
      <c r="R1058" s="819">
        <f ca="1">SUMIF($L1040:$L1057,"SUBI",R1040:R1057)</f>
        <v>10.66</v>
      </c>
      <c r="S1058" s="820"/>
      <c r="T1058" s="819">
        <f ca="1">SUMIF($L1040:$L1057,"SUBI",T1040:T1057)</f>
        <v>1.28</v>
      </c>
      <c r="U1058" s="518"/>
      <c r="V1058" s="518"/>
      <c r="W1058" s="518"/>
      <c r="X1058" s="518"/>
      <c r="Y1058" s="518"/>
      <c r="Z1058" s="518"/>
      <c r="AA1058" s="518"/>
      <c r="AB1058" s="518"/>
      <c r="AC1058" s="518"/>
      <c r="AD1058" s="518"/>
      <c r="AE1058" s="518"/>
      <c r="AF1058" s="518"/>
      <c r="AG1058" s="518"/>
      <c r="AH1058" s="518"/>
      <c r="AI1058" s="518"/>
      <c r="AJ1058" s="518"/>
      <c r="AK1058" s="518"/>
      <c r="AL1058" s="518"/>
      <c r="AM1058" s="518"/>
      <c r="AN1058" s="518"/>
      <c r="AO1058" s="518"/>
    </row>
    <row r="1059" spans="1:41" s="501" customFormat="1" thickTop="1">
      <c r="A1059" s="44"/>
      <c r="B1059" s="39"/>
      <c r="C1059" s="44"/>
      <c r="E1059" s="40" t="s">
        <v>138</v>
      </c>
      <c r="F1059" s="40" t="s">
        <v>139</v>
      </c>
      <c r="G1059" s="44"/>
      <c r="H1059" s="44"/>
      <c r="I1059" s="44"/>
      <c r="J1059" s="44"/>
      <c r="K1059" s="44" t="s">
        <v>140</v>
      </c>
      <c r="L1059" s="737"/>
      <c r="M1059" s="44"/>
      <c r="N1059" s="44"/>
      <c r="O1059" s="45"/>
      <c r="P1059" s="44"/>
      <c r="Q1059"/>
      <c r="R1059"/>
      <c r="S1059"/>
      <c r="T1059" s="39"/>
      <c r="AG1059" s="502" t="s">
        <v>247</v>
      </c>
      <c r="AH1059" s="502" t="s">
        <v>248</v>
      </c>
      <c r="AI1059" s="502" t="s">
        <v>249</v>
      </c>
      <c r="AJ1059" s="502" t="s">
        <v>250</v>
      </c>
      <c r="AK1059" s="502" t="s">
        <v>251</v>
      </c>
      <c r="AM1059" s="710" t="s">
        <v>260</v>
      </c>
      <c r="AN1059" s="711" t="s">
        <v>261</v>
      </c>
      <c r="AO1059" s="503" t="s">
        <v>257</v>
      </c>
    </row>
    <row r="1060" spans="1:41" s="501" customFormat="1" ht="13.2">
      <c r="A1060" s="712">
        <v>1</v>
      </c>
      <c r="B1060" s="504" t="s">
        <v>283</v>
      </c>
      <c r="C1060" s="505"/>
      <c r="D1060" s="713" t="s">
        <v>592</v>
      </c>
      <c r="E1060" s="738">
        <f ca="1">IF(AND($A1060=0,$A$1="DIF"),0,ROUND(ROUND(SUMIF($L1062:$L1073,"SUBI",$E1062:$E1073)/$A1060,2)*$C$12,2))</f>
        <v>61.84</v>
      </c>
      <c r="F1060" s="739">
        <f ca="1">ROUND($A1060*$E1060,2)</f>
        <v>61.84</v>
      </c>
      <c r="G1060" s="506" t="s">
        <v>142</v>
      </c>
      <c r="H1060" s="498"/>
      <c r="I1060" s="716"/>
      <c r="J1060" s="498"/>
      <c r="K1060" s="740"/>
      <c r="L1060" s="741" t="s">
        <v>143</v>
      </c>
      <c r="M1060" s="717"/>
      <c r="N1060" s="717"/>
      <c r="O1060" s="717"/>
      <c r="P1060" s="717"/>
      <c r="Q1060" s="943" t="s">
        <v>855</v>
      </c>
      <c r="R1060" s="943" t="s">
        <v>870</v>
      </c>
      <c r="S1060"/>
      <c r="T1060" s="742" t="str">
        <f ca="1">IF(AND($R1079=0,$T1079=0),"0.00","mu :" &amp; ROUND($F1060/$C$12/($R1079+$T1079*$D$9),2))</f>
        <v>mu :1.35</v>
      </c>
      <c r="W1060" s="507"/>
      <c r="AG1060" s="743">
        <f ca="1">IF(A1060=0,0,ROUND(SUM(AG1062:AG1079)/A1060,2))</f>
        <v>14.39</v>
      </c>
      <c r="AH1060" s="743">
        <f ca="1">$AG1060*$A1060</f>
        <v>14.39</v>
      </c>
      <c r="AI1060" s="743">
        <f ca="1">$E1060-$AG1060</f>
        <v>47.45</v>
      </c>
      <c r="AJ1060" s="743">
        <f ca="1">$A1060*$AI1060</f>
        <v>47.45</v>
      </c>
      <c r="AK1060" s="744">
        <f ca="1">ROUND(($AG1060+$AI1060)*$A1060,2)</f>
        <v>61.84</v>
      </c>
      <c r="AM1060" s="510">
        <f ca="1">ROUND(R1079,2)</f>
        <v>10.66</v>
      </c>
      <c r="AN1060" s="511">
        <f ca="1">ROUND(T1079,2)</f>
        <v>1.28</v>
      </c>
      <c r="AO1060" s="512">
        <f ca="1">ROUND(AM1060+AN1060,2)*A1060</f>
        <v>11.94</v>
      </c>
    </row>
    <row r="1061" spans="1:41" s="501" customFormat="1" ht="21.6" customHeight="1">
      <c r="A1061" s="745"/>
      <c r="B1061" s="746"/>
      <c r="C1061" s="505"/>
      <c r="D1061" s="724" t="s">
        <v>438</v>
      </c>
      <c r="F1061" s="498"/>
      <c r="G1061" s="498"/>
      <c r="H1061" s="498"/>
      <c r="I1061" s="716"/>
      <c r="J1061" s="498"/>
      <c r="K1061" s="498" t="s">
        <v>144</v>
      </c>
      <c r="L1061" s="747"/>
      <c r="M1061" s="498"/>
      <c r="N1061" s="498"/>
      <c r="O1061" s="498"/>
      <c r="P1061" s="498"/>
      <c r="Q1061" s="44"/>
      <c r="R1061" s="567"/>
      <c r="S1061" s="719"/>
      <c r="T1061" s="498"/>
    </row>
    <row r="1062" spans="1:41" s="501" customFormat="1" ht="12">
      <c r="A1062" s="748"/>
      <c r="B1062" s="749"/>
      <c r="C1062" s="497"/>
      <c r="D1062" s="750"/>
      <c r="E1062" s="751">
        <f ca="1">F1060/$C$12-SUMIF($L1059:$L1079,"SUBI",$E1059:$E1079)</f>
        <v>0</v>
      </c>
      <c r="F1062" s="752" t="s">
        <v>572</v>
      </c>
      <c r="G1062" s="753"/>
      <c r="H1062" s="753"/>
      <c r="I1062" s="754"/>
      <c r="J1062" s="753"/>
      <c r="K1062" s="753"/>
      <c r="L1062" s="755"/>
      <c r="M1062" s="756"/>
      <c r="N1062" s="756"/>
      <c r="O1062" s="756"/>
      <c r="P1062" s="756"/>
      <c r="Q1062" s="757"/>
      <c r="R1062" s="758"/>
      <c r="S1062" s="757"/>
      <c r="T1062" s="759"/>
    </row>
    <row r="1063" spans="1:41" s="501" customFormat="1" ht="12" customHeight="1">
      <c r="A1063" s="760"/>
      <c r="B1063" s="761"/>
      <c r="C1063" s="762"/>
      <c r="D1063" s="762" t="str">
        <f>$F$2</f>
        <v>Electrical</v>
      </c>
      <c r="E1063" s="762">
        <f ca="1">ROUND(($R1067*$S$2 + ($T1067*$T$2)), 2)</f>
        <v>61.84</v>
      </c>
      <c r="F1063" s="763">
        <f ca="1">$E1063*$C$12</f>
        <v>61.84</v>
      </c>
      <c r="G1063" s="567"/>
      <c r="H1063" s="764"/>
      <c r="I1063" s="567"/>
      <c r="J1063" s="45"/>
      <c r="K1063" s="765" t="s">
        <v>3</v>
      </c>
      <c r="L1063" s="766" t="s">
        <v>573</v>
      </c>
      <c r="M1063" s="567"/>
      <c r="N1063" s="567"/>
      <c r="O1063" s="45"/>
      <c r="P1063" s="567"/>
      <c r="Q1063" s="567"/>
      <c r="R1063"/>
      <c r="S1063"/>
      <c r="T1063"/>
    </row>
    <row r="1064" spans="1:41" s="935" customFormat="1" ht="13.2">
      <c r="A1064"/>
      <c r="B1064" s="927"/>
      <c r="C1064" s="927" t="s">
        <v>735</v>
      </c>
      <c r="D1064" s="927" t="str">
        <f ca="1">CELL("Address",Elec_Rates!D$64)</f>
        <v>[E25_0465_IH_Retro_Elec4Mech_Est_Rev_A.xlsx]Elec_Rates!$D$64</v>
      </c>
      <c r="E1064" s="928"/>
      <c r="F1064" s="928"/>
      <c r="G1064" s="929" t="s">
        <v>736</v>
      </c>
      <c r="H1064" s="929"/>
      <c r="I1064" s="929"/>
      <c r="J1064" s="929"/>
      <c r="K1064" s="930"/>
      <c r="L1064" s="928"/>
      <c r="M1064" s="928"/>
      <c r="N1064" s="928"/>
      <c r="O1064" s="931"/>
      <c r="P1064" s="928"/>
      <c r="Q1064" s="932"/>
      <c r="R1064" s="933"/>
      <c r="S1064" s="932"/>
      <c r="T1064" s="560"/>
      <c r="U1064" s="934"/>
    </row>
    <row r="1065" spans="1:41" s="935" customFormat="1" ht="11.4">
      <c r="A1065" s="936">
        <v>1</v>
      </c>
      <c r="B1065" s="937">
        <v>1</v>
      </c>
      <c r="C1065" s="937">
        <f>$A1065*$B1065</f>
        <v>1</v>
      </c>
      <c r="D1065" s="938" t="str">
        <f>Elec_Rates!$D$64</f>
        <v>006# Connecting up of 11.0/18.0 kW 400Volt motor (VFD)</v>
      </c>
      <c r="E1065" s="938"/>
      <c r="F1065" s="938" t="s">
        <v>737</v>
      </c>
      <c r="G1065" s="939" t="s">
        <v>738</v>
      </c>
      <c r="H1065" s="939"/>
      <c r="I1065" s="939"/>
      <c r="J1065" s="939"/>
      <c r="K1065" s="940"/>
      <c r="L1065" s="934"/>
      <c r="M1065" s="934"/>
      <c r="N1065" s="934"/>
      <c r="O1065" s="941"/>
      <c r="P1065" s="938"/>
      <c r="Q1065" s="942">
        <f ca="1">$B1065*Elec_Rates!$R$64</f>
        <v>10.66</v>
      </c>
      <c r="R1065" s="933">
        <f ca="1">$A1065*Q1065</f>
        <v>10.66</v>
      </c>
      <c r="S1065" s="942">
        <f ca="1">$B1065*Elec_Rates!$T$64</f>
        <v>1.28</v>
      </c>
      <c r="T1065" s="560">
        <f ca="1">$A1065*S1065</f>
        <v>1.28</v>
      </c>
      <c r="U1065" s="484"/>
    </row>
    <row r="1066" spans="1:41" s="501" customFormat="1" ht="14.4" customHeight="1">
      <c r="A1066" s="767"/>
      <c r="B1066" s="567"/>
      <c r="C1066" s="567"/>
      <c r="D1066" s="567"/>
      <c r="E1066" s="567"/>
      <c r="F1066" s="567"/>
      <c r="G1066" s="567"/>
      <c r="H1066" s="764"/>
      <c r="I1066" s="567"/>
      <c r="J1066" s="45"/>
      <c r="K1066" s="769"/>
      <c r="L1066" s="770"/>
      <c r="M1066" s="567"/>
      <c r="N1066" s="567"/>
      <c r="O1066" s="45"/>
      <c r="P1066" s="567"/>
      <c r="Q1066" s="567"/>
      <c r="R1066" s="771">
        <f>$A1066*Q1066</f>
        <v>0</v>
      </c>
      <c r="S1066" s="567"/>
      <c r="T1066" s="500">
        <f>$A1066*S1066*$T$1</f>
        <v>0</v>
      </c>
    </row>
    <row r="1067" spans="1:41" s="501" customFormat="1" ht="12">
      <c r="A1067" s="772" t="s">
        <v>145</v>
      </c>
      <c r="B1067" s="773">
        <f>(R1066+T1066)</f>
        <v>0</v>
      </c>
      <c r="C1067" s="753"/>
      <c r="G1067" s="774"/>
      <c r="H1067" s="774"/>
      <c r="I1067" s="774"/>
      <c r="J1067" s="774"/>
      <c r="K1067" s="750" t="s">
        <v>3</v>
      </c>
      <c r="L1067" s="775" t="s">
        <v>573</v>
      </c>
      <c r="M1067" s="774"/>
      <c r="N1067" s="774"/>
      <c r="O1067" s="774"/>
      <c r="P1067" s="774"/>
      <c r="Q1067" s="776"/>
      <c r="R1067" s="777">
        <f ca="1">SUM(R1063:R1066)</f>
        <v>10.66</v>
      </c>
      <c r="S1067" s="778"/>
      <c r="T1067" s="777">
        <f ca="1">SUM(T1063:T1066)</f>
        <v>1.28</v>
      </c>
      <c r="AG1067" s="779">
        <f ca="1">ROUND($R1067*$S$2,2)</f>
        <v>14.39</v>
      </c>
    </row>
    <row r="1068" spans="1:41" s="501" customFormat="1" ht="12" customHeight="1">
      <c r="A1068" s="760"/>
      <c r="B1068" s="780"/>
      <c r="C1068" s="781"/>
      <c r="D1068" s="782" t="str">
        <f>$F$3</f>
        <v>Technician</v>
      </c>
      <c r="E1068" s="782">
        <f>ROUND(($R1072*$S$3 + ($T1072*$T$3)), 2)</f>
        <v>0</v>
      </c>
      <c r="F1068" s="783">
        <f>$E1068*$C$12</f>
        <v>0</v>
      </c>
      <c r="G1068" s="499"/>
      <c r="H1068" s="499"/>
      <c r="I1068" s="499"/>
      <c r="J1068" s="499"/>
      <c r="K1068" s="765" t="s">
        <v>5</v>
      </c>
      <c r="L1068" s="766" t="s">
        <v>573</v>
      </c>
      <c r="M1068" s="499"/>
      <c r="N1068" s="499"/>
      <c r="O1068" s="499"/>
      <c r="P1068" s="499"/>
      <c r="Q1068" s="499"/>
      <c r="R1068" s="784"/>
      <c r="S1068" s="499"/>
      <c r="T1068" s="784"/>
    </row>
    <row r="1069" spans="1:41" s="797" customFormat="1" ht="15.6" customHeight="1">
      <c r="A1069" s="785"/>
      <c r="B1069" s="768" t="s">
        <v>575</v>
      </c>
      <c r="C1069" s="786"/>
      <c r="D1069" s="787"/>
      <c r="E1069" s="787"/>
      <c r="F1069" s="787"/>
      <c r="G1069" s="788"/>
      <c r="H1069" s="789"/>
      <c r="I1069" s="789"/>
      <c r="J1069" s="790"/>
      <c r="K1069" s="791"/>
      <c r="L1069" s="786"/>
      <c r="M1069" s="792"/>
      <c r="N1069" s="793"/>
      <c r="O1069" s="794"/>
      <c r="P1069" s="795"/>
      <c r="Q1069" s="796"/>
      <c r="R1069" s="771">
        <f>$A1069*Q1069</f>
        <v>0</v>
      </c>
      <c r="S1069" s="567"/>
      <c r="T1069" s="500">
        <f>$A1069*S1069*$T$1</f>
        <v>0</v>
      </c>
    </row>
    <row r="1070" spans="1:41" s="501" customFormat="1" ht="15.6" customHeight="1">
      <c r="A1070" s="767"/>
      <c r="B1070" s="567"/>
      <c r="C1070" s="567"/>
      <c r="D1070" s="567"/>
      <c r="E1070" s="567"/>
      <c r="F1070" s="567"/>
      <c r="G1070" s="567"/>
      <c r="H1070" s="567"/>
      <c r="I1070" s="567"/>
      <c r="J1070" s="567"/>
      <c r="K1070" s="567"/>
      <c r="L1070" s="770"/>
      <c r="M1070" s="567"/>
      <c r="N1070" s="567"/>
      <c r="O1070" s="567"/>
      <c r="P1070" s="567"/>
      <c r="Q1070" s="567"/>
      <c r="R1070" s="771">
        <f>$A1070*Q1070</f>
        <v>0</v>
      </c>
      <c r="S1070" s="567"/>
      <c r="T1070" s="500">
        <f>$A1070*S1070*$T$1</f>
        <v>0</v>
      </c>
    </row>
    <row r="1071" spans="1:41" s="501" customFormat="1" ht="15.6" customHeight="1">
      <c r="A1071" s="767"/>
      <c r="B1071" s="567"/>
      <c r="C1071" s="567"/>
      <c r="D1071" s="3"/>
      <c r="E1071" s="567"/>
      <c r="F1071" s="567"/>
      <c r="G1071" s="567"/>
      <c r="H1071" s="567"/>
      <c r="I1071" s="567"/>
      <c r="J1071" s="567"/>
      <c r="K1071" s="567"/>
      <c r="L1071" s="770"/>
      <c r="M1071" s="567"/>
      <c r="N1071" s="567"/>
      <c r="O1071" s="567"/>
      <c r="P1071" s="567"/>
      <c r="Q1071" s="567"/>
      <c r="R1071" s="771">
        <f>$A1071*Q1071</f>
        <v>0</v>
      </c>
      <c r="S1071" s="567"/>
      <c r="T1071" s="500">
        <f>$A1071*S1071*$T$1</f>
        <v>0</v>
      </c>
    </row>
    <row r="1072" spans="1:41" s="501" customFormat="1" ht="12">
      <c r="A1072" s="772" t="s">
        <v>145</v>
      </c>
      <c r="B1072" s="773">
        <f>(R1071+T1071)</f>
        <v>0</v>
      </c>
      <c r="C1072" s="753"/>
      <c r="G1072" s="774"/>
      <c r="H1072" s="774"/>
      <c r="I1072" s="774"/>
      <c r="J1072" s="774"/>
      <c r="K1072" s="798" t="s">
        <v>5</v>
      </c>
      <c r="L1072" s="775" t="s">
        <v>573</v>
      </c>
      <c r="M1072" s="774"/>
      <c r="N1072" s="774"/>
      <c r="O1072" s="774"/>
      <c r="P1072" s="774"/>
      <c r="Q1072" s="776"/>
      <c r="R1072" s="777">
        <f>SUM(R1068:R1071)</f>
        <v>0</v>
      </c>
      <c r="S1072" s="778"/>
      <c r="T1072" s="777">
        <f>SUM(T1068:T1071)</f>
        <v>0</v>
      </c>
      <c r="AG1072" s="799">
        <f>ROUND($R1072*$S$3,2)</f>
        <v>0</v>
      </c>
    </row>
    <row r="1073" spans="1:41" s="501" customFormat="1" ht="12" customHeight="1">
      <c r="A1073" s="800"/>
      <c r="B1073" s="801"/>
      <c r="C1073" s="802"/>
      <c r="D1073" s="803" t="str">
        <f>$F$4</f>
        <v>Engineer (Man Hours)</v>
      </c>
      <c r="E1073" s="803">
        <f>ROUND(($R1077*$S$4 + ($T1077*$T$4)), 2)</f>
        <v>0</v>
      </c>
      <c r="F1073" s="804">
        <f ca="1">$F1060-SUMIF($L1062:$P1070,"SUBI",$F1062:$F1070)</f>
        <v>0</v>
      </c>
      <c r="G1073" s="499"/>
      <c r="H1073" s="499"/>
      <c r="I1073" s="499"/>
      <c r="J1073" s="499"/>
      <c r="K1073" s="805" t="s">
        <v>8</v>
      </c>
      <c r="L1073" s="766" t="s">
        <v>573</v>
      </c>
      <c r="M1073" s="499"/>
      <c r="N1073" s="499"/>
      <c r="O1073" s="499"/>
      <c r="P1073" s="499"/>
      <c r="Q1073" s="499"/>
      <c r="R1073" s="784"/>
      <c r="S1073" s="499"/>
      <c r="T1073" s="784"/>
    </row>
    <row r="1074" spans="1:41" s="797" customFormat="1" ht="14.4" customHeight="1">
      <c r="A1074" s="785"/>
      <c r="B1074" s="768" t="s">
        <v>576</v>
      </c>
      <c r="C1074" s="786"/>
      <c r="D1074" s="787"/>
      <c r="E1074" s="787"/>
      <c r="F1074" s="787"/>
      <c r="G1074" s="788"/>
      <c r="H1074" s="789"/>
      <c r="I1074" s="789"/>
      <c r="J1074" s="790"/>
      <c r="K1074" s="791"/>
      <c r="L1074" s="786"/>
      <c r="M1074" s="792"/>
      <c r="N1074" s="793"/>
      <c r="O1074" s="806"/>
      <c r="P1074" s="795"/>
      <c r="Q1074" s="796"/>
      <c r="R1074" s="720">
        <f>$A1074*Q1074</f>
        <v>0</v>
      </c>
      <c r="S1074" s="796"/>
      <c r="T1074" s="500">
        <f>$A1074*S1074*$T$1</f>
        <v>0</v>
      </c>
    </row>
    <row r="1075" spans="1:41" s="501" customFormat="1" ht="12">
      <c r="A1075" s="44"/>
      <c r="B1075" s="497"/>
      <c r="C1075" s="497"/>
      <c r="D1075" s="807"/>
      <c r="E1075" s="808"/>
      <c r="F1075" s="499"/>
      <c r="G1075" s="499"/>
      <c r="H1075" s="499"/>
      <c r="I1075" s="499"/>
      <c r="J1075" s="499"/>
      <c r="K1075" s="499"/>
      <c r="L1075" s="809"/>
      <c r="M1075" s="499"/>
      <c r="N1075" s="499"/>
      <c r="O1075" s="499"/>
      <c r="P1075" s="499"/>
      <c r="Q1075" s="499"/>
      <c r="R1075" s="720">
        <f>$A1075*Q1075</f>
        <v>0</v>
      </c>
      <c r="S1075" s="499"/>
      <c r="T1075" s="500">
        <f>$A1075*S1075*$T$1</f>
        <v>0</v>
      </c>
    </row>
    <row r="1076" spans="1:41" s="501" customFormat="1" ht="12">
      <c r="A1076" s="44"/>
      <c r="B1076" s="497"/>
      <c r="C1076" s="497"/>
      <c r="D1076" s="807"/>
      <c r="E1076" s="808"/>
      <c r="F1076" s="499"/>
      <c r="G1076" s="499"/>
      <c r="H1076" s="499"/>
      <c r="I1076" s="499"/>
      <c r="J1076" s="499"/>
      <c r="K1076" s="499"/>
      <c r="L1076" s="809"/>
      <c r="M1076" s="499"/>
      <c r="N1076" s="499"/>
      <c r="O1076" s="499"/>
      <c r="P1076" s="499"/>
      <c r="Q1076" s="499"/>
      <c r="R1076" s="720">
        <f>$A1076*Q1076</f>
        <v>0</v>
      </c>
      <c r="S1076" s="499"/>
      <c r="T1076" s="500">
        <f>$A1076*S1076*$T$1</f>
        <v>0</v>
      </c>
    </row>
    <row r="1077" spans="1:41" s="501" customFormat="1" ht="12.75" customHeight="1">
      <c r="A1077" s="772" t="s">
        <v>145</v>
      </c>
      <c r="B1077" s="773">
        <f>(R1076+T1076)</f>
        <v>0</v>
      </c>
      <c r="C1077" s="810"/>
      <c r="D1077" s="810"/>
      <c r="E1077" s="810"/>
      <c r="F1077" s="810"/>
      <c r="G1077" s="776"/>
      <c r="H1077" s="776"/>
      <c r="I1077" s="776"/>
      <c r="J1077" s="776"/>
      <c r="K1077" s="798" t="s">
        <v>8</v>
      </c>
      <c r="L1077" s="811" t="s">
        <v>573</v>
      </c>
      <c r="M1077" s="776"/>
      <c r="N1077" s="776"/>
      <c r="O1077" s="776"/>
      <c r="P1077" s="776"/>
      <c r="Q1077" s="776"/>
      <c r="R1077" s="777">
        <f>SUM(R1073:R1076)</f>
        <v>0</v>
      </c>
      <c r="S1077" s="778"/>
      <c r="T1077" s="777">
        <f>SUM(T1073:T1076)</f>
        <v>0</v>
      </c>
      <c r="AG1077" s="812">
        <f>ROUND($R1077*$S$4,2)</f>
        <v>0</v>
      </c>
    </row>
    <row r="1078" spans="1:41" s="501" customFormat="1" ht="12.75" customHeight="1">
      <c r="A1078" s="813"/>
      <c r="B1078" s="814"/>
      <c r="E1078" s="497"/>
      <c r="F1078" s="808"/>
      <c r="G1078" s="497"/>
      <c r="H1078" s="497"/>
      <c r="I1078" s="499"/>
      <c r="J1078" s="497"/>
      <c r="K1078" s="497"/>
      <c r="L1078" s="815"/>
      <c r="M1078" s="725"/>
      <c r="N1078" s="725"/>
      <c r="O1078" s="725"/>
      <c r="P1078" s="725"/>
      <c r="Q1078" s="726"/>
      <c r="R1078" s="784"/>
      <c r="S1078" s="497"/>
      <c r="T1078" s="784"/>
    </row>
    <row r="1079" spans="1:41" s="501" customFormat="1" ht="13.5" customHeight="1" thickBot="1">
      <c r="A1079" s="816"/>
      <c r="B1079" s="817"/>
      <c r="C1079" s="518"/>
      <c r="D1079" s="518"/>
      <c r="E1079" s="515"/>
      <c r="F1079" s="721"/>
      <c r="G1079" s="515" t="s">
        <v>146</v>
      </c>
      <c r="H1079" s="515"/>
      <c r="I1079" s="516"/>
      <c r="J1079" s="515"/>
      <c r="K1079" s="515"/>
      <c r="L1079" s="818" t="s">
        <v>143</v>
      </c>
      <c r="M1079" s="517"/>
      <c r="N1079" s="517"/>
      <c r="O1079" s="517"/>
      <c r="P1079" s="517"/>
      <c r="Q1079" s="722"/>
      <c r="R1079" s="819">
        <f ca="1">SUMIF($L1061:$L1078,"SUBI",R1061:R1078)</f>
        <v>10.66</v>
      </c>
      <c r="S1079" s="820"/>
      <c r="T1079" s="819">
        <f ca="1">SUMIF($L1061:$L1078,"SUBI",T1061:T1078)</f>
        <v>1.28</v>
      </c>
      <c r="U1079" s="518"/>
      <c r="V1079" s="518"/>
      <c r="W1079" s="518"/>
      <c r="X1079" s="518"/>
      <c r="Y1079" s="518"/>
      <c r="Z1079" s="518"/>
      <c r="AA1079" s="518"/>
      <c r="AB1079" s="518"/>
      <c r="AC1079" s="518"/>
      <c r="AD1079" s="518"/>
      <c r="AE1079" s="518"/>
      <c r="AF1079" s="518"/>
      <c r="AG1079" s="518"/>
      <c r="AH1079" s="518"/>
      <c r="AI1079" s="518"/>
      <c r="AJ1079" s="518"/>
      <c r="AK1079" s="518"/>
      <c r="AL1079" s="518"/>
      <c r="AM1079" s="518"/>
      <c r="AN1079" s="518"/>
      <c r="AO1079" s="518"/>
    </row>
    <row r="1080" spans="1:41" s="501" customFormat="1" thickTop="1">
      <c r="A1080" s="44"/>
      <c r="B1080" s="39"/>
      <c r="C1080" s="44"/>
      <c r="E1080" s="40" t="s">
        <v>138</v>
      </c>
      <c r="F1080" s="40" t="s">
        <v>139</v>
      </c>
      <c r="G1080" s="44"/>
      <c r="H1080" s="44"/>
      <c r="I1080" s="44"/>
      <c r="J1080" s="44"/>
      <c r="K1080" s="44" t="s">
        <v>140</v>
      </c>
      <c r="L1080" s="737"/>
      <c r="M1080" s="44"/>
      <c r="N1080" s="44"/>
      <c r="O1080" s="45"/>
      <c r="P1080" s="44"/>
      <c r="Q1080"/>
      <c r="R1080"/>
      <c r="S1080"/>
      <c r="T1080" s="39"/>
      <c r="AG1080" s="502" t="s">
        <v>247</v>
      </c>
      <c r="AH1080" s="502" t="s">
        <v>248</v>
      </c>
      <c r="AI1080" s="502" t="s">
        <v>249</v>
      </c>
      <c r="AJ1080" s="502" t="s">
        <v>250</v>
      </c>
      <c r="AK1080" s="502" t="s">
        <v>251</v>
      </c>
      <c r="AM1080" s="710" t="s">
        <v>260</v>
      </c>
      <c r="AN1080" s="711" t="s">
        <v>261</v>
      </c>
      <c r="AO1080" s="503" t="s">
        <v>257</v>
      </c>
    </row>
    <row r="1081" spans="1:41" s="501" customFormat="1" ht="13.2">
      <c r="A1081" s="712">
        <v>1</v>
      </c>
      <c r="B1081" s="504" t="s">
        <v>283</v>
      </c>
      <c r="C1081" s="505"/>
      <c r="D1081" s="713" t="s">
        <v>593</v>
      </c>
      <c r="E1081" s="738">
        <f ca="1">IF(AND($A1081=0,$A$1="DIF"),0,ROUND(ROUND(SUMIF($L1083:$L1094,"SUBI",$E1083:$E1094)/$A1081,2)*$C$12,2))</f>
        <v>43.84</v>
      </c>
      <c r="F1081" s="739">
        <f ca="1">ROUND($A1081*$E1081,2)</f>
        <v>43.84</v>
      </c>
      <c r="G1081" s="506" t="s">
        <v>142</v>
      </c>
      <c r="H1081" s="498"/>
      <c r="I1081" s="716"/>
      <c r="J1081" s="498"/>
      <c r="K1081" s="740"/>
      <c r="L1081" s="741" t="s">
        <v>143</v>
      </c>
      <c r="M1081" s="717"/>
      <c r="N1081" s="717"/>
      <c r="O1081" s="717"/>
      <c r="P1081" s="717"/>
      <c r="Q1081" s="943" t="s">
        <v>855</v>
      </c>
      <c r="R1081" s="943" t="s">
        <v>870</v>
      </c>
      <c r="S1081"/>
      <c r="T1081" s="742" t="str">
        <f ca="1">IF(AND($R1100=0,$T1100=0),"0.00","mu :" &amp; ROUND($F1081/$C$12/($R1100+$T1100*$D$9),2))</f>
        <v>mu :1.35</v>
      </c>
      <c r="W1081" s="507"/>
      <c r="AG1081" s="743">
        <f ca="1">IF(A1081=0,0,ROUND(SUM(AG1083:AG1100)/A1081,2))</f>
        <v>7.51</v>
      </c>
      <c r="AH1081" s="743">
        <f ca="1">$AG1081*$A1081</f>
        <v>7.51</v>
      </c>
      <c r="AI1081" s="743">
        <f ca="1">$E1081-$AG1081</f>
        <v>36.330000000000005</v>
      </c>
      <c r="AJ1081" s="743">
        <f ca="1">$A1081*$AI1081</f>
        <v>36.330000000000005</v>
      </c>
      <c r="AK1081" s="744">
        <f ca="1">ROUND(($AG1081+$AI1081)*$A1081,2)</f>
        <v>43.84</v>
      </c>
      <c r="AM1081" s="510">
        <f ca="1">ROUND(R1100,2)</f>
        <v>5.56</v>
      </c>
      <c r="AN1081" s="511">
        <f ca="1">ROUND(T1100,2)</f>
        <v>0.98</v>
      </c>
      <c r="AO1081" s="512">
        <f ca="1">ROUND(AM1081+AN1081,2)*A1081</f>
        <v>6.54</v>
      </c>
    </row>
    <row r="1082" spans="1:41" s="501" customFormat="1" ht="21.6" customHeight="1">
      <c r="A1082" s="745"/>
      <c r="B1082" s="746"/>
      <c r="C1082" s="505"/>
      <c r="D1082" s="724" t="s">
        <v>439</v>
      </c>
      <c r="F1082" s="498"/>
      <c r="G1082" s="498"/>
      <c r="H1082" s="498"/>
      <c r="I1082" s="716"/>
      <c r="J1082" s="498"/>
      <c r="K1082" s="498" t="s">
        <v>144</v>
      </c>
      <c r="L1082" s="747"/>
      <c r="M1082" s="498"/>
      <c r="N1082" s="498"/>
      <c r="O1082" s="498"/>
      <c r="P1082" s="498"/>
      <c r="Q1082" s="44"/>
      <c r="R1082" s="567"/>
      <c r="S1082" s="719"/>
      <c r="T1082" s="498"/>
    </row>
    <row r="1083" spans="1:41" s="501" customFormat="1" ht="12">
      <c r="A1083" s="748"/>
      <c r="B1083" s="749"/>
      <c r="C1083" s="497"/>
      <c r="D1083" s="750"/>
      <c r="E1083" s="751">
        <f ca="1">F1081/$C$12-SUMIF($L1080:$L1100,"SUBI",$E1080:$E1100)</f>
        <v>0</v>
      </c>
      <c r="F1083" s="752" t="s">
        <v>572</v>
      </c>
      <c r="G1083" s="753"/>
      <c r="H1083" s="753"/>
      <c r="I1083" s="754"/>
      <c r="J1083" s="753"/>
      <c r="K1083" s="753"/>
      <c r="L1083" s="755"/>
      <c r="M1083" s="756"/>
      <c r="N1083" s="756"/>
      <c r="O1083" s="756"/>
      <c r="P1083" s="756"/>
      <c r="Q1083" s="757"/>
      <c r="R1083" s="758"/>
      <c r="S1083" s="757"/>
      <c r="T1083" s="759"/>
    </row>
    <row r="1084" spans="1:41" s="501" customFormat="1" ht="12" customHeight="1">
      <c r="A1084" s="760"/>
      <c r="B1084" s="761"/>
      <c r="C1084" s="762"/>
      <c r="D1084" s="762" t="str">
        <f>$F$2</f>
        <v>Electrical</v>
      </c>
      <c r="E1084" s="762">
        <f ca="1">ROUND(($R1088*$S$2 + ($T1088*$T$2)), 2)</f>
        <v>43.84</v>
      </c>
      <c r="F1084" s="763">
        <f ca="1">$E1084*$C$12</f>
        <v>43.84</v>
      </c>
      <c r="G1084" s="567"/>
      <c r="H1084" s="764"/>
      <c r="I1084" s="567"/>
      <c r="J1084" s="45"/>
      <c r="K1084" s="765" t="s">
        <v>3</v>
      </c>
      <c r="L1084" s="766" t="s">
        <v>573</v>
      </c>
      <c r="M1084" s="567"/>
      <c r="N1084" s="567"/>
      <c r="O1084" s="45"/>
      <c r="P1084" s="567"/>
      <c r="Q1084" s="567"/>
      <c r="R1084"/>
      <c r="S1084"/>
      <c r="T1084"/>
    </row>
    <row r="1085" spans="1:41" s="935" customFormat="1" ht="13.2">
      <c r="A1085"/>
      <c r="B1085" s="927"/>
      <c r="C1085" s="927" t="s">
        <v>735</v>
      </c>
      <c r="D1085" s="927" t="str">
        <f ca="1">CELL("Address",Elec_Rates!D$46)</f>
        <v>[E25_0465_IH_Retro_Elec4Mech_Est_Rev_A.xlsx]Elec_Rates!$D$46</v>
      </c>
      <c r="E1085" s="928"/>
      <c r="F1085" s="928"/>
      <c r="G1085" s="929" t="s">
        <v>736</v>
      </c>
      <c r="H1085" s="929"/>
      <c r="I1085" s="929"/>
      <c r="J1085" s="929"/>
      <c r="K1085" s="930"/>
      <c r="L1085" s="928"/>
      <c r="M1085" s="928"/>
      <c r="N1085" s="928"/>
      <c r="O1085" s="931"/>
      <c r="P1085" s="928"/>
      <c r="Q1085" s="932"/>
      <c r="R1085" s="933"/>
      <c r="S1085" s="932"/>
      <c r="T1085" s="560"/>
      <c r="U1085" s="934"/>
    </row>
    <row r="1086" spans="1:41" s="935" customFormat="1" ht="11.4">
      <c r="A1086" s="936">
        <v>1</v>
      </c>
      <c r="B1086" s="937">
        <v>1</v>
      </c>
      <c r="C1086" s="937">
        <f>$A1086*$B1086</f>
        <v>1</v>
      </c>
      <c r="D1086" s="938" t="str">
        <f>Elec_Rates!$D$46</f>
        <v>004# Connecting up of 3.0/4.0 kW 400Volt motor (VFD)</v>
      </c>
      <c r="E1086" s="938"/>
      <c r="F1086" s="938" t="s">
        <v>737</v>
      </c>
      <c r="G1086" s="939" t="s">
        <v>739</v>
      </c>
      <c r="H1086" s="939"/>
      <c r="I1086" s="939"/>
      <c r="J1086" s="939"/>
      <c r="K1086" s="940"/>
      <c r="L1086" s="934"/>
      <c r="M1086" s="934"/>
      <c r="N1086" s="934"/>
      <c r="O1086" s="941"/>
      <c r="P1086" s="938"/>
      <c r="Q1086" s="942">
        <f ca="1">$B1086*Elec_Rates!$R$46</f>
        <v>5.56</v>
      </c>
      <c r="R1086" s="933">
        <f ca="1">$A1086*Q1086</f>
        <v>5.56</v>
      </c>
      <c r="S1086" s="942">
        <f ca="1">$B1086*Elec_Rates!$T$46</f>
        <v>0.98</v>
      </c>
      <c r="T1086" s="560">
        <f ca="1">$A1086*S1086</f>
        <v>0.98</v>
      </c>
      <c r="U1086" s="484"/>
    </row>
    <row r="1087" spans="1:41" s="501" customFormat="1" ht="14.4" customHeight="1">
      <c r="A1087" s="767"/>
      <c r="B1087" s="567"/>
      <c r="C1087" s="567"/>
      <c r="D1087" s="567"/>
      <c r="E1087" s="567"/>
      <c r="F1087" s="567"/>
      <c r="G1087" s="567"/>
      <c r="H1087" s="764"/>
      <c r="I1087" s="567"/>
      <c r="J1087" s="45"/>
      <c r="K1087" s="769"/>
      <c r="L1087" s="770"/>
      <c r="M1087" s="567"/>
      <c r="N1087" s="567"/>
      <c r="O1087" s="45"/>
      <c r="P1087" s="567"/>
      <c r="Q1087" s="567"/>
      <c r="R1087" s="771">
        <f>$A1087*Q1087</f>
        <v>0</v>
      </c>
      <c r="S1087" s="567"/>
      <c r="T1087" s="500">
        <f>$A1087*S1087*$T$1</f>
        <v>0</v>
      </c>
    </row>
    <row r="1088" spans="1:41" s="501" customFormat="1" ht="12">
      <c r="A1088" s="772" t="s">
        <v>145</v>
      </c>
      <c r="B1088" s="773">
        <f>(R1087+T1087)</f>
        <v>0</v>
      </c>
      <c r="C1088" s="753"/>
      <c r="G1088" s="774"/>
      <c r="H1088" s="774"/>
      <c r="I1088" s="774"/>
      <c r="J1088" s="774"/>
      <c r="K1088" s="750" t="s">
        <v>3</v>
      </c>
      <c r="L1088" s="775" t="s">
        <v>573</v>
      </c>
      <c r="M1088" s="774"/>
      <c r="N1088" s="774"/>
      <c r="O1088" s="774"/>
      <c r="P1088" s="774"/>
      <c r="Q1088" s="776"/>
      <c r="R1088" s="777">
        <f ca="1">SUM(R1084:R1087)</f>
        <v>5.56</v>
      </c>
      <c r="S1088" s="778"/>
      <c r="T1088" s="777">
        <f ca="1">SUM(T1084:T1087)</f>
        <v>0.98</v>
      </c>
      <c r="AG1088" s="779">
        <f ca="1">ROUND($R1088*$S$2,2)</f>
        <v>7.51</v>
      </c>
    </row>
    <row r="1089" spans="1:41" s="501" customFormat="1" ht="12" customHeight="1">
      <c r="A1089" s="760"/>
      <c r="B1089" s="780"/>
      <c r="C1089" s="781"/>
      <c r="D1089" s="782" t="str">
        <f>$F$3</f>
        <v>Technician</v>
      </c>
      <c r="E1089" s="782">
        <f>ROUND(($R1093*$S$3 + ($T1093*$T$3)), 2)</f>
        <v>0</v>
      </c>
      <c r="F1089" s="783">
        <f>$E1089*$C$12</f>
        <v>0</v>
      </c>
      <c r="G1089" s="499"/>
      <c r="H1089" s="499"/>
      <c r="I1089" s="499"/>
      <c r="J1089" s="499"/>
      <c r="K1089" s="765" t="s">
        <v>5</v>
      </c>
      <c r="L1089" s="766" t="s">
        <v>573</v>
      </c>
      <c r="M1089" s="499"/>
      <c r="N1089" s="499"/>
      <c r="O1089" s="499"/>
      <c r="P1089" s="499"/>
      <c r="Q1089" s="499"/>
      <c r="R1089" s="784"/>
      <c r="S1089" s="499"/>
      <c r="T1089" s="784"/>
    </row>
    <row r="1090" spans="1:41" s="797" customFormat="1" ht="15.6" customHeight="1">
      <c r="A1090" s="785"/>
      <c r="B1090" s="768" t="s">
        <v>575</v>
      </c>
      <c r="C1090" s="786"/>
      <c r="D1090" s="787"/>
      <c r="E1090" s="787"/>
      <c r="F1090" s="787"/>
      <c r="G1090" s="788"/>
      <c r="H1090" s="789"/>
      <c r="I1090" s="789"/>
      <c r="J1090" s="790"/>
      <c r="K1090" s="791"/>
      <c r="L1090" s="786"/>
      <c r="M1090" s="792"/>
      <c r="N1090" s="793"/>
      <c r="O1090" s="794"/>
      <c r="P1090" s="795"/>
      <c r="Q1090" s="796"/>
      <c r="R1090" s="771">
        <f>$A1090*Q1090</f>
        <v>0</v>
      </c>
      <c r="S1090" s="567"/>
      <c r="T1090" s="500">
        <f>$A1090*S1090*$T$1</f>
        <v>0</v>
      </c>
    </row>
    <row r="1091" spans="1:41" s="501" customFormat="1" ht="15.6" customHeight="1">
      <c r="A1091" s="767"/>
      <c r="B1091" s="567"/>
      <c r="C1091" s="567"/>
      <c r="D1091" s="567"/>
      <c r="E1091" s="567"/>
      <c r="F1091" s="567"/>
      <c r="G1091" s="567"/>
      <c r="H1091" s="567"/>
      <c r="I1091" s="567"/>
      <c r="J1091" s="567"/>
      <c r="K1091" s="567"/>
      <c r="L1091" s="770"/>
      <c r="M1091" s="567"/>
      <c r="N1091" s="567"/>
      <c r="O1091" s="567"/>
      <c r="P1091" s="567"/>
      <c r="Q1091" s="567"/>
      <c r="R1091" s="771">
        <f>$A1091*Q1091</f>
        <v>0</v>
      </c>
      <c r="S1091" s="567"/>
      <c r="T1091" s="500">
        <f>$A1091*S1091*$T$1</f>
        <v>0</v>
      </c>
    </row>
    <row r="1092" spans="1:41" s="501" customFormat="1" ht="15.6" customHeight="1">
      <c r="A1092" s="767"/>
      <c r="B1092" s="567"/>
      <c r="C1092" s="567"/>
      <c r="D1092" s="3"/>
      <c r="E1092" s="567"/>
      <c r="F1092" s="567"/>
      <c r="G1092" s="567"/>
      <c r="H1092" s="567"/>
      <c r="I1092" s="567"/>
      <c r="J1092" s="567"/>
      <c r="K1092" s="567"/>
      <c r="L1092" s="770"/>
      <c r="M1092" s="567"/>
      <c r="N1092" s="567"/>
      <c r="O1092" s="567"/>
      <c r="P1092" s="567"/>
      <c r="Q1092" s="567"/>
      <c r="R1092" s="771">
        <f>$A1092*Q1092</f>
        <v>0</v>
      </c>
      <c r="S1092" s="567"/>
      <c r="T1092" s="500">
        <f>$A1092*S1092*$T$1</f>
        <v>0</v>
      </c>
    </row>
    <row r="1093" spans="1:41" s="501" customFormat="1" ht="12">
      <c r="A1093" s="772" t="s">
        <v>145</v>
      </c>
      <c r="B1093" s="773">
        <f>(R1092+T1092)</f>
        <v>0</v>
      </c>
      <c r="C1093" s="753"/>
      <c r="G1093" s="774"/>
      <c r="H1093" s="774"/>
      <c r="I1093" s="774"/>
      <c r="J1093" s="774"/>
      <c r="K1093" s="798" t="s">
        <v>5</v>
      </c>
      <c r="L1093" s="775" t="s">
        <v>573</v>
      </c>
      <c r="M1093" s="774"/>
      <c r="N1093" s="774"/>
      <c r="O1093" s="774"/>
      <c r="P1093" s="774"/>
      <c r="Q1093" s="776"/>
      <c r="R1093" s="777">
        <f>SUM(R1089:R1092)</f>
        <v>0</v>
      </c>
      <c r="S1093" s="778"/>
      <c r="T1093" s="777">
        <f>SUM(T1089:T1092)</f>
        <v>0</v>
      </c>
      <c r="AG1093" s="799">
        <f>ROUND($R1093*$S$3,2)</f>
        <v>0</v>
      </c>
    </row>
    <row r="1094" spans="1:41" s="501" customFormat="1" ht="12" customHeight="1">
      <c r="A1094" s="800"/>
      <c r="B1094" s="801"/>
      <c r="C1094" s="802"/>
      <c r="D1094" s="803" t="str">
        <f>$F$4</f>
        <v>Engineer (Man Hours)</v>
      </c>
      <c r="E1094" s="803">
        <f>ROUND(($R1098*$S$4 + ($T1098*$T$4)), 2)</f>
        <v>0</v>
      </c>
      <c r="F1094" s="804">
        <f ca="1">$F1081-SUMIF($L1083:$P1091,"SUBI",$F1083:$F1091)</f>
        <v>0</v>
      </c>
      <c r="G1094" s="499"/>
      <c r="H1094" s="499"/>
      <c r="I1094" s="499"/>
      <c r="J1094" s="499"/>
      <c r="K1094" s="805" t="s">
        <v>8</v>
      </c>
      <c r="L1094" s="766" t="s">
        <v>573</v>
      </c>
      <c r="M1094" s="499"/>
      <c r="N1094" s="499"/>
      <c r="O1094" s="499"/>
      <c r="P1094" s="499"/>
      <c r="Q1094" s="499"/>
      <c r="R1094" s="784"/>
      <c r="S1094" s="499"/>
      <c r="T1094" s="784"/>
    </row>
    <row r="1095" spans="1:41" s="797" customFormat="1" ht="14.4" customHeight="1">
      <c r="A1095" s="785"/>
      <c r="B1095" s="768" t="s">
        <v>576</v>
      </c>
      <c r="C1095" s="786"/>
      <c r="D1095" s="787"/>
      <c r="E1095" s="787"/>
      <c r="F1095" s="787"/>
      <c r="G1095" s="788"/>
      <c r="H1095" s="789"/>
      <c r="I1095" s="789"/>
      <c r="J1095" s="790"/>
      <c r="K1095" s="791"/>
      <c r="L1095" s="786"/>
      <c r="M1095" s="792"/>
      <c r="N1095" s="793"/>
      <c r="O1095" s="806"/>
      <c r="P1095" s="795"/>
      <c r="Q1095" s="796"/>
      <c r="R1095" s="720">
        <f>$A1095*Q1095</f>
        <v>0</v>
      </c>
      <c r="S1095" s="796"/>
      <c r="T1095" s="500">
        <f>$A1095*S1095*$T$1</f>
        <v>0</v>
      </c>
    </row>
    <row r="1096" spans="1:41" s="501" customFormat="1" ht="12">
      <c r="A1096" s="44"/>
      <c r="B1096" s="497"/>
      <c r="C1096" s="497"/>
      <c r="D1096" s="807"/>
      <c r="E1096" s="808"/>
      <c r="F1096" s="499"/>
      <c r="G1096" s="499"/>
      <c r="H1096" s="499"/>
      <c r="I1096" s="499"/>
      <c r="J1096" s="499"/>
      <c r="K1096" s="499"/>
      <c r="L1096" s="809"/>
      <c r="M1096" s="499"/>
      <c r="N1096" s="499"/>
      <c r="O1096" s="499"/>
      <c r="P1096" s="499"/>
      <c r="Q1096" s="499"/>
      <c r="R1096" s="720">
        <f>$A1096*Q1096</f>
        <v>0</v>
      </c>
      <c r="S1096" s="499"/>
      <c r="T1096" s="500">
        <f>$A1096*S1096*$T$1</f>
        <v>0</v>
      </c>
    </row>
    <row r="1097" spans="1:41" s="501" customFormat="1" ht="12">
      <c r="A1097" s="44"/>
      <c r="B1097" s="497"/>
      <c r="C1097" s="497"/>
      <c r="D1097" s="807"/>
      <c r="E1097" s="808"/>
      <c r="F1097" s="499"/>
      <c r="G1097" s="499"/>
      <c r="H1097" s="499"/>
      <c r="I1097" s="499"/>
      <c r="J1097" s="499"/>
      <c r="K1097" s="499"/>
      <c r="L1097" s="809"/>
      <c r="M1097" s="499"/>
      <c r="N1097" s="499"/>
      <c r="O1097" s="499"/>
      <c r="P1097" s="499"/>
      <c r="Q1097" s="499"/>
      <c r="R1097" s="720">
        <f>$A1097*Q1097</f>
        <v>0</v>
      </c>
      <c r="S1097" s="499"/>
      <c r="T1097" s="500">
        <f>$A1097*S1097*$T$1</f>
        <v>0</v>
      </c>
    </row>
    <row r="1098" spans="1:41" s="501" customFormat="1" ht="12.75" customHeight="1">
      <c r="A1098" s="772" t="s">
        <v>145</v>
      </c>
      <c r="B1098" s="773">
        <f>(R1097+T1097)</f>
        <v>0</v>
      </c>
      <c r="C1098" s="810"/>
      <c r="D1098" s="810"/>
      <c r="E1098" s="810"/>
      <c r="F1098" s="810"/>
      <c r="G1098" s="776"/>
      <c r="H1098" s="776"/>
      <c r="I1098" s="776"/>
      <c r="J1098" s="776"/>
      <c r="K1098" s="798" t="s">
        <v>8</v>
      </c>
      <c r="L1098" s="811" t="s">
        <v>573</v>
      </c>
      <c r="M1098" s="776"/>
      <c r="N1098" s="776"/>
      <c r="O1098" s="776"/>
      <c r="P1098" s="776"/>
      <c r="Q1098" s="776"/>
      <c r="R1098" s="777">
        <f>SUM(R1094:R1097)</f>
        <v>0</v>
      </c>
      <c r="S1098" s="778"/>
      <c r="T1098" s="777">
        <f>SUM(T1094:T1097)</f>
        <v>0</v>
      </c>
      <c r="AG1098" s="812">
        <f>ROUND($R1098*$S$4,2)</f>
        <v>0</v>
      </c>
    </row>
    <row r="1099" spans="1:41" s="501" customFormat="1" ht="12.75" customHeight="1">
      <c r="A1099" s="813"/>
      <c r="B1099" s="814"/>
      <c r="E1099" s="497"/>
      <c r="F1099" s="808"/>
      <c r="G1099" s="497"/>
      <c r="H1099" s="497"/>
      <c r="I1099" s="499"/>
      <c r="J1099" s="497"/>
      <c r="K1099" s="497"/>
      <c r="L1099" s="815"/>
      <c r="M1099" s="725"/>
      <c r="N1099" s="725"/>
      <c r="O1099" s="725"/>
      <c r="P1099" s="725"/>
      <c r="Q1099" s="726"/>
      <c r="R1099" s="784"/>
      <c r="S1099" s="497"/>
      <c r="T1099" s="784"/>
    </row>
    <row r="1100" spans="1:41" s="501" customFormat="1" ht="13.5" customHeight="1" thickBot="1">
      <c r="A1100" s="816"/>
      <c r="B1100" s="817"/>
      <c r="C1100" s="518"/>
      <c r="D1100" s="518"/>
      <c r="E1100" s="515"/>
      <c r="F1100" s="721"/>
      <c r="G1100" s="515" t="s">
        <v>146</v>
      </c>
      <c r="H1100" s="515"/>
      <c r="I1100" s="516"/>
      <c r="J1100" s="515"/>
      <c r="K1100" s="515"/>
      <c r="L1100" s="818" t="s">
        <v>143</v>
      </c>
      <c r="M1100" s="517"/>
      <c r="N1100" s="517"/>
      <c r="O1100" s="517"/>
      <c r="P1100" s="517"/>
      <c r="Q1100" s="722"/>
      <c r="R1100" s="819">
        <f ca="1">SUMIF($L1082:$L1099,"SUBI",R1082:R1099)</f>
        <v>5.56</v>
      </c>
      <c r="S1100" s="820"/>
      <c r="T1100" s="819">
        <f ca="1">SUMIF($L1082:$L1099,"SUBI",T1082:T1099)</f>
        <v>0.98</v>
      </c>
      <c r="U1100" s="518"/>
      <c r="V1100" s="518"/>
      <c r="W1100" s="518"/>
      <c r="X1100" s="518"/>
      <c r="Y1100" s="518"/>
      <c r="Z1100" s="518"/>
      <c r="AA1100" s="518"/>
      <c r="AB1100" s="518"/>
      <c r="AC1100" s="518"/>
      <c r="AD1100" s="518"/>
      <c r="AE1100" s="518"/>
      <c r="AF1100" s="518"/>
      <c r="AG1100" s="518"/>
      <c r="AH1100" s="518"/>
      <c r="AI1100" s="518"/>
      <c r="AJ1100" s="518"/>
      <c r="AK1100" s="518"/>
      <c r="AL1100" s="518"/>
      <c r="AM1100" s="518"/>
      <c r="AN1100" s="518"/>
      <c r="AO1100" s="518"/>
    </row>
    <row r="1101" spans="1:41" s="501" customFormat="1" thickTop="1">
      <c r="A1101" s="44"/>
      <c r="B1101" s="39"/>
      <c r="C1101" s="44"/>
      <c r="E1101" s="40" t="s">
        <v>138</v>
      </c>
      <c r="F1101" s="40" t="s">
        <v>139</v>
      </c>
      <c r="G1101" s="44"/>
      <c r="H1101" s="44"/>
      <c r="I1101" s="44"/>
      <c r="J1101" s="44"/>
      <c r="K1101" s="44" t="s">
        <v>140</v>
      </c>
      <c r="L1101" s="737"/>
      <c r="M1101" s="44"/>
      <c r="N1101" s="44"/>
      <c r="O1101" s="45"/>
      <c r="P1101" s="44"/>
      <c r="Q1101"/>
      <c r="R1101"/>
      <c r="S1101"/>
      <c r="T1101" s="39"/>
      <c r="AG1101" s="502" t="s">
        <v>247</v>
      </c>
      <c r="AH1101" s="502" t="s">
        <v>248</v>
      </c>
      <c r="AI1101" s="502" t="s">
        <v>249</v>
      </c>
      <c r="AJ1101" s="502" t="s">
        <v>250</v>
      </c>
      <c r="AK1101" s="502" t="s">
        <v>251</v>
      </c>
      <c r="AM1101" s="710" t="s">
        <v>260</v>
      </c>
      <c r="AN1101" s="711" t="s">
        <v>261</v>
      </c>
      <c r="AO1101" s="503" t="s">
        <v>257</v>
      </c>
    </row>
    <row r="1102" spans="1:41" s="501" customFormat="1" ht="13.2">
      <c r="A1102" s="712">
        <v>1</v>
      </c>
      <c r="B1102" s="504" t="s">
        <v>283</v>
      </c>
      <c r="C1102" s="505"/>
      <c r="D1102" s="713" t="s">
        <v>596</v>
      </c>
      <c r="E1102" s="738">
        <f ca="1">IF(AND($A1102=0,$A$1="DIF"),0,ROUND(ROUND(SUMIF($L1104:$L1115,"SUBI",$E1104:$E1115)/$A1102,2)*$C$12,2))</f>
        <v>43.84</v>
      </c>
      <c r="F1102" s="739">
        <f ca="1">ROUND($A1102*$E1102,2)</f>
        <v>43.84</v>
      </c>
      <c r="G1102" s="506" t="s">
        <v>142</v>
      </c>
      <c r="H1102" s="498"/>
      <c r="I1102" s="716"/>
      <c r="J1102" s="498"/>
      <c r="K1102" s="740"/>
      <c r="L1102" s="741" t="s">
        <v>143</v>
      </c>
      <c r="M1102" s="717"/>
      <c r="N1102" s="717"/>
      <c r="O1102" s="717"/>
      <c r="P1102" s="717"/>
      <c r="Q1102" s="943" t="s">
        <v>855</v>
      </c>
      <c r="R1102" s="943" t="s">
        <v>870</v>
      </c>
      <c r="S1102"/>
      <c r="T1102" s="742" t="str">
        <f ca="1">IF(AND($R1121=0,$T1121=0),"0.00","mu :" &amp; ROUND($F1102/$C$12/($R1121+$T1121*$D$9),2))</f>
        <v>mu :1.35</v>
      </c>
      <c r="W1102" s="507"/>
      <c r="AG1102" s="743">
        <f ca="1">IF(A1102=0,0,ROUND(SUM(AG1104:AG1121)/A1102,2))</f>
        <v>7.51</v>
      </c>
      <c r="AH1102" s="743">
        <f ca="1">$AG1102*$A1102</f>
        <v>7.51</v>
      </c>
      <c r="AI1102" s="743">
        <f ca="1">$E1102-$AG1102</f>
        <v>36.330000000000005</v>
      </c>
      <c r="AJ1102" s="743">
        <f ca="1">$A1102*$AI1102</f>
        <v>36.330000000000005</v>
      </c>
      <c r="AK1102" s="744">
        <f ca="1">ROUND(($AG1102+$AI1102)*$A1102,2)</f>
        <v>43.84</v>
      </c>
      <c r="AM1102" s="510">
        <f ca="1">ROUND(R1121,2)</f>
        <v>5.56</v>
      </c>
      <c r="AN1102" s="511">
        <f ca="1">ROUND(T1121,2)</f>
        <v>0.98</v>
      </c>
      <c r="AO1102" s="512">
        <f ca="1">ROUND(AM1102+AN1102,2)*A1102</f>
        <v>6.54</v>
      </c>
    </row>
    <row r="1103" spans="1:41" s="501" customFormat="1" ht="21.6" customHeight="1">
      <c r="A1103" s="745"/>
      <c r="B1103" s="746"/>
      <c r="C1103" s="505"/>
      <c r="D1103" s="724" t="s">
        <v>440</v>
      </c>
      <c r="F1103" s="498"/>
      <c r="G1103" s="498"/>
      <c r="H1103" s="498"/>
      <c r="I1103" s="716"/>
      <c r="J1103" s="498"/>
      <c r="K1103" s="498" t="s">
        <v>144</v>
      </c>
      <c r="L1103" s="747"/>
      <c r="M1103" s="498"/>
      <c r="N1103" s="498"/>
      <c r="O1103" s="498"/>
      <c r="P1103" s="498"/>
      <c r="Q1103" s="44"/>
      <c r="R1103" s="567"/>
      <c r="S1103" s="719"/>
      <c r="T1103" s="498"/>
    </row>
    <row r="1104" spans="1:41" s="501" customFormat="1" ht="12">
      <c r="A1104" s="748"/>
      <c r="B1104" s="749"/>
      <c r="C1104" s="497"/>
      <c r="D1104" s="750"/>
      <c r="E1104" s="751">
        <f ca="1">F1102/$C$12-SUMIF($L1101:$L1121,"SUBI",$E1101:$E1121)</f>
        <v>0</v>
      </c>
      <c r="F1104" s="752" t="s">
        <v>572</v>
      </c>
      <c r="G1104" s="753"/>
      <c r="H1104" s="753"/>
      <c r="I1104" s="754"/>
      <c r="J1104" s="753"/>
      <c r="K1104" s="753"/>
      <c r="L1104" s="755"/>
      <c r="M1104" s="756"/>
      <c r="N1104" s="756"/>
      <c r="O1104" s="756"/>
      <c r="P1104" s="756"/>
      <c r="Q1104" s="757"/>
      <c r="R1104" s="758"/>
      <c r="S1104" s="757"/>
      <c r="T1104" s="759"/>
    </row>
    <row r="1105" spans="1:33" s="501" customFormat="1" ht="12" customHeight="1">
      <c r="A1105" s="760"/>
      <c r="B1105" s="761"/>
      <c r="C1105" s="762"/>
      <c r="D1105" s="762" t="str">
        <f>$F$2</f>
        <v>Electrical</v>
      </c>
      <c r="E1105" s="762">
        <f ca="1">ROUND(($R1109*$S$2 + ($T1109*$T$2)), 2)</f>
        <v>43.84</v>
      </c>
      <c r="F1105" s="763">
        <f ca="1">$E1105*$C$12</f>
        <v>43.84</v>
      </c>
      <c r="G1105" s="567"/>
      <c r="H1105" s="764"/>
      <c r="I1105" s="567"/>
      <c r="J1105" s="45"/>
      <c r="K1105" s="765" t="s">
        <v>3</v>
      </c>
      <c r="L1105" s="766" t="s">
        <v>573</v>
      </c>
      <c r="M1105" s="567"/>
      <c r="N1105" s="567"/>
      <c r="O1105" s="45"/>
      <c r="P1105" s="567"/>
      <c r="Q1105" s="567"/>
      <c r="R1105"/>
      <c r="S1105"/>
      <c r="T1105"/>
    </row>
    <row r="1106" spans="1:33" s="935" customFormat="1" ht="13.2">
      <c r="A1106"/>
      <c r="B1106" s="927"/>
      <c r="C1106" s="927" t="s">
        <v>735</v>
      </c>
      <c r="D1106" s="927" t="str">
        <f ca="1">CELL("Address",Elec_Rates!D$46)</f>
        <v>[E25_0465_IH_Retro_Elec4Mech_Est_Rev_A.xlsx]Elec_Rates!$D$46</v>
      </c>
      <c r="E1106" s="928"/>
      <c r="F1106" s="928"/>
      <c r="G1106" s="929" t="s">
        <v>736</v>
      </c>
      <c r="H1106" s="929"/>
      <c r="I1106" s="929"/>
      <c r="J1106" s="929"/>
      <c r="K1106" s="930"/>
      <c r="L1106" s="928"/>
      <c r="M1106" s="928"/>
      <c r="N1106" s="928"/>
      <c r="O1106" s="931"/>
      <c r="P1106" s="928"/>
      <c r="Q1106" s="932"/>
      <c r="R1106" s="933"/>
      <c r="S1106" s="932"/>
      <c r="T1106" s="560"/>
      <c r="U1106" s="934"/>
    </row>
    <row r="1107" spans="1:33" s="935" customFormat="1" ht="11.4">
      <c r="A1107" s="936">
        <v>1</v>
      </c>
      <c r="B1107" s="937">
        <v>1</v>
      </c>
      <c r="C1107" s="937">
        <f>$A1107*$B1107</f>
        <v>1</v>
      </c>
      <c r="D1107" s="938" t="str">
        <f>Elec_Rates!$D$46</f>
        <v>004# Connecting up of 3.0/4.0 kW 400Volt motor (VFD)</v>
      </c>
      <c r="E1107" s="938"/>
      <c r="F1107" s="938" t="s">
        <v>737</v>
      </c>
      <c r="G1107" s="939" t="s">
        <v>739</v>
      </c>
      <c r="H1107" s="939"/>
      <c r="I1107" s="939"/>
      <c r="J1107" s="939"/>
      <c r="K1107" s="940"/>
      <c r="L1107" s="934"/>
      <c r="M1107" s="934"/>
      <c r="N1107" s="934"/>
      <c r="O1107" s="941"/>
      <c r="P1107" s="938"/>
      <c r="Q1107" s="942">
        <f ca="1">$B1107*Elec_Rates!$R$46</f>
        <v>5.56</v>
      </c>
      <c r="R1107" s="933">
        <f ca="1">$A1107*Q1107</f>
        <v>5.56</v>
      </c>
      <c r="S1107" s="942">
        <f ca="1">$B1107*Elec_Rates!$T$46</f>
        <v>0.98</v>
      </c>
      <c r="T1107" s="560">
        <f ca="1">$A1107*S1107</f>
        <v>0.98</v>
      </c>
      <c r="U1107" s="484"/>
    </row>
    <row r="1108" spans="1:33" s="501" customFormat="1" ht="14.4" customHeight="1">
      <c r="A1108" s="767"/>
      <c r="B1108" s="567"/>
      <c r="C1108" s="567"/>
      <c r="D1108" s="567"/>
      <c r="E1108" s="567"/>
      <c r="F1108" s="567"/>
      <c r="G1108" s="567"/>
      <c r="H1108" s="764"/>
      <c r="I1108" s="567"/>
      <c r="J1108" s="45"/>
      <c r="K1108" s="769"/>
      <c r="L1108" s="770"/>
      <c r="M1108" s="567"/>
      <c r="N1108" s="567"/>
      <c r="O1108" s="45"/>
      <c r="P1108" s="567"/>
      <c r="Q1108" s="567"/>
      <c r="R1108" s="771">
        <f>$A1108*Q1108</f>
        <v>0</v>
      </c>
      <c r="S1108" s="567"/>
      <c r="T1108" s="500">
        <f>$A1108*S1108*$T$1</f>
        <v>0</v>
      </c>
    </row>
    <row r="1109" spans="1:33" s="501" customFormat="1" ht="12">
      <c r="A1109" s="772" t="s">
        <v>145</v>
      </c>
      <c r="B1109" s="773">
        <f>(R1108+T1108)</f>
        <v>0</v>
      </c>
      <c r="C1109" s="753"/>
      <c r="G1109" s="774"/>
      <c r="H1109" s="774"/>
      <c r="I1109" s="774"/>
      <c r="J1109" s="774"/>
      <c r="K1109" s="750" t="s">
        <v>3</v>
      </c>
      <c r="L1109" s="775" t="s">
        <v>573</v>
      </c>
      <c r="M1109" s="774"/>
      <c r="N1109" s="774"/>
      <c r="O1109" s="774"/>
      <c r="P1109" s="774"/>
      <c r="Q1109" s="776"/>
      <c r="R1109" s="777">
        <f ca="1">SUM(R1105:R1108)</f>
        <v>5.56</v>
      </c>
      <c r="S1109" s="778"/>
      <c r="T1109" s="777">
        <f ca="1">SUM(T1105:T1108)</f>
        <v>0.98</v>
      </c>
      <c r="AG1109" s="779">
        <f ca="1">ROUND($R1109*$S$2,2)</f>
        <v>7.51</v>
      </c>
    </row>
    <row r="1110" spans="1:33" s="501" customFormat="1" ht="12" customHeight="1">
      <c r="A1110" s="760"/>
      <c r="B1110" s="780"/>
      <c r="C1110" s="781"/>
      <c r="D1110" s="782" t="str">
        <f>$F$3</f>
        <v>Technician</v>
      </c>
      <c r="E1110" s="782">
        <f>ROUND(($R1114*$S$3 + ($T1114*$T$3)), 2)</f>
        <v>0</v>
      </c>
      <c r="F1110" s="783">
        <f>$E1110*$C$12</f>
        <v>0</v>
      </c>
      <c r="G1110" s="499"/>
      <c r="H1110" s="499"/>
      <c r="I1110" s="499"/>
      <c r="J1110" s="499"/>
      <c r="K1110" s="765" t="s">
        <v>5</v>
      </c>
      <c r="L1110" s="766" t="s">
        <v>573</v>
      </c>
      <c r="M1110" s="499"/>
      <c r="N1110" s="499"/>
      <c r="O1110" s="499"/>
      <c r="P1110" s="499"/>
      <c r="Q1110" s="499"/>
      <c r="R1110" s="784"/>
      <c r="S1110" s="499"/>
      <c r="T1110" s="784"/>
    </row>
    <row r="1111" spans="1:33" s="797" customFormat="1" ht="15.6" customHeight="1">
      <c r="A1111" s="785"/>
      <c r="B1111" s="768" t="s">
        <v>575</v>
      </c>
      <c r="C1111" s="786"/>
      <c r="D1111" s="787"/>
      <c r="E1111" s="787"/>
      <c r="F1111" s="787"/>
      <c r="G1111" s="788"/>
      <c r="H1111" s="789"/>
      <c r="I1111" s="789"/>
      <c r="J1111" s="790"/>
      <c r="K1111" s="791"/>
      <c r="L1111" s="786"/>
      <c r="M1111" s="792"/>
      <c r="N1111" s="793"/>
      <c r="O1111" s="794"/>
      <c r="P1111" s="795"/>
      <c r="Q1111" s="796"/>
      <c r="R1111" s="771">
        <f>$A1111*Q1111</f>
        <v>0</v>
      </c>
      <c r="S1111" s="567"/>
      <c r="T1111" s="500">
        <f>$A1111*S1111*$T$1</f>
        <v>0</v>
      </c>
    </row>
    <row r="1112" spans="1:33" s="501" customFormat="1" ht="15.6" customHeight="1">
      <c r="A1112" s="767"/>
      <c r="B1112" s="567"/>
      <c r="C1112" s="567"/>
      <c r="D1112" s="567"/>
      <c r="E1112" s="567"/>
      <c r="F1112" s="567"/>
      <c r="G1112" s="567"/>
      <c r="H1112" s="567"/>
      <c r="I1112" s="567"/>
      <c r="J1112" s="567"/>
      <c r="K1112" s="567"/>
      <c r="L1112" s="770"/>
      <c r="M1112" s="567"/>
      <c r="N1112" s="567"/>
      <c r="O1112" s="567"/>
      <c r="P1112" s="567"/>
      <c r="Q1112" s="567"/>
      <c r="R1112" s="771">
        <f>$A1112*Q1112</f>
        <v>0</v>
      </c>
      <c r="S1112" s="567"/>
      <c r="T1112" s="500">
        <f>$A1112*S1112*$T$1</f>
        <v>0</v>
      </c>
    </row>
    <row r="1113" spans="1:33" s="501" customFormat="1" ht="15.6" customHeight="1">
      <c r="A1113" s="767"/>
      <c r="B1113" s="567"/>
      <c r="C1113" s="567"/>
      <c r="D1113" s="3"/>
      <c r="E1113" s="567"/>
      <c r="F1113" s="567"/>
      <c r="G1113" s="567"/>
      <c r="H1113" s="567"/>
      <c r="I1113" s="567"/>
      <c r="J1113" s="567"/>
      <c r="K1113" s="567"/>
      <c r="L1113" s="770"/>
      <c r="M1113" s="567"/>
      <c r="N1113" s="567"/>
      <c r="O1113" s="567"/>
      <c r="P1113" s="567"/>
      <c r="Q1113" s="567"/>
      <c r="R1113" s="771">
        <f>$A1113*Q1113</f>
        <v>0</v>
      </c>
      <c r="S1113" s="567"/>
      <c r="T1113" s="500">
        <f>$A1113*S1113*$T$1</f>
        <v>0</v>
      </c>
    </row>
    <row r="1114" spans="1:33" s="501" customFormat="1" ht="12">
      <c r="A1114" s="772" t="s">
        <v>145</v>
      </c>
      <c r="B1114" s="773">
        <f>(R1113+T1113)</f>
        <v>0</v>
      </c>
      <c r="C1114" s="753"/>
      <c r="G1114" s="774"/>
      <c r="H1114" s="774"/>
      <c r="I1114" s="774"/>
      <c r="J1114" s="774"/>
      <c r="K1114" s="798" t="s">
        <v>5</v>
      </c>
      <c r="L1114" s="775" t="s">
        <v>573</v>
      </c>
      <c r="M1114" s="774"/>
      <c r="N1114" s="774"/>
      <c r="O1114" s="774"/>
      <c r="P1114" s="774"/>
      <c r="Q1114" s="776"/>
      <c r="R1114" s="777">
        <f>SUM(R1110:R1113)</f>
        <v>0</v>
      </c>
      <c r="S1114" s="778"/>
      <c r="T1114" s="777">
        <f>SUM(T1110:T1113)</f>
        <v>0</v>
      </c>
      <c r="AG1114" s="799">
        <f>ROUND($R1114*$S$3,2)</f>
        <v>0</v>
      </c>
    </row>
    <row r="1115" spans="1:33" s="501" customFormat="1" ht="12" customHeight="1">
      <c r="A1115" s="800"/>
      <c r="B1115" s="801"/>
      <c r="C1115" s="802"/>
      <c r="D1115" s="803" t="str">
        <f>$F$4</f>
        <v>Engineer (Man Hours)</v>
      </c>
      <c r="E1115" s="803">
        <f>ROUND(($R1119*$S$4 + ($T1119*$T$4)), 2)</f>
        <v>0</v>
      </c>
      <c r="F1115" s="804">
        <f ca="1">$F1102-SUMIF($L1104:$P1112,"SUBI",$F1104:$F1112)</f>
        <v>0</v>
      </c>
      <c r="G1115" s="499"/>
      <c r="H1115" s="499"/>
      <c r="I1115" s="499"/>
      <c r="J1115" s="499"/>
      <c r="K1115" s="805" t="s">
        <v>8</v>
      </c>
      <c r="L1115" s="766" t="s">
        <v>573</v>
      </c>
      <c r="M1115" s="499"/>
      <c r="N1115" s="499"/>
      <c r="O1115" s="499"/>
      <c r="P1115" s="499"/>
      <c r="Q1115" s="499"/>
      <c r="R1115" s="784"/>
      <c r="S1115" s="499"/>
      <c r="T1115" s="784"/>
    </row>
    <row r="1116" spans="1:33" s="797" customFormat="1" ht="14.4" customHeight="1">
      <c r="A1116" s="785"/>
      <c r="B1116" s="768" t="s">
        <v>576</v>
      </c>
      <c r="C1116" s="786"/>
      <c r="D1116" s="787"/>
      <c r="E1116" s="787"/>
      <c r="F1116" s="787"/>
      <c r="G1116" s="788"/>
      <c r="H1116" s="789"/>
      <c r="I1116" s="789"/>
      <c r="J1116" s="790"/>
      <c r="K1116" s="791"/>
      <c r="L1116" s="786"/>
      <c r="M1116" s="792"/>
      <c r="N1116" s="793"/>
      <c r="O1116" s="806"/>
      <c r="P1116" s="795"/>
      <c r="Q1116" s="796"/>
      <c r="R1116" s="720">
        <f>$A1116*Q1116</f>
        <v>0</v>
      </c>
      <c r="S1116" s="796"/>
      <c r="T1116" s="500">
        <f>$A1116*S1116*$T$1</f>
        <v>0</v>
      </c>
    </row>
    <row r="1117" spans="1:33" s="501" customFormat="1" ht="12">
      <c r="A1117" s="44"/>
      <c r="B1117" s="497"/>
      <c r="C1117" s="497"/>
      <c r="D1117" s="807"/>
      <c r="E1117" s="808"/>
      <c r="F1117" s="499"/>
      <c r="G1117" s="499"/>
      <c r="H1117" s="499"/>
      <c r="I1117" s="499"/>
      <c r="J1117" s="499"/>
      <c r="K1117" s="499"/>
      <c r="L1117" s="809"/>
      <c r="M1117" s="499"/>
      <c r="N1117" s="499"/>
      <c r="O1117" s="499"/>
      <c r="P1117" s="499"/>
      <c r="Q1117" s="499"/>
      <c r="R1117" s="720">
        <f>$A1117*Q1117</f>
        <v>0</v>
      </c>
      <c r="S1117" s="499"/>
      <c r="T1117" s="500">
        <f>$A1117*S1117*$T$1</f>
        <v>0</v>
      </c>
    </row>
    <row r="1118" spans="1:33" s="501" customFormat="1" ht="12">
      <c r="A1118" s="44"/>
      <c r="B1118" s="497"/>
      <c r="C1118" s="497"/>
      <c r="D1118" s="807"/>
      <c r="E1118" s="808"/>
      <c r="F1118" s="499"/>
      <c r="G1118" s="499"/>
      <c r="H1118" s="499"/>
      <c r="I1118" s="499"/>
      <c r="J1118" s="499"/>
      <c r="K1118" s="499"/>
      <c r="L1118" s="809"/>
      <c r="M1118" s="499"/>
      <c r="N1118" s="499"/>
      <c r="O1118" s="499"/>
      <c r="P1118" s="499"/>
      <c r="Q1118" s="499"/>
      <c r="R1118" s="720">
        <f>$A1118*Q1118</f>
        <v>0</v>
      </c>
      <c r="S1118" s="499"/>
      <c r="T1118" s="500">
        <f>$A1118*S1118*$T$1</f>
        <v>0</v>
      </c>
    </row>
    <row r="1119" spans="1:33" s="501" customFormat="1" ht="12.75" customHeight="1">
      <c r="A1119" s="772" t="s">
        <v>145</v>
      </c>
      <c r="B1119" s="773">
        <f>(R1118+T1118)</f>
        <v>0</v>
      </c>
      <c r="C1119" s="810"/>
      <c r="D1119" s="810"/>
      <c r="E1119" s="810"/>
      <c r="F1119" s="810"/>
      <c r="G1119" s="776"/>
      <c r="H1119" s="776"/>
      <c r="I1119" s="776"/>
      <c r="J1119" s="776"/>
      <c r="K1119" s="798" t="s">
        <v>8</v>
      </c>
      <c r="L1119" s="811" t="s">
        <v>573</v>
      </c>
      <c r="M1119" s="776"/>
      <c r="N1119" s="776"/>
      <c r="O1119" s="776"/>
      <c r="P1119" s="776"/>
      <c r="Q1119" s="776"/>
      <c r="R1119" s="777">
        <f>SUM(R1115:R1118)</f>
        <v>0</v>
      </c>
      <c r="S1119" s="778"/>
      <c r="T1119" s="777">
        <f>SUM(T1115:T1118)</f>
        <v>0</v>
      </c>
      <c r="AG1119" s="812">
        <f>ROUND($R1119*$S$4,2)</f>
        <v>0</v>
      </c>
    </row>
    <row r="1120" spans="1:33" s="501" customFormat="1" ht="12.75" customHeight="1">
      <c r="A1120" s="813"/>
      <c r="B1120" s="814"/>
      <c r="E1120" s="497"/>
      <c r="F1120" s="808"/>
      <c r="G1120" s="497"/>
      <c r="H1120" s="497"/>
      <c r="I1120" s="499"/>
      <c r="J1120" s="497"/>
      <c r="K1120" s="497"/>
      <c r="L1120" s="815"/>
      <c r="M1120" s="725"/>
      <c r="N1120" s="725"/>
      <c r="O1120" s="725"/>
      <c r="P1120" s="725"/>
      <c r="Q1120" s="726"/>
      <c r="R1120" s="784"/>
      <c r="S1120" s="497"/>
      <c r="T1120" s="784"/>
    </row>
    <row r="1121" spans="1:41" s="501" customFormat="1" ht="13.2" customHeight="1" thickBot="1">
      <c r="A1121" s="816"/>
      <c r="B1121" s="817"/>
      <c r="C1121" s="518"/>
      <c r="D1121" s="518"/>
      <c r="E1121" s="515"/>
      <c r="F1121" s="721"/>
      <c r="G1121" s="515" t="s">
        <v>146</v>
      </c>
      <c r="H1121" s="515"/>
      <c r="I1121" s="516"/>
      <c r="J1121" s="515"/>
      <c r="K1121" s="515"/>
      <c r="L1121" s="818" t="s">
        <v>143</v>
      </c>
      <c r="M1121" s="517"/>
      <c r="N1121" s="517"/>
      <c r="O1121" s="517"/>
      <c r="P1121" s="517"/>
      <c r="Q1121" s="722"/>
      <c r="R1121" s="819">
        <f ca="1">SUMIF($L1103:$L1120,"SUBI",R1103:R1120)</f>
        <v>5.56</v>
      </c>
      <c r="S1121" s="820"/>
      <c r="T1121" s="819">
        <f ca="1">SUMIF($L1103:$L1120,"SUBI",T1103:T1120)</f>
        <v>0.98</v>
      </c>
      <c r="U1121" s="518"/>
      <c r="V1121" s="518"/>
      <c r="W1121" s="518"/>
      <c r="X1121" s="518"/>
      <c r="Y1121" s="518"/>
      <c r="Z1121" s="518"/>
      <c r="AA1121" s="518"/>
      <c r="AB1121" s="518"/>
      <c r="AC1121" s="518"/>
      <c r="AD1121" s="518"/>
      <c r="AE1121" s="518"/>
      <c r="AF1121" s="518"/>
      <c r="AG1121" s="518"/>
      <c r="AH1121" s="518"/>
      <c r="AI1121" s="518"/>
      <c r="AJ1121" s="518"/>
      <c r="AK1121" s="518"/>
      <c r="AL1121" s="518"/>
      <c r="AM1121" s="518"/>
      <c r="AN1121" s="518"/>
      <c r="AO1121" s="518"/>
    </row>
    <row r="1122" spans="1:41" s="501" customFormat="1" thickTop="1">
      <c r="A1122" s="44"/>
      <c r="B1122" s="44"/>
      <c r="C1122" s="3"/>
      <c r="D1122" s="3"/>
      <c r="E1122" s="44"/>
      <c r="F1122" s="44"/>
      <c r="G1122" s="44"/>
      <c r="H1122" s="44"/>
      <c r="I1122" s="44"/>
      <c r="J1122" s="44"/>
      <c r="K1122" s="44" t="s">
        <v>134</v>
      </c>
      <c r="L1122" s="44"/>
      <c r="M1122" s="44"/>
      <c r="N1122" s="44"/>
      <c r="O1122" s="45"/>
      <c r="P1122" s="44"/>
      <c r="Q1122" s="44"/>
      <c r="R1122" s="44"/>
      <c r="S1122" s="44"/>
      <c r="T1122" s="44"/>
    </row>
    <row r="1123" spans="1:41" s="501" customFormat="1" ht="12">
      <c r="A1123" s="44"/>
      <c r="B1123" s="44"/>
      <c r="C1123" s="44" t="s">
        <v>135</v>
      </c>
      <c r="D1123" s="35" t="s">
        <v>583</v>
      </c>
      <c r="E1123" s="44"/>
      <c r="F1123" s="44"/>
      <c r="G1123" s="44"/>
      <c r="H1123" s="44"/>
      <c r="I1123" s="44"/>
      <c r="J1123" s="44"/>
      <c r="K1123" s="44"/>
      <c r="L1123" s="44"/>
      <c r="M1123" s="44"/>
      <c r="N1123" s="44"/>
      <c r="O1123" s="45"/>
      <c r="P1123" s="44"/>
      <c r="Q1123" s="44"/>
      <c r="R1123" s="44"/>
      <c r="S1123" s="44"/>
      <c r="T1123" s="44"/>
    </row>
    <row r="1124" spans="1:41" s="501" customFormat="1" ht="39.9" customHeight="1">
      <c r="A1124" s="44"/>
      <c r="B1124" s="44"/>
      <c r="C1124" s="44"/>
      <c r="D1124" s="1185" t="s">
        <v>441</v>
      </c>
      <c r="E1124" s="1184"/>
      <c r="F1124" s="1184"/>
      <c r="G1124" s="1184"/>
      <c r="H1124" s="1184"/>
      <c r="I1124" s="1184"/>
      <c r="J1124" s="1184"/>
      <c r="K1124" s="1184"/>
      <c r="L1124" s="1184"/>
      <c r="M1124" s="1184"/>
      <c r="N1124" s="1184"/>
      <c r="O1124" s="1184"/>
      <c r="P1124" s="1184"/>
      <c r="Q1124" s="1184"/>
      <c r="R1124" s="1184"/>
      <c r="S1124" s="1184"/>
      <c r="T1124" s="1184"/>
    </row>
    <row r="1125" spans="1:41" s="3" customFormat="1" thickBot="1">
      <c r="A1125" s="518"/>
      <c r="O1125" s="86"/>
    </row>
    <row r="1126" spans="1:41" s="501" customFormat="1" thickTop="1">
      <c r="A1126" s="44"/>
      <c r="B1126" s="39"/>
      <c r="C1126" s="44"/>
      <c r="E1126" s="40" t="s">
        <v>138</v>
      </c>
      <c r="F1126" s="40" t="s">
        <v>139</v>
      </c>
      <c r="G1126" s="44"/>
      <c r="H1126" s="44"/>
      <c r="I1126" s="44"/>
      <c r="J1126" s="44"/>
      <c r="K1126" s="44" t="s">
        <v>140</v>
      </c>
      <c r="L1126" s="737"/>
      <c r="M1126" s="44"/>
      <c r="N1126" s="44"/>
      <c r="O1126" s="45"/>
      <c r="P1126" s="44"/>
      <c r="Q1126"/>
      <c r="R1126"/>
      <c r="S1126"/>
      <c r="T1126" s="39"/>
      <c r="AG1126" s="502" t="s">
        <v>247</v>
      </c>
      <c r="AH1126" s="502" t="s">
        <v>248</v>
      </c>
      <c r="AI1126" s="502" t="s">
        <v>249</v>
      </c>
      <c r="AJ1126" s="502" t="s">
        <v>250</v>
      </c>
      <c r="AK1126" s="502" t="s">
        <v>251</v>
      </c>
      <c r="AM1126" s="710" t="s">
        <v>260</v>
      </c>
      <c r="AN1126" s="711" t="s">
        <v>261</v>
      </c>
      <c r="AO1126" s="503" t="s">
        <v>257</v>
      </c>
    </row>
    <row r="1127" spans="1:41" s="501" customFormat="1" ht="13.2">
      <c r="A1127" s="712">
        <v>1</v>
      </c>
      <c r="B1127" s="504" t="s">
        <v>283</v>
      </c>
      <c r="C1127" s="505"/>
      <c r="D1127" s="713" t="s">
        <v>577</v>
      </c>
      <c r="E1127" s="738">
        <f ca="1">IF(AND($A1127=0,$A$1="DIF"),0,ROUND(ROUND(SUMIF($L1129:$L1140,"SUBI",$E1129:$E1140)/$A1127,2)*$C$12,2))</f>
        <v>43.84</v>
      </c>
      <c r="F1127" s="739">
        <f ca="1">ROUND($A1127*$E1127,2)</f>
        <v>43.84</v>
      </c>
      <c r="G1127" s="506" t="s">
        <v>142</v>
      </c>
      <c r="H1127" s="498"/>
      <c r="I1127" s="716"/>
      <c r="J1127" s="498"/>
      <c r="K1127" s="740"/>
      <c r="L1127" s="741" t="s">
        <v>143</v>
      </c>
      <c r="M1127" s="717"/>
      <c r="N1127" s="717"/>
      <c r="O1127" s="717"/>
      <c r="P1127" s="717"/>
      <c r="Q1127" s="943" t="s">
        <v>855</v>
      </c>
      <c r="R1127" s="943" t="s">
        <v>870</v>
      </c>
      <c r="S1127"/>
      <c r="T1127" s="742" t="str">
        <f ca="1">IF(AND($R1146=0,$T1146=0),"0.00","mu :" &amp; ROUND($F1127/$C$12/($R1146+$T1146*$D$9),2))</f>
        <v>mu :1.35</v>
      </c>
      <c r="W1127" s="507"/>
      <c r="AG1127" s="743">
        <f ca="1">IF(A1127=0,0,ROUND(SUM(AG1129:AG1146)/A1127,2))</f>
        <v>7.51</v>
      </c>
      <c r="AH1127" s="743">
        <f ca="1">$AG1127*$A1127</f>
        <v>7.51</v>
      </c>
      <c r="AI1127" s="743">
        <f ca="1">$E1127-$AG1127</f>
        <v>36.330000000000005</v>
      </c>
      <c r="AJ1127" s="743">
        <f ca="1">$A1127*$AI1127</f>
        <v>36.330000000000005</v>
      </c>
      <c r="AK1127" s="744">
        <f ca="1">ROUND(($AG1127+$AI1127)*$A1127,2)</f>
        <v>43.84</v>
      </c>
      <c r="AM1127" s="510">
        <f ca="1">ROUND(R1146,2)</f>
        <v>5.56</v>
      </c>
      <c r="AN1127" s="511">
        <f ca="1">ROUND(T1146,2)</f>
        <v>0.98</v>
      </c>
      <c r="AO1127" s="512">
        <f ca="1">ROUND(AM1127+AN1127,2)*A1127</f>
        <v>6.54</v>
      </c>
    </row>
    <row r="1128" spans="1:41" s="501" customFormat="1" ht="21.6" customHeight="1">
      <c r="A1128" s="745"/>
      <c r="B1128" s="746"/>
      <c r="C1128" s="505"/>
      <c r="D1128" s="724" t="s">
        <v>442</v>
      </c>
      <c r="F1128" s="498"/>
      <c r="G1128" s="498"/>
      <c r="H1128" s="498"/>
      <c r="I1128" s="716"/>
      <c r="J1128" s="498"/>
      <c r="K1128" s="498" t="s">
        <v>144</v>
      </c>
      <c r="L1128" s="747"/>
      <c r="M1128" s="498"/>
      <c r="N1128" s="498"/>
      <c r="O1128" s="498"/>
      <c r="P1128" s="498"/>
      <c r="Q1128" s="44"/>
      <c r="R1128" s="567"/>
      <c r="S1128" s="719"/>
      <c r="T1128" s="498"/>
    </row>
    <row r="1129" spans="1:41" s="501" customFormat="1" ht="12">
      <c r="A1129" s="748"/>
      <c r="B1129" s="749"/>
      <c r="C1129" s="497"/>
      <c r="D1129" s="750"/>
      <c r="E1129" s="751">
        <f ca="1">F1127/$C$12-SUMIF($L1126:$L1146,"SUBI",$E1126:$E1146)</f>
        <v>0</v>
      </c>
      <c r="F1129" s="752" t="s">
        <v>572</v>
      </c>
      <c r="G1129" s="753"/>
      <c r="H1129" s="753"/>
      <c r="I1129" s="754"/>
      <c r="J1129" s="753"/>
      <c r="K1129" s="753"/>
      <c r="L1129" s="755"/>
      <c r="M1129" s="756"/>
      <c r="N1129" s="756"/>
      <c r="O1129" s="756"/>
      <c r="P1129" s="756"/>
      <c r="Q1129" s="757"/>
      <c r="R1129" s="758"/>
      <c r="S1129" s="757"/>
      <c r="T1129" s="759"/>
    </row>
    <row r="1130" spans="1:41" s="501" customFormat="1" ht="12" customHeight="1">
      <c r="A1130" s="760"/>
      <c r="B1130" s="761"/>
      <c r="C1130" s="762"/>
      <c r="D1130" s="762" t="str">
        <f>$F$2</f>
        <v>Electrical</v>
      </c>
      <c r="E1130" s="762">
        <f ca="1">ROUND(($R1134*$S$2 + ($T1134*$T$2)), 2)</f>
        <v>43.84</v>
      </c>
      <c r="F1130" s="763">
        <f ca="1">$E1130*$C$12</f>
        <v>43.84</v>
      </c>
      <c r="G1130" s="567"/>
      <c r="H1130" s="764"/>
      <c r="I1130" s="567"/>
      <c r="J1130" s="45"/>
      <c r="K1130" s="765" t="s">
        <v>3</v>
      </c>
      <c r="L1130" s="766" t="s">
        <v>573</v>
      </c>
      <c r="M1130" s="567"/>
      <c r="N1130" s="567"/>
      <c r="O1130" s="45"/>
      <c r="P1130" s="567"/>
      <c r="Q1130" s="567"/>
      <c r="R1130"/>
      <c r="S1130"/>
      <c r="T1130"/>
    </row>
    <row r="1131" spans="1:41" s="935" customFormat="1" ht="13.2">
      <c r="A1131"/>
      <c r="B1131" s="927"/>
      <c r="C1131" s="927" t="s">
        <v>735</v>
      </c>
      <c r="D1131" s="927" t="str">
        <f ca="1">CELL("Address",Elec_Rates!D$46)</f>
        <v>[E25_0465_IH_Retro_Elec4Mech_Est_Rev_A.xlsx]Elec_Rates!$D$46</v>
      </c>
      <c r="E1131" s="928"/>
      <c r="F1131" s="928"/>
      <c r="G1131" s="929" t="s">
        <v>736</v>
      </c>
      <c r="H1131" s="929"/>
      <c r="I1131" s="929"/>
      <c r="J1131" s="929"/>
      <c r="K1131" s="930"/>
      <c r="L1131" s="928"/>
      <c r="M1131" s="928"/>
      <c r="N1131" s="928"/>
      <c r="O1131" s="931"/>
      <c r="P1131" s="928"/>
      <c r="Q1131" s="932"/>
      <c r="R1131" s="933"/>
      <c r="S1131" s="932"/>
      <c r="T1131" s="560"/>
      <c r="U1131" s="934"/>
    </row>
    <row r="1132" spans="1:41" s="935" customFormat="1" ht="11.4">
      <c r="A1132" s="936">
        <v>1</v>
      </c>
      <c r="B1132" s="937">
        <v>1</v>
      </c>
      <c r="C1132" s="937">
        <f>$A1132*$B1132</f>
        <v>1</v>
      </c>
      <c r="D1132" s="938" t="str">
        <f>Elec_Rates!$D$46</f>
        <v>004# Connecting up of 3.0/4.0 kW 400Volt motor (VFD)</v>
      </c>
      <c r="E1132" s="938"/>
      <c r="F1132" s="938" t="s">
        <v>737</v>
      </c>
      <c r="G1132" s="939" t="s">
        <v>739</v>
      </c>
      <c r="H1132" s="939"/>
      <c r="I1132" s="939"/>
      <c r="J1132" s="939"/>
      <c r="K1132" s="940"/>
      <c r="L1132" s="934"/>
      <c r="M1132" s="934"/>
      <c r="N1132" s="934"/>
      <c r="O1132" s="941"/>
      <c r="P1132" s="938"/>
      <c r="Q1132" s="942">
        <f ca="1">$B1132*Elec_Rates!$R$46</f>
        <v>5.56</v>
      </c>
      <c r="R1132" s="933">
        <f ca="1">$A1132*Q1132</f>
        <v>5.56</v>
      </c>
      <c r="S1132" s="942">
        <f ca="1">$B1132*Elec_Rates!$T$46</f>
        <v>0.98</v>
      </c>
      <c r="T1132" s="560">
        <f ca="1">$A1132*S1132</f>
        <v>0.98</v>
      </c>
      <c r="U1132" s="484"/>
    </row>
    <row r="1133" spans="1:41" s="501" customFormat="1" ht="14.4" customHeight="1">
      <c r="A1133" s="767"/>
      <c r="B1133" s="567"/>
      <c r="C1133" s="567"/>
      <c r="D1133" s="567"/>
      <c r="E1133" s="567"/>
      <c r="F1133" s="567"/>
      <c r="G1133" s="567"/>
      <c r="H1133" s="764"/>
      <c r="I1133" s="567"/>
      <c r="J1133" s="45"/>
      <c r="K1133" s="769"/>
      <c r="L1133" s="770"/>
      <c r="M1133" s="567"/>
      <c r="N1133" s="567"/>
      <c r="O1133" s="45"/>
      <c r="P1133" s="567"/>
      <c r="Q1133" s="567"/>
      <c r="R1133" s="771">
        <f>$A1133*Q1133</f>
        <v>0</v>
      </c>
      <c r="S1133" s="567"/>
      <c r="T1133" s="500">
        <f>$A1133*S1133*$T$1</f>
        <v>0</v>
      </c>
    </row>
    <row r="1134" spans="1:41" s="501" customFormat="1" ht="12">
      <c r="A1134" s="772" t="s">
        <v>145</v>
      </c>
      <c r="B1134" s="773">
        <f>(R1133+T1133)</f>
        <v>0</v>
      </c>
      <c r="C1134" s="753"/>
      <c r="G1134" s="774"/>
      <c r="H1134" s="774"/>
      <c r="I1134" s="774"/>
      <c r="J1134" s="774"/>
      <c r="K1134" s="750" t="s">
        <v>3</v>
      </c>
      <c r="L1134" s="775" t="s">
        <v>573</v>
      </c>
      <c r="M1134" s="774"/>
      <c r="N1134" s="774"/>
      <c r="O1134" s="774"/>
      <c r="P1134" s="774"/>
      <c r="Q1134" s="776"/>
      <c r="R1134" s="777">
        <f ca="1">SUM(R1130:R1133)</f>
        <v>5.56</v>
      </c>
      <c r="S1134" s="778"/>
      <c r="T1134" s="777">
        <f ca="1">SUM(T1130:T1133)</f>
        <v>0.98</v>
      </c>
      <c r="AG1134" s="779">
        <f ca="1">ROUND($R1134*$S$2,2)</f>
        <v>7.51</v>
      </c>
    </row>
    <row r="1135" spans="1:41" s="501" customFormat="1" ht="12" customHeight="1">
      <c r="A1135" s="760"/>
      <c r="B1135" s="780"/>
      <c r="C1135" s="781"/>
      <c r="D1135" s="782" t="str">
        <f>$F$3</f>
        <v>Technician</v>
      </c>
      <c r="E1135" s="782">
        <f>ROUND(($R1139*$S$3 + ($T1139*$T$3)), 2)</f>
        <v>0</v>
      </c>
      <c r="F1135" s="783">
        <f>$E1135*$C$12</f>
        <v>0</v>
      </c>
      <c r="G1135" s="499"/>
      <c r="H1135" s="499"/>
      <c r="I1135" s="499"/>
      <c r="J1135" s="499"/>
      <c r="K1135" s="765" t="s">
        <v>5</v>
      </c>
      <c r="L1135" s="766" t="s">
        <v>573</v>
      </c>
      <c r="M1135" s="499"/>
      <c r="N1135" s="499"/>
      <c r="O1135" s="499"/>
      <c r="P1135" s="499"/>
      <c r="Q1135" s="499"/>
      <c r="R1135" s="784"/>
      <c r="S1135" s="499"/>
      <c r="T1135" s="784"/>
    </row>
    <row r="1136" spans="1:41" s="797" customFormat="1" ht="15.6" customHeight="1">
      <c r="A1136" s="785"/>
      <c r="B1136" s="768" t="s">
        <v>575</v>
      </c>
      <c r="C1136" s="786"/>
      <c r="D1136" s="787"/>
      <c r="E1136" s="787"/>
      <c r="F1136" s="787"/>
      <c r="G1136" s="788"/>
      <c r="H1136" s="789"/>
      <c r="I1136" s="789"/>
      <c r="J1136" s="790"/>
      <c r="K1136" s="791"/>
      <c r="L1136" s="786"/>
      <c r="M1136" s="792"/>
      <c r="N1136" s="793"/>
      <c r="O1136" s="794"/>
      <c r="P1136" s="795"/>
      <c r="Q1136" s="796"/>
      <c r="R1136" s="771">
        <f>$A1136*Q1136</f>
        <v>0</v>
      </c>
      <c r="S1136" s="567"/>
      <c r="T1136" s="500">
        <f>$A1136*S1136*$T$1</f>
        <v>0</v>
      </c>
    </row>
    <row r="1137" spans="1:41" s="501" customFormat="1" ht="15.6" customHeight="1">
      <c r="A1137" s="767"/>
      <c r="B1137" s="567"/>
      <c r="C1137" s="567"/>
      <c r="D1137" s="567"/>
      <c r="E1137" s="567"/>
      <c r="F1137" s="567"/>
      <c r="G1137" s="567"/>
      <c r="H1137" s="567"/>
      <c r="I1137" s="567"/>
      <c r="J1137" s="567"/>
      <c r="K1137" s="567"/>
      <c r="L1137" s="770"/>
      <c r="M1137" s="567"/>
      <c r="N1137" s="567"/>
      <c r="O1137" s="567"/>
      <c r="P1137" s="567"/>
      <c r="Q1137" s="567"/>
      <c r="R1137" s="771">
        <f>$A1137*Q1137</f>
        <v>0</v>
      </c>
      <c r="S1137" s="567"/>
      <c r="T1137" s="500">
        <f>$A1137*S1137*$T$1</f>
        <v>0</v>
      </c>
    </row>
    <row r="1138" spans="1:41" s="501" customFormat="1" ht="15.6" customHeight="1">
      <c r="A1138" s="767"/>
      <c r="B1138" s="567"/>
      <c r="C1138" s="567"/>
      <c r="D1138" s="3"/>
      <c r="E1138" s="567"/>
      <c r="F1138" s="567"/>
      <c r="G1138" s="567"/>
      <c r="H1138" s="567"/>
      <c r="I1138" s="567"/>
      <c r="J1138" s="567"/>
      <c r="K1138" s="567"/>
      <c r="L1138" s="770"/>
      <c r="M1138" s="567"/>
      <c r="N1138" s="567"/>
      <c r="O1138" s="567"/>
      <c r="P1138" s="567"/>
      <c r="Q1138" s="567"/>
      <c r="R1138" s="771">
        <f>$A1138*Q1138</f>
        <v>0</v>
      </c>
      <c r="S1138" s="567"/>
      <c r="T1138" s="500">
        <f>$A1138*S1138*$T$1</f>
        <v>0</v>
      </c>
    </row>
    <row r="1139" spans="1:41" s="501" customFormat="1" ht="12">
      <c r="A1139" s="772" t="s">
        <v>145</v>
      </c>
      <c r="B1139" s="773">
        <f>(R1138+T1138)</f>
        <v>0</v>
      </c>
      <c r="C1139" s="753"/>
      <c r="G1139" s="774"/>
      <c r="H1139" s="774"/>
      <c r="I1139" s="774"/>
      <c r="J1139" s="774"/>
      <c r="K1139" s="798" t="s">
        <v>5</v>
      </c>
      <c r="L1139" s="775" t="s">
        <v>573</v>
      </c>
      <c r="M1139" s="774"/>
      <c r="N1139" s="774"/>
      <c r="O1139" s="774"/>
      <c r="P1139" s="774"/>
      <c r="Q1139" s="776"/>
      <c r="R1139" s="777">
        <f>SUM(R1135:R1138)</f>
        <v>0</v>
      </c>
      <c r="S1139" s="778"/>
      <c r="T1139" s="777">
        <f>SUM(T1135:T1138)</f>
        <v>0</v>
      </c>
      <c r="AG1139" s="799">
        <f>ROUND($R1139*$S$3,2)</f>
        <v>0</v>
      </c>
    </row>
    <row r="1140" spans="1:41" s="501" customFormat="1" ht="12" customHeight="1">
      <c r="A1140" s="800"/>
      <c r="B1140" s="801"/>
      <c r="C1140" s="802"/>
      <c r="D1140" s="803" t="str">
        <f>$F$4</f>
        <v>Engineer (Man Hours)</v>
      </c>
      <c r="E1140" s="803">
        <f>ROUND(($R1144*$S$4 + ($T1144*$T$4)), 2)</f>
        <v>0</v>
      </c>
      <c r="F1140" s="804">
        <f ca="1">$F1127-SUMIF($L1129:$P1137,"SUBI",$F1129:$F1137)</f>
        <v>0</v>
      </c>
      <c r="G1140" s="499"/>
      <c r="H1140" s="499"/>
      <c r="I1140" s="499"/>
      <c r="J1140" s="499"/>
      <c r="K1140" s="805" t="s">
        <v>8</v>
      </c>
      <c r="L1140" s="766" t="s">
        <v>573</v>
      </c>
      <c r="M1140" s="499"/>
      <c r="N1140" s="499"/>
      <c r="O1140" s="499"/>
      <c r="P1140" s="499"/>
      <c r="Q1140" s="499"/>
      <c r="R1140" s="784"/>
      <c r="S1140" s="499"/>
      <c r="T1140" s="784"/>
    </row>
    <row r="1141" spans="1:41" s="797" customFormat="1" ht="14.4" customHeight="1">
      <c r="A1141" s="785"/>
      <c r="B1141" s="768" t="s">
        <v>576</v>
      </c>
      <c r="C1141" s="786"/>
      <c r="D1141" s="787"/>
      <c r="E1141" s="787"/>
      <c r="F1141" s="787"/>
      <c r="G1141" s="788"/>
      <c r="H1141" s="789"/>
      <c r="I1141" s="789"/>
      <c r="J1141" s="790"/>
      <c r="K1141" s="791"/>
      <c r="L1141" s="786"/>
      <c r="M1141" s="792"/>
      <c r="N1141" s="793"/>
      <c r="O1141" s="806"/>
      <c r="P1141" s="795"/>
      <c r="Q1141" s="796"/>
      <c r="R1141" s="720">
        <f>$A1141*Q1141</f>
        <v>0</v>
      </c>
      <c r="S1141" s="796"/>
      <c r="T1141" s="500">
        <f>$A1141*S1141*$T$1</f>
        <v>0</v>
      </c>
    </row>
    <row r="1142" spans="1:41" s="501" customFormat="1" ht="12">
      <c r="A1142" s="44"/>
      <c r="B1142" s="497"/>
      <c r="C1142" s="497"/>
      <c r="D1142" s="807"/>
      <c r="E1142" s="808"/>
      <c r="F1142" s="499"/>
      <c r="G1142" s="499"/>
      <c r="H1142" s="499"/>
      <c r="I1142" s="499"/>
      <c r="J1142" s="499"/>
      <c r="K1142" s="499"/>
      <c r="L1142" s="809"/>
      <c r="M1142" s="499"/>
      <c r="N1142" s="499"/>
      <c r="O1142" s="499"/>
      <c r="P1142" s="499"/>
      <c r="Q1142" s="499"/>
      <c r="R1142" s="720">
        <f>$A1142*Q1142</f>
        <v>0</v>
      </c>
      <c r="S1142" s="499"/>
      <c r="T1142" s="500">
        <f>$A1142*S1142*$T$1</f>
        <v>0</v>
      </c>
    </row>
    <row r="1143" spans="1:41" s="501" customFormat="1" ht="12">
      <c r="A1143" s="44"/>
      <c r="B1143" s="497"/>
      <c r="C1143" s="497"/>
      <c r="D1143" s="807"/>
      <c r="E1143" s="808"/>
      <c r="F1143" s="499"/>
      <c r="G1143" s="499"/>
      <c r="H1143" s="499"/>
      <c r="I1143" s="499"/>
      <c r="J1143" s="499"/>
      <c r="K1143" s="499"/>
      <c r="L1143" s="809"/>
      <c r="M1143" s="499"/>
      <c r="N1143" s="499"/>
      <c r="O1143" s="499"/>
      <c r="P1143" s="499"/>
      <c r="Q1143" s="499"/>
      <c r="R1143" s="720">
        <f>$A1143*Q1143</f>
        <v>0</v>
      </c>
      <c r="S1143" s="499"/>
      <c r="T1143" s="500">
        <f>$A1143*S1143*$T$1</f>
        <v>0</v>
      </c>
    </row>
    <row r="1144" spans="1:41" s="501" customFormat="1" ht="12.75" customHeight="1">
      <c r="A1144" s="772" t="s">
        <v>145</v>
      </c>
      <c r="B1144" s="773">
        <f>(R1143+T1143)</f>
        <v>0</v>
      </c>
      <c r="C1144" s="810"/>
      <c r="D1144" s="810"/>
      <c r="E1144" s="810"/>
      <c r="F1144" s="810"/>
      <c r="G1144" s="776"/>
      <c r="H1144" s="776"/>
      <c r="I1144" s="776"/>
      <c r="J1144" s="776"/>
      <c r="K1144" s="798" t="s">
        <v>8</v>
      </c>
      <c r="L1144" s="811" t="s">
        <v>573</v>
      </c>
      <c r="M1144" s="776"/>
      <c r="N1144" s="776"/>
      <c r="O1144" s="776"/>
      <c r="P1144" s="776"/>
      <c r="Q1144" s="776"/>
      <c r="R1144" s="777">
        <f>SUM(R1140:R1143)</f>
        <v>0</v>
      </c>
      <c r="S1144" s="778"/>
      <c r="T1144" s="777">
        <f>SUM(T1140:T1143)</f>
        <v>0</v>
      </c>
      <c r="AG1144" s="812">
        <f>ROUND($R1144*$S$4,2)</f>
        <v>0</v>
      </c>
    </row>
    <row r="1145" spans="1:41" s="501" customFormat="1" ht="12.75" customHeight="1">
      <c r="A1145" s="813"/>
      <c r="B1145" s="814"/>
      <c r="E1145" s="497"/>
      <c r="F1145" s="808"/>
      <c r="G1145" s="497"/>
      <c r="H1145" s="497"/>
      <c r="I1145" s="499"/>
      <c r="J1145" s="497"/>
      <c r="K1145" s="497"/>
      <c r="L1145" s="815"/>
      <c r="M1145" s="725"/>
      <c r="N1145" s="725"/>
      <c r="O1145" s="725"/>
      <c r="P1145" s="725"/>
      <c r="Q1145" s="726"/>
      <c r="R1145" s="784"/>
      <c r="S1145" s="497"/>
      <c r="T1145" s="784"/>
    </row>
    <row r="1146" spans="1:41" s="501" customFormat="1" ht="13.5" customHeight="1" thickBot="1">
      <c r="A1146" s="816"/>
      <c r="B1146" s="817"/>
      <c r="C1146" s="518"/>
      <c r="D1146" s="518"/>
      <c r="E1146" s="515"/>
      <c r="F1146" s="721"/>
      <c r="G1146" s="515" t="s">
        <v>146</v>
      </c>
      <c r="H1146" s="515"/>
      <c r="I1146" s="516"/>
      <c r="J1146" s="515"/>
      <c r="K1146" s="515"/>
      <c r="L1146" s="818" t="s">
        <v>143</v>
      </c>
      <c r="M1146" s="517"/>
      <c r="N1146" s="517"/>
      <c r="O1146" s="517"/>
      <c r="P1146" s="517"/>
      <c r="Q1146" s="722"/>
      <c r="R1146" s="819">
        <f ca="1">SUMIF($L1128:$L1145,"SUBI",R1128:R1145)</f>
        <v>5.56</v>
      </c>
      <c r="S1146" s="820"/>
      <c r="T1146" s="819">
        <f ca="1">SUMIF($L1128:$L1145,"SUBI",T1128:T1145)</f>
        <v>0.98</v>
      </c>
      <c r="U1146" s="518"/>
      <c r="V1146" s="518"/>
      <c r="W1146" s="518"/>
      <c r="X1146" s="518"/>
      <c r="Y1146" s="518"/>
      <c r="Z1146" s="518"/>
      <c r="AA1146" s="518"/>
      <c r="AB1146" s="518"/>
      <c r="AC1146" s="518"/>
      <c r="AD1146" s="518"/>
      <c r="AE1146" s="518"/>
      <c r="AF1146" s="518"/>
      <c r="AG1146" s="518"/>
      <c r="AH1146" s="518"/>
      <c r="AI1146" s="518"/>
      <c r="AJ1146" s="518"/>
      <c r="AK1146" s="518"/>
      <c r="AL1146" s="518"/>
      <c r="AM1146" s="518"/>
      <c r="AN1146" s="518"/>
      <c r="AO1146" s="518"/>
    </row>
    <row r="1147" spans="1:41" s="501" customFormat="1" thickTop="1">
      <c r="A1147" s="44"/>
      <c r="B1147" s="39"/>
      <c r="C1147" s="44"/>
      <c r="E1147" s="40" t="s">
        <v>138</v>
      </c>
      <c r="F1147" s="40" t="s">
        <v>139</v>
      </c>
      <c r="G1147" s="44"/>
      <c r="H1147" s="44"/>
      <c r="I1147" s="44"/>
      <c r="J1147" s="44"/>
      <c r="K1147" s="44" t="s">
        <v>140</v>
      </c>
      <c r="L1147" s="737"/>
      <c r="M1147" s="44"/>
      <c r="N1147" s="44"/>
      <c r="O1147" s="45"/>
      <c r="P1147" s="44"/>
      <c r="Q1147"/>
      <c r="R1147"/>
      <c r="S1147"/>
      <c r="T1147" s="39"/>
      <c r="AG1147" s="502" t="s">
        <v>247</v>
      </c>
      <c r="AH1147" s="502" t="s">
        <v>248</v>
      </c>
      <c r="AI1147" s="502" t="s">
        <v>249</v>
      </c>
      <c r="AJ1147" s="502" t="s">
        <v>250</v>
      </c>
      <c r="AK1147" s="502" t="s">
        <v>251</v>
      </c>
      <c r="AM1147" s="710" t="s">
        <v>260</v>
      </c>
      <c r="AN1147" s="711" t="s">
        <v>261</v>
      </c>
      <c r="AO1147" s="503" t="s">
        <v>257</v>
      </c>
    </row>
    <row r="1148" spans="1:41" s="501" customFormat="1" ht="13.2">
      <c r="A1148" s="712">
        <v>1</v>
      </c>
      <c r="B1148" s="504" t="s">
        <v>283</v>
      </c>
      <c r="C1148" s="505"/>
      <c r="D1148" s="713" t="s">
        <v>585</v>
      </c>
      <c r="E1148" s="738">
        <f ca="1">IF(AND($A1148=0,$A$1="DIF"),0,ROUND(ROUND(SUMIF($L1150:$L1161,"SUBI",$E1150:$E1161)/$A1148,2)*$C$12,2))</f>
        <v>43.84</v>
      </c>
      <c r="F1148" s="739">
        <f ca="1">ROUND($A1148*$E1148,2)</f>
        <v>43.84</v>
      </c>
      <c r="G1148" s="506" t="s">
        <v>142</v>
      </c>
      <c r="H1148" s="498"/>
      <c r="I1148" s="716"/>
      <c r="J1148" s="498"/>
      <c r="K1148" s="740"/>
      <c r="L1148" s="741" t="s">
        <v>143</v>
      </c>
      <c r="M1148" s="717"/>
      <c r="N1148" s="717"/>
      <c r="O1148" s="717"/>
      <c r="P1148" s="717"/>
      <c r="Q1148" s="943" t="s">
        <v>855</v>
      </c>
      <c r="R1148" s="943" t="s">
        <v>870</v>
      </c>
      <c r="S1148"/>
      <c r="T1148" s="742" t="str">
        <f ca="1">IF(AND($R1167=0,$T1167=0),"0.00","mu :" &amp; ROUND($F1148/$C$12/($R1167+$T1167*$D$9),2))</f>
        <v>mu :1.35</v>
      </c>
      <c r="W1148" s="507"/>
      <c r="AG1148" s="743">
        <f ca="1">IF(A1148=0,0,ROUND(SUM(AG1150:AG1167)/A1148,2))</f>
        <v>7.51</v>
      </c>
      <c r="AH1148" s="743">
        <f ca="1">$AG1148*$A1148</f>
        <v>7.51</v>
      </c>
      <c r="AI1148" s="743">
        <f ca="1">$E1148-$AG1148</f>
        <v>36.330000000000005</v>
      </c>
      <c r="AJ1148" s="743">
        <f ca="1">$A1148*$AI1148</f>
        <v>36.330000000000005</v>
      </c>
      <c r="AK1148" s="744">
        <f ca="1">ROUND(($AG1148+$AI1148)*$A1148,2)</f>
        <v>43.84</v>
      </c>
      <c r="AM1148" s="510">
        <f ca="1">ROUND(R1167,2)</f>
        <v>5.56</v>
      </c>
      <c r="AN1148" s="511">
        <f ca="1">ROUND(T1167,2)</f>
        <v>0.98</v>
      </c>
      <c r="AO1148" s="512">
        <f ca="1">ROUND(AM1148+AN1148,2)*A1148</f>
        <v>6.54</v>
      </c>
    </row>
    <row r="1149" spans="1:41" s="501" customFormat="1" ht="21.6" customHeight="1">
      <c r="A1149" s="745"/>
      <c r="B1149" s="746"/>
      <c r="C1149" s="505"/>
      <c r="D1149" s="724" t="s">
        <v>443</v>
      </c>
      <c r="F1149" s="498"/>
      <c r="G1149" s="498"/>
      <c r="H1149" s="498"/>
      <c r="I1149" s="716"/>
      <c r="J1149" s="498"/>
      <c r="K1149" s="498" t="s">
        <v>144</v>
      </c>
      <c r="L1149" s="747"/>
      <c r="M1149" s="498"/>
      <c r="N1149" s="498"/>
      <c r="O1149" s="498"/>
      <c r="P1149" s="498"/>
      <c r="Q1149" s="44"/>
      <c r="R1149" s="567"/>
      <c r="S1149" s="719"/>
      <c r="T1149" s="498"/>
    </row>
    <row r="1150" spans="1:41" s="501" customFormat="1" ht="12">
      <c r="A1150" s="748"/>
      <c r="B1150" s="749"/>
      <c r="C1150" s="497"/>
      <c r="D1150" s="750"/>
      <c r="E1150" s="751">
        <f ca="1">F1148/$C$12-SUMIF($L1147:$L1167,"SUBI",$E1147:$E1167)</f>
        <v>0</v>
      </c>
      <c r="F1150" s="752" t="s">
        <v>572</v>
      </c>
      <c r="G1150" s="753"/>
      <c r="H1150" s="753"/>
      <c r="I1150" s="754"/>
      <c r="J1150" s="753"/>
      <c r="K1150" s="753"/>
      <c r="L1150" s="755"/>
      <c r="M1150" s="756"/>
      <c r="N1150" s="756"/>
      <c r="O1150" s="756"/>
      <c r="P1150" s="756"/>
      <c r="Q1150" s="757"/>
      <c r="R1150" s="758"/>
      <c r="S1150" s="757"/>
      <c r="T1150" s="759"/>
    </row>
    <row r="1151" spans="1:41" s="501" customFormat="1" ht="12" customHeight="1">
      <c r="A1151" s="760"/>
      <c r="B1151" s="761"/>
      <c r="C1151" s="762"/>
      <c r="D1151" s="762" t="str">
        <f>$F$2</f>
        <v>Electrical</v>
      </c>
      <c r="E1151" s="762">
        <f ca="1">ROUND(($R1155*$S$2 + ($T1155*$T$2)), 2)</f>
        <v>43.84</v>
      </c>
      <c r="F1151" s="763">
        <f ca="1">$E1151*$C$12</f>
        <v>43.84</v>
      </c>
      <c r="G1151" s="567"/>
      <c r="H1151" s="764"/>
      <c r="I1151" s="567"/>
      <c r="J1151" s="45"/>
      <c r="K1151" s="765" t="s">
        <v>3</v>
      </c>
      <c r="L1151" s="766" t="s">
        <v>573</v>
      </c>
      <c r="M1151" s="567"/>
      <c r="N1151" s="567"/>
      <c r="O1151" s="45"/>
      <c r="P1151" s="567"/>
      <c r="Q1151" s="567"/>
      <c r="R1151"/>
      <c r="S1151"/>
      <c r="T1151"/>
    </row>
    <row r="1152" spans="1:41" s="935" customFormat="1" ht="13.2">
      <c r="A1152"/>
      <c r="B1152" s="927"/>
      <c r="C1152" s="927" t="s">
        <v>735</v>
      </c>
      <c r="D1152" s="927" t="str">
        <f ca="1">CELL("Address",Elec_Rates!D$46)</f>
        <v>[E25_0465_IH_Retro_Elec4Mech_Est_Rev_A.xlsx]Elec_Rates!$D$46</v>
      </c>
      <c r="E1152" s="928"/>
      <c r="F1152" s="928"/>
      <c r="G1152" s="929" t="s">
        <v>736</v>
      </c>
      <c r="H1152" s="929"/>
      <c r="I1152" s="929"/>
      <c r="J1152" s="929"/>
      <c r="K1152" s="930"/>
      <c r="L1152" s="928"/>
      <c r="M1152" s="928"/>
      <c r="N1152" s="928"/>
      <c r="O1152" s="931"/>
      <c r="P1152" s="928"/>
      <c r="Q1152" s="932"/>
      <c r="R1152" s="933"/>
      <c r="S1152" s="932"/>
      <c r="T1152" s="560"/>
      <c r="U1152" s="934"/>
    </row>
    <row r="1153" spans="1:41" s="935" customFormat="1" ht="11.4">
      <c r="A1153" s="936">
        <v>1</v>
      </c>
      <c r="B1153" s="937">
        <v>1</v>
      </c>
      <c r="C1153" s="937">
        <f>$A1153*$B1153</f>
        <v>1</v>
      </c>
      <c r="D1153" s="938" t="str">
        <f>Elec_Rates!$D$46</f>
        <v>004# Connecting up of 3.0/4.0 kW 400Volt motor (VFD)</v>
      </c>
      <c r="E1153" s="938"/>
      <c r="F1153" s="938" t="s">
        <v>737</v>
      </c>
      <c r="G1153" s="939" t="s">
        <v>739</v>
      </c>
      <c r="H1153" s="939"/>
      <c r="I1153" s="939"/>
      <c r="J1153" s="939"/>
      <c r="K1153" s="940"/>
      <c r="L1153" s="934"/>
      <c r="M1153" s="934"/>
      <c r="N1153" s="934"/>
      <c r="O1153" s="941"/>
      <c r="P1153" s="938"/>
      <c r="Q1153" s="942">
        <f ca="1">$B1153*Elec_Rates!$R$46</f>
        <v>5.56</v>
      </c>
      <c r="R1153" s="933">
        <f ca="1">$A1153*Q1153</f>
        <v>5.56</v>
      </c>
      <c r="S1153" s="942">
        <f ca="1">$B1153*Elec_Rates!$T$46</f>
        <v>0.98</v>
      </c>
      <c r="T1153" s="560">
        <f ca="1">$A1153*S1153</f>
        <v>0.98</v>
      </c>
      <c r="U1153" s="484"/>
    </row>
    <row r="1154" spans="1:41" s="501" customFormat="1" ht="14.4" customHeight="1">
      <c r="A1154" s="767"/>
      <c r="B1154" s="567"/>
      <c r="C1154" s="567"/>
      <c r="D1154" s="567"/>
      <c r="E1154" s="567"/>
      <c r="F1154" s="567"/>
      <c r="G1154" s="567"/>
      <c r="H1154" s="764"/>
      <c r="I1154" s="567"/>
      <c r="J1154" s="45"/>
      <c r="K1154" s="769"/>
      <c r="L1154" s="770"/>
      <c r="M1154" s="567"/>
      <c r="N1154" s="567"/>
      <c r="O1154" s="45"/>
      <c r="P1154" s="567"/>
      <c r="Q1154" s="567"/>
      <c r="R1154" s="771">
        <f>$A1154*Q1154</f>
        <v>0</v>
      </c>
      <c r="S1154" s="567"/>
      <c r="T1154" s="500">
        <f>$A1154*S1154*$T$1</f>
        <v>0</v>
      </c>
    </row>
    <row r="1155" spans="1:41" s="501" customFormat="1" ht="12">
      <c r="A1155" s="772" t="s">
        <v>145</v>
      </c>
      <c r="B1155" s="773">
        <f>(R1154+T1154)</f>
        <v>0</v>
      </c>
      <c r="C1155" s="753"/>
      <c r="G1155" s="774"/>
      <c r="H1155" s="774"/>
      <c r="I1155" s="774"/>
      <c r="J1155" s="774"/>
      <c r="K1155" s="750" t="s">
        <v>3</v>
      </c>
      <c r="L1155" s="775" t="s">
        <v>573</v>
      </c>
      <c r="M1155" s="774"/>
      <c r="N1155" s="774"/>
      <c r="O1155" s="774"/>
      <c r="P1155" s="774"/>
      <c r="Q1155" s="776"/>
      <c r="R1155" s="777">
        <f ca="1">SUM(R1151:R1154)</f>
        <v>5.56</v>
      </c>
      <c r="S1155" s="778"/>
      <c r="T1155" s="777">
        <f ca="1">SUM(T1151:T1154)</f>
        <v>0.98</v>
      </c>
      <c r="AG1155" s="779">
        <f ca="1">ROUND($R1155*$S$2,2)</f>
        <v>7.51</v>
      </c>
    </row>
    <row r="1156" spans="1:41" s="501" customFormat="1" ht="12" customHeight="1">
      <c r="A1156" s="760"/>
      <c r="B1156" s="780"/>
      <c r="C1156" s="781"/>
      <c r="D1156" s="782" t="str">
        <f>$F$3</f>
        <v>Technician</v>
      </c>
      <c r="E1156" s="782">
        <f>ROUND(($R1160*$S$3 + ($T1160*$T$3)), 2)</f>
        <v>0</v>
      </c>
      <c r="F1156" s="783">
        <f>$E1156*$C$12</f>
        <v>0</v>
      </c>
      <c r="G1156" s="499"/>
      <c r="H1156" s="499"/>
      <c r="I1156" s="499"/>
      <c r="J1156" s="499"/>
      <c r="K1156" s="765" t="s">
        <v>5</v>
      </c>
      <c r="L1156" s="766" t="s">
        <v>573</v>
      </c>
      <c r="M1156" s="499"/>
      <c r="N1156" s="499"/>
      <c r="O1156" s="499"/>
      <c r="P1156" s="499"/>
      <c r="Q1156" s="499"/>
      <c r="R1156" s="784"/>
      <c r="S1156" s="499"/>
      <c r="T1156" s="784"/>
    </row>
    <row r="1157" spans="1:41" s="797" customFormat="1" ht="15.6" customHeight="1">
      <c r="A1157" s="785"/>
      <c r="B1157" s="768" t="s">
        <v>575</v>
      </c>
      <c r="C1157" s="786"/>
      <c r="D1157" s="787"/>
      <c r="E1157" s="787"/>
      <c r="F1157" s="787"/>
      <c r="G1157" s="788"/>
      <c r="H1157" s="789"/>
      <c r="I1157" s="789"/>
      <c r="J1157" s="790"/>
      <c r="K1157" s="791"/>
      <c r="L1157" s="786"/>
      <c r="M1157" s="792"/>
      <c r="N1157" s="793"/>
      <c r="O1157" s="794"/>
      <c r="P1157" s="795"/>
      <c r="Q1157" s="796"/>
      <c r="R1157" s="771">
        <f>$A1157*Q1157</f>
        <v>0</v>
      </c>
      <c r="S1157" s="567"/>
      <c r="T1157" s="500">
        <f>$A1157*S1157*$T$1</f>
        <v>0</v>
      </c>
    </row>
    <row r="1158" spans="1:41" s="501" customFormat="1" ht="15.6" customHeight="1">
      <c r="A1158" s="767"/>
      <c r="B1158" s="567"/>
      <c r="C1158" s="567"/>
      <c r="D1158" s="567"/>
      <c r="E1158" s="567"/>
      <c r="F1158" s="567"/>
      <c r="G1158" s="567"/>
      <c r="H1158" s="567"/>
      <c r="I1158" s="567"/>
      <c r="J1158" s="567"/>
      <c r="K1158" s="567"/>
      <c r="L1158" s="770"/>
      <c r="M1158" s="567"/>
      <c r="N1158" s="567"/>
      <c r="O1158" s="567"/>
      <c r="P1158" s="567"/>
      <c r="Q1158" s="567"/>
      <c r="R1158" s="771">
        <f>$A1158*Q1158</f>
        <v>0</v>
      </c>
      <c r="S1158" s="567"/>
      <c r="T1158" s="500">
        <f>$A1158*S1158*$T$1</f>
        <v>0</v>
      </c>
    </row>
    <row r="1159" spans="1:41" s="501" customFormat="1" ht="15.6" customHeight="1">
      <c r="A1159" s="767"/>
      <c r="B1159" s="567"/>
      <c r="C1159" s="567"/>
      <c r="D1159" s="3"/>
      <c r="E1159" s="567"/>
      <c r="F1159" s="567"/>
      <c r="G1159" s="567"/>
      <c r="H1159" s="567"/>
      <c r="I1159" s="567"/>
      <c r="J1159" s="567"/>
      <c r="K1159" s="567"/>
      <c r="L1159" s="770"/>
      <c r="M1159" s="567"/>
      <c r="N1159" s="567"/>
      <c r="O1159" s="567"/>
      <c r="P1159" s="567"/>
      <c r="Q1159" s="567"/>
      <c r="R1159" s="771">
        <f>$A1159*Q1159</f>
        <v>0</v>
      </c>
      <c r="S1159" s="567"/>
      <c r="T1159" s="500">
        <f>$A1159*S1159*$T$1</f>
        <v>0</v>
      </c>
    </row>
    <row r="1160" spans="1:41" s="501" customFormat="1" ht="12">
      <c r="A1160" s="772" t="s">
        <v>145</v>
      </c>
      <c r="B1160" s="773">
        <f>(R1159+T1159)</f>
        <v>0</v>
      </c>
      <c r="C1160" s="753"/>
      <c r="G1160" s="774"/>
      <c r="H1160" s="774"/>
      <c r="I1160" s="774"/>
      <c r="J1160" s="774"/>
      <c r="K1160" s="798" t="s">
        <v>5</v>
      </c>
      <c r="L1160" s="775" t="s">
        <v>573</v>
      </c>
      <c r="M1160" s="774"/>
      <c r="N1160" s="774"/>
      <c r="O1160" s="774"/>
      <c r="P1160" s="774"/>
      <c r="Q1160" s="776"/>
      <c r="R1160" s="777">
        <f>SUM(R1156:R1159)</f>
        <v>0</v>
      </c>
      <c r="S1160" s="778"/>
      <c r="T1160" s="777">
        <f>SUM(T1156:T1159)</f>
        <v>0</v>
      </c>
      <c r="AG1160" s="799">
        <f>ROUND($R1160*$S$3,2)</f>
        <v>0</v>
      </c>
    </row>
    <row r="1161" spans="1:41" s="501" customFormat="1" ht="12" customHeight="1">
      <c r="A1161" s="800"/>
      <c r="B1161" s="801"/>
      <c r="C1161" s="802"/>
      <c r="D1161" s="803" t="str">
        <f>$F$4</f>
        <v>Engineer (Man Hours)</v>
      </c>
      <c r="E1161" s="803">
        <f>ROUND(($R1165*$S$4 + ($T1165*$T$4)), 2)</f>
        <v>0</v>
      </c>
      <c r="F1161" s="804">
        <f ca="1">$F1148-SUMIF($L1150:$P1158,"SUBI",$F1150:$F1158)</f>
        <v>0</v>
      </c>
      <c r="G1161" s="499"/>
      <c r="H1161" s="499"/>
      <c r="I1161" s="499"/>
      <c r="J1161" s="499"/>
      <c r="K1161" s="805" t="s">
        <v>8</v>
      </c>
      <c r="L1161" s="766" t="s">
        <v>573</v>
      </c>
      <c r="M1161" s="499"/>
      <c r="N1161" s="499"/>
      <c r="O1161" s="499"/>
      <c r="P1161" s="499"/>
      <c r="Q1161" s="499"/>
      <c r="R1161" s="784"/>
      <c r="S1161" s="499"/>
      <c r="T1161" s="784"/>
    </row>
    <row r="1162" spans="1:41" s="797" customFormat="1" ht="14.4" customHeight="1">
      <c r="A1162" s="785"/>
      <c r="B1162" s="768" t="s">
        <v>576</v>
      </c>
      <c r="C1162" s="786"/>
      <c r="D1162" s="787"/>
      <c r="E1162" s="787"/>
      <c r="F1162" s="787"/>
      <c r="G1162" s="788"/>
      <c r="H1162" s="789"/>
      <c r="I1162" s="789"/>
      <c r="J1162" s="790"/>
      <c r="K1162" s="791"/>
      <c r="L1162" s="786"/>
      <c r="M1162" s="792"/>
      <c r="N1162" s="793"/>
      <c r="O1162" s="806"/>
      <c r="P1162" s="795"/>
      <c r="Q1162" s="796"/>
      <c r="R1162" s="720">
        <f>$A1162*Q1162</f>
        <v>0</v>
      </c>
      <c r="S1162" s="796"/>
      <c r="T1162" s="500">
        <f>$A1162*S1162*$T$1</f>
        <v>0</v>
      </c>
    </row>
    <row r="1163" spans="1:41" s="501" customFormat="1" ht="12">
      <c r="A1163" s="44"/>
      <c r="B1163" s="497"/>
      <c r="C1163" s="497"/>
      <c r="D1163" s="807"/>
      <c r="E1163" s="808"/>
      <c r="F1163" s="499"/>
      <c r="G1163" s="499"/>
      <c r="H1163" s="499"/>
      <c r="I1163" s="499"/>
      <c r="J1163" s="499"/>
      <c r="K1163" s="499"/>
      <c r="L1163" s="809"/>
      <c r="M1163" s="499"/>
      <c r="N1163" s="499"/>
      <c r="O1163" s="499"/>
      <c r="P1163" s="499"/>
      <c r="Q1163" s="499"/>
      <c r="R1163" s="720">
        <f>$A1163*Q1163</f>
        <v>0</v>
      </c>
      <c r="S1163" s="499"/>
      <c r="T1163" s="500">
        <f>$A1163*S1163*$T$1</f>
        <v>0</v>
      </c>
    </row>
    <row r="1164" spans="1:41" s="501" customFormat="1" ht="12">
      <c r="A1164" s="44"/>
      <c r="B1164" s="497"/>
      <c r="C1164" s="497"/>
      <c r="D1164" s="807"/>
      <c r="E1164" s="808"/>
      <c r="F1164" s="499"/>
      <c r="G1164" s="499"/>
      <c r="H1164" s="499"/>
      <c r="I1164" s="499"/>
      <c r="J1164" s="499"/>
      <c r="K1164" s="499"/>
      <c r="L1164" s="809"/>
      <c r="M1164" s="499"/>
      <c r="N1164" s="499"/>
      <c r="O1164" s="499"/>
      <c r="P1164" s="499"/>
      <c r="Q1164" s="499"/>
      <c r="R1164" s="720">
        <f>$A1164*Q1164</f>
        <v>0</v>
      </c>
      <c r="S1164" s="499"/>
      <c r="T1164" s="500">
        <f>$A1164*S1164*$T$1</f>
        <v>0</v>
      </c>
    </row>
    <row r="1165" spans="1:41" s="501" customFormat="1" ht="12.75" customHeight="1">
      <c r="A1165" s="772" t="s">
        <v>145</v>
      </c>
      <c r="B1165" s="773">
        <f>(R1164+T1164)</f>
        <v>0</v>
      </c>
      <c r="C1165" s="810"/>
      <c r="D1165" s="810"/>
      <c r="E1165" s="810"/>
      <c r="F1165" s="810"/>
      <c r="G1165" s="776"/>
      <c r="H1165" s="776"/>
      <c r="I1165" s="776"/>
      <c r="J1165" s="776"/>
      <c r="K1165" s="798" t="s">
        <v>8</v>
      </c>
      <c r="L1165" s="811" t="s">
        <v>573</v>
      </c>
      <c r="M1165" s="776"/>
      <c r="N1165" s="776"/>
      <c r="O1165" s="776"/>
      <c r="P1165" s="776"/>
      <c r="Q1165" s="776"/>
      <c r="R1165" s="777">
        <f>SUM(R1161:R1164)</f>
        <v>0</v>
      </c>
      <c r="S1165" s="778"/>
      <c r="T1165" s="777">
        <f>SUM(T1161:T1164)</f>
        <v>0</v>
      </c>
      <c r="AG1165" s="812">
        <f>ROUND($R1165*$S$4,2)</f>
        <v>0</v>
      </c>
    </row>
    <row r="1166" spans="1:41" s="501" customFormat="1" ht="12.75" customHeight="1">
      <c r="A1166" s="813"/>
      <c r="B1166" s="814"/>
      <c r="E1166" s="497"/>
      <c r="F1166" s="808"/>
      <c r="G1166" s="497"/>
      <c r="H1166" s="497"/>
      <c r="I1166" s="499"/>
      <c r="J1166" s="497"/>
      <c r="K1166" s="497"/>
      <c r="L1166" s="815"/>
      <c r="M1166" s="725"/>
      <c r="N1166" s="725"/>
      <c r="O1166" s="725"/>
      <c r="P1166" s="725"/>
      <c r="Q1166" s="726"/>
      <c r="R1166" s="784"/>
      <c r="S1166" s="497"/>
      <c r="T1166" s="784"/>
    </row>
    <row r="1167" spans="1:41" s="501" customFormat="1" ht="13.5" customHeight="1" thickBot="1">
      <c r="A1167" s="816"/>
      <c r="B1167" s="817"/>
      <c r="C1167" s="518"/>
      <c r="D1167" s="518"/>
      <c r="E1167" s="515"/>
      <c r="F1167" s="721"/>
      <c r="G1167" s="515" t="s">
        <v>146</v>
      </c>
      <c r="H1167" s="515"/>
      <c r="I1167" s="516"/>
      <c r="J1167" s="515"/>
      <c r="K1167" s="515"/>
      <c r="L1167" s="818" t="s">
        <v>143</v>
      </c>
      <c r="M1167" s="517"/>
      <c r="N1167" s="517"/>
      <c r="O1167" s="517"/>
      <c r="P1167" s="517"/>
      <c r="Q1167" s="722"/>
      <c r="R1167" s="819">
        <f ca="1">SUMIF($L1149:$L1166,"SUBI",R1149:R1166)</f>
        <v>5.56</v>
      </c>
      <c r="S1167" s="820"/>
      <c r="T1167" s="819">
        <f ca="1">SUMIF($L1149:$L1166,"SUBI",T1149:T1166)</f>
        <v>0.98</v>
      </c>
      <c r="U1167" s="518"/>
      <c r="V1167" s="518"/>
      <c r="W1167" s="518"/>
      <c r="X1167" s="518"/>
      <c r="Y1167" s="518"/>
      <c r="Z1167" s="518"/>
      <c r="AA1167" s="518"/>
      <c r="AB1167" s="518"/>
      <c r="AC1167" s="518"/>
      <c r="AD1167" s="518"/>
      <c r="AE1167" s="518"/>
      <c r="AF1167" s="518"/>
      <c r="AG1167" s="518"/>
      <c r="AH1167" s="518"/>
      <c r="AI1167" s="518"/>
      <c r="AJ1167" s="518"/>
      <c r="AK1167" s="518"/>
      <c r="AL1167" s="518"/>
      <c r="AM1167" s="518"/>
      <c r="AN1167" s="518"/>
      <c r="AO1167" s="518"/>
    </row>
    <row r="1168" spans="1:41" s="501" customFormat="1" thickTop="1">
      <c r="A1168" s="44"/>
      <c r="B1168" s="39"/>
      <c r="C1168" s="44"/>
      <c r="E1168" s="40" t="s">
        <v>138</v>
      </c>
      <c r="F1168" s="40" t="s">
        <v>139</v>
      </c>
      <c r="G1168" s="44"/>
      <c r="H1168" s="44"/>
      <c r="I1168" s="44"/>
      <c r="J1168" s="44"/>
      <c r="K1168" s="44" t="s">
        <v>140</v>
      </c>
      <c r="L1168" s="737"/>
      <c r="M1168" s="44"/>
      <c r="N1168" s="44"/>
      <c r="O1168" s="45"/>
      <c r="P1168" s="44"/>
      <c r="Q1168"/>
      <c r="R1168"/>
      <c r="S1168"/>
      <c r="T1168" s="39"/>
      <c r="AG1168" s="502" t="s">
        <v>247</v>
      </c>
      <c r="AH1168" s="502" t="s">
        <v>248</v>
      </c>
      <c r="AI1168" s="502" t="s">
        <v>249</v>
      </c>
      <c r="AJ1168" s="502" t="s">
        <v>250</v>
      </c>
      <c r="AK1168" s="502" t="s">
        <v>251</v>
      </c>
      <c r="AM1168" s="710" t="s">
        <v>260</v>
      </c>
      <c r="AN1168" s="711" t="s">
        <v>261</v>
      </c>
      <c r="AO1168" s="503" t="s">
        <v>257</v>
      </c>
    </row>
    <row r="1169" spans="1:41" s="501" customFormat="1" ht="13.2">
      <c r="A1169" s="712">
        <v>1</v>
      </c>
      <c r="B1169" s="504" t="s">
        <v>283</v>
      </c>
      <c r="C1169" s="505"/>
      <c r="D1169" s="713" t="s">
        <v>586</v>
      </c>
      <c r="E1169" s="738">
        <f ca="1">IF(AND($A1169=0,$A$1="DIF"),0,ROUND(ROUND(SUMIF($L1171:$L1182,"SUBI",$E1171:$E1182)/$A1169,2)*$C$12,2))</f>
        <v>47.58</v>
      </c>
      <c r="F1169" s="739">
        <f ca="1">ROUND($A1169*$E1169,2)</f>
        <v>47.58</v>
      </c>
      <c r="G1169" s="506" t="s">
        <v>142</v>
      </c>
      <c r="H1169" s="498"/>
      <c r="I1169" s="716"/>
      <c r="J1169" s="498"/>
      <c r="K1169" s="740"/>
      <c r="L1169" s="741" t="s">
        <v>143</v>
      </c>
      <c r="M1169" s="717"/>
      <c r="N1169" s="717"/>
      <c r="O1169" s="717"/>
      <c r="P1169" s="717"/>
      <c r="Q1169" s="943" t="s">
        <v>855</v>
      </c>
      <c r="R1169" s="943" t="s">
        <v>870</v>
      </c>
      <c r="S1169"/>
      <c r="T1169" s="742" t="str">
        <f ca="1">IF(AND($R1188=0,$T1188=0),"0.00","mu :" &amp; ROUND($F1169/$C$12/($R1188+$T1188*$D$9),2))</f>
        <v>mu :1.35</v>
      </c>
      <c r="W1169" s="507"/>
      <c r="AG1169" s="743">
        <f ca="1">IF(A1169=0,0,ROUND(SUM(AG1171:AG1188)/A1169,2))</f>
        <v>9.4</v>
      </c>
      <c r="AH1169" s="743">
        <f ca="1">$AG1169*$A1169</f>
        <v>9.4</v>
      </c>
      <c r="AI1169" s="743">
        <f ca="1">$E1169-$AG1169</f>
        <v>38.18</v>
      </c>
      <c r="AJ1169" s="743">
        <f ca="1">$A1169*$AI1169</f>
        <v>38.18</v>
      </c>
      <c r="AK1169" s="744">
        <f ca="1">ROUND(($AG1169+$AI1169)*$A1169,2)</f>
        <v>47.58</v>
      </c>
      <c r="AM1169" s="510">
        <f ca="1">ROUND(R1188,2)</f>
        <v>6.96</v>
      </c>
      <c r="AN1169" s="511">
        <f ca="1">ROUND(T1188,2)</f>
        <v>1.03</v>
      </c>
      <c r="AO1169" s="512">
        <f ca="1">ROUND(AM1169+AN1169,2)*A1169</f>
        <v>7.99</v>
      </c>
    </row>
    <row r="1170" spans="1:41" s="501" customFormat="1" ht="21.6" customHeight="1">
      <c r="A1170" s="745"/>
      <c r="B1170" s="746"/>
      <c r="C1170" s="505"/>
      <c r="D1170" s="724" t="s">
        <v>444</v>
      </c>
      <c r="F1170" s="498"/>
      <c r="G1170" s="498"/>
      <c r="H1170" s="498"/>
      <c r="I1170" s="716"/>
      <c r="J1170" s="498"/>
      <c r="K1170" s="498" t="s">
        <v>144</v>
      </c>
      <c r="L1170" s="747"/>
      <c r="M1170" s="498"/>
      <c r="N1170" s="498"/>
      <c r="O1170" s="498"/>
      <c r="P1170" s="498"/>
      <c r="Q1170" s="44"/>
      <c r="R1170" s="567"/>
      <c r="S1170" s="719"/>
      <c r="T1170" s="498"/>
    </row>
    <row r="1171" spans="1:41" s="501" customFormat="1" ht="12">
      <c r="A1171" s="748"/>
      <c r="B1171" s="749"/>
      <c r="C1171" s="497"/>
      <c r="D1171" s="750"/>
      <c r="E1171" s="751">
        <f ca="1">F1169/$C$12-SUMIF($L1168:$L1188,"SUBI",$E1168:$E1188)</f>
        <v>0</v>
      </c>
      <c r="F1171" s="752" t="s">
        <v>572</v>
      </c>
      <c r="G1171" s="753"/>
      <c r="H1171" s="753"/>
      <c r="I1171" s="754"/>
      <c r="J1171" s="753"/>
      <c r="K1171" s="753"/>
      <c r="L1171" s="755"/>
      <c r="M1171" s="756"/>
      <c r="N1171" s="756"/>
      <c r="O1171" s="756"/>
      <c r="P1171" s="756"/>
      <c r="Q1171" s="757"/>
      <c r="R1171" s="758"/>
      <c r="S1171" s="757"/>
      <c r="T1171" s="759"/>
    </row>
    <row r="1172" spans="1:41" s="501" customFormat="1" ht="12" customHeight="1">
      <c r="A1172" s="760"/>
      <c r="B1172" s="761"/>
      <c r="C1172" s="762"/>
      <c r="D1172" s="762" t="str">
        <f>$F$2</f>
        <v>Electrical</v>
      </c>
      <c r="E1172" s="762">
        <f ca="1">ROUND(($R1176*$S$2 + ($T1176*$T$2)), 2)</f>
        <v>47.58</v>
      </c>
      <c r="F1172" s="763">
        <f ca="1">$E1172*$C$12</f>
        <v>47.58</v>
      </c>
      <c r="G1172" s="567"/>
      <c r="H1172" s="764"/>
      <c r="I1172" s="567"/>
      <c r="J1172" s="45"/>
      <c r="K1172" s="765" t="s">
        <v>3</v>
      </c>
      <c r="L1172" s="766" t="s">
        <v>573</v>
      </c>
      <c r="M1172" s="567"/>
      <c r="N1172" s="567"/>
      <c r="O1172" s="45"/>
      <c r="P1172" s="567"/>
      <c r="Q1172" s="567"/>
      <c r="R1172"/>
      <c r="S1172"/>
      <c r="T1172"/>
    </row>
    <row r="1173" spans="1:41" s="935" customFormat="1" ht="13.2">
      <c r="A1173"/>
      <c r="B1173" s="927"/>
      <c r="C1173" s="927" t="s">
        <v>735</v>
      </c>
      <c r="D1173" s="927" t="str">
        <f ca="1">CELL("Address",Elec_Rates!D$55)</f>
        <v>[E25_0465_IH_Retro_Elec4Mech_Est_Rev_A.xlsx]Elec_Rates!$D$55</v>
      </c>
      <c r="E1173" s="928"/>
      <c r="F1173" s="928"/>
      <c r="G1173" s="929" t="s">
        <v>736</v>
      </c>
      <c r="H1173" s="929"/>
      <c r="I1173" s="929"/>
      <c r="J1173" s="929"/>
      <c r="K1173" s="930"/>
      <c r="L1173" s="928"/>
      <c r="M1173" s="928"/>
      <c r="N1173" s="928"/>
      <c r="O1173" s="931"/>
      <c r="P1173" s="928"/>
      <c r="Q1173" s="932"/>
      <c r="R1173" s="933"/>
      <c r="S1173" s="932"/>
      <c r="T1173" s="560"/>
      <c r="U1173" s="934"/>
    </row>
    <row r="1174" spans="1:41" s="935" customFormat="1" ht="11.4">
      <c r="A1174" s="936">
        <v>1</v>
      </c>
      <c r="B1174" s="937">
        <v>1</v>
      </c>
      <c r="C1174" s="937">
        <f>$A1174*$B1174</f>
        <v>1</v>
      </c>
      <c r="D1174" s="938" t="str">
        <f>Elec_Rates!$D$55</f>
        <v>005# Connecting up of 7.5 kW 400Volt motor (VFD)</v>
      </c>
      <c r="E1174" s="938"/>
      <c r="F1174" s="938" t="s">
        <v>737</v>
      </c>
      <c r="G1174" s="939" t="s">
        <v>739</v>
      </c>
      <c r="H1174" s="939"/>
      <c r="I1174" s="939"/>
      <c r="J1174" s="939"/>
      <c r="K1174" s="940"/>
      <c r="L1174" s="934"/>
      <c r="M1174" s="934"/>
      <c r="N1174" s="934"/>
      <c r="O1174" s="941"/>
      <c r="P1174" s="938"/>
      <c r="Q1174" s="942">
        <f ca="1">$B1174*Elec_Rates!$R$55</f>
        <v>6.96</v>
      </c>
      <c r="R1174" s="933">
        <f ca="1">$A1174*Q1174</f>
        <v>6.96</v>
      </c>
      <c r="S1174" s="942">
        <f ca="1">$B1174*Elec_Rates!$T$55</f>
        <v>1.03</v>
      </c>
      <c r="T1174" s="560">
        <f ca="1">$A1174*S1174</f>
        <v>1.03</v>
      </c>
      <c r="U1174" s="484"/>
    </row>
    <row r="1175" spans="1:41" s="501" customFormat="1" ht="14.4" customHeight="1">
      <c r="A1175" s="767"/>
      <c r="B1175" s="567"/>
      <c r="C1175" s="567"/>
      <c r="D1175" s="567"/>
      <c r="E1175" s="567"/>
      <c r="F1175" s="567"/>
      <c r="G1175" s="567"/>
      <c r="H1175" s="764"/>
      <c r="I1175" s="567"/>
      <c r="J1175" s="45"/>
      <c r="K1175" s="769"/>
      <c r="L1175" s="770"/>
      <c r="M1175" s="567"/>
      <c r="N1175" s="567"/>
      <c r="O1175" s="45"/>
      <c r="P1175" s="567"/>
      <c r="Q1175" s="567"/>
      <c r="R1175" s="771">
        <f>$A1175*Q1175</f>
        <v>0</v>
      </c>
      <c r="S1175" s="567"/>
      <c r="T1175" s="500">
        <f>$A1175*S1175*$T$1</f>
        <v>0</v>
      </c>
    </row>
    <row r="1176" spans="1:41" s="501" customFormat="1" ht="12">
      <c r="A1176" s="772" t="s">
        <v>145</v>
      </c>
      <c r="B1176" s="773">
        <f>(R1175+T1175)</f>
        <v>0</v>
      </c>
      <c r="C1176" s="753"/>
      <c r="G1176" s="774"/>
      <c r="H1176" s="774"/>
      <c r="I1176" s="774"/>
      <c r="J1176" s="774"/>
      <c r="K1176" s="750" t="s">
        <v>3</v>
      </c>
      <c r="L1176" s="775" t="s">
        <v>573</v>
      </c>
      <c r="M1176" s="774"/>
      <c r="N1176" s="774"/>
      <c r="O1176" s="774"/>
      <c r="P1176" s="774"/>
      <c r="Q1176" s="776"/>
      <c r="R1176" s="777">
        <f ca="1">SUM(R1172:R1175)</f>
        <v>6.96</v>
      </c>
      <c r="S1176" s="778"/>
      <c r="T1176" s="777">
        <f ca="1">SUM(T1172:T1175)</f>
        <v>1.03</v>
      </c>
      <c r="AG1176" s="779">
        <f ca="1">ROUND($R1176*$S$2,2)</f>
        <v>9.4</v>
      </c>
    </row>
    <row r="1177" spans="1:41" s="501" customFormat="1" ht="12" customHeight="1">
      <c r="A1177" s="760"/>
      <c r="B1177" s="780"/>
      <c r="C1177" s="781"/>
      <c r="D1177" s="782" t="str">
        <f>$F$3</f>
        <v>Technician</v>
      </c>
      <c r="E1177" s="782">
        <f>ROUND(($R1181*$S$3 + ($T1181*$T$3)), 2)</f>
        <v>0</v>
      </c>
      <c r="F1177" s="783">
        <f>$E1177*$C$12</f>
        <v>0</v>
      </c>
      <c r="G1177" s="499"/>
      <c r="H1177" s="499"/>
      <c r="I1177" s="499"/>
      <c r="J1177" s="499"/>
      <c r="K1177" s="765" t="s">
        <v>5</v>
      </c>
      <c r="L1177" s="766" t="s">
        <v>573</v>
      </c>
      <c r="M1177" s="499"/>
      <c r="N1177" s="499"/>
      <c r="O1177" s="499"/>
      <c r="P1177" s="499"/>
      <c r="Q1177" s="499"/>
      <c r="R1177" s="784"/>
      <c r="S1177" s="499"/>
      <c r="T1177" s="784"/>
    </row>
    <row r="1178" spans="1:41" s="797" customFormat="1" ht="15.6" customHeight="1">
      <c r="A1178" s="785"/>
      <c r="B1178" s="768" t="s">
        <v>575</v>
      </c>
      <c r="C1178" s="786"/>
      <c r="D1178" s="787"/>
      <c r="E1178" s="787"/>
      <c r="F1178" s="787"/>
      <c r="G1178" s="788"/>
      <c r="H1178" s="789"/>
      <c r="I1178" s="789"/>
      <c r="J1178" s="790"/>
      <c r="K1178" s="791"/>
      <c r="L1178" s="786"/>
      <c r="M1178" s="792"/>
      <c r="N1178" s="793"/>
      <c r="O1178" s="794"/>
      <c r="P1178" s="795"/>
      <c r="Q1178" s="796"/>
      <c r="R1178" s="771">
        <f>$A1178*Q1178</f>
        <v>0</v>
      </c>
      <c r="S1178" s="567"/>
      <c r="T1178" s="500">
        <f>$A1178*S1178*$T$1</f>
        <v>0</v>
      </c>
    </row>
    <row r="1179" spans="1:41" s="501" customFormat="1" ht="15.6" customHeight="1">
      <c r="A1179" s="767"/>
      <c r="B1179" s="567"/>
      <c r="C1179" s="567"/>
      <c r="D1179" s="567"/>
      <c r="E1179" s="567"/>
      <c r="F1179" s="567"/>
      <c r="G1179" s="567"/>
      <c r="H1179" s="567"/>
      <c r="I1179" s="567"/>
      <c r="J1179" s="567"/>
      <c r="K1179" s="567"/>
      <c r="L1179" s="770"/>
      <c r="M1179" s="567"/>
      <c r="N1179" s="567"/>
      <c r="O1179" s="567"/>
      <c r="P1179" s="567"/>
      <c r="Q1179" s="567"/>
      <c r="R1179" s="771">
        <f>$A1179*Q1179</f>
        <v>0</v>
      </c>
      <c r="S1179" s="567"/>
      <c r="T1179" s="500">
        <f>$A1179*S1179*$T$1</f>
        <v>0</v>
      </c>
    </row>
    <row r="1180" spans="1:41" s="501" customFormat="1" ht="15.6" customHeight="1">
      <c r="A1180" s="767"/>
      <c r="B1180" s="567"/>
      <c r="C1180" s="567"/>
      <c r="D1180" s="3"/>
      <c r="E1180" s="567"/>
      <c r="F1180" s="567"/>
      <c r="G1180" s="567"/>
      <c r="H1180" s="567"/>
      <c r="I1180" s="567"/>
      <c r="J1180" s="567"/>
      <c r="K1180" s="567"/>
      <c r="L1180" s="770"/>
      <c r="M1180" s="567"/>
      <c r="N1180" s="567"/>
      <c r="O1180" s="567"/>
      <c r="P1180" s="567"/>
      <c r="Q1180" s="567"/>
      <c r="R1180" s="771">
        <f>$A1180*Q1180</f>
        <v>0</v>
      </c>
      <c r="S1180" s="567"/>
      <c r="T1180" s="500">
        <f>$A1180*S1180*$T$1</f>
        <v>0</v>
      </c>
    </row>
    <row r="1181" spans="1:41" s="501" customFormat="1" ht="12">
      <c r="A1181" s="772" t="s">
        <v>145</v>
      </c>
      <c r="B1181" s="773">
        <f>(R1180+T1180)</f>
        <v>0</v>
      </c>
      <c r="C1181" s="753"/>
      <c r="G1181" s="774"/>
      <c r="H1181" s="774"/>
      <c r="I1181" s="774"/>
      <c r="J1181" s="774"/>
      <c r="K1181" s="798" t="s">
        <v>5</v>
      </c>
      <c r="L1181" s="775" t="s">
        <v>573</v>
      </c>
      <c r="M1181" s="774"/>
      <c r="N1181" s="774"/>
      <c r="O1181" s="774"/>
      <c r="P1181" s="774"/>
      <c r="Q1181" s="776"/>
      <c r="R1181" s="777">
        <f>SUM(R1177:R1180)</f>
        <v>0</v>
      </c>
      <c r="S1181" s="778"/>
      <c r="T1181" s="777">
        <f>SUM(T1177:T1180)</f>
        <v>0</v>
      </c>
      <c r="AG1181" s="799">
        <f>ROUND($R1181*$S$3,2)</f>
        <v>0</v>
      </c>
    </row>
    <row r="1182" spans="1:41" s="501" customFormat="1" ht="12" customHeight="1">
      <c r="A1182" s="800"/>
      <c r="B1182" s="801"/>
      <c r="C1182" s="802"/>
      <c r="D1182" s="803" t="str">
        <f>$F$4</f>
        <v>Engineer (Man Hours)</v>
      </c>
      <c r="E1182" s="803">
        <f>ROUND(($R1186*$S$4 + ($T1186*$T$4)), 2)</f>
        <v>0</v>
      </c>
      <c r="F1182" s="804">
        <f ca="1">$F1169-SUMIF($L1171:$P1179,"SUBI",$F1171:$F1179)</f>
        <v>0</v>
      </c>
      <c r="G1182" s="499"/>
      <c r="H1182" s="499"/>
      <c r="I1182" s="499"/>
      <c r="J1182" s="499"/>
      <c r="K1182" s="805" t="s">
        <v>8</v>
      </c>
      <c r="L1182" s="766" t="s">
        <v>573</v>
      </c>
      <c r="M1182" s="499"/>
      <c r="N1182" s="499"/>
      <c r="O1182" s="499"/>
      <c r="P1182" s="499"/>
      <c r="Q1182" s="499"/>
      <c r="R1182" s="784"/>
      <c r="S1182" s="499"/>
      <c r="T1182" s="784"/>
    </row>
    <row r="1183" spans="1:41" s="797" customFormat="1" ht="14.4" customHeight="1">
      <c r="A1183" s="785"/>
      <c r="B1183" s="768" t="s">
        <v>576</v>
      </c>
      <c r="C1183" s="786"/>
      <c r="D1183" s="787"/>
      <c r="E1183" s="787"/>
      <c r="F1183" s="787"/>
      <c r="G1183" s="788"/>
      <c r="H1183" s="789"/>
      <c r="I1183" s="789"/>
      <c r="J1183" s="790"/>
      <c r="K1183" s="791"/>
      <c r="L1183" s="786"/>
      <c r="M1183" s="792"/>
      <c r="N1183" s="793"/>
      <c r="O1183" s="806"/>
      <c r="P1183" s="795"/>
      <c r="Q1183" s="796"/>
      <c r="R1183" s="720">
        <f>$A1183*Q1183</f>
        <v>0</v>
      </c>
      <c r="S1183" s="796"/>
      <c r="T1183" s="500">
        <f>$A1183*S1183*$T$1</f>
        <v>0</v>
      </c>
    </row>
    <row r="1184" spans="1:41" s="501" customFormat="1" ht="12">
      <c r="A1184" s="44"/>
      <c r="B1184" s="497"/>
      <c r="C1184" s="497"/>
      <c r="D1184" s="807"/>
      <c r="E1184" s="808"/>
      <c r="F1184" s="499"/>
      <c r="G1184" s="499"/>
      <c r="H1184" s="499"/>
      <c r="I1184" s="499"/>
      <c r="J1184" s="499"/>
      <c r="K1184" s="499"/>
      <c r="L1184" s="809"/>
      <c r="M1184" s="499"/>
      <c r="N1184" s="499"/>
      <c r="O1184" s="499"/>
      <c r="P1184" s="499"/>
      <c r="Q1184" s="499"/>
      <c r="R1184" s="720">
        <f>$A1184*Q1184</f>
        <v>0</v>
      </c>
      <c r="S1184" s="499"/>
      <c r="T1184" s="500">
        <f>$A1184*S1184*$T$1</f>
        <v>0</v>
      </c>
    </row>
    <row r="1185" spans="1:41" s="501" customFormat="1" ht="12">
      <c r="A1185" s="44"/>
      <c r="B1185" s="497"/>
      <c r="C1185" s="497"/>
      <c r="D1185" s="807"/>
      <c r="E1185" s="808"/>
      <c r="F1185" s="499"/>
      <c r="G1185" s="499"/>
      <c r="H1185" s="499"/>
      <c r="I1185" s="499"/>
      <c r="J1185" s="499"/>
      <c r="K1185" s="499"/>
      <c r="L1185" s="809"/>
      <c r="M1185" s="499"/>
      <c r="N1185" s="499"/>
      <c r="O1185" s="499"/>
      <c r="P1185" s="499"/>
      <c r="Q1185" s="499"/>
      <c r="R1185" s="720">
        <f>$A1185*Q1185</f>
        <v>0</v>
      </c>
      <c r="S1185" s="499"/>
      <c r="T1185" s="500">
        <f>$A1185*S1185*$T$1</f>
        <v>0</v>
      </c>
    </row>
    <row r="1186" spans="1:41" s="501" customFormat="1" ht="12.75" customHeight="1">
      <c r="A1186" s="772" t="s">
        <v>145</v>
      </c>
      <c r="B1186" s="773">
        <f>(R1185+T1185)</f>
        <v>0</v>
      </c>
      <c r="C1186" s="810"/>
      <c r="D1186" s="810"/>
      <c r="E1186" s="810"/>
      <c r="F1186" s="810"/>
      <c r="G1186" s="776"/>
      <c r="H1186" s="776"/>
      <c r="I1186" s="776"/>
      <c r="J1186" s="776"/>
      <c r="K1186" s="798" t="s">
        <v>8</v>
      </c>
      <c r="L1186" s="811" t="s">
        <v>573</v>
      </c>
      <c r="M1186" s="776"/>
      <c r="N1186" s="776"/>
      <c r="O1186" s="776"/>
      <c r="P1186" s="776"/>
      <c r="Q1186" s="776"/>
      <c r="R1186" s="777">
        <f>SUM(R1182:R1185)</f>
        <v>0</v>
      </c>
      <c r="S1186" s="778"/>
      <c r="T1186" s="777">
        <f>SUM(T1182:T1185)</f>
        <v>0</v>
      </c>
      <c r="AG1186" s="812">
        <f>ROUND($R1186*$S$4,2)</f>
        <v>0</v>
      </c>
    </row>
    <row r="1187" spans="1:41" s="501" customFormat="1" ht="12.75" customHeight="1">
      <c r="A1187" s="813"/>
      <c r="B1187" s="814"/>
      <c r="E1187" s="497"/>
      <c r="F1187" s="808"/>
      <c r="G1187" s="497"/>
      <c r="H1187" s="497"/>
      <c r="I1187" s="499"/>
      <c r="J1187" s="497"/>
      <c r="K1187" s="497"/>
      <c r="L1187" s="815"/>
      <c r="M1187" s="725"/>
      <c r="N1187" s="725"/>
      <c r="O1187" s="725"/>
      <c r="P1187" s="725"/>
      <c r="Q1187" s="726"/>
      <c r="R1187" s="784"/>
      <c r="S1187" s="497"/>
      <c r="T1187" s="784"/>
    </row>
    <row r="1188" spans="1:41" s="501" customFormat="1" ht="13.5" customHeight="1" thickBot="1">
      <c r="A1188" s="816"/>
      <c r="B1188" s="817"/>
      <c r="C1188" s="518"/>
      <c r="D1188" s="518"/>
      <c r="E1188" s="515"/>
      <c r="F1188" s="721"/>
      <c r="G1188" s="515" t="s">
        <v>146</v>
      </c>
      <c r="H1188" s="515"/>
      <c r="I1188" s="516"/>
      <c r="J1188" s="515"/>
      <c r="K1188" s="515"/>
      <c r="L1188" s="818" t="s">
        <v>143</v>
      </c>
      <c r="M1188" s="517"/>
      <c r="N1188" s="517"/>
      <c r="O1188" s="517"/>
      <c r="P1188" s="517"/>
      <c r="Q1188" s="722"/>
      <c r="R1188" s="819">
        <f ca="1">SUMIF($L1170:$L1187,"SUBI",R1170:R1187)</f>
        <v>6.96</v>
      </c>
      <c r="S1188" s="820"/>
      <c r="T1188" s="819">
        <f ca="1">SUMIF($L1170:$L1187,"SUBI",T1170:T1187)</f>
        <v>1.03</v>
      </c>
      <c r="U1188" s="518"/>
      <c r="V1188" s="518"/>
      <c r="W1188" s="518"/>
      <c r="X1188" s="518"/>
      <c r="Y1188" s="518"/>
      <c r="Z1188" s="518"/>
      <c r="AA1188" s="518"/>
      <c r="AB1188" s="518"/>
      <c r="AC1188" s="518"/>
      <c r="AD1188" s="518"/>
      <c r="AE1188" s="518"/>
      <c r="AF1188" s="518"/>
      <c r="AG1188" s="518"/>
      <c r="AH1188" s="518"/>
      <c r="AI1188" s="518"/>
      <c r="AJ1188" s="518"/>
      <c r="AK1188" s="518"/>
      <c r="AL1188" s="518"/>
      <c r="AM1188" s="518"/>
      <c r="AN1188" s="518"/>
      <c r="AO1188" s="518"/>
    </row>
    <row r="1189" spans="1:41" s="501" customFormat="1" thickTop="1">
      <c r="A1189" s="44"/>
      <c r="B1189" s="39"/>
      <c r="C1189" s="44"/>
      <c r="E1189" s="40" t="s">
        <v>138</v>
      </c>
      <c r="F1189" s="40" t="s">
        <v>139</v>
      </c>
      <c r="G1189" s="44"/>
      <c r="H1189" s="44"/>
      <c r="I1189" s="44"/>
      <c r="J1189" s="44"/>
      <c r="K1189" s="44" t="s">
        <v>140</v>
      </c>
      <c r="L1189" s="737"/>
      <c r="M1189" s="44"/>
      <c r="N1189" s="44"/>
      <c r="O1189" s="45"/>
      <c r="P1189" s="44"/>
      <c r="Q1189"/>
      <c r="R1189"/>
      <c r="S1189"/>
      <c r="T1189" s="39"/>
      <c r="AG1189" s="502" t="s">
        <v>247</v>
      </c>
      <c r="AH1189" s="502" t="s">
        <v>248</v>
      </c>
      <c r="AI1189" s="502" t="s">
        <v>249</v>
      </c>
      <c r="AJ1189" s="502" t="s">
        <v>250</v>
      </c>
      <c r="AK1189" s="502" t="s">
        <v>251</v>
      </c>
      <c r="AM1189" s="710" t="s">
        <v>260</v>
      </c>
      <c r="AN1189" s="711" t="s">
        <v>261</v>
      </c>
      <c r="AO1189" s="503" t="s">
        <v>257</v>
      </c>
    </row>
    <row r="1190" spans="1:41" s="501" customFormat="1" ht="13.2">
      <c r="A1190" s="712">
        <v>1</v>
      </c>
      <c r="B1190" s="504" t="s">
        <v>283</v>
      </c>
      <c r="C1190" s="505"/>
      <c r="D1190" s="713" t="s">
        <v>592</v>
      </c>
      <c r="E1190" s="738">
        <f ca="1">IF(AND($A1190=0,$A$1="DIF"),0,ROUND(ROUND(SUMIF($L1192:$L1203,"SUBI",$E1192:$E1203)/$A1190,2)*$C$12,2))</f>
        <v>47.58</v>
      </c>
      <c r="F1190" s="739">
        <f ca="1">ROUND($A1190*$E1190,2)</f>
        <v>47.58</v>
      </c>
      <c r="G1190" s="506" t="s">
        <v>142</v>
      </c>
      <c r="H1190" s="498"/>
      <c r="I1190" s="716"/>
      <c r="J1190" s="498"/>
      <c r="K1190" s="740"/>
      <c r="L1190" s="741" t="s">
        <v>143</v>
      </c>
      <c r="M1190" s="717"/>
      <c r="N1190" s="717"/>
      <c r="O1190" s="717"/>
      <c r="P1190" s="717"/>
      <c r="Q1190" s="943" t="s">
        <v>855</v>
      </c>
      <c r="R1190" s="943" t="s">
        <v>870</v>
      </c>
      <c r="S1190"/>
      <c r="T1190" s="742" t="str">
        <f ca="1">IF(AND($R1209=0,$T1209=0),"0.00","mu :" &amp; ROUND($F1190/$C$12/($R1209+$T1209*$D$9),2))</f>
        <v>mu :1.35</v>
      </c>
      <c r="W1190" s="507"/>
      <c r="AG1190" s="743">
        <f ca="1">IF(A1190=0,0,ROUND(SUM(AG1192:AG1209)/A1190,2))</f>
        <v>9.4</v>
      </c>
      <c r="AH1190" s="743">
        <f ca="1">$AG1190*$A1190</f>
        <v>9.4</v>
      </c>
      <c r="AI1190" s="743">
        <f ca="1">$E1190-$AG1190</f>
        <v>38.18</v>
      </c>
      <c r="AJ1190" s="743">
        <f ca="1">$A1190*$AI1190</f>
        <v>38.18</v>
      </c>
      <c r="AK1190" s="744">
        <f ca="1">ROUND(($AG1190+$AI1190)*$A1190,2)</f>
        <v>47.58</v>
      </c>
      <c r="AM1190" s="510">
        <f ca="1">ROUND(R1209,2)</f>
        <v>6.96</v>
      </c>
      <c r="AN1190" s="511">
        <f ca="1">ROUND(T1209,2)</f>
        <v>1.03</v>
      </c>
      <c r="AO1190" s="512">
        <f ca="1">ROUND(AM1190+AN1190,2)*A1190</f>
        <v>7.99</v>
      </c>
    </row>
    <row r="1191" spans="1:41" s="501" customFormat="1" ht="21.6" customHeight="1">
      <c r="A1191" s="745"/>
      <c r="B1191" s="746"/>
      <c r="C1191" s="505"/>
      <c r="D1191" s="724" t="s">
        <v>445</v>
      </c>
      <c r="F1191" s="498"/>
      <c r="G1191" s="498"/>
      <c r="H1191" s="498"/>
      <c r="I1191" s="716"/>
      <c r="J1191" s="498"/>
      <c r="K1191" s="498" t="s">
        <v>144</v>
      </c>
      <c r="L1191" s="747"/>
      <c r="M1191" s="498"/>
      <c r="N1191" s="498"/>
      <c r="O1191" s="498"/>
      <c r="P1191" s="498"/>
      <c r="Q1191" s="44"/>
      <c r="R1191" s="567"/>
      <c r="S1191" s="719"/>
      <c r="T1191" s="498"/>
    </row>
    <row r="1192" spans="1:41" s="501" customFormat="1" ht="12">
      <c r="A1192" s="748"/>
      <c r="B1192" s="749"/>
      <c r="C1192" s="497"/>
      <c r="D1192" s="750"/>
      <c r="E1192" s="751">
        <f ca="1">F1190/$C$12-SUMIF($L1189:$L1209,"SUBI",$E1189:$E1209)</f>
        <v>0</v>
      </c>
      <c r="F1192" s="752" t="s">
        <v>572</v>
      </c>
      <c r="G1192" s="753"/>
      <c r="H1192" s="753"/>
      <c r="I1192" s="754"/>
      <c r="J1192" s="753"/>
      <c r="K1192" s="753"/>
      <c r="L1192" s="755"/>
      <c r="M1192" s="756"/>
      <c r="N1192" s="756"/>
      <c r="O1192" s="756"/>
      <c r="P1192" s="756"/>
      <c r="Q1192" s="757"/>
      <c r="R1192" s="758"/>
      <c r="S1192" s="757"/>
      <c r="T1192" s="759"/>
    </row>
    <row r="1193" spans="1:41" s="501" customFormat="1" ht="12" customHeight="1">
      <c r="A1193" s="760"/>
      <c r="B1193" s="761"/>
      <c r="C1193" s="762"/>
      <c r="D1193" s="762" t="str">
        <f>$F$2</f>
        <v>Electrical</v>
      </c>
      <c r="E1193" s="762">
        <f ca="1">ROUND(($R1197*$S$2 + ($T1197*$T$2)), 2)</f>
        <v>47.58</v>
      </c>
      <c r="F1193" s="763">
        <f ca="1">$E1193*$C$12</f>
        <v>47.58</v>
      </c>
      <c r="G1193" s="567"/>
      <c r="H1193" s="764"/>
      <c r="I1193" s="567"/>
      <c r="J1193" s="45"/>
      <c r="K1193" s="765" t="s">
        <v>3</v>
      </c>
      <c r="L1193" s="766" t="s">
        <v>573</v>
      </c>
      <c r="M1193" s="567"/>
      <c r="N1193" s="567"/>
      <c r="O1193" s="45"/>
      <c r="P1193" s="567"/>
      <c r="Q1193" s="567"/>
      <c r="R1193"/>
      <c r="S1193"/>
      <c r="T1193"/>
    </row>
    <row r="1194" spans="1:41" s="935" customFormat="1" ht="13.2">
      <c r="A1194"/>
      <c r="B1194" s="927"/>
      <c r="C1194" s="927" t="s">
        <v>735</v>
      </c>
      <c r="D1194" s="927" t="str">
        <f ca="1">CELL("Address",Elec_Rates!D$55)</f>
        <v>[E25_0465_IH_Retro_Elec4Mech_Est_Rev_A.xlsx]Elec_Rates!$D$55</v>
      </c>
      <c r="E1194" s="928"/>
      <c r="F1194" s="928"/>
      <c r="G1194" s="929" t="s">
        <v>736</v>
      </c>
      <c r="H1194" s="929"/>
      <c r="I1194" s="929"/>
      <c r="J1194" s="929"/>
      <c r="K1194" s="930"/>
      <c r="L1194" s="928"/>
      <c r="M1194" s="928"/>
      <c r="N1194" s="928"/>
      <c r="O1194" s="931"/>
      <c r="P1194" s="928"/>
      <c r="Q1194" s="932"/>
      <c r="R1194" s="933"/>
      <c r="S1194" s="932"/>
      <c r="T1194" s="560"/>
      <c r="U1194" s="934"/>
    </row>
    <row r="1195" spans="1:41" s="935" customFormat="1" ht="11.4">
      <c r="A1195" s="936">
        <v>1</v>
      </c>
      <c r="B1195" s="937">
        <v>1</v>
      </c>
      <c r="C1195" s="937">
        <f>$A1195*$B1195</f>
        <v>1</v>
      </c>
      <c r="D1195" s="938" t="str">
        <f>Elec_Rates!$D$55</f>
        <v>005# Connecting up of 7.5 kW 400Volt motor (VFD)</v>
      </c>
      <c r="E1195" s="938"/>
      <c r="F1195" s="938" t="s">
        <v>737</v>
      </c>
      <c r="G1195" s="939" t="s">
        <v>739</v>
      </c>
      <c r="H1195" s="939"/>
      <c r="I1195" s="939"/>
      <c r="J1195" s="939"/>
      <c r="K1195" s="940"/>
      <c r="L1195" s="934"/>
      <c r="M1195" s="934"/>
      <c r="N1195" s="934"/>
      <c r="O1195" s="941"/>
      <c r="P1195" s="938"/>
      <c r="Q1195" s="942">
        <f ca="1">$B1195*Elec_Rates!$R$55</f>
        <v>6.96</v>
      </c>
      <c r="R1195" s="933">
        <f ca="1">$A1195*Q1195</f>
        <v>6.96</v>
      </c>
      <c r="S1195" s="942">
        <f ca="1">$B1195*Elec_Rates!$T$55</f>
        <v>1.03</v>
      </c>
      <c r="T1195" s="560">
        <f ca="1">$A1195*S1195</f>
        <v>1.03</v>
      </c>
      <c r="U1195" s="484"/>
    </row>
    <row r="1196" spans="1:41" s="501" customFormat="1" ht="14.4" customHeight="1">
      <c r="A1196" s="767"/>
      <c r="B1196" s="567"/>
      <c r="C1196" s="567"/>
      <c r="D1196" s="567"/>
      <c r="E1196" s="567"/>
      <c r="F1196" s="567"/>
      <c r="G1196" s="567"/>
      <c r="H1196" s="764"/>
      <c r="I1196" s="567"/>
      <c r="J1196" s="45"/>
      <c r="K1196" s="769"/>
      <c r="L1196" s="770"/>
      <c r="M1196" s="567"/>
      <c r="N1196" s="567"/>
      <c r="O1196" s="45"/>
      <c r="P1196" s="567"/>
      <c r="Q1196" s="567"/>
      <c r="R1196" s="771">
        <f>$A1196*Q1196</f>
        <v>0</v>
      </c>
      <c r="S1196" s="567"/>
      <c r="T1196" s="500">
        <f>$A1196*S1196*$T$1</f>
        <v>0</v>
      </c>
    </row>
    <row r="1197" spans="1:41" s="501" customFormat="1" ht="12">
      <c r="A1197" s="772" t="s">
        <v>145</v>
      </c>
      <c r="B1197" s="773">
        <f>(R1196+T1196)</f>
        <v>0</v>
      </c>
      <c r="C1197" s="753"/>
      <c r="G1197" s="774"/>
      <c r="H1197" s="774"/>
      <c r="I1197" s="774"/>
      <c r="J1197" s="774"/>
      <c r="K1197" s="750" t="s">
        <v>3</v>
      </c>
      <c r="L1197" s="775" t="s">
        <v>573</v>
      </c>
      <c r="M1197" s="774"/>
      <c r="N1197" s="774"/>
      <c r="O1197" s="774"/>
      <c r="P1197" s="774"/>
      <c r="Q1197" s="776"/>
      <c r="R1197" s="777">
        <f ca="1">SUM(R1193:R1196)</f>
        <v>6.96</v>
      </c>
      <c r="S1197" s="778"/>
      <c r="T1197" s="777">
        <f ca="1">SUM(T1193:T1196)</f>
        <v>1.03</v>
      </c>
      <c r="AG1197" s="779">
        <f ca="1">ROUND($R1197*$S$2,2)</f>
        <v>9.4</v>
      </c>
    </row>
    <row r="1198" spans="1:41" s="501" customFormat="1" ht="12" customHeight="1">
      <c r="A1198" s="760"/>
      <c r="B1198" s="780"/>
      <c r="C1198" s="781"/>
      <c r="D1198" s="782" t="str">
        <f>$F$3</f>
        <v>Technician</v>
      </c>
      <c r="E1198" s="782">
        <f>ROUND(($R1202*$S$3 + ($T1202*$T$3)), 2)</f>
        <v>0</v>
      </c>
      <c r="F1198" s="783">
        <f>$E1198*$C$12</f>
        <v>0</v>
      </c>
      <c r="G1198" s="499"/>
      <c r="H1198" s="499"/>
      <c r="I1198" s="499"/>
      <c r="J1198" s="499"/>
      <c r="K1198" s="765" t="s">
        <v>5</v>
      </c>
      <c r="L1198" s="766" t="s">
        <v>573</v>
      </c>
      <c r="M1198" s="499"/>
      <c r="N1198" s="499"/>
      <c r="O1198" s="499"/>
      <c r="P1198" s="499"/>
      <c r="Q1198" s="499"/>
      <c r="R1198" s="784"/>
      <c r="S1198" s="499"/>
      <c r="T1198" s="784"/>
    </row>
    <row r="1199" spans="1:41" s="797" customFormat="1" ht="15.6" customHeight="1">
      <c r="A1199" s="785"/>
      <c r="B1199" s="768" t="s">
        <v>575</v>
      </c>
      <c r="C1199" s="786"/>
      <c r="D1199" s="787"/>
      <c r="E1199" s="787"/>
      <c r="F1199" s="787"/>
      <c r="G1199" s="788"/>
      <c r="H1199" s="789"/>
      <c r="I1199" s="789"/>
      <c r="J1199" s="790"/>
      <c r="K1199" s="791"/>
      <c r="L1199" s="786"/>
      <c r="M1199" s="792"/>
      <c r="N1199" s="793"/>
      <c r="O1199" s="794"/>
      <c r="P1199" s="795"/>
      <c r="Q1199" s="796"/>
      <c r="R1199" s="771">
        <f>$A1199*Q1199</f>
        <v>0</v>
      </c>
      <c r="S1199" s="567"/>
      <c r="T1199" s="500">
        <f>$A1199*S1199*$T$1</f>
        <v>0</v>
      </c>
    </row>
    <row r="1200" spans="1:41" s="501" customFormat="1" ht="15.6" customHeight="1">
      <c r="A1200" s="767"/>
      <c r="B1200" s="567"/>
      <c r="C1200" s="567"/>
      <c r="D1200" s="567"/>
      <c r="E1200" s="567"/>
      <c r="F1200" s="567"/>
      <c r="G1200" s="567"/>
      <c r="H1200" s="567"/>
      <c r="I1200" s="567"/>
      <c r="J1200" s="567"/>
      <c r="K1200" s="567"/>
      <c r="L1200" s="770"/>
      <c r="M1200" s="567"/>
      <c r="N1200" s="567"/>
      <c r="O1200" s="567"/>
      <c r="P1200" s="567"/>
      <c r="Q1200" s="567"/>
      <c r="R1200" s="771">
        <f>$A1200*Q1200</f>
        <v>0</v>
      </c>
      <c r="S1200" s="567"/>
      <c r="T1200" s="500">
        <f>$A1200*S1200*$T$1</f>
        <v>0</v>
      </c>
    </row>
    <row r="1201" spans="1:41" s="501" customFormat="1" ht="15.6" customHeight="1">
      <c r="A1201" s="767"/>
      <c r="B1201" s="567"/>
      <c r="C1201" s="567"/>
      <c r="D1201" s="3"/>
      <c r="E1201" s="567"/>
      <c r="F1201" s="567"/>
      <c r="G1201" s="567"/>
      <c r="H1201" s="567"/>
      <c r="I1201" s="567"/>
      <c r="J1201" s="567"/>
      <c r="K1201" s="567"/>
      <c r="L1201" s="770"/>
      <c r="M1201" s="567"/>
      <c r="N1201" s="567"/>
      <c r="O1201" s="567"/>
      <c r="P1201" s="567"/>
      <c r="Q1201" s="567"/>
      <c r="R1201" s="771">
        <f>$A1201*Q1201</f>
        <v>0</v>
      </c>
      <c r="S1201" s="567"/>
      <c r="T1201" s="500">
        <f>$A1201*S1201*$T$1</f>
        <v>0</v>
      </c>
    </row>
    <row r="1202" spans="1:41" s="501" customFormat="1" ht="12">
      <c r="A1202" s="772" t="s">
        <v>145</v>
      </c>
      <c r="B1202" s="773">
        <f>(R1201+T1201)</f>
        <v>0</v>
      </c>
      <c r="C1202" s="753"/>
      <c r="G1202" s="774"/>
      <c r="H1202" s="774"/>
      <c r="I1202" s="774"/>
      <c r="J1202" s="774"/>
      <c r="K1202" s="798" t="s">
        <v>5</v>
      </c>
      <c r="L1202" s="775" t="s">
        <v>573</v>
      </c>
      <c r="M1202" s="774"/>
      <c r="N1202" s="774"/>
      <c r="O1202" s="774"/>
      <c r="P1202" s="774"/>
      <c r="Q1202" s="776"/>
      <c r="R1202" s="777">
        <f>SUM(R1198:R1201)</f>
        <v>0</v>
      </c>
      <c r="S1202" s="778"/>
      <c r="T1202" s="777">
        <f>SUM(T1198:T1201)</f>
        <v>0</v>
      </c>
      <c r="AG1202" s="799">
        <f>ROUND($R1202*$S$3,2)</f>
        <v>0</v>
      </c>
    </row>
    <row r="1203" spans="1:41" s="501" customFormat="1" ht="12" customHeight="1">
      <c r="A1203" s="800"/>
      <c r="B1203" s="801"/>
      <c r="C1203" s="802"/>
      <c r="D1203" s="803" t="str">
        <f>$F$4</f>
        <v>Engineer (Man Hours)</v>
      </c>
      <c r="E1203" s="803">
        <f>ROUND(($R1207*$S$4 + ($T1207*$T$4)), 2)</f>
        <v>0</v>
      </c>
      <c r="F1203" s="804">
        <f ca="1">$F1190-SUMIF($L1192:$P1200,"SUBI",$F1192:$F1200)</f>
        <v>0</v>
      </c>
      <c r="G1203" s="499"/>
      <c r="H1203" s="499"/>
      <c r="I1203" s="499"/>
      <c r="J1203" s="499"/>
      <c r="K1203" s="805" t="s">
        <v>8</v>
      </c>
      <c r="L1203" s="766" t="s">
        <v>573</v>
      </c>
      <c r="M1203" s="499"/>
      <c r="N1203" s="499"/>
      <c r="O1203" s="499"/>
      <c r="P1203" s="499"/>
      <c r="Q1203" s="499"/>
      <c r="R1203" s="784"/>
      <c r="S1203" s="499"/>
      <c r="T1203" s="784"/>
    </row>
    <row r="1204" spans="1:41" s="797" customFormat="1" ht="14.4" customHeight="1">
      <c r="A1204" s="785"/>
      <c r="B1204" s="768" t="s">
        <v>576</v>
      </c>
      <c r="C1204" s="786"/>
      <c r="D1204" s="787"/>
      <c r="E1204" s="787"/>
      <c r="F1204" s="787"/>
      <c r="G1204" s="788"/>
      <c r="H1204" s="789"/>
      <c r="I1204" s="789"/>
      <c r="J1204" s="790"/>
      <c r="K1204" s="791"/>
      <c r="L1204" s="786"/>
      <c r="M1204" s="792"/>
      <c r="N1204" s="793"/>
      <c r="O1204" s="806"/>
      <c r="P1204" s="795"/>
      <c r="Q1204" s="796"/>
      <c r="R1204" s="720">
        <f>$A1204*Q1204</f>
        <v>0</v>
      </c>
      <c r="S1204" s="796"/>
      <c r="T1204" s="500">
        <f>$A1204*S1204*$T$1</f>
        <v>0</v>
      </c>
    </row>
    <row r="1205" spans="1:41" s="501" customFormat="1" ht="12">
      <c r="A1205" s="44"/>
      <c r="B1205" s="497"/>
      <c r="C1205" s="497"/>
      <c r="D1205" s="807"/>
      <c r="E1205" s="808"/>
      <c r="F1205" s="499"/>
      <c r="G1205" s="499"/>
      <c r="H1205" s="499"/>
      <c r="I1205" s="499"/>
      <c r="J1205" s="499"/>
      <c r="K1205" s="499"/>
      <c r="L1205" s="809"/>
      <c r="M1205" s="499"/>
      <c r="N1205" s="499"/>
      <c r="O1205" s="499"/>
      <c r="P1205" s="499"/>
      <c r="Q1205" s="499"/>
      <c r="R1205" s="720">
        <f>$A1205*Q1205</f>
        <v>0</v>
      </c>
      <c r="S1205" s="499"/>
      <c r="T1205" s="500">
        <f>$A1205*S1205*$T$1</f>
        <v>0</v>
      </c>
    </row>
    <row r="1206" spans="1:41" s="501" customFormat="1" ht="12">
      <c r="A1206" s="44"/>
      <c r="B1206" s="497"/>
      <c r="C1206" s="497"/>
      <c r="D1206" s="807"/>
      <c r="E1206" s="808"/>
      <c r="F1206" s="499"/>
      <c r="G1206" s="499"/>
      <c r="H1206" s="499"/>
      <c r="I1206" s="499"/>
      <c r="J1206" s="499"/>
      <c r="K1206" s="499"/>
      <c r="L1206" s="809"/>
      <c r="M1206" s="499"/>
      <c r="N1206" s="499"/>
      <c r="O1206" s="499"/>
      <c r="P1206" s="499"/>
      <c r="Q1206" s="499"/>
      <c r="R1206" s="720">
        <f>$A1206*Q1206</f>
        <v>0</v>
      </c>
      <c r="S1206" s="499"/>
      <c r="T1206" s="500">
        <f>$A1206*S1206*$T$1</f>
        <v>0</v>
      </c>
    </row>
    <row r="1207" spans="1:41" s="501" customFormat="1" ht="12.75" customHeight="1">
      <c r="A1207" s="772" t="s">
        <v>145</v>
      </c>
      <c r="B1207" s="773">
        <f>(R1206+T1206)</f>
        <v>0</v>
      </c>
      <c r="C1207" s="810"/>
      <c r="D1207" s="810"/>
      <c r="E1207" s="810"/>
      <c r="F1207" s="810"/>
      <c r="G1207" s="776"/>
      <c r="H1207" s="776"/>
      <c r="I1207" s="776"/>
      <c r="J1207" s="776"/>
      <c r="K1207" s="798" t="s">
        <v>8</v>
      </c>
      <c r="L1207" s="811" t="s">
        <v>573</v>
      </c>
      <c r="M1207" s="776"/>
      <c r="N1207" s="776"/>
      <c r="O1207" s="776"/>
      <c r="P1207" s="776"/>
      <c r="Q1207" s="776"/>
      <c r="R1207" s="777">
        <f>SUM(R1203:R1206)</f>
        <v>0</v>
      </c>
      <c r="S1207" s="778"/>
      <c r="T1207" s="777">
        <f>SUM(T1203:T1206)</f>
        <v>0</v>
      </c>
      <c r="AG1207" s="812">
        <f>ROUND($R1207*$S$4,2)</f>
        <v>0</v>
      </c>
    </row>
    <row r="1208" spans="1:41" s="501" customFormat="1" ht="12.75" customHeight="1">
      <c r="A1208" s="813"/>
      <c r="B1208" s="814"/>
      <c r="E1208" s="497"/>
      <c r="F1208" s="808"/>
      <c r="G1208" s="497"/>
      <c r="H1208" s="497"/>
      <c r="I1208" s="499"/>
      <c r="J1208" s="497"/>
      <c r="K1208" s="497"/>
      <c r="L1208" s="815"/>
      <c r="M1208" s="725"/>
      <c r="N1208" s="725"/>
      <c r="O1208" s="725"/>
      <c r="P1208" s="725"/>
      <c r="Q1208" s="726"/>
      <c r="R1208" s="784"/>
      <c r="S1208" s="497"/>
      <c r="T1208" s="784"/>
    </row>
    <row r="1209" spans="1:41" s="501" customFormat="1" ht="13.2" customHeight="1" thickBot="1">
      <c r="A1209" s="816"/>
      <c r="B1209" s="817"/>
      <c r="C1209" s="518"/>
      <c r="D1209" s="518"/>
      <c r="E1209" s="515"/>
      <c r="F1209" s="721"/>
      <c r="G1209" s="515" t="s">
        <v>146</v>
      </c>
      <c r="H1209" s="515"/>
      <c r="I1209" s="516"/>
      <c r="J1209" s="515"/>
      <c r="K1209" s="515"/>
      <c r="L1209" s="818" t="s">
        <v>143</v>
      </c>
      <c r="M1209" s="517"/>
      <c r="N1209" s="517"/>
      <c r="O1209" s="517"/>
      <c r="P1209" s="517"/>
      <c r="Q1209" s="722"/>
      <c r="R1209" s="819">
        <f ca="1">SUMIF($L1191:$L1208,"SUBI",R1191:R1208)</f>
        <v>6.96</v>
      </c>
      <c r="S1209" s="820"/>
      <c r="T1209" s="819">
        <f ca="1">SUMIF($L1191:$L1208,"SUBI",T1191:T1208)</f>
        <v>1.03</v>
      </c>
      <c r="U1209" s="518"/>
      <c r="V1209" s="518"/>
      <c r="W1209" s="518"/>
      <c r="X1209" s="518"/>
      <c r="Y1209" s="518"/>
      <c r="Z1209" s="518"/>
      <c r="AA1209" s="518"/>
      <c r="AB1209" s="518"/>
      <c r="AC1209" s="518"/>
      <c r="AD1209" s="518"/>
      <c r="AE1209" s="518"/>
      <c r="AF1209" s="518"/>
      <c r="AG1209" s="518"/>
      <c r="AH1209" s="518"/>
      <c r="AI1209" s="518"/>
      <c r="AJ1209" s="518"/>
      <c r="AK1209" s="518"/>
      <c r="AL1209" s="518"/>
      <c r="AM1209" s="518"/>
      <c r="AN1209" s="518"/>
      <c r="AO1209" s="518"/>
    </row>
    <row r="1210" spans="1:41" s="501" customFormat="1" thickTop="1">
      <c r="A1210" s="44"/>
      <c r="B1210" s="44"/>
      <c r="C1210" s="3"/>
      <c r="D1210" s="3"/>
      <c r="E1210" s="44"/>
      <c r="F1210" s="44"/>
      <c r="G1210" s="44"/>
      <c r="H1210" s="44"/>
      <c r="I1210" s="44"/>
      <c r="J1210" s="44"/>
      <c r="K1210" s="44" t="s">
        <v>134</v>
      </c>
      <c r="L1210" s="44"/>
      <c r="M1210" s="44"/>
      <c r="N1210" s="44"/>
      <c r="O1210" s="45"/>
      <c r="P1210" s="44"/>
      <c r="Q1210" s="44"/>
      <c r="R1210" s="44"/>
      <c r="S1210" s="44"/>
      <c r="T1210" s="44"/>
    </row>
    <row r="1211" spans="1:41" s="501" customFormat="1" ht="12">
      <c r="A1211" s="44"/>
      <c r="B1211" s="44"/>
      <c r="C1211" s="44" t="s">
        <v>135</v>
      </c>
      <c r="D1211" s="35"/>
      <c r="E1211" s="44"/>
      <c r="F1211" s="44"/>
      <c r="G1211" s="44"/>
      <c r="H1211" s="44"/>
      <c r="I1211" s="44"/>
      <c r="J1211" s="44"/>
      <c r="K1211" s="44"/>
      <c r="L1211" s="44"/>
      <c r="M1211" s="44"/>
      <c r="N1211" s="44"/>
      <c r="O1211" s="45"/>
      <c r="P1211" s="44"/>
      <c r="Q1211" s="44"/>
      <c r="R1211" s="44"/>
      <c r="S1211" s="44"/>
      <c r="T1211" s="44"/>
    </row>
    <row r="1212" spans="1:41" s="501" customFormat="1" ht="12">
      <c r="A1212" s="44"/>
      <c r="B1212" s="44"/>
      <c r="C1212" s="44"/>
      <c r="D1212" s="35" t="s">
        <v>403</v>
      </c>
      <c r="E1212" s="44"/>
      <c r="F1212" s="44"/>
      <c r="G1212" s="44"/>
      <c r="H1212" s="44"/>
      <c r="I1212" s="44"/>
      <c r="J1212" s="44"/>
      <c r="K1212" s="44"/>
      <c r="L1212" s="44"/>
      <c r="M1212" s="44"/>
      <c r="N1212" s="44"/>
      <c r="O1212" s="45"/>
      <c r="P1212" s="44"/>
      <c r="Q1212" s="44"/>
      <c r="R1212" s="44"/>
      <c r="S1212" s="36"/>
      <c r="T1212" s="36"/>
    </row>
    <row r="1213" spans="1:41" s="3" customFormat="1" thickBot="1">
      <c r="A1213" s="518"/>
      <c r="O1213" s="86"/>
    </row>
    <row r="1214" spans="1:41" s="501" customFormat="1" thickTop="1">
      <c r="A1214" s="44"/>
      <c r="B1214" s="44"/>
      <c r="C1214" s="3"/>
      <c r="D1214" s="3"/>
      <c r="E1214" s="44"/>
      <c r="F1214" s="44"/>
      <c r="G1214" s="44"/>
      <c r="H1214" s="44"/>
      <c r="I1214" s="44"/>
      <c r="J1214" s="44"/>
      <c r="K1214" s="44" t="s">
        <v>134</v>
      </c>
      <c r="L1214" s="44"/>
      <c r="M1214" s="44"/>
      <c r="N1214" s="44"/>
      <c r="O1214" s="45"/>
      <c r="P1214" s="44"/>
      <c r="Q1214" s="44"/>
      <c r="R1214" s="44"/>
      <c r="S1214" s="44"/>
      <c r="T1214" s="44"/>
    </row>
    <row r="1215" spans="1:41" s="501" customFormat="1" ht="12">
      <c r="A1215" s="44"/>
      <c r="B1215" s="44"/>
      <c r="C1215" s="44" t="s">
        <v>135</v>
      </c>
      <c r="D1215" s="35" t="s">
        <v>579</v>
      </c>
      <c r="E1215" s="44"/>
      <c r="F1215" s="44"/>
      <c r="G1215" s="44"/>
      <c r="H1215" s="44"/>
      <c r="I1215" s="44"/>
      <c r="J1215" s="44"/>
      <c r="K1215" s="44"/>
      <c r="L1215" s="44"/>
      <c r="M1215" s="44"/>
      <c r="N1215" s="44"/>
      <c r="O1215" s="45"/>
      <c r="P1215" s="44"/>
      <c r="Q1215" s="44"/>
      <c r="R1215" s="44"/>
      <c r="S1215" s="44"/>
      <c r="T1215" s="44"/>
    </row>
    <row r="1216" spans="1:41" s="501" customFormat="1" ht="39.9" customHeight="1">
      <c r="A1216" s="44"/>
      <c r="B1216" s="44"/>
      <c r="C1216" s="44"/>
      <c r="D1216" s="1185" t="s">
        <v>449</v>
      </c>
      <c r="E1216" s="1184"/>
      <c r="F1216" s="1184"/>
      <c r="G1216" s="1184"/>
      <c r="H1216" s="1184"/>
      <c r="I1216" s="1184"/>
      <c r="J1216" s="1184"/>
      <c r="K1216" s="1184"/>
      <c r="L1216" s="1184"/>
      <c r="M1216" s="1184"/>
      <c r="N1216" s="1184"/>
      <c r="O1216" s="1184"/>
      <c r="P1216" s="1184"/>
      <c r="Q1216" s="1184"/>
      <c r="R1216" s="1184"/>
      <c r="S1216" s="1184"/>
      <c r="T1216" s="1184"/>
    </row>
    <row r="1217" spans="1:41" s="3" customFormat="1" thickBot="1">
      <c r="A1217" s="518"/>
      <c r="O1217" s="86"/>
    </row>
    <row r="1218" spans="1:41" s="501" customFormat="1" thickTop="1">
      <c r="A1218" s="44"/>
      <c r="B1218" s="39"/>
      <c r="C1218" s="44"/>
      <c r="E1218" s="40" t="s">
        <v>138</v>
      </c>
      <c r="F1218" s="40" t="s">
        <v>139</v>
      </c>
      <c r="G1218" s="44"/>
      <c r="H1218" s="44"/>
      <c r="I1218" s="44"/>
      <c r="J1218" s="44"/>
      <c r="K1218" s="44" t="s">
        <v>140</v>
      </c>
      <c r="L1218" s="737"/>
      <c r="M1218" s="44"/>
      <c r="N1218" s="44"/>
      <c r="O1218" s="45"/>
      <c r="P1218" s="44"/>
      <c r="Q1218"/>
      <c r="R1218"/>
      <c r="S1218"/>
      <c r="T1218" s="39"/>
      <c r="AG1218" s="502" t="s">
        <v>247</v>
      </c>
      <c r="AH1218" s="502" t="s">
        <v>248</v>
      </c>
      <c r="AI1218" s="502" t="s">
        <v>249</v>
      </c>
      <c r="AJ1218" s="502" t="s">
        <v>250</v>
      </c>
      <c r="AK1218" s="502" t="s">
        <v>251</v>
      </c>
      <c r="AM1218" s="710" t="s">
        <v>260</v>
      </c>
      <c r="AN1218" s="711" t="s">
        <v>261</v>
      </c>
      <c r="AO1218" s="503" t="s">
        <v>257</v>
      </c>
    </row>
    <row r="1219" spans="1:41" s="501" customFormat="1" ht="13.2">
      <c r="A1219" s="712">
        <v>1</v>
      </c>
      <c r="B1219" s="504" t="s">
        <v>283</v>
      </c>
      <c r="C1219" s="505"/>
      <c r="D1219" s="713" t="s">
        <v>577</v>
      </c>
      <c r="E1219" s="738">
        <f ca="1">IF(AND($A1219=0,$A$1="DIF"),0,ROUND(ROUND(SUMIF($L1221:$L1232,"SUBI",$E1221:$E1232)/$A1219,2)*$C$12,2))</f>
        <v>81</v>
      </c>
      <c r="F1219" s="739">
        <f ca="1">ROUND($A1219*$E1219,2)</f>
        <v>81</v>
      </c>
      <c r="G1219" s="506" t="s">
        <v>142</v>
      </c>
      <c r="H1219" s="498"/>
      <c r="I1219" s="716"/>
      <c r="J1219" s="498"/>
      <c r="K1219" s="740"/>
      <c r="L1219" s="741" t="s">
        <v>143</v>
      </c>
      <c r="M1219" s="717"/>
      <c r="N1219" s="717"/>
      <c r="O1219" s="717"/>
      <c r="P1219" s="717"/>
      <c r="Q1219" s="943" t="s">
        <v>855</v>
      </c>
      <c r="R1219" s="943" t="s">
        <v>870</v>
      </c>
      <c r="S1219"/>
      <c r="T1219" s="742" t="str">
        <f ca="1">IF(AND($R1238=0,$T1238=0),"0.00","mu :" &amp; ROUND($F1219/$C$12/($R1238+$T1238*$D$9),2))</f>
        <v>mu :1.35</v>
      </c>
      <c r="W1219" s="507"/>
      <c r="AG1219" s="743">
        <f ca="1">IF(A1219=0,0,ROUND(SUM(AG1221:AG1238)/A1219,2))</f>
        <v>19.47</v>
      </c>
      <c r="AH1219" s="743">
        <f ca="1">$AG1219*$A1219</f>
        <v>19.47</v>
      </c>
      <c r="AI1219" s="743">
        <f ca="1">$E1219-$AG1219</f>
        <v>61.53</v>
      </c>
      <c r="AJ1219" s="743">
        <f ca="1">$A1219*$AI1219</f>
        <v>61.53</v>
      </c>
      <c r="AK1219" s="744">
        <f ca="1">ROUND(($AG1219+$AI1219)*$A1219,2)</f>
        <v>81</v>
      </c>
      <c r="AM1219" s="510">
        <f ca="1">ROUND(R1238,2)</f>
        <v>14.42</v>
      </c>
      <c r="AN1219" s="511">
        <f ca="1">ROUND(T1238,2)</f>
        <v>1.66</v>
      </c>
      <c r="AO1219" s="512">
        <f ca="1">ROUND(AM1219+AN1219,2)*A1219</f>
        <v>16.079999999999998</v>
      </c>
    </row>
    <row r="1220" spans="1:41" s="501" customFormat="1" ht="21.6" customHeight="1">
      <c r="A1220" s="745"/>
      <c r="B1220" s="746"/>
      <c r="C1220" s="505"/>
      <c r="D1220" s="724" t="s">
        <v>406</v>
      </c>
      <c r="F1220" s="498"/>
      <c r="G1220" s="498"/>
      <c r="H1220" s="498"/>
      <c r="I1220" s="716"/>
      <c r="J1220" s="498"/>
      <c r="K1220" s="498" t="s">
        <v>144</v>
      </c>
      <c r="L1220" s="747"/>
      <c r="M1220" s="498"/>
      <c r="N1220" s="498"/>
      <c r="O1220" s="498"/>
      <c r="P1220" s="498"/>
      <c r="Q1220" s="44"/>
      <c r="R1220" s="567"/>
      <c r="S1220" s="719"/>
      <c r="T1220" s="498"/>
    </row>
    <row r="1221" spans="1:41" s="501" customFormat="1" ht="12">
      <c r="A1221" s="748"/>
      <c r="B1221" s="749"/>
      <c r="C1221" s="497"/>
      <c r="D1221" s="750"/>
      <c r="E1221" s="751">
        <f ca="1">F1219/$C$12-SUMIF($L1218:$L1238,"SUBI",$E1218:$E1238)</f>
        <v>0</v>
      </c>
      <c r="F1221" s="752" t="s">
        <v>572</v>
      </c>
      <c r="G1221" s="753"/>
      <c r="H1221" s="753"/>
      <c r="I1221" s="754"/>
      <c r="J1221" s="753"/>
      <c r="K1221" s="753"/>
      <c r="L1221" s="755"/>
      <c r="M1221" s="756"/>
      <c r="N1221" s="756"/>
      <c r="O1221" s="756"/>
      <c r="P1221" s="756"/>
      <c r="Q1221" s="757"/>
      <c r="R1221" s="758"/>
      <c r="S1221" s="757"/>
      <c r="T1221" s="759"/>
    </row>
    <row r="1222" spans="1:41" s="501" customFormat="1" ht="12" customHeight="1">
      <c r="A1222" s="760"/>
      <c r="B1222" s="761"/>
      <c r="C1222" s="762"/>
      <c r="D1222" s="762" t="str">
        <f>$F$2</f>
        <v>Electrical</v>
      </c>
      <c r="E1222" s="762">
        <f ca="1">ROUND(($R1226*$S$2 + ($T1226*$T$2)), 2)</f>
        <v>81</v>
      </c>
      <c r="F1222" s="763">
        <f ca="1">$E1222*$C$12</f>
        <v>81</v>
      </c>
      <c r="G1222" s="567"/>
      <c r="H1222" s="764"/>
      <c r="I1222" s="567"/>
      <c r="J1222" s="45"/>
      <c r="K1222" s="765" t="s">
        <v>3</v>
      </c>
      <c r="L1222" s="766" t="s">
        <v>573</v>
      </c>
      <c r="M1222" s="567"/>
      <c r="N1222" s="567"/>
      <c r="O1222" s="45"/>
      <c r="P1222" s="567"/>
      <c r="Q1222" s="567"/>
      <c r="R1222"/>
      <c r="S1222"/>
      <c r="T1222"/>
    </row>
    <row r="1223" spans="1:41" s="935" customFormat="1" ht="13.2">
      <c r="A1223"/>
      <c r="B1223" s="927"/>
      <c r="C1223" s="927" t="s">
        <v>735</v>
      </c>
      <c r="D1223" s="927" t="str">
        <f ca="1">CELL("Address",Elec_Rates!D$37)</f>
        <v>[E25_0465_IH_Retro_Elec4Mech_Est_Rev_A.xlsx]Elec_Rates!$D$37</v>
      </c>
      <c r="E1223" s="928"/>
      <c r="F1223" s="928"/>
      <c r="G1223" s="929" t="s">
        <v>736</v>
      </c>
      <c r="H1223" s="929"/>
      <c r="I1223" s="929"/>
      <c r="J1223" s="929"/>
      <c r="K1223" s="930"/>
      <c r="L1223" s="928"/>
      <c r="M1223" s="928"/>
      <c r="N1223" s="928"/>
      <c r="O1223" s="931"/>
      <c r="P1223" s="928"/>
      <c r="Q1223" s="932"/>
      <c r="R1223" s="933"/>
      <c r="S1223" s="932"/>
      <c r="T1223" s="560"/>
      <c r="U1223" s="934"/>
    </row>
    <row r="1224" spans="1:41" s="935" customFormat="1" ht="11.4">
      <c r="A1224" s="936">
        <v>1</v>
      </c>
      <c r="B1224" s="937">
        <v>1</v>
      </c>
      <c r="C1224" s="937">
        <f>$A1224*$B1224</f>
        <v>1</v>
      </c>
      <c r="D1224" s="938" t="str">
        <f>Elec_Rates!$D$37</f>
        <v>003# Connecting up of 11.0 kW 400Volt motor (Standard)</v>
      </c>
      <c r="E1224" s="938"/>
      <c r="F1224" s="938" t="s">
        <v>737</v>
      </c>
      <c r="G1224" s="939" t="s">
        <v>738</v>
      </c>
      <c r="H1224" s="939"/>
      <c r="I1224" s="939"/>
      <c r="J1224" s="939"/>
      <c r="K1224" s="940"/>
      <c r="L1224" s="934"/>
      <c r="M1224" s="934"/>
      <c r="N1224" s="934"/>
      <c r="O1224" s="941"/>
      <c r="P1224" s="938"/>
      <c r="Q1224" s="942">
        <f ca="1">$B1224*Elec_Rates!$R$37</f>
        <v>14.42</v>
      </c>
      <c r="R1224" s="933">
        <f ca="1">$A1224*Q1224</f>
        <v>14.42</v>
      </c>
      <c r="S1224" s="942">
        <f ca="1">$B1224*Elec_Rates!$T$37</f>
        <v>1.66</v>
      </c>
      <c r="T1224" s="560">
        <f ca="1">$A1224*S1224</f>
        <v>1.66</v>
      </c>
      <c r="U1224" s="484"/>
    </row>
    <row r="1225" spans="1:41" s="501" customFormat="1" ht="14.4" customHeight="1">
      <c r="A1225" s="767"/>
      <c r="B1225" s="567"/>
      <c r="C1225" s="567"/>
      <c r="D1225" s="567"/>
      <c r="E1225" s="567"/>
      <c r="F1225" s="567"/>
      <c r="G1225" s="567"/>
      <c r="H1225" s="764"/>
      <c r="I1225" s="567"/>
      <c r="J1225" s="45"/>
      <c r="K1225" s="769"/>
      <c r="L1225" s="770"/>
      <c r="M1225" s="567"/>
      <c r="N1225" s="567"/>
      <c r="O1225" s="45"/>
      <c r="P1225" s="567"/>
      <c r="R1225" s="771">
        <f>$A1225*Q1226</f>
        <v>0</v>
      </c>
      <c r="S1225" s="567"/>
      <c r="T1225" s="500">
        <f>$A1225*S1225*$T$1</f>
        <v>0</v>
      </c>
    </row>
    <row r="1226" spans="1:41" s="501" customFormat="1" ht="12">
      <c r="A1226" s="772" t="s">
        <v>145</v>
      </c>
      <c r="B1226" s="773">
        <f>(R1225+T1225)</f>
        <v>0</v>
      </c>
      <c r="C1226" s="753"/>
      <c r="G1226" s="774"/>
      <c r="H1226" s="774"/>
      <c r="I1226" s="774"/>
      <c r="J1226" s="774"/>
      <c r="K1226" s="750" t="s">
        <v>3</v>
      </c>
      <c r="L1226" s="775" t="s">
        <v>573</v>
      </c>
      <c r="M1226" s="774"/>
      <c r="N1226" s="774"/>
      <c r="O1226" s="774"/>
      <c r="P1226" s="774"/>
      <c r="Q1226" s="567"/>
      <c r="R1226" s="777">
        <f ca="1">SUM(R1222:R1225)</f>
        <v>14.42</v>
      </c>
      <c r="S1226" s="778"/>
      <c r="T1226" s="777">
        <f ca="1">SUM(T1222:T1225)</f>
        <v>1.66</v>
      </c>
      <c r="AG1226" s="779">
        <f ca="1">ROUND($R1226*$S$2,2)</f>
        <v>19.47</v>
      </c>
    </row>
    <row r="1227" spans="1:41" s="501" customFormat="1" ht="12" customHeight="1">
      <c r="A1227" s="760"/>
      <c r="B1227" s="780"/>
      <c r="C1227" s="781"/>
      <c r="D1227" s="782" t="str">
        <f>$F$3</f>
        <v>Technician</v>
      </c>
      <c r="E1227" s="782">
        <f>ROUND(($R1231*$S$3 + ($T1231*$T$3)), 2)</f>
        <v>0</v>
      </c>
      <c r="F1227" s="783">
        <f>$E1227*$C$12</f>
        <v>0</v>
      </c>
      <c r="G1227" s="499"/>
      <c r="H1227" s="499"/>
      <c r="I1227" s="499"/>
      <c r="J1227" s="499"/>
      <c r="K1227" s="765" t="s">
        <v>5</v>
      </c>
      <c r="L1227" s="766" t="s">
        <v>573</v>
      </c>
      <c r="M1227" s="499"/>
      <c r="N1227" s="499"/>
      <c r="O1227" s="499"/>
      <c r="P1227" s="499"/>
      <c r="Q1227" s="499"/>
      <c r="R1227" s="784"/>
      <c r="S1227" s="499"/>
      <c r="T1227" s="784"/>
    </row>
    <row r="1228" spans="1:41" s="797" customFormat="1" ht="15.6" customHeight="1">
      <c r="A1228" s="785"/>
      <c r="B1228" s="768" t="s">
        <v>575</v>
      </c>
      <c r="C1228" s="786"/>
      <c r="D1228" s="787"/>
      <c r="E1228" s="787"/>
      <c r="F1228" s="787"/>
      <c r="G1228" s="788"/>
      <c r="H1228" s="789"/>
      <c r="I1228" s="789"/>
      <c r="J1228" s="790"/>
      <c r="K1228" s="791"/>
      <c r="L1228" s="786"/>
      <c r="M1228" s="792"/>
      <c r="N1228" s="793"/>
      <c r="O1228" s="794"/>
      <c r="P1228" s="795"/>
      <c r="Q1228" s="796"/>
      <c r="R1228" s="771">
        <f>$A1228*Q1228</f>
        <v>0</v>
      </c>
      <c r="S1228" s="567"/>
      <c r="T1228" s="500">
        <f>$A1228*S1228*$T$1</f>
        <v>0</v>
      </c>
    </row>
    <row r="1229" spans="1:41" s="501" customFormat="1" ht="15.6" customHeight="1">
      <c r="A1229" s="767"/>
      <c r="B1229" s="567"/>
      <c r="C1229" s="567"/>
      <c r="D1229" s="567"/>
      <c r="E1229" s="567"/>
      <c r="F1229" s="567"/>
      <c r="G1229" s="567"/>
      <c r="H1229" s="567"/>
      <c r="I1229" s="567"/>
      <c r="J1229" s="567"/>
      <c r="K1229" s="567"/>
      <c r="L1229" s="770"/>
      <c r="M1229" s="567"/>
      <c r="N1229" s="567"/>
      <c r="O1229" s="567"/>
      <c r="P1229" s="567"/>
      <c r="Q1229" s="567"/>
      <c r="R1229" s="771">
        <f>$A1229*Q1229</f>
        <v>0</v>
      </c>
      <c r="S1229" s="567"/>
      <c r="T1229" s="500">
        <f>$A1229*S1229*$T$1</f>
        <v>0</v>
      </c>
    </row>
    <row r="1230" spans="1:41" s="501" customFormat="1" ht="15.6" customHeight="1">
      <c r="A1230" s="767"/>
      <c r="B1230" s="567"/>
      <c r="C1230" s="567"/>
      <c r="D1230" s="3"/>
      <c r="E1230" s="567"/>
      <c r="F1230" s="567"/>
      <c r="G1230" s="567"/>
      <c r="H1230" s="567"/>
      <c r="I1230" s="567"/>
      <c r="J1230" s="567"/>
      <c r="K1230" s="567"/>
      <c r="L1230" s="770"/>
      <c r="M1230" s="567"/>
      <c r="N1230" s="567"/>
      <c r="O1230" s="567"/>
      <c r="P1230" s="567"/>
      <c r="Q1230" s="567"/>
      <c r="R1230" s="771">
        <f>$A1230*Q1230</f>
        <v>0</v>
      </c>
      <c r="S1230" s="567"/>
      <c r="T1230" s="500">
        <f>$A1230*S1230*$T$1</f>
        <v>0</v>
      </c>
    </row>
    <row r="1231" spans="1:41" s="501" customFormat="1" ht="12">
      <c r="A1231" s="772" t="s">
        <v>145</v>
      </c>
      <c r="B1231" s="773">
        <f>(R1230+T1230)</f>
        <v>0</v>
      </c>
      <c r="C1231" s="753"/>
      <c r="G1231" s="774"/>
      <c r="H1231" s="774"/>
      <c r="I1231" s="774"/>
      <c r="J1231" s="774"/>
      <c r="K1231" s="798" t="s">
        <v>5</v>
      </c>
      <c r="L1231" s="775" t="s">
        <v>573</v>
      </c>
      <c r="M1231" s="774"/>
      <c r="N1231" s="774"/>
      <c r="O1231" s="774"/>
      <c r="P1231" s="774"/>
      <c r="Q1231" s="776"/>
      <c r="R1231" s="777">
        <f>SUM(R1227:R1230)</f>
        <v>0</v>
      </c>
      <c r="S1231" s="778"/>
      <c r="T1231" s="777">
        <f>SUM(T1227:T1230)</f>
        <v>0</v>
      </c>
      <c r="AG1231" s="799">
        <f>ROUND($R1231*$S$3,2)</f>
        <v>0</v>
      </c>
    </row>
    <row r="1232" spans="1:41" s="501" customFormat="1" ht="12" customHeight="1">
      <c r="A1232" s="800"/>
      <c r="B1232" s="801"/>
      <c r="C1232" s="802"/>
      <c r="D1232" s="803" t="str">
        <f>$F$4</f>
        <v>Engineer (Man Hours)</v>
      </c>
      <c r="E1232" s="803">
        <f>ROUND(($R1236*$S$4 + ($T1236*$T$4)), 2)</f>
        <v>0</v>
      </c>
      <c r="F1232" s="804">
        <f ca="1">$F1219-SUMIF($L1221:$P1229,"SUBI",$F1221:$F1229)</f>
        <v>0</v>
      </c>
      <c r="G1232" s="499"/>
      <c r="H1232" s="499"/>
      <c r="I1232" s="499"/>
      <c r="J1232" s="499"/>
      <c r="K1232" s="805" t="s">
        <v>8</v>
      </c>
      <c r="L1232" s="766" t="s">
        <v>573</v>
      </c>
      <c r="M1232" s="499"/>
      <c r="N1232" s="499"/>
      <c r="O1232" s="499"/>
      <c r="P1232" s="499"/>
      <c r="Q1232" s="499"/>
      <c r="R1232" s="784"/>
      <c r="S1232" s="499"/>
      <c r="T1232" s="784"/>
    </row>
    <row r="1233" spans="1:41" s="797" customFormat="1" ht="14.4" customHeight="1">
      <c r="A1233" s="785"/>
      <c r="B1233" s="768" t="s">
        <v>576</v>
      </c>
      <c r="C1233" s="786"/>
      <c r="D1233" s="787"/>
      <c r="E1233" s="787"/>
      <c r="F1233" s="787"/>
      <c r="G1233" s="788"/>
      <c r="H1233" s="789"/>
      <c r="I1233" s="789"/>
      <c r="J1233" s="790"/>
      <c r="K1233" s="791"/>
      <c r="L1233" s="786"/>
      <c r="M1233" s="792"/>
      <c r="N1233" s="793"/>
      <c r="O1233" s="806"/>
      <c r="P1233" s="795"/>
      <c r="Q1233" s="796"/>
      <c r="R1233" s="720">
        <f>$A1233*Q1233</f>
        <v>0</v>
      </c>
      <c r="S1233" s="796"/>
      <c r="T1233" s="500">
        <f>$A1233*S1233*$T$1</f>
        <v>0</v>
      </c>
    </row>
    <row r="1234" spans="1:41" s="501" customFormat="1" ht="12">
      <c r="A1234" s="44"/>
      <c r="B1234" s="497"/>
      <c r="C1234" s="497"/>
      <c r="D1234" s="807"/>
      <c r="E1234" s="808"/>
      <c r="F1234" s="499"/>
      <c r="G1234" s="499"/>
      <c r="H1234" s="499"/>
      <c r="I1234" s="499"/>
      <c r="J1234" s="499"/>
      <c r="K1234" s="499"/>
      <c r="L1234" s="809"/>
      <c r="M1234" s="499"/>
      <c r="N1234" s="499"/>
      <c r="O1234" s="499"/>
      <c r="P1234" s="499"/>
      <c r="Q1234" s="499"/>
      <c r="R1234" s="720">
        <f>$A1234*Q1234</f>
        <v>0</v>
      </c>
      <c r="S1234" s="499"/>
      <c r="T1234" s="500">
        <f>$A1234*S1234*$T$1</f>
        <v>0</v>
      </c>
    </row>
    <row r="1235" spans="1:41" s="501" customFormat="1" ht="12">
      <c r="A1235" s="44"/>
      <c r="B1235" s="497"/>
      <c r="C1235" s="497"/>
      <c r="D1235" s="807"/>
      <c r="E1235" s="808"/>
      <c r="F1235" s="499"/>
      <c r="G1235" s="499"/>
      <c r="H1235" s="499"/>
      <c r="I1235" s="499"/>
      <c r="J1235" s="499"/>
      <c r="K1235" s="499"/>
      <c r="L1235" s="809"/>
      <c r="M1235" s="499"/>
      <c r="N1235" s="499"/>
      <c r="O1235" s="499"/>
      <c r="P1235" s="499"/>
      <c r="Q1235" s="499"/>
      <c r="R1235" s="720">
        <f>$A1235*Q1235</f>
        <v>0</v>
      </c>
      <c r="S1235" s="499"/>
      <c r="T1235" s="500">
        <f>$A1235*S1235*$T$1</f>
        <v>0</v>
      </c>
    </row>
    <row r="1236" spans="1:41" s="501" customFormat="1" ht="12.75" customHeight="1">
      <c r="A1236" s="772" t="s">
        <v>145</v>
      </c>
      <c r="B1236" s="773">
        <f>(R1235+T1235)</f>
        <v>0</v>
      </c>
      <c r="C1236" s="810"/>
      <c r="D1236" s="810"/>
      <c r="E1236" s="810"/>
      <c r="F1236" s="810"/>
      <c r="G1236" s="776"/>
      <c r="H1236" s="776"/>
      <c r="I1236" s="776"/>
      <c r="J1236" s="776"/>
      <c r="K1236" s="798" t="s">
        <v>8</v>
      </c>
      <c r="L1236" s="811" t="s">
        <v>573</v>
      </c>
      <c r="M1236" s="776"/>
      <c r="N1236" s="776"/>
      <c r="O1236" s="776"/>
      <c r="P1236" s="776"/>
      <c r="Q1236" s="776"/>
      <c r="R1236" s="777">
        <f>SUM(R1232:R1235)</f>
        <v>0</v>
      </c>
      <c r="S1236" s="778"/>
      <c r="T1236" s="777">
        <f>SUM(T1232:T1235)</f>
        <v>0</v>
      </c>
      <c r="AG1236" s="812">
        <f>ROUND($R1236*$S$4,2)</f>
        <v>0</v>
      </c>
    </row>
    <row r="1237" spans="1:41" s="501" customFormat="1" ht="12.75" customHeight="1">
      <c r="A1237" s="813"/>
      <c r="B1237" s="814"/>
      <c r="E1237" s="497"/>
      <c r="F1237" s="808"/>
      <c r="G1237" s="497"/>
      <c r="H1237" s="497"/>
      <c r="I1237" s="499"/>
      <c r="J1237" s="497"/>
      <c r="K1237" s="497"/>
      <c r="L1237" s="815"/>
      <c r="M1237" s="725"/>
      <c r="N1237" s="725"/>
      <c r="O1237" s="725"/>
      <c r="P1237" s="725"/>
      <c r="Q1237" s="726"/>
      <c r="R1237" s="784"/>
      <c r="S1237" s="497"/>
      <c r="T1237" s="784"/>
    </row>
    <row r="1238" spans="1:41" s="501" customFormat="1" ht="13.5" customHeight="1" thickBot="1">
      <c r="A1238" s="816"/>
      <c r="B1238" s="817"/>
      <c r="C1238" s="518"/>
      <c r="D1238" s="518"/>
      <c r="E1238" s="515"/>
      <c r="F1238" s="721"/>
      <c r="G1238" s="515" t="s">
        <v>146</v>
      </c>
      <c r="H1238" s="515"/>
      <c r="I1238" s="516"/>
      <c r="J1238" s="515"/>
      <c r="K1238" s="515"/>
      <c r="L1238" s="818" t="s">
        <v>143</v>
      </c>
      <c r="M1238" s="517"/>
      <c r="N1238" s="517"/>
      <c r="O1238" s="517"/>
      <c r="P1238" s="517"/>
      <c r="Q1238" s="722"/>
      <c r="R1238" s="819">
        <f ca="1">SUMIF($L1220:$L1237,"SUBI",R1220:R1237)</f>
        <v>14.42</v>
      </c>
      <c r="S1238" s="820"/>
      <c r="T1238" s="819">
        <f ca="1">SUMIF($L1220:$L1237,"SUBI",T1220:T1237)</f>
        <v>1.66</v>
      </c>
      <c r="U1238" s="518"/>
      <c r="V1238" s="518"/>
      <c r="W1238" s="518"/>
      <c r="X1238" s="518"/>
      <c r="Y1238" s="518"/>
      <c r="Z1238" s="518"/>
      <c r="AA1238" s="518"/>
      <c r="AB1238" s="518"/>
      <c r="AC1238" s="518"/>
      <c r="AD1238" s="518"/>
      <c r="AE1238" s="518"/>
      <c r="AF1238" s="518"/>
      <c r="AG1238" s="518"/>
      <c r="AH1238" s="518"/>
      <c r="AI1238" s="518"/>
      <c r="AJ1238" s="518"/>
      <c r="AK1238" s="518"/>
      <c r="AL1238" s="518"/>
      <c r="AM1238" s="518"/>
      <c r="AN1238" s="518"/>
      <c r="AO1238" s="518"/>
    </row>
    <row r="1239" spans="1:41" s="501" customFormat="1" thickTop="1">
      <c r="A1239" s="44"/>
      <c r="B1239" s="39"/>
      <c r="C1239" s="44"/>
      <c r="E1239" s="40" t="s">
        <v>138</v>
      </c>
      <c r="F1239" s="40" t="s">
        <v>139</v>
      </c>
      <c r="G1239" s="44"/>
      <c r="H1239" s="44"/>
      <c r="I1239" s="44"/>
      <c r="J1239" s="44"/>
      <c r="K1239" s="44" t="s">
        <v>140</v>
      </c>
      <c r="L1239" s="737"/>
      <c r="M1239" s="44"/>
      <c r="N1239" s="44"/>
      <c r="O1239" s="45"/>
      <c r="P1239" s="44"/>
      <c r="Q1239"/>
      <c r="R1239"/>
      <c r="S1239"/>
      <c r="T1239" s="39"/>
      <c r="AG1239" s="502" t="s">
        <v>247</v>
      </c>
      <c r="AH1239" s="502" t="s">
        <v>248</v>
      </c>
      <c r="AI1239" s="502" t="s">
        <v>249</v>
      </c>
      <c r="AJ1239" s="502" t="s">
        <v>250</v>
      </c>
      <c r="AK1239" s="502" t="s">
        <v>251</v>
      </c>
      <c r="AM1239" s="710" t="s">
        <v>260</v>
      </c>
      <c r="AN1239" s="711" t="s">
        <v>261</v>
      </c>
      <c r="AO1239" s="503" t="s">
        <v>257</v>
      </c>
    </row>
    <row r="1240" spans="1:41" s="501" customFormat="1" ht="13.2">
      <c r="A1240" s="712">
        <v>1</v>
      </c>
      <c r="B1240" s="504" t="s">
        <v>283</v>
      </c>
      <c r="C1240" s="505"/>
      <c r="D1240" s="713" t="s">
        <v>585</v>
      </c>
      <c r="E1240" s="738">
        <f ca="1">IF(AND($A1240=0,$A$1="DIF"),0,ROUND(ROUND(SUMIF($L1242:$L1253,"SUBI",$E1242:$E1253)/$A1240,2)*$C$12,2))</f>
        <v>81</v>
      </c>
      <c r="F1240" s="739">
        <f ca="1">ROUND($A1240*$E1240,2)</f>
        <v>81</v>
      </c>
      <c r="G1240" s="506" t="s">
        <v>142</v>
      </c>
      <c r="H1240" s="498"/>
      <c r="I1240" s="716"/>
      <c r="J1240" s="498"/>
      <c r="K1240" s="740"/>
      <c r="L1240" s="741" t="s">
        <v>143</v>
      </c>
      <c r="M1240" s="717"/>
      <c r="N1240" s="717"/>
      <c r="O1240" s="717"/>
      <c r="P1240" s="717"/>
      <c r="Q1240" s="943" t="s">
        <v>855</v>
      </c>
      <c r="R1240" s="943" t="s">
        <v>870</v>
      </c>
      <c r="S1240"/>
      <c r="T1240" s="742" t="str">
        <f ca="1">IF(AND($R1259=0,$T1259=0),"0.00","mu :" &amp; ROUND($F1240/$C$12/($R1259+$T1259*$D$9),2))</f>
        <v>mu :1.35</v>
      </c>
      <c r="W1240" s="507"/>
      <c r="AG1240" s="743">
        <f ca="1">IF(A1240=0,0,ROUND(SUM(AG1242:AG1259)/A1240,2))</f>
        <v>19.47</v>
      </c>
      <c r="AH1240" s="743">
        <f ca="1">$AG1240*$A1240</f>
        <v>19.47</v>
      </c>
      <c r="AI1240" s="743">
        <f ca="1">$E1240-$AG1240</f>
        <v>61.53</v>
      </c>
      <c r="AJ1240" s="743">
        <f ca="1">$A1240*$AI1240</f>
        <v>61.53</v>
      </c>
      <c r="AK1240" s="744">
        <f ca="1">ROUND(($AG1240+$AI1240)*$A1240,2)</f>
        <v>81</v>
      </c>
      <c r="AM1240" s="510">
        <f ca="1">ROUND(R1259,2)</f>
        <v>14.42</v>
      </c>
      <c r="AN1240" s="511">
        <f ca="1">ROUND(T1259,2)</f>
        <v>1.66</v>
      </c>
      <c r="AO1240" s="512">
        <f ca="1">ROUND(AM1240+AN1240,2)*A1240</f>
        <v>16.079999999999998</v>
      </c>
    </row>
    <row r="1241" spans="1:41" s="501" customFormat="1" ht="21.6" customHeight="1">
      <c r="A1241" s="745"/>
      <c r="B1241" s="746"/>
      <c r="C1241" s="505"/>
      <c r="D1241" s="724" t="s">
        <v>407</v>
      </c>
      <c r="F1241" s="498"/>
      <c r="G1241" s="498"/>
      <c r="H1241" s="498"/>
      <c r="I1241" s="716"/>
      <c r="J1241" s="498"/>
      <c r="K1241" s="498" t="s">
        <v>144</v>
      </c>
      <c r="L1241" s="747"/>
      <c r="M1241" s="498"/>
      <c r="N1241" s="498"/>
      <c r="O1241" s="498"/>
      <c r="P1241" s="498"/>
      <c r="Q1241" s="44"/>
      <c r="R1241" s="567"/>
      <c r="S1241" s="719"/>
      <c r="T1241" s="498"/>
    </row>
    <row r="1242" spans="1:41" s="501" customFormat="1" ht="12">
      <c r="A1242" s="748"/>
      <c r="B1242" s="749"/>
      <c r="C1242" s="497"/>
      <c r="D1242" s="750"/>
      <c r="E1242" s="751">
        <f ca="1">F1240/$C$12-SUMIF($L1239:$L1259,"SUBI",$E1239:$E1259)</f>
        <v>0</v>
      </c>
      <c r="F1242" s="752" t="s">
        <v>572</v>
      </c>
      <c r="G1242" s="753"/>
      <c r="H1242" s="753"/>
      <c r="I1242" s="754"/>
      <c r="J1242" s="753"/>
      <c r="K1242" s="753"/>
      <c r="L1242" s="755"/>
      <c r="M1242" s="756"/>
      <c r="N1242" s="756"/>
      <c r="O1242" s="756"/>
      <c r="P1242" s="756"/>
      <c r="Q1242" s="757"/>
      <c r="R1242" s="758"/>
      <c r="S1242" s="757"/>
      <c r="T1242" s="759"/>
    </row>
    <row r="1243" spans="1:41" s="501" customFormat="1" ht="12" customHeight="1">
      <c r="A1243" s="760"/>
      <c r="B1243" s="761"/>
      <c r="C1243" s="762"/>
      <c r="D1243" s="762" t="str">
        <f>$F$2</f>
        <v>Electrical</v>
      </c>
      <c r="E1243" s="762">
        <f ca="1">ROUND(($R1247*$S$2 + ($T1247*$T$2)), 2)</f>
        <v>81</v>
      </c>
      <c r="F1243" s="763">
        <f ca="1">$E1243*$C$12</f>
        <v>81</v>
      </c>
      <c r="G1243" s="567"/>
      <c r="H1243" s="764"/>
      <c r="I1243" s="567"/>
      <c r="J1243" s="45"/>
      <c r="K1243" s="765" t="s">
        <v>3</v>
      </c>
      <c r="L1243" s="766" t="s">
        <v>573</v>
      </c>
      <c r="M1243" s="567"/>
      <c r="N1243" s="567"/>
      <c r="O1243" s="45"/>
      <c r="P1243" s="567"/>
      <c r="Q1243" s="567"/>
      <c r="R1243"/>
      <c r="S1243"/>
      <c r="T1243"/>
    </row>
    <row r="1244" spans="1:41" s="935" customFormat="1" ht="13.2">
      <c r="A1244"/>
      <c r="B1244" s="927"/>
      <c r="C1244" s="927" t="s">
        <v>735</v>
      </c>
      <c r="D1244" s="927" t="str">
        <f ca="1">CELL("Address",Elec_Rates!D$37)</f>
        <v>[E25_0465_IH_Retro_Elec4Mech_Est_Rev_A.xlsx]Elec_Rates!$D$37</v>
      </c>
      <c r="E1244" s="928"/>
      <c r="F1244" s="928"/>
      <c r="G1244" s="929" t="s">
        <v>736</v>
      </c>
      <c r="H1244" s="929"/>
      <c r="I1244" s="929"/>
      <c r="J1244" s="929"/>
      <c r="K1244" s="930"/>
      <c r="L1244" s="928"/>
      <c r="M1244" s="928"/>
      <c r="N1244" s="928"/>
      <c r="O1244" s="931"/>
      <c r="P1244" s="928"/>
      <c r="Q1244" s="932"/>
      <c r="R1244" s="933"/>
      <c r="S1244" s="932"/>
      <c r="T1244" s="560"/>
      <c r="U1244" s="934"/>
    </row>
    <row r="1245" spans="1:41" s="935" customFormat="1" ht="11.4">
      <c r="A1245" s="936">
        <v>1</v>
      </c>
      <c r="B1245" s="937">
        <v>1</v>
      </c>
      <c r="C1245" s="937">
        <f>$A1245*$B1245</f>
        <v>1</v>
      </c>
      <c r="D1245" s="938" t="str">
        <f>Elec_Rates!$D$37</f>
        <v>003# Connecting up of 11.0 kW 400Volt motor (Standard)</v>
      </c>
      <c r="E1245" s="938"/>
      <c r="F1245" s="938" t="s">
        <v>737</v>
      </c>
      <c r="G1245" s="939" t="s">
        <v>738</v>
      </c>
      <c r="H1245" s="939"/>
      <c r="I1245" s="939"/>
      <c r="J1245" s="939"/>
      <c r="K1245" s="940"/>
      <c r="L1245" s="934"/>
      <c r="M1245" s="934"/>
      <c r="N1245" s="934"/>
      <c r="O1245" s="941"/>
      <c r="P1245" s="938"/>
      <c r="Q1245" s="942">
        <f ca="1">$B1245*Elec_Rates!$R$37</f>
        <v>14.42</v>
      </c>
      <c r="R1245" s="933">
        <f ca="1">$A1245*Q1245</f>
        <v>14.42</v>
      </c>
      <c r="S1245" s="942">
        <f ca="1">$B1245*Elec_Rates!$T$37</f>
        <v>1.66</v>
      </c>
      <c r="T1245" s="560">
        <f ca="1">$A1245*S1245</f>
        <v>1.66</v>
      </c>
      <c r="U1245" s="484"/>
    </row>
    <row r="1246" spans="1:41" s="501" customFormat="1" ht="14.4" customHeight="1">
      <c r="A1246" s="767"/>
      <c r="B1246" s="567"/>
      <c r="C1246" s="567"/>
      <c r="D1246" s="567"/>
      <c r="E1246" s="567"/>
      <c r="F1246" s="567"/>
      <c r="G1246" s="567"/>
      <c r="H1246" s="764"/>
      <c r="I1246" s="567"/>
      <c r="J1246" s="45"/>
      <c r="K1246" s="769"/>
      <c r="L1246" s="770"/>
      <c r="M1246" s="567"/>
      <c r="N1246" s="567"/>
      <c r="O1246" s="45"/>
      <c r="P1246" s="567"/>
      <c r="Q1246" s="567"/>
      <c r="R1246" s="771">
        <f>$A1246*Q1246</f>
        <v>0</v>
      </c>
      <c r="S1246" s="567"/>
      <c r="T1246" s="500">
        <f>$A1246*S1246*$T$1</f>
        <v>0</v>
      </c>
    </row>
    <row r="1247" spans="1:41" s="501" customFormat="1" ht="12">
      <c r="A1247" s="772" t="s">
        <v>145</v>
      </c>
      <c r="B1247" s="773">
        <f>(R1246+T1246)</f>
        <v>0</v>
      </c>
      <c r="C1247" s="753"/>
      <c r="G1247" s="774"/>
      <c r="H1247" s="774"/>
      <c r="I1247" s="774"/>
      <c r="J1247" s="774"/>
      <c r="K1247" s="750" t="s">
        <v>3</v>
      </c>
      <c r="L1247" s="775" t="s">
        <v>573</v>
      </c>
      <c r="M1247" s="774"/>
      <c r="N1247" s="774"/>
      <c r="O1247" s="774"/>
      <c r="P1247" s="774"/>
      <c r="Q1247" s="776"/>
      <c r="R1247" s="777">
        <f ca="1">SUM(R1243:R1246)</f>
        <v>14.42</v>
      </c>
      <c r="S1247" s="778"/>
      <c r="T1247" s="777">
        <f ca="1">SUM(T1243:T1246)</f>
        <v>1.66</v>
      </c>
      <c r="AG1247" s="779">
        <f ca="1">ROUND($R1247*$S$2,2)</f>
        <v>19.47</v>
      </c>
    </row>
    <row r="1248" spans="1:41" s="501" customFormat="1" ht="12" customHeight="1">
      <c r="A1248" s="760"/>
      <c r="B1248" s="780"/>
      <c r="C1248" s="781"/>
      <c r="D1248" s="782" t="str">
        <f>$F$3</f>
        <v>Technician</v>
      </c>
      <c r="E1248" s="782">
        <f>ROUND(($R1252*$S$3 + ($T1252*$T$3)), 2)</f>
        <v>0</v>
      </c>
      <c r="F1248" s="783">
        <f>$E1248*$C$12</f>
        <v>0</v>
      </c>
      <c r="G1248" s="499"/>
      <c r="H1248" s="499"/>
      <c r="I1248" s="499"/>
      <c r="J1248" s="499"/>
      <c r="K1248" s="765" t="s">
        <v>5</v>
      </c>
      <c r="L1248" s="766" t="s">
        <v>573</v>
      </c>
      <c r="M1248" s="499"/>
      <c r="N1248" s="499"/>
      <c r="O1248" s="499"/>
      <c r="P1248" s="499"/>
      <c r="Q1248" s="499"/>
      <c r="R1248" s="784"/>
      <c r="S1248" s="499"/>
      <c r="T1248" s="784"/>
    </row>
    <row r="1249" spans="1:41" s="797" customFormat="1" ht="15.6" customHeight="1">
      <c r="A1249" s="785"/>
      <c r="B1249" s="768" t="s">
        <v>575</v>
      </c>
      <c r="C1249" s="786"/>
      <c r="D1249" s="787"/>
      <c r="E1249" s="787"/>
      <c r="F1249" s="787"/>
      <c r="G1249" s="788"/>
      <c r="H1249" s="789"/>
      <c r="I1249" s="789"/>
      <c r="J1249" s="790"/>
      <c r="K1249" s="791"/>
      <c r="L1249" s="786"/>
      <c r="M1249" s="792"/>
      <c r="N1249" s="793"/>
      <c r="O1249" s="794"/>
      <c r="P1249" s="795"/>
      <c r="Q1249" s="796"/>
      <c r="R1249" s="771">
        <f>$A1249*Q1249</f>
        <v>0</v>
      </c>
      <c r="S1249" s="567"/>
      <c r="T1249" s="500">
        <f>$A1249*S1249*$T$1</f>
        <v>0</v>
      </c>
    </row>
    <row r="1250" spans="1:41" s="501" customFormat="1" ht="15.6" customHeight="1">
      <c r="A1250" s="767"/>
      <c r="B1250" s="567"/>
      <c r="C1250" s="567"/>
      <c r="D1250" s="567"/>
      <c r="E1250" s="567"/>
      <c r="F1250" s="567"/>
      <c r="G1250" s="567"/>
      <c r="H1250" s="567"/>
      <c r="I1250" s="567"/>
      <c r="J1250" s="567"/>
      <c r="K1250" s="567"/>
      <c r="L1250" s="770"/>
      <c r="M1250" s="567"/>
      <c r="N1250" s="567"/>
      <c r="O1250" s="567"/>
      <c r="P1250" s="567"/>
      <c r="Q1250" s="567"/>
      <c r="R1250" s="771">
        <f>$A1250*Q1250</f>
        <v>0</v>
      </c>
      <c r="S1250" s="567"/>
      <c r="T1250" s="500">
        <f>$A1250*S1250*$T$1</f>
        <v>0</v>
      </c>
    </row>
    <row r="1251" spans="1:41" s="501" customFormat="1" ht="15.6" customHeight="1">
      <c r="A1251" s="767"/>
      <c r="B1251" s="567"/>
      <c r="C1251" s="567"/>
      <c r="D1251" s="3"/>
      <c r="E1251" s="567"/>
      <c r="F1251" s="567"/>
      <c r="G1251" s="567"/>
      <c r="H1251" s="567"/>
      <c r="I1251" s="567"/>
      <c r="J1251" s="567"/>
      <c r="K1251" s="567"/>
      <c r="L1251" s="770"/>
      <c r="M1251" s="567"/>
      <c r="N1251" s="567"/>
      <c r="O1251" s="567"/>
      <c r="P1251" s="567"/>
      <c r="Q1251" s="567"/>
      <c r="R1251" s="771">
        <f>$A1251*Q1251</f>
        <v>0</v>
      </c>
      <c r="S1251" s="567"/>
      <c r="T1251" s="500">
        <f>$A1251*S1251*$T$1</f>
        <v>0</v>
      </c>
    </row>
    <row r="1252" spans="1:41" s="501" customFormat="1" ht="12">
      <c r="A1252" s="772" t="s">
        <v>145</v>
      </c>
      <c r="B1252" s="773">
        <f>(R1251+T1251)</f>
        <v>0</v>
      </c>
      <c r="C1252" s="753"/>
      <c r="G1252" s="774"/>
      <c r="H1252" s="774"/>
      <c r="I1252" s="774"/>
      <c r="J1252" s="774"/>
      <c r="K1252" s="798" t="s">
        <v>5</v>
      </c>
      <c r="L1252" s="775" t="s">
        <v>573</v>
      </c>
      <c r="M1252" s="774"/>
      <c r="N1252" s="774"/>
      <c r="O1252" s="774"/>
      <c r="P1252" s="774"/>
      <c r="Q1252" s="776"/>
      <c r="R1252" s="777">
        <f>SUM(R1248:R1251)</f>
        <v>0</v>
      </c>
      <c r="S1252" s="778"/>
      <c r="T1252" s="777">
        <f>SUM(T1248:T1251)</f>
        <v>0</v>
      </c>
      <c r="AG1252" s="799">
        <f>ROUND($R1252*$S$3,2)</f>
        <v>0</v>
      </c>
    </row>
    <row r="1253" spans="1:41" s="501" customFormat="1" ht="12" customHeight="1">
      <c r="A1253" s="800"/>
      <c r="B1253" s="801"/>
      <c r="C1253" s="802"/>
      <c r="D1253" s="803" t="str">
        <f>$F$4</f>
        <v>Engineer (Man Hours)</v>
      </c>
      <c r="E1253" s="803">
        <f>ROUND(($R1257*$S$4 + ($T1257*$T$4)), 2)</f>
        <v>0</v>
      </c>
      <c r="F1253" s="804">
        <f ca="1">$F1240-SUMIF($L1242:$P1250,"SUBI",$F1242:$F1250)</f>
        <v>0</v>
      </c>
      <c r="G1253" s="499"/>
      <c r="H1253" s="499"/>
      <c r="I1253" s="499"/>
      <c r="J1253" s="499"/>
      <c r="K1253" s="805" t="s">
        <v>8</v>
      </c>
      <c r="L1253" s="766" t="s">
        <v>573</v>
      </c>
      <c r="M1253" s="499"/>
      <c r="N1253" s="499"/>
      <c r="O1253" s="499"/>
      <c r="P1253" s="499"/>
      <c r="Q1253" s="499"/>
      <c r="R1253" s="784"/>
      <c r="S1253" s="499"/>
      <c r="T1253" s="784"/>
    </row>
    <row r="1254" spans="1:41" s="797" customFormat="1" ht="14.4" customHeight="1">
      <c r="A1254" s="785"/>
      <c r="B1254" s="768" t="s">
        <v>576</v>
      </c>
      <c r="C1254" s="786"/>
      <c r="D1254" s="787"/>
      <c r="E1254" s="787"/>
      <c r="F1254" s="787"/>
      <c r="G1254" s="788"/>
      <c r="H1254" s="789"/>
      <c r="I1254" s="789"/>
      <c r="J1254" s="790"/>
      <c r="K1254" s="791"/>
      <c r="L1254" s="786"/>
      <c r="M1254" s="792"/>
      <c r="N1254" s="793"/>
      <c r="O1254" s="806"/>
      <c r="P1254" s="795"/>
      <c r="Q1254" s="796"/>
      <c r="R1254" s="720">
        <f>$A1254*Q1254</f>
        <v>0</v>
      </c>
      <c r="S1254" s="796"/>
      <c r="T1254" s="500">
        <f>$A1254*S1254*$T$1</f>
        <v>0</v>
      </c>
    </row>
    <row r="1255" spans="1:41" s="501" customFormat="1" ht="12">
      <c r="A1255" s="44"/>
      <c r="B1255" s="497"/>
      <c r="C1255" s="497"/>
      <c r="D1255" s="807"/>
      <c r="E1255" s="808"/>
      <c r="F1255" s="499"/>
      <c r="G1255" s="499"/>
      <c r="H1255" s="499"/>
      <c r="I1255" s="499"/>
      <c r="J1255" s="499"/>
      <c r="K1255" s="499"/>
      <c r="L1255" s="809"/>
      <c r="M1255" s="499"/>
      <c r="N1255" s="499"/>
      <c r="O1255" s="499"/>
      <c r="P1255" s="499"/>
      <c r="Q1255" s="499"/>
      <c r="R1255" s="720">
        <f>$A1255*Q1255</f>
        <v>0</v>
      </c>
      <c r="S1255" s="499"/>
      <c r="T1255" s="500">
        <f>$A1255*S1255*$T$1</f>
        <v>0</v>
      </c>
    </row>
    <row r="1256" spans="1:41" s="501" customFormat="1" ht="12">
      <c r="A1256" s="44"/>
      <c r="B1256" s="497"/>
      <c r="C1256" s="497"/>
      <c r="D1256" s="807"/>
      <c r="E1256" s="808"/>
      <c r="F1256" s="499"/>
      <c r="G1256" s="499"/>
      <c r="H1256" s="499"/>
      <c r="I1256" s="499"/>
      <c r="J1256" s="499"/>
      <c r="K1256" s="499"/>
      <c r="L1256" s="809"/>
      <c r="M1256" s="499"/>
      <c r="N1256" s="499"/>
      <c r="O1256" s="499"/>
      <c r="P1256" s="499"/>
      <c r="Q1256" s="499"/>
      <c r="R1256" s="720">
        <f>$A1256*Q1256</f>
        <v>0</v>
      </c>
      <c r="S1256" s="499"/>
      <c r="T1256" s="500">
        <f>$A1256*S1256*$T$1</f>
        <v>0</v>
      </c>
    </row>
    <row r="1257" spans="1:41" s="501" customFormat="1" ht="12.75" customHeight="1">
      <c r="A1257" s="772" t="s">
        <v>145</v>
      </c>
      <c r="B1257" s="773">
        <f>(R1256+T1256)</f>
        <v>0</v>
      </c>
      <c r="C1257" s="810"/>
      <c r="D1257" s="810"/>
      <c r="E1257" s="810"/>
      <c r="F1257" s="810"/>
      <c r="G1257" s="776"/>
      <c r="H1257" s="776"/>
      <c r="I1257" s="776"/>
      <c r="J1257" s="776"/>
      <c r="K1257" s="798" t="s">
        <v>8</v>
      </c>
      <c r="L1257" s="811" t="s">
        <v>573</v>
      </c>
      <c r="M1257" s="776"/>
      <c r="N1257" s="776"/>
      <c r="O1257" s="776"/>
      <c r="P1257" s="776"/>
      <c r="Q1257" s="776"/>
      <c r="R1257" s="777">
        <f>SUM(R1253:R1256)</f>
        <v>0</v>
      </c>
      <c r="S1257" s="778"/>
      <c r="T1257" s="777">
        <f>SUM(T1253:T1256)</f>
        <v>0</v>
      </c>
      <c r="AG1257" s="812">
        <f>ROUND($R1257*$S$4,2)</f>
        <v>0</v>
      </c>
    </row>
    <row r="1258" spans="1:41" s="501" customFormat="1" ht="12.75" customHeight="1">
      <c r="A1258" s="813"/>
      <c r="B1258" s="814"/>
      <c r="E1258" s="497"/>
      <c r="F1258" s="808"/>
      <c r="G1258" s="497"/>
      <c r="H1258" s="497"/>
      <c r="I1258" s="499"/>
      <c r="J1258" s="497"/>
      <c r="K1258" s="497"/>
      <c r="L1258" s="815"/>
      <c r="M1258" s="725"/>
      <c r="N1258" s="725"/>
      <c r="O1258" s="725"/>
      <c r="P1258" s="725"/>
      <c r="Q1258" s="726"/>
      <c r="R1258" s="784"/>
      <c r="S1258" s="497"/>
      <c r="T1258" s="784"/>
    </row>
    <row r="1259" spans="1:41" s="501" customFormat="1" ht="13.5" customHeight="1" thickBot="1">
      <c r="A1259" s="816"/>
      <c r="B1259" s="817"/>
      <c r="C1259" s="518"/>
      <c r="D1259" s="518"/>
      <c r="E1259" s="515"/>
      <c r="F1259" s="721"/>
      <c r="G1259" s="515" t="s">
        <v>146</v>
      </c>
      <c r="H1259" s="515"/>
      <c r="I1259" s="516"/>
      <c r="J1259" s="515"/>
      <c r="K1259" s="515"/>
      <c r="L1259" s="818" t="s">
        <v>143</v>
      </c>
      <c r="M1259" s="517"/>
      <c r="N1259" s="517"/>
      <c r="O1259" s="517"/>
      <c r="P1259" s="517"/>
      <c r="Q1259" s="722"/>
      <c r="R1259" s="819">
        <f ca="1">SUMIF($L1241:$L1258,"SUBI",R1241:R1258)</f>
        <v>14.42</v>
      </c>
      <c r="S1259" s="820"/>
      <c r="T1259" s="819">
        <f ca="1">SUMIF($L1241:$L1258,"SUBI",T1241:T1258)</f>
        <v>1.66</v>
      </c>
      <c r="U1259" s="518"/>
      <c r="V1259" s="518"/>
      <c r="W1259" s="518"/>
      <c r="X1259" s="518"/>
      <c r="Y1259" s="518"/>
      <c r="Z1259" s="518"/>
      <c r="AA1259" s="518"/>
      <c r="AB1259" s="518"/>
      <c r="AC1259" s="518"/>
      <c r="AD1259" s="518"/>
      <c r="AE1259" s="518"/>
      <c r="AF1259" s="518"/>
      <c r="AG1259" s="518"/>
      <c r="AH1259" s="518"/>
      <c r="AI1259" s="518"/>
      <c r="AJ1259" s="518"/>
      <c r="AK1259" s="518"/>
      <c r="AL1259" s="518"/>
      <c r="AM1259" s="518"/>
      <c r="AN1259" s="518"/>
      <c r="AO1259" s="518"/>
    </row>
    <row r="1260" spans="1:41" s="501" customFormat="1" thickTop="1">
      <c r="A1260" s="44"/>
      <c r="B1260" s="39"/>
      <c r="C1260" s="44"/>
      <c r="E1260" s="40" t="s">
        <v>138</v>
      </c>
      <c r="F1260" s="40" t="s">
        <v>139</v>
      </c>
      <c r="G1260" s="44"/>
      <c r="H1260" s="44"/>
      <c r="I1260" s="44"/>
      <c r="J1260" s="44"/>
      <c r="K1260" s="44" t="s">
        <v>140</v>
      </c>
      <c r="L1260" s="737"/>
      <c r="M1260" s="44"/>
      <c r="N1260" s="44"/>
      <c r="O1260" s="45"/>
      <c r="P1260" s="44"/>
      <c r="Q1260"/>
      <c r="R1260"/>
      <c r="S1260"/>
      <c r="T1260" s="39"/>
      <c r="AG1260" s="502" t="s">
        <v>247</v>
      </c>
      <c r="AH1260" s="502" t="s">
        <v>248</v>
      </c>
      <c r="AI1260" s="502" t="s">
        <v>249</v>
      </c>
      <c r="AJ1260" s="502" t="s">
        <v>250</v>
      </c>
      <c r="AK1260" s="502" t="s">
        <v>251</v>
      </c>
      <c r="AM1260" s="710" t="s">
        <v>260</v>
      </c>
      <c r="AN1260" s="711" t="s">
        <v>261</v>
      </c>
      <c r="AO1260" s="503" t="s">
        <v>257</v>
      </c>
    </row>
    <row r="1261" spans="1:41" s="501" customFormat="1" ht="13.2">
      <c r="A1261" s="712">
        <v>1</v>
      </c>
      <c r="B1261" s="504" t="s">
        <v>283</v>
      </c>
      <c r="C1261" s="505"/>
      <c r="D1261" s="713" t="s">
        <v>586</v>
      </c>
      <c r="E1261" s="738">
        <f ca="1">IF(AND($A1261=0,$A$1="DIF"),0,ROUND(ROUND(SUMIF($L1263:$L1274,"SUBI",$E1263:$E1274)/$A1261,2)*$C$12,2))</f>
        <v>81</v>
      </c>
      <c r="F1261" s="739">
        <f ca="1">ROUND($A1261*$E1261,2)</f>
        <v>81</v>
      </c>
      <c r="G1261" s="506" t="s">
        <v>142</v>
      </c>
      <c r="H1261" s="498"/>
      <c r="I1261" s="716"/>
      <c r="J1261" s="498"/>
      <c r="K1261" s="740"/>
      <c r="L1261" s="741" t="s">
        <v>143</v>
      </c>
      <c r="M1261" s="717"/>
      <c r="N1261" s="717"/>
      <c r="O1261" s="717"/>
      <c r="P1261" s="717"/>
      <c r="Q1261" s="943" t="s">
        <v>855</v>
      </c>
      <c r="R1261" s="943" t="s">
        <v>870</v>
      </c>
      <c r="S1261"/>
      <c r="T1261" s="742" t="str">
        <f ca="1">IF(AND($R1280=0,$T1280=0),"0.00","mu :" &amp; ROUND($F1261/$C$12/($R1280+$T1280*$D$9),2))</f>
        <v>mu :1.35</v>
      </c>
      <c r="W1261" s="507"/>
      <c r="AG1261" s="743">
        <f ca="1">IF(A1261=0,0,ROUND(SUM(AG1263:AG1280)/A1261,2))</f>
        <v>19.47</v>
      </c>
      <c r="AH1261" s="743">
        <f ca="1">$AG1261*$A1261</f>
        <v>19.47</v>
      </c>
      <c r="AI1261" s="743">
        <f ca="1">$E1261-$AG1261</f>
        <v>61.53</v>
      </c>
      <c r="AJ1261" s="743">
        <f ca="1">$A1261*$AI1261</f>
        <v>61.53</v>
      </c>
      <c r="AK1261" s="744">
        <f ca="1">ROUND(($AG1261+$AI1261)*$A1261,2)</f>
        <v>81</v>
      </c>
      <c r="AM1261" s="510">
        <f ca="1">ROUND(R1280,2)</f>
        <v>14.42</v>
      </c>
      <c r="AN1261" s="511">
        <f ca="1">ROUND(T1280,2)</f>
        <v>1.66</v>
      </c>
      <c r="AO1261" s="512">
        <f ca="1">ROUND(AM1261+AN1261,2)*A1261</f>
        <v>16.079999999999998</v>
      </c>
    </row>
    <row r="1262" spans="1:41" s="501" customFormat="1" ht="21.6" customHeight="1">
      <c r="A1262" s="745"/>
      <c r="B1262" s="746"/>
      <c r="C1262" s="505"/>
      <c r="D1262" s="724" t="s">
        <v>408</v>
      </c>
      <c r="F1262" s="498"/>
      <c r="G1262" s="498"/>
      <c r="H1262" s="498"/>
      <c r="I1262" s="716"/>
      <c r="J1262" s="498"/>
      <c r="K1262" s="498" t="s">
        <v>144</v>
      </c>
      <c r="L1262" s="747"/>
      <c r="M1262" s="498"/>
      <c r="N1262" s="498"/>
      <c r="O1262" s="498"/>
      <c r="P1262" s="498"/>
      <c r="Q1262" s="44"/>
      <c r="R1262" s="567"/>
      <c r="S1262" s="719"/>
      <c r="T1262" s="498"/>
    </row>
    <row r="1263" spans="1:41" s="501" customFormat="1" ht="12">
      <c r="A1263" s="748"/>
      <c r="B1263" s="749"/>
      <c r="C1263" s="497"/>
      <c r="D1263" s="750"/>
      <c r="E1263" s="751">
        <f ca="1">F1261/$C$12-SUMIF($L1260:$L1280,"SUBI",$E1260:$E1280)</f>
        <v>0</v>
      </c>
      <c r="F1263" s="752" t="s">
        <v>572</v>
      </c>
      <c r="G1263" s="753"/>
      <c r="H1263" s="753"/>
      <c r="I1263" s="754"/>
      <c r="J1263" s="753"/>
      <c r="K1263" s="753"/>
      <c r="L1263" s="755"/>
      <c r="M1263" s="756"/>
      <c r="N1263" s="756"/>
      <c r="O1263" s="756"/>
      <c r="P1263" s="756"/>
      <c r="Q1263" s="757"/>
      <c r="R1263" s="758"/>
      <c r="S1263" s="757"/>
      <c r="T1263" s="759"/>
    </row>
    <row r="1264" spans="1:41" s="501" customFormat="1" ht="12" customHeight="1">
      <c r="A1264" s="760"/>
      <c r="B1264" s="761"/>
      <c r="C1264" s="762"/>
      <c r="D1264" s="762" t="str">
        <f>$F$2</f>
        <v>Electrical</v>
      </c>
      <c r="E1264" s="762">
        <f ca="1">ROUND(($R1268*$S$2 + ($T1268*$T$2)), 2)</f>
        <v>81</v>
      </c>
      <c r="F1264" s="763">
        <f ca="1">$E1264*$C$12</f>
        <v>81</v>
      </c>
      <c r="G1264" s="567"/>
      <c r="H1264" s="764"/>
      <c r="I1264" s="567"/>
      <c r="J1264" s="45"/>
      <c r="K1264" s="765" t="s">
        <v>3</v>
      </c>
      <c r="L1264" s="766" t="s">
        <v>573</v>
      </c>
      <c r="M1264" s="567"/>
      <c r="N1264" s="567"/>
      <c r="O1264" s="45"/>
      <c r="P1264" s="567"/>
      <c r="Q1264" s="567"/>
      <c r="R1264"/>
      <c r="S1264"/>
      <c r="T1264"/>
    </row>
    <row r="1265" spans="1:41" s="935" customFormat="1" ht="13.2">
      <c r="A1265"/>
      <c r="B1265" s="927"/>
      <c r="C1265" s="927" t="s">
        <v>735</v>
      </c>
      <c r="D1265" s="927" t="str">
        <f ca="1">CELL("Address",Elec_Rates!D$37)</f>
        <v>[E25_0465_IH_Retro_Elec4Mech_Est_Rev_A.xlsx]Elec_Rates!$D$37</v>
      </c>
      <c r="E1265" s="928"/>
      <c r="F1265" s="928"/>
      <c r="G1265" s="929" t="s">
        <v>736</v>
      </c>
      <c r="H1265" s="929"/>
      <c r="I1265" s="929"/>
      <c r="J1265" s="929"/>
      <c r="K1265" s="930"/>
      <c r="L1265" s="928"/>
      <c r="M1265" s="928"/>
      <c r="N1265" s="928"/>
      <c r="O1265" s="931"/>
      <c r="P1265" s="928"/>
      <c r="Q1265" s="932"/>
      <c r="R1265" s="933"/>
      <c r="S1265" s="932"/>
      <c r="T1265" s="560"/>
      <c r="U1265" s="934"/>
    </row>
    <row r="1266" spans="1:41" s="935" customFormat="1" ht="11.4">
      <c r="A1266" s="936">
        <v>1</v>
      </c>
      <c r="B1266" s="937">
        <v>1</v>
      </c>
      <c r="C1266" s="937">
        <f>$A1266*$B1266</f>
        <v>1</v>
      </c>
      <c r="D1266" s="938" t="str">
        <f>Elec_Rates!$D$37</f>
        <v>003# Connecting up of 11.0 kW 400Volt motor (Standard)</v>
      </c>
      <c r="E1266" s="938"/>
      <c r="F1266" s="938" t="s">
        <v>737</v>
      </c>
      <c r="G1266" s="939" t="s">
        <v>738</v>
      </c>
      <c r="H1266" s="939"/>
      <c r="I1266" s="939"/>
      <c r="J1266" s="939"/>
      <c r="K1266" s="940"/>
      <c r="L1266" s="934"/>
      <c r="M1266" s="934"/>
      <c r="N1266" s="934"/>
      <c r="O1266" s="941"/>
      <c r="P1266" s="938"/>
      <c r="Q1266" s="942">
        <f ca="1">$B1266*Elec_Rates!$R$37</f>
        <v>14.42</v>
      </c>
      <c r="R1266" s="933">
        <f ca="1">$A1266*Q1266</f>
        <v>14.42</v>
      </c>
      <c r="S1266" s="942">
        <f ca="1">$B1266*Elec_Rates!$T$37</f>
        <v>1.66</v>
      </c>
      <c r="T1266" s="560">
        <f ca="1">$A1266*S1266</f>
        <v>1.66</v>
      </c>
      <c r="U1266" s="484"/>
    </row>
    <row r="1267" spans="1:41" s="501" customFormat="1" ht="14.4" customHeight="1">
      <c r="A1267" s="767"/>
      <c r="B1267" s="567"/>
      <c r="C1267" s="567"/>
      <c r="D1267" s="567"/>
      <c r="E1267" s="567"/>
      <c r="F1267" s="567"/>
      <c r="G1267" s="567"/>
      <c r="H1267" s="764"/>
      <c r="I1267" s="567"/>
      <c r="J1267" s="45"/>
      <c r="K1267" s="769"/>
      <c r="L1267" s="770"/>
      <c r="M1267" s="567"/>
      <c r="N1267" s="567"/>
      <c r="O1267" s="45"/>
      <c r="P1267" s="567"/>
      <c r="Q1267" s="567"/>
      <c r="R1267" s="771">
        <f>$A1267*Q1267</f>
        <v>0</v>
      </c>
      <c r="S1267" s="567"/>
      <c r="T1267" s="500">
        <f>$A1267*S1267*$T$1</f>
        <v>0</v>
      </c>
    </row>
    <row r="1268" spans="1:41" s="501" customFormat="1" ht="12">
      <c r="A1268" s="772" t="s">
        <v>145</v>
      </c>
      <c r="B1268" s="773">
        <f>(R1267+T1267)</f>
        <v>0</v>
      </c>
      <c r="C1268" s="753"/>
      <c r="G1268" s="774"/>
      <c r="H1268" s="774"/>
      <c r="I1268" s="774"/>
      <c r="J1268" s="774"/>
      <c r="K1268" s="750" t="s">
        <v>3</v>
      </c>
      <c r="L1268" s="775" t="s">
        <v>573</v>
      </c>
      <c r="M1268" s="774"/>
      <c r="N1268" s="774"/>
      <c r="O1268" s="774"/>
      <c r="P1268" s="774"/>
      <c r="Q1268" s="776"/>
      <c r="R1268" s="777">
        <f ca="1">SUM(R1264:R1267)</f>
        <v>14.42</v>
      </c>
      <c r="S1268" s="778"/>
      <c r="T1268" s="777">
        <f ca="1">SUM(T1264:T1267)</f>
        <v>1.66</v>
      </c>
      <c r="AG1268" s="779">
        <f ca="1">ROUND($R1268*$S$2,2)</f>
        <v>19.47</v>
      </c>
    </row>
    <row r="1269" spans="1:41" s="501" customFormat="1" ht="12" customHeight="1">
      <c r="A1269" s="760"/>
      <c r="B1269" s="780"/>
      <c r="C1269" s="781"/>
      <c r="D1269" s="782" t="str">
        <f>$F$3</f>
        <v>Technician</v>
      </c>
      <c r="E1269" s="782">
        <f>ROUND(($R1273*$S$3 + ($T1273*$T$3)), 2)</f>
        <v>0</v>
      </c>
      <c r="F1269" s="783">
        <f>$E1269*$C$12</f>
        <v>0</v>
      </c>
      <c r="G1269" s="499"/>
      <c r="H1269" s="499"/>
      <c r="I1269" s="499"/>
      <c r="J1269" s="499"/>
      <c r="K1269" s="765" t="s">
        <v>5</v>
      </c>
      <c r="L1269" s="766" t="s">
        <v>573</v>
      </c>
      <c r="M1269" s="499"/>
      <c r="N1269" s="499"/>
      <c r="O1269" s="499"/>
      <c r="P1269" s="499"/>
      <c r="Q1269" s="499"/>
      <c r="R1269" s="784"/>
      <c r="S1269" s="499"/>
      <c r="T1269" s="784"/>
    </row>
    <row r="1270" spans="1:41" s="797" customFormat="1" ht="15.6" customHeight="1">
      <c r="A1270" s="785"/>
      <c r="B1270" s="768" t="s">
        <v>575</v>
      </c>
      <c r="C1270" s="786"/>
      <c r="D1270" s="787"/>
      <c r="E1270" s="787"/>
      <c r="F1270" s="787"/>
      <c r="G1270" s="788"/>
      <c r="H1270" s="789"/>
      <c r="I1270" s="789"/>
      <c r="J1270" s="790"/>
      <c r="K1270" s="791"/>
      <c r="L1270" s="786"/>
      <c r="M1270" s="792"/>
      <c r="N1270" s="793"/>
      <c r="O1270" s="794"/>
      <c r="P1270" s="795"/>
      <c r="Q1270" s="796"/>
      <c r="R1270" s="771">
        <f>$A1270*Q1270</f>
        <v>0</v>
      </c>
      <c r="S1270" s="567"/>
      <c r="T1270" s="500">
        <f>$A1270*S1270*$T$1</f>
        <v>0</v>
      </c>
    </row>
    <row r="1271" spans="1:41" s="501" customFormat="1" ht="15.6" customHeight="1">
      <c r="A1271" s="767"/>
      <c r="B1271" s="567"/>
      <c r="C1271" s="567"/>
      <c r="D1271" s="567"/>
      <c r="E1271" s="567"/>
      <c r="F1271" s="567"/>
      <c r="G1271" s="567"/>
      <c r="H1271" s="567"/>
      <c r="I1271" s="567"/>
      <c r="J1271" s="567"/>
      <c r="K1271" s="567"/>
      <c r="L1271" s="770"/>
      <c r="M1271" s="567"/>
      <c r="N1271" s="567"/>
      <c r="O1271" s="567"/>
      <c r="P1271" s="567"/>
      <c r="Q1271" s="567"/>
      <c r="R1271" s="771">
        <f>$A1271*Q1271</f>
        <v>0</v>
      </c>
      <c r="S1271" s="567"/>
      <c r="T1271" s="500">
        <f>$A1271*S1271*$T$1</f>
        <v>0</v>
      </c>
    </row>
    <row r="1272" spans="1:41" s="501" customFormat="1" ht="15.6" customHeight="1">
      <c r="A1272" s="767"/>
      <c r="B1272" s="567"/>
      <c r="C1272" s="567"/>
      <c r="D1272" s="3"/>
      <c r="E1272" s="567"/>
      <c r="F1272" s="567"/>
      <c r="G1272" s="567"/>
      <c r="H1272" s="567"/>
      <c r="I1272" s="567"/>
      <c r="J1272" s="567"/>
      <c r="K1272" s="567"/>
      <c r="L1272" s="770"/>
      <c r="M1272" s="567"/>
      <c r="N1272" s="567"/>
      <c r="O1272" s="567"/>
      <c r="P1272" s="567"/>
      <c r="Q1272" s="567"/>
      <c r="R1272" s="771">
        <f>$A1272*Q1272</f>
        <v>0</v>
      </c>
      <c r="S1272" s="567"/>
      <c r="T1272" s="500">
        <f>$A1272*S1272*$T$1</f>
        <v>0</v>
      </c>
    </row>
    <row r="1273" spans="1:41" s="501" customFormat="1" ht="12">
      <c r="A1273" s="772" t="s">
        <v>145</v>
      </c>
      <c r="B1273" s="773">
        <f>(R1272+T1272)</f>
        <v>0</v>
      </c>
      <c r="C1273" s="753"/>
      <c r="G1273" s="774"/>
      <c r="H1273" s="774"/>
      <c r="I1273" s="774"/>
      <c r="J1273" s="774"/>
      <c r="K1273" s="798" t="s">
        <v>5</v>
      </c>
      <c r="L1273" s="775" t="s">
        <v>573</v>
      </c>
      <c r="M1273" s="774"/>
      <c r="N1273" s="774"/>
      <c r="O1273" s="774"/>
      <c r="P1273" s="774"/>
      <c r="Q1273" s="776"/>
      <c r="R1273" s="777">
        <f>SUM(R1269:R1272)</f>
        <v>0</v>
      </c>
      <c r="S1273" s="778"/>
      <c r="T1273" s="777">
        <f>SUM(T1269:T1272)</f>
        <v>0</v>
      </c>
      <c r="AG1273" s="799">
        <f>ROUND($R1273*$S$3,2)</f>
        <v>0</v>
      </c>
    </row>
    <row r="1274" spans="1:41" s="501" customFormat="1" ht="12" customHeight="1">
      <c r="A1274" s="800"/>
      <c r="B1274" s="801"/>
      <c r="C1274" s="802"/>
      <c r="D1274" s="803" t="str">
        <f>$F$4</f>
        <v>Engineer (Man Hours)</v>
      </c>
      <c r="E1274" s="803">
        <f>ROUND(($R1278*$S$4 + ($T1278*$T$4)), 2)</f>
        <v>0</v>
      </c>
      <c r="F1274" s="804">
        <f ca="1">$F1261-SUMIF($L1263:$P1271,"SUBI",$F1263:$F1271)</f>
        <v>0</v>
      </c>
      <c r="G1274" s="499"/>
      <c r="H1274" s="499"/>
      <c r="I1274" s="499"/>
      <c r="J1274" s="499"/>
      <c r="K1274" s="805" t="s">
        <v>8</v>
      </c>
      <c r="L1274" s="766" t="s">
        <v>573</v>
      </c>
      <c r="M1274" s="499"/>
      <c r="N1274" s="499"/>
      <c r="O1274" s="499"/>
      <c r="P1274" s="499"/>
      <c r="Q1274" s="499"/>
      <c r="R1274" s="784"/>
      <c r="S1274" s="499"/>
      <c r="T1274" s="784"/>
    </row>
    <row r="1275" spans="1:41" s="797" customFormat="1" ht="14.4" customHeight="1">
      <c r="A1275" s="785"/>
      <c r="B1275" s="768" t="s">
        <v>576</v>
      </c>
      <c r="C1275" s="786"/>
      <c r="D1275" s="787"/>
      <c r="E1275" s="787"/>
      <c r="F1275" s="787"/>
      <c r="G1275" s="788"/>
      <c r="H1275" s="789"/>
      <c r="I1275" s="789"/>
      <c r="J1275" s="790"/>
      <c r="K1275" s="791"/>
      <c r="L1275" s="786"/>
      <c r="M1275" s="792"/>
      <c r="N1275" s="793"/>
      <c r="O1275" s="806"/>
      <c r="P1275" s="795"/>
      <c r="Q1275" s="796"/>
      <c r="R1275" s="720">
        <f>$A1275*Q1275</f>
        <v>0</v>
      </c>
      <c r="S1275" s="796"/>
      <c r="T1275" s="500">
        <f>$A1275*S1275*$T$1</f>
        <v>0</v>
      </c>
    </row>
    <row r="1276" spans="1:41" s="501" customFormat="1" ht="12">
      <c r="A1276" s="44"/>
      <c r="B1276" s="497"/>
      <c r="C1276" s="497"/>
      <c r="D1276" s="807"/>
      <c r="E1276" s="808"/>
      <c r="F1276" s="499"/>
      <c r="G1276" s="499"/>
      <c r="H1276" s="499"/>
      <c r="I1276" s="499"/>
      <c r="J1276" s="499"/>
      <c r="K1276" s="499"/>
      <c r="L1276" s="809"/>
      <c r="M1276" s="499"/>
      <c r="N1276" s="499"/>
      <c r="O1276" s="499"/>
      <c r="P1276" s="499"/>
      <c r="Q1276" s="499"/>
      <c r="R1276" s="720">
        <f>$A1276*Q1276</f>
        <v>0</v>
      </c>
      <c r="S1276" s="499"/>
      <c r="T1276" s="500">
        <f>$A1276*S1276*$T$1</f>
        <v>0</v>
      </c>
    </row>
    <row r="1277" spans="1:41" s="501" customFormat="1" ht="12">
      <c r="A1277" s="44"/>
      <c r="B1277" s="497"/>
      <c r="C1277" s="497"/>
      <c r="D1277" s="807"/>
      <c r="E1277" s="808"/>
      <c r="F1277" s="499"/>
      <c r="G1277" s="499"/>
      <c r="H1277" s="499"/>
      <c r="I1277" s="499"/>
      <c r="J1277" s="499"/>
      <c r="K1277" s="499"/>
      <c r="L1277" s="809"/>
      <c r="M1277" s="499"/>
      <c r="N1277" s="499"/>
      <c r="O1277" s="499"/>
      <c r="P1277" s="499"/>
      <c r="Q1277" s="499"/>
      <c r="R1277" s="720">
        <f>$A1277*Q1277</f>
        <v>0</v>
      </c>
      <c r="S1277" s="499"/>
      <c r="T1277" s="500">
        <f>$A1277*S1277*$T$1</f>
        <v>0</v>
      </c>
    </row>
    <row r="1278" spans="1:41" s="501" customFormat="1" ht="12.75" customHeight="1">
      <c r="A1278" s="772" t="s">
        <v>145</v>
      </c>
      <c r="B1278" s="773">
        <f>(R1277+T1277)</f>
        <v>0</v>
      </c>
      <c r="C1278" s="810"/>
      <c r="D1278" s="810"/>
      <c r="E1278" s="810"/>
      <c r="F1278" s="810"/>
      <c r="G1278" s="776"/>
      <c r="H1278" s="776"/>
      <c r="I1278" s="776"/>
      <c r="J1278" s="776"/>
      <c r="K1278" s="798" t="s">
        <v>8</v>
      </c>
      <c r="L1278" s="811" t="s">
        <v>573</v>
      </c>
      <c r="M1278" s="776"/>
      <c r="N1278" s="776"/>
      <c r="O1278" s="776"/>
      <c r="P1278" s="776"/>
      <c r="Q1278" s="776"/>
      <c r="R1278" s="777">
        <f>SUM(R1274:R1277)</f>
        <v>0</v>
      </c>
      <c r="S1278" s="778"/>
      <c r="T1278" s="777">
        <f>SUM(T1274:T1277)</f>
        <v>0</v>
      </c>
      <c r="AG1278" s="812">
        <f>ROUND($R1278*$S$4,2)</f>
        <v>0</v>
      </c>
    </row>
    <row r="1279" spans="1:41" s="501" customFormat="1" ht="12.75" customHeight="1">
      <c r="A1279" s="813"/>
      <c r="B1279" s="814"/>
      <c r="E1279" s="497"/>
      <c r="F1279" s="808"/>
      <c r="G1279" s="497"/>
      <c r="H1279" s="497"/>
      <c r="I1279" s="499"/>
      <c r="J1279" s="497"/>
      <c r="K1279" s="497"/>
      <c r="L1279" s="815"/>
      <c r="M1279" s="725"/>
      <c r="N1279" s="725"/>
      <c r="O1279" s="725"/>
      <c r="P1279" s="725"/>
      <c r="Q1279" s="726"/>
      <c r="R1279" s="784"/>
      <c r="S1279" s="497"/>
      <c r="T1279" s="784"/>
    </row>
    <row r="1280" spans="1:41" s="501" customFormat="1" ht="13.5" customHeight="1" thickBot="1">
      <c r="A1280" s="816"/>
      <c r="B1280" s="817"/>
      <c r="C1280" s="518"/>
      <c r="D1280" s="518"/>
      <c r="E1280" s="515"/>
      <c r="F1280" s="721"/>
      <c r="G1280" s="515" t="s">
        <v>146</v>
      </c>
      <c r="H1280" s="515"/>
      <c r="I1280" s="516"/>
      <c r="J1280" s="515"/>
      <c r="K1280" s="515"/>
      <c r="L1280" s="818" t="s">
        <v>143</v>
      </c>
      <c r="M1280" s="517"/>
      <c r="N1280" s="517"/>
      <c r="O1280" s="517"/>
      <c r="P1280" s="517"/>
      <c r="Q1280" s="722"/>
      <c r="R1280" s="819">
        <f ca="1">SUMIF($L1262:$L1279,"SUBI",R1262:R1279)</f>
        <v>14.42</v>
      </c>
      <c r="S1280" s="820"/>
      <c r="T1280" s="819">
        <f ca="1">SUMIF($L1262:$L1279,"SUBI",T1262:T1279)</f>
        <v>1.66</v>
      </c>
      <c r="U1280" s="518"/>
      <c r="V1280" s="518"/>
      <c r="W1280" s="518"/>
      <c r="X1280" s="518"/>
      <c r="Y1280" s="518"/>
      <c r="Z1280" s="518"/>
      <c r="AA1280" s="518"/>
      <c r="AB1280" s="518"/>
      <c r="AC1280" s="518"/>
      <c r="AD1280" s="518"/>
      <c r="AE1280" s="518"/>
      <c r="AF1280" s="518"/>
      <c r="AG1280" s="518"/>
      <c r="AH1280" s="518"/>
      <c r="AI1280" s="518"/>
      <c r="AJ1280" s="518"/>
      <c r="AK1280" s="518"/>
      <c r="AL1280" s="518"/>
      <c r="AM1280" s="518"/>
      <c r="AN1280" s="518"/>
      <c r="AO1280" s="518"/>
    </row>
    <row r="1281" spans="1:41" s="501" customFormat="1" thickTop="1">
      <c r="A1281" s="44"/>
      <c r="B1281" s="39"/>
      <c r="C1281" s="44"/>
      <c r="E1281" s="40" t="s">
        <v>138</v>
      </c>
      <c r="F1281" s="40" t="s">
        <v>139</v>
      </c>
      <c r="G1281" s="44"/>
      <c r="H1281" s="44"/>
      <c r="I1281" s="44"/>
      <c r="J1281" s="44"/>
      <c r="K1281" s="44" t="s">
        <v>140</v>
      </c>
      <c r="L1281" s="737"/>
      <c r="M1281" s="44"/>
      <c r="N1281" s="44"/>
      <c r="O1281" s="45"/>
      <c r="P1281" s="44"/>
      <c r="Q1281"/>
      <c r="R1281"/>
      <c r="S1281"/>
      <c r="T1281" s="39"/>
      <c r="AG1281" s="502" t="s">
        <v>247</v>
      </c>
      <c r="AH1281" s="502" t="s">
        <v>248</v>
      </c>
      <c r="AI1281" s="502" t="s">
        <v>249</v>
      </c>
      <c r="AJ1281" s="502" t="s">
        <v>250</v>
      </c>
      <c r="AK1281" s="502" t="s">
        <v>251</v>
      </c>
      <c r="AM1281" s="710" t="s">
        <v>260</v>
      </c>
      <c r="AN1281" s="711" t="s">
        <v>261</v>
      </c>
      <c r="AO1281" s="503" t="s">
        <v>257</v>
      </c>
    </row>
    <row r="1282" spans="1:41" s="501" customFormat="1" ht="13.2">
      <c r="A1282" s="712">
        <v>1</v>
      </c>
      <c r="B1282" s="504" t="s">
        <v>283</v>
      </c>
      <c r="C1282" s="505"/>
      <c r="D1282" s="713" t="s">
        <v>592</v>
      </c>
      <c r="E1282" s="738">
        <f>IF(AND($A1282=0,$A$1="DIF"),0,ROUND(ROUND(SUMIF($L1284:$L1301,"SUBI",$E1284:$E1301)/$A1282,2)*$C$12,2))</f>
        <v>152.91</v>
      </c>
      <c r="F1282" s="739">
        <f>ROUND($A1282*$E1282,2)</f>
        <v>152.91</v>
      </c>
      <c r="G1282" s="506" t="s">
        <v>142</v>
      </c>
      <c r="H1282" s="498"/>
      <c r="I1282" s="716"/>
      <c r="J1282" s="498"/>
      <c r="K1282" s="740"/>
      <c r="L1282" s="741" t="s">
        <v>143</v>
      </c>
      <c r="M1282" s="717"/>
      <c r="N1282" s="717"/>
      <c r="O1282" s="717"/>
      <c r="P1282" s="717"/>
      <c r="Q1282" s="943" t="s">
        <v>855</v>
      </c>
      <c r="R1282" s="943" t="s">
        <v>870</v>
      </c>
      <c r="S1282"/>
      <c r="T1282" s="742" t="str">
        <f>IF(AND($R1307=0,$T1307=0),"0.00","mu :" &amp; ROUND($F1282/$C$12/($R1307+$T1307*$D$9),2))</f>
        <v>mu :1.35</v>
      </c>
      <c r="W1282" s="507"/>
      <c r="AG1282" s="743">
        <f>IF(A1282=0,0,ROUND(SUM(AG1284:AG1307)/A1282,2))</f>
        <v>57.27</v>
      </c>
      <c r="AH1282" s="743">
        <f>$AG1282*$A1282</f>
        <v>57.27</v>
      </c>
      <c r="AI1282" s="743">
        <f>$E1282-$AG1282</f>
        <v>95.639999999999986</v>
      </c>
      <c r="AJ1282" s="743">
        <f>$A1282*$AI1282</f>
        <v>95.639999999999986</v>
      </c>
      <c r="AK1282" s="744">
        <f>ROUND(($AG1282+$AI1282)*$A1282,2)</f>
        <v>152.91</v>
      </c>
      <c r="AM1282" s="510">
        <f>ROUND(R1307,2)</f>
        <v>42.42</v>
      </c>
      <c r="AN1282" s="511">
        <f>ROUND(T1307,2)</f>
        <v>2.58</v>
      </c>
      <c r="AO1282" s="512">
        <f>ROUND(AM1282+AN1282,2)*A1282</f>
        <v>45</v>
      </c>
    </row>
    <row r="1283" spans="1:41" s="501" customFormat="1" ht="21.6" customHeight="1">
      <c r="A1283" s="745"/>
      <c r="B1283" s="746"/>
      <c r="C1283" s="505"/>
      <c r="D1283" s="724" t="s">
        <v>410</v>
      </c>
      <c r="F1283" s="498"/>
      <c r="G1283" s="498"/>
      <c r="H1283" s="498"/>
      <c r="I1283" s="716"/>
      <c r="J1283" s="498"/>
      <c r="K1283" s="498" t="s">
        <v>144</v>
      </c>
      <c r="L1283" s="747"/>
      <c r="M1283" s="498"/>
      <c r="N1283" s="498"/>
      <c r="O1283" s="498"/>
      <c r="P1283" s="498"/>
      <c r="Q1283" s="44"/>
      <c r="R1283" s="567"/>
      <c r="S1283" s="719"/>
      <c r="T1283" s="498"/>
    </row>
    <row r="1284" spans="1:41" s="501" customFormat="1" ht="12">
      <c r="A1284" s="748"/>
      <c r="B1284" s="749"/>
      <c r="C1284" s="497"/>
      <c r="D1284" s="750"/>
      <c r="E1284" s="751">
        <f>F1282/$C$12-SUMIF($L1281:$L1307,"SUBI",$E1281:$E1307)</f>
        <v>0</v>
      </c>
      <c r="F1284" s="752" t="s">
        <v>572</v>
      </c>
      <c r="G1284" s="753"/>
      <c r="H1284" s="753"/>
      <c r="I1284" s="754"/>
      <c r="J1284" s="753"/>
      <c r="K1284" s="753"/>
      <c r="L1284" s="755"/>
      <c r="M1284" s="756"/>
      <c r="N1284" s="756"/>
      <c r="O1284" s="756"/>
      <c r="P1284" s="756"/>
      <c r="Q1284" s="757"/>
      <c r="R1284" s="758"/>
      <c r="S1284" s="757"/>
      <c r="T1284" s="759"/>
    </row>
    <row r="1285" spans="1:41" s="501" customFormat="1" ht="12" customHeight="1">
      <c r="A1285" s="760"/>
      <c r="B1285" s="761"/>
      <c r="C1285" s="762"/>
      <c r="D1285" s="762" t="str">
        <f>$F$2</f>
        <v>Electrical</v>
      </c>
      <c r="E1285" s="762">
        <f>ROUND(($R1295*$S$2 + ($T1295*$T$2)), 2)</f>
        <v>152.91</v>
      </c>
      <c r="F1285" s="763">
        <f>$E1285*$C$12</f>
        <v>152.91</v>
      </c>
      <c r="G1285" s="567"/>
      <c r="H1285" s="764"/>
      <c r="I1285" s="567"/>
      <c r="J1285" s="45"/>
      <c r="K1285" s="765" t="s">
        <v>3</v>
      </c>
      <c r="L1285" s="766" t="s">
        <v>573</v>
      </c>
      <c r="M1285" s="567"/>
      <c r="N1285" s="567"/>
      <c r="O1285" s="45"/>
      <c r="P1285" s="567"/>
      <c r="Q1285" s="567"/>
      <c r="R1285"/>
      <c r="S1285"/>
      <c r="T1285"/>
    </row>
    <row r="1286" spans="1:41" s="893" customFormat="1" ht="13.2">
      <c r="A1286"/>
      <c r="D1286" s="944" t="s">
        <v>755</v>
      </c>
      <c r="G1286" s="894" t="s">
        <v>749</v>
      </c>
      <c r="H1286" s="895">
        <v>616</v>
      </c>
      <c r="I1286" s="893" t="s">
        <v>656</v>
      </c>
      <c r="J1286" s="893" t="s">
        <v>750</v>
      </c>
      <c r="O1286" s="896">
        <v>2</v>
      </c>
      <c r="P1286" s="897">
        <v>40767</v>
      </c>
      <c r="Q1286" s="898"/>
      <c r="R1286" s="899">
        <f t="shared" ref="R1286:R1294" si="41">$A1286*Q1286</f>
        <v>0</v>
      </c>
      <c r="S1286" s="898"/>
      <c r="T1286" s="900">
        <f t="shared" ref="T1286:T1294" si="42">$A1286*S1286*$T$1</f>
        <v>0</v>
      </c>
    </row>
    <row r="1287" spans="1:41" s="893" customFormat="1" ht="13.2">
      <c r="A1287">
        <v>3</v>
      </c>
      <c r="B1287" s="893" t="s">
        <v>296</v>
      </c>
      <c r="D1287" s="893" t="s">
        <v>1083</v>
      </c>
      <c r="F1287" s="893" t="s">
        <v>1080</v>
      </c>
      <c r="G1287" s="894" t="s">
        <v>1078</v>
      </c>
      <c r="H1287" s="895">
        <v>616</v>
      </c>
      <c r="I1287" s="893" t="s">
        <v>656</v>
      </c>
      <c r="J1287" s="893" t="s">
        <v>1079</v>
      </c>
      <c r="O1287" s="896">
        <v>2</v>
      </c>
      <c r="P1287" s="897">
        <v>40767</v>
      </c>
      <c r="Q1287" s="898">
        <v>7.15</v>
      </c>
      <c r="R1287" s="899">
        <f t="shared" si="41"/>
        <v>21.450000000000003</v>
      </c>
      <c r="S1287" s="898">
        <v>0.09</v>
      </c>
      <c r="T1287" s="900">
        <f t="shared" si="42"/>
        <v>0.27</v>
      </c>
    </row>
    <row r="1288" spans="1:41" s="893" customFormat="1" ht="13.2">
      <c r="A1288" s="87">
        <v>3</v>
      </c>
      <c r="B1288" s="893" t="s">
        <v>141</v>
      </c>
      <c r="D1288" s="893" t="s">
        <v>743</v>
      </c>
      <c r="G1288" s="894" t="s">
        <v>744</v>
      </c>
      <c r="H1288" s="895">
        <v>875</v>
      </c>
      <c r="I1288" s="893" t="s">
        <v>643</v>
      </c>
      <c r="K1288" s="893" t="s">
        <v>745</v>
      </c>
      <c r="O1288" s="896">
        <v>1</v>
      </c>
      <c r="P1288" s="897">
        <v>34669</v>
      </c>
      <c r="Q1288" s="898">
        <v>0.05</v>
      </c>
      <c r="R1288" s="899">
        <f t="shared" si="41"/>
        <v>0.15000000000000002</v>
      </c>
      <c r="S1288" s="898"/>
      <c r="T1288" s="900">
        <f t="shared" si="42"/>
        <v>0</v>
      </c>
    </row>
    <row r="1289" spans="1:41" s="893" customFormat="1" ht="13.2">
      <c r="A1289">
        <v>2</v>
      </c>
      <c r="B1289" s="893" t="s">
        <v>141</v>
      </c>
      <c r="D1289" s="893" t="s">
        <v>751</v>
      </c>
      <c r="G1289" s="894" t="s">
        <v>752</v>
      </c>
      <c r="H1289" s="895">
        <v>620</v>
      </c>
      <c r="I1289" s="893" t="s">
        <v>671</v>
      </c>
      <c r="O1289" s="896">
        <v>2</v>
      </c>
      <c r="P1289" s="897">
        <v>35431</v>
      </c>
      <c r="Q1289" s="898">
        <v>7.66</v>
      </c>
      <c r="R1289" s="899">
        <f t="shared" si="41"/>
        <v>15.32</v>
      </c>
      <c r="S1289" s="898">
        <v>0.4</v>
      </c>
      <c r="T1289" s="900">
        <f t="shared" si="42"/>
        <v>0.8</v>
      </c>
    </row>
    <row r="1290" spans="1:41" s="893" customFormat="1" ht="13.2">
      <c r="A1290">
        <v>2</v>
      </c>
      <c r="B1290" s="893" t="s">
        <v>296</v>
      </c>
      <c r="D1290" s="893" t="s">
        <v>672</v>
      </c>
      <c r="G1290" s="894" t="s">
        <v>673</v>
      </c>
      <c r="H1290" s="895">
        <v>620</v>
      </c>
      <c r="I1290" s="893" t="s">
        <v>643</v>
      </c>
      <c r="O1290" s="896">
        <v>2</v>
      </c>
      <c r="P1290" s="897">
        <v>38148</v>
      </c>
      <c r="Q1290" s="898">
        <v>1.5</v>
      </c>
      <c r="R1290" s="899">
        <f t="shared" si="41"/>
        <v>3</v>
      </c>
      <c r="S1290" s="898">
        <v>0.08</v>
      </c>
      <c r="T1290" s="900">
        <f t="shared" si="42"/>
        <v>0.16</v>
      </c>
    </row>
    <row r="1291" spans="1:41" s="893" customFormat="1" ht="13.2">
      <c r="A1291">
        <v>10</v>
      </c>
      <c r="B1291" s="893" t="s">
        <v>141</v>
      </c>
      <c r="D1291" s="893" t="s">
        <v>1081</v>
      </c>
      <c r="G1291" s="894" t="s">
        <v>1082</v>
      </c>
      <c r="H1291" s="895">
        <v>620</v>
      </c>
      <c r="I1291" s="893" t="s">
        <v>676</v>
      </c>
      <c r="O1291" s="896">
        <v>2</v>
      </c>
      <c r="P1291" s="897">
        <v>34669</v>
      </c>
      <c r="Q1291" s="902">
        <v>0.25</v>
      </c>
      <c r="R1291" s="899">
        <f t="shared" si="41"/>
        <v>2.5</v>
      </c>
      <c r="S1291" s="898">
        <v>0.06</v>
      </c>
      <c r="T1291" s="900">
        <f t="shared" si="42"/>
        <v>0.6</v>
      </c>
    </row>
    <row r="1292" spans="1:41" s="893" customFormat="1" ht="13.2">
      <c r="A1292">
        <v>1</v>
      </c>
      <c r="B1292" s="893" t="s">
        <v>141</v>
      </c>
      <c r="D1292" s="893" t="s">
        <v>658</v>
      </c>
      <c r="F1292" s="893" t="s">
        <v>748</v>
      </c>
      <c r="G1292" s="894" t="s">
        <v>659</v>
      </c>
      <c r="H1292" s="895">
        <v>900</v>
      </c>
      <c r="I1292" s="893" t="s">
        <v>660</v>
      </c>
      <c r="O1292" s="896">
        <v>1</v>
      </c>
      <c r="P1292" s="897"/>
      <c r="Q1292" s="898"/>
      <c r="R1292" s="899">
        <f t="shared" si="41"/>
        <v>0</v>
      </c>
      <c r="S1292" s="898">
        <v>0.5</v>
      </c>
      <c r="T1292" s="900">
        <f t="shared" si="42"/>
        <v>0.5</v>
      </c>
    </row>
    <row r="1293" spans="1:41" s="893" customFormat="1" ht="13.2">
      <c r="A1293">
        <v>1</v>
      </c>
      <c r="B1293" s="893" t="s">
        <v>141</v>
      </c>
      <c r="D1293" s="893" t="s">
        <v>658</v>
      </c>
      <c r="F1293" s="893" t="s">
        <v>757</v>
      </c>
      <c r="G1293" s="894" t="s">
        <v>659</v>
      </c>
      <c r="H1293" s="895">
        <v>900</v>
      </c>
      <c r="I1293" s="893" t="s">
        <v>660</v>
      </c>
      <c r="O1293" s="896">
        <v>1</v>
      </c>
      <c r="P1293" s="897"/>
      <c r="Q1293" s="898"/>
      <c r="R1293" s="899">
        <f t="shared" si="41"/>
        <v>0</v>
      </c>
      <c r="S1293" s="898">
        <v>0.25</v>
      </c>
      <c r="T1293" s="900">
        <f t="shared" si="42"/>
        <v>0.25</v>
      </c>
    </row>
    <row r="1294" spans="1:41" s="501" customFormat="1" ht="14.4" customHeight="1">
      <c r="A1294" s="767"/>
      <c r="B1294" s="567"/>
      <c r="C1294" s="567"/>
      <c r="D1294" s="567"/>
      <c r="E1294" s="567"/>
      <c r="F1294" s="567"/>
      <c r="G1294" s="567"/>
      <c r="H1294" s="764"/>
      <c r="I1294" s="567"/>
      <c r="J1294" s="45"/>
      <c r="K1294" s="769"/>
      <c r="L1294" s="770"/>
      <c r="M1294" s="567"/>
      <c r="N1294" s="567"/>
      <c r="O1294" s="45"/>
      <c r="P1294" s="567"/>
      <c r="Q1294" s="567"/>
      <c r="R1294" s="771">
        <f t="shared" si="41"/>
        <v>0</v>
      </c>
      <c r="S1294" s="567"/>
      <c r="T1294" s="500">
        <f t="shared" si="42"/>
        <v>0</v>
      </c>
    </row>
    <row r="1295" spans="1:41" s="501" customFormat="1" ht="12">
      <c r="A1295" s="772" t="s">
        <v>145</v>
      </c>
      <c r="B1295" s="773">
        <f>(R1294+T1294)</f>
        <v>0</v>
      </c>
      <c r="C1295" s="753"/>
      <c r="G1295" s="774"/>
      <c r="H1295" s="774"/>
      <c r="I1295" s="774"/>
      <c r="J1295" s="774"/>
      <c r="K1295" s="750" t="s">
        <v>3</v>
      </c>
      <c r="L1295" s="775" t="s">
        <v>573</v>
      </c>
      <c r="M1295" s="774"/>
      <c r="N1295" s="774"/>
      <c r="O1295" s="774"/>
      <c r="P1295" s="774"/>
      <c r="Q1295" s="776"/>
      <c r="R1295" s="777">
        <f>SUM(R1285:R1294)</f>
        <v>42.42</v>
      </c>
      <c r="S1295" s="778"/>
      <c r="T1295" s="777">
        <f>SUM(T1285:T1294)</f>
        <v>2.58</v>
      </c>
      <c r="AG1295" s="779">
        <f>ROUND($R1295*$S$2,2)</f>
        <v>57.27</v>
      </c>
    </row>
    <row r="1296" spans="1:41" s="501" customFormat="1" ht="12" customHeight="1">
      <c r="A1296" s="760"/>
      <c r="B1296" s="780"/>
      <c r="C1296" s="781"/>
      <c r="D1296" s="782" t="str">
        <f>$F$3</f>
        <v>Technician</v>
      </c>
      <c r="E1296" s="782">
        <f>ROUND(($R1300*$S$3 + ($T1300*$T$3)), 2)</f>
        <v>0</v>
      </c>
      <c r="F1296" s="783">
        <f>$E1296*$C$12</f>
        <v>0</v>
      </c>
      <c r="G1296" s="499"/>
      <c r="H1296" s="499"/>
      <c r="I1296" s="499"/>
      <c r="J1296" s="499"/>
      <c r="K1296" s="765" t="s">
        <v>5</v>
      </c>
      <c r="L1296" s="766" t="s">
        <v>573</v>
      </c>
      <c r="M1296" s="499"/>
      <c r="N1296" s="499"/>
      <c r="O1296" s="499"/>
      <c r="P1296" s="499"/>
      <c r="Q1296" s="499"/>
      <c r="R1296" s="784"/>
      <c r="S1296" s="499"/>
      <c r="T1296" s="784"/>
    </row>
    <row r="1297" spans="1:41" s="797" customFormat="1" ht="15.6" customHeight="1">
      <c r="A1297" s="785"/>
      <c r="B1297" s="768" t="s">
        <v>575</v>
      </c>
      <c r="C1297" s="786"/>
      <c r="D1297" s="787"/>
      <c r="E1297" s="787"/>
      <c r="F1297" s="787"/>
      <c r="G1297" s="788"/>
      <c r="H1297" s="789"/>
      <c r="I1297" s="789"/>
      <c r="J1297" s="790"/>
      <c r="K1297" s="791"/>
      <c r="L1297" s="786"/>
      <c r="M1297" s="792"/>
      <c r="N1297" s="793"/>
      <c r="O1297" s="794"/>
      <c r="P1297" s="795"/>
      <c r="Q1297" s="796"/>
      <c r="R1297" s="771">
        <f>$A1297*Q1297</f>
        <v>0</v>
      </c>
      <c r="S1297" s="567"/>
      <c r="T1297" s="500">
        <f>$A1297*S1297*$T$1</f>
        <v>0</v>
      </c>
    </row>
    <row r="1298" spans="1:41" s="501" customFormat="1" ht="15.6" customHeight="1">
      <c r="A1298" s="767"/>
      <c r="B1298" s="567"/>
      <c r="C1298" s="567"/>
      <c r="D1298" s="567"/>
      <c r="E1298" s="567"/>
      <c r="F1298" s="567"/>
      <c r="G1298" s="567"/>
      <c r="H1298" s="567"/>
      <c r="I1298" s="567"/>
      <c r="J1298" s="567"/>
      <c r="K1298" s="567"/>
      <c r="L1298" s="770"/>
      <c r="M1298" s="567"/>
      <c r="N1298" s="567"/>
      <c r="O1298" s="567"/>
      <c r="P1298" s="567"/>
      <c r="Q1298" s="567"/>
      <c r="R1298" s="771">
        <f>$A1298*Q1298</f>
        <v>0</v>
      </c>
      <c r="S1298" s="567"/>
      <c r="T1298" s="500">
        <f>$A1298*S1298*$T$1</f>
        <v>0</v>
      </c>
    </row>
    <row r="1299" spans="1:41" s="501" customFormat="1" ht="15.6" customHeight="1">
      <c r="A1299" s="767"/>
      <c r="B1299" s="567"/>
      <c r="C1299" s="567"/>
      <c r="D1299" s="3"/>
      <c r="E1299" s="567"/>
      <c r="F1299" s="567"/>
      <c r="G1299" s="567"/>
      <c r="H1299" s="567"/>
      <c r="I1299" s="567"/>
      <c r="J1299" s="567"/>
      <c r="K1299" s="567"/>
      <c r="L1299" s="770"/>
      <c r="M1299" s="567"/>
      <c r="N1299" s="567"/>
      <c r="O1299" s="567"/>
      <c r="P1299" s="567"/>
      <c r="Q1299" s="567"/>
      <c r="R1299" s="771">
        <f>$A1299*Q1299</f>
        <v>0</v>
      </c>
      <c r="S1299" s="567"/>
      <c r="T1299" s="500">
        <f>$A1299*S1299*$T$1</f>
        <v>0</v>
      </c>
    </row>
    <row r="1300" spans="1:41" s="501" customFormat="1" ht="12">
      <c r="A1300" s="772" t="s">
        <v>145</v>
      </c>
      <c r="B1300" s="773">
        <f>(R1299+T1299)</f>
        <v>0</v>
      </c>
      <c r="C1300" s="753"/>
      <c r="G1300" s="774"/>
      <c r="H1300" s="774"/>
      <c r="I1300" s="774"/>
      <c r="J1300" s="774"/>
      <c r="K1300" s="798" t="s">
        <v>5</v>
      </c>
      <c r="L1300" s="775" t="s">
        <v>573</v>
      </c>
      <c r="M1300" s="774"/>
      <c r="N1300" s="774"/>
      <c r="O1300" s="774"/>
      <c r="P1300" s="774"/>
      <c r="Q1300" s="776"/>
      <c r="R1300" s="777">
        <f>SUM(R1296:R1299)</f>
        <v>0</v>
      </c>
      <c r="S1300" s="778"/>
      <c r="T1300" s="777">
        <f>SUM(T1296:T1299)</f>
        <v>0</v>
      </c>
      <c r="AG1300" s="799">
        <f>ROUND($R1300*$S$3,2)</f>
        <v>0</v>
      </c>
    </row>
    <row r="1301" spans="1:41" s="501" customFormat="1" ht="12" customHeight="1">
      <c r="A1301" s="800"/>
      <c r="B1301" s="801"/>
      <c r="C1301" s="802"/>
      <c r="D1301" s="803" t="str">
        <f>$F$4</f>
        <v>Engineer (Man Hours)</v>
      </c>
      <c r="E1301" s="803">
        <f>ROUND(($R1305*$S$4 + ($T1305*$T$4)), 2)</f>
        <v>0</v>
      </c>
      <c r="F1301" s="804">
        <f ca="1">$F1282-SUMIF($L1284:$P1298,"SUBI",$F1284:$F1298)</f>
        <v>0</v>
      </c>
      <c r="G1301" s="499"/>
      <c r="H1301" s="499"/>
      <c r="I1301" s="499"/>
      <c r="J1301" s="499"/>
      <c r="K1301" s="805" t="s">
        <v>8</v>
      </c>
      <c r="L1301" s="766" t="s">
        <v>573</v>
      </c>
      <c r="M1301" s="499"/>
      <c r="N1301" s="499"/>
      <c r="O1301" s="499"/>
      <c r="P1301" s="499"/>
      <c r="Q1301" s="499"/>
      <c r="R1301" s="784"/>
      <c r="S1301" s="499"/>
      <c r="T1301" s="784"/>
    </row>
    <row r="1302" spans="1:41" s="797" customFormat="1" ht="14.4" customHeight="1">
      <c r="A1302" s="785"/>
      <c r="B1302" s="768" t="s">
        <v>576</v>
      </c>
      <c r="C1302" s="786"/>
      <c r="D1302" s="787"/>
      <c r="E1302" s="787"/>
      <c r="F1302" s="787"/>
      <c r="G1302" s="788"/>
      <c r="H1302" s="789"/>
      <c r="I1302" s="789"/>
      <c r="J1302" s="790"/>
      <c r="K1302" s="791"/>
      <c r="L1302" s="786"/>
      <c r="M1302" s="792"/>
      <c r="N1302" s="793"/>
      <c r="O1302" s="806"/>
      <c r="P1302" s="795"/>
      <c r="Q1302" s="796"/>
      <c r="R1302" s="720">
        <f>$A1302*Q1302</f>
        <v>0</v>
      </c>
      <c r="S1302" s="796"/>
      <c r="T1302" s="500">
        <f>$A1302*S1302*$T$1</f>
        <v>0</v>
      </c>
    </row>
    <row r="1303" spans="1:41" s="501" customFormat="1" ht="12">
      <c r="A1303" s="44"/>
      <c r="B1303" s="497"/>
      <c r="C1303" s="497"/>
      <c r="D1303" s="807"/>
      <c r="E1303" s="808"/>
      <c r="F1303" s="499"/>
      <c r="G1303" s="499"/>
      <c r="H1303" s="499"/>
      <c r="I1303" s="499"/>
      <c r="J1303" s="499"/>
      <c r="K1303" s="499"/>
      <c r="L1303" s="809"/>
      <c r="M1303" s="499"/>
      <c r="N1303" s="499"/>
      <c r="O1303" s="499"/>
      <c r="P1303" s="499"/>
      <c r="Q1303" s="499"/>
      <c r="R1303" s="720">
        <f>$A1303*Q1303</f>
        <v>0</v>
      </c>
      <c r="S1303" s="499"/>
      <c r="T1303" s="500">
        <f>$A1303*S1303*$T$1</f>
        <v>0</v>
      </c>
    </row>
    <row r="1304" spans="1:41" s="501" customFormat="1" ht="12">
      <c r="A1304" s="44"/>
      <c r="B1304" s="497"/>
      <c r="C1304" s="497"/>
      <c r="D1304" s="807"/>
      <c r="E1304" s="808"/>
      <c r="F1304" s="499"/>
      <c r="G1304" s="499"/>
      <c r="H1304" s="499"/>
      <c r="I1304" s="499"/>
      <c r="J1304" s="499"/>
      <c r="K1304" s="499"/>
      <c r="L1304" s="809"/>
      <c r="M1304" s="499"/>
      <c r="N1304" s="499"/>
      <c r="O1304" s="499"/>
      <c r="P1304" s="499"/>
      <c r="Q1304" s="499"/>
      <c r="R1304" s="720">
        <f>$A1304*Q1304</f>
        <v>0</v>
      </c>
      <c r="S1304" s="499"/>
      <c r="T1304" s="500">
        <f>$A1304*S1304*$T$1</f>
        <v>0</v>
      </c>
    </row>
    <row r="1305" spans="1:41" s="501" customFormat="1" ht="12.75" customHeight="1">
      <c r="A1305" s="772" t="s">
        <v>145</v>
      </c>
      <c r="B1305" s="773">
        <f>(R1304+T1304)</f>
        <v>0</v>
      </c>
      <c r="C1305" s="810"/>
      <c r="D1305" s="810"/>
      <c r="E1305" s="810"/>
      <c r="F1305" s="810"/>
      <c r="G1305" s="776"/>
      <c r="H1305" s="776"/>
      <c r="I1305" s="776"/>
      <c r="J1305" s="776"/>
      <c r="K1305" s="798" t="s">
        <v>8</v>
      </c>
      <c r="L1305" s="811" t="s">
        <v>573</v>
      </c>
      <c r="M1305" s="776"/>
      <c r="N1305" s="776"/>
      <c r="O1305" s="776"/>
      <c r="P1305" s="776"/>
      <c r="Q1305" s="776"/>
      <c r="R1305" s="777">
        <f>SUM(R1301:R1304)</f>
        <v>0</v>
      </c>
      <c r="S1305" s="778"/>
      <c r="T1305" s="777">
        <f>SUM(T1301:T1304)</f>
        <v>0</v>
      </c>
      <c r="AG1305" s="812">
        <f>ROUND($R1305*$S$4,2)</f>
        <v>0</v>
      </c>
    </row>
    <row r="1306" spans="1:41" s="501" customFormat="1" ht="12.75" customHeight="1">
      <c r="A1306" s="813"/>
      <c r="B1306" s="814"/>
      <c r="E1306" s="497"/>
      <c r="F1306" s="808"/>
      <c r="G1306" s="497"/>
      <c r="H1306" s="497"/>
      <c r="I1306" s="499"/>
      <c r="J1306" s="497"/>
      <c r="K1306" s="497"/>
      <c r="L1306" s="815"/>
      <c r="M1306" s="725"/>
      <c r="N1306" s="725"/>
      <c r="O1306" s="725"/>
      <c r="P1306" s="725"/>
      <c r="Q1306" s="726"/>
      <c r="R1306" s="784"/>
      <c r="S1306" s="497"/>
      <c r="T1306" s="784"/>
    </row>
    <row r="1307" spans="1:41" s="501" customFormat="1" ht="13.5" customHeight="1" thickBot="1">
      <c r="A1307" s="816"/>
      <c r="B1307" s="817"/>
      <c r="C1307" s="518"/>
      <c r="D1307" s="518"/>
      <c r="E1307" s="515"/>
      <c r="F1307" s="721"/>
      <c r="G1307" s="515" t="s">
        <v>146</v>
      </c>
      <c r="H1307" s="515"/>
      <c r="I1307" s="516"/>
      <c r="J1307" s="515"/>
      <c r="K1307" s="515"/>
      <c r="L1307" s="818" t="s">
        <v>143</v>
      </c>
      <c r="M1307" s="517"/>
      <c r="N1307" s="517"/>
      <c r="O1307" s="517"/>
      <c r="P1307" s="517"/>
      <c r="Q1307" s="722"/>
      <c r="R1307" s="819">
        <f>SUMIF($L1283:$L1306,"SUBI",R1283:R1306)</f>
        <v>42.42</v>
      </c>
      <c r="S1307" s="820"/>
      <c r="T1307" s="819">
        <f>SUMIF($L1283:$L1306,"SUBI",T1283:T1306)</f>
        <v>2.58</v>
      </c>
      <c r="U1307" s="518"/>
      <c r="V1307" s="518"/>
      <c r="W1307" s="518"/>
      <c r="X1307" s="518"/>
      <c r="Y1307" s="518"/>
      <c r="Z1307" s="518"/>
      <c r="AA1307" s="518"/>
      <c r="AB1307" s="518"/>
      <c r="AC1307" s="518"/>
      <c r="AD1307" s="518"/>
      <c r="AE1307" s="518"/>
      <c r="AF1307" s="518"/>
      <c r="AG1307" s="518"/>
      <c r="AH1307" s="518"/>
      <c r="AI1307" s="518"/>
      <c r="AJ1307" s="518"/>
      <c r="AK1307" s="518"/>
      <c r="AL1307" s="518"/>
      <c r="AM1307" s="518"/>
      <c r="AN1307" s="518"/>
      <c r="AO1307" s="518"/>
    </row>
    <row r="1308" spans="1:41" s="501" customFormat="1" thickTop="1">
      <c r="A1308" s="44"/>
      <c r="B1308" s="44"/>
      <c r="C1308" s="3"/>
      <c r="D1308" s="3"/>
      <c r="E1308" s="44"/>
      <c r="F1308" s="44"/>
      <c r="G1308" s="44"/>
      <c r="H1308" s="44"/>
      <c r="I1308" s="44"/>
      <c r="J1308" s="44"/>
      <c r="K1308" s="44" t="s">
        <v>134</v>
      </c>
      <c r="L1308" s="44"/>
      <c r="M1308" s="44"/>
      <c r="N1308" s="44"/>
      <c r="O1308" s="45"/>
      <c r="P1308" s="44"/>
      <c r="Q1308" s="44"/>
      <c r="R1308" s="44"/>
      <c r="S1308" s="44"/>
      <c r="T1308" s="44"/>
    </row>
    <row r="1309" spans="1:41" s="501" customFormat="1" ht="12">
      <c r="A1309" s="44"/>
      <c r="B1309" s="44"/>
      <c r="C1309" s="44" t="s">
        <v>135</v>
      </c>
      <c r="D1309" s="35" t="s">
        <v>962</v>
      </c>
      <c r="E1309" s="44"/>
      <c r="F1309" s="44"/>
      <c r="G1309" s="44"/>
      <c r="H1309" s="44"/>
      <c r="I1309" s="44"/>
      <c r="J1309" s="44"/>
      <c r="K1309" s="44"/>
      <c r="L1309" s="44"/>
      <c r="M1309" s="44"/>
      <c r="N1309" s="44"/>
      <c r="O1309" s="45"/>
      <c r="P1309" s="44"/>
      <c r="Q1309" s="44"/>
      <c r="R1309" s="44"/>
      <c r="S1309" s="44"/>
      <c r="T1309" s="44"/>
    </row>
    <row r="1310" spans="1:41" s="501" customFormat="1" ht="39.9" customHeight="1">
      <c r="A1310" s="44"/>
      <c r="B1310" s="44"/>
      <c r="C1310" s="44"/>
      <c r="D1310" s="1185" t="s">
        <v>498</v>
      </c>
      <c r="E1310" s="1184"/>
      <c r="F1310" s="1184"/>
      <c r="G1310" s="1184"/>
      <c r="H1310" s="1184"/>
      <c r="I1310" s="1184"/>
      <c r="J1310" s="1184"/>
      <c r="K1310" s="1184"/>
      <c r="L1310" s="1184"/>
      <c r="M1310" s="1184"/>
      <c r="N1310" s="1184"/>
      <c r="O1310" s="1184"/>
      <c r="P1310" s="1184"/>
      <c r="Q1310" s="1184"/>
      <c r="R1310" s="1184"/>
      <c r="S1310" s="1184"/>
      <c r="T1310" s="1184"/>
    </row>
    <row r="1311" spans="1:41" s="3" customFormat="1" thickBot="1">
      <c r="A1311" s="518"/>
      <c r="O1311" s="86"/>
    </row>
    <row r="1312" spans="1:41" s="501" customFormat="1" thickTop="1">
      <c r="A1312" s="44"/>
      <c r="B1312" s="39"/>
      <c r="C1312" s="44"/>
      <c r="E1312" s="40" t="s">
        <v>138</v>
      </c>
      <c r="F1312" s="40" t="s">
        <v>139</v>
      </c>
      <c r="G1312" s="44"/>
      <c r="H1312" s="44"/>
      <c r="I1312" s="44"/>
      <c r="J1312" s="44"/>
      <c r="K1312" s="44" t="s">
        <v>140</v>
      </c>
      <c r="L1312" s="737"/>
      <c r="M1312" s="44"/>
      <c r="N1312" s="44"/>
      <c r="O1312" s="45"/>
      <c r="P1312" s="44"/>
      <c r="Q1312"/>
      <c r="R1312"/>
      <c r="S1312"/>
      <c r="T1312" s="39"/>
      <c r="AG1312" s="502" t="s">
        <v>247</v>
      </c>
      <c r="AH1312" s="502" t="s">
        <v>248</v>
      </c>
      <c r="AI1312" s="502" t="s">
        <v>249</v>
      </c>
      <c r="AJ1312" s="502" t="s">
        <v>250</v>
      </c>
      <c r="AK1312" s="502" t="s">
        <v>251</v>
      </c>
      <c r="AM1312" s="710" t="s">
        <v>260</v>
      </c>
      <c r="AN1312" s="711" t="s">
        <v>261</v>
      </c>
      <c r="AO1312" s="503" t="s">
        <v>257</v>
      </c>
    </row>
    <row r="1313" spans="1:41" s="501" customFormat="1" ht="13.2">
      <c r="A1313" s="712">
        <v>1</v>
      </c>
      <c r="B1313" s="504" t="s">
        <v>283</v>
      </c>
      <c r="C1313" s="505"/>
      <c r="D1313" s="713" t="s">
        <v>577</v>
      </c>
      <c r="E1313" s="738">
        <f>IF(AND($A1313=0,$A$1="DIF"),0,ROUND(ROUND(SUMIF($L1315:$L1332,"SUBI",$E1315:$E1332)/$A1313,2)*$C$12,2))</f>
        <v>165.9</v>
      </c>
      <c r="F1313" s="739">
        <f>ROUND($A1313*$E1313,2)</f>
        <v>165.9</v>
      </c>
      <c r="G1313" s="506" t="s">
        <v>142</v>
      </c>
      <c r="H1313" s="498"/>
      <c r="I1313" s="716"/>
      <c r="J1313" s="498"/>
      <c r="K1313" s="740"/>
      <c r="L1313" s="741" t="s">
        <v>143</v>
      </c>
      <c r="M1313" s="717"/>
      <c r="N1313" s="717"/>
      <c r="O1313" s="717"/>
      <c r="P1313" s="717"/>
      <c r="Q1313" s="943" t="s">
        <v>855</v>
      </c>
      <c r="R1313" s="943" t="s">
        <v>870</v>
      </c>
      <c r="S1313"/>
      <c r="T1313" s="742" t="str">
        <f>IF(AND($R1338=0,$T1338=0),"0.00","mu :" &amp; ROUND($F1313/$C$12/($R1338+$T1338*$D$9),2))</f>
        <v>mu :1.35</v>
      </c>
      <c r="W1313" s="507"/>
      <c r="AG1313" s="743">
        <f>IF(A1313=0,0,ROUND(SUM(AG1315:AG1338)/A1313,2))</f>
        <v>69.150000000000006</v>
      </c>
      <c r="AH1313" s="743">
        <f>$AG1313*$A1313</f>
        <v>69.150000000000006</v>
      </c>
      <c r="AI1313" s="743">
        <f>$E1313-$AG1313</f>
        <v>96.75</v>
      </c>
      <c r="AJ1313" s="743">
        <f>$A1313*$AI1313</f>
        <v>96.75</v>
      </c>
      <c r="AK1313" s="744">
        <f>ROUND(($AG1313+$AI1313)*$A1313,2)</f>
        <v>165.9</v>
      </c>
      <c r="AM1313" s="510">
        <f>ROUND(R1338,2)</f>
        <v>51.22</v>
      </c>
      <c r="AN1313" s="511">
        <f>ROUND(T1338,2)</f>
        <v>2.61</v>
      </c>
      <c r="AO1313" s="512">
        <f>ROUND(AM1313+AN1313,2)*A1313</f>
        <v>53.83</v>
      </c>
    </row>
    <row r="1314" spans="1:41" s="501" customFormat="1" ht="21.6" customHeight="1">
      <c r="A1314" s="745"/>
      <c r="B1314" s="746"/>
      <c r="C1314" s="505"/>
      <c r="D1314" s="724" t="s">
        <v>412</v>
      </c>
      <c r="F1314" s="498"/>
      <c r="G1314" s="498"/>
      <c r="H1314" s="498"/>
      <c r="I1314" s="716"/>
      <c r="J1314" s="498"/>
      <c r="K1314" s="498" t="s">
        <v>144</v>
      </c>
      <c r="L1314" s="747"/>
      <c r="M1314" s="498"/>
      <c r="N1314" s="498"/>
      <c r="O1314" s="498"/>
      <c r="P1314" s="498"/>
      <c r="Q1314" s="44"/>
      <c r="R1314" s="567"/>
      <c r="S1314" s="719"/>
      <c r="T1314" s="498"/>
    </row>
    <row r="1315" spans="1:41" s="501" customFormat="1" ht="12">
      <c r="A1315" s="748"/>
      <c r="B1315" s="749"/>
      <c r="C1315" s="497"/>
      <c r="D1315" s="750"/>
      <c r="E1315" s="751">
        <f>F1313/$C$12-SUMIF($L1312:$L1338,"SUBI",$E1312:$E1338)</f>
        <v>0</v>
      </c>
      <c r="F1315" s="752" t="s">
        <v>572</v>
      </c>
      <c r="G1315" s="753"/>
      <c r="H1315" s="753"/>
      <c r="I1315" s="754"/>
      <c r="J1315" s="753"/>
      <c r="K1315" s="753"/>
      <c r="L1315" s="755"/>
      <c r="M1315" s="756"/>
      <c r="N1315" s="756"/>
      <c r="O1315" s="756"/>
      <c r="P1315" s="756"/>
      <c r="Q1315" s="757"/>
      <c r="R1315" s="758"/>
      <c r="S1315" s="757"/>
      <c r="T1315" s="759"/>
    </row>
    <row r="1316" spans="1:41" s="501" customFormat="1" ht="12" customHeight="1">
      <c r="A1316" s="760"/>
      <c r="B1316" s="761"/>
      <c r="C1316" s="762"/>
      <c r="D1316" s="762" t="str">
        <f>$F$2</f>
        <v>Electrical</v>
      </c>
      <c r="E1316" s="762">
        <f>ROUND(($R1326*$S$2 + ($T1326*$T$2)), 2)</f>
        <v>165.9</v>
      </c>
      <c r="F1316" s="763">
        <f>$E1316*$C$12</f>
        <v>165.9</v>
      </c>
      <c r="G1316" s="567"/>
      <c r="H1316" s="764"/>
      <c r="I1316" s="567"/>
      <c r="J1316" s="45"/>
      <c r="K1316" s="765" t="s">
        <v>3</v>
      </c>
      <c r="L1316" s="766" t="s">
        <v>573</v>
      </c>
      <c r="M1316" s="567"/>
      <c r="N1316" s="567"/>
      <c r="O1316" s="45"/>
      <c r="P1316" s="567"/>
      <c r="Q1316" s="567"/>
      <c r="R1316"/>
      <c r="S1316"/>
      <c r="T1316"/>
    </row>
    <row r="1317" spans="1:41" s="893" customFormat="1" ht="13.2">
      <c r="A1317"/>
      <c r="D1317" s="944" t="s">
        <v>755</v>
      </c>
      <c r="G1317" s="894" t="s">
        <v>749</v>
      </c>
      <c r="H1317" s="895">
        <v>616</v>
      </c>
      <c r="I1317" s="893" t="s">
        <v>656</v>
      </c>
      <c r="J1317" s="893" t="s">
        <v>750</v>
      </c>
      <c r="O1317" s="896">
        <v>2</v>
      </c>
      <c r="P1317" s="897">
        <v>40767</v>
      </c>
      <c r="Q1317" s="898"/>
      <c r="R1317" s="899">
        <f t="shared" ref="R1317:R1322" si="43">$A1317*Q1317</f>
        <v>0</v>
      </c>
      <c r="S1317" s="898"/>
      <c r="T1317" s="900">
        <f t="shared" ref="T1317:T1322" si="44">$A1317*S1317*$T$1</f>
        <v>0</v>
      </c>
    </row>
    <row r="1318" spans="1:41" s="893" customFormat="1" ht="13.2">
      <c r="A1318">
        <v>3</v>
      </c>
      <c r="B1318" s="893" t="s">
        <v>296</v>
      </c>
      <c r="D1318" s="893" t="s">
        <v>1084</v>
      </c>
      <c r="F1318" s="893" t="s">
        <v>756</v>
      </c>
      <c r="G1318" s="894" t="s">
        <v>749</v>
      </c>
      <c r="H1318" s="895">
        <v>616</v>
      </c>
      <c r="I1318" s="893" t="s">
        <v>656</v>
      </c>
      <c r="J1318" s="893" t="s">
        <v>750</v>
      </c>
      <c r="O1318" s="896">
        <v>2</v>
      </c>
      <c r="P1318" s="897">
        <v>40767</v>
      </c>
      <c r="Q1318" s="898">
        <v>10.45</v>
      </c>
      <c r="R1318" s="899">
        <f t="shared" si="43"/>
        <v>31.349999999999998</v>
      </c>
      <c r="S1318" s="898">
        <v>0.1</v>
      </c>
      <c r="T1318" s="900">
        <f t="shared" si="44"/>
        <v>0.30000000000000004</v>
      </c>
    </row>
    <row r="1319" spans="1:41" s="893" customFormat="1" ht="13.2">
      <c r="A1319" s="87">
        <v>3</v>
      </c>
      <c r="B1319" s="893" t="s">
        <v>141</v>
      </c>
      <c r="D1319" s="893" t="s">
        <v>743</v>
      </c>
      <c r="G1319" s="894" t="s">
        <v>744</v>
      </c>
      <c r="H1319" s="895">
        <v>875</v>
      </c>
      <c r="I1319" s="893" t="s">
        <v>643</v>
      </c>
      <c r="K1319" s="893" t="s">
        <v>745</v>
      </c>
      <c r="O1319" s="896">
        <v>1</v>
      </c>
      <c r="P1319" s="897">
        <v>34669</v>
      </c>
      <c r="Q1319" s="898">
        <v>0.05</v>
      </c>
      <c r="R1319" s="899">
        <f t="shared" si="43"/>
        <v>0.15000000000000002</v>
      </c>
      <c r="S1319" s="898"/>
      <c r="T1319" s="900">
        <f t="shared" si="44"/>
        <v>0</v>
      </c>
    </row>
    <row r="1320" spans="1:41" s="893" customFormat="1" ht="13.2">
      <c r="A1320">
        <v>2</v>
      </c>
      <c r="B1320" s="893" t="s">
        <v>141</v>
      </c>
      <c r="D1320" s="893" t="s">
        <v>751</v>
      </c>
      <c r="G1320" s="894" t="s">
        <v>752</v>
      </c>
      <c r="H1320" s="895">
        <v>620</v>
      </c>
      <c r="I1320" s="893" t="s">
        <v>671</v>
      </c>
      <c r="O1320" s="896">
        <v>2</v>
      </c>
      <c r="P1320" s="897">
        <v>35431</v>
      </c>
      <c r="Q1320" s="898">
        <v>7.66</v>
      </c>
      <c r="R1320" s="899">
        <f t="shared" si="43"/>
        <v>15.32</v>
      </c>
      <c r="S1320" s="898">
        <v>0.4</v>
      </c>
      <c r="T1320" s="900">
        <f t="shared" si="44"/>
        <v>0.8</v>
      </c>
    </row>
    <row r="1321" spans="1:41" s="893" customFormat="1" ht="13.2">
      <c r="A1321">
        <v>2</v>
      </c>
      <c r="B1321" s="893" t="s">
        <v>296</v>
      </c>
      <c r="D1321" s="893" t="s">
        <v>672</v>
      </c>
      <c r="G1321" s="894" t="s">
        <v>673</v>
      </c>
      <c r="H1321" s="895">
        <v>620</v>
      </c>
      <c r="I1321" s="893" t="s">
        <v>643</v>
      </c>
      <c r="O1321" s="896">
        <v>2</v>
      </c>
      <c r="P1321" s="897">
        <v>38148</v>
      </c>
      <c r="Q1321" s="898">
        <v>1.5</v>
      </c>
      <c r="R1321" s="899">
        <f t="shared" si="43"/>
        <v>3</v>
      </c>
      <c r="S1321" s="898">
        <v>0.08</v>
      </c>
      <c r="T1321" s="900">
        <f t="shared" si="44"/>
        <v>0.16</v>
      </c>
    </row>
    <row r="1322" spans="1:41" s="893" customFormat="1" ht="13.2">
      <c r="A1322">
        <v>10</v>
      </c>
      <c r="B1322" s="893" t="s">
        <v>141</v>
      </c>
      <c r="D1322" s="893" t="s">
        <v>753</v>
      </c>
      <c r="G1322" s="894" t="s">
        <v>754</v>
      </c>
      <c r="H1322" s="895">
        <v>620</v>
      </c>
      <c r="I1322" s="893" t="s">
        <v>676</v>
      </c>
      <c r="O1322" s="896">
        <v>2</v>
      </c>
      <c r="P1322" s="897">
        <v>34669</v>
      </c>
      <c r="Q1322" s="898">
        <v>0.14000000000000001</v>
      </c>
      <c r="R1322" s="899">
        <f t="shared" si="43"/>
        <v>1.4000000000000001</v>
      </c>
      <c r="S1322" s="898">
        <v>0.06</v>
      </c>
      <c r="T1322" s="900">
        <f t="shared" si="44"/>
        <v>0.6</v>
      </c>
    </row>
    <row r="1323" spans="1:41" s="893" customFormat="1" ht="13.2">
      <c r="A1323">
        <v>1</v>
      </c>
      <c r="B1323" s="893" t="s">
        <v>141</v>
      </c>
      <c r="D1323" s="893" t="s">
        <v>658</v>
      </c>
      <c r="F1323" s="893" t="s">
        <v>748</v>
      </c>
      <c r="G1323" s="894" t="s">
        <v>659</v>
      </c>
      <c r="H1323" s="895">
        <v>900</v>
      </c>
      <c r="I1323" s="893" t="s">
        <v>660</v>
      </c>
      <c r="O1323" s="896">
        <v>1</v>
      </c>
      <c r="P1323" s="897"/>
      <c r="Q1323" s="898"/>
      <c r="R1323" s="899">
        <f>$A1323*Q1323</f>
        <v>0</v>
      </c>
      <c r="S1323" s="898">
        <v>0.5</v>
      </c>
      <c r="T1323" s="900">
        <f>$A1323*S1323*$T$1</f>
        <v>0.5</v>
      </c>
    </row>
    <row r="1324" spans="1:41" s="893" customFormat="1" ht="13.2">
      <c r="A1324">
        <v>1</v>
      </c>
      <c r="B1324" s="893" t="s">
        <v>141</v>
      </c>
      <c r="D1324" s="893" t="s">
        <v>658</v>
      </c>
      <c r="F1324" s="893" t="s">
        <v>757</v>
      </c>
      <c r="G1324" s="894" t="s">
        <v>659</v>
      </c>
      <c r="H1324" s="895">
        <v>900</v>
      </c>
      <c r="I1324" s="893" t="s">
        <v>660</v>
      </c>
      <c r="O1324" s="896">
        <v>1</v>
      </c>
      <c r="P1324" s="897"/>
      <c r="Q1324" s="898"/>
      <c r="R1324" s="899">
        <f>$A1324*Q1324</f>
        <v>0</v>
      </c>
      <c r="S1324" s="898">
        <v>0.25</v>
      </c>
      <c r="T1324" s="900">
        <f>$A1324*S1324*$T$1</f>
        <v>0.25</v>
      </c>
    </row>
    <row r="1325" spans="1:41" s="501" customFormat="1" ht="14.4" customHeight="1">
      <c r="A1325" s="767"/>
      <c r="B1325" s="567"/>
      <c r="C1325" s="567"/>
      <c r="D1325" s="567"/>
      <c r="E1325" s="567"/>
      <c r="F1325" s="567"/>
      <c r="G1325" s="567"/>
      <c r="H1325" s="764"/>
      <c r="I1325" s="567"/>
      <c r="J1325" s="45"/>
      <c r="K1325" s="769"/>
      <c r="L1325" s="770"/>
      <c r="M1325" s="567"/>
      <c r="N1325" s="567"/>
      <c r="O1325" s="45"/>
      <c r="P1325" s="567"/>
      <c r="Q1325" s="567"/>
      <c r="R1325" s="771">
        <f>$A1325*Q1325</f>
        <v>0</v>
      </c>
      <c r="S1325" s="567"/>
      <c r="T1325" s="500">
        <f>$A1325*S1325*$T$1</f>
        <v>0</v>
      </c>
    </row>
    <row r="1326" spans="1:41" s="501" customFormat="1" ht="12">
      <c r="A1326" s="772" t="s">
        <v>145</v>
      </c>
      <c r="B1326" s="773">
        <f>(R1325+T1325)</f>
        <v>0</v>
      </c>
      <c r="C1326" s="753"/>
      <c r="G1326" s="774"/>
      <c r="H1326" s="774"/>
      <c r="I1326" s="774"/>
      <c r="J1326" s="774"/>
      <c r="K1326" s="750" t="s">
        <v>3</v>
      </c>
      <c r="L1326" s="775" t="s">
        <v>573</v>
      </c>
      <c r="M1326" s="774"/>
      <c r="N1326" s="774"/>
      <c r="O1326" s="774"/>
      <c r="P1326" s="774"/>
      <c r="Q1326" s="776"/>
      <c r="R1326" s="777">
        <f>SUM(R1316:R1325)</f>
        <v>51.219999999999992</v>
      </c>
      <c r="S1326" s="778"/>
      <c r="T1326" s="777">
        <f>SUM(T1316:T1325)</f>
        <v>2.61</v>
      </c>
      <c r="AG1326" s="779">
        <f>ROUND($R1326*$S$2,2)</f>
        <v>69.150000000000006</v>
      </c>
    </row>
    <row r="1327" spans="1:41" s="501" customFormat="1" ht="12" customHeight="1">
      <c r="A1327" s="760"/>
      <c r="B1327" s="780"/>
      <c r="C1327" s="781"/>
      <c r="D1327" s="782" t="str">
        <f>$F$3</f>
        <v>Technician</v>
      </c>
      <c r="E1327" s="782">
        <f>ROUND(($R1331*$S$3 + ($T1331*$T$3)), 2)</f>
        <v>0</v>
      </c>
      <c r="F1327" s="783">
        <f>$E1327*$C$12</f>
        <v>0</v>
      </c>
      <c r="G1327" s="499"/>
      <c r="H1327" s="499"/>
      <c r="I1327" s="499"/>
      <c r="J1327" s="499"/>
      <c r="K1327" s="765" t="s">
        <v>5</v>
      </c>
      <c r="L1327" s="766" t="s">
        <v>573</v>
      </c>
      <c r="M1327" s="499"/>
      <c r="N1327" s="499"/>
      <c r="O1327" s="499"/>
      <c r="P1327" s="499"/>
      <c r="Q1327" s="499"/>
      <c r="R1327" s="784"/>
      <c r="S1327" s="499"/>
      <c r="T1327" s="784"/>
    </row>
    <row r="1328" spans="1:41" s="797" customFormat="1" ht="15.6" customHeight="1">
      <c r="A1328" s="785"/>
      <c r="B1328" s="768" t="s">
        <v>575</v>
      </c>
      <c r="C1328" s="786"/>
      <c r="D1328" s="787"/>
      <c r="E1328" s="787"/>
      <c r="F1328" s="787"/>
      <c r="G1328" s="788"/>
      <c r="H1328" s="789"/>
      <c r="I1328" s="789"/>
      <c r="J1328" s="790"/>
      <c r="K1328" s="791"/>
      <c r="L1328" s="786"/>
      <c r="M1328" s="792"/>
      <c r="N1328" s="793"/>
      <c r="O1328" s="794"/>
      <c r="P1328" s="795"/>
      <c r="Q1328" s="796"/>
      <c r="R1328" s="771">
        <f>$A1328*Q1328</f>
        <v>0</v>
      </c>
      <c r="S1328" s="567"/>
      <c r="T1328" s="500">
        <f>$A1328*S1328*$T$1</f>
        <v>0</v>
      </c>
    </row>
    <row r="1329" spans="1:41" s="501" customFormat="1" ht="15.6" customHeight="1">
      <c r="A1329" s="767"/>
      <c r="B1329" s="567"/>
      <c r="C1329" s="567"/>
      <c r="D1329" s="567"/>
      <c r="E1329" s="567"/>
      <c r="F1329" s="567"/>
      <c r="G1329" s="567"/>
      <c r="H1329" s="567"/>
      <c r="I1329" s="567"/>
      <c r="J1329" s="567"/>
      <c r="K1329" s="567"/>
      <c r="L1329" s="770"/>
      <c r="M1329" s="567"/>
      <c r="N1329" s="567"/>
      <c r="O1329" s="567"/>
      <c r="P1329" s="567"/>
      <c r="Q1329" s="567"/>
      <c r="R1329" s="771">
        <f>$A1329*Q1329</f>
        <v>0</v>
      </c>
      <c r="S1329" s="567"/>
      <c r="T1329" s="500">
        <f>$A1329*S1329*$T$1</f>
        <v>0</v>
      </c>
    </row>
    <row r="1330" spans="1:41" s="501" customFormat="1" ht="15.6" customHeight="1">
      <c r="A1330" s="767"/>
      <c r="B1330" s="567"/>
      <c r="C1330" s="567"/>
      <c r="D1330" s="3"/>
      <c r="E1330" s="567"/>
      <c r="F1330" s="567"/>
      <c r="G1330" s="567"/>
      <c r="H1330" s="567"/>
      <c r="I1330" s="567"/>
      <c r="J1330" s="567"/>
      <c r="K1330" s="567"/>
      <c r="L1330" s="770"/>
      <c r="M1330" s="567"/>
      <c r="N1330" s="567"/>
      <c r="O1330" s="567"/>
      <c r="P1330" s="567"/>
      <c r="Q1330" s="567"/>
      <c r="R1330" s="771">
        <f>$A1330*Q1330</f>
        <v>0</v>
      </c>
      <c r="S1330" s="567"/>
      <c r="T1330" s="500">
        <f>$A1330*S1330*$T$1</f>
        <v>0</v>
      </c>
    </row>
    <row r="1331" spans="1:41" s="501" customFormat="1" ht="12">
      <c r="A1331" s="772" t="s">
        <v>145</v>
      </c>
      <c r="B1331" s="773">
        <f>(R1330+T1330)</f>
        <v>0</v>
      </c>
      <c r="C1331" s="753"/>
      <c r="G1331" s="774"/>
      <c r="H1331" s="774"/>
      <c r="I1331" s="774"/>
      <c r="J1331" s="774"/>
      <c r="K1331" s="798" t="s">
        <v>5</v>
      </c>
      <c r="L1331" s="775" t="s">
        <v>573</v>
      </c>
      <c r="M1331" s="774"/>
      <c r="N1331" s="774"/>
      <c r="O1331" s="774"/>
      <c r="P1331" s="774"/>
      <c r="Q1331" s="776"/>
      <c r="R1331" s="777">
        <f>SUM(R1327:R1330)</f>
        <v>0</v>
      </c>
      <c r="S1331" s="778"/>
      <c r="T1331" s="777">
        <f>SUM(T1327:T1330)</f>
        <v>0</v>
      </c>
      <c r="AG1331" s="799">
        <f>ROUND($R1331*$S$3,2)</f>
        <v>0</v>
      </c>
    </row>
    <row r="1332" spans="1:41" s="501" customFormat="1" ht="12" customHeight="1">
      <c r="A1332" s="800"/>
      <c r="B1332" s="801"/>
      <c r="C1332" s="802"/>
      <c r="D1332" s="803" t="str">
        <f>$F$4</f>
        <v>Engineer (Man Hours)</v>
      </c>
      <c r="E1332" s="803">
        <f>ROUND(($R1336*$S$4 + ($T1336*$T$4)), 2)</f>
        <v>0</v>
      </c>
      <c r="F1332" s="804">
        <f ca="1">$F1313-SUMIF($L1315:$P1329,"SUBI",$F1315:$F1329)</f>
        <v>0</v>
      </c>
      <c r="G1332" s="499"/>
      <c r="H1332" s="499"/>
      <c r="I1332" s="499"/>
      <c r="J1332" s="499"/>
      <c r="K1332" s="805" t="s">
        <v>8</v>
      </c>
      <c r="L1332" s="766" t="s">
        <v>573</v>
      </c>
      <c r="M1332" s="499"/>
      <c r="N1332" s="499"/>
      <c r="O1332" s="499"/>
      <c r="P1332" s="499"/>
      <c r="Q1332" s="499"/>
      <c r="R1332" s="784"/>
      <c r="S1332" s="499"/>
      <c r="T1332" s="784"/>
    </row>
    <row r="1333" spans="1:41" s="797" customFormat="1" ht="14.4" customHeight="1">
      <c r="A1333" s="785"/>
      <c r="B1333" s="768" t="s">
        <v>576</v>
      </c>
      <c r="C1333" s="786"/>
      <c r="D1333" s="787"/>
      <c r="E1333" s="787"/>
      <c r="F1333" s="787"/>
      <c r="G1333" s="788"/>
      <c r="H1333" s="789"/>
      <c r="I1333" s="789"/>
      <c r="J1333" s="790"/>
      <c r="K1333" s="791"/>
      <c r="L1333" s="786"/>
      <c r="M1333" s="792"/>
      <c r="N1333" s="793"/>
      <c r="O1333" s="806"/>
      <c r="P1333" s="795"/>
      <c r="Q1333" s="796"/>
      <c r="R1333" s="720">
        <f>$A1333*Q1333</f>
        <v>0</v>
      </c>
      <c r="S1333" s="796"/>
      <c r="T1333" s="500">
        <f>$A1333*S1333*$T$1</f>
        <v>0</v>
      </c>
    </row>
    <row r="1334" spans="1:41" s="501" customFormat="1" ht="12">
      <c r="A1334" s="44"/>
      <c r="B1334" s="497"/>
      <c r="C1334" s="497"/>
      <c r="D1334" s="807"/>
      <c r="E1334" s="808"/>
      <c r="F1334" s="499"/>
      <c r="G1334" s="499"/>
      <c r="H1334" s="499"/>
      <c r="I1334" s="499"/>
      <c r="J1334" s="499"/>
      <c r="K1334" s="499"/>
      <c r="L1334" s="809"/>
      <c r="M1334" s="499"/>
      <c r="N1334" s="499"/>
      <c r="O1334" s="499"/>
      <c r="P1334" s="499"/>
      <c r="Q1334" s="499"/>
      <c r="R1334" s="720">
        <f>$A1334*Q1334</f>
        <v>0</v>
      </c>
      <c r="S1334" s="499"/>
      <c r="T1334" s="500">
        <f>$A1334*S1334*$T$1</f>
        <v>0</v>
      </c>
    </row>
    <row r="1335" spans="1:41" s="501" customFormat="1" ht="12">
      <c r="A1335" s="44"/>
      <c r="B1335" s="497"/>
      <c r="C1335" s="497"/>
      <c r="D1335" s="807"/>
      <c r="E1335" s="808"/>
      <c r="F1335" s="499"/>
      <c r="G1335" s="499"/>
      <c r="H1335" s="499"/>
      <c r="I1335" s="499"/>
      <c r="J1335" s="499"/>
      <c r="K1335" s="499"/>
      <c r="L1335" s="809"/>
      <c r="M1335" s="499"/>
      <c r="N1335" s="499"/>
      <c r="O1335" s="499"/>
      <c r="P1335" s="499"/>
      <c r="Q1335" s="499"/>
      <c r="R1335" s="720">
        <f>$A1335*Q1335</f>
        <v>0</v>
      </c>
      <c r="S1335" s="499"/>
      <c r="T1335" s="500">
        <f>$A1335*S1335*$T$1</f>
        <v>0</v>
      </c>
    </row>
    <row r="1336" spans="1:41" s="501" customFormat="1" ht="12.75" customHeight="1">
      <c r="A1336" s="772" t="s">
        <v>145</v>
      </c>
      <c r="B1336" s="773">
        <f>(R1335+T1335)</f>
        <v>0</v>
      </c>
      <c r="C1336" s="810"/>
      <c r="D1336" s="810"/>
      <c r="E1336" s="810"/>
      <c r="F1336" s="810"/>
      <c r="G1336" s="776"/>
      <c r="H1336" s="776"/>
      <c r="I1336" s="776"/>
      <c r="J1336" s="776"/>
      <c r="K1336" s="798" t="s">
        <v>8</v>
      </c>
      <c r="L1336" s="811" t="s">
        <v>573</v>
      </c>
      <c r="M1336" s="776"/>
      <c r="N1336" s="776"/>
      <c r="O1336" s="776"/>
      <c r="P1336" s="776"/>
      <c r="Q1336" s="776"/>
      <c r="R1336" s="777">
        <f>SUM(R1332:R1335)</f>
        <v>0</v>
      </c>
      <c r="S1336" s="778"/>
      <c r="T1336" s="777">
        <f>SUM(T1332:T1335)</f>
        <v>0</v>
      </c>
      <c r="AG1336" s="812">
        <f>ROUND($R1336*$S$4,2)</f>
        <v>0</v>
      </c>
    </row>
    <row r="1337" spans="1:41" s="501" customFormat="1" ht="12.75" customHeight="1">
      <c r="A1337" s="813"/>
      <c r="B1337" s="814"/>
      <c r="E1337" s="497"/>
      <c r="F1337" s="808"/>
      <c r="G1337" s="497"/>
      <c r="H1337" s="497"/>
      <c r="I1337" s="499"/>
      <c r="J1337" s="497"/>
      <c r="K1337" s="497"/>
      <c r="L1337" s="815"/>
      <c r="M1337" s="725"/>
      <c r="N1337" s="725"/>
      <c r="O1337" s="725"/>
      <c r="P1337" s="725"/>
      <c r="Q1337" s="726"/>
      <c r="R1337" s="784"/>
      <c r="S1337" s="497"/>
      <c r="T1337" s="784"/>
    </row>
    <row r="1338" spans="1:41" s="501" customFormat="1" ht="13.5" customHeight="1" thickBot="1">
      <c r="A1338" s="816"/>
      <c r="B1338" s="817"/>
      <c r="C1338" s="518"/>
      <c r="D1338" s="518"/>
      <c r="E1338" s="515"/>
      <c r="F1338" s="721"/>
      <c r="G1338" s="515" t="s">
        <v>146</v>
      </c>
      <c r="H1338" s="515"/>
      <c r="I1338" s="516"/>
      <c r="J1338" s="515"/>
      <c r="K1338" s="515"/>
      <c r="L1338" s="818" t="s">
        <v>143</v>
      </c>
      <c r="M1338" s="517"/>
      <c r="N1338" s="517"/>
      <c r="O1338" s="517"/>
      <c r="P1338" s="517"/>
      <c r="Q1338" s="722"/>
      <c r="R1338" s="819">
        <f>SUMIF($L1314:$L1337,"SUBI",R1314:R1337)</f>
        <v>51.219999999999992</v>
      </c>
      <c r="S1338" s="820"/>
      <c r="T1338" s="819">
        <f>SUMIF($L1314:$L1337,"SUBI",T1314:T1337)</f>
        <v>2.61</v>
      </c>
      <c r="U1338" s="518"/>
      <c r="V1338" s="518"/>
      <c r="W1338" s="518"/>
      <c r="X1338" s="518"/>
      <c r="Y1338" s="518"/>
      <c r="Z1338" s="518"/>
      <c r="AA1338" s="518"/>
      <c r="AB1338" s="518"/>
      <c r="AC1338" s="518"/>
      <c r="AD1338" s="518"/>
      <c r="AE1338" s="518"/>
      <c r="AF1338" s="518"/>
      <c r="AG1338" s="518"/>
      <c r="AH1338" s="518"/>
      <c r="AI1338" s="518"/>
      <c r="AJ1338" s="518"/>
      <c r="AK1338" s="518"/>
      <c r="AL1338" s="518"/>
      <c r="AM1338" s="518"/>
      <c r="AN1338" s="518"/>
      <c r="AO1338" s="518"/>
    </row>
    <row r="1339" spans="1:41" s="501" customFormat="1" thickTop="1">
      <c r="A1339" s="44"/>
      <c r="B1339" s="39"/>
      <c r="C1339" s="44"/>
      <c r="E1339" s="40" t="s">
        <v>138</v>
      </c>
      <c r="F1339" s="40" t="s">
        <v>139</v>
      </c>
      <c r="G1339" s="44"/>
      <c r="H1339" s="44"/>
      <c r="I1339" s="44"/>
      <c r="J1339" s="44"/>
      <c r="K1339" s="44" t="s">
        <v>140</v>
      </c>
      <c r="L1339" s="737"/>
      <c r="M1339" s="44"/>
      <c r="N1339" s="44"/>
      <c r="O1339" s="45"/>
      <c r="P1339" s="44"/>
      <c r="Q1339"/>
      <c r="R1339"/>
      <c r="S1339"/>
      <c r="T1339" s="39"/>
      <c r="AG1339" s="502" t="s">
        <v>247</v>
      </c>
      <c r="AH1339" s="502" t="s">
        <v>248</v>
      </c>
      <c r="AI1339" s="502" t="s">
        <v>249</v>
      </c>
      <c r="AJ1339" s="502" t="s">
        <v>250</v>
      </c>
      <c r="AK1339" s="502" t="s">
        <v>251</v>
      </c>
      <c r="AM1339" s="710" t="s">
        <v>260</v>
      </c>
      <c r="AN1339" s="711" t="s">
        <v>261</v>
      </c>
      <c r="AO1339" s="503" t="s">
        <v>257</v>
      </c>
    </row>
    <row r="1340" spans="1:41" s="501" customFormat="1" ht="13.2">
      <c r="A1340" s="712">
        <v>1</v>
      </c>
      <c r="B1340" s="504" t="s">
        <v>283</v>
      </c>
      <c r="C1340" s="505"/>
      <c r="D1340" s="713" t="s">
        <v>585</v>
      </c>
      <c r="E1340" s="738">
        <f>IF(AND($A1340=0,$A$1="DIF"),0,ROUND(ROUND(SUMIF($L1342:$L1359,"SUBI",$E1342:$E1359)/$A1340,2)*$C$12,2))</f>
        <v>165.9</v>
      </c>
      <c r="F1340" s="739">
        <f>ROUND($A1340*$E1340,2)</f>
        <v>165.9</v>
      </c>
      <c r="G1340" s="506" t="s">
        <v>142</v>
      </c>
      <c r="H1340" s="498"/>
      <c r="I1340" s="716"/>
      <c r="J1340" s="498"/>
      <c r="K1340" s="740"/>
      <c r="L1340" s="741" t="s">
        <v>143</v>
      </c>
      <c r="M1340" s="717"/>
      <c r="N1340" s="717"/>
      <c r="O1340" s="717"/>
      <c r="P1340" s="717"/>
      <c r="Q1340" s="943" t="s">
        <v>855</v>
      </c>
      <c r="R1340" s="943" t="s">
        <v>870</v>
      </c>
      <c r="S1340"/>
      <c r="T1340" s="742" t="str">
        <f>IF(AND($R1365=0,$T1365=0),"0.00","mu :" &amp; ROUND($F1340/$C$12/($R1365+$T1365*$D$9),2))</f>
        <v>mu :1.35</v>
      </c>
      <c r="W1340" s="507"/>
      <c r="AG1340" s="743">
        <f>IF(A1340=0,0,ROUND(SUM(AG1342:AG1365)/A1340,2))</f>
        <v>69.150000000000006</v>
      </c>
      <c r="AH1340" s="743">
        <f>$AG1340*$A1340</f>
        <v>69.150000000000006</v>
      </c>
      <c r="AI1340" s="743">
        <f>$E1340-$AG1340</f>
        <v>96.75</v>
      </c>
      <c r="AJ1340" s="743">
        <f>$A1340*$AI1340</f>
        <v>96.75</v>
      </c>
      <c r="AK1340" s="744">
        <f>ROUND(($AG1340+$AI1340)*$A1340,2)</f>
        <v>165.9</v>
      </c>
      <c r="AM1340" s="510">
        <f>ROUND(R1365,2)</f>
        <v>51.22</v>
      </c>
      <c r="AN1340" s="511">
        <f>ROUND(T1365,2)</f>
        <v>2.61</v>
      </c>
      <c r="AO1340" s="512">
        <f>ROUND(AM1340+AN1340,2)*A1340</f>
        <v>53.83</v>
      </c>
    </row>
    <row r="1341" spans="1:41" s="501" customFormat="1" ht="21.6" customHeight="1">
      <c r="A1341" s="745"/>
      <c r="B1341" s="746"/>
      <c r="C1341" s="505"/>
      <c r="D1341" s="724" t="s">
        <v>413</v>
      </c>
      <c r="F1341" s="498"/>
      <c r="G1341" s="498"/>
      <c r="H1341" s="498"/>
      <c r="I1341" s="716"/>
      <c r="J1341" s="498"/>
      <c r="K1341" s="498" t="s">
        <v>144</v>
      </c>
      <c r="L1341" s="747"/>
      <c r="M1341" s="498"/>
      <c r="N1341" s="498"/>
      <c r="O1341" s="498"/>
      <c r="P1341" s="498"/>
      <c r="Q1341" s="44"/>
      <c r="R1341" s="567"/>
      <c r="S1341" s="719"/>
      <c r="T1341" s="498"/>
    </row>
    <row r="1342" spans="1:41" s="501" customFormat="1" ht="12">
      <c r="A1342" s="748"/>
      <c r="B1342" s="749"/>
      <c r="C1342" s="497"/>
      <c r="D1342" s="750"/>
      <c r="E1342" s="751">
        <f>F1340/$C$12-SUMIF($L1339:$L1365,"SUBI",$E1339:$E1365)</f>
        <v>0</v>
      </c>
      <c r="F1342" s="752" t="s">
        <v>572</v>
      </c>
      <c r="G1342" s="753"/>
      <c r="H1342" s="753"/>
      <c r="I1342" s="754"/>
      <c r="J1342" s="753"/>
      <c r="K1342" s="753"/>
      <c r="L1342" s="755"/>
      <c r="M1342" s="756"/>
      <c r="N1342" s="756"/>
      <c r="O1342" s="756"/>
      <c r="P1342" s="756"/>
      <c r="Q1342" s="757"/>
      <c r="R1342" s="758"/>
      <c r="S1342" s="757"/>
      <c r="T1342" s="759"/>
    </row>
    <row r="1343" spans="1:41" s="501" customFormat="1" ht="12" customHeight="1">
      <c r="A1343" s="760"/>
      <c r="B1343" s="761"/>
      <c r="C1343" s="762"/>
      <c r="D1343" s="762" t="str">
        <f>$F$2</f>
        <v>Electrical</v>
      </c>
      <c r="E1343" s="762">
        <f>ROUND(($R1353*$S$2 + ($T1353*$T$2)), 2)</f>
        <v>165.9</v>
      </c>
      <c r="F1343" s="763">
        <f>$E1343*$C$12</f>
        <v>165.9</v>
      </c>
      <c r="G1343" s="567"/>
      <c r="H1343" s="764"/>
      <c r="I1343" s="567"/>
      <c r="J1343" s="45"/>
      <c r="K1343" s="765" t="s">
        <v>3</v>
      </c>
      <c r="L1343" s="766" t="s">
        <v>573</v>
      </c>
      <c r="M1343" s="567"/>
      <c r="N1343" s="567"/>
      <c r="O1343" s="45"/>
      <c r="P1343" s="567"/>
      <c r="Q1343" s="567"/>
      <c r="R1343"/>
      <c r="S1343"/>
      <c r="T1343"/>
    </row>
    <row r="1344" spans="1:41" s="893" customFormat="1" ht="13.2">
      <c r="A1344"/>
      <c r="D1344" s="944" t="s">
        <v>755</v>
      </c>
      <c r="G1344" s="894" t="s">
        <v>749</v>
      </c>
      <c r="H1344" s="895">
        <v>616</v>
      </c>
      <c r="I1344" s="893" t="s">
        <v>656</v>
      </c>
      <c r="J1344" s="893" t="s">
        <v>750</v>
      </c>
      <c r="O1344" s="896">
        <v>2</v>
      </c>
      <c r="P1344" s="897">
        <v>40767</v>
      </c>
      <c r="Q1344" s="898"/>
      <c r="R1344" s="899">
        <f t="shared" ref="R1344:R1349" si="45">$A1344*Q1344</f>
        <v>0</v>
      </c>
      <c r="S1344" s="898"/>
      <c r="T1344" s="900">
        <f t="shared" ref="T1344:T1349" si="46">$A1344*S1344*$T$1</f>
        <v>0</v>
      </c>
    </row>
    <row r="1345" spans="1:33" s="893" customFormat="1" ht="13.2">
      <c r="A1345">
        <v>3</v>
      </c>
      <c r="B1345" s="893" t="s">
        <v>296</v>
      </c>
      <c r="D1345" s="893" t="s">
        <v>1084</v>
      </c>
      <c r="F1345" s="893" t="s">
        <v>756</v>
      </c>
      <c r="G1345" s="894" t="s">
        <v>749</v>
      </c>
      <c r="H1345" s="895">
        <v>616</v>
      </c>
      <c r="I1345" s="893" t="s">
        <v>656</v>
      </c>
      <c r="J1345" s="893" t="s">
        <v>750</v>
      </c>
      <c r="O1345" s="896">
        <v>2</v>
      </c>
      <c r="P1345" s="897">
        <v>40767</v>
      </c>
      <c r="Q1345" s="898">
        <v>10.45</v>
      </c>
      <c r="R1345" s="899">
        <f t="shared" si="45"/>
        <v>31.349999999999998</v>
      </c>
      <c r="S1345" s="898">
        <v>0.1</v>
      </c>
      <c r="T1345" s="900">
        <f t="shared" si="46"/>
        <v>0.30000000000000004</v>
      </c>
    </row>
    <row r="1346" spans="1:33" s="893" customFormat="1" ht="13.2">
      <c r="A1346" s="87">
        <v>3</v>
      </c>
      <c r="B1346" s="893" t="s">
        <v>141</v>
      </c>
      <c r="D1346" s="893" t="s">
        <v>743</v>
      </c>
      <c r="G1346" s="894" t="s">
        <v>744</v>
      </c>
      <c r="H1346" s="895">
        <v>875</v>
      </c>
      <c r="I1346" s="893" t="s">
        <v>643</v>
      </c>
      <c r="K1346" s="893" t="s">
        <v>745</v>
      </c>
      <c r="O1346" s="896">
        <v>1</v>
      </c>
      <c r="P1346" s="897">
        <v>34669</v>
      </c>
      <c r="Q1346" s="898">
        <v>0.05</v>
      </c>
      <c r="R1346" s="899">
        <f t="shared" si="45"/>
        <v>0.15000000000000002</v>
      </c>
      <c r="S1346" s="898"/>
      <c r="T1346" s="900">
        <f t="shared" si="46"/>
        <v>0</v>
      </c>
    </row>
    <row r="1347" spans="1:33" s="893" customFormat="1" ht="13.2">
      <c r="A1347">
        <v>2</v>
      </c>
      <c r="B1347" s="893" t="s">
        <v>141</v>
      </c>
      <c r="D1347" s="893" t="s">
        <v>751</v>
      </c>
      <c r="G1347" s="894" t="s">
        <v>752</v>
      </c>
      <c r="H1347" s="895">
        <v>620</v>
      </c>
      <c r="I1347" s="893" t="s">
        <v>671</v>
      </c>
      <c r="O1347" s="896">
        <v>2</v>
      </c>
      <c r="P1347" s="897">
        <v>35431</v>
      </c>
      <c r="Q1347" s="898">
        <v>7.66</v>
      </c>
      <c r="R1347" s="899">
        <f t="shared" si="45"/>
        <v>15.32</v>
      </c>
      <c r="S1347" s="898">
        <v>0.4</v>
      </c>
      <c r="T1347" s="900">
        <f t="shared" si="46"/>
        <v>0.8</v>
      </c>
    </row>
    <row r="1348" spans="1:33" s="893" customFormat="1" ht="13.2">
      <c r="A1348">
        <v>2</v>
      </c>
      <c r="B1348" s="893" t="s">
        <v>296</v>
      </c>
      <c r="D1348" s="893" t="s">
        <v>672</v>
      </c>
      <c r="G1348" s="894" t="s">
        <v>673</v>
      </c>
      <c r="H1348" s="895">
        <v>620</v>
      </c>
      <c r="I1348" s="893" t="s">
        <v>643</v>
      </c>
      <c r="O1348" s="896">
        <v>2</v>
      </c>
      <c r="P1348" s="897">
        <v>38148</v>
      </c>
      <c r="Q1348" s="898">
        <v>1.5</v>
      </c>
      <c r="R1348" s="899">
        <f t="shared" si="45"/>
        <v>3</v>
      </c>
      <c r="S1348" s="898">
        <v>0.08</v>
      </c>
      <c r="T1348" s="900">
        <f t="shared" si="46"/>
        <v>0.16</v>
      </c>
    </row>
    <row r="1349" spans="1:33" s="893" customFormat="1" ht="13.2">
      <c r="A1349">
        <v>10</v>
      </c>
      <c r="B1349" s="893" t="s">
        <v>141</v>
      </c>
      <c r="D1349" s="893" t="s">
        <v>753</v>
      </c>
      <c r="G1349" s="894" t="s">
        <v>754</v>
      </c>
      <c r="H1349" s="895">
        <v>620</v>
      </c>
      <c r="I1349" s="893" t="s">
        <v>676</v>
      </c>
      <c r="O1349" s="896">
        <v>2</v>
      </c>
      <c r="P1349" s="897">
        <v>34669</v>
      </c>
      <c r="Q1349" s="898">
        <v>0.14000000000000001</v>
      </c>
      <c r="R1349" s="899">
        <f t="shared" si="45"/>
        <v>1.4000000000000001</v>
      </c>
      <c r="S1349" s="898">
        <v>0.06</v>
      </c>
      <c r="T1349" s="900">
        <f t="shared" si="46"/>
        <v>0.6</v>
      </c>
    </row>
    <row r="1350" spans="1:33" s="893" customFormat="1" ht="13.2">
      <c r="A1350">
        <v>1</v>
      </c>
      <c r="B1350" s="893" t="s">
        <v>141</v>
      </c>
      <c r="D1350" s="893" t="s">
        <v>658</v>
      </c>
      <c r="F1350" s="893" t="s">
        <v>748</v>
      </c>
      <c r="G1350" s="894" t="s">
        <v>659</v>
      </c>
      <c r="H1350" s="895">
        <v>900</v>
      </c>
      <c r="I1350" s="893" t="s">
        <v>660</v>
      </c>
      <c r="O1350" s="896">
        <v>1</v>
      </c>
      <c r="P1350" s="897"/>
      <c r="Q1350" s="898"/>
      <c r="R1350" s="899">
        <f>$A1350*Q1350</f>
        <v>0</v>
      </c>
      <c r="S1350" s="898">
        <v>0.5</v>
      </c>
      <c r="T1350" s="900">
        <f>$A1350*S1350*$T$1</f>
        <v>0.5</v>
      </c>
    </row>
    <row r="1351" spans="1:33" s="893" customFormat="1" ht="13.2">
      <c r="A1351">
        <v>1</v>
      </c>
      <c r="B1351" s="893" t="s">
        <v>141</v>
      </c>
      <c r="D1351" s="893" t="s">
        <v>658</v>
      </c>
      <c r="F1351" s="893" t="s">
        <v>757</v>
      </c>
      <c r="G1351" s="894" t="s">
        <v>659</v>
      </c>
      <c r="H1351" s="895">
        <v>900</v>
      </c>
      <c r="I1351" s="893" t="s">
        <v>660</v>
      </c>
      <c r="O1351" s="896">
        <v>1</v>
      </c>
      <c r="P1351" s="897"/>
      <c r="Q1351" s="898"/>
      <c r="R1351" s="899">
        <f>$A1351*Q1351</f>
        <v>0</v>
      </c>
      <c r="S1351" s="898">
        <v>0.25</v>
      </c>
      <c r="T1351" s="900">
        <f>$A1351*S1351*$T$1</f>
        <v>0.25</v>
      </c>
    </row>
    <row r="1352" spans="1:33" s="501" customFormat="1" ht="14.4" customHeight="1">
      <c r="A1352" s="767"/>
      <c r="B1352" s="567"/>
      <c r="C1352" s="567"/>
      <c r="D1352" s="567"/>
      <c r="E1352" s="567"/>
      <c r="F1352" s="567"/>
      <c r="G1352" s="567"/>
      <c r="H1352" s="764"/>
      <c r="I1352" s="567"/>
      <c r="J1352" s="45"/>
      <c r="K1352" s="769"/>
      <c r="L1352" s="770"/>
      <c r="M1352" s="567"/>
      <c r="N1352" s="567"/>
      <c r="O1352" s="45"/>
      <c r="P1352" s="567"/>
      <c r="Q1352" s="567"/>
      <c r="R1352" s="771">
        <f>$A1352*Q1352</f>
        <v>0</v>
      </c>
      <c r="S1352" s="567"/>
      <c r="T1352" s="500">
        <f>$A1352*S1352*$T$1</f>
        <v>0</v>
      </c>
    </row>
    <row r="1353" spans="1:33" s="501" customFormat="1" ht="12">
      <c r="A1353" s="772" t="s">
        <v>145</v>
      </c>
      <c r="B1353" s="773">
        <f>(R1352+T1352)</f>
        <v>0</v>
      </c>
      <c r="C1353" s="753"/>
      <c r="G1353" s="774"/>
      <c r="H1353" s="774"/>
      <c r="I1353" s="774"/>
      <c r="J1353" s="774"/>
      <c r="K1353" s="750" t="s">
        <v>3</v>
      </c>
      <c r="L1353" s="775" t="s">
        <v>573</v>
      </c>
      <c r="M1353" s="774"/>
      <c r="N1353" s="774"/>
      <c r="O1353" s="774"/>
      <c r="P1353" s="774"/>
      <c r="Q1353" s="776"/>
      <c r="R1353" s="777">
        <f>SUM(R1343:R1352)</f>
        <v>51.219999999999992</v>
      </c>
      <c r="S1353" s="778"/>
      <c r="T1353" s="777">
        <f>SUM(T1343:T1352)</f>
        <v>2.61</v>
      </c>
      <c r="AG1353" s="779">
        <f>ROUND($R1353*$S$2,2)</f>
        <v>69.150000000000006</v>
      </c>
    </row>
    <row r="1354" spans="1:33" s="501" customFormat="1" ht="12" customHeight="1">
      <c r="A1354" s="760"/>
      <c r="B1354" s="780"/>
      <c r="C1354" s="781"/>
      <c r="D1354" s="782" t="str">
        <f>$F$3</f>
        <v>Technician</v>
      </c>
      <c r="E1354" s="782">
        <f>ROUND(($R1358*$S$3 + ($T1358*$T$3)), 2)</f>
        <v>0</v>
      </c>
      <c r="F1354" s="783">
        <f>$E1354*$C$12</f>
        <v>0</v>
      </c>
      <c r="G1354" s="499"/>
      <c r="H1354" s="499"/>
      <c r="I1354" s="499"/>
      <c r="J1354" s="499"/>
      <c r="K1354" s="765" t="s">
        <v>5</v>
      </c>
      <c r="L1354" s="766" t="s">
        <v>573</v>
      </c>
      <c r="M1354" s="499"/>
      <c r="N1354" s="499"/>
      <c r="O1354" s="499"/>
      <c r="P1354" s="499"/>
      <c r="Q1354" s="499"/>
      <c r="R1354" s="784"/>
      <c r="S1354" s="499"/>
      <c r="T1354" s="784"/>
    </row>
    <row r="1355" spans="1:33" s="797" customFormat="1" ht="15.6" customHeight="1">
      <c r="A1355" s="785"/>
      <c r="B1355" s="768" t="s">
        <v>575</v>
      </c>
      <c r="C1355" s="786"/>
      <c r="D1355" s="787"/>
      <c r="E1355" s="787"/>
      <c r="F1355" s="787"/>
      <c r="G1355" s="788"/>
      <c r="H1355" s="789"/>
      <c r="I1355" s="789"/>
      <c r="J1355" s="790"/>
      <c r="K1355" s="791"/>
      <c r="L1355" s="786"/>
      <c r="M1355" s="792"/>
      <c r="N1355" s="793"/>
      <c r="O1355" s="794"/>
      <c r="P1355" s="795"/>
      <c r="Q1355" s="796"/>
      <c r="R1355" s="771">
        <f>$A1355*Q1355</f>
        <v>0</v>
      </c>
      <c r="S1355" s="567"/>
      <c r="T1355" s="500">
        <f>$A1355*S1355*$T$1</f>
        <v>0</v>
      </c>
    </row>
    <row r="1356" spans="1:33" s="501" customFormat="1" ht="15.6" customHeight="1">
      <c r="A1356" s="767"/>
      <c r="B1356" s="567"/>
      <c r="C1356" s="567"/>
      <c r="D1356" s="567"/>
      <c r="E1356" s="567"/>
      <c r="F1356" s="567"/>
      <c r="G1356" s="567"/>
      <c r="H1356" s="567"/>
      <c r="I1356" s="567"/>
      <c r="J1356" s="567"/>
      <c r="K1356" s="567"/>
      <c r="L1356" s="770"/>
      <c r="M1356" s="567"/>
      <c r="N1356" s="567"/>
      <c r="O1356" s="567"/>
      <c r="P1356" s="567"/>
      <c r="Q1356" s="567"/>
      <c r="R1356" s="771">
        <f>$A1356*Q1356</f>
        <v>0</v>
      </c>
      <c r="S1356" s="567"/>
      <c r="T1356" s="500">
        <f>$A1356*S1356*$T$1</f>
        <v>0</v>
      </c>
    </row>
    <row r="1357" spans="1:33" s="501" customFormat="1" ht="15.6" customHeight="1">
      <c r="A1357" s="767"/>
      <c r="B1357" s="567"/>
      <c r="C1357" s="567"/>
      <c r="D1357" s="3"/>
      <c r="E1357" s="567"/>
      <c r="F1357" s="567"/>
      <c r="G1357" s="567"/>
      <c r="H1357" s="567"/>
      <c r="I1357" s="567"/>
      <c r="J1357" s="567"/>
      <c r="K1357" s="567"/>
      <c r="L1357" s="770"/>
      <c r="M1357" s="567"/>
      <c r="N1357" s="567"/>
      <c r="O1357" s="567"/>
      <c r="P1357" s="567"/>
      <c r="Q1357" s="567"/>
      <c r="R1357" s="771">
        <f>$A1357*Q1357</f>
        <v>0</v>
      </c>
      <c r="S1357" s="567"/>
      <c r="T1357" s="500">
        <f>$A1357*S1357*$T$1</f>
        <v>0</v>
      </c>
    </row>
    <row r="1358" spans="1:33" s="501" customFormat="1" ht="12">
      <c r="A1358" s="772" t="s">
        <v>145</v>
      </c>
      <c r="B1358" s="773">
        <f>(R1357+T1357)</f>
        <v>0</v>
      </c>
      <c r="C1358" s="753"/>
      <c r="G1358" s="774"/>
      <c r="H1358" s="774"/>
      <c r="I1358" s="774"/>
      <c r="J1358" s="774"/>
      <c r="K1358" s="798" t="s">
        <v>5</v>
      </c>
      <c r="L1358" s="775" t="s">
        <v>573</v>
      </c>
      <c r="M1358" s="774"/>
      <c r="N1358" s="774"/>
      <c r="O1358" s="774"/>
      <c r="P1358" s="774"/>
      <c r="Q1358" s="776"/>
      <c r="R1358" s="777">
        <f>SUM(R1354:R1357)</f>
        <v>0</v>
      </c>
      <c r="S1358" s="778"/>
      <c r="T1358" s="777">
        <f>SUM(T1354:T1357)</f>
        <v>0</v>
      </c>
      <c r="AG1358" s="799">
        <f>ROUND($R1358*$S$3,2)</f>
        <v>0</v>
      </c>
    </row>
    <row r="1359" spans="1:33" s="501" customFormat="1" ht="12" customHeight="1">
      <c r="A1359" s="800"/>
      <c r="B1359" s="801"/>
      <c r="C1359" s="802"/>
      <c r="D1359" s="803" t="str">
        <f>$F$4</f>
        <v>Engineer (Man Hours)</v>
      </c>
      <c r="E1359" s="803">
        <f>ROUND(($R1363*$S$4 + ($T1363*$T$4)), 2)</f>
        <v>0</v>
      </c>
      <c r="F1359" s="804">
        <f ca="1">$F1340-SUMIF($L1342:$P1356,"SUBI",$F1342:$F1356)</f>
        <v>0</v>
      </c>
      <c r="G1359" s="499"/>
      <c r="H1359" s="499"/>
      <c r="I1359" s="499"/>
      <c r="J1359" s="499"/>
      <c r="K1359" s="805" t="s">
        <v>8</v>
      </c>
      <c r="L1359" s="766" t="s">
        <v>573</v>
      </c>
      <c r="M1359" s="499"/>
      <c r="N1359" s="499"/>
      <c r="O1359" s="499"/>
      <c r="P1359" s="499"/>
      <c r="Q1359" s="499"/>
      <c r="R1359" s="784"/>
      <c r="S1359" s="499"/>
      <c r="T1359" s="784"/>
    </row>
    <row r="1360" spans="1:33" s="797" customFormat="1" ht="14.4" customHeight="1">
      <c r="A1360" s="785"/>
      <c r="B1360" s="768" t="s">
        <v>576</v>
      </c>
      <c r="C1360" s="786"/>
      <c r="D1360" s="787"/>
      <c r="E1360" s="787"/>
      <c r="F1360" s="787"/>
      <c r="G1360" s="788"/>
      <c r="H1360" s="789"/>
      <c r="I1360" s="789"/>
      <c r="J1360" s="790"/>
      <c r="K1360" s="791"/>
      <c r="L1360" s="786"/>
      <c r="M1360" s="792"/>
      <c r="N1360" s="793"/>
      <c r="O1360" s="806"/>
      <c r="P1360" s="795"/>
      <c r="Q1360" s="796"/>
      <c r="R1360" s="720">
        <f>$A1360*Q1360</f>
        <v>0</v>
      </c>
      <c r="S1360" s="796"/>
      <c r="T1360" s="500">
        <f>$A1360*S1360*$T$1</f>
        <v>0</v>
      </c>
    </row>
    <row r="1361" spans="1:41" s="501" customFormat="1" ht="12">
      <c r="A1361" s="44"/>
      <c r="B1361" s="497"/>
      <c r="C1361" s="497"/>
      <c r="D1361" s="807"/>
      <c r="E1361" s="808"/>
      <c r="F1361" s="499"/>
      <c r="G1361" s="499"/>
      <c r="H1361" s="499"/>
      <c r="I1361" s="499"/>
      <c r="J1361" s="499"/>
      <c r="K1361" s="499"/>
      <c r="L1361" s="809"/>
      <c r="M1361" s="499"/>
      <c r="N1361" s="499"/>
      <c r="O1361" s="499"/>
      <c r="P1361" s="499"/>
      <c r="Q1361" s="499"/>
      <c r="R1361" s="720">
        <f>$A1361*Q1361</f>
        <v>0</v>
      </c>
      <c r="S1361" s="499"/>
      <c r="T1361" s="500">
        <f>$A1361*S1361*$T$1</f>
        <v>0</v>
      </c>
    </row>
    <row r="1362" spans="1:41" s="501" customFormat="1" ht="12">
      <c r="A1362" s="44"/>
      <c r="B1362" s="497"/>
      <c r="C1362" s="497"/>
      <c r="D1362" s="807"/>
      <c r="E1362" s="808"/>
      <c r="F1362" s="499"/>
      <c r="G1362" s="499"/>
      <c r="H1362" s="499"/>
      <c r="I1362" s="499"/>
      <c r="J1362" s="499"/>
      <c r="K1362" s="499"/>
      <c r="L1362" s="809"/>
      <c r="M1362" s="499"/>
      <c r="N1362" s="499"/>
      <c r="O1362" s="499"/>
      <c r="P1362" s="499"/>
      <c r="Q1362" s="499"/>
      <c r="R1362" s="720">
        <f>$A1362*Q1362</f>
        <v>0</v>
      </c>
      <c r="S1362" s="499"/>
      <c r="T1362" s="500">
        <f>$A1362*S1362*$T$1</f>
        <v>0</v>
      </c>
    </row>
    <row r="1363" spans="1:41" s="501" customFormat="1" ht="12.75" customHeight="1">
      <c r="A1363" s="772" t="s">
        <v>145</v>
      </c>
      <c r="B1363" s="773">
        <f>(R1362+T1362)</f>
        <v>0</v>
      </c>
      <c r="C1363" s="810"/>
      <c r="D1363" s="810"/>
      <c r="E1363" s="810"/>
      <c r="F1363" s="810"/>
      <c r="G1363" s="776"/>
      <c r="H1363" s="776"/>
      <c r="I1363" s="776"/>
      <c r="J1363" s="776"/>
      <c r="K1363" s="798" t="s">
        <v>8</v>
      </c>
      <c r="L1363" s="811" t="s">
        <v>573</v>
      </c>
      <c r="M1363" s="776"/>
      <c r="N1363" s="776"/>
      <c r="O1363" s="776"/>
      <c r="P1363" s="776"/>
      <c r="Q1363" s="776"/>
      <c r="R1363" s="777">
        <f>SUM(R1359:R1362)</f>
        <v>0</v>
      </c>
      <c r="S1363" s="778"/>
      <c r="T1363" s="777">
        <f>SUM(T1359:T1362)</f>
        <v>0</v>
      </c>
      <c r="AG1363" s="812">
        <f>ROUND($R1363*$S$4,2)</f>
        <v>0</v>
      </c>
    </row>
    <row r="1364" spans="1:41" s="501" customFormat="1" ht="12.75" customHeight="1">
      <c r="A1364" s="813"/>
      <c r="B1364" s="814"/>
      <c r="E1364" s="497"/>
      <c r="F1364" s="808"/>
      <c r="G1364" s="497"/>
      <c r="H1364" s="497"/>
      <c r="I1364" s="499"/>
      <c r="J1364" s="497"/>
      <c r="K1364" s="497"/>
      <c r="L1364" s="815"/>
      <c r="M1364" s="725"/>
      <c r="N1364" s="725"/>
      <c r="O1364" s="725"/>
      <c r="P1364" s="725"/>
      <c r="Q1364" s="726"/>
      <c r="R1364" s="784"/>
      <c r="S1364" s="497"/>
      <c r="T1364" s="784"/>
    </row>
    <row r="1365" spans="1:41" s="501" customFormat="1" ht="13.5" customHeight="1" thickBot="1">
      <c r="A1365" s="816"/>
      <c r="B1365" s="817"/>
      <c r="C1365" s="518"/>
      <c r="D1365" s="518"/>
      <c r="E1365" s="515"/>
      <c r="F1365" s="721"/>
      <c r="G1365" s="515" t="s">
        <v>146</v>
      </c>
      <c r="H1365" s="515"/>
      <c r="I1365" s="516"/>
      <c r="J1365" s="515"/>
      <c r="K1365" s="515"/>
      <c r="L1365" s="818" t="s">
        <v>143</v>
      </c>
      <c r="M1365" s="517"/>
      <c r="N1365" s="517"/>
      <c r="O1365" s="517"/>
      <c r="P1365" s="517"/>
      <c r="Q1365" s="722"/>
      <c r="R1365" s="819">
        <f>SUMIF($L1341:$L1364,"SUBI",R1341:R1364)</f>
        <v>51.219999999999992</v>
      </c>
      <c r="S1365" s="820"/>
      <c r="T1365" s="819">
        <f>SUMIF($L1341:$L1364,"SUBI",T1341:T1364)</f>
        <v>2.61</v>
      </c>
      <c r="U1365" s="518"/>
      <c r="V1365" s="518"/>
      <c r="W1365" s="518"/>
      <c r="X1365" s="518"/>
      <c r="Y1365" s="518"/>
      <c r="Z1365" s="518"/>
      <c r="AA1365" s="518"/>
      <c r="AB1365" s="518"/>
      <c r="AC1365" s="518"/>
      <c r="AD1365" s="518"/>
      <c r="AE1365" s="518"/>
      <c r="AF1365" s="518"/>
      <c r="AG1365" s="518"/>
      <c r="AH1365" s="518"/>
      <c r="AI1365" s="518"/>
      <c r="AJ1365" s="518"/>
      <c r="AK1365" s="518"/>
      <c r="AL1365" s="518"/>
      <c r="AM1365" s="518"/>
      <c r="AN1365" s="518"/>
      <c r="AO1365" s="518"/>
    </row>
    <row r="1366" spans="1:41" s="501" customFormat="1" thickTop="1">
      <c r="A1366" s="44"/>
      <c r="B1366" s="39"/>
      <c r="C1366" s="44"/>
      <c r="E1366" s="40" t="s">
        <v>138</v>
      </c>
      <c r="F1366" s="40" t="s">
        <v>139</v>
      </c>
      <c r="G1366" s="44"/>
      <c r="H1366" s="44"/>
      <c r="I1366" s="44"/>
      <c r="J1366" s="44"/>
      <c r="K1366" s="44" t="s">
        <v>140</v>
      </c>
      <c r="L1366" s="737"/>
      <c r="M1366" s="44"/>
      <c r="N1366" s="44"/>
      <c r="O1366" s="45"/>
      <c r="P1366" s="44"/>
      <c r="Q1366"/>
      <c r="R1366"/>
      <c r="S1366"/>
      <c r="T1366" s="39"/>
      <c r="AG1366" s="502" t="s">
        <v>247</v>
      </c>
      <c r="AH1366" s="502" t="s">
        <v>248</v>
      </c>
      <c r="AI1366" s="502" t="s">
        <v>249</v>
      </c>
      <c r="AJ1366" s="502" t="s">
        <v>250</v>
      </c>
      <c r="AK1366" s="502" t="s">
        <v>251</v>
      </c>
      <c r="AM1366" s="710" t="s">
        <v>260</v>
      </c>
      <c r="AN1366" s="711" t="s">
        <v>261</v>
      </c>
      <c r="AO1366" s="503" t="s">
        <v>257</v>
      </c>
    </row>
    <row r="1367" spans="1:41" s="501" customFormat="1" ht="13.2">
      <c r="A1367" s="712">
        <v>1</v>
      </c>
      <c r="B1367" s="504" t="s">
        <v>283</v>
      </c>
      <c r="C1367" s="505"/>
      <c r="D1367" s="713" t="s">
        <v>586</v>
      </c>
      <c r="E1367" s="738">
        <f>IF(AND($A1367=0,$A$1="DIF"),0,ROUND(ROUND(SUMIF($L1369:$L1386,"SUBI",$E1369:$E1386)/$A1367,2)*$C$12,2))</f>
        <v>165.9</v>
      </c>
      <c r="F1367" s="739">
        <f>ROUND($A1367*$E1367,2)</f>
        <v>165.9</v>
      </c>
      <c r="G1367" s="506" t="s">
        <v>142</v>
      </c>
      <c r="H1367" s="498"/>
      <c r="I1367" s="716"/>
      <c r="J1367" s="498"/>
      <c r="K1367" s="740"/>
      <c r="L1367" s="741" t="s">
        <v>143</v>
      </c>
      <c r="M1367" s="717"/>
      <c r="N1367" s="717"/>
      <c r="O1367" s="717"/>
      <c r="P1367" s="717"/>
      <c r="Q1367" s="943" t="s">
        <v>855</v>
      </c>
      <c r="R1367" s="943" t="s">
        <v>870</v>
      </c>
      <c r="S1367"/>
      <c r="T1367" s="742" t="str">
        <f>IF(AND($R1392=0,$T1392=0),"0.00","mu :" &amp; ROUND($F1367/$C$12/($R1392+$T1392*$D$9),2))</f>
        <v>mu :1.35</v>
      </c>
      <c r="W1367" s="507"/>
      <c r="AG1367" s="743">
        <f>IF(A1367=0,0,ROUND(SUM(AG1369:AG1392)/A1367,2))</f>
        <v>69.150000000000006</v>
      </c>
      <c r="AH1367" s="743">
        <f>$AG1367*$A1367</f>
        <v>69.150000000000006</v>
      </c>
      <c r="AI1367" s="743">
        <f>$E1367-$AG1367</f>
        <v>96.75</v>
      </c>
      <c r="AJ1367" s="743">
        <f>$A1367*$AI1367</f>
        <v>96.75</v>
      </c>
      <c r="AK1367" s="744">
        <f>ROUND(($AG1367+$AI1367)*$A1367,2)</f>
        <v>165.9</v>
      </c>
      <c r="AM1367" s="510">
        <f>ROUND(R1392,2)</f>
        <v>51.22</v>
      </c>
      <c r="AN1367" s="511">
        <f>ROUND(T1392,2)</f>
        <v>2.61</v>
      </c>
      <c r="AO1367" s="512">
        <f>ROUND(AM1367+AN1367,2)*A1367</f>
        <v>53.83</v>
      </c>
    </row>
    <row r="1368" spans="1:41" s="501" customFormat="1" ht="21.6" customHeight="1">
      <c r="A1368" s="745"/>
      <c r="B1368" s="746"/>
      <c r="C1368" s="505"/>
      <c r="D1368" s="724" t="s">
        <v>414</v>
      </c>
      <c r="F1368" s="498"/>
      <c r="G1368" s="498"/>
      <c r="H1368" s="498"/>
      <c r="I1368" s="716"/>
      <c r="J1368" s="498"/>
      <c r="K1368" s="498" t="s">
        <v>144</v>
      </c>
      <c r="L1368" s="747"/>
      <c r="M1368" s="498"/>
      <c r="N1368" s="498"/>
      <c r="O1368" s="498"/>
      <c r="P1368" s="498"/>
      <c r="Q1368" s="44"/>
      <c r="R1368" s="567"/>
      <c r="S1368" s="719"/>
      <c r="T1368" s="498"/>
    </row>
    <row r="1369" spans="1:41" s="501" customFormat="1" ht="12">
      <c r="A1369" s="748"/>
      <c r="B1369" s="749"/>
      <c r="C1369" s="497"/>
      <c r="D1369" s="750"/>
      <c r="E1369" s="751">
        <f>F1367/$C$12-SUMIF($L1366:$L1392,"SUBI",$E1366:$E1392)</f>
        <v>0</v>
      </c>
      <c r="F1369" s="752" t="s">
        <v>572</v>
      </c>
      <c r="G1369" s="753"/>
      <c r="H1369" s="753"/>
      <c r="I1369" s="754"/>
      <c r="J1369" s="753"/>
      <c r="K1369" s="753"/>
      <c r="L1369" s="755"/>
      <c r="M1369" s="756"/>
      <c r="N1369" s="756"/>
      <c r="O1369" s="756"/>
      <c r="P1369" s="756"/>
      <c r="Q1369" s="757"/>
      <c r="R1369" s="758"/>
      <c r="S1369" s="757"/>
      <c r="T1369" s="759"/>
    </row>
    <row r="1370" spans="1:41" s="501" customFormat="1" ht="12" customHeight="1">
      <c r="A1370" s="760"/>
      <c r="B1370" s="761"/>
      <c r="C1370" s="762"/>
      <c r="D1370" s="762" t="str">
        <f>$F$2</f>
        <v>Electrical</v>
      </c>
      <c r="E1370" s="762">
        <f>ROUND(($R1380*$S$2 + ($T1380*$T$2)), 2)</f>
        <v>165.9</v>
      </c>
      <c r="F1370" s="763">
        <f>$E1370*$C$12</f>
        <v>165.9</v>
      </c>
      <c r="G1370" s="567"/>
      <c r="H1370" s="764"/>
      <c r="I1370" s="567"/>
      <c r="J1370" s="45"/>
      <c r="K1370" s="765" t="s">
        <v>3</v>
      </c>
      <c r="L1370" s="766" t="s">
        <v>573</v>
      </c>
      <c r="M1370" s="567"/>
      <c r="N1370" s="567"/>
      <c r="O1370" s="45"/>
      <c r="P1370" s="567"/>
      <c r="Q1370" s="567"/>
      <c r="R1370"/>
      <c r="S1370"/>
      <c r="T1370"/>
    </row>
    <row r="1371" spans="1:41" s="893" customFormat="1" ht="13.2">
      <c r="A1371"/>
      <c r="D1371" s="944" t="s">
        <v>755</v>
      </c>
      <c r="G1371" s="894" t="s">
        <v>749</v>
      </c>
      <c r="H1371" s="895">
        <v>616</v>
      </c>
      <c r="I1371" s="893" t="s">
        <v>656</v>
      </c>
      <c r="J1371" s="893" t="s">
        <v>750</v>
      </c>
      <c r="O1371" s="896">
        <v>2</v>
      </c>
      <c r="P1371" s="897">
        <v>40767</v>
      </c>
      <c r="Q1371" s="898"/>
      <c r="R1371" s="899">
        <f t="shared" ref="R1371:R1376" si="47">$A1371*Q1371</f>
        <v>0</v>
      </c>
      <c r="S1371" s="898"/>
      <c r="T1371" s="900">
        <f t="shared" ref="T1371:T1376" si="48">$A1371*S1371*$T$1</f>
        <v>0</v>
      </c>
    </row>
    <row r="1372" spans="1:41" s="893" customFormat="1" ht="13.2">
      <c r="A1372">
        <v>3</v>
      </c>
      <c r="B1372" s="893" t="s">
        <v>296</v>
      </c>
      <c r="D1372" s="893" t="s">
        <v>1084</v>
      </c>
      <c r="F1372" s="893" t="s">
        <v>756</v>
      </c>
      <c r="G1372" s="894" t="s">
        <v>749</v>
      </c>
      <c r="H1372" s="895">
        <v>616</v>
      </c>
      <c r="I1372" s="893" t="s">
        <v>656</v>
      </c>
      <c r="J1372" s="893" t="s">
        <v>750</v>
      </c>
      <c r="O1372" s="896">
        <v>2</v>
      </c>
      <c r="P1372" s="897">
        <v>40767</v>
      </c>
      <c r="Q1372" s="898">
        <v>10.45</v>
      </c>
      <c r="R1372" s="899">
        <f t="shared" si="47"/>
        <v>31.349999999999998</v>
      </c>
      <c r="S1372" s="898">
        <v>0.1</v>
      </c>
      <c r="T1372" s="900">
        <f t="shared" si="48"/>
        <v>0.30000000000000004</v>
      </c>
    </row>
    <row r="1373" spans="1:41" s="893" customFormat="1" ht="13.2">
      <c r="A1373" s="87">
        <v>3</v>
      </c>
      <c r="B1373" s="893" t="s">
        <v>141</v>
      </c>
      <c r="D1373" s="893" t="s">
        <v>743</v>
      </c>
      <c r="G1373" s="894" t="s">
        <v>744</v>
      </c>
      <c r="H1373" s="895">
        <v>875</v>
      </c>
      <c r="I1373" s="893" t="s">
        <v>643</v>
      </c>
      <c r="K1373" s="893" t="s">
        <v>745</v>
      </c>
      <c r="O1373" s="896">
        <v>1</v>
      </c>
      <c r="P1373" s="897">
        <v>34669</v>
      </c>
      <c r="Q1373" s="898">
        <v>0.05</v>
      </c>
      <c r="R1373" s="899">
        <f t="shared" si="47"/>
        <v>0.15000000000000002</v>
      </c>
      <c r="S1373" s="898"/>
      <c r="T1373" s="900">
        <f t="shared" si="48"/>
        <v>0</v>
      </c>
    </row>
    <row r="1374" spans="1:41" s="893" customFormat="1" ht="13.2">
      <c r="A1374">
        <v>2</v>
      </c>
      <c r="B1374" s="893" t="s">
        <v>141</v>
      </c>
      <c r="D1374" s="893" t="s">
        <v>751</v>
      </c>
      <c r="G1374" s="894" t="s">
        <v>752</v>
      </c>
      <c r="H1374" s="895">
        <v>620</v>
      </c>
      <c r="I1374" s="893" t="s">
        <v>671</v>
      </c>
      <c r="O1374" s="896">
        <v>2</v>
      </c>
      <c r="P1374" s="897">
        <v>35431</v>
      </c>
      <c r="Q1374" s="898">
        <v>7.66</v>
      </c>
      <c r="R1374" s="899">
        <f t="shared" si="47"/>
        <v>15.32</v>
      </c>
      <c r="S1374" s="898">
        <v>0.4</v>
      </c>
      <c r="T1374" s="900">
        <f t="shared" si="48"/>
        <v>0.8</v>
      </c>
    </row>
    <row r="1375" spans="1:41" s="893" customFormat="1" ht="13.2">
      <c r="A1375">
        <v>2</v>
      </c>
      <c r="B1375" s="893" t="s">
        <v>296</v>
      </c>
      <c r="D1375" s="893" t="s">
        <v>672</v>
      </c>
      <c r="G1375" s="894" t="s">
        <v>673</v>
      </c>
      <c r="H1375" s="895">
        <v>620</v>
      </c>
      <c r="I1375" s="893" t="s">
        <v>643</v>
      </c>
      <c r="O1375" s="896">
        <v>2</v>
      </c>
      <c r="P1375" s="897">
        <v>38148</v>
      </c>
      <c r="Q1375" s="898">
        <v>1.5</v>
      </c>
      <c r="R1375" s="899">
        <f t="shared" si="47"/>
        <v>3</v>
      </c>
      <c r="S1375" s="898">
        <v>0.08</v>
      </c>
      <c r="T1375" s="900">
        <f t="shared" si="48"/>
        <v>0.16</v>
      </c>
    </row>
    <row r="1376" spans="1:41" s="893" customFormat="1" ht="13.2">
      <c r="A1376">
        <v>10</v>
      </c>
      <c r="B1376" s="893" t="s">
        <v>141</v>
      </c>
      <c r="D1376" s="893" t="s">
        <v>753</v>
      </c>
      <c r="G1376" s="894" t="s">
        <v>754</v>
      </c>
      <c r="H1376" s="895">
        <v>620</v>
      </c>
      <c r="I1376" s="893" t="s">
        <v>676</v>
      </c>
      <c r="O1376" s="896">
        <v>2</v>
      </c>
      <c r="P1376" s="897">
        <v>34669</v>
      </c>
      <c r="Q1376" s="898">
        <v>0.14000000000000001</v>
      </c>
      <c r="R1376" s="899">
        <f t="shared" si="47"/>
        <v>1.4000000000000001</v>
      </c>
      <c r="S1376" s="898">
        <v>0.06</v>
      </c>
      <c r="T1376" s="900">
        <f t="shared" si="48"/>
        <v>0.6</v>
      </c>
    </row>
    <row r="1377" spans="1:41" s="893" customFormat="1" ht="13.2">
      <c r="A1377">
        <v>1</v>
      </c>
      <c r="B1377" s="893" t="s">
        <v>141</v>
      </c>
      <c r="D1377" s="893" t="s">
        <v>658</v>
      </c>
      <c r="F1377" s="893" t="s">
        <v>748</v>
      </c>
      <c r="G1377" s="894" t="s">
        <v>659</v>
      </c>
      <c r="H1377" s="895">
        <v>900</v>
      </c>
      <c r="I1377" s="893" t="s">
        <v>660</v>
      </c>
      <c r="O1377" s="896">
        <v>1</v>
      </c>
      <c r="P1377" s="897"/>
      <c r="Q1377" s="898"/>
      <c r="R1377" s="899">
        <f>$A1377*Q1377</f>
        <v>0</v>
      </c>
      <c r="S1377" s="898">
        <v>0.5</v>
      </c>
      <c r="T1377" s="900">
        <f>$A1377*S1377*$T$1</f>
        <v>0.5</v>
      </c>
    </row>
    <row r="1378" spans="1:41" s="893" customFormat="1" ht="13.2">
      <c r="A1378">
        <v>1</v>
      </c>
      <c r="B1378" s="893" t="s">
        <v>141</v>
      </c>
      <c r="D1378" s="893" t="s">
        <v>658</v>
      </c>
      <c r="F1378" s="893" t="s">
        <v>757</v>
      </c>
      <c r="G1378" s="894" t="s">
        <v>659</v>
      </c>
      <c r="H1378" s="895">
        <v>900</v>
      </c>
      <c r="I1378" s="893" t="s">
        <v>660</v>
      </c>
      <c r="O1378" s="896">
        <v>1</v>
      </c>
      <c r="P1378" s="897"/>
      <c r="Q1378" s="898"/>
      <c r="R1378" s="899">
        <f>$A1378*Q1378</f>
        <v>0</v>
      </c>
      <c r="S1378" s="898">
        <v>0.25</v>
      </c>
      <c r="T1378" s="900">
        <f>$A1378*S1378*$T$1</f>
        <v>0.25</v>
      </c>
    </row>
    <row r="1379" spans="1:41" s="501" customFormat="1" ht="14.4" customHeight="1">
      <c r="A1379" s="767"/>
      <c r="B1379" s="567"/>
      <c r="C1379" s="567"/>
      <c r="D1379" s="567"/>
      <c r="E1379" s="567"/>
      <c r="F1379" s="567"/>
      <c r="G1379" s="567"/>
      <c r="H1379" s="764"/>
      <c r="I1379" s="567"/>
      <c r="J1379" s="45"/>
      <c r="K1379" s="769"/>
      <c r="L1379" s="770"/>
      <c r="M1379" s="567"/>
      <c r="N1379" s="567"/>
      <c r="O1379" s="45"/>
      <c r="P1379" s="567"/>
      <c r="Q1379" s="567"/>
      <c r="R1379" s="771">
        <f>$A1379*Q1379</f>
        <v>0</v>
      </c>
      <c r="S1379" s="567"/>
      <c r="T1379" s="500">
        <f>$A1379*S1379*$T$1</f>
        <v>0</v>
      </c>
    </row>
    <row r="1380" spans="1:41" s="501" customFormat="1" ht="12">
      <c r="A1380" s="772" t="s">
        <v>145</v>
      </c>
      <c r="B1380" s="773">
        <f>(R1379+T1379)</f>
        <v>0</v>
      </c>
      <c r="C1380" s="753"/>
      <c r="G1380" s="774"/>
      <c r="H1380" s="774"/>
      <c r="I1380" s="774"/>
      <c r="J1380" s="774"/>
      <c r="K1380" s="750" t="s">
        <v>3</v>
      </c>
      <c r="L1380" s="775" t="s">
        <v>573</v>
      </c>
      <c r="M1380" s="774"/>
      <c r="N1380" s="774"/>
      <c r="O1380" s="774"/>
      <c r="P1380" s="774"/>
      <c r="Q1380" s="776"/>
      <c r="R1380" s="777">
        <f>SUM(R1370:R1379)</f>
        <v>51.219999999999992</v>
      </c>
      <c r="S1380" s="778"/>
      <c r="T1380" s="777">
        <f>SUM(T1370:T1379)</f>
        <v>2.61</v>
      </c>
      <c r="AG1380" s="779">
        <f>ROUND($R1380*$S$2,2)</f>
        <v>69.150000000000006</v>
      </c>
    </row>
    <row r="1381" spans="1:41" s="501" customFormat="1" ht="12" customHeight="1">
      <c r="A1381" s="760"/>
      <c r="B1381" s="780"/>
      <c r="C1381" s="781"/>
      <c r="D1381" s="782" t="str">
        <f>$F$3</f>
        <v>Technician</v>
      </c>
      <c r="E1381" s="782">
        <f>ROUND(($R1385*$S$3 + ($T1385*$T$3)), 2)</f>
        <v>0</v>
      </c>
      <c r="F1381" s="783">
        <f>$E1381*$C$12</f>
        <v>0</v>
      </c>
      <c r="G1381" s="499"/>
      <c r="H1381" s="499"/>
      <c r="I1381" s="499"/>
      <c r="J1381" s="499"/>
      <c r="K1381" s="765" t="s">
        <v>5</v>
      </c>
      <c r="L1381" s="766" t="s">
        <v>573</v>
      </c>
      <c r="M1381" s="499"/>
      <c r="N1381" s="499"/>
      <c r="O1381" s="499"/>
      <c r="P1381" s="499"/>
      <c r="Q1381" s="499"/>
      <c r="R1381" s="784"/>
      <c r="S1381" s="499"/>
      <c r="T1381" s="784"/>
    </row>
    <row r="1382" spans="1:41" s="797" customFormat="1" ht="15.6" customHeight="1">
      <c r="A1382" s="785"/>
      <c r="B1382" s="768" t="s">
        <v>575</v>
      </c>
      <c r="C1382" s="786"/>
      <c r="D1382" s="787"/>
      <c r="E1382" s="787"/>
      <c r="F1382" s="787"/>
      <c r="G1382" s="788"/>
      <c r="H1382" s="789"/>
      <c r="I1382" s="789"/>
      <c r="J1382" s="790"/>
      <c r="K1382" s="791"/>
      <c r="L1382" s="786"/>
      <c r="M1382" s="792"/>
      <c r="N1382" s="793"/>
      <c r="O1382" s="794"/>
      <c r="P1382" s="795"/>
      <c r="Q1382" s="796"/>
      <c r="R1382" s="771">
        <f>$A1382*Q1382</f>
        <v>0</v>
      </c>
      <c r="S1382" s="567"/>
      <c r="T1382" s="500">
        <f>$A1382*S1382*$T$1</f>
        <v>0</v>
      </c>
    </row>
    <row r="1383" spans="1:41" s="501" customFormat="1" ht="15.6" customHeight="1">
      <c r="A1383" s="767"/>
      <c r="B1383" s="567"/>
      <c r="C1383" s="567"/>
      <c r="D1383" s="567"/>
      <c r="E1383" s="567"/>
      <c r="F1383" s="567"/>
      <c r="G1383" s="567"/>
      <c r="H1383" s="567"/>
      <c r="I1383" s="567"/>
      <c r="J1383" s="567"/>
      <c r="K1383" s="567"/>
      <c r="L1383" s="770"/>
      <c r="M1383" s="567"/>
      <c r="N1383" s="567"/>
      <c r="O1383" s="567"/>
      <c r="P1383" s="567"/>
      <c r="Q1383" s="567"/>
      <c r="R1383" s="771">
        <f>$A1383*Q1383</f>
        <v>0</v>
      </c>
      <c r="S1383" s="567"/>
      <c r="T1383" s="500">
        <f>$A1383*S1383*$T$1</f>
        <v>0</v>
      </c>
    </row>
    <row r="1384" spans="1:41" s="501" customFormat="1" ht="15.6" customHeight="1">
      <c r="A1384" s="767"/>
      <c r="B1384" s="567"/>
      <c r="C1384" s="567"/>
      <c r="D1384" s="3"/>
      <c r="E1384" s="567"/>
      <c r="F1384" s="567"/>
      <c r="G1384" s="567"/>
      <c r="H1384" s="567"/>
      <c r="I1384" s="567"/>
      <c r="J1384" s="567"/>
      <c r="K1384" s="567"/>
      <c r="L1384" s="770"/>
      <c r="M1384" s="567"/>
      <c r="N1384" s="567"/>
      <c r="O1384" s="567"/>
      <c r="P1384" s="567"/>
      <c r="Q1384" s="567"/>
      <c r="R1384" s="771">
        <f>$A1384*Q1384</f>
        <v>0</v>
      </c>
      <c r="S1384" s="567"/>
      <c r="T1384" s="500">
        <f>$A1384*S1384*$T$1</f>
        <v>0</v>
      </c>
    </row>
    <row r="1385" spans="1:41" s="501" customFormat="1" ht="12">
      <c r="A1385" s="772" t="s">
        <v>145</v>
      </c>
      <c r="B1385" s="773">
        <f>(R1384+T1384)</f>
        <v>0</v>
      </c>
      <c r="C1385" s="753"/>
      <c r="G1385" s="774"/>
      <c r="H1385" s="774"/>
      <c r="I1385" s="774"/>
      <c r="J1385" s="774"/>
      <c r="K1385" s="798" t="s">
        <v>5</v>
      </c>
      <c r="L1385" s="775" t="s">
        <v>573</v>
      </c>
      <c r="M1385" s="774"/>
      <c r="N1385" s="774"/>
      <c r="O1385" s="774"/>
      <c r="P1385" s="774"/>
      <c r="Q1385" s="776"/>
      <c r="R1385" s="777">
        <f>SUM(R1381:R1384)</f>
        <v>0</v>
      </c>
      <c r="S1385" s="778"/>
      <c r="T1385" s="777">
        <f>SUM(T1381:T1384)</f>
        <v>0</v>
      </c>
      <c r="AG1385" s="799">
        <f>ROUND($R1385*$S$3,2)</f>
        <v>0</v>
      </c>
    </row>
    <row r="1386" spans="1:41" s="501" customFormat="1" ht="12" customHeight="1">
      <c r="A1386" s="800"/>
      <c r="B1386" s="801"/>
      <c r="C1386" s="802"/>
      <c r="D1386" s="803" t="str">
        <f>$F$4</f>
        <v>Engineer (Man Hours)</v>
      </c>
      <c r="E1386" s="803">
        <f>ROUND(($R1390*$S$4 + ($T1390*$T$4)), 2)</f>
        <v>0</v>
      </c>
      <c r="F1386" s="804">
        <f ca="1">$F1367-SUMIF($L1369:$P1383,"SUBI",$F1369:$F1383)</f>
        <v>0</v>
      </c>
      <c r="G1386" s="499"/>
      <c r="H1386" s="499"/>
      <c r="I1386" s="499"/>
      <c r="J1386" s="499"/>
      <c r="K1386" s="805" t="s">
        <v>8</v>
      </c>
      <c r="L1386" s="766" t="s">
        <v>573</v>
      </c>
      <c r="M1386" s="499"/>
      <c r="N1386" s="499"/>
      <c r="O1386" s="499"/>
      <c r="P1386" s="499"/>
      <c r="Q1386" s="499"/>
      <c r="R1386" s="784"/>
      <c r="S1386" s="499"/>
      <c r="T1386" s="784"/>
    </row>
    <row r="1387" spans="1:41" s="797" customFormat="1" ht="14.4" customHeight="1">
      <c r="A1387" s="785"/>
      <c r="B1387" s="768" t="s">
        <v>576</v>
      </c>
      <c r="C1387" s="786"/>
      <c r="D1387" s="787"/>
      <c r="E1387" s="787"/>
      <c r="F1387" s="787"/>
      <c r="G1387" s="788"/>
      <c r="H1387" s="789"/>
      <c r="I1387" s="789"/>
      <c r="J1387" s="790"/>
      <c r="K1387" s="791"/>
      <c r="L1387" s="786"/>
      <c r="M1387" s="792"/>
      <c r="N1387" s="793"/>
      <c r="O1387" s="806"/>
      <c r="P1387" s="795"/>
      <c r="Q1387" s="796"/>
      <c r="R1387" s="720">
        <f>$A1387*Q1387</f>
        <v>0</v>
      </c>
      <c r="S1387" s="796"/>
      <c r="T1387" s="500">
        <f>$A1387*S1387*$T$1</f>
        <v>0</v>
      </c>
    </row>
    <row r="1388" spans="1:41" s="501" customFormat="1" ht="12">
      <c r="A1388" s="44"/>
      <c r="B1388" s="497"/>
      <c r="C1388" s="497"/>
      <c r="D1388" s="807"/>
      <c r="E1388" s="808"/>
      <c r="F1388" s="499"/>
      <c r="G1388" s="499"/>
      <c r="H1388" s="499"/>
      <c r="I1388" s="499"/>
      <c r="J1388" s="499"/>
      <c r="K1388" s="499"/>
      <c r="L1388" s="809"/>
      <c r="M1388" s="499"/>
      <c r="N1388" s="499"/>
      <c r="O1388" s="499"/>
      <c r="P1388" s="499"/>
      <c r="Q1388" s="499"/>
      <c r="R1388" s="720">
        <f>$A1388*Q1388</f>
        <v>0</v>
      </c>
      <c r="S1388" s="499"/>
      <c r="T1388" s="500">
        <f>$A1388*S1388*$T$1</f>
        <v>0</v>
      </c>
    </row>
    <row r="1389" spans="1:41" s="501" customFormat="1" ht="12">
      <c r="A1389" s="44"/>
      <c r="B1389" s="497"/>
      <c r="C1389" s="497"/>
      <c r="D1389" s="807"/>
      <c r="E1389" s="808"/>
      <c r="F1389" s="499"/>
      <c r="G1389" s="499"/>
      <c r="H1389" s="499"/>
      <c r="I1389" s="499"/>
      <c r="J1389" s="499"/>
      <c r="K1389" s="499"/>
      <c r="L1389" s="809"/>
      <c r="M1389" s="499"/>
      <c r="N1389" s="499"/>
      <c r="O1389" s="499"/>
      <c r="P1389" s="499"/>
      <c r="Q1389" s="499"/>
      <c r="R1389" s="720">
        <f>$A1389*Q1389</f>
        <v>0</v>
      </c>
      <c r="S1389" s="499"/>
      <c r="T1389" s="500">
        <f>$A1389*S1389*$T$1</f>
        <v>0</v>
      </c>
    </row>
    <row r="1390" spans="1:41" s="501" customFormat="1" ht="12.75" customHeight="1">
      <c r="A1390" s="772" t="s">
        <v>145</v>
      </c>
      <c r="B1390" s="773">
        <f>(R1389+T1389)</f>
        <v>0</v>
      </c>
      <c r="C1390" s="810"/>
      <c r="D1390" s="810"/>
      <c r="E1390" s="810"/>
      <c r="F1390" s="810"/>
      <c r="G1390" s="776"/>
      <c r="H1390" s="776"/>
      <c r="I1390" s="776"/>
      <c r="J1390" s="776"/>
      <c r="K1390" s="798" t="s">
        <v>8</v>
      </c>
      <c r="L1390" s="811" t="s">
        <v>573</v>
      </c>
      <c r="M1390" s="776"/>
      <c r="N1390" s="776"/>
      <c r="O1390" s="776"/>
      <c r="P1390" s="776"/>
      <c r="Q1390" s="776"/>
      <c r="R1390" s="777">
        <f>SUM(R1386:R1389)</f>
        <v>0</v>
      </c>
      <c r="S1390" s="778"/>
      <c r="T1390" s="777">
        <f>SUM(T1386:T1389)</f>
        <v>0</v>
      </c>
      <c r="AG1390" s="812">
        <f>ROUND($R1390*$S$4,2)</f>
        <v>0</v>
      </c>
    </row>
    <row r="1391" spans="1:41" s="501" customFormat="1" ht="12.75" customHeight="1">
      <c r="A1391" s="813"/>
      <c r="B1391" s="814"/>
      <c r="E1391" s="497"/>
      <c r="F1391" s="808"/>
      <c r="G1391" s="497"/>
      <c r="H1391" s="497"/>
      <c r="I1391" s="499"/>
      <c r="J1391" s="497"/>
      <c r="K1391" s="497"/>
      <c r="L1391" s="815"/>
      <c r="M1391" s="725"/>
      <c r="N1391" s="725"/>
      <c r="O1391" s="725"/>
      <c r="P1391" s="725"/>
      <c r="Q1391" s="726"/>
      <c r="R1391" s="784"/>
      <c r="S1391" s="497"/>
      <c r="T1391" s="784"/>
    </row>
    <row r="1392" spans="1:41" s="501" customFormat="1" ht="13.5" customHeight="1" thickBot="1">
      <c r="A1392" s="816"/>
      <c r="B1392" s="817"/>
      <c r="C1392" s="518"/>
      <c r="D1392" s="518"/>
      <c r="E1392" s="515"/>
      <c r="F1392" s="721"/>
      <c r="G1392" s="515" t="s">
        <v>146</v>
      </c>
      <c r="H1392" s="515"/>
      <c r="I1392" s="516"/>
      <c r="J1392" s="515"/>
      <c r="K1392" s="515"/>
      <c r="L1392" s="818" t="s">
        <v>143</v>
      </c>
      <c r="M1392" s="517"/>
      <c r="N1392" s="517"/>
      <c r="O1392" s="517"/>
      <c r="P1392" s="517"/>
      <c r="Q1392" s="722"/>
      <c r="R1392" s="819">
        <f>SUMIF($L1368:$L1391,"SUBI",R1368:R1391)</f>
        <v>51.219999999999992</v>
      </c>
      <c r="S1392" s="820"/>
      <c r="T1392" s="819">
        <f>SUMIF($L1368:$L1391,"SUBI",T1368:T1391)</f>
        <v>2.61</v>
      </c>
      <c r="U1392" s="518"/>
      <c r="V1392" s="518"/>
      <c r="W1392" s="518"/>
      <c r="X1392" s="518"/>
      <c r="Y1392" s="518"/>
      <c r="Z1392" s="518"/>
      <c r="AA1392" s="518"/>
      <c r="AB1392" s="518"/>
      <c r="AC1392" s="518"/>
      <c r="AD1392" s="518"/>
      <c r="AE1392" s="518"/>
      <c r="AF1392" s="518"/>
      <c r="AG1392" s="518"/>
      <c r="AH1392" s="518"/>
      <c r="AI1392" s="518"/>
      <c r="AJ1392" s="518"/>
      <c r="AK1392" s="518"/>
      <c r="AL1392" s="518"/>
      <c r="AM1392" s="518"/>
      <c r="AN1392" s="518"/>
      <c r="AO1392" s="518"/>
    </row>
    <row r="1393" spans="1:41" s="501" customFormat="1" thickTop="1">
      <c r="A1393" s="44"/>
      <c r="B1393" s="39"/>
      <c r="C1393" s="44"/>
      <c r="E1393" s="40" t="s">
        <v>138</v>
      </c>
      <c r="F1393" s="40" t="s">
        <v>139</v>
      </c>
      <c r="G1393" s="44"/>
      <c r="H1393" s="44"/>
      <c r="I1393" s="44"/>
      <c r="J1393" s="44"/>
      <c r="K1393" s="44" t="s">
        <v>140</v>
      </c>
      <c r="L1393" s="737"/>
      <c r="M1393" s="44"/>
      <c r="N1393" s="44"/>
      <c r="O1393" s="45"/>
      <c r="P1393" s="44"/>
      <c r="Q1393"/>
      <c r="R1393"/>
      <c r="S1393"/>
      <c r="T1393" s="39"/>
      <c r="AG1393" s="502" t="s">
        <v>247</v>
      </c>
      <c r="AH1393" s="502" t="s">
        <v>248</v>
      </c>
      <c r="AI1393" s="502" t="s">
        <v>249</v>
      </c>
      <c r="AJ1393" s="502" t="s">
        <v>250</v>
      </c>
      <c r="AK1393" s="502" t="s">
        <v>251</v>
      </c>
      <c r="AM1393" s="710" t="s">
        <v>260</v>
      </c>
      <c r="AN1393" s="711" t="s">
        <v>261</v>
      </c>
      <c r="AO1393" s="503" t="s">
        <v>257</v>
      </c>
    </row>
    <row r="1394" spans="1:41" s="501" customFormat="1" ht="13.2">
      <c r="A1394" s="712">
        <v>1</v>
      </c>
      <c r="B1394" s="504" t="s">
        <v>283</v>
      </c>
      <c r="C1394" s="505"/>
      <c r="D1394" s="713" t="s">
        <v>592</v>
      </c>
      <c r="E1394" s="738">
        <f>IF(AND($A1394=0,$A$1="DIF"),0,ROUND(ROUND(SUMIF($L1396:$L1413,"SUBI",$E1396:$E1413)/$A1394,2)*$C$12,2))</f>
        <v>152.91</v>
      </c>
      <c r="F1394" s="739">
        <f>ROUND($A1394*$E1394,2)</f>
        <v>152.91</v>
      </c>
      <c r="G1394" s="506" t="s">
        <v>142</v>
      </c>
      <c r="H1394" s="498"/>
      <c r="I1394" s="716"/>
      <c r="J1394" s="498"/>
      <c r="K1394" s="740"/>
      <c r="L1394" s="741" t="s">
        <v>143</v>
      </c>
      <c r="M1394" s="717"/>
      <c r="N1394" s="717"/>
      <c r="O1394" s="717"/>
      <c r="P1394" s="717"/>
      <c r="Q1394" s="943" t="s">
        <v>855</v>
      </c>
      <c r="R1394" s="943" t="s">
        <v>870</v>
      </c>
      <c r="S1394"/>
      <c r="T1394" s="742" t="str">
        <f>IF(AND($R1419=0,$T1419=0),"0.00","mu :" &amp; ROUND($F1394/$C$12/($R1419+$T1419*$D$9),2))</f>
        <v>mu :1.35</v>
      </c>
      <c r="W1394" s="507"/>
      <c r="AG1394" s="743">
        <f>IF(A1394=0,0,ROUND(SUM(AG1396:AG1419)/A1394,2))</f>
        <v>57.27</v>
      </c>
      <c r="AH1394" s="743">
        <f>$AG1394*$A1394</f>
        <v>57.27</v>
      </c>
      <c r="AI1394" s="743">
        <f>$E1394-$AG1394</f>
        <v>95.639999999999986</v>
      </c>
      <c r="AJ1394" s="743">
        <f>$A1394*$AI1394</f>
        <v>95.639999999999986</v>
      </c>
      <c r="AK1394" s="744">
        <f>ROUND(($AG1394+$AI1394)*$A1394,2)</f>
        <v>152.91</v>
      </c>
      <c r="AM1394" s="510">
        <f>ROUND(R1419,2)</f>
        <v>42.42</v>
      </c>
      <c r="AN1394" s="511">
        <f>ROUND(T1419,2)</f>
        <v>2.58</v>
      </c>
      <c r="AO1394" s="512">
        <f>ROUND(AM1394+AN1394,2)*A1394</f>
        <v>45</v>
      </c>
    </row>
    <row r="1395" spans="1:41" s="501" customFormat="1" ht="21.6" customHeight="1">
      <c r="A1395" s="745"/>
      <c r="B1395" s="746"/>
      <c r="C1395" s="505"/>
      <c r="D1395" s="724" t="s">
        <v>415</v>
      </c>
      <c r="F1395" s="498"/>
      <c r="G1395" s="498"/>
      <c r="H1395" s="498"/>
      <c r="I1395" s="716"/>
      <c r="J1395" s="498"/>
      <c r="K1395" s="498" t="s">
        <v>144</v>
      </c>
      <c r="L1395" s="747"/>
      <c r="M1395" s="498"/>
      <c r="N1395" s="498"/>
      <c r="O1395" s="498"/>
      <c r="P1395" s="498"/>
      <c r="Q1395" s="44"/>
      <c r="R1395" s="567"/>
      <c r="S1395" s="719"/>
      <c r="T1395" s="498"/>
    </row>
    <row r="1396" spans="1:41" s="501" customFormat="1" ht="12">
      <c r="A1396" s="748"/>
      <c r="B1396" s="749"/>
      <c r="C1396" s="497"/>
      <c r="D1396" s="750"/>
      <c r="E1396" s="751">
        <f>F1394/$C$12-SUMIF($L1393:$L1419,"SUBI",$E1393:$E1419)</f>
        <v>0</v>
      </c>
      <c r="F1396" s="752" t="s">
        <v>572</v>
      </c>
      <c r="G1396" s="753"/>
      <c r="H1396" s="753"/>
      <c r="I1396" s="754"/>
      <c r="J1396" s="753"/>
      <c r="K1396" s="753"/>
      <c r="L1396" s="755"/>
      <c r="M1396" s="756"/>
      <c r="N1396" s="756"/>
      <c r="O1396" s="756"/>
      <c r="P1396" s="756"/>
      <c r="Q1396" s="757"/>
      <c r="R1396" s="758"/>
      <c r="S1396" s="757"/>
      <c r="T1396" s="759"/>
    </row>
    <row r="1397" spans="1:41" s="501" customFormat="1" ht="12" customHeight="1">
      <c r="A1397" s="760"/>
      <c r="B1397" s="761"/>
      <c r="C1397" s="762"/>
      <c r="D1397" s="762" t="str">
        <f>$F$2</f>
        <v>Electrical</v>
      </c>
      <c r="E1397" s="762">
        <f>ROUND(($R1407*$S$2 + ($T1407*$T$2)), 2)</f>
        <v>152.91</v>
      </c>
      <c r="F1397" s="763">
        <f>$E1397*$C$12</f>
        <v>152.91</v>
      </c>
      <c r="G1397" s="567"/>
      <c r="H1397" s="764"/>
      <c r="I1397" s="567"/>
      <c r="J1397" s="45"/>
      <c r="K1397" s="765" t="s">
        <v>3</v>
      </c>
      <c r="L1397" s="766" t="s">
        <v>573</v>
      </c>
      <c r="M1397" s="567"/>
      <c r="N1397" s="567"/>
      <c r="O1397" s="45"/>
      <c r="P1397" s="567"/>
      <c r="Q1397" s="567"/>
      <c r="R1397"/>
      <c r="S1397"/>
      <c r="T1397"/>
    </row>
    <row r="1398" spans="1:41" s="893" customFormat="1" ht="13.2">
      <c r="A1398"/>
      <c r="D1398" s="944" t="s">
        <v>755</v>
      </c>
      <c r="G1398" s="894" t="s">
        <v>749</v>
      </c>
      <c r="H1398" s="895">
        <v>616</v>
      </c>
      <c r="I1398" s="893" t="s">
        <v>656</v>
      </c>
      <c r="J1398" s="893" t="s">
        <v>750</v>
      </c>
      <c r="O1398" s="896">
        <v>2</v>
      </c>
      <c r="P1398" s="897">
        <v>40767</v>
      </c>
      <c r="Q1398" s="898"/>
      <c r="R1398" s="899">
        <f t="shared" ref="R1398:R1406" si="49">$A1398*Q1398</f>
        <v>0</v>
      </c>
      <c r="S1398" s="898"/>
      <c r="T1398" s="900">
        <f t="shared" ref="T1398:T1406" si="50">$A1398*S1398*$T$1</f>
        <v>0</v>
      </c>
    </row>
    <row r="1399" spans="1:41" s="893" customFormat="1" ht="13.2">
      <c r="A1399">
        <v>3</v>
      </c>
      <c r="B1399" s="893" t="s">
        <v>296</v>
      </c>
      <c r="D1399" s="893" t="s">
        <v>1083</v>
      </c>
      <c r="F1399" s="893" t="s">
        <v>1080</v>
      </c>
      <c r="G1399" s="894" t="s">
        <v>1078</v>
      </c>
      <c r="H1399" s="895">
        <v>616</v>
      </c>
      <c r="I1399" s="893" t="s">
        <v>656</v>
      </c>
      <c r="J1399" s="893" t="s">
        <v>1079</v>
      </c>
      <c r="O1399" s="896">
        <v>2</v>
      </c>
      <c r="P1399" s="897">
        <v>40767</v>
      </c>
      <c r="Q1399" s="898">
        <v>7.15</v>
      </c>
      <c r="R1399" s="899">
        <f t="shared" si="49"/>
        <v>21.450000000000003</v>
      </c>
      <c r="S1399" s="898">
        <v>0.09</v>
      </c>
      <c r="T1399" s="900">
        <f t="shared" si="50"/>
        <v>0.27</v>
      </c>
    </row>
    <row r="1400" spans="1:41" s="893" customFormat="1" ht="13.2">
      <c r="A1400" s="87">
        <v>3</v>
      </c>
      <c r="B1400" s="893" t="s">
        <v>141</v>
      </c>
      <c r="D1400" s="893" t="s">
        <v>743</v>
      </c>
      <c r="G1400" s="894" t="s">
        <v>744</v>
      </c>
      <c r="H1400" s="895">
        <v>875</v>
      </c>
      <c r="I1400" s="893" t="s">
        <v>643</v>
      </c>
      <c r="K1400" s="893" t="s">
        <v>745</v>
      </c>
      <c r="O1400" s="896">
        <v>1</v>
      </c>
      <c r="P1400" s="897">
        <v>34669</v>
      </c>
      <c r="Q1400" s="898">
        <v>0.05</v>
      </c>
      <c r="R1400" s="899">
        <f t="shared" si="49"/>
        <v>0.15000000000000002</v>
      </c>
      <c r="S1400" s="898"/>
      <c r="T1400" s="900">
        <f t="shared" si="50"/>
        <v>0</v>
      </c>
    </row>
    <row r="1401" spans="1:41" s="893" customFormat="1" ht="13.2">
      <c r="A1401">
        <v>2</v>
      </c>
      <c r="B1401" s="893" t="s">
        <v>141</v>
      </c>
      <c r="D1401" s="893" t="s">
        <v>751</v>
      </c>
      <c r="G1401" s="894" t="s">
        <v>752</v>
      </c>
      <c r="H1401" s="895">
        <v>620</v>
      </c>
      <c r="I1401" s="893" t="s">
        <v>671</v>
      </c>
      <c r="O1401" s="896">
        <v>2</v>
      </c>
      <c r="P1401" s="897">
        <v>35431</v>
      </c>
      <c r="Q1401" s="898">
        <v>7.66</v>
      </c>
      <c r="R1401" s="899">
        <f t="shared" si="49"/>
        <v>15.32</v>
      </c>
      <c r="S1401" s="898">
        <v>0.4</v>
      </c>
      <c r="T1401" s="900">
        <f t="shared" si="50"/>
        <v>0.8</v>
      </c>
    </row>
    <row r="1402" spans="1:41" s="893" customFormat="1" ht="13.2">
      <c r="A1402">
        <v>2</v>
      </c>
      <c r="B1402" s="893" t="s">
        <v>296</v>
      </c>
      <c r="D1402" s="893" t="s">
        <v>672</v>
      </c>
      <c r="G1402" s="894" t="s">
        <v>673</v>
      </c>
      <c r="H1402" s="895">
        <v>620</v>
      </c>
      <c r="I1402" s="893" t="s">
        <v>643</v>
      </c>
      <c r="O1402" s="896">
        <v>2</v>
      </c>
      <c r="P1402" s="897">
        <v>38148</v>
      </c>
      <c r="Q1402" s="898">
        <v>1.5</v>
      </c>
      <c r="R1402" s="899">
        <f t="shared" si="49"/>
        <v>3</v>
      </c>
      <c r="S1402" s="898">
        <v>0.08</v>
      </c>
      <c r="T1402" s="900">
        <f t="shared" si="50"/>
        <v>0.16</v>
      </c>
    </row>
    <row r="1403" spans="1:41" s="893" customFormat="1" ht="13.2">
      <c r="A1403">
        <v>10</v>
      </c>
      <c r="B1403" s="893" t="s">
        <v>141</v>
      </c>
      <c r="D1403" s="893" t="s">
        <v>1081</v>
      </c>
      <c r="G1403" s="894" t="s">
        <v>1082</v>
      </c>
      <c r="H1403" s="895">
        <v>620</v>
      </c>
      <c r="I1403" s="893" t="s">
        <v>676</v>
      </c>
      <c r="O1403" s="896">
        <v>2</v>
      </c>
      <c r="P1403" s="897">
        <v>34669</v>
      </c>
      <c r="Q1403" s="902">
        <v>0.25</v>
      </c>
      <c r="R1403" s="899">
        <f t="shared" si="49"/>
        <v>2.5</v>
      </c>
      <c r="S1403" s="898">
        <v>0.06</v>
      </c>
      <c r="T1403" s="900">
        <f t="shared" si="50"/>
        <v>0.6</v>
      </c>
    </row>
    <row r="1404" spans="1:41" s="893" customFormat="1" ht="13.2">
      <c r="A1404">
        <v>1</v>
      </c>
      <c r="B1404" s="893" t="s">
        <v>141</v>
      </c>
      <c r="D1404" s="893" t="s">
        <v>658</v>
      </c>
      <c r="F1404" s="893" t="s">
        <v>748</v>
      </c>
      <c r="G1404" s="894" t="s">
        <v>659</v>
      </c>
      <c r="H1404" s="895">
        <v>900</v>
      </c>
      <c r="I1404" s="893" t="s">
        <v>660</v>
      </c>
      <c r="O1404" s="896">
        <v>1</v>
      </c>
      <c r="P1404" s="897"/>
      <c r="Q1404" s="898"/>
      <c r="R1404" s="899">
        <f t="shared" si="49"/>
        <v>0</v>
      </c>
      <c r="S1404" s="898">
        <v>0.5</v>
      </c>
      <c r="T1404" s="900">
        <f t="shared" si="50"/>
        <v>0.5</v>
      </c>
    </row>
    <row r="1405" spans="1:41" s="893" customFormat="1" ht="13.2">
      <c r="A1405">
        <v>1</v>
      </c>
      <c r="B1405" s="893" t="s">
        <v>141</v>
      </c>
      <c r="D1405" s="893" t="s">
        <v>658</v>
      </c>
      <c r="F1405" s="893" t="s">
        <v>757</v>
      </c>
      <c r="G1405" s="894" t="s">
        <v>659</v>
      </c>
      <c r="H1405" s="895">
        <v>900</v>
      </c>
      <c r="I1405" s="893" t="s">
        <v>660</v>
      </c>
      <c r="O1405" s="896">
        <v>1</v>
      </c>
      <c r="P1405" s="897"/>
      <c r="Q1405" s="898"/>
      <c r="R1405" s="899">
        <f t="shared" si="49"/>
        <v>0</v>
      </c>
      <c r="S1405" s="898">
        <v>0.25</v>
      </c>
      <c r="T1405" s="900">
        <f t="shared" si="50"/>
        <v>0.25</v>
      </c>
    </row>
    <row r="1406" spans="1:41" s="501" customFormat="1" ht="14.4" customHeight="1">
      <c r="A1406" s="767"/>
      <c r="B1406" s="567"/>
      <c r="C1406" s="567"/>
      <c r="D1406" s="567"/>
      <c r="E1406" s="567"/>
      <c r="F1406" s="567"/>
      <c r="G1406" s="567"/>
      <c r="H1406" s="764"/>
      <c r="I1406" s="567"/>
      <c r="J1406" s="45"/>
      <c r="K1406" s="769"/>
      <c r="L1406" s="770"/>
      <c r="M1406" s="567"/>
      <c r="N1406" s="567"/>
      <c r="O1406" s="45"/>
      <c r="P1406" s="567"/>
      <c r="Q1406" s="567"/>
      <c r="R1406" s="771">
        <f t="shared" si="49"/>
        <v>0</v>
      </c>
      <c r="S1406" s="567"/>
      <c r="T1406" s="500">
        <f t="shared" si="50"/>
        <v>0</v>
      </c>
    </row>
    <row r="1407" spans="1:41" s="501" customFormat="1" ht="12">
      <c r="A1407" s="772" t="s">
        <v>145</v>
      </c>
      <c r="B1407" s="773">
        <f>(R1406+T1406)</f>
        <v>0</v>
      </c>
      <c r="C1407" s="753"/>
      <c r="G1407" s="774"/>
      <c r="H1407" s="774"/>
      <c r="I1407" s="774"/>
      <c r="J1407" s="774"/>
      <c r="K1407" s="750" t="s">
        <v>3</v>
      </c>
      <c r="L1407" s="775" t="s">
        <v>573</v>
      </c>
      <c r="M1407" s="774"/>
      <c r="N1407" s="774"/>
      <c r="O1407" s="774"/>
      <c r="P1407" s="774"/>
      <c r="Q1407" s="776"/>
      <c r="R1407" s="777">
        <f>SUM(R1397:R1406)</f>
        <v>42.42</v>
      </c>
      <c r="S1407" s="778"/>
      <c r="T1407" s="777">
        <f>SUM(T1397:T1406)</f>
        <v>2.58</v>
      </c>
      <c r="AG1407" s="779">
        <f>ROUND($R1407*$S$2,2)</f>
        <v>57.27</v>
      </c>
    </row>
    <row r="1408" spans="1:41" s="501" customFormat="1" ht="12" customHeight="1">
      <c r="A1408" s="760"/>
      <c r="B1408" s="780"/>
      <c r="C1408" s="781"/>
      <c r="D1408" s="782" t="str">
        <f>$F$3</f>
        <v>Technician</v>
      </c>
      <c r="E1408" s="782">
        <f>ROUND(($R1412*$S$3 + ($T1412*$T$3)), 2)</f>
        <v>0</v>
      </c>
      <c r="F1408" s="783">
        <f>$E1408*$C$12</f>
        <v>0</v>
      </c>
      <c r="G1408" s="499"/>
      <c r="H1408" s="499"/>
      <c r="I1408" s="499"/>
      <c r="J1408" s="499"/>
      <c r="K1408" s="765" t="s">
        <v>5</v>
      </c>
      <c r="L1408" s="766" t="s">
        <v>573</v>
      </c>
      <c r="M1408" s="499"/>
      <c r="N1408" s="499"/>
      <c r="O1408" s="499"/>
      <c r="P1408" s="499"/>
      <c r="Q1408" s="499"/>
      <c r="R1408" s="784"/>
      <c r="S1408" s="499"/>
      <c r="T1408" s="784"/>
    </row>
    <row r="1409" spans="1:41" s="797" customFormat="1" ht="15.6" customHeight="1">
      <c r="A1409" s="785"/>
      <c r="B1409" s="768" t="s">
        <v>575</v>
      </c>
      <c r="C1409" s="786"/>
      <c r="D1409" s="787"/>
      <c r="E1409" s="787"/>
      <c r="F1409" s="787"/>
      <c r="G1409" s="788"/>
      <c r="H1409" s="789"/>
      <c r="I1409" s="789"/>
      <c r="J1409" s="790"/>
      <c r="K1409" s="791"/>
      <c r="L1409" s="786"/>
      <c r="M1409" s="792"/>
      <c r="N1409" s="793"/>
      <c r="O1409" s="794"/>
      <c r="P1409" s="795"/>
      <c r="Q1409" s="796"/>
      <c r="R1409" s="771">
        <f>$A1409*Q1409</f>
        <v>0</v>
      </c>
      <c r="S1409" s="567"/>
      <c r="T1409" s="500">
        <f>$A1409*S1409*$T$1</f>
        <v>0</v>
      </c>
    </row>
    <row r="1410" spans="1:41" s="501" customFormat="1" ht="15.6" customHeight="1">
      <c r="A1410" s="767"/>
      <c r="B1410" s="567"/>
      <c r="C1410" s="567"/>
      <c r="D1410" s="567"/>
      <c r="E1410" s="567"/>
      <c r="F1410" s="567"/>
      <c r="G1410" s="567"/>
      <c r="H1410" s="567"/>
      <c r="I1410" s="567"/>
      <c r="J1410" s="567"/>
      <c r="K1410" s="567"/>
      <c r="L1410" s="770"/>
      <c r="M1410" s="567"/>
      <c r="N1410" s="567"/>
      <c r="O1410" s="567"/>
      <c r="P1410" s="567"/>
      <c r="Q1410" s="567"/>
      <c r="R1410" s="771">
        <f>$A1410*Q1410</f>
        <v>0</v>
      </c>
      <c r="S1410" s="567"/>
      <c r="T1410" s="500">
        <f>$A1410*S1410*$T$1</f>
        <v>0</v>
      </c>
    </row>
    <row r="1411" spans="1:41" s="501" customFormat="1" ht="15.6" customHeight="1">
      <c r="A1411" s="767"/>
      <c r="B1411" s="567"/>
      <c r="C1411" s="567"/>
      <c r="D1411" s="3"/>
      <c r="E1411" s="567"/>
      <c r="F1411" s="567"/>
      <c r="G1411" s="567"/>
      <c r="H1411" s="567"/>
      <c r="I1411" s="567"/>
      <c r="J1411" s="567"/>
      <c r="K1411" s="567"/>
      <c r="L1411" s="770"/>
      <c r="M1411" s="567"/>
      <c r="N1411" s="567"/>
      <c r="O1411" s="567"/>
      <c r="P1411" s="567"/>
      <c r="Q1411" s="567"/>
      <c r="R1411" s="771">
        <f>$A1411*Q1411</f>
        <v>0</v>
      </c>
      <c r="S1411" s="567"/>
      <c r="T1411" s="500">
        <f>$A1411*S1411*$T$1</f>
        <v>0</v>
      </c>
    </row>
    <row r="1412" spans="1:41" s="501" customFormat="1" ht="12">
      <c r="A1412" s="772" t="s">
        <v>145</v>
      </c>
      <c r="B1412" s="773">
        <f>(R1411+T1411)</f>
        <v>0</v>
      </c>
      <c r="C1412" s="753"/>
      <c r="G1412" s="774"/>
      <c r="H1412" s="774"/>
      <c r="I1412" s="774"/>
      <c r="J1412" s="774"/>
      <c r="K1412" s="798" t="s">
        <v>5</v>
      </c>
      <c r="L1412" s="775" t="s">
        <v>573</v>
      </c>
      <c r="M1412" s="774"/>
      <c r="N1412" s="774"/>
      <c r="O1412" s="774"/>
      <c r="P1412" s="774"/>
      <c r="Q1412" s="776"/>
      <c r="R1412" s="777">
        <f>SUM(R1408:R1411)</f>
        <v>0</v>
      </c>
      <c r="S1412" s="778"/>
      <c r="T1412" s="777">
        <f>SUM(T1408:T1411)</f>
        <v>0</v>
      </c>
      <c r="AG1412" s="799">
        <f>ROUND($R1412*$S$3,2)</f>
        <v>0</v>
      </c>
    </row>
    <row r="1413" spans="1:41" s="501" customFormat="1" ht="12" customHeight="1">
      <c r="A1413" s="800"/>
      <c r="B1413" s="801"/>
      <c r="C1413" s="802"/>
      <c r="D1413" s="803" t="str">
        <f>$F$4</f>
        <v>Engineer (Man Hours)</v>
      </c>
      <c r="E1413" s="803">
        <f>ROUND(($R1417*$S$4 + ($T1417*$T$4)), 2)</f>
        <v>0</v>
      </c>
      <c r="F1413" s="804">
        <f ca="1">$F1394-SUMIF($L1396:$P1410,"SUBI",$F1396:$F1410)</f>
        <v>0</v>
      </c>
      <c r="G1413" s="499"/>
      <c r="H1413" s="499"/>
      <c r="I1413" s="499"/>
      <c r="J1413" s="499"/>
      <c r="K1413" s="805" t="s">
        <v>8</v>
      </c>
      <c r="L1413" s="766" t="s">
        <v>573</v>
      </c>
      <c r="M1413" s="499"/>
      <c r="N1413" s="499"/>
      <c r="O1413" s="499"/>
      <c r="P1413" s="499"/>
      <c r="Q1413" s="499"/>
      <c r="R1413" s="784"/>
      <c r="S1413" s="499"/>
      <c r="T1413" s="784"/>
    </row>
    <row r="1414" spans="1:41" s="797" customFormat="1" ht="14.4" customHeight="1">
      <c r="A1414" s="785"/>
      <c r="B1414" s="768" t="s">
        <v>576</v>
      </c>
      <c r="C1414" s="786"/>
      <c r="D1414" s="787"/>
      <c r="E1414" s="787"/>
      <c r="F1414" s="787"/>
      <c r="G1414" s="788"/>
      <c r="H1414" s="789"/>
      <c r="I1414" s="789"/>
      <c r="J1414" s="790"/>
      <c r="K1414" s="791"/>
      <c r="L1414" s="786"/>
      <c r="M1414" s="792"/>
      <c r="N1414" s="793"/>
      <c r="O1414" s="806"/>
      <c r="P1414" s="795"/>
      <c r="Q1414" s="796"/>
      <c r="R1414" s="720">
        <f>$A1414*Q1414</f>
        <v>0</v>
      </c>
      <c r="S1414" s="796"/>
      <c r="T1414" s="500">
        <f>$A1414*S1414*$T$1</f>
        <v>0</v>
      </c>
    </row>
    <row r="1415" spans="1:41" s="501" customFormat="1" ht="12">
      <c r="A1415" s="44"/>
      <c r="B1415" s="497"/>
      <c r="C1415" s="497"/>
      <c r="D1415" s="807"/>
      <c r="E1415" s="808"/>
      <c r="F1415" s="499"/>
      <c r="G1415" s="499"/>
      <c r="H1415" s="499"/>
      <c r="I1415" s="499"/>
      <c r="J1415" s="499"/>
      <c r="K1415" s="499"/>
      <c r="L1415" s="809"/>
      <c r="M1415" s="499"/>
      <c r="N1415" s="499"/>
      <c r="O1415" s="499"/>
      <c r="P1415" s="499"/>
      <c r="Q1415" s="499"/>
      <c r="R1415" s="720">
        <f>$A1415*Q1415</f>
        <v>0</v>
      </c>
      <c r="S1415" s="499"/>
      <c r="T1415" s="500">
        <f>$A1415*S1415*$T$1</f>
        <v>0</v>
      </c>
    </row>
    <row r="1416" spans="1:41" s="501" customFormat="1" ht="12">
      <c r="A1416" s="44"/>
      <c r="B1416" s="497"/>
      <c r="C1416" s="497"/>
      <c r="D1416" s="807"/>
      <c r="E1416" s="808"/>
      <c r="F1416" s="499"/>
      <c r="G1416" s="499"/>
      <c r="H1416" s="499"/>
      <c r="I1416" s="499"/>
      <c r="J1416" s="499"/>
      <c r="K1416" s="499"/>
      <c r="L1416" s="809"/>
      <c r="M1416" s="499"/>
      <c r="N1416" s="499"/>
      <c r="O1416" s="499"/>
      <c r="P1416" s="499"/>
      <c r="Q1416" s="499"/>
      <c r="R1416" s="720">
        <f>$A1416*Q1416</f>
        <v>0</v>
      </c>
      <c r="S1416" s="499"/>
      <c r="T1416" s="500">
        <f>$A1416*S1416*$T$1</f>
        <v>0</v>
      </c>
    </row>
    <row r="1417" spans="1:41" s="501" customFormat="1" ht="12.75" customHeight="1">
      <c r="A1417" s="772" t="s">
        <v>145</v>
      </c>
      <c r="B1417" s="773">
        <f>(R1416+T1416)</f>
        <v>0</v>
      </c>
      <c r="C1417" s="810"/>
      <c r="D1417" s="810"/>
      <c r="E1417" s="810"/>
      <c r="F1417" s="810"/>
      <c r="G1417" s="776"/>
      <c r="H1417" s="776"/>
      <c r="I1417" s="776"/>
      <c r="J1417" s="776"/>
      <c r="K1417" s="798" t="s">
        <v>8</v>
      </c>
      <c r="L1417" s="811" t="s">
        <v>573</v>
      </c>
      <c r="M1417" s="776"/>
      <c r="N1417" s="776"/>
      <c r="O1417" s="776"/>
      <c r="P1417" s="776"/>
      <c r="Q1417" s="776"/>
      <c r="R1417" s="777">
        <f>SUM(R1413:R1416)</f>
        <v>0</v>
      </c>
      <c r="S1417" s="778"/>
      <c r="T1417" s="777">
        <f>SUM(T1413:T1416)</f>
        <v>0</v>
      </c>
      <c r="AG1417" s="812">
        <f>ROUND($R1417*$S$4,2)</f>
        <v>0</v>
      </c>
    </row>
    <row r="1418" spans="1:41" s="501" customFormat="1" ht="12.75" customHeight="1">
      <c r="A1418" s="813"/>
      <c r="B1418" s="814"/>
      <c r="E1418" s="497"/>
      <c r="F1418" s="808"/>
      <c r="G1418" s="497"/>
      <c r="H1418" s="497"/>
      <c r="I1418" s="499"/>
      <c r="J1418" s="497"/>
      <c r="K1418" s="497"/>
      <c r="L1418" s="815"/>
      <c r="M1418" s="725"/>
      <c r="N1418" s="725"/>
      <c r="O1418" s="725"/>
      <c r="P1418" s="725"/>
      <c r="Q1418" s="726"/>
      <c r="R1418" s="784"/>
      <c r="S1418" s="497"/>
      <c r="T1418" s="784"/>
    </row>
    <row r="1419" spans="1:41" s="501" customFormat="1" ht="13.5" customHeight="1" thickBot="1">
      <c r="A1419" s="816"/>
      <c r="B1419" s="817"/>
      <c r="C1419" s="518"/>
      <c r="D1419" s="518"/>
      <c r="E1419" s="515"/>
      <c r="F1419" s="721"/>
      <c r="G1419" s="515" t="s">
        <v>146</v>
      </c>
      <c r="H1419" s="515"/>
      <c r="I1419" s="516"/>
      <c r="J1419" s="515"/>
      <c r="K1419" s="515"/>
      <c r="L1419" s="818" t="s">
        <v>143</v>
      </c>
      <c r="M1419" s="517"/>
      <c r="N1419" s="517"/>
      <c r="O1419" s="517"/>
      <c r="P1419" s="517"/>
      <c r="Q1419" s="722"/>
      <c r="R1419" s="819">
        <f>SUMIF($L1395:$L1418,"SUBI",R1395:R1418)</f>
        <v>42.42</v>
      </c>
      <c r="S1419" s="820"/>
      <c r="T1419" s="819">
        <f>SUMIF($L1395:$L1418,"SUBI",T1395:T1418)</f>
        <v>2.58</v>
      </c>
      <c r="U1419" s="518"/>
      <c r="V1419" s="518"/>
      <c r="W1419" s="518"/>
      <c r="X1419" s="518"/>
      <c r="Y1419" s="518"/>
      <c r="Z1419" s="518"/>
      <c r="AA1419" s="518"/>
      <c r="AB1419" s="518"/>
      <c r="AC1419" s="518"/>
      <c r="AD1419" s="518"/>
      <c r="AE1419" s="518"/>
      <c r="AF1419" s="518"/>
      <c r="AG1419" s="518"/>
      <c r="AH1419" s="518"/>
      <c r="AI1419" s="518"/>
      <c r="AJ1419" s="518"/>
      <c r="AK1419" s="518"/>
      <c r="AL1419" s="518"/>
      <c r="AM1419" s="518"/>
      <c r="AN1419" s="518"/>
      <c r="AO1419" s="518"/>
    </row>
    <row r="1420" spans="1:41" s="501" customFormat="1" thickTop="1">
      <c r="A1420" s="44"/>
      <c r="B1420" s="39"/>
      <c r="C1420" s="44"/>
      <c r="E1420" s="40" t="s">
        <v>138</v>
      </c>
      <c r="F1420" s="40" t="s">
        <v>139</v>
      </c>
      <c r="G1420" s="44"/>
      <c r="H1420" s="44"/>
      <c r="I1420" s="44"/>
      <c r="J1420" s="44"/>
      <c r="K1420" s="44" t="s">
        <v>140</v>
      </c>
      <c r="L1420" s="737"/>
      <c r="M1420" s="44"/>
      <c r="N1420" s="44"/>
      <c r="O1420" s="45"/>
      <c r="P1420" s="44"/>
      <c r="Q1420"/>
      <c r="R1420"/>
      <c r="S1420"/>
      <c r="T1420" s="39"/>
      <c r="AG1420" s="502" t="s">
        <v>247</v>
      </c>
      <c r="AH1420" s="502" t="s">
        <v>248</v>
      </c>
      <c r="AI1420" s="502" t="s">
        <v>249</v>
      </c>
      <c r="AJ1420" s="502" t="s">
        <v>250</v>
      </c>
      <c r="AK1420" s="502" t="s">
        <v>251</v>
      </c>
      <c r="AM1420" s="710" t="s">
        <v>260</v>
      </c>
      <c r="AN1420" s="711" t="s">
        <v>261</v>
      </c>
      <c r="AO1420" s="503" t="s">
        <v>257</v>
      </c>
    </row>
    <row r="1421" spans="1:41" s="501" customFormat="1" ht="13.2">
      <c r="A1421" s="712">
        <v>1</v>
      </c>
      <c r="B1421" s="504" t="s">
        <v>283</v>
      </c>
      <c r="C1421" s="505"/>
      <c r="D1421" s="713" t="s">
        <v>593</v>
      </c>
      <c r="E1421" s="738">
        <f>IF(AND($A1421=0,$A$1="DIF"),0,ROUND(ROUND(SUMIF($L1423:$L1440,"SUBI",$E1423:$E1440)/$A1421,2)*$C$12,2))</f>
        <v>152.91</v>
      </c>
      <c r="F1421" s="739">
        <f>ROUND($A1421*$E1421,2)</f>
        <v>152.91</v>
      </c>
      <c r="G1421" s="506" t="s">
        <v>142</v>
      </c>
      <c r="H1421" s="498"/>
      <c r="I1421" s="716"/>
      <c r="J1421" s="498"/>
      <c r="K1421" s="740"/>
      <c r="L1421" s="741" t="s">
        <v>143</v>
      </c>
      <c r="M1421" s="717"/>
      <c r="N1421" s="717"/>
      <c r="O1421" s="717"/>
      <c r="P1421" s="717"/>
      <c r="Q1421" s="943" t="s">
        <v>855</v>
      </c>
      <c r="R1421" s="943" t="s">
        <v>870</v>
      </c>
      <c r="S1421"/>
      <c r="T1421" s="742" t="str">
        <f>IF(AND($R1446=0,$T1446=0),"0.00","mu :" &amp; ROUND($F1421/$C$12/($R1446+$T1446*$D$9),2))</f>
        <v>mu :1.35</v>
      </c>
      <c r="W1421" s="507"/>
      <c r="AG1421" s="743">
        <f>IF(A1421=0,0,ROUND(SUM(AG1423:AG1446)/A1421,2))</f>
        <v>57.27</v>
      </c>
      <c r="AH1421" s="743">
        <f>$AG1421*$A1421</f>
        <v>57.27</v>
      </c>
      <c r="AI1421" s="743">
        <f>$E1421-$AG1421</f>
        <v>95.639999999999986</v>
      </c>
      <c r="AJ1421" s="743">
        <f>$A1421*$AI1421</f>
        <v>95.639999999999986</v>
      </c>
      <c r="AK1421" s="744">
        <f>ROUND(($AG1421+$AI1421)*$A1421,2)</f>
        <v>152.91</v>
      </c>
      <c r="AM1421" s="510">
        <f>ROUND(R1446,2)</f>
        <v>42.42</v>
      </c>
      <c r="AN1421" s="511">
        <f>ROUND(T1446,2)</f>
        <v>2.58</v>
      </c>
      <c r="AO1421" s="512">
        <f>ROUND(AM1421+AN1421,2)*A1421</f>
        <v>45</v>
      </c>
    </row>
    <row r="1422" spans="1:41" s="501" customFormat="1" ht="21.6" customHeight="1">
      <c r="A1422" s="745"/>
      <c r="B1422" s="746"/>
      <c r="C1422" s="505"/>
      <c r="D1422" s="724" t="s">
        <v>417</v>
      </c>
      <c r="F1422" s="498"/>
      <c r="G1422" s="498"/>
      <c r="H1422" s="498"/>
      <c r="I1422" s="716"/>
      <c r="J1422" s="498"/>
      <c r="K1422" s="498" t="s">
        <v>144</v>
      </c>
      <c r="L1422" s="747"/>
      <c r="M1422" s="498"/>
      <c r="N1422" s="498"/>
      <c r="O1422" s="498"/>
      <c r="P1422" s="498"/>
      <c r="Q1422" s="44"/>
      <c r="R1422" s="567"/>
      <c r="S1422" s="719"/>
      <c r="T1422" s="498"/>
    </row>
    <row r="1423" spans="1:41" s="501" customFormat="1" ht="12">
      <c r="A1423" s="748"/>
      <c r="B1423" s="749"/>
      <c r="C1423" s="497"/>
      <c r="D1423" s="750"/>
      <c r="E1423" s="751">
        <f>F1421/$C$12-SUMIF($L1420:$L1446,"SUBI",$E1420:$E1446)</f>
        <v>0</v>
      </c>
      <c r="F1423" s="752" t="s">
        <v>572</v>
      </c>
      <c r="G1423" s="753"/>
      <c r="H1423" s="753"/>
      <c r="I1423" s="754"/>
      <c r="J1423" s="753"/>
      <c r="K1423" s="753"/>
      <c r="L1423" s="755"/>
      <c r="M1423" s="756"/>
      <c r="N1423" s="756"/>
      <c r="O1423" s="756"/>
      <c r="P1423" s="756"/>
      <c r="Q1423" s="757"/>
      <c r="R1423" s="758"/>
      <c r="S1423" s="757"/>
      <c r="T1423" s="759"/>
    </row>
    <row r="1424" spans="1:41" s="501" customFormat="1" ht="12" customHeight="1">
      <c r="A1424" s="760"/>
      <c r="B1424" s="761"/>
      <c r="C1424" s="762"/>
      <c r="D1424" s="762" t="str">
        <f>$F$2</f>
        <v>Electrical</v>
      </c>
      <c r="E1424" s="762">
        <f>ROUND(($R1434*$S$2 + ($T1434*$T$2)), 2)</f>
        <v>152.91</v>
      </c>
      <c r="F1424" s="763">
        <f>$E1424*$C$12</f>
        <v>152.91</v>
      </c>
      <c r="G1424" s="567"/>
      <c r="H1424" s="764"/>
      <c r="I1424" s="567"/>
      <c r="J1424" s="45"/>
      <c r="K1424" s="765" t="s">
        <v>3</v>
      </c>
      <c r="L1424" s="766" t="s">
        <v>573</v>
      </c>
      <c r="M1424" s="567"/>
      <c r="N1424" s="567"/>
      <c r="O1424" s="45"/>
      <c r="P1424" s="567"/>
      <c r="Q1424" s="567"/>
      <c r="R1424"/>
      <c r="S1424"/>
      <c r="T1424"/>
    </row>
    <row r="1425" spans="1:33" s="893" customFormat="1" ht="13.2">
      <c r="A1425"/>
      <c r="D1425" s="944" t="s">
        <v>755</v>
      </c>
      <c r="G1425" s="894" t="s">
        <v>749</v>
      </c>
      <c r="H1425" s="895">
        <v>616</v>
      </c>
      <c r="I1425" s="893" t="s">
        <v>656</v>
      </c>
      <c r="J1425" s="893" t="s">
        <v>750</v>
      </c>
      <c r="O1425" s="896">
        <v>2</v>
      </c>
      <c r="P1425" s="897">
        <v>40767</v>
      </c>
      <c r="Q1425" s="898"/>
      <c r="R1425" s="899">
        <f t="shared" ref="R1425:R1433" si="51">$A1425*Q1425</f>
        <v>0</v>
      </c>
      <c r="S1425" s="898"/>
      <c r="T1425" s="900">
        <f t="shared" ref="T1425:T1433" si="52">$A1425*S1425*$T$1</f>
        <v>0</v>
      </c>
    </row>
    <row r="1426" spans="1:33" s="893" customFormat="1" ht="13.2">
      <c r="A1426">
        <v>3</v>
      </c>
      <c r="B1426" s="893" t="s">
        <v>296</v>
      </c>
      <c r="D1426" s="893" t="s">
        <v>1083</v>
      </c>
      <c r="F1426" s="893" t="s">
        <v>1080</v>
      </c>
      <c r="G1426" s="894" t="s">
        <v>1078</v>
      </c>
      <c r="H1426" s="895">
        <v>616</v>
      </c>
      <c r="I1426" s="893" t="s">
        <v>656</v>
      </c>
      <c r="J1426" s="893" t="s">
        <v>1079</v>
      </c>
      <c r="O1426" s="896">
        <v>2</v>
      </c>
      <c r="P1426" s="897">
        <v>40767</v>
      </c>
      <c r="Q1426" s="898">
        <v>7.15</v>
      </c>
      <c r="R1426" s="899">
        <f t="shared" si="51"/>
        <v>21.450000000000003</v>
      </c>
      <c r="S1426" s="898">
        <v>0.09</v>
      </c>
      <c r="T1426" s="900">
        <f t="shared" si="52"/>
        <v>0.27</v>
      </c>
    </row>
    <row r="1427" spans="1:33" s="893" customFormat="1" ht="13.2">
      <c r="A1427" s="87">
        <v>3</v>
      </c>
      <c r="B1427" s="893" t="s">
        <v>141</v>
      </c>
      <c r="D1427" s="893" t="s">
        <v>743</v>
      </c>
      <c r="G1427" s="894" t="s">
        <v>744</v>
      </c>
      <c r="H1427" s="895">
        <v>875</v>
      </c>
      <c r="I1427" s="893" t="s">
        <v>643</v>
      </c>
      <c r="K1427" s="893" t="s">
        <v>745</v>
      </c>
      <c r="O1427" s="896">
        <v>1</v>
      </c>
      <c r="P1427" s="897">
        <v>34669</v>
      </c>
      <c r="Q1427" s="898">
        <v>0.05</v>
      </c>
      <c r="R1427" s="899">
        <f t="shared" si="51"/>
        <v>0.15000000000000002</v>
      </c>
      <c r="S1427" s="898"/>
      <c r="T1427" s="900">
        <f t="shared" si="52"/>
        <v>0</v>
      </c>
    </row>
    <row r="1428" spans="1:33" s="893" customFormat="1" ht="13.2">
      <c r="A1428">
        <v>2</v>
      </c>
      <c r="B1428" s="893" t="s">
        <v>141</v>
      </c>
      <c r="D1428" s="893" t="s">
        <v>751</v>
      </c>
      <c r="G1428" s="894" t="s">
        <v>752</v>
      </c>
      <c r="H1428" s="895">
        <v>620</v>
      </c>
      <c r="I1428" s="893" t="s">
        <v>671</v>
      </c>
      <c r="O1428" s="896">
        <v>2</v>
      </c>
      <c r="P1428" s="897">
        <v>35431</v>
      </c>
      <c r="Q1428" s="898">
        <v>7.66</v>
      </c>
      <c r="R1428" s="899">
        <f t="shared" si="51"/>
        <v>15.32</v>
      </c>
      <c r="S1428" s="898">
        <v>0.4</v>
      </c>
      <c r="T1428" s="900">
        <f t="shared" si="52"/>
        <v>0.8</v>
      </c>
    </row>
    <row r="1429" spans="1:33" s="893" customFormat="1" ht="13.2">
      <c r="A1429">
        <v>2</v>
      </c>
      <c r="B1429" s="893" t="s">
        <v>296</v>
      </c>
      <c r="D1429" s="893" t="s">
        <v>672</v>
      </c>
      <c r="G1429" s="894" t="s">
        <v>673</v>
      </c>
      <c r="H1429" s="895">
        <v>620</v>
      </c>
      <c r="I1429" s="893" t="s">
        <v>643</v>
      </c>
      <c r="O1429" s="896">
        <v>2</v>
      </c>
      <c r="P1429" s="897">
        <v>38148</v>
      </c>
      <c r="Q1429" s="898">
        <v>1.5</v>
      </c>
      <c r="R1429" s="899">
        <f t="shared" si="51"/>
        <v>3</v>
      </c>
      <c r="S1429" s="898">
        <v>0.08</v>
      </c>
      <c r="T1429" s="900">
        <f t="shared" si="52"/>
        <v>0.16</v>
      </c>
    </row>
    <row r="1430" spans="1:33" s="893" customFormat="1" ht="13.2">
      <c r="A1430">
        <v>10</v>
      </c>
      <c r="B1430" s="893" t="s">
        <v>141</v>
      </c>
      <c r="D1430" s="893" t="s">
        <v>1081</v>
      </c>
      <c r="G1430" s="894" t="s">
        <v>1082</v>
      </c>
      <c r="H1430" s="895">
        <v>620</v>
      </c>
      <c r="I1430" s="893" t="s">
        <v>676</v>
      </c>
      <c r="O1430" s="896">
        <v>2</v>
      </c>
      <c r="P1430" s="897">
        <v>34669</v>
      </c>
      <c r="Q1430" s="902">
        <v>0.25</v>
      </c>
      <c r="R1430" s="899">
        <f t="shared" si="51"/>
        <v>2.5</v>
      </c>
      <c r="S1430" s="898">
        <v>0.06</v>
      </c>
      <c r="T1430" s="900">
        <f t="shared" si="52"/>
        <v>0.6</v>
      </c>
    </row>
    <row r="1431" spans="1:33" s="893" customFormat="1" ht="13.2">
      <c r="A1431">
        <v>1</v>
      </c>
      <c r="B1431" s="893" t="s">
        <v>141</v>
      </c>
      <c r="D1431" s="893" t="s">
        <v>658</v>
      </c>
      <c r="F1431" s="893" t="s">
        <v>748</v>
      </c>
      <c r="G1431" s="894" t="s">
        <v>659</v>
      </c>
      <c r="H1431" s="895">
        <v>900</v>
      </c>
      <c r="I1431" s="893" t="s">
        <v>660</v>
      </c>
      <c r="O1431" s="896">
        <v>1</v>
      </c>
      <c r="P1431" s="897"/>
      <c r="Q1431" s="898"/>
      <c r="R1431" s="899">
        <f t="shared" si="51"/>
        <v>0</v>
      </c>
      <c r="S1431" s="898">
        <v>0.5</v>
      </c>
      <c r="T1431" s="900">
        <f t="shared" si="52"/>
        <v>0.5</v>
      </c>
    </row>
    <row r="1432" spans="1:33" s="893" customFormat="1" ht="13.2">
      <c r="A1432">
        <v>1</v>
      </c>
      <c r="B1432" s="893" t="s">
        <v>141</v>
      </c>
      <c r="D1432" s="893" t="s">
        <v>658</v>
      </c>
      <c r="F1432" s="893" t="s">
        <v>757</v>
      </c>
      <c r="G1432" s="894" t="s">
        <v>659</v>
      </c>
      <c r="H1432" s="895">
        <v>900</v>
      </c>
      <c r="I1432" s="893" t="s">
        <v>660</v>
      </c>
      <c r="O1432" s="896">
        <v>1</v>
      </c>
      <c r="P1432" s="897"/>
      <c r="Q1432" s="898"/>
      <c r="R1432" s="899">
        <f t="shared" si="51"/>
        <v>0</v>
      </c>
      <c r="S1432" s="898">
        <v>0.25</v>
      </c>
      <c r="T1432" s="900">
        <f t="shared" si="52"/>
        <v>0.25</v>
      </c>
    </row>
    <row r="1433" spans="1:33" s="501" customFormat="1" ht="14.4" customHeight="1">
      <c r="A1433" s="767"/>
      <c r="B1433" s="567"/>
      <c r="C1433" s="567"/>
      <c r="D1433" s="567"/>
      <c r="E1433" s="567"/>
      <c r="F1433" s="567"/>
      <c r="G1433" s="567"/>
      <c r="H1433" s="764"/>
      <c r="I1433" s="567"/>
      <c r="J1433" s="45"/>
      <c r="K1433" s="769"/>
      <c r="L1433" s="770"/>
      <c r="M1433" s="567"/>
      <c r="N1433" s="567"/>
      <c r="O1433" s="45"/>
      <c r="P1433" s="567"/>
      <c r="Q1433" s="567"/>
      <c r="R1433" s="771">
        <f t="shared" si="51"/>
        <v>0</v>
      </c>
      <c r="S1433" s="567"/>
      <c r="T1433" s="500">
        <f t="shared" si="52"/>
        <v>0</v>
      </c>
    </row>
    <row r="1434" spans="1:33" s="501" customFormat="1" ht="12">
      <c r="A1434" s="772" t="s">
        <v>145</v>
      </c>
      <c r="B1434" s="773">
        <f>(R1433+T1433)</f>
        <v>0</v>
      </c>
      <c r="C1434" s="753"/>
      <c r="G1434" s="774"/>
      <c r="H1434" s="774"/>
      <c r="I1434" s="774"/>
      <c r="J1434" s="774"/>
      <c r="K1434" s="750" t="s">
        <v>3</v>
      </c>
      <c r="L1434" s="775" t="s">
        <v>573</v>
      </c>
      <c r="M1434" s="774"/>
      <c r="N1434" s="774"/>
      <c r="O1434" s="774"/>
      <c r="P1434" s="774"/>
      <c r="Q1434" s="776"/>
      <c r="R1434" s="777">
        <f>SUM(R1424:R1433)</f>
        <v>42.42</v>
      </c>
      <c r="S1434" s="778"/>
      <c r="T1434" s="777">
        <f>SUM(T1424:T1433)</f>
        <v>2.58</v>
      </c>
      <c r="AG1434" s="779">
        <f>ROUND($R1434*$S$2,2)</f>
        <v>57.27</v>
      </c>
    </row>
    <row r="1435" spans="1:33" s="501" customFormat="1" ht="12" customHeight="1">
      <c r="A1435" s="760"/>
      <c r="B1435" s="780"/>
      <c r="C1435" s="781"/>
      <c r="D1435" s="782" t="str">
        <f>$F$3</f>
        <v>Technician</v>
      </c>
      <c r="E1435" s="782">
        <f>ROUND(($R1439*$S$3 + ($T1439*$T$3)), 2)</f>
        <v>0</v>
      </c>
      <c r="F1435" s="783">
        <f>$E1435*$C$12</f>
        <v>0</v>
      </c>
      <c r="G1435" s="499"/>
      <c r="H1435" s="499"/>
      <c r="I1435" s="499"/>
      <c r="J1435" s="499"/>
      <c r="K1435" s="765" t="s">
        <v>5</v>
      </c>
      <c r="L1435" s="766" t="s">
        <v>573</v>
      </c>
      <c r="M1435" s="499"/>
      <c r="N1435" s="499"/>
      <c r="O1435" s="499"/>
      <c r="P1435" s="499"/>
      <c r="Q1435" s="499"/>
      <c r="R1435" s="784"/>
      <c r="S1435" s="499"/>
      <c r="T1435" s="784"/>
    </row>
    <row r="1436" spans="1:33" s="797" customFormat="1" ht="15.6" customHeight="1">
      <c r="A1436" s="785"/>
      <c r="B1436" s="768" t="s">
        <v>575</v>
      </c>
      <c r="C1436" s="786"/>
      <c r="D1436" s="787"/>
      <c r="E1436" s="787"/>
      <c r="F1436" s="787"/>
      <c r="G1436" s="788"/>
      <c r="H1436" s="789"/>
      <c r="I1436" s="789"/>
      <c r="J1436" s="790"/>
      <c r="K1436" s="791"/>
      <c r="L1436" s="786"/>
      <c r="M1436" s="792"/>
      <c r="N1436" s="793"/>
      <c r="O1436" s="794"/>
      <c r="P1436" s="795"/>
      <c r="Q1436" s="796"/>
      <c r="R1436" s="771">
        <f>$A1436*Q1436</f>
        <v>0</v>
      </c>
      <c r="S1436" s="567"/>
      <c r="T1436" s="500">
        <f>$A1436*S1436*$T$1</f>
        <v>0</v>
      </c>
    </row>
    <row r="1437" spans="1:33" s="501" customFormat="1" ht="15.6" customHeight="1">
      <c r="A1437" s="767"/>
      <c r="B1437" s="567"/>
      <c r="C1437" s="567"/>
      <c r="D1437" s="567"/>
      <c r="E1437" s="567"/>
      <c r="F1437" s="567"/>
      <c r="G1437" s="567"/>
      <c r="H1437" s="567"/>
      <c r="I1437" s="567"/>
      <c r="J1437" s="567"/>
      <c r="K1437" s="567"/>
      <c r="L1437" s="770"/>
      <c r="M1437" s="567"/>
      <c r="N1437" s="567"/>
      <c r="O1437" s="567"/>
      <c r="P1437" s="567"/>
      <c r="Q1437" s="567"/>
      <c r="R1437" s="771">
        <f>$A1437*Q1437</f>
        <v>0</v>
      </c>
      <c r="S1437" s="567"/>
      <c r="T1437" s="500">
        <f>$A1437*S1437*$T$1</f>
        <v>0</v>
      </c>
    </row>
    <row r="1438" spans="1:33" s="501" customFormat="1" ht="15.6" customHeight="1">
      <c r="A1438" s="767"/>
      <c r="B1438" s="567"/>
      <c r="C1438" s="567"/>
      <c r="D1438" s="3"/>
      <c r="E1438" s="567"/>
      <c r="F1438" s="567"/>
      <c r="G1438" s="567"/>
      <c r="H1438" s="567"/>
      <c r="I1438" s="567"/>
      <c r="J1438" s="567"/>
      <c r="K1438" s="567"/>
      <c r="L1438" s="770"/>
      <c r="M1438" s="567"/>
      <c r="N1438" s="567"/>
      <c r="O1438" s="567"/>
      <c r="P1438" s="567"/>
      <c r="Q1438" s="567"/>
      <c r="R1438" s="771">
        <f>$A1438*Q1438</f>
        <v>0</v>
      </c>
      <c r="S1438" s="567"/>
      <c r="T1438" s="500">
        <f>$A1438*S1438*$T$1</f>
        <v>0</v>
      </c>
    </row>
    <row r="1439" spans="1:33" s="501" customFormat="1" ht="12">
      <c r="A1439" s="772" t="s">
        <v>145</v>
      </c>
      <c r="B1439" s="773">
        <f>(R1438+T1438)</f>
        <v>0</v>
      </c>
      <c r="C1439" s="753"/>
      <c r="G1439" s="774"/>
      <c r="H1439" s="774"/>
      <c r="I1439" s="774"/>
      <c r="J1439" s="774"/>
      <c r="K1439" s="798" t="s">
        <v>5</v>
      </c>
      <c r="L1439" s="775" t="s">
        <v>573</v>
      </c>
      <c r="M1439" s="774"/>
      <c r="N1439" s="774"/>
      <c r="O1439" s="774"/>
      <c r="P1439" s="774"/>
      <c r="Q1439" s="776"/>
      <c r="R1439" s="777">
        <f>SUM(R1435:R1438)</f>
        <v>0</v>
      </c>
      <c r="S1439" s="778"/>
      <c r="T1439" s="777">
        <f>SUM(T1435:T1438)</f>
        <v>0</v>
      </c>
      <c r="AG1439" s="799">
        <f>ROUND($R1439*$S$3,2)</f>
        <v>0</v>
      </c>
    </row>
    <row r="1440" spans="1:33" s="501" customFormat="1" ht="12" customHeight="1">
      <c r="A1440" s="800"/>
      <c r="B1440" s="801"/>
      <c r="C1440" s="802"/>
      <c r="D1440" s="803" t="str">
        <f>$F$4</f>
        <v>Engineer (Man Hours)</v>
      </c>
      <c r="E1440" s="803">
        <f>ROUND(($R1444*$S$4 + ($T1444*$T$4)), 2)</f>
        <v>0</v>
      </c>
      <c r="F1440" s="804">
        <f ca="1">$F1421-SUMIF($L1423:$P1437,"SUBI",$F1423:$F1437)</f>
        <v>0</v>
      </c>
      <c r="G1440" s="499"/>
      <c r="H1440" s="499"/>
      <c r="I1440" s="499"/>
      <c r="J1440" s="499"/>
      <c r="K1440" s="805" t="s">
        <v>8</v>
      </c>
      <c r="L1440" s="766" t="s">
        <v>573</v>
      </c>
      <c r="M1440" s="499"/>
      <c r="N1440" s="499"/>
      <c r="O1440" s="499"/>
      <c r="P1440" s="499"/>
      <c r="Q1440" s="499"/>
      <c r="R1440" s="784"/>
      <c r="S1440" s="499"/>
      <c r="T1440" s="784"/>
    </row>
    <row r="1441" spans="1:41" s="797" customFormat="1" ht="14.4" customHeight="1">
      <c r="A1441" s="785"/>
      <c r="B1441" s="768" t="s">
        <v>576</v>
      </c>
      <c r="C1441" s="786"/>
      <c r="D1441" s="787"/>
      <c r="E1441" s="787"/>
      <c r="F1441" s="787"/>
      <c r="G1441" s="788"/>
      <c r="H1441" s="789"/>
      <c r="I1441" s="789"/>
      <c r="J1441" s="790"/>
      <c r="K1441" s="791"/>
      <c r="L1441" s="786"/>
      <c r="M1441" s="792"/>
      <c r="N1441" s="793"/>
      <c r="O1441" s="806"/>
      <c r="P1441" s="795"/>
      <c r="Q1441" s="796"/>
      <c r="R1441" s="720">
        <f>$A1441*Q1441</f>
        <v>0</v>
      </c>
      <c r="S1441" s="796"/>
      <c r="T1441" s="500">
        <f>$A1441*S1441*$T$1</f>
        <v>0</v>
      </c>
    </row>
    <row r="1442" spans="1:41" s="501" customFormat="1" ht="12">
      <c r="A1442" s="44"/>
      <c r="B1442" s="497"/>
      <c r="C1442" s="497"/>
      <c r="D1442" s="807"/>
      <c r="E1442" s="808"/>
      <c r="F1442" s="499"/>
      <c r="G1442" s="499"/>
      <c r="H1442" s="499"/>
      <c r="I1442" s="499"/>
      <c r="J1442" s="499"/>
      <c r="K1442" s="499"/>
      <c r="L1442" s="809"/>
      <c r="M1442" s="499"/>
      <c r="N1442" s="499"/>
      <c r="O1442" s="499"/>
      <c r="P1442" s="499"/>
      <c r="Q1442" s="499"/>
      <c r="R1442" s="720">
        <f>$A1442*Q1442</f>
        <v>0</v>
      </c>
      <c r="S1442" s="499"/>
      <c r="T1442" s="500">
        <f>$A1442*S1442*$T$1</f>
        <v>0</v>
      </c>
    </row>
    <row r="1443" spans="1:41" s="501" customFormat="1" ht="12">
      <c r="A1443" s="44"/>
      <c r="B1443" s="497"/>
      <c r="C1443" s="497"/>
      <c r="D1443" s="807"/>
      <c r="E1443" s="808"/>
      <c r="F1443" s="499"/>
      <c r="G1443" s="499"/>
      <c r="H1443" s="499"/>
      <c r="I1443" s="499"/>
      <c r="J1443" s="499"/>
      <c r="K1443" s="499"/>
      <c r="L1443" s="809"/>
      <c r="M1443" s="499"/>
      <c r="N1443" s="499"/>
      <c r="O1443" s="499"/>
      <c r="P1443" s="499"/>
      <c r="Q1443" s="499"/>
      <c r="R1443" s="720">
        <f>$A1443*Q1443</f>
        <v>0</v>
      </c>
      <c r="S1443" s="499"/>
      <c r="T1443" s="500">
        <f>$A1443*S1443*$T$1</f>
        <v>0</v>
      </c>
    </row>
    <row r="1444" spans="1:41" s="501" customFormat="1" ht="12.75" customHeight="1">
      <c r="A1444" s="772" t="s">
        <v>145</v>
      </c>
      <c r="B1444" s="773">
        <f>(R1443+T1443)</f>
        <v>0</v>
      </c>
      <c r="C1444" s="810"/>
      <c r="D1444" s="810"/>
      <c r="E1444" s="810"/>
      <c r="F1444" s="810"/>
      <c r="G1444" s="776"/>
      <c r="H1444" s="776"/>
      <c r="I1444" s="776"/>
      <c r="J1444" s="776"/>
      <c r="K1444" s="798" t="s">
        <v>8</v>
      </c>
      <c r="L1444" s="811" t="s">
        <v>573</v>
      </c>
      <c r="M1444" s="776"/>
      <c r="N1444" s="776"/>
      <c r="O1444" s="776"/>
      <c r="P1444" s="776"/>
      <c r="Q1444" s="776"/>
      <c r="R1444" s="777">
        <f>SUM(R1440:R1443)</f>
        <v>0</v>
      </c>
      <c r="S1444" s="778"/>
      <c r="T1444" s="777">
        <f>SUM(T1440:T1443)</f>
        <v>0</v>
      </c>
      <c r="AG1444" s="812">
        <f>ROUND($R1444*$S$4,2)</f>
        <v>0</v>
      </c>
    </row>
    <row r="1445" spans="1:41" s="501" customFormat="1" ht="12.75" customHeight="1">
      <c r="A1445" s="813"/>
      <c r="B1445" s="814"/>
      <c r="E1445" s="497"/>
      <c r="F1445" s="808"/>
      <c r="G1445" s="497"/>
      <c r="H1445" s="497"/>
      <c r="I1445" s="499"/>
      <c r="J1445" s="497"/>
      <c r="K1445" s="497"/>
      <c r="L1445" s="815"/>
      <c r="M1445" s="725"/>
      <c r="N1445" s="725"/>
      <c r="O1445" s="725"/>
      <c r="P1445" s="725"/>
      <c r="Q1445" s="726"/>
      <c r="R1445" s="784"/>
      <c r="S1445" s="497"/>
      <c r="T1445" s="784"/>
    </row>
    <row r="1446" spans="1:41" s="501" customFormat="1" ht="13.5" customHeight="1" thickBot="1">
      <c r="A1446" s="816"/>
      <c r="B1446" s="817"/>
      <c r="C1446" s="518"/>
      <c r="D1446" s="518"/>
      <c r="E1446" s="515"/>
      <c r="F1446" s="721"/>
      <c r="G1446" s="515" t="s">
        <v>146</v>
      </c>
      <c r="H1446" s="515"/>
      <c r="I1446" s="516"/>
      <c r="J1446" s="515"/>
      <c r="K1446" s="515"/>
      <c r="L1446" s="818" t="s">
        <v>143</v>
      </c>
      <c r="M1446" s="517"/>
      <c r="N1446" s="517"/>
      <c r="O1446" s="517"/>
      <c r="P1446" s="517"/>
      <c r="Q1446" s="722"/>
      <c r="R1446" s="819">
        <f>SUMIF($L1422:$L1445,"SUBI",R1422:R1445)</f>
        <v>42.42</v>
      </c>
      <c r="S1446" s="820"/>
      <c r="T1446" s="819">
        <f>SUMIF($L1422:$L1445,"SUBI",T1422:T1445)</f>
        <v>2.58</v>
      </c>
      <c r="U1446" s="518"/>
      <c r="V1446" s="518"/>
      <c r="W1446" s="518"/>
      <c r="X1446" s="518"/>
      <c r="Y1446" s="518"/>
      <c r="Z1446" s="518"/>
      <c r="AA1446" s="518"/>
      <c r="AB1446" s="518"/>
      <c r="AC1446" s="518"/>
      <c r="AD1446" s="518"/>
      <c r="AE1446" s="518"/>
      <c r="AF1446" s="518"/>
      <c r="AG1446" s="518"/>
      <c r="AH1446" s="518"/>
      <c r="AI1446" s="518"/>
      <c r="AJ1446" s="518"/>
      <c r="AK1446" s="518"/>
      <c r="AL1446" s="518"/>
      <c r="AM1446" s="518"/>
      <c r="AN1446" s="518"/>
      <c r="AO1446" s="518"/>
    </row>
    <row r="1447" spans="1:41" s="501" customFormat="1" thickTop="1">
      <c r="A1447" s="44"/>
      <c r="B1447" s="44"/>
      <c r="C1447" s="3"/>
      <c r="D1447" s="3"/>
      <c r="E1447" s="44"/>
      <c r="F1447" s="44"/>
      <c r="G1447" s="44"/>
      <c r="H1447" s="44"/>
      <c r="I1447" s="44"/>
      <c r="J1447" s="44"/>
      <c r="K1447" s="44" t="s">
        <v>134</v>
      </c>
      <c r="L1447" s="44"/>
      <c r="M1447" s="44"/>
      <c r="N1447" s="44"/>
      <c r="O1447" s="45"/>
      <c r="P1447" s="44"/>
      <c r="Q1447" s="44"/>
      <c r="R1447" s="44"/>
      <c r="S1447" s="44"/>
      <c r="T1447" s="44"/>
    </row>
    <row r="1448" spans="1:41" s="501" customFormat="1" ht="12">
      <c r="A1448" s="44"/>
      <c r="B1448" s="44"/>
      <c r="C1448" s="44" t="s">
        <v>135</v>
      </c>
      <c r="D1448" s="35" t="s">
        <v>963</v>
      </c>
      <c r="E1448" s="44"/>
      <c r="F1448" s="44"/>
      <c r="G1448" s="44"/>
      <c r="H1448" s="44"/>
      <c r="I1448" s="44"/>
      <c r="J1448" s="44"/>
      <c r="K1448" s="44"/>
      <c r="L1448" s="44"/>
      <c r="M1448" s="44"/>
      <c r="N1448" s="44"/>
      <c r="O1448" s="45"/>
      <c r="P1448" s="44"/>
      <c r="Q1448" s="44"/>
      <c r="R1448" s="44"/>
      <c r="S1448" s="44"/>
      <c r="T1448" s="44"/>
    </row>
    <row r="1449" spans="1:41" s="501" customFormat="1" ht="39.9" customHeight="1">
      <c r="A1449" s="44"/>
      <c r="B1449" s="44"/>
      <c r="C1449" s="44"/>
      <c r="D1449" s="1185" t="s">
        <v>451</v>
      </c>
      <c r="E1449" s="1184"/>
      <c r="F1449" s="1184"/>
      <c r="G1449" s="1184"/>
      <c r="H1449" s="1184"/>
      <c r="I1449" s="1184"/>
      <c r="J1449" s="1184"/>
      <c r="K1449" s="1184"/>
      <c r="L1449" s="1184"/>
      <c r="M1449" s="1184"/>
      <c r="N1449" s="1184"/>
      <c r="O1449" s="1184"/>
      <c r="P1449" s="1184"/>
      <c r="Q1449" s="1184"/>
      <c r="R1449" s="1184"/>
      <c r="S1449" s="1184"/>
      <c r="T1449" s="1184"/>
    </row>
    <row r="1450" spans="1:41" s="3" customFormat="1" thickBot="1">
      <c r="A1450" s="518"/>
      <c r="O1450" s="86"/>
    </row>
    <row r="1451" spans="1:41" s="501" customFormat="1" thickTop="1">
      <c r="A1451" s="44"/>
      <c r="B1451" s="39"/>
      <c r="C1451" s="44"/>
      <c r="E1451" s="40" t="s">
        <v>138</v>
      </c>
      <c r="F1451" s="40" t="s">
        <v>139</v>
      </c>
      <c r="G1451" s="44"/>
      <c r="H1451" s="44"/>
      <c r="I1451" s="44"/>
      <c r="J1451" s="44"/>
      <c r="K1451" s="44" t="s">
        <v>140</v>
      </c>
      <c r="L1451" s="737"/>
      <c r="M1451" s="44"/>
      <c r="N1451" s="44"/>
      <c r="O1451" s="45"/>
      <c r="P1451" s="44"/>
      <c r="Q1451"/>
      <c r="R1451"/>
      <c r="S1451"/>
      <c r="T1451" s="39"/>
      <c r="AG1451" s="502" t="s">
        <v>247</v>
      </c>
      <c r="AH1451" s="502" t="s">
        <v>248</v>
      </c>
      <c r="AI1451" s="502" t="s">
        <v>249</v>
      </c>
      <c r="AJ1451" s="502" t="s">
        <v>250</v>
      </c>
      <c r="AK1451" s="502" t="s">
        <v>251</v>
      </c>
      <c r="AM1451" s="710" t="s">
        <v>260</v>
      </c>
      <c r="AN1451" s="711" t="s">
        <v>261</v>
      </c>
      <c r="AO1451" s="503" t="s">
        <v>257</v>
      </c>
    </row>
    <row r="1452" spans="1:41" s="501" customFormat="1" ht="13.2">
      <c r="A1452" s="712">
        <v>1</v>
      </c>
      <c r="B1452" s="504" t="s">
        <v>283</v>
      </c>
      <c r="C1452" s="505"/>
      <c r="D1452" s="713" t="s">
        <v>577</v>
      </c>
      <c r="E1452" s="738">
        <f>IF(AND($A1452=0,$A$1="DIF"),0,ROUND(ROUND(SUMIF($L1454:$L1471,"SUBI",$E1454:$E1471)/$A1452,2)*$C$12,2))</f>
        <v>165.9</v>
      </c>
      <c r="F1452" s="739">
        <f>ROUND($A1452*$E1452,2)</f>
        <v>165.9</v>
      </c>
      <c r="G1452" s="506" t="s">
        <v>142</v>
      </c>
      <c r="H1452" s="498"/>
      <c r="I1452" s="716"/>
      <c r="J1452" s="498"/>
      <c r="K1452" s="740"/>
      <c r="L1452" s="741" t="s">
        <v>143</v>
      </c>
      <c r="M1452" s="717"/>
      <c r="N1452" s="717"/>
      <c r="O1452" s="717"/>
      <c r="P1452" s="717"/>
      <c r="Q1452" s="943" t="s">
        <v>855</v>
      </c>
      <c r="R1452" s="943" t="s">
        <v>871</v>
      </c>
      <c r="S1452"/>
      <c r="T1452" s="742" t="str">
        <f>IF(AND($R1477=0,$T1477=0),"0.00","mu :" &amp; ROUND($F1452/$C$12/($R1477+$T1477*$D$9),2))</f>
        <v>mu :1.35</v>
      </c>
      <c r="W1452" s="507"/>
      <c r="AG1452" s="743">
        <f>IF(A1452=0,0,ROUND(SUM(AG1454:AG1477)/A1452,2))</f>
        <v>69.150000000000006</v>
      </c>
      <c r="AH1452" s="743">
        <f>$AG1452*$A1452</f>
        <v>69.150000000000006</v>
      </c>
      <c r="AI1452" s="743">
        <f>$E1452-$AG1452</f>
        <v>96.75</v>
      </c>
      <c r="AJ1452" s="743">
        <f>$A1452*$AI1452</f>
        <v>96.75</v>
      </c>
      <c r="AK1452" s="744">
        <f>ROUND(($AG1452+$AI1452)*$A1452,2)</f>
        <v>165.9</v>
      </c>
      <c r="AM1452" s="510">
        <f>ROUND(R1477,2)</f>
        <v>51.22</v>
      </c>
      <c r="AN1452" s="511">
        <f>ROUND(T1477,2)</f>
        <v>2.61</v>
      </c>
      <c r="AO1452" s="512">
        <f>ROUND(AM1452+AN1452,2)*A1452</f>
        <v>53.83</v>
      </c>
    </row>
    <row r="1453" spans="1:41" s="501" customFormat="1" ht="21.6" customHeight="1">
      <c r="A1453" s="745"/>
      <c r="B1453" s="746"/>
      <c r="C1453" s="505"/>
      <c r="D1453" s="724" t="s">
        <v>452</v>
      </c>
      <c r="F1453" s="498"/>
      <c r="G1453" s="498"/>
      <c r="H1453" s="498"/>
      <c r="I1453" s="716"/>
      <c r="J1453" s="498"/>
      <c r="K1453" s="498" t="s">
        <v>144</v>
      </c>
      <c r="L1453" s="747"/>
      <c r="M1453" s="498"/>
      <c r="N1453" s="498"/>
      <c r="O1453" s="498"/>
      <c r="P1453" s="498"/>
      <c r="Q1453" s="44"/>
      <c r="R1453" s="567"/>
      <c r="S1453" s="719"/>
      <c r="T1453" s="498"/>
    </row>
    <row r="1454" spans="1:41" s="501" customFormat="1" ht="12">
      <c r="A1454" s="748"/>
      <c r="B1454" s="749"/>
      <c r="C1454" s="497"/>
      <c r="D1454" s="750"/>
      <c r="E1454" s="751">
        <f>F1452/$C$12-SUMIF($L1451:$L1477,"SUBI",$E1451:$E1477)</f>
        <v>0</v>
      </c>
      <c r="F1454" s="752" t="s">
        <v>572</v>
      </c>
      <c r="G1454" s="753"/>
      <c r="H1454" s="753"/>
      <c r="I1454" s="754"/>
      <c r="J1454" s="753"/>
      <c r="K1454" s="753"/>
      <c r="L1454" s="755"/>
      <c r="M1454" s="756"/>
      <c r="N1454" s="756"/>
      <c r="O1454" s="756"/>
      <c r="P1454" s="756"/>
      <c r="Q1454" s="757"/>
      <c r="R1454" s="758"/>
      <c r="S1454" s="757"/>
      <c r="T1454" s="759"/>
    </row>
    <row r="1455" spans="1:41" s="501" customFormat="1" ht="12" customHeight="1">
      <c r="A1455" s="760"/>
      <c r="B1455" s="761"/>
      <c r="C1455" s="762"/>
      <c r="D1455" s="762" t="str">
        <f>$F$2</f>
        <v>Electrical</v>
      </c>
      <c r="E1455" s="762">
        <f>ROUND(($R1465*$S$2 + ($T1465*$T$2)), 2)</f>
        <v>165.9</v>
      </c>
      <c r="F1455" s="763">
        <f>$E1455*$C$12</f>
        <v>165.9</v>
      </c>
      <c r="G1455" s="567"/>
      <c r="H1455" s="764"/>
      <c r="I1455" s="567"/>
      <c r="J1455" s="45"/>
      <c r="K1455" s="765" t="s">
        <v>3</v>
      </c>
      <c r="L1455" s="766" t="s">
        <v>573</v>
      </c>
      <c r="M1455" s="567"/>
      <c r="N1455" s="567"/>
      <c r="O1455" s="45"/>
      <c r="P1455" s="567"/>
      <c r="Q1455" s="567"/>
      <c r="R1455"/>
      <c r="S1455"/>
      <c r="T1455"/>
    </row>
    <row r="1456" spans="1:41" s="893" customFormat="1" ht="13.2">
      <c r="A1456"/>
      <c r="D1456" s="944" t="s">
        <v>755</v>
      </c>
      <c r="G1456" s="894" t="s">
        <v>749</v>
      </c>
      <c r="H1456" s="895">
        <v>616</v>
      </c>
      <c r="I1456" s="893" t="s">
        <v>656</v>
      </c>
      <c r="J1456" s="893" t="s">
        <v>750</v>
      </c>
      <c r="O1456" s="896">
        <v>2</v>
      </c>
      <c r="P1456" s="897">
        <v>40767</v>
      </c>
      <c r="Q1456" s="898"/>
      <c r="R1456" s="899">
        <f t="shared" ref="R1456:R1461" si="53">$A1456*Q1456</f>
        <v>0</v>
      </c>
      <c r="S1456" s="898"/>
      <c r="T1456" s="900">
        <f t="shared" ref="T1456:T1461" si="54">$A1456*S1456*$T$1</f>
        <v>0</v>
      </c>
    </row>
    <row r="1457" spans="1:33" s="893" customFormat="1" ht="13.2">
      <c r="A1457">
        <v>3</v>
      </c>
      <c r="B1457" s="893" t="s">
        <v>296</v>
      </c>
      <c r="D1457" s="893" t="s">
        <v>1084</v>
      </c>
      <c r="F1457" s="893" t="s">
        <v>756</v>
      </c>
      <c r="G1457" s="894" t="s">
        <v>749</v>
      </c>
      <c r="H1457" s="895">
        <v>616</v>
      </c>
      <c r="I1457" s="893" t="s">
        <v>656</v>
      </c>
      <c r="J1457" s="893" t="s">
        <v>750</v>
      </c>
      <c r="O1457" s="896">
        <v>2</v>
      </c>
      <c r="P1457" s="897">
        <v>40767</v>
      </c>
      <c r="Q1457" s="898">
        <v>10.45</v>
      </c>
      <c r="R1457" s="899">
        <f t="shared" si="53"/>
        <v>31.349999999999998</v>
      </c>
      <c r="S1457" s="898">
        <v>0.1</v>
      </c>
      <c r="T1457" s="900">
        <f t="shared" si="54"/>
        <v>0.30000000000000004</v>
      </c>
    </row>
    <row r="1458" spans="1:33" s="893" customFormat="1" ht="13.2">
      <c r="A1458" s="87">
        <v>3</v>
      </c>
      <c r="B1458" s="893" t="s">
        <v>141</v>
      </c>
      <c r="D1458" s="893" t="s">
        <v>743</v>
      </c>
      <c r="G1458" s="894" t="s">
        <v>744</v>
      </c>
      <c r="H1458" s="895">
        <v>875</v>
      </c>
      <c r="I1458" s="893" t="s">
        <v>643</v>
      </c>
      <c r="K1458" s="893" t="s">
        <v>745</v>
      </c>
      <c r="O1458" s="896">
        <v>1</v>
      </c>
      <c r="P1458" s="897">
        <v>34669</v>
      </c>
      <c r="Q1458" s="898">
        <v>0.05</v>
      </c>
      <c r="R1458" s="899">
        <f t="shared" si="53"/>
        <v>0.15000000000000002</v>
      </c>
      <c r="S1458" s="898"/>
      <c r="T1458" s="900">
        <f t="shared" si="54"/>
        <v>0</v>
      </c>
    </row>
    <row r="1459" spans="1:33" s="893" customFormat="1" ht="13.2">
      <c r="A1459">
        <v>2</v>
      </c>
      <c r="B1459" s="893" t="s">
        <v>141</v>
      </c>
      <c r="D1459" s="893" t="s">
        <v>751</v>
      </c>
      <c r="G1459" s="894" t="s">
        <v>752</v>
      </c>
      <c r="H1459" s="895">
        <v>620</v>
      </c>
      <c r="I1459" s="893" t="s">
        <v>671</v>
      </c>
      <c r="O1459" s="896">
        <v>2</v>
      </c>
      <c r="P1459" s="897">
        <v>35431</v>
      </c>
      <c r="Q1459" s="898">
        <v>7.66</v>
      </c>
      <c r="R1459" s="899">
        <f t="shared" si="53"/>
        <v>15.32</v>
      </c>
      <c r="S1459" s="898">
        <v>0.4</v>
      </c>
      <c r="T1459" s="900">
        <f t="shared" si="54"/>
        <v>0.8</v>
      </c>
    </row>
    <row r="1460" spans="1:33" s="893" customFormat="1" ht="13.2">
      <c r="A1460">
        <v>2</v>
      </c>
      <c r="B1460" s="893" t="s">
        <v>296</v>
      </c>
      <c r="D1460" s="893" t="s">
        <v>672</v>
      </c>
      <c r="G1460" s="894" t="s">
        <v>673</v>
      </c>
      <c r="H1460" s="895">
        <v>620</v>
      </c>
      <c r="I1460" s="893" t="s">
        <v>643</v>
      </c>
      <c r="O1460" s="896">
        <v>2</v>
      </c>
      <c r="P1460" s="897">
        <v>38148</v>
      </c>
      <c r="Q1460" s="898">
        <v>1.5</v>
      </c>
      <c r="R1460" s="899">
        <f t="shared" si="53"/>
        <v>3</v>
      </c>
      <c r="S1460" s="898">
        <v>0.08</v>
      </c>
      <c r="T1460" s="900">
        <f t="shared" si="54"/>
        <v>0.16</v>
      </c>
    </row>
    <row r="1461" spans="1:33" s="893" customFormat="1" ht="13.2">
      <c r="A1461">
        <v>10</v>
      </c>
      <c r="B1461" s="893" t="s">
        <v>141</v>
      </c>
      <c r="D1461" s="893" t="s">
        <v>753</v>
      </c>
      <c r="G1461" s="894" t="s">
        <v>754</v>
      </c>
      <c r="H1461" s="895">
        <v>620</v>
      </c>
      <c r="I1461" s="893" t="s">
        <v>676</v>
      </c>
      <c r="O1461" s="896">
        <v>2</v>
      </c>
      <c r="P1461" s="897">
        <v>34669</v>
      </c>
      <c r="Q1461" s="898">
        <v>0.14000000000000001</v>
      </c>
      <c r="R1461" s="899">
        <f t="shared" si="53"/>
        <v>1.4000000000000001</v>
      </c>
      <c r="S1461" s="898">
        <v>0.06</v>
      </c>
      <c r="T1461" s="900">
        <f t="shared" si="54"/>
        <v>0.6</v>
      </c>
    </row>
    <row r="1462" spans="1:33" s="893" customFormat="1" ht="13.2">
      <c r="A1462">
        <v>1</v>
      </c>
      <c r="B1462" s="893" t="s">
        <v>141</v>
      </c>
      <c r="D1462" s="893" t="s">
        <v>658</v>
      </c>
      <c r="F1462" s="893" t="s">
        <v>748</v>
      </c>
      <c r="G1462" s="894" t="s">
        <v>659</v>
      </c>
      <c r="H1462" s="895">
        <v>900</v>
      </c>
      <c r="I1462" s="893" t="s">
        <v>660</v>
      </c>
      <c r="O1462" s="896">
        <v>1</v>
      </c>
      <c r="P1462" s="897"/>
      <c r="Q1462" s="898"/>
      <c r="R1462" s="899">
        <f>$A1462*Q1462</f>
        <v>0</v>
      </c>
      <c r="S1462" s="898">
        <v>0.5</v>
      </c>
      <c r="T1462" s="900">
        <f>$A1462*S1462*$T$1</f>
        <v>0.5</v>
      </c>
    </row>
    <row r="1463" spans="1:33" s="893" customFormat="1" ht="13.2">
      <c r="A1463">
        <v>1</v>
      </c>
      <c r="B1463" s="893" t="s">
        <v>141</v>
      </c>
      <c r="D1463" s="893" t="s">
        <v>658</v>
      </c>
      <c r="F1463" s="893" t="s">
        <v>757</v>
      </c>
      <c r="G1463" s="894" t="s">
        <v>659</v>
      </c>
      <c r="H1463" s="895">
        <v>900</v>
      </c>
      <c r="I1463" s="893" t="s">
        <v>660</v>
      </c>
      <c r="O1463" s="896">
        <v>1</v>
      </c>
      <c r="P1463" s="897"/>
      <c r="Q1463" s="898"/>
      <c r="R1463" s="899">
        <f>$A1463*Q1463</f>
        <v>0</v>
      </c>
      <c r="S1463" s="898">
        <v>0.25</v>
      </c>
      <c r="T1463" s="900">
        <f>$A1463*S1463*$T$1</f>
        <v>0.25</v>
      </c>
    </row>
    <row r="1464" spans="1:33" s="501" customFormat="1" ht="14.4" customHeight="1">
      <c r="A1464" s="767"/>
      <c r="B1464" s="567"/>
      <c r="C1464" s="567"/>
      <c r="D1464" s="567"/>
      <c r="E1464" s="567"/>
      <c r="F1464" s="567"/>
      <c r="G1464" s="567"/>
      <c r="H1464" s="764"/>
      <c r="I1464" s="567"/>
      <c r="J1464" s="45"/>
      <c r="K1464" s="769"/>
      <c r="L1464" s="770"/>
      <c r="M1464" s="567"/>
      <c r="N1464" s="567"/>
      <c r="O1464" s="45"/>
      <c r="P1464" s="567"/>
      <c r="Q1464" s="567"/>
      <c r="R1464" s="771">
        <f>$A1464*Q1464</f>
        <v>0</v>
      </c>
      <c r="S1464" s="567"/>
      <c r="T1464" s="500">
        <f>$A1464*S1464*$T$1</f>
        <v>0</v>
      </c>
    </row>
    <row r="1465" spans="1:33" s="501" customFormat="1" ht="12">
      <c r="A1465" s="772" t="s">
        <v>145</v>
      </c>
      <c r="B1465" s="773">
        <f>(R1464+T1464)</f>
        <v>0</v>
      </c>
      <c r="C1465" s="753"/>
      <c r="G1465" s="774"/>
      <c r="H1465" s="774"/>
      <c r="I1465" s="774"/>
      <c r="J1465" s="774"/>
      <c r="K1465" s="750" t="s">
        <v>3</v>
      </c>
      <c r="L1465" s="775" t="s">
        <v>573</v>
      </c>
      <c r="M1465" s="774"/>
      <c r="N1465" s="774"/>
      <c r="O1465" s="774"/>
      <c r="P1465" s="774"/>
      <c r="Q1465" s="776"/>
      <c r="R1465" s="777">
        <f>SUM(R1455:R1464)</f>
        <v>51.219999999999992</v>
      </c>
      <c r="S1465" s="778"/>
      <c r="T1465" s="777">
        <f>SUM(T1455:T1464)</f>
        <v>2.61</v>
      </c>
      <c r="AG1465" s="779">
        <f>ROUND($R1465*$S$2,2)</f>
        <v>69.150000000000006</v>
      </c>
    </row>
    <row r="1466" spans="1:33" s="501" customFormat="1" ht="12" customHeight="1">
      <c r="A1466" s="760"/>
      <c r="B1466" s="780"/>
      <c r="C1466" s="781"/>
      <c r="D1466" s="782" t="str">
        <f>$F$3</f>
        <v>Technician</v>
      </c>
      <c r="E1466" s="782">
        <f>ROUND(($R1470*$S$3 + ($T1470*$T$3)), 2)</f>
        <v>0</v>
      </c>
      <c r="F1466" s="783">
        <f>$E1466*$C$12</f>
        <v>0</v>
      </c>
      <c r="G1466" s="499"/>
      <c r="H1466" s="499"/>
      <c r="I1466" s="499"/>
      <c r="J1466" s="499"/>
      <c r="K1466" s="765" t="s">
        <v>5</v>
      </c>
      <c r="L1466" s="766" t="s">
        <v>573</v>
      </c>
      <c r="M1466" s="499"/>
      <c r="N1466" s="499"/>
      <c r="O1466" s="499"/>
      <c r="P1466" s="499"/>
      <c r="Q1466" s="499"/>
      <c r="R1466" s="784"/>
      <c r="S1466" s="499"/>
      <c r="T1466" s="784"/>
    </row>
    <row r="1467" spans="1:33" s="797" customFormat="1" ht="15.6" customHeight="1">
      <c r="A1467" s="785"/>
      <c r="B1467" s="768" t="s">
        <v>575</v>
      </c>
      <c r="C1467" s="786"/>
      <c r="D1467" s="787"/>
      <c r="E1467" s="787"/>
      <c r="F1467" s="787"/>
      <c r="G1467" s="788"/>
      <c r="H1467" s="789"/>
      <c r="I1467" s="789"/>
      <c r="J1467" s="790"/>
      <c r="K1467" s="791"/>
      <c r="L1467" s="786"/>
      <c r="M1467" s="792"/>
      <c r="N1467" s="793"/>
      <c r="O1467" s="794"/>
      <c r="P1467" s="795"/>
      <c r="Q1467" s="796"/>
      <c r="R1467" s="771">
        <f>$A1467*Q1467</f>
        <v>0</v>
      </c>
      <c r="S1467" s="567"/>
      <c r="T1467" s="500">
        <f>$A1467*S1467*$T$1</f>
        <v>0</v>
      </c>
    </row>
    <row r="1468" spans="1:33" s="501" customFormat="1" ht="15.6" customHeight="1">
      <c r="A1468" s="767"/>
      <c r="B1468" s="567"/>
      <c r="C1468" s="567"/>
      <c r="D1468" s="567"/>
      <c r="E1468" s="567"/>
      <c r="F1468" s="567"/>
      <c r="G1468" s="567"/>
      <c r="H1468" s="567"/>
      <c r="I1468" s="567"/>
      <c r="J1468" s="567"/>
      <c r="K1468" s="567"/>
      <c r="L1468" s="770"/>
      <c r="M1468" s="567"/>
      <c r="N1468" s="567"/>
      <c r="O1468" s="567"/>
      <c r="P1468" s="567"/>
      <c r="Q1468" s="567"/>
      <c r="R1468" s="771">
        <f>$A1468*Q1468</f>
        <v>0</v>
      </c>
      <c r="S1468" s="567"/>
      <c r="T1468" s="500">
        <f>$A1468*S1468*$T$1</f>
        <v>0</v>
      </c>
    </row>
    <row r="1469" spans="1:33" s="501" customFormat="1" ht="15.6" customHeight="1">
      <c r="A1469" s="767"/>
      <c r="B1469" s="567"/>
      <c r="C1469" s="567"/>
      <c r="D1469" s="3"/>
      <c r="E1469" s="567"/>
      <c r="F1469" s="567"/>
      <c r="G1469" s="567"/>
      <c r="H1469" s="567"/>
      <c r="I1469" s="567"/>
      <c r="J1469" s="567"/>
      <c r="K1469" s="567"/>
      <c r="L1469" s="770"/>
      <c r="M1469" s="567"/>
      <c r="N1469" s="567"/>
      <c r="O1469" s="567"/>
      <c r="P1469" s="567"/>
      <c r="Q1469" s="567"/>
      <c r="R1469" s="771">
        <f>$A1469*Q1469</f>
        <v>0</v>
      </c>
      <c r="S1469" s="567"/>
      <c r="T1469" s="500">
        <f>$A1469*S1469*$T$1</f>
        <v>0</v>
      </c>
    </row>
    <row r="1470" spans="1:33" s="501" customFormat="1" ht="12">
      <c r="A1470" s="772" t="s">
        <v>145</v>
      </c>
      <c r="B1470" s="773">
        <f>(R1469+T1469)</f>
        <v>0</v>
      </c>
      <c r="C1470" s="753"/>
      <c r="G1470" s="774"/>
      <c r="H1470" s="774"/>
      <c r="I1470" s="774"/>
      <c r="J1470" s="774"/>
      <c r="K1470" s="798" t="s">
        <v>5</v>
      </c>
      <c r="L1470" s="775" t="s">
        <v>573</v>
      </c>
      <c r="M1470" s="774"/>
      <c r="N1470" s="774"/>
      <c r="O1470" s="774"/>
      <c r="P1470" s="774"/>
      <c r="Q1470" s="776"/>
      <c r="R1470" s="777">
        <f>SUM(R1466:R1469)</f>
        <v>0</v>
      </c>
      <c r="S1470" s="778"/>
      <c r="T1470" s="777">
        <f>SUM(T1466:T1469)</f>
        <v>0</v>
      </c>
      <c r="AG1470" s="799">
        <f>ROUND($R1470*$S$3,2)</f>
        <v>0</v>
      </c>
    </row>
    <row r="1471" spans="1:33" s="501" customFormat="1" ht="12" customHeight="1">
      <c r="A1471" s="800"/>
      <c r="B1471" s="801"/>
      <c r="C1471" s="802"/>
      <c r="D1471" s="803" t="str">
        <f>$F$4</f>
        <v>Engineer (Man Hours)</v>
      </c>
      <c r="E1471" s="803">
        <f>ROUND(($R1475*$S$4 + ($T1475*$T$4)), 2)</f>
        <v>0</v>
      </c>
      <c r="F1471" s="804">
        <f ca="1">$F1452-SUMIF($L1454:$P1468,"SUBI",$F1454:$F1468)</f>
        <v>0</v>
      </c>
      <c r="G1471" s="499"/>
      <c r="H1471" s="499"/>
      <c r="I1471" s="499"/>
      <c r="J1471" s="499"/>
      <c r="K1471" s="805" t="s">
        <v>8</v>
      </c>
      <c r="L1471" s="766" t="s">
        <v>573</v>
      </c>
      <c r="M1471" s="499"/>
      <c r="N1471" s="499"/>
      <c r="O1471" s="499"/>
      <c r="P1471" s="499"/>
      <c r="Q1471" s="499"/>
      <c r="R1471" s="784"/>
      <c r="S1471" s="499"/>
      <c r="T1471" s="784"/>
    </row>
    <row r="1472" spans="1:33" s="797" customFormat="1" ht="14.4" customHeight="1">
      <c r="A1472" s="785"/>
      <c r="B1472" s="768" t="s">
        <v>576</v>
      </c>
      <c r="C1472" s="786"/>
      <c r="D1472" s="787"/>
      <c r="E1472" s="787"/>
      <c r="F1472" s="787"/>
      <c r="G1472" s="788"/>
      <c r="H1472" s="789"/>
      <c r="I1472" s="789"/>
      <c r="J1472" s="790"/>
      <c r="K1472" s="791"/>
      <c r="L1472" s="786"/>
      <c r="M1472" s="792"/>
      <c r="N1472" s="793"/>
      <c r="O1472" s="806"/>
      <c r="P1472" s="795"/>
      <c r="Q1472" s="796"/>
      <c r="R1472" s="720">
        <f>$A1472*Q1472</f>
        <v>0</v>
      </c>
      <c r="S1472" s="796"/>
      <c r="T1472" s="500">
        <f>$A1472*S1472*$T$1</f>
        <v>0</v>
      </c>
    </row>
    <row r="1473" spans="1:41" s="501" customFormat="1" ht="12">
      <c r="A1473" s="44"/>
      <c r="B1473" s="497"/>
      <c r="C1473" s="497"/>
      <c r="D1473" s="807"/>
      <c r="E1473" s="808"/>
      <c r="F1473" s="499"/>
      <c r="G1473" s="499"/>
      <c r="H1473" s="499"/>
      <c r="I1473" s="499"/>
      <c r="J1473" s="499"/>
      <c r="K1473" s="499"/>
      <c r="L1473" s="809"/>
      <c r="M1473" s="499"/>
      <c r="N1473" s="499"/>
      <c r="O1473" s="499"/>
      <c r="P1473" s="499"/>
      <c r="Q1473" s="499"/>
      <c r="R1473" s="720">
        <f>$A1473*Q1473</f>
        <v>0</v>
      </c>
      <c r="S1473" s="499"/>
      <c r="T1473" s="500">
        <f>$A1473*S1473*$T$1</f>
        <v>0</v>
      </c>
    </row>
    <row r="1474" spans="1:41" s="501" customFormat="1" ht="12">
      <c r="A1474" s="44"/>
      <c r="B1474" s="497"/>
      <c r="C1474" s="497"/>
      <c r="D1474" s="807"/>
      <c r="E1474" s="808"/>
      <c r="F1474" s="499"/>
      <c r="G1474" s="499"/>
      <c r="H1474" s="499"/>
      <c r="I1474" s="499"/>
      <c r="J1474" s="499"/>
      <c r="K1474" s="499"/>
      <c r="L1474" s="809"/>
      <c r="M1474" s="499"/>
      <c r="N1474" s="499"/>
      <c r="O1474" s="499"/>
      <c r="P1474" s="499"/>
      <c r="Q1474" s="499"/>
      <c r="R1474" s="720">
        <f>$A1474*Q1474</f>
        <v>0</v>
      </c>
      <c r="S1474" s="499"/>
      <c r="T1474" s="500">
        <f>$A1474*S1474*$T$1</f>
        <v>0</v>
      </c>
    </row>
    <row r="1475" spans="1:41" s="501" customFormat="1" ht="12.75" customHeight="1">
      <c r="A1475" s="772" t="s">
        <v>145</v>
      </c>
      <c r="B1475" s="773">
        <f>(R1474+T1474)</f>
        <v>0</v>
      </c>
      <c r="C1475" s="810"/>
      <c r="D1475" s="810"/>
      <c r="E1475" s="810"/>
      <c r="F1475" s="810"/>
      <c r="G1475" s="776"/>
      <c r="H1475" s="776"/>
      <c r="I1475" s="776"/>
      <c r="J1475" s="776"/>
      <c r="K1475" s="798" t="s">
        <v>8</v>
      </c>
      <c r="L1475" s="811" t="s">
        <v>573</v>
      </c>
      <c r="M1475" s="776"/>
      <c r="N1475" s="776"/>
      <c r="O1475" s="776"/>
      <c r="P1475" s="776"/>
      <c r="Q1475" s="776"/>
      <c r="R1475" s="777">
        <f>SUM(R1471:R1474)</f>
        <v>0</v>
      </c>
      <c r="S1475" s="778"/>
      <c r="T1475" s="777">
        <f>SUM(T1471:T1474)</f>
        <v>0</v>
      </c>
      <c r="AG1475" s="812">
        <f>ROUND($R1475*$S$4,2)</f>
        <v>0</v>
      </c>
    </row>
    <row r="1476" spans="1:41" s="501" customFormat="1" ht="12.75" customHeight="1">
      <c r="A1476" s="813"/>
      <c r="B1476" s="814"/>
      <c r="E1476" s="497"/>
      <c r="F1476" s="808"/>
      <c r="G1476" s="497"/>
      <c r="H1476" s="497"/>
      <c r="I1476" s="499"/>
      <c r="J1476" s="497"/>
      <c r="K1476" s="497"/>
      <c r="L1476" s="815"/>
      <c r="M1476" s="725"/>
      <c r="N1476" s="725"/>
      <c r="O1476" s="725"/>
      <c r="P1476" s="725"/>
      <c r="Q1476" s="726"/>
      <c r="R1476" s="784"/>
      <c r="S1476" s="497"/>
      <c r="T1476" s="784"/>
    </row>
    <row r="1477" spans="1:41" s="501" customFormat="1" ht="13.5" customHeight="1" thickBot="1">
      <c r="A1477" s="816"/>
      <c r="B1477" s="817"/>
      <c r="C1477" s="518"/>
      <c r="D1477" s="518"/>
      <c r="E1477" s="515"/>
      <c r="F1477" s="721"/>
      <c r="G1477" s="515" t="s">
        <v>146</v>
      </c>
      <c r="H1477" s="515"/>
      <c r="I1477" s="516"/>
      <c r="J1477" s="515"/>
      <c r="K1477" s="515"/>
      <c r="L1477" s="818" t="s">
        <v>143</v>
      </c>
      <c r="M1477" s="517"/>
      <c r="N1477" s="517"/>
      <c r="O1477" s="517"/>
      <c r="P1477" s="517"/>
      <c r="Q1477" s="722"/>
      <c r="R1477" s="819">
        <f>SUMIF($L1453:$L1476,"SUBI",R1453:R1476)</f>
        <v>51.219999999999992</v>
      </c>
      <c r="S1477" s="820"/>
      <c r="T1477" s="819">
        <f>SUMIF($L1453:$L1476,"SUBI",T1453:T1476)</f>
        <v>2.61</v>
      </c>
      <c r="U1477" s="518"/>
      <c r="V1477" s="518"/>
      <c r="W1477" s="518"/>
      <c r="X1477" s="518"/>
      <c r="Y1477" s="518"/>
      <c r="Z1477" s="518"/>
      <c r="AA1477" s="518"/>
      <c r="AB1477" s="518"/>
      <c r="AC1477" s="518"/>
      <c r="AD1477" s="518"/>
      <c r="AE1477" s="518"/>
      <c r="AF1477" s="518"/>
      <c r="AG1477" s="518"/>
      <c r="AH1477" s="518"/>
      <c r="AI1477" s="518"/>
      <c r="AJ1477" s="518"/>
      <c r="AK1477" s="518"/>
      <c r="AL1477" s="518"/>
      <c r="AM1477" s="518"/>
      <c r="AN1477" s="518"/>
      <c r="AO1477" s="518"/>
    </row>
    <row r="1478" spans="1:41" s="501" customFormat="1" thickTop="1">
      <c r="A1478" s="44"/>
      <c r="B1478" s="39"/>
      <c r="C1478" s="44"/>
      <c r="E1478" s="40" t="s">
        <v>138</v>
      </c>
      <c r="F1478" s="40" t="s">
        <v>139</v>
      </c>
      <c r="G1478" s="44"/>
      <c r="H1478" s="44"/>
      <c r="I1478" s="44"/>
      <c r="J1478" s="44"/>
      <c r="K1478" s="44" t="s">
        <v>140</v>
      </c>
      <c r="L1478" s="737"/>
      <c r="M1478" s="44"/>
      <c r="N1478" s="44"/>
      <c r="O1478" s="45"/>
      <c r="P1478" s="44"/>
      <c r="Q1478"/>
      <c r="R1478"/>
      <c r="S1478"/>
      <c r="T1478" s="39"/>
      <c r="AG1478" s="502" t="s">
        <v>247</v>
      </c>
      <c r="AH1478" s="502" t="s">
        <v>248</v>
      </c>
      <c r="AI1478" s="502" t="s">
        <v>249</v>
      </c>
      <c r="AJ1478" s="502" t="s">
        <v>250</v>
      </c>
      <c r="AK1478" s="502" t="s">
        <v>251</v>
      </c>
      <c r="AM1478" s="710" t="s">
        <v>260</v>
      </c>
      <c r="AN1478" s="711" t="s">
        <v>261</v>
      </c>
      <c r="AO1478" s="503" t="s">
        <v>257</v>
      </c>
    </row>
    <row r="1479" spans="1:41" s="501" customFormat="1" ht="13.2">
      <c r="A1479" s="712">
        <v>1</v>
      </c>
      <c r="B1479" s="504" t="s">
        <v>283</v>
      </c>
      <c r="C1479" s="505"/>
      <c r="D1479" s="713" t="s">
        <v>585</v>
      </c>
      <c r="E1479" s="738">
        <f>IF(AND($A1479=0,$A$1="DIF"),0,ROUND(ROUND(SUMIF($L1481:$L1498,"SUBI",$E1481:$E1498)/$A1479,2)*$C$12,2))</f>
        <v>165.9</v>
      </c>
      <c r="F1479" s="739">
        <f>ROUND($A1479*$E1479,2)</f>
        <v>165.9</v>
      </c>
      <c r="G1479" s="506" t="s">
        <v>142</v>
      </c>
      <c r="H1479" s="498"/>
      <c r="I1479" s="716"/>
      <c r="J1479" s="498"/>
      <c r="K1479" s="740"/>
      <c r="L1479" s="741" t="s">
        <v>143</v>
      </c>
      <c r="M1479" s="717"/>
      <c r="N1479" s="717"/>
      <c r="O1479" s="717"/>
      <c r="P1479" s="717"/>
      <c r="Q1479" s="943" t="s">
        <v>855</v>
      </c>
      <c r="R1479" s="943" t="s">
        <v>871</v>
      </c>
      <c r="S1479"/>
      <c r="T1479" s="742" t="str">
        <f>IF(AND($R1504=0,$T1504=0),"0.00","mu :" &amp; ROUND($F1479/$C$12/($R1504+$T1504*$D$9),2))</f>
        <v>mu :1.35</v>
      </c>
      <c r="W1479" s="507"/>
      <c r="AG1479" s="743">
        <f>IF(A1479=0,0,ROUND(SUM(AG1481:AG1504)/A1479,2))</f>
        <v>69.150000000000006</v>
      </c>
      <c r="AH1479" s="743">
        <f>$AG1479*$A1479</f>
        <v>69.150000000000006</v>
      </c>
      <c r="AI1479" s="743">
        <f>$E1479-$AG1479</f>
        <v>96.75</v>
      </c>
      <c r="AJ1479" s="743">
        <f>$A1479*$AI1479</f>
        <v>96.75</v>
      </c>
      <c r="AK1479" s="744">
        <f>ROUND(($AG1479+$AI1479)*$A1479,2)</f>
        <v>165.9</v>
      </c>
      <c r="AM1479" s="510">
        <f>ROUND(R1504,2)</f>
        <v>51.22</v>
      </c>
      <c r="AN1479" s="511">
        <f>ROUND(T1504,2)</f>
        <v>2.61</v>
      </c>
      <c r="AO1479" s="512">
        <f>ROUND(AM1479+AN1479,2)*A1479</f>
        <v>53.83</v>
      </c>
    </row>
    <row r="1480" spans="1:41" s="501" customFormat="1" ht="21.6" customHeight="1">
      <c r="A1480" s="745"/>
      <c r="B1480" s="746"/>
      <c r="C1480" s="505"/>
      <c r="D1480" s="724" t="s">
        <v>453</v>
      </c>
      <c r="F1480" s="498"/>
      <c r="G1480" s="498"/>
      <c r="H1480" s="498"/>
      <c r="I1480" s="716"/>
      <c r="J1480" s="498"/>
      <c r="K1480" s="498" t="s">
        <v>144</v>
      </c>
      <c r="L1480" s="747"/>
      <c r="M1480" s="498"/>
      <c r="N1480" s="498"/>
      <c r="O1480" s="498"/>
      <c r="P1480" s="498"/>
      <c r="Q1480" s="44"/>
      <c r="R1480" s="567"/>
      <c r="S1480" s="719"/>
      <c r="T1480" s="498"/>
    </row>
    <row r="1481" spans="1:41" s="501" customFormat="1" ht="12">
      <c r="A1481" s="748"/>
      <c r="B1481" s="749"/>
      <c r="C1481" s="497"/>
      <c r="D1481" s="750"/>
      <c r="E1481" s="751">
        <f>F1479/$C$12-SUMIF($L1478:$L1504,"SUBI",$E1478:$E1504)</f>
        <v>0</v>
      </c>
      <c r="F1481" s="752" t="s">
        <v>572</v>
      </c>
      <c r="G1481" s="753"/>
      <c r="H1481" s="753"/>
      <c r="I1481" s="754"/>
      <c r="J1481" s="753"/>
      <c r="K1481" s="753"/>
      <c r="L1481" s="755"/>
      <c r="M1481" s="756"/>
      <c r="N1481" s="756"/>
      <c r="O1481" s="756"/>
      <c r="P1481" s="756"/>
      <c r="Q1481" s="757"/>
      <c r="R1481" s="758"/>
      <c r="S1481" s="757"/>
      <c r="T1481" s="759"/>
    </row>
    <row r="1482" spans="1:41" s="501" customFormat="1" ht="12" customHeight="1">
      <c r="A1482" s="760"/>
      <c r="B1482" s="761"/>
      <c r="C1482" s="762"/>
      <c r="D1482" s="762" t="str">
        <f>$F$2</f>
        <v>Electrical</v>
      </c>
      <c r="E1482" s="762">
        <f>ROUND(($R1492*$S$2 + ($T1492*$T$2)), 2)</f>
        <v>165.9</v>
      </c>
      <c r="F1482" s="763">
        <f>$E1482*$C$12</f>
        <v>165.9</v>
      </c>
      <c r="G1482" s="567"/>
      <c r="H1482" s="764"/>
      <c r="I1482" s="567"/>
      <c r="J1482" s="45"/>
      <c r="K1482" s="765" t="s">
        <v>3</v>
      </c>
      <c r="L1482" s="766" t="s">
        <v>573</v>
      </c>
      <c r="M1482" s="567"/>
      <c r="N1482" s="567"/>
      <c r="O1482" s="45"/>
      <c r="P1482" s="567"/>
      <c r="Q1482" s="567"/>
      <c r="R1482"/>
      <c r="S1482"/>
      <c r="T1482"/>
    </row>
    <row r="1483" spans="1:41" s="893" customFormat="1" ht="13.2">
      <c r="A1483"/>
      <c r="D1483" s="944" t="s">
        <v>755</v>
      </c>
      <c r="G1483" s="894" t="s">
        <v>749</v>
      </c>
      <c r="H1483" s="895">
        <v>616</v>
      </c>
      <c r="I1483" s="893" t="s">
        <v>656</v>
      </c>
      <c r="J1483" s="893" t="s">
        <v>750</v>
      </c>
      <c r="O1483" s="896">
        <v>2</v>
      </c>
      <c r="P1483" s="897">
        <v>40767</v>
      </c>
      <c r="Q1483" s="898"/>
      <c r="R1483" s="899">
        <f t="shared" ref="R1483:R1488" si="55">$A1483*Q1483</f>
        <v>0</v>
      </c>
      <c r="S1483" s="898"/>
      <c r="T1483" s="900">
        <f t="shared" ref="T1483:T1488" si="56">$A1483*S1483*$T$1</f>
        <v>0</v>
      </c>
    </row>
    <row r="1484" spans="1:41" s="893" customFormat="1" ht="13.2">
      <c r="A1484">
        <v>3</v>
      </c>
      <c r="B1484" s="893" t="s">
        <v>296</v>
      </c>
      <c r="D1484" s="893" t="s">
        <v>1084</v>
      </c>
      <c r="F1484" s="893" t="s">
        <v>756</v>
      </c>
      <c r="G1484" s="894" t="s">
        <v>749</v>
      </c>
      <c r="H1484" s="895">
        <v>616</v>
      </c>
      <c r="I1484" s="893" t="s">
        <v>656</v>
      </c>
      <c r="J1484" s="893" t="s">
        <v>750</v>
      </c>
      <c r="O1484" s="896">
        <v>2</v>
      </c>
      <c r="P1484" s="897">
        <v>40767</v>
      </c>
      <c r="Q1484" s="898">
        <v>10.45</v>
      </c>
      <c r="R1484" s="899">
        <f t="shared" si="55"/>
        <v>31.349999999999998</v>
      </c>
      <c r="S1484" s="898">
        <v>0.1</v>
      </c>
      <c r="T1484" s="900">
        <f t="shared" si="56"/>
        <v>0.30000000000000004</v>
      </c>
    </row>
    <row r="1485" spans="1:41" s="893" customFormat="1" ht="13.2">
      <c r="A1485" s="87">
        <v>3</v>
      </c>
      <c r="B1485" s="893" t="s">
        <v>141</v>
      </c>
      <c r="D1485" s="893" t="s">
        <v>743</v>
      </c>
      <c r="G1485" s="894" t="s">
        <v>744</v>
      </c>
      <c r="H1485" s="895">
        <v>875</v>
      </c>
      <c r="I1485" s="893" t="s">
        <v>643</v>
      </c>
      <c r="K1485" s="893" t="s">
        <v>745</v>
      </c>
      <c r="O1485" s="896">
        <v>1</v>
      </c>
      <c r="P1485" s="897">
        <v>34669</v>
      </c>
      <c r="Q1485" s="898">
        <v>0.05</v>
      </c>
      <c r="R1485" s="899">
        <f t="shared" si="55"/>
        <v>0.15000000000000002</v>
      </c>
      <c r="S1485" s="898"/>
      <c r="T1485" s="900">
        <f t="shared" si="56"/>
        <v>0</v>
      </c>
    </row>
    <row r="1486" spans="1:41" s="893" customFormat="1" ht="13.2">
      <c r="A1486">
        <v>2</v>
      </c>
      <c r="B1486" s="893" t="s">
        <v>141</v>
      </c>
      <c r="D1486" s="893" t="s">
        <v>751</v>
      </c>
      <c r="G1486" s="894" t="s">
        <v>752</v>
      </c>
      <c r="H1486" s="895">
        <v>620</v>
      </c>
      <c r="I1486" s="893" t="s">
        <v>671</v>
      </c>
      <c r="O1486" s="896">
        <v>2</v>
      </c>
      <c r="P1486" s="897">
        <v>35431</v>
      </c>
      <c r="Q1486" s="898">
        <v>7.66</v>
      </c>
      <c r="R1486" s="899">
        <f t="shared" si="55"/>
        <v>15.32</v>
      </c>
      <c r="S1486" s="898">
        <v>0.4</v>
      </c>
      <c r="T1486" s="900">
        <f t="shared" si="56"/>
        <v>0.8</v>
      </c>
    </row>
    <row r="1487" spans="1:41" s="893" customFormat="1" ht="13.2">
      <c r="A1487">
        <v>2</v>
      </c>
      <c r="B1487" s="893" t="s">
        <v>296</v>
      </c>
      <c r="D1487" s="893" t="s">
        <v>672</v>
      </c>
      <c r="G1487" s="894" t="s">
        <v>673</v>
      </c>
      <c r="H1487" s="895">
        <v>620</v>
      </c>
      <c r="I1487" s="893" t="s">
        <v>643</v>
      </c>
      <c r="O1487" s="896">
        <v>2</v>
      </c>
      <c r="P1487" s="897">
        <v>38148</v>
      </c>
      <c r="Q1487" s="898">
        <v>1.5</v>
      </c>
      <c r="R1487" s="899">
        <f t="shared" si="55"/>
        <v>3</v>
      </c>
      <c r="S1487" s="898">
        <v>0.08</v>
      </c>
      <c r="T1487" s="900">
        <f t="shared" si="56"/>
        <v>0.16</v>
      </c>
    </row>
    <row r="1488" spans="1:41" s="893" customFormat="1" ht="13.2">
      <c r="A1488">
        <v>10</v>
      </c>
      <c r="B1488" s="893" t="s">
        <v>141</v>
      </c>
      <c r="D1488" s="893" t="s">
        <v>753</v>
      </c>
      <c r="G1488" s="894" t="s">
        <v>754</v>
      </c>
      <c r="H1488" s="895">
        <v>620</v>
      </c>
      <c r="I1488" s="893" t="s">
        <v>676</v>
      </c>
      <c r="O1488" s="896">
        <v>2</v>
      </c>
      <c r="P1488" s="897">
        <v>34669</v>
      </c>
      <c r="Q1488" s="898">
        <v>0.14000000000000001</v>
      </c>
      <c r="R1488" s="899">
        <f t="shared" si="55"/>
        <v>1.4000000000000001</v>
      </c>
      <c r="S1488" s="898">
        <v>0.06</v>
      </c>
      <c r="T1488" s="900">
        <f t="shared" si="56"/>
        <v>0.6</v>
      </c>
    </row>
    <row r="1489" spans="1:41" s="893" customFormat="1" ht="13.2">
      <c r="A1489">
        <v>1</v>
      </c>
      <c r="B1489" s="893" t="s">
        <v>141</v>
      </c>
      <c r="D1489" s="893" t="s">
        <v>658</v>
      </c>
      <c r="F1489" s="893" t="s">
        <v>748</v>
      </c>
      <c r="G1489" s="894" t="s">
        <v>659</v>
      </c>
      <c r="H1489" s="895">
        <v>900</v>
      </c>
      <c r="I1489" s="893" t="s">
        <v>660</v>
      </c>
      <c r="O1489" s="896">
        <v>1</v>
      </c>
      <c r="P1489" s="897"/>
      <c r="Q1489" s="898"/>
      <c r="R1489" s="899">
        <f>$A1489*Q1489</f>
        <v>0</v>
      </c>
      <c r="S1489" s="898">
        <v>0.5</v>
      </c>
      <c r="T1489" s="900">
        <f>$A1489*S1489*$T$1</f>
        <v>0.5</v>
      </c>
    </row>
    <row r="1490" spans="1:41" s="893" customFormat="1" ht="13.2">
      <c r="A1490">
        <v>1</v>
      </c>
      <c r="B1490" s="893" t="s">
        <v>141</v>
      </c>
      <c r="D1490" s="893" t="s">
        <v>658</v>
      </c>
      <c r="F1490" s="893" t="s">
        <v>757</v>
      </c>
      <c r="G1490" s="894" t="s">
        <v>659</v>
      </c>
      <c r="H1490" s="895">
        <v>900</v>
      </c>
      <c r="I1490" s="893" t="s">
        <v>660</v>
      </c>
      <c r="O1490" s="896">
        <v>1</v>
      </c>
      <c r="P1490" s="897"/>
      <c r="Q1490" s="898"/>
      <c r="R1490" s="899">
        <f>$A1490*Q1490</f>
        <v>0</v>
      </c>
      <c r="S1490" s="898">
        <v>0.25</v>
      </c>
      <c r="T1490" s="900">
        <f>$A1490*S1490*$T$1</f>
        <v>0.25</v>
      </c>
    </row>
    <row r="1491" spans="1:41" s="501" customFormat="1" ht="14.4" customHeight="1">
      <c r="A1491" s="767"/>
      <c r="B1491" s="567"/>
      <c r="C1491" s="567"/>
      <c r="D1491" s="567"/>
      <c r="E1491" s="567"/>
      <c r="F1491" s="567"/>
      <c r="G1491" s="567"/>
      <c r="H1491" s="764"/>
      <c r="I1491" s="567"/>
      <c r="J1491" s="45"/>
      <c r="K1491" s="769"/>
      <c r="L1491" s="770"/>
      <c r="M1491" s="567"/>
      <c r="N1491" s="567"/>
      <c r="O1491" s="45"/>
      <c r="P1491" s="567"/>
      <c r="Q1491" s="567"/>
      <c r="R1491" s="771">
        <f>$A1491*Q1491</f>
        <v>0</v>
      </c>
      <c r="S1491" s="567"/>
      <c r="T1491" s="500">
        <f>$A1491*S1491*$T$1</f>
        <v>0</v>
      </c>
    </row>
    <row r="1492" spans="1:41" s="501" customFormat="1" ht="12">
      <c r="A1492" s="772" t="s">
        <v>145</v>
      </c>
      <c r="B1492" s="773">
        <f>(R1491+T1491)</f>
        <v>0</v>
      </c>
      <c r="C1492" s="753"/>
      <c r="G1492" s="774"/>
      <c r="H1492" s="774"/>
      <c r="I1492" s="774"/>
      <c r="J1492" s="774"/>
      <c r="K1492" s="750" t="s">
        <v>3</v>
      </c>
      <c r="L1492" s="775" t="s">
        <v>573</v>
      </c>
      <c r="M1492" s="774"/>
      <c r="N1492" s="774"/>
      <c r="O1492" s="774"/>
      <c r="P1492" s="774"/>
      <c r="Q1492" s="776"/>
      <c r="R1492" s="777">
        <f>SUM(R1482:R1491)</f>
        <v>51.219999999999992</v>
      </c>
      <c r="S1492" s="778"/>
      <c r="T1492" s="777">
        <f>SUM(T1482:T1491)</f>
        <v>2.61</v>
      </c>
      <c r="AG1492" s="779">
        <f>ROUND($R1492*$S$2,2)</f>
        <v>69.150000000000006</v>
      </c>
    </row>
    <row r="1493" spans="1:41" s="501" customFormat="1" ht="12" customHeight="1">
      <c r="A1493" s="760"/>
      <c r="B1493" s="780"/>
      <c r="C1493" s="781"/>
      <c r="D1493" s="782" t="str">
        <f>$F$3</f>
        <v>Technician</v>
      </c>
      <c r="E1493" s="782">
        <f>ROUND(($R1497*$S$3 + ($T1497*$T$3)), 2)</f>
        <v>0</v>
      </c>
      <c r="F1493" s="783">
        <f>$E1493*$C$12</f>
        <v>0</v>
      </c>
      <c r="G1493" s="499"/>
      <c r="H1493" s="499"/>
      <c r="I1493" s="499"/>
      <c r="J1493" s="499"/>
      <c r="K1493" s="765" t="s">
        <v>5</v>
      </c>
      <c r="L1493" s="766" t="s">
        <v>573</v>
      </c>
      <c r="M1493" s="499"/>
      <c r="N1493" s="499"/>
      <c r="O1493" s="499"/>
      <c r="P1493" s="499"/>
      <c r="Q1493" s="499"/>
      <c r="R1493" s="784"/>
      <c r="S1493" s="499"/>
      <c r="T1493" s="784"/>
    </row>
    <row r="1494" spans="1:41" s="797" customFormat="1" ht="15.6" customHeight="1">
      <c r="A1494" s="785"/>
      <c r="B1494" s="768" t="s">
        <v>575</v>
      </c>
      <c r="C1494" s="786"/>
      <c r="D1494" s="787"/>
      <c r="E1494" s="787"/>
      <c r="F1494" s="787"/>
      <c r="G1494" s="788"/>
      <c r="H1494" s="789"/>
      <c r="I1494" s="789"/>
      <c r="J1494" s="790"/>
      <c r="K1494" s="791"/>
      <c r="L1494" s="786"/>
      <c r="M1494" s="792"/>
      <c r="N1494" s="793"/>
      <c r="O1494" s="794"/>
      <c r="P1494" s="795"/>
      <c r="Q1494" s="796"/>
      <c r="R1494" s="771">
        <f>$A1494*Q1494</f>
        <v>0</v>
      </c>
      <c r="S1494" s="567"/>
      <c r="T1494" s="500">
        <f>$A1494*S1494*$T$1</f>
        <v>0</v>
      </c>
    </row>
    <row r="1495" spans="1:41" s="501" customFormat="1" ht="15.6" customHeight="1">
      <c r="A1495" s="767"/>
      <c r="B1495" s="567"/>
      <c r="C1495" s="567"/>
      <c r="D1495" s="567"/>
      <c r="E1495" s="567"/>
      <c r="F1495" s="567"/>
      <c r="G1495" s="567"/>
      <c r="H1495" s="567"/>
      <c r="I1495" s="567"/>
      <c r="J1495" s="567"/>
      <c r="K1495" s="567"/>
      <c r="L1495" s="770"/>
      <c r="M1495" s="567"/>
      <c r="N1495" s="567"/>
      <c r="O1495" s="567"/>
      <c r="P1495" s="567"/>
      <c r="Q1495" s="567"/>
      <c r="R1495" s="771">
        <f>$A1495*Q1495</f>
        <v>0</v>
      </c>
      <c r="S1495" s="567"/>
      <c r="T1495" s="500">
        <f>$A1495*S1495*$T$1</f>
        <v>0</v>
      </c>
    </row>
    <row r="1496" spans="1:41" s="501" customFormat="1" ht="15.6" customHeight="1">
      <c r="A1496" s="767"/>
      <c r="B1496" s="567"/>
      <c r="C1496" s="567"/>
      <c r="D1496" s="3"/>
      <c r="E1496" s="567"/>
      <c r="F1496" s="567"/>
      <c r="G1496" s="567"/>
      <c r="H1496" s="567"/>
      <c r="I1496" s="567"/>
      <c r="J1496" s="567"/>
      <c r="K1496" s="567"/>
      <c r="L1496" s="770"/>
      <c r="M1496" s="567"/>
      <c r="N1496" s="567"/>
      <c r="O1496" s="567"/>
      <c r="P1496" s="567"/>
      <c r="Q1496" s="567"/>
      <c r="R1496" s="771">
        <f>$A1496*Q1496</f>
        <v>0</v>
      </c>
      <c r="S1496" s="567"/>
      <c r="T1496" s="500">
        <f>$A1496*S1496*$T$1</f>
        <v>0</v>
      </c>
    </row>
    <row r="1497" spans="1:41" s="501" customFormat="1" ht="12">
      <c r="A1497" s="772" t="s">
        <v>145</v>
      </c>
      <c r="B1497" s="773">
        <f>(R1496+T1496)</f>
        <v>0</v>
      </c>
      <c r="C1497" s="753"/>
      <c r="G1497" s="774"/>
      <c r="H1497" s="774"/>
      <c r="I1497" s="774"/>
      <c r="J1497" s="774"/>
      <c r="K1497" s="798" t="s">
        <v>5</v>
      </c>
      <c r="L1497" s="775" t="s">
        <v>573</v>
      </c>
      <c r="M1497" s="774"/>
      <c r="N1497" s="774"/>
      <c r="O1497" s="774"/>
      <c r="P1497" s="774"/>
      <c r="Q1497" s="776"/>
      <c r="R1497" s="777">
        <f>SUM(R1493:R1496)</f>
        <v>0</v>
      </c>
      <c r="S1497" s="778"/>
      <c r="T1497" s="777">
        <f>SUM(T1493:T1496)</f>
        <v>0</v>
      </c>
      <c r="AG1497" s="799">
        <f>ROUND($R1497*$S$3,2)</f>
        <v>0</v>
      </c>
    </row>
    <row r="1498" spans="1:41" s="501" customFormat="1" ht="12" customHeight="1">
      <c r="A1498" s="800"/>
      <c r="B1498" s="801"/>
      <c r="C1498" s="802"/>
      <c r="D1498" s="803" t="str">
        <f>$F$4</f>
        <v>Engineer (Man Hours)</v>
      </c>
      <c r="E1498" s="803">
        <f>ROUND(($R1502*$S$4 + ($T1502*$T$4)), 2)</f>
        <v>0</v>
      </c>
      <c r="F1498" s="804">
        <f ca="1">$F1479-SUMIF($L1481:$P1495,"SUBI",$F1481:$F1495)</f>
        <v>0</v>
      </c>
      <c r="G1498" s="499"/>
      <c r="H1498" s="499"/>
      <c r="I1498" s="499"/>
      <c r="J1498" s="499"/>
      <c r="K1498" s="805" t="s">
        <v>8</v>
      </c>
      <c r="L1498" s="766" t="s">
        <v>573</v>
      </c>
      <c r="M1498" s="499"/>
      <c r="N1498" s="499"/>
      <c r="O1498" s="499"/>
      <c r="P1498" s="499"/>
      <c r="Q1498" s="499"/>
      <c r="R1498" s="784"/>
      <c r="S1498" s="499"/>
      <c r="T1498" s="784"/>
    </row>
    <row r="1499" spans="1:41" s="797" customFormat="1" ht="14.4" customHeight="1">
      <c r="A1499" s="785"/>
      <c r="B1499" s="768" t="s">
        <v>576</v>
      </c>
      <c r="C1499" s="786"/>
      <c r="D1499" s="787"/>
      <c r="E1499" s="787"/>
      <c r="F1499" s="787"/>
      <c r="G1499" s="788"/>
      <c r="H1499" s="789"/>
      <c r="I1499" s="789"/>
      <c r="J1499" s="790"/>
      <c r="K1499" s="791"/>
      <c r="L1499" s="786"/>
      <c r="M1499" s="792"/>
      <c r="N1499" s="793"/>
      <c r="O1499" s="806"/>
      <c r="P1499" s="795"/>
      <c r="Q1499" s="796"/>
      <c r="R1499" s="720">
        <f>$A1499*Q1499</f>
        <v>0</v>
      </c>
      <c r="S1499" s="796"/>
      <c r="T1499" s="500">
        <f>$A1499*S1499*$T$1</f>
        <v>0</v>
      </c>
    </row>
    <row r="1500" spans="1:41" s="501" customFormat="1" ht="12">
      <c r="A1500" s="44"/>
      <c r="B1500" s="497"/>
      <c r="C1500" s="497"/>
      <c r="D1500" s="807"/>
      <c r="E1500" s="808"/>
      <c r="F1500" s="499"/>
      <c r="G1500" s="499"/>
      <c r="H1500" s="499"/>
      <c r="I1500" s="499"/>
      <c r="J1500" s="499"/>
      <c r="K1500" s="499"/>
      <c r="L1500" s="809"/>
      <c r="M1500" s="499"/>
      <c r="N1500" s="499"/>
      <c r="O1500" s="499"/>
      <c r="P1500" s="499"/>
      <c r="Q1500" s="499"/>
      <c r="R1500" s="720">
        <f>$A1500*Q1500</f>
        <v>0</v>
      </c>
      <c r="S1500" s="499"/>
      <c r="T1500" s="500">
        <f>$A1500*S1500*$T$1</f>
        <v>0</v>
      </c>
    </row>
    <row r="1501" spans="1:41" s="501" customFormat="1" ht="12">
      <c r="A1501" s="44"/>
      <c r="B1501" s="497"/>
      <c r="C1501" s="497"/>
      <c r="D1501" s="807"/>
      <c r="E1501" s="808"/>
      <c r="F1501" s="499"/>
      <c r="G1501" s="499"/>
      <c r="H1501" s="499"/>
      <c r="I1501" s="499"/>
      <c r="J1501" s="499"/>
      <c r="K1501" s="499"/>
      <c r="L1501" s="809"/>
      <c r="M1501" s="499"/>
      <c r="N1501" s="499"/>
      <c r="O1501" s="499"/>
      <c r="P1501" s="499"/>
      <c r="Q1501" s="499"/>
      <c r="R1501" s="720">
        <f>$A1501*Q1501</f>
        <v>0</v>
      </c>
      <c r="S1501" s="499"/>
      <c r="T1501" s="500">
        <f>$A1501*S1501*$T$1</f>
        <v>0</v>
      </c>
    </row>
    <row r="1502" spans="1:41" s="501" customFormat="1" ht="12.75" customHeight="1">
      <c r="A1502" s="772" t="s">
        <v>145</v>
      </c>
      <c r="B1502" s="773">
        <f>(R1501+T1501)</f>
        <v>0</v>
      </c>
      <c r="C1502" s="810"/>
      <c r="D1502" s="810"/>
      <c r="E1502" s="810"/>
      <c r="F1502" s="810"/>
      <c r="G1502" s="776"/>
      <c r="H1502" s="776"/>
      <c r="I1502" s="776"/>
      <c r="J1502" s="776"/>
      <c r="K1502" s="798" t="s">
        <v>8</v>
      </c>
      <c r="L1502" s="811" t="s">
        <v>573</v>
      </c>
      <c r="M1502" s="776"/>
      <c r="N1502" s="776"/>
      <c r="O1502" s="776"/>
      <c r="P1502" s="776"/>
      <c r="Q1502" s="776"/>
      <c r="R1502" s="777">
        <f>SUM(R1498:R1501)</f>
        <v>0</v>
      </c>
      <c r="S1502" s="778"/>
      <c r="T1502" s="777">
        <f>SUM(T1498:T1501)</f>
        <v>0</v>
      </c>
      <c r="AG1502" s="812">
        <f>ROUND($R1502*$S$4,2)</f>
        <v>0</v>
      </c>
    </row>
    <row r="1503" spans="1:41" s="501" customFormat="1" ht="12.75" customHeight="1">
      <c r="A1503" s="813"/>
      <c r="B1503" s="814"/>
      <c r="E1503" s="497"/>
      <c r="F1503" s="808"/>
      <c r="G1503" s="497"/>
      <c r="H1503" s="497"/>
      <c r="I1503" s="499"/>
      <c r="J1503" s="497"/>
      <c r="K1503" s="497"/>
      <c r="L1503" s="815"/>
      <c r="M1503" s="725"/>
      <c r="N1503" s="725"/>
      <c r="O1503" s="725"/>
      <c r="P1503" s="725"/>
      <c r="Q1503" s="726"/>
      <c r="R1503" s="784"/>
      <c r="S1503" s="497"/>
      <c r="T1503" s="784"/>
    </row>
    <row r="1504" spans="1:41" s="501" customFormat="1" ht="13.5" customHeight="1" thickBot="1">
      <c r="A1504" s="816"/>
      <c r="B1504" s="817"/>
      <c r="C1504" s="518"/>
      <c r="D1504" s="518"/>
      <c r="E1504" s="515"/>
      <c r="F1504" s="721"/>
      <c r="G1504" s="515" t="s">
        <v>146</v>
      </c>
      <c r="H1504" s="515"/>
      <c r="I1504" s="516"/>
      <c r="J1504" s="515"/>
      <c r="K1504" s="515"/>
      <c r="L1504" s="818" t="s">
        <v>143</v>
      </c>
      <c r="M1504" s="517"/>
      <c r="N1504" s="517"/>
      <c r="O1504" s="517"/>
      <c r="P1504" s="517"/>
      <c r="Q1504" s="722"/>
      <c r="R1504" s="819">
        <f>SUMIF($L1480:$L1503,"SUBI",R1480:R1503)</f>
        <v>51.219999999999992</v>
      </c>
      <c r="S1504" s="820"/>
      <c r="T1504" s="819">
        <f>SUMIF($L1480:$L1503,"SUBI",T1480:T1503)</f>
        <v>2.61</v>
      </c>
      <c r="U1504" s="518"/>
      <c r="V1504" s="518"/>
      <c r="W1504" s="518"/>
      <c r="X1504" s="518"/>
      <c r="Y1504" s="518"/>
      <c r="Z1504" s="518"/>
      <c r="AA1504" s="518"/>
      <c r="AB1504" s="518"/>
      <c r="AC1504" s="518"/>
      <c r="AD1504" s="518"/>
      <c r="AE1504" s="518"/>
      <c r="AF1504" s="518"/>
      <c r="AG1504" s="518"/>
      <c r="AH1504" s="518"/>
      <c r="AI1504" s="518"/>
      <c r="AJ1504" s="518"/>
      <c r="AK1504" s="518"/>
      <c r="AL1504" s="518"/>
      <c r="AM1504" s="518"/>
      <c r="AN1504" s="518"/>
      <c r="AO1504" s="518"/>
    </row>
    <row r="1505" spans="1:41" s="501" customFormat="1" thickTop="1">
      <c r="A1505" s="44"/>
      <c r="B1505" s="39"/>
      <c r="C1505" s="44"/>
      <c r="E1505" s="40" t="s">
        <v>138</v>
      </c>
      <c r="F1505" s="40" t="s">
        <v>139</v>
      </c>
      <c r="G1505" s="44"/>
      <c r="H1505" s="44"/>
      <c r="I1505" s="44"/>
      <c r="J1505" s="44"/>
      <c r="K1505" s="44" t="s">
        <v>140</v>
      </c>
      <c r="L1505" s="737"/>
      <c r="M1505" s="44"/>
      <c r="N1505" s="44"/>
      <c r="O1505" s="45"/>
      <c r="P1505" s="44"/>
      <c r="Q1505"/>
      <c r="R1505"/>
      <c r="S1505"/>
      <c r="T1505" s="39"/>
      <c r="AG1505" s="502" t="s">
        <v>247</v>
      </c>
      <c r="AH1505" s="502" t="s">
        <v>248</v>
      </c>
      <c r="AI1505" s="502" t="s">
        <v>249</v>
      </c>
      <c r="AJ1505" s="502" t="s">
        <v>250</v>
      </c>
      <c r="AK1505" s="502" t="s">
        <v>251</v>
      </c>
      <c r="AM1505" s="710" t="s">
        <v>260</v>
      </c>
      <c r="AN1505" s="711" t="s">
        <v>261</v>
      </c>
      <c r="AO1505" s="503" t="s">
        <v>257</v>
      </c>
    </row>
    <row r="1506" spans="1:41" s="501" customFormat="1" ht="13.2">
      <c r="A1506" s="712">
        <v>1</v>
      </c>
      <c r="B1506" s="504" t="s">
        <v>283</v>
      </c>
      <c r="C1506" s="505"/>
      <c r="D1506" s="713" t="s">
        <v>586</v>
      </c>
      <c r="E1506" s="738">
        <f>IF(AND($A1506=0,$A$1="DIF"),0,ROUND(ROUND(SUMIF($L1508:$L1525,"SUBI",$E1508:$E1525)/$A1506,2)*$C$12,2))</f>
        <v>165.9</v>
      </c>
      <c r="F1506" s="739">
        <f>ROUND($A1506*$E1506,2)</f>
        <v>165.9</v>
      </c>
      <c r="G1506" s="506" t="s">
        <v>142</v>
      </c>
      <c r="H1506" s="498"/>
      <c r="I1506" s="716"/>
      <c r="J1506" s="498"/>
      <c r="K1506" s="740"/>
      <c r="L1506" s="741" t="s">
        <v>143</v>
      </c>
      <c r="M1506" s="717"/>
      <c r="N1506" s="717"/>
      <c r="O1506" s="717"/>
      <c r="P1506" s="717"/>
      <c r="Q1506" s="943" t="s">
        <v>855</v>
      </c>
      <c r="R1506" s="943" t="s">
        <v>871</v>
      </c>
      <c r="S1506"/>
      <c r="T1506" s="742" t="str">
        <f>IF(AND($R1531=0,$T1531=0),"0.00","mu :" &amp; ROUND($F1506/$C$12/($R1531+$T1531*$D$9),2))</f>
        <v>mu :1.35</v>
      </c>
      <c r="W1506" s="507"/>
      <c r="AG1506" s="743">
        <f>IF(A1506=0,0,ROUND(SUM(AG1508:AG1531)/A1506,2))</f>
        <v>69.150000000000006</v>
      </c>
      <c r="AH1506" s="743">
        <f>$AG1506*$A1506</f>
        <v>69.150000000000006</v>
      </c>
      <c r="AI1506" s="743">
        <f>$E1506-$AG1506</f>
        <v>96.75</v>
      </c>
      <c r="AJ1506" s="743">
        <f>$A1506*$AI1506</f>
        <v>96.75</v>
      </c>
      <c r="AK1506" s="744">
        <f>ROUND(($AG1506+$AI1506)*$A1506,2)</f>
        <v>165.9</v>
      </c>
      <c r="AM1506" s="510">
        <f>ROUND(R1531,2)</f>
        <v>51.22</v>
      </c>
      <c r="AN1506" s="511">
        <f>ROUND(T1531,2)</f>
        <v>2.61</v>
      </c>
      <c r="AO1506" s="512">
        <f>ROUND(AM1506+AN1506,2)*A1506</f>
        <v>53.83</v>
      </c>
    </row>
    <row r="1507" spans="1:41" s="501" customFormat="1" ht="21.6" customHeight="1">
      <c r="A1507" s="745"/>
      <c r="B1507" s="746"/>
      <c r="C1507" s="505"/>
      <c r="D1507" s="724" t="s">
        <v>454</v>
      </c>
      <c r="F1507" s="498"/>
      <c r="G1507" s="498"/>
      <c r="H1507" s="498"/>
      <c r="I1507" s="716"/>
      <c r="J1507" s="498"/>
      <c r="K1507" s="498" t="s">
        <v>144</v>
      </c>
      <c r="L1507" s="747"/>
      <c r="M1507" s="498"/>
      <c r="N1507" s="498"/>
      <c r="O1507" s="498"/>
      <c r="P1507" s="498"/>
      <c r="Q1507" s="44"/>
      <c r="R1507" s="567"/>
      <c r="S1507" s="719"/>
      <c r="T1507" s="498"/>
    </row>
    <row r="1508" spans="1:41" s="501" customFormat="1" ht="12">
      <c r="A1508" s="748"/>
      <c r="B1508" s="749"/>
      <c r="C1508" s="497"/>
      <c r="D1508" s="750"/>
      <c r="E1508" s="751">
        <f>F1506/$C$12-SUMIF($L1505:$L1531,"SUBI",$E1505:$E1531)</f>
        <v>0</v>
      </c>
      <c r="F1508" s="752" t="s">
        <v>572</v>
      </c>
      <c r="G1508" s="753"/>
      <c r="H1508" s="753"/>
      <c r="I1508" s="754"/>
      <c r="J1508" s="753"/>
      <c r="K1508" s="753"/>
      <c r="L1508" s="755"/>
      <c r="M1508" s="756"/>
      <c r="N1508" s="756"/>
      <c r="O1508" s="756"/>
      <c r="P1508" s="756"/>
      <c r="Q1508" s="757"/>
      <c r="R1508" s="758"/>
      <c r="S1508" s="757"/>
      <c r="T1508" s="759"/>
    </row>
    <row r="1509" spans="1:41" s="501" customFormat="1" ht="12" customHeight="1">
      <c r="A1509" s="760"/>
      <c r="B1509" s="761"/>
      <c r="C1509" s="762"/>
      <c r="D1509" s="762" t="str">
        <f>$F$2</f>
        <v>Electrical</v>
      </c>
      <c r="E1509" s="762">
        <f>ROUND(($R1519*$S$2 + ($T1519*$T$2)), 2)</f>
        <v>165.9</v>
      </c>
      <c r="F1509" s="763">
        <f>$E1509*$C$12</f>
        <v>165.9</v>
      </c>
      <c r="G1509" s="567"/>
      <c r="H1509" s="764"/>
      <c r="I1509" s="567"/>
      <c r="J1509" s="45"/>
      <c r="K1509" s="765" t="s">
        <v>3</v>
      </c>
      <c r="L1509" s="766" t="s">
        <v>573</v>
      </c>
      <c r="M1509" s="567"/>
      <c r="N1509" s="567"/>
      <c r="O1509" s="45"/>
      <c r="P1509" s="567"/>
      <c r="Q1509" s="567"/>
      <c r="R1509"/>
      <c r="S1509"/>
      <c r="T1509"/>
    </row>
    <row r="1510" spans="1:41" s="893" customFormat="1" ht="13.2">
      <c r="A1510"/>
      <c r="D1510" s="944" t="s">
        <v>755</v>
      </c>
      <c r="G1510" s="894" t="s">
        <v>749</v>
      </c>
      <c r="H1510" s="895">
        <v>616</v>
      </c>
      <c r="I1510" s="893" t="s">
        <v>656</v>
      </c>
      <c r="J1510" s="893" t="s">
        <v>750</v>
      </c>
      <c r="O1510" s="896">
        <v>2</v>
      </c>
      <c r="P1510" s="897">
        <v>40767</v>
      </c>
      <c r="Q1510" s="898"/>
      <c r="R1510" s="899">
        <f t="shared" ref="R1510:R1515" si="57">$A1510*Q1510</f>
        <v>0</v>
      </c>
      <c r="S1510" s="898"/>
      <c r="T1510" s="900">
        <f t="shared" ref="T1510:T1515" si="58">$A1510*S1510*$T$1</f>
        <v>0</v>
      </c>
    </row>
    <row r="1511" spans="1:41" s="893" customFormat="1" ht="13.2">
      <c r="A1511">
        <v>3</v>
      </c>
      <c r="B1511" s="893" t="s">
        <v>296</v>
      </c>
      <c r="D1511" s="893" t="s">
        <v>1084</v>
      </c>
      <c r="F1511" s="893" t="s">
        <v>756</v>
      </c>
      <c r="G1511" s="894" t="s">
        <v>749</v>
      </c>
      <c r="H1511" s="895">
        <v>616</v>
      </c>
      <c r="I1511" s="893" t="s">
        <v>656</v>
      </c>
      <c r="J1511" s="893" t="s">
        <v>750</v>
      </c>
      <c r="O1511" s="896">
        <v>2</v>
      </c>
      <c r="P1511" s="897">
        <v>40767</v>
      </c>
      <c r="Q1511" s="898">
        <v>10.45</v>
      </c>
      <c r="R1511" s="899">
        <f t="shared" si="57"/>
        <v>31.349999999999998</v>
      </c>
      <c r="S1511" s="898">
        <v>0.1</v>
      </c>
      <c r="T1511" s="900">
        <f t="shared" si="58"/>
        <v>0.30000000000000004</v>
      </c>
    </row>
    <row r="1512" spans="1:41" s="893" customFormat="1" ht="13.2">
      <c r="A1512" s="87">
        <v>3</v>
      </c>
      <c r="B1512" s="893" t="s">
        <v>141</v>
      </c>
      <c r="D1512" s="893" t="s">
        <v>743</v>
      </c>
      <c r="G1512" s="894" t="s">
        <v>744</v>
      </c>
      <c r="H1512" s="895">
        <v>875</v>
      </c>
      <c r="I1512" s="893" t="s">
        <v>643</v>
      </c>
      <c r="K1512" s="893" t="s">
        <v>745</v>
      </c>
      <c r="O1512" s="896">
        <v>1</v>
      </c>
      <c r="P1512" s="897">
        <v>34669</v>
      </c>
      <c r="Q1512" s="898">
        <v>0.05</v>
      </c>
      <c r="R1512" s="899">
        <f t="shared" si="57"/>
        <v>0.15000000000000002</v>
      </c>
      <c r="S1512" s="898"/>
      <c r="T1512" s="900">
        <f t="shared" si="58"/>
        <v>0</v>
      </c>
    </row>
    <row r="1513" spans="1:41" s="893" customFormat="1" ht="13.2">
      <c r="A1513">
        <v>2</v>
      </c>
      <c r="B1513" s="893" t="s">
        <v>141</v>
      </c>
      <c r="D1513" s="893" t="s">
        <v>751</v>
      </c>
      <c r="G1513" s="894" t="s">
        <v>752</v>
      </c>
      <c r="H1513" s="895">
        <v>620</v>
      </c>
      <c r="I1513" s="893" t="s">
        <v>671</v>
      </c>
      <c r="O1513" s="896">
        <v>2</v>
      </c>
      <c r="P1513" s="897">
        <v>35431</v>
      </c>
      <c r="Q1513" s="898">
        <v>7.66</v>
      </c>
      <c r="R1513" s="899">
        <f t="shared" si="57"/>
        <v>15.32</v>
      </c>
      <c r="S1513" s="898">
        <v>0.4</v>
      </c>
      <c r="T1513" s="900">
        <f t="shared" si="58"/>
        <v>0.8</v>
      </c>
    </row>
    <row r="1514" spans="1:41" s="893" customFormat="1" ht="13.2">
      <c r="A1514">
        <v>2</v>
      </c>
      <c r="B1514" s="893" t="s">
        <v>296</v>
      </c>
      <c r="D1514" s="893" t="s">
        <v>672</v>
      </c>
      <c r="G1514" s="894" t="s">
        <v>673</v>
      </c>
      <c r="H1514" s="895">
        <v>620</v>
      </c>
      <c r="I1514" s="893" t="s">
        <v>643</v>
      </c>
      <c r="O1514" s="896">
        <v>2</v>
      </c>
      <c r="P1514" s="897">
        <v>38148</v>
      </c>
      <c r="Q1514" s="898">
        <v>1.5</v>
      </c>
      <c r="R1514" s="899">
        <f t="shared" si="57"/>
        <v>3</v>
      </c>
      <c r="S1514" s="898">
        <v>0.08</v>
      </c>
      <c r="T1514" s="900">
        <f t="shared" si="58"/>
        <v>0.16</v>
      </c>
    </row>
    <row r="1515" spans="1:41" s="893" customFormat="1" ht="13.2">
      <c r="A1515">
        <v>10</v>
      </c>
      <c r="B1515" s="893" t="s">
        <v>141</v>
      </c>
      <c r="D1515" s="893" t="s">
        <v>753</v>
      </c>
      <c r="G1515" s="894" t="s">
        <v>754</v>
      </c>
      <c r="H1515" s="895">
        <v>620</v>
      </c>
      <c r="I1515" s="893" t="s">
        <v>676</v>
      </c>
      <c r="O1515" s="896">
        <v>2</v>
      </c>
      <c r="P1515" s="897">
        <v>34669</v>
      </c>
      <c r="Q1515" s="898">
        <v>0.14000000000000001</v>
      </c>
      <c r="R1515" s="899">
        <f t="shared" si="57"/>
        <v>1.4000000000000001</v>
      </c>
      <c r="S1515" s="898">
        <v>0.06</v>
      </c>
      <c r="T1515" s="900">
        <f t="shared" si="58"/>
        <v>0.6</v>
      </c>
    </row>
    <row r="1516" spans="1:41" s="893" customFormat="1" ht="13.2">
      <c r="A1516">
        <v>1</v>
      </c>
      <c r="B1516" s="893" t="s">
        <v>141</v>
      </c>
      <c r="D1516" s="893" t="s">
        <v>658</v>
      </c>
      <c r="F1516" s="893" t="s">
        <v>748</v>
      </c>
      <c r="G1516" s="894" t="s">
        <v>659</v>
      </c>
      <c r="H1516" s="895">
        <v>900</v>
      </c>
      <c r="I1516" s="893" t="s">
        <v>660</v>
      </c>
      <c r="O1516" s="896">
        <v>1</v>
      </c>
      <c r="P1516" s="897"/>
      <c r="Q1516" s="898"/>
      <c r="R1516" s="899">
        <f>$A1516*Q1516</f>
        <v>0</v>
      </c>
      <c r="S1516" s="898">
        <v>0.5</v>
      </c>
      <c r="T1516" s="900">
        <f>$A1516*S1516*$T$1</f>
        <v>0.5</v>
      </c>
    </row>
    <row r="1517" spans="1:41" s="893" customFormat="1" ht="13.2">
      <c r="A1517">
        <v>1</v>
      </c>
      <c r="B1517" s="893" t="s">
        <v>141</v>
      </c>
      <c r="D1517" s="893" t="s">
        <v>658</v>
      </c>
      <c r="F1517" s="893" t="s">
        <v>757</v>
      </c>
      <c r="G1517" s="894" t="s">
        <v>659</v>
      </c>
      <c r="H1517" s="895">
        <v>900</v>
      </c>
      <c r="I1517" s="893" t="s">
        <v>660</v>
      </c>
      <c r="O1517" s="896">
        <v>1</v>
      </c>
      <c r="P1517" s="897"/>
      <c r="Q1517" s="898"/>
      <c r="R1517" s="899">
        <f>$A1517*Q1517</f>
        <v>0</v>
      </c>
      <c r="S1517" s="898">
        <v>0.25</v>
      </c>
      <c r="T1517" s="900">
        <f>$A1517*S1517*$T$1</f>
        <v>0.25</v>
      </c>
    </row>
    <row r="1518" spans="1:41" s="501" customFormat="1" ht="14.4" customHeight="1">
      <c r="A1518" s="767"/>
      <c r="B1518" s="567"/>
      <c r="C1518" s="567"/>
      <c r="D1518" s="567"/>
      <c r="E1518" s="567"/>
      <c r="F1518" s="567"/>
      <c r="G1518" s="567"/>
      <c r="H1518" s="764"/>
      <c r="I1518" s="567"/>
      <c r="J1518" s="45"/>
      <c r="K1518" s="769"/>
      <c r="L1518" s="770"/>
      <c r="M1518" s="567"/>
      <c r="N1518" s="567"/>
      <c r="O1518" s="45"/>
      <c r="P1518" s="567"/>
      <c r="Q1518" s="567"/>
      <c r="R1518" s="771">
        <f>$A1518*Q1518</f>
        <v>0</v>
      </c>
      <c r="S1518" s="567"/>
      <c r="T1518" s="500">
        <f>$A1518*S1518*$T$1</f>
        <v>0</v>
      </c>
    </row>
    <row r="1519" spans="1:41" s="501" customFormat="1" ht="12">
      <c r="A1519" s="772" t="s">
        <v>145</v>
      </c>
      <c r="B1519" s="773">
        <f>(R1518+T1518)</f>
        <v>0</v>
      </c>
      <c r="C1519" s="753"/>
      <c r="G1519" s="774"/>
      <c r="H1519" s="774"/>
      <c r="I1519" s="774"/>
      <c r="J1519" s="774"/>
      <c r="K1519" s="750" t="s">
        <v>3</v>
      </c>
      <c r="L1519" s="775" t="s">
        <v>573</v>
      </c>
      <c r="M1519" s="774"/>
      <c r="N1519" s="774"/>
      <c r="O1519" s="774"/>
      <c r="P1519" s="774"/>
      <c r="Q1519" s="776"/>
      <c r="R1519" s="777">
        <f>SUM(R1509:R1518)</f>
        <v>51.219999999999992</v>
      </c>
      <c r="S1519" s="778"/>
      <c r="T1519" s="777">
        <f>SUM(T1509:T1518)</f>
        <v>2.61</v>
      </c>
      <c r="AG1519" s="779">
        <f>ROUND($R1519*$S$2,2)</f>
        <v>69.150000000000006</v>
      </c>
    </row>
    <row r="1520" spans="1:41" s="501" customFormat="1" ht="12" customHeight="1">
      <c r="A1520" s="760"/>
      <c r="B1520" s="780"/>
      <c r="C1520" s="781"/>
      <c r="D1520" s="782" t="str">
        <f>$F$3</f>
        <v>Technician</v>
      </c>
      <c r="E1520" s="782">
        <f>ROUND(($R1524*$S$3 + ($T1524*$T$3)), 2)</f>
        <v>0</v>
      </c>
      <c r="F1520" s="783">
        <f>$E1520*$C$12</f>
        <v>0</v>
      </c>
      <c r="G1520" s="499"/>
      <c r="H1520" s="499"/>
      <c r="I1520" s="499"/>
      <c r="J1520" s="499"/>
      <c r="K1520" s="765" t="s">
        <v>5</v>
      </c>
      <c r="L1520" s="766" t="s">
        <v>573</v>
      </c>
      <c r="M1520" s="499"/>
      <c r="N1520" s="499"/>
      <c r="O1520" s="499"/>
      <c r="P1520" s="499"/>
      <c r="Q1520" s="499"/>
      <c r="R1520" s="784"/>
      <c r="S1520" s="499"/>
      <c r="T1520" s="784"/>
    </row>
    <row r="1521" spans="1:41" s="797" customFormat="1" ht="15.6" customHeight="1">
      <c r="A1521" s="785"/>
      <c r="B1521" s="768" t="s">
        <v>575</v>
      </c>
      <c r="C1521" s="786"/>
      <c r="D1521" s="787"/>
      <c r="E1521" s="787"/>
      <c r="F1521" s="787"/>
      <c r="G1521" s="788"/>
      <c r="H1521" s="789"/>
      <c r="I1521" s="789"/>
      <c r="J1521" s="790"/>
      <c r="K1521" s="791"/>
      <c r="L1521" s="786"/>
      <c r="M1521" s="792"/>
      <c r="N1521" s="793"/>
      <c r="O1521" s="794"/>
      <c r="P1521" s="795"/>
      <c r="Q1521" s="796"/>
      <c r="R1521" s="771">
        <f>$A1521*Q1521</f>
        <v>0</v>
      </c>
      <c r="S1521" s="567"/>
      <c r="T1521" s="500">
        <f>$A1521*S1521*$T$1</f>
        <v>0</v>
      </c>
    </row>
    <row r="1522" spans="1:41" s="501" customFormat="1" ht="15.6" customHeight="1">
      <c r="A1522" s="767"/>
      <c r="B1522" s="567"/>
      <c r="C1522" s="567"/>
      <c r="D1522" s="567"/>
      <c r="E1522" s="567"/>
      <c r="F1522" s="567"/>
      <c r="G1522" s="567"/>
      <c r="H1522" s="567"/>
      <c r="I1522" s="567"/>
      <c r="J1522" s="567"/>
      <c r="K1522" s="567"/>
      <c r="L1522" s="770"/>
      <c r="M1522" s="567"/>
      <c r="N1522" s="567"/>
      <c r="O1522" s="567"/>
      <c r="P1522" s="567"/>
      <c r="Q1522" s="567"/>
      <c r="R1522" s="771">
        <f>$A1522*Q1522</f>
        <v>0</v>
      </c>
      <c r="S1522" s="567"/>
      <c r="T1522" s="500">
        <f>$A1522*S1522*$T$1</f>
        <v>0</v>
      </c>
    </row>
    <row r="1523" spans="1:41" s="501" customFormat="1" ht="15.6" customHeight="1">
      <c r="A1523" s="767"/>
      <c r="B1523" s="567"/>
      <c r="C1523" s="567"/>
      <c r="D1523" s="3"/>
      <c r="E1523" s="567"/>
      <c r="F1523" s="567"/>
      <c r="G1523" s="567"/>
      <c r="H1523" s="567"/>
      <c r="I1523" s="567"/>
      <c r="J1523" s="567"/>
      <c r="K1523" s="567"/>
      <c r="L1523" s="770"/>
      <c r="M1523" s="567"/>
      <c r="N1523" s="567"/>
      <c r="O1523" s="567"/>
      <c r="P1523" s="567"/>
      <c r="Q1523" s="567"/>
      <c r="R1523" s="771">
        <f>$A1523*Q1523</f>
        <v>0</v>
      </c>
      <c r="S1523" s="567"/>
      <c r="T1523" s="500">
        <f>$A1523*S1523*$T$1</f>
        <v>0</v>
      </c>
    </row>
    <row r="1524" spans="1:41" s="501" customFormat="1" ht="12">
      <c r="A1524" s="772" t="s">
        <v>145</v>
      </c>
      <c r="B1524" s="773">
        <f>(R1523+T1523)</f>
        <v>0</v>
      </c>
      <c r="C1524" s="753"/>
      <c r="G1524" s="774"/>
      <c r="H1524" s="774"/>
      <c r="I1524" s="774"/>
      <c r="J1524" s="774"/>
      <c r="K1524" s="798" t="s">
        <v>5</v>
      </c>
      <c r="L1524" s="775" t="s">
        <v>573</v>
      </c>
      <c r="M1524" s="774"/>
      <c r="N1524" s="774"/>
      <c r="O1524" s="774"/>
      <c r="P1524" s="774"/>
      <c r="Q1524" s="776"/>
      <c r="R1524" s="777">
        <f>SUM(R1520:R1523)</f>
        <v>0</v>
      </c>
      <c r="S1524" s="778"/>
      <c r="T1524" s="777">
        <f>SUM(T1520:T1523)</f>
        <v>0</v>
      </c>
      <c r="AG1524" s="799">
        <f>ROUND($R1524*$S$3,2)</f>
        <v>0</v>
      </c>
    </row>
    <row r="1525" spans="1:41" s="501" customFormat="1" ht="12" customHeight="1">
      <c r="A1525" s="800"/>
      <c r="B1525" s="801"/>
      <c r="C1525" s="802"/>
      <c r="D1525" s="803" t="str">
        <f>$F$4</f>
        <v>Engineer (Man Hours)</v>
      </c>
      <c r="E1525" s="803">
        <f>ROUND(($R1529*$S$4 + ($T1529*$T$4)), 2)</f>
        <v>0</v>
      </c>
      <c r="F1525" s="804">
        <f ca="1">$F1506-SUMIF($L1508:$P1522,"SUBI",$F1508:$F1522)</f>
        <v>0</v>
      </c>
      <c r="G1525" s="499"/>
      <c r="H1525" s="499"/>
      <c r="I1525" s="499"/>
      <c r="J1525" s="499"/>
      <c r="K1525" s="805" t="s">
        <v>8</v>
      </c>
      <c r="L1525" s="766" t="s">
        <v>573</v>
      </c>
      <c r="M1525" s="499"/>
      <c r="N1525" s="499"/>
      <c r="O1525" s="499"/>
      <c r="P1525" s="499"/>
      <c r="Q1525" s="499"/>
      <c r="R1525" s="784"/>
      <c r="S1525" s="499"/>
      <c r="T1525" s="784"/>
    </row>
    <row r="1526" spans="1:41" s="797" customFormat="1" ht="14.4" customHeight="1">
      <c r="A1526" s="785"/>
      <c r="B1526" s="768" t="s">
        <v>576</v>
      </c>
      <c r="C1526" s="786"/>
      <c r="D1526" s="787"/>
      <c r="E1526" s="787"/>
      <c r="F1526" s="787"/>
      <c r="G1526" s="788"/>
      <c r="H1526" s="789"/>
      <c r="I1526" s="789"/>
      <c r="J1526" s="790"/>
      <c r="K1526" s="791"/>
      <c r="L1526" s="786"/>
      <c r="M1526" s="792"/>
      <c r="N1526" s="793"/>
      <c r="O1526" s="806"/>
      <c r="P1526" s="795"/>
      <c r="Q1526" s="796"/>
      <c r="R1526" s="720">
        <f>$A1526*Q1526</f>
        <v>0</v>
      </c>
      <c r="S1526" s="796"/>
      <c r="T1526" s="500">
        <f>$A1526*S1526*$T$1</f>
        <v>0</v>
      </c>
    </row>
    <row r="1527" spans="1:41" s="501" customFormat="1" ht="12">
      <c r="A1527" s="44"/>
      <c r="B1527" s="497"/>
      <c r="C1527" s="497"/>
      <c r="D1527" s="807"/>
      <c r="E1527" s="808"/>
      <c r="F1527" s="499"/>
      <c r="G1527" s="499"/>
      <c r="H1527" s="499"/>
      <c r="I1527" s="499"/>
      <c r="J1527" s="499"/>
      <c r="K1527" s="499"/>
      <c r="L1527" s="809"/>
      <c r="M1527" s="499"/>
      <c r="N1527" s="499"/>
      <c r="O1527" s="499"/>
      <c r="P1527" s="499"/>
      <c r="Q1527" s="499"/>
      <c r="R1527" s="720">
        <f>$A1527*Q1527</f>
        <v>0</v>
      </c>
      <c r="S1527" s="499"/>
      <c r="T1527" s="500">
        <f>$A1527*S1527*$T$1</f>
        <v>0</v>
      </c>
    </row>
    <row r="1528" spans="1:41" s="501" customFormat="1" ht="12">
      <c r="A1528" s="44"/>
      <c r="B1528" s="497"/>
      <c r="C1528" s="497"/>
      <c r="D1528" s="807"/>
      <c r="E1528" s="808"/>
      <c r="F1528" s="499"/>
      <c r="G1528" s="499"/>
      <c r="H1528" s="499"/>
      <c r="I1528" s="499"/>
      <c r="J1528" s="499"/>
      <c r="K1528" s="499"/>
      <c r="L1528" s="809"/>
      <c r="M1528" s="499"/>
      <c r="N1528" s="499"/>
      <c r="O1528" s="499"/>
      <c r="P1528" s="499"/>
      <c r="Q1528" s="499"/>
      <c r="R1528" s="720">
        <f>$A1528*Q1528</f>
        <v>0</v>
      </c>
      <c r="S1528" s="499"/>
      <c r="T1528" s="500">
        <f>$A1528*S1528*$T$1</f>
        <v>0</v>
      </c>
    </row>
    <row r="1529" spans="1:41" s="501" customFormat="1" ht="12.75" customHeight="1">
      <c r="A1529" s="772" t="s">
        <v>145</v>
      </c>
      <c r="B1529" s="773">
        <f>(R1528+T1528)</f>
        <v>0</v>
      </c>
      <c r="C1529" s="810"/>
      <c r="D1529" s="810"/>
      <c r="E1529" s="810"/>
      <c r="F1529" s="810"/>
      <c r="G1529" s="776"/>
      <c r="H1529" s="776"/>
      <c r="I1529" s="776"/>
      <c r="J1529" s="776"/>
      <c r="K1529" s="798" t="s">
        <v>8</v>
      </c>
      <c r="L1529" s="811" t="s">
        <v>573</v>
      </c>
      <c r="M1529" s="776"/>
      <c r="N1529" s="776"/>
      <c r="O1529" s="776"/>
      <c r="P1529" s="776"/>
      <c r="Q1529" s="776"/>
      <c r="R1529" s="777">
        <f>SUM(R1525:R1528)</f>
        <v>0</v>
      </c>
      <c r="S1529" s="778"/>
      <c r="T1529" s="777">
        <f>SUM(T1525:T1528)</f>
        <v>0</v>
      </c>
      <c r="AG1529" s="812">
        <f>ROUND($R1529*$S$4,2)</f>
        <v>0</v>
      </c>
    </row>
    <row r="1530" spans="1:41" s="501" customFormat="1" ht="12.75" customHeight="1">
      <c r="A1530" s="813"/>
      <c r="B1530" s="814"/>
      <c r="E1530" s="497"/>
      <c r="F1530" s="808"/>
      <c r="G1530" s="497"/>
      <c r="H1530" s="497"/>
      <c r="I1530" s="499"/>
      <c r="J1530" s="497"/>
      <c r="K1530" s="497"/>
      <c r="L1530" s="815"/>
      <c r="M1530" s="725"/>
      <c r="N1530" s="725"/>
      <c r="O1530" s="725"/>
      <c r="P1530" s="725"/>
      <c r="Q1530" s="726"/>
      <c r="R1530" s="784"/>
      <c r="S1530" s="497"/>
      <c r="T1530" s="784"/>
    </row>
    <row r="1531" spans="1:41" s="501" customFormat="1" ht="13.5" customHeight="1" thickBot="1">
      <c r="A1531" s="816"/>
      <c r="B1531" s="817"/>
      <c r="C1531" s="518"/>
      <c r="D1531" s="518"/>
      <c r="E1531" s="515"/>
      <c r="F1531" s="721"/>
      <c r="G1531" s="515" t="s">
        <v>146</v>
      </c>
      <c r="H1531" s="515"/>
      <c r="I1531" s="516"/>
      <c r="J1531" s="515"/>
      <c r="K1531" s="515"/>
      <c r="L1531" s="818" t="s">
        <v>143</v>
      </c>
      <c r="M1531" s="517"/>
      <c r="N1531" s="517"/>
      <c r="O1531" s="517"/>
      <c r="P1531" s="517"/>
      <c r="Q1531" s="722"/>
      <c r="R1531" s="819">
        <f>SUMIF($L1507:$L1530,"SUBI",R1507:R1530)</f>
        <v>51.219999999999992</v>
      </c>
      <c r="S1531" s="820"/>
      <c r="T1531" s="819">
        <f>SUMIF($L1507:$L1530,"SUBI",T1507:T1530)</f>
        <v>2.61</v>
      </c>
      <c r="U1531" s="518"/>
      <c r="V1531" s="518"/>
      <c r="W1531" s="518"/>
      <c r="X1531" s="518"/>
      <c r="Y1531" s="518"/>
      <c r="Z1531" s="518"/>
      <c r="AA1531" s="518"/>
      <c r="AB1531" s="518"/>
      <c r="AC1531" s="518"/>
      <c r="AD1531" s="518"/>
      <c r="AE1531" s="518"/>
      <c r="AF1531" s="518"/>
      <c r="AG1531" s="518"/>
      <c r="AH1531" s="518"/>
      <c r="AI1531" s="518"/>
      <c r="AJ1531" s="518"/>
      <c r="AK1531" s="518"/>
      <c r="AL1531" s="518"/>
      <c r="AM1531" s="518"/>
      <c r="AN1531" s="518"/>
      <c r="AO1531" s="518"/>
    </row>
    <row r="1532" spans="1:41" s="501" customFormat="1" thickTop="1">
      <c r="A1532" s="44"/>
      <c r="B1532" s="44"/>
      <c r="C1532" s="3"/>
      <c r="D1532" s="3"/>
      <c r="E1532" s="44"/>
      <c r="F1532" s="44"/>
      <c r="G1532" s="44"/>
      <c r="H1532" s="44"/>
      <c r="I1532" s="44"/>
      <c r="J1532" s="44"/>
      <c r="K1532" s="44" t="s">
        <v>134</v>
      </c>
      <c r="L1532" s="44"/>
      <c r="M1532" s="44"/>
      <c r="N1532" s="44"/>
      <c r="O1532" s="45"/>
      <c r="P1532" s="44"/>
      <c r="Q1532" s="44"/>
      <c r="R1532" s="44"/>
      <c r="S1532" s="44"/>
      <c r="T1532" s="44"/>
    </row>
    <row r="1533" spans="1:41" s="501" customFormat="1" ht="12">
      <c r="A1533" s="44"/>
      <c r="B1533" s="44"/>
      <c r="C1533" s="44" t="s">
        <v>135</v>
      </c>
      <c r="D1533" s="35" t="s">
        <v>962</v>
      </c>
      <c r="E1533" s="44"/>
      <c r="F1533" s="44"/>
      <c r="G1533" s="44"/>
      <c r="H1533" s="44"/>
      <c r="I1533" s="44"/>
      <c r="J1533" s="44"/>
      <c r="K1533" s="44"/>
      <c r="L1533" s="44"/>
      <c r="M1533" s="44"/>
      <c r="N1533" s="44"/>
      <c r="O1533" s="45"/>
      <c r="P1533" s="44"/>
      <c r="Q1533" s="44"/>
      <c r="R1533" s="44"/>
      <c r="S1533" s="44"/>
      <c r="T1533" s="44"/>
    </row>
    <row r="1534" spans="1:41" s="501" customFormat="1" ht="13.2">
      <c r="A1534" s="44"/>
      <c r="B1534" s="44"/>
      <c r="C1534" s="44"/>
      <c r="D1534" s="1185" t="s">
        <v>451</v>
      </c>
      <c r="E1534" s="1184"/>
      <c r="F1534" s="1184"/>
      <c r="G1534" s="1184"/>
      <c r="H1534" s="1184"/>
      <c r="I1534" s="1184"/>
      <c r="J1534" s="1184"/>
      <c r="K1534" s="1184"/>
      <c r="L1534" s="1184"/>
      <c r="M1534" s="1184"/>
      <c r="N1534" s="1184"/>
      <c r="O1534" s="1184"/>
      <c r="P1534" s="1184"/>
      <c r="Q1534" s="1184"/>
      <c r="R1534" s="1184"/>
      <c r="S1534" s="1184"/>
      <c r="T1534" s="1184"/>
    </row>
    <row r="1535" spans="1:41" s="3" customFormat="1" thickBot="1">
      <c r="A1535" s="518"/>
      <c r="O1535" s="86"/>
    </row>
    <row r="1536" spans="1:41" s="501" customFormat="1" thickTop="1">
      <c r="A1536" s="44"/>
      <c r="B1536" s="39"/>
      <c r="C1536" s="44"/>
      <c r="E1536" s="40" t="s">
        <v>138</v>
      </c>
      <c r="F1536" s="40" t="s">
        <v>139</v>
      </c>
      <c r="G1536" s="44"/>
      <c r="H1536" s="44"/>
      <c r="I1536" s="44"/>
      <c r="J1536" s="44"/>
      <c r="K1536" s="44" t="s">
        <v>140</v>
      </c>
      <c r="L1536" s="737"/>
      <c r="M1536" s="44"/>
      <c r="N1536" s="44"/>
      <c r="O1536" s="45"/>
      <c r="P1536" s="44"/>
      <c r="Q1536"/>
      <c r="R1536"/>
      <c r="S1536"/>
      <c r="T1536" s="39"/>
      <c r="AG1536" s="502" t="s">
        <v>247</v>
      </c>
      <c r="AH1536" s="502" t="s">
        <v>248</v>
      </c>
      <c r="AI1536" s="502" t="s">
        <v>249</v>
      </c>
      <c r="AJ1536" s="502" t="s">
        <v>250</v>
      </c>
      <c r="AK1536" s="502" t="s">
        <v>251</v>
      </c>
      <c r="AM1536" s="710" t="s">
        <v>260</v>
      </c>
      <c r="AN1536" s="711" t="s">
        <v>261</v>
      </c>
      <c r="AO1536" s="503" t="s">
        <v>257</v>
      </c>
    </row>
    <row r="1537" spans="1:41" s="501" customFormat="1" ht="13.2">
      <c r="A1537" s="712">
        <v>1</v>
      </c>
      <c r="B1537" s="504" t="s">
        <v>283</v>
      </c>
      <c r="C1537" s="505"/>
      <c r="D1537" s="713" t="s">
        <v>577</v>
      </c>
      <c r="E1537" s="738">
        <f>IF(AND($A1537=0,$A$1="DIF"),0,ROUND(ROUND(SUMIF($L1539:$L1554,"SUBI",$E1539:$E1554)/$A1537,2)*$C$12,2))</f>
        <v>165.9</v>
      </c>
      <c r="F1537" s="739">
        <f>ROUND($A1537*$E1537,2)</f>
        <v>165.9</v>
      </c>
      <c r="G1537" s="506" t="s">
        <v>142</v>
      </c>
      <c r="H1537" s="498"/>
      <c r="I1537" s="716"/>
      <c r="J1537" s="498"/>
      <c r="K1537" s="740"/>
      <c r="L1537" s="741" t="s">
        <v>143</v>
      </c>
      <c r="M1537" s="717"/>
      <c r="N1537" s="717"/>
      <c r="O1537" s="717"/>
      <c r="P1537" s="717"/>
      <c r="Q1537" s="943" t="s">
        <v>855</v>
      </c>
      <c r="R1537" s="943" t="s">
        <v>871</v>
      </c>
      <c r="S1537"/>
      <c r="T1537" s="742" t="str">
        <f>IF(AND($R1560=0,$T1560=0),"0.00","mu :" &amp; ROUND($F1537/$C$12/($R1560+$T1560*$D$9),2))</f>
        <v>mu :1.35</v>
      </c>
      <c r="W1537" s="507"/>
      <c r="AG1537" s="743">
        <f>IF(A1537=0,0,ROUND(SUM(AG1539:AG1560)/A1537,2))</f>
        <v>69.150000000000006</v>
      </c>
      <c r="AH1537" s="743">
        <f>$AG1537*$A1537</f>
        <v>69.150000000000006</v>
      </c>
      <c r="AI1537" s="743">
        <f>$E1537-$AG1537</f>
        <v>96.75</v>
      </c>
      <c r="AJ1537" s="743">
        <f>$A1537*$AI1537</f>
        <v>96.75</v>
      </c>
      <c r="AK1537" s="744">
        <f>ROUND(($AG1537+$AI1537)*$A1537,2)</f>
        <v>165.9</v>
      </c>
      <c r="AM1537" s="510">
        <f>ROUND(R1560,2)</f>
        <v>51.22</v>
      </c>
      <c r="AN1537" s="511">
        <f>ROUND(T1560,2)</f>
        <v>2.61</v>
      </c>
      <c r="AO1537" s="512">
        <f>ROUND(AM1537+AN1537,2)*A1537</f>
        <v>53.83</v>
      </c>
    </row>
    <row r="1538" spans="1:41" s="501" customFormat="1" ht="21.6" customHeight="1">
      <c r="A1538" s="745"/>
      <c r="B1538" s="746"/>
      <c r="C1538" s="505"/>
      <c r="D1538" s="724" t="s">
        <v>455</v>
      </c>
      <c r="F1538" s="498"/>
      <c r="G1538" s="498"/>
      <c r="H1538" s="498"/>
      <c r="I1538" s="716"/>
      <c r="J1538" s="498"/>
      <c r="K1538" s="498" t="s">
        <v>144</v>
      </c>
      <c r="L1538" s="747"/>
      <c r="M1538" s="498"/>
      <c r="N1538" s="498"/>
      <c r="O1538" s="498"/>
      <c r="P1538" s="498"/>
      <c r="Q1538" s="44"/>
      <c r="R1538" s="567"/>
      <c r="S1538" s="719"/>
      <c r="T1538" s="498"/>
    </row>
    <row r="1539" spans="1:41" s="501" customFormat="1" ht="12">
      <c r="A1539" s="748"/>
      <c r="B1539" s="749"/>
      <c r="C1539" s="497"/>
      <c r="D1539" s="750"/>
      <c r="E1539" s="751">
        <f>F1537/$C$12-SUMIF($L1536:$L1560,"SUBI",$E1536:$E1560)</f>
        <v>0</v>
      </c>
      <c r="F1539" s="752" t="s">
        <v>572</v>
      </c>
      <c r="G1539" s="753"/>
      <c r="H1539" s="753"/>
      <c r="I1539" s="754"/>
      <c r="J1539" s="753"/>
      <c r="K1539" s="753"/>
      <c r="L1539" s="755"/>
      <c r="M1539" s="756"/>
      <c r="N1539" s="756"/>
      <c r="O1539" s="756"/>
      <c r="P1539" s="756"/>
      <c r="Q1539" s="757"/>
      <c r="R1539" s="758"/>
      <c r="S1539" s="757"/>
      <c r="T1539" s="759"/>
    </row>
    <row r="1540" spans="1:41" s="501" customFormat="1" ht="12" customHeight="1">
      <c r="A1540" s="760"/>
      <c r="B1540" s="761"/>
      <c r="C1540" s="762"/>
      <c r="D1540" s="762" t="str">
        <f>$F$2</f>
        <v>Electrical</v>
      </c>
      <c r="E1540" s="762">
        <f>ROUND(($R1550*$S$2 + ($T1550*$T$2)), 2)</f>
        <v>165.9</v>
      </c>
      <c r="F1540" s="763">
        <f>$E1540*$C$12</f>
        <v>165.9</v>
      </c>
      <c r="G1540" s="567"/>
      <c r="H1540" s="764"/>
      <c r="I1540" s="567"/>
      <c r="J1540" s="45"/>
      <c r="K1540" s="765" t="s">
        <v>3</v>
      </c>
      <c r="L1540" s="766" t="s">
        <v>573</v>
      </c>
      <c r="M1540" s="567"/>
      <c r="N1540" s="567"/>
      <c r="O1540" s="45"/>
      <c r="P1540" s="567"/>
      <c r="Q1540" s="567"/>
      <c r="R1540"/>
      <c r="S1540"/>
      <c r="T1540"/>
    </row>
    <row r="1541" spans="1:41" s="893" customFormat="1" ht="13.2">
      <c r="A1541"/>
      <c r="D1541" s="944" t="s">
        <v>755</v>
      </c>
      <c r="G1541" s="894" t="s">
        <v>749</v>
      </c>
      <c r="H1541" s="895">
        <v>616</v>
      </c>
      <c r="I1541" s="893" t="s">
        <v>656</v>
      </c>
      <c r="J1541" s="893" t="s">
        <v>750</v>
      </c>
      <c r="O1541" s="896">
        <v>2</v>
      </c>
      <c r="P1541" s="897">
        <v>40767</v>
      </c>
      <c r="Q1541" s="898"/>
      <c r="R1541" s="899">
        <f t="shared" ref="R1541:R1546" si="59">$A1541*Q1541</f>
        <v>0</v>
      </c>
      <c r="S1541" s="898"/>
      <c r="T1541" s="900">
        <f t="shared" ref="T1541:T1546" si="60">$A1541*S1541*$T$1</f>
        <v>0</v>
      </c>
    </row>
    <row r="1542" spans="1:41" s="893" customFormat="1" ht="13.2">
      <c r="A1542">
        <v>3</v>
      </c>
      <c r="B1542" s="893" t="s">
        <v>296</v>
      </c>
      <c r="D1542" s="893" t="s">
        <v>1084</v>
      </c>
      <c r="F1542" s="893" t="s">
        <v>756</v>
      </c>
      <c r="G1542" s="894" t="s">
        <v>749</v>
      </c>
      <c r="H1542" s="895">
        <v>616</v>
      </c>
      <c r="I1542" s="893" t="s">
        <v>656</v>
      </c>
      <c r="J1542" s="893" t="s">
        <v>750</v>
      </c>
      <c r="O1542" s="896">
        <v>2</v>
      </c>
      <c r="P1542" s="897">
        <v>40767</v>
      </c>
      <c r="Q1542" s="898">
        <v>10.45</v>
      </c>
      <c r="R1542" s="899">
        <f t="shared" si="59"/>
        <v>31.349999999999998</v>
      </c>
      <c r="S1542" s="898">
        <v>0.1</v>
      </c>
      <c r="T1542" s="900">
        <f t="shared" si="60"/>
        <v>0.30000000000000004</v>
      </c>
    </row>
    <row r="1543" spans="1:41" s="893" customFormat="1" ht="13.2">
      <c r="A1543" s="87">
        <v>3</v>
      </c>
      <c r="B1543" s="893" t="s">
        <v>141</v>
      </c>
      <c r="D1543" s="893" t="s">
        <v>743</v>
      </c>
      <c r="G1543" s="894" t="s">
        <v>744</v>
      </c>
      <c r="H1543" s="895">
        <v>875</v>
      </c>
      <c r="I1543" s="893" t="s">
        <v>643</v>
      </c>
      <c r="K1543" s="893" t="s">
        <v>745</v>
      </c>
      <c r="O1543" s="896">
        <v>1</v>
      </c>
      <c r="P1543" s="897">
        <v>34669</v>
      </c>
      <c r="Q1543" s="898">
        <v>0.05</v>
      </c>
      <c r="R1543" s="899">
        <f t="shared" si="59"/>
        <v>0.15000000000000002</v>
      </c>
      <c r="S1543" s="898"/>
      <c r="T1543" s="900">
        <f t="shared" si="60"/>
        <v>0</v>
      </c>
    </row>
    <row r="1544" spans="1:41" s="893" customFormat="1" ht="13.2">
      <c r="A1544">
        <v>2</v>
      </c>
      <c r="B1544" s="893" t="s">
        <v>141</v>
      </c>
      <c r="D1544" s="893" t="s">
        <v>751</v>
      </c>
      <c r="G1544" s="894" t="s">
        <v>752</v>
      </c>
      <c r="H1544" s="895">
        <v>620</v>
      </c>
      <c r="I1544" s="893" t="s">
        <v>671</v>
      </c>
      <c r="O1544" s="896">
        <v>2</v>
      </c>
      <c r="P1544" s="897">
        <v>35431</v>
      </c>
      <c r="Q1544" s="898">
        <v>7.66</v>
      </c>
      <c r="R1544" s="899">
        <f t="shared" si="59"/>
        <v>15.32</v>
      </c>
      <c r="S1544" s="898">
        <v>0.4</v>
      </c>
      <c r="T1544" s="900">
        <f t="shared" si="60"/>
        <v>0.8</v>
      </c>
    </row>
    <row r="1545" spans="1:41" s="893" customFormat="1" ht="13.2">
      <c r="A1545">
        <v>2</v>
      </c>
      <c r="B1545" s="893" t="s">
        <v>296</v>
      </c>
      <c r="D1545" s="893" t="s">
        <v>672</v>
      </c>
      <c r="G1545" s="894" t="s">
        <v>673</v>
      </c>
      <c r="H1545" s="895">
        <v>620</v>
      </c>
      <c r="I1545" s="893" t="s">
        <v>643</v>
      </c>
      <c r="O1545" s="896">
        <v>2</v>
      </c>
      <c r="P1545" s="897">
        <v>38148</v>
      </c>
      <c r="Q1545" s="898">
        <v>1.5</v>
      </c>
      <c r="R1545" s="899">
        <f t="shared" si="59"/>
        <v>3</v>
      </c>
      <c r="S1545" s="898">
        <v>0.08</v>
      </c>
      <c r="T1545" s="900">
        <f t="shared" si="60"/>
        <v>0.16</v>
      </c>
    </row>
    <row r="1546" spans="1:41" s="893" customFormat="1" ht="13.2">
      <c r="A1546">
        <v>10</v>
      </c>
      <c r="B1546" s="893" t="s">
        <v>141</v>
      </c>
      <c r="D1546" s="893" t="s">
        <v>753</v>
      </c>
      <c r="G1546" s="894" t="s">
        <v>754</v>
      </c>
      <c r="H1546" s="895">
        <v>620</v>
      </c>
      <c r="I1546" s="893" t="s">
        <v>676</v>
      </c>
      <c r="O1546" s="896">
        <v>2</v>
      </c>
      <c r="P1546" s="897">
        <v>34669</v>
      </c>
      <c r="Q1546" s="898">
        <v>0.14000000000000001</v>
      </c>
      <c r="R1546" s="899">
        <f t="shared" si="59"/>
        <v>1.4000000000000001</v>
      </c>
      <c r="S1546" s="898">
        <v>0.06</v>
      </c>
      <c r="T1546" s="900">
        <f t="shared" si="60"/>
        <v>0.6</v>
      </c>
    </row>
    <row r="1547" spans="1:41" s="893" customFormat="1" ht="13.2">
      <c r="A1547">
        <v>1</v>
      </c>
      <c r="B1547" s="893" t="s">
        <v>141</v>
      </c>
      <c r="D1547" s="893" t="s">
        <v>658</v>
      </c>
      <c r="F1547" s="893" t="s">
        <v>748</v>
      </c>
      <c r="G1547" s="894" t="s">
        <v>659</v>
      </c>
      <c r="H1547" s="895">
        <v>900</v>
      </c>
      <c r="I1547" s="893" t="s">
        <v>660</v>
      </c>
      <c r="O1547" s="896">
        <v>1</v>
      </c>
      <c r="P1547" s="897"/>
      <c r="Q1547" s="898"/>
      <c r="R1547" s="899">
        <f>$A1547*Q1547</f>
        <v>0</v>
      </c>
      <c r="S1547" s="898">
        <v>0.5</v>
      </c>
      <c r="T1547" s="900">
        <f>$A1547*S1547*$T$1</f>
        <v>0.5</v>
      </c>
    </row>
    <row r="1548" spans="1:41" s="893" customFormat="1" ht="13.2">
      <c r="A1548">
        <v>1</v>
      </c>
      <c r="B1548" s="893" t="s">
        <v>141</v>
      </c>
      <c r="D1548" s="893" t="s">
        <v>658</v>
      </c>
      <c r="F1548" s="893" t="s">
        <v>757</v>
      </c>
      <c r="G1548" s="894" t="s">
        <v>659</v>
      </c>
      <c r="H1548" s="895">
        <v>900</v>
      </c>
      <c r="I1548" s="893" t="s">
        <v>660</v>
      </c>
      <c r="O1548" s="896">
        <v>1</v>
      </c>
      <c r="P1548" s="897"/>
      <c r="Q1548" s="898"/>
      <c r="R1548" s="899">
        <f>$A1548*Q1548</f>
        <v>0</v>
      </c>
      <c r="S1548" s="898">
        <v>0.25</v>
      </c>
      <c r="T1548" s="900">
        <f>$A1548*S1548*$T$1</f>
        <v>0.25</v>
      </c>
    </row>
    <row r="1549" spans="1:41" s="501" customFormat="1" ht="14.4" customHeight="1">
      <c r="A1549" s="767"/>
      <c r="B1549" s="567"/>
      <c r="C1549" s="567"/>
      <c r="D1549" s="567"/>
      <c r="E1549" s="567"/>
      <c r="F1549" s="567"/>
      <c r="G1549" s="567"/>
      <c r="H1549" s="764"/>
      <c r="I1549" s="567"/>
      <c r="J1549" s="45"/>
      <c r="K1549" s="769"/>
      <c r="L1549" s="770"/>
      <c r="M1549" s="567"/>
      <c r="N1549" s="567"/>
      <c r="O1549" s="45"/>
      <c r="P1549" s="567"/>
      <c r="Q1549" s="567"/>
      <c r="R1549" s="771">
        <f>$A1549*Q1549</f>
        <v>0</v>
      </c>
      <c r="S1549" s="567"/>
      <c r="T1549" s="500">
        <f>$A1549*S1549*$T$1</f>
        <v>0</v>
      </c>
    </row>
    <row r="1550" spans="1:41" s="501" customFormat="1" ht="12">
      <c r="A1550" s="772" t="s">
        <v>145</v>
      </c>
      <c r="B1550" s="773">
        <f>(R1549+T1549)</f>
        <v>0</v>
      </c>
      <c r="C1550" s="753"/>
      <c r="G1550" s="774"/>
      <c r="H1550" s="774"/>
      <c r="I1550" s="774"/>
      <c r="J1550" s="774"/>
      <c r="K1550" s="750" t="s">
        <v>3</v>
      </c>
      <c r="L1550" s="775" t="s">
        <v>573</v>
      </c>
      <c r="M1550" s="774"/>
      <c r="N1550" s="774"/>
      <c r="O1550" s="774"/>
      <c r="P1550" s="774"/>
      <c r="Q1550" s="776"/>
      <c r="R1550" s="777">
        <f>SUM(R1540:R1549)</f>
        <v>51.219999999999992</v>
      </c>
      <c r="S1550" s="778"/>
      <c r="T1550" s="777">
        <f>SUM(T1540:T1549)</f>
        <v>2.61</v>
      </c>
      <c r="AG1550" s="779">
        <f>ROUND($R1550*$S$2,2)</f>
        <v>69.150000000000006</v>
      </c>
    </row>
    <row r="1551" spans="1:41" s="501" customFormat="1" ht="12" customHeight="1">
      <c r="A1551" s="760"/>
      <c r="B1551" s="780"/>
      <c r="C1551" s="781"/>
      <c r="D1551" s="782" t="str">
        <f>$F$3</f>
        <v>Technician</v>
      </c>
      <c r="E1551" s="782">
        <f>ROUND(($R1553*$S$3 + ($T1553*$T$3)), 2)</f>
        <v>0</v>
      </c>
      <c r="F1551" s="783">
        <f>$E1551*$C$12</f>
        <v>0</v>
      </c>
      <c r="G1551" s="499"/>
      <c r="H1551" s="499"/>
      <c r="I1551" s="499"/>
      <c r="J1551" s="499"/>
      <c r="K1551" s="765" t="s">
        <v>5</v>
      </c>
      <c r="L1551" s="766" t="s">
        <v>573</v>
      </c>
      <c r="M1551" s="499"/>
      <c r="N1551" s="499"/>
      <c r="O1551" s="499"/>
      <c r="P1551" s="499"/>
      <c r="Q1551" s="499"/>
      <c r="R1551" s="784"/>
      <c r="S1551" s="499"/>
      <c r="T1551" s="784"/>
    </row>
    <row r="1552" spans="1:41" s="501" customFormat="1" ht="15.6" customHeight="1">
      <c r="A1552" s="767"/>
      <c r="B1552" s="567"/>
      <c r="C1552" s="567"/>
      <c r="D1552" s="3"/>
      <c r="E1552" s="567"/>
      <c r="F1552" s="567"/>
      <c r="G1552" s="567"/>
      <c r="H1552" s="567"/>
      <c r="I1552" s="567"/>
      <c r="J1552" s="567"/>
      <c r="K1552" s="567"/>
      <c r="L1552" s="770"/>
      <c r="M1552" s="567"/>
      <c r="N1552" s="567"/>
      <c r="O1552" s="567"/>
      <c r="P1552" s="567"/>
      <c r="Q1552" s="567"/>
      <c r="R1552" s="771">
        <f>$A1552*Q1552</f>
        <v>0</v>
      </c>
      <c r="S1552" s="567"/>
      <c r="T1552" s="500">
        <f>$A1552*S1552*$T$1</f>
        <v>0</v>
      </c>
    </row>
    <row r="1553" spans="1:41" s="501" customFormat="1" ht="12">
      <c r="A1553" s="772" t="s">
        <v>145</v>
      </c>
      <c r="B1553" s="773">
        <f>(R1552+T1552)</f>
        <v>0</v>
      </c>
      <c r="C1553" s="753"/>
      <c r="G1553" s="774"/>
      <c r="H1553" s="774"/>
      <c r="I1553" s="774"/>
      <c r="J1553" s="774"/>
      <c r="K1553" s="798" t="s">
        <v>5</v>
      </c>
      <c r="L1553" s="775" t="s">
        <v>573</v>
      </c>
      <c r="M1553" s="774"/>
      <c r="N1553" s="774"/>
      <c r="O1553" s="774"/>
      <c r="P1553" s="774"/>
      <c r="Q1553" s="776"/>
      <c r="R1553" s="777">
        <f>SUM(R1551:R1552)</f>
        <v>0</v>
      </c>
      <c r="S1553" s="778"/>
      <c r="T1553" s="777">
        <f>SUM(T1551:T1552)</f>
        <v>0</v>
      </c>
      <c r="AG1553" s="799">
        <f>ROUND($R1553*$S$3,2)</f>
        <v>0</v>
      </c>
    </row>
    <row r="1554" spans="1:41" s="501" customFormat="1" ht="12" customHeight="1">
      <c r="A1554" s="800"/>
      <c r="B1554" s="801"/>
      <c r="C1554" s="802"/>
      <c r="D1554" s="803" t="str">
        <f>$F$4</f>
        <v>Engineer (Man Hours)</v>
      </c>
      <c r="E1554" s="803">
        <f>ROUND(($R1558*$S$4 + ($T1558*$T$4)), 2)</f>
        <v>0</v>
      </c>
      <c r="F1554" s="804">
        <f ca="1">$F1537-SUMIF($L1539:$P1551,"SUBI",$F1539:$F1551)</f>
        <v>0</v>
      </c>
      <c r="G1554" s="499"/>
      <c r="H1554" s="499"/>
      <c r="I1554" s="499"/>
      <c r="J1554" s="499"/>
      <c r="K1554" s="805" t="s">
        <v>8</v>
      </c>
      <c r="L1554" s="766" t="s">
        <v>573</v>
      </c>
      <c r="M1554" s="499"/>
      <c r="N1554" s="499"/>
      <c r="O1554" s="499"/>
      <c r="P1554" s="499"/>
      <c r="Q1554" s="499"/>
      <c r="R1554" s="784"/>
      <c r="S1554" s="499"/>
      <c r="T1554" s="784"/>
    </row>
    <row r="1555" spans="1:41" s="797" customFormat="1" ht="14.4" customHeight="1">
      <c r="A1555" s="785"/>
      <c r="B1555" s="768" t="s">
        <v>576</v>
      </c>
      <c r="C1555" s="786"/>
      <c r="D1555" s="787"/>
      <c r="E1555" s="787"/>
      <c r="F1555" s="787"/>
      <c r="G1555" s="788"/>
      <c r="H1555" s="789"/>
      <c r="I1555" s="789"/>
      <c r="J1555" s="790"/>
      <c r="K1555" s="791"/>
      <c r="L1555" s="786"/>
      <c r="M1555" s="792"/>
      <c r="N1555" s="793"/>
      <c r="O1555" s="806"/>
      <c r="P1555" s="795"/>
      <c r="Q1555" s="796"/>
      <c r="R1555" s="720">
        <f>$A1555*Q1555</f>
        <v>0</v>
      </c>
      <c r="S1555" s="796"/>
      <c r="T1555" s="500">
        <f>$A1555*S1555*$T$1</f>
        <v>0</v>
      </c>
    </row>
    <row r="1556" spans="1:41" s="501" customFormat="1" ht="12">
      <c r="A1556" s="44"/>
      <c r="B1556" s="497"/>
      <c r="C1556" s="497"/>
      <c r="D1556" s="807"/>
      <c r="E1556" s="808"/>
      <c r="F1556" s="499"/>
      <c r="G1556" s="499"/>
      <c r="H1556" s="499"/>
      <c r="I1556" s="499"/>
      <c r="J1556" s="499"/>
      <c r="K1556" s="499"/>
      <c r="L1556" s="809"/>
      <c r="M1556" s="499"/>
      <c r="N1556" s="499"/>
      <c r="O1556" s="499"/>
      <c r="P1556" s="499"/>
      <c r="Q1556" s="499"/>
      <c r="R1556" s="720">
        <f>$A1556*Q1556</f>
        <v>0</v>
      </c>
      <c r="S1556" s="499"/>
      <c r="T1556" s="500">
        <f>$A1556*S1556*$T$1</f>
        <v>0</v>
      </c>
    </row>
    <row r="1557" spans="1:41" s="501" customFormat="1" ht="12">
      <c r="A1557" s="44"/>
      <c r="B1557" s="497"/>
      <c r="C1557" s="497"/>
      <c r="D1557" s="807"/>
      <c r="E1557" s="808"/>
      <c r="F1557" s="499"/>
      <c r="G1557" s="499"/>
      <c r="H1557" s="499"/>
      <c r="I1557" s="499"/>
      <c r="J1557" s="499"/>
      <c r="K1557" s="499"/>
      <c r="L1557" s="809"/>
      <c r="M1557" s="499"/>
      <c r="N1557" s="499"/>
      <c r="O1557" s="499"/>
      <c r="P1557" s="499"/>
      <c r="Q1557" s="499"/>
      <c r="R1557" s="720">
        <f>$A1557*Q1557</f>
        <v>0</v>
      </c>
      <c r="S1557" s="499"/>
      <c r="T1557" s="500">
        <f>$A1557*S1557*$T$1</f>
        <v>0</v>
      </c>
    </row>
    <row r="1558" spans="1:41" s="501" customFormat="1" ht="12.75" customHeight="1">
      <c r="A1558" s="772" t="s">
        <v>145</v>
      </c>
      <c r="B1558" s="773">
        <f>(R1557+T1557)</f>
        <v>0</v>
      </c>
      <c r="C1558" s="810"/>
      <c r="D1558" s="810"/>
      <c r="E1558" s="810"/>
      <c r="F1558" s="810"/>
      <c r="G1558" s="776"/>
      <c r="H1558" s="776"/>
      <c r="I1558" s="776"/>
      <c r="J1558" s="776"/>
      <c r="K1558" s="798" t="s">
        <v>8</v>
      </c>
      <c r="L1558" s="811" t="s">
        <v>573</v>
      </c>
      <c r="M1558" s="776"/>
      <c r="N1558" s="776"/>
      <c r="O1558" s="776"/>
      <c r="P1558" s="776"/>
      <c r="Q1558" s="776"/>
      <c r="R1558" s="777">
        <f>SUM(R1554:R1557)</f>
        <v>0</v>
      </c>
      <c r="S1558" s="778"/>
      <c r="T1558" s="777">
        <f>SUM(T1554:T1557)</f>
        <v>0</v>
      </c>
      <c r="AG1558" s="812">
        <f>ROUND($R1558*$S$4,2)</f>
        <v>0</v>
      </c>
    </row>
    <row r="1559" spans="1:41" s="501" customFormat="1" ht="12.75" customHeight="1">
      <c r="A1559" s="813"/>
      <c r="B1559" s="814"/>
      <c r="E1559" s="497"/>
      <c r="F1559" s="808"/>
      <c r="G1559" s="497"/>
      <c r="H1559" s="497"/>
      <c r="I1559" s="499"/>
      <c r="J1559" s="497"/>
      <c r="K1559" s="497"/>
      <c r="L1559" s="815"/>
      <c r="M1559" s="725"/>
      <c r="N1559" s="725"/>
      <c r="O1559" s="725"/>
      <c r="P1559" s="725"/>
      <c r="Q1559" s="726"/>
      <c r="R1559" s="784"/>
      <c r="S1559" s="497"/>
      <c r="T1559" s="784"/>
    </row>
    <row r="1560" spans="1:41" s="501" customFormat="1" ht="13.5" customHeight="1" thickBot="1">
      <c r="A1560" s="816"/>
      <c r="B1560" s="817"/>
      <c r="C1560" s="518"/>
      <c r="D1560" s="518"/>
      <c r="E1560" s="515"/>
      <c r="F1560" s="721"/>
      <c r="G1560" s="515" t="s">
        <v>146</v>
      </c>
      <c r="H1560" s="515"/>
      <c r="I1560" s="516"/>
      <c r="J1560" s="515"/>
      <c r="K1560" s="515"/>
      <c r="L1560" s="818" t="s">
        <v>143</v>
      </c>
      <c r="M1560" s="517"/>
      <c r="N1560" s="517"/>
      <c r="O1560" s="517"/>
      <c r="P1560" s="517"/>
      <c r="Q1560" s="722"/>
      <c r="R1560" s="819">
        <f>SUMIF($L1538:$L1559,"SUBI",R1538:R1559)</f>
        <v>51.219999999999992</v>
      </c>
      <c r="S1560" s="820"/>
      <c r="T1560" s="819">
        <f>SUMIF($L1538:$L1559,"SUBI",T1538:T1559)</f>
        <v>2.61</v>
      </c>
      <c r="U1560" s="518"/>
      <c r="V1560" s="518"/>
      <c r="W1560" s="518"/>
      <c r="X1560" s="518"/>
      <c r="Y1560" s="518"/>
      <c r="Z1560" s="518"/>
      <c r="AA1560" s="518"/>
      <c r="AB1560" s="518"/>
      <c r="AC1560" s="518"/>
      <c r="AD1560" s="518"/>
      <c r="AE1560" s="518"/>
      <c r="AF1560" s="518"/>
      <c r="AG1560" s="518"/>
      <c r="AH1560" s="518"/>
      <c r="AI1560" s="518"/>
      <c r="AJ1560" s="518"/>
      <c r="AK1560" s="518"/>
      <c r="AL1560" s="518"/>
      <c r="AM1560" s="518"/>
      <c r="AN1560" s="518"/>
      <c r="AO1560" s="518"/>
    </row>
    <row r="1561" spans="1:41" s="501" customFormat="1" thickTop="1">
      <c r="A1561" s="44"/>
      <c r="B1561" s="39"/>
      <c r="C1561" s="44"/>
      <c r="E1561" s="40" t="s">
        <v>138</v>
      </c>
      <c r="F1561" s="40" t="s">
        <v>139</v>
      </c>
      <c r="G1561" s="44"/>
      <c r="H1561" s="44"/>
      <c r="I1561" s="44"/>
      <c r="J1561" s="44"/>
      <c r="K1561" s="44" t="s">
        <v>140</v>
      </c>
      <c r="L1561" s="737"/>
      <c r="M1561" s="44"/>
      <c r="N1561" s="44"/>
      <c r="O1561" s="45"/>
      <c r="P1561" s="44"/>
      <c r="Q1561"/>
      <c r="R1561"/>
      <c r="S1561"/>
      <c r="T1561" s="39"/>
      <c r="AG1561" s="502" t="s">
        <v>247</v>
      </c>
      <c r="AH1561" s="502" t="s">
        <v>248</v>
      </c>
      <c r="AI1561" s="502" t="s">
        <v>249</v>
      </c>
      <c r="AJ1561" s="502" t="s">
        <v>250</v>
      </c>
      <c r="AK1561" s="502" t="s">
        <v>251</v>
      </c>
      <c r="AM1561" s="710" t="s">
        <v>260</v>
      </c>
      <c r="AN1561" s="711" t="s">
        <v>261</v>
      </c>
      <c r="AO1561" s="503" t="s">
        <v>257</v>
      </c>
    </row>
    <row r="1562" spans="1:41" s="501" customFormat="1" ht="13.2">
      <c r="A1562" s="712">
        <v>1</v>
      </c>
      <c r="B1562" s="504" t="s">
        <v>283</v>
      </c>
      <c r="C1562" s="505"/>
      <c r="D1562" s="713" t="s">
        <v>585</v>
      </c>
      <c r="E1562" s="738">
        <f>IF(AND($A1562=0,$A$1="DIF"),0,ROUND(ROUND(SUMIF($L1564:$L1581,"SUBI",$E1564:$E1581)/$A1562,2)*$C$12,2))</f>
        <v>165.9</v>
      </c>
      <c r="F1562" s="739">
        <f>ROUND($A1562*$E1562,2)</f>
        <v>165.9</v>
      </c>
      <c r="G1562" s="506" t="s">
        <v>142</v>
      </c>
      <c r="H1562" s="498"/>
      <c r="I1562" s="716"/>
      <c r="J1562" s="498"/>
      <c r="K1562" s="740"/>
      <c r="L1562" s="741" t="s">
        <v>143</v>
      </c>
      <c r="M1562" s="717"/>
      <c r="N1562" s="717"/>
      <c r="O1562" s="717"/>
      <c r="P1562" s="717"/>
      <c r="Q1562" s="943" t="s">
        <v>855</v>
      </c>
      <c r="R1562" s="943" t="s">
        <v>871</v>
      </c>
      <c r="S1562"/>
      <c r="T1562" s="742" t="str">
        <f>IF(AND($R1587=0,$T1587=0),"0.00","mu :" &amp; ROUND($F1562/$C$12/($R1587+$T1587*$D$9),2))</f>
        <v>mu :1.35</v>
      </c>
      <c r="W1562" s="507"/>
      <c r="AG1562" s="743">
        <f>IF(A1562=0,0,ROUND(SUM(AG1564:AG1587)/A1562,2))</f>
        <v>69.150000000000006</v>
      </c>
      <c r="AH1562" s="743">
        <f>$AG1562*$A1562</f>
        <v>69.150000000000006</v>
      </c>
      <c r="AI1562" s="743">
        <f>$E1562-$AG1562</f>
        <v>96.75</v>
      </c>
      <c r="AJ1562" s="743">
        <f>$A1562*$AI1562</f>
        <v>96.75</v>
      </c>
      <c r="AK1562" s="744">
        <f>ROUND(($AG1562+$AI1562)*$A1562,2)</f>
        <v>165.9</v>
      </c>
      <c r="AM1562" s="510">
        <f>ROUND(R1587,2)</f>
        <v>51.22</v>
      </c>
      <c r="AN1562" s="511">
        <f>ROUND(T1587,2)</f>
        <v>2.61</v>
      </c>
      <c r="AO1562" s="512">
        <f>ROUND(AM1562+AN1562,2)*A1562</f>
        <v>53.83</v>
      </c>
    </row>
    <row r="1563" spans="1:41" s="501" customFormat="1" ht="21.6" customHeight="1">
      <c r="A1563" s="745"/>
      <c r="B1563" s="746"/>
      <c r="C1563" s="505"/>
      <c r="D1563" s="724" t="s">
        <v>456</v>
      </c>
      <c r="F1563" s="498"/>
      <c r="G1563" s="498"/>
      <c r="H1563" s="498"/>
      <c r="I1563" s="716"/>
      <c r="J1563" s="498"/>
      <c r="K1563" s="498" t="s">
        <v>144</v>
      </c>
      <c r="L1563" s="747"/>
      <c r="M1563" s="498"/>
      <c r="N1563" s="498"/>
      <c r="O1563" s="498"/>
      <c r="P1563" s="498"/>
      <c r="Q1563" s="44"/>
      <c r="R1563" s="567"/>
      <c r="S1563" s="719"/>
      <c r="T1563" s="498"/>
    </row>
    <row r="1564" spans="1:41" s="501" customFormat="1" ht="12">
      <c r="A1564" s="748"/>
      <c r="B1564" s="749"/>
      <c r="C1564" s="497"/>
      <c r="D1564" s="750"/>
      <c r="E1564" s="751">
        <f>F1562/$C$12-SUMIF($L1561:$L1587,"SUBI",$E1561:$E1587)</f>
        <v>0</v>
      </c>
      <c r="F1564" s="752" t="s">
        <v>572</v>
      </c>
      <c r="G1564" s="753"/>
      <c r="H1564" s="753"/>
      <c r="I1564" s="754"/>
      <c r="J1564" s="753"/>
      <c r="K1564" s="753"/>
      <c r="L1564" s="755"/>
      <c r="M1564" s="756"/>
      <c r="N1564" s="756"/>
      <c r="O1564" s="756"/>
      <c r="P1564" s="756"/>
      <c r="Q1564" s="757"/>
      <c r="R1564" s="758"/>
      <c r="S1564" s="757"/>
      <c r="T1564" s="759"/>
    </row>
    <row r="1565" spans="1:41" s="501" customFormat="1" ht="12" customHeight="1">
      <c r="A1565" s="760"/>
      <c r="B1565" s="761"/>
      <c r="C1565" s="762"/>
      <c r="D1565" s="762" t="str">
        <f>$F$2</f>
        <v>Electrical</v>
      </c>
      <c r="E1565" s="762">
        <f>ROUND(($R1575*$S$2 + ($T1575*$T$2)), 2)</f>
        <v>165.9</v>
      </c>
      <c r="F1565" s="763">
        <f>$E1565*$C$12</f>
        <v>165.9</v>
      </c>
      <c r="G1565" s="567"/>
      <c r="H1565" s="764"/>
      <c r="I1565" s="567"/>
      <c r="J1565" s="45"/>
      <c r="K1565" s="765" t="s">
        <v>3</v>
      </c>
      <c r="L1565" s="766" t="s">
        <v>573</v>
      </c>
      <c r="M1565" s="567"/>
      <c r="N1565" s="567"/>
      <c r="O1565" s="45"/>
      <c r="P1565" s="567"/>
      <c r="Q1565" s="567"/>
      <c r="R1565"/>
      <c r="S1565"/>
      <c r="T1565"/>
    </row>
    <row r="1566" spans="1:41" s="893" customFormat="1" ht="13.2">
      <c r="A1566"/>
      <c r="D1566" s="944" t="s">
        <v>755</v>
      </c>
      <c r="G1566" s="894" t="s">
        <v>749</v>
      </c>
      <c r="H1566" s="895">
        <v>616</v>
      </c>
      <c r="I1566" s="893" t="s">
        <v>656</v>
      </c>
      <c r="J1566" s="893" t="s">
        <v>750</v>
      </c>
      <c r="O1566" s="896">
        <v>2</v>
      </c>
      <c r="P1566" s="897">
        <v>40767</v>
      </c>
      <c r="Q1566" s="898"/>
      <c r="R1566" s="899">
        <f t="shared" ref="R1566:R1571" si="61">$A1566*Q1566</f>
        <v>0</v>
      </c>
      <c r="S1566" s="898"/>
      <c r="T1566" s="900">
        <f t="shared" ref="T1566:T1571" si="62">$A1566*S1566*$T$1</f>
        <v>0</v>
      </c>
    </row>
    <row r="1567" spans="1:41" s="893" customFormat="1" ht="13.2">
      <c r="A1567">
        <v>3</v>
      </c>
      <c r="B1567" s="893" t="s">
        <v>296</v>
      </c>
      <c r="D1567" s="893" t="s">
        <v>1084</v>
      </c>
      <c r="F1567" s="893" t="s">
        <v>756</v>
      </c>
      <c r="G1567" s="894" t="s">
        <v>749</v>
      </c>
      <c r="H1567" s="895">
        <v>616</v>
      </c>
      <c r="I1567" s="893" t="s">
        <v>656</v>
      </c>
      <c r="J1567" s="893" t="s">
        <v>750</v>
      </c>
      <c r="O1567" s="896">
        <v>2</v>
      </c>
      <c r="P1567" s="897">
        <v>40767</v>
      </c>
      <c r="Q1567" s="898">
        <v>10.45</v>
      </c>
      <c r="R1567" s="899">
        <f t="shared" si="61"/>
        <v>31.349999999999998</v>
      </c>
      <c r="S1567" s="898">
        <v>0.1</v>
      </c>
      <c r="T1567" s="900">
        <f t="shared" si="62"/>
        <v>0.30000000000000004</v>
      </c>
    </row>
    <row r="1568" spans="1:41" s="893" customFormat="1" ht="13.2">
      <c r="A1568" s="87">
        <v>3</v>
      </c>
      <c r="B1568" s="893" t="s">
        <v>141</v>
      </c>
      <c r="D1568" s="893" t="s">
        <v>743</v>
      </c>
      <c r="G1568" s="894" t="s">
        <v>744</v>
      </c>
      <c r="H1568" s="895">
        <v>875</v>
      </c>
      <c r="I1568" s="893" t="s">
        <v>643</v>
      </c>
      <c r="K1568" s="893" t="s">
        <v>745</v>
      </c>
      <c r="O1568" s="896">
        <v>1</v>
      </c>
      <c r="P1568" s="897">
        <v>34669</v>
      </c>
      <c r="Q1568" s="898">
        <v>0.05</v>
      </c>
      <c r="R1568" s="899">
        <f t="shared" si="61"/>
        <v>0.15000000000000002</v>
      </c>
      <c r="S1568" s="898"/>
      <c r="T1568" s="900">
        <f t="shared" si="62"/>
        <v>0</v>
      </c>
    </row>
    <row r="1569" spans="1:33" s="893" customFormat="1" ht="13.2">
      <c r="A1569">
        <v>2</v>
      </c>
      <c r="B1569" s="893" t="s">
        <v>141</v>
      </c>
      <c r="D1569" s="893" t="s">
        <v>751</v>
      </c>
      <c r="G1569" s="894" t="s">
        <v>752</v>
      </c>
      <c r="H1569" s="895">
        <v>620</v>
      </c>
      <c r="I1569" s="893" t="s">
        <v>671</v>
      </c>
      <c r="O1569" s="896">
        <v>2</v>
      </c>
      <c r="P1569" s="897">
        <v>35431</v>
      </c>
      <c r="Q1569" s="898">
        <v>7.66</v>
      </c>
      <c r="R1569" s="899">
        <f t="shared" si="61"/>
        <v>15.32</v>
      </c>
      <c r="S1569" s="898">
        <v>0.4</v>
      </c>
      <c r="T1569" s="900">
        <f t="shared" si="62"/>
        <v>0.8</v>
      </c>
    </row>
    <row r="1570" spans="1:33" s="893" customFormat="1" ht="13.2">
      <c r="A1570">
        <v>2</v>
      </c>
      <c r="B1570" s="893" t="s">
        <v>296</v>
      </c>
      <c r="D1570" s="893" t="s">
        <v>672</v>
      </c>
      <c r="G1570" s="894" t="s">
        <v>673</v>
      </c>
      <c r="H1570" s="895">
        <v>620</v>
      </c>
      <c r="I1570" s="893" t="s">
        <v>643</v>
      </c>
      <c r="O1570" s="896">
        <v>2</v>
      </c>
      <c r="P1570" s="897">
        <v>38148</v>
      </c>
      <c r="Q1570" s="898">
        <v>1.5</v>
      </c>
      <c r="R1570" s="899">
        <f t="shared" si="61"/>
        <v>3</v>
      </c>
      <c r="S1570" s="898">
        <v>0.08</v>
      </c>
      <c r="T1570" s="900">
        <f t="shared" si="62"/>
        <v>0.16</v>
      </c>
    </row>
    <row r="1571" spans="1:33" s="893" customFormat="1" ht="13.2">
      <c r="A1571">
        <v>10</v>
      </c>
      <c r="B1571" s="893" t="s">
        <v>141</v>
      </c>
      <c r="D1571" s="893" t="s">
        <v>753</v>
      </c>
      <c r="G1571" s="894" t="s">
        <v>754</v>
      </c>
      <c r="H1571" s="895">
        <v>620</v>
      </c>
      <c r="I1571" s="893" t="s">
        <v>676</v>
      </c>
      <c r="O1571" s="896">
        <v>2</v>
      </c>
      <c r="P1571" s="897">
        <v>34669</v>
      </c>
      <c r="Q1571" s="898">
        <v>0.14000000000000001</v>
      </c>
      <c r="R1571" s="899">
        <f t="shared" si="61"/>
        <v>1.4000000000000001</v>
      </c>
      <c r="S1571" s="898">
        <v>0.06</v>
      </c>
      <c r="T1571" s="900">
        <f t="shared" si="62"/>
        <v>0.6</v>
      </c>
    </row>
    <row r="1572" spans="1:33" s="893" customFormat="1" ht="13.2">
      <c r="A1572">
        <v>1</v>
      </c>
      <c r="B1572" s="893" t="s">
        <v>141</v>
      </c>
      <c r="D1572" s="893" t="s">
        <v>658</v>
      </c>
      <c r="F1572" s="893" t="s">
        <v>748</v>
      </c>
      <c r="G1572" s="894" t="s">
        <v>659</v>
      </c>
      <c r="H1572" s="895">
        <v>900</v>
      </c>
      <c r="I1572" s="893" t="s">
        <v>660</v>
      </c>
      <c r="O1572" s="896">
        <v>1</v>
      </c>
      <c r="P1572" s="897"/>
      <c r="Q1572" s="898"/>
      <c r="R1572" s="899">
        <f>$A1572*Q1572</f>
        <v>0</v>
      </c>
      <c r="S1572" s="898">
        <v>0.5</v>
      </c>
      <c r="T1572" s="900">
        <f>$A1572*S1572*$T$1</f>
        <v>0.5</v>
      </c>
    </row>
    <row r="1573" spans="1:33" s="893" customFormat="1" ht="13.2">
      <c r="A1573">
        <v>1</v>
      </c>
      <c r="B1573" s="893" t="s">
        <v>141</v>
      </c>
      <c r="D1573" s="893" t="s">
        <v>658</v>
      </c>
      <c r="F1573" s="893" t="s">
        <v>757</v>
      </c>
      <c r="G1573" s="894" t="s">
        <v>659</v>
      </c>
      <c r="H1573" s="895">
        <v>900</v>
      </c>
      <c r="I1573" s="893" t="s">
        <v>660</v>
      </c>
      <c r="O1573" s="896">
        <v>1</v>
      </c>
      <c r="P1573" s="897"/>
      <c r="Q1573" s="898"/>
      <c r="R1573" s="899">
        <f>$A1573*Q1573</f>
        <v>0</v>
      </c>
      <c r="S1573" s="898">
        <v>0.25</v>
      </c>
      <c r="T1573" s="900">
        <f>$A1573*S1573*$T$1</f>
        <v>0.25</v>
      </c>
    </row>
    <row r="1574" spans="1:33" s="501" customFormat="1" ht="14.4" customHeight="1">
      <c r="A1574" s="767"/>
      <c r="B1574" s="567"/>
      <c r="C1574" s="567"/>
      <c r="D1574" s="567"/>
      <c r="E1574" s="567"/>
      <c r="F1574" s="567"/>
      <c r="G1574" s="567"/>
      <c r="H1574" s="764"/>
      <c r="I1574" s="567"/>
      <c r="J1574" s="45"/>
      <c r="K1574" s="769"/>
      <c r="L1574" s="770"/>
      <c r="M1574" s="567"/>
      <c r="N1574" s="567"/>
      <c r="O1574" s="45"/>
      <c r="P1574" s="567"/>
      <c r="Q1574" s="567"/>
      <c r="R1574" s="771">
        <f>$A1574*Q1574</f>
        <v>0</v>
      </c>
      <c r="S1574" s="567"/>
      <c r="T1574" s="500">
        <f>$A1574*S1574*$T$1</f>
        <v>0</v>
      </c>
    </row>
    <row r="1575" spans="1:33" s="501" customFormat="1" ht="12">
      <c r="A1575" s="772" t="s">
        <v>145</v>
      </c>
      <c r="B1575" s="773">
        <f>(R1574+T1574)</f>
        <v>0</v>
      </c>
      <c r="C1575" s="753"/>
      <c r="G1575" s="774"/>
      <c r="H1575" s="774"/>
      <c r="I1575" s="774"/>
      <c r="J1575" s="774"/>
      <c r="K1575" s="750" t="s">
        <v>3</v>
      </c>
      <c r="L1575" s="775" t="s">
        <v>573</v>
      </c>
      <c r="M1575" s="774"/>
      <c r="N1575" s="774"/>
      <c r="O1575" s="774"/>
      <c r="P1575" s="774"/>
      <c r="Q1575" s="776"/>
      <c r="R1575" s="777">
        <f>SUM(R1565:R1574)</f>
        <v>51.219999999999992</v>
      </c>
      <c r="S1575" s="778"/>
      <c r="T1575" s="777">
        <f>SUM(T1565:T1574)</f>
        <v>2.61</v>
      </c>
      <c r="AG1575" s="779">
        <f>ROUND($R1575*$S$2,2)</f>
        <v>69.150000000000006</v>
      </c>
    </row>
    <row r="1576" spans="1:33" s="501" customFormat="1" ht="12" customHeight="1">
      <c r="A1576" s="760"/>
      <c r="B1576" s="780"/>
      <c r="C1576" s="781"/>
      <c r="D1576" s="782" t="str">
        <f>$F$3</f>
        <v>Technician</v>
      </c>
      <c r="E1576" s="782">
        <f>ROUND(($R1580*$S$3 + ($T1580*$T$3)), 2)</f>
        <v>0</v>
      </c>
      <c r="F1576" s="783">
        <f>$E1576*$C$12</f>
        <v>0</v>
      </c>
      <c r="G1576" s="499"/>
      <c r="H1576" s="499"/>
      <c r="I1576" s="499"/>
      <c r="J1576" s="499"/>
      <c r="K1576" s="765" t="s">
        <v>5</v>
      </c>
      <c r="L1576" s="766" t="s">
        <v>573</v>
      </c>
      <c r="M1576" s="499"/>
      <c r="N1576" s="499"/>
      <c r="O1576" s="499"/>
      <c r="P1576" s="499"/>
      <c r="Q1576" s="499"/>
      <c r="R1576" s="784"/>
      <c r="S1576" s="499"/>
      <c r="T1576" s="784"/>
    </row>
    <row r="1577" spans="1:33" s="797" customFormat="1" ht="15.6" customHeight="1">
      <c r="A1577" s="785"/>
      <c r="B1577" s="768" t="s">
        <v>575</v>
      </c>
      <c r="C1577" s="786"/>
      <c r="D1577" s="787"/>
      <c r="E1577" s="787"/>
      <c r="F1577" s="787"/>
      <c r="G1577" s="788"/>
      <c r="H1577" s="789"/>
      <c r="I1577" s="789"/>
      <c r="J1577" s="790"/>
      <c r="K1577" s="791"/>
      <c r="L1577" s="786"/>
      <c r="M1577" s="792"/>
      <c r="N1577" s="793"/>
      <c r="O1577" s="794"/>
      <c r="P1577" s="795"/>
      <c r="Q1577" s="796"/>
      <c r="R1577" s="771">
        <f>$A1577*Q1577</f>
        <v>0</v>
      </c>
      <c r="S1577" s="567"/>
      <c r="T1577" s="500">
        <f>$A1577*S1577*$T$1</f>
        <v>0</v>
      </c>
    </row>
    <row r="1578" spans="1:33" s="501" customFormat="1" ht="15.6" customHeight="1">
      <c r="A1578" s="767"/>
      <c r="B1578" s="567"/>
      <c r="C1578" s="567"/>
      <c r="D1578" s="567"/>
      <c r="E1578" s="567"/>
      <c r="F1578" s="567"/>
      <c r="G1578" s="567"/>
      <c r="H1578" s="567"/>
      <c r="I1578" s="567"/>
      <c r="J1578" s="567"/>
      <c r="K1578" s="567"/>
      <c r="L1578" s="770"/>
      <c r="M1578" s="567"/>
      <c r="N1578" s="567"/>
      <c r="O1578" s="567"/>
      <c r="P1578" s="567"/>
      <c r="Q1578" s="567"/>
      <c r="R1578" s="771">
        <f>$A1578*Q1578</f>
        <v>0</v>
      </c>
      <c r="S1578" s="567"/>
      <c r="T1578" s="500">
        <f>$A1578*S1578*$T$1</f>
        <v>0</v>
      </c>
    </row>
    <row r="1579" spans="1:33" s="501" customFormat="1" ht="15.6" customHeight="1">
      <c r="A1579" s="767"/>
      <c r="B1579" s="567"/>
      <c r="C1579" s="567"/>
      <c r="D1579" s="3"/>
      <c r="E1579" s="567"/>
      <c r="F1579" s="567"/>
      <c r="G1579" s="567"/>
      <c r="H1579" s="567"/>
      <c r="I1579" s="567"/>
      <c r="J1579" s="567"/>
      <c r="K1579" s="567"/>
      <c r="L1579" s="770"/>
      <c r="M1579" s="567"/>
      <c r="N1579" s="567"/>
      <c r="O1579" s="567"/>
      <c r="P1579" s="567"/>
      <c r="Q1579" s="567"/>
      <c r="R1579" s="771">
        <f>$A1579*Q1579</f>
        <v>0</v>
      </c>
      <c r="S1579" s="567"/>
      <c r="T1579" s="500">
        <f>$A1579*S1579*$T$1</f>
        <v>0</v>
      </c>
    </row>
    <row r="1580" spans="1:33" s="501" customFormat="1" ht="12">
      <c r="A1580" s="772" t="s">
        <v>145</v>
      </c>
      <c r="B1580" s="773">
        <f>(R1579+T1579)</f>
        <v>0</v>
      </c>
      <c r="C1580" s="753"/>
      <c r="G1580" s="774"/>
      <c r="H1580" s="774"/>
      <c r="I1580" s="774"/>
      <c r="J1580" s="774"/>
      <c r="K1580" s="798" t="s">
        <v>5</v>
      </c>
      <c r="L1580" s="775" t="s">
        <v>573</v>
      </c>
      <c r="M1580" s="774"/>
      <c r="N1580" s="774"/>
      <c r="O1580" s="774"/>
      <c r="P1580" s="774"/>
      <c r="Q1580" s="776"/>
      <c r="R1580" s="777">
        <f>SUM(R1576:R1579)</f>
        <v>0</v>
      </c>
      <c r="S1580" s="778"/>
      <c r="T1580" s="777">
        <f>SUM(T1576:T1579)</f>
        <v>0</v>
      </c>
      <c r="AG1580" s="799">
        <f>ROUND($R1580*$S$3,2)</f>
        <v>0</v>
      </c>
    </row>
    <row r="1581" spans="1:33" s="501" customFormat="1" ht="12" customHeight="1">
      <c r="A1581" s="800"/>
      <c r="B1581" s="801"/>
      <c r="C1581" s="802"/>
      <c r="D1581" s="803" t="str">
        <f>$F$4</f>
        <v>Engineer (Man Hours)</v>
      </c>
      <c r="E1581" s="803">
        <f>ROUND(($R1585*$S$4 + ($T1585*$T$4)), 2)</f>
        <v>0</v>
      </c>
      <c r="F1581" s="804">
        <f ca="1">$F1562-SUMIF($L1564:$P1578,"SUBI",$F1564:$F1578)</f>
        <v>0</v>
      </c>
      <c r="G1581" s="499"/>
      <c r="H1581" s="499"/>
      <c r="I1581" s="499"/>
      <c r="J1581" s="499"/>
      <c r="K1581" s="805" t="s">
        <v>8</v>
      </c>
      <c r="L1581" s="766" t="s">
        <v>573</v>
      </c>
      <c r="M1581" s="499"/>
      <c r="N1581" s="499"/>
      <c r="O1581" s="499"/>
      <c r="P1581" s="499"/>
      <c r="Q1581" s="499"/>
      <c r="R1581" s="784"/>
      <c r="S1581" s="499"/>
      <c r="T1581" s="784"/>
    </row>
    <row r="1582" spans="1:33" s="797" customFormat="1" ht="14.4" customHeight="1">
      <c r="A1582" s="785"/>
      <c r="B1582" s="768" t="s">
        <v>576</v>
      </c>
      <c r="C1582" s="786"/>
      <c r="D1582" s="787"/>
      <c r="E1582" s="787"/>
      <c r="F1582" s="787"/>
      <c r="G1582" s="788"/>
      <c r="H1582" s="789"/>
      <c r="I1582" s="789"/>
      <c r="J1582" s="790"/>
      <c r="K1582" s="791"/>
      <c r="L1582" s="786"/>
      <c r="M1582" s="792"/>
      <c r="N1582" s="793"/>
      <c r="O1582" s="806"/>
      <c r="P1582" s="795"/>
      <c r="Q1582" s="796"/>
      <c r="R1582" s="720">
        <f>$A1582*Q1582</f>
        <v>0</v>
      </c>
      <c r="S1582" s="796"/>
      <c r="T1582" s="500">
        <f>$A1582*S1582*$T$1</f>
        <v>0</v>
      </c>
    </row>
    <row r="1583" spans="1:33" s="501" customFormat="1" ht="12">
      <c r="A1583" s="44"/>
      <c r="B1583" s="497"/>
      <c r="C1583" s="497"/>
      <c r="D1583" s="807"/>
      <c r="E1583" s="808"/>
      <c r="F1583" s="499"/>
      <c r="G1583" s="499"/>
      <c r="H1583" s="499"/>
      <c r="I1583" s="499"/>
      <c r="J1583" s="499"/>
      <c r="K1583" s="499"/>
      <c r="L1583" s="809"/>
      <c r="M1583" s="499"/>
      <c r="N1583" s="499"/>
      <c r="O1583" s="499"/>
      <c r="P1583" s="499"/>
      <c r="Q1583" s="499"/>
      <c r="R1583" s="720">
        <f>$A1583*Q1583</f>
        <v>0</v>
      </c>
      <c r="S1583" s="499"/>
      <c r="T1583" s="500">
        <f>$A1583*S1583*$T$1</f>
        <v>0</v>
      </c>
    </row>
    <row r="1584" spans="1:33" s="501" customFormat="1" ht="12">
      <c r="A1584" s="44"/>
      <c r="B1584" s="497"/>
      <c r="C1584" s="497"/>
      <c r="D1584" s="807"/>
      <c r="E1584" s="808"/>
      <c r="F1584" s="499"/>
      <c r="G1584" s="499"/>
      <c r="H1584" s="499"/>
      <c r="I1584" s="499"/>
      <c r="J1584" s="499"/>
      <c r="K1584" s="499"/>
      <c r="L1584" s="809"/>
      <c r="M1584" s="499"/>
      <c r="N1584" s="499"/>
      <c r="O1584" s="499"/>
      <c r="P1584" s="499"/>
      <c r="Q1584" s="499"/>
      <c r="R1584" s="720">
        <f>$A1584*Q1584</f>
        <v>0</v>
      </c>
      <c r="S1584" s="499"/>
      <c r="T1584" s="500">
        <f>$A1584*S1584*$T$1</f>
        <v>0</v>
      </c>
    </row>
    <row r="1585" spans="1:41" s="501" customFormat="1" ht="12.75" customHeight="1">
      <c r="A1585" s="772" t="s">
        <v>145</v>
      </c>
      <c r="B1585" s="773">
        <f>(R1584+T1584)</f>
        <v>0</v>
      </c>
      <c r="C1585" s="810"/>
      <c r="D1585" s="810"/>
      <c r="E1585" s="810"/>
      <c r="F1585" s="810"/>
      <c r="G1585" s="776"/>
      <c r="H1585" s="776"/>
      <c r="I1585" s="776"/>
      <c r="J1585" s="776"/>
      <c r="K1585" s="798" t="s">
        <v>8</v>
      </c>
      <c r="L1585" s="811" t="s">
        <v>573</v>
      </c>
      <c r="M1585" s="776"/>
      <c r="N1585" s="776"/>
      <c r="O1585" s="776"/>
      <c r="P1585" s="776"/>
      <c r="Q1585" s="776"/>
      <c r="R1585" s="777">
        <f>SUM(R1581:R1584)</f>
        <v>0</v>
      </c>
      <c r="S1585" s="778"/>
      <c r="T1585" s="777">
        <f>SUM(T1581:T1584)</f>
        <v>0</v>
      </c>
      <c r="AG1585" s="812">
        <f>ROUND($R1585*$S$4,2)</f>
        <v>0</v>
      </c>
    </row>
    <row r="1586" spans="1:41" s="501" customFormat="1" ht="12.75" customHeight="1">
      <c r="A1586" s="813"/>
      <c r="B1586" s="814"/>
      <c r="E1586" s="497"/>
      <c r="F1586" s="808"/>
      <c r="G1586" s="497"/>
      <c r="H1586" s="497"/>
      <c r="I1586" s="499"/>
      <c r="J1586" s="497"/>
      <c r="K1586" s="497"/>
      <c r="L1586" s="815"/>
      <c r="M1586" s="725"/>
      <c r="N1586" s="725"/>
      <c r="O1586" s="725"/>
      <c r="P1586" s="725"/>
      <c r="Q1586" s="726"/>
      <c r="R1586" s="784"/>
      <c r="S1586" s="497"/>
      <c r="T1586" s="784"/>
    </row>
    <row r="1587" spans="1:41" s="501" customFormat="1" ht="13.5" customHeight="1" thickBot="1">
      <c r="A1587" s="816"/>
      <c r="B1587" s="817"/>
      <c r="C1587" s="518"/>
      <c r="D1587" s="518"/>
      <c r="E1587" s="515"/>
      <c r="F1587" s="721"/>
      <c r="G1587" s="515" t="s">
        <v>146</v>
      </c>
      <c r="H1587" s="515"/>
      <c r="I1587" s="516"/>
      <c r="J1587" s="515"/>
      <c r="K1587" s="515"/>
      <c r="L1587" s="818" t="s">
        <v>143</v>
      </c>
      <c r="M1587" s="517"/>
      <c r="N1587" s="517"/>
      <c r="O1587" s="517"/>
      <c r="P1587" s="517"/>
      <c r="Q1587" s="722"/>
      <c r="R1587" s="819">
        <f>SUMIF($L1563:$L1586,"SUBI",R1563:R1586)</f>
        <v>51.219999999999992</v>
      </c>
      <c r="S1587" s="820"/>
      <c r="T1587" s="819">
        <f>SUMIF($L1563:$L1586,"SUBI",T1563:T1586)</f>
        <v>2.61</v>
      </c>
      <c r="U1587" s="518"/>
      <c r="V1587" s="518"/>
      <c r="W1587" s="518"/>
      <c r="X1587" s="518"/>
      <c r="Y1587" s="518"/>
      <c r="Z1587" s="518"/>
      <c r="AA1587" s="518"/>
      <c r="AB1587" s="518"/>
      <c r="AC1587" s="518"/>
      <c r="AD1587" s="518"/>
      <c r="AE1587" s="518"/>
      <c r="AF1587" s="518"/>
      <c r="AG1587" s="518"/>
      <c r="AH1587" s="518"/>
      <c r="AI1587" s="518"/>
      <c r="AJ1587" s="518"/>
      <c r="AK1587" s="518"/>
      <c r="AL1587" s="518"/>
      <c r="AM1587" s="518"/>
      <c r="AN1587" s="518"/>
      <c r="AO1587" s="518"/>
    </row>
    <row r="1588" spans="1:41" s="501" customFormat="1" thickTop="1">
      <c r="A1588" s="44"/>
      <c r="B1588" s="44"/>
      <c r="C1588" s="3"/>
      <c r="D1588" s="3"/>
      <c r="E1588" s="44"/>
      <c r="F1588" s="44"/>
      <c r="G1588" s="44"/>
      <c r="H1588" s="44"/>
      <c r="I1588" s="44"/>
      <c r="J1588" s="44"/>
      <c r="K1588" s="44" t="s">
        <v>134</v>
      </c>
      <c r="L1588" s="44"/>
      <c r="M1588" s="44"/>
      <c r="N1588" s="44"/>
      <c r="O1588" s="45"/>
      <c r="P1588" s="44"/>
      <c r="Q1588" s="44"/>
      <c r="R1588" s="44"/>
      <c r="S1588" s="44"/>
      <c r="T1588" s="44"/>
    </row>
    <row r="1589" spans="1:41" s="501" customFormat="1" ht="12">
      <c r="A1589" s="44"/>
      <c r="B1589" s="44"/>
      <c r="C1589" s="44" t="s">
        <v>135</v>
      </c>
      <c r="D1589" s="35"/>
      <c r="E1589" s="44"/>
      <c r="F1589" s="44"/>
      <c r="G1589" s="44"/>
      <c r="H1589" s="44"/>
      <c r="I1589" s="44"/>
      <c r="J1589" s="44"/>
      <c r="K1589" s="44"/>
      <c r="L1589" s="44"/>
      <c r="M1589" s="44"/>
      <c r="N1589" s="44"/>
      <c r="O1589" s="45"/>
      <c r="P1589" s="44"/>
      <c r="Q1589" s="44"/>
      <c r="R1589" s="44"/>
      <c r="S1589" s="44"/>
      <c r="T1589" s="44"/>
    </row>
    <row r="1590" spans="1:41" s="501" customFormat="1" ht="12">
      <c r="A1590" s="44"/>
      <c r="B1590" s="44"/>
      <c r="C1590" s="44"/>
      <c r="D1590" s="35" t="s">
        <v>403</v>
      </c>
      <c r="E1590" s="44"/>
      <c r="F1590" s="44"/>
      <c r="G1590" s="44"/>
      <c r="H1590" s="44"/>
      <c r="I1590" s="44"/>
      <c r="J1590" s="44"/>
      <c r="K1590" s="44"/>
      <c r="L1590" s="44"/>
      <c r="M1590" s="44"/>
      <c r="N1590" s="44"/>
      <c r="O1590" s="45"/>
      <c r="P1590" s="44"/>
      <c r="Q1590" s="44"/>
      <c r="R1590" s="44"/>
      <c r="S1590" s="36"/>
      <c r="T1590" s="36"/>
    </row>
    <row r="1591" spans="1:41" s="3" customFormat="1" thickBot="1">
      <c r="A1591" s="518"/>
      <c r="O1591" s="86"/>
    </row>
    <row r="1592" spans="1:41" s="501" customFormat="1" thickTop="1">
      <c r="A1592" s="44"/>
      <c r="B1592" s="44"/>
      <c r="C1592" s="3"/>
      <c r="D1592" s="3"/>
      <c r="E1592" s="44"/>
      <c r="F1592" s="44"/>
      <c r="G1592" s="44"/>
      <c r="H1592" s="44"/>
      <c r="I1592" s="44"/>
      <c r="J1592" s="44"/>
      <c r="K1592" s="44" t="s">
        <v>134</v>
      </c>
      <c r="L1592" s="44"/>
      <c r="M1592" s="44"/>
      <c r="N1592" s="44"/>
      <c r="O1592" s="45"/>
      <c r="P1592" s="44"/>
      <c r="Q1592" s="44"/>
      <c r="R1592" s="44"/>
      <c r="S1592" s="44"/>
      <c r="T1592" s="44"/>
    </row>
    <row r="1593" spans="1:41" s="501" customFormat="1" ht="12">
      <c r="A1593" s="44"/>
      <c r="B1593" s="44"/>
      <c r="C1593" s="44" t="s">
        <v>135</v>
      </c>
      <c r="D1593" s="35" t="s">
        <v>601</v>
      </c>
      <c r="E1593" s="44"/>
      <c r="F1593" s="44"/>
      <c r="G1593" s="44"/>
      <c r="H1593" s="44"/>
      <c r="I1593" s="44"/>
      <c r="J1593" s="44"/>
      <c r="K1593" s="44"/>
      <c r="L1593" s="44"/>
      <c r="M1593" s="44"/>
      <c r="N1593" s="44"/>
      <c r="O1593" s="45"/>
      <c r="P1593" s="44"/>
      <c r="Q1593" s="44"/>
      <c r="R1593" s="44"/>
      <c r="S1593" s="44"/>
      <c r="T1593" s="44"/>
    </row>
    <row r="1594" spans="1:41" s="501" customFormat="1" ht="39.9" customHeight="1">
      <c r="A1594" s="44"/>
      <c r="B1594" s="44"/>
      <c r="C1594" s="44"/>
      <c r="D1594" s="1185" t="s">
        <v>418</v>
      </c>
      <c r="E1594" s="1184"/>
      <c r="F1594" s="1184"/>
      <c r="G1594" s="1184"/>
      <c r="H1594" s="1184"/>
      <c r="I1594" s="1184"/>
      <c r="J1594" s="1184"/>
      <c r="K1594" s="1184"/>
      <c r="L1594" s="1184"/>
      <c r="M1594" s="1184"/>
      <c r="N1594" s="1184"/>
      <c r="O1594" s="1184"/>
      <c r="P1594" s="1184"/>
      <c r="Q1594" s="1184"/>
      <c r="R1594" s="1184"/>
      <c r="S1594" s="1184"/>
      <c r="T1594" s="1184"/>
    </row>
    <row r="1595" spans="1:41" s="3" customFormat="1" thickBot="1">
      <c r="A1595" s="518"/>
      <c r="O1595" s="86"/>
    </row>
    <row r="1596" spans="1:41" s="501" customFormat="1" ht="12" thickTop="1">
      <c r="A1596" s="44"/>
      <c r="B1596" s="39"/>
      <c r="C1596" s="44"/>
      <c r="E1596" s="40" t="s">
        <v>138</v>
      </c>
      <c r="F1596" s="40" t="s">
        <v>139</v>
      </c>
      <c r="G1596" s="44"/>
      <c r="H1596" s="44"/>
      <c r="I1596" s="44"/>
      <c r="J1596" s="44"/>
      <c r="K1596" s="44" t="s">
        <v>140</v>
      </c>
      <c r="L1596" s="44"/>
      <c r="M1596" s="44"/>
      <c r="N1596" s="44"/>
      <c r="O1596" s="45"/>
      <c r="P1596" s="44"/>
      <c r="Q1596" s="44"/>
      <c r="R1596" s="44"/>
      <c r="S1596" s="44"/>
      <c r="T1596" s="39"/>
      <c r="AG1596" s="502" t="s">
        <v>247</v>
      </c>
      <c r="AH1596" s="502" t="s">
        <v>248</v>
      </c>
      <c r="AI1596" s="502" t="s">
        <v>249</v>
      </c>
      <c r="AJ1596" s="502" t="s">
        <v>250</v>
      </c>
      <c r="AK1596" s="502" t="s">
        <v>251</v>
      </c>
      <c r="AM1596" s="710" t="s">
        <v>260</v>
      </c>
      <c r="AN1596" s="711" t="s">
        <v>261</v>
      </c>
      <c r="AO1596" s="503" t="s">
        <v>257</v>
      </c>
    </row>
    <row r="1597" spans="1:41" s="501" customFormat="1" ht="12" customHeight="1">
      <c r="A1597" s="712">
        <v>1</v>
      </c>
      <c r="B1597" s="504" t="s">
        <v>283</v>
      </c>
      <c r="C1597" s="505"/>
      <c r="D1597" s="713" t="s">
        <v>577</v>
      </c>
      <c r="E1597" s="714">
        <f ca="1">IF(AND($A1597=0,$A$1="DIF"),0, ROUND(ROUND(($R1602*$S$2+($T1602*$T$2))/A1597,2)*$C$2,2))</f>
        <v>61.84</v>
      </c>
      <c r="F1597" s="715">
        <f ca="1">ROUND($A1597*$E1597,2)</f>
        <v>61.84</v>
      </c>
      <c r="G1597" s="506" t="s">
        <v>142</v>
      </c>
      <c r="H1597" s="498"/>
      <c r="I1597" s="716"/>
      <c r="J1597" s="498"/>
      <c r="K1597" s="498" t="s">
        <v>3</v>
      </c>
      <c r="L1597" s="717" t="s">
        <v>143</v>
      </c>
      <c r="M1597" s="717"/>
      <c r="N1597" s="717"/>
      <c r="O1597" s="717"/>
      <c r="P1597" s="717"/>
      <c r="Q1597" s="943" t="s">
        <v>855</v>
      </c>
      <c r="R1597" s="943" t="s">
        <v>870</v>
      </c>
      <c r="T1597" s="718" t="str">
        <f ca="1">IF(AND($R1602=0,$T1602=0),"0.00","mu :" &amp; ROUND($F1597/$C$2/($R1602+$T1602*$D$9),2))</f>
        <v>mu :1.35</v>
      </c>
      <c r="W1597" s="507"/>
      <c r="AG1597" s="453">
        <f ca="1">IF($E1597=0,0,ROUND($R1602*$S$2*$C$2/$A1597,2))</f>
        <v>14.39</v>
      </c>
      <c r="AH1597" s="453">
        <f ca="1">$AG1597*$A1597</f>
        <v>14.39</v>
      </c>
      <c r="AI1597" s="508">
        <f ca="1">$E1597-$AG1597</f>
        <v>47.45</v>
      </c>
      <c r="AJ1597" s="508">
        <f ca="1">$A1597*$AI1597</f>
        <v>47.45</v>
      </c>
      <c r="AK1597" s="509">
        <f ca="1">ROUND(($AG1597+$AI1597)*$A1597,2)</f>
        <v>61.84</v>
      </c>
      <c r="AM1597" s="510">
        <f ca="1">ROUND(R1602,2)</f>
        <v>10.66</v>
      </c>
      <c r="AN1597" s="511">
        <f ca="1">ROUND(T1602,2)</f>
        <v>1.28</v>
      </c>
      <c r="AO1597" s="512">
        <f ca="1">ROUND(AM1597+AN1597,2)*A1597</f>
        <v>11.94</v>
      </c>
    </row>
    <row r="1598" spans="1:41" s="501" customFormat="1" ht="13.2">
      <c r="A1598" s="505"/>
      <c r="B1598"/>
      <c r="C1598" s="505"/>
      <c r="D1598" s="713" t="s">
        <v>419</v>
      </c>
      <c r="F1598" s="498"/>
      <c r="G1598" s="3"/>
      <c r="H1598" s="498"/>
      <c r="I1598" s="716"/>
      <c r="J1598" s="498"/>
      <c r="K1598" s="498" t="s">
        <v>144</v>
      </c>
      <c r="L1598" s="498"/>
      <c r="M1598" s="498"/>
      <c r="N1598" s="498"/>
      <c r="O1598" s="498"/>
      <c r="P1598" s="498"/>
      <c r="Q1598" s="44"/>
      <c r="R1598" s="567"/>
      <c r="S1598" s="719"/>
      <c r="T1598" s="498"/>
    </row>
    <row r="1599" spans="1:41" s="935" customFormat="1" ht="13.2">
      <c r="A1599"/>
      <c r="B1599" s="927"/>
      <c r="C1599" s="927" t="s">
        <v>735</v>
      </c>
      <c r="D1599" s="927" t="str">
        <f ca="1">CELL("Address",Elec_Rates!D$64)</f>
        <v>[E25_0465_IH_Retro_Elec4Mech_Est_Rev_A.xlsx]Elec_Rates!$D$64</v>
      </c>
      <c r="E1599" s="928"/>
      <c r="F1599" s="928"/>
      <c r="G1599" s="929" t="s">
        <v>736</v>
      </c>
      <c r="H1599" s="929"/>
      <c r="I1599" s="929"/>
      <c r="J1599" s="929"/>
      <c r="K1599" s="930"/>
      <c r="L1599" s="928"/>
      <c r="M1599" s="928"/>
      <c r="N1599" s="928"/>
      <c r="O1599" s="931"/>
      <c r="P1599" s="928"/>
      <c r="Q1599" s="932"/>
      <c r="R1599" s="933"/>
      <c r="S1599" s="932"/>
      <c r="T1599" s="560"/>
      <c r="U1599" s="934"/>
    </row>
    <row r="1600" spans="1:41" s="935" customFormat="1" ht="11.4">
      <c r="A1600" s="936">
        <v>1</v>
      </c>
      <c r="B1600" s="937">
        <v>1</v>
      </c>
      <c r="C1600" s="937">
        <f>$A1600*$B1600</f>
        <v>1</v>
      </c>
      <c r="D1600" s="938" t="str">
        <f>Elec_Rates!$D$64</f>
        <v>006# Connecting up of 11.0/18.0 kW 400Volt motor (VFD)</v>
      </c>
      <c r="E1600" s="938"/>
      <c r="F1600" s="938" t="s">
        <v>737</v>
      </c>
      <c r="G1600" s="939" t="s">
        <v>738</v>
      </c>
      <c r="H1600" s="939"/>
      <c r="I1600" s="939"/>
      <c r="J1600" s="939"/>
      <c r="K1600" s="940"/>
      <c r="L1600" s="934"/>
      <c r="M1600" s="934"/>
      <c r="N1600" s="934"/>
      <c r="O1600" s="941"/>
      <c r="P1600" s="938"/>
      <c r="Q1600" s="942">
        <f ca="1">$B1600*Elec_Rates!$R$64</f>
        <v>10.66</v>
      </c>
      <c r="R1600" s="933">
        <f ca="1">$A1600*Q1600</f>
        <v>10.66</v>
      </c>
      <c r="S1600" s="942">
        <f ca="1">$B1600*Elec_Rates!$T$64</f>
        <v>1.28</v>
      </c>
      <c r="T1600" s="560">
        <f ca="1">$A1600*S1600</f>
        <v>1.28</v>
      </c>
      <c r="U1600" s="484"/>
    </row>
    <row r="1601" spans="1:41" s="501" customFormat="1" ht="12">
      <c r="A1601" s="497"/>
      <c r="B1601" s="497"/>
      <c r="C1601" s="497"/>
      <c r="D1601" s="497"/>
      <c r="E1601" s="497"/>
      <c r="F1601" s="498"/>
      <c r="G1601" s="497"/>
      <c r="H1601" s="497"/>
      <c r="I1601" s="499"/>
      <c r="J1601" s="497"/>
      <c r="K1601" s="497"/>
      <c r="L1601" s="497"/>
      <c r="M1601" s="497"/>
      <c r="N1601" s="497"/>
      <c r="O1601" s="497"/>
      <c r="P1601" s="497"/>
      <c r="Q1601" s="499"/>
      <c r="R1601" s="720">
        <f>$A1601*Q1601</f>
        <v>0</v>
      </c>
      <c r="S1601" s="499"/>
      <c r="T1601" s="500">
        <f>$A1601*S1601*$T$1</f>
        <v>0</v>
      </c>
    </row>
    <row r="1602" spans="1:41" s="501" customFormat="1" ht="12.6" thickBot="1">
      <c r="A1602" s="513" t="s">
        <v>145</v>
      </c>
      <c r="B1602" s="514">
        <f>(R1601+T1601)</f>
        <v>0</v>
      </c>
      <c r="C1602" s="515"/>
      <c r="D1602" s="515"/>
      <c r="E1602" s="515"/>
      <c r="F1602" s="721"/>
      <c r="G1602" s="515" t="s">
        <v>146</v>
      </c>
      <c r="H1602" s="515"/>
      <c r="I1602" s="516"/>
      <c r="J1602" s="515"/>
      <c r="K1602" s="515" t="s">
        <v>3</v>
      </c>
      <c r="L1602" s="517" t="s">
        <v>143</v>
      </c>
      <c r="M1602" s="517"/>
      <c r="N1602" s="517"/>
      <c r="O1602" s="517"/>
      <c r="P1602" s="517"/>
      <c r="Q1602" s="722"/>
      <c r="R1602" s="723">
        <f ca="1">SUM(R1598:R1601)</f>
        <v>10.66</v>
      </c>
      <c r="S1602" s="515"/>
      <c r="T1602" s="723">
        <f ca="1">SUM(T1598:T1601)</f>
        <v>1.28</v>
      </c>
      <c r="U1602" s="518"/>
      <c r="V1602" s="518"/>
      <c r="W1602" s="518"/>
      <c r="X1602" s="518"/>
      <c r="Y1602" s="518"/>
      <c r="Z1602" s="518"/>
      <c r="AA1602" s="518"/>
      <c r="AB1602" s="518"/>
      <c r="AC1602" s="518"/>
      <c r="AD1602" s="518"/>
      <c r="AE1602" s="518"/>
      <c r="AF1602" s="518"/>
      <c r="AG1602" s="518"/>
      <c r="AH1602" s="518"/>
      <c r="AI1602" s="518"/>
      <c r="AJ1602" s="518"/>
      <c r="AK1602" s="518"/>
      <c r="AL1602" s="518"/>
      <c r="AM1602" s="518"/>
      <c r="AN1602" s="518"/>
      <c r="AO1602" s="518"/>
    </row>
    <row r="1603" spans="1:41" s="501" customFormat="1" ht="12" thickTop="1">
      <c r="A1603" s="44"/>
      <c r="B1603" s="39"/>
      <c r="C1603" s="44"/>
      <c r="E1603" s="40" t="s">
        <v>138</v>
      </c>
      <c r="F1603" s="40" t="s">
        <v>139</v>
      </c>
      <c r="G1603" s="44"/>
      <c r="H1603" s="44"/>
      <c r="I1603" s="44"/>
      <c r="J1603" s="44"/>
      <c r="K1603" s="44" t="s">
        <v>140</v>
      </c>
      <c r="L1603" s="44"/>
      <c r="M1603" s="44"/>
      <c r="N1603" s="44"/>
      <c r="O1603" s="45"/>
      <c r="P1603" s="44"/>
      <c r="Q1603" s="44"/>
      <c r="R1603" s="44"/>
      <c r="S1603" s="44"/>
      <c r="T1603" s="39"/>
      <c r="AG1603" s="502" t="s">
        <v>247</v>
      </c>
      <c r="AH1603" s="502" t="s">
        <v>248</v>
      </c>
      <c r="AI1603" s="502" t="s">
        <v>249</v>
      </c>
      <c r="AJ1603" s="502" t="s">
        <v>250</v>
      </c>
      <c r="AK1603" s="502" t="s">
        <v>251</v>
      </c>
      <c r="AM1603" s="710" t="s">
        <v>260</v>
      </c>
      <c r="AN1603" s="711" t="s">
        <v>261</v>
      </c>
      <c r="AO1603" s="503" t="s">
        <v>257</v>
      </c>
    </row>
    <row r="1604" spans="1:41" s="501" customFormat="1" ht="12" customHeight="1">
      <c r="A1604" s="712">
        <v>1</v>
      </c>
      <c r="B1604" s="504" t="s">
        <v>283</v>
      </c>
      <c r="C1604" s="505"/>
      <c r="D1604" s="713" t="s">
        <v>585</v>
      </c>
      <c r="E1604" s="714">
        <f ca="1">IF(AND($A1604=0,$A$1="DIF"),0, ROUND(ROUND(($R1609*$S$2+($T1609*$T$2))/A1604,2)*$C$2,2))</f>
        <v>61.84</v>
      </c>
      <c r="F1604" s="715">
        <f ca="1">ROUND($A1604*$E1604,2)</f>
        <v>61.84</v>
      </c>
      <c r="G1604" s="506" t="s">
        <v>142</v>
      </c>
      <c r="H1604" s="498"/>
      <c r="I1604" s="716"/>
      <c r="J1604" s="498"/>
      <c r="K1604" s="498" t="s">
        <v>3</v>
      </c>
      <c r="L1604" s="717" t="s">
        <v>143</v>
      </c>
      <c r="M1604" s="717"/>
      <c r="N1604" s="717"/>
      <c r="O1604" s="717"/>
      <c r="P1604" s="717"/>
      <c r="Q1604" s="943" t="s">
        <v>855</v>
      </c>
      <c r="R1604" s="943" t="s">
        <v>870</v>
      </c>
      <c r="T1604" s="718" t="str">
        <f ca="1">IF(AND($R1609=0,$T1609=0),"0.00","mu :" &amp; ROUND($F1604/$C$2/($R1609+$T1609*$D$9),2))</f>
        <v>mu :1.35</v>
      </c>
      <c r="W1604" s="507"/>
      <c r="AG1604" s="453">
        <f ca="1">IF($E1604=0,0,ROUND($R1609*$S$2*$C$2/$A1604,2))</f>
        <v>14.39</v>
      </c>
      <c r="AH1604" s="453">
        <f ca="1">$AG1604*$A1604</f>
        <v>14.39</v>
      </c>
      <c r="AI1604" s="508">
        <f ca="1">$E1604-$AG1604</f>
        <v>47.45</v>
      </c>
      <c r="AJ1604" s="508">
        <f ca="1">$A1604*$AI1604</f>
        <v>47.45</v>
      </c>
      <c r="AK1604" s="509">
        <f ca="1">ROUND(($AG1604+$AI1604)*$A1604,2)</f>
        <v>61.84</v>
      </c>
      <c r="AM1604" s="510">
        <f ca="1">ROUND(R1609,2)</f>
        <v>10.66</v>
      </c>
      <c r="AN1604" s="511">
        <f ca="1">ROUND(T1609,2)</f>
        <v>1.28</v>
      </c>
      <c r="AO1604" s="512">
        <f ca="1">ROUND(AM1604+AN1604,2)*A1604</f>
        <v>11.94</v>
      </c>
    </row>
    <row r="1605" spans="1:41" s="501" customFormat="1" ht="13.2">
      <c r="A1605" s="505"/>
      <c r="B1605"/>
      <c r="C1605" s="505"/>
      <c r="D1605" s="713" t="s">
        <v>420</v>
      </c>
      <c r="F1605" s="498"/>
      <c r="G1605" s="3"/>
      <c r="H1605" s="498"/>
      <c r="I1605" s="716"/>
      <c r="J1605" s="498"/>
      <c r="K1605" s="498" t="s">
        <v>144</v>
      </c>
      <c r="L1605" s="498"/>
      <c r="M1605" s="498"/>
      <c r="N1605" s="498"/>
      <c r="O1605" s="498"/>
      <c r="P1605" s="498"/>
      <c r="Q1605" s="44"/>
      <c r="R1605" s="567"/>
      <c r="S1605" s="719"/>
      <c r="T1605" s="498"/>
    </row>
    <row r="1606" spans="1:41" s="935" customFormat="1" ht="13.2">
      <c r="A1606"/>
      <c r="B1606" s="927"/>
      <c r="C1606" s="927" t="s">
        <v>735</v>
      </c>
      <c r="D1606" s="927" t="str">
        <f ca="1">CELL("Address",Elec_Rates!D$64)</f>
        <v>[E25_0465_IH_Retro_Elec4Mech_Est_Rev_A.xlsx]Elec_Rates!$D$64</v>
      </c>
      <c r="E1606" s="928"/>
      <c r="F1606" s="928"/>
      <c r="G1606" s="929" t="s">
        <v>736</v>
      </c>
      <c r="H1606" s="929"/>
      <c r="I1606" s="929"/>
      <c r="J1606" s="929"/>
      <c r="K1606" s="930"/>
      <c r="L1606" s="928"/>
      <c r="M1606" s="928"/>
      <c r="N1606" s="928"/>
      <c r="O1606" s="931"/>
      <c r="P1606" s="928"/>
      <c r="Q1606" s="932"/>
      <c r="R1606" s="933"/>
      <c r="S1606" s="932"/>
      <c r="T1606" s="560"/>
      <c r="U1606" s="934"/>
    </row>
    <row r="1607" spans="1:41" s="935" customFormat="1" ht="11.4">
      <c r="A1607" s="936">
        <v>1</v>
      </c>
      <c r="B1607" s="937">
        <v>1</v>
      </c>
      <c r="C1607" s="937">
        <f>$A1607*$B1607</f>
        <v>1</v>
      </c>
      <c r="D1607" s="938" t="str">
        <f>Elec_Rates!$D$64</f>
        <v>006# Connecting up of 11.0/18.0 kW 400Volt motor (VFD)</v>
      </c>
      <c r="E1607" s="938"/>
      <c r="F1607" s="938" t="s">
        <v>737</v>
      </c>
      <c r="G1607" s="939" t="s">
        <v>738</v>
      </c>
      <c r="H1607" s="939"/>
      <c r="I1607" s="939"/>
      <c r="J1607" s="939"/>
      <c r="K1607" s="940"/>
      <c r="L1607" s="934"/>
      <c r="M1607" s="934"/>
      <c r="N1607" s="934"/>
      <c r="O1607" s="941"/>
      <c r="P1607" s="938"/>
      <c r="Q1607" s="942">
        <f ca="1">$B1607*Elec_Rates!$R$64</f>
        <v>10.66</v>
      </c>
      <c r="R1607" s="933">
        <f ca="1">$A1607*Q1607</f>
        <v>10.66</v>
      </c>
      <c r="S1607" s="942">
        <f ca="1">$B1607*Elec_Rates!$T$64</f>
        <v>1.28</v>
      </c>
      <c r="T1607" s="560">
        <f ca="1">$A1607*S1607</f>
        <v>1.28</v>
      </c>
      <c r="U1607" s="484"/>
    </row>
    <row r="1608" spans="1:41" s="501" customFormat="1" ht="12">
      <c r="A1608" s="497"/>
      <c r="B1608" s="497"/>
      <c r="C1608" s="497"/>
      <c r="D1608" s="497"/>
      <c r="E1608" s="497"/>
      <c r="F1608" s="498"/>
      <c r="G1608" s="497"/>
      <c r="H1608" s="497"/>
      <c r="I1608" s="499"/>
      <c r="J1608" s="497"/>
      <c r="K1608" s="497"/>
      <c r="L1608" s="497"/>
      <c r="M1608" s="497"/>
      <c r="N1608" s="497"/>
      <c r="O1608" s="497"/>
      <c r="P1608" s="497"/>
      <c r="Q1608" s="499"/>
      <c r="R1608" s="720">
        <f>$A1608*Q1608</f>
        <v>0</v>
      </c>
      <c r="S1608" s="499"/>
      <c r="T1608" s="500">
        <f>$A1608*S1608*$T$1</f>
        <v>0</v>
      </c>
    </row>
    <row r="1609" spans="1:41" s="501" customFormat="1" ht="12.6" thickBot="1">
      <c r="A1609" s="513" t="s">
        <v>145</v>
      </c>
      <c r="B1609" s="514">
        <f>(R1608+T1608)</f>
        <v>0</v>
      </c>
      <c r="C1609" s="515"/>
      <c r="D1609" s="515"/>
      <c r="E1609" s="515"/>
      <c r="F1609" s="721"/>
      <c r="G1609" s="515" t="s">
        <v>146</v>
      </c>
      <c r="H1609" s="515"/>
      <c r="I1609" s="516"/>
      <c r="J1609" s="515"/>
      <c r="K1609" s="515" t="s">
        <v>3</v>
      </c>
      <c r="L1609" s="517" t="s">
        <v>143</v>
      </c>
      <c r="M1609" s="517"/>
      <c r="N1609" s="517"/>
      <c r="O1609" s="517"/>
      <c r="P1609" s="517"/>
      <c r="Q1609" s="722"/>
      <c r="R1609" s="723">
        <f ca="1">SUM(R1605:R1608)</f>
        <v>10.66</v>
      </c>
      <c r="S1609" s="515"/>
      <c r="T1609" s="723">
        <f ca="1">SUM(T1605:T1608)</f>
        <v>1.28</v>
      </c>
      <c r="U1609" s="518"/>
      <c r="V1609" s="518"/>
      <c r="W1609" s="518"/>
      <c r="X1609" s="518"/>
      <c r="Y1609" s="518"/>
      <c r="Z1609" s="518"/>
      <c r="AA1609" s="518"/>
      <c r="AB1609" s="518"/>
      <c r="AC1609" s="518"/>
      <c r="AD1609" s="518"/>
      <c r="AE1609" s="518"/>
      <c r="AF1609" s="518"/>
      <c r="AG1609" s="518"/>
      <c r="AH1609" s="518"/>
      <c r="AI1609" s="518"/>
      <c r="AJ1609" s="518"/>
      <c r="AK1609" s="518"/>
      <c r="AL1609" s="518"/>
      <c r="AM1609" s="518"/>
      <c r="AN1609" s="518"/>
      <c r="AO1609" s="518"/>
    </row>
    <row r="1610" spans="1:41" s="501" customFormat="1" ht="12" thickTop="1">
      <c r="A1610" s="44"/>
      <c r="B1610" s="39"/>
      <c r="C1610" s="44"/>
      <c r="E1610" s="40" t="s">
        <v>138</v>
      </c>
      <c r="F1610" s="40" t="s">
        <v>139</v>
      </c>
      <c r="G1610" s="44"/>
      <c r="H1610" s="44"/>
      <c r="I1610" s="44"/>
      <c r="J1610" s="44"/>
      <c r="K1610" s="44" t="s">
        <v>140</v>
      </c>
      <c r="L1610" s="44"/>
      <c r="M1610" s="44"/>
      <c r="N1610" s="44"/>
      <c r="O1610" s="45"/>
      <c r="P1610" s="44"/>
      <c r="Q1610" s="44"/>
      <c r="R1610" s="44"/>
      <c r="S1610" s="44"/>
      <c r="T1610" s="39"/>
      <c r="AG1610" s="502" t="s">
        <v>247</v>
      </c>
      <c r="AH1610" s="502" t="s">
        <v>248</v>
      </c>
      <c r="AI1610" s="502" t="s">
        <v>249</v>
      </c>
      <c r="AJ1610" s="502" t="s">
        <v>250</v>
      </c>
      <c r="AK1610" s="502" t="s">
        <v>251</v>
      </c>
      <c r="AM1610" s="710" t="s">
        <v>260</v>
      </c>
      <c r="AN1610" s="711" t="s">
        <v>261</v>
      </c>
      <c r="AO1610" s="503" t="s">
        <v>257</v>
      </c>
    </row>
    <row r="1611" spans="1:41" s="501" customFormat="1" ht="12" customHeight="1">
      <c r="A1611" s="712">
        <v>1</v>
      </c>
      <c r="B1611" s="504" t="s">
        <v>283</v>
      </c>
      <c r="C1611" s="505"/>
      <c r="D1611" s="713" t="s">
        <v>586</v>
      </c>
      <c r="E1611" s="714">
        <f ca="1">IF(AND($A1611=0,$A$1="DIF"),0, ROUND(ROUND(($R1616*$S$2+($T1616*$T$2))/A1611,2)*$C$2,2))</f>
        <v>47.58</v>
      </c>
      <c r="F1611" s="715">
        <f ca="1">ROUND($A1611*$E1611,2)</f>
        <v>47.58</v>
      </c>
      <c r="G1611" s="506" t="s">
        <v>142</v>
      </c>
      <c r="H1611" s="498"/>
      <c r="I1611" s="716"/>
      <c r="J1611" s="498"/>
      <c r="K1611" s="498" t="s">
        <v>3</v>
      </c>
      <c r="L1611" s="717" t="s">
        <v>143</v>
      </c>
      <c r="M1611" s="717"/>
      <c r="N1611" s="717"/>
      <c r="O1611" s="717"/>
      <c r="P1611" s="717"/>
      <c r="Q1611" s="943" t="s">
        <v>855</v>
      </c>
      <c r="R1611" s="943" t="s">
        <v>870</v>
      </c>
      <c r="T1611" s="718" t="str">
        <f ca="1">IF(AND($R1616=0,$T1616=0),"0.00","mu :" &amp; ROUND($F1611/$C$2/($R1616+$T1616*$D$9),2))</f>
        <v>mu :1.35</v>
      </c>
      <c r="W1611" s="507"/>
      <c r="AG1611" s="453">
        <f ca="1">IF($E1611=0,0,ROUND($R1616*$S$2*$C$2/$A1611,2))</f>
        <v>9.4</v>
      </c>
      <c r="AH1611" s="453">
        <f ca="1">$AG1611*$A1611</f>
        <v>9.4</v>
      </c>
      <c r="AI1611" s="508">
        <f ca="1">$E1611-$AG1611</f>
        <v>38.18</v>
      </c>
      <c r="AJ1611" s="508">
        <f ca="1">$A1611*$AI1611</f>
        <v>38.18</v>
      </c>
      <c r="AK1611" s="509">
        <f ca="1">ROUND(($AG1611+$AI1611)*$A1611,2)</f>
        <v>47.58</v>
      </c>
      <c r="AM1611" s="510">
        <f ca="1">ROUND(R1616,2)</f>
        <v>6.96</v>
      </c>
      <c r="AN1611" s="511">
        <f ca="1">ROUND(T1616,2)</f>
        <v>1.03</v>
      </c>
      <c r="AO1611" s="512">
        <f ca="1">ROUND(AM1611+AN1611,2)*A1611</f>
        <v>7.99</v>
      </c>
    </row>
    <row r="1612" spans="1:41" s="501" customFormat="1" ht="13.2">
      <c r="A1612" s="505"/>
      <c r="B1612"/>
      <c r="C1612" s="505"/>
      <c r="D1612" s="713" t="s">
        <v>421</v>
      </c>
      <c r="F1612" s="498"/>
      <c r="G1612" s="3"/>
      <c r="H1612" s="498"/>
      <c r="I1612" s="716"/>
      <c r="J1612" s="498"/>
      <c r="K1612" s="498" t="s">
        <v>144</v>
      </c>
      <c r="L1612" s="498"/>
      <c r="M1612" s="498"/>
      <c r="N1612" s="498"/>
      <c r="O1612" s="498"/>
      <c r="P1612" s="498"/>
      <c r="Q1612" s="44"/>
      <c r="R1612" s="567"/>
      <c r="S1612" s="719"/>
      <c r="T1612" s="498"/>
    </row>
    <row r="1613" spans="1:41" s="935" customFormat="1" ht="13.2">
      <c r="A1613"/>
      <c r="B1613" s="927"/>
      <c r="C1613" s="927" t="s">
        <v>735</v>
      </c>
      <c r="D1613" s="927" t="str">
        <f ca="1">CELL("Address",Elec_Rates!D$55)</f>
        <v>[E25_0465_IH_Retro_Elec4Mech_Est_Rev_A.xlsx]Elec_Rates!$D$55</v>
      </c>
      <c r="E1613" s="928"/>
      <c r="F1613" s="928"/>
      <c r="G1613" s="929" t="s">
        <v>736</v>
      </c>
      <c r="H1613" s="929"/>
      <c r="I1613" s="929"/>
      <c r="J1613" s="929"/>
      <c r="K1613" s="930"/>
      <c r="L1613" s="928"/>
      <c r="M1613" s="928"/>
      <c r="N1613" s="928"/>
      <c r="O1613" s="931"/>
      <c r="P1613" s="928"/>
      <c r="Q1613" s="932"/>
      <c r="R1613" s="933"/>
      <c r="S1613" s="932"/>
      <c r="T1613" s="560"/>
      <c r="U1613" s="934"/>
    </row>
    <row r="1614" spans="1:41" s="935" customFormat="1" ht="11.4">
      <c r="A1614" s="936">
        <v>1</v>
      </c>
      <c r="B1614" s="937">
        <v>1</v>
      </c>
      <c r="C1614" s="937">
        <f>$A1614*$B1614</f>
        <v>1</v>
      </c>
      <c r="D1614" s="938" t="str">
        <f>Elec_Rates!$D$55</f>
        <v>005# Connecting up of 7.5 kW 400Volt motor (VFD)</v>
      </c>
      <c r="E1614" s="938"/>
      <c r="F1614" s="938" t="s">
        <v>737</v>
      </c>
      <c r="G1614" s="939" t="s">
        <v>739</v>
      </c>
      <c r="H1614" s="939"/>
      <c r="I1614" s="939"/>
      <c r="J1614" s="939"/>
      <c r="K1614" s="940"/>
      <c r="L1614" s="934"/>
      <c r="M1614" s="934"/>
      <c r="N1614" s="934"/>
      <c r="O1614" s="941"/>
      <c r="P1614" s="938"/>
      <c r="Q1614" s="942">
        <f ca="1">$B1614*Elec_Rates!$R$55</f>
        <v>6.96</v>
      </c>
      <c r="R1614" s="933">
        <f ca="1">$A1614*Q1614</f>
        <v>6.96</v>
      </c>
      <c r="S1614" s="942">
        <f ca="1">$B1614*Elec_Rates!$T$55</f>
        <v>1.03</v>
      </c>
      <c r="T1614" s="560">
        <f ca="1">$A1614*S1614</f>
        <v>1.03</v>
      </c>
      <c r="U1614" s="484"/>
    </row>
    <row r="1615" spans="1:41" s="501" customFormat="1" ht="12">
      <c r="A1615" s="497"/>
      <c r="B1615" s="497"/>
      <c r="C1615" s="497"/>
      <c r="D1615" s="497"/>
      <c r="E1615" s="497"/>
      <c r="F1615" s="498"/>
      <c r="G1615" s="497"/>
      <c r="H1615" s="497"/>
      <c r="I1615" s="499"/>
      <c r="J1615" s="497"/>
      <c r="K1615" s="497"/>
      <c r="L1615" s="497"/>
      <c r="M1615" s="497"/>
      <c r="N1615" s="497"/>
      <c r="O1615" s="497"/>
      <c r="P1615" s="497"/>
      <c r="Q1615" s="499"/>
      <c r="R1615" s="720">
        <f>$A1615*Q1615</f>
        <v>0</v>
      </c>
      <c r="S1615" s="499"/>
      <c r="T1615" s="500">
        <f>$A1615*S1615*$T$1</f>
        <v>0</v>
      </c>
    </row>
    <row r="1616" spans="1:41" s="501" customFormat="1" ht="12.6" thickBot="1">
      <c r="A1616" s="513" t="s">
        <v>145</v>
      </c>
      <c r="B1616" s="514">
        <f>(R1615+T1615)</f>
        <v>0</v>
      </c>
      <c r="C1616" s="515"/>
      <c r="D1616" s="515"/>
      <c r="E1616" s="515"/>
      <c r="F1616" s="721"/>
      <c r="G1616" s="515" t="s">
        <v>146</v>
      </c>
      <c r="H1616" s="515"/>
      <c r="I1616" s="516"/>
      <c r="J1616" s="515"/>
      <c r="K1616" s="515" t="s">
        <v>3</v>
      </c>
      <c r="L1616" s="517" t="s">
        <v>143</v>
      </c>
      <c r="M1616" s="517"/>
      <c r="N1616" s="517"/>
      <c r="O1616" s="517"/>
      <c r="P1616" s="517"/>
      <c r="Q1616" s="722"/>
      <c r="R1616" s="723">
        <f ca="1">SUM(R1612:R1615)</f>
        <v>6.96</v>
      </c>
      <c r="S1616" s="515"/>
      <c r="T1616" s="723">
        <f ca="1">SUM(T1612:T1615)</f>
        <v>1.03</v>
      </c>
      <c r="U1616" s="518"/>
      <c r="V1616" s="518"/>
      <c r="W1616" s="518"/>
      <c r="X1616" s="518"/>
      <c r="Y1616" s="518"/>
      <c r="Z1616" s="518"/>
      <c r="AA1616" s="518"/>
      <c r="AB1616" s="518"/>
      <c r="AC1616" s="518"/>
      <c r="AD1616" s="518"/>
      <c r="AE1616" s="518"/>
      <c r="AF1616" s="518"/>
      <c r="AG1616" s="518"/>
      <c r="AH1616" s="518"/>
      <c r="AI1616" s="518"/>
      <c r="AJ1616" s="518"/>
      <c r="AK1616" s="518"/>
      <c r="AL1616" s="518"/>
      <c r="AM1616" s="518"/>
      <c r="AN1616" s="518"/>
      <c r="AO1616" s="518"/>
    </row>
    <row r="1617" spans="1:41" s="501" customFormat="1" ht="12" thickTop="1">
      <c r="A1617" s="44"/>
      <c r="B1617" s="39"/>
      <c r="C1617" s="44"/>
      <c r="E1617" s="40" t="s">
        <v>138</v>
      </c>
      <c r="F1617" s="40" t="s">
        <v>139</v>
      </c>
      <c r="G1617" s="44"/>
      <c r="H1617" s="44"/>
      <c r="I1617" s="44"/>
      <c r="J1617" s="44"/>
      <c r="K1617" s="44" t="s">
        <v>140</v>
      </c>
      <c r="L1617" s="44"/>
      <c r="M1617" s="44"/>
      <c r="N1617" s="44"/>
      <c r="O1617" s="45"/>
      <c r="P1617" s="44"/>
      <c r="Q1617" s="44"/>
      <c r="R1617" s="44"/>
      <c r="S1617" s="44"/>
      <c r="T1617" s="39"/>
      <c r="AG1617" s="502" t="s">
        <v>247</v>
      </c>
      <c r="AH1617" s="502" t="s">
        <v>248</v>
      </c>
      <c r="AI1617" s="502" t="s">
        <v>249</v>
      </c>
      <c r="AJ1617" s="502" t="s">
        <v>250</v>
      </c>
      <c r="AK1617" s="502" t="s">
        <v>251</v>
      </c>
      <c r="AM1617" s="710" t="s">
        <v>260</v>
      </c>
      <c r="AN1617" s="711" t="s">
        <v>261</v>
      </c>
      <c r="AO1617" s="503" t="s">
        <v>257</v>
      </c>
    </row>
    <row r="1618" spans="1:41" s="501" customFormat="1" ht="12" customHeight="1">
      <c r="A1618" s="712">
        <v>1</v>
      </c>
      <c r="B1618" s="504" t="s">
        <v>283</v>
      </c>
      <c r="C1618" s="505"/>
      <c r="D1618" s="713" t="s">
        <v>592</v>
      </c>
      <c r="E1618" s="714">
        <f ca="1">IF(AND($A1618=0,$A$1="DIF"),0, ROUND(ROUND(($R1623*$S$2+($T1623*$T$2))/A1618,2)*$C$2,2))</f>
        <v>47.58</v>
      </c>
      <c r="F1618" s="715">
        <f ca="1">ROUND($A1618*$E1618,2)</f>
        <v>47.58</v>
      </c>
      <c r="G1618" s="506" t="s">
        <v>142</v>
      </c>
      <c r="H1618" s="498"/>
      <c r="I1618" s="716"/>
      <c r="J1618" s="498"/>
      <c r="K1618" s="498" t="s">
        <v>3</v>
      </c>
      <c r="L1618" s="717" t="s">
        <v>143</v>
      </c>
      <c r="M1618" s="717"/>
      <c r="N1618" s="717"/>
      <c r="O1618" s="717"/>
      <c r="P1618" s="717"/>
      <c r="Q1618" s="943" t="s">
        <v>855</v>
      </c>
      <c r="R1618" s="943" t="s">
        <v>870</v>
      </c>
      <c r="T1618" s="718" t="str">
        <f ca="1">IF(AND($R1623=0,$T1623=0),"0.00","mu :" &amp; ROUND($F1618/$C$2/($R1623+$T1623*$D$9),2))</f>
        <v>mu :1.35</v>
      </c>
      <c r="W1618" s="507"/>
      <c r="AG1618" s="453">
        <f ca="1">IF($E1618=0,0,ROUND($R1623*$S$2*$C$2/$A1618,2))</f>
        <v>9.4</v>
      </c>
      <c r="AH1618" s="453">
        <f ca="1">$AG1618*$A1618</f>
        <v>9.4</v>
      </c>
      <c r="AI1618" s="508">
        <f ca="1">$E1618-$AG1618</f>
        <v>38.18</v>
      </c>
      <c r="AJ1618" s="508">
        <f ca="1">$A1618*$AI1618</f>
        <v>38.18</v>
      </c>
      <c r="AK1618" s="509">
        <f ca="1">ROUND(($AG1618+$AI1618)*$A1618,2)</f>
        <v>47.58</v>
      </c>
      <c r="AM1618" s="510">
        <f ca="1">ROUND(R1623,2)</f>
        <v>6.96</v>
      </c>
      <c r="AN1618" s="511">
        <f ca="1">ROUND(T1623,2)</f>
        <v>1.03</v>
      </c>
      <c r="AO1618" s="512">
        <f ca="1">ROUND(AM1618+AN1618,2)*A1618</f>
        <v>7.99</v>
      </c>
    </row>
    <row r="1619" spans="1:41" s="501" customFormat="1" ht="13.2">
      <c r="A1619" s="505"/>
      <c r="B1619"/>
      <c r="C1619" s="505"/>
      <c r="D1619" s="713" t="s">
        <v>422</v>
      </c>
      <c r="F1619" s="498"/>
      <c r="G1619" s="3"/>
      <c r="H1619" s="498"/>
      <c r="I1619" s="716"/>
      <c r="J1619" s="498"/>
      <c r="K1619" s="498" t="s">
        <v>144</v>
      </c>
      <c r="L1619" s="498"/>
      <c r="M1619" s="498"/>
      <c r="N1619" s="498"/>
      <c r="O1619" s="498"/>
      <c r="P1619" s="498"/>
      <c r="Q1619" s="44"/>
      <c r="R1619" s="567"/>
      <c r="S1619" s="719"/>
      <c r="T1619" s="498"/>
    </row>
    <row r="1620" spans="1:41" s="935" customFormat="1" ht="13.2">
      <c r="A1620"/>
      <c r="B1620" s="927"/>
      <c r="C1620" s="927" t="s">
        <v>735</v>
      </c>
      <c r="D1620" s="927" t="str">
        <f ca="1">CELL("Address",Elec_Rates!D$55)</f>
        <v>[E25_0465_IH_Retro_Elec4Mech_Est_Rev_A.xlsx]Elec_Rates!$D$55</v>
      </c>
      <c r="E1620" s="928"/>
      <c r="F1620" s="928"/>
      <c r="G1620" s="929" t="s">
        <v>736</v>
      </c>
      <c r="H1620" s="929"/>
      <c r="I1620" s="929"/>
      <c r="J1620" s="929"/>
      <c r="K1620" s="930"/>
      <c r="L1620" s="928"/>
      <c r="M1620" s="928"/>
      <c r="N1620" s="928"/>
      <c r="O1620" s="931"/>
      <c r="P1620" s="928"/>
      <c r="Q1620" s="932"/>
      <c r="R1620" s="933"/>
      <c r="S1620" s="932"/>
      <c r="T1620" s="560"/>
      <c r="U1620" s="934"/>
    </row>
    <row r="1621" spans="1:41" s="935" customFormat="1" ht="11.4">
      <c r="A1621" s="936">
        <v>1</v>
      </c>
      <c r="B1621" s="937">
        <v>1</v>
      </c>
      <c r="C1621" s="937">
        <f>$A1621*$B1621</f>
        <v>1</v>
      </c>
      <c r="D1621" s="938" t="str">
        <f>Elec_Rates!$D$55</f>
        <v>005# Connecting up of 7.5 kW 400Volt motor (VFD)</v>
      </c>
      <c r="E1621" s="938"/>
      <c r="F1621" s="938" t="s">
        <v>737</v>
      </c>
      <c r="G1621" s="939" t="s">
        <v>739</v>
      </c>
      <c r="H1621" s="939"/>
      <c r="I1621" s="939"/>
      <c r="J1621" s="939"/>
      <c r="K1621" s="940"/>
      <c r="L1621" s="934"/>
      <c r="M1621" s="934"/>
      <c r="N1621" s="934"/>
      <c r="O1621" s="941"/>
      <c r="P1621" s="938"/>
      <c r="Q1621" s="942">
        <f ca="1">$B1621*Elec_Rates!$R$55</f>
        <v>6.96</v>
      </c>
      <c r="R1621" s="933">
        <f ca="1">$A1621*Q1621</f>
        <v>6.96</v>
      </c>
      <c r="S1621" s="942">
        <f ca="1">$B1621*Elec_Rates!$T$55</f>
        <v>1.03</v>
      </c>
      <c r="T1621" s="560">
        <f ca="1">$A1621*S1621</f>
        <v>1.03</v>
      </c>
      <c r="U1621" s="484"/>
    </row>
    <row r="1622" spans="1:41" s="501" customFormat="1" ht="12">
      <c r="A1622" s="497"/>
      <c r="B1622" s="497"/>
      <c r="C1622" s="497"/>
      <c r="D1622" s="497"/>
      <c r="E1622" s="497"/>
      <c r="F1622" s="498"/>
      <c r="G1622" s="497"/>
      <c r="H1622" s="497"/>
      <c r="I1622" s="499"/>
      <c r="J1622" s="497"/>
      <c r="K1622" s="497"/>
      <c r="L1622" s="497"/>
      <c r="M1622" s="497"/>
      <c r="N1622" s="497"/>
      <c r="O1622" s="497"/>
      <c r="P1622" s="497"/>
      <c r="Q1622" s="499"/>
      <c r="R1622" s="720">
        <f>$A1622*Q1622</f>
        <v>0</v>
      </c>
      <c r="S1622" s="499"/>
      <c r="T1622" s="500">
        <f>$A1622*S1622*$T$1</f>
        <v>0</v>
      </c>
    </row>
    <row r="1623" spans="1:41" s="501" customFormat="1" ht="12.6" thickBot="1">
      <c r="A1623" s="513" t="s">
        <v>145</v>
      </c>
      <c r="B1623" s="514">
        <f>(R1622+T1622)</f>
        <v>0</v>
      </c>
      <c r="C1623" s="515"/>
      <c r="D1623" s="515"/>
      <c r="E1623" s="515"/>
      <c r="F1623" s="721"/>
      <c r="G1623" s="515" t="s">
        <v>146</v>
      </c>
      <c r="H1623" s="515"/>
      <c r="I1623" s="516"/>
      <c r="J1623" s="515"/>
      <c r="K1623" s="515" t="s">
        <v>3</v>
      </c>
      <c r="L1623" s="517" t="s">
        <v>143</v>
      </c>
      <c r="M1623" s="517"/>
      <c r="N1623" s="517"/>
      <c r="O1623" s="517"/>
      <c r="P1623" s="517"/>
      <c r="Q1623" s="722"/>
      <c r="R1623" s="723">
        <f ca="1">SUM(R1619:R1622)</f>
        <v>6.96</v>
      </c>
      <c r="S1623" s="515"/>
      <c r="T1623" s="723">
        <f ca="1">SUM(T1619:T1622)</f>
        <v>1.03</v>
      </c>
      <c r="U1623" s="518"/>
      <c r="V1623" s="518"/>
      <c r="W1623" s="518"/>
      <c r="X1623" s="518"/>
      <c r="Y1623" s="518"/>
      <c r="Z1623" s="518"/>
      <c r="AA1623" s="518"/>
      <c r="AB1623" s="518"/>
      <c r="AC1623" s="518"/>
      <c r="AD1623" s="518"/>
      <c r="AE1623" s="518"/>
      <c r="AF1623" s="518"/>
      <c r="AG1623" s="518"/>
      <c r="AH1623" s="518"/>
      <c r="AI1623" s="518"/>
      <c r="AJ1623" s="518"/>
      <c r="AK1623" s="518"/>
      <c r="AL1623" s="518"/>
      <c r="AM1623" s="518"/>
      <c r="AN1623" s="518"/>
      <c r="AO1623" s="518"/>
    </row>
    <row r="1624" spans="1:41" s="501" customFormat="1" ht="12" thickTop="1">
      <c r="A1624" s="44"/>
      <c r="B1624" s="39"/>
      <c r="C1624" s="44"/>
      <c r="E1624" s="40" t="s">
        <v>138</v>
      </c>
      <c r="F1624" s="40" t="s">
        <v>139</v>
      </c>
      <c r="G1624" s="44"/>
      <c r="H1624" s="44"/>
      <c r="I1624" s="44"/>
      <c r="J1624" s="44"/>
      <c r="K1624" s="44" t="s">
        <v>140</v>
      </c>
      <c r="L1624" s="44"/>
      <c r="M1624" s="44"/>
      <c r="N1624" s="44"/>
      <c r="O1624" s="45"/>
      <c r="P1624" s="44"/>
      <c r="Q1624" s="44"/>
      <c r="R1624" s="44"/>
      <c r="S1624" s="44"/>
      <c r="T1624" s="39"/>
      <c r="AG1624" s="502" t="s">
        <v>247</v>
      </c>
      <c r="AH1624" s="502" t="s">
        <v>248</v>
      </c>
      <c r="AI1624" s="502" t="s">
        <v>249</v>
      </c>
      <c r="AJ1624" s="502" t="s">
        <v>250</v>
      </c>
      <c r="AK1624" s="502" t="s">
        <v>251</v>
      </c>
      <c r="AM1624" s="710" t="s">
        <v>260</v>
      </c>
      <c r="AN1624" s="711" t="s">
        <v>261</v>
      </c>
      <c r="AO1624" s="503" t="s">
        <v>257</v>
      </c>
    </row>
    <row r="1625" spans="1:41" s="501" customFormat="1" ht="12" customHeight="1">
      <c r="A1625" s="712">
        <v>1</v>
      </c>
      <c r="B1625" s="504" t="s">
        <v>283</v>
      </c>
      <c r="C1625" s="505"/>
      <c r="D1625" s="713" t="s">
        <v>593</v>
      </c>
      <c r="E1625" s="714">
        <f ca="1">IF(AND($A1625=0,$A$1="DIF"),0, ROUND(ROUND(($R1630*$S$2+($T1630*$T$2))/A1625,2)*$C$2,2))</f>
        <v>61.84</v>
      </c>
      <c r="F1625" s="715">
        <f ca="1">ROUND($A1625*$E1625,2)</f>
        <v>61.84</v>
      </c>
      <c r="G1625" s="506" t="s">
        <v>142</v>
      </c>
      <c r="H1625" s="498"/>
      <c r="I1625" s="716"/>
      <c r="J1625" s="498"/>
      <c r="K1625" s="498" t="s">
        <v>3</v>
      </c>
      <c r="L1625" s="717" t="s">
        <v>143</v>
      </c>
      <c r="M1625" s="717"/>
      <c r="N1625" s="717"/>
      <c r="O1625" s="717"/>
      <c r="P1625" s="717"/>
      <c r="Q1625" s="943" t="s">
        <v>855</v>
      </c>
      <c r="R1625" s="943" t="s">
        <v>870</v>
      </c>
      <c r="T1625" s="718" t="str">
        <f ca="1">IF(AND($R1630=0,$T1630=0),"0.00","mu :" &amp; ROUND($F1625/$C$2/($R1630+$T1630*$D$9),2))</f>
        <v>mu :1.35</v>
      </c>
      <c r="W1625" s="507"/>
      <c r="AG1625" s="453">
        <f ca="1">IF($E1625=0,0,ROUND($R1630*$S$2*$C$2/$A1625,2))</f>
        <v>14.39</v>
      </c>
      <c r="AH1625" s="453">
        <f ca="1">$AG1625*$A1625</f>
        <v>14.39</v>
      </c>
      <c r="AI1625" s="508">
        <f ca="1">$E1625-$AG1625</f>
        <v>47.45</v>
      </c>
      <c r="AJ1625" s="508">
        <f ca="1">$A1625*$AI1625</f>
        <v>47.45</v>
      </c>
      <c r="AK1625" s="509">
        <f ca="1">ROUND(($AG1625+$AI1625)*$A1625,2)</f>
        <v>61.84</v>
      </c>
      <c r="AM1625" s="510">
        <f ca="1">ROUND(R1630,2)</f>
        <v>10.66</v>
      </c>
      <c r="AN1625" s="511">
        <f ca="1">ROUND(T1630,2)</f>
        <v>1.28</v>
      </c>
      <c r="AO1625" s="512">
        <f ca="1">ROUND(AM1625+AN1625,2)*A1625</f>
        <v>11.94</v>
      </c>
    </row>
    <row r="1626" spans="1:41" s="501" customFormat="1" ht="13.2">
      <c r="A1626" s="505"/>
      <c r="B1626"/>
      <c r="C1626" s="505"/>
      <c r="D1626" s="713" t="s">
        <v>423</v>
      </c>
      <c r="F1626" s="498"/>
      <c r="G1626" s="3"/>
      <c r="H1626" s="498"/>
      <c r="I1626" s="716"/>
      <c r="J1626" s="498"/>
      <c r="K1626" s="498" t="s">
        <v>144</v>
      </c>
      <c r="L1626" s="498"/>
      <c r="M1626" s="498"/>
      <c r="N1626" s="498"/>
      <c r="O1626" s="498"/>
      <c r="P1626" s="498"/>
      <c r="Q1626" s="44"/>
      <c r="R1626" s="567"/>
      <c r="S1626" s="719"/>
      <c r="T1626" s="498"/>
    </row>
    <row r="1627" spans="1:41" s="935" customFormat="1" ht="13.2">
      <c r="A1627"/>
      <c r="B1627" s="927"/>
      <c r="C1627" s="927" t="s">
        <v>735</v>
      </c>
      <c r="D1627" s="927" t="str">
        <f ca="1">CELL("Address",Elec_Rates!D$64)</f>
        <v>[E25_0465_IH_Retro_Elec4Mech_Est_Rev_A.xlsx]Elec_Rates!$D$64</v>
      </c>
      <c r="E1627" s="928"/>
      <c r="F1627" s="928"/>
      <c r="G1627" s="929" t="s">
        <v>736</v>
      </c>
      <c r="H1627" s="929"/>
      <c r="I1627" s="929"/>
      <c r="J1627" s="929"/>
      <c r="K1627" s="930"/>
      <c r="L1627" s="928"/>
      <c r="M1627" s="928"/>
      <c r="N1627" s="928"/>
      <c r="O1627" s="931"/>
      <c r="P1627" s="928"/>
      <c r="Q1627" s="932"/>
      <c r="R1627" s="933"/>
      <c r="S1627" s="932"/>
      <c r="T1627" s="560"/>
      <c r="U1627" s="934"/>
    </row>
    <row r="1628" spans="1:41" s="935" customFormat="1" ht="11.4">
      <c r="A1628" s="936">
        <v>1</v>
      </c>
      <c r="B1628" s="937">
        <v>1</v>
      </c>
      <c r="C1628" s="937">
        <f>$A1628*$B1628</f>
        <v>1</v>
      </c>
      <c r="D1628" s="938" t="str">
        <f>Elec_Rates!$D$64</f>
        <v>006# Connecting up of 11.0/18.0 kW 400Volt motor (VFD)</v>
      </c>
      <c r="E1628" s="938"/>
      <c r="F1628" s="938" t="s">
        <v>737</v>
      </c>
      <c r="G1628" s="939" t="s">
        <v>738</v>
      </c>
      <c r="H1628" s="939"/>
      <c r="I1628" s="939"/>
      <c r="J1628" s="939"/>
      <c r="K1628" s="940"/>
      <c r="L1628" s="934"/>
      <c r="M1628" s="934"/>
      <c r="N1628" s="934"/>
      <c r="O1628" s="941"/>
      <c r="P1628" s="938"/>
      <c r="Q1628" s="942">
        <f ca="1">$B1628*Elec_Rates!$R$64</f>
        <v>10.66</v>
      </c>
      <c r="R1628" s="933">
        <f ca="1">$A1628*Q1628</f>
        <v>10.66</v>
      </c>
      <c r="S1628" s="942">
        <f ca="1">$B1628*Elec_Rates!$T$64</f>
        <v>1.28</v>
      </c>
      <c r="T1628" s="560">
        <f ca="1">$A1628*S1628</f>
        <v>1.28</v>
      </c>
      <c r="U1628" s="484"/>
    </row>
    <row r="1629" spans="1:41" s="501" customFormat="1" ht="12">
      <c r="A1629" s="497"/>
      <c r="B1629" s="497"/>
      <c r="C1629" s="497"/>
      <c r="D1629" s="497"/>
      <c r="E1629" s="497"/>
      <c r="F1629" s="498"/>
      <c r="G1629" s="497"/>
      <c r="H1629" s="497"/>
      <c r="I1629" s="499"/>
      <c r="J1629" s="497"/>
      <c r="K1629" s="497"/>
      <c r="L1629" s="497"/>
      <c r="M1629" s="497"/>
      <c r="N1629" s="497"/>
      <c r="O1629" s="497"/>
      <c r="P1629" s="497"/>
      <c r="Q1629" s="499"/>
      <c r="R1629" s="720">
        <f>$A1629*Q1629</f>
        <v>0</v>
      </c>
      <c r="S1629" s="499"/>
      <c r="T1629" s="500">
        <f>$A1629*S1629*$T$1</f>
        <v>0</v>
      </c>
    </row>
    <row r="1630" spans="1:41" s="501" customFormat="1" ht="12.6" thickBot="1">
      <c r="A1630" s="513" t="s">
        <v>145</v>
      </c>
      <c r="B1630" s="514">
        <f>(R1629+T1629)</f>
        <v>0</v>
      </c>
      <c r="C1630" s="515"/>
      <c r="D1630" s="515"/>
      <c r="E1630" s="515"/>
      <c r="F1630" s="721"/>
      <c r="G1630" s="515" t="s">
        <v>146</v>
      </c>
      <c r="H1630" s="515"/>
      <c r="I1630" s="516"/>
      <c r="J1630" s="515"/>
      <c r="K1630" s="515" t="s">
        <v>3</v>
      </c>
      <c r="L1630" s="517" t="s">
        <v>143</v>
      </c>
      <c r="M1630" s="517"/>
      <c r="N1630" s="517"/>
      <c r="O1630" s="517"/>
      <c r="P1630" s="517"/>
      <c r="Q1630" s="722"/>
      <c r="R1630" s="723">
        <f ca="1">SUM(R1626:R1629)</f>
        <v>10.66</v>
      </c>
      <c r="S1630" s="515"/>
      <c r="T1630" s="723">
        <f ca="1">SUM(T1626:T1629)</f>
        <v>1.28</v>
      </c>
      <c r="U1630" s="518"/>
      <c r="V1630" s="518"/>
      <c r="W1630" s="518"/>
      <c r="X1630" s="518"/>
      <c r="Y1630" s="518"/>
      <c r="Z1630" s="518"/>
      <c r="AA1630" s="518"/>
      <c r="AB1630" s="518"/>
      <c r="AC1630" s="518"/>
      <c r="AD1630" s="518"/>
      <c r="AE1630" s="518"/>
      <c r="AF1630" s="518"/>
      <c r="AG1630" s="518"/>
      <c r="AH1630" s="518"/>
      <c r="AI1630" s="518"/>
      <c r="AJ1630" s="518"/>
      <c r="AK1630" s="518"/>
      <c r="AL1630" s="518"/>
      <c r="AM1630" s="518"/>
      <c r="AN1630" s="518"/>
      <c r="AO1630" s="518"/>
    </row>
    <row r="1631" spans="1:41" s="501" customFormat="1" ht="12" thickTop="1">
      <c r="A1631" s="44"/>
      <c r="B1631" s="39"/>
      <c r="C1631" s="44"/>
      <c r="E1631" s="40" t="s">
        <v>138</v>
      </c>
      <c r="F1631" s="40" t="s">
        <v>139</v>
      </c>
      <c r="G1631" s="44"/>
      <c r="H1631" s="44"/>
      <c r="I1631" s="44"/>
      <c r="J1631" s="44"/>
      <c r="K1631" s="44" t="s">
        <v>140</v>
      </c>
      <c r="L1631" s="44"/>
      <c r="M1631" s="44"/>
      <c r="N1631" s="44"/>
      <c r="O1631" s="45"/>
      <c r="P1631" s="44"/>
      <c r="Q1631" s="44"/>
      <c r="R1631" s="44"/>
      <c r="S1631" s="44"/>
      <c r="T1631" s="39"/>
      <c r="AG1631" s="502" t="s">
        <v>247</v>
      </c>
      <c r="AH1631" s="502" t="s">
        <v>248</v>
      </c>
      <c r="AI1631" s="502" t="s">
        <v>249</v>
      </c>
      <c r="AJ1631" s="502" t="s">
        <v>250</v>
      </c>
      <c r="AK1631" s="502" t="s">
        <v>251</v>
      </c>
      <c r="AM1631" s="710" t="s">
        <v>260</v>
      </c>
      <c r="AN1631" s="711" t="s">
        <v>261</v>
      </c>
      <c r="AO1631" s="503" t="s">
        <v>257</v>
      </c>
    </row>
    <row r="1632" spans="1:41" s="501" customFormat="1" ht="12" customHeight="1">
      <c r="A1632" s="712">
        <v>1</v>
      </c>
      <c r="B1632" s="504" t="s">
        <v>283</v>
      </c>
      <c r="C1632" s="505"/>
      <c r="D1632" s="713" t="s">
        <v>596</v>
      </c>
      <c r="E1632" s="714">
        <f ca="1">IF(AND($A1632=0,$A$1="DIF"),0, ROUND(ROUND(($R1637*$S$2+($T1637*$T$2))/A1632,2)*$C$2,2))</f>
        <v>61.84</v>
      </c>
      <c r="F1632" s="715">
        <f ca="1">ROUND($A1632*$E1632,2)</f>
        <v>61.84</v>
      </c>
      <c r="G1632" s="506" t="s">
        <v>142</v>
      </c>
      <c r="H1632" s="498"/>
      <c r="I1632" s="716"/>
      <c r="J1632" s="498"/>
      <c r="K1632" s="498" t="s">
        <v>3</v>
      </c>
      <c r="L1632" s="717" t="s">
        <v>143</v>
      </c>
      <c r="M1632" s="717"/>
      <c r="N1632" s="717"/>
      <c r="O1632" s="717"/>
      <c r="P1632" s="717"/>
      <c r="Q1632" s="943" t="s">
        <v>855</v>
      </c>
      <c r="R1632" s="943" t="s">
        <v>870</v>
      </c>
      <c r="T1632" s="718" t="str">
        <f ca="1">IF(AND($R1637=0,$T1637=0),"0.00","mu :" &amp; ROUND($F1632/$C$2/($R1637+$T1637*$D$9),2))</f>
        <v>mu :1.35</v>
      </c>
      <c r="W1632" s="507"/>
      <c r="AG1632" s="453">
        <f ca="1">IF($E1632=0,0,ROUND($R1637*$S$2*$C$2/$A1632,2))</f>
        <v>14.39</v>
      </c>
      <c r="AH1632" s="453">
        <f ca="1">$AG1632*$A1632</f>
        <v>14.39</v>
      </c>
      <c r="AI1632" s="508">
        <f ca="1">$E1632-$AG1632</f>
        <v>47.45</v>
      </c>
      <c r="AJ1632" s="508">
        <f ca="1">$A1632*$AI1632</f>
        <v>47.45</v>
      </c>
      <c r="AK1632" s="509">
        <f ca="1">ROUND(($AG1632+$AI1632)*$A1632,2)</f>
        <v>61.84</v>
      </c>
      <c r="AM1632" s="510">
        <f ca="1">ROUND(R1637,2)</f>
        <v>10.66</v>
      </c>
      <c r="AN1632" s="511">
        <f ca="1">ROUND(T1637,2)</f>
        <v>1.28</v>
      </c>
      <c r="AO1632" s="512">
        <f ca="1">ROUND(AM1632+AN1632,2)*A1632</f>
        <v>11.94</v>
      </c>
    </row>
    <row r="1633" spans="1:41" s="501" customFormat="1" ht="13.2">
      <c r="A1633" s="505"/>
      <c r="B1633"/>
      <c r="C1633" s="505"/>
      <c r="D1633" s="713" t="s">
        <v>425</v>
      </c>
      <c r="F1633" s="498"/>
      <c r="G1633" s="3"/>
      <c r="H1633" s="498"/>
      <c r="I1633" s="716"/>
      <c r="J1633" s="498"/>
      <c r="K1633" s="498" t="s">
        <v>144</v>
      </c>
      <c r="L1633" s="498"/>
      <c r="M1633" s="498"/>
      <c r="N1633" s="498"/>
      <c r="O1633" s="498"/>
      <c r="P1633" s="498"/>
      <c r="Q1633" s="44"/>
      <c r="R1633" s="567"/>
      <c r="S1633" s="719"/>
      <c r="T1633" s="498"/>
    </row>
    <row r="1634" spans="1:41" s="935" customFormat="1" ht="13.2">
      <c r="A1634"/>
      <c r="B1634" s="927"/>
      <c r="C1634" s="927" t="s">
        <v>735</v>
      </c>
      <c r="D1634" s="927" t="str">
        <f ca="1">CELL("Address",Elec_Rates!D$64)</f>
        <v>[E25_0465_IH_Retro_Elec4Mech_Est_Rev_A.xlsx]Elec_Rates!$D$64</v>
      </c>
      <c r="E1634" s="928"/>
      <c r="F1634" s="928"/>
      <c r="G1634" s="929" t="s">
        <v>736</v>
      </c>
      <c r="H1634" s="929"/>
      <c r="I1634" s="929"/>
      <c r="J1634" s="929"/>
      <c r="K1634" s="930"/>
      <c r="L1634" s="928"/>
      <c r="M1634" s="928"/>
      <c r="N1634" s="928"/>
      <c r="O1634" s="931"/>
      <c r="P1634" s="928"/>
      <c r="Q1634" s="932"/>
      <c r="R1634" s="933"/>
      <c r="S1634" s="932"/>
      <c r="T1634" s="560"/>
      <c r="U1634" s="934"/>
    </row>
    <row r="1635" spans="1:41" s="935" customFormat="1" ht="11.4">
      <c r="A1635" s="936">
        <v>1</v>
      </c>
      <c r="B1635" s="937">
        <v>1</v>
      </c>
      <c r="C1635" s="937">
        <f>$A1635*$B1635</f>
        <v>1</v>
      </c>
      <c r="D1635" s="938" t="str">
        <f>Elec_Rates!$D$64</f>
        <v>006# Connecting up of 11.0/18.0 kW 400Volt motor (VFD)</v>
      </c>
      <c r="E1635" s="938"/>
      <c r="F1635" s="938" t="s">
        <v>737</v>
      </c>
      <c r="G1635" s="939" t="s">
        <v>738</v>
      </c>
      <c r="H1635" s="939"/>
      <c r="I1635" s="939"/>
      <c r="J1635" s="939"/>
      <c r="K1635" s="940"/>
      <c r="L1635" s="934"/>
      <c r="M1635" s="934"/>
      <c r="N1635" s="934"/>
      <c r="O1635" s="941"/>
      <c r="P1635" s="938"/>
      <c r="Q1635" s="942">
        <f ca="1">$B1635*Elec_Rates!$R$64</f>
        <v>10.66</v>
      </c>
      <c r="R1635" s="933">
        <f ca="1">$A1635*Q1635</f>
        <v>10.66</v>
      </c>
      <c r="S1635" s="942">
        <f ca="1">$B1635*Elec_Rates!$T$64</f>
        <v>1.28</v>
      </c>
      <c r="T1635" s="560">
        <f ca="1">$A1635*S1635</f>
        <v>1.28</v>
      </c>
      <c r="U1635" s="484"/>
    </row>
    <row r="1636" spans="1:41" s="501" customFormat="1" ht="12">
      <c r="A1636" s="497"/>
      <c r="B1636" s="497"/>
      <c r="C1636" s="497"/>
      <c r="D1636" s="497"/>
      <c r="E1636" s="497"/>
      <c r="F1636" s="498"/>
      <c r="G1636" s="497"/>
      <c r="H1636" s="497"/>
      <c r="I1636" s="499"/>
      <c r="J1636" s="497"/>
      <c r="K1636" s="497"/>
      <c r="L1636" s="497"/>
      <c r="M1636" s="497"/>
      <c r="N1636" s="497"/>
      <c r="O1636" s="497"/>
      <c r="P1636" s="497"/>
      <c r="Q1636" s="499"/>
      <c r="R1636" s="720">
        <f>$A1636*Q1636</f>
        <v>0</v>
      </c>
      <c r="S1636" s="499"/>
      <c r="T1636" s="500">
        <f>$A1636*S1636*$T$1</f>
        <v>0</v>
      </c>
    </row>
    <row r="1637" spans="1:41" s="501" customFormat="1" ht="12.6" thickBot="1">
      <c r="A1637" s="513" t="s">
        <v>145</v>
      </c>
      <c r="B1637" s="514">
        <f>(R1636+T1636)</f>
        <v>0</v>
      </c>
      <c r="C1637" s="515"/>
      <c r="D1637" s="515"/>
      <c r="E1637" s="515"/>
      <c r="F1637" s="721"/>
      <c r="G1637" s="515" t="s">
        <v>146</v>
      </c>
      <c r="H1637" s="515"/>
      <c r="I1637" s="516"/>
      <c r="J1637" s="515"/>
      <c r="K1637" s="515" t="s">
        <v>3</v>
      </c>
      <c r="L1637" s="517" t="s">
        <v>143</v>
      </c>
      <c r="M1637" s="517"/>
      <c r="N1637" s="517"/>
      <c r="O1637" s="517"/>
      <c r="P1637" s="517"/>
      <c r="Q1637" s="722"/>
      <c r="R1637" s="723">
        <f ca="1">SUM(R1633:R1636)</f>
        <v>10.66</v>
      </c>
      <c r="S1637" s="515"/>
      <c r="T1637" s="723">
        <f ca="1">SUM(T1633:T1636)</f>
        <v>1.28</v>
      </c>
      <c r="U1637" s="518"/>
      <c r="V1637" s="518"/>
      <c r="W1637" s="518"/>
      <c r="X1637" s="518"/>
      <c r="Y1637" s="518"/>
      <c r="Z1637" s="518"/>
      <c r="AA1637" s="518"/>
      <c r="AB1637" s="518"/>
      <c r="AC1637" s="518"/>
      <c r="AD1637" s="518"/>
      <c r="AE1637" s="518"/>
      <c r="AF1637" s="518"/>
      <c r="AG1637" s="518"/>
      <c r="AH1637" s="518"/>
      <c r="AI1637" s="518"/>
      <c r="AJ1637" s="518"/>
      <c r="AK1637" s="518"/>
      <c r="AL1637" s="518"/>
      <c r="AM1637" s="518"/>
      <c r="AN1637" s="518"/>
      <c r="AO1637" s="518"/>
    </row>
    <row r="1638" spans="1:41" s="501" customFormat="1" thickTop="1">
      <c r="A1638" s="44"/>
      <c r="B1638" s="39"/>
      <c r="C1638" s="44"/>
      <c r="E1638" s="40" t="s">
        <v>138</v>
      </c>
      <c r="F1638" s="40" t="s">
        <v>139</v>
      </c>
      <c r="G1638" s="44"/>
      <c r="H1638" s="44"/>
      <c r="I1638" s="44"/>
      <c r="J1638" s="44"/>
      <c r="K1638" s="44" t="s">
        <v>140</v>
      </c>
      <c r="L1638" s="44"/>
      <c r="M1638" s="44"/>
      <c r="N1638" s="44"/>
      <c r="O1638" s="45"/>
      <c r="P1638" s="44"/>
      <c r="Q1638" s="44"/>
      <c r="R1638" s="943"/>
      <c r="S1638" s="44"/>
      <c r="T1638" s="39"/>
      <c r="AG1638" s="502" t="s">
        <v>247</v>
      </c>
      <c r="AH1638" s="502" t="s">
        <v>248</v>
      </c>
      <c r="AI1638" s="502" t="s">
        <v>249</v>
      </c>
      <c r="AJ1638" s="502" t="s">
        <v>250</v>
      </c>
      <c r="AK1638" s="502" t="s">
        <v>251</v>
      </c>
      <c r="AM1638" s="710" t="s">
        <v>260</v>
      </c>
      <c r="AN1638" s="711" t="s">
        <v>261</v>
      </c>
      <c r="AO1638" s="503" t="s">
        <v>257</v>
      </c>
    </row>
    <row r="1639" spans="1:41" s="501" customFormat="1" ht="12" customHeight="1">
      <c r="A1639" s="712">
        <v>1</v>
      </c>
      <c r="B1639" s="504" t="s">
        <v>283</v>
      </c>
      <c r="C1639" s="505"/>
      <c r="D1639" s="713" t="s">
        <v>597</v>
      </c>
      <c r="E1639" s="714">
        <f ca="1">IF(AND($A1639=0,$A$1="DIF"),0, ROUND(ROUND(($R1644*$S$2+($T1644*$T$2))/A1639,2)*$C$2,2))</f>
        <v>43.84</v>
      </c>
      <c r="F1639" s="715">
        <f ca="1">ROUND($A1639*$E1639,2)</f>
        <v>43.84</v>
      </c>
      <c r="G1639" s="506" t="s">
        <v>142</v>
      </c>
      <c r="H1639" s="498"/>
      <c r="I1639" s="716"/>
      <c r="J1639" s="498"/>
      <c r="K1639" s="498" t="s">
        <v>3</v>
      </c>
      <c r="L1639" s="717" t="s">
        <v>143</v>
      </c>
      <c r="M1639" s="717"/>
      <c r="N1639" s="717"/>
      <c r="O1639" s="717"/>
      <c r="P1639" s="717"/>
      <c r="Q1639" s="943" t="s">
        <v>855</v>
      </c>
      <c r="R1639" s="943" t="s">
        <v>870</v>
      </c>
      <c r="T1639" s="718" t="str">
        <f ca="1">IF(AND($R1644=0,$T1644=0),"0.00","mu :" &amp; ROUND($F1639/$C$2/($R1644+$T1644*$D$9),2))</f>
        <v>mu :1.35</v>
      </c>
      <c r="W1639" s="507"/>
      <c r="AG1639" s="453">
        <f ca="1">IF($E1639=0,0,ROUND($R1644*$S$2*$C$2/$A1639,2))</f>
        <v>7.51</v>
      </c>
      <c r="AH1639" s="453">
        <f ca="1">$AG1639*$A1639</f>
        <v>7.51</v>
      </c>
      <c r="AI1639" s="508">
        <f ca="1">$E1639-$AG1639</f>
        <v>36.330000000000005</v>
      </c>
      <c r="AJ1639" s="508">
        <f ca="1">$A1639*$AI1639</f>
        <v>36.330000000000005</v>
      </c>
      <c r="AK1639" s="509">
        <f ca="1">ROUND(($AG1639+$AI1639)*$A1639,2)</f>
        <v>43.84</v>
      </c>
      <c r="AM1639" s="510">
        <f ca="1">ROUND(R1644,2)</f>
        <v>5.56</v>
      </c>
      <c r="AN1639" s="511">
        <f ca="1">ROUND(T1644,2)</f>
        <v>0.98</v>
      </c>
      <c r="AO1639" s="512">
        <f ca="1">ROUND(AM1639+AN1639,2)*A1639</f>
        <v>6.54</v>
      </c>
    </row>
    <row r="1640" spans="1:41" s="501" customFormat="1" ht="13.2">
      <c r="A1640" s="505"/>
      <c r="B1640"/>
      <c r="C1640" s="505"/>
      <c r="D1640" s="713" t="s">
        <v>427</v>
      </c>
      <c r="F1640" s="498"/>
      <c r="G1640" s="3"/>
      <c r="H1640" s="498"/>
      <c r="I1640" s="716"/>
      <c r="J1640" s="498"/>
      <c r="K1640" s="498" t="s">
        <v>144</v>
      </c>
      <c r="L1640" s="498"/>
      <c r="M1640" s="498"/>
      <c r="N1640" s="498"/>
      <c r="O1640" s="498"/>
      <c r="P1640" s="498"/>
      <c r="Q1640" s="44"/>
      <c r="R1640" s="567"/>
      <c r="S1640" s="719"/>
      <c r="T1640" s="498"/>
    </row>
    <row r="1641" spans="1:41" s="935" customFormat="1" ht="13.2">
      <c r="A1641"/>
      <c r="B1641" s="927"/>
      <c r="C1641" s="927" t="s">
        <v>735</v>
      </c>
      <c r="D1641" s="927" t="str">
        <f ca="1">CELL("Address",Elec_Rates!D$46)</f>
        <v>[E25_0465_IH_Retro_Elec4Mech_Est_Rev_A.xlsx]Elec_Rates!$D$46</v>
      </c>
      <c r="E1641" s="928"/>
      <c r="F1641" s="928"/>
      <c r="G1641" s="929" t="s">
        <v>736</v>
      </c>
      <c r="H1641" s="929"/>
      <c r="I1641" s="929"/>
      <c r="J1641" s="929"/>
      <c r="K1641" s="930"/>
      <c r="L1641" s="928"/>
      <c r="M1641" s="928"/>
      <c r="N1641" s="928"/>
      <c r="O1641" s="931"/>
      <c r="P1641" s="928"/>
      <c r="Q1641" s="932"/>
      <c r="R1641" s="933"/>
      <c r="S1641" s="932"/>
      <c r="T1641" s="560"/>
      <c r="U1641" s="934"/>
    </row>
    <row r="1642" spans="1:41" s="935" customFormat="1" ht="11.4">
      <c r="A1642" s="936">
        <v>1</v>
      </c>
      <c r="B1642" s="937">
        <v>1</v>
      </c>
      <c r="C1642" s="937">
        <f>$A1642*$B1642</f>
        <v>1</v>
      </c>
      <c r="D1642" s="938" t="str">
        <f>Elec_Rates!$D$46</f>
        <v>004# Connecting up of 3.0/4.0 kW 400Volt motor (VFD)</v>
      </c>
      <c r="E1642" s="938"/>
      <c r="F1642" s="938" t="s">
        <v>737</v>
      </c>
      <c r="G1642" s="939" t="s">
        <v>739</v>
      </c>
      <c r="H1642" s="939"/>
      <c r="I1642" s="939"/>
      <c r="J1642" s="939"/>
      <c r="K1642" s="940"/>
      <c r="L1642" s="934"/>
      <c r="M1642" s="934"/>
      <c r="N1642" s="934"/>
      <c r="O1642" s="941"/>
      <c r="P1642" s="938"/>
      <c r="Q1642" s="942">
        <f ca="1">$B1642*Elec_Rates!$R$46</f>
        <v>5.56</v>
      </c>
      <c r="R1642" s="933">
        <f ca="1">$A1642*Q1642</f>
        <v>5.56</v>
      </c>
      <c r="S1642" s="942">
        <f ca="1">$B1642*Elec_Rates!$T$46</f>
        <v>0.98</v>
      </c>
      <c r="T1642" s="560">
        <f ca="1">$A1642*S1642</f>
        <v>0.98</v>
      </c>
      <c r="U1642" s="484"/>
    </row>
    <row r="1643" spans="1:41" s="501" customFormat="1" ht="12">
      <c r="A1643" s="497"/>
      <c r="B1643" s="497"/>
      <c r="C1643" s="497"/>
      <c r="D1643" s="497"/>
      <c r="E1643" s="497"/>
      <c r="F1643" s="498"/>
      <c r="G1643" s="497"/>
      <c r="H1643" s="497"/>
      <c r="I1643" s="499"/>
      <c r="J1643" s="497"/>
      <c r="K1643" s="497"/>
      <c r="L1643" s="497"/>
      <c r="M1643" s="497"/>
      <c r="N1643" s="497"/>
      <c r="O1643" s="497"/>
      <c r="P1643" s="497"/>
      <c r="Q1643" s="499"/>
      <c r="R1643" s="720">
        <f>$A1643*Q1643</f>
        <v>0</v>
      </c>
      <c r="S1643" s="499"/>
      <c r="T1643" s="500">
        <f>$A1643*S1643*$T$1</f>
        <v>0</v>
      </c>
    </row>
    <row r="1644" spans="1:41" s="501" customFormat="1" ht="12.6" thickBot="1">
      <c r="A1644" s="513" t="s">
        <v>145</v>
      </c>
      <c r="B1644" s="514">
        <f>(R1643+T1643)</f>
        <v>0</v>
      </c>
      <c r="C1644" s="515"/>
      <c r="D1644" s="515"/>
      <c r="E1644" s="515"/>
      <c r="F1644" s="721"/>
      <c r="G1644" s="515" t="s">
        <v>146</v>
      </c>
      <c r="H1644" s="515"/>
      <c r="I1644" s="516"/>
      <c r="J1644" s="515"/>
      <c r="K1644" s="515" t="s">
        <v>3</v>
      </c>
      <c r="L1644" s="517" t="s">
        <v>143</v>
      </c>
      <c r="M1644" s="517"/>
      <c r="N1644" s="517"/>
      <c r="O1644" s="517"/>
      <c r="P1644" s="517"/>
      <c r="Q1644" s="722"/>
      <c r="R1644" s="723">
        <f ca="1">SUM(R1640:R1643)</f>
        <v>5.56</v>
      </c>
      <c r="S1644" s="515"/>
      <c r="T1644" s="723">
        <f ca="1">SUM(T1640:T1643)</f>
        <v>0.98</v>
      </c>
      <c r="U1644" s="518"/>
      <c r="V1644" s="518"/>
      <c r="W1644" s="518"/>
      <c r="X1644" s="518"/>
      <c r="Y1644" s="518"/>
      <c r="Z1644" s="518"/>
      <c r="AA1644" s="518"/>
      <c r="AB1644" s="518"/>
      <c r="AC1644" s="518"/>
      <c r="AD1644" s="518"/>
      <c r="AE1644" s="518"/>
      <c r="AF1644" s="518"/>
      <c r="AG1644" s="518"/>
      <c r="AH1644" s="518"/>
      <c r="AI1644" s="518"/>
      <c r="AJ1644" s="518"/>
      <c r="AK1644" s="518"/>
      <c r="AL1644" s="518"/>
      <c r="AM1644" s="518"/>
      <c r="AN1644" s="518"/>
      <c r="AO1644" s="518"/>
    </row>
    <row r="1645" spans="1:41" s="501" customFormat="1" ht="12" thickTop="1">
      <c r="A1645" s="44"/>
      <c r="B1645" s="39"/>
      <c r="C1645" s="44"/>
      <c r="E1645" s="40" t="s">
        <v>138</v>
      </c>
      <c r="F1645" s="40" t="s">
        <v>139</v>
      </c>
      <c r="G1645" s="44"/>
      <c r="H1645" s="44"/>
      <c r="I1645" s="44"/>
      <c r="J1645" s="44"/>
      <c r="K1645" s="44" t="s">
        <v>140</v>
      </c>
      <c r="L1645" s="44"/>
      <c r="M1645" s="44"/>
      <c r="N1645" s="44"/>
      <c r="O1645" s="45"/>
      <c r="P1645" s="44"/>
      <c r="Q1645" s="44"/>
      <c r="R1645" s="44"/>
      <c r="S1645" s="44"/>
      <c r="T1645" s="39"/>
      <c r="AG1645" s="502" t="s">
        <v>247</v>
      </c>
      <c r="AH1645" s="502" t="s">
        <v>248</v>
      </c>
      <c r="AI1645" s="502" t="s">
        <v>249</v>
      </c>
      <c r="AJ1645" s="502" t="s">
        <v>250</v>
      </c>
      <c r="AK1645" s="502" t="s">
        <v>251</v>
      </c>
      <c r="AM1645" s="710" t="s">
        <v>260</v>
      </c>
      <c r="AN1645" s="711" t="s">
        <v>261</v>
      </c>
      <c r="AO1645" s="503" t="s">
        <v>257</v>
      </c>
    </row>
    <row r="1646" spans="1:41" s="501" customFormat="1" ht="12" customHeight="1">
      <c r="A1646" s="712">
        <v>1</v>
      </c>
      <c r="B1646" s="504" t="s">
        <v>283</v>
      </c>
      <c r="C1646" s="505"/>
      <c r="D1646" s="713" t="s">
        <v>598</v>
      </c>
      <c r="E1646" s="714">
        <f ca="1">IF(AND($A1646=0,$A$1="DIF"),0, ROUND(ROUND(($R1651*$S$2+($T1651*$T$2))/A1646,2)*$C$2,2))</f>
        <v>43.84</v>
      </c>
      <c r="F1646" s="715">
        <f ca="1">ROUND($A1646*$E1646,2)</f>
        <v>43.84</v>
      </c>
      <c r="G1646" s="506" t="s">
        <v>142</v>
      </c>
      <c r="H1646" s="498"/>
      <c r="I1646" s="716"/>
      <c r="J1646" s="498"/>
      <c r="K1646" s="498" t="s">
        <v>3</v>
      </c>
      <c r="L1646" s="717" t="s">
        <v>143</v>
      </c>
      <c r="M1646" s="717"/>
      <c r="N1646" s="717"/>
      <c r="O1646" s="717"/>
      <c r="P1646" s="717"/>
      <c r="Q1646" s="943" t="s">
        <v>855</v>
      </c>
      <c r="R1646" s="943" t="s">
        <v>870</v>
      </c>
      <c r="T1646" s="718" t="str">
        <f ca="1">IF(AND($R1651=0,$T1651=0),"0.00","mu :" &amp; ROUND($F1646/$C$2/($R1651+$T1651*$D$9),2))</f>
        <v>mu :1.35</v>
      </c>
      <c r="W1646" s="507"/>
      <c r="AG1646" s="453">
        <f ca="1">IF($E1646=0,0,ROUND($R1651*$S$2*$C$2/$A1646,2))</f>
        <v>7.51</v>
      </c>
      <c r="AH1646" s="453">
        <f ca="1">$AG1646*$A1646</f>
        <v>7.51</v>
      </c>
      <c r="AI1646" s="508">
        <f ca="1">$E1646-$AG1646</f>
        <v>36.330000000000005</v>
      </c>
      <c r="AJ1646" s="508">
        <f ca="1">$A1646*$AI1646</f>
        <v>36.330000000000005</v>
      </c>
      <c r="AK1646" s="509">
        <f ca="1">ROUND(($AG1646+$AI1646)*$A1646,2)</f>
        <v>43.84</v>
      </c>
      <c r="AM1646" s="510">
        <f ca="1">ROUND(R1651,2)</f>
        <v>5.56</v>
      </c>
      <c r="AN1646" s="511">
        <f ca="1">ROUND(T1651,2)</f>
        <v>0.98</v>
      </c>
      <c r="AO1646" s="512">
        <f ca="1">ROUND(AM1646+AN1646,2)*A1646</f>
        <v>6.54</v>
      </c>
    </row>
    <row r="1647" spans="1:41" s="501" customFormat="1" ht="13.2">
      <c r="A1647" s="505"/>
      <c r="B1647"/>
      <c r="C1647" s="505"/>
      <c r="D1647" s="713" t="s">
        <v>429</v>
      </c>
      <c r="F1647" s="498"/>
      <c r="G1647" s="3"/>
      <c r="H1647" s="498"/>
      <c r="I1647" s="716"/>
      <c r="J1647" s="498"/>
      <c r="K1647" s="498" t="s">
        <v>144</v>
      </c>
      <c r="L1647" s="498"/>
      <c r="M1647" s="498"/>
      <c r="N1647" s="498"/>
      <c r="O1647" s="498"/>
      <c r="P1647" s="498"/>
      <c r="Q1647" s="44"/>
      <c r="R1647" s="567"/>
      <c r="S1647" s="719"/>
      <c r="T1647" s="498"/>
    </row>
    <row r="1648" spans="1:41" s="935" customFormat="1" ht="13.2">
      <c r="A1648"/>
      <c r="B1648" s="927"/>
      <c r="C1648" s="927" t="s">
        <v>735</v>
      </c>
      <c r="D1648" s="927" t="str">
        <f ca="1">CELL("Address",Elec_Rates!D$46)</f>
        <v>[E25_0465_IH_Retro_Elec4Mech_Est_Rev_A.xlsx]Elec_Rates!$D$46</v>
      </c>
      <c r="E1648" s="928"/>
      <c r="F1648" s="928"/>
      <c r="G1648" s="929" t="s">
        <v>736</v>
      </c>
      <c r="H1648" s="929"/>
      <c r="I1648" s="929"/>
      <c r="J1648" s="929"/>
      <c r="K1648" s="930"/>
      <c r="L1648" s="928"/>
      <c r="M1648" s="928"/>
      <c r="N1648" s="928"/>
      <c r="O1648" s="931"/>
      <c r="P1648" s="928"/>
      <c r="Q1648" s="932"/>
      <c r="R1648" s="933"/>
      <c r="S1648" s="932"/>
      <c r="T1648" s="560"/>
      <c r="U1648" s="934"/>
    </row>
    <row r="1649" spans="1:41" s="935" customFormat="1" ht="11.4">
      <c r="A1649" s="936">
        <v>1</v>
      </c>
      <c r="B1649" s="937">
        <v>1</v>
      </c>
      <c r="C1649" s="937">
        <f>$A1649*$B1649</f>
        <v>1</v>
      </c>
      <c r="D1649" s="938" t="str">
        <f>Elec_Rates!$D$46</f>
        <v>004# Connecting up of 3.0/4.0 kW 400Volt motor (VFD)</v>
      </c>
      <c r="E1649" s="938"/>
      <c r="F1649" s="938" t="s">
        <v>737</v>
      </c>
      <c r="G1649" s="939" t="s">
        <v>739</v>
      </c>
      <c r="H1649" s="939"/>
      <c r="I1649" s="939"/>
      <c r="J1649" s="939"/>
      <c r="K1649" s="940"/>
      <c r="L1649" s="934"/>
      <c r="M1649" s="934"/>
      <c r="N1649" s="934"/>
      <c r="O1649" s="941"/>
      <c r="P1649" s="938"/>
      <c r="Q1649" s="942">
        <f ca="1">$B1649*Elec_Rates!$R$46</f>
        <v>5.56</v>
      </c>
      <c r="R1649" s="933">
        <f ca="1">$A1649*Q1649</f>
        <v>5.56</v>
      </c>
      <c r="S1649" s="942">
        <f ca="1">$B1649*Elec_Rates!$T$46</f>
        <v>0.98</v>
      </c>
      <c r="T1649" s="560">
        <f ca="1">$A1649*S1649</f>
        <v>0.98</v>
      </c>
      <c r="U1649" s="484"/>
    </row>
    <row r="1650" spans="1:41" s="501" customFormat="1" ht="12">
      <c r="A1650" s="497"/>
      <c r="B1650" s="497"/>
      <c r="C1650" s="497"/>
      <c r="D1650" s="497"/>
      <c r="E1650" s="497"/>
      <c r="F1650" s="498"/>
      <c r="G1650" s="497"/>
      <c r="H1650" s="497"/>
      <c r="I1650" s="499"/>
      <c r="J1650" s="497"/>
      <c r="K1650" s="497"/>
      <c r="L1650" s="497"/>
      <c r="M1650" s="497"/>
      <c r="N1650" s="497"/>
      <c r="O1650" s="497"/>
      <c r="P1650" s="497"/>
      <c r="Q1650" s="499"/>
      <c r="R1650" s="720">
        <f>$A1650*Q1650</f>
        <v>0</v>
      </c>
      <c r="S1650" s="499"/>
      <c r="T1650" s="500">
        <f>$A1650*S1650*$T$1</f>
        <v>0</v>
      </c>
    </row>
    <row r="1651" spans="1:41" s="501" customFormat="1" ht="12.6" thickBot="1">
      <c r="A1651" s="513" t="s">
        <v>145</v>
      </c>
      <c r="B1651" s="514">
        <f>(R1650+T1650)</f>
        <v>0</v>
      </c>
      <c r="C1651" s="515"/>
      <c r="D1651" s="515"/>
      <c r="E1651" s="515"/>
      <c r="F1651" s="721"/>
      <c r="G1651" s="515" t="s">
        <v>146</v>
      </c>
      <c r="H1651" s="515"/>
      <c r="I1651" s="516"/>
      <c r="J1651" s="515"/>
      <c r="K1651" s="515" t="s">
        <v>3</v>
      </c>
      <c r="L1651" s="517" t="s">
        <v>143</v>
      </c>
      <c r="M1651" s="517"/>
      <c r="N1651" s="517"/>
      <c r="O1651" s="517"/>
      <c r="P1651" s="517"/>
      <c r="Q1651" s="722"/>
      <c r="R1651" s="723">
        <f ca="1">SUM(R1647:R1650)</f>
        <v>5.56</v>
      </c>
      <c r="S1651" s="515"/>
      <c r="T1651" s="723">
        <f ca="1">SUM(T1647:T1650)</f>
        <v>0.98</v>
      </c>
      <c r="U1651" s="518"/>
      <c r="V1651" s="518"/>
      <c r="W1651" s="518"/>
      <c r="X1651" s="518"/>
      <c r="Y1651" s="518"/>
      <c r="Z1651" s="518"/>
      <c r="AA1651" s="518"/>
      <c r="AB1651" s="518"/>
      <c r="AC1651" s="518"/>
      <c r="AD1651" s="518"/>
      <c r="AE1651" s="518"/>
      <c r="AF1651" s="518"/>
      <c r="AG1651" s="518"/>
      <c r="AH1651" s="518"/>
      <c r="AI1651" s="518"/>
      <c r="AJ1651" s="518"/>
      <c r="AK1651" s="518"/>
      <c r="AL1651" s="518"/>
      <c r="AM1651" s="518"/>
      <c r="AN1651" s="518"/>
      <c r="AO1651" s="518"/>
    </row>
    <row r="1652" spans="1:41" s="501" customFormat="1" ht="12" thickTop="1">
      <c r="A1652" s="44"/>
      <c r="B1652" s="39"/>
      <c r="C1652" s="44"/>
      <c r="E1652" s="40" t="s">
        <v>138</v>
      </c>
      <c r="F1652" s="40" t="s">
        <v>139</v>
      </c>
      <c r="G1652" s="44"/>
      <c r="H1652" s="44"/>
      <c r="I1652" s="44"/>
      <c r="J1652" s="44"/>
      <c r="K1652" s="44" t="s">
        <v>140</v>
      </c>
      <c r="L1652" s="44"/>
      <c r="M1652" s="44"/>
      <c r="N1652" s="44"/>
      <c r="O1652" s="45"/>
      <c r="P1652" s="44"/>
      <c r="Q1652" s="44"/>
      <c r="R1652" s="44"/>
      <c r="S1652" s="44"/>
      <c r="T1652" s="39"/>
      <c r="AG1652" s="502" t="s">
        <v>247</v>
      </c>
      <c r="AH1652" s="502" t="s">
        <v>248</v>
      </c>
      <c r="AI1652" s="502" t="s">
        <v>249</v>
      </c>
      <c r="AJ1652" s="502" t="s">
        <v>250</v>
      </c>
      <c r="AK1652" s="502" t="s">
        <v>251</v>
      </c>
      <c r="AM1652" s="710" t="s">
        <v>260</v>
      </c>
      <c r="AN1652" s="711" t="s">
        <v>261</v>
      </c>
      <c r="AO1652" s="503" t="s">
        <v>257</v>
      </c>
    </row>
    <row r="1653" spans="1:41" s="501" customFormat="1" ht="12" customHeight="1">
      <c r="A1653" s="712">
        <v>1</v>
      </c>
      <c r="B1653" s="504" t="s">
        <v>283</v>
      </c>
      <c r="C1653" s="505"/>
      <c r="D1653" s="713" t="s">
        <v>599</v>
      </c>
      <c r="E1653" s="714">
        <f ca="1">IF(AND($A1653=0,$A$1="DIF"),0, ROUND(ROUND(($R1658*$S$2+($T1658*$T$2))/A1653,2)*$C$2,2))</f>
        <v>43.84</v>
      </c>
      <c r="F1653" s="715">
        <f ca="1">ROUND($A1653*$E1653,2)</f>
        <v>43.84</v>
      </c>
      <c r="G1653" s="506" t="s">
        <v>142</v>
      </c>
      <c r="H1653" s="498"/>
      <c r="I1653" s="716"/>
      <c r="J1653" s="498"/>
      <c r="K1653" s="498" t="s">
        <v>3</v>
      </c>
      <c r="L1653" s="717" t="s">
        <v>143</v>
      </c>
      <c r="M1653" s="717"/>
      <c r="N1653" s="717"/>
      <c r="O1653" s="717"/>
      <c r="P1653" s="717"/>
      <c r="Q1653" s="943" t="s">
        <v>855</v>
      </c>
      <c r="R1653" s="943" t="s">
        <v>870</v>
      </c>
      <c r="T1653" s="718" t="str">
        <f ca="1">IF(AND($R1658=0,$T1658=0),"0.00","mu :" &amp; ROUND($F1653/$C$2/($R1658+$T1658*$D$9),2))</f>
        <v>mu :1.35</v>
      </c>
      <c r="W1653" s="507"/>
      <c r="AG1653" s="453">
        <f ca="1">IF($E1653=0,0,ROUND($R1658*$S$2*$C$2/$A1653,2))</f>
        <v>7.51</v>
      </c>
      <c r="AH1653" s="453">
        <f ca="1">$AG1653*$A1653</f>
        <v>7.51</v>
      </c>
      <c r="AI1653" s="508">
        <f ca="1">$E1653-$AG1653</f>
        <v>36.330000000000005</v>
      </c>
      <c r="AJ1653" s="508">
        <f ca="1">$A1653*$AI1653</f>
        <v>36.330000000000005</v>
      </c>
      <c r="AK1653" s="509">
        <f ca="1">ROUND(($AG1653+$AI1653)*$A1653,2)</f>
        <v>43.84</v>
      </c>
      <c r="AM1653" s="510">
        <f ca="1">ROUND(R1658,2)</f>
        <v>5.56</v>
      </c>
      <c r="AN1653" s="511">
        <f ca="1">ROUND(T1658,2)</f>
        <v>0.98</v>
      </c>
      <c r="AO1653" s="512">
        <f ca="1">ROUND(AM1653+AN1653,2)*A1653</f>
        <v>6.54</v>
      </c>
    </row>
    <row r="1654" spans="1:41" s="501" customFormat="1" ht="13.2">
      <c r="A1654" s="505"/>
      <c r="B1654"/>
      <c r="C1654" s="505"/>
      <c r="D1654" s="713" t="s">
        <v>431</v>
      </c>
      <c r="F1654" s="498"/>
      <c r="G1654" s="3"/>
      <c r="H1654" s="498"/>
      <c r="I1654" s="716"/>
      <c r="J1654" s="498"/>
      <c r="K1654" s="498" t="s">
        <v>144</v>
      </c>
      <c r="L1654" s="498"/>
      <c r="M1654" s="498"/>
      <c r="N1654" s="498"/>
      <c r="O1654" s="498"/>
      <c r="P1654" s="498"/>
      <c r="Q1654" s="44"/>
      <c r="R1654" s="567"/>
      <c r="S1654" s="719"/>
      <c r="T1654" s="498"/>
    </row>
    <row r="1655" spans="1:41" s="935" customFormat="1" ht="13.2">
      <c r="A1655"/>
      <c r="B1655" s="927"/>
      <c r="C1655" s="927" t="s">
        <v>735</v>
      </c>
      <c r="D1655" s="927" t="str">
        <f ca="1">CELL("Address",Elec_Rates!D$46)</f>
        <v>[E25_0465_IH_Retro_Elec4Mech_Est_Rev_A.xlsx]Elec_Rates!$D$46</v>
      </c>
      <c r="E1655" s="928"/>
      <c r="F1655" s="928"/>
      <c r="G1655" s="929" t="s">
        <v>736</v>
      </c>
      <c r="H1655" s="929"/>
      <c r="I1655" s="929"/>
      <c r="J1655" s="929"/>
      <c r="K1655" s="930"/>
      <c r="L1655" s="928"/>
      <c r="M1655" s="928"/>
      <c r="N1655" s="928"/>
      <c r="O1655" s="931"/>
      <c r="P1655" s="928"/>
      <c r="Q1655" s="932"/>
      <c r="R1655" s="933"/>
      <c r="S1655" s="932"/>
      <c r="T1655" s="560"/>
      <c r="U1655" s="934"/>
    </row>
    <row r="1656" spans="1:41" s="935" customFormat="1" ht="11.4">
      <c r="A1656" s="936">
        <v>1</v>
      </c>
      <c r="B1656" s="937">
        <v>1</v>
      </c>
      <c r="C1656" s="937">
        <f>$A1656*$B1656</f>
        <v>1</v>
      </c>
      <c r="D1656" s="938" t="str">
        <f>Elec_Rates!$D$46</f>
        <v>004# Connecting up of 3.0/4.0 kW 400Volt motor (VFD)</v>
      </c>
      <c r="E1656" s="938"/>
      <c r="F1656" s="938" t="s">
        <v>737</v>
      </c>
      <c r="G1656" s="939" t="s">
        <v>739</v>
      </c>
      <c r="H1656" s="939"/>
      <c r="I1656" s="939"/>
      <c r="J1656" s="939"/>
      <c r="K1656" s="940"/>
      <c r="L1656" s="934"/>
      <c r="M1656" s="934"/>
      <c r="N1656" s="934"/>
      <c r="O1656" s="941"/>
      <c r="P1656" s="938"/>
      <c r="Q1656" s="942">
        <f ca="1">$B1656*Elec_Rates!$R$46</f>
        <v>5.56</v>
      </c>
      <c r="R1656" s="933">
        <f ca="1">$A1656*Q1656</f>
        <v>5.56</v>
      </c>
      <c r="S1656" s="942">
        <f ca="1">$B1656*Elec_Rates!$T$46</f>
        <v>0.98</v>
      </c>
      <c r="T1656" s="560">
        <f ca="1">$A1656*S1656</f>
        <v>0.98</v>
      </c>
      <c r="U1656" s="484"/>
    </row>
    <row r="1657" spans="1:41" s="501" customFormat="1" ht="12">
      <c r="A1657" s="497"/>
      <c r="B1657" s="497"/>
      <c r="C1657" s="497"/>
      <c r="D1657" s="497"/>
      <c r="E1657" s="497"/>
      <c r="F1657" s="498"/>
      <c r="G1657" s="497"/>
      <c r="H1657" s="497"/>
      <c r="I1657" s="499"/>
      <c r="J1657" s="497"/>
      <c r="K1657" s="497"/>
      <c r="L1657" s="497"/>
      <c r="M1657" s="497"/>
      <c r="N1657" s="497"/>
      <c r="O1657" s="497"/>
      <c r="P1657" s="497"/>
      <c r="Q1657" s="499"/>
      <c r="R1657" s="720">
        <f>$A1657*Q1657</f>
        <v>0</v>
      </c>
      <c r="S1657" s="499"/>
      <c r="T1657" s="500">
        <f>$A1657*S1657*$T$1</f>
        <v>0</v>
      </c>
    </row>
    <row r="1658" spans="1:41" s="501" customFormat="1" ht="12.6" thickBot="1">
      <c r="A1658" s="513" t="s">
        <v>145</v>
      </c>
      <c r="B1658" s="514">
        <f>(R1657+T1657)</f>
        <v>0</v>
      </c>
      <c r="C1658" s="515"/>
      <c r="D1658" s="515"/>
      <c r="E1658" s="515"/>
      <c r="F1658" s="721"/>
      <c r="G1658" s="515" t="s">
        <v>146</v>
      </c>
      <c r="H1658" s="515"/>
      <c r="I1658" s="516"/>
      <c r="J1658" s="515"/>
      <c r="K1658" s="515" t="s">
        <v>3</v>
      </c>
      <c r="L1658" s="517" t="s">
        <v>143</v>
      </c>
      <c r="M1658" s="517"/>
      <c r="N1658" s="517"/>
      <c r="O1658" s="517"/>
      <c r="P1658" s="517"/>
      <c r="Q1658" s="722"/>
      <c r="R1658" s="723">
        <f ca="1">SUM(R1654:R1657)</f>
        <v>5.56</v>
      </c>
      <c r="S1658" s="515"/>
      <c r="T1658" s="723">
        <f ca="1">SUM(T1654:T1657)</f>
        <v>0.98</v>
      </c>
      <c r="U1658" s="518"/>
      <c r="V1658" s="518"/>
      <c r="W1658" s="518"/>
      <c r="X1658" s="518"/>
      <c r="Y1658" s="518"/>
      <c r="Z1658" s="518"/>
      <c r="AA1658" s="518"/>
      <c r="AB1658" s="518"/>
      <c r="AC1658" s="518"/>
      <c r="AD1658" s="518"/>
      <c r="AE1658" s="518"/>
      <c r="AF1658" s="518"/>
      <c r="AG1658" s="518"/>
      <c r="AH1658" s="518"/>
      <c r="AI1658" s="518"/>
      <c r="AJ1658" s="518"/>
      <c r="AK1658" s="518"/>
      <c r="AL1658" s="518"/>
      <c r="AM1658" s="518"/>
      <c r="AN1658" s="518"/>
      <c r="AO1658" s="518"/>
    </row>
    <row r="1659" spans="1:41" s="501" customFormat="1" ht="12" thickTop="1">
      <c r="A1659" s="44"/>
      <c r="B1659" s="39"/>
      <c r="C1659" s="44"/>
      <c r="E1659" s="40" t="s">
        <v>138</v>
      </c>
      <c r="F1659" s="40" t="s">
        <v>139</v>
      </c>
      <c r="G1659" s="44"/>
      <c r="H1659" s="44"/>
      <c r="I1659" s="44"/>
      <c r="J1659" s="44"/>
      <c r="K1659" s="44" t="s">
        <v>140</v>
      </c>
      <c r="L1659" s="44"/>
      <c r="M1659" s="44"/>
      <c r="N1659" s="44"/>
      <c r="O1659" s="45"/>
      <c r="P1659" s="44"/>
      <c r="Q1659" s="44"/>
      <c r="R1659" s="44"/>
      <c r="S1659" s="44"/>
      <c r="T1659" s="39"/>
      <c r="AG1659" s="502" t="s">
        <v>247</v>
      </c>
      <c r="AH1659" s="502" t="s">
        <v>248</v>
      </c>
      <c r="AI1659" s="502" t="s">
        <v>249</v>
      </c>
      <c r="AJ1659" s="502" t="s">
        <v>250</v>
      </c>
      <c r="AK1659" s="502" t="s">
        <v>251</v>
      </c>
      <c r="AM1659" s="710" t="s">
        <v>260</v>
      </c>
      <c r="AN1659" s="711" t="s">
        <v>261</v>
      </c>
      <c r="AO1659" s="503" t="s">
        <v>257</v>
      </c>
    </row>
    <row r="1660" spans="1:41" s="501" customFormat="1" ht="12" customHeight="1">
      <c r="A1660" s="712">
        <v>1</v>
      </c>
      <c r="B1660" s="504" t="s">
        <v>283</v>
      </c>
      <c r="C1660" s="505"/>
      <c r="D1660" s="713" t="s">
        <v>600</v>
      </c>
      <c r="E1660" s="714">
        <f ca="1">IF(AND($A1660=0,$A$1="DIF"),0, ROUND(ROUND(($R1665*$S$2+($T1665*$T$2))/A1660,2)*$C$2,2))</f>
        <v>43.84</v>
      </c>
      <c r="F1660" s="715">
        <f ca="1">ROUND($A1660*$E1660,2)</f>
        <v>43.84</v>
      </c>
      <c r="G1660" s="506" t="s">
        <v>142</v>
      </c>
      <c r="H1660" s="498"/>
      <c r="I1660" s="716"/>
      <c r="J1660" s="498"/>
      <c r="K1660" s="498" t="s">
        <v>3</v>
      </c>
      <c r="L1660" s="717" t="s">
        <v>143</v>
      </c>
      <c r="M1660" s="717"/>
      <c r="N1660" s="717"/>
      <c r="O1660" s="717"/>
      <c r="P1660" s="717"/>
      <c r="Q1660" s="943" t="s">
        <v>855</v>
      </c>
      <c r="R1660" s="943" t="s">
        <v>870</v>
      </c>
      <c r="T1660" s="718" t="str">
        <f ca="1">IF(AND($R1665=0,$T1665=0),"0.00","mu :" &amp; ROUND($F1660/$C$2/($R1665+$T1665*$D$9),2))</f>
        <v>mu :1.35</v>
      </c>
      <c r="W1660" s="507"/>
      <c r="AG1660" s="453">
        <f ca="1">IF($E1660=0,0,ROUND($R1665*$S$2*$C$2/$A1660,2))</f>
        <v>7.51</v>
      </c>
      <c r="AH1660" s="453">
        <f ca="1">$AG1660*$A1660</f>
        <v>7.51</v>
      </c>
      <c r="AI1660" s="508">
        <f ca="1">$E1660-$AG1660</f>
        <v>36.330000000000005</v>
      </c>
      <c r="AJ1660" s="508">
        <f ca="1">$A1660*$AI1660</f>
        <v>36.330000000000005</v>
      </c>
      <c r="AK1660" s="509">
        <f ca="1">ROUND(($AG1660+$AI1660)*$A1660,2)</f>
        <v>43.84</v>
      </c>
      <c r="AM1660" s="510">
        <f ca="1">ROUND(R1665,2)</f>
        <v>5.56</v>
      </c>
      <c r="AN1660" s="511">
        <f ca="1">ROUND(T1665,2)</f>
        <v>0.98</v>
      </c>
      <c r="AO1660" s="512">
        <f ca="1">ROUND(AM1660+AN1660,2)*A1660</f>
        <v>6.54</v>
      </c>
    </row>
    <row r="1661" spans="1:41" s="501" customFormat="1" ht="13.2">
      <c r="A1661" s="505"/>
      <c r="B1661"/>
      <c r="C1661" s="505"/>
      <c r="D1661" s="713" t="s">
        <v>433</v>
      </c>
      <c r="F1661" s="498"/>
      <c r="G1661" s="3"/>
      <c r="H1661" s="498"/>
      <c r="I1661" s="716"/>
      <c r="J1661" s="498"/>
      <c r="K1661" s="498" t="s">
        <v>144</v>
      </c>
      <c r="L1661" s="498"/>
      <c r="M1661" s="498"/>
      <c r="N1661" s="498"/>
      <c r="O1661" s="498"/>
      <c r="P1661" s="498"/>
      <c r="Q1661" s="44"/>
      <c r="R1661" s="567"/>
      <c r="S1661" s="719"/>
      <c r="T1661" s="498"/>
    </row>
    <row r="1662" spans="1:41" s="935" customFormat="1" ht="13.2">
      <c r="A1662"/>
      <c r="B1662" s="927"/>
      <c r="C1662" s="927" t="s">
        <v>735</v>
      </c>
      <c r="D1662" s="927" t="str">
        <f ca="1">CELL("Address",Elec_Rates!D$46)</f>
        <v>[E25_0465_IH_Retro_Elec4Mech_Est_Rev_A.xlsx]Elec_Rates!$D$46</v>
      </c>
      <c r="E1662" s="928"/>
      <c r="F1662" s="928"/>
      <c r="G1662" s="929" t="s">
        <v>736</v>
      </c>
      <c r="H1662" s="929"/>
      <c r="I1662" s="929"/>
      <c r="J1662" s="929"/>
      <c r="K1662" s="930"/>
      <c r="L1662" s="928"/>
      <c r="M1662" s="928"/>
      <c r="N1662" s="928"/>
      <c r="O1662" s="931"/>
      <c r="P1662" s="928"/>
      <c r="Q1662" s="932"/>
      <c r="R1662" s="933"/>
      <c r="S1662" s="932"/>
      <c r="T1662" s="560"/>
      <c r="U1662" s="934"/>
    </row>
    <row r="1663" spans="1:41" s="935" customFormat="1" ht="11.4">
      <c r="A1663" s="936">
        <v>1</v>
      </c>
      <c r="B1663" s="937">
        <v>1</v>
      </c>
      <c r="C1663" s="937">
        <f>$A1663*$B1663</f>
        <v>1</v>
      </c>
      <c r="D1663" s="938" t="str">
        <f>Elec_Rates!$D$46</f>
        <v>004# Connecting up of 3.0/4.0 kW 400Volt motor (VFD)</v>
      </c>
      <c r="E1663" s="938"/>
      <c r="F1663" s="938" t="s">
        <v>737</v>
      </c>
      <c r="G1663" s="939" t="s">
        <v>739</v>
      </c>
      <c r="H1663" s="939"/>
      <c r="I1663" s="939"/>
      <c r="J1663" s="939"/>
      <c r="K1663" s="940"/>
      <c r="L1663" s="934"/>
      <c r="M1663" s="934"/>
      <c r="N1663" s="934"/>
      <c r="O1663" s="941"/>
      <c r="P1663" s="938"/>
      <c r="Q1663" s="942">
        <f ca="1">$B1663*Elec_Rates!$R$46</f>
        <v>5.56</v>
      </c>
      <c r="R1663" s="933">
        <f ca="1">$A1663*Q1663</f>
        <v>5.56</v>
      </c>
      <c r="S1663" s="942">
        <f ca="1">$B1663*Elec_Rates!$T$46</f>
        <v>0.98</v>
      </c>
      <c r="T1663" s="560">
        <f ca="1">$A1663*S1663</f>
        <v>0.98</v>
      </c>
      <c r="U1663" s="484"/>
    </row>
    <row r="1664" spans="1:41" s="501" customFormat="1" ht="12">
      <c r="A1664" s="497"/>
      <c r="B1664" s="497"/>
      <c r="C1664" s="497"/>
      <c r="D1664" s="497"/>
      <c r="E1664" s="497"/>
      <c r="F1664" s="498"/>
      <c r="G1664" s="497"/>
      <c r="H1664" s="497"/>
      <c r="I1664" s="499"/>
      <c r="J1664" s="497"/>
      <c r="K1664" s="497"/>
      <c r="L1664" s="497"/>
      <c r="M1664" s="497"/>
      <c r="N1664" s="497"/>
      <c r="O1664" s="497"/>
      <c r="P1664" s="497"/>
      <c r="Q1664" s="499"/>
      <c r="R1664" s="720">
        <f>$A1664*Q1664</f>
        <v>0</v>
      </c>
      <c r="S1664" s="499"/>
      <c r="T1664" s="500">
        <f>$A1664*S1664*$T$1</f>
        <v>0</v>
      </c>
    </row>
    <row r="1665" spans="1:41" s="501" customFormat="1" ht="12.6" thickBot="1">
      <c r="A1665" s="513" t="s">
        <v>145</v>
      </c>
      <c r="B1665" s="514">
        <f>(R1664+T1664)</f>
        <v>0</v>
      </c>
      <c r="C1665" s="515"/>
      <c r="D1665" s="515"/>
      <c r="E1665" s="515"/>
      <c r="F1665" s="721"/>
      <c r="G1665" s="515" t="s">
        <v>146</v>
      </c>
      <c r="H1665" s="515"/>
      <c r="I1665" s="516"/>
      <c r="J1665" s="515"/>
      <c r="K1665" s="515" t="s">
        <v>3</v>
      </c>
      <c r="L1665" s="517" t="s">
        <v>143</v>
      </c>
      <c r="M1665" s="517"/>
      <c r="N1665" s="517"/>
      <c r="O1665" s="517"/>
      <c r="P1665" s="517"/>
      <c r="Q1665" s="722"/>
      <c r="R1665" s="723">
        <f ca="1">SUM(R1661:R1664)</f>
        <v>5.56</v>
      </c>
      <c r="S1665" s="515"/>
      <c r="T1665" s="723">
        <f ca="1">SUM(T1661:T1664)</f>
        <v>0.98</v>
      </c>
      <c r="U1665" s="518"/>
      <c r="V1665" s="518"/>
      <c r="W1665" s="518"/>
      <c r="X1665" s="518"/>
      <c r="Y1665" s="518"/>
      <c r="Z1665" s="518"/>
      <c r="AA1665" s="518"/>
      <c r="AB1665" s="518"/>
      <c r="AC1665" s="518"/>
      <c r="AD1665" s="518"/>
      <c r="AE1665" s="518"/>
      <c r="AF1665" s="518"/>
      <c r="AG1665" s="518"/>
      <c r="AH1665" s="518"/>
      <c r="AI1665" s="518"/>
      <c r="AJ1665" s="518"/>
      <c r="AK1665" s="518"/>
      <c r="AL1665" s="518"/>
      <c r="AM1665" s="518"/>
      <c r="AN1665" s="518"/>
      <c r="AO1665" s="518"/>
    </row>
    <row r="1666" spans="1:41" s="501" customFormat="1" thickTop="1">
      <c r="A1666" s="44"/>
      <c r="B1666" s="44"/>
      <c r="C1666" s="3"/>
      <c r="D1666" s="3"/>
      <c r="E1666" s="44"/>
      <c r="F1666" s="44"/>
      <c r="G1666" s="44"/>
      <c r="H1666" s="44"/>
      <c r="I1666" s="44"/>
      <c r="J1666" s="44"/>
      <c r="K1666" s="44" t="s">
        <v>134</v>
      </c>
      <c r="L1666" s="44"/>
      <c r="M1666" s="44"/>
      <c r="N1666" s="44"/>
      <c r="O1666" s="45"/>
      <c r="P1666" s="44"/>
      <c r="Q1666" s="44"/>
      <c r="R1666" s="44"/>
      <c r="S1666" s="44"/>
      <c r="T1666" s="44"/>
    </row>
    <row r="1667" spans="1:41" s="501" customFormat="1" ht="12">
      <c r="A1667" s="44"/>
      <c r="B1667" s="44"/>
      <c r="C1667" s="44" t="s">
        <v>135</v>
      </c>
      <c r="D1667" s="35" t="s">
        <v>588</v>
      </c>
      <c r="E1667" s="44"/>
      <c r="F1667" s="44"/>
      <c r="G1667" s="44"/>
      <c r="H1667" s="44"/>
      <c r="I1667" s="44"/>
      <c r="J1667" s="44"/>
      <c r="K1667" s="44"/>
      <c r="L1667" s="44"/>
      <c r="M1667" s="44"/>
      <c r="N1667" s="44"/>
      <c r="O1667" s="45"/>
      <c r="P1667" s="44"/>
      <c r="Q1667" s="44"/>
      <c r="R1667" s="44"/>
      <c r="S1667" s="44"/>
      <c r="T1667" s="44"/>
    </row>
    <row r="1668" spans="1:41" s="501" customFormat="1" ht="39.9" customHeight="1">
      <c r="A1668" s="44"/>
      <c r="B1668" s="44"/>
      <c r="C1668" s="44"/>
      <c r="D1668" s="1185" t="s">
        <v>434</v>
      </c>
      <c r="E1668" s="1184"/>
      <c r="F1668" s="1184"/>
      <c r="G1668" s="1184"/>
      <c r="H1668" s="1184"/>
      <c r="I1668" s="1184"/>
      <c r="J1668" s="1184"/>
      <c r="K1668" s="1184"/>
      <c r="L1668" s="1184"/>
      <c r="M1668" s="1184"/>
      <c r="N1668" s="1184"/>
      <c r="O1668" s="1184"/>
      <c r="P1668" s="1184"/>
      <c r="Q1668" s="1184"/>
      <c r="R1668" s="1184"/>
      <c r="S1668" s="1184"/>
      <c r="T1668" s="1184"/>
    </row>
    <row r="1669" spans="1:41" s="3" customFormat="1" thickBot="1">
      <c r="A1669" s="518"/>
      <c r="O1669" s="86"/>
    </row>
    <row r="1670" spans="1:41" s="501" customFormat="1" thickTop="1">
      <c r="A1670" s="44"/>
      <c r="B1670" s="39"/>
      <c r="C1670" s="44"/>
      <c r="E1670" s="40" t="s">
        <v>138</v>
      </c>
      <c r="F1670" s="40" t="s">
        <v>139</v>
      </c>
      <c r="G1670" s="44"/>
      <c r="H1670" s="44"/>
      <c r="I1670" s="44"/>
      <c r="J1670" s="44"/>
      <c r="K1670" s="44" t="s">
        <v>140</v>
      </c>
      <c r="L1670" s="737"/>
      <c r="M1670" s="44"/>
      <c r="N1670" s="44"/>
      <c r="O1670" s="45"/>
      <c r="P1670" s="44"/>
      <c r="Q1670"/>
      <c r="R1670"/>
      <c r="S1670"/>
      <c r="T1670" s="39"/>
      <c r="AG1670" s="502" t="s">
        <v>247</v>
      </c>
      <c r="AH1670" s="502" t="s">
        <v>248</v>
      </c>
      <c r="AI1670" s="502" t="s">
        <v>249</v>
      </c>
      <c r="AJ1670" s="502" t="s">
        <v>250</v>
      </c>
      <c r="AK1670" s="502" t="s">
        <v>251</v>
      </c>
      <c r="AM1670" s="710" t="s">
        <v>260</v>
      </c>
      <c r="AN1670" s="711" t="s">
        <v>261</v>
      </c>
      <c r="AO1670" s="503" t="s">
        <v>257</v>
      </c>
    </row>
    <row r="1671" spans="1:41" s="501" customFormat="1" ht="13.2">
      <c r="A1671" s="712">
        <v>1</v>
      </c>
      <c r="B1671" s="504" t="s">
        <v>283</v>
      </c>
      <c r="C1671" s="505"/>
      <c r="D1671" s="713" t="s">
        <v>577</v>
      </c>
      <c r="E1671" s="738">
        <f ca="1">IF(AND($A1671=0,$A$1="DIF"),0,ROUND(ROUND(SUMIF($L1673:$L1684,"SUBI",$E1673:$E1684)/$A1671,2)*$C$12,2))</f>
        <v>61.84</v>
      </c>
      <c r="F1671" s="739">
        <f ca="1">ROUND($A1671*$E1671,2)</f>
        <v>61.84</v>
      </c>
      <c r="G1671" s="506" t="s">
        <v>142</v>
      </c>
      <c r="H1671" s="498"/>
      <c r="I1671" s="716"/>
      <c r="J1671" s="498"/>
      <c r="K1671" s="740"/>
      <c r="L1671" s="741" t="s">
        <v>143</v>
      </c>
      <c r="M1671" s="717"/>
      <c r="N1671" s="717"/>
      <c r="O1671" s="717"/>
      <c r="P1671" s="717"/>
      <c r="Q1671" s="943" t="s">
        <v>855</v>
      </c>
      <c r="R1671" s="943" t="s">
        <v>870</v>
      </c>
      <c r="S1671"/>
      <c r="T1671" s="742" t="str">
        <f ca="1">IF(AND($R1690=0,$T1690=0),"0.00","mu :" &amp; ROUND($F1671/$C$12/($R1690+$T1690*$D$9),2))</f>
        <v>mu :1.35</v>
      </c>
      <c r="W1671" s="507"/>
      <c r="AG1671" s="743">
        <f ca="1">IF(A1671=0,0,ROUND(SUM(AG1673:AG1690)/A1671,2))</f>
        <v>14.39</v>
      </c>
      <c r="AH1671" s="743">
        <f ca="1">$AG1671*$A1671</f>
        <v>14.39</v>
      </c>
      <c r="AI1671" s="743">
        <f ca="1">$E1671-$AG1671</f>
        <v>47.45</v>
      </c>
      <c r="AJ1671" s="743">
        <f ca="1">$A1671*$AI1671</f>
        <v>47.45</v>
      </c>
      <c r="AK1671" s="744">
        <f ca="1">ROUND(($AG1671+$AI1671)*$A1671,2)</f>
        <v>61.84</v>
      </c>
      <c r="AM1671" s="510">
        <f ca="1">ROUND(R1690,2)</f>
        <v>10.66</v>
      </c>
      <c r="AN1671" s="511">
        <f ca="1">ROUND(T1690,2)</f>
        <v>1.28</v>
      </c>
      <c r="AO1671" s="512">
        <f ca="1">ROUND(AM1671+AN1671,2)*A1671</f>
        <v>11.94</v>
      </c>
    </row>
    <row r="1672" spans="1:41" s="501" customFormat="1" ht="21.6" customHeight="1">
      <c r="A1672" s="745"/>
      <c r="B1672" s="746"/>
      <c r="C1672" s="505"/>
      <c r="D1672" s="724" t="s">
        <v>435</v>
      </c>
      <c r="F1672" s="498"/>
      <c r="G1672" s="498"/>
      <c r="H1672" s="498"/>
      <c r="I1672" s="716"/>
      <c r="J1672" s="498"/>
      <c r="K1672" s="498" t="s">
        <v>144</v>
      </c>
      <c r="L1672" s="747"/>
      <c r="M1672" s="498"/>
      <c r="N1672" s="498"/>
      <c r="O1672" s="498"/>
      <c r="P1672" s="498"/>
      <c r="Q1672" s="44"/>
      <c r="R1672" s="567"/>
      <c r="S1672" s="719"/>
      <c r="T1672" s="498"/>
    </row>
    <row r="1673" spans="1:41" s="501" customFormat="1" ht="12">
      <c r="A1673" s="748"/>
      <c r="B1673" s="749"/>
      <c r="C1673" s="497"/>
      <c r="D1673" s="750"/>
      <c r="E1673" s="751">
        <f ca="1">F1671/$C$12-SUMIF($L1670:$L1690,"SUBI",$E1670:$E1690)</f>
        <v>0</v>
      </c>
      <c r="F1673" s="752" t="s">
        <v>572</v>
      </c>
      <c r="G1673" s="753"/>
      <c r="H1673" s="753"/>
      <c r="I1673" s="754"/>
      <c r="J1673" s="753"/>
      <c r="K1673" s="753"/>
      <c r="L1673" s="755"/>
      <c r="M1673" s="756"/>
      <c r="N1673" s="756"/>
      <c r="O1673" s="756"/>
      <c r="P1673" s="756"/>
      <c r="Q1673" s="757"/>
      <c r="R1673" s="758"/>
      <c r="S1673" s="757"/>
      <c r="T1673" s="759"/>
    </row>
    <row r="1674" spans="1:41" s="501" customFormat="1" ht="12" customHeight="1">
      <c r="A1674" s="760"/>
      <c r="B1674" s="761"/>
      <c r="C1674" s="762"/>
      <c r="D1674" s="762" t="str">
        <f>$F$2</f>
        <v>Electrical</v>
      </c>
      <c r="E1674" s="762">
        <f ca="1">ROUND(($R1678*$S$2 + ($T1678*$T$2)), 2)</f>
        <v>61.84</v>
      </c>
      <c r="F1674" s="763">
        <f ca="1">$E1674*$C$12</f>
        <v>61.84</v>
      </c>
      <c r="G1674" s="567"/>
      <c r="H1674" s="764"/>
      <c r="I1674" s="567"/>
      <c r="J1674" s="45"/>
      <c r="K1674" s="765" t="s">
        <v>3</v>
      </c>
      <c r="L1674" s="766" t="s">
        <v>573</v>
      </c>
      <c r="M1674" s="567"/>
      <c r="N1674" s="567"/>
      <c r="O1674" s="45"/>
      <c r="P1674" s="567"/>
      <c r="Q1674" s="567"/>
      <c r="R1674"/>
      <c r="S1674"/>
      <c r="T1674"/>
    </row>
    <row r="1675" spans="1:41" s="935" customFormat="1" ht="13.2">
      <c r="A1675"/>
      <c r="B1675" s="927"/>
      <c r="C1675" s="927" t="s">
        <v>735</v>
      </c>
      <c r="D1675" s="927" t="str">
        <f ca="1">CELL("Address",Elec_Rates!D$64)</f>
        <v>[E25_0465_IH_Retro_Elec4Mech_Est_Rev_A.xlsx]Elec_Rates!$D$64</v>
      </c>
      <c r="E1675" s="928"/>
      <c r="F1675" s="928"/>
      <c r="G1675" s="929" t="s">
        <v>736</v>
      </c>
      <c r="H1675" s="929"/>
      <c r="I1675" s="929"/>
      <c r="J1675" s="929"/>
      <c r="K1675" s="930"/>
      <c r="L1675" s="928"/>
      <c r="M1675" s="928"/>
      <c r="N1675" s="928"/>
      <c r="O1675" s="931"/>
      <c r="P1675" s="928"/>
      <c r="Q1675" s="932"/>
      <c r="R1675" s="933"/>
      <c r="S1675" s="932"/>
      <c r="T1675" s="560"/>
      <c r="U1675" s="934"/>
    </row>
    <row r="1676" spans="1:41" s="935" customFormat="1" ht="11.4">
      <c r="A1676" s="936">
        <v>1</v>
      </c>
      <c r="B1676" s="937">
        <v>1</v>
      </c>
      <c r="C1676" s="937">
        <f>$A1676*$B1676</f>
        <v>1</v>
      </c>
      <c r="D1676" s="938" t="str">
        <f>Elec_Rates!$D$64</f>
        <v>006# Connecting up of 11.0/18.0 kW 400Volt motor (VFD)</v>
      </c>
      <c r="E1676" s="938"/>
      <c r="F1676" s="938" t="s">
        <v>737</v>
      </c>
      <c r="G1676" s="939" t="s">
        <v>738</v>
      </c>
      <c r="H1676" s="939"/>
      <c r="I1676" s="939"/>
      <c r="J1676" s="939"/>
      <c r="K1676" s="940"/>
      <c r="L1676" s="934"/>
      <c r="M1676" s="934"/>
      <c r="N1676" s="934"/>
      <c r="O1676" s="941"/>
      <c r="P1676" s="938"/>
      <c r="Q1676" s="942">
        <f ca="1">$B1676*Elec_Rates!$R$64</f>
        <v>10.66</v>
      </c>
      <c r="R1676" s="933">
        <f ca="1">$A1676*Q1676</f>
        <v>10.66</v>
      </c>
      <c r="S1676" s="942">
        <f ca="1">$B1676*Elec_Rates!$T$64</f>
        <v>1.28</v>
      </c>
      <c r="T1676" s="560">
        <f ca="1">$A1676*S1676</f>
        <v>1.28</v>
      </c>
      <c r="U1676" s="484"/>
    </row>
    <row r="1677" spans="1:41" s="501" customFormat="1" ht="14.4" customHeight="1">
      <c r="A1677" s="767"/>
      <c r="B1677" s="567"/>
      <c r="C1677" s="567"/>
      <c r="D1677" s="567"/>
      <c r="E1677" s="567"/>
      <c r="F1677" s="567"/>
      <c r="G1677" s="567"/>
      <c r="H1677" s="764"/>
      <c r="I1677" s="567"/>
      <c r="J1677" s="45"/>
      <c r="K1677" s="769"/>
      <c r="L1677" s="770"/>
      <c r="M1677" s="567"/>
      <c r="N1677" s="567"/>
      <c r="O1677" s="45"/>
      <c r="P1677" s="567"/>
      <c r="Q1677" s="567"/>
      <c r="R1677" s="771">
        <f>$A1677*Q1677</f>
        <v>0</v>
      </c>
      <c r="S1677" s="567"/>
      <c r="T1677" s="500">
        <f>$A1677*S1677*$T$1</f>
        <v>0</v>
      </c>
    </row>
    <row r="1678" spans="1:41" s="501" customFormat="1" ht="12">
      <c r="A1678" s="772" t="s">
        <v>145</v>
      </c>
      <c r="B1678" s="773">
        <f>(R1677+T1677)</f>
        <v>0</v>
      </c>
      <c r="C1678" s="753"/>
      <c r="G1678" s="774"/>
      <c r="H1678" s="774"/>
      <c r="I1678" s="774"/>
      <c r="J1678" s="774"/>
      <c r="K1678" s="750" t="s">
        <v>3</v>
      </c>
      <c r="L1678" s="775" t="s">
        <v>573</v>
      </c>
      <c r="M1678" s="774"/>
      <c r="N1678" s="774"/>
      <c r="O1678" s="774"/>
      <c r="P1678" s="774"/>
      <c r="Q1678" s="776"/>
      <c r="R1678" s="777">
        <f ca="1">SUM(R1674:R1677)</f>
        <v>10.66</v>
      </c>
      <c r="S1678" s="778"/>
      <c r="T1678" s="777">
        <f ca="1">SUM(T1674:T1677)</f>
        <v>1.28</v>
      </c>
      <c r="AG1678" s="779">
        <f ca="1">ROUND($R1678*$S$2,2)</f>
        <v>14.39</v>
      </c>
    </row>
    <row r="1679" spans="1:41" s="501" customFormat="1" ht="12" customHeight="1">
      <c r="A1679" s="760"/>
      <c r="B1679" s="780"/>
      <c r="C1679" s="781"/>
      <c r="D1679" s="782" t="str">
        <f>$F$3</f>
        <v>Technician</v>
      </c>
      <c r="E1679" s="782">
        <f>ROUND(($R1683*$S$3 + ($T1683*$T$3)), 2)</f>
        <v>0</v>
      </c>
      <c r="F1679" s="783">
        <f>$E1679*$C$12</f>
        <v>0</v>
      </c>
      <c r="G1679" s="499"/>
      <c r="H1679" s="499"/>
      <c r="I1679" s="499"/>
      <c r="J1679" s="499"/>
      <c r="K1679" s="765" t="s">
        <v>5</v>
      </c>
      <c r="L1679" s="766" t="s">
        <v>573</v>
      </c>
      <c r="M1679" s="499"/>
      <c r="N1679" s="499"/>
      <c r="O1679" s="499"/>
      <c r="P1679" s="499"/>
      <c r="Q1679" s="499"/>
      <c r="R1679" s="784"/>
      <c r="S1679" s="499"/>
      <c r="T1679" s="784"/>
    </row>
    <row r="1680" spans="1:41" s="797" customFormat="1" ht="15.6" customHeight="1">
      <c r="A1680" s="785"/>
      <c r="B1680" s="768" t="s">
        <v>575</v>
      </c>
      <c r="C1680" s="786"/>
      <c r="D1680" s="787"/>
      <c r="E1680" s="787"/>
      <c r="F1680" s="787"/>
      <c r="G1680" s="788"/>
      <c r="H1680" s="789"/>
      <c r="I1680" s="789"/>
      <c r="J1680" s="790"/>
      <c r="K1680" s="791"/>
      <c r="L1680" s="786"/>
      <c r="M1680" s="792"/>
      <c r="N1680" s="793"/>
      <c r="O1680" s="794"/>
      <c r="P1680" s="795"/>
      <c r="Q1680" s="796"/>
      <c r="R1680" s="771">
        <f>$A1680*Q1680</f>
        <v>0</v>
      </c>
      <c r="S1680" s="567"/>
      <c r="T1680" s="500">
        <f>$A1680*S1680*$T$1</f>
        <v>0</v>
      </c>
    </row>
    <row r="1681" spans="1:41" s="501" customFormat="1" ht="15.6" customHeight="1">
      <c r="A1681" s="767"/>
      <c r="B1681" s="567"/>
      <c r="C1681" s="567"/>
      <c r="D1681" s="567"/>
      <c r="E1681" s="567"/>
      <c r="F1681" s="567"/>
      <c r="G1681" s="567"/>
      <c r="H1681" s="567"/>
      <c r="I1681" s="567"/>
      <c r="J1681" s="567"/>
      <c r="K1681" s="567"/>
      <c r="L1681" s="770"/>
      <c r="M1681" s="567"/>
      <c r="N1681" s="567"/>
      <c r="O1681" s="567"/>
      <c r="P1681" s="567"/>
      <c r="Q1681" s="567"/>
      <c r="R1681" s="771">
        <f>$A1681*Q1681</f>
        <v>0</v>
      </c>
      <c r="S1681" s="567"/>
      <c r="T1681" s="500">
        <f>$A1681*S1681*$T$1</f>
        <v>0</v>
      </c>
    </row>
    <row r="1682" spans="1:41" s="501" customFormat="1" ht="15.6" customHeight="1">
      <c r="A1682" s="767"/>
      <c r="B1682" s="567"/>
      <c r="C1682" s="567"/>
      <c r="D1682" s="3"/>
      <c r="E1682" s="567"/>
      <c r="F1682" s="567"/>
      <c r="G1682" s="567"/>
      <c r="H1682" s="567"/>
      <c r="I1682" s="567"/>
      <c r="J1682" s="567"/>
      <c r="K1682" s="567"/>
      <c r="L1682" s="770"/>
      <c r="M1682" s="567"/>
      <c r="N1682" s="567"/>
      <c r="O1682" s="567"/>
      <c r="P1682" s="567"/>
      <c r="Q1682" s="567"/>
      <c r="R1682" s="771">
        <f>$A1682*Q1682</f>
        <v>0</v>
      </c>
      <c r="S1682" s="567"/>
      <c r="T1682" s="500">
        <f>$A1682*S1682*$T$1</f>
        <v>0</v>
      </c>
    </row>
    <row r="1683" spans="1:41" s="501" customFormat="1" ht="12">
      <c r="A1683" s="772" t="s">
        <v>145</v>
      </c>
      <c r="B1683" s="773">
        <f>(R1682+T1682)</f>
        <v>0</v>
      </c>
      <c r="C1683" s="753"/>
      <c r="G1683" s="774"/>
      <c r="H1683" s="774"/>
      <c r="I1683" s="774"/>
      <c r="J1683" s="774"/>
      <c r="K1683" s="798" t="s">
        <v>5</v>
      </c>
      <c r="L1683" s="775" t="s">
        <v>573</v>
      </c>
      <c r="M1683" s="774"/>
      <c r="N1683" s="774"/>
      <c r="O1683" s="774"/>
      <c r="P1683" s="774"/>
      <c r="Q1683" s="776"/>
      <c r="R1683" s="777">
        <f>SUM(R1679:R1682)</f>
        <v>0</v>
      </c>
      <c r="S1683" s="778"/>
      <c r="T1683" s="777">
        <f>SUM(T1679:T1682)</f>
        <v>0</v>
      </c>
      <c r="AG1683" s="799">
        <f>ROUND($R1683*$S$3,2)</f>
        <v>0</v>
      </c>
    </row>
    <row r="1684" spans="1:41" s="501" customFormat="1" ht="12" customHeight="1">
      <c r="A1684" s="800"/>
      <c r="B1684" s="801"/>
      <c r="C1684" s="802"/>
      <c r="D1684" s="803" t="str">
        <f>$F$4</f>
        <v>Engineer (Man Hours)</v>
      </c>
      <c r="E1684" s="803">
        <f>ROUND(($R1688*$S$4 + ($T1688*$T$4)), 2)</f>
        <v>0</v>
      </c>
      <c r="F1684" s="804">
        <f ca="1">$F1671-SUMIF($L1673:$P1681,"SUBI",$F1673:$F1681)</f>
        <v>0</v>
      </c>
      <c r="G1684" s="499"/>
      <c r="H1684" s="499"/>
      <c r="I1684" s="499"/>
      <c r="J1684" s="499"/>
      <c r="K1684" s="805" t="s">
        <v>8</v>
      </c>
      <c r="L1684" s="766" t="s">
        <v>573</v>
      </c>
      <c r="M1684" s="499"/>
      <c r="N1684" s="499"/>
      <c r="O1684" s="499"/>
      <c r="P1684" s="499"/>
      <c r="Q1684" s="499"/>
      <c r="R1684" s="784"/>
      <c r="S1684" s="499"/>
      <c r="T1684" s="784"/>
    </row>
    <row r="1685" spans="1:41" s="797" customFormat="1" ht="14.4" customHeight="1">
      <c r="A1685" s="785"/>
      <c r="B1685" s="768" t="s">
        <v>576</v>
      </c>
      <c r="C1685" s="786"/>
      <c r="D1685" s="787"/>
      <c r="E1685" s="787"/>
      <c r="F1685" s="787"/>
      <c r="G1685" s="788"/>
      <c r="H1685" s="789"/>
      <c r="I1685" s="789"/>
      <c r="J1685" s="790"/>
      <c r="K1685" s="791"/>
      <c r="L1685" s="786"/>
      <c r="M1685" s="792"/>
      <c r="N1685" s="793"/>
      <c r="O1685" s="806"/>
      <c r="P1685" s="795"/>
      <c r="Q1685" s="796"/>
      <c r="R1685" s="720">
        <f>$A1685*Q1685</f>
        <v>0</v>
      </c>
      <c r="S1685" s="796"/>
      <c r="T1685" s="500">
        <f>$A1685*S1685*$T$1</f>
        <v>0</v>
      </c>
    </row>
    <row r="1686" spans="1:41" s="501" customFormat="1" ht="12">
      <c r="A1686" s="44"/>
      <c r="B1686" s="497"/>
      <c r="C1686" s="497"/>
      <c r="D1686" s="807"/>
      <c r="E1686" s="808"/>
      <c r="F1686" s="499"/>
      <c r="G1686" s="499"/>
      <c r="H1686" s="499"/>
      <c r="I1686" s="499"/>
      <c r="J1686" s="499"/>
      <c r="K1686" s="499"/>
      <c r="L1686" s="809"/>
      <c r="M1686" s="499"/>
      <c r="N1686" s="499"/>
      <c r="O1686" s="499"/>
      <c r="P1686" s="499"/>
      <c r="Q1686" s="499"/>
      <c r="R1686" s="720">
        <f>$A1686*Q1686</f>
        <v>0</v>
      </c>
      <c r="S1686" s="499"/>
      <c r="T1686" s="500">
        <f>$A1686*S1686*$T$1</f>
        <v>0</v>
      </c>
    </row>
    <row r="1687" spans="1:41" s="501" customFormat="1" ht="12">
      <c r="A1687" s="44"/>
      <c r="B1687" s="497"/>
      <c r="C1687" s="497"/>
      <c r="D1687" s="807"/>
      <c r="E1687" s="808"/>
      <c r="F1687" s="499"/>
      <c r="G1687" s="499"/>
      <c r="H1687" s="499"/>
      <c r="I1687" s="499"/>
      <c r="J1687" s="499"/>
      <c r="K1687" s="499"/>
      <c r="L1687" s="809"/>
      <c r="M1687" s="499"/>
      <c r="N1687" s="499"/>
      <c r="O1687" s="499"/>
      <c r="P1687" s="499"/>
      <c r="Q1687" s="499"/>
      <c r="R1687" s="720">
        <f>$A1687*Q1687</f>
        <v>0</v>
      </c>
      <c r="S1687" s="499"/>
      <c r="T1687" s="500">
        <f>$A1687*S1687*$T$1</f>
        <v>0</v>
      </c>
    </row>
    <row r="1688" spans="1:41" s="501" customFormat="1" ht="12.75" customHeight="1">
      <c r="A1688" s="772" t="s">
        <v>145</v>
      </c>
      <c r="B1688" s="773">
        <f>(R1687+T1687)</f>
        <v>0</v>
      </c>
      <c r="C1688" s="810"/>
      <c r="D1688" s="810"/>
      <c r="E1688" s="810"/>
      <c r="F1688" s="810"/>
      <c r="G1688" s="776"/>
      <c r="H1688" s="776"/>
      <c r="I1688" s="776"/>
      <c r="J1688" s="776"/>
      <c r="K1688" s="798" t="s">
        <v>8</v>
      </c>
      <c r="L1688" s="811" t="s">
        <v>573</v>
      </c>
      <c r="M1688" s="776"/>
      <c r="N1688" s="776"/>
      <c r="O1688" s="776"/>
      <c r="P1688" s="776"/>
      <c r="Q1688" s="776"/>
      <c r="R1688" s="777">
        <f>SUM(R1684:R1687)</f>
        <v>0</v>
      </c>
      <c r="S1688" s="778"/>
      <c r="T1688" s="777">
        <f>SUM(T1684:T1687)</f>
        <v>0</v>
      </c>
      <c r="AG1688" s="812">
        <f>ROUND($R1688*$S$4,2)</f>
        <v>0</v>
      </c>
    </row>
    <row r="1689" spans="1:41" s="501" customFormat="1" ht="12.75" customHeight="1">
      <c r="A1689" s="813"/>
      <c r="B1689" s="814"/>
      <c r="E1689" s="497"/>
      <c r="F1689" s="808"/>
      <c r="G1689" s="497"/>
      <c r="H1689" s="497"/>
      <c r="I1689" s="499"/>
      <c r="J1689" s="497"/>
      <c r="K1689" s="497"/>
      <c r="L1689" s="815"/>
      <c r="M1689" s="725"/>
      <c r="N1689" s="725"/>
      <c r="O1689" s="725"/>
      <c r="P1689" s="725"/>
      <c r="Q1689" s="726"/>
      <c r="R1689" s="784"/>
      <c r="S1689" s="497"/>
      <c r="T1689" s="784"/>
    </row>
    <row r="1690" spans="1:41" s="501" customFormat="1" ht="13.5" customHeight="1" thickBot="1">
      <c r="A1690" s="816"/>
      <c r="B1690" s="817"/>
      <c r="C1690" s="518"/>
      <c r="D1690" s="518"/>
      <c r="E1690" s="515"/>
      <c r="F1690" s="721"/>
      <c r="G1690" s="515" t="s">
        <v>146</v>
      </c>
      <c r="H1690" s="515"/>
      <c r="I1690" s="516"/>
      <c r="J1690" s="515"/>
      <c r="K1690" s="515"/>
      <c r="L1690" s="818" t="s">
        <v>143</v>
      </c>
      <c r="M1690" s="517"/>
      <c r="N1690" s="517"/>
      <c r="O1690" s="517"/>
      <c r="P1690" s="517"/>
      <c r="Q1690" s="722"/>
      <c r="R1690" s="819">
        <f ca="1">SUMIF($L1672:$L1689,"SUBI",R1672:R1689)</f>
        <v>10.66</v>
      </c>
      <c r="S1690" s="820"/>
      <c r="T1690" s="819">
        <f ca="1">SUMIF($L1672:$L1689,"SUBI",T1672:T1689)</f>
        <v>1.28</v>
      </c>
      <c r="U1690" s="518"/>
      <c r="V1690" s="518"/>
      <c r="W1690" s="518"/>
      <c r="X1690" s="518"/>
      <c r="Y1690" s="518"/>
      <c r="Z1690" s="518"/>
      <c r="AA1690" s="518"/>
      <c r="AB1690" s="518"/>
      <c r="AC1690" s="518"/>
      <c r="AD1690" s="518"/>
      <c r="AE1690" s="518"/>
      <c r="AF1690" s="518"/>
      <c r="AG1690" s="518"/>
      <c r="AH1690" s="518"/>
      <c r="AI1690" s="518"/>
      <c r="AJ1690" s="518"/>
      <c r="AK1690" s="518"/>
      <c r="AL1690" s="518"/>
      <c r="AM1690" s="518"/>
      <c r="AN1690" s="518"/>
      <c r="AO1690" s="518"/>
    </row>
    <row r="1691" spans="1:41" s="501" customFormat="1" thickTop="1">
      <c r="A1691" s="44"/>
      <c r="B1691" s="39"/>
      <c r="C1691" s="44"/>
      <c r="E1691" s="40" t="s">
        <v>138</v>
      </c>
      <c r="F1691" s="40" t="s">
        <v>139</v>
      </c>
      <c r="G1691" s="44"/>
      <c r="H1691" s="44"/>
      <c r="I1691" s="44"/>
      <c r="J1691" s="44"/>
      <c r="K1691" s="44" t="s">
        <v>140</v>
      </c>
      <c r="L1691" s="737"/>
      <c r="M1691" s="44"/>
      <c r="N1691" s="44"/>
      <c r="O1691" s="45"/>
      <c r="P1691" s="44"/>
      <c r="Q1691"/>
      <c r="R1691"/>
      <c r="S1691"/>
      <c r="T1691" s="39"/>
      <c r="AG1691" s="502" t="s">
        <v>247</v>
      </c>
      <c r="AH1691" s="502" t="s">
        <v>248</v>
      </c>
      <c r="AI1691" s="502" t="s">
        <v>249</v>
      </c>
      <c r="AJ1691" s="502" t="s">
        <v>250</v>
      </c>
      <c r="AK1691" s="502" t="s">
        <v>251</v>
      </c>
      <c r="AM1691" s="710" t="s">
        <v>260</v>
      </c>
      <c r="AN1691" s="711" t="s">
        <v>261</v>
      </c>
      <c r="AO1691" s="503" t="s">
        <v>257</v>
      </c>
    </row>
    <row r="1692" spans="1:41" s="501" customFormat="1" ht="13.2">
      <c r="A1692" s="712">
        <v>1</v>
      </c>
      <c r="B1692" s="504" t="s">
        <v>283</v>
      </c>
      <c r="C1692" s="505"/>
      <c r="D1692" s="713" t="s">
        <v>585</v>
      </c>
      <c r="E1692" s="738">
        <f ca="1">IF(AND($A1692=0,$A$1="DIF"),0,ROUND(ROUND(SUMIF($L1694:$L1705,"SUBI",$E1694:$E1705)/$A1692,2)*$C$12,2))</f>
        <v>61.84</v>
      </c>
      <c r="F1692" s="739">
        <f ca="1">ROUND($A1692*$E1692,2)</f>
        <v>61.84</v>
      </c>
      <c r="G1692" s="506" t="s">
        <v>142</v>
      </c>
      <c r="H1692" s="498"/>
      <c r="I1692" s="716"/>
      <c r="J1692" s="498"/>
      <c r="K1692" s="740"/>
      <c r="L1692" s="741" t="s">
        <v>143</v>
      </c>
      <c r="M1692" s="717"/>
      <c r="N1692" s="717"/>
      <c r="O1692" s="717"/>
      <c r="P1692" s="717"/>
      <c r="Q1692" s="943" t="s">
        <v>855</v>
      </c>
      <c r="R1692" s="943" t="s">
        <v>870</v>
      </c>
      <c r="S1692"/>
      <c r="T1692" s="742" t="str">
        <f ca="1">IF(AND($R1711=0,$T1711=0),"0.00","mu :" &amp; ROUND($F1692/$C$12/($R1711+$T1711*$D$9),2))</f>
        <v>mu :1.35</v>
      </c>
      <c r="W1692" s="507"/>
      <c r="AG1692" s="743">
        <f ca="1">IF(A1692=0,0,ROUND(SUM(AG1694:AG1711)/A1692,2))</f>
        <v>14.39</v>
      </c>
      <c r="AH1692" s="743">
        <f ca="1">$AG1692*$A1692</f>
        <v>14.39</v>
      </c>
      <c r="AI1692" s="743">
        <f ca="1">$E1692-$AG1692</f>
        <v>47.45</v>
      </c>
      <c r="AJ1692" s="743">
        <f ca="1">$A1692*$AI1692</f>
        <v>47.45</v>
      </c>
      <c r="AK1692" s="744">
        <f ca="1">ROUND(($AG1692+$AI1692)*$A1692,2)</f>
        <v>61.84</v>
      </c>
      <c r="AM1692" s="510">
        <f ca="1">ROUND(R1711,2)</f>
        <v>10.66</v>
      </c>
      <c r="AN1692" s="511">
        <f ca="1">ROUND(T1711,2)</f>
        <v>1.28</v>
      </c>
      <c r="AO1692" s="512">
        <f ca="1">ROUND(AM1692+AN1692,2)*A1692</f>
        <v>11.94</v>
      </c>
    </row>
    <row r="1693" spans="1:41" s="501" customFormat="1" ht="21.6" customHeight="1">
      <c r="A1693" s="745"/>
      <c r="B1693" s="746"/>
      <c r="C1693" s="505"/>
      <c r="D1693" s="724" t="s">
        <v>436</v>
      </c>
      <c r="F1693" s="498"/>
      <c r="G1693" s="498"/>
      <c r="H1693" s="498"/>
      <c r="I1693" s="716"/>
      <c r="J1693" s="498"/>
      <c r="K1693" s="498" t="s">
        <v>144</v>
      </c>
      <c r="L1693" s="747"/>
      <c r="M1693" s="498"/>
      <c r="N1693" s="498"/>
      <c r="O1693" s="498"/>
      <c r="P1693" s="498"/>
      <c r="Q1693" s="44"/>
      <c r="R1693" s="567"/>
      <c r="S1693" s="719"/>
      <c r="T1693" s="498"/>
    </row>
    <row r="1694" spans="1:41" s="501" customFormat="1" ht="12">
      <c r="A1694" s="748"/>
      <c r="B1694" s="749"/>
      <c r="C1694" s="497"/>
      <c r="D1694" s="750"/>
      <c r="E1694" s="751">
        <f ca="1">F1692/$C$12-SUMIF($L1691:$L1711,"SUBI",$E1691:$E1711)</f>
        <v>0</v>
      </c>
      <c r="F1694" s="752" t="s">
        <v>572</v>
      </c>
      <c r="G1694" s="753"/>
      <c r="H1694" s="753"/>
      <c r="I1694" s="754"/>
      <c r="J1694" s="753"/>
      <c r="K1694" s="753"/>
      <c r="L1694" s="755"/>
      <c r="M1694" s="756"/>
      <c r="N1694" s="756"/>
      <c r="O1694" s="756"/>
      <c r="P1694" s="756"/>
      <c r="Q1694" s="757"/>
      <c r="R1694" s="758"/>
      <c r="S1694" s="757"/>
      <c r="T1694" s="759"/>
    </row>
    <row r="1695" spans="1:41" s="501" customFormat="1" ht="12" customHeight="1">
      <c r="A1695" s="760"/>
      <c r="B1695" s="761"/>
      <c r="C1695" s="762"/>
      <c r="D1695" s="762" t="str">
        <f>$F$2</f>
        <v>Electrical</v>
      </c>
      <c r="E1695" s="762">
        <f ca="1">ROUND(($R1699*$S$2 + ($T1699*$T$2)), 2)</f>
        <v>61.84</v>
      </c>
      <c r="F1695" s="763">
        <f ca="1">$E1695*$C$12</f>
        <v>61.84</v>
      </c>
      <c r="G1695" s="567"/>
      <c r="H1695" s="764"/>
      <c r="I1695" s="567"/>
      <c r="J1695" s="45"/>
      <c r="K1695" s="765" t="s">
        <v>3</v>
      </c>
      <c r="L1695" s="766" t="s">
        <v>573</v>
      </c>
      <c r="M1695" s="567"/>
      <c r="N1695" s="567"/>
      <c r="O1695" s="45"/>
      <c r="P1695" s="567"/>
      <c r="Q1695" s="567"/>
      <c r="R1695"/>
      <c r="S1695"/>
      <c r="T1695"/>
    </row>
    <row r="1696" spans="1:41" s="935" customFormat="1" ht="13.2">
      <c r="A1696"/>
      <c r="B1696" s="927"/>
      <c r="C1696" s="927" t="s">
        <v>735</v>
      </c>
      <c r="D1696" s="927" t="str">
        <f ca="1">CELL("Address",Elec_Rates!D$64)</f>
        <v>[E25_0465_IH_Retro_Elec4Mech_Est_Rev_A.xlsx]Elec_Rates!$D$64</v>
      </c>
      <c r="E1696" s="928"/>
      <c r="F1696" s="928"/>
      <c r="G1696" s="929" t="s">
        <v>736</v>
      </c>
      <c r="H1696" s="929"/>
      <c r="I1696" s="929"/>
      <c r="J1696" s="929"/>
      <c r="K1696" s="930"/>
      <c r="L1696" s="928"/>
      <c r="M1696" s="928"/>
      <c r="N1696" s="928"/>
      <c r="O1696" s="931"/>
      <c r="P1696" s="928"/>
      <c r="Q1696" s="932"/>
      <c r="R1696" s="933"/>
      <c r="S1696" s="932"/>
      <c r="T1696" s="560"/>
      <c r="U1696" s="934"/>
    </row>
    <row r="1697" spans="1:41" s="935" customFormat="1" ht="11.4">
      <c r="A1697" s="936">
        <v>1</v>
      </c>
      <c r="B1697" s="937">
        <v>1</v>
      </c>
      <c r="C1697" s="937">
        <f>$A1697*$B1697</f>
        <v>1</v>
      </c>
      <c r="D1697" s="938" t="str">
        <f>Elec_Rates!$D$64</f>
        <v>006# Connecting up of 11.0/18.0 kW 400Volt motor (VFD)</v>
      </c>
      <c r="E1697" s="938"/>
      <c r="F1697" s="938" t="s">
        <v>737</v>
      </c>
      <c r="G1697" s="939" t="s">
        <v>738</v>
      </c>
      <c r="H1697" s="939"/>
      <c r="I1697" s="939"/>
      <c r="J1697" s="939"/>
      <c r="K1697" s="940"/>
      <c r="L1697" s="934"/>
      <c r="M1697" s="934"/>
      <c r="N1697" s="934"/>
      <c r="O1697" s="941"/>
      <c r="P1697" s="938"/>
      <c r="Q1697" s="942">
        <f ca="1">$B1697*Elec_Rates!$R$64</f>
        <v>10.66</v>
      </c>
      <c r="R1697" s="933">
        <f ca="1">$A1697*Q1697</f>
        <v>10.66</v>
      </c>
      <c r="S1697" s="942">
        <f ca="1">$B1697*Elec_Rates!$T$64</f>
        <v>1.28</v>
      </c>
      <c r="T1697" s="560">
        <f ca="1">$A1697*S1697</f>
        <v>1.28</v>
      </c>
      <c r="U1697" s="484"/>
    </row>
    <row r="1698" spans="1:41" s="501" customFormat="1" ht="14.4" customHeight="1">
      <c r="A1698" s="767"/>
      <c r="B1698" s="567"/>
      <c r="C1698" s="567"/>
      <c r="D1698" s="567"/>
      <c r="E1698" s="567"/>
      <c r="F1698" s="567"/>
      <c r="G1698" s="567"/>
      <c r="H1698" s="764"/>
      <c r="I1698" s="567"/>
      <c r="J1698" s="45"/>
      <c r="K1698" s="769"/>
      <c r="L1698" s="770"/>
      <c r="M1698" s="567"/>
      <c r="N1698" s="567"/>
      <c r="O1698" s="45"/>
      <c r="P1698" s="567"/>
      <c r="Q1698" s="567"/>
      <c r="R1698" s="771">
        <f>$A1698*Q1698</f>
        <v>0</v>
      </c>
      <c r="S1698" s="567"/>
      <c r="T1698" s="500">
        <f>$A1698*S1698*$T$1</f>
        <v>0</v>
      </c>
    </row>
    <row r="1699" spans="1:41" s="501" customFormat="1" ht="12">
      <c r="A1699" s="772" t="s">
        <v>145</v>
      </c>
      <c r="B1699" s="773">
        <f>(R1698+T1698)</f>
        <v>0</v>
      </c>
      <c r="C1699" s="753"/>
      <c r="G1699" s="774"/>
      <c r="H1699" s="774"/>
      <c r="I1699" s="774"/>
      <c r="J1699" s="774"/>
      <c r="K1699" s="750" t="s">
        <v>3</v>
      </c>
      <c r="L1699" s="775" t="s">
        <v>573</v>
      </c>
      <c r="M1699" s="774"/>
      <c r="N1699" s="774"/>
      <c r="O1699" s="774"/>
      <c r="P1699" s="774"/>
      <c r="Q1699" s="776"/>
      <c r="R1699" s="777">
        <f ca="1">SUM(R1695:R1698)</f>
        <v>10.66</v>
      </c>
      <c r="S1699" s="778"/>
      <c r="T1699" s="777">
        <f ca="1">SUM(T1695:T1698)</f>
        <v>1.28</v>
      </c>
      <c r="AG1699" s="779">
        <f ca="1">ROUND($R1699*$S$2,2)</f>
        <v>14.39</v>
      </c>
    </row>
    <row r="1700" spans="1:41" s="501" customFormat="1" ht="12" customHeight="1">
      <c r="A1700" s="760"/>
      <c r="B1700" s="780"/>
      <c r="C1700" s="781"/>
      <c r="D1700" s="782" t="str">
        <f>$F$3</f>
        <v>Technician</v>
      </c>
      <c r="E1700" s="782">
        <f>ROUND(($R1704*$S$3 + ($T1704*$T$3)), 2)</f>
        <v>0</v>
      </c>
      <c r="F1700" s="783">
        <f>$E1700*$C$12</f>
        <v>0</v>
      </c>
      <c r="G1700" s="499"/>
      <c r="H1700" s="499"/>
      <c r="I1700" s="499"/>
      <c r="J1700" s="499"/>
      <c r="K1700" s="765" t="s">
        <v>5</v>
      </c>
      <c r="L1700" s="766" t="s">
        <v>573</v>
      </c>
      <c r="M1700" s="499"/>
      <c r="N1700" s="499"/>
      <c r="O1700" s="499"/>
      <c r="P1700" s="499"/>
      <c r="Q1700" s="499"/>
      <c r="R1700" s="784"/>
      <c r="S1700" s="499"/>
      <c r="T1700" s="784"/>
    </row>
    <row r="1701" spans="1:41" s="797" customFormat="1" ht="15.6" customHeight="1">
      <c r="A1701" s="785"/>
      <c r="B1701" s="768" t="s">
        <v>575</v>
      </c>
      <c r="C1701" s="786"/>
      <c r="D1701" s="787"/>
      <c r="E1701" s="787"/>
      <c r="F1701" s="787"/>
      <c r="G1701" s="788"/>
      <c r="H1701" s="789"/>
      <c r="I1701" s="789"/>
      <c r="J1701" s="790"/>
      <c r="K1701" s="791"/>
      <c r="L1701" s="786"/>
      <c r="M1701" s="792"/>
      <c r="N1701" s="793"/>
      <c r="O1701" s="794"/>
      <c r="P1701" s="795"/>
      <c r="Q1701" s="796"/>
      <c r="R1701" s="771">
        <f>$A1701*Q1701</f>
        <v>0</v>
      </c>
      <c r="S1701" s="567"/>
      <c r="T1701" s="500">
        <f>$A1701*S1701*$T$1</f>
        <v>0</v>
      </c>
    </row>
    <row r="1702" spans="1:41" s="501" customFormat="1" ht="15.6" customHeight="1">
      <c r="A1702" s="767"/>
      <c r="B1702" s="567"/>
      <c r="C1702" s="567"/>
      <c r="D1702" s="567"/>
      <c r="E1702" s="567"/>
      <c r="F1702" s="567"/>
      <c r="G1702" s="567"/>
      <c r="H1702" s="567"/>
      <c r="I1702" s="567"/>
      <c r="J1702" s="567"/>
      <c r="K1702" s="567"/>
      <c r="L1702" s="770"/>
      <c r="M1702" s="567"/>
      <c r="N1702" s="567"/>
      <c r="O1702" s="567"/>
      <c r="P1702" s="567"/>
      <c r="Q1702" s="567"/>
      <c r="R1702" s="771">
        <f>$A1702*Q1702</f>
        <v>0</v>
      </c>
      <c r="S1702" s="567"/>
      <c r="T1702" s="500">
        <f>$A1702*S1702*$T$1</f>
        <v>0</v>
      </c>
    </row>
    <row r="1703" spans="1:41" s="501" customFormat="1" ht="15.6" customHeight="1">
      <c r="A1703" s="767"/>
      <c r="B1703" s="567"/>
      <c r="C1703" s="567"/>
      <c r="D1703" s="3"/>
      <c r="E1703" s="567"/>
      <c r="F1703" s="567"/>
      <c r="G1703" s="567"/>
      <c r="H1703" s="567"/>
      <c r="I1703" s="567"/>
      <c r="J1703" s="567"/>
      <c r="K1703" s="567"/>
      <c r="L1703" s="770"/>
      <c r="M1703" s="567"/>
      <c r="N1703" s="567"/>
      <c r="O1703" s="567"/>
      <c r="P1703" s="567"/>
      <c r="Q1703" s="567"/>
      <c r="R1703" s="771">
        <f>$A1703*Q1703</f>
        <v>0</v>
      </c>
      <c r="S1703" s="567"/>
      <c r="T1703" s="500">
        <f>$A1703*S1703*$T$1</f>
        <v>0</v>
      </c>
    </row>
    <row r="1704" spans="1:41" s="501" customFormat="1" ht="12">
      <c r="A1704" s="772" t="s">
        <v>145</v>
      </c>
      <c r="B1704" s="773">
        <f>(R1703+T1703)</f>
        <v>0</v>
      </c>
      <c r="C1704" s="753"/>
      <c r="G1704" s="774"/>
      <c r="H1704" s="774"/>
      <c r="I1704" s="774"/>
      <c r="J1704" s="774"/>
      <c r="K1704" s="798" t="s">
        <v>5</v>
      </c>
      <c r="L1704" s="775" t="s">
        <v>573</v>
      </c>
      <c r="M1704" s="774"/>
      <c r="N1704" s="774"/>
      <c r="O1704" s="774"/>
      <c r="P1704" s="774"/>
      <c r="Q1704" s="776"/>
      <c r="R1704" s="777">
        <f>SUM(R1700:R1703)</f>
        <v>0</v>
      </c>
      <c r="S1704" s="778"/>
      <c r="T1704" s="777">
        <f>SUM(T1700:T1703)</f>
        <v>0</v>
      </c>
      <c r="AG1704" s="799">
        <f>ROUND($R1704*$S$3,2)</f>
        <v>0</v>
      </c>
    </row>
    <row r="1705" spans="1:41" s="501" customFormat="1" ht="12" customHeight="1">
      <c r="A1705" s="800"/>
      <c r="B1705" s="801"/>
      <c r="C1705" s="802"/>
      <c r="D1705" s="803" t="str">
        <f>$F$4</f>
        <v>Engineer (Man Hours)</v>
      </c>
      <c r="E1705" s="803">
        <f>ROUND(($R1709*$S$4 + ($T1709*$T$4)), 2)</f>
        <v>0</v>
      </c>
      <c r="F1705" s="804">
        <f ca="1">$F1692-SUMIF($L1694:$P1702,"SUBI",$F1694:$F1702)</f>
        <v>0</v>
      </c>
      <c r="G1705" s="499"/>
      <c r="H1705" s="499"/>
      <c r="I1705" s="499"/>
      <c r="J1705" s="499"/>
      <c r="K1705" s="805" t="s">
        <v>8</v>
      </c>
      <c r="L1705" s="766" t="s">
        <v>573</v>
      </c>
      <c r="M1705" s="499"/>
      <c r="N1705" s="499"/>
      <c r="O1705" s="499"/>
      <c r="P1705" s="499"/>
      <c r="Q1705" s="499"/>
      <c r="R1705" s="784"/>
      <c r="S1705" s="499"/>
      <c r="T1705" s="784"/>
    </row>
    <row r="1706" spans="1:41" s="797" customFormat="1" ht="14.4" customHeight="1">
      <c r="A1706" s="785"/>
      <c r="B1706" s="768" t="s">
        <v>576</v>
      </c>
      <c r="C1706" s="786"/>
      <c r="D1706" s="787"/>
      <c r="E1706" s="787"/>
      <c r="F1706" s="787"/>
      <c r="G1706" s="788"/>
      <c r="H1706" s="789"/>
      <c r="I1706" s="789"/>
      <c r="J1706" s="790"/>
      <c r="K1706" s="791"/>
      <c r="L1706" s="786"/>
      <c r="M1706" s="792"/>
      <c r="N1706" s="793"/>
      <c r="O1706" s="806"/>
      <c r="P1706" s="795"/>
      <c r="Q1706" s="796"/>
      <c r="R1706" s="720">
        <f>$A1706*Q1706</f>
        <v>0</v>
      </c>
      <c r="S1706" s="796"/>
      <c r="T1706" s="500">
        <f>$A1706*S1706*$T$1</f>
        <v>0</v>
      </c>
    </row>
    <row r="1707" spans="1:41" s="501" customFormat="1" ht="12">
      <c r="A1707" s="44"/>
      <c r="B1707" s="497"/>
      <c r="C1707" s="497"/>
      <c r="D1707" s="807"/>
      <c r="E1707" s="808"/>
      <c r="F1707" s="499"/>
      <c r="G1707" s="499"/>
      <c r="H1707" s="499"/>
      <c r="I1707" s="499"/>
      <c r="J1707" s="499"/>
      <c r="K1707" s="499"/>
      <c r="L1707" s="809"/>
      <c r="M1707" s="499"/>
      <c r="N1707" s="499"/>
      <c r="O1707" s="499"/>
      <c r="P1707" s="499"/>
      <c r="Q1707" s="499"/>
      <c r="R1707" s="720">
        <f>$A1707*Q1707</f>
        <v>0</v>
      </c>
      <c r="S1707" s="499"/>
      <c r="T1707" s="500">
        <f>$A1707*S1707*$T$1</f>
        <v>0</v>
      </c>
    </row>
    <row r="1708" spans="1:41" s="501" customFormat="1" ht="12">
      <c r="A1708" s="44"/>
      <c r="B1708" s="497"/>
      <c r="C1708" s="497"/>
      <c r="D1708" s="807"/>
      <c r="E1708" s="808"/>
      <c r="F1708" s="499"/>
      <c r="G1708" s="499"/>
      <c r="H1708" s="499"/>
      <c r="I1708" s="499"/>
      <c r="J1708" s="499"/>
      <c r="K1708" s="499"/>
      <c r="L1708" s="809"/>
      <c r="M1708" s="499"/>
      <c r="N1708" s="499"/>
      <c r="O1708" s="499"/>
      <c r="P1708" s="499"/>
      <c r="Q1708" s="499"/>
      <c r="R1708" s="720">
        <f>$A1708*Q1708</f>
        <v>0</v>
      </c>
      <c r="S1708" s="499"/>
      <c r="T1708" s="500">
        <f>$A1708*S1708*$T$1</f>
        <v>0</v>
      </c>
    </row>
    <row r="1709" spans="1:41" s="501" customFormat="1" ht="12.75" customHeight="1">
      <c r="A1709" s="772" t="s">
        <v>145</v>
      </c>
      <c r="B1709" s="773">
        <f>(R1708+T1708)</f>
        <v>0</v>
      </c>
      <c r="C1709" s="810"/>
      <c r="D1709" s="810"/>
      <c r="E1709" s="810"/>
      <c r="F1709" s="810"/>
      <c r="G1709" s="776"/>
      <c r="H1709" s="776"/>
      <c r="I1709" s="776"/>
      <c r="J1709" s="776"/>
      <c r="K1709" s="798" t="s">
        <v>8</v>
      </c>
      <c r="L1709" s="811" t="s">
        <v>573</v>
      </c>
      <c r="M1709" s="776"/>
      <c r="N1709" s="776"/>
      <c r="O1709" s="776"/>
      <c r="P1709" s="776"/>
      <c r="Q1709" s="776"/>
      <c r="R1709" s="777">
        <f>SUM(R1705:R1708)</f>
        <v>0</v>
      </c>
      <c r="S1709" s="778"/>
      <c r="T1709" s="777">
        <f>SUM(T1705:T1708)</f>
        <v>0</v>
      </c>
      <c r="AG1709" s="812">
        <f>ROUND($R1709*$S$4,2)</f>
        <v>0</v>
      </c>
    </row>
    <row r="1710" spans="1:41" s="501" customFormat="1" ht="12.75" customHeight="1">
      <c r="A1710" s="813"/>
      <c r="B1710" s="814"/>
      <c r="E1710" s="497"/>
      <c r="F1710" s="808"/>
      <c r="G1710" s="497"/>
      <c r="H1710" s="497"/>
      <c r="I1710" s="499"/>
      <c r="J1710" s="497"/>
      <c r="K1710" s="497"/>
      <c r="L1710" s="815"/>
      <c r="M1710" s="725"/>
      <c r="N1710" s="725"/>
      <c r="O1710" s="725"/>
      <c r="P1710" s="725"/>
      <c r="Q1710" s="726"/>
      <c r="R1710" s="784"/>
      <c r="S1710" s="497"/>
      <c r="T1710" s="784"/>
    </row>
    <row r="1711" spans="1:41" s="501" customFormat="1" ht="13.5" customHeight="1" thickBot="1">
      <c r="A1711" s="816"/>
      <c r="B1711" s="817"/>
      <c r="C1711" s="518"/>
      <c r="D1711" s="518"/>
      <c r="E1711" s="515"/>
      <c r="F1711" s="721"/>
      <c r="G1711" s="515" t="s">
        <v>146</v>
      </c>
      <c r="H1711" s="515"/>
      <c r="I1711" s="516"/>
      <c r="J1711" s="515"/>
      <c r="K1711" s="515"/>
      <c r="L1711" s="818" t="s">
        <v>143</v>
      </c>
      <c r="M1711" s="517"/>
      <c r="N1711" s="517"/>
      <c r="O1711" s="517"/>
      <c r="P1711" s="517"/>
      <c r="Q1711" s="722"/>
      <c r="R1711" s="819">
        <f ca="1">SUMIF($L1693:$L1710,"SUBI",R1693:R1710)</f>
        <v>10.66</v>
      </c>
      <c r="S1711" s="820"/>
      <c r="T1711" s="819">
        <f ca="1">SUMIF($L1693:$L1710,"SUBI",T1693:T1710)</f>
        <v>1.28</v>
      </c>
      <c r="U1711" s="518"/>
      <c r="V1711" s="518"/>
      <c r="W1711" s="518"/>
      <c r="X1711" s="518"/>
      <c r="Y1711" s="518"/>
      <c r="Z1711" s="518"/>
      <c r="AA1711" s="518"/>
      <c r="AB1711" s="518"/>
      <c r="AC1711" s="518"/>
      <c r="AD1711" s="518"/>
      <c r="AE1711" s="518"/>
      <c r="AF1711" s="518"/>
      <c r="AG1711" s="518"/>
      <c r="AH1711" s="518"/>
      <c r="AI1711" s="518"/>
      <c r="AJ1711" s="518"/>
      <c r="AK1711" s="518"/>
      <c r="AL1711" s="518"/>
      <c r="AM1711" s="518"/>
      <c r="AN1711" s="518"/>
      <c r="AO1711" s="518"/>
    </row>
    <row r="1712" spans="1:41" s="501" customFormat="1" thickTop="1">
      <c r="A1712" s="44"/>
      <c r="B1712" s="39"/>
      <c r="C1712" s="44"/>
      <c r="E1712" s="40" t="s">
        <v>138</v>
      </c>
      <c r="F1712" s="40" t="s">
        <v>139</v>
      </c>
      <c r="G1712" s="44"/>
      <c r="H1712" s="44"/>
      <c r="I1712" s="44"/>
      <c r="J1712" s="44"/>
      <c r="K1712" s="44" t="s">
        <v>140</v>
      </c>
      <c r="L1712" s="737"/>
      <c r="M1712" s="44"/>
      <c r="N1712" s="44"/>
      <c r="O1712" s="45"/>
      <c r="P1712" s="44"/>
      <c r="Q1712"/>
      <c r="R1712"/>
      <c r="S1712"/>
      <c r="T1712" s="39"/>
      <c r="AG1712" s="502" t="s">
        <v>247</v>
      </c>
      <c r="AH1712" s="502" t="s">
        <v>248</v>
      </c>
      <c r="AI1712" s="502" t="s">
        <v>249</v>
      </c>
      <c r="AJ1712" s="502" t="s">
        <v>250</v>
      </c>
      <c r="AK1712" s="502" t="s">
        <v>251</v>
      </c>
      <c r="AM1712" s="710" t="s">
        <v>260</v>
      </c>
      <c r="AN1712" s="711" t="s">
        <v>261</v>
      </c>
      <c r="AO1712" s="503" t="s">
        <v>257</v>
      </c>
    </row>
    <row r="1713" spans="1:41" s="501" customFormat="1" ht="13.2">
      <c r="A1713" s="712">
        <v>1</v>
      </c>
      <c r="B1713" s="504" t="s">
        <v>283</v>
      </c>
      <c r="C1713" s="505"/>
      <c r="D1713" s="713" t="s">
        <v>586</v>
      </c>
      <c r="E1713" s="738">
        <f ca="1">IF(AND($A1713=0,$A$1="DIF"),0,ROUND(ROUND(SUMIF($L1715:$L1726,"SUBI",$E1715:$E1726)/$A1713,2)*$C$12,2))</f>
        <v>61.84</v>
      </c>
      <c r="F1713" s="739">
        <f ca="1">ROUND($A1713*$E1713,2)</f>
        <v>61.84</v>
      </c>
      <c r="G1713" s="506" t="s">
        <v>142</v>
      </c>
      <c r="H1713" s="498"/>
      <c r="I1713" s="716"/>
      <c r="J1713" s="498"/>
      <c r="K1713" s="740"/>
      <c r="L1713" s="741" t="s">
        <v>143</v>
      </c>
      <c r="M1713" s="717"/>
      <c r="N1713" s="717"/>
      <c r="O1713" s="717"/>
      <c r="P1713" s="717"/>
      <c r="Q1713" s="943" t="s">
        <v>855</v>
      </c>
      <c r="R1713" s="943" t="s">
        <v>870</v>
      </c>
      <c r="S1713"/>
      <c r="T1713" s="742" t="str">
        <f ca="1">IF(AND($R1732=0,$T1732=0),"0.00","mu :" &amp; ROUND($F1713/$C$12/($R1732+$T1732*$D$9),2))</f>
        <v>mu :1.35</v>
      </c>
      <c r="W1713" s="507"/>
      <c r="AG1713" s="743">
        <f ca="1">IF(A1713=0,0,ROUND(SUM(AG1715:AG1732)/A1713,2))</f>
        <v>14.39</v>
      </c>
      <c r="AH1713" s="743">
        <f ca="1">$AG1713*$A1713</f>
        <v>14.39</v>
      </c>
      <c r="AI1713" s="743">
        <f ca="1">$E1713-$AG1713</f>
        <v>47.45</v>
      </c>
      <c r="AJ1713" s="743">
        <f ca="1">$A1713*$AI1713</f>
        <v>47.45</v>
      </c>
      <c r="AK1713" s="744">
        <f ca="1">ROUND(($AG1713+$AI1713)*$A1713,2)</f>
        <v>61.84</v>
      </c>
      <c r="AM1713" s="510">
        <f ca="1">ROUND(R1732,2)</f>
        <v>10.66</v>
      </c>
      <c r="AN1713" s="511">
        <f ca="1">ROUND(T1732,2)</f>
        <v>1.28</v>
      </c>
      <c r="AO1713" s="512">
        <f ca="1">ROUND(AM1713+AN1713,2)*A1713</f>
        <v>11.94</v>
      </c>
    </row>
    <row r="1714" spans="1:41" s="501" customFormat="1" ht="21.6" customHeight="1">
      <c r="A1714" s="745"/>
      <c r="B1714" s="746"/>
      <c r="C1714" s="505"/>
      <c r="D1714" s="724" t="s">
        <v>437</v>
      </c>
      <c r="F1714" s="498"/>
      <c r="G1714" s="498"/>
      <c r="H1714" s="498"/>
      <c r="I1714" s="716"/>
      <c r="J1714" s="498"/>
      <c r="K1714" s="498" t="s">
        <v>144</v>
      </c>
      <c r="L1714" s="747"/>
      <c r="M1714" s="498"/>
      <c r="N1714" s="498"/>
      <c r="O1714" s="498"/>
      <c r="P1714" s="498"/>
      <c r="Q1714" s="44"/>
      <c r="R1714" s="567"/>
      <c r="S1714" s="719"/>
      <c r="T1714" s="498"/>
    </row>
    <row r="1715" spans="1:41" s="501" customFormat="1" ht="12">
      <c r="A1715" s="748"/>
      <c r="B1715" s="749"/>
      <c r="C1715" s="497"/>
      <c r="D1715" s="750"/>
      <c r="E1715" s="751">
        <f ca="1">F1713/$C$12-SUMIF($L1712:$L1732,"SUBI",$E1712:$E1732)</f>
        <v>0</v>
      </c>
      <c r="F1715" s="752" t="s">
        <v>572</v>
      </c>
      <c r="G1715" s="753"/>
      <c r="H1715" s="753"/>
      <c r="I1715" s="754"/>
      <c r="J1715" s="753"/>
      <c r="K1715" s="753"/>
      <c r="L1715" s="755"/>
      <c r="M1715" s="756"/>
      <c r="N1715" s="756"/>
      <c r="O1715" s="756"/>
      <c r="P1715" s="756"/>
      <c r="Q1715" s="757"/>
      <c r="R1715" s="758"/>
      <c r="S1715" s="757"/>
      <c r="T1715" s="759"/>
    </row>
    <row r="1716" spans="1:41" s="501" customFormat="1" ht="12" customHeight="1">
      <c r="A1716" s="760"/>
      <c r="B1716" s="761"/>
      <c r="C1716" s="762"/>
      <c r="D1716" s="762" t="str">
        <f>$F$2</f>
        <v>Electrical</v>
      </c>
      <c r="E1716" s="762">
        <f ca="1">ROUND(($R1720*$S$2 + ($T1720*$T$2)), 2)</f>
        <v>61.84</v>
      </c>
      <c r="F1716" s="763">
        <f ca="1">$E1716*$C$12</f>
        <v>61.84</v>
      </c>
      <c r="G1716" s="567"/>
      <c r="H1716" s="764"/>
      <c r="I1716" s="567"/>
      <c r="J1716" s="45"/>
      <c r="K1716" s="765" t="s">
        <v>3</v>
      </c>
      <c r="L1716" s="766" t="s">
        <v>573</v>
      </c>
      <c r="M1716" s="567"/>
      <c r="N1716" s="567"/>
      <c r="O1716" s="45"/>
      <c r="P1716" s="567"/>
      <c r="Q1716" s="567"/>
      <c r="R1716"/>
      <c r="S1716"/>
      <c r="T1716"/>
    </row>
    <row r="1717" spans="1:41" s="935" customFormat="1" ht="13.2">
      <c r="A1717"/>
      <c r="B1717" s="927"/>
      <c r="C1717" s="927" t="s">
        <v>735</v>
      </c>
      <c r="D1717" s="927" t="str">
        <f ca="1">CELL("Address",Elec_Rates!D$64)</f>
        <v>[E25_0465_IH_Retro_Elec4Mech_Est_Rev_A.xlsx]Elec_Rates!$D$64</v>
      </c>
      <c r="E1717" s="928"/>
      <c r="F1717" s="928"/>
      <c r="G1717" s="929" t="s">
        <v>736</v>
      </c>
      <c r="H1717" s="929"/>
      <c r="I1717" s="929"/>
      <c r="J1717" s="929"/>
      <c r="K1717" s="930"/>
      <c r="L1717" s="928"/>
      <c r="M1717" s="928"/>
      <c r="N1717" s="928"/>
      <c r="O1717" s="931"/>
      <c r="P1717" s="928"/>
      <c r="Q1717" s="932"/>
      <c r="R1717" s="933"/>
      <c r="S1717" s="932"/>
      <c r="T1717" s="560"/>
      <c r="U1717" s="934"/>
    </row>
    <row r="1718" spans="1:41" s="935" customFormat="1" ht="11.4">
      <c r="A1718" s="936">
        <v>1</v>
      </c>
      <c r="B1718" s="937">
        <v>1</v>
      </c>
      <c r="C1718" s="937">
        <f>$A1718*$B1718</f>
        <v>1</v>
      </c>
      <c r="D1718" s="938" t="str">
        <f>Elec_Rates!$D$64</f>
        <v>006# Connecting up of 11.0/18.0 kW 400Volt motor (VFD)</v>
      </c>
      <c r="E1718" s="938"/>
      <c r="F1718" s="938" t="s">
        <v>737</v>
      </c>
      <c r="G1718" s="939" t="s">
        <v>738</v>
      </c>
      <c r="H1718" s="939"/>
      <c r="I1718" s="939"/>
      <c r="J1718" s="939"/>
      <c r="K1718" s="940"/>
      <c r="L1718" s="934"/>
      <c r="M1718" s="934"/>
      <c r="N1718" s="934"/>
      <c r="O1718" s="941"/>
      <c r="P1718" s="938"/>
      <c r="Q1718" s="942">
        <f ca="1">$B1718*Elec_Rates!$R$64</f>
        <v>10.66</v>
      </c>
      <c r="R1718" s="933">
        <f ca="1">$A1718*Q1718</f>
        <v>10.66</v>
      </c>
      <c r="S1718" s="942">
        <f ca="1">$B1718*Elec_Rates!$T$64</f>
        <v>1.28</v>
      </c>
      <c r="T1718" s="560">
        <f ca="1">$A1718*S1718</f>
        <v>1.28</v>
      </c>
      <c r="U1718" s="484"/>
    </row>
    <row r="1719" spans="1:41" s="501" customFormat="1" ht="14.4" customHeight="1">
      <c r="A1719" s="767"/>
      <c r="B1719" s="567"/>
      <c r="C1719" s="567"/>
      <c r="D1719" s="567"/>
      <c r="E1719" s="567"/>
      <c r="F1719" s="567"/>
      <c r="G1719" s="567"/>
      <c r="H1719" s="764"/>
      <c r="I1719" s="567"/>
      <c r="J1719" s="45"/>
      <c r="K1719" s="769"/>
      <c r="L1719" s="770"/>
      <c r="M1719" s="567"/>
      <c r="N1719" s="567"/>
      <c r="O1719" s="45"/>
      <c r="P1719" s="567"/>
      <c r="Q1719" s="567"/>
      <c r="R1719" s="771">
        <f>$A1719*Q1719</f>
        <v>0</v>
      </c>
      <c r="S1719" s="567"/>
      <c r="T1719" s="500">
        <f>$A1719*S1719*$T$1</f>
        <v>0</v>
      </c>
    </row>
    <row r="1720" spans="1:41" s="501" customFormat="1" ht="12">
      <c r="A1720" s="772" t="s">
        <v>145</v>
      </c>
      <c r="B1720" s="773">
        <f>(R1719+T1719)</f>
        <v>0</v>
      </c>
      <c r="C1720" s="753"/>
      <c r="G1720" s="774"/>
      <c r="H1720" s="774"/>
      <c r="I1720" s="774"/>
      <c r="J1720" s="774"/>
      <c r="K1720" s="750" t="s">
        <v>3</v>
      </c>
      <c r="L1720" s="775" t="s">
        <v>573</v>
      </c>
      <c r="M1720" s="774"/>
      <c r="N1720" s="774"/>
      <c r="O1720" s="774"/>
      <c r="P1720" s="774"/>
      <c r="Q1720" s="776"/>
      <c r="R1720" s="777">
        <f ca="1">SUM(R1716:R1719)</f>
        <v>10.66</v>
      </c>
      <c r="S1720" s="778"/>
      <c r="T1720" s="777">
        <f ca="1">SUM(T1716:T1719)</f>
        <v>1.28</v>
      </c>
      <c r="AG1720" s="779">
        <f ca="1">ROUND($R1720*$S$2,2)</f>
        <v>14.39</v>
      </c>
    </row>
    <row r="1721" spans="1:41" s="501" customFormat="1" ht="12" customHeight="1">
      <c r="A1721" s="760"/>
      <c r="B1721" s="780"/>
      <c r="C1721" s="781"/>
      <c r="D1721" s="782" t="str">
        <f>$F$3</f>
        <v>Technician</v>
      </c>
      <c r="E1721" s="782">
        <f>ROUND(($R1725*$S$3 + ($T1725*$T$3)), 2)</f>
        <v>0</v>
      </c>
      <c r="F1721" s="783">
        <f>$E1721*$C$12</f>
        <v>0</v>
      </c>
      <c r="G1721" s="499"/>
      <c r="H1721" s="499"/>
      <c r="I1721" s="499"/>
      <c r="J1721" s="499"/>
      <c r="K1721" s="765" t="s">
        <v>5</v>
      </c>
      <c r="L1721" s="766" t="s">
        <v>573</v>
      </c>
      <c r="M1721" s="499"/>
      <c r="N1721" s="499"/>
      <c r="O1721" s="499"/>
      <c r="P1721" s="499"/>
      <c r="Q1721" s="499"/>
      <c r="R1721" s="784"/>
      <c r="S1721" s="499"/>
      <c r="T1721" s="784"/>
    </row>
    <row r="1722" spans="1:41" s="797" customFormat="1" ht="15.6" customHeight="1">
      <c r="A1722" s="785"/>
      <c r="B1722" s="768" t="s">
        <v>575</v>
      </c>
      <c r="C1722" s="786"/>
      <c r="D1722" s="787"/>
      <c r="E1722" s="787"/>
      <c r="F1722" s="787"/>
      <c r="G1722" s="788"/>
      <c r="H1722" s="789"/>
      <c r="I1722" s="789"/>
      <c r="J1722" s="790"/>
      <c r="K1722" s="791"/>
      <c r="L1722" s="786"/>
      <c r="M1722" s="792"/>
      <c r="N1722" s="793"/>
      <c r="O1722" s="794"/>
      <c r="P1722" s="795"/>
      <c r="Q1722" s="796"/>
      <c r="R1722" s="771">
        <f>$A1722*Q1722</f>
        <v>0</v>
      </c>
      <c r="S1722" s="567"/>
      <c r="T1722" s="500">
        <f>$A1722*S1722*$T$1</f>
        <v>0</v>
      </c>
    </row>
    <row r="1723" spans="1:41" s="501" customFormat="1" ht="15.6" customHeight="1">
      <c r="A1723" s="767"/>
      <c r="B1723" s="567"/>
      <c r="C1723" s="567"/>
      <c r="D1723" s="567"/>
      <c r="E1723" s="567"/>
      <c r="F1723" s="567"/>
      <c r="G1723" s="567"/>
      <c r="H1723" s="567"/>
      <c r="I1723" s="567"/>
      <c r="J1723" s="567"/>
      <c r="K1723" s="567"/>
      <c r="L1723" s="770"/>
      <c r="M1723" s="567"/>
      <c r="N1723" s="567"/>
      <c r="O1723" s="567"/>
      <c r="P1723" s="567"/>
      <c r="Q1723" s="567"/>
      <c r="R1723" s="771">
        <f>$A1723*Q1723</f>
        <v>0</v>
      </c>
      <c r="S1723" s="567"/>
      <c r="T1723" s="500">
        <f>$A1723*S1723*$T$1</f>
        <v>0</v>
      </c>
    </row>
    <row r="1724" spans="1:41" s="501" customFormat="1" ht="15.6" customHeight="1">
      <c r="A1724" s="767"/>
      <c r="B1724" s="567"/>
      <c r="C1724" s="567"/>
      <c r="D1724" s="3"/>
      <c r="E1724" s="567"/>
      <c r="F1724" s="567"/>
      <c r="G1724" s="567"/>
      <c r="H1724" s="567"/>
      <c r="I1724" s="567"/>
      <c r="J1724" s="567"/>
      <c r="K1724" s="567"/>
      <c r="L1724" s="770"/>
      <c r="M1724" s="567"/>
      <c r="N1724" s="567"/>
      <c r="O1724" s="567"/>
      <c r="P1724" s="567"/>
      <c r="Q1724" s="567"/>
      <c r="R1724" s="771">
        <f>$A1724*Q1724</f>
        <v>0</v>
      </c>
      <c r="S1724" s="567"/>
      <c r="T1724" s="500">
        <f>$A1724*S1724*$T$1</f>
        <v>0</v>
      </c>
    </row>
    <row r="1725" spans="1:41" s="501" customFormat="1" ht="12">
      <c r="A1725" s="772" t="s">
        <v>145</v>
      </c>
      <c r="B1725" s="773">
        <f>(R1724+T1724)</f>
        <v>0</v>
      </c>
      <c r="C1725" s="753"/>
      <c r="G1725" s="774"/>
      <c r="H1725" s="774"/>
      <c r="I1725" s="774"/>
      <c r="J1725" s="774"/>
      <c r="K1725" s="798" t="s">
        <v>5</v>
      </c>
      <c r="L1725" s="775" t="s">
        <v>573</v>
      </c>
      <c r="M1725" s="774"/>
      <c r="N1725" s="774"/>
      <c r="O1725" s="774"/>
      <c r="P1725" s="774"/>
      <c r="Q1725" s="776"/>
      <c r="R1725" s="777">
        <f>SUM(R1721:R1724)</f>
        <v>0</v>
      </c>
      <c r="S1725" s="778"/>
      <c r="T1725" s="777">
        <f>SUM(T1721:T1724)</f>
        <v>0</v>
      </c>
      <c r="AG1725" s="799">
        <f>ROUND($R1725*$S$3,2)</f>
        <v>0</v>
      </c>
    </row>
    <row r="1726" spans="1:41" s="501" customFormat="1" ht="12" customHeight="1">
      <c r="A1726" s="800"/>
      <c r="B1726" s="801"/>
      <c r="C1726" s="802"/>
      <c r="D1726" s="803" t="str">
        <f>$F$4</f>
        <v>Engineer (Man Hours)</v>
      </c>
      <c r="E1726" s="803">
        <f>ROUND(($R1730*$S$4 + ($T1730*$T$4)), 2)</f>
        <v>0</v>
      </c>
      <c r="F1726" s="804">
        <f ca="1">$F1713-SUMIF($L1715:$P1723,"SUBI",$F1715:$F1723)</f>
        <v>0</v>
      </c>
      <c r="G1726" s="499"/>
      <c r="H1726" s="499"/>
      <c r="I1726" s="499"/>
      <c r="J1726" s="499"/>
      <c r="K1726" s="805" t="s">
        <v>8</v>
      </c>
      <c r="L1726" s="766" t="s">
        <v>573</v>
      </c>
      <c r="M1726" s="499"/>
      <c r="N1726" s="499"/>
      <c r="O1726" s="499"/>
      <c r="P1726" s="499"/>
      <c r="Q1726" s="499"/>
      <c r="R1726" s="784"/>
      <c r="S1726" s="499"/>
      <c r="T1726" s="784"/>
    </row>
    <row r="1727" spans="1:41" s="797" customFormat="1" ht="14.4" customHeight="1">
      <c r="A1727" s="785"/>
      <c r="B1727" s="768" t="s">
        <v>576</v>
      </c>
      <c r="C1727" s="786"/>
      <c r="D1727" s="787"/>
      <c r="E1727" s="787"/>
      <c r="F1727" s="787"/>
      <c r="G1727" s="788"/>
      <c r="H1727" s="789"/>
      <c r="I1727" s="789"/>
      <c r="J1727" s="790"/>
      <c r="K1727" s="791"/>
      <c r="L1727" s="786"/>
      <c r="M1727" s="792"/>
      <c r="N1727" s="793"/>
      <c r="O1727" s="806"/>
      <c r="P1727" s="795"/>
      <c r="Q1727" s="796"/>
      <c r="R1727" s="720">
        <f>$A1727*Q1727</f>
        <v>0</v>
      </c>
      <c r="S1727" s="796"/>
      <c r="T1727" s="500">
        <f>$A1727*S1727*$T$1</f>
        <v>0</v>
      </c>
    </row>
    <row r="1728" spans="1:41" s="501" customFormat="1" ht="12">
      <c r="A1728" s="44"/>
      <c r="B1728" s="497"/>
      <c r="C1728" s="497"/>
      <c r="D1728" s="807"/>
      <c r="E1728" s="808"/>
      <c r="F1728" s="499"/>
      <c r="G1728" s="499"/>
      <c r="H1728" s="499"/>
      <c r="I1728" s="499"/>
      <c r="J1728" s="499"/>
      <c r="K1728" s="499"/>
      <c r="L1728" s="809"/>
      <c r="M1728" s="499"/>
      <c r="N1728" s="499"/>
      <c r="O1728" s="499"/>
      <c r="P1728" s="499"/>
      <c r="Q1728" s="499"/>
      <c r="R1728" s="720">
        <f>$A1728*Q1728</f>
        <v>0</v>
      </c>
      <c r="S1728" s="499"/>
      <c r="T1728" s="500">
        <f>$A1728*S1728*$T$1</f>
        <v>0</v>
      </c>
    </row>
    <row r="1729" spans="1:41" s="501" customFormat="1" ht="12">
      <c r="A1729" s="44"/>
      <c r="B1729" s="497"/>
      <c r="C1729" s="497"/>
      <c r="D1729" s="807"/>
      <c r="E1729" s="808"/>
      <c r="F1729" s="499"/>
      <c r="G1729" s="499"/>
      <c r="H1729" s="499"/>
      <c r="I1729" s="499"/>
      <c r="J1729" s="499"/>
      <c r="K1729" s="499"/>
      <c r="L1729" s="809"/>
      <c r="M1729" s="499"/>
      <c r="N1729" s="499"/>
      <c r="O1729" s="499"/>
      <c r="P1729" s="499"/>
      <c r="Q1729" s="499"/>
      <c r="R1729" s="720">
        <f>$A1729*Q1729</f>
        <v>0</v>
      </c>
      <c r="S1729" s="499"/>
      <c r="T1729" s="500">
        <f>$A1729*S1729*$T$1</f>
        <v>0</v>
      </c>
    </row>
    <row r="1730" spans="1:41" s="501" customFormat="1" ht="12.75" customHeight="1">
      <c r="A1730" s="772" t="s">
        <v>145</v>
      </c>
      <c r="B1730" s="773">
        <f>(R1729+T1729)</f>
        <v>0</v>
      </c>
      <c r="C1730" s="810"/>
      <c r="D1730" s="810"/>
      <c r="E1730" s="810"/>
      <c r="F1730" s="810"/>
      <c r="G1730" s="776"/>
      <c r="H1730" s="776"/>
      <c r="I1730" s="776"/>
      <c r="J1730" s="776"/>
      <c r="K1730" s="798" t="s">
        <v>8</v>
      </c>
      <c r="L1730" s="811" t="s">
        <v>573</v>
      </c>
      <c r="M1730" s="776"/>
      <c r="N1730" s="776"/>
      <c r="O1730" s="776"/>
      <c r="P1730" s="776"/>
      <c r="Q1730" s="776"/>
      <c r="R1730" s="777">
        <f>SUM(R1726:R1729)</f>
        <v>0</v>
      </c>
      <c r="S1730" s="778"/>
      <c r="T1730" s="777">
        <f>SUM(T1726:T1729)</f>
        <v>0</v>
      </c>
      <c r="AG1730" s="812">
        <f>ROUND($R1730*$S$4,2)</f>
        <v>0</v>
      </c>
    </row>
    <row r="1731" spans="1:41" s="501" customFormat="1" ht="12.75" customHeight="1">
      <c r="A1731" s="813"/>
      <c r="B1731" s="814"/>
      <c r="E1731" s="497"/>
      <c r="F1731" s="808"/>
      <c r="G1731" s="497"/>
      <c r="H1731" s="497"/>
      <c r="I1731" s="499"/>
      <c r="J1731" s="497"/>
      <c r="K1731" s="497"/>
      <c r="L1731" s="815"/>
      <c r="M1731" s="725"/>
      <c r="N1731" s="725"/>
      <c r="O1731" s="725"/>
      <c r="P1731" s="725"/>
      <c r="Q1731" s="726"/>
      <c r="R1731" s="784"/>
      <c r="S1731" s="497"/>
      <c r="T1731" s="784"/>
    </row>
    <row r="1732" spans="1:41" s="501" customFormat="1" ht="13.5" customHeight="1" thickBot="1">
      <c r="A1732" s="816"/>
      <c r="B1732" s="817"/>
      <c r="C1732" s="518"/>
      <c r="D1732" s="518"/>
      <c r="E1732" s="515"/>
      <c r="F1732" s="721"/>
      <c r="G1732" s="515" t="s">
        <v>146</v>
      </c>
      <c r="H1732" s="515"/>
      <c r="I1732" s="516"/>
      <c r="J1732" s="515"/>
      <c r="K1732" s="515"/>
      <c r="L1732" s="818" t="s">
        <v>143</v>
      </c>
      <c r="M1732" s="517"/>
      <c r="N1732" s="517"/>
      <c r="O1732" s="517"/>
      <c r="P1732" s="517"/>
      <c r="Q1732" s="722"/>
      <c r="R1732" s="819">
        <f ca="1">SUMIF($L1714:$L1731,"SUBI",R1714:R1731)</f>
        <v>10.66</v>
      </c>
      <c r="S1732" s="820"/>
      <c r="T1732" s="819">
        <f ca="1">SUMIF($L1714:$L1731,"SUBI",T1714:T1731)</f>
        <v>1.28</v>
      </c>
      <c r="U1732" s="518"/>
      <c r="V1732" s="518"/>
      <c r="W1732" s="518"/>
      <c r="X1732" s="518"/>
      <c r="Y1732" s="518"/>
      <c r="Z1732" s="518"/>
      <c r="AA1732" s="518"/>
      <c r="AB1732" s="518"/>
      <c r="AC1732" s="518"/>
      <c r="AD1732" s="518"/>
      <c r="AE1732" s="518"/>
      <c r="AF1732" s="518"/>
      <c r="AG1732" s="518"/>
      <c r="AH1732" s="518"/>
      <c r="AI1732" s="518"/>
      <c r="AJ1732" s="518"/>
      <c r="AK1732" s="518"/>
      <c r="AL1732" s="518"/>
      <c r="AM1732" s="518"/>
      <c r="AN1732" s="518"/>
      <c r="AO1732" s="518"/>
    </row>
    <row r="1733" spans="1:41" s="501" customFormat="1" thickTop="1">
      <c r="A1733" s="44"/>
      <c r="B1733" s="39"/>
      <c r="C1733" s="44"/>
      <c r="E1733" s="40" t="s">
        <v>138</v>
      </c>
      <c r="F1733" s="40" t="s">
        <v>139</v>
      </c>
      <c r="G1733" s="44"/>
      <c r="H1733" s="44"/>
      <c r="I1733" s="44"/>
      <c r="J1733" s="44"/>
      <c r="K1733" s="44" t="s">
        <v>140</v>
      </c>
      <c r="L1733" s="737"/>
      <c r="M1733" s="44"/>
      <c r="N1733" s="44"/>
      <c r="O1733" s="45"/>
      <c r="P1733" s="44"/>
      <c r="Q1733"/>
      <c r="R1733"/>
      <c r="S1733"/>
      <c r="T1733" s="39"/>
      <c r="AG1733" s="502" t="s">
        <v>247</v>
      </c>
      <c r="AH1733" s="502" t="s">
        <v>248</v>
      </c>
      <c r="AI1733" s="502" t="s">
        <v>249</v>
      </c>
      <c r="AJ1733" s="502" t="s">
        <v>250</v>
      </c>
      <c r="AK1733" s="502" t="s">
        <v>251</v>
      </c>
      <c r="AM1733" s="710" t="s">
        <v>260</v>
      </c>
      <c r="AN1733" s="711" t="s">
        <v>261</v>
      </c>
      <c r="AO1733" s="503" t="s">
        <v>257</v>
      </c>
    </row>
    <row r="1734" spans="1:41" s="501" customFormat="1" ht="13.2">
      <c r="A1734" s="712">
        <v>1</v>
      </c>
      <c r="B1734" s="504" t="s">
        <v>283</v>
      </c>
      <c r="C1734" s="505"/>
      <c r="D1734" s="713" t="s">
        <v>592</v>
      </c>
      <c r="E1734" s="738">
        <f ca="1">IF(AND($A1734=0,$A$1="DIF"),0,ROUND(ROUND(SUMIF($L1736:$L1747,"SUBI",$E1736:$E1747)/$A1734,2)*$C$12,2))</f>
        <v>61.84</v>
      </c>
      <c r="F1734" s="739">
        <f ca="1">ROUND($A1734*$E1734,2)</f>
        <v>61.84</v>
      </c>
      <c r="G1734" s="506" t="s">
        <v>142</v>
      </c>
      <c r="H1734" s="498"/>
      <c r="I1734" s="716"/>
      <c r="J1734" s="498"/>
      <c r="K1734" s="740"/>
      <c r="L1734" s="741" t="s">
        <v>143</v>
      </c>
      <c r="M1734" s="717"/>
      <c r="N1734" s="717"/>
      <c r="O1734" s="717"/>
      <c r="P1734" s="717"/>
      <c r="Q1734" s="943" t="s">
        <v>855</v>
      </c>
      <c r="R1734" s="943" t="s">
        <v>870</v>
      </c>
      <c r="S1734"/>
      <c r="T1734" s="742" t="str">
        <f ca="1">IF(AND($R1753=0,$T1753=0),"0.00","mu :" &amp; ROUND($F1734/$C$12/($R1753+$T1753*$D$9),2))</f>
        <v>mu :1.35</v>
      </c>
      <c r="W1734" s="507"/>
      <c r="AG1734" s="743">
        <f ca="1">IF(A1734=0,0,ROUND(SUM(AG1736:AG1753)/A1734,2))</f>
        <v>14.39</v>
      </c>
      <c r="AH1734" s="743">
        <f ca="1">$AG1734*$A1734</f>
        <v>14.39</v>
      </c>
      <c r="AI1734" s="743">
        <f ca="1">$E1734-$AG1734</f>
        <v>47.45</v>
      </c>
      <c r="AJ1734" s="743">
        <f ca="1">$A1734*$AI1734</f>
        <v>47.45</v>
      </c>
      <c r="AK1734" s="744">
        <f ca="1">ROUND(($AG1734+$AI1734)*$A1734,2)</f>
        <v>61.84</v>
      </c>
      <c r="AM1734" s="510">
        <f ca="1">ROUND(R1753,2)</f>
        <v>10.66</v>
      </c>
      <c r="AN1734" s="511">
        <f ca="1">ROUND(T1753,2)</f>
        <v>1.28</v>
      </c>
      <c r="AO1734" s="512">
        <f ca="1">ROUND(AM1734+AN1734,2)*A1734</f>
        <v>11.94</v>
      </c>
    </row>
    <row r="1735" spans="1:41" s="501" customFormat="1" ht="21.6" customHeight="1">
      <c r="A1735" s="745"/>
      <c r="B1735" s="746"/>
      <c r="C1735" s="505"/>
      <c r="D1735" s="724" t="s">
        <v>438</v>
      </c>
      <c r="F1735" s="498"/>
      <c r="G1735" s="498"/>
      <c r="H1735" s="498"/>
      <c r="I1735" s="716"/>
      <c r="J1735" s="498"/>
      <c r="K1735" s="498" t="s">
        <v>144</v>
      </c>
      <c r="L1735" s="747"/>
      <c r="M1735" s="498"/>
      <c r="N1735" s="498"/>
      <c r="O1735" s="498"/>
      <c r="P1735" s="498"/>
      <c r="Q1735" s="44"/>
      <c r="R1735" s="567"/>
      <c r="S1735" s="719"/>
      <c r="T1735" s="498"/>
    </row>
    <row r="1736" spans="1:41" s="501" customFormat="1" ht="12">
      <c r="A1736" s="748"/>
      <c r="B1736" s="749"/>
      <c r="C1736" s="497"/>
      <c r="D1736" s="750"/>
      <c r="E1736" s="751">
        <f ca="1">F1734/$C$12-SUMIF($L1733:$L1753,"SUBI",$E1733:$E1753)</f>
        <v>0</v>
      </c>
      <c r="F1736" s="752" t="s">
        <v>572</v>
      </c>
      <c r="G1736" s="753"/>
      <c r="H1736" s="753"/>
      <c r="I1736" s="754"/>
      <c r="J1736" s="753"/>
      <c r="K1736" s="753"/>
      <c r="L1736" s="755"/>
      <c r="M1736" s="756"/>
      <c r="N1736" s="756"/>
      <c r="O1736" s="756"/>
      <c r="P1736" s="756"/>
      <c r="Q1736" s="757"/>
      <c r="R1736" s="758"/>
      <c r="S1736" s="757"/>
      <c r="T1736" s="759"/>
    </row>
    <row r="1737" spans="1:41" s="501" customFormat="1" ht="12" customHeight="1">
      <c r="A1737" s="760"/>
      <c r="B1737" s="761"/>
      <c r="C1737" s="762"/>
      <c r="D1737" s="762" t="str">
        <f>$F$2</f>
        <v>Electrical</v>
      </c>
      <c r="E1737" s="762">
        <f ca="1">ROUND(($R1741*$S$2 + ($T1741*$T$2)), 2)</f>
        <v>61.84</v>
      </c>
      <c r="F1737" s="763">
        <f ca="1">$E1737*$C$12</f>
        <v>61.84</v>
      </c>
      <c r="G1737" s="567"/>
      <c r="H1737" s="764"/>
      <c r="I1737" s="567"/>
      <c r="J1737" s="45"/>
      <c r="K1737" s="765" t="s">
        <v>3</v>
      </c>
      <c r="L1737" s="766" t="s">
        <v>573</v>
      </c>
      <c r="M1737" s="567"/>
      <c r="N1737" s="567"/>
      <c r="O1737" s="45"/>
      <c r="P1737" s="567"/>
      <c r="Q1737" s="567"/>
      <c r="R1737"/>
      <c r="S1737"/>
      <c r="T1737"/>
    </row>
    <row r="1738" spans="1:41" s="935" customFormat="1" ht="13.2">
      <c r="A1738"/>
      <c r="B1738" s="927"/>
      <c r="C1738" s="927" t="s">
        <v>735</v>
      </c>
      <c r="D1738" s="927" t="str">
        <f ca="1">CELL("Address",Elec_Rates!D$64)</f>
        <v>[E25_0465_IH_Retro_Elec4Mech_Est_Rev_A.xlsx]Elec_Rates!$D$64</v>
      </c>
      <c r="E1738" s="928"/>
      <c r="F1738" s="928"/>
      <c r="G1738" s="929" t="s">
        <v>736</v>
      </c>
      <c r="H1738" s="929"/>
      <c r="I1738" s="929"/>
      <c r="J1738" s="929"/>
      <c r="K1738" s="930"/>
      <c r="L1738" s="928"/>
      <c r="M1738" s="928"/>
      <c r="N1738" s="928"/>
      <c r="O1738" s="931"/>
      <c r="P1738" s="928"/>
      <c r="Q1738" s="932"/>
      <c r="R1738" s="933"/>
      <c r="S1738" s="932"/>
      <c r="T1738" s="560"/>
      <c r="U1738" s="934"/>
    </row>
    <row r="1739" spans="1:41" s="935" customFormat="1" ht="11.4">
      <c r="A1739" s="936">
        <v>1</v>
      </c>
      <c r="B1739" s="937">
        <v>1</v>
      </c>
      <c r="C1739" s="937">
        <f>$A1739*$B1739</f>
        <v>1</v>
      </c>
      <c r="D1739" s="938" t="str">
        <f>Elec_Rates!$D$64</f>
        <v>006# Connecting up of 11.0/18.0 kW 400Volt motor (VFD)</v>
      </c>
      <c r="E1739" s="938"/>
      <c r="F1739" s="938" t="s">
        <v>737</v>
      </c>
      <c r="G1739" s="939" t="s">
        <v>738</v>
      </c>
      <c r="H1739" s="939"/>
      <c r="I1739" s="939"/>
      <c r="J1739" s="939"/>
      <c r="K1739" s="940"/>
      <c r="L1739" s="934"/>
      <c r="M1739" s="934"/>
      <c r="N1739" s="934"/>
      <c r="O1739" s="941"/>
      <c r="P1739" s="938"/>
      <c r="Q1739" s="942">
        <f ca="1">$B1739*Elec_Rates!$R$64</f>
        <v>10.66</v>
      </c>
      <c r="R1739" s="933">
        <f ca="1">$A1739*Q1739</f>
        <v>10.66</v>
      </c>
      <c r="S1739" s="942">
        <f ca="1">$B1739*Elec_Rates!$T$64</f>
        <v>1.28</v>
      </c>
      <c r="T1739" s="560">
        <f ca="1">$A1739*S1739</f>
        <v>1.28</v>
      </c>
      <c r="U1739" s="484"/>
    </row>
    <row r="1740" spans="1:41" s="501" customFormat="1" ht="14.4" customHeight="1">
      <c r="A1740" s="767"/>
      <c r="B1740" s="567"/>
      <c r="C1740" s="567"/>
      <c r="D1740" s="567"/>
      <c r="E1740" s="567"/>
      <c r="F1740" s="567"/>
      <c r="G1740" s="567"/>
      <c r="H1740" s="764"/>
      <c r="I1740" s="567"/>
      <c r="J1740" s="45"/>
      <c r="K1740" s="769"/>
      <c r="L1740" s="770"/>
      <c r="M1740" s="567"/>
      <c r="N1740" s="567"/>
      <c r="O1740" s="45"/>
      <c r="P1740" s="567"/>
      <c r="Q1740" s="567"/>
      <c r="R1740" s="771">
        <f>$A1740*Q1740</f>
        <v>0</v>
      </c>
      <c r="S1740" s="567"/>
      <c r="T1740" s="500">
        <f>$A1740*S1740*$T$1</f>
        <v>0</v>
      </c>
    </row>
    <row r="1741" spans="1:41" s="501" customFormat="1" ht="12">
      <c r="A1741" s="772" t="s">
        <v>145</v>
      </c>
      <c r="B1741" s="773">
        <f>(R1740+T1740)</f>
        <v>0</v>
      </c>
      <c r="C1741" s="753"/>
      <c r="G1741" s="774"/>
      <c r="H1741" s="774"/>
      <c r="I1741" s="774"/>
      <c r="J1741" s="774"/>
      <c r="K1741" s="750" t="s">
        <v>3</v>
      </c>
      <c r="L1741" s="775" t="s">
        <v>573</v>
      </c>
      <c r="M1741" s="774"/>
      <c r="N1741" s="774"/>
      <c r="O1741" s="774"/>
      <c r="P1741" s="774"/>
      <c r="Q1741" s="776"/>
      <c r="R1741" s="777">
        <f ca="1">SUM(R1737:R1740)</f>
        <v>10.66</v>
      </c>
      <c r="S1741" s="778"/>
      <c r="T1741" s="777">
        <f ca="1">SUM(T1737:T1740)</f>
        <v>1.28</v>
      </c>
      <c r="AG1741" s="779">
        <f ca="1">ROUND($R1741*$S$2,2)</f>
        <v>14.39</v>
      </c>
    </row>
    <row r="1742" spans="1:41" s="501" customFormat="1" ht="12" customHeight="1">
      <c r="A1742" s="760"/>
      <c r="B1742" s="780"/>
      <c r="C1742" s="781"/>
      <c r="D1742" s="782" t="str">
        <f>$F$3</f>
        <v>Technician</v>
      </c>
      <c r="E1742" s="782">
        <f>ROUND(($R1746*$S$3 + ($T1746*$T$3)), 2)</f>
        <v>0</v>
      </c>
      <c r="F1742" s="783">
        <f>$E1742*$C$12</f>
        <v>0</v>
      </c>
      <c r="G1742" s="499"/>
      <c r="H1742" s="499"/>
      <c r="I1742" s="499"/>
      <c r="J1742" s="499"/>
      <c r="K1742" s="765" t="s">
        <v>5</v>
      </c>
      <c r="L1742" s="766" t="s">
        <v>573</v>
      </c>
      <c r="M1742" s="499"/>
      <c r="N1742" s="499"/>
      <c r="O1742" s="499"/>
      <c r="P1742" s="499"/>
      <c r="Q1742" s="499"/>
      <c r="R1742" s="784"/>
      <c r="S1742" s="499"/>
      <c r="T1742" s="784"/>
    </row>
    <row r="1743" spans="1:41" s="797" customFormat="1" ht="15.6" customHeight="1">
      <c r="A1743" s="785"/>
      <c r="B1743" s="768" t="s">
        <v>575</v>
      </c>
      <c r="C1743" s="786"/>
      <c r="D1743" s="787"/>
      <c r="E1743" s="787"/>
      <c r="F1743" s="787"/>
      <c r="G1743" s="788"/>
      <c r="H1743" s="789"/>
      <c r="I1743" s="789"/>
      <c r="J1743" s="790"/>
      <c r="K1743" s="791"/>
      <c r="L1743" s="786"/>
      <c r="M1743" s="792"/>
      <c r="N1743" s="793"/>
      <c r="O1743" s="794"/>
      <c r="P1743" s="795"/>
      <c r="Q1743" s="796"/>
      <c r="R1743" s="771">
        <f>$A1743*Q1743</f>
        <v>0</v>
      </c>
      <c r="S1743" s="567"/>
      <c r="T1743" s="500">
        <f>$A1743*S1743*$T$1</f>
        <v>0</v>
      </c>
    </row>
    <row r="1744" spans="1:41" s="501" customFormat="1" ht="15.6" customHeight="1">
      <c r="A1744" s="767"/>
      <c r="B1744" s="567"/>
      <c r="C1744" s="567"/>
      <c r="D1744" s="567"/>
      <c r="E1744" s="567"/>
      <c r="F1744" s="567"/>
      <c r="G1744" s="567"/>
      <c r="H1744" s="567"/>
      <c r="I1744" s="567"/>
      <c r="J1744" s="567"/>
      <c r="K1744" s="567"/>
      <c r="L1744" s="770"/>
      <c r="M1744" s="567"/>
      <c r="N1744" s="567"/>
      <c r="O1744" s="567"/>
      <c r="P1744" s="567"/>
      <c r="Q1744" s="567"/>
      <c r="R1744" s="771">
        <f>$A1744*Q1744</f>
        <v>0</v>
      </c>
      <c r="S1744" s="567"/>
      <c r="T1744" s="500">
        <f>$A1744*S1744*$T$1</f>
        <v>0</v>
      </c>
    </row>
    <row r="1745" spans="1:41" s="501" customFormat="1" ht="15.6" customHeight="1">
      <c r="A1745" s="767"/>
      <c r="B1745" s="567"/>
      <c r="C1745" s="567"/>
      <c r="D1745" s="3"/>
      <c r="E1745" s="567"/>
      <c r="F1745" s="567"/>
      <c r="G1745" s="567"/>
      <c r="H1745" s="567"/>
      <c r="I1745" s="567"/>
      <c r="J1745" s="567"/>
      <c r="K1745" s="567"/>
      <c r="L1745" s="770"/>
      <c r="M1745" s="567"/>
      <c r="N1745" s="567"/>
      <c r="O1745" s="567"/>
      <c r="P1745" s="567"/>
      <c r="Q1745" s="567"/>
      <c r="R1745" s="771">
        <f>$A1745*Q1745</f>
        <v>0</v>
      </c>
      <c r="S1745" s="567"/>
      <c r="T1745" s="500">
        <f>$A1745*S1745*$T$1</f>
        <v>0</v>
      </c>
    </row>
    <row r="1746" spans="1:41" s="501" customFormat="1" ht="12">
      <c r="A1746" s="772" t="s">
        <v>145</v>
      </c>
      <c r="B1746" s="773">
        <f>(R1745+T1745)</f>
        <v>0</v>
      </c>
      <c r="C1746" s="753"/>
      <c r="G1746" s="774"/>
      <c r="H1746" s="774"/>
      <c r="I1746" s="774"/>
      <c r="J1746" s="774"/>
      <c r="K1746" s="798" t="s">
        <v>5</v>
      </c>
      <c r="L1746" s="775" t="s">
        <v>573</v>
      </c>
      <c r="M1746" s="774"/>
      <c r="N1746" s="774"/>
      <c r="O1746" s="774"/>
      <c r="P1746" s="774"/>
      <c r="Q1746" s="776"/>
      <c r="R1746" s="777">
        <f>SUM(R1742:R1745)</f>
        <v>0</v>
      </c>
      <c r="S1746" s="778"/>
      <c r="T1746" s="777">
        <f>SUM(T1742:T1745)</f>
        <v>0</v>
      </c>
      <c r="AG1746" s="799">
        <f>ROUND($R1746*$S$3,2)</f>
        <v>0</v>
      </c>
    </row>
    <row r="1747" spans="1:41" s="501" customFormat="1" ht="12" customHeight="1">
      <c r="A1747" s="800"/>
      <c r="B1747" s="801"/>
      <c r="C1747" s="802"/>
      <c r="D1747" s="803" t="str">
        <f>$F$4</f>
        <v>Engineer (Man Hours)</v>
      </c>
      <c r="E1747" s="803">
        <f>ROUND(($R1751*$S$4 + ($T1751*$T$4)), 2)</f>
        <v>0</v>
      </c>
      <c r="F1747" s="804">
        <f ca="1">$F1734-SUMIF($L1736:$P1744,"SUBI",$F1736:$F1744)</f>
        <v>0</v>
      </c>
      <c r="G1747" s="499"/>
      <c r="H1747" s="499"/>
      <c r="I1747" s="499"/>
      <c r="J1747" s="499"/>
      <c r="K1747" s="805" t="s">
        <v>8</v>
      </c>
      <c r="L1747" s="766" t="s">
        <v>573</v>
      </c>
      <c r="M1747" s="499"/>
      <c r="N1747" s="499"/>
      <c r="O1747" s="499"/>
      <c r="P1747" s="499"/>
      <c r="Q1747" s="499"/>
      <c r="R1747" s="784"/>
      <c r="S1747" s="499"/>
      <c r="T1747" s="784"/>
    </row>
    <row r="1748" spans="1:41" s="797" customFormat="1" ht="14.4" customHeight="1">
      <c r="A1748" s="785"/>
      <c r="B1748" s="768" t="s">
        <v>576</v>
      </c>
      <c r="C1748" s="786"/>
      <c r="D1748" s="787"/>
      <c r="E1748" s="787"/>
      <c r="F1748" s="787"/>
      <c r="G1748" s="788"/>
      <c r="H1748" s="789"/>
      <c r="I1748" s="789"/>
      <c r="J1748" s="790"/>
      <c r="K1748" s="791"/>
      <c r="L1748" s="786"/>
      <c r="M1748" s="792"/>
      <c r="N1748" s="793"/>
      <c r="O1748" s="806"/>
      <c r="P1748" s="795"/>
      <c r="Q1748" s="796"/>
      <c r="R1748" s="720">
        <f>$A1748*Q1748</f>
        <v>0</v>
      </c>
      <c r="S1748" s="796"/>
      <c r="T1748" s="500">
        <f>$A1748*S1748*$T$1</f>
        <v>0</v>
      </c>
    </row>
    <row r="1749" spans="1:41" s="501" customFormat="1" ht="12">
      <c r="A1749" s="44"/>
      <c r="B1749" s="497"/>
      <c r="C1749" s="497"/>
      <c r="D1749" s="807"/>
      <c r="E1749" s="808"/>
      <c r="F1749" s="499"/>
      <c r="G1749" s="499"/>
      <c r="H1749" s="499"/>
      <c r="I1749" s="499"/>
      <c r="J1749" s="499"/>
      <c r="K1749" s="499"/>
      <c r="L1749" s="809"/>
      <c r="M1749" s="499"/>
      <c r="N1749" s="499"/>
      <c r="O1749" s="499"/>
      <c r="P1749" s="499"/>
      <c r="Q1749" s="499"/>
      <c r="R1749" s="720">
        <f>$A1749*Q1749</f>
        <v>0</v>
      </c>
      <c r="S1749" s="499"/>
      <c r="T1749" s="500">
        <f>$A1749*S1749*$T$1</f>
        <v>0</v>
      </c>
    </row>
    <row r="1750" spans="1:41" s="501" customFormat="1" ht="12">
      <c r="A1750" s="44"/>
      <c r="B1750" s="497"/>
      <c r="C1750" s="497"/>
      <c r="D1750" s="807"/>
      <c r="E1750" s="808"/>
      <c r="F1750" s="499"/>
      <c r="G1750" s="499"/>
      <c r="H1750" s="499"/>
      <c r="I1750" s="499"/>
      <c r="J1750" s="499"/>
      <c r="K1750" s="499"/>
      <c r="L1750" s="809"/>
      <c r="M1750" s="499"/>
      <c r="N1750" s="499"/>
      <c r="O1750" s="499"/>
      <c r="P1750" s="499"/>
      <c r="Q1750" s="499"/>
      <c r="R1750" s="720">
        <f>$A1750*Q1750</f>
        <v>0</v>
      </c>
      <c r="S1750" s="499"/>
      <c r="T1750" s="500">
        <f>$A1750*S1750*$T$1</f>
        <v>0</v>
      </c>
    </row>
    <row r="1751" spans="1:41" s="501" customFormat="1" ht="12.75" customHeight="1">
      <c r="A1751" s="772" t="s">
        <v>145</v>
      </c>
      <c r="B1751" s="773">
        <f>(R1750+T1750)</f>
        <v>0</v>
      </c>
      <c r="C1751" s="810"/>
      <c r="D1751" s="810"/>
      <c r="E1751" s="810"/>
      <c r="F1751" s="810"/>
      <c r="G1751" s="776"/>
      <c r="H1751" s="776"/>
      <c r="I1751" s="776"/>
      <c r="J1751" s="776"/>
      <c r="K1751" s="798" t="s">
        <v>8</v>
      </c>
      <c r="L1751" s="811" t="s">
        <v>573</v>
      </c>
      <c r="M1751" s="776"/>
      <c r="N1751" s="776"/>
      <c r="O1751" s="776"/>
      <c r="P1751" s="776"/>
      <c r="Q1751" s="776"/>
      <c r="R1751" s="777">
        <f>SUM(R1747:R1750)</f>
        <v>0</v>
      </c>
      <c r="S1751" s="778"/>
      <c r="T1751" s="777">
        <f>SUM(T1747:T1750)</f>
        <v>0</v>
      </c>
      <c r="AG1751" s="812">
        <f>ROUND($R1751*$S$4,2)</f>
        <v>0</v>
      </c>
    </row>
    <row r="1752" spans="1:41" s="501" customFormat="1" ht="12.75" customHeight="1">
      <c r="A1752" s="813"/>
      <c r="B1752" s="814"/>
      <c r="E1752" s="497"/>
      <c r="F1752" s="808"/>
      <c r="G1752" s="497"/>
      <c r="H1752" s="497"/>
      <c r="I1752" s="499"/>
      <c r="J1752" s="497"/>
      <c r="K1752" s="497"/>
      <c r="L1752" s="815"/>
      <c r="M1752" s="725"/>
      <c r="N1752" s="725"/>
      <c r="O1752" s="725"/>
      <c r="P1752" s="725"/>
      <c r="Q1752" s="726"/>
      <c r="R1752" s="784"/>
      <c r="S1752" s="497"/>
      <c r="T1752" s="784"/>
    </row>
    <row r="1753" spans="1:41" s="501" customFormat="1" ht="13.5" customHeight="1" thickBot="1">
      <c r="A1753" s="816"/>
      <c r="B1753" s="817"/>
      <c r="C1753" s="518"/>
      <c r="D1753" s="518"/>
      <c r="E1753" s="515"/>
      <c r="F1753" s="721"/>
      <c r="G1753" s="515" t="s">
        <v>146</v>
      </c>
      <c r="H1753" s="515"/>
      <c r="I1753" s="516"/>
      <c r="J1753" s="515"/>
      <c r="K1753" s="515"/>
      <c r="L1753" s="818" t="s">
        <v>143</v>
      </c>
      <c r="M1753" s="517"/>
      <c r="N1753" s="517"/>
      <c r="O1753" s="517"/>
      <c r="P1753" s="517"/>
      <c r="Q1753" s="722"/>
      <c r="R1753" s="819">
        <f ca="1">SUMIF($L1735:$L1752,"SUBI",R1735:R1752)</f>
        <v>10.66</v>
      </c>
      <c r="S1753" s="820"/>
      <c r="T1753" s="819">
        <f ca="1">SUMIF($L1735:$L1752,"SUBI",T1735:T1752)</f>
        <v>1.28</v>
      </c>
      <c r="U1753" s="518"/>
      <c r="V1753" s="518"/>
      <c r="W1753" s="518"/>
      <c r="X1753" s="518"/>
      <c r="Y1753" s="518"/>
      <c r="Z1753" s="518"/>
      <c r="AA1753" s="518"/>
      <c r="AB1753" s="518"/>
      <c r="AC1753" s="518"/>
      <c r="AD1753" s="518"/>
      <c r="AE1753" s="518"/>
      <c r="AF1753" s="518"/>
      <c r="AG1753" s="518"/>
      <c r="AH1753" s="518"/>
      <c r="AI1753" s="518"/>
      <c r="AJ1753" s="518"/>
      <c r="AK1753" s="518"/>
      <c r="AL1753" s="518"/>
      <c r="AM1753" s="518"/>
      <c r="AN1753" s="518"/>
      <c r="AO1753" s="518"/>
    </row>
    <row r="1754" spans="1:41" s="501" customFormat="1" thickTop="1">
      <c r="A1754" s="44"/>
      <c r="B1754" s="39"/>
      <c r="C1754" s="44"/>
      <c r="E1754" s="40" t="s">
        <v>138</v>
      </c>
      <c r="F1754" s="40" t="s">
        <v>139</v>
      </c>
      <c r="G1754" s="44"/>
      <c r="H1754" s="44"/>
      <c r="I1754" s="44"/>
      <c r="J1754" s="44"/>
      <c r="K1754" s="44" t="s">
        <v>140</v>
      </c>
      <c r="L1754" s="737"/>
      <c r="M1754" s="44"/>
      <c r="N1754" s="44"/>
      <c r="O1754" s="45"/>
      <c r="P1754" s="44"/>
      <c r="Q1754"/>
      <c r="R1754"/>
      <c r="S1754"/>
      <c r="T1754" s="39"/>
      <c r="AG1754" s="502" t="s">
        <v>247</v>
      </c>
      <c r="AH1754" s="502" t="s">
        <v>248</v>
      </c>
      <c r="AI1754" s="502" t="s">
        <v>249</v>
      </c>
      <c r="AJ1754" s="502" t="s">
        <v>250</v>
      </c>
      <c r="AK1754" s="502" t="s">
        <v>251</v>
      </c>
      <c r="AM1754" s="710" t="s">
        <v>260</v>
      </c>
      <c r="AN1754" s="711" t="s">
        <v>261</v>
      </c>
      <c r="AO1754" s="503" t="s">
        <v>257</v>
      </c>
    </row>
    <row r="1755" spans="1:41" s="501" customFormat="1" ht="13.2">
      <c r="A1755" s="712">
        <v>1</v>
      </c>
      <c r="B1755" s="504" t="s">
        <v>283</v>
      </c>
      <c r="C1755" s="505"/>
      <c r="D1755" s="713" t="s">
        <v>593</v>
      </c>
      <c r="E1755" s="738">
        <f ca="1">IF(AND($A1755=0,$A$1="DIF"),0,ROUND(ROUND(SUMIF($L1757:$L1768,"SUBI",$E1757:$E1768)/$A1755,2)*$C$12,2))</f>
        <v>43.84</v>
      </c>
      <c r="F1755" s="739">
        <f ca="1">ROUND($A1755*$E1755,2)</f>
        <v>43.84</v>
      </c>
      <c r="G1755" s="506" t="s">
        <v>142</v>
      </c>
      <c r="H1755" s="498"/>
      <c r="I1755" s="716"/>
      <c r="J1755" s="498"/>
      <c r="K1755" s="740"/>
      <c r="L1755" s="741" t="s">
        <v>143</v>
      </c>
      <c r="M1755" s="717"/>
      <c r="N1755" s="717"/>
      <c r="O1755" s="717"/>
      <c r="P1755" s="717"/>
      <c r="Q1755" s="943" t="s">
        <v>855</v>
      </c>
      <c r="R1755" s="943" t="s">
        <v>870</v>
      </c>
      <c r="S1755"/>
      <c r="T1755" s="742" t="str">
        <f ca="1">IF(AND($R1774=0,$T1774=0),"0.00","mu :" &amp; ROUND($F1755/$C$12/($R1774+$T1774*$D$9),2))</f>
        <v>mu :1.35</v>
      </c>
      <c r="W1755" s="507"/>
      <c r="AG1755" s="743">
        <f ca="1">IF(A1755=0,0,ROUND(SUM(AG1757:AG1774)/A1755,2))</f>
        <v>7.51</v>
      </c>
      <c r="AH1755" s="743">
        <f ca="1">$AG1755*$A1755</f>
        <v>7.51</v>
      </c>
      <c r="AI1755" s="743">
        <f ca="1">$E1755-$AG1755</f>
        <v>36.330000000000005</v>
      </c>
      <c r="AJ1755" s="743">
        <f ca="1">$A1755*$AI1755</f>
        <v>36.330000000000005</v>
      </c>
      <c r="AK1755" s="744">
        <f ca="1">ROUND(($AG1755+$AI1755)*$A1755,2)</f>
        <v>43.84</v>
      </c>
      <c r="AM1755" s="510">
        <f ca="1">ROUND(R1774,2)</f>
        <v>5.56</v>
      </c>
      <c r="AN1755" s="511">
        <f ca="1">ROUND(T1774,2)</f>
        <v>0.98</v>
      </c>
      <c r="AO1755" s="512">
        <f ca="1">ROUND(AM1755+AN1755,2)*A1755</f>
        <v>6.54</v>
      </c>
    </row>
    <row r="1756" spans="1:41" s="501" customFormat="1" ht="21.6" customHeight="1">
      <c r="A1756" s="745"/>
      <c r="B1756" s="746"/>
      <c r="C1756" s="505"/>
      <c r="D1756" s="724" t="s">
        <v>439</v>
      </c>
      <c r="F1756" s="498"/>
      <c r="G1756" s="498"/>
      <c r="H1756" s="498"/>
      <c r="I1756" s="716"/>
      <c r="J1756" s="498"/>
      <c r="K1756" s="498" t="s">
        <v>144</v>
      </c>
      <c r="L1756" s="747"/>
      <c r="M1756" s="498"/>
      <c r="N1756" s="498"/>
      <c r="O1756" s="498"/>
      <c r="P1756" s="498"/>
      <c r="Q1756" s="44"/>
      <c r="R1756" s="567"/>
      <c r="S1756" s="719"/>
      <c r="T1756" s="498"/>
    </row>
    <row r="1757" spans="1:41" s="501" customFormat="1" ht="12">
      <c r="A1757" s="748"/>
      <c r="B1757" s="749"/>
      <c r="C1757" s="497"/>
      <c r="D1757" s="750"/>
      <c r="E1757" s="751">
        <f ca="1">F1755/$C$12-SUMIF($L1754:$L1774,"SUBI",$E1754:$E1774)</f>
        <v>0</v>
      </c>
      <c r="F1757" s="752" t="s">
        <v>572</v>
      </c>
      <c r="G1757" s="753"/>
      <c r="H1757" s="753"/>
      <c r="I1757" s="754"/>
      <c r="J1757" s="753"/>
      <c r="K1757" s="753"/>
      <c r="L1757" s="755"/>
      <c r="M1757" s="756"/>
      <c r="N1757" s="756"/>
      <c r="O1757" s="756"/>
      <c r="P1757" s="756"/>
      <c r="Q1757" s="757"/>
      <c r="R1757" s="758"/>
      <c r="S1757" s="757"/>
      <c r="T1757" s="759"/>
    </row>
    <row r="1758" spans="1:41" s="501" customFormat="1" ht="12" customHeight="1">
      <c r="A1758" s="760"/>
      <c r="B1758" s="761"/>
      <c r="C1758" s="762"/>
      <c r="D1758" s="762" t="str">
        <f>$F$2</f>
        <v>Electrical</v>
      </c>
      <c r="E1758" s="762">
        <f ca="1">ROUND(($R1762*$S$2 + ($T1762*$T$2)), 2)</f>
        <v>43.84</v>
      </c>
      <c r="F1758" s="763">
        <f ca="1">$E1758*$C$12</f>
        <v>43.84</v>
      </c>
      <c r="G1758" s="567"/>
      <c r="H1758" s="764"/>
      <c r="I1758" s="567"/>
      <c r="J1758" s="45"/>
      <c r="K1758" s="765" t="s">
        <v>3</v>
      </c>
      <c r="L1758" s="766" t="s">
        <v>573</v>
      </c>
      <c r="M1758" s="567"/>
      <c r="N1758" s="567"/>
      <c r="O1758" s="45"/>
      <c r="P1758" s="567"/>
      <c r="Q1758" s="567"/>
      <c r="R1758"/>
      <c r="S1758"/>
      <c r="T1758"/>
    </row>
    <row r="1759" spans="1:41" s="935" customFormat="1" ht="13.2">
      <c r="A1759"/>
      <c r="B1759" s="927"/>
      <c r="C1759" s="927" t="s">
        <v>735</v>
      </c>
      <c r="D1759" s="927" t="str">
        <f ca="1">CELL("Address",Elec_Rates!D$46)</f>
        <v>[E25_0465_IH_Retro_Elec4Mech_Est_Rev_A.xlsx]Elec_Rates!$D$46</v>
      </c>
      <c r="E1759" s="928"/>
      <c r="F1759" s="928"/>
      <c r="G1759" s="929" t="s">
        <v>736</v>
      </c>
      <c r="H1759" s="929"/>
      <c r="I1759" s="929"/>
      <c r="J1759" s="929"/>
      <c r="K1759" s="930"/>
      <c r="L1759" s="928"/>
      <c r="M1759" s="928"/>
      <c r="N1759" s="928"/>
      <c r="O1759" s="931"/>
      <c r="P1759" s="928"/>
      <c r="Q1759" s="932"/>
      <c r="R1759" s="933"/>
      <c r="S1759" s="932"/>
      <c r="T1759" s="560"/>
      <c r="U1759" s="934"/>
    </row>
    <row r="1760" spans="1:41" s="935" customFormat="1" ht="11.4">
      <c r="A1760" s="936">
        <v>1</v>
      </c>
      <c r="B1760" s="937">
        <v>1</v>
      </c>
      <c r="C1760" s="937">
        <f>$A1760*$B1760</f>
        <v>1</v>
      </c>
      <c r="D1760" s="938" t="str">
        <f>Elec_Rates!$D$46</f>
        <v>004# Connecting up of 3.0/4.0 kW 400Volt motor (VFD)</v>
      </c>
      <c r="E1760" s="938"/>
      <c r="F1760" s="938" t="s">
        <v>737</v>
      </c>
      <c r="G1760" s="939" t="s">
        <v>739</v>
      </c>
      <c r="H1760" s="939"/>
      <c r="I1760" s="939"/>
      <c r="J1760" s="939"/>
      <c r="K1760" s="940"/>
      <c r="L1760" s="934"/>
      <c r="M1760" s="934"/>
      <c r="N1760" s="934"/>
      <c r="O1760" s="941"/>
      <c r="P1760" s="938"/>
      <c r="Q1760" s="942">
        <f ca="1">$B1760*Elec_Rates!$R$46</f>
        <v>5.56</v>
      </c>
      <c r="R1760" s="933">
        <f ca="1">$A1760*Q1760</f>
        <v>5.56</v>
      </c>
      <c r="S1760" s="942">
        <f ca="1">$B1760*Elec_Rates!$T$46</f>
        <v>0.98</v>
      </c>
      <c r="T1760" s="560">
        <f ca="1">$A1760*S1760</f>
        <v>0.98</v>
      </c>
      <c r="U1760" s="484"/>
    </row>
    <row r="1761" spans="1:41" s="501" customFormat="1" ht="14.4" customHeight="1">
      <c r="A1761" s="767"/>
      <c r="B1761" s="567"/>
      <c r="C1761" s="567"/>
      <c r="D1761" s="567"/>
      <c r="E1761" s="567"/>
      <c r="F1761" s="567"/>
      <c r="G1761" s="567"/>
      <c r="H1761" s="764"/>
      <c r="I1761" s="567"/>
      <c r="J1761" s="45"/>
      <c r="K1761" s="769"/>
      <c r="L1761" s="770"/>
      <c r="M1761" s="567"/>
      <c r="N1761" s="567"/>
      <c r="O1761" s="45"/>
      <c r="P1761" s="567"/>
      <c r="Q1761" s="567"/>
      <c r="R1761" s="771">
        <f>$A1761*Q1761</f>
        <v>0</v>
      </c>
      <c r="S1761" s="567"/>
      <c r="T1761" s="500">
        <f>$A1761*S1761*$T$1</f>
        <v>0</v>
      </c>
    </row>
    <row r="1762" spans="1:41" s="501" customFormat="1" ht="12">
      <c r="A1762" s="772" t="s">
        <v>145</v>
      </c>
      <c r="B1762" s="773">
        <f>(R1761+T1761)</f>
        <v>0</v>
      </c>
      <c r="C1762" s="753"/>
      <c r="G1762" s="774"/>
      <c r="H1762" s="774"/>
      <c r="I1762" s="774"/>
      <c r="J1762" s="774"/>
      <c r="K1762" s="750" t="s">
        <v>3</v>
      </c>
      <c r="L1762" s="775" t="s">
        <v>573</v>
      </c>
      <c r="M1762" s="774"/>
      <c r="N1762" s="774"/>
      <c r="O1762" s="774"/>
      <c r="P1762" s="774"/>
      <c r="Q1762" s="776"/>
      <c r="R1762" s="777">
        <f ca="1">SUM(R1758:R1761)</f>
        <v>5.56</v>
      </c>
      <c r="S1762" s="778"/>
      <c r="T1762" s="777">
        <f ca="1">SUM(T1758:T1761)</f>
        <v>0.98</v>
      </c>
      <c r="AG1762" s="779">
        <f ca="1">ROUND($R1762*$S$2,2)</f>
        <v>7.51</v>
      </c>
    </row>
    <row r="1763" spans="1:41" s="501" customFormat="1" ht="12" customHeight="1">
      <c r="A1763" s="760"/>
      <c r="B1763" s="780"/>
      <c r="C1763" s="781"/>
      <c r="D1763" s="782" t="str">
        <f>$F$3</f>
        <v>Technician</v>
      </c>
      <c r="E1763" s="782">
        <f>ROUND(($R1767*$S$3 + ($T1767*$T$3)), 2)</f>
        <v>0</v>
      </c>
      <c r="F1763" s="783">
        <f>$E1763*$C$12</f>
        <v>0</v>
      </c>
      <c r="G1763" s="499"/>
      <c r="H1763" s="499"/>
      <c r="I1763" s="499"/>
      <c r="J1763" s="499"/>
      <c r="K1763" s="765" t="s">
        <v>5</v>
      </c>
      <c r="L1763" s="766" t="s">
        <v>573</v>
      </c>
      <c r="M1763" s="499"/>
      <c r="N1763" s="499"/>
      <c r="O1763" s="499"/>
      <c r="P1763" s="499"/>
      <c r="Q1763" s="499"/>
      <c r="R1763" s="784"/>
      <c r="S1763" s="499"/>
      <c r="T1763" s="784"/>
    </row>
    <row r="1764" spans="1:41" s="797" customFormat="1" ht="15.6" customHeight="1">
      <c r="A1764" s="785"/>
      <c r="B1764" s="768" t="s">
        <v>575</v>
      </c>
      <c r="C1764" s="786"/>
      <c r="D1764" s="787"/>
      <c r="E1764" s="787"/>
      <c r="F1764" s="787"/>
      <c r="G1764" s="788"/>
      <c r="H1764" s="789"/>
      <c r="I1764" s="789"/>
      <c r="J1764" s="790"/>
      <c r="K1764" s="791"/>
      <c r="L1764" s="786"/>
      <c r="M1764" s="792"/>
      <c r="N1764" s="793"/>
      <c r="O1764" s="794"/>
      <c r="P1764" s="795"/>
      <c r="Q1764" s="796"/>
      <c r="R1764" s="771">
        <f>$A1764*Q1764</f>
        <v>0</v>
      </c>
      <c r="S1764" s="567"/>
      <c r="T1764" s="500">
        <f>$A1764*S1764*$T$1</f>
        <v>0</v>
      </c>
    </row>
    <row r="1765" spans="1:41" s="501" customFormat="1" ht="15.6" customHeight="1">
      <c r="A1765" s="767"/>
      <c r="B1765" s="567"/>
      <c r="C1765" s="567"/>
      <c r="D1765" s="567"/>
      <c r="E1765" s="567"/>
      <c r="F1765" s="567"/>
      <c r="G1765" s="567"/>
      <c r="H1765" s="567"/>
      <c r="I1765" s="567"/>
      <c r="J1765" s="567"/>
      <c r="K1765" s="567"/>
      <c r="L1765" s="770"/>
      <c r="M1765" s="567"/>
      <c r="N1765" s="567"/>
      <c r="O1765" s="567"/>
      <c r="P1765" s="567"/>
      <c r="Q1765" s="567"/>
      <c r="R1765" s="771">
        <f>$A1765*Q1765</f>
        <v>0</v>
      </c>
      <c r="S1765" s="567"/>
      <c r="T1765" s="500">
        <f>$A1765*S1765*$T$1</f>
        <v>0</v>
      </c>
    </row>
    <row r="1766" spans="1:41" s="501" customFormat="1" ht="15.6" customHeight="1">
      <c r="A1766" s="767"/>
      <c r="B1766" s="567"/>
      <c r="C1766" s="567"/>
      <c r="D1766" s="3"/>
      <c r="E1766" s="567"/>
      <c r="F1766" s="567"/>
      <c r="G1766" s="567"/>
      <c r="H1766" s="567"/>
      <c r="I1766" s="567"/>
      <c r="J1766" s="567"/>
      <c r="K1766" s="567"/>
      <c r="L1766" s="770"/>
      <c r="M1766" s="567"/>
      <c r="N1766" s="567"/>
      <c r="O1766" s="567"/>
      <c r="P1766" s="567"/>
      <c r="Q1766" s="567"/>
      <c r="R1766" s="771">
        <f>$A1766*Q1766</f>
        <v>0</v>
      </c>
      <c r="S1766" s="567"/>
      <c r="T1766" s="500">
        <f>$A1766*S1766*$T$1</f>
        <v>0</v>
      </c>
    </row>
    <row r="1767" spans="1:41" s="501" customFormat="1" ht="12">
      <c r="A1767" s="772" t="s">
        <v>145</v>
      </c>
      <c r="B1767" s="773">
        <f>(R1766+T1766)</f>
        <v>0</v>
      </c>
      <c r="C1767" s="753"/>
      <c r="G1767" s="774"/>
      <c r="H1767" s="774"/>
      <c r="I1767" s="774"/>
      <c r="J1767" s="774"/>
      <c r="K1767" s="798" t="s">
        <v>5</v>
      </c>
      <c r="L1767" s="775" t="s">
        <v>573</v>
      </c>
      <c r="M1767" s="774"/>
      <c r="N1767" s="774"/>
      <c r="O1767" s="774"/>
      <c r="P1767" s="774"/>
      <c r="Q1767" s="776"/>
      <c r="R1767" s="777">
        <f>SUM(R1763:R1766)</f>
        <v>0</v>
      </c>
      <c r="S1767" s="778"/>
      <c r="T1767" s="777">
        <f>SUM(T1763:T1766)</f>
        <v>0</v>
      </c>
      <c r="AG1767" s="799">
        <f>ROUND($R1767*$S$3,2)</f>
        <v>0</v>
      </c>
    </row>
    <row r="1768" spans="1:41" s="501" customFormat="1" ht="12" customHeight="1">
      <c r="A1768" s="800"/>
      <c r="B1768" s="801"/>
      <c r="C1768" s="802"/>
      <c r="D1768" s="803" t="str">
        <f>$F$4</f>
        <v>Engineer (Man Hours)</v>
      </c>
      <c r="E1768" s="803">
        <f>ROUND(($R1772*$S$4 + ($T1772*$T$4)), 2)</f>
        <v>0</v>
      </c>
      <c r="F1768" s="804">
        <f ca="1">$F1755-SUMIF($L1757:$P1765,"SUBI",$F1757:$F1765)</f>
        <v>0</v>
      </c>
      <c r="G1768" s="499"/>
      <c r="H1768" s="499"/>
      <c r="I1768" s="499"/>
      <c r="J1768" s="499"/>
      <c r="K1768" s="805" t="s">
        <v>8</v>
      </c>
      <c r="L1768" s="766" t="s">
        <v>573</v>
      </c>
      <c r="M1768" s="499"/>
      <c r="N1768" s="499"/>
      <c r="O1768" s="499"/>
      <c r="P1768" s="499"/>
      <c r="Q1768" s="499"/>
      <c r="R1768" s="784"/>
      <c r="S1768" s="499"/>
      <c r="T1768" s="784"/>
    </row>
    <row r="1769" spans="1:41" s="797" customFormat="1" ht="14.4" customHeight="1">
      <c r="A1769" s="785"/>
      <c r="B1769" s="768" t="s">
        <v>576</v>
      </c>
      <c r="C1769" s="786"/>
      <c r="D1769" s="787"/>
      <c r="E1769" s="787"/>
      <c r="F1769" s="787"/>
      <c r="G1769" s="788"/>
      <c r="H1769" s="789"/>
      <c r="I1769" s="789"/>
      <c r="J1769" s="790"/>
      <c r="K1769" s="791"/>
      <c r="L1769" s="786"/>
      <c r="M1769" s="792"/>
      <c r="N1769" s="793"/>
      <c r="O1769" s="806"/>
      <c r="P1769" s="795"/>
      <c r="Q1769" s="796"/>
      <c r="R1769" s="720">
        <f>$A1769*Q1769</f>
        <v>0</v>
      </c>
      <c r="S1769" s="796"/>
      <c r="T1769" s="500">
        <f>$A1769*S1769*$T$1</f>
        <v>0</v>
      </c>
    </row>
    <row r="1770" spans="1:41" s="501" customFormat="1" ht="12">
      <c r="A1770" s="44"/>
      <c r="B1770" s="497"/>
      <c r="C1770" s="497"/>
      <c r="D1770" s="807"/>
      <c r="E1770" s="808"/>
      <c r="F1770" s="499"/>
      <c r="G1770" s="499"/>
      <c r="H1770" s="499"/>
      <c r="I1770" s="499"/>
      <c r="J1770" s="499"/>
      <c r="K1770" s="499"/>
      <c r="L1770" s="809"/>
      <c r="M1770" s="499"/>
      <c r="N1770" s="499"/>
      <c r="O1770" s="499"/>
      <c r="P1770" s="499"/>
      <c r="Q1770" s="499"/>
      <c r="R1770" s="720">
        <f>$A1770*Q1770</f>
        <v>0</v>
      </c>
      <c r="S1770" s="499"/>
      <c r="T1770" s="500">
        <f>$A1770*S1770*$T$1</f>
        <v>0</v>
      </c>
    </row>
    <row r="1771" spans="1:41" s="501" customFormat="1" ht="12">
      <c r="A1771" s="44"/>
      <c r="B1771" s="497"/>
      <c r="C1771" s="497"/>
      <c r="D1771" s="807"/>
      <c r="E1771" s="808"/>
      <c r="F1771" s="499"/>
      <c r="G1771" s="499"/>
      <c r="H1771" s="499"/>
      <c r="I1771" s="499"/>
      <c r="J1771" s="499"/>
      <c r="K1771" s="499"/>
      <c r="L1771" s="809"/>
      <c r="M1771" s="499"/>
      <c r="N1771" s="499"/>
      <c r="O1771" s="499"/>
      <c r="P1771" s="499"/>
      <c r="Q1771" s="499"/>
      <c r="R1771" s="720">
        <f>$A1771*Q1771</f>
        <v>0</v>
      </c>
      <c r="S1771" s="499"/>
      <c r="T1771" s="500">
        <f>$A1771*S1771*$T$1</f>
        <v>0</v>
      </c>
    </row>
    <row r="1772" spans="1:41" s="501" customFormat="1" ht="12.75" customHeight="1">
      <c r="A1772" s="772" t="s">
        <v>145</v>
      </c>
      <c r="B1772" s="773">
        <f>(R1771+T1771)</f>
        <v>0</v>
      </c>
      <c r="C1772" s="810"/>
      <c r="D1772" s="810"/>
      <c r="E1772" s="810"/>
      <c r="F1772" s="810"/>
      <c r="G1772" s="776"/>
      <c r="H1772" s="776"/>
      <c r="I1772" s="776"/>
      <c r="J1772" s="776"/>
      <c r="K1772" s="798" t="s">
        <v>8</v>
      </c>
      <c r="L1772" s="811" t="s">
        <v>573</v>
      </c>
      <c r="M1772" s="776"/>
      <c r="N1772" s="776"/>
      <c r="O1772" s="776"/>
      <c r="P1772" s="776"/>
      <c r="Q1772" s="776"/>
      <c r="R1772" s="777">
        <f>SUM(R1768:R1771)</f>
        <v>0</v>
      </c>
      <c r="S1772" s="778"/>
      <c r="T1772" s="777">
        <f>SUM(T1768:T1771)</f>
        <v>0</v>
      </c>
      <c r="AG1772" s="812">
        <f>ROUND($R1772*$S$4,2)</f>
        <v>0</v>
      </c>
    </row>
    <row r="1773" spans="1:41" s="501" customFormat="1" ht="12.75" customHeight="1">
      <c r="A1773" s="813"/>
      <c r="B1773" s="814"/>
      <c r="E1773" s="497"/>
      <c r="F1773" s="808"/>
      <c r="G1773" s="497"/>
      <c r="H1773" s="497"/>
      <c r="I1773" s="499"/>
      <c r="J1773" s="497"/>
      <c r="K1773" s="497"/>
      <c r="L1773" s="815"/>
      <c r="M1773" s="725"/>
      <c r="N1773" s="725"/>
      <c r="O1773" s="725"/>
      <c r="P1773" s="725"/>
      <c r="Q1773" s="726"/>
      <c r="R1773" s="784"/>
      <c r="S1773" s="497"/>
      <c r="T1773" s="784"/>
    </row>
    <row r="1774" spans="1:41" s="501" customFormat="1" ht="13.5" customHeight="1" thickBot="1">
      <c r="A1774" s="816"/>
      <c r="B1774" s="817"/>
      <c r="C1774" s="518"/>
      <c r="D1774" s="518"/>
      <c r="E1774" s="515"/>
      <c r="F1774" s="721"/>
      <c r="G1774" s="515" t="s">
        <v>146</v>
      </c>
      <c r="H1774" s="515"/>
      <c r="I1774" s="516"/>
      <c r="J1774" s="515"/>
      <c r="K1774" s="515"/>
      <c r="L1774" s="818" t="s">
        <v>143</v>
      </c>
      <c r="M1774" s="517"/>
      <c r="N1774" s="517"/>
      <c r="O1774" s="517"/>
      <c r="P1774" s="517"/>
      <c r="Q1774" s="722"/>
      <c r="R1774" s="819">
        <f ca="1">SUMIF($L1756:$L1773,"SUBI",R1756:R1773)</f>
        <v>5.56</v>
      </c>
      <c r="S1774" s="820"/>
      <c r="T1774" s="819">
        <f ca="1">SUMIF($L1756:$L1773,"SUBI",T1756:T1773)</f>
        <v>0.98</v>
      </c>
      <c r="U1774" s="518"/>
      <c r="V1774" s="518"/>
      <c r="W1774" s="518"/>
      <c r="X1774" s="518"/>
      <c r="Y1774" s="518"/>
      <c r="Z1774" s="518"/>
      <c r="AA1774" s="518"/>
      <c r="AB1774" s="518"/>
      <c r="AC1774" s="518"/>
      <c r="AD1774" s="518"/>
      <c r="AE1774" s="518"/>
      <c r="AF1774" s="518"/>
      <c r="AG1774" s="518"/>
      <c r="AH1774" s="518"/>
      <c r="AI1774" s="518"/>
      <c r="AJ1774" s="518"/>
      <c r="AK1774" s="518"/>
      <c r="AL1774" s="518"/>
      <c r="AM1774" s="518"/>
      <c r="AN1774" s="518"/>
      <c r="AO1774" s="518"/>
    </row>
    <row r="1775" spans="1:41" s="501" customFormat="1" thickTop="1">
      <c r="A1775" s="44"/>
      <c r="B1775" s="39"/>
      <c r="C1775" s="44"/>
      <c r="E1775" s="40" t="s">
        <v>138</v>
      </c>
      <c r="F1775" s="40" t="s">
        <v>139</v>
      </c>
      <c r="G1775" s="44"/>
      <c r="H1775" s="44"/>
      <c r="I1775" s="44"/>
      <c r="J1775" s="44"/>
      <c r="K1775" s="44" t="s">
        <v>140</v>
      </c>
      <c r="L1775" s="737"/>
      <c r="M1775" s="44"/>
      <c r="N1775" s="44"/>
      <c r="O1775" s="45"/>
      <c r="P1775" s="44"/>
      <c r="Q1775"/>
      <c r="R1775"/>
      <c r="S1775"/>
      <c r="T1775" s="39"/>
      <c r="AG1775" s="502" t="s">
        <v>247</v>
      </c>
      <c r="AH1775" s="502" t="s">
        <v>248</v>
      </c>
      <c r="AI1775" s="502" t="s">
        <v>249</v>
      </c>
      <c r="AJ1775" s="502" t="s">
        <v>250</v>
      </c>
      <c r="AK1775" s="502" t="s">
        <v>251</v>
      </c>
      <c r="AM1775" s="710" t="s">
        <v>260</v>
      </c>
      <c r="AN1775" s="711" t="s">
        <v>261</v>
      </c>
      <c r="AO1775" s="503" t="s">
        <v>257</v>
      </c>
    </row>
    <row r="1776" spans="1:41" s="501" customFormat="1" ht="13.2">
      <c r="A1776" s="712">
        <v>1</v>
      </c>
      <c r="B1776" s="504" t="s">
        <v>283</v>
      </c>
      <c r="C1776" s="505"/>
      <c r="D1776" s="713" t="s">
        <v>596</v>
      </c>
      <c r="E1776" s="738">
        <f ca="1">IF(AND($A1776=0,$A$1="DIF"),0,ROUND(ROUND(SUMIF($L1778:$L1789,"SUBI",$E1778:$E1789)/$A1776,2)*$C$12,2))</f>
        <v>43.84</v>
      </c>
      <c r="F1776" s="739">
        <f ca="1">ROUND($A1776*$E1776,2)</f>
        <v>43.84</v>
      </c>
      <c r="G1776" s="506" t="s">
        <v>142</v>
      </c>
      <c r="H1776" s="498"/>
      <c r="I1776" s="716"/>
      <c r="J1776" s="498"/>
      <c r="K1776" s="740"/>
      <c r="L1776" s="741" t="s">
        <v>143</v>
      </c>
      <c r="M1776" s="717"/>
      <c r="N1776" s="717"/>
      <c r="O1776" s="717"/>
      <c r="P1776" s="717"/>
      <c r="Q1776" s="943" t="s">
        <v>855</v>
      </c>
      <c r="R1776" s="943" t="s">
        <v>870</v>
      </c>
      <c r="S1776"/>
      <c r="T1776" s="742" t="str">
        <f ca="1">IF(AND($R1795=0,$T1795=0),"0.00","mu :" &amp; ROUND($F1776/$C$12/($R1795+$T1795*$D$9),2))</f>
        <v>mu :1.35</v>
      </c>
      <c r="W1776" s="507"/>
      <c r="AG1776" s="743">
        <f ca="1">IF(A1776=0,0,ROUND(SUM(AG1778:AG1795)/A1776,2))</f>
        <v>7.51</v>
      </c>
      <c r="AH1776" s="743">
        <f ca="1">$AG1776*$A1776</f>
        <v>7.51</v>
      </c>
      <c r="AI1776" s="743">
        <f ca="1">$E1776-$AG1776</f>
        <v>36.330000000000005</v>
      </c>
      <c r="AJ1776" s="743">
        <f ca="1">$A1776*$AI1776</f>
        <v>36.330000000000005</v>
      </c>
      <c r="AK1776" s="744">
        <f ca="1">ROUND(($AG1776+$AI1776)*$A1776,2)</f>
        <v>43.84</v>
      </c>
      <c r="AM1776" s="510">
        <f ca="1">ROUND(R1795,2)</f>
        <v>5.56</v>
      </c>
      <c r="AN1776" s="511">
        <f ca="1">ROUND(T1795,2)</f>
        <v>0.98</v>
      </c>
      <c r="AO1776" s="512">
        <f ca="1">ROUND(AM1776+AN1776,2)*A1776</f>
        <v>6.54</v>
      </c>
    </row>
    <row r="1777" spans="1:33" s="501" customFormat="1" ht="21.6" customHeight="1">
      <c r="A1777" s="745"/>
      <c r="B1777" s="746"/>
      <c r="C1777" s="505"/>
      <c r="D1777" s="724" t="s">
        <v>440</v>
      </c>
      <c r="F1777" s="498"/>
      <c r="G1777" s="498"/>
      <c r="H1777" s="498"/>
      <c r="I1777" s="716"/>
      <c r="J1777" s="498"/>
      <c r="K1777" s="498" t="s">
        <v>144</v>
      </c>
      <c r="L1777" s="747"/>
      <c r="M1777" s="498"/>
      <c r="N1777" s="498"/>
      <c r="O1777" s="498"/>
      <c r="P1777" s="498"/>
      <c r="Q1777" s="44"/>
      <c r="R1777" s="567"/>
      <c r="S1777" s="719"/>
      <c r="T1777" s="498"/>
    </row>
    <row r="1778" spans="1:33" s="501" customFormat="1" ht="12">
      <c r="A1778" s="748"/>
      <c r="B1778" s="749"/>
      <c r="C1778" s="497"/>
      <c r="D1778" s="750"/>
      <c r="E1778" s="751">
        <f ca="1">F1776/$C$12-SUMIF($L1775:$L1795,"SUBI",$E1775:$E1795)</f>
        <v>0</v>
      </c>
      <c r="F1778" s="752" t="s">
        <v>572</v>
      </c>
      <c r="G1778" s="753"/>
      <c r="H1778" s="753"/>
      <c r="I1778" s="754"/>
      <c r="J1778" s="753"/>
      <c r="K1778" s="753"/>
      <c r="L1778" s="755"/>
      <c r="M1778" s="756"/>
      <c r="N1778" s="756"/>
      <c r="O1778" s="756"/>
      <c r="P1778" s="756"/>
      <c r="Q1778" s="757"/>
      <c r="R1778" s="758"/>
      <c r="S1778" s="757"/>
      <c r="T1778" s="759"/>
    </row>
    <row r="1779" spans="1:33" s="501" customFormat="1" ht="12" customHeight="1">
      <c r="A1779" s="760"/>
      <c r="B1779" s="761"/>
      <c r="C1779" s="762"/>
      <c r="D1779" s="762" t="str">
        <f>$F$2</f>
        <v>Electrical</v>
      </c>
      <c r="E1779" s="762">
        <f ca="1">ROUND(($R1783*$S$2 + ($T1783*$T$2)), 2)</f>
        <v>43.84</v>
      </c>
      <c r="F1779" s="763">
        <f ca="1">$E1779*$C$12</f>
        <v>43.84</v>
      </c>
      <c r="G1779" s="567"/>
      <c r="H1779" s="764"/>
      <c r="I1779" s="567"/>
      <c r="J1779" s="45"/>
      <c r="K1779" s="765" t="s">
        <v>3</v>
      </c>
      <c r="L1779" s="766" t="s">
        <v>573</v>
      </c>
      <c r="M1779" s="567"/>
      <c r="N1779" s="567"/>
      <c r="O1779" s="45"/>
      <c r="P1779" s="567"/>
      <c r="Q1779" s="567"/>
      <c r="R1779"/>
      <c r="S1779"/>
      <c r="T1779"/>
    </row>
    <row r="1780" spans="1:33" s="935" customFormat="1" ht="13.2">
      <c r="A1780"/>
      <c r="B1780" s="927"/>
      <c r="C1780" s="927" t="s">
        <v>735</v>
      </c>
      <c r="D1780" s="927" t="str">
        <f ca="1">CELL("Address",Elec_Rates!D$46)</f>
        <v>[E25_0465_IH_Retro_Elec4Mech_Est_Rev_A.xlsx]Elec_Rates!$D$46</v>
      </c>
      <c r="E1780" s="928"/>
      <c r="F1780" s="928"/>
      <c r="G1780" s="929" t="s">
        <v>736</v>
      </c>
      <c r="H1780" s="929"/>
      <c r="I1780" s="929"/>
      <c r="J1780" s="929"/>
      <c r="K1780" s="930"/>
      <c r="L1780" s="928"/>
      <c r="M1780" s="928"/>
      <c r="N1780" s="928"/>
      <c r="O1780" s="931"/>
      <c r="P1780" s="928"/>
      <c r="Q1780" s="932"/>
      <c r="R1780" s="933"/>
      <c r="S1780" s="932"/>
      <c r="T1780" s="560"/>
      <c r="U1780" s="934"/>
    </row>
    <row r="1781" spans="1:33" s="935" customFormat="1" ht="11.4">
      <c r="A1781" s="936">
        <v>1</v>
      </c>
      <c r="B1781" s="937">
        <v>1</v>
      </c>
      <c r="C1781" s="937">
        <f>$A1781*$B1781</f>
        <v>1</v>
      </c>
      <c r="D1781" s="938" t="str">
        <f>Elec_Rates!$D$46</f>
        <v>004# Connecting up of 3.0/4.0 kW 400Volt motor (VFD)</v>
      </c>
      <c r="E1781" s="938"/>
      <c r="F1781" s="938" t="s">
        <v>737</v>
      </c>
      <c r="G1781" s="939" t="s">
        <v>739</v>
      </c>
      <c r="H1781" s="939"/>
      <c r="I1781" s="939"/>
      <c r="J1781" s="939"/>
      <c r="K1781" s="940"/>
      <c r="L1781" s="934"/>
      <c r="M1781" s="934"/>
      <c r="N1781" s="934"/>
      <c r="O1781" s="941"/>
      <c r="P1781" s="938"/>
      <c r="Q1781" s="942">
        <f ca="1">$B1781*Elec_Rates!$R$46</f>
        <v>5.56</v>
      </c>
      <c r="R1781" s="933">
        <f ca="1">$A1781*Q1781</f>
        <v>5.56</v>
      </c>
      <c r="S1781" s="942">
        <f ca="1">$B1781*Elec_Rates!$T$46</f>
        <v>0.98</v>
      </c>
      <c r="T1781" s="560">
        <f ca="1">$A1781*S1781</f>
        <v>0.98</v>
      </c>
      <c r="U1781" s="484"/>
    </row>
    <row r="1782" spans="1:33" s="501" customFormat="1" ht="14.4" customHeight="1">
      <c r="A1782" s="767"/>
      <c r="B1782" s="567"/>
      <c r="C1782" s="567"/>
      <c r="D1782" s="567"/>
      <c r="E1782" s="567"/>
      <c r="F1782" s="567"/>
      <c r="G1782" s="567"/>
      <c r="H1782" s="764"/>
      <c r="I1782" s="567"/>
      <c r="J1782" s="45"/>
      <c r="K1782" s="769"/>
      <c r="L1782" s="770"/>
      <c r="M1782" s="567"/>
      <c r="N1782" s="567"/>
      <c r="O1782" s="45"/>
      <c r="P1782" s="567"/>
      <c r="Q1782" s="567"/>
      <c r="R1782" s="771">
        <f>$A1782*Q1782</f>
        <v>0</v>
      </c>
      <c r="S1782" s="567"/>
      <c r="T1782" s="500">
        <f>$A1782*S1782*$T$1</f>
        <v>0</v>
      </c>
    </row>
    <row r="1783" spans="1:33" s="501" customFormat="1" ht="12">
      <c r="A1783" s="772" t="s">
        <v>145</v>
      </c>
      <c r="B1783" s="773">
        <f>(R1782+T1782)</f>
        <v>0</v>
      </c>
      <c r="C1783" s="753"/>
      <c r="G1783" s="774"/>
      <c r="H1783" s="774"/>
      <c r="I1783" s="774"/>
      <c r="J1783" s="774"/>
      <c r="K1783" s="750" t="s">
        <v>3</v>
      </c>
      <c r="L1783" s="775" t="s">
        <v>573</v>
      </c>
      <c r="M1783" s="774"/>
      <c r="N1783" s="774"/>
      <c r="O1783" s="774"/>
      <c r="P1783" s="774"/>
      <c r="Q1783" s="776"/>
      <c r="R1783" s="777">
        <f ca="1">SUM(R1779:R1782)</f>
        <v>5.56</v>
      </c>
      <c r="S1783" s="778"/>
      <c r="T1783" s="777">
        <f ca="1">SUM(T1779:T1782)</f>
        <v>0.98</v>
      </c>
      <c r="AG1783" s="779">
        <f ca="1">ROUND($R1783*$S$2,2)</f>
        <v>7.51</v>
      </c>
    </row>
    <row r="1784" spans="1:33" s="501" customFormat="1" ht="12" customHeight="1">
      <c r="A1784" s="760"/>
      <c r="B1784" s="780"/>
      <c r="C1784" s="781"/>
      <c r="D1784" s="782" t="str">
        <f>$F$3</f>
        <v>Technician</v>
      </c>
      <c r="E1784" s="782">
        <f>ROUND(($R1788*$S$3 + ($T1788*$T$3)), 2)</f>
        <v>0</v>
      </c>
      <c r="F1784" s="783">
        <f>$E1784*$C$12</f>
        <v>0</v>
      </c>
      <c r="G1784" s="499"/>
      <c r="H1784" s="499"/>
      <c r="I1784" s="499"/>
      <c r="J1784" s="499"/>
      <c r="K1784" s="765" t="s">
        <v>5</v>
      </c>
      <c r="L1784" s="766" t="s">
        <v>573</v>
      </c>
      <c r="M1784" s="499"/>
      <c r="N1784" s="499"/>
      <c r="O1784" s="499"/>
      <c r="P1784" s="499"/>
      <c r="Q1784" s="499"/>
      <c r="R1784" s="784"/>
      <c r="S1784" s="499"/>
      <c r="T1784" s="784"/>
    </row>
    <row r="1785" spans="1:33" s="797" customFormat="1" ht="15.6" customHeight="1">
      <c r="A1785" s="785"/>
      <c r="B1785" s="768" t="s">
        <v>575</v>
      </c>
      <c r="C1785" s="786"/>
      <c r="D1785" s="787"/>
      <c r="E1785" s="787"/>
      <c r="F1785" s="787"/>
      <c r="G1785" s="788"/>
      <c r="H1785" s="789"/>
      <c r="I1785" s="789"/>
      <c r="J1785" s="790"/>
      <c r="K1785" s="791"/>
      <c r="L1785" s="786"/>
      <c r="M1785" s="792"/>
      <c r="N1785" s="793"/>
      <c r="O1785" s="794"/>
      <c r="P1785" s="795"/>
      <c r="Q1785" s="796"/>
      <c r="R1785" s="771">
        <f>$A1785*Q1785</f>
        <v>0</v>
      </c>
      <c r="S1785" s="567"/>
      <c r="T1785" s="500">
        <f>$A1785*S1785*$T$1</f>
        <v>0</v>
      </c>
    </row>
    <row r="1786" spans="1:33" s="501" customFormat="1" ht="15.6" customHeight="1">
      <c r="A1786" s="767"/>
      <c r="B1786" s="567"/>
      <c r="C1786" s="567"/>
      <c r="D1786" s="567"/>
      <c r="E1786" s="567"/>
      <c r="F1786" s="567"/>
      <c r="G1786" s="567"/>
      <c r="H1786" s="567"/>
      <c r="I1786" s="567"/>
      <c r="J1786" s="567"/>
      <c r="K1786" s="567"/>
      <c r="L1786" s="770"/>
      <c r="M1786" s="567"/>
      <c r="N1786" s="567"/>
      <c r="O1786" s="567"/>
      <c r="P1786" s="567"/>
      <c r="Q1786" s="567"/>
      <c r="R1786" s="771">
        <f>$A1786*Q1786</f>
        <v>0</v>
      </c>
      <c r="S1786" s="567"/>
      <c r="T1786" s="500">
        <f>$A1786*S1786*$T$1</f>
        <v>0</v>
      </c>
    </row>
    <row r="1787" spans="1:33" s="501" customFormat="1" ht="15.6" customHeight="1">
      <c r="A1787" s="767"/>
      <c r="B1787" s="567"/>
      <c r="C1787" s="567"/>
      <c r="D1787" s="3"/>
      <c r="E1787" s="567"/>
      <c r="F1787" s="567"/>
      <c r="G1787" s="567"/>
      <c r="H1787" s="567"/>
      <c r="I1787" s="567"/>
      <c r="J1787" s="567"/>
      <c r="K1787" s="567"/>
      <c r="L1787" s="770"/>
      <c r="M1787" s="567"/>
      <c r="N1787" s="567"/>
      <c r="O1787" s="567"/>
      <c r="P1787" s="567"/>
      <c r="Q1787" s="567"/>
      <c r="R1787" s="771">
        <f>$A1787*Q1787</f>
        <v>0</v>
      </c>
      <c r="S1787" s="567"/>
      <c r="T1787" s="500">
        <f>$A1787*S1787*$T$1</f>
        <v>0</v>
      </c>
    </row>
    <row r="1788" spans="1:33" s="501" customFormat="1" ht="12">
      <c r="A1788" s="772" t="s">
        <v>145</v>
      </c>
      <c r="B1788" s="773">
        <f>(R1787+T1787)</f>
        <v>0</v>
      </c>
      <c r="C1788" s="753"/>
      <c r="G1788" s="774"/>
      <c r="H1788" s="774"/>
      <c r="I1788" s="774"/>
      <c r="J1788" s="774"/>
      <c r="K1788" s="798" t="s">
        <v>5</v>
      </c>
      <c r="L1788" s="775" t="s">
        <v>573</v>
      </c>
      <c r="M1788" s="774"/>
      <c r="N1788" s="774"/>
      <c r="O1788" s="774"/>
      <c r="P1788" s="774"/>
      <c r="Q1788" s="776"/>
      <c r="R1788" s="777">
        <f>SUM(R1784:R1787)</f>
        <v>0</v>
      </c>
      <c r="S1788" s="778"/>
      <c r="T1788" s="777">
        <f>SUM(T1784:T1787)</f>
        <v>0</v>
      </c>
      <c r="AG1788" s="799">
        <f>ROUND($R1788*$S$3,2)</f>
        <v>0</v>
      </c>
    </row>
    <row r="1789" spans="1:33" s="501" customFormat="1" ht="12" customHeight="1">
      <c r="A1789" s="800"/>
      <c r="B1789" s="801"/>
      <c r="C1789" s="802"/>
      <c r="D1789" s="803" t="str">
        <f>$F$4</f>
        <v>Engineer (Man Hours)</v>
      </c>
      <c r="E1789" s="803">
        <f>ROUND(($R1793*$S$4 + ($T1793*$T$4)), 2)</f>
        <v>0</v>
      </c>
      <c r="F1789" s="804">
        <f ca="1">$F1776-SUMIF($L1778:$P1786,"SUBI",$F1778:$F1786)</f>
        <v>0</v>
      </c>
      <c r="G1789" s="499"/>
      <c r="H1789" s="499"/>
      <c r="I1789" s="499"/>
      <c r="J1789" s="499"/>
      <c r="K1789" s="805" t="s">
        <v>8</v>
      </c>
      <c r="L1789" s="766" t="s">
        <v>573</v>
      </c>
      <c r="M1789" s="499"/>
      <c r="N1789" s="499"/>
      <c r="O1789" s="499"/>
      <c r="P1789" s="499"/>
      <c r="Q1789" s="499"/>
      <c r="R1789" s="784"/>
      <c r="S1789" s="499"/>
      <c r="T1789" s="784"/>
    </row>
    <row r="1790" spans="1:33" s="797" customFormat="1" ht="14.4" customHeight="1">
      <c r="A1790" s="785"/>
      <c r="B1790" s="768" t="s">
        <v>576</v>
      </c>
      <c r="C1790" s="786"/>
      <c r="D1790" s="787"/>
      <c r="E1790" s="787"/>
      <c r="F1790" s="787"/>
      <c r="G1790" s="788"/>
      <c r="H1790" s="789"/>
      <c r="I1790" s="789"/>
      <c r="J1790" s="790"/>
      <c r="K1790" s="791"/>
      <c r="L1790" s="786"/>
      <c r="M1790" s="792"/>
      <c r="N1790" s="793"/>
      <c r="O1790" s="806"/>
      <c r="P1790" s="795"/>
      <c r="Q1790" s="796"/>
      <c r="R1790" s="720">
        <f>$A1790*Q1790</f>
        <v>0</v>
      </c>
      <c r="S1790" s="796"/>
      <c r="T1790" s="500">
        <f>$A1790*S1790*$T$1</f>
        <v>0</v>
      </c>
    </row>
    <row r="1791" spans="1:33" s="501" customFormat="1" ht="12">
      <c r="A1791" s="44"/>
      <c r="B1791" s="497"/>
      <c r="C1791" s="497"/>
      <c r="D1791" s="807"/>
      <c r="E1791" s="808"/>
      <c r="F1791" s="499"/>
      <c r="G1791" s="499"/>
      <c r="H1791" s="499"/>
      <c r="I1791" s="499"/>
      <c r="J1791" s="499"/>
      <c r="K1791" s="499"/>
      <c r="L1791" s="809"/>
      <c r="M1791" s="499"/>
      <c r="N1791" s="499"/>
      <c r="O1791" s="499"/>
      <c r="P1791" s="499"/>
      <c r="Q1791" s="499"/>
      <c r="R1791" s="720">
        <f>$A1791*Q1791</f>
        <v>0</v>
      </c>
      <c r="S1791" s="499"/>
      <c r="T1791" s="500">
        <f>$A1791*S1791*$T$1</f>
        <v>0</v>
      </c>
    </row>
    <row r="1792" spans="1:33" s="501" customFormat="1" ht="12">
      <c r="A1792" s="44"/>
      <c r="B1792" s="497"/>
      <c r="C1792" s="497"/>
      <c r="D1792" s="807"/>
      <c r="E1792" s="808"/>
      <c r="F1792" s="499"/>
      <c r="G1792" s="499"/>
      <c r="H1792" s="499"/>
      <c r="I1792" s="499"/>
      <c r="J1792" s="499"/>
      <c r="K1792" s="499"/>
      <c r="L1792" s="809"/>
      <c r="M1792" s="499"/>
      <c r="N1792" s="499"/>
      <c r="O1792" s="499"/>
      <c r="P1792" s="499"/>
      <c r="Q1792" s="499"/>
      <c r="R1792" s="720">
        <f>$A1792*Q1792</f>
        <v>0</v>
      </c>
      <c r="S1792" s="499"/>
      <c r="T1792" s="500">
        <f>$A1792*S1792*$T$1</f>
        <v>0</v>
      </c>
    </row>
    <row r="1793" spans="1:41" s="501" customFormat="1" ht="12.75" customHeight="1">
      <c r="A1793" s="772" t="s">
        <v>145</v>
      </c>
      <c r="B1793" s="773">
        <f>(R1792+T1792)</f>
        <v>0</v>
      </c>
      <c r="C1793" s="810"/>
      <c r="D1793" s="810"/>
      <c r="E1793" s="810"/>
      <c r="F1793" s="810"/>
      <c r="G1793" s="776"/>
      <c r="H1793" s="776"/>
      <c r="I1793" s="776"/>
      <c r="J1793" s="776"/>
      <c r="K1793" s="798" t="s">
        <v>8</v>
      </c>
      <c r="L1793" s="811" t="s">
        <v>573</v>
      </c>
      <c r="M1793" s="776"/>
      <c r="N1793" s="776"/>
      <c r="O1793" s="776"/>
      <c r="P1793" s="776"/>
      <c r="Q1793" s="776"/>
      <c r="R1793" s="777">
        <f>SUM(R1789:R1792)</f>
        <v>0</v>
      </c>
      <c r="S1793" s="778"/>
      <c r="T1793" s="777">
        <f>SUM(T1789:T1792)</f>
        <v>0</v>
      </c>
      <c r="AG1793" s="812">
        <f>ROUND($R1793*$S$4,2)</f>
        <v>0</v>
      </c>
    </row>
    <row r="1794" spans="1:41" s="501" customFormat="1" ht="12.75" customHeight="1">
      <c r="A1794" s="813"/>
      <c r="B1794" s="814"/>
      <c r="E1794" s="497"/>
      <c r="F1794" s="808"/>
      <c r="G1794" s="497"/>
      <c r="H1794" s="497"/>
      <c r="I1794" s="499"/>
      <c r="J1794" s="497"/>
      <c r="K1794" s="497"/>
      <c r="L1794" s="815"/>
      <c r="M1794" s="725"/>
      <c r="N1794" s="725"/>
      <c r="O1794" s="725"/>
      <c r="P1794" s="725"/>
      <c r="Q1794" s="726"/>
      <c r="R1794" s="784"/>
      <c r="S1794" s="497"/>
      <c r="T1794" s="784"/>
    </row>
    <row r="1795" spans="1:41" s="501" customFormat="1" ht="13.2" customHeight="1" thickBot="1">
      <c r="A1795" s="816"/>
      <c r="B1795" s="817"/>
      <c r="C1795" s="518"/>
      <c r="D1795" s="518"/>
      <c r="E1795" s="515"/>
      <c r="F1795" s="721"/>
      <c r="G1795" s="515" t="s">
        <v>146</v>
      </c>
      <c r="H1795" s="515"/>
      <c r="I1795" s="516"/>
      <c r="J1795" s="515"/>
      <c r="K1795" s="515"/>
      <c r="L1795" s="818" t="s">
        <v>143</v>
      </c>
      <c r="M1795" s="517"/>
      <c r="N1795" s="517"/>
      <c r="O1795" s="517"/>
      <c r="P1795" s="517"/>
      <c r="Q1795" s="722"/>
      <c r="R1795" s="819">
        <f ca="1">SUMIF($L1777:$L1794,"SUBI",R1777:R1794)</f>
        <v>5.56</v>
      </c>
      <c r="S1795" s="820"/>
      <c r="T1795" s="819">
        <f ca="1">SUMIF($L1777:$L1794,"SUBI",T1777:T1794)</f>
        <v>0.98</v>
      </c>
      <c r="U1795" s="518"/>
      <c r="V1795" s="518"/>
      <c r="W1795" s="518"/>
      <c r="X1795" s="518"/>
      <c r="Y1795" s="518"/>
      <c r="Z1795" s="518"/>
      <c r="AA1795" s="518"/>
      <c r="AB1795" s="518"/>
      <c r="AC1795" s="518"/>
      <c r="AD1795" s="518"/>
      <c r="AE1795" s="518"/>
      <c r="AF1795" s="518"/>
      <c r="AG1795" s="518"/>
      <c r="AH1795" s="518"/>
      <c r="AI1795" s="518"/>
      <c r="AJ1795" s="518"/>
      <c r="AK1795" s="518"/>
      <c r="AL1795" s="518"/>
      <c r="AM1795" s="518"/>
      <c r="AN1795" s="518"/>
      <c r="AO1795" s="518"/>
    </row>
    <row r="1796" spans="1:41" s="501" customFormat="1" thickTop="1">
      <c r="A1796" s="44"/>
      <c r="B1796" s="44"/>
      <c r="C1796" s="3"/>
      <c r="D1796" s="3"/>
      <c r="E1796" s="44"/>
      <c r="F1796" s="44"/>
      <c r="G1796" s="44"/>
      <c r="H1796" s="44"/>
      <c r="I1796" s="44"/>
      <c r="J1796" s="44"/>
      <c r="K1796" s="44" t="s">
        <v>134</v>
      </c>
      <c r="L1796" s="44"/>
      <c r="M1796" s="44"/>
      <c r="N1796" s="44"/>
      <c r="O1796" s="45"/>
      <c r="P1796" s="44"/>
      <c r="Q1796" s="44"/>
      <c r="R1796" s="44"/>
      <c r="S1796" s="44"/>
      <c r="T1796" s="44"/>
    </row>
    <row r="1797" spans="1:41" s="501" customFormat="1" ht="12">
      <c r="A1797" s="44"/>
      <c r="B1797" s="44"/>
      <c r="C1797" s="44" t="s">
        <v>135</v>
      </c>
      <c r="D1797" s="35" t="s">
        <v>602</v>
      </c>
      <c r="E1797" s="44"/>
      <c r="F1797" s="44"/>
      <c r="G1797" s="44"/>
      <c r="H1797" s="44"/>
      <c r="I1797" s="44"/>
      <c r="J1797" s="44"/>
      <c r="K1797" s="44"/>
      <c r="L1797" s="44"/>
      <c r="M1797" s="44"/>
      <c r="N1797" s="44"/>
      <c r="O1797" s="45"/>
      <c r="P1797" s="44"/>
      <c r="Q1797" s="44"/>
      <c r="R1797" s="44"/>
      <c r="S1797" s="44"/>
      <c r="T1797" s="44"/>
    </row>
    <row r="1798" spans="1:41" s="501" customFormat="1" ht="39.9" customHeight="1">
      <c r="A1798" s="44"/>
      <c r="B1798" s="44"/>
      <c r="C1798" s="44"/>
      <c r="D1798" s="1185" t="s">
        <v>441</v>
      </c>
      <c r="E1798" s="1184"/>
      <c r="F1798" s="1184"/>
      <c r="G1798" s="1184"/>
      <c r="H1798" s="1184"/>
      <c r="I1798" s="1184"/>
      <c r="J1798" s="1184"/>
      <c r="K1798" s="1184"/>
      <c r="L1798" s="1184"/>
      <c r="M1798" s="1184"/>
      <c r="N1798" s="1184"/>
      <c r="O1798" s="1184"/>
      <c r="P1798" s="1184"/>
      <c r="Q1798" s="1184"/>
      <c r="R1798" s="1184"/>
      <c r="S1798" s="1184"/>
      <c r="T1798" s="1184"/>
    </row>
    <row r="1799" spans="1:41" s="3" customFormat="1" thickBot="1">
      <c r="A1799" s="518"/>
      <c r="O1799" s="86"/>
    </row>
    <row r="1800" spans="1:41" s="501" customFormat="1" thickTop="1">
      <c r="A1800" s="44"/>
      <c r="B1800" s="39"/>
      <c r="C1800" s="44"/>
      <c r="E1800" s="40" t="s">
        <v>138</v>
      </c>
      <c r="F1800" s="40" t="s">
        <v>139</v>
      </c>
      <c r="G1800" s="44"/>
      <c r="H1800" s="44"/>
      <c r="I1800" s="44"/>
      <c r="J1800" s="44"/>
      <c r="K1800" s="44" t="s">
        <v>140</v>
      </c>
      <c r="L1800" s="737"/>
      <c r="M1800" s="44"/>
      <c r="N1800" s="44"/>
      <c r="O1800" s="45"/>
      <c r="P1800" s="44"/>
      <c r="Q1800"/>
      <c r="R1800"/>
      <c r="S1800"/>
      <c r="T1800" s="39"/>
      <c r="AG1800" s="502" t="s">
        <v>247</v>
      </c>
      <c r="AH1800" s="502" t="s">
        <v>248</v>
      </c>
      <c r="AI1800" s="502" t="s">
        <v>249</v>
      </c>
      <c r="AJ1800" s="502" t="s">
        <v>250</v>
      </c>
      <c r="AK1800" s="502" t="s">
        <v>251</v>
      </c>
      <c r="AM1800" s="710" t="s">
        <v>260</v>
      </c>
      <c r="AN1800" s="711" t="s">
        <v>261</v>
      </c>
      <c r="AO1800" s="503" t="s">
        <v>257</v>
      </c>
    </row>
    <row r="1801" spans="1:41" s="501" customFormat="1" ht="13.2">
      <c r="A1801" s="712">
        <v>1</v>
      </c>
      <c r="B1801" s="504" t="s">
        <v>283</v>
      </c>
      <c r="C1801" s="505"/>
      <c r="D1801" s="713" t="s">
        <v>577</v>
      </c>
      <c r="E1801" s="738">
        <f ca="1">IF(AND($A1801=0,$A$1="DIF"),0,ROUND(ROUND(SUMIF($L1803:$L1814,"SUBI",$E1803:$E1814)/$A1801,2)*$C$12,2))</f>
        <v>43.84</v>
      </c>
      <c r="F1801" s="739">
        <f ca="1">ROUND($A1801*$E1801,2)</f>
        <v>43.84</v>
      </c>
      <c r="G1801" s="506" t="s">
        <v>142</v>
      </c>
      <c r="H1801" s="498"/>
      <c r="I1801" s="716"/>
      <c r="J1801" s="498"/>
      <c r="K1801" s="740"/>
      <c r="L1801" s="741" t="s">
        <v>143</v>
      </c>
      <c r="M1801" s="717"/>
      <c r="N1801" s="717"/>
      <c r="O1801" s="717"/>
      <c r="P1801" s="717"/>
      <c r="Q1801" s="943" t="s">
        <v>855</v>
      </c>
      <c r="R1801" s="943" t="s">
        <v>870</v>
      </c>
      <c r="S1801"/>
      <c r="T1801" s="742" t="str">
        <f ca="1">IF(AND($R1820=0,$T1820=0),"0.00","mu :" &amp; ROUND($F1801/$C$12/($R1820+$T1820*$D$9),2))</f>
        <v>mu :1.35</v>
      </c>
      <c r="W1801" s="507"/>
      <c r="AG1801" s="743">
        <f ca="1">IF(A1801=0,0,ROUND(SUM(AG1803:AG1820)/A1801,2))</f>
        <v>7.51</v>
      </c>
      <c r="AH1801" s="743">
        <f ca="1">$AG1801*$A1801</f>
        <v>7.51</v>
      </c>
      <c r="AI1801" s="743">
        <f ca="1">$E1801-$AG1801</f>
        <v>36.330000000000005</v>
      </c>
      <c r="AJ1801" s="743">
        <f ca="1">$A1801*$AI1801</f>
        <v>36.330000000000005</v>
      </c>
      <c r="AK1801" s="744">
        <f ca="1">ROUND(($AG1801+$AI1801)*$A1801,2)</f>
        <v>43.84</v>
      </c>
      <c r="AM1801" s="510">
        <f ca="1">ROUND(R1820,2)</f>
        <v>5.56</v>
      </c>
      <c r="AN1801" s="511">
        <f ca="1">ROUND(T1820,2)</f>
        <v>0.98</v>
      </c>
      <c r="AO1801" s="512">
        <f ca="1">ROUND(AM1801+AN1801,2)*A1801</f>
        <v>6.54</v>
      </c>
    </row>
    <row r="1802" spans="1:41" s="501" customFormat="1" ht="21.6" customHeight="1">
      <c r="A1802" s="745"/>
      <c r="B1802" s="746"/>
      <c r="C1802" s="505"/>
      <c r="D1802" s="724" t="s">
        <v>442</v>
      </c>
      <c r="F1802" s="498"/>
      <c r="G1802" s="498"/>
      <c r="H1802" s="498"/>
      <c r="I1802" s="716"/>
      <c r="J1802" s="498"/>
      <c r="K1802" s="498" t="s">
        <v>144</v>
      </c>
      <c r="L1802" s="747"/>
      <c r="M1802" s="498"/>
      <c r="N1802" s="498"/>
      <c r="O1802" s="498"/>
      <c r="P1802" s="498"/>
      <c r="Q1802" s="44"/>
      <c r="R1802" s="567"/>
      <c r="S1802" s="719"/>
      <c r="T1802" s="498"/>
    </row>
    <row r="1803" spans="1:41" s="501" customFormat="1" ht="12">
      <c r="A1803" s="748"/>
      <c r="B1803" s="749"/>
      <c r="C1803" s="497"/>
      <c r="D1803" s="750"/>
      <c r="E1803" s="751">
        <f ca="1">F1801/$C$12-SUMIF($L1800:$L1820,"SUBI",$E1800:$E1820)</f>
        <v>0</v>
      </c>
      <c r="F1803" s="752" t="s">
        <v>572</v>
      </c>
      <c r="G1803" s="753"/>
      <c r="H1803" s="753"/>
      <c r="I1803" s="754"/>
      <c r="J1803" s="753"/>
      <c r="K1803" s="753"/>
      <c r="L1803" s="755"/>
      <c r="M1803" s="756"/>
      <c r="N1803" s="756"/>
      <c r="O1803" s="756"/>
      <c r="P1803" s="756"/>
      <c r="Q1803" s="757"/>
      <c r="R1803" s="758"/>
      <c r="S1803" s="757"/>
      <c r="T1803" s="759"/>
    </row>
    <row r="1804" spans="1:41" s="501" customFormat="1" ht="12" customHeight="1">
      <c r="A1804" s="760"/>
      <c r="B1804" s="761"/>
      <c r="C1804" s="762"/>
      <c r="D1804" s="762" t="str">
        <f>$F$2</f>
        <v>Electrical</v>
      </c>
      <c r="E1804" s="762">
        <f ca="1">ROUND(($R1808*$S$2 + ($T1808*$T$2)), 2)</f>
        <v>43.84</v>
      </c>
      <c r="F1804" s="763">
        <f ca="1">$E1804*$C$12</f>
        <v>43.84</v>
      </c>
      <c r="G1804" s="567"/>
      <c r="H1804" s="764"/>
      <c r="I1804" s="567"/>
      <c r="J1804" s="45"/>
      <c r="K1804" s="765" t="s">
        <v>3</v>
      </c>
      <c r="L1804" s="766" t="s">
        <v>573</v>
      </c>
      <c r="M1804" s="567"/>
      <c r="N1804" s="567"/>
      <c r="O1804" s="45"/>
      <c r="P1804" s="567"/>
      <c r="Q1804" s="567"/>
      <c r="R1804"/>
      <c r="S1804"/>
      <c r="T1804"/>
    </row>
    <row r="1805" spans="1:41" s="935" customFormat="1" ht="13.2">
      <c r="A1805"/>
      <c r="B1805" s="927"/>
      <c r="C1805" s="927" t="s">
        <v>735</v>
      </c>
      <c r="D1805" s="927" t="str">
        <f ca="1">CELL("Address",Elec_Rates!D$46)</f>
        <v>[E25_0465_IH_Retro_Elec4Mech_Est_Rev_A.xlsx]Elec_Rates!$D$46</v>
      </c>
      <c r="E1805" s="928"/>
      <c r="F1805" s="928"/>
      <c r="G1805" s="929" t="s">
        <v>736</v>
      </c>
      <c r="H1805" s="929"/>
      <c r="I1805" s="929"/>
      <c r="J1805" s="929"/>
      <c r="K1805" s="930"/>
      <c r="L1805" s="928"/>
      <c r="M1805" s="928"/>
      <c r="N1805" s="928"/>
      <c r="O1805" s="931"/>
      <c r="P1805" s="928"/>
      <c r="Q1805" s="932"/>
      <c r="R1805" s="933"/>
      <c r="S1805" s="932"/>
      <c r="T1805" s="560"/>
      <c r="U1805" s="934"/>
    </row>
    <row r="1806" spans="1:41" s="935" customFormat="1" ht="11.4">
      <c r="A1806" s="936">
        <v>1</v>
      </c>
      <c r="B1806" s="937">
        <v>1</v>
      </c>
      <c r="C1806" s="937">
        <f>$A1806*$B1806</f>
        <v>1</v>
      </c>
      <c r="D1806" s="938" t="str">
        <f>Elec_Rates!$D$46</f>
        <v>004# Connecting up of 3.0/4.0 kW 400Volt motor (VFD)</v>
      </c>
      <c r="E1806" s="938"/>
      <c r="F1806" s="938" t="s">
        <v>737</v>
      </c>
      <c r="G1806" s="939" t="s">
        <v>739</v>
      </c>
      <c r="H1806" s="939"/>
      <c r="I1806" s="939"/>
      <c r="J1806" s="939"/>
      <c r="K1806" s="940"/>
      <c r="L1806" s="934"/>
      <c r="M1806" s="934"/>
      <c r="N1806" s="934"/>
      <c r="O1806" s="941"/>
      <c r="P1806" s="938"/>
      <c r="Q1806" s="942">
        <f ca="1">$B1806*Elec_Rates!$R$46</f>
        <v>5.56</v>
      </c>
      <c r="R1806" s="933">
        <f ca="1">$A1806*Q1806</f>
        <v>5.56</v>
      </c>
      <c r="S1806" s="942">
        <f ca="1">$B1806*Elec_Rates!$T$46</f>
        <v>0.98</v>
      </c>
      <c r="T1806" s="560">
        <f ca="1">$A1806*S1806</f>
        <v>0.98</v>
      </c>
      <c r="U1806" s="484"/>
    </row>
    <row r="1807" spans="1:41" s="501" customFormat="1" ht="14.4" customHeight="1">
      <c r="A1807" s="767"/>
      <c r="B1807" s="567"/>
      <c r="C1807" s="567"/>
      <c r="D1807" s="567"/>
      <c r="E1807" s="567"/>
      <c r="F1807" s="567"/>
      <c r="G1807" s="567"/>
      <c r="H1807" s="764"/>
      <c r="I1807" s="567"/>
      <c r="J1807" s="45"/>
      <c r="K1807" s="769"/>
      <c r="L1807" s="770"/>
      <c r="M1807" s="567"/>
      <c r="N1807" s="567"/>
      <c r="O1807" s="45"/>
      <c r="P1807" s="567"/>
      <c r="Q1807" s="567"/>
      <c r="R1807" s="771">
        <f>$A1807*Q1807</f>
        <v>0</v>
      </c>
      <c r="S1807" s="567"/>
      <c r="T1807" s="500">
        <f>$A1807*S1807*$T$1</f>
        <v>0</v>
      </c>
    </row>
    <row r="1808" spans="1:41" s="501" customFormat="1" ht="12">
      <c r="A1808" s="772" t="s">
        <v>145</v>
      </c>
      <c r="B1808" s="773">
        <f>(R1807+T1807)</f>
        <v>0</v>
      </c>
      <c r="C1808" s="753"/>
      <c r="G1808" s="774"/>
      <c r="H1808" s="774"/>
      <c r="I1808" s="774"/>
      <c r="J1808" s="774"/>
      <c r="K1808" s="750" t="s">
        <v>3</v>
      </c>
      <c r="L1808" s="775" t="s">
        <v>573</v>
      </c>
      <c r="M1808" s="774"/>
      <c r="N1808" s="774"/>
      <c r="O1808" s="774"/>
      <c r="P1808" s="774"/>
      <c r="Q1808" s="776"/>
      <c r="R1808" s="777">
        <f ca="1">SUM(R1804:R1807)</f>
        <v>5.56</v>
      </c>
      <c r="S1808" s="778"/>
      <c r="T1808" s="777">
        <f ca="1">SUM(T1804:T1807)</f>
        <v>0.98</v>
      </c>
      <c r="AG1808" s="779">
        <f ca="1">ROUND($R1808*$S$2,2)</f>
        <v>7.51</v>
      </c>
    </row>
    <row r="1809" spans="1:41" s="501" customFormat="1" ht="12" customHeight="1">
      <c r="A1809" s="760"/>
      <c r="B1809" s="780"/>
      <c r="C1809" s="781"/>
      <c r="D1809" s="782" t="str">
        <f>$F$3</f>
        <v>Technician</v>
      </c>
      <c r="E1809" s="782">
        <f>ROUND(($R1813*$S$3 + ($T1813*$T$3)), 2)</f>
        <v>0</v>
      </c>
      <c r="F1809" s="783">
        <f>$E1809*$C$12</f>
        <v>0</v>
      </c>
      <c r="G1809" s="499"/>
      <c r="H1809" s="499"/>
      <c r="I1809" s="499"/>
      <c r="J1809" s="499"/>
      <c r="K1809" s="765" t="s">
        <v>5</v>
      </c>
      <c r="L1809" s="766" t="s">
        <v>573</v>
      </c>
      <c r="M1809" s="499"/>
      <c r="N1809" s="499"/>
      <c r="O1809" s="499"/>
      <c r="P1809" s="499"/>
      <c r="Q1809" s="499"/>
      <c r="R1809" s="784"/>
      <c r="S1809" s="499"/>
      <c r="T1809" s="784"/>
    </row>
    <row r="1810" spans="1:41" s="797" customFormat="1" ht="15.6" customHeight="1">
      <c r="A1810" s="785"/>
      <c r="B1810" s="768" t="s">
        <v>575</v>
      </c>
      <c r="C1810" s="786"/>
      <c r="D1810" s="787"/>
      <c r="E1810" s="787"/>
      <c r="F1810" s="787"/>
      <c r="G1810" s="788"/>
      <c r="H1810" s="789"/>
      <c r="I1810" s="789"/>
      <c r="J1810" s="790"/>
      <c r="K1810" s="791"/>
      <c r="L1810" s="786"/>
      <c r="M1810" s="792"/>
      <c r="N1810" s="793"/>
      <c r="O1810" s="794"/>
      <c r="P1810" s="795"/>
      <c r="Q1810" s="796"/>
      <c r="R1810" s="771">
        <f>$A1810*Q1810</f>
        <v>0</v>
      </c>
      <c r="S1810" s="567"/>
      <c r="T1810" s="500">
        <f>$A1810*S1810*$T$1</f>
        <v>0</v>
      </c>
    </row>
    <row r="1811" spans="1:41" s="501" customFormat="1" ht="15.6" customHeight="1">
      <c r="A1811" s="767"/>
      <c r="B1811" s="567"/>
      <c r="C1811" s="567"/>
      <c r="D1811" s="567"/>
      <c r="E1811" s="567"/>
      <c r="F1811" s="567"/>
      <c r="G1811" s="567"/>
      <c r="H1811" s="567"/>
      <c r="I1811" s="567"/>
      <c r="J1811" s="567"/>
      <c r="K1811" s="567"/>
      <c r="L1811" s="770"/>
      <c r="M1811" s="567"/>
      <c r="N1811" s="567"/>
      <c r="O1811" s="567"/>
      <c r="P1811" s="567"/>
      <c r="Q1811" s="567"/>
      <c r="R1811" s="771">
        <f>$A1811*Q1811</f>
        <v>0</v>
      </c>
      <c r="S1811" s="567"/>
      <c r="T1811" s="500">
        <f>$A1811*S1811*$T$1</f>
        <v>0</v>
      </c>
    </row>
    <row r="1812" spans="1:41" s="501" customFormat="1" ht="15.6" customHeight="1">
      <c r="A1812" s="767"/>
      <c r="B1812" s="567"/>
      <c r="C1812" s="567"/>
      <c r="D1812" s="3"/>
      <c r="E1812" s="567"/>
      <c r="F1812" s="567"/>
      <c r="G1812" s="567"/>
      <c r="H1812" s="567"/>
      <c r="I1812" s="567"/>
      <c r="J1812" s="567"/>
      <c r="K1812" s="567"/>
      <c r="L1812" s="770"/>
      <c r="M1812" s="567"/>
      <c r="N1812" s="567"/>
      <c r="O1812" s="567"/>
      <c r="P1812" s="567"/>
      <c r="Q1812" s="567"/>
      <c r="R1812" s="771">
        <f>$A1812*Q1812</f>
        <v>0</v>
      </c>
      <c r="S1812" s="567"/>
      <c r="T1812" s="500">
        <f>$A1812*S1812*$T$1</f>
        <v>0</v>
      </c>
    </row>
    <row r="1813" spans="1:41" s="501" customFormat="1" ht="12">
      <c r="A1813" s="772" t="s">
        <v>145</v>
      </c>
      <c r="B1813" s="773">
        <f>(R1812+T1812)</f>
        <v>0</v>
      </c>
      <c r="C1813" s="753"/>
      <c r="G1813" s="774"/>
      <c r="H1813" s="774"/>
      <c r="I1813" s="774"/>
      <c r="J1813" s="774"/>
      <c r="K1813" s="798" t="s">
        <v>5</v>
      </c>
      <c r="L1813" s="775" t="s">
        <v>573</v>
      </c>
      <c r="M1813" s="774"/>
      <c r="N1813" s="774"/>
      <c r="O1813" s="774"/>
      <c r="P1813" s="774"/>
      <c r="Q1813" s="776"/>
      <c r="R1813" s="777">
        <f>SUM(R1809:R1812)</f>
        <v>0</v>
      </c>
      <c r="S1813" s="778"/>
      <c r="T1813" s="777">
        <f>SUM(T1809:T1812)</f>
        <v>0</v>
      </c>
      <c r="AG1813" s="799">
        <f>ROUND($R1813*$S$3,2)</f>
        <v>0</v>
      </c>
    </row>
    <row r="1814" spans="1:41" s="501" customFormat="1" ht="12" customHeight="1">
      <c r="A1814" s="800"/>
      <c r="B1814" s="801"/>
      <c r="C1814" s="802"/>
      <c r="D1814" s="803" t="str">
        <f>$F$4</f>
        <v>Engineer (Man Hours)</v>
      </c>
      <c r="E1814" s="803">
        <f>ROUND(($R1818*$S$4 + ($T1818*$T$4)), 2)</f>
        <v>0</v>
      </c>
      <c r="F1814" s="804">
        <f ca="1">$F1801-SUMIF($L1803:$P1811,"SUBI",$F1803:$F1811)</f>
        <v>0</v>
      </c>
      <c r="G1814" s="499"/>
      <c r="H1814" s="499"/>
      <c r="I1814" s="499"/>
      <c r="J1814" s="499"/>
      <c r="K1814" s="805" t="s">
        <v>8</v>
      </c>
      <c r="L1814" s="766" t="s">
        <v>573</v>
      </c>
      <c r="M1814" s="499"/>
      <c r="N1814" s="499"/>
      <c r="O1814" s="499"/>
      <c r="P1814" s="499"/>
      <c r="Q1814" s="499"/>
      <c r="R1814" s="784"/>
      <c r="S1814" s="499"/>
      <c r="T1814" s="784"/>
    </row>
    <row r="1815" spans="1:41" s="797" customFormat="1" ht="14.4" customHeight="1">
      <c r="A1815" s="785"/>
      <c r="B1815" s="768" t="s">
        <v>576</v>
      </c>
      <c r="C1815" s="786"/>
      <c r="D1815" s="787"/>
      <c r="E1815" s="787"/>
      <c r="F1815" s="787"/>
      <c r="G1815" s="788"/>
      <c r="H1815" s="789"/>
      <c r="I1815" s="789"/>
      <c r="J1815" s="790"/>
      <c r="K1815" s="791"/>
      <c r="L1815" s="786"/>
      <c r="M1815" s="792"/>
      <c r="N1815" s="793"/>
      <c r="O1815" s="806"/>
      <c r="P1815" s="795"/>
      <c r="Q1815" s="796"/>
      <c r="R1815" s="720">
        <f>$A1815*Q1815</f>
        <v>0</v>
      </c>
      <c r="S1815" s="796"/>
      <c r="T1815" s="500">
        <f>$A1815*S1815*$T$1</f>
        <v>0</v>
      </c>
    </row>
    <row r="1816" spans="1:41" s="501" customFormat="1" ht="12">
      <c r="A1816" s="44"/>
      <c r="B1816" s="497"/>
      <c r="C1816" s="497"/>
      <c r="D1816" s="807"/>
      <c r="E1816" s="808"/>
      <c r="F1816" s="499"/>
      <c r="G1816" s="499"/>
      <c r="H1816" s="499"/>
      <c r="I1816" s="499"/>
      <c r="J1816" s="499"/>
      <c r="K1816" s="499"/>
      <c r="L1816" s="809"/>
      <c r="M1816" s="499"/>
      <c r="N1816" s="499"/>
      <c r="O1816" s="499"/>
      <c r="P1816" s="499"/>
      <c r="Q1816" s="499"/>
      <c r="R1816" s="720">
        <f>$A1816*Q1816</f>
        <v>0</v>
      </c>
      <c r="S1816" s="499"/>
      <c r="T1816" s="500">
        <f>$A1816*S1816*$T$1</f>
        <v>0</v>
      </c>
    </row>
    <row r="1817" spans="1:41" s="501" customFormat="1" ht="12">
      <c r="A1817" s="44"/>
      <c r="B1817" s="497"/>
      <c r="C1817" s="497"/>
      <c r="D1817" s="807"/>
      <c r="E1817" s="808"/>
      <c r="F1817" s="499"/>
      <c r="G1817" s="499"/>
      <c r="H1817" s="499"/>
      <c r="I1817" s="499"/>
      <c r="J1817" s="499"/>
      <c r="K1817" s="499"/>
      <c r="L1817" s="809"/>
      <c r="M1817" s="499"/>
      <c r="N1817" s="499"/>
      <c r="O1817" s="499"/>
      <c r="P1817" s="499"/>
      <c r="Q1817" s="499"/>
      <c r="R1817" s="720">
        <f>$A1817*Q1817</f>
        <v>0</v>
      </c>
      <c r="S1817" s="499"/>
      <c r="T1817" s="500">
        <f>$A1817*S1817*$T$1</f>
        <v>0</v>
      </c>
    </row>
    <row r="1818" spans="1:41" s="501" customFormat="1" ht="12.75" customHeight="1">
      <c r="A1818" s="772" t="s">
        <v>145</v>
      </c>
      <c r="B1818" s="773">
        <f>(R1817+T1817)</f>
        <v>0</v>
      </c>
      <c r="C1818" s="810"/>
      <c r="D1818" s="810"/>
      <c r="E1818" s="810"/>
      <c r="F1818" s="810"/>
      <c r="G1818" s="776"/>
      <c r="H1818" s="776"/>
      <c r="I1818" s="776"/>
      <c r="J1818" s="776"/>
      <c r="K1818" s="798" t="s">
        <v>8</v>
      </c>
      <c r="L1818" s="811" t="s">
        <v>573</v>
      </c>
      <c r="M1818" s="776"/>
      <c r="N1818" s="776"/>
      <c r="O1818" s="776"/>
      <c r="P1818" s="776"/>
      <c r="Q1818" s="776"/>
      <c r="R1818" s="777">
        <f>SUM(R1814:R1817)</f>
        <v>0</v>
      </c>
      <c r="S1818" s="778"/>
      <c r="T1818" s="777">
        <f>SUM(T1814:T1817)</f>
        <v>0</v>
      </c>
      <c r="AG1818" s="812">
        <f>ROUND($R1818*$S$4,2)</f>
        <v>0</v>
      </c>
    </row>
    <row r="1819" spans="1:41" s="501" customFormat="1" ht="12.75" customHeight="1">
      <c r="A1819" s="813"/>
      <c r="B1819" s="814"/>
      <c r="E1819" s="497"/>
      <c r="F1819" s="808"/>
      <c r="G1819" s="497"/>
      <c r="H1819" s="497"/>
      <c r="I1819" s="499"/>
      <c r="J1819" s="497"/>
      <c r="K1819" s="497"/>
      <c r="L1819" s="815"/>
      <c r="M1819" s="725"/>
      <c r="N1819" s="725"/>
      <c r="O1819" s="725"/>
      <c r="P1819" s="725"/>
      <c r="Q1819" s="726"/>
      <c r="R1819" s="784"/>
      <c r="S1819" s="497"/>
      <c r="T1819" s="784"/>
    </row>
    <row r="1820" spans="1:41" s="501" customFormat="1" ht="13.5" customHeight="1" thickBot="1">
      <c r="A1820" s="816"/>
      <c r="B1820" s="817"/>
      <c r="C1820" s="518"/>
      <c r="D1820" s="518"/>
      <c r="E1820" s="515"/>
      <c r="F1820" s="721"/>
      <c r="G1820" s="515" t="s">
        <v>146</v>
      </c>
      <c r="H1820" s="515"/>
      <c r="I1820" s="516"/>
      <c r="J1820" s="515"/>
      <c r="K1820" s="515"/>
      <c r="L1820" s="818" t="s">
        <v>143</v>
      </c>
      <c r="M1820" s="517"/>
      <c r="N1820" s="517"/>
      <c r="O1820" s="517"/>
      <c r="P1820" s="517"/>
      <c r="Q1820" s="722"/>
      <c r="R1820" s="819">
        <f ca="1">SUMIF($L1802:$L1819,"SUBI",R1802:R1819)</f>
        <v>5.56</v>
      </c>
      <c r="S1820" s="820"/>
      <c r="T1820" s="819">
        <f ca="1">SUMIF($L1802:$L1819,"SUBI",T1802:T1819)</f>
        <v>0.98</v>
      </c>
      <c r="U1820" s="518"/>
      <c r="V1820" s="518"/>
      <c r="W1820" s="518"/>
      <c r="X1820" s="518"/>
      <c r="Y1820" s="518"/>
      <c r="Z1820" s="518"/>
      <c r="AA1820" s="518"/>
      <c r="AB1820" s="518"/>
      <c r="AC1820" s="518"/>
      <c r="AD1820" s="518"/>
      <c r="AE1820" s="518"/>
      <c r="AF1820" s="518"/>
      <c r="AG1820" s="518"/>
      <c r="AH1820" s="518"/>
      <c r="AI1820" s="518"/>
      <c r="AJ1820" s="518"/>
      <c r="AK1820" s="518"/>
      <c r="AL1820" s="518"/>
      <c r="AM1820" s="518"/>
      <c r="AN1820" s="518"/>
      <c r="AO1820" s="518"/>
    </row>
    <row r="1821" spans="1:41" s="501" customFormat="1" thickTop="1">
      <c r="A1821" s="44"/>
      <c r="B1821" s="39"/>
      <c r="C1821" s="44"/>
      <c r="E1821" s="40" t="s">
        <v>138</v>
      </c>
      <c r="F1821" s="40" t="s">
        <v>139</v>
      </c>
      <c r="G1821" s="44"/>
      <c r="H1821" s="44"/>
      <c r="I1821" s="44"/>
      <c r="J1821" s="44"/>
      <c r="K1821" s="44" t="s">
        <v>140</v>
      </c>
      <c r="L1821" s="737"/>
      <c r="M1821" s="44"/>
      <c r="N1821" s="44"/>
      <c r="O1821" s="45"/>
      <c r="P1821" s="44"/>
      <c r="Q1821"/>
      <c r="R1821"/>
      <c r="S1821"/>
      <c r="T1821" s="39"/>
      <c r="AG1821" s="502" t="s">
        <v>247</v>
      </c>
      <c r="AH1821" s="502" t="s">
        <v>248</v>
      </c>
      <c r="AI1821" s="502" t="s">
        <v>249</v>
      </c>
      <c r="AJ1821" s="502" t="s">
        <v>250</v>
      </c>
      <c r="AK1821" s="502" t="s">
        <v>251</v>
      </c>
      <c r="AM1821" s="710" t="s">
        <v>260</v>
      </c>
      <c r="AN1821" s="711" t="s">
        <v>261</v>
      </c>
      <c r="AO1821" s="503" t="s">
        <v>257</v>
      </c>
    </row>
    <row r="1822" spans="1:41" s="501" customFormat="1" ht="13.2">
      <c r="A1822" s="712">
        <v>1</v>
      </c>
      <c r="B1822" s="504" t="s">
        <v>283</v>
      </c>
      <c r="C1822" s="505"/>
      <c r="D1822" s="713" t="s">
        <v>585</v>
      </c>
      <c r="E1822" s="738">
        <f ca="1">IF(AND($A1822=0,$A$1="DIF"),0,ROUND(ROUND(SUMIF($L1824:$L1835,"SUBI",$E1824:$E1835)/$A1822,2)*$C$12,2))</f>
        <v>43.84</v>
      </c>
      <c r="F1822" s="739">
        <f ca="1">ROUND($A1822*$E1822,2)</f>
        <v>43.84</v>
      </c>
      <c r="G1822" s="506" t="s">
        <v>142</v>
      </c>
      <c r="H1822" s="498"/>
      <c r="I1822" s="716"/>
      <c r="J1822" s="498"/>
      <c r="K1822" s="740"/>
      <c r="L1822" s="741" t="s">
        <v>143</v>
      </c>
      <c r="M1822" s="717"/>
      <c r="N1822" s="717"/>
      <c r="O1822" s="717"/>
      <c r="P1822" s="717"/>
      <c r="Q1822" s="943" t="s">
        <v>855</v>
      </c>
      <c r="R1822" s="943" t="s">
        <v>870</v>
      </c>
      <c r="S1822"/>
      <c r="T1822" s="742" t="str">
        <f ca="1">IF(AND($R1841=0,$T1841=0),"0.00","mu :" &amp; ROUND($F1822/$C$12/($R1841+$T1841*$D$9),2))</f>
        <v>mu :1.35</v>
      </c>
      <c r="W1822" s="507"/>
      <c r="AG1822" s="743">
        <f ca="1">IF(A1822=0,0,ROUND(SUM(AG1824:AG1841)/A1822,2))</f>
        <v>7.51</v>
      </c>
      <c r="AH1822" s="743">
        <f ca="1">$AG1822*$A1822</f>
        <v>7.51</v>
      </c>
      <c r="AI1822" s="743">
        <f ca="1">$E1822-$AG1822</f>
        <v>36.330000000000005</v>
      </c>
      <c r="AJ1822" s="743">
        <f ca="1">$A1822*$AI1822</f>
        <v>36.330000000000005</v>
      </c>
      <c r="AK1822" s="744">
        <f ca="1">ROUND(($AG1822+$AI1822)*$A1822,2)</f>
        <v>43.84</v>
      </c>
      <c r="AM1822" s="510">
        <f ca="1">ROUND(R1841,2)</f>
        <v>5.56</v>
      </c>
      <c r="AN1822" s="511">
        <f ca="1">ROUND(T1841,2)</f>
        <v>0.98</v>
      </c>
      <c r="AO1822" s="512">
        <f ca="1">ROUND(AM1822+AN1822,2)*A1822</f>
        <v>6.54</v>
      </c>
    </row>
    <row r="1823" spans="1:41" s="501" customFormat="1" ht="21.6" customHeight="1">
      <c r="A1823" s="745"/>
      <c r="B1823" s="746"/>
      <c r="C1823" s="505"/>
      <c r="D1823" s="724" t="s">
        <v>443</v>
      </c>
      <c r="F1823" s="498"/>
      <c r="G1823" s="498"/>
      <c r="H1823" s="498"/>
      <c r="I1823" s="716"/>
      <c r="J1823" s="498"/>
      <c r="K1823" s="498" t="s">
        <v>144</v>
      </c>
      <c r="L1823" s="747"/>
      <c r="M1823" s="498"/>
      <c r="N1823" s="498"/>
      <c r="O1823" s="498"/>
      <c r="P1823" s="498"/>
      <c r="Q1823" s="44"/>
      <c r="R1823" s="567"/>
      <c r="S1823" s="719"/>
      <c r="T1823" s="498"/>
    </row>
    <row r="1824" spans="1:41" s="501" customFormat="1" ht="12">
      <c r="A1824" s="748"/>
      <c r="B1824" s="749"/>
      <c r="C1824" s="497"/>
      <c r="D1824" s="750"/>
      <c r="E1824" s="751">
        <f ca="1">F1822/$C$12-SUMIF($L1821:$L1841,"SUBI",$E1821:$E1841)</f>
        <v>0</v>
      </c>
      <c r="F1824" s="752" t="s">
        <v>572</v>
      </c>
      <c r="G1824" s="753"/>
      <c r="H1824" s="753"/>
      <c r="I1824" s="754"/>
      <c r="J1824" s="753"/>
      <c r="K1824" s="753"/>
      <c r="L1824" s="755"/>
      <c r="M1824" s="756"/>
      <c r="N1824" s="756"/>
      <c r="O1824" s="756"/>
      <c r="P1824" s="756"/>
      <c r="Q1824" s="757"/>
      <c r="R1824" s="758"/>
      <c r="S1824" s="757"/>
      <c r="T1824" s="759"/>
    </row>
    <row r="1825" spans="1:33" s="501" customFormat="1" ht="12" customHeight="1">
      <c r="A1825" s="760"/>
      <c r="B1825" s="761"/>
      <c r="C1825" s="762"/>
      <c r="D1825" s="762" t="str">
        <f>$F$2</f>
        <v>Electrical</v>
      </c>
      <c r="E1825" s="762">
        <f ca="1">ROUND(($R1829*$S$2 + ($T1829*$T$2)), 2)</f>
        <v>43.84</v>
      </c>
      <c r="F1825" s="763">
        <f ca="1">$E1825*$C$12</f>
        <v>43.84</v>
      </c>
      <c r="G1825" s="567"/>
      <c r="H1825" s="764"/>
      <c r="I1825" s="567"/>
      <c r="J1825" s="45"/>
      <c r="K1825" s="765" t="s">
        <v>3</v>
      </c>
      <c r="L1825" s="766" t="s">
        <v>573</v>
      </c>
      <c r="M1825" s="567"/>
      <c r="N1825" s="567"/>
      <c r="O1825" s="45"/>
      <c r="P1825" s="567"/>
      <c r="Q1825" s="567"/>
      <c r="R1825"/>
      <c r="S1825"/>
      <c r="T1825"/>
    </row>
    <row r="1826" spans="1:33" s="935" customFormat="1" ht="13.2">
      <c r="A1826"/>
      <c r="B1826" s="927"/>
      <c r="C1826" s="927" t="s">
        <v>735</v>
      </c>
      <c r="D1826" s="927" t="str">
        <f ca="1">CELL("Address",Elec_Rates!D$46)</f>
        <v>[E25_0465_IH_Retro_Elec4Mech_Est_Rev_A.xlsx]Elec_Rates!$D$46</v>
      </c>
      <c r="E1826" s="928"/>
      <c r="F1826" s="928"/>
      <c r="G1826" s="929" t="s">
        <v>736</v>
      </c>
      <c r="H1826" s="929"/>
      <c r="I1826" s="929"/>
      <c r="J1826" s="929"/>
      <c r="K1826" s="930"/>
      <c r="L1826" s="928"/>
      <c r="M1826" s="928"/>
      <c r="N1826" s="928"/>
      <c r="O1826" s="931"/>
      <c r="P1826" s="928"/>
      <c r="Q1826" s="932"/>
      <c r="R1826" s="933"/>
      <c r="S1826" s="932"/>
      <c r="T1826" s="560"/>
      <c r="U1826" s="934"/>
    </row>
    <row r="1827" spans="1:33" s="935" customFormat="1" ht="11.4">
      <c r="A1827" s="936">
        <v>1</v>
      </c>
      <c r="B1827" s="937">
        <v>1</v>
      </c>
      <c r="C1827" s="937">
        <f>$A1827*$B1827</f>
        <v>1</v>
      </c>
      <c r="D1827" s="938" t="str">
        <f>Elec_Rates!$D$46</f>
        <v>004# Connecting up of 3.0/4.0 kW 400Volt motor (VFD)</v>
      </c>
      <c r="E1827" s="938"/>
      <c r="F1827" s="938" t="s">
        <v>737</v>
      </c>
      <c r="G1827" s="939" t="s">
        <v>739</v>
      </c>
      <c r="H1827" s="939"/>
      <c r="I1827" s="939"/>
      <c r="J1827" s="939"/>
      <c r="K1827" s="940"/>
      <c r="L1827" s="934"/>
      <c r="M1827" s="934"/>
      <c r="N1827" s="934"/>
      <c r="O1827" s="941"/>
      <c r="P1827" s="938"/>
      <c r="Q1827" s="942">
        <f ca="1">$B1827*Elec_Rates!$R$46</f>
        <v>5.56</v>
      </c>
      <c r="R1827" s="933">
        <f ca="1">$A1827*Q1827</f>
        <v>5.56</v>
      </c>
      <c r="S1827" s="942">
        <f ca="1">$B1827*Elec_Rates!$T$46</f>
        <v>0.98</v>
      </c>
      <c r="T1827" s="560">
        <f ca="1">$A1827*S1827</f>
        <v>0.98</v>
      </c>
      <c r="U1827" s="484"/>
    </row>
    <row r="1828" spans="1:33" s="501" customFormat="1" ht="14.4" customHeight="1">
      <c r="A1828" s="767"/>
      <c r="B1828" s="567"/>
      <c r="C1828" s="567"/>
      <c r="D1828" s="567"/>
      <c r="E1828" s="567"/>
      <c r="F1828" s="567"/>
      <c r="G1828" s="567"/>
      <c r="H1828" s="764"/>
      <c r="I1828" s="567"/>
      <c r="J1828" s="45"/>
      <c r="K1828" s="769"/>
      <c r="L1828" s="770"/>
      <c r="M1828" s="567"/>
      <c r="N1828" s="567"/>
      <c r="O1828" s="45"/>
      <c r="P1828" s="567"/>
      <c r="Q1828" s="567"/>
      <c r="R1828" s="771">
        <f>$A1828*Q1828</f>
        <v>0</v>
      </c>
      <c r="S1828" s="567"/>
      <c r="T1828" s="500">
        <f>$A1828*S1828*$T$1</f>
        <v>0</v>
      </c>
    </row>
    <row r="1829" spans="1:33" s="501" customFormat="1" ht="12">
      <c r="A1829" s="772" t="s">
        <v>145</v>
      </c>
      <c r="B1829" s="773">
        <f>(R1828+T1828)</f>
        <v>0</v>
      </c>
      <c r="C1829" s="753"/>
      <c r="G1829" s="774"/>
      <c r="H1829" s="774"/>
      <c r="I1829" s="774"/>
      <c r="J1829" s="774"/>
      <c r="K1829" s="750" t="s">
        <v>3</v>
      </c>
      <c r="L1829" s="775" t="s">
        <v>573</v>
      </c>
      <c r="M1829" s="774"/>
      <c r="N1829" s="774"/>
      <c r="O1829" s="774"/>
      <c r="P1829" s="774"/>
      <c r="Q1829" s="776"/>
      <c r="R1829" s="777">
        <f ca="1">SUM(R1825:R1828)</f>
        <v>5.56</v>
      </c>
      <c r="S1829" s="778"/>
      <c r="T1829" s="777">
        <f ca="1">SUM(T1825:T1828)</f>
        <v>0.98</v>
      </c>
      <c r="AG1829" s="779">
        <f ca="1">ROUND($R1829*$S$2,2)</f>
        <v>7.51</v>
      </c>
    </row>
    <row r="1830" spans="1:33" s="501" customFormat="1" ht="12" customHeight="1">
      <c r="A1830" s="760"/>
      <c r="B1830" s="780"/>
      <c r="C1830" s="781"/>
      <c r="D1830" s="782" t="str">
        <f>$F$3</f>
        <v>Technician</v>
      </c>
      <c r="E1830" s="782">
        <f>ROUND(($R1834*$S$3 + ($T1834*$T$3)), 2)</f>
        <v>0</v>
      </c>
      <c r="F1830" s="783">
        <f>$E1830*$C$12</f>
        <v>0</v>
      </c>
      <c r="G1830" s="499"/>
      <c r="H1830" s="499"/>
      <c r="I1830" s="499"/>
      <c r="J1830" s="499"/>
      <c r="K1830" s="765" t="s">
        <v>5</v>
      </c>
      <c r="L1830" s="766" t="s">
        <v>573</v>
      </c>
      <c r="M1830" s="499"/>
      <c r="N1830" s="499"/>
      <c r="O1830" s="499"/>
      <c r="P1830" s="499"/>
      <c r="Q1830" s="499"/>
      <c r="R1830" s="784"/>
      <c r="S1830" s="499"/>
      <c r="T1830" s="784"/>
    </row>
    <row r="1831" spans="1:33" s="797" customFormat="1" ht="15.6" customHeight="1">
      <c r="A1831" s="785"/>
      <c r="B1831" s="768" t="s">
        <v>575</v>
      </c>
      <c r="C1831" s="786"/>
      <c r="D1831" s="787"/>
      <c r="E1831" s="787"/>
      <c r="F1831" s="787"/>
      <c r="G1831" s="788"/>
      <c r="H1831" s="789"/>
      <c r="I1831" s="789"/>
      <c r="J1831" s="790"/>
      <c r="K1831" s="791"/>
      <c r="L1831" s="786"/>
      <c r="M1831" s="792"/>
      <c r="N1831" s="793"/>
      <c r="O1831" s="794"/>
      <c r="P1831" s="795"/>
      <c r="Q1831" s="796"/>
      <c r="R1831" s="771">
        <f>$A1831*Q1831</f>
        <v>0</v>
      </c>
      <c r="S1831" s="567"/>
      <c r="T1831" s="500">
        <f>$A1831*S1831*$T$1</f>
        <v>0</v>
      </c>
    </row>
    <row r="1832" spans="1:33" s="501" customFormat="1" ht="15.6" customHeight="1">
      <c r="A1832" s="767"/>
      <c r="B1832" s="567"/>
      <c r="C1832" s="567"/>
      <c r="D1832" s="567"/>
      <c r="E1832" s="567"/>
      <c r="F1832" s="567"/>
      <c r="G1832" s="567"/>
      <c r="H1832" s="567"/>
      <c r="I1832" s="567"/>
      <c r="J1832" s="567"/>
      <c r="K1832" s="567"/>
      <c r="L1832" s="770"/>
      <c r="M1832" s="567"/>
      <c r="N1832" s="567"/>
      <c r="O1832" s="567"/>
      <c r="P1832" s="567"/>
      <c r="Q1832" s="567"/>
      <c r="R1832" s="771">
        <f>$A1832*Q1832</f>
        <v>0</v>
      </c>
      <c r="S1832" s="567"/>
      <c r="T1832" s="500">
        <f>$A1832*S1832*$T$1</f>
        <v>0</v>
      </c>
    </row>
    <row r="1833" spans="1:33" s="501" customFormat="1" ht="15.6" customHeight="1">
      <c r="A1833" s="767"/>
      <c r="B1833" s="567"/>
      <c r="C1833" s="567"/>
      <c r="D1833" s="3"/>
      <c r="E1833" s="567"/>
      <c r="F1833" s="567"/>
      <c r="G1833" s="567"/>
      <c r="H1833" s="567"/>
      <c r="I1833" s="567"/>
      <c r="J1833" s="567"/>
      <c r="K1833" s="567"/>
      <c r="L1833" s="770"/>
      <c r="M1833" s="567"/>
      <c r="N1833" s="567"/>
      <c r="O1833" s="567"/>
      <c r="P1833" s="567"/>
      <c r="Q1833" s="567"/>
      <c r="R1833" s="771">
        <f>$A1833*Q1833</f>
        <v>0</v>
      </c>
      <c r="S1833" s="567"/>
      <c r="T1833" s="500">
        <f>$A1833*S1833*$T$1</f>
        <v>0</v>
      </c>
    </row>
    <row r="1834" spans="1:33" s="501" customFormat="1" ht="12">
      <c r="A1834" s="772" t="s">
        <v>145</v>
      </c>
      <c r="B1834" s="773">
        <f>(R1833+T1833)</f>
        <v>0</v>
      </c>
      <c r="C1834" s="753"/>
      <c r="G1834" s="774"/>
      <c r="H1834" s="774"/>
      <c r="I1834" s="774"/>
      <c r="J1834" s="774"/>
      <c r="K1834" s="798" t="s">
        <v>5</v>
      </c>
      <c r="L1834" s="775" t="s">
        <v>573</v>
      </c>
      <c r="M1834" s="774"/>
      <c r="N1834" s="774"/>
      <c r="O1834" s="774"/>
      <c r="P1834" s="774"/>
      <c r="Q1834" s="776"/>
      <c r="R1834" s="777">
        <f>SUM(R1830:R1833)</f>
        <v>0</v>
      </c>
      <c r="S1834" s="778"/>
      <c r="T1834" s="777">
        <f>SUM(T1830:T1833)</f>
        <v>0</v>
      </c>
      <c r="AG1834" s="799">
        <f>ROUND($R1834*$S$3,2)</f>
        <v>0</v>
      </c>
    </row>
    <row r="1835" spans="1:33" s="501" customFormat="1" ht="12" customHeight="1">
      <c r="A1835" s="800"/>
      <c r="B1835" s="801"/>
      <c r="C1835" s="802"/>
      <c r="D1835" s="803" t="str">
        <f>$F$4</f>
        <v>Engineer (Man Hours)</v>
      </c>
      <c r="E1835" s="803">
        <f>ROUND(($R1839*$S$4 + ($T1839*$T$4)), 2)</f>
        <v>0</v>
      </c>
      <c r="F1835" s="804">
        <f ca="1">$F1822-SUMIF($L1824:$P1832,"SUBI",$F1824:$F1832)</f>
        <v>0</v>
      </c>
      <c r="G1835" s="499"/>
      <c r="H1835" s="499"/>
      <c r="I1835" s="499"/>
      <c r="J1835" s="499"/>
      <c r="K1835" s="805" t="s">
        <v>8</v>
      </c>
      <c r="L1835" s="766" t="s">
        <v>573</v>
      </c>
      <c r="M1835" s="499"/>
      <c r="N1835" s="499"/>
      <c r="O1835" s="499"/>
      <c r="P1835" s="499"/>
      <c r="Q1835" s="499"/>
      <c r="R1835" s="784"/>
      <c r="S1835" s="499"/>
      <c r="T1835" s="784"/>
    </row>
    <row r="1836" spans="1:33" s="797" customFormat="1" ht="14.4" customHeight="1">
      <c r="A1836" s="785"/>
      <c r="B1836" s="768" t="s">
        <v>576</v>
      </c>
      <c r="C1836" s="786"/>
      <c r="D1836" s="787"/>
      <c r="E1836" s="787"/>
      <c r="F1836" s="787"/>
      <c r="G1836" s="788"/>
      <c r="H1836" s="789"/>
      <c r="I1836" s="789"/>
      <c r="J1836" s="790"/>
      <c r="K1836" s="791"/>
      <c r="L1836" s="786"/>
      <c r="M1836" s="792"/>
      <c r="N1836" s="793"/>
      <c r="O1836" s="806"/>
      <c r="P1836" s="795"/>
      <c r="Q1836" s="796"/>
      <c r="R1836" s="720">
        <f>$A1836*Q1836</f>
        <v>0</v>
      </c>
      <c r="S1836" s="796"/>
      <c r="T1836" s="500">
        <f>$A1836*S1836*$T$1</f>
        <v>0</v>
      </c>
    </row>
    <row r="1837" spans="1:33" s="501" customFormat="1" ht="12">
      <c r="A1837" s="44"/>
      <c r="B1837" s="497"/>
      <c r="C1837" s="497"/>
      <c r="D1837" s="807"/>
      <c r="E1837" s="808"/>
      <c r="F1837" s="499"/>
      <c r="G1837" s="499"/>
      <c r="H1837" s="499"/>
      <c r="I1837" s="499"/>
      <c r="J1837" s="499"/>
      <c r="K1837" s="499"/>
      <c r="L1837" s="809"/>
      <c r="M1837" s="499"/>
      <c r="N1837" s="499"/>
      <c r="O1837" s="499"/>
      <c r="P1837" s="499"/>
      <c r="Q1837" s="499"/>
      <c r="R1837" s="720">
        <f>$A1837*Q1837</f>
        <v>0</v>
      </c>
      <c r="S1837" s="499"/>
      <c r="T1837" s="500">
        <f>$A1837*S1837*$T$1</f>
        <v>0</v>
      </c>
    </row>
    <row r="1838" spans="1:33" s="501" customFormat="1" ht="12">
      <c r="A1838" s="44"/>
      <c r="B1838" s="497"/>
      <c r="C1838" s="497"/>
      <c r="D1838" s="807"/>
      <c r="E1838" s="808"/>
      <c r="F1838" s="499"/>
      <c r="G1838" s="499"/>
      <c r="H1838" s="499"/>
      <c r="I1838" s="499"/>
      <c r="J1838" s="499"/>
      <c r="K1838" s="499"/>
      <c r="L1838" s="809"/>
      <c r="M1838" s="499"/>
      <c r="N1838" s="499"/>
      <c r="O1838" s="499"/>
      <c r="P1838" s="499"/>
      <c r="Q1838" s="499"/>
      <c r="R1838" s="720">
        <f>$A1838*Q1838</f>
        <v>0</v>
      </c>
      <c r="S1838" s="499"/>
      <c r="T1838" s="500">
        <f>$A1838*S1838*$T$1</f>
        <v>0</v>
      </c>
    </row>
    <row r="1839" spans="1:33" s="501" customFormat="1" ht="12.75" customHeight="1">
      <c r="A1839" s="772" t="s">
        <v>145</v>
      </c>
      <c r="B1839" s="773">
        <f>(R1838+T1838)</f>
        <v>0</v>
      </c>
      <c r="C1839" s="810"/>
      <c r="D1839" s="810"/>
      <c r="E1839" s="810"/>
      <c r="F1839" s="810"/>
      <c r="G1839" s="776"/>
      <c r="H1839" s="776"/>
      <c r="I1839" s="776"/>
      <c r="J1839" s="776"/>
      <c r="K1839" s="798" t="s">
        <v>8</v>
      </c>
      <c r="L1839" s="811" t="s">
        <v>573</v>
      </c>
      <c r="M1839" s="776"/>
      <c r="N1839" s="776"/>
      <c r="O1839" s="776"/>
      <c r="P1839" s="776"/>
      <c r="Q1839" s="776"/>
      <c r="R1839" s="777">
        <f>SUM(R1835:R1838)</f>
        <v>0</v>
      </c>
      <c r="S1839" s="778"/>
      <c r="T1839" s="777">
        <f>SUM(T1835:T1838)</f>
        <v>0</v>
      </c>
      <c r="AG1839" s="812">
        <f>ROUND($R1839*$S$4,2)</f>
        <v>0</v>
      </c>
    </row>
    <row r="1840" spans="1:33" s="501" customFormat="1" ht="12.75" customHeight="1">
      <c r="A1840" s="813"/>
      <c r="B1840" s="814"/>
      <c r="E1840" s="497"/>
      <c r="F1840" s="808"/>
      <c r="G1840" s="497"/>
      <c r="H1840" s="497"/>
      <c r="I1840" s="499"/>
      <c r="J1840" s="497"/>
      <c r="K1840" s="497"/>
      <c r="L1840" s="815"/>
      <c r="M1840" s="725"/>
      <c r="N1840" s="725"/>
      <c r="O1840" s="725"/>
      <c r="P1840" s="725"/>
      <c r="Q1840" s="726"/>
      <c r="R1840" s="784"/>
      <c r="S1840" s="497"/>
      <c r="T1840" s="784"/>
    </row>
    <row r="1841" spans="1:41" s="501" customFormat="1" ht="13.5" customHeight="1" thickBot="1">
      <c r="A1841" s="816"/>
      <c r="B1841" s="817"/>
      <c r="C1841" s="518"/>
      <c r="D1841" s="518"/>
      <c r="E1841" s="515"/>
      <c r="F1841" s="721"/>
      <c r="G1841" s="515" t="s">
        <v>146</v>
      </c>
      <c r="H1841" s="515"/>
      <c r="I1841" s="516"/>
      <c r="J1841" s="515"/>
      <c r="K1841" s="515"/>
      <c r="L1841" s="818" t="s">
        <v>143</v>
      </c>
      <c r="M1841" s="517"/>
      <c r="N1841" s="517"/>
      <c r="O1841" s="517"/>
      <c r="P1841" s="517"/>
      <c r="Q1841" s="722"/>
      <c r="R1841" s="819">
        <f ca="1">SUMIF($L1823:$L1840,"SUBI",R1823:R1840)</f>
        <v>5.56</v>
      </c>
      <c r="S1841" s="820"/>
      <c r="T1841" s="819">
        <f ca="1">SUMIF($L1823:$L1840,"SUBI",T1823:T1840)</f>
        <v>0.98</v>
      </c>
      <c r="U1841" s="518"/>
      <c r="V1841" s="518"/>
      <c r="W1841" s="518"/>
      <c r="X1841" s="518"/>
      <c r="Y1841" s="518"/>
      <c r="Z1841" s="518"/>
      <c r="AA1841" s="518"/>
      <c r="AB1841" s="518"/>
      <c r="AC1841" s="518"/>
      <c r="AD1841" s="518"/>
      <c r="AE1841" s="518"/>
      <c r="AF1841" s="518"/>
      <c r="AG1841" s="518"/>
      <c r="AH1841" s="518"/>
      <c r="AI1841" s="518"/>
      <c r="AJ1841" s="518"/>
      <c r="AK1841" s="518"/>
      <c r="AL1841" s="518"/>
      <c r="AM1841" s="518"/>
      <c r="AN1841" s="518"/>
      <c r="AO1841" s="518"/>
    </row>
    <row r="1842" spans="1:41" s="501" customFormat="1" thickTop="1">
      <c r="A1842" s="44"/>
      <c r="B1842" s="39"/>
      <c r="C1842" s="44"/>
      <c r="E1842" s="40" t="s">
        <v>138</v>
      </c>
      <c r="F1842" s="40" t="s">
        <v>139</v>
      </c>
      <c r="G1842" s="44"/>
      <c r="H1842" s="44"/>
      <c r="I1842" s="44"/>
      <c r="J1842" s="44"/>
      <c r="K1842" s="44" t="s">
        <v>140</v>
      </c>
      <c r="L1842" s="737"/>
      <c r="M1842" s="44"/>
      <c r="N1842" s="44"/>
      <c r="O1842" s="45"/>
      <c r="P1842" s="44"/>
      <c r="Q1842"/>
      <c r="R1842"/>
      <c r="S1842"/>
      <c r="T1842" s="39"/>
      <c r="AG1842" s="502" t="s">
        <v>247</v>
      </c>
      <c r="AH1842" s="502" t="s">
        <v>248</v>
      </c>
      <c r="AI1842" s="502" t="s">
        <v>249</v>
      </c>
      <c r="AJ1842" s="502" t="s">
        <v>250</v>
      </c>
      <c r="AK1842" s="502" t="s">
        <v>251</v>
      </c>
      <c r="AM1842" s="710" t="s">
        <v>260</v>
      </c>
      <c r="AN1842" s="711" t="s">
        <v>261</v>
      </c>
      <c r="AO1842" s="503" t="s">
        <v>257</v>
      </c>
    </row>
    <row r="1843" spans="1:41" s="501" customFormat="1" ht="13.2">
      <c r="A1843" s="712">
        <v>1</v>
      </c>
      <c r="B1843" s="504" t="s">
        <v>283</v>
      </c>
      <c r="C1843" s="505"/>
      <c r="D1843" s="713" t="s">
        <v>586</v>
      </c>
      <c r="E1843" s="738">
        <f ca="1">IF(AND($A1843=0,$A$1="DIF"),0,ROUND(ROUND(SUMIF($L1845:$L1856,"SUBI",$E1845:$E1856)/$A1843,2)*$C$12,2))</f>
        <v>47.58</v>
      </c>
      <c r="F1843" s="739">
        <f ca="1">ROUND($A1843*$E1843,2)</f>
        <v>47.58</v>
      </c>
      <c r="G1843" s="506" t="s">
        <v>142</v>
      </c>
      <c r="H1843" s="498"/>
      <c r="I1843" s="716"/>
      <c r="J1843" s="498"/>
      <c r="K1843" s="740"/>
      <c r="L1843" s="741" t="s">
        <v>143</v>
      </c>
      <c r="M1843" s="717"/>
      <c r="N1843" s="717"/>
      <c r="O1843" s="717"/>
      <c r="P1843" s="717"/>
      <c r="Q1843" s="943" t="s">
        <v>855</v>
      </c>
      <c r="R1843" s="943" t="s">
        <v>870</v>
      </c>
      <c r="S1843"/>
      <c r="T1843" s="742" t="str">
        <f ca="1">IF(AND($R1862=0,$T1862=0),"0.00","mu :" &amp; ROUND($F1843/$C$12/($R1862+$T1862*$D$9),2))</f>
        <v>mu :1.35</v>
      </c>
      <c r="W1843" s="507"/>
      <c r="AG1843" s="743">
        <f ca="1">IF(A1843=0,0,ROUND(SUM(AG1845:AG1862)/A1843,2))</f>
        <v>9.4</v>
      </c>
      <c r="AH1843" s="743">
        <f ca="1">$AG1843*$A1843</f>
        <v>9.4</v>
      </c>
      <c r="AI1843" s="743">
        <f ca="1">$E1843-$AG1843</f>
        <v>38.18</v>
      </c>
      <c r="AJ1843" s="743">
        <f ca="1">$A1843*$AI1843</f>
        <v>38.18</v>
      </c>
      <c r="AK1843" s="744">
        <f ca="1">ROUND(($AG1843+$AI1843)*$A1843,2)</f>
        <v>47.58</v>
      </c>
      <c r="AM1843" s="510">
        <f ca="1">ROUND(R1862,2)</f>
        <v>6.96</v>
      </c>
      <c r="AN1843" s="511">
        <f ca="1">ROUND(T1862,2)</f>
        <v>1.03</v>
      </c>
      <c r="AO1843" s="512">
        <f ca="1">ROUND(AM1843+AN1843,2)*A1843</f>
        <v>7.99</v>
      </c>
    </row>
    <row r="1844" spans="1:41" s="501" customFormat="1" ht="21.6" customHeight="1">
      <c r="A1844" s="745"/>
      <c r="B1844" s="746"/>
      <c r="C1844" s="505"/>
      <c r="D1844" s="724" t="s">
        <v>444</v>
      </c>
      <c r="F1844" s="498"/>
      <c r="G1844" s="498"/>
      <c r="H1844" s="498"/>
      <c r="I1844" s="716"/>
      <c r="J1844" s="498"/>
      <c r="K1844" s="498" t="s">
        <v>144</v>
      </c>
      <c r="L1844" s="747"/>
      <c r="M1844" s="498"/>
      <c r="N1844" s="498"/>
      <c r="O1844" s="498"/>
      <c r="P1844" s="498"/>
      <c r="Q1844" s="44"/>
      <c r="R1844" s="567"/>
      <c r="S1844" s="719"/>
      <c r="T1844" s="498"/>
    </row>
    <row r="1845" spans="1:41" s="501" customFormat="1" ht="12">
      <c r="A1845" s="748"/>
      <c r="B1845" s="749"/>
      <c r="C1845" s="497"/>
      <c r="D1845" s="750"/>
      <c r="E1845" s="751">
        <f ca="1">F1843/$C$12-SUMIF($L1842:$L1862,"SUBI",$E1842:$E1862)</f>
        <v>0</v>
      </c>
      <c r="F1845" s="752" t="s">
        <v>572</v>
      </c>
      <c r="G1845" s="753"/>
      <c r="H1845" s="753"/>
      <c r="I1845" s="754"/>
      <c r="J1845" s="753"/>
      <c r="K1845" s="753"/>
      <c r="L1845" s="755"/>
      <c r="M1845" s="756"/>
      <c r="N1845" s="756"/>
      <c r="O1845" s="756"/>
      <c r="P1845" s="756"/>
      <c r="Q1845" s="757"/>
      <c r="R1845" s="758"/>
      <c r="S1845" s="757"/>
      <c r="T1845" s="759"/>
    </row>
    <row r="1846" spans="1:41" s="501" customFormat="1" ht="12" customHeight="1">
      <c r="A1846" s="760"/>
      <c r="B1846" s="761"/>
      <c r="C1846" s="762"/>
      <c r="D1846" s="762" t="str">
        <f>$F$2</f>
        <v>Electrical</v>
      </c>
      <c r="E1846" s="762">
        <f ca="1">ROUND(($R1850*$S$2 + ($T1850*$T$2)), 2)</f>
        <v>47.58</v>
      </c>
      <c r="F1846" s="763">
        <f ca="1">$E1846*$C$12</f>
        <v>47.58</v>
      </c>
      <c r="G1846" s="567"/>
      <c r="H1846" s="764"/>
      <c r="I1846" s="567"/>
      <c r="J1846" s="45"/>
      <c r="K1846" s="765" t="s">
        <v>3</v>
      </c>
      <c r="L1846" s="766" t="s">
        <v>573</v>
      </c>
      <c r="M1846" s="567"/>
      <c r="N1846" s="567"/>
      <c r="O1846" s="45"/>
      <c r="P1846" s="567"/>
      <c r="Q1846" s="567"/>
      <c r="R1846"/>
      <c r="S1846"/>
      <c r="T1846"/>
    </row>
    <row r="1847" spans="1:41" s="935" customFormat="1" ht="13.2">
      <c r="A1847"/>
      <c r="B1847" s="927"/>
      <c r="C1847" s="927" t="s">
        <v>735</v>
      </c>
      <c r="D1847" s="927" t="str">
        <f ca="1">CELL("Address",Elec_Rates!D$55)</f>
        <v>[E25_0465_IH_Retro_Elec4Mech_Est_Rev_A.xlsx]Elec_Rates!$D$55</v>
      </c>
      <c r="E1847" s="928"/>
      <c r="F1847" s="928"/>
      <c r="G1847" s="929" t="s">
        <v>736</v>
      </c>
      <c r="H1847" s="929"/>
      <c r="I1847" s="929"/>
      <c r="J1847" s="929"/>
      <c r="K1847" s="930"/>
      <c r="L1847" s="928"/>
      <c r="M1847" s="928"/>
      <c r="N1847" s="928"/>
      <c r="O1847" s="931"/>
      <c r="P1847" s="928"/>
      <c r="Q1847" s="932"/>
      <c r="R1847" s="933"/>
      <c r="S1847" s="932"/>
      <c r="T1847" s="560"/>
      <c r="U1847" s="934"/>
    </row>
    <row r="1848" spans="1:41" s="935" customFormat="1" ht="11.4">
      <c r="A1848" s="936">
        <v>1</v>
      </c>
      <c r="B1848" s="937">
        <v>1</v>
      </c>
      <c r="C1848" s="937">
        <f>$A1848*$B1848</f>
        <v>1</v>
      </c>
      <c r="D1848" s="938" t="str">
        <f>Elec_Rates!$D$55</f>
        <v>005# Connecting up of 7.5 kW 400Volt motor (VFD)</v>
      </c>
      <c r="E1848" s="938"/>
      <c r="F1848" s="938" t="s">
        <v>737</v>
      </c>
      <c r="G1848" s="939" t="s">
        <v>739</v>
      </c>
      <c r="H1848" s="939"/>
      <c r="I1848" s="939"/>
      <c r="J1848" s="939"/>
      <c r="K1848" s="940"/>
      <c r="L1848" s="934"/>
      <c r="M1848" s="934"/>
      <c r="N1848" s="934"/>
      <c r="O1848" s="941"/>
      <c r="P1848" s="938"/>
      <c r="Q1848" s="942">
        <f ca="1">$B1848*Elec_Rates!$R$55</f>
        <v>6.96</v>
      </c>
      <c r="R1848" s="933">
        <f ca="1">$A1848*Q1848</f>
        <v>6.96</v>
      </c>
      <c r="S1848" s="942">
        <f ca="1">$B1848*Elec_Rates!$T$55</f>
        <v>1.03</v>
      </c>
      <c r="T1848" s="560">
        <f ca="1">$A1848*S1848</f>
        <v>1.03</v>
      </c>
      <c r="U1848" s="484"/>
    </row>
    <row r="1849" spans="1:41" s="501" customFormat="1" ht="14.4" customHeight="1">
      <c r="A1849" s="767"/>
      <c r="B1849" s="567"/>
      <c r="C1849" s="567"/>
      <c r="D1849" s="567"/>
      <c r="E1849" s="567"/>
      <c r="F1849" s="567"/>
      <c r="G1849" s="567"/>
      <c r="H1849" s="764"/>
      <c r="I1849" s="567"/>
      <c r="J1849" s="45"/>
      <c r="K1849" s="769"/>
      <c r="L1849" s="770"/>
      <c r="M1849" s="567"/>
      <c r="N1849" s="567"/>
      <c r="O1849" s="45"/>
      <c r="P1849" s="567"/>
      <c r="Q1849" s="567"/>
      <c r="R1849" s="771">
        <f>$A1849*Q1849</f>
        <v>0</v>
      </c>
      <c r="S1849" s="567"/>
      <c r="T1849" s="500">
        <f>$A1849*S1849*$T$1</f>
        <v>0</v>
      </c>
    </row>
    <row r="1850" spans="1:41" s="501" customFormat="1" ht="12">
      <c r="A1850" s="772" t="s">
        <v>145</v>
      </c>
      <c r="B1850" s="773">
        <f>(R1849+T1849)</f>
        <v>0</v>
      </c>
      <c r="C1850" s="753"/>
      <c r="G1850" s="774"/>
      <c r="H1850" s="774"/>
      <c r="I1850" s="774"/>
      <c r="J1850" s="774"/>
      <c r="K1850" s="750" t="s">
        <v>3</v>
      </c>
      <c r="L1850" s="775" t="s">
        <v>573</v>
      </c>
      <c r="M1850" s="774"/>
      <c r="N1850" s="774"/>
      <c r="O1850" s="774"/>
      <c r="P1850" s="774"/>
      <c r="Q1850" s="776"/>
      <c r="R1850" s="777">
        <f ca="1">SUM(R1846:R1849)</f>
        <v>6.96</v>
      </c>
      <c r="S1850" s="778"/>
      <c r="T1850" s="777">
        <f ca="1">SUM(T1846:T1849)</f>
        <v>1.03</v>
      </c>
      <c r="AG1850" s="779">
        <f ca="1">ROUND($R1850*$S$2,2)</f>
        <v>9.4</v>
      </c>
    </row>
    <row r="1851" spans="1:41" s="501" customFormat="1" ht="12" customHeight="1">
      <c r="A1851" s="760"/>
      <c r="B1851" s="780"/>
      <c r="C1851" s="781"/>
      <c r="D1851" s="782" t="str">
        <f>$F$3</f>
        <v>Technician</v>
      </c>
      <c r="E1851" s="782">
        <f>ROUND(($R1855*$S$3 + ($T1855*$T$3)), 2)</f>
        <v>0</v>
      </c>
      <c r="F1851" s="783">
        <f>$E1851*$C$12</f>
        <v>0</v>
      </c>
      <c r="G1851" s="499"/>
      <c r="H1851" s="499"/>
      <c r="I1851" s="499"/>
      <c r="J1851" s="499"/>
      <c r="K1851" s="765" t="s">
        <v>5</v>
      </c>
      <c r="L1851" s="766" t="s">
        <v>573</v>
      </c>
      <c r="M1851" s="499"/>
      <c r="N1851" s="499"/>
      <c r="O1851" s="499"/>
      <c r="P1851" s="499"/>
      <c r="Q1851" s="499"/>
      <c r="R1851" s="784"/>
      <c r="S1851" s="499"/>
      <c r="T1851" s="784"/>
    </row>
    <row r="1852" spans="1:41" s="797" customFormat="1" ht="15.6" customHeight="1">
      <c r="A1852" s="785"/>
      <c r="B1852" s="768" t="s">
        <v>575</v>
      </c>
      <c r="C1852" s="786"/>
      <c r="D1852" s="787"/>
      <c r="E1852" s="787"/>
      <c r="F1852" s="787"/>
      <c r="G1852" s="788"/>
      <c r="H1852" s="789"/>
      <c r="I1852" s="789"/>
      <c r="J1852" s="790"/>
      <c r="K1852" s="791"/>
      <c r="L1852" s="786"/>
      <c r="M1852" s="792"/>
      <c r="N1852" s="793"/>
      <c r="O1852" s="794"/>
      <c r="P1852" s="795"/>
      <c r="Q1852" s="796"/>
      <c r="R1852" s="771">
        <f>$A1852*Q1852</f>
        <v>0</v>
      </c>
      <c r="S1852" s="567"/>
      <c r="T1852" s="500">
        <f>$A1852*S1852*$T$1</f>
        <v>0</v>
      </c>
    </row>
    <row r="1853" spans="1:41" s="501" customFormat="1" ht="15.6" customHeight="1">
      <c r="A1853" s="767"/>
      <c r="B1853" s="567"/>
      <c r="C1853" s="567"/>
      <c r="D1853" s="567"/>
      <c r="E1853" s="567"/>
      <c r="F1853" s="567"/>
      <c r="G1853" s="567"/>
      <c r="H1853" s="567"/>
      <c r="I1853" s="567"/>
      <c r="J1853" s="567"/>
      <c r="K1853" s="567"/>
      <c r="L1853" s="770"/>
      <c r="M1853" s="567"/>
      <c r="N1853" s="567"/>
      <c r="O1853" s="567"/>
      <c r="P1853" s="567"/>
      <c r="Q1853" s="567"/>
      <c r="R1853" s="771">
        <f>$A1853*Q1853</f>
        <v>0</v>
      </c>
      <c r="S1853" s="567"/>
      <c r="T1853" s="500">
        <f>$A1853*S1853*$T$1</f>
        <v>0</v>
      </c>
    </row>
    <row r="1854" spans="1:41" s="501" customFormat="1" ht="15.6" customHeight="1">
      <c r="A1854" s="767"/>
      <c r="B1854" s="567"/>
      <c r="C1854" s="567"/>
      <c r="D1854" s="3"/>
      <c r="E1854" s="567"/>
      <c r="F1854" s="567"/>
      <c r="G1854" s="567"/>
      <c r="H1854" s="567"/>
      <c r="I1854" s="567"/>
      <c r="J1854" s="567"/>
      <c r="K1854" s="567"/>
      <c r="L1854" s="770"/>
      <c r="M1854" s="567"/>
      <c r="N1854" s="567"/>
      <c r="O1854" s="567"/>
      <c r="P1854" s="567"/>
      <c r="Q1854" s="567"/>
      <c r="R1854" s="771">
        <f>$A1854*Q1854</f>
        <v>0</v>
      </c>
      <c r="S1854" s="567"/>
      <c r="T1854" s="500">
        <f>$A1854*S1854*$T$1</f>
        <v>0</v>
      </c>
    </row>
    <row r="1855" spans="1:41" s="501" customFormat="1" ht="12">
      <c r="A1855" s="772" t="s">
        <v>145</v>
      </c>
      <c r="B1855" s="773">
        <f>(R1854+T1854)</f>
        <v>0</v>
      </c>
      <c r="C1855" s="753"/>
      <c r="G1855" s="774"/>
      <c r="H1855" s="774"/>
      <c r="I1855" s="774"/>
      <c r="J1855" s="774"/>
      <c r="K1855" s="798" t="s">
        <v>5</v>
      </c>
      <c r="L1855" s="775" t="s">
        <v>573</v>
      </c>
      <c r="M1855" s="774"/>
      <c r="N1855" s="774"/>
      <c r="O1855" s="774"/>
      <c r="P1855" s="774"/>
      <c r="Q1855" s="776"/>
      <c r="R1855" s="777">
        <f>SUM(R1851:R1854)</f>
        <v>0</v>
      </c>
      <c r="S1855" s="778"/>
      <c r="T1855" s="777">
        <f>SUM(T1851:T1854)</f>
        <v>0</v>
      </c>
      <c r="AG1855" s="799">
        <f>ROUND($R1855*$S$3,2)</f>
        <v>0</v>
      </c>
    </row>
    <row r="1856" spans="1:41" s="501" customFormat="1" ht="12" customHeight="1">
      <c r="A1856" s="800"/>
      <c r="B1856" s="801"/>
      <c r="C1856" s="802"/>
      <c r="D1856" s="803" t="str">
        <f>$F$4</f>
        <v>Engineer (Man Hours)</v>
      </c>
      <c r="E1856" s="803">
        <f>ROUND(($R1860*$S$4 + ($T1860*$T$4)), 2)</f>
        <v>0</v>
      </c>
      <c r="F1856" s="804">
        <f ca="1">$F1843-SUMIF($L1845:$P1853,"SUBI",$F1845:$F1853)</f>
        <v>0</v>
      </c>
      <c r="G1856" s="499"/>
      <c r="H1856" s="499"/>
      <c r="I1856" s="499"/>
      <c r="J1856" s="499"/>
      <c r="K1856" s="805" t="s">
        <v>8</v>
      </c>
      <c r="L1856" s="766" t="s">
        <v>573</v>
      </c>
      <c r="M1856" s="499"/>
      <c r="N1856" s="499"/>
      <c r="O1856" s="499"/>
      <c r="P1856" s="499"/>
      <c r="Q1856" s="499"/>
      <c r="R1856" s="784"/>
      <c r="S1856" s="499"/>
      <c r="T1856" s="784"/>
    </row>
    <row r="1857" spans="1:41" s="797" customFormat="1" ht="14.4" customHeight="1">
      <c r="A1857" s="785"/>
      <c r="B1857" s="768" t="s">
        <v>576</v>
      </c>
      <c r="C1857" s="786"/>
      <c r="D1857" s="787"/>
      <c r="E1857" s="787"/>
      <c r="F1857" s="787"/>
      <c r="G1857" s="788"/>
      <c r="H1857" s="789"/>
      <c r="I1857" s="789"/>
      <c r="J1857" s="790"/>
      <c r="K1857" s="791"/>
      <c r="L1857" s="786"/>
      <c r="M1857" s="792"/>
      <c r="N1857" s="793"/>
      <c r="O1857" s="806"/>
      <c r="P1857" s="795"/>
      <c r="Q1857" s="796"/>
      <c r="R1857" s="720">
        <f>$A1857*Q1857</f>
        <v>0</v>
      </c>
      <c r="S1857" s="796"/>
      <c r="T1857" s="500">
        <f>$A1857*S1857*$T$1</f>
        <v>0</v>
      </c>
    </row>
    <row r="1858" spans="1:41" s="501" customFormat="1" ht="12">
      <c r="A1858" s="44"/>
      <c r="B1858" s="497"/>
      <c r="C1858" s="497"/>
      <c r="D1858" s="807"/>
      <c r="E1858" s="808"/>
      <c r="F1858" s="499"/>
      <c r="G1858" s="499"/>
      <c r="H1858" s="499"/>
      <c r="I1858" s="499"/>
      <c r="J1858" s="499"/>
      <c r="K1858" s="499"/>
      <c r="L1858" s="809"/>
      <c r="M1858" s="499"/>
      <c r="N1858" s="499"/>
      <c r="O1858" s="499"/>
      <c r="P1858" s="499"/>
      <c r="Q1858" s="499"/>
      <c r="R1858" s="720">
        <f>$A1858*Q1858</f>
        <v>0</v>
      </c>
      <c r="S1858" s="499"/>
      <c r="T1858" s="500">
        <f>$A1858*S1858*$T$1</f>
        <v>0</v>
      </c>
    </row>
    <row r="1859" spans="1:41" s="501" customFormat="1" ht="12">
      <c r="A1859" s="44"/>
      <c r="B1859" s="497"/>
      <c r="C1859" s="497"/>
      <c r="D1859" s="807"/>
      <c r="E1859" s="808"/>
      <c r="F1859" s="499"/>
      <c r="G1859" s="499"/>
      <c r="H1859" s="499"/>
      <c r="I1859" s="499"/>
      <c r="J1859" s="499"/>
      <c r="K1859" s="499"/>
      <c r="L1859" s="809"/>
      <c r="M1859" s="499"/>
      <c r="N1859" s="499"/>
      <c r="O1859" s="499"/>
      <c r="P1859" s="499"/>
      <c r="Q1859" s="499"/>
      <c r="R1859" s="720">
        <f>$A1859*Q1859</f>
        <v>0</v>
      </c>
      <c r="S1859" s="499"/>
      <c r="T1859" s="500">
        <f>$A1859*S1859*$T$1</f>
        <v>0</v>
      </c>
    </row>
    <row r="1860" spans="1:41" s="501" customFormat="1" ht="12.75" customHeight="1">
      <c r="A1860" s="772" t="s">
        <v>145</v>
      </c>
      <c r="B1860" s="773">
        <f>(R1859+T1859)</f>
        <v>0</v>
      </c>
      <c r="C1860" s="810"/>
      <c r="D1860" s="810"/>
      <c r="E1860" s="810"/>
      <c r="F1860" s="810"/>
      <c r="G1860" s="776"/>
      <c r="H1860" s="776"/>
      <c r="I1860" s="776"/>
      <c r="J1860" s="776"/>
      <c r="K1860" s="798" t="s">
        <v>8</v>
      </c>
      <c r="L1860" s="811" t="s">
        <v>573</v>
      </c>
      <c r="M1860" s="776"/>
      <c r="N1860" s="776"/>
      <c r="O1860" s="776"/>
      <c r="P1860" s="776"/>
      <c r="Q1860" s="776"/>
      <c r="R1860" s="777">
        <f>SUM(R1856:R1859)</f>
        <v>0</v>
      </c>
      <c r="S1860" s="778"/>
      <c r="T1860" s="777">
        <f>SUM(T1856:T1859)</f>
        <v>0</v>
      </c>
      <c r="AG1860" s="812">
        <f>ROUND($R1860*$S$4,2)</f>
        <v>0</v>
      </c>
    </row>
    <row r="1861" spans="1:41" s="501" customFormat="1" ht="12.75" customHeight="1">
      <c r="A1861" s="813"/>
      <c r="B1861" s="814"/>
      <c r="E1861" s="497"/>
      <c r="F1861" s="808"/>
      <c r="G1861" s="497"/>
      <c r="H1861" s="497"/>
      <c r="I1861" s="499"/>
      <c r="J1861" s="497"/>
      <c r="K1861" s="497"/>
      <c r="L1861" s="815"/>
      <c r="M1861" s="725"/>
      <c r="N1861" s="725"/>
      <c r="O1861" s="725"/>
      <c r="P1861" s="725"/>
      <c r="Q1861" s="726"/>
      <c r="R1861" s="784"/>
      <c r="S1861" s="497"/>
      <c r="T1861" s="784"/>
    </row>
    <row r="1862" spans="1:41" s="501" customFormat="1" ht="13.5" customHeight="1" thickBot="1">
      <c r="A1862" s="816"/>
      <c r="B1862" s="817"/>
      <c r="C1862" s="518"/>
      <c r="D1862" s="518"/>
      <c r="E1862" s="515"/>
      <c r="F1862" s="721"/>
      <c r="G1862" s="515" t="s">
        <v>146</v>
      </c>
      <c r="H1862" s="515"/>
      <c r="I1862" s="516"/>
      <c r="J1862" s="515"/>
      <c r="K1862" s="515"/>
      <c r="L1862" s="818" t="s">
        <v>143</v>
      </c>
      <c r="M1862" s="517"/>
      <c r="N1862" s="517"/>
      <c r="O1862" s="517"/>
      <c r="P1862" s="517"/>
      <c r="Q1862" s="722"/>
      <c r="R1862" s="819">
        <f ca="1">SUMIF($L1844:$L1861,"SUBI",R1844:R1861)</f>
        <v>6.96</v>
      </c>
      <c r="S1862" s="820"/>
      <c r="T1862" s="819">
        <f ca="1">SUMIF($L1844:$L1861,"SUBI",T1844:T1861)</f>
        <v>1.03</v>
      </c>
      <c r="U1862" s="518"/>
      <c r="V1862" s="518"/>
      <c r="W1862" s="518"/>
      <c r="X1862" s="518"/>
      <c r="Y1862" s="518"/>
      <c r="Z1862" s="518"/>
      <c r="AA1862" s="518"/>
      <c r="AB1862" s="518"/>
      <c r="AC1862" s="518"/>
      <c r="AD1862" s="518"/>
      <c r="AE1862" s="518"/>
      <c r="AF1862" s="518"/>
      <c r="AG1862" s="518"/>
      <c r="AH1862" s="518"/>
      <c r="AI1862" s="518"/>
      <c r="AJ1862" s="518"/>
      <c r="AK1862" s="518"/>
      <c r="AL1862" s="518"/>
      <c r="AM1862" s="518"/>
      <c r="AN1862" s="518"/>
      <c r="AO1862" s="518"/>
    </row>
    <row r="1863" spans="1:41" s="501" customFormat="1" thickTop="1">
      <c r="A1863" s="44"/>
      <c r="B1863" s="39"/>
      <c r="C1863" s="44"/>
      <c r="E1863" s="40" t="s">
        <v>138</v>
      </c>
      <c r="F1863" s="40" t="s">
        <v>139</v>
      </c>
      <c r="G1863" s="44"/>
      <c r="H1863" s="44"/>
      <c r="I1863" s="44"/>
      <c r="J1863" s="44"/>
      <c r="K1863" s="44" t="s">
        <v>140</v>
      </c>
      <c r="L1863" s="737"/>
      <c r="M1863" s="44"/>
      <c r="N1863" s="44"/>
      <c r="O1863" s="45"/>
      <c r="P1863" s="44"/>
      <c r="Q1863"/>
      <c r="R1863"/>
      <c r="S1863"/>
      <c r="T1863" s="39"/>
      <c r="AG1863" s="502" t="s">
        <v>247</v>
      </c>
      <c r="AH1863" s="502" t="s">
        <v>248</v>
      </c>
      <c r="AI1863" s="502" t="s">
        <v>249</v>
      </c>
      <c r="AJ1863" s="502" t="s">
        <v>250</v>
      </c>
      <c r="AK1863" s="502" t="s">
        <v>251</v>
      </c>
      <c r="AM1863" s="710" t="s">
        <v>260</v>
      </c>
      <c r="AN1863" s="711" t="s">
        <v>261</v>
      </c>
      <c r="AO1863" s="503" t="s">
        <v>257</v>
      </c>
    </row>
    <row r="1864" spans="1:41" s="501" customFormat="1" ht="13.2">
      <c r="A1864" s="712">
        <v>1</v>
      </c>
      <c r="B1864" s="504" t="s">
        <v>283</v>
      </c>
      <c r="C1864" s="505"/>
      <c r="D1864" s="713" t="s">
        <v>592</v>
      </c>
      <c r="E1864" s="738">
        <f ca="1">IF(AND($A1864=0,$A$1="DIF"),0,ROUND(ROUND(SUMIF($L1866:$L1877,"SUBI",$E1866:$E1877)/$A1864,2)*$C$12,2))</f>
        <v>47.58</v>
      </c>
      <c r="F1864" s="739">
        <f ca="1">ROUND($A1864*$E1864,2)</f>
        <v>47.58</v>
      </c>
      <c r="G1864" s="506" t="s">
        <v>142</v>
      </c>
      <c r="H1864" s="498"/>
      <c r="I1864" s="716"/>
      <c r="J1864" s="498"/>
      <c r="K1864" s="740"/>
      <c r="L1864" s="741" t="s">
        <v>143</v>
      </c>
      <c r="M1864" s="717"/>
      <c r="N1864" s="717"/>
      <c r="O1864" s="717"/>
      <c r="P1864" s="717"/>
      <c r="Q1864" s="943" t="s">
        <v>855</v>
      </c>
      <c r="R1864" s="943" t="s">
        <v>870</v>
      </c>
      <c r="S1864"/>
      <c r="T1864" s="742" t="str">
        <f ca="1">IF(AND($R1883=0,$T1883=0),"0.00","mu :" &amp; ROUND($F1864/$C$12/($R1883+$T1883*$D$9),2))</f>
        <v>mu :1.35</v>
      </c>
      <c r="W1864" s="507"/>
      <c r="AG1864" s="743">
        <f ca="1">IF(A1864=0,0,ROUND(SUM(AG1866:AG1883)/A1864,2))</f>
        <v>9.4</v>
      </c>
      <c r="AH1864" s="743">
        <f ca="1">$AG1864*$A1864</f>
        <v>9.4</v>
      </c>
      <c r="AI1864" s="743">
        <f ca="1">$E1864-$AG1864</f>
        <v>38.18</v>
      </c>
      <c r="AJ1864" s="743">
        <f ca="1">$A1864*$AI1864</f>
        <v>38.18</v>
      </c>
      <c r="AK1864" s="744">
        <f ca="1">ROUND(($AG1864+$AI1864)*$A1864,2)</f>
        <v>47.58</v>
      </c>
      <c r="AM1864" s="510">
        <f ca="1">ROUND(R1883,2)</f>
        <v>6.96</v>
      </c>
      <c r="AN1864" s="511">
        <f ca="1">ROUND(T1883,2)</f>
        <v>1.03</v>
      </c>
      <c r="AO1864" s="512">
        <f ca="1">ROUND(AM1864+AN1864,2)*A1864</f>
        <v>7.99</v>
      </c>
    </row>
    <row r="1865" spans="1:41" s="501" customFormat="1" ht="21.6" customHeight="1">
      <c r="A1865" s="745"/>
      <c r="B1865" s="746"/>
      <c r="C1865" s="505"/>
      <c r="D1865" s="724" t="s">
        <v>445</v>
      </c>
      <c r="F1865" s="498"/>
      <c r="G1865" s="498"/>
      <c r="H1865" s="498"/>
      <c r="I1865" s="716"/>
      <c r="J1865" s="498"/>
      <c r="K1865" s="498" t="s">
        <v>144</v>
      </c>
      <c r="L1865" s="747"/>
      <c r="M1865" s="498"/>
      <c r="N1865" s="498"/>
      <c r="O1865" s="498"/>
      <c r="P1865" s="498"/>
      <c r="Q1865" s="44"/>
      <c r="R1865" s="567"/>
      <c r="S1865" s="719"/>
      <c r="T1865" s="498"/>
    </row>
    <row r="1866" spans="1:41" s="501" customFormat="1" ht="12">
      <c r="A1866" s="748"/>
      <c r="B1866" s="749"/>
      <c r="C1866" s="497"/>
      <c r="D1866" s="750"/>
      <c r="E1866" s="751">
        <f ca="1">F1864/$C$12-SUMIF($L1863:$L1883,"SUBI",$E1863:$E1883)</f>
        <v>0</v>
      </c>
      <c r="F1866" s="752" t="s">
        <v>572</v>
      </c>
      <c r="G1866" s="753"/>
      <c r="H1866" s="753"/>
      <c r="I1866" s="754"/>
      <c r="J1866" s="753"/>
      <c r="K1866" s="753"/>
      <c r="L1866" s="755"/>
      <c r="M1866" s="756"/>
      <c r="N1866" s="756"/>
      <c r="O1866" s="756"/>
      <c r="P1866" s="756"/>
      <c r="Q1866" s="757"/>
      <c r="R1866" s="758"/>
      <c r="S1866" s="757"/>
      <c r="T1866" s="759"/>
    </row>
    <row r="1867" spans="1:41" s="501" customFormat="1" ht="12" customHeight="1">
      <c r="A1867" s="760"/>
      <c r="B1867" s="761"/>
      <c r="C1867" s="762"/>
      <c r="D1867" s="762" t="str">
        <f>$F$2</f>
        <v>Electrical</v>
      </c>
      <c r="E1867" s="762">
        <f ca="1">ROUND(($R1871*$S$2 + ($T1871*$T$2)), 2)</f>
        <v>47.58</v>
      </c>
      <c r="F1867" s="763">
        <f ca="1">$E1867*$C$12</f>
        <v>47.58</v>
      </c>
      <c r="G1867" s="567"/>
      <c r="H1867" s="764"/>
      <c r="I1867" s="567"/>
      <c r="J1867" s="45"/>
      <c r="K1867" s="765" t="s">
        <v>3</v>
      </c>
      <c r="L1867" s="766" t="s">
        <v>573</v>
      </c>
      <c r="M1867" s="567"/>
      <c r="N1867" s="567"/>
      <c r="O1867" s="45"/>
      <c r="P1867" s="567"/>
      <c r="Q1867" s="567"/>
      <c r="R1867"/>
      <c r="S1867"/>
      <c r="T1867"/>
    </row>
    <row r="1868" spans="1:41" s="935" customFormat="1" ht="13.2">
      <c r="A1868"/>
      <c r="B1868" s="927"/>
      <c r="C1868" s="927" t="s">
        <v>735</v>
      </c>
      <c r="D1868" s="927" t="str">
        <f ca="1">CELL("Address",Elec_Rates!D$55)</f>
        <v>[E25_0465_IH_Retro_Elec4Mech_Est_Rev_A.xlsx]Elec_Rates!$D$55</v>
      </c>
      <c r="E1868" s="928"/>
      <c r="F1868" s="928"/>
      <c r="G1868" s="929" t="s">
        <v>736</v>
      </c>
      <c r="H1868" s="929"/>
      <c r="I1868" s="929"/>
      <c r="J1868" s="929"/>
      <c r="K1868" s="930"/>
      <c r="L1868" s="928"/>
      <c r="M1868" s="928"/>
      <c r="N1868" s="928"/>
      <c r="O1868" s="931"/>
      <c r="P1868" s="928"/>
      <c r="Q1868" s="932"/>
      <c r="R1868" s="933"/>
      <c r="S1868" s="932"/>
      <c r="T1868" s="560"/>
      <c r="U1868" s="934"/>
    </row>
    <row r="1869" spans="1:41" s="935" customFormat="1" ht="11.4">
      <c r="A1869" s="936">
        <v>1</v>
      </c>
      <c r="B1869" s="937">
        <v>1</v>
      </c>
      <c r="C1869" s="937">
        <f>$A1869*$B1869</f>
        <v>1</v>
      </c>
      <c r="D1869" s="938" t="str">
        <f>Elec_Rates!$D$55</f>
        <v>005# Connecting up of 7.5 kW 400Volt motor (VFD)</v>
      </c>
      <c r="E1869" s="938"/>
      <c r="F1869" s="938" t="s">
        <v>737</v>
      </c>
      <c r="G1869" s="939" t="s">
        <v>739</v>
      </c>
      <c r="H1869" s="939"/>
      <c r="I1869" s="939"/>
      <c r="J1869" s="939"/>
      <c r="K1869" s="940"/>
      <c r="L1869" s="934"/>
      <c r="M1869" s="934"/>
      <c r="N1869" s="934"/>
      <c r="O1869" s="941"/>
      <c r="P1869" s="938"/>
      <c r="Q1869" s="942">
        <f ca="1">$B1869*Elec_Rates!$R$55</f>
        <v>6.96</v>
      </c>
      <c r="R1869" s="933">
        <f ca="1">$A1869*Q1869</f>
        <v>6.96</v>
      </c>
      <c r="S1869" s="942">
        <f ca="1">$B1869*Elec_Rates!$T$55</f>
        <v>1.03</v>
      </c>
      <c r="T1869" s="560">
        <f ca="1">$A1869*S1869</f>
        <v>1.03</v>
      </c>
      <c r="U1869" s="484"/>
    </row>
    <row r="1870" spans="1:41" s="501" customFormat="1" ht="14.4" customHeight="1">
      <c r="A1870" s="767"/>
      <c r="B1870" s="567"/>
      <c r="C1870" s="567"/>
      <c r="D1870" s="567"/>
      <c r="E1870" s="567"/>
      <c r="F1870" s="567"/>
      <c r="G1870" s="567"/>
      <c r="H1870" s="764"/>
      <c r="I1870" s="567"/>
      <c r="J1870" s="45"/>
      <c r="K1870" s="769"/>
      <c r="L1870" s="770"/>
      <c r="M1870" s="567"/>
      <c r="N1870" s="567"/>
      <c r="O1870" s="45"/>
      <c r="P1870" s="567"/>
      <c r="Q1870" s="567"/>
      <c r="R1870" s="771">
        <f>$A1870*Q1870</f>
        <v>0</v>
      </c>
      <c r="S1870" s="567"/>
      <c r="T1870" s="500">
        <f>$A1870*S1870*$T$1</f>
        <v>0</v>
      </c>
    </row>
    <row r="1871" spans="1:41" s="501" customFormat="1" ht="12">
      <c r="A1871" s="772" t="s">
        <v>145</v>
      </c>
      <c r="B1871" s="773">
        <f>(R1870+T1870)</f>
        <v>0</v>
      </c>
      <c r="C1871" s="753"/>
      <c r="G1871" s="774"/>
      <c r="H1871" s="774"/>
      <c r="I1871" s="774"/>
      <c r="J1871" s="774"/>
      <c r="K1871" s="750" t="s">
        <v>3</v>
      </c>
      <c r="L1871" s="775" t="s">
        <v>573</v>
      </c>
      <c r="M1871" s="774"/>
      <c r="N1871" s="774"/>
      <c r="O1871" s="774"/>
      <c r="P1871" s="774"/>
      <c r="Q1871" s="776"/>
      <c r="R1871" s="777">
        <f ca="1">SUM(R1867:R1870)</f>
        <v>6.96</v>
      </c>
      <c r="S1871" s="778"/>
      <c r="T1871" s="777">
        <f ca="1">SUM(T1867:T1870)</f>
        <v>1.03</v>
      </c>
      <c r="AG1871" s="779">
        <f ca="1">ROUND($R1871*$S$2,2)</f>
        <v>9.4</v>
      </c>
    </row>
    <row r="1872" spans="1:41" s="501" customFormat="1" ht="12" customHeight="1">
      <c r="A1872" s="760"/>
      <c r="B1872" s="780"/>
      <c r="C1872" s="781"/>
      <c r="D1872" s="782" t="str">
        <f>$F$3</f>
        <v>Technician</v>
      </c>
      <c r="E1872" s="782">
        <f>ROUND(($R1876*$S$3 + ($T1876*$T$3)), 2)</f>
        <v>0</v>
      </c>
      <c r="F1872" s="783">
        <f>$E1872*$C$12</f>
        <v>0</v>
      </c>
      <c r="G1872" s="499"/>
      <c r="H1872" s="499"/>
      <c r="I1872" s="499"/>
      <c r="J1872" s="499"/>
      <c r="K1872" s="765" t="s">
        <v>5</v>
      </c>
      <c r="L1872" s="766" t="s">
        <v>573</v>
      </c>
      <c r="M1872" s="499"/>
      <c r="N1872" s="499"/>
      <c r="O1872" s="499"/>
      <c r="P1872" s="499"/>
      <c r="Q1872" s="499"/>
      <c r="R1872" s="784"/>
      <c r="S1872" s="499"/>
      <c r="T1872" s="784"/>
    </row>
    <row r="1873" spans="1:41" s="797" customFormat="1" ht="15.6" customHeight="1">
      <c r="A1873" s="785"/>
      <c r="B1873" s="768" t="s">
        <v>575</v>
      </c>
      <c r="C1873" s="786"/>
      <c r="D1873" s="787"/>
      <c r="E1873" s="787"/>
      <c r="F1873" s="787"/>
      <c r="G1873" s="788"/>
      <c r="H1873" s="789"/>
      <c r="I1873" s="789"/>
      <c r="J1873" s="790"/>
      <c r="K1873" s="791"/>
      <c r="L1873" s="786"/>
      <c r="M1873" s="792"/>
      <c r="N1873" s="793"/>
      <c r="O1873" s="794"/>
      <c r="P1873" s="795"/>
      <c r="Q1873" s="796"/>
      <c r="R1873" s="771">
        <f>$A1873*Q1873</f>
        <v>0</v>
      </c>
      <c r="S1873" s="567"/>
      <c r="T1873" s="500">
        <f>$A1873*S1873*$T$1</f>
        <v>0</v>
      </c>
    </row>
    <row r="1874" spans="1:41" s="501" customFormat="1" ht="15.6" customHeight="1">
      <c r="A1874" s="767"/>
      <c r="B1874" s="567"/>
      <c r="C1874" s="567"/>
      <c r="D1874" s="567"/>
      <c r="E1874" s="567"/>
      <c r="F1874" s="567"/>
      <c r="G1874" s="567"/>
      <c r="H1874" s="567"/>
      <c r="I1874" s="567"/>
      <c r="J1874" s="567"/>
      <c r="K1874" s="567"/>
      <c r="L1874" s="770"/>
      <c r="M1874" s="567"/>
      <c r="N1874" s="567"/>
      <c r="O1874" s="567"/>
      <c r="P1874" s="567"/>
      <c r="Q1874" s="567"/>
      <c r="R1874" s="771">
        <f>$A1874*Q1874</f>
        <v>0</v>
      </c>
      <c r="S1874" s="567"/>
      <c r="T1874" s="500">
        <f>$A1874*S1874*$T$1</f>
        <v>0</v>
      </c>
    </row>
    <row r="1875" spans="1:41" s="501" customFormat="1" ht="15.6" customHeight="1">
      <c r="A1875" s="767"/>
      <c r="B1875" s="567"/>
      <c r="C1875" s="567"/>
      <c r="D1875" s="3"/>
      <c r="E1875" s="567"/>
      <c r="F1875" s="567"/>
      <c r="G1875" s="567"/>
      <c r="H1875" s="567"/>
      <c r="I1875" s="567"/>
      <c r="J1875" s="567"/>
      <c r="K1875" s="567"/>
      <c r="L1875" s="770"/>
      <c r="M1875" s="567"/>
      <c r="N1875" s="567"/>
      <c r="O1875" s="567"/>
      <c r="P1875" s="567"/>
      <c r="Q1875" s="567"/>
      <c r="R1875" s="771">
        <f>$A1875*Q1875</f>
        <v>0</v>
      </c>
      <c r="S1875" s="567"/>
      <c r="T1875" s="500">
        <f>$A1875*S1875*$T$1</f>
        <v>0</v>
      </c>
    </row>
    <row r="1876" spans="1:41" s="501" customFormat="1" ht="12">
      <c r="A1876" s="772" t="s">
        <v>145</v>
      </c>
      <c r="B1876" s="773">
        <f>(R1875+T1875)</f>
        <v>0</v>
      </c>
      <c r="C1876" s="753"/>
      <c r="G1876" s="774"/>
      <c r="H1876" s="774"/>
      <c r="I1876" s="774"/>
      <c r="J1876" s="774"/>
      <c r="K1876" s="798" t="s">
        <v>5</v>
      </c>
      <c r="L1876" s="775" t="s">
        <v>573</v>
      </c>
      <c r="M1876" s="774"/>
      <c r="N1876" s="774"/>
      <c r="O1876" s="774"/>
      <c r="P1876" s="774"/>
      <c r="Q1876" s="776"/>
      <c r="R1876" s="777">
        <f>SUM(R1872:R1875)</f>
        <v>0</v>
      </c>
      <c r="S1876" s="778"/>
      <c r="T1876" s="777">
        <f>SUM(T1872:T1875)</f>
        <v>0</v>
      </c>
      <c r="AG1876" s="799">
        <f>ROUND($R1876*$S$3,2)</f>
        <v>0</v>
      </c>
    </row>
    <row r="1877" spans="1:41" s="501" customFormat="1" ht="12" customHeight="1">
      <c r="A1877" s="800"/>
      <c r="B1877" s="801"/>
      <c r="C1877" s="802"/>
      <c r="D1877" s="803" t="str">
        <f>$F$4</f>
        <v>Engineer (Man Hours)</v>
      </c>
      <c r="E1877" s="803">
        <f>ROUND(($R1881*$S$4 + ($T1881*$T$4)), 2)</f>
        <v>0</v>
      </c>
      <c r="F1877" s="804">
        <f ca="1">$F1864-SUMIF($L1866:$P1874,"SUBI",$F1866:$F1874)</f>
        <v>0</v>
      </c>
      <c r="G1877" s="499"/>
      <c r="H1877" s="499"/>
      <c r="I1877" s="499"/>
      <c r="J1877" s="499"/>
      <c r="K1877" s="805" t="s">
        <v>8</v>
      </c>
      <c r="L1877" s="766" t="s">
        <v>573</v>
      </c>
      <c r="M1877" s="499"/>
      <c r="N1877" s="499"/>
      <c r="O1877" s="499"/>
      <c r="P1877" s="499"/>
      <c r="Q1877" s="499"/>
      <c r="R1877" s="784"/>
      <c r="S1877" s="499"/>
      <c r="T1877" s="784"/>
    </row>
    <row r="1878" spans="1:41" s="797" customFormat="1" ht="14.4" customHeight="1">
      <c r="A1878" s="785"/>
      <c r="B1878" s="768" t="s">
        <v>576</v>
      </c>
      <c r="C1878" s="786"/>
      <c r="D1878" s="787"/>
      <c r="E1878" s="787"/>
      <c r="F1878" s="787"/>
      <c r="G1878" s="788"/>
      <c r="H1878" s="789"/>
      <c r="I1878" s="789"/>
      <c r="J1878" s="790"/>
      <c r="K1878" s="791"/>
      <c r="L1878" s="786"/>
      <c r="M1878" s="792"/>
      <c r="N1878" s="793"/>
      <c r="O1878" s="806"/>
      <c r="P1878" s="795"/>
      <c r="Q1878" s="796"/>
      <c r="R1878" s="720">
        <f>$A1878*Q1878</f>
        <v>0</v>
      </c>
      <c r="S1878" s="796"/>
      <c r="T1878" s="500">
        <f>$A1878*S1878*$T$1</f>
        <v>0</v>
      </c>
    </row>
    <row r="1879" spans="1:41" s="501" customFormat="1" ht="12">
      <c r="A1879" s="44"/>
      <c r="B1879" s="497"/>
      <c r="C1879" s="497"/>
      <c r="D1879" s="807"/>
      <c r="E1879" s="808"/>
      <c r="F1879" s="499"/>
      <c r="G1879" s="499"/>
      <c r="H1879" s="499"/>
      <c r="I1879" s="499"/>
      <c r="J1879" s="499"/>
      <c r="K1879" s="499"/>
      <c r="L1879" s="809"/>
      <c r="M1879" s="499"/>
      <c r="N1879" s="499"/>
      <c r="O1879" s="499"/>
      <c r="P1879" s="499"/>
      <c r="Q1879" s="499"/>
      <c r="R1879" s="720">
        <f>$A1879*Q1879</f>
        <v>0</v>
      </c>
      <c r="S1879" s="499"/>
      <c r="T1879" s="500">
        <f>$A1879*S1879*$T$1</f>
        <v>0</v>
      </c>
    </row>
    <row r="1880" spans="1:41" s="501" customFormat="1" ht="12">
      <c r="A1880" s="44"/>
      <c r="B1880" s="497"/>
      <c r="C1880" s="497"/>
      <c r="D1880" s="807"/>
      <c r="E1880" s="808"/>
      <c r="F1880" s="499"/>
      <c r="G1880" s="499"/>
      <c r="H1880" s="499"/>
      <c r="I1880" s="499"/>
      <c r="J1880" s="499"/>
      <c r="K1880" s="499"/>
      <c r="L1880" s="809"/>
      <c r="M1880" s="499"/>
      <c r="N1880" s="499"/>
      <c r="O1880" s="499"/>
      <c r="P1880" s="499"/>
      <c r="Q1880" s="499"/>
      <c r="R1880" s="720">
        <f>$A1880*Q1880</f>
        <v>0</v>
      </c>
      <c r="S1880" s="499"/>
      <c r="T1880" s="500">
        <f>$A1880*S1880*$T$1</f>
        <v>0</v>
      </c>
    </row>
    <row r="1881" spans="1:41" s="501" customFormat="1" ht="12.75" customHeight="1">
      <c r="A1881" s="772" t="s">
        <v>145</v>
      </c>
      <c r="B1881" s="773">
        <f>(R1880+T1880)</f>
        <v>0</v>
      </c>
      <c r="C1881" s="810"/>
      <c r="D1881" s="810"/>
      <c r="E1881" s="810"/>
      <c r="F1881" s="810"/>
      <c r="G1881" s="776"/>
      <c r="H1881" s="776"/>
      <c r="I1881" s="776"/>
      <c r="J1881" s="776"/>
      <c r="K1881" s="798" t="s">
        <v>8</v>
      </c>
      <c r="L1881" s="811" t="s">
        <v>573</v>
      </c>
      <c r="M1881" s="776"/>
      <c r="N1881" s="776"/>
      <c r="O1881" s="776"/>
      <c r="P1881" s="776"/>
      <c r="Q1881" s="776"/>
      <c r="R1881" s="777">
        <f>SUM(R1877:R1880)</f>
        <v>0</v>
      </c>
      <c r="S1881" s="778"/>
      <c r="T1881" s="777">
        <f>SUM(T1877:T1880)</f>
        <v>0</v>
      </c>
      <c r="AG1881" s="812">
        <f>ROUND($R1881*$S$4,2)</f>
        <v>0</v>
      </c>
    </row>
    <row r="1882" spans="1:41" s="501" customFormat="1" ht="12.75" customHeight="1">
      <c r="A1882" s="813"/>
      <c r="B1882" s="814"/>
      <c r="E1882" s="497"/>
      <c r="F1882" s="808"/>
      <c r="G1882" s="497"/>
      <c r="H1882" s="497"/>
      <c r="I1882" s="499"/>
      <c r="J1882" s="497"/>
      <c r="K1882" s="497"/>
      <c r="L1882" s="815"/>
      <c r="M1882" s="725"/>
      <c r="N1882" s="725"/>
      <c r="O1882" s="725"/>
      <c r="P1882" s="725"/>
      <c r="Q1882" s="726"/>
      <c r="R1882" s="784"/>
      <c r="S1882" s="497"/>
      <c r="T1882" s="784"/>
    </row>
    <row r="1883" spans="1:41" s="501" customFormat="1" ht="13.2" customHeight="1" thickBot="1">
      <c r="A1883" s="816"/>
      <c r="B1883" s="817"/>
      <c r="C1883" s="518"/>
      <c r="D1883" s="518"/>
      <c r="E1883" s="515"/>
      <c r="F1883" s="721"/>
      <c r="G1883" s="515" t="s">
        <v>146</v>
      </c>
      <c r="H1883" s="515"/>
      <c r="I1883" s="516"/>
      <c r="J1883" s="515"/>
      <c r="K1883" s="515"/>
      <c r="L1883" s="818" t="s">
        <v>143</v>
      </c>
      <c r="M1883" s="517"/>
      <c r="N1883" s="517"/>
      <c r="O1883" s="517"/>
      <c r="P1883" s="517"/>
      <c r="Q1883" s="722"/>
      <c r="R1883" s="819">
        <f ca="1">SUMIF($L1865:$L1882,"SUBI",R1865:R1882)</f>
        <v>6.96</v>
      </c>
      <c r="S1883" s="820"/>
      <c r="T1883" s="819">
        <f ca="1">SUMIF($L1865:$L1882,"SUBI",T1865:T1882)</f>
        <v>1.03</v>
      </c>
      <c r="U1883" s="518"/>
      <c r="V1883" s="518"/>
      <c r="W1883" s="518"/>
      <c r="X1883" s="518"/>
      <c r="Y1883" s="518"/>
      <c r="Z1883" s="518"/>
      <c r="AA1883" s="518"/>
      <c r="AB1883" s="518"/>
      <c r="AC1883" s="518"/>
      <c r="AD1883" s="518"/>
      <c r="AE1883" s="518"/>
      <c r="AF1883" s="518"/>
      <c r="AG1883" s="518"/>
      <c r="AH1883" s="518"/>
      <c r="AI1883" s="518"/>
      <c r="AJ1883" s="518"/>
      <c r="AK1883" s="518"/>
      <c r="AL1883" s="518"/>
      <c r="AM1883" s="518"/>
      <c r="AN1883" s="518"/>
      <c r="AO1883" s="518"/>
    </row>
    <row r="1884" spans="1:41" s="501" customFormat="1" ht="12" thickTop="1">
      <c r="A1884" s="41" t="s">
        <v>148</v>
      </c>
      <c r="D1884" s="11"/>
      <c r="E1884" s="40"/>
      <c r="O1884" s="727"/>
    </row>
    <row r="1885" spans="1:41" s="501" customFormat="1" ht="13.2">
      <c r="B1885" s="3"/>
      <c r="O1885" s="727"/>
    </row>
    <row r="1886" spans="1:41" s="501" customFormat="1" ht="12">
      <c r="B1886" s="728">
        <f ca="1">$F1886/$C$2-($R1886*$S$2+$T1886*$T$2)</f>
        <v>1.4000000002852175E-2</v>
      </c>
      <c r="D1886" s="729" t="s">
        <v>568</v>
      </c>
      <c r="E1886" s="730"/>
      <c r="F1886" s="731">
        <f ca="1">SUMIF($L914:$L1884,"ITEM",F914:F1884)</f>
        <v>4100.4500000000035</v>
      </c>
      <c r="G1886" s="497"/>
      <c r="H1886" s="497"/>
      <c r="I1886" s="499"/>
      <c r="J1886" s="497"/>
      <c r="K1886" s="497"/>
      <c r="L1886" s="717" t="s">
        <v>159</v>
      </c>
      <c r="M1886" s="717"/>
      <c r="N1886" s="717"/>
      <c r="O1886" s="717"/>
      <c r="P1886" s="717"/>
      <c r="R1886" s="731">
        <f ca="1">SUMIF($L914:$L1884,"ITEM",R914:R1884)</f>
        <v>895.47999999999945</v>
      </c>
      <c r="S1886" s="733"/>
      <c r="T1886" s="731">
        <f ca="1">SUMIF($L914:$L1884,"ITEM",T914:T1884)</f>
        <v>78.000000000000028</v>
      </c>
    </row>
    <row r="1887" spans="1:41" s="501" customFormat="1" ht="13.2">
      <c r="A1887" s="44"/>
      <c r="B1887" s="42" t="s">
        <v>569</v>
      </c>
      <c r="C1887" s="44"/>
      <c r="D1887" s="3"/>
      <c r="F1887" s="734" t="s">
        <v>160</v>
      </c>
      <c r="G1887" s="497"/>
      <c r="H1887" s="497"/>
      <c r="I1887" s="499"/>
      <c r="J1887" s="497"/>
      <c r="K1887" s="497"/>
      <c r="L1887" s="497"/>
      <c r="M1887" s="497"/>
      <c r="N1887" s="497"/>
      <c r="O1887" s="497"/>
      <c r="P1887" s="497"/>
      <c r="Q1887" s="726"/>
      <c r="R1887" s="734" t="s">
        <v>161</v>
      </c>
      <c r="S1887" s="36"/>
      <c r="T1887" s="734" t="s">
        <v>162</v>
      </c>
    </row>
    <row r="1888" spans="1:41" s="501" customFormat="1" ht="13.2">
      <c r="A1888" s="497"/>
      <c r="B1888" s="3"/>
      <c r="C1888" s="497"/>
      <c r="D1888" s="3"/>
      <c r="E1888" s="3"/>
      <c r="G1888" s="3"/>
      <c r="H1888" s="3"/>
      <c r="I1888" s="3"/>
      <c r="J1888" s="3"/>
      <c r="K1888" s="3"/>
      <c r="L1888" s="3"/>
      <c r="M1888" s="3"/>
      <c r="N1888" s="3"/>
      <c r="O1888" s="86"/>
      <c r="P1888" s="3"/>
      <c r="Q1888" s="3"/>
      <c r="R1888" s="3"/>
      <c r="S1888" s="3"/>
      <c r="T1888" s="3"/>
    </row>
    <row r="1889" spans="1:41" s="501" customFormat="1" ht="12" thickBot="1">
      <c r="A1889" s="518"/>
      <c r="B1889" s="515"/>
      <c r="C1889" s="515"/>
      <c r="D1889" s="518"/>
      <c r="E1889" s="37"/>
      <c r="F1889" s="735"/>
      <c r="G1889" s="515"/>
      <c r="H1889" s="515"/>
      <c r="I1889" s="516"/>
      <c r="J1889" s="515"/>
      <c r="K1889" s="515"/>
      <c r="L1889" s="517"/>
      <c r="M1889" s="517"/>
      <c r="N1889" s="517"/>
      <c r="O1889" s="517"/>
      <c r="P1889" s="517"/>
      <c r="Q1889" s="722"/>
      <c r="R1889" s="735"/>
      <c r="S1889" s="736"/>
      <c r="T1889" s="735"/>
      <c r="U1889" s="518"/>
      <c r="V1889" s="518"/>
      <c r="W1889" s="518"/>
      <c r="X1889" s="518"/>
      <c r="Y1889" s="518"/>
      <c r="Z1889" s="518"/>
      <c r="AA1889" s="518"/>
      <c r="AB1889" s="518"/>
      <c r="AC1889" s="518"/>
      <c r="AD1889" s="518"/>
      <c r="AE1889" s="518"/>
      <c r="AF1889" s="518"/>
      <c r="AG1889" s="518"/>
      <c r="AH1889" s="518"/>
      <c r="AI1889" s="518"/>
      <c r="AJ1889" s="518"/>
      <c r="AK1889" s="518"/>
    </row>
    <row r="1890" spans="1:41" s="501" customFormat="1" thickTop="1">
      <c r="A1890" s="44"/>
      <c r="B1890" s="44"/>
      <c r="C1890" s="3"/>
      <c r="D1890" s="3"/>
      <c r="E1890" s="44"/>
      <c r="F1890" s="44"/>
      <c r="G1890" s="44"/>
      <c r="H1890" s="44"/>
      <c r="I1890" s="44"/>
      <c r="J1890" s="44"/>
      <c r="K1890" s="44" t="s">
        <v>134</v>
      </c>
      <c r="L1890" s="44"/>
      <c r="M1890" s="44"/>
      <c r="N1890" s="44"/>
      <c r="O1890" s="45"/>
      <c r="P1890" s="44"/>
      <c r="Q1890" s="44"/>
      <c r="R1890" s="44"/>
      <c r="S1890" s="44"/>
      <c r="T1890" s="44"/>
    </row>
    <row r="1891" spans="1:41" s="501" customFormat="1" ht="12">
      <c r="A1891" s="44"/>
      <c r="B1891" s="44"/>
      <c r="C1891" s="44" t="s">
        <v>135</v>
      </c>
      <c r="D1891" s="35" t="s">
        <v>136</v>
      </c>
      <c r="E1891" s="44"/>
      <c r="F1891" s="44"/>
      <c r="G1891" s="44"/>
      <c r="H1891" s="44"/>
      <c r="I1891" s="44"/>
      <c r="J1891" s="44"/>
      <c r="K1891" s="44"/>
      <c r="L1891" s="44"/>
      <c r="M1891" s="44"/>
      <c r="N1891" s="44"/>
      <c r="O1891" s="45"/>
      <c r="P1891" s="44"/>
      <c r="Q1891" s="44"/>
      <c r="R1891" s="44"/>
      <c r="S1891" s="44"/>
      <c r="T1891" s="44"/>
    </row>
    <row r="1892" spans="1:41" s="501" customFormat="1" ht="12">
      <c r="A1892" s="44"/>
      <c r="B1892" s="44"/>
      <c r="C1892" s="44"/>
      <c r="D1892" s="35" t="s">
        <v>500</v>
      </c>
      <c r="E1892" s="44"/>
      <c r="F1892" s="44"/>
      <c r="G1892" s="44"/>
      <c r="H1892" s="44"/>
      <c r="I1892" s="44"/>
      <c r="J1892" s="44"/>
      <c r="K1892" s="44"/>
      <c r="L1892" s="44"/>
      <c r="M1892" s="44"/>
      <c r="N1892" s="44"/>
      <c r="O1892" s="45"/>
      <c r="P1892" s="44"/>
      <c r="Q1892" s="44"/>
      <c r="R1892" s="44"/>
      <c r="S1892" s="36"/>
      <c r="T1892" s="36"/>
    </row>
    <row r="1893" spans="1:41" s="3" customFormat="1" thickBot="1">
      <c r="A1893" s="518"/>
      <c r="O1893" s="86"/>
    </row>
    <row r="1894" spans="1:41" s="501" customFormat="1" thickTop="1">
      <c r="A1894" s="44"/>
      <c r="B1894" s="44"/>
      <c r="C1894" s="3"/>
      <c r="D1894" s="3"/>
      <c r="E1894" s="44"/>
      <c r="F1894" s="44"/>
      <c r="G1894" s="44"/>
      <c r="H1894" s="44"/>
      <c r="I1894" s="44"/>
      <c r="J1894" s="44"/>
      <c r="K1894" s="44" t="s">
        <v>134</v>
      </c>
      <c r="L1894" s="44"/>
      <c r="M1894" s="44"/>
      <c r="N1894" s="44"/>
      <c r="O1894" s="45"/>
      <c r="P1894" s="44"/>
      <c r="Q1894" s="44"/>
      <c r="R1894" s="44"/>
      <c r="S1894" s="44"/>
      <c r="T1894" s="44"/>
    </row>
    <row r="1895" spans="1:41" s="501" customFormat="1" ht="12">
      <c r="A1895" s="44"/>
      <c r="B1895" s="44"/>
      <c r="C1895" s="44" t="s">
        <v>135</v>
      </c>
      <c r="D1895" s="35"/>
      <c r="E1895" s="44"/>
      <c r="F1895" s="44"/>
      <c r="G1895" s="44"/>
      <c r="H1895" s="44"/>
      <c r="I1895" s="44"/>
      <c r="J1895" s="44"/>
      <c r="K1895" s="44"/>
      <c r="L1895" s="44"/>
      <c r="M1895" s="44"/>
      <c r="N1895" s="44"/>
      <c r="O1895" s="45"/>
      <c r="P1895" s="44"/>
      <c r="Q1895" s="44"/>
      <c r="R1895" s="44"/>
      <c r="S1895" s="44"/>
      <c r="T1895" s="44"/>
    </row>
    <row r="1896" spans="1:41" s="501" customFormat="1" ht="39.9" customHeight="1">
      <c r="A1896" s="44"/>
      <c r="B1896" s="44"/>
      <c r="C1896" s="44"/>
      <c r="D1896" s="1185" t="s">
        <v>607</v>
      </c>
      <c r="E1896" s="1184"/>
      <c r="F1896" s="1184"/>
      <c r="G1896" s="1184"/>
      <c r="H1896" s="1184"/>
      <c r="I1896" s="1184"/>
      <c r="J1896" s="1184"/>
      <c r="K1896" s="1184"/>
      <c r="L1896" s="1184"/>
      <c r="M1896" s="1184"/>
      <c r="N1896" s="1184"/>
      <c r="O1896" s="1184"/>
      <c r="P1896" s="1184"/>
      <c r="Q1896" s="1184"/>
      <c r="R1896" s="1184"/>
      <c r="S1896" s="1184"/>
      <c r="T1896" s="1184"/>
    </row>
    <row r="1897" spans="1:41" s="3" customFormat="1" thickBot="1">
      <c r="A1897" s="518"/>
      <c r="O1897" s="86"/>
    </row>
    <row r="1898" spans="1:41" s="501" customFormat="1" thickTop="1">
      <c r="A1898" s="44"/>
      <c r="B1898" s="44"/>
      <c r="C1898" s="3"/>
      <c r="D1898" s="3"/>
      <c r="E1898" s="44"/>
      <c r="F1898" s="44"/>
      <c r="G1898" s="44"/>
      <c r="H1898" s="44"/>
      <c r="I1898" s="44"/>
      <c r="J1898" s="44"/>
      <c r="K1898" s="44" t="s">
        <v>134</v>
      </c>
      <c r="L1898" s="44"/>
      <c r="M1898" s="44"/>
      <c r="N1898" s="44"/>
      <c r="O1898" s="45"/>
      <c r="P1898" s="44"/>
      <c r="Q1898" s="44"/>
      <c r="R1898" s="44"/>
      <c r="S1898" s="44"/>
      <c r="T1898" s="44"/>
    </row>
    <row r="1899" spans="1:41" s="501" customFormat="1" ht="12">
      <c r="A1899" s="44"/>
      <c r="B1899" s="44"/>
      <c r="C1899" s="44" t="s">
        <v>135</v>
      </c>
      <c r="D1899" s="35"/>
      <c r="E1899" s="44"/>
      <c r="F1899" s="44"/>
      <c r="G1899" s="44"/>
      <c r="H1899" s="44"/>
      <c r="I1899" s="44"/>
      <c r="J1899" s="44"/>
      <c r="K1899" s="44"/>
      <c r="L1899" s="44"/>
      <c r="M1899" s="44"/>
      <c r="N1899" s="44"/>
      <c r="O1899" s="45"/>
      <c r="P1899" s="44"/>
      <c r="Q1899" s="44"/>
      <c r="R1899" s="44"/>
      <c r="S1899" s="44"/>
      <c r="T1899" s="44"/>
    </row>
    <row r="1900" spans="1:41" s="501" customFormat="1" ht="12">
      <c r="A1900" s="44"/>
      <c r="B1900" s="44"/>
      <c r="C1900" s="44"/>
      <c r="D1900" s="35" t="s">
        <v>502</v>
      </c>
      <c r="E1900" s="44"/>
      <c r="F1900" s="44"/>
      <c r="G1900" s="44"/>
      <c r="H1900" s="44"/>
      <c r="I1900" s="44"/>
      <c r="J1900" s="44"/>
      <c r="K1900" s="44"/>
      <c r="L1900" s="44"/>
      <c r="M1900" s="44"/>
      <c r="N1900" s="44"/>
      <c r="O1900" s="45"/>
      <c r="P1900" s="44"/>
      <c r="Q1900" s="44"/>
      <c r="R1900" s="44"/>
      <c r="S1900" s="36"/>
      <c r="T1900" s="36"/>
    </row>
    <row r="1901" spans="1:41" s="3" customFormat="1" thickBot="1">
      <c r="A1901" s="518"/>
      <c r="O1901" s="86"/>
    </row>
    <row r="1902" spans="1:41" s="501" customFormat="1" thickTop="1">
      <c r="A1902" s="44"/>
      <c r="B1902" s="39"/>
      <c r="C1902" s="44"/>
      <c r="E1902" s="40" t="s">
        <v>138</v>
      </c>
      <c r="F1902" s="40" t="s">
        <v>139</v>
      </c>
      <c r="G1902" s="44"/>
      <c r="H1902" s="44"/>
      <c r="I1902" s="44"/>
      <c r="J1902" s="44"/>
      <c r="K1902" s="44" t="s">
        <v>140</v>
      </c>
      <c r="L1902" s="737"/>
      <c r="M1902" s="44"/>
      <c r="N1902" s="44"/>
      <c r="O1902" s="45"/>
      <c r="P1902" s="44"/>
      <c r="Q1902"/>
      <c r="R1902"/>
      <c r="S1902"/>
      <c r="T1902" s="39"/>
      <c r="AG1902" s="502" t="s">
        <v>247</v>
      </c>
      <c r="AH1902" s="502" t="s">
        <v>248</v>
      </c>
      <c r="AI1902" s="502" t="s">
        <v>249</v>
      </c>
      <c r="AJ1902" s="502" t="s">
        <v>250</v>
      </c>
      <c r="AK1902" s="502" t="s">
        <v>251</v>
      </c>
      <c r="AM1902" s="710" t="s">
        <v>260</v>
      </c>
      <c r="AN1902" s="711" t="s">
        <v>261</v>
      </c>
      <c r="AO1902" s="503" t="s">
        <v>257</v>
      </c>
    </row>
    <row r="1903" spans="1:41" s="501" customFormat="1" ht="13.2">
      <c r="A1903" s="712">
        <v>1</v>
      </c>
      <c r="B1903" s="504" t="s">
        <v>283</v>
      </c>
      <c r="C1903" s="505"/>
      <c r="D1903" s="713" t="s">
        <v>571</v>
      </c>
      <c r="E1903" s="738">
        <f ca="1">IF(AND($A1903=0,$A$1="DIF"),0,ROUND(ROUND(SUMIF($L1905:$L1923,"SUBI",$E1905:$E1923)/$A1903,2)*$C$12,2))</f>
        <v>0</v>
      </c>
      <c r="F1903" s="739">
        <f ca="1">ROUND($A1903*$E1903,2)</f>
        <v>0</v>
      </c>
      <c r="G1903" s="506" t="s">
        <v>142</v>
      </c>
      <c r="H1903" s="498"/>
      <c r="I1903" s="716"/>
      <c r="J1903" s="498"/>
      <c r="K1903" s="740"/>
      <c r="L1903" s="741" t="s">
        <v>143</v>
      </c>
      <c r="M1903" s="717"/>
      <c r="N1903" s="717"/>
      <c r="O1903" s="717"/>
      <c r="P1903" s="717"/>
      <c r="Q1903" s="943" t="s">
        <v>855</v>
      </c>
      <c r="R1903" s="943" t="s">
        <v>1105</v>
      </c>
      <c r="S1903"/>
      <c r="T1903" s="742" t="str">
        <f ca="1">IF(AND($R1928=0,$T1928=0),"0.00","mu :" &amp; ROUND($F1903/$C$12/($R1928+$T1928*$D$9),2))</f>
        <v>0.00</v>
      </c>
      <c r="W1903" s="507"/>
      <c r="AG1903" s="743">
        <f ca="1">IF(A1903=0,0,ROUND(SUM(AG1905:AG1928)/A1903,2))</f>
        <v>0</v>
      </c>
      <c r="AH1903" s="743">
        <f ca="1">$AG1903*$A1903</f>
        <v>0</v>
      </c>
      <c r="AI1903" s="743">
        <f ca="1">$E1903-$AG1903</f>
        <v>0</v>
      </c>
      <c r="AJ1903" s="743">
        <f ca="1">$A1903*$AI1903</f>
        <v>0</v>
      </c>
      <c r="AK1903" s="744">
        <f ca="1">ROUND(($AG1903+$AI1903)*$A1903,2)</f>
        <v>0</v>
      </c>
      <c r="AM1903" s="510">
        <f ca="1">ROUND(R1928,2)</f>
        <v>0</v>
      </c>
      <c r="AN1903" s="511">
        <f ca="1">ROUND(T1928,2)</f>
        <v>0</v>
      </c>
      <c r="AO1903" s="512">
        <f ca="1">ROUND(AM1903+AN1903,2)*A1903</f>
        <v>0</v>
      </c>
    </row>
    <row r="1904" spans="1:41" s="501" customFormat="1" ht="39.9" customHeight="1">
      <c r="A1904" s="745"/>
      <c r="B1904" s="746"/>
      <c r="C1904" s="505"/>
      <c r="D1904" s="1183" t="s">
        <v>503</v>
      </c>
      <c r="E1904" s="1184"/>
      <c r="F1904" s="1184"/>
      <c r="G1904" s="1184"/>
      <c r="H1904" s="1184"/>
      <c r="I1904" s="1184"/>
      <c r="J1904" s="1184"/>
      <c r="K1904" s="1184"/>
      <c r="L1904" s="1184"/>
      <c r="M1904" s="1184"/>
      <c r="N1904" s="1184"/>
      <c r="O1904" s="1184"/>
      <c r="P1904" s="1184"/>
      <c r="Q1904" s="1184"/>
      <c r="R1904" s="1184"/>
      <c r="S1904" s="1184"/>
      <c r="T1904" s="1184"/>
    </row>
    <row r="1905" spans="1:38" s="501" customFormat="1" ht="12">
      <c r="A1905" s="748"/>
      <c r="B1905" s="749"/>
      <c r="C1905" s="497"/>
      <c r="D1905" s="750"/>
      <c r="E1905" s="751">
        <f ca="1">F1903/$C$12-SUMIF($L1902:$L1928,"SUBI",$E1902:$E1928)</f>
        <v>0</v>
      </c>
      <c r="F1905" s="752" t="s">
        <v>572</v>
      </c>
      <c r="G1905" s="753"/>
      <c r="H1905" s="753"/>
      <c r="I1905" s="754"/>
      <c r="J1905" s="753"/>
      <c r="K1905" s="753"/>
      <c r="L1905" s="755"/>
      <c r="M1905" s="756"/>
      <c r="N1905" s="756"/>
      <c r="O1905" s="756"/>
      <c r="P1905" s="756"/>
      <c r="Q1905" s="757"/>
      <c r="R1905" s="758"/>
      <c r="S1905" s="757"/>
      <c r="T1905" s="759"/>
    </row>
    <row r="1906" spans="1:38" s="501" customFormat="1" ht="12" customHeight="1">
      <c r="A1906" s="760"/>
      <c r="B1906" s="761"/>
      <c r="C1906" s="762"/>
      <c r="D1906" s="762" t="str">
        <f>$F$2</f>
        <v>Electrical</v>
      </c>
      <c r="E1906" s="762">
        <f ca="1">ROUND(($R1918*$S$2 + ($T1918*$T$2)), 2)</f>
        <v>0</v>
      </c>
      <c r="F1906" s="763">
        <f ca="1">$E1906*$C$12</f>
        <v>0</v>
      </c>
      <c r="G1906" s="567"/>
      <c r="H1906" s="764"/>
      <c r="I1906" s="567"/>
      <c r="J1906" s="45"/>
      <c r="K1906" s="765" t="s">
        <v>3</v>
      </c>
      <c r="L1906" s="766" t="s">
        <v>573</v>
      </c>
      <c r="M1906" s="567"/>
      <c r="N1906" s="567"/>
      <c r="O1906" s="45"/>
      <c r="P1906" s="567"/>
      <c r="Q1906" s="567"/>
      <c r="R1906"/>
      <c r="S1906"/>
      <c r="T1906"/>
    </row>
    <row r="1907" spans="1:38" s="935" customFormat="1" ht="13.2">
      <c r="A1907"/>
      <c r="B1907" s="927"/>
      <c r="C1907" s="927" t="s">
        <v>735</v>
      </c>
      <c r="D1907" s="927" t="str">
        <f ca="1">CELL("Address",Elec_Rates!D$143)</f>
        <v>[E25_0465_IH_Retro_Elec4Mech_Est_Rev_A.xlsx]Elec_Rates!$D$143</v>
      </c>
      <c r="E1907" s="928"/>
      <c r="F1907" s="928"/>
      <c r="G1907" s="929" t="s">
        <v>736</v>
      </c>
      <c r="H1907" s="929"/>
      <c r="I1907" s="929"/>
      <c r="J1907" s="929"/>
      <c r="K1907" s="930"/>
      <c r="L1907" s="928"/>
      <c r="M1907" s="928"/>
      <c r="N1907" s="928"/>
      <c r="O1907" s="931"/>
      <c r="P1907" s="928"/>
      <c r="Q1907" s="932"/>
      <c r="R1907" s="933"/>
      <c r="S1907" s="932"/>
      <c r="T1907" s="560"/>
      <c r="U1907" s="934"/>
      <c r="AL1907"/>
    </row>
    <row r="1908" spans="1:38" s="935" customFormat="1" ht="11.4">
      <c r="A1908" s="936">
        <v>0</v>
      </c>
      <c r="B1908" s="937">
        <v>1</v>
      </c>
      <c r="C1908" s="937">
        <f>$A1908*$B1908</f>
        <v>0</v>
      </c>
      <c r="D1908" s="938" t="str">
        <f>Elec_Rates!$D$143</f>
        <v>011# Power supply to control panel (4core x 4.0sqmm) and VDS by pass in MCC</v>
      </c>
      <c r="E1908" s="938"/>
      <c r="F1908" s="938" t="s">
        <v>737</v>
      </c>
      <c r="G1908" s="939" t="s">
        <v>738</v>
      </c>
      <c r="H1908" s="939"/>
      <c r="I1908" s="939"/>
      <c r="J1908" s="939"/>
      <c r="K1908" s="940"/>
      <c r="L1908" s="934"/>
      <c r="M1908" s="934"/>
      <c r="N1908" s="934"/>
      <c r="O1908" s="941"/>
      <c r="P1908" s="938"/>
      <c r="Q1908" s="942">
        <f ca="1">$B1908*Elec_Rates!$R$143</f>
        <v>74.239999999999995</v>
      </c>
      <c r="R1908" s="933">
        <f ca="1">$A1908*Q1908</f>
        <v>0</v>
      </c>
      <c r="S1908" s="942">
        <f ca="1">$B1908*Elec_Rates!$T$143</f>
        <v>3.17</v>
      </c>
      <c r="T1908" s="560">
        <f ca="1">$A1908*S1908</f>
        <v>0</v>
      </c>
      <c r="U1908" s="484"/>
      <c r="AL1908" s="936">
        <v>1</v>
      </c>
    </row>
    <row r="1909" spans="1:38" s="935" customFormat="1" ht="13.2">
      <c r="A1909"/>
      <c r="B1909" s="927"/>
      <c r="C1909" s="927" t="s">
        <v>735</v>
      </c>
      <c r="D1909" s="927" t="str">
        <f ca="1">CELL("Address",Elec_Rates!D$196)</f>
        <v>[E25_0465_IH_Retro_Elec4Mech_Est_Rev_A.xlsx]Elec_Rates!$D$196</v>
      </c>
      <c r="E1909" s="928"/>
      <c r="F1909" s="928"/>
      <c r="G1909" s="929" t="s">
        <v>736</v>
      </c>
      <c r="H1909" s="929"/>
      <c r="I1909" s="929"/>
      <c r="J1909" s="929"/>
      <c r="K1909" s="930"/>
      <c r="L1909" s="928"/>
      <c r="M1909" s="928"/>
      <c r="N1909" s="928"/>
      <c r="O1909" s="931"/>
      <c r="P1909" s="928"/>
      <c r="Q1909" s="932"/>
      <c r="R1909" s="933"/>
      <c r="S1909" s="932"/>
      <c r="T1909" s="560"/>
      <c r="U1909" s="934"/>
      <c r="AL1909"/>
    </row>
    <row r="1910" spans="1:38" s="935" customFormat="1" ht="11.4">
      <c r="A1910" s="936">
        <v>0</v>
      </c>
      <c r="B1910" s="937">
        <v>1</v>
      </c>
      <c r="C1910" s="937">
        <f>$A1910*$B1910</f>
        <v>0</v>
      </c>
      <c r="D1910" s="938" t="str">
        <f>Elec_Rates!$D$196</f>
        <v>013# Installation of Rosenger control panel</v>
      </c>
      <c r="E1910" s="938"/>
      <c r="F1910" s="938" t="s">
        <v>737</v>
      </c>
      <c r="G1910" s="939" t="s">
        <v>739</v>
      </c>
      <c r="H1910" s="939"/>
      <c r="I1910" s="939"/>
      <c r="J1910" s="939"/>
      <c r="K1910" s="940"/>
      <c r="L1910" s="934"/>
      <c r="M1910" s="934"/>
      <c r="N1910" s="934"/>
      <c r="O1910" s="941"/>
      <c r="P1910" s="938"/>
      <c r="Q1910" s="942">
        <f ca="1">$B1910*Elec_Rates!$R$196</f>
        <v>20</v>
      </c>
      <c r="R1910" s="933">
        <f ca="1">$A1910*Q1910</f>
        <v>0</v>
      </c>
      <c r="S1910" s="942">
        <f ca="1">$B1910*Elec_Rates!$T$196</f>
        <v>2</v>
      </c>
      <c r="T1910" s="560">
        <f ca="1">$A1910*S1910</f>
        <v>0</v>
      </c>
      <c r="U1910" s="484"/>
      <c r="AL1910" s="936">
        <v>1</v>
      </c>
    </row>
    <row r="1911" spans="1:38" s="935" customFormat="1" ht="13.2">
      <c r="A1911"/>
      <c r="B1911" s="927"/>
      <c r="C1911" s="927" t="s">
        <v>735</v>
      </c>
      <c r="D1911" s="927" t="str">
        <f ca="1">CELL("Address",Elec_Rates!D$203)</f>
        <v>[E25_0465_IH_Retro_Elec4Mech_Est_Rev_A.xlsx]Elec_Rates!$D$203</v>
      </c>
      <c r="E1911" s="928"/>
      <c r="F1911" s="928"/>
      <c r="G1911" s="929" t="s">
        <v>736</v>
      </c>
      <c r="H1911" s="929"/>
      <c r="I1911" s="929"/>
      <c r="J1911" s="929"/>
      <c r="K1911" s="930"/>
      <c r="L1911" s="928"/>
      <c r="M1911" s="928"/>
      <c r="N1911" s="928"/>
      <c r="O1911" s="931"/>
      <c r="P1911" s="928"/>
      <c r="Q1911" s="932"/>
      <c r="R1911" s="933"/>
      <c r="S1911" s="932"/>
      <c r="T1911" s="560"/>
      <c r="U1911" s="934"/>
      <c r="AL1911"/>
    </row>
    <row r="1912" spans="1:38" s="935" customFormat="1" ht="11.4">
      <c r="A1912" s="936">
        <v>0</v>
      </c>
      <c r="B1912" s="937">
        <v>1</v>
      </c>
      <c r="C1912" s="937">
        <f>$A1912*$B1912</f>
        <v>0</v>
      </c>
      <c r="D1912" s="938" t="str">
        <f>Elec_Rates!$D$203</f>
        <v>014# Installation of cable harness to fans</v>
      </c>
      <c r="E1912" s="938"/>
      <c r="F1912" s="938" t="s">
        <v>737</v>
      </c>
      <c r="G1912" s="939" t="s">
        <v>738</v>
      </c>
      <c r="H1912" s="939"/>
      <c r="I1912" s="939"/>
      <c r="J1912" s="939"/>
      <c r="K1912" s="940"/>
      <c r="L1912" s="934"/>
      <c r="M1912" s="934"/>
      <c r="N1912" s="934"/>
      <c r="O1912" s="941"/>
      <c r="P1912" s="938"/>
      <c r="Q1912" s="942">
        <f ca="1">$B1912*Elec_Rates!$R$203</f>
        <v>20</v>
      </c>
      <c r="R1912" s="933">
        <f ca="1">$A1912*Q1912</f>
        <v>0</v>
      </c>
      <c r="S1912" s="942">
        <f ca="1">$B1912*Elec_Rates!$T$203</f>
        <v>1</v>
      </c>
      <c r="T1912" s="560">
        <f ca="1">$A1912*S1912</f>
        <v>0</v>
      </c>
      <c r="U1912" s="484"/>
      <c r="AL1912" s="936">
        <v>4</v>
      </c>
    </row>
    <row r="1913" spans="1:38" s="935" customFormat="1" ht="13.2">
      <c r="A1913"/>
      <c r="B1913" s="927"/>
      <c r="C1913" s="927" t="s">
        <v>735</v>
      </c>
      <c r="D1913" s="927" t="str">
        <f ca="1">CELL("Address",Elec_Rates!D$210)</f>
        <v>[E25_0465_IH_Retro_Elec4Mech_Est_Rev_A.xlsx]Elec_Rates!$D$210</v>
      </c>
      <c r="E1913" s="928"/>
      <c r="F1913" s="928"/>
      <c r="G1913" s="929" t="s">
        <v>736</v>
      </c>
      <c r="H1913" s="929"/>
      <c r="I1913" s="929"/>
      <c r="J1913" s="929"/>
      <c r="K1913" s="930"/>
      <c r="L1913" s="928"/>
      <c r="M1913" s="928"/>
      <c r="N1913" s="928"/>
      <c r="O1913" s="931"/>
      <c r="P1913" s="928"/>
      <c r="Q1913" s="932"/>
      <c r="R1913" s="933"/>
      <c r="S1913" s="932"/>
      <c r="T1913" s="560"/>
      <c r="U1913" s="934"/>
      <c r="AL1913"/>
    </row>
    <row r="1914" spans="1:38" s="935" customFormat="1" ht="11.4">
      <c r="A1914" s="936">
        <v>0</v>
      </c>
      <c r="B1914" s="937">
        <v>1</v>
      </c>
      <c r="C1914" s="937">
        <f>$A1914*$B1914</f>
        <v>0</v>
      </c>
      <c r="D1914" s="938" t="str">
        <f>Elec_Rates!$D$210</f>
        <v>015# Installation of control panels by ECA</v>
      </c>
      <c r="E1914" s="938"/>
      <c r="F1914" s="938" t="s">
        <v>737</v>
      </c>
      <c r="G1914" s="939" t="s">
        <v>739</v>
      </c>
      <c r="H1914" s="939"/>
      <c r="I1914" s="939"/>
      <c r="J1914" s="939"/>
      <c r="K1914" s="940"/>
      <c r="L1914" s="934"/>
      <c r="M1914" s="934"/>
      <c r="N1914" s="934"/>
      <c r="O1914" s="941"/>
      <c r="P1914" s="938"/>
      <c r="Q1914" s="942">
        <f ca="1">$B1914*Elec_Rates!$R$210</f>
        <v>30</v>
      </c>
      <c r="R1914" s="933">
        <f ca="1">$A1914*Q1914</f>
        <v>0</v>
      </c>
      <c r="S1914" s="942">
        <f ca="1">$B1914*Elec_Rates!$T$210</f>
        <v>1</v>
      </c>
      <c r="T1914" s="560">
        <f ca="1">$A1914*S1914</f>
        <v>0</v>
      </c>
      <c r="U1914" s="484"/>
      <c r="AL1914" s="936">
        <v>1</v>
      </c>
    </row>
    <row r="1915" spans="1:38" s="935" customFormat="1" ht="13.2">
      <c r="A1915"/>
      <c r="B1915" s="927"/>
      <c r="C1915" s="927" t="s">
        <v>735</v>
      </c>
      <c r="D1915" s="927" t="str">
        <f ca="1">CELL("Address",Elec_Rates!D$217)</f>
        <v>[E25_0465_IH_Retro_Elec4Mech_Est_Rev_A.xlsx]Elec_Rates!$D$217</v>
      </c>
      <c r="E1915" s="928"/>
      <c r="F1915" s="928"/>
      <c r="G1915" s="929" t="s">
        <v>736</v>
      </c>
      <c r="H1915" s="929"/>
      <c r="I1915" s="929"/>
      <c r="J1915" s="929"/>
      <c r="K1915" s="930"/>
      <c r="L1915" s="928"/>
      <c r="M1915" s="928"/>
      <c r="N1915" s="928"/>
      <c r="O1915" s="931"/>
      <c r="P1915" s="928"/>
      <c r="Q1915" s="932"/>
      <c r="R1915" s="933"/>
      <c r="S1915" s="932"/>
      <c r="T1915" s="560"/>
      <c r="U1915" s="934"/>
      <c r="AL1915"/>
    </row>
    <row r="1916" spans="1:38" s="935" customFormat="1" ht="11.4">
      <c r="A1916" s="936">
        <v>0</v>
      </c>
      <c r="B1916" s="937">
        <v>1</v>
      </c>
      <c r="C1916" s="937">
        <f>$A1916*$B1916</f>
        <v>0</v>
      </c>
      <c r="D1916" s="938" t="str">
        <f>Elec_Rates!$D$217</f>
        <v>016# Installation of sensors on AHUs</v>
      </c>
      <c r="E1916" s="938"/>
      <c r="F1916" s="938" t="s">
        <v>737</v>
      </c>
      <c r="G1916" s="939" t="s">
        <v>738</v>
      </c>
      <c r="H1916" s="939"/>
      <c r="I1916" s="939"/>
      <c r="J1916" s="939"/>
      <c r="K1916" s="940"/>
      <c r="L1916" s="934"/>
      <c r="M1916" s="934"/>
      <c r="N1916" s="934"/>
      <c r="O1916" s="941"/>
      <c r="P1916" s="938"/>
      <c r="Q1916" s="942">
        <f ca="1">$B1916*Elec_Rates!$R$217</f>
        <v>354.24</v>
      </c>
      <c r="R1916" s="933">
        <f ca="1">$A1916*Q1916</f>
        <v>0</v>
      </c>
      <c r="S1916" s="942">
        <f ca="1">$B1916*Elec_Rates!$T$217</f>
        <v>17.989999999999998</v>
      </c>
      <c r="T1916" s="560">
        <f ca="1">$A1916*S1916</f>
        <v>0</v>
      </c>
      <c r="U1916" s="484"/>
      <c r="AL1916" s="936">
        <v>1</v>
      </c>
    </row>
    <row r="1917" spans="1:38" s="501" customFormat="1" ht="14.4" customHeight="1">
      <c r="A1917" s="767"/>
      <c r="B1917" s="567"/>
      <c r="C1917" s="567"/>
      <c r="D1917" s="567"/>
      <c r="E1917" s="567"/>
      <c r="F1917" s="567"/>
      <c r="G1917" s="567"/>
      <c r="H1917" s="764"/>
      <c r="I1917" s="567"/>
      <c r="J1917" s="45"/>
      <c r="K1917" s="769"/>
      <c r="L1917" s="770"/>
      <c r="M1917" s="567"/>
      <c r="N1917" s="567"/>
      <c r="O1917" s="45"/>
      <c r="P1917" s="567"/>
      <c r="Q1917" s="567"/>
      <c r="R1917" s="771">
        <f>$A1917*Q1917</f>
        <v>0</v>
      </c>
      <c r="S1917" s="567"/>
      <c r="T1917" s="500">
        <f>$A1917*S1917*$T$1</f>
        <v>0</v>
      </c>
      <c r="AL1917" s="767"/>
    </row>
    <row r="1918" spans="1:38" s="501" customFormat="1" ht="12">
      <c r="A1918" s="772" t="s">
        <v>145</v>
      </c>
      <c r="B1918" s="773">
        <f>(R1917+T1917)</f>
        <v>0</v>
      </c>
      <c r="C1918" s="753"/>
      <c r="G1918" s="774"/>
      <c r="H1918" s="774"/>
      <c r="I1918" s="774"/>
      <c r="J1918" s="774"/>
      <c r="K1918" s="750" t="s">
        <v>3</v>
      </c>
      <c r="L1918" s="775" t="s">
        <v>573</v>
      </c>
      <c r="M1918" s="774"/>
      <c r="N1918" s="774"/>
      <c r="O1918" s="774"/>
      <c r="P1918" s="774"/>
      <c r="Q1918" s="776"/>
      <c r="R1918" s="777">
        <f ca="1">SUM(R1906:R1917)</f>
        <v>0</v>
      </c>
      <c r="S1918" s="778"/>
      <c r="T1918" s="777">
        <f ca="1">SUM(T1906:T1917)</f>
        <v>0</v>
      </c>
      <c r="AG1918" s="779">
        <f ca="1">ROUND($R1918*$S$2,2)</f>
        <v>0</v>
      </c>
      <c r="AL1918" s="772" t="s">
        <v>145</v>
      </c>
    </row>
    <row r="1919" spans="1:38" s="501" customFormat="1" ht="12" customHeight="1">
      <c r="A1919" s="760"/>
      <c r="B1919" s="780"/>
      <c r="C1919" s="781"/>
      <c r="D1919" s="782" t="str">
        <f>$F$3</f>
        <v>Technician</v>
      </c>
      <c r="E1919" s="782">
        <f>ROUND(($R1922*$S$3 + ($T1922*$T$3)), 2)</f>
        <v>0</v>
      </c>
      <c r="F1919" s="783">
        <f>$E1919*$C$12</f>
        <v>0</v>
      </c>
      <c r="G1919" s="499"/>
      <c r="H1919" s="499"/>
      <c r="I1919" s="499"/>
      <c r="J1919" s="499"/>
      <c r="K1919" s="765" t="s">
        <v>5</v>
      </c>
      <c r="L1919" s="766" t="s">
        <v>573</v>
      </c>
      <c r="M1919" s="499"/>
      <c r="N1919" s="499"/>
      <c r="O1919" s="499"/>
      <c r="P1919" s="499"/>
      <c r="Q1919" s="499"/>
      <c r="R1919" s="784"/>
      <c r="S1919" s="499"/>
      <c r="T1919" s="784"/>
      <c r="AL1919" s="760"/>
    </row>
    <row r="1920" spans="1:38" s="893" customFormat="1" ht="13.2">
      <c r="A1920">
        <v>0</v>
      </c>
      <c r="B1920" s="893" t="s">
        <v>141</v>
      </c>
      <c r="D1920" s="893" t="s">
        <v>767</v>
      </c>
      <c r="E1920" s="893" t="s">
        <v>770</v>
      </c>
      <c r="F1920" s="893" t="s">
        <v>769</v>
      </c>
      <c r="G1920" s="894" t="s">
        <v>768</v>
      </c>
      <c r="H1920" s="895">
        <v>570</v>
      </c>
      <c r="I1920" s="893" t="s">
        <v>643</v>
      </c>
      <c r="O1920" s="896">
        <v>2</v>
      </c>
      <c r="P1920" s="897">
        <v>38443</v>
      </c>
      <c r="Q1920" s="898">
        <v>2500</v>
      </c>
      <c r="R1920" s="899">
        <f>$A1920*Q1920</f>
        <v>0</v>
      </c>
      <c r="S1920" s="898">
        <f>200/25</f>
        <v>8</v>
      </c>
      <c r="T1920" s="900">
        <f>$A1920*S1920*$T$1</f>
        <v>0</v>
      </c>
      <c r="AL1920">
        <v>1</v>
      </c>
    </row>
    <row r="1921" spans="1:41" s="501" customFormat="1" ht="15.6" customHeight="1">
      <c r="A1921" s="767"/>
      <c r="B1921" s="567"/>
      <c r="C1921" s="567"/>
      <c r="D1921" s="3"/>
      <c r="E1921" s="567"/>
      <c r="F1921" s="567"/>
      <c r="G1921" s="567"/>
      <c r="H1921" s="567"/>
      <c r="I1921" s="567"/>
      <c r="J1921" s="567"/>
      <c r="K1921" s="567"/>
      <c r="L1921" s="770"/>
      <c r="M1921" s="567"/>
      <c r="N1921" s="567"/>
      <c r="O1921" s="567"/>
      <c r="P1921" s="567"/>
      <c r="Q1921" s="567"/>
      <c r="R1921" s="771">
        <f>$A1921*Q1921</f>
        <v>0</v>
      </c>
      <c r="S1921" s="567"/>
      <c r="T1921" s="500">
        <f>$A1921*S1921*$T$1</f>
        <v>0</v>
      </c>
      <c r="AL1921" s="767"/>
    </row>
    <row r="1922" spans="1:41" s="501" customFormat="1" ht="12">
      <c r="A1922" s="772" t="s">
        <v>145</v>
      </c>
      <c r="B1922" s="773">
        <f>(R1921+T1921)</f>
        <v>0</v>
      </c>
      <c r="C1922" s="753"/>
      <c r="G1922" s="774"/>
      <c r="H1922" s="774"/>
      <c r="I1922" s="774"/>
      <c r="J1922" s="774"/>
      <c r="K1922" s="798" t="s">
        <v>5</v>
      </c>
      <c r="L1922" s="775" t="s">
        <v>573</v>
      </c>
      <c r="M1922" s="774"/>
      <c r="N1922" s="774"/>
      <c r="O1922" s="774"/>
      <c r="P1922" s="774"/>
      <c r="Q1922" s="776"/>
      <c r="R1922" s="777">
        <f>SUM(R1919:R1921)</f>
        <v>0</v>
      </c>
      <c r="S1922" s="778"/>
      <c r="T1922" s="777">
        <f>SUM(T1919:T1921)</f>
        <v>0</v>
      </c>
      <c r="AG1922" s="799">
        <f>ROUND($R1922*$S$3,2)</f>
        <v>0</v>
      </c>
      <c r="AL1922" s="772" t="s">
        <v>145</v>
      </c>
    </row>
    <row r="1923" spans="1:41" s="501" customFormat="1" ht="12" customHeight="1">
      <c r="A1923" s="800"/>
      <c r="B1923" s="801"/>
      <c r="C1923" s="802"/>
      <c r="D1923" s="803" t="str">
        <f>$F$4</f>
        <v>Engineer (Man Hours)</v>
      </c>
      <c r="E1923" s="803">
        <f>ROUND(($R1926*$S$4 + ($T1926*$T$4)), 2)</f>
        <v>0</v>
      </c>
      <c r="F1923" s="804">
        <f ca="1">$F1903-SUMIF($L1905:$P1920,"SUBI",$F1905:$F1920)</f>
        <v>0</v>
      </c>
      <c r="G1923" s="499"/>
      <c r="H1923" s="499"/>
      <c r="I1923" s="499"/>
      <c r="J1923" s="499"/>
      <c r="K1923" s="805" t="s">
        <v>8</v>
      </c>
      <c r="L1923" s="766" t="s">
        <v>573</v>
      </c>
      <c r="M1923" s="499"/>
      <c r="N1923" s="499"/>
      <c r="O1923" s="499"/>
      <c r="P1923" s="499"/>
      <c r="Q1923" s="499"/>
      <c r="R1923" s="784"/>
      <c r="S1923" s="499"/>
      <c r="T1923" s="784"/>
      <c r="AL1923" s="800"/>
    </row>
    <row r="1924" spans="1:41" s="893" customFormat="1" ht="13.2">
      <c r="A1924">
        <v>0</v>
      </c>
      <c r="B1924" s="893" t="s">
        <v>141</v>
      </c>
      <c r="D1924" s="893" t="s">
        <v>767</v>
      </c>
      <c r="E1924" s="893" t="s">
        <v>771</v>
      </c>
      <c r="F1924" s="893" t="s">
        <v>769</v>
      </c>
      <c r="G1924" s="894" t="s">
        <v>768</v>
      </c>
      <c r="H1924" s="895">
        <v>570</v>
      </c>
      <c r="I1924" s="893" t="s">
        <v>643</v>
      </c>
      <c r="O1924" s="896">
        <v>2</v>
      </c>
      <c r="P1924" s="897">
        <v>38443</v>
      </c>
      <c r="Q1924" s="898"/>
      <c r="R1924" s="899">
        <f>$A1924*Q1924</f>
        <v>0</v>
      </c>
      <c r="S1924" s="898">
        <f>100/25</f>
        <v>4</v>
      </c>
      <c r="T1924" s="900">
        <f>$A1924*S1924*$T$1</f>
        <v>0</v>
      </c>
      <c r="AL1924">
        <v>1</v>
      </c>
    </row>
    <row r="1925" spans="1:41" s="501" customFormat="1" ht="12">
      <c r="A1925" s="44"/>
      <c r="B1925" s="497"/>
      <c r="C1925" s="497"/>
      <c r="D1925" s="807"/>
      <c r="E1925" s="808"/>
      <c r="F1925" s="499"/>
      <c r="G1925" s="499"/>
      <c r="H1925" s="499"/>
      <c r="I1925" s="499"/>
      <c r="J1925" s="499"/>
      <c r="K1925" s="499"/>
      <c r="L1925" s="809"/>
      <c r="M1925" s="499"/>
      <c r="N1925" s="499"/>
      <c r="O1925" s="499"/>
      <c r="P1925" s="499"/>
      <c r="Q1925" s="499"/>
      <c r="R1925" s="720">
        <f>$A1925*Q1925</f>
        <v>0</v>
      </c>
      <c r="S1925" s="499"/>
      <c r="T1925" s="500">
        <f>$A1925*S1925*$T$1</f>
        <v>0</v>
      </c>
    </row>
    <row r="1926" spans="1:41" s="501" customFormat="1" ht="12.75" customHeight="1">
      <c r="A1926" s="772" t="s">
        <v>145</v>
      </c>
      <c r="B1926" s="773">
        <f>(R1925+T1925)</f>
        <v>0</v>
      </c>
      <c r="C1926" s="810"/>
      <c r="D1926" s="810"/>
      <c r="E1926" s="810"/>
      <c r="F1926" s="810"/>
      <c r="G1926" s="776"/>
      <c r="H1926" s="776"/>
      <c r="I1926" s="776"/>
      <c r="J1926" s="776"/>
      <c r="K1926" s="798" t="s">
        <v>8</v>
      </c>
      <c r="L1926" s="811" t="s">
        <v>573</v>
      </c>
      <c r="M1926" s="776"/>
      <c r="N1926" s="776"/>
      <c r="O1926" s="776"/>
      <c r="P1926" s="776"/>
      <c r="Q1926" s="776"/>
      <c r="R1926" s="777">
        <f>SUM(R1923:R1925)</f>
        <v>0</v>
      </c>
      <c r="S1926" s="778"/>
      <c r="T1926" s="777">
        <f>SUM(T1923:T1925)</f>
        <v>0</v>
      </c>
      <c r="AG1926" s="812">
        <f>ROUND($R1926*$S$4,2)</f>
        <v>0</v>
      </c>
    </row>
    <row r="1927" spans="1:41" s="501" customFormat="1" ht="12.75" customHeight="1">
      <c r="A1927" s="813"/>
      <c r="B1927" s="814"/>
      <c r="E1927" s="497"/>
      <c r="F1927" s="808"/>
      <c r="G1927" s="497"/>
      <c r="H1927" s="497"/>
      <c r="I1927" s="499"/>
      <c r="J1927" s="497"/>
      <c r="K1927" s="497"/>
      <c r="L1927" s="815"/>
      <c r="M1927" s="725"/>
      <c r="N1927" s="725"/>
      <c r="O1927" s="725"/>
      <c r="P1927" s="725"/>
      <c r="Q1927" s="726"/>
      <c r="R1927" s="784"/>
      <c r="S1927" s="497"/>
      <c r="T1927" s="784"/>
    </row>
    <row r="1928" spans="1:41" s="501" customFormat="1" ht="13.5" customHeight="1" thickBot="1">
      <c r="A1928" s="816"/>
      <c r="B1928" s="817"/>
      <c r="C1928" s="518"/>
      <c r="D1928" s="518"/>
      <c r="E1928" s="515"/>
      <c r="F1928" s="721"/>
      <c r="G1928" s="515" t="s">
        <v>146</v>
      </c>
      <c r="H1928" s="515"/>
      <c r="I1928" s="516"/>
      <c r="J1928" s="515"/>
      <c r="K1928" s="515"/>
      <c r="L1928" s="818" t="s">
        <v>143</v>
      </c>
      <c r="M1928" s="517"/>
      <c r="N1928" s="517"/>
      <c r="O1928" s="517"/>
      <c r="P1928" s="517"/>
      <c r="Q1928" s="722"/>
      <c r="R1928" s="819">
        <f ca="1">SUMIF($L1904:$L1927,"SUBI",R1904:R1927)</f>
        <v>0</v>
      </c>
      <c r="S1928" s="820"/>
      <c r="T1928" s="819">
        <f ca="1">SUMIF($L1904:$L1927,"SUBI",T1904:T1927)</f>
        <v>0</v>
      </c>
      <c r="U1928" s="518"/>
      <c r="V1928" s="518"/>
      <c r="W1928" s="518"/>
      <c r="X1928" s="518"/>
      <c r="Y1928" s="518"/>
      <c r="Z1928" s="518"/>
      <c r="AA1928" s="518"/>
      <c r="AB1928" s="518"/>
      <c r="AC1928" s="518"/>
      <c r="AD1928" s="518"/>
      <c r="AE1928" s="518"/>
      <c r="AF1928" s="518"/>
      <c r="AG1928" s="518"/>
      <c r="AH1928" s="518"/>
      <c r="AI1928" s="518"/>
      <c r="AJ1928" s="518"/>
      <c r="AK1928" s="518"/>
      <c r="AL1928" s="518"/>
      <c r="AM1928" s="518"/>
      <c r="AN1928" s="518"/>
      <c r="AO1928" s="518"/>
    </row>
    <row r="1929" spans="1:41" s="501" customFormat="1" thickTop="1">
      <c r="A1929" s="44"/>
      <c r="B1929" s="44"/>
      <c r="C1929" s="3"/>
      <c r="D1929" s="3"/>
      <c r="E1929" s="44"/>
      <c r="F1929" s="44"/>
      <c r="G1929" s="44"/>
      <c r="H1929" s="44"/>
      <c r="I1929" s="44"/>
      <c r="J1929" s="44"/>
      <c r="K1929" s="44" t="s">
        <v>134</v>
      </c>
      <c r="L1929" s="44"/>
      <c r="M1929" s="44"/>
      <c r="N1929" s="44"/>
      <c r="O1929" s="45"/>
      <c r="P1929" s="44"/>
      <c r="Q1929" s="44"/>
      <c r="R1929" s="44"/>
      <c r="S1929" s="44"/>
      <c r="T1929" s="44"/>
    </row>
    <row r="1930" spans="1:41" s="501" customFormat="1" ht="12">
      <c r="A1930" s="44"/>
      <c r="B1930" s="44"/>
      <c r="C1930" s="44" t="s">
        <v>135</v>
      </c>
      <c r="D1930" s="35"/>
      <c r="E1930" s="44"/>
      <c r="F1930" s="44"/>
      <c r="G1930" s="44"/>
      <c r="H1930" s="44"/>
      <c r="I1930" s="44"/>
      <c r="J1930" s="44"/>
      <c r="K1930" s="44"/>
      <c r="L1930" s="44"/>
      <c r="M1930" s="44"/>
      <c r="N1930" s="44"/>
      <c r="O1930" s="45"/>
      <c r="P1930" s="44"/>
      <c r="Q1930" s="44"/>
      <c r="R1930" s="44"/>
      <c r="S1930" s="44"/>
      <c r="T1930" s="44"/>
    </row>
    <row r="1931" spans="1:41" s="501" customFormat="1" ht="12">
      <c r="A1931" s="44"/>
      <c r="B1931" s="44"/>
      <c r="C1931" s="44"/>
      <c r="D1931" s="35" t="s">
        <v>504</v>
      </c>
      <c r="E1931" s="44"/>
      <c r="F1931" s="44"/>
      <c r="G1931" s="44"/>
      <c r="H1931" s="44"/>
      <c r="I1931" s="44"/>
      <c r="J1931" s="44"/>
      <c r="K1931" s="44"/>
      <c r="L1931" s="44"/>
      <c r="M1931" s="44"/>
      <c r="N1931" s="44"/>
      <c r="O1931" s="45"/>
      <c r="P1931" s="44"/>
      <c r="Q1931" s="44"/>
      <c r="R1931" s="44"/>
      <c r="S1931" s="36"/>
      <c r="T1931" s="36"/>
    </row>
    <row r="1932" spans="1:41" s="3" customFormat="1" thickBot="1">
      <c r="A1932" s="518"/>
      <c r="O1932" s="86"/>
    </row>
    <row r="1933" spans="1:41" s="501" customFormat="1" thickTop="1">
      <c r="A1933" s="44"/>
      <c r="B1933" s="39"/>
      <c r="C1933" s="44"/>
      <c r="E1933" s="40" t="s">
        <v>138</v>
      </c>
      <c r="F1933" s="40" t="s">
        <v>139</v>
      </c>
      <c r="G1933" s="44"/>
      <c r="H1933" s="44"/>
      <c r="I1933" s="44"/>
      <c r="J1933" s="44"/>
      <c r="K1933" s="44" t="s">
        <v>140</v>
      </c>
      <c r="L1933" s="737"/>
      <c r="M1933" s="44"/>
      <c r="N1933" s="44"/>
      <c r="O1933" s="45"/>
      <c r="P1933" s="44"/>
      <c r="Q1933"/>
      <c r="R1933"/>
      <c r="S1933"/>
      <c r="T1933" s="39"/>
      <c r="AG1933" s="502" t="s">
        <v>247</v>
      </c>
      <c r="AH1933" s="502" t="s">
        <v>248</v>
      </c>
      <c r="AI1933" s="502" t="s">
        <v>249</v>
      </c>
      <c r="AJ1933" s="502" t="s">
        <v>250</v>
      </c>
      <c r="AK1933" s="502" t="s">
        <v>251</v>
      </c>
      <c r="AM1933" s="710" t="s">
        <v>260</v>
      </c>
      <c r="AN1933" s="711" t="s">
        <v>261</v>
      </c>
      <c r="AO1933" s="503" t="s">
        <v>257</v>
      </c>
    </row>
    <row r="1934" spans="1:41" s="501" customFormat="1" ht="13.2">
      <c r="A1934" s="712">
        <v>1</v>
      </c>
      <c r="B1934" s="504" t="s">
        <v>283</v>
      </c>
      <c r="C1934" s="505"/>
      <c r="D1934" s="713" t="s">
        <v>582</v>
      </c>
      <c r="E1934" s="738">
        <f>IF(AND($A1934=0,$A$1="DIF"),0,ROUND(ROUND(SUMIF($L1936:$L1947,"SUBI",$E1936:$E1947)/$A1934,2)*$C$12,2))</f>
        <v>0</v>
      </c>
      <c r="F1934" s="739">
        <f>ROUND($A1934*$E1934,2)</f>
        <v>0</v>
      </c>
      <c r="G1934" s="506" t="s">
        <v>142</v>
      </c>
      <c r="H1934" s="498"/>
      <c r="I1934" s="716"/>
      <c r="J1934" s="498"/>
      <c r="K1934" s="740"/>
      <c r="L1934" s="741" t="s">
        <v>143</v>
      </c>
      <c r="M1934" s="717"/>
      <c r="N1934" s="717"/>
      <c r="O1934" s="717"/>
      <c r="P1934" s="717"/>
      <c r="Q1934" s="943" t="s">
        <v>855</v>
      </c>
      <c r="R1934" s="943" t="s">
        <v>1087</v>
      </c>
      <c r="S1934"/>
      <c r="T1934" s="742" t="str">
        <f>IF(AND($R1953=0,$T1953=0),"0.00","mu :" &amp; ROUND($F1934/$C$12/($R1953+$T1953*$D$9),2))</f>
        <v>0.00</v>
      </c>
      <c r="W1934" s="507"/>
      <c r="AG1934" s="743">
        <f>IF(A1934=0,0,ROUND(SUM(AG1936:AG1953)/A1934,2))</f>
        <v>0</v>
      </c>
      <c r="AH1934" s="743">
        <f>$AG1934*$A1934</f>
        <v>0</v>
      </c>
      <c r="AI1934" s="743">
        <f>$E1934-$AG1934</f>
        <v>0</v>
      </c>
      <c r="AJ1934" s="743">
        <f>$A1934*$AI1934</f>
        <v>0</v>
      </c>
      <c r="AK1934" s="744">
        <f>ROUND(($AG1934+$AI1934)*$A1934,2)</f>
        <v>0</v>
      </c>
      <c r="AM1934" s="510">
        <f>ROUND(R1953,2)</f>
        <v>0</v>
      </c>
      <c r="AN1934" s="511">
        <f>ROUND(T1953,2)</f>
        <v>0</v>
      </c>
      <c r="AO1934" s="512">
        <f>ROUND(AM1934+AN1934,2)*A1934</f>
        <v>0</v>
      </c>
    </row>
    <row r="1935" spans="1:41" s="501" customFormat="1" ht="39.9" customHeight="1">
      <c r="A1935" s="745"/>
      <c r="B1935" s="746"/>
      <c r="C1935" s="505"/>
      <c r="D1935" s="1183" t="s">
        <v>505</v>
      </c>
      <c r="E1935" s="1184"/>
      <c r="F1935" s="1184"/>
      <c r="G1935" s="1184"/>
      <c r="H1935" s="1184"/>
      <c r="I1935" s="1184"/>
      <c r="J1935" s="1184"/>
      <c r="K1935" s="1184"/>
      <c r="L1935" s="1184"/>
      <c r="M1935" s="1184"/>
      <c r="N1935" s="1184"/>
      <c r="O1935" s="1184"/>
      <c r="P1935" s="1184"/>
      <c r="Q1935" s="1184"/>
      <c r="R1935" s="1184"/>
      <c r="S1935" s="1184"/>
      <c r="T1935" s="1184"/>
    </row>
    <row r="1936" spans="1:41" s="501" customFormat="1" ht="12">
      <c r="A1936" s="748"/>
      <c r="B1936" s="749"/>
      <c r="C1936" s="497"/>
      <c r="D1936" s="750"/>
      <c r="E1936" s="751">
        <f>F1934/$C$12-SUMIF($L1933:$L1953,"SUBI",$E1933:$E1953)</f>
        <v>0</v>
      </c>
      <c r="F1936" s="752" t="s">
        <v>572</v>
      </c>
      <c r="G1936" s="753"/>
      <c r="H1936" s="753"/>
      <c r="I1936" s="754"/>
      <c r="J1936" s="753"/>
      <c r="K1936" s="753"/>
      <c r="L1936" s="755"/>
      <c r="M1936" s="756"/>
      <c r="N1936" s="756"/>
      <c r="O1936" s="756"/>
      <c r="P1936" s="756"/>
      <c r="Q1936" s="757"/>
      <c r="R1936" s="758"/>
      <c r="S1936" s="757"/>
      <c r="T1936" s="759"/>
    </row>
    <row r="1937" spans="1:33" s="501" customFormat="1" ht="12" customHeight="1">
      <c r="A1937" s="760"/>
      <c r="B1937" s="761"/>
      <c r="C1937" s="762"/>
      <c r="D1937" s="762" t="str">
        <f>$F$2</f>
        <v>Electrical</v>
      </c>
      <c r="E1937" s="762">
        <f>ROUND(($R1941*$S$2 + ($T1941*$T$2)), 2)</f>
        <v>0</v>
      </c>
      <c r="F1937" s="763">
        <f>$E1937*$C$12</f>
        <v>0</v>
      </c>
      <c r="G1937" s="567"/>
      <c r="H1937" s="764"/>
      <c r="I1937" s="567"/>
      <c r="J1937" s="45"/>
      <c r="K1937" s="765" t="s">
        <v>3</v>
      </c>
      <c r="L1937" s="766" t="s">
        <v>573</v>
      </c>
      <c r="M1937" s="567"/>
      <c r="N1937" s="567"/>
      <c r="O1937" s="45"/>
      <c r="P1937" s="567"/>
      <c r="Q1937" s="567"/>
      <c r="R1937"/>
      <c r="S1937"/>
      <c r="T1937"/>
    </row>
    <row r="1938" spans="1:33" s="501" customFormat="1" ht="14.4" customHeight="1">
      <c r="A1938" s="767"/>
      <c r="B1938" s="768" t="s">
        <v>574</v>
      </c>
      <c r="C1938" s="567"/>
      <c r="D1938" s="567"/>
      <c r="E1938" s="567"/>
      <c r="F1938" s="567"/>
      <c r="G1938" s="567"/>
      <c r="H1938" s="764"/>
      <c r="I1938" s="567"/>
      <c r="J1938" s="45"/>
      <c r="K1938" s="769"/>
      <c r="L1938" s="770"/>
      <c r="M1938" s="567"/>
      <c r="N1938" s="567"/>
      <c r="O1938" s="45"/>
      <c r="P1938" s="567"/>
      <c r="Q1938" s="567"/>
      <c r="R1938" s="771">
        <f>$A1938*Q1938</f>
        <v>0</v>
      </c>
      <c r="S1938" s="567"/>
      <c r="T1938" s="500">
        <f>$A1938*S1938*$T$1</f>
        <v>0</v>
      </c>
    </row>
    <row r="1939" spans="1:33" s="501" customFormat="1" ht="14.4" customHeight="1">
      <c r="A1939" s="767"/>
      <c r="B1939" s="567"/>
      <c r="C1939" s="567"/>
      <c r="D1939" s="567"/>
      <c r="E1939" s="567"/>
      <c r="F1939" s="567"/>
      <c r="G1939" s="567"/>
      <c r="H1939" s="764"/>
      <c r="I1939" s="567"/>
      <c r="J1939" s="45"/>
      <c r="K1939" s="769"/>
      <c r="L1939" s="770"/>
      <c r="M1939" s="567"/>
      <c r="N1939" s="567"/>
      <c r="O1939" s="45"/>
      <c r="P1939" s="567"/>
      <c r="Q1939" s="567"/>
      <c r="R1939" s="771">
        <f>$A1939*Q1939</f>
        <v>0</v>
      </c>
      <c r="S1939" s="567"/>
      <c r="T1939" s="500">
        <f>$A1939*S1939*$T$1</f>
        <v>0</v>
      </c>
    </row>
    <row r="1940" spans="1:33" s="501" customFormat="1" ht="14.4" customHeight="1">
      <c r="A1940" s="767"/>
      <c r="B1940" s="567"/>
      <c r="C1940" s="567"/>
      <c r="D1940" s="567"/>
      <c r="E1940" s="567"/>
      <c r="F1940" s="567"/>
      <c r="G1940" s="567"/>
      <c r="H1940" s="764"/>
      <c r="I1940" s="567"/>
      <c r="J1940" s="45"/>
      <c r="K1940" s="769"/>
      <c r="L1940" s="770"/>
      <c r="M1940" s="567"/>
      <c r="N1940" s="567"/>
      <c r="O1940" s="45"/>
      <c r="P1940" s="567"/>
      <c r="Q1940" s="567"/>
      <c r="R1940" s="771">
        <f>$A1940*Q1940</f>
        <v>0</v>
      </c>
      <c r="S1940" s="567"/>
      <c r="T1940" s="500">
        <f>$A1940*S1940*$T$1</f>
        <v>0</v>
      </c>
    </row>
    <row r="1941" spans="1:33" s="501" customFormat="1" ht="12">
      <c r="A1941" s="772" t="s">
        <v>145</v>
      </c>
      <c r="B1941" s="773">
        <f>(R1940+T1940)</f>
        <v>0</v>
      </c>
      <c r="C1941" s="753"/>
      <c r="G1941" s="774"/>
      <c r="H1941" s="774"/>
      <c r="I1941" s="774"/>
      <c r="J1941" s="774"/>
      <c r="K1941" s="750" t="s">
        <v>3</v>
      </c>
      <c r="L1941" s="775" t="s">
        <v>573</v>
      </c>
      <c r="M1941" s="774"/>
      <c r="N1941" s="774"/>
      <c r="O1941" s="774"/>
      <c r="P1941" s="774"/>
      <c r="Q1941" s="776"/>
      <c r="R1941" s="777">
        <f>SUM(R1937:R1940)</f>
        <v>0</v>
      </c>
      <c r="S1941" s="778"/>
      <c r="T1941" s="777">
        <f>SUM(T1937:T1940)</f>
        <v>0</v>
      </c>
      <c r="AG1941" s="779">
        <f>ROUND($R1941*$S$2,2)</f>
        <v>0</v>
      </c>
    </row>
    <row r="1942" spans="1:33" s="501" customFormat="1" ht="12" customHeight="1">
      <c r="A1942" s="760"/>
      <c r="B1942" s="780"/>
      <c r="C1942" s="781"/>
      <c r="D1942" s="782" t="str">
        <f>$F$3</f>
        <v>Technician</v>
      </c>
      <c r="E1942" s="782">
        <f>ROUND(($R1946*$S$3 + ($T1946*$T$3)), 2)</f>
        <v>0</v>
      </c>
      <c r="F1942" s="783">
        <f>$E1942*$C$12</f>
        <v>0</v>
      </c>
      <c r="G1942" s="499"/>
      <c r="H1942" s="499"/>
      <c r="I1942" s="499"/>
      <c r="J1942" s="499"/>
      <c r="K1942" s="765" t="s">
        <v>5</v>
      </c>
      <c r="L1942" s="766" t="s">
        <v>573</v>
      </c>
      <c r="M1942" s="499"/>
      <c r="N1942" s="499"/>
      <c r="O1942" s="499"/>
      <c r="P1942" s="499"/>
      <c r="Q1942" s="499"/>
      <c r="R1942" s="784"/>
      <c r="S1942" s="499"/>
      <c r="T1942" s="784"/>
    </row>
    <row r="1943" spans="1:33" s="797" customFormat="1" ht="15.6" customHeight="1">
      <c r="A1943" s="785"/>
      <c r="B1943" s="768" t="s">
        <v>575</v>
      </c>
      <c r="C1943" s="786"/>
      <c r="D1943" s="787"/>
      <c r="E1943" s="787"/>
      <c r="F1943" s="787"/>
      <c r="G1943" s="788"/>
      <c r="H1943" s="789"/>
      <c r="I1943" s="789"/>
      <c r="J1943" s="790"/>
      <c r="K1943" s="791"/>
      <c r="L1943" s="786"/>
      <c r="M1943" s="792"/>
      <c r="N1943" s="793"/>
      <c r="O1943" s="794"/>
      <c r="P1943" s="795"/>
      <c r="Q1943" s="796"/>
      <c r="R1943" s="771">
        <f>$A1943*Q1943</f>
        <v>0</v>
      </c>
      <c r="S1943" s="567"/>
      <c r="T1943" s="500">
        <f>$A1943*S1943*$T$1</f>
        <v>0</v>
      </c>
    </row>
    <row r="1944" spans="1:33" s="501" customFormat="1" ht="15.6" customHeight="1">
      <c r="A1944" s="767"/>
      <c r="B1944" s="567"/>
      <c r="C1944" s="567"/>
      <c r="D1944" s="567"/>
      <c r="E1944" s="567"/>
      <c r="F1944" s="567"/>
      <c r="G1944" s="567"/>
      <c r="H1944" s="567"/>
      <c r="I1944" s="567"/>
      <c r="J1944" s="567"/>
      <c r="K1944" s="567"/>
      <c r="L1944" s="770"/>
      <c r="M1944" s="567"/>
      <c r="N1944" s="567"/>
      <c r="O1944" s="567"/>
      <c r="P1944" s="567"/>
      <c r="Q1944" s="567"/>
      <c r="R1944" s="771">
        <f>$A1944*Q1944</f>
        <v>0</v>
      </c>
      <c r="S1944" s="567"/>
      <c r="T1944" s="500">
        <f>$A1944*S1944*$T$1</f>
        <v>0</v>
      </c>
    </row>
    <row r="1945" spans="1:33" s="501" customFormat="1" ht="15.6" customHeight="1">
      <c r="A1945" s="767"/>
      <c r="B1945" s="567"/>
      <c r="C1945" s="567"/>
      <c r="D1945" s="3"/>
      <c r="E1945" s="567"/>
      <c r="F1945" s="567"/>
      <c r="G1945" s="567"/>
      <c r="H1945" s="567"/>
      <c r="I1945" s="567"/>
      <c r="J1945" s="567"/>
      <c r="K1945" s="567"/>
      <c r="L1945" s="770"/>
      <c r="M1945" s="567"/>
      <c r="N1945" s="567"/>
      <c r="O1945" s="567"/>
      <c r="P1945" s="567"/>
      <c r="Q1945" s="567"/>
      <c r="R1945" s="771">
        <f>$A1945*Q1945</f>
        <v>0</v>
      </c>
      <c r="S1945" s="567"/>
      <c r="T1945" s="500">
        <f>$A1945*S1945*$T$1</f>
        <v>0</v>
      </c>
    </row>
    <row r="1946" spans="1:33" s="501" customFormat="1" ht="12">
      <c r="A1946" s="772" t="s">
        <v>145</v>
      </c>
      <c r="B1946" s="773">
        <f>(R1945+T1945)</f>
        <v>0</v>
      </c>
      <c r="C1946" s="753"/>
      <c r="G1946" s="774"/>
      <c r="H1946" s="774"/>
      <c r="I1946" s="774"/>
      <c r="J1946" s="774"/>
      <c r="K1946" s="798" t="s">
        <v>5</v>
      </c>
      <c r="L1946" s="775" t="s">
        <v>573</v>
      </c>
      <c r="M1946" s="774"/>
      <c r="N1946" s="774"/>
      <c r="O1946" s="774"/>
      <c r="P1946" s="774"/>
      <c r="Q1946" s="776"/>
      <c r="R1946" s="777">
        <f>SUM(R1942:R1945)</f>
        <v>0</v>
      </c>
      <c r="S1946" s="778"/>
      <c r="T1946" s="777">
        <f>SUM(T1942:T1945)</f>
        <v>0</v>
      </c>
      <c r="AG1946" s="799">
        <f>ROUND($R1946*$S$3,2)</f>
        <v>0</v>
      </c>
    </row>
    <row r="1947" spans="1:33" s="501" customFormat="1" ht="12" customHeight="1">
      <c r="A1947" s="800"/>
      <c r="B1947" s="801"/>
      <c r="C1947" s="802"/>
      <c r="D1947" s="803" t="str">
        <f>$F$4</f>
        <v>Engineer (Man Hours)</v>
      </c>
      <c r="E1947" s="803">
        <f>ROUND(($R1951*$S$4 + ($T1951*$T$4)), 2)</f>
        <v>0</v>
      </c>
      <c r="F1947" s="804">
        <f ca="1">$F1934-SUMIF($L1936:$P1944,"SUBI",$F1936:$F1944)</f>
        <v>0</v>
      </c>
      <c r="G1947" s="499"/>
      <c r="H1947" s="499"/>
      <c r="I1947" s="499"/>
      <c r="J1947" s="499"/>
      <c r="K1947" s="805" t="s">
        <v>8</v>
      </c>
      <c r="L1947" s="766" t="s">
        <v>573</v>
      </c>
      <c r="M1947" s="499"/>
      <c r="N1947" s="499"/>
      <c r="O1947" s="499"/>
      <c r="P1947" s="499"/>
      <c r="Q1947" s="499"/>
      <c r="R1947" s="784"/>
      <c r="S1947" s="499"/>
      <c r="T1947" s="784"/>
    </row>
    <row r="1948" spans="1:33" s="797" customFormat="1" ht="14.4" customHeight="1">
      <c r="A1948" s="785"/>
      <c r="B1948" s="768" t="s">
        <v>576</v>
      </c>
      <c r="C1948" s="786"/>
      <c r="D1948" s="787"/>
      <c r="E1948" s="787"/>
      <c r="F1948" s="787"/>
      <c r="G1948" s="788"/>
      <c r="H1948" s="789"/>
      <c r="I1948" s="789"/>
      <c r="J1948" s="790"/>
      <c r="K1948" s="791"/>
      <c r="L1948" s="786"/>
      <c r="M1948" s="792"/>
      <c r="N1948" s="793"/>
      <c r="O1948" s="806"/>
      <c r="P1948" s="795"/>
      <c r="Q1948" s="796"/>
      <c r="R1948" s="720">
        <f>$A1948*Q1948</f>
        <v>0</v>
      </c>
      <c r="S1948" s="796"/>
      <c r="T1948" s="500">
        <f>$A1948*S1948*$T$1</f>
        <v>0</v>
      </c>
    </row>
    <row r="1949" spans="1:33" s="501" customFormat="1" ht="12">
      <c r="A1949" s="44"/>
      <c r="B1949" s="497"/>
      <c r="C1949" s="497"/>
      <c r="D1949" s="807"/>
      <c r="E1949" s="808"/>
      <c r="F1949" s="499"/>
      <c r="G1949" s="499"/>
      <c r="H1949" s="499"/>
      <c r="I1949" s="499"/>
      <c r="J1949" s="499"/>
      <c r="K1949" s="499"/>
      <c r="L1949" s="809"/>
      <c r="M1949" s="499"/>
      <c r="N1949" s="499"/>
      <c r="O1949" s="499"/>
      <c r="P1949" s="499"/>
      <c r="Q1949" s="499"/>
      <c r="R1949" s="720">
        <f>$A1949*Q1949</f>
        <v>0</v>
      </c>
      <c r="S1949" s="499"/>
      <c r="T1949" s="500">
        <f>$A1949*S1949*$T$1</f>
        <v>0</v>
      </c>
    </row>
    <row r="1950" spans="1:33" s="501" customFormat="1" ht="12">
      <c r="A1950" s="44"/>
      <c r="B1950" s="497"/>
      <c r="C1950" s="497"/>
      <c r="D1950" s="807"/>
      <c r="E1950" s="808"/>
      <c r="F1950" s="499"/>
      <c r="G1950" s="499"/>
      <c r="H1950" s="499"/>
      <c r="I1950" s="499"/>
      <c r="J1950" s="499"/>
      <c r="K1950" s="499"/>
      <c r="L1950" s="809"/>
      <c r="M1950" s="499"/>
      <c r="N1950" s="499"/>
      <c r="O1950" s="499"/>
      <c r="P1950" s="499"/>
      <c r="Q1950" s="499"/>
      <c r="R1950" s="720">
        <f>$A1950*Q1950</f>
        <v>0</v>
      </c>
      <c r="S1950" s="499"/>
      <c r="T1950" s="500">
        <f>$A1950*S1950*$T$1</f>
        <v>0</v>
      </c>
    </row>
    <row r="1951" spans="1:33" s="501" customFormat="1" ht="12.75" customHeight="1">
      <c r="A1951" s="772" t="s">
        <v>145</v>
      </c>
      <c r="B1951" s="773">
        <f>(R1950+T1950)</f>
        <v>0</v>
      </c>
      <c r="C1951" s="810"/>
      <c r="D1951" s="810"/>
      <c r="E1951" s="810"/>
      <c r="F1951" s="810"/>
      <c r="G1951" s="776"/>
      <c r="H1951" s="776"/>
      <c r="I1951" s="776"/>
      <c r="J1951" s="776"/>
      <c r="K1951" s="798" t="s">
        <v>8</v>
      </c>
      <c r="L1951" s="811" t="s">
        <v>573</v>
      </c>
      <c r="M1951" s="776"/>
      <c r="N1951" s="776"/>
      <c r="O1951" s="776"/>
      <c r="P1951" s="776"/>
      <c r="Q1951" s="776"/>
      <c r="R1951" s="777">
        <f>SUM(R1947:R1950)</f>
        <v>0</v>
      </c>
      <c r="S1951" s="778"/>
      <c r="T1951" s="777">
        <f>SUM(T1947:T1950)</f>
        <v>0</v>
      </c>
      <c r="AG1951" s="812">
        <f>ROUND($R1951*$S$4,2)</f>
        <v>0</v>
      </c>
    </row>
    <row r="1952" spans="1:33" s="501" customFormat="1" ht="12.75" customHeight="1">
      <c r="A1952" s="813"/>
      <c r="B1952" s="814"/>
      <c r="E1952" s="497"/>
      <c r="F1952" s="808"/>
      <c r="G1952" s="497"/>
      <c r="H1952" s="497"/>
      <c r="I1952" s="499"/>
      <c r="J1952" s="497"/>
      <c r="K1952" s="497"/>
      <c r="L1952" s="815"/>
      <c r="M1952" s="725"/>
      <c r="N1952" s="725"/>
      <c r="O1952" s="725"/>
      <c r="P1952" s="725"/>
      <c r="Q1952" s="726"/>
      <c r="R1952" s="784"/>
      <c r="S1952" s="497"/>
      <c r="T1952" s="784"/>
    </row>
    <row r="1953" spans="1:41" s="501" customFormat="1" ht="13.5" customHeight="1" thickBot="1">
      <c r="A1953" s="816"/>
      <c r="B1953" s="817"/>
      <c r="C1953" s="518"/>
      <c r="D1953" s="518"/>
      <c r="E1953" s="515"/>
      <c r="F1953" s="721"/>
      <c r="G1953" s="515" t="s">
        <v>146</v>
      </c>
      <c r="H1953" s="515"/>
      <c r="I1953" s="516"/>
      <c r="J1953" s="515"/>
      <c r="K1953" s="515"/>
      <c r="L1953" s="818" t="s">
        <v>143</v>
      </c>
      <c r="M1953" s="517"/>
      <c r="N1953" s="517"/>
      <c r="O1953" s="517"/>
      <c r="P1953" s="517"/>
      <c r="Q1953" s="722"/>
      <c r="R1953" s="819">
        <f>SUMIF($L1935:$L1952,"SUBI",R1935:R1952)</f>
        <v>0</v>
      </c>
      <c r="S1953" s="820"/>
      <c r="T1953" s="819">
        <f>SUMIF($L1935:$L1952,"SUBI",T1935:T1952)</f>
        <v>0</v>
      </c>
      <c r="U1953" s="518"/>
      <c r="V1953" s="518"/>
      <c r="W1953" s="518"/>
      <c r="X1953" s="518"/>
      <c r="Y1953" s="518"/>
      <c r="Z1953" s="518"/>
      <c r="AA1953" s="518"/>
      <c r="AB1953" s="518"/>
      <c r="AC1953" s="518"/>
      <c r="AD1953" s="518"/>
      <c r="AE1953" s="518"/>
      <c r="AF1953" s="518"/>
      <c r="AG1953" s="518"/>
      <c r="AH1953" s="518"/>
      <c r="AI1953" s="518"/>
      <c r="AJ1953" s="518"/>
      <c r="AK1953" s="518"/>
      <c r="AL1953" s="518"/>
      <c r="AM1953" s="518"/>
      <c r="AN1953" s="518"/>
      <c r="AO1953" s="518"/>
    </row>
    <row r="1954" spans="1:41" s="501" customFormat="1" thickTop="1">
      <c r="A1954" s="44"/>
      <c r="B1954" s="44"/>
      <c r="C1954" s="3"/>
      <c r="D1954" s="3"/>
      <c r="E1954" s="44"/>
      <c r="F1954" s="44"/>
      <c r="G1954" s="44"/>
      <c r="H1954" s="44"/>
      <c r="I1954" s="44"/>
      <c r="J1954" s="44"/>
      <c r="K1954" s="44" t="s">
        <v>134</v>
      </c>
      <c r="L1954" s="44"/>
      <c r="M1954" s="44"/>
      <c r="N1954" s="44"/>
      <c r="O1954" s="45"/>
      <c r="P1954" s="44"/>
      <c r="Q1954" s="44"/>
      <c r="R1954" s="44"/>
      <c r="S1954" s="44"/>
      <c r="T1954" s="44"/>
    </row>
    <row r="1955" spans="1:41" s="501" customFormat="1" ht="12">
      <c r="A1955" s="44"/>
      <c r="B1955" s="44"/>
      <c r="C1955" s="44" t="s">
        <v>135</v>
      </c>
      <c r="D1955" s="35"/>
      <c r="E1955" s="44"/>
      <c r="F1955" s="44"/>
      <c r="G1955" s="44"/>
      <c r="H1955" s="44"/>
      <c r="I1955" s="44"/>
      <c r="J1955" s="44"/>
      <c r="K1955" s="44"/>
      <c r="L1955" s="44"/>
      <c r="M1955" s="44"/>
      <c r="N1955" s="44"/>
      <c r="O1955" s="45"/>
      <c r="P1955" s="44"/>
      <c r="Q1955" s="44"/>
      <c r="R1955" s="44"/>
      <c r="S1955" s="44"/>
      <c r="T1955" s="44"/>
    </row>
    <row r="1956" spans="1:41" s="501" customFormat="1" ht="12">
      <c r="A1956" s="44"/>
      <c r="B1956" s="44"/>
      <c r="C1956" s="44"/>
      <c r="D1956" s="35" t="s">
        <v>506</v>
      </c>
      <c r="E1956" s="44"/>
      <c r="F1956" s="44"/>
      <c r="G1956" s="44"/>
      <c r="H1956" s="44"/>
      <c r="I1956" s="44"/>
      <c r="J1956" s="44"/>
      <c r="K1956" s="44"/>
      <c r="L1956" s="44"/>
      <c r="M1956" s="44"/>
      <c r="N1956" s="44"/>
      <c r="O1956" s="45"/>
      <c r="P1956" s="44"/>
      <c r="Q1956" s="44"/>
      <c r="R1956" s="44"/>
      <c r="S1956" s="36"/>
      <c r="T1956" s="36"/>
    </row>
    <row r="1957" spans="1:41" s="3" customFormat="1" thickBot="1">
      <c r="A1957" s="518"/>
      <c r="O1957" s="86"/>
    </row>
    <row r="1958" spans="1:41" s="501" customFormat="1" thickTop="1">
      <c r="A1958" s="44"/>
      <c r="B1958" s="39"/>
      <c r="C1958" s="44"/>
      <c r="E1958" s="40" t="s">
        <v>138</v>
      </c>
      <c r="F1958" s="40" t="s">
        <v>139</v>
      </c>
      <c r="G1958" s="44"/>
      <c r="H1958" s="44"/>
      <c r="I1958" s="44"/>
      <c r="J1958" s="44"/>
      <c r="K1958" s="44" t="s">
        <v>140</v>
      </c>
      <c r="L1958" s="737"/>
      <c r="M1958" s="44"/>
      <c r="N1958" s="44"/>
      <c r="O1958" s="45"/>
      <c r="P1958" s="44"/>
      <c r="Q1958"/>
      <c r="R1958"/>
      <c r="S1958"/>
      <c r="T1958" s="39"/>
      <c r="AG1958" s="502" t="s">
        <v>247</v>
      </c>
      <c r="AH1958" s="502" t="s">
        <v>248</v>
      </c>
      <c r="AI1958" s="502" t="s">
        <v>249</v>
      </c>
      <c r="AJ1958" s="502" t="s">
        <v>250</v>
      </c>
      <c r="AK1958" s="502" t="s">
        <v>251</v>
      </c>
      <c r="AM1958" s="710" t="s">
        <v>260</v>
      </c>
      <c r="AN1958" s="711" t="s">
        <v>261</v>
      </c>
      <c r="AO1958" s="503" t="s">
        <v>257</v>
      </c>
    </row>
    <row r="1959" spans="1:41" s="501" customFormat="1" ht="13.2">
      <c r="A1959" s="712">
        <v>1</v>
      </c>
      <c r="B1959" s="504" t="s">
        <v>283</v>
      </c>
      <c r="C1959" s="505"/>
      <c r="D1959" s="713" t="s">
        <v>567</v>
      </c>
      <c r="E1959" s="738">
        <f ca="1">IF(AND($A1959=0,$A$1="DIF"),0,ROUND(ROUND(SUMIF($L1961:$L1979,"SUBI",$E1961:$E1979)/$A1959,2)*$C$12,2))</f>
        <v>0</v>
      </c>
      <c r="F1959" s="739">
        <f ca="1">ROUND($A1959*$E1959,2)</f>
        <v>0</v>
      </c>
      <c r="G1959" s="506" t="s">
        <v>142</v>
      </c>
      <c r="H1959" s="498"/>
      <c r="I1959" s="716"/>
      <c r="J1959" s="498"/>
      <c r="K1959" s="740"/>
      <c r="L1959" s="741" t="s">
        <v>143</v>
      </c>
      <c r="M1959" s="717"/>
      <c r="N1959" s="717"/>
      <c r="O1959" s="717"/>
      <c r="P1959" s="717"/>
      <c r="Q1959" s="943" t="s">
        <v>855</v>
      </c>
      <c r="R1959" s="943" t="s">
        <v>1105</v>
      </c>
      <c r="S1959"/>
      <c r="T1959" s="742" t="str">
        <f ca="1">IF(AND($R1984=0,$T1984=0),"0.00","mu :" &amp; ROUND($F1959/$C$12/($R1984+$T1984*$D$9),2))</f>
        <v>0.00</v>
      </c>
      <c r="W1959" s="507"/>
      <c r="AG1959" s="743">
        <f ca="1">IF(A1959=0,0,ROUND(SUM(AG1961:AG1984)/A1959,2))</f>
        <v>0</v>
      </c>
      <c r="AH1959" s="743">
        <f ca="1">$AG1959*$A1959</f>
        <v>0</v>
      </c>
      <c r="AI1959" s="743">
        <f ca="1">$E1959-$AG1959</f>
        <v>0</v>
      </c>
      <c r="AJ1959" s="743">
        <f ca="1">$A1959*$AI1959</f>
        <v>0</v>
      </c>
      <c r="AK1959" s="744">
        <f ca="1">ROUND(($AG1959+$AI1959)*$A1959,2)</f>
        <v>0</v>
      </c>
      <c r="AM1959" s="510">
        <f ca="1">ROUND(R1984,2)</f>
        <v>0</v>
      </c>
      <c r="AN1959" s="511">
        <f ca="1">ROUND(T1984,2)</f>
        <v>0</v>
      </c>
      <c r="AO1959" s="512">
        <f ca="1">ROUND(AM1959+AN1959,2)*A1959</f>
        <v>0</v>
      </c>
    </row>
    <row r="1960" spans="1:41" s="501" customFormat="1" ht="39.9" customHeight="1">
      <c r="A1960" s="745"/>
      <c r="B1960" s="746"/>
      <c r="C1960" s="505"/>
      <c r="D1960" s="1183" t="s">
        <v>507</v>
      </c>
      <c r="E1960" s="1184"/>
      <c r="F1960" s="1184"/>
      <c r="G1960" s="1184"/>
      <c r="H1960" s="1184"/>
      <c r="I1960" s="1184"/>
      <c r="J1960" s="1184"/>
      <c r="K1960" s="1184"/>
      <c r="L1960" s="1184"/>
      <c r="M1960" s="1184"/>
      <c r="N1960" s="1184"/>
      <c r="O1960" s="1184"/>
      <c r="P1960" s="1184"/>
      <c r="Q1960" s="1184"/>
      <c r="R1960" s="1184"/>
      <c r="S1960" s="1184"/>
      <c r="T1960" s="1184"/>
    </row>
    <row r="1961" spans="1:41" s="501" customFormat="1" ht="12">
      <c r="A1961" s="748"/>
      <c r="B1961" s="749"/>
      <c r="C1961" s="497"/>
      <c r="D1961" s="750"/>
      <c r="E1961" s="751">
        <f ca="1">F1959/$C$12-SUMIF($L1958:$L1984,"SUBI",$E1958:$E1984)</f>
        <v>0</v>
      </c>
      <c r="F1961" s="752" t="s">
        <v>572</v>
      </c>
      <c r="G1961" s="753"/>
      <c r="H1961" s="753"/>
      <c r="I1961" s="754"/>
      <c r="J1961" s="753"/>
      <c r="K1961" s="753"/>
      <c r="L1961" s="755"/>
      <c r="M1961" s="756"/>
      <c r="N1961" s="756"/>
      <c r="O1961" s="756"/>
      <c r="P1961" s="756"/>
      <c r="Q1961" s="757"/>
      <c r="R1961" s="758"/>
      <c r="S1961" s="757"/>
      <c r="T1961" s="759"/>
    </row>
    <row r="1962" spans="1:41" s="501" customFormat="1" ht="12" customHeight="1">
      <c r="A1962" s="760"/>
      <c r="B1962" s="761"/>
      <c r="C1962" s="762"/>
      <c r="D1962" s="762" t="str">
        <f>$F$2</f>
        <v>Electrical</v>
      </c>
      <c r="E1962" s="762">
        <f ca="1">ROUND(($R1974*$S$2 + ($T1974*$T$2)), 2)</f>
        <v>0</v>
      </c>
      <c r="F1962" s="763">
        <f ca="1">$E1962*$C$12</f>
        <v>0</v>
      </c>
      <c r="G1962" s="567"/>
      <c r="H1962" s="764"/>
      <c r="I1962" s="567"/>
      <c r="J1962" s="45"/>
      <c r="K1962" s="765" t="s">
        <v>3</v>
      </c>
      <c r="L1962" s="766" t="s">
        <v>573</v>
      </c>
      <c r="M1962" s="567"/>
      <c r="N1962" s="567"/>
      <c r="O1962" s="45"/>
      <c r="P1962" s="567"/>
      <c r="Q1962" s="567"/>
      <c r="R1962"/>
      <c r="S1962"/>
      <c r="T1962"/>
    </row>
    <row r="1963" spans="1:41" s="935" customFormat="1" ht="13.2">
      <c r="A1963"/>
      <c r="B1963" s="927"/>
      <c r="C1963" s="927" t="s">
        <v>735</v>
      </c>
      <c r="D1963" s="927" t="str">
        <f ca="1">CELL("Address",Elec_Rates!D$143)</f>
        <v>[E25_0465_IH_Retro_Elec4Mech_Est_Rev_A.xlsx]Elec_Rates!$D$143</v>
      </c>
      <c r="E1963" s="928"/>
      <c r="F1963" s="928"/>
      <c r="G1963" s="929" t="s">
        <v>736</v>
      </c>
      <c r="H1963" s="929"/>
      <c r="I1963" s="929"/>
      <c r="J1963" s="929"/>
      <c r="K1963" s="930"/>
      <c r="L1963" s="928"/>
      <c r="M1963" s="928"/>
      <c r="N1963" s="928"/>
      <c r="O1963" s="931"/>
      <c r="P1963" s="928"/>
      <c r="Q1963" s="932"/>
      <c r="R1963" s="933"/>
      <c r="S1963" s="932"/>
      <c r="T1963" s="560"/>
      <c r="U1963" s="934"/>
    </row>
    <row r="1964" spans="1:41" s="935" customFormat="1" ht="11.4">
      <c r="A1964" s="936">
        <v>0</v>
      </c>
      <c r="B1964" s="937">
        <v>1</v>
      </c>
      <c r="C1964" s="937">
        <f>$A1964*$B1964</f>
        <v>0</v>
      </c>
      <c r="D1964" s="938" t="str">
        <f>Elec_Rates!$D$143</f>
        <v>011# Power supply to control panel (4core x 4.0sqmm) and VDS by pass in MCC</v>
      </c>
      <c r="E1964" s="938"/>
      <c r="F1964" s="938" t="s">
        <v>737</v>
      </c>
      <c r="G1964" s="939" t="s">
        <v>738</v>
      </c>
      <c r="H1964" s="939"/>
      <c r="I1964" s="939"/>
      <c r="J1964" s="939"/>
      <c r="K1964" s="940"/>
      <c r="L1964" s="934"/>
      <c r="M1964" s="934"/>
      <c r="N1964" s="934"/>
      <c r="O1964" s="941"/>
      <c r="P1964" s="938"/>
      <c r="Q1964" s="942">
        <f ca="1">$B1964*Elec_Rates!$R$143</f>
        <v>74.239999999999995</v>
      </c>
      <c r="R1964" s="933">
        <f ca="1">$A1964*Q1964</f>
        <v>0</v>
      </c>
      <c r="S1964" s="942">
        <f ca="1">$B1964*Elec_Rates!$T$143</f>
        <v>3.17</v>
      </c>
      <c r="T1964" s="560">
        <f ca="1">$A1964*S1964</f>
        <v>0</v>
      </c>
      <c r="U1964" s="484"/>
      <c r="AL1964" s="936">
        <v>1</v>
      </c>
    </row>
    <row r="1965" spans="1:41" s="935" customFormat="1" ht="13.2">
      <c r="A1965"/>
      <c r="B1965" s="927"/>
      <c r="C1965" s="927" t="s">
        <v>735</v>
      </c>
      <c r="D1965" s="927" t="str">
        <f ca="1">CELL("Address",Elec_Rates!D$196)</f>
        <v>[E25_0465_IH_Retro_Elec4Mech_Est_Rev_A.xlsx]Elec_Rates!$D$196</v>
      </c>
      <c r="E1965" s="928"/>
      <c r="F1965" s="928"/>
      <c r="G1965" s="929" t="s">
        <v>736</v>
      </c>
      <c r="H1965" s="929"/>
      <c r="I1965" s="929"/>
      <c r="J1965" s="929"/>
      <c r="K1965" s="930"/>
      <c r="L1965" s="928"/>
      <c r="M1965" s="928"/>
      <c r="N1965" s="928"/>
      <c r="O1965" s="931"/>
      <c r="P1965" s="928"/>
      <c r="Q1965" s="932"/>
      <c r="R1965" s="933"/>
      <c r="S1965" s="932"/>
      <c r="T1965" s="560"/>
      <c r="U1965" s="934"/>
      <c r="AL1965"/>
    </row>
    <row r="1966" spans="1:41" s="935" customFormat="1" ht="11.4">
      <c r="A1966" s="936">
        <v>0</v>
      </c>
      <c r="B1966" s="937">
        <v>1</v>
      </c>
      <c r="C1966" s="937">
        <f>$A1966*$B1966</f>
        <v>0</v>
      </c>
      <c r="D1966" s="938" t="str">
        <f>Elec_Rates!$D$196</f>
        <v>013# Installation of Rosenger control panel</v>
      </c>
      <c r="E1966" s="938"/>
      <c r="F1966" s="938" t="s">
        <v>737</v>
      </c>
      <c r="G1966" s="939" t="s">
        <v>739</v>
      </c>
      <c r="H1966" s="939"/>
      <c r="I1966" s="939"/>
      <c r="J1966" s="939"/>
      <c r="K1966" s="940"/>
      <c r="L1966" s="934"/>
      <c r="M1966" s="934"/>
      <c r="N1966" s="934"/>
      <c r="O1966" s="941"/>
      <c r="P1966" s="938"/>
      <c r="Q1966" s="942">
        <f ca="1">$B1966*Elec_Rates!$R$196</f>
        <v>20</v>
      </c>
      <c r="R1966" s="933">
        <f ca="1">$A1966*Q1966</f>
        <v>0</v>
      </c>
      <c r="S1966" s="942">
        <f ca="1">$B1966*Elec_Rates!$T$196</f>
        <v>2</v>
      </c>
      <c r="T1966" s="560">
        <f ca="1">$A1966*S1966</f>
        <v>0</v>
      </c>
      <c r="U1966" s="484"/>
      <c r="AL1966" s="936">
        <v>1</v>
      </c>
    </row>
    <row r="1967" spans="1:41" s="935" customFormat="1" ht="13.2">
      <c r="A1967"/>
      <c r="B1967" s="927"/>
      <c r="C1967" s="927" t="s">
        <v>735</v>
      </c>
      <c r="D1967" s="927" t="str">
        <f ca="1">CELL("Address",Elec_Rates!D$203)</f>
        <v>[E25_0465_IH_Retro_Elec4Mech_Est_Rev_A.xlsx]Elec_Rates!$D$203</v>
      </c>
      <c r="E1967" s="928"/>
      <c r="F1967" s="928"/>
      <c r="G1967" s="929" t="s">
        <v>736</v>
      </c>
      <c r="H1967" s="929"/>
      <c r="I1967" s="929"/>
      <c r="J1967" s="929"/>
      <c r="K1967" s="930"/>
      <c r="L1967" s="928"/>
      <c r="M1967" s="928"/>
      <c r="N1967" s="928"/>
      <c r="O1967" s="931"/>
      <c r="P1967" s="928"/>
      <c r="Q1967" s="932"/>
      <c r="R1967" s="933"/>
      <c r="S1967" s="932"/>
      <c r="T1967" s="560"/>
      <c r="U1967" s="934"/>
      <c r="AL1967"/>
    </row>
    <row r="1968" spans="1:41" s="935" customFormat="1" ht="11.4">
      <c r="A1968" s="936">
        <v>0</v>
      </c>
      <c r="B1968" s="937">
        <v>1</v>
      </c>
      <c r="C1968" s="937">
        <f>$A1968*$B1968</f>
        <v>0</v>
      </c>
      <c r="D1968" s="938" t="str">
        <f>Elec_Rates!$D$203</f>
        <v>014# Installation of cable harness to fans</v>
      </c>
      <c r="E1968" s="938"/>
      <c r="F1968" s="938" t="s">
        <v>737</v>
      </c>
      <c r="G1968" s="939" t="s">
        <v>738</v>
      </c>
      <c r="H1968" s="939"/>
      <c r="I1968" s="939"/>
      <c r="J1968" s="939"/>
      <c r="K1968" s="940"/>
      <c r="L1968" s="934"/>
      <c r="M1968" s="934"/>
      <c r="N1968" s="934"/>
      <c r="O1968" s="941"/>
      <c r="P1968" s="938"/>
      <c r="Q1968" s="942">
        <f ca="1">$B1968*Elec_Rates!$R$203</f>
        <v>20</v>
      </c>
      <c r="R1968" s="933">
        <f ca="1">$A1968*Q1968</f>
        <v>0</v>
      </c>
      <c r="S1968" s="942">
        <f ca="1">$B1968*Elec_Rates!$T$203</f>
        <v>1</v>
      </c>
      <c r="T1968" s="560">
        <f ca="1">$A1968*S1968</f>
        <v>0</v>
      </c>
      <c r="U1968" s="484"/>
      <c r="AL1968" s="936">
        <v>2</v>
      </c>
    </row>
    <row r="1969" spans="1:41" s="935" customFormat="1" ht="13.2">
      <c r="A1969"/>
      <c r="B1969" s="927"/>
      <c r="C1969" s="927" t="s">
        <v>735</v>
      </c>
      <c r="D1969" s="927" t="str">
        <f ca="1">CELL("Address",Elec_Rates!D$210)</f>
        <v>[E25_0465_IH_Retro_Elec4Mech_Est_Rev_A.xlsx]Elec_Rates!$D$210</v>
      </c>
      <c r="E1969" s="928"/>
      <c r="F1969" s="928"/>
      <c r="G1969" s="929" t="s">
        <v>736</v>
      </c>
      <c r="H1969" s="929"/>
      <c r="I1969" s="929"/>
      <c r="J1969" s="929"/>
      <c r="K1969" s="930"/>
      <c r="L1969" s="928"/>
      <c r="M1969" s="928"/>
      <c r="N1969" s="928"/>
      <c r="O1969" s="931"/>
      <c r="P1969" s="928"/>
      <c r="Q1969" s="932"/>
      <c r="R1969" s="933"/>
      <c r="S1969" s="932"/>
      <c r="T1969" s="560"/>
      <c r="U1969" s="934"/>
      <c r="AL1969"/>
    </row>
    <row r="1970" spans="1:41" s="935" customFormat="1" ht="11.4">
      <c r="A1970" s="936">
        <v>0</v>
      </c>
      <c r="B1970" s="937">
        <v>1</v>
      </c>
      <c r="C1970" s="937">
        <f>$A1970*$B1970</f>
        <v>0</v>
      </c>
      <c r="D1970" s="938" t="str">
        <f>Elec_Rates!$D$210</f>
        <v>015# Installation of control panels by ECA</v>
      </c>
      <c r="E1970" s="938"/>
      <c r="F1970" s="938" t="s">
        <v>737</v>
      </c>
      <c r="G1970" s="939" t="s">
        <v>739</v>
      </c>
      <c r="H1970" s="939"/>
      <c r="I1970" s="939"/>
      <c r="J1970" s="939"/>
      <c r="K1970" s="940"/>
      <c r="L1970" s="934"/>
      <c r="M1970" s="934"/>
      <c r="N1970" s="934"/>
      <c r="O1970" s="941"/>
      <c r="P1970" s="938"/>
      <c r="Q1970" s="942">
        <f ca="1">$B1970*Elec_Rates!$R$210</f>
        <v>30</v>
      </c>
      <c r="R1970" s="933">
        <f ca="1">$A1970*Q1970</f>
        <v>0</v>
      </c>
      <c r="S1970" s="942">
        <f ca="1">$B1970*Elec_Rates!$T$210</f>
        <v>1</v>
      </c>
      <c r="T1970" s="560">
        <f ca="1">$A1970*S1970</f>
        <v>0</v>
      </c>
      <c r="U1970" s="484"/>
      <c r="AL1970" s="936">
        <v>1</v>
      </c>
    </row>
    <row r="1971" spans="1:41" s="935" customFormat="1" ht="13.2">
      <c r="A1971"/>
      <c r="B1971" s="927"/>
      <c r="C1971" s="927" t="s">
        <v>735</v>
      </c>
      <c r="D1971" s="927" t="str">
        <f ca="1">CELL("Address",Elec_Rates!D$217)</f>
        <v>[E25_0465_IH_Retro_Elec4Mech_Est_Rev_A.xlsx]Elec_Rates!$D$217</v>
      </c>
      <c r="E1971" s="928"/>
      <c r="F1971" s="928"/>
      <c r="G1971" s="929" t="s">
        <v>736</v>
      </c>
      <c r="H1971" s="929"/>
      <c r="I1971" s="929"/>
      <c r="J1971" s="929"/>
      <c r="K1971" s="930"/>
      <c r="L1971" s="928"/>
      <c r="M1971" s="928"/>
      <c r="N1971" s="928"/>
      <c r="O1971" s="931"/>
      <c r="P1971" s="928"/>
      <c r="Q1971" s="932"/>
      <c r="R1971" s="933"/>
      <c r="S1971" s="932"/>
      <c r="T1971" s="560"/>
      <c r="U1971" s="934"/>
      <c r="AL1971"/>
    </row>
    <row r="1972" spans="1:41" s="935" customFormat="1" ht="11.4">
      <c r="A1972" s="936">
        <v>0</v>
      </c>
      <c r="B1972" s="937">
        <v>1</v>
      </c>
      <c r="C1972" s="937">
        <f>$A1972*$B1972</f>
        <v>0</v>
      </c>
      <c r="D1972" s="938" t="str">
        <f>Elec_Rates!$D$217</f>
        <v>016# Installation of sensors on AHUs</v>
      </c>
      <c r="E1972" s="938"/>
      <c r="F1972" s="938" t="s">
        <v>737</v>
      </c>
      <c r="G1972" s="939" t="s">
        <v>738</v>
      </c>
      <c r="H1972" s="939"/>
      <c r="I1972" s="939"/>
      <c r="J1972" s="939"/>
      <c r="K1972" s="940"/>
      <c r="L1972" s="934"/>
      <c r="M1972" s="934"/>
      <c r="N1972" s="934"/>
      <c r="O1972" s="941"/>
      <c r="P1972" s="938"/>
      <c r="Q1972" s="942">
        <f ca="1">$B1972*Elec_Rates!$R$217</f>
        <v>354.24</v>
      </c>
      <c r="R1972" s="933">
        <f ca="1">$A1972*Q1972</f>
        <v>0</v>
      </c>
      <c r="S1972" s="942">
        <f ca="1">$B1972*Elec_Rates!$T$217</f>
        <v>17.989999999999998</v>
      </c>
      <c r="T1972" s="560">
        <f ca="1">$A1972*S1972</f>
        <v>0</v>
      </c>
      <c r="U1972" s="484"/>
      <c r="AL1972" s="936">
        <v>1</v>
      </c>
    </row>
    <row r="1973" spans="1:41" s="501" customFormat="1" ht="14.4" customHeight="1">
      <c r="A1973" s="767"/>
      <c r="B1973" s="567"/>
      <c r="C1973" s="567"/>
      <c r="D1973" s="567"/>
      <c r="E1973" s="567"/>
      <c r="F1973" s="567"/>
      <c r="G1973" s="567"/>
      <c r="H1973" s="764"/>
      <c r="I1973" s="567"/>
      <c r="J1973" s="45"/>
      <c r="K1973" s="769"/>
      <c r="L1973" s="770"/>
      <c r="M1973" s="567"/>
      <c r="N1973" s="567"/>
      <c r="O1973" s="45"/>
      <c r="P1973" s="567"/>
      <c r="Q1973" s="567"/>
      <c r="R1973" s="771">
        <f>$A1973*Q1973</f>
        <v>0</v>
      </c>
      <c r="S1973" s="567"/>
      <c r="T1973" s="500">
        <f>$A1973*S1973*$T$1</f>
        <v>0</v>
      </c>
      <c r="AL1973" s="767"/>
    </row>
    <row r="1974" spans="1:41" s="501" customFormat="1" ht="12">
      <c r="A1974" s="772" t="s">
        <v>145</v>
      </c>
      <c r="B1974" s="773">
        <f>(R1973+T1973)</f>
        <v>0</v>
      </c>
      <c r="C1974" s="753"/>
      <c r="G1974" s="774"/>
      <c r="H1974" s="774"/>
      <c r="I1974" s="774"/>
      <c r="J1974" s="774"/>
      <c r="K1974" s="750" t="s">
        <v>3</v>
      </c>
      <c r="L1974" s="775" t="s">
        <v>573</v>
      </c>
      <c r="M1974" s="774"/>
      <c r="N1974" s="774"/>
      <c r="O1974" s="774"/>
      <c r="P1974" s="774"/>
      <c r="Q1974" s="776"/>
      <c r="R1974" s="777">
        <f ca="1">SUM(R1962:R1973)</f>
        <v>0</v>
      </c>
      <c r="S1974" s="778"/>
      <c r="T1974" s="777">
        <f ca="1">SUM(T1962:T1973)</f>
        <v>0</v>
      </c>
      <c r="AG1974" s="779">
        <f ca="1">ROUND($R1974*$S$2,2)</f>
        <v>0</v>
      </c>
      <c r="AL1974" s="772" t="s">
        <v>145</v>
      </c>
    </row>
    <row r="1975" spans="1:41" s="501" customFormat="1" ht="12" customHeight="1">
      <c r="A1975" s="760"/>
      <c r="B1975" s="780"/>
      <c r="C1975" s="781"/>
      <c r="D1975" s="782" t="str">
        <f>$F$3</f>
        <v>Technician</v>
      </c>
      <c r="E1975" s="782">
        <f>ROUND(($R1978*$S$3 + ($T1978*$T$3)), 2)</f>
        <v>0</v>
      </c>
      <c r="F1975" s="783">
        <f>$E1975*$C$12</f>
        <v>0</v>
      </c>
      <c r="G1975" s="499"/>
      <c r="H1975" s="499"/>
      <c r="I1975" s="499"/>
      <c r="J1975" s="499"/>
      <c r="K1975" s="765" t="s">
        <v>5</v>
      </c>
      <c r="L1975" s="766" t="s">
        <v>573</v>
      </c>
      <c r="M1975" s="499"/>
      <c r="N1975" s="499"/>
      <c r="O1975" s="499"/>
      <c r="P1975" s="499"/>
      <c r="Q1975" s="499"/>
      <c r="R1975" s="784"/>
      <c r="S1975" s="499"/>
      <c r="T1975" s="784"/>
      <c r="AL1975" s="760"/>
    </row>
    <row r="1976" spans="1:41" s="893" customFormat="1" ht="13.2">
      <c r="A1976">
        <v>0</v>
      </c>
      <c r="B1976" s="893" t="s">
        <v>141</v>
      </c>
      <c r="D1976" s="893" t="s">
        <v>767</v>
      </c>
      <c r="E1976" s="893" t="s">
        <v>770</v>
      </c>
      <c r="F1976" s="893" t="s">
        <v>769</v>
      </c>
      <c r="G1976" s="894" t="s">
        <v>768</v>
      </c>
      <c r="H1976" s="895">
        <v>570</v>
      </c>
      <c r="I1976" s="893" t="s">
        <v>643</v>
      </c>
      <c r="O1976" s="896">
        <v>2</v>
      </c>
      <c r="P1976" s="897">
        <v>38443</v>
      </c>
      <c r="Q1976" s="898">
        <v>2500</v>
      </c>
      <c r="R1976" s="899">
        <f>$A1976*Q1976</f>
        <v>0</v>
      </c>
      <c r="S1976" s="898">
        <f>200/25</f>
        <v>8</v>
      </c>
      <c r="T1976" s="900">
        <f>$A1976*S1976*$T$1</f>
        <v>0</v>
      </c>
      <c r="AL1976">
        <v>1</v>
      </c>
    </row>
    <row r="1977" spans="1:41" s="501" customFormat="1" ht="15.6" customHeight="1">
      <c r="A1977" s="767"/>
      <c r="B1977" s="567"/>
      <c r="C1977" s="567"/>
      <c r="D1977" s="3"/>
      <c r="E1977" s="567"/>
      <c r="F1977" s="567"/>
      <c r="G1977" s="567"/>
      <c r="H1977" s="567"/>
      <c r="I1977" s="567"/>
      <c r="J1977" s="567"/>
      <c r="K1977" s="567"/>
      <c r="L1977" s="770"/>
      <c r="M1977" s="567"/>
      <c r="N1977" s="567"/>
      <c r="O1977" s="567"/>
      <c r="P1977" s="567"/>
      <c r="Q1977" s="567"/>
      <c r="R1977" s="771">
        <f>$A1977*Q1977</f>
        <v>0</v>
      </c>
      <c r="S1977" s="567"/>
      <c r="T1977" s="500">
        <f>$A1977*S1977*$T$1</f>
        <v>0</v>
      </c>
      <c r="AL1977" s="767"/>
    </row>
    <row r="1978" spans="1:41" s="501" customFormat="1" ht="12">
      <c r="A1978" s="772" t="s">
        <v>145</v>
      </c>
      <c r="B1978" s="773">
        <f>(R1977+T1977)</f>
        <v>0</v>
      </c>
      <c r="C1978" s="753"/>
      <c r="G1978" s="774"/>
      <c r="H1978" s="774"/>
      <c r="I1978" s="774"/>
      <c r="J1978" s="774"/>
      <c r="K1978" s="798" t="s">
        <v>5</v>
      </c>
      <c r="L1978" s="775" t="s">
        <v>573</v>
      </c>
      <c r="M1978" s="774"/>
      <c r="N1978" s="774"/>
      <c r="O1978" s="774"/>
      <c r="P1978" s="774"/>
      <c r="Q1978" s="776"/>
      <c r="R1978" s="777">
        <f>SUM(R1975:R1977)</f>
        <v>0</v>
      </c>
      <c r="S1978" s="778"/>
      <c r="T1978" s="777">
        <f>SUM(T1975:T1977)</f>
        <v>0</v>
      </c>
      <c r="AG1978" s="799">
        <f>ROUND($R1978*$S$3,2)</f>
        <v>0</v>
      </c>
      <c r="AL1978" s="772" t="s">
        <v>145</v>
      </c>
    </row>
    <row r="1979" spans="1:41" s="501" customFormat="1" ht="12" customHeight="1">
      <c r="A1979" s="800"/>
      <c r="B1979" s="801"/>
      <c r="C1979" s="802"/>
      <c r="D1979" s="803" t="str">
        <f>$F$4</f>
        <v>Engineer (Man Hours)</v>
      </c>
      <c r="E1979" s="803">
        <f>ROUND(($R1982*$S$4 + ($T1982*$T$4)), 2)</f>
        <v>0</v>
      </c>
      <c r="F1979" s="804">
        <f ca="1">$F1959-SUMIF($L1961:$P1976,"SUBI",$F1961:$F1976)</f>
        <v>0</v>
      </c>
      <c r="G1979" s="499"/>
      <c r="H1979" s="499"/>
      <c r="I1979" s="499"/>
      <c r="J1979" s="499"/>
      <c r="K1979" s="805" t="s">
        <v>8</v>
      </c>
      <c r="L1979" s="766" t="s">
        <v>573</v>
      </c>
      <c r="M1979" s="499"/>
      <c r="N1979" s="499"/>
      <c r="O1979" s="499"/>
      <c r="P1979" s="499"/>
      <c r="Q1979" s="499"/>
      <c r="R1979" s="784"/>
      <c r="S1979" s="499"/>
      <c r="T1979" s="784"/>
      <c r="AL1979" s="800"/>
    </row>
    <row r="1980" spans="1:41" s="893" customFormat="1" ht="13.2">
      <c r="A1980">
        <v>0</v>
      </c>
      <c r="B1980" s="893" t="s">
        <v>141</v>
      </c>
      <c r="D1980" s="893" t="s">
        <v>767</v>
      </c>
      <c r="E1980" s="893" t="s">
        <v>771</v>
      </c>
      <c r="F1980" s="893" t="s">
        <v>769</v>
      </c>
      <c r="G1980" s="894" t="s">
        <v>768</v>
      </c>
      <c r="H1980" s="895">
        <v>570</v>
      </c>
      <c r="I1980" s="893" t="s">
        <v>643</v>
      </c>
      <c r="O1980" s="896">
        <v>2</v>
      </c>
      <c r="P1980" s="897">
        <v>38443</v>
      </c>
      <c r="Q1980" s="898"/>
      <c r="R1980" s="899">
        <f>$A1980*Q1980</f>
        <v>0</v>
      </c>
      <c r="S1980" s="898">
        <f>100/25</f>
        <v>4</v>
      </c>
      <c r="T1980" s="900">
        <f>$A1980*S1980*$T$1</f>
        <v>0</v>
      </c>
      <c r="AL1980">
        <v>1</v>
      </c>
    </row>
    <row r="1981" spans="1:41" s="501" customFormat="1" ht="12">
      <c r="A1981" s="44"/>
      <c r="B1981" s="497"/>
      <c r="C1981" s="497"/>
      <c r="D1981" s="807"/>
      <c r="E1981" s="808"/>
      <c r="F1981" s="499"/>
      <c r="G1981" s="499"/>
      <c r="H1981" s="499"/>
      <c r="I1981" s="499"/>
      <c r="J1981" s="499"/>
      <c r="K1981" s="499"/>
      <c r="L1981" s="809"/>
      <c r="M1981" s="499"/>
      <c r="N1981" s="499"/>
      <c r="O1981" s="499"/>
      <c r="P1981" s="499"/>
      <c r="Q1981" s="499"/>
      <c r="R1981" s="720">
        <f>$A1981*Q1981</f>
        <v>0</v>
      </c>
      <c r="S1981" s="499"/>
      <c r="T1981" s="500">
        <f>$A1981*S1981*$T$1</f>
        <v>0</v>
      </c>
    </row>
    <row r="1982" spans="1:41" s="501" customFormat="1" ht="12.75" customHeight="1">
      <c r="A1982" s="772" t="s">
        <v>145</v>
      </c>
      <c r="B1982" s="773">
        <f>(R1981+T1981)</f>
        <v>0</v>
      </c>
      <c r="C1982" s="810"/>
      <c r="D1982" s="810"/>
      <c r="E1982" s="810"/>
      <c r="F1982" s="810"/>
      <c r="G1982" s="776"/>
      <c r="H1982" s="776"/>
      <c r="I1982" s="776"/>
      <c r="J1982" s="776"/>
      <c r="K1982" s="798" t="s">
        <v>8</v>
      </c>
      <c r="L1982" s="811" t="s">
        <v>573</v>
      </c>
      <c r="M1982" s="776"/>
      <c r="N1982" s="776"/>
      <c r="O1982" s="776"/>
      <c r="P1982" s="776"/>
      <c r="Q1982" s="776"/>
      <c r="R1982" s="777">
        <f>SUM(R1979:R1981)</f>
        <v>0</v>
      </c>
      <c r="S1982" s="778"/>
      <c r="T1982" s="777">
        <f>SUM(T1979:T1981)</f>
        <v>0</v>
      </c>
      <c r="AG1982" s="812">
        <f>ROUND($R1982*$S$4,2)</f>
        <v>0</v>
      </c>
    </row>
    <row r="1983" spans="1:41" s="501" customFormat="1" ht="12.75" customHeight="1">
      <c r="A1983" s="813"/>
      <c r="B1983" s="814"/>
      <c r="E1983" s="497"/>
      <c r="F1983" s="808"/>
      <c r="G1983" s="497"/>
      <c r="H1983" s="497"/>
      <c r="I1983" s="499"/>
      <c r="J1983" s="497"/>
      <c r="K1983" s="497"/>
      <c r="L1983" s="815"/>
      <c r="M1983" s="725"/>
      <c r="N1983" s="725"/>
      <c r="O1983" s="725"/>
      <c r="P1983" s="725"/>
      <c r="Q1983" s="726"/>
      <c r="R1983" s="784"/>
      <c r="S1983" s="497"/>
      <c r="T1983" s="784"/>
    </row>
    <row r="1984" spans="1:41" s="501" customFormat="1" ht="13.5" customHeight="1" thickBot="1">
      <c r="A1984" s="816"/>
      <c r="B1984" s="817"/>
      <c r="C1984" s="518"/>
      <c r="D1984" s="518"/>
      <c r="E1984" s="515"/>
      <c r="F1984" s="721"/>
      <c r="G1984" s="515" t="s">
        <v>146</v>
      </c>
      <c r="H1984" s="515"/>
      <c r="I1984" s="516"/>
      <c r="J1984" s="515"/>
      <c r="K1984" s="515"/>
      <c r="L1984" s="818" t="s">
        <v>143</v>
      </c>
      <c r="M1984" s="517"/>
      <c r="N1984" s="517"/>
      <c r="O1984" s="517"/>
      <c r="P1984" s="517"/>
      <c r="Q1984" s="722"/>
      <c r="R1984" s="819">
        <f ca="1">SUMIF($L1960:$L1983,"SUBI",R1960:R1983)</f>
        <v>0</v>
      </c>
      <c r="S1984" s="820"/>
      <c r="T1984" s="819">
        <f ca="1">SUMIF($L1960:$L1983,"SUBI",T1960:T1983)</f>
        <v>0</v>
      </c>
      <c r="U1984" s="518"/>
      <c r="V1984" s="518"/>
      <c r="W1984" s="518"/>
      <c r="X1984" s="518"/>
      <c r="Y1984" s="518"/>
      <c r="Z1984" s="518"/>
      <c r="AA1984" s="518"/>
      <c r="AB1984" s="518"/>
      <c r="AC1984" s="518"/>
      <c r="AD1984" s="518"/>
      <c r="AE1984" s="518"/>
      <c r="AF1984" s="518"/>
      <c r="AG1984" s="518"/>
      <c r="AH1984" s="518"/>
      <c r="AI1984" s="518"/>
      <c r="AJ1984" s="518"/>
      <c r="AK1984" s="518"/>
      <c r="AL1984" s="518"/>
      <c r="AM1984" s="518"/>
      <c r="AN1984" s="518"/>
      <c r="AO1984" s="518"/>
    </row>
    <row r="1985" spans="1:41" s="501" customFormat="1" thickTop="1">
      <c r="A1985" s="44"/>
      <c r="B1985" s="44"/>
      <c r="C1985" s="3"/>
      <c r="D1985" s="3"/>
      <c r="E1985" s="44"/>
      <c r="F1985" s="44"/>
      <c r="G1985" s="44"/>
      <c r="H1985" s="44"/>
      <c r="I1985" s="44"/>
      <c r="J1985" s="44"/>
      <c r="K1985" s="44" t="s">
        <v>134</v>
      </c>
      <c r="L1985" s="44"/>
      <c r="M1985" s="44"/>
      <c r="N1985" s="44"/>
      <c r="O1985" s="45"/>
      <c r="P1985" s="44"/>
      <c r="Q1985" s="44"/>
      <c r="R1985" s="44"/>
      <c r="S1985" s="44"/>
      <c r="T1985" s="44"/>
    </row>
    <row r="1986" spans="1:41" s="501" customFormat="1" ht="12">
      <c r="A1986" s="44"/>
      <c r="B1986" s="44"/>
      <c r="C1986" s="44" t="s">
        <v>135</v>
      </c>
      <c r="D1986" s="35"/>
      <c r="E1986" s="44"/>
      <c r="F1986" s="44"/>
      <c r="G1986" s="44"/>
      <c r="H1986" s="44"/>
      <c r="I1986" s="44"/>
      <c r="J1986" s="44"/>
      <c r="K1986" s="44"/>
      <c r="L1986" s="44"/>
      <c r="M1986" s="44"/>
      <c r="N1986" s="44"/>
      <c r="O1986" s="45"/>
      <c r="P1986" s="44"/>
      <c r="Q1986" s="44"/>
      <c r="R1986" s="44"/>
      <c r="S1986" s="44"/>
      <c r="T1986" s="44"/>
    </row>
    <row r="1987" spans="1:41" s="501" customFormat="1" ht="12">
      <c r="A1987" s="44"/>
      <c r="B1987" s="44"/>
      <c r="C1987" s="44"/>
      <c r="D1987" s="35" t="s">
        <v>508</v>
      </c>
      <c r="E1987" s="44"/>
      <c r="F1987" s="44"/>
      <c r="G1987" s="44"/>
      <c r="H1987" s="44"/>
      <c r="I1987" s="44"/>
      <c r="J1987" s="44"/>
      <c r="K1987" s="44"/>
      <c r="L1987" s="44"/>
      <c r="M1987" s="44"/>
      <c r="N1987" s="44"/>
      <c r="O1987" s="45"/>
      <c r="P1987" s="44"/>
      <c r="Q1987" s="44"/>
      <c r="R1987" s="44"/>
      <c r="S1987" s="36"/>
      <c r="T1987" s="36"/>
    </row>
    <row r="1988" spans="1:41" s="3" customFormat="1" thickBot="1">
      <c r="A1988" s="518"/>
      <c r="O1988" s="86"/>
    </row>
    <row r="1989" spans="1:41" s="501" customFormat="1" thickTop="1">
      <c r="A1989" s="44"/>
      <c r="B1989" s="39"/>
      <c r="C1989" s="44"/>
      <c r="E1989" s="40" t="s">
        <v>138</v>
      </c>
      <c r="F1989" s="40" t="s">
        <v>139</v>
      </c>
      <c r="G1989" s="44"/>
      <c r="H1989" s="44"/>
      <c r="I1989" s="44"/>
      <c r="J1989" s="44"/>
      <c r="K1989" s="44" t="s">
        <v>140</v>
      </c>
      <c r="L1989" s="737"/>
      <c r="M1989" s="44"/>
      <c r="N1989" s="44"/>
      <c r="O1989" s="45"/>
      <c r="P1989" s="44"/>
      <c r="Q1989"/>
      <c r="R1989"/>
      <c r="S1989"/>
      <c r="T1989" s="39"/>
      <c r="AG1989" s="502" t="s">
        <v>247</v>
      </c>
      <c r="AH1989" s="502" t="s">
        <v>248</v>
      </c>
      <c r="AI1989" s="502" t="s">
        <v>249</v>
      </c>
      <c r="AJ1989" s="502" t="s">
        <v>250</v>
      </c>
      <c r="AK1989" s="502" t="s">
        <v>251</v>
      </c>
      <c r="AM1989" s="710" t="s">
        <v>260</v>
      </c>
      <c r="AN1989" s="711" t="s">
        <v>261</v>
      </c>
      <c r="AO1989" s="503" t="s">
        <v>257</v>
      </c>
    </row>
    <row r="1990" spans="1:41" s="501" customFormat="1" ht="13.2">
      <c r="A1990" s="712">
        <v>1</v>
      </c>
      <c r="B1990" s="504" t="s">
        <v>283</v>
      </c>
      <c r="C1990" s="505"/>
      <c r="D1990" s="713" t="s">
        <v>608</v>
      </c>
      <c r="E1990" s="738">
        <f ca="1">IF(AND($A1990=0,$A$1="DIF"),0,ROUND(ROUND(SUMIF($L1992:$L2010,"SUBI",$E1992:$E2010)/$A1990,2)*$C$12,2))</f>
        <v>0</v>
      </c>
      <c r="F1990" s="739">
        <f ca="1">ROUND($A1990*$E1990,2)</f>
        <v>0</v>
      </c>
      <c r="G1990" s="506" t="s">
        <v>142</v>
      </c>
      <c r="H1990" s="498"/>
      <c r="I1990" s="716"/>
      <c r="J1990" s="498"/>
      <c r="K1990" s="740"/>
      <c r="L1990" s="741" t="s">
        <v>143</v>
      </c>
      <c r="M1990" s="717"/>
      <c r="N1990" s="717"/>
      <c r="O1990" s="717"/>
      <c r="P1990" s="717"/>
      <c r="Q1990" s="943" t="s">
        <v>855</v>
      </c>
      <c r="R1990" s="943" t="s">
        <v>1105</v>
      </c>
      <c r="S1990"/>
      <c r="T1990" s="742" t="str">
        <f ca="1">IF(AND($R2015=0,$T2015=0),"0.00","mu :" &amp; ROUND($F1990/$C$12/($R2015+$T2015*$D$9),2))</f>
        <v>0.00</v>
      </c>
      <c r="W1990" s="507"/>
      <c r="AG1990" s="743">
        <f ca="1">IF(A1990=0,0,ROUND(SUM(AG1992:AG2015)/A1990,2))</f>
        <v>0</v>
      </c>
      <c r="AH1990" s="743">
        <f ca="1">$AG1990*$A1990</f>
        <v>0</v>
      </c>
      <c r="AI1990" s="743">
        <f ca="1">$E1990-$AG1990</f>
        <v>0</v>
      </c>
      <c r="AJ1990" s="743">
        <f ca="1">$A1990*$AI1990</f>
        <v>0</v>
      </c>
      <c r="AK1990" s="744">
        <f ca="1">ROUND(($AG1990+$AI1990)*$A1990,2)</f>
        <v>0</v>
      </c>
      <c r="AM1990" s="510">
        <f ca="1">ROUND(R2015,2)</f>
        <v>0</v>
      </c>
      <c r="AN1990" s="511">
        <f ca="1">ROUND(T2015,2)</f>
        <v>0</v>
      </c>
      <c r="AO1990" s="512">
        <f ca="1">ROUND(AM1990+AN1990,2)*A1990</f>
        <v>0</v>
      </c>
    </row>
    <row r="1991" spans="1:41" s="501" customFormat="1" ht="39.9" customHeight="1">
      <c r="A1991" s="745"/>
      <c r="B1991" s="746"/>
      <c r="C1991" s="505"/>
      <c r="D1991" s="1183" t="s">
        <v>509</v>
      </c>
      <c r="E1991" s="1184"/>
      <c r="F1991" s="1184"/>
      <c r="G1991" s="1184"/>
      <c r="H1991" s="1184"/>
      <c r="I1991" s="1184"/>
      <c r="J1991" s="1184"/>
      <c r="K1991" s="1184"/>
      <c r="L1991" s="1184"/>
      <c r="M1991" s="1184"/>
      <c r="N1991" s="1184"/>
      <c r="O1991" s="1184"/>
      <c r="P1991" s="1184"/>
      <c r="Q1991" s="1184"/>
      <c r="R1991" s="1184"/>
      <c r="S1991" s="1184"/>
      <c r="T1991" s="1184"/>
    </row>
    <row r="1992" spans="1:41" s="501" customFormat="1" ht="12">
      <c r="A1992" s="748"/>
      <c r="B1992" s="749"/>
      <c r="C1992" s="497"/>
      <c r="D1992" s="750"/>
      <c r="E1992" s="751">
        <f ca="1">F1990/$C$12-SUMIF($L1989:$L2015,"SUBI",$E1989:$E2015)</f>
        <v>0</v>
      </c>
      <c r="F1992" s="752" t="s">
        <v>572</v>
      </c>
      <c r="G1992" s="753"/>
      <c r="H1992" s="753"/>
      <c r="I1992" s="754"/>
      <c r="J1992" s="753"/>
      <c r="K1992" s="753"/>
      <c r="L1992" s="755"/>
      <c r="M1992" s="756"/>
      <c r="N1992" s="756"/>
      <c r="O1992" s="756"/>
      <c r="P1992" s="756"/>
      <c r="Q1992" s="757"/>
      <c r="R1992" s="758"/>
      <c r="S1992" s="757"/>
      <c r="T1992" s="759"/>
    </row>
    <row r="1993" spans="1:41" s="501" customFormat="1" ht="12" customHeight="1">
      <c r="A1993" s="760"/>
      <c r="B1993" s="761"/>
      <c r="C1993" s="762"/>
      <c r="D1993" s="762" t="str">
        <f>$F$2</f>
        <v>Electrical</v>
      </c>
      <c r="E1993" s="762">
        <f ca="1">ROUND(($R2005*$S$2 + ($T2005*$T$2)), 2)</f>
        <v>0</v>
      </c>
      <c r="F1993" s="763">
        <f ca="1">$E1993*$C$12</f>
        <v>0</v>
      </c>
      <c r="G1993" s="567"/>
      <c r="H1993" s="764"/>
      <c r="I1993" s="567"/>
      <c r="J1993" s="45"/>
      <c r="K1993" s="765" t="s">
        <v>3</v>
      </c>
      <c r="L1993" s="766" t="s">
        <v>573</v>
      </c>
      <c r="M1993" s="567"/>
      <c r="N1993" s="567"/>
      <c r="O1993" s="45"/>
      <c r="P1993" s="567"/>
      <c r="Q1993" s="567"/>
      <c r="R1993"/>
      <c r="S1993"/>
      <c r="T1993"/>
    </row>
    <row r="1994" spans="1:41" s="935" customFormat="1" ht="13.2">
      <c r="A1994"/>
      <c r="B1994" s="927"/>
      <c r="C1994" s="927" t="s">
        <v>735</v>
      </c>
      <c r="D1994" s="927" t="str">
        <f ca="1">CELL("Address",Elec_Rates!D$143)</f>
        <v>[E25_0465_IH_Retro_Elec4Mech_Est_Rev_A.xlsx]Elec_Rates!$D$143</v>
      </c>
      <c r="E1994" s="928"/>
      <c r="F1994" s="928"/>
      <c r="G1994" s="929" t="s">
        <v>736</v>
      </c>
      <c r="H1994" s="929"/>
      <c r="I1994" s="929"/>
      <c r="J1994" s="929"/>
      <c r="K1994" s="930"/>
      <c r="L1994" s="928"/>
      <c r="M1994" s="928"/>
      <c r="N1994" s="928"/>
      <c r="O1994" s="931"/>
      <c r="P1994" s="928"/>
      <c r="Q1994" s="932"/>
      <c r="R1994" s="933"/>
      <c r="S1994" s="932"/>
      <c r="T1994" s="560"/>
      <c r="U1994" s="934"/>
    </row>
    <row r="1995" spans="1:41" s="935" customFormat="1" ht="11.4">
      <c r="A1995" s="936">
        <v>0</v>
      </c>
      <c r="B1995" s="937">
        <v>1</v>
      </c>
      <c r="C1995" s="937">
        <f>$A1995*$B1995</f>
        <v>0</v>
      </c>
      <c r="D1995" s="938" t="str">
        <f>Elec_Rates!$D$143</f>
        <v>011# Power supply to control panel (4core x 4.0sqmm) and VDS by pass in MCC</v>
      </c>
      <c r="E1995" s="938"/>
      <c r="F1995" s="938" t="s">
        <v>737</v>
      </c>
      <c r="G1995" s="939" t="s">
        <v>738</v>
      </c>
      <c r="H1995" s="939"/>
      <c r="I1995" s="939"/>
      <c r="J1995" s="939"/>
      <c r="K1995" s="940"/>
      <c r="L1995" s="934"/>
      <c r="M1995" s="934"/>
      <c r="N1995" s="934"/>
      <c r="O1995" s="941"/>
      <c r="P1995" s="938"/>
      <c r="Q1995" s="942">
        <f ca="1">$B1995*Elec_Rates!$R$143</f>
        <v>74.239999999999995</v>
      </c>
      <c r="R1995" s="933">
        <f ca="1">$A1995*Q1995</f>
        <v>0</v>
      </c>
      <c r="S1995" s="942">
        <f ca="1">$B1995*Elec_Rates!$T$143</f>
        <v>3.17</v>
      </c>
      <c r="T1995" s="560">
        <f ca="1">$A1995*S1995</f>
        <v>0</v>
      </c>
      <c r="U1995" s="484"/>
      <c r="AL1995" s="936">
        <v>1</v>
      </c>
    </row>
    <row r="1996" spans="1:41" s="935" customFormat="1" ht="13.2">
      <c r="A1996"/>
      <c r="B1996" s="927"/>
      <c r="C1996" s="927" t="s">
        <v>735</v>
      </c>
      <c r="D1996" s="927" t="str">
        <f ca="1">CELL("Address",Elec_Rates!D$196)</f>
        <v>[E25_0465_IH_Retro_Elec4Mech_Est_Rev_A.xlsx]Elec_Rates!$D$196</v>
      </c>
      <c r="E1996" s="928"/>
      <c r="F1996" s="928"/>
      <c r="G1996" s="929" t="s">
        <v>736</v>
      </c>
      <c r="H1996" s="929"/>
      <c r="I1996" s="929"/>
      <c r="J1996" s="929"/>
      <c r="K1996" s="930"/>
      <c r="L1996" s="928"/>
      <c r="M1996" s="928"/>
      <c r="N1996" s="928"/>
      <c r="O1996" s="931"/>
      <c r="P1996" s="928"/>
      <c r="Q1996" s="932"/>
      <c r="R1996" s="933"/>
      <c r="S1996" s="932"/>
      <c r="T1996" s="560"/>
      <c r="U1996" s="934"/>
      <c r="AL1996"/>
    </row>
    <row r="1997" spans="1:41" s="935" customFormat="1" ht="11.4">
      <c r="A1997" s="936">
        <v>0</v>
      </c>
      <c r="B1997" s="937">
        <v>1</v>
      </c>
      <c r="C1997" s="937">
        <f>$A1997*$B1997</f>
        <v>0</v>
      </c>
      <c r="D1997" s="938" t="str">
        <f>Elec_Rates!$D$196</f>
        <v>013# Installation of Rosenger control panel</v>
      </c>
      <c r="E1997" s="938"/>
      <c r="F1997" s="938" t="s">
        <v>737</v>
      </c>
      <c r="G1997" s="939" t="s">
        <v>739</v>
      </c>
      <c r="H1997" s="939"/>
      <c r="I1997" s="939"/>
      <c r="J1997" s="939"/>
      <c r="K1997" s="940"/>
      <c r="L1997" s="934"/>
      <c r="M1997" s="934"/>
      <c r="N1997" s="934"/>
      <c r="O1997" s="941"/>
      <c r="P1997" s="938"/>
      <c r="Q1997" s="942">
        <f ca="1">$B1997*Elec_Rates!$R$196</f>
        <v>20</v>
      </c>
      <c r="R1997" s="933">
        <f ca="1">$A1997*Q1997</f>
        <v>0</v>
      </c>
      <c r="S1997" s="942">
        <f ca="1">$B1997*Elec_Rates!$T$196</f>
        <v>2</v>
      </c>
      <c r="T1997" s="560">
        <f ca="1">$A1997*S1997</f>
        <v>0</v>
      </c>
      <c r="U1997" s="484"/>
      <c r="AL1997" s="936">
        <v>1</v>
      </c>
    </row>
    <row r="1998" spans="1:41" s="935" customFormat="1" ht="13.2">
      <c r="A1998"/>
      <c r="B1998" s="927"/>
      <c r="C1998" s="927" t="s">
        <v>735</v>
      </c>
      <c r="D1998" s="927" t="str">
        <f ca="1">CELL("Address",Elec_Rates!D$203)</f>
        <v>[E25_0465_IH_Retro_Elec4Mech_Est_Rev_A.xlsx]Elec_Rates!$D$203</v>
      </c>
      <c r="E1998" s="928"/>
      <c r="F1998" s="928"/>
      <c r="G1998" s="929" t="s">
        <v>736</v>
      </c>
      <c r="H1998" s="929"/>
      <c r="I1998" s="929"/>
      <c r="J1998" s="929"/>
      <c r="K1998" s="930"/>
      <c r="L1998" s="928"/>
      <c r="M1998" s="928"/>
      <c r="N1998" s="928"/>
      <c r="O1998" s="931"/>
      <c r="P1998" s="928"/>
      <c r="Q1998" s="932"/>
      <c r="R1998" s="933"/>
      <c r="S1998" s="932"/>
      <c r="T1998" s="560"/>
      <c r="U1998" s="934"/>
      <c r="AL1998"/>
    </row>
    <row r="1999" spans="1:41" s="935" customFormat="1" ht="11.4">
      <c r="A1999" s="936">
        <v>0</v>
      </c>
      <c r="B1999" s="937">
        <v>1</v>
      </c>
      <c r="C1999" s="937">
        <f>$A1999*$B1999</f>
        <v>0</v>
      </c>
      <c r="D1999" s="938" t="str">
        <f>Elec_Rates!$D$203</f>
        <v>014# Installation of cable harness to fans</v>
      </c>
      <c r="E1999" s="938"/>
      <c r="F1999" s="938" t="s">
        <v>737</v>
      </c>
      <c r="G1999" s="939" t="s">
        <v>738</v>
      </c>
      <c r="H1999" s="939"/>
      <c r="I1999" s="939"/>
      <c r="J1999" s="939"/>
      <c r="K1999" s="940"/>
      <c r="L1999" s="934"/>
      <c r="M1999" s="934"/>
      <c r="N1999" s="934"/>
      <c r="O1999" s="941"/>
      <c r="P1999" s="938"/>
      <c r="Q1999" s="942">
        <f ca="1">$B1999*Elec_Rates!$R$203</f>
        <v>20</v>
      </c>
      <c r="R1999" s="933">
        <f ca="1">$A1999*Q1999</f>
        <v>0</v>
      </c>
      <c r="S1999" s="942">
        <f ca="1">$B1999*Elec_Rates!$T$203</f>
        <v>1</v>
      </c>
      <c r="T1999" s="560">
        <f ca="1">$A1999*S1999</f>
        <v>0</v>
      </c>
      <c r="U1999" s="484"/>
      <c r="AL1999" s="936">
        <v>2</v>
      </c>
    </row>
    <row r="2000" spans="1:41" s="935" customFormat="1" ht="13.2">
      <c r="A2000"/>
      <c r="B2000" s="927"/>
      <c r="C2000" s="927" t="s">
        <v>735</v>
      </c>
      <c r="D2000" s="927" t="str">
        <f ca="1">CELL("Address",Elec_Rates!D$210)</f>
        <v>[E25_0465_IH_Retro_Elec4Mech_Est_Rev_A.xlsx]Elec_Rates!$D$210</v>
      </c>
      <c r="E2000" s="928"/>
      <c r="F2000" s="928"/>
      <c r="G2000" s="929" t="s">
        <v>736</v>
      </c>
      <c r="H2000" s="929"/>
      <c r="I2000" s="929"/>
      <c r="J2000" s="929"/>
      <c r="K2000" s="930"/>
      <c r="L2000" s="928"/>
      <c r="M2000" s="928"/>
      <c r="N2000" s="928"/>
      <c r="O2000" s="931"/>
      <c r="P2000" s="928"/>
      <c r="Q2000" s="932"/>
      <c r="R2000" s="933"/>
      <c r="S2000" s="932"/>
      <c r="T2000" s="560"/>
      <c r="U2000" s="934"/>
      <c r="AL2000"/>
    </row>
    <row r="2001" spans="1:41" s="935" customFormat="1" ht="11.4">
      <c r="A2001" s="936">
        <v>0</v>
      </c>
      <c r="B2001" s="937">
        <v>1</v>
      </c>
      <c r="C2001" s="937">
        <f>$A2001*$B2001</f>
        <v>0</v>
      </c>
      <c r="D2001" s="938" t="str">
        <f>Elec_Rates!$D$210</f>
        <v>015# Installation of control panels by ECA</v>
      </c>
      <c r="E2001" s="938"/>
      <c r="F2001" s="938" t="s">
        <v>737</v>
      </c>
      <c r="G2001" s="939" t="s">
        <v>739</v>
      </c>
      <c r="H2001" s="939"/>
      <c r="I2001" s="939"/>
      <c r="J2001" s="939"/>
      <c r="K2001" s="940"/>
      <c r="L2001" s="934"/>
      <c r="M2001" s="934"/>
      <c r="N2001" s="934"/>
      <c r="O2001" s="941"/>
      <c r="P2001" s="938"/>
      <c r="Q2001" s="942">
        <f ca="1">$B2001*Elec_Rates!$R$210</f>
        <v>30</v>
      </c>
      <c r="R2001" s="933">
        <f ca="1">$A2001*Q2001</f>
        <v>0</v>
      </c>
      <c r="S2001" s="942">
        <f ca="1">$B2001*Elec_Rates!$T$210</f>
        <v>1</v>
      </c>
      <c r="T2001" s="560">
        <f ca="1">$A2001*S2001</f>
        <v>0</v>
      </c>
      <c r="U2001" s="484"/>
      <c r="AL2001" s="936">
        <v>1</v>
      </c>
    </row>
    <row r="2002" spans="1:41" s="935" customFormat="1" ht="13.2">
      <c r="A2002"/>
      <c r="B2002" s="927"/>
      <c r="C2002" s="927" t="s">
        <v>735</v>
      </c>
      <c r="D2002" s="927" t="str">
        <f ca="1">CELL("Address",Elec_Rates!D$217)</f>
        <v>[E25_0465_IH_Retro_Elec4Mech_Est_Rev_A.xlsx]Elec_Rates!$D$217</v>
      </c>
      <c r="E2002" s="928"/>
      <c r="F2002" s="928"/>
      <c r="G2002" s="929" t="s">
        <v>736</v>
      </c>
      <c r="H2002" s="929"/>
      <c r="I2002" s="929"/>
      <c r="J2002" s="929"/>
      <c r="K2002" s="930"/>
      <c r="L2002" s="928"/>
      <c r="M2002" s="928"/>
      <c r="N2002" s="928"/>
      <c r="O2002" s="931"/>
      <c r="P2002" s="928"/>
      <c r="Q2002" s="932"/>
      <c r="R2002" s="933"/>
      <c r="S2002" s="932"/>
      <c r="T2002" s="560"/>
      <c r="U2002" s="934"/>
      <c r="AL2002"/>
    </row>
    <row r="2003" spans="1:41" s="935" customFormat="1" ht="11.4">
      <c r="A2003" s="936">
        <v>0</v>
      </c>
      <c r="B2003" s="937">
        <v>1</v>
      </c>
      <c r="C2003" s="937">
        <f>$A2003*$B2003</f>
        <v>0</v>
      </c>
      <c r="D2003" s="938" t="str">
        <f>Elec_Rates!$D$217</f>
        <v>016# Installation of sensors on AHUs</v>
      </c>
      <c r="E2003" s="938"/>
      <c r="F2003" s="938" t="s">
        <v>737</v>
      </c>
      <c r="G2003" s="939" t="s">
        <v>738</v>
      </c>
      <c r="H2003" s="939"/>
      <c r="I2003" s="939"/>
      <c r="J2003" s="939"/>
      <c r="K2003" s="940"/>
      <c r="L2003" s="934"/>
      <c r="M2003" s="934"/>
      <c r="N2003" s="934"/>
      <c r="O2003" s="941"/>
      <c r="P2003" s="938"/>
      <c r="Q2003" s="942">
        <f ca="1">$B2003*Elec_Rates!$R$217</f>
        <v>354.24</v>
      </c>
      <c r="R2003" s="933">
        <f ca="1">$A2003*Q2003</f>
        <v>0</v>
      </c>
      <c r="S2003" s="942">
        <f ca="1">$B2003*Elec_Rates!$T$217</f>
        <v>17.989999999999998</v>
      </c>
      <c r="T2003" s="560">
        <f ca="1">$A2003*S2003</f>
        <v>0</v>
      </c>
      <c r="U2003" s="484"/>
      <c r="AL2003" s="936">
        <v>1</v>
      </c>
    </row>
    <row r="2004" spans="1:41" s="501" customFormat="1" ht="14.4" customHeight="1">
      <c r="A2004" s="767"/>
      <c r="B2004" s="567"/>
      <c r="C2004" s="567"/>
      <c r="D2004" s="567"/>
      <c r="E2004" s="567"/>
      <c r="F2004" s="567"/>
      <c r="G2004" s="567"/>
      <c r="H2004" s="764"/>
      <c r="I2004" s="567"/>
      <c r="J2004" s="45"/>
      <c r="K2004" s="769"/>
      <c r="L2004" s="770"/>
      <c r="M2004" s="567"/>
      <c r="N2004" s="567"/>
      <c r="O2004" s="45"/>
      <c r="P2004" s="567"/>
      <c r="Q2004" s="567"/>
      <c r="R2004" s="771">
        <f>$A2004*Q2004</f>
        <v>0</v>
      </c>
      <c r="S2004" s="567"/>
      <c r="T2004" s="500">
        <f>$A2004*S2004*$T$1</f>
        <v>0</v>
      </c>
      <c r="AL2004" s="767"/>
    </row>
    <row r="2005" spans="1:41" s="501" customFormat="1" ht="12">
      <c r="A2005" s="772" t="s">
        <v>145</v>
      </c>
      <c r="B2005" s="773">
        <f>(R2004+T2004)</f>
        <v>0</v>
      </c>
      <c r="C2005" s="753"/>
      <c r="G2005" s="774"/>
      <c r="H2005" s="774"/>
      <c r="I2005" s="774"/>
      <c r="J2005" s="774"/>
      <c r="K2005" s="750" t="s">
        <v>3</v>
      </c>
      <c r="L2005" s="775" t="s">
        <v>573</v>
      </c>
      <c r="M2005" s="774"/>
      <c r="N2005" s="774"/>
      <c r="O2005" s="774"/>
      <c r="P2005" s="774"/>
      <c r="Q2005" s="776"/>
      <c r="R2005" s="777">
        <f ca="1">SUM(R1993:R2004)</f>
        <v>0</v>
      </c>
      <c r="S2005" s="778"/>
      <c r="T2005" s="777">
        <f ca="1">SUM(T1993:T2004)</f>
        <v>0</v>
      </c>
      <c r="AG2005" s="779">
        <f ca="1">ROUND($R2005*$S$2,2)</f>
        <v>0</v>
      </c>
      <c r="AL2005" s="772" t="s">
        <v>145</v>
      </c>
    </row>
    <row r="2006" spans="1:41" s="501" customFormat="1" ht="12" customHeight="1">
      <c r="A2006" s="760"/>
      <c r="B2006" s="780"/>
      <c r="C2006" s="781"/>
      <c r="D2006" s="782" t="str">
        <f>$F$3</f>
        <v>Technician</v>
      </c>
      <c r="E2006" s="782">
        <f>ROUND(($R2009*$S$3 + ($T2009*$T$3)), 2)</f>
        <v>0</v>
      </c>
      <c r="F2006" s="783">
        <f>$E2006*$C$12</f>
        <v>0</v>
      </c>
      <c r="G2006" s="499"/>
      <c r="H2006" s="499"/>
      <c r="I2006" s="499"/>
      <c r="J2006" s="499"/>
      <c r="K2006" s="765" t="s">
        <v>5</v>
      </c>
      <c r="L2006" s="766" t="s">
        <v>573</v>
      </c>
      <c r="M2006" s="499"/>
      <c r="N2006" s="499"/>
      <c r="O2006" s="499"/>
      <c r="P2006" s="499"/>
      <c r="Q2006" s="499"/>
      <c r="R2006" s="784"/>
      <c r="S2006" s="499"/>
      <c r="T2006" s="784"/>
      <c r="AL2006" s="760"/>
    </row>
    <row r="2007" spans="1:41" s="893" customFormat="1" ht="13.2">
      <c r="A2007">
        <v>0</v>
      </c>
      <c r="B2007" s="893" t="s">
        <v>141</v>
      </c>
      <c r="D2007" s="893" t="s">
        <v>767</v>
      </c>
      <c r="E2007" s="893" t="s">
        <v>770</v>
      </c>
      <c r="F2007" s="893" t="s">
        <v>769</v>
      </c>
      <c r="G2007" s="894" t="s">
        <v>768</v>
      </c>
      <c r="H2007" s="895">
        <v>570</v>
      </c>
      <c r="I2007" s="893" t="s">
        <v>643</v>
      </c>
      <c r="O2007" s="896">
        <v>2</v>
      </c>
      <c r="P2007" s="897">
        <v>38443</v>
      </c>
      <c r="Q2007" s="898">
        <v>2500</v>
      </c>
      <c r="R2007" s="899">
        <f>$A2007*Q2007</f>
        <v>0</v>
      </c>
      <c r="S2007" s="898">
        <f>200/25</f>
        <v>8</v>
      </c>
      <c r="T2007" s="900">
        <f>$A2007*S2007*$T$1</f>
        <v>0</v>
      </c>
      <c r="AL2007">
        <v>1</v>
      </c>
    </row>
    <row r="2008" spans="1:41" s="501" customFormat="1" ht="15.6" customHeight="1">
      <c r="A2008" s="767"/>
      <c r="B2008" s="567"/>
      <c r="C2008" s="567"/>
      <c r="D2008" s="3"/>
      <c r="E2008" s="567"/>
      <c r="F2008" s="567"/>
      <c r="G2008" s="567"/>
      <c r="H2008" s="567"/>
      <c r="I2008" s="567"/>
      <c r="J2008" s="567"/>
      <c r="K2008" s="567"/>
      <c r="L2008" s="770"/>
      <c r="M2008" s="567"/>
      <c r="N2008" s="567"/>
      <c r="O2008" s="567"/>
      <c r="P2008" s="567"/>
      <c r="Q2008" s="567"/>
      <c r="R2008" s="771">
        <f>$A2008*Q2008</f>
        <v>0</v>
      </c>
      <c r="S2008" s="567"/>
      <c r="T2008" s="500">
        <f>$A2008*S2008*$T$1</f>
        <v>0</v>
      </c>
      <c r="AL2008" s="767"/>
    </row>
    <row r="2009" spans="1:41" s="501" customFormat="1" ht="12">
      <c r="A2009" s="772" t="s">
        <v>145</v>
      </c>
      <c r="B2009" s="773">
        <f>(R2008+T2008)</f>
        <v>0</v>
      </c>
      <c r="C2009" s="753"/>
      <c r="G2009" s="774"/>
      <c r="H2009" s="774"/>
      <c r="I2009" s="774"/>
      <c r="J2009" s="774"/>
      <c r="K2009" s="798" t="s">
        <v>5</v>
      </c>
      <c r="L2009" s="775" t="s">
        <v>573</v>
      </c>
      <c r="M2009" s="774"/>
      <c r="N2009" s="774"/>
      <c r="O2009" s="774"/>
      <c r="P2009" s="774"/>
      <c r="Q2009" s="776"/>
      <c r="R2009" s="777">
        <f>SUM(R2006:R2008)</f>
        <v>0</v>
      </c>
      <c r="S2009" s="778"/>
      <c r="T2009" s="777">
        <f>SUM(T2006:T2008)</f>
        <v>0</v>
      </c>
      <c r="AG2009" s="799">
        <f>ROUND($R2009*$S$3,2)</f>
        <v>0</v>
      </c>
      <c r="AL2009" s="772" t="s">
        <v>145</v>
      </c>
    </row>
    <row r="2010" spans="1:41" s="501" customFormat="1" ht="12" customHeight="1">
      <c r="A2010" s="800"/>
      <c r="B2010" s="801"/>
      <c r="C2010" s="802"/>
      <c r="D2010" s="803" t="str">
        <f>$F$4</f>
        <v>Engineer (Man Hours)</v>
      </c>
      <c r="E2010" s="803">
        <f>ROUND(($R2013*$S$4 + ($T2013*$T$4)), 2)</f>
        <v>0</v>
      </c>
      <c r="F2010" s="804">
        <f ca="1">$F1990-SUMIF($L1992:$P2007,"SUBI",$F1992:$F2007)</f>
        <v>0</v>
      </c>
      <c r="G2010" s="499"/>
      <c r="H2010" s="499"/>
      <c r="I2010" s="499"/>
      <c r="J2010" s="499"/>
      <c r="K2010" s="805" t="s">
        <v>8</v>
      </c>
      <c r="L2010" s="766" t="s">
        <v>573</v>
      </c>
      <c r="M2010" s="499"/>
      <c r="N2010" s="499"/>
      <c r="O2010" s="499"/>
      <c r="P2010" s="499"/>
      <c r="Q2010" s="499"/>
      <c r="R2010" s="784"/>
      <c r="S2010" s="499"/>
      <c r="T2010" s="784"/>
      <c r="AL2010" s="800"/>
    </row>
    <row r="2011" spans="1:41" s="893" customFormat="1" ht="13.2">
      <c r="A2011">
        <v>0</v>
      </c>
      <c r="B2011" s="893" t="s">
        <v>141</v>
      </c>
      <c r="D2011" s="893" t="s">
        <v>767</v>
      </c>
      <c r="E2011" s="893" t="s">
        <v>771</v>
      </c>
      <c r="F2011" s="893" t="s">
        <v>769</v>
      </c>
      <c r="G2011" s="894" t="s">
        <v>768</v>
      </c>
      <c r="H2011" s="895">
        <v>570</v>
      </c>
      <c r="I2011" s="893" t="s">
        <v>643</v>
      </c>
      <c r="O2011" s="896">
        <v>2</v>
      </c>
      <c r="P2011" s="897">
        <v>38443</v>
      </c>
      <c r="Q2011" s="898"/>
      <c r="R2011" s="899">
        <f>$A2011*Q2011</f>
        <v>0</v>
      </c>
      <c r="S2011" s="898">
        <f>100/25</f>
        <v>4</v>
      </c>
      <c r="T2011" s="900">
        <f>$A2011*S2011*$T$1</f>
        <v>0</v>
      </c>
      <c r="AL2011">
        <v>1</v>
      </c>
    </row>
    <row r="2012" spans="1:41" s="501" customFormat="1" ht="12">
      <c r="A2012" s="44"/>
      <c r="B2012" s="497"/>
      <c r="C2012" s="497"/>
      <c r="D2012" s="807"/>
      <c r="E2012" s="808"/>
      <c r="F2012" s="499"/>
      <c r="G2012" s="499"/>
      <c r="H2012" s="499"/>
      <c r="I2012" s="499"/>
      <c r="J2012" s="499"/>
      <c r="K2012" s="499"/>
      <c r="L2012" s="809"/>
      <c r="M2012" s="499"/>
      <c r="N2012" s="499"/>
      <c r="O2012" s="499"/>
      <c r="P2012" s="499"/>
      <c r="Q2012" s="499"/>
      <c r="R2012" s="720">
        <f>$A2012*Q2012</f>
        <v>0</v>
      </c>
      <c r="S2012" s="499"/>
      <c r="T2012" s="500">
        <f>$A2012*S2012*$T$1</f>
        <v>0</v>
      </c>
    </row>
    <row r="2013" spans="1:41" s="501" customFormat="1" ht="12.75" customHeight="1">
      <c r="A2013" s="772" t="s">
        <v>145</v>
      </c>
      <c r="B2013" s="773">
        <f>(R2012+T2012)</f>
        <v>0</v>
      </c>
      <c r="C2013" s="810"/>
      <c r="D2013" s="810"/>
      <c r="E2013" s="810"/>
      <c r="F2013" s="810"/>
      <c r="G2013" s="776"/>
      <c r="H2013" s="776"/>
      <c r="I2013" s="776"/>
      <c r="J2013" s="776"/>
      <c r="K2013" s="798" t="s">
        <v>8</v>
      </c>
      <c r="L2013" s="811" t="s">
        <v>573</v>
      </c>
      <c r="M2013" s="776"/>
      <c r="N2013" s="776"/>
      <c r="O2013" s="776"/>
      <c r="P2013" s="776"/>
      <c r="Q2013" s="776"/>
      <c r="R2013" s="777">
        <f>SUM(R2010:R2012)</f>
        <v>0</v>
      </c>
      <c r="S2013" s="778"/>
      <c r="T2013" s="777">
        <f>SUM(T2010:T2012)</f>
        <v>0</v>
      </c>
      <c r="AG2013" s="812">
        <f>ROUND($R2013*$S$4,2)</f>
        <v>0</v>
      </c>
    </row>
    <row r="2014" spans="1:41" s="501" customFormat="1" ht="12.75" customHeight="1">
      <c r="A2014" s="813"/>
      <c r="B2014" s="814"/>
      <c r="E2014" s="497"/>
      <c r="F2014" s="808"/>
      <c r="G2014" s="497"/>
      <c r="H2014" s="497"/>
      <c r="I2014" s="499"/>
      <c r="J2014" s="497"/>
      <c r="K2014" s="497"/>
      <c r="L2014" s="815"/>
      <c r="M2014" s="725"/>
      <c r="N2014" s="725"/>
      <c r="O2014" s="725"/>
      <c r="P2014" s="725"/>
      <c r="Q2014" s="726"/>
      <c r="R2014" s="784"/>
      <c r="S2014" s="497"/>
      <c r="T2014" s="784"/>
    </row>
    <row r="2015" spans="1:41" s="501" customFormat="1" ht="13.5" customHeight="1" thickBot="1">
      <c r="A2015" s="816"/>
      <c r="B2015" s="817"/>
      <c r="C2015" s="518"/>
      <c r="D2015" s="518"/>
      <c r="E2015" s="515"/>
      <c r="F2015" s="721"/>
      <c r="G2015" s="515" t="s">
        <v>146</v>
      </c>
      <c r="H2015" s="515"/>
      <c r="I2015" s="516"/>
      <c r="J2015" s="515"/>
      <c r="K2015" s="515"/>
      <c r="L2015" s="818" t="s">
        <v>143</v>
      </c>
      <c r="M2015" s="517"/>
      <c r="N2015" s="517"/>
      <c r="O2015" s="517"/>
      <c r="P2015" s="517"/>
      <c r="Q2015" s="722"/>
      <c r="R2015" s="819">
        <f ca="1">SUMIF($L1991:$L2014,"SUBI",R1991:R2014)</f>
        <v>0</v>
      </c>
      <c r="S2015" s="820"/>
      <c r="T2015" s="819">
        <f ca="1">SUMIF($L1991:$L2014,"SUBI",T1991:T2014)</f>
        <v>0</v>
      </c>
      <c r="U2015" s="518"/>
      <c r="V2015" s="518"/>
      <c r="W2015" s="518"/>
      <c r="X2015" s="518"/>
      <c r="Y2015" s="518"/>
      <c r="Z2015" s="518"/>
      <c r="AA2015" s="518"/>
      <c r="AB2015" s="518"/>
      <c r="AC2015" s="518"/>
      <c r="AD2015" s="518"/>
      <c r="AE2015" s="518"/>
      <c r="AF2015" s="518"/>
      <c r="AG2015" s="518"/>
      <c r="AH2015" s="518"/>
      <c r="AI2015" s="518"/>
      <c r="AJ2015" s="518"/>
      <c r="AK2015" s="518"/>
      <c r="AL2015" s="518"/>
      <c r="AM2015" s="518"/>
      <c r="AN2015" s="518"/>
      <c r="AO2015" s="518"/>
    </row>
    <row r="2016" spans="1:41" s="501" customFormat="1" thickTop="1">
      <c r="A2016" s="44"/>
      <c r="B2016" s="44"/>
      <c r="C2016" s="3"/>
      <c r="D2016" s="3"/>
      <c r="E2016" s="44"/>
      <c r="F2016" s="44"/>
      <c r="G2016" s="44"/>
      <c r="H2016" s="44"/>
      <c r="I2016" s="44"/>
      <c r="J2016" s="44"/>
      <c r="K2016" s="44" t="s">
        <v>134</v>
      </c>
      <c r="L2016" s="44"/>
      <c r="M2016" s="44"/>
      <c r="N2016" s="44"/>
      <c r="O2016" s="45"/>
      <c r="P2016" s="44"/>
      <c r="Q2016" s="44"/>
      <c r="R2016" s="44"/>
      <c r="S2016" s="44"/>
      <c r="T2016" s="44"/>
    </row>
    <row r="2017" spans="1:41" s="501" customFormat="1" ht="12">
      <c r="A2017" s="44"/>
      <c r="B2017" s="44"/>
      <c r="C2017" s="44" t="s">
        <v>135</v>
      </c>
      <c r="D2017" s="35"/>
      <c r="E2017" s="44"/>
      <c r="F2017" s="44"/>
      <c r="G2017" s="44"/>
      <c r="H2017" s="44"/>
      <c r="I2017" s="44"/>
      <c r="J2017" s="44"/>
      <c r="K2017" s="44"/>
      <c r="L2017" s="44"/>
      <c r="M2017" s="44"/>
      <c r="N2017" s="44"/>
      <c r="O2017" s="45"/>
      <c r="P2017" s="44"/>
      <c r="Q2017" s="44"/>
      <c r="R2017" s="44"/>
      <c r="S2017" s="44"/>
      <c r="T2017" s="44"/>
    </row>
    <row r="2018" spans="1:41" s="501" customFormat="1" ht="12">
      <c r="A2018" s="44"/>
      <c r="B2018" s="44"/>
      <c r="C2018" s="44"/>
      <c r="D2018" s="35" t="s">
        <v>510</v>
      </c>
      <c r="E2018" s="44"/>
      <c r="F2018" s="44"/>
      <c r="G2018" s="44"/>
      <c r="H2018" s="44"/>
      <c r="I2018" s="44"/>
      <c r="J2018" s="44"/>
      <c r="K2018" s="44"/>
      <c r="L2018" s="44"/>
      <c r="M2018" s="44"/>
      <c r="N2018" s="44"/>
      <c r="O2018" s="45"/>
      <c r="P2018" s="44"/>
      <c r="Q2018" s="44"/>
      <c r="R2018" s="44"/>
      <c r="S2018" s="36"/>
      <c r="T2018" s="36"/>
    </row>
    <row r="2019" spans="1:41" s="3" customFormat="1" thickBot="1">
      <c r="A2019" s="518"/>
      <c r="O2019" s="86"/>
    </row>
    <row r="2020" spans="1:41" s="501" customFormat="1" thickTop="1">
      <c r="A2020" s="44"/>
      <c r="B2020" s="39"/>
      <c r="C2020" s="44"/>
      <c r="E2020" s="40" t="s">
        <v>138</v>
      </c>
      <c r="F2020" s="40" t="s">
        <v>139</v>
      </c>
      <c r="G2020" s="44"/>
      <c r="H2020" s="44"/>
      <c r="I2020" s="44"/>
      <c r="J2020" s="44"/>
      <c r="K2020" s="44" t="s">
        <v>140</v>
      </c>
      <c r="L2020" s="737"/>
      <c r="M2020" s="44"/>
      <c r="N2020" s="44"/>
      <c r="O2020" s="45"/>
      <c r="P2020" s="44"/>
      <c r="Q2020"/>
      <c r="R2020"/>
      <c r="S2020"/>
      <c r="T2020" s="39"/>
      <c r="AG2020" s="502" t="s">
        <v>247</v>
      </c>
      <c r="AH2020" s="502" t="s">
        <v>248</v>
      </c>
      <c r="AI2020" s="502" t="s">
        <v>249</v>
      </c>
      <c r="AJ2020" s="502" t="s">
        <v>250</v>
      </c>
      <c r="AK2020" s="502" t="s">
        <v>251</v>
      </c>
      <c r="AM2020" s="710" t="s">
        <v>260</v>
      </c>
      <c r="AN2020" s="711" t="s">
        <v>261</v>
      </c>
      <c r="AO2020" s="503" t="s">
        <v>257</v>
      </c>
    </row>
    <row r="2021" spans="1:41" s="501" customFormat="1" ht="13.2">
      <c r="A2021" s="712">
        <v>1</v>
      </c>
      <c r="B2021" s="504" t="s">
        <v>283</v>
      </c>
      <c r="C2021" s="505"/>
      <c r="D2021" s="713" t="s">
        <v>609</v>
      </c>
      <c r="E2021" s="738">
        <f ca="1">IF(AND($A2021=0,$A$1="DIF"),0,ROUND(ROUND(SUMIF($L2023:$L2041,"SUBI",$E2023:$E2041)/$A2021,2)*$C$12,2))</f>
        <v>0</v>
      </c>
      <c r="F2021" s="739">
        <f ca="1">ROUND($A2021*$E2021,2)</f>
        <v>0</v>
      </c>
      <c r="G2021" s="506" t="s">
        <v>142</v>
      </c>
      <c r="H2021" s="498"/>
      <c r="I2021" s="716"/>
      <c r="J2021" s="498"/>
      <c r="K2021" s="740"/>
      <c r="L2021" s="741" t="s">
        <v>143</v>
      </c>
      <c r="M2021" s="717"/>
      <c r="N2021" s="717"/>
      <c r="O2021" s="717"/>
      <c r="P2021" s="717"/>
      <c r="Q2021" s="943" t="s">
        <v>855</v>
      </c>
      <c r="R2021" s="943" t="s">
        <v>1105</v>
      </c>
      <c r="S2021"/>
      <c r="T2021" s="742" t="str">
        <f ca="1">IF(AND($R2046=0,$T2046=0),"0.00","mu :" &amp; ROUND($F2021/$C$12/($R2046+$T2046*$D$9),2))</f>
        <v>0.00</v>
      </c>
      <c r="W2021" s="507"/>
      <c r="AG2021" s="743">
        <f ca="1">IF(A2021=0,0,ROUND(SUM(AG2023:AG2046)/A2021,2))</f>
        <v>0</v>
      </c>
      <c r="AH2021" s="743">
        <f ca="1">$AG2021*$A2021</f>
        <v>0</v>
      </c>
      <c r="AI2021" s="743">
        <f ca="1">$E2021-$AG2021</f>
        <v>0</v>
      </c>
      <c r="AJ2021" s="743">
        <f ca="1">$A2021*$AI2021</f>
        <v>0</v>
      </c>
      <c r="AK2021" s="744">
        <f ca="1">ROUND(($AG2021+$AI2021)*$A2021,2)</f>
        <v>0</v>
      </c>
      <c r="AM2021" s="510">
        <f ca="1">ROUND(R2046,2)</f>
        <v>0</v>
      </c>
      <c r="AN2021" s="511">
        <f ca="1">ROUND(T2046,2)</f>
        <v>0</v>
      </c>
      <c r="AO2021" s="512">
        <f ca="1">ROUND(AM2021+AN2021,2)*A2021</f>
        <v>0</v>
      </c>
    </row>
    <row r="2022" spans="1:41" s="501" customFormat="1" ht="39.9" customHeight="1">
      <c r="A2022" s="745"/>
      <c r="B2022" s="746"/>
      <c r="C2022" s="505"/>
      <c r="D2022" s="1183" t="s">
        <v>511</v>
      </c>
      <c r="E2022" s="1184"/>
      <c r="F2022" s="1184"/>
      <c r="G2022" s="1184"/>
      <c r="H2022" s="1184"/>
      <c r="I2022" s="1184"/>
      <c r="J2022" s="1184"/>
      <c r="K2022" s="1184"/>
      <c r="L2022" s="1184"/>
      <c r="M2022" s="1184"/>
      <c r="N2022" s="1184"/>
      <c r="O2022" s="1184"/>
      <c r="P2022" s="1184"/>
      <c r="Q2022" s="1184"/>
      <c r="R2022" s="1184"/>
      <c r="S2022" s="1184"/>
      <c r="T2022" s="1184"/>
    </row>
    <row r="2023" spans="1:41" s="501" customFormat="1" ht="12">
      <c r="A2023" s="748"/>
      <c r="B2023" s="749"/>
      <c r="C2023" s="497"/>
      <c r="D2023" s="750"/>
      <c r="E2023" s="751">
        <f ca="1">F2021/$C$12-SUMIF($L2020:$L2046,"SUBI",$E2020:$E2046)</f>
        <v>0</v>
      </c>
      <c r="F2023" s="752" t="s">
        <v>572</v>
      </c>
      <c r="G2023" s="753"/>
      <c r="H2023" s="753"/>
      <c r="I2023" s="754"/>
      <c r="J2023" s="753"/>
      <c r="K2023" s="753"/>
      <c r="L2023" s="755"/>
      <c r="M2023" s="756"/>
      <c r="N2023" s="756"/>
      <c r="O2023" s="756"/>
      <c r="P2023" s="756"/>
      <c r="Q2023" s="757"/>
      <c r="R2023" s="758"/>
      <c r="S2023" s="757"/>
      <c r="T2023" s="759"/>
    </row>
    <row r="2024" spans="1:41" s="501" customFormat="1" ht="12" customHeight="1">
      <c r="A2024" s="760"/>
      <c r="B2024" s="761"/>
      <c r="C2024" s="762"/>
      <c r="D2024" s="762" t="str">
        <f>$F$2</f>
        <v>Electrical</v>
      </c>
      <c r="E2024" s="762">
        <f ca="1">ROUND(($R2036*$S$2 + ($T2036*$T$2)), 2)</f>
        <v>0</v>
      </c>
      <c r="F2024" s="763">
        <f ca="1">$E2024*$C$12</f>
        <v>0</v>
      </c>
      <c r="G2024" s="567"/>
      <c r="H2024" s="764"/>
      <c r="I2024" s="567"/>
      <c r="J2024" s="45"/>
      <c r="K2024" s="765" t="s">
        <v>3</v>
      </c>
      <c r="L2024" s="766" t="s">
        <v>573</v>
      </c>
      <c r="M2024" s="567"/>
      <c r="N2024" s="567"/>
      <c r="O2024" s="45"/>
      <c r="P2024" s="567"/>
      <c r="Q2024" s="567"/>
      <c r="R2024"/>
      <c r="S2024"/>
      <c r="T2024"/>
    </row>
    <row r="2025" spans="1:41" s="935" customFormat="1" ht="13.2">
      <c r="A2025"/>
      <c r="B2025" s="927"/>
      <c r="C2025" s="927" t="s">
        <v>735</v>
      </c>
      <c r="D2025" s="927" t="str">
        <f ca="1">CELL("Address",Elec_Rates!D$143)</f>
        <v>[E25_0465_IH_Retro_Elec4Mech_Est_Rev_A.xlsx]Elec_Rates!$D$143</v>
      </c>
      <c r="E2025" s="928"/>
      <c r="F2025" s="928"/>
      <c r="G2025" s="929" t="s">
        <v>736</v>
      </c>
      <c r="H2025" s="929"/>
      <c r="I2025" s="929"/>
      <c r="J2025" s="929"/>
      <c r="K2025" s="930"/>
      <c r="L2025" s="928"/>
      <c r="M2025" s="928"/>
      <c r="N2025" s="928"/>
      <c r="O2025" s="931"/>
      <c r="P2025" s="928"/>
      <c r="Q2025" s="932"/>
      <c r="R2025" s="933"/>
      <c r="S2025" s="932"/>
      <c r="T2025" s="560"/>
      <c r="U2025" s="934"/>
    </row>
    <row r="2026" spans="1:41" s="935" customFormat="1" ht="11.4">
      <c r="A2026" s="936">
        <v>0</v>
      </c>
      <c r="B2026" s="937">
        <v>1</v>
      </c>
      <c r="C2026" s="937">
        <f>$A2026*$B2026</f>
        <v>0</v>
      </c>
      <c r="D2026" s="938" t="str">
        <f>Elec_Rates!$D$143</f>
        <v>011# Power supply to control panel (4core x 4.0sqmm) and VDS by pass in MCC</v>
      </c>
      <c r="E2026" s="938"/>
      <c r="F2026" s="938" t="s">
        <v>737</v>
      </c>
      <c r="G2026" s="939" t="s">
        <v>738</v>
      </c>
      <c r="H2026" s="939"/>
      <c r="I2026" s="939"/>
      <c r="J2026" s="939"/>
      <c r="K2026" s="940"/>
      <c r="L2026" s="934"/>
      <c r="M2026" s="934"/>
      <c r="N2026" s="934"/>
      <c r="O2026" s="941"/>
      <c r="P2026" s="938"/>
      <c r="Q2026" s="942">
        <f ca="1">$B2026*Elec_Rates!$R$143</f>
        <v>74.239999999999995</v>
      </c>
      <c r="R2026" s="933">
        <f ca="1">$A2026*Q2026</f>
        <v>0</v>
      </c>
      <c r="S2026" s="942">
        <f ca="1">$B2026*Elec_Rates!$T$143</f>
        <v>3.17</v>
      </c>
      <c r="T2026" s="560">
        <f ca="1">$A2026*S2026</f>
        <v>0</v>
      </c>
      <c r="U2026" s="484"/>
      <c r="AL2026" s="936">
        <v>1</v>
      </c>
    </row>
    <row r="2027" spans="1:41" s="935" customFormat="1" ht="13.2">
      <c r="A2027"/>
      <c r="B2027" s="927"/>
      <c r="C2027" s="927" t="s">
        <v>735</v>
      </c>
      <c r="D2027" s="927" t="str">
        <f ca="1">CELL("Address",Elec_Rates!D$196)</f>
        <v>[E25_0465_IH_Retro_Elec4Mech_Est_Rev_A.xlsx]Elec_Rates!$D$196</v>
      </c>
      <c r="E2027" s="928"/>
      <c r="F2027" s="928"/>
      <c r="G2027" s="929" t="s">
        <v>736</v>
      </c>
      <c r="H2027" s="929"/>
      <c r="I2027" s="929"/>
      <c r="J2027" s="929"/>
      <c r="K2027" s="930"/>
      <c r="L2027" s="928"/>
      <c r="M2027" s="928"/>
      <c r="N2027" s="928"/>
      <c r="O2027" s="931"/>
      <c r="P2027" s="928"/>
      <c r="Q2027" s="932"/>
      <c r="R2027" s="933"/>
      <c r="S2027" s="932"/>
      <c r="T2027" s="560"/>
      <c r="U2027" s="934"/>
      <c r="AL2027"/>
    </row>
    <row r="2028" spans="1:41" s="935" customFormat="1" ht="11.4">
      <c r="A2028" s="936">
        <v>0</v>
      </c>
      <c r="B2028" s="937">
        <v>1</v>
      </c>
      <c r="C2028" s="937">
        <f>$A2028*$B2028</f>
        <v>0</v>
      </c>
      <c r="D2028" s="938" t="str">
        <f>Elec_Rates!$D$196</f>
        <v>013# Installation of Rosenger control panel</v>
      </c>
      <c r="E2028" s="938"/>
      <c r="F2028" s="938" t="s">
        <v>737</v>
      </c>
      <c r="G2028" s="939" t="s">
        <v>739</v>
      </c>
      <c r="H2028" s="939"/>
      <c r="I2028" s="939"/>
      <c r="J2028" s="939"/>
      <c r="K2028" s="940"/>
      <c r="L2028" s="934"/>
      <c r="M2028" s="934"/>
      <c r="N2028" s="934"/>
      <c r="O2028" s="941"/>
      <c r="P2028" s="938"/>
      <c r="Q2028" s="942">
        <f ca="1">$B2028*Elec_Rates!$R$196</f>
        <v>20</v>
      </c>
      <c r="R2028" s="933">
        <f ca="1">$A2028*Q2028</f>
        <v>0</v>
      </c>
      <c r="S2028" s="942">
        <f ca="1">$B2028*Elec_Rates!$T$196</f>
        <v>2</v>
      </c>
      <c r="T2028" s="560">
        <f ca="1">$A2028*S2028</f>
        <v>0</v>
      </c>
      <c r="U2028" s="484"/>
      <c r="AL2028" s="936">
        <v>1</v>
      </c>
    </row>
    <row r="2029" spans="1:41" s="935" customFormat="1" ht="13.2">
      <c r="A2029"/>
      <c r="B2029" s="927"/>
      <c r="C2029" s="927" t="s">
        <v>735</v>
      </c>
      <c r="D2029" s="927" t="str">
        <f ca="1">CELL("Address",Elec_Rates!D$203)</f>
        <v>[E25_0465_IH_Retro_Elec4Mech_Est_Rev_A.xlsx]Elec_Rates!$D$203</v>
      </c>
      <c r="E2029" s="928"/>
      <c r="F2029" s="928"/>
      <c r="G2029" s="929" t="s">
        <v>736</v>
      </c>
      <c r="H2029" s="929"/>
      <c r="I2029" s="929"/>
      <c r="J2029" s="929"/>
      <c r="K2029" s="930"/>
      <c r="L2029" s="928"/>
      <c r="M2029" s="928"/>
      <c r="N2029" s="928"/>
      <c r="O2029" s="931"/>
      <c r="P2029" s="928"/>
      <c r="Q2029" s="932"/>
      <c r="R2029" s="933"/>
      <c r="S2029" s="932"/>
      <c r="T2029" s="560"/>
      <c r="U2029" s="934"/>
      <c r="AL2029"/>
    </row>
    <row r="2030" spans="1:41" s="935" customFormat="1" ht="11.4">
      <c r="A2030" s="936">
        <v>0</v>
      </c>
      <c r="B2030" s="937">
        <v>1</v>
      </c>
      <c r="C2030" s="937">
        <f>$A2030*$B2030</f>
        <v>0</v>
      </c>
      <c r="D2030" s="938" t="str">
        <f>Elec_Rates!$D$203</f>
        <v>014# Installation of cable harness to fans</v>
      </c>
      <c r="E2030" s="938"/>
      <c r="F2030" s="938" t="s">
        <v>737</v>
      </c>
      <c r="G2030" s="939" t="s">
        <v>738</v>
      </c>
      <c r="H2030" s="939"/>
      <c r="I2030" s="939"/>
      <c r="J2030" s="939"/>
      <c r="K2030" s="940"/>
      <c r="L2030" s="934"/>
      <c r="M2030" s="934"/>
      <c r="N2030" s="934"/>
      <c r="O2030" s="941"/>
      <c r="P2030" s="938"/>
      <c r="Q2030" s="942">
        <f ca="1">$B2030*Elec_Rates!$R$203</f>
        <v>20</v>
      </c>
      <c r="R2030" s="933">
        <f ca="1">$A2030*Q2030</f>
        <v>0</v>
      </c>
      <c r="S2030" s="942">
        <f ca="1">$B2030*Elec_Rates!$T$203</f>
        <v>1</v>
      </c>
      <c r="T2030" s="560">
        <f ca="1">$A2030*S2030</f>
        <v>0</v>
      </c>
      <c r="U2030" s="484"/>
      <c r="AL2030" s="936">
        <v>2</v>
      </c>
    </row>
    <row r="2031" spans="1:41" s="935" customFormat="1" ht="13.2">
      <c r="A2031"/>
      <c r="B2031" s="927"/>
      <c r="C2031" s="927" t="s">
        <v>735</v>
      </c>
      <c r="D2031" s="927" t="str">
        <f ca="1">CELL("Address",Elec_Rates!D$210)</f>
        <v>[E25_0465_IH_Retro_Elec4Mech_Est_Rev_A.xlsx]Elec_Rates!$D$210</v>
      </c>
      <c r="E2031" s="928"/>
      <c r="F2031" s="928"/>
      <c r="G2031" s="929" t="s">
        <v>736</v>
      </c>
      <c r="H2031" s="929"/>
      <c r="I2031" s="929"/>
      <c r="J2031" s="929"/>
      <c r="K2031" s="930"/>
      <c r="L2031" s="928"/>
      <c r="M2031" s="928"/>
      <c r="N2031" s="928"/>
      <c r="O2031" s="931"/>
      <c r="P2031" s="928"/>
      <c r="Q2031" s="932"/>
      <c r="R2031" s="933"/>
      <c r="S2031" s="932"/>
      <c r="T2031" s="560"/>
      <c r="U2031" s="934"/>
      <c r="AL2031"/>
    </row>
    <row r="2032" spans="1:41" s="935" customFormat="1" ht="11.4">
      <c r="A2032" s="936">
        <v>0</v>
      </c>
      <c r="B2032" s="937">
        <v>1</v>
      </c>
      <c r="C2032" s="937">
        <f>$A2032*$B2032</f>
        <v>0</v>
      </c>
      <c r="D2032" s="938" t="str">
        <f>Elec_Rates!$D$210</f>
        <v>015# Installation of control panels by ECA</v>
      </c>
      <c r="E2032" s="938"/>
      <c r="F2032" s="938" t="s">
        <v>737</v>
      </c>
      <c r="G2032" s="939" t="s">
        <v>739</v>
      </c>
      <c r="H2032" s="939"/>
      <c r="I2032" s="939"/>
      <c r="J2032" s="939"/>
      <c r="K2032" s="940"/>
      <c r="L2032" s="934"/>
      <c r="M2032" s="934"/>
      <c r="N2032" s="934"/>
      <c r="O2032" s="941"/>
      <c r="P2032" s="938"/>
      <c r="Q2032" s="942">
        <f ca="1">$B2032*Elec_Rates!$R$210</f>
        <v>30</v>
      </c>
      <c r="R2032" s="933">
        <f ca="1">$A2032*Q2032</f>
        <v>0</v>
      </c>
      <c r="S2032" s="942">
        <f ca="1">$B2032*Elec_Rates!$T$210</f>
        <v>1</v>
      </c>
      <c r="T2032" s="560">
        <f ca="1">$A2032*S2032</f>
        <v>0</v>
      </c>
      <c r="U2032" s="484"/>
      <c r="AL2032" s="936">
        <v>1</v>
      </c>
    </row>
    <row r="2033" spans="1:41" s="935" customFormat="1" ht="13.2">
      <c r="A2033"/>
      <c r="B2033" s="927"/>
      <c r="C2033" s="927" t="s">
        <v>735</v>
      </c>
      <c r="D2033" s="927" t="str">
        <f ca="1">CELL("Address",Elec_Rates!D$217)</f>
        <v>[E25_0465_IH_Retro_Elec4Mech_Est_Rev_A.xlsx]Elec_Rates!$D$217</v>
      </c>
      <c r="E2033" s="928"/>
      <c r="F2033" s="928"/>
      <c r="G2033" s="929" t="s">
        <v>736</v>
      </c>
      <c r="H2033" s="929"/>
      <c r="I2033" s="929"/>
      <c r="J2033" s="929"/>
      <c r="K2033" s="930"/>
      <c r="L2033" s="928"/>
      <c r="M2033" s="928"/>
      <c r="N2033" s="928"/>
      <c r="O2033" s="931"/>
      <c r="P2033" s="928"/>
      <c r="Q2033" s="932"/>
      <c r="R2033" s="933"/>
      <c r="S2033" s="932"/>
      <c r="T2033" s="560"/>
      <c r="U2033" s="934"/>
      <c r="AL2033"/>
    </row>
    <row r="2034" spans="1:41" s="935" customFormat="1" ht="11.4">
      <c r="A2034" s="936">
        <v>0</v>
      </c>
      <c r="B2034" s="937">
        <v>1</v>
      </c>
      <c r="C2034" s="937">
        <f>$A2034*$B2034</f>
        <v>0</v>
      </c>
      <c r="D2034" s="938" t="str">
        <f>Elec_Rates!$D$217</f>
        <v>016# Installation of sensors on AHUs</v>
      </c>
      <c r="E2034" s="938"/>
      <c r="F2034" s="938" t="s">
        <v>737</v>
      </c>
      <c r="G2034" s="939" t="s">
        <v>738</v>
      </c>
      <c r="H2034" s="939"/>
      <c r="I2034" s="939"/>
      <c r="J2034" s="939"/>
      <c r="K2034" s="940"/>
      <c r="L2034" s="934"/>
      <c r="M2034" s="934"/>
      <c r="N2034" s="934"/>
      <c r="O2034" s="941"/>
      <c r="P2034" s="938"/>
      <c r="Q2034" s="942">
        <f ca="1">$B2034*Elec_Rates!$R$217</f>
        <v>354.24</v>
      </c>
      <c r="R2034" s="933">
        <f ca="1">$A2034*Q2034</f>
        <v>0</v>
      </c>
      <c r="S2034" s="942">
        <f ca="1">$B2034*Elec_Rates!$T$217</f>
        <v>17.989999999999998</v>
      </c>
      <c r="T2034" s="560">
        <f ca="1">$A2034*S2034</f>
        <v>0</v>
      </c>
      <c r="U2034" s="484"/>
      <c r="AL2034" s="936">
        <v>1</v>
      </c>
    </row>
    <row r="2035" spans="1:41" s="501" customFormat="1" ht="14.4" customHeight="1">
      <c r="A2035" s="767"/>
      <c r="B2035" s="567"/>
      <c r="C2035" s="567"/>
      <c r="D2035" s="567"/>
      <c r="E2035" s="567"/>
      <c r="F2035" s="567"/>
      <c r="G2035" s="567"/>
      <c r="H2035" s="764"/>
      <c r="I2035" s="567"/>
      <c r="J2035" s="45"/>
      <c r="K2035" s="769"/>
      <c r="L2035" s="770"/>
      <c r="M2035" s="567"/>
      <c r="N2035" s="567"/>
      <c r="O2035" s="45"/>
      <c r="P2035" s="567"/>
      <c r="Q2035" s="567"/>
      <c r="R2035" s="771">
        <f>$A2035*Q2035</f>
        <v>0</v>
      </c>
      <c r="S2035" s="567"/>
      <c r="T2035" s="500">
        <f>$A2035*S2035*$T$1</f>
        <v>0</v>
      </c>
      <c r="AL2035" s="767"/>
    </row>
    <row r="2036" spans="1:41" s="501" customFormat="1" ht="12">
      <c r="A2036" s="772" t="s">
        <v>145</v>
      </c>
      <c r="B2036" s="773">
        <f>(R2035+T2035)</f>
        <v>0</v>
      </c>
      <c r="C2036" s="753"/>
      <c r="G2036" s="774"/>
      <c r="H2036" s="774"/>
      <c r="I2036" s="774"/>
      <c r="J2036" s="774"/>
      <c r="K2036" s="750" t="s">
        <v>3</v>
      </c>
      <c r="L2036" s="775" t="s">
        <v>573</v>
      </c>
      <c r="M2036" s="774"/>
      <c r="N2036" s="774"/>
      <c r="O2036" s="774"/>
      <c r="P2036" s="774"/>
      <c r="Q2036" s="776"/>
      <c r="R2036" s="777">
        <f ca="1">SUM(R2024:R2035)</f>
        <v>0</v>
      </c>
      <c r="S2036" s="778"/>
      <c r="T2036" s="777">
        <f ca="1">SUM(T2024:T2035)</f>
        <v>0</v>
      </c>
      <c r="AG2036" s="779">
        <f ca="1">ROUND($R2036*$S$2,2)</f>
        <v>0</v>
      </c>
      <c r="AL2036" s="772" t="s">
        <v>145</v>
      </c>
    </row>
    <row r="2037" spans="1:41" s="501" customFormat="1" ht="12" customHeight="1">
      <c r="A2037" s="760"/>
      <c r="B2037" s="780"/>
      <c r="C2037" s="781"/>
      <c r="D2037" s="782" t="str">
        <f>$F$3</f>
        <v>Technician</v>
      </c>
      <c r="E2037" s="782">
        <f>ROUND(($R2040*$S$3 + ($T2040*$T$3)), 2)</f>
        <v>0</v>
      </c>
      <c r="F2037" s="783">
        <f>$E2037*$C$12</f>
        <v>0</v>
      </c>
      <c r="G2037" s="499"/>
      <c r="H2037" s="499"/>
      <c r="I2037" s="499"/>
      <c r="J2037" s="499"/>
      <c r="K2037" s="765" t="s">
        <v>5</v>
      </c>
      <c r="L2037" s="766" t="s">
        <v>573</v>
      </c>
      <c r="M2037" s="499"/>
      <c r="N2037" s="499"/>
      <c r="O2037" s="499"/>
      <c r="P2037" s="499"/>
      <c r="Q2037" s="499"/>
      <c r="R2037" s="784"/>
      <c r="S2037" s="499"/>
      <c r="T2037" s="784"/>
      <c r="AL2037" s="760"/>
    </row>
    <row r="2038" spans="1:41" s="893" customFormat="1" ht="13.2">
      <c r="A2038">
        <v>0</v>
      </c>
      <c r="B2038" s="893" t="s">
        <v>141</v>
      </c>
      <c r="D2038" s="893" t="s">
        <v>767</v>
      </c>
      <c r="E2038" s="893" t="s">
        <v>770</v>
      </c>
      <c r="F2038" s="893" t="s">
        <v>769</v>
      </c>
      <c r="G2038" s="894" t="s">
        <v>768</v>
      </c>
      <c r="H2038" s="895">
        <v>570</v>
      </c>
      <c r="I2038" s="893" t="s">
        <v>643</v>
      </c>
      <c r="O2038" s="896">
        <v>2</v>
      </c>
      <c r="P2038" s="897">
        <v>38443</v>
      </c>
      <c r="Q2038" s="898">
        <v>2500</v>
      </c>
      <c r="R2038" s="899">
        <f>$A2038*Q2038</f>
        <v>0</v>
      </c>
      <c r="S2038" s="898">
        <f>200/25</f>
        <v>8</v>
      </c>
      <c r="T2038" s="900">
        <f>$A2038*S2038*$T$1</f>
        <v>0</v>
      </c>
      <c r="AL2038">
        <v>1</v>
      </c>
    </row>
    <row r="2039" spans="1:41" s="501" customFormat="1" ht="15.6" customHeight="1">
      <c r="A2039" s="767"/>
      <c r="B2039" s="567"/>
      <c r="C2039" s="567"/>
      <c r="D2039" s="3"/>
      <c r="E2039" s="567"/>
      <c r="F2039" s="567"/>
      <c r="G2039" s="567"/>
      <c r="H2039" s="567"/>
      <c r="I2039" s="567"/>
      <c r="J2039" s="567"/>
      <c r="K2039" s="567"/>
      <c r="L2039" s="770"/>
      <c r="M2039" s="567"/>
      <c r="N2039" s="567"/>
      <c r="O2039" s="567"/>
      <c r="P2039" s="567"/>
      <c r="Q2039" s="567"/>
      <c r="R2039" s="771">
        <f>$A2039*Q2039</f>
        <v>0</v>
      </c>
      <c r="S2039" s="567"/>
      <c r="T2039" s="500">
        <f>$A2039*S2039*$T$1</f>
        <v>0</v>
      </c>
      <c r="AL2039" s="767"/>
    </row>
    <row r="2040" spans="1:41" s="501" customFormat="1" ht="12">
      <c r="A2040" s="772" t="s">
        <v>145</v>
      </c>
      <c r="B2040" s="773">
        <f>(R2039+T2039)</f>
        <v>0</v>
      </c>
      <c r="C2040" s="753"/>
      <c r="G2040" s="774"/>
      <c r="H2040" s="774"/>
      <c r="I2040" s="774"/>
      <c r="J2040" s="774"/>
      <c r="K2040" s="798" t="s">
        <v>5</v>
      </c>
      <c r="L2040" s="775" t="s">
        <v>573</v>
      </c>
      <c r="M2040" s="774"/>
      <c r="N2040" s="774"/>
      <c r="O2040" s="774"/>
      <c r="P2040" s="774"/>
      <c r="Q2040" s="776"/>
      <c r="R2040" s="777">
        <f>SUM(R2037:R2039)</f>
        <v>0</v>
      </c>
      <c r="S2040" s="778"/>
      <c r="T2040" s="777">
        <f>SUM(T2037:T2039)</f>
        <v>0</v>
      </c>
      <c r="AG2040" s="799">
        <f>ROUND($R2040*$S$3,2)</f>
        <v>0</v>
      </c>
      <c r="AL2040" s="772" t="s">
        <v>145</v>
      </c>
    </row>
    <row r="2041" spans="1:41" s="501" customFormat="1" ht="12" customHeight="1">
      <c r="A2041" s="800"/>
      <c r="B2041" s="801"/>
      <c r="C2041" s="802"/>
      <c r="D2041" s="803" t="str">
        <f>$F$4</f>
        <v>Engineer (Man Hours)</v>
      </c>
      <c r="E2041" s="803">
        <f>ROUND(($R2044*$S$4 + ($T2044*$T$4)), 2)</f>
        <v>0</v>
      </c>
      <c r="F2041" s="804">
        <f ca="1">$F2021-SUMIF($L2023:$P2038,"SUBI",$F2023:$F2038)</f>
        <v>0</v>
      </c>
      <c r="G2041" s="499"/>
      <c r="H2041" s="499"/>
      <c r="I2041" s="499"/>
      <c r="J2041" s="499"/>
      <c r="K2041" s="805" t="s">
        <v>8</v>
      </c>
      <c r="L2041" s="766" t="s">
        <v>573</v>
      </c>
      <c r="M2041" s="499"/>
      <c r="N2041" s="499"/>
      <c r="O2041" s="499"/>
      <c r="P2041" s="499"/>
      <c r="Q2041" s="499"/>
      <c r="R2041" s="784"/>
      <c r="S2041" s="499"/>
      <c r="T2041" s="784"/>
      <c r="AL2041" s="800"/>
    </row>
    <row r="2042" spans="1:41" s="893" customFormat="1" ht="13.2">
      <c r="A2042">
        <v>0</v>
      </c>
      <c r="B2042" s="893" t="s">
        <v>141</v>
      </c>
      <c r="D2042" s="893" t="s">
        <v>767</v>
      </c>
      <c r="E2042" s="893" t="s">
        <v>771</v>
      </c>
      <c r="F2042" s="893" t="s">
        <v>769</v>
      </c>
      <c r="G2042" s="894" t="s">
        <v>768</v>
      </c>
      <c r="H2042" s="895">
        <v>570</v>
      </c>
      <c r="I2042" s="893" t="s">
        <v>643</v>
      </c>
      <c r="O2042" s="896">
        <v>2</v>
      </c>
      <c r="P2042" s="897">
        <v>38443</v>
      </c>
      <c r="Q2042" s="898"/>
      <c r="R2042" s="899">
        <f>$A2042*Q2042</f>
        <v>0</v>
      </c>
      <c r="S2042" s="898">
        <f>100/25</f>
        <v>4</v>
      </c>
      <c r="T2042" s="900">
        <f>$A2042*S2042*$T$1</f>
        <v>0</v>
      </c>
    </row>
    <row r="2043" spans="1:41" s="501" customFormat="1" ht="12">
      <c r="A2043" s="44"/>
      <c r="B2043" s="497"/>
      <c r="C2043" s="497"/>
      <c r="D2043" s="807"/>
      <c r="E2043" s="808"/>
      <c r="F2043" s="499"/>
      <c r="G2043" s="499"/>
      <c r="H2043" s="499"/>
      <c r="I2043" s="499"/>
      <c r="J2043" s="499"/>
      <c r="K2043" s="499"/>
      <c r="L2043" s="809"/>
      <c r="M2043" s="499"/>
      <c r="N2043" s="499"/>
      <c r="O2043" s="499"/>
      <c r="P2043" s="499"/>
      <c r="Q2043" s="499"/>
      <c r="R2043" s="720">
        <f>$A2043*Q2043</f>
        <v>0</v>
      </c>
      <c r="S2043" s="499"/>
      <c r="T2043" s="500">
        <f>$A2043*S2043*$T$1</f>
        <v>0</v>
      </c>
    </row>
    <row r="2044" spans="1:41" s="501" customFormat="1" ht="12.75" customHeight="1">
      <c r="A2044" s="772" t="s">
        <v>145</v>
      </c>
      <c r="B2044" s="773">
        <f>(R2043+T2043)</f>
        <v>0</v>
      </c>
      <c r="C2044" s="810"/>
      <c r="D2044" s="810"/>
      <c r="E2044" s="810"/>
      <c r="F2044" s="810"/>
      <c r="G2044" s="776"/>
      <c r="H2044" s="776"/>
      <c r="I2044" s="776"/>
      <c r="J2044" s="776"/>
      <c r="K2044" s="798" t="s">
        <v>8</v>
      </c>
      <c r="L2044" s="811" t="s">
        <v>573</v>
      </c>
      <c r="M2044" s="776"/>
      <c r="N2044" s="776"/>
      <c r="O2044" s="776"/>
      <c r="P2044" s="776"/>
      <c r="Q2044" s="776"/>
      <c r="R2044" s="777">
        <f>SUM(R2041:R2043)</f>
        <v>0</v>
      </c>
      <c r="S2044" s="778"/>
      <c r="T2044" s="777">
        <f>SUM(T2041:T2043)</f>
        <v>0</v>
      </c>
      <c r="AG2044" s="812">
        <f>ROUND($R2044*$S$4,2)</f>
        <v>0</v>
      </c>
    </row>
    <row r="2045" spans="1:41" s="501" customFormat="1" ht="12.75" customHeight="1">
      <c r="A2045" s="813"/>
      <c r="B2045" s="814"/>
      <c r="E2045" s="497"/>
      <c r="F2045" s="808"/>
      <c r="G2045" s="497"/>
      <c r="H2045" s="497"/>
      <c r="I2045" s="499"/>
      <c r="J2045" s="497"/>
      <c r="K2045" s="497"/>
      <c r="L2045" s="815"/>
      <c r="M2045" s="725"/>
      <c r="N2045" s="725"/>
      <c r="O2045" s="725"/>
      <c r="P2045" s="725"/>
      <c r="Q2045" s="726"/>
      <c r="R2045" s="784"/>
      <c r="S2045" s="497"/>
      <c r="T2045" s="784"/>
    </row>
    <row r="2046" spans="1:41" s="501" customFormat="1" ht="13.5" customHeight="1" thickBot="1">
      <c r="A2046" s="816"/>
      <c r="B2046" s="817"/>
      <c r="C2046" s="518"/>
      <c r="D2046" s="518"/>
      <c r="E2046" s="515"/>
      <c r="F2046" s="721"/>
      <c r="G2046" s="515" t="s">
        <v>146</v>
      </c>
      <c r="H2046" s="515"/>
      <c r="I2046" s="516"/>
      <c r="J2046" s="515"/>
      <c r="K2046" s="515"/>
      <c r="L2046" s="818" t="s">
        <v>143</v>
      </c>
      <c r="M2046" s="517"/>
      <c r="N2046" s="517"/>
      <c r="O2046" s="517"/>
      <c r="P2046" s="517"/>
      <c r="Q2046" s="722"/>
      <c r="R2046" s="819">
        <f ca="1">SUMIF($L2022:$L2045,"SUBI",R2022:R2045)</f>
        <v>0</v>
      </c>
      <c r="S2046" s="820"/>
      <c r="T2046" s="819">
        <f ca="1">SUMIF($L2022:$L2045,"SUBI",T2022:T2045)</f>
        <v>0</v>
      </c>
      <c r="U2046" s="518"/>
      <c r="V2046" s="518"/>
      <c r="W2046" s="518"/>
      <c r="X2046" s="518"/>
      <c r="Y2046" s="518"/>
      <c r="Z2046" s="518"/>
      <c r="AA2046" s="518"/>
      <c r="AB2046" s="518"/>
      <c r="AC2046" s="518"/>
      <c r="AD2046" s="518"/>
      <c r="AE2046" s="518"/>
      <c r="AF2046" s="518"/>
      <c r="AG2046" s="518"/>
      <c r="AH2046" s="518"/>
      <c r="AI2046" s="518"/>
      <c r="AJ2046" s="518"/>
      <c r="AK2046" s="518"/>
      <c r="AL2046" s="518"/>
      <c r="AM2046" s="518"/>
      <c r="AN2046" s="518"/>
      <c r="AO2046" s="518"/>
    </row>
    <row r="2047" spans="1:41" s="501" customFormat="1" thickTop="1">
      <c r="A2047" s="44"/>
      <c r="B2047" s="44"/>
      <c r="C2047" s="3"/>
      <c r="D2047" s="3"/>
      <c r="E2047" s="44"/>
      <c r="F2047" s="44"/>
      <c r="G2047" s="44"/>
      <c r="H2047" s="44"/>
      <c r="I2047" s="44"/>
      <c r="J2047" s="44"/>
      <c r="K2047" s="44" t="s">
        <v>134</v>
      </c>
      <c r="L2047" s="44"/>
      <c r="M2047" s="44"/>
      <c r="N2047" s="44"/>
      <c r="O2047" s="45"/>
      <c r="P2047" s="44"/>
      <c r="Q2047" s="44"/>
      <c r="R2047" s="44"/>
      <c r="S2047" s="44"/>
      <c r="T2047" s="44"/>
    </row>
    <row r="2048" spans="1:41" s="501" customFormat="1" ht="12">
      <c r="A2048" s="44"/>
      <c r="B2048" s="44"/>
      <c r="C2048" s="44" t="s">
        <v>135</v>
      </c>
      <c r="D2048" s="35"/>
      <c r="E2048" s="44"/>
      <c r="F2048" s="44"/>
      <c r="G2048" s="44"/>
      <c r="H2048" s="44"/>
      <c r="I2048" s="44"/>
      <c r="J2048" s="44"/>
      <c r="K2048" s="44"/>
      <c r="L2048" s="44"/>
      <c r="M2048" s="44"/>
      <c r="N2048" s="44"/>
      <c r="O2048" s="45"/>
      <c r="P2048" s="44"/>
      <c r="Q2048" s="44"/>
      <c r="R2048" s="44"/>
      <c r="S2048" s="44"/>
      <c r="T2048" s="44"/>
    </row>
    <row r="2049" spans="1:41" s="501" customFormat="1" ht="12">
      <c r="A2049" s="44"/>
      <c r="B2049" s="44"/>
      <c r="C2049" s="44"/>
      <c r="D2049" s="35" t="s">
        <v>512</v>
      </c>
      <c r="E2049" s="44"/>
      <c r="F2049" s="44"/>
      <c r="G2049" s="44"/>
      <c r="H2049" s="44"/>
      <c r="I2049" s="44"/>
      <c r="J2049" s="44"/>
      <c r="K2049" s="44"/>
      <c r="L2049" s="44"/>
      <c r="M2049" s="44"/>
      <c r="N2049" s="44"/>
      <c r="O2049" s="45"/>
      <c r="P2049" s="44"/>
      <c r="Q2049" s="44"/>
      <c r="R2049" s="44"/>
      <c r="S2049" s="36"/>
      <c r="T2049" s="36"/>
    </row>
    <row r="2050" spans="1:41" s="3" customFormat="1" thickBot="1">
      <c r="A2050" s="518"/>
      <c r="O2050" s="86"/>
    </row>
    <row r="2051" spans="1:41" s="501" customFormat="1" thickTop="1">
      <c r="A2051" s="44"/>
      <c r="B2051" s="39"/>
      <c r="C2051" s="44"/>
      <c r="E2051" s="40" t="s">
        <v>138</v>
      </c>
      <c r="F2051" s="40" t="s">
        <v>139</v>
      </c>
      <c r="G2051" s="44"/>
      <c r="H2051" s="44"/>
      <c r="I2051" s="44"/>
      <c r="J2051" s="44"/>
      <c r="K2051" s="44" t="s">
        <v>140</v>
      </c>
      <c r="L2051" s="737"/>
      <c r="M2051" s="44"/>
      <c r="N2051" s="44"/>
      <c r="O2051" s="45"/>
      <c r="P2051" s="44"/>
      <c r="Q2051"/>
      <c r="R2051"/>
      <c r="S2051"/>
      <c r="T2051" s="39"/>
      <c r="AG2051" s="502" t="s">
        <v>247</v>
      </c>
      <c r="AH2051" s="502" t="s">
        <v>248</v>
      </c>
      <c r="AI2051" s="502" t="s">
        <v>249</v>
      </c>
      <c r="AJ2051" s="502" t="s">
        <v>250</v>
      </c>
      <c r="AK2051" s="502" t="s">
        <v>251</v>
      </c>
      <c r="AM2051" s="710" t="s">
        <v>260</v>
      </c>
      <c r="AN2051" s="711" t="s">
        <v>261</v>
      </c>
      <c r="AO2051" s="503" t="s">
        <v>257</v>
      </c>
    </row>
    <row r="2052" spans="1:41" s="501" customFormat="1" ht="13.2">
      <c r="A2052" s="712">
        <v>1</v>
      </c>
      <c r="B2052" s="504" t="s">
        <v>283</v>
      </c>
      <c r="C2052" s="505"/>
      <c r="D2052" s="713" t="s">
        <v>590</v>
      </c>
      <c r="E2052" s="738">
        <f ca="1">IF(AND($A2052=0,$A$1="DIF"),0,ROUND(ROUND(SUMIF($L2054:$L2072,"SUBI",$E2054:$E2072)/$A2052,2)*$C$12,2))</f>
        <v>0</v>
      </c>
      <c r="F2052" s="739">
        <f ca="1">ROUND($A2052*$E2052,2)</f>
        <v>0</v>
      </c>
      <c r="G2052" s="506" t="s">
        <v>142</v>
      </c>
      <c r="H2052" s="498"/>
      <c r="I2052" s="716"/>
      <c r="J2052" s="498"/>
      <c r="K2052" s="740"/>
      <c r="L2052" s="741" t="s">
        <v>143</v>
      </c>
      <c r="M2052" s="717"/>
      <c r="N2052" s="717"/>
      <c r="O2052" s="717"/>
      <c r="P2052" s="717"/>
      <c r="Q2052" s="943" t="s">
        <v>855</v>
      </c>
      <c r="R2052" s="943" t="s">
        <v>1105</v>
      </c>
      <c r="S2052"/>
      <c r="T2052" s="742" t="str">
        <f ca="1">IF(AND($R2077=0,$T2077=0),"0.00","mu :" &amp; ROUND($F2052/$C$12/($R2077+$T2077*$D$9),2))</f>
        <v>0.00</v>
      </c>
      <c r="W2052" s="507"/>
      <c r="AG2052" s="743">
        <f ca="1">IF(A2052=0,0,ROUND(SUM(AG2054:AG2077)/A2052,2))</f>
        <v>0</v>
      </c>
      <c r="AH2052" s="743">
        <f ca="1">$AG2052*$A2052</f>
        <v>0</v>
      </c>
      <c r="AI2052" s="743">
        <f ca="1">$E2052-$AG2052</f>
        <v>0</v>
      </c>
      <c r="AJ2052" s="743">
        <f ca="1">$A2052*$AI2052</f>
        <v>0</v>
      </c>
      <c r="AK2052" s="744">
        <f ca="1">ROUND(($AG2052+$AI2052)*$A2052,2)</f>
        <v>0</v>
      </c>
      <c r="AM2052" s="510">
        <f ca="1">ROUND(R2077,2)</f>
        <v>0</v>
      </c>
      <c r="AN2052" s="511">
        <f ca="1">ROUND(T2077,2)</f>
        <v>0</v>
      </c>
      <c r="AO2052" s="512">
        <f ca="1">ROUND(AM2052+AN2052,2)*A2052</f>
        <v>0</v>
      </c>
    </row>
    <row r="2053" spans="1:41" s="501" customFormat="1" ht="39.9" customHeight="1">
      <c r="A2053" s="745"/>
      <c r="B2053" s="746"/>
      <c r="C2053" s="505"/>
      <c r="D2053" s="1183" t="s">
        <v>513</v>
      </c>
      <c r="E2053" s="1184"/>
      <c r="F2053" s="1184"/>
      <c r="G2053" s="1184"/>
      <c r="H2053" s="1184"/>
      <c r="I2053" s="1184"/>
      <c r="J2053" s="1184"/>
      <c r="K2053" s="1184"/>
      <c r="L2053" s="1184"/>
      <c r="M2053" s="1184"/>
      <c r="N2053" s="1184"/>
      <c r="O2053" s="1184"/>
      <c r="P2053" s="1184"/>
      <c r="Q2053" s="1184"/>
      <c r="R2053" s="1184"/>
      <c r="S2053" s="1184"/>
      <c r="T2053" s="1184"/>
    </row>
    <row r="2054" spans="1:41" s="501" customFormat="1" ht="12">
      <c r="A2054" s="748"/>
      <c r="B2054" s="749"/>
      <c r="C2054" s="497"/>
      <c r="D2054" s="750"/>
      <c r="E2054" s="751">
        <f ca="1">F2052/$C$12-SUMIF($L2051:$L2077,"SUBI",$E2051:$E2077)</f>
        <v>0</v>
      </c>
      <c r="F2054" s="752" t="s">
        <v>572</v>
      </c>
      <c r="G2054" s="753"/>
      <c r="H2054" s="753"/>
      <c r="I2054" s="754"/>
      <c r="J2054" s="753"/>
      <c r="K2054" s="753"/>
      <c r="L2054" s="755"/>
      <c r="M2054" s="756"/>
      <c r="N2054" s="756"/>
      <c r="O2054" s="756"/>
      <c r="P2054" s="756"/>
      <c r="Q2054" s="757"/>
      <c r="R2054" s="758"/>
      <c r="S2054" s="757"/>
      <c r="T2054" s="759"/>
    </row>
    <row r="2055" spans="1:41" s="501" customFormat="1" ht="12" customHeight="1">
      <c r="A2055" s="760"/>
      <c r="B2055" s="761"/>
      <c r="C2055" s="762"/>
      <c r="D2055" s="762" t="str">
        <f>$F$2</f>
        <v>Electrical</v>
      </c>
      <c r="E2055" s="762">
        <f ca="1">ROUND(($R2067*$S$2 + ($T2067*$T$2)), 2)</f>
        <v>0</v>
      </c>
      <c r="F2055" s="763">
        <f ca="1">$E2055*$C$12</f>
        <v>0</v>
      </c>
      <c r="G2055" s="567"/>
      <c r="H2055" s="764"/>
      <c r="I2055" s="567"/>
      <c r="J2055" s="45"/>
      <c r="K2055" s="765" t="s">
        <v>3</v>
      </c>
      <c r="L2055" s="766" t="s">
        <v>573</v>
      </c>
      <c r="M2055" s="567"/>
      <c r="N2055" s="567"/>
      <c r="O2055" s="45"/>
      <c r="P2055" s="567"/>
      <c r="Q2055" s="567"/>
      <c r="R2055"/>
      <c r="S2055"/>
      <c r="T2055"/>
    </row>
    <row r="2056" spans="1:41" s="935" customFormat="1" ht="13.2">
      <c r="A2056"/>
      <c r="B2056" s="927"/>
      <c r="C2056" s="927" t="s">
        <v>735</v>
      </c>
      <c r="D2056" s="927" t="str">
        <f ca="1">CELL("Address",Elec_Rates!D$143)</f>
        <v>[E25_0465_IH_Retro_Elec4Mech_Est_Rev_A.xlsx]Elec_Rates!$D$143</v>
      </c>
      <c r="E2056" s="928"/>
      <c r="F2056" s="928"/>
      <c r="G2056" s="929" t="s">
        <v>736</v>
      </c>
      <c r="H2056" s="929"/>
      <c r="I2056" s="929"/>
      <c r="J2056" s="929"/>
      <c r="K2056" s="930"/>
      <c r="L2056" s="928"/>
      <c r="M2056" s="928"/>
      <c r="N2056" s="928"/>
      <c r="O2056" s="931"/>
      <c r="P2056" s="928"/>
      <c r="Q2056" s="932"/>
      <c r="R2056" s="933"/>
      <c r="S2056" s="932"/>
      <c r="T2056" s="560"/>
      <c r="U2056" s="934"/>
    </row>
    <row r="2057" spans="1:41" s="935" customFormat="1" ht="11.4">
      <c r="A2057" s="936">
        <v>0</v>
      </c>
      <c r="B2057" s="937">
        <v>1</v>
      </c>
      <c r="C2057" s="937">
        <f>$A2057*$B2057</f>
        <v>0</v>
      </c>
      <c r="D2057" s="938" t="str">
        <f>Elec_Rates!$D$143</f>
        <v>011# Power supply to control panel (4core x 4.0sqmm) and VDS by pass in MCC</v>
      </c>
      <c r="E2057" s="938"/>
      <c r="F2057" s="938" t="s">
        <v>737</v>
      </c>
      <c r="G2057" s="939" t="s">
        <v>738</v>
      </c>
      <c r="H2057" s="939"/>
      <c r="I2057" s="939"/>
      <c r="J2057" s="939"/>
      <c r="K2057" s="940"/>
      <c r="L2057" s="934"/>
      <c r="M2057" s="934"/>
      <c r="N2057" s="934"/>
      <c r="O2057" s="941"/>
      <c r="P2057" s="938"/>
      <c r="Q2057" s="942">
        <f ca="1">$B2057*Elec_Rates!$R$143</f>
        <v>74.239999999999995</v>
      </c>
      <c r="R2057" s="933">
        <f ca="1">$A2057*Q2057</f>
        <v>0</v>
      </c>
      <c r="S2057" s="942">
        <f ca="1">$B2057*Elec_Rates!$T$143</f>
        <v>3.17</v>
      </c>
      <c r="T2057" s="560">
        <f ca="1">$A2057*S2057</f>
        <v>0</v>
      </c>
      <c r="U2057" s="484"/>
      <c r="AL2057" s="936">
        <v>1</v>
      </c>
    </row>
    <row r="2058" spans="1:41" s="935" customFormat="1" ht="13.2">
      <c r="A2058"/>
      <c r="B2058" s="927"/>
      <c r="C2058" s="927" t="s">
        <v>735</v>
      </c>
      <c r="D2058" s="927" t="str">
        <f ca="1">CELL("Address",Elec_Rates!D$196)</f>
        <v>[E25_0465_IH_Retro_Elec4Mech_Est_Rev_A.xlsx]Elec_Rates!$D$196</v>
      </c>
      <c r="E2058" s="928"/>
      <c r="F2058" s="928"/>
      <c r="G2058" s="929" t="s">
        <v>736</v>
      </c>
      <c r="H2058" s="929"/>
      <c r="I2058" s="929"/>
      <c r="J2058" s="929"/>
      <c r="K2058" s="930"/>
      <c r="L2058" s="928"/>
      <c r="M2058" s="928"/>
      <c r="N2058" s="928"/>
      <c r="O2058" s="931"/>
      <c r="P2058" s="928"/>
      <c r="Q2058" s="932"/>
      <c r="R2058" s="933"/>
      <c r="S2058" s="932"/>
      <c r="T2058" s="560"/>
      <c r="U2058" s="934"/>
      <c r="AL2058"/>
    </row>
    <row r="2059" spans="1:41" s="935" customFormat="1" ht="11.4">
      <c r="A2059" s="936">
        <v>0</v>
      </c>
      <c r="B2059" s="937">
        <v>1</v>
      </c>
      <c r="C2059" s="937">
        <f>$A2059*$B2059</f>
        <v>0</v>
      </c>
      <c r="D2059" s="938" t="str">
        <f>Elec_Rates!$D$196</f>
        <v>013# Installation of Rosenger control panel</v>
      </c>
      <c r="E2059" s="938"/>
      <c r="F2059" s="938" t="s">
        <v>737</v>
      </c>
      <c r="G2059" s="939" t="s">
        <v>739</v>
      </c>
      <c r="H2059" s="939"/>
      <c r="I2059" s="939"/>
      <c r="J2059" s="939"/>
      <c r="K2059" s="940"/>
      <c r="L2059" s="934"/>
      <c r="M2059" s="934"/>
      <c r="N2059" s="934"/>
      <c r="O2059" s="941"/>
      <c r="P2059" s="938"/>
      <c r="Q2059" s="942">
        <f ca="1">$B2059*Elec_Rates!$R$196</f>
        <v>20</v>
      </c>
      <c r="R2059" s="933">
        <f ca="1">$A2059*Q2059</f>
        <v>0</v>
      </c>
      <c r="S2059" s="942">
        <f ca="1">$B2059*Elec_Rates!$T$196</f>
        <v>2</v>
      </c>
      <c r="T2059" s="560">
        <f ca="1">$A2059*S2059</f>
        <v>0</v>
      </c>
      <c r="U2059" s="484"/>
      <c r="AL2059" s="936">
        <v>1</v>
      </c>
    </row>
    <row r="2060" spans="1:41" s="935" customFormat="1" ht="13.2">
      <c r="A2060"/>
      <c r="B2060" s="927"/>
      <c r="C2060" s="927" t="s">
        <v>735</v>
      </c>
      <c r="D2060" s="927" t="str">
        <f ca="1">CELL("Address",Elec_Rates!D$203)</f>
        <v>[E25_0465_IH_Retro_Elec4Mech_Est_Rev_A.xlsx]Elec_Rates!$D$203</v>
      </c>
      <c r="E2060" s="928"/>
      <c r="F2060" s="928"/>
      <c r="G2060" s="929" t="s">
        <v>736</v>
      </c>
      <c r="H2060" s="929"/>
      <c r="I2060" s="929"/>
      <c r="J2060" s="929"/>
      <c r="K2060" s="930"/>
      <c r="L2060" s="928"/>
      <c r="M2060" s="928"/>
      <c r="N2060" s="928"/>
      <c r="O2060" s="931"/>
      <c r="P2060" s="928"/>
      <c r="Q2060" s="932"/>
      <c r="R2060" s="933"/>
      <c r="S2060" s="932"/>
      <c r="T2060" s="560"/>
      <c r="U2060" s="934"/>
      <c r="AL2060"/>
    </row>
    <row r="2061" spans="1:41" s="935" customFormat="1" ht="11.4">
      <c r="A2061" s="936">
        <v>0</v>
      </c>
      <c r="B2061" s="937">
        <v>1</v>
      </c>
      <c r="C2061" s="937">
        <f>$A2061*$B2061</f>
        <v>0</v>
      </c>
      <c r="D2061" s="938" t="str">
        <f>Elec_Rates!$D$203</f>
        <v>014# Installation of cable harness to fans</v>
      </c>
      <c r="E2061" s="938"/>
      <c r="F2061" s="938" t="s">
        <v>737</v>
      </c>
      <c r="G2061" s="939" t="s">
        <v>738</v>
      </c>
      <c r="H2061" s="939"/>
      <c r="I2061" s="939"/>
      <c r="J2061" s="939"/>
      <c r="K2061" s="940"/>
      <c r="L2061" s="934"/>
      <c r="M2061" s="934"/>
      <c r="N2061" s="934"/>
      <c r="O2061" s="941"/>
      <c r="P2061" s="938"/>
      <c r="Q2061" s="942">
        <f ca="1">$B2061*Elec_Rates!$R$203</f>
        <v>20</v>
      </c>
      <c r="R2061" s="933">
        <f ca="1">$A2061*Q2061</f>
        <v>0</v>
      </c>
      <c r="S2061" s="942">
        <f ca="1">$B2061*Elec_Rates!$T$203</f>
        <v>1</v>
      </c>
      <c r="T2061" s="560">
        <f ca="1">$A2061*S2061</f>
        <v>0</v>
      </c>
      <c r="U2061" s="484"/>
      <c r="AL2061" s="936">
        <v>2</v>
      </c>
    </row>
    <row r="2062" spans="1:41" s="935" customFormat="1" ht="13.2">
      <c r="A2062"/>
      <c r="B2062" s="927"/>
      <c r="C2062" s="927" t="s">
        <v>735</v>
      </c>
      <c r="D2062" s="927" t="str">
        <f ca="1">CELL("Address",Elec_Rates!D$210)</f>
        <v>[E25_0465_IH_Retro_Elec4Mech_Est_Rev_A.xlsx]Elec_Rates!$D$210</v>
      </c>
      <c r="E2062" s="928"/>
      <c r="F2062" s="928"/>
      <c r="G2062" s="929" t="s">
        <v>736</v>
      </c>
      <c r="H2062" s="929"/>
      <c r="I2062" s="929"/>
      <c r="J2062" s="929"/>
      <c r="K2062" s="930"/>
      <c r="L2062" s="928"/>
      <c r="M2062" s="928"/>
      <c r="N2062" s="928"/>
      <c r="O2062" s="931"/>
      <c r="P2062" s="928"/>
      <c r="Q2062" s="932"/>
      <c r="R2062" s="933"/>
      <c r="S2062" s="932"/>
      <c r="T2062" s="560"/>
      <c r="U2062" s="934"/>
      <c r="AL2062"/>
    </row>
    <row r="2063" spans="1:41" s="935" customFormat="1" ht="11.4">
      <c r="A2063" s="936">
        <v>0</v>
      </c>
      <c r="B2063" s="937">
        <v>1</v>
      </c>
      <c r="C2063" s="937">
        <f>$A2063*$B2063</f>
        <v>0</v>
      </c>
      <c r="D2063" s="938" t="str">
        <f>Elec_Rates!$D$210</f>
        <v>015# Installation of control panels by ECA</v>
      </c>
      <c r="E2063" s="938"/>
      <c r="F2063" s="938" t="s">
        <v>737</v>
      </c>
      <c r="G2063" s="939" t="s">
        <v>739</v>
      </c>
      <c r="H2063" s="939"/>
      <c r="I2063" s="939"/>
      <c r="J2063" s="939"/>
      <c r="K2063" s="940"/>
      <c r="L2063" s="934"/>
      <c r="M2063" s="934"/>
      <c r="N2063" s="934"/>
      <c r="O2063" s="941"/>
      <c r="P2063" s="938"/>
      <c r="Q2063" s="942">
        <f ca="1">$B2063*Elec_Rates!$R$210</f>
        <v>30</v>
      </c>
      <c r="R2063" s="933">
        <f ca="1">$A2063*Q2063</f>
        <v>0</v>
      </c>
      <c r="S2063" s="942">
        <f ca="1">$B2063*Elec_Rates!$T$210</f>
        <v>1</v>
      </c>
      <c r="T2063" s="560">
        <f ca="1">$A2063*S2063</f>
        <v>0</v>
      </c>
      <c r="U2063" s="484"/>
      <c r="AL2063" s="936">
        <v>1</v>
      </c>
    </row>
    <row r="2064" spans="1:41" s="935" customFormat="1" ht="13.2">
      <c r="A2064"/>
      <c r="B2064" s="927"/>
      <c r="C2064" s="927" t="s">
        <v>735</v>
      </c>
      <c r="D2064" s="927" t="str">
        <f ca="1">CELL("Address",Elec_Rates!D$217)</f>
        <v>[E25_0465_IH_Retro_Elec4Mech_Est_Rev_A.xlsx]Elec_Rates!$D$217</v>
      </c>
      <c r="E2064" s="928"/>
      <c r="F2064" s="928"/>
      <c r="G2064" s="929" t="s">
        <v>736</v>
      </c>
      <c r="H2064" s="929"/>
      <c r="I2064" s="929"/>
      <c r="J2064" s="929"/>
      <c r="K2064" s="930"/>
      <c r="L2064" s="928"/>
      <c r="M2064" s="928"/>
      <c r="N2064" s="928"/>
      <c r="O2064" s="931"/>
      <c r="P2064" s="928"/>
      <c r="Q2064" s="932"/>
      <c r="R2064" s="933"/>
      <c r="S2064" s="932"/>
      <c r="T2064" s="560"/>
      <c r="U2064" s="934"/>
      <c r="AL2064"/>
    </row>
    <row r="2065" spans="1:41" s="935" customFormat="1" ht="11.4">
      <c r="A2065" s="936">
        <v>0</v>
      </c>
      <c r="B2065" s="937">
        <v>1</v>
      </c>
      <c r="C2065" s="937">
        <f>$A2065*$B2065</f>
        <v>0</v>
      </c>
      <c r="D2065" s="938" t="str">
        <f>Elec_Rates!$D$217</f>
        <v>016# Installation of sensors on AHUs</v>
      </c>
      <c r="E2065" s="938"/>
      <c r="F2065" s="938" t="s">
        <v>737</v>
      </c>
      <c r="G2065" s="939" t="s">
        <v>738</v>
      </c>
      <c r="H2065" s="939"/>
      <c r="I2065" s="939"/>
      <c r="J2065" s="939"/>
      <c r="K2065" s="940"/>
      <c r="L2065" s="934"/>
      <c r="M2065" s="934"/>
      <c r="N2065" s="934"/>
      <c r="O2065" s="941"/>
      <c r="P2065" s="938"/>
      <c r="Q2065" s="942">
        <f ca="1">$B2065*Elec_Rates!$R$217</f>
        <v>354.24</v>
      </c>
      <c r="R2065" s="933">
        <f ca="1">$A2065*Q2065</f>
        <v>0</v>
      </c>
      <c r="S2065" s="942">
        <f ca="1">$B2065*Elec_Rates!$T$217</f>
        <v>17.989999999999998</v>
      </c>
      <c r="T2065" s="560">
        <f ca="1">$A2065*S2065</f>
        <v>0</v>
      </c>
      <c r="U2065" s="484"/>
      <c r="AL2065" s="936">
        <v>1</v>
      </c>
    </row>
    <row r="2066" spans="1:41" s="501" customFormat="1" ht="14.4" customHeight="1">
      <c r="A2066" s="767"/>
      <c r="B2066" s="567"/>
      <c r="C2066" s="567"/>
      <c r="D2066" s="567"/>
      <c r="E2066" s="567"/>
      <c r="F2066" s="567"/>
      <c r="G2066" s="567"/>
      <c r="H2066" s="764"/>
      <c r="I2066" s="567"/>
      <c r="J2066" s="45"/>
      <c r="K2066" s="769"/>
      <c r="L2066" s="770"/>
      <c r="M2066" s="567"/>
      <c r="N2066" s="567"/>
      <c r="O2066" s="45"/>
      <c r="P2066" s="567"/>
      <c r="Q2066" s="567"/>
      <c r="R2066" s="771">
        <f>$A2066*Q2066</f>
        <v>0</v>
      </c>
      <c r="S2066" s="567"/>
      <c r="T2066" s="500">
        <f>$A2066*S2066*$T$1</f>
        <v>0</v>
      </c>
      <c r="AL2066" s="767"/>
    </row>
    <row r="2067" spans="1:41" s="501" customFormat="1" ht="12">
      <c r="A2067" s="772" t="s">
        <v>145</v>
      </c>
      <c r="B2067" s="773">
        <f>(R2066+T2066)</f>
        <v>0</v>
      </c>
      <c r="C2067" s="753"/>
      <c r="G2067" s="774"/>
      <c r="H2067" s="774"/>
      <c r="I2067" s="774"/>
      <c r="J2067" s="774"/>
      <c r="K2067" s="750" t="s">
        <v>3</v>
      </c>
      <c r="L2067" s="775" t="s">
        <v>573</v>
      </c>
      <c r="M2067" s="774"/>
      <c r="N2067" s="774"/>
      <c r="O2067" s="774"/>
      <c r="P2067" s="774"/>
      <c r="Q2067" s="776"/>
      <c r="R2067" s="777">
        <f ca="1">SUM(R2055:R2066)</f>
        <v>0</v>
      </c>
      <c r="S2067" s="778"/>
      <c r="T2067" s="777">
        <f ca="1">SUM(T2055:T2066)</f>
        <v>0</v>
      </c>
      <c r="AG2067" s="779">
        <f ca="1">ROUND($R2067*$S$2,2)</f>
        <v>0</v>
      </c>
      <c r="AL2067" s="772" t="s">
        <v>145</v>
      </c>
    </row>
    <row r="2068" spans="1:41" s="501" customFormat="1" ht="12" customHeight="1">
      <c r="A2068" s="760"/>
      <c r="B2068" s="780"/>
      <c r="C2068" s="781"/>
      <c r="D2068" s="782" t="str">
        <f>$F$3</f>
        <v>Technician</v>
      </c>
      <c r="E2068" s="782">
        <f>ROUND(($R2071*$S$3 + ($T2071*$T$3)), 2)</f>
        <v>0</v>
      </c>
      <c r="F2068" s="783">
        <f>$E2068*$C$12</f>
        <v>0</v>
      </c>
      <c r="G2068" s="499"/>
      <c r="H2068" s="499"/>
      <c r="I2068" s="499"/>
      <c r="J2068" s="499"/>
      <c r="K2068" s="765" t="s">
        <v>5</v>
      </c>
      <c r="L2068" s="766" t="s">
        <v>573</v>
      </c>
      <c r="M2068" s="499"/>
      <c r="N2068" s="499"/>
      <c r="O2068" s="499"/>
      <c r="P2068" s="499"/>
      <c r="Q2068" s="499"/>
      <c r="R2068" s="784"/>
      <c r="S2068" s="499"/>
      <c r="T2068" s="784"/>
      <c r="AL2068" s="760"/>
    </row>
    <row r="2069" spans="1:41" s="893" customFormat="1" ht="13.2">
      <c r="A2069">
        <v>0</v>
      </c>
      <c r="B2069" s="893" t="s">
        <v>141</v>
      </c>
      <c r="D2069" s="893" t="s">
        <v>767</v>
      </c>
      <c r="E2069" s="893" t="s">
        <v>770</v>
      </c>
      <c r="F2069" s="893" t="s">
        <v>769</v>
      </c>
      <c r="G2069" s="894" t="s">
        <v>768</v>
      </c>
      <c r="H2069" s="895">
        <v>570</v>
      </c>
      <c r="I2069" s="893" t="s">
        <v>643</v>
      </c>
      <c r="O2069" s="896">
        <v>2</v>
      </c>
      <c r="P2069" s="897">
        <v>38443</v>
      </c>
      <c r="Q2069" s="898">
        <v>2500</v>
      </c>
      <c r="R2069" s="899">
        <f>$A2069*Q2069</f>
        <v>0</v>
      </c>
      <c r="S2069" s="898">
        <f>200/25</f>
        <v>8</v>
      </c>
      <c r="T2069" s="900">
        <f>$A2069*S2069*$T$1</f>
        <v>0</v>
      </c>
      <c r="AL2069">
        <v>1</v>
      </c>
    </row>
    <row r="2070" spans="1:41" s="501" customFormat="1" ht="15.6" customHeight="1">
      <c r="A2070" s="767"/>
      <c r="B2070" s="567"/>
      <c r="C2070" s="567"/>
      <c r="D2070" s="3"/>
      <c r="E2070" s="567"/>
      <c r="F2070" s="567"/>
      <c r="G2070" s="567"/>
      <c r="H2070" s="567"/>
      <c r="I2070" s="567"/>
      <c r="J2070" s="567"/>
      <c r="K2070" s="567"/>
      <c r="L2070" s="770"/>
      <c r="M2070" s="567"/>
      <c r="N2070" s="567"/>
      <c r="O2070" s="567"/>
      <c r="P2070" s="567"/>
      <c r="Q2070" s="567"/>
      <c r="R2070" s="771">
        <f>$A2070*Q2070</f>
        <v>0</v>
      </c>
      <c r="S2070" s="567"/>
      <c r="T2070" s="500">
        <f>$A2070*S2070*$T$1</f>
        <v>0</v>
      </c>
      <c r="AL2070" s="767"/>
    </row>
    <row r="2071" spans="1:41" s="501" customFormat="1" ht="12">
      <c r="A2071" s="772" t="s">
        <v>145</v>
      </c>
      <c r="B2071" s="773">
        <f>(R2070+T2070)</f>
        <v>0</v>
      </c>
      <c r="C2071" s="753"/>
      <c r="G2071" s="774"/>
      <c r="H2071" s="774"/>
      <c r="I2071" s="774"/>
      <c r="J2071" s="774"/>
      <c r="K2071" s="798" t="s">
        <v>5</v>
      </c>
      <c r="L2071" s="775" t="s">
        <v>573</v>
      </c>
      <c r="M2071" s="774"/>
      <c r="N2071" s="774"/>
      <c r="O2071" s="774"/>
      <c r="P2071" s="774"/>
      <c r="Q2071" s="776"/>
      <c r="R2071" s="777">
        <f>SUM(R2068:R2070)</f>
        <v>0</v>
      </c>
      <c r="S2071" s="778"/>
      <c r="T2071" s="777">
        <f>SUM(T2068:T2070)</f>
        <v>0</v>
      </c>
      <c r="AG2071" s="799">
        <f>ROUND($R2071*$S$3,2)</f>
        <v>0</v>
      </c>
      <c r="AL2071" s="772" t="s">
        <v>145</v>
      </c>
    </row>
    <row r="2072" spans="1:41" s="501" customFormat="1" ht="12" customHeight="1">
      <c r="A2072" s="800"/>
      <c r="B2072" s="801"/>
      <c r="C2072" s="802"/>
      <c r="D2072" s="803" t="str">
        <f>$F$4</f>
        <v>Engineer (Man Hours)</v>
      </c>
      <c r="E2072" s="803">
        <f>ROUND(($R2075*$S$4 + ($T2075*$T$4)), 2)</f>
        <v>0</v>
      </c>
      <c r="F2072" s="804">
        <f ca="1">$F2052-SUMIF($L2054:$P2069,"SUBI",$F2054:$F2069)</f>
        <v>0</v>
      </c>
      <c r="G2072" s="499"/>
      <c r="H2072" s="499"/>
      <c r="I2072" s="499"/>
      <c r="J2072" s="499"/>
      <c r="K2072" s="805" t="s">
        <v>8</v>
      </c>
      <c r="L2072" s="766" t="s">
        <v>573</v>
      </c>
      <c r="M2072" s="499"/>
      <c r="N2072" s="499"/>
      <c r="O2072" s="499"/>
      <c r="P2072" s="499"/>
      <c r="Q2072" s="499"/>
      <c r="R2072" s="784"/>
      <c r="S2072" s="499"/>
      <c r="T2072" s="784"/>
      <c r="AL2072" s="800"/>
    </row>
    <row r="2073" spans="1:41" s="893" customFormat="1" ht="13.2">
      <c r="A2073">
        <v>0</v>
      </c>
      <c r="B2073" s="893" t="s">
        <v>141</v>
      </c>
      <c r="D2073" s="893" t="s">
        <v>767</v>
      </c>
      <c r="E2073" s="893" t="s">
        <v>771</v>
      </c>
      <c r="F2073" s="893" t="s">
        <v>769</v>
      </c>
      <c r="G2073" s="894" t="s">
        <v>768</v>
      </c>
      <c r="H2073" s="895">
        <v>570</v>
      </c>
      <c r="I2073" s="893" t="s">
        <v>643</v>
      </c>
      <c r="O2073" s="896">
        <v>2</v>
      </c>
      <c r="P2073" s="897">
        <v>38443</v>
      </c>
      <c r="Q2073" s="898"/>
      <c r="R2073" s="899">
        <f>$A2073*Q2073</f>
        <v>0</v>
      </c>
      <c r="S2073" s="898">
        <f>100/25</f>
        <v>4</v>
      </c>
      <c r="T2073" s="900">
        <f>$A2073*S2073*$T$1</f>
        <v>0</v>
      </c>
      <c r="AL2073">
        <v>1</v>
      </c>
    </row>
    <row r="2074" spans="1:41" s="501" customFormat="1" ht="12">
      <c r="A2074" s="44"/>
      <c r="B2074" s="497"/>
      <c r="C2074" s="497"/>
      <c r="D2074" s="807"/>
      <c r="E2074" s="808"/>
      <c r="F2074" s="499"/>
      <c r="G2074" s="499"/>
      <c r="H2074" s="499"/>
      <c r="I2074" s="499"/>
      <c r="J2074" s="499"/>
      <c r="K2074" s="499"/>
      <c r="L2074" s="809"/>
      <c r="M2074" s="499"/>
      <c r="N2074" s="499"/>
      <c r="O2074" s="499"/>
      <c r="P2074" s="499"/>
      <c r="Q2074" s="499"/>
      <c r="R2074" s="720">
        <f>$A2074*Q2074</f>
        <v>0</v>
      </c>
      <c r="S2074" s="499"/>
      <c r="T2074" s="500">
        <f>$A2074*S2074*$T$1</f>
        <v>0</v>
      </c>
    </row>
    <row r="2075" spans="1:41" s="501" customFormat="1" ht="12.75" customHeight="1">
      <c r="A2075" s="772" t="s">
        <v>145</v>
      </c>
      <c r="B2075" s="773">
        <f>(R2074+T2074)</f>
        <v>0</v>
      </c>
      <c r="C2075" s="810"/>
      <c r="D2075" s="810"/>
      <c r="E2075" s="810"/>
      <c r="F2075" s="810"/>
      <c r="G2075" s="776"/>
      <c r="H2075" s="776"/>
      <c r="I2075" s="776"/>
      <c r="J2075" s="776"/>
      <c r="K2075" s="798" t="s">
        <v>8</v>
      </c>
      <c r="L2075" s="811" t="s">
        <v>573</v>
      </c>
      <c r="M2075" s="776"/>
      <c r="N2075" s="776"/>
      <c r="O2075" s="776"/>
      <c r="P2075" s="776"/>
      <c r="Q2075" s="776"/>
      <c r="R2075" s="777">
        <f>SUM(R2072:R2074)</f>
        <v>0</v>
      </c>
      <c r="S2075" s="778"/>
      <c r="T2075" s="777">
        <f>SUM(T2072:T2074)</f>
        <v>0</v>
      </c>
      <c r="AG2075" s="812">
        <f>ROUND($R2075*$S$4,2)</f>
        <v>0</v>
      </c>
    </row>
    <row r="2076" spans="1:41" s="501" customFormat="1" ht="12.75" customHeight="1">
      <c r="A2076" s="813"/>
      <c r="B2076" s="814"/>
      <c r="E2076" s="497"/>
      <c r="F2076" s="808"/>
      <c r="G2076" s="497"/>
      <c r="H2076" s="497"/>
      <c r="I2076" s="499"/>
      <c r="J2076" s="497"/>
      <c r="K2076" s="497"/>
      <c r="L2076" s="815"/>
      <c r="M2076" s="725"/>
      <c r="N2076" s="725"/>
      <c r="O2076" s="725"/>
      <c r="P2076" s="725"/>
      <c r="Q2076" s="726"/>
      <c r="R2076" s="784"/>
      <c r="S2076" s="497"/>
      <c r="T2076" s="784"/>
    </row>
    <row r="2077" spans="1:41" s="501" customFormat="1" ht="13.5" customHeight="1" thickBot="1">
      <c r="A2077" s="816"/>
      <c r="B2077" s="817"/>
      <c r="C2077" s="518"/>
      <c r="D2077" s="518"/>
      <c r="E2077" s="515"/>
      <c r="F2077" s="721"/>
      <c r="G2077" s="515" t="s">
        <v>146</v>
      </c>
      <c r="H2077" s="515"/>
      <c r="I2077" s="516"/>
      <c r="J2077" s="515"/>
      <c r="K2077" s="515"/>
      <c r="L2077" s="818" t="s">
        <v>143</v>
      </c>
      <c r="M2077" s="517"/>
      <c r="N2077" s="517"/>
      <c r="O2077" s="517"/>
      <c r="P2077" s="517"/>
      <c r="Q2077" s="722"/>
      <c r="R2077" s="819">
        <f ca="1">SUMIF($L2053:$L2076,"SUBI",R2053:R2076)</f>
        <v>0</v>
      </c>
      <c r="S2077" s="820"/>
      <c r="T2077" s="819">
        <f ca="1">SUMIF($L2053:$L2076,"SUBI",T2053:T2076)</f>
        <v>0</v>
      </c>
      <c r="U2077" s="518"/>
      <c r="V2077" s="518"/>
      <c r="W2077" s="518"/>
      <c r="X2077" s="518"/>
      <c r="Y2077" s="518"/>
      <c r="Z2077" s="518"/>
      <c r="AA2077" s="518"/>
      <c r="AB2077" s="518"/>
      <c r="AC2077" s="518"/>
      <c r="AD2077" s="518"/>
      <c r="AE2077" s="518"/>
      <c r="AF2077" s="518"/>
      <c r="AG2077" s="518"/>
      <c r="AH2077" s="518"/>
      <c r="AI2077" s="518"/>
      <c r="AJ2077" s="518"/>
      <c r="AK2077" s="518"/>
      <c r="AL2077" s="518"/>
      <c r="AM2077" s="518"/>
      <c r="AN2077" s="518"/>
      <c r="AO2077" s="518"/>
    </row>
    <row r="2078" spans="1:41" s="501" customFormat="1" thickTop="1">
      <c r="A2078" s="44"/>
      <c r="B2078" s="44"/>
      <c r="C2078" s="3"/>
      <c r="D2078" s="3"/>
      <c r="E2078" s="44"/>
      <c r="F2078" s="44"/>
      <c r="G2078" s="44"/>
      <c r="H2078" s="44"/>
      <c r="I2078" s="44"/>
      <c r="J2078" s="44"/>
      <c r="K2078" s="44" t="s">
        <v>134</v>
      </c>
      <c r="L2078" s="44"/>
      <c r="M2078" s="44"/>
      <c r="N2078" s="44"/>
      <c r="O2078" s="45"/>
      <c r="P2078" s="44"/>
      <c r="Q2078" s="44"/>
      <c r="R2078" s="44"/>
      <c r="S2078" s="44"/>
      <c r="T2078" s="44"/>
    </row>
    <row r="2079" spans="1:41" s="501" customFormat="1" ht="12">
      <c r="A2079" s="44"/>
      <c r="B2079" s="44"/>
      <c r="C2079" s="44" t="s">
        <v>135</v>
      </c>
      <c r="D2079" s="35"/>
      <c r="E2079" s="44"/>
      <c r="F2079" s="44"/>
      <c r="G2079" s="44"/>
      <c r="H2079" s="44"/>
      <c r="I2079" s="44"/>
      <c r="J2079" s="44"/>
      <c r="K2079" s="44"/>
      <c r="L2079" s="44"/>
      <c r="M2079" s="44"/>
      <c r="N2079" s="44"/>
      <c r="O2079" s="45"/>
      <c r="P2079" s="44"/>
      <c r="Q2079" s="44"/>
      <c r="R2079" s="44"/>
      <c r="S2079" s="44"/>
      <c r="T2079" s="44"/>
    </row>
    <row r="2080" spans="1:41" s="501" customFormat="1" ht="12">
      <c r="A2080" s="44"/>
      <c r="B2080" s="44"/>
      <c r="C2080" s="44"/>
      <c r="D2080" s="35" t="s">
        <v>514</v>
      </c>
      <c r="E2080" s="44"/>
      <c r="F2080" s="44"/>
      <c r="G2080" s="44"/>
      <c r="H2080" s="44"/>
      <c r="I2080" s="44"/>
      <c r="J2080" s="44"/>
      <c r="K2080" s="44"/>
      <c r="L2080" s="44"/>
      <c r="M2080" s="44"/>
      <c r="N2080" s="44"/>
      <c r="O2080" s="45"/>
      <c r="P2080" s="44"/>
      <c r="Q2080" s="44"/>
      <c r="R2080" s="44"/>
      <c r="S2080" s="36"/>
      <c r="T2080" s="36"/>
    </row>
    <row r="2081" spans="1:41" s="3" customFormat="1" thickBot="1">
      <c r="A2081" s="518"/>
      <c r="O2081" s="86"/>
    </row>
    <row r="2082" spans="1:41" s="501" customFormat="1" thickTop="1">
      <c r="A2082" s="44"/>
      <c r="B2082" s="39"/>
      <c r="C2082" s="44"/>
      <c r="E2082" s="40" t="s">
        <v>138</v>
      </c>
      <c r="F2082" s="40" t="s">
        <v>139</v>
      </c>
      <c r="G2082" s="44"/>
      <c r="H2082" s="44"/>
      <c r="I2082" s="44"/>
      <c r="J2082" s="44"/>
      <c r="K2082" s="44" t="s">
        <v>140</v>
      </c>
      <c r="L2082" s="737"/>
      <c r="M2082" s="44"/>
      <c r="N2082" s="44"/>
      <c r="O2082" s="45"/>
      <c r="P2082" s="44"/>
      <c r="Q2082"/>
      <c r="R2082"/>
      <c r="S2082"/>
      <c r="T2082" s="39"/>
      <c r="AG2082" s="502" t="s">
        <v>247</v>
      </c>
      <c r="AH2082" s="502" t="s">
        <v>248</v>
      </c>
      <c r="AI2082" s="502" t="s">
        <v>249</v>
      </c>
      <c r="AJ2082" s="502" t="s">
        <v>250</v>
      </c>
      <c r="AK2082" s="502" t="s">
        <v>251</v>
      </c>
      <c r="AM2082" s="710" t="s">
        <v>260</v>
      </c>
      <c r="AN2082" s="711" t="s">
        <v>261</v>
      </c>
      <c r="AO2082" s="503" t="s">
        <v>257</v>
      </c>
    </row>
    <row r="2083" spans="1:41" s="501" customFormat="1" ht="13.2">
      <c r="A2083" s="712">
        <v>1</v>
      </c>
      <c r="B2083" s="504" t="s">
        <v>283</v>
      </c>
      <c r="C2083" s="505"/>
      <c r="D2083" s="713" t="s">
        <v>610</v>
      </c>
      <c r="E2083" s="738">
        <f ca="1">IF(AND($A2083=0,$A$1="DIF"),0,ROUND(ROUND(SUMIF($L2085:$L2103,"SUBI",$E2085:$E2103)/$A2083,2)*$C$12,2))</f>
        <v>5699.05</v>
      </c>
      <c r="F2083" s="739">
        <f ca="1">ROUND($A2083*$E2083,2)</f>
        <v>5699.05</v>
      </c>
      <c r="G2083" s="506" t="s">
        <v>142</v>
      </c>
      <c r="H2083" s="498"/>
      <c r="I2083" s="716"/>
      <c r="J2083" s="498"/>
      <c r="K2083" s="740"/>
      <c r="L2083" s="741" t="s">
        <v>143</v>
      </c>
      <c r="M2083" s="717"/>
      <c r="N2083" s="717"/>
      <c r="O2083" s="717"/>
      <c r="P2083" s="717"/>
      <c r="Q2083" s="943" t="s">
        <v>855</v>
      </c>
      <c r="R2083" s="943" t="s">
        <v>869</v>
      </c>
      <c r="S2083"/>
      <c r="T2083" s="742" t="str">
        <f ca="1">IF(AND($R2108=0,$T2108=0),"0.00","mu :" &amp; ROUND($F2083/$C$12/($R2108+$T2108*$D$9),2))</f>
        <v>mu :1.37</v>
      </c>
      <c r="W2083" s="507"/>
      <c r="AG2083" s="743">
        <f ca="1">IF(A2083=0,0,ROUND(SUM(AG2085:AG2108)/A2083,2))</f>
        <v>4128.95</v>
      </c>
      <c r="AH2083" s="743">
        <f ca="1">$AG2083*$A2083</f>
        <v>4128.95</v>
      </c>
      <c r="AI2083" s="743">
        <f ca="1">$E2083-$AG2083</f>
        <v>1570.1000000000004</v>
      </c>
      <c r="AJ2083" s="743">
        <f ca="1">$A2083*$AI2083</f>
        <v>1570.1000000000004</v>
      </c>
      <c r="AK2083" s="744">
        <f ca="1">ROUND(($AG2083+$AI2083)*$A2083,2)</f>
        <v>5699.05</v>
      </c>
      <c r="AM2083" s="510">
        <f ca="1">ROUND(R2108,2)</f>
        <v>3058.48</v>
      </c>
      <c r="AN2083" s="511">
        <f ca="1">ROUND(T2108,2)</f>
        <v>40.159999999999997</v>
      </c>
      <c r="AO2083" s="512">
        <f ca="1">ROUND(AM2083+AN2083,2)*A2083</f>
        <v>3098.64</v>
      </c>
    </row>
    <row r="2084" spans="1:41" s="501" customFormat="1" ht="39.9" customHeight="1">
      <c r="A2084" s="745"/>
      <c r="B2084" s="746"/>
      <c r="C2084" s="505"/>
      <c r="D2084" s="1183" t="s">
        <v>515</v>
      </c>
      <c r="E2084" s="1184"/>
      <c r="F2084" s="1184"/>
      <c r="G2084" s="1184"/>
      <c r="H2084" s="1184"/>
      <c r="I2084" s="1184"/>
      <c r="J2084" s="1184"/>
      <c r="K2084" s="1184"/>
      <c r="L2084" s="1184"/>
      <c r="M2084" s="1184"/>
      <c r="N2084" s="1184"/>
      <c r="O2084" s="1184"/>
      <c r="P2084" s="1184"/>
      <c r="Q2084" s="1184"/>
      <c r="R2084" s="1184"/>
      <c r="S2084" s="1184"/>
      <c r="T2084" s="1184"/>
    </row>
    <row r="2085" spans="1:41" s="501" customFormat="1" ht="12">
      <c r="A2085" s="748"/>
      <c r="B2085" s="749"/>
      <c r="C2085" s="497"/>
      <c r="D2085" s="750"/>
      <c r="E2085" s="751">
        <f ca="1">F2083/$C$12-SUMIF($L2082:$L2108,"SUBI",$E2082:$E2108)</f>
        <v>0</v>
      </c>
      <c r="F2085" s="752" t="s">
        <v>572</v>
      </c>
      <c r="G2085" s="753"/>
      <c r="H2085" s="753"/>
      <c r="I2085" s="754"/>
      <c r="J2085" s="753"/>
      <c r="K2085" s="753"/>
      <c r="L2085" s="755"/>
      <c r="M2085" s="756"/>
      <c r="N2085" s="756"/>
      <c r="O2085" s="756"/>
      <c r="P2085" s="756"/>
      <c r="Q2085" s="757"/>
      <c r="R2085" s="758"/>
      <c r="S2085" s="757"/>
      <c r="T2085" s="759"/>
    </row>
    <row r="2086" spans="1:41" s="501" customFormat="1" ht="12" customHeight="1">
      <c r="A2086" s="760"/>
      <c r="B2086" s="761"/>
      <c r="C2086" s="762"/>
      <c r="D2086" s="762" t="str">
        <f>$F$2</f>
        <v>Electrical</v>
      </c>
      <c r="E2086" s="762">
        <f ca="1">ROUND(($R2098*$S$2 + ($T2098*$T$2)), 2)</f>
        <v>1797.87</v>
      </c>
      <c r="F2086" s="763">
        <f ca="1">$E2086*$C$12</f>
        <v>1797.87</v>
      </c>
      <c r="G2086" s="567"/>
      <c r="H2086" s="764"/>
      <c r="I2086" s="567"/>
      <c r="J2086" s="45"/>
      <c r="K2086" s="765" t="s">
        <v>3</v>
      </c>
      <c r="L2086" s="766" t="s">
        <v>573</v>
      </c>
      <c r="M2086" s="567"/>
      <c r="N2086" s="567"/>
      <c r="O2086" s="45"/>
      <c r="P2086" s="567"/>
      <c r="Q2086" s="567"/>
      <c r="R2086"/>
      <c r="S2086"/>
      <c r="T2086"/>
    </row>
    <row r="2087" spans="1:41" s="935" customFormat="1" ht="13.2">
      <c r="A2087"/>
      <c r="B2087" s="927"/>
      <c r="C2087" s="927" t="s">
        <v>735</v>
      </c>
      <c r="D2087" s="927" t="str">
        <f ca="1">CELL("Address",Elec_Rates!D$143)</f>
        <v>[E25_0465_IH_Retro_Elec4Mech_Est_Rev_A.xlsx]Elec_Rates!$D$143</v>
      </c>
      <c r="E2087" s="928"/>
      <c r="F2087" s="928"/>
      <c r="G2087" s="929" t="s">
        <v>736</v>
      </c>
      <c r="H2087" s="929"/>
      <c r="I2087" s="929"/>
      <c r="J2087" s="929"/>
      <c r="K2087" s="930"/>
      <c r="L2087" s="928"/>
      <c r="M2087" s="928"/>
      <c r="N2087" s="928"/>
      <c r="O2087" s="931"/>
      <c r="P2087" s="928"/>
      <c r="Q2087" s="932"/>
      <c r="R2087" s="933"/>
      <c r="S2087" s="932"/>
      <c r="T2087" s="560"/>
      <c r="U2087" s="934"/>
    </row>
    <row r="2088" spans="1:41" s="935" customFormat="1" ht="11.4">
      <c r="A2088" s="936">
        <v>1</v>
      </c>
      <c r="B2088" s="937">
        <v>1</v>
      </c>
      <c r="C2088" s="937">
        <f>$A2088*$B2088</f>
        <v>1</v>
      </c>
      <c r="D2088" s="938" t="str">
        <f>Elec_Rates!$D$143</f>
        <v>011# Power supply to control panel (4core x 4.0sqmm) and VDS by pass in MCC</v>
      </c>
      <c r="E2088" s="938"/>
      <c r="F2088" s="938" t="s">
        <v>737</v>
      </c>
      <c r="G2088" s="939" t="s">
        <v>738</v>
      </c>
      <c r="H2088" s="939"/>
      <c r="I2088" s="939"/>
      <c r="J2088" s="939"/>
      <c r="K2088" s="940"/>
      <c r="L2088" s="934"/>
      <c r="M2088" s="934"/>
      <c r="N2088" s="934"/>
      <c r="O2088" s="941"/>
      <c r="P2088" s="938"/>
      <c r="Q2088" s="942">
        <f ca="1">$B2088*Elec_Rates!$R$143</f>
        <v>74.239999999999995</v>
      </c>
      <c r="R2088" s="933">
        <f ca="1">$A2088*Q2088</f>
        <v>74.239999999999995</v>
      </c>
      <c r="S2088" s="942">
        <f ca="1">$B2088*Elec_Rates!$T$143</f>
        <v>3.17</v>
      </c>
      <c r="T2088" s="560">
        <f ca="1">$A2088*S2088</f>
        <v>3.17</v>
      </c>
      <c r="U2088" s="484"/>
    </row>
    <row r="2089" spans="1:41" s="935" customFormat="1" ht="13.2">
      <c r="A2089"/>
      <c r="B2089" s="927"/>
      <c r="C2089" s="927" t="s">
        <v>735</v>
      </c>
      <c r="D2089" s="927" t="str">
        <f ca="1">CELL("Address",Elec_Rates!D$196)</f>
        <v>[E25_0465_IH_Retro_Elec4Mech_Est_Rev_A.xlsx]Elec_Rates!$D$196</v>
      </c>
      <c r="E2089" s="928"/>
      <c r="F2089" s="928"/>
      <c r="G2089" s="929" t="s">
        <v>736</v>
      </c>
      <c r="H2089" s="929"/>
      <c r="I2089" s="929"/>
      <c r="J2089" s="929"/>
      <c r="K2089" s="930"/>
      <c r="L2089" s="928"/>
      <c r="M2089" s="928"/>
      <c r="N2089" s="928"/>
      <c r="O2089" s="931"/>
      <c r="P2089" s="928"/>
      <c r="Q2089" s="932"/>
      <c r="R2089" s="933"/>
      <c r="S2089" s="932"/>
      <c r="T2089" s="560"/>
      <c r="U2089" s="934"/>
    </row>
    <row r="2090" spans="1:41" s="935" customFormat="1" ht="11.4">
      <c r="A2090" s="936">
        <v>1</v>
      </c>
      <c r="B2090" s="937">
        <v>1</v>
      </c>
      <c r="C2090" s="937">
        <f>$A2090*$B2090</f>
        <v>1</v>
      </c>
      <c r="D2090" s="938" t="str">
        <f>Elec_Rates!$D$196</f>
        <v>013# Installation of Rosenger control panel</v>
      </c>
      <c r="E2090" s="938"/>
      <c r="F2090" s="938" t="s">
        <v>737</v>
      </c>
      <c r="G2090" s="939" t="s">
        <v>739</v>
      </c>
      <c r="H2090" s="939"/>
      <c r="I2090" s="939"/>
      <c r="J2090" s="939"/>
      <c r="K2090" s="940"/>
      <c r="L2090" s="934"/>
      <c r="M2090" s="934"/>
      <c r="N2090" s="934"/>
      <c r="O2090" s="941"/>
      <c r="P2090" s="938"/>
      <c r="Q2090" s="942">
        <f ca="1">$B2090*Elec_Rates!$R$196</f>
        <v>20</v>
      </c>
      <c r="R2090" s="933">
        <f ca="1">$A2090*Q2090</f>
        <v>20</v>
      </c>
      <c r="S2090" s="942">
        <f ca="1">$B2090*Elec_Rates!$T$196</f>
        <v>2</v>
      </c>
      <c r="T2090" s="560">
        <f ca="1">$A2090*S2090</f>
        <v>2</v>
      </c>
      <c r="U2090" s="484"/>
    </row>
    <row r="2091" spans="1:41" s="935" customFormat="1" ht="13.2">
      <c r="A2091"/>
      <c r="B2091" s="927"/>
      <c r="C2091" s="927" t="s">
        <v>735</v>
      </c>
      <c r="D2091" s="927" t="str">
        <f ca="1">CELL("Address",Elec_Rates!D$203)</f>
        <v>[E25_0465_IH_Retro_Elec4Mech_Est_Rev_A.xlsx]Elec_Rates!$D$203</v>
      </c>
      <c r="E2091" s="928"/>
      <c r="F2091" s="928"/>
      <c r="G2091" s="929" t="s">
        <v>736</v>
      </c>
      <c r="H2091" s="929"/>
      <c r="I2091" s="929"/>
      <c r="J2091" s="929"/>
      <c r="K2091" s="930"/>
      <c r="L2091" s="928"/>
      <c r="M2091" s="928"/>
      <c r="N2091" s="928"/>
      <c r="O2091" s="931"/>
      <c r="P2091" s="928"/>
      <c r="Q2091" s="932"/>
      <c r="R2091" s="933"/>
      <c r="S2091" s="932"/>
      <c r="T2091" s="560"/>
      <c r="U2091" s="934"/>
    </row>
    <row r="2092" spans="1:41" s="935" customFormat="1" ht="11.4">
      <c r="A2092" s="936">
        <v>4</v>
      </c>
      <c r="B2092" s="937">
        <v>1</v>
      </c>
      <c r="C2092" s="937">
        <f>$A2092*$B2092</f>
        <v>4</v>
      </c>
      <c r="D2092" s="938" t="str">
        <f>Elec_Rates!$D$203</f>
        <v>014# Installation of cable harness to fans</v>
      </c>
      <c r="E2092" s="938"/>
      <c r="F2092" s="938" t="s">
        <v>737</v>
      </c>
      <c r="G2092" s="939" t="s">
        <v>738</v>
      </c>
      <c r="H2092" s="939"/>
      <c r="I2092" s="939"/>
      <c r="J2092" s="939"/>
      <c r="K2092" s="940"/>
      <c r="L2092" s="934"/>
      <c r="M2092" s="934"/>
      <c r="N2092" s="934"/>
      <c r="O2092" s="941"/>
      <c r="P2092" s="938"/>
      <c r="Q2092" s="942">
        <f ca="1">$B2092*Elec_Rates!$R$203</f>
        <v>20</v>
      </c>
      <c r="R2092" s="933">
        <f ca="1">$A2092*Q2092</f>
        <v>80</v>
      </c>
      <c r="S2092" s="942">
        <f ca="1">$B2092*Elec_Rates!$T$203</f>
        <v>1</v>
      </c>
      <c r="T2092" s="560">
        <f ca="1">$A2092*S2092</f>
        <v>4</v>
      </c>
      <c r="U2092" s="484"/>
    </row>
    <row r="2093" spans="1:41" s="935" customFormat="1" ht="13.2">
      <c r="A2093"/>
      <c r="B2093" s="927"/>
      <c r="C2093" s="927" t="s">
        <v>735</v>
      </c>
      <c r="D2093" s="927" t="str">
        <f ca="1">CELL("Address",Elec_Rates!D$210)</f>
        <v>[E25_0465_IH_Retro_Elec4Mech_Est_Rev_A.xlsx]Elec_Rates!$D$210</v>
      </c>
      <c r="E2093" s="928"/>
      <c r="F2093" s="928"/>
      <c r="G2093" s="929" t="s">
        <v>736</v>
      </c>
      <c r="H2093" s="929"/>
      <c r="I2093" s="929"/>
      <c r="J2093" s="929"/>
      <c r="K2093" s="930"/>
      <c r="L2093" s="928"/>
      <c r="M2093" s="928"/>
      <c r="N2093" s="928"/>
      <c r="O2093" s="931"/>
      <c r="P2093" s="928"/>
      <c r="Q2093" s="932"/>
      <c r="R2093" s="933"/>
      <c r="S2093" s="932"/>
      <c r="T2093" s="560"/>
      <c r="U2093" s="934"/>
    </row>
    <row r="2094" spans="1:41" s="935" customFormat="1" ht="11.4">
      <c r="A2094" s="936">
        <v>1</v>
      </c>
      <c r="B2094" s="937">
        <v>1</v>
      </c>
      <c r="C2094" s="937">
        <f>$A2094*$B2094</f>
        <v>1</v>
      </c>
      <c r="D2094" s="938" t="str">
        <f>Elec_Rates!$D$210</f>
        <v>015# Installation of control panels by ECA</v>
      </c>
      <c r="E2094" s="938"/>
      <c r="F2094" s="938" t="s">
        <v>737</v>
      </c>
      <c r="G2094" s="939" t="s">
        <v>739</v>
      </c>
      <c r="H2094" s="939"/>
      <c r="I2094" s="939"/>
      <c r="J2094" s="939"/>
      <c r="K2094" s="940"/>
      <c r="L2094" s="934"/>
      <c r="M2094" s="934"/>
      <c r="N2094" s="934"/>
      <c r="O2094" s="941"/>
      <c r="P2094" s="938"/>
      <c r="Q2094" s="942">
        <f ca="1">$B2094*Elec_Rates!$R$210</f>
        <v>30</v>
      </c>
      <c r="R2094" s="933">
        <f ca="1">$A2094*Q2094</f>
        <v>30</v>
      </c>
      <c r="S2094" s="942">
        <f ca="1">$B2094*Elec_Rates!$T$210</f>
        <v>1</v>
      </c>
      <c r="T2094" s="560">
        <f ca="1">$A2094*S2094</f>
        <v>1</v>
      </c>
      <c r="U2094" s="484"/>
    </row>
    <row r="2095" spans="1:41" s="935" customFormat="1" ht="13.2">
      <c r="A2095"/>
      <c r="B2095" s="927"/>
      <c r="C2095" s="927" t="s">
        <v>735</v>
      </c>
      <c r="D2095" s="927" t="str">
        <f ca="1">CELL("Address",Elec_Rates!D$217)</f>
        <v>[E25_0465_IH_Retro_Elec4Mech_Est_Rev_A.xlsx]Elec_Rates!$D$217</v>
      </c>
      <c r="E2095" s="928"/>
      <c r="F2095" s="928"/>
      <c r="G2095" s="929" t="s">
        <v>736</v>
      </c>
      <c r="H2095" s="929"/>
      <c r="I2095" s="929"/>
      <c r="J2095" s="929"/>
      <c r="K2095" s="930"/>
      <c r="L2095" s="928"/>
      <c r="M2095" s="928"/>
      <c r="N2095" s="928"/>
      <c r="O2095" s="931"/>
      <c r="P2095" s="928"/>
      <c r="Q2095" s="932"/>
      <c r="R2095" s="933"/>
      <c r="S2095" s="932"/>
      <c r="T2095" s="560"/>
      <c r="U2095" s="934"/>
    </row>
    <row r="2096" spans="1:41" s="935" customFormat="1" ht="11.4">
      <c r="A2096" s="936">
        <v>1</v>
      </c>
      <c r="B2096" s="937">
        <v>1</v>
      </c>
      <c r="C2096" s="937">
        <f>$A2096*$B2096</f>
        <v>1</v>
      </c>
      <c r="D2096" s="938" t="str">
        <f>Elec_Rates!$D$217</f>
        <v>016# Installation of sensors on AHUs</v>
      </c>
      <c r="E2096" s="938"/>
      <c r="F2096" s="938" t="s">
        <v>737</v>
      </c>
      <c r="G2096" s="939" t="s">
        <v>738</v>
      </c>
      <c r="H2096" s="939"/>
      <c r="I2096" s="939"/>
      <c r="J2096" s="939"/>
      <c r="K2096" s="940"/>
      <c r="L2096" s="934"/>
      <c r="M2096" s="934"/>
      <c r="N2096" s="934"/>
      <c r="O2096" s="941"/>
      <c r="P2096" s="938"/>
      <c r="Q2096" s="942">
        <f ca="1">$B2096*Elec_Rates!$R$217</f>
        <v>354.24</v>
      </c>
      <c r="R2096" s="933">
        <f ca="1">$A2096*Q2096</f>
        <v>354.24</v>
      </c>
      <c r="S2096" s="942">
        <f ca="1">$B2096*Elec_Rates!$T$217</f>
        <v>17.989999999999998</v>
      </c>
      <c r="T2096" s="560">
        <f ca="1">$A2096*S2096</f>
        <v>17.989999999999998</v>
      </c>
      <c r="U2096" s="484"/>
    </row>
    <row r="2097" spans="1:41" s="501" customFormat="1" ht="14.4" customHeight="1">
      <c r="A2097" s="767"/>
      <c r="B2097" s="567"/>
      <c r="C2097" s="567"/>
      <c r="D2097" s="567"/>
      <c r="E2097" s="567"/>
      <c r="F2097" s="567"/>
      <c r="G2097" s="567"/>
      <c r="H2097" s="764"/>
      <c r="I2097" s="567"/>
      <c r="J2097" s="45"/>
      <c r="K2097" s="769"/>
      <c r="L2097" s="770"/>
      <c r="M2097" s="567"/>
      <c r="N2097" s="567"/>
      <c r="O2097" s="45"/>
      <c r="P2097" s="567"/>
      <c r="Q2097" s="567"/>
      <c r="R2097" s="771">
        <f>$A2097*Q2097</f>
        <v>0</v>
      </c>
      <c r="S2097" s="567"/>
      <c r="T2097" s="500">
        <f>$A2097*S2097*$T$1</f>
        <v>0</v>
      </c>
    </row>
    <row r="2098" spans="1:41" s="501" customFormat="1" ht="12">
      <c r="A2098" s="772" t="s">
        <v>145</v>
      </c>
      <c r="B2098" s="773">
        <f>(R2097+T2097)</f>
        <v>0</v>
      </c>
      <c r="C2098" s="753"/>
      <c r="G2098" s="774"/>
      <c r="H2098" s="774"/>
      <c r="I2098" s="774"/>
      <c r="J2098" s="774"/>
      <c r="K2098" s="750" t="s">
        <v>3</v>
      </c>
      <c r="L2098" s="775" t="s">
        <v>573</v>
      </c>
      <c r="M2098" s="774"/>
      <c r="N2098" s="774"/>
      <c r="O2098" s="774"/>
      <c r="P2098" s="774"/>
      <c r="Q2098" s="776"/>
      <c r="R2098" s="777">
        <f ca="1">SUM(R2086:R2097)</f>
        <v>558.48</v>
      </c>
      <c r="S2098" s="778"/>
      <c r="T2098" s="777">
        <f ca="1">SUM(T2086:T2097)</f>
        <v>28.159999999999997</v>
      </c>
      <c r="AG2098" s="779">
        <f ca="1">ROUND($R2098*$S$2,2)</f>
        <v>753.95</v>
      </c>
    </row>
    <row r="2099" spans="1:41" s="501" customFormat="1" ht="12" customHeight="1">
      <c r="A2099" s="760"/>
      <c r="B2099" s="780"/>
      <c r="C2099" s="781"/>
      <c r="D2099" s="782" t="str">
        <f>$F$3</f>
        <v>Technician</v>
      </c>
      <c r="E2099" s="782">
        <f>ROUND(($R2102*$S$3 + ($T2102*$T$3)), 2)</f>
        <v>3739.18</v>
      </c>
      <c r="F2099" s="783">
        <f>$E2099*$C$12</f>
        <v>3739.18</v>
      </c>
      <c r="G2099" s="499"/>
      <c r="H2099" s="499"/>
      <c r="I2099" s="499"/>
      <c r="J2099" s="499"/>
      <c r="K2099" s="765" t="s">
        <v>5</v>
      </c>
      <c r="L2099" s="766" t="s">
        <v>573</v>
      </c>
      <c r="M2099" s="499"/>
      <c r="N2099" s="499"/>
      <c r="O2099" s="499"/>
      <c r="P2099" s="499"/>
      <c r="Q2099" s="499"/>
      <c r="R2099" s="784"/>
      <c r="S2099" s="499"/>
      <c r="T2099" s="784"/>
    </row>
    <row r="2100" spans="1:41" s="893" customFormat="1" ht="13.2">
      <c r="A2100">
        <v>1</v>
      </c>
      <c r="B2100" s="893" t="s">
        <v>141</v>
      </c>
      <c r="D2100" s="893" t="s">
        <v>767</v>
      </c>
      <c r="E2100" s="893" t="s">
        <v>770</v>
      </c>
      <c r="F2100" s="893" t="s">
        <v>769</v>
      </c>
      <c r="G2100" s="894" t="s">
        <v>768</v>
      </c>
      <c r="H2100" s="895">
        <v>570</v>
      </c>
      <c r="I2100" s="893" t="s">
        <v>643</v>
      </c>
      <c r="O2100" s="896">
        <v>2</v>
      </c>
      <c r="P2100" s="897">
        <v>38443</v>
      </c>
      <c r="Q2100" s="898">
        <v>2500</v>
      </c>
      <c r="R2100" s="899">
        <f>$A2100*Q2100</f>
        <v>2500</v>
      </c>
      <c r="S2100" s="898">
        <f>200/25</f>
        <v>8</v>
      </c>
      <c r="T2100" s="900">
        <f>$A2100*S2100*$T$1</f>
        <v>8</v>
      </c>
    </row>
    <row r="2101" spans="1:41" s="501" customFormat="1" ht="15.6" customHeight="1">
      <c r="A2101" s="767"/>
      <c r="B2101" s="567"/>
      <c r="C2101" s="567"/>
      <c r="D2101" s="3"/>
      <c r="E2101" s="567"/>
      <c r="F2101" s="567"/>
      <c r="G2101" s="567"/>
      <c r="H2101" s="567"/>
      <c r="I2101" s="567"/>
      <c r="J2101" s="567"/>
      <c r="K2101" s="567"/>
      <c r="L2101" s="770"/>
      <c r="M2101" s="567"/>
      <c r="N2101" s="567"/>
      <c r="O2101" s="567"/>
      <c r="P2101" s="567"/>
      <c r="Q2101" s="567"/>
      <c r="R2101" s="771">
        <f>$A2101*Q2101</f>
        <v>0</v>
      </c>
      <c r="S2101" s="567"/>
      <c r="T2101" s="500">
        <f>$A2101*S2101*$T$1</f>
        <v>0</v>
      </c>
    </row>
    <row r="2102" spans="1:41" s="501" customFormat="1" ht="12">
      <c r="A2102" s="772" t="s">
        <v>145</v>
      </c>
      <c r="B2102" s="773">
        <f>(R2101+T2101)</f>
        <v>0</v>
      </c>
      <c r="C2102" s="753"/>
      <c r="G2102" s="774"/>
      <c r="H2102" s="774"/>
      <c r="I2102" s="774"/>
      <c r="J2102" s="774"/>
      <c r="K2102" s="798" t="s">
        <v>5</v>
      </c>
      <c r="L2102" s="775" t="s">
        <v>573</v>
      </c>
      <c r="M2102" s="774"/>
      <c r="N2102" s="774"/>
      <c r="O2102" s="774"/>
      <c r="P2102" s="774"/>
      <c r="Q2102" s="776"/>
      <c r="R2102" s="777">
        <f>SUM(R2099:R2101)</f>
        <v>2500</v>
      </c>
      <c r="S2102" s="778"/>
      <c r="T2102" s="777">
        <f>SUM(T2099:T2101)</f>
        <v>8</v>
      </c>
      <c r="AG2102" s="799">
        <f>ROUND($R2102*$S$3,2)</f>
        <v>3375</v>
      </c>
    </row>
    <row r="2103" spans="1:41" s="501" customFormat="1" ht="12" customHeight="1">
      <c r="A2103" s="800"/>
      <c r="B2103" s="801"/>
      <c r="C2103" s="802"/>
      <c r="D2103" s="803" t="str">
        <f>$F$4</f>
        <v>Engineer (Man Hours)</v>
      </c>
      <c r="E2103" s="803">
        <f>ROUND(($R2106*$S$4 + ($T2106*$T$4)), 2)</f>
        <v>162</v>
      </c>
      <c r="F2103" s="804">
        <f ca="1">$F2083-SUMIF($L2085:$P2100,"SUBI",$F2085:$F2100)</f>
        <v>162.00000000000091</v>
      </c>
      <c r="G2103" s="499"/>
      <c r="H2103" s="499"/>
      <c r="I2103" s="499"/>
      <c r="J2103" s="499"/>
      <c r="K2103" s="805" t="s">
        <v>8</v>
      </c>
      <c r="L2103" s="766" t="s">
        <v>573</v>
      </c>
      <c r="M2103" s="499"/>
      <c r="N2103" s="499"/>
      <c r="O2103" s="499"/>
      <c r="P2103" s="499"/>
      <c r="Q2103" s="499"/>
      <c r="R2103" s="784"/>
      <c r="S2103" s="499"/>
      <c r="T2103" s="784"/>
    </row>
    <row r="2104" spans="1:41" s="893" customFormat="1" ht="13.2">
      <c r="A2104">
        <v>1</v>
      </c>
      <c r="B2104" s="893" t="s">
        <v>141</v>
      </c>
      <c r="D2104" s="893" t="s">
        <v>767</v>
      </c>
      <c r="E2104" s="893" t="s">
        <v>771</v>
      </c>
      <c r="F2104" s="893" t="s">
        <v>769</v>
      </c>
      <c r="G2104" s="894" t="s">
        <v>768</v>
      </c>
      <c r="H2104" s="895">
        <v>570</v>
      </c>
      <c r="I2104" s="893" t="s">
        <v>643</v>
      </c>
      <c r="O2104" s="896">
        <v>2</v>
      </c>
      <c r="P2104" s="897">
        <v>38443</v>
      </c>
      <c r="Q2104" s="898"/>
      <c r="R2104" s="899">
        <f>$A2104*Q2104</f>
        <v>0</v>
      </c>
      <c r="S2104" s="898">
        <f>100/25</f>
        <v>4</v>
      </c>
      <c r="T2104" s="900">
        <f>$A2104*S2104*$T$1</f>
        <v>4</v>
      </c>
    </row>
    <row r="2105" spans="1:41" s="501" customFormat="1" ht="12">
      <c r="A2105" s="44"/>
      <c r="B2105" s="497"/>
      <c r="C2105" s="497"/>
      <c r="D2105" s="807"/>
      <c r="E2105" s="808"/>
      <c r="F2105" s="499"/>
      <c r="G2105" s="499"/>
      <c r="H2105" s="499"/>
      <c r="I2105" s="499"/>
      <c r="J2105" s="499"/>
      <c r="K2105" s="499"/>
      <c r="L2105" s="809"/>
      <c r="M2105" s="499"/>
      <c r="N2105" s="499"/>
      <c r="O2105" s="499"/>
      <c r="P2105" s="499"/>
      <c r="Q2105" s="499"/>
      <c r="R2105" s="720">
        <f>$A2105*Q2105</f>
        <v>0</v>
      </c>
      <c r="S2105" s="499"/>
      <c r="T2105" s="500">
        <f>$A2105*S2105*$T$1</f>
        <v>0</v>
      </c>
    </row>
    <row r="2106" spans="1:41" s="501" customFormat="1" ht="12.75" customHeight="1">
      <c r="A2106" s="772" t="s">
        <v>145</v>
      </c>
      <c r="B2106" s="773">
        <f>(R2105+T2105)</f>
        <v>0</v>
      </c>
      <c r="C2106" s="810"/>
      <c r="D2106" s="810"/>
      <c r="E2106" s="810"/>
      <c r="F2106" s="810"/>
      <c r="G2106" s="776"/>
      <c r="H2106" s="776"/>
      <c r="I2106" s="776"/>
      <c r="J2106" s="776"/>
      <c r="K2106" s="798" t="s">
        <v>8</v>
      </c>
      <c r="L2106" s="811" t="s">
        <v>573</v>
      </c>
      <c r="M2106" s="776"/>
      <c r="N2106" s="776"/>
      <c r="O2106" s="776"/>
      <c r="P2106" s="776"/>
      <c r="Q2106" s="776"/>
      <c r="R2106" s="777">
        <f>SUM(R2103:R2105)</f>
        <v>0</v>
      </c>
      <c r="S2106" s="778"/>
      <c r="T2106" s="777">
        <f>SUM(T2103:T2105)</f>
        <v>4</v>
      </c>
      <c r="AG2106" s="812">
        <f>ROUND($R2106*$S$4,2)</f>
        <v>0</v>
      </c>
    </row>
    <row r="2107" spans="1:41" s="501" customFormat="1" ht="12.75" customHeight="1">
      <c r="A2107" s="813"/>
      <c r="B2107" s="814"/>
      <c r="E2107" s="497"/>
      <c r="F2107" s="808"/>
      <c r="G2107" s="497"/>
      <c r="H2107" s="497"/>
      <c r="I2107" s="499"/>
      <c r="J2107" s="497"/>
      <c r="K2107" s="497"/>
      <c r="L2107" s="815"/>
      <c r="M2107" s="725"/>
      <c r="N2107" s="725"/>
      <c r="O2107" s="725"/>
      <c r="P2107" s="725"/>
      <c r="Q2107" s="726"/>
      <c r="R2107" s="784"/>
      <c r="S2107" s="497"/>
      <c r="T2107" s="784"/>
    </row>
    <row r="2108" spans="1:41" s="501" customFormat="1" ht="13.5" customHeight="1" thickBot="1">
      <c r="A2108" s="816"/>
      <c r="B2108" s="817"/>
      <c r="C2108" s="518"/>
      <c r="D2108" s="518"/>
      <c r="E2108" s="515"/>
      <c r="F2108" s="721"/>
      <c r="G2108" s="515" t="s">
        <v>146</v>
      </c>
      <c r="H2108" s="515"/>
      <c r="I2108" s="516"/>
      <c r="J2108" s="515"/>
      <c r="K2108" s="515"/>
      <c r="L2108" s="818" t="s">
        <v>143</v>
      </c>
      <c r="M2108" s="517"/>
      <c r="N2108" s="517"/>
      <c r="O2108" s="517"/>
      <c r="P2108" s="517"/>
      <c r="Q2108" s="722"/>
      <c r="R2108" s="819">
        <f ca="1">SUMIF($L2084:$L2107,"SUBI",R2084:R2107)</f>
        <v>3058.48</v>
      </c>
      <c r="S2108" s="820"/>
      <c r="T2108" s="819">
        <f ca="1">SUMIF($L2084:$L2107,"SUBI",T2084:T2107)</f>
        <v>40.159999999999997</v>
      </c>
      <c r="U2108" s="518"/>
      <c r="V2108" s="518"/>
      <c r="W2108" s="518"/>
      <c r="X2108" s="518"/>
      <c r="Y2108" s="518"/>
      <c r="Z2108" s="518"/>
      <c r="AA2108" s="518"/>
      <c r="AB2108" s="518"/>
      <c r="AC2108" s="518"/>
      <c r="AD2108" s="518"/>
      <c r="AE2108" s="518"/>
      <c r="AF2108" s="518"/>
      <c r="AG2108" s="518"/>
      <c r="AH2108" s="518"/>
      <c r="AI2108" s="518"/>
      <c r="AJ2108" s="518"/>
      <c r="AK2108" s="518"/>
      <c r="AL2108" s="518"/>
      <c r="AM2108" s="518"/>
      <c r="AN2108" s="518"/>
      <c r="AO2108" s="518"/>
    </row>
    <row r="2109" spans="1:41" s="501" customFormat="1" thickTop="1">
      <c r="A2109" s="44"/>
      <c r="B2109" s="44"/>
      <c r="C2109" s="3"/>
      <c r="D2109" s="3"/>
      <c r="E2109" s="44"/>
      <c r="F2109" s="44"/>
      <c r="G2109" s="44"/>
      <c r="H2109" s="44"/>
      <c r="I2109" s="44"/>
      <c r="J2109" s="44"/>
      <c r="K2109" s="44" t="s">
        <v>134</v>
      </c>
      <c r="L2109" s="44"/>
      <c r="M2109" s="44"/>
      <c r="N2109" s="44"/>
      <c r="O2109" s="45"/>
      <c r="P2109" s="44"/>
      <c r="Q2109" s="44"/>
      <c r="R2109" s="44"/>
      <c r="S2109" s="44"/>
      <c r="T2109" s="44"/>
    </row>
    <row r="2110" spans="1:41" s="501" customFormat="1" ht="12">
      <c r="A2110" s="44"/>
      <c r="B2110" s="44"/>
      <c r="C2110" s="44" t="s">
        <v>135</v>
      </c>
      <c r="D2110" s="35"/>
      <c r="E2110" s="44"/>
      <c r="F2110" s="44"/>
      <c r="G2110" s="44"/>
      <c r="H2110" s="44"/>
      <c r="I2110" s="44"/>
      <c r="J2110" s="44"/>
      <c r="K2110" s="44"/>
      <c r="L2110" s="44"/>
      <c r="M2110" s="44"/>
      <c r="N2110" s="44"/>
      <c r="O2110" s="45"/>
      <c r="P2110" s="44"/>
      <c r="Q2110" s="44"/>
      <c r="R2110" s="44"/>
      <c r="S2110" s="44"/>
      <c r="T2110" s="44"/>
    </row>
    <row r="2111" spans="1:41" s="501" customFormat="1" ht="12">
      <c r="A2111" s="44"/>
      <c r="B2111" s="44"/>
      <c r="C2111" s="44"/>
      <c r="D2111" s="35" t="s">
        <v>516</v>
      </c>
      <c r="E2111" s="44"/>
      <c r="F2111" s="44"/>
      <c r="G2111" s="44"/>
      <c r="H2111" s="44"/>
      <c r="I2111" s="44"/>
      <c r="J2111" s="44"/>
      <c r="K2111" s="44"/>
      <c r="L2111" s="44"/>
      <c r="M2111" s="44"/>
      <c r="N2111" s="44"/>
      <c r="O2111" s="45"/>
      <c r="P2111" s="44"/>
      <c r="Q2111" s="44"/>
      <c r="R2111" s="44"/>
      <c r="S2111" s="36"/>
      <c r="T2111" s="36"/>
    </row>
    <row r="2112" spans="1:41" s="3" customFormat="1" thickBot="1">
      <c r="A2112" s="518"/>
      <c r="O2112" s="86"/>
    </row>
    <row r="2113" spans="1:41" s="501" customFormat="1" thickTop="1">
      <c r="A2113" s="44"/>
      <c r="B2113" s="39"/>
      <c r="C2113" s="44"/>
      <c r="E2113" s="40" t="s">
        <v>138</v>
      </c>
      <c r="F2113" s="40" t="s">
        <v>139</v>
      </c>
      <c r="G2113" s="44"/>
      <c r="H2113" s="44"/>
      <c r="I2113" s="44"/>
      <c r="J2113" s="44"/>
      <c r="K2113" s="44" t="s">
        <v>140</v>
      </c>
      <c r="L2113" s="737"/>
      <c r="M2113" s="44"/>
      <c r="N2113" s="44"/>
      <c r="O2113" s="45"/>
      <c r="P2113" s="44"/>
      <c r="Q2113"/>
      <c r="R2113"/>
      <c r="S2113"/>
      <c r="T2113" s="39"/>
      <c r="AG2113" s="502" t="s">
        <v>247</v>
      </c>
      <c r="AH2113" s="502" t="s">
        <v>248</v>
      </c>
      <c r="AI2113" s="502" t="s">
        <v>249</v>
      </c>
      <c r="AJ2113" s="502" t="s">
        <v>250</v>
      </c>
      <c r="AK2113" s="502" t="s">
        <v>251</v>
      </c>
      <c r="AM2113" s="710" t="s">
        <v>260</v>
      </c>
      <c r="AN2113" s="711" t="s">
        <v>261</v>
      </c>
      <c r="AO2113" s="503" t="s">
        <v>257</v>
      </c>
    </row>
    <row r="2114" spans="1:41" s="501" customFormat="1" ht="13.2">
      <c r="A2114" s="712">
        <v>1</v>
      </c>
      <c r="B2114" s="504" t="s">
        <v>283</v>
      </c>
      <c r="C2114" s="505"/>
      <c r="D2114" s="713" t="s">
        <v>611</v>
      </c>
      <c r="E2114" s="738">
        <f>IF(AND($A2114=0,$A$1="DIF"),0,ROUND(ROUND(SUMIF($L2116:$L2125,"SUBI",$E2116:$E2125)/$A2114,2)*$C$12,2))</f>
        <v>0</v>
      </c>
      <c r="F2114" s="739">
        <f>ROUND($A2114*$E2114,2)</f>
        <v>0</v>
      </c>
      <c r="G2114" s="506" t="s">
        <v>142</v>
      </c>
      <c r="H2114" s="498"/>
      <c r="I2114" s="716"/>
      <c r="J2114" s="498"/>
      <c r="K2114" s="740"/>
      <c r="L2114" s="741" t="s">
        <v>143</v>
      </c>
      <c r="M2114" s="717"/>
      <c r="N2114" s="717"/>
      <c r="O2114" s="717"/>
      <c r="P2114" s="717"/>
      <c r="Q2114" s="943" t="s">
        <v>855</v>
      </c>
      <c r="R2114" s="943" t="s">
        <v>1087</v>
      </c>
      <c r="S2114"/>
      <c r="T2114" s="742" t="str">
        <f>IF(AND($R2131=0,$T2131=0),"0.00","mu :" &amp; ROUND($F2114/$C$12/($R2131+$T2131*$D$9),2))</f>
        <v>0.00</v>
      </c>
      <c r="W2114" s="507"/>
      <c r="AG2114" s="743">
        <f>IF(A2114=0,0,ROUND(SUM(AG2116:AG2131)/A2114,2))</f>
        <v>0</v>
      </c>
      <c r="AH2114" s="743">
        <f>$AG2114*$A2114</f>
        <v>0</v>
      </c>
      <c r="AI2114" s="743">
        <f>$E2114-$AG2114</f>
        <v>0</v>
      </c>
      <c r="AJ2114" s="743">
        <f>$A2114*$AI2114</f>
        <v>0</v>
      </c>
      <c r="AK2114" s="744">
        <f>ROUND(($AG2114+$AI2114)*$A2114,2)</f>
        <v>0</v>
      </c>
      <c r="AM2114" s="510">
        <f>ROUND(R2131,2)</f>
        <v>0</v>
      </c>
      <c r="AN2114" s="511">
        <f>ROUND(T2131,2)</f>
        <v>0</v>
      </c>
      <c r="AO2114" s="512">
        <f>ROUND(AM2114+AN2114,2)*A2114</f>
        <v>0</v>
      </c>
    </row>
    <row r="2115" spans="1:41" s="501" customFormat="1" ht="39.9" customHeight="1">
      <c r="A2115" s="745"/>
      <c r="B2115" s="746"/>
      <c r="C2115" s="505"/>
      <c r="D2115" s="1183" t="s">
        <v>517</v>
      </c>
      <c r="E2115" s="1184"/>
      <c r="F2115" s="1184"/>
      <c r="G2115" s="1184"/>
      <c r="H2115" s="1184"/>
      <c r="I2115" s="1184"/>
      <c r="J2115" s="1184"/>
      <c r="K2115" s="1184"/>
      <c r="L2115" s="1184"/>
      <c r="M2115" s="1184"/>
      <c r="N2115" s="1184"/>
      <c r="O2115" s="1184"/>
      <c r="P2115" s="1184"/>
      <c r="Q2115" s="1184"/>
      <c r="R2115" s="1184"/>
      <c r="S2115" s="1184"/>
      <c r="T2115" s="1184"/>
    </row>
    <row r="2116" spans="1:41" s="501" customFormat="1" ht="12">
      <c r="A2116" s="748"/>
      <c r="B2116" s="749"/>
      <c r="C2116" s="497"/>
      <c r="D2116" s="750"/>
      <c r="E2116" s="751">
        <f>F2114/$C$12-SUMIF($L2113:$L2131,"SUBI",$E2113:$E2131)</f>
        <v>0</v>
      </c>
      <c r="F2116" s="752" t="s">
        <v>572</v>
      </c>
      <c r="G2116" s="753"/>
      <c r="H2116" s="753"/>
      <c r="I2116" s="754"/>
      <c r="J2116" s="753"/>
      <c r="K2116" s="753"/>
      <c r="L2116" s="755"/>
      <c r="M2116" s="756"/>
      <c r="N2116" s="756"/>
      <c r="O2116" s="756"/>
      <c r="P2116" s="756"/>
      <c r="Q2116" s="757"/>
      <c r="R2116" s="758"/>
      <c r="S2116" s="757"/>
      <c r="T2116" s="759"/>
    </row>
    <row r="2117" spans="1:41" s="501" customFormat="1" ht="12" customHeight="1">
      <c r="A2117" s="760"/>
      <c r="B2117" s="761"/>
      <c r="C2117" s="762"/>
      <c r="D2117" s="762" t="str">
        <f>$F$2</f>
        <v>Electrical</v>
      </c>
      <c r="E2117" s="762">
        <f>ROUND(($R2119*$S$2 + ($T2119*$T$2)), 2)</f>
        <v>0</v>
      </c>
      <c r="F2117" s="763">
        <f>$E2117*$C$12</f>
        <v>0</v>
      </c>
      <c r="G2117" s="567"/>
      <c r="H2117" s="764"/>
      <c r="I2117" s="567"/>
      <c r="J2117" s="45"/>
      <c r="K2117" s="765" t="s">
        <v>3</v>
      </c>
      <c r="L2117" s="766" t="s">
        <v>573</v>
      </c>
      <c r="M2117" s="567"/>
      <c r="N2117" s="567"/>
      <c r="O2117" s="45"/>
      <c r="P2117" s="567"/>
      <c r="Q2117" s="567"/>
      <c r="R2117"/>
      <c r="S2117"/>
      <c r="T2117"/>
    </row>
    <row r="2118" spans="1:41" s="501" customFormat="1" ht="14.4" customHeight="1">
      <c r="A2118" s="767"/>
      <c r="B2118" s="567"/>
      <c r="C2118" s="567"/>
      <c r="D2118" s="567"/>
      <c r="E2118" s="567"/>
      <c r="F2118" s="567"/>
      <c r="G2118" s="567"/>
      <c r="H2118" s="764"/>
      <c r="I2118" s="567"/>
      <c r="J2118" s="45"/>
      <c r="K2118" s="769"/>
      <c r="L2118" s="770"/>
      <c r="M2118" s="567"/>
      <c r="N2118" s="567"/>
      <c r="O2118" s="45"/>
      <c r="P2118" s="567"/>
      <c r="Q2118" s="567"/>
      <c r="R2118" s="771">
        <f>$A2118*Q2118</f>
        <v>0</v>
      </c>
      <c r="S2118" s="567"/>
      <c r="T2118" s="500">
        <f>$A2118*S2118*$T$1</f>
        <v>0</v>
      </c>
    </row>
    <row r="2119" spans="1:41" s="501" customFormat="1" ht="12">
      <c r="A2119" s="772" t="s">
        <v>145</v>
      </c>
      <c r="B2119" s="773">
        <f>(R2118+T2118)</f>
        <v>0</v>
      </c>
      <c r="C2119" s="753"/>
      <c r="G2119" s="774"/>
      <c r="H2119" s="774"/>
      <c r="I2119" s="774"/>
      <c r="J2119" s="774"/>
      <c r="K2119" s="750" t="s">
        <v>3</v>
      </c>
      <c r="L2119" s="775" t="s">
        <v>573</v>
      </c>
      <c r="M2119" s="774"/>
      <c r="N2119" s="774"/>
      <c r="O2119" s="774"/>
      <c r="P2119" s="774"/>
      <c r="Q2119" s="776"/>
      <c r="R2119" s="777">
        <f>SUM(R2117:R2118)</f>
        <v>0</v>
      </c>
      <c r="S2119" s="778"/>
      <c r="T2119" s="777">
        <f>SUM(T2117:T2118)</f>
        <v>0</v>
      </c>
      <c r="AG2119" s="779">
        <f>ROUND($R2119*$S$2,2)</f>
        <v>0</v>
      </c>
    </row>
    <row r="2120" spans="1:41" s="501" customFormat="1" ht="12" customHeight="1">
      <c r="A2120" s="760"/>
      <c r="B2120" s="780"/>
      <c r="C2120" s="781"/>
      <c r="D2120" s="782" t="str">
        <f>$F$3</f>
        <v>Technician</v>
      </c>
      <c r="E2120" s="782">
        <f>ROUND(($R2124*$S$3 + ($T2124*$T$3)), 2)</f>
        <v>0</v>
      </c>
      <c r="F2120" s="783">
        <f>$E2120*$C$12</f>
        <v>0</v>
      </c>
      <c r="G2120" s="499"/>
      <c r="H2120" s="499"/>
      <c r="I2120" s="499"/>
      <c r="J2120" s="499"/>
      <c r="K2120" s="765" t="s">
        <v>5</v>
      </c>
      <c r="L2120" s="766" t="s">
        <v>573</v>
      </c>
      <c r="M2120" s="499"/>
      <c r="N2120" s="499"/>
      <c r="O2120" s="499"/>
      <c r="P2120" s="499"/>
      <c r="Q2120" s="499"/>
      <c r="R2120" s="784"/>
      <c r="S2120" s="499"/>
      <c r="T2120" s="784"/>
    </row>
    <row r="2121" spans="1:41" s="797" customFormat="1" ht="15.6" customHeight="1">
      <c r="A2121" s="785"/>
      <c r="B2121" s="768" t="s">
        <v>575</v>
      </c>
      <c r="C2121" s="786"/>
      <c r="D2121" s="787"/>
      <c r="E2121" s="787"/>
      <c r="F2121" s="787"/>
      <c r="G2121" s="788"/>
      <c r="H2121" s="789"/>
      <c r="I2121" s="789"/>
      <c r="J2121" s="790"/>
      <c r="K2121" s="791"/>
      <c r="L2121" s="786"/>
      <c r="M2121" s="792"/>
      <c r="N2121" s="793"/>
      <c r="O2121" s="794"/>
      <c r="P2121" s="795"/>
      <c r="Q2121" s="796"/>
      <c r="R2121" s="771">
        <f>$A2121*Q2121</f>
        <v>0</v>
      </c>
      <c r="S2121" s="567"/>
      <c r="T2121" s="500">
        <f>$A2121*S2121*$T$1</f>
        <v>0</v>
      </c>
    </row>
    <row r="2122" spans="1:41" s="501" customFormat="1" ht="15.6" customHeight="1">
      <c r="A2122" s="767"/>
      <c r="B2122" s="567"/>
      <c r="C2122" s="567"/>
      <c r="D2122" s="567"/>
      <c r="E2122" s="567"/>
      <c r="F2122" s="567"/>
      <c r="G2122" s="567"/>
      <c r="H2122" s="567"/>
      <c r="I2122" s="567"/>
      <c r="J2122" s="567"/>
      <c r="K2122" s="567"/>
      <c r="L2122" s="770"/>
      <c r="M2122" s="567"/>
      <c r="N2122" s="567"/>
      <c r="O2122" s="567"/>
      <c r="P2122" s="567"/>
      <c r="Q2122" s="567"/>
      <c r="R2122" s="771">
        <f>$A2122*Q2122</f>
        <v>0</v>
      </c>
      <c r="S2122" s="567"/>
      <c r="T2122" s="500">
        <f>$A2122*S2122*$T$1</f>
        <v>0</v>
      </c>
    </row>
    <row r="2123" spans="1:41" s="501" customFormat="1" ht="15.6" customHeight="1">
      <c r="A2123" s="767"/>
      <c r="B2123" s="567"/>
      <c r="C2123" s="567"/>
      <c r="D2123" s="3"/>
      <c r="E2123" s="567"/>
      <c r="F2123" s="567"/>
      <c r="G2123" s="567"/>
      <c r="H2123" s="567"/>
      <c r="I2123" s="567"/>
      <c r="J2123" s="567"/>
      <c r="K2123" s="567"/>
      <c r="L2123" s="770"/>
      <c r="M2123" s="567"/>
      <c r="N2123" s="567"/>
      <c r="O2123" s="567"/>
      <c r="P2123" s="567"/>
      <c r="Q2123" s="567"/>
      <c r="R2123" s="771">
        <f>$A2123*Q2123</f>
        <v>0</v>
      </c>
      <c r="S2123" s="567"/>
      <c r="T2123" s="500">
        <f>$A2123*S2123*$T$1</f>
        <v>0</v>
      </c>
    </row>
    <row r="2124" spans="1:41" s="501" customFormat="1" ht="12">
      <c r="A2124" s="772" t="s">
        <v>145</v>
      </c>
      <c r="B2124" s="773">
        <f>(R2123+T2123)</f>
        <v>0</v>
      </c>
      <c r="C2124" s="753"/>
      <c r="G2124" s="774"/>
      <c r="H2124" s="774"/>
      <c r="I2124" s="774"/>
      <c r="J2124" s="774"/>
      <c r="K2124" s="798" t="s">
        <v>5</v>
      </c>
      <c r="L2124" s="775" t="s">
        <v>573</v>
      </c>
      <c r="M2124" s="774"/>
      <c r="N2124" s="774"/>
      <c r="O2124" s="774"/>
      <c r="P2124" s="774"/>
      <c r="Q2124" s="776"/>
      <c r="R2124" s="777">
        <f>SUM(R2120:R2123)</f>
        <v>0</v>
      </c>
      <c r="S2124" s="778"/>
      <c r="T2124" s="777">
        <f>SUM(T2120:T2123)</f>
        <v>0</v>
      </c>
      <c r="AG2124" s="799">
        <f>ROUND($R2124*$S$3,2)</f>
        <v>0</v>
      </c>
    </row>
    <row r="2125" spans="1:41" s="501" customFormat="1" ht="12" customHeight="1">
      <c r="A2125" s="800"/>
      <c r="B2125" s="801"/>
      <c r="C2125" s="802"/>
      <c r="D2125" s="803" t="str">
        <f>$F$4</f>
        <v>Engineer (Man Hours)</v>
      </c>
      <c r="E2125" s="803">
        <f>ROUND(($R2129*$S$4 + ($T2129*$T$4)), 2)</f>
        <v>0</v>
      </c>
      <c r="F2125" s="804">
        <f ca="1">$F2114-SUMIF($L2116:$P2122,"SUBI",$F2116:$F2122)</f>
        <v>0</v>
      </c>
      <c r="G2125" s="499"/>
      <c r="H2125" s="499"/>
      <c r="I2125" s="499"/>
      <c r="J2125" s="499"/>
      <c r="K2125" s="805" t="s">
        <v>8</v>
      </c>
      <c r="L2125" s="766" t="s">
        <v>573</v>
      </c>
      <c r="M2125" s="499"/>
      <c r="N2125" s="499"/>
      <c r="O2125" s="499"/>
      <c r="P2125" s="499"/>
      <c r="Q2125" s="499"/>
      <c r="R2125" s="784"/>
      <c r="S2125" s="499"/>
      <c r="T2125" s="784"/>
    </row>
    <row r="2126" spans="1:41" s="797" customFormat="1" ht="14.4" customHeight="1">
      <c r="A2126" s="785"/>
      <c r="B2126" s="768" t="s">
        <v>576</v>
      </c>
      <c r="C2126" s="786"/>
      <c r="D2126" s="787"/>
      <c r="E2126" s="787"/>
      <c r="F2126" s="787"/>
      <c r="G2126" s="788"/>
      <c r="H2126" s="789"/>
      <c r="I2126" s="789"/>
      <c r="J2126" s="790"/>
      <c r="K2126" s="791"/>
      <c r="L2126" s="786"/>
      <c r="M2126" s="792"/>
      <c r="N2126" s="793"/>
      <c r="O2126" s="806"/>
      <c r="P2126" s="795"/>
      <c r="Q2126" s="796"/>
      <c r="R2126" s="720">
        <f>$A2126*Q2126</f>
        <v>0</v>
      </c>
      <c r="S2126" s="796"/>
      <c r="T2126" s="500">
        <f>$A2126*S2126*$T$1</f>
        <v>0</v>
      </c>
    </row>
    <row r="2127" spans="1:41" s="501" customFormat="1" ht="12">
      <c r="A2127" s="44"/>
      <c r="B2127" s="497"/>
      <c r="C2127" s="497"/>
      <c r="D2127" s="807"/>
      <c r="E2127" s="808"/>
      <c r="F2127" s="499"/>
      <c r="G2127" s="499"/>
      <c r="H2127" s="499"/>
      <c r="I2127" s="499"/>
      <c r="J2127" s="499"/>
      <c r="K2127" s="499"/>
      <c r="L2127" s="809"/>
      <c r="M2127" s="499"/>
      <c r="N2127" s="499"/>
      <c r="O2127" s="499"/>
      <c r="P2127" s="499"/>
      <c r="Q2127" s="499"/>
      <c r="R2127" s="720">
        <f>$A2127*Q2127</f>
        <v>0</v>
      </c>
      <c r="S2127" s="499"/>
      <c r="T2127" s="500">
        <f>$A2127*S2127*$T$1</f>
        <v>0</v>
      </c>
    </row>
    <row r="2128" spans="1:41" s="501" customFormat="1" ht="12">
      <c r="A2128" s="44"/>
      <c r="B2128" s="497"/>
      <c r="C2128" s="497"/>
      <c r="D2128" s="807"/>
      <c r="E2128" s="808"/>
      <c r="F2128" s="499"/>
      <c r="G2128" s="499"/>
      <c r="H2128" s="499"/>
      <c r="I2128" s="499"/>
      <c r="J2128" s="499"/>
      <c r="K2128" s="499"/>
      <c r="L2128" s="809"/>
      <c r="M2128" s="499"/>
      <c r="N2128" s="499"/>
      <c r="O2128" s="499"/>
      <c r="P2128" s="499"/>
      <c r="Q2128" s="499"/>
      <c r="R2128" s="720">
        <f>$A2128*Q2128</f>
        <v>0</v>
      </c>
      <c r="S2128" s="499"/>
      <c r="T2128" s="500">
        <f>$A2128*S2128*$T$1</f>
        <v>0</v>
      </c>
    </row>
    <row r="2129" spans="1:41" s="501" customFormat="1" ht="12.75" customHeight="1">
      <c r="A2129" s="772" t="s">
        <v>145</v>
      </c>
      <c r="B2129" s="773">
        <f>(R2128+T2128)</f>
        <v>0</v>
      </c>
      <c r="C2129" s="810"/>
      <c r="D2129" s="810"/>
      <c r="E2129" s="810"/>
      <c r="F2129" s="810"/>
      <c r="G2129" s="776"/>
      <c r="H2129" s="776"/>
      <c r="I2129" s="776"/>
      <c r="J2129" s="776"/>
      <c r="K2129" s="798" t="s">
        <v>8</v>
      </c>
      <c r="L2129" s="811" t="s">
        <v>573</v>
      </c>
      <c r="M2129" s="776"/>
      <c r="N2129" s="776"/>
      <c r="O2129" s="776"/>
      <c r="P2129" s="776"/>
      <c r="Q2129" s="776"/>
      <c r="R2129" s="777">
        <f>SUM(R2125:R2128)</f>
        <v>0</v>
      </c>
      <c r="S2129" s="778"/>
      <c r="T2129" s="777">
        <f>SUM(T2125:T2128)</f>
        <v>0</v>
      </c>
      <c r="AG2129" s="812">
        <f>ROUND($R2129*$S$4,2)</f>
        <v>0</v>
      </c>
    </row>
    <row r="2130" spans="1:41" s="501" customFormat="1" ht="12.75" customHeight="1">
      <c r="A2130" s="813"/>
      <c r="B2130" s="814"/>
      <c r="E2130" s="497"/>
      <c r="F2130" s="808"/>
      <c r="G2130" s="497"/>
      <c r="H2130" s="497"/>
      <c r="I2130" s="499"/>
      <c r="J2130" s="497"/>
      <c r="K2130" s="497"/>
      <c r="L2130" s="815"/>
      <c r="M2130" s="725"/>
      <c r="N2130" s="725"/>
      <c r="O2130" s="725"/>
      <c r="P2130" s="725"/>
      <c r="Q2130" s="726"/>
      <c r="R2130" s="784"/>
      <c r="S2130" s="497"/>
      <c r="T2130" s="784"/>
    </row>
    <row r="2131" spans="1:41" s="501" customFormat="1" ht="13.5" customHeight="1" thickBot="1">
      <c r="A2131" s="816"/>
      <c r="B2131" s="817"/>
      <c r="C2131" s="518"/>
      <c r="D2131" s="518"/>
      <c r="E2131" s="515"/>
      <c r="F2131" s="721"/>
      <c r="G2131" s="515" t="s">
        <v>146</v>
      </c>
      <c r="H2131" s="515"/>
      <c r="I2131" s="516"/>
      <c r="J2131" s="515"/>
      <c r="K2131" s="515"/>
      <c r="L2131" s="818" t="s">
        <v>143</v>
      </c>
      <c r="M2131" s="517"/>
      <c r="N2131" s="517"/>
      <c r="O2131" s="517"/>
      <c r="P2131" s="517"/>
      <c r="Q2131" s="722"/>
      <c r="R2131" s="819">
        <f>SUMIF($L2115:$L2130,"SUBI",R2115:R2130)</f>
        <v>0</v>
      </c>
      <c r="S2131" s="820"/>
      <c r="T2131" s="819">
        <f>SUMIF($L2115:$L2130,"SUBI",T2115:T2130)</f>
        <v>0</v>
      </c>
      <c r="U2131" s="518"/>
      <c r="V2131" s="518"/>
      <c r="W2131" s="518"/>
      <c r="X2131" s="518"/>
      <c r="Y2131" s="518"/>
      <c r="Z2131" s="518"/>
      <c r="AA2131" s="518"/>
      <c r="AB2131" s="518"/>
      <c r="AC2131" s="518"/>
      <c r="AD2131" s="518"/>
      <c r="AE2131" s="518"/>
      <c r="AF2131" s="518"/>
      <c r="AG2131" s="518"/>
      <c r="AH2131" s="518"/>
      <c r="AI2131" s="518"/>
      <c r="AJ2131" s="518"/>
      <c r="AK2131" s="518"/>
      <c r="AL2131" s="518"/>
      <c r="AM2131" s="518"/>
      <c r="AN2131" s="518"/>
      <c r="AO2131" s="518"/>
    </row>
    <row r="2132" spans="1:41" s="501" customFormat="1" thickTop="1">
      <c r="A2132" s="44"/>
      <c r="B2132" s="44"/>
      <c r="C2132" s="3"/>
      <c r="D2132" s="3"/>
      <c r="E2132" s="44"/>
      <c r="F2132" s="44"/>
      <c r="G2132" s="44"/>
      <c r="H2132" s="44"/>
      <c r="I2132" s="44"/>
      <c r="J2132" s="44"/>
      <c r="K2132" s="44" t="s">
        <v>134</v>
      </c>
      <c r="L2132" s="44"/>
      <c r="M2132" s="44"/>
      <c r="N2132" s="44"/>
      <c r="O2132" s="45"/>
      <c r="P2132" s="44"/>
      <c r="Q2132" s="44"/>
      <c r="R2132" s="44"/>
      <c r="S2132" s="44"/>
      <c r="T2132" s="44"/>
    </row>
    <row r="2133" spans="1:41" s="501" customFormat="1" ht="12">
      <c r="A2133" s="44"/>
      <c r="B2133" s="44"/>
      <c r="C2133" s="44" t="s">
        <v>135</v>
      </c>
      <c r="D2133" s="35"/>
      <c r="E2133" s="44"/>
      <c r="F2133" s="44"/>
      <c r="G2133" s="44"/>
      <c r="H2133" s="44"/>
      <c r="I2133" s="44"/>
      <c r="J2133" s="44"/>
      <c r="K2133" s="44"/>
      <c r="L2133" s="44"/>
      <c r="M2133" s="44"/>
      <c r="N2133" s="44"/>
      <c r="O2133" s="45"/>
      <c r="P2133" s="44"/>
      <c r="Q2133" s="44"/>
      <c r="R2133" s="44"/>
      <c r="S2133" s="44"/>
      <c r="T2133" s="44"/>
    </row>
    <row r="2134" spans="1:41" s="501" customFormat="1" ht="12">
      <c r="A2134" s="44"/>
      <c r="B2134" s="44"/>
      <c r="C2134" s="44"/>
      <c r="D2134" s="35" t="s">
        <v>518</v>
      </c>
      <c r="E2134" s="44"/>
      <c r="F2134" s="44"/>
      <c r="G2134" s="44"/>
      <c r="H2134" s="44"/>
      <c r="I2134" s="44"/>
      <c r="J2134" s="44"/>
      <c r="K2134" s="44"/>
      <c r="L2134" s="44"/>
      <c r="M2134" s="44"/>
      <c r="N2134" s="44"/>
      <c r="O2134" s="45"/>
      <c r="P2134" s="44"/>
      <c r="Q2134" s="44"/>
      <c r="R2134" s="44"/>
      <c r="S2134" s="36"/>
      <c r="T2134" s="36"/>
    </row>
    <row r="2135" spans="1:41" s="3" customFormat="1" thickBot="1">
      <c r="A2135" s="518"/>
      <c r="O2135" s="86"/>
    </row>
    <row r="2136" spans="1:41" s="501" customFormat="1" thickTop="1">
      <c r="A2136" s="44"/>
      <c r="B2136" s="39"/>
      <c r="C2136" s="44"/>
      <c r="E2136" s="40" t="s">
        <v>138</v>
      </c>
      <c r="F2136" s="40" t="s">
        <v>139</v>
      </c>
      <c r="G2136" s="44"/>
      <c r="H2136" s="44"/>
      <c r="I2136" s="44"/>
      <c r="J2136" s="44"/>
      <c r="K2136" s="44" t="s">
        <v>140</v>
      </c>
      <c r="L2136" s="737"/>
      <c r="M2136" s="44"/>
      <c r="N2136" s="44"/>
      <c r="O2136" s="45"/>
      <c r="P2136" s="44"/>
      <c r="Q2136"/>
      <c r="R2136"/>
      <c r="S2136"/>
      <c r="T2136" s="39"/>
      <c r="AG2136" s="502" t="s">
        <v>247</v>
      </c>
      <c r="AH2136" s="502" t="s">
        <v>248</v>
      </c>
      <c r="AI2136" s="502" t="s">
        <v>249</v>
      </c>
      <c r="AJ2136" s="502" t="s">
        <v>250</v>
      </c>
      <c r="AK2136" s="502" t="s">
        <v>251</v>
      </c>
      <c r="AM2136" s="710" t="s">
        <v>260</v>
      </c>
      <c r="AN2136" s="711" t="s">
        <v>261</v>
      </c>
      <c r="AO2136" s="503" t="s">
        <v>257</v>
      </c>
    </row>
    <row r="2137" spans="1:41" s="501" customFormat="1" ht="13.2">
      <c r="A2137" s="712">
        <v>1</v>
      </c>
      <c r="B2137" s="504" t="s">
        <v>283</v>
      </c>
      <c r="C2137" s="505"/>
      <c r="D2137" s="713" t="s">
        <v>612</v>
      </c>
      <c r="E2137" s="738">
        <f ca="1">IF(AND($A2137=0,$A$1="DIF"),0,ROUND(ROUND(SUMIF($L2139:$L2157,"SUBI",$E2139:$E2157)/$A2137,2)*$C$12,2))</f>
        <v>5570.91</v>
      </c>
      <c r="F2137" s="739">
        <f ca="1">ROUND($A2137*$E2137,2)</f>
        <v>5570.91</v>
      </c>
      <c r="G2137" s="506" t="s">
        <v>142</v>
      </c>
      <c r="H2137" s="498"/>
      <c r="I2137" s="716"/>
      <c r="J2137" s="498"/>
      <c r="K2137" s="740"/>
      <c r="L2137" s="741" t="s">
        <v>143</v>
      </c>
      <c r="M2137" s="717"/>
      <c r="N2137" s="717"/>
      <c r="O2137" s="717"/>
      <c r="P2137" s="717"/>
      <c r="Q2137" s="943" t="s">
        <v>855</v>
      </c>
      <c r="R2137" s="943" t="s">
        <v>869</v>
      </c>
      <c r="S2137"/>
      <c r="T2137" s="742" t="str">
        <f ca="1">IF(AND($R2162=0,$T2162=0),"0.00","mu :" &amp; ROUND($F2137/$C$12/($R2162+$T2162*$D$9),2))</f>
        <v>mu :1.37</v>
      </c>
      <c r="W2137" s="507"/>
      <c r="AG2137" s="743">
        <f ca="1">IF(A2137=0,0,ROUND(SUM(AG2139:AG2162)/A2137,2))</f>
        <v>4074.95</v>
      </c>
      <c r="AH2137" s="743">
        <f ca="1">$AG2137*$A2137</f>
        <v>4074.95</v>
      </c>
      <c r="AI2137" s="743">
        <f ca="1">$E2137-$AG2137</f>
        <v>1495.96</v>
      </c>
      <c r="AJ2137" s="743">
        <f ca="1">$A2137*$AI2137</f>
        <v>1495.96</v>
      </c>
      <c r="AK2137" s="744">
        <f ca="1">ROUND(($AG2137+$AI2137)*$A2137,2)</f>
        <v>5570.91</v>
      </c>
      <c r="AM2137" s="510">
        <f ca="1">ROUND(R2162,2)</f>
        <v>3018.48</v>
      </c>
      <c r="AN2137" s="511">
        <f ca="1">ROUND(T2162,2)</f>
        <v>38.159999999999997</v>
      </c>
      <c r="AO2137" s="512">
        <f ca="1">ROUND(AM2137+AN2137,2)*A2137</f>
        <v>3056.64</v>
      </c>
    </row>
    <row r="2138" spans="1:41" s="501" customFormat="1" ht="39.9" customHeight="1">
      <c r="A2138" s="745"/>
      <c r="B2138" s="746"/>
      <c r="C2138" s="505"/>
      <c r="D2138" s="1183" t="s">
        <v>519</v>
      </c>
      <c r="E2138" s="1184"/>
      <c r="F2138" s="1184"/>
      <c r="G2138" s="1184"/>
      <c r="H2138" s="1184"/>
      <c r="I2138" s="1184"/>
      <c r="J2138" s="1184"/>
      <c r="K2138" s="1184"/>
      <c r="L2138" s="1184"/>
      <c r="M2138" s="1184"/>
      <c r="N2138" s="1184"/>
      <c r="O2138" s="1184"/>
      <c r="P2138" s="1184"/>
      <c r="Q2138" s="1184"/>
      <c r="R2138" s="1184"/>
      <c r="S2138" s="1184"/>
      <c r="T2138" s="1184"/>
    </row>
    <row r="2139" spans="1:41" s="501" customFormat="1" ht="12">
      <c r="A2139" s="748"/>
      <c r="B2139" s="749"/>
      <c r="C2139" s="497"/>
      <c r="D2139" s="750"/>
      <c r="E2139" s="751">
        <f ca="1">F2137/$C$12-SUMIF($L2136:$L2162,"SUBI",$E2136:$E2162)</f>
        <v>0</v>
      </c>
      <c r="F2139" s="752" t="s">
        <v>572</v>
      </c>
      <c r="G2139" s="753"/>
      <c r="H2139" s="753"/>
      <c r="I2139" s="754"/>
      <c r="J2139" s="753"/>
      <c r="K2139" s="753"/>
      <c r="L2139" s="755"/>
      <c r="M2139" s="756"/>
      <c r="N2139" s="756"/>
      <c r="O2139" s="756"/>
      <c r="P2139" s="756"/>
      <c r="Q2139" s="757"/>
      <c r="R2139" s="758"/>
      <c r="S2139" s="757"/>
      <c r="T2139" s="759"/>
    </row>
    <row r="2140" spans="1:41" s="501" customFormat="1" ht="12" customHeight="1">
      <c r="A2140" s="760"/>
      <c r="B2140" s="761"/>
      <c r="C2140" s="762"/>
      <c r="D2140" s="762" t="str">
        <f>$F$2</f>
        <v>Electrical</v>
      </c>
      <c r="E2140" s="762">
        <f ca="1">ROUND(($R2152*$S$2 + ($T2152*$T$2)), 2)</f>
        <v>1669.73</v>
      </c>
      <c r="F2140" s="763">
        <f ca="1">$E2140*$C$12</f>
        <v>1669.73</v>
      </c>
      <c r="G2140" s="567"/>
      <c r="H2140" s="764"/>
      <c r="I2140" s="567"/>
      <c r="J2140" s="45"/>
      <c r="K2140" s="765" t="s">
        <v>3</v>
      </c>
      <c r="L2140" s="766" t="s">
        <v>573</v>
      </c>
      <c r="M2140" s="567"/>
      <c r="N2140" s="567"/>
      <c r="O2140" s="45"/>
      <c r="P2140" s="567"/>
      <c r="Q2140" s="567"/>
      <c r="R2140"/>
      <c r="S2140"/>
      <c r="T2140"/>
    </row>
    <row r="2141" spans="1:41" s="935" customFormat="1" ht="13.2">
      <c r="A2141"/>
      <c r="B2141" s="927"/>
      <c r="C2141" s="927" t="s">
        <v>735</v>
      </c>
      <c r="D2141" s="927" t="str">
        <f ca="1">CELL("Address",Elec_Rates!D$143)</f>
        <v>[E25_0465_IH_Retro_Elec4Mech_Est_Rev_A.xlsx]Elec_Rates!$D$143</v>
      </c>
      <c r="E2141" s="928"/>
      <c r="F2141" s="928"/>
      <c r="G2141" s="929" t="s">
        <v>736</v>
      </c>
      <c r="H2141" s="929"/>
      <c r="I2141" s="929"/>
      <c r="J2141" s="929"/>
      <c r="K2141" s="930"/>
      <c r="L2141" s="928"/>
      <c r="M2141" s="928"/>
      <c r="N2141" s="928"/>
      <c r="O2141" s="931"/>
      <c r="P2141" s="928"/>
      <c r="Q2141" s="932"/>
      <c r="R2141" s="933"/>
      <c r="S2141" s="932"/>
      <c r="T2141" s="560"/>
      <c r="U2141" s="934"/>
    </row>
    <row r="2142" spans="1:41" s="935" customFormat="1" ht="11.4">
      <c r="A2142" s="936">
        <v>1</v>
      </c>
      <c r="B2142" s="937">
        <v>1</v>
      </c>
      <c r="C2142" s="937">
        <f>$A2142*$B2142</f>
        <v>1</v>
      </c>
      <c r="D2142" s="938" t="str">
        <f>Elec_Rates!$D$143</f>
        <v>011# Power supply to control panel (4core x 4.0sqmm) and VDS by pass in MCC</v>
      </c>
      <c r="E2142" s="938"/>
      <c r="F2142" s="938" t="s">
        <v>737</v>
      </c>
      <c r="G2142" s="939" t="s">
        <v>738</v>
      </c>
      <c r="H2142" s="939"/>
      <c r="I2142" s="939"/>
      <c r="J2142" s="939"/>
      <c r="K2142" s="940"/>
      <c r="L2142" s="934"/>
      <c r="M2142" s="934"/>
      <c r="N2142" s="934"/>
      <c r="O2142" s="941"/>
      <c r="P2142" s="938"/>
      <c r="Q2142" s="942">
        <f ca="1">$B2142*Elec_Rates!$R$143</f>
        <v>74.239999999999995</v>
      </c>
      <c r="R2142" s="933">
        <f ca="1">$A2142*Q2142</f>
        <v>74.239999999999995</v>
      </c>
      <c r="S2142" s="942">
        <f ca="1">$B2142*Elec_Rates!$T$143</f>
        <v>3.17</v>
      </c>
      <c r="T2142" s="560">
        <f ca="1">$A2142*S2142</f>
        <v>3.17</v>
      </c>
      <c r="U2142" s="484"/>
    </row>
    <row r="2143" spans="1:41" s="935" customFormat="1" ht="13.2">
      <c r="A2143"/>
      <c r="B2143" s="927"/>
      <c r="C2143" s="927" t="s">
        <v>735</v>
      </c>
      <c r="D2143" s="927" t="str">
        <f ca="1">CELL("Address",Elec_Rates!D$196)</f>
        <v>[E25_0465_IH_Retro_Elec4Mech_Est_Rev_A.xlsx]Elec_Rates!$D$196</v>
      </c>
      <c r="E2143" s="928"/>
      <c r="F2143" s="928"/>
      <c r="G2143" s="929" t="s">
        <v>736</v>
      </c>
      <c r="H2143" s="929"/>
      <c r="I2143" s="929"/>
      <c r="J2143" s="929"/>
      <c r="K2143" s="930"/>
      <c r="L2143" s="928"/>
      <c r="M2143" s="928"/>
      <c r="N2143" s="928"/>
      <c r="O2143" s="931"/>
      <c r="P2143" s="928"/>
      <c r="Q2143" s="932"/>
      <c r="R2143" s="933"/>
      <c r="S2143" s="932"/>
      <c r="T2143" s="560"/>
      <c r="U2143" s="934"/>
    </row>
    <row r="2144" spans="1:41" s="935" customFormat="1" ht="11.4">
      <c r="A2144" s="936">
        <v>1</v>
      </c>
      <c r="B2144" s="937">
        <v>1</v>
      </c>
      <c r="C2144" s="937">
        <f>$A2144*$B2144</f>
        <v>1</v>
      </c>
      <c r="D2144" s="938" t="str">
        <f>Elec_Rates!$D$196</f>
        <v>013# Installation of Rosenger control panel</v>
      </c>
      <c r="E2144" s="938"/>
      <c r="F2144" s="938" t="s">
        <v>737</v>
      </c>
      <c r="G2144" s="939" t="s">
        <v>739</v>
      </c>
      <c r="H2144" s="939"/>
      <c r="I2144" s="939"/>
      <c r="J2144" s="939"/>
      <c r="K2144" s="940"/>
      <c r="L2144" s="934"/>
      <c r="M2144" s="934"/>
      <c r="N2144" s="934"/>
      <c r="O2144" s="941"/>
      <c r="P2144" s="938"/>
      <c r="Q2144" s="942">
        <f ca="1">$B2144*Elec_Rates!$R$196</f>
        <v>20</v>
      </c>
      <c r="R2144" s="933">
        <f ca="1">$A2144*Q2144</f>
        <v>20</v>
      </c>
      <c r="S2144" s="942">
        <f ca="1">$B2144*Elec_Rates!$T$196</f>
        <v>2</v>
      </c>
      <c r="T2144" s="560">
        <f ca="1">$A2144*S2144</f>
        <v>2</v>
      </c>
      <c r="U2144" s="484"/>
    </row>
    <row r="2145" spans="1:33" s="935" customFormat="1" ht="13.2">
      <c r="A2145"/>
      <c r="B2145" s="927"/>
      <c r="C2145" s="927" t="s">
        <v>735</v>
      </c>
      <c r="D2145" s="927" t="str">
        <f ca="1">CELL("Address",Elec_Rates!D$203)</f>
        <v>[E25_0465_IH_Retro_Elec4Mech_Est_Rev_A.xlsx]Elec_Rates!$D$203</v>
      </c>
      <c r="E2145" s="928"/>
      <c r="F2145" s="928"/>
      <c r="G2145" s="929" t="s">
        <v>736</v>
      </c>
      <c r="H2145" s="929"/>
      <c r="I2145" s="929"/>
      <c r="J2145" s="929"/>
      <c r="K2145" s="930"/>
      <c r="L2145" s="928"/>
      <c r="M2145" s="928"/>
      <c r="N2145" s="928"/>
      <c r="O2145" s="931"/>
      <c r="P2145" s="928"/>
      <c r="Q2145" s="932"/>
      <c r="R2145" s="933"/>
      <c r="S2145" s="932"/>
      <c r="T2145" s="560"/>
      <c r="U2145" s="934"/>
    </row>
    <row r="2146" spans="1:33" s="935" customFormat="1" ht="11.4">
      <c r="A2146" s="936">
        <v>2</v>
      </c>
      <c r="B2146" s="937">
        <v>1</v>
      </c>
      <c r="C2146" s="937">
        <f>$A2146*$B2146</f>
        <v>2</v>
      </c>
      <c r="D2146" s="938" t="str">
        <f>Elec_Rates!$D$203</f>
        <v>014# Installation of cable harness to fans</v>
      </c>
      <c r="E2146" s="938"/>
      <c r="F2146" s="938" t="s">
        <v>737</v>
      </c>
      <c r="G2146" s="939" t="s">
        <v>738</v>
      </c>
      <c r="H2146" s="939"/>
      <c r="I2146" s="939"/>
      <c r="J2146" s="939"/>
      <c r="K2146" s="940"/>
      <c r="L2146" s="934"/>
      <c r="M2146" s="934"/>
      <c r="N2146" s="934"/>
      <c r="O2146" s="941"/>
      <c r="P2146" s="938"/>
      <c r="Q2146" s="942">
        <f ca="1">$B2146*Elec_Rates!$R$203</f>
        <v>20</v>
      </c>
      <c r="R2146" s="933">
        <f ca="1">$A2146*Q2146</f>
        <v>40</v>
      </c>
      <c r="S2146" s="942">
        <f ca="1">$B2146*Elec_Rates!$T$203</f>
        <v>1</v>
      </c>
      <c r="T2146" s="560">
        <f ca="1">$A2146*S2146</f>
        <v>2</v>
      </c>
      <c r="U2146" s="484"/>
    </row>
    <row r="2147" spans="1:33" s="935" customFormat="1" ht="13.2">
      <c r="A2147"/>
      <c r="B2147" s="927"/>
      <c r="C2147" s="927" t="s">
        <v>735</v>
      </c>
      <c r="D2147" s="927" t="str">
        <f ca="1">CELL("Address",Elec_Rates!D$210)</f>
        <v>[E25_0465_IH_Retro_Elec4Mech_Est_Rev_A.xlsx]Elec_Rates!$D$210</v>
      </c>
      <c r="E2147" s="928"/>
      <c r="F2147" s="928"/>
      <c r="G2147" s="929" t="s">
        <v>736</v>
      </c>
      <c r="H2147" s="929"/>
      <c r="I2147" s="929"/>
      <c r="J2147" s="929"/>
      <c r="K2147" s="930"/>
      <c r="L2147" s="928"/>
      <c r="M2147" s="928"/>
      <c r="N2147" s="928"/>
      <c r="O2147" s="931"/>
      <c r="P2147" s="928"/>
      <c r="Q2147" s="932"/>
      <c r="R2147" s="933"/>
      <c r="S2147" s="932"/>
      <c r="T2147" s="560"/>
      <c r="U2147" s="934"/>
    </row>
    <row r="2148" spans="1:33" s="935" customFormat="1" ht="11.4">
      <c r="A2148" s="936">
        <v>1</v>
      </c>
      <c r="B2148" s="937">
        <v>1</v>
      </c>
      <c r="C2148" s="937">
        <f>$A2148*$B2148</f>
        <v>1</v>
      </c>
      <c r="D2148" s="938" t="str">
        <f>Elec_Rates!$D$210</f>
        <v>015# Installation of control panels by ECA</v>
      </c>
      <c r="E2148" s="938"/>
      <c r="F2148" s="938" t="s">
        <v>737</v>
      </c>
      <c r="G2148" s="939" t="s">
        <v>739</v>
      </c>
      <c r="H2148" s="939"/>
      <c r="I2148" s="939"/>
      <c r="J2148" s="939"/>
      <c r="K2148" s="940"/>
      <c r="L2148" s="934"/>
      <c r="M2148" s="934"/>
      <c r="N2148" s="934"/>
      <c r="O2148" s="941"/>
      <c r="P2148" s="938"/>
      <c r="Q2148" s="942">
        <f ca="1">$B2148*Elec_Rates!$R$210</f>
        <v>30</v>
      </c>
      <c r="R2148" s="933">
        <f ca="1">$A2148*Q2148</f>
        <v>30</v>
      </c>
      <c r="S2148" s="942">
        <f ca="1">$B2148*Elec_Rates!$T$210</f>
        <v>1</v>
      </c>
      <c r="T2148" s="560">
        <f ca="1">$A2148*S2148</f>
        <v>1</v>
      </c>
      <c r="U2148" s="484"/>
    </row>
    <row r="2149" spans="1:33" s="935" customFormat="1" ht="13.2">
      <c r="A2149"/>
      <c r="B2149" s="927"/>
      <c r="C2149" s="927" t="s">
        <v>735</v>
      </c>
      <c r="D2149" s="927" t="str">
        <f ca="1">CELL("Address",Elec_Rates!D$217)</f>
        <v>[E25_0465_IH_Retro_Elec4Mech_Est_Rev_A.xlsx]Elec_Rates!$D$217</v>
      </c>
      <c r="E2149" s="928"/>
      <c r="F2149" s="928"/>
      <c r="G2149" s="929" t="s">
        <v>736</v>
      </c>
      <c r="H2149" s="929"/>
      <c r="I2149" s="929"/>
      <c r="J2149" s="929"/>
      <c r="K2149" s="930"/>
      <c r="L2149" s="928"/>
      <c r="M2149" s="928"/>
      <c r="N2149" s="928"/>
      <c r="O2149" s="931"/>
      <c r="P2149" s="928"/>
      <c r="Q2149" s="932"/>
      <c r="R2149" s="933"/>
      <c r="S2149" s="932"/>
      <c r="T2149" s="560"/>
      <c r="U2149" s="934"/>
    </row>
    <row r="2150" spans="1:33" s="935" customFormat="1" ht="11.4">
      <c r="A2150" s="936">
        <v>1</v>
      </c>
      <c r="B2150" s="937">
        <v>1</v>
      </c>
      <c r="C2150" s="937">
        <f>$A2150*$B2150</f>
        <v>1</v>
      </c>
      <c r="D2150" s="938" t="str">
        <f>Elec_Rates!$D$217</f>
        <v>016# Installation of sensors on AHUs</v>
      </c>
      <c r="E2150" s="938"/>
      <c r="F2150" s="938" t="s">
        <v>737</v>
      </c>
      <c r="G2150" s="939" t="s">
        <v>738</v>
      </c>
      <c r="H2150" s="939"/>
      <c r="I2150" s="939"/>
      <c r="J2150" s="939"/>
      <c r="K2150" s="940"/>
      <c r="L2150" s="934"/>
      <c r="M2150" s="934"/>
      <c r="N2150" s="934"/>
      <c r="O2150" s="941"/>
      <c r="P2150" s="938"/>
      <c r="Q2150" s="942">
        <f ca="1">$B2150*Elec_Rates!$R$217</f>
        <v>354.24</v>
      </c>
      <c r="R2150" s="933">
        <f ca="1">$A2150*Q2150</f>
        <v>354.24</v>
      </c>
      <c r="S2150" s="942">
        <f ca="1">$B2150*Elec_Rates!$T$217</f>
        <v>17.989999999999998</v>
      </c>
      <c r="T2150" s="560">
        <f ca="1">$A2150*S2150</f>
        <v>17.989999999999998</v>
      </c>
      <c r="U2150" s="484"/>
    </row>
    <row r="2151" spans="1:33" s="501" customFormat="1" ht="14.4" customHeight="1">
      <c r="A2151" s="767"/>
      <c r="B2151" s="567"/>
      <c r="C2151" s="567"/>
      <c r="D2151" s="567"/>
      <c r="E2151" s="567"/>
      <c r="F2151" s="567"/>
      <c r="G2151" s="567"/>
      <c r="H2151" s="764"/>
      <c r="I2151" s="567"/>
      <c r="J2151" s="45"/>
      <c r="K2151" s="769"/>
      <c r="L2151" s="770"/>
      <c r="M2151" s="567"/>
      <c r="N2151" s="567"/>
      <c r="O2151" s="45"/>
      <c r="P2151" s="567"/>
      <c r="Q2151" s="567"/>
      <c r="R2151" s="771">
        <f>$A2151*Q2151</f>
        <v>0</v>
      </c>
      <c r="S2151" s="567"/>
      <c r="T2151" s="500">
        <f>$A2151*S2151*$T$1</f>
        <v>0</v>
      </c>
    </row>
    <row r="2152" spans="1:33" s="501" customFormat="1" ht="12">
      <c r="A2152" s="772" t="s">
        <v>145</v>
      </c>
      <c r="B2152" s="773">
        <f>(R2151+T2151)</f>
        <v>0</v>
      </c>
      <c r="C2152" s="753"/>
      <c r="G2152" s="774"/>
      <c r="H2152" s="774"/>
      <c r="I2152" s="774"/>
      <c r="J2152" s="774"/>
      <c r="K2152" s="750" t="s">
        <v>3</v>
      </c>
      <c r="L2152" s="775" t="s">
        <v>573</v>
      </c>
      <c r="M2152" s="774"/>
      <c r="N2152" s="774"/>
      <c r="O2152" s="774"/>
      <c r="P2152" s="774"/>
      <c r="Q2152" s="776"/>
      <c r="R2152" s="777">
        <f ca="1">SUM(R2140:R2151)</f>
        <v>518.48</v>
      </c>
      <c r="S2152" s="778"/>
      <c r="T2152" s="777">
        <f ca="1">SUM(T2140:T2151)</f>
        <v>26.159999999999997</v>
      </c>
      <c r="AG2152" s="779">
        <f ca="1">ROUND($R2152*$S$2,2)</f>
        <v>699.95</v>
      </c>
    </row>
    <row r="2153" spans="1:33" s="501" customFormat="1" ht="12" customHeight="1">
      <c r="A2153" s="760"/>
      <c r="B2153" s="780"/>
      <c r="C2153" s="781"/>
      <c r="D2153" s="782" t="str">
        <f>$F$3</f>
        <v>Technician</v>
      </c>
      <c r="E2153" s="782">
        <f>ROUND(($R2156*$S$3 + ($T2156*$T$3)), 2)</f>
        <v>3739.18</v>
      </c>
      <c r="F2153" s="783">
        <f>$E2153*$C$12</f>
        <v>3739.18</v>
      </c>
      <c r="G2153" s="499"/>
      <c r="H2153" s="499"/>
      <c r="I2153" s="499"/>
      <c r="J2153" s="499"/>
      <c r="K2153" s="765" t="s">
        <v>5</v>
      </c>
      <c r="L2153" s="766" t="s">
        <v>573</v>
      </c>
      <c r="M2153" s="499"/>
      <c r="N2153" s="499"/>
      <c r="O2153" s="499"/>
      <c r="P2153" s="499"/>
      <c r="Q2153" s="499"/>
      <c r="R2153" s="784"/>
      <c r="S2153" s="499"/>
      <c r="T2153" s="784"/>
    </row>
    <row r="2154" spans="1:33" s="893" customFormat="1" ht="13.2">
      <c r="A2154">
        <v>1</v>
      </c>
      <c r="B2154" s="893" t="s">
        <v>141</v>
      </c>
      <c r="D2154" s="893" t="s">
        <v>767</v>
      </c>
      <c r="E2154" s="893" t="s">
        <v>770</v>
      </c>
      <c r="F2154" s="893" t="s">
        <v>769</v>
      </c>
      <c r="G2154" s="894" t="s">
        <v>768</v>
      </c>
      <c r="H2154" s="895">
        <v>570</v>
      </c>
      <c r="I2154" s="893" t="s">
        <v>643</v>
      </c>
      <c r="O2154" s="896">
        <v>2</v>
      </c>
      <c r="P2154" s="897">
        <v>38443</v>
      </c>
      <c r="Q2154" s="898">
        <v>2500</v>
      </c>
      <c r="R2154" s="899">
        <f>$A2154*Q2154</f>
        <v>2500</v>
      </c>
      <c r="S2154" s="898">
        <f>200/25</f>
        <v>8</v>
      </c>
      <c r="T2154" s="900">
        <f>$A2154*S2154*$T$1</f>
        <v>8</v>
      </c>
    </row>
    <row r="2155" spans="1:33" s="501" customFormat="1" ht="15.6" customHeight="1">
      <c r="A2155" s="767"/>
      <c r="B2155" s="567"/>
      <c r="C2155" s="567"/>
      <c r="D2155" s="3"/>
      <c r="E2155" s="567"/>
      <c r="F2155" s="567"/>
      <c r="G2155" s="567"/>
      <c r="H2155" s="567"/>
      <c r="I2155" s="567"/>
      <c r="J2155" s="567"/>
      <c r="K2155" s="567"/>
      <c r="L2155" s="770"/>
      <c r="M2155" s="567"/>
      <c r="N2155" s="567"/>
      <c r="O2155" s="567"/>
      <c r="P2155" s="567"/>
      <c r="Q2155" s="567"/>
      <c r="R2155" s="771">
        <f>$A2155*Q2155</f>
        <v>0</v>
      </c>
      <c r="S2155" s="567"/>
      <c r="T2155" s="500">
        <f>$A2155*S2155*$T$1</f>
        <v>0</v>
      </c>
    </row>
    <row r="2156" spans="1:33" s="501" customFormat="1" ht="12">
      <c r="A2156" s="772" t="s">
        <v>145</v>
      </c>
      <c r="B2156" s="773">
        <f>(R2155+T2155)</f>
        <v>0</v>
      </c>
      <c r="C2156" s="753"/>
      <c r="G2156" s="774"/>
      <c r="H2156" s="774"/>
      <c r="I2156" s="774"/>
      <c r="J2156" s="774"/>
      <c r="K2156" s="798" t="s">
        <v>5</v>
      </c>
      <c r="L2156" s="775" t="s">
        <v>573</v>
      </c>
      <c r="M2156" s="774"/>
      <c r="N2156" s="774"/>
      <c r="O2156" s="774"/>
      <c r="P2156" s="774"/>
      <c r="Q2156" s="776"/>
      <c r="R2156" s="777">
        <f>SUM(R2153:R2155)</f>
        <v>2500</v>
      </c>
      <c r="S2156" s="778"/>
      <c r="T2156" s="777">
        <f>SUM(T2153:T2155)</f>
        <v>8</v>
      </c>
      <c r="AG2156" s="799">
        <f>ROUND($R2156*$S$3,2)</f>
        <v>3375</v>
      </c>
    </row>
    <row r="2157" spans="1:33" s="501" customFormat="1" ht="12" customHeight="1">
      <c r="A2157" s="800"/>
      <c r="B2157" s="801"/>
      <c r="C2157" s="802"/>
      <c r="D2157" s="803" t="str">
        <f>$F$4</f>
        <v>Engineer (Man Hours)</v>
      </c>
      <c r="E2157" s="803">
        <f>ROUND(($R2160*$S$4 + ($T2160*$T$4)), 2)</f>
        <v>162</v>
      </c>
      <c r="F2157" s="804">
        <f ca="1">$F2137-SUMIF($L2139:$P2154,"SUBI",$F2139:$F2154)</f>
        <v>162</v>
      </c>
      <c r="G2157" s="499"/>
      <c r="H2157" s="499"/>
      <c r="I2157" s="499"/>
      <c r="J2157" s="499"/>
      <c r="K2157" s="805" t="s">
        <v>8</v>
      </c>
      <c r="L2157" s="766" t="s">
        <v>573</v>
      </c>
      <c r="M2157" s="499"/>
      <c r="N2157" s="499"/>
      <c r="O2157" s="499"/>
      <c r="P2157" s="499"/>
      <c r="Q2157" s="499"/>
      <c r="R2157" s="784"/>
      <c r="S2157" s="499"/>
      <c r="T2157" s="784"/>
    </row>
    <row r="2158" spans="1:33" s="893" customFormat="1" ht="13.2">
      <c r="A2158">
        <v>1</v>
      </c>
      <c r="B2158" s="893" t="s">
        <v>141</v>
      </c>
      <c r="D2158" s="893" t="s">
        <v>767</v>
      </c>
      <c r="E2158" s="893" t="s">
        <v>771</v>
      </c>
      <c r="F2158" s="893" t="s">
        <v>769</v>
      </c>
      <c r="G2158" s="894" t="s">
        <v>768</v>
      </c>
      <c r="H2158" s="895">
        <v>570</v>
      </c>
      <c r="I2158" s="893" t="s">
        <v>643</v>
      </c>
      <c r="O2158" s="896">
        <v>2</v>
      </c>
      <c r="P2158" s="897">
        <v>38443</v>
      </c>
      <c r="Q2158" s="898"/>
      <c r="R2158" s="899">
        <f>$A2158*Q2158</f>
        <v>0</v>
      </c>
      <c r="S2158" s="898">
        <f>100/25</f>
        <v>4</v>
      </c>
      <c r="T2158" s="900">
        <f>$A2158*S2158*$T$1</f>
        <v>4</v>
      </c>
    </row>
    <row r="2159" spans="1:33" s="501" customFormat="1" ht="12">
      <c r="A2159" s="44"/>
      <c r="B2159" s="497"/>
      <c r="C2159" s="497"/>
      <c r="D2159" s="807"/>
      <c r="E2159" s="808"/>
      <c r="F2159" s="499"/>
      <c r="G2159" s="499"/>
      <c r="H2159" s="499"/>
      <c r="I2159" s="499"/>
      <c r="J2159" s="499"/>
      <c r="K2159" s="499"/>
      <c r="L2159" s="809"/>
      <c r="M2159" s="499"/>
      <c r="N2159" s="499"/>
      <c r="O2159" s="499"/>
      <c r="P2159" s="499"/>
      <c r="Q2159" s="499"/>
      <c r="R2159" s="720">
        <f>$A2159*Q2159</f>
        <v>0</v>
      </c>
      <c r="S2159" s="499"/>
      <c r="T2159" s="500">
        <f>$A2159*S2159*$T$1</f>
        <v>0</v>
      </c>
    </row>
    <row r="2160" spans="1:33" s="501" customFormat="1" ht="12.75" customHeight="1">
      <c r="A2160" s="772" t="s">
        <v>145</v>
      </c>
      <c r="B2160" s="773">
        <f>(R2159+T2159)</f>
        <v>0</v>
      </c>
      <c r="C2160" s="810"/>
      <c r="D2160" s="810"/>
      <c r="E2160" s="810"/>
      <c r="F2160" s="810"/>
      <c r="G2160" s="776"/>
      <c r="H2160" s="776"/>
      <c r="I2160" s="776"/>
      <c r="J2160" s="776"/>
      <c r="K2160" s="798" t="s">
        <v>8</v>
      </c>
      <c r="L2160" s="811" t="s">
        <v>573</v>
      </c>
      <c r="M2160" s="776"/>
      <c r="N2160" s="776"/>
      <c r="O2160" s="776"/>
      <c r="P2160" s="776"/>
      <c r="Q2160" s="776"/>
      <c r="R2160" s="777">
        <f>SUM(R2157:R2159)</f>
        <v>0</v>
      </c>
      <c r="S2160" s="778"/>
      <c r="T2160" s="777">
        <f>SUM(T2157:T2159)</f>
        <v>4</v>
      </c>
      <c r="AG2160" s="812">
        <f>ROUND($R2160*$S$4,2)</f>
        <v>0</v>
      </c>
    </row>
    <row r="2161" spans="1:41" s="501" customFormat="1" ht="12.75" customHeight="1">
      <c r="A2161" s="813"/>
      <c r="B2161" s="814"/>
      <c r="E2161" s="497"/>
      <c r="F2161" s="808"/>
      <c r="G2161" s="497"/>
      <c r="H2161" s="497"/>
      <c r="I2161" s="499"/>
      <c r="J2161" s="497"/>
      <c r="K2161" s="497"/>
      <c r="L2161" s="815"/>
      <c r="M2161" s="725"/>
      <c r="N2161" s="725"/>
      <c r="O2161" s="725"/>
      <c r="P2161" s="725"/>
      <c r="Q2161" s="726"/>
      <c r="R2161" s="784"/>
      <c r="S2161" s="497"/>
      <c r="T2161" s="784"/>
    </row>
    <row r="2162" spans="1:41" s="501" customFormat="1" ht="13.5" customHeight="1" thickBot="1">
      <c r="A2162" s="816"/>
      <c r="B2162" s="817"/>
      <c r="C2162" s="518"/>
      <c r="D2162" s="518"/>
      <c r="E2162" s="515"/>
      <c r="F2162" s="721"/>
      <c r="G2162" s="515" t="s">
        <v>146</v>
      </c>
      <c r="H2162" s="515"/>
      <c r="I2162" s="516"/>
      <c r="J2162" s="515"/>
      <c r="K2162" s="515"/>
      <c r="L2162" s="818" t="s">
        <v>143</v>
      </c>
      <c r="M2162" s="517"/>
      <c r="N2162" s="517"/>
      <c r="O2162" s="517"/>
      <c r="P2162" s="517"/>
      <c r="Q2162" s="722"/>
      <c r="R2162" s="819">
        <f ca="1">SUMIF($L2138:$L2161,"SUBI",R2138:R2161)</f>
        <v>3018.48</v>
      </c>
      <c r="S2162" s="820"/>
      <c r="T2162" s="819">
        <f ca="1">SUMIF($L2138:$L2161,"SUBI",T2138:T2161)</f>
        <v>38.159999999999997</v>
      </c>
      <c r="U2162" s="518"/>
      <c r="V2162" s="518"/>
      <c r="W2162" s="518"/>
      <c r="X2162" s="518"/>
      <c r="Y2162" s="518"/>
      <c r="Z2162" s="518"/>
      <c r="AA2162" s="518"/>
      <c r="AB2162" s="518"/>
      <c r="AC2162" s="518"/>
      <c r="AD2162" s="518"/>
      <c r="AE2162" s="518"/>
      <c r="AF2162" s="518"/>
      <c r="AG2162" s="518"/>
      <c r="AH2162" s="518"/>
      <c r="AI2162" s="518"/>
      <c r="AJ2162" s="518"/>
      <c r="AK2162" s="518"/>
      <c r="AL2162" s="518"/>
      <c r="AM2162" s="518"/>
      <c r="AN2162" s="518"/>
      <c r="AO2162" s="518"/>
    </row>
    <row r="2163" spans="1:41" s="501" customFormat="1" thickTop="1">
      <c r="A2163" s="44"/>
      <c r="B2163" s="44"/>
      <c r="C2163" s="3"/>
      <c r="D2163" s="3"/>
      <c r="E2163" s="44"/>
      <c r="F2163" s="44"/>
      <c r="G2163" s="44"/>
      <c r="H2163" s="44"/>
      <c r="I2163" s="44"/>
      <c r="J2163" s="44"/>
      <c r="K2163" s="44" t="s">
        <v>134</v>
      </c>
      <c r="L2163" s="44"/>
      <c r="M2163" s="44"/>
      <c r="N2163" s="44"/>
      <c r="O2163" s="45"/>
      <c r="P2163" s="44"/>
      <c r="Q2163" s="44"/>
      <c r="R2163" s="44"/>
      <c r="S2163" s="44"/>
      <c r="T2163" s="44"/>
    </row>
    <row r="2164" spans="1:41" s="501" customFormat="1" ht="12">
      <c r="A2164" s="44"/>
      <c r="B2164" s="44"/>
      <c r="C2164" s="44" t="s">
        <v>135</v>
      </c>
      <c r="D2164" s="35"/>
      <c r="E2164" s="44"/>
      <c r="F2164" s="44"/>
      <c r="G2164" s="44"/>
      <c r="H2164" s="44"/>
      <c r="I2164" s="44"/>
      <c r="J2164" s="44"/>
      <c r="K2164" s="44"/>
      <c r="L2164" s="44"/>
      <c r="M2164" s="44"/>
      <c r="N2164" s="44"/>
      <c r="O2164" s="45"/>
      <c r="P2164" s="44"/>
      <c r="Q2164" s="44"/>
      <c r="R2164" s="44"/>
      <c r="S2164" s="44"/>
      <c r="T2164" s="44"/>
    </row>
    <row r="2165" spans="1:41" s="501" customFormat="1" ht="12">
      <c r="A2165" s="44"/>
      <c r="B2165" s="44"/>
      <c r="C2165" s="44"/>
      <c r="D2165" s="35" t="s">
        <v>520</v>
      </c>
      <c r="E2165" s="44"/>
      <c r="F2165" s="44"/>
      <c r="G2165" s="44"/>
      <c r="H2165" s="44"/>
      <c r="I2165" s="44"/>
      <c r="J2165" s="44"/>
      <c r="K2165" s="44"/>
      <c r="L2165" s="44"/>
      <c r="M2165" s="44"/>
      <c r="N2165" s="44"/>
      <c r="O2165" s="45"/>
      <c r="P2165" s="44"/>
      <c r="Q2165" s="44"/>
      <c r="R2165" s="44"/>
      <c r="S2165" s="36"/>
      <c r="T2165" s="36"/>
    </row>
    <row r="2166" spans="1:41" s="3" customFormat="1" thickBot="1">
      <c r="A2166" s="518"/>
      <c r="O2166" s="86"/>
    </row>
    <row r="2167" spans="1:41" s="501" customFormat="1" thickTop="1">
      <c r="A2167" s="44"/>
      <c r="B2167" s="39"/>
      <c r="C2167" s="44"/>
      <c r="E2167" s="40" t="s">
        <v>138</v>
      </c>
      <c r="F2167" s="40" t="s">
        <v>139</v>
      </c>
      <c r="G2167" s="44"/>
      <c r="H2167" s="44"/>
      <c r="I2167" s="44"/>
      <c r="J2167" s="44"/>
      <c r="K2167" s="44" t="s">
        <v>140</v>
      </c>
      <c r="L2167" s="737"/>
      <c r="M2167" s="44"/>
      <c r="N2167" s="44"/>
      <c r="O2167" s="45"/>
      <c r="P2167" s="44"/>
      <c r="Q2167"/>
      <c r="R2167"/>
      <c r="S2167"/>
      <c r="T2167" s="39"/>
      <c r="AG2167" s="502" t="s">
        <v>247</v>
      </c>
      <c r="AH2167" s="502" t="s">
        <v>248</v>
      </c>
      <c r="AI2167" s="502" t="s">
        <v>249</v>
      </c>
      <c r="AJ2167" s="502" t="s">
        <v>250</v>
      </c>
      <c r="AK2167" s="502" t="s">
        <v>251</v>
      </c>
      <c r="AM2167" s="710" t="s">
        <v>260</v>
      </c>
      <c r="AN2167" s="711" t="s">
        <v>261</v>
      </c>
      <c r="AO2167" s="503" t="s">
        <v>257</v>
      </c>
    </row>
    <row r="2168" spans="1:41" s="501" customFormat="1" ht="13.2">
      <c r="A2168" s="712">
        <v>1</v>
      </c>
      <c r="B2168" s="504" t="s">
        <v>283</v>
      </c>
      <c r="C2168" s="505"/>
      <c r="D2168" s="713" t="s">
        <v>613</v>
      </c>
      <c r="E2168" s="738">
        <f ca="1">IF(AND($A2168=0,$A$1="DIF"),0,ROUND(ROUND(SUMIF($L2170:$L2188,"SUBI",$E2170:$E2188)/$A2168,2)*$C$12,2))</f>
        <v>5533.83</v>
      </c>
      <c r="F2168" s="739">
        <f ca="1">ROUND($A2168*$E2168,2)</f>
        <v>5533.83</v>
      </c>
      <c r="G2168" s="506" t="s">
        <v>142</v>
      </c>
      <c r="H2168" s="498"/>
      <c r="I2168" s="716"/>
      <c r="J2168" s="498"/>
      <c r="K2168" s="740"/>
      <c r="L2168" s="741" t="s">
        <v>143</v>
      </c>
      <c r="M2168" s="717"/>
      <c r="N2168" s="717"/>
      <c r="O2168" s="717"/>
      <c r="P2168" s="717"/>
      <c r="Q2168" s="943" t="s">
        <v>855</v>
      </c>
      <c r="R2168" s="943" t="s">
        <v>869</v>
      </c>
      <c r="S2168"/>
      <c r="T2168" s="742" t="str">
        <f ca="1">IF(AND($R2193=0,$T2193=0),"0.00","mu :" &amp; ROUND($F2168/$C$12/($R2193+$T2193*$D$9),2))</f>
        <v>mu :1.37</v>
      </c>
      <c r="W2168" s="507"/>
      <c r="AG2168" s="743">
        <f ca="1">IF(A2168=0,0,ROUND(SUM(AG2170:AG2193)/A2168,2))</f>
        <v>4074.95</v>
      </c>
      <c r="AH2168" s="743">
        <f ca="1">$AG2168*$A2168</f>
        <v>4074.95</v>
      </c>
      <c r="AI2168" s="743">
        <f ca="1">$E2168-$AG2168</f>
        <v>1458.88</v>
      </c>
      <c r="AJ2168" s="743">
        <f ca="1">$A2168*$AI2168</f>
        <v>1458.88</v>
      </c>
      <c r="AK2168" s="744">
        <f ca="1">ROUND(($AG2168+$AI2168)*$A2168,2)</f>
        <v>5533.83</v>
      </c>
      <c r="AM2168" s="510">
        <f ca="1">ROUND(R2193,2)</f>
        <v>3018.48</v>
      </c>
      <c r="AN2168" s="511">
        <f ca="1">ROUND(T2193,2)</f>
        <v>37.159999999999997</v>
      </c>
      <c r="AO2168" s="512">
        <f ca="1">ROUND(AM2168+AN2168,2)*A2168</f>
        <v>3055.64</v>
      </c>
    </row>
    <row r="2169" spans="1:41" s="501" customFormat="1" ht="39.9" customHeight="1">
      <c r="A2169" s="745"/>
      <c r="B2169" s="746"/>
      <c r="C2169" s="505"/>
      <c r="D2169" s="1183" t="s">
        <v>521</v>
      </c>
      <c r="E2169" s="1184"/>
      <c r="F2169" s="1184"/>
      <c r="G2169" s="1184"/>
      <c r="H2169" s="1184"/>
      <c r="I2169" s="1184"/>
      <c r="J2169" s="1184"/>
      <c r="K2169" s="1184"/>
      <c r="L2169" s="1184"/>
      <c r="M2169" s="1184"/>
      <c r="N2169" s="1184"/>
      <c r="O2169" s="1184"/>
      <c r="P2169" s="1184"/>
      <c r="Q2169" s="1184"/>
      <c r="R2169" s="1184"/>
      <c r="S2169" s="1184"/>
      <c r="T2169" s="1184"/>
    </row>
    <row r="2170" spans="1:41" s="501" customFormat="1" ht="12">
      <c r="A2170" s="748"/>
      <c r="B2170" s="749"/>
      <c r="C2170" s="497"/>
      <c r="D2170" s="750"/>
      <c r="E2170" s="751">
        <f ca="1">F2168/$C$12-SUMIF($L2167:$L2193,"SUBI",$E2167:$E2193)</f>
        <v>0</v>
      </c>
      <c r="F2170" s="752" t="s">
        <v>572</v>
      </c>
      <c r="G2170" s="753"/>
      <c r="H2170" s="753"/>
      <c r="I2170" s="754"/>
      <c r="J2170" s="753"/>
      <c r="K2170" s="753"/>
      <c r="L2170" s="755"/>
      <c r="M2170" s="756"/>
      <c r="N2170" s="756"/>
      <c r="O2170" s="756"/>
      <c r="P2170" s="756"/>
      <c r="Q2170" s="757"/>
      <c r="R2170" s="758"/>
      <c r="S2170" s="757"/>
      <c r="T2170" s="759"/>
    </row>
    <row r="2171" spans="1:41" s="501" customFormat="1" ht="12" customHeight="1">
      <c r="A2171" s="760"/>
      <c r="B2171" s="761"/>
      <c r="C2171" s="762"/>
      <c r="D2171" s="762" t="str">
        <f>$F$2</f>
        <v>Electrical</v>
      </c>
      <c r="E2171" s="762">
        <f ca="1">ROUND(($R2183*$S$2 + ($T2183*$T$2)), 2)</f>
        <v>1632.65</v>
      </c>
      <c r="F2171" s="763">
        <f ca="1">$E2171*$C$12</f>
        <v>1632.65</v>
      </c>
      <c r="G2171" s="567"/>
      <c r="H2171" s="764"/>
      <c r="I2171" s="567"/>
      <c r="J2171" s="45"/>
      <c r="K2171" s="765" t="s">
        <v>3</v>
      </c>
      <c r="L2171" s="766" t="s">
        <v>573</v>
      </c>
      <c r="M2171" s="567"/>
      <c r="N2171" s="567"/>
      <c r="O2171" s="45"/>
      <c r="P2171" s="567"/>
      <c r="Q2171" s="567"/>
      <c r="R2171"/>
      <c r="S2171"/>
      <c r="T2171"/>
    </row>
    <row r="2172" spans="1:41" s="935" customFormat="1" ht="13.2">
      <c r="A2172"/>
      <c r="B2172" s="927"/>
      <c r="C2172" s="927" t="s">
        <v>735</v>
      </c>
      <c r="D2172" s="927" t="str">
        <f ca="1">CELL("Address",Elec_Rates!D$143)</f>
        <v>[E25_0465_IH_Retro_Elec4Mech_Est_Rev_A.xlsx]Elec_Rates!$D$143</v>
      </c>
      <c r="E2172" s="928"/>
      <c r="F2172" s="928"/>
      <c r="G2172" s="929" t="s">
        <v>736</v>
      </c>
      <c r="H2172" s="929"/>
      <c r="I2172" s="929"/>
      <c r="J2172" s="929"/>
      <c r="K2172" s="930"/>
      <c r="L2172" s="928"/>
      <c r="M2172" s="928"/>
      <c r="N2172" s="928"/>
      <c r="O2172" s="931"/>
      <c r="P2172" s="928"/>
      <c r="Q2172" s="932"/>
      <c r="R2172" s="933"/>
      <c r="S2172" s="932"/>
      <c r="T2172" s="560"/>
      <c r="U2172" s="934"/>
    </row>
    <row r="2173" spans="1:41" s="935" customFormat="1" ht="11.4">
      <c r="A2173" s="936">
        <v>1</v>
      </c>
      <c r="B2173" s="937">
        <v>1</v>
      </c>
      <c r="C2173" s="937">
        <f>$A2173*$B2173</f>
        <v>1</v>
      </c>
      <c r="D2173" s="938" t="str">
        <f>Elec_Rates!$D$143</f>
        <v>011# Power supply to control panel (4core x 4.0sqmm) and VDS by pass in MCC</v>
      </c>
      <c r="E2173" s="938"/>
      <c r="F2173" s="938" t="s">
        <v>737</v>
      </c>
      <c r="G2173" s="939" t="s">
        <v>738</v>
      </c>
      <c r="H2173" s="939"/>
      <c r="I2173" s="939"/>
      <c r="J2173" s="939"/>
      <c r="K2173" s="940"/>
      <c r="L2173" s="934"/>
      <c r="M2173" s="934"/>
      <c r="N2173" s="934"/>
      <c r="O2173" s="941"/>
      <c r="P2173" s="938"/>
      <c r="Q2173" s="942">
        <f ca="1">$B2173*Elec_Rates!$R$143</f>
        <v>74.239999999999995</v>
      </c>
      <c r="R2173" s="933">
        <f ca="1">$A2173*Q2173</f>
        <v>74.239999999999995</v>
      </c>
      <c r="S2173" s="942">
        <f ca="1">$B2173*Elec_Rates!$T$143</f>
        <v>3.17</v>
      </c>
      <c r="T2173" s="560">
        <f ca="1">$A2173*S2173</f>
        <v>3.17</v>
      </c>
      <c r="U2173" s="484"/>
    </row>
    <row r="2174" spans="1:41" s="935" customFormat="1" ht="13.2">
      <c r="A2174"/>
      <c r="B2174" s="927"/>
      <c r="C2174" s="927" t="s">
        <v>735</v>
      </c>
      <c r="D2174" s="927" t="str">
        <f ca="1">CELL("Address",Elec_Rates!D$203)</f>
        <v>[E25_0465_IH_Retro_Elec4Mech_Est_Rev_A.xlsx]Elec_Rates!$D$203</v>
      </c>
      <c r="E2174" s="928"/>
      <c r="F2174" s="928"/>
      <c r="G2174" s="929" t="s">
        <v>736</v>
      </c>
      <c r="H2174" s="929"/>
      <c r="I2174" s="929"/>
      <c r="J2174" s="929"/>
      <c r="K2174" s="930"/>
      <c r="L2174" s="928"/>
      <c r="M2174" s="928"/>
      <c r="N2174" s="928"/>
      <c r="O2174" s="931"/>
      <c r="P2174" s="928"/>
      <c r="Q2174" s="932"/>
      <c r="R2174" s="933"/>
      <c r="S2174" s="932"/>
      <c r="T2174" s="560"/>
      <c r="U2174" s="934"/>
    </row>
    <row r="2175" spans="1:41" s="935" customFormat="1" ht="11.4">
      <c r="A2175" s="936">
        <v>1</v>
      </c>
      <c r="B2175" s="937">
        <v>1</v>
      </c>
      <c r="C2175" s="937">
        <f>$A2175*$B2175</f>
        <v>1</v>
      </c>
      <c r="D2175" s="938" t="str">
        <f>Elec_Rates!$D$203</f>
        <v>014# Installation of cable harness to fans</v>
      </c>
      <c r="E2175" s="938"/>
      <c r="F2175" s="938" t="s">
        <v>737</v>
      </c>
      <c r="G2175" s="939" t="s">
        <v>738</v>
      </c>
      <c r="H2175" s="939"/>
      <c r="I2175" s="939"/>
      <c r="J2175" s="939"/>
      <c r="K2175" s="940"/>
      <c r="L2175" s="934"/>
      <c r="M2175" s="934"/>
      <c r="N2175" s="934"/>
      <c r="O2175" s="941"/>
      <c r="P2175" s="938"/>
      <c r="Q2175" s="942">
        <f ca="1">$B2175*Elec_Rates!$R$203</f>
        <v>20</v>
      </c>
      <c r="R2175" s="933">
        <f ca="1">$A2175*Q2175</f>
        <v>20</v>
      </c>
      <c r="S2175" s="942">
        <f ca="1">$B2175*Elec_Rates!$T$203</f>
        <v>1</v>
      </c>
      <c r="T2175" s="560">
        <f ca="1">$A2175*S2175</f>
        <v>1</v>
      </c>
      <c r="U2175" s="484"/>
    </row>
    <row r="2176" spans="1:41" s="935" customFormat="1" ht="13.2">
      <c r="A2176"/>
      <c r="B2176" s="927"/>
      <c r="C2176" s="927" t="s">
        <v>735</v>
      </c>
      <c r="D2176" s="927" t="str">
        <f ca="1">CELL("Address",Elec_Rates!D$203)</f>
        <v>[E25_0465_IH_Retro_Elec4Mech_Est_Rev_A.xlsx]Elec_Rates!$D$203</v>
      </c>
      <c r="E2176" s="928"/>
      <c r="F2176" s="928"/>
      <c r="G2176" s="929" t="s">
        <v>736</v>
      </c>
      <c r="H2176" s="929"/>
      <c r="I2176" s="929"/>
      <c r="J2176" s="929"/>
      <c r="K2176" s="930"/>
      <c r="L2176" s="928"/>
      <c r="M2176" s="928"/>
      <c r="N2176" s="928"/>
      <c r="O2176" s="931"/>
      <c r="P2176" s="928"/>
      <c r="Q2176" s="932"/>
      <c r="R2176" s="933"/>
      <c r="S2176" s="932"/>
      <c r="T2176" s="560"/>
      <c r="U2176" s="934"/>
    </row>
    <row r="2177" spans="1:33" s="935" customFormat="1" ht="11.4">
      <c r="A2177" s="936">
        <v>2</v>
      </c>
      <c r="B2177" s="937">
        <v>1</v>
      </c>
      <c r="C2177" s="937">
        <f>$A2177*$B2177</f>
        <v>2</v>
      </c>
      <c r="D2177" s="938" t="str">
        <f>Elec_Rates!$D$203</f>
        <v>014# Installation of cable harness to fans</v>
      </c>
      <c r="E2177" s="938"/>
      <c r="F2177" s="938" t="s">
        <v>737</v>
      </c>
      <c r="G2177" s="939" t="s">
        <v>738</v>
      </c>
      <c r="H2177" s="939"/>
      <c r="I2177" s="939"/>
      <c r="J2177" s="939"/>
      <c r="K2177" s="940"/>
      <c r="L2177" s="934"/>
      <c r="M2177" s="934"/>
      <c r="N2177" s="934"/>
      <c r="O2177" s="941"/>
      <c r="P2177" s="938"/>
      <c r="Q2177" s="942">
        <f ca="1">$B2177*Elec_Rates!$R$203</f>
        <v>20</v>
      </c>
      <c r="R2177" s="933">
        <f ca="1">$A2177*Q2177</f>
        <v>40</v>
      </c>
      <c r="S2177" s="942">
        <f ca="1">$B2177*Elec_Rates!$T$203</f>
        <v>1</v>
      </c>
      <c r="T2177" s="560">
        <f ca="1">$A2177*S2177</f>
        <v>2</v>
      </c>
      <c r="U2177" s="484"/>
    </row>
    <row r="2178" spans="1:33" s="935" customFormat="1" ht="13.2">
      <c r="A2178"/>
      <c r="B2178" s="927"/>
      <c r="C2178" s="927" t="s">
        <v>735</v>
      </c>
      <c r="D2178" s="927" t="str">
        <f ca="1">CELL("Address",Elec_Rates!D$210)</f>
        <v>[E25_0465_IH_Retro_Elec4Mech_Est_Rev_A.xlsx]Elec_Rates!$D$210</v>
      </c>
      <c r="E2178" s="928"/>
      <c r="F2178" s="928"/>
      <c r="G2178" s="929" t="s">
        <v>736</v>
      </c>
      <c r="H2178" s="929"/>
      <c r="I2178" s="929"/>
      <c r="J2178" s="929"/>
      <c r="K2178" s="930"/>
      <c r="L2178" s="928"/>
      <c r="M2178" s="928"/>
      <c r="N2178" s="928"/>
      <c r="O2178" s="931"/>
      <c r="P2178" s="928"/>
      <c r="Q2178" s="932"/>
      <c r="R2178" s="933"/>
      <c r="S2178" s="932"/>
      <c r="T2178" s="560"/>
      <c r="U2178" s="934"/>
    </row>
    <row r="2179" spans="1:33" s="935" customFormat="1" ht="11.4">
      <c r="A2179" s="936">
        <v>1</v>
      </c>
      <c r="B2179" s="937">
        <v>1</v>
      </c>
      <c r="C2179" s="937">
        <f>$A2179*$B2179</f>
        <v>1</v>
      </c>
      <c r="D2179" s="938" t="str">
        <f>Elec_Rates!$D$210</f>
        <v>015# Installation of control panels by ECA</v>
      </c>
      <c r="E2179" s="938"/>
      <c r="F2179" s="938" t="s">
        <v>737</v>
      </c>
      <c r="G2179" s="939" t="s">
        <v>739</v>
      </c>
      <c r="H2179" s="939"/>
      <c r="I2179" s="939"/>
      <c r="J2179" s="939"/>
      <c r="K2179" s="940"/>
      <c r="L2179" s="934"/>
      <c r="M2179" s="934"/>
      <c r="N2179" s="934"/>
      <c r="O2179" s="941"/>
      <c r="P2179" s="938"/>
      <c r="Q2179" s="942">
        <f ca="1">$B2179*Elec_Rates!$R$210</f>
        <v>30</v>
      </c>
      <c r="R2179" s="933">
        <f ca="1">$A2179*Q2179</f>
        <v>30</v>
      </c>
      <c r="S2179" s="942">
        <f ca="1">$B2179*Elec_Rates!$T$210</f>
        <v>1</v>
      </c>
      <c r="T2179" s="560">
        <f ca="1">$A2179*S2179</f>
        <v>1</v>
      </c>
      <c r="U2179" s="484"/>
    </row>
    <row r="2180" spans="1:33" s="935" customFormat="1" ht="13.2">
      <c r="A2180"/>
      <c r="B2180" s="927"/>
      <c r="C2180" s="927" t="s">
        <v>735</v>
      </c>
      <c r="D2180" s="927" t="str">
        <f ca="1">CELL("Address",Elec_Rates!D$217)</f>
        <v>[E25_0465_IH_Retro_Elec4Mech_Est_Rev_A.xlsx]Elec_Rates!$D$217</v>
      </c>
      <c r="E2180" s="928"/>
      <c r="F2180" s="928"/>
      <c r="G2180" s="929" t="s">
        <v>736</v>
      </c>
      <c r="H2180" s="929"/>
      <c r="I2180" s="929"/>
      <c r="J2180" s="929"/>
      <c r="K2180" s="930"/>
      <c r="L2180" s="928"/>
      <c r="M2180" s="928"/>
      <c r="N2180" s="928"/>
      <c r="O2180" s="931"/>
      <c r="P2180" s="928"/>
      <c r="Q2180" s="932"/>
      <c r="R2180" s="933"/>
      <c r="S2180" s="932"/>
      <c r="T2180" s="560"/>
      <c r="U2180" s="934"/>
    </row>
    <row r="2181" spans="1:33" s="935" customFormat="1" ht="11.4">
      <c r="A2181" s="936">
        <v>1</v>
      </c>
      <c r="B2181" s="937">
        <v>1</v>
      </c>
      <c r="C2181" s="937">
        <f>$A2181*$B2181</f>
        <v>1</v>
      </c>
      <c r="D2181" s="938" t="str">
        <f>Elec_Rates!$D$217</f>
        <v>016# Installation of sensors on AHUs</v>
      </c>
      <c r="E2181" s="938"/>
      <c r="F2181" s="938" t="s">
        <v>737</v>
      </c>
      <c r="G2181" s="939" t="s">
        <v>738</v>
      </c>
      <c r="H2181" s="939"/>
      <c r="I2181" s="939"/>
      <c r="J2181" s="939"/>
      <c r="K2181" s="940"/>
      <c r="L2181" s="934"/>
      <c r="M2181" s="934"/>
      <c r="N2181" s="934"/>
      <c r="O2181" s="941"/>
      <c r="P2181" s="938"/>
      <c r="Q2181" s="942">
        <f ca="1">$B2181*Elec_Rates!$R$217</f>
        <v>354.24</v>
      </c>
      <c r="R2181" s="933">
        <f ca="1">$A2181*Q2181</f>
        <v>354.24</v>
      </c>
      <c r="S2181" s="942">
        <f ca="1">$B2181*Elec_Rates!$T$217</f>
        <v>17.989999999999998</v>
      </c>
      <c r="T2181" s="560">
        <f ca="1">$A2181*S2181</f>
        <v>17.989999999999998</v>
      </c>
      <c r="U2181" s="484"/>
    </row>
    <row r="2182" spans="1:33" s="501" customFormat="1" ht="14.4" customHeight="1">
      <c r="A2182" s="767"/>
      <c r="B2182" s="567"/>
      <c r="C2182" s="567"/>
      <c r="D2182" s="567"/>
      <c r="E2182" s="567"/>
      <c r="F2182" s="567"/>
      <c r="G2182" s="567"/>
      <c r="H2182" s="764"/>
      <c r="I2182" s="567"/>
      <c r="J2182" s="45"/>
      <c r="K2182" s="769"/>
      <c r="L2182" s="770"/>
      <c r="M2182" s="567"/>
      <c r="N2182" s="567"/>
      <c r="O2182" s="45"/>
      <c r="P2182" s="567"/>
      <c r="Q2182" s="567"/>
      <c r="R2182" s="771">
        <f>$A2182*Q2182</f>
        <v>0</v>
      </c>
      <c r="S2182" s="567"/>
      <c r="T2182" s="500">
        <f>$A2182*S2182*$T$1</f>
        <v>0</v>
      </c>
    </row>
    <row r="2183" spans="1:33" s="501" customFormat="1" ht="12">
      <c r="A2183" s="772" t="s">
        <v>145</v>
      </c>
      <c r="B2183" s="773">
        <f>(R2182+T2182)</f>
        <v>0</v>
      </c>
      <c r="C2183" s="753"/>
      <c r="G2183" s="774"/>
      <c r="H2183" s="774"/>
      <c r="I2183" s="774"/>
      <c r="J2183" s="774"/>
      <c r="K2183" s="750" t="s">
        <v>3</v>
      </c>
      <c r="L2183" s="775" t="s">
        <v>573</v>
      </c>
      <c r="M2183" s="774"/>
      <c r="N2183" s="774"/>
      <c r="O2183" s="774"/>
      <c r="P2183" s="774"/>
      <c r="Q2183" s="776"/>
      <c r="R2183" s="777">
        <f ca="1">SUM(R2171:R2182)</f>
        <v>518.48</v>
      </c>
      <c r="S2183" s="778"/>
      <c r="T2183" s="777">
        <f ca="1">SUM(T2171:T2182)</f>
        <v>25.159999999999997</v>
      </c>
      <c r="AG2183" s="779">
        <f ca="1">ROUND($R2183*$S$2,2)</f>
        <v>699.95</v>
      </c>
    </row>
    <row r="2184" spans="1:33" s="501" customFormat="1" ht="12" customHeight="1">
      <c r="A2184" s="760"/>
      <c r="B2184" s="780"/>
      <c r="C2184" s="781"/>
      <c r="D2184" s="782" t="str">
        <f>$F$3</f>
        <v>Technician</v>
      </c>
      <c r="E2184" s="782">
        <f>ROUND(($R2187*$S$3 + ($T2187*$T$3)), 2)</f>
        <v>3739.18</v>
      </c>
      <c r="F2184" s="783">
        <f>$E2184*$C$12</f>
        <v>3739.18</v>
      </c>
      <c r="G2184" s="499"/>
      <c r="H2184" s="499"/>
      <c r="I2184" s="499"/>
      <c r="J2184" s="499"/>
      <c r="K2184" s="765" t="s">
        <v>5</v>
      </c>
      <c r="L2184" s="766" t="s">
        <v>573</v>
      </c>
      <c r="M2184" s="499"/>
      <c r="N2184" s="499"/>
      <c r="O2184" s="499"/>
      <c r="P2184" s="499"/>
      <c r="Q2184" s="499"/>
      <c r="R2184" s="784"/>
      <c r="S2184" s="499"/>
      <c r="T2184" s="784"/>
    </row>
    <row r="2185" spans="1:33" s="893" customFormat="1" ht="13.2">
      <c r="A2185">
        <v>1</v>
      </c>
      <c r="B2185" s="893" t="s">
        <v>141</v>
      </c>
      <c r="D2185" s="893" t="s">
        <v>767</v>
      </c>
      <c r="E2185" s="893" t="s">
        <v>770</v>
      </c>
      <c r="F2185" s="893" t="s">
        <v>769</v>
      </c>
      <c r="G2185" s="894" t="s">
        <v>768</v>
      </c>
      <c r="H2185" s="895">
        <v>570</v>
      </c>
      <c r="I2185" s="893" t="s">
        <v>643</v>
      </c>
      <c r="O2185" s="896">
        <v>2</v>
      </c>
      <c r="P2185" s="897">
        <v>38443</v>
      </c>
      <c r="Q2185" s="898">
        <v>2500</v>
      </c>
      <c r="R2185" s="899">
        <f>$A2185*Q2185</f>
        <v>2500</v>
      </c>
      <c r="S2185" s="898">
        <f>200/25</f>
        <v>8</v>
      </c>
      <c r="T2185" s="900">
        <f>$A2185*S2185*$T$1</f>
        <v>8</v>
      </c>
    </row>
    <row r="2186" spans="1:33" s="501" customFormat="1" ht="15.6" customHeight="1">
      <c r="A2186" s="767"/>
      <c r="B2186" s="567"/>
      <c r="C2186" s="567"/>
      <c r="D2186" s="3"/>
      <c r="E2186" s="567"/>
      <c r="F2186" s="567"/>
      <c r="G2186" s="567"/>
      <c r="H2186" s="567"/>
      <c r="I2186" s="567"/>
      <c r="J2186" s="567"/>
      <c r="K2186" s="567"/>
      <c r="L2186" s="770"/>
      <c r="M2186" s="567"/>
      <c r="N2186" s="567"/>
      <c r="O2186" s="567"/>
      <c r="P2186" s="567"/>
      <c r="Q2186" s="567"/>
      <c r="R2186" s="771">
        <f>$A2186*Q2186</f>
        <v>0</v>
      </c>
      <c r="S2186" s="567"/>
      <c r="T2186" s="500">
        <f>$A2186*S2186*$T$1</f>
        <v>0</v>
      </c>
    </row>
    <row r="2187" spans="1:33" s="501" customFormat="1" ht="12">
      <c r="A2187" s="772" t="s">
        <v>145</v>
      </c>
      <c r="B2187" s="773">
        <f>(R2186+T2186)</f>
        <v>0</v>
      </c>
      <c r="C2187" s="753"/>
      <c r="G2187" s="774"/>
      <c r="H2187" s="774"/>
      <c r="I2187" s="774"/>
      <c r="J2187" s="774"/>
      <c r="K2187" s="798" t="s">
        <v>5</v>
      </c>
      <c r="L2187" s="775" t="s">
        <v>573</v>
      </c>
      <c r="M2187" s="774"/>
      <c r="N2187" s="774"/>
      <c r="O2187" s="774"/>
      <c r="P2187" s="774"/>
      <c r="Q2187" s="776"/>
      <c r="R2187" s="777">
        <f>SUM(R2184:R2186)</f>
        <v>2500</v>
      </c>
      <c r="S2187" s="778"/>
      <c r="T2187" s="777">
        <f>SUM(T2184:T2186)</f>
        <v>8</v>
      </c>
      <c r="AG2187" s="799">
        <f>ROUND($R2187*$S$3,2)</f>
        <v>3375</v>
      </c>
    </row>
    <row r="2188" spans="1:33" s="501" customFormat="1" ht="12" customHeight="1">
      <c r="A2188" s="800"/>
      <c r="B2188" s="801"/>
      <c r="C2188" s="802"/>
      <c r="D2188" s="803" t="str">
        <f>$F$4</f>
        <v>Engineer (Man Hours)</v>
      </c>
      <c r="E2188" s="803">
        <f>ROUND(($R2191*$S$4 + ($T2191*$T$4)), 2)</f>
        <v>162</v>
      </c>
      <c r="F2188" s="804">
        <f ca="1">$F2168-SUMIF($L2170:$P2185,"SUBI",$F2170:$F2185)</f>
        <v>162</v>
      </c>
      <c r="G2188" s="499"/>
      <c r="H2188" s="499"/>
      <c r="I2188" s="499"/>
      <c r="J2188" s="499"/>
      <c r="K2188" s="805" t="s">
        <v>8</v>
      </c>
      <c r="L2188" s="766" t="s">
        <v>573</v>
      </c>
      <c r="M2188" s="499"/>
      <c r="N2188" s="499"/>
      <c r="O2188" s="499"/>
      <c r="P2188" s="499"/>
      <c r="Q2188" s="499"/>
      <c r="R2188" s="784"/>
      <c r="S2188" s="499"/>
      <c r="T2188" s="784"/>
    </row>
    <row r="2189" spans="1:33" s="893" customFormat="1" ht="13.2">
      <c r="A2189">
        <v>1</v>
      </c>
      <c r="B2189" s="893" t="s">
        <v>141</v>
      </c>
      <c r="D2189" s="893" t="s">
        <v>767</v>
      </c>
      <c r="E2189" s="893" t="s">
        <v>771</v>
      </c>
      <c r="F2189" s="893" t="s">
        <v>769</v>
      </c>
      <c r="G2189" s="894" t="s">
        <v>768</v>
      </c>
      <c r="H2189" s="895">
        <v>570</v>
      </c>
      <c r="I2189" s="893" t="s">
        <v>643</v>
      </c>
      <c r="O2189" s="896">
        <v>2</v>
      </c>
      <c r="P2189" s="897">
        <v>38443</v>
      </c>
      <c r="Q2189" s="898"/>
      <c r="R2189" s="899">
        <f>$A2189*Q2189</f>
        <v>0</v>
      </c>
      <c r="S2189" s="898">
        <f>100/25</f>
        <v>4</v>
      </c>
      <c r="T2189" s="900">
        <f>$A2189*S2189*$T$1</f>
        <v>4</v>
      </c>
    </row>
    <row r="2190" spans="1:33" s="501" customFormat="1" ht="12">
      <c r="A2190" s="44"/>
      <c r="B2190" s="497"/>
      <c r="C2190" s="497"/>
      <c r="D2190" s="807"/>
      <c r="E2190" s="808"/>
      <c r="F2190" s="499"/>
      <c r="G2190" s="499"/>
      <c r="H2190" s="499"/>
      <c r="I2190" s="499"/>
      <c r="J2190" s="499"/>
      <c r="K2190" s="499"/>
      <c r="L2190" s="809"/>
      <c r="M2190" s="499"/>
      <c r="N2190" s="499"/>
      <c r="O2190" s="499"/>
      <c r="P2190" s="499"/>
      <c r="Q2190" s="499"/>
      <c r="R2190" s="720">
        <f>$A2190*Q2190</f>
        <v>0</v>
      </c>
      <c r="S2190" s="499"/>
      <c r="T2190" s="500">
        <f>$A2190*S2190*$T$1</f>
        <v>0</v>
      </c>
    </row>
    <row r="2191" spans="1:33" s="501" customFormat="1" ht="12.75" customHeight="1">
      <c r="A2191" s="772" t="s">
        <v>145</v>
      </c>
      <c r="B2191" s="773">
        <f>(R2190+T2190)</f>
        <v>0</v>
      </c>
      <c r="C2191" s="810"/>
      <c r="D2191" s="810"/>
      <c r="E2191" s="810"/>
      <c r="F2191" s="810"/>
      <c r="G2191" s="776"/>
      <c r="H2191" s="776"/>
      <c r="I2191" s="776"/>
      <c r="J2191" s="776"/>
      <c r="K2191" s="798" t="s">
        <v>8</v>
      </c>
      <c r="L2191" s="811" t="s">
        <v>573</v>
      </c>
      <c r="M2191" s="776"/>
      <c r="N2191" s="776"/>
      <c r="O2191" s="776"/>
      <c r="P2191" s="776"/>
      <c r="Q2191" s="776"/>
      <c r="R2191" s="777">
        <f>SUM(R2188:R2190)</f>
        <v>0</v>
      </c>
      <c r="S2191" s="778"/>
      <c r="T2191" s="777">
        <f>SUM(T2188:T2190)</f>
        <v>4</v>
      </c>
      <c r="AG2191" s="812">
        <f>ROUND($R2191*$S$4,2)</f>
        <v>0</v>
      </c>
    </row>
    <row r="2192" spans="1:33" s="501" customFormat="1" ht="12.75" customHeight="1">
      <c r="A2192" s="813"/>
      <c r="B2192" s="814"/>
      <c r="E2192" s="497"/>
      <c r="F2192" s="808"/>
      <c r="G2192" s="497"/>
      <c r="H2192" s="497"/>
      <c r="I2192" s="499"/>
      <c r="J2192" s="497"/>
      <c r="K2192" s="497"/>
      <c r="L2192" s="815"/>
      <c r="M2192" s="725"/>
      <c r="N2192" s="725"/>
      <c r="O2192" s="725"/>
      <c r="P2192" s="725"/>
      <c r="Q2192" s="726"/>
      <c r="R2192" s="784"/>
      <c r="S2192" s="497"/>
      <c r="T2192" s="784"/>
    </row>
    <row r="2193" spans="1:41" s="501" customFormat="1" ht="13.5" customHeight="1" thickBot="1">
      <c r="A2193" s="816"/>
      <c r="B2193" s="817"/>
      <c r="C2193" s="518"/>
      <c r="D2193" s="518"/>
      <c r="E2193" s="515"/>
      <c r="F2193" s="721"/>
      <c r="G2193" s="515" t="s">
        <v>146</v>
      </c>
      <c r="H2193" s="515"/>
      <c r="I2193" s="516"/>
      <c r="J2193" s="515"/>
      <c r="K2193" s="515"/>
      <c r="L2193" s="818" t="s">
        <v>143</v>
      </c>
      <c r="M2193" s="517"/>
      <c r="N2193" s="517"/>
      <c r="O2193" s="517"/>
      <c r="P2193" s="517"/>
      <c r="Q2193" s="722"/>
      <c r="R2193" s="819">
        <f ca="1">SUMIF($L2169:$L2192,"SUBI",R2169:R2192)</f>
        <v>3018.48</v>
      </c>
      <c r="S2193" s="820"/>
      <c r="T2193" s="819">
        <f ca="1">SUMIF($L2169:$L2192,"SUBI",T2169:T2192)</f>
        <v>37.159999999999997</v>
      </c>
      <c r="U2193" s="518"/>
      <c r="V2193" s="518"/>
      <c r="W2193" s="518"/>
      <c r="X2193" s="518"/>
      <c r="Y2193" s="518"/>
      <c r="Z2193" s="518"/>
      <c r="AA2193" s="518"/>
      <c r="AB2193" s="518"/>
      <c r="AC2193" s="518"/>
      <c r="AD2193" s="518"/>
      <c r="AE2193" s="518"/>
      <c r="AF2193" s="518"/>
      <c r="AG2193" s="518"/>
      <c r="AH2193" s="518"/>
      <c r="AI2193" s="518"/>
      <c r="AJ2193" s="518"/>
      <c r="AK2193" s="518"/>
      <c r="AL2193" s="518"/>
      <c r="AM2193" s="518"/>
      <c r="AN2193" s="518"/>
      <c r="AO2193" s="518"/>
    </row>
    <row r="2194" spans="1:41" s="501" customFormat="1" thickTop="1">
      <c r="A2194" s="44"/>
      <c r="B2194" s="44"/>
      <c r="C2194" s="3"/>
      <c r="D2194" s="3"/>
      <c r="E2194" s="44"/>
      <c r="F2194" s="44"/>
      <c r="G2194" s="44"/>
      <c r="H2194" s="44"/>
      <c r="I2194" s="44"/>
      <c r="J2194" s="44"/>
      <c r="K2194" s="44" t="s">
        <v>134</v>
      </c>
      <c r="L2194" s="44"/>
      <c r="M2194" s="44"/>
      <c r="N2194" s="44"/>
      <c r="O2194" s="45"/>
      <c r="P2194" s="44"/>
      <c r="Q2194" s="44"/>
      <c r="R2194" s="44"/>
      <c r="S2194" s="44"/>
      <c r="T2194" s="44"/>
    </row>
    <row r="2195" spans="1:41" s="501" customFormat="1" ht="12">
      <c r="A2195" s="44"/>
      <c r="B2195" s="44"/>
      <c r="C2195" s="44" t="s">
        <v>135</v>
      </c>
      <c r="D2195" s="35"/>
      <c r="E2195" s="44"/>
      <c r="F2195" s="44"/>
      <c r="G2195" s="44"/>
      <c r="H2195" s="44"/>
      <c r="I2195" s="44"/>
      <c r="J2195" s="44"/>
      <c r="K2195" s="44"/>
      <c r="L2195" s="44"/>
      <c r="M2195" s="44"/>
      <c r="N2195" s="44"/>
      <c r="O2195" s="45"/>
      <c r="P2195" s="44"/>
      <c r="Q2195" s="44"/>
      <c r="R2195" s="44"/>
      <c r="S2195" s="44"/>
      <c r="T2195" s="44"/>
    </row>
    <row r="2196" spans="1:41" s="501" customFormat="1" ht="12">
      <c r="A2196" s="44"/>
      <c r="B2196" s="44"/>
      <c r="C2196" s="44"/>
      <c r="D2196" s="35" t="s">
        <v>522</v>
      </c>
      <c r="E2196" s="44"/>
      <c r="F2196" s="44"/>
      <c r="G2196" s="44"/>
      <c r="H2196" s="44"/>
      <c r="I2196" s="44"/>
      <c r="J2196" s="44"/>
      <c r="K2196" s="44"/>
      <c r="L2196" s="44"/>
      <c r="M2196" s="44"/>
      <c r="N2196" s="44"/>
      <c r="O2196" s="45"/>
      <c r="P2196" s="44"/>
      <c r="Q2196" s="44"/>
      <c r="R2196" s="44"/>
      <c r="S2196" s="36"/>
      <c r="T2196" s="36"/>
    </row>
    <row r="2197" spans="1:41" s="3" customFormat="1" thickBot="1">
      <c r="A2197" s="518"/>
      <c r="O2197" s="86"/>
    </row>
    <row r="2198" spans="1:41" s="501" customFormat="1" thickTop="1">
      <c r="A2198" s="44"/>
      <c r="B2198" s="39"/>
      <c r="C2198" s="44"/>
      <c r="E2198" s="40" t="s">
        <v>138</v>
      </c>
      <c r="F2198" s="40" t="s">
        <v>139</v>
      </c>
      <c r="G2198" s="44"/>
      <c r="H2198" s="44"/>
      <c r="I2198" s="44"/>
      <c r="J2198" s="44"/>
      <c r="K2198" s="44" t="s">
        <v>140</v>
      </c>
      <c r="L2198" s="737"/>
      <c r="M2198" s="44"/>
      <c r="N2198" s="44"/>
      <c r="O2198" s="45"/>
      <c r="P2198" s="44"/>
      <c r="Q2198"/>
      <c r="R2198"/>
      <c r="S2198"/>
      <c r="T2198" s="39"/>
      <c r="AG2198" s="502" t="s">
        <v>247</v>
      </c>
      <c r="AH2198" s="502" t="s">
        <v>248</v>
      </c>
      <c r="AI2198" s="502" t="s">
        <v>249</v>
      </c>
      <c r="AJ2198" s="502" t="s">
        <v>250</v>
      </c>
      <c r="AK2198" s="502" t="s">
        <v>251</v>
      </c>
      <c r="AM2198" s="710" t="s">
        <v>260</v>
      </c>
      <c r="AN2198" s="711" t="s">
        <v>261</v>
      </c>
      <c r="AO2198" s="503" t="s">
        <v>257</v>
      </c>
    </row>
    <row r="2199" spans="1:41" s="501" customFormat="1" ht="13.2">
      <c r="A2199" s="712">
        <v>1</v>
      </c>
      <c r="B2199" s="504" t="s">
        <v>283</v>
      </c>
      <c r="C2199" s="505"/>
      <c r="D2199" s="713" t="s">
        <v>614</v>
      </c>
      <c r="E2199" s="738">
        <f ca="1">IF(AND($A2199=0,$A$1="DIF"),0,ROUND(ROUND(SUMIF($L2201:$L2219,"SUBI",$E2201:$E2219)/$A2199,2)*$C$12,2))</f>
        <v>5570.91</v>
      </c>
      <c r="F2199" s="739">
        <f ca="1">ROUND($A2199*$E2199,2)</f>
        <v>5570.91</v>
      </c>
      <c r="G2199" s="506" t="s">
        <v>142</v>
      </c>
      <c r="H2199" s="498"/>
      <c r="I2199" s="716"/>
      <c r="J2199" s="498"/>
      <c r="K2199" s="740"/>
      <c r="L2199" s="741" t="s">
        <v>143</v>
      </c>
      <c r="M2199" s="717"/>
      <c r="N2199" s="717"/>
      <c r="O2199" s="717"/>
      <c r="P2199" s="717"/>
      <c r="Q2199" s="943" t="s">
        <v>855</v>
      </c>
      <c r="R2199" s="943" t="s">
        <v>869</v>
      </c>
      <c r="S2199"/>
      <c r="T2199" s="742" t="str">
        <f ca="1">IF(AND($R2224=0,$T2224=0),"0.00","mu :" &amp; ROUND($F2199/$C$12/($R2224+$T2224*$D$9),2))</f>
        <v>mu :1.37</v>
      </c>
      <c r="W2199" s="507"/>
      <c r="AG2199" s="743">
        <f ca="1">IF(A2199=0,0,ROUND(SUM(AG2201:AG2224)/A2199,2))</f>
        <v>4074.95</v>
      </c>
      <c r="AH2199" s="743">
        <f ca="1">$AG2199*$A2199</f>
        <v>4074.95</v>
      </c>
      <c r="AI2199" s="743">
        <f ca="1">$E2199-$AG2199</f>
        <v>1495.96</v>
      </c>
      <c r="AJ2199" s="743">
        <f ca="1">$A2199*$AI2199</f>
        <v>1495.96</v>
      </c>
      <c r="AK2199" s="744">
        <f ca="1">ROUND(($AG2199+$AI2199)*$A2199,2)</f>
        <v>5570.91</v>
      </c>
      <c r="AM2199" s="510">
        <f ca="1">ROUND(R2224,2)</f>
        <v>3018.48</v>
      </c>
      <c r="AN2199" s="511">
        <f ca="1">ROUND(T2224,2)</f>
        <v>38.159999999999997</v>
      </c>
      <c r="AO2199" s="512">
        <f ca="1">ROUND(AM2199+AN2199,2)*A2199</f>
        <v>3056.64</v>
      </c>
    </row>
    <row r="2200" spans="1:41" s="501" customFormat="1" ht="39.9" customHeight="1">
      <c r="A2200" s="745"/>
      <c r="B2200" s="746"/>
      <c r="C2200" s="505"/>
      <c r="D2200" s="1183" t="s">
        <v>809</v>
      </c>
      <c r="E2200" s="1184"/>
      <c r="F2200" s="1184"/>
      <c r="G2200" s="1184"/>
      <c r="H2200" s="1184"/>
      <c r="I2200" s="1184"/>
      <c r="J2200" s="1184"/>
      <c r="K2200" s="1184"/>
      <c r="L2200" s="1184"/>
      <c r="M2200" s="1184"/>
      <c r="N2200" s="1184"/>
      <c r="O2200" s="1184"/>
      <c r="P2200" s="1184"/>
      <c r="Q2200" s="1184"/>
      <c r="R2200" s="1184"/>
      <c r="S2200" s="1184"/>
      <c r="T2200" s="1184"/>
    </row>
    <row r="2201" spans="1:41" s="501" customFormat="1" ht="12">
      <c r="A2201" s="748"/>
      <c r="B2201" s="749"/>
      <c r="C2201" s="497"/>
      <c r="D2201" s="750"/>
      <c r="E2201" s="751">
        <f ca="1">F2199/$C$12-SUMIF($L2198:$L2224,"SUBI",$E2198:$E2224)</f>
        <v>0</v>
      </c>
      <c r="F2201" s="752" t="s">
        <v>572</v>
      </c>
      <c r="G2201" s="753"/>
      <c r="H2201" s="753"/>
      <c r="I2201" s="754"/>
      <c r="J2201" s="753"/>
      <c r="K2201" s="753"/>
      <c r="L2201" s="755"/>
      <c r="M2201" s="756"/>
      <c r="N2201" s="756"/>
      <c r="O2201" s="756"/>
      <c r="P2201" s="756"/>
      <c r="Q2201" s="757"/>
      <c r="R2201" s="758"/>
      <c r="S2201" s="757"/>
      <c r="T2201" s="759"/>
    </row>
    <row r="2202" spans="1:41" s="501" customFormat="1" ht="12" customHeight="1">
      <c r="A2202" s="760"/>
      <c r="B2202" s="761"/>
      <c r="C2202" s="762"/>
      <c r="D2202" s="762" t="str">
        <f>$F$2</f>
        <v>Electrical</v>
      </c>
      <c r="E2202" s="762">
        <f ca="1">ROUND(($R2214*$S$2 + ($T2214*$T$2)), 2)</f>
        <v>1669.73</v>
      </c>
      <c r="F2202" s="763">
        <f ca="1">$E2202*$C$12</f>
        <v>1669.73</v>
      </c>
      <c r="G2202" s="567"/>
      <c r="H2202" s="764"/>
      <c r="I2202" s="567"/>
      <c r="J2202" s="45"/>
      <c r="K2202" s="765" t="s">
        <v>3</v>
      </c>
      <c r="L2202" s="766" t="s">
        <v>573</v>
      </c>
      <c r="M2202" s="567"/>
      <c r="N2202" s="567"/>
      <c r="O2202" s="45"/>
      <c r="P2202" s="567"/>
      <c r="Q2202" s="567"/>
      <c r="R2202"/>
      <c r="S2202"/>
      <c r="T2202"/>
    </row>
    <row r="2203" spans="1:41" s="935" customFormat="1" ht="13.2">
      <c r="A2203"/>
      <c r="B2203" s="927"/>
      <c r="C2203" s="927" t="s">
        <v>735</v>
      </c>
      <c r="D2203" s="927" t="str">
        <f ca="1">CELL("Address",Elec_Rates!D$143)</f>
        <v>[E25_0465_IH_Retro_Elec4Mech_Est_Rev_A.xlsx]Elec_Rates!$D$143</v>
      </c>
      <c r="E2203" s="928"/>
      <c r="F2203" s="928"/>
      <c r="G2203" s="929" t="s">
        <v>736</v>
      </c>
      <c r="H2203" s="929"/>
      <c r="I2203" s="929"/>
      <c r="J2203" s="929"/>
      <c r="K2203" s="930"/>
      <c r="L2203" s="928"/>
      <c r="M2203" s="928"/>
      <c r="N2203" s="928"/>
      <c r="O2203" s="931"/>
      <c r="P2203" s="928"/>
      <c r="Q2203" s="932"/>
      <c r="R2203" s="933"/>
      <c r="S2203" s="932"/>
      <c r="T2203" s="560"/>
      <c r="U2203" s="934"/>
    </row>
    <row r="2204" spans="1:41" s="935" customFormat="1" ht="11.4">
      <c r="A2204" s="936">
        <v>1</v>
      </c>
      <c r="B2204" s="937">
        <v>1</v>
      </c>
      <c r="C2204" s="937">
        <f>$A2204*$B2204</f>
        <v>1</v>
      </c>
      <c r="D2204" s="938" t="str">
        <f>Elec_Rates!$D$143</f>
        <v>011# Power supply to control panel (4core x 4.0sqmm) and VDS by pass in MCC</v>
      </c>
      <c r="E2204" s="938"/>
      <c r="F2204" s="938" t="s">
        <v>737</v>
      </c>
      <c r="G2204" s="939" t="s">
        <v>738</v>
      </c>
      <c r="H2204" s="939"/>
      <c r="I2204" s="939"/>
      <c r="J2204" s="939"/>
      <c r="K2204" s="940"/>
      <c r="L2204" s="934"/>
      <c r="M2204" s="934"/>
      <c r="N2204" s="934"/>
      <c r="O2204" s="941"/>
      <c r="P2204" s="938"/>
      <c r="Q2204" s="942">
        <f ca="1">$B2204*Elec_Rates!$R$143</f>
        <v>74.239999999999995</v>
      </c>
      <c r="R2204" s="933">
        <f ca="1">$A2204*Q2204</f>
        <v>74.239999999999995</v>
      </c>
      <c r="S2204" s="942">
        <f ca="1">$B2204*Elec_Rates!$T$143</f>
        <v>3.17</v>
      </c>
      <c r="T2204" s="560">
        <f ca="1">$A2204*S2204</f>
        <v>3.17</v>
      </c>
      <c r="U2204" s="484"/>
    </row>
    <row r="2205" spans="1:41" s="935" customFormat="1" ht="13.2">
      <c r="A2205" s="542"/>
      <c r="B2205" s="927"/>
      <c r="C2205" s="927" t="s">
        <v>735</v>
      </c>
      <c r="D2205" s="927" t="str">
        <f ca="1">CELL("Address",Elec_Rates!D$196)</f>
        <v>[E25_0465_IH_Retro_Elec4Mech_Est_Rev_A.xlsx]Elec_Rates!$D$196</v>
      </c>
      <c r="E2205" s="928"/>
      <c r="F2205" s="928"/>
      <c r="G2205" s="929" t="s">
        <v>736</v>
      </c>
      <c r="H2205" s="929"/>
      <c r="I2205" s="929"/>
      <c r="J2205" s="929"/>
      <c r="K2205" s="930"/>
      <c r="L2205" s="928"/>
      <c r="M2205" s="928"/>
      <c r="N2205" s="928"/>
      <c r="O2205" s="931"/>
      <c r="P2205" s="928"/>
      <c r="Q2205" s="932"/>
      <c r="R2205" s="933"/>
      <c r="S2205" s="932"/>
      <c r="T2205" s="560"/>
      <c r="U2205" s="934"/>
    </row>
    <row r="2206" spans="1:41" s="935" customFormat="1" ht="11.4">
      <c r="A2206" s="936">
        <v>1</v>
      </c>
      <c r="B2206" s="937">
        <v>1</v>
      </c>
      <c r="C2206" s="937">
        <f>$A2206*$B2206</f>
        <v>1</v>
      </c>
      <c r="D2206" s="938" t="str">
        <f>Elec_Rates!$D$196</f>
        <v>013# Installation of Rosenger control panel</v>
      </c>
      <c r="E2206" s="938"/>
      <c r="F2206" s="938" t="s">
        <v>737</v>
      </c>
      <c r="G2206" s="939" t="s">
        <v>739</v>
      </c>
      <c r="H2206" s="939"/>
      <c r="I2206" s="939"/>
      <c r="J2206" s="939"/>
      <c r="K2206" s="940"/>
      <c r="L2206" s="934"/>
      <c r="M2206" s="934"/>
      <c r="N2206" s="934"/>
      <c r="O2206" s="941"/>
      <c r="P2206" s="938"/>
      <c r="Q2206" s="942">
        <f ca="1">$B2206*Elec_Rates!$R$196</f>
        <v>20</v>
      </c>
      <c r="R2206" s="933">
        <f ca="1">$A2206*Q2206</f>
        <v>20</v>
      </c>
      <c r="S2206" s="942">
        <f ca="1">$B2206*Elec_Rates!$T$196</f>
        <v>2</v>
      </c>
      <c r="T2206" s="560">
        <f ca="1">$A2206*S2206</f>
        <v>2</v>
      </c>
      <c r="U2206" s="484"/>
    </row>
    <row r="2207" spans="1:41" s="935" customFormat="1" ht="13.2">
      <c r="A2207"/>
      <c r="B2207" s="927"/>
      <c r="C2207" s="927" t="s">
        <v>735</v>
      </c>
      <c r="D2207" s="927" t="str">
        <f ca="1">CELL("Address",Elec_Rates!D$203)</f>
        <v>[E25_0465_IH_Retro_Elec4Mech_Est_Rev_A.xlsx]Elec_Rates!$D$203</v>
      </c>
      <c r="E2207" s="928"/>
      <c r="F2207" s="928"/>
      <c r="G2207" s="929" t="s">
        <v>736</v>
      </c>
      <c r="H2207" s="929"/>
      <c r="I2207" s="929"/>
      <c r="J2207" s="929"/>
      <c r="K2207" s="930"/>
      <c r="L2207" s="928"/>
      <c r="M2207" s="928"/>
      <c r="N2207" s="928"/>
      <c r="O2207" s="931"/>
      <c r="P2207" s="928"/>
      <c r="Q2207" s="932"/>
      <c r="R2207" s="933"/>
      <c r="S2207" s="932"/>
      <c r="T2207" s="560"/>
      <c r="U2207" s="934"/>
    </row>
    <row r="2208" spans="1:41" s="935" customFormat="1" ht="11.4">
      <c r="A2208" s="936">
        <v>2</v>
      </c>
      <c r="B2208" s="937">
        <v>1</v>
      </c>
      <c r="C2208" s="937">
        <f>$A2208*$B2208</f>
        <v>2</v>
      </c>
      <c r="D2208" s="938" t="str">
        <f>Elec_Rates!$D$203</f>
        <v>014# Installation of cable harness to fans</v>
      </c>
      <c r="E2208" s="938"/>
      <c r="F2208" s="938" t="s">
        <v>737</v>
      </c>
      <c r="G2208" s="939" t="s">
        <v>738</v>
      </c>
      <c r="H2208" s="939"/>
      <c r="I2208" s="939"/>
      <c r="J2208" s="939"/>
      <c r="K2208" s="940"/>
      <c r="L2208" s="934"/>
      <c r="M2208" s="934"/>
      <c r="N2208" s="934"/>
      <c r="O2208" s="941"/>
      <c r="P2208" s="938"/>
      <c r="Q2208" s="942">
        <f ca="1">$B2208*Elec_Rates!$R$203</f>
        <v>20</v>
      </c>
      <c r="R2208" s="933">
        <f ca="1">$A2208*Q2208</f>
        <v>40</v>
      </c>
      <c r="S2208" s="942">
        <f ca="1">$B2208*Elec_Rates!$T$203</f>
        <v>1</v>
      </c>
      <c r="T2208" s="560">
        <f ca="1">$A2208*S2208</f>
        <v>2</v>
      </c>
      <c r="U2208" s="484"/>
    </row>
    <row r="2209" spans="1:41" s="935" customFormat="1" ht="13.2">
      <c r="A2209"/>
      <c r="B2209" s="927"/>
      <c r="C2209" s="927" t="s">
        <v>735</v>
      </c>
      <c r="D2209" s="927" t="str">
        <f ca="1">CELL("Address",Elec_Rates!D$210)</f>
        <v>[E25_0465_IH_Retro_Elec4Mech_Est_Rev_A.xlsx]Elec_Rates!$D$210</v>
      </c>
      <c r="E2209" s="928"/>
      <c r="F2209" s="928"/>
      <c r="G2209" s="929" t="s">
        <v>736</v>
      </c>
      <c r="H2209" s="929"/>
      <c r="I2209" s="929"/>
      <c r="J2209" s="929"/>
      <c r="K2209" s="930"/>
      <c r="L2209" s="928"/>
      <c r="M2209" s="928"/>
      <c r="N2209" s="928"/>
      <c r="O2209" s="931"/>
      <c r="P2209" s="928"/>
      <c r="Q2209" s="932"/>
      <c r="R2209" s="933"/>
      <c r="S2209" s="932"/>
      <c r="T2209" s="560"/>
      <c r="U2209" s="934"/>
    </row>
    <row r="2210" spans="1:41" s="935" customFormat="1" ht="11.4">
      <c r="A2210" s="936">
        <v>1</v>
      </c>
      <c r="B2210" s="937">
        <v>1</v>
      </c>
      <c r="C2210" s="937">
        <f>$A2210*$B2210</f>
        <v>1</v>
      </c>
      <c r="D2210" s="938" t="str">
        <f>Elec_Rates!$D$210</f>
        <v>015# Installation of control panels by ECA</v>
      </c>
      <c r="E2210" s="938"/>
      <c r="F2210" s="938" t="s">
        <v>737</v>
      </c>
      <c r="G2210" s="939" t="s">
        <v>739</v>
      </c>
      <c r="H2210" s="939"/>
      <c r="I2210" s="939"/>
      <c r="J2210" s="939"/>
      <c r="K2210" s="940"/>
      <c r="L2210" s="934"/>
      <c r="M2210" s="934"/>
      <c r="N2210" s="934"/>
      <c r="O2210" s="941"/>
      <c r="P2210" s="938"/>
      <c r="Q2210" s="942">
        <f ca="1">$B2210*Elec_Rates!$R$210</f>
        <v>30</v>
      </c>
      <c r="R2210" s="933">
        <f ca="1">$A2210*Q2210</f>
        <v>30</v>
      </c>
      <c r="S2210" s="942">
        <f ca="1">$B2210*Elec_Rates!$T$210</f>
        <v>1</v>
      </c>
      <c r="T2210" s="560">
        <f ca="1">$A2210*S2210</f>
        <v>1</v>
      </c>
      <c r="U2210" s="484"/>
    </row>
    <row r="2211" spans="1:41" s="935" customFormat="1" ht="13.2">
      <c r="A2211"/>
      <c r="B2211" s="927"/>
      <c r="C2211" s="927" t="s">
        <v>735</v>
      </c>
      <c r="D2211" s="927" t="str">
        <f ca="1">CELL("Address",Elec_Rates!D$217)</f>
        <v>[E25_0465_IH_Retro_Elec4Mech_Est_Rev_A.xlsx]Elec_Rates!$D$217</v>
      </c>
      <c r="E2211" s="928"/>
      <c r="F2211" s="928"/>
      <c r="G2211" s="929" t="s">
        <v>736</v>
      </c>
      <c r="H2211" s="929"/>
      <c r="I2211" s="929"/>
      <c r="J2211" s="929"/>
      <c r="K2211" s="930"/>
      <c r="L2211" s="928"/>
      <c r="M2211" s="928"/>
      <c r="N2211" s="928"/>
      <c r="O2211" s="931"/>
      <c r="P2211" s="928"/>
      <c r="Q2211" s="932"/>
      <c r="R2211" s="933"/>
      <c r="S2211" s="932"/>
      <c r="T2211" s="560"/>
      <c r="U2211" s="934"/>
    </row>
    <row r="2212" spans="1:41" s="935" customFormat="1" ht="11.4">
      <c r="A2212" s="936">
        <v>1</v>
      </c>
      <c r="B2212" s="937">
        <v>1</v>
      </c>
      <c r="C2212" s="937">
        <f>$A2212*$B2212</f>
        <v>1</v>
      </c>
      <c r="D2212" s="938" t="str">
        <f>Elec_Rates!$D$217</f>
        <v>016# Installation of sensors on AHUs</v>
      </c>
      <c r="E2212" s="938"/>
      <c r="F2212" s="938" t="s">
        <v>737</v>
      </c>
      <c r="G2212" s="939" t="s">
        <v>738</v>
      </c>
      <c r="H2212" s="939"/>
      <c r="I2212" s="939"/>
      <c r="J2212" s="939"/>
      <c r="K2212" s="940"/>
      <c r="L2212" s="934"/>
      <c r="M2212" s="934"/>
      <c r="N2212" s="934"/>
      <c r="O2212" s="941"/>
      <c r="P2212" s="938"/>
      <c r="Q2212" s="942">
        <f ca="1">$B2212*Elec_Rates!$R$217</f>
        <v>354.24</v>
      </c>
      <c r="R2212" s="933">
        <f ca="1">$A2212*Q2212</f>
        <v>354.24</v>
      </c>
      <c r="S2212" s="942">
        <f ca="1">$B2212*Elec_Rates!$T$217</f>
        <v>17.989999999999998</v>
      </c>
      <c r="T2212" s="560">
        <f ca="1">$A2212*S2212</f>
        <v>17.989999999999998</v>
      </c>
      <c r="U2212" s="484"/>
    </row>
    <row r="2213" spans="1:41" s="501" customFormat="1" ht="14.4" customHeight="1">
      <c r="A2213" s="767"/>
      <c r="B2213" s="567"/>
      <c r="C2213" s="567"/>
      <c r="D2213" s="567"/>
      <c r="E2213" s="567"/>
      <c r="F2213" s="567"/>
      <c r="G2213" s="567"/>
      <c r="H2213" s="764"/>
      <c r="I2213" s="567"/>
      <c r="J2213" s="45"/>
      <c r="K2213" s="769"/>
      <c r="L2213" s="770"/>
      <c r="M2213" s="567"/>
      <c r="N2213" s="567"/>
      <c r="O2213" s="45"/>
      <c r="P2213" s="567"/>
      <c r="Q2213" s="567"/>
      <c r="R2213" s="771">
        <f>$A2213*Q2213</f>
        <v>0</v>
      </c>
      <c r="S2213" s="567"/>
      <c r="T2213" s="500">
        <f>$A2213*S2213*$T$1</f>
        <v>0</v>
      </c>
    </row>
    <row r="2214" spans="1:41" s="501" customFormat="1" ht="12">
      <c r="A2214" s="772" t="s">
        <v>145</v>
      </c>
      <c r="B2214" s="773">
        <f>(R2213+T2213)</f>
        <v>0</v>
      </c>
      <c r="C2214" s="753"/>
      <c r="G2214" s="774"/>
      <c r="H2214" s="774"/>
      <c r="I2214" s="774"/>
      <c r="J2214" s="774"/>
      <c r="K2214" s="750" t="s">
        <v>3</v>
      </c>
      <c r="L2214" s="775" t="s">
        <v>573</v>
      </c>
      <c r="M2214" s="774"/>
      <c r="N2214" s="774"/>
      <c r="O2214" s="774"/>
      <c r="P2214" s="774"/>
      <c r="Q2214" s="776"/>
      <c r="R2214" s="777">
        <f ca="1">SUM(R2202:R2213)</f>
        <v>518.48</v>
      </c>
      <c r="S2214" s="778"/>
      <c r="T2214" s="777">
        <f ca="1">SUM(T2202:T2213)</f>
        <v>26.159999999999997</v>
      </c>
      <c r="AG2214" s="779">
        <f ca="1">ROUND($R2214*$S$2,2)</f>
        <v>699.95</v>
      </c>
    </row>
    <row r="2215" spans="1:41" s="501" customFormat="1" ht="12" customHeight="1">
      <c r="A2215" s="760"/>
      <c r="B2215" s="780"/>
      <c r="C2215" s="781"/>
      <c r="D2215" s="782" t="str">
        <f>$F$3</f>
        <v>Technician</v>
      </c>
      <c r="E2215" s="782">
        <f>ROUND(($R2218*$S$3 + ($T2218*$T$3)), 2)</f>
        <v>3739.18</v>
      </c>
      <c r="F2215" s="783">
        <f>$E2215*$C$12</f>
        <v>3739.18</v>
      </c>
      <c r="G2215" s="499"/>
      <c r="H2215" s="499"/>
      <c r="I2215" s="499"/>
      <c r="J2215" s="499"/>
      <c r="K2215" s="765" t="s">
        <v>5</v>
      </c>
      <c r="L2215" s="766" t="s">
        <v>573</v>
      </c>
      <c r="M2215" s="499"/>
      <c r="N2215" s="499"/>
      <c r="O2215" s="499"/>
      <c r="P2215" s="499"/>
      <c r="Q2215" s="499"/>
      <c r="R2215" s="784"/>
      <c r="S2215" s="499"/>
      <c r="T2215" s="784"/>
    </row>
    <row r="2216" spans="1:41" s="893" customFormat="1" ht="13.2">
      <c r="A2216">
        <v>1</v>
      </c>
      <c r="B2216" s="893" t="s">
        <v>141</v>
      </c>
      <c r="D2216" s="893" t="s">
        <v>767</v>
      </c>
      <c r="E2216" s="893" t="s">
        <v>770</v>
      </c>
      <c r="F2216" s="893" t="s">
        <v>769</v>
      </c>
      <c r="G2216" s="894" t="s">
        <v>768</v>
      </c>
      <c r="H2216" s="895">
        <v>570</v>
      </c>
      <c r="I2216" s="893" t="s">
        <v>643</v>
      </c>
      <c r="O2216" s="896">
        <v>2</v>
      </c>
      <c r="P2216" s="897">
        <v>38443</v>
      </c>
      <c r="Q2216" s="898">
        <v>2500</v>
      </c>
      <c r="R2216" s="899">
        <f>$A2216*Q2216</f>
        <v>2500</v>
      </c>
      <c r="S2216" s="898">
        <f>200/25</f>
        <v>8</v>
      </c>
      <c r="T2216" s="900">
        <f>$A2216*S2216*$T$1</f>
        <v>8</v>
      </c>
    </row>
    <row r="2217" spans="1:41" s="501" customFormat="1" ht="15.6" customHeight="1">
      <c r="A2217" s="767"/>
      <c r="B2217" s="567"/>
      <c r="C2217" s="567"/>
      <c r="D2217" s="3"/>
      <c r="E2217" s="567"/>
      <c r="F2217" s="567"/>
      <c r="G2217" s="567"/>
      <c r="H2217" s="567"/>
      <c r="I2217" s="567"/>
      <c r="J2217" s="567"/>
      <c r="K2217" s="567"/>
      <c r="L2217" s="770"/>
      <c r="M2217" s="567"/>
      <c r="N2217" s="567"/>
      <c r="O2217" s="567"/>
      <c r="P2217" s="567"/>
      <c r="Q2217" s="567"/>
      <c r="R2217" s="771">
        <f>$A2217*Q2217</f>
        <v>0</v>
      </c>
      <c r="S2217" s="567"/>
      <c r="T2217" s="500">
        <f>$A2217*S2217*$T$1</f>
        <v>0</v>
      </c>
    </row>
    <row r="2218" spans="1:41" s="501" customFormat="1" ht="12">
      <c r="A2218" s="772" t="s">
        <v>145</v>
      </c>
      <c r="B2218" s="773">
        <f>(R2217+T2217)</f>
        <v>0</v>
      </c>
      <c r="C2218" s="753"/>
      <c r="G2218" s="774"/>
      <c r="H2218" s="774"/>
      <c r="I2218" s="774"/>
      <c r="J2218" s="774"/>
      <c r="K2218" s="798" t="s">
        <v>5</v>
      </c>
      <c r="L2218" s="775" t="s">
        <v>573</v>
      </c>
      <c r="M2218" s="774"/>
      <c r="N2218" s="774"/>
      <c r="O2218" s="774"/>
      <c r="P2218" s="774"/>
      <c r="Q2218" s="776"/>
      <c r="R2218" s="777">
        <f>SUM(R2215:R2217)</f>
        <v>2500</v>
      </c>
      <c r="S2218" s="778"/>
      <c r="T2218" s="777">
        <f>SUM(T2215:T2217)</f>
        <v>8</v>
      </c>
      <c r="AG2218" s="799">
        <f>ROUND($R2218*$S$3,2)</f>
        <v>3375</v>
      </c>
    </row>
    <row r="2219" spans="1:41" s="501" customFormat="1" ht="12" customHeight="1">
      <c r="A2219" s="800"/>
      <c r="B2219" s="801"/>
      <c r="C2219" s="802"/>
      <c r="D2219" s="803" t="str">
        <f>$F$4</f>
        <v>Engineer (Man Hours)</v>
      </c>
      <c r="E2219" s="803">
        <f>ROUND(($R2222*$S$4 + ($T2222*$T$4)), 2)</f>
        <v>162</v>
      </c>
      <c r="F2219" s="804">
        <f ca="1">$F2199-SUMIF($L2201:$P2216,"SUBI",$F2201:$F2216)</f>
        <v>162</v>
      </c>
      <c r="G2219" s="499"/>
      <c r="H2219" s="499"/>
      <c r="I2219" s="499"/>
      <c r="J2219" s="499"/>
      <c r="K2219" s="805" t="s">
        <v>8</v>
      </c>
      <c r="L2219" s="766" t="s">
        <v>573</v>
      </c>
      <c r="M2219" s="499"/>
      <c r="N2219" s="499"/>
      <c r="O2219" s="499"/>
      <c r="P2219" s="499"/>
      <c r="Q2219" s="499"/>
      <c r="R2219" s="784"/>
      <c r="S2219" s="499"/>
      <c r="T2219" s="784"/>
    </row>
    <row r="2220" spans="1:41" s="893" customFormat="1" ht="13.2">
      <c r="A2220">
        <v>1</v>
      </c>
      <c r="B2220" s="893" t="s">
        <v>141</v>
      </c>
      <c r="D2220" s="893" t="s">
        <v>767</v>
      </c>
      <c r="E2220" s="893" t="s">
        <v>771</v>
      </c>
      <c r="F2220" s="893" t="s">
        <v>769</v>
      </c>
      <c r="G2220" s="894" t="s">
        <v>768</v>
      </c>
      <c r="H2220" s="895">
        <v>570</v>
      </c>
      <c r="I2220" s="893" t="s">
        <v>643</v>
      </c>
      <c r="O2220" s="896">
        <v>2</v>
      </c>
      <c r="P2220" s="897">
        <v>38443</v>
      </c>
      <c r="Q2220" s="898"/>
      <c r="R2220" s="899">
        <f>$A2220*Q2220</f>
        <v>0</v>
      </c>
      <c r="S2220" s="898">
        <f>100/25</f>
        <v>4</v>
      </c>
      <c r="T2220" s="900">
        <f>$A2220*S2220*$T$1</f>
        <v>4</v>
      </c>
    </row>
    <row r="2221" spans="1:41" s="501" customFormat="1" ht="12">
      <c r="A2221" s="44"/>
      <c r="B2221" s="497"/>
      <c r="C2221" s="497"/>
      <c r="D2221" s="807"/>
      <c r="E2221" s="808"/>
      <c r="F2221" s="499"/>
      <c r="G2221" s="499"/>
      <c r="H2221" s="499"/>
      <c r="I2221" s="499"/>
      <c r="J2221" s="499"/>
      <c r="K2221" s="499"/>
      <c r="L2221" s="809"/>
      <c r="M2221" s="499"/>
      <c r="N2221" s="499"/>
      <c r="O2221" s="499"/>
      <c r="P2221" s="499"/>
      <c r="Q2221" s="499"/>
      <c r="R2221" s="720">
        <f>$A2221*Q2221</f>
        <v>0</v>
      </c>
      <c r="S2221" s="499"/>
      <c r="T2221" s="500">
        <f>$A2221*S2221*$T$1</f>
        <v>0</v>
      </c>
    </row>
    <row r="2222" spans="1:41" s="501" customFormat="1" ht="12.75" customHeight="1">
      <c r="A2222" s="772" t="s">
        <v>145</v>
      </c>
      <c r="B2222" s="773">
        <f>(R2221+T2221)</f>
        <v>0</v>
      </c>
      <c r="C2222" s="810"/>
      <c r="D2222" s="810"/>
      <c r="E2222" s="810"/>
      <c r="F2222" s="810"/>
      <c r="G2222" s="776"/>
      <c r="H2222" s="776"/>
      <c r="I2222" s="776"/>
      <c r="J2222" s="776"/>
      <c r="K2222" s="798" t="s">
        <v>8</v>
      </c>
      <c r="L2222" s="811" t="s">
        <v>573</v>
      </c>
      <c r="M2222" s="776"/>
      <c r="N2222" s="776"/>
      <c r="O2222" s="776"/>
      <c r="P2222" s="776"/>
      <c r="Q2222" s="776"/>
      <c r="R2222" s="777">
        <f>SUM(R2219:R2221)</f>
        <v>0</v>
      </c>
      <c r="S2222" s="778"/>
      <c r="T2222" s="777">
        <f>SUM(T2219:T2221)</f>
        <v>4</v>
      </c>
      <c r="AG2222" s="812">
        <f>ROUND($R2222*$S$4,2)</f>
        <v>0</v>
      </c>
    </row>
    <row r="2223" spans="1:41" s="501" customFormat="1" ht="12.75" customHeight="1">
      <c r="A2223" s="813"/>
      <c r="B2223" s="814"/>
      <c r="E2223" s="497"/>
      <c r="F2223" s="808"/>
      <c r="G2223" s="497"/>
      <c r="H2223" s="497"/>
      <c r="I2223" s="499"/>
      <c r="J2223" s="497"/>
      <c r="K2223" s="497"/>
      <c r="L2223" s="815"/>
      <c r="M2223" s="725"/>
      <c r="N2223" s="725"/>
      <c r="O2223" s="725"/>
      <c r="P2223" s="725"/>
      <c r="Q2223" s="726"/>
      <c r="R2223" s="784"/>
      <c r="S2223" s="497"/>
      <c r="T2223" s="784"/>
    </row>
    <row r="2224" spans="1:41" s="501" customFormat="1" ht="13.5" customHeight="1" thickBot="1">
      <c r="A2224" s="816"/>
      <c r="B2224" s="817"/>
      <c r="C2224" s="518"/>
      <c r="D2224" s="518"/>
      <c r="E2224" s="515"/>
      <c r="F2224" s="721"/>
      <c r="G2224" s="515" t="s">
        <v>146</v>
      </c>
      <c r="H2224" s="515"/>
      <c r="I2224" s="516"/>
      <c r="J2224" s="515"/>
      <c r="K2224" s="515"/>
      <c r="L2224" s="818" t="s">
        <v>143</v>
      </c>
      <c r="M2224" s="517"/>
      <c r="N2224" s="517"/>
      <c r="O2224" s="517"/>
      <c r="P2224" s="517"/>
      <c r="Q2224" s="722"/>
      <c r="R2224" s="819">
        <f ca="1">SUMIF($L2200:$L2223,"SUBI",R2200:R2223)</f>
        <v>3018.48</v>
      </c>
      <c r="S2224" s="820"/>
      <c r="T2224" s="819">
        <f ca="1">SUMIF($L2200:$L2223,"SUBI",T2200:T2223)</f>
        <v>38.159999999999997</v>
      </c>
      <c r="U2224" s="518"/>
      <c r="V2224" s="518"/>
      <c r="W2224" s="518"/>
      <c r="X2224" s="518"/>
      <c r="Y2224" s="518"/>
      <c r="Z2224" s="518"/>
      <c r="AA2224" s="518"/>
      <c r="AB2224" s="518"/>
      <c r="AC2224" s="518"/>
      <c r="AD2224" s="518"/>
      <c r="AE2224" s="518"/>
      <c r="AF2224" s="518"/>
      <c r="AG2224" s="518"/>
      <c r="AH2224" s="518"/>
      <c r="AI2224" s="518"/>
      <c r="AJ2224" s="518"/>
      <c r="AK2224" s="518"/>
      <c r="AL2224" s="518"/>
      <c r="AM2224" s="518"/>
      <c r="AN2224" s="518"/>
      <c r="AO2224" s="518"/>
    </row>
    <row r="2225" spans="1:41" s="501" customFormat="1" thickTop="1">
      <c r="A2225" s="44"/>
      <c r="B2225" s="44"/>
      <c r="C2225" s="3"/>
      <c r="D2225" s="3"/>
      <c r="E2225" s="44"/>
      <c r="F2225" s="44"/>
      <c r="G2225" s="44"/>
      <c r="H2225" s="44"/>
      <c r="I2225" s="44"/>
      <c r="J2225" s="44"/>
      <c r="K2225" s="44" t="s">
        <v>134</v>
      </c>
      <c r="L2225" s="44"/>
      <c r="M2225" s="44"/>
      <c r="N2225" s="44"/>
      <c r="O2225" s="45"/>
      <c r="P2225" s="44"/>
      <c r="Q2225" s="44"/>
      <c r="R2225" s="44"/>
      <c r="S2225" s="44"/>
      <c r="T2225" s="44"/>
    </row>
    <row r="2226" spans="1:41" s="501" customFormat="1" ht="12">
      <c r="A2226" s="44"/>
      <c r="B2226" s="44"/>
      <c r="C2226" s="44" t="s">
        <v>135</v>
      </c>
      <c r="D2226" s="35"/>
      <c r="E2226" s="44"/>
      <c r="F2226" s="44"/>
      <c r="G2226" s="44"/>
      <c r="H2226" s="44"/>
      <c r="I2226" s="44"/>
      <c r="J2226" s="44"/>
      <c r="K2226" s="44"/>
      <c r="L2226" s="44"/>
      <c r="M2226" s="44"/>
      <c r="N2226" s="44"/>
      <c r="O2226" s="45"/>
      <c r="P2226" s="44"/>
      <c r="Q2226" s="44"/>
      <c r="R2226" s="44"/>
      <c r="S2226" s="44"/>
      <c r="T2226" s="44"/>
    </row>
    <row r="2227" spans="1:41" s="501" customFormat="1" ht="12">
      <c r="A2227" s="44"/>
      <c r="B2227" s="44"/>
      <c r="C2227" s="44"/>
      <c r="D2227" s="35" t="s">
        <v>523</v>
      </c>
      <c r="E2227" s="44"/>
      <c r="F2227" s="44"/>
      <c r="G2227" s="44"/>
      <c r="H2227" s="44"/>
      <c r="I2227" s="44"/>
      <c r="J2227" s="44"/>
      <c r="K2227" s="44"/>
      <c r="L2227" s="44"/>
      <c r="M2227" s="44"/>
      <c r="N2227" s="44"/>
      <c r="O2227" s="45"/>
      <c r="P2227" s="44"/>
      <c r="Q2227" s="44"/>
      <c r="R2227" s="44"/>
      <c r="S2227" s="36"/>
      <c r="T2227" s="36"/>
    </row>
    <row r="2228" spans="1:41" s="3" customFormat="1" thickBot="1">
      <c r="A2228" s="518"/>
      <c r="O2228" s="86"/>
    </row>
    <row r="2229" spans="1:41" s="501" customFormat="1" thickTop="1">
      <c r="A2229" s="44"/>
      <c r="B2229" s="39"/>
      <c r="C2229" s="44"/>
      <c r="E2229" s="40" t="s">
        <v>138</v>
      </c>
      <c r="F2229" s="40" t="s">
        <v>139</v>
      </c>
      <c r="G2229" s="44"/>
      <c r="H2229" s="44"/>
      <c r="I2229" s="44"/>
      <c r="J2229" s="44"/>
      <c r="K2229" s="44" t="s">
        <v>140</v>
      </c>
      <c r="L2229" s="737"/>
      <c r="M2229" s="44"/>
      <c r="N2229" s="44"/>
      <c r="O2229" s="45"/>
      <c r="P2229" s="44"/>
      <c r="Q2229"/>
      <c r="R2229"/>
      <c r="S2229"/>
      <c r="T2229" s="39"/>
      <c r="AG2229" s="502" t="s">
        <v>247</v>
      </c>
      <c r="AH2229" s="502" t="s">
        <v>248</v>
      </c>
      <c r="AI2229" s="502" t="s">
        <v>249</v>
      </c>
      <c r="AJ2229" s="502" t="s">
        <v>250</v>
      </c>
      <c r="AK2229" s="502" t="s">
        <v>251</v>
      </c>
      <c r="AM2229" s="710" t="s">
        <v>260</v>
      </c>
      <c r="AN2229" s="711" t="s">
        <v>261</v>
      </c>
      <c r="AO2229" s="503" t="s">
        <v>257</v>
      </c>
    </row>
    <row r="2230" spans="1:41" s="501" customFormat="1" ht="13.2">
      <c r="A2230" s="712">
        <v>1</v>
      </c>
      <c r="B2230" s="504" t="s">
        <v>283</v>
      </c>
      <c r="C2230" s="505"/>
      <c r="D2230" s="713" t="s">
        <v>615</v>
      </c>
      <c r="E2230" s="738">
        <f ca="1">IF(AND($A2230=0,$A$1="DIF"),0,ROUND(ROUND(SUMIF($L2232:$L2250,"SUBI",$E2232:$E2250)/$A2230,2)*$C$12,2))</f>
        <v>6127.44</v>
      </c>
      <c r="F2230" s="739">
        <f ca="1">ROUND($A2230*$E2230,2)</f>
        <v>6127.44</v>
      </c>
      <c r="G2230" s="506" t="s">
        <v>142</v>
      </c>
      <c r="H2230" s="498"/>
      <c r="I2230" s="716"/>
      <c r="J2230" s="498"/>
      <c r="K2230" s="740"/>
      <c r="L2230" s="741" t="s">
        <v>143</v>
      </c>
      <c r="M2230" s="717"/>
      <c r="N2230" s="717"/>
      <c r="O2230" s="717"/>
      <c r="P2230" s="717"/>
      <c r="Q2230" s="943" t="s">
        <v>855</v>
      </c>
      <c r="R2230" s="943" t="s">
        <v>869</v>
      </c>
      <c r="S2230"/>
      <c r="T2230" s="742" t="str">
        <f ca="1">IF(AND($R2255=0,$T2255=0),"0.00","mu :" &amp; ROUND($F2230/$C$12/($R2255+$T2255*$D$9),2))</f>
        <v>mu :1.37</v>
      </c>
      <c r="W2230" s="507"/>
      <c r="AG2230" s="743">
        <f ca="1">IF(A2230=0,0,ROUND(SUM(AG2232:AG2255)/A2230,2))</f>
        <v>4316</v>
      </c>
      <c r="AH2230" s="743">
        <f ca="1">$AG2230*$A2230</f>
        <v>4316</v>
      </c>
      <c r="AI2230" s="743">
        <f ca="1">$E2230-$AG2230</f>
        <v>1811.4399999999996</v>
      </c>
      <c r="AJ2230" s="743">
        <f ca="1">$A2230*$AI2230</f>
        <v>1811.4399999999996</v>
      </c>
      <c r="AK2230" s="744">
        <f ca="1">ROUND(($AG2230+$AI2230)*$A2230,2)</f>
        <v>6127.44</v>
      </c>
      <c r="AM2230" s="510">
        <f ca="1">ROUND(R2255,2)</f>
        <v>3197.04</v>
      </c>
      <c r="AN2230" s="511">
        <f ca="1">ROUND(T2255,2)</f>
        <v>46.67</v>
      </c>
      <c r="AO2230" s="512">
        <f ca="1">ROUND(AM2230+AN2230,2)*A2230</f>
        <v>3243.71</v>
      </c>
    </row>
    <row r="2231" spans="1:41" s="501" customFormat="1" ht="39.9" customHeight="1">
      <c r="A2231" s="745"/>
      <c r="B2231" s="746"/>
      <c r="C2231" s="505"/>
      <c r="D2231" s="1183" t="s">
        <v>519</v>
      </c>
      <c r="E2231" s="1184"/>
      <c r="F2231" s="1184"/>
      <c r="G2231" s="1184"/>
      <c r="H2231" s="1184"/>
      <c r="I2231" s="1184"/>
      <c r="J2231" s="1184"/>
      <c r="K2231" s="1184"/>
      <c r="L2231" s="1184"/>
      <c r="M2231" s="1184"/>
      <c r="N2231" s="1184"/>
      <c r="O2231" s="1184"/>
      <c r="P2231" s="1184"/>
      <c r="Q2231" s="1184"/>
      <c r="R2231" s="1184"/>
      <c r="S2231" s="1184"/>
      <c r="T2231" s="1184"/>
    </row>
    <row r="2232" spans="1:41" s="501" customFormat="1" ht="12">
      <c r="A2232" s="748"/>
      <c r="B2232" s="749"/>
      <c r="C2232" s="497"/>
      <c r="D2232" s="750"/>
      <c r="E2232" s="751">
        <f ca="1">F2230/$C$12-SUMIF($L2229:$L2255,"SUBI",$E2229:$E2255)</f>
        <v>0</v>
      </c>
      <c r="F2232" s="752" t="s">
        <v>572</v>
      </c>
      <c r="G2232" s="753"/>
      <c r="H2232" s="753"/>
      <c r="I2232" s="754"/>
      <c r="J2232" s="753"/>
      <c r="K2232" s="753"/>
      <c r="L2232" s="755"/>
      <c r="M2232" s="756"/>
      <c r="N2232" s="756"/>
      <c r="O2232" s="756"/>
      <c r="P2232" s="756"/>
      <c r="Q2232" s="757"/>
      <c r="R2232" s="758"/>
      <c r="S2232" s="757"/>
      <c r="T2232" s="759"/>
    </row>
    <row r="2233" spans="1:41" s="501" customFormat="1" ht="12" customHeight="1">
      <c r="A2233" s="760"/>
      <c r="B2233" s="761"/>
      <c r="C2233" s="762"/>
      <c r="D2233" s="762" t="str">
        <f>$F$2</f>
        <v>Electrical</v>
      </c>
      <c r="E2233" s="762">
        <f ca="1">ROUND(($R2245*$S$2 + ($T2245*$T$2)), 2)</f>
        <v>2226.2600000000002</v>
      </c>
      <c r="F2233" s="763">
        <f ca="1">$E2233*$C$12</f>
        <v>2226.2600000000002</v>
      </c>
      <c r="G2233" s="567"/>
      <c r="H2233" s="764"/>
      <c r="I2233" s="567"/>
      <c r="J2233" s="45"/>
      <c r="K2233" s="765" t="s">
        <v>3</v>
      </c>
      <c r="L2233" s="766" t="s">
        <v>573</v>
      </c>
      <c r="M2233" s="567"/>
      <c r="N2233" s="567"/>
      <c r="O2233" s="45"/>
      <c r="P2233" s="567"/>
      <c r="Q2233" s="567"/>
      <c r="R2233"/>
      <c r="S2233"/>
      <c r="T2233"/>
    </row>
    <row r="2234" spans="1:41" s="935" customFormat="1" ht="13.2">
      <c r="A2234"/>
      <c r="B2234" s="927"/>
      <c r="C2234" s="927" t="s">
        <v>735</v>
      </c>
      <c r="D2234" s="927" t="str">
        <f ca="1">CELL("Address",Elec_Rates!D$170)</f>
        <v>[E25_0465_IH_Retro_Elec4Mech_Est_Rev_A.xlsx]Elec_Rates!$D$170</v>
      </c>
      <c r="E2234" s="928"/>
      <c r="F2234" s="928"/>
      <c r="G2234" s="929" t="s">
        <v>736</v>
      </c>
      <c r="H2234" s="929"/>
      <c r="I2234" s="929"/>
      <c r="J2234" s="929"/>
      <c r="K2234" s="930"/>
      <c r="L2234" s="928"/>
      <c r="M2234" s="928"/>
      <c r="N2234" s="928"/>
      <c r="O2234" s="931"/>
      <c r="P2234" s="928"/>
      <c r="Q2234" s="932"/>
      <c r="R2234" s="933"/>
      <c r="S2234" s="932"/>
      <c r="T2234" s="560"/>
      <c r="U2234" s="934"/>
    </row>
    <row r="2235" spans="1:41" s="935" customFormat="1" ht="11.4">
      <c r="A2235" s="936">
        <v>1</v>
      </c>
      <c r="B2235" s="937">
        <v>1</v>
      </c>
      <c r="C2235" s="937">
        <f>$A2235*$B2235</f>
        <v>1</v>
      </c>
      <c r="D2235" s="938" t="str">
        <f>Elec_Rates!$D$170</f>
        <v>012# Power supply to control panel (4core x 10.0sqmm)</v>
      </c>
      <c r="E2235" s="938"/>
      <c r="F2235" s="938" t="s">
        <v>737</v>
      </c>
      <c r="G2235" s="939" t="s">
        <v>738</v>
      </c>
      <c r="H2235" s="939"/>
      <c r="I2235" s="939"/>
      <c r="J2235" s="939"/>
      <c r="K2235" s="940"/>
      <c r="L2235" s="934"/>
      <c r="M2235" s="934"/>
      <c r="N2235" s="934"/>
      <c r="O2235" s="941"/>
      <c r="P2235" s="938"/>
      <c r="Q2235" s="942">
        <f ca="1">$B2235*Elec_Rates!$R$170</f>
        <v>92.8</v>
      </c>
      <c r="R2235" s="933">
        <f ca="1">$A2235*Q2235</f>
        <v>92.8</v>
      </c>
      <c r="S2235" s="942">
        <f ca="1">$B2235*Elec_Rates!$T$170</f>
        <v>3.68</v>
      </c>
      <c r="T2235" s="560">
        <f ca="1">$A2235*S2235</f>
        <v>3.68</v>
      </c>
      <c r="U2235" s="484"/>
    </row>
    <row r="2236" spans="1:41" s="935" customFormat="1" ht="13.2">
      <c r="A2236"/>
      <c r="B2236" s="927"/>
      <c r="C2236" s="927" t="s">
        <v>735</v>
      </c>
      <c r="D2236" s="927" t="str">
        <f ca="1">CELL("Address",Elec_Rates!D$196)</f>
        <v>[E25_0465_IH_Retro_Elec4Mech_Est_Rev_A.xlsx]Elec_Rates!$D$196</v>
      </c>
      <c r="E2236" s="928"/>
      <c r="F2236" s="928"/>
      <c r="G2236" s="929" t="s">
        <v>736</v>
      </c>
      <c r="H2236" s="929"/>
      <c r="I2236" s="929"/>
      <c r="J2236" s="929"/>
      <c r="K2236" s="930"/>
      <c r="L2236" s="928"/>
      <c r="M2236" s="928"/>
      <c r="N2236" s="928"/>
      <c r="O2236" s="931"/>
      <c r="P2236" s="928"/>
      <c r="Q2236" s="932"/>
      <c r="R2236" s="933"/>
      <c r="S2236" s="932"/>
      <c r="T2236" s="560"/>
      <c r="U2236" s="934"/>
    </row>
    <row r="2237" spans="1:41" s="935" customFormat="1" ht="11.4">
      <c r="A2237" s="936">
        <v>1</v>
      </c>
      <c r="B2237" s="937">
        <v>1</v>
      </c>
      <c r="C2237" s="937">
        <f>$A2237*$B2237</f>
        <v>1</v>
      </c>
      <c r="D2237" s="938" t="str">
        <f>Elec_Rates!$D$196</f>
        <v>013# Installation of Rosenger control panel</v>
      </c>
      <c r="E2237" s="938"/>
      <c r="F2237" s="938" t="s">
        <v>737</v>
      </c>
      <c r="G2237" s="939" t="s">
        <v>739</v>
      </c>
      <c r="H2237" s="939"/>
      <c r="I2237" s="939"/>
      <c r="J2237" s="939"/>
      <c r="K2237" s="940"/>
      <c r="L2237" s="934"/>
      <c r="M2237" s="934"/>
      <c r="N2237" s="934"/>
      <c r="O2237" s="941"/>
      <c r="P2237" s="938"/>
      <c r="Q2237" s="942">
        <f ca="1">$B2237*Elec_Rates!$R$196</f>
        <v>20</v>
      </c>
      <c r="R2237" s="933">
        <f ca="1">$A2237*Q2237</f>
        <v>20</v>
      </c>
      <c r="S2237" s="942">
        <f ca="1">$B2237*Elec_Rates!$T$196</f>
        <v>2</v>
      </c>
      <c r="T2237" s="560">
        <f ca="1">$A2237*S2237</f>
        <v>2</v>
      </c>
      <c r="U2237" s="484"/>
    </row>
    <row r="2238" spans="1:41" s="935" customFormat="1" ht="13.2">
      <c r="A2238"/>
      <c r="B2238" s="927"/>
      <c r="C2238" s="927" t="s">
        <v>735</v>
      </c>
      <c r="D2238" s="927" t="str">
        <f ca="1">CELL("Address",Elec_Rates!D$203)</f>
        <v>[E25_0465_IH_Retro_Elec4Mech_Est_Rev_A.xlsx]Elec_Rates!$D$203</v>
      </c>
      <c r="E2238" s="928"/>
      <c r="F2238" s="928"/>
      <c r="G2238" s="929" t="s">
        <v>736</v>
      </c>
      <c r="H2238" s="929"/>
      <c r="I2238" s="929"/>
      <c r="J2238" s="929"/>
      <c r="K2238" s="930"/>
      <c r="L2238" s="928"/>
      <c r="M2238" s="928"/>
      <c r="N2238" s="928"/>
      <c r="O2238" s="931"/>
      <c r="P2238" s="928"/>
      <c r="Q2238" s="932"/>
      <c r="R2238" s="933"/>
      <c r="S2238" s="932"/>
      <c r="T2238" s="560"/>
      <c r="U2238" s="934"/>
    </row>
    <row r="2239" spans="1:41" s="935" customFormat="1" ht="11.4">
      <c r="A2239" s="936">
        <v>10</v>
      </c>
      <c r="B2239" s="937">
        <v>1</v>
      </c>
      <c r="C2239" s="937">
        <f>$A2239*$B2239</f>
        <v>10</v>
      </c>
      <c r="D2239" s="938" t="str">
        <f>Elec_Rates!$D$203</f>
        <v>014# Installation of cable harness to fans</v>
      </c>
      <c r="E2239" s="938"/>
      <c r="F2239" s="938" t="s">
        <v>737</v>
      </c>
      <c r="G2239" s="939" t="s">
        <v>738</v>
      </c>
      <c r="H2239" s="939"/>
      <c r="I2239" s="939"/>
      <c r="J2239" s="939"/>
      <c r="K2239" s="940"/>
      <c r="L2239" s="934"/>
      <c r="M2239" s="934"/>
      <c r="N2239" s="934"/>
      <c r="O2239" s="941"/>
      <c r="P2239" s="938"/>
      <c r="Q2239" s="942">
        <f ca="1">$B2239*Elec_Rates!$R$203</f>
        <v>20</v>
      </c>
      <c r="R2239" s="933">
        <f ca="1">$A2239*Q2239</f>
        <v>200</v>
      </c>
      <c r="S2239" s="942">
        <f ca="1">$B2239*Elec_Rates!$T$203</f>
        <v>1</v>
      </c>
      <c r="T2239" s="560">
        <f ca="1">$A2239*S2239</f>
        <v>10</v>
      </c>
      <c r="U2239" s="484"/>
    </row>
    <row r="2240" spans="1:41" s="935" customFormat="1" ht="13.2">
      <c r="A2240"/>
      <c r="B2240" s="927"/>
      <c r="C2240" s="927" t="s">
        <v>735</v>
      </c>
      <c r="D2240" s="927" t="str">
        <f ca="1">CELL("Address",Elec_Rates!D$210)</f>
        <v>[E25_0465_IH_Retro_Elec4Mech_Est_Rev_A.xlsx]Elec_Rates!$D$210</v>
      </c>
      <c r="E2240" s="928"/>
      <c r="F2240" s="928"/>
      <c r="G2240" s="929" t="s">
        <v>736</v>
      </c>
      <c r="H2240" s="929"/>
      <c r="I2240" s="929"/>
      <c r="J2240" s="929"/>
      <c r="K2240" s="930"/>
      <c r="L2240" s="928"/>
      <c r="M2240" s="928"/>
      <c r="N2240" s="928"/>
      <c r="O2240" s="931"/>
      <c r="P2240" s="928"/>
      <c r="Q2240" s="932"/>
      <c r="R2240" s="933"/>
      <c r="S2240" s="932"/>
      <c r="T2240" s="560"/>
      <c r="U2240" s="934"/>
    </row>
    <row r="2241" spans="1:41" s="935" customFormat="1" ht="11.4">
      <c r="A2241" s="936">
        <v>1</v>
      </c>
      <c r="B2241" s="937">
        <v>1</v>
      </c>
      <c r="C2241" s="937">
        <f>$A2241*$B2241</f>
        <v>1</v>
      </c>
      <c r="D2241" s="938" t="str">
        <f>Elec_Rates!$D$210</f>
        <v>015# Installation of control panels by ECA</v>
      </c>
      <c r="E2241" s="938"/>
      <c r="F2241" s="938" t="s">
        <v>737</v>
      </c>
      <c r="G2241" s="939" t="s">
        <v>739</v>
      </c>
      <c r="H2241" s="939"/>
      <c r="I2241" s="939"/>
      <c r="J2241" s="939"/>
      <c r="K2241" s="940"/>
      <c r="L2241" s="934"/>
      <c r="M2241" s="934"/>
      <c r="N2241" s="934"/>
      <c r="O2241" s="941"/>
      <c r="P2241" s="938"/>
      <c r="Q2241" s="942">
        <f ca="1">$B2241*Elec_Rates!$R$210</f>
        <v>30</v>
      </c>
      <c r="R2241" s="933">
        <f ca="1">$A2241*Q2241</f>
        <v>30</v>
      </c>
      <c r="S2241" s="942">
        <f ca="1">$B2241*Elec_Rates!$T$210</f>
        <v>1</v>
      </c>
      <c r="T2241" s="560">
        <f ca="1">$A2241*S2241</f>
        <v>1</v>
      </c>
      <c r="U2241" s="484"/>
    </row>
    <row r="2242" spans="1:41" s="935" customFormat="1" ht="13.2">
      <c r="A2242"/>
      <c r="B2242" s="927"/>
      <c r="C2242" s="927" t="s">
        <v>735</v>
      </c>
      <c r="D2242" s="927" t="str">
        <f ca="1">CELL("Address",Elec_Rates!D$217)</f>
        <v>[E25_0465_IH_Retro_Elec4Mech_Est_Rev_A.xlsx]Elec_Rates!$D$217</v>
      </c>
      <c r="E2242" s="928"/>
      <c r="F2242" s="928"/>
      <c r="G2242" s="929" t="s">
        <v>736</v>
      </c>
      <c r="H2242" s="929"/>
      <c r="I2242" s="929"/>
      <c r="J2242" s="929"/>
      <c r="K2242" s="930"/>
      <c r="L2242" s="928"/>
      <c r="M2242" s="928"/>
      <c r="N2242" s="928"/>
      <c r="O2242" s="931"/>
      <c r="P2242" s="928"/>
      <c r="Q2242" s="932"/>
      <c r="R2242" s="933"/>
      <c r="S2242" s="932"/>
      <c r="T2242" s="560"/>
      <c r="U2242" s="934"/>
    </row>
    <row r="2243" spans="1:41" s="935" customFormat="1" ht="11.4">
      <c r="A2243" s="936">
        <v>1</v>
      </c>
      <c r="B2243" s="937">
        <v>1</v>
      </c>
      <c r="C2243" s="937">
        <f>$A2243*$B2243</f>
        <v>1</v>
      </c>
      <c r="D2243" s="938" t="str">
        <f>Elec_Rates!$D$217</f>
        <v>016# Installation of sensors on AHUs</v>
      </c>
      <c r="E2243" s="938"/>
      <c r="F2243" s="938" t="s">
        <v>737</v>
      </c>
      <c r="G2243" s="939" t="s">
        <v>738</v>
      </c>
      <c r="H2243" s="939"/>
      <c r="I2243" s="939"/>
      <c r="J2243" s="939"/>
      <c r="K2243" s="940"/>
      <c r="L2243" s="934"/>
      <c r="M2243" s="934"/>
      <c r="N2243" s="934"/>
      <c r="O2243" s="941"/>
      <c r="P2243" s="938"/>
      <c r="Q2243" s="942">
        <f ca="1">$B2243*Elec_Rates!$R$217</f>
        <v>354.24</v>
      </c>
      <c r="R2243" s="933">
        <f ca="1">$A2243*Q2243</f>
        <v>354.24</v>
      </c>
      <c r="S2243" s="942">
        <f ca="1">$B2243*Elec_Rates!$T$217</f>
        <v>17.989999999999998</v>
      </c>
      <c r="T2243" s="560">
        <f ca="1">$A2243*S2243</f>
        <v>17.989999999999998</v>
      </c>
      <c r="U2243" s="484"/>
    </row>
    <row r="2244" spans="1:41" s="501" customFormat="1" ht="14.4" customHeight="1">
      <c r="A2244" s="767"/>
      <c r="B2244" s="567"/>
      <c r="C2244" s="567"/>
      <c r="D2244" s="567"/>
      <c r="E2244" s="567"/>
      <c r="F2244" s="567"/>
      <c r="G2244" s="567"/>
      <c r="H2244" s="764"/>
      <c r="I2244" s="567"/>
      <c r="J2244" s="45"/>
      <c r="K2244" s="769"/>
      <c r="L2244" s="770"/>
      <c r="M2244" s="567"/>
      <c r="N2244" s="567"/>
      <c r="O2244" s="45"/>
      <c r="P2244" s="567"/>
      <c r="Q2244" s="567"/>
      <c r="R2244" s="771">
        <f>$A2244*Q2244</f>
        <v>0</v>
      </c>
      <c r="S2244" s="567"/>
      <c r="T2244" s="500">
        <f>$A2244*S2244*$T$1</f>
        <v>0</v>
      </c>
    </row>
    <row r="2245" spans="1:41" s="501" customFormat="1" ht="12">
      <c r="A2245" s="772" t="s">
        <v>145</v>
      </c>
      <c r="B2245" s="773">
        <f>(R2244+T2244)</f>
        <v>0</v>
      </c>
      <c r="C2245" s="753"/>
      <c r="G2245" s="774"/>
      <c r="H2245" s="774"/>
      <c r="I2245" s="774"/>
      <c r="J2245" s="774"/>
      <c r="K2245" s="750" t="s">
        <v>3</v>
      </c>
      <c r="L2245" s="775" t="s">
        <v>573</v>
      </c>
      <c r="M2245" s="774"/>
      <c r="N2245" s="774"/>
      <c r="O2245" s="774"/>
      <c r="P2245" s="774"/>
      <c r="Q2245" s="776"/>
      <c r="R2245" s="777">
        <f ca="1">SUM(R2233:R2244)</f>
        <v>697.04</v>
      </c>
      <c r="S2245" s="778"/>
      <c r="T2245" s="777">
        <f ca="1">SUM(T2233:T2244)</f>
        <v>34.67</v>
      </c>
      <c r="AG2245" s="779">
        <f ca="1">ROUND($R2245*$S$2,2)</f>
        <v>941</v>
      </c>
    </row>
    <row r="2246" spans="1:41" s="501" customFormat="1" ht="12" customHeight="1">
      <c r="A2246" s="760"/>
      <c r="B2246" s="780"/>
      <c r="C2246" s="781"/>
      <c r="D2246" s="782" t="str">
        <f>$F$3</f>
        <v>Technician</v>
      </c>
      <c r="E2246" s="782">
        <f>ROUND(($R2249*$S$3 + ($T2249*$T$3)), 2)</f>
        <v>3739.18</v>
      </c>
      <c r="F2246" s="783">
        <f>$E2246*$C$12</f>
        <v>3739.18</v>
      </c>
      <c r="G2246" s="499"/>
      <c r="H2246" s="499"/>
      <c r="I2246" s="499"/>
      <c r="J2246" s="499"/>
      <c r="K2246" s="765" t="s">
        <v>5</v>
      </c>
      <c r="L2246" s="766" t="s">
        <v>573</v>
      </c>
      <c r="M2246" s="499"/>
      <c r="N2246" s="499"/>
      <c r="O2246" s="499"/>
      <c r="P2246" s="499"/>
      <c r="Q2246" s="499"/>
      <c r="R2246" s="784"/>
      <c r="S2246" s="499"/>
      <c r="T2246" s="784"/>
    </row>
    <row r="2247" spans="1:41" s="893" customFormat="1" ht="13.2">
      <c r="A2247">
        <v>1</v>
      </c>
      <c r="B2247" s="893" t="s">
        <v>141</v>
      </c>
      <c r="D2247" s="893" t="s">
        <v>767</v>
      </c>
      <c r="E2247" s="893" t="s">
        <v>770</v>
      </c>
      <c r="F2247" s="893" t="s">
        <v>769</v>
      </c>
      <c r="G2247" s="894" t="s">
        <v>768</v>
      </c>
      <c r="H2247" s="895">
        <v>570</v>
      </c>
      <c r="I2247" s="893" t="s">
        <v>643</v>
      </c>
      <c r="O2247" s="896">
        <v>2</v>
      </c>
      <c r="P2247" s="897">
        <v>38443</v>
      </c>
      <c r="Q2247" s="898">
        <v>2500</v>
      </c>
      <c r="R2247" s="899">
        <f>$A2247*Q2247</f>
        <v>2500</v>
      </c>
      <c r="S2247" s="898">
        <f>200/25</f>
        <v>8</v>
      </c>
      <c r="T2247" s="900">
        <f>$A2247*S2247*$T$1</f>
        <v>8</v>
      </c>
    </row>
    <row r="2248" spans="1:41" s="501" customFormat="1" ht="15.6" customHeight="1">
      <c r="A2248" s="767"/>
      <c r="B2248" s="567"/>
      <c r="C2248" s="567"/>
      <c r="D2248" s="3"/>
      <c r="E2248" s="567"/>
      <c r="F2248" s="567"/>
      <c r="G2248" s="567"/>
      <c r="H2248" s="567"/>
      <c r="I2248" s="567"/>
      <c r="J2248" s="567"/>
      <c r="K2248" s="567"/>
      <c r="L2248" s="770"/>
      <c r="M2248" s="567"/>
      <c r="N2248" s="567"/>
      <c r="O2248" s="567"/>
      <c r="P2248" s="567"/>
      <c r="Q2248" s="567"/>
      <c r="R2248" s="771">
        <f>$A2248*Q2248</f>
        <v>0</v>
      </c>
      <c r="S2248" s="567"/>
      <c r="T2248" s="500">
        <f>$A2248*S2248*$T$1</f>
        <v>0</v>
      </c>
    </row>
    <row r="2249" spans="1:41" s="501" customFormat="1" ht="12">
      <c r="A2249" s="772" t="s">
        <v>145</v>
      </c>
      <c r="B2249" s="773">
        <f>(R2248+T2248)</f>
        <v>0</v>
      </c>
      <c r="C2249" s="753"/>
      <c r="G2249" s="774"/>
      <c r="H2249" s="774"/>
      <c r="I2249" s="774"/>
      <c r="J2249" s="774"/>
      <c r="K2249" s="798" t="s">
        <v>5</v>
      </c>
      <c r="L2249" s="775" t="s">
        <v>573</v>
      </c>
      <c r="M2249" s="774"/>
      <c r="N2249" s="774"/>
      <c r="O2249" s="774"/>
      <c r="P2249" s="774"/>
      <c r="Q2249" s="776"/>
      <c r="R2249" s="777">
        <f>SUM(R2246:R2248)</f>
        <v>2500</v>
      </c>
      <c r="S2249" s="778"/>
      <c r="T2249" s="777">
        <f>SUM(T2246:T2248)</f>
        <v>8</v>
      </c>
      <c r="AG2249" s="799">
        <f>ROUND($R2249*$S$3,2)</f>
        <v>3375</v>
      </c>
    </row>
    <row r="2250" spans="1:41" s="501" customFormat="1" ht="12" customHeight="1">
      <c r="A2250" s="800"/>
      <c r="B2250" s="801"/>
      <c r="C2250" s="802"/>
      <c r="D2250" s="803" t="str">
        <f>$F$4</f>
        <v>Engineer (Man Hours)</v>
      </c>
      <c r="E2250" s="803">
        <f>ROUND(($R2253*$S$4 + ($T2253*$T$4)), 2)</f>
        <v>162</v>
      </c>
      <c r="F2250" s="804">
        <f ca="1">$F2230-SUMIF($L2232:$P2247,"SUBI",$F2232:$F2247)</f>
        <v>161.99999999999909</v>
      </c>
      <c r="G2250" s="499"/>
      <c r="H2250" s="499"/>
      <c r="I2250" s="499"/>
      <c r="J2250" s="499"/>
      <c r="K2250" s="805" t="s">
        <v>8</v>
      </c>
      <c r="L2250" s="766" t="s">
        <v>573</v>
      </c>
      <c r="M2250" s="499"/>
      <c r="N2250" s="499"/>
      <c r="O2250" s="499"/>
      <c r="P2250" s="499"/>
      <c r="Q2250" s="499"/>
      <c r="R2250" s="784"/>
      <c r="S2250" s="499"/>
      <c r="T2250" s="784"/>
    </row>
    <row r="2251" spans="1:41" s="893" customFormat="1" ht="13.2">
      <c r="A2251">
        <v>1</v>
      </c>
      <c r="B2251" s="893" t="s">
        <v>141</v>
      </c>
      <c r="D2251" s="893" t="s">
        <v>767</v>
      </c>
      <c r="E2251" s="893" t="s">
        <v>771</v>
      </c>
      <c r="F2251" s="893" t="s">
        <v>769</v>
      </c>
      <c r="G2251" s="894" t="s">
        <v>768</v>
      </c>
      <c r="H2251" s="895">
        <v>570</v>
      </c>
      <c r="I2251" s="893" t="s">
        <v>643</v>
      </c>
      <c r="O2251" s="896">
        <v>2</v>
      </c>
      <c r="P2251" s="897">
        <v>38443</v>
      </c>
      <c r="Q2251" s="898"/>
      <c r="R2251" s="899">
        <f>$A2251*Q2251</f>
        <v>0</v>
      </c>
      <c r="S2251" s="898">
        <f>100/25</f>
        <v>4</v>
      </c>
      <c r="T2251" s="900">
        <f>$A2251*S2251*$T$1</f>
        <v>4</v>
      </c>
    </row>
    <row r="2252" spans="1:41" s="501" customFormat="1" ht="12">
      <c r="A2252" s="44"/>
      <c r="B2252" s="497"/>
      <c r="C2252" s="497"/>
      <c r="D2252" s="807"/>
      <c r="E2252" s="808"/>
      <c r="F2252" s="499"/>
      <c r="G2252" s="499"/>
      <c r="H2252" s="499"/>
      <c r="I2252" s="499"/>
      <c r="J2252" s="499"/>
      <c r="K2252" s="499"/>
      <c r="L2252" s="809"/>
      <c r="M2252" s="499"/>
      <c r="N2252" s="499"/>
      <c r="O2252" s="499"/>
      <c r="P2252" s="499"/>
      <c r="Q2252" s="499"/>
      <c r="R2252" s="720">
        <f>$A2252*Q2252</f>
        <v>0</v>
      </c>
      <c r="S2252" s="499"/>
      <c r="T2252" s="500">
        <f>$A2252*S2252*$T$1</f>
        <v>0</v>
      </c>
    </row>
    <row r="2253" spans="1:41" s="501" customFormat="1" ht="12.75" customHeight="1">
      <c r="A2253" s="772" t="s">
        <v>145</v>
      </c>
      <c r="B2253" s="773">
        <f>(R2252+T2252)</f>
        <v>0</v>
      </c>
      <c r="C2253" s="810"/>
      <c r="D2253" s="810"/>
      <c r="E2253" s="810"/>
      <c r="F2253" s="810"/>
      <c r="G2253" s="776"/>
      <c r="H2253" s="776"/>
      <c r="I2253" s="776"/>
      <c r="J2253" s="776"/>
      <c r="K2253" s="798" t="s">
        <v>8</v>
      </c>
      <c r="L2253" s="811" t="s">
        <v>573</v>
      </c>
      <c r="M2253" s="776"/>
      <c r="N2253" s="776"/>
      <c r="O2253" s="776"/>
      <c r="P2253" s="776"/>
      <c r="Q2253" s="776"/>
      <c r="R2253" s="777">
        <f>SUM(R2250:R2252)</f>
        <v>0</v>
      </c>
      <c r="S2253" s="778"/>
      <c r="T2253" s="777">
        <f>SUM(T2250:T2252)</f>
        <v>4</v>
      </c>
      <c r="AG2253" s="812">
        <f>ROUND($R2253*$S$4,2)</f>
        <v>0</v>
      </c>
    </row>
    <row r="2254" spans="1:41" s="501" customFormat="1" ht="12.75" customHeight="1">
      <c r="A2254" s="813"/>
      <c r="B2254" s="814"/>
      <c r="E2254" s="497"/>
      <c r="F2254" s="808"/>
      <c r="G2254" s="497"/>
      <c r="H2254" s="497"/>
      <c r="I2254" s="499"/>
      <c r="J2254" s="497"/>
      <c r="K2254" s="497"/>
      <c r="L2254" s="815"/>
      <c r="M2254" s="725"/>
      <c r="N2254" s="725"/>
      <c r="O2254" s="725"/>
      <c r="P2254" s="725"/>
      <c r="Q2254" s="726"/>
      <c r="R2254" s="784"/>
      <c r="S2254" s="497"/>
      <c r="T2254" s="784"/>
    </row>
    <row r="2255" spans="1:41" s="501" customFormat="1" ht="13.5" customHeight="1" thickBot="1">
      <c r="A2255" s="816"/>
      <c r="B2255" s="817"/>
      <c r="C2255" s="518"/>
      <c r="D2255" s="518"/>
      <c r="E2255" s="515"/>
      <c r="F2255" s="721"/>
      <c r="G2255" s="515" t="s">
        <v>146</v>
      </c>
      <c r="H2255" s="515"/>
      <c r="I2255" s="516"/>
      <c r="J2255" s="515"/>
      <c r="K2255" s="515"/>
      <c r="L2255" s="818" t="s">
        <v>143</v>
      </c>
      <c r="M2255" s="517"/>
      <c r="N2255" s="517"/>
      <c r="O2255" s="517"/>
      <c r="P2255" s="517"/>
      <c r="Q2255" s="722"/>
      <c r="R2255" s="819">
        <f ca="1">SUMIF($L2231:$L2254,"SUBI",R2231:R2254)</f>
        <v>3197.04</v>
      </c>
      <c r="S2255" s="820"/>
      <c r="T2255" s="819">
        <f ca="1">SUMIF($L2231:$L2254,"SUBI",T2231:T2254)</f>
        <v>46.67</v>
      </c>
      <c r="U2255" s="518"/>
      <c r="V2255" s="518"/>
      <c r="W2255" s="518"/>
      <c r="X2255" s="518"/>
      <c r="Y2255" s="518"/>
      <c r="Z2255" s="518"/>
      <c r="AA2255" s="518"/>
      <c r="AB2255" s="518"/>
      <c r="AC2255" s="518"/>
      <c r="AD2255" s="518"/>
      <c r="AE2255" s="518"/>
      <c r="AF2255" s="518"/>
      <c r="AG2255" s="518"/>
      <c r="AH2255" s="518"/>
      <c r="AI2255" s="518"/>
      <c r="AJ2255" s="518"/>
      <c r="AK2255" s="518"/>
      <c r="AL2255" s="518"/>
      <c r="AM2255" s="518"/>
      <c r="AN2255" s="518"/>
      <c r="AO2255" s="518"/>
    </row>
    <row r="2256" spans="1:41" s="501" customFormat="1" thickTop="1">
      <c r="A2256" s="44"/>
      <c r="B2256" s="44"/>
      <c r="C2256" s="3"/>
      <c r="D2256" s="3"/>
      <c r="E2256" s="44"/>
      <c r="F2256" s="44"/>
      <c r="G2256" s="44"/>
      <c r="H2256" s="44"/>
      <c r="I2256" s="44"/>
      <c r="J2256" s="44"/>
      <c r="K2256" s="44" t="s">
        <v>134</v>
      </c>
      <c r="L2256" s="44"/>
      <c r="M2256" s="44"/>
      <c r="N2256" s="44"/>
      <c r="O2256" s="45"/>
      <c r="P2256" s="44"/>
      <c r="Q2256" s="44"/>
      <c r="R2256" s="44"/>
      <c r="S2256" s="44"/>
      <c r="T2256" s="44"/>
    </row>
    <row r="2257" spans="1:41" s="501" customFormat="1" ht="12">
      <c r="A2257" s="44"/>
      <c r="B2257" s="44"/>
      <c r="C2257" s="44" t="s">
        <v>135</v>
      </c>
      <c r="D2257" s="35"/>
      <c r="E2257" s="44"/>
      <c r="F2257" s="44"/>
      <c r="G2257" s="44"/>
      <c r="H2257" s="44"/>
      <c r="I2257" s="44"/>
      <c r="J2257" s="44"/>
      <c r="K2257" s="44"/>
      <c r="L2257" s="44"/>
      <c r="M2257" s="44"/>
      <c r="N2257" s="44"/>
      <c r="O2257" s="45"/>
      <c r="P2257" s="44"/>
      <c r="Q2257" s="44"/>
      <c r="R2257" s="44"/>
      <c r="S2257" s="44"/>
      <c r="T2257" s="44"/>
    </row>
    <row r="2258" spans="1:41" s="501" customFormat="1" ht="12">
      <c r="A2258" s="44"/>
      <c r="B2258" s="44"/>
      <c r="C2258" s="44"/>
      <c r="D2258" s="35" t="s">
        <v>524</v>
      </c>
      <c r="E2258" s="44"/>
      <c r="F2258" s="44"/>
      <c r="G2258" s="44"/>
      <c r="H2258" s="44"/>
      <c r="I2258" s="44"/>
      <c r="J2258" s="44"/>
      <c r="K2258" s="44"/>
      <c r="L2258" s="44"/>
      <c r="M2258" s="44"/>
      <c r="N2258" s="44"/>
      <c r="O2258" s="45"/>
      <c r="P2258" s="44"/>
      <c r="Q2258" s="44"/>
      <c r="R2258" s="44"/>
      <c r="S2258" s="36"/>
      <c r="T2258" s="36"/>
    </row>
    <row r="2259" spans="1:41" s="3" customFormat="1" thickBot="1">
      <c r="A2259" s="518"/>
      <c r="O2259" s="86"/>
    </row>
    <row r="2260" spans="1:41" s="501" customFormat="1" thickTop="1">
      <c r="A2260" s="44"/>
      <c r="B2260" s="39"/>
      <c r="C2260" s="44"/>
      <c r="E2260" s="40" t="s">
        <v>138</v>
      </c>
      <c r="F2260" s="40" t="s">
        <v>139</v>
      </c>
      <c r="G2260" s="44"/>
      <c r="H2260" s="44"/>
      <c r="I2260" s="44"/>
      <c r="J2260" s="44"/>
      <c r="K2260" s="44" t="s">
        <v>140</v>
      </c>
      <c r="L2260" s="737"/>
      <c r="M2260" s="44"/>
      <c r="N2260" s="44"/>
      <c r="O2260" s="45"/>
      <c r="P2260" s="44"/>
      <c r="Q2260"/>
      <c r="R2260"/>
      <c r="S2260"/>
      <c r="T2260" s="39"/>
      <c r="AG2260" s="502" t="s">
        <v>247</v>
      </c>
      <c r="AH2260" s="502" t="s">
        <v>248</v>
      </c>
      <c r="AI2260" s="502" t="s">
        <v>249</v>
      </c>
      <c r="AJ2260" s="502" t="s">
        <v>250</v>
      </c>
      <c r="AK2260" s="502" t="s">
        <v>251</v>
      </c>
      <c r="AM2260" s="710" t="s">
        <v>260</v>
      </c>
      <c r="AN2260" s="711" t="s">
        <v>261</v>
      </c>
      <c r="AO2260" s="503" t="s">
        <v>257</v>
      </c>
    </row>
    <row r="2261" spans="1:41" s="501" customFormat="1" ht="13.2">
      <c r="A2261" s="712">
        <v>1</v>
      </c>
      <c r="B2261" s="504" t="s">
        <v>283</v>
      </c>
      <c r="C2261" s="505"/>
      <c r="D2261" s="713" t="s">
        <v>616</v>
      </c>
      <c r="E2261" s="738">
        <f ca="1">IF(AND($A2261=0,$A$1="DIF"),0,ROUND(ROUND(SUMIF($L2263:$L2281,"SUBI",$E2263:$E2281)/$A2261,2)*$C$12,2))</f>
        <v>5570.91</v>
      </c>
      <c r="F2261" s="739">
        <f ca="1">ROUND($A2261*$E2261,2)</f>
        <v>5570.91</v>
      </c>
      <c r="G2261" s="506" t="s">
        <v>142</v>
      </c>
      <c r="H2261" s="498"/>
      <c r="I2261" s="716"/>
      <c r="J2261" s="498"/>
      <c r="K2261" s="740"/>
      <c r="L2261" s="741" t="s">
        <v>143</v>
      </c>
      <c r="M2261" s="717"/>
      <c r="N2261" s="717"/>
      <c r="O2261" s="717"/>
      <c r="P2261" s="717"/>
      <c r="Q2261" s="943" t="s">
        <v>855</v>
      </c>
      <c r="R2261" s="943" t="s">
        <v>869</v>
      </c>
      <c r="S2261"/>
      <c r="T2261" s="742" t="str">
        <f ca="1">IF(AND($R2286=0,$T2286=0),"0.00","mu :" &amp; ROUND($F2261/$C$12/($R2286+$T2286*$D$9),2))</f>
        <v>mu :1.37</v>
      </c>
      <c r="W2261" s="507"/>
      <c r="AG2261" s="743">
        <f ca="1">IF(A2261=0,0,ROUND(SUM(AG2263:AG2286)/A2261,2))</f>
        <v>4074.95</v>
      </c>
      <c r="AH2261" s="743">
        <f ca="1">$AG2261*$A2261</f>
        <v>4074.95</v>
      </c>
      <c r="AI2261" s="743">
        <f ca="1">$E2261-$AG2261</f>
        <v>1495.96</v>
      </c>
      <c r="AJ2261" s="743">
        <f ca="1">$A2261*$AI2261</f>
        <v>1495.96</v>
      </c>
      <c r="AK2261" s="744">
        <f ca="1">ROUND(($AG2261+$AI2261)*$A2261,2)</f>
        <v>5570.91</v>
      </c>
      <c r="AM2261" s="510">
        <f ca="1">ROUND(R2286,2)</f>
        <v>3018.48</v>
      </c>
      <c r="AN2261" s="511">
        <f ca="1">ROUND(T2286,2)</f>
        <v>38.159999999999997</v>
      </c>
      <c r="AO2261" s="512">
        <f ca="1">ROUND(AM2261+AN2261,2)*A2261</f>
        <v>3056.64</v>
      </c>
    </row>
    <row r="2262" spans="1:41" s="501" customFormat="1" ht="39.9" customHeight="1">
      <c r="A2262" s="745"/>
      <c r="B2262" s="746"/>
      <c r="C2262" s="505"/>
      <c r="D2262" s="1183" t="s">
        <v>521</v>
      </c>
      <c r="E2262" s="1184"/>
      <c r="F2262" s="1184"/>
      <c r="G2262" s="1184"/>
      <c r="H2262" s="1184"/>
      <c r="I2262" s="1184"/>
      <c r="J2262" s="1184"/>
      <c r="K2262" s="1184"/>
      <c r="L2262" s="1184"/>
      <c r="M2262" s="1184"/>
      <c r="N2262" s="1184"/>
      <c r="O2262" s="1184"/>
      <c r="P2262" s="1184"/>
      <c r="Q2262" s="1184"/>
      <c r="R2262" s="1184"/>
      <c r="S2262" s="1184"/>
      <c r="T2262" s="1184"/>
    </row>
    <row r="2263" spans="1:41" s="501" customFormat="1" ht="12">
      <c r="A2263" s="748"/>
      <c r="B2263" s="749"/>
      <c r="C2263" s="497"/>
      <c r="D2263" s="750"/>
      <c r="E2263" s="751">
        <f ca="1">F2261/$C$12-SUMIF($L2260:$L2286,"SUBI",$E2260:$E2286)</f>
        <v>0</v>
      </c>
      <c r="F2263" s="752" t="s">
        <v>572</v>
      </c>
      <c r="G2263" s="753"/>
      <c r="H2263" s="753"/>
      <c r="I2263" s="754"/>
      <c r="J2263" s="753"/>
      <c r="K2263" s="753"/>
      <c r="L2263" s="755"/>
      <c r="M2263" s="756"/>
      <c r="N2263" s="756"/>
      <c r="O2263" s="756"/>
      <c r="P2263" s="756"/>
      <c r="Q2263" s="757"/>
      <c r="R2263" s="758"/>
      <c r="S2263" s="757"/>
      <c r="T2263" s="759"/>
    </row>
    <row r="2264" spans="1:41" s="501" customFormat="1" ht="12" customHeight="1">
      <c r="A2264" s="760"/>
      <c r="B2264" s="761"/>
      <c r="C2264" s="762"/>
      <c r="D2264" s="762" t="str">
        <f>$F$2</f>
        <v>Electrical</v>
      </c>
      <c r="E2264" s="762">
        <f ca="1">ROUND(($R2276*$S$2 + ($T2276*$T$2)), 2)</f>
        <v>1669.73</v>
      </c>
      <c r="F2264" s="763">
        <f ca="1">$E2264*$C$12</f>
        <v>1669.73</v>
      </c>
      <c r="G2264" s="567"/>
      <c r="H2264" s="764"/>
      <c r="I2264" s="567"/>
      <c r="J2264" s="45"/>
      <c r="K2264" s="765" t="s">
        <v>3</v>
      </c>
      <c r="L2264" s="766" t="s">
        <v>573</v>
      </c>
      <c r="M2264" s="567"/>
      <c r="N2264" s="567"/>
      <c r="O2264" s="45"/>
      <c r="P2264" s="567"/>
      <c r="Q2264" s="567"/>
      <c r="R2264"/>
      <c r="S2264"/>
      <c r="T2264"/>
    </row>
    <row r="2265" spans="1:41" s="935" customFormat="1" ht="13.2">
      <c r="A2265"/>
      <c r="B2265" s="927"/>
      <c r="C2265" s="927" t="s">
        <v>735</v>
      </c>
      <c r="D2265" s="927" t="str">
        <f ca="1">CELL("Address",Elec_Rates!D$143)</f>
        <v>[E25_0465_IH_Retro_Elec4Mech_Est_Rev_A.xlsx]Elec_Rates!$D$143</v>
      </c>
      <c r="E2265" s="928"/>
      <c r="F2265" s="928"/>
      <c r="G2265" s="929" t="s">
        <v>736</v>
      </c>
      <c r="H2265" s="929"/>
      <c r="I2265" s="929"/>
      <c r="J2265" s="929"/>
      <c r="K2265" s="930"/>
      <c r="L2265" s="928"/>
      <c r="M2265" s="928"/>
      <c r="N2265" s="928"/>
      <c r="O2265" s="931"/>
      <c r="P2265" s="928"/>
      <c r="Q2265" s="932"/>
      <c r="R2265" s="933"/>
      <c r="S2265" s="932"/>
      <c r="T2265" s="560"/>
      <c r="U2265" s="934"/>
    </row>
    <row r="2266" spans="1:41" s="935" customFormat="1" ht="11.4">
      <c r="A2266" s="936">
        <v>1</v>
      </c>
      <c r="B2266" s="937">
        <v>1</v>
      </c>
      <c r="C2266" s="937">
        <f>$A2266*$B2266</f>
        <v>1</v>
      </c>
      <c r="D2266" s="938" t="str">
        <f>Elec_Rates!$D$143</f>
        <v>011# Power supply to control panel (4core x 4.0sqmm) and VDS by pass in MCC</v>
      </c>
      <c r="E2266" s="938"/>
      <c r="F2266" s="938" t="s">
        <v>737</v>
      </c>
      <c r="G2266" s="939" t="s">
        <v>738</v>
      </c>
      <c r="H2266" s="939"/>
      <c r="I2266" s="939"/>
      <c r="J2266" s="939"/>
      <c r="K2266" s="940"/>
      <c r="L2266" s="934"/>
      <c r="M2266" s="934"/>
      <c r="N2266" s="934"/>
      <c r="O2266" s="941"/>
      <c r="P2266" s="938"/>
      <c r="Q2266" s="942">
        <f ca="1">$B2266*Elec_Rates!$R$143</f>
        <v>74.239999999999995</v>
      </c>
      <c r="R2266" s="933">
        <f ca="1">$A2266*Q2266</f>
        <v>74.239999999999995</v>
      </c>
      <c r="S2266" s="942">
        <f ca="1">$B2266*Elec_Rates!$T$143</f>
        <v>3.17</v>
      </c>
      <c r="T2266" s="560">
        <f ca="1">$A2266*S2266</f>
        <v>3.17</v>
      </c>
      <c r="U2266" s="484"/>
    </row>
    <row r="2267" spans="1:41" s="935" customFormat="1" ht="13.2">
      <c r="A2267"/>
      <c r="B2267" s="927"/>
      <c r="C2267" s="927" t="s">
        <v>735</v>
      </c>
      <c r="D2267" s="927" t="str">
        <f ca="1">CELL("Address",Elec_Rates!D$196)</f>
        <v>[E25_0465_IH_Retro_Elec4Mech_Est_Rev_A.xlsx]Elec_Rates!$D$196</v>
      </c>
      <c r="E2267" s="928"/>
      <c r="F2267" s="928"/>
      <c r="G2267" s="929" t="s">
        <v>736</v>
      </c>
      <c r="H2267" s="929"/>
      <c r="I2267" s="929"/>
      <c r="J2267" s="929"/>
      <c r="K2267" s="930"/>
      <c r="L2267" s="928"/>
      <c r="M2267" s="928"/>
      <c r="N2267" s="928"/>
      <c r="O2267" s="931"/>
      <c r="P2267" s="928"/>
      <c r="Q2267" s="932"/>
      <c r="R2267" s="933"/>
      <c r="S2267" s="932"/>
      <c r="T2267" s="560"/>
      <c r="U2267" s="934"/>
    </row>
    <row r="2268" spans="1:41" s="935" customFormat="1" ht="13.2" customHeight="1">
      <c r="A2268" s="936">
        <v>1</v>
      </c>
      <c r="B2268" s="937">
        <v>1</v>
      </c>
      <c r="C2268" s="937">
        <f>$A2268*$B2268</f>
        <v>1</v>
      </c>
      <c r="D2268" s="938" t="str">
        <f>Elec_Rates!$D$196</f>
        <v>013# Installation of Rosenger control panel</v>
      </c>
      <c r="E2268" s="938"/>
      <c r="F2268" s="938" t="s">
        <v>737</v>
      </c>
      <c r="G2268" s="939" t="s">
        <v>739</v>
      </c>
      <c r="H2268" s="939"/>
      <c r="I2268" s="939"/>
      <c r="J2268" s="939"/>
      <c r="K2268" s="940"/>
      <c r="L2268" s="934"/>
      <c r="M2268" s="934"/>
      <c r="N2268" s="934"/>
      <c r="O2268" s="941"/>
      <c r="P2268" s="938"/>
      <c r="Q2268" s="942">
        <f ca="1">$B2268*Elec_Rates!$R$196</f>
        <v>20</v>
      </c>
      <c r="R2268" s="933">
        <f ca="1">$A2268*Q2268</f>
        <v>20</v>
      </c>
      <c r="S2268" s="942">
        <f ca="1">$B2268*Elec_Rates!$T$196</f>
        <v>2</v>
      </c>
      <c r="T2268" s="560">
        <f ca="1">$A2268*S2268</f>
        <v>2</v>
      </c>
      <c r="U2268" s="484"/>
    </row>
    <row r="2269" spans="1:41" s="935" customFormat="1" ht="13.2">
      <c r="A2269"/>
      <c r="B2269" s="927"/>
      <c r="C2269" s="927" t="s">
        <v>735</v>
      </c>
      <c r="D2269" s="927" t="str">
        <f ca="1">CELL("Address",Elec_Rates!D$203)</f>
        <v>[E25_0465_IH_Retro_Elec4Mech_Est_Rev_A.xlsx]Elec_Rates!$D$203</v>
      </c>
      <c r="E2269" s="928"/>
      <c r="F2269" s="928"/>
      <c r="G2269" s="929" t="s">
        <v>736</v>
      </c>
      <c r="H2269" s="929"/>
      <c r="I2269" s="929"/>
      <c r="J2269" s="929"/>
      <c r="K2269" s="930"/>
      <c r="L2269" s="928"/>
      <c r="M2269" s="928"/>
      <c r="N2269" s="928"/>
      <c r="O2269" s="931"/>
      <c r="P2269" s="928"/>
      <c r="Q2269" s="932"/>
      <c r="R2269" s="933"/>
      <c r="S2269" s="932"/>
      <c r="T2269" s="560"/>
      <c r="U2269" s="934"/>
    </row>
    <row r="2270" spans="1:41" s="935" customFormat="1" ht="11.4">
      <c r="A2270" s="936">
        <v>2</v>
      </c>
      <c r="B2270" s="937">
        <v>1</v>
      </c>
      <c r="C2270" s="937">
        <f>$A2270*$B2270</f>
        <v>2</v>
      </c>
      <c r="D2270" s="938" t="str">
        <f>Elec_Rates!$D$203</f>
        <v>014# Installation of cable harness to fans</v>
      </c>
      <c r="E2270" s="938"/>
      <c r="F2270" s="938" t="s">
        <v>737</v>
      </c>
      <c r="G2270" s="939" t="s">
        <v>738</v>
      </c>
      <c r="H2270" s="939"/>
      <c r="I2270" s="939"/>
      <c r="J2270" s="939"/>
      <c r="K2270" s="940"/>
      <c r="L2270" s="934"/>
      <c r="M2270" s="934"/>
      <c r="N2270" s="934"/>
      <c r="O2270" s="941"/>
      <c r="P2270" s="938"/>
      <c r="Q2270" s="942">
        <f ca="1">$B2270*Elec_Rates!$R$203</f>
        <v>20</v>
      </c>
      <c r="R2270" s="933">
        <f ca="1">$A2270*Q2270</f>
        <v>40</v>
      </c>
      <c r="S2270" s="942">
        <f ca="1">$B2270*Elec_Rates!$T$203</f>
        <v>1</v>
      </c>
      <c r="T2270" s="560">
        <f ca="1">$A2270*S2270</f>
        <v>2</v>
      </c>
      <c r="U2270" s="484"/>
    </row>
    <row r="2271" spans="1:41" s="935" customFormat="1" ht="13.2">
      <c r="A2271"/>
      <c r="B2271" s="927"/>
      <c r="C2271" s="927" t="s">
        <v>735</v>
      </c>
      <c r="D2271" s="927" t="str">
        <f ca="1">CELL("Address",Elec_Rates!D$210)</f>
        <v>[E25_0465_IH_Retro_Elec4Mech_Est_Rev_A.xlsx]Elec_Rates!$D$210</v>
      </c>
      <c r="E2271" s="928"/>
      <c r="F2271" s="928"/>
      <c r="G2271" s="929" t="s">
        <v>736</v>
      </c>
      <c r="H2271" s="929"/>
      <c r="I2271" s="929"/>
      <c r="J2271" s="929"/>
      <c r="K2271" s="930"/>
      <c r="L2271" s="928"/>
      <c r="M2271" s="928"/>
      <c r="N2271" s="928"/>
      <c r="O2271" s="931"/>
      <c r="P2271" s="928"/>
      <c r="Q2271" s="932"/>
      <c r="R2271" s="933"/>
      <c r="S2271" s="932"/>
      <c r="T2271" s="560"/>
      <c r="U2271" s="934"/>
    </row>
    <row r="2272" spans="1:41" s="935" customFormat="1" ht="11.4">
      <c r="A2272" s="936">
        <v>1</v>
      </c>
      <c r="B2272" s="937">
        <v>1</v>
      </c>
      <c r="C2272" s="937">
        <f>$A2272*$B2272</f>
        <v>1</v>
      </c>
      <c r="D2272" s="938" t="str">
        <f>Elec_Rates!$D$210</f>
        <v>015# Installation of control panels by ECA</v>
      </c>
      <c r="E2272" s="938"/>
      <c r="F2272" s="938" t="s">
        <v>737</v>
      </c>
      <c r="G2272" s="939" t="s">
        <v>739</v>
      </c>
      <c r="H2272" s="939"/>
      <c r="I2272" s="939"/>
      <c r="J2272" s="939"/>
      <c r="K2272" s="940"/>
      <c r="L2272" s="934"/>
      <c r="M2272" s="934"/>
      <c r="N2272" s="934"/>
      <c r="O2272" s="941"/>
      <c r="P2272" s="938"/>
      <c r="Q2272" s="942">
        <f ca="1">$B2272*Elec_Rates!$R$210</f>
        <v>30</v>
      </c>
      <c r="R2272" s="933">
        <f ca="1">$A2272*Q2272</f>
        <v>30</v>
      </c>
      <c r="S2272" s="942">
        <f ca="1">$B2272*Elec_Rates!$T$210</f>
        <v>1</v>
      </c>
      <c r="T2272" s="560">
        <f ca="1">$A2272*S2272</f>
        <v>1</v>
      </c>
      <c r="U2272" s="484"/>
    </row>
    <row r="2273" spans="1:41" s="935" customFormat="1" ht="13.2">
      <c r="A2273"/>
      <c r="B2273" s="927"/>
      <c r="C2273" s="927" t="s">
        <v>735</v>
      </c>
      <c r="D2273" s="927" t="str">
        <f ca="1">CELL("Address",Elec_Rates!D$217)</f>
        <v>[E25_0465_IH_Retro_Elec4Mech_Est_Rev_A.xlsx]Elec_Rates!$D$217</v>
      </c>
      <c r="E2273" s="928"/>
      <c r="F2273" s="928"/>
      <c r="G2273" s="929" t="s">
        <v>736</v>
      </c>
      <c r="H2273" s="929"/>
      <c r="I2273" s="929"/>
      <c r="J2273" s="929"/>
      <c r="K2273" s="930"/>
      <c r="L2273" s="928"/>
      <c r="M2273" s="928"/>
      <c r="N2273" s="928"/>
      <c r="O2273" s="931"/>
      <c r="P2273" s="928"/>
      <c r="Q2273" s="932"/>
      <c r="R2273" s="933"/>
      <c r="S2273" s="932"/>
      <c r="T2273" s="560"/>
      <c r="U2273" s="934"/>
    </row>
    <row r="2274" spans="1:41" s="935" customFormat="1" ht="11.4">
      <c r="A2274" s="936">
        <v>1</v>
      </c>
      <c r="B2274" s="937">
        <v>1</v>
      </c>
      <c r="C2274" s="937">
        <f>$A2274*$B2274</f>
        <v>1</v>
      </c>
      <c r="D2274" s="938" t="str">
        <f>Elec_Rates!$D$217</f>
        <v>016# Installation of sensors on AHUs</v>
      </c>
      <c r="E2274" s="938"/>
      <c r="F2274" s="938" t="s">
        <v>737</v>
      </c>
      <c r="G2274" s="939" t="s">
        <v>738</v>
      </c>
      <c r="H2274" s="939"/>
      <c r="I2274" s="939"/>
      <c r="J2274" s="939"/>
      <c r="K2274" s="940"/>
      <c r="L2274" s="934"/>
      <c r="M2274" s="934"/>
      <c r="N2274" s="934"/>
      <c r="O2274" s="941"/>
      <c r="P2274" s="938"/>
      <c r="Q2274" s="942">
        <f ca="1">$B2274*Elec_Rates!$R$217</f>
        <v>354.24</v>
      </c>
      <c r="R2274" s="933">
        <f ca="1">$A2274*Q2274</f>
        <v>354.24</v>
      </c>
      <c r="S2274" s="942">
        <f ca="1">$B2274*Elec_Rates!$T$217</f>
        <v>17.989999999999998</v>
      </c>
      <c r="T2274" s="560">
        <f ca="1">$A2274*S2274</f>
        <v>17.989999999999998</v>
      </c>
      <c r="U2274" s="484"/>
    </row>
    <row r="2275" spans="1:41" s="501" customFormat="1" ht="14.4" customHeight="1">
      <c r="A2275" s="767"/>
      <c r="B2275" s="567"/>
      <c r="C2275" s="567"/>
      <c r="D2275" s="567"/>
      <c r="E2275" s="567"/>
      <c r="F2275" s="567"/>
      <c r="G2275" s="567"/>
      <c r="H2275" s="764"/>
      <c r="I2275" s="567"/>
      <c r="J2275" s="45"/>
      <c r="K2275" s="769"/>
      <c r="L2275" s="770"/>
      <c r="M2275" s="567"/>
      <c r="N2275" s="567"/>
      <c r="O2275" s="45"/>
      <c r="P2275" s="567"/>
      <c r="Q2275" s="567"/>
      <c r="R2275" s="771">
        <f>$A2275*Q2275</f>
        <v>0</v>
      </c>
      <c r="S2275" s="567"/>
      <c r="T2275" s="500">
        <f>$A2275*S2275*$T$1</f>
        <v>0</v>
      </c>
    </row>
    <row r="2276" spans="1:41" s="501" customFormat="1" ht="12">
      <c r="A2276" s="772" t="s">
        <v>145</v>
      </c>
      <c r="B2276" s="773">
        <f>(R2275+T2275)</f>
        <v>0</v>
      </c>
      <c r="C2276" s="753"/>
      <c r="G2276" s="774"/>
      <c r="H2276" s="774"/>
      <c r="I2276" s="774"/>
      <c r="J2276" s="774"/>
      <c r="K2276" s="750" t="s">
        <v>3</v>
      </c>
      <c r="L2276" s="775" t="s">
        <v>573</v>
      </c>
      <c r="M2276" s="774"/>
      <c r="N2276" s="774"/>
      <c r="O2276" s="774"/>
      <c r="P2276" s="774"/>
      <c r="Q2276" s="776"/>
      <c r="R2276" s="777">
        <f ca="1">SUM(R2264:R2275)</f>
        <v>518.48</v>
      </c>
      <c r="S2276" s="778"/>
      <c r="T2276" s="777">
        <f ca="1">SUM(T2264:T2275)</f>
        <v>26.159999999999997</v>
      </c>
      <c r="AG2276" s="779">
        <f ca="1">ROUND($R2276*$S$2,2)</f>
        <v>699.95</v>
      </c>
    </row>
    <row r="2277" spans="1:41" s="501" customFormat="1" ht="12" customHeight="1">
      <c r="A2277" s="760"/>
      <c r="B2277" s="780"/>
      <c r="C2277" s="781"/>
      <c r="D2277" s="782" t="str">
        <f>$F$3</f>
        <v>Technician</v>
      </c>
      <c r="E2277" s="782">
        <f>ROUND(($R2280*$S$3 + ($T2280*$T$3)), 2)</f>
        <v>3739.18</v>
      </c>
      <c r="F2277" s="783">
        <f>$E2277*$C$12</f>
        <v>3739.18</v>
      </c>
      <c r="G2277" s="499"/>
      <c r="H2277" s="499"/>
      <c r="I2277" s="499"/>
      <c r="J2277" s="499"/>
      <c r="K2277" s="765" t="s">
        <v>5</v>
      </c>
      <c r="L2277" s="766" t="s">
        <v>573</v>
      </c>
      <c r="M2277" s="499"/>
      <c r="N2277" s="499"/>
      <c r="O2277" s="499"/>
      <c r="P2277" s="499"/>
      <c r="Q2277" s="499"/>
      <c r="R2277" s="784"/>
      <c r="S2277" s="499"/>
      <c r="T2277" s="784"/>
    </row>
    <row r="2278" spans="1:41" s="893" customFormat="1" ht="13.2">
      <c r="A2278">
        <v>1</v>
      </c>
      <c r="B2278" s="893" t="s">
        <v>141</v>
      </c>
      <c r="D2278" s="893" t="s">
        <v>767</v>
      </c>
      <c r="E2278" s="893" t="s">
        <v>770</v>
      </c>
      <c r="F2278" s="893" t="s">
        <v>769</v>
      </c>
      <c r="G2278" s="894" t="s">
        <v>768</v>
      </c>
      <c r="H2278" s="895">
        <v>570</v>
      </c>
      <c r="I2278" s="893" t="s">
        <v>643</v>
      </c>
      <c r="O2278" s="896">
        <v>2</v>
      </c>
      <c r="P2278" s="897">
        <v>38443</v>
      </c>
      <c r="Q2278" s="898">
        <v>2500</v>
      </c>
      <c r="R2278" s="899">
        <f>$A2278*Q2278</f>
        <v>2500</v>
      </c>
      <c r="S2278" s="898">
        <f>200/25</f>
        <v>8</v>
      </c>
      <c r="T2278" s="900">
        <f>$A2278*S2278*$T$1</f>
        <v>8</v>
      </c>
    </row>
    <row r="2279" spans="1:41" s="501" customFormat="1" ht="15.6" customHeight="1">
      <c r="A2279" s="767"/>
      <c r="B2279" s="567"/>
      <c r="C2279" s="567"/>
      <c r="D2279" s="3"/>
      <c r="E2279" s="567"/>
      <c r="F2279" s="567"/>
      <c r="G2279" s="567"/>
      <c r="H2279" s="567"/>
      <c r="I2279" s="567"/>
      <c r="J2279" s="567"/>
      <c r="K2279" s="567"/>
      <c r="L2279" s="770"/>
      <c r="M2279" s="567"/>
      <c r="N2279" s="567"/>
      <c r="O2279" s="567"/>
      <c r="P2279" s="567"/>
      <c r="Q2279" s="567"/>
      <c r="R2279" s="771">
        <f>$A2279*Q2279</f>
        <v>0</v>
      </c>
      <c r="S2279" s="567"/>
      <c r="T2279" s="500">
        <f>$A2279*S2279*$T$1</f>
        <v>0</v>
      </c>
    </row>
    <row r="2280" spans="1:41" s="501" customFormat="1" ht="12">
      <c r="A2280" s="772" t="s">
        <v>145</v>
      </c>
      <c r="B2280" s="773">
        <f>(R2279+T2279)</f>
        <v>0</v>
      </c>
      <c r="C2280" s="753"/>
      <c r="G2280" s="774"/>
      <c r="H2280" s="774"/>
      <c r="I2280" s="774"/>
      <c r="J2280" s="774"/>
      <c r="K2280" s="798" t="s">
        <v>5</v>
      </c>
      <c r="L2280" s="775" t="s">
        <v>573</v>
      </c>
      <c r="M2280" s="774"/>
      <c r="N2280" s="774"/>
      <c r="O2280" s="774"/>
      <c r="P2280" s="774"/>
      <c r="Q2280" s="776"/>
      <c r="R2280" s="777">
        <f>SUM(R2277:R2279)</f>
        <v>2500</v>
      </c>
      <c r="S2280" s="778"/>
      <c r="T2280" s="777">
        <f>SUM(T2277:T2279)</f>
        <v>8</v>
      </c>
      <c r="AG2280" s="799">
        <f>ROUND($R2280*$S$3,2)</f>
        <v>3375</v>
      </c>
    </row>
    <row r="2281" spans="1:41" s="501" customFormat="1" ht="12" customHeight="1">
      <c r="A2281" s="800"/>
      <c r="B2281" s="801"/>
      <c r="C2281" s="802"/>
      <c r="D2281" s="803" t="str">
        <f>$F$4</f>
        <v>Engineer (Man Hours)</v>
      </c>
      <c r="E2281" s="803">
        <f>ROUND(($R2284*$S$4 + ($T2284*$T$4)), 2)</f>
        <v>162</v>
      </c>
      <c r="F2281" s="804">
        <f ca="1">$F2261-SUMIF($L2263:$P2278,"SUBI",$F2263:$F2278)</f>
        <v>162</v>
      </c>
      <c r="G2281" s="499"/>
      <c r="H2281" s="499"/>
      <c r="I2281" s="499"/>
      <c r="J2281" s="499"/>
      <c r="K2281" s="805" t="s">
        <v>8</v>
      </c>
      <c r="L2281" s="766" t="s">
        <v>573</v>
      </c>
      <c r="M2281" s="499"/>
      <c r="N2281" s="499"/>
      <c r="O2281" s="499"/>
      <c r="P2281" s="499"/>
      <c r="Q2281" s="499"/>
      <c r="R2281" s="784"/>
      <c r="S2281" s="499"/>
      <c r="T2281" s="784"/>
    </row>
    <row r="2282" spans="1:41" s="893" customFormat="1" ht="13.2">
      <c r="A2282">
        <v>1</v>
      </c>
      <c r="B2282" s="893" t="s">
        <v>141</v>
      </c>
      <c r="D2282" s="893" t="s">
        <v>767</v>
      </c>
      <c r="E2282" s="893" t="s">
        <v>771</v>
      </c>
      <c r="F2282" s="893" t="s">
        <v>769</v>
      </c>
      <c r="G2282" s="894" t="s">
        <v>768</v>
      </c>
      <c r="H2282" s="895">
        <v>570</v>
      </c>
      <c r="I2282" s="893" t="s">
        <v>643</v>
      </c>
      <c r="O2282" s="896">
        <v>2</v>
      </c>
      <c r="P2282" s="897">
        <v>38443</v>
      </c>
      <c r="Q2282" s="898"/>
      <c r="R2282" s="899">
        <f>$A2282*Q2282</f>
        <v>0</v>
      </c>
      <c r="S2282" s="898">
        <f>100/25</f>
        <v>4</v>
      </c>
      <c r="T2282" s="900">
        <f>$A2282*S2282*$T$1</f>
        <v>4</v>
      </c>
    </row>
    <row r="2283" spans="1:41" s="501" customFormat="1" ht="12">
      <c r="A2283" s="44"/>
      <c r="B2283" s="497"/>
      <c r="C2283" s="497"/>
      <c r="D2283" s="807"/>
      <c r="E2283" s="808"/>
      <c r="F2283" s="499"/>
      <c r="G2283" s="499"/>
      <c r="H2283" s="499"/>
      <c r="I2283" s="499"/>
      <c r="J2283" s="499"/>
      <c r="K2283" s="499"/>
      <c r="L2283" s="809"/>
      <c r="M2283" s="499"/>
      <c r="N2283" s="499"/>
      <c r="O2283" s="499"/>
      <c r="P2283" s="499"/>
      <c r="Q2283" s="499"/>
      <c r="R2283" s="720">
        <f>$A2283*Q2283</f>
        <v>0</v>
      </c>
      <c r="S2283" s="499"/>
      <c r="T2283" s="500">
        <f>$A2283*S2283*$T$1</f>
        <v>0</v>
      </c>
    </row>
    <row r="2284" spans="1:41" s="501" customFormat="1" ht="12.75" customHeight="1">
      <c r="A2284" s="772" t="s">
        <v>145</v>
      </c>
      <c r="B2284" s="773">
        <f>(R2283+T2283)</f>
        <v>0</v>
      </c>
      <c r="C2284" s="810"/>
      <c r="D2284" s="810"/>
      <c r="E2284" s="810"/>
      <c r="F2284" s="810"/>
      <c r="G2284" s="776"/>
      <c r="H2284" s="776"/>
      <c r="I2284" s="776"/>
      <c r="J2284" s="776"/>
      <c r="K2284" s="798" t="s">
        <v>8</v>
      </c>
      <c r="L2284" s="811" t="s">
        <v>573</v>
      </c>
      <c r="M2284" s="776"/>
      <c r="N2284" s="776"/>
      <c r="O2284" s="776"/>
      <c r="P2284" s="776"/>
      <c r="Q2284" s="776"/>
      <c r="R2284" s="777">
        <f>SUM(R2281:R2283)</f>
        <v>0</v>
      </c>
      <c r="S2284" s="778"/>
      <c r="T2284" s="777">
        <f>SUM(T2281:T2283)</f>
        <v>4</v>
      </c>
      <c r="AG2284" s="812">
        <f>ROUND($R2284*$S$4,2)</f>
        <v>0</v>
      </c>
    </row>
    <row r="2285" spans="1:41" s="501" customFormat="1" ht="12.75" customHeight="1">
      <c r="A2285" s="813"/>
      <c r="B2285" s="814"/>
      <c r="E2285" s="497"/>
      <c r="F2285" s="808"/>
      <c r="G2285" s="497"/>
      <c r="H2285" s="497"/>
      <c r="I2285" s="499"/>
      <c r="J2285" s="497"/>
      <c r="K2285" s="497"/>
      <c r="L2285" s="815"/>
      <c r="M2285" s="725"/>
      <c r="N2285" s="725"/>
      <c r="O2285" s="725"/>
      <c r="P2285" s="725"/>
      <c r="Q2285" s="726"/>
      <c r="R2285" s="784"/>
      <c r="S2285" s="497"/>
      <c r="T2285" s="784"/>
    </row>
    <row r="2286" spans="1:41" s="501" customFormat="1" ht="13.5" customHeight="1" thickBot="1">
      <c r="A2286" s="816"/>
      <c r="B2286" s="817"/>
      <c r="C2286" s="518"/>
      <c r="D2286" s="518"/>
      <c r="E2286" s="515"/>
      <c r="F2286" s="721"/>
      <c r="G2286" s="515" t="s">
        <v>146</v>
      </c>
      <c r="H2286" s="515"/>
      <c r="I2286" s="516"/>
      <c r="J2286" s="515"/>
      <c r="K2286" s="515"/>
      <c r="L2286" s="818" t="s">
        <v>143</v>
      </c>
      <c r="M2286" s="517"/>
      <c r="N2286" s="517"/>
      <c r="O2286" s="517"/>
      <c r="P2286" s="517"/>
      <c r="Q2286" s="722"/>
      <c r="R2286" s="819">
        <f ca="1">SUMIF($L2262:$L2285,"SUBI",R2262:R2285)</f>
        <v>3018.48</v>
      </c>
      <c r="S2286" s="820"/>
      <c r="T2286" s="819">
        <f ca="1">SUMIF($L2262:$L2285,"SUBI",T2262:T2285)</f>
        <v>38.159999999999997</v>
      </c>
      <c r="U2286" s="518"/>
      <c r="V2286" s="518"/>
      <c r="W2286" s="518"/>
      <c r="X2286" s="518"/>
      <c r="Y2286" s="518"/>
      <c r="Z2286" s="518"/>
      <c r="AA2286" s="518"/>
      <c r="AB2286" s="518"/>
      <c r="AC2286" s="518"/>
      <c r="AD2286" s="518"/>
      <c r="AE2286" s="518"/>
      <c r="AF2286" s="518"/>
      <c r="AG2286" s="518"/>
      <c r="AH2286" s="518"/>
      <c r="AI2286" s="518"/>
      <c r="AJ2286" s="518"/>
      <c r="AK2286" s="518"/>
      <c r="AL2286" s="518"/>
      <c r="AM2286" s="518"/>
      <c r="AN2286" s="518"/>
      <c r="AO2286" s="518"/>
    </row>
    <row r="2287" spans="1:41" s="501" customFormat="1" thickTop="1">
      <c r="A2287" s="44"/>
      <c r="B2287" s="44"/>
      <c r="C2287" s="3"/>
      <c r="D2287" s="3"/>
      <c r="E2287" s="44"/>
      <c r="F2287" s="44"/>
      <c r="G2287" s="44"/>
      <c r="H2287" s="44"/>
      <c r="I2287" s="44"/>
      <c r="J2287" s="44"/>
      <c r="K2287" s="44" t="s">
        <v>134</v>
      </c>
      <c r="L2287" s="44"/>
      <c r="M2287" s="44"/>
      <c r="N2287" s="44"/>
      <c r="O2287" s="45"/>
      <c r="P2287" s="44"/>
      <c r="Q2287" s="44"/>
      <c r="R2287" s="44"/>
      <c r="S2287" s="44"/>
      <c r="T2287" s="44"/>
    </row>
    <row r="2288" spans="1:41" s="501" customFormat="1" ht="12">
      <c r="A2288" s="44"/>
      <c r="B2288" s="44"/>
      <c r="C2288" s="44" t="s">
        <v>135</v>
      </c>
      <c r="D2288" s="35"/>
      <c r="E2288" s="44"/>
      <c r="F2288" s="44"/>
      <c r="G2288" s="44"/>
      <c r="H2288" s="44"/>
      <c r="I2288" s="44"/>
      <c r="J2288" s="44"/>
      <c r="K2288" s="44"/>
      <c r="L2288" s="44"/>
      <c r="M2288" s="44"/>
      <c r="N2288" s="44"/>
      <c r="O2288" s="45"/>
      <c r="P2288" s="44"/>
      <c r="Q2288" s="44"/>
      <c r="R2288" s="44"/>
      <c r="S2288" s="44"/>
      <c r="T2288" s="44"/>
    </row>
    <row r="2289" spans="1:41" s="501" customFormat="1" ht="12">
      <c r="A2289" s="44"/>
      <c r="B2289" s="44"/>
      <c r="C2289" s="44"/>
      <c r="D2289" s="35" t="s">
        <v>525</v>
      </c>
      <c r="E2289" s="44"/>
      <c r="F2289" s="44"/>
      <c r="G2289" s="44"/>
      <c r="H2289" s="44"/>
      <c r="I2289" s="44"/>
      <c r="J2289" s="44"/>
      <c r="K2289" s="44"/>
      <c r="L2289" s="44"/>
      <c r="M2289" s="44"/>
      <c r="N2289" s="44"/>
      <c r="O2289" s="45"/>
      <c r="P2289" s="44"/>
      <c r="Q2289" s="44"/>
      <c r="R2289" s="44"/>
      <c r="S2289" s="36"/>
      <c r="T2289" s="36"/>
    </row>
    <row r="2290" spans="1:41" s="3" customFormat="1" thickBot="1">
      <c r="A2290" s="518"/>
      <c r="O2290" s="86"/>
    </row>
    <row r="2291" spans="1:41" s="501" customFormat="1" thickTop="1">
      <c r="A2291" s="44"/>
      <c r="B2291" s="39"/>
      <c r="C2291" s="44"/>
      <c r="E2291" s="40" t="s">
        <v>138</v>
      </c>
      <c r="F2291" s="40" t="s">
        <v>139</v>
      </c>
      <c r="G2291" s="44"/>
      <c r="H2291" s="44"/>
      <c r="I2291" s="44"/>
      <c r="J2291" s="44"/>
      <c r="K2291" s="44" t="s">
        <v>140</v>
      </c>
      <c r="L2291" s="737"/>
      <c r="M2291" s="44"/>
      <c r="N2291" s="44"/>
      <c r="O2291" s="45"/>
      <c r="P2291" s="44"/>
      <c r="Q2291"/>
      <c r="R2291"/>
      <c r="S2291"/>
      <c r="T2291" s="39"/>
      <c r="AG2291" s="502" t="s">
        <v>247</v>
      </c>
      <c r="AH2291" s="502" t="s">
        <v>248</v>
      </c>
      <c r="AI2291" s="502" t="s">
        <v>249</v>
      </c>
      <c r="AJ2291" s="502" t="s">
        <v>250</v>
      </c>
      <c r="AK2291" s="502" t="s">
        <v>251</v>
      </c>
      <c r="AM2291" s="710" t="s">
        <v>260</v>
      </c>
      <c r="AN2291" s="711" t="s">
        <v>261</v>
      </c>
      <c r="AO2291" s="503" t="s">
        <v>257</v>
      </c>
    </row>
    <row r="2292" spans="1:41" s="501" customFormat="1" ht="13.2">
      <c r="A2292" s="712">
        <v>1</v>
      </c>
      <c r="B2292" s="504" t="s">
        <v>283</v>
      </c>
      <c r="C2292" s="505"/>
      <c r="D2292" s="713" t="s">
        <v>617</v>
      </c>
      <c r="E2292" s="738">
        <f ca="1">IF(AND($A2292=0,$A$1="DIF"),0,ROUND(ROUND(SUMIF($L2294:$L2312,"SUBI",$E2294:$E2312)/$A2292,2)*$C$12,2))</f>
        <v>0</v>
      </c>
      <c r="F2292" s="739">
        <f ca="1">ROUND($A2292*$E2292,2)</f>
        <v>0</v>
      </c>
      <c r="G2292" s="506" t="s">
        <v>142</v>
      </c>
      <c r="H2292" s="498"/>
      <c r="I2292" s="716"/>
      <c r="J2292" s="498"/>
      <c r="K2292" s="740"/>
      <c r="L2292" s="741" t="s">
        <v>143</v>
      </c>
      <c r="M2292" s="717"/>
      <c r="N2292" s="717"/>
      <c r="O2292" s="717"/>
      <c r="P2292" s="717"/>
      <c r="Q2292" s="943" t="s">
        <v>855</v>
      </c>
      <c r="R2292" s="943" t="s">
        <v>1105</v>
      </c>
      <c r="S2292"/>
      <c r="T2292" s="742" t="str">
        <f ca="1">IF(AND($R2317=0,$T2317=0),"0.00","mu :" &amp; ROUND($F2292/$C$12/($R2317+$T2317*$D$9),2))</f>
        <v>0.00</v>
      </c>
      <c r="W2292" s="507"/>
      <c r="AG2292" s="743">
        <f ca="1">IF(A2292=0,0,ROUND(SUM(AG2294:AG2317)/A2292,2))</f>
        <v>0</v>
      </c>
      <c r="AH2292" s="743">
        <f ca="1">$AG2292*$A2292</f>
        <v>0</v>
      </c>
      <c r="AI2292" s="743">
        <f ca="1">$E2292-$AG2292</f>
        <v>0</v>
      </c>
      <c r="AJ2292" s="743">
        <f ca="1">$A2292*$AI2292</f>
        <v>0</v>
      </c>
      <c r="AK2292" s="744">
        <f ca="1">ROUND(($AG2292+$AI2292)*$A2292,2)</f>
        <v>0</v>
      </c>
      <c r="AM2292" s="510">
        <f ca="1">ROUND(R2317,2)</f>
        <v>0</v>
      </c>
      <c r="AN2292" s="511">
        <f ca="1">ROUND(T2317,2)</f>
        <v>0</v>
      </c>
      <c r="AO2292" s="512">
        <f ca="1">ROUND(AM2292+AN2292,2)*A2292</f>
        <v>0</v>
      </c>
    </row>
    <row r="2293" spans="1:41" s="501" customFormat="1" ht="39.9" customHeight="1">
      <c r="A2293" s="745"/>
      <c r="B2293" s="746"/>
      <c r="C2293" s="505"/>
      <c r="D2293" s="1183" t="s">
        <v>526</v>
      </c>
      <c r="E2293" s="1184"/>
      <c r="F2293" s="1184"/>
      <c r="G2293" s="1184"/>
      <c r="H2293" s="1184"/>
      <c r="I2293" s="1184"/>
      <c r="J2293" s="1184"/>
      <c r="K2293" s="1184"/>
      <c r="L2293" s="1184"/>
      <c r="M2293" s="1184"/>
      <c r="N2293" s="1184"/>
      <c r="O2293" s="1184"/>
      <c r="P2293" s="1184"/>
      <c r="Q2293" s="1184"/>
      <c r="R2293" s="1184"/>
      <c r="S2293" s="1184"/>
      <c r="T2293" s="1184"/>
    </row>
    <row r="2294" spans="1:41" s="501" customFormat="1" ht="12">
      <c r="A2294" s="748"/>
      <c r="B2294" s="749"/>
      <c r="C2294" s="497"/>
      <c r="D2294" s="750"/>
      <c r="E2294" s="751">
        <f ca="1">F2292/$C$12-SUMIF($L2291:$L2317,"SUBI",$E2291:$E2317)</f>
        <v>0</v>
      </c>
      <c r="F2294" s="752" t="s">
        <v>572</v>
      </c>
      <c r="G2294" s="753"/>
      <c r="H2294" s="753"/>
      <c r="I2294" s="754"/>
      <c r="J2294" s="753"/>
      <c r="K2294" s="753"/>
      <c r="L2294" s="755"/>
      <c r="M2294" s="756"/>
      <c r="N2294" s="756"/>
      <c r="O2294" s="756"/>
      <c r="P2294" s="756"/>
      <c r="Q2294" s="757"/>
      <c r="R2294" s="758"/>
      <c r="S2294" s="757"/>
      <c r="T2294" s="759"/>
    </row>
    <row r="2295" spans="1:41" s="501" customFormat="1" ht="12" customHeight="1">
      <c r="A2295" s="760"/>
      <c r="B2295" s="761"/>
      <c r="C2295" s="762"/>
      <c r="D2295" s="762" t="str">
        <f>$F$2</f>
        <v>Electrical</v>
      </c>
      <c r="E2295" s="762">
        <f ca="1">ROUND(($R2307*$S$2 + ($T2307*$T$2)), 2)</f>
        <v>0</v>
      </c>
      <c r="F2295" s="763">
        <f ca="1">$E2295*$C$12</f>
        <v>0</v>
      </c>
      <c r="G2295" s="567"/>
      <c r="H2295" s="764"/>
      <c r="I2295" s="567"/>
      <c r="J2295" s="45"/>
      <c r="K2295" s="765" t="s">
        <v>3</v>
      </c>
      <c r="L2295" s="766" t="s">
        <v>573</v>
      </c>
      <c r="M2295" s="567"/>
      <c r="N2295" s="567"/>
      <c r="O2295" s="45"/>
      <c r="P2295" s="567"/>
      <c r="Q2295" s="567"/>
      <c r="R2295"/>
      <c r="S2295"/>
      <c r="T2295"/>
    </row>
    <row r="2296" spans="1:41" s="935" customFormat="1" ht="13.2">
      <c r="A2296"/>
      <c r="B2296" s="927"/>
      <c r="C2296" s="927" t="s">
        <v>735</v>
      </c>
      <c r="D2296" s="927" t="str">
        <f ca="1">CELL("Address",Elec_Rates!D$143)</f>
        <v>[E25_0465_IH_Retro_Elec4Mech_Est_Rev_A.xlsx]Elec_Rates!$D$143</v>
      </c>
      <c r="E2296" s="928"/>
      <c r="F2296" s="928"/>
      <c r="G2296" s="929" t="s">
        <v>736</v>
      </c>
      <c r="H2296" s="929"/>
      <c r="I2296" s="929"/>
      <c r="J2296" s="929"/>
      <c r="K2296" s="930"/>
      <c r="L2296" s="928"/>
      <c r="M2296" s="928"/>
      <c r="N2296" s="928"/>
      <c r="O2296" s="931"/>
      <c r="P2296" s="928"/>
      <c r="Q2296" s="932"/>
      <c r="R2296" s="933"/>
      <c r="S2296" s="932"/>
      <c r="T2296" s="560"/>
      <c r="U2296" s="934"/>
    </row>
    <row r="2297" spans="1:41" s="935" customFormat="1" ht="11.4">
      <c r="A2297" s="936">
        <v>0</v>
      </c>
      <c r="B2297" s="937">
        <v>1</v>
      </c>
      <c r="C2297" s="937">
        <f>$A2297*$B2297</f>
        <v>0</v>
      </c>
      <c r="D2297" s="938" t="str">
        <f>Elec_Rates!$D$143</f>
        <v>011# Power supply to control panel (4core x 4.0sqmm) and VDS by pass in MCC</v>
      </c>
      <c r="E2297" s="938"/>
      <c r="F2297" s="938" t="s">
        <v>737</v>
      </c>
      <c r="G2297" s="939" t="s">
        <v>738</v>
      </c>
      <c r="H2297" s="939"/>
      <c r="I2297" s="939"/>
      <c r="J2297" s="939"/>
      <c r="K2297" s="940"/>
      <c r="L2297" s="934"/>
      <c r="M2297" s="934"/>
      <c r="N2297" s="934"/>
      <c r="O2297" s="941"/>
      <c r="P2297" s="938"/>
      <c r="Q2297" s="942">
        <f ca="1">$B2297*Elec_Rates!$R$143</f>
        <v>74.239999999999995</v>
      </c>
      <c r="R2297" s="933">
        <f ca="1">$A2297*Q2297</f>
        <v>0</v>
      </c>
      <c r="S2297" s="942">
        <f ca="1">$B2297*Elec_Rates!$T$143</f>
        <v>3.17</v>
      </c>
      <c r="T2297" s="560">
        <f ca="1">$A2297*S2297</f>
        <v>0</v>
      </c>
      <c r="U2297" s="484"/>
      <c r="AL2297" s="936">
        <v>1</v>
      </c>
    </row>
    <row r="2298" spans="1:41" s="935" customFormat="1" ht="13.2">
      <c r="A2298"/>
      <c r="B2298" s="927"/>
      <c r="C2298" s="927" t="s">
        <v>735</v>
      </c>
      <c r="D2298" s="927" t="str">
        <f ca="1">CELL("Address",Elec_Rates!D$196)</f>
        <v>[E25_0465_IH_Retro_Elec4Mech_Est_Rev_A.xlsx]Elec_Rates!$D$196</v>
      </c>
      <c r="E2298" s="928"/>
      <c r="F2298" s="928"/>
      <c r="G2298" s="929" t="s">
        <v>736</v>
      </c>
      <c r="H2298" s="929"/>
      <c r="I2298" s="929"/>
      <c r="J2298" s="929"/>
      <c r="K2298" s="930"/>
      <c r="L2298" s="928"/>
      <c r="M2298" s="928"/>
      <c r="N2298" s="928"/>
      <c r="O2298" s="931"/>
      <c r="P2298" s="928"/>
      <c r="Q2298" s="932"/>
      <c r="R2298" s="933"/>
      <c r="S2298" s="932"/>
      <c r="T2298" s="560"/>
      <c r="U2298" s="934"/>
      <c r="AL2298"/>
    </row>
    <row r="2299" spans="1:41" s="935" customFormat="1" ht="11.4">
      <c r="A2299" s="936">
        <v>0</v>
      </c>
      <c r="B2299" s="937">
        <v>1</v>
      </c>
      <c r="C2299" s="937">
        <f>$A2299*$B2299</f>
        <v>0</v>
      </c>
      <c r="D2299" s="938" t="str">
        <f>Elec_Rates!$D$196</f>
        <v>013# Installation of Rosenger control panel</v>
      </c>
      <c r="E2299" s="938"/>
      <c r="F2299" s="938" t="s">
        <v>737</v>
      </c>
      <c r="G2299" s="939" t="s">
        <v>739</v>
      </c>
      <c r="H2299" s="939"/>
      <c r="I2299" s="939"/>
      <c r="J2299" s="939"/>
      <c r="K2299" s="940"/>
      <c r="L2299" s="934"/>
      <c r="M2299" s="934"/>
      <c r="N2299" s="934"/>
      <c r="O2299" s="941"/>
      <c r="P2299" s="938"/>
      <c r="Q2299" s="942">
        <f ca="1">$B2299*Elec_Rates!$R$196</f>
        <v>20</v>
      </c>
      <c r="R2299" s="933">
        <f ca="1">$A2299*Q2299</f>
        <v>0</v>
      </c>
      <c r="S2299" s="942">
        <f ca="1">$B2299*Elec_Rates!$T$196</f>
        <v>2</v>
      </c>
      <c r="T2299" s="560">
        <f ca="1">$A2299*S2299</f>
        <v>0</v>
      </c>
      <c r="U2299" s="484"/>
      <c r="AL2299" s="936">
        <v>1</v>
      </c>
    </row>
    <row r="2300" spans="1:41" s="935" customFormat="1" ht="13.2">
      <c r="A2300"/>
      <c r="B2300" s="927"/>
      <c r="C2300" s="927" t="s">
        <v>735</v>
      </c>
      <c r="D2300" s="927" t="str">
        <f ca="1">CELL("Address",Elec_Rates!D$203)</f>
        <v>[E25_0465_IH_Retro_Elec4Mech_Est_Rev_A.xlsx]Elec_Rates!$D$203</v>
      </c>
      <c r="E2300" s="928"/>
      <c r="F2300" s="928"/>
      <c r="G2300" s="929" t="s">
        <v>736</v>
      </c>
      <c r="H2300" s="929"/>
      <c r="I2300" s="929"/>
      <c r="J2300" s="929"/>
      <c r="K2300" s="930"/>
      <c r="L2300" s="928"/>
      <c r="M2300" s="928"/>
      <c r="N2300" s="928"/>
      <c r="O2300" s="931"/>
      <c r="P2300" s="928"/>
      <c r="Q2300" s="932"/>
      <c r="R2300" s="933"/>
      <c r="S2300" s="932"/>
      <c r="T2300" s="560"/>
      <c r="U2300" s="934"/>
      <c r="AL2300"/>
    </row>
    <row r="2301" spans="1:41" s="935" customFormat="1" ht="11.4">
      <c r="A2301" s="936">
        <v>0</v>
      </c>
      <c r="B2301" s="937">
        <v>1</v>
      </c>
      <c r="C2301" s="937">
        <f>$A2301*$B2301</f>
        <v>0</v>
      </c>
      <c r="D2301" s="938" t="str">
        <f>Elec_Rates!$D$203</f>
        <v>014# Installation of cable harness to fans</v>
      </c>
      <c r="E2301" s="938"/>
      <c r="F2301" s="938" t="s">
        <v>737</v>
      </c>
      <c r="G2301" s="939" t="s">
        <v>738</v>
      </c>
      <c r="H2301" s="939"/>
      <c r="I2301" s="939"/>
      <c r="J2301" s="939"/>
      <c r="K2301" s="940"/>
      <c r="L2301" s="934"/>
      <c r="M2301" s="934"/>
      <c r="N2301" s="934"/>
      <c r="O2301" s="941"/>
      <c r="P2301" s="938"/>
      <c r="Q2301" s="942">
        <f ca="1">$B2301*Elec_Rates!$R$203</f>
        <v>20</v>
      </c>
      <c r="R2301" s="933">
        <f ca="1">$A2301*Q2301</f>
        <v>0</v>
      </c>
      <c r="S2301" s="942">
        <f ca="1">$B2301*Elec_Rates!$T$203</f>
        <v>1</v>
      </c>
      <c r="T2301" s="560">
        <f ca="1">$A2301*S2301</f>
        <v>0</v>
      </c>
      <c r="U2301" s="484"/>
      <c r="AL2301" s="936">
        <v>2</v>
      </c>
    </row>
    <row r="2302" spans="1:41" s="935" customFormat="1" ht="13.2">
      <c r="A2302"/>
      <c r="B2302" s="927"/>
      <c r="C2302" s="927" t="s">
        <v>735</v>
      </c>
      <c r="D2302" s="927" t="str">
        <f ca="1">CELL("Address",Elec_Rates!D$210)</f>
        <v>[E25_0465_IH_Retro_Elec4Mech_Est_Rev_A.xlsx]Elec_Rates!$D$210</v>
      </c>
      <c r="E2302" s="928"/>
      <c r="F2302" s="928"/>
      <c r="G2302" s="929" t="s">
        <v>736</v>
      </c>
      <c r="H2302" s="929"/>
      <c r="I2302" s="929"/>
      <c r="J2302" s="929"/>
      <c r="K2302" s="930"/>
      <c r="L2302" s="928"/>
      <c r="M2302" s="928"/>
      <c r="N2302" s="928"/>
      <c r="O2302" s="931"/>
      <c r="P2302" s="928"/>
      <c r="Q2302" s="932"/>
      <c r="R2302" s="933"/>
      <c r="S2302" s="932"/>
      <c r="T2302" s="560"/>
      <c r="U2302" s="934"/>
      <c r="AL2302"/>
    </row>
    <row r="2303" spans="1:41" s="935" customFormat="1" ht="11.4">
      <c r="A2303" s="936">
        <v>0</v>
      </c>
      <c r="B2303" s="937">
        <v>1</v>
      </c>
      <c r="C2303" s="937">
        <f>$A2303*$B2303</f>
        <v>0</v>
      </c>
      <c r="D2303" s="938" t="str">
        <f>Elec_Rates!$D$210</f>
        <v>015# Installation of control panels by ECA</v>
      </c>
      <c r="E2303" s="938"/>
      <c r="F2303" s="938" t="s">
        <v>737</v>
      </c>
      <c r="G2303" s="939" t="s">
        <v>739</v>
      </c>
      <c r="H2303" s="939"/>
      <c r="I2303" s="939"/>
      <c r="J2303" s="939"/>
      <c r="K2303" s="940"/>
      <c r="L2303" s="934"/>
      <c r="M2303" s="934"/>
      <c r="N2303" s="934"/>
      <c r="O2303" s="941"/>
      <c r="P2303" s="938"/>
      <c r="Q2303" s="942">
        <f ca="1">$B2303*Elec_Rates!$R$210</f>
        <v>30</v>
      </c>
      <c r="R2303" s="933">
        <f ca="1">$A2303*Q2303</f>
        <v>0</v>
      </c>
      <c r="S2303" s="942">
        <f ca="1">$B2303*Elec_Rates!$T$210</f>
        <v>1</v>
      </c>
      <c r="T2303" s="560">
        <f ca="1">$A2303*S2303</f>
        <v>0</v>
      </c>
      <c r="U2303" s="484"/>
      <c r="AL2303" s="936">
        <v>1</v>
      </c>
    </row>
    <row r="2304" spans="1:41" s="935" customFormat="1" ht="13.2">
      <c r="A2304"/>
      <c r="B2304" s="927"/>
      <c r="C2304" s="927" t="s">
        <v>735</v>
      </c>
      <c r="D2304" s="927" t="str">
        <f ca="1">CELL("Address",Elec_Rates!D$217)</f>
        <v>[E25_0465_IH_Retro_Elec4Mech_Est_Rev_A.xlsx]Elec_Rates!$D$217</v>
      </c>
      <c r="E2304" s="928"/>
      <c r="F2304" s="928"/>
      <c r="G2304" s="929" t="s">
        <v>736</v>
      </c>
      <c r="H2304" s="929"/>
      <c r="I2304" s="929"/>
      <c r="J2304" s="929"/>
      <c r="K2304" s="930"/>
      <c r="L2304" s="928"/>
      <c r="M2304" s="928"/>
      <c r="N2304" s="928"/>
      <c r="O2304" s="931"/>
      <c r="P2304" s="928"/>
      <c r="Q2304" s="932"/>
      <c r="R2304" s="933"/>
      <c r="S2304" s="932"/>
      <c r="T2304" s="560"/>
      <c r="U2304" s="934"/>
      <c r="AL2304"/>
    </row>
    <row r="2305" spans="1:41" s="935" customFormat="1" ht="11.4">
      <c r="A2305" s="936">
        <v>0</v>
      </c>
      <c r="B2305" s="937">
        <v>1</v>
      </c>
      <c r="C2305" s="937">
        <f>$A2305*$B2305</f>
        <v>0</v>
      </c>
      <c r="D2305" s="938" t="str">
        <f>Elec_Rates!$D$217</f>
        <v>016# Installation of sensors on AHUs</v>
      </c>
      <c r="E2305" s="938"/>
      <c r="F2305" s="938" t="s">
        <v>737</v>
      </c>
      <c r="G2305" s="939" t="s">
        <v>738</v>
      </c>
      <c r="H2305" s="939"/>
      <c r="I2305" s="939"/>
      <c r="J2305" s="939"/>
      <c r="K2305" s="940"/>
      <c r="L2305" s="934"/>
      <c r="M2305" s="934"/>
      <c r="N2305" s="934"/>
      <c r="O2305" s="941"/>
      <c r="P2305" s="938"/>
      <c r="Q2305" s="942">
        <f ca="1">$B2305*Elec_Rates!$R$217</f>
        <v>354.24</v>
      </c>
      <c r="R2305" s="933">
        <f ca="1">$A2305*Q2305</f>
        <v>0</v>
      </c>
      <c r="S2305" s="942">
        <f ca="1">$B2305*Elec_Rates!$T$217</f>
        <v>17.989999999999998</v>
      </c>
      <c r="T2305" s="560">
        <f ca="1">$A2305*S2305</f>
        <v>0</v>
      </c>
      <c r="U2305" s="484"/>
      <c r="AL2305" s="936">
        <v>1</v>
      </c>
    </row>
    <row r="2306" spans="1:41" s="501" customFormat="1" ht="14.4" customHeight="1">
      <c r="A2306" s="767"/>
      <c r="B2306" s="567"/>
      <c r="C2306" s="567"/>
      <c r="D2306" s="567"/>
      <c r="E2306" s="567"/>
      <c r="F2306" s="567"/>
      <c r="G2306" s="567"/>
      <c r="H2306" s="764"/>
      <c r="I2306" s="567"/>
      <c r="J2306" s="45"/>
      <c r="K2306" s="769"/>
      <c r="L2306" s="770"/>
      <c r="M2306" s="567"/>
      <c r="N2306" s="567"/>
      <c r="O2306" s="45"/>
      <c r="P2306" s="567"/>
      <c r="Q2306" s="567"/>
      <c r="R2306" s="771">
        <f>$A2306*Q2306</f>
        <v>0</v>
      </c>
      <c r="S2306" s="567"/>
      <c r="T2306" s="500">
        <f>$A2306*S2306*$T$1</f>
        <v>0</v>
      </c>
      <c r="AL2306" s="767"/>
    </row>
    <row r="2307" spans="1:41" s="501" customFormat="1" ht="12">
      <c r="A2307" s="772" t="s">
        <v>145</v>
      </c>
      <c r="B2307" s="773">
        <f>(R2306+T2306)</f>
        <v>0</v>
      </c>
      <c r="C2307" s="753"/>
      <c r="G2307" s="774"/>
      <c r="H2307" s="774"/>
      <c r="I2307" s="774"/>
      <c r="J2307" s="774"/>
      <c r="K2307" s="750" t="s">
        <v>3</v>
      </c>
      <c r="L2307" s="775" t="s">
        <v>573</v>
      </c>
      <c r="M2307" s="774"/>
      <c r="N2307" s="774"/>
      <c r="O2307" s="774"/>
      <c r="P2307" s="774"/>
      <c r="Q2307" s="776"/>
      <c r="R2307" s="777">
        <f ca="1">SUM(R2295:R2306)</f>
        <v>0</v>
      </c>
      <c r="S2307" s="778"/>
      <c r="T2307" s="777">
        <f ca="1">SUM(T2295:T2306)</f>
        <v>0</v>
      </c>
      <c r="AG2307" s="779">
        <f ca="1">ROUND($R2307*$S$2,2)</f>
        <v>0</v>
      </c>
      <c r="AL2307" s="772" t="s">
        <v>145</v>
      </c>
    </row>
    <row r="2308" spans="1:41" s="501" customFormat="1" ht="12" customHeight="1">
      <c r="A2308" s="760"/>
      <c r="B2308" s="780"/>
      <c r="C2308" s="781"/>
      <c r="D2308" s="782" t="str">
        <f>$F$3</f>
        <v>Technician</v>
      </c>
      <c r="E2308" s="782">
        <f>ROUND(($R2311*$S$3 + ($T2311*$T$3)), 2)</f>
        <v>0</v>
      </c>
      <c r="F2308" s="783">
        <f>$E2308*$C$12</f>
        <v>0</v>
      </c>
      <c r="G2308" s="499"/>
      <c r="H2308" s="499"/>
      <c r="I2308" s="499"/>
      <c r="J2308" s="499"/>
      <c r="K2308" s="765" t="s">
        <v>5</v>
      </c>
      <c r="L2308" s="766" t="s">
        <v>573</v>
      </c>
      <c r="M2308" s="499"/>
      <c r="N2308" s="499"/>
      <c r="O2308" s="499"/>
      <c r="P2308" s="499"/>
      <c r="Q2308" s="499"/>
      <c r="R2308" s="784"/>
      <c r="S2308" s="499"/>
      <c r="T2308" s="784"/>
      <c r="AL2308" s="760"/>
    </row>
    <row r="2309" spans="1:41" s="893" customFormat="1" ht="13.2">
      <c r="A2309">
        <v>0</v>
      </c>
      <c r="B2309" s="893" t="s">
        <v>141</v>
      </c>
      <c r="D2309" s="893" t="s">
        <v>767</v>
      </c>
      <c r="E2309" s="893" t="s">
        <v>770</v>
      </c>
      <c r="F2309" s="893" t="s">
        <v>769</v>
      </c>
      <c r="G2309" s="894" t="s">
        <v>768</v>
      </c>
      <c r="H2309" s="895">
        <v>570</v>
      </c>
      <c r="I2309" s="893" t="s">
        <v>643</v>
      </c>
      <c r="O2309" s="896">
        <v>2</v>
      </c>
      <c r="P2309" s="897">
        <v>38443</v>
      </c>
      <c r="Q2309" s="898">
        <v>2500</v>
      </c>
      <c r="R2309" s="899">
        <f>$A2309*Q2309</f>
        <v>0</v>
      </c>
      <c r="S2309" s="898">
        <f>200/25</f>
        <v>8</v>
      </c>
      <c r="T2309" s="900">
        <f>$A2309*S2309*$T$1</f>
        <v>0</v>
      </c>
      <c r="AL2309">
        <v>1</v>
      </c>
    </row>
    <row r="2310" spans="1:41" s="501" customFormat="1" ht="15.6" customHeight="1">
      <c r="A2310" s="767"/>
      <c r="B2310" s="567"/>
      <c r="C2310" s="567"/>
      <c r="D2310" s="3"/>
      <c r="E2310" s="567"/>
      <c r="F2310" s="567"/>
      <c r="G2310" s="567"/>
      <c r="H2310" s="567"/>
      <c r="I2310" s="567"/>
      <c r="J2310" s="567"/>
      <c r="K2310" s="567"/>
      <c r="L2310" s="770"/>
      <c r="M2310" s="567"/>
      <c r="N2310" s="567"/>
      <c r="O2310" s="567"/>
      <c r="P2310" s="567"/>
      <c r="Q2310" s="567"/>
      <c r="R2310" s="771">
        <f>$A2310*Q2310</f>
        <v>0</v>
      </c>
      <c r="S2310" s="567"/>
      <c r="T2310" s="500">
        <f>$A2310*S2310*$T$1</f>
        <v>0</v>
      </c>
      <c r="AL2310" s="767"/>
    </row>
    <row r="2311" spans="1:41" s="501" customFormat="1" ht="12">
      <c r="A2311" s="772" t="s">
        <v>145</v>
      </c>
      <c r="B2311" s="773">
        <f>(R2310+T2310)</f>
        <v>0</v>
      </c>
      <c r="C2311" s="753"/>
      <c r="G2311" s="774"/>
      <c r="H2311" s="774"/>
      <c r="I2311" s="774"/>
      <c r="J2311" s="774"/>
      <c r="K2311" s="798" t="s">
        <v>5</v>
      </c>
      <c r="L2311" s="775" t="s">
        <v>573</v>
      </c>
      <c r="M2311" s="774"/>
      <c r="N2311" s="774"/>
      <c r="O2311" s="774"/>
      <c r="P2311" s="774"/>
      <c r="Q2311" s="776"/>
      <c r="R2311" s="777">
        <f>SUM(R2308:R2310)</f>
        <v>0</v>
      </c>
      <c r="S2311" s="778"/>
      <c r="T2311" s="777">
        <f>SUM(T2308:T2310)</f>
        <v>0</v>
      </c>
      <c r="AG2311" s="799">
        <f>ROUND($R2311*$S$3,2)</f>
        <v>0</v>
      </c>
      <c r="AL2311" s="772" t="s">
        <v>145</v>
      </c>
    </row>
    <row r="2312" spans="1:41" s="501" customFormat="1" ht="12" customHeight="1">
      <c r="A2312" s="800"/>
      <c r="B2312" s="801"/>
      <c r="C2312" s="802"/>
      <c r="D2312" s="803" t="str">
        <f>$F$4</f>
        <v>Engineer (Man Hours)</v>
      </c>
      <c r="E2312" s="803">
        <f>ROUND(($R2315*$S$4 + ($T2315*$T$4)), 2)</f>
        <v>0</v>
      </c>
      <c r="F2312" s="804">
        <f ca="1">$F2292-SUMIF($L2294:$P2309,"SUBI",$F2294:$F2309)</f>
        <v>0</v>
      </c>
      <c r="G2312" s="499"/>
      <c r="H2312" s="499"/>
      <c r="I2312" s="499"/>
      <c r="J2312" s="499"/>
      <c r="K2312" s="805" t="s">
        <v>8</v>
      </c>
      <c r="L2312" s="766" t="s">
        <v>573</v>
      </c>
      <c r="M2312" s="499"/>
      <c r="N2312" s="499"/>
      <c r="O2312" s="499"/>
      <c r="P2312" s="499"/>
      <c r="Q2312" s="499"/>
      <c r="R2312" s="784"/>
      <c r="S2312" s="499"/>
      <c r="T2312" s="784"/>
      <c r="AL2312" s="800"/>
    </row>
    <row r="2313" spans="1:41" s="893" customFormat="1" ht="13.2">
      <c r="A2313">
        <v>0</v>
      </c>
      <c r="B2313" s="893" t="s">
        <v>141</v>
      </c>
      <c r="D2313" s="893" t="s">
        <v>767</v>
      </c>
      <c r="E2313" s="893" t="s">
        <v>771</v>
      </c>
      <c r="F2313" s="893" t="s">
        <v>769</v>
      </c>
      <c r="G2313" s="894" t="s">
        <v>768</v>
      </c>
      <c r="H2313" s="895">
        <v>570</v>
      </c>
      <c r="I2313" s="893" t="s">
        <v>643</v>
      </c>
      <c r="O2313" s="896">
        <v>2</v>
      </c>
      <c r="P2313" s="897">
        <v>38443</v>
      </c>
      <c r="Q2313" s="898"/>
      <c r="R2313" s="899">
        <f>$A2313*Q2313</f>
        <v>0</v>
      </c>
      <c r="S2313" s="898">
        <f>100/25</f>
        <v>4</v>
      </c>
      <c r="T2313" s="900">
        <f>$A2313*S2313*$T$1</f>
        <v>0</v>
      </c>
      <c r="AL2313">
        <v>1</v>
      </c>
    </row>
    <row r="2314" spans="1:41" s="501" customFormat="1" ht="12">
      <c r="A2314" s="44"/>
      <c r="B2314" s="497"/>
      <c r="C2314" s="497"/>
      <c r="D2314" s="807"/>
      <c r="E2314" s="808"/>
      <c r="F2314" s="499"/>
      <c r="G2314" s="499"/>
      <c r="H2314" s="499"/>
      <c r="I2314" s="499"/>
      <c r="J2314" s="499"/>
      <c r="K2314" s="499"/>
      <c r="L2314" s="809"/>
      <c r="M2314" s="499"/>
      <c r="N2314" s="499"/>
      <c r="O2314" s="499"/>
      <c r="P2314" s="499"/>
      <c r="Q2314" s="499"/>
      <c r="R2314" s="720">
        <f>$A2314*Q2314</f>
        <v>0</v>
      </c>
      <c r="S2314" s="499"/>
      <c r="T2314" s="500">
        <f>$A2314*S2314*$T$1</f>
        <v>0</v>
      </c>
    </row>
    <row r="2315" spans="1:41" s="501" customFormat="1" ht="12.75" customHeight="1">
      <c r="A2315" s="772" t="s">
        <v>145</v>
      </c>
      <c r="B2315" s="773">
        <f>(R2314+T2314)</f>
        <v>0</v>
      </c>
      <c r="C2315" s="810"/>
      <c r="D2315" s="810"/>
      <c r="E2315" s="810"/>
      <c r="F2315" s="810"/>
      <c r="G2315" s="776"/>
      <c r="H2315" s="776"/>
      <c r="I2315" s="776"/>
      <c r="J2315" s="776"/>
      <c r="K2315" s="798" t="s">
        <v>8</v>
      </c>
      <c r="L2315" s="811" t="s">
        <v>573</v>
      </c>
      <c r="M2315" s="776"/>
      <c r="N2315" s="776"/>
      <c r="O2315" s="776"/>
      <c r="P2315" s="776"/>
      <c r="Q2315" s="776"/>
      <c r="R2315" s="777">
        <f>SUM(R2312:R2314)</f>
        <v>0</v>
      </c>
      <c r="S2315" s="778"/>
      <c r="T2315" s="777">
        <f>SUM(T2312:T2314)</f>
        <v>0</v>
      </c>
      <c r="AG2315" s="812">
        <f>ROUND($R2315*$S$4,2)</f>
        <v>0</v>
      </c>
    </row>
    <row r="2316" spans="1:41" s="501" customFormat="1" ht="12.75" customHeight="1">
      <c r="A2316" s="813"/>
      <c r="B2316" s="814"/>
      <c r="E2316" s="497"/>
      <c r="F2316" s="808"/>
      <c r="G2316" s="497"/>
      <c r="H2316" s="497"/>
      <c r="I2316" s="499"/>
      <c r="J2316" s="497"/>
      <c r="K2316" s="497"/>
      <c r="L2316" s="815"/>
      <c r="M2316" s="725"/>
      <c r="N2316" s="725"/>
      <c r="O2316" s="725"/>
      <c r="P2316" s="725"/>
      <c r="Q2316" s="726"/>
      <c r="R2316" s="784"/>
      <c r="S2316" s="497"/>
      <c r="T2316" s="784"/>
    </row>
    <row r="2317" spans="1:41" s="501" customFormat="1" ht="13.5" customHeight="1" thickBot="1">
      <c r="A2317" s="816"/>
      <c r="B2317" s="817"/>
      <c r="C2317" s="518"/>
      <c r="D2317" s="518"/>
      <c r="E2317" s="515"/>
      <c r="F2317" s="721"/>
      <c r="G2317" s="515" t="s">
        <v>146</v>
      </c>
      <c r="H2317" s="515"/>
      <c r="I2317" s="516"/>
      <c r="J2317" s="515"/>
      <c r="K2317" s="515"/>
      <c r="L2317" s="818" t="s">
        <v>143</v>
      </c>
      <c r="M2317" s="517"/>
      <c r="N2317" s="517"/>
      <c r="O2317" s="517"/>
      <c r="P2317" s="517"/>
      <c r="Q2317" s="722"/>
      <c r="R2317" s="819">
        <f ca="1">SUMIF($L2293:$L2316,"SUBI",R2293:R2316)</f>
        <v>0</v>
      </c>
      <c r="S2317" s="820"/>
      <c r="T2317" s="819">
        <f ca="1">SUMIF($L2293:$L2316,"SUBI",T2293:T2316)</f>
        <v>0</v>
      </c>
      <c r="U2317" s="518"/>
      <c r="V2317" s="518"/>
      <c r="W2317" s="518"/>
      <c r="X2317" s="518"/>
      <c r="Y2317" s="518"/>
      <c r="Z2317" s="518"/>
      <c r="AA2317" s="518"/>
      <c r="AB2317" s="518"/>
      <c r="AC2317" s="518"/>
      <c r="AD2317" s="518"/>
      <c r="AE2317" s="518"/>
      <c r="AF2317" s="518"/>
      <c r="AG2317" s="518"/>
      <c r="AH2317" s="518"/>
      <c r="AI2317" s="518"/>
      <c r="AJ2317" s="518"/>
      <c r="AK2317" s="518"/>
      <c r="AL2317" s="518"/>
      <c r="AM2317" s="518"/>
      <c r="AN2317" s="518"/>
      <c r="AO2317" s="518"/>
    </row>
    <row r="2318" spans="1:41" s="501" customFormat="1" thickTop="1">
      <c r="A2318" s="44"/>
      <c r="B2318" s="44"/>
      <c r="C2318" s="3"/>
      <c r="D2318" s="3"/>
      <c r="E2318" s="44"/>
      <c r="F2318" s="44"/>
      <c r="G2318" s="44"/>
      <c r="H2318" s="44"/>
      <c r="I2318" s="44"/>
      <c r="J2318" s="44"/>
      <c r="K2318" s="44" t="s">
        <v>134</v>
      </c>
      <c r="L2318" s="44"/>
      <c r="M2318" s="44"/>
      <c r="N2318" s="44"/>
      <c r="O2318" s="45"/>
      <c r="P2318" s="44"/>
      <c r="Q2318" s="44"/>
      <c r="R2318" s="44"/>
      <c r="S2318" s="44"/>
      <c r="T2318" s="44"/>
    </row>
    <row r="2319" spans="1:41" s="501" customFormat="1" ht="12">
      <c r="A2319" s="44"/>
      <c r="B2319" s="44"/>
      <c r="C2319" s="44" t="s">
        <v>135</v>
      </c>
      <c r="D2319" s="35"/>
      <c r="E2319" s="44"/>
      <c r="F2319" s="44"/>
      <c r="G2319" s="44"/>
      <c r="H2319" s="44"/>
      <c r="I2319" s="44"/>
      <c r="J2319" s="44"/>
      <c r="K2319" s="44"/>
      <c r="L2319" s="44"/>
      <c r="M2319" s="44"/>
      <c r="N2319" s="44"/>
      <c r="O2319" s="45"/>
      <c r="P2319" s="44"/>
      <c r="Q2319" s="44"/>
      <c r="R2319" s="44"/>
      <c r="S2319" s="44"/>
      <c r="T2319" s="44"/>
    </row>
    <row r="2320" spans="1:41" s="501" customFormat="1" ht="12">
      <c r="A2320" s="44"/>
      <c r="B2320" s="44"/>
      <c r="C2320" s="44"/>
      <c r="D2320" s="35" t="s">
        <v>527</v>
      </c>
      <c r="E2320" s="44"/>
      <c r="F2320" s="44"/>
      <c r="G2320" s="44"/>
      <c r="H2320" s="44"/>
      <c r="I2320" s="44"/>
      <c r="J2320" s="44"/>
      <c r="K2320" s="44"/>
      <c r="L2320" s="44"/>
      <c r="M2320" s="44"/>
      <c r="N2320" s="44"/>
      <c r="O2320" s="45"/>
      <c r="P2320" s="44"/>
      <c r="Q2320" s="44"/>
      <c r="R2320" s="44"/>
      <c r="S2320" s="36"/>
      <c r="T2320" s="36"/>
    </row>
    <row r="2321" spans="1:41" s="3" customFormat="1" thickBot="1">
      <c r="A2321" s="518"/>
      <c r="O2321" s="86"/>
    </row>
    <row r="2322" spans="1:41" s="501" customFormat="1" thickTop="1">
      <c r="A2322" s="44"/>
      <c r="B2322" s="39"/>
      <c r="C2322" s="44"/>
      <c r="E2322" s="40" t="s">
        <v>138</v>
      </c>
      <c r="F2322" s="40" t="s">
        <v>139</v>
      </c>
      <c r="G2322" s="44"/>
      <c r="H2322" s="44"/>
      <c r="I2322" s="44"/>
      <c r="J2322" s="44"/>
      <c r="K2322" s="44" t="s">
        <v>140</v>
      </c>
      <c r="L2322" s="737"/>
      <c r="M2322" s="44"/>
      <c r="N2322" s="44"/>
      <c r="O2322" s="45"/>
      <c r="P2322" s="44"/>
      <c r="Q2322"/>
      <c r="R2322"/>
      <c r="S2322"/>
      <c r="T2322" s="39"/>
      <c r="AG2322" s="502" t="s">
        <v>247</v>
      </c>
      <c r="AH2322" s="502" t="s">
        <v>248</v>
      </c>
      <c r="AI2322" s="502" t="s">
        <v>249</v>
      </c>
      <c r="AJ2322" s="502" t="s">
        <v>250</v>
      </c>
      <c r="AK2322" s="502" t="s">
        <v>251</v>
      </c>
      <c r="AM2322" s="710" t="s">
        <v>260</v>
      </c>
      <c r="AN2322" s="711" t="s">
        <v>261</v>
      </c>
      <c r="AO2322" s="503" t="s">
        <v>257</v>
      </c>
    </row>
    <row r="2323" spans="1:41" s="501" customFormat="1" ht="13.2">
      <c r="A2323" s="712">
        <v>1</v>
      </c>
      <c r="B2323" s="504" t="s">
        <v>283</v>
      </c>
      <c r="C2323" s="505"/>
      <c r="D2323" s="713" t="s">
        <v>578</v>
      </c>
      <c r="E2323" s="738">
        <f ca="1">IF(AND($A2323=0,$A$1="DIF"),0,ROUND(ROUND(SUMIF($L2325:$L2343,"SUBI",$E2325:$E2343)/$A2323,2)*$C$12,2))</f>
        <v>0</v>
      </c>
      <c r="F2323" s="739">
        <f ca="1">ROUND($A2323*$E2323,2)</f>
        <v>0</v>
      </c>
      <c r="G2323" s="506" t="s">
        <v>142</v>
      </c>
      <c r="H2323" s="498"/>
      <c r="I2323" s="716"/>
      <c r="J2323" s="498"/>
      <c r="K2323" s="740"/>
      <c r="L2323" s="741" t="s">
        <v>143</v>
      </c>
      <c r="M2323" s="717"/>
      <c r="N2323" s="717"/>
      <c r="O2323" s="717"/>
      <c r="P2323" s="717"/>
      <c r="Q2323" s="943" t="s">
        <v>855</v>
      </c>
      <c r="R2323" s="943" t="s">
        <v>1105</v>
      </c>
      <c r="S2323"/>
      <c r="T2323" s="742" t="str">
        <f ca="1">IF(AND($R2348=0,$T2348=0),"0.00","mu :" &amp; ROUND($F2323/$C$12/($R2348+$T2348*$D$9),2))</f>
        <v>0.00</v>
      </c>
      <c r="W2323" s="507"/>
      <c r="AG2323" s="743">
        <f ca="1">IF(A2323=0,0,ROUND(SUM(AG2325:AG2348)/A2323,2))</f>
        <v>0</v>
      </c>
      <c r="AH2323" s="743">
        <f ca="1">$AG2323*$A2323</f>
        <v>0</v>
      </c>
      <c r="AI2323" s="743">
        <f ca="1">$E2323-$AG2323</f>
        <v>0</v>
      </c>
      <c r="AJ2323" s="743">
        <f ca="1">$A2323*$AI2323</f>
        <v>0</v>
      </c>
      <c r="AK2323" s="744">
        <f ca="1">ROUND(($AG2323+$AI2323)*$A2323,2)</f>
        <v>0</v>
      </c>
      <c r="AM2323" s="510">
        <f ca="1">ROUND(R2348,2)</f>
        <v>0</v>
      </c>
      <c r="AN2323" s="511">
        <f ca="1">ROUND(T2348,2)</f>
        <v>0</v>
      </c>
      <c r="AO2323" s="512">
        <f ca="1">ROUND(AM2323+AN2323,2)*A2323</f>
        <v>0</v>
      </c>
    </row>
    <row r="2324" spans="1:41" s="501" customFormat="1" ht="39.9" customHeight="1">
      <c r="A2324" s="745"/>
      <c r="B2324" s="746"/>
      <c r="C2324" s="505"/>
      <c r="D2324" s="1183" t="s">
        <v>528</v>
      </c>
      <c r="E2324" s="1184"/>
      <c r="F2324" s="1184"/>
      <c r="G2324" s="1184"/>
      <c r="H2324" s="1184"/>
      <c r="I2324" s="1184"/>
      <c r="J2324" s="1184"/>
      <c r="K2324" s="1184"/>
      <c r="L2324" s="1184"/>
      <c r="M2324" s="1184"/>
      <c r="N2324" s="1184"/>
      <c r="O2324" s="1184"/>
      <c r="P2324" s="1184"/>
      <c r="Q2324" s="1184"/>
      <c r="R2324" s="1184"/>
      <c r="S2324" s="1184"/>
      <c r="T2324" s="1184"/>
    </row>
    <row r="2325" spans="1:41" s="501" customFormat="1" ht="12">
      <c r="A2325" s="748"/>
      <c r="B2325" s="749"/>
      <c r="C2325" s="497"/>
      <c r="D2325" s="750"/>
      <c r="E2325" s="751">
        <f ca="1">F2323/$C$12-SUMIF($L2322:$L2348,"SUBI",$E2322:$E2348)</f>
        <v>0</v>
      </c>
      <c r="F2325" s="752" t="s">
        <v>572</v>
      </c>
      <c r="G2325" s="753"/>
      <c r="H2325" s="753"/>
      <c r="I2325" s="754"/>
      <c r="J2325" s="753"/>
      <c r="K2325" s="753"/>
      <c r="L2325" s="755"/>
      <c r="M2325" s="756"/>
      <c r="N2325" s="756"/>
      <c r="O2325" s="756"/>
      <c r="P2325" s="756"/>
      <c r="Q2325" s="757"/>
      <c r="R2325" s="758"/>
      <c r="S2325" s="757"/>
      <c r="T2325" s="759"/>
    </row>
    <row r="2326" spans="1:41" s="501" customFormat="1" ht="12" customHeight="1">
      <c r="A2326" s="760"/>
      <c r="B2326" s="761"/>
      <c r="C2326" s="762"/>
      <c r="D2326" s="762" t="str">
        <f>$F$2</f>
        <v>Electrical</v>
      </c>
      <c r="E2326" s="762">
        <f ca="1">ROUND(($R2338*$S$2 + ($T2338*$T$2)), 2)</f>
        <v>0</v>
      </c>
      <c r="F2326" s="763">
        <f ca="1">$E2326*$C$12</f>
        <v>0</v>
      </c>
      <c r="G2326" s="567"/>
      <c r="H2326" s="764"/>
      <c r="I2326" s="567"/>
      <c r="J2326" s="45"/>
      <c r="K2326" s="765" t="s">
        <v>3</v>
      </c>
      <c r="L2326" s="766" t="s">
        <v>573</v>
      </c>
      <c r="M2326" s="567"/>
      <c r="N2326" s="567"/>
      <c r="O2326" s="45"/>
      <c r="P2326" s="567"/>
      <c r="Q2326" s="567"/>
      <c r="R2326"/>
      <c r="S2326"/>
      <c r="T2326"/>
    </row>
    <row r="2327" spans="1:41" s="935" customFormat="1" ht="13.2">
      <c r="A2327"/>
      <c r="B2327" s="927"/>
      <c r="C2327" s="927" t="s">
        <v>735</v>
      </c>
      <c r="D2327" s="927" t="str">
        <f ca="1">CELL("Address",Elec_Rates!D$143)</f>
        <v>[E25_0465_IH_Retro_Elec4Mech_Est_Rev_A.xlsx]Elec_Rates!$D$143</v>
      </c>
      <c r="E2327" s="928"/>
      <c r="F2327" s="928"/>
      <c r="G2327" s="929" t="s">
        <v>736</v>
      </c>
      <c r="H2327" s="929"/>
      <c r="I2327" s="929"/>
      <c r="J2327" s="929"/>
      <c r="K2327" s="930"/>
      <c r="L2327" s="928"/>
      <c r="M2327" s="928"/>
      <c r="N2327" s="928"/>
      <c r="O2327" s="931"/>
      <c r="P2327" s="928"/>
      <c r="Q2327" s="932"/>
      <c r="R2327" s="933"/>
      <c r="S2327" s="932"/>
      <c r="T2327" s="560"/>
      <c r="U2327" s="934"/>
    </row>
    <row r="2328" spans="1:41" s="935" customFormat="1" ht="11.4">
      <c r="A2328" s="936">
        <v>0</v>
      </c>
      <c r="B2328" s="937">
        <v>1</v>
      </c>
      <c r="C2328" s="937">
        <f>$A2328*$B2328</f>
        <v>0</v>
      </c>
      <c r="D2328" s="938" t="str">
        <f>Elec_Rates!$D$143</f>
        <v>011# Power supply to control panel (4core x 4.0sqmm) and VDS by pass in MCC</v>
      </c>
      <c r="E2328" s="938"/>
      <c r="F2328" s="938" t="s">
        <v>737</v>
      </c>
      <c r="G2328" s="939" t="s">
        <v>738</v>
      </c>
      <c r="H2328" s="939"/>
      <c r="I2328" s="939"/>
      <c r="J2328" s="939"/>
      <c r="K2328" s="940"/>
      <c r="L2328" s="934"/>
      <c r="M2328" s="934"/>
      <c r="N2328" s="934"/>
      <c r="O2328" s="941"/>
      <c r="P2328" s="938"/>
      <c r="Q2328" s="942">
        <f ca="1">$B2328*Elec_Rates!$R$143</f>
        <v>74.239999999999995</v>
      </c>
      <c r="R2328" s="933">
        <f ca="1">$A2328*Q2328</f>
        <v>0</v>
      </c>
      <c r="S2328" s="942">
        <f ca="1">$B2328*Elec_Rates!$T$143</f>
        <v>3.17</v>
      </c>
      <c r="T2328" s="560">
        <f ca="1">$A2328*S2328</f>
        <v>0</v>
      </c>
      <c r="U2328" s="484"/>
      <c r="AL2328" s="936">
        <v>1</v>
      </c>
    </row>
    <row r="2329" spans="1:41" s="935" customFormat="1" ht="13.2">
      <c r="A2329"/>
      <c r="B2329" s="927"/>
      <c r="C2329" s="927" t="s">
        <v>735</v>
      </c>
      <c r="D2329" s="927" t="str">
        <f ca="1">CELL("Address",Elec_Rates!D$196)</f>
        <v>[E25_0465_IH_Retro_Elec4Mech_Est_Rev_A.xlsx]Elec_Rates!$D$196</v>
      </c>
      <c r="E2329" s="928"/>
      <c r="F2329" s="928"/>
      <c r="G2329" s="929" t="s">
        <v>736</v>
      </c>
      <c r="H2329" s="929"/>
      <c r="I2329" s="929"/>
      <c r="J2329" s="929"/>
      <c r="K2329" s="930"/>
      <c r="L2329" s="928"/>
      <c r="M2329" s="928"/>
      <c r="N2329" s="928"/>
      <c r="O2329" s="931"/>
      <c r="P2329" s="928"/>
      <c r="Q2329" s="932"/>
      <c r="R2329" s="933"/>
      <c r="S2329" s="932"/>
      <c r="T2329" s="560"/>
      <c r="U2329" s="934"/>
      <c r="AL2329"/>
    </row>
    <row r="2330" spans="1:41" s="935" customFormat="1" ht="11.4">
      <c r="A2330" s="936">
        <v>0</v>
      </c>
      <c r="B2330" s="937">
        <v>1</v>
      </c>
      <c r="C2330" s="937">
        <f>$A2330*$B2330</f>
        <v>0</v>
      </c>
      <c r="D2330" s="938" t="str">
        <f>Elec_Rates!$D$196</f>
        <v>013# Installation of Rosenger control panel</v>
      </c>
      <c r="E2330" s="938"/>
      <c r="F2330" s="938" t="s">
        <v>737</v>
      </c>
      <c r="G2330" s="939" t="s">
        <v>739</v>
      </c>
      <c r="H2330" s="939"/>
      <c r="I2330" s="939"/>
      <c r="J2330" s="939"/>
      <c r="K2330" s="940"/>
      <c r="L2330" s="934"/>
      <c r="M2330" s="934"/>
      <c r="N2330" s="934"/>
      <c r="O2330" s="941"/>
      <c r="P2330" s="938"/>
      <c r="Q2330" s="942">
        <f ca="1">$B2330*Elec_Rates!$R$196</f>
        <v>20</v>
      </c>
      <c r="R2330" s="933">
        <f ca="1">$A2330*Q2330</f>
        <v>0</v>
      </c>
      <c r="S2330" s="942">
        <f ca="1">$B2330*Elec_Rates!$T$196</f>
        <v>2</v>
      </c>
      <c r="T2330" s="560">
        <f ca="1">$A2330*S2330</f>
        <v>0</v>
      </c>
      <c r="U2330" s="484"/>
      <c r="AL2330" s="936">
        <v>1</v>
      </c>
    </row>
    <row r="2331" spans="1:41" s="935" customFormat="1" ht="13.2">
      <c r="A2331"/>
      <c r="B2331" s="927"/>
      <c r="C2331" s="927" t="s">
        <v>735</v>
      </c>
      <c r="D2331" s="927" t="str">
        <f ca="1">CELL("Address",Elec_Rates!D$203)</f>
        <v>[E25_0465_IH_Retro_Elec4Mech_Est_Rev_A.xlsx]Elec_Rates!$D$203</v>
      </c>
      <c r="E2331" s="928"/>
      <c r="F2331" s="928"/>
      <c r="G2331" s="929" t="s">
        <v>736</v>
      </c>
      <c r="H2331" s="929"/>
      <c r="I2331" s="929"/>
      <c r="J2331" s="929"/>
      <c r="K2331" s="930"/>
      <c r="L2331" s="928"/>
      <c r="M2331" s="928"/>
      <c r="N2331" s="928"/>
      <c r="O2331" s="931"/>
      <c r="P2331" s="928"/>
      <c r="Q2331" s="932"/>
      <c r="R2331" s="933"/>
      <c r="S2331" s="932"/>
      <c r="T2331" s="560"/>
      <c r="U2331" s="934"/>
      <c r="AL2331"/>
    </row>
    <row r="2332" spans="1:41" s="935" customFormat="1" ht="11.4">
      <c r="A2332" s="936">
        <v>0</v>
      </c>
      <c r="B2332" s="937">
        <v>1</v>
      </c>
      <c r="C2332" s="937">
        <f>$A2332*$B2332</f>
        <v>0</v>
      </c>
      <c r="D2332" s="938" t="str">
        <f>Elec_Rates!$D$203</f>
        <v>014# Installation of cable harness to fans</v>
      </c>
      <c r="E2332" s="938"/>
      <c r="F2332" s="938" t="s">
        <v>737</v>
      </c>
      <c r="G2332" s="939" t="s">
        <v>738</v>
      </c>
      <c r="H2332" s="939"/>
      <c r="I2332" s="939"/>
      <c r="J2332" s="939"/>
      <c r="K2332" s="940"/>
      <c r="L2332" s="934"/>
      <c r="M2332" s="934"/>
      <c r="N2332" s="934"/>
      <c r="O2332" s="941"/>
      <c r="P2332" s="938"/>
      <c r="Q2332" s="942">
        <f ca="1">$B2332*Elec_Rates!$R$203</f>
        <v>20</v>
      </c>
      <c r="R2332" s="933">
        <f ca="1">$A2332*Q2332</f>
        <v>0</v>
      </c>
      <c r="S2332" s="942">
        <f ca="1">$B2332*Elec_Rates!$T$203</f>
        <v>1</v>
      </c>
      <c r="T2332" s="560">
        <f ca="1">$A2332*S2332</f>
        <v>0</v>
      </c>
      <c r="U2332" s="484"/>
      <c r="AL2332" s="936">
        <v>2</v>
      </c>
    </row>
    <row r="2333" spans="1:41" s="935" customFormat="1" ht="13.2">
      <c r="A2333"/>
      <c r="B2333" s="927"/>
      <c r="C2333" s="927" t="s">
        <v>735</v>
      </c>
      <c r="D2333" s="927" t="str">
        <f ca="1">CELL("Address",Elec_Rates!D$210)</f>
        <v>[E25_0465_IH_Retro_Elec4Mech_Est_Rev_A.xlsx]Elec_Rates!$D$210</v>
      </c>
      <c r="E2333" s="928"/>
      <c r="F2333" s="928"/>
      <c r="G2333" s="929" t="s">
        <v>736</v>
      </c>
      <c r="H2333" s="929"/>
      <c r="I2333" s="929"/>
      <c r="J2333" s="929"/>
      <c r="K2333" s="930"/>
      <c r="L2333" s="928"/>
      <c r="M2333" s="928"/>
      <c r="N2333" s="928"/>
      <c r="O2333" s="931"/>
      <c r="P2333" s="928"/>
      <c r="Q2333" s="932"/>
      <c r="R2333" s="933"/>
      <c r="S2333" s="932"/>
      <c r="T2333" s="560"/>
      <c r="U2333" s="934"/>
      <c r="AL2333"/>
    </row>
    <row r="2334" spans="1:41" s="935" customFormat="1" ht="11.4">
      <c r="A2334" s="936">
        <v>0</v>
      </c>
      <c r="B2334" s="937">
        <v>1</v>
      </c>
      <c r="C2334" s="937">
        <f>$A2334*$B2334</f>
        <v>0</v>
      </c>
      <c r="D2334" s="938" t="str">
        <f>Elec_Rates!$D$210</f>
        <v>015# Installation of control panels by ECA</v>
      </c>
      <c r="E2334" s="938"/>
      <c r="F2334" s="938" t="s">
        <v>737</v>
      </c>
      <c r="G2334" s="939" t="s">
        <v>739</v>
      </c>
      <c r="H2334" s="939"/>
      <c r="I2334" s="939"/>
      <c r="J2334" s="939"/>
      <c r="K2334" s="940"/>
      <c r="L2334" s="934"/>
      <c r="M2334" s="934"/>
      <c r="N2334" s="934"/>
      <c r="O2334" s="941"/>
      <c r="P2334" s="938"/>
      <c r="Q2334" s="942">
        <f ca="1">$B2334*Elec_Rates!$R$210</f>
        <v>30</v>
      </c>
      <c r="R2334" s="933">
        <f ca="1">$A2334*Q2334</f>
        <v>0</v>
      </c>
      <c r="S2334" s="942">
        <f ca="1">$B2334*Elec_Rates!$T$210</f>
        <v>1</v>
      </c>
      <c r="T2334" s="560">
        <f ca="1">$A2334*S2334</f>
        <v>0</v>
      </c>
      <c r="U2334" s="484"/>
      <c r="AL2334" s="936">
        <v>1</v>
      </c>
    </row>
    <row r="2335" spans="1:41" s="935" customFormat="1" ht="13.2">
      <c r="A2335"/>
      <c r="B2335" s="927"/>
      <c r="C2335" s="927" t="s">
        <v>735</v>
      </c>
      <c r="D2335" s="927" t="str">
        <f ca="1">CELL("Address",Elec_Rates!D$217)</f>
        <v>[E25_0465_IH_Retro_Elec4Mech_Est_Rev_A.xlsx]Elec_Rates!$D$217</v>
      </c>
      <c r="E2335" s="928"/>
      <c r="F2335" s="928"/>
      <c r="G2335" s="929" t="s">
        <v>736</v>
      </c>
      <c r="H2335" s="929"/>
      <c r="I2335" s="929"/>
      <c r="J2335" s="929"/>
      <c r="K2335" s="930"/>
      <c r="L2335" s="928"/>
      <c r="M2335" s="928"/>
      <c r="N2335" s="928"/>
      <c r="O2335" s="931"/>
      <c r="P2335" s="928"/>
      <c r="Q2335" s="932"/>
      <c r="R2335" s="933"/>
      <c r="S2335" s="932"/>
      <c r="T2335" s="560"/>
      <c r="U2335" s="934"/>
      <c r="AL2335"/>
    </row>
    <row r="2336" spans="1:41" s="935" customFormat="1" ht="11.4">
      <c r="A2336" s="936">
        <v>0</v>
      </c>
      <c r="B2336" s="937">
        <v>1</v>
      </c>
      <c r="C2336" s="937">
        <f>$A2336*$B2336</f>
        <v>0</v>
      </c>
      <c r="D2336" s="938" t="str">
        <f>Elec_Rates!$D$217</f>
        <v>016# Installation of sensors on AHUs</v>
      </c>
      <c r="E2336" s="938"/>
      <c r="F2336" s="938" t="s">
        <v>737</v>
      </c>
      <c r="G2336" s="939" t="s">
        <v>738</v>
      </c>
      <c r="H2336" s="939"/>
      <c r="I2336" s="939"/>
      <c r="J2336" s="939"/>
      <c r="K2336" s="940"/>
      <c r="L2336" s="934"/>
      <c r="M2336" s="934"/>
      <c r="N2336" s="934"/>
      <c r="O2336" s="941"/>
      <c r="P2336" s="938"/>
      <c r="Q2336" s="942">
        <f ca="1">$B2336*Elec_Rates!$R$217</f>
        <v>354.24</v>
      </c>
      <c r="R2336" s="933">
        <f ca="1">$A2336*Q2336</f>
        <v>0</v>
      </c>
      <c r="S2336" s="942">
        <f ca="1">$B2336*Elec_Rates!$T$217</f>
        <v>17.989999999999998</v>
      </c>
      <c r="T2336" s="560">
        <f ca="1">$A2336*S2336</f>
        <v>0</v>
      </c>
      <c r="U2336" s="484"/>
      <c r="AL2336" s="936">
        <v>1</v>
      </c>
    </row>
    <row r="2337" spans="1:41" s="501" customFormat="1" ht="14.4" customHeight="1">
      <c r="A2337" s="767"/>
      <c r="B2337" s="567"/>
      <c r="C2337" s="567"/>
      <c r="D2337" s="567"/>
      <c r="E2337" s="567"/>
      <c r="F2337" s="567"/>
      <c r="G2337" s="567"/>
      <c r="H2337" s="764"/>
      <c r="I2337" s="567"/>
      <c r="J2337" s="45"/>
      <c r="K2337" s="769"/>
      <c r="L2337" s="770"/>
      <c r="M2337" s="567"/>
      <c r="N2337" s="567"/>
      <c r="O2337" s="45"/>
      <c r="P2337" s="567"/>
      <c r="Q2337" s="567"/>
      <c r="R2337" s="771">
        <f>$A2337*Q2337</f>
        <v>0</v>
      </c>
      <c r="S2337" s="567"/>
      <c r="T2337" s="500">
        <f>$A2337*S2337*$T$1</f>
        <v>0</v>
      </c>
      <c r="AL2337" s="767"/>
    </row>
    <row r="2338" spans="1:41" s="501" customFormat="1" ht="12">
      <c r="A2338" s="772" t="s">
        <v>145</v>
      </c>
      <c r="B2338" s="773">
        <f>(R2337+T2337)</f>
        <v>0</v>
      </c>
      <c r="C2338" s="753"/>
      <c r="G2338" s="774"/>
      <c r="H2338" s="774"/>
      <c r="I2338" s="774"/>
      <c r="J2338" s="774"/>
      <c r="K2338" s="750" t="s">
        <v>3</v>
      </c>
      <c r="L2338" s="775" t="s">
        <v>573</v>
      </c>
      <c r="M2338" s="774"/>
      <c r="N2338" s="774"/>
      <c r="O2338" s="774"/>
      <c r="P2338" s="774"/>
      <c r="Q2338" s="776"/>
      <c r="R2338" s="777">
        <f ca="1">SUM(R2326:R2337)</f>
        <v>0</v>
      </c>
      <c r="S2338" s="778"/>
      <c r="T2338" s="777">
        <f ca="1">SUM(T2326:T2337)</f>
        <v>0</v>
      </c>
      <c r="AG2338" s="779">
        <f ca="1">ROUND($R2338*$S$2,2)</f>
        <v>0</v>
      </c>
      <c r="AL2338" s="772" t="s">
        <v>145</v>
      </c>
    </row>
    <row r="2339" spans="1:41" s="501" customFormat="1" ht="12" customHeight="1">
      <c r="A2339" s="760"/>
      <c r="B2339" s="780"/>
      <c r="C2339" s="781"/>
      <c r="D2339" s="782" t="str">
        <f>$F$3</f>
        <v>Technician</v>
      </c>
      <c r="E2339" s="782">
        <f>ROUND(($R2342*$S$3 + ($T2342*$T$3)), 2)</f>
        <v>0</v>
      </c>
      <c r="F2339" s="783">
        <f>$E2339*$C$12</f>
        <v>0</v>
      </c>
      <c r="G2339" s="499"/>
      <c r="H2339" s="499"/>
      <c r="I2339" s="499"/>
      <c r="J2339" s="499"/>
      <c r="K2339" s="765" t="s">
        <v>5</v>
      </c>
      <c r="L2339" s="766" t="s">
        <v>573</v>
      </c>
      <c r="M2339" s="499"/>
      <c r="N2339" s="499"/>
      <c r="O2339" s="499"/>
      <c r="P2339" s="499"/>
      <c r="Q2339" s="499"/>
      <c r="R2339" s="784"/>
      <c r="S2339" s="499"/>
      <c r="T2339" s="784"/>
      <c r="AL2339" s="760"/>
    </row>
    <row r="2340" spans="1:41" s="893" customFormat="1" ht="13.2">
      <c r="A2340">
        <v>0</v>
      </c>
      <c r="B2340" s="893" t="s">
        <v>141</v>
      </c>
      <c r="D2340" s="893" t="s">
        <v>767</v>
      </c>
      <c r="E2340" s="893" t="s">
        <v>770</v>
      </c>
      <c r="F2340" s="893" t="s">
        <v>769</v>
      </c>
      <c r="G2340" s="894" t="s">
        <v>768</v>
      </c>
      <c r="H2340" s="895">
        <v>570</v>
      </c>
      <c r="I2340" s="893" t="s">
        <v>643</v>
      </c>
      <c r="O2340" s="896">
        <v>2</v>
      </c>
      <c r="P2340" s="897">
        <v>38443</v>
      </c>
      <c r="Q2340" s="898">
        <v>2500</v>
      </c>
      <c r="R2340" s="899">
        <f>$A2340*Q2340</f>
        <v>0</v>
      </c>
      <c r="S2340" s="898">
        <f>200/25</f>
        <v>8</v>
      </c>
      <c r="T2340" s="900">
        <f>$A2340*S2340*$T$1</f>
        <v>0</v>
      </c>
      <c r="AL2340">
        <v>1</v>
      </c>
    </row>
    <row r="2341" spans="1:41" s="501" customFormat="1" ht="15.6" customHeight="1">
      <c r="A2341" s="767"/>
      <c r="B2341" s="567"/>
      <c r="C2341" s="567"/>
      <c r="D2341" s="3"/>
      <c r="E2341" s="567"/>
      <c r="F2341" s="567"/>
      <c r="G2341" s="567"/>
      <c r="H2341" s="567"/>
      <c r="I2341" s="567"/>
      <c r="J2341" s="567"/>
      <c r="K2341" s="567"/>
      <c r="L2341" s="770"/>
      <c r="M2341" s="567"/>
      <c r="N2341" s="567"/>
      <c r="O2341" s="567"/>
      <c r="P2341" s="567"/>
      <c r="Q2341" s="567"/>
      <c r="R2341" s="771">
        <f>$A2341*Q2341</f>
        <v>0</v>
      </c>
      <c r="S2341" s="567"/>
      <c r="T2341" s="500">
        <f>$A2341*S2341*$T$1</f>
        <v>0</v>
      </c>
      <c r="AL2341" s="767"/>
    </row>
    <row r="2342" spans="1:41" s="501" customFormat="1" ht="12">
      <c r="A2342" s="772" t="s">
        <v>145</v>
      </c>
      <c r="B2342" s="773">
        <f>(R2341+T2341)</f>
        <v>0</v>
      </c>
      <c r="C2342" s="753"/>
      <c r="G2342" s="774"/>
      <c r="H2342" s="774"/>
      <c r="I2342" s="774"/>
      <c r="J2342" s="774"/>
      <c r="K2342" s="798" t="s">
        <v>5</v>
      </c>
      <c r="L2342" s="775" t="s">
        <v>573</v>
      </c>
      <c r="M2342" s="774"/>
      <c r="N2342" s="774"/>
      <c r="O2342" s="774"/>
      <c r="P2342" s="774"/>
      <c r="Q2342" s="776"/>
      <c r="R2342" s="777">
        <f>SUM(R2339:R2341)</f>
        <v>0</v>
      </c>
      <c r="S2342" s="778"/>
      <c r="T2342" s="777">
        <f>SUM(T2339:T2341)</f>
        <v>0</v>
      </c>
      <c r="AG2342" s="799">
        <f>ROUND($R2342*$S$3,2)</f>
        <v>0</v>
      </c>
      <c r="AL2342" s="772" t="s">
        <v>145</v>
      </c>
    </row>
    <row r="2343" spans="1:41" s="501" customFormat="1" ht="12" customHeight="1">
      <c r="A2343" s="800"/>
      <c r="B2343" s="801"/>
      <c r="C2343" s="802"/>
      <c r="D2343" s="803" t="str">
        <f>$F$4</f>
        <v>Engineer (Man Hours)</v>
      </c>
      <c r="E2343" s="803">
        <f>ROUND(($R2346*$S$4 + ($T2346*$T$4)), 2)</f>
        <v>0</v>
      </c>
      <c r="F2343" s="804">
        <f ca="1">$F2323-SUMIF($L2325:$P2340,"SUBI",$F2325:$F2340)</f>
        <v>0</v>
      </c>
      <c r="G2343" s="499"/>
      <c r="H2343" s="499"/>
      <c r="I2343" s="499"/>
      <c r="J2343" s="499"/>
      <c r="K2343" s="805" t="s">
        <v>8</v>
      </c>
      <c r="L2343" s="766" t="s">
        <v>573</v>
      </c>
      <c r="M2343" s="499"/>
      <c r="N2343" s="499"/>
      <c r="O2343" s="499"/>
      <c r="P2343" s="499"/>
      <c r="Q2343" s="499"/>
      <c r="R2343" s="784"/>
      <c r="S2343" s="499"/>
      <c r="T2343" s="784"/>
      <c r="AL2343" s="800"/>
    </row>
    <row r="2344" spans="1:41" s="893" customFormat="1" ht="13.2">
      <c r="A2344">
        <v>0</v>
      </c>
      <c r="B2344" s="893" t="s">
        <v>141</v>
      </c>
      <c r="D2344" s="893" t="s">
        <v>767</v>
      </c>
      <c r="E2344" s="893" t="s">
        <v>771</v>
      </c>
      <c r="F2344" s="893" t="s">
        <v>769</v>
      </c>
      <c r="G2344" s="894" t="s">
        <v>768</v>
      </c>
      <c r="H2344" s="895">
        <v>570</v>
      </c>
      <c r="I2344" s="893" t="s">
        <v>643</v>
      </c>
      <c r="O2344" s="896">
        <v>2</v>
      </c>
      <c r="P2344" s="897">
        <v>38443</v>
      </c>
      <c r="Q2344" s="898"/>
      <c r="R2344" s="899">
        <f>$A2344*Q2344</f>
        <v>0</v>
      </c>
      <c r="S2344" s="898">
        <f>100/25</f>
        <v>4</v>
      </c>
      <c r="T2344" s="900">
        <f>$A2344*S2344*$T$1</f>
        <v>0</v>
      </c>
      <c r="AL2344">
        <v>1</v>
      </c>
    </row>
    <row r="2345" spans="1:41" s="501" customFormat="1" ht="12">
      <c r="A2345" s="44"/>
      <c r="B2345" s="497"/>
      <c r="C2345" s="497"/>
      <c r="D2345" s="807"/>
      <c r="E2345" s="808"/>
      <c r="F2345" s="499"/>
      <c r="G2345" s="499"/>
      <c r="H2345" s="499"/>
      <c r="I2345" s="499"/>
      <c r="J2345" s="499"/>
      <c r="K2345" s="499"/>
      <c r="L2345" s="809"/>
      <c r="M2345" s="499"/>
      <c r="N2345" s="499"/>
      <c r="O2345" s="499"/>
      <c r="P2345" s="499"/>
      <c r="Q2345" s="499"/>
      <c r="R2345" s="720">
        <f>$A2345*Q2345</f>
        <v>0</v>
      </c>
      <c r="S2345" s="499"/>
      <c r="T2345" s="500">
        <f>$A2345*S2345*$T$1</f>
        <v>0</v>
      </c>
    </row>
    <row r="2346" spans="1:41" s="501" customFormat="1" ht="12.75" customHeight="1">
      <c r="A2346" s="772" t="s">
        <v>145</v>
      </c>
      <c r="B2346" s="773">
        <f>(R2345+T2345)</f>
        <v>0</v>
      </c>
      <c r="C2346" s="810"/>
      <c r="D2346" s="810"/>
      <c r="E2346" s="810"/>
      <c r="F2346" s="810"/>
      <c r="G2346" s="776"/>
      <c r="H2346" s="776"/>
      <c r="I2346" s="776"/>
      <c r="J2346" s="776"/>
      <c r="K2346" s="798" t="s">
        <v>8</v>
      </c>
      <c r="L2346" s="811" t="s">
        <v>573</v>
      </c>
      <c r="M2346" s="776"/>
      <c r="N2346" s="776"/>
      <c r="O2346" s="776"/>
      <c r="P2346" s="776"/>
      <c r="Q2346" s="776"/>
      <c r="R2346" s="777">
        <f>SUM(R2343:R2345)</f>
        <v>0</v>
      </c>
      <c r="S2346" s="778"/>
      <c r="T2346" s="777">
        <f>SUM(T2343:T2345)</f>
        <v>0</v>
      </c>
      <c r="AG2346" s="812">
        <f>ROUND($R2346*$S$4,2)</f>
        <v>0</v>
      </c>
    </row>
    <row r="2347" spans="1:41" s="501" customFormat="1" ht="12.75" customHeight="1">
      <c r="A2347" s="813"/>
      <c r="B2347" s="814"/>
      <c r="E2347" s="497"/>
      <c r="F2347" s="808"/>
      <c r="G2347" s="497"/>
      <c r="H2347" s="497"/>
      <c r="I2347" s="499"/>
      <c r="J2347" s="497"/>
      <c r="K2347" s="497"/>
      <c r="L2347" s="815"/>
      <c r="M2347" s="725"/>
      <c r="N2347" s="725"/>
      <c r="O2347" s="725"/>
      <c r="P2347" s="725"/>
      <c r="Q2347" s="726"/>
      <c r="R2347" s="784"/>
      <c r="S2347" s="497"/>
      <c r="T2347" s="784"/>
    </row>
    <row r="2348" spans="1:41" s="501" customFormat="1" ht="13.5" customHeight="1" thickBot="1">
      <c r="A2348" s="816"/>
      <c r="B2348" s="817"/>
      <c r="C2348" s="518"/>
      <c r="D2348" s="518"/>
      <c r="E2348" s="515"/>
      <c r="F2348" s="721"/>
      <c r="G2348" s="515" t="s">
        <v>146</v>
      </c>
      <c r="H2348" s="515"/>
      <c r="I2348" s="516"/>
      <c r="J2348" s="515"/>
      <c r="K2348" s="515"/>
      <c r="L2348" s="818" t="s">
        <v>143</v>
      </c>
      <c r="M2348" s="517"/>
      <c r="N2348" s="517"/>
      <c r="O2348" s="517"/>
      <c r="P2348" s="517"/>
      <c r="Q2348" s="722"/>
      <c r="R2348" s="819">
        <f ca="1">SUMIF($L2324:$L2347,"SUBI",R2324:R2347)</f>
        <v>0</v>
      </c>
      <c r="S2348" s="820"/>
      <c r="T2348" s="819">
        <f ca="1">SUMIF($L2324:$L2347,"SUBI",T2324:T2347)</f>
        <v>0</v>
      </c>
      <c r="U2348" s="518"/>
      <c r="V2348" s="518"/>
      <c r="W2348" s="518"/>
      <c r="X2348" s="518"/>
      <c r="Y2348" s="518"/>
      <c r="Z2348" s="518"/>
      <c r="AA2348" s="518"/>
      <c r="AB2348" s="518"/>
      <c r="AC2348" s="518"/>
      <c r="AD2348" s="518"/>
      <c r="AE2348" s="518"/>
      <c r="AF2348" s="518"/>
      <c r="AG2348" s="518"/>
      <c r="AH2348" s="518"/>
      <c r="AI2348" s="518"/>
      <c r="AJ2348" s="518"/>
      <c r="AK2348" s="518"/>
      <c r="AL2348" s="518"/>
      <c r="AM2348" s="518"/>
      <c r="AN2348" s="518"/>
      <c r="AO2348" s="518"/>
    </row>
    <row r="2349" spans="1:41" s="501" customFormat="1" thickTop="1">
      <c r="A2349" s="44"/>
      <c r="B2349" s="44"/>
      <c r="C2349" s="3"/>
      <c r="D2349" s="3"/>
      <c r="E2349" s="44"/>
      <c r="F2349" s="44"/>
      <c r="G2349" s="44"/>
      <c r="H2349" s="44"/>
      <c r="I2349" s="44"/>
      <c r="J2349" s="44"/>
      <c r="K2349" s="44" t="s">
        <v>134</v>
      </c>
      <c r="L2349" s="44"/>
      <c r="M2349" s="44"/>
      <c r="N2349" s="44"/>
      <c r="O2349" s="45"/>
      <c r="P2349" s="44"/>
      <c r="Q2349" s="44"/>
      <c r="R2349" s="44"/>
      <c r="S2349" s="44"/>
      <c r="T2349" s="44"/>
    </row>
    <row r="2350" spans="1:41" s="501" customFormat="1" ht="12">
      <c r="A2350" s="44"/>
      <c r="B2350" s="44"/>
      <c r="C2350" s="44" t="s">
        <v>135</v>
      </c>
      <c r="D2350" s="35"/>
      <c r="E2350" s="44"/>
      <c r="F2350" s="44"/>
      <c r="G2350" s="44"/>
      <c r="H2350" s="44"/>
      <c r="I2350" s="44"/>
      <c r="J2350" s="44"/>
      <c r="K2350" s="44"/>
      <c r="L2350" s="44"/>
      <c r="M2350" s="44"/>
      <c r="N2350" s="44"/>
      <c r="O2350" s="45"/>
      <c r="P2350" s="44"/>
      <c r="Q2350" s="44"/>
      <c r="R2350" s="44"/>
      <c r="S2350" s="44"/>
      <c r="T2350" s="44"/>
    </row>
    <row r="2351" spans="1:41" s="501" customFormat="1" ht="12">
      <c r="A2351" s="44"/>
      <c r="B2351" s="44"/>
      <c r="C2351" s="44"/>
      <c r="D2351" s="35" t="s">
        <v>529</v>
      </c>
      <c r="E2351" s="44"/>
      <c r="F2351" s="44"/>
      <c r="G2351" s="44"/>
      <c r="H2351" s="44"/>
      <c r="I2351" s="44"/>
      <c r="J2351" s="44"/>
      <c r="K2351" s="44"/>
      <c r="L2351" s="44"/>
      <c r="M2351" s="44"/>
      <c r="N2351" s="44"/>
      <c r="O2351" s="45"/>
      <c r="P2351" s="44"/>
      <c r="Q2351" s="44"/>
      <c r="R2351" s="44"/>
      <c r="S2351" s="36"/>
      <c r="T2351" s="36"/>
    </row>
    <row r="2352" spans="1:41" s="3" customFormat="1" thickBot="1">
      <c r="A2352" s="518"/>
      <c r="O2352" s="86"/>
    </row>
    <row r="2353" spans="1:41" s="501" customFormat="1" thickTop="1">
      <c r="A2353" s="44"/>
      <c r="B2353" s="39"/>
      <c r="C2353" s="44"/>
      <c r="E2353" s="40" t="s">
        <v>138</v>
      </c>
      <c r="F2353" s="40" t="s">
        <v>139</v>
      </c>
      <c r="G2353" s="44"/>
      <c r="H2353" s="44"/>
      <c r="I2353" s="44"/>
      <c r="J2353" s="44"/>
      <c r="K2353" s="44" t="s">
        <v>140</v>
      </c>
      <c r="L2353" s="737"/>
      <c r="M2353" s="44"/>
      <c r="N2353" s="44"/>
      <c r="O2353" s="45"/>
      <c r="P2353" s="44"/>
      <c r="Q2353"/>
      <c r="R2353"/>
      <c r="S2353"/>
      <c r="T2353" s="39"/>
      <c r="AG2353" s="502" t="s">
        <v>247</v>
      </c>
      <c r="AH2353" s="502" t="s">
        <v>248</v>
      </c>
      <c r="AI2353" s="502" t="s">
        <v>249</v>
      </c>
      <c r="AJ2353" s="502" t="s">
        <v>250</v>
      </c>
      <c r="AK2353" s="502" t="s">
        <v>251</v>
      </c>
      <c r="AM2353" s="710" t="s">
        <v>260</v>
      </c>
      <c r="AN2353" s="711" t="s">
        <v>261</v>
      </c>
      <c r="AO2353" s="503" t="s">
        <v>257</v>
      </c>
    </row>
    <row r="2354" spans="1:41" s="501" customFormat="1" ht="13.2">
      <c r="A2354" s="712">
        <v>1</v>
      </c>
      <c r="B2354" s="504" t="s">
        <v>283</v>
      </c>
      <c r="C2354" s="505"/>
      <c r="D2354" s="713" t="s">
        <v>618</v>
      </c>
      <c r="E2354" s="738">
        <f ca="1">IF(AND($A2354=0,$A$1="DIF"),0,ROUND(ROUND(SUMIF($L2356:$L2374,"SUBI",$E2356:$E2374)/$A2354,2)*$C$12,2))</f>
        <v>0</v>
      </c>
      <c r="F2354" s="739">
        <f ca="1">ROUND($A2354*$E2354,2)</f>
        <v>0</v>
      </c>
      <c r="G2354" s="506" t="s">
        <v>142</v>
      </c>
      <c r="H2354" s="498"/>
      <c r="I2354" s="716"/>
      <c r="J2354" s="498"/>
      <c r="K2354" s="740"/>
      <c r="L2354" s="741" t="s">
        <v>143</v>
      </c>
      <c r="M2354" s="717"/>
      <c r="N2354" s="717"/>
      <c r="O2354" s="717"/>
      <c r="P2354" s="717"/>
      <c r="Q2354" s="943" t="s">
        <v>855</v>
      </c>
      <c r="R2354" s="943" t="s">
        <v>1105</v>
      </c>
      <c r="S2354"/>
      <c r="T2354" s="742" t="str">
        <f ca="1">IF(AND($R2379=0,$T2379=0),"0.00","mu :" &amp; ROUND($F2354/$C$12/($R2379+$T2379*$D$9),2))</f>
        <v>0.00</v>
      </c>
      <c r="W2354" s="507"/>
      <c r="AG2354" s="743">
        <f ca="1">IF(A2354=0,0,ROUND(SUM(AG2356:AG2379)/A2354,2))</f>
        <v>0</v>
      </c>
      <c r="AH2354" s="743">
        <f ca="1">$AG2354*$A2354</f>
        <v>0</v>
      </c>
      <c r="AI2354" s="743">
        <f ca="1">$E2354-$AG2354</f>
        <v>0</v>
      </c>
      <c r="AJ2354" s="743">
        <f ca="1">$A2354*$AI2354</f>
        <v>0</v>
      </c>
      <c r="AK2354" s="744">
        <f ca="1">ROUND(($AG2354+$AI2354)*$A2354,2)</f>
        <v>0</v>
      </c>
      <c r="AM2354" s="510">
        <f ca="1">ROUND(R2379,2)</f>
        <v>0</v>
      </c>
      <c r="AN2354" s="511">
        <f ca="1">ROUND(T2379,2)</f>
        <v>0</v>
      </c>
      <c r="AO2354" s="512">
        <f ca="1">ROUND(AM2354+AN2354,2)*A2354</f>
        <v>0</v>
      </c>
    </row>
    <row r="2355" spans="1:41" s="501" customFormat="1" ht="39.9" customHeight="1">
      <c r="A2355" s="745"/>
      <c r="B2355" s="746"/>
      <c r="C2355" s="505"/>
      <c r="D2355" s="1183" t="s">
        <v>530</v>
      </c>
      <c r="E2355" s="1184"/>
      <c r="F2355" s="1184"/>
      <c r="G2355" s="1184"/>
      <c r="H2355" s="1184"/>
      <c r="I2355" s="1184"/>
      <c r="J2355" s="1184"/>
      <c r="K2355" s="1184"/>
      <c r="L2355" s="1184"/>
      <c r="M2355" s="1184"/>
      <c r="N2355" s="1184"/>
      <c r="O2355" s="1184"/>
      <c r="P2355" s="1184"/>
      <c r="Q2355" s="1184"/>
      <c r="R2355" s="1184"/>
      <c r="S2355" s="1184"/>
      <c r="T2355" s="1184"/>
    </row>
    <row r="2356" spans="1:41" s="501" customFormat="1" ht="12">
      <c r="A2356" s="748"/>
      <c r="B2356" s="749"/>
      <c r="C2356" s="497"/>
      <c r="D2356" s="750"/>
      <c r="E2356" s="751">
        <f ca="1">F2354/$C$12-SUMIF($L2353:$L2379,"SUBI",$E2353:$E2379)</f>
        <v>0</v>
      </c>
      <c r="F2356" s="752" t="s">
        <v>572</v>
      </c>
      <c r="G2356" s="753"/>
      <c r="H2356" s="753"/>
      <c r="I2356" s="754"/>
      <c r="J2356" s="753"/>
      <c r="K2356" s="753"/>
      <c r="L2356" s="755"/>
      <c r="M2356" s="756"/>
      <c r="N2356" s="756"/>
      <c r="O2356" s="756"/>
      <c r="P2356" s="756"/>
      <c r="Q2356" s="757"/>
      <c r="R2356" s="758"/>
      <c r="S2356" s="757"/>
      <c r="T2356" s="759"/>
    </row>
    <row r="2357" spans="1:41" s="501" customFormat="1" ht="12" customHeight="1">
      <c r="A2357" s="760"/>
      <c r="B2357" s="761"/>
      <c r="C2357" s="762"/>
      <c r="D2357" s="762" t="str">
        <f>$F$2</f>
        <v>Electrical</v>
      </c>
      <c r="E2357" s="762">
        <f ca="1">ROUND(($R2369*$S$2 + ($T2369*$T$2)), 2)</f>
        <v>0</v>
      </c>
      <c r="F2357" s="763">
        <f ca="1">$E2357*$C$12</f>
        <v>0</v>
      </c>
      <c r="G2357" s="567"/>
      <c r="H2357" s="764"/>
      <c r="I2357" s="567"/>
      <c r="J2357" s="45"/>
      <c r="K2357" s="765" t="s">
        <v>3</v>
      </c>
      <c r="L2357" s="766" t="s">
        <v>573</v>
      </c>
      <c r="M2357" s="567"/>
      <c r="N2357" s="567"/>
      <c r="O2357" s="45"/>
      <c r="P2357" s="567"/>
      <c r="Q2357" s="567"/>
      <c r="R2357"/>
      <c r="S2357"/>
      <c r="T2357"/>
    </row>
    <row r="2358" spans="1:41" s="935" customFormat="1" ht="13.2">
      <c r="A2358"/>
      <c r="B2358" s="927"/>
      <c r="C2358" s="927" t="s">
        <v>735</v>
      </c>
      <c r="D2358" s="927" t="str">
        <f ca="1">CELL("Address",Elec_Rates!D$143)</f>
        <v>[E25_0465_IH_Retro_Elec4Mech_Est_Rev_A.xlsx]Elec_Rates!$D$143</v>
      </c>
      <c r="E2358" s="928"/>
      <c r="F2358" s="928"/>
      <c r="G2358" s="929" t="s">
        <v>736</v>
      </c>
      <c r="H2358" s="929"/>
      <c r="I2358" s="929"/>
      <c r="J2358" s="929"/>
      <c r="K2358" s="930"/>
      <c r="L2358" s="928"/>
      <c r="M2358" s="928"/>
      <c r="N2358" s="928"/>
      <c r="O2358" s="931"/>
      <c r="P2358" s="928"/>
      <c r="Q2358" s="932"/>
      <c r="R2358" s="933"/>
      <c r="S2358" s="932"/>
      <c r="T2358" s="560"/>
      <c r="U2358" s="934"/>
    </row>
    <row r="2359" spans="1:41" s="935" customFormat="1" ht="11.4">
      <c r="A2359" s="936">
        <v>0</v>
      </c>
      <c r="B2359" s="937">
        <v>1</v>
      </c>
      <c r="C2359" s="937">
        <f>$A2359*$B2359</f>
        <v>0</v>
      </c>
      <c r="D2359" s="938" t="str">
        <f>Elec_Rates!$D$143</f>
        <v>011# Power supply to control panel (4core x 4.0sqmm) and VDS by pass in MCC</v>
      </c>
      <c r="E2359" s="938"/>
      <c r="F2359" s="938" t="s">
        <v>737</v>
      </c>
      <c r="G2359" s="939" t="s">
        <v>738</v>
      </c>
      <c r="H2359" s="939"/>
      <c r="I2359" s="939"/>
      <c r="J2359" s="939"/>
      <c r="K2359" s="940"/>
      <c r="L2359" s="934"/>
      <c r="M2359" s="934"/>
      <c r="N2359" s="934"/>
      <c r="O2359" s="941"/>
      <c r="P2359" s="938"/>
      <c r="Q2359" s="942">
        <f ca="1">$B2359*Elec_Rates!$R$143</f>
        <v>74.239999999999995</v>
      </c>
      <c r="R2359" s="933">
        <f ca="1">$A2359*Q2359</f>
        <v>0</v>
      </c>
      <c r="S2359" s="942">
        <f ca="1">$B2359*Elec_Rates!$T$143</f>
        <v>3.17</v>
      </c>
      <c r="T2359" s="560">
        <f ca="1">$A2359*S2359</f>
        <v>0</v>
      </c>
      <c r="U2359" s="484"/>
      <c r="AL2359" s="936">
        <v>1</v>
      </c>
    </row>
    <row r="2360" spans="1:41" s="935" customFormat="1" ht="13.2">
      <c r="A2360"/>
      <c r="B2360" s="927"/>
      <c r="C2360" s="927" t="s">
        <v>735</v>
      </c>
      <c r="D2360" s="927" t="str">
        <f ca="1">CELL("Address",Elec_Rates!D$196)</f>
        <v>[E25_0465_IH_Retro_Elec4Mech_Est_Rev_A.xlsx]Elec_Rates!$D$196</v>
      </c>
      <c r="E2360" s="928"/>
      <c r="F2360" s="928"/>
      <c r="G2360" s="929" t="s">
        <v>736</v>
      </c>
      <c r="H2360" s="929"/>
      <c r="I2360" s="929"/>
      <c r="J2360" s="929"/>
      <c r="K2360" s="930"/>
      <c r="L2360" s="928"/>
      <c r="M2360" s="928"/>
      <c r="N2360" s="928"/>
      <c r="O2360" s="931"/>
      <c r="P2360" s="928"/>
      <c r="Q2360" s="932"/>
      <c r="R2360" s="933"/>
      <c r="S2360" s="932"/>
      <c r="T2360" s="560"/>
      <c r="U2360" s="934"/>
      <c r="AL2360"/>
    </row>
    <row r="2361" spans="1:41" s="935" customFormat="1" ht="11.4">
      <c r="A2361" s="936">
        <v>0</v>
      </c>
      <c r="B2361" s="937">
        <v>1</v>
      </c>
      <c r="C2361" s="937">
        <f>$A2361*$B2361</f>
        <v>0</v>
      </c>
      <c r="D2361" s="938" t="str">
        <f>Elec_Rates!$D$196</f>
        <v>013# Installation of Rosenger control panel</v>
      </c>
      <c r="E2361" s="938"/>
      <c r="F2361" s="938" t="s">
        <v>737</v>
      </c>
      <c r="G2361" s="939" t="s">
        <v>739</v>
      </c>
      <c r="H2361" s="939"/>
      <c r="I2361" s="939"/>
      <c r="J2361" s="939"/>
      <c r="K2361" s="940"/>
      <c r="L2361" s="934"/>
      <c r="M2361" s="934"/>
      <c r="N2361" s="934"/>
      <c r="O2361" s="941"/>
      <c r="P2361" s="938"/>
      <c r="Q2361" s="942">
        <f ca="1">$B2361*Elec_Rates!$R$196</f>
        <v>20</v>
      </c>
      <c r="R2361" s="933">
        <f ca="1">$A2361*Q2361</f>
        <v>0</v>
      </c>
      <c r="S2361" s="942">
        <f ca="1">$B2361*Elec_Rates!$T$196</f>
        <v>2</v>
      </c>
      <c r="T2361" s="560">
        <f ca="1">$A2361*S2361</f>
        <v>0</v>
      </c>
      <c r="U2361" s="484"/>
      <c r="AL2361" s="936">
        <v>1</v>
      </c>
    </row>
    <row r="2362" spans="1:41" s="935" customFormat="1" ht="13.2">
      <c r="A2362"/>
      <c r="B2362" s="927"/>
      <c r="C2362" s="927" t="s">
        <v>735</v>
      </c>
      <c r="D2362" s="927" t="str">
        <f ca="1">CELL("Address",Elec_Rates!D$203)</f>
        <v>[E25_0465_IH_Retro_Elec4Mech_Est_Rev_A.xlsx]Elec_Rates!$D$203</v>
      </c>
      <c r="E2362" s="928"/>
      <c r="F2362" s="928"/>
      <c r="G2362" s="929" t="s">
        <v>736</v>
      </c>
      <c r="H2362" s="929"/>
      <c r="I2362" s="929"/>
      <c r="J2362" s="929"/>
      <c r="K2362" s="930"/>
      <c r="L2362" s="928"/>
      <c r="M2362" s="928"/>
      <c r="N2362" s="928"/>
      <c r="O2362" s="931"/>
      <c r="P2362" s="928"/>
      <c r="Q2362" s="932"/>
      <c r="R2362" s="933"/>
      <c r="S2362" s="932"/>
      <c r="T2362" s="560"/>
      <c r="U2362" s="934"/>
      <c r="AL2362"/>
    </row>
    <row r="2363" spans="1:41" s="935" customFormat="1" ht="11.4">
      <c r="A2363" s="936">
        <v>0</v>
      </c>
      <c r="B2363" s="937">
        <v>1</v>
      </c>
      <c r="C2363" s="937">
        <f>$A2363*$B2363</f>
        <v>0</v>
      </c>
      <c r="D2363" s="938" t="str">
        <f>Elec_Rates!$D$203</f>
        <v>014# Installation of cable harness to fans</v>
      </c>
      <c r="E2363" s="938"/>
      <c r="F2363" s="938" t="s">
        <v>737</v>
      </c>
      <c r="G2363" s="939" t="s">
        <v>738</v>
      </c>
      <c r="H2363" s="939"/>
      <c r="I2363" s="939"/>
      <c r="J2363" s="939"/>
      <c r="K2363" s="940"/>
      <c r="L2363" s="934"/>
      <c r="M2363" s="934"/>
      <c r="N2363" s="934"/>
      <c r="O2363" s="941"/>
      <c r="P2363" s="938"/>
      <c r="Q2363" s="942">
        <f ca="1">$B2363*Elec_Rates!$R$203</f>
        <v>20</v>
      </c>
      <c r="R2363" s="933">
        <f ca="1">$A2363*Q2363</f>
        <v>0</v>
      </c>
      <c r="S2363" s="942">
        <f ca="1">$B2363*Elec_Rates!$T$203</f>
        <v>1</v>
      </c>
      <c r="T2363" s="560">
        <f ca="1">$A2363*S2363</f>
        <v>0</v>
      </c>
      <c r="U2363" s="484"/>
      <c r="AL2363" s="936">
        <v>2</v>
      </c>
    </row>
    <row r="2364" spans="1:41" s="935" customFormat="1" ht="13.2">
      <c r="A2364"/>
      <c r="B2364" s="927"/>
      <c r="C2364" s="927" t="s">
        <v>735</v>
      </c>
      <c r="D2364" s="927" t="str">
        <f ca="1">CELL("Address",Elec_Rates!D$210)</f>
        <v>[E25_0465_IH_Retro_Elec4Mech_Est_Rev_A.xlsx]Elec_Rates!$D$210</v>
      </c>
      <c r="E2364" s="928"/>
      <c r="F2364" s="928"/>
      <c r="G2364" s="929" t="s">
        <v>736</v>
      </c>
      <c r="H2364" s="929"/>
      <c r="I2364" s="929"/>
      <c r="J2364" s="929"/>
      <c r="K2364" s="930"/>
      <c r="L2364" s="928"/>
      <c r="M2364" s="928"/>
      <c r="N2364" s="928"/>
      <c r="O2364" s="931"/>
      <c r="P2364" s="928"/>
      <c r="Q2364" s="932"/>
      <c r="R2364" s="933"/>
      <c r="S2364" s="932"/>
      <c r="T2364" s="560"/>
      <c r="U2364" s="934"/>
      <c r="AL2364"/>
    </row>
    <row r="2365" spans="1:41" s="935" customFormat="1" ht="11.4">
      <c r="A2365" s="936">
        <v>0</v>
      </c>
      <c r="B2365" s="937">
        <v>1</v>
      </c>
      <c r="C2365" s="937">
        <f>$A2365*$B2365</f>
        <v>0</v>
      </c>
      <c r="D2365" s="938" t="str">
        <f>Elec_Rates!$D$210</f>
        <v>015# Installation of control panels by ECA</v>
      </c>
      <c r="E2365" s="938"/>
      <c r="F2365" s="938" t="s">
        <v>737</v>
      </c>
      <c r="G2365" s="939" t="s">
        <v>739</v>
      </c>
      <c r="H2365" s="939"/>
      <c r="I2365" s="939"/>
      <c r="J2365" s="939"/>
      <c r="K2365" s="940"/>
      <c r="L2365" s="934"/>
      <c r="M2365" s="934"/>
      <c r="N2365" s="934"/>
      <c r="O2365" s="941"/>
      <c r="P2365" s="938"/>
      <c r="Q2365" s="942">
        <f ca="1">$B2365*Elec_Rates!$R$210</f>
        <v>30</v>
      </c>
      <c r="R2365" s="933">
        <f ca="1">$A2365*Q2365</f>
        <v>0</v>
      </c>
      <c r="S2365" s="942">
        <f ca="1">$B2365*Elec_Rates!$T$210</f>
        <v>1</v>
      </c>
      <c r="T2365" s="560">
        <f ca="1">$A2365*S2365</f>
        <v>0</v>
      </c>
      <c r="U2365" s="484"/>
      <c r="AL2365" s="936">
        <v>1</v>
      </c>
    </row>
    <row r="2366" spans="1:41" s="935" customFormat="1" ht="13.2">
      <c r="A2366"/>
      <c r="B2366" s="927"/>
      <c r="C2366" s="927" t="s">
        <v>735</v>
      </c>
      <c r="D2366" s="927" t="str">
        <f ca="1">CELL("Address",Elec_Rates!D$217)</f>
        <v>[E25_0465_IH_Retro_Elec4Mech_Est_Rev_A.xlsx]Elec_Rates!$D$217</v>
      </c>
      <c r="E2366" s="928"/>
      <c r="F2366" s="928"/>
      <c r="G2366" s="929" t="s">
        <v>736</v>
      </c>
      <c r="H2366" s="929"/>
      <c r="I2366" s="929"/>
      <c r="J2366" s="929"/>
      <c r="K2366" s="930"/>
      <c r="L2366" s="928"/>
      <c r="M2366" s="928"/>
      <c r="N2366" s="928"/>
      <c r="O2366" s="931"/>
      <c r="P2366" s="928"/>
      <c r="Q2366" s="932"/>
      <c r="R2366" s="933"/>
      <c r="S2366" s="932"/>
      <c r="T2366" s="560"/>
      <c r="U2366" s="934"/>
      <c r="AL2366"/>
    </row>
    <row r="2367" spans="1:41" s="935" customFormat="1" ht="11.4">
      <c r="A2367" s="936">
        <v>0</v>
      </c>
      <c r="B2367" s="937">
        <v>1</v>
      </c>
      <c r="C2367" s="937">
        <f>$A2367*$B2367</f>
        <v>0</v>
      </c>
      <c r="D2367" s="938" t="str">
        <f>Elec_Rates!$D$217</f>
        <v>016# Installation of sensors on AHUs</v>
      </c>
      <c r="E2367" s="938"/>
      <c r="F2367" s="938" t="s">
        <v>737</v>
      </c>
      <c r="G2367" s="939" t="s">
        <v>738</v>
      </c>
      <c r="H2367" s="939"/>
      <c r="I2367" s="939"/>
      <c r="J2367" s="939"/>
      <c r="K2367" s="940"/>
      <c r="L2367" s="934"/>
      <c r="M2367" s="934"/>
      <c r="N2367" s="934"/>
      <c r="O2367" s="941"/>
      <c r="P2367" s="938"/>
      <c r="Q2367" s="942">
        <f ca="1">$B2367*Elec_Rates!$R$217</f>
        <v>354.24</v>
      </c>
      <c r="R2367" s="933">
        <f ca="1">$A2367*Q2367</f>
        <v>0</v>
      </c>
      <c r="S2367" s="942">
        <f ca="1">$B2367*Elec_Rates!$T$217</f>
        <v>17.989999999999998</v>
      </c>
      <c r="T2367" s="560">
        <f ca="1">$A2367*S2367</f>
        <v>0</v>
      </c>
      <c r="U2367" s="484"/>
      <c r="AL2367" s="936">
        <v>1</v>
      </c>
    </row>
    <row r="2368" spans="1:41" s="501" customFormat="1" ht="14.4" customHeight="1">
      <c r="A2368" s="767"/>
      <c r="B2368" s="567"/>
      <c r="C2368" s="567"/>
      <c r="D2368" s="567"/>
      <c r="E2368" s="567"/>
      <c r="F2368" s="567"/>
      <c r="G2368" s="567"/>
      <c r="H2368" s="764"/>
      <c r="I2368" s="567"/>
      <c r="J2368" s="45"/>
      <c r="K2368" s="769"/>
      <c r="L2368" s="770"/>
      <c r="M2368" s="567"/>
      <c r="N2368" s="567"/>
      <c r="O2368" s="45"/>
      <c r="P2368" s="567"/>
      <c r="Q2368" s="567"/>
      <c r="R2368" s="771">
        <f>$A2368*Q2368</f>
        <v>0</v>
      </c>
      <c r="S2368" s="567"/>
      <c r="T2368" s="500">
        <f>$A2368*S2368*$T$1</f>
        <v>0</v>
      </c>
      <c r="AL2368" s="767"/>
    </row>
    <row r="2369" spans="1:41" s="501" customFormat="1" ht="12">
      <c r="A2369" s="772" t="s">
        <v>145</v>
      </c>
      <c r="B2369" s="773">
        <f>(R2368+T2368)</f>
        <v>0</v>
      </c>
      <c r="C2369" s="753"/>
      <c r="G2369" s="774"/>
      <c r="H2369" s="774"/>
      <c r="I2369" s="774"/>
      <c r="J2369" s="774"/>
      <c r="K2369" s="750" t="s">
        <v>3</v>
      </c>
      <c r="L2369" s="775" t="s">
        <v>573</v>
      </c>
      <c r="M2369" s="774"/>
      <c r="N2369" s="774"/>
      <c r="O2369" s="774"/>
      <c r="P2369" s="774"/>
      <c r="Q2369" s="776"/>
      <c r="R2369" s="777">
        <f ca="1">SUM(R2357:R2368)</f>
        <v>0</v>
      </c>
      <c r="S2369" s="778"/>
      <c r="T2369" s="777">
        <f ca="1">SUM(T2357:T2368)</f>
        <v>0</v>
      </c>
      <c r="AG2369" s="779">
        <f ca="1">ROUND($R2369*$S$2,2)</f>
        <v>0</v>
      </c>
      <c r="AL2369" s="772" t="s">
        <v>145</v>
      </c>
    </row>
    <row r="2370" spans="1:41" s="501" customFormat="1" ht="12" customHeight="1">
      <c r="A2370" s="760"/>
      <c r="B2370" s="780"/>
      <c r="C2370" s="781"/>
      <c r="D2370" s="782" t="str">
        <f>$F$3</f>
        <v>Technician</v>
      </c>
      <c r="E2370" s="782">
        <f>ROUND(($R2373*$S$3 + ($T2373*$T$3)), 2)</f>
        <v>0</v>
      </c>
      <c r="F2370" s="783">
        <f>$E2370*$C$12</f>
        <v>0</v>
      </c>
      <c r="G2370" s="499"/>
      <c r="H2370" s="499"/>
      <c r="I2370" s="499"/>
      <c r="J2370" s="499"/>
      <c r="K2370" s="765" t="s">
        <v>5</v>
      </c>
      <c r="L2370" s="766" t="s">
        <v>573</v>
      </c>
      <c r="M2370" s="499"/>
      <c r="N2370" s="499"/>
      <c r="O2370" s="499"/>
      <c r="P2370" s="499"/>
      <c r="Q2370" s="499"/>
      <c r="R2370" s="784"/>
      <c r="S2370" s="499"/>
      <c r="T2370" s="784"/>
      <c r="AL2370" s="760"/>
    </row>
    <row r="2371" spans="1:41" s="893" customFormat="1" ht="13.2">
      <c r="A2371">
        <v>0</v>
      </c>
      <c r="B2371" s="893" t="s">
        <v>141</v>
      </c>
      <c r="D2371" s="893" t="s">
        <v>767</v>
      </c>
      <c r="E2371" s="893" t="s">
        <v>770</v>
      </c>
      <c r="F2371" s="893" t="s">
        <v>769</v>
      </c>
      <c r="G2371" s="894" t="s">
        <v>768</v>
      </c>
      <c r="H2371" s="895">
        <v>570</v>
      </c>
      <c r="I2371" s="893" t="s">
        <v>643</v>
      </c>
      <c r="O2371" s="896">
        <v>2</v>
      </c>
      <c r="P2371" s="897">
        <v>38443</v>
      </c>
      <c r="Q2371" s="898">
        <v>2500</v>
      </c>
      <c r="R2371" s="899">
        <f>$A2371*Q2371</f>
        <v>0</v>
      </c>
      <c r="S2371" s="898">
        <f>200/25</f>
        <v>8</v>
      </c>
      <c r="T2371" s="900">
        <f>$A2371*S2371*$T$1</f>
        <v>0</v>
      </c>
      <c r="AL2371">
        <v>1</v>
      </c>
    </row>
    <row r="2372" spans="1:41" s="501" customFormat="1" ht="15.6" customHeight="1">
      <c r="A2372" s="767"/>
      <c r="B2372" s="567"/>
      <c r="C2372" s="567"/>
      <c r="D2372" s="3"/>
      <c r="E2372" s="567"/>
      <c r="F2372" s="567"/>
      <c r="G2372" s="567"/>
      <c r="H2372" s="567"/>
      <c r="I2372" s="567"/>
      <c r="J2372" s="567"/>
      <c r="K2372" s="567"/>
      <c r="L2372" s="770"/>
      <c r="M2372" s="567"/>
      <c r="N2372" s="567"/>
      <c r="O2372" s="567"/>
      <c r="P2372" s="567"/>
      <c r="Q2372" s="567"/>
      <c r="R2372" s="771">
        <f>$A2372*Q2372</f>
        <v>0</v>
      </c>
      <c r="S2372" s="567"/>
      <c r="T2372" s="500">
        <f>$A2372*S2372*$T$1</f>
        <v>0</v>
      </c>
      <c r="AL2372" s="767"/>
    </row>
    <row r="2373" spans="1:41" s="501" customFormat="1" ht="12">
      <c r="A2373" s="772" t="s">
        <v>145</v>
      </c>
      <c r="B2373" s="773">
        <f>(R2372+T2372)</f>
        <v>0</v>
      </c>
      <c r="C2373" s="753"/>
      <c r="G2373" s="774"/>
      <c r="H2373" s="774"/>
      <c r="I2373" s="774"/>
      <c r="J2373" s="774"/>
      <c r="K2373" s="798" t="s">
        <v>5</v>
      </c>
      <c r="L2373" s="775" t="s">
        <v>573</v>
      </c>
      <c r="M2373" s="774"/>
      <c r="N2373" s="774"/>
      <c r="O2373" s="774"/>
      <c r="P2373" s="774"/>
      <c r="Q2373" s="776"/>
      <c r="R2373" s="777">
        <f>SUM(R2370:R2372)</f>
        <v>0</v>
      </c>
      <c r="S2373" s="778"/>
      <c r="T2373" s="777">
        <f>SUM(T2370:T2372)</f>
        <v>0</v>
      </c>
      <c r="AG2373" s="799">
        <f>ROUND($R2373*$S$3,2)</f>
        <v>0</v>
      </c>
      <c r="AL2373" s="772" t="s">
        <v>145</v>
      </c>
    </row>
    <row r="2374" spans="1:41" s="501" customFormat="1" ht="12" customHeight="1">
      <c r="A2374" s="800"/>
      <c r="B2374" s="801"/>
      <c r="C2374" s="802"/>
      <c r="D2374" s="803" t="str">
        <f>$F$4</f>
        <v>Engineer (Man Hours)</v>
      </c>
      <c r="E2374" s="803">
        <f>ROUND(($R2377*$S$4 + ($T2377*$T$4)), 2)</f>
        <v>0</v>
      </c>
      <c r="F2374" s="804">
        <f ca="1">$F2354-SUMIF($L2356:$P2371,"SUBI",$F2356:$F2371)</f>
        <v>0</v>
      </c>
      <c r="G2374" s="499"/>
      <c r="H2374" s="499"/>
      <c r="I2374" s="499"/>
      <c r="J2374" s="499"/>
      <c r="K2374" s="805" t="s">
        <v>8</v>
      </c>
      <c r="L2374" s="766" t="s">
        <v>573</v>
      </c>
      <c r="M2374" s="499"/>
      <c r="N2374" s="499"/>
      <c r="O2374" s="499"/>
      <c r="P2374" s="499"/>
      <c r="Q2374" s="499"/>
      <c r="R2374" s="784"/>
      <c r="S2374" s="499"/>
      <c r="T2374" s="784"/>
      <c r="AL2374" s="800"/>
    </row>
    <row r="2375" spans="1:41" s="893" customFormat="1" ht="13.2">
      <c r="A2375">
        <v>0</v>
      </c>
      <c r="B2375" s="893" t="s">
        <v>141</v>
      </c>
      <c r="D2375" s="893" t="s">
        <v>767</v>
      </c>
      <c r="E2375" s="893" t="s">
        <v>771</v>
      </c>
      <c r="F2375" s="893" t="s">
        <v>769</v>
      </c>
      <c r="G2375" s="894" t="s">
        <v>768</v>
      </c>
      <c r="H2375" s="895">
        <v>570</v>
      </c>
      <c r="I2375" s="893" t="s">
        <v>643</v>
      </c>
      <c r="O2375" s="896">
        <v>2</v>
      </c>
      <c r="P2375" s="897">
        <v>38443</v>
      </c>
      <c r="Q2375" s="898"/>
      <c r="R2375" s="899">
        <f>$A2375*Q2375</f>
        <v>0</v>
      </c>
      <c r="S2375" s="898">
        <f>100/25</f>
        <v>4</v>
      </c>
      <c r="T2375" s="900">
        <f>$A2375*S2375*$T$1</f>
        <v>0</v>
      </c>
      <c r="AL2375">
        <v>1</v>
      </c>
    </row>
    <row r="2376" spans="1:41" s="501" customFormat="1" ht="12">
      <c r="A2376" s="44"/>
      <c r="B2376" s="497"/>
      <c r="C2376" s="497"/>
      <c r="D2376" s="807"/>
      <c r="E2376" s="808"/>
      <c r="F2376" s="499"/>
      <c r="G2376" s="499"/>
      <c r="H2376" s="499"/>
      <c r="I2376" s="499"/>
      <c r="J2376" s="499"/>
      <c r="K2376" s="499"/>
      <c r="L2376" s="809"/>
      <c r="M2376" s="499"/>
      <c r="N2376" s="499"/>
      <c r="O2376" s="499"/>
      <c r="P2376" s="499"/>
      <c r="Q2376" s="499"/>
      <c r="R2376" s="720">
        <f>$A2376*Q2376</f>
        <v>0</v>
      </c>
      <c r="S2376" s="499"/>
      <c r="T2376" s="500">
        <f>$A2376*S2376*$T$1</f>
        <v>0</v>
      </c>
    </row>
    <row r="2377" spans="1:41" s="501" customFormat="1" ht="12.75" customHeight="1">
      <c r="A2377" s="772" t="s">
        <v>145</v>
      </c>
      <c r="B2377" s="773">
        <f>(R2376+T2376)</f>
        <v>0</v>
      </c>
      <c r="C2377" s="810"/>
      <c r="D2377" s="810"/>
      <c r="E2377" s="810"/>
      <c r="F2377" s="810"/>
      <c r="G2377" s="776"/>
      <c r="H2377" s="776"/>
      <c r="I2377" s="776"/>
      <c r="J2377" s="776"/>
      <c r="K2377" s="798" t="s">
        <v>8</v>
      </c>
      <c r="L2377" s="811" t="s">
        <v>573</v>
      </c>
      <c r="M2377" s="776"/>
      <c r="N2377" s="776"/>
      <c r="O2377" s="776"/>
      <c r="P2377" s="776"/>
      <c r="Q2377" s="776"/>
      <c r="R2377" s="777">
        <f>SUM(R2374:R2376)</f>
        <v>0</v>
      </c>
      <c r="S2377" s="778"/>
      <c r="T2377" s="777">
        <f>SUM(T2374:T2376)</f>
        <v>0</v>
      </c>
      <c r="AG2377" s="812">
        <f>ROUND($R2377*$S$4,2)</f>
        <v>0</v>
      </c>
    </row>
    <row r="2378" spans="1:41" s="501" customFormat="1" ht="12.75" customHeight="1">
      <c r="A2378" s="813"/>
      <c r="B2378" s="814"/>
      <c r="E2378" s="497"/>
      <c r="F2378" s="808"/>
      <c r="G2378" s="497"/>
      <c r="H2378" s="497"/>
      <c r="I2378" s="499"/>
      <c r="J2378" s="497"/>
      <c r="K2378" s="497"/>
      <c r="L2378" s="815"/>
      <c r="M2378" s="725"/>
      <c r="N2378" s="725"/>
      <c r="O2378" s="725"/>
      <c r="P2378" s="725"/>
      <c r="Q2378" s="726"/>
      <c r="R2378" s="784"/>
      <c r="S2378" s="497"/>
      <c r="T2378" s="784"/>
    </row>
    <row r="2379" spans="1:41" s="501" customFormat="1" ht="13.5" customHeight="1" thickBot="1">
      <c r="A2379" s="816"/>
      <c r="B2379" s="817"/>
      <c r="C2379" s="518"/>
      <c r="D2379" s="518"/>
      <c r="E2379" s="515"/>
      <c r="F2379" s="721"/>
      <c r="G2379" s="515" t="s">
        <v>146</v>
      </c>
      <c r="H2379" s="515"/>
      <c r="I2379" s="516"/>
      <c r="J2379" s="515"/>
      <c r="K2379" s="515"/>
      <c r="L2379" s="818" t="s">
        <v>143</v>
      </c>
      <c r="M2379" s="517"/>
      <c r="N2379" s="517"/>
      <c r="O2379" s="517"/>
      <c r="P2379" s="517"/>
      <c r="Q2379" s="722"/>
      <c r="R2379" s="819">
        <f ca="1">SUMIF($L2355:$L2378,"SUBI",R2355:R2378)</f>
        <v>0</v>
      </c>
      <c r="S2379" s="820"/>
      <c r="T2379" s="819">
        <f ca="1">SUMIF($L2355:$L2378,"SUBI",T2355:T2378)</f>
        <v>0</v>
      </c>
      <c r="U2379" s="518"/>
      <c r="V2379" s="518"/>
      <c r="W2379" s="518"/>
      <c r="X2379" s="518"/>
      <c r="Y2379" s="518"/>
      <c r="Z2379" s="518"/>
      <c r="AA2379" s="518"/>
      <c r="AB2379" s="518"/>
      <c r="AC2379" s="518"/>
      <c r="AD2379" s="518"/>
      <c r="AE2379" s="518"/>
      <c r="AF2379" s="518"/>
      <c r="AG2379" s="518"/>
      <c r="AH2379" s="518"/>
      <c r="AI2379" s="518"/>
      <c r="AJ2379" s="518"/>
      <c r="AK2379" s="518"/>
      <c r="AL2379" s="518"/>
      <c r="AM2379" s="518"/>
      <c r="AN2379" s="518"/>
      <c r="AO2379" s="518"/>
    </row>
    <row r="2380" spans="1:41" s="501" customFormat="1" thickTop="1">
      <c r="A2380" s="44"/>
      <c r="B2380" s="44"/>
      <c r="C2380" s="3"/>
      <c r="D2380" s="3"/>
      <c r="E2380" s="44"/>
      <c r="F2380" s="44"/>
      <c r="G2380" s="44"/>
      <c r="H2380" s="44"/>
      <c r="I2380" s="44"/>
      <c r="J2380" s="44"/>
      <c r="K2380" s="44" t="s">
        <v>134</v>
      </c>
      <c r="L2380" s="44"/>
      <c r="M2380" s="44"/>
      <c r="N2380" s="44"/>
      <c r="O2380" s="45"/>
      <c r="P2380" s="44"/>
      <c r="Q2380" s="44"/>
      <c r="R2380" s="44"/>
      <c r="S2380" s="44"/>
      <c r="T2380" s="44"/>
    </row>
    <row r="2381" spans="1:41" s="501" customFormat="1" ht="12">
      <c r="A2381" s="44"/>
      <c r="B2381" s="44"/>
      <c r="C2381" s="44" t="s">
        <v>135</v>
      </c>
      <c r="D2381" s="35"/>
      <c r="E2381" s="44"/>
      <c r="F2381" s="44"/>
      <c r="G2381" s="44"/>
      <c r="H2381" s="44"/>
      <c r="I2381" s="44"/>
      <c r="J2381" s="44"/>
      <c r="K2381" s="44"/>
      <c r="L2381" s="44"/>
      <c r="M2381" s="44"/>
      <c r="N2381" s="44"/>
      <c r="O2381" s="45"/>
      <c r="P2381" s="44"/>
      <c r="Q2381" s="44"/>
      <c r="R2381" s="44"/>
      <c r="S2381" s="44"/>
      <c r="T2381" s="44"/>
    </row>
    <row r="2382" spans="1:41" s="501" customFormat="1" ht="12">
      <c r="A2382" s="44"/>
      <c r="B2382" s="44"/>
      <c r="C2382" s="44"/>
      <c r="D2382" s="35" t="s">
        <v>531</v>
      </c>
      <c r="E2382" s="44"/>
      <c r="F2382" s="44"/>
      <c r="G2382" s="44"/>
      <c r="H2382" s="44"/>
      <c r="I2382" s="44"/>
      <c r="J2382" s="44"/>
      <c r="K2382" s="44"/>
      <c r="L2382" s="44"/>
      <c r="M2382" s="44"/>
      <c r="N2382" s="44"/>
      <c r="O2382" s="45"/>
      <c r="P2382" s="44"/>
      <c r="Q2382" s="44"/>
      <c r="R2382" s="44"/>
      <c r="S2382" s="36"/>
      <c r="T2382" s="36"/>
    </row>
    <row r="2383" spans="1:41" s="3" customFormat="1" thickBot="1">
      <c r="A2383" s="518"/>
      <c r="O2383" s="86"/>
    </row>
    <row r="2384" spans="1:41" s="501" customFormat="1" thickTop="1">
      <c r="A2384" s="44"/>
      <c r="B2384" s="39"/>
      <c r="C2384" s="44"/>
      <c r="E2384" s="40" t="s">
        <v>138</v>
      </c>
      <c r="F2384" s="40" t="s">
        <v>139</v>
      </c>
      <c r="G2384" s="44"/>
      <c r="H2384" s="44"/>
      <c r="I2384" s="44"/>
      <c r="J2384" s="44"/>
      <c r="K2384" s="44" t="s">
        <v>140</v>
      </c>
      <c r="L2384" s="737"/>
      <c r="M2384" s="44"/>
      <c r="N2384" s="44"/>
      <c r="O2384" s="45"/>
      <c r="P2384" s="44"/>
      <c r="Q2384"/>
      <c r="R2384"/>
      <c r="S2384"/>
      <c r="T2384" s="39"/>
      <c r="AG2384" s="502" t="s">
        <v>247</v>
      </c>
      <c r="AH2384" s="502" t="s">
        <v>248</v>
      </c>
      <c r="AI2384" s="502" t="s">
        <v>249</v>
      </c>
      <c r="AJ2384" s="502" t="s">
        <v>250</v>
      </c>
      <c r="AK2384" s="502" t="s">
        <v>251</v>
      </c>
      <c r="AM2384" s="710" t="s">
        <v>260</v>
      </c>
      <c r="AN2384" s="711" t="s">
        <v>261</v>
      </c>
      <c r="AO2384" s="503" t="s">
        <v>257</v>
      </c>
    </row>
    <row r="2385" spans="1:41" s="501" customFormat="1" ht="13.2">
      <c r="A2385" s="712">
        <v>1</v>
      </c>
      <c r="B2385" s="504" t="s">
        <v>283</v>
      </c>
      <c r="C2385" s="505"/>
      <c r="D2385" s="713" t="s">
        <v>619</v>
      </c>
      <c r="E2385" s="738">
        <f ca="1">IF(AND($A2385=0,$A$1="DIF"),0,ROUND(ROUND(SUMIF($L2387:$L2405,"SUBI",$E2387:$E2405)/$A2385,2)*$C$12,2))</f>
        <v>5570.91</v>
      </c>
      <c r="F2385" s="739">
        <f ca="1">ROUND($A2385*$E2385,2)</f>
        <v>5570.91</v>
      </c>
      <c r="G2385" s="506" t="s">
        <v>142</v>
      </c>
      <c r="H2385" s="498"/>
      <c r="I2385" s="716"/>
      <c r="J2385" s="498"/>
      <c r="K2385" s="740"/>
      <c r="L2385" s="741" t="s">
        <v>143</v>
      </c>
      <c r="M2385" s="717"/>
      <c r="N2385" s="717"/>
      <c r="O2385" s="717"/>
      <c r="P2385" s="717"/>
      <c r="Q2385" s="943" t="s">
        <v>855</v>
      </c>
      <c r="R2385" s="943" t="s">
        <v>869</v>
      </c>
      <c r="S2385"/>
      <c r="T2385" s="742" t="str">
        <f ca="1">IF(AND($R2410=0,$T2410=0),"0.00","mu :" &amp; ROUND($F2385/$C$12/($R2410+$T2410*$D$9),2))</f>
        <v>mu :1.37</v>
      </c>
      <c r="W2385" s="507"/>
      <c r="AG2385" s="743">
        <f ca="1">IF(A2385=0,0,ROUND(SUM(AG2387:AG2410)/A2385,2))</f>
        <v>4074.95</v>
      </c>
      <c r="AH2385" s="743">
        <f ca="1">$AG2385*$A2385</f>
        <v>4074.95</v>
      </c>
      <c r="AI2385" s="743">
        <f ca="1">$E2385-$AG2385</f>
        <v>1495.96</v>
      </c>
      <c r="AJ2385" s="743">
        <f ca="1">$A2385*$AI2385</f>
        <v>1495.96</v>
      </c>
      <c r="AK2385" s="744">
        <f ca="1">ROUND(($AG2385+$AI2385)*$A2385,2)</f>
        <v>5570.91</v>
      </c>
      <c r="AM2385" s="510">
        <f ca="1">ROUND(R2410,2)</f>
        <v>3018.48</v>
      </c>
      <c r="AN2385" s="511">
        <f ca="1">ROUND(T2410,2)</f>
        <v>38.159999999999997</v>
      </c>
      <c r="AO2385" s="512">
        <f ca="1">ROUND(AM2385+AN2385,2)*A2385</f>
        <v>3056.64</v>
      </c>
    </row>
    <row r="2386" spans="1:41" s="501" customFormat="1" ht="39.9" customHeight="1">
      <c r="A2386" s="745"/>
      <c r="B2386" s="746"/>
      <c r="C2386" s="505"/>
      <c r="D2386" s="1183" t="s">
        <v>532</v>
      </c>
      <c r="E2386" s="1184"/>
      <c r="F2386" s="1184"/>
      <c r="G2386" s="1184"/>
      <c r="H2386" s="1184"/>
      <c r="I2386" s="1184"/>
      <c r="J2386" s="1184"/>
      <c r="K2386" s="1184"/>
      <c r="L2386" s="1184"/>
      <c r="M2386" s="1184"/>
      <c r="N2386" s="1184"/>
      <c r="O2386" s="1184"/>
      <c r="P2386" s="1184"/>
      <c r="Q2386" s="1184"/>
      <c r="R2386" s="1184"/>
      <c r="S2386" s="1184"/>
      <c r="T2386" s="1184"/>
    </row>
    <row r="2387" spans="1:41" s="501" customFormat="1" ht="12">
      <c r="A2387" s="748"/>
      <c r="B2387" s="749"/>
      <c r="C2387" s="497"/>
      <c r="D2387" s="750"/>
      <c r="E2387" s="751">
        <f ca="1">F2385/$C$12-SUMIF($L2384:$L2410,"SUBI",$E2384:$E2410)</f>
        <v>0</v>
      </c>
      <c r="F2387" s="752" t="s">
        <v>572</v>
      </c>
      <c r="G2387" s="753"/>
      <c r="H2387" s="753"/>
      <c r="I2387" s="754"/>
      <c r="J2387" s="753"/>
      <c r="K2387" s="753"/>
      <c r="L2387" s="755"/>
      <c r="M2387" s="756"/>
      <c r="N2387" s="756"/>
      <c r="O2387" s="756"/>
      <c r="P2387" s="756"/>
      <c r="Q2387" s="757"/>
      <c r="R2387" s="758"/>
      <c r="S2387" s="757"/>
      <c r="T2387" s="759"/>
    </row>
    <row r="2388" spans="1:41" s="501" customFormat="1" ht="12" customHeight="1">
      <c r="A2388" s="760"/>
      <c r="B2388" s="761"/>
      <c r="C2388" s="762"/>
      <c r="D2388" s="762" t="str">
        <f>$F$2</f>
        <v>Electrical</v>
      </c>
      <c r="E2388" s="762">
        <f ca="1">ROUND(($R2400*$S$2 + ($T2400*$T$2)), 2)</f>
        <v>1669.73</v>
      </c>
      <c r="F2388" s="763">
        <f ca="1">$E2388*$C$12</f>
        <v>1669.73</v>
      </c>
      <c r="G2388" s="567"/>
      <c r="H2388" s="764"/>
      <c r="I2388" s="567"/>
      <c r="J2388" s="45"/>
      <c r="K2388" s="765" t="s">
        <v>3</v>
      </c>
      <c r="L2388" s="766" t="s">
        <v>573</v>
      </c>
      <c r="M2388" s="567"/>
      <c r="N2388" s="567"/>
      <c r="O2388" s="45"/>
      <c r="P2388" s="567"/>
      <c r="Q2388" s="567"/>
      <c r="R2388"/>
      <c r="S2388"/>
      <c r="T2388"/>
    </row>
    <row r="2389" spans="1:41" s="935" customFormat="1" ht="13.2">
      <c r="A2389"/>
      <c r="B2389" s="927"/>
      <c r="C2389" s="927" t="s">
        <v>735</v>
      </c>
      <c r="D2389" s="927" t="str">
        <f ca="1">CELL("Address",Elec_Rates!D$143)</f>
        <v>[E25_0465_IH_Retro_Elec4Mech_Est_Rev_A.xlsx]Elec_Rates!$D$143</v>
      </c>
      <c r="E2389" s="928"/>
      <c r="F2389" s="928"/>
      <c r="G2389" s="929" t="s">
        <v>736</v>
      </c>
      <c r="H2389" s="929"/>
      <c r="I2389" s="929"/>
      <c r="J2389" s="929"/>
      <c r="K2389" s="930"/>
      <c r="L2389" s="928"/>
      <c r="M2389" s="928"/>
      <c r="N2389" s="928"/>
      <c r="O2389" s="931"/>
      <c r="P2389" s="928"/>
      <c r="Q2389" s="932"/>
      <c r="R2389" s="933"/>
      <c r="S2389" s="932"/>
      <c r="T2389" s="560"/>
      <c r="U2389" s="934"/>
    </row>
    <row r="2390" spans="1:41" s="935" customFormat="1" ht="11.4">
      <c r="A2390" s="936">
        <v>1</v>
      </c>
      <c r="B2390" s="937">
        <v>1</v>
      </c>
      <c r="C2390" s="937">
        <f>$A2390*$B2390</f>
        <v>1</v>
      </c>
      <c r="D2390" s="938" t="str">
        <f>Elec_Rates!$D$143</f>
        <v>011# Power supply to control panel (4core x 4.0sqmm) and VDS by pass in MCC</v>
      </c>
      <c r="E2390" s="938"/>
      <c r="F2390" s="938" t="s">
        <v>737</v>
      </c>
      <c r="G2390" s="939" t="s">
        <v>738</v>
      </c>
      <c r="H2390" s="939"/>
      <c r="I2390" s="939"/>
      <c r="J2390" s="939"/>
      <c r="K2390" s="940"/>
      <c r="L2390" s="934"/>
      <c r="M2390" s="934"/>
      <c r="N2390" s="934"/>
      <c r="O2390" s="941"/>
      <c r="P2390" s="938"/>
      <c r="Q2390" s="942">
        <f ca="1">$B2390*Elec_Rates!$R$143</f>
        <v>74.239999999999995</v>
      </c>
      <c r="R2390" s="933">
        <f ca="1">$A2390*Q2390</f>
        <v>74.239999999999995</v>
      </c>
      <c r="S2390" s="942">
        <f ca="1">$B2390*Elec_Rates!$T$143</f>
        <v>3.17</v>
      </c>
      <c r="T2390" s="560">
        <f ca="1">$A2390*S2390</f>
        <v>3.17</v>
      </c>
      <c r="U2390" s="484"/>
    </row>
    <row r="2391" spans="1:41" s="935" customFormat="1" ht="13.2">
      <c r="A2391"/>
      <c r="B2391" s="927"/>
      <c r="C2391" s="927" t="s">
        <v>735</v>
      </c>
      <c r="D2391" s="927" t="str">
        <f ca="1">CELL("Address",Elec_Rates!D$196)</f>
        <v>[E25_0465_IH_Retro_Elec4Mech_Est_Rev_A.xlsx]Elec_Rates!$D$196</v>
      </c>
      <c r="E2391" s="928"/>
      <c r="F2391" s="928"/>
      <c r="G2391" s="929" t="s">
        <v>736</v>
      </c>
      <c r="H2391" s="929"/>
      <c r="I2391" s="929"/>
      <c r="J2391" s="929"/>
      <c r="K2391" s="930"/>
      <c r="L2391" s="928"/>
      <c r="M2391" s="928"/>
      <c r="N2391" s="928"/>
      <c r="O2391" s="931"/>
      <c r="P2391" s="928"/>
      <c r="Q2391" s="932"/>
      <c r="R2391" s="933"/>
      <c r="S2391" s="932"/>
      <c r="T2391" s="560"/>
      <c r="U2391" s="934"/>
    </row>
    <row r="2392" spans="1:41" s="935" customFormat="1" ht="11.4">
      <c r="A2392" s="936">
        <v>1</v>
      </c>
      <c r="B2392" s="937">
        <v>1</v>
      </c>
      <c r="C2392" s="937">
        <f>$A2392*$B2392</f>
        <v>1</v>
      </c>
      <c r="D2392" s="938" t="str">
        <f>Elec_Rates!$D$196</f>
        <v>013# Installation of Rosenger control panel</v>
      </c>
      <c r="E2392" s="938"/>
      <c r="F2392" s="938" t="s">
        <v>737</v>
      </c>
      <c r="G2392" s="939" t="s">
        <v>739</v>
      </c>
      <c r="H2392" s="939"/>
      <c r="I2392" s="939"/>
      <c r="J2392" s="939"/>
      <c r="K2392" s="940"/>
      <c r="L2392" s="934"/>
      <c r="M2392" s="934"/>
      <c r="N2392" s="934"/>
      <c r="O2392" s="941"/>
      <c r="P2392" s="938"/>
      <c r="Q2392" s="942">
        <f ca="1">$B2392*Elec_Rates!$R$196</f>
        <v>20</v>
      </c>
      <c r="R2392" s="933">
        <f ca="1">$A2392*Q2392</f>
        <v>20</v>
      </c>
      <c r="S2392" s="942">
        <f ca="1">$B2392*Elec_Rates!$T$196</f>
        <v>2</v>
      </c>
      <c r="T2392" s="560">
        <f ca="1">$A2392*S2392</f>
        <v>2</v>
      </c>
      <c r="U2392" s="484"/>
    </row>
    <row r="2393" spans="1:41" s="935" customFormat="1" ht="13.2">
      <c r="A2393"/>
      <c r="B2393" s="927"/>
      <c r="C2393" s="927" t="s">
        <v>735</v>
      </c>
      <c r="D2393" s="927" t="str">
        <f ca="1">CELL("Address",Elec_Rates!D$203)</f>
        <v>[E25_0465_IH_Retro_Elec4Mech_Est_Rev_A.xlsx]Elec_Rates!$D$203</v>
      </c>
      <c r="E2393" s="928"/>
      <c r="F2393" s="928"/>
      <c r="G2393" s="929" t="s">
        <v>736</v>
      </c>
      <c r="H2393" s="929"/>
      <c r="I2393" s="929"/>
      <c r="J2393" s="929"/>
      <c r="K2393" s="930"/>
      <c r="L2393" s="928"/>
      <c r="M2393" s="928"/>
      <c r="N2393" s="928"/>
      <c r="O2393" s="931"/>
      <c r="P2393" s="928"/>
      <c r="Q2393" s="932"/>
      <c r="R2393" s="933"/>
      <c r="S2393" s="932"/>
      <c r="T2393" s="560"/>
      <c r="U2393" s="934"/>
    </row>
    <row r="2394" spans="1:41" s="935" customFormat="1" ht="11.4">
      <c r="A2394" s="936">
        <v>2</v>
      </c>
      <c r="B2394" s="937">
        <v>1</v>
      </c>
      <c r="C2394" s="937">
        <f>$A2394*$B2394</f>
        <v>2</v>
      </c>
      <c r="D2394" s="938" t="str">
        <f>Elec_Rates!$D$203</f>
        <v>014# Installation of cable harness to fans</v>
      </c>
      <c r="E2394" s="938"/>
      <c r="F2394" s="938" t="s">
        <v>737</v>
      </c>
      <c r="G2394" s="939" t="s">
        <v>738</v>
      </c>
      <c r="H2394" s="939"/>
      <c r="I2394" s="939"/>
      <c r="J2394" s="939"/>
      <c r="K2394" s="940"/>
      <c r="L2394" s="934"/>
      <c r="M2394" s="934"/>
      <c r="N2394" s="934"/>
      <c r="O2394" s="941"/>
      <c r="P2394" s="938"/>
      <c r="Q2394" s="942">
        <f ca="1">$B2394*Elec_Rates!$R$203</f>
        <v>20</v>
      </c>
      <c r="R2394" s="933">
        <f ca="1">$A2394*Q2394</f>
        <v>40</v>
      </c>
      <c r="S2394" s="942">
        <f ca="1">$B2394*Elec_Rates!$T$203</f>
        <v>1</v>
      </c>
      <c r="T2394" s="560">
        <f ca="1">$A2394*S2394</f>
        <v>2</v>
      </c>
      <c r="U2394" s="484"/>
    </row>
    <row r="2395" spans="1:41" s="935" customFormat="1" ht="13.2">
      <c r="A2395"/>
      <c r="B2395" s="927"/>
      <c r="C2395" s="927" t="s">
        <v>735</v>
      </c>
      <c r="D2395" s="927" t="str">
        <f ca="1">CELL("Address",Elec_Rates!D$210)</f>
        <v>[E25_0465_IH_Retro_Elec4Mech_Est_Rev_A.xlsx]Elec_Rates!$D$210</v>
      </c>
      <c r="E2395" s="928"/>
      <c r="F2395" s="928"/>
      <c r="G2395" s="929" t="s">
        <v>736</v>
      </c>
      <c r="H2395" s="929"/>
      <c r="I2395" s="929"/>
      <c r="J2395" s="929"/>
      <c r="K2395" s="930"/>
      <c r="L2395" s="928"/>
      <c r="M2395" s="928"/>
      <c r="N2395" s="928"/>
      <c r="O2395" s="931"/>
      <c r="P2395" s="928"/>
      <c r="Q2395" s="932"/>
      <c r="R2395" s="933"/>
      <c r="S2395" s="932"/>
      <c r="T2395" s="560"/>
      <c r="U2395" s="934"/>
    </row>
    <row r="2396" spans="1:41" s="935" customFormat="1" ht="11.4">
      <c r="A2396" s="936">
        <v>1</v>
      </c>
      <c r="B2396" s="937">
        <v>1</v>
      </c>
      <c r="C2396" s="937">
        <f>$A2396*$B2396</f>
        <v>1</v>
      </c>
      <c r="D2396" s="938" t="str">
        <f>Elec_Rates!$D$210</f>
        <v>015# Installation of control panels by ECA</v>
      </c>
      <c r="E2396" s="938"/>
      <c r="F2396" s="938" t="s">
        <v>737</v>
      </c>
      <c r="G2396" s="939" t="s">
        <v>739</v>
      </c>
      <c r="H2396" s="939"/>
      <c r="I2396" s="939"/>
      <c r="J2396" s="939"/>
      <c r="K2396" s="940"/>
      <c r="L2396" s="934"/>
      <c r="M2396" s="934"/>
      <c r="N2396" s="934"/>
      <c r="O2396" s="941"/>
      <c r="P2396" s="938"/>
      <c r="Q2396" s="942">
        <f ca="1">$B2396*Elec_Rates!$R$210</f>
        <v>30</v>
      </c>
      <c r="R2396" s="933">
        <f ca="1">$A2396*Q2396</f>
        <v>30</v>
      </c>
      <c r="S2396" s="942">
        <f ca="1">$B2396*Elec_Rates!$T$210</f>
        <v>1</v>
      </c>
      <c r="T2396" s="560">
        <f ca="1">$A2396*S2396</f>
        <v>1</v>
      </c>
      <c r="U2396" s="484"/>
    </row>
    <row r="2397" spans="1:41" s="935" customFormat="1" ht="13.2">
      <c r="A2397"/>
      <c r="B2397" s="927"/>
      <c r="C2397" s="927" t="s">
        <v>735</v>
      </c>
      <c r="D2397" s="927" t="str">
        <f ca="1">CELL("Address",Elec_Rates!D$217)</f>
        <v>[E25_0465_IH_Retro_Elec4Mech_Est_Rev_A.xlsx]Elec_Rates!$D$217</v>
      </c>
      <c r="E2397" s="928"/>
      <c r="F2397" s="928"/>
      <c r="G2397" s="929" t="s">
        <v>736</v>
      </c>
      <c r="H2397" s="929"/>
      <c r="I2397" s="929"/>
      <c r="J2397" s="929"/>
      <c r="K2397" s="930"/>
      <c r="L2397" s="928"/>
      <c r="M2397" s="928"/>
      <c r="N2397" s="928"/>
      <c r="O2397" s="931"/>
      <c r="P2397" s="928"/>
      <c r="Q2397" s="932"/>
      <c r="R2397" s="933"/>
      <c r="S2397" s="932"/>
      <c r="T2397" s="560"/>
      <c r="U2397" s="934"/>
    </row>
    <row r="2398" spans="1:41" s="935" customFormat="1" ht="11.4">
      <c r="A2398" s="936">
        <v>1</v>
      </c>
      <c r="B2398" s="937">
        <v>1</v>
      </c>
      <c r="C2398" s="937">
        <f>$A2398*$B2398</f>
        <v>1</v>
      </c>
      <c r="D2398" s="938" t="str">
        <f>Elec_Rates!$D$217</f>
        <v>016# Installation of sensors on AHUs</v>
      </c>
      <c r="E2398" s="938"/>
      <c r="F2398" s="938" t="s">
        <v>737</v>
      </c>
      <c r="G2398" s="939" t="s">
        <v>738</v>
      </c>
      <c r="H2398" s="939"/>
      <c r="I2398" s="939"/>
      <c r="J2398" s="939"/>
      <c r="K2398" s="940"/>
      <c r="L2398" s="934"/>
      <c r="M2398" s="934"/>
      <c r="N2398" s="934"/>
      <c r="O2398" s="941"/>
      <c r="P2398" s="938"/>
      <c r="Q2398" s="942">
        <f ca="1">$B2398*Elec_Rates!$R$217</f>
        <v>354.24</v>
      </c>
      <c r="R2398" s="933">
        <f ca="1">$A2398*Q2398</f>
        <v>354.24</v>
      </c>
      <c r="S2398" s="942">
        <f ca="1">$B2398*Elec_Rates!$T$217</f>
        <v>17.989999999999998</v>
      </c>
      <c r="T2398" s="560">
        <f ca="1">$A2398*S2398</f>
        <v>17.989999999999998</v>
      </c>
      <c r="U2398" s="484"/>
    </row>
    <row r="2399" spans="1:41" s="501" customFormat="1" ht="14.4" customHeight="1">
      <c r="A2399" s="767"/>
      <c r="B2399" s="567"/>
      <c r="C2399" s="567"/>
      <c r="D2399" s="567"/>
      <c r="E2399" s="567"/>
      <c r="F2399" s="567"/>
      <c r="G2399" s="567"/>
      <c r="H2399" s="764"/>
      <c r="I2399" s="567"/>
      <c r="J2399" s="45"/>
      <c r="K2399" s="769"/>
      <c r="L2399" s="770"/>
      <c r="M2399" s="567"/>
      <c r="N2399" s="567"/>
      <c r="O2399" s="45"/>
      <c r="P2399" s="567"/>
      <c r="Q2399" s="567"/>
      <c r="R2399" s="771">
        <f>$A2399*Q2399</f>
        <v>0</v>
      </c>
      <c r="S2399" s="567"/>
      <c r="T2399" s="500">
        <f>$A2399*S2399*$T$1</f>
        <v>0</v>
      </c>
    </row>
    <row r="2400" spans="1:41" s="501" customFormat="1" ht="12">
      <c r="A2400" s="772" t="s">
        <v>145</v>
      </c>
      <c r="B2400" s="773">
        <f>(R2399+T2399)</f>
        <v>0</v>
      </c>
      <c r="C2400" s="753"/>
      <c r="G2400" s="774"/>
      <c r="H2400" s="774"/>
      <c r="I2400" s="774"/>
      <c r="J2400" s="774"/>
      <c r="K2400" s="750" t="s">
        <v>3</v>
      </c>
      <c r="L2400" s="775" t="s">
        <v>573</v>
      </c>
      <c r="M2400" s="774"/>
      <c r="N2400" s="774"/>
      <c r="O2400" s="774"/>
      <c r="P2400" s="774"/>
      <c r="Q2400" s="776"/>
      <c r="R2400" s="777">
        <f ca="1">SUM(R2388:R2399)</f>
        <v>518.48</v>
      </c>
      <c r="S2400" s="778"/>
      <c r="T2400" s="777">
        <f ca="1">SUM(T2388:T2399)</f>
        <v>26.159999999999997</v>
      </c>
      <c r="AG2400" s="779">
        <f ca="1">ROUND($R2400*$S$2,2)</f>
        <v>699.95</v>
      </c>
    </row>
    <row r="2401" spans="1:41" s="501" customFormat="1" ht="12" customHeight="1">
      <c r="A2401" s="760"/>
      <c r="B2401" s="780"/>
      <c r="C2401" s="781"/>
      <c r="D2401" s="782" t="str">
        <f>$F$3</f>
        <v>Technician</v>
      </c>
      <c r="E2401" s="782">
        <f>ROUND(($R2404*$S$3 + ($T2404*$T$3)), 2)</f>
        <v>3739.18</v>
      </c>
      <c r="F2401" s="783">
        <f>$E2401*$C$12</f>
        <v>3739.18</v>
      </c>
      <c r="G2401" s="499"/>
      <c r="H2401" s="499"/>
      <c r="I2401" s="499"/>
      <c r="J2401" s="499"/>
      <c r="K2401" s="765" t="s">
        <v>5</v>
      </c>
      <c r="L2401" s="766" t="s">
        <v>573</v>
      </c>
      <c r="M2401" s="499"/>
      <c r="N2401" s="499"/>
      <c r="O2401" s="499"/>
      <c r="P2401" s="499"/>
      <c r="Q2401" s="499"/>
      <c r="R2401" s="784"/>
      <c r="S2401" s="499"/>
      <c r="T2401" s="784"/>
    </row>
    <row r="2402" spans="1:41" s="893" customFormat="1" ht="13.2">
      <c r="A2402">
        <v>1</v>
      </c>
      <c r="B2402" s="893" t="s">
        <v>141</v>
      </c>
      <c r="D2402" s="893" t="s">
        <v>767</v>
      </c>
      <c r="E2402" s="893" t="s">
        <v>770</v>
      </c>
      <c r="F2402" s="893" t="s">
        <v>769</v>
      </c>
      <c r="G2402" s="894" t="s">
        <v>768</v>
      </c>
      <c r="H2402" s="895">
        <v>570</v>
      </c>
      <c r="I2402" s="893" t="s">
        <v>643</v>
      </c>
      <c r="O2402" s="896">
        <v>2</v>
      </c>
      <c r="P2402" s="897">
        <v>38443</v>
      </c>
      <c r="Q2402" s="898">
        <v>2500</v>
      </c>
      <c r="R2402" s="899">
        <f>$A2402*Q2402</f>
        <v>2500</v>
      </c>
      <c r="S2402" s="898">
        <f>200/25</f>
        <v>8</v>
      </c>
      <c r="T2402" s="900">
        <f>$A2402*S2402*$T$1</f>
        <v>8</v>
      </c>
    </row>
    <row r="2403" spans="1:41" s="501" customFormat="1" ht="15.6" customHeight="1">
      <c r="A2403" s="767"/>
      <c r="B2403" s="567"/>
      <c r="C2403" s="567"/>
      <c r="D2403" s="3"/>
      <c r="E2403" s="567"/>
      <c r="F2403" s="567"/>
      <c r="G2403" s="567"/>
      <c r="H2403" s="567"/>
      <c r="I2403" s="567"/>
      <c r="J2403" s="567"/>
      <c r="K2403" s="567"/>
      <c r="L2403" s="770"/>
      <c r="M2403" s="567"/>
      <c r="N2403" s="567"/>
      <c r="O2403" s="567"/>
      <c r="P2403" s="567"/>
      <c r="Q2403" s="567"/>
      <c r="R2403" s="771">
        <f>$A2403*Q2403</f>
        <v>0</v>
      </c>
      <c r="S2403" s="567"/>
      <c r="T2403" s="500">
        <f>$A2403*S2403*$T$1</f>
        <v>0</v>
      </c>
    </row>
    <row r="2404" spans="1:41" s="501" customFormat="1" ht="12">
      <c r="A2404" s="772" t="s">
        <v>145</v>
      </c>
      <c r="B2404" s="773">
        <f>(R2403+T2403)</f>
        <v>0</v>
      </c>
      <c r="C2404" s="753"/>
      <c r="G2404" s="774"/>
      <c r="H2404" s="774"/>
      <c r="I2404" s="774"/>
      <c r="J2404" s="774"/>
      <c r="K2404" s="798" t="s">
        <v>5</v>
      </c>
      <c r="L2404" s="775" t="s">
        <v>573</v>
      </c>
      <c r="M2404" s="774"/>
      <c r="N2404" s="774"/>
      <c r="O2404" s="774"/>
      <c r="P2404" s="774"/>
      <c r="Q2404" s="776"/>
      <c r="R2404" s="777">
        <f>SUM(R2401:R2403)</f>
        <v>2500</v>
      </c>
      <c r="S2404" s="778"/>
      <c r="T2404" s="777">
        <f>SUM(T2401:T2403)</f>
        <v>8</v>
      </c>
      <c r="AG2404" s="799">
        <f>ROUND($R2404*$S$3,2)</f>
        <v>3375</v>
      </c>
    </row>
    <row r="2405" spans="1:41" s="501" customFormat="1" ht="12" customHeight="1">
      <c r="A2405" s="800"/>
      <c r="B2405" s="801"/>
      <c r="C2405" s="802"/>
      <c r="D2405" s="803" t="str">
        <f>$F$4</f>
        <v>Engineer (Man Hours)</v>
      </c>
      <c r="E2405" s="803">
        <f>ROUND(($R2408*$S$4 + ($T2408*$T$4)), 2)</f>
        <v>162</v>
      </c>
      <c r="F2405" s="804">
        <f ca="1">$F2385-SUMIF($L2387:$P2402,"SUBI",$F2387:$F2402)</f>
        <v>162</v>
      </c>
      <c r="G2405" s="499"/>
      <c r="H2405" s="499"/>
      <c r="I2405" s="499"/>
      <c r="J2405" s="499"/>
      <c r="K2405" s="805" t="s">
        <v>8</v>
      </c>
      <c r="L2405" s="766" t="s">
        <v>573</v>
      </c>
      <c r="M2405" s="499"/>
      <c r="N2405" s="499"/>
      <c r="O2405" s="499"/>
      <c r="P2405" s="499"/>
      <c r="Q2405" s="499"/>
      <c r="R2405" s="784"/>
      <c r="S2405" s="499"/>
      <c r="T2405" s="784"/>
    </row>
    <row r="2406" spans="1:41" s="893" customFormat="1" ht="13.2">
      <c r="A2406">
        <v>1</v>
      </c>
      <c r="B2406" s="893" t="s">
        <v>141</v>
      </c>
      <c r="D2406" s="893" t="s">
        <v>767</v>
      </c>
      <c r="E2406" s="893" t="s">
        <v>771</v>
      </c>
      <c r="F2406" s="893" t="s">
        <v>769</v>
      </c>
      <c r="G2406" s="894" t="s">
        <v>768</v>
      </c>
      <c r="H2406" s="895">
        <v>570</v>
      </c>
      <c r="I2406" s="893" t="s">
        <v>643</v>
      </c>
      <c r="O2406" s="896">
        <v>2</v>
      </c>
      <c r="P2406" s="897">
        <v>38443</v>
      </c>
      <c r="Q2406" s="898"/>
      <c r="R2406" s="899">
        <f>$A2406*Q2406</f>
        <v>0</v>
      </c>
      <c r="S2406" s="898">
        <f>100/25</f>
        <v>4</v>
      </c>
      <c r="T2406" s="900">
        <f>$A2406*S2406*$T$1</f>
        <v>4</v>
      </c>
    </row>
    <row r="2407" spans="1:41" s="501" customFormat="1" ht="12">
      <c r="A2407" s="44"/>
      <c r="B2407" s="497"/>
      <c r="C2407" s="497"/>
      <c r="D2407" s="807"/>
      <c r="E2407" s="808"/>
      <c r="F2407" s="499"/>
      <c r="G2407" s="499"/>
      <c r="H2407" s="499"/>
      <c r="I2407" s="499"/>
      <c r="J2407" s="499"/>
      <c r="K2407" s="499"/>
      <c r="L2407" s="809"/>
      <c r="M2407" s="499"/>
      <c r="N2407" s="499"/>
      <c r="O2407" s="499"/>
      <c r="P2407" s="499"/>
      <c r="Q2407" s="499"/>
      <c r="R2407" s="720">
        <f>$A2407*Q2407</f>
        <v>0</v>
      </c>
      <c r="S2407" s="499"/>
      <c r="T2407" s="500">
        <f>$A2407*S2407*$T$1</f>
        <v>0</v>
      </c>
    </row>
    <row r="2408" spans="1:41" s="501" customFormat="1" ht="12.75" customHeight="1">
      <c r="A2408" s="772" t="s">
        <v>145</v>
      </c>
      <c r="B2408" s="773">
        <f>(R2407+T2407)</f>
        <v>0</v>
      </c>
      <c r="C2408" s="810"/>
      <c r="D2408" s="810"/>
      <c r="E2408" s="810"/>
      <c r="F2408" s="810"/>
      <c r="G2408" s="776"/>
      <c r="H2408" s="776"/>
      <c r="I2408" s="776"/>
      <c r="J2408" s="776"/>
      <c r="K2408" s="798" t="s">
        <v>8</v>
      </c>
      <c r="L2408" s="811" t="s">
        <v>573</v>
      </c>
      <c r="M2408" s="776"/>
      <c r="N2408" s="776"/>
      <c r="O2408" s="776"/>
      <c r="P2408" s="776"/>
      <c r="Q2408" s="776"/>
      <c r="R2408" s="777">
        <f>SUM(R2405:R2407)</f>
        <v>0</v>
      </c>
      <c r="S2408" s="778"/>
      <c r="T2408" s="777">
        <f>SUM(T2405:T2407)</f>
        <v>4</v>
      </c>
      <c r="AG2408" s="812">
        <f>ROUND($R2408*$S$4,2)</f>
        <v>0</v>
      </c>
    </row>
    <row r="2409" spans="1:41" s="501" customFormat="1" ht="12.75" customHeight="1">
      <c r="A2409" s="813"/>
      <c r="B2409" s="814"/>
      <c r="E2409" s="497"/>
      <c r="F2409" s="808"/>
      <c r="G2409" s="497"/>
      <c r="H2409" s="497"/>
      <c r="I2409" s="499"/>
      <c r="J2409" s="497"/>
      <c r="K2409" s="497"/>
      <c r="L2409" s="815"/>
      <c r="M2409" s="725"/>
      <c r="N2409" s="725"/>
      <c r="O2409" s="725"/>
      <c r="P2409" s="725"/>
      <c r="Q2409" s="726"/>
      <c r="R2409" s="784"/>
      <c r="S2409" s="497"/>
      <c r="T2409" s="784"/>
    </row>
    <row r="2410" spans="1:41" s="501" customFormat="1" ht="13.5" customHeight="1" thickBot="1">
      <c r="A2410" s="816"/>
      <c r="B2410" s="817"/>
      <c r="C2410" s="518"/>
      <c r="D2410" s="518"/>
      <c r="E2410" s="515"/>
      <c r="F2410" s="721"/>
      <c r="G2410" s="515" t="s">
        <v>146</v>
      </c>
      <c r="H2410" s="515"/>
      <c r="I2410" s="516"/>
      <c r="J2410" s="515"/>
      <c r="K2410" s="515"/>
      <c r="L2410" s="818" t="s">
        <v>143</v>
      </c>
      <c r="M2410" s="517"/>
      <c r="N2410" s="517"/>
      <c r="O2410" s="517"/>
      <c r="P2410" s="517"/>
      <c r="Q2410" s="722"/>
      <c r="R2410" s="819">
        <f ca="1">SUMIF($L2386:$L2409,"SUBI",R2386:R2409)</f>
        <v>3018.48</v>
      </c>
      <c r="S2410" s="820"/>
      <c r="T2410" s="819">
        <f ca="1">SUMIF($L2386:$L2409,"SUBI",T2386:T2409)</f>
        <v>38.159999999999997</v>
      </c>
      <c r="U2410" s="518"/>
      <c r="V2410" s="518"/>
      <c r="W2410" s="518"/>
      <c r="X2410" s="518"/>
      <c r="Y2410" s="518"/>
      <c r="Z2410" s="518"/>
      <c r="AA2410" s="518"/>
      <c r="AB2410" s="518"/>
      <c r="AC2410" s="518"/>
      <c r="AD2410" s="518"/>
      <c r="AE2410" s="518"/>
      <c r="AF2410" s="518"/>
      <c r="AG2410" s="518"/>
      <c r="AH2410" s="518"/>
      <c r="AI2410" s="518"/>
      <c r="AJ2410" s="518"/>
      <c r="AK2410" s="518"/>
      <c r="AL2410" s="518"/>
      <c r="AM2410" s="518"/>
      <c r="AN2410" s="518"/>
      <c r="AO2410" s="518"/>
    </row>
    <row r="2411" spans="1:41" s="501" customFormat="1" thickTop="1">
      <c r="A2411" s="44"/>
      <c r="B2411" s="44"/>
      <c r="C2411" s="3"/>
      <c r="D2411" s="3"/>
      <c r="E2411" s="44"/>
      <c r="F2411" s="44"/>
      <c r="G2411" s="44"/>
      <c r="H2411" s="44"/>
      <c r="I2411" s="44"/>
      <c r="J2411" s="44"/>
      <c r="K2411" s="44" t="s">
        <v>134</v>
      </c>
      <c r="L2411" s="44"/>
      <c r="M2411" s="44"/>
      <c r="N2411" s="44"/>
      <c r="O2411" s="45"/>
      <c r="P2411" s="44"/>
      <c r="Q2411" s="44"/>
      <c r="R2411" s="44"/>
      <c r="S2411" s="44"/>
      <c r="T2411" s="44"/>
    </row>
    <row r="2412" spans="1:41" s="501" customFormat="1" ht="12">
      <c r="A2412" s="44"/>
      <c r="B2412" s="44"/>
      <c r="C2412" s="44" t="s">
        <v>135</v>
      </c>
      <c r="D2412" s="35"/>
      <c r="E2412" s="44"/>
      <c r="F2412" s="44"/>
      <c r="G2412" s="44"/>
      <c r="H2412" s="44"/>
      <c r="I2412" s="44"/>
      <c r="J2412" s="44"/>
      <c r="K2412" s="44"/>
      <c r="L2412" s="44"/>
      <c r="M2412" s="44"/>
      <c r="N2412" s="44"/>
      <c r="O2412" s="45"/>
      <c r="P2412" s="44"/>
      <c r="Q2412" s="44"/>
      <c r="R2412" s="44"/>
      <c r="S2412" s="44"/>
      <c r="T2412" s="44"/>
    </row>
    <row r="2413" spans="1:41" s="501" customFormat="1" ht="12">
      <c r="A2413" s="44"/>
      <c r="B2413" s="44"/>
      <c r="C2413" s="44"/>
      <c r="D2413" s="35" t="s">
        <v>533</v>
      </c>
      <c r="E2413" s="44"/>
      <c r="F2413" s="44"/>
      <c r="G2413" s="44"/>
      <c r="H2413" s="44"/>
      <c r="I2413" s="44"/>
      <c r="J2413" s="44"/>
      <c r="K2413" s="44"/>
      <c r="L2413" s="44"/>
      <c r="M2413" s="44"/>
      <c r="N2413" s="44"/>
      <c r="O2413" s="45"/>
      <c r="P2413" s="44"/>
      <c r="Q2413" s="44"/>
      <c r="R2413" s="44"/>
      <c r="S2413" s="36"/>
      <c r="T2413" s="36"/>
    </row>
    <row r="2414" spans="1:41" s="3" customFormat="1" thickBot="1">
      <c r="A2414" s="518"/>
      <c r="O2414" s="86"/>
    </row>
    <row r="2415" spans="1:41" s="501" customFormat="1" thickTop="1">
      <c r="A2415" s="44"/>
      <c r="B2415" s="39"/>
      <c r="C2415" s="44"/>
      <c r="E2415" s="40" t="s">
        <v>138</v>
      </c>
      <c r="F2415" s="40" t="s">
        <v>139</v>
      </c>
      <c r="G2415" s="44"/>
      <c r="H2415" s="44"/>
      <c r="I2415" s="44"/>
      <c r="J2415" s="44"/>
      <c r="K2415" s="44" t="s">
        <v>140</v>
      </c>
      <c r="L2415" s="737"/>
      <c r="M2415" s="44"/>
      <c r="N2415" s="44"/>
      <c r="O2415" s="45"/>
      <c r="P2415" s="44"/>
      <c r="Q2415"/>
      <c r="R2415"/>
      <c r="S2415"/>
      <c r="T2415" s="39"/>
      <c r="AG2415" s="502" t="s">
        <v>247</v>
      </c>
      <c r="AH2415" s="502" t="s">
        <v>248</v>
      </c>
      <c r="AI2415" s="502" t="s">
        <v>249</v>
      </c>
      <c r="AJ2415" s="502" t="s">
        <v>250</v>
      </c>
      <c r="AK2415" s="502" t="s">
        <v>251</v>
      </c>
      <c r="AM2415" s="710" t="s">
        <v>260</v>
      </c>
      <c r="AN2415" s="711" t="s">
        <v>261</v>
      </c>
      <c r="AO2415" s="503" t="s">
        <v>257</v>
      </c>
    </row>
    <row r="2416" spans="1:41" s="501" customFormat="1" ht="13.2">
      <c r="A2416" s="712">
        <v>1</v>
      </c>
      <c r="B2416" s="504" t="s">
        <v>283</v>
      </c>
      <c r="C2416" s="505"/>
      <c r="D2416" s="713" t="s">
        <v>620</v>
      </c>
      <c r="E2416" s="738">
        <f ca="1">IF(AND($A2416=0,$A$1="DIF"),0,ROUND(ROUND(SUMIF($L2418:$L2436,"SUBI",$E2418:$E2436)/$A2416,2)*$C$12,2))</f>
        <v>5570.91</v>
      </c>
      <c r="F2416" s="739">
        <f ca="1">ROUND($A2416*$E2416,2)</f>
        <v>5570.91</v>
      </c>
      <c r="G2416" s="506" t="s">
        <v>142</v>
      </c>
      <c r="H2416" s="498"/>
      <c r="I2416" s="716"/>
      <c r="J2416" s="498"/>
      <c r="K2416" s="740"/>
      <c r="L2416" s="741" t="s">
        <v>143</v>
      </c>
      <c r="M2416" s="717"/>
      <c r="N2416" s="717"/>
      <c r="O2416" s="717"/>
      <c r="P2416" s="717"/>
      <c r="Q2416" s="943" t="s">
        <v>855</v>
      </c>
      <c r="R2416" s="943" t="s">
        <v>869</v>
      </c>
      <c r="S2416"/>
      <c r="T2416" s="742" t="str">
        <f ca="1">IF(AND($R2441=0,$T2441=0),"0.00","mu :" &amp; ROUND($F2416/$C$12/($R2441+$T2441*$D$9),2))</f>
        <v>mu :1.37</v>
      </c>
      <c r="W2416" s="507"/>
      <c r="AG2416" s="743">
        <f ca="1">IF(A2416=0,0,ROUND(SUM(AG2418:AG2441)/A2416,2))</f>
        <v>4074.95</v>
      </c>
      <c r="AH2416" s="743">
        <f ca="1">$AG2416*$A2416</f>
        <v>4074.95</v>
      </c>
      <c r="AI2416" s="743">
        <f ca="1">$E2416-$AG2416</f>
        <v>1495.96</v>
      </c>
      <c r="AJ2416" s="743">
        <f ca="1">$A2416*$AI2416</f>
        <v>1495.96</v>
      </c>
      <c r="AK2416" s="744">
        <f ca="1">ROUND(($AG2416+$AI2416)*$A2416,2)</f>
        <v>5570.91</v>
      </c>
      <c r="AM2416" s="510">
        <f ca="1">ROUND(R2441,2)</f>
        <v>3018.48</v>
      </c>
      <c r="AN2416" s="511">
        <f ca="1">ROUND(T2441,2)</f>
        <v>38.159999999999997</v>
      </c>
      <c r="AO2416" s="512">
        <f ca="1">ROUND(AM2416+AN2416,2)*A2416</f>
        <v>3056.64</v>
      </c>
    </row>
    <row r="2417" spans="1:33" s="501" customFormat="1" ht="39.9" customHeight="1">
      <c r="A2417" s="745"/>
      <c r="B2417" s="746"/>
      <c r="C2417" s="505"/>
      <c r="D2417" s="1183" t="s">
        <v>534</v>
      </c>
      <c r="E2417" s="1184"/>
      <c r="F2417" s="1184"/>
      <c r="G2417" s="1184"/>
      <c r="H2417" s="1184"/>
      <c r="I2417" s="1184"/>
      <c r="J2417" s="1184"/>
      <c r="K2417" s="1184"/>
      <c r="L2417" s="1184"/>
      <c r="M2417" s="1184"/>
      <c r="N2417" s="1184"/>
      <c r="O2417" s="1184"/>
      <c r="P2417" s="1184"/>
      <c r="Q2417" s="1184"/>
      <c r="R2417" s="1184"/>
      <c r="S2417" s="1184"/>
      <c r="T2417" s="1184"/>
    </row>
    <row r="2418" spans="1:33" s="501" customFormat="1" ht="12">
      <c r="A2418" s="748"/>
      <c r="B2418" s="749"/>
      <c r="C2418" s="497"/>
      <c r="D2418" s="750"/>
      <c r="E2418" s="751">
        <f ca="1">F2416/$C$12-SUMIF($L2415:$L2441,"SUBI",$E2415:$E2441)</f>
        <v>0</v>
      </c>
      <c r="F2418" s="752" t="s">
        <v>572</v>
      </c>
      <c r="G2418" s="753"/>
      <c r="H2418" s="753"/>
      <c r="I2418" s="754"/>
      <c r="J2418" s="753"/>
      <c r="K2418" s="753"/>
      <c r="L2418" s="755"/>
      <c r="M2418" s="756"/>
      <c r="N2418" s="756"/>
      <c r="O2418" s="756"/>
      <c r="P2418" s="756"/>
      <c r="Q2418" s="757"/>
      <c r="R2418" s="758"/>
      <c r="S2418" s="757"/>
      <c r="T2418" s="759"/>
    </row>
    <row r="2419" spans="1:33" s="501" customFormat="1" ht="12" customHeight="1">
      <c r="A2419" s="760"/>
      <c r="B2419" s="761"/>
      <c r="C2419" s="762"/>
      <c r="D2419" s="762" t="str">
        <f>$F$2</f>
        <v>Electrical</v>
      </c>
      <c r="E2419" s="762">
        <f ca="1">ROUND(($R2431*$S$2 + ($T2431*$T$2)), 2)</f>
        <v>1669.73</v>
      </c>
      <c r="F2419" s="763">
        <f ca="1">$E2419*$C$12</f>
        <v>1669.73</v>
      </c>
      <c r="G2419" s="567"/>
      <c r="H2419" s="764"/>
      <c r="I2419" s="567"/>
      <c r="J2419" s="45"/>
      <c r="K2419" s="765" t="s">
        <v>3</v>
      </c>
      <c r="L2419" s="766" t="s">
        <v>573</v>
      </c>
      <c r="M2419" s="567"/>
      <c r="N2419" s="567"/>
      <c r="O2419" s="45"/>
      <c r="P2419" s="567"/>
      <c r="Q2419" s="567"/>
      <c r="R2419"/>
      <c r="S2419"/>
      <c r="T2419"/>
    </row>
    <row r="2420" spans="1:33" s="935" customFormat="1" ht="13.2">
      <c r="A2420"/>
      <c r="B2420" s="927"/>
      <c r="C2420" s="927" t="s">
        <v>735</v>
      </c>
      <c r="D2420" s="927" t="str">
        <f ca="1">CELL("Address",Elec_Rates!D$143)</f>
        <v>[E25_0465_IH_Retro_Elec4Mech_Est_Rev_A.xlsx]Elec_Rates!$D$143</v>
      </c>
      <c r="E2420" s="928"/>
      <c r="F2420" s="928"/>
      <c r="G2420" s="929" t="s">
        <v>736</v>
      </c>
      <c r="H2420" s="929"/>
      <c r="I2420" s="929"/>
      <c r="J2420" s="929"/>
      <c r="K2420" s="930"/>
      <c r="L2420" s="928"/>
      <c r="M2420" s="928"/>
      <c r="N2420" s="928"/>
      <c r="O2420" s="931"/>
      <c r="P2420" s="928"/>
      <c r="Q2420" s="932"/>
      <c r="R2420" s="933"/>
      <c r="S2420" s="932"/>
      <c r="T2420" s="560"/>
      <c r="U2420" s="934"/>
    </row>
    <row r="2421" spans="1:33" s="935" customFormat="1" ht="11.4">
      <c r="A2421" s="936">
        <v>1</v>
      </c>
      <c r="B2421" s="937">
        <v>1</v>
      </c>
      <c r="C2421" s="937">
        <f>$A2421*$B2421</f>
        <v>1</v>
      </c>
      <c r="D2421" s="938" t="str">
        <f>Elec_Rates!$D$143</f>
        <v>011# Power supply to control panel (4core x 4.0sqmm) and VDS by pass in MCC</v>
      </c>
      <c r="E2421" s="938"/>
      <c r="F2421" s="938" t="s">
        <v>737</v>
      </c>
      <c r="G2421" s="939" t="s">
        <v>738</v>
      </c>
      <c r="H2421" s="939"/>
      <c r="I2421" s="939"/>
      <c r="J2421" s="939"/>
      <c r="K2421" s="940"/>
      <c r="L2421" s="934"/>
      <c r="M2421" s="934"/>
      <c r="N2421" s="934"/>
      <c r="O2421" s="941"/>
      <c r="P2421" s="938"/>
      <c r="Q2421" s="942">
        <f ca="1">$B2421*Elec_Rates!$R$143</f>
        <v>74.239999999999995</v>
      </c>
      <c r="R2421" s="933">
        <f ca="1">$A2421*Q2421</f>
        <v>74.239999999999995</v>
      </c>
      <c r="S2421" s="942">
        <f ca="1">$B2421*Elec_Rates!$T$143</f>
        <v>3.17</v>
      </c>
      <c r="T2421" s="560">
        <f ca="1">$A2421*S2421</f>
        <v>3.17</v>
      </c>
      <c r="U2421" s="484"/>
    </row>
    <row r="2422" spans="1:33" s="935" customFormat="1" ht="13.2">
      <c r="A2422"/>
      <c r="B2422" s="927"/>
      <c r="C2422" s="927" t="s">
        <v>735</v>
      </c>
      <c r="D2422" s="927" t="str">
        <f ca="1">CELL("Address",Elec_Rates!D$196)</f>
        <v>[E25_0465_IH_Retro_Elec4Mech_Est_Rev_A.xlsx]Elec_Rates!$D$196</v>
      </c>
      <c r="E2422" s="928"/>
      <c r="F2422" s="928"/>
      <c r="G2422" s="929" t="s">
        <v>736</v>
      </c>
      <c r="H2422" s="929"/>
      <c r="I2422" s="929"/>
      <c r="J2422" s="929"/>
      <c r="K2422" s="930"/>
      <c r="L2422" s="928"/>
      <c r="M2422" s="928"/>
      <c r="N2422" s="928"/>
      <c r="O2422" s="931"/>
      <c r="P2422" s="928"/>
      <c r="Q2422" s="932"/>
      <c r="R2422" s="933"/>
      <c r="S2422" s="932"/>
      <c r="T2422" s="560"/>
      <c r="U2422" s="934"/>
    </row>
    <row r="2423" spans="1:33" s="935" customFormat="1" ht="11.4">
      <c r="A2423" s="936">
        <v>1</v>
      </c>
      <c r="B2423" s="937">
        <v>1</v>
      </c>
      <c r="C2423" s="937">
        <f>$A2423*$B2423</f>
        <v>1</v>
      </c>
      <c r="D2423" s="938" t="str">
        <f>Elec_Rates!$D$196</f>
        <v>013# Installation of Rosenger control panel</v>
      </c>
      <c r="E2423" s="938"/>
      <c r="F2423" s="938" t="s">
        <v>737</v>
      </c>
      <c r="G2423" s="939" t="s">
        <v>739</v>
      </c>
      <c r="H2423" s="939"/>
      <c r="I2423" s="939"/>
      <c r="J2423" s="939"/>
      <c r="K2423" s="940"/>
      <c r="L2423" s="934"/>
      <c r="M2423" s="934"/>
      <c r="N2423" s="934"/>
      <c r="O2423" s="941"/>
      <c r="P2423" s="938"/>
      <c r="Q2423" s="942">
        <f ca="1">$B2423*Elec_Rates!$R$196</f>
        <v>20</v>
      </c>
      <c r="R2423" s="933">
        <f ca="1">$A2423*Q2423</f>
        <v>20</v>
      </c>
      <c r="S2423" s="942">
        <f ca="1">$B2423*Elec_Rates!$T$196</f>
        <v>2</v>
      </c>
      <c r="T2423" s="560">
        <f ca="1">$A2423*S2423</f>
        <v>2</v>
      </c>
      <c r="U2423" s="484"/>
    </row>
    <row r="2424" spans="1:33" s="935" customFormat="1" ht="13.2">
      <c r="A2424"/>
      <c r="B2424" s="927"/>
      <c r="C2424" s="927" t="s">
        <v>735</v>
      </c>
      <c r="D2424" s="927" t="str">
        <f ca="1">CELL("Address",Elec_Rates!D$203)</f>
        <v>[E25_0465_IH_Retro_Elec4Mech_Est_Rev_A.xlsx]Elec_Rates!$D$203</v>
      </c>
      <c r="E2424" s="928"/>
      <c r="F2424" s="928"/>
      <c r="G2424" s="929" t="s">
        <v>736</v>
      </c>
      <c r="H2424" s="929"/>
      <c r="I2424" s="929"/>
      <c r="J2424" s="929"/>
      <c r="K2424" s="930"/>
      <c r="L2424" s="928"/>
      <c r="M2424" s="928"/>
      <c r="N2424" s="928"/>
      <c r="O2424" s="931"/>
      <c r="P2424" s="928"/>
      <c r="Q2424" s="932"/>
      <c r="R2424" s="933"/>
      <c r="S2424" s="932"/>
      <c r="T2424" s="560"/>
      <c r="U2424" s="934"/>
    </row>
    <row r="2425" spans="1:33" s="935" customFormat="1" ht="11.4">
      <c r="A2425" s="936">
        <v>2</v>
      </c>
      <c r="B2425" s="937">
        <v>1</v>
      </c>
      <c r="C2425" s="937">
        <f>$A2425*$B2425</f>
        <v>2</v>
      </c>
      <c r="D2425" s="938" t="str">
        <f>Elec_Rates!$D$203</f>
        <v>014# Installation of cable harness to fans</v>
      </c>
      <c r="E2425" s="938"/>
      <c r="F2425" s="938" t="s">
        <v>737</v>
      </c>
      <c r="G2425" s="939" t="s">
        <v>738</v>
      </c>
      <c r="H2425" s="939"/>
      <c r="I2425" s="939"/>
      <c r="J2425" s="939"/>
      <c r="K2425" s="940"/>
      <c r="L2425" s="934"/>
      <c r="M2425" s="934"/>
      <c r="N2425" s="934"/>
      <c r="O2425" s="941"/>
      <c r="P2425" s="938"/>
      <c r="Q2425" s="942">
        <f ca="1">$B2425*Elec_Rates!$R$203</f>
        <v>20</v>
      </c>
      <c r="R2425" s="933">
        <f ca="1">$A2425*Q2425</f>
        <v>40</v>
      </c>
      <c r="S2425" s="942">
        <f ca="1">$B2425*Elec_Rates!$T$203</f>
        <v>1</v>
      </c>
      <c r="T2425" s="560">
        <f ca="1">$A2425*S2425</f>
        <v>2</v>
      </c>
      <c r="U2425" s="484"/>
    </row>
    <row r="2426" spans="1:33" s="935" customFormat="1" ht="13.2">
      <c r="A2426"/>
      <c r="B2426" s="927"/>
      <c r="C2426" s="927" t="s">
        <v>735</v>
      </c>
      <c r="D2426" s="927" t="str">
        <f ca="1">CELL("Address",Elec_Rates!D$210)</f>
        <v>[E25_0465_IH_Retro_Elec4Mech_Est_Rev_A.xlsx]Elec_Rates!$D$210</v>
      </c>
      <c r="E2426" s="928"/>
      <c r="F2426" s="928"/>
      <c r="G2426" s="929" t="s">
        <v>736</v>
      </c>
      <c r="H2426" s="929"/>
      <c r="I2426" s="929"/>
      <c r="J2426" s="929"/>
      <c r="K2426" s="930"/>
      <c r="L2426" s="928"/>
      <c r="M2426" s="928"/>
      <c r="N2426" s="928"/>
      <c r="O2426" s="931"/>
      <c r="P2426" s="928"/>
      <c r="Q2426" s="932"/>
      <c r="R2426" s="933"/>
      <c r="S2426" s="932"/>
      <c r="T2426" s="560"/>
      <c r="U2426" s="934"/>
    </row>
    <row r="2427" spans="1:33" s="935" customFormat="1" ht="11.4">
      <c r="A2427" s="936">
        <v>1</v>
      </c>
      <c r="B2427" s="937">
        <v>1</v>
      </c>
      <c r="C2427" s="937">
        <f>$A2427*$B2427</f>
        <v>1</v>
      </c>
      <c r="D2427" s="938" t="str">
        <f>Elec_Rates!$D$210</f>
        <v>015# Installation of control panels by ECA</v>
      </c>
      <c r="E2427" s="938"/>
      <c r="F2427" s="938" t="s">
        <v>737</v>
      </c>
      <c r="G2427" s="939" t="s">
        <v>739</v>
      </c>
      <c r="H2427" s="939"/>
      <c r="I2427" s="939"/>
      <c r="J2427" s="939"/>
      <c r="K2427" s="940"/>
      <c r="L2427" s="934"/>
      <c r="M2427" s="934"/>
      <c r="N2427" s="934"/>
      <c r="O2427" s="941"/>
      <c r="P2427" s="938"/>
      <c r="Q2427" s="942">
        <f ca="1">$B2427*Elec_Rates!$R$210</f>
        <v>30</v>
      </c>
      <c r="R2427" s="933">
        <f ca="1">$A2427*Q2427</f>
        <v>30</v>
      </c>
      <c r="S2427" s="942">
        <f ca="1">$B2427*Elec_Rates!$T$210</f>
        <v>1</v>
      </c>
      <c r="T2427" s="560">
        <f ca="1">$A2427*S2427</f>
        <v>1</v>
      </c>
      <c r="U2427" s="484"/>
    </row>
    <row r="2428" spans="1:33" s="935" customFormat="1" ht="13.2">
      <c r="A2428"/>
      <c r="B2428" s="927"/>
      <c r="C2428" s="927" t="s">
        <v>735</v>
      </c>
      <c r="D2428" s="927" t="str">
        <f ca="1">CELL("Address",Elec_Rates!D$217)</f>
        <v>[E25_0465_IH_Retro_Elec4Mech_Est_Rev_A.xlsx]Elec_Rates!$D$217</v>
      </c>
      <c r="E2428" s="928"/>
      <c r="F2428" s="928"/>
      <c r="G2428" s="929" t="s">
        <v>736</v>
      </c>
      <c r="H2428" s="929"/>
      <c r="I2428" s="929"/>
      <c r="J2428" s="929"/>
      <c r="K2428" s="930"/>
      <c r="L2428" s="928"/>
      <c r="M2428" s="928"/>
      <c r="N2428" s="928"/>
      <c r="O2428" s="931"/>
      <c r="P2428" s="928"/>
      <c r="Q2428" s="932"/>
      <c r="R2428" s="933"/>
      <c r="S2428" s="932"/>
      <c r="T2428" s="560"/>
      <c r="U2428" s="934"/>
    </row>
    <row r="2429" spans="1:33" s="935" customFormat="1" ht="11.4">
      <c r="A2429" s="936">
        <v>1</v>
      </c>
      <c r="B2429" s="937">
        <v>1</v>
      </c>
      <c r="C2429" s="937">
        <f>$A2429*$B2429</f>
        <v>1</v>
      </c>
      <c r="D2429" s="938" t="str">
        <f>Elec_Rates!$D$217</f>
        <v>016# Installation of sensors on AHUs</v>
      </c>
      <c r="E2429" s="938"/>
      <c r="F2429" s="938" t="s">
        <v>737</v>
      </c>
      <c r="G2429" s="939" t="s">
        <v>738</v>
      </c>
      <c r="H2429" s="939"/>
      <c r="I2429" s="939"/>
      <c r="J2429" s="939"/>
      <c r="K2429" s="940"/>
      <c r="L2429" s="934"/>
      <c r="M2429" s="934"/>
      <c r="N2429" s="934"/>
      <c r="O2429" s="941"/>
      <c r="P2429" s="938"/>
      <c r="Q2429" s="942">
        <f ca="1">$B2429*Elec_Rates!$R$217</f>
        <v>354.24</v>
      </c>
      <c r="R2429" s="933">
        <f ca="1">$A2429*Q2429</f>
        <v>354.24</v>
      </c>
      <c r="S2429" s="942">
        <f ca="1">$B2429*Elec_Rates!$T$217</f>
        <v>17.989999999999998</v>
      </c>
      <c r="T2429" s="560">
        <f ca="1">$A2429*S2429</f>
        <v>17.989999999999998</v>
      </c>
      <c r="U2429" s="484"/>
    </row>
    <row r="2430" spans="1:33" s="501" customFormat="1" ht="14.4" customHeight="1">
      <c r="A2430" s="767"/>
      <c r="B2430" s="567"/>
      <c r="C2430" s="567"/>
      <c r="D2430" s="567"/>
      <c r="E2430" s="567"/>
      <c r="F2430" s="567"/>
      <c r="G2430" s="567"/>
      <c r="H2430" s="764"/>
      <c r="I2430" s="567"/>
      <c r="J2430" s="45"/>
      <c r="K2430" s="769"/>
      <c r="L2430" s="770"/>
      <c r="M2430" s="567"/>
      <c r="N2430" s="567"/>
      <c r="O2430" s="45"/>
      <c r="P2430" s="567"/>
      <c r="Q2430" s="567"/>
      <c r="R2430" s="771">
        <f>$A2430*Q2430</f>
        <v>0</v>
      </c>
      <c r="S2430" s="567"/>
      <c r="T2430" s="500">
        <f>$A2430*S2430*$T$1</f>
        <v>0</v>
      </c>
    </row>
    <row r="2431" spans="1:33" s="501" customFormat="1" ht="12">
      <c r="A2431" s="772" t="s">
        <v>145</v>
      </c>
      <c r="B2431" s="773">
        <f>(R2430+T2430)</f>
        <v>0</v>
      </c>
      <c r="C2431" s="753"/>
      <c r="G2431" s="774"/>
      <c r="H2431" s="774"/>
      <c r="I2431" s="774"/>
      <c r="J2431" s="774"/>
      <c r="K2431" s="750" t="s">
        <v>3</v>
      </c>
      <c r="L2431" s="775" t="s">
        <v>573</v>
      </c>
      <c r="M2431" s="774"/>
      <c r="N2431" s="774"/>
      <c r="O2431" s="774"/>
      <c r="P2431" s="774"/>
      <c r="Q2431" s="776"/>
      <c r="R2431" s="777">
        <f ca="1">SUM(R2419:R2430)</f>
        <v>518.48</v>
      </c>
      <c r="S2431" s="778"/>
      <c r="T2431" s="777">
        <f ca="1">SUM(T2419:T2430)</f>
        <v>26.159999999999997</v>
      </c>
      <c r="AG2431" s="779">
        <f ca="1">ROUND($R2431*$S$2,2)</f>
        <v>699.95</v>
      </c>
    </row>
    <row r="2432" spans="1:33" s="501" customFormat="1" ht="12" customHeight="1">
      <c r="A2432" s="760"/>
      <c r="B2432" s="780"/>
      <c r="C2432" s="781"/>
      <c r="D2432" s="782" t="str">
        <f>$F$3</f>
        <v>Technician</v>
      </c>
      <c r="E2432" s="782">
        <f>ROUND(($R2435*$S$3 + ($T2435*$T$3)), 2)</f>
        <v>3739.18</v>
      </c>
      <c r="F2432" s="783">
        <f>$E2432*$C$12</f>
        <v>3739.18</v>
      </c>
      <c r="G2432" s="499"/>
      <c r="H2432" s="499"/>
      <c r="I2432" s="499"/>
      <c r="J2432" s="499"/>
      <c r="K2432" s="765" t="s">
        <v>5</v>
      </c>
      <c r="L2432" s="766" t="s">
        <v>573</v>
      </c>
      <c r="M2432" s="499"/>
      <c r="N2432" s="499"/>
      <c r="O2432" s="499"/>
      <c r="P2432" s="499"/>
      <c r="Q2432" s="499"/>
      <c r="R2432" s="784"/>
      <c r="S2432" s="499"/>
      <c r="T2432" s="784"/>
    </row>
    <row r="2433" spans="1:41" s="893" customFormat="1" ht="13.2">
      <c r="A2433">
        <v>1</v>
      </c>
      <c r="B2433" s="893" t="s">
        <v>141</v>
      </c>
      <c r="D2433" s="893" t="s">
        <v>767</v>
      </c>
      <c r="E2433" s="893" t="s">
        <v>770</v>
      </c>
      <c r="F2433" s="893" t="s">
        <v>769</v>
      </c>
      <c r="G2433" s="894" t="s">
        <v>768</v>
      </c>
      <c r="H2433" s="895">
        <v>570</v>
      </c>
      <c r="I2433" s="893" t="s">
        <v>643</v>
      </c>
      <c r="O2433" s="896">
        <v>2</v>
      </c>
      <c r="P2433" s="897">
        <v>38443</v>
      </c>
      <c r="Q2433" s="898">
        <v>2500</v>
      </c>
      <c r="R2433" s="899">
        <f>$A2433*Q2433</f>
        <v>2500</v>
      </c>
      <c r="S2433" s="898">
        <f>200/25</f>
        <v>8</v>
      </c>
      <c r="T2433" s="900">
        <f>$A2433*S2433*$T$1</f>
        <v>8</v>
      </c>
    </row>
    <row r="2434" spans="1:41" s="501" customFormat="1" ht="15.6" customHeight="1">
      <c r="A2434" s="767"/>
      <c r="B2434" s="567"/>
      <c r="C2434" s="567"/>
      <c r="D2434" s="3"/>
      <c r="E2434" s="567"/>
      <c r="F2434" s="567"/>
      <c r="G2434" s="567"/>
      <c r="H2434" s="567"/>
      <c r="I2434" s="567"/>
      <c r="J2434" s="567"/>
      <c r="K2434" s="567"/>
      <c r="L2434" s="770"/>
      <c r="M2434" s="567"/>
      <c r="N2434" s="567"/>
      <c r="O2434" s="567"/>
      <c r="P2434" s="567"/>
      <c r="Q2434" s="567"/>
      <c r="R2434" s="771">
        <f>$A2434*Q2434</f>
        <v>0</v>
      </c>
      <c r="S2434" s="567"/>
      <c r="T2434" s="500">
        <f>$A2434*S2434*$T$1</f>
        <v>0</v>
      </c>
    </row>
    <row r="2435" spans="1:41" s="501" customFormat="1" ht="12">
      <c r="A2435" s="772" t="s">
        <v>145</v>
      </c>
      <c r="B2435" s="773">
        <f>(R2434+T2434)</f>
        <v>0</v>
      </c>
      <c r="C2435" s="753"/>
      <c r="G2435" s="774"/>
      <c r="H2435" s="774"/>
      <c r="I2435" s="774"/>
      <c r="J2435" s="774"/>
      <c r="K2435" s="798" t="s">
        <v>5</v>
      </c>
      <c r="L2435" s="775" t="s">
        <v>573</v>
      </c>
      <c r="M2435" s="774"/>
      <c r="N2435" s="774"/>
      <c r="O2435" s="774"/>
      <c r="P2435" s="774"/>
      <c r="Q2435" s="776"/>
      <c r="R2435" s="777">
        <f>SUM(R2432:R2434)</f>
        <v>2500</v>
      </c>
      <c r="S2435" s="778"/>
      <c r="T2435" s="777">
        <f>SUM(T2432:T2434)</f>
        <v>8</v>
      </c>
      <c r="AG2435" s="799">
        <f>ROUND($R2435*$S$3,2)</f>
        <v>3375</v>
      </c>
    </row>
    <row r="2436" spans="1:41" s="501" customFormat="1" ht="12" customHeight="1">
      <c r="A2436" s="800"/>
      <c r="B2436" s="801"/>
      <c r="C2436" s="802"/>
      <c r="D2436" s="803" t="str">
        <f>$F$4</f>
        <v>Engineer (Man Hours)</v>
      </c>
      <c r="E2436" s="803">
        <f>ROUND(($R2439*$S$4 + ($T2439*$T$4)), 2)</f>
        <v>162</v>
      </c>
      <c r="F2436" s="804">
        <f ca="1">$F2416-SUMIF($L2418:$P2433,"SUBI",$F2418:$F2433)</f>
        <v>162</v>
      </c>
      <c r="G2436" s="499"/>
      <c r="H2436" s="499"/>
      <c r="I2436" s="499"/>
      <c r="J2436" s="499"/>
      <c r="K2436" s="805" t="s">
        <v>8</v>
      </c>
      <c r="L2436" s="766" t="s">
        <v>573</v>
      </c>
      <c r="M2436" s="499"/>
      <c r="N2436" s="499"/>
      <c r="O2436" s="499"/>
      <c r="P2436" s="499"/>
      <c r="Q2436" s="499"/>
      <c r="R2436" s="784"/>
      <c r="S2436" s="499"/>
      <c r="T2436" s="784"/>
    </row>
    <row r="2437" spans="1:41" s="893" customFormat="1" ht="13.2">
      <c r="A2437">
        <v>1</v>
      </c>
      <c r="B2437" s="893" t="s">
        <v>141</v>
      </c>
      <c r="D2437" s="893" t="s">
        <v>767</v>
      </c>
      <c r="E2437" s="893" t="s">
        <v>771</v>
      </c>
      <c r="F2437" s="893" t="s">
        <v>769</v>
      </c>
      <c r="G2437" s="894" t="s">
        <v>768</v>
      </c>
      <c r="H2437" s="895">
        <v>570</v>
      </c>
      <c r="I2437" s="893" t="s">
        <v>643</v>
      </c>
      <c r="O2437" s="896">
        <v>2</v>
      </c>
      <c r="P2437" s="897">
        <v>38443</v>
      </c>
      <c r="Q2437" s="898"/>
      <c r="R2437" s="899">
        <f>$A2437*Q2437</f>
        <v>0</v>
      </c>
      <c r="S2437" s="898">
        <f>100/25</f>
        <v>4</v>
      </c>
      <c r="T2437" s="900">
        <f>$A2437*S2437*$T$1</f>
        <v>4</v>
      </c>
    </row>
    <row r="2438" spans="1:41" s="501" customFormat="1" ht="12">
      <c r="A2438" s="44"/>
      <c r="B2438" s="497"/>
      <c r="C2438" s="497"/>
      <c r="D2438" s="807"/>
      <c r="E2438" s="808"/>
      <c r="F2438" s="499"/>
      <c r="G2438" s="499"/>
      <c r="H2438" s="499"/>
      <c r="I2438" s="499"/>
      <c r="J2438" s="499"/>
      <c r="K2438" s="499"/>
      <c r="L2438" s="809"/>
      <c r="M2438" s="499"/>
      <c r="N2438" s="499"/>
      <c r="O2438" s="499"/>
      <c r="P2438" s="499"/>
      <c r="Q2438" s="499"/>
      <c r="R2438" s="720">
        <f>$A2438*Q2438</f>
        <v>0</v>
      </c>
      <c r="S2438" s="499"/>
      <c r="T2438" s="500">
        <f>$A2438*S2438*$T$1</f>
        <v>0</v>
      </c>
    </row>
    <row r="2439" spans="1:41" s="501" customFormat="1" ht="12.75" customHeight="1">
      <c r="A2439" s="772" t="s">
        <v>145</v>
      </c>
      <c r="B2439" s="773">
        <f>(R2438+T2438)</f>
        <v>0</v>
      </c>
      <c r="C2439" s="810"/>
      <c r="D2439" s="810"/>
      <c r="E2439" s="810"/>
      <c r="F2439" s="810"/>
      <c r="G2439" s="776"/>
      <c r="H2439" s="776"/>
      <c r="I2439" s="776"/>
      <c r="J2439" s="776"/>
      <c r="K2439" s="798" t="s">
        <v>8</v>
      </c>
      <c r="L2439" s="811" t="s">
        <v>573</v>
      </c>
      <c r="M2439" s="776"/>
      <c r="N2439" s="776"/>
      <c r="O2439" s="776"/>
      <c r="P2439" s="776"/>
      <c r="Q2439" s="776"/>
      <c r="R2439" s="777">
        <f>SUM(R2436:R2438)</f>
        <v>0</v>
      </c>
      <c r="S2439" s="778"/>
      <c r="T2439" s="777">
        <f>SUM(T2436:T2438)</f>
        <v>4</v>
      </c>
      <c r="AG2439" s="812">
        <f>ROUND($R2439*$S$4,2)</f>
        <v>0</v>
      </c>
    </row>
    <row r="2440" spans="1:41" s="501" customFormat="1" ht="12.75" customHeight="1">
      <c r="A2440" s="813"/>
      <c r="B2440" s="814"/>
      <c r="E2440" s="497"/>
      <c r="F2440" s="808"/>
      <c r="G2440" s="497"/>
      <c r="H2440" s="497"/>
      <c r="I2440" s="499"/>
      <c r="J2440" s="497"/>
      <c r="K2440" s="497"/>
      <c r="L2440" s="815"/>
      <c r="M2440" s="725"/>
      <c r="N2440" s="725"/>
      <c r="O2440" s="725"/>
      <c r="P2440" s="725"/>
      <c r="Q2440" s="726"/>
      <c r="R2440" s="784"/>
      <c r="S2440" s="497"/>
      <c r="T2440" s="784"/>
    </row>
    <row r="2441" spans="1:41" s="501" customFormat="1" ht="13.5" customHeight="1" thickBot="1">
      <c r="A2441" s="816"/>
      <c r="B2441" s="817"/>
      <c r="C2441" s="518"/>
      <c r="D2441" s="518"/>
      <c r="E2441" s="515"/>
      <c r="F2441" s="721"/>
      <c r="G2441" s="515" t="s">
        <v>146</v>
      </c>
      <c r="H2441" s="515"/>
      <c r="I2441" s="516"/>
      <c r="J2441" s="515"/>
      <c r="K2441" s="515"/>
      <c r="L2441" s="818" t="s">
        <v>143</v>
      </c>
      <c r="M2441" s="517"/>
      <c r="N2441" s="517"/>
      <c r="O2441" s="517"/>
      <c r="P2441" s="517"/>
      <c r="Q2441" s="722"/>
      <c r="R2441" s="819">
        <f ca="1">SUMIF($L2417:$L2440,"SUBI",R2417:R2440)</f>
        <v>3018.48</v>
      </c>
      <c r="S2441" s="820"/>
      <c r="T2441" s="819">
        <f ca="1">SUMIF($L2417:$L2440,"SUBI",T2417:T2440)</f>
        <v>38.159999999999997</v>
      </c>
      <c r="U2441" s="518"/>
      <c r="V2441" s="518"/>
      <c r="W2441" s="518"/>
      <c r="X2441" s="518"/>
      <c r="Y2441" s="518"/>
      <c r="Z2441" s="518"/>
      <c r="AA2441" s="518"/>
      <c r="AB2441" s="518"/>
      <c r="AC2441" s="518"/>
      <c r="AD2441" s="518"/>
      <c r="AE2441" s="518"/>
      <c r="AF2441" s="518"/>
      <c r="AG2441" s="518"/>
      <c r="AH2441" s="518"/>
      <c r="AI2441" s="518"/>
      <c r="AJ2441" s="518"/>
      <c r="AK2441" s="518"/>
      <c r="AL2441" s="518"/>
      <c r="AM2441" s="518"/>
      <c r="AN2441" s="518"/>
      <c r="AO2441" s="518"/>
    </row>
    <row r="2442" spans="1:41" s="501" customFormat="1" thickTop="1">
      <c r="A2442" s="44"/>
      <c r="B2442" s="44"/>
      <c r="C2442" s="3"/>
      <c r="D2442" s="3"/>
      <c r="E2442" s="44"/>
      <c r="F2442" s="44"/>
      <c r="G2442" s="44"/>
      <c r="H2442" s="44"/>
      <c r="I2442" s="44"/>
      <c r="J2442" s="44"/>
      <c r="K2442" s="44" t="s">
        <v>134</v>
      </c>
      <c r="L2442" s="44"/>
      <c r="M2442" s="44"/>
      <c r="N2442" s="44"/>
      <c r="O2442" s="45"/>
      <c r="P2442" s="44"/>
      <c r="Q2442" s="44"/>
      <c r="R2442" s="44"/>
      <c r="S2442" s="44"/>
      <c r="T2442" s="44"/>
    </row>
    <row r="2443" spans="1:41" s="501" customFormat="1" ht="12">
      <c r="A2443" s="44"/>
      <c r="B2443" s="44"/>
      <c r="C2443" s="44" t="s">
        <v>135</v>
      </c>
      <c r="D2443" s="35"/>
      <c r="E2443" s="44"/>
      <c r="F2443" s="44"/>
      <c r="G2443" s="44"/>
      <c r="H2443" s="44"/>
      <c r="I2443" s="44"/>
      <c r="J2443" s="44"/>
      <c r="K2443" s="44"/>
      <c r="L2443" s="44"/>
      <c r="M2443" s="44"/>
      <c r="N2443" s="44"/>
      <c r="O2443" s="45"/>
      <c r="P2443" s="44"/>
      <c r="Q2443" s="44"/>
      <c r="R2443" s="44"/>
      <c r="S2443" s="44"/>
      <c r="T2443" s="44"/>
    </row>
    <row r="2444" spans="1:41" s="501" customFormat="1" ht="12">
      <c r="A2444" s="44"/>
      <c r="B2444" s="44"/>
      <c r="C2444" s="44"/>
      <c r="D2444" s="35" t="s">
        <v>535</v>
      </c>
      <c r="E2444" s="44"/>
      <c r="F2444" s="44"/>
      <c r="G2444" s="44"/>
      <c r="H2444" s="44"/>
      <c r="I2444" s="44"/>
      <c r="J2444" s="44"/>
      <c r="K2444" s="44"/>
      <c r="L2444" s="44"/>
      <c r="M2444" s="44"/>
      <c r="N2444" s="44"/>
      <c r="O2444" s="45"/>
      <c r="P2444" s="44"/>
      <c r="Q2444" s="44"/>
      <c r="R2444" s="44"/>
      <c r="S2444" s="36"/>
      <c r="T2444" s="36"/>
    </row>
    <row r="2445" spans="1:41" s="3" customFormat="1" thickBot="1">
      <c r="A2445" s="518"/>
      <c r="O2445" s="86"/>
    </row>
    <row r="2446" spans="1:41" s="501" customFormat="1" thickTop="1">
      <c r="A2446" s="44"/>
      <c r="B2446" s="39"/>
      <c r="C2446" s="44"/>
      <c r="E2446" s="40" t="s">
        <v>138</v>
      </c>
      <c r="F2446" s="40" t="s">
        <v>139</v>
      </c>
      <c r="G2446" s="44"/>
      <c r="H2446" s="44"/>
      <c r="I2446" s="44"/>
      <c r="J2446" s="44"/>
      <c r="K2446" s="44" t="s">
        <v>140</v>
      </c>
      <c r="L2446" s="737"/>
      <c r="M2446" s="44"/>
      <c r="N2446" s="44"/>
      <c r="O2446" s="45"/>
      <c r="P2446" s="44"/>
      <c r="Q2446"/>
      <c r="R2446"/>
      <c r="S2446"/>
      <c r="T2446" s="39"/>
      <c r="AG2446" s="502" t="s">
        <v>247</v>
      </c>
      <c r="AH2446" s="502" t="s">
        <v>248</v>
      </c>
      <c r="AI2446" s="502" t="s">
        <v>249</v>
      </c>
      <c r="AJ2446" s="502" t="s">
        <v>250</v>
      </c>
      <c r="AK2446" s="502" t="s">
        <v>251</v>
      </c>
      <c r="AM2446" s="710" t="s">
        <v>260</v>
      </c>
      <c r="AN2446" s="711" t="s">
        <v>261</v>
      </c>
      <c r="AO2446" s="503" t="s">
        <v>257</v>
      </c>
    </row>
    <row r="2447" spans="1:41" s="501" customFormat="1" ht="13.2">
      <c r="A2447" s="712">
        <v>1</v>
      </c>
      <c r="B2447" s="504" t="s">
        <v>283</v>
      </c>
      <c r="C2447" s="505"/>
      <c r="D2447" s="713" t="s">
        <v>621</v>
      </c>
      <c r="E2447" s="738">
        <f ca="1">IF(AND($A2447=0,$A$1="DIF"),0,ROUND(ROUND(SUMIF($L2449:$L2467,"SUBI",$E2449:$E2467)/$A2447,2)*$C$12,2))</f>
        <v>5506.83</v>
      </c>
      <c r="F2447" s="739">
        <f ca="1">ROUND($A2447*$E2447,2)</f>
        <v>5506.83</v>
      </c>
      <c r="G2447" s="506" t="s">
        <v>142</v>
      </c>
      <c r="H2447" s="498"/>
      <c r="I2447" s="716"/>
      <c r="J2447" s="498"/>
      <c r="K2447" s="740"/>
      <c r="L2447" s="741" t="s">
        <v>143</v>
      </c>
      <c r="M2447" s="717"/>
      <c r="N2447" s="717"/>
      <c r="O2447" s="717"/>
      <c r="P2447" s="717"/>
      <c r="Q2447" s="943" t="s">
        <v>855</v>
      </c>
      <c r="R2447" s="943" t="s">
        <v>869</v>
      </c>
      <c r="S2447"/>
      <c r="T2447" s="742" t="str">
        <f ca="1">IF(AND($R2472=0,$T2472=0),"0.00","mu :" &amp; ROUND($F2447/$C$12/($R2472+$T2472*$D$9),2))</f>
        <v>mu :1.37</v>
      </c>
      <c r="W2447" s="507"/>
      <c r="AG2447" s="743">
        <f ca="1">IF(A2447=0,0,ROUND(SUM(AG2449:AG2472)/A2447,2))</f>
        <v>4047.95</v>
      </c>
      <c r="AH2447" s="743">
        <f ca="1">$AG2447*$A2447</f>
        <v>4047.95</v>
      </c>
      <c r="AI2447" s="743">
        <f ca="1">$E2447-$AG2447</f>
        <v>1458.88</v>
      </c>
      <c r="AJ2447" s="743">
        <f ca="1">$A2447*$AI2447</f>
        <v>1458.88</v>
      </c>
      <c r="AK2447" s="744">
        <f ca="1">ROUND(($AG2447+$AI2447)*$A2447,2)</f>
        <v>5506.83</v>
      </c>
      <c r="AM2447" s="510">
        <f ca="1">ROUND(R2472,2)</f>
        <v>2998.48</v>
      </c>
      <c r="AN2447" s="511">
        <f ca="1">ROUND(T2472,2)</f>
        <v>37.159999999999997</v>
      </c>
      <c r="AO2447" s="512">
        <f ca="1">ROUND(AM2447+AN2447,2)*A2447</f>
        <v>3035.64</v>
      </c>
    </row>
    <row r="2448" spans="1:41" s="501" customFormat="1" ht="39.9" customHeight="1">
      <c r="A2448" s="745"/>
      <c r="B2448" s="746"/>
      <c r="C2448" s="505"/>
      <c r="D2448" s="1183" t="s">
        <v>536</v>
      </c>
      <c r="E2448" s="1184"/>
      <c r="F2448" s="1184"/>
      <c r="G2448" s="1184"/>
      <c r="H2448" s="1184"/>
      <c r="I2448" s="1184"/>
      <c r="J2448" s="1184"/>
      <c r="K2448" s="1184"/>
      <c r="L2448" s="1184"/>
      <c r="M2448" s="1184"/>
      <c r="N2448" s="1184"/>
      <c r="O2448" s="1184"/>
      <c r="P2448" s="1184"/>
      <c r="Q2448" s="1184"/>
      <c r="R2448" s="1184"/>
      <c r="S2448" s="1184"/>
      <c r="T2448" s="1184"/>
    </row>
    <row r="2449" spans="1:33" s="501" customFormat="1" ht="12">
      <c r="A2449" s="748"/>
      <c r="B2449" s="749"/>
      <c r="C2449" s="497"/>
      <c r="D2449" s="750"/>
      <c r="E2449" s="751">
        <f ca="1">F2447/$C$12-SUMIF($L2446:$L2472,"SUBI",$E2446:$E2472)</f>
        <v>0</v>
      </c>
      <c r="F2449" s="752" t="s">
        <v>572</v>
      </c>
      <c r="G2449" s="753"/>
      <c r="H2449" s="753"/>
      <c r="I2449" s="754"/>
      <c r="J2449" s="753"/>
      <c r="K2449" s="753"/>
      <c r="L2449" s="755"/>
      <c r="M2449" s="756"/>
      <c r="N2449" s="756"/>
      <c r="O2449" s="756"/>
      <c r="P2449" s="756"/>
      <c r="Q2449" s="757"/>
      <c r="R2449" s="758"/>
      <c r="S2449" s="757"/>
      <c r="T2449" s="759"/>
    </row>
    <row r="2450" spans="1:33" s="501" customFormat="1" ht="12" customHeight="1">
      <c r="A2450" s="760"/>
      <c r="B2450" s="761"/>
      <c r="C2450" s="762"/>
      <c r="D2450" s="762" t="str">
        <f>$F$2</f>
        <v>Electrical</v>
      </c>
      <c r="E2450" s="762">
        <f ca="1">ROUND(($R2462*$S$2 + ($T2462*$T$2)), 2)</f>
        <v>1605.65</v>
      </c>
      <c r="F2450" s="763">
        <f ca="1">$E2450*$C$12</f>
        <v>1605.65</v>
      </c>
      <c r="G2450" s="567"/>
      <c r="H2450" s="764"/>
      <c r="I2450" s="567"/>
      <c r="J2450" s="45"/>
      <c r="K2450" s="765" t="s">
        <v>3</v>
      </c>
      <c r="L2450" s="766" t="s">
        <v>573</v>
      </c>
      <c r="M2450" s="567"/>
      <c r="N2450" s="567"/>
      <c r="O2450" s="45"/>
      <c r="P2450" s="567"/>
      <c r="Q2450" s="567"/>
      <c r="R2450"/>
      <c r="S2450"/>
      <c r="T2450"/>
    </row>
    <row r="2451" spans="1:33" s="935" customFormat="1" ht="13.2">
      <c r="A2451"/>
      <c r="B2451" s="927"/>
      <c r="C2451" s="927" t="s">
        <v>735</v>
      </c>
      <c r="D2451" s="927" t="str">
        <f ca="1">CELL("Address",Elec_Rates!D$143)</f>
        <v>[E25_0465_IH_Retro_Elec4Mech_Est_Rev_A.xlsx]Elec_Rates!$D$143</v>
      </c>
      <c r="E2451" s="928"/>
      <c r="F2451" s="928"/>
      <c r="G2451" s="929" t="s">
        <v>736</v>
      </c>
      <c r="H2451" s="929"/>
      <c r="I2451" s="929"/>
      <c r="J2451" s="929"/>
      <c r="K2451" s="930"/>
      <c r="L2451" s="928"/>
      <c r="M2451" s="928"/>
      <c r="N2451" s="928"/>
      <c r="O2451" s="931"/>
      <c r="P2451" s="928"/>
      <c r="Q2451" s="932"/>
      <c r="R2451" s="933"/>
      <c r="S2451" s="932"/>
      <c r="T2451" s="560"/>
      <c r="U2451" s="934"/>
    </row>
    <row r="2452" spans="1:33" s="935" customFormat="1" ht="11.4">
      <c r="A2452" s="936">
        <v>1</v>
      </c>
      <c r="B2452" s="937">
        <v>1</v>
      </c>
      <c r="C2452" s="937">
        <f>$A2452*$B2452</f>
        <v>1</v>
      </c>
      <c r="D2452" s="938" t="str">
        <f>Elec_Rates!$D$143</f>
        <v>011# Power supply to control panel (4core x 4.0sqmm) and VDS by pass in MCC</v>
      </c>
      <c r="E2452" s="938"/>
      <c r="F2452" s="938" t="s">
        <v>737</v>
      </c>
      <c r="G2452" s="939" t="s">
        <v>738</v>
      </c>
      <c r="H2452" s="939"/>
      <c r="I2452" s="939"/>
      <c r="J2452" s="939"/>
      <c r="K2452" s="940"/>
      <c r="L2452" s="934"/>
      <c r="M2452" s="934"/>
      <c r="N2452" s="934"/>
      <c r="O2452" s="941"/>
      <c r="P2452" s="938"/>
      <c r="Q2452" s="942">
        <f ca="1">$B2452*Elec_Rates!$R$143</f>
        <v>74.239999999999995</v>
      </c>
      <c r="R2452" s="933">
        <f ca="1">$A2452*Q2452</f>
        <v>74.239999999999995</v>
      </c>
      <c r="S2452" s="942">
        <f ca="1">$B2452*Elec_Rates!$T$143</f>
        <v>3.17</v>
      </c>
      <c r="T2452" s="560">
        <f ca="1">$A2452*S2452</f>
        <v>3.17</v>
      </c>
      <c r="U2452" s="484"/>
    </row>
    <row r="2453" spans="1:33" s="935" customFormat="1" ht="13.2">
      <c r="A2453"/>
      <c r="B2453" s="927"/>
      <c r="C2453" s="927" t="s">
        <v>735</v>
      </c>
      <c r="D2453" s="927" t="str">
        <f ca="1">CELL("Address",Elec_Rates!D$196)</f>
        <v>[E25_0465_IH_Retro_Elec4Mech_Est_Rev_A.xlsx]Elec_Rates!$D$196</v>
      </c>
      <c r="E2453" s="928"/>
      <c r="F2453" s="928"/>
      <c r="G2453" s="929" t="s">
        <v>736</v>
      </c>
      <c r="H2453" s="929"/>
      <c r="I2453" s="929"/>
      <c r="J2453" s="929"/>
      <c r="K2453" s="930"/>
      <c r="L2453" s="928"/>
      <c r="M2453" s="928"/>
      <c r="N2453" s="928"/>
      <c r="O2453" s="931"/>
      <c r="P2453" s="928"/>
      <c r="Q2453" s="932"/>
      <c r="R2453" s="933"/>
      <c r="S2453" s="932"/>
      <c r="T2453" s="560"/>
      <c r="U2453" s="934"/>
    </row>
    <row r="2454" spans="1:33" s="935" customFormat="1" ht="11.4">
      <c r="A2454" s="936">
        <v>1</v>
      </c>
      <c r="B2454" s="937">
        <v>1</v>
      </c>
      <c r="C2454" s="937">
        <f>$A2454*$B2454</f>
        <v>1</v>
      </c>
      <c r="D2454" s="938" t="str">
        <f>Elec_Rates!$D$196</f>
        <v>013# Installation of Rosenger control panel</v>
      </c>
      <c r="E2454" s="938"/>
      <c r="F2454" s="938" t="s">
        <v>737</v>
      </c>
      <c r="G2454" s="939" t="s">
        <v>739</v>
      </c>
      <c r="H2454" s="939"/>
      <c r="I2454" s="939"/>
      <c r="J2454" s="939"/>
      <c r="K2454" s="940"/>
      <c r="L2454" s="934"/>
      <c r="M2454" s="934"/>
      <c r="N2454" s="934"/>
      <c r="O2454" s="941"/>
      <c r="P2454" s="938"/>
      <c r="Q2454" s="942">
        <f ca="1">$B2454*Elec_Rates!$R$196</f>
        <v>20</v>
      </c>
      <c r="R2454" s="933">
        <f ca="1">$A2454*Q2454</f>
        <v>20</v>
      </c>
      <c r="S2454" s="942">
        <f ca="1">$B2454*Elec_Rates!$T$196</f>
        <v>2</v>
      </c>
      <c r="T2454" s="560">
        <f ca="1">$A2454*S2454</f>
        <v>2</v>
      </c>
      <c r="U2454" s="484"/>
    </row>
    <row r="2455" spans="1:33" s="935" customFormat="1" ht="13.2">
      <c r="A2455"/>
      <c r="B2455" s="927"/>
      <c r="C2455" s="927" t="s">
        <v>735</v>
      </c>
      <c r="D2455" s="927" t="str">
        <f ca="1">CELL("Address",Elec_Rates!D$203)</f>
        <v>[E25_0465_IH_Retro_Elec4Mech_Est_Rev_A.xlsx]Elec_Rates!$D$203</v>
      </c>
      <c r="E2455" s="928"/>
      <c r="F2455" s="928"/>
      <c r="G2455" s="929" t="s">
        <v>736</v>
      </c>
      <c r="H2455" s="929"/>
      <c r="I2455" s="929"/>
      <c r="J2455" s="929"/>
      <c r="K2455" s="930"/>
      <c r="L2455" s="928"/>
      <c r="M2455" s="928"/>
      <c r="N2455" s="928"/>
      <c r="O2455" s="931"/>
      <c r="P2455" s="928"/>
      <c r="Q2455" s="932"/>
      <c r="R2455" s="933"/>
      <c r="S2455" s="932"/>
      <c r="T2455" s="560"/>
      <c r="U2455" s="934"/>
    </row>
    <row r="2456" spans="1:33" s="935" customFormat="1" ht="11.4">
      <c r="A2456" s="936">
        <v>1</v>
      </c>
      <c r="B2456" s="937">
        <v>1</v>
      </c>
      <c r="C2456" s="937">
        <f>$A2456*$B2456</f>
        <v>1</v>
      </c>
      <c r="D2456" s="938" t="str">
        <f>Elec_Rates!$D$203</f>
        <v>014# Installation of cable harness to fans</v>
      </c>
      <c r="E2456" s="938"/>
      <c r="F2456" s="938" t="s">
        <v>737</v>
      </c>
      <c r="G2456" s="939" t="s">
        <v>738</v>
      </c>
      <c r="H2456" s="939"/>
      <c r="I2456" s="939"/>
      <c r="J2456" s="939"/>
      <c r="K2456" s="940"/>
      <c r="L2456" s="934"/>
      <c r="M2456" s="934"/>
      <c r="N2456" s="934"/>
      <c r="O2456" s="941"/>
      <c r="P2456" s="938"/>
      <c r="Q2456" s="942">
        <f ca="1">$B2456*Elec_Rates!$R$203</f>
        <v>20</v>
      </c>
      <c r="R2456" s="933">
        <f ca="1">$A2456*Q2456</f>
        <v>20</v>
      </c>
      <c r="S2456" s="942">
        <f ca="1">$B2456*Elec_Rates!$T$203</f>
        <v>1</v>
      </c>
      <c r="T2456" s="560">
        <f ca="1">$A2456*S2456</f>
        <v>1</v>
      </c>
      <c r="U2456" s="484"/>
    </row>
    <row r="2457" spans="1:33" s="935" customFormat="1" ht="13.2">
      <c r="A2457"/>
      <c r="B2457" s="927"/>
      <c r="C2457" s="927" t="s">
        <v>735</v>
      </c>
      <c r="D2457" s="927" t="str">
        <f ca="1">CELL("Address",Elec_Rates!D$210)</f>
        <v>[E25_0465_IH_Retro_Elec4Mech_Est_Rev_A.xlsx]Elec_Rates!$D$210</v>
      </c>
      <c r="E2457" s="928"/>
      <c r="F2457" s="928"/>
      <c r="G2457" s="929" t="s">
        <v>736</v>
      </c>
      <c r="H2457" s="929"/>
      <c r="I2457" s="929"/>
      <c r="J2457" s="929"/>
      <c r="K2457" s="930"/>
      <c r="L2457" s="928"/>
      <c r="M2457" s="928"/>
      <c r="N2457" s="928"/>
      <c r="O2457" s="931"/>
      <c r="P2457" s="928"/>
      <c r="Q2457" s="932"/>
      <c r="R2457" s="933"/>
      <c r="S2457" s="932"/>
      <c r="T2457" s="560"/>
      <c r="U2457" s="934"/>
    </row>
    <row r="2458" spans="1:33" s="935" customFormat="1" ht="11.4">
      <c r="A2458" s="936">
        <v>1</v>
      </c>
      <c r="B2458" s="937">
        <v>1</v>
      </c>
      <c r="C2458" s="937">
        <f>$A2458*$B2458</f>
        <v>1</v>
      </c>
      <c r="D2458" s="938" t="str">
        <f>Elec_Rates!$D$210</f>
        <v>015# Installation of control panels by ECA</v>
      </c>
      <c r="E2458" s="938"/>
      <c r="F2458" s="938" t="s">
        <v>737</v>
      </c>
      <c r="G2458" s="939" t="s">
        <v>739</v>
      </c>
      <c r="H2458" s="939"/>
      <c r="I2458" s="939"/>
      <c r="J2458" s="939"/>
      <c r="K2458" s="940"/>
      <c r="L2458" s="934"/>
      <c r="M2458" s="934"/>
      <c r="N2458" s="934"/>
      <c r="O2458" s="941"/>
      <c r="P2458" s="938"/>
      <c r="Q2458" s="942">
        <f ca="1">$B2458*Elec_Rates!$R$210</f>
        <v>30</v>
      </c>
      <c r="R2458" s="933">
        <f ca="1">$A2458*Q2458</f>
        <v>30</v>
      </c>
      <c r="S2458" s="942">
        <f ca="1">$B2458*Elec_Rates!$T$210</f>
        <v>1</v>
      </c>
      <c r="T2458" s="560">
        <f ca="1">$A2458*S2458</f>
        <v>1</v>
      </c>
      <c r="U2458" s="484"/>
    </row>
    <row r="2459" spans="1:33" s="935" customFormat="1" ht="13.2">
      <c r="A2459"/>
      <c r="B2459" s="927"/>
      <c r="C2459" s="927" t="s">
        <v>735</v>
      </c>
      <c r="D2459" s="927" t="str">
        <f ca="1">CELL("Address",Elec_Rates!D$217)</f>
        <v>[E25_0465_IH_Retro_Elec4Mech_Est_Rev_A.xlsx]Elec_Rates!$D$217</v>
      </c>
      <c r="E2459" s="928"/>
      <c r="F2459" s="928"/>
      <c r="G2459" s="929" t="s">
        <v>736</v>
      </c>
      <c r="H2459" s="929"/>
      <c r="I2459" s="929"/>
      <c r="J2459" s="929"/>
      <c r="K2459" s="930"/>
      <c r="L2459" s="928"/>
      <c r="M2459" s="928"/>
      <c r="N2459" s="928"/>
      <c r="O2459" s="931"/>
      <c r="P2459" s="928"/>
      <c r="Q2459" s="932"/>
      <c r="R2459" s="933"/>
      <c r="S2459" s="932"/>
      <c r="T2459" s="560"/>
      <c r="U2459" s="934"/>
    </row>
    <row r="2460" spans="1:33" s="935" customFormat="1" ht="11.4">
      <c r="A2460" s="936">
        <v>1</v>
      </c>
      <c r="B2460" s="937">
        <v>1</v>
      </c>
      <c r="C2460" s="937">
        <f>$A2460*$B2460</f>
        <v>1</v>
      </c>
      <c r="D2460" s="938" t="str">
        <f>Elec_Rates!$D$217</f>
        <v>016# Installation of sensors on AHUs</v>
      </c>
      <c r="E2460" s="938"/>
      <c r="F2460" s="938" t="s">
        <v>737</v>
      </c>
      <c r="G2460" s="939" t="s">
        <v>738</v>
      </c>
      <c r="H2460" s="939"/>
      <c r="I2460" s="939"/>
      <c r="J2460" s="939"/>
      <c r="K2460" s="940"/>
      <c r="L2460" s="934"/>
      <c r="M2460" s="934"/>
      <c r="N2460" s="934"/>
      <c r="O2460" s="941"/>
      <c r="P2460" s="938"/>
      <c r="Q2460" s="942">
        <f ca="1">$B2460*Elec_Rates!$R$217</f>
        <v>354.24</v>
      </c>
      <c r="R2460" s="933">
        <f ca="1">$A2460*Q2460</f>
        <v>354.24</v>
      </c>
      <c r="S2460" s="942">
        <f ca="1">$B2460*Elec_Rates!$T$217</f>
        <v>17.989999999999998</v>
      </c>
      <c r="T2460" s="560">
        <f ca="1">$A2460*S2460</f>
        <v>17.989999999999998</v>
      </c>
      <c r="U2460" s="484"/>
    </row>
    <row r="2461" spans="1:33" s="501" customFormat="1" ht="14.4" customHeight="1">
      <c r="A2461" s="767"/>
      <c r="B2461" s="567"/>
      <c r="C2461" s="567"/>
      <c r="D2461" s="567"/>
      <c r="E2461" s="567"/>
      <c r="F2461" s="567"/>
      <c r="G2461" s="567"/>
      <c r="H2461" s="764"/>
      <c r="I2461" s="567"/>
      <c r="J2461" s="45"/>
      <c r="K2461" s="769"/>
      <c r="L2461" s="770"/>
      <c r="M2461" s="567"/>
      <c r="N2461" s="567"/>
      <c r="O2461" s="45"/>
      <c r="P2461" s="567"/>
      <c r="Q2461" s="567"/>
      <c r="R2461" s="771">
        <f>$A2461*Q2461</f>
        <v>0</v>
      </c>
      <c r="S2461" s="567"/>
      <c r="T2461" s="500">
        <f>$A2461*S2461*$T$1</f>
        <v>0</v>
      </c>
    </row>
    <row r="2462" spans="1:33" s="501" customFormat="1" ht="12">
      <c r="A2462" s="772" t="s">
        <v>145</v>
      </c>
      <c r="B2462" s="773">
        <f>(R2461+T2461)</f>
        <v>0</v>
      </c>
      <c r="C2462" s="753"/>
      <c r="G2462" s="774"/>
      <c r="H2462" s="774"/>
      <c r="I2462" s="774"/>
      <c r="J2462" s="774"/>
      <c r="K2462" s="750" t="s">
        <v>3</v>
      </c>
      <c r="L2462" s="775" t="s">
        <v>573</v>
      </c>
      <c r="M2462" s="774"/>
      <c r="N2462" s="774"/>
      <c r="O2462" s="774"/>
      <c r="P2462" s="774"/>
      <c r="Q2462" s="776"/>
      <c r="R2462" s="777">
        <f ca="1">SUM(R2450:R2461)</f>
        <v>498.48</v>
      </c>
      <c r="S2462" s="778"/>
      <c r="T2462" s="777">
        <f ca="1">SUM(T2450:T2461)</f>
        <v>25.159999999999997</v>
      </c>
      <c r="AG2462" s="779">
        <f ca="1">ROUND($R2462*$S$2,2)</f>
        <v>672.95</v>
      </c>
    </row>
    <row r="2463" spans="1:33" s="501" customFormat="1" ht="12" customHeight="1">
      <c r="A2463" s="760"/>
      <c r="B2463" s="780"/>
      <c r="C2463" s="781"/>
      <c r="D2463" s="782" t="str">
        <f>$F$3</f>
        <v>Technician</v>
      </c>
      <c r="E2463" s="782">
        <f>ROUND(($R2466*$S$3 + ($T2466*$T$3)), 2)</f>
        <v>3739.18</v>
      </c>
      <c r="F2463" s="783">
        <f>$E2463*$C$12</f>
        <v>3739.18</v>
      </c>
      <c r="G2463" s="499"/>
      <c r="H2463" s="499"/>
      <c r="I2463" s="499"/>
      <c r="J2463" s="499"/>
      <c r="K2463" s="765" t="s">
        <v>5</v>
      </c>
      <c r="L2463" s="766" t="s">
        <v>573</v>
      </c>
      <c r="M2463" s="499"/>
      <c r="N2463" s="499"/>
      <c r="O2463" s="499"/>
      <c r="P2463" s="499"/>
      <c r="Q2463" s="499"/>
      <c r="R2463" s="784"/>
      <c r="S2463" s="499"/>
      <c r="T2463" s="784"/>
    </row>
    <row r="2464" spans="1:33" s="893" customFormat="1" ht="13.2">
      <c r="A2464">
        <v>1</v>
      </c>
      <c r="B2464" s="893" t="s">
        <v>141</v>
      </c>
      <c r="D2464" s="893" t="s">
        <v>767</v>
      </c>
      <c r="E2464" s="893" t="s">
        <v>770</v>
      </c>
      <c r="F2464" s="893" t="s">
        <v>769</v>
      </c>
      <c r="G2464" s="894" t="s">
        <v>768</v>
      </c>
      <c r="H2464" s="895">
        <v>570</v>
      </c>
      <c r="I2464" s="893" t="s">
        <v>643</v>
      </c>
      <c r="O2464" s="896">
        <v>2</v>
      </c>
      <c r="P2464" s="897">
        <v>38443</v>
      </c>
      <c r="Q2464" s="898">
        <v>2500</v>
      </c>
      <c r="R2464" s="899">
        <f>$A2464*Q2464</f>
        <v>2500</v>
      </c>
      <c r="S2464" s="898">
        <f>200/25</f>
        <v>8</v>
      </c>
      <c r="T2464" s="900">
        <f>$A2464*S2464*$T$1</f>
        <v>8</v>
      </c>
    </row>
    <row r="2465" spans="1:41" s="501" customFormat="1" ht="15.6" customHeight="1">
      <c r="A2465" s="767"/>
      <c r="B2465" s="567"/>
      <c r="C2465" s="567"/>
      <c r="D2465" s="3"/>
      <c r="E2465" s="567"/>
      <c r="F2465" s="567"/>
      <c r="G2465" s="567"/>
      <c r="H2465" s="567"/>
      <c r="I2465" s="567"/>
      <c r="J2465" s="567"/>
      <c r="K2465" s="567"/>
      <c r="L2465" s="770"/>
      <c r="M2465" s="567"/>
      <c r="N2465" s="567"/>
      <c r="O2465" s="567"/>
      <c r="P2465" s="567"/>
      <c r="Q2465" s="567"/>
      <c r="R2465" s="771">
        <f>$A2465*Q2465</f>
        <v>0</v>
      </c>
      <c r="S2465" s="567"/>
      <c r="T2465" s="500">
        <f>$A2465*S2465*$T$1</f>
        <v>0</v>
      </c>
    </row>
    <row r="2466" spans="1:41" s="501" customFormat="1" ht="12">
      <c r="A2466" s="772" t="s">
        <v>145</v>
      </c>
      <c r="B2466" s="773">
        <f>(R2465+T2465)</f>
        <v>0</v>
      </c>
      <c r="C2466" s="753"/>
      <c r="G2466" s="774"/>
      <c r="H2466" s="774"/>
      <c r="I2466" s="774"/>
      <c r="J2466" s="774"/>
      <c r="K2466" s="798" t="s">
        <v>5</v>
      </c>
      <c r="L2466" s="775" t="s">
        <v>573</v>
      </c>
      <c r="M2466" s="774"/>
      <c r="N2466" s="774"/>
      <c r="O2466" s="774"/>
      <c r="P2466" s="774"/>
      <c r="Q2466" s="776"/>
      <c r="R2466" s="777">
        <f>SUM(R2463:R2465)</f>
        <v>2500</v>
      </c>
      <c r="S2466" s="778"/>
      <c r="T2466" s="777">
        <f>SUM(T2463:T2465)</f>
        <v>8</v>
      </c>
      <c r="AG2466" s="799">
        <f>ROUND($R2466*$S$3,2)</f>
        <v>3375</v>
      </c>
    </row>
    <row r="2467" spans="1:41" s="501" customFormat="1" ht="12" customHeight="1">
      <c r="A2467" s="800"/>
      <c r="B2467" s="801"/>
      <c r="C2467" s="802"/>
      <c r="D2467" s="803" t="str">
        <f>$F$4</f>
        <v>Engineer (Man Hours)</v>
      </c>
      <c r="E2467" s="803">
        <f>ROUND(($R2470*$S$4 + ($T2470*$T$4)), 2)</f>
        <v>162</v>
      </c>
      <c r="F2467" s="804">
        <f ca="1">$F2447-SUMIF($L2449:$P2464,"SUBI",$F2449:$F2464)</f>
        <v>162</v>
      </c>
      <c r="G2467" s="499"/>
      <c r="H2467" s="499"/>
      <c r="I2467" s="499"/>
      <c r="J2467" s="499"/>
      <c r="K2467" s="805" t="s">
        <v>8</v>
      </c>
      <c r="L2467" s="766" t="s">
        <v>573</v>
      </c>
      <c r="M2467" s="499"/>
      <c r="N2467" s="499"/>
      <c r="O2467" s="499"/>
      <c r="P2467" s="499"/>
      <c r="Q2467" s="499"/>
      <c r="R2467" s="784"/>
      <c r="S2467" s="499"/>
      <c r="T2467" s="784"/>
    </row>
    <row r="2468" spans="1:41" s="893" customFormat="1" ht="13.2">
      <c r="A2468">
        <v>1</v>
      </c>
      <c r="B2468" s="893" t="s">
        <v>141</v>
      </c>
      <c r="D2468" s="893" t="s">
        <v>767</v>
      </c>
      <c r="E2468" s="893" t="s">
        <v>771</v>
      </c>
      <c r="F2468" s="893" t="s">
        <v>769</v>
      </c>
      <c r="G2468" s="894" t="s">
        <v>768</v>
      </c>
      <c r="H2468" s="895">
        <v>570</v>
      </c>
      <c r="I2468" s="893" t="s">
        <v>643</v>
      </c>
      <c r="O2468" s="896">
        <v>2</v>
      </c>
      <c r="P2468" s="897">
        <v>38443</v>
      </c>
      <c r="Q2468" s="898"/>
      <c r="R2468" s="899">
        <f>$A2468*Q2468</f>
        <v>0</v>
      </c>
      <c r="S2468" s="898">
        <f>100/25</f>
        <v>4</v>
      </c>
      <c r="T2468" s="900">
        <f>$A2468*S2468*$T$1</f>
        <v>4</v>
      </c>
    </row>
    <row r="2469" spans="1:41" s="501" customFormat="1" ht="12">
      <c r="A2469" s="44"/>
      <c r="B2469" s="497"/>
      <c r="C2469" s="497"/>
      <c r="D2469" s="807"/>
      <c r="E2469" s="808"/>
      <c r="F2469" s="499"/>
      <c r="G2469" s="499"/>
      <c r="H2469" s="499"/>
      <c r="I2469" s="499"/>
      <c r="J2469" s="499"/>
      <c r="K2469" s="499"/>
      <c r="L2469" s="809"/>
      <c r="M2469" s="499"/>
      <c r="N2469" s="499"/>
      <c r="O2469" s="499"/>
      <c r="P2469" s="499"/>
      <c r="Q2469" s="499"/>
      <c r="R2469" s="720">
        <f>$A2469*Q2469</f>
        <v>0</v>
      </c>
      <c r="S2469" s="499"/>
      <c r="T2469" s="500">
        <f>$A2469*S2469*$T$1</f>
        <v>0</v>
      </c>
    </row>
    <row r="2470" spans="1:41" s="501" customFormat="1" ht="12.75" customHeight="1">
      <c r="A2470" s="772" t="s">
        <v>145</v>
      </c>
      <c r="B2470" s="773">
        <f>(R2469+T2469)</f>
        <v>0</v>
      </c>
      <c r="C2470" s="810"/>
      <c r="D2470" s="810"/>
      <c r="E2470" s="810"/>
      <c r="F2470" s="810"/>
      <c r="G2470" s="776"/>
      <c r="H2470" s="776"/>
      <c r="I2470" s="776"/>
      <c r="J2470" s="776"/>
      <c r="K2470" s="798" t="s">
        <v>8</v>
      </c>
      <c r="L2470" s="811" t="s">
        <v>573</v>
      </c>
      <c r="M2470" s="776"/>
      <c r="N2470" s="776"/>
      <c r="O2470" s="776"/>
      <c r="P2470" s="776"/>
      <c r="Q2470" s="776"/>
      <c r="R2470" s="777">
        <f>SUM(R2467:R2469)</f>
        <v>0</v>
      </c>
      <c r="S2470" s="778"/>
      <c r="T2470" s="777">
        <f>SUM(T2467:T2469)</f>
        <v>4</v>
      </c>
      <c r="AG2470" s="812">
        <f>ROUND($R2470*$S$4,2)</f>
        <v>0</v>
      </c>
    </row>
    <row r="2471" spans="1:41" s="501" customFormat="1" ht="12.75" customHeight="1">
      <c r="A2471" s="813"/>
      <c r="B2471" s="814"/>
      <c r="E2471" s="497"/>
      <c r="F2471" s="808"/>
      <c r="G2471" s="497"/>
      <c r="H2471" s="497"/>
      <c r="I2471" s="499"/>
      <c r="J2471" s="497"/>
      <c r="K2471" s="497"/>
      <c r="L2471" s="815"/>
      <c r="M2471" s="725"/>
      <c r="N2471" s="725"/>
      <c r="O2471" s="725"/>
      <c r="P2471" s="725"/>
      <c r="Q2471" s="726"/>
      <c r="R2471" s="784"/>
      <c r="S2471" s="497"/>
      <c r="T2471" s="784"/>
    </row>
    <row r="2472" spans="1:41" s="501" customFormat="1" ht="13.5" customHeight="1" thickBot="1">
      <c r="A2472" s="816"/>
      <c r="B2472" s="817"/>
      <c r="C2472" s="518"/>
      <c r="D2472" s="518"/>
      <c r="E2472" s="515"/>
      <c r="F2472" s="721"/>
      <c r="G2472" s="515" t="s">
        <v>146</v>
      </c>
      <c r="H2472" s="515"/>
      <c r="I2472" s="516"/>
      <c r="J2472" s="515"/>
      <c r="K2472" s="515"/>
      <c r="L2472" s="818" t="s">
        <v>143</v>
      </c>
      <c r="M2472" s="517"/>
      <c r="N2472" s="517"/>
      <c r="O2472" s="517"/>
      <c r="P2472" s="517"/>
      <c r="Q2472" s="722"/>
      <c r="R2472" s="819">
        <f ca="1">SUMIF($L2448:$L2471,"SUBI",R2448:R2471)</f>
        <v>2998.48</v>
      </c>
      <c r="S2472" s="820"/>
      <c r="T2472" s="819">
        <f ca="1">SUMIF($L2448:$L2471,"SUBI",T2448:T2471)</f>
        <v>37.159999999999997</v>
      </c>
      <c r="U2472" s="518"/>
      <c r="V2472" s="518"/>
      <c r="W2472" s="518"/>
      <c r="X2472" s="518"/>
      <c r="Y2472" s="518"/>
      <c r="Z2472" s="518"/>
      <c r="AA2472" s="518"/>
      <c r="AB2472" s="518"/>
      <c r="AC2472" s="518"/>
      <c r="AD2472" s="518"/>
      <c r="AE2472" s="518"/>
      <c r="AF2472" s="518"/>
      <c r="AG2472" s="518"/>
      <c r="AH2472" s="518"/>
      <c r="AI2472" s="518"/>
      <c r="AJ2472" s="518"/>
      <c r="AK2472" s="518"/>
      <c r="AL2472" s="518"/>
      <c r="AM2472" s="518"/>
      <c r="AN2472" s="518"/>
      <c r="AO2472" s="518"/>
    </row>
    <row r="2473" spans="1:41" s="501" customFormat="1" thickTop="1">
      <c r="A2473" s="44"/>
      <c r="B2473" s="44"/>
      <c r="C2473" s="3"/>
      <c r="D2473" s="3"/>
      <c r="E2473" s="44"/>
      <c r="F2473" s="44"/>
      <c r="G2473" s="44"/>
      <c r="H2473" s="44"/>
      <c r="I2473" s="44"/>
      <c r="J2473" s="44"/>
      <c r="K2473" s="44" t="s">
        <v>134</v>
      </c>
      <c r="L2473" s="44"/>
      <c r="M2473" s="44"/>
      <c r="N2473" s="44"/>
      <c r="O2473" s="45"/>
      <c r="P2473" s="44"/>
      <c r="Q2473" s="44"/>
      <c r="R2473" s="44"/>
      <c r="S2473" s="44"/>
      <c r="T2473" s="44"/>
    </row>
    <row r="2474" spans="1:41" s="501" customFormat="1" ht="12">
      <c r="A2474" s="44"/>
      <c r="B2474" s="44"/>
      <c r="C2474" s="44" t="s">
        <v>135</v>
      </c>
      <c r="D2474" s="35"/>
      <c r="E2474" s="44"/>
      <c r="F2474" s="44"/>
      <c r="G2474" s="44"/>
      <c r="H2474" s="44"/>
      <c r="I2474" s="44"/>
      <c r="J2474" s="44"/>
      <c r="K2474" s="44"/>
      <c r="L2474" s="44"/>
      <c r="M2474" s="44"/>
      <c r="N2474" s="44"/>
      <c r="O2474" s="45"/>
      <c r="P2474" s="44"/>
      <c r="Q2474" s="44"/>
      <c r="R2474" s="44"/>
      <c r="S2474" s="44"/>
      <c r="T2474" s="44"/>
    </row>
    <row r="2475" spans="1:41" s="501" customFormat="1" ht="12">
      <c r="A2475" s="44"/>
      <c r="B2475" s="44"/>
      <c r="C2475" s="44"/>
      <c r="D2475" s="35" t="s">
        <v>537</v>
      </c>
      <c r="E2475" s="44"/>
      <c r="F2475" s="44"/>
      <c r="G2475" s="44"/>
      <c r="H2475" s="44"/>
      <c r="I2475" s="44"/>
      <c r="J2475" s="44"/>
      <c r="K2475" s="44"/>
      <c r="L2475" s="44"/>
      <c r="M2475" s="44"/>
      <c r="N2475" s="44"/>
      <c r="O2475" s="45"/>
      <c r="P2475" s="44"/>
      <c r="Q2475" s="44"/>
      <c r="R2475" s="44"/>
      <c r="S2475" s="36"/>
      <c r="T2475" s="36"/>
    </row>
    <row r="2476" spans="1:41" s="3" customFormat="1" thickBot="1">
      <c r="A2476" s="518"/>
      <c r="O2476" s="86"/>
    </row>
    <row r="2477" spans="1:41" s="501" customFormat="1" thickTop="1">
      <c r="A2477" s="44"/>
      <c r="B2477" s="39"/>
      <c r="C2477" s="44"/>
      <c r="E2477" s="40" t="s">
        <v>138</v>
      </c>
      <c r="F2477" s="40" t="s">
        <v>139</v>
      </c>
      <c r="G2477" s="44"/>
      <c r="H2477" s="44"/>
      <c r="I2477" s="44"/>
      <c r="J2477" s="44"/>
      <c r="K2477" s="44" t="s">
        <v>140</v>
      </c>
      <c r="L2477" s="737"/>
      <c r="M2477" s="44"/>
      <c r="N2477" s="44"/>
      <c r="O2477" s="45"/>
      <c r="P2477" s="44"/>
      <c r="Q2477"/>
      <c r="R2477"/>
      <c r="S2477"/>
      <c r="T2477" s="39"/>
      <c r="AG2477" s="502" t="s">
        <v>247</v>
      </c>
      <c r="AH2477" s="502" t="s">
        <v>248</v>
      </c>
      <c r="AI2477" s="502" t="s">
        <v>249</v>
      </c>
      <c r="AJ2477" s="502" t="s">
        <v>250</v>
      </c>
      <c r="AK2477" s="502" t="s">
        <v>251</v>
      </c>
      <c r="AM2477" s="710" t="s">
        <v>260</v>
      </c>
      <c r="AN2477" s="711" t="s">
        <v>261</v>
      </c>
      <c r="AO2477" s="503" t="s">
        <v>257</v>
      </c>
    </row>
    <row r="2478" spans="1:41" s="501" customFormat="1" ht="13.2">
      <c r="A2478" s="712">
        <v>1</v>
      </c>
      <c r="B2478" s="504" t="s">
        <v>283</v>
      </c>
      <c r="C2478" s="505"/>
      <c r="D2478" s="713" t="s">
        <v>622</v>
      </c>
      <c r="E2478" s="738">
        <f ca="1">IF(AND($A2478=0,$A$1="DIF"),0,ROUND(ROUND(SUMIF($L2480:$L2498,"SUBI",$E2480:$E2498)/$A2478,2)*$C$12,2))</f>
        <v>5570.91</v>
      </c>
      <c r="F2478" s="739">
        <f ca="1">ROUND($A2478*$E2478,2)</f>
        <v>5570.91</v>
      </c>
      <c r="G2478" s="506" t="s">
        <v>142</v>
      </c>
      <c r="H2478" s="498"/>
      <c r="I2478" s="716"/>
      <c r="J2478" s="498"/>
      <c r="K2478" s="740"/>
      <c r="L2478" s="741" t="s">
        <v>143</v>
      </c>
      <c r="M2478" s="717"/>
      <c r="N2478" s="717"/>
      <c r="O2478" s="717"/>
      <c r="P2478" s="717"/>
      <c r="Q2478" s="943" t="s">
        <v>855</v>
      </c>
      <c r="R2478" s="943" t="s">
        <v>869</v>
      </c>
      <c r="S2478"/>
      <c r="T2478" s="742" t="str">
        <f ca="1">IF(AND($R2503=0,$T2503=0),"0.00","mu :" &amp; ROUND($F2478/$C$12/($R2503+$T2503*$D$9),2))</f>
        <v>mu :1.37</v>
      </c>
      <c r="W2478" s="507"/>
      <c r="AG2478" s="743">
        <f ca="1">IF(A2478=0,0,ROUND(SUM(AG2480:AG2503)/A2478,2))</f>
        <v>4074.95</v>
      </c>
      <c r="AH2478" s="743">
        <f ca="1">$AG2478*$A2478</f>
        <v>4074.95</v>
      </c>
      <c r="AI2478" s="743">
        <f ca="1">$E2478-$AG2478</f>
        <v>1495.96</v>
      </c>
      <c r="AJ2478" s="743">
        <f ca="1">$A2478*$AI2478</f>
        <v>1495.96</v>
      </c>
      <c r="AK2478" s="744">
        <f ca="1">ROUND(($AG2478+$AI2478)*$A2478,2)</f>
        <v>5570.91</v>
      </c>
      <c r="AM2478" s="510">
        <f ca="1">ROUND(R2503,2)</f>
        <v>3018.48</v>
      </c>
      <c r="AN2478" s="511">
        <f ca="1">ROUND(T2503,2)</f>
        <v>38.159999999999997</v>
      </c>
      <c r="AO2478" s="512">
        <f ca="1">ROUND(AM2478+AN2478,2)*A2478</f>
        <v>3056.64</v>
      </c>
    </row>
    <row r="2479" spans="1:41" s="501" customFormat="1" ht="39.9" customHeight="1">
      <c r="A2479" s="745"/>
      <c r="B2479" s="746"/>
      <c r="C2479" s="505"/>
      <c r="D2479" s="1183" t="s">
        <v>538</v>
      </c>
      <c r="E2479" s="1184"/>
      <c r="F2479" s="1184"/>
      <c r="G2479" s="1184"/>
      <c r="H2479" s="1184"/>
      <c r="I2479" s="1184"/>
      <c r="J2479" s="1184"/>
      <c r="K2479" s="1184"/>
      <c r="L2479" s="1184"/>
      <c r="M2479" s="1184"/>
      <c r="N2479" s="1184"/>
      <c r="O2479" s="1184"/>
      <c r="P2479" s="1184"/>
      <c r="Q2479" s="1184"/>
      <c r="R2479" s="1184"/>
      <c r="S2479" s="1184"/>
      <c r="T2479" s="1184"/>
    </row>
    <row r="2480" spans="1:41" s="501" customFormat="1" ht="12">
      <c r="A2480" s="748"/>
      <c r="B2480" s="749"/>
      <c r="C2480" s="497"/>
      <c r="D2480" s="750"/>
      <c r="E2480" s="751">
        <f ca="1">F2478/$C$12-SUMIF($L2477:$L2503,"SUBI",$E2477:$E2503)</f>
        <v>0</v>
      </c>
      <c r="F2480" s="752" t="s">
        <v>572</v>
      </c>
      <c r="G2480" s="753"/>
      <c r="H2480" s="753"/>
      <c r="I2480" s="754"/>
      <c r="J2480" s="753"/>
      <c r="K2480" s="753"/>
      <c r="L2480" s="755"/>
      <c r="M2480" s="756"/>
      <c r="N2480" s="756"/>
      <c r="O2480" s="756"/>
      <c r="P2480" s="756"/>
      <c r="Q2480" s="757"/>
      <c r="R2480" s="758"/>
      <c r="S2480" s="757"/>
      <c r="T2480" s="759"/>
    </row>
    <row r="2481" spans="1:33" s="501" customFormat="1" ht="12" customHeight="1">
      <c r="A2481" s="760"/>
      <c r="B2481" s="761"/>
      <c r="C2481" s="762"/>
      <c r="D2481" s="762" t="str">
        <f>$F$2</f>
        <v>Electrical</v>
      </c>
      <c r="E2481" s="762">
        <f ca="1">ROUND(($R2493*$S$2 + ($T2493*$T$2)), 2)</f>
        <v>1669.73</v>
      </c>
      <c r="F2481" s="763">
        <f ca="1">$E2481*$C$12</f>
        <v>1669.73</v>
      </c>
      <c r="G2481" s="567"/>
      <c r="H2481" s="764"/>
      <c r="I2481" s="567"/>
      <c r="J2481" s="45"/>
      <c r="K2481" s="765" t="s">
        <v>3</v>
      </c>
      <c r="L2481" s="766" t="s">
        <v>573</v>
      </c>
      <c r="M2481" s="567"/>
      <c r="N2481" s="567"/>
      <c r="O2481" s="45"/>
      <c r="P2481" s="567"/>
      <c r="Q2481" s="567"/>
      <c r="R2481"/>
      <c r="S2481"/>
      <c r="T2481"/>
    </row>
    <row r="2482" spans="1:33" s="935" customFormat="1" ht="13.2">
      <c r="A2482"/>
      <c r="B2482" s="927"/>
      <c r="C2482" s="927" t="s">
        <v>735</v>
      </c>
      <c r="D2482" s="927" t="str">
        <f ca="1">CELL("Address",Elec_Rates!D$143)</f>
        <v>[E25_0465_IH_Retro_Elec4Mech_Est_Rev_A.xlsx]Elec_Rates!$D$143</v>
      </c>
      <c r="E2482" s="928"/>
      <c r="F2482" s="928"/>
      <c r="G2482" s="929" t="s">
        <v>736</v>
      </c>
      <c r="H2482" s="929"/>
      <c r="I2482" s="929"/>
      <c r="J2482" s="929"/>
      <c r="K2482" s="930"/>
      <c r="L2482" s="928"/>
      <c r="M2482" s="928"/>
      <c r="N2482" s="928"/>
      <c r="O2482" s="931"/>
      <c r="P2482" s="928"/>
      <c r="Q2482" s="932"/>
      <c r="R2482" s="933"/>
      <c r="S2482" s="932"/>
      <c r="T2482" s="560"/>
      <c r="U2482" s="934"/>
    </row>
    <row r="2483" spans="1:33" s="935" customFormat="1" ht="11.4">
      <c r="A2483" s="936">
        <v>1</v>
      </c>
      <c r="B2483" s="937">
        <v>1</v>
      </c>
      <c r="C2483" s="937">
        <f>$A2483*$B2483</f>
        <v>1</v>
      </c>
      <c r="D2483" s="938" t="str">
        <f>Elec_Rates!$D$143</f>
        <v>011# Power supply to control panel (4core x 4.0sqmm) and VDS by pass in MCC</v>
      </c>
      <c r="E2483" s="938"/>
      <c r="F2483" s="938" t="s">
        <v>737</v>
      </c>
      <c r="G2483" s="939" t="s">
        <v>738</v>
      </c>
      <c r="H2483" s="939"/>
      <c r="I2483" s="939"/>
      <c r="J2483" s="939"/>
      <c r="K2483" s="940"/>
      <c r="L2483" s="934"/>
      <c r="M2483" s="934"/>
      <c r="N2483" s="934"/>
      <c r="O2483" s="941"/>
      <c r="P2483" s="938"/>
      <c r="Q2483" s="942">
        <f ca="1">$B2483*Elec_Rates!$R$143</f>
        <v>74.239999999999995</v>
      </c>
      <c r="R2483" s="933">
        <f ca="1">$A2483*Q2483</f>
        <v>74.239999999999995</v>
      </c>
      <c r="S2483" s="942">
        <f ca="1">$B2483*Elec_Rates!$T$143</f>
        <v>3.17</v>
      </c>
      <c r="T2483" s="560">
        <f ca="1">$A2483*S2483</f>
        <v>3.17</v>
      </c>
      <c r="U2483" s="484"/>
    </row>
    <row r="2484" spans="1:33" s="935" customFormat="1" ht="13.2">
      <c r="A2484"/>
      <c r="B2484" s="927"/>
      <c r="C2484" s="927" t="s">
        <v>735</v>
      </c>
      <c r="D2484" s="927" t="str">
        <f ca="1">CELL("Address",Elec_Rates!D$196)</f>
        <v>[E25_0465_IH_Retro_Elec4Mech_Est_Rev_A.xlsx]Elec_Rates!$D$196</v>
      </c>
      <c r="E2484" s="928"/>
      <c r="F2484" s="928"/>
      <c r="G2484" s="929" t="s">
        <v>736</v>
      </c>
      <c r="H2484" s="929"/>
      <c r="I2484" s="929"/>
      <c r="J2484" s="929"/>
      <c r="K2484" s="930"/>
      <c r="L2484" s="928"/>
      <c r="M2484" s="928"/>
      <c r="N2484" s="928"/>
      <c r="O2484" s="931"/>
      <c r="P2484" s="928"/>
      <c r="Q2484" s="932"/>
      <c r="R2484" s="933"/>
      <c r="S2484" s="932"/>
      <c r="T2484" s="560"/>
      <c r="U2484" s="934"/>
    </row>
    <row r="2485" spans="1:33" s="935" customFormat="1" ht="11.4">
      <c r="A2485" s="936">
        <v>1</v>
      </c>
      <c r="B2485" s="937">
        <v>1</v>
      </c>
      <c r="C2485" s="937">
        <f>$A2485*$B2485</f>
        <v>1</v>
      </c>
      <c r="D2485" s="938" t="str">
        <f>Elec_Rates!$D$196</f>
        <v>013# Installation of Rosenger control panel</v>
      </c>
      <c r="E2485" s="938"/>
      <c r="F2485" s="938" t="s">
        <v>737</v>
      </c>
      <c r="G2485" s="939" t="s">
        <v>739</v>
      </c>
      <c r="H2485" s="939"/>
      <c r="I2485" s="939"/>
      <c r="J2485" s="939"/>
      <c r="K2485" s="940"/>
      <c r="L2485" s="934"/>
      <c r="M2485" s="934"/>
      <c r="N2485" s="934"/>
      <c r="O2485" s="941"/>
      <c r="P2485" s="938"/>
      <c r="Q2485" s="942">
        <f ca="1">$B2485*Elec_Rates!$R$196</f>
        <v>20</v>
      </c>
      <c r="R2485" s="933">
        <f ca="1">$A2485*Q2485</f>
        <v>20</v>
      </c>
      <c r="S2485" s="942">
        <f ca="1">$B2485*Elec_Rates!$T$196</f>
        <v>2</v>
      </c>
      <c r="T2485" s="560">
        <f ca="1">$A2485*S2485</f>
        <v>2</v>
      </c>
      <c r="U2485" s="484"/>
    </row>
    <row r="2486" spans="1:33" s="935" customFormat="1" ht="13.2">
      <c r="A2486"/>
      <c r="B2486" s="927"/>
      <c r="C2486" s="927" t="s">
        <v>735</v>
      </c>
      <c r="D2486" s="927" t="str">
        <f ca="1">CELL("Address",Elec_Rates!D$203)</f>
        <v>[E25_0465_IH_Retro_Elec4Mech_Est_Rev_A.xlsx]Elec_Rates!$D$203</v>
      </c>
      <c r="E2486" s="928"/>
      <c r="F2486" s="928"/>
      <c r="G2486" s="929" t="s">
        <v>736</v>
      </c>
      <c r="H2486" s="929"/>
      <c r="I2486" s="929"/>
      <c r="J2486" s="929"/>
      <c r="K2486" s="930"/>
      <c r="L2486" s="928"/>
      <c r="M2486" s="928"/>
      <c r="N2486" s="928"/>
      <c r="O2486" s="931"/>
      <c r="P2486" s="928"/>
      <c r="Q2486" s="932"/>
      <c r="R2486" s="933"/>
      <c r="S2486" s="932"/>
      <c r="T2486" s="560"/>
      <c r="U2486" s="934"/>
    </row>
    <row r="2487" spans="1:33" s="935" customFormat="1" ht="11.4">
      <c r="A2487" s="936">
        <v>2</v>
      </c>
      <c r="B2487" s="937">
        <v>1</v>
      </c>
      <c r="C2487" s="937">
        <f>$A2487*$B2487</f>
        <v>2</v>
      </c>
      <c r="D2487" s="938" t="str">
        <f>Elec_Rates!$D$203</f>
        <v>014# Installation of cable harness to fans</v>
      </c>
      <c r="E2487" s="938"/>
      <c r="F2487" s="938" t="s">
        <v>737</v>
      </c>
      <c r="G2487" s="939" t="s">
        <v>738</v>
      </c>
      <c r="H2487" s="939"/>
      <c r="I2487" s="939"/>
      <c r="J2487" s="939"/>
      <c r="K2487" s="940"/>
      <c r="L2487" s="934"/>
      <c r="M2487" s="934"/>
      <c r="N2487" s="934"/>
      <c r="O2487" s="941"/>
      <c r="P2487" s="938"/>
      <c r="Q2487" s="942">
        <f ca="1">$B2487*Elec_Rates!$R$203</f>
        <v>20</v>
      </c>
      <c r="R2487" s="933">
        <f ca="1">$A2487*Q2487</f>
        <v>40</v>
      </c>
      <c r="S2487" s="942">
        <f ca="1">$B2487*Elec_Rates!$T$203</f>
        <v>1</v>
      </c>
      <c r="T2487" s="560">
        <f ca="1">$A2487*S2487</f>
        <v>2</v>
      </c>
      <c r="U2487" s="484"/>
    </row>
    <row r="2488" spans="1:33" s="935" customFormat="1" ht="13.2">
      <c r="A2488"/>
      <c r="B2488" s="927"/>
      <c r="C2488" s="927" t="s">
        <v>735</v>
      </c>
      <c r="D2488" s="927" t="str">
        <f ca="1">CELL("Address",Elec_Rates!D$210)</f>
        <v>[E25_0465_IH_Retro_Elec4Mech_Est_Rev_A.xlsx]Elec_Rates!$D$210</v>
      </c>
      <c r="E2488" s="928"/>
      <c r="F2488" s="928"/>
      <c r="G2488" s="929" t="s">
        <v>736</v>
      </c>
      <c r="H2488" s="929"/>
      <c r="I2488" s="929"/>
      <c r="J2488" s="929"/>
      <c r="K2488" s="930"/>
      <c r="L2488" s="928"/>
      <c r="M2488" s="928"/>
      <c r="N2488" s="928"/>
      <c r="O2488" s="931"/>
      <c r="P2488" s="928"/>
      <c r="Q2488" s="932"/>
      <c r="R2488" s="933"/>
      <c r="S2488" s="932"/>
      <c r="T2488" s="560"/>
      <c r="U2488" s="934"/>
    </row>
    <row r="2489" spans="1:33" s="935" customFormat="1" ht="11.4">
      <c r="A2489" s="936">
        <v>1</v>
      </c>
      <c r="B2489" s="937">
        <v>1</v>
      </c>
      <c r="C2489" s="937">
        <f>$A2489*$B2489</f>
        <v>1</v>
      </c>
      <c r="D2489" s="938" t="str">
        <f>Elec_Rates!$D$210</f>
        <v>015# Installation of control panels by ECA</v>
      </c>
      <c r="E2489" s="938"/>
      <c r="F2489" s="938" t="s">
        <v>737</v>
      </c>
      <c r="G2489" s="939" t="s">
        <v>739</v>
      </c>
      <c r="H2489" s="939"/>
      <c r="I2489" s="939"/>
      <c r="J2489" s="939"/>
      <c r="K2489" s="940"/>
      <c r="L2489" s="934"/>
      <c r="M2489" s="934"/>
      <c r="N2489" s="934"/>
      <c r="O2489" s="941"/>
      <c r="P2489" s="938"/>
      <c r="Q2489" s="942">
        <f ca="1">$B2489*Elec_Rates!$R$210</f>
        <v>30</v>
      </c>
      <c r="R2489" s="933">
        <f ca="1">$A2489*Q2489</f>
        <v>30</v>
      </c>
      <c r="S2489" s="942">
        <f ca="1">$B2489*Elec_Rates!$T$210</f>
        <v>1</v>
      </c>
      <c r="T2489" s="560">
        <f ca="1">$A2489*S2489</f>
        <v>1</v>
      </c>
      <c r="U2489" s="484"/>
    </row>
    <row r="2490" spans="1:33" s="935" customFormat="1" ht="13.2">
      <c r="A2490"/>
      <c r="B2490" s="927"/>
      <c r="C2490" s="927" t="s">
        <v>735</v>
      </c>
      <c r="D2490" s="927" t="str">
        <f ca="1">CELL("Address",Elec_Rates!D$217)</f>
        <v>[E25_0465_IH_Retro_Elec4Mech_Est_Rev_A.xlsx]Elec_Rates!$D$217</v>
      </c>
      <c r="E2490" s="928"/>
      <c r="F2490" s="928"/>
      <c r="G2490" s="929" t="s">
        <v>736</v>
      </c>
      <c r="H2490" s="929"/>
      <c r="I2490" s="929"/>
      <c r="J2490" s="929"/>
      <c r="K2490" s="930"/>
      <c r="L2490" s="928"/>
      <c r="M2490" s="928"/>
      <c r="N2490" s="928"/>
      <c r="O2490" s="931"/>
      <c r="P2490" s="928"/>
      <c r="Q2490" s="932"/>
      <c r="R2490" s="933"/>
      <c r="S2490" s="932"/>
      <c r="T2490" s="560"/>
      <c r="U2490" s="934"/>
    </row>
    <row r="2491" spans="1:33" s="935" customFormat="1" ht="11.4">
      <c r="A2491" s="936">
        <v>1</v>
      </c>
      <c r="B2491" s="937">
        <v>1</v>
      </c>
      <c r="C2491" s="937">
        <f>$A2491*$B2491</f>
        <v>1</v>
      </c>
      <c r="D2491" s="938" t="str">
        <f>Elec_Rates!$D$217</f>
        <v>016# Installation of sensors on AHUs</v>
      </c>
      <c r="E2491" s="938"/>
      <c r="F2491" s="938" t="s">
        <v>737</v>
      </c>
      <c r="G2491" s="939" t="s">
        <v>738</v>
      </c>
      <c r="H2491" s="939"/>
      <c r="I2491" s="939"/>
      <c r="J2491" s="939"/>
      <c r="K2491" s="940"/>
      <c r="L2491" s="934"/>
      <c r="M2491" s="934"/>
      <c r="N2491" s="934"/>
      <c r="O2491" s="941"/>
      <c r="P2491" s="938"/>
      <c r="Q2491" s="942">
        <f ca="1">$B2491*Elec_Rates!$R$217</f>
        <v>354.24</v>
      </c>
      <c r="R2491" s="933">
        <f ca="1">$A2491*Q2491</f>
        <v>354.24</v>
      </c>
      <c r="S2491" s="942">
        <f ca="1">$B2491*Elec_Rates!$T$217</f>
        <v>17.989999999999998</v>
      </c>
      <c r="T2491" s="560">
        <f ca="1">$A2491*S2491</f>
        <v>17.989999999999998</v>
      </c>
      <c r="U2491" s="484"/>
    </row>
    <row r="2492" spans="1:33" s="501" customFormat="1" ht="14.4" customHeight="1">
      <c r="A2492" s="767"/>
      <c r="B2492" s="567"/>
      <c r="C2492" s="567"/>
      <c r="D2492" s="567"/>
      <c r="E2492" s="567"/>
      <c r="F2492" s="567"/>
      <c r="G2492" s="567"/>
      <c r="H2492" s="764"/>
      <c r="I2492" s="567"/>
      <c r="J2492" s="45"/>
      <c r="K2492" s="769"/>
      <c r="L2492" s="770"/>
      <c r="M2492" s="567"/>
      <c r="N2492" s="567"/>
      <c r="O2492" s="45"/>
      <c r="P2492" s="567"/>
      <c r="Q2492" s="567"/>
      <c r="R2492" s="771">
        <f>$A2492*Q2492</f>
        <v>0</v>
      </c>
      <c r="S2492" s="567"/>
      <c r="T2492" s="500">
        <f>$A2492*S2492*$T$1</f>
        <v>0</v>
      </c>
    </row>
    <row r="2493" spans="1:33" s="501" customFormat="1" ht="12">
      <c r="A2493" s="772" t="s">
        <v>145</v>
      </c>
      <c r="B2493" s="773">
        <f>(R2492+T2492)</f>
        <v>0</v>
      </c>
      <c r="C2493" s="753"/>
      <c r="G2493" s="774"/>
      <c r="H2493" s="774"/>
      <c r="I2493" s="774"/>
      <c r="J2493" s="774"/>
      <c r="K2493" s="750" t="s">
        <v>3</v>
      </c>
      <c r="L2493" s="775" t="s">
        <v>573</v>
      </c>
      <c r="M2493" s="774"/>
      <c r="N2493" s="774"/>
      <c r="O2493" s="774"/>
      <c r="P2493" s="774"/>
      <c r="Q2493" s="776"/>
      <c r="R2493" s="777">
        <f ca="1">SUM(R2481:R2492)</f>
        <v>518.48</v>
      </c>
      <c r="S2493" s="778"/>
      <c r="T2493" s="777">
        <f ca="1">SUM(T2481:T2492)</f>
        <v>26.159999999999997</v>
      </c>
      <c r="AG2493" s="779">
        <f ca="1">ROUND($R2493*$S$2,2)</f>
        <v>699.95</v>
      </c>
    </row>
    <row r="2494" spans="1:33" s="501" customFormat="1" ht="12" customHeight="1">
      <c r="A2494" s="760"/>
      <c r="B2494" s="780"/>
      <c r="C2494" s="781"/>
      <c r="D2494" s="782" t="str">
        <f>$F$3</f>
        <v>Technician</v>
      </c>
      <c r="E2494" s="782">
        <f>ROUND(($R2497*$S$3 + ($T2497*$T$3)), 2)</f>
        <v>3739.18</v>
      </c>
      <c r="F2494" s="783">
        <f>$E2494*$C$12</f>
        <v>3739.18</v>
      </c>
      <c r="G2494" s="499"/>
      <c r="H2494" s="499"/>
      <c r="I2494" s="499"/>
      <c r="J2494" s="499"/>
      <c r="K2494" s="765" t="s">
        <v>5</v>
      </c>
      <c r="L2494" s="766" t="s">
        <v>573</v>
      </c>
      <c r="M2494" s="499"/>
      <c r="N2494" s="499"/>
      <c r="O2494" s="499"/>
      <c r="P2494" s="499"/>
      <c r="Q2494" s="499"/>
      <c r="R2494" s="784"/>
      <c r="S2494" s="499"/>
      <c r="T2494" s="784"/>
    </row>
    <row r="2495" spans="1:33" s="893" customFormat="1" ht="13.2">
      <c r="A2495">
        <v>1</v>
      </c>
      <c r="B2495" s="893" t="s">
        <v>141</v>
      </c>
      <c r="D2495" s="893" t="s">
        <v>767</v>
      </c>
      <c r="E2495" s="893" t="s">
        <v>770</v>
      </c>
      <c r="F2495" s="893" t="s">
        <v>769</v>
      </c>
      <c r="G2495" s="894" t="s">
        <v>768</v>
      </c>
      <c r="H2495" s="895">
        <v>570</v>
      </c>
      <c r="I2495" s="893" t="s">
        <v>643</v>
      </c>
      <c r="O2495" s="896">
        <v>2</v>
      </c>
      <c r="P2495" s="897">
        <v>38443</v>
      </c>
      <c r="Q2495" s="898">
        <v>2500</v>
      </c>
      <c r="R2495" s="899">
        <f>$A2495*Q2495</f>
        <v>2500</v>
      </c>
      <c r="S2495" s="898">
        <f>200/25</f>
        <v>8</v>
      </c>
      <c r="T2495" s="900">
        <f>$A2495*S2495*$T$1</f>
        <v>8</v>
      </c>
    </row>
    <row r="2496" spans="1:33" s="501" customFormat="1" ht="15.6" customHeight="1">
      <c r="A2496" s="767"/>
      <c r="B2496" s="567"/>
      <c r="C2496" s="567"/>
      <c r="D2496" s="3"/>
      <c r="E2496" s="567"/>
      <c r="F2496" s="567"/>
      <c r="G2496" s="567"/>
      <c r="H2496" s="567"/>
      <c r="I2496" s="567"/>
      <c r="J2496" s="567"/>
      <c r="K2496" s="567"/>
      <c r="L2496" s="770"/>
      <c r="M2496" s="567"/>
      <c r="N2496" s="567"/>
      <c r="O2496" s="567"/>
      <c r="P2496" s="567"/>
      <c r="Q2496" s="567"/>
      <c r="R2496" s="771">
        <f>$A2496*Q2496</f>
        <v>0</v>
      </c>
      <c r="S2496" s="567"/>
      <c r="T2496" s="500">
        <f>$A2496*S2496*$T$1</f>
        <v>0</v>
      </c>
    </row>
    <row r="2497" spans="1:41" s="501" customFormat="1" ht="12">
      <c r="A2497" s="772" t="s">
        <v>145</v>
      </c>
      <c r="B2497" s="773">
        <f>(R2496+T2496)</f>
        <v>0</v>
      </c>
      <c r="C2497" s="753"/>
      <c r="G2497" s="774"/>
      <c r="H2497" s="774"/>
      <c r="I2497" s="774"/>
      <c r="J2497" s="774"/>
      <c r="K2497" s="798" t="s">
        <v>5</v>
      </c>
      <c r="L2497" s="775" t="s">
        <v>573</v>
      </c>
      <c r="M2497" s="774"/>
      <c r="N2497" s="774"/>
      <c r="O2497" s="774"/>
      <c r="P2497" s="774"/>
      <c r="Q2497" s="776"/>
      <c r="R2497" s="777">
        <f>SUM(R2494:R2496)</f>
        <v>2500</v>
      </c>
      <c r="S2497" s="778"/>
      <c r="T2497" s="777">
        <f>SUM(T2494:T2496)</f>
        <v>8</v>
      </c>
      <c r="AG2497" s="799">
        <f>ROUND($R2497*$S$3,2)</f>
        <v>3375</v>
      </c>
    </row>
    <row r="2498" spans="1:41" s="501" customFormat="1" ht="12" customHeight="1">
      <c r="A2498" s="800"/>
      <c r="B2498" s="801"/>
      <c r="C2498" s="802"/>
      <c r="D2498" s="803" t="str">
        <f>$F$4</f>
        <v>Engineer (Man Hours)</v>
      </c>
      <c r="E2498" s="803">
        <f>ROUND(($R2501*$S$4 + ($T2501*$T$4)), 2)</f>
        <v>162</v>
      </c>
      <c r="F2498" s="804">
        <f ca="1">$F2478-SUMIF($L2480:$P2495,"SUBI",$F2480:$F2495)</f>
        <v>162</v>
      </c>
      <c r="G2498" s="499"/>
      <c r="H2498" s="499"/>
      <c r="I2498" s="499"/>
      <c r="J2498" s="499"/>
      <c r="K2498" s="805" t="s">
        <v>8</v>
      </c>
      <c r="L2498" s="766" t="s">
        <v>573</v>
      </c>
      <c r="M2498" s="499"/>
      <c r="N2498" s="499"/>
      <c r="O2498" s="499"/>
      <c r="P2498" s="499"/>
      <c r="Q2498" s="499"/>
      <c r="R2498" s="784"/>
      <c r="S2498" s="499"/>
      <c r="T2498" s="784"/>
    </row>
    <row r="2499" spans="1:41" s="893" customFormat="1" ht="13.2">
      <c r="A2499">
        <v>1</v>
      </c>
      <c r="B2499" s="893" t="s">
        <v>141</v>
      </c>
      <c r="D2499" s="893" t="s">
        <v>767</v>
      </c>
      <c r="E2499" s="893" t="s">
        <v>771</v>
      </c>
      <c r="F2499" s="893" t="s">
        <v>769</v>
      </c>
      <c r="G2499" s="894" t="s">
        <v>768</v>
      </c>
      <c r="H2499" s="895">
        <v>570</v>
      </c>
      <c r="I2499" s="893" t="s">
        <v>643</v>
      </c>
      <c r="O2499" s="896">
        <v>2</v>
      </c>
      <c r="P2499" s="897">
        <v>38443</v>
      </c>
      <c r="Q2499" s="898"/>
      <c r="R2499" s="899">
        <f>$A2499*Q2499</f>
        <v>0</v>
      </c>
      <c r="S2499" s="898">
        <f>100/25</f>
        <v>4</v>
      </c>
      <c r="T2499" s="900">
        <f>$A2499*S2499*$T$1</f>
        <v>4</v>
      </c>
    </row>
    <row r="2500" spans="1:41" s="501" customFormat="1" ht="12">
      <c r="A2500" s="44"/>
      <c r="B2500" s="497"/>
      <c r="C2500" s="497"/>
      <c r="D2500" s="807"/>
      <c r="E2500" s="808"/>
      <c r="F2500" s="499"/>
      <c r="G2500" s="499"/>
      <c r="H2500" s="499"/>
      <c r="I2500" s="499"/>
      <c r="J2500" s="499"/>
      <c r="K2500" s="499"/>
      <c r="L2500" s="809"/>
      <c r="M2500" s="499"/>
      <c r="N2500" s="499"/>
      <c r="O2500" s="499"/>
      <c r="P2500" s="499"/>
      <c r="Q2500" s="499"/>
      <c r="R2500" s="720">
        <f>$A2500*Q2500</f>
        <v>0</v>
      </c>
      <c r="S2500" s="499"/>
      <c r="T2500" s="500">
        <f>$A2500*S2500*$T$1</f>
        <v>0</v>
      </c>
    </row>
    <row r="2501" spans="1:41" s="501" customFormat="1" ht="12.75" customHeight="1">
      <c r="A2501" s="772" t="s">
        <v>145</v>
      </c>
      <c r="B2501" s="773">
        <f>(R2500+T2500)</f>
        <v>0</v>
      </c>
      <c r="C2501" s="810"/>
      <c r="D2501" s="810"/>
      <c r="E2501" s="810"/>
      <c r="F2501" s="810"/>
      <c r="G2501" s="776"/>
      <c r="H2501" s="776"/>
      <c r="I2501" s="776"/>
      <c r="J2501" s="776"/>
      <c r="K2501" s="798" t="s">
        <v>8</v>
      </c>
      <c r="L2501" s="811" t="s">
        <v>573</v>
      </c>
      <c r="M2501" s="776"/>
      <c r="N2501" s="776"/>
      <c r="O2501" s="776"/>
      <c r="P2501" s="776"/>
      <c r="Q2501" s="776"/>
      <c r="R2501" s="777">
        <f>SUM(R2498:R2500)</f>
        <v>0</v>
      </c>
      <c r="S2501" s="778"/>
      <c r="T2501" s="777">
        <f>SUM(T2498:T2500)</f>
        <v>4</v>
      </c>
      <c r="AG2501" s="812">
        <f>ROUND($R2501*$S$4,2)</f>
        <v>0</v>
      </c>
    </row>
    <row r="2502" spans="1:41" s="501" customFormat="1" ht="12.75" customHeight="1">
      <c r="A2502" s="813"/>
      <c r="B2502" s="814"/>
      <c r="E2502" s="497"/>
      <c r="F2502" s="808"/>
      <c r="G2502" s="497"/>
      <c r="H2502" s="497"/>
      <c r="I2502" s="499"/>
      <c r="J2502" s="497"/>
      <c r="K2502" s="497"/>
      <c r="L2502" s="815"/>
      <c r="M2502" s="725"/>
      <c r="N2502" s="725"/>
      <c r="O2502" s="725"/>
      <c r="P2502" s="725"/>
      <c r="Q2502" s="726"/>
      <c r="R2502" s="784"/>
      <c r="S2502" s="497"/>
      <c r="T2502" s="784"/>
    </row>
    <row r="2503" spans="1:41" s="501" customFormat="1" ht="13.5" customHeight="1" thickBot="1">
      <c r="A2503" s="816"/>
      <c r="B2503" s="817"/>
      <c r="C2503" s="518"/>
      <c r="D2503" s="518"/>
      <c r="E2503" s="515"/>
      <c r="F2503" s="721"/>
      <c r="G2503" s="515" t="s">
        <v>146</v>
      </c>
      <c r="H2503" s="515"/>
      <c r="I2503" s="516"/>
      <c r="J2503" s="515"/>
      <c r="K2503" s="515"/>
      <c r="L2503" s="818" t="s">
        <v>143</v>
      </c>
      <c r="M2503" s="517"/>
      <c r="N2503" s="517"/>
      <c r="O2503" s="517"/>
      <c r="P2503" s="517"/>
      <c r="Q2503" s="722"/>
      <c r="R2503" s="819">
        <f ca="1">SUMIF($L2479:$L2502,"SUBI",R2479:R2502)</f>
        <v>3018.48</v>
      </c>
      <c r="S2503" s="820"/>
      <c r="T2503" s="819">
        <f ca="1">SUMIF($L2479:$L2502,"SUBI",T2479:T2502)</f>
        <v>38.159999999999997</v>
      </c>
      <c r="U2503" s="518"/>
      <c r="V2503" s="518"/>
      <c r="W2503" s="518"/>
      <c r="X2503" s="518"/>
      <c r="Y2503" s="518"/>
      <c r="Z2503" s="518"/>
      <c r="AA2503" s="518"/>
      <c r="AB2503" s="518"/>
      <c r="AC2503" s="518"/>
      <c r="AD2503" s="518"/>
      <c r="AE2503" s="518"/>
      <c r="AF2503" s="518"/>
      <c r="AG2503" s="518"/>
      <c r="AH2503" s="518"/>
      <c r="AI2503" s="518"/>
      <c r="AJ2503" s="518"/>
      <c r="AK2503" s="518"/>
      <c r="AL2503" s="518"/>
      <c r="AM2503" s="518"/>
      <c r="AN2503" s="518"/>
      <c r="AO2503" s="518"/>
    </row>
    <row r="2504" spans="1:41" s="501" customFormat="1" thickTop="1">
      <c r="A2504" s="44"/>
      <c r="B2504" s="44"/>
      <c r="C2504" s="3"/>
      <c r="D2504" s="3"/>
      <c r="E2504" s="44"/>
      <c r="F2504" s="44"/>
      <c r="G2504" s="44"/>
      <c r="H2504" s="44"/>
      <c r="I2504" s="44"/>
      <c r="J2504" s="44"/>
      <c r="K2504" s="44" t="s">
        <v>134</v>
      </c>
      <c r="L2504" s="44"/>
      <c r="M2504" s="44"/>
      <c r="N2504" s="44"/>
      <c r="O2504" s="45"/>
      <c r="P2504" s="44"/>
      <c r="Q2504" s="44"/>
      <c r="R2504" s="44"/>
      <c r="S2504" s="44"/>
      <c r="T2504" s="44"/>
    </row>
    <row r="2505" spans="1:41" s="501" customFormat="1" ht="12">
      <c r="A2505" s="44"/>
      <c r="B2505" s="44"/>
      <c r="C2505" s="44" t="s">
        <v>135</v>
      </c>
      <c r="D2505" s="35"/>
      <c r="E2505" s="44"/>
      <c r="F2505" s="44"/>
      <c r="G2505" s="44"/>
      <c r="H2505" s="44"/>
      <c r="I2505" s="44"/>
      <c r="J2505" s="44"/>
      <c r="K2505" s="44"/>
      <c r="L2505" s="44"/>
      <c r="M2505" s="44"/>
      <c r="N2505" s="44"/>
      <c r="O2505" s="45"/>
      <c r="P2505" s="44"/>
      <c r="Q2505" s="44"/>
      <c r="R2505" s="44"/>
      <c r="S2505" s="44"/>
      <c r="T2505" s="44"/>
    </row>
    <row r="2506" spans="1:41" s="501" customFormat="1" ht="12">
      <c r="A2506" s="44"/>
      <c r="B2506" s="44"/>
      <c r="C2506" s="44"/>
      <c r="D2506" s="35" t="s">
        <v>539</v>
      </c>
      <c r="E2506" s="44"/>
      <c r="F2506" s="44"/>
      <c r="G2506" s="44"/>
      <c r="H2506" s="44"/>
      <c r="I2506" s="44"/>
      <c r="J2506" s="44"/>
      <c r="K2506" s="44"/>
      <c r="L2506" s="44"/>
      <c r="M2506" s="44"/>
      <c r="N2506" s="44"/>
      <c r="O2506" s="45"/>
      <c r="P2506" s="44"/>
      <c r="Q2506" s="44"/>
      <c r="R2506" s="44"/>
      <c r="S2506" s="36"/>
      <c r="T2506" s="36"/>
    </row>
    <row r="2507" spans="1:41" s="3" customFormat="1" thickBot="1">
      <c r="A2507" s="518"/>
      <c r="O2507" s="86"/>
    </row>
    <row r="2508" spans="1:41" s="501" customFormat="1" thickTop="1">
      <c r="A2508" s="44"/>
      <c r="B2508" s="39"/>
      <c r="C2508" s="44"/>
      <c r="E2508" s="40" t="s">
        <v>138</v>
      </c>
      <c r="F2508" s="40" t="s">
        <v>139</v>
      </c>
      <c r="G2508" s="44"/>
      <c r="H2508" s="44"/>
      <c r="I2508" s="44"/>
      <c r="J2508" s="44"/>
      <c r="K2508" s="44" t="s">
        <v>140</v>
      </c>
      <c r="L2508" s="737"/>
      <c r="M2508" s="44"/>
      <c r="N2508" s="44"/>
      <c r="O2508" s="45"/>
      <c r="P2508" s="44"/>
      <c r="Q2508"/>
      <c r="R2508"/>
      <c r="S2508"/>
      <c r="T2508" s="39"/>
      <c r="AG2508" s="502" t="s">
        <v>247</v>
      </c>
      <c r="AH2508" s="502" t="s">
        <v>248</v>
      </c>
      <c r="AI2508" s="502" t="s">
        <v>249</v>
      </c>
      <c r="AJ2508" s="502" t="s">
        <v>250</v>
      </c>
      <c r="AK2508" s="502" t="s">
        <v>251</v>
      </c>
      <c r="AM2508" s="710" t="s">
        <v>260</v>
      </c>
      <c r="AN2508" s="711" t="s">
        <v>261</v>
      </c>
      <c r="AO2508" s="503" t="s">
        <v>257</v>
      </c>
    </row>
    <row r="2509" spans="1:41" s="501" customFormat="1" ht="13.2">
      <c r="A2509" s="712">
        <v>1</v>
      </c>
      <c r="B2509" s="504" t="s">
        <v>283</v>
      </c>
      <c r="C2509" s="505"/>
      <c r="D2509" s="713" t="s">
        <v>623</v>
      </c>
      <c r="E2509" s="738">
        <f>IF(AND($A2509=0,$A$1="DIF"),0,ROUND(ROUND(SUMIF($L2511:$L2522,"SUBI",$E2511:$E2522)/$A2509,2)*$C$12,2))</f>
        <v>0</v>
      </c>
      <c r="F2509" s="739">
        <f>ROUND($A2509*$E2509,2)</f>
        <v>0</v>
      </c>
      <c r="G2509" s="506" t="s">
        <v>142</v>
      </c>
      <c r="H2509" s="498"/>
      <c r="I2509" s="716"/>
      <c r="J2509" s="498"/>
      <c r="K2509" s="740"/>
      <c r="L2509" s="741" t="s">
        <v>143</v>
      </c>
      <c r="M2509" s="717"/>
      <c r="N2509" s="717"/>
      <c r="O2509" s="717"/>
      <c r="P2509" s="717"/>
      <c r="Q2509" s="943" t="s">
        <v>855</v>
      </c>
      <c r="R2509" s="943" t="s">
        <v>1087</v>
      </c>
      <c r="S2509"/>
      <c r="T2509" s="742" t="str">
        <f>IF(AND($R2528=0,$T2528=0),"0.00","mu :" &amp; ROUND($F2509/$C$12/($R2528+$T2528*$D$9),2))</f>
        <v>0.00</v>
      </c>
      <c r="W2509" s="507"/>
      <c r="AG2509" s="743">
        <f>IF(A2509=0,0,ROUND(SUM(AG2511:AG2528)/A2509,2))</f>
        <v>0</v>
      </c>
      <c r="AH2509" s="743">
        <f>$AG2509*$A2509</f>
        <v>0</v>
      </c>
      <c r="AI2509" s="743">
        <f>$E2509-$AG2509</f>
        <v>0</v>
      </c>
      <c r="AJ2509" s="743">
        <f>$A2509*$AI2509</f>
        <v>0</v>
      </c>
      <c r="AK2509" s="744">
        <f>ROUND(($AG2509+$AI2509)*$A2509,2)</f>
        <v>0</v>
      </c>
      <c r="AM2509" s="510">
        <f>ROUND(R2528,2)</f>
        <v>0</v>
      </c>
      <c r="AN2509" s="511">
        <f>ROUND(T2528,2)</f>
        <v>0</v>
      </c>
      <c r="AO2509" s="512">
        <f>ROUND(AM2509+AN2509,2)*A2509</f>
        <v>0</v>
      </c>
    </row>
    <row r="2510" spans="1:41" s="501" customFormat="1" ht="39.9" customHeight="1">
      <c r="A2510" s="745"/>
      <c r="B2510" s="746"/>
      <c r="C2510" s="505"/>
      <c r="D2510" s="1183" t="s">
        <v>540</v>
      </c>
      <c r="E2510" s="1184"/>
      <c r="F2510" s="1184"/>
      <c r="G2510" s="1184"/>
      <c r="H2510" s="1184"/>
      <c r="I2510" s="1184"/>
      <c r="J2510" s="1184"/>
      <c r="K2510" s="1184"/>
      <c r="L2510" s="1184"/>
      <c r="M2510" s="1184"/>
      <c r="N2510" s="1184"/>
      <c r="O2510" s="1184"/>
      <c r="P2510" s="1184"/>
      <c r="Q2510" s="1184"/>
      <c r="R2510" s="1184"/>
      <c r="S2510" s="1184"/>
      <c r="T2510" s="1184"/>
    </row>
    <row r="2511" spans="1:41" s="501" customFormat="1" ht="12">
      <c r="A2511" s="748"/>
      <c r="B2511" s="749"/>
      <c r="C2511" s="497"/>
      <c r="D2511" s="750"/>
      <c r="E2511" s="751">
        <f>F2509/$C$12-SUMIF($L2508:$L2528,"SUBI",$E2508:$E2528)</f>
        <v>0</v>
      </c>
      <c r="F2511" s="752" t="s">
        <v>572</v>
      </c>
      <c r="G2511" s="753"/>
      <c r="H2511" s="753"/>
      <c r="I2511" s="754"/>
      <c r="J2511" s="753"/>
      <c r="K2511" s="753"/>
      <c r="L2511" s="755"/>
      <c r="M2511" s="756"/>
      <c r="N2511" s="756"/>
      <c r="O2511" s="756"/>
      <c r="P2511" s="756"/>
      <c r="Q2511" s="757"/>
      <c r="R2511" s="758"/>
      <c r="S2511" s="757"/>
      <c r="T2511" s="759"/>
    </row>
    <row r="2512" spans="1:41" s="501" customFormat="1" ht="12" customHeight="1">
      <c r="A2512" s="760"/>
      <c r="B2512" s="761"/>
      <c r="C2512" s="762"/>
      <c r="D2512" s="762" t="str">
        <f>$F$2</f>
        <v>Electrical</v>
      </c>
      <c r="E2512" s="762">
        <f>ROUND(($R2516*$S$2 + ($T2516*$T$2)), 2)</f>
        <v>0</v>
      </c>
      <c r="F2512" s="763">
        <f>$E2512*$C$12</f>
        <v>0</v>
      </c>
      <c r="G2512" s="567"/>
      <c r="H2512" s="764"/>
      <c r="I2512" s="567"/>
      <c r="J2512" s="45"/>
      <c r="K2512" s="765" t="s">
        <v>3</v>
      </c>
      <c r="L2512" s="766" t="s">
        <v>573</v>
      </c>
      <c r="M2512" s="567"/>
      <c r="N2512" s="567"/>
      <c r="O2512" s="45"/>
      <c r="P2512" s="567"/>
      <c r="Q2512" s="567"/>
      <c r="R2512"/>
      <c r="S2512"/>
      <c r="T2512"/>
    </row>
    <row r="2513" spans="1:41" s="501" customFormat="1" ht="14.4" customHeight="1">
      <c r="A2513" s="767"/>
      <c r="B2513" s="768" t="s">
        <v>574</v>
      </c>
      <c r="C2513" s="567"/>
      <c r="D2513" s="567"/>
      <c r="E2513" s="567"/>
      <c r="F2513" s="567"/>
      <c r="G2513" s="567"/>
      <c r="H2513" s="764"/>
      <c r="I2513" s="567"/>
      <c r="J2513" s="45"/>
      <c r="K2513" s="769"/>
      <c r="L2513" s="770"/>
      <c r="M2513" s="567"/>
      <c r="N2513" s="567"/>
      <c r="O2513" s="45"/>
      <c r="P2513" s="567"/>
      <c r="Q2513" s="567"/>
      <c r="R2513" s="771">
        <f>$A2513*Q2513</f>
        <v>0</v>
      </c>
      <c r="S2513" s="567"/>
      <c r="T2513" s="500">
        <f>$A2513*S2513*$T$1</f>
        <v>0</v>
      </c>
    </row>
    <row r="2514" spans="1:41" s="501" customFormat="1" ht="14.4" customHeight="1">
      <c r="A2514" s="767"/>
      <c r="B2514" s="567"/>
      <c r="C2514" s="567"/>
      <c r="D2514" s="567"/>
      <c r="E2514" s="567"/>
      <c r="F2514" s="567"/>
      <c r="G2514" s="567"/>
      <c r="H2514" s="764"/>
      <c r="I2514" s="567"/>
      <c r="J2514" s="45"/>
      <c r="K2514" s="769"/>
      <c r="L2514" s="770"/>
      <c r="M2514" s="567"/>
      <c r="N2514" s="567"/>
      <c r="O2514" s="45"/>
      <c r="P2514" s="567"/>
      <c r="Q2514" s="567"/>
      <c r="R2514" s="771">
        <f>$A2514*Q2514</f>
        <v>0</v>
      </c>
      <c r="S2514" s="567"/>
      <c r="T2514" s="500">
        <f>$A2514*S2514*$T$1</f>
        <v>0</v>
      </c>
    </row>
    <row r="2515" spans="1:41" s="501" customFormat="1" ht="14.4" customHeight="1">
      <c r="A2515" s="767"/>
      <c r="B2515" s="567"/>
      <c r="C2515" s="567"/>
      <c r="D2515" s="567"/>
      <c r="E2515" s="567"/>
      <c r="F2515" s="567"/>
      <c r="G2515" s="567"/>
      <c r="H2515" s="764"/>
      <c r="I2515" s="567"/>
      <c r="J2515" s="45"/>
      <c r="K2515" s="769"/>
      <c r="L2515" s="770"/>
      <c r="M2515" s="567"/>
      <c r="N2515" s="567"/>
      <c r="O2515" s="45"/>
      <c r="P2515" s="567"/>
      <c r="Q2515" s="567"/>
      <c r="R2515" s="771">
        <f>$A2515*Q2515</f>
        <v>0</v>
      </c>
      <c r="S2515" s="567"/>
      <c r="T2515" s="500">
        <f>$A2515*S2515*$T$1</f>
        <v>0</v>
      </c>
    </row>
    <row r="2516" spans="1:41" s="501" customFormat="1" ht="12">
      <c r="A2516" s="772" t="s">
        <v>145</v>
      </c>
      <c r="B2516" s="773">
        <f>(R2515+T2515)</f>
        <v>0</v>
      </c>
      <c r="C2516" s="753"/>
      <c r="G2516" s="774"/>
      <c r="H2516" s="774"/>
      <c r="I2516" s="774"/>
      <c r="J2516" s="774"/>
      <c r="K2516" s="750" t="s">
        <v>3</v>
      </c>
      <c r="L2516" s="775" t="s">
        <v>573</v>
      </c>
      <c r="M2516" s="774"/>
      <c r="N2516" s="774"/>
      <c r="O2516" s="774"/>
      <c r="P2516" s="774"/>
      <c r="Q2516" s="776"/>
      <c r="R2516" s="777">
        <f>SUM(R2512:R2515)</f>
        <v>0</v>
      </c>
      <c r="S2516" s="778"/>
      <c r="T2516" s="777">
        <f>SUM(T2512:T2515)</f>
        <v>0</v>
      </c>
      <c r="AG2516" s="779">
        <f>ROUND($R2516*$S$2,2)</f>
        <v>0</v>
      </c>
    </row>
    <row r="2517" spans="1:41" s="501" customFormat="1" ht="12" customHeight="1">
      <c r="A2517" s="760"/>
      <c r="B2517" s="780"/>
      <c r="C2517" s="781"/>
      <c r="D2517" s="782" t="str">
        <f>$F$3</f>
        <v>Technician</v>
      </c>
      <c r="E2517" s="782">
        <f>ROUND(($R2521*$S$3 + ($T2521*$T$3)), 2)</f>
        <v>0</v>
      </c>
      <c r="F2517" s="783">
        <f>$E2517*$C$12</f>
        <v>0</v>
      </c>
      <c r="G2517" s="499"/>
      <c r="H2517" s="499"/>
      <c r="I2517" s="499"/>
      <c r="J2517" s="499"/>
      <c r="K2517" s="765" t="s">
        <v>5</v>
      </c>
      <c r="L2517" s="766" t="s">
        <v>573</v>
      </c>
      <c r="M2517" s="499"/>
      <c r="N2517" s="499"/>
      <c r="O2517" s="499"/>
      <c r="P2517" s="499"/>
      <c r="Q2517" s="499"/>
      <c r="R2517" s="784"/>
      <c r="S2517" s="499"/>
      <c r="T2517" s="784"/>
    </row>
    <row r="2518" spans="1:41" s="797" customFormat="1" ht="15.6" customHeight="1">
      <c r="A2518" s="785"/>
      <c r="B2518" s="768" t="s">
        <v>575</v>
      </c>
      <c r="C2518" s="786"/>
      <c r="D2518" s="787"/>
      <c r="E2518" s="787"/>
      <c r="F2518" s="787"/>
      <c r="G2518" s="788"/>
      <c r="H2518" s="789"/>
      <c r="I2518" s="789"/>
      <c r="J2518" s="790"/>
      <c r="K2518" s="791"/>
      <c r="L2518" s="786"/>
      <c r="M2518" s="792"/>
      <c r="N2518" s="793"/>
      <c r="O2518" s="794"/>
      <c r="P2518" s="795"/>
      <c r="Q2518" s="796"/>
      <c r="R2518" s="771">
        <f>$A2518*Q2518</f>
        <v>0</v>
      </c>
      <c r="S2518" s="567"/>
      <c r="T2518" s="500">
        <f>$A2518*S2518*$T$1</f>
        <v>0</v>
      </c>
    </row>
    <row r="2519" spans="1:41" s="501" customFormat="1" ht="15.6" customHeight="1">
      <c r="A2519" s="767"/>
      <c r="B2519" s="567"/>
      <c r="C2519" s="567"/>
      <c r="D2519" s="567"/>
      <c r="E2519" s="567"/>
      <c r="F2519" s="567"/>
      <c r="G2519" s="567"/>
      <c r="H2519" s="567"/>
      <c r="I2519" s="567"/>
      <c r="J2519" s="567"/>
      <c r="K2519" s="567"/>
      <c r="L2519" s="770"/>
      <c r="M2519" s="567"/>
      <c r="N2519" s="567"/>
      <c r="O2519" s="567"/>
      <c r="P2519" s="567"/>
      <c r="Q2519" s="567"/>
      <c r="R2519" s="771">
        <f>$A2519*Q2519</f>
        <v>0</v>
      </c>
      <c r="S2519" s="567"/>
      <c r="T2519" s="500">
        <f>$A2519*S2519*$T$1</f>
        <v>0</v>
      </c>
    </row>
    <row r="2520" spans="1:41" s="501" customFormat="1" ht="15.6" customHeight="1">
      <c r="A2520" s="767"/>
      <c r="B2520" s="567"/>
      <c r="C2520" s="567"/>
      <c r="D2520" s="3"/>
      <c r="E2520" s="567"/>
      <c r="F2520" s="567"/>
      <c r="G2520" s="567"/>
      <c r="H2520" s="567"/>
      <c r="I2520" s="567"/>
      <c r="J2520" s="567"/>
      <c r="K2520" s="567"/>
      <c r="L2520" s="770"/>
      <c r="M2520" s="567"/>
      <c r="N2520" s="567"/>
      <c r="O2520" s="567"/>
      <c r="P2520" s="567"/>
      <c r="Q2520" s="567"/>
      <c r="R2520" s="771">
        <f>$A2520*Q2520</f>
        <v>0</v>
      </c>
      <c r="S2520" s="567"/>
      <c r="T2520" s="500">
        <f>$A2520*S2520*$T$1</f>
        <v>0</v>
      </c>
    </row>
    <row r="2521" spans="1:41" s="501" customFormat="1" ht="12">
      <c r="A2521" s="772" t="s">
        <v>145</v>
      </c>
      <c r="B2521" s="773">
        <f>(R2520+T2520)</f>
        <v>0</v>
      </c>
      <c r="C2521" s="753"/>
      <c r="G2521" s="774"/>
      <c r="H2521" s="774"/>
      <c r="I2521" s="774"/>
      <c r="J2521" s="774"/>
      <c r="K2521" s="798" t="s">
        <v>5</v>
      </c>
      <c r="L2521" s="775" t="s">
        <v>573</v>
      </c>
      <c r="M2521" s="774"/>
      <c r="N2521" s="774"/>
      <c r="O2521" s="774"/>
      <c r="P2521" s="774"/>
      <c r="Q2521" s="776"/>
      <c r="R2521" s="777">
        <f>SUM(R2517:R2520)</f>
        <v>0</v>
      </c>
      <c r="S2521" s="778"/>
      <c r="T2521" s="777">
        <f>SUM(T2517:T2520)</f>
        <v>0</v>
      </c>
      <c r="AG2521" s="799">
        <f>ROUND($R2521*$S$3,2)</f>
        <v>0</v>
      </c>
    </row>
    <row r="2522" spans="1:41" s="501" customFormat="1" ht="12" customHeight="1">
      <c r="A2522" s="800"/>
      <c r="B2522" s="801"/>
      <c r="C2522" s="802"/>
      <c r="D2522" s="803" t="str">
        <f>$F$4</f>
        <v>Engineer (Man Hours)</v>
      </c>
      <c r="E2522" s="803">
        <f>ROUND(($R2526*$S$4 + ($T2526*$T$4)), 2)</f>
        <v>0</v>
      </c>
      <c r="F2522" s="804">
        <f ca="1">$F2509-SUMIF($L2511:$P2519,"SUBI",$F2511:$F2519)</f>
        <v>0</v>
      </c>
      <c r="G2522" s="499"/>
      <c r="H2522" s="499"/>
      <c r="I2522" s="499"/>
      <c r="J2522" s="499"/>
      <c r="K2522" s="805" t="s">
        <v>8</v>
      </c>
      <c r="L2522" s="766" t="s">
        <v>573</v>
      </c>
      <c r="M2522" s="499"/>
      <c r="N2522" s="499"/>
      <c r="O2522" s="499"/>
      <c r="P2522" s="499"/>
      <c r="Q2522" s="499"/>
      <c r="R2522" s="784"/>
      <c r="S2522" s="499"/>
      <c r="T2522" s="784"/>
    </row>
    <row r="2523" spans="1:41" s="797" customFormat="1" ht="14.4" customHeight="1">
      <c r="A2523" s="785"/>
      <c r="B2523" s="768" t="s">
        <v>576</v>
      </c>
      <c r="C2523" s="786"/>
      <c r="D2523" s="787"/>
      <c r="E2523" s="787"/>
      <c r="F2523" s="787"/>
      <c r="G2523" s="788"/>
      <c r="H2523" s="789"/>
      <c r="I2523" s="789"/>
      <c r="J2523" s="790"/>
      <c r="K2523" s="791"/>
      <c r="L2523" s="786"/>
      <c r="M2523" s="792"/>
      <c r="N2523" s="793"/>
      <c r="O2523" s="806"/>
      <c r="P2523" s="795"/>
      <c r="Q2523" s="796"/>
      <c r="R2523" s="720">
        <f>$A2523*Q2523</f>
        <v>0</v>
      </c>
      <c r="S2523" s="796"/>
      <c r="T2523" s="500">
        <f>$A2523*S2523*$T$1</f>
        <v>0</v>
      </c>
    </row>
    <row r="2524" spans="1:41" s="501" customFormat="1" ht="12">
      <c r="A2524" s="44"/>
      <c r="B2524" s="497"/>
      <c r="C2524" s="497"/>
      <c r="D2524" s="807"/>
      <c r="E2524" s="808"/>
      <c r="F2524" s="499"/>
      <c r="G2524" s="499"/>
      <c r="H2524" s="499"/>
      <c r="I2524" s="499"/>
      <c r="J2524" s="499"/>
      <c r="K2524" s="499"/>
      <c r="L2524" s="809"/>
      <c r="M2524" s="499"/>
      <c r="N2524" s="499"/>
      <c r="O2524" s="499"/>
      <c r="P2524" s="499"/>
      <c r="Q2524" s="499"/>
      <c r="R2524" s="720">
        <f>$A2524*Q2524</f>
        <v>0</v>
      </c>
      <c r="S2524" s="499"/>
      <c r="T2524" s="500">
        <f>$A2524*S2524*$T$1</f>
        <v>0</v>
      </c>
    </row>
    <row r="2525" spans="1:41" s="501" customFormat="1" ht="12">
      <c r="A2525" s="44"/>
      <c r="B2525" s="497"/>
      <c r="C2525" s="497"/>
      <c r="D2525" s="807"/>
      <c r="E2525" s="808"/>
      <c r="F2525" s="499"/>
      <c r="G2525" s="499"/>
      <c r="H2525" s="499"/>
      <c r="I2525" s="499"/>
      <c r="J2525" s="499"/>
      <c r="K2525" s="499"/>
      <c r="L2525" s="809"/>
      <c r="M2525" s="499"/>
      <c r="N2525" s="499"/>
      <c r="O2525" s="499"/>
      <c r="P2525" s="499"/>
      <c r="Q2525" s="499"/>
      <c r="R2525" s="720">
        <f>$A2525*Q2525</f>
        <v>0</v>
      </c>
      <c r="S2525" s="499"/>
      <c r="T2525" s="500">
        <f>$A2525*S2525*$T$1</f>
        <v>0</v>
      </c>
    </row>
    <row r="2526" spans="1:41" s="501" customFormat="1" ht="12.75" customHeight="1">
      <c r="A2526" s="772" t="s">
        <v>145</v>
      </c>
      <c r="B2526" s="773">
        <f>(R2525+T2525)</f>
        <v>0</v>
      </c>
      <c r="C2526" s="810"/>
      <c r="D2526" s="810"/>
      <c r="E2526" s="810"/>
      <c r="F2526" s="810"/>
      <c r="G2526" s="776"/>
      <c r="H2526" s="776"/>
      <c r="I2526" s="776"/>
      <c r="J2526" s="776"/>
      <c r="K2526" s="798" t="s">
        <v>8</v>
      </c>
      <c r="L2526" s="811" t="s">
        <v>573</v>
      </c>
      <c r="M2526" s="776"/>
      <c r="N2526" s="776"/>
      <c r="O2526" s="776"/>
      <c r="P2526" s="776"/>
      <c r="Q2526" s="776"/>
      <c r="R2526" s="777">
        <f>SUM(R2522:R2525)</f>
        <v>0</v>
      </c>
      <c r="S2526" s="778"/>
      <c r="T2526" s="777">
        <f>SUM(T2522:T2525)</f>
        <v>0</v>
      </c>
      <c r="AG2526" s="812">
        <f>ROUND($R2526*$S$4,2)</f>
        <v>0</v>
      </c>
    </row>
    <row r="2527" spans="1:41" s="501" customFormat="1" ht="12.75" customHeight="1">
      <c r="A2527" s="813"/>
      <c r="B2527" s="814"/>
      <c r="E2527" s="497"/>
      <c r="F2527" s="808"/>
      <c r="G2527" s="497"/>
      <c r="H2527" s="497"/>
      <c r="I2527" s="499"/>
      <c r="J2527" s="497"/>
      <c r="K2527" s="497"/>
      <c r="L2527" s="815"/>
      <c r="M2527" s="725"/>
      <c r="N2527" s="725"/>
      <c r="O2527" s="725"/>
      <c r="P2527" s="725"/>
      <c r="Q2527" s="726"/>
      <c r="R2527" s="784"/>
      <c r="S2527" s="497"/>
      <c r="T2527" s="784"/>
    </row>
    <row r="2528" spans="1:41" s="501" customFormat="1" ht="13.5" customHeight="1" thickBot="1">
      <c r="A2528" s="816"/>
      <c r="B2528" s="817"/>
      <c r="C2528" s="518"/>
      <c r="D2528" s="518"/>
      <c r="E2528" s="515"/>
      <c r="F2528" s="721"/>
      <c r="G2528" s="515" t="s">
        <v>146</v>
      </c>
      <c r="H2528" s="515"/>
      <c r="I2528" s="516"/>
      <c r="J2528" s="515"/>
      <c r="K2528" s="515"/>
      <c r="L2528" s="818" t="s">
        <v>143</v>
      </c>
      <c r="M2528" s="517"/>
      <c r="N2528" s="517"/>
      <c r="O2528" s="517"/>
      <c r="P2528" s="517"/>
      <c r="Q2528" s="722"/>
      <c r="R2528" s="819">
        <f>SUMIF($L2510:$L2527,"SUBI",R2510:R2527)</f>
        <v>0</v>
      </c>
      <c r="S2528" s="820"/>
      <c r="T2528" s="819">
        <f>SUMIF($L2510:$L2527,"SUBI",T2510:T2527)</f>
        <v>0</v>
      </c>
      <c r="U2528" s="518"/>
      <c r="V2528" s="518"/>
      <c r="W2528" s="518"/>
      <c r="X2528" s="518"/>
      <c r="Y2528" s="518"/>
      <c r="Z2528" s="518"/>
      <c r="AA2528" s="518"/>
      <c r="AB2528" s="518"/>
      <c r="AC2528" s="518"/>
      <c r="AD2528" s="518"/>
      <c r="AE2528" s="518"/>
      <c r="AF2528" s="518"/>
      <c r="AG2528" s="518"/>
      <c r="AH2528" s="518"/>
      <c r="AI2528" s="518"/>
      <c r="AJ2528" s="518"/>
      <c r="AK2528" s="518"/>
      <c r="AL2528" s="518"/>
      <c r="AM2528" s="518"/>
      <c r="AN2528" s="518"/>
      <c r="AO2528" s="518"/>
    </row>
    <row r="2529" spans="1:41" s="501" customFormat="1" thickTop="1">
      <c r="A2529" s="44"/>
      <c r="B2529" s="44"/>
      <c r="C2529" s="3"/>
      <c r="D2529" s="3"/>
      <c r="E2529" s="44"/>
      <c r="F2529" s="44"/>
      <c r="G2529" s="44"/>
      <c r="H2529" s="44"/>
      <c r="I2529" s="44"/>
      <c r="J2529" s="44"/>
      <c r="K2529" s="44" t="s">
        <v>134</v>
      </c>
      <c r="L2529" s="44"/>
      <c r="M2529" s="44"/>
      <c r="N2529" s="44"/>
      <c r="O2529" s="45"/>
      <c r="P2529" s="44"/>
      <c r="Q2529" s="44"/>
      <c r="R2529" s="44"/>
      <c r="S2529" s="44"/>
      <c r="T2529" s="44"/>
    </row>
    <row r="2530" spans="1:41" s="501" customFormat="1" ht="12">
      <c r="A2530" s="44"/>
      <c r="B2530" s="44"/>
      <c r="C2530" s="44" t="s">
        <v>135</v>
      </c>
      <c r="D2530" s="35"/>
      <c r="E2530" s="44"/>
      <c r="F2530" s="44"/>
      <c r="G2530" s="44"/>
      <c r="H2530" s="44"/>
      <c r="I2530" s="44"/>
      <c r="J2530" s="44"/>
      <c r="K2530" s="44"/>
      <c r="L2530" s="44"/>
      <c r="M2530" s="44"/>
      <c r="N2530" s="44"/>
      <c r="O2530" s="45"/>
      <c r="P2530" s="44"/>
      <c r="Q2530" s="44"/>
      <c r="R2530" s="44"/>
      <c r="S2530" s="44"/>
      <c r="T2530" s="44"/>
    </row>
    <row r="2531" spans="1:41" s="501" customFormat="1" ht="12">
      <c r="A2531" s="44"/>
      <c r="B2531" s="44"/>
      <c r="C2531" s="44"/>
      <c r="D2531" s="35" t="s">
        <v>541</v>
      </c>
      <c r="E2531" s="44"/>
      <c r="F2531" s="44"/>
      <c r="G2531" s="44"/>
      <c r="H2531" s="44"/>
      <c r="I2531" s="44"/>
      <c r="J2531" s="44"/>
      <c r="K2531" s="44"/>
      <c r="L2531" s="44"/>
      <c r="M2531" s="44"/>
      <c r="N2531" s="44"/>
      <c r="O2531" s="45"/>
      <c r="P2531" s="44"/>
      <c r="Q2531" s="44"/>
      <c r="R2531" s="44"/>
      <c r="S2531" s="36"/>
      <c r="T2531" s="36"/>
    </row>
    <row r="2532" spans="1:41" s="3" customFormat="1" thickBot="1">
      <c r="A2532" s="518"/>
      <c r="O2532" s="86"/>
    </row>
    <row r="2533" spans="1:41" s="501" customFormat="1" thickTop="1">
      <c r="A2533" s="44"/>
      <c r="B2533" s="39"/>
      <c r="C2533" s="44"/>
      <c r="E2533" s="40" t="s">
        <v>138</v>
      </c>
      <c r="F2533" s="40" t="s">
        <v>139</v>
      </c>
      <c r="G2533" s="44"/>
      <c r="H2533" s="44"/>
      <c r="I2533" s="44"/>
      <c r="J2533" s="44"/>
      <c r="K2533" s="44" t="s">
        <v>140</v>
      </c>
      <c r="L2533" s="737"/>
      <c r="M2533" s="44"/>
      <c r="N2533" s="44"/>
      <c r="O2533" s="45"/>
      <c r="P2533" s="44"/>
      <c r="Q2533"/>
      <c r="R2533"/>
      <c r="S2533"/>
      <c r="T2533" s="39"/>
      <c r="AG2533" s="502" t="s">
        <v>247</v>
      </c>
      <c r="AH2533" s="502" t="s">
        <v>248</v>
      </c>
      <c r="AI2533" s="502" t="s">
        <v>249</v>
      </c>
      <c r="AJ2533" s="502" t="s">
        <v>250</v>
      </c>
      <c r="AK2533" s="502" t="s">
        <v>251</v>
      </c>
      <c r="AM2533" s="710" t="s">
        <v>260</v>
      </c>
      <c r="AN2533" s="711" t="s">
        <v>261</v>
      </c>
      <c r="AO2533" s="503" t="s">
        <v>257</v>
      </c>
    </row>
    <row r="2534" spans="1:41" s="501" customFormat="1" ht="13.2">
      <c r="A2534" s="712">
        <v>1</v>
      </c>
      <c r="B2534" s="504" t="s">
        <v>283</v>
      </c>
      <c r="C2534" s="505"/>
      <c r="D2534" s="713" t="s">
        <v>624</v>
      </c>
      <c r="E2534" s="738">
        <f ca="1">IF(AND($A2534=0,$A$1="DIF"),0,ROUND(ROUND(SUMIF($L2536:$L2555,"SUBI",$E2536:$E2555)/$A2534,2)*$C$12,2))</f>
        <v>5506.83</v>
      </c>
      <c r="F2534" s="739">
        <f ca="1">ROUND($A2534*$E2534,2)</f>
        <v>5506.83</v>
      </c>
      <c r="G2534" s="506" t="s">
        <v>142</v>
      </c>
      <c r="H2534" s="498"/>
      <c r="I2534" s="716"/>
      <c r="J2534" s="498"/>
      <c r="K2534" s="740"/>
      <c r="L2534" s="741" t="s">
        <v>143</v>
      </c>
      <c r="M2534" s="717"/>
      <c r="N2534" s="717"/>
      <c r="O2534" s="717"/>
      <c r="P2534" s="717"/>
      <c r="Q2534" s="943" t="s">
        <v>855</v>
      </c>
      <c r="R2534" s="943" t="s">
        <v>1088</v>
      </c>
      <c r="S2534"/>
      <c r="T2534" s="742" t="str">
        <f ca="1">IF(AND($R2561=0,$T2561=0),"0.00","mu :" &amp; ROUND($F2534/$C$12/($R2561+$T2561*$D$9),2))</f>
        <v>mu :1.37</v>
      </c>
      <c r="W2534" s="507"/>
      <c r="AG2534" s="743">
        <f ca="1">IF(A2534=0,0,ROUND(SUM(AG2536:AG2561)/A2534,2))</f>
        <v>4047.95</v>
      </c>
      <c r="AH2534" s="743">
        <f ca="1">$AG2534*$A2534</f>
        <v>4047.95</v>
      </c>
      <c r="AI2534" s="743">
        <f ca="1">$E2534-$AG2534</f>
        <v>1458.88</v>
      </c>
      <c r="AJ2534" s="743">
        <f ca="1">$A2534*$AI2534</f>
        <v>1458.88</v>
      </c>
      <c r="AK2534" s="744">
        <f ca="1">ROUND(($AG2534+$AI2534)*$A2534,2)</f>
        <v>5506.83</v>
      </c>
      <c r="AM2534" s="510">
        <f ca="1">ROUND(R2561,2)</f>
        <v>2998.48</v>
      </c>
      <c r="AN2534" s="511">
        <f ca="1">ROUND(T2561,2)</f>
        <v>37.159999999999997</v>
      </c>
      <c r="AO2534" s="512">
        <f ca="1">ROUND(AM2534+AN2534,2)*A2534</f>
        <v>3035.64</v>
      </c>
    </row>
    <row r="2535" spans="1:41" s="501" customFormat="1" ht="39.9" customHeight="1">
      <c r="A2535" s="745"/>
      <c r="B2535" s="746"/>
      <c r="C2535" s="505"/>
      <c r="D2535" s="1183" t="s">
        <v>542</v>
      </c>
      <c r="E2535" s="1184"/>
      <c r="F2535" s="1184"/>
      <c r="G2535" s="1184"/>
      <c r="H2535" s="1184"/>
      <c r="I2535" s="1184"/>
      <c r="J2535" s="1184"/>
      <c r="K2535" s="1184"/>
      <c r="L2535" s="1184"/>
      <c r="M2535" s="1184"/>
      <c r="N2535" s="1184"/>
      <c r="O2535" s="1184"/>
      <c r="P2535" s="1184"/>
      <c r="Q2535" s="1184"/>
      <c r="R2535" s="1184"/>
      <c r="S2535" s="1184"/>
      <c r="T2535" s="1184"/>
    </row>
    <row r="2536" spans="1:41" s="501" customFormat="1" ht="12">
      <c r="A2536" s="748"/>
      <c r="B2536" s="749"/>
      <c r="C2536" s="497"/>
      <c r="D2536" s="750"/>
      <c r="E2536" s="751">
        <f ca="1">F2534/$C$12-SUMIF($L2533:$L2561,"SUBI",$E2533:$E2561)</f>
        <v>0</v>
      </c>
      <c r="F2536" s="752" t="s">
        <v>572</v>
      </c>
      <c r="G2536" s="753"/>
      <c r="H2536" s="753"/>
      <c r="I2536" s="754"/>
      <c r="J2536" s="753"/>
      <c r="K2536" s="753"/>
      <c r="L2536" s="755"/>
      <c r="M2536" s="756"/>
      <c r="N2536" s="756"/>
      <c r="O2536" s="756"/>
      <c r="P2536" s="756"/>
      <c r="Q2536" s="757"/>
      <c r="R2536" s="758"/>
      <c r="S2536" s="757"/>
      <c r="T2536" s="759"/>
    </row>
    <row r="2537" spans="1:41" s="501" customFormat="1" ht="12" customHeight="1">
      <c r="A2537" s="760"/>
      <c r="B2537" s="761"/>
      <c r="C2537" s="762"/>
      <c r="D2537" s="762" t="str">
        <f>$F$2</f>
        <v>Electrical</v>
      </c>
      <c r="E2537" s="762">
        <f ca="1">ROUND(($R2549*$S$2 + ($T2549*$T$2)), 2)</f>
        <v>1605.65</v>
      </c>
      <c r="F2537" s="763">
        <f ca="1">$E2537*$C$12</f>
        <v>1605.65</v>
      </c>
      <c r="G2537" s="567"/>
      <c r="H2537" s="764"/>
      <c r="I2537" s="567"/>
      <c r="J2537" s="45"/>
      <c r="K2537" s="765" t="s">
        <v>3</v>
      </c>
      <c r="L2537" s="766" t="s">
        <v>573</v>
      </c>
      <c r="M2537" s="567"/>
      <c r="N2537" s="567"/>
      <c r="O2537" s="45"/>
      <c r="P2537" s="567"/>
      <c r="Q2537" s="567"/>
      <c r="R2537"/>
      <c r="S2537"/>
      <c r="T2537"/>
    </row>
    <row r="2538" spans="1:41" s="935" customFormat="1" ht="13.2">
      <c r="A2538"/>
      <c r="B2538" s="927"/>
      <c r="C2538" s="927" t="s">
        <v>735</v>
      </c>
      <c r="D2538" s="927" t="str">
        <f ca="1">CELL("Address",Elec_Rates!D$143)</f>
        <v>[E25_0465_IH_Retro_Elec4Mech_Est_Rev_A.xlsx]Elec_Rates!$D$143</v>
      </c>
      <c r="E2538" s="928"/>
      <c r="F2538" s="928"/>
      <c r="G2538" s="929" t="s">
        <v>736</v>
      </c>
      <c r="H2538" s="929"/>
      <c r="I2538" s="929"/>
      <c r="J2538" s="929"/>
      <c r="K2538" s="930"/>
      <c r="L2538" s="928"/>
      <c r="M2538" s="928"/>
      <c r="N2538" s="928"/>
      <c r="O2538" s="931"/>
      <c r="P2538" s="928"/>
      <c r="Q2538" s="932"/>
      <c r="R2538" s="933"/>
      <c r="S2538" s="932"/>
      <c r="T2538" s="560"/>
      <c r="U2538" s="934"/>
    </row>
    <row r="2539" spans="1:41" s="935" customFormat="1" ht="11.4">
      <c r="A2539" s="936">
        <v>1</v>
      </c>
      <c r="B2539" s="937">
        <v>1</v>
      </c>
      <c r="C2539" s="937">
        <f>$A2539*$B2539</f>
        <v>1</v>
      </c>
      <c r="D2539" s="938" t="str">
        <f>Elec_Rates!$D$143</f>
        <v>011# Power supply to control panel (4core x 4.0sqmm) and VDS by pass in MCC</v>
      </c>
      <c r="E2539" s="938"/>
      <c r="F2539" s="938" t="s">
        <v>737</v>
      </c>
      <c r="G2539" s="939" t="s">
        <v>738</v>
      </c>
      <c r="H2539" s="939"/>
      <c r="I2539" s="939"/>
      <c r="J2539" s="939"/>
      <c r="K2539" s="940"/>
      <c r="L2539" s="934"/>
      <c r="M2539" s="934"/>
      <c r="N2539" s="934"/>
      <c r="O2539" s="941"/>
      <c r="P2539" s="938"/>
      <c r="Q2539" s="942">
        <f ca="1">$B2539*Elec_Rates!$R$143</f>
        <v>74.239999999999995</v>
      </c>
      <c r="R2539" s="933">
        <f ca="1">$A2539*Q2539</f>
        <v>74.239999999999995</v>
      </c>
      <c r="S2539" s="942">
        <f ca="1">$B2539*Elec_Rates!$T$143</f>
        <v>3.17</v>
      </c>
      <c r="T2539" s="560">
        <f ca="1">$A2539*S2539</f>
        <v>3.17</v>
      </c>
      <c r="U2539" s="484"/>
    </row>
    <row r="2540" spans="1:41" s="935" customFormat="1" ht="13.2">
      <c r="A2540"/>
      <c r="B2540" s="927"/>
      <c r="C2540" s="927" t="s">
        <v>735</v>
      </c>
      <c r="D2540" s="927" t="str">
        <f ca="1">CELL("Address",Elec_Rates!D$196)</f>
        <v>[E25_0465_IH_Retro_Elec4Mech_Est_Rev_A.xlsx]Elec_Rates!$D$196</v>
      </c>
      <c r="E2540" s="928"/>
      <c r="F2540" s="928"/>
      <c r="G2540" s="929" t="s">
        <v>736</v>
      </c>
      <c r="H2540" s="929"/>
      <c r="I2540" s="929"/>
      <c r="J2540" s="929"/>
      <c r="K2540" s="930"/>
      <c r="L2540" s="928"/>
      <c r="M2540" s="928"/>
      <c r="N2540" s="928"/>
      <c r="O2540" s="931"/>
      <c r="P2540" s="928"/>
      <c r="Q2540" s="932"/>
      <c r="R2540" s="933"/>
      <c r="S2540" s="932"/>
      <c r="T2540" s="560"/>
      <c r="U2540" s="934"/>
    </row>
    <row r="2541" spans="1:41" s="935" customFormat="1" ht="11.4">
      <c r="A2541" s="936">
        <v>1</v>
      </c>
      <c r="B2541" s="937">
        <v>1</v>
      </c>
      <c r="C2541" s="937">
        <f>$A2541*$B2541</f>
        <v>1</v>
      </c>
      <c r="D2541" s="938" t="str">
        <f>Elec_Rates!$D$196</f>
        <v>013# Installation of Rosenger control panel</v>
      </c>
      <c r="E2541" s="938"/>
      <c r="F2541" s="938" t="s">
        <v>737</v>
      </c>
      <c r="G2541" s="939" t="s">
        <v>739</v>
      </c>
      <c r="H2541" s="939"/>
      <c r="I2541" s="939"/>
      <c r="J2541" s="939"/>
      <c r="K2541" s="940"/>
      <c r="L2541" s="934"/>
      <c r="M2541" s="934"/>
      <c r="N2541" s="934"/>
      <c r="O2541" s="941"/>
      <c r="P2541" s="938"/>
      <c r="Q2541" s="942">
        <f ca="1">$B2541*Elec_Rates!$R$196</f>
        <v>20</v>
      </c>
      <c r="R2541" s="933">
        <f ca="1">$A2541*Q2541</f>
        <v>20</v>
      </c>
      <c r="S2541" s="942">
        <f ca="1">$B2541*Elec_Rates!$T$196</f>
        <v>2</v>
      </c>
      <c r="T2541" s="560">
        <f ca="1">$A2541*S2541</f>
        <v>2</v>
      </c>
      <c r="U2541" s="484"/>
    </row>
    <row r="2542" spans="1:41" s="935" customFormat="1" ht="13.2">
      <c r="A2542"/>
      <c r="B2542" s="927"/>
      <c r="C2542" s="927" t="s">
        <v>735</v>
      </c>
      <c r="D2542" s="927" t="str">
        <f ca="1">CELL("Address",Elec_Rates!D$203)</f>
        <v>[E25_0465_IH_Retro_Elec4Mech_Est_Rev_A.xlsx]Elec_Rates!$D$203</v>
      </c>
      <c r="E2542" s="928"/>
      <c r="F2542" s="928"/>
      <c r="G2542" s="929" t="s">
        <v>736</v>
      </c>
      <c r="H2542" s="929"/>
      <c r="I2542" s="929"/>
      <c r="J2542" s="929"/>
      <c r="K2542" s="930"/>
      <c r="L2542" s="928"/>
      <c r="M2542" s="928"/>
      <c r="N2542" s="928"/>
      <c r="O2542" s="931"/>
      <c r="P2542" s="928"/>
      <c r="Q2542" s="932"/>
      <c r="R2542" s="933"/>
      <c r="S2542" s="932"/>
      <c r="T2542" s="560"/>
      <c r="U2542" s="934"/>
    </row>
    <row r="2543" spans="1:41" s="935" customFormat="1" ht="11.4">
      <c r="A2543" s="936">
        <v>1</v>
      </c>
      <c r="B2543" s="937">
        <v>1</v>
      </c>
      <c r="C2543" s="937">
        <f>$A2543*$B2543</f>
        <v>1</v>
      </c>
      <c r="D2543" s="938" t="str">
        <f>Elec_Rates!$D$203</f>
        <v>014# Installation of cable harness to fans</v>
      </c>
      <c r="E2543" s="938"/>
      <c r="F2543" s="938" t="s">
        <v>737</v>
      </c>
      <c r="G2543" s="939" t="s">
        <v>738</v>
      </c>
      <c r="H2543" s="939"/>
      <c r="I2543" s="939"/>
      <c r="J2543" s="939"/>
      <c r="K2543" s="940"/>
      <c r="L2543" s="934"/>
      <c r="M2543" s="934"/>
      <c r="N2543" s="934"/>
      <c r="O2543" s="941"/>
      <c r="P2543" s="938"/>
      <c r="Q2543" s="942">
        <f ca="1">$B2543*Elec_Rates!$R$203</f>
        <v>20</v>
      </c>
      <c r="R2543" s="933">
        <f ca="1">$A2543*Q2543</f>
        <v>20</v>
      </c>
      <c r="S2543" s="942">
        <f ca="1">$B2543*Elec_Rates!$T$203</f>
        <v>1</v>
      </c>
      <c r="T2543" s="560">
        <f ca="1">$A2543*S2543</f>
        <v>1</v>
      </c>
      <c r="U2543" s="484"/>
    </row>
    <row r="2544" spans="1:41" s="935" customFormat="1" ht="13.2">
      <c r="A2544"/>
      <c r="B2544" s="927"/>
      <c r="C2544" s="927" t="s">
        <v>735</v>
      </c>
      <c r="D2544" s="927" t="str">
        <f ca="1">CELL("Address",Elec_Rates!D$210)</f>
        <v>[E25_0465_IH_Retro_Elec4Mech_Est_Rev_A.xlsx]Elec_Rates!$D$210</v>
      </c>
      <c r="E2544" s="928"/>
      <c r="F2544" s="928"/>
      <c r="G2544" s="929" t="s">
        <v>736</v>
      </c>
      <c r="H2544" s="929"/>
      <c r="I2544" s="929"/>
      <c r="J2544" s="929"/>
      <c r="K2544" s="930"/>
      <c r="L2544" s="928"/>
      <c r="M2544" s="928"/>
      <c r="N2544" s="928"/>
      <c r="O2544" s="931"/>
      <c r="P2544" s="928"/>
      <c r="Q2544" s="932"/>
      <c r="R2544" s="933"/>
      <c r="S2544" s="932"/>
      <c r="T2544" s="560"/>
      <c r="U2544" s="934"/>
    </row>
    <row r="2545" spans="1:33" s="935" customFormat="1" ht="11.4">
      <c r="A2545" s="936">
        <v>1</v>
      </c>
      <c r="B2545" s="937">
        <v>1</v>
      </c>
      <c r="C2545" s="937">
        <f>$A2545*$B2545</f>
        <v>1</v>
      </c>
      <c r="D2545" s="938" t="str">
        <f>Elec_Rates!$D$210</f>
        <v>015# Installation of control panels by ECA</v>
      </c>
      <c r="E2545" s="938"/>
      <c r="F2545" s="938" t="s">
        <v>737</v>
      </c>
      <c r="G2545" s="939" t="s">
        <v>739</v>
      </c>
      <c r="H2545" s="939"/>
      <c r="I2545" s="939"/>
      <c r="J2545" s="939"/>
      <c r="K2545" s="940"/>
      <c r="L2545" s="934"/>
      <c r="M2545" s="934"/>
      <c r="N2545" s="934"/>
      <c r="O2545" s="941"/>
      <c r="P2545" s="938"/>
      <c r="Q2545" s="942">
        <f ca="1">$B2545*Elec_Rates!$R$210</f>
        <v>30</v>
      </c>
      <c r="R2545" s="933">
        <f ca="1">$A2545*Q2545</f>
        <v>30</v>
      </c>
      <c r="S2545" s="942">
        <f ca="1">$B2545*Elec_Rates!$T$210</f>
        <v>1</v>
      </c>
      <c r="T2545" s="560">
        <f ca="1">$A2545*S2545</f>
        <v>1</v>
      </c>
      <c r="U2545" s="484"/>
    </row>
    <row r="2546" spans="1:33" s="935" customFormat="1" ht="13.2">
      <c r="A2546"/>
      <c r="B2546" s="927"/>
      <c r="C2546" s="927" t="s">
        <v>735</v>
      </c>
      <c r="D2546" s="927" t="str">
        <f ca="1">CELL("Address",Elec_Rates!D$217)</f>
        <v>[E25_0465_IH_Retro_Elec4Mech_Est_Rev_A.xlsx]Elec_Rates!$D$217</v>
      </c>
      <c r="E2546" s="928"/>
      <c r="F2546" s="928"/>
      <c r="G2546" s="929" t="s">
        <v>736</v>
      </c>
      <c r="H2546" s="929"/>
      <c r="I2546" s="929"/>
      <c r="J2546" s="929"/>
      <c r="K2546" s="930"/>
      <c r="L2546" s="928"/>
      <c r="M2546" s="928"/>
      <c r="N2546" s="928"/>
      <c r="O2546" s="931"/>
      <c r="P2546" s="928"/>
      <c r="Q2546" s="932"/>
      <c r="R2546" s="933"/>
      <c r="S2546" s="932"/>
      <c r="T2546" s="560"/>
      <c r="U2546" s="934"/>
    </row>
    <row r="2547" spans="1:33" s="935" customFormat="1" ht="11.4">
      <c r="A2547" s="936">
        <v>1</v>
      </c>
      <c r="B2547" s="937">
        <v>1</v>
      </c>
      <c r="C2547" s="937">
        <f>$A2547*$B2547</f>
        <v>1</v>
      </c>
      <c r="D2547" s="938" t="str">
        <f>Elec_Rates!$D$217</f>
        <v>016# Installation of sensors on AHUs</v>
      </c>
      <c r="E2547" s="938"/>
      <c r="F2547" s="938" t="s">
        <v>737</v>
      </c>
      <c r="G2547" s="939" t="s">
        <v>738</v>
      </c>
      <c r="H2547" s="939"/>
      <c r="I2547" s="939"/>
      <c r="J2547" s="939"/>
      <c r="K2547" s="940"/>
      <c r="L2547" s="934"/>
      <c r="M2547" s="934"/>
      <c r="N2547" s="934"/>
      <c r="O2547" s="941"/>
      <c r="P2547" s="938"/>
      <c r="Q2547" s="942">
        <f ca="1">$B2547*Elec_Rates!$R$217</f>
        <v>354.24</v>
      </c>
      <c r="R2547" s="933">
        <f ca="1">$A2547*Q2547</f>
        <v>354.24</v>
      </c>
      <c r="S2547" s="942">
        <f ca="1">$B2547*Elec_Rates!$T$217</f>
        <v>17.989999999999998</v>
      </c>
      <c r="T2547" s="560">
        <f ca="1">$A2547*S2547</f>
        <v>17.989999999999998</v>
      </c>
      <c r="U2547" s="484"/>
    </row>
    <row r="2548" spans="1:33" s="501" customFormat="1" ht="14.4" customHeight="1">
      <c r="A2548" s="767"/>
      <c r="B2548" s="567"/>
      <c r="C2548" s="567"/>
      <c r="D2548" s="567"/>
      <c r="E2548" s="567"/>
      <c r="F2548" s="567"/>
      <c r="G2548" s="567"/>
      <c r="H2548" s="764"/>
      <c r="I2548" s="567"/>
      <c r="J2548" s="45"/>
      <c r="K2548" s="769"/>
      <c r="L2548" s="770"/>
      <c r="M2548" s="567"/>
      <c r="N2548" s="567"/>
      <c r="O2548" s="45"/>
      <c r="P2548" s="567"/>
      <c r="Q2548" s="567"/>
      <c r="R2548" s="771">
        <f>$A2548*Q2548</f>
        <v>0</v>
      </c>
      <c r="S2548" s="567"/>
      <c r="T2548" s="500">
        <f>$A2548*S2548*$T$1</f>
        <v>0</v>
      </c>
    </row>
    <row r="2549" spans="1:33" s="501" customFormat="1" ht="12">
      <c r="A2549" s="772" t="s">
        <v>145</v>
      </c>
      <c r="B2549" s="773">
        <f>(R2548+T2548)</f>
        <v>0</v>
      </c>
      <c r="C2549" s="753"/>
      <c r="G2549" s="774"/>
      <c r="H2549" s="774"/>
      <c r="I2549" s="774"/>
      <c r="J2549" s="774"/>
      <c r="K2549" s="750" t="s">
        <v>3</v>
      </c>
      <c r="L2549" s="775" t="s">
        <v>573</v>
      </c>
      <c r="M2549" s="774"/>
      <c r="N2549" s="774"/>
      <c r="O2549" s="774"/>
      <c r="P2549" s="774"/>
      <c r="Q2549" s="776"/>
      <c r="R2549" s="777">
        <f ca="1">SUM(R2537:R2548)</f>
        <v>498.48</v>
      </c>
      <c r="S2549" s="778"/>
      <c r="T2549" s="777">
        <f ca="1">SUM(T2537:T2548)</f>
        <v>25.159999999999997</v>
      </c>
      <c r="AG2549" s="779">
        <f ca="1">ROUND($R2549*$S$2,2)</f>
        <v>672.95</v>
      </c>
    </row>
    <row r="2550" spans="1:33" s="501" customFormat="1" ht="12" customHeight="1">
      <c r="A2550" s="760"/>
      <c r="B2550" s="780"/>
      <c r="C2550" s="781"/>
      <c r="D2550" s="782" t="str">
        <f>$F$3</f>
        <v>Technician</v>
      </c>
      <c r="E2550" s="782">
        <f>ROUND(($R2554*$S$3 + ($T2554*$T$3)), 2)</f>
        <v>3739.18</v>
      </c>
      <c r="F2550" s="783">
        <f>$E2550*$C$12</f>
        <v>3739.18</v>
      </c>
      <c r="G2550" s="499"/>
      <c r="H2550" s="499"/>
      <c r="I2550" s="499"/>
      <c r="J2550" s="499"/>
      <c r="K2550" s="765" t="s">
        <v>5</v>
      </c>
      <c r="L2550" s="766" t="s">
        <v>573</v>
      </c>
      <c r="M2550" s="499"/>
      <c r="N2550" s="499"/>
      <c r="O2550" s="499"/>
      <c r="P2550" s="499"/>
      <c r="Q2550" s="499"/>
      <c r="R2550" s="784"/>
      <c r="S2550" s="499"/>
      <c r="T2550" s="784"/>
    </row>
    <row r="2551" spans="1:33" s="893" customFormat="1" ht="13.2">
      <c r="A2551">
        <v>1</v>
      </c>
      <c r="B2551" s="893" t="s">
        <v>141</v>
      </c>
      <c r="D2551" s="893" t="s">
        <v>767</v>
      </c>
      <c r="E2551" s="893" t="s">
        <v>770</v>
      </c>
      <c r="F2551" s="893" t="s">
        <v>769</v>
      </c>
      <c r="G2551" s="894" t="s">
        <v>768</v>
      </c>
      <c r="H2551" s="895">
        <v>570</v>
      </c>
      <c r="I2551" s="893" t="s">
        <v>643</v>
      </c>
      <c r="O2551" s="896">
        <v>2</v>
      </c>
      <c r="P2551" s="897">
        <v>38443</v>
      </c>
      <c r="Q2551" s="898">
        <v>2500</v>
      </c>
      <c r="R2551" s="899">
        <f>$A2551*Q2551</f>
        <v>2500</v>
      </c>
      <c r="S2551" s="898">
        <f>200/25</f>
        <v>8</v>
      </c>
      <c r="T2551" s="900">
        <f>$A2551*S2551*$T$1</f>
        <v>8</v>
      </c>
    </row>
    <row r="2552" spans="1:33" s="501" customFormat="1" ht="15.6" customHeight="1">
      <c r="A2552" s="767"/>
      <c r="B2552" s="567"/>
      <c r="C2552" s="567"/>
      <c r="D2552" s="567"/>
      <c r="E2552" s="567"/>
      <c r="F2552" s="567"/>
      <c r="G2552" s="567"/>
      <c r="H2552" s="567"/>
      <c r="I2552" s="567"/>
      <c r="J2552" s="567"/>
      <c r="K2552" s="567"/>
      <c r="L2552" s="770"/>
      <c r="M2552" s="567"/>
      <c r="N2552" s="567"/>
      <c r="O2552" s="567"/>
      <c r="P2552" s="567"/>
      <c r="Q2552" s="567"/>
      <c r="R2552" s="771">
        <f>$A2552*Q2552</f>
        <v>0</v>
      </c>
      <c r="S2552" s="567"/>
      <c r="T2552" s="500">
        <f>$A2552*S2552*$T$1</f>
        <v>0</v>
      </c>
    </row>
    <row r="2553" spans="1:33" s="501" customFormat="1" ht="15.6" customHeight="1">
      <c r="A2553" s="767"/>
      <c r="B2553" s="567"/>
      <c r="C2553" s="567"/>
      <c r="D2553" s="3"/>
      <c r="E2553" s="567"/>
      <c r="F2553" s="567"/>
      <c r="G2553" s="567"/>
      <c r="H2553" s="567"/>
      <c r="I2553" s="567"/>
      <c r="J2553" s="567"/>
      <c r="K2553" s="567"/>
      <c r="L2553" s="770"/>
      <c r="M2553" s="567"/>
      <c r="N2553" s="567"/>
      <c r="O2553" s="567"/>
      <c r="P2553" s="567"/>
      <c r="Q2553" s="567"/>
      <c r="R2553" s="771">
        <f>$A2553*Q2553</f>
        <v>0</v>
      </c>
      <c r="S2553" s="567"/>
      <c r="T2553" s="500">
        <f>$A2553*S2553*$T$1</f>
        <v>0</v>
      </c>
    </row>
    <row r="2554" spans="1:33" s="501" customFormat="1" ht="12">
      <c r="A2554" s="772" t="s">
        <v>145</v>
      </c>
      <c r="B2554" s="773">
        <f>(R2553+T2553)</f>
        <v>0</v>
      </c>
      <c r="C2554" s="753"/>
      <c r="G2554" s="774"/>
      <c r="H2554" s="774"/>
      <c r="I2554" s="774"/>
      <c r="J2554" s="774"/>
      <c r="K2554" s="798" t="s">
        <v>5</v>
      </c>
      <c r="L2554" s="775" t="s">
        <v>573</v>
      </c>
      <c r="M2554" s="774"/>
      <c r="N2554" s="774"/>
      <c r="O2554" s="774"/>
      <c r="P2554" s="774"/>
      <c r="Q2554" s="776"/>
      <c r="R2554" s="777">
        <f>SUM(R2550:R2553)</f>
        <v>2500</v>
      </c>
      <c r="S2554" s="778"/>
      <c r="T2554" s="777">
        <f>SUM(T2550:T2553)</f>
        <v>8</v>
      </c>
      <c r="AG2554" s="799">
        <f>ROUND($R2554*$S$3,2)</f>
        <v>3375</v>
      </c>
    </row>
    <row r="2555" spans="1:33" s="501" customFormat="1" ht="12" customHeight="1">
      <c r="A2555" s="800"/>
      <c r="B2555" s="801"/>
      <c r="C2555" s="802"/>
      <c r="D2555" s="803" t="str">
        <f>$F$4</f>
        <v>Engineer (Man Hours)</v>
      </c>
      <c r="E2555" s="803">
        <f>ROUND(($R2559*$S$4 + ($T2559*$T$4)), 2)</f>
        <v>162</v>
      </c>
      <c r="F2555" s="804">
        <f ca="1">$F2534-SUMIF($L2536:$P2552,"SUBI",$F2536:$F2552)</f>
        <v>162</v>
      </c>
      <c r="G2555" s="499"/>
      <c r="H2555" s="499"/>
      <c r="I2555" s="499"/>
      <c r="J2555" s="499"/>
      <c r="K2555" s="805" t="s">
        <v>8</v>
      </c>
      <c r="L2555" s="766" t="s">
        <v>573</v>
      </c>
      <c r="M2555" s="499"/>
      <c r="N2555" s="499"/>
      <c r="O2555" s="499"/>
      <c r="P2555" s="499"/>
      <c r="Q2555" s="499"/>
      <c r="R2555" s="784"/>
      <c r="S2555" s="499"/>
      <c r="T2555" s="784"/>
    </row>
    <row r="2556" spans="1:33" s="893" customFormat="1" ht="13.2">
      <c r="A2556">
        <v>1</v>
      </c>
      <c r="B2556" s="893" t="s">
        <v>141</v>
      </c>
      <c r="D2556" s="893" t="s">
        <v>767</v>
      </c>
      <c r="E2556" s="893" t="s">
        <v>771</v>
      </c>
      <c r="F2556" s="893" t="s">
        <v>769</v>
      </c>
      <c r="G2556" s="894" t="s">
        <v>768</v>
      </c>
      <c r="H2556" s="895">
        <v>570</v>
      </c>
      <c r="I2556" s="893" t="s">
        <v>643</v>
      </c>
      <c r="O2556" s="896">
        <v>2</v>
      </c>
      <c r="P2556" s="897">
        <v>38443</v>
      </c>
      <c r="Q2556" s="898"/>
      <c r="R2556" s="899">
        <f>$A2556*Q2556</f>
        <v>0</v>
      </c>
      <c r="S2556" s="898">
        <f>100/25</f>
        <v>4</v>
      </c>
      <c r="T2556" s="900">
        <f>$A2556*S2556*$T$1</f>
        <v>4</v>
      </c>
    </row>
    <row r="2557" spans="1:33" s="501" customFormat="1" ht="12">
      <c r="A2557" s="44"/>
      <c r="B2557" s="497"/>
      <c r="C2557" s="497"/>
      <c r="D2557" s="807"/>
      <c r="E2557" s="808"/>
      <c r="F2557" s="499"/>
      <c r="G2557" s="499"/>
      <c r="H2557" s="499"/>
      <c r="I2557" s="499"/>
      <c r="J2557" s="499"/>
      <c r="K2557" s="499"/>
      <c r="L2557" s="809"/>
      <c r="M2557" s="499"/>
      <c r="N2557" s="499"/>
      <c r="O2557" s="499"/>
      <c r="P2557" s="499"/>
      <c r="Q2557" s="499"/>
      <c r="R2557" s="720">
        <f>$A2557*Q2557</f>
        <v>0</v>
      </c>
      <c r="S2557" s="499"/>
      <c r="T2557" s="500">
        <f>$A2557*S2557*$T$1</f>
        <v>0</v>
      </c>
    </row>
    <row r="2558" spans="1:33" s="501" customFormat="1" ht="12">
      <c r="A2558" s="44"/>
      <c r="B2558" s="497"/>
      <c r="C2558" s="497"/>
      <c r="D2558" s="807"/>
      <c r="E2558" s="808"/>
      <c r="F2558" s="499"/>
      <c r="G2558" s="499"/>
      <c r="H2558" s="499"/>
      <c r="I2558" s="499"/>
      <c r="J2558" s="499"/>
      <c r="K2558" s="499"/>
      <c r="L2558" s="809"/>
      <c r="M2558" s="499"/>
      <c r="N2558" s="499"/>
      <c r="O2558" s="499"/>
      <c r="P2558" s="499"/>
      <c r="Q2558" s="499"/>
      <c r="R2558" s="720">
        <f>$A2558*Q2558</f>
        <v>0</v>
      </c>
      <c r="S2558" s="499"/>
      <c r="T2558" s="500">
        <f>$A2558*S2558*$T$1</f>
        <v>0</v>
      </c>
    </row>
    <row r="2559" spans="1:33" s="501" customFormat="1" ht="12.75" customHeight="1">
      <c r="A2559" s="772" t="s">
        <v>145</v>
      </c>
      <c r="B2559" s="773">
        <f>(R2558+T2558)</f>
        <v>0</v>
      </c>
      <c r="C2559" s="810"/>
      <c r="D2559" s="810"/>
      <c r="E2559" s="810"/>
      <c r="F2559" s="810"/>
      <c r="G2559" s="776"/>
      <c r="H2559" s="776"/>
      <c r="I2559" s="776"/>
      <c r="J2559" s="776"/>
      <c r="K2559" s="798" t="s">
        <v>8</v>
      </c>
      <c r="L2559" s="811" t="s">
        <v>573</v>
      </c>
      <c r="M2559" s="776"/>
      <c r="N2559" s="776"/>
      <c r="O2559" s="776"/>
      <c r="P2559" s="776"/>
      <c r="Q2559" s="776"/>
      <c r="R2559" s="777">
        <f>SUM(R2555:R2558)</f>
        <v>0</v>
      </c>
      <c r="S2559" s="778"/>
      <c r="T2559" s="777">
        <f>SUM(T2555:T2558)</f>
        <v>4</v>
      </c>
      <c r="AG2559" s="812">
        <f>ROUND($R2559*$S$4,2)</f>
        <v>0</v>
      </c>
    </row>
    <row r="2560" spans="1:33" s="501" customFormat="1" ht="12.75" customHeight="1">
      <c r="A2560" s="813"/>
      <c r="B2560" s="814"/>
      <c r="E2560" s="497"/>
      <c r="F2560" s="808"/>
      <c r="G2560" s="497"/>
      <c r="H2560" s="497"/>
      <c r="I2560" s="499"/>
      <c r="J2560" s="497"/>
      <c r="K2560" s="497"/>
      <c r="L2560" s="815"/>
      <c r="M2560" s="725"/>
      <c r="N2560" s="725"/>
      <c r="O2560" s="725"/>
      <c r="P2560" s="725"/>
      <c r="Q2560" s="726"/>
      <c r="R2560" s="784"/>
      <c r="S2560" s="497"/>
      <c r="T2560" s="784"/>
    </row>
    <row r="2561" spans="1:41" s="501" customFormat="1" ht="13.5" customHeight="1" thickBot="1">
      <c r="A2561" s="816"/>
      <c r="B2561" s="817"/>
      <c r="C2561" s="518"/>
      <c r="D2561" s="518"/>
      <c r="E2561" s="515"/>
      <c r="F2561" s="721"/>
      <c r="G2561" s="515" t="s">
        <v>146</v>
      </c>
      <c r="H2561" s="515"/>
      <c r="I2561" s="516"/>
      <c r="J2561" s="515"/>
      <c r="K2561" s="515"/>
      <c r="L2561" s="818" t="s">
        <v>143</v>
      </c>
      <c r="M2561" s="517"/>
      <c r="N2561" s="517"/>
      <c r="O2561" s="517"/>
      <c r="P2561" s="517"/>
      <c r="Q2561" s="722"/>
      <c r="R2561" s="819">
        <f ca="1">SUMIF($L2535:$L2560,"SUBI",R2535:R2560)</f>
        <v>2998.48</v>
      </c>
      <c r="S2561" s="820"/>
      <c r="T2561" s="819">
        <f ca="1">SUMIF($L2535:$L2560,"SUBI",T2535:T2560)</f>
        <v>37.159999999999997</v>
      </c>
      <c r="U2561" s="518"/>
      <c r="V2561" s="518"/>
      <c r="W2561" s="518"/>
      <c r="X2561" s="518"/>
      <c r="Y2561" s="518"/>
      <c r="Z2561" s="518"/>
      <c r="AA2561" s="518"/>
      <c r="AB2561" s="518"/>
      <c r="AC2561" s="518"/>
      <c r="AD2561" s="518"/>
      <c r="AE2561" s="518"/>
      <c r="AF2561" s="518"/>
      <c r="AG2561" s="518"/>
      <c r="AH2561" s="518"/>
      <c r="AI2561" s="518"/>
      <c r="AJ2561" s="518"/>
      <c r="AK2561" s="518"/>
      <c r="AL2561" s="518"/>
      <c r="AM2561" s="518"/>
      <c r="AN2561" s="518"/>
      <c r="AO2561" s="518"/>
    </row>
    <row r="2562" spans="1:41" s="501" customFormat="1" thickTop="1">
      <c r="A2562" s="44"/>
      <c r="B2562" s="44"/>
      <c r="C2562" s="3"/>
      <c r="D2562" s="3"/>
      <c r="E2562" s="44"/>
      <c r="F2562" s="44"/>
      <c r="G2562" s="44"/>
      <c r="H2562" s="44"/>
      <c r="I2562" s="44"/>
      <c r="J2562" s="44"/>
      <c r="K2562" s="44" t="s">
        <v>134</v>
      </c>
      <c r="L2562" s="44"/>
      <c r="M2562" s="44"/>
      <c r="N2562" s="44"/>
      <c r="O2562" s="45"/>
      <c r="P2562" s="44"/>
      <c r="Q2562" s="44"/>
      <c r="R2562" s="44"/>
      <c r="S2562" s="44"/>
      <c r="T2562" s="44"/>
    </row>
    <row r="2563" spans="1:41" s="501" customFormat="1" ht="12">
      <c r="A2563" s="44"/>
      <c r="B2563" s="44"/>
      <c r="C2563" s="44" t="s">
        <v>135</v>
      </c>
      <c r="D2563" s="35"/>
      <c r="E2563" s="44"/>
      <c r="F2563" s="44"/>
      <c r="G2563" s="44"/>
      <c r="H2563" s="44"/>
      <c r="I2563" s="44"/>
      <c r="J2563" s="44"/>
      <c r="K2563" s="44"/>
      <c r="L2563" s="44"/>
      <c r="M2563" s="44"/>
      <c r="N2563" s="44"/>
      <c r="O2563" s="45"/>
      <c r="P2563" s="44"/>
      <c r="Q2563" s="44"/>
      <c r="R2563" s="44"/>
      <c r="S2563" s="44"/>
      <c r="T2563" s="44"/>
    </row>
    <row r="2564" spans="1:41" s="501" customFormat="1" ht="12">
      <c r="A2564" s="44"/>
      <c r="B2564" s="44"/>
      <c r="C2564" s="44"/>
      <c r="D2564" s="35" t="s">
        <v>543</v>
      </c>
      <c r="E2564" s="44"/>
      <c r="F2564" s="44"/>
      <c r="G2564" s="44"/>
      <c r="H2564" s="44"/>
      <c r="I2564" s="44"/>
      <c r="J2564" s="44"/>
      <c r="K2564" s="44"/>
      <c r="L2564" s="44"/>
      <c r="M2564" s="44"/>
      <c r="N2564" s="44"/>
      <c r="O2564" s="45"/>
      <c r="P2564" s="44"/>
      <c r="Q2564" s="44"/>
      <c r="R2564" s="44"/>
      <c r="S2564" s="36"/>
      <c r="T2564" s="36"/>
    </row>
    <row r="2565" spans="1:41" s="3" customFormat="1" thickBot="1">
      <c r="A2565" s="518"/>
      <c r="O2565" s="86"/>
    </row>
    <row r="2566" spans="1:41" s="501" customFormat="1" thickTop="1">
      <c r="A2566" s="44"/>
      <c r="B2566" s="39"/>
      <c r="C2566" s="44"/>
      <c r="E2566" s="40" t="s">
        <v>138</v>
      </c>
      <c r="F2566" s="40" t="s">
        <v>139</v>
      </c>
      <c r="G2566" s="44"/>
      <c r="H2566" s="44"/>
      <c r="I2566" s="44"/>
      <c r="J2566" s="44"/>
      <c r="K2566" s="44" t="s">
        <v>140</v>
      </c>
      <c r="L2566" s="737"/>
      <c r="M2566" s="44"/>
      <c r="N2566" s="44"/>
      <c r="O2566" s="45"/>
      <c r="P2566" s="44"/>
      <c r="Q2566"/>
      <c r="R2566"/>
      <c r="S2566"/>
      <c r="T2566" s="39"/>
      <c r="AG2566" s="502" t="s">
        <v>247</v>
      </c>
      <c r="AH2566" s="502" t="s">
        <v>248</v>
      </c>
      <c r="AI2566" s="502" t="s">
        <v>249</v>
      </c>
      <c r="AJ2566" s="502" t="s">
        <v>250</v>
      </c>
      <c r="AK2566" s="502" t="s">
        <v>251</v>
      </c>
      <c r="AM2566" s="710" t="s">
        <v>260</v>
      </c>
      <c r="AN2566" s="711" t="s">
        <v>261</v>
      </c>
      <c r="AO2566" s="503" t="s">
        <v>257</v>
      </c>
    </row>
    <row r="2567" spans="1:41" s="501" customFormat="1" ht="13.2">
      <c r="A2567" s="712">
        <v>1</v>
      </c>
      <c r="B2567" s="504" t="s">
        <v>283</v>
      </c>
      <c r="C2567" s="505"/>
      <c r="D2567" s="713" t="s">
        <v>625</v>
      </c>
      <c r="E2567" s="738">
        <f>IF(AND($A2567=0,$A$1="DIF"),0,ROUND(ROUND(SUMIF($L2569:$L2580,"SUBI",$E2569:$E2580)/$A2567,2)*$C$12,2))</f>
        <v>0</v>
      </c>
      <c r="F2567" s="739">
        <f>ROUND($A2567*$E2567,2)</f>
        <v>0</v>
      </c>
      <c r="G2567" s="506" t="s">
        <v>142</v>
      </c>
      <c r="H2567" s="498"/>
      <c r="I2567" s="716"/>
      <c r="J2567" s="498"/>
      <c r="K2567" s="740"/>
      <c r="L2567" s="741" t="s">
        <v>143</v>
      </c>
      <c r="M2567" s="717"/>
      <c r="N2567" s="717"/>
      <c r="O2567" s="717"/>
      <c r="P2567" s="717"/>
      <c r="Q2567" s="943" t="s">
        <v>855</v>
      </c>
      <c r="R2567" s="943" t="s">
        <v>772</v>
      </c>
      <c r="S2567"/>
      <c r="T2567" s="742" t="str">
        <f>IF(AND($R2586=0,$T2586=0),"0.00","mu :" &amp; ROUND($F2567/$C$12/($R2586+$T2586*$D$9),2))</f>
        <v>0.00</v>
      </c>
      <c r="W2567" s="507"/>
      <c r="AG2567" s="743">
        <f>IF(A2567=0,0,ROUND(SUM(AG2569:AG2586)/A2567,2))</f>
        <v>0</v>
      </c>
      <c r="AH2567" s="743">
        <f>$AG2567*$A2567</f>
        <v>0</v>
      </c>
      <c r="AI2567" s="743">
        <f>$E2567-$AG2567</f>
        <v>0</v>
      </c>
      <c r="AJ2567" s="743">
        <f>$A2567*$AI2567</f>
        <v>0</v>
      </c>
      <c r="AK2567" s="744">
        <f>ROUND(($AG2567+$AI2567)*$A2567,2)</f>
        <v>0</v>
      </c>
      <c r="AM2567" s="510">
        <f>ROUND(R2586,2)</f>
        <v>0</v>
      </c>
      <c r="AN2567" s="511">
        <f>ROUND(T2586,2)</f>
        <v>0</v>
      </c>
      <c r="AO2567" s="512">
        <f>ROUND(AM2567+AN2567,2)*A2567</f>
        <v>0</v>
      </c>
    </row>
    <row r="2568" spans="1:41" s="501" customFormat="1" ht="39.9" customHeight="1">
      <c r="A2568" s="745"/>
      <c r="B2568" s="746"/>
      <c r="C2568" s="505"/>
      <c r="D2568" s="1183" t="s">
        <v>544</v>
      </c>
      <c r="E2568" s="1184"/>
      <c r="F2568" s="1184"/>
      <c r="G2568" s="1184"/>
      <c r="H2568" s="1184"/>
      <c r="I2568" s="1184"/>
      <c r="J2568" s="1184"/>
      <c r="K2568" s="1184"/>
      <c r="L2568" s="1184"/>
      <c r="M2568" s="1184"/>
      <c r="N2568" s="1184"/>
      <c r="O2568" s="1184"/>
      <c r="P2568" s="1184"/>
      <c r="Q2568" s="1184"/>
      <c r="R2568" s="1184"/>
      <c r="S2568" s="1184"/>
      <c r="T2568" s="1184"/>
    </row>
    <row r="2569" spans="1:41" s="501" customFormat="1" ht="12">
      <c r="A2569" s="748"/>
      <c r="B2569" s="749"/>
      <c r="C2569" s="497"/>
      <c r="D2569" s="750"/>
      <c r="E2569" s="751">
        <f>F2567/$C$12-SUMIF($L2566:$L2586,"SUBI",$E2566:$E2586)</f>
        <v>0</v>
      </c>
      <c r="F2569" s="752" t="s">
        <v>572</v>
      </c>
      <c r="G2569" s="753"/>
      <c r="H2569" s="753"/>
      <c r="I2569" s="754"/>
      <c r="J2569" s="753"/>
      <c r="K2569" s="753"/>
      <c r="L2569" s="755"/>
      <c r="M2569" s="756"/>
      <c r="N2569" s="756"/>
      <c r="O2569" s="756"/>
      <c r="P2569" s="756"/>
      <c r="Q2569" s="757"/>
      <c r="R2569" s="758"/>
      <c r="S2569" s="757"/>
      <c r="T2569" s="759"/>
    </row>
    <row r="2570" spans="1:41" s="501" customFormat="1" ht="12" customHeight="1">
      <c r="A2570" s="760"/>
      <c r="B2570" s="761"/>
      <c r="C2570" s="762"/>
      <c r="D2570" s="762" t="str">
        <f>$F$2</f>
        <v>Electrical</v>
      </c>
      <c r="E2570" s="762">
        <f>ROUND(($R2574*$S$2 + ($T2574*$T$2)), 2)</f>
        <v>0</v>
      </c>
      <c r="F2570" s="763">
        <f>$E2570*$C$12</f>
        <v>0</v>
      </c>
      <c r="G2570" s="567"/>
      <c r="H2570" s="764"/>
      <c r="I2570" s="567"/>
      <c r="J2570" s="45"/>
      <c r="K2570" s="765" t="s">
        <v>3</v>
      </c>
      <c r="L2570" s="766" t="s">
        <v>573</v>
      </c>
      <c r="M2570" s="567"/>
      <c r="N2570" s="567"/>
      <c r="O2570" s="45"/>
      <c r="P2570" s="567"/>
      <c r="Q2570" s="567"/>
      <c r="R2570"/>
      <c r="S2570"/>
      <c r="T2570"/>
    </row>
    <row r="2571" spans="1:41" s="501" customFormat="1" ht="14.4" customHeight="1">
      <c r="A2571" s="767"/>
      <c r="B2571" s="768" t="s">
        <v>574</v>
      </c>
      <c r="C2571" s="567"/>
      <c r="D2571" s="567"/>
      <c r="E2571" s="567"/>
      <c r="F2571" s="567"/>
      <c r="G2571" s="567"/>
      <c r="H2571" s="764"/>
      <c r="I2571" s="567"/>
      <c r="J2571" s="45"/>
      <c r="K2571" s="769"/>
      <c r="L2571" s="770"/>
      <c r="M2571" s="567"/>
      <c r="N2571" s="567"/>
      <c r="O2571" s="45"/>
      <c r="P2571" s="567"/>
      <c r="Q2571" s="567"/>
      <c r="R2571" s="771">
        <f>$A2571*Q2571</f>
        <v>0</v>
      </c>
      <c r="S2571" s="567"/>
      <c r="T2571" s="500">
        <f>$A2571*S2571*$T$1</f>
        <v>0</v>
      </c>
    </row>
    <row r="2572" spans="1:41" s="501" customFormat="1" ht="14.4" customHeight="1">
      <c r="A2572" s="767"/>
      <c r="B2572" s="567"/>
      <c r="C2572" s="567"/>
      <c r="D2572" s="567"/>
      <c r="E2572" s="567"/>
      <c r="F2572" s="567"/>
      <c r="G2572" s="567"/>
      <c r="H2572" s="764"/>
      <c r="I2572" s="567"/>
      <c r="J2572" s="45"/>
      <c r="K2572" s="769"/>
      <c r="L2572" s="770"/>
      <c r="M2572" s="567"/>
      <c r="N2572" s="567"/>
      <c r="O2572" s="45"/>
      <c r="P2572" s="567"/>
      <c r="Q2572" s="567"/>
      <c r="R2572" s="771">
        <f>$A2572*Q2572</f>
        <v>0</v>
      </c>
      <c r="S2572" s="567"/>
      <c r="T2572" s="500">
        <f>$A2572*S2572*$T$1</f>
        <v>0</v>
      </c>
    </row>
    <row r="2573" spans="1:41" s="501" customFormat="1" ht="14.4" customHeight="1">
      <c r="A2573" s="767"/>
      <c r="B2573" s="567"/>
      <c r="C2573" s="567"/>
      <c r="D2573" s="567"/>
      <c r="E2573" s="567"/>
      <c r="F2573" s="567"/>
      <c r="G2573" s="567"/>
      <c r="H2573" s="764"/>
      <c r="I2573" s="567"/>
      <c r="J2573" s="45"/>
      <c r="K2573" s="769"/>
      <c r="L2573" s="770"/>
      <c r="M2573" s="567"/>
      <c r="N2573" s="567"/>
      <c r="O2573" s="45"/>
      <c r="P2573" s="567"/>
      <c r="Q2573" s="567"/>
      <c r="R2573" s="771">
        <f>$A2573*Q2573</f>
        <v>0</v>
      </c>
      <c r="S2573" s="567"/>
      <c r="T2573" s="500">
        <f>$A2573*S2573*$T$1</f>
        <v>0</v>
      </c>
    </row>
    <row r="2574" spans="1:41" s="501" customFormat="1" ht="12">
      <c r="A2574" s="772" t="s">
        <v>145</v>
      </c>
      <c r="B2574" s="773">
        <f>(R2573+T2573)</f>
        <v>0</v>
      </c>
      <c r="C2574" s="753"/>
      <c r="G2574" s="774"/>
      <c r="H2574" s="774"/>
      <c r="I2574" s="774"/>
      <c r="J2574" s="774"/>
      <c r="K2574" s="750" t="s">
        <v>3</v>
      </c>
      <c r="L2574" s="775" t="s">
        <v>573</v>
      </c>
      <c r="M2574" s="774"/>
      <c r="N2574" s="774"/>
      <c r="O2574" s="774"/>
      <c r="P2574" s="774"/>
      <c r="Q2574" s="776"/>
      <c r="R2574" s="777">
        <f>SUM(R2570:R2573)</f>
        <v>0</v>
      </c>
      <c r="S2574" s="778"/>
      <c r="T2574" s="777">
        <f>SUM(T2570:T2573)</f>
        <v>0</v>
      </c>
      <c r="AG2574" s="779">
        <f>ROUND($R2574*$S$2,2)</f>
        <v>0</v>
      </c>
    </row>
    <row r="2575" spans="1:41" s="501" customFormat="1" ht="12" customHeight="1">
      <c r="A2575" s="760"/>
      <c r="B2575" s="780"/>
      <c r="C2575" s="781"/>
      <c r="D2575" s="782" t="str">
        <f>$F$3</f>
        <v>Technician</v>
      </c>
      <c r="E2575" s="782">
        <f>ROUND(($R2579*$S$3 + ($T2579*$T$3)), 2)</f>
        <v>0</v>
      </c>
      <c r="F2575" s="783">
        <f>$E2575*$C$12</f>
        <v>0</v>
      </c>
      <c r="G2575" s="499"/>
      <c r="H2575" s="499"/>
      <c r="I2575" s="499"/>
      <c r="J2575" s="499"/>
      <c r="K2575" s="765" t="s">
        <v>5</v>
      </c>
      <c r="L2575" s="766" t="s">
        <v>573</v>
      </c>
      <c r="M2575" s="499"/>
      <c r="N2575" s="499"/>
      <c r="O2575" s="499"/>
      <c r="P2575" s="499"/>
      <c r="Q2575" s="499"/>
      <c r="R2575" s="784"/>
      <c r="S2575" s="499"/>
      <c r="T2575" s="784"/>
    </row>
    <row r="2576" spans="1:41" s="797" customFormat="1" ht="15.6" customHeight="1">
      <c r="A2576" s="785"/>
      <c r="B2576" s="768" t="s">
        <v>575</v>
      </c>
      <c r="C2576" s="786"/>
      <c r="D2576" s="787"/>
      <c r="E2576" s="787"/>
      <c r="F2576" s="787"/>
      <c r="G2576" s="788"/>
      <c r="H2576" s="789"/>
      <c r="I2576" s="789"/>
      <c r="J2576" s="790"/>
      <c r="K2576" s="791"/>
      <c r="L2576" s="786"/>
      <c r="M2576" s="792"/>
      <c r="N2576" s="793"/>
      <c r="O2576" s="794"/>
      <c r="P2576" s="795"/>
      <c r="Q2576" s="796"/>
      <c r="R2576" s="771">
        <f>$A2576*Q2576</f>
        <v>0</v>
      </c>
      <c r="S2576" s="567"/>
      <c r="T2576" s="500">
        <f>$A2576*S2576*$T$1</f>
        <v>0</v>
      </c>
    </row>
    <row r="2577" spans="1:41" s="501" customFormat="1" ht="15.6" customHeight="1">
      <c r="A2577" s="767"/>
      <c r="B2577" s="567"/>
      <c r="C2577" s="567"/>
      <c r="D2577" s="567"/>
      <c r="E2577" s="567"/>
      <c r="F2577" s="567"/>
      <c r="G2577" s="567"/>
      <c r="H2577" s="567"/>
      <c r="I2577" s="567"/>
      <c r="J2577" s="567"/>
      <c r="K2577" s="567"/>
      <c r="L2577" s="770"/>
      <c r="M2577" s="567"/>
      <c r="N2577" s="567"/>
      <c r="O2577" s="567"/>
      <c r="P2577" s="567"/>
      <c r="Q2577" s="567"/>
      <c r="R2577" s="771">
        <f>$A2577*Q2577</f>
        <v>0</v>
      </c>
      <c r="S2577" s="567"/>
      <c r="T2577" s="500">
        <f>$A2577*S2577*$T$1</f>
        <v>0</v>
      </c>
    </row>
    <row r="2578" spans="1:41" s="501" customFormat="1" ht="15.6" customHeight="1">
      <c r="A2578" s="767"/>
      <c r="B2578" s="567"/>
      <c r="C2578" s="567"/>
      <c r="D2578" s="3"/>
      <c r="E2578" s="567"/>
      <c r="F2578" s="567"/>
      <c r="G2578" s="567"/>
      <c r="H2578" s="567"/>
      <c r="I2578" s="567"/>
      <c r="J2578" s="567"/>
      <c r="K2578" s="567"/>
      <c r="L2578" s="770"/>
      <c r="M2578" s="567"/>
      <c r="N2578" s="567"/>
      <c r="O2578" s="567"/>
      <c r="P2578" s="567"/>
      <c r="Q2578" s="567"/>
      <c r="R2578" s="771">
        <f>$A2578*Q2578</f>
        <v>0</v>
      </c>
      <c r="S2578" s="567"/>
      <c r="T2578" s="500">
        <f>$A2578*S2578*$T$1</f>
        <v>0</v>
      </c>
    </row>
    <row r="2579" spans="1:41" s="501" customFormat="1" ht="12">
      <c r="A2579" s="772" t="s">
        <v>145</v>
      </c>
      <c r="B2579" s="773">
        <f>(R2578+T2578)</f>
        <v>0</v>
      </c>
      <c r="C2579" s="753"/>
      <c r="G2579" s="774"/>
      <c r="H2579" s="774"/>
      <c r="I2579" s="774"/>
      <c r="J2579" s="774"/>
      <c r="K2579" s="798" t="s">
        <v>5</v>
      </c>
      <c r="L2579" s="775" t="s">
        <v>573</v>
      </c>
      <c r="M2579" s="774"/>
      <c r="N2579" s="774"/>
      <c r="O2579" s="774"/>
      <c r="P2579" s="774"/>
      <c r="Q2579" s="776"/>
      <c r="R2579" s="777">
        <f>SUM(R2575:R2578)</f>
        <v>0</v>
      </c>
      <c r="S2579" s="778"/>
      <c r="T2579" s="777">
        <f>SUM(T2575:T2578)</f>
        <v>0</v>
      </c>
      <c r="AG2579" s="799">
        <f>ROUND($R2579*$S$3,2)</f>
        <v>0</v>
      </c>
    </row>
    <row r="2580" spans="1:41" s="501" customFormat="1" ht="12" customHeight="1">
      <c r="A2580" s="800"/>
      <c r="B2580" s="801"/>
      <c r="C2580" s="802"/>
      <c r="D2580" s="803" t="str">
        <f>$F$4</f>
        <v>Engineer (Man Hours)</v>
      </c>
      <c r="E2580" s="803">
        <f>ROUND(($R2584*$S$4 + ($T2584*$T$4)), 2)</f>
        <v>0</v>
      </c>
      <c r="F2580" s="804">
        <f ca="1">$F2567-SUMIF($L2569:$P2577,"SUBI",$F2569:$F2577)</f>
        <v>0</v>
      </c>
      <c r="G2580" s="499"/>
      <c r="H2580" s="499"/>
      <c r="I2580" s="499"/>
      <c r="J2580" s="499"/>
      <c r="K2580" s="805" t="s">
        <v>8</v>
      </c>
      <c r="L2580" s="766" t="s">
        <v>573</v>
      </c>
      <c r="M2580" s="499"/>
      <c r="N2580" s="499"/>
      <c r="O2580" s="499"/>
      <c r="P2580" s="499"/>
      <c r="Q2580" s="499"/>
      <c r="R2580" s="784"/>
      <c r="S2580" s="499"/>
      <c r="T2580" s="784"/>
    </row>
    <row r="2581" spans="1:41" s="797" customFormat="1" ht="14.4" customHeight="1">
      <c r="A2581" s="785"/>
      <c r="B2581" s="768" t="s">
        <v>576</v>
      </c>
      <c r="C2581" s="786"/>
      <c r="D2581" s="787"/>
      <c r="E2581" s="787"/>
      <c r="F2581" s="787"/>
      <c r="G2581" s="788"/>
      <c r="H2581" s="789"/>
      <c r="I2581" s="789"/>
      <c r="J2581" s="790"/>
      <c r="K2581" s="791"/>
      <c r="L2581" s="786"/>
      <c r="M2581" s="792"/>
      <c r="N2581" s="793"/>
      <c r="O2581" s="806"/>
      <c r="P2581" s="795"/>
      <c r="Q2581" s="796"/>
      <c r="R2581" s="720">
        <f>$A2581*Q2581</f>
        <v>0</v>
      </c>
      <c r="S2581" s="796"/>
      <c r="T2581" s="500">
        <f>$A2581*S2581*$T$1</f>
        <v>0</v>
      </c>
    </row>
    <row r="2582" spans="1:41" s="501" customFormat="1" ht="12">
      <c r="A2582" s="44"/>
      <c r="B2582" s="497"/>
      <c r="C2582" s="497"/>
      <c r="D2582" s="807"/>
      <c r="E2582" s="808"/>
      <c r="F2582" s="499"/>
      <c r="G2582" s="499"/>
      <c r="H2582" s="499"/>
      <c r="I2582" s="499"/>
      <c r="J2582" s="499"/>
      <c r="K2582" s="499"/>
      <c r="L2582" s="809"/>
      <c r="M2582" s="499"/>
      <c r="N2582" s="499"/>
      <c r="O2582" s="499"/>
      <c r="P2582" s="499"/>
      <c r="Q2582" s="499"/>
      <c r="R2582" s="720">
        <f>$A2582*Q2582</f>
        <v>0</v>
      </c>
      <c r="S2582" s="499"/>
      <c r="T2582" s="500">
        <f>$A2582*S2582*$T$1</f>
        <v>0</v>
      </c>
    </row>
    <row r="2583" spans="1:41" s="501" customFormat="1" ht="12">
      <c r="A2583" s="44"/>
      <c r="B2583" s="497"/>
      <c r="C2583" s="497"/>
      <c r="D2583" s="807"/>
      <c r="E2583" s="808"/>
      <c r="F2583" s="499"/>
      <c r="G2583" s="499"/>
      <c r="H2583" s="499"/>
      <c r="I2583" s="499"/>
      <c r="J2583" s="499"/>
      <c r="K2583" s="499"/>
      <c r="L2583" s="809"/>
      <c r="M2583" s="499"/>
      <c r="N2583" s="499"/>
      <c r="O2583" s="499"/>
      <c r="P2583" s="499"/>
      <c r="Q2583" s="499"/>
      <c r="R2583" s="720">
        <f>$A2583*Q2583</f>
        <v>0</v>
      </c>
      <c r="S2583" s="499"/>
      <c r="T2583" s="500">
        <f>$A2583*S2583*$T$1</f>
        <v>0</v>
      </c>
    </row>
    <row r="2584" spans="1:41" s="501" customFormat="1" ht="12.75" customHeight="1">
      <c r="A2584" s="772" t="s">
        <v>145</v>
      </c>
      <c r="B2584" s="773">
        <f>(R2583+T2583)</f>
        <v>0</v>
      </c>
      <c r="C2584" s="810"/>
      <c r="D2584" s="810"/>
      <c r="E2584" s="810"/>
      <c r="F2584" s="810"/>
      <c r="G2584" s="776"/>
      <c r="H2584" s="776"/>
      <c r="I2584" s="776"/>
      <c r="J2584" s="776"/>
      <c r="K2584" s="798" t="s">
        <v>8</v>
      </c>
      <c r="L2584" s="811" t="s">
        <v>573</v>
      </c>
      <c r="M2584" s="776"/>
      <c r="N2584" s="776"/>
      <c r="O2584" s="776"/>
      <c r="P2584" s="776"/>
      <c r="Q2584" s="776"/>
      <c r="R2584" s="777">
        <f>SUM(R2580:R2583)</f>
        <v>0</v>
      </c>
      <c r="S2584" s="778"/>
      <c r="T2584" s="777">
        <f>SUM(T2580:T2583)</f>
        <v>0</v>
      </c>
      <c r="AG2584" s="812">
        <f>ROUND($R2584*$S$4,2)</f>
        <v>0</v>
      </c>
    </row>
    <row r="2585" spans="1:41" s="501" customFormat="1" ht="12.75" customHeight="1">
      <c r="A2585" s="813"/>
      <c r="B2585" s="814"/>
      <c r="E2585" s="497"/>
      <c r="F2585" s="808"/>
      <c r="G2585" s="497"/>
      <c r="H2585" s="497"/>
      <c r="I2585" s="499"/>
      <c r="J2585" s="497"/>
      <c r="K2585" s="497"/>
      <c r="L2585" s="815"/>
      <c r="M2585" s="725"/>
      <c r="N2585" s="725"/>
      <c r="O2585" s="725"/>
      <c r="P2585" s="725"/>
      <c r="Q2585" s="726"/>
      <c r="R2585" s="784"/>
      <c r="S2585" s="497"/>
      <c r="T2585" s="784"/>
    </row>
    <row r="2586" spans="1:41" s="501" customFormat="1" ht="13.5" customHeight="1" thickBot="1">
      <c r="A2586" s="816"/>
      <c r="B2586" s="817"/>
      <c r="C2586" s="518"/>
      <c r="D2586" s="518"/>
      <c r="E2586" s="515"/>
      <c r="F2586" s="721"/>
      <c r="G2586" s="515" t="s">
        <v>146</v>
      </c>
      <c r="H2586" s="515"/>
      <c r="I2586" s="516"/>
      <c r="J2586" s="515"/>
      <c r="K2586" s="515"/>
      <c r="L2586" s="818" t="s">
        <v>143</v>
      </c>
      <c r="M2586" s="517"/>
      <c r="N2586" s="517"/>
      <c r="O2586" s="517"/>
      <c r="P2586" s="517"/>
      <c r="Q2586" s="722"/>
      <c r="R2586" s="819">
        <f>SUMIF($L2568:$L2585,"SUBI",R2568:R2585)</f>
        <v>0</v>
      </c>
      <c r="S2586" s="820"/>
      <c r="T2586" s="819">
        <f>SUMIF($L2568:$L2585,"SUBI",T2568:T2585)</f>
        <v>0</v>
      </c>
      <c r="U2586" s="518"/>
      <c r="V2586" s="518"/>
      <c r="W2586" s="518"/>
      <c r="X2586" s="518"/>
      <c r="Y2586" s="518"/>
      <c r="Z2586" s="518"/>
      <c r="AA2586" s="518"/>
      <c r="AB2586" s="518"/>
      <c r="AC2586" s="518"/>
      <c r="AD2586" s="518"/>
      <c r="AE2586" s="518"/>
      <c r="AF2586" s="518"/>
      <c r="AG2586" s="518"/>
      <c r="AH2586" s="518"/>
      <c r="AI2586" s="518"/>
      <c r="AJ2586" s="518"/>
      <c r="AK2586" s="518"/>
      <c r="AL2586" s="518"/>
      <c r="AM2586" s="518"/>
      <c r="AN2586" s="518"/>
      <c r="AO2586" s="518"/>
    </row>
    <row r="2587" spans="1:41" s="501" customFormat="1" thickTop="1">
      <c r="A2587" s="44"/>
      <c r="B2587" s="44"/>
      <c r="C2587" s="3"/>
      <c r="D2587" s="3"/>
      <c r="E2587" s="44"/>
      <c r="F2587" s="44"/>
      <c r="G2587" s="44"/>
      <c r="H2587" s="44"/>
      <c r="I2587" s="44"/>
      <c r="J2587" s="44"/>
      <c r="K2587" s="44" t="s">
        <v>134</v>
      </c>
      <c r="L2587" s="44"/>
      <c r="M2587" s="44"/>
      <c r="N2587" s="44"/>
      <c r="O2587" s="45"/>
      <c r="P2587" s="44"/>
      <c r="Q2587" s="44"/>
      <c r="R2587" s="44"/>
      <c r="S2587" s="44"/>
      <c r="T2587" s="44"/>
    </row>
    <row r="2588" spans="1:41" s="501" customFormat="1" ht="12">
      <c r="A2588" s="44"/>
      <c r="B2588" s="44"/>
      <c r="C2588" s="44" t="s">
        <v>135</v>
      </c>
      <c r="D2588" s="35"/>
      <c r="E2588" s="44"/>
      <c r="F2588" s="44"/>
      <c r="G2588" s="44"/>
      <c r="H2588" s="44"/>
      <c r="I2588" s="44"/>
      <c r="J2588" s="44"/>
      <c r="K2588" s="44"/>
      <c r="L2588" s="44"/>
      <c r="M2588" s="44"/>
      <c r="N2588" s="44"/>
      <c r="O2588" s="45"/>
      <c r="P2588" s="44"/>
      <c r="Q2588" s="44"/>
      <c r="R2588" s="44"/>
      <c r="S2588" s="44"/>
      <c r="T2588" s="44"/>
    </row>
    <row r="2589" spans="1:41" s="501" customFormat="1" ht="12">
      <c r="A2589" s="44"/>
      <c r="B2589" s="44"/>
      <c r="C2589" s="44"/>
      <c r="D2589" s="35" t="s">
        <v>545</v>
      </c>
      <c r="E2589" s="44"/>
      <c r="F2589" s="44"/>
      <c r="G2589" s="44"/>
      <c r="H2589" s="44"/>
      <c r="I2589" s="44"/>
      <c r="J2589" s="44"/>
      <c r="K2589" s="44"/>
      <c r="L2589" s="44"/>
      <c r="M2589" s="44"/>
      <c r="N2589" s="44"/>
      <c r="O2589" s="45"/>
      <c r="P2589" s="44"/>
      <c r="Q2589" s="44"/>
      <c r="R2589" s="44"/>
      <c r="S2589" s="36"/>
      <c r="T2589" s="36"/>
    </row>
    <row r="2590" spans="1:41" s="3" customFormat="1" thickBot="1">
      <c r="A2590" s="518"/>
      <c r="O2590" s="86"/>
    </row>
    <row r="2591" spans="1:41" s="501" customFormat="1" thickTop="1">
      <c r="A2591" s="44"/>
      <c r="B2591" s="39"/>
      <c r="C2591" s="44"/>
      <c r="E2591" s="40" t="s">
        <v>138</v>
      </c>
      <c r="F2591" s="40" t="s">
        <v>139</v>
      </c>
      <c r="G2591" s="44"/>
      <c r="H2591" s="44"/>
      <c r="I2591" s="44"/>
      <c r="J2591" s="44"/>
      <c r="K2591" s="44" t="s">
        <v>140</v>
      </c>
      <c r="L2591" s="737"/>
      <c r="M2591" s="44"/>
      <c r="N2591" s="44"/>
      <c r="O2591" s="45"/>
      <c r="P2591" s="44"/>
      <c r="Q2591"/>
      <c r="R2591"/>
      <c r="S2591"/>
      <c r="T2591" s="39"/>
      <c r="AG2591" s="502" t="s">
        <v>247</v>
      </c>
      <c r="AH2591" s="502" t="s">
        <v>248</v>
      </c>
      <c r="AI2591" s="502" t="s">
        <v>249</v>
      </c>
      <c r="AJ2591" s="502" t="s">
        <v>250</v>
      </c>
      <c r="AK2591" s="502" t="s">
        <v>251</v>
      </c>
      <c r="AM2591" s="710" t="s">
        <v>260</v>
      </c>
      <c r="AN2591" s="711" t="s">
        <v>261</v>
      </c>
      <c r="AO2591" s="503" t="s">
        <v>257</v>
      </c>
    </row>
    <row r="2592" spans="1:41" s="501" customFormat="1" ht="13.2">
      <c r="A2592" s="712">
        <v>1</v>
      </c>
      <c r="B2592" s="504" t="s">
        <v>283</v>
      </c>
      <c r="C2592" s="505"/>
      <c r="D2592" s="713" t="s">
        <v>626</v>
      </c>
      <c r="E2592" s="738">
        <f ca="1">IF(AND($A2592=0,$A$1="DIF"),0,ROUND(ROUND(SUMIF($L2594:$L2612,"SUBI",$E2594:$E2612)/$A2592,2)*$C$12,2))</f>
        <v>5550.86</v>
      </c>
      <c r="F2592" s="739">
        <f ca="1">ROUND($A2592*$E2592,2)</f>
        <v>5550.86</v>
      </c>
      <c r="G2592" s="506" t="s">
        <v>142</v>
      </c>
      <c r="H2592" s="498"/>
      <c r="I2592" s="716"/>
      <c r="J2592" s="498"/>
      <c r="K2592" s="740"/>
      <c r="L2592" s="741" t="s">
        <v>143</v>
      </c>
      <c r="M2592" s="717"/>
      <c r="N2592" s="717"/>
      <c r="O2592" s="717"/>
      <c r="P2592" s="717"/>
      <c r="Q2592" s="943" t="s">
        <v>855</v>
      </c>
      <c r="R2592" s="943" t="s">
        <v>869</v>
      </c>
      <c r="S2592"/>
      <c r="T2592" s="742" t="str">
        <f ca="1">IF(AND($R2617=0,$T2617=0),"0.00","mu :" &amp; ROUND($F2592/$C$12/($R2617+$T2617*$D$9),2))</f>
        <v>mu :1.37</v>
      </c>
      <c r="W2592" s="507"/>
      <c r="AG2592" s="743">
        <f ca="1">IF(A2592=0,0,ROUND(SUM(AG2594:AG2617)/A2592,2))</f>
        <v>4058.98</v>
      </c>
      <c r="AH2592" s="743">
        <f ca="1">$AG2592*$A2592</f>
        <v>4058.98</v>
      </c>
      <c r="AI2592" s="743">
        <f ca="1">$E2592-$AG2592</f>
        <v>1491.8799999999997</v>
      </c>
      <c r="AJ2592" s="743">
        <f ca="1">$A2592*$AI2592</f>
        <v>1491.8799999999997</v>
      </c>
      <c r="AK2592" s="744">
        <f ca="1">ROUND(($AG2592+$AI2592)*$A2592,2)</f>
        <v>5550.86</v>
      </c>
      <c r="AM2592" s="510">
        <f ca="1">ROUND(R2617,2)</f>
        <v>3006.65</v>
      </c>
      <c r="AN2592" s="511">
        <f ca="1">ROUND(T2617,2)</f>
        <v>38.049999999999997</v>
      </c>
      <c r="AO2592" s="512">
        <f ca="1">ROUND(AM2592+AN2592,2)*A2592</f>
        <v>3044.7</v>
      </c>
    </row>
    <row r="2593" spans="1:33" s="501" customFormat="1" ht="39.9" customHeight="1">
      <c r="A2593" s="745"/>
      <c r="B2593" s="746"/>
      <c r="C2593" s="505"/>
      <c r="D2593" s="1183" t="s">
        <v>546</v>
      </c>
      <c r="E2593" s="1184"/>
      <c r="F2593" s="1184"/>
      <c r="G2593" s="1184"/>
      <c r="H2593" s="1184"/>
      <c r="I2593" s="1184"/>
      <c r="J2593" s="1184"/>
      <c r="K2593" s="1184"/>
      <c r="L2593" s="1184"/>
      <c r="M2593" s="1184"/>
      <c r="N2593" s="1184"/>
      <c r="O2593" s="1184"/>
      <c r="P2593" s="1184"/>
      <c r="Q2593" s="1184"/>
      <c r="R2593" s="1184"/>
      <c r="S2593" s="1184"/>
      <c r="T2593" s="1184"/>
    </row>
    <row r="2594" spans="1:33" s="501" customFormat="1" ht="12">
      <c r="A2594" s="748"/>
      <c r="B2594" s="749"/>
      <c r="C2594" s="497"/>
      <c r="D2594" s="750"/>
      <c r="E2594" s="751">
        <f ca="1">F2592/$C$12-SUMIF($L2591:$L2617,"SUBI",$E2591:$E2617)</f>
        <v>0</v>
      </c>
      <c r="F2594" s="752" t="s">
        <v>572</v>
      </c>
      <c r="G2594" s="753"/>
      <c r="H2594" s="753"/>
      <c r="I2594" s="754"/>
      <c r="J2594" s="753"/>
      <c r="K2594" s="753"/>
      <c r="L2594" s="755"/>
      <c r="M2594" s="756"/>
      <c r="N2594" s="756"/>
      <c r="O2594" s="756"/>
      <c r="P2594" s="756"/>
      <c r="Q2594" s="757"/>
      <c r="R2594" s="758"/>
      <c r="S2594" s="757"/>
      <c r="T2594" s="759"/>
    </row>
    <row r="2595" spans="1:33" s="501" customFormat="1" ht="12" customHeight="1">
      <c r="A2595" s="760"/>
      <c r="B2595" s="761"/>
      <c r="C2595" s="762"/>
      <c r="D2595" s="762" t="str">
        <f>$F$2</f>
        <v>Electrical</v>
      </c>
      <c r="E2595" s="762">
        <f ca="1">ROUND(($R2607*$S$2 + ($T2607*$T$2)), 2)</f>
        <v>1649.68</v>
      </c>
      <c r="F2595" s="763">
        <f ca="1">$E2595*$C$12</f>
        <v>1649.68</v>
      </c>
      <c r="G2595" s="567"/>
      <c r="H2595" s="764"/>
      <c r="I2595" s="567"/>
      <c r="J2595" s="45"/>
      <c r="K2595" s="765" t="s">
        <v>3</v>
      </c>
      <c r="L2595" s="766" t="s">
        <v>573</v>
      </c>
      <c r="M2595" s="567"/>
      <c r="N2595" s="567"/>
      <c r="O2595" s="45"/>
      <c r="P2595" s="567"/>
      <c r="Q2595" s="567"/>
      <c r="R2595"/>
      <c r="S2595"/>
      <c r="T2595"/>
    </row>
    <row r="2596" spans="1:33" s="935" customFormat="1" ht="13.2">
      <c r="A2596"/>
      <c r="B2596" s="927"/>
      <c r="C2596" s="927" t="s">
        <v>735</v>
      </c>
      <c r="D2596" s="927" t="str">
        <f ca="1">CELL("Address",Elec_Rates!D$117)</f>
        <v>[E25_0465_IH_Retro_Elec4Mech_Est_Rev_A.xlsx]Elec_Rates!$D$117</v>
      </c>
      <c r="E2596" s="928"/>
      <c r="F2596" s="928"/>
      <c r="G2596" s="929" t="s">
        <v>736</v>
      </c>
      <c r="H2596" s="929"/>
      <c r="I2596" s="929"/>
      <c r="J2596" s="929"/>
      <c r="K2596" s="930"/>
      <c r="L2596" s="928"/>
      <c r="M2596" s="928"/>
      <c r="N2596" s="928"/>
      <c r="O2596" s="931"/>
      <c r="P2596" s="928"/>
      <c r="Q2596" s="932"/>
      <c r="R2596" s="933"/>
      <c r="S2596" s="932"/>
      <c r="T2596" s="560"/>
      <c r="U2596" s="934"/>
    </row>
    <row r="2597" spans="1:33" s="935" customFormat="1" ht="11.4">
      <c r="A2597" s="936">
        <v>1</v>
      </c>
      <c r="B2597" s="937">
        <v>1</v>
      </c>
      <c r="C2597" s="937">
        <f>$A2597*$B2597</f>
        <v>1</v>
      </c>
      <c r="D2597" s="938" t="str">
        <f>Elec_Rates!$D$117</f>
        <v>004# Power supply to control panel (4core x 2.5sqmm)</v>
      </c>
      <c r="E2597" s="938"/>
      <c r="F2597" s="938" t="s">
        <v>737</v>
      </c>
      <c r="G2597" s="939" t="s">
        <v>738</v>
      </c>
      <c r="H2597" s="939"/>
      <c r="I2597" s="939"/>
      <c r="J2597" s="939"/>
      <c r="K2597" s="940"/>
      <c r="L2597" s="934"/>
      <c r="M2597" s="934"/>
      <c r="N2597" s="934"/>
      <c r="O2597" s="941"/>
      <c r="P2597" s="938"/>
      <c r="Q2597" s="942">
        <f ca="1">$B2597*Elec_Rates!$R$117</f>
        <v>62.41</v>
      </c>
      <c r="R2597" s="933">
        <f ca="1">$A2597*Q2597</f>
        <v>62.41</v>
      </c>
      <c r="S2597" s="942">
        <f ca="1">$B2597*Elec_Rates!$T$117</f>
        <v>3.06</v>
      </c>
      <c r="T2597" s="560">
        <f ca="1">$A2597*S2597</f>
        <v>3.06</v>
      </c>
      <c r="U2597" s="484"/>
    </row>
    <row r="2598" spans="1:33" s="935" customFormat="1" ht="13.2">
      <c r="A2598"/>
      <c r="B2598" s="927"/>
      <c r="C2598" s="927" t="s">
        <v>735</v>
      </c>
      <c r="D2598" s="927" t="str">
        <f ca="1">CELL("Address",Elec_Rates!D$196)</f>
        <v>[E25_0465_IH_Retro_Elec4Mech_Est_Rev_A.xlsx]Elec_Rates!$D$196</v>
      </c>
      <c r="E2598" s="928"/>
      <c r="F2598" s="928"/>
      <c r="G2598" s="929" t="s">
        <v>736</v>
      </c>
      <c r="H2598" s="929"/>
      <c r="I2598" s="929"/>
      <c r="J2598" s="929"/>
      <c r="K2598" s="930"/>
      <c r="L2598" s="928"/>
      <c r="M2598" s="928"/>
      <c r="N2598" s="928"/>
      <c r="O2598" s="931"/>
      <c r="P2598" s="928"/>
      <c r="Q2598" s="932"/>
      <c r="R2598" s="933"/>
      <c r="S2598" s="932"/>
      <c r="T2598" s="560"/>
      <c r="U2598" s="934"/>
    </row>
    <row r="2599" spans="1:33" s="935" customFormat="1" ht="11.4">
      <c r="A2599" s="936">
        <v>1</v>
      </c>
      <c r="B2599" s="937">
        <v>1</v>
      </c>
      <c r="C2599" s="937">
        <f>$A2599*$B2599</f>
        <v>1</v>
      </c>
      <c r="D2599" s="938" t="str">
        <f>Elec_Rates!$D$196</f>
        <v>013# Installation of Rosenger control panel</v>
      </c>
      <c r="E2599" s="938"/>
      <c r="F2599" s="938" t="s">
        <v>737</v>
      </c>
      <c r="G2599" s="939" t="s">
        <v>739</v>
      </c>
      <c r="H2599" s="939"/>
      <c r="I2599" s="939"/>
      <c r="J2599" s="939"/>
      <c r="K2599" s="940"/>
      <c r="L2599" s="934"/>
      <c r="M2599" s="934"/>
      <c r="N2599" s="934"/>
      <c r="O2599" s="941"/>
      <c r="P2599" s="938"/>
      <c r="Q2599" s="942">
        <f ca="1">$B2599*Elec_Rates!$R$196</f>
        <v>20</v>
      </c>
      <c r="R2599" s="933">
        <f ca="1">$A2599*Q2599</f>
        <v>20</v>
      </c>
      <c r="S2599" s="942">
        <f ca="1">$B2599*Elec_Rates!$T$196</f>
        <v>2</v>
      </c>
      <c r="T2599" s="560">
        <f ca="1">$A2599*S2599</f>
        <v>2</v>
      </c>
      <c r="U2599" s="484"/>
    </row>
    <row r="2600" spans="1:33" s="935" customFormat="1" ht="13.2">
      <c r="A2600"/>
      <c r="B2600" s="927"/>
      <c r="C2600" s="927" t="s">
        <v>735</v>
      </c>
      <c r="D2600" s="927" t="str">
        <f ca="1">CELL("Address",Elec_Rates!D$203)</f>
        <v>[E25_0465_IH_Retro_Elec4Mech_Est_Rev_A.xlsx]Elec_Rates!$D$203</v>
      </c>
      <c r="E2600" s="928"/>
      <c r="F2600" s="928"/>
      <c r="G2600" s="929" t="s">
        <v>736</v>
      </c>
      <c r="H2600" s="929"/>
      <c r="I2600" s="929"/>
      <c r="J2600" s="929"/>
      <c r="K2600" s="930"/>
      <c r="L2600" s="928"/>
      <c r="M2600" s="928"/>
      <c r="N2600" s="928"/>
      <c r="O2600" s="931"/>
      <c r="P2600" s="928"/>
      <c r="Q2600" s="932"/>
      <c r="R2600" s="933"/>
      <c r="S2600" s="932"/>
      <c r="T2600" s="560"/>
      <c r="U2600" s="934"/>
    </row>
    <row r="2601" spans="1:33" s="935" customFormat="1" ht="11.4">
      <c r="A2601" s="936">
        <v>2</v>
      </c>
      <c r="B2601" s="937">
        <v>1</v>
      </c>
      <c r="C2601" s="937">
        <f>$A2601*$B2601</f>
        <v>2</v>
      </c>
      <c r="D2601" s="938" t="str">
        <f>Elec_Rates!$D$203</f>
        <v>014# Installation of cable harness to fans</v>
      </c>
      <c r="E2601" s="938"/>
      <c r="F2601" s="938" t="s">
        <v>737</v>
      </c>
      <c r="G2601" s="939" t="s">
        <v>738</v>
      </c>
      <c r="H2601" s="939"/>
      <c r="I2601" s="939"/>
      <c r="J2601" s="939"/>
      <c r="K2601" s="940"/>
      <c r="L2601" s="934"/>
      <c r="M2601" s="934"/>
      <c r="N2601" s="934"/>
      <c r="O2601" s="941"/>
      <c r="P2601" s="938"/>
      <c r="Q2601" s="942">
        <f ca="1">$B2601*Elec_Rates!$R$203</f>
        <v>20</v>
      </c>
      <c r="R2601" s="933">
        <f ca="1">$A2601*Q2601</f>
        <v>40</v>
      </c>
      <c r="S2601" s="942">
        <f ca="1">$B2601*Elec_Rates!$T$203</f>
        <v>1</v>
      </c>
      <c r="T2601" s="560">
        <f ca="1">$A2601*S2601</f>
        <v>2</v>
      </c>
      <c r="U2601" s="484"/>
    </row>
    <row r="2602" spans="1:33" s="935" customFormat="1" ht="13.2">
      <c r="A2602"/>
      <c r="B2602" s="927"/>
      <c r="C2602" s="927" t="s">
        <v>735</v>
      </c>
      <c r="D2602" s="927" t="str">
        <f ca="1">CELL("Address",Elec_Rates!D$210)</f>
        <v>[E25_0465_IH_Retro_Elec4Mech_Est_Rev_A.xlsx]Elec_Rates!$D$210</v>
      </c>
      <c r="E2602" s="928"/>
      <c r="F2602" s="928"/>
      <c r="G2602" s="929" t="s">
        <v>736</v>
      </c>
      <c r="H2602" s="929"/>
      <c r="I2602" s="929"/>
      <c r="J2602" s="929"/>
      <c r="K2602" s="930"/>
      <c r="L2602" s="928"/>
      <c r="M2602" s="928"/>
      <c r="N2602" s="928"/>
      <c r="O2602" s="931"/>
      <c r="P2602" s="928"/>
      <c r="Q2602" s="932"/>
      <c r="R2602" s="933"/>
      <c r="S2602" s="932"/>
      <c r="T2602" s="560"/>
      <c r="U2602" s="934"/>
    </row>
    <row r="2603" spans="1:33" s="935" customFormat="1" ht="11.4">
      <c r="A2603" s="936">
        <v>1</v>
      </c>
      <c r="B2603" s="937">
        <v>1</v>
      </c>
      <c r="C2603" s="937">
        <f>$A2603*$B2603</f>
        <v>1</v>
      </c>
      <c r="D2603" s="938" t="str">
        <f>Elec_Rates!$D$210</f>
        <v>015# Installation of control panels by ECA</v>
      </c>
      <c r="E2603" s="938"/>
      <c r="F2603" s="938" t="s">
        <v>737</v>
      </c>
      <c r="G2603" s="939" t="s">
        <v>739</v>
      </c>
      <c r="H2603" s="939"/>
      <c r="I2603" s="939"/>
      <c r="J2603" s="939"/>
      <c r="K2603" s="940"/>
      <c r="L2603" s="934"/>
      <c r="M2603" s="934"/>
      <c r="N2603" s="934"/>
      <c r="O2603" s="941"/>
      <c r="P2603" s="938"/>
      <c r="Q2603" s="942">
        <f ca="1">$B2603*Elec_Rates!$R$210</f>
        <v>30</v>
      </c>
      <c r="R2603" s="933">
        <f ca="1">$A2603*Q2603</f>
        <v>30</v>
      </c>
      <c r="S2603" s="942">
        <f ca="1">$B2603*Elec_Rates!$T$210</f>
        <v>1</v>
      </c>
      <c r="T2603" s="560">
        <f ca="1">$A2603*S2603</f>
        <v>1</v>
      </c>
      <c r="U2603" s="484"/>
    </row>
    <row r="2604" spans="1:33" s="935" customFormat="1" ht="13.2">
      <c r="A2604"/>
      <c r="B2604" s="927"/>
      <c r="C2604" s="927" t="s">
        <v>735</v>
      </c>
      <c r="D2604" s="927" t="str">
        <f ca="1">CELL("Address",Elec_Rates!D$217)</f>
        <v>[E25_0465_IH_Retro_Elec4Mech_Est_Rev_A.xlsx]Elec_Rates!$D$217</v>
      </c>
      <c r="E2604" s="928"/>
      <c r="F2604" s="928"/>
      <c r="G2604" s="929" t="s">
        <v>736</v>
      </c>
      <c r="H2604" s="929"/>
      <c r="I2604" s="929"/>
      <c r="J2604" s="929"/>
      <c r="K2604" s="930"/>
      <c r="L2604" s="928"/>
      <c r="M2604" s="928"/>
      <c r="N2604" s="928"/>
      <c r="O2604" s="931"/>
      <c r="P2604" s="928"/>
      <c r="Q2604" s="932"/>
      <c r="R2604" s="933"/>
      <c r="S2604" s="932"/>
      <c r="T2604" s="560"/>
      <c r="U2604" s="934"/>
    </row>
    <row r="2605" spans="1:33" s="935" customFormat="1" ht="11.4">
      <c r="A2605" s="936">
        <v>1</v>
      </c>
      <c r="B2605" s="937">
        <v>1</v>
      </c>
      <c r="C2605" s="937">
        <f>$A2605*$B2605</f>
        <v>1</v>
      </c>
      <c r="D2605" s="938" t="str">
        <f>Elec_Rates!$D$217</f>
        <v>016# Installation of sensors on AHUs</v>
      </c>
      <c r="E2605" s="938"/>
      <c r="F2605" s="938" t="s">
        <v>737</v>
      </c>
      <c r="G2605" s="939" t="s">
        <v>738</v>
      </c>
      <c r="H2605" s="939"/>
      <c r="I2605" s="939"/>
      <c r="J2605" s="939"/>
      <c r="K2605" s="940"/>
      <c r="L2605" s="934"/>
      <c r="M2605" s="934"/>
      <c r="N2605" s="934"/>
      <c r="O2605" s="941"/>
      <c r="P2605" s="938"/>
      <c r="Q2605" s="942">
        <f ca="1">$B2605*Elec_Rates!$R$217</f>
        <v>354.24</v>
      </c>
      <c r="R2605" s="933">
        <f ca="1">$A2605*Q2605</f>
        <v>354.24</v>
      </c>
      <c r="S2605" s="942">
        <f ca="1">$B2605*Elec_Rates!$T$217</f>
        <v>17.989999999999998</v>
      </c>
      <c r="T2605" s="560">
        <f ca="1">$A2605*S2605</f>
        <v>17.989999999999998</v>
      </c>
      <c r="U2605" s="484"/>
    </row>
    <row r="2606" spans="1:33" s="501" customFormat="1" ht="14.4" customHeight="1">
      <c r="A2606" s="767"/>
      <c r="B2606" s="567"/>
      <c r="C2606" s="567"/>
      <c r="D2606" s="567"/>
      <c r="E2606" s="567"/>
      <c r="F2606" s="567"/>
      <c r="G2606" s="567"/>
      <c r="H2606" s="764"/>
      <c r="I2606" s="567"/>
      <c r="J2606" s="45"/>
      <c r="K2606" s="769"/>
      <c r="L2606" s="770"/>
      <c r="M2606" s="567"/>
      <c r="N2606" s="567"/>
      <c r="O2606" s="45"/>
      <c r="P2606" s="567"/>
      <c r="Q2606" s="567"/>
      <c r="R2606" s="771">
        <f>$A2606*Q2606</f>
        <v>0</v>
      </c>
      <c r="S2606" s="567"/>
      <c r="T2606" s="500">
        <f>$A2606*S2606*$T$1</f>
        <v>0</v>
      </c>
    </row>
    <row r="2607" spans="1:33" s="501" customFormat="1" ht="12">
      <c r="A2607" s="772" t="s">
        <v>145</v>
      </c>
      <c r="B2607" s="773">
        <f>(R2606+T2606)</f>
        <v>0</v>
      </c>
      <c r="C2607" s="753"/>
      <c r="G2607" s="774"/>
      <c r="H2607" s="774"/>
      <c r="I2607" s="774"/>
      <c r="J2607" s="774"/>
      <c r="K2607" s="750" t="s">
        <v>3</v>
      </c>
      <c r="L2607" s="775" t="s">
        <v>573</v>
      </c>
      <c r="M2607" s="774"/>
      <c r="N2607" s="774"/>
      <c r="O2607" s="774"/>
      <c r="P2607" s="774"/>
      <c r="Q2607" s="776"/>
      <c r="R2607" s="777">
        <f ca="1">SUM(R2595:R2606)</f>
        <v>506.65</v>
      </c>
      <c r="S2607" s="778"/>
      <c r="T2607" s="777">
        <f ca="1">SUM(T2595:T2606)</f>
        <v>26.049999999999997</v>
      </c>
      <c r="AG2607" s="779">
        <f ca="1">ROUND($R2607*$S$2,2)</f>
        <v>683.98</v>
      </c>
    </row>
    <row r="2608" spans="1:33" s="501" customFormat="1" ht="12" customHeight="1">
      <c r="A2608" s="760"/>
      <c r="B2608" s="780"/>
      <c r="C2608" s="781"/>
      <c r="D2608" s="782" t="str">
        <f>$F$3</f>
        <v>Technician</v>
      </c>
      <c r="E2608" s="782">
        <f>ROUND(($R2611*$S$3 + ($T2611*$T$3)), 2)</f>
        <v>3739.18</v>
      </c>
      <c r="F2608" s="783">
        <f>$E2608*$C$12</f>
        <v>3739.18</v>
      </c>
      <c r="G2608" s="499"/>
      <c r="H2608" s="499"/>
      <c r="I2608" s="499"/>
      <c r="J2608" s="499"/>
      <c r="K2608" s="765" t="s">
        <v>5</v>
      </c>
      <c r="L2608" s="766" t="s">
        <v>573</v>
      </c>
      <c r="M2608" s="499"/>
      <c r="N2608" s="499"/>
      <c r="O2608" s="499"/>
      <c r="P2608" s="499"/>
      <c r="Q2608" s="499"/>
      <c r="R2608" s="784"/>
      <c r="S2608" s="499"/>
      <c r="T2608" s="784"/>
    </row>
    <row r="2609" spans="1:41" s="893" customFormat="1" ht="13.2">
      <c r="A2609">
        <v>1</v>
      </c>
      <c r="B2609" s="893" t="s">
        <v>141</v>
      </c>
      <c r="D2609" s="893" t="s">
        <v>767</v>
      </c>
      <c r="E2609" s="893" t="s">
        <v>770</v>
      </c>
      <c r="F2609" s="893" t="s">
        <v>769</v>
      </c>
      <c r="G2609" s="894" t="s">
        <v>768</v>
      </c>
      <c r="H2609" s="895">
        <v>570</v>
      </c>
      <c r="I2609" s="893" t="s">
        <v>643</v>
      </c>
      <c r="O2609" s="896">
        <v>2</v>
      </c>
      <c r="P2609" s="897">
        <v>38443</v>
      </c>
      <c r="Q2609" s="898">
        <v>2500</v>
      </c>
      <c r="R2609" s="899">
        <f>$A2609*Q2609</f>
        <v>2500</v>
      </c>
      <c r="S2609" s="898">
        <f>200/25</f>
        <v>8</v>
      </c>
      <c r="T2609" s="900">
        <f>$A2609*S2609*$T$1</f>
        <v>8</v>
      </c>
    </row>
    <row r="2610" spans="1:41" s="501" customFormat="1" ht="15.6" customHeight="1">
      <c r="A2610" s="767"/>
      <c r="B2610" s="567"/>
      <c r="C2610" s="567"/>
      <c r="D2610" s="3"/>
      <c r="E2610" s="567"/>
      <c r="F2610" s="567"/>
      <c r="G2610" s="567"/>
      <c r="H2610" s="567"/>
      <c r="I2610" s="567"/>
      <c r="J2610" s="567"/>
      <c r="K2610" s="567"/>
      <c r="L2610" s="770"/>
      <c r="M2610" s="567"/>
      <c r="N2610" s="567"/>
      <c r="O2610" s="567"/>
      <c r="P2610" s="567"/>
      <c r="Q2610" s="567"/>
      <c r="R2610" s="771">
        <f>$A2610*Q2610</f>
        <v>0</v>
      </c>
      <c r="S2610" s="567"/>
      <c r="T2610" s="500">
        <f>$A2610*S2610*$T$1</f>
        <v>0</v>
      </c>
    </row>
    <row r="2611" spans="1:41" s="501" customFormat="1" ht="12">
      <c r="A2611" s="772" t="s">
        <v>145</v>
      </c>
      <c r="B2611" s="773">
        <f>(R2610+T2610)</f>
        <v>0</v>
      </c>
      <c r="C2611" s="753"/>
      <c r="G2611" s="774"/>
      <c r="H2611" s="774"/>
      <c r="I2611" s="774"/>
      <c r="J2611" s="774"/>
      <c r="K2611" s="798" t="s">
        <v>5</v>
      </c>
      <c r="L2611" s="775" t="s">
        <v>573</v>
      </c>
      <c r="M2611" s="774"/>
      <c r="N2611" s="774"/>
      <c r="O2611" s="774"/>
      <c r="P2611" s="774"/>
      <c r="Q2611" s="776"/>
      <c r="R2611" s="777">
        <f>SUM(R2608:R2610)</f>
        <v>2500</v>
      </c>
      <c r="S2611" s="778"/>
      <c r="T2611" s="777">
        <f>SUM(T2608:T2610)</f>
        <v>8</v>
      </c>
      <c r="AG2611" s="799">
        <f>ROUND($R2611*$S$3,2)</f>
        <v>3375</v>
      </c>
    </row>
    <row r="2612" spans="1:41" s="501" customFormat="1" ht="12" customHeight="1">
      <c r="A2612" s="800"/>
      <c r="B2612" s="801"/>
      <c r="C2612" s="802"/>
      <c r="D2612" s="803" t="str">
        <f>$F$4</f>
        <v>Engineer (Man Hours)</v>
      </c>
      <c r="E2612" s="803">
        <f>ROUND(($R2615*$S$4 + ($T2615*$T$4)), 2)</f>
        <v>162</v>
      </c>
      <c r="F2612" s="804">
        <f ca="1">$F2592-SUMIF($L2594:$P2609,"SUBI",$F2594:$F2609)</f>
        <v>162</v>
      </c>
      <c r="G2612" s="499"/>
      <c r="H2612" s="499"/>
      <c r="I2612" s="499"/>
      <c r="J2612" s="499"/>
      <c r="K2612" s="805" t="s">
        <v>8</v>
      </c>
      <c r="L2612" s="766" t="s">
        <v>573</v>
      </c>
      <c r="M2612" s="499"/>
      <c r="N2612" s="499"/>
      <c r="O2612" s="499"/>
      <c r="P2612" s="499"/>
      <c r="Q2612" s="499"/>
      <c r="R2612" s="784"/>
      <c r="S2612" s="499"/>
      <c r="T2612" s="784"/>
    </row>
    <row r="2613" spans="1:41" s="893" customFormat="1" ht="13.2">
      <c r="A2613">
        <v>1</v>
      </c>
      <c r="B2613" s="893" t="s">
        <v>141</v>
      </c>
      <c r="D2613" s="893" t="s">
        <v>767</v>
      </c>
      <c r="E2613" s="893" t="s">
        <v>771</v>
      </c>
      <c r="F2613" s="893" t="s">
        <v>769</v>
      </c>
      <c r="G2613" s="894" t="s">
        <v>768</v>
      </c>
      <c r="H2613" s="895">
        <v>570</v>
      </c>
      <c r="I2613" s="893" t="s">
        <v>643</v>
      </c>
      <c r="O2613" s="896">
        <v>2</v>
      </c>
      <c r="P2613" s="897">
        <v>38443</v>
      </c>
      <c r="Q2613" s="898"/>
      <c r="R2613" s="899">
        <f>$A2613*Q2613</f>
        <v>0</v>
      </c>
      <c r="S2613" s="898">
        <f>100/25</f>
        <v>4</v>
      </c>
      <c r="T2613" s="900">
        <f>$A2613*S2613*$T$1</f>
        <v>4</v>
      </c>
    </row>
    <row r="2614" spans="1:41" s="501" customFormat="1" ht="12">
      <c r="A2614" s="44"/>
      <c r="B2614" s="497"/>
      <c r="C2614" s="497"/>
      <c r="D2614" s="807"/>
      <c r="E2614" s="808"/>
      <c r="F2614" s="499"/>
      <c r="G2614" s="499"/>
      <c r="H2614" s="499"/>
      <c r="I2614" s="499"/>
      <c r="J2614" s="499"/>
      <c r="K2614" s="499"/>
      <c r="L2614" s="809"/>
      <c r="M2614" s="499"/>
      <c r="N2614" s="499"/>
      <c r="O2614" s="499"/>
      <c r="P2614" s="499"/>
      <c r="Q2614" s="499"/>
      <c r="R2614" s="720">
        <f>$A2614*Q2614</f>
        <v>0</v>
      </c>
      <c r="S2614" s="499"/>
      <c r="T2614" s="500">
        <f>$A2614*S2614*$T$1</f>
        <v>0</v>
      </c>
    </row>
    <row r="2615" spans="1:41" s="501" customFormat="1" ht="12.75" customHeight="1">
      <c r="A2615" s="772" t="s">
        <v>145</v>
      </c>
      <c r="B2615" s="773">
        <f>(R2614+T2614)</f>
        <v>0</v>
      </c>
      <c r="C2615" s="810"/>
      <c r="D2615" s="810"/>
      <c r="E2615" s="810"/>
      <c r="F2615" s="810"/>
      <c r="G2615" s="776"/>
      <c r="H2615" s="776"/>
      <c r="I2615" s="776"/>
      <c r="J2615" s="776"/>
      <c r="K2615" s="798" t="s">
        <v>8</v>
      </c>
      <c r="L2615" s="811" t="s">
        <v>573</v>
      </c>
      <c r="M2615" s="776"/>
      <c r="N2615" s="776"/>
      <c r="O2615" s="776"/>
      <c r="P2615" s="776"/>
      <c r="Q2615" s="776"/>
      <c r="R2615" s="777">
        <f>SUM(R2612:R2614)</f>
        <v>0</v>
      </c>
      <c r="S2615" s="778"/>
      <c r="T2615" s="777">
        <f>SUM(T2612:T2614)</f>
        <v>4</v>
      </c>
      <c r="AG2615" s="812">
        <f>ROUND($R2615*$S$4,2)</f>
        <v>0</v>
      </c>
    </row>
    <row r="2616" spans="1:41" s="501" customFormat="1" ht="12.75" customHeight="1">
      <c r="A2616" s="813"/>
      <c r="B2616" s="814"/>
      <c r="E2616" s="497"/>
      <c r="F2616" s="808"/>
      <c r="G2616" s="497"/>
      <c r="H2616" s="497"/>
      <c r="I2616" s="499"/>
      <c r="J2616" s="497"/>
      <c r="K2616" s="497"/>
      <c r="L2616" s="815"/>
      <c r="M2616" s="725"/>
      <c r="N2616" s="725"/>
      <c r="O2616" s="725"/>
      <c r="P2616" s="725"/>
      <c r="Q2616" s="726"/>
      <c r="R2616" s="784"/>
      <c r="S2616" s="497"/>
      <c r="T2616" s="784"/>
    </row>
    <row r="2617" spans="1:41" s="501" customFormat="1" ht="13.5" customHeight="1" thickBot="1">
      <c r="A2617" s="816"/>
      <c r="B2617" s="817"/>
      <c r="C2617" s="518"/>
      <c r="D2617" s="518"/>
      <c r="E2617" s="515"/>
      <c r="F2617" s="721"/>
      <c r="G2617" s="515" t="s">
        <v>146</v>
      </c>
      <c r="H2617" s="515"/>
      <c r="I2617" s="516"/>
      <c r="J2617" s="515"/>
      <c r="K2617" s="515"/>
      <c r="L2617" s="818" t="s">
        <v>143</v>
      </c>
      <c r="M2617" s="517"/>
      <c r="N2617" s="517"/>
      <c r="O2617" s="517"/>
      <c r="P2617" s="517"/>
      <c r="Q2617" s="722"/>
      <c r="R2617" s="819">
        <f ca="1">SUMIF($L2593:$L2616,"SUBI",R2593:R2616)</f>
        <v>3006.65</v>
      </c>
      <c r="S2617" s="820"/>
      <c r="T2617" s="819">
        <f ca="1">SUMIF($L2593:$L2616,"SUBI",T2593:T2616)</f>
        <v>38.049999999999997</v>
      </c>
      <c r="U2617" s="518"/>
      <c r="V2617" s="518"/>
      <c r="W2617" s="518"/>
      <c r="X2617" s="518"/>
      <c r="Y2617" s="518"/>
      <c r="Z2617" s="518"/>
      <c r="AA2617" s="518"/>
      <c r="AB2617" s="518"/>
      <c r="AC2617" s="518"/>
      <c r="AD2617" s="518"/>
      <c r="AE2617" s="518"/>
      <c r="AF2617" s="518"/>
      <c r="AG2617" s="518"/>
      <c r="AH2617" s="518"/>
      <c r="AI2617" s="518"/>
      <c r="AJ2617" s="518"/>
      <c r="AK2617" s="518"/>
      <c r="AL2617" s="518"/>
      <c r="AM2617" s="518"/>
      <c r="AN2617" s="518"/>
      <c r="AO2617" s="518"/>
    </row>
    <row r="2618" spans="1:41" s="501" customFormat="1" thickTop="1">
      <c r="A2618" s="44"/>
      <c r="B2618" s="44"/>
      <c r="C2618" s="3"/>
      <c r="D2618" s="3"/>
      <c r="E2618" s="44"/>
      <c r="F2618" s="44"/>
      <c r="G2618" s="44"/>
      <c r="H2618" s="44"/>
      <c r="I2618" s="44"/>
      <c r="J2618" s="44"/>
      <c r="K2618" s="44" t="s">
        <v>134</v>
      </c>
      <c r="L2618" s="44"/>
      <c r="M2618" s="44"/>
      <c r="N2618" s="44"/>
      <c r="O2618" s="45"/>
      <c r="P2618" s="44"/>
      <c r="Q2618" s="44"/>
      <c r="R2618" s="44"/>
      <c r="S2618" s="44"/>
      <c r="T2618" s="44"/>
    </row>
    <row r="2619" spans="1:41" s="501" customFormat="1" ht="12">
      <c r="A2619" s="44"/>
      <c r="B2619" s="44"/>
      <c r="C2619" s="44" t="s">
        <v>135</v>
      </c>
      <c r="D2619" s="35"/>
      <c r="E2619" s="44"/>
      <c r="F2619" s="44"/>
      <c r="G2619" s="44"/>
      <c r="H2619" s="44"/>
      <c r="I2619" s="44"/>
      <c r="J2619" s="44"/>
      <c r="K2619" s="44"/>
      <c r="L2619" s="44"/>
      <c r="M2619" s="44"/>
      <c r="N2619" s="44"/>
      <c r="O2619" s="45"/>
      <c r="P2619" s="44"/>
      <c r="Q2619" s="44"/>
      <c r="R2619" s="44"/>
      <c r="S2619" s="44"/>
      <c r="T2619" s="44"/>
    </row>
    <row r="2620" spans="1:41" s="501" customFormat="1" ht="12">
      <c r="A2620" s="44"/>
      <c r="B2620" s="44"/>
      <c r="C2620" s="44"/>
      <c r="D2620" s="35" t="s">
        <v>547</v>
      </c>
      <c r="E2620" s="44"/>
      <c r="F2620" s="44"/>
      <c r="G2620" s="44"/>
      <c r="H2620" s="44"/>
      <c r="I2620" s="44"/>
      <c r="J2620" s="44"/>
      <c r="K2620" s="44"/>
      <c r="L2620" s="44"/>
      <c r="M2620" s="44"/>
      <c r="N2620" s="44"/>
      <c r="O2620" s="45"/>
      <c r="P2620" s="44"/>
      <c r="Q2620" s="44"/>
      <c r="R2620" s="44"/>
      <c r="S2620" s="36"/>
      <c r="T2620" s="36"/>
    </row>
    <row r="2621" spans="1:41" s="3" customFormat="1" thickBot="1">
      <c r="A2621" s="518"/>
      <c r="O2621" s="86"/>
    </row>
    <row r="2622" spans="1:41" s="501" customFormat="1" thickTop="1">
      <c r="A2622" s="44"/>
      <c r="B2622" s="39"/>
      <c r="C2622" s="44"/>
      <c r="E2622" s="40" t="s">
        <v>138</v>
      </c>
      <c r="F2622" s="40" t="s">
        <v>139</v>
      </c>
      <c r="G2622" s="44"/>
      <c r="H2622" s="44"/>
      <c r="I2622" s="44"/>
      <c r="J2622" s="44"/>
      <c r="K2622" s="44" t="s">
        <v>140</v>
      </c>
      <c r="L2622" s="737"/>
      <c r="M2622" s="44"/>
      <c r="N2622" s="44"/>
      <c r="O2622" s="45"/>
      <c r="P2622" s="44"/>
      <c r="Q2622"/>
      <c r="R2622"/>
      <c r="S2622"/>
      <c r="T2622" s="39"/>
      <c r="AG2622" s="502" t="s">
        <v>247</v>
      </c>
      <c r="AH2622" s="502" t="s">
        <v>248</v>
      </c>
      <c r="AI2622" s="502" t="s">
        <v>249</v>
      </c>
      <c r="AJ2622" s="502" t="s">
        <v>250</v>
      </c>
      <c r="AK2622" s="502" t="s">
        <v>251</v>
      </c>
      <c r="AM2622" s="710" t="s">
        <v>260</v>
      </c>
      <c r="AN2622" s="711" t="s">
        <v>261</v>
      </c>
      <c r="AO2622" s="503" t="s">
        <v>257</v>
      </c>
    </row>
    <row r="2623" spans="1:41" s="501" customFormat="1" ht="13.2">
      <c r="A2623" s="712">
        <v>1</v>
      </c>
      <c r="B2623" s="504" t="s">
        <v>283</v>
      </c>
      <c r="C2623" s="505"/>
      <c r="D2623" s="713" t="s">
        <v>627</v>
      </c>
      <c r="E2623" s="738">
        <f ca="1">IF(AND($A2623=0,$A$1="DIF"),0,ROUND(ROUND(SUMIF($L2625:$L2643,"SUBI",$E2625:$E2643)/$A2623,2)*$C$12,2))</f>
        <v>5486.79</v>
      </c>
      <c r="F2623" s="739">
        <f ca="1">ROUND($A2623*$E2623,2)</f>
        <v>5486.79</v>
      </c>
      <c r="G2623" s="506" t="s">
        <v>142</v>
      </c>
      <c r="H2623" s="498"/>
      <c r="I2623" s="716"/>
      <c r="J2623" s="498"/>
      <c r="K2623" s="740"/>
      <c r="L2623" s="741" t="s">
        <v>143</v>
      </c>
      <c r="M2623" s="717"/>
      <c r="N2623" s="717"/>
      <c r="O2623" s="717"/>
      <c r="P2623" s="717"/>
      <c r="Q2623" s="943" t="s">
        <v>855</v>
      </c>
      <c r="R2623" s="943" t="s">
        <v>869</v>
      </c>
      <c r="S2623"/>
      <c r="T2623" s="742" t="str">
        <f ca="1">IF(AND($R2648=0,$T2648=0),"0.00","mu :" &amp; ROUND($F2623/$C$12/($R2648+$T2648*$D$9),2))</f>
        <v>mu :1.37</v>
      </c>
      <c r="W2623" s="507"/>
      <c r="AG2623" s="743">
        <f ca="1">IF(A2623=0,0,ROUND(SUM(AG2625:AG2648)/A2623,2))</f>
        <v>4031.98</v>
      </c>
      <c r="AH2623" s="743">
        <f ca="1">$AG2623*$A2623</f>
        <v>4031.98</v>
      </c>
      <c r="AI2623" s="743">
        <f ca="1">$E2623-$AG2623</f>
        <v>1454.81</v>
      </c>
      <c r="AJ2623" s="743">
        <f ca="1">$A2623*$AI2623</f>
        <v>1454.81</v>
      </c>
      <c r="AK2623" s="744">
        <f ca="1">ROUND(($AG2623+$AI2623)*$A2623,2)</f>
        <v>5486.79</v>
      </c>
      <c r="AM2623" s="510">
        <f ca="1">ROUND(R2648,2)</f>
        <v>2986.65</v>
      </c>
      <c r="AN2623" s="511">
        <f ca="1">ROUND(T2648,2)</f>
        <v>37.049999999999997</v>
      </c>
      <c r="AO2623" s="512">
        <f ca="1">ROUND(AM2623+AN2623,2)*A2623</f>
        <v>3023.7</v>
      </c>
    </row>
    <row r="2624" spans="1:41" s="501" customFormat="1" ht="39.9" customHeight="1">
      <c r="A2624" s="745"/>
      <c r="B2624" s="746"/>
      <c r="C2624" s="505"/>
      <c r="D2624" s="1183" t="s">
        <v>548</v>
      </c>
      <c r="E2624" s="1184"/>
      <c r="F2624" s="1184"/>
      <c r="G2624" s="1184"/>
      <c r="H2624" s="1184"/>
      <c r="I2624" s="1184"/>
      <c r="J2624" s="1184"/>
      <c r="K2624" s="1184"/>
      <c r="L2624" s="1184"/>
      <c r="M2624" s="1184"/>
      <c r="N2624" s="1184"/>
      <c r="O2624" s="1184"/>
      <c r="P2624" s="1184"/>
      <c r="Q2624" s="1184"/>
      <c r="R2624" s="1184"/>
      <c r="S2624" s="1184"/>
      <c r="T2624" s="1184"/>
    </row>
    <row r="2625" spans="1:33" s="501" customFormat="1" ht="12">
      <c r="A2625" s="748"/>
      <c r="B2625" s="749"/>
      <c r="C2625" s="497"/>
      <c r="D2625" s="750"/>
      <c r="E2625" s="751">
        <f ca="1">F2623/$C$12-SUMIF($L2622:$L2648,"SUBI",$E2622:$E2648)</f>
        <v>0</v>
      </c>
      <c r="F2625" s="752" t="s">
        <v>572</v>
      </c>
      <c r="G2625" s="753"/>
      <c r="H2625" s="753"/>
      <c r="I2625" s="754"/>
      <c r="J2625" s="753"/>
      <c r="K2625" s="753"/>
      <c r="L2625" s="755"/>
      <c r="M2625" s="756"/>
      <c r="N2625" s="756"/>
      <c r="O2625" s="756"/>
      <c r="P2625" s="756"/>
      <c r="Q2625" s="757"/>
      <c r="R2625" s="758"/>
      <c r="S2625" s="757"/>
      <c r="T2625" s="759"/>
    </row>
    <row r="2626" spans="1:33" s="501" customFormat="1" ht="12" customHeight="1">
      <c r="A2626" s="760"/>
      <c r="B2626" s="761"/>
      <c r="C2626" s="762"/>
      <c r="D2626" s="762" t="str">
        <f>$F$2</f>
        <v>Electrical</v>
      </c>
      <c r="E2626" s="762">
        <f ca="1">ROUND(($R2638*$S$2 + ($T2638*$T$2)), 2)</f>
        <v>1585.61</v>
      </c>
      <c r="F2626" s="763">
        <f ca="1">$E2626*$C$12</f>
        <v>1585.61</v>
      </c>
      <c r="G2626" s="567"/>
      <c r="H2626" s="764"/>
      <c r="I2626" s="567"/>
      <c r="J2626" s="45"/>
      <c r="K2626" s="765" t="s">
        <v>3</v>
      </c>
      <c r="L2626" s="766" t="s">
        <v>573</v>
      </c>
      <c r="M2626" s="567"/>
      <c r="N2626" s="567"/>
      <c r="O2626" s="45"/>
      <c r="P2626" s="567"/>
      <c r="Q2626" s="567"/>
      <c r="R2626"/>
      <c r="S2626"/>
      <c r="T2626"/>
    </row>
    <row r="2627" spans="1:33" s="935" customFormat="1" ht="13.2">
      <c r="A2627"/>
      <c r="B2627" s="927"/>
      <c r="C2627" s="927" t="s">
        <v>735</v>
      </c>
      <c r="D2627" s="927" t="str">
        <f ca="1">CELL("Address",Elec_Rates!D$117)</f>
        <v>[E25_0465_IH_Retro_Elec4Mech_Est_Rev_A.xlsx]Elec_Rates!$D$117</v>
      </c>
      <c r="E2627" s="928"/>
      <c r="F2627" s="928"/>
      <c r="G2627" s="929" t="s">
        <v>736</v>
      </c>
      <c r="H2627" s="929"/>
      <c r="I2627" s="929"/>
      <c r="J2627" s="929"/>
      <c r="K2627" s="930"/>
      <c r="L2627" s="928"/>
      <c r="M2627" s="928"/>
      <c r="N2627" s="928"/>
      <c r="O2627" s="931"/>
      <c r="P2627" s="928"/>
      <c r="Q2627" s="932"/>
      <c r="R2627" s="933"/>
      <c r="S2627" s="932"/>
      <c r="T2627" s="560"/>
      <c r="U2627" s="934"/>
    </row>
    <row r="2628" spans="1:33" s="935" customFormat="1" ht="11.4">
      <c r="A2628" s="936">
        <v>1</v>
      </c>
      <c r="B2628" s="937">
        <v>1</v>
      </c>
      <c r="C2628" s="937">
        <f>$A2628*$B2628</f>
        <v>1</v>
      </c>
      <c r="D2628" s="938" t="str">
        <f>Elec_Rates!$D$117</f>
        <v>004# Power supply to control panel (4core x 2.5sqmm)</v>
      </c>
      <c r="E2628" s="938"/>
      <c r="F2628" s="938" t="s">
        <v>737</v>
      </c>
      <c r="G2628" s="939" t="s">
        <v>738</v>
      </c>
      <c r="H2628" s="939"/>
      <c r="I2628" s="939"/>
      <c r="J2628" s="939"/>
      <c r="K2628" s="940"/>
      <c r="L2628" s="934"/>
      <c r="M2628" s="934"/>
      <c r="N2628" s="934"/>
      <c r="O2628" s="941"/>
      <c r="P2628" s="938"/>
      <c r="Q2628" s="942">
        <f ca="1">$B2628*Elec_Rates!$R$117</f>
        <v>62.41</v>
      </c>
      <c r="R2628" s="933">
        <f ca="1">$A2628*Q2628</f>
        <v>62.41</v>
      </c>
      <c r="S2628" s="942">
        <f ca="1">$B2628*Elec_Rates!$T$117</f>
        <v>3.06</v>
      </c>
      <c r="T2628" s="560">
        <f ca="1">$A2628*S2628</f>
        <v>3.06</v>
      </c>
      <c r="U2628" s="484"/>
    </row>
    <row r="2629" spans="1:33" s="935" customFormat="1" ht="13.2">
      <c r="A2629"/>
      <c r="B2629" s="927"/>
      <c r="C2629" s="927" t="s">
        <v>735</v>
      </c>
      <c r="D2629" s="927" t="str">
        <f ca="1">CELL("Address",Elec_Rates!D$196)</f>
        <v>[E25_0465_IH_Retro_Elec4Mech_Est_Rev_A.xlsx]Elec_Rates!$D$196</v>
      </c>
      <c r="E2629" s="928"/>
      <c r="F2629" s="928"/>
      <c r="G2629" s="929" t="s">
        <v>736</v>
      </c>
      <c r="H2629" s="929"/>
      <c r="I2629" s="929"/>
      <c r="J2629" s="929"/>
      <c r="K2629" s="930"/>
      <c r="L2629" s="928"/>
      <c r="M2629" s="928"/>
      <c r="N2629" s="928"/>
      <c r="O2629" s="931"/>
      <c r="P2629" s="928"/>
      <c r="Q2629" s="932"/>
      <c r="R2629" s="933"/>
      <c r="S2629" s="932"/>
      <c r="T2629" s="560"/>
      <c r="U2629" s="934"/>
    </row>
    <row r="2630" spans="1:33" s="935" customFormat="1" ht="11.4">
      <c r="A2630" s="936">
        <v>1</v>
      </c>
      <c r="B2630" s="937">
        <v>1</v>
      </c>
      <c r="C2630" s="937">
        <f>$A2630*$B2630</f>
        <v>1</v>
      </c>
      <c r="D2630" s="938" t="str">
        <f>Elec_Rates!$D$196</f>
        <v>013# Installation of Rosenger control panel</v>
      </c>
      <c r="E2630" s="938"/>
      <c r="F2630" s="938" t="s">
        <v>737</v>
      </c>
      <c r="G2630" s="939" t="s">
        <v>739</v>
      </c>
      <c r="H2630" s="939"/>
      <c r="I2630" s="939"/>
      <c r="J2630" s="939"/>
      <c r="K2630" s="940"/>
      <c r="L2630" s="934"/>
      <c r="M2630" s="934"/>
      <c r="N2630" s="934"/>
      <c r="O2630" s="941"/>
      <c r="P2630" s="938"/>
      <c r="Q2630" s="942">
        <f ca="1">$B2630*Elec_Rates!$R$196</f>
        <v>20</v>
      </c>
      <c r="R2630" s="933">
        <f ca="1">$A2630*Q2630</f>
        <v>20</v>
      </c>
      <c r="S2630" s="942">
        <f ca="1">$B2630*Elec_Rates!$T$196</f>
        <v>2</v>
      </c>
      <c r="T2630" s="560">
        <f ca="1">$A2630*S2630</f>
        <v>2</v>
      </c>
      <c r="U2630" s="484"/>
    </row>
    <row r="2631" spans="1:33" s="935" customFormat="1" ht="13.2">
      <c r="A2631"/>
      <c r="B2631" s="927"/>
      <c r="C2631" s="927" t="s">
        <v>735</v>
      </c>
      <c r="D2631" s="927" t="str">
        <f ca="1">CELL("Address",Elec_Rates!D$203)</f>
        <v>[E25_0465_IH_Retro_Elec4Mech_Est_Rev_A.xlsx]Elec_Rates!$D$203</v>
      </c>
      <c r="E2631" s="928"/>
      <c r="F2631" s="928"/>
      <c r="G2631" s="929" t="s">
        <v>736</v>
      </c>
      <c r="H2631" s="929"/>
      <c r="I2631" s="929"/>
      <c r="J2631" s="929"/>
      <c r="K2631" s="930"/>
      <c r="L2631" s="928"/>
      <c r="M2631" s="928"/>
      <c r="N2631" s="928"/>
      <c r="O2631" s="931"/>
      <c r="P2631" s="928"/>
      <c r="Q2631" s="932"/>
      <c r="R2631" s="933"/>
      <c r="S2631" s="932"/>
      <c r="T2631" s="560"/>
      <c r="U2631" s="934"/>
    </row>
    <row r="2632" spans="1:33" s="935" customFormat="1" ht="11.4">
      <c r="A2632" s="936">
        <v>1</v>
      </c>
      <c r="B2632" s="937">
        <v>1</v>
      </c>
      <c r="C2632" s="937">
        <f>$A2632*$B2632</f>
        <v>1</v>
      </c>
      <c r="D2632" s="938" t="str">
        <f>Elec_Rates!$D$203</f>
        <v>014# Installation of cable harness to fans</v>
      </c>
      <c r="E2632" s="938"/>
      <c r="F2632" s="938" t="s">
        <v>737</v>
      </c>
      <c r="G2632" s="939" t="s">
        <v>738</v>
      </c>
      <c r="H2632" s="939"/>
      <c r="I2632" s="939"/>
      <c r="J2632" s="939"/>
      <c r="K2632" s="940"/>
      <c r="L2632" s="934"/>
      <c r="M2632" s="934"/>
      <c r="N2632" s="934"/>
      <c r="O2632" s="941"/>
      <c r="P2632" s="938"/>
      <c r="Q2632" s="942">
        <f ca="1">$B2632*Elec_Rates!$R$203</f>
        <v>20</v>
      </c>
      <c r="R2632" s="933">
        <f ca="1">$A2632*Q2632</f>
        <v>20</v>
      </c>
      <c r="S2632" s="942">
        <f ca="1">$B2632*Elec_Rates!$T$203</f>
        <v>1</v>
      </c>
      <c r="T2632" s="560">
        <f ca="1">$A2632*S2632</f>
        <v>1</v>
      </c>
      <c r="U2632" s="484"/>
    </row>
    <row r="2633" spans="1:33" s="935" customFormat="1" ht="13.2">
      <c r="A2633"/>
      <c r="B2633" s="927"/>
      <c r="C2633" s="927" t="s">
        <v>735</v>
      </c>
      <c r="D2633" s="927" t="str">
        <f ca="1">CELL("Address",Elec_Rates!D$210)</f>
        <v>[E25_0465_IH_Retro_Elec4Mech_Est_Rev_A.xlsx]Elec_Rates!$D$210</v>
      </c>
      <c r="E2633" s="928"/>
      <c r="F2633" s="928"/>
      <c r="G2633" s="929" t="s">
        <v>736</v>
      </c>
      <c r="H2633" s="929"/>
      <c r="I2633" s="929"/>
      <c r="J2633" s="929"/>
      <c r="K2633" s="930"/>
      <c r="L2633" s="928"/>
      <c r="M2633" s="928"/>
      <c r="N2633" s="928"/>
      <c r="O2633" s="931"/>
      <c r="P2633" s="928"/>
      <c r="Q2633" s="932"/>
      <c r="R2633" s="933"/>
      <c r="S2633" s="932"/>
      <c r="T2633" s="560"/>
      <c r="U2633" s="934"/>
    </row>
    <row r="2634" spans="1:33" s="935" customFormat="1" ht="11.4">
      <c r="A2634" s="936">
        <v>1</v>
      </c>
      <c r="B2634" s="937">
        <v>1</v>
      </c>
      <c r="C2634" s="937">
        <f>$A2634*$B2634</f>
        <v>1</v>
      </c>
      <c r="D2634" s="938" t="str">
        <f>Elec_Rates!$D$210</f>
        <v>015# Installation of control panels by ECA</v>
      </c>
      <c r="E2634" s="938"/>
      <c r="F2634" s="938" t="s">
        <v>737</v>
      </c>
      <c r="G2634" s="939" t="s">
        <v>739</v>
      </c>
      <c r="H2634" s="939"/>
      <c r="I2634" s="939"/>
      <c r="J2634" s="939"/>
      <c r="K2634" s="940"/>
      <c r="L2634" s="934"/>
      <c r="M2634" s="934"/>
      <c r="N2634" s="934"/>
      <c r="O2634" s="941"/>
      <c r="P2634" s="938"/>
      <c r="Q2634" s="942">
        <f ca="1">$B2634*Elec_Rates!$R$210</f>
        <v>30</v>
      </c>
      <c r="R2634" s="933">
        <f ca="1">$A2634*Q2634</f>
        <v>30</v>
      </c>
      <c r="S2634" s="942">
        <f ca="1">$B2634*Elec_Rates!$T$210</f>
        <v>1</v>
      </c>
      <c r="T2634" s="560">
        <f ca="1">$A2634*S2634</f>
        <v>1</v>
      </c>
      <c r="U2634" s="484"/>
    </row>
    <row r="2635" spans="1:33" s="935" customFormat="1" ht="13.2">
      <c r="A2635"/>
      <c r="B2635" s="927"/>
      <c r="C2635" s="927" t="s">
        <v>735</v>
      </c>
      <c r="D2635" s="927" t="str">
        <f ca="1">CELL("Address",Elec_Rates!D$217)</f>
        <v>[E25_0465_IH_Retro_Elec4Mech_Est_Rev_A.xlsx]Elec_Rates!$D$217</v>
      </c>
      <c r="E2635" s="928"/>
      <c r="F2635" s="928"/>
      <c r="G2635" s="929" t="s">
        <v>736</v>
      </c>
      <c r="H2635" s="929"/>
      <c r="I2635" s="929"/>
      <c r="J2635" s="929"/>
      <c r="K2635" s="930"/>
      <c r="L2635" s="928"/>
      <c r="M2635" s="928"/>
      <c r="N2635" s="928"/>
      <c r="O2635" s="931"/>
      <c r="P2635" s="928"/>
      <c r="Q2635" s="932"/>
      <c r="R2635" s="933"/>
      <c r="S2635" s="932"/>
      <c r="T2635" s="560"/>
      <c r="U2635" s="934"/>
    </row>
    <row r="2636" spans="1:33" s="935" customFormat="1" ht="11.4">
      <c r="A2636" s="936">
        <v>1</v>
      </c>
      <c r="B2636" s="937">
        <v>1</v>
      </c>
      <c r="C2636" s="937">
        <f>$A2636*$B2636</f>
        <v>1</v>
      </c>
      <c r="D2636" s="938" t="str">
        <f>Elec_Rates!$D$217</f>
        <v>016# Installation of sensors on AHUs</v>
      </c>
      <c r="E2636" s="938"/>
      <c r="F2636" s="938" t="s">
        <v>737</v>
      </c>
      <c r="G2636" s="939" t="s">
        <v>738</v>
      </c>
      <c r="H2636" s="939"/>
      <c r="I2636" s="939"/>
      <c r="J2636" s="939"/>
      <c r="K2636" s="940"/>
      <c r="L2636" s="934"/>
      <c r="M2636" s="934"/>
      <c r="N2636" s="934"/>
      <c r="O2636" s="941"/>
      <c r="P2636" s="938"/>
      <c r="Q2636" s="942">
        <f ca="1">$B2636*Elec_Rates!$R$217</f>
        <v>354.24</v>
      </c>
      <c r="R2636" s="933">
        <f ca="1">$A2636*Q2636</f>
        <v>354.24</v>
      </c>
      <c r="S2636" s="942">
        <f ca="1">$B2636*Elec_Rates!$T$217</f>
        <v>17.989999999999998</v>
      </c>
      <c r="T2636" s="560">
        <f ca="1">$A2636*S2636</f>
        <v>17.989999999999998</v>
      </c>
      <c r="U2636" s="484"/>
    </row>
    <row r="2637" spans="1:33" s="501" customFormat="1" ht="14.4" customHeight="1">
      <c r="A2637" s="767"/>
      <c r="B2637" s="567"/>
      <c r="C2637" s="567"/>
      <c r="D2637" s="567"/>
      <c r="E2637" s="567"/>
      <c r="F2637" s="567"/>
      <c r="G2637" s="567"/>
      <c r="H2637" s="764"/>
      <c r="I2637" s="567"/>
      <c r="J2637" s="45"/>
      <c r="K2637" s="769"/>
      <c r="L2637" s="770"/>
      <c r="M2637" s="567"/>
      <c r="N2637" s="567"/>
      <c r="O2637" s="45"/>
      <c r="P2637" s="567"/>
      <c r="Q2637" s="567"/>
      <c r="R2637" s="771">
        <f>$A2637*Q2637</f>
        <v>0</v>
      </c>
      <c r="S2637" s="567"/>
      <c r="T2637" s="500">
        <f>$A2637*S2637*$T$1</f>
        <v>0</v>
      </c>
    </row>
    <row r="2638" spans="1:33" s="501" customFormat="1" ht="12">
      <c r="A2638" s="772" t="s">
        <v>145</v>
      </c>
      <c r="B2638" s="773">
        <f>(R2637+T2637)</f>
        <v>0</v>
      </c>
      <c r="C2638" s="753"/>
      <c r="G2638" s="774"/>
      <c r="H2638" s="774"/>
      <c r="I2638" s="774"/>
      <c r="J2638" s="774"/>
      <c r="K2638" s="750" t="s">
        <v>3</v>
      </c>
      <c r="L2638" s="775" t="s">
        <v>573</v>
      </c>
      <c r="M2638" s="774"/>
      <c r="N2638" s="774"/>
      <c r="O2638" s="774"/>
      <c r="P2638" s="774"/>
      <c r="Q2638" s="776"/>
      <c r="R2638" s="777">
        <f ca="1">SUM(R2626:R2637)</f>
        <v>486.65</v>
      </c>
      <c r="S2638" s="778"/>
      <c r="T2638" s="777">
        <f ca="1">SUM(T2626:T2637)</f>
        <v>25.049999999999997</v>
      </c>
      <c r="AG2638" s="779">
        <f ca="1">ROUND($R2638*$S$2,2)</f>
        <v>656.98</v>
      </c>
    </row>
    <row r="2639" spans="1:33" s="501" customFormat="1" ht="12" customHeight="1">
      <c r="A2639" s="760"/>
      <c r="B2639" s="780"/>
      <c r="C2639" s="781"/>
      <c r="D2639" s="782" t="str">
        <f>$F$3</f>
        <v>Technician</v>
      </c>
      <c r="E2639" s="782">
        <f>ROUND(($R2642*$S$3 + ($T2642*$T$3)), 2)</f>
        <v>3739.18</v>
      </c>
      <c r="F2639" s="783">
        <f>$E2639*$C$12</f>
        <v>3739.18</v>
      </c>
      <c r="G2639" s="499"/>
      <c r="H2639" s="499"/>
      <c r="I2639" s="499"/>
      <c r="J2639" s="499"/>
      <c r="K2639" s="765" t="s">
        <v>5</v>
      </c>
      <c r="L2639" s="766" t="s">
        <v>573</v>
      </c>
      <c r="M2639" s="499"/>
      <c r="N2639" s="499"/>
      <c r="O2639" s="499"/>
      <c r="P2639" s="499"/>
      <c r="Q2639" s="499"/>
      <c r="R2639" s="784"/>
      <c r="S2639" s="499"/>
      <c r="T2639" s="784"/>
    </row>
    <row r="2640" spans="1:33" s="893" customFormat="1" ht="13.2">
      <c r="A2640">
        <v>1</v>
      </c>
      <c r="B2640" s="893" t="s">
        <v>141</v>
      </c>
      <c r="D2640" s="893" t="s">
        <v>767</v>
      </c>
      <c r="E2640" s="893" t="s">
        <v>770</v>
      </c>
      <c r="F2640" s="893" t="s">
        <v>769</v>
      </c>
      <c r="G2640" s="894" t="s">
        <v>768</v>
      </c>
      <c r="H2640" s="895">
        <v>570</v>
      </c>
      <c r="I2640" s="893" t="s">
        <v>643</v>
      </c>
      <c r="O2640" s="896">
        <v>2</v>
      </c>
      <c r="P2640" s="897">
        <v>38443</v>
      </c>
      <c r="Q2640" s="898">
        <v>2500</v>
      </c>
      <c r="R2640" s="899">
        <f>$A2640*Q2640</f>
        <v>2500</v>
      </c>
      <c r="S2640" s="898">
        <f>200/25</f>
        <v>8</v>
      </c>
      <c r="T2640" s="900">
        <f>$A2640*S2640*$T$1</f>
        <v>8</v>
      </c>
    </row>
    <row r="2641" spans="1:41" s="501" customFormat="1" ht="15.6" customHeight="1">
      <c r="A2641" s="767"/>
      <c r="B2641" s="567"/>
      <c r="C2641" s="567"/>
      <c r="D2641" s="3"/>
      <c r="E2641" s="567"/>
      <c r="F2641" s="567"/>
      <c r="G2641" s="567"/>
      <c r="H2641" s="567"/>
      <c r="I2641" s="567"/>
      <c r="J2641" s="567"/>
      <c r="K2641" s="567"/>
      <c r="L2641" s="770"/>
      <c r="M2641" s="567"/>
      <c r="N2641" s="567"/>
      <c r="O2641" s="567"/>
      <c r="P2641" s="567"/>
      <c r="Q2641" s="567"/>
      <c r="R2641" s="771">
        <f>$A2641*Q2641</f>
        <v>0</v>
      </c>
      <c r="S2641" s="567"/>
      <c r="T2641" s="500">
        <f>$A2641*S2641*$T$1</f>
        <v>0</v>
      </c>
    </row>
    <row r="2642" spans="1:41" s="501" customFormat="1" ht="12">
      <c r="A2642" s="772" t="s">
        <v>145</v>
      </c>
      <c r="B2642" s="773">
        <f>(R2641+T2641)</f>
        <v>0</v>
      </c>
      <c r="C2642" s="753"/>
      <c r="G2642" s="774"/>
      <c r="H2642" s="774"/>
      <c r="I2642" s="774"/>
      <c r="J2642" s="774"/>
      <c r="K2642" s="798" t="s">
        <v>5</v>
      </c>
      <c r="L2642" s="775" t="s">
        <v>573</v>
      </c>
      <c r="M2642" s="774"/>
      <c r="N2642" s="774"/>
      <c r="O2642" s="774"/>
      <c r="P2642" s="774"/>
      <c r="Q2642" s="776"/>
      <c r="R2642" s="777">
        <f>SUM(R2639:R2641)</f>
        <v>2500</v>
      </c>
      <c r="S2642" s="778"/>
      <c r="T2642" s="777">
        <f>SUM(T2639:T2641)</f>
        <v>8</v>
      </c>
      <c r="AG2642" s="799">
        <f>ROUND($R2642*$S$3,2)</f>
        <v>3375</v>
      </c>
    </row>
    <row r="2643" spans="1:41" s="501" customFormat="1" ht="12" customHeight="1">
      <c r="A2643" s="800"/>
      <c r="B2643" s="801"/>
      <c r="C2643" s="802"/>
      <c r="D2643" s="803" t="str">
        <f>$F$4</f>
        <v>Engineer (Man Hours)</v>
      </c>
      <c r="E2643" s="803">
        <f>ROUND(($R2646*$S$4 + ($T2646*$T$4)), 2)</f>
        <v>162</v>
      </c>
      <c r="F2643" s="804">
        <f ca="1">$F2623-SUMIF($L2625:$P2640,"SUBI",$F2625:$F2640)</f>
        <v>162</v>
      </c>
      <c r="G2643" s="499"/>
      <c r="H2643" s="499"/>
      <c r="I2643" s="499"/>
      <c r="J2643" s="499"/>
      <c r="K2643" s="805" t="s">
        <v>8</v>
      </c>
      <c r="L2643" s="766" t="s">
        <v>573</v>
      </c>
      <c r="M2643" s="499"/>
      <c r="N2643" s="499"/>
      <c r="O2643" s="499"/>
      <c r="P2643" s="499"/>
      <c r="Q2643" s="499"/>
      <c r="R2643" s="784"/>
      <c r="S2643" s="499"/>
      <c r="T2643" s="784"/>
    </row>
    <row r="2644" spans="1:41" s="893" customFormat="1" ht="13.2">
      <c r="A2644">
        <v>1</v>
      </c>
      <c r="B2644" s="893" t="s">
        <v>141</v>
      </c>
      <c r="D2644" s="893" t="s">
        <v>767</v>
      </c>
      <c r="E2644" s="893" t="s">
        <v>771</v>
      </c>
      <c r="F2644" s="893" t="s">
        <v>769</v>
      </c>
      <c r="G2644" s="894" t="s">
        <v>768</v>
      </c>
      <c r="H2644" s="895">
        <v>570</v>
      </c>
      <c r="I2644" s="893" t="s">
        <v>643</v>
      </c>
      <c r="O2644" s="896">
        <v>2</v>
      </c>
      <c r="P2644" s="897">
        <v>38443</v>
      </c>
      <c r="Q2644" s="898"/>
      <c r="R2644" s="899">
        <f>$A2644*Q2644</f>
        <v>0</v>
      </c>
      <c r="S2644" s="898">
        <f>100/25</f>
        <v>4</v>
      </c>
      <c r="T2644" s="900">
        <f>$A2644*S2644*$T$1</f>
        <v>4</v>
      </c>
    </row>
    <row r="2645" spans="1:41" s="501" customFormat="1" ht="12">
      <c r="A2645" s="44"/>
      <c r="B2645" s="497"/>
      <c r="C2645" s="497"/>
      <c r="D2645" s="807"/>
      <c r="E2645" s="808"/>
      <c r="F2645" s="499"/>
      <c r="G2645" s="499"/>
      <c r="H2645" s="499"/>
      <c r="I2645" s="499"/>
      <c r="J2645" s="499"/>
      <c r="K2645" s="499"/>
      <c r="L2645" s="809"/>
      <c r="M2645" s="499"/>
      <c r="N2645" s="499"/>
      <c r="O2645" s="499"/>
      <c r="P2645" s="499"/>
      <c r="Q2645" s="499"/>
      <c r="R2645" s="720">
        <f>$A2645*Q2645</f>
        <v>0</v>
      </c>
      <c r="S2645" s="499"/>
      <c r="T2645" s="500">
        <f>$A2645*S2645*$T$1</f>
        <v>0</v>
      </c>
    </row>
    <row r="2646" spans="1:41" s="501" customFormat="1" ht="12.75" customHeight="1">
      <c r="A2646" s="772" t="s">
        <v>145</v>
      </c>
      <c r="B2646" s="773">
        <f>(R2645+T2645)</f>
        <v>0</v>
      </c>
      <c r="C2646" s="810"/>
      <c r="D2646" s="810"/>
      <c r="E2646" s="810"/>
      <c r="F2646" s="810"/>
      <c r="G2646" s="776"/>
      <c r="H2646" s="776"/>
      <c r="I2646" s="776"/>
      <c r="J2646" s="776"/>
      <c r="K2646" s="798" t="s">
        <v>8</v>
      </c>
      <c r="L2646" s="811" t="s">
        <v>573</v>
      </c>
      <c r="M2646" s="776"/>
      <c r="N2646" s="776"/>
      <c r="O2646" s="776"/>
      <c r="P2646" s="776"/>
      <c r="Q2646" s="776"/>
      <c r="R2646" s="777">
        <f>SUM(R2643:R2645)</f>
        <v>0</v>
      </c>
      <c r="S2646" s="778"/>
      <c r="T2646" s="777">
        <f>SUM(T2643:T2645)</f>
        <v>4</v>
      </c>
      <c r="AG2646" s="812">
        <f>ROUND($R2646*$S$4,2)</f>
        <v>0</v>
      </c>
    </row>
    <row r="2647" spans="1:41" s="501" customFormat="1" ht="12.75" customHeight="1">
      <c r="A2647" s="813"/>
      <c r="B2647" s="814"/>
      <c r="E2647" s="497"/>
      <c r="F2647" s="808"/>
      <c r="G2647" s="497"/>
      <c r="H2647" s="497"/>
      <c r="I2647" s="499"/>
      <c r="J2647" s="497"/>
      <c r="K2647" s="497"/>
      <c r="L2647" s="815"/>
      <c r="M2647" s="725"/>
      <c r="N2647" s="725"/>
      <c r="O2647" s="725"/>
      <c r="P2647" s="725"/>
      <c r="Q2647" s="726"/>
      <c r="R2647" s="784"/>
      <c r="S2647" s="497"/>
      <c r="T2647" s="784"/>
    </row>
    <row r="2648" spans="1:41" s="501" customFormat="1" ht="13.5" customHeight="1" thickBot="1">
      <c r="A2648" s="816"/>
      <c r="B2648" s="817"/>
      <c r="C2648" s="518"/>
      <c r="D2648" s="518"/>
      <c r="E2648" s="515"/>
      <c r="F2648" s="721"/>
      <c r="G2648" s="515" t="s">
        <v>146</v>
      </c>
      <c r="H2648" s="515"/>
      <c r="I2648" s="516"/>
      <c r="J2648" s="515"/>
      <c r="K2648" s="515"/>
      <c r="L2648" s="818" t="s">
        <v>143</v>
      </c>
      <c r="M2648" s="517"/>
      <c r="N2648" s="517"/>
      <c r="O2648" s="517"/>
      <c r="P2648" s="517"/>
      <c r="Q2648" s="722"/>
      <c r="R2648" s="819">
        <f ca="1">SUMIF($L2624:$L2647,"SUBI",R2624:R2647)</f>
        <v>2986.65</v>
      </c>
      <c r="S2648" s="820"/>
      <c r="T2648" s="819">
        <f ca="1">SUMIF($L2624:$L2647,"SUBI",T2624:T2647)</f>
        <v>37.049999999999997</v>
      </c>
      <c r="U2648" s="518"/>
      <c r="V2648" s="518"/>
      <c r="W2648" s="518"/>
      <c r="X2648" s="518"/>
      <c r="Y2648" s="518"/>
      <c r="Z2648" s="518"/>
      <c r="AA2648" s="518"/>
      <c r="AB2648" s="518"/>
      <c r="AC2648" s="518"/>
      <c r="AD2648" s="518"/>
      <c r="AE2648" s="518"/>
      <c r="AF2648" s="518"/>
      <c r="AG2648" s="518"/>
      <c r="AH2648" s="518"/>
      <c r="AI2648" s="518"/>
      <c r="AJ2648" s="518"/>
      <c r="AK2648" s="518"/>
      <c r="AL2648" s="518"/>
      <c r="AM2648" s="518"/>
      <c r="AN2648" s="518"/>
      <c r="AO2648" s="518"/>
    </row>
    <row r="2649" spans="1:41" s="501" customFormat="1" thickTop="1">
      <c r="A2649" s="44"/>
      <c r="B2649" s="44"/>
      <c r="C2649" s="3"/>
      <c r="D2649" s="3"/>
      <c r="E2649" s="44"/>
      <c r="F2649" s="44"/>
      <c r="G2649" s="44"/>
      <c r="H2649" s="44"/>
      <c r="I2649" s="44"/>
      <c r="J2649" s="44"/>
      <c r="K2649" s="44" t="s">
        <v>134</v>
      </c>
      <c r="L2649" s="44"/>
      <c r="M2649" s="44"/>
      <c r="N2649" s="44"/>
      <c r="O2649" s="45"/>
      <c r="P2649" s="44"/>
      <c r="Q2649" s="44"/>
      <c r="R2649" s="44"/>
      <c r="S2649" s="44"/>
      <c r="T2649" s="44"/>
    </row>
    <row r="2650" spans="1:41" s="501" customFormat="1" ht="12">
      <c r="A2650" s="44"/>
      <c r="B2650" s="44"/>
      <c r="C2650" s="44" t="s">
        <v>135</v>
      </c>
      <c r="D2650" s="35"/>
      <c r="E2650" s="44"/>
      <c r="F2650" s="44"/>
      <c r="G2650" s="44"/>
      <c r="H2650" s="44"/>
      <c r="I2650" s="44"/>
      <c r="J2650" s="44"/>
      <c r="K2650" s="44"/>
      <c r="L2650" s="44"/>
      <c r="M2650" s="44"/>
      <c r="N2650" s="44"/>
      <c r="O2650" s="45"/>
      <c r="P2650" s="44"/>
      <c r="Q2650" s="44"/>
      <c r="R2650" s="44"/>
      <c r="S2650" s="44"/>
      <c r="T2650" s="44"/>
    </row>
    <row r="2651" spans="1:41" s="501" customFormat="1" ht="12">
      <c r="A2651" s="44"/>
      <c r="B2651" s="44"/>
      <c r="C2651" s="44"/>
      <c r="D2651" s="35" t="s">
        <v>549</v>
      </c>
      <c r="E2651" s="44"/>
      <c r="F2651" s="44"/>
      <c r="G2651" s="44"/>
      <c r="H2651" s="44"/>
      <c r="I2651" s="44"/>
      <c r="J2651" s="44"/>
      <c r="K2651" s="44"/>
      <c r="L2651" s="44"/>
      <c r="M2651" s="44"/>
      <c r="N2651" s="44"/>
      <c r="O2651" s="45"/>
      <c r="P2651" s="44"/>
      <c r="Q2651" s="44"/>
      <c r="R2651" s="44"/>
      <c r="S2651" s="36"/>
      <c r="T2651" s="36"/>
    </row>
    <row r="2652" spans="1:41" s="3" customFormat="1" thickBot="1">
      <c r="A2652" s="518"/>
      <c r="O2652" s="86"/>
    </row>
    <row r="2653" spans="1:41" s="501" customFormat="1" thickTop="1">
      <c r="A2653" s="44"/>
      <c r="B2653" s="39"/>
      <c r="C2653" s="44"/>
      <c r="E2653" s="40" t="s">
        <v>138</v>
      </c>
      <c r="F2653" s="40" t="s">
        <v>139</v>
      </c>
      <c r="G2653" s="44"/>
      <c r="H2653" s="44"/>
      <c r="I2653" s="44"/>
      <c r="J2653" s="44"/>
      <c r="K2653" s="44" t="s">
        <v>140</v>
      </c>
      <c r="L2653" s="737"/>
      <c r="M2653" s="44"/>
      <c r="N2653" s="44"/>
      <c r="O2653" s="45"/>
      <c r="P2653" s="44"/>
      <c r="Q2653"/>
      <c r="R2653"/>
      <c r="S2653"/>
      <c r="T2653" s="39"/>
      <c r="AG2653" s="502" t="s">
        <v>247</v>
      </c>
      <c r="AH2653" s="502" t="s">
        <v>248</v>
      </c>
      <c r="AI2653" s="502" t="s">
        <v>249</v>
      </c>
      <c r="AJ2653" s="502" t="s">
        <v>250</v>
      </c>
      <c r="AK2653" s="502" t="s">
        <v>251</v>
      </c>
      <c r="AM2653" s="710" t="s">
        <v>260</v>
      </c>
      <c r="AN2653" s="711" t="s">
        <v>261</v>
      </c>
      <c r="AO2653" s="503" t="s">
        <v>257</v>
      </c>
    </row>
    <row r="2654" spans="1:41" s="501" customFormat="1" ht="13.2">
      <c r="A2654" s="712">
        <v>1</v>
      </c>
      <c r="B2654" s="504" t="s">
        <v>283</v>
      </c>
      <c r="C2654" s="505"/>
      <c r="D2654" s="713" t="s">
        <v>628</v>
      </c>
      <c r="E2654" s="738">
        <f ca="1">IF(AND($A2654=0,$A$1="DIF"),0,ROUND(ROUND(SUMIF($L2656:$L2674,"SUBI",$E2656:$E2674)/$A2654,2)*$C$12,2))</f>
        <v>5486.79</v>
      </c>
      <c r="F2654" s="739">
        <f ca="1">ROUND($A2654*$E2654,2)</f>
        <v>5486.79</v>
      </c>
      <c r="G2654" s="506" t="s">
        <v>142</v>
      </c>
      <c r="H2654" s="498"/>
      <c r="I2654" s="716"/>
      <c r="J2654" s="498"/>
      <c r="K2654" s="740"/>
      <c r="L2654" s="741" t="s">
        <v>143</v>
      </c>
      <c r="M2654" s="717"/>
      <c r="N2654" s="717"/>
      <c r="O2654" s="717"/>
      <c r="P2654" s="717"/>
      <c r="Q2654" s="943" t="s">
        <v>855</v>
      </c>
      <c r="R2654" s="943" t="s">
        <v>869</v>
      </c>
      <c r="S2654"/>
      <c r="T2654" s="742" t="str">
        <f ca="1">IF(AND($R2679=0,$T2679=0),"0.00","mu :" &amp; ROUND($F2654/$C$12/($R2679+$T2679*$D$9),2))</f>
        <v>mu :1.37</v>
      </c>
      <c r="W2654" s="507"/>
      <c r="AG2654" s="743">
        <f ca="1">IF(A2654=0,0,ROUND(SUM(AG2656:AG2679)/A2654,2))</f>
        <v>4031.98</v>
      </c>
      <c r="AH2654" s="743">
        <f ca="1">$AG2654*$A2654</f>
        <v>4031.98</v>
      </c>
      <c r="AI2654" s="743">
        <f ca="1">$E2654-$AG2654</f>
        <v>1454.81</v>
      </c>
      <c r="AJ2654" s="743">
        <f ca="1">$A2654*$AI2654</f>
        <v>1454.81</v>
      </c>
      <c r="AK2654" s="744">
        <f ca="1">ROUND(($AG2654+$AI2654)*$A2654,2)</f>
        <v>5486.79</v>
      </c>
      <c r="AM2654" s="510">
        <f ca="1">ROUND(R2679,2)</f>
        <v>2986.65</v>
      </c>
      <c r="AN2654" s="511">
        <f ca="1">ROUND(T2679,2)</f>
        <v>37.049999999999997</v>
      </c>
      <c r="AO2654" s="512">
        <f ca="1">ROUND(AM2654+AN2654,2)*A2654</f>
        <v>3023.7</v>
      </c>
    </row>
    <row r="2655" spans="1:41" s="501" customFormat="1" ht="39.9" customHeight="1">
      <c r="A2655" s="745"/>
      <c r="B2655" s="746"/>
      <c r="C2655" s="505"/>
      <c r="D2655" s="1183" t="s">
        <v>550</v>
      </c>
      <c r="E2655" s="1184"/>
      <c r="F2655" s="1184"/>
      <c r="G2655" s="1184"/>
      <c r="H2655" s="1184"/>
      <c r="I2655" s="1184"/>
      <c r="J2655" s="1184"/>
      <c r="K2655" s="1184"/>
      <c r="L2655" s="1184"/>
      <c r="M2655" s="1184"/>
      <c r="N2655" s="1184"/>
      <c r="O2655" s="1184"/>
      <c r="P2655" s="1184"/>
      <c r="Q2655" s="1184"/>
      <c r="R2655" s="1184"/>
      <c r="S2655" s="1184"/>
      <c r="T2655" s="1184"/>
    </row>
    <row r="2656" spans="1:41" s="501" customFormat="1" ht="12">
      <c r="A2656" s="748"/>
      <c r="B2656" s="749"/>
      <c r="C2656" s="497"/>
      <c r="D2656" s="750"/>
      <c r="E2656" s="751">
        <f ca="1">F2654/$C$12-SUMIF($L2653:$L2679,"SUBI",$E2653:$E2679)</f>
        <v>0</v>
      </c>
      <c r="F2656" s="752" t="s">
        <v>572</v>
      </c>
      <c r="G2656" s="753"/>
      <c r="H2656" s="753"/>
      <c r="I2656" s="754"/>
      <c r="J2656" s="753"/>
      <c r="K2656" s="753"/>
      <c r="L2656" s="755"/>
      <c r="M2656" s="756"/>
      <c r="N2656" s="756"/>
      <c r="O2656" s="756"/>
      <c r="P2656" s="756"/>
      <c r="Q2656" s="757"/>
      <c r="R2656" s="758"/>
      <c r="S2656" s="757"/>
      <c r="T2656" s="759"/>
    </row>
    <row r="2657" spans="1:33" s="501" customFormat="1" ht="12" customHeight="1">
      <c r="A2657" s="760"/>
      <c r="B2657" s="761"/>
      <c r="C2657" s="762"/>
      <c r="D2657" s="762" t="str">
        <f>$F$2</f>
        <v>Electrical</v>
      </c>
      <c r="E2657" s="762">
        <f ca="1">ROUND(($R2669*$S$2 + ($T2669*$T$2)), 2)</f>
        <v>1585.61</v>
      </c>
      <c r="F2657" s="763">
        <f ca="1">$E2657*$C$12</f>
        <v>1585.61</v>
      </c>
      <c r="G2657" s="567"/>
      <c r="H2657" s="764"/>
      <c r="I2657" s="567"/>
      <c r="J2657" s="45"/>
      <c r="K2657" s="765" t="s">
        <v>3</v>
      </c>
      <c r="L2657" s="766" t="s">
        <v>573</v>
      </c>
      <c r="M2657" s="567"/>
      <c r="N2657" s="567"/>
      <c r="O2657" s="45"/>
      <c r="P2657" s="567"/>
      <c r="Q2657" s="567"/>
      <c r="R2657"/>
      <c r="S2657"/>
      <c r="T2657"/>
    </row>
    <row r="2658" spans="1:33" s="935" customFormat="1" ht="13.2">
      <c r="A2658"/>
      <c r="B2658" s="927"/>
      <c r="C2658" s="927" t="s">
        <v>735</v>
      </c>
      <c r="D2658" s="927" t="str">
        <f ca="1">CELL("Address",Elec_Rates!D$117)</f>
        <v>[E25_0465_IH_Retro_Elec4Mech_Est_Rev_A.xlsx]Elec_Rates!$D$117</v>
      </c>
      <c r="E2658" s="928"/>
      <c r="F2658" s="928"/>
      <c r="G2658" s="929" t="s">
        <v>736</v>
      </c>
      <c r="H2658" s="929"/>
      <c r="I2658" s="929"/>
      <c r="J2658" s="929"/>
      <c r="K2658" s="930"/>
      <c r="L2658" s="928"/>
      <c r="M2658" s="928"/>
      <c r="N2658" s="928"/>
      <c r="O2658" s="931"/>
      <c r="P2658" s="928"/>
      <c r="Q2658" s="932"/>
      <c r="R2658" s="933"/>
      <c r="S2658" s="932"/>
      <c r="T2658" s="560"/>
      <c r="U2658" s="934"/>
    </row>
    <row r="2659" spans="1:33" s="935" customFormat="1" ht="11.4">
      <c r="A2659" s="936">
        <v>1</v>
      </c>
      <c r="B2659" s="937">
        <v>1</v>
      </c>
      <c r="C2659" s="937">
        <f>$A2659*$B2659</f>
        <v>1</v>
      </c>
      <c r="D2659" s="938" t="str">
        <f>Elec_Rates!$D$117</f>
        <v>004# Power supply to control panel (4core x 2.5sqmm)</v>
      </c>
      <c r="E2659" s="938"/>
      <c r="F2659" s="938" t="s">
        <v>737</v>
      </c>
      <c r="G2659" s="939" t="s">
        <v>738</v>
      </c>
      <c r="H2659" s="939"/>
      <c r="I2659" s="939"/>
      <c r="J2659" s="939"/>
      <c r="K2659" s="940"/>
      <c r="L2659" s="934"/>
      <c r="M2659" s="934"/>
      <c r="N2659" s="934"/>
      <c r="O2659" s="941"/>
      <c r="P2659" s="938"/>
      <c r="Q2659" s="942">
        <f ca="1">$B2659*Elec_Rates!$R$117</f>
        <v>62.41</v>
      </c>
      <c r="R2659" s="933">
        <f ca="1">$A2659*Q2659</f>
        <v>62.41</v>
      </c>
      <c r="S2659" s="942">
        <f ca="1">$B2659*Elec_Rates!$T$117</f>
        <v>3.06</v>
      </c>
      <c r="T2659" s="560">
        <f ca="1">$A2659*S2659</f>
        <v>3.06</v>
      </c>
      <c r="U2659" s="484"/>
    </row>
    <row r="2660" spans="1:33" s="935" customFormat="1" ht="13.2">
      <c r="A2660"/>
      <c r="B2660" s="927"/>
      <c r="C2660" s="927" t="s">
        <v>735</v>
      </c>
      <c r="D2660" s="927" t="str">
        <f ca="1">CELL("Address",Elec_Rates!D$196)</f>
        <v>[E25_0465_IH_Retro_Elec4Mech_Est_Rev_A.xlsx]Elec_Rates!$D$196</v>
      </c>
      <c r="E2660" s="928"/>
      <c r="F2660" s="928"/>
      <c r="G2660" s="929" t="s">
        <v>736</v>
      </c>
      <c r="H2660" s="929"/>
      <c r="I2660" s="929"/>
      <c r="J2660" s="929"/>
      <c r="K2660" s="930"/>
      <c r="L2660" s="928"/>
      <c r="M2660" s="928"/>
      <c r="N2660" s="928"/>
      <c r="O2660" s="931"/>
      <c r="P2660" s="928"/>
      <c r="Q2660" s="932"/>
      <c r="R2660" s="933"/>
      <c r="S2660" s="932"/>
      <c r="T2660" s="560"/>
      <c r="U2660" s="934"/>
    </row>
    <row r="2661" spans="1:33" s="935" customFormat="1" ht="11.4">
      <c r="A2661" s="936">
        <v>1</v>
      </c>
      <c r="B2661" s="937">
        <v>1</v>
      </c>
      <c r="C2661" s="937">
        <f>$A2661*$B2661</f>
        <v>1</v>
      </c>
      <c r="D2661" s="938" t="str">
        <f>Elec_Rates!$D$196</f>
        <v>013# Installation of Rosenger control panel</v>
      </c>
      <c r="E2661" s="938"/>
      <c r="F2661" s="938" t="s">
        <v>737</v>
      </c>
      <c r="G2661" s="939" t="s">
        <v>739</v>
      </c>
      <c r="H2661" s="939"/>
      <c r="I2661" s="939"/>
      <c r="J2661" s="939"/>
      <c r="K2661" s="940"/>
      <c r="L2661" s="934"/>
      <c r="M2661" s="934"/>
      <c r="N2661" s="934"/>
      <c r="O2661" s="941"/>
      <c r="P2661" s="938"/>
      <c r="Q2661" s="942">
        <f ca="1">$B2661*Elec_Rates!$R$196</f>
        <v>20</v>
      </c>
      <c r="R2661" s="933">
        <f ca="1">$A2661*Q2661</f>
        <v>20</v>
      </c>
      <c r="S2661" s="942">
        <f ca="1">$B2661*Elec_Rates!$T$196</f>
        <v>2</v>
      </c>
      <c r="T2661" s="560">
        <f ca="1">$A2661*S2661</f>
        <v>2</v>
      </c>
      <c r="U2661" s="484"/>
    </row>
    <row r="2662" spans="1:33" s="935" customFormat="1" ht="13.2">
      <c r="A2662"/>
      <c r="B2662" s="927"/>
      <c r="C2662" s="927" t="s">
        <v>735</v>
      </c>
      <c r="D2662" s="927" t="str">
        <f ca="1">CELL("Address",Elec_Rates!D$203)</f>
        <v>[E25_0465_IH_Retro_Elec4Mech_Est_Rev_A.xlsx]Elec_Rates!$D$203</v>
      </c>
      <c r="E2662" s="928"/>
      <c r="F2662" s="928"/>
      <c r="G2662" s="929" t="s">
        <v>736</v>
      </c>
      <c r="H2662" s="929"/>
      <c r="I2662" s="929"/>
      <c r="J2662" s="929"/>
      <c r="K2662" s="930"/>
      <c r="L2662" s="928"/>
      <c r="M2662" s="928"/>
      <c r="N2662" s="928"/>
      <c r="O2662" s="931"/>
      <c r="P2662" s="928"/>
      <c r="Q2662" s="932"/>
      <c r="R2662" s="933"/>
      <c r="S2662" s="932"/>
      <c r="T2662" s="560"/>
      <c r="U2662" s="934"/>
    </row>
    <row r="2663" spans="1:33" s="935" customFormat="1" ht="11.4">
      <c r="A2663" s="936">
        <v>1</v>
      </c>
      <c r="B2663" s="937">
        <v>1</v>
      </c>
      <c r="C2663" s="937">
        <f>$A2663*$B2663</f>
        <v>1</v>
      </c>
      <c r="D2663" s="938" t="str">
        <f>Elec_Rates!$D$203</f>
        <v>014# Installation of cable harness to fans</v>
      </c>
      <c r="E2663" s="938"/>
      <c r="F2663" s="938" t="s">
        <v>737</v>
      </c>
      <c r="G2663" s="939" t="s">
        <v>738</v>
      </c>
      <c r="H2663" s="939"/>
      <c r="I2663" s="939"/>
      <c r="J2663" s="939"/>
      <c r="K2663" s="940"/>
      <c r="L2663" s="934"/>
      <c r="M2663" s="934"/>
      <c r="N2663" s="934"/>
      <c r="O2663" s="941"/>
      <c r="P2663" s="938"/>
      <c r="Q2663" s="942">
        <f ca="1">$B2663*Elec_Rates!$R$203</f>
        <v>20</v>
      </c>
      <c r="R2663" s="933">
        <f ca="1">$A2663*Q2663</f>
        <v>20</v>
      </c>
      <c r="S2663" s="942">
        <f ca="1">$B2663*Elec_Rates!$T$203</f>
        <v>1</v>
      </c>
      <c r="T2663" s="560">
        <f ca="1">$A2663*S2663</f>
        <v>1</v>
      </c>
      <c r="U2663" s="484"/>
    </row>
    <row r="2664" spans="1:33" s="935" customFormat="1" ht="13.2">
      <c r="A2664"/>
      <c r="B2664" s="927"/>
      <c r="C2664" s="927" t="s">
        <v>735</v>
      </c>
      <c r="D2664" s="927" t="str">
        <f ca="1">CELL("Address",Elec_Rates!D$210)</f>
        <v>[E25_0465_IH_Retro_Elec4Mech_Est_Rev_A.xlsx]Elec_Rates!$D$210</v>
      </c>
      <c r="E2664" s="928"/>
      <c r="F2664" s="928"/>
      <c r="G2664" s="929" t="s">
        <v>736</v>
      </c>
      <c r="H2664" s="929"/>
      <c r="I2664" s="929"/>
      <c r="J2664" s="929"/>
      <c r="K2664" s="930"/>
      <c r="L2664" s="928"/>
      <c r="M2664" s="928"/>
      <c r="N2664" s="928"/>
      <c r="O2664" s="931"/>
      <c r="P2664" s="928"/>
      <c r="Q2664" s="932"/>
      <c r="R2664" s="933"/>
      <c r="S2664" s="932"/>
      <c r="T2664" s="560"/>
      <c r="U2664" s="934"/>
    </row>
    <row r="2665" spans="1:33" s="935" customFormat="1" ht="11.4">
      <c r="A2665" s="936">
        <v>1</v>
      </c>
      <c r="B2665" s="937">
        <v>1</v>
      </c>
      <c r="C2665" s="937">
        <f>$A2665*$B2665</f>
        <v>1</v>
      </c>
      <c r="D2665" s="938" t="str">
        <f>Elec_Rates!$D$210</f>
        <v>015# Installation of control panels by ECA</v>
      </c>
      <c r="E2665" s="938"/>
      <c r="F2665" s="938" t="s">
        <v>737</v>
      </c>
      <c r="G2665" s="939" t="s">
        <v>739</v>
      </c>
      <c r="H2665" s="939"/>
      <c r="I2665" s="939"/>
      <c r="J2665" s="939"/>
      <c r="K2665" s="940"/>
      <c r="L2665" s="934"/>
      <c r="M2665" s="934"/>
      <c r="N2665" s="934"/>
      <c r="O2665" s="941"/>
      <c r="P2665" s="938"/>
      <c r="Q2665" s="942">
        <f ca="1">$B2665*Elec_Rates!$R$210</f>
        <v>30</v>
      </c>
      <c r="R2665" s="933">
        <f ca="1">$A2665*Q2665</f>
        <v>30</v>
      </c>
      <c r="S2665" s="942">
        <f ca="1">$B2665*Elec_Rates!$T$210</f>
        <v>1</v>
      </c>
      <c r="T2665" s="560">
        <f ca="1">$A2665*S2665</f>
        <v>1</v>
      </c>
      <c r="U2665" s="484"/>
    </row>
    <row r="2666" spans="1:33" s="935" customFormat="1" ht="13.2">
      <c r="A2666"/>
      <c r="B2666" s="927"/>
      <c r="C2666" s="927" t="s">
        <v>735</v>
      </c>
      <c r="D2666" s="927" t="str">
        <f ca="1">CELL("Address",Elec_Rates!D$217)</f>
        <v>[E25_0465_IH_Retro_Elec4Mech_Est_Rev_A.xlsx]Elec_Rates!$D$217</v>
      </c>
      <c r="E2666" s="928"/>
      <c r="F2666" s="928"/>
      <c r="G2666" s="929" t="s">
        <v>736</v>
      </c>
      <c r="H2666" s="929"/>
      <c r="I2666" s="929"/>
      <c r="J2666" s="929"/>
      <c r="K2666" s="930"/>
      <c r="L2666" s="928"/>
      <c r="M2666" s="928"/>
      <c r="N2666" s="928"/>
      <c r="O2666" s="931"/>
      <c r="P2666" s="928"/>
      <c r="Q2666" s="932"/>
      <c r="R2666" s="933"/>
      <c r="S2666" s="932"/>
      <c r="T2666" s="560"/>
      <c r="U2666" s="934"/>
    </row>
    <row r="2667" spans="1:33" s="935" customFormat="1" ht="11.4">
      <c r="A2667" s="936">
        <v>1</v>
      </c>
      <c r="B2667" s="937">
        <v>1</v>
      </c>
      <c r="C2667" s="937">
        <f>$A2667*$B2667</f>
        <v>1</v>
      </c>
      <c r="D2667" s="938" t="str">
        <f>Elec_Rates!$D$217</f>
        <v>016# Installation of sensors on AHUs</v>
      </c>
      <c r="E2667" s="938"/>
      <c r="F2667" s="938" t="s">
        <v>737</v>
      </c>
      <c r="G2667" s="939" t="s">
        <v>738</v>
      </c>
      <c r="H2667" s="939"/>
      <c r="I2667" s="939"/>
      <c r="J2667" s="939"/>
      <c r="K2667" s="940"/>
      <c r="L2667" s="934"/>
      <c r="M2667" s="934"/>
      <c r="N2667" s="934"/>
      <c r="O2667" s="941"/>
      <c r="P2667" s="938"/>
      <c r="Q2667" s="942">
        <f ca="1">$B2667*Elec_Rates!$R$217</f>
        <v>354.24</v>
      </c>
      <c r="R2667" s="933">
        <f ca="1">$A2667*Q2667</f>
        <v>354.24</v>
      </c>
      <c r="S2667" s="942">
        <f ca="1">$B2667*Elec_Rates!$T$217</f>
        <v>17.989999999999998</v>
      </c>
      <c r="T2667" s="560">
        <f ca="1">$A2667*S2667</f>
        <v>17.989999999999998</v>
      </c>
      <c r="U2667" s="484"/>
    </row>
    <row r="2668" spans="1:33" s="501" customFormat="1" ht="14.4" customHeight="1">
      <c r="A2668" s="767"/>
      <c r="B2668" s="567"/>
      <c r="C2668" s="567"/>
      <c r="D2668" s="567"/>
      <c r="E2668" s="567"/>
      <c r="F2668" s="567"/>
      <c r="G2668" s="567"/>
      <c r="H2668" s="764"/>
      <c r="I2668" s="567"/>
      <c r="J2668" s="45"/>
      <c r="K2668" s="769"/>
      <c r="L2668" s="770"/>
      <c r="M2668" s="567"/>
      <c r="N2668" s="567"/>
      <c r="O2668" s="45"/>
      <c r="P2668" s="567"/>
      <c r="Q2668" s="567"/>
      <c r="R2668" s="771">
        <f>$A2668*Q2668</f>
        <v>0</v>
      </c>
      <c r="S2668" s="567"/>
      <c r="T2668" s="500">
        <f>$A2668*S2668*$T$1</f>
        <v>0</v>
      </c>
    </row>
    <row r="2669" spans="1:33" s="501" customFormat="1" ht="12">
      <c r="A2669" s="772" t="s">
        <v>145</v>
      </c>
      <c r="B2669" s="773">
        <f>(R2668+T2668)</f>
        <v>0</v>
      </c>
      <c r="C2669" s="753"/>
      <c r="G2669" s="774"/>
      <c r="H2669" s="774"/>
      <c r="I2669" s="774"/>
      <c r="J2669" s="774"/>
      <c r="K2669" s="750" t="s">
        <v>3</v>
      </c>
      <c r="L2669" s="775" t="s">
        <v>573</v>
      </c>
      <c r="M2669" s="774"/>
      <c r="N2669" s="774"/>
      <c r="O2669" s="774"/>
      <c r="P2669" s="774"/>
      <c r="Q2669" s="776"/>
      <c r="R2669" s="777">
        <f ca="1">SUM(R2657:R2668)</f>
        <v>486.65</v>
      </c>
      <c r="S2669" s="778"/>
      <c r="T2669" s="777">
        <f ca="1">SUM(T2657:T2668)</f>
        <v>25.049999999999997</v>
      </c>
      <c r="AG2669" s="779">
        <f ca="1">ROUND($R2669*$S$2,2)</f>
        <v>656.98</v>
      </c>
    </row>
    <row r="2670" spans="1:33" s="501" customFormat="1" ht="12" customHeight="1">
      <c r="A2670" s="760"/>
      <c r="B2670" s="780"/>
      <c r="C2670" s="781"/>
      <c r="D2670" s="782" t="str">
        <f>$F$3</f>
        <v>Technician</v>
      </c>
      <c r="E2670" s="782">
        <f>ROUND(($R2673*$S$3 + ($T2673*$T$3)), 2)</f>
        <v>3739.18</v>
      </c>
      <c r="F2670" s="783">
        <f>$E2670*$C$12</f>
        <v>3739.18</v>
      </c>
      <c r="G2670" s="499"/>
      <c r="H2670" s="499"/>
      <c r="I2670" s="499"/>
      <c r="J2670" s="499"/>
      <c r="K2670" s="765" t="s">
        <v>5</v>
      </c>
      <c r="L2670" s="766" t="s">
        <v>573</v>
      </c>
      <c r="M2670" s="499"/>
      <c r="N2670" s="499"/>
      <c r="O2670" s="499"/>
      <c r="P2670" s="499"/>
      <c r="Q2670" s="499"/>
      <c r="R2670" s="784"/>
      <c r="S2670" s="499"/>
      <c r="T2670" s="784"/>
    </row>
    <row r="2671" spans="1:33" s="893" customFormat="1" ht="13.2">
      <c r="A2671">
        <v>1</v>
      </c>
      <c r="B2671" s="893" t="s">
        <v>141</v>
      </c>
      <c r="D2671" s="893" t="s">
        <v>767</v>
      </c>
      <c r="E2671" s="893" t="s">
        <v>770</v>
      </c>
      <c r="F2671" s="893" t="s">
        <v>769</v>
      </c>
      <c r="G2671" s="894" t="s">
        <v>768</v>
      </c>
      <c r="H2671" s="895">
        <v>570</v>
      </c>
      <c r="I2671" s="893" t="s">
        <v>643</v>
      </c>
      <c r="O2671" s="896">
        <v>2</v>
      </c>
      <c r="P2671" s="897">
        <v>38443</v>
      </c>
      <c r="Q2671" s="898">
        <v>2500</v>
      </c>
      <c r="R2671" s="899">
        <f>$A2671*Q2671</f>
        <v>2500</v>
      </c>
      <c r="S2671" s="898">
        <f>200/25</f>
        <v>8</v>
      </c>
      <c r="T2671" s="900">
        <f>$A2671*S2671*$T$1</f>
        <v>8</v>
      </c>
    </row>
    <row r="2672" spans="1:33" s="501" customFormat="1" ht="15.6" customHeight="1">
      <c r="A2672" s="767"/>
      <c r="B2672" s="567"/>
      <c r="C2672" s="567"/>
      <c r="D2672" s="3"/>
      <c r="E2672" s="567"/>
      <c r="F2672" s="567"/>
      <c r="G2672" s="567"/>
      <c r="H2672" s="567"/>
      <c r="I2672" s="567"/>
      <c r="J2672" s="567"/>
      <c r="K2672" s="567"/>
      <c r="L2672" s="770"/>
      <c r="M2672" s="567"/>
      <c r="N2672" s="567"/>
      <c r="O2672" s="567"/>
      <c r="P2672" s="567"/>
      <c r="Q2672" s="567"/>
      <c r="R2672" s="771">
        <f>$A2672*Q2672</f>
        <v>0</v>
      </c>
      <c r="S2672" s="567"/>
      <c r="T2672" s="500">
        <f>$A2672*S2672*$T$1</f>
        <v>0</v>
      </c>
    </row>
    <row r="2673" spans="1:41" s="501" customFormat="1" ht="12">
      <c r="A2673" s="772" t="s">
        <v>145</v>
      </c>
      <c r="B2673" s="773">
        <f>(R2672+T2672)</f>
        <v>0</v>
      </c>
      <c r="C2673" s="753"/>
      <c r="G2673" s="774"/>
      <c r="H2673" s="774"/>
      <c r="I2673" s="774"/>
      <c r="J2673" s="774"/>
      <c r="K2673" s="798" t="s">
        <v>5</v>
      </c>
      <c r="L2673" s="775" t="s">
        <v>573</v>
      </c>
      <c r="M2673" s="774"/>
      <c r="N2673" s="774"/>
      <c r="O2673" s="774"/>
      <c r="P2673" s="774"/>
      <c r="Q2673" s="776"/>
      <c r="R2673" s="777">
        <f>SUM(R2670:R2672)</f>
        <v>2500</v>
      </c>
      <c r="S2673" s="778"/>
      <c r="T2673" s="777">
        <f>SUM(T2670:T2672)</f>
        <v>8</v>
      </c>
      <c r="AG2673" s="799">
        <f>ROUND($R2673*$S$3,2)</f>
        <v>3375</v>
      </c>
    </row>
    <row r="2674" spans="1:41" s="501" customFormat="1" ht="12" customHeight="1">
      <c r="A2674" s="800"/>
      <c r="B2674" s="801"/>
      <c r="C2674" s="802"/>
      <c r="D2674" s="803" t="str">
        <f>$F$4</f>
        <v>Engineer (Man Hours)</v>
      </c>
      <c r="E2674" s="803">
        <f>ROUND(($R2677*$S$4 + ($T2677*$T$4)), 2)</f>
        <v>162</v>
      </c>
      <c r="F2674" s="804">
        <f ca="1">$F2654-SUMIF($L2656:$P2671,"SUBI",$F2656:$F2671)</f>
        <v>162</v>
      </c>
      <c r="G2674" s="499"/>
      <c r="H2674" s="499"/>
      <c r="I2674" s="499"/>
      <c r="J2674" s="499"/>
      <c r="K2674" s="805" t="s">
        <v>8</v>
      </c>
      <c r="L2674" s="766" t="s">
        <v>573</v>
      </c>
      <c r="M2674" s="499"/>
      <c r="N2674" s="499"/>
      <c r="O2674" s="499"/>
      <c r="P2674" s="499"/>
      <c r="Q2674" s="499"/>
      <c r="R2674" s="784"/>
      <c r="S2674" s="499"/>
      <c r="T2674" s="784"/>
    </row>
    <row r="2675" spans="1:41" s="893" customFormat="1" ht="13.2">
      <c r="A2675">
        <v>1</v>
      </c>
      <c r="B2675" s="893" t="s">
        <v>141</v>
      </c>
      <c r="D2675" s="893" t="s">
        <v>767</v>
      </c>
      <c r="E2675" s="893" t="s">
        <v>771</v>
      </c>
      <c r="F2675" s="893" t="s">
        <v>769</v>
      </c>
      <c r="G2675" s="894" t="s">
        <v>768</v>
      </c>
      <c r="H2675" s="895">
        <v>570</v>
      </c>
      <c r="I2675" s="893" t="s">
        <v>643</v>
      </c>
      <c r="O2675" s="896">
        <v>2</v>
      </c>
      <c r="P2675" s="897">
        <v>38443</v>
      </c>
      <c r="Q2675" s="898"/>
      <c r="R2675" s="899">
        <f>$A2675*Q2675</f>
        <v>0</v>
      </c>
      <c r="S2675" s="898">
        <f>100/25</f>
        <v>4</v>
      </c>
      <c r="T2675" s="900">
        <f>$A2675*S2675*$T$1</f>
        <v>4</v>
      </c>
    </row>
    <row r="2676" spans="1:41" s="501" customFormat="1" ht="12">
      <c r="A2676" s="44"/>
      <c r="B2676" s="497"/>
      <c r="C2676" s="497"/>
      <c r="D2676" s="807"/>
      <c r="E2676" s="808"/>
      <c r="F2676" s="499"/>
      <c r="G2676" s="499"/>
      <c r="H2676" s="499"/>
      <c r="I2676" s="499"/>
      <c r="J2676" s="499"/>
      <c r="K2676" s="499"/>
      <c r="L2676" s="809"/>
      <c r="M2676" s="499"/>
      <c r="N2676" s="499"/>
      <c r="O2676" s="499"/>
      <c r="P2676" s="499"/>
      <c r="Q2676" s="499"/>
      <c r="R2676" s="720">
        <f>$A2676*Q2676</f>
        <v>0</v>
      </c>
      <c r="S2676" s="499"/>
      <c r="T2676" s="500">
        <f>$A2676*S2676*$T$1</f>
        <v>0</v>
      </c>
    </row>
    <row r="2677" spans="1:41" s="501" customFormat="1" ht="12.75" customHeight="1">
      <c r="A2677" s="772" t="s">
        <v>145</v>
      </c>
      <c r="B2677" s="773">
        <f>(R2676+T2676)</f>
        <v>0</v>
      </c>
      <c r="C2677" s="810"/>
      <c r="D2677" s="810"/>
      <c r="E2677" s="810"/>
      <c r="F2677" s="810"/>
      <c r="G2677" s="776"/>
      <c r="H2677" s="776"/>
      <c r="I2677" s="776"/>
      <c r="J2677" s="776"/>
      <c r="K2677" s="798" t="s">
        <v>8</v>
      </c>
      <c r="L2677" s="811" t="s">
        <v>573</v>
      </c>
      <c r="M2677" s="776"/>
      <c r="N2677" s="776"/>
      <c r="O2677" s="776"/>
      <c r="P2677" s="776"/>
      <c r="Q2677" s="776"/>
      <c r="R2677" s="777">
        <f>SUM(R2674:R2676)</f>
        <v>0</v>
      </c>
      <c r="S2677" s="778"/>
      <c r="T2677" s="777">
        <f>SUM(T2674:T2676)</f>
        <v>4</v>
      </c>
      <c r="AG2677" s="812">
        <f>ROUND($R2677*$S$4,2)</f>
        <v>0</v>
      </c>
    </row>
    <row r="2678" spans="1:41" s="501" customFormat="1" ht="12.75" customHeight="1">
      <c r="A2678" s="813"/>
      <c r="B2678" s="814"/>
      <c r="E2678" s="497"/>
      <c r="F2678" s="808"/>
      <c r="G2678" s="497"/>
      <c r="H2678" s="497"/>
      <c r="I2678" s="499"/>
      <c r="J2678" s="497"/>
      <c r="K2678" s="497"/>
      <c r="L2678" s="815"/>
      <c r="M2678" s="725"/>
      <c r="N2678" s="725"/>
      <c r="O2678" s="725"/>
      <c r="P2678" s="725"/>
      <c r="Q2678" s="726"/>
      <c r="R2678" s="784"/>
      <c r="S2678" s="497"/>
      <c r="T2678" s="784"/>
    </row>
    <row r="2679" spans="1:41" s="501" customFormat="1" ht="13.5" customHeight="1" thickBot="1">
      <c r="A2679" s="816"/>
      <c r="B2679" s="817"/>
      <c r="C2679" s="518"/>
      <c r="D2679" s="518"/>
      <c r="E2679" s="515"/>
      <c r="F2679" s="721"/>
      <c r="G2679" s="515" t="s">
        <v>146</v>
      </c>
      <c r="H2679" s="515"/>
      <c r="I2679" s="516"/>
      <c r="J2679" s="515"/>
      <c r="K2679" s="515"/>
      <c r="L2679" s="818" t="s">
        <v>143</v>
      </c>
      <c r="M2679" s="517"/>
      <c r="N2679" s="517"/>
      <c r="O2679" s="517"/>
      <c r="P2679" s="517"/>
      <c r="Q2679" s="722"/>
      <c r="R2679" s="819">
        <f ca="1">SUMIF($L2655:$L2678,"SUBI",R2655:R2678)</f>
        <v>2986.65</v>
      </c>
      <c r="S2679" s="820"/>
      <c r="T2679" s="819">
        <f ca="1">SUMIF($L2655:$L2678,"SUBI",T2655:T2678)</f>
        <v>37.049999999999997</v>
      </c>
      <c r="U2679" s="518"/>
      <c r="V2679" s="518"/>
      <c r="W2679" s="518"/>
      <c r="X2679" s="518"/>
      <c r="Y2679" s="518"/>
      <c r="Z2679" s="518"/>
      <c r="AA2679" s="518"/>
      <c r="AB2679" s="518"/>
      <c r="AC2679" s="518"/>
      <c r="AD2679" s="518"/>
      <c r="AE2679" s="518"/>
      <c r="AF2679" s="518"/>
      <c r="AG2679" s="518"/>
      <c r="AH2679" s="518"/>
      <c r="AI2679" s="518"/>
      <c r="AJ2679" s="518"/>
      <c r="AK2679" s="518"/>
      <c r="AL2679" s="518"/>
      <c r="AM2679" s="518"/>
      <c r="AN2679" s="518"/>
      <c r="AO2679" s="518"/>
    </row>
    <row r="2680" spans="1:41" s="501" customFormat="1" ht="12" thickTop="1">
      <c r="A2680" s="41" t="s">
        <v>148</v>
      </c>
      <c r="D2680" s="11"/>
      <c r="E2680" s="40"/>
      <c r="O2680" s="727"/>
    </row>
    <row r="2681" spans="1:41" s="501" customFormat="1" ht="13.2">
      <c r="B2681" s="3"/>
      <c r="O2681" s="727"/>
    </row>
    <row r="2682" spans="1:41" s="501" customFormat="1" ht="12">
      <c r="B2682" s="728">
        <f ca="1">$F2682/$C$2-($R2682*$S$2+$T2682*$T$2)</f>
        <v>1138.6246800000081</v>
      </c>
      <c r="D2682" s="729" t="s">
        <v>568</v>
      </c>
      <c r="E2682" s="730"/>
      <c r="F2682" s="731">
        <f ca="1">SUMIF($L1890:$L2680,"ITEM",F1890:F2680)</f>
        <v>78323.88</v>
      </c>
      <c r="G2682" s="497"/>
      <c r="H2682" s="497"/>
      <c r="I2682" s="499"/>
      <c r="J2682" s="497"/>
      <c r="K2682" s="497"/>
      <c r="L2682" s="717" t="s">
        <v>159</v>
      </c>
      <c r="M2682" s="717"/>
      <c r="N2682" s="717"/>
      <c r="O2682" s="717"/>
      <c r="P2682" s="717"/>
      <c r="R2682" s="731">
        <f ca="1">SUMIF($L1890:$L2680,"ITEM",R1890:R2680)</f>
        <v>42361.79</v>
      </c>
      <c r="S2682" s="733"/>
      <c r="T2682" s="731">
        <f ca="1">SUMIF($L1890:$L2680,"ITEM",T1890:T2680)</f>
        <v>539.41999999999985</v>
      </c>
    </row>
    <row r="2683" spans="1:41" s="501" customFormat="1" ht="13.2">
      <c r="A2683" s="44"/>
      <c r="B2683" s="42" t="s">
        <v>569</v>
      </c>
      <c r="C2683" s="44"/>
      <c r="D2683" s="3"/>
      <c r="F2683" s="734" t="s">
        <v>160</v>
      </c>
      <c r="G2683" s="497"/>
      <c r="H2683" s="497"/>
      <c r="I2683" s="499"/>
      <c r="J2683" s="497"/>
      <c r="K2683" s="497"/>
      <c r="L2683" s="497"/>
      <c r="M2683" s="497"/>
      <c r="N2683" s="497"/>
      <c r="O2683" s="497"/>
      <c r="P2683" s="497"/>
      <c r="Q2683" s="726"/>
      <c r="R2683" s="734" t="s">
        <v>161</v>
      </c>
      <c r="S2683" s="36"/>
      <c r="T2683" s="734" t="s">
        <v>162</v>
      </c>
    </row>
    <row r="2684" spans="1:41" s="501" customFormat="1" ht="13.2">
      <c r="A2684" s="497"/>
      <c r="B2684" s="3"/>
      <c r="C2684" s="497"/>
      <c r="D2684" s="3"/>
      <c r="E2684" s="3"/>
      <c r="G2684" s="3"/>
      <c r="H2684" s="3"/>
      <c r="I2684" s="3"/>
      <c r="J2684" s="3"/>
      <c r="K2684" s="3"/>
      <c r="L2684" s="3"/>
      <c r="M2684" s="3"/>
      <c r="N2684" s="3"/>
      <c r="O2684" s="86"/>
      <c r="P2684" s="3"/>
      <c r="Q2684" s="3"/>
      <c r="R2684" s="3"/>
      <c r="S2684" s="3"/>
      <c r="T2684" s="3"/>
    </row>
    <row r="2685" spans="1:41" s="501" customFormat="1" ht="12" thickBot="1">
      <c r="A2685" s="518"/>
      <c r="B2685" s="515"/>
      <c r="C2685" s="515"/>
      <c r="D2685" s="518"/>
      <c r="E2685" s="37"/>
      <c r="F2685" s="735"/>
      <c r="G2685" s="515"/>
      <c r="H2685" s="515"/>
      <c r="I2685" s="516"/>
      <c r="J2685" s="515"/>
      <c r="K2685" s="515"/>
      <c r="L2685" s="517"/>
      <c r="M2685" s="517"/>
      <c r="N2685" s="517"/>
      <c r="O2685" s="517"/>
      <c r="P2685" s="517"/>
      <c r="Q2685" s="722"/>
      <c r="R2685" s="735"/>
      <c r="S2685" s="736"/>
      <c r="T2685" s="735"/>
      <c r="U2685" s="518"/>
      <c r="V2685" s="518"/>
      <c r="W2685" s="518"/>
      <c r="X2685" s="518"/>
      <c r="Y2685" s="518"/>
      <c r="Z2685" s="518"/>
      <c r="AA2685" s="518"/>
      <c r="AB2685" s="518"/>
      <c r="AC2685" s="518"/>
      <c r="AD2685" s="518"/>
      <c r="AE2685" s="518"/>
      <c r="AF2685" s="518"/>
      <c r="AG2685" s="518"/>
      <c r="AH2685" s="518"/>
      <c r="AI2685" s="518"/>
      <c r="AJ2685" s="518"/>
      <c r="AK2685" s="518"/>
    </row>
    <row r="2686" spans="1:41" s="501" customFormat="1" thickTop="1">
      <c r="A2686" s="44"/>
      <c r="B2686" s="44"/>
      <c r="C2686" s="3"/>
      <c r="D2686" s="3"/>
      <c r="E2686" s="44"/>
      <c r="F2686" s="44"/>
      <c r="G2686" s="44"/>
      <c r="H2686" s="44"/>
      <c r="I2686" s="44"/>
      <c r="J2686" s="44"/>
      <c r="K2686" s="44" t="s">
        <v>134</v>
      </c>
      <c r="L2686" s="44"/>
      <c r="M2686" s="44"/>
      <c r="N2686" s="44"/>
      <c r="O2686" s="45"/>
      <c r="P2686" s="44"/>
      <c r="Q2686" s="44"/>
      <c r="R2686" s="44"/>
      <c r="S2686" s="44"/>
      <c r="T2686" s="44"/>
    </row>
    <row r="2687" spans="1:41" s="501" customFormat="1" ht="12">
      <c r="A2687" s="44"/>
      <c r="B2687" s="44"/>
      <c r="C2687" s="44" t="s">
        <v>135</v>
      </c>
      <c r="D2687" s="35"/>
      <c r="E2687" s="44"/>
      <c r="F2687" s="44"/>
      <c r="G2687" s="44"/>
      <c r="H2687" s="44"/>
      <c r="I2687" s="44"/>
      <c r="J2687" s="44"/>
      <c r="K2687" s="44"/>
      <c r="L2687" s="44"/>
      <c r="M2687" s="44"/>
      <c r="N2687" s="44"/>
      <c r="O2687" s="45"/>
      <c r="P2687" s="44"/>
      <c r="Q2687" s="44"/>
      <c r="R2687" s="44"/>
      <c r="S2687" s="44"/>
      <c r="T2687" s="44"/>
    </row>
    <row r="2688" spans="1:41" s="501" customFormat="1" ht="12">
      <c r="A2688" s="44"/>
      <c r="B2688" s="44"/>
      <c r="C2688" s="44"/>
      <c r="D2688" s="35" t="s">
        <v>559</v>
      </c>
      <c r="E2688" s="44"/>
      <c r="F2688" s="44"/>
      <c r="G2688" s="44"/>
      <c r="H2688" s="44"/>
      <c r="I2688" s="44"/>
      <c r="J2688" s="44"/>
      <c r="K2688" s="44"/>
      <c r="L2688" s="44"/>
      <c r="M2688" s="44"/>
      <c r="N2688" s="44"/>
      <c r="O2688" s="45"/>
      <c r="P2688" s="44"/>
      <c r="Q2688" s="44"/>
      <c r="R2688" s="44"/>
      <c r="S2688" s="36"/>
      <c r="T2688" s="36"/>
    </row>
    <row r="2689" spans="1:41" s="3" customFormat="1" thickBot="1">
      <c r="A2689" s="518"/>
      <c r="O2689" s="86"/>
    </row>
    <row r="2690" spans="1:41" s="501" customFormat="1" thickTop="1">
      <c r="A2690" s="44"/>
      <c r="B2690" s="39"/>
      <c r="C2690" s="44"/>
      <c r="E2690" s="40" t="s">
        <v>138</v>
      </c>
      <c r="F2690" s="40" t="s">
        <v>139</v>
      </c>
      <c r="G2690" s="44"/>
      <c r="H2690" s="44"/>
      <c r="I2690" s="44"/>
      <c r="J2690" s="44"/>
      <c r="K2690" s="44" t="s">
        <v>140</v>
      </c>
      <c r="L2690" s="737"/>
      <c r="M2690" s="44"/>
      <c r="N2690" s="44"/>
      <c r="O2690" s="45"/>
      <c r="P2690" s="44"/>
      <c r="Q2690"/>
      <c r="R2690"/>
      <c r="S2690"/>
      <c r="T2690" s="39"/>
      <c r="AG2690" s="502" t="s">
        <v>247</v>
      </c>
      <c r="AH2690" s="502" t="s">
        <v>248</v>
      </c>
      <c r="AI2690" s="502" t="s">
        <v>249</v>
      </c>
      <c r="AJ2690" s="502" t="s">
        <v>250</v>
      </c>
      <c r="AK2690" s="502" t="s">
        <v>251</v>
      </c>
      <c r="AM2690" s="710" t="s">
        <v>260</v>
      </c>
      <c r="AN2690" s="711" t="s">
        <v>261</v>
      </c>
      <c r="AO2690" s="503" t="s">
        <v>257</v>
      </c>
    </row>
    <row r="2691" spans="1:41" s="501" customFormat="1" ht="13.2">
      <c r="A2691" s="712">
        <v>1</v>
      </c>
      <c r="B2691" s="504" t="s">
        <v>283</v>
      </c>
      <c r="C2691" s="505"/>
      <c r="D2691" s="713" t="s">
        <v>567</v>
      </c>
      <c r="E2691" s="738">
        <f>IF(AND($A2691=0,$A$1="DIF"),0, ROUND(ROUND(SUMIF($L2693:$L2705,"SUBI",$E2693:$E2705)/$A2691,2)*$C$12,2))</f>
        <v>126.58</v>
      </c>
      <c r="F2691" s="739">
        <f>ROUND($A2691*$E2691,2)</f>
        <v>126.58</v>
      </c>
      <c r="G2691" s="506" t="s">
        <v>142</v>
      </c>
      <c r="H2691" s="498"/>
      <c r="I2691" s="716"/>
      <c r="J2691" s="498"/>
      <c r="K2691" s="740"/>
      <c r="L2691" s="741" t="s">
        <v>143</v>
      </c>
      <c r="M2691" s="717"/>
      <c r="N2691" s="717"/>
      <c r="O2691" s="717"/>
      <c r="P2691" s="717"/>
      <c r="Q2691" s="943" t="s">
        <v>855</v>
      </c>
      <c r="R2691" s="943" t="s">
        <v>861</v>
      </c>
      <c r="S2691"/>
      <c r="T2691" s="742" t="str">
        <f>IF(AND($R2711=0,$T2711=0),"0.00","mu :" &amp; ROUND($F2691/$C$12/($R2711+$T2711*$D$9),2))</f>
        <v>mu :1.35</v>
      </c>
      <c r="W2691" s="507"/>
      <c r="AG2691" s="743">
        <f>IF(A2691=0,0,ROUND(SUM(AG2693:AG2711)/A2691,2))</f>
        <v>38.72</v>
      </c>
      <c r="AH2691" s="743">
        <f>$AG2691*$A2691</f>
        <v>38.72</v>
      </c>
      <c r="AI2691" s="743">
        <f>$E2691-$AG2691</f>
        <v>87.86</v>
      </c>
      <c r="AJ2691" s="743">
        <f>$A2691*$AI2691</f>
        <v>87.86</v>
      </c>
      <c r="AK2691" s="744">
        <f>ROUND(($AG2691+$AI2691)*$A2691,2)</f>
        <v>126.58</v>
      </c>
      <c r="AM2691" s="510">
        <f>ROUND(R2711,2)</f>
        <v>28.68</v>
      </c>
      <c r="AN2691" s="511">
        <f>ROUND(T2711,2)</f>
        <v>2.37</v>
      </c>
      <c r="AO2691" s="512">
        <f>ROUND(AM2691+AN2691,2)*A2691</f>
        <v>31.05</v>
      </c>
    </row>
    <row r="2692" spans="1:41" s="501" customFormat="1" ht="39.9" customHeight="1">
      <c r="A2692" s="745"/>
      <c r="B2692" s="746"/>
      <c r="C2692" s="505"/>
      <c r="D2692" s="1183" t="s">
        <v>560</v>
      </c>
      <c r="E2692" s="1184"/>
      <c r="F2692" s="1184"/>
      <c r="G2692" s="1184"/>
      <c r="H2692" s="1184"/>
      <c r="I2692" s="1184"/>
      <c r="J2692" s="1184"/>
      <c r="K2692" s="1184"/>
      <c r="L2692" s="1184"/>
      <c r="M2692" s="1184"/>
      <c r="N2692" s="1184"/>
      <c r="O2692" s="1184"/>
      <c r="P2692" s="1184"/>
      <c r="Q2692" s="1184"/>
      <c r="R2692" s="1184"/>
      <c r="S2692" s="1184"/>
      <c r="T2692" s="1184"/>
    </row>
    <row r="2693" spans="1:41" s="501" customFormat="1" ht="12">
      <c r="A2693" s="821"/>
      <c r="B2693" s="822"/>
      <c r="C2693" s="497"/>
      <c r="D2693" s="498"/>
      <c r="E2693" s="823">
        <f>F2691/$C$12-SUMIF($L2690:$L2711,"SUBI",$E2690:$E2711)</f>
        <v>0</v>
      </c>
      <c r="F2693" s="824" t="s">
        <v>572</v>
      </c>
      <c r="G2693" s="753"/>
      <c r="H2693" s="753"/>
      <c r="I2693" s="754"/>
      <c r="J2693" s="753"/>
      <c r="K2693" s="753"/>
      <c r="L2693" s="755"/>
      <c r="M2693" s="756"/>
      <c r="N2693" s="756"/>
      <c r="O2693" s="756"/>
      <c r="P2693" s="756"/>
      <c r="Q2693" s="757"/>
      <c r="R2693" s="758"/>
      <c r="S2693" s="757"/>
      <c r="T2693" s="759"/>
    </row>
    <row r="2694" spans="1:41" s="501" customFormat="1" ht="12" customHeight="1">
      <c r="A2694" s="760"/>
      <c r="B2694" s="761"/>
      <c r="C2694" s="762"/>
      <c r="D2694" s="762" t="str">
        <f>$F$2</f>
        <v>Electrical</v>
      </c>
      <c r="E2694" s="762">
        <f>ROUND(($R2704*$S$2 + ($T2704*$T$2)), 2)</f>
        <v>126.58</v>
      </c>
      <c r="F2694" s="763">
        <f>$E2694*$C$12</f>
        <v>126.58</v>
      </c>
      <c r="G2694" s="567"/>
      <c r="H2694" s="764"/>
      <c r="I2694" s="567"/>
      <c r="J2694" s="45"/>
      <c r="K2694" s="765" t="s">
        <v>3</v>
      </c>
      <c r="L2694" s="766" t="s">
        <v>573</v>
      </c>
      <c r="M2694" s="567"/>
      <c r="N2694" s="567"/>
      <c r="O2694" s="45"/>
      <c r="P2694" s="567"/>
      <c r="Q2694" s="567"/>
      <c r="R2694"/>
      <c r="S2694"/>
      <c r="T2694"/>
    </row>
    <row r="2695" spans="1:41" s="893" customFormat="1" ht="13.2">
      <c r="A2695">
        <v>2</v>
      </c>
      <c r="B2695" s="893" t="s">
        <v>296</v>
      </c>
      <c r="D2695" s="893" t="s">
        <v>759</v>
      </c>
      <c r="G2695" s="894" t="s">
        <v>760</v>
      </c>
      <c r="H2695" s="895">
        <v>616</v>
      </c>
      <c r="I2695" s="893" t="s">
        <v>656</v>
      </c>
      <c r="J2695" s="893" t="s">
        <v>742</v>
      </c>
      <c r="O2695" s="896">
        <v>2</v>
      </c>
      <c r="P2695" s="897">
        <v>40767</v>
      </c>
      <c r="Q2695" s="898">
        <v>2.5</v>
      </c>
      <c r="R2695" s="899">
        <f>$A2695*Q2695</f>
        <v>5</v>
      </c>
      <c r="S2695" s="898">
        <v>0.06</v>
      </c>
      <c r="T2695" s="900">
        <f>$A2695*S2695*$T$1</f>
        <v>0.12</v>
      </c>
    </row>
    <row r="2696" spans="1:41" s="893" customFormat="1" ht="13.2">
      <c r="A2696" s="87">
        <v>2</v>
      </c>
      <c r="B2696" s="893" t="s">
        <v>141</v>
      </c>
      <c r="D2696" s="893" t="s">
        <v>743</v>
      </c>
      <c r="G2696" s="894" t="s">
        <v>744</v>
      </c>
      <c r="H2696" s="895">
        <v>875</v>
      </c>
      <c r="I2696" s="893" t="s">
        <v>643</v>
      </c>
      <c r="K2696" s="893" t="s">
        <v>745</v>
      </c>
      <c r="O2696" s="896">
        <v>1</v>
      </c>
      <c r="P2696" s="897">
        <v>34669</v>
      </c>
      <c r="Q2696" s="898">
        <v>0.05</v>
      </c>
      <c r="R2696" s="899">
        <f>$A2696*Q2696</f>
        <v>0.1</v>
      </c>
      <c r="S2696" s="898"/>
      <c r="T2696" s="900">
        <f>$A2696*S2696*$T$1</f>
        <v>0</v>
      </c>
    </row>
    <row r="2697" spans="1:41" s="893" customFormat="1" ht="13.2">
      <c r="A2697">
        <v>2</v>
      </c>
      <c r="B2697" s="893" t="s">
        <v>141</v>
      </c>
      <c r="D2697" s="893" t="s">
        <v>746</v>
      </c>
      <c r="G2697" s="894" t="s">
        <v>747</v>
      </c>
      <c r="H2697" s="895">
        <v>620</v>
      </c>
      <c r="I2697" s="893" t="s">
        <v>671</v>
      </c>
      <c r="O2697" s="896">
        <v>2</v>
      </c>
      <c r="P2697" s="897">
        <v>35431</v>
      </c>
      <c r="Q2697" s="898">
        <v>3.8</v>
      </c>
      <c r="R2697" s="899">
        <f>$A2697*Q2697</f>
        <v>7.6</v>
      </c>
      <c r="S2697" s="898">
        <v>0.3</v>
      </c>
      <c r="T2697" s="900">
        <f>$A2697*S2697*$T$1</f>
        <v>0.6</v>
      </c>
    </row>
    <row r="2698" spans="1:41" s="893" customFormat="1" ht="13.2">
      <c r="A2698">
        <v>1</v>
      </c>
      <c r="B2698" s="893" t="s">
        <v>141</v>
      </c>
      <c r="D2698" s="893" t="s">
        <v>658</v>
      </c>
      <c r="F2698" s="893" t="s">
        <v>859</v>
      </c>
      <c r="G2698" s="894" t="s">
        <v>659</v>
      </c>
      <c r="H2698" s="895">
        <v>900</v>
      </c>
      <c r="I2698" s="893" t="s">
        <v>660</v>
      </c>
      <c r="O2698" s="896">
        <v>1</v>
      </c>
      <c r="P2698" s="897"/>
      <c r="Q2698" s="898"/>
      <c r="R2698" s="899">
        <f>$A2698*Q2698</f>
        <v>0</v>
      </c>
      <c r="S2698" s="898">
        <v>0.5</v>
      </c>
      <c r="T2698" s="900">
        <f>$A2698*S2698*$T$1</f>
        <v>0.5</v>
      </c>
    </row>
    <row r="2699" spans="1:41" s="893" customFormat="1" ht="13.2">
      <c r="A2699"/>
      <c r="D2699" s="962" t="s">
        <v>858</v>
      </c>
      <c r="G2699" s="894"/>
      <c r="H2699" s="895"/>
      <c r="O2699" s="896"/>
      <c r="P2699" s="897"/>
      <c r="Q2699" s="898"/>
      <c r="R2699" s="899"/>
      <c r="S2699" s="898"/>
      <c r="T2699" s="900"/>
    </row>
    <row r="2700" spans="1:41" s="893" customFormat="1" ht="13.2">
      <c r="A2700">
        <v>3</v>
      </c>
      <c r="B2700" s="893" t="s">
        <v>296</v>
      </c>
      <c r="D2700" s="893" t="s">
        <v>652</v>
      </c>
      <c r="G2700" s="894" t="s">
        <v>653</v>
      </c>
      <c r="H2700" s="895">
        <v>690</v>
      </c>
      <c r="I2700" s="893" t="s">
        <v>648</v>
      </c>
      <c r="J2700" s="893" t="s">
        <v>649</v>
      </c>
      <c r="O2700" s="896">
        <v>1</v>
      </c>
      <c r="P2700" s="897">
        <v>34669</v>
      </c>
      <c r="Q2700" s="898">
        <v>3.66</v>
      </c>
      <c r="R2700" s="899">
        <f>$A2700*Q2700</f>
        <v>10.98</v>
      </c>
      <c r="S2700" s="898">
        <v>0.2</v>
      </c>
      <c r="T2700" s="900">
        <f>$A2700*S2700*$T$1</f>
        <v>0.60000000000000009</v>
      </c>
    </row>
    <row r="2701" spans="1:41" s="893" customFormat="1" ht="13.2">
      <c r="A2701">
        <f>5*4</f>
        <v>20</v>
      </c>
      <c r="B2701" s="893" t="s">
        <v>296</v>
      </c>
      <c r="D2701" s="893" t="s">
        <v>654</v>
      </c>
      <c r="G2701" s="894" t="s">
        <v>655</v>
      </c>
      <c r="H2701" s="895">
        <v>615</v>
      </c>
      <c r="I2701" s="893" t="s">
        <v>656</v>
      </c>
      <c r="K2701" s="893" t="s">
        <v>657</v>
      </c>
      <c r="O2701" s="896">
        <v>2</v>
      </c>
      <c r="P2701" s="897">
        <v>38988</v>
      </c>
      <c r="Q2701" s="898">
        <v>0.25</v>
      </c>
      <c r="R2701" s="899">
        <f>$A2701*Q2701</f>
        <v>5</v>
      </c>
      <c r="S2701" s="898">
        <v>1.4999999999999999E-2</v>
      </c>
      <c r="T2701" s="900">
        <f>$A2701*S2701*$T$1</f>
        <v>0.3</v>
      </c>
    </row>
    <row r="2702" spans="1:41" s="893" customFormat="1" ht="13.2">
      <c r="A2702">
        <v>1</v>
      </c>
      <c r="B2702" s="893" t="s">
        <v>141</v>
      </c>
      <c r="D2702" s="893" t="s">
        <v>658</v>
      </c>
      <c r="F2702" s="893" t="s">
        <v>860</v>
      </c>
      <c r="G2702" s="894" t="s">
        <v>659</v>
      </c>
      <c r="H2702" s="895">
        <v>900</v>
      </c>
      <c r="I2702" s="893" t="s">
        <v>660</v>
      </c>
      <c r="O2702" s="896">
        <v>1</v>
      </c>
      <c r="P2702" s="897"/>
      <c r="Q2702" s="898"/>
      <c r="R2702" s="899">
        <f>$A2702*Q2702</f>
        <v>0</v>
      </c>
      <c r="S2702" s="898">
        <v>0.25</v>
      </c>
      <c r="T2702" s="900">
        <f>$A2702*S2702*$T$1</f>
        <v>0.25</v>
      </c>
    </row>
    <row r="2703" spans="1:41" s="501" customFormat="1" ht="13.95" customHeight="1">
      <c r="A2703" s="767"/>
      <c r="B2703" s="567"/>
      <c r="C2703" s="567"/>
      <c r="D2703" s="567"/>
      <c r="E2703" s="567"/>
      <c r="F2703" s="567"/>
      <c r="G2703" s="567"/>
      <c r="H2703" s="764"/>
      <c r="I2703" s="567"/>
      <c r="J2703" s="45"/>
      <c r="K2703" s="769"/>
      <c r="L2703" s="770"/>
      <c r="M2703" s="567"/>
      <c r="N2703" s="567"/>
      <c r="O2703" s="45"/>
      <c r="P2703" s="567"/>
      <c r="Q2703" s="567"/>
      <c r="R2703" s="771">
        <f>$A2703*Q2703</f>
        <v>0</v>
      </c>
      <c r="S2703" s="567"/>
      <c r="T2703" s="500">
        <f>$A2703*S2703*$T$1</f>
        <v>0</v>
      </c>
    </row>
    <row r="2704" spans="1:41" s="501" customFormat="1" ht="12">
      <c r="A2704" s="825" t="s">
        <v>145</v>
      </c>
      <c r="B2704" s="826">
        <f>(R2703+T2703)</f>
        <v>0</v>
      </c>
      <c r="C2704" s="497"/>
      <c r="G2704" s="774"/>
      <c r="H2704" s="774"/>
      <c r="I2704" s="774"/>
      <c r="J2704" s="774"/>
      <c r="K2704" s="750" t="s">
        <v>3</v>
      </c>
      <c r="L2704" s="775" t="s">
        <v>573</v>
      </c>
      <c r="M2704" s="774"/>
      <c r="N2704" s="774"/>
      <c r="O2704" s="774"/>
      <c r="P2704" s="774"/>
      <c r="Q2704" s="776"/>
      <c r="R2704" s="777">
        <f>SUM(R2694:R2703)</f>
        <v>28.68</v>
      </c>
      <c r="S2704" s="778"/>
      <c r="T2704" s="777">
        <f>SUM(T2694:T2703)</f>
        <v>2.37</v>
      </c>
      <c r="AG2704" s="779">
        <f>ROUND($R2704*$S$2,2)</f>
        <v>38.72</v>
      </c>
    </row>
    <row r="2705" spans="1:41" s="501" customFormat="1" ht="12" customHeight="1">
      <c r="A2705" s="800"/>
      <c r="B2705" s="827"/>
      <c r="C2705" s="828"/>
      <c r="D2705" s="828" t="str">
        <f>$F$3</f>
        <v>Technician</v>
      </c>
      <c r="E2705" s="828">
        <f>ROUND(($R2709*$S$3 + ($T2709*$T$3)), 2)</f>
        <v>0</v>
      </c>
      <c r="F2705" s="829">
        <f ca="1">$F2691-SUMIF($L2693:$P2698,"SUBI",$F2693:$F2698)</f>
        <v>0</v>
      </c>
      <c r="G2705" s="499"/>
      <c r="H2705" s="499"/>
      <c r="I2705" s="499"/>
      <c r="J2705" s="499"/>
      <c r="K2705" s="765" t="s">
        <v>5</v>
      </c>
      <c r="L2705" s="766" t="s">
        <v>573</v>
      </c>
      <c r="M2705" s="499"/>
      <c r="N2705" s="499"/>
      <c r="O2705" s="499"/>
      <c r="P2705" s="499"/>
      <c r="Q2705" s="499"/>
      <c r="R2705" s="784"/>
      <c r="S2705" s="499"/>
      <c r="T2705" s="784"/>
    </row>
    <row r="2706" spans="1:41" s="797" customFormat="1" ht="14.4" customHeight="1">
      <c r="A2706" s="785"/>
      <c r="B2706" s="768" t="s">
        <v>575</v>
      </c>
      <c r="C2706" s="786"/>
      <c r="D2706" s="787"/>
      <c r="E2706" s="787"/>
      <c r="F2706" s="787"/>
      <c r="G2706" s="788"/>
      <c r="H2706" s="789"/>
      <c r="I2706" s="789"/>
      <c r="J2706" s="790"/>
      <c r="K2706" s="791"/>
      <c r="L2706" s="786"/>
      <c r="M2706" s="792"/>
      <c r="N2706" s="793"/>
      <c r="O2706" s="794"/>
      <c r="P2706" s="795"/>
      <c r="Q2706" s="796"/>
      <c r="R2706" s="771">
        <f>$A2706*Q2706</f>
        <v>0</v>
      </c>
      <c r="S2706" s="567"/>
      <c r="T2706" s="500">
        <f>$A2706*S2706*$T$1</f>
        <v>0</v>
      </c>
    </row>
    <row r="2707" spans="1:41" s="501" customFormat="1" ht="11.4">
      <c r="A2707" s="767"/>
      <c r="B2707" s="567"/>
      <c r="C2707" s="567"/>
      <c r="D2707" s="567"/>
      <c r="E2707" s="567"/>
      <c r="F2707" s="567"/>
      <c r="G2707" s="567"/>
      <c r="H2707" s="567"/>
      <c r="I2707" s="567"/>
      <c r="J2707" s="567"/>
      <c r="K2707" s="567"/>
      <c r="L2707" s="770"/>
      <c r="M2707" s="567"/>
      <c r="N2707" s="567"/>
      <c r="O2707" s="567"/>
      <c r="P2707" s="567"/>
      <c r="Q2707" s="567"/>
      <c r="R2707" s="771">
        <f>$A2707*Q2707</f>
        <v>0</v>
      </c>
      <c r="S2707" s="567"/>
      <c r="T2707" s="500">
        <f>$A2707*S2707*$T$1</f>
        <v>0</v>
      </c>
    </row>
    <row r="2708" spans="1:41" s="501" customFormat="1" ht="13.2">
      <c r="A2708" s="767"/>
      <c r="B2708" s="567"/>
      <c r="C2708" s="567"/>
      <c r="D2708" s="3"/>
      <c r="E2708" s="567"/>
      <c r="F2708" s="567"/>
      <c r="G2708" s="567"/>
      <c r="H2708" s="567"/>
      <c r="I2708" s="567"/>
      <c r="J2708" s="567"/>
      <c r="K2708" s="567"/>
      <c r="L2708" s="770"/>
      <c r="M2708" s="567"/>
      <c r="N2708" s="567"/>
      <c r="O2708" s="567"/>
      <c r="P2708" s="567"/>
      <c r="Q2708" s="567"/>
      <c r="R2708" s="771">
        <f>$A2708*Q2708</f>
        <v>0</v>
      </c>
      <c r="S2708" s="567"/>
      <c r="T2708" s="500">
        <f>$A2708*S2708*$T$1</f>
        <v>0</v>
      </c>
    </row>
    <row r="2709" spans="1:41" s="501" customFormat="1" ht="12" customHeight="1">
      <c r="A2709" s="772" t="s">
        <v>145</v>
      </c>
      <c r="B2709" s="773">
        <f>(R2708+T2708)</f>
        <v>0</v>
      </c>
      <c r="C2709" s="810"/>
      <c r="D2709" s="810"/>
      <c r="E2709" s="810"/>
      <c r="F2709" s="810"/>
      <c r="G2709" s="776"/>
      <c r="H2709" s="776"/>
      <c r="I2709" s="776"/>
      <c r="J2709" s="776"/>
      <c r="K2709" s="798" t="s">
        <v>5</v>
      </c>
      <c r="L2709" s="811" t="s">
        <v>573</v>
      </c>
      <c r="M2709" s="776"/>
      <c r="N2709" s="776"/>
      <c r="O2709" s="776"/>
      <c r="P2709" s="776"/>
      <c r="Q2709" s="776"/>
      <c r="R2709" s="777">
        <f>SUM(R2705:R2708)</f>
        <v>0</v>
      </c>
      <c r="S2709" s="778"/>
      <c r="T2709" s="777">
        <f>SUM(T2705:T2708)</f>
        <v>0</v>
      </c>
      <c r="AG2709" s="799">
        <f>ROUND($R2709*$S$3,2)</f>
        <v>0</v>
      </c>
    </row>
    <row r="2710" spans="1:41" s="501" customFormat="1" ht="12.75" customHeight="1">
      <c r="A2710" s="813"/>
      <c r="B2710" s="814"/>
      <c r="E2710" s="497"/>
      <c r="F2710" s="808"/>
      <c r="G2710" s="497"/>
      <c r="H2710" s="497"/>
      <c r="I2710" s="499"/>
      <c r="J2710" s="497"/>
      <c r="K2710" s="497"/>
      <c r="L2710" s="815"/>
      <c r="M2710" s="725"/>
      <c r="N2710" s="725"/>
      <c r="O2710" s="725"/>
      <c r="P2710" s="725"/>
      <c r="Q2710" s="726"/>
      <c r="R2710" s="784"/>
      <c r="S2710" s="497"/>
      <c r="T2710" s="784"/>
    </row>
    <row r="2711" spans="1:41" s="501" customFormat="1" ht="13.5" customHeight="1" thickBot="1">
      <c r="A2711" s="816"/>
      <c r="B2711" s="817"/>
      <c r="C2711" s="518"/>
      <c r="D2711" s="518"/>
      <c r="E2711" s="515"/>
      <c r="F2711" s="721"/>
      <c r="G2711" s="515" t="s">
        <v>146</v>
      </c>
      <c r="H2711" s="515"/>
      <c r="I2711" s="516"/>
      <c r="J2711" s="515"/>
      <c r="K2711" s="515"/>
      <c r="L2711" s="818" t="s">
        <v>143</v>
      </c>
      <c r="M2711" s="517"/>
      <c r="N2711" s="517"/>
      <c r="O2711" s="517"/>
      <c r="P2711" s="517"/>
      <c r="Q2711" s="722"/>
      <c r="R2711" s="819">
        <f>SUMIF($L2692:$L2710,"SUBI",R2692:R2710)</f>
        <v>28.68</v>
      </c>
      <c r="S2711" s="515"/>
      <c r="T2711" s="819">
        <f>SUMIF($L2692:$L2710,"SUBI",T2692:T2710)</f>
        <v>2.37</v>
      </c>
      <c r="U2711" s="518"/>
      <c r="V2711" s="518"/>
      <c r="W2711" s="518"/>
      <c r="X2711" s="518"/>
      <c r="Y2711" s="518"/>
      <c r="Z2711" s="518"/>
      <c r="AA2711" s="518"/>
      <c r="AB2711" s="518"/>
      <c r="AC2711" s="518"/>
      <c r="AD2711" s="518"/>
      <c r="AE2711" s="518"/>
      <c r="AF2711" s="518"/>
      <c r="AG2711" s="518"/>
      <c r="AH2711" s="518"/>
      <c r="AI2711" s="518"/>
      <c r="AJ2711" s="518"/>
      <c r="AK2711" s="518"/>
      <c r="AL2711" s="518"/>
      <c r="AM2711" s="518"/>
      <c r="AN2711" s="518"/>
      <c r="AO2711" s="518"/>
    </row>
    <row r="2712" spans="1:41" s="501" customFormat="1" thickTop="1">
      <c r="A2712" s="44"/>
      <c r="B2712" s="44"/>
      <c r="C2712" s="3"/>
      <c r="D2712" s="3"/>
      <c r="E2712" s="44"/>
      <c r="F2712" s="44"/>
      <c r="G2712" s="44"/>
      <c r="H2712" s="44"/>
      <c r="I2712" s="44"/>
      <c r="J2712" s="44"/>
      <c r="K2712" s="44" t="s">
        <v>134</v>
      </c>
      <c r="L2712" s="44"/>
      <c r="M2712" s="44"/>
      <c r="N2712" s="44"/>
      <c r="O2712" s="45"/>
      <c r="P2712" s="44"/>
      <c r="Q2712" s="44"/>
      <c r="R2712" s="44"/>
      <c r="S2712" s="44"/>
      <c r="T2712" s="44"/>
    </row>
    <row r="2713" spans="1:41" s="501" customFormat="1" ht="12">
      <c r="A2713" s="44"/>
      <c r="B2713" s="44"/>
      <c r="C2713" s="44" t="s">
        <v>135</v>
      </c>
      <c r="D2713" s="35"/>
      <c r="E2713" s="44"/>
      <c r="F2713" s="44"/>
      <c r="G2713" s="44"/>
      <c r="H2713" s="44"/>
      <c r="I2713" s="44"/>
      <c r="J2713" s="44"/>
      <c r="K2713" s="44"/>
      <c r="L2713" s="44"/>
      <c r="M2713" s="44"/>
      <c r="N2713" s="44"/>
      <c r="O2713" s="45"/>
      <c r="P2713" s="44"/>
      <c r="Q2713" s="44"/>
      <c r="R2713" s="44"/>
      <c r="S2713" s="44"/>
      <c r="T2713" s="44"/>
    </row>
    <row r="2714" spans="1:41" s="501" customFormat="1" ht="12">
      <c r="A2714" s="44"/>
      <c r="B2714" s="44"/>
      <c r="C2714" s="44"/>
      <c r="D2714" s="35" t="s">
        <v>561</v>
      </c>
      <c r="E2714" s="44"/>
      <c r="F2714" s="44"/>
      <c r="G2714" s="44"/>
      <c r="H2714" s="44"/>
      <c r="I2714" s="44"/>
      <c r="J2714" s="44"/>
      <c r="K2714" s="44"/>
      <c r="L2714" s="44"/>
      <c r="M2714" s="44"/>
      <c r="N2714" s="44"/>
      <c r="O2714" s="45"/>
      <c r="P2714" s="44"/>
      <c r="Q2714" s="44"/>
      <c r="R2714" s="44"/>
      <c r="S2714" s="36"/>
      <c r="T2714" s="36"/>
    </row>
    <row r="2715" spans="1:41" s="3" customFormat="1" thickBot="1">
      <c r="A2715" s="518"/>
      <c r="O2715" s="86"/>
    </row>
    <row r="2716" spans="1:41" s="501" customFormat="1" thickTop="1">
      <c r="A2716" s="44"/>
      <c r="B2716" s="39"/>
      <c r="C2716" s="44"/>
      <c r="E2716" s="40" t="s">
        <v>138</v>
      </c>
      <c r="F2716" s="40" t="s">
        <v>139</v>
      </c>
      <c r="G2716" s="44"/>
      <c r="H2716" s="44"/>
      <c r="I2716" s="44"/>
      <c r="J2716" s="44"/>
      <c r="K2716" s="44" t="s">
        <v>140</v>
      </c>
      <c r="L2716" s="737"/>
      <c r="M2716" s="44"/>
      <c r="N2716" s="44"/>
      <c r="O2716" s="45"/>
      <c r="P2716" s="44"/>
      <c r="Q2716"/>
      <c r="R2716"/>
      <c r="S2716"/>
      <c r="T2716" s="39"/>
      <c r="AG2716" s="502" t="s">
        <v>247</v>
      </c>
      <c r="AH2716" s="502" t="s">
        <v>248</v>
      </c>
      <c r="AI2716" s="502" t="s">
        <v>249</v>
      </c>
      <c r="AJ2716" s="502" t="s">
        <v>250</v>
      </c>
      <c r="AK2716" s="502" t="s">
        <v>251</v>
      </c>
      <c r="AM2716" s="710" t="s">
        <v>260</v>
      </c>
      <c r="AN2716" s="711" t="s">
        <v>261</v>
      </c>
      <c r="AO2716" s="503" t="s">
        <v>257</v>
      </c>
    </row>
    <row r="2717" spans="1:41" s="501" customFormat="1" ht="13.2">
      <c r="A2717" s="712">
        <v>1</v>
      </c>
      <c r="B2717" s="504" t="s">
        <v>283</v>
      </c>
      <c r="C2717" s="505"/>
      <c r="D2717" s="713" t="s">
        <v>608</v>
      </c>
      <c r="E2717" s="738">
        <f>IF(AND($A2717=0,$A$1="DIF"),0, ROUND(ROUND(SUMIF($L2719:$L2731,"SUBI",$E2719:$E2731)/$A2717,2)*$C$12,2))</f>
        <v>126.58</v>
      </c>
      <c r="F2717" s="739">
        <f>ROUND($A2717*$E2717,2)</f>
        <v>126.58</v>
      </c>
      <c r="G2717" s="506" t="s">
        <v>142</v>
      </c>
      <c r="H2717" s="498"/>
      <c r="I2717" s="716"/>
      <c r="J2717" s="498"/>
      <c r="K2717" s="740"/>
      <c r="L2717" s="741" t="s">
        <v>143</v>
      </c>
      <c r="M2717" s="717"/>
      <c r="N2717" s="717"/>
      <c r="O2717" s="717"/>
      <c r="P2717" s="717"/>
      <c r="Q2717" s="943" t="s">
        <v>855</v>
      </c>
      <c r="R2717" s="943" t="s">
        <v>861</v>
      </c>
      <c r="S2717"/>
      <c r="T2717" s="742" t="str">
        <f>IF(AND($R2737=0,$T2737=0),"0.00","mu :" &amp; ROUND($F2717/$C$12/($R2737+$T2737*$D$9),2))</f>
        <v>mu :1.35</v>
      </c>
      <c r="W2717" s="507"/>
      <c r="AG2717" s="743">
        <f>IF(A2717=0,0,ROUND(SUM(AG2719:AG2737)/A2717,2))</f>
        <v>38.72</v>
      </c>
      <c r="AH2717" s="743">
        <f>$AG2717*$A2717</f>
        <v>38.72</v>
      </c>
      <c r="AI2717" s="743">
        <f>$E2717-$AG2717</f>
        <v>87.86</v>
      </c>
      <c r="AJ2717" s="743">
        <f>$A2717*$AI2717</f>
        <v>87.86</v>
      </c>
      <c r="AK2717" s="744">
        <f>ROUND(($AG2717+$AI2717)*$A2717,2)</f>
        <v>126.58</v>
      </c>
      <c r="AM2717" s="510">
        <f>ROUND(R2737,2)</f>
        <v>28.68</v>
      </c>
      <c r="AN2717" s="511">
        <f>ROUND(T2737,2)</f>
        <v>2.37</v>
      </c>
      <c r="AO2717" s="512">
        <f>ROUND(AM2717+AN2717,2)*A2717</f>
        <v>31.05</v>
      </c>
    </row>
    <row r="2718" spans="1:41" s="501" customFormat="1" ht="39.9" customHeight="1">
      <c r="A2718" s="745"/>
      <c r="B2718" s="746"/>
      <c r="C2718" s="505"/>
      <c r="D2718" s="1183" t="s">
        <v>562</v>
      </c>
      <c r="E2718" s="1184"/>
      <c r="F2718" s="1184"/>
      <c r="G2718" s="1184"/>
      <c r="H2718" s="1184"/>
      <c r="I2718" s="1184"/>
      <c r="J2718" s="1184"/>
      <c r="K2718" s="1184"/>
      <c r="L2718" s="1184"/>
      <c r="M2718" s="1184"/>
      <c r="N2718" s="1184"/>
      <c r="O2718" s="1184"/>
      <c r="P2718" s="1184"/>
      <c r="Q2718" s="1184"/>
      <c r="R2718" s="1184"/>
      <c r="S2718" s="1184"/>
      <c r="T2718" s="1184"/>
    </row>
    <row r="2719" spans="1:41" s="501" customFormat="1" ht="12">
      <c r="A2719" s="821"/>
      <c r="B2719" s="822"/>
      <c r="C2719" s="497"/>
      <c r="D2719" s="498"/>
      <c r="E2719" s="823">
        <f>F2717/$C$12-SUMIF($L2716:$L2737,"SUBI",$E2716:$E2737)</f>
        <v>0</v>
      </c>
      <c r="F2719" s="824" t="s">
        <v>572</v>
      </c>
      <c r="G2719" s="753"/>
      <c r="H2719" s="753"/>
      <c r="I2719" s="754"/>
      <c r="J2719" s="753"/>
      <c r="K2719" s="753"/>
      <c r="L2719" s="755"/>
      <c r="M2719" s="756"/>
      <c r="N2719" s="756"/>
      <c r="O2719" s="756"/>
      <c r="P2719" s="756"/>
      <c r="Q2719" s="757"/>
      <c r="R2719" s="758"/>
      <c r="S2719" s="757"/>
      <c r="T2719" s="759"/>
    </row>
    <row r="2720" spans="1:41" s="501" customFormat="1" ht="12" customHeight="1">
      <c r="A2720" s="760"/>
      <c r="B2720" s="761"/>
      <c r="C2720" s="762"/>
      <c r="D2720" s="762" t="str">
        <f>$F$2</f>
        <v>Electrical</v>
      </c>
      <c r="E2720" s="762">
        <f>ROUND(($R2730*$S$2 + ($T2730*$T$2)), 2)</f>
        <v>126.58</v>
      </c>
      <c r="F2720" s="763">
        <f>$E2720*$C$12</f>
        <v>126.58</v>
      </c>
      <c r="G2720" s="567"/>
      <c r="H2720" s="764"/>
      <c r="I2720" s="567"/>
      <c r="J2720" s="45"/>
      <c r="K2720" s="765" t="s">
        <v>3</v>
      </c>
      <c r="L2720" s="766" t="s">
        <v>573</v>
      </c>
      <c r="M2720" s="567"/>
      <c r="N2720" s="567"/>
      <c r="O2720" s="45"/>
      <c r="P2720" s="567"/>
      <c r="Q2720" s="567"/>
      <c r="R2720"/>
      <c r="S2720"/>
      <c r="T2720"/>
    </row>
    <row r="2721" spans="1:33" s="893" customFormat="1" ht="13.2">
      <c r="A2721">
        <v>2</v>
      </c>
      <c r="B2721" s="893" t="s">
        <v>296</v>
      </c>
      <c r="D2721" s="893" t="s">
        <v>759</v>
      </c>
      <c r="G2721" s="894" t="s">
        <v>760</v>
      </c>
      <c r="H2721" s="895">
        <v>616</v>
      </c>
      <c r="I2721" s="893" t="s">
        <v>656</v>
      </c>
      <c r="J2721" s="893" t="s">
        <v>742</v>
      </c>
      <c r="O2721" s="896">
        <v>2</v>
      </c>
      <c r="P2721" s="897">
        <v>40767</v>
      </c>
      <c r="Q2721" s="898">
        <v>2.5</v>
      </c>
      <c r="R2721" s="899">
        <f>$A2721*Q2721</f>
        <v>5</v>
      </c>
      <c r="S2721" s="898">
        <v>0.06</v>
      </c>
      <c r="T2721" s="900">
        <f>$A2721*S2721*$T$1</f>
        <v>0.12</v>
      </c>
    </row>
    <row r="2722" spans="1:33" s="893" customFormat="1" ht="13.2">
      <c r="A2722" s="87">
        <v>2</v>
      </c>
      <c r="B2722" s="893" t="s">
        <v>141</v>
      </c>
      <c r="D2722" s="893" t="s">
        <v>743</v>
      </c>
      <c r="G2722" s="894" t="s">
        <v>744</v>
      </c>
      <c r="H2722" s="895">
        <v>875</v>
      </c>
      <c r="I2722" s="893" t="s">
        <v>643</v>
      </c>
      <c r="K2722" s="893" t="s">
        <v>745</v>
      </c>
      <c r="O2722" s="896">
        <v>1</v>
      </c>
      <c r="P2722" s="897">
        <v>34669</v>
      </c>
      <c r="Q2722" s="898">
        <v>0.05</v>
      </c>
      <c r="R2722" s="899">
        <f>$A2722*Q2722</f>
        <v>0.1</v>
      </c>
      <c r="S2722" s="898"/>
      <c r="T2722" s="900">
        <f>$A2722*S2722*$T$1</f>
        <v>0</v>
      </c>
    </row>
    <row r="2723" spans="1:33" s="893" customFormat="1" ht="13.2">
      <c r="A2723">
        <v>2</v>
      </c>
      <c r="B2723" s="893" t="s">
        <v>141</v>
      </c>
      <c r="D2723" s="893" t="s">
        <v>746</v>
      </c>
      <c r="G2723" s="894" t="s">
        <v>747</v>
      </c>
      <c r="H2723" s="895">
        <v>620</v>
      </c>
      <c r="I2723" s="893" t="s">
        <v>671</v>
      </c>
      <c r="O2723" s="896">
        <v>2</v>
      </c>
      <c r="P2723" s="897">
        <v>35431</v>
      </c>
      <c r="Q2723" s="898">
        <v>3.8</v>
      </c>
      <c r="R2723" s="899">
        <f>$A2723*Q2723</f>
        <v>7.6</v>
      </c>
      <c r="S2723" s="898">
        <v>0.3</v>
      </c>
      <c r="T2723" s="900">
        <f>$A2723*S2723*$T$1</f>
        <v>0.6</v>
      </c>
    </row>
    <row r="2724" spans="1:33" s="893" customFormat="1" ht="13.2">
      <c r="A2724">
        <v>1</v>
      </c>
      <c r="B2724" s="893" t="s">
        <v>141</v>
      </c>
      <c r="D2724" s="893" t="s">
        <v>658</v>
      </c>
      <c r="F2724" s="893" t="s">
        <v>859</v>
      </c>
      <c r="G2724" s="894" t="s">
        <v>659</v>
      </c>
      <c r="H2724" s="895">
        <v>900</v>
      </c>
      <c r="I2724" s="893" t="s">
        <v>660</v>
      </c>
      <c r="O2724" s="896">
        <v>1</v>
      </c>
      <c r="P2724" s="897"/>
      <c r="Q2724" s="898"/>
      <c r="R2724" s="899">
        <f>$A2724*Q2724</f>
        <v>0</v>
      </c>
      <c r="S2724" s="898">
        <v>0.5</v>
      </c>
      <c r="T2724" s="900">
        <f>$A2724*S2724*$T$1</f>
        <v>0.5</v>
      </c>
    </row>
    <row r="2725" spans="1:33" s="893" customFormat="1" ht="13.2">
      <c r="A2725"/>
      <c r="D2725" s="962" t="s">
        <v>858</v>
      </c>
      <c r="G2725" s="894"/>
      <c r="H2725" s="895"/>
      <c r="O2725" s="896"/>
      <c r="P2725" s="897"/>
      <c r="Q2725" s="898"/>
      <c r="R2725" s="899"/>
      <c r="S2725" s="898"/>
      <c r="T2725" s="900"/>
    </row>
    <row r="2726" spans="1:33" s="893" customFormat="1" ht="13.2">
      <c r="A2726">
        <v>3</v>
      </c>
      <c r="B2726" s="893" t="s">
        <v>296</v>
      </c>
      <c r="D2726" s="893" t="s">
        <v>652</v>
      </c>
      <c r="G2726" s="894" t="s">
        <v>653</v>
      </c>
      <c r="H2726" s="895">
        <v>690</v>
      </c>
      <c r="I2726" s="893" t="s">
        <v>648</v>
      </c>
      <c r="J2726" s="893" t="s">
        <v>649</v>
      </c>
      <c r="O2726" s="896">
        <v>1</v>
      </c>
      <c r="P2726" s="897">
        <v>34669</v>
      </c>
      <c r="Q2726" s="898">
        <v>3.66</v>
      </c>
      <c r="R2726" s="899">
        <f>$A2726*Q2726</f>
        <v>10.98</v>
      </c>
      <c r="S2726" s="898">
        <v>0.2</v>
      </c>
      <c r="T2726" s="900">
        <f>$A2726*S2726*$T$1</f>
        <v>0.60000000000000009</v>
      </c>
    </row>
    <row r="2727" spans="1:33" s="893" customFormat="1" ht="13.2">
      <c r="A2727">
        <f>5*4</f>
        <v>20</v>
      </c>
      <c r="B2727" s="893" t="s">
        <v>296</v>
      </c>
      <c r="D2727" s="893" t="s">
        <v>654</v>
      </c>
      <c r="G2727" s="894" t="s">
        <v>655</v>
      </c>
      <c r="H2727" s="895">
        <v>615</v>
      </c>
      <c r="I2727" s="893" t="s">
        <v>656</v>
      </c>
      <c r="K2727" s="893" t="s">
        <v>657</v>
      </c>
      <c r="O2727" s="896">
        <v>2</v>
      </c>
      <c r="P2727" s="897">
        <v>38988</v>
      </c>
      <c r="Q2727" s="898">
        <v>0.25</v>
      </c>
      <c r="R2727" s="899">
        <f>$A2727*Q2727</f>
        <v>5</v>
      </c>
      <c r="S2727" s="898">
        <v>1.4999999999999999E-2</v>
      </c>
      <c r="T2727" s="900">
        <f>$A2727*S2727*$T$1</f>
        <v>0.3</v>
      </c>
    </row>
    <row r="2728" spans="1:33" s="893" customFormat="1" ht="13.2">
      <c r="A2728">
        <v>1</v>
      </c>
      <c r="B2728" s="893" t="s">
        <v>141</v>
      </c>
      <c r="D2728" s="893" t="s">
        <v>658</v>
      </c>
      <c r="F2728" s="893" t="s">
        <v>860</v>
      </c>
      <c r="G2728" s="894" t="s">
        <v>659</v>
      </c>
      <c r="H2728" s="895">
        <v>900</v>
      </c>
      <c r="I2728" s="893" t="s">
        <v>660</v>
      </c>
      <c r="O2728" s="896">
        <v>1</v>
      </c>
      <c r="P2728" s="897"/>
      <c r="Q2728" s="898"/>
      <c r="R2728" s="899">
        <f>$A2728*Q2728</f>
        <v>0</v>
      </c>
      <c r="S2728" s="898">
        <v>0.25</v>
      </c>
      <c r="T2728" s="900">
        <f>$A2728*S2728*$T$1</f>
        <v>0.25</v>
      </c>
    </row>
    <row r="2729" spans="1:33" s="501" customFormat="1" ht="13.95" customHeight="1">
      <c r="A2729" s="767"/>
      <c r="B2729" s="567"/>
      <c r="C2729" s="567"/>
      <c r="D2729" s="567"/>
      <c r="E2729" s="567"/>
      <c r="F2729" s="567"/>
      <c r="G2729" s="567"/>
      <c r="H2729" s="764"/>
      <c r="I2729" s="567"/>
      <c r="J2729" s="45"/>
      <c r="K2729" s="769"/>
      <c r="L2729" s="770"/>
      <c r="M2729" s="567"/>
      <c r="N2729" s="567"/>
      <c r="O2729" s="45"/>
      <c r="P2729" s="567"/>
      <c r="Q2729" s="567"/>
      <c r="R2729" s="771">
        <f>$A2729*Q2729</f>
        <v>0</v>
      </c>
      <c r="S2729" s="567"/>
      <c r="T2729" s="500">
        <f>$A2729*S2729*$T$1</f>
        <v>0</v>
      </c>
    </row>
    <row r="2730" spans="1:33" s="501" customFormat="1" ht="12">
      <c r="A2730" s="825" t="s">
        <v>145</v>
      </c>
      <c r="B2730" s="826">
        <f>(R2729+T2729)</f>
        <v>0</v>
      </c>
      <c r="C2730" s="497"/>
      <c r="G2730" s="774"/>
      <c r="H2730" s="774"/>
      <c r="I2730" s="774"/>
      <c r="J2730" s="774"/>
      <c r="K2730" s="750" t="s">
        <v>3</v>
      </c>
      <c r="L2730" s="775" t="s">
        <v>573</v>
      </c>
      <c r="M2730" s="774"/>
      <c r="N2730" s="774"/>
      <c r="O2730" s="774"/>
      <c r="P2730" s="774"/>
      <c r="Q2730" s="776"/>
      <c r="R2730" s="777">
        <f>SUM(R2720:R2729)</f>
        <v>28.68</v>
      </c>
      <c r="S2730" s="778"/>
      <c r="T2730" s="777">
        <f>SUM(T2720:T2729)</f>
        <v>2.37</v>
      </c>
      <c r="AG2730" s="779">
        <f>ROUND($R2730*$S$2,2)</f>
        <v>38.72</v>
      </c>
    </row>
    <row r="2731" spans="1:33" s="501" customFormat="1" ht="12" customHeight="1">
      <c r="A2731" s="800"/>
      <c r="B2731" s="827"/>
      <c r="C2731" s="828"/>
      <c r="D2731" s="828" t="str">
        <f>$F$3</f>
        <v>Technician</v>
      </c>
      <c r="E2731" s="828">
        <f>ROUND(($R2735*$S$3 + ($T2735*$T$3)), 2)</f>
        <v>0</v>
      </c>
      <c r="F2731" s="829">
        <f ca="1">$F2717-SUMIF($L2719:$P2728,"SUBI",$F2719:$F2728)</f>
        <v>0</v>
      </c>
      <c r="G2731" s="499"/>
      <c r="H2731" s="499"/>
      <c r="I2731" s="499"/>
      <c r="J2731" s="499"/>
      <c r="K2731" s="765" t="s">
        <v>5</v>
      </c>
      <c r="L2731" s="766" t="s">
        <v>573</v>
      </c>
      <c r="M2731" s="499"/>
      <c r="N2731" s="499"/>
      <c r="O2731" s="499"/>
      <c r="P2731" s="499"/>
      <c r="Q2731" s="499"/>
      <c r="R2731" s="784"/>
      <c r="S2731" s="499"/>
      <c r="T2731" s="784"/>
    </row>
    <row r="2732" spans="1:33" s="797" customFormat="1" ht="14.4" customHeight="1">
      <c r="A2732" s="785"/>
      <c r="B2732" s="768" t="s">
        <v>575</v>
      </c>
      <c r="C2732" s="786"/>
      <c r="D2732" s="787"/>
      <c r="E2732" s="787"/>
      <c r="F2732" s="787"/>
      <c r="G2732" s="788"/>
      <c r="H2732" s="789"/>
      <c r="I2732" s="789"/>
      <c r="J2732" s="790"/>
      <c r="K2732" s="791"/>
      <c r="L2732" s="786"/>
      <c r="M2732" s="792"/>
      <c r="N2732" s="793"/>
      <c r="O2732" s="794"/>
      <c r="P2732" s="795"/>
      <c r="Q2732" s="796"/>
      <c r="R2732" s="771">
        <f>$A2732*Q2732</f>
        <v>0</v>
      </c>
      <c r="S2732" s="567"/>
      <c r="T2732" s="500">
        <f>$A2732*S2732*$T$1</f>
        <v>0</v>
      </c>
    </row>
    <row r="2733" spans="1:33" s="501" customFormat="1" ht="11.4">
      <c r="A2733" s="767"/>
      <c r="B2733" s="567"/>
      <c r="C2733" s="567"/>
      <c r="D2733" s="567"/>
      <c r="E2733" s="567"/>
      <c r="F2733" s="567"/>
      <c r="G2733" s="567"/>
      <c r="H2733" s="567"/>
      <c r="I2733" s="567"/>
      <c r="J2733" s="567"/>
      <c r="K2733" s="567"/>
      <c r="L2733" s="770"/>
      <c r="M2733" s="567"/>
      <c r="N2733" s="567"/>
      <c r="O2733" s="567"/>
      <c r="P2733" s="567"/>
      <c r="Q2733" s="567"/>
      <c r="R2733" s="771">
        <f>$A2733*Q2733</f>
        <v>0</v>
      </c>
      <c r="S2733" s="567"/>
      <c r="T2733" s="500">
        <f>$A2733*S2733*$T$1</f>
        <v>0</v>
      </c>
    </row>
    <row r="2734" spans="1:33" s="501" customFormat="1" ht="13.2">
      <c r="A2734" s="767"/>
      <c r="B2734" s="567"/>
      <c r="C2734" s="567"/>
      <c r="D2734" s="3"/>
      <c r="E2734" s="567"/>
      <c r="F2734" s="567"/>
      <c r="G2734" s="567"/>
      <c r="H2734" s="567"/>
      <c r="I2734" s="567"/>
      <c r="J2734" s="567"/>
      <c r="K2734" s="567"/>
      <c r="L2734" s="770"/>
      <c r="M2734" s="567"/>
      <c r="N2734" s="567"/>
      <c r="O2734" s="567"/>
      <c r="P2734" s="567"/>
      <c r="Q2734" s="567"/>
      <c r="R2734" s="771">
        <f>$A2734*Q2734</f>
        <v>0</v>
      </c>
      <c r="S2734" s="567"/>
      <c r="T2734" s="500">
        <f>$A2734*S2734*$T$1</f>
        <v>0</v>
      </c>
    </row>
    <row r="2735" spans="1:33" s="501" customFormat="1" ht="12" customHeight="1">
      <c r="A2735" s="772" t="s">
        <v>145</v>
      </c>
      <c r="B2735" s="773">
        <f>(R2734+T2734)</f>
        <v>0</v>
      </c>
      <c r="C2735" s="810"/>
      <c r="D2735" s="810"/>
      <c r="E2735" s="810"/>
      <c r="F2735" s="810"/>
      <c r="G2735" s="776"/>
      <c r="H2735" s="776"/>
      <c r="I2735" s="776"/>
      <c r="J2735" s="776"/>
      <c r="K2735" s="798" t="s">
        <v>5</v>
      </c>
      <c r="L2735" s="811" t="s">
        <v>573</v>
      </c>
      <c r="M2735" s="776"/>
      <c r="N2735" s="776"/>
      <c r="O2735" s="776"/>
      <c r="P2735" s="776"/>
      <c r="Q2735" s="776"/>
      <c r="R2735" s="777">
        <f>SUM(R2731:R2734)</f>
        <v>0</v>
      </c>
      <c r="S2735" s="778"/>
      <c r="T2735" s="777">
        <f>SUM(T2731:T2734)</f>
        <v>0</v>
      </c>
      <c r="AG2735" s="799">
        <f>ROUND($R2735*$S$3,2)</f>
        <v>0</v>
      </c>
    </row>
    <row r="2736" spans="1:33" s="501" customFormat="1" ht="12.75" customHeight="1">
      <c r="A2736" s="813"/>
      <c r="B2736" s="814"/>
      <c r="E2736" s="497"/>
      <c r="F2736" s="808"/>
      <c r="G2736" s="497"/>
      <c r="H2736" s="497"/>
      <c r="I2736" s="499"/>
      <c r="J2736" s="497"/>
      <c r="K2736" s="497"/>
      <c r="L2736" s="815"/>
      <c r="M2736" s="725"/>
      <c r="N2736" s="725"/>
      <c r="O2736" s="725"/>
      <c r="P2736" s="725"/>
      <c r="Q2736" s="726"/>
      <c r="R2736" s="784"/>
      <c r="S2736" s="497"/>
      <c r="T2736" s="784"/>
    </row>
    <row r="2737" spans="1:41" s="501" customFormat="1" ht="13.5" customHeight="1" thickBot="1">
      <c r="A2737" s="816"/>
      <c r="B2737" s="817"/>
      <c r="C2737" s="518"/>
      <c r="D2737" s="518"/>
      <c r="E2737" s="515"/>
      <c r="F2737" s="721"/>
      <c r="G2737" s="515" t="s">
        <v>146</v>
      </c>
      <c r="H2737" s="515"/>
      <c r="I2737" s="516"/>
      <c r="J2737" s="515"/>
      <c r="K2737" s="515"/>
      <c r="L2737" s="818" t="s">
        <v>143</v>
      </c>
      <c r="M2737" s="517"/>
      <c r="N2737" s="517"/>
      <c r="O2737" s="517"/>
      <c r="P2737" s="517"/>
      <c r="Q2737" s="722"/>
      <c r="R2737" s="819">
        <f>SUMIF($L2718:$L2736,"SUBI",R2718:R2736)</f>
        <v>28.68</v>
      </c>
      <c r="S2737" s="515"/>
      <c r="T2737" s="819">
        <f>SUMIF($L2718:$L2736,"SUBI",T2718:T2736)</f>
        <v>2.37</v>
      </c>
      <c r="U2737" s="518"/>
      <c r="V2737" s="518"/>
      <c r="W2737" s="518"/>
      <c r="X2737" s="518"/>
      <c r="Y2737" s="518"/>
      <c r="Z2737" s="518"/>
      <c r="AA2737" s="518"/>
      <c r="AB2737" s="518"/>
      <c r="AC2737" s="518"/>
      <c r="AD2737" s="518"/>
      <c r="AE2737" s="518"/>
      <c r="AF2737" s="518"/>
      <c r="AG2737" s="518"/>
      <c r="AH2737" s="518"/>
      <c r="AI2737" s="518"/>
      <c r="AJ2737" s="518"/>
      <c r="AK2737" s="518"/>
      <c r="AL2737" s="518"/>
      <c r="AM2737" s="518"/>
      <c r="AN2737" s="518"/>
      <c r="AO2737" s="518"/>
    </row>
    <row r="2738" spans="1:41" s="501" customFormat="1" thickTop="1">
      <c r="A2738" s="44"/>
      <c r="B2738" s="44"/>
      <c r="C2738" s="3"/>
      <c r="D2738" s="3"/>
      <c r="E2738" s="44"/>
      <c r="F2738" s="44"/>
      <c r="G2738" s="44"/>
      <c r="H2738" s="44"/>
      <c r="I2738" s="44"/>
      <c r="J2738" s="44"/>
      <c r="K2738" s="44" t="s">
        <v>134</v>
      </c>
      <c r="L2738" s="44"/>
      <c r="M2738" s="44"/>
      <c r="N2738" s="44"/>
      <c r="O2738" s="45"/>
      <c r="P2738" s="44"/>
      <c r="Q2738" s="44"/>
      <c r="R2738" s="44"/>
      <c r="S2738" s="44"/>
      <c r="T2738" s="44"/>
    </row>
    <row r="2739" spans="1:41" s="501" customFormat="1" ht="12">
      <c r="A2739" s="44"/>
      <c r="B2739" s="44"/>
      <c r="C2739" s="44" t="s">
        <v>135</v>
      </c>
      <c r="D2739" s="35" t="s">
        <v>136</v>
      </c>
      <c r="E2739" s="44"/>
      <c r="F2739" s="44"/>
      <c r="G2739" s="44"/>
      <c r="H2739" s="44"/>
      <c r="I2739" s="44"/>
      <c r="J2739" s="44"/>
      <c r="K2739" s="44"/>
      <c r="L2739" s="44"/>
      <c r="M2739" s="44"/>
      <c r="N2739" s="44"/>
      <c r="O2739" s="45"/>
      <c r="P2739" s="44"/>
      <c r="Q2739" s="44"/>
      <c r="R2739" s="44"/>
      <c r="S2739" s="44"/>
      <c r="T2739" s="44"/>
    </row>
    <row r="2740" spans="1:41" s="501" customFormat="1" ht="12">
      <c r="A2740" s="44"/>
      <c r="B2740" s="44"/>
      <c r="C2740" s="44"/>
      <c r="D2740" s="35" t="s">
        <v>965</v>
      </c>
      <c r="E2740" s="44"/>
      <c r="F2740" s="44"/>
      <c r="G2740" s="44"/>
      <c r="H2740" s="44"/>
      <c r="I2740" s="44"/>
      <c r="J2740" s="44"/>
      <c r="K2740" s="44"/>
      <c r="L2740" s="44"/>
      <c r="M2740" s="44"/>
      <c r="N2740" s="44"/>
      <c r="O2740" s="45"/>
      <c r="P2740" s="44"/>
      <c r="Q2740" s="44"/>
      <c r="R2740" s="44"/>
      <c r="S2740" s="36"/>
      <c r="T2740" s="36"/>
    </row>
    <row r="2741" spans="1:41" s="3" customFormat="1" thickBot="1">
      <c r="A2741" s="518"/>
      <c r="O2741" s="86"/>
    </row>
    <row r="2742" spans="1:41" s="501" customFormat="1" thickTop="1">
      <c r="A2742" s="44"/>
      <c r="B2742" s="39"/>
      <c r="C2742" s="44"/>
      <c r="E2742" s="40" t="s">
        <v>138</v>
      </c>
      <c r="F2742" s="40" t="s">
        <v>139</v>
      </c>
      <c r="G2742" s="44"/>
      <c r="H2742" s="44"/>
      <c r="I2742" s="44"/>
      <c r="J2742" s="44"/>
      <c r="K2742" s="44" t="s">
        <v>140</v>
      </c>
      <c r="L2742" s="737"/>
      <c r="M2742" s="44"/>
      <c r="N2742" s="44"/>
      <c r="O2742" s="45"/>
      <c r="P2742" s="44"/>
      <c r="Q2742"/>
      <c r="R2742"/>
      <c r="S2742"/>
      <c r="T2742" s="39"/>
      <c r="AG2742" s="502" t="s">
        <v>247</v>
      </c>
      <c r="AH2742" s="502" t="s">
        <v>248</v>
      </c>
      <c r="AI2742" s="502" t="s">
        <v>249</v>
      </c>
      <c r="AJ2742" s="502" t="s">
        <v>250</v>
      </c>
      <c r="AK2742" s="502" t="s">
        <v>251</v>
      </c>
      <c r="AM2742" s="710" t="s">
        <v>260</v>
      </c>
      <c r="AN2742" s="711" t="s">
        <v>261</v>
      </c>
      <c r="AO2742" s="503" t="s">
        <v>257</v>
      </c>
    </row>
    <row r="2743" spans="1:41" s="501" customFormat="1" ht="13.2">
      <c r="A2743" s="712">
        <v>7</v>
      </c>
      <c r="B2743" s="504" t="s">
        <v>141</v>
      </c>
      <c r="C2743" s="505"/>
      <c r="D2743" s="713" t="s">
        <v>583</v>
      </c>
      <c r="E2743" s="738">
        <f>IF(AND($A2743=0,$A$1="DIF"),0, ROUND(ROUND(SUMIF($L2745:$L2757,"SUBI",$E2745:$E2757)/$A2743,2)*$C$12,2))</f>
        <v>1198.92</v>
      </c>
      <c r="F2743" s="739">
        <f>ROUND($A2743*$E2743,2)</f>
        <v>8392.44</v>
      </c>
      <c r="G2743" s="506" t="s">
        <v>142</v>
      </c>
      <c r="H2743" s="498"/>
      <c r="I2743" s="716"/>
      <c r="J2743" s="498"/>
      <c r="K2743" s="740"/>
      <c r="L2743" s="741" t="s">
        <v>143</v>
      </c>
      <c r="M2743" s="717"/>
      <c r="N2743" s="717"/>
      <c r="O2743" s="717"/>
      <c r="P2743" s="717"/>
      <c r="Q2743"/>
      <c r="R2743"/>
      <c r="S2743"/>
      <c r="T2743" s="742" t="str">
        <f>IF(AND($R2762=0,$T2762=0),"0.00","mu :" &amp; ROUND($F2743/$C$12/($R2762+$T2762*$D$9),2))</f>
        <v>mu :1.35</v>
      </c>
      <c r="W2743" s="507"/>
      <c r="AG2743" s="743">
        <f>IF(A2743=0,0,ROUND(SUM(AG2745:AG2762)/A2743,2))</f>
        <v>987.62</v>
      </c>
      <c r="AH2743" s="743">
        <f>$AG2743*$A2743</f>
        <v>6913.34</v>
      </c>
      <c r="AI2743" s="743">
        <f>$E2743-$AG2743</f>
        <v>211.30000000000007</v>
      </c>
      <c r="AJ2743" s="743">
        <f>$A2743*$AI2743</f>
        <v>1479.1000000000004</v>
      </c>
      <c r="AK2743" s="744">
        <f>ROUND(($AG2743+$AI2743)*$A2743,2)</f>
        <v>8392.44</v>
      </c>
      <c r="AM2743" s="510">
        <f>ROUND(R2762,2)</f>
        <v>5120.9799999999996</v>
      </c>
      <c r="AN2743" s="511">
        <f>ROUND(T2762,2)</f>
        <v>39.9</v>
      </c>
      <c r="AO2743" s="512">
        <f>ROUND(AM2743+AN2743,2)*A2743</f>
        <v>36126.160000000003</v>
      </c>
    </row>
    <row r="2744" spans="1:41" s="501" customFormat="1" ht="19.95" customHeight="1">
      <c r="A2744" s="745"/>
      <c r="B2744" s="746"/>
      <c r="C2744" s="505"/>
      <c r="D2744" s="724" t="s">
        <v>966</v>
      </c>
      <c r="F2744" s="498"/>
      <c r="G2744" s="498"/>
      <c r="H2744" s="498"/>
      <c r="I2744" s="716"/>
      <c r="J2744" s="498"/>
      <c r="K2744" s="498" t="s">
        <v>144</v>
      </c>
      <c r="L2744" s="747"/>
      <c r="M2744" s="498"/>
      <c r="N2744" s="498"/>
      <c r="O2744" s="498"/>
      <c r="P2744" s="498"/>
      <c r="Q2744" s="44"/>
      <c r="R2744" s="567"/>
      <c r="S2744" s="719"/>
      <c r="T2744" s="498"/>
    </row>
    <row r="2745" spans="1:41" s="501" customFormat="1" ht="12">
      <c r="A2745" s="821"/>
      <c r="B2745" s="822"/>
      <c r="C2745" s="497"/>
      <c r="D2745" s="498"/>
      <c r="E2745" s="823">
        <f>F2743/$C$12-SUMIF($L2742:$L2762,"SUBI",$E2742:$E2762)</f>
        <v>-1.0000000000218279E-2</v>
      </c>
      <c r="F2745" s="824" t="s">
        <v>572</v>
      </c>
      <c r="G2745" s="753"/>
      <c r="H2745" s="753"/>
      <c r="I2745" s="754"/>
      <c r="J2745" s="753"/>
      <c r="K2745" s="753"/>
      <c r="L2745" s="755"/>
      <c r="M2745" s="756"/>
      <c r="N2745" s="756"/>
      <c r="O2745" s="756"/>
      <c r="P2745" s="756"/>
      <c r="Q2745" s="757"/>
      <c r="R2745" s="758"/>
      <c r="S2745" s="757"/>
      <c r="T2745" s="759"/>
    </row>
    <row r="2746" spans="1:41" s="501" customFormat="1" ht="12" customHeight="1">
      <c r="A2746" s="760"/>
      <c r="B2746" s="761"/>
      <c r="C2746" s="762"/>
      <c r="D2746" s="762" t="str">
        <f>$F$2</f>
        <v>Electrical</v>
      </c>
      <c r="E2746" s="762">
        <f>ROUND(($R2756*$S$2 + ($T2756*$T$2)), 2)</f>
        <v>8392.4500000000007</v>
      </c>
      <c r="F2746" s="763">
        <f>$E2746*$C$12</f>
        <v>8392.4500000000007</v>
      </c>
      <c r="G2746" s="567"/>
      <c r="H2746" s="764"/>
      <c r="I2746" s="567"/>
      <c r="J2746" s="45"/>
      <c r="K2746" s="765" t="s">
        <v>3</v>
      </c>
      <c r="L2746" s="766" t="s">
        <v>573</v>
      </c>
      <c r="M2746" s="567"/>
      <c r="N2746" s="567"/>
      <c r="O2746" s="45"/>
      <c r="P2746" s="567"/>
      <c r="Q2746" s="567"/>
      <c r="R2746"/>
      <c r="S2746"/>
      <c r="T2746"/>
    </row>
    <row r="2747" spans="1:41" s="893" customFormat="1" ht="13.2">
      <c r="A2747">
        <v>7</v>
      </c>
      <c r="B2747" s="893" t="s">
        <v>141</v>
      </c>
      <c r="D2747" s="893" t="s">
        <v>641</v>
      </c>
      <c r="E2747" s="893" t="s">
        <v>1093</v>
      </c>
      <c r="G2747" s="894" t="s">
        <v>642</v>
      </c>
      <c r="H2747" s="895">
        <v>512</v>
      </c>
      <c r="I2747" s="893" t="s">
        <v>643</v>
      </c>
      <c r="O2747" s="896">
        <v>3</v>
      </c>
      <c r="P2747" s="897"/>
      <c r="Q2747" s="898"/>
      <c r="R2747" s="899">
        <f t="shared" ref="R2747:R2755" si="63">$A2747*Q2747</f>
        <v>0</v>
      </c>
      <c r="S2747" s="898">
        <v>0.5</v>
      </c>
      <c r="T2747" s="900">
        <f t="shared" ref="T2747:T2755" si="64">$A2747*S2747*$T$1</f>
        <v>3.5</v>
      </c>
    </row>
    <row r="2748" spans="1:41" s="893" customFormat="1" ht="13.2">
      <c r="A2748">
        <v>7</v>
      </c>
      <c r="B2748" s="893" t="s">
        <v>141</v>
      </c>
      <c r="D2748" s="893" t="s">
        <v>664</v>
      </c>
      <c r="G2748" s="894" t="s">
        <v>665</v>
      </c>
      <c r="H2748" s="895">
        <v>501</v>
      </c>
      <c r="I2748" s="893" t="s">
        <v>643</v>
      </c>
      <c r="K2748" s="893" t="s">
        <v>666</v>
      </c>
      <c r="O2748" s="896">
        <v>1</v>
      </c>
      <c r="P2748" s="897"/>
      <c r="Q2748" s="898">
        <v>10</v>
      </c>
      <c r="R2748" s="899">
        <f t="shared" si="63"/>
        <v>70</v>
      </c>
      <c r="S2748" s="898"/>
      <c r="T2748" s="900">
        <f t="shared" si="64"/>
        <v>0</v>
      </c>
    </row>
    <row r="2749" spans="1:41" s="893" customFormat="1" ht="13.2">
      <c r="A2749">
        <f>7*10</f>
        <v>70</v>
      </c>
      <c r="B2749" s="893" t="s">
        <v>296</v>
      </c>
      <c r="D2749" s="893" t="s">
        <v>1110</v>
      </c>
      <c r="G2749" s="894" t="s">
        <v>1111</v>
      </c>
      <c r="H2749" s="895">
        <v>690</v>
      </c>
      <c r="I2749" s="893" t="s">
        <v>648</v>
      </c>
      <c r="J2749" s="893" t="s">
        <v>1112</v>
      </c>
      <c r="O2749" s="896">
        <v>1</v>
      </c>
      <c r="P2749" s="897">
        <v>34669</v>
      </c>
      <c r="Q2749" s="898">
        <v>4.68</v>
      </c>
      <c r="R2749" s="899">
        <f>$A2749*Q2749</f>
        <v>327.59999999999997</v>
      </c>
      <c r="S2749" s="898">
        <v>0.25</v>
      </c>
      <c r="T2749" s="900">
        <f>$A2749*S2749*$T$1</f>
        <v>17.5</v>
      </c>
    </row>
    <row r="2750" spans="1:41" s="893" customFormat="1" ht="13.2">
      <c r="A2750">
        <f>7*45*2</f>
        <v>630</v>
      </c>
      <c r="B2750" s="893" t="s">
        <v>296</v>
      </c>
      <c r="D2750" s="893" t="s">
        <v>726</v>
      </c>
      <c r="G2750" s="894" t="s">
        <v>728</v>
      </c>
      <c r="H2750" s="895">
        <v>617</v>
      </c>
      <c r="I2750" s="893" t="s">
        <v>729</v>
      </c>
      <c r="J2750" s="893" t="s">
        <v>730</v>
      </c>
      <c r="O2750" s="896">
        <v>2</v>
      </c>
      <c r="P2750" s="897">
        <v>38433</v>
      </c>
      <c r="Q2750" s="898">
        <v>1.4524999999999999</v>
      </c>
      <c r="R2750" s="899">
        <f t="shared" si="63"/>
        <v>915.07499999999993</v>
      </c>
      <c r="S2750" s="898">
        <v>0.03</v>
      </c>
      <c r="T2750" s="900">
        <f t="shared" si="64"/>
        <v>18.899999999999999</v>
      </c>
    </row>
    <row r="2751" spans="1:41" s="893" customFormat="1" ht="13.2">
      <c r="A2751" s="87">
        <v>300</v>
      </c>
      <c r="B2751" s="893" t="s">
        <v>141</v>
      </c>
      <c r="D2751" s="893" t="s">
        <v>743</v>
      </c>
      <c r="G2751" s="894" t="s">
        <v>744</v>
      </c>
      <c r="H2751" s="895">
        <v>875</v>
      </c>
      <c r="I2751" s="893" t="s">
        <v>643</v>
      </c>
      <c r="K2751" s="893" t="s">
        <v>745</v>
      </c>
      <c r="O2751" s="896">
        <v>1</v>
      </c>
      <c r="P2751" s="897">
        <v>34669</v>
      </c>
      <c r="Q2751" s="898">
        <v>0.05</v>
      </c>
      <c r="R2751" s="899">
        <f t="shared" si="63"/>
        <v>15</v>
      </c>
      <c r="S2751" s="898"/>
      <c r="T2751" s="900">
        <f t="shared" si="64"/>
        <v>0</v>
      </c>
    </row>
    <row r="2752" spans="1:41" s="893" customFormat="1" ht="13.2">
      <c r="A2752">
        <v>14</v>
      </c>
      <c r="B2752" s="893" t="s">
        <v>141</v>
      </c>
      <c r="D2752" s="893" t="s">
        <v>815</v>
      </c>
      <c r="G2752" s="894" t="s">
        <v>816</v>
      </c>
      <c r="H2752" s="895">
        <v>620</v>
      </c>
      <c r="I2752" s="893" t="s">
        <v>643</v>
      </c>
      <c r="O2752" s="896">
        <v>2</v>
      </c>
      <c r="P2752" s="897">
        <v>35431</v>
      </c>
      <c r="Q2752" s="898">
        <v>0.35</v>
      </c>
      <c r="R2752" s="899">
        <f t="shared" si="63"/>
        <v>4.8999999999999995</v>
      </c>
      <c r="S2752" s="898"/>
      <c r="T2752" s="900">
        <f t="shared" si="64"/>
        <v>0</v>
      </c>
    </row>
    <row r="2753" spans="1:41" s="893" customFormat="1" ht="13.2">
      <c r="A2753">
        <v>14</v>
      </c>
      <c r="B2753" s="893" t="s">
        <v>141</v>
      </c>
      <c r="D2753" s="893" t="s">
        <v>817</v>
      </c>
      <c r="G2753" s="894" t="s">
        <v>731</v>
      </c>
      <c r="H2753" s="895">
        <v>620</v>
      </c>
      <c r="I2753" s="893" t="s">
        <v>643</v>
      </c>
      <c r="O2753" s="896">
        <v>2</v>
      </c>
      <c r="P2753" s="897"/>
      <c r="Q2753" s="898">
        <v>0.2</v>
      </c>
      <c r="R2753" s="899">
        <f t="shared" si="63"/>
        <v>2.8000000000000003</v>
      </c>
      <c r="S2753" s="898"/>
      <c r="T2753" s="900">
        <f t="shared" si="64"/>
        <v>0</v>
      </c>
    </row>
    <row r="2754" spans="1:41" s="893" customFormat="1" ht="13.2">
      <c r="A2754">
        <v>7</v>
      </c>
      <c r="B2754" s="893" t="s">
        <v>141</v>
      </c>
      <c r="D2754" s="893" t="s">
        <v>641</v>
      </c>
      <c r="E2754" s="893" t="s">
        <v>1101</v>
      </c>
      <c r="F2754" s="893" t="s">
        <v>1100</v>
      </c>
      <c r="G2754" s="894" t="s">
        <v>642</v>
      </c>
      <c r="H2754" s="895">
        <v>512</v>
      </c>
      <c r="I2754" s="893" t="s">
        <v>643</v>
      </c>
      <c r="O2754" s="896">
        <v>3</v>
      </c>
      <c r="P2754" s="897"/>
      <c r="Q2754" s="898">
        <f>416*1.3</f>
        <v>540.80000000000007</v>
      </c>
      <c r="R2754" s="899">
        <f>$A2754*Q2754</f>
        <v>3785.6000000000004</v>
      </c>
      <c r="S2754" s="898"/>
      <c r="T2754" s="900">
        <f>$A2754*S2754*$T$1</f>
        <v>0</v>
      </c>
    </row>
    <row r="2755" spans="1:41" s="501" customFormat="1" ht="13.95" customHeight="1">
      <c r="A2755" s="767"/>
      <c r="B2755" s="567"/>
      <c r="C2755" s="567"/>
      <c r="D2755" s="567"/>
      <c r="E2755" s="567"/>
      <c r="F2755" s="567"/>
      <c r="G2755" s="567"/>
      <c r="H2755" s="764"/>
      <c r="I2755" s="567"/>
      <c r="J2755" s="45"/>
      <c r="K2755" s="769"/>
      <c r="L2755" s="770"/>
      <c r="M2755" s="567"/>
      <c r="N2755" s="567"/>
      <c r="O2755" s="45"/>
      <c r="P2755" s="567"/>
      <c r="Q2755" s="567"/>
      <c r="R2755" s="771">
        <f t="shared" si="63"/>
        <v>0</v>
      </c>
      <c r="S2755" s="567"/>
      <c r="T2755" s="500">
        <f t="shared" si="64"/>
        <v>0</v>
      </c>
    </row>
    <row r="2756" spans="1:41" s="501" customFormat="1" ht="12">
      <c r="A2756" s="825" t="s">
        <v>145</v>
      </c>
      <c r="B2756" s="826">
        <f>(R2755+T2755)</f>
        <v>0</v>
      </c>
      <c r="C2756" s="497"/>
      <c r="G2756" s="774"/>
      <c r="H2756" s="774"/>
      <c r="I2756" s="774"/>
      <c r="J2756" s="774"/>
      <c r="K2756" s="750" t="s">
        <v>3</v>
      </c>
      <c r="L2756" s="775" t="s">
        <v>573</v>
      </c>
      <c r="M2756" s="774"/>
      <c r="N2756" s="774"/>
      <c r="O2756" s="774"/>
      <c r="P2756" s="774"/>
      <c r="Q2756" s="776"/>
      <c r="R2756" s="777">
        <f>SUM(R2746:R2755)</f>
        <v>5120.9750000000004</v>
      </c>
      <c r="S2756" s="778"/>
      <c r="T2756" s="777">
        <f>SUM(T2746:T2755)</f>
        <v>39.9</v>
      </c>
      <c r="AG2756" s="779">
        <f>ROUND($R2756*$S$2,2)</f>
        <v>6913.32</v>
      </c>
    </row>
    <row r="2757" spans="1:41" s="501" customFormat="1" ht="12" customHeight="1">
      <c r="A2757" s="800"/>
      <c r="B2757" s="827"/>
      <c r="C2757" s="828"/>
      <c r="D2757" s="828" t="str">
        <f>$F$3</f>
        <v>Technician</v>
      </c>
      <c r="E2757" s="828">
        <f>ROUND(($R2760*$S$3 + ($T2760*$T$3)), 2)</f>
        <v>0</v>
      </c>
      <c r="F2757" s="829">
        <f ca="1">$F2743-SUMIF($L2745:$P2753,"SUBI",$F2745:$F2753)</f>
        <v>-1.0000000000218279E-2</v>
      </c>
      <c r="G2757" s="499"/>
      <c r="H2757" s="499"/>
      <c r="I2757" s="499"/>
      <c r="J2757" s="499"/>
      <c r="K2757" s="765" t="s">
        <v>5</v>
      </c>
      <c r="L2757" s="766" t="s">
        <v>573</v>
      </c>
      <c r="M2757" s="499"/>
      <c r="N2757" s="499"/>
      <c r="O2757" s="499"/>
      <c r="P2757" s="499"/>
      <c r="Q2757" s="499"/>
      <c r="R2757" s="784"/>
      <c r="S2757" s="499"/>
      <c r="T2757" s="784"/>
    </row>
    <row r="2758" spans="1:41" s="893" customFormat="1" ht="13.2">
      <c r="A2758"/>
      <c r="G2758" s="894"/>
      <c r="H2758" s="895"/>
      <c r="O2758" s="896"/>
      <c r="P2758" s="897"/>
      <c r="Q2758" s="898"/>
      <c r="R2758" s="899"/>
      <c r="S2758" s="898"/>
      <c r="T2758" s="900"/>
    </row>
    <row r="2759" spans="1:41" s="501" customFormat="1" ht="13.2">
      <c r="A2759" s="767"/>
      <c r="B2759" s="567"/>
      <c r="C2759" s="567"/>
      <c r="D2759" s="3"/>
      <c r="E2759" s="567"/>
      <c r="F2759" s="567"/>
      <c r="G2759" s="567"/>
      <c r="H2759" s="567"/>
      <c r="I2759" s="567"/>
      <c r="J2759" s="567"/>
      <c r="K2759" s="567"/>
      <c r="L2759" s="770"/>
      <c r="M2759" s="567"/>
      <c r="N2759" s="567"/>
      <c r="O2759" s="567"/>
      <c r="P2759" s="567"/>
      <c r="Q2759" s="567"/>
      <c r="R2759" s="771">
        <f>$A2759*Q2759</f>
        <v>0</v>
      </c>
      <c r="S2759" s="567"/>
      <c r="T2759" s="500">
        <f>$A2759*S2759*$T$1</f>
        <v>0</v>
      </c>
    </row>
    <row r="2760" spans="1:41" s="501" customFormat="1" ht="12" customHeight="1">
      <c r="A2760" s="772" t="s">
        <v>145</v>
      </c>
      <c r="B2760" s="773">
        <f>(R2759+T2759)</f>
        <v>0</v>
      </c>
      <c r="C2760" s="810"/>
      <c r="D2760" s="810"/>
      <c r="E2760" s="810"/>
      <c r="F2760" s="810"/>
      <c r="G2760" s="776"/>
      <c r="H2760" s="776"/>
      <c r="I2760" s="776"/>
      <c r="J2760" s="776"/>
      <c r="K2760" s="798" t="s">
        <v>5</v>
      </c>
      <c r="L2760" s="811" t="s">
        <v>573</v>
      </c>
      <c r="M2760" s="776"/>
      <c r="N2760" s="776"/>
      <c r="O2760" s="776"/>
      <c r="P2760" s="776"/>
      <c r="Q2760" s="776"/>
      <c r="R2760" s="777">
        <f>SUM(R2757:R2759)</f>
        <v>0</v>
      </c>
      <c r="S2760" s="778"/>
      <c r="T2760" s="777">
        <f>SUM(T2757:T2759)</f>
        <v>0</v>
      </c>
      <c r="AG2760" s="799">
        <f>ROUND($R2760*$S$3,2)</f>
        <v>0</v>
      </c>
    </row>
    <row r="2761" spans="1:41" s="501" customFormat="1" ht="12.75" customHeight="1">
      <c r="A2761" s="813"/>
      <c r="B2761" s="814"/>
      <c r="E2761" s="497"/>
      <c r="F2761" s="808"/>
      <c r="G2761" s="497"/>
      <c r="H2761" s="497"/>
      <c r="I2761" s="499"/>
      <c r="J2761" s="497"/>
      <c r="K2761" s="497"/>
      <c r="L2761" s="815"/>
      <c r="M2761" s="725"/>
      <c r="N2761" s="725"/>
      <c r="O2761" s="725"/>
      <c r="P2761" s="725"/>
      <c r="Q2761" s="726"/>
      <c r="R2761" s="784"/>
      <c r="S2761" s="497"/>
      <c r="T2761" s="784"/>
    </row>
    <row r="2762" spans="1:41" s="501" customFormat="1" ht="13.5" customHeight="1" thickBot="1">
      <c r="A2762" s="816"/>
      <c r="B2762" s="817"/>
      <c r="C2762" s="518"/>
      <c r="D2762" s="518"/>
      <c r="E2762" s="515"/>
      <c r="F2762" s="721"/>
      <c r="G2762" s="515" t="s">
        <v>146</v>
      </c>
      <c r="H2762" s="515"/>
      <c r="I2762" s="516"/>
      <c r="J2762" s="515"/>
      <c r="K2762" s="515"/>
      <c r="L2762" s="818" t="s">
        <v>143</v>
      </c>
      <c r="M2762" s="517"/>
      <c r="N2762" s="517"/>
      <c r="O2762" s="517"/>
      <c r="P2762" s="517"/>
      <c r="Q2762" s="722"/>
      <c r="R2762" s="819">
        <f>SUMIF($L2744:$L2761,"SUBI",R2744:R2761)</f>
        <v>5120.9750000000004</v>
      </c>
      <c r="S2762" s="515"/>
      <c r="T2762" s="819">
        <f>SUMIF($L2744:$L2761,"SUBI",T2744:T2761)</f>
        <v>39.9</v>
      </c>
      <c r="U2762" s="518"/>
      <c r="V2762" s="518"/>
      <c r="W2762" s="518"/>
      <c r="X2762" s="518"/>
      <c r="Y2762" s="518"/>
      <c r="Z2762" s="518"/>
      <c r="AA2762" s="518"/>
      <c r="AB2762" s="518"/>
      <c r="AC2762" s="518"/>
      <c r="AD2762" s="518"/>
      <c r="AE2762" s="518"/>
      <c r="AF2762" s="518"/>
      <c r="AG2762" s="518"/>
      <c r="AH2762" s="518"/>
      <c r="AI2762" s="518"/>
      <c r="AJ2762" s="518"/>
      <c r="AK2762" s="518"/>
      <c r="AL2762" s="518"/>
      <c r="AM2762" s="518"/>
      <c r="AN2762" s="518"/>
      <c r="AO2762" s="518"/>
    </row>
    <row r="2763" spans="1:41" s="501" customFormat="1" thickTop="1">
      <c r="A2763" s="44"/>
      <c r="B2763" s="39"/>
      <c r="C2763" s="44"/>
      <c r="E2763" s="40" t="s">
        <v>138</v>
      </c>
      <c r="F2763" s="40" t="s">
        <v>139</v>
      </c>
      <c r="G2763" s="44"/>
      <c r="H2763" s="44"/>
      <c r="I2763" s="44"/>
      <c r="J2763" s="44"/>
      <c r="K2763" s="44" t="s">
        <v>140</v>
      </c>
      <c r="L2763" s="737"/>
      <c r="M2763" s="44"/>
      <c r="N2763" s="44"/>
      <c r="O2763" s="45"/>
      <c r="P2763" s="44"/>
      <c r="Q2763"/>
      <c r="R2763"/>
      <c r="S2763"/>
      <c r="T2763" s="39"/>
      <c r="AG2763" s="502" t="s">
        <v>247</v>
      </c>
      <c r="AH2763" s="502" t="s">
        <v>248</v>
      </c>
      <c r="AI2763" s="502" t="s">
        <v>249</v>
      </c>
      <c r="AJ2763" s="502" t="s">
        <v>250</v>
      </c>
      <c r="AK2763" s="502" t="s">
        <v>251</v>
      </c>
      <c r="AM2763" s="710" t="s">
        <v>260</v>
      </c>
      <c r="AN2763" s="711" t="s">
        <v>261</v>
      </c>
      <c r="AO2763" s="503" t="s">
        <v>257</v>
      </c>
    </row>
    <row r="2764" spans="1:41" s="501" customFormat="1" ht="13.2">
      <c r="A2764" s="712">
        <v>1</v>
      </c>
      <c r="B2764" s="504" t="s">
        <v>459</v>
      </c>
      <c r="C2764" s="505"/>
      <c r="D2764" s="713" t="s">
        <v>594</v>
      </c>
      <c r="E2764" s="738">
        <f>IF(AND($A2764=0,$A$1="DIF"),0, ROUND(ROUND(SUMIF($L2766:$L2782,"SUBI",$E2766:$E2782)/$A2764,2)*$C$12,2))</f>
        <v>6720.5</v>
      </c>
      <c r="F2764" s="739">
        <f>ROUND($A2764*$E2764,2)</f>
        <v>6720.5</v>
      </c>
      <c r="G2764" s="506" t="s">
        <v>142</v>
      </c>
      <c r="H2764" s="498"/>
      <c r="I2764" s="716"/>
      <c r="J2764" s="498"/>
      <c r="K2764" s="740"/>
      <c r="L2764" s="741" t="s">
        <v>143</v>
      </c>
      <c r="M2764" s="717"/>
      <c r="N2764" s="717"/>
      <c r="O2764" s="717"/>
      <c r="P2764" s="717"/>
      <c r="Q2764"/>
      <c r="R2764"/>
      <c r="S2764"/>
      <c r="T2764" s="742" t="str">
        <f>IF(AND($R2792=0,$T2792=0),"0.00","mu :" &amp; ROUND($F2764/$C$12/($R2792+$T2792*$D$9),2))</f>
        <v>mu :1.35</v>
      </c>
      <c r="W2764" s="507"/>
      <c r="AG2764" s="743">
        <f>IF(A2764=0,0,ROUND(SUM(AG2766:AG2792)/A2764,2))</f>
        <v>5921.62</v>
      </c>
      <c r="AH2764" s="743">
        <f>$AG2764*$A2764</f>
        <v>5921.62</v>
      </c>
      <c r="AI2764" s="743">
        <f>$E2764-$AG2764</f>
        <v>798.88000000000011</v>
      </c>
      <c r="AJ2764" s="743">
        <f>$A2764*$AI2764</f>
        <v>798.88000000000011</v>
      </c>
      <c r="AK2764" s="744">
        <f>ROUND(($AG2764+$AI2764)*$A2764,2)</f>
        <v>6720.5</v>
      </c>
      <c r="AM2764" s="510">
        <f>ROUND(R2792,2)</f>
        <v>4386.3900000000003</v>
      </c>
      <c r="AN2764" s="511">
        <f>ROUND(T2792,2)</f>
        <v>21.55</v>
      </c>
      <c r="AO2764" s="512">
        <f>ROUND(AM2764+AN2764,2)*A2764</f>
        <v>4407.9399999999996</v>
      </c>
    </row>
    <row r="2765" spans="1:41" s="501" customFormat="1" ht="19.95" customHeight="1">
      <c r="A2765" s="745"/>
      <c r="B2765" s="746"/>
      <c r="C2765" s="505"/>
      <c r="D2765" s="724" t="s">
        <v>967</v>
      </c>
      <c r="F2765" s="498"/>
      <c r="G2765" s="498"/>
      <c r="H2765" s="498"/>
      <c r="I2765" s="716"/>
      <c r="J2765" s="498"/>
      <c r="K2765" s="498" t="s">
        <v>144</v>
      </c>
      <c r="L2765" s="747"/>
      <c r="M2765" s="498"/>
      <c r="N2765" s="498"/>
      <c r="O2765" s="498"/>
      <c r="P2765" s="498"/>
      <c r="Q2765" s="44"/>
      <c r="R2765" s="567"/>
      <c r="S2765" s="719"/>
      <c r="T2765" s="498"/>
    </row>
    <row r="2766" spans="1:41" s="501" customFormat="1" ht="12">
      <c r="A2766" s="821"/>
      <c r="B2766" s="822"/>
      <c r="C2766" s="497"/>
      <c r="D2766" s="498"/>
      <c r="E2766" s="823">
        <f>F2764/$C$12-SUMIF($L2763:$L2792,"SUBI",$E2763:$E2792)</f>
        <v>0</v>
      </c>
      <c r="F2766" s="824" t="s">
        <v>572</v>
      </c>
      <c r="G2766" s="753"/>
      <c r="H2766" s="753"/>
      <c r="I2766" s="754"/>
      <c r="J2766" s="753"/>
      <c r="K2766" s="753"/>
      <c r="L2766" s="755"/>
      <c r="M2766" s="756"/>
      <c r="N2766" s="756"/>
      <c r="O2766" s="756"/>
      <c r="P2766" s="756"/>
      <c r="Q2766" s="757"/>
      <c r="R2766" s="758"/>
      <c r="S2766" s="757"/>
      <c r="T2766" s="759"/>
    </row>
    <row r="2767" spans="1:41" s="501" customFormat="1" ht="12" customHeight="1">
      <c r="A2767" s="760"/>
      <c r="B2767" s="761"/>
      <c r="C2767" s="762"/>
      <c r="D2767" s="762" t="str">
        <f>$F$2</f>
        <v>Electrical</v>
      </c>
      <c r="E2767" s="762">
        <f>ROUND(($R2781*$S$2 + ($T2781*$T$2)), 2)</f>
        <v>6720.5</v>
      </c>
      <c r="F2767" s="763">
        <f>$E2767*$C$12</f>
        <v>6720.5</v>
      </c>
      <c r="G2767" s="567"/>
      <c r="H2767" s="764"/>
      <c r="I2767" s="567"/>
      <c r="J2767" s="45"/>
      <c r="K2767" s="765" t="s">
        <v>3</v>
      </c>
      <c r="L2767" s="766" t="s">
        <v>573</v>
      </c>
      <c r="M2767" s="567"/>
      <c r="N2767" s="567"/>
      <c r="O2767" s="45"/>
      <c r="P2767" s="567"/>
      <c r="Q2767" s="567"/>
      <c r="R2767"/>
      <c r="S2767"/>
      <c r="T2767"/>
    </row>
    <row r="2768" spans="1:41" s="501" customFormat="1" ht="13.95" customHeight="1">
      <c r="A2768" s="767"/>
      <c r="B2768" s="768" t="s">
        <v>574</v>
      </c>
      <c r="C2768" s="567"/>
      <c r="D2768" s="567"/>
      <c r="E2768" s="567"/>
      <c r="F2768" s="567"/>
      <c r="G2768" s="567"/>
      <c r="H2768" s="764"/>
      <c r="I2768" s="567"/>
      <c r="J2768" s="45"/>
      <c r="K2768" s="769"/>
      <c r="L2768" s="770"/>
      <c r="M2768" s="567"/>
      <c r="N2768" s="567"/>
      <c r="O2768" s="45"/>
      <c r="P2768" s="567"/>
      <c r="Q2768" s="567"/>
      <c r="R2768" s="771">
        <f t="shared" ref="R2768:R2780" si="65">$A2768*Q2768</f>
        <v>0</v>
      </c>
      <c r="S2768" s="567"/>
      <c r="T2768" s="500">
        <f t="shared" ref="T2768:T2780" si="66">$A2768*S2768*$T$1</f>
        <v>0</v>
      </c>
    </row>
    <row r="2769" spans="1:33" s="893" customFormat="1" ht="13.2">
      <c r="A2769">
        <f>3*10</f>
        <v>30</v>
      </c>
      <c r="B2769" s="893" t="s">
        <v>296</v>
      </c>
      <c r="D2769" s="893" t="s">
        <v>652</v>
      </c>
      <c r="G2769" s="894" t="s">
        <v>653</v>
      </c>
      <c r="H2769" s="895">
        <v>690</v>
      </c>
      <c r="I2769" s="893" t="s">
        <v>648</v>
      </c>
      <c r="J2769" s="893" t="s">
        <v>649</v>
      </c>
      <c r="O2769" s="896">
        <v>1</v>
      </c>
      <c r="P2769" s="897">
        <v>34669</v>
      </c>
      <c r="Q2769" s="898">
        <v>3.66</v>
      </c>
      <c r="R2769" s="899">
        <f t="shared" si="65"/>
        <v>109.80000000000001</v>
      </c>
      <c r="S2769" s="898">
        <v>0.2</v>
      </c>
      <c r="T2769" s="900">
        <f t="shared" si="66"/>
        <v>6</v>
      </c>
    </row>
    <row r="2770" spans="1:33" s="893" customFormat="1" ht="13.2">
      <c r="A2770">
        <f>3*45</f>
        <v>135</v>
      </c>
      <c r="B2770" s="893" t="s">
        <v>296</v>
      </c>
      <c r="D2770" s="893" t="s">
        <v>726</v>
      </c>
      <c r="G2770" s="894" t="s">
        <v>728</v>
      </c>
      <c r="H2770" s="895">
        <v>617</v>
      </c>
      <c r="I2770" s="893" t="s">
        <v>729</v>
      </c>
      <c r="J2770" s="893" t="s">
        <v>730</v>
      </c>
      <c r="O2770" s="896">
        <v>2</v>
      </c>
      <c r="P2770" s="897">
        <v>38433</v>
      </c>
      <c r="Q2770" s="898">
        <v>1.4524999999999999</v>
      </c>
      <c r="R2770" s="899">
        <f t="shared" si="65"/>
        <v>196.08749999999998</v>
      </c>
      <c r="S2770" s="898">
        <v>0.03</v>
      </c>
      <c r="T2770" s="900">
        <f t="shared" si="66"/>
        <v>4.05</v>
      </c>
    </row>
    <row r="2771" spans="1:33" s="893" customFormat="1" ht="13.2">
      <c r="A2771" s="87">
        <v>100</v>
      </c>
      <c r="B2771" s="893" t="s">
        <v>141</v>
      </c>
      <c r="D2771" s="893" t="s">
        <v>743</v>
      </c>
      <c r="G2771" s="894" t="s">
        <v>744</v>
      </c>
      <c r="H2771" s="895">
        <v>875</v>
      </c>
      <c r="I2771" s="893" t="s">
        <v>643</v>
      </c>
      <c r="K2771" s="893" t="s">
        <v>745</v>
      </c>
      <c r="O2771" s="896">
        <v>1</v>
      </c>
      <c r="P2771" s="897">
        <v>34669</v>
      </c>
      <c r="Q2771" s="898">
        <v>0.05</v>
      </c>
      <c r="R2771" s="899">
        <f t="shared" si="65"/>
        <v>5</v>
      </c>
      <c r="S2771" s="898"/>
      <c r="T2771" s="900">
        <f t="shared" si="66"/>
        <v>0</v>
      </c>
    </row>
    <row r="2772" spans="1:33" s="893" customFormat="1" ht="13.2">
      <c r="A2772">
        <v>6</v>
      </c>
      <c r="B2772" s="893" t="s">
        <v>141</v>
      </c>
      <c r="D2772" s="893" t="s">
        <v>815</v>
      </c>
      <c r="G2772" s="894" t="s">
        <v>816</v>
      </c>
      <c r="H2772" s="895">
        <v>620</v>
      </c>
      <c r="I2772" s="893" t="s">
        <v>643</v>
      </c>
      <c r="O2772" s="896">
        <v>2</v>
      </c>
      <c r="P2772" s="897">
        <v>35431</v>
      </c>
      <c r="Q2772" s="898">
        <v>0.35</v>
      </c>
      <c r="R2772" s="899">
        <f t="shared" si="65"/>
        <v>2.0999999999999996</v>
      </c>
      <c r="S2772" s="898"/>
      <c r="T2772" s="900">
        <f t="shared" si="66"/>
        <v>0</v>
      </c>
    </row>
    <row r="2773" spans="1:33" s="893" customFormat="1" ht="13.2">
      <c r="A2773">
        <v>6</v>
      </c>
      <c r="B2773" s="893" t="s">
        <v>141</v>
      </c>
      <c r="D2773" s="893" t="s">
        <v>817</v>
      </c>
      <c r="G2773" s="894" t="s">
        <v>731</v>
      </c>
      <c r="H2773" s="895">
        <v>620</v>
      </c>
      <c r="I2773" s="893" t="s">
        <v>643</v>
      </c>
      <c r="O2773" s="896">
        <v>2</v>
      </c>
      <c r="P2773" s="897"/>
      <c r="Q2773" s="898">
        <v>0.2</v>
      </c>
      <c r="R2773" s="899">
        <f t="shared" si="65"/>
        <v>1.2000000000000002</v>
      </c>
      <c r="S2773" s="898"/>
      <c r="T2773" s="900">
        <f t="shared" si="66"/>
        <v>0</v>
      </c>
    </row>
    <row r="2774" spans="1:33" s="893" customFormat="1" ht="13.2">
      <c r="A2774">
        <v>3</v>
      </c>
      <c r="B2774" s="893" t="s">
        <v>141</v>
      </c>
      <c r="D2774" s="893" t="s">
        <v>1097</v>
      </c>
      <c r="G2774" s="894" t="s">
        <v>1094</v>
      </c>
      <c r="H2774" s="895">
        <v>570</v>
      </c>
      <c r="I2774" s="893" t="s">
        <v>1095</v>
      </c>
      <c r="J2774" s="893" t="s">
        <v>1096</v>
      </c>
      <c r="O2774" s="896">
        <v>2</v>
      </c>
      <c r="P2774" s="897">
        <v>38104</v>
      </c>
      <c r="Q2774" s="898">
        <v>75</v>
      </c>
      <c r="R2774" s="899">
        <f t="shared" si="65"/>
        <v>225</v>
      </c>
      <c r="S2774" s="898">
        <v>0.5</v>
      </c>
      <c r="T2774" s="900">
        <f t="shared" si="66"/>
        <v>1.5</v>
      </c>
    </row>
    <row r="2775" spans="1:33" s="893" customFormat="1" ht="13.2">
      <c r="A2775">
        <v>3</v>
      </c>
      <c r="B2775" s="893" t="s">
        <v>141</v>
      </c>
      <c r="D2775" s="893" t="s">
        <v>664</v>
      </c>
      <c r="G2775" s="894" t="s">
        <v>665</v>
      </c>
      <c r="H2775" s="895">
        <v>501</v>
      </c>
      <c r="I2775" s="893" t="s">
        <v>643</v>
      </c>
      <c r="K2775" s="893" t="s">
        <v>666</v>
      </c>
      <c r="O2775" s="896">
        <v>1</v>
      </c>
      <c r="P2775" s="897"/>
      <c r="Q2775" s="898">
        <v>5</v>
      </c>
      <c r="R2775" s="899">
        <f t="shared" si="65"/>
        <v>15</v>
      </c>
      <c r="S2775" s="898"/>
      <c r="T2775" s="900">
        <f t="shared" si="66"/>
        <v>0</v>
      </c>
    </row>
    <row r="2776" spans="1:33" s="893" customFormat="1" ht="13.2">
      <c r="A2776">
        <v>1</v>
      </c>
      <c r="B2776" s="893" t="s">
        <v>141</v>
      </c>
      <c r="D2776" s="893" t="s">
        <v>641</v>
      </c>
      <c r="F2776" s="893" t="s">
        <v>1100</v>
      </c>
      <c r="G2776" s="894" t="s">
        <v>642</v>
      </c>
      <c r="H2776" s="895">
        <v>512</v>
      </c>
      <c r="I2776" s="893" t="s">
        <v>643</v>
      </c>
      <c r="O2776" s="896">
        <v>3</v>
      </c>
      <c r="P2776" s="897"/>
      <c r="Q2776" s="898">
        <f>2354*1.3</f>
        <v>3060.2000000000003</v>
      </c>
      <c r="R2776" s="899">
        <f>$A2776*Q2776</f>
        <v>3060.2000000000003</v>
      </c>
      <c r="S2776" s="898">
        <v>8</v>
      </c>
      <c r="T2776" s="900">
        <f>$A2776*S2776*$T$1</f>
        <v>8</v>
      </c>
    </row>
    <row r="2777" spans="1:33" s="893" customFormat="1" ht="13.2">
      <c r="A2777">
        <v>1</v>
      </c>
      <c r="B2777" s="893" t="s">
        <v>141</v>
      </c>
      <c r="D2777" s="893" t="s">
        <v>641</v>
      </c>
      <c r="E2777" s="893" t="s">
        <v>1102</v>
      </c>
      <c r="F2777" s="893" t="s">
        <v>1100</v>
      </c>
      <c r="G2777" s="894" t="s">
        <v>642</v>
      </c>
      <c r="H2777" s="895">
        <v>512</v>
      </c>
      <c r="I2777" s="893" t="s">
        <v>643</v>
      </c>
      <c r="O2777" s="896">
        <v>3</v>
      </c>
      <c r="P2777" s="897"/>
      <c r="Q2777" s="898">
        <f>540*1.3</f>
        <v>702</v>
      </c>
      <c r="R2777" s="899">
        <f>$A2777*Q2777</f>
        <v>702</v>
      </c>
      <c r="S2777" s="898"/>
      <c r="T2777" s="900">
        <f>$A2777*S2777*$T$1</f>
        <v>0</v>
      </c>
    </row>
    <row r="2778" spans="1:33" s="893" customFormat="1" ht="13.2">
      <c r="A2778" s="87">
        <v>1</v>
      </c>
      <c r="B2778" s="893" t="s">
        <v>141</v>
      </c>
      <c r="D2778" s="893" t="s">
        <v>1103</v>
      </c>
      <c r="G2778" s="894" t="s">
        <v>653</v>
      </c>
      <c r="H2778" s="895">
        <v>690</v>
      </c>
      <c r="I2778" s="893" t="s">
        <v>648</v>
      </c>
      <c r="J2778" s="893" t="s">
        <v>649</v>
      </c>
      <c r="O2778" s="896">
        <v>1</v>
      </c>
      <c r="P2778" s="897">
        <v>34669</v>
      </c>
      <c r="Q2778" s="898">
        <v>40</v>
      </c>
      <c r="R2778" s="899">
        <f>$A2778*Q2778</f>
        <v>40</v>
      </c>
      <c r="S2778" s="898">
        <v>2</v>
      </c>
      <c r="T2778" s="900">
        <f>$A2778*S2778*$T$1</f>
        <v>2</v>
      </c>
    </row>
    <row r="2779" spans="1:33" s="893" customFormat="1" ht="13.2">
      <c r="A2779">
        <v>1</v>
      </c>
      <c r="B2779" s="893" t="s">
        <v>141</v>
      </c>
      <c r="D2779" s="893" t="s">
        <v>664</v>
      </c>
      <c r="G2779" s="894" t="s">
        <v>665</v>
      </c>
      <c r="H2779" s="895">
        <v>501</v>
      </c>
      <c r="I2779" s="893" t="s">
        <v>643</v>
      </c>
      <c r="K2779" s="893" t="s">
        <v>666</v>
      </c>
      <c r="O2779" s="896">
        <v>1</v>
      </c>
      <c r="P2779" s="897"/>
      <c r="Q2779" s="898">
        <v>30</v>
      </c>
      <c r="R2779" s="899">
        <f>$A2779*Q2779</f>
        <v>30</v>
      </c>
      <c r="S2779" s="898"/>
      <c r="T2779" s="900">
        <f>$A2779*S2779*$T$1</f>
        <v>0</v>
      </c>
    </row>
    <row r="2780" spans="1:33" s="501" customFormat="1" ht="13.95" customHeight="1">
      <c r="A2780" s="767"/>
      <c r="B2780" s="567"/>
      <c r="C2780" s="567"/>
      <c r="D2780" s="567"/>
      <c r="E2780" s="567"/>
      <c r="F2780" s="567"/>
      <c r="G2780" s="567"/>
      <c r="H2780" s="764"/>
      <c r="I2780" s="567"/>
      <c r="J2780" s="45"/>
      <c r="K2780" s="769"/>
      <c r="L2780" s="770"/>
      <c r="M2780" s="567"/>
      <c r="N2780" s="567"/>
      <c r="O2780" s="45"/>
      <c r="P2780" s="567"/>
      <c r="Q2780" s="567"/>
      <c r="R2780" s="771">
        <f t="shared" si="65"/>
        <v>0</v>
      </c>
      <c r="S2780" s="567"/>
      <c r="T2780" s="500">
        <f t="shared" si="66"/>
        <v>0</v>
      </c>
    </row>
    <row r="2781" spans="1:33" s="501" customFormat="1" ht="12">
      <c r="A2781" s="825" t="s">
        <v>145</v>
      </c>
      <c r="B2781" s="826">
        <f>(R2780+T2780)</f>
        <v>0</v>
      </c>
      <c r="C2781" s="497"/>
      <c r="G2781" s="774"/>
      <c r="H2781" s="774"/>
      <c r="I2781" s="774"/>
      <c r="J2781" s="774"/>
      <c r="K2781" s="750" t="s">
        <v>3</v>
      </c>
      <c r="L2781" s="775" t="s">
        <v>573</v>
      </c>
      <c r="M2781" s="774"/>
      <c r="N2781" s="774"/>
      <c r="O2781" s="774"/>
      <c r="P2781" s="774"/>
      <c r="Q2781" s="776"/>
      <c r="R2781" s="777">
        <f>SUM(R2767:R2780)</f>
        <v>4386.3875000000007</v>
      </c>
      <c r="S2781" s="778"/>
      <c r="T2781" s="777">
        <f>SUM(T2767:T2780)</f>
        <v>21.55</v>
      </c>
      <c r="AG2781" s="779">
        <f>ROUND($R2781*$S$2,2)</f>
        <v>5921.62</v>
      </c>
    </row>
    <row r="2782" spans="1:33" s="501" customFormat="1" ht="12" customHeight="1">
      <c r="A2782" s="800"/>
      <c r="B2782" s="827"/>
      <c r="C2782" s="828"/>
      <c r="D2782" s="828" t="str">
        <f>$F$3</f>
        <v>Technician</v>
      </c>
      <c r="E2782" s="828">
        <f>ROUND(($R2790*$S$3 + ($T2790*$T$3)), 2)</f>
        <v>0</v>
      </c>
      <c r="F2782" s="829">
        <f ca="1">$F2764-SUMIF($L2766:$P2775,"SUBI",$F2766:$F2775)</f>
        <v>0</v>
      </c>
      <c r="G2782" s="499"/>
      <c r="H2782" s="499"/>
      <c r="I2782" s="499"/>
      <c r="J2782" s="499"/>
      <c r="K2782" s="765" t="s">
        <v>5</v>
      </c>
      <c r="L2782" s="766" t="s">
        <v>573</v>
      </c>
      <c r="M2782" s="499"/>
      <c r="N2782" s="499"/>
      <c r="O2782" s="499"/>
      <c r="P2782" s="499"/>
      <c r="Q2782" s="499"/>
      <c r="R2782" s="784"/>
      <c r="S2782" s="499"/>
      <c r="T2782" s="784"/>
    </row>
    <row r="2783" spans="1:33" s="797" customFormat="1" ht="14.4" customHeight="1">
      <c r="A2783" s="785"/>
      <c r="B2783" s="768" t="s">
        <v>575</v>
      </c>
      <c r="C2783" s="786"/>
      <c r="D2783" s="787"/>
      <c r="E2783" s="787"/>
      <c r="F2783" s="787"/>
      <c r="G2783" s="788"/>
      <c r="H2783" s="789"/>
      <c r="I2783" s="789"/>
      <c r="J2783" s="790"/>
      <c r="K2783" s="791"/>
      <c r="L2783" s="786"/>
      <c r="M2783" s="792"/>
      <c r="N2783" s="793"/>
      <c r="O2783" s="794"/>
      <c r="P2783" s="795"/>
      <c r="Q2783" s="796"/>
      <c r="R2783" s="771">
        <f>$A2783*Q2783</f>
        <v>0</v>
      </c>
      <c r="S2783" s="567"/>
      <c r="T2783" s="500">
        <f>$A2783*S2783*$T$1</f>
        <v>0</v>
      </c>
    </row>
    <row r="2784" spans="1:33" s="501" customFormat="1" ht="11.4">
      <c r="A2784" s="767"/>
      <c r="B2784" s="567"/>
      <c r="C2784" s="567"/>
      <c r="D2784" s="567"/>
      <c r="E2784" s="567"/>
      <c r="F2784" s="567"/>
      <c r="G2784" s="567"/>
      <c r="H2784" s="567"/>
      <c r="I2784" s="567"/>
      <c r="J2784" s="567"/>
      <c r="K2784" s="567"/>
      <c r="L2784" s="770"/>
      <c r="M2784" s="567"/>
      <c r="N2784" s="567"/>
      <c r="O2784" s="567"/>
      <c r="P2784" s="567"/>
      <c r="Q2784" s="567"/>
      <c r="R2784" s="771">
        <f>$A2784*Q2784</f>
        <v>0</v>
      </c>
      <c r="S2784" s="567"/>
      <c r="T2784" s="500">
        <f>$A2784*S2784*$T$1</f>
        <v>0</v>
      </c>
    </row>
    <row r="2785" spans="1:41" s="501" customFormat="1" ht="11.4">
      <c r="A2785" s="767"/>
      <c r="B2785" s="567"/>
      <c r="C2785" s="567"/>
      <c r="D2785" s="567"/>
      <c r="E2785" s="567"/>
      <c r="F2785" s="567"/>
      <c r="G2785" s="567"/>
      <c r="H2785" s="567"/>
      <c r="I2785" s="567"/>
      <c r="J2785" s="567"/>
      <c r="K2785" s="567"/>
      <c r="L2785" s="770"/>
      <c r="M2785" s="567"/>
      <c r="N2785" s="567"/>
      <c r="O2785" s="567"/>
      <c r="P2785" s="567"/>
      <c r="Q2785" s="567"/>
      <c r="R2785" s="771"/>
      <c r="S2785" s="567"/>
      <c r="T2785" s="500"/>
    </row>
    <row r="2786" spans="1:41" s="501" customFormat="1" ht="11.4">
      <c r="A2786" s="767"/>
      <c r="B2786" s="567"/>
      <c r="C2786" s="567"/>
      <c r="D2786" s="567"/>
      <c r="E2786" s="567"/>
      <c r="F2786" s="567"/>
      <c r="G2786" s="567"/>
      <c r="H2786" s="567"/>
      <c r="I2786" s="567"/>
      <c r="J2786" s="567"/>
      <c r="K2786" s="567"/>
      <c r="L2786" s="770"/>
      <c r="M2786" s="567"/>
      <c r="N2786" s="567"/>
      <c r="O2786" s="567"/>
      <c r="P2786" s="567"/>
      <c r="Q2786" s="567"/>
      <c r="R2786" s="771"/>
      <c r="S2786" s="567"/>
      <c r="T2786" s="500"/>
    </row>
    <row r="2787" spans="1:41" s="501" customFormat="1" ht="11.4">
      <c r="A2787" s="767"/>
      <c r="B2787" s="567"/>
      <c r="C2787" s="567"/>
      <c r="D2787" s="567"/>
      <c r="E2787" s="567"/>
      <c r="F2787" s="567"/>
      <c r="G2787" s="567"/>
      <c r="H2787" s="567"/>
      <c r="I2787" s="567"/>
      <c r="J2787" s="567"/>
      <c r="K2787" s="567"/>
      <c r="L2787" s="770"/>
      <c r="M2787" s="567"/>
      <c r="N2787" s="567"/>
      <c r="O2787" s="567"/>
      <c r="P2787" s="567"/>
      <c r="Q2787" s="567"/>
      <c r="R2787" s="771"/>
      <c r="S2787" s="567"/>
      <c r="T2787" s="500"/>
    </row>
    <row r="2788" spans="1:41" s="501" customFormat="1" ht="11.4">
      <c r="A2788" s="767"/>
      <c r="B2788" s="567"/>
      <c r="C2788" s="567"/>
      <c r="D2788" s="567"/>
      <c r="E2788" s="567"/>
      <c r="F2788" s="567"/>
      <c r="G2788" s="567"/>
      <c r="H2788" s="567"/>
      <c r="I2788" s="567"/>
      <c r="J2788" s="567"/>
      <c r="K2788" s="567"/>
      <c r="L2788" s="770"/>
      <c r="M2788" s="567"/>
      <c r="N2788" s="567"/>
      <c r="O2788" s="567"/>
      <c r="P2788" s="567"/>
      <c r="Q2788" s="567"/>
      <c r="R2788" s="771"/>
      <c r="S2788" s="567"/>
      <c r="T2788" s="500"/>
    </row>
    <row r="2789" spans="1:41" s="501" customFormat="1" ht="52.8" customHeight="1">
      <c r="A2789" s="767"/>
      <c r="B2789" s="567"/>
      <c r="C2789" s="567"/>
      <c r="D2789" s="1186" t="s">
        <v>968</v>
      </c>
      <c r="E2789" s="1186"/>
      <c r="F2789" s="1186"/>
      <c r="G2789" s="567"/>
      <c r="H2789" s="567"/>
      <c r="I2789" s="567"/>
      <c r="J2789" s="567"/>
      <c r="K2789" s="567"/>
      <c r="L2789" s="770"/>
      <c r="M2789" s="567"/>
      <c r="N2789" s="567"/>
      <c r="O2789" s="567"/>
      <c r="P2789" s="567"/>
      <c r="Q2789" s="567"/>
      <c r="R2789" s="771">
        <f>$A2789*Q2789</f>
        <v>0</v>
      </c>
      <c r="S2789" s="567"/>
      <c r="T2789" s="500">
        <f>$A2789*S2789*$T$1</f>
        <v>0</v>
      </c>
    </row>
    <row r="2790" spans="1:41" s="501" customFormat="1" ht="12" customHeight="1">
      <c r="A2790" s="772" t="s">
        <v>145</v>
      </c>
      <c r="B2790" s="773">
        <f>(R2789+T2789)</f>
        <v>0</v>
      </c>
      <c r="C2790" s="810"/>
      <c r="D2790" s="810"/>
      <c r="E2790" s="810"/>
      <c r="F2790" s="810"/>
      <c r="G2790" s="776"/>
      <c r="H2790" s="776"/>
      <c r="I2790" s="776"/>
      <c r="J2790" s="776"/>
      <c r="K2790" s="798" t="s">
        <v>5</v>
      </c>
      <c r="L2790" s="811" t="s">
        <v>573</v>
      </c>
      <c r="M2790" s="776"/>
      <c r="N2790" s="776"/>
      <c r="O2790" s="776"/>
      <c r="P2790" s="776"/>
      <c r="Q2790" s="776"/>
      <c r="R2790" s="777">
        <f>SUM(R2782:R2789)</f>
        <v>0</v>
      </c>
      <c r="S2790" s="778"/>
      <c r="T2790" s="777">
        <f>SUM(T2782:T2789)</f>
        <v>0</v>
      </c>
      <c r="AG2790" s="799">
        <f>ROUND($R2790*$S$3,2)</f>
        <v>0</v>
      </c>
    </row>
    <row r="2791" spans="1:41" s="501" customFormat="1" ht="12.75" customHeight="1">
      <c r="A2791" s="813"/>
      <c r="B2791" s="814"/>
      <c r="E2791" s="497"/>
      <c r="F2791" s="808"/>
      <c r="G2791" s="497"/>
      <c r="H2791" s="497"/>
      <c r="I2791" s="499"/>
      <c r="J2791" s="497"/>
      <c r="K2791" s="497"/>
      <c r="L2791" s="815"/>
      <c r="M2791" s="725"/>
      <c r="N2791" s="725"/>
      <c r="O2791" s="725"/>
      <c r="P2791" s="725"/>
      <c r="Q2791" s="726"/>
      <c r="R2791" s="784"/>
      <c r="S2791" s="497"/>
      <c r="T2791" s="784"/>
    </row>
    <row r="2792" spans="1:41" s="501" customFormat="1" ht="13.5" customHeight="1" thickBot="1">
      <c r="A2792" s="816"/>
      <c r="B2792" s="817"/>
      <c r="C2792" s="518"/>
      <c r="D2792" s="518"/>
      <c r="E2792" s="515"/>
      <c r="F2792" s="721"/>
      <c r="G2792" s="515" t="s">
        <v>146</v>
      </c>
      <c r="H2792" s="515"/>
      <c r="I2792" s="516"/>
      <c r="J2792" s="515"/>
      <c r="K2792" s="515"/>
      <c r="L2792" s="818" t="s">
        <v>143</v>
      </c>
      <c r="M2792" s="517"/>
      <c r="N2792" s="517"/>
      <c r="O2792" s="517"/>
      <c r="P2792" s="517"/>
      <c r="Q2792" s="722"/>
      <c r="R2792" s="819">
        <f>SUMIF($L2765:$L2791,"SUBI",R2765:R2791)</f>
        <v>4386.3875000000007</v>
      </c>
      <c r="S2792" s="515"/>
      <c r="T2792" s="819">
        <f>SUMIF($L2765:$L2791,"SUBI",T2765:T2791)</f>
        <v>21.55</v>
      </c>
      <c r="U2792" s="518"/>
      <c r="V2792" s="518"/>
      <c r="W2792" s="518"/>
      <c r="X2792" s="518"/>
      <c r="Y2792" s="518"/>
      <c r="Z2792" s="518"/>
      <c r="AA2792" s="518"/>
      <c r="AB2792" s="518"/>
      <c r="AC2792" s="518"/>
      <c r="AD2792" s="518"/>
      <c r="AE2792" s="518"/>
      <c r="AF2792" s="518"/>
      <c r="AG2792" s="518"/>
      <c r="AH2792" s="518"/>
      <c r="AI2792" s="518"/>
      <c r="AJ2792" s="518"/>
      <c r="AK2792" s="518"/>
      <c r="AL2792" s="518"/>
      <c r="AM2792" s="518"/>
      <c r="AN2792" s="518"/>
      <c r="AO2792" s="518"/>
    </row>
    <row r="2793" spans="1:41" s="501" customFormat="1" ht="12" thickTop="1">
      <c r="A2793" s="41" t="s">
        <v>148</v>
      </c>
      <c r="D2793" s="11"/>
      <c r="E2793" s="40"/>
      <c r="O2793" s="727"/>
    </row>
    <row r="2794" spans="1:41" s="501" customFormat="1" ht="13.2">
      <c r="B2794" s="3"/>
      <c r="O2794" s="727"/>
    </row>
    <row r="2795" spans="1:41" s="501" customFormat="1" ht="12">
      <c r="B2795" s="728">
        <f>$F2795/$C$2-($R2795*$S$2+$T2795*$T$2)</f>
        <v>-4.8650000007910421E-3</v>
      </c>
      <c r="D2795" s="729" t="s">
        <v>568</v>
      </c>
      <c r="E2795" s="730"/>
      <c r="F2795" s="731">
        <f>SUMIF($L2686:$L2793,"ITEM",F2686:F2793)</f>
        <v>15366.1</v>
      </c>
      <c r="G2795" s="497"/>
      <c r="H2795" s="497"/>
      <c r="I2795" s="499"/>
      <c r="J2795" s="497"/>
      <c r="K2795" s="497"/>
      <c r="L2795" s="717" t="s">
        <v>159</v>
      </c>
      <c r="M2795" s="717"/>
      <c r="N2795" s="717"/>
      <c r="O2795" s="717"/>
      <c r="P2795" s="717"/>
      <c r="R2795" s="731">
        <f>SUMIF($L2686:$L2793,"ITEM",R2686:R2793)</f>
        <v>9564.7224999999999</v>
      </c>
      <c r="S2795" s="733"/>
      <c r="T2795" s="731">
        <f>SUMIF($L2686:$L2793,"ITEM",T2686:T2793)</f>
        <v>66.19</v>
      </c>
    </row>
    <row r="2796" spans="1:41" s="501" customFormat="1" ht="13.2">
      <c r="A2796" s="44"/>
      <c r="B2796" s="42" t="s">
        <v>569</v>
      </c>
      <c r="C2796" s="44"/>
      <c r="D2796" s="3"/>
      <c r="F2796" s="734" t="s">
        <v>160</v>
      </c>
      <c r="G2796" s="497"/>
      <c r="H2796" s="497"/>
      <c r="I2796" s="499"/>
      <c r="J2796" s="497"/>
      <c r="K2796" s="497"/>
      <c r="L2796" s="497"/>
      <c r="M2796" s="497"/>
      <c r="N2796" s="497"/>
      <c r="O2796" s="497"/>
      <c r="P2796" s="497"/>
      <c r="Q2796" s="726"/>
      <c r="R2796" s="734" t="s">
        <v>161</v>
      </c>
      <c r="S2796" s="36"/>
      <c r="T2796" s="734" t="s">
        <v>162</v>
      </c>
    </row>
    <row r="2797" spans="1:41" s="501" customFormat="1" ht="13.2">
      <c r="A2797" s="497"/>
      <c r="B2797" s="3"/>
      <c r="C2797" s="497"/>
      <c r="D2797" s="3"/>
      <c r="E2797" s="3"/>
      <c r="G2797" s="3"/>
      <c r="H2797" s="3"/>
      <c r="I2797" s="3"/>
      <c r="J2797" s="3"/>
      <c r="K2797" s="3"/>
      <c r="L2797" s="3"/>
      <c r="M2797" s="3"/>
      <c r="N2797" s="3"/>
      <c r="O2797" s="86"/>
      <c r="P2797" s="3"/>
      <c r="Q2797" s="3"/>
      <c r="R2797" s="3"/>
      <c r="S2797" s="3"/>
      <c r="T2797" s="3"/>
    </row>
    <row r="2798" spans="1:41" s="501" customFormat="1" ht="12" thickBot="1">
      <c r="A2798" s="518"/>
      <c r="B2798" s="515"/>
      <c r="C2798" s="515"/>
      <c r="D2798" s="518"/>
      <c r="E2798" s="37"/>
      <c r="F2798" s="735"/>
      <c r="G2798" s="515"/>
      <c r="H2798" s="515"/>
      <c r="I2798" s="516"/>
      <c r="J2798" s="515"/>
      <c r="K2798" s="515"/>
      <c r="L2798" s="517"/>
      <c r="M2798" s="517"/>
      <c r="N2798" s="517"/>
      <c r="O2798" s="517"/>
      <c r="P2798" s="517"/>
      <c r="Q2798" s="722"/>
      <c r="R2798" s="735"/>
      <c r="S2798" s="736"/>
      <c r="T2798" s="735"/>
      <c r="U2798" s="518"/>
      <c r="V2798" s="518"/>
      <c r="W2798" s="518"/>
      <c r="X2798" s="518"/>
      <c r="Y2798" s="518"/>
      <c r="Z2798" s="518"/>
      <c r="AA2798" s="518"/>
      <c r="AB2798" s="518"/>
      <c r="AC2798" s="518"/>
      <c r="AD2798" s="518"/>
      <c r="AE2798" s="518"/>
      <c r="AF2798" s="518"/>
      <c r="AG2798" s="518"/>
      <c r="AH2798" s="518"/>
      <c r="AI2798" s="518"/>
      <c r="AJ2798" s="518"/>
      <c r="AK2798" s="518"/>
    </row>
    <row r="2799" spans="1:41" s="501" customFormat="1" thickTop="1">
      <c r="A2799" s="44"/>
      <c r="B2799" s="44"/>
      <c r="C2799" s="3"/>
      <c r="D2799" s="3"/>
      <c r="E2799" s="44"/>
      <c r="F2799" s="44"/>
      <c r="G2799" s="44"/>
      <c r="H2799" s="44"/>
      <c r="I2799" s="44"/>
      <c r="J2799" s="44"/>
      <c r="K2799" s="44" t="s">
        <v>134</v>
      </c>
      <c r="L2799" s="44"/>
      <c r="M2799" s="44"/>
      <c r="N2799" s="44"/>
      <c r="O2799" s="45"/>
      <c r="P2799" s="44"/>
      <c r="Q2799" s="44"/>
      <c r="R2799" s="44"/>
      <c r="S2799" s="44"/>
      <c r="T2799" s="44"/>
    </row>
    <row r="2800" spans="1:41" s="501" customFormat="1" ht="12">
      <c r="A2800" s="44"/>
      <c r="B2800" s="44"/>
      <c r="C2800" s="44" t="s">
        <v>135</v>
      </c>
      <c r="D2800" s="35" t="s">
        <v>136</v>
      </c>
      <c r="E2800" s="44"/>
      <c r="F2800" s="44"/>
      <c r="G2800" s="44"/>
      <c r="H2800" s="44"/>
      <c r="I2800" s="44"/>
      <c r="J2800" s="44"/>
      <c r="K2800" s="44"/>
      <c r="L2800" s="44"/>
      <c r="M2800" s="44"/>
      <c r="N2800" s="44"/>
      <c r="O2800" s="45"/>
      <c r="P2800" s="44"/>
      <c r="Q2800" s="44"/>
      <c r="R2800" s="44"/>
      <c r="S2800" s="44"/>
      <c r="T2800" s="44"/>
    </row>
    <row r="2801" spans="1:41" s="501" customFormat="1" ht="12">
      <c r="A2801" s="44"/>
      <c r="B2801" s="44"/>
      <c r="C2801" s="44"/>
      <c r="D2801" s="35" t="s">
        <v>629</v>
      </c>
      <c r="E2801" s="44"/>
      <c r="F2801" s="44"/>
      <c r="G2801" s="44"/>
      <c r="H2801" s="44"/>
      <c r="I2801" s="44"/>
      <c r="J2801" s="44"/>
      <c r="K2801" s="44"/>
      <c r="L2801" s="44"/>
      <c r="M2801" s="44"/>
      <c r="N2801" s="44"/>
      <c r="O2801" s="45"/>
      <c r="P2801" s="44"/>
      <c r="Q2801" s="44"/>
      <c r="R2801" s="44"/>
      <c r="S2801" s="36"/>
      <c r="T2801" s="36"/>
    </row>
    <row r="2802" spans="1:41" s="3" customFormat="1" thickBot="1">
      <c r="A2802" s="518"/>
      <c r="O2802" s="86"/>
    </row>
    <row r="2803" spans="1:41" s="501" customFormat="1" thickTop="1">
      <c r="A2803" s="44"/>
      <c r="B2803" s="44"/>
      <c r="C2803" s="3"/>
      <c r="D2803" s="3"/>
      <c r="E2803" s="44"/>
      <c r="F2803" s="44"/>
      <c r="G2803" s="44"/>
      <c r="H2803" s="44"/>
      <c r="I2803" s="44"/>
      <c r="J2803" s="44"/>
      <c r="K2803" s="44" t="s">
        <v>134</v>
      </c>
      <c r="L2803" s="44"/>
      <c r="M2803" s="44"/>
      <c r="N2803" s="44"/>
      <c r="O2803" s="45"/>
      <c r="P2803" s="44"/>
      <c r="Q2803" s="44"/>
      <c r="R2803" s="44"/>
      <c r="S2803" s="44"/>
      <c r="T2803" s="44"/>
    </row>
    <row r="2804" spans="1:41" s="501" customFormat="1" ht="12">
      <c r="A2804" s="44"/>
      <c r="B2804" s="44"/>
      <c r="C2804" s="44" t="s">
        <v>135</v>
      </c>
      <c r="D2804" s="35" t="s">
        <v>630</v>
      </c>
      <c r="E2804" s="44"/>
      <c r="F2804" s="44"/>
      <c r="G2804" s="44"/>
      <c r="H2804" s="44"/>
      <c r="I2804" s="44"/>
      <c r="J2804" s="44"/>
      <c r="K2804" s="44"/>
      <c r="L2804" s="44"/>
      <c r="M2804" s="44"/>
      <c r="N2804" s="44"/>
      <c r="O2804" s="45"/>
      <c r="P2804" s="44"/>
      <c r="Q2804" s="44"/>
      <c r="R2804" s="44"/>
      <c r="S2804" s="44"/>
      <c r="T2804" s="44"/>
    </row>
    <row r="2805" spans="1:41" s="501" customFormat="1" ht="39.9" customHeight="1">
      <c r="A2805" s="44"/>
      <c r="B2805" s="44"/>
      <c r="C2805" s="44"/>
      <c r="D2805" s="1185" t="s">
        <v>564</v>
      </c>
      <c r="E2805" s="1184"/>
      <c r="F2805" s="1184"/>
      <c r="G2805" s="1184"/>
      <c r="H2805" s="1184"/>
      <c r="I2805" s="1184"/>
      <c r="J2805" s="1184"/>
      <c r="K2805" s="1184"/>
      <c r="L2805" s="1184"/>
      <c r="M2805" s="1184"/>
      <c r="N2805" s="1184"/>
      <c r="O2805" s="1184"/>
      <c r="P2805" s="1184"/>
      <c r="Q2805" s="1184"/>
      <c r="R2805" s="1184"/>
      <c r="S2805" s="1184"/>
      <c r="T2805" s="1184"/>
    </row>
    <row r="2806" spans="1:41" s="3" customFormat="1" thickBot="1">
      <c r="A2806" s="518"/>
      <c r="O2806" s="86"/>
    </row>
    <row r="2807" spans="1:41" s="501" customFormat="1" thickTop="1">
      <c r="A2807" s="44"/>
      <c r="B2807" s="39"/>
      <c r="C2807" s="44"/>
      <c r="E2807" s="40" t="s">
        <v>138</v>
      </c>
      <c r="F2807" s="40" t="s">
        <v>139</v>
      </c>
      <c r="G2807" s="44"/>
      <c r="H2807" s="44"/>
      <c r="I2807" s="44"/>
      <c r="J2807" s="44"/>
      <c r="K2807" s="44" t="s">
        <v>140</v>
      </c>
      <c r="L2807" s="737"/>
      <c r="M2807" s="44"/>
      <c r="N2807" s="44"/>
      <c r="O2807" s="45"/>
      <c r="P2807" s="44"/>
      <c r="Q2807"/>
      <c r="R2807" s="943" t="s">
        <v>862</v>
      </c>
      <c r="S2807"/>
      <c r="T2807" s="39"/>
      <c r="AG2807" s="502" t="s">
        <v>247</v>
      </c>
      <c r="AH2807" s="502" t="s">
        <v>248</v>
      </c>
      <c r="AI2807" s="502" t="s">
        <v>249</v>
      </c>
      <c r="AJ2807" s="502" t="s">
        <v>250</v>
      </c>
      <c r="AK2807" s="502" t="s">
        <v>251</v>
      </c>
      <c r="AM2807" s="710" t="s">
        <v>260</v>
      </c>
      <c r="AN2807" s="711" t="s">
        <v>261</v>
      </c>
      <c r="AO2807" s="503" t="s">
        <v>257</v>
      </c>
    </row>
    <row r="2808" spans="1:41" s="501" customFormat="1" ht="13.2">
      <c r="A2808" s="712">
        <v>1</v>
      </c>
      <c r="B2808" s="504" t="s">
        <v>141</v>
      </c>
      <c r="C2808" s="505"/>
      <c r="D2808" s="713" t="s">
        <v>577</v>
      </c>
      <c r="E2808" s="738">
        <f>IF(AND($A2808=0,$A$1="DIF"),0,ROUND(ROUND(SUMIF($L2810:$L2824,"SUBI",$E2810:$E2824)/$A2808,2)*$C$12,2))</f>
        <v>58</v>
      </c>
      <c r="F2808" s="739">
        <f>ROUND($A2808*$E2808,2)</f>
        <v>58</v>
      </c>
      <c r="G2808" s="506" t="s">
        <v>142</v>
      </c>
      <c r="H2808" s="498"/>
      <c r="I2808" s="716"/>
      <c r="J2808" s="498"/>
      <c r="K2808" s="740"/>
      <c r="L2808" s="741" t="s">
        <v>143</v>
      </c>
      <c r="M2808" s="717"/>
      <c r="N2808" s="717"/>
      <c r="O2808" s="717"/>
      <c r="P2808" s="717"/>
      <c r="Q2808" s="943" t="s">
        <v>855</v>
      </c>
      <c r="R2808" s="943" t="s">
        <v>857</v>
      </c>
      <c r="S2808"/>
      <c r="T2808" s="742" t="str">
        <f>IF(AND($R2830=0,$T2830=0),"0.00","mu :" &amp; ROUND($F2808/$C$12/($R2830+$T2830*$D$9),2))</f>
        <v>mu :1.35</v>
      </c>
      <c r="W2808" s="507"/>
      <c r="AG2808" s="743">
        <f>IF(A2808=0,0,ROUND(SUM(AG2810:AG2830)/A2808,2))</f>
        <v>16.11</v>
      </c>
      <c r="AH2808" s="743">
        <f>$AG2808*$A2808</f>
        <v>16.11</v>
      </c>
      <c r="AI2808" s="743">
        <f>$E2808-$AG2808</f>
        <v>41.89</v>
      </c>
      <c r="AJ2808" s="743">
        <f>$A2808*$AI2808</f>
        <v>41.89</v>
      </c>
      <c r="AK2808" s="744">
        <f>ROUND(($AG2808+$AI2808)*$A2808,2)</f>
        <v>58</v>
      </c>
      <c r="AM2808" s="510">
        <f>ROUND(R2830,2)</f>
        <v>11.93</v>
      </c>
      <c r="AN2808" s="511">
        <f>ROUND(T2830,2)</f>
        <v>1.1299999999999999</v>
      </c>
      <c r="AO2808" s="512">
        <f>ROUND(AM2808+AN2808,2)*A2808</f>
        <v>13.06</v>
      </c>
    </row>
    <row r="2809" spans="1:41" s="501" customFormat="1" ht="21.6" customHeight="1">
      <c r="A2809" s="745"/>
      <c r="B2809" s="746"/>
      <c r="C2809" s="505"/>
      <c r="D2809" s="724" t="s">
        <v>565</v>
      </c>
      <c r="F2809" s="498"/>
      <c r="G2809" s="498"/>
      <c r="H2809" s="498"/>
      <c r="I2809" s="716"/>
      <c r="J2809" s="498"/>
      <c r="K2809" s="498" t="s">
        <v>144</v>
      </c>
      <c r="L2809" s="747"/>
      <c r="M2809" s="498"/>
      <c r="N2809" s="498"/>
      <c r="O2809" s="498"/>
      <c r="P2809" s="498"/>
      <c r="Q2809" s="44"/>
      <c r="R2809" s="567"/>
      <c r="S2809" s="719"/>
      <c r="T2809" s="498"/>
    </row>
    <row r="2810" spans="1:41" s="501" customFormat="1" ht="12">
      <c r="A2810" s="748"/>
      <c r="B2810" s="749"/>
      <c r="C2810" s="497"/>
      <c r="D2810" s="750"/>
      <c r="E2810" s="751">
        <f>F2808/$C$12-SUMIF($L2807:$L2830,"SUBI",$E2807:$E2830)</f>
        <v>0</v>
      </c>
      <c r="F2810" s="752" t="s">
        <v>572</v>
      </c>
      <c r="G2810" s="753"/>
      <c r="H2810" s="753"/>
      <c r="I2810" s="754"/>
      <c r="J2810" s="753"/>
      <c r="K2810" s="753"/>
      <c r="L2810" s="755"/>
      <c r="M2810" s="756"/>
      <c r="N2810" s="756"/>
      <c r="O2810" s="756"/>
      <c r="P2810" s="756"/>
      <c r="Q2810" s="757"/>
      <c r="R2810" s="758"/>
      <c r="S2810" s="757"/>
      <c r="T2810" s="759"/>
    </row>
    <row r="2811" spans="1:41" s="501" customFormat="1" ht="12" customHeight="1">
      <c r="A2811" s="760"/>
      <c r="B2811" s="761"/>
      <c r="C2811" s="762"/>
      <c r="D2811" s="762" t="str">
        <f>$F$2</f>
        <v>Electrical</v>
      </c>
      <c r="E2811" s="762">
        <f>ROUND(($R2818*$S$2 + ($T2818*$T$2)), 2)</f>
        <v>58</v>
      </c>
      <c r="F2811" s="763">
        <f>$E2811*$C$12</f>
        <v>58</v>
      </c>
      <c r="G2811" s="567"/>
      <c r="H2811" s="764"/>
      <c r="I2811" s="567"/>
      <c r="J2811" s="45"/>
      <c r="K2811" s="765" t="s">
        <v>3</v>
      </c>
      <c r="L2811" s="766" t="s">
        <v>573</v>
      </c>
      <c r="M2811" s="567"/>
      <c r="N2811" s="567"/>
      <c r="O2811" s="45"/>
      <c r="P2811" s="567"/>
      <c r="Q2811" s="567"/>
      <c r="R2811"/>
      <c r="S2811"/>
      <c r="T2811"/>
    </row>
    <row r="2812" spans="1:41" s="893" customFormat="1" ht="13.2">
      <c r="A2812"/>
      <c r="D2812" s="962" t="s">
        <v>856</v>
      </c>
      <c r="G2812" s="894"/>
      <c r="H2812" s="895"/>
      <c r="O2812" s="896"/>
      <c r="P2812" s="897"/>
      <c r="Q2812" s="902"/>
      <c r="R2812" s="899">
        <f t="shared" ref="R2812:R2817" si="67">$A2812*Q2812</f>
        <v>0</v>
      </c>
      <c r="S2812" s="898"/>
      <c r="T2812" s="900">
        <f t="shared" ref="T2812:T2817" si="68">$A2812*S2812*$T$1</f>
        <v>0</v>
      </c>
    </row>
    <row r="2813" spans="1:41" s="893" customFormat="1" ht="13.2">
      <c r="A2813">
        <v>3</v>
      </c>
      <c r="B2813" s="893" t="s">
        <v>296</v>
      </c>
      <c r="D2813" s="893" t="s">
        <v>652</v>
      </c>
      <c r="G2813" s="894" t="s">
        <v>653</v>
      </c>
      <c r="H2813" s="895">
        <v>690</v>
      </c>
      <c r="I2813" s="893" t="s">
        <v>648</v>
      </c>
      <c r="J2813" s="893" t="s">
        <v>649</v>
      </c>
      <c r="O2813" s="896">
        <v>1</v>
      </c>
      <c r="P2813" s="897">
        <v>34669</v>
      </c>
      <c r="Q2813" s="902">
        <v>3.66</v>
      </c>
      <c r="R2813" s="899">
        <f t="shared" si="67"/>
        <v>10.98</v>
      </c>
      <c r="S2813" s="898">
        <v>0.2</v>
      </c>
      <c r="T2813" s="900">
        <f t="shared" si="68"/>
        <v>0.60000000000000009</v>
      </c>
    </row>
    <row r="2814" spans="1:41" s="893" customFormat="1" ht="13.2">
      <c r="A2814"/>
      <c r="D2814" s="962" t="s">
        <v>857</v>
      </c>
      <c r="G2814" s="894"/>
      <c r="H2814" s="895"/>
      <c r="O2814" s="896"/>
      <c r="P2814" s="897"/>
      <c r="Q2814" s="902"/>
      <c r="R2814" s="899">
        <f t="shared" si="67"/>
        <v>0</v>
      </c>
      <c r="S2814" s="898"/>
      <c r="T2814" s="900">
        <f t="shared" si="68"/>
        <v>0</v>
      </c>
    </row>
    <row r="2815" spans="1:41" s="893" customFormat="1" ht="13.2">
      <c r="A2815">
        <v>1</v>
      </c>
      <c r="B2815" s="893" t="s">
        <v>296</v>
      </c>
      <c r="D2815" s="893" t="s">
        <v>761</v>
      </c>
      <c r="G2815" s="894" t="s">
        <v>762</v>
      </c>
      <c r="H2815" s="895">
        <v>616</v>
      </c>
      <c r="I2815" s="893" t="s">
        <v>656</v>
      </c>
      <c r="J2815" s="893" t="s">
        <v>742</v>
      </c>
      <c r="K2815" s="893" t="s">
        <v>763</v>
      </c>
      <c r="O2815" s="896">
        <v>2</v>
      </c>
      <c r="P2815" s="897">
        <v>40767</v>
      </c>
      <c r="Q2815" s="898">
        <v>0.95</v>
      </c>
      <c r="R2815" s="899">
        <f t="shared" si="67"/>
        <v>0.95</v>
      </c>
      <c r="S2815" s="898">
        <v>0.03</v>
      </c>
      <c r="T2815" s="900">
        <f t="shared" si="68"/>
        <v>0.03</v>
      </c>
    </row>
    <row r="2816" spans="1:41" s="893" customFormat="1" ht="13.2">
      <c r="A2816" s="87">
        <v>1</v>
      </c>
      <c r="B2816" s="893" t="s">
        <v>141</v>
      </c>
      <c r="D2816" s="893" t="s">
        <v>764</v>
      </c>
      <c r="G2816" s="894" t="s">
        <v>765</v>
      </c>
      <c r="H2816" s="895">
        <v>900</v>
      </c>
      <c r="I2816" s="893" t="s">
        <v>660</v>
      </c>
      <c r="O2816" s="896">
        <v>4</v>
      </c>
      <c r="P2816" s="897">
        <v>38313</v>
      </c>
      <c r="Q2816" s="898"/>
      <c r="R2816" s="899">
        <f t="shared" si="67"/>
        <v>0</v>
      </c>
      <c r="S2816" s="898">
        <v>0.5</v>
      </c>
      <c r="T2816" s="900">
        <f t="shared" si="68"/>
        <v>0.5</v>
      </c>
    </row>
    <row r="2817" spans="1:41" s="501" customFormat="1" ht="14.4" customHeight="1">
      <c r="A2817" s="767"/>
      <c r="B2817" s="567"/>
      <c r="C2817" s="567"/>
      <c r="D2817" s="567"/>
      <c r="E2817" s="567"/>
      <c r="F2817" s="567"/>
      <c r="G2817" s="567"/>
      <c r="H2817" s="764"/>
      <c r="I2817" s="567"/>
      <c r="J2817" s="45"/>
      <c r="K2817" s="769"/>
      <c r="L2817" s="770"/>
      <c r="M2817" s="567"/>
      <c r="N2817" s="567"/>
      <c r="O2817" s="45"/>
      <c r="P2817" s="567"/>
      <c r="Q2817" s="567"/>
      <c r="R2817" s="771">
        <f t="shared" si="67"/>
        <v>0</v>
      </c>
      <c r="S2817" s="567"/>
      <c r="T2817" s="500">
        <f t="shared" si="68"/>
        <v>0</v>
      </c>
    </row>
    <row r="2818" spans="1:41" s="501" customFormat="1" ht="12">
      <c r="A2818" s="772" t="s">
        <v>145</v>
      </c>
      <c r="B2818" s="773">
        <f>(R2817+T2817)</f>
        <v>0</v>
      </c>
      <c r="C2818" s="753"/>
      <c r="G2818" s="774"/>
      <c r="H2818" s="774"/>
      <c r="I2818" s="774"/>
      <c r="J2818" s="774"/>
      <c r="K2818" s="750" t="s">
        <v>3</v>
      </c>
      <c r="L2818" s="775" t="s">
        <v>573</v>
      </c>
      <c r="M2818" s="774"/>
      <c r="N2818" s="774"/>
      <c r="O2818" s="774"/>
      <c r="P2818" s="774"/>
      <c r="Q2818" s="776"/>
      <c r="R2818" s="777">
        <f>SUM(R2811:R2817)</f>
        <v>11.93</v>
      </c>
      <c r="S2818" s="778"/>
      <c r="T2818" s="777">
        <f>SUM(T2811:T2817)</f>
        <v>1.1300000000000001</v>
      </c>
      <c r="AG2818" s="779">
        <f>ROUND($R2818*$S$2,2)</f>
        <v>16.11</v>
      </c>
    </row>
    <row r="2819" spans="1:41" s="501" customFormat="1" ht="12" customHeight="1">
      <c r="A2819" s="760"/>
      <c r="B2819" s="780"/>
      <c r="C2819" s="781"/>
      <c r="D2819" s="782" t="str">
        <f>$F$3</f>
        <v>Technician</v>
      </c>
      <c r="E2819" s="782">
        <f>ROUND(($R2823*$S$3 + ($T2823*$T$3)), 2)</f>
        <v>0</v>
      </c>
      <c r="F2819" s="783">
        <f>$E2819*$C$12</f>
        <v>0</v>
      </c>
      <c r="G2819" s="499"/>
      <c r="H2819" s="499"/>
      <c r="I2819" s="499"/>
      <c r="J2819" s="499"/>
      <c r="K2819" s="765" t="s">
        <v>5</v>
      </c>
      <c r="L2819" s="766" t="s">
        <v>573</v>
      </c>
      <c r="M2819" s="499"/>
      <c r="N2819" s="499"/>
      <c r="O2819" s="499"/>
      <c r="P2819" s="499"/>
      <c r="Q2819" s="499"/>
      <c r="R2819" s="784"/>
      <c r="S2819" s="499"/>
      <c r="T2819" s="784"/>
    </row>
    <row r="2820" spans="1:41" s="797" customFormat="1" ht="15.6" customHeight="1">
      <c r="A2820" s="785"/>
      <c r="B2820" s="768" t="s">
        <v>575</v>
      </c>
      <c r="C2820" s="786"/>
      <c r="D2820" s="787"/>
      <c r="E2820" s="787"/>
      <c r="F2820" s="787"/>
      <c r="G2820" s="788"/>
      <c r="H2820" s="789"/>
      <c r="I2820" s="789"/>
      <c r="J2820" s="790"/>
      <c r="K2820" s="791"/>
      <c r="L2820" s="786"/>
      <c r="M2820" s="792"/>
      <c r="N2820" s="793"/>
      <c r="O2820" s="794"/>
      <c r="P2820" s="795"/>
      <c r="Q2820" s="796"/>
      <c r="R2820" s="771">
        <f>$A2820*Q2820</f>
        <v>0</v>
      </c>
      <c r="S2820" s="567"/>
      <c r="T2820" s="500">
        <f>$A2820*S2820*$T$1</f>
        <v>0</v>
      </c>
    </row>
    <row r="2821" spans="1:41" s="501" customFormat="1" ht="15.6" customHeight="1">
      <c r="A2821" s="767"/>
      <c r="B2821" s="567"/>
      <c r="C2821" s="567"/>
      <c r="D2821" s="567"/>
      <c r="E2821" s="567"/>
      <c r="F2821" s="567"/>
      <c r="G2821" s="567"/>
      <c r="H2821" s="567"/>
      <c r="I2821" s="567"/>
      <c r="J2821" s="567"/>
      <c r="K2821" s="567"/>
      <c r="L2821" s="770"/>
      <c r="M2821" s="567"/>
      <c r="N2821" s="567"/>
      <c r="O2821" s="567"/>
      <c r="P2821" s="567"/>
      <c r="Q2821" s="567"/>
      <c r="R2821" s="771">
        <f>$A2821*Q2821</f>
        <v>0</v>
      </c>
      <c r="S2821" s="567"/>
      <c r="T2821" s="500">
        <f>$A2821*S2821*$T$1</f>
        <v>0</v>
      </c>
    </row>
    <row r="2822" spans="1:41" s="501" customFormat="1" ht="15.6" customHeight="1">
      <c r="A2822" s="767"/>
      <c r="B2822" s="567"/>
      <c r="C2822" s="567"/>
      <c r="D2822" s="3"/>
      <c r="E2822" s="567"/>
      <c r="F2822" s="567"/>
      <c r="G2822" s="567"/>
      <c r="H2822" s="567"/>
      <c r="I2822" s="567"/>
      <c r="J2822" s="567"/>
      <c r="K2822" s="567"/>
      <c r="L2822" s="770"/>
      <c r="M2822" s="567"/>
      <c r="N2822" s="567"/>
      <c r="O2822" s="567"/>
      <c r="P2822" s="567"/>
      <c r="Q2822" s="567"/>
      <c r="R2822" s="771">
        <f>$A2822*Q2822</f>
        <v>0</v>
      </c>
      <c r="S2822" s="567"/>
      <c r="T2822" s="500">
        <f>$A2822*S2822*$T$1</f>
        <v>0</v>
      </c>
    </row>
    <row r="2823" spans="1:41" s="501" customFormat="1" ht="12">
      <c r="A2823" s="772" t="s">
        <v>145</v>
      </c>
      <c r="B2823" s="773">
        <f>(R2822+T2822)</f>
        <v>0</v>
      </c>
      <c r="C2823" s="753"/>
      <c r="G2823" s="774"/>
      <c r="H2823" s="774"/>
      <c r="I2823" s="774"/>
      <c r="J2823" s="774"/>
      <c r="K2823" s="798" t="s">
        <v>5</v>
      </c>
      <c r="L2823" s="775" t="s">
        <v>573</v>
      </c>
      <c r="M2823" s="774"/>
      <c r="N2823" s="774"/>
      <c r="O2823" s="774"/>
      <c r="P2823" s="774"/>
      <c r="Q2823" s="776"/>
      <c r="R2823" s="777">
        <f>SUM(R2819:R2822)</f>
        <v>0</v>
      </c>
      <c r="S2823" s="778"/>
      <c r="T2823" s="777">
        <f>SUM(T2819:T2822)</f>
        <v>0</v>
      </c>
      <c r="AG2823" s="799">
        <f>ROUND($R2823*$S$3,2)</f>
        <v>0</v>
      </c>
    </row>
    <row r="2824" spans="1:41" s="501" customFormat="1" ht="12" customHeight="1">
      <c r="A2824" s="800"/>
      <c r="B2824" s="801"/>
      <c r="C2824" s="802"/>
      <c r="D2824" s="803" t="str">
        <f>$F$4</f>
        <v>Engineer (Man Hours)</v>
      </c>
      <c r="E2824" s="803">
        <f>ROUND(($R2828*$S$4 + ($T2828*$T$4)), 2)</f>
        <v>0</v>
      </c>
      <c r="F2824" s="804">
        <f ca="1">$F2808-SUMIF($L2810:$P2821,"SUBI",$F2810:$F2821)</f>
        <v>0</v>
      </c>
      <c r="G2824" s="499"/>
      <c r="H2824" s="499"/>
      <c r="I2824" s="499"/>
      <c r="J2824" s="499"/>
      <c r="K2824" s="805" t="s">
        <v>8</v>
      </c>
      <c r="L2824" s="766" t="s">
        <v>573</v>
      </c>
      <c r="M2824" s="499"/>
      <c r="N2824" s="499"/>
      <c r="O2824" s="499"/>
      <c r="P2824" s="499"/>
      <c r="Q2824" s="499"/>
      <c r="R2824" s="784"/>
      <c r="S2824" s="499"/>
      <c r="T2824" s="784"/>
    </row>
    <row r="2825" spans="1:41" s="797" customFormat="1" ht="14.4" customHeight="1">
      <c r="A2825" s="785"/>
      <c r="B2825" s="768" t="s">
        <v>576</v>
      </c>
      <c r="C2825" s="786"/>
      <c r="D2825" s="787"/>
      <c r="E2825" s="787"/>
      <c r="F2825" s="787"/>
      <c r="G2825" s="788"/>
      <c r="H2825" s="789"/>
      <c r="I2825" s="789"/>
      <c r="J2825" s="790"/>
      <c r="K2825" s="791"/>
      <c r="L2825" s="786"/>
      <c r="M2825" s="792"/>
      <c r="N2825" s="793"/>
      <c r="O2825" s="806"/>
      <c r="P2825" s="795"/>
      <c r="Q2825" s="796"/>
      <c r="R2825" s="720">
        <f>$A2825*Q2825</f>
        <v>0</v>
      </c>
      <c r="S2825" s="796"/>
      <c r="T2825" s="500">
        <f>$A2825*S2825*$T$1</f>
        <v>0</v>
      </c>
    </row>
    <row r="2826" spans="1:41" s="501" customFormat="1" ht="12">
      <c r="A2826" s="44"/>
      <c r="B2826" s="497"/>
      <c r="C2826" s="497"/>
      <c r="D2826" s="807"/>
      <c r="E2826" s="808"/>
      <c r="F2826" s="499"/>
      <c r="G2826" s="499"/>
      <c r="H2826" s="499"/>
      <c r="I2826" s="499"/>
      <c r="J2826" s="499"/>
      <c r="K2826" s="499"/>
      <c r="L2826" s="809"/>
      <c r="M2826" s="499"/>
      <c r="N2826" s="499"/>
      <c r="O2826" s="499"/>
      <c r="P2826" s="499"/>
      <c r="Q2826" s="499"/>
      <c r="R2826" s="720">
        <f>$A2826*Q2826</f>
        <v>0</v>
      </c>
      <c r="S2826" s="499"/>
      <c r="T2826" s="500">
        <f>$A2826*S2826*$T$1</f>
        <v>0</v>
      </c>
    </row>
    <row r="2827" spans="1:41" s="501" customFormat="1" ht="12">
      <c r="A2827" s="44"/>
      <c r="B2827" s="497"/>
      <c r="C2827" s="497"/>
      <c r="D2827" s="807"/>
      <c r="E2827" s="808"/>
      <c r="F2827" s="499"/>
      <c r="G2827" s="499"/>
      <c r="H2827" s="499"/>
      <c r="I2827" s="499"/>
      <c r="J2827" s="499"/>
      <c r="K2827" s="499"/>
      <c r="L2827" s="809"/>
      <c r="M2827" s="499"/>
      <c r="N2827" s="499"/>
      <c r="O2827" s="499"/>
      <c r="P2827" s="499"/>
      <c r="Q2827" s="499"/>
      <c r="R2827" s="720">
        <f>$A2827*Q2827</f>
        <v>0</v>
      </c>
      <c r="S2827" s="499"/>
      <c r="T2827" s="500">
        <f>$A2827*S2827*$T$1</f>
        <v>0</v>
      </c>
    </row>
    <row r="2828" spans="1:41" s="501" customFormat="1" ht="12.75" customHeight="1">
      <c r="A2828" s="772" t="s">
        <v>145</v>
      </c>
      <c r="B2828" s="773">
        <f>(R2827+T2827)</f>
        <v>0</v>
      </c>
      <c r="C2828" s="810"/>
      <c r="D2828" s="810"/>
      <c r="E2828" s="810"/>
      <c r="F2828" s="810"/>
      <c r="G2828" s="776"/>
      <c r="H2828" s="776"/>
      <c r="I2828" s="776"/>
      <c r="J2828" s="776"/>
      <c r="K2828" s="798" t="s">
        <v>8</v>
      </c>
      <c r="L2828" s="811" t="s">
        <v>573</v>
      </c>
      <c r="M2828" s="776"/>
      <c r="N2828" s="776"/>
      <c r="O2828" s="776"/>
      <c r="P2828" s="776"/>
      <c r="Q2828" s="776"/>
      <c r="R2828" s="777">
        <f>SUM(R2824:R2827)</f>
        <v>0</v>
      </c>
      <c r="S2828" s="778"/>
      <c r="T2828" s="777">
        <f>SUM(T2824:T2827)</f>
        <v>0</v>
      </c>
      <c r="AG2828" s="812">
        <f>ROUND($R2828*$S$4,2)</f>
        <v>0</v>
      </c>
    </row>
    <row r="2829" spans="1:41" s="501" customFormat="1" ht="12.75" customHeight="1">
      <c r="A2829" s="813"/>
      <c r="B2829" s="814"/>
      <c r="E2829" s="497"/>
      <c r="F2829" s="808"/>
      <c r="G2829" s="497"/>
      <c r="H2829" s="497"/>
      <c r="I2829" s="499"/>
      <c r="J2829" s="497"/>
      <c r="K2829" s="497"/>
      <c r="L2829" s="815"/>
      <c r="M2829" s="725"/>
      <c r="N2829" s="725"/>
      <c r="O2829" s="725"/>
      <c r="P2829" s="725"/>
      <c r="Q2829" s="726"/>
      <c r="R2829" s="784"/>
      <c r="S2829" s="497"/>
      <c r="T2829" s="784"/>
    </row>
    <row r="2830" spans="1:41" s="501" customFormat="1" ht="13.5" customHeight="1" thickBot="1">
      <c r="A2830" s="816"/>
      <c r="B2830" s="817"/>
      <c r="C2830" s="518"/>
      <c r="D2830" s="518"/>
      <c r="E2830" s="515"/>
      <c r="F2830" s="721"/>
      <c r="G2830" s="515" t="s">
        <v>146</v>
      </c>
      <c r="H2830" s="515"/>
      <c r="I2830" s="516"/>
      <c r="J2830" s="515"/>
      <c r="K2830" s="515"/>
      <c r="L2830" s="818" t="s">
        <v>143</v>
      </c>
      <c r="M2830" s="517"/>
      <c r="N2830" s="517"/>
      <c r="O2830" s="517"/>
      <c r="P2830" s="517"/>
      <c r="Q2830" s="722"/>
      <c r="R2830" s="819">
        <f>SUMIF($L2809:$L2829,"SUBI",R2809:R2829)</f>
        <v>11.93</v>
      </c>
      <c r="S2830" s="820"/>
      <c r="T2830" s="819">
        <f>SUMIF($L2809:$L2829,"SUBI",T2809:T2829)</f>
        <v>1.1300000000000001</v>
      </c>
      <c r="U2830" s="518"/>
      <c r="V2830" s="518"/>
      <c r="W2830" s="518"/>
      <c r="X2830" s="518"/>
      <c r="Y2830" s="518"/>
      <c r="Z2830" s="518"/>
      <c r="AA2830" s="518"/>
      <c r="AB2830" s="518"/>
      <c r="AC2830" s="518"/>
      <c r="AD2830" s="518"/>
      <c r="AE2830" s="518"/>
      <c r="AF2830" s="518"/>
      <c r="AG2830" s="518"/>
      <c r="AH2830" s="518"/>
      <c r="AI2830" s="518"/>
      <c r="AJ2830" s="518"/>
      <c r="AK2830" s="518"/>
      <c r="AL2830" s="518"/>
      <c r="AM2830" s="518"/>
      <c r="AN2830" s="518"/>
      <c r="AO2830" s="518"/>
    </row>
    <row r="2831" spans="1:41" s="501" customFormat="1" ht="12" thickTop="1">
      <c r="A2831" s="41" t="s">
        <v>148</v>
      </c>
      <c r="D2831" s="11"/>
      <c r="E2831" s="40"/>
      <c r="O2831" s="727"/>
    </row>
    <row r="2832" spans="1:41" s="501" customFormat="1" ht="13.2">
      <c r="B2832" s="3"/>
      <c r="O2832" s="727"/>
    </row>
    <row r="2833" spans="1:41" s="501" customFormat="1" ht="12">
      <c r="B2833" s="728">
        <f>$F2833/$C$2-($R2833*$S$2+$T2833*$T$2)</f>
        <v>4.2699999999911142E-3</v>
      </c>
      <c r="D2833" s="729" t="s">
        <v>568</v>
      </c>
      <c r="E2833" s="730"/>
      <c r="F2833" s="731">
        <f>SUMIF($L2799:$L2831,"ITEM",F2799:F2831)</f>
        <v>58</v>
      </c>
      <c r="G2833" s="497"/>
      <c r="H2833" s="497"/>
      <c r="I2833" s="499"/>
      <c r="J2833" s="497"/>
      <c r="K2833" s="497"/>
      <c r="L2833" s="717" t="s">
        <v>159</v>
      </c>
      <c r="M2833" s="717"/>
      <c r="N2833" s="717"/>
      <c r="O2833" s="717"/>
      <c r="P2833" s="717"/>
      <c r="R2833" s="731">
        <f>SUMIF($L2799:$L2831,"ITEM",R2799:R2831)</f>
        <v>11.93</v>
      </c>
      <c r="S2833" s="733"/>
      <c r="T2833" s="731">
        <f>SUMIF($L2799:$L2831,"ITEM",T2799:T2831)</f>
        <v>1.1300000000000001</v>
      </c>
    </row>
    <row r="2834" spans="1:41" s="501" customFormat="1" ht="13.2">
      <c r="A2834" s="44"/>
      <c r="B2834" s="42" t="s">
        <v>569</v>
      </c>
      <c r="C2834" s="44"/>
      <c r="D2834" s="3"/>
      <c r="F2834" s="734" t="s">
        <v>160</v>
      </c>
      <c r="G2834" s="497"/>
      <c r="H2834" s="497"/>
      <c r="I2834" s="499"/>
      <c r="J2834" s="497"/>
      <c r="K2834" s="497"/>
      <c r="L2834" s="497"/>
      <c r="M2834" s="497"/>
      <c r="N2834" s="497"/>
      <c r="O2834" s="497"/>
      <c r="P2834" s="497"/>
      <c r="Q2834" s="726"/>
      <c r="R2834" s="734" t="s">
        <v>161</v>
      </c>
      <c r="S2834" s="36"/>
      <c r="T2834" s="734" t="s">
        <v>162</v>
      </c>
    </row>
    <row r="2835" spans="1:41" s="501" customFormat="1" ht="13.2">
      <c r="A2835" s="497"/>
      <c r="B2835" s="3"/>
      <c r="C2835" s="497"/>
      <c r="D2835" s="3"/>
      <c r="E2835" s="3"/>
      <c r="G2835" s="3"/>
      <c r="H2835" s="3"/>
      <c r="I2835" s="3"/>
      <c r="J2835" s="3"/>
      <c r="K2835" s="3"/>
      <c r="L2835" s="3"/>
      <c r="M2835" s="3"/>
      <c r="N2835" s="3"/>
      <c r="O2835" s="86"/>
      <c r="P2835" s="3"/>
      <c r="Q2835" s="3"/>
      <c r="R2835" s="3"/>
      <c r="S2835" s="3"/>
      <c r="T2835" s="3"/>
    </row>
    <row r="2836" spans="1:41" s="501" customFormat="1" ht="12" thickBot="1">
      <c r="A2836" s="518"/>
      <c r="B2836" s="515"/>
      <c r="C2836" s="515"/>
      <c r="D2836" s="518"/>
      <c r="E2836" s="37"/>
      <c r="F2836" s="735"/>
      <c r="G2836" s="515"/>
      <c r="H2836" s="515"/>
      <c r="I2836" s="516"/>
      <c r="J2836" s="515"/>
      <c r="K2836" s="515"/>
      <c r="L2836" s="517"/>
      <c r="M2836" s="517"/>
      <c r="N2836" s="517"/>
      <c r="O2836" s="517"/>
      <c r="P2836" s="517"/>
      <c r="Q2836" s="722"/>
      <c r="R2836" s="735"/>
      <c r="S2836" s="736"/>
      <c r="T2836" s="735"/>
      <c r="U2836" s="518"/>
      <c r="V2836" s="518"/>
      <c r="W2836" s="518"/>
      <c r="X2836" s="518"/>
      <c r="Y2836" s="518"/>
      <c r="Z2836" s="518"/>
      <c r="AA2836" s="518"/>
      <c r="AB2836" s="518"/>
      <c r="AC2836" s="518"/>
      <c r="AD2836" s="518"/>
      <c r="AE2836" s="518"/>
      <c r="AF2836" s="518"/>
      <c r="AG2836" s="518"/>
      <c r="AH2836" s="518"/>
      <c r="AI2836" s="518"/>
      <c r="AJ2836" s="518"/>
      <c r="AK2836" s="518"/>
    </row>
    <row r="2837" spans="1:41" s="501" customFormat="1" thickTop="1">
      <c r="A2837" s="44"/>
      <c r="B2837" s="44"/>
      <c r="C2837" s="3"/>
      <c r="D2837" s="3"/>
      <c r="E2837" s="44"/>
      <c r="F2837" s="44"/>
      <c r="G2837" s="44"/>
      <c r="H2837" s="44"/>
      <c r="I2837" s="44"/>
      <c r="J2837" s="44"/>
      <c r="K2837" s="44" t="s">
        <v>134</v>
      </c>
      <c r="L2837" s="44"/>
      <c r="M2837" s="44"/>
      <c r="N2837" s="44"/>
      <c r="O2837" s="45"/>
      <c r="P2837" s="44"/>
      <c r="Q2837" s="44"/>
      <c r="R2837" s="44"/>
      <c r="S2837" s="44"/>
      <c r="T2837" s="44"/>
    </row>
    <row r="2838" spans="1:41" s="501" customFormat="1" ht="12">
      <c r="A2838" s="44"/>
      <c r="B2838" s="44"/>
      <c r="C2838" s="44" t="s">
        <v>135</v>
      </c>
      <c r="D2838" s="35" t="s">
        <v>136</v>
      </c>
      <c r="E2838" s="44"/>
      <c r="F2838" s="44"/>
      <c r="G2838" s="44"/>
      <c r="H2838" s="44"/>
      <c r="I2838" s="44"/>
      <c r="J2838" s="44"/>
      <c r="K2838" s="44"/>
      <c r="L2838" s="44"/>
      <c r="M2838" s="44"/>
      <c r="N2838" s="44"/>
      <c r="O2838" s="45"/>
      <c r="P2838" s="44"/>
      <c r="Q2838" s="44"/>
      <c r="R2838" s="44"/>
      <c r="S2838" s="44"/>
      <c r="T2838" s="44"/>
    </row>
    <row r="2839" spans="1:41" s="501" customFormat="1" ht="12">
      <c r="A2839" s="44"/>
      <c r="B2839" s="44"/>
      <c r="C2839" s="44"/>
      <c r="D2839" s="35" t="s">
        <v>970</v>
      </c>
      <c r="E2839" s="44"/>
      <c r="F2839" s="44"/>
      <c r="G2839" s="44"/>
      <c r="H2839" s="44"/>
      <c r="I2839" s="44"/>
      <c r="J2839" s="44"/>
      <c r="K2839" s="44"/>
      <c r="L2839" s="44"/>
      <c r="M2839" s="44"/>
      <c r="N2839" s="44"/>
      <c r="O2839" s="45"/>
      <c r="P2839" s="44"/>
      <c r="Q2839" s="44"/>
      <c r="R2839" s="44"/>
      <c r="S2839" s="36"/>
      <c r="T2839" s="36"/>
    </row>
    <row r="2840" spans="1:41" s="3" customFormat="1" thickBot="1">
      <c r="A2840" s="518"/>
      <c r="O2840" s="86"/>
    </row>
    <row r="2841" spans="1:41" s="501" customFormat="1" ht="12" thickTop="1">
      <c r="A2841" s="44"/>
      <c r="B2841" s="39"/>
      <c r="C2841" s="44"/>
      <c r="E2841" s="40" t="s">
        <v>138</v>
      </c>
      <c r="F2841" s="40" t="s">
        <v>139</v>
      </c>
      <c r="G2841" s="44"/>
      <c r="H2841" s="44"/>
      <c r="I2841" s="44"/>
      <c r="J2841" s="44"/>
      <c r="K2841" s="44" t="s">
        <v>140</v>
      </c>
      <c r="L2841" s="44"/>
      <c r="M2841" s="44"/>
      <c r="N2841" s="44"/>
      <c r="O2841" s="45"/>
      <c r="P2841" s="44"/>
      <c r="Q2841" s="44"/>
      <c r="R2841" s="44"/>
      <c r="S2841" s="44"/>
      <c r="T2841" s="39"/>
      <c r="AG2841" s="502" t="s">
        <v>247</v>
      </c>
      <c r="AH2841" s="502" t="s">
        <v>248</v>
      </c>
      <c r="AI2841" s="502" t="s">
        <v>249</v>
      </c>
      <c r="AJ2841" s="502" t="s">
        <v>250</v>
      </c>
      <c r="AK2841" s="502" t="s">
        <v>251</v>
      </c>
      <c r="AM2841" s="710" t="s">
        <v>260</v>
      </c>
      <c r="AN2841" s="711" t="s">
        <v>261</v>
      </c>
      <c r="AO2841" s="503" t="s">
        <v>257</v>
      </c>
    </row>
    <row r="2842" spans="1:41" s="501" customFormat="1" ht="12" customHeight="1">
      <c r="A2842" s="712">
        <v>1</v>
      </c>
      <c r="B2842" s="504" t="s">
        <v>287</v>
      </c>
      <c r="C2842" s="505"/>
      <c r="D2842" s="713" t="s">
        <v>630</v>
      </c>
      <c r="E2842" s="714">
        <f>IF(AND($A2842=0,$A$1="DIF"),0, ROUND(ROUND(($R2850*$S$2+($T2850*$T$2))/A2842,2)*$C$2,2))</f>
        <v>0</v>
      </c>
      <c r="F2842" s="715">
        <f>ROUND($A2842*$E2842,2)</f>
        <v>0</v>
      </c>
      <c r="G2842" s="506" t="s">
        <v>142</v>
      </c>
      <c r="H2842" s="498"/>
      <c r="I2842" s="716"/>
      <c r="J2842" s="498"/>
      <c r="K2842" s="498" t="s">
        <v>3</v>
      </c>
      <c r="L2842" s="717" t="s">
        <v>143</v>
      </c>
      <c r="M2842" s="717"/>
      <c r="N2842" s="717"/>
      <c r="O2842" s="717"/>
      <c r="P2842" s="717"/>
      <c r="Q2842" s="892" t="s">
        <v>1109</v>
      </c>
      <c r="T2842" s="718" t="str">
        <f>IF(AND($R2850=0,$T2850=0),"0.00","mu :" &amp; ROUND($F2842/$C$2/($R2850+$T2850*$D$9),2))</f>
        <v>0.00</v>
      </c>
      <c r="W2842" s="507"/>
      <c r="AG2842" s="453">
        <f>IF($E2842=0,0,ROUND($R2850*$S$2*$C$2/$A2842,2))</f>
        <v>0</v>
      </c>
      <c r="AH2842" s="453">
        <f>$AG2842*$A2842</f>
        <v>0</v>
      </c>
      <c r="AI2842" s="508">
        <f>$E2842-$AG2842</f>
        <v>0</v>
      </c>
      <c r="AJ2842" s="508">
        <f>$A2842*$AI2842</f>
        <v>0</v>
      </c>
      <c r="AK2842" s="509">
        <f>ROUND(($AG2842+$AI2842)*$A2842,2)</f>
        <v>0</v>
      </c>
      <c r="AM2842" s="510">
        <f>ROUND(R2850,2)</f>
        <v>0</v>
      </c>
      <c r="AN2842" s="511">
        <f>ROUND(T2850,2)</f>
        <v>0</v>
      </c>
      <c r="AO2842" s="512">
        <f>ROUND(AM2842+AN2842,2)*A2842</f>
        <v>0</v>
      </c>
    </row>
    <row r="2843" spans="1:41" s="501" customFormat="1" ht="52.8" customHeight="1">
      <c r="A2843" s="505"/>
      <c r="B2843"/>
      <c r="C2843" s="505"/>
      <c r="D2843" s="1182" t="s">
        <v>979</v>
      </c>
      <c r="E2843" s="1182"/>
      <c r="F2843" s="1182"/>
      <c r="G2843" s="1182"/>
      <c r="H2843" s="1182"/>
      <c r="I2843" s="1182"/>
      <c r="J2843" s="1182"/>
      <c r="K2843" s="1182"/>
      <c r="L2843" s="1182"/>
      <c r="M2843" s="1182"/>
      <c r="N2843" s="1182"/>
      <c r="O2843" s="1182"/>
      <c r="P2843" s="1182"/>
      <c r="Q2843" s="1182"/>
      <c r="R2843" s="1182"/>
      <c r="S2843" s="1182"/>
      <c r="T2843" s="1182"/>
    </row>
    <row r="2844" spans="1:41" s="501" customFormat="1" ht="12">
      <c r="A2844" s="44"/>
      <c r="B2844" s="497"/>
      <c r="C2844" s="497"/>
      <c r="D2844" s="497"/>
      <c r="E2844" s="497"/>
      <c r="F2844" s="498"/>
      <c r="G2844" s="497"/>
      <c r="H2844" s="497"/>
      <c r="I2844" s="499"/>
      <c r="J2844" s="497"/>
      <c r="K2844" s="497"/>
      <c r="L2844" s="497"/>
      <c r="M2844" s="497"/>
      <c r="N2844" s="497"/>
      <c r="O2844" s="497"/>
      <c r="P2844" s="497"/>
      <c r="Q2844" s="499"/>
      <c r="R2844" s="720">
        <f t="shared" ref="R2844:R2849" si="69">$A2844*Q2844</f>
        <v>0</v>
      </c>
      <c r="S2844" s="499"/>
      <c r="T2844" s="500">
        <f t="shared" ref="T2844:T2849" si="70">$A2844*S2844*$T$1</f>
        <v>0</v>
      </c>
    </row>
    <row r="2845" spans="1:41" s="501" customFormat="1" ht="12">
      <c r="A2845" s="44"/>
      <c r="B2845" s="497"/>
      <c r="C2845" s="497"/>
      <c r="D2845" s="497"/>
      <c r="E2845" s="497"/>
      <c r="F2845" s="498"/>
      <c r="G2845" s="497"/>
      <c r="H2845" s="497"/>
      <c r="I2845" s="499"/>
      <c r="J2845" s="497"/>
      <c r="K2845" s="497"/>
      <c r="L2845" s="497"/>
      <c r="M2845" s="497"/>
      <c r="N2845" s="497"/>
      <c r="O2845" s="497"/>
      <c r="P2845" s="497"/>
      <c r="Q2845" s="499"/>
      <c r="R2845" s="720">
        <f t="shared" si="69"/>
        <v>0</v>
      </c>
      <c r="S2845" s="499"/>
      <c r="T2845" s="500">
        <f t="shared" si="70"/>
        <v>0</v>
      </c>
    </row>
    <row r="2846" spans="1:41" s="501" customFormat="1" ht="12">
      <c r="A2846" s="44"/>
      <c r="B2846" s="497"/>
      <c r="C2846" s="497"/>
      <c r="D2846" s="497"/>
      <c r="E2846" s="497"/>
      <c r="F2846" s="498"/>
      <c r="G2846" s="497"/>
      <c r="H2846" s="497"/>
      <c r="I2846" s="499"/>
      <c r="J2846" s="497"/>
      <c r="K2846" s="497"/>
      <c r="L2846" s="497"/>
      <c r="M2846" s="497"/>
      <c r="N2846" s="497"/>
      <c r="O2846" s="497"/>
      <c r="P2846" s="497"/>
      <c r="Q2846" s="499"/>
      <c r="R2846" s="720">
        <f t="shared" si="69"/>
        <v>0</v>
      </c>
      <c r="S2846" s="499"/>
      <c r="T2846" s="500">
        <f t="shared" si="70"/>
        <v>0</v>
      </c>
    </row>
    <row r="2847" spans="1:41" s="501" customFormat="1" ht="12">
      <c r="A2847" s="44"/>
      <c r="B2847" s="497"/>
      <c r="C2847" s="497"/>
      <c r="D2847" s="497"/>
      <c r="E2847" s="497"/>
      <c r="F2847" s="498"/>
      <c r="G2847" s="497"/>
      <c r="H2847" s="497"/>
      <c r="I2847" s="499"/>
      <c r="J2847" s="497"/>
      <c r="K2847" s="497"/>
      <c r="L2847" s="497"/>
      <c r="M2847" s="497"/>
      <c r="N2847" s="497"/>
      <c r="O2847" s="497"/>
      <c r="P2847" s="497"/>
      <c r="Q2847" s="499"/>
      <c r="R2847" s="720">
        <f t="shared" si="69"/>
        <v>0</v>
      </c>
      <c r="S2847" s="499"/>
      <c r="T2847" s="500">
        <f t="shared" si="70"/>
        <v>0</v>
      </c>
    </row>
    <row r="2848" spans="1:41" s="501" customFormat="1" ht="12">
      <c r="A2848" s="44"/>
      <c r="B2848" s="497"/>
      <c r="C2848" s="497"/>
      <c r="D2848" s="497"/>
      <c r="E2848" s="497"/>
      <c r="F2848" s="498"/>
      <c r="G2848" s="497"/>
      <c r="H2848" s="497"/>
      <c r="I2848" s="499"/>
      <c r="J2848" s="497"/>
      <c r="K2848" s="497"/>
      <c r="L2848" s="497"/>
      <c r="M2848" s="497"/>
      <c r="N2848" s="497"/>
      <c r="O2848" s="497"/>
      <c r="P2848" s="497"/>
      <c r="Q2848" s="499"/>
      <c r="R2848" s="720">
        <f t="shared" si="69"/>
        <v>0</v>
      </c>
      <c r="S2848" s="499"/>
      <c r="T2848" s="500">
        <f t="shared" si="70"/>
        <v>0</v>
      </c>
    </row>
    <row r="2849" spans="1:41" s="501" customFormat="1" ht="12">
      <c r="A2849" s="497"/>
      <c r="B2849" s="497"/>
      <c r="C2849" s="497"/>
      <c r="D2849" s="497"/>
      <c r="E2849" s="497"/>
      <c r="F2849" s="498"/>
      <c r="G2849" s="497"/>
      <c r="H2849" s="497"/>
      <c r="I2849" s="499"/>
      <c r="J2849" s="497"/>
      <c r="K2849" s="497"/>
      <c r="L2849" s="497"/>
      <c r="M2849" s="497"/>
      <c r="N2849" s="497"/>
      <c r="O2849" s="497"/>
      <c r="P2849" s="497"/>
      <c r="Q2849" s="499"/>
      <c r="R2849" s="720">
        <f t="shared" si="69"/>
        <v>0</v>
      </c>
      <c r="S2849" s="499"/>
      <c r="T2849" s="500">
        <f t="shared" si="70"/>
        <v>0</v>
      </c>
    </row>
    <row r="2850" spans="1:41" s="501" customFormat="1" ht="12.6" thickBot="1">
      <c r="A2850" s="513" t="s">
        <v>145</v>
      </c>
      <c r="B2850" s="514">
        <f>(R2849+T2849)</f>
        <v>0</v>
      </c>
      <c r="C2850" s="515"/>
      <c r="D2850" s="515"/>
      <c r="E2850" s="515"/>
      <c r="F2850" s="721"/>
      <c r="G2850" s="515" t="s">
        <v>146</v>
      </c>
      <c r="H2850" s="515"/>
      <c r="I2850" s="516"/>
      <c r="J2850" s="515"/>
      <c r="K2850" s="515" t="s">
        <v>3</v>
      </c>
      <c r="L2850" s="517" t="s">
        <v>143</v>
      </c>
      <c r="M2850" s="517"/>
      <c r="N2850" s="517"/>
      <c r="O2850" s="517"/>
      <c r="P2850" s="517"/>
      <c r="Q2850" s="722"/>
      <c r="R2850" s="723">
        <f>SUM(R2843:R2849)</f>
        <v>0</v>
      </c>
      <c r="S2850" s="515"/>
      <c r="T2850" s="723">
        <f>SUM(T2843:T2849)</f>
        <v>0</v>
      </c>
      <c r="U2850" s="518"/>
      <c r="V2850" s="518"/>
      <c r="W2850" s="518"/>
      <c r="X2850" s="518"/>
      <c r="Y2850" s="518"/>
      <c r="Z2850" s="518"/>
      <c r="AA2850" s="518"/>
      <c r="AB2850" s="518"/>
      <c r="AC2850" s="518"/>
      <c r="AD2850" s="518"/>
      <c r="AE2850" s="518"/>
      <c r="AF2850" s="518"/>
      <c r="AG2850" s="518"/>
      <c r="AH2850" s="518"/>
      <c r="AI2850" s="518"/>
      <c r="AJ2850" s="518"/>
      <c r="AK2850" s="518"/>
      <c r="AL2850" s="518"/>
      <c r="AM2850" s="518"/>
      <c r="AN2850" s="518"/>
      <c r="AO2850" s="518"/>
    </row>
    <row r="2851" spans="1:41" s="501" customFormat="1" thickTop="1">
      <c r="A2851" s="44"/>
      <c r="B2851" s="44"/>
      <c r="C2851" s="3"/>
      <c r="D2851" s="3"/>
      <c r="E2851" s="44"/>
      <c r="F2851" s="44"/>
      <c r="G2851" s="44"/>
      <c r="H2851" s="44"/>
      <c r="I2851" s="44"/>
      <c r="J2851" s="44"/>
      <c r="K2851" s="44" t="s">
        <v>134</v>
      </c>
      <c r="L2851" s="44"/>
      <c r="M2851" s="44"/>
      <c r="N2851" s="44"/>
      <c r="O2851" s="45"/>
      <c r="P2851" s="44"/>
      <c r="Q2851" s="44"/>
      <c r="R2851" s="44"/>
      <c r="S2851" s="44"/>
      <c r="T2851" s="44"/>
    </row>
    <row r="2852" spans="1:41" s="501" customFormat="1" ht="12">
      <c r="A2852" s="44"/>
      <c r="B2852" s="44"/>
      <c r="C2852" s="44" t="s">
        <v>135</v>
      </c>
      <c r="D2852" s="35" t="s">
        <v>136</v>
      </c>
      <c r="E2852" s="44"/>
      <c r="F2852" s="44"/>
      <c r="G2852" s="44"/>
      <c r="H2852" s="44"/>
      <c r="I2852" s="44"/>
      <c r="J2852" s="44"/>
      <c r="K2852" s="44"/>
      <c r="L2852" s="44"/>
      <c r="M2852" s="44"/>
      <c r="N2852" s="44"/>
      <c r="O2852" s="45"/>
      <c r="P2852" s="44"/>
      <c r="Q2852" s="44"/>
      <c r="R2852" s="44"/>
      <c r="S2852" s="44"/>
      <c r="T2852" s="44"/>
    </row>
    <row r="2853" spans="1:41" s="501" customFormat="1" ht="12">
      <c r="A2853" s="44"/>
      <c r="B2853" s="44"/>
      <c r="C2853" s="44"/>
      <c r="D2853" s="35" t="s">
        <v>1058</v>
      </c>
      <c r="E2853" s="44"/>
      <c r="F2853" s="44"/>
      <c r="G2853" s="44"/>
      <c r="H2853" s="44"/>
      <c r="I2853" s="44"/>
      <c r="J2853" s="44"/>
      <c r="K2853" s="44"/>
      <c r="L2853" s="44"/>
      <c r="M2853" s="44"/>
      <c r="N2853" s="44"/>
      <c r="O2853" s="45"/>
      <c r="P2853" s="44"/>
      <c r="Q2853" s="44"/>
      <c r="R2853" s="44"/>
      <c r="S2853" s="36"/>
      <c r="T2853" s="36"/>
    </row>
    <row r="2854" spans="1:41" s="3" customFormat="1" thickBot="1">
      <c r="A2854" s="518"/>
      <c r="O2854" s="86"/>
    </row>
    <row r="2855" spans="1:41" s="501" customFormat="1" ht="12" thickTop="1">
      <c r="A2855" s="44"/>
      <c r="B2855" s="39"/>
      <c r="C2855" s="44"/>
      <c r="E2855" s="40" t="s">
        <v>138</v>
      </c>
      <c r="F2855" s="40" t="s">
        <v>139</v>
      </c>
      <c r="G2855" s="44"/>
      <c r="H2855" s="44"/>
      <c r="I2855" s="44"/>
      <c r="J2855" s="44"/>
      <c r="K2855" s="44" t="s">
        <v>140</v>
      </c>
      <c r="L2855" s="44"/>
      <c r="M2855" s="44"/>
      <c r="N2855" s="44"/>
      <c r="O2855" s="45"/>
      <c r="P2855" s="44"/>
      <c r="Q2855" s="44"/>
      <c r="R2855" s="44"/>
      <c r="S2855" s="44"/>
      <c r="T2855" s="39"/>
      <c r="AG2855" s="502" t="s">
        <v>247</v>
      </c>
      <c r="AH2855" s="502" t="s">
        <v>248</v>
      </c>
      <c r="AI2855" s="502" t="s">
        <v>249</v>
      </c>
      <c r="AJ2855" s="502" t="s">
        <v>250</v>
      </c>
      <c r="AK2855" s="502" t="s">
        <v>251</v>
      </c>
      <c r="AM2855" s="710" t="s">
        <v>260</v>
      </c>
      <c r="AN2855" s="711" t="s">
        <v>261</v>
      </c>
      <c r="AO2855" s="503" t="s">
        <v>257</v>
      </c>
    </row>
    <row r="2856" spans="1:41" s="501" customFormat="1" ht="12" customHeight="1">
      <c r="A2856" s="712">
        <v>3</v>
      </c>
      <c r="B2856" s="504" t="s">
        <v>977</v>
      </c>
      <c r="C2856" s="505"/>
      <c r="D2856" s="713" t="s">
        <v>571</v>
      </c>
      <c r="E2856" s="714">
        <f>IF(AND($A2856=0,$A$1="DIF"),0, ROUND(ROUND(($R2864*$S$2+($T2864*$T$2))/A2856,2)*$C$2,2))</f>
        <v>0</v>
      </c>
      <c r="F2856" s="715">
        <f>ROUND($A2856*$E2856,2)</f>
        <v>0</v>
      </c>
      <c r="G2856" s="506" t="s">
        <v>142</v>
      </c>
      <c r="H2856" s="498"/>
      <c r="I2856" s="716"/>
      <c r="J2856" s="498"/>
      <c r="K2856" s="498" t="s">
        <v>3</v>
      </c>
      <c r="L2856" s="717" t="s">
        <v>143</v>
      </c>
      <c r="M2856" s="717"/>
      <c r="N2856" s="717"/>
      <c r="O2856" s="717"/>
      <c r="P2856" s="717"/>
      <c r="Q2856" s="892" t="s">
        <v>1109</v>
      </c>
      <c r="T2856" s="718" t="str">
        <f>IF(AND($R2864=0,$T2864=0),"0.00","mu :" &amp; ROUND($F2856/$C$2/($R2864+$T2864*$D$9),2))</f>
        <v>0.00</v>
      </c>
      <c r="W2856" s="507"/>
      <c r="AG2856" s="453">
        <f>IF($E2856=0,0,ROUND($R2864*$S$2*$C$2/$A2856,2))</f>
        <v>0</v>
      </c>
      <c r="AH2856" s="453">
        <f>$AG2856*$A2856</f>
        <v>0</v>
      </c>
      <c r="AI2856" s="508">
        <f>$E2856-$AG2856</f>
        <v>0</v>
      </c>
      <c r="AJ2856" s="508">
        <f>$A2856*$AI2856</f>
        <v>0</v>
      </c>
      <c r="AK2856" s="509">
        <f>ROUND(($AG2856+$AI2856)*$A2856,2)</f>
        <v>0</v>
      </c>
      <c r="AM2856" s="510">
        <f>ROUND(R2864,2)</f>
        <v>0</v>
      </c>
      <c r="AN2856" s="511">
        <f>ROUND(T2864,2)</f>
        <v>0</v>
      </c>
      <c r="AO2856" s="512">
        <f>ROUND(AM2856+AN2856,2)*A2856</f>
        <v>0</v>
      </c>
    </row>
    <row r="2857" spans="1:41" s="501" customFormat="1" ht="39.9" customHeight="1">
      <c r="A2857" s="505"/>
      <c r="B2857"/>
      <c r="C2857" s="505"/>
      <c r="D2857" s="1183" t="s">
        <v>976</v>
      </c>
      <c r="E2857" s="1184"/>
      <c r="F2857" s="1184"/>
      <c r="G2857" s="1184"/>
      <c r="H2857" s="1184"/>
      <c r="I2857" s="1184"/>
      <c r="J2857" s="1184"/>
      <c r="K2857" s="1184"/>
      <c r="L2857" s="1184"/>
      <c r="M2857" s="1184"/>
      <c r="N2857" s="1184"/>
      <c r="O2857" s="1184"/>
      <c r="P2857" s="1184"/>
      <c r="Q2857" s="1184"/>
      <c r="R2857" s="1184"/>
      <c r="S2857" s="1184"/>
      <c r="T2857" s="1184"/>
    </row>
    <row r="2858" spans="1:41" s="501" customFormat="1" ht="12">
      <c r="A2858" s="44"/>
      <c r="B2858" s="497"/>
      <c r="C2858" s="497"/>
      <c r="D2858" s="497"/>
      <c r="E2858" s="497"/>
      <c r="F2858" s="498"/>
      <c r="G2858" s="497"/>
      <c r="H2858" s="497"/>
      <c r="I2858" s="499"/>
      <c r="J2858" s="497"/>
      <c r="K2858" s="497"/>
      <c r="L2858" s="497"/>
      <c r="M2858" s="497"/>
      <c r="N2858" s="497"/>
      <c r="O2858" s="497"/>
      <c r="P2858" s="497"/>
      <c r="Q2858" s="499"/>
      <c r="R2858" s="720">
        <f t="shared" ref="R2858:R2863" si="71">$A2858*Q2858</f>
        <v>0</v>
      </c>
      <c r="S2858" s="499"/>
      <c r="T2858" s="500">
        <f t="shared" ref="T2858:T2863" si="72">$A2858*S2858*$T$1</f>
        <v>0</v>
      </c>
    </row>
    <row r="2859" spans="1:41" s="501" customFormat="1" ht="12">
      <c r="A2859" s="44"/>
      <c r="B2859" s="497"/>
      <c r="C2859" s="497"/>
      <c r="D2859" s="497"/>
      <c r="E2859" s="497"/>
      <c r="F2859" s="498"/>
      <c r="G2859" s="497"/>
      <c r="H2859" s="497"/>
      <c r="I2859" s="499"/>
      <c r="J2859" s="497"/>
      <c r="K2859" s="497"/>
      <c r="L2859" s="497"/>
      <c r="M2859" s="497"/>
      <c r="N2859" s="497"/>
      <c r="O2859" s="497"/>
      <c r="P2859" s="497"/>
      <c r="Q2859" s="499"/>
      <c r="R2859" s="720">
        <f t="shared" si="71"/>
        <v>0</v>
      </c>
      <c r="S2859" s="499"/>
      <c r="T2859" s="500">
        <f t="shared" si="72"/>
        <v>0</v>
      </c>
    </row>
    <row r="2860" spans="1:41" s="501" customFormat="1" ht="12">
      <c r="A2860" s="44"/>
      <c r="B2860" s="497"/>
      <c r="C2860" s="497"/>
      <c r="D2860" s="497"/>
      <c r="E2860" s="497"/>
      <c r="F2860" s="498"/>
      <c r="G2860" s="497"/>
      <c r="H2860" s="497"/>
      <c r="I2860" s="499"/>
      <c r="J2860" s="497"/>
      <c r="K2860" s="497"/>
      <c r="L2860" s="497"/>
      <c r="M2860" s="497"/>
      <c r="N2860" s="497"/>
      <c r="O2860" s="497"/>
      <c r="P2860" s="497"/>
      <c r="Q2860" s="499"/>
      <c r="R2860" s="720">
        <f t="shared" si="71"/>
        <v>0</v>
      </c>
      <c r="S2860" s="499"/>
      <c r="T2860" s="500">
        <f t="shared" si="72"/>
        <v>0</v>
      </c>
    </row>
    <row r="2861" spans="1:41" s="501" customFormat="1" ht="12">
      <c r="A2861" s="44"/>
      <c r="B2861" s="497"/>
      <c r="C2861" s="497"/>
      <c r="D2861" s="497"/>
      <c r="E2861" s="497"/>
      <c r="F2861" s="498"/>
      <c r="G2861" s="497"/>
      <c r="H2861" s="497"/>
      <c r="I2861" s="499"/>
      <c r="J2861" s="497"/>
      <c r="K2861" s="497"/>
      <c r="L2861" s="497"/>
      <c r="M2861" s="497"/>
      <c r="N2861" s="497"/>
      <c r="O2861" s="497"/>
      <c r="P2861" s="497"/>
      <c r="Q2861" s="499"/>
      <c r="R2861" s="720">
        <f t="shared" si="71"/>
        <v>0</v>
      </c>
      <c r="S2861" s="499"/>
      <c r="T2861" s="500">
        <f t="shared" si="72"/>
        <v>0</v>
      </c>
    </row>
    <row r="2862" spans="1:41" s="501" customFormat="1" ht="12">
      <c r="A2862" s="44"/>
      <c r="B2862" s="497"/>
      <c r="C2862" s="497"/>
      <c r="D2862" s="497"/>
      <c r="E2862" s="497"/>
      <c r="F2862" s="498"/>
      <c r="G2862" s="497"/>
      <c r="H2862" s="497"/>
      <c r="I2862" s="499"/>
      <c r="J2862" s="497"/>
      <c r="K2862" s="497"/>
      <c r="L2862" s="497"/>
      <c r="M2862" s="497"/>
      <c r="N2862" s="497"/>
      <c r="O2862" s="497"/>
      <c r="P2862" s="497"/>
      <c r="Q2862" s="499"/>
      <c r="R2862" s="720">
        <f t="shared" si="71"/>
        <v>0</v>
      </c>
      <c r="S2862" s="499"/>
      <c r="T2862" s="500">
        <f t="shared" si="72"/>
        <v>0</v>
      </c>
    </row>
    <row r="2863" spans="1:41" s="501" customFormat="1" ht="12">
      <c r="A2863" s="497"/>
      <c r="B2863" s="497"/>
      <c r="C2863" s="497"/>
      <c r="D2863" s="497"/>
      <c r="E2863" s="497"/>
      <c r="F2863" s="498"/>
      <c r="G2863" s="497"/>
      <c r="H2863" s="497"/>
      <c r="I2863" s="499"/>
      <c r="J2863" s="497"/>
      <c r="K2863" s="497"/>
      <c r="L2863" s="497"/>
      <c r="M2863" s="497"/>
      <c r="N2863" s="497"/>
      <c r="O2863" s="497"/>
      <c r="P2863" s="497"/>
      <c r="Q2863" s="499"/>
      <c r="R2863" s="720">
        <f t="shared" si="71"/>
        <v>0</v>
      </c>
      <c r="S2863" s="499"/>
      <c r="T2863" s="500">
        <f t="shared" si="72"/>
        <v>0</v>
      </c>
    </row>
    <row r="2864" spans="1:41" s="501" customFormat="1" ht="12.6" thickBot="1">
      <c r="A2864" s="513" t="s">
        <v>145</v>
      </c>
      <c r="B2864" s="514">
        <f>(R2863+T2863)</f>
        <v>0</v>
      </c>
      <c r="C2864" s="515"/>
      <c r="D2864" s="515"/>
      <c r="E2864" s="515"/>
      <c r="F2864" s="721"/>
      <c r="G2864" s="515" t="s">
        <v>146</v>
      </c>
      <c r="H2864" s="515"/>
      <c r="I2864" s="516"/>
      <c r="J2864" s="515"/>
      <c r="K2864" s="515" t="s">
        <v>3</v>
      </c>
      <c r="L2864" s="517" t="s">
        <v>143</v>
      </c>
      <c r="M2864" s="517"/>
      <c r="N2864" s="517"/>
      <c r="O2864" s="517"/>
      <c r="P2864" s="517"/>
      <c r="Q2864" s="722"/>
      <c r="R2864" s="723">
        <f>SUM(R2857:R2863)</f>
        <v>0</v>
      </c>
      <c r="S2864" s="515"/>
      <c r="T2864" s="723">
        <f>SUM(T2857:T2863)</f>
        <v>0</v>
      </c>
      <c r="U2864" s="518"/>
      <c r="V2864" s="518"/>
      <c r="W2864" s="518"/>
      <c r="X2864" s="518"/>
      <c r="Y2864" s="518"/>
      <c r="Z2864" s="518"/>
      <c r="AA2864" s="518"/>
      <c r="AB2864" s="518"/>
      <c r="AC2864" s="518"/>
      <c r="AD2864" s="518"/>
      <c r="AE2864" s="518"/>
      <c r="AF2864" s="518"/>
      <c r="AG2864" s="518"/>
      <c r="AH2864" s="518"/>
      <c r="AI2864" s="518"/>
      <c r="AJ2864" s="518"/>
      <c r="AK2864" s="518"/>
      <c r="AL2864" s="518"/>
      <c r="AM2864" s="518"/>
      <c r="AN2864" s="518"/>
      <c r="AO2864" s="518"/>
    </row>
    <row r="2865" spans="1:41" s="501" customFormat="1" ht="12" thickTop="1">
      <c r="A2865" s="44"/>
      <c r="B2865" s="39"/>
      <c r="C2865" s="44"/>
      <c r="E2865" s="40" t="s">
        <v>138</v>
      </c>
      <c r="F2865" s="40" t="s">
        <v>139</v>
      </c>
      <c r="G2865" s="44"/>
      <c r="H2865" s="44"/>
      <c r="I2865" s="44"/>
      <c r="J2865" s="44"/>
      <c r="K2865" s="44" t="s">
        <v>140</v>
      </c>
      <c r="L2865" s="44"/>
      <c r="M2865" s="44"/>
      <c r="N2865" s="44"/>
      <c r="O2865" s="45"/>
      <c r="P2865" s="44"/>
      <c r="Q2865" s="44"/>
      <c r="R2865" s="44"/>
      <c r="S2865" s="44"/>
      <c r="T2865" s="39"/>
      <c r="AG2865" s="502" t="s">
        <v>247</v>
      </c>
      <c r="AH2865" s="502" t="s">
        <v>248</v>
      </c>
      <c r="AI2865" s="502" t="s">
        <v>249</v>
      </c>
      <c r="AJ2865" s="502" t="s">
        <v>250</v>
      </c>
      <c r="AK2865" s="502" t="s">
        <v>251</v>
      </c>
      <c r="AM2865" s="710" t="s">
        <v>260</v>
      </c>
      <c r="AN2865" s="711" t="s">
        <v>261</v>
      </c>
      <c r="AO2865" s="503" t="s">
        <v>257</v>
      </c>
    </row>
    <row r="2866" spans="1:41" s="501" customFormat="1" ht="12" customHeight="1">
      <c r="A2866" s="712">
        <v>1</v>
      </c>
      <c r="B2866" s="504" t="s">
        <v>384</v>
      </c>
      <c r="C2866" s="505"/>
      <c r="D2866" s="713" t="s">
        <v>582</v>
      </c>
      <c r="E2866" s="714">
        <f>IF(AND($A2866=0,$A$1="DIF"),0, ROUND(ROUND(($R2874*$S$2+($T2874*$T$2))/A2866,2)*$C$2,2))</f>
        <v>0</v>
      </c>
      <c r="F2866" s="715">
        <f>ROUND($A2866*$E2866,2)</f>
        <v>0</v>
      </c>
      <c r="G2866" s="506" t="s">
        <v>142</v>
      </c>
      <c r="H2866" s="498"/>
      <c r="I2866" s="716"/>
      <c r="J2866" s="498"/>
      <c r="K2866" s="498" t="s">
        <v>3</v>
      </c>
      <c r="L2866" s="717" t="s">
        <v>143</v>
      </c>
      <c r="M2866" s="717"/>
      <c r="N2866" s="717"/>
      <c r="O2866" s="717"/>
      <c r="P2866" s="717"/>
      <c r="Q2866" s="892" t="s">
        <v>1109</v>
      </c>
      <c r="T2866" s="718" t="str">
        <f>IF(AND($R2874=0,$T2874=0),"0.00","mu :" &amp; ROUND($F2866/$C$2/($R2874+$T2874*$D$9),2))</f>
        <v>0.00</v>
      </c>
      <c r="W2866" s="507"/>
      <c r="AG2866" s="453">
        <f>IF($E2866=0,0,ROUND($R2874*$S$2*$C$2/$A2866,2))</f>
        <v>0</v>
      </c>
      <c r="AH2866" s="453">
        <f>$AG2866*$A2866</f>
        <v>0</v>
      </c>
      <c r="AI2866" s="508">
        <f>$E2866-$AG2866</f>
        <v>0</v>
      </c>
      <c r="AJ2866" s="508">
        <f>$A2866*$AI2866</f>
        <v>0</v>
      </c>
      <c r="AK2866" s="509">
        <f>ROUND(($AG2866+$AI2866)*$A2866,2)</f>
        <v>0</v>
      </c>
      <c r="AM2866" s="510">
        <f>ROUND(R2874,2)</f>
        <v>0</v>
      </c>
      <c r="AN2866" s="511">
        <f>ROUND(T2874,2)</f>
        <v>0</v>
      </c>
      <c r="AO2866" s="512">
        <f>ROUND(AM2866+AN2866,2)*A2866</f>
        <v>0</v>
      </c>
    </row>
    <row r="2867" spans="1:41" s="501" customFormat="1" ht="39.9" customHeight="1">
      <c r="A2867" s="505"/>
      <c r="B2867"/>
      <c r="C2867" s="505"/>
      <c r="D2867" s="1183" t="s">
        <v>978</v>
      </c>
      <c r="E2867" s="1184"/>
      <c r="F2867" s="1184"/>
      <c r="G2867" s="1184"/>
      <c r="H2867" s="1184"/>
      <c r="I2867" s="1184"/>
      <c r="J2867" s="1184"/>
      <c r="K2867" s="1184"/>
      <c r="L2867" s="1184"/>
      <c r="M2867" s="1184"/>
      <c r="N2867" s="1184"/>
      <c r="O2867" s="1184"/>
      <c r="P2867" s="1184"/>
      <c r="Q2867" s="1184"/>
      <c r="R2867" s="1184"/>
      <c r="S2867" s="1184"/>
      <c r="T2867" s="1184"/>
    </row>
    <row r="2868" spans="1:41" s="501" customFormat="1" ht="12">
      <c r="A2868" s="44"/>
      <c r="B2868" s="497"/>
      <c r="C2868" s="497"/>
      <c r="D2868" s="497"/>
      <c r="E2868" s="497"/>
      <c r="F2868" s="498"/>
      <c r="G2868" s="497"/>
      <c r="H2868" s="497"/>
      <c r="I2868" s="499"/>
      <c r="J2868" s="497"/>
      <c r="K2868" s="497"/>
      <c r="L2868" s="497"/>
      <c r="M2868" s="497"/>
      <c r="N2868" s="497"/>
      <c r="O2868" s="497"/>
      <c r="P2868" s="497"/>
      <c r="Q2868" s="499"/>
      <c r="R2868" s="720">
        <f t="shared" ref="R2868:R2873" si="73">$A2868*Q2868</f>
        <v>0</v>
      </c>
      <c r="S2868" s="499"/>
      <c r="T2868" s="500">
        <f t="shared" ref="T2868:T2873" si="74">$A2868*S2868*$T$1</f>
        <v>0</v>
      </c>
    </row>
    <row r="2869" spans="1:41" s="501" customFormat="1" ht="12">
      <c r="A2869" s="44"/>
      <c r="B2869" s="497"/>
      <c r="C2869" s="497"/>
      <c r="D2869" s="497"/>
      <c r="E2869" s="497"/>
      <c r="F2869" s="498"/>
      <c r="G2869" s="497"/>
      <c r="H2869" s="497"/>
      <c r="I2869" s="499"/>
      <c r="J2869" s="497"/>
      <c r="K2869" s="497"/>
      <c r="L2869" s="497"/>
      <c r="M2869" s="497"/>
      <c r="N2869" s="497"/>
      <c r="O2869" s="497"/>
      <c r="P2869" s="497"/>
      <c r="Q2869" s="499"/>
      <c r="R2869" s="720">
        <f t="shared" si="73"/>
        <v>0</v>
      </c>
      <c r="S2869" s="499"/>
      <c r="T2869" s="500">
        <f t="shared" si="74"/>
        <v>0</v>
      </c>
    </row>
    <row r="2870" spans="1:41" s="501" customFormat="1" ht="12">
      <c r="A2870" s="44"/>
      <c r="B2870" s="497"/>
      <c r="C2870" s="497"/>
      <c r="D2870" s="497"/>
      <c r="E2870" s="497"/>
      <c r="F2870" s="498"/>
      <c r="G2870" s="497"/>
      <c r="H2870" s="497"/>
      <c r="I2870" s="499"/>
      <c r="J2870" s="497"/>
      <c r="K2870" s="497"/>
      <c r="L2870" s="497"/>
      <c r="M2870" s="497"/>
      <c r="N2870" s="497"/>
      <c r="O2870" s="497"/>
      <c r="P2870" s="497"/>
      <c r="Q2870" s="499"/>
      <c r="R2870" s="720">
        <f t="shared" si="73"/>
        <v>0</v>
      </c>
      <c r="S2870" s="499"/>
      <c r="T2870" s="500">
        <f t="shared" si="74"/>
        <v>0</v>
      </c>
    </row>
    <row r="2871" spans="1:41" s="501" customFormat="1" ht="12">
      <c r="A2871" s="44"/>
      <c r="B2871" s="497"/>
      <c r="C2871" s="497"/>
      <c r="D2871" s="497"/>
      <c r="E2871" s="497"/>
      <c r="F2871" s="498"/>
      <c r="G2871" s="497"/>
      <c r="H2871" s="497"/>
      <c r="I2871" s="499"/>
      <c r="J2871" s="497"/>
      <c r="K2871" s="497"/>
      <c r="L2871" s="497"/>
      <c r="M2871" s="497"/>
      <c r="N2871" s="497"/>
      <c r="O2871" s="497"/>
      <c r="P2871" s="497"/>
      <c r="Q2871" s="499"/>
      <c r="R2871" s="720">
        <f t="shared" si="73"/>
        <v>0</v>
      </c>
      <c r="S2871" s="499"/>
      <c r="T2871" s="500">
        <f t="shared" si="74"/>
        <v>0</v>
      </c>
    </row>
    <row r="2872" spans="1:41" s="501" customFormat="1" ht="12">
      <c r="A2872" s="44"/>
      <c r="B2872" s="497"/>
      <c r="C2872" s="497"/>
      <c r="D2872" s="497"/>
      <c r="E2872" s="497"/>
      <c r="F2872" s="498"/>
      <c r="G2872" s="497"/>
      <c r="H2872" s="497"/>
      <c r="I2872" s="499"/>
      <c r="J2872" s="497"/>
      <c r="K2872" s="497"/>
      <c r="L2872" s="497"/>
      <c r="M2872" s="497"/>
      <c r="N2872" s="497"/>
      <c r="O2872" s="497"/>
      <c r="P2872" s="497"/>
      <c r="Q2872" s="499"/>
      <c r="R2872" s="720">
        <f t="shared" si="73"/>
        <v>0</v>
      </c>
      <c r="S2872" s="499"/>
      <c r="T2872" s="500">
        <f t="shared" si="74"/>
        <v>0</v>
      </c>
    </row>
    <row r="2873" spans="1:41" s="501" customFormat="1" ht="12">
      <c r="A2873" s="497"/>
      <c r="B2873" s="497"/>
      <c r="C2873" s="497"/>
      <c r="D2873" s="497"/>
      <c r="E2873" s="497"/>
      <c r="F2873" s="498"/>
      <c r="G2873" s="497"/>
      <c r="H2873" s="497"/>
      <c r="I2873" s="499"/>
      <c r="J2873" s="497"/>
      <c r="K2873" s="497"/>
      <c r="L2873" s="497"/>
      <c r="M2873" s="497"/>
      <c r="N2873" s="497"/>
      <c r="O2873" s="497"/>
      <c r="P2873" s="497"/>
      <c r="Q2873" s="499"/>
      <c r="R2873" s="720">
        <f t="shared" si="73"/>
        <v>0</v>
      </c>
      <c r="S2873" s="499"/>
      <c r="T2873" s="500">
        <f t="shared" si="74"/>
        <v>0</v>
      </c>
    </row>
    <row r="2874" spans="1:41" s="501" customFormat="1" ht="12.6" thickBot="1">
      <c r="A2874" s="513" t="s">
        <v>145</v>
      </c>
      <c r="B2874" s="514">
        <f>(R2873+T2873)</f>
        <v>0</v>
      </c>
      <c r="C2874" s="515"/>
      <c r="D2874" s="515"/>
      <c r="E2874" s="515"/>
      <c r="F2874" s="721"/>
      <c r="G2874" s="515" t="s">
        <v>146</v>
      </c>
      <c r="H2874" s="515"/>
      <c r="I2874" s="516"/>
      <c r="J2874" s="515"/>
      <c r="K2874" s="515" t="s">
        <v>3</v>
      </c>
      <c r="L2874" s="517" t="s">
        <v>143</v>
      </c>
      <c r="M2874" s="517"/>
      <c r="N2874" s="517"/>
      <c r="O2874" s="517"/>
      <c r="P2874" s="517"/>
      <c r="Q2874" s="722"/>
      <c r="R2874" s="723">
        <f>SUM(R2867:R2873)</f>
        <v>0</v>
      </c>
      <c r="S2874" s="515"/>
      <c r="T2874" s="723">
        <f>SUM(T2867:T2873)</f>
        <v>0</v>
      </c>
      <c r="U2874" s="518"/>
      <c r="V2874" s="518"/>
      <c r="W2874" s="518"/>
      <c r="X2874" s="518"/>
      <c r="Y2874" s="518"/>
      <c r="Z2874" s="518"/>
      <c r="AA2874" s="518"/>
      <c r="AB2874" s="518"/>
      <c r="AC2874" s="518"/>
      <c r="AD2874" s="518"/>
      <c r="AE2874" s="518"/>
      <c r="AF2874" s="518"/>
      <c r="AG2874" s="518"/>
      <c r="AH2874" s="518"/>
      <c r="AI2874" s="518"/>
      <c r="AJ2874" s="518"/>
      <c r="AK2874" s="518"/>
      <c r="AL2874" s="518"/>
      <c r="AM2874" s="518"/>
      <c r="AN2874" s="518"/>
      <c r="AO2874" s="518"/>
    </row>
    <row r="2875" spans="1:41" s="501" customFormat="1" ht="12" thickTop="1">
      <c r="A2875" s="41" t="s">
        <v>148</v>
      </c>
      <c r="D2875" s="11"/>
      <c r="E2875" s="40"/>
      <c r="O2875" s="727"/>
    </row>
    <row r="2876" spans="1:41" s="501" customFormat="1" ht="13.2">
      <c r="B2876" s="3"/>
      <c r="O2876" s="727"/>
    </row>
    <row r="2877" spans="1:41" s="501" customFormat="1" ht="12">
      <c r="B2877" s="728">
        <f>$F2877/$C$2-($R2877*$S$2+$T2877*$T$2)</f>
        <v>0</v>
      </c>
      <c r="D2877" s="729" t="s">
        <v>568</v>
      </c>
      <c r="E2877" s="730"/>
      <c r="F2877" s="731">
        <f>SUMIF($L2850:$L2875,"ITEM",F2850:F2875)</f>
        <v>0</v>
      </c>
      <c r="G2877" s="497"/>
      <c r="H2877" s="497"/>
      <c r="I2877" s="499"/>
      <c r="J2877" s="497"/>
      <c r="K2877" s="497"/>
      <c r="L2877" s="717" t="s">
        <v>159</v>
      </c>
      <c r="M2877" s="717"/>
      <c r="N2877" s="717"/>
      <c r="O2877" s="717"/>
      <c r="P2877" s="717"/>
      <c r="R2877" s="732">
        <f>SUMIF($L2850:$L2875,"ITEM",R2850:R2875)</f>
        <v>0</v>
      </c>
      <c r="S2877" s="733"/>
      <c r="T2877" s="732">
        <f>SUMIF($L2850:$L2875,"ITEM",T2850:T2875)</f>
        <v>0</v>
      </c>
    </row>
    <row r="2878" spans="1:41" s="501" customFormat="1" ht="13.2">
      <c r="A2878" s="44"/>
      <c r="B2878" s="42" t="s">
        <v>569</v>
      </c>
      <c r="C2878" s="44"/>
      <c r="D2878" s="3"/>
      <c r="F2878" s="734" t="s">
        <v>160</v>
      </c>
      <c r="G2878" s="497"/>
      <c r="H2878" s="497"/>
      <c r="I2878" s="499"/>
      <c r="J2878" s="497"/>
      <c r="K2878" s="497"/>
      <c r="L2878" s="497"/>
      <c r="M2878" s="497"/>
      <c r="N2878" s="497"/>
      <c r="O2878" s="497"/>
      <c r="P2878" s="497"/>
      <c r="Q2878" s="726"/>
      <c r="R2878" s="734" t="s">
        <v>161</v>
      </c>
      <c r="S2878" s="36"/>
      <c r="T2878" s="734" t="s">
        <v>162</v>
      </c>
    </row>
    <row r="2879" spans="1:41" s="501" customFormat="1" ht="13.2">
      <c r="A2879" s="497"/>
      <c r="B2879" s="3"/>
      <c r="C2879" s="497"/>
      <c r="D2879" s="3"/>
      <c r="E2879" s="3"/>
      <c r="G2879" s="3"/>
      <c r="H2879" s="3"/>
      <c r="I2879" s="3"/>
      <c r="J2879" s="3"/>
      <c r="K2879" s="3"/>
      <c r="L2879" s="3"/>
      <c r="M2879" s="3"/>
      <c r="N2879" s="3"/>
      <c r="O2879" s="86"/>
      <c r="P2879" s="3"/>
      <c r="Q2879" s="3"/>
      <c r="R2879" s="3"/>
      <c r="S2879" s="3"/>
      <c r="T2879" s="3"/>
    </row>
    <row r="2880" spans="1:41" s="501" customFormat="1" ht="12" thickBot="1">
      <c r="A2880" s="518"/>
      <c r="B2880" s="515"/>
      <c r="C2880" s="515"/>
      <c r="D2880" s="518"/>
      <c r="E2880" s="37"/>
      <c r="F2880" s="735"/>
      <c r="G2880" s="515"/>
      <c r="H2880" s="515"/>
      <c r="I2880" s="516"/>
      <c r="J2880" s="515"/>
      <c r="K2880" s="515"/>
      <c r="L2880" s="517"/>
      <c r="M2880" s="517"/>
      <c r="N2880" s="517"/>
      <c r="O2880" s="517"/>
      <c r="P2880" s="517"/>
      <c r="Q2880" s="722"/>
      <c r="R2880" s="735"/>
      <c r="S2880" s="736"/>
      <c r="T2880" s="735"/>
      <c r="U2880" s="518"/>
      <c r="V2880" s="518"/>
      <c r="W2880" s="518"/>
      <c r="X2880" s="518"/>
      <c r="Y2880" s="518"/>
      <c r="Z2880" s="518"/>
      <c r="AA2880" s="518"/>
      <c r="AB2880" s="518"/>
      <c r="AC2880" s="518"/>
      <c r="AD2880" s="518"/>
      <c r="AE2880" s="518"/>
      <c r="AF2880" s="518"/>
      <c r="AG2880" s="518"/>
      <c r="AH2880" s="518"/>
      <c r="AI2880" s="518"/>
      <c r="AJ2880" s="518"/>
      <c r="AK2880" s="518"/>
    </row>
    <row r="2881" spans="1:41" s="501" customFormat="1" thickTop="1">
      <c r="A2881" s="44"/>
      <c r="B2881" s="44"/>
      <c r="C2881" s="3"/>
      <c r="D2881" s="3"/>
      <c r="E2881" s="44"/>
      <c r="F2881" s="44"/>
      <c r="G2881" s="44"/>
      <c r="H2881" s="44"/>
      <c r="I2881" s="44"/>
      <c r="J2881" s="44"/>
      <c r="K2881" s="44" t="s">
        <v>134</v>
      </c>
      <c r="L2881" s="44"/>
      <c r="M2881" s="44"/>
      <c r="N2881" s="44"/>
      <c r="O2881" s="45"/>
      <c r="P2881" s="44"/>
      <c r="Q2881" s="44"/>
      <c r="R2881" s="44"/>
      <c r="S2881" s="44"/>
      <c r="T2881" s="44"/>
    </row>
    <row r="2882" spans="1:41" s="501" customFormat="1" ht="12">
      <c r="A2882" s="44"/>
      <c r="B2882" s="44"/>
      <c r="C2882" s="44" t="s">
        <v>135</v>
      </c>
      <c r="D2882" s="35" t="s">
        <v>136</v>
      </c>
      <c r="E2882" s="44"/>
      <c r="F2882" s="44"/>
      <c r="G2882" s="44"/>
      <c r="H2882" s="44"/>
      <c r="I2882" s="44"/>
      <c r="J2882" s="44"/>
      <c r="K2882" s="44"/>
      <c r="L2882" s="44"/>
      <c r="M2882" s="44"/>
      <c r="N2882" s="44"/>
      <c r="O2882" s="45"/>
      <c r="P2882" s="44"/>
      <c r="Q2882" s="44"/>
      <c r="R2882" s="44"/>
      <c r="S2882" s="44"/>
      <c r="T2882" s="44"/>
    </row>
    <row r="2883" spans="1:41" s="501" customFormat="1" ht="12">
      <c r="A2883" s="44"/>
      <c r="B2883" s="44"/>
      <c r="C2883" s="44"/>
      <c r="D2883" s="35" t="s">
        <v>992</v>
      </c>
      <c r="E2883" s="44"/>
      <c r="F2883" s="44"/>
      <c r="G2883" s="44"/>
      <c r="H2883" s="44"/>
      <c r="I2883" s="44"/>
      <c r="J2883" s="44"/>
      <c r="K2883" s="44"/>
      <c r="L2883" s="44"/>
      <c r="M2883" s="44"/>
      <c r="N2883" s="44"/>
      <c r="O2883" s="45"/>
      <c r="P2883" s="44"/>
      <c r="Q2883" s="44"/>
      <c r="R2883" s="44"/>
      <c r="S2883" s="36"/>
      <c r="T2883" s="36"/>
    </row>
    <row r="2884" spans="1:41" s="3" customFormat="1" thickBot="1">
      <c r="A2884" s="518"/>
      <c r="O2884" s="86"/>
    </row>
    <row r="2885" spans="1:41" s="501" customFormat="1" ht="12" thickTop="1">
      <c r="A2885" s="44"/>
      <c r="B2885" s="39"/>
      <c r="C2885" s="44"/>
      <c r="E2885" s="40" t="s">
        <v>138</v>
      </c>
      <c r="F2885" s="40" t="s">
        <v>139</v>
      </c>
      <c r="G2885" s="44"/>
      <c r="H2885" s="44"/>
      <c r="I2885" s="44"/>
      <c r="J2885" s="44"/>
      <c r="K2885" s="44" t="s">
        <v>140</v>
      </c>
      <c r="L2885" s="44"/>
      <c r="M2885" s="44"/>
      <c r="N2885" s="44"/>
      <c r="O2885" s="45"/>
      <c r="P2885" s="44"/>
      <c r="Q2885" s="44"/>
      <c r="R2885" s="44"/>
      <c r="S2885" s="44"/>
      <c r="T2885" s="39"/>
      <c r="AG2885" s="502" t="s">
        <v>247</v>
      </c>
      <c r="AH2885" s="502" t="s">
        <v>248</v>
      </c>
      <c r="AI2885" s="502" t="s">
        <v>249</v>
      </c>
      <c r="AJ2885" s="502" t="s">
        <v>250</v>
      </c>
      <c r="AK2885" s="502" t="s">
        <v>251</v>
      </c>
      <c r="AM2885" s="710" t="s">
        <v>260</v>
      </c>
      <c r="AN2885" s="711" t="s">
        <v>261</v>
      </c>
      <c r="AO2885" s="503" t="s">
        <v>257</v>
      </c>
    </row>
    <row r="2886" spans="1:41" s="501" customFormat="1" ht="12" customHeight="1">
      <c r="A2886" s="712">
        <v>1</v>
      </c>
      <c r="B2886" s="504" t="s">
        <v>287</v>
      </c>
      <c r="C2886" s="505"/>
      <c r="D2886" s="713" t="s">
        <v>630</v>
      </c>
      <c r="E2886" s="1187">
        <f>IF(AND($A2886=0,$A$1="DIF"),0, ROUND(ROUND(($R2890*$S$5+($T2890*$T$5))/$A2886,2)*$C$5,2))</f>
        <v>659.9</v>
      </c>
      <c r="F2886" s="1188">
        <f>ROUND($A2886*$E2886,2)</f>
        <v>659.9</v>
      </c>
      <c r="G2886" s="506" t="s">
        <v>142</v>
      </c>
      <c r="H2886" s="498"/>
      <c r="I2886" s="716"/>
      <c r="J2886" s="498"/>
      <c r="K2886" s="498" t="s">
        <v>10</v>
      </c>
      <c r="L2886" s="717" t="s">
        <v>143</v>
      </c>
      <c r="M2886" s="717"/>
      <c r="N2886" s="717"/>
      <c r="O2886" s="717"/>
      <c r="P2886" s="717"/>
      <c r="Q2886" s="44"/>
      <c r="T2886" s="1189" t="str">
        <f>IF(AND($R2890=0,$T2890=0),"0.00","mu: "&amp; ROUND(F2886/$C$5/($R2890+$T2890*$D$9),2))</f>
        <v>mu: 1</v>
      </c>
      <c r="W2886" s="507"/>
      <c r="AG2886" s="1190">
        <f>IF($E2886=0,0,ROUND($R2890*$S$5*$C$5/$A2886,2))</f>
        <v>659.9</v>
      </c>
      <c r="AH2886" s="1190">
        <f>$AG2886*$A2886</f>
        <v>659.9</v>
      </c>
      <c r="AI2886" s="1191">
        <f>$E2886-$AG2886</f>
        <v>0</v>
      </c>
      <c r="AJ2886" s="1191">
        <f>$A2886*$AI2886</f>
        <v>0</v>
      </c>
      <c r="AK2886" s="1192">
        <f>ROUND(($AG2886+$AI2886)*$A2886,2)</f>
        <v>659.9</v>
      </c>
      <c r="AM2886" s="510">
        <f>ROUND(R2890,2)</f>
        <v>659.9</v>
      </c>
      <c r="AN2886" s="511">
        <f>ROUND(T2890,2)</f>
        <v>0</v>
      </c>
      <c r="AO2886" s="512">
        <f>ROUND(AM2886+AN2886,2)*A2886</f>
        <v>659.9</v>
      </c>
    </row>
    <row r="2887" spans="1:41" s="501" customFormat="1" ht="13.2">
      <c r="A2887" s="505"/>
      <c r="B2887"/>
      <c r="C2887" s="505"/>
      <c r="D2887" s="713" t="s">
        <v>1115</v>
      </c>
      <c r="F2887" s="498"/>
      <c r="G2887" s="3"/>
      <c r="H2887" s="498"/>
      <c r="I2887" s="716"/>
      <c r="J2887" s="498"/>
      <c r="K2887" s="498" t="s">
        <v>144</v>
      </c>
      <c r="L2887" s="498"/>
      <c r="M2887" s="498"/>
      <c r="N2887" s="498"/>
      <c r="O2887" s="498"/>
      <c r="P2887" s="498"/>
      <c r="Q2887" s="44"/>
      <c r="R2887" s="567"/>
      <c r="S2887" s="719"/>
      <c r="T2887" s="498"/>
    </row>
    <row r="2888" spans="1:41" s="893" customFormat="1" ht="13.2">
      <c r="A2888" s="971">
        <f>A2886</f>
        <v>1</v>
      </c>
      <c r="B2888" s="972" t="s">
        <v>287</v>
      </c>
      <c r="C2888" s="972"/>
      <c r="D2888" s="972" t="s">
        <v>884</v>
      </c>
      <c r="E2888" s="972"/>
      <c r="F2888" s="944" t="s">
        <v>885</v>
      </c>
      <c r="G2888" s="973" t="s">
        <v>886</v>
      </c>
      <c r="H2888" s="979">
        <v>960</v>
      </c>
      <c r="I2888" s="972" t="s">
        <v>660</v>
      </c>
      <c r="J2888" s="972"/>
      <c r="K2888" s="972"/>
      <c r="L2888" s="972"/>
      <c r="M2888" s="972"/>
      <c r="N2888" s="972"/>
      <c r="O2888" s="974">
        <v>4</v>
      </c>
      <c r="P2888" s="975">
        <v>38594</v>
      </c>
      <c r="Q2888" s="976">
        <v>659.9</v>
      </c>
      <c r="R2888" s="977">
        <f>$A2888*Q2888</f>
        <v>659.9</v>
      </c>
      <c r="S2888" s="976"/>
      <c r="T2888" s="978">
        <f>$A2888*S2888*$T$1</f>
        <v>0</v>
      </c>
    </row>
    <row r="2889" spans="1:41" s="501" customFormat="1" ht="12">
      <c r="A2889" s="497"/>
      <c r="B2889" s="497"/>
      <c r="C2889" s="497"/>
      <c r="D2889" s="497"/>
      <c r="E2889" s="497"/>
      <c r="F2889" s="498"/>
      <c r="G2889" s="497"/>
      <c r="H2889" s="497"/>
      <c r="I2889" s="499"/>
      <c r="J2889" s="497"/>
      <c r="K2889" s="497"/>
      <c r="L2889" s="497"/>
      <c r="M2889" s="497"/>
      <c r="N2889" s="497"/>
      <c r="O2889" s="497"/>
      <c r="P2889" s="497"/>
      <c r="Q2889" s="499"/>
      <c r="R2889" s="720">
        <f t="shared" ref="R2889" si="75">$A2889*Q2889</f>
        <v>0</v>
      </c>
      <c r="S2889" s="499"/>
      <c r="T2889" s="500">
        <f t="shared" ref="T2889" si="76">$A2889*S2889*$T$1</f>
        <v>0</v>
      </c>
    </row>
    <row r="2890" spans="1:41" s="501" customFormat="1" ht="12.6" thickBot="1">
      <c r="A2890" s="513" t="s">
        <v>145</v>
      </c>
      <c r="B2890" s="514">
        <f>(R2889+T2889)</f>
        <v>0</v>
      </c>
      <c r="C2890" s="515"/>
      <c r="D2890" s="515"/>
      <c r="E2890" s="515"/>
      <c r="F2890" s="721"/>
      <c r="G2890" s="515" t="s">
        <v>146</v>
      </c>
      <c r="H2890" s="515"/>
      <c r="I2890" s="516"/>
      <c r="J2890" s="515"/>
      <c r="K2890" s="515" t="s">
        <v>10</v>
      </c>
      <c r="L2890" s="517" t="s">
        <v>143</v>
      </c>
      <c r="M2890" s="517"/>
      <c r="N2890" s="517"/>
      <c r="O2890" s="517"/>
      <c r="P2890" s="517"/>
      <c r="Q2890" s="722"/>
      <c r="R2890" s="723">
        <f>SUM(R2887:R2889)</f>
        <v>659.9</v>
      </c>
      <c r="S2890" s="515"/>
      <c r="T2890" s="723">
        <f>SUM(T2887:T2889)</f>
        <v>0</v>
      </c>
      <c r="U2890" s="518"/>
      <c r="V2890" s="518"/>
      <c r="W2890" s="518"/>
      <c r="X2890" s="518"/>
      <c r="Y2890" s="518"/>
      <c r="Z2890" s="518"/>
      <c r="AA2890" s="518"/>
      <c r="AB2890" s="518"/>
      <c r="AC2890" s="518"/>
      <c r="AD2890" s="518"/>
      <c r="AE2890" s="518"/>
      <c r="AF2890" s="518"/>
      <c r="AG2890" s="518"/>
      <c r="AH2890" s="518"/>
      <c r="AI2890" s="518"/>
      <c r="AJ2890" s="518"/>
      <c r="AK2890" s="518"/>
      <c r="AL2890" s="518"/>
      <c r="AM2890" s="518"/>
      <c r="AN2890" s="518"/>
      <c r="AO2890" s="518"/>
    </row>
    <row r="2891" spans="1:41" s="501" customFormat="1" ht="12" thickTop="1">
      <c r="A2891" s="41" t="s">
        <v>148</v>
      </c>
      <c r="D2891" s="11"/>
      <c r="E2891" s="40"/>
      <c r="O2891" s="727"/>
    </row>
    <row r="2892" spans="1:41" s="501" customFormat="1" ht="13.2">
      <c r="B2892" s="3"/>
      <c r="O2892" s="727"/>
    </row>
    <row r="2893" spans="1:41" s="501" customFormat="1" ht="12">
      <c r="B2893" s="728">
        <f>$F2893/$C$2-($R2893*$S$2+$T2893*$T$2)</f>
        <v>-230.96500000000003</v>
      </c>
      <c r="D2893" s="729" t="s">
        <v>568</v>
      </c>
      <c r="E2893" s="730"/>
      <c r="F2893" s="731">
        <f>SUMIF($L2875:$L2891,"ITEM",F2875:F2891)</f>
        <v>659.9</v>
      </c>
      <c r="G2893" s="497"/>
      <c r="H2893" s="497"/>
      <c r="I2893" s="499"/>
      <c r="J2893" s="497"/>
      <c r="K2893" s="497"/>
      <c r="L2893" s="717" t="s">
        <v>159</v>
      </c>
      <c r="M2893" s="717"/>
      <c r="N2893" s="717"/>
      <c r="O2893" s="717"/>
      <c r="P2893" s="717"/>
      <c r="R2893" s="731">
        <f>SUMIF($L2875:$L2891,"ITEM",R2875:R2891)</f>
        <v>659.9</v>
      </c>
      <c r="S2893" s="733"/>
      <c r="T2893" s="731">
        <f>SUMIF($L2875:$L2891,"ITEM",T2875:T2891)</f>
        <v>0</v>
      </c>
    </row>
    <row r="2894" spans="1:41" s="501" customFormat="1" ht="13.2">
      <c r="A2894" s="44"/>
      <c r="B2894" s="42" t="s">
        <v>569</v>
      </c>
      <c r="C2894" s="44"/>
      <c r="D2894" s="3"/>
      <c r="F2894" s="734" t="s">
        <v>160</v>
      </c>
      <c r="G2894" s="497"/>
      <c r="H2894" s="497"/>
      <c r="I2894" s="499"/>
      <c r="J2894" s="497"/>
      <c r="K2894" s="497"/>
      <c r="L2894" s="497"/>
      <c r="M2894" s="497"/>
      <c r="N2894" s="497"/>
      <c r="O2894" s="497"/>
      <c r="P2894" s="497"/>
      <c r="Q2894" s="726"/>
      <c r="R2894" s="734" t="s">
        <v>161</v>
      </c>
      <c r="S2894" s="36"/>
      <c r="T2894" s="734" t="s">
        <v>162</v>
      </c>
    </row>
    <row r="2895" spans="1:41" s="501" customFormat="1" ht="13.2">
      <c r="A2895" s="497"/>
      <c r="B2895" s="3"/>
      <c r="C2895" s="497"/>
      <c r="D2895" s="3"/>
      <c r="E2895" s="3"/>
      <c r="G2895" s="3"/>
      <c r="H2895" s="3"/>
      <c r="I2895" s="3"/>
      <c r="J2895" s="3"/>
      <c r="K2895" s="3"/>
      <c r="L2895" s="3"/>
      <c r="M2895" s="3"/>
      <c r="N2895" s="3"/>
      <c r="O2895" s="86"/>
      <c r="P2895" s="3"/>
      <c r="Q2895" s="3"/>
      <c r="R2895" s="3"/>
      <c r="S2895" s="3"/>
      <c r="T2895" s="3"/>
    </row>
    <row r="2896" spans="1:41" s="501" customFormat="1" ht="12" thickBot="1">
      <c r="A2896" s="518"/>
      <c r="B2896" s="515"/>
      <c r="C2896" s="515"/>
      <c r="D2896" s="518"/>
      <c r="E2896" s="37"/>
      <c r="F2896" s="735"/>
      <c r="G2896" s="515"/>
      <c r="H2896" s="515"/>
      <c r="I2896" s="516"/>
      <c r="J2896" s="515"/>
      <c r="K2896" s="515"/>
      <c r="L2896" s="517"/>
      <c r="M2896" s="517"/>
      <c r="N2896" s="517"/>
      <c r="O2896" s="517"/>
      <c r="P2896" s="517"/>
      <c r="Q2896" s="722"/>
      <c r="R2896" s="735"/>
      <c r="S2896" s="736"/>
      <c r="T2896" s="735"/>
      <c r="U2896" s="518"/>
      <c r="V2896" s="518"/>
      <c r="W2896" s="518"/>
      <c r="X2896" s="518"/>
      <c r="Y2896" s="518"/>
      <c r="Z2896" s="518"/>
      <c r="AA2896" s="518"/>
      <c r="AB2896" s="518"/>
      <c r="AC2896" s="518"/>
      <c r="AD2896" s="518"/>
      <c r="AE2896" s="518"/>
      <c r="AF2896" s="518"/>
      <c r="AG2896" s="518"/>
      <c r="AH2896" s="518"/>
      <c r="AI2896" s="518"/>
      <c r="AJ2896" s="518"/>
      <c r="AK2896" s="518"/>
    </row>
    <row r="2897" spans="1:41" s="501" customFormat="1" ht="12" thickTop="1">
      <c r="A2897" s="44"/>
      <c r="B2897" s="39"/>
      <c r="C2897" s="44"/>
      <c r="E2897" s="40" t="s">
        <v>138</v>
      </c>
      <c r="F2897" s="40" t="s">
        <v>139</v>
      </c>
      <c r="G2897" s="44"/>
      <c r="H2897" s="44"/>
      <c r="I2897" s="44"/>
      <c r="J2897" s="44"/>
      <c r="K2897" s="44" t="s">
        <v>140</v>
      </c>
      <c r="L2897" s="44"/>
      <c r="M2897" s="44"/>
      <c r="N2897" s="44"/>
      <c r="O2897" s="45"/>
      <c r="P2897" s="44"/>
      <c r="Q2897" s="44"/>
      <c r="R2897" s="44"/>
      <c r="S2897" s="44"/>
      <c r="T2897" s="39"/>
      <c r="AG2897" s="502" t="s">
        <v>247</v>
      </c>
      <c r="AH2897" s="502" t="s">
        <v>248</v>
      </c>
      <c r="AI2897" s="502" t="s">
        <v>249</v>
      </c>
      <c r="AJ2897" s="502" t="s">
        <v>250</v>
      </c>
      <c r="AK2897" s="502" t="s">
        <v>251</v>
      </c>
      <c r="AM2897" s="710" t="s">
        <v>260</v>
      </c>
      <c r="AN2897" s="711" t="s">
        <v>261</v>
      </c>
      <c r="AO2897" s="503" t="s">
        <v>257</v>
      </c>
    </row>
    <row r="2898" spans="1:41" s="501" customFormat="1" ht="12" customHeight="1">
      <c r="A2898" s="712">
        <v>1</v>
      </c>
      <c r="B2898" s="504" t="s">
        <v>287</v>
      </c>
      <c r="C2898" s="505"/>
      <c r="D2898" s="713" t="s">
        <v>571</v>
      </c>
      <c r="E2898" s="1187">
        <f>IF(AND($A2898=0,$A$1="DIF"),0, ROUND(ROUND(($R2902*$S$5+($T2902*$T$5))/$A2898,2)*$C$5,2))</f>
        <v>411.78</v>
      </c>
      <c r="F2898" s="1188">
        <f>ROUND($A2898*$E2898,2)</f>
        <v>411.78</v>
      </c>
      <c r="G2898" s="506" t="s">
        <v>142</v>
      </c>
      <c r="H2898" s="498"/>
      <c r="I2898" s="716"/>
      <c r="J2898" s="498"/>
      <c r="K2898" s="498" t="s">
        <v>10</v>
      </c>
      <c r="L2898" s="717" t="s">
        <v>143</v>
      </c>
      <c r="M2898" s="717"/>
      <c r="N2898" s="717"/>
      <c r="O2898" s="717"/>
      <c r="P2898" s="717"/>
      <c r="Q2898" s="44"/>
      <c r="T2898" s="1189" t="str">
        <f>IF(AND($R2902=0,$T2902=0),"0.00","mu: "&amp; ROUND(F2898/$C$5/($R2902+$T2902*$D$9),2))</f>
        <v>mu: 1</v>
      </c>
      <c r="W2898" s="507"/>
      <c r="AG2898" s="1190">
        <f>IF($E2898=0,0,ROUND($R2902*$S$5*$C$5/$A2898,2))</f>
        <v>411.78</v>
      </c>
      <c r="AH2898" s="1190">
        <f>$AG2898*$A2898</f>
        <v>411.78</v>
      </c>
      <c r="AI2898" s="1191">
        <f>$E2898-$AG2898</f>
        <v>0</v>
      </c>
      <c r="AJ2898" s="1191">
        <f>$A2898*$AI2898</f>
        <v>0</v>
      </c>
      <c r="AK2898" s="1192">
        <f>ROUND(($AG2898+$AI2898)*$A2898,2)</f>
        <v>411.78</v>
      </c>
      <c r="AM2898" s="510">
        <f>ROUND(R2902,2)</f>
        <v>411.78</v>
      </c>
      <c r="AN2898" s="511">
        <f>ROUND(T2902,2)</f>
        <v>0</v>
      </c>
      <c r="AO2898" s="512">
        <f>ROUND(AM2898+AN2898,2)*A2898</f>
        <v>411.78</v>
      </c>
    </row>
    <row r="2899" spans="1:41" s="501" customFormat="1" ht="39.9" customHeight="1">
      <c r="A2899" s="505"/>
      <c r="B2899"/>
      <c r="C2899" s="505"/>
      <c r="D2899" s="1183" t="s">
        <v>1116</v>
      </c>
      <c r="E2899" s="1184"/>
      <c r="F2899" s="1184"/>
      <c r="G2899" s="1184"/>
      <c r="H2899" s="1184"/>
      <c r="I2899" s="1184"/>
      <c r="J2899" s="1184"/>
      <c r="K2899" s="1184"/>
      <c r="L2899" s="1184"/>
      <c r="M2899" s="1184"/>
      <c r="N2899" s="1184"/>
      <c r="O2899" s="1184"/>
      <c r="P2899" s="1184"/>
      <c r="Q2899" s="1184"/>
      <c r="R2899" s="1184"/>
      <c r="S2899" s="1184"/>
      <c r="T2899" s="1184"/>
    </row>
    <row r="2900" spans="1:41" s="893" customFormat="1" ht="13.2">
      <c r="A2900" s="971">
        <v>1</v>
      </c>
      <c r="B2900" s="972" t="s">
        <v>287</v>
      </c>
      <c r="C2900" s="972"/>
      <c r="D2900" s="972" t="s">
        <v>884</v>
      </c>
      <c r="E2900" s="972"/>
      <c r="F2900" s="944" t="s">
        <v>885</v>
      </c>
      <c r="G2900" s="973" t="s">
        <v>886</v>
      </c>
      <c r="H2900" s="979">
        <v>960</v>
      </c>
      <c r="I2900" s="972" t="s">
        <v>660</v>
      </c>
      <c r="J2900" s="972"/>
      <c r="K2900" s="972"/>
      <c r="L2900" s="972"/>
      <c r="M2900" s="972"/>
      <c r="N2900" s="972"/>
      <c r="O2900" s="974">
        <v>4</v>
      </c>
      <c r="P2900" s="975">
        <v>38594</v>
      </c>
      <c r="Q2900" s="976">
        <v>411.78</v>
      </c>
      <c r="R2900" s="977">
        <f>$A2900*Q2900</f>
        <v>411.78</v>
      </c>
      <c r="S2900" s="976"/>
      <c r="T2900" s="978">
        <f>$A2900*S2900*$T$1</f>
        <v>0</v>
      </c>
    </row>
    <row r="2901" spans="1:41" s="501" customFormat="1" ht="12">
      <c r="A2901" s="497"/>
      <c r="B2901" s="497"/>
      <c r="C2901" s="497"/>
      <c r="D2901" s="497"/>
      <c r="E2901" s="497"/>
      <c r="F2901" s="498"/>
      <c r="G2901" s="497"/>
      <c r="H2901" s="497"/>
      <c r="I2901" s="499"/>
      <c r="J2901" s="497"/>
      <c r="K2901" s="497"/>
      <c r="L2901" s="497"/>
      <c r="M2901" s="497"/>
      <c r="N2901" s="497"/>
      <c r="O2901" s="497"/>
      <c r="P2901" s="497"/>
      <c r="Q2901" s="499"/>
      <c r="R2901" s="720">
        <f>$A2901*Q2901</f>
        <v>0</v>
      </c>
      <c r="S2901" s="499"/>
      <c r="T2901" s="500">
        <f>$A2901*S2901*$T$1</f>
        <v>0</v>
      </c>
    </row>
    <row r="2902" spans="1:41" s="501" customFormat="1" ht="12.6" thickBot="1">
      <c r="A2902" s="513" t="s">
        <v>145</v>
      </c>
      <c r="B2902" s="514">
        <f>(R2901+T2901)</f>
        <v>0</v>
      </c>
      <c r="C2902" s="515"/>
      <c r="D2902" s="515"/>
      <c r="E2902" s="515"/>
      <c r="F2902" s="721"/>
      <c r="G2902" s="515" t="s">
        <v>146</v>
      </c>
      <c r="H2902" s="515"/>
      <c r="I2902" s="516"/>
      <c r="J2902" s="515"/>
      <c r="K2902" s="515" t="s">
        <v>10</v>
      </c>
      <c r="L2902" s="517" t="s">
        <v>143</v>
      </c>
      <c r="M2902" s="517"/>
      <c r="N2902" s="517"/>
      <c r="O2902" s="517"/>
      <c r="P2902" s="517"/>
      <c r="Q2902" s="722"/>
      <c r="R2902" s="723">
        <f>SUM(R2899:R2901)</f>
        <v>411.78</v>
      </c>
      <c r="S2902" s="515"/>
      <c r="T2902" s="723">
        <f>SUM(T2899:T2901)</f>
        <v>0</v>
      </c>
      <c r="U2902" s="518"/>
      <c r="V2902" s="518"/>
      <c r="W2902" s="518"/>
      <c r="X2902" s="518"/>
      <c r="Y2902" s="518"/>
      <c r="Z2902" s="518"/>
      <c r="AA2902" s="518"/>
      <c r="AB2902" s="518"/>
      <c r="AC2902" s="518"/>
      <c r="AD2902" s="518"/>
      <c r="AE2902" s="518"/>
      <c r="AF2902" s="518"/>
      <c r="AG2902" s="518"/>
      <c r="AH2902" s="518"/>
      <c r="AI2902" s="518"/>
      <c r="AJ2902" s="518"/>
      <c r="AK2902" s="518"/>
      <c r="AL2902" s="518"/>
      <c r="AM2902" s="518"/>
      <c r="AN2902" s="518"/>
      <c r="AO2902" s="518"/>
    </row>
    <row r="2903" spans="1:41" s="501" customFormat="1" ht="12" thickTop="1">
      <c r="A2903" s="44"/>
      <c r="B2903" s="39"/>
      <c r="C2903" s="44"/>
      <c r="E2903" s="40" t="s">
        <v>138</v>
      </c>
      <c r="F2903" s="40" t="s">
        <v>139</v>
      </c>
      <c r="G2903" s="44"/>
      <c r="H2903" s="44"/>
      <c r="I2903" s="44"/>
      <c r="J2903" s="44"/>
      <c r="K2903" s="44" t="s">
        <v>140</v>
      </c>
      <c r="L2903" s="44"/>
      <c r="M2903" s="44"/>
      <c r="N2903" s="44"/>
      <c r="O2903" s="45"/>
      <c r="P2903" s="44"/>
      <c r="Q2903" s="44"/>
      <c r="R2903" s="44"/>
      <c r="S2903" s="44"/>
      <c r="T2903" s="39"/>
      <c r="AG2903" s="502" t="s">
        <v>247</v>
      </c>
      <c r="AH2903" s="502" t="s">
        <v>248</v>
      </c>
      <c r="AI2903" s="502" t="s">
        <v>249</v>
      </c>
      <c r="AJ2903" s="502" t="s">
        <v>250</v>
      </c>
      <c r="AK2903" s="502" t="s">
        <v>251</v>
      </c>
      <c r="AM2903" s="710" t="s">
        <v>260</v>
      </c>
      <c r="AN2903" s="711" t="s">
        <v>261</v>
      </c>
      <c r="AO2903" s="503" t="s">
        <v>257</v>
      </c>
    </row>
    <row r="2904" spans="1:41" s="501" customFormat="1" ht="12" customHeight="1">
      <c r="A2904" s="712">
        <v>1</v>
      </c>
      <c r="B2904" s="504" t="s">
        <v>287</v>
      </c>
      <c r="C2904" s="505"/>
      <c r="D2904" s="713" t="s">
        <v>582</v>
      </c>
      <c r="E2904" s="1187">
        <f>IF(AND($A2904=0,$A$1="DIF"),0, ROUND(ROUND(($R2908*$S$5+($T2908*$T$5))/$A2904,2)*$C$5,2))</f>
        <v>514.72</v>
      </c>
      <c r="F2904" s="1188">
        <f>ROUND($A2904*$E2904,2)</f>
        <v>514.72</v>
      </c>
      <c r="G2904" s="506" t="s">
        <v>142</v>
      </c>
      <c r="H2904" s="498"/>
      <c r="I2904" s="716"/>
      <c r="J2904" s="498"/>
      <c r="K2904" s="498" t="s">
        <v>10</v>
      </c>
      <c r="L2904" s="717" t="s">
        <v>143</v>
      </c>
      <c r="M2904" s="717"/>
      <c r="N2904" s="717"/>
      <c r="O2904" s="717"/>
      <c r="P2904" s="717"/>
      <c r="Q2904" s="44"/>
      <c r="T2904" s="1189" t="str">
        <f>IF(AND($R2908=0,$T2908=0),"0.00","mu: "&amp; ROUND(F2904/$C$5/($R2908+$T2908*$D$9),2))</f>
        <v>mu: 1</v>
      </c>
      <c r="W2904" s="507"/>
      <c r="AG2904" s="1190">
        <f>IF($E2904=0,0,ROUND($R2908*$S$5*$C$5/$A2904,2))</f>
        <v>514.72</v>
      </c>
      <c r="AH2904" s="1190">
        <f>$AG2904*$A2904</f>
        <v>514.72</v>
      </c>
      <c r="AI2904" s="1191">
        <f>$E2904-$AG2904</f>
        <v>0</v>
      </c>
      <c r="AJ2904" s="1191">
        <f>$A2904*$AI2904</f>
        <v>0</v>
      </c>
      <c r="AK2904" s="1192">
        <f>ROUND(($AG2904+$AI2904)*$A2904,2)</f>
        <v>514.72</v>
      </c>
      <c r="AM2904" s="510">
        <f>ROUND(R2908,2)</f>
        <v>514.72</v>
      </c>
      <c r="AN2904" s="511">
        <f>ROUND(T2908,2)</f>
        <v>0</v>
      </c>
      <c r="AO2904" s="512">
        <f>ROUND(AM2904+AN2904,2)*A2904</f>
        <v>514.72</v>
      </c>
    </row>
    <row r="2905" spans="1:41" s="501" customFormat="1" ht="13.2">
      <c r="A2905" s="505"/>
      <c r="B2905"/>
      <c r="C2905" s="505"/>
      <c r="D2905" s="713" t="s">
        <v>1117</v>
      </c>
      <c r="F2905" s="498"/>
      <c r="G2905" s="3"/>
      <c r="H2905" s="498"/>
      <c r="I2905" s="716"/>
      <c r="J2905" s="498"/>
      <c r="K2905" s="498" t="s">
        <v>144</v>
      </c>
      <c r="L2905" s="498"/>
      <c r="M2905" s="498"/>
      <c r="N2905" s="498"/>
      <c r="O2905" s="498"/>
      <c r="P2905" s="498"/>
      <c r="Q2905" s="44"/>
      <c r="R2905" s="567"/>
      <c r="S2905" s="719"/>
      <c r="T2905" s="498"/>
    </row>
    <row r="2906" spans="1:41" s="893" customFormat="1" ht="13.2">
      <c r="A2906" s="971">
        <v>1</v>
      </c>
      <c r="B2906" s="972" t="s">
        <v>287</v>
      </c>
      <c r="C2906" s="972"/>
      <c r="D2906" s="972" t="s">
        <v>884</v>
      </c>
      <c r="E2906" s="972"/>
      <c r="F2906" s="944" t="s">
        <v>885</v>
      </c>
      <c r="G2906" s="973" t="s">
        <v>886</v>
      </c>
      <c r="H2906" s="979">
        <v>960</v>
      </c>
      <c r="I2906" s="972" t="s">
        <v>660</v>
      </c>
      <c r="J2906" s="972"/>
      <c r="K2906" s="972"/>
      <c r="L2906" s="972"/>
      <c r="M2906" s="972"/>
      <c r="N2906" s="972"/>
      <c r="O2906" s="974">
        <v>4</v>
      </c>
      <c r="P2906" s="975">
        <v>38594</v>
      </c>
      <c r="Q2906" s="976">
        <v>514.72</v>
      </c>
      <c r="R2906" s="977">
        <f>$A2906*Q2906</f>
        <v>514.72</v>
      </c>
      <c r="S2906" s="976"/>
      <c r="T2906" s="978">
        <f>$A2906*S2906*$T$1</f>
        <v>0</v>
      </c>
    </row>
    <row r="2907" spans="1:41" s="501" customFormat="1" ht="12">
      <c r="A2907" s="497"/>
      <c r="B2907" s="497"/>
      <c r="C2907" s="497"/>
      <c r="D2907" s="497"/>
      <c r="E2907" s="497"/>
      <c r="F2907" s="498"/>
      <c r="G2907" s="497"/>
      <c r="H2907" s="497"/>
      <c r="I2907" s="499"/>
      <c r="J2907" s="497"/>
      <c r="K2907" s="497"/>
      <c r="L2907" s="497"/>
      <c r="M2907" s="497"/>
      <c r="N2907" s="497"/>
      <c r="O2907" s="497"/>
      <c r="P2907" s="497"/>
      <c r="Q2907" s="499"/>
      <c r="R2907" s="720">
        <f>$A2907*Q2907</f>
        <v>0</v>
      </c>
      <c r="S2907" s="499"/>
      <c r="T2907" s="500">
        <f>$A2907*S2907*$T$1</f>
        <v>0</v>
      </c>
    </row>
    <row r="2908" spans="1:41" s="501" customFormat="1" ht="12.6" thickBot="1">
      <c r="A2908" s="513" t="s">
        <v>145</v>
      </c>
      <c r="B2908" s="514">
        <f>(R2907+T2907)</f>
        <v>0</v>
      </c>
      <c r="C2908" s="515"/>
      <c r="D2908" s="515"/>
      <c r="E2908" s="515"/>
      <c r="F2908" s="721"/>
      <c r="G2908" s="515" t="s">
        <v>146</v>
      </c>
      <c r="H2908" s="515"/>
      <c r="I2908" s="516"/>
      <c r="J2908" s="515"/>
      <c r="K2908" s="515" t="s">
        <v>10</v>
      </c>
      <c r="L2908" s="517" t="s">
        <v>143</v>
      </c>
      <c r="M2908" s="517"/>
      <c r="N2908" s="517"/>
      <c r="O2908" s="517"/>
      <c r="P2908" s="517"/>
      <c r="Q2908" s="722"/>
      <c r="R2908" s="723">
        <f>SUM(R2905:R2907)</f>
        <v>514.72</v>
      </c>
      <c r="S2908" s="515"/>
      <c r="T2908" s="723">
        <f>SUM(T2905:T2907)</f>
        <v>0</v>
      </c>
      <c r="U2908" s="518"/>
      <c r="V2908" s="518"/>
      <c r="W2908" s="518"/>
      <c r="X2908" s="518"/>
      <c r="Y2908" s="518"/>
      <c r="Z2908" s="518"/>
      <c r="AA2908" s="518"/>
      <c r="AB2908" s="518"/>
      <c r="AC2908" s="518"/>
      <c r="AD2908" s="518"/>
      <c r="AE2908" s="518"/>
      <c r="AF2908" s="518"/>
      <c r="AG2908" s="518"/>
      <c r="AH2908" s="518"/>
      <c r="AI2908" s="518"/>
      <c r="AJ2908" s="518"/>
      <c r="AK2908" s="518"/>
      <c r="AL2908" s="518"/>
      <c r="AM2908" s="518"/>
      <c r="AN2908" s="518"/>
      <c r="AO2908" s="518"/>
    </row>
    <row r="2909" spans="1:41" s="501" customFormat="1" ht="12" thickTop="1">
      <c r="A2909" s="44"/>
      <c r="B2909" s="39"/>
      <c r="C2909" s="44"/>
      <c r="E2909" s="40" t="s">
        <v>138</v>
      </c>
      <c r="F2909" s="40" t="s">
        <v>139</v>
      </c>
      <c r="G2909" s="44"/>
      <c r="H2909" s="44"/>
      <c r="I2909" s="44"/>
      <c r="J2909" s="44"/>
      <c r="K2909" s="44" t="s">
        <v>140</v>
      </c>
      <c r="L2909" s="44"/>
      <c r="M2909" s="44"/>
      <c r="N2909" s="44"/>
      <c r="O2909" s="45"/>
      <c r="P2909" s="44"/>
      <c r="Q2909" s="44"/>
      <c r="R2909" s="44"/>
      <c r="S2909" s="44"/>
      <c r="T2909" s="39"/>
      <c r="AG2909" s="502" t="s">
        <v>247</v>
      </c>
      <c r="AH2909" s="502" t="s">
        <v>248</v>
      </c>
      <c r="AI2909" s="502" t="s">
        <v>249</v>
      </c>
      <c r="AJ2909" s="502" t="s">
        <v>250</v>
      </c>
      <c r="AK2909" s="502" t="s">
        <v>251</v>
      </c>
      <c r="AM2909" s="710" t="s">
        <v>260</v>
      </c>
      <c r="AN2909" s="711" t="s">
        <v>261</v>
      </c>
      <c r="AO2909" s="503" t="s">
        <v>257</v>
      </c>
    </row>
    <row r="2910" spans="1:41" s="501" customFormat="1" ht="12" customHeight="1">
      <c r="A2910" s="712">
        <v>1</v>
      </c>
      <c r="B2910" s="504" t="s">
        <v>287</v>
      </c>
      <c r="C2910" s="505"/>
      <c r="D2910" s="713" t="s">
        <v>567</v>
      </c>
      <c r="E2910" s="1187">
        <f>IF(AND($A2910=0,$A$1="DIF"),0, ROUND(ROUND(($R2914*$S$5+($T2914*$T$5))/$A2910,2)*$C$5,2))</f>
        <v>1029.44</v>
      </c>
      <c r="F2910" s="1188">
        <f>ROUND($A2910*$E2910,2)</f>
        <v>1029.44</v>
      </c>
      <c r="G2910" s="506" t="s">
        <v>142</v>
      </c>
      <c r="H2910" s="498"/>
      <c r="I2910" s="716"/>
      <c r="J2910" s="498"/>
      <c r="K2910" s="498" t="s">
        <v>10</v>
      </c>
      <c r="L2910" s="717" t="s">
        <v>143</v>
      </c>
      <c r="M2910" s="717"/>
      <c r="N2910" s="717"/>
      <c r="O2910" s="717"/>
      <c r="P2910" s="717"/>
      <c r="Q2910" s="44"/>
      <c r="T2910" s="1189" t="str">
        <f>IF(AND($R2914=0,$T2914=0),"0.00","mu: "&amp; ROUND(F2910/$C$5/($R2914+$T2914*$D$9),2))</f>
        <v>mu: 1</v>
      </c>
      <c r="W2910" s="507"/>
      <c r="AG2910" s="1190">
        <f>IF($E2910=0,0,ROUND($R2914*$S$5*$C$5/$A2910,2))</f>
        <v>1029.44</v>
      </c>
      <c r="AH2910" s="1190">
        <f>$AG2910*$A2910</f>
        <v>1029.44</v>
      </c>
      <c r="AI2910" s="1191">
        <f>$E2910-$AG2910</f>
        <v>0</v>
      </c>
      <c r="AJ2910" s="1191">
        <f>$A2910*$AI2910</f>
        <v>0</v>
      </c>
      <c r="AK2910" s="1192">
        <f>ROUND(($AG2910+$AI2910)*$A2910,2)</f>
        <v>1029.44</v>
      </c>
      <c r="AM2910" s="510">
        <f>ROUND(R2914,2)</f>
        <v>1029.44</v>
      </c>
      <c r="AN2910" s="511">
        <f>ROUND(T2914,2)</f>
        <v>0</v>
      </c>
      <c r="AO2910" s="512">
        <f>ROUND(AM2910+AN2910,2)*A2910</f>
        <v>1029.44</v>
      </c>
    </row>
    <row r="2911" spans="1:41" s="501" customFormat="1" ht="13.2">
      <c r="A2911" s="505"/>
      <c r="B2911"/>
      <c r="C2911" s="505"/>
      <c r="D2911" s="713" t="s">
        <v>1118</v>
      </c>
      <c r="F2911" s="498"/>
      <c r="G2911" s="3"/>
      <c r="H2911" s="498"/>
      <c r="I2911" s="716"/>
      <c r="J2911" s="498"/>
      <c r="K2911" s="498" t="s">
        <v>144</v>
      </c>
      <c r="L2911" s="498"/>
      <c r="M2911" s="498"/>
      <c r="N2911" s="498"/>
      <c r="O2911" s="498"/>
      <c r="P2911" s="498"/>
      <c r="Q2911" s="44"/>
      <c r="R2911" s="567"/>
      <c r="S2911" s="719"/>
      <c r="T2911" s="498"/>
    </row>
    <row r="2912" spans="1:41" s="893" customFormat="1" ht="13.2">
      <c r="A2912" s="971">
        <v>1</v>
      </c>
      <c r="B2912" s="972" t="s">
        <v>287</v>
      </c>
      <c r="C2912" s="972"/>
      <c r="D2912" s="972" t="s">
        <v>884</v>
      </c>
      <c r="E2912" s="972"/>
      <c r="F2912" s="944" t="s">
        <v>885</v>
      </c>
      <c r="G2912" s="973" t="s">
        <v>886</v>
      </c>
      <c r="H2912" s="979">
        <v>960</v>
      </c>
      <c r="I2912" s="972" t="s">
        <v>660</v>
      </c>
      <c r="J2912" s="972"/>
      <c r="K2912" s="972"/>
      <c r="L2912" s="972"/>
      <c r="M2912" s="972"/>
      <c r="N2912" s="972"/>
      <c r="O2912" s="974">
        <v>4</v>
      </c>
      <c r="P2912" s="975">
        <v>38594</v>
      </c>
      <c r="Q2912" s="976">
        <v>1029.44</v>
      </c>
      <c r="R2912" s="977">
        <f>$A2912*Q2912</f>
        <v>1029.44</v>
      </c>
      <c r="S2912" s="976"/>
      <c r="T2912" s="978">
        <f>$A2912*S2912*$T$1</f>
        <v>0</v>
      </c>
    </row>
    <row r="2913" spans="1:41" s="501" customFormat="1" ht="12">
      <c r="A2913" s="497"/>
      <c r="B2913" s="497"/>
      <c r="C2913" s="497"/>
      <c r="D2913" s="497"/>
      <c r="E2913" s="497"/>
      <c r="F2913" s="498"/>
      <c r="G2913" s="497"/>
      <c r="H2913" s="497"/>
      <c r="I2913" s="499"/>
      <c r="J2913" s="497"/>
      <c r="K2913" s="497"/>
      <c r="L2913" s="497"/>
      <c r="M2913" s="497"/>
      <c r="N2913" s="497"/>
      <c r="O2913" s="497"/>
      <c r="P2913" s="497"/>
      <c r="Q2913" s="499"/>
      <c r="R2913" s="720">
        <f>$A2913*Q2913</f>
        <v>0</v>
      </c>
      <c r="S2913" s="499"/>
      <c r="T2913" s="500">
        <f>$A2913*S2913*$T$1</f>
        <v>0</v>
      </c>
    </row>
    <row r="2914" spans="1:41" s="501" customFormat="1" ht="12.6" thickBot="1">
      <c r="A2914" s="513" t="s">
        <v>145</v>
      </c>
      <c r="B2914" s="514">
        <f>(R2913+T2913)</f>
        <v>0</v>
      </c>
      <c r="C2914" s="515"/>
      <c r="D2914" s="515"/>
      <c r="E2914" s="515"/>
      <c r="F2914" s="721"/>
      <c r="G2914" s="515" t="s">
        <v>146</v>
      </c>
      <c r="H2914" s="515"/>
      <c r="I2914" s="516"/>
      <c r="J2914" s="515"/>
      <c r="K2914" s="515" t="s">
        <v>10</v>
      </c>
      <c r="L2914" s="517" t="s">
        <v>143</v>
      </c>
      <c r="M2914" s="517"/>
      <c r="N2914" s="517"/>
      <c r="O2914" s="517"/>
      <c r="P2914" s="517"/>
      <c r="Q2914" s="722"/>
      <c r="R2914" s="723">
        <f>SUM(R2911:R2913)</f>
        <v>1029.44</v>
      </c>
      <c r="S2914" s="515"/>
      <c r="T2914" s="723">
        <f>SUM(T2911:T2913)</f>
        <v>0</v>
      </c>
      <c r="U2914" s="518"/>
      <c r="V2914" s="518"/>
      <c r="W2914" s="518"/>
      <c r="X2914" s="518"/>
      <c r="Y2914" s="518"/>
      <c r="Z2914" s="518"/>
      <c r="AA2914" s="518"/>
      <c r="AB2914" s="518"/>
      <c r="AC2914" s="518"/>
      <c r="AD2914" s="518"/>
      <c r="AE2914" s="518"/>
      <c r="AF2914" s="518"/>
      <c r="AG2914" s="518"/>
      <c r="AH2914" s="518"/>
      <c r="AI2914" s="518"/>
      <c r="AJ2914" s="518"/>
      <c r="AK2914" s="518"/>
      <c r="AL2914" s="518"/>
      <c r="AM2914" s="518"/>
      <c r="AN2914" s="518"/>
      <c r="AO2914" s="518"/>
    </row>
    <row r="2915" spans="1:41" s="501" customFormat="1" ht="12" thickTop="1">
      <c r="A2915" s="44"/>
      <c r="B2915" s="39"/>
      <c r="C2915" s="44"/>
      <c r="E2915" s="40" t="s">
        <v>138</v>
      </c>
      <c r="F2915" s="40" t="s">
        <v>139</v>
      </c>
      <c r="G2915" s="44"/>
      <c r="H2915" s="44"/>
      <c r="I2915" s="44"/>
      <c r="J2915" s="44"/>
      <c r="K2915" s="44" t="s">
        <v>140</v>
      </c>
      <c r="L2915" s="44"/>
      <c r="M2915" s="44"/>
      <c r="N2915" s="44"/>
      <c r="O2915" s="45"/>
      <c r="P2915" s="44"/>
      <c r="Q2915" s="44"/>
      <c r="R2915" s="44"/>
      <c r="S2915" s="44"/>
      <c r="T2915" s="39"/>
      <c r="AG2915" s="502" t="s">
        <v>247</v>
      </c>
      <c r="AH2915" s="502" t="s">
        <v>248</v>
      </c>
      <c r="AI2915" s="502" t="s">
        <v>249</v>
      </c>
      <c r="AJ2915" s="502" t="s">
        <v>250</v>
      </c>
      <c r="AK2915" s="502" t="s">
        <v>251</v>
      </c>
      <c r="AM2915" s="710" t="s">
        <v>260</v>
      </c>
      <c r="AN2915" s="711" t="s">
        <v>261</v>
      </c>
      <c r="AO2915" s="503" t="s">
        <v>257</v>
      </c>
    </row>
    <row r="2916" spans="1:41" s="501" customFormat="1" ht="12" customHeight="1">
      <c r="A2916" s="712">
        <v>1</v>
      </c>
      <c r="B2916" s="504" t="s">
        <v>287</v>
      </c>
      <c r="C2916" s="505"/>
      <c r="D2916" s="713" t="s">
        <v>608</v>
      </c>
      <c r="E2916" s="1187">
        <f>IF(AND($A2916=0,$A$1="DIF"),0, ROUND(ROUND(($R2920*$S$5+($T2920*$T$5))/$A2916,2)*$C$5,2))</f>
        <v>0</v>
      </c>
      <c r="F2916" s="1188">
        <f>ROUND($A2916*$E2916,2)</f>
        <v>0</v>
      </c>
      <c r="G2916" s="506" t="s">
        <v>142</v>
      </c>
      <c r="H2916" s="498"/>
      <c r="I2916" s="716"/>
      <c r="J2916" s="498"/>
      <c r="K2916" s="498" t="s">
        <v>10</v>
      </c>
      <c r="L2916" s="717" t="s">
        <v>143</v>
      </c>
      <c r="M2916" s="717"/>
      <c r="N2916" s="717"/>
      <c r="O2916" s="717"/>
      <c r="P2916" s="717"/>
      <c r="Q2916" s="892" t="s">
        <v>1119</v>
      </c>
      <c r="T2916" s="1189" t="str">
        <f>IF(AND($R2920=0,$T2920=0),"0.00","mu: "&amp; ROUND(F2916/$C$5/($R2920+$T2920*$D$9),2))</f>
        <v>0.00</v>
      </c>
      <c r="W2916" s="507"/>
      <c r="AG2916" s="1190">
        <f>IF($E2916=0,0,ROUND($R2920*$S$5*$C$5/$A2916,2))</f>
        <v>0</v>
      </c>
      <c r="AH2916" s="1190">
        <f>$AG2916*$A2916</f>
        <v>0</v>
      </c>
      <c r="AI2916" s="1191">
        <f>$E2916-$AG2916</f>
        <v>0</v>
      </c>
      <c r="AJ2916" s="1191">
        <f>$A2916*$AI2916</f>
        <v>0</v>
      </c>
      <c r="AK2916" s="1192">
        <f>ROUND(($AG2916+$AI2916)*$A2916,2)</f>
        <v>0</v>
      </c>
      <c r="AM2916" s="510">
        <f>ROUND(R2920,2)</f>
        <v>0</v>
      </c>
      <c r="AN2916" s="511">
        <f>ROUND(T2920,2)</f>
        <v>0</v>
      </c>
      <c r="AO2916" s="512">
        <f>ROUND(AM2916+AN2916,2)*A2916</f>
        <v>0</v>
      </c>
    </row>
    <row r="2917" spans="1:41" s="501" customFormat="1" ht="39.9" customHeight="1">
      <c r="A2917" s="505"/>
      <c r="B2917"/>
      <c r="C2917" s="505"/>
      <c r="D2917" s="1183" t="s">
        <v>1120</v>
      </c>
      <c r="E2917" s="1184"/>
      <c r="F2917" s="1184"/>
      <c r="G2917" s="1184"/>
      <c r="H2917" s="1184"/>
      <c r="I2917" s="1184"/>
      <c r="J2917" s="1184"/>
      <c r="K2917" s="1184"/>
      <c r="L2917" s="1184"/>
      <c r="M2917" s="1184"/>
      <c r="N2917" s="1184"/>
      <c r="O2917" s="1184"/>
      <c r="P2917" s="1184"/>
      <c r="Q2917" s="1184"/>
      <c r="R2917" s="1184"/>
      <c r="S2917" s="1184"/>
      <c r="T2917" s="1184"/>
    </row>
    <row r="2918" spans="1:41" s="893" customFormat="1" ht="13.2">
      <c r="A2918" s="971">
        <v>1</v>
      </c>
      <c r="B2918" s="972" t="s">
        <v>287</v>
      </c>
      <c r="C2918" s="972"/>
      <c r="D2918" s="972" t="s">
        <v>884</v>
      </c>
      <c r="E2918" s="972"/>
      <c r="F2918" s="944" t="s">
        <v>885</v>
      </c>
      <c r="G2918" s="973" t="s">
        <v>886</v>
      </c>
      <c r="H2918" s="979">
        <v>960</v>
      </c>
      <c r="I2918" s="972" t="s">
        <v>660</v>
      </c>
      <c r="J2918" s="972"/>
      <c r="K2918" s="972"/>
      <c r="L2918" s="972"/>
      <c r="M2918" s="972"/>
      <c r="N2918" s="972"/>
      <c r="O2918" s="974">
        <v>4</v>
      </c>
      <c r="P2918" s="975">
        <v>38594</v>
      </c>
      <c r="Q2918" s="976"/>
      <c r="R2918" s="977">
        <f>$A2918*Q2918</f>
        <v>0</v>
      </c>
      <c r="S2918" s="976"/>
      <c r="T2918" s="978">
        <f>$A2918*S2918*$T$1</f>
        <v>0</v>
      </c>
    </row>
    <row r="2919" spans="1:41" s="501" customFormat="1" ht="12">
      <c r="A2919" s="497"/>
      <c r="B2919" s="497"/>
      <c r="C2919" s="497"/>
      <c r="D2919" s="497"/>
      <c r="E2919" s="497"/>
      <c r="F2919" s="498"/>
      <c r="G2919" s="497"/>
      <c r="H2919" s="497"/>
      <c r="I2919" s="499"/>
      <c r="J2919" s="497"/>
      <c r="K2919" s="497"/>
      <c r="L2919" s="497"/>
      <c r="M2919" s="497"/>
      <c r="N2919" s="497"/>
      <c r="O2919" s="497"/>
      <c r="P2919" s="497"/>
      <c r="Q2919" s="499"/>
      <c r="R2919" s="720">
        <f>$A2919*Q2919</f>
        <v>0</v>
      </c>
      <c r="S2919" s="499"/>
      <c r="T2919" s="500">
        <f>$A2919*S2919*$T$1</f>
        <v>0</v>
      </c>
    </row>
    <row r="2920" spans="1:41" s="501" customFormat="1" ht="12.6" thickBot="1">
      <c r="A2920" s="513" t="s">
        <v>145</v>
      </c>
      <c r="B2920" s="514">
        <f>(R2919+T2919)</f>
        <v>0</v>
      </c>
      <c r="C2920" s="515"/>
      <c r="D2920" s="515"/>
      <c r="E2920" s="515"/>
      <c r="F2920" s="721"/>
      <c r="G2920" s="515" t="s">
        <v>146</v>
      </c>
      <c r="H2920" s="515"/>
      <c r="I2920" s="516"/>
      <c r="J2920" s="515"/>
      <c r="K2920" s="515" t="s">
        <v>10</v>
      </c>
      <c r="L2920" s="517" t="s">
        <v>143</v>
      </c>
      <c r="M2920" s="517"/>
      <c r="N2920" s="517"/>
      <c r="O2920" s="517"/>
      <c r="P2920" s="517"/>
      <c r="Q2920" s="722"/>
      <c r="R2920" s="723">
        <f>SUM(R2917:R2919)</f>
        <v>0</v>
      </c>
      <c r="S2920" s="515"/>
      <c r="T2920" s="723">
        <f>SUM(T2917:T2919)</f>
        <v>0</v>
      </c>
      <c r="U2920" s="518"/>
      <c r="V2920" s="518"/>
      <c r="W2920" s="518"/>
      <c r="X2920" s="518"/>
      <c r="Y2920" s="518"/>
      <c r="Z2920" s="518"/>
      <c r="AA2920" s="518"/>
      <c r="AB2920" s="518"/>
      <c r="AC2920" s="518"/>
      <c r="AD2920" s="518"/>
      <c r="AE2920" s="518"/>
      <c r="AF2920" s="518"/>
      <c r="AG2920" s="518"/>
      <c r="AH2920" s="518"/>
      <c r="AI2920" s="518"/>
      <c r="AJ2920" s="518"/>
      <c r="AK2920" s="518"/>
      <c r="AL2920" s="518"/>
      <c r="AM2920" s="518"/>
      <c r="AN2920" s="518"/>
      <c r="AO2920" s="518"/>
    </row>
    <row r="2921" spans="1:41" s="501" customFormat="1" ht="12" thickTop="1">
      <c r="A2921" s="44"/>
      <c r="B2921" s="39"/>
      <c r="C2921" s="44"/>
      <c r="E2921" s="40" t="s">
        <v>138</v>
      </c>
      <c r="F2921" s="40" t="s">
        <v>139</v>
      </c>
      <c r="G2921" s="44"/>
      <c r="H2921" s="44"/>
      <c r="I2921" s="44"/>
      <c r="J2921" s="44"/>
      <c r="K2921" s="44" t="s">
        <v>140</v>
      </c>
      <c r="L2921" s="44"/>
      <c r="M2921" s="44"/>
      <c r="N2921" s="44"/>
      <c r="O2921" s="45"/>
      <c r="P2921" s="44"/>
      <c r="Q2921" s="44"/>
      <c r="R2921" s="44"/>
      <c r="S2921" s="44"/>
      <c r="T2921" s="39"/>
      <c r="AG2921" s="502" t="s">
        <v>247</v>
      </c>
      <c r="AH2921" s="502" t="s">
        <v>248</v>
      </c>
      <c r="AI2921" s="502" t="s">
        <v>249</v>
      </c>
      <c r="AJ2921" s="502" t="s">
        <v>250</v>
      </c>
      <c r="AK2921" s="502" t="s">
        <v>251</v>
      </c>
      <c r="AM2921" s="710" t="s">
        <v>260</v>
      </c>
      <c r="AN2921" s="711" t="s">
        <v>261</v>
      </c>
      <c r="AO2921" s="503" t="s">
        <v>257</v>
      </c>
    </row>
    <row r="2922" spans="1:41" s="501" customFormat="1" ht="12" customHeight="1">
      <c r="A2922" s="712">
        <v>1</v>
      </c>
      <c r="B2922" s="504" t="s">
        <v>287</v>
      </c>
      <c r="C2922" s="505"/>
      <c r="D2922" s="713" t="s">
        <v>609</v>
      </c>
      <c r="E2922" s="1187">
        <f>IF(AND($A2922=0,$A$1="DIF"),0, ROUND(ROUND(($R2926*$S$5+($T2926*$T$5))/$A2922,2)*$C$5,2))</f>
        <v>615.03</v>
      </c>
      <c r="F2922" s="1188">
        <f>ROUND($A2922*$E2922,2)</f>
        <v>615.03</v>
      </c>
      <c r="G2922" s="506" t="s">
        <v>142</v>
      </c>
      <c r="H2922" s="498"/>
      <c r="I2922" s="716"/>
      <c r="J2922" s="498"/>
      <c r="K2922" s="498" t="s">
        <v>10</v>
      </c>
      <c r="L2922" s="717" t="s">
        <v>143</v>
      </c>
      <c r="M2922" s="717"/>
      <c r="N2922" s="717"/>
      <c r="O2922" s="717"/>
      <c r="P2922" s="717"/>
      <c r="Q2922" s="44"/>
      <c r="T2922" s="1189" t="str">
        <f>IF(AND($R2926=0,$T2926=0),"0.00","mu: "&amp; ROUND(F2922/$C$5/($R2926+$T2926*$D$9),2))</f>
        <v>mu: 1</v>
      </c>
      <c r="W2922" s="507"/>
      <c r="AG2922" s="1190">
        <f>IF($E2922=0,0,ROUND($R2926*$S$5*$C$5/$A2922,2))</f>
        <v>615.03</v>
      </c>
      <c r="AH2922" s="1190">
        <f>$AG2922*$A2922</f>
        <v>615.03</v>
      </c>
      <c r="AI2922" s="1191">
        <f>$E2922-$AG2922</f>
        <v>0</v>
      </c>
      <c r="AJ2922" s="1191">
        <f>$A2922*$AI2922</f>
        <v>0</v>
      </c>
      <c r="AK2922" s="1192">
        <f>ROUND(($AG2922+$AI2922)*$A2922,2)</f>
        <v>615.03</v>
      </c>
      <c r="AM2922" s="510">
        <f>ROUND(R2926,2)</f>
        <v>615.03</v>
      </c>
      <c r="AN2922" s="511">
        <f>ROUND(T2926,2)</f>
        <v>0</v>
      </c>
      <c r="AO2922" s="512">
        <f>ROUND(AM2922+AN2922,2)*A2922</f>
        <v>615.03</v>
      </c>
    </row>
    <row r="2923" spans="1:41" s="501" customFormat="1" ht="39.9" customHeight="1">
      <c r="A2923" s="505"/>
      <c r="B2923"/>
      <c r="C2923" s="505"/>
      <c r="D2923" s="1183" t="s">
        <v>1121</v>
      </c>
      <c r="E2923" s="1184"/>
      <c r="F2923" s="1184"/>
      <c r="G2923" s="1184"/>
      <c r="H2923" s="1184"/>
      <c r="I2923" s="1184"/>
      <c r="J2923" s="1184"/>
      <c r="K2923" s="1184"/>
      <c r="L2923" s="1184"/>
      <c r="M2923" s="1184"/>
      <c r="N2923" s="1184"/>
      <c r="O2923" s="1184"/>
      <c r="P2923" s="1184"/>
      <c r="Q2923" s="1184"/>
      <c r="R2923" s="1184"/>
      <c r="S2923" s="1184"/>
      <c r="T2923" s="1184"/>
    </row>
    <row r="2924" spans="1:41" s="893" customFormat="1" ht="13.2">
      <c r="A2924" s="971">
        <v>1</v>
      </c>
      <c r="B2924" s="972" t="s">
        <v>287</v>
      </c>
      <c r="C2924" s="972"/>
      <c r="D2924" s="972" t="s">
        <v>884</v>
      </c>
      <c r="E2924" s="972"/>
      <c r="F2924" s="944" t="s">
        <v>885</v>
      </c>
      <c r="G2924" s="973" t="s">
        <v>886</v>
      </c>
      <c r="H2924" s="979">
        <v>960</v>
      </c>
      <c r="I2924" s="972" t="s">
        <v>660</v>
      </c>
      <c r="J2924" s="972"/>
      <c r="K2924" s="972"/>
      <c r="L2924" s="972"/>
      <c r="M2924" s="972"/>
      <c r="N2924" s="972"/>
      <c r="O2924" s="974">
        <v>4</v>
      </c>
      <c r="P2924" s="975">
        <v>38594</v>
      </c>
      <c r="Q2924" s="976">
        <v>615.03</v>
      </c>
      <c r="R2924" s="977">
        <f>$A2924*Q2924</f>
        <v>615.03</v>
      </c>
      <c r="S2924" s="976"/>
      <c r="T2924" s="978">
        <f>$A2924*S2924*$T$1</f>
        <v>0</v>
      </c>
    </row>
    <row r="2925" spans="1:41" s="501" customFormat="1" ht="12">
      <c r="A2925" s="497"/>
      <c r="B2925" s="497"/>
      <c r="C2925" s="497"/>
      <c r="D2925" s="497"/>
      <c r="E2925" s="497"/>
      <c r="F2925" s="498"/>
      <c r="G2925" s="497"/>
      <c r="H2925" s="497"/>
      <c r="I2925" s="499"/>
      <c r="J2925" s="497"/>
      <c r="K2925" s="497"/>
      <c r="L2925" s="497"/>
      <c r="M2925" s="497"/>
      <c r="N2925" s="497"/>
      <c r="O2925" s="497"/>
      <c r="P2925" s="497"/>
      <c r="Q2925" s="499"/>
      <c r="R2925" s="720">
        <f>$A2925*Q2925</f>
        <v>0</v>
      </c>
      <c r="S2925" s="499"/>
      <c r="T2925" s="500">
        <f>$A2925*S2925*$T$1</f>
        <v>0</v>
      </c>
    </row>
    <row r="2926" spans="1:41" s="501" customFormat="1" ht="12.6" thickBot="1">
      <c r="A2926" s="513" t="s">
        <v>145</v>
      </c>
      <c r="B2926" s="514">
        <f>(R2925+T2925)</f>
        <v>0</v>
      </c>
      <c r="C2926" s="515"/>
      <c r="D2926" s="515"/>
      <c r="E2926" s="515"/>
      <c r="F2926" s="721"/>
      <c r="G2926" s="515" t="s">
        <v>146</v>
      </c>
      <c r="H2926" s="515"/>
      <c r="I2926" s="516"/>
      <c r="J2926" s="515"/>
      <c r="K2926" s="515" t="s">
        <v>10</v>
      </c>
      <c r="L2926" s="517" t="s">
        <v>143</v>
      </c>
      <c r="M2926" s="517"/>
      <c r="N2926" s="517"/>
      <c r="O2926" s="517"/>
      <c r="P2926" s="517"/>
      <c r="Q2926" s="722"/>
      <c r="R2926" s="723">
        <f>SUM(R2923:R2925)</f>
        <v>615.03</v>
      </c>
      <c r="S2926" s="515"/>
      <c r="T2926" s="723">
        <f>SUM(T2923:T2925)</f>
        <v>0</v>
      </c>
      <c r="U2926" s="518"/>
      <c r="V2926" s="518"/>
      <c r="W2926" s="518"/>
      <c r="X2926" s="518"/>
      <c r="Y2926" s="518"/>
      <c r="Z2926" s="518"/>
      <c r="AA2926" s="518"/>
      <c r="AB2926" s="518"/>
      <c r="AC2926" s="518"/>
      <c r="AD2926" s="518"/>
      <c r="AE2926" s="518"/>
      <c r="AF2926" s="518"/>
      <c r="AG2926" s="518"/>
      <c r="AH2926" s="518"/>
      <c r="AI2926" s="518"/>
      <c r="AJ2926" s="518"/>
      <c r="AK2926" s="518"/>
      <c r="AL2926" s="518"/>
      <c r="AM2926" s="518"/>
      <c r="AN2926" s="518"/>
      <c r="AO2926" s="518"/>
    </row>
    <row r="2927" spans="1:41" s="501" customFormat="1" thickTop="1">
      <c r="A2927" s="44"/>
      <c r="B2927" s="39"/>
      <c r="C2927" s="44"/>
      <c r="E2927" s="40" t="s">
        <v>138</v>
      </c>
      <c r="F2927"/>
      <c r="G2927" s="44"/>
      <c r="H2927" s="44"/>
      <c r="I2927" s="44"/>
      <c r="J2927" s="44"/>
      <c r="K2927" s="44" t="s">
        <v>140</v>
      </c>
      <c r="L2927" s="741"/>
      <c r="M2927" s="44"/>
      <c r="N2927" s="44"/>
      <c r="O2927" s="45"/>
      <c r="P2927" s="44"/>
      <c r="Q2927" s="44"/>
      <c r="R2927" s="44"/>
      <c r="S2927" s="44"/>
      <c r="T2927" s="39"/>
      <c r="AG2927" s="502" t="s">
        <v>247</v>
      </c>
      <c r="AH2927" s="1129"/>
      <c r="AI2927" s="502" t="s">
        <v>249</v>
      </c>
      <c r="AM2927" s="710" t="s">
        <v>260</v>
      </c>
      <c r="AN2927" s="711" t="s">
        <v>261</v>
      </c>
      <c r="AO2927" s="503" t="s">
        <v>257</v>
      </c>
    </row>
    <row r="2928" spans="1:41" s="501" customFormat="1" ht="13.2">
      <c r="A2928" s="712">
        <v>1</v>
      </c>
      <c r="B2928" s="504" t="s">
        <v>141</v>
      </c>
      <c r="C2928" s="505"/>
      <c r="D2928" s="713" t="s">
        <v>590</v>
      </c>
      <c r="E2928" s="1252">
        <f>IF(AND($A2928=0,$A$1="DIF"),0, ROUND(ROUND(($R2932*$S$5+($T2932*$T$5))/$A2928,2)*$C$5,2))</f>
        <v>51.47</v>
      </c>
      <c r="F2928" s="1253"/>
      <c r="G2928" s="506" t="s">
        <v>142</v>
      </c>
      <c r="H2928" s="498"/>
      <c r="I2928" s="716"/>
      <c r="J2928" s="498"/>
      <c r="K2928" s="747" t="s">
        <v>1085</v>
      </c>
      <c r="L2928" s="741" t="s">
        <v>143</v>
      </c>
      <c r="M2928" s="717"/>
      <c r="N2928" s="717"/>
      <c r="O2928" s="717"/>
      <c r="P2928" s="717"/>
      <c r="Q2928" s="44"/>
      <c r="T2928" s="1189" t="str">
        <f>IF(AND($R2932=0,$T2932=0),"0.00","mu: "&amp; ROUND(A2928*E2928/$C$5/($R2932+$T2932*$D$9),2))</f>
        <v>mu: 1</v>
      </c>
      <c r="W2928" s="507"/>
      <c r="AG2928" s="1191">
        <f>IF($E2928=0,0,ROUND($R2932*$S$5*$C$5/$A2928,2))</f>
        <v>51.47</v>
      </c>
      <c r="AH2928" s="1129"/>
      <c r="AI2928" s="1191">
        <f>$E2928-$AG2928</f>
        <v>0</v>
      </c>
      <c r="AM2928" s="510">
        <f>ROUND(R2932,2)</f>
        <v>51.47</v>
      </c>
      <c r="AN2928" s="511">
        <f>ROUND(T2932,2)</f>
        <v>0</v>
      </c>
      <c r="AO2928" s="512">
        <f>ROUND(AM2928+AN2928,2)*A2928</f>
        <v>51.47</v>
      </c>
    </row>
    <row r="2929" spans="1:41" s="501" customFormat="1" ht="13.2">
      <c r="A2929" s="505"/>
      <c r="B2929"/>
      <c r="C2929" s="505"/>
      <c r="D2929" s="1183" t="s">
        <v>1122</v>
      </c>
      <c r="E2929" s="1184"/>
      <c r="F2929" s="1184"/>
      <c r="G2929" s="1184"/>
      <c r="H2929" s="1184"/>
      <c r="I2929" s="1184"/>
      <c r="J2929" s="1184"/>
      <c r="K2929" s="1184"/>
      <c r="L2929" s="1184"/>
      <c r="M2929" s="1184"/>
      <c r="N2929" s="1184"/>
      <c r="O2929" s="1184"/>
      <c r="P2929" s="1184"/>
      <c r="Q2929" s="1184"/>
      <c r="R2929" s="1184"/>
      <c r="S2929" s="1184"/>
      <c r="T2929" s="1184"/>
    </row>
    <row r="2930" spans="1:41" s="893" customFormat="1" ht="13.2">
      <c r="A2930" s="971">
        <v>1</v>
      </c>
      <c r="B2930" s="972" t="s">
        <v>287</v>
      </c>
      <c r="C2930" s="972"/>
      <c r="D2930" s="972" t="s">
        <v>884</v>
      </c>
      <c r="E2930" s="972"/>
      <c r="F2930" s="944" t="s">
        <v>885</v>
      </c>
      <c r="G2930" s="973" t="s">
        <v>886</v>
      </c>
      <c r="H2930" s="1131" t="s">
        <v>1086</v>
      </c>
      <c r="I2930" s="972" t="s">
        <v>660</v>
      </c>
      <c r="J2930" s="972"/>
      <c r="K2930" s="972"/>
      <c r="L2930" s="1132" t="s">
        <v>1086</v>
      </c>
      <c r="M2930" s="972"/>
      <c r="N2930" s="972"/>
      <c r="O2930" s="974">
        <v>4</v>
      </c>
      <c r="P2930" s="975">
        <v>38594</v>
      </c>
      <c r="Q2930" s="976">
        <v>51.47</v>
      </c>
      <c r="R2930" s="977">
        <f>$A2930*Q2930</f>
        <v>51.47</v>
      </c>
      <c r="S2930" s="976"/>
      <c r="T2930" s="978">
        <f>$A2930*S2930*$T$1</f>
        <v>0</v>
      </c>
    </row>
    <row r="2931" spans="1:41" s="501" customFormat="1" ht="12">
      <c r="A2931" s="497"/>
      <c r="B2931" s="497"/>
      <c r="C2931" s="497"/>
      <c r="D2931" s="497"/>
      <c r="E2931" s="497"/>
      <c r="F2931" s="498"/>
      <c r="G2931" s="497"/>
      <c r="H2931" s="497"/>
      <c r="I2931" s="499"/>
      <c r="J2931" s="497"/>
      <c r="K2931" s="497"/>
      <c r="L2931" s="741"/>
      <c r="M2931" s="497"/>
      <c r="N2931" s="497"/>
      <c r="O2931" s="497"/>
      <c r="P2931" s="497"/>
      <c r="Q2931" s="499"/>
      <c r="R2931" s="720">
        <f>$A2931*Q2931</f>
        <v>0</v>
      </c>
      <c r="S2931" s="499"/>
      <c r="T2931" s="500">
        <f>$A2931*S2931*$T$1</f>
        <v>0</v>
      </c>
    </row>
    <row r="2932" spans="1:41" s="501" customFormat="1" ht="12.6" thickBot="1">
      <c r="A2932" s="513" t="s">
        <v>145</v>
      </c>
      <c r="B2932" s="514">
        <f>(R2931+T2931)</f>
        <v>0</v>
      </c>
      <c r="C2932" s="515"/>
      <c r="D2932" s="515"/>
      <c r="E2932" s="515"/>
      <c r="F2932" s="721"/>
      <c r="G2932" s="515" t="s">
        <v>146</v>
      </c>
      <c r="H2932" s="515"/>
      <c r="I2932" s="516"/>
      <c r="J2932" s="515"/>
      <c r="K2932" s="1133"/>
      <c r="L2932" s="818" t="s">
        <v>1085</v>
      </c>
      <c r="M2932" s="517"/>
      <c r="N2932" s="517"/>
      <c r="O2932" s="517"/>
      <c r="P2932" s="517"/>
      <c r="Q2932" s="722"/>
      <c r="R2932" s="723">
        <f>SUM(R2929:R2931)</f>
        <v>51.47</v>
      </c>
      <c r="S2932" s="515"/>
      <c r="T2932" s="723">
        <f>SUM(T2929:T2931)</f>
        <v>0</v>
      </c>
      <c r="U2932" s="518"/>
      <c r="V2932" s="518"/>
      <c r="W2932" s="518"/>
      <c r="X2932" s="518"/>
      <c r="Y2932" s="518"/>
      <c r="Z2932" s="518"/>
      <c r="AA2932" s="518"/>
      <c r="AB2932" s="518"/>
      <c r="AC2932" s="518"/>
      <c r="AD2932" s="518"/>
      <c r="AE2932" s="518"/>
      <c r="AF2932" s="518"/>
      <c r="AG2932" s="518"/>
      <c r="AH2932" s="518"/>
      <c r="AI2932" s="518"/>
      <c r="AJ2932" s="518"/>
      <c r="AK2932" s="518"/>
      <c r="AL2932" s="518"/>
      <c r="AM2932" s="518"/>
      <c r="AN2932" s="518"/>
      <c r="AO2932" s="518"/>
    </row>
    <row r="2933" spans="1:41" s="501" customFormat="1" thickTop="1">
      <c r="A2933" s="44"/>
      <c r="B2933" s="39"/>
      <c r="C2933" s="44"/>
      <c r="E2933" s="40" t="s">
        <v>138</v>
      </c>
      <c r="F2933" s="40" t="s">
        <v>139</v>
      </c>
      <c r="G2933" s="44"/>
      <c r="H2933" s="44"/>
      <c r="I2933" s="44"/>
      <c r="J2933" s="44"/>
      <c r="K2933" s="44" t="s">
        <v>140</v>
      </c>
      <c r="L2933" s="737"/>
      <c r="M2933" s="44"/>
      <c r="N2933" s="44"/>
      <c r="O2933" s="45"/>
      <c r="P2933" s="44"/>
      <c r="Q2933"/>
      <c r="R2933"/>
      <c r="S2933"/>
      <c r="T2933" s="39"/>
      <c r="AG2933" s="502" t="s">
        <v>247</v>
      </c>
      <c r="AH2933" s="502" t="s">
        <v>248</v>
      </c>
      <c r="AI2933" s="502" t="s">
        <v>249</v>
      </c>
      <c r="AJ2933" s="502" t="s">
        <v>250</v>
      </c>
      <c r="AK2933" s="502" t="s">
        <v>251</v>
      </c>
      <c r="AM2933" s="710" t="s">
        <v>260</v>
      </c>
      <c r="AN2933" s="711" t="s">
        <v>261</v>
      </c>
      <c r="AO2933" s="503" t="s">
        <v>257</v>
      </c>
    </row>
    <row r="2934" spans="1:41" s="501" customFormat="1" ht="13.2">
      <c r="A2934" s="712">
        <v>1</v>
      </c>
      <c r="B2934" s="504" t="s">
        <v>287</v>
      </c>
      <c r="C2934" s="505"/>
      <c r="D2934" s="713" t="s">
        <v>610</v>
      </c>
      <c r="E2934" s="738">
        <f>IF(AND($A2934=0,$A$1="DIF"),0, ROUND(ROUND(SUMIF($L2936:$L2941,"SUBI",$E2936:$E2941)/$A2934,2)*$C$12,2))</f>
        <v>0</v>
      </c>
      <c r="F2934" s="739">
        <f>ROUND($A2934*$E2934,2)</f>
        <v>0</v>
      </c>
      <c r="G2934" s="506" t="s">
        <v>142</v>
      </c>
      <c r="H2934" s="498"/>
      <c r="I2934" s="716"/>
      <c r="J2934" s="498"/>
      <c r="K2934" s="740"/>
      <c r="L2934" s="741" t="s">
        <v>143</v>
      </c>
      <c r="M2934" s="717"/>
      <c r="N2934" s="717"/>
      <c r="O2934" s="717"/>
      <c r="P2934" s="717"/>
      <c r="Q2934" s="943" t="s">
        <v>1119</v>
      </c>
      <c r="R2934" s="943" t="s">
        <v>1123</v>
      </c>
      <c r="S2934"/>
      <c r="T2934" s="742" t="str">
        <f>IF(AND($R2946=0,$T2946=0),"0.00","mu :" &amp; ROUND($F2934/$C$12/($R2946+$T2946*$D$9),2))</f>
        <v>0.00</v>
      </c>
      <c r="W2934" s="507"/>
      <c r="AG2934" s="743">
        <f>IF(A2934=0,0,ROUND(SUM(AG2936:AG2946)/A2934,2))</f>
        <v>0</v>
      </c>
      <c r="AH2934" s="743">
        <f>$AG2934*$A2934</f>
        <v>0</v>
      </c>
      <c r="AI2934" s="743">
        <f>$E2934-$AG2934</f>
        <v>0</v>
      </c>
      <c r="AJ2934" s="743">
        <f>$A2934*$AI2934</f>
        <v>0</v>
      </c>
      <c r="AK2934" s="744">
        <f>ROUND(($AG2934+$AI2934)*$A2934,2)</f>
        <v>0</v>
      </c>
      <c r="AM2934" s="510">
        <f>ROUND(R2946,2)</f>
        <v>0</v>
      </c>
      <c r="AN2934" s="511">
        <f>ROUND(T2946,2)</f>
        <v>0</v>
      </c>
      <c r="AO2934" s="512">
        <f>ROUND(AM2934+AN2934,2)*A2934</f>
        <v>0</v>
      </c>
    </row>
    <row r="2935" spans="1:41" s="501" customFormat="1" ht="53.4" customHeight="1">
      <c r="A2935" s="745"/>
      <c r="B2935" s="746"/>
      <c r="C2935" s="505"/>
      <c r="D2935" s="1183" t="s">
        <v>1124</v>
      </c>
      <c r="E2935" s="1184"/>
      <c r="F2935" s="1184"/>
      <c r="G2935" s="1184"/>
      <c r="H2935" s="1184"/>
      <c r="I2935" s="1184"/>
      <c r="J2935" s="1184"/>
      <c r="K2935" s="1184"/>
      <c r="L2935" s="1184"/>
      <c r="M2935" s="1184"/>
      <c r="N2935" s="1184"/>
      <c r="O2935" s="1184"/>
      <c r="P2935" s="1184"/>
      <c r="Q2935" s="1184"/>
      <c r="R2935" s="1184"/>
      <c r="S2935" s="1184"/>
      <c r="T2935" s="1184"/>
    </row>
    <row r="2936" spans="1:41" s="501" customFormat="1" ht="12">
      <c r="A2936" s="821"/>
      <c r="B2936" s="822"/>
      <c r="C2936" s="497"/>
      <c r="D2936" s="498"/>
      <c r="E2936" s="823">
        <f>F2934/$C$12-SUMIF($L2933:$L2946,"SUBI",$E2933:$E2946)</f>
        <v>0</v>
      </c>
      <c r="F2936" s="824" t="s">
        <v>572</v>
      </c>
      <c r="G2936" s="753"/>
      <c r="H2936" s="753"/>
      <c r="I2936" s="754"/>
      <c r="J2936" s="753"/>
      <c r="K2936" s="753"/>
      <c r="L2936" s="755"/>
      <c r="M2936" s="756"/>
      <c r="N2936" s="756"/>
      <c r="O2936" s="756"/>
      <c r="P2936" s="756"/>
      <c r="Q2936" s="757"/>
      <c r="R2936" s="758"/>
      <c r="S2936" s="757"/>
      <c r="T2936" s="759"/>
    </row>
    <row r="2937" spans="1:41" s="501" customFormat="1" ht="12" customHeight="1">
      <c r="A2937" s="760"/>
      <c r="B2937" s="761"/>
      <c r="C2937" s="762"/>
      <c r="D2937" s="762" t="str">
        <f>$F$2</f>
        <v>Electrical</v>
      </c>
      <c r="E2937" s="762">
        <f>ROUND(($R2940*$S$2 + ($T2940*$T$2)), 2)</f>
        <v>0</v>
      </c>
      <c r="F2937" s="763">
        <f>$E2937*$C$12</f>
        <v>0</v>
      </c>
      <c r="G2937" s="567"/>
      <c r="H2937" s="764"/>
      <c r="I2937" s="567"/>
      <c r="J2937" s="45"/>
      <c r="K2937" s="765" t="s">
        <v>3</v>
      </c>
      <c r="L2937" s="766" t="s">
        <v>573</v>
      </c>
      <c r="M2937" s="567"/>
      <c r="N2937" s="567"/>
      <c r="O2937" s="45"/>
      <c r="P2937" s="567"/>
      <c r="Q2937" s="567"/>
      <c r="R2937"/>
      <c r="S2937"/>
      <c r="T2937"/>
    </row>
    <row r="2938" spans="1:41" s="893" customFormat="1" ht="13.2">
      <c r="A2938" s="87">
        <v>1</v>
      </c>
      <c r="B2938" s="893" t="s">
        <v>141</v>
      </c>
      <c r="D2938" s="893" t="s">
        <v>1125</v>
      </c>
      <c r="G2938" s="894" t="s">
        <v>1126</v>
      </c>
      <c r="H2938" s="895">
        <v>880</v>
      </c>
      <c r="I2938" s="893" t="s">
        <v>643</v>
      </c>
      <c r="O2938" s="896">
        <v>3</v>
      </c>
      <c r="P2938" s="897"/>
      <c r="Q2938" s="898"/>
      <c r="R2938" s="899">
        <f>$A2938*Q2938</f>
        <v>0</v>
      </c>
      <c r="S2938" s="898"/>
      <c r="T2938" s="900">
        <f>$A2938*S2938*$T$1</f>
        <v>0</v>
      </c>
    </row>
    <row r="2939" spans="1:41" s="501" customFormat="1" ht="13.95" customHeight="1">
      <c r="A2939" s="767"/>
      <c r="B2939" s="567"/>
      <c r="C2939" s="567"/>
      <c r="D2939" s="567"/>
      <c r="E2939" s="567"/>
      <c r="F2939" s="567"/>
      <c r="G2939" s="567"/>
      <c r="H2939" s="764"/>
      <c r="I2939" s="567"/>
      <c r="J2939" s="45"/>
      <c r="K2939" s="769"/>
      <c r="L2939" s="770"/>
      <c r="M2939" s="567"/>
      <c r="N2939" s="567"/>
      <c r="O2939" s="45"/>
      <c r="P2939" s="567"/>
      <c r="Q2939" s="567"/>
      <c r="R2939" s="771">
        <f>$A2939*Q2939</f>
        <v>0</v>
      </c>
      <c r="S2939" s="567"/>
      <c r="T2939" s="500">
        <f>$A2939*S2939*$T$1</f>
        <v>0</v>
      </c>
    </row>
    <row r="2940" spans="1:41" s="501" customFormat="1" ht="12">
      <c r="A2940" s="825" t="s">
        <v>145</v>
      </c>
      <c r="B2940" s="826">
        <f>(R2939+T2939)</f>
        <v>0</v>
      </c>
      <c r="C2940" s="497"/>
      <c r="G2940" s="774"/>
      <c r="H2940" s="774"/>
      <c r="I2940" s="774"/>
      <c r="J2940" s="774"/>
      <c r="K2940" s="750" t="s">
        <v>3</v>
      </c>
      <c r="L2940" s="775" t="s">
        <v>573</v>
      </c>
      <c r="M2940" s="774"/>
      <c r="N2940" s="774"/>
      <c r="O2940" s="774"/>
      <c r="P2940" s="774"/>
      <c r="Q2940" s="776"/>
      <c r="R2940" s="777">
        <f>SUM(R2937:R2939)</f>
        <v>0</v>
      </c>
      <c r="S2940" s="778"/>
      <c r="T2940" s="777">
        <f>SUM(T2937:T2939)</f>
        <v>0</v>
      </c>
      <c r="AG2940" s="779">
        <f>ROUND($R2940*$S$2,2)</f>
        <v>0</v>
      </c>
    </row>
    <row r="2941" spans="1:41" s="501" customFormat="1" ht="12" customHeight="1">
      <c r="A2941" s="800"/>
      <c r="B2941" s="1254"/>
      <c r="C2941" s="1255"/>
      <c r="D2941" s="1255" t="str">
        <f>$F$5</f>
        <v>Megaline</v>
      </c>
      <c r="E2941" s="1255">
        <f>ROUND(($R2944*$S$5 + ($T2944*$T$5)),2)</f>
        <v>0</v>
      </c>
      <c r="F2941" s="1256">
        <f ca="1">$F2934-SUMIF($L2936:$P2938,"SUBI",$F2936:$F2938)</f>
        <v>0</v>
      </c>
      <c r="G2941" s="499"/>
      <c r="H2941" s="499"/>
      <c r="I2941" s="499"/>
      <c r="J2941" s="499"/>
      <c r="K2941" s="765" t="s">
        <v>10</v>
      </c>
      <c r="L2941" s="766" t="s">
        <v>573</v>
      </c>
      <c r="M2941" s="499"/>
      <c r="N2941" s="499"/>
      <c r="O2941" s="499"/>
      <c r="P2941" s="499"/>
      <c r="Q2941" s="499"/>
      <c r="R2941" s="784"/>
      <c r="S2941" s="499"/>
      <c r="T2941" s="784"/>
    </row>
    <row r="2942" spans="1:41" s="893" customFormat="1" ht="13.2">
      <c r="A2942" s="971">
        <v>1</v>
      </c>
      <c r="B2942" s="972" t="s">
        <v>287</v>
      </c>
      <c r="C2942" s="972"/>
      <c r="D2942" s="972" t="s">
        <v>884</v>
      </c>
      <c r="E2942" s="1052" t="s">
        <v>1119</v>
      </c>
      <c r="F2942" s="944" t="s">
        <v>885</v>
      </c>
      <c r="G2942" s="973" t="s">
        <v>886</v>
      </c>
      <c r="H2942" s="979">
        <v>960</v>
      </c>
      <c r="I2942" s="972" t="s">
        <v>660</v>
      </c>
      <c r="J2942" s="972"/>
      <c r="K2942" s="972"/>
      <c r="L2942" s="972"/>
      <c r="M2942" s="972"/>
      <c r="N2942" s="972"/>
      <c r="O2942" s="974">
        <v>4</v>
      </c>
      <c r="P2942" s="975">
        <v>38594</v>
      </c>
      <c r="Q2942" s="976"/>
      <c r="R2942" s="977">
        <f>$A2942*Q2942</f>
        <v>0</v>
      </c>
      <c r="S2942" s="976"/>
      <c r="T2942" s="978">
        <f>$A2942*S2942*$T$1</f>
        <v>0</v>
      </c>
    </row>
    <row r="2943" spans="1:41" s="501" customFormat="1" ht="13.2">
      <c r="A2943" s="767"/>
      <c r="B2943" s="567"/>
      <c r="C2943" s="567"/>
      <c r="D2943" s="3"/>
      <c r="E2943" s="567"/>
      <c r="F2943" s="567"/>
      <c r="G2943" s="567"/>
      <c r="H2943" s="567"/>
      <c r="I2943" s="567"/>
      <c r="J2943" s="567"/>
      <c r="K2943" s="567"/>
      <c r="L2943" s="770"/>
      <c r="M2943" s="567"/>
      <c r="N2943" s="567"/>
      <c r="O2943" s="567"/>
      <c r="P2943" s="567"/>
      <c r="Q2943" s="567"/>
      <c r="R2943" s="771">
        <f>$A2943*Q2943</f>
        <v>0</v>
      </c>
      <c r="S2943" s="567"/>
      <c r="T2943" s="500">
        <f>$A2943*S2943*$T$1</f>
        <v>0</v>
      </c>
    </row>
    <row r="2944" spans="1:41" s="501" customFormat="1" ht="12" customHeight="1">
      <c r="A2944" s="772" t="s">
        <v>145</v>
      </c>
      <c r="B2944" s="773">
        <f>(R2943+T2943)</f>
        <v>0</v>
      </c>
      <c r="C2944" s="810"/>
      <c r="D2944" s="810"/>
      <c r="E2944" s="810"/>
      <c r="F2944" s="810"/>
      <c r="G2944" s="776"/>
      <c r="H2944" s="776"/>
      <c r="I2944" s="776"/>
      <c r="J2944" s="776"/>
      <c r="K2944" s="798" t="s">
        <v>10</v>
      </c>
      <c r="L2944" s="811" t="s">
        <v>573</v>
      </c>
      <c r="M2944" s="776"/>
      <c r="N2944" s="776"/>
      <c r="O2944" s="776"/>
      <c r="P2944" s="776"/>
      <c r="Q2944" s="776"/>
      <c r="R2944" s="777">
        <f>SUM(R2941:R2943)</f>
        <v>0</v>
      </c>
      <c r="S2944" s="778"/>
      <c r="T2944" s="777">
        <f>SUM(T2941:T2943)</f>
        <v>0</v>
      </c>
      <c r="AG2944" s="1257">
        <f>ROUND($R2944*$S$5,2)</f>
        <v>0</v>
      </c>
    </row>
    <row r="2945" spans="1:41" s="501" customFormat="1" ht="12.75" customHeight="1">
      <c r="A2945" s="813"/>
      <c r="B2945" s="814"/>
      <c r="E2945" s="497"/>
      <c r="F2945" s="808"/>
      <c r="G2945" s="497"/>
      <c r="H2945" s="497"/>
      <c r="I2945" s="499"/>
      <c r="J2945" s="497"/>
      <c r="K2945" s="497"/>
      <c r="L2945" s="815"/>
      <c r="M2945" s="725"/>
      <c r="N2945" s="725"/>
      <c r="O2945" s="725"/>
      <c r="P2945" s="725"/>
      <c r="Q2945" s="726"/>
      <c r="R2945" s="784"/>
      <c r="S2945" s="497"/>
      <c r="T2945" s="784"/>
    </row>
    <row r="2946" spans="1:41" s="501" customFormat="1" ht="13.5" customHeight="1" thickBot="1">
      <c r="A2946" s="816"/>
      <c r="B2946" s="817"/>
      <c r="C2946" s="518"/>
      <c r="D2946" s="518"/>
      <c r="E2946" s="515"/>
      <c r="F2946" s="721"/>
      <c r="G2946" s="515" t="s">
        <v>146</v>
      </c>
      <c r="H2946" s="515"/>
      <c r="I2946" s="516"/>
      <c r="J2946" s="515"/>
      <c r="K2946" s="515"/>
      <c r="L2946" s="818" t="s">
        <v>143</v>
      </c>
      <c r="M2946" s="517"/>
      <c r="N2946" s="517"/>
      <c r="O2946" s="517"/>
      <c r="P2946" s="517"/>
      <c r="Q2946" s="722"/>
      <c r="R2946" s="819">
        <f>SUMIF($L2935:$L2945,"SUBI",R2935:R2945)</f>
        <v>0</v>
      </c>
      <c r="S2946" s="515"/>
      <c r="T2946" s="819">
        <f>SUMIF($L2935:$L2945,"SUBI",T2935:T2945)</f>
        <v>0</v>
      </c>
      <c r="U2946" s="518"/>
      <c r="V2946" s="518"/>
      <c r="W2946" s="518"/>
      <c r="X2946" s="518"/>
      <c r="Y2946" s="518"/>
      <c r="Z2946" s="518"/>
      <c r="AA2946" s="518"/>
      <c r="AB2946" s="518"/>
      <c r="AC2946" s="518"/>
      <c r="AD2946" s="518"/>
      <c r="AE2946" s="518"/>
      <c r="AF2946" s="518"/>
      <c r="AG2946" s="518"/>
      <c r="AH2946" s="518"/>
      <c r="AI2946" s="518"/>
      <c r="AJ2946" s="518"/>
      <c r="AK2946" s="518"/>
      <c r="AL2946" s="518"/>
      <c r="AM2946" s="518"/>
      <c r="AN2946" s="518"/>
      <c r="AO2946" s="518"/>
    </row>
    <row r="2947" spans="1:41" s="501" customFormat="1" ht="12" thickTop="1">
      <c r="A2947" s="44"/>
      <c r="B2947" s="39"/>
      <c r="C2947" s="44"/>
      <c r="E2947" s="40" t="s">
        <v>138</v>
      </c>
      <c r="F2947" s="40" t="s">
        <v>139</v>
      </c>
      <c r="G2947" s="44"/>
      <c r="H2947" s="44"/>
      <c r="I2947" s="44"/>
      <c r="J2947" s="44"/>
      <c r="K2947" s="44" t="s">
        <v>140</v>
      </c>
      <c r="L2947" s="44"/>
      <c r="M2947" s="44"/>
      <c r="N2947" s="44"/>
      <c r="O2947" s="45"/>
      <c r="P2947" s="44"/>
      <c r="Q2947" s="44"/>
      <c r="R2947" s="44"/>
      <c r="S2947" s="44"/>
      <c r="T2947" s="39"/>
      <c r="AG2947" s="502" t="s">
        <v>247</v>
      </c>
      <c r="AH2947" s="502" t="s">
        <v>248</v>
      </c>
      <c r="AI2947" s="502" t="s">
        <v>249</v>
      </c>
      <c r="AJ2947" s="502" t="s">
        <v>250</v>
      </c>
      <c r="AK2947" s="502" t="s">
        <v>251</v>
      </c>
      <c r="AM2947" s="710" t="s">
        <v>260</v>
      </c>
      <c r="AN2947" s="711" t="s">
        <v>261</v>
      </c>
      <c r="AO2947" s="503" t="s">
        <v>257</v>
      </c>
    </row>
    <row r="2948" spans="1:41" s="501" customFormat="1" ht="12" customHeight="1">
      <c r="A2948" s="712">
        <v>1</v>
      </c>
      <c r="B2948" s="504" t="s">
        <v>287</v>
      </c>
      <c r="C2948" s="505"/>
      <c r="D2948" s="713" t="s">
        <v>611</v>
      </c>
      <c r="E2948" s="1187">
        <f>IF(AND($A2948=0,$A$1="DIF"),0, ROUND(ROUND(($R2952*$S$5+($T2952*$T$5))/$A2948,2)*$C$5,2))</f>
        <v>0</v>
      </c>
      <c r="F2948" s="1188">
        <f>ROUND($A2948*$E2948,2)</f>
        <v>0</v>
      </c>
      <c r="G2948" s="506" t="s">
        <v>142</v>
      </c>
      <c r="H2948" s="498"/>
      <c r="I2948" s="716"/>
      <c r="J2948" s="498"/>
      <c r="K2948" s="498" t="s">
        <v>10</v>
      </c>
      <c r="L2948" s="717" t="s">
        <v>143</v>
      </c>
      <c r="M2948" s="717"/>
      <c r="N2948" s="717"/>
      <c r="O2948" s="717"/>
      <c r="P2948" s="717"/>
      <c r="Q2948" s="892" t="s">
        <v>1119</v>
      </c>
      <c r="T2948" s="1189" t="str">
        <f>IF(AND($R2952=0,$T2952=0),"0.00","mu: "&amp; ROUND(F2948/$C$5/($R2952+$T2952*$D$9),2))</f>
        <v>0.00</v>
      </c>
      <c r="W2948" s="507"/>
      <c r="AG2948" s="1190">
        <f>IF($E2948=0,0,ROUND($R2952*$S$5*$C$5/$A2948,2))</f>
        <v>0</v>
      </c>
      <c r="AH2948" s="1190">
        <f>$AG2948*$A2948</f>
        <v>0</v>
      </c>
      <c r="AI2948" s="1191">
        <f>$E2948-$AG2948</f>
        <v>0</v>
      </c>
      <c r="AJ2948" s="1191">
        <f>$A2948*$AI2948</f>
        <v>0</v>
      </c>
      <c r="AK2948" s="1192">
        <f>ROUND(($AG2948+$AI2948)*$A2948,2)</f>
        <v>0</v>
      </c>
      <c r="AM2948" s="510">
        <f>ROUND(R2952,2)</f>
        <v>0</v>
      </c>
      <c r="AN2948" s="511">
        <f>ROUND(T2952,2)</f>
        <v>0</v>
      </c>
      <c r="AO2948" s="512">
        <f>ROUND(AM2948+AN2948,2)*A2948</f>
        <v>0</v>
      </c>
    </row>
    <row r="2949" spans="1:41" s="501" customFormat="1" ht="39.9" customHeight="1">
      <c r="A2949" s="505"/>
      <c r="B2949"/>
      <c r="C2949" s="505"/>
      <c r="D2949" s="1183" t="s">
        <v>1124</v>
      </c>
      <c r="E2949" s="1184"/>
      <c r="F2949" s="1184"/>
      <c r="G2949" s="1184"/>
      <c r="H2949" s="1184"/>
      <c r="I2949" s="1184"/>
      <c r="J2949" s="1184"/>
      <c r="K2949" s="1184"/>
      <c r="L2949" s="1184"/>
      <c r="M2949" s="1184"/>
      <c r="N2949" s="1184"/>
      <c r="O2949" s="1184"/>
      <c r="P2949" s="1184"/>
      <c r="Q2949" s="1184"/>
      <c r="R2949" s="1184"/>
      <c r="S2949" s="1184"/>
      <c r="T2949" s="1184"/>
    </row>
    <row r="2950" spans="1:41" s="893" customFormat="1" ht="13.2">
      <c r="A2950" s="971">
        <v>1</v>
      </c>
      <c r="B2950" s="972" t="s">
        <v>287</v>
      </c>
      <c r="C2950" s="972"/>
      <c r="D2950" s="972" t="s">
        <v>884</v>
      </c>
      <c r="E2950" s="972"/>
      <c r="F2950" s="944" t="s">
        <v>885</v>
      </c>
      <c r="G2950" s="973" t="s">
        <v>886</v>
      </c>
      <c r="H2950" s="979">
        <v>960</v>
      </c>
      <c r="I2950" s="972" t="s">
        <v>660</v>
      </c>
      <c r="J2950" s="972"/>
      <c r="K2950" s="972"/>
      <c r="L2950" s="972"/>
      <c r="M2950" s="972"/>
      <c r="N2950" s="972"/>
      <c r="O2950" s="974">
        <v>4</v>
      </c>
      <c r="P2950" s="975">
        <v>38594</v>
      </c>
      <c r="Q2950" s="976"/>
      <c r="R2950" s="977">
        <f>$A2950*Q2950</f>
        <v>0</v>
      </c>
      <c r="S2950" s="976"/>
      <c r="T2950" s="978">
        <f>$A2950*S2950*$T$1</f>
        <v>0</v>
      </c>
    </row>
    <row r="2951" spans="1:41" s="501" customFormat="1" ht="12">
      <c r="A2951" s="497"/>
      <c r="B2951" s="497"/>
      <c r="C2951" s="497"/>
      <c r="D2951" s="497"/>
      <c r="E2951" s="497"/>
      <c r="F2951" s="498"/>
      <c r="G2951" s="497"/>
      <c r="H2951" s="497"/>
      <c r="I2951" s="499"/>
      <c r="J2951" s="497"/>
      <c r="K2951" s="497"/>
      <c r="L2951" s="497"/>
      <c r="M2951" s="497"/>
      <c r="N2951" s="497"/>
      <c r="O2951" s="497"/>
      <c r="P2951" s="497"/>
      <c r="Q2951" s="499"/>
      <c r="R2951" s="720">
        <f>$A2951*Q2951</f>
        <v>0</v>
      </c>
      <c r="S2951" s="499"/>
      <c r="T2951" s="500">
        <f>$A2951*S2951*$T$1</f>
        <v>0</v>
      </c>
    </row>
    <row r="2952" spans="1:41" s="501" customFormat="1" ht="12.6" thickBot="1">
      <c r="A2952" s="513" t="s">
        <v>145</v>
      </c>
      <c r="B2952" s="514">
        <f>(R2951+T2951)</f>
        <v>0</v>
      </c>
      <c r="C2952" s="515"/>
      <c r="D2952" s="515"/>
      <c r="E2952" s="515"/>
      <c r="F2952" s="721"/>
      <c r="G2952" s="515" t="s">
        <v>146</v>
      </c>
      <c r="H2952" s="515"/>
      <c r="I2952" s="516"/>
      <c r="J2952" s="515"/>
      <c r="K2952" s="515" t="s">
        <v>10</v>
      </c>
      <c r="L2952" s="517" t="s">
        <v>143</v>
      </c>
      <c r="M2952" s="517"/>
      <c r="N2952" s="517"/>
      <c r="O2952" s="517"/>
      <c r="P2952" s="517"/>
      <c r="Q2952" s="722"/>
      <c r="R2952" s="723">
        <f>SUM(R2949:R2951)</f>
        <v>0</v>
      </c>
      <c r="S2952" s="515"/>
      <c r="T2952" s="723">
        <f>SUM(T2949:T2951)</f>
        <v>0</v>
      </c>
      <c r="U2952" s="518"/>
      <c r="V2952" s="518"/>
      <c r="W2952" s="518"/>
      <c r="X2952" s="518"/>
      <c r="Y2952" s="518"/>
      <c r="Z2952" s="518"/>
      <c r="AA2952" s="518"/>
      <c r="AB2952" s="518"/>
      <c r="AC2952" s="518"/>
      <c r="AD2952" s="518"/>
      <c r="AE2952" s="518"/>
      <c r="AF2952" s="518"/>
      <c r="AG2952" s="518"/>
      <c r="AH2952" s="518"/>
      <c r="AI2952" s="518"/>
      <c r="AJ2952" s="518"/>
      <c r="AK2952" s="518"/>
      <c r="AL2952" s="518"/>
      <c r="AM2952" s="518"/>
      <c r="AN2952" s="518"/>
      <c r="AO2952" s="518"/>
    </row>
    <row r="2953" spans="1:41" s="501" customFormat="1" ht="12" thickTop="1">
      <c r="A2953" s="44"/>
      <c r="B2953" s="39"/>
      <c r="C2953" s="44"/>
      <c r="E2953" s="40" t="s">
        <v>138</v>
      </c>
      <c r="F2953" s="40" t="s">
        <v>139</v>
      </c>
      <c r="G2953" s="44"/>
      <c r="H2953" s="44"/>
      <c r="I2953" s="44"/>
      <c r="J2953" s="44"/>
      <c r="K2953" s="44" t="s">
        <v>140</v>
      </c>
      <c r="L2953" s="44"/>
      <c r="M2953" s="44"/>
      <c r="N2953" s="44"/>
      <c r="O2953" s="45"/>
      <c r="P2953" s="44"/>
      <c r="Q2953" s="44"/>
      <c r="R2953" s="44"/>
      <c r="S2953" s="44"/>
      <c r="T2953" s="39"/>
      <c r="AG2953" s="502" t="s">
        <v>247</v>
      </c>
      <c r="AH2953" s="502" t="s">
        <v>248</v>
      </c>
      <c r="AI2953" s="502" t="s">
        <v>249</v>
      </c>
      <c r="AJ2953" s="502" t="s">
        <v>250</v>
      </c>
      <c r="AK2953" s="502" t="s">
        <v>251</v>
      </c>
      <c r="AM2953" s="710" t="s">
        <v>260</v>
      </c>
      <c r="AN2953" s="711" t="s">
        <v>261</v>
      </c>
      <c r="AO2953" s="503" t="s">
        <v>257</v>
      </c>
    </row>
    <row r="2954" spans="1:41" s="501" customFormat="1" ht="12" customHeight="1">
      <c r="A2954" s="712">
        <v>1</v>
      </c>
      <c r="B2954" s="504" t="s">
        <v>287</v>
      </c>
      <c r="C2954" s="505"/>
      <c r="D2954" s="713" t="s">
        <v>612</v>
      </c>
      <c r="E2954" s="714">
        <f>IF(AND($A2954=0,$A$1="DIF"),0, ROUND(ROUND(($R2958*$S$2+($T2958*$T$2))/$A2954,2)*$C$2,2))</f>
        <v>0</v>
      </c>
      <c r="F2954" s="715">
        <f>ROUND($A2954*$E2954,2)</f>
        <v>0</v>
      </c>
      <c r="G2954" s="506" t="s">
        <v>142</v>
      </c>
      <c r="H2954" s="498"/>
      <c r="I2954" s="716"/>
      <c r="J2954" s="498"/>
      <c r="K2954" s="498" t="s">
        <v>3</v>
      </c>
      <c r="L2954" s="717" t="s">
        <v>143</v>
      </c>
      <c r="M2954" s="717"/>
      <c r="N2954" s="717"/>
      <c r="O2954" s="717"/>
      <c r="P2954" s="717"/>
      <c r="Q2954" s="892" t="s">
        <v>1119</v>
      </c>
      <c r="R2954" s="943" t="s">
        <v>1123</v>
      </c>
      <c r="T2954" s="718" t="str">
        <f>IF(AND($R2958=0,$T2958=0),"0.00","mu: "&amp; ROUND(F2954/$C$2/($R2958+$T2958*$D$9),2))</f>
        <v>0.00</v>
      </c>
      <c r="W2954" s="507"/>
      <c r="AG2954" s="453">
        <f>IF($E2954=0,0,ROUND($R2958*$S$2*$C$2/$A2954,2))</f>
        <v>0</v>
      </c>
      <c r="AH2954" s="453">
        <f>$AG2954*$A2954</f>
        <v>0</v>
      </c>
      <c r="AI2954" s="508">
        <f>$E2954-$AG2954</f>
        <v>0</v>
      </c>
      <c r="AJ2954" s="508">
        <f>$A2954*$AI2954</f>
        <v>0</v>
      </c>
      <c r="AK2954" s="509">
        <f>ROUND(($AG2954+$AI2954)*$A2954,2)</f>
        <v>0</v>
      </c>
      <c r="AM2954" s="510">
        <f>ROUND(R2958,2)</f>
        <v>0</v>
      </c>
      <c r="AN2954" s="511">
        <f>ROUND(T2958,2)</f>
        <v>0</v>
      </c>
      <c r="AO2954" s="512">
        <f>ROUND(AM2954+AN2954,2)*A2954</f>
        <v>0</v>
      </c>
    </row>
    <row r="2955" spans="1:41" s="501" customFormat="1" ht="39.9" customHeight="1">
      <c r="A2955" s="505"/>
      <c r="B2955"/>
      <c r="C2955" s="505"/>
      <c r="D2955" s="1183" t="s">
        <v>1127</v>
      </c>
      <c r="E2955" s="1184"/>
      <c r="F2955" s="1184"/>
      <c r="G2955" s="1184"/>
      <c r="H2955" s="1184"/>
      <c r="I2955" s="1184"/>
      <c r="J2955" s="1184"/>
      <c r="K2955" s="1184"/>
      <c r="L2955" s="1184"/>
      <c r="M2955" s="1184"/>
      <c r="N2955" s="1184"/>
      <c r="O2955" s="1184"/>
      <c r="P2955" s="1184"/>
      <c r="Q2955" s="1184"/>
      <c r="R2955" s="1184"/>
      <c r="S2955" s="1184"/>
      <c r="T2955" s="1184"/>
    </row>
    <row r="2956" spans="1:41" s="893" customFormat="1" ht="13.2">
      <c r="A2956" s="971">
        <v>1</v>
      </c>
      <c r="B2956" s="972" t="s">
        <v>287</v>
      </c>
      <c r="C2956" s="972"/>
      <c r="D2956" s="972" t="s">
        <v>884</v>
      </c>
      <c r="E2956" s="972"/>
      <c r="F2956" s="944"/>
      <c r="G2956" s="973" t="s">
        <v>886</v>
      </c>
      <c r="H2956" s="979">
        <v>960</v>
      </c>
      <c r="I2956" s="972" t="s">
        <v>660</v>
      </c>
      <c r="J2956" s="972"/>
      <c r="K2956" s="972"/>
      <c r="L2956" s="972"/>
      <c r="M2956" s="972"/>
      <c r="N2956" s="972"/>
      <c r="O2956" s="974">
        <v>4</v>
      </c>
      <c r="P2956" s="975">
        <v>38594</v>
      </c>
      <c r="Q2956" s="976"/>
      <c r="R2956" s="977">
        <f>$A2956*Q2956</f>
        <v>0</v>
      </c>
      <c r="S2956" s="976"/>
      <c r="T2956" s="978">
        <f>$A2956*S2956*$T$1</f>
        <v>0</v>
      </c>
    </row>
    <row r="2957" spans="1:41" s="501" customFormat="1" ht="12">
      <c r="A2957" s="497"/>
      <c r="B2957" s="497"/>
      <c r="C2957" s="497"/>
      <c r="D2957" s="497"/>
      <c r="E2957" s="497"/>
      <c r="F2957" s="498"/>
      <c r="G2957" s="497"/>
      <c r="H2957" s="497"/>
      <c r="I2957" s="499"/>
      <c r="J2957" s="497"/>
      <c r="K2957" s="497"/>
      <c r="L2957" s="497"/>
      <c r="M2957" s="497"/>
      <c r="N2957" s="497"/>
      <c r="O2957" s="497"/>
      <c r="P2957" s="497"/>
      <c r="Q2957" s="499"/>
      <c r="R2957" s="720">
        <f>$A2957*Q2957</f>
        <v>0</v>
      </c>
      <c r="S2957" s="499"/>
      <c r="T2957" s="500">
        <f>$A2957*S2957*$T$1</f>
        <v>0</v>
      </c>
    </row>
    <row r="2958" spans="1:41" s="501" customFormat="1" ht="12.6" thickBot="1">
      <c r="A2958" s="513" t="s">
        <v>145</v>
      </c>
      <c r="B2958" s="514">
        <f>(R2957+T2957)</f>
        <v>0</v>
      </c>
      <c r="C2958" s="515"/>
      <c r="D2958" s="515"/>
      <c r="E2958" s="515"/>
      <c r="F2958" s="721"/>
      <c r="G2958" s="515" t="s">
        <v>146</v>
      </c>
      <c r="H2958" s="515"/>
      <c r="I2958" s="516"/>
      <c r="J2958" s="515"/>
      <c r="K2958" s="515" t="s">
        <v>3</v>
      </c>
      <c r="L2958" s="517" t="s">
        <v>143</v>
      </c>
      <c r="M2958" s="517"/>
      <c r="N2958" s="517"/>
      <c r="O2958" s="517"/>
      <c r="P2958" s="517"/>
      <c r="Q2958" s="722"/>
      <c r="R2958" s="723">
        <f>SUM(R2955:R2957)</f>
        <v>0</v>
      </c>
      <c r="S2958" s="515"/>
      <c r="T2958" s="723">
        <f>SUM(T2955:T2957)</f>
        <v>0</v>
      </c>
      <c r="U2958" s="518"/>
      <c r="V2958" s="518"/>
      <c r="W2958" s="518"/>
      <c r="X2958" s="518"/>
      <c r="Y2958" s="518"/>
      <c r="Z2958" s="518"/>
      <c r="AA2958" s="518"/>
      <c r="AB2958" s="518"/>
      <c r="AC2958" s="518"/>
      <c r="AD2958" s="518"/>
      <c r="AE2958" s="518"/>
      <c r="AF2958" s="518"/>
      <c r="AG2958" s="518"/>
      <c r="AH2958" s="518"/>
      <c r="AI2958" s="518"/>
      <c r="AJ2958" s="518"/>
      <c r="AK2958" s="518"/>
      <c r="AL2958" s="518"/>
      <c r="AM2958" s="518"/>
      <c r="AN2958" s="518"/>
      <c r="AO2958" s="518"/>
    </row>
    <row r="2959" spans="1:41" s="501" customFormat="1" ht="12" thickTop="1">
      <c r="A2959" s="44"/>
      <c r="B2959" s="39"/>
      <c r="C2959" s="44"/>
      <c r="E2959" s="40" t="s">
        <v>138</v>
      </c>
      <c r="F2959" s="40" t="s">
        <v>139</v>
      </c>
      <c r="G2959" s="44"/>
      <c r="H2959" s="44"/>
      <c r="I2959" s="44"/>
      <c r="J2959" s="44"/>
      <c r="K2959" s="44" t="s">
        <v>140</v>
      </c>
      <c r="L2959" s="44"/>
      <c r="M2959" s="44"/>
      <c r="N2959" s="44"/>
      <c r="O2959" s="45"/>
      <c r="P2959" s="44"/>
      <c r="Q2959" s="44"/>
      <c r="R2959" s="44"/>
      <c r="S2959" s="44"/>
      <c r="T2959" s="39"/>
      <c r="AG2959" s="502" t="s">
        <v>247</v>
      </c>
      <c r="AH2959" s="502" t="s">
        <v>248</v>
      </c>
      <c r="AI2959" s="502" t="s">
        <v>249</v>
      </c>
      <c r="AJ2959" s="502" t="s">
        <v>250</v>
      </c>
      <c r="AK2959" s="502" t="s">
        <v>251</v>
      </c>
      <c r="AM2959" s="710" t="s">
        <v>260</v>
      </c>
      <c r="AN2959" s="711" t="s">
        <v>261</v>
      </c>
      <c r="AO2959" s="503" t="s">
        <v>257</v>
      </c>
    </row>
    <row r="2960" spans="1:41" s="501" customFormat="1" ht="12" customHeight="1">
      <c r="A2960" s="712">
        <v>1</v>
      </c>
      <c r="B2960" s="504" t="s">
        <v>287</v>
      </c>
      <c r="C2960" s="505"/>
      <c r="D2960" s="713" t="s">
        <v>613</v>
      </c>
      <c r="E2960" s="1187">
        <f>IF(AND($A2960=0,$A$1="DIF"),0, ROUND(ROUND(($R2964*$S$5+($T2964*$T$5))/$A2960,2)*$C$5,2))</f>
        <v>171.57</v>
      </c>
      <c r="F2960" s="1188">
        <f>ROUND($A2960*$E2960,2)</f>
        <v>171.57</v>
      </c>
      <c r="G2960" s="506" t="s">
        <v>142</v>
      </c>
      <c r="H2960" s="498"/>
      <c r="I2960" s="716"/>
      <c r="J2960" s="498"/>
      <c r="K2960" s="498" t="s">
        <v>10</v>
      </c>
      <c r="L2960" s="717" t="s">
        <v>143</v>
      </c>
      <c r="M2960" s="717"/>
      <c r="N2960" s="717"/>
      <c r="O2960" s="717"/>
      <c r="P2960" s="717"/>
      <c r="Q2960" s="44"/>
      <c r="T2960" s="1189" t="str">
        <f>IF(AND($R2964=0,$T2964=0),"0.00","mu: "&amp; ROUND(F2960/$C$5/($R2964+$T2964*$D$9),2))</f>
        <v>mu: 1</v>
      </c>
      <c r="W2960" s="507"/>
      <c r="AG2960" s="1190">
        <f>IF($E2960=0,0,ROUND($R2964*$S$5*$C$5/$A2960,2))</f>
        <v>171.57</v>
      </c>
      <c r="AH2960" s="1190">
        <f>$AG2960*$A2960</f>
        <v>171.57</v>
      </c>
      <c r="AI2960" s="1191">
        <f>$E2960-$AG2960</f>
        <v>0</v>
      </c>
      <c r="AJ2960" s="1191">
        <f>$A2960*$AI2960</f>
        <v>0</v>
      </c>
      <c r="AK2960" s="1192">
        <f>ROUND(($AG2960+$AI2960)*$A2960,2)</f>
        <v>171.57</v>
      </c>
      <c r="AM2960" s="510">
        <f>ROUND(R2964,2)</f>
        <v>171.57</v>
      </c>
      <c r="AN2960" s="511">
        <f>ROUND(T2964,2)</f>
        <v>0</v>
      </c>
      <c r="AO2960" s="512">
        <f>ROUND(AM2960+AN2960,2)*A2960</f>
        <v>171.57</v>
      </c>
    </row>
    <row r="2961" spans="1:41" s="501" customFormat="1" ht="13.2">
      <c r="A2961" s="505"/>
      <c r="B2961"/>
      <c r="C2961" s="505"/>
      <c r="D2961" s="713" t="s">
        <v>1128</v>
      </c>
      <c r="F2961" s="498"/>
      <c r="G2961" s="3"/>
      <c r="H2961" s="498"/>
      <c r="I2961" s="716"/>
      <c r="J2961" s="498"/>
      <c r="K2961" s="498" t="s">
        <v>144</v>
      </c>
      <c r="L2961" s="498"/>
      <c r="M2961" s="498"/>
      <c r="N2961" s="498"/>
      <c r="O2961" s="498"/>
      <c r="P2961" s="498"/>
      <c r="Q2961" s="44"/>
      <c r="R2961" s="567"/>
      <c r="S2961" s="719"/>
      <c r="T2961" s="498"/>
    </row>
    <row r="2962" spans="1:41" s="893" customFormat="1" ht="13.2">
      <c r="A2962" s="971">
        <v>1</v>
      </c>
      <c r="B2962" s="972" t="s">
        <v>287</v>
      </c>
      <c r="C2962" s="972"/>
      <c r="D2962" s="972" t="s">
        <v>884</v>
      </c>
      <c r="E2962" s="972"/>
      <c r="F2962" s="944" t="s">
        <v>885</v>
      </c>
      <c r="G2962" s="973" t="s">
        <v>886</v>
      </c>
      <c r="H2962" s="979">
        <v>960</v>
      </c>
      <c r="I2962" s="972" t="s">
        <v>660</v>
      </c>
      <c r="J2962" s="972"/>
      <c r="K2962" s="972"/>
      <c r="L2962" s="972"/>
      <c r="M2962" s="972"/>
      <c r="N2962" s="972"/>
      <c r="O2962" s="974">
        <v>4</v>
      </c>
      <c r="P2962" s="975">
        <v>38594</v>
      </c>
      <c r="Q2962" s="976">
        <v>171.57</v>
      </c>
      <c r="R2962" s="977">
        <f>$A2962*Q2962</f>
        <v>171.57</v>
      </c>
      <c r="S2962" s="976"/>
      <c r="T2962" s="978">
        <f>$A2962*S2962*$T$1</f>
        <v>0</v>
      </c>
    </row>
    <row r="2963" spans="1:41" s="501" customFormat="1" ht="12">
      <c r="A2963" s="497"/>
      <c r="B2963" s="497"/>
      <c r="C2963" s="497"/>
      <c r="D2963" s="497"/>
      <c r="E2963" s="497"/>
      <c r="F2963" s="498"/>
      <c r="G2963" s="497"/>
      <c r="H2963" s="497"/>
      <c r="I2963" s="499"/>
      <c r="J2963" s="497"/>
      <c r="K2963" s="497"/>
      <c r="L2963" s="497"/>
      <c r="M2963" s="497"/>
      <c r="N2963" s="497"/>
      <c r="O2963" s="497"/>
      <c r="P2963" s="497"/>
      <c r="Q2963" s="499"/>
      <c r="R2963" s="720">
        <f>$A2963*Q2963</f>
        <v>0</v>
      </c>
      <c r="S2963" s="499"/>
      <c r="T2963" s="500">
        <f>$A2963*S2963*$T$1</f>
        <v>0</v>
      </c>
    </row>
    <row r="2964" spans="1:41" s="501" customFormat="1" ht="12.6" thickBot="1">
      <c r="A2964" s="513" t="s">
        <v>145</v>
      </c>
      <c r="B2964" s="514">
        <f>(R2963+T2963)</f>
        <v>0</v>
      </c>
      <c r="C2964" s="515"/>
      <c r="D2964" s="515"/>
      <c r="E2964" s="515"/>
      <c r="F2964" s="721"/>
      <c r="G2964" s="515" t="s">
        <v>146</v>
      </c>
      <c r="H2964" s="515"/>
      <c r="I2964" s="516"/>
      <c r="J2964" s="515"/>
      <c r="K2964" s="515" t="s">
        <v>10</v>
      </c>
      <c r="L2964" s="517" t="s">
        <v>143</v>
      </c>
      <c r="M2964" s="517"/>
      <c r="N2964" s="517"/>
      <c r="O2964" s="517"/>
      <c r="P2964" s="517"/>
      <c r="Q2964" s="722"/>
      <c r="R2964" s="723">
        <f>SUM(R2961:R2963)</f>
        <v>171.57</v>
      </c>
      <c r="S2964" s="515"/>
      <c r="T2964" s="723">
        <f>SUM(T2961:T2963)</f>
        <v>0</v>
      </c>
      <c r="U2964" s="518"/>
      <c r="V2964" s="518"/>
      <c r="W2964" s="518"/>
      <c r="X2964" s="518"/>
      <c r="Y2964" s="518"/>
      <c r="Z2964" s="518"/>
      <c r="AA2964" s="518"/>
      <c r="AB2964" s="518"/>
      <c r="AC2964" s="518"/>
      <c r="AD2964" s="518"/>
      <c r="AE2964" s="518"/>
      <c r="AF2964" s="518"/>
      <c r="AG2964" s="518"/>
      <c r="AH2964" s="518"/>
      <c r="AI2964" s="518"/>
      <c r="AJ2964" s="518"/>
      <c r="AK2964" s="518"/>
      <c r="AL2964" s="518"/>
      <c r="AM2964" s="518"/>
      <c r="AN2964" s="518"/>
      <c r="AO2964" s="518"/>
    </row>
    <row r="2965" spans="1:41" s="501" customFormat="1" ht="12" thickTop="1">
      <c r="A2965" s="41" t="s">
        <v>148</v>
      </c>
      <c r="D2965" s="11"/>
      <c r="E2965" s="40"/>
      <c r="O2965" s="727"/>
    </row>
    <row r="2966" spans="1:41" s="501" customFormat="1" ht="13.2">
      <c r="B2966" s="3"/>
      <c r="O2966" s="727"/>
    </row>
    <row r="2967" spans="1:41" s="501" customFormat="1" ht="12">
      <c r="B2967" s="728">
        <f>$F2967/$C$2-($R2967*$S$2+$T2967*$T$2)</f>
        <v>-959.88900000000058</v>
      </c>
      <c r="D2967" s="729" t="s">
        <v>1129</v>
      </c>
      <c r="E2967" s="730"/>
      <c r="F2967" s="731">
        <f>SUMIF($L2893:$L2965,"ITEM",F2893:F2965)</f>
        <v>2742.5400000000004</v>
      </c>
      <c r="G2967" s="497"/>
      <c r="H2967" s="497"/>
      <c r="I2967" s="499"/>
      <c r="J2967" s="497"/>
      <c r="K2967" s="497"/>
      <c r="L2967" s="717" t="s">
        <v>159</v>
      </c>
      <c r="M2967" s="717"/>
      <c r="N2967" s="717"/>
      <c r="O2967" s="717"/>
      <c r="P2967" s="717"/>
      <c r="R2967" s="731">
        <f>SUMIF($L2893:$L2965,"ITEM",R2893:R2965)</f>
        <v>2742.5400000000004</v>
      </c>
      <c r="S2967" s="733"/>
      <c r="T2967" s="731">
        <f>SUMIF($L2893:$L2965,"ITEM",T2893:T2965)</f>
        <v>0</v>
      </c>
    </row>
    <row r="2968" spans="1:41" s="501" customFormat="1" ht="13.2">
      <c r="A2968" s="44"/>
      <c r="B2968" s="42" t="s">
        <v>569</v>
      </c>
      <c r="C2968" s="44"/>
      <c r="D2968" s="3"/>
      <c r="F2968" s="734" t="s">
        <v>160</v>
      </c>
      <c r="G2968" s="497"/>
      <c r="H2968" s="497"/>
      <c r="I2968" s="499"/>
      <c r="J2968" s="497"/>
      <c r="K2968" s="497"/>
      <c r="L2968" s="497"/>
      <c r="M2968" s="497"/>
      <c r="N2968" s="497"/>
      <c r="O2968" s="497"/>
      <c r="P2968" s="497"/>
      <c r="Q2968" s="726"/>
      <c r="R2968" s="734" t="s">
        <v>161</v>
      </c>
      <c r="S2968" s="36"/>
      <c r="T2968" s="734" t="s">
        <v>162</v>
      </c>
    </row>
    <row r="2969" spans="1:41" s="501" customFormat="1" ht="13.2">
      <c r="A2969" s="497"/>
      <c r="B2969" s="3"/>
      <c r="C2969" s="497"/>
      <c r="D2969" s="3"/>
      <c r="E2969" s="3"/>
      <c r="G2969" s="3"/>
      <c r="H2969" s="3"/>
      <c r="I2969" s="3"/>
      <c r="J2969" s="3"/>
      <c r="K2969" s="3"/>
      <c r="L2969" s="3"/>
      <c r="M2969" s="3"/>
      <c r="N2969" s="3"/>
      <c r="O2969" s="86"/>
      <c r="P2969" s="3"/>
      <c r="Q2969" s="3"/>
      <c r="R2969" s="3"/>
      <c r="S2969" s="3"/>
      <c r="T2969" s="3"/>
    </row>
    <row r="2970" spans="1:41" s="501" customFormat="1" ht="12" thickBot="1">
      <c r="A2970" s="518"/>
      <c r="B2970" s="515"/>
      <c r="C2970" s="515"/>
      <c r="D2970" s="518"/>
      <c r="E2970" s="37"/>
      <c r="F2970" s="735"/>
      <c r="G2970" s="515"/>
      <c r="H2970" s="515"/>
      <c r="I2970" s="516"/>
      <c r="J2970" s="515"/>
      <c r="K2970" s="515"/>
      <c r="L2970" s="517"/>
      <c r="M2970" s="517"/>
      <c r="N2970" s="517"/>
      <c r="O2970" s="517"/>
      <c r="P2970" s="517"/>
      <c r="Q2970" s="722"/>
      <c r="R2970" s="735"/>
      <c r="S2970" s="736"/>
      <c r="T2970" s="735"/>
      <c r="U2970" s="518"/>
      <c r="V2970" s="518"/>
      <c r="W2970" s="518"/>
      <c r="X2970" s="518"/>
      <c r="Y2970" s="518"/>
      <c r="Z2970" s="518"/>
      <c r="AA2970" s="518"/>
      <c r="AB2970" s="518"/>
      <c r="AC2970" s="518"/>
      <c r="AD2970" s="518"/>
      <c r="AE2970" s="518"/>
      <c r="AF2970" s="518"/>
      <c r="AG2970" s="518"/>
      <c r="AH2970" s="518"/>
      <c r="AI2970" s="518"/>
      <c r="AJ2970" s="518"/>
      <c r="AK2970" s="518"/>
    </row>
    <row r="2971" spans="1:41" s="501" customFormat="1" ht="12" thickTop="1">
      <c r="A2971" s="44"/>
      <c r="B2971" s="39"/>
      <c r="C2971" s="44"/>
      <c r="E2971" s="40" t="s">
        <v>138</v>
      </c>
      <c r="F2971" s="40" t="s">
        <v>139</v>
      </c>
      <c r="G2971" s="44"/>
      <c r="H2971" s="44"/>
      <c r="I2971" s="44"/>
      <c r="J2971" s="44"/>
      <c r="K2971" s="44" t="s">
        <v>140</v>
      </c>
      <c r="L2971" s="44"/>
      <c r="M2971" s="44"/>
      <c r="N2971" s="44"/>
      <c r="O2971" s="45"/>
      <c r="P2971" s="44"/>
      <c r="Q2971" s="44"/>
      <c r="R2971" s="44"/>
      <c r="S2971" s="44"/>
      <c r="T2971" s="39"/>
      <c r="AG2971" s="502" t="s">
        <v>247</v>
      </c>
      <c r="AH2971" s="502" t="s">
        <v>248</v>
      </c>
      <c r="AI2971" s="502" t="s">
        <v>249</v>
      </c>
      <c r="AJ2971" s="502" t="s">
        <v>250</v>
      </c>
      <c r="AK2971" s="502" t="s">
        <v>251</v>
      </c>
      <c r="AM2971" s="710" t="s">
        <v>260</v>
      </c>
      <c r="AN2971" s="711" t="s">
        <v>261</v>
      </c>
      <c r="AO2971" s="503" t="s">
        <v>257</v>
      </c>
    </row>
    <row r="2972" spans="1:41" s="501" customFormat="1" ht="12" customHeight="1">
      <c r="A2972" s="712">
        <v>1</v>
      </c>
      <c r="B2972" s="504" t="s">
        <v>287</v>
      </c>
      <c r="C2972" s="505"/>
      <c r="D2972" s="713" t="s">
        <v>614</v>
      </c>
      <c r="E2972" s="1187">
        <f>IF(AND($A2972=0,$A$1="DIF"),0, ROUND(ROUND(($R2976*$S$5+($T2976*$T$5))/$A2972,2)*$C$5,2))</f>
        <v>171.57</v>
      </c>
      <c r="F2972" s="1188">
        <f>ROUND($A2972*$E2972,2)</f>
        <v>171.57</v>
      </c>
      <c r="G2972" s="506" t="s">
        <v>142</v>
      </c>
      <c r="H2972" s="498"/>
      <c r="I2972" s="716"/>
      <c r="J2972" s="498"/>
      <c r="K2972" s="498" t="s">
        <v>10</v>
      </c>
      <c r="L2972" s="717" t="s">
        <v>143</v>
      </c>
      <c r="M2972" s="717"/>
      <c r="N2972" s="717"/>
      <c r="O2972" s="717"/>
      <c r="P2972" s="717"/>
      <c r="Q2972" s="44"/>
      <c r="T2972" s="1189" t="str">
        <f>IF(AND($R2976=0,$T2976=0),"0.00","mu: "&amp; ROUND(F2972/$C$5/($R2976+$T2976*$D$9),2))</f>
        <v>mu: 1</v>
      </c>
      <c r="W2972" s="507"/>
      <c r="AG2972" s="1190">
        <f>IF($E2972=0,0,ROUND($R2976*$S$5*$C$5/$A2972,2))</f>
        <v>171.57</v>
      </c>
      <c r="AH2972" s="1190">
        <f>$AG2972*$A2972</f>
        <v>171.57</v>
      </c>
      <c r="AI2972" s="1191">
        <f>$E2972-$AG2972</f>
        <v>0</v>
      </c>
      <c r="AJ2972" s="1191">
        <f>$A2972*$AI2972</f>
        <v>0</v>
      </c>
      <c r="AK2972" s="1192">
        <f>ROUND(($AG2972+$AI2972)*$A2972,2)</f>
        <v>171.57</v>
      </c>
      <c r="AM2972" s="510">
        <f>ROUND(R2976,2)</f>
        <v>171.57</v>
      </c>
      <c r="AN2972" s="511">
        <f>ROUND(T2976,2)</f>
        <v>0</v>
      </c>
      <c r="AO2972" s="512">
        <f>ROUND(AM2972+AN2972,2)*A2972</f>
        <v>171.57</v>
      </c>
    </row>
    <row r="2973" spans="1:41" s="501" customFormat="1" ht="13.2">
      <c r="A2973" s="505"/>
      <c r="B2973"/>
      <c r="C2973" s="505"/>
      <c r="D2973" s="713" t="s">
        <v>1130</v>
      </c>
      <c r="F2973" s="498"/>
      <c r="G2973" s="3"/>
      <c r="H2973" s="498"/>
      <c r="I2973" s="716"/>
      <c r="J2973" s="498"/>
      <c r="K2973" s="498" t="s">
        <v>144</v>
      </c>
      <c r="L2973" s="498"/>
      <c r="M2973" s="498"/>
      <c r="N2973" s="498"/>
      <c r="O2973" s="498"/>
      <c r="P2973" s="498"/>
      <c r="Q2973" s="44"/>
      <c r="R2973" s="567"/>
      <c r="S2973" s="719"/>
      <c r="T2973" s="498"/>
    </row>
    <row r="2974" spans="1:41" s="893" customFormat="1" ht="13.2">
      <c r="A2974" s="971">
        <v>1</v>
      </c>
      <c r="B2974" s="972" t="s">
        <v>287</v>
      </c>
      <c r="C2974" s="972"/>
      <c r="D2974" s="972" t="s">
        <v>884</v>
      </c>
      <c r="E2974" s="972"/>
      <c r="F2974" s="944" t="s">
        <v>885</v>
      </c>
      <c r="G2974" s="973" t="s">
        <v>886</v>
      </c>
      <c r="H2974" s="979">
        <v>960</v>
      </c>
      <c r="I2974" s="972" t="s">
        <v>660</v>
      </c>
      <c r="J2974" s="972"/>
      <c r="K2974" s="972"/>
      <c r="L2974" s="972"/>
      <c r="M2974" s="972"/>
      <c r="N2974" s="972"/>
      <c r="O2974" s="974">
        <v>4</v>
      </c>
      <c r="P2974" s="975">
        <v>38594</v>
      </c>
      <c r="Q2974" s="976">
        <v>171.57</v>
      </c>
      <c r="R2974" s="977">
        <f>$A2974*Q2974</f>
        <v>171.57</v>
      </c>
      <c r="S2974" s="976"/>
      <c r="T2974" s="978">
        <f>$A2974*S2974*$T$1</f>
        <v>0</v>
      </c>
    </row>
    <row r="2975" spans="1:41" s="501" customFormat="1" ht="12">
      <c r="A2975" s="497"/>
      <c r="B2975" s="497"/>
      <c r="C2975" s="497"/>
      <c r="D2975" s="497"/>
      <c r="E2975" s="497"/>
      <c r="F2975" s="498"/>
      <c r="G2975" s="497"/>
      <c r="H2975" s="497"/>
      <c r="I2975" s="499"/>
      <c r="J2975" s="497"/>
      <c r="K2975" s="497"/>
      <c r="L2975" s="497"/>
      <c r="M2975" s="497"/>
      <c r="N2975" s="497"/>
      <c r="O2975" s="497"/>
      <c r="P2975" s="497"/>
      <c r="Q2975" s="499"/>
      <c r="R2975" s="720">
        <f>$A2975*Q2975</f>
        <v>0</v>
      </c>
      <c r="S2975" s="499"/>
      <c r="T2975" s="500">
        <f>$A2975*S2975*$T$1</f>
        <v>0</v>
      </c>
    </row>
    <row r="2976" spans="1:41" s="501" customFormat="1" ht="12.6" thickBot="1">
      <c r="A2976" s="513" t="s">
        <v>145</v>
      </c>
      <c r="B2976" s="514">
        <f>(R2975+T2975)</f>
        <v>0</v>
      </c>
      <c r="C2976" s="515"/>
      <c r="D2976" s="515"/>
      <c r="E2976" s="515"/>
      <c r="F2976" s="721"/>
      <c r="G2976" s="515" t="s">
        <v>146</v>
      </c>
      <c r="H2976" s="515"/>
      <c r="I2976" s="516"/>
      <c r="J2976" s="515"/>
      <c r="K2976" s="515" t="s">
        <v>10</v>
      </c>
      <c r="L2976" s="517" t="s">
        <v>143</v>
      </c>
      <c r="M2976" s="517"/>
      <c r="N2976" s="517"/>
      <c r="O2976" s="517"/>
      <c r="P2976" s="517"/>
      <c r="Q2976" s="722"/>
      <c r="R2976" s="723">
        <f>SUM(R2973:R2975)</f>
        <v>171.57</v>
      </c>
      <c r="S2976" s="515"/>
      <c r="T2976" s="723">
        <f>SUM(T2973:T2975)</f>
        <v>0</v>
      </c>
      <c r="U2976" s="518"/>
      <c r="V2976" s="518"/>
      <c r="W2976" s="518"/>
      <c r="X2976" s="518"/>
      <c r="Y2976" s="518"/>
      <c r="Z2976" s="518"/>
      <c r="AA2976" s="518"/>
      <c r="AB2976" s="518"/>
      <c r="AC2976" s="518"/>
      <c r="AD2976" s="518"/>
      <c r="AE2976" s="518"/>
      <c r="AF2976" s="518"/>
      <c r="AG2976" s="518"/>
      <c r="AH2976" s="518"/>
      <c r="AI2976" s="518"/>
      <c r="AJ2976" s="518"/>
      <c r="AK2976" s="518"/>
      <c r="AL2976" s="518"/>
      <c r="AM2976" s="518"/>
      <c r="AN2976" s="518"/>
      <c r="AO2976" s="518"/>
    </row>
    <row r="2977" spans="1:41" s="501" customFormat="1" ht="12" thickTop="1">
      <c r="A2977" s="44"/>
      <c r="B2977" s="39"/>
      <c r="C2977" s="44"/>
      <c r="E2977" s="40" t="s">
        <v>138</v>
      </c>
      <c r="F2977" s="40" t="s">
        <v>139</v>
      </c>
      <c r="G2977" s="44"/>
      <c r="H2977" s="44"/>
      <c r="I2977" s="44"/>
      <c r="J2977" s="44"/>
      <c r="K2977" s="44" t="s">
        <v>140</v>
      </c>
      <c r="L2977" s="44"/>
      <c r="M2977" s="44"/>
      <c r="N2977" s="44"/>
      <c r="O2977" s="45"/>
      <c r="P2977" s="44"/>
      <c r="Q2977" s="44"/>
      <c r="R2977" s="44"/>
      <c r="S2977" s="44"/>
      <c r="T2977" s="39"/>
      <c r="AG2977" s="502" t="s">
        <v>247</v>
      </c>
      <c r="AH2977" s="502" t="s">
        <v>248</v>
      </c>
      <c r="AI2977" s="502" t="s">
        <v>249</v>
      </c>
      <c r="AJ2977" s="502" t="s">
        <v>250</v>
      </c>
      <c r="AK2977" s="502" t="s">
        <v>251</v>
      </c>
      <c r="AM2977" s="710" t="s">
        <v>260</v>
      </c>
      <c r="AN2977" s="711" t="s">
        <v>261</v>
      </c>
      <c r="AO2977" s="503" t="s">
        <v>257</v>
      </c>
    </row>
    <row r="2978" spans="1:41" s="501" customFormat="1" ht="12" customHeight="1">
      <c r="A2978" s="712">
        <v>1</v>
      </c>
      <c r="B2978" s="504" t="s">
        <v>287</v>
      </c>
      <c r="C2978" s="505"/>
      <c r="D2978" s="713" t="s">
        <v>615</v>
      </c>
      <c r="E2978" s="1187">
        <f>IF(AND($A2978=0,$A$1="DIF"),0, ROUND(ROUND(($R2982*$S$5+($T2982*$T$5))/$A2978,2)*$C$5,2))</f>
        <v>1055.8399999999999</v>
      </c>
      <c r="F2978" s="1188">
        <f>ROUND($A2978*$E2978,2)</f>
        <v>1055.8399999999999</v>
      </c>
      <c r="G2978" s="506" t="s">
        <v>142</v>
      </c>
      <c r="H2978" s="498"/>
      <c r="I2978" s="716"/>
      <c r="J2978" s="498"/>
      <c r="K2978" s="498" t="s">
        <v>10</v>
      </c>
      <c r="L2978" s="717" t="s">
        <v>143</v>
      </c>
      <c r="M2978" s="717"/>
      <c r="N2978" s="717"/>
      <c r="O2978" s="717"/>
      <c r="P2978" s="717"/>
      <c r="Q2978" s="44"/>
      <c r="T2978" s="1189" t="str">
        <f>IF(AND($R2982=0,$T2982=0),"0.00","mu: "&amp; ROUND(F2978/$C$5/($R2982+$T2982*$D$9),2))</f>
        <v>mu: 1</v>
      </c>
      <c r="W2978" s="507"/>
      <c r="AG2978" s="1190">
        <f>IF($E2978=0,0,ROUND($R2982*$S$5*$C$5/$A2978,2))</f>
        <v>1055.8399999999999</v>
      </c>
      <c r="AH2978" s="1190">
        <f>$AG2978*$A2978</f>
        <v>1055.8399999999999</v>
      </c>
      <c r="AI2978" s="1191">
        <f>$E2978-$AG2978</f>
        <v>0</v>
      </c>
      <c r="AJ2978" s="1191">
        <f>$A2978*$AI2978</f>
        <v>0</v>
      </c>
      <c r="AK2978" s="1192">
        <f>ROUND(($AG2978+$AI2978)*$A2978,2)</f>
        <v>1055.8399999999999</v>
      </c>
      <c r="AM2978" s="510">
        <f>ROUND(R2982,2)</f>
        <v>1055.8399999999999</v>
      </c>
      <c r="AN2978" s="511">
        <f>ROUND(T2982,2)</f>
        <v>0</v>
      </c>
      <c r="AO2978" s="512">
        <f>ROUND(AM2978+AN2978,2)*A2978</f>
        <v>1055.8399999999999</v>
      </c>
    </row>
    <row r="2979" spans="1:41" s="501" customFormat="1" ht="39.9" customHeight="1">
      <c r="A2979" s="505"/>
      <c r="B2979"/>
      <c r="C2979" s="505"/>
      <c r="D2979" s="1183" t="s">
        <v>1131</v>
      </c>
      <c r="E2979" s="1184"/>
      <c r="F2979" s="1184"/>
      <c r="G2979" s="1184"/>
      <c r="H2979" s="1184"/>
      <c r="I2979" s="1184"/>
      <c r="J2979" s="1184"/>
      <c r="K2979" s="1184"/>
      <c r="L2979" s="1184"/>
      <c r="M2979" s="1184"/>
      <c r="N2979" s="1184"/>
      <c r="O2979" s="1184"/>
      <c r="P2979" s="1184"/>
      <c r="Q2979" s="1184"/>
      <c r="R2979" s="1184"/>
      <c r="S2979" s="1184"/>
      <c r="T2979" s="1184"/>
    </row>
    <row r="2980" spans="1:41" s="893" customFormat="1" ht="13.2">
      <c r="A2980" s="971">
        <v>1</v>
      </c>
      <c r="B2980" s="972" t="s">
        <v>287</v>
      </c>
      <c r="C2980" s="972"/>
      <c r="D2980" s="972" t="s">
        <v>884</v>
      </c>
      <c r="E2980" s="972"/>
      <c r="F2980" s="944" t="s">
        <v>885</v>
      </c>
      <c r="G2980" s="973" t="s">
        <v>886</v>
      </c>
      <c r="H2980" s="979">
        <v>960</v>
      </c>
      <c r="I2980" s="972" t="s">
        <v>660</v>
      </c>
      <c r="J2980" s="972"/>
      <c r="K2980" s="972"/>
      <c r="L2980" s="972"/>
      <c r="M2980" s="972"/>
      <c r="N2980" s="972"/>
      <c r="O2980" s="974">
        <v>4</v>
      </c>
      <c r="P2980" s="975">
        <v>38594</v>
      </c>
      <c r="Q2980" s="976">
        <v>1055.8399999999999</v>
      </c>
      <c r="R2980" s="977">
        <f>$A2980*Q2980</f>
        <v>1055.8399999999999</v>
      </c>
      <c r="S2980" s="976"/>
      <c r="T2980" s="978">
        <f>$A2980*S2980*$T$1</f>
        <v>0</v>
      </c>
    </row>
    <row r="2981" spans="1:41" s="501" customFormat="1" ht="12">
      <c r="A2981" s="497"/>
      <c r="B2981" s="497"/>
      <c r="C2981" s="497"/>
      <c r="D2981" s="497"/>
      <c r="E2981" s="497"/>
      <c r="F2981" s="498"/>
      <c r="G2981" s="497"/>
      <c r="H2981" s="497"/>
      <c r="I2981" s="499"/>
      <c r="J2981" s="497"/>
      <c r="K2981" s="497"/>
      <c r="L2981" s="497"/>
      <c r="M2981" s="497"/>
      <c r="N2981" s="497"/>
      <c r="O2981" s="497"/>
      <c r="P2981" s="497"/>
      <c r="Q2981" s="499"/>
      <c r="R2981" s="720">
        <f>$A2981*Q2981</f>
        <v>0</v>
      </c>
      <c r="S2981" s="499"/>
      <c r="T2981" s="500">
        <f>$A2981*S2981*$T$1</f>
        <v>0</v>
      </c>
    </row>
    <row r="2982" spans="1:41" s="501" customFormat="1" ht="12.6" thickBot="1">
      <c r="A2982" s="513" t="s">
        <v>145</v>
      </c>
      <c r="B2982" s="514">
        <f>(R2981+T2981)</f>
        <v>0</v>
      </c>
      <c r="C2982" s="515"/>
      <c r="D2982" s="515"/>
      <c r="E2982" s="515"/>
      <c r="F2982" s="721"/>
      <c r="G2982" s="515" t="s">
        <v>146</v>
      </c>
      <c r="H2982" s="515"/>
      <c r="I2982" s="516"/>
      <c r="J2982" s="515"/>
      <c r="K2982" s="515" t="s">
        <v>10</v>
      </c>
      <c r="L2982" s="517" t="s">
        <v>143</v>
      </c>
      <c r="M2982" s="517"/>
      <c r="N2982" s="517"/>
      <c r="O2982" s="517"/>
      <c r="P2982" s="517"/>
      <c r="Q2982" s="722"/>
      <c r="R2982" s="723">
        <f>SUM(R2979:R2981)</f>
        <v>1055.8399999999999</v>
      </c>
      <c r="S2982" s="515"/>
      <c r="T2982" s="723">
        <f>SUM(T2979:T2981)</f>
        <v>0</v>
      </c>
      <c r="U2982" s="518"/>
      <c r="V2982" s="518"/>
      <c r="W2982" s="518"/>
      <c r="X2982" s="518"/>
      <c r="Y2982" s="518"/>
      <c r="Z2982" s="518"/>
      <c r="AA2982" s="518"/>
      <c r="AB2982" s="518"/>
      <c r="AC2982" s="518"/>
      <c r="AD2982" s="518"/>
      <c r="AE2982" s="518"/>
      <c r="AF2982" s="518"/>
      <c r="AG2982" s="518"/>
      <c r="AH2982" s="518"/>
      <c r="AI2982" s="518"/>
      <c r="AJ2982" s="518"/>
      <c r="AK2982" s="518"/>
      <c r="AL2982" s="518"/>
      <c r="AM2982" s="518"/>
      <c r="AN2982" s="518"/>
      <c r="AO2982" s="518"/>
    </row>
    <row r="2983" spans="1:41" s="501" customFormat="1" ht="12" thickTop="1">
      <c r="A2983" s="44"/>
      <c r="B2983" s="39"/>
      <c r="C2983" s="44"/>
      <c r="E2983" s="40" t="s">
        <v>138</v>
      </c>
      <c r="F2983" s="40" t="s">
        <v>139</v>
      </c>
      <c r="G2983" s="44"/>
      <c r="H2983" s="44"/>
      <c r="I2983" s="44"/>
      <c r="J2983" s="44"/>
      <c r="K2983" s="44" t="s">
        <v>140</v>
      </c>
      <c r="L2983" s="44"/>
      <c r="M2983" s="44"/>
      <c r="N2983" s="44"/>
      <c r="O2983" s="45"/>
      <c r="P2983" s="44"/>
      <c r="Q2983" s="44"/>
      <c r="R2983" s="44"/>
      <c r="S2983" s="44"/>
      <c r="T2983" s="39"/>
      <c r="AG2983" s="502" t="s">
        <v>247</v>
      </c>
      <c r="AH2983" s="502" t="s">
        <v>248</v>
      </c>
      <c r="AI2983" s="502" t="s">
        <v>249</v>
      </c>
      <c r="AJ2983" s="502" t="s">
        <v>250</v>
      </c>
      <c r="AK2983" s="502" t="s">
        <v>251</v>
      </c>
      <c r="AM2983" s="710" t="s">
        <v>260</v>
      </c>
      <c r="AN2983" s="711" t="s">
        <v>261</v>
      </c>
      <c r="AO2983" s="503" t="s">
        <v>257</v>
      </c>
    </row>
    <row r="2984" spans="1:41" s="501" customFormat="1" ht="12" customHeight="1">
      <c r="A2984" s="712">
        <v>1</v>
      </c>
      <c r="B2984" s="504" t="s">
        <v>287</v>
      </c>
      <c r="C2984" s="505"/>
      <c r="D2984" s="713" t="s">
        <v>616</v>
      </c>
      <c r="E2984" s="714">
        <f>IF(AND($A2984=0,$A$1="DIF"),0, ROUND(ROUND(($R2988*$S$2+($T2988*$T$2))/$A2984,2)*$C$2,2))</f>
        <v>0</v>
      </c>
      <c r="F2984" s="715">
        <f>ROUND($A2984*$E2984,2)</f>
        <v>0</v>
      </c>
      <c r="G2984" s="506" t="s">
        <v>142</v>
      </c>
      <c r="H2984" s="498"/>
      <c r="I2984" s="716"/>
      <c r="J2984" s="498"/>
      <c r="K2984" s="498" t="s">
        <v>3</v>
      </c>
      <c r="L2984" s="717" t="s">
        <v>143</v>
      </c>
      <c r="M2984" s="717"/>
      <c r="N2984" s="717"/>
      <c r="O2984" s="717"/>
      <c r="P2984" s="717"/>
      <c r="Q2984" s="943" t="s">
        <v>1123</v>
      </c>
      <c r="T2984" s="718" t="str">
        <f>IF(AND($R2988=0,$T2988=0),"0.00","mu: "&amp; ROUND(F2984/$C$2/($R2988+$T2988*$D$9),2))</f>
        <v>0.00</v>
      </c>
      <c r="W2984" s="507"/>
      <c r="AG2984" s="453">
        <f>IF($E2984=0,0,ROUND($R2988*$S$2*$C$2/$A2984,2))</f>
        <v>0</v>
      </c>
      <c r="AH2984" s="453">
        <f>$AG2984*$A2984</f>
        <v>0</v>
      </c>
      <c r="AI2984" s="508">
        <f>$E2984-$AG2984</f>
        <v>0</v>
      </c>
      <c r="AJ2984" s="508">
        <f>$A2984*$AI2984</f>
        <v>0</v>
      </c>
      <c r="AK2984" s="509">
        <f>ROUND(($AG2984+$AI2984)*$A2984,2)</f>
        <v>0</v>
      </c>
      <c r="AM2984" s="510">
        <f>ROUND(R2988,2)</f>
        <v>0</v>
      </c>
      <c r="AN2984" s="511">
        <f>ROUND(T2988,2)</f>
        <v>0</v>
      </c>
      <c r="AO2984" s="512">
        <f>ROUND(AM2984+AN2984,2)*A2984</f>
        <v>0</v>
      </c>
    </row>
    <row r="2985" spans="1:41" s="501" customFormat="1" ht="13.2">
      <c r="A2985" s="505"/>
      <c r="B2985"/>
      <c r="C2985" s="505"/>
      <c r="D2985" s="713" t="s">
        <v>1132</v>
      </c>
      <c r="F2985" s="498"/>
      <c r="G2985" s="3"/>
      <c r="H2985" s="498"/>
      <c r="I2985" s="716"/>
      <c r="J2985" s="498"/>
      <c r="K2985" s="498" t="s">
        <v>144</v>
      </c>
      <c r="L2985" s="498"/>
      <c r="M2985" s="498"/>
      <c r="N2985" s="498"/>
      <c r="O2985" s="498"/>
      <c r="P2985" s="498"/>
      <c r="Q2985" s="44"/>
      <c r="R2985" s="567"/>
      <c r="S2985" s="719"/>
      <c r="T2985" s="498"/>
    </row>
    <row r="2986" spans="1:41" s="893" customFormat="1" ht="13.2">
      <c r="A2986" s="971">
        <v>1</v>
      </c>
      <c r="B2986" s="972" t="s">
        <v>287</v>
      </c>
      <c r="C2986" s="972"/>
      <c r="D2986" s="972" t="s">
        <v>884</v>
      </c>
      <c r="E2986" s="972"/>
      <c r="F2986" s="944" t="s">
        <v>1133</v>
      </c>
      <c r="G2986" s="973" t="s">
        <v>886</v>
      </c>
      <c r="H2986" s="979">
        <v>960</v>
      </c>
      <c r="I2986" s="972" t="s">
        <v>660</v>
      </c>
      <c r="J2986" s="972"/>
      <c r="K2986" s="972"/>
      <c r="L2986" s="972"/>
      <c r="M2986" s="972"/>
      <c r="N2986" s="972"/>
      <c r="O2986" s="974">
        <v>4</v>
      </c>
      <c r="P2986" s="975">
        <v>38594</v>
      </c>
      <c r="Q2986" s="976"/>
      <c r="R2986" s="977">
        <f>$A2986*Q2986</f>
        <v>0</v>
      </c>
      <c r="S2986" s="976"/>
      <c r="T2986" s="978">
        <f>$A2986*S2986*$T$1</f>
        <v>0</v>
      </c>
      <c r="U2986" s="501"/>
    </row>
    <row r="2987" spans="1:41" s="501" customFormat="1" ht="12">
      <c r="A2987" s="497"/>
      <c r="B2987" s="497"/>
      <c r="C2987" s="497"/>
      <c r="D2987" s="497"/>
      <c r="E2987" s="497"/>
      <c r="F2987" s="498"/>
      <c r="G2987" s="497"/>
      <c r="H2987" s="497"/>
      <c r="I2987" s="499"/>
      <c r="J2987" s="497"/>
      <c r="K2987" s="497"/>
      <c r="L2987" s="497"/>
      <c r="M2987" s="497"/>
      <c r="N2987" s="497"/>
      <c r="O2987" s="497"/>
      <c r="P2987" s="497"/>
      <c r="Q2987" s="499"/>
      <c r="R2987" s="720">
        <f>$A2987*Q2987</f>
        <v>0</v>
      </c>
      <c r="S2987" s="499"/>
      <c r="T2987" s="500">
        <f>$A2987*S2987*$T$1</f>
        <v>0</v>
      </c>
    </row>
    <row r="2988" spans="1:41" s="501" customFormat="1" ht="12.6" thickBot="1">
      <c r="A2988" s="513" t="s">
        <v>145</v>
      </c>
      <c r="B2988" s="514">
        <f>(R2987+T2987)</f>
        <v>0</v>
      </c>
      <c r="C2988" s="515"/>
      <c r="D2988" s="515"/>
      <c r="E2988" s="515"/>
      <c r="F2988" s="721"/>
      <c r="G2988" s="515" t="s">
        <v>146</v>
      </c>
      <c r="H2988" s="515"/>
      <c r="I2988" s="516"/>
      <c r="J2988" s="515"/>
      <c r="K2988" s="515" t="s">
        <v>3</v>
      </c>
      <c r="L2988" s="517" t="s">
        <v>143</v>
      </c>
      <c r="M2988" s="517"/>
      <c r="N2988" s="517"/>
      <c r="O2988" s="517"/>
      <c r="P2988" s="517"/>
      <c r="Q2988" s="722"/>
      <c r="R2988" s="723">
        <f>SUM(R2985:R2987)</f>
        <v>0</v>
      </c>
      <c r="S2988" s="515"/>
      <c r="T2988" s="723">
        <f>SUM(T2985:T2987)</f>
        <v>0</v>
      </c>
      <c r="U2988" s="518"/>
      <c r="V2988" s="518"/>
      <c r="W2988" s="518"/>
      <c r="X2988" s="518"/>
      <c r="Y2988" s="518"/>
      <c r="Z2988" s="518"/>
      <c r="AA2988" s="518"/>
      <c r="AB2988" s="518"/>
      <c r="AC2988" s="518"/>
      <c r="AD2988" s="518"/>
      <c r="AE2988" s="518"/>
      <c r="AF2988" s="518"/>
      <c r="AG2988" s="518"/>
      <c r="AH2988" s="518"/>
      <c r="AI2988" s="518"/>
      <c r="AJ2988" s="518"/>
      <c r="AK2988" s="518"/>
      <c r="AL2988" s="518"/>
      <c r="AM2988" s="518"/>
      <c r="AN2988" s="518"/>
      <c r="AO2988" s="518"/>
    </row>
    <row r="2989" spans="1:41" s="501" customFormat="1" ht="12" thickTop="1">
      <c r="A2989" s="44"/>
      <c r="B2989" s="39"/>
      <c r="C2989" s="44"/>
      <c r="E2989" s="40" t="s">
        <v>138</v>
      </c>
      <c r="F2989" s="40" t="s">
        <v>139</v>
      </c>
      <c r="G2989" s="44"/>
      <c r="H2989" s="44"/>
      <c r="I2989" s="44"/>
      <c r="J2989" s="44"/>
      <c r="K2989" s="44" t="s">
        <v>140</v>
      </c>
      <c r="L2989" s="44"/>
      <c r="M2989" s="44"/>
      <c r="N2989" s="44"/>
      <c r="O2989" s="45"/>
      <c r="P2989" s="44"/>
      <c r="Q2989" s="44"/>
      <c r="R2989" s="44"/>
      <c r="S2989" s="44"/>
      <c r="T2989" s="39"/>
      <c r="AG2989" s="502" t="s">
        <v>247</v>
      </c>
      <c r="AH2989" s="502" t="s">
        <v>248</v>
      </c>
      <c r="AI2989" s="502" t="s">
        <v>249</v>
      </c>
      <c r="AJ2989" s="502" t="s">
        <v>250</v>
      </c>
      <c r="AK2989" s="502" t="s">
        <v>251</v>
      </c>
      <c r="AM2989" s="710" t="s">
        <v>260</v>
      </c>
      <c r="AN2989" s="711" t="s">
        <v>261</v>
      </c>
      <c r="AO2989" s="503" t="s">
        <v>257</v>
      </c>
    </row>
    <row r="2990" spans="1:41" s="501" customFormat="1" ht="12" customHeight="1">
      <c r="A2990" s="712">
        <v>1</v>
      </c>
      <c r="B2990" s="504" t="s">
        <v>287</v>
      </c>
      <c r="C2990" s="505"/>
      <c r="D2990" s="713" t="s">
        <v>617</v>
      </c>
      <c r="E2990" s="714">
        <f>IF(AND($A2990=0,$A$1="DIF"),0, ROUND(ROUND(($R2994*$S$2+($T2994*$T$2))/$A2990,2)*$C$2,2))</f>
        <v>0</v>
      </c>
      <c r="F2990" s="715">
        <f>ROUND($A2990*$E2990,2)</f>
        <v>0</v>
      </c>
      <c r="G2990" s="506" t="s">
        <v>142</v>
      </c>
      <c r="H2990" s="498"/>
      <c r="I2990" s="716"/>
      <c r="J2990" s="498"/>
      <c r="K2990" s="498" t="s">
        <v>3</v>
      </c>
      <c r="L2990" s="717" t="s">
        <v>143</v>
      </c>
      <c r="M2990" s="717"/>
      <c r="N2990" s="717"/>
      <c r="O2990" s="717"/>
      <c r="P2990" s="717"/>
      <c r="Q2990" s="943" t="s">
        <v>1123</v>
      </c>
      <c r="T2990" s="718" t="str">
        <f>IF(AND($R2994=0,$T2994=0),"0.00","mu: "&amp; ROUND(F2990/$C$2/($R2994+$T2994*$D$9),2))</f>
        <v>0.00</v>
      </c>
      <c r="W2990" s="507"/>
      <c r="AG2990" s="453">
        <f>IF($E2990=0,0,ROUND($R2994*$S$2*$C$2/$A2990,2))</f>
        <v>0</v>
      </c>
      <c r="AH2990" s="453">
        <f>$AG2990*$A2990</f>
        <v>0</v>
      </c>
      <c r="AI2990" s="508">
        <f>$E2990-$AG2990</f>
        <v>0</v>
      </c>
      <c r="AJ2990" s="508">
        <f>$A2990*$AI2990</f>
        <v>0</v>
      </c>
      <c r="AK2990" s="509">
        <f>ROUND(($AG2990+$AI2990)*$A2990,2)</f>
        <v>0</v>
      </c>
      <c r="AM2990" s="510">
        <f>ROUND(R2994,2)</f>
        <v>0</v>
      </c>
      <c r="AN2990" s="511">
        <f>ROUND(T2994,2)</f>
        <v>0</v>
      </c>
      <c r="AO2990" s="512">
        <f>ROUND(AM2990+AN2990,2)*A2990</f>
        <v>0</v>
      </c>
    </row>
    <row r="2991" spans="1:41" s="501" customFormat="1" ht="13.2">
      <c r="A2991" s="505"/>
      <c r="B2991"/>
      <c r="C2991" s="505"/>
      <c r="D2991" s="713" t="s">
        <v>1134</v>
      </c>
      <c r="F2991" s="498"/>
      <c r="G2991" s="3"/>
      <c r="H2991" s="498"/>
      <c r="I2991" s="716"/>
      <c r="J2991" s="498"/>
      <c r="K2991" s="498" t="s">
        <v>144</v>
      </c>
      <c r="L2991" s="498"/>
      <c r="M2991" s="498"/>
      <c r="N2991" s="498"/>
      <c r="O2991" s="498"/>
      <c r="P2991" s="498"/>
      <c r="Q2991" s="44"/>
      <c r="R2991" s="567"/>
      <c r="S2991" s="719"/>
      <c r="T2991" s="498"/>
    </row>
    <row r="2992" spans="1:41" s="893" customFormat="1" ht="13.2">
      <c r="A2992" s="971">
        <v>1</v>
      </c>
      <c r="B2992" s="972" t="s">
        <v>287</v>
      </c>
      <c r="C2992" s="972"/>
      <c r="D2992" s="972" t="s">
        <v>884</v>
      </c>
      <c r="E2992" s="972"/>
      <c r="F2992" s="944" t="s">
        <v>1133</v>
      </c>
      <c r="G2992" s="973" t="s">
        <v>886</v>
      </c>
      <c r="H2992" s="979">
        <v>960</v>
      </c>
      <c r="I2992" s="972" t="s">
        <v>660</v>
      </c>
      <c r="J2992" s="972"/>
      <c r="K2992" s="972"/>
      <c r="L2992" s="972"/>
      <c r="M2992" s="972"/>
      <c r="N2992" s="972"/>
      <c r="O2992" s="974">
        <v>4</v>
      </c>
      <c r="P2992" s="975">
        <v>38594</v>
      </c>
      <c r="Q2992" s="976"/>
      <c r="R2992" s="977">
        <f>$A2992*Q2992</f>
        <v>0</v>
      </c>
      <c r="S2992" s="976"/>
      <c r="T2992" s="978">
        <f>$A2992*S2992*$T$1</f>
        <v>0</v>
      </c>
    </row>
    <row r="2993" spans="1:41" s="501" customFormat="1" ht="12">
      <c r="A2993" s="497"/>
      <c r="B2993" s="497"/>
      <c r="C2993" s="497"/>
      <c r="D2993" s="497"/>
      <c r="E2993" s="497"/>
      <c r="F2993" s="498"/>
      <c r="G2993" s="497"/>
      <c r="H2993" s="497"/>
      <c r="I2993" s="499"/>
      <c r="J2993" s="497"/>
      <c r="K2993" s="497"/>
      <c r="L2993" s="497"/>
      <c r="M2993" s="497"/>
      <c r="N2993" s="497"/>
      <c r="O2993" s="497"/>
      <c r="P2993" s="497"/>
      <c r="Q2993" s="499"/>
      <c r="R2993" s="720">
        <f>$A2993*Q2993</f>
        <v>0</v>
      </c>
      <c r="S2993" s="499"/>
      <c r="T2993" s="500">
        <f>$A2993*S2993*$T$1</f>
        <v>0</v>
      </c>
    </row>
    <row r="2994" spans="1:41" s="501" customFormat="1" ht="12.6" thickBot="1">
      <c r="A2994" s="513" t="s">
        <v>145</v>
      </c>
      <c r="B2994" s="514">
        <f>(R2993+T2993)</f>
        <v>0</v>
      </c>
      <c r="C2994" s="515"/>
      <c r="D2994" s="515"/>
      <c r="E2994" s="515"/>
      <c r="F2994" s="721"/>
      <c r="G2994" s="515" t="s">
        <v>146</v>
      </c>
      <c r="H2994" s="515"/>
      <c r="I2994" s="516"/>
      <c r="J2994" s="515"/>
      <c r="K2994" s="515" t="s">
        <v>3</v>
      </c>
      <c r="L2994" s="517" t="s">
        <v>143</v>
      </c>
      <c r="M2994" s="517"/>
      <c r="N2994" s="517"/>
      <c r="O2994" s="517"/>
      <c r="P2994" s="517"/>
      <c r="Q2994" s="722"/>
      <c r="R2994" s="723">
        <f>SUM(R2991:R2993)</f>
        <v>0</v>
      </c>
      <c r="S2994" s="515"/>
      <c r="T2994" s="723">
        <f>SUM(T2991:T2993)</f>
        <v>0</v>
      </c>
      <c r="U2994" s="518"/>
      <c r="V2994" s="518"/>
      <c r="W2994" s="518"/>
      <c r="X2994" s="518"/>
      <c r="Y2994" s="518"/>
      <c r="Z2994" s="518"/>
      <c r="AA2994" s="518"/>
      <c r="AB2994" s="518"/>
      <c r="AC2994" s="518"/>
      <c r="AD2994" s="518"/>
      <c r="AE2994" s="518"/>
      <c r="AF2994" s="518"/>
      <c r="AG2994" s="518"/>
      <c r="AH2994" s="518"/>
      <c r="AI2994" s="518"/>
      <c r="AJ2994" s="518"/>
      <c r="AK2994" s="518"/>
      <c r="AL2994" s="518"/>
      <c r="AM2994" s="518"/>
      <c r="AN2994" s="518"/>
      <c r="AO2994" s="518"/>
    </row>
    <row r="2995" spans="1:41" s="501" customFormat="1" ht="12" thickTop="1">
      <c r="A2995" s="41" t="s">
        <v>148</v>
      </c>
      <c r="D2995" s="11"/>
      <c r="E2995" s="40"/>
      <c r="O2995" s="727"/>
    </row>
    <row r="2996" spans="1:41" s="501" customFormat="1" ht="13.2">
      <c r="B2996" s="3"/>
      <c r="O2996" s="727"/>
    </row>
    <row r="2997" spans="1:41" s="501" customFormat="1" ht="12">
      <c r="B2997" s="728">
        <f>$F2997/$C$2-($R2997*$S$2+$T2997*$T$2)</f>
        <v>-429.59349999999995</v>
      </c>
      <c r="D2997" s="729" t="s">
        <v>1129</v>
      </c>
      <c r="E2997" s="730"/>
      <c r="F2997" s="731">
        <f>SUMIF($L2971:$L2995,"ITEM",F2971:F2995)</f>
        <v>1227.4099999999999</v>
      </c>
      <c r="G2997" s="497"/>
      <c r="H2997" s="497"/>
      <c r="I2997" s="499"/>
      <c r="J2997" s="497"/>
      <c r="K2997" s="497"/>
      <c r="L2997" s="717" t="s">
        <v>159</v>
      </c>
      <c r="M2997" s="717"/>
      <c r="N2997" s="717"/>
      <c r="O2997" s="717"/>
      <c r="P2997" s="717"/>
      <c r="R2997" s="731">
        <f>SUMIF($L2971:$L2995,"ITEM",R2971:R2995)</f>
        <v>1227.4099999999999</v>
      </c>
      <c r="S2997" s="733"/>
      <c r="T2997" s="731">
        <f>SUMIF($L2971:$L2995,"ITEM",T2971:T2995)</f>
        <v>0</v>
      </c>
    </row>
    <row r="2998" spans="1:41" s="501" customFormat="1" ht="13.2">
      <c r="A2998" s="44"/>
      <c r="B2998" s="42" t="s">
        <v>569</v>
      </c>
      <c r="C2998" s="44"/>
      <c r="D2998" s="3"/>
      <c r="F2998" s="734" t="s">
        <v>160</v>
      </c>
      <c r="G2998" s="497"/>
      <c r="H2998" s="497"/>
      <c r="I2998" s="499"/>
      <c r="J2998" s="497"/>
      <c r="K2998" s="497"/>
      <c r="L2998" s="497"/>
      <c r="M2998" s="497"/>
      <c r="N2998" s="497"/>
      <c r="O2998" s="497"/>
      <c r="P2998" s="497"/>
      <c r="Q2998" s="726"/>
      <c r="R2998" s="734" t="s">
        <v>161</v>
      </c>
      <c r="S2998" s="36"/>
      <c r="T2998" s="734" t="s">
        <v>162</v>
      </c>
    </row>
    <row r="2999" spans="1:41" s="501" customFormat="1" ht="13.2">
      <c r="A2999" s="497"/>
      <c r="B2999" s="3"/>
      <c r="C2999" s="497"/>
      <c r="D2999" s="3"/>
      <c r="E2999" s="3"/>
      <c r="G2999" s="3"/>
      <c r="H2999" s="3"/>
      <c r="I2999" s="3"/>
      <c r="J2999" s="3"/>
      <c r="K2999" s="3"/>
      <c r="L2999" s="3"/>
      <c r="M2999" s="3"/>
      <c r="N2999" s="3"/>
      <c r="O2999" s="86"/>
      <c r="P2999" s="3"/>
      <c r="Q2999" s="3"/>
      <c r="R2999" s="3"/>
      <c r="S2999" s="3"/>
      <c r="T2999" s="3"/>
    </row>
    <row r="3000" spans="1:41" s="501" customFormat="1" ht="12" thickBot="1">
      <c r="A3000" s="518"/>
      <c r="B3000" s="515"/>
      <c r="C3000" s="515"/>
      <c r="D3000" s="518"/>
      <c r="E3000" s="37"/>
      <c r="F3000" s="735"/>
      <c r="G3000" s="515"/>
      <c r="H3000" s="515"/>
      <c r="I3000" s="516"/>
      <c r="J3000" s="515"/>
      <c r="K3000" s="515"/>
      <c r="L3000" s="517"/>
      <c r="M3000" s="517"/>
      <c r="N3000" s="517"/>
      <c r="O3000" s="517"/>
      <c r="P3000" s="517"/>
      <c r="Q3000" s="722"/>
      <c r="R3000" s="735"/>
      <c r="S3000" s="736"/>
      <c r="T3000" s="735"/>
      <c r="U3000" s="518"/>
      <c r="V3000" s="518"/>
      <c r="W3000" s="518"/>
      <c r="X3000" s="518"/>
      <c r="Y3000" s="518"/>
      <c r="Z3000" s="518"/>
      <c r="AA3000" s="518"/>
      <c r="AB3000" s="518"/>
      <c r="AC3000" s="518"/>
      <c r="AD3000" s="518"/>
      <c r="AE3000" s="518"/>
      <c r="AF3000" s="518"/>
      <c r="AG3000" s="518"/>
      <c r="AH3000" s="518"/>
      <c r="AI3000" s="518"/>
      <c r="AJ3000" s="518"/>
      <c r="AK3000" s="518"/>
    </row>
    <row r="3001" spans="1:41" s="501" customFormat="1" thickTop="1">
      <c r="A3001" s="44"/>
      <c r="B3001" s="44"/>
      <c r="C3001" s="3"/>
      <c r="D3001" s="3"/>
      <c r="E3001" s="44"/>
      <c r="F3001" s="44"/>
      <c r="G3001" s="44"/>
      <c r="H3001" s="44"/>
      <c r="I3001" s="44"/>
      <c r="J3001" s="44"/>
      <c r="K3001" s="44" t="s">
        <v>134</v>
      </c>
      <c r="L3001" s="44"/>
      <c r="M3001" s="44"/>
      <c r="N3001" s="44"/>
      <c r="O3001" s="45"/>
      <c r="P3001" s="44"/>
      <c r="Q3001" s="44"/>
      <c r="R3001" s="44"/>
      <c r="S3001" s="44"/>
      <c r="T3001" s="44"/>
    </row>
    <row r="3002" spans="1:41" s="501" customFormat="1" ht="12">
      <c r="A3002" s="44"/>
      <c r="B3002" s="44"/>
      <c r="C3002" s="44" t="s">
        <v>135</v>
      </c>
      <c r="D3002" s="35" t="s">
        <v>136</v>
      </c>
      <c r="E3002" s="44"/>
      <c r="F3002" s="44"/>
      <c r="G3002" s="44"/>
      <c r="H3002" s="44"/>
      <c r="I3002" s="44"/>
      <c r="J3002" s="44"/>
      <c r="K3002" s="44"/>
      <c r="L3002" s="44"/>
      <c r="M3002" s="44"/>
      <c r="N3002" s="44"/>
      <c r="O3002" s="45"/>
      <c r="P3002" s="44"/>
      <c r="Q3002" s="44"/>
      <c r="R3002" s="44"/>
      <c r="S3002" s="44"/>
      <c r="T3002" s="44"/>
    </row>
    <row r="3003" spans="1:41" s="501" customFormat="1" ht="12">
      <c r="A3003" s="44"/>
      <c r="B3003" s="44"/>
      <c r="C3003" s="44"/>
      <c r="D3003" s="35" t="s">
        <v>970</v>
      </c>
      <c r="E3003" s="44"/>
      <c r="F3003" s="44"/>
      <c r="G3003" s="44"/>
      <c r="H3003" s="44"/>
      <c r="I3003" s="44"/>
      <c r="J3003" s="44"/>
      <c r="K3003" s="44"/>
      <c r="L3003" s="44"/>
      <c r="M3003" s="44"/>
      <c r="N3003" s="44"/>
      <c r="O3003" s="45"/>
      <c r="P3003" s="44"/>
      <c r="Q3003" s="44"/>
      <c r="R3003" s="44"/>
      <c r="S3003" s="36"/>
      <c r="T3003" s="36"/>
    </row>
    <row r="3004" spans="1:41" s="3" customFormat="1" thickBot="1">
      <c r="A3004" s="518"/>
      <c r="O3004" s="86"/>
    </row>
    <row r="3005" spans="1:41" s="501" customFormat="1" thickTop="1">
      <c r="A3005" s="44"/>
      <c r="B3005" s="39"/>
      <c r="C3005" s="44"/>
      <c r="E3005" s="40" t="s">
        <v>138</v>
      </c>
      <c r="F3005" s="40" t="s">
        <v>139</v>
      </c>
      <c r="G3005" s="44"/>
      <c r="H3005" s="44"/>
      <c r="I3005" s="44"/>
      <c r="J3005" s="44"/>
      <c r="K3005" s="44" t="s">
        <v>140</v>
      </c>
      <c r="L3005" s="737"/>
      <c r="M3005" s="44"/>
      <c r="N3005" s="44"/>
      <c r="O3005" s="45"/>
      <c r="P3005" s="44"/>
      <c r="Q3005"/>
      <c r="R3005"/>
      <c r="S3005"/>
      <c r="T3005" s="39"/>
      <c r="AG3005" s="502" t="s">
        <v>247</v>
      </c>
      <c r="AH3005" s="502" t="s">
        <v>248</v>
      </c>
      <c r="AI3005" s="502" t="s">
        <v>249</v>
      </c>
      <c r="AJ3005" s="502" t="s">
        <v>250</v>
      </c>
      <c r="AK3005" s="502" t="s">
        <v>251</v>
      </c>
      <c r="AM3005" s="710" t="s">
        <v>260</v>
      </c>
      <c r="AN3005" s="711" t="s">
        <v>261</v>
      </c>
      <c r="AO3005" s="503" t="s">
        <v>257</v>
      </c>
    </row>
    <row r="3006" spans="1:41" s="501" customFormat="1" ht="13.2">
      <c r="A3006" s="712">
        <v>1</v>
      </c>
      <c r="B3006" s="504" t="s">
        <v>287</v>
      </c>
      <c r="C3006" s="505"/>
      <c r="D3006" s="713" t="s">
        <v>630</v>
      </c>
      <c r="E3006" s="738">
        <f>IF(AND($A3006=0,$A$1="DIF"),0,ROUND(ROUND(SUMIF($L3008:$L3022,"SUBI",$E3008:$E3022)/$A3006,2)*$C$12,2))</f>
        <v>1911.03</v>
      </c>
      <c r="F3006" s="739">
        <f>ROUND($A3006*$E3006,2)</f>
        <v>1911.03</v>
      </c>
      <c r="G3006" s="506" t="s">
        <v>142</v>
      </c>
      <c r="H3006" s="498"/>
      <c r="I3006" s="716"/>
      <c r="J3006" s="498"/>
      <c r="K3006" s="740"/>
      <c r="L3006" s="741" t="s">
        <v>143</v>
      </c>
      <c r="M3006" s="717"/>
      <c r="N3006" s="717"/>
      <c r="O3006" s="717"/>
      <c r="P3006" s="717"/>
      <c r="Q3006"/>
      <c r="R3006"/>
      <c r="S3006"/>
      <c r="T3006" s="742" t="str">
        <f>IF(AND($R3027=0,$T3027=0),"0.00","mu :" &amp; ROUND($F3006/$C$12/($R3027+$T3027*$D$9),2))</f>
        <v>mu :1.24</v>
      </c>
      <c r="W3006" s="507"/>
      <c r="AG3006" s="743">
        <f>IF(A3006=0,0,ROUND(SUM(AG3008:AG3027)/A3006,2))</f>
        <v>549.04</v>
      </c>
      <c r="AH3006" s="743">
        <f>$AG3006*$A3006</f>
        <v>549.04</v>
      </c>
      <c r="AI3006" s="743">
        <f>$E3006-$AG3006</f>
        <v>1361.99</v>
      </c>
      <c r="AJ3006" s="743">
        <f>$A3006*$AI3006</f>
        <v>1361.99</v>
      </c>
      <c r="AK3006" s="744">
        <f>ROUND(($AG3006+$AI3006)*$A3006,2)</f>
        <v>1911.03</v>
      </c>
      <c r="AM3006" s="510">
        <f>ROUND(R3027,2)</f>
        <v>549.04</v>
      </c>
      <c r="AN3006" s="511">
        <f>ROUND(T3027,2)</f>
        <v>36</v>
      </c>
      <c r="AO3006" s="512">
        <f>ROUND(AM3006+AN3006,2)*A3006</f>
        <v>585.04</v>
      </c>
    </row>
    <row r="3007" spans="1:41" s="501" customFormat="1" ht="59.4" customHeight="1">
      <c r="A3007" s="745"/>
      <c r="B3007" s="746"/>
      <c r="C3007" s="505"/>
      <c r="D3007" s="1182" t="s">
        <v>979</v>
      </c>
      <c r="E3007" s="1182"/>
      <c r="F3007" s="1182"/>
      <c r="G3007" s="1182"/>
      <c r="H3007" s="1182"/>
      <c r="I3007" s="1182"/>
      <c r="J3007" s="1182"/>
      <c r="K3007" s="1182"/>
      <c r="L3007" s="1182"/>
      <c r="M3007" s="1182"/>
      <c r="N3007" s="1182"/>
      <c r="O3007" s="1182"/>
      <c r="P3007" s="1182"/>
      <c r="Q3007" s="1182"/>
      <c r="R3007" s="1182"/>
      <c r="S3007" s="1182"/>
      <c r="T3007" s="1182"/>
    </row>
    <row r="3008" spans="1:41" s="501" customFormat="1" ht="12">
      <c r="A3008" s="748"/>
      <c r="B3008" s="749"/>
      <c r="C3008" s="497"/>
      <c r="D3008" s="750"/>
      <c r="E3008" s="751">
        <f>F3006/$C$12-SUMIF($L3005:$L3027,"SUBI",$E3005:$E3027)</f>
        <v>0</v>
      </c>
      <c r="F3008" s="752" t="s">
        <v>572</v>
      </c>
      <c r="G3008" s="753"/>
      <c r="H3008" s="753"/>
      <c r="I3008" s="754"/>
      <c r="J3008" s="753"/>
      <c r="K3008" s="753"/>
      <c r="L3008" s="755"/>
      <c r="M3008" s="756"/>
      <c r="N3008" s="756"/>
      <c r="O3008" s="756"/>
      <c r="P3008" s="756"/>
      <c r="Q3008" s="757"/>
      <c r="R3008" s="758"/>
      <c r="S3008" s="757"/>
      <c r="T3008" s="759"/>
    </row>
    <row r="3009" spans="1:33" s="501" customFormat="1" ht="12" customHeight="1">
      <c r="A3009" s="760"/>
      <c r="B3009" s="761"/>
      <c r="C3009" s="762"/>
      <c r="D3009" s="762" t="str">
        <f>$F$2</f>
        <v>Electrical</v>
      </c>
      <c r="E3009" s="762">
        <f>ROUND(($R3012*$S$2 + ($T3012*$T$2)), 2)</f>
        <v>741.42</v>
      </c>
      <c r="F3009" s="763">
        <f>$E3009*$C$12</f>
        <v>741.42</v>
      </c>
      <c r="G3009" s="567"/>
      <c r="H3009" s="764"/>
      <c r="I3009" s="567"/>
      <c r="J3009" s="45"/>
      <c r="K3009" s="765" t="s">
        <v>3</v>
      </c>
      <c r="L3009" s="766" t="s">
        <v>573</v>
      </c>
      <c r="M3009" s="567"/>
      <c r="N3009" s="567"/>
      <c r="O3009" s="45"/>
      <c r="P3009" s="567"/>
      <c r="Q3009" s="567"/>
      <c r="R3009"/>
      <c r="S3009"/>
      <c r="T3009"/>
    </row>
    <row r="3010" spans="1:33" s="893" customFormat="1" ht="13.2">
      <c r="A3010" s="87">
        <v>1</v>
      </c>
      <c r="B3010" s="893" t="s">
        <v>287</v>
      </c>
      <c r="D3010" s="893" t="s">
        <v>1137</v>
      </c>
      <c r="F3010" s="893" t="s">
        <v>1138</v>
      </c>
      <c r="G3010" s="894" t="s">
        <v>1139</v>
      </c>
      <c r="H3010" s="895">
        <v>902</v>
      </c>
      <c r="I3010" s="893" t="s">
        <v>660</v>
      </c>
      <c r="O3010" s="896">
        <v>3</v>
      </c>
      <c r="P3010" s="897">
        <v>38317</v>
      </c>
      <c r="Q3010" s="898"/>
      <c r="R3010" s="899">
        <f>$A3010*Q3010</f>
        <v>0</v>
      </c>
      <c r="S3010" s="898">
        <v>20</v>
      </c>
      <c r="T3010" s="900">
        <f>$A3010*S3010*$T$1</f>
        <v>20</v>
      </c>
    </row>
    <row r="3011" spans="1:33" s="501" customFormat="1" ht="14.4" customHeight="1">
      <c r="A3011" s="767"/>
      <c r="B3011" s="567"/>
      <c r="C3011" s="567"/>
      <c r="D3011" s="567"/>
      <c r="E3011" s="567"/>
      <c r="F3011" s="567"/>
      <c r="G3011" s="567"/>
      <c r="H3011" s="764"/>
      <c r="I3011" s="567"/>
      <c r="J3011" s="45"/>
      <c r="K3011" s="769"/>
      <c r="L3011" s="770"/>
      <c r="M3011" s="567"/>
      <c r="N3011" s="567"/>
      <c r="O3011" s="45"/>
      <c r="P3011" s="567"/>
      <c r="Q3011" s="567"/>
      <c r="R3011" s="771">
        <f>$A3011*Q3011</f>
        <v>0</v>
      </c>
      <c r="S3011" s="567"/>
      <c r="T3011" s="500">
        <f>$A3011*S3011*$T$1</f>
        <v>0</v>
      </c>
    </row>
    <row r="3012" spans="1:33" s="501" customFormat="1" ht="12">
      <c r="A3012" s="772" t="s">
        <v>145</v>
      </c>
      <c r="B3012" s="773">
        <f>(R3011+T3011)</f>
        <v>0</v>
      </c>
      <c r="C3012" s="753"/>
      <c r="G3012" s="774"/>
      <c r="H3012" s="774"/>
      <c r="I3012" s="774"/>
      <c r="J3012" s="774"/>
      <c r="K3012" s="750" t="s">
        <v>3</v>
      </c>
      <c r="L3012" s="775" t="s">
        <v>573</v>
      </c>
      <c r="M3012" s="774"/>
      <c r="N3012" s="774"/>
      <c r="O3012" s="774"/>
      <c r="P3012" s="774"/>
      <c r="Q3012" s="776"/>
      <c r="R3012" s="777">
        <f>SUM(R3009:R3011)</f>
        <v>0</v>
      </c>
      <c r="S3012" s="778"/>
      <c r="T3012" s="777">
        <f>SUM(T3009:T3011)</f>
        <v>20</v>
      </c>
      <c r="AG3012" s="779">
        <f>ROUND($R3012*$S$2,2)</f>
        <v>0</v>
      </c>
    </row>
    <row r="3013" spans="1:33" s="501" customFormat="1" ht="12" customHeight="1">
      <c r="A3013" s="760"/>
      <c r="B3013" s="1328"/>
      <c r="C3013" s="1329"/>
      <c r="D3013" s="1255" t="str">
        <f>$F$5</f>
        <v>Megaline</v>
      </c>
      <c r="E3013" s="1255">
        <f>ROUND(($R3016*$S$5 + ($T3016*$T$5)),2)</f>
        <v>549.04</v>
      </c>
      <c r="F3013" s="1330">
        <f>$E3013*$C$12</f>
        <v>549.04</v>
      </c>
      <c r="G3013" s="499"/>
      <c r="H3013" s="499"/>
      <c r="I3013" s="499"/>
      <c r="J3013" s="499"/>
      <c r="K3013" s="765" t="s">
        <v>10</v>
      </c>
      <c r="L3013" s="766" t="s">
        <v>573</v>
      </c>
      <c r="M3013" s="499"/>
      <c r="N3013" s="499"/>
      <c r="O3013" s="499"/>
      <c r="P3013" s="499"/>
      <c r="Q3013" s="499"/>
      <c r="R3013" s="784"/>
      <c r="S3013" s="499"/>
      <c r="T3013" s="784"/>
    </row>
    <row r="3014" spans="1:33" s="893" customFormat="1" ht="13.2">
      <c r="A3014" s="971">
        <v>1</v>
      </c>
      <c r="B3014" s="972" t="s">
        <v>287</v>
      </c>
      <c r="C3014" s="972"/>
      <c r="D3014" s="972" t="s">
        <v>884</v>
      </c>
      <c r="E3014" s="972"/>
      <c r="F3014" s="944" t="s">
        <v>885</v>
      </c>
      <c r="G3014" s="973" t="s">
        <v>886</v>
      </c>
      <c r="H3014" s="979">
        <v>960</v>
      </c>
      <c r="I3014" s="972" t="s">
        <v>660</v>
      </c>
      <c r="J3014" s="972"/>
      <c r="K3014" s="972"/>
      <c r="L3014" s="972"/>
      <c r="M3014" s="972"/>
      <c r="N3014" s="972"/>
      <c r="O3014" s="974">
        <v>4</v>
      </c>
      <c r="P3014" s="975">
        <v>38594</v>
      </c>
      <c r="Q3014" s="976">
        <v>549.04</v>
      </c>
      <c r="R3014" s="977">
        <f>$A3014*Q3014</f>
        <v>549.04</v>
      </c>
      <c r="S3014" s="976"/>
      <c r="T3014" s="978">
        <f>$A3014*S3014*$T$1</f>
        <v>0</v>
      </c>
    </row>
    <row r="3015" spans="1:33" s="501" customFormat="1" ht="15.6" customHeight="1">
      <c r="A3015" s="767"/>
      <c r="B3015" s="567"/>
      <c r="C3015" s="567"/>
      <c r="D3015" s="3"/>
      <c r="E3015" s="567"/>
      <c r="F3015" s="567"/>
      <c r="G3015" s="567"/>
      <c r="H3015" s="567"/>
      <c r="I3015" s="567"/>
      <c r="J3015" s="567"/>
      <c r="K3015" s="567"/>
      <c r="L3015" s="770"/>
      <c r="M3015" s="567"/>
      <c r="N3015" s="567"/>
      <c r="O3015" s="567"/>
      <c r="P3015" s="567"/>
      <c r="Q3015" s="567"/>
      <c r="R3015" s="771">
        <f>$A3015*Q3015</f>
        <v>0</v>
      </c>
      <c r="S3015" s="567"/>
      <c r="T3015" s="500">
        <f>$A3015*S3015*$T$1</f>
        <v>0</v>
      </c>
    </row>
    <row r="3016" spans="1:33" s="501" customFormat="1" ht="12">
      <c r="A3016" s="772" t="s">
        <v>145</v>
      </c>
      <c r="B3016" s="773">
        <f>(R3015+T3015)</f>
        <v>0</v>
      </c>
      <c r="C3016" s="753"/>
      <c r="G3016" s="774"/>
      <c r="H3016" s="774"/>
      <c r="I3016" s="774"/>
      <c r="J3016" s="774"/>
      <c r="K3016" s="798" t="s">
        <v>10</v>
      </c>
      <c r="L3016" s="775" t="s">
        <v>573</v>
      </c>
      <c r="M3016" s="774"/>
      <c r="N3016" s="774"/>
      <c r="O3016" s="774"/>
      <c r="P3016" s="774"/>
      <c r="Q3016" s="776"/>
      <c r="R3016" s="777">
        <f>SUM(R3013:R3015)</f>
        <v>549.04</v>
      </c>
      <c r="S3016" s="778"/>
      <c r="T3016" s="777">
        <f>SUM(T3013:T3015)</f>
        <v>0</v>
      </c>
      <c r="AG3016" s="1257">
        <f>ROUND($R3016*$S$5,2)</f>
        <v>549.04</v>
      </c>
    </row>
    <row r="3017" spans="1:33" s="501" customFormat="1" ht="12" customHeight="1">
      <c r="A3017" s="760"/>
      <c r="B3017" s="761"/>
      <c r="C3017" s="762"/>
      <c r="D3017" s="762" t="str">
        <f>$F$2</f>
        <v>Electrical</v>
      </c>
      <c r="E3017" s="762">
        <f>ROUND(($R3021*$S$2 + ($T3021*$T$2)), 2)</f>
        <v>296.57</v>
      </c>
      <c r="F3017" s="763">
        <f>$E3017*$C$12</f>
        <v>296.57</v>
      </c>
      <c r="G3017" s="567"/>
      <c r="H3017" s="764"/>
      <c r="I3017" s="567"/>
      <c r="J3017" s="45"/>
      <c r="K3017" s="765" t="s">
        <v>3</v>
      </c>
      <c r="L3017" s="766" t="s">
        <v>573</v>
      </c>
      <c r="M3017" s="567"/>
      <c r="N3017" s="567"/>
      <c r="O3017" s="45"/>
      <c r="P3017" s="567"/>
      <c r="Q3017" s="567"/>
      <c r="R3017"/>
      <c r="S3017"/>
      <c r="T3017"/>
    </row>
    <row r="3018" spans="1:33" s="893" customFormat="1" ht="13.2">
      <c r="A3018">
        <v>1</v>
      </c>
      <c r="B3018" s="893" t="s">
        <v>141</v>
      </c>
      <c r="D3018" s="893" t="s">
        <v>1140</v>
      </c>
      <c r="E3018" s="898" t="s">
        <v>1141</v>
      </c>
      <c r="F3018" s="1134" t="s">
        <v>733</v>
      </c>
      <c r="G3018" s="894" t="s">
        <v>642</v>
      </c>
      <c r="H3018" s="895">
        <v>512</v>
      </c>
      <c r="I3018" s="893" t="s">
        <v>643</v>
      </c>
      <c r="O3018" s="896">
        <v>3</v>
      </c>
      <c r="P3018" s="897"/>
      <c r="Q3018" s="898"/>
      <c r="R3018" s="899">
        <f>$A3018*Q3018</f>
        <v>0</v>
      </c>
      <c r="S3018" s="567">
        <v>8</v>
      </c>
      <c r="T3018" s="900">
        <f>$A3018*S3018*$T$1</f>
        <v>8</v>
      </c>
    </row>
    <row r="3019" spans="1:33" s="501" customFormat="1" ht="13.95" customHeight="1">
      <c r="A3019" s="767"/>
      <c r="B3019" s="567"/>
      <c r="C3019" s="567"/>
      <c r="D3019" s="567"/>
      <c r="E3019" s="567"/>
      <c r="F3019" s="567"/>
      <c r="G3019" s="567"/>
      <c r="H3019" s="764"/>
      <c r="I3019" s="567"/>
      <c r="J3019" s="45"/>
      <c r="K3019" s="769"/>
      <c r="L3019" s="770"/>
      <c r="M3019" s="567"/>
      <c r="N3019" s="567"/>
      <c r="O3019" s="45"/>
      <c r="P3019" s="567"/>
      <c r="Q3019" s="567"/>
      <c r="R3019" s="771">
        <f>$A3019*Q3019</f>
        <v>0</v>
      </c>
      <c r="S3019" s="567"/>
      <c r="T3019" s="500">
        <f>$A3019*S3019*$T$1</f>
        <v>0</v>
      </c>
    </row>
    <row r="3020" spans="1:33" s="501" customFormat="1" ht="13.95" customHeight="1">
      <c r="A3020" s="767"/>
      <c r="B3020" s="567"/>
      <c r="C3020" s="567"/>
      <c r="D3020" s="567"/>
      <c r="E3020" s="567"/>
      <c r="F3020" s="567"/>
      <c r="G3020" s="567"/>
      <c r="H3020" s="764"/>
      <c r="I3020" s="567"/>
      <c r="J3020" s="45"/>
      <c r="K3020" s="769"/>
      <c r="L3020" s="770"/>
      <c r="M3020" s="567"/>
      <c r="N3020" s="567"/>
      <c r="O3020" s="45"/>
      <c r="P3020" s="567"/>
      <c r="Q3020" s="567"/>
      <c r="R3020" s="771">
        <f>$A3020*Q3020</f>
        <v>0</v>
      </c>
      <c r="S3020" s="567"/>
      <c r="T3020" s="500">
        <f>$A3020*S3020*$T$1</f>
        <v>0</v>
      </c>
    </row>
    <row r="3021" spans="1:33" s="501" customFormat="1" ht="12">
      <c r="A3021" s="825" t="s">
        <v>145</v>
      </c>
      <c r="B3021" s="826">
        <f>(R3020+T3020)</f>
        <v>0</v>
      </c>
      <c r="C3021" s="497"/>
      <c r="G3021" s="774"/>
      <c r="H3021" s="774"/>
      <c r="I3021" s="774"/>
      <c r="J3021" s="774"/>
      <c r="K3021" s="750" t="s">
        <v>3</v>
      </c>
      <c r="L3021" s="775" t="s">
        <v>573</v>
      </c>
      <c r="M3021" s="774"/>
      <c r="N3021" s="774"/>
      <c r="O3021" s="774"/>
      <c r="P3021" s="774"/>
      <c r="Q3021" s="776"/>
      <c r="R3021" s="777">
        <f>SUM(R3017:R3020)</f>
        <v>0</v>
      </c>
      <c r="S3021" s="778"/>
      <c r="T3021" s="777">
        <f>SUM(T3017:T3020)</f>
        <v>8</v>
      </c>
      <c r="AG3021" s="779">
        <f>ROUND($R3021*$S$2,2)</f>
        <v>0</v>
      </c>
    </row>
    <row r="3022" spans="1:33" s="501" customFormat="1" ht="12" customHeight="1">
      <c r="A3022" s="800"/>
      <c r="B3022" s="801"/>
      <c r="C3022" s="802"/>
      <c r="D3022" s="803" t="str">
        <f>$F$4</f>
        <v>Engineer (Man Hours)</v>
      </c>
      <c r="E3022" s="803">
        <f>ROUND(($R3025*$S$4 + ($T3025*$T$4)), 2)</f>
        <v>324</v>
      </c>
      <c r="F3022" s="804">
        <f>$F3006-SUMIF($L3008:$L3020,"SUBI",$F3008:$F3020)</f>
        <v>324</v>
      </c>
      <c r="G3022" s="499"/>
      <c r="H3022" s="499"/>
      <c r="I3022" s="499"/>
      <c r="J3022" s="499"/>
      <c r="K3022" s="805" t="s">
        <v>8</v>
      </c>
      <c r="L3022" s="766" t="s">
        <v>573</v>
      </c>
      <c r="M3022" s="499"/>
      <c r="N3022" s="499"/>
      <c r="O3022" s="499"/>
      <c r="P3022" s="499"/>
      <c r="Q3022" s="499"/>
      <c r="R3022" s="784"/>
      <c r="S3022" s="499"/>
      <c r="T3022" s="784"/>
    </row>
    <row r="3023" spans="1:33" s="893" customFormat="1" ht="13.2">
      <c r="A3023">
        <v>1</v>
      </c>
      <c r="B3023" s="893" t="s">
        <v>141</v>
      </c>
      <c r="D3023" s="893" t="s">
        <v>1140</v>
      </c>
      <c r="E3023" s="898" t="s">
        <v>1141</v>
      </c>
      <c r="F3023" s="1134" t="s">
        <v>733</v>
      </c>
      <c r="G3023" s="894" t="s">
        <v>642</v>
      </c>
      <c r="H3023" s="895">
        <v>512</v>
      </c>
      <c r="I3023" s="893" t="s">
        <v>643</v>
      </c>
      <c r="O3023" s="896">
        <v>3</v>
      </c>
      <c r="P3023" s="897"/>
      <c r="Q3023" s="898"/>
      <c r="R3023" s="899">
        <f>$A3023*Q3023</f>
        <v>0</v>
      </c>
      <c r="S3023" s="567">
        <v>8</v>
      </c>
      <c r="T3023" s="900">
        <f>$A3023*S3023*$T$1</f>
        <v>8</v>
      </c>
    </row>
    <row r="3024" spans="1:33" s="501" customFormat="1" ht="12">
      <c r="A3024" s="44"/>
      <c r="B3024" s="497"/>
      <c r="C3024" s="497"/>
      <c r="D3024" s="807"/>
      <c r="E3024" s="808"/>
      <c r="F3024" s="499"/>
      <c r="G3024" s="499"/>
      <c r="H3024" s="499"/>
      <c r="I3024" s="499"/>
      <c r="J3024" s="499"/>
      <c r="K3024" s="499"/>
      <c r="L3024" s="809"/>
      <c r="M3024" s="499"/>
      <c r="N3024" s="499"/>
      <c r="O3024" s="499"/>
      <c r="P3024" s="499"/>
      <c r="Q3024" s="499"/>
      <c r="R3024" s="720">
        <f>$A3024*Q3024</f>
        <v>0</v>
      </c>
      <c r="S3024" s="499"/>
      <c r="T3024" s="500">
        <f>$A3024*S3024*$T$1</f>
        <v>0</v>
      </c>
    </row>
    <row r="3025" spans="1:256" s="501" customFormat="1" ht="12.75" customHeight="1">
      <c r="A3025" s="772" t="s">
        <v>145</v>
      </c>
      <c r="B3025" s="773">
        <f>(R3024+T3024)</f>
        <v>0</v>
      </c>
      <c r="C3025" s="810"/>
      <c r="D3025" s="810"/>
      <c r="E3025" s="810"/>
      <c r="F3025" s="810"/>
      <c r="G3025" s="776"/>
      <c r="H3025" s="776"/>
      <c r="I3025" s="776"/>
      <c r="J3025" s="776"/>
      <c r="K3025" s="798" t="s">
        <v>8</v>
      </c>
      <c r="L3025" s="811" t="s">
        <v>573</v>
      </c>
      <c r="M3025" s="776"/>
      <c r="N3025" s="776"/>
      <c r="O3025" s="776"/>
      <c r="P3025" s="776"/>
      <c r="Q3025" s="776"/>
      <c r="R3025" s="777">
        <f>SUM(R3022:R3024)</f>
        <v>0</v>
      </c>
      <c r="S3025" s="778"/>
      <c r="T3025" s="777">
        <f>SUM(T3022:T3024)</f>
        <v>8</v>
      </c>
      <c r="AG3025" s="812">
        <f>ROUND($R3025*$S$4,2)</f>
        <v>0</v>
      </c>
    </row>
    <row r="3026" spans="1:256" s="501" customFormat="1" ht="12.75" customHeight="1">
      <c r="A3026" s="813"/>
      <c r="B3026" s="814"/>
      <c r="E3026" s="497"/>
      <c r="F3026" s="808"/>
      <c r="G3026" s="497"/>
      <c r="H3026" s="497"/>
      <c r="I3026" s="499"/>
      <c r="J3026" s="497"/>
      <c r="K3026" s="497"/>
      <c r="L3026" s="815"/>
      <c r="M3026" s="725"/>
      <c r="N3026" s="725"/>
      <c r="O3026" s="725"/>
      <c r="P3026" s="725"/>
      <c r="Q3026" s="726"/>
      <c r="R3026" s="784"/>
      <c r="S3026" s="497"/>
      <c r="T3026" s="784"/>
    </row>
    <row r="3027" spans="1:256" s="501" customFormat="1" ht="13.5" customHeight="1" thickBot="1">
      <c r="A3027" s="816"/>
      <c r="B3027" s="817"/>
      <c r="C3027" s="518"/>
      <c r="D3027" s="518"/>
      <c r="E3027" s="515"/>
      <c r="F3027" s="721"/>
      <c r="G3027" s="515" t="s">
        <v>146</v>
      </c>
      <c r="H3027" s="515"/>
      <c r="I3027" s="516"/>
      <c r="J3027" s="515"/>
      <c r="K3027" s="515"/>
      <c r="L3027" s="818" t="s">
        <v>143</v>
      </c>
      <c r="M3027" s="517"/>
      <c r="N3027" s="517"/>
      <c r="O3027" s="517"/>
      <c r="P3027" s="517"/>
      <c r="Q3027" s="722"/>
      <c r="R3027" s="819">
        <f>SUMIF($L3007:$L3026,"SUBI",R3007:R3026)</f>
        <v>549.04</v>
      </c>
      <c r="S3027" s="820"/>
      <c r="T3027" s="819">
        <f>SUMIF($L3007:$L3026,"SUBI",T3007:T3026)</f>
        <v>36</v>
      </c>
      <c r="U3027" s="518"/>
      <c r="V3027" s="518"/>
      <c r="W3027" s="518"/>
      <c r="X3027" s="518"/>
      <c r="Y3027" s="518"/>
      <c r="Z3027" s="518"/>
      <c r="AA3027" s="518"/>
      <c r="AB3027" s="518"/>
      <c r="AC3027" s="518"/>
      <c r="AD3027" s="518"/>
      <c r="AE3027" s="518"/>
      <c r="AF3027" s="518"/>
      <c r="AG3027" s="518"/>
      <c r="AH3027" s="518"/>
      <c r="AI3027" s="518"/>
      <c r="AJ3027" s="518"/>
      <c r="AK3027" s="518"/>
      <c r="AL3027" s="518"/>
      <c r="AM3027" s="518"/>
      <c r="AN3027" s="518"/>
      <c r="AO3027" s="518"/>
    </row>
    <row r="3028" spans="1:256" s="501" customFormat="1" thickTop="1">
      <c r="A3028" s="44"/>
      <c r="B3028" s="39"/>
      <c r="C3028" s="44"/>
      <c r="E3028" s="40" t="s">
        <v>138</v>
      </c>
      <c r="F3028" s="40" t="s">
        <v>139</v>
      </c>
      <c r="G3028" s="44"/>
      <c r="H3028" s="44"/>
      <c r="I3028" s="44"/>
      <c r="J3028" s="44"/>
      <c r="K3028" s="44" t="s">
        <v>140</v>
      </c>
      <c r="L3028" s="737"/>
      <c r="M3028" s="44"/>
      <c r="N3028" s="44"/>
      <c r="O3028" s="45"/>
      <c r="P3028" s="44"/>
      <c r="Q3028"/>
      <c r="R3028"/>
      <c r="S3028"/>
      <c r="T3028" s="39"/>
      <c r="AG3028" s="502" t="s">
        <v>247</v>
      </c>
      <c r="AH3028" s="502" t="s">
        <v>248</v>
      </c>
      <c r="AI3028" s="502" t="s">
        <v>249</v>
      </c>
      <c r="AJ3028" s="502" t="s">
        <v>250</v>
      </c>
      <c r="AK3028" s="502" t="s">
        <v>251</v>
      </c>
      <c r="AM3028" s="710" t="s">
        <v>260</v>
      </c>
      <c r="AN3028" s="711" t="s">
        <v>261</v>
      </c>
      <c r="AO3028" s="503" t="s">
        <v>257</v>
      </c>
    </row>
    <row r="3029" spans="1:256" s="501" customFormat="1" ht="13.2">
      <c r="A3029" s="712">
        <v>1</v>
      </c>
      <c r="B3029" s="504" t="s">
        <v>287</v>
      </c>
      <c r="C3029" s="505"/>
      <c r="D3029" s="713" t="s">
        <v>591</v>
      </c>
      <c r="E3029" s="738">
        <f>IF(AND($A3029=0,$A$1="DIF"),0,ROUND(ROUND(SUMIF($L3031:$L3044,"SUBI",$E3031:$E3044)/$A3029,2)*$C$12,2))</f>
        <v>944.57</v>
      </c>
      <c r="F3029" s="739">
        <f>ROUND($A3029*$E3029,2)</f>
        <v>944.57</v>
      </c>
      <c r="G3029" s="506" t="s">
        <v>142</v>
      </c>
      <c r="H3029" s="498"/>
      <c r="I3029" s="716"/>
      <c r="J3029" s="498"/>
      <c r="K3029" s="740"/>
      <c r="L3029" s="741" t="s">
        <v>143</v>
      </c>
      <c r="M3029" s="717"/>
      <c r="N3029" s="717"/>
      <c r="O3029" s="717"/>
      <c r="P3029" s="717"/>
      <c r="Q3029"/>
      <c r="R3029"/>
      <c r="S3029"/>
      <c r="T3029" s="742" t="str">
        <f>IF(AND($R3049=0,$T3049=0),"0.00","mu :" &amp; ROUND($F3029/$C$12/($R3049+$T3049*$D$9),2))</f>
        <v>mu :1.43</v>
      </c>
      <c r="W3029" s="507"/>
      <c r="AG3029" s="743">
        <f>IF(A3029=0,0,ROUND(SUM(AG3031:AG3049)/A3029,2))</f>
        <v>0</v>
      </c>
      <c r="AH3029" s="743">
        <f>$AG3029*$A3029</f>
        <v>0</v>
      </c>
      <c r="AI3029" s="743">
        <f>$E3029-$AG3029</f>
        <v>944.57</v>
      </c>
      <c r="AJ3029" s="743">
        <f>$A3029*$AI3029</f>
        <v>944.57</v>
      </c>
      <c r="AK3029" s="744">
        <f>ROUND(($AG3029+$AI3029)*$A3029,2)</f>
        <v>944.57</v>
      </c>
      <c r="AM3029" s="510">
        <f>ROUND(R3049,2)</f>
        <v>0</v>
      </c>
      <c r="AN3029" s="511">
        <f>ROUND(T3049,2)</f>
        <v>24</v>
      </c>
      <c r="AO3029" s="512">
        <f>ROUND(AM3029+AN3029,2)*A3029</f>
        <v>24</v>
      </c>
    </row>
    <row r="3030" spans="1:256" s="501" customFormat="1" ht="21.6" customHeight="1">
      <c r="A3030" s="745"/>
      <c r="B3030" s="746"/>
      <c r="C3030" s="505"/>
      <c r="D3030" s="1182" t="s">
        <v>1142</v>
      </c>
      <c r="E3030" s="1182"/>
      <c r="F3030" s="1182"/>
      <c r="G3030" s="1182"/>
      <c r="H3030" s="1182"/>
      <c r="I3030" s="1182"/>
      <c r="J3030" s="1182"/>
      <c r="K3030" s="1182"/>
      <c r="L3030" s="1182"/>
      <c r="M3030" s="1182"/>
      <c r="N3030" s="1182"/>
      <c r="O3030" s="1182"/>
      <c r="P3030" s="1182"/>
      <c r="Q3030" s="1182"/>
      <c r="R3030" s="1182"/>
      <c r="S3030" s="1182"/>
      <c r="T3030" s="1182"/>
    </row>
    <row r="3031" spans="1:256" s="501" customFormat="1" ht="12">
      <c r="A3031" s="748"/>
      <c r="B3031" s="749"/>
      <c r="C3031" s="497"/>
      <c r="D3031" s="750"/>
      <c r="E3031" s="751">
        <f>F3029/$C$12-SUMIF($L3028:$L3049,"SUBI",$E3028:$E3049)</f>
        <v>0</v>
      </c>
      <c r="F3031" s="752" t="s">
        <v>572</v>
      </c>
      <c r="G3031" s="753"/>
      <c r="H3031" s="753"/>
      <c r="I3031" s="754"/>
      <c r="J3031" s="753"/>
      <c r="K3031" s="753"/>
      <c r="L3031" s="755"/>
      <c r="M3031" s="756"/>
      <c r="N3031" s="756"/>
      <c r="O3031" s="756"/>
      <c r="P3031" s="756"/>
      <c r="Q3031" s="757"/>
      <c r="R3031" s="758"/>
      <c r="S3031" s="757"/>
      <c r="T3031" s="759"/>
    </row>
    <row r="3032" spans="1:256" s="501" customFormat="1" ht="12" customHeight="1">
      <c r="A3032" s="760"/>
      <c r="B3032" s="761"/>
      <c r="C3032" s="762"/>
      <c r="D3032" s="762" t="str">
        <f>$F$2</f>
        <v>Electrical</v>
      </c>
      <c r="E3032" s="762">
        <f>ROUND(($R3035*$S$2 + ($T3035*$T$2)), 2)</f>
        <v>296.57</v>
      </c>
      <c r="F3032" s="763">
        <f>$E3032*$C$12</f>
        <v>296.57</v>
      </c>
      <c r="G3032" s="567"/>
      <c r="H3032" s="764"/>
      <c r="I3032" s="567"/>
      <c r="J3032" s="45"/>
      <c r="K3032" s="765" t="s">
        <v>3</v>
      </c>
      <c r="L3032" s="766" t="s">
        <v>573</v>
      </c>
      <c r="M3032" s="567"/>
      <c r="N3032" s="567"/>
      <c r="O3032" s="45"/>
      <c r="P3032" s="567"/>
      <c r="Q3032" s="567"/>
      <c r="R3032"/>
      <c r="S3032"/>
      <c r="T3032"/>
    </row>
    <row r="3033" spans="1:256" s="501" customFormat="1" ht="13.2">
      <c r="A3033" s="87">
        <v>1</v>
      </c>
      <c r="B3033" s="893" t="s">
        <v>287</v>
      </c>
      <c r="C3033" s="893"/>
      <c r="D3033" s="893" t="s">
        <v>1143</v>
      </c>
      <c r="E3033" s="893"/>
      <c r="F3033" s="893"/>
      <c r="G3033" s="894" t="s">
        <v>1139</v>
      </c>
      <c r="H3033" s="895">
        <v>902</v>
      </c>
      <c r="I3033" s="893" t="s">
        <v>660</v>
      </c>
      <c r="J3033" s="893"/>
      <c r="K3033" s="893"/>
      <c r="L3033" s="893"/>
      <c r="M3033" s="893"/>
      <c r="N3033" s="893"/>
      <c r="O3033" s="896">
        <v>3</v>
      </c>
      <c r="P3033" s="897">
        <v>38317</v>
      </c>
      <c r="Q3033" s="898"/>
      <c r="R3033" s="899">
        <f>$A3033*Q3033</f>
        <v>0</v>
      </c>
      <c r="S3033" s="898">
        <v>8</v>
      </c>
      <c r="T3033" s="900">
        <f>$A3033*S3033*$T$1</f>
        <v>8</v>
      </c>
      <c r="U3033" s="893"/>
      <c r="V3033" s="893"/>
      <c r="W3033" s="893"/>
      <c r="X3033" s="893"/>
      <c r="Y3033" s="893"/>
      <c r="Z3033" s="893"/>
      <c r="AA3033" s="893"/>
      <c r="AB3033" s="893"/>
      <c r="AC3033" s="893"/>
      <c r="AD3033" s="893"/>
      <c r="AE3033" s="893"/>
      <c r="AF3033" s="893"/>
      <c r="AG3033" s="893"/>
      <c r="AH3033" s="893"/>
      <c r="AI3033" s="893"/>
      <c r="AJ3033" s="893"/>
      <c r="AK3033" s="893"/>
      <c r="AL3033" s="893"/>
      <c r="AM3033" s="893"/>
      <c r="AN3033" s="893"/>
      <c r="AO3033" s="893"/>
      <c r="AP3033" s="893"/>
      <c r="AQ3033" s="893"/>
      <c r="AR3033" s="893"/>
      <c r="AS3033" s="893"/>
      <c r="AT3033" s="893"/>
      <c r="AU3033" s="893"/>
      <c r="AV3033" s="893"/>
      <c r="AW3033" s="893"/>
      <c r="AX3033" s="893"/>
      <c r="AY3033" s="893"/>
      <c r="AZ3033" s="893"/>
      <c r="BA3033" s="893"/>
      <c r="BB3033" s="893"/>
      <c r="BC3033" s="893"/>
      <c r="BD3033" s="893"/>
      <c r="BE3033" s="893"/>
      <c r="BF3033" s="893"/>
      <c r="BG3033" s="893"/>
      <c r="BH3033" s="893"/>
      <c r="BI3033" s="893"/>
      <c r="BJ3033" s="893"/>
      <c r="BK3033" s="893"/>
      <c r="BL3033" s="893"/>
      <c r="BM3033" s="893"/>
      <c r="BN3033" s="893"/>
      <c r="BO3033" s="893"/>
      <c r="BP3033" s="893"/>
      <c r="BQ3033" s="893"/>
      <c r="BR3033" s="893"/>
      <c r="BS3033" s="893"/>
      <c r="BT3033" s="893"/>
      <c r="BU3033" s="893"/>
      <c r="BV3033" s="893"/>
      <c r="BW3033" s="893"/>
      <c r="BX3033" s="893"/>
      <c r="BY3033" s="893"/>
      <c r="BZ3033" s="893"/>
      <c r="CA3033" s="893"/>
      <c r="CB3033" s="893"/>
      <c r="CC3033" s="893"/>
      <c r="CD3033" s="893"/>
      <c r="CE3033" s="893"/>
      <c r="CF3033" s="893"/>
      <c r="CG3033" s="893"/>
      <c r="CH3033" s="893"/>
      <c r="CI3033" s="893"/>
      <c r="CJ3033" s="893"/>
      <c r="CK3033" s="893"/>
      <c r="CL3033" s="893"/>
      <c r="CM3033" s="893"/>
      <c r="CN3033" s="893"/>
      <c r="CO3033" s="893"/>
      <c r="CP3033" s="893"/>
      <c r="CQ3033" s="893"/>
      <c r="CR3033" s="893"/>
      <c r="CS3033" s="893"/>
      <c r="CT3033" s="893"/>
      <c r="CU3033" s="893"/>
      <c r="CV3033" s="893"/>
      <c r="CW3033" s="893"/>
      <c r="CX3033" s="893"/>
      <c r="CY3033" s="893"/>
      <c r="CZ3033" s="893"/>
      <c r="DA3033" s="893"/>
      <c r="DB3033" s="893"/>
      <c r="DC3033" s="893"/>
      <c r="DD3033" s="893"/>
      <c r="DE3033" s="893"/>
      <c r="DF3033" s="893"/>
      <c r="DG3033" s="893"/>
      <c r="DH3033" s="893"/>
      <c r="DI3033" s="893"/>
      <c r="DJ3033" s="893"/>
      <c r="DK3033" s="893"/>
      <c r="DL3033" s="893"/>
      <c r="DM3033" s="893"/>
      <c r="DN3033" s="893"/>
      <c r="DO3033" s="893"/>
      <c r="DP3033" s="893"/>
      <c r="DQ3033" s="893"/>
      <c r="DR3033" s="893"/>
      <c r="DS3033" s="893"/>
      <c r="DT3033" s="893"/>
      <c r="DU3033" s="893"/>
      <c r="DV3033" s="893"/>
      <c r="DW3033" s="893"/>
      <c r="DX3033" s="893"/>
      <c r="DY3033" s="893"/>
      <c r="DZ3033" s="893"/>
      <c r="EA3033" s="893"/>
      <c r="EB3033" s="893"/>
      <c r="EC3033" s="893"/>
      <c r="ED3033" s="893"/>
      <c r="EE3033" s="893"/>
      <c r="EF3033" s="893"/>
      <c r="EG3033" s="893"/>
      <c r="EH3033" s="893"/>
      <c r="EI3033" s="893"/>
      <c r="EJ3033" s="893"/>
      <c r="EK3033" s="893"/>
      <c r="EL3033" s="893"/>
      <c r="EM3033" s="893"/>
      <c r="EN3033" s="893"/>
      <c r="EO3033" s="893"/>
      <c r="EP3033" s="893"/>
      <c r="EQ3033" s="893"/>
      <c r="ER3033" s="893"/>
      <c r="ES3033" s="893"/>
      <c r="ET3033" s="893"/>
      <c r="EU3033" s="893"/>
      <c r="EV3033" s="893"/>
      <c r="EW3033" s="893"/>
      <c r="EX3033" s="893"/>
      <c r="EY3033" s="893"/>
      <c r="EZ3033" s="893"/>
      <c r="FA3033" s="893"/>
      <c r="FB3033" s="893"/>
      <c r="FC3033" s="893"/>
      <c r="FD3033" s="893"/>
      <c r="FE3033" s="893"/>
      <c r="FF3033" s="893"/>
      <c r="FG3033" s="893"/>
      <c r="FH3033" s="893"/>
      <c r="FI3033" s="893"/>
      <c r="FJ3033" s="893"/>
      <c r="FK3033" s="893"/>
      <c r="FL3033" s="893"/>
      <c r="FM3033" s="893"/>
      <c r="FN3033" s="893"/>
      <c r="FO3033" s="893"/>
      <c r="FP3033" s="893"/>
      <c r="FQ3033" s="893"/>
      <c r="FR3033" s="893"/>
      <c r="FS3033" s="893"/>
      <c r="FT3033" s="893"/>
      <c r="FU3033" s="893"/>
      <c r="FV3033" s="893"/>
      <c r="FW3033" s="893"/>
      <c r="FX3033" s="893"/>
      <c r="FY3033" s="893"/>
      <c r="FZ3033" s="893"/>
      <c r="GA3033" s="893"/>
      <c r="GB3033" s="893"/>
      <c r="GC3033" s="893"/>
      <c r="GD3033" s="893"/>
      <c r="GE3033" s="893"/>
      <c r="GF3033" s="893"/>
      <c r="GG3033" s="893"/>
      <c r="GH3033" s="893"/>
      <c r="GI3033" s="893"/>
      <c r="GJ3033" s="893"/>
      <c r="GK3033" s="893"/>
      <c r="GL3033" s="893"/>
      <c r="GM3033" s="893"/>
      <c r="GN3033" s="893"/>
      <c r="GO3033" s="893"/>
      <c r="GP3033" s="893"/>
      <c r="GQ3033" s="893"/>
      <c r="GR3033" s="893"/>
      <c r="GS3033" s="893"/>
      <c r="GT3033" s="893"/>
      <c r="GU3033" s="893"/>
      <c r="GV3033" s="893"/>
      <c r="GW3033" s="893"/>
      <c r="GX3033" s="893"/>
      <c r="GY3033" s="893"/>
      <c r="GZ3033" s="893"/>
      <c r="HA3033" s="893"/>
      <c r="HB3033" s="893"/>
      <c r="HC3033" s="893"/>
      <c r="HD3033" s="893"/>
      <c r="HE3033" s="893"/>
      <c r="HF3033" s="893"/>
      <c r="HG3033" s="893"/>
      <c r="HH3033" s="893"/>
      <c r="HI3033" s="893"/>
      <c r="HJ3033" s="893"/>
      <c r="HK3033" s="893"/>
      <c r="HL3033" s="893"/>
      <c r="HM3033" s="893"/>
      <c r="HN3033" s="893"/>
      <c r="HO3033" s="893"/>
      <c r="HP3033" s="893"/>
      <c r="HQ3033" s="893"/>
      <c r="HR3033" s="893"/>
      <c r="HS3033" s="893"/>
      <c r="HT3033" s="893"/>
      <c r="HU3033" s="893"/>
      <c r="HV3033" s="893"/>
      <c r="HW3033" s="893"/>
      <c r="HX3033" s="893"/>
      <c r="HY3033" s="893"/>
      <c r="HZ3033" s="893"/>
      <c r="IA3033" s="893"/>
      <c r="IB3033" s="893"/>
      <c r="IC3033" s="893"/>
      <c r="ID3033" s="893"/>
      <c r="IE3033" s="893"/>
      <c r="IF3033" s="893"/>
      <c r="IG3033" s="893"/>
      <c r="IH3033" s="893"/>
      <c r="II3033" s="893"/>
      <c r="IJ3033" s="893"/>
      <c r="IK3033" s="893"/>
      <c r="IL3033" s="893"/>
      <c r="IM3033" s="893"/>
      <c r="IN3033" s="893"/>
      <c r="IO3033" s="893"/>
      <c r="IP3033" s="893"/>
      <c r="IQ3033" s="893"/>
      <c r="IR3033" s="893"/>
      <c r="IS3033" s="893"/>
      <c r="IT3033" s="893"/>
      <c r="IU3033" s="893"/>
      <c r="IV3033" s="893"/>
    </row>
    <row r="3034" spans="1:256" s="501" customFormat="1" ht="14.4" customHeight="1">
      <c r="A3034" s="767"/>
      <c r="B3034" s="567"/>
      <c r="C3034" s="567"/>
      <c r="D3034" s="567"/>
      <c r="E3034" s="567"/>
      <c r="F3034" s="567"/>
      <c r="G3034" s="567"/>
      <c r="H3034" s="764"/>
      <c r="I3034" s="567"/>
      <c r="J3034" s="45"/>
      <c r="K3034" s="769"/>
      <c r="L3034" s="770"/>
      <c r="M3034" s="567"/>
      <c r="N3034" s="567"/>
      <c r="O3034" s="45"/>
      <c r="P3034" s="567"/>
      <c r="Q3034" s="567"/>
      <c r="R3034" s="771">
        <f>$A3034*Q3034</f>
        <v>0</v>
      </c>
      <c r="S3034" s="567"/>
      <c r="T3034" s="500">
        <f>$A3034*S3034*$T$1</f>
        <v>0</v>
      </c>
    </row>
    <row r="3035" spans="1:256" s="501" customFormat="1" ht="12">
      <c r="A3035" s="772" t="s">
        <v>145</v>
      </c>
      <c r="B3035" s="773">
        <f>(R3034+T3034)</f>
        <v>0</v>
      </c>
      <c r="C3035" s="753"/>
      <c r="G3035" s="774"/>
      <c r="H3035" s="774"/>
      <c r="I3035" s="774"/>
      <c r="J3035" s="774"/>
      <c r="K3035" s="750" t="s">
        <v>3</v>
      </c>
      <c r="L3035" s="775" t="s">
        <v>573</v>
      </c>
      <c r="M3035" s="774"/>
      <c r="N3035" s="774"/>
      <c r="O3035" s="774"/>
      <c r="P3035" s="774"/>
      <c r="Q3035" s="776"/>
      <c r="R3035" s="777">
        <f>SUM(R3032:R3034)</f>
        <v>0</v>
      </c>
      <c r="S3035" s="778"/>
      <c r="T3035" s="777">
        <f>SUM(T3032:T3034)</f>
        <v>8</v>
      </c>
      <c r="AG3035" s="779">
        <f>ROUND($R3035*$S$2,2)</f>
        <v>0</v>
      </c>
    </row>
    <row r="3036" spans="1:256" s="501" customFormat="1" ht="12" customHeight="1">
      <c r="A3036" s="760"/>
      <c r="B3036" s="1328"/>
      <c r="C3036" s="1255"/>
      <c r="D3036" s="1255" t="str">
        <f>$F$5</f>
        <v>Megaline</v>
      </c>
      <c r="E3036" s="1255">
        <f>ROUND(($R3039*$S$5 + ($T3039*$T$5)),2)</f>
        <v>0</v>
      </c>
      <c r="F3036" s="1330">
        <f>$E3036*$C$12</f>
        <v>0</v>
      </c>
      <c r="G3036" s="567"/>
      <c r="H3036" s="764"/>
      <c r="I3036" s="567"/>
      <c r="J3036" s="45"/>
      <c r="K3036" s="765" t="s">
        <v>10</v>
      </c>
      <c r="L3036" s="766" t="s">
        <v>573</v>
      </c>
      <c r="M3036" s="567"/>
      <c r="N3036" s="567"/>
      <c r="O3036" s="45"/>
      <c r="P3036" s="567"/>
      <c r="Q3036" s="567"/>
      <c r="R3036"/>
      <c r="S3036"/>
      <c r="T3036"/>
    </row>
    <row r="3037" spans="1:256" s="501" customFormat="1" ht="13.95" customHeight="1">
      <c r="A3037" s="767"/>
      <c r="B3037" s="768" t="s">
        <v>574</v>
      </c>
      <c r="C3037" s="567"/>
      <c r="D3037" s="567"/>
      <c r="E3037" s="1331" t="s">
        <v>1119</v>
      </c>
      <c r="F3037" s="567"/>
      <c r="G3037" s="567"/>
      <c r="H3037" s="764"/>
      <c r="I3037" s="567"/>
      <c r="J3037" s="45"/>
      <c r="K3037" s="769"/>
      <c r="L3037" s="770"/>
      <c r="M3037" s="567"/>
      <c r="N3037" s="567"/>
      <c r="O3037" s="45"/>
      <c r="P3037" s="567"/>
      <c r="Q3037" s="567"/>
      <c r="R3037" s="771">
        <f>$A3037*Q3037</f>
        <v>0</v>
      </c>
      <c r="S3037" s="567"/>
      <c r="T3037" s="500">
        <f>$A3037*S3037*$T$1</f>
        <v>0</v>
      </c>
    </row>
    <row r="3038" spans="1:256" s="501" customFormat="1" ht="13.95" customHeight="1">
      <c r="A3038" s="767"/>
      <c r="B3038" s="567"/>
      <c r="C3038" s="567"/>
      <c r="D3038" s="567"/>
      <c r="E3038" s="567"/>
      <c r="F3038" s="567"/>
      <c r="G3038" s="567"/>
      <c r="H3038" s="764"/>
      <c r="I3038" s="567"/>
      <c r="J3038" s="45"/>
      <c r="K3038" s="769"/>
      <c r="L3038" s="770"/>
      <c r="M3038" s="567"/>
      <c r="N3038" s="567"/>
      <c r="O3038" s="45"/>
      <c r="P3038" s="567"/>
      <c r="Q3038" s="567"/>
      <c r="R3038" s="771">
        <f>$A3038*Q3038</f>
        <v>0</v>
      </c>
      <c r="S3038" s="567"/>
      <c r="T3038" s="500">
        <f>$A3038*S3038*$T$1</f>
        <v>0</v>
      </c>
    </row>
    <row r="3039" spans="1:256" s="501" customFormat="1" ht="12">
      <c r="A3039" s="825" t="s">
        <v>145</v>
      </c>
      <c r="B3039" s="826">
        <f>(R3038+T3038)</f>
        <v>0</v>
      </c>
      <c r="C3039" s="497"/>
      <c r="G3039" s="774"/>
      <c r="H3039" s="774"/>
      <c r="I3039" s="774"/>
      <c r="J3039" s="774"/>
      <c r="K3039" s="750" t="s">
        <v>10</v>
      </c>
      <c r="L3039" s="775" t="s">
        <v>573</v>
      </c>
      <c r="M3039" s="774"/>
      <c r="N3039" s="774"/>
      <c r="O3039" s="774"/>
      <c r="P3039" s="774"/>
      <c r="Q3039" s="776"/>
      <c r="R3039" s="777">
        <f>SUM(R3036:R3038)</f>
        <v>0</v>
      </c>
      <c r="S3039" s="778"/>
      <c r="T3039" s="777">
        <f>SUM(T3036:T3038)</f>
        <v>0</v>
      </c>
      <c r="AG3039" s="1257">
        <f>ROUND($R3039*$S$5,2)</f>
        <v>0</v>
      </c>
    </row>
    <row r="3040" spans="1:256" s="501" customFormat="1" ht="12" customHeight="1">
      <c r="A3040" s="760"/>
      <c r="B3040" s="780"/>
      <c r="C3040" s="781"/>
      <c r="D3040" s="782" t="str">
        <f>$F$3</f>
        <v>Technician</v>
      </c>
      <c r="E3040" s="782">
        <f>ROUND(($R3043*$S$3 + ($T3043*$T$3)), 2)</f>
        <v>0</v>
      </c>
      <c r="F3040" s="783">
        <f>$E3040*$C$12</f>
        <v>0</v>
      </c>
      <c r="G3040" s="499"/>
      <c r="H3040" s="499"/>
      <c r="I3040" s="499"/>
      <c r="J3040" s="499"/>
      <c r="K3040" s="765" t="s">
        <v>5</v>
      </c>
      <c r="L3040" s="766" t="s">
        <v>573</v>
      </c>
      <c r="M3040" s="499"/>
      <c r="N3040" s="499"/>
      <c r="O3040" s="499"/>
      <c r="P3040" s="499"/>
      <c r="Q3040" s="499"/>
      <c r="R3040" s="784"/>
      <c r="S3040" s="499"/>
      <c r="T3040" s="784"/>
    </row>
    <row r="3041" spans="1:41" s="893" customFormat="1" ht="13.2">
      <c r="A3041">
        <v>1</v>
      </c>
      <c r="B3041" s="893" t="s">
        <v>141</v>
      </c>
      <c r="D3041" s="893" t="s">
        <v>641</v>
      </c>
      <c r="F3041" s="1134" t="s">
        <v>733</v>
      </c>
      <c r="G3041" s="894" t="s">
        <v>642</v>
      </c>
      <c r="H3041" s="895">
        <v>512</v>
      </c>
      <c r="I3041" s="893" t="s">
        <v>643</v>
      </c>
      <c r="O3041" s="896">
        <v>3</v>
      </c>
      <c r="P3041" s="897"/>
      <c r="Q3041" s="898"/>
      <c r="R3041" s="899">
        <f>$A3041*Q3041</f>
        <v>0</v>
      </c>
      <c r="S3041" s="567"/>
      <c r="T3041" s="900">
        <f>$A3041*S3041*$T$1</f>
        <v>0</v>
      </c>
    </row>
    <row r="3042" spans="1:41" s="501" customFormat="1" ht="15.6" customHeight="1">
      <c r="A3042" s="767"/>
      <c r="B3042" s="567"/>
      <c r="C3042" s="567"/>
      <c r="D3042" s="3"/>
      <c r="E3042" s="567"/>
      <c r="F3042" s="567"/>
      <c r="G3042" s="567"/>
      <c r="H3042" s="567"/>
      <c r="I3042" s="567"/>
      <c r="J3042" s="567"/>
      <c r="K3042" s="567"/>
      <c r="L3042" s="770"/>
      <c r="M3042" s="567"/>
      <c r="N3042" s="567"/>
      <c r="O3042" s="567"/>
      <c r="P3042" s="567"/>
      <c r="Q3042" s="567"/>
      <c r="R3042" s="771">
        <f>$A3042*Q3042</f>
        <v>0</v>
      </c>
      <c r="S3042" s="567"/>
      <c r="T3042" s="500">
        <f>$A3042*S3042*$T$1</f>
        <v>0</v>
      </c>
    </row>
    <row r="3043" spans="1:41" s="501" customFormat="1" ht="12">
      <c r="A3043" s="772" t="s">
        <v>145</v>
      </c>
      <c r="B3043" s="773">
        <f>(R3042+T3042)</f>
        <v>0</v>
      </c>
      <c r="C3043" s="753"/>
      <c r="G3043" s="774"/>
      <c r="H3043" s="774"/>
      <c r="I3043" s="774"/>
      <c r="J3043" s="774"/>
      <c r="K3043" s="798" t="s">
        <v>5</v>
      </c>
      <c r="L3043" s="775" t="s">
        <v>573</v>
      </c>
      <c r="M3043" s="774"/>
      <c r="N3043" s="774"/>
      <c r="O3043" s="774"/>
      <c r="P3043" s="774"/>
      <c r="Q3043" s="776"/>
      <c r="R3043" s="777">
        <f>SUM(R3040:R3042)</f>
        <v>0</v>
      </c>
      <c r="S3043" s="778"/>
      <c r="T3043" s="777">
        <f>SUM(T3040:T3042)</f>
        <v>0</v>
      </c>
      <c r="AG3043" s="799">
        <f>ROUND($R3043*$S$3,2)</f>
        <v>0</v>
      </c>
    </row>
    <row r="3044" spans="1:41" s="501" customFormat="1" ht="12" customHeight="1">
      <c r="A3044" s="800"/>
      <c r="B3044" s="801"/>
      <c r="C3044" s="802"/>
      <c r="D3044" s="803" t="str">
        <f>$F$4</f>
        <v>Engineer (Man Hours)</v>
      </c>
      <c r="E3044" s="803">
        <f>ROUND(($R3047*$S$4 + ($T3047*$T$4)), 2)</f>
        <v>648</v>
      </c>
      <c r="F3044" s="804">
        <f ca="1">$F3029-SUMIF($L3031:$P3041,"SUBI",$F3031:$F3041)</f>
        <v>648</v>
      </c>
      <c r="G3044" s="499"/>
      <c r="H3044" s="499"/>
      <c r="I3044" s="499"/>
      <c r="J3044" s="499"/>
      <c r="K3044" s="805" t="s">
        <v>8</v>
      </c>
      <c r="L3044" s="766" t="s">
        <v>573</v>
      </c>
      <c r="M3044" s="499"/>
      <c r="N3044" s="499"/>
      <c r="O3044" s="499"/>
      <c r="P3044" s="499"/>
      <c r="Q3044" s="499"/>
      <c r="R3044" s="784"/>
      <c r="S3044" s="499"/>
      <c r="T3044" s="784"/>
    </row>
    <row r="3045" spans="1:41" s="893" customFormat="1" ht="13.2">
      <c r="A3045">
        <v>1</v>
      </c>
      <c r="B3045" s="893" t="s">
        <v>141</v>
      </c>
      <c r="D3045" s="893" t="s">
        <v>641</v>
      </c>
      <c r="F3045" s="1134" t="s">
        <v>733</v>
      </c>
      <c r="G3045" s="894" t="s">
        <v>642</v>
      </c>
      <c r="H3045" s="895">
        <v>512</v>
      </c>
      <c r="I3045" s="893" t="s">
        <v>643</v>
      </c>
      <c r="O3045" s="896">
        <v>3</v>
      </c>
      <c r="P3045" s="897"/>
      <c r="Q3045" s="898"/>
      <c r="R3045" s="899">
        <f>$A3045*Q3045</f>
        <v>0</v>
      </c>
      <c r="S3045" s="567">
        <v>16</v>
      </c>
      <c r="T3045" s="900">
        <f>$A3045*S3045*$T$1</f>
        <v>16</v>
      </c>
    </row>
    <row r="3046" spans="1:41" s="501" customFormat="1" ht="12">
      <c r="A3046" s="44"/>
      <c r="B3046" s="497"/>
      <c r="C3046" s="497"/>
      <c r="D3046" s="807"/>
      <c r="E3046" s="808"/>
      <c r="F3046" s="499"/>
      <c r="G3046" s="499"/>
      <c r="H3046" s="499"/>
      <c r="I3046" s="499"/>
      <c r="J3046" s="499"/>
      <c r="K3046" s="499"/>
      <c r="L3046" s="809"/>
      <c r="M3046" s="499"/>
      <c r="N3046" s="499"/>
      <c r="O3046" s="499"/>
      <c r="P3046" s="499"/>
      <c r="Q3046" s="499"/>
      <c r="R3046" s="720">
        <f>$A3046*Q3046</f>
        <v>0</v>
      </c>
      <c r="S3046" s="499"/>
      <c r="T3046" s="500">
        <f>$A3046*S3046*$T$1</f>
        <v>0</v>
      </c>
    </row>
    <row r="3047" spans="1:41" s="501" customFormat="1" ht="12.75" customHeight="1">
      <c r="A3047" s="772" t="s">
        <v>145</v>
      </c>
      <c r="B3047" s="773">
        <f>(R3046+T3046)</f>
        <v>0</v>
      </c>
      <c r="C3047" s="810"/>
      <c r="D3047" s="810"/>
      <c r="E3047" s="810"/>
      <c r="F3047" s="810"/>
      <c r="G3047" s="776"/>
      <c r="H3047" s="776"/>
      <c r="I3047" s="776"/>
      <c r="J3047" s="776"/>
      <c r="K3047" s="798" t="s">
        <v>8</v>
      </c>
      <c r="L3047" s="811" t="s">
        <v>573</v>
      </c>
      <c r="M3047" s="776"/>
      <c r="N3047" s="776"/>
      <c r="O3047" s="776"/>
      <c r="P3047" s="776"/>
      <c r="Q3047" s="776"/>
      <c r="R3047" s="777">
        <f>SUM(R3044:R3046)</f>
        <v>0</v>
      </c>
      <c r="S3047" s="778"/>
      <c r="T3047" s="777">
        <f>SUM(T3044:T3046)</f>
        <v>16</v>
      </c>
      <c r="AG3047" s="812">
        <f>ROUND($R3047*$S$4,2)</f>
        <v>0</v>
      </c>
    </row>
    <row r="3048" spans="1:41" s="501" customFormat="1" ht="12.75" customHeight="1">
      <c r="A3048" s="813"/>
      <c r="B3048" s="814"/>
      <c r="E3048" s="497"/>
      <c r="F3048" s="808"/>
      <c r="G3048" s="497"/>
      <c r="H3048" s="497"/>
      <c r="I3048" s="499"/>
      <c r="J3048" s="497"/>
      <c r="K3048" s="497"/>
      <c r="L3048" s="815"/>
      <c r="M3048" s="725"/>
      <c r="N3048" s="725"/>
      <c r="O3048" s="725"/>
      <c r="P3048" s="725"/>
      <c r="Q3048" s="726"/>
      <c r="R3048" s="784"/>
      <c r="S3048" s="497"/>
      <c r="T3048" s="784"/>
    </row>
    <row r="3049" spans="1:41" s="501" customFormat="1" ht="13.5" customHeight="1" thickBot="1">
      <c r="A3049" s="816"/>
      <c r="B3049" s="817"/>
      <c r="C3049" s="518"/>
      <c r="D3049" s="518"/>
      <c r="E3049" s="515"/>
      <c r="F3049" s="721"/>
      <c r="G3049" s="515" t="s">
        <v>146</v>
      </c>
      <c r="H3049" s="515"/>
      <c r="I3049" s="516"/>
      <c r="J3049" s="515"/>
      <c r="K3049" s="515"/>
      <c r="L3049" s="818" t="s">
        <v>143</v>
      </c>
      <c r="M3049" s="517"/>
      <c r="N3049" s="517"/>
      <c r="O3049" s="517"/>
      <c r="P3049" s="517"/>
      <c r="Q3049" s="722"/>
      <c r="R3049" s="819">
        <f>SUMIF($L3030:$L3048,"SUBI",R3030:R3048)</f>
        <v>0</v>
      </c>
      <c r="S3049" s="820"/>
      <c r="T3049" s="819">
        <f>SUMIF($L3030:$L3048,"SUBI",T3030:T3048)</f>
        <v>24</v>
      </c>
      <c r="U3049" s="518"/>
      <c r="V3049" s="518"/>
      <c r="W3049" s="518"/>
      <c r="X3049" s="518"/>
      <c r="Y3049" s="518"/>
      <c r="Z3049" s="518"/>
      <c r="AA3049" s="518"/>
      <c r="AB3049" s="518"/>
      <c r="AC3049" s="518"/>
      <c r="AD3049" s="518"/>
      <c r="AE3049" s="518"/>
      <c r="AF3049" s="518"/>
      <c r="AG3049" s="518"/>
      <c r="AH3049" s="518"/>
      <c r="AI3049" s="518"/>
      <c r="AJ3049" s="518"/>
      <c r="AK3049" s="518"/>
      <c r="AL3049" s="518"/>
      <c r="AM3049" s="518"/>
      <c r="AN3049" s="518"/>
      <c r="AO3049" s="518"/>
    </row>
    <row r="3050" spans="1:41" s="501" customFormat="1" thickTop="1">
      <c r="A3050" s="44"/>
      <c r="B3050" s="39"/>
      <c r="C3050" s="44"/>
      <c r="E3050" s="40" t="s">
        <v>138</v>
      </c>
      <c r="F3050" s="40" t="s">
        <v>139</v>
      </c>
      <c r="G3050" s="44"/>
      <c r="H3050" s="44"/>
      <c r="I3050" s="44"/>
      <c r="J3050" s="44"/>
      <c r="K3050" s="44" t="s">
        <v>140</v>
      </c>
      <c r="L3050" s="737"/>
      <c r="M3050" s="44"/>
      <c r="N3050" s="44"/>
      <c r="O3050" s="45"/>
      <c r="P3050" s="44"/>
      <c r="Q3050"/>
      <c r="R3050"/>
      <c r="S3050"/>
      <c r="T3050" s="39"/>
      <c r="AG3050" s="502" t="s">
        <v>247</v>
      </c>
      <c r="AH3050" s="502" t="s">
        <v>248</v>
      </c>
      <c r="AI3050" s="502" t="s">
        <v>249</v>
      </c>
      <c r="AJ3050" s="502" t="s">
        <v>250</v>
      </c>
      <c r="AK3050" s="502" t="s">
        <v>251</v>
      </c>
      <c r="AM3050" s="710" t="s">
        <v>260</v>
      </c>
      <c r="AN3050" s="711" t="s">
        <v>261</v>
      </c>
      <c r="AO3050" s="503" t="s">
        <v>257</v>
      </c>
    </row>
    <row r="3051" spans="1:41" s="501" customFormat="1" ht="13.2">
      <c r="A3051" s="712">
        <v>1</v>
      </c>
      <c r="B3051" s="504" t="s">
        <v>287</v>
      </c>
      <c r="C3051" s="505"/>
      <c r="D3051" s="713" t="s">
        <v>583</v>
      </c>
      <c r="E3051" s="738">
        <f>IF(AND($A3051=0,$A$1="DIF"),0, ROUND(ROUND(SUMIF($L3053:$L3064,"SUBI",$E3053:$E3064)/$A3051,2)*$C$12,2))</f>
        <v>1949.91</v>
      </c>
      <c r="F3051" s="739">
        <f>ROUND($A3051*$E3051,2)</f>
        <v>1949.91</v>
      </c>
      <c r="G3051" s="506" t="s">
        <v>142</v>
      </c>
      <c r="H3051" s="498"/>
      <c r="I3051" s="716"/>
      <c r="J3051" s="498"/>
      <c r="K3051" s="740"/>
      <c r="L3051" s="741" t="s">
        <v>143</v>
      </c>
      <c r="M3051" s="717"/>
      <c r="N3051" s="717"/>
      <c r="O3051" s="717"/>
      <c r="P3051" s="717"/>
      <c r="Q3051"/>
      <c r="R3051"/>
      <c r="S3051"/>
      <c r="T3051" s="742" t="str">
        <f>IF(AND($R3070=0,$T3070=0),"0.00","mu :" &amp; ROUND($F3051/$C$12/($R3070+$T3070*$D$9),2))</f>
        <v>mu :1.25</v>
      </c>
      <c r="W3051" s="507"/>
      <c r="AG3051" s="743">
        <f>IF(A3051=0,0,ROUND(SUM(AG3053:AG3070)/A3051,2))</f>
        <v>1585.73</v>
      </c>
      <c r="AH3051" s="743">
        <f>$AG3051*$A3051</f>
        <v>1585.73</v>
      </c>
      <c r="AI3051" s="743">
        <f>$E3051-$AG3051</f>
        <v>364.18000000000006</v>
      </c>
      <c r="AJ3051" s="743">
        <f>$A3051*$AI3051</f>
        <v>364.18000000000006</v>
      </c>
      <c r="AK3051" s="744">
        <f>ROUND(($AG3051+$AI3051)*$A3051,2)</f>
        <v>1949.91</v>
      </c>
      <c r="AM3051" s="510">
        <f>ROUND(R3070,2)</f>
        <v>1334.07</v>
      </c>
      <c r="AN3051" s="511">
        <f>ROUND(T3070,2)</f>
        <v>8</v>
      </c>
      <c r="AO3051" s="512">
        <f>ROUND(AM3051+AN3051,2)*A3051</f>
        <v>1342.07</v>
      </c>
    </row>
    <row r="3052" spans="1:41" s="501" customFormat="1" ht="46.2" customHeight="1">
      <c r="A3052" s="745"/>
      <c r="B3052" s="746"/>
      <c r="C3052" s="505"/>
      <c r="D3052" s="1182" t="s">
        <v>974</v>
      </c>
      <c r="E3052" s="1182"/>
      <c r="F3052" s="1182"/>
      <c r="G3052" s="1182"/>
      <c r="H3052" s="1182"/>
      <c r="I3052" s="1182"/>
      <c r="J3052" s="1182"/>
      <c r="K3052" s="1182"/>
      <c r="L3052" s="1182"/>
      <c r="M3052" s="1182"/>
      <c r="N3052" s="1182"/>
      <c r="O3052" s="1182"/>
      <c r="P3052" s="1182"/>
      <c r="Q3052" s="1182"/>
      <c r="R3052" s="1182"/>
      <c r="S3052" s="1182"/>
      <c r="T3052" s="1182"/>
    </row>
    <row r="3053" spans="1:41" s="501" customFormat="1" ht="12">
      <c r="A3053" s="821"/>
      <c r="B3053" s="822"/>
      <c r="C3053" s="497"/>
      <c r="D3053" s="498"/>
      <c r="E3053" s="823">
        <f>F3051/$C$12-SUMIF($L3050:$L3070,"SUBI",$E3050:$E3070)</f>
        <v>0</v>
      </c>
      <c r="F3053" s="824" t="s">
        <v>572</v>
      </c>
      <c r="G3053" s="753"/>
      <c r="H3053" s="753"/>
      <c r="I3053" s="754"/>
      <c r="J3053" s="753"/>
      <c r="K3053" s="753"/>
      <c r="L3053" s="755"/>
      <c r="M3053" s="756"/>
      <c r="N3053" s="756"/>
      <c r="O3053" s="756"/>
      <c r="P3053" s="756"/>
      <c r="Q3053" s="757"/>
      <c r="R3053" s="758"/>
      <c r="S3053" s="757"/>
      <c r="T3053" s="759"/>
    </row>
    <row r="3054" spans="1:41" s="501" customFormat="1" ht="12" customHeight="1">
      <c r="A3054" s="760"/>
      <c r="B3054" s="761"/>
      <c r="C3054" s="762"/>
      <c r="D3054" s="762" t="str">
        <f>$F$2</f>
        <v>Electrical</v>
      </c>
      <c r="E3054" s="762">
        <f>ROUND(($R3059*$S$2 + ($T3059*$T$2)), 2)</f>
        <v>970.7</v>
      </c>
      <c r="F3054" s="763">
        <f>$E3054*$C$12</f>
        <v>970.7</v>
      </c>
      <c r="G3054" s="567"/>
      <c r="H3054" s="764"/>
      <c r="I3054" s="567"/>
      <c r="J3054" s="45"/>
      <c r="K3054" s="765" t="s">
        <v>3</v>
      </c>
      <c r="L3054" s="766" t="s">
        <v>573</v>
      </c>
      <c r="M3054" s="567"/>
      <c r="N3054" s="567"/>
      <c r="O3054" s="45"/>
      <c r="P3054" s="567"/>
      <c r="Q3054" s="567"/>
      <c r="R3054"/>
      <c r="S3054"/>
      <c r="T3054"/>
    </row>
    <row r="3055" spans="1:41" s="893" customFormat="1" ht="13.2">
      <c r="A3055" s="87">
        <v>1</v>
      </c>
      <c r="B3055" s="893" t="s">
        <v>141</v>
      </c>
      <c r="D3055" s="893" t="s">
        <v>1144</v>
      </c>
      <c r="G3055" s="894" t="s">
        <v>1126</v>
      </c>
      <c r="H3055" s="895">
        <v>880</v>
      </c>
      <c r="I3055" s="893" t="s">
        <v>643</v>
      </c>
      <c r="O3055" s="896">
        <v>3</v>
      </c>
      <c r="P3055" s="897"/>
      <c r="Q3055" s="898">
        <f>25+16*27.46</f>
        <v>464.36</v>
      </c>
      <c r="R3055" s="899">
        <f>$A3055*Q3055</f>
        <v>464.36</v>
      </c>
      <c r="S3055" s="898"/>
      <c r="T3055" s="900">
        <f>$A3055*S3055*$T$1</f>
        <v>0</v>
      </c>
    </row>
    <row r="3056" spans="1:41" s="893" customFormat="1" ht="13.2">
      <c r="A3056" s="87">
        <v>1</v>
      </c>
      <c r="B3056" s="893" t="s">
        <v>141</v>
      </c>
      <c r="D3056" s="893" t="s">
        <v>1145</v>
      </c>
      <c r="G3056" s="894" t="s">
        <v>1146</v>
      </c>
      <c r="H3056" s="895">
        <v>880</v>
      </c>
      <c r="I3056" s="893" t="s">
        <v>643</v>
      </c>
      <c r="O3056" s="896">
        <v>3</v>
      </c>
      <c r="P3056" s="897"/>
      <c r="Q3056" s="898">
        <v>10</v>
      </c>
      <c r="R3056" s="899">
        <f>$A3056*Q3056</f>
        <v>10</v>
      </c>
      <c r="S3056" s="898"/>
      <c r="T3056" s="900">
        <f>$A3056*S3056*$T$1</f>
        <v>0</v>
      </c>
    </row>
    <row r="3057" spans="1:256" s="501" customFormat="1" ht="13.2">
      <c r="A3057" s="87">
        <v>1</v>
      </c>
      <c r="B3057" s="893" t="s">
        <v>141</v>
      </c>
      <c r="C3057" s="893"/>
      <c r="D3057" s="893" t="s">
        <v>1147</v>
      </c>
      <c r="E3057" s="893"/>
      <c r="F3057" s="893"/>
      <c r="G3057" s="894" t="s">
        <v>1148</v>
      </c>
      <c r="H3057" s="895">
        <v>880</v>
      </c>
      <c r="I3057" s="893" t="s">
        <v>643</v>
      </c>
      <c r="J3057" s="893"/>
      <c r="K3057" s="893"/>
      <c r="L3057" s="893"/>
      <c r="M3057" s="893"/>
      <c r="N3057" s="893"/>
      <c r="O3057" s="896">
        <v>3</v>
      </c>
      <c r="P3057" s="897"/>
      <c r="Q3057" s="898">
        <f>25+8*27.46</f>
        <v>244.68</v>
      </c>
      <c r="R3057" s="899">
        <f>$A3057*Q3057</f>
        <v>244.68</v>
      </c>
      <c r="S3057" s="898"/>
      <c r="T3057" s="900">
        <f>$A3057*S3057*$T$1</f>
        <v>0</v>
      </c>
      <c r="U3057" s="893"/>
      <c r="V3057" s="893"/>
      <c r="W3057" s="893"/>
      <c r="X3057" s="893"/>
      <c r="Y3057" s="893"/>
      <c r="Z3057" s="893"/>
      <c r="AA3057" s="893"/>
      <c r="AB3057" s="893"/>
      <c r="AC3057" s="893"/>
      <c r="AD3057" s="893"/>
      <c r="AE3057" s="893"/>
      <c r="AF3057" s="893"/>
      <c r="AG3057" s="893"/>
      <c r="AH3057" s="893"/>
      <c r="AI3057" s="893"/>
      <c r="AJ3057" s="893"/>
      <c r="AK3057" s="893"/>
      <c r="AL3057" s="893"/>
      <c r="AM3057" s="893"/>
      <c r="AN3057" s="893"/>
      <c r="AO3057" s="893"/>
      <c r="AP3057" s="893"/>
      <c r="AQ3057" s="893"/>
      <c r="AR3057" s="893"/>
      <c r="AS3057" s="893"/>
      <c r="AT3057" s="893"/>
      <c r="AU3057" s="893"/>
      <c r="AV3057" s="893"/>
      <c r="AW3057" s="893"/>
      <c r="AX3057" s="893"/>
      <c r="AY3057" s="893"/>
      <c r="AZ3057" s="893"/>
      <c r="BA3057" s="893"/>
      <c r="BB3057" s="893"/>
      <c r="BC3057" s="893"/>
      <c r="BD3057" s="893"/>
      <c r="BE3057" s="893"/>
      <c r="BF3057" s="893"/>
      <c r="BG3057" s="893"/>
      <c r="BH3057" s="893"/>
      <c r="BI3057" s="893"/>
      <c r="BJ3057" s="893"/>
      <c r="BK3057" s="893"/>
      <c r="BL3057" s="893"/>
      <c r="BM3057" s="893"/>
      <c r="BN3057" s="893"/>
      <c r="BO3057" s="893"/>
      <c r="BP3057" s="893"/>
      <c r="BQ3057" s="893"/>
      <c r="BR3057" s="893"/>
      <c r="BS3057" s="893"/>
      <c r="BT3057" s="893"/>
      <c r="BU3057" s="893"/>
      <c r="BV3057" s="893"/>
      <c r="BW3057" s="893"/>
      <c r="BX3057" s="893"/>
      <c r="BY3057" s="893"/>
      <c r="BZ3057" s="893"/>
      <c r="CA3057" s="893"/>
      <c r="CB3057" s="893"/>
      <c r="CC3057" s="893"/>
      <c r="CD3057" s="893"/>
      <c r="CE3057" s="893"/>
      <c r="CF3057" s="893"/>
      <c r="CG3057" s="893"/>
      <c r="CH3057" s="893"/>
      <c r="CI3057" s="893"/>
      <c r="CJ3057" s="893"/>
      <c r="CK3057" s="893"/>
      <c r="CL3057" s="893"/>
      <c r="CM3057" s="893"/>
      <c r="CN3057" s="893"/>
      <c r="CO3057" s="893"/>
      <c r="CP3057" s="893"/>
      <c r="CQ3057" s="893"/>
      <c r="CR3057" s="893"/>
      <c r="CS3057" s="893"/>
      <c r="CT3057" s="893"/>
      <c r="CU3057" s="893"/>
      <c r="CV3057" s="893"/>
      <c r="CW3057" s="893"/>
      <c r="CX3057" s="893"/>
      <c r="CY3057" s="893"/>
      <c r="CZ3057" s="893"/>
      <c r="DA3057" s="893"/>
      <c r="DB3057" s="893"/>
      <c r="DC3057" s="893"/>
      <c r="DD3057" s="893"/>
      <c r="DE3057" s="893"/>
      <c r="DF3057" s="893"/>
      <c r="DG3057" s="893"/>
      <c r="DH3057" s="893"/>
      <c r="DI3057" s="893"/>
      <c r="DJ3057" s="893"/>
      <c r="DK3057" s="893"/>
      <c r="DL3057" s="893"/>
      <c r="DM3057" s="893"/>
      <c r="DN3057" s="893"/>
      <c r="DO3057" s="893"/>
      <c r="DP3057" s="893"/>
      <c r="DQ3057" s="893"/>
      <c r="DR3057" s="893"/>
      <c r="DS3057" s="893"/>
      <c r="DT3057" s="893"/>
      <c r="DU3057" s="893"/>
      <c r="DV3057" s="893"/>
      <c r="DW3057" s="893"/>
      <c r="DX3057" s="893"/>
      <c r="DY3057" s="893"/>
      <c r="DZ3057" s="893"/>
      <c r="EA3057" s="893"/>
      <c r="EB3057" s="893"/>
      <c r="EC3057" s="893"/>
      <c r="ED3057" s="893"/>
      <c r="EE3057" s="893"/>
      <c r="EF3057" s="893"/>
      <c r="EG3057" s="893"/>
      <c r="EH3057" s="893"/>
      <c r="EI3057" s="893"/>
      <c r="EJ3057" s="893"/>
      <c r="EK3057" s="893"/>
      <c r="EL3057" s="893"/>
      <c r="EM3057" s="893"/>
      <c r="EN3057" s="893"/>
      <c r="EO3057" s="893"/>
      <c r="EP3057" s="893"/>
      <c r="EQ3057" s="893"/>
      <c r="ER3057" s="893"/>
      <c r="ES3057" s="893"/>
      <c r="ET3057" s="893"/>
      <c r="EU3057" s="893"/>
      <c r="EV3057" s="893"/>
      <c r="EW3057" s="893"/>
      <c r="EX3057" s="893"/>
      <c r="EY3057" s="893"/>
      <c r="EZ3057" s="893"/>
      <c r="FA3057" s="893"/>
      <c r="FB3057" s="893"/>
      <c r="FC3057" s="893"/>
      <c r="FD3057" s="893"/>
      <c r="FE3057" s="893"/>
      <c r="FF3057" s="893"/>
      <c r="FG3057" s="893"/>
      <c r="FH3057" s="893"/>
      <c r="FI3057" s="893"/>
      <c r="FJ3057" s="893"/>
      <c r="FK3057" s="893"/>
      <c r="FL3057" s="893"/>
      <c r="FM3057" s="893"/>
      <c r="FN3057" s="893"/>
      <c r="FO3057" s="893"/>
      <c r="FP3057" s="893"/>
      <c r="FQ3057" s="893"/>
      <c r="FR3057" s="893"/>
      <c r="FS3057" s="893"/>
      <c r="FT3057" s="893"/>
      <c r="FU3057" s="893"/>
      <c r="FV3057" s="893"/>
      <c r="FW3057" s="893"/>
      <c r="FX3057" s="893"/>
      <c r="FY3057" s="893"/>
      <c r="FZ3057" s="893"/>
      <c r="GA3057" s="893"/>
      <c r="GB3057" s="893"/>
      <c r="GC3057" s="893"/>
      <c r="GD3057" s="893"/>
      <c r="GE3057" s="893"/>
      <c r="GF3057" s="893"/>
      <c r="GG3057" s="893"/>
      <c r="GH3057" s="893"/>
      <c r="GI3057" s="893"/>
      <c r="GJ3057" s="893"/>
      <c r="GK3057" s="893"/>
      <c r="GL3057" s="893"/>
      <c r="GM3057" s="893"/>
      <c r="GN3057" s="893"/>
      <c r="GO3057" s="893"/>
      <c r="GP3057" s="893"/>
      <c r="GQ3057" s="893"/>
      <c r="GR3057" s="893"/>
      <c r="GS3057" s="893"/>
      <c r="GT3057" s="893"/>
      <c r="GU3057" s="893"/>
      <c r="GV3057" s="893"/>
      <c r="GW3057" s="893"/>
      <c r="GX3057" s="893"/>
      <c r="GY3057" s="893"/>
      <c r="GZ3057" s="893"/>
      <c r="HA3057" s="893"/>
      <c r="HB3057" s="893"/>
      <c r="HC3057" s="893"/>
      <c r="HD3057" s="893"/>
      <c r="HE3057" s="893"/>
      <c r="HF3057" s="893"/>
      <c r="HG3057" s="893"/>
      <c r="HH3057" s="893"/>
      <c r="HI3057" s="893"/>
      <c r="HJ3057" s="893"/>
      <c r="HK3057" s="893"/>
      <c r="HL3057" s="893"/>
      <c r="HM3057" s="893"/>
      <c r="HN3057" s="893"/>
      <c r="HO3057" s="893"/>
      <c r="HP3057" s="893"/>
      <c r="HQ3057" s="893"/>
      <c r="HR3057" s="893"/>
      <c r="HS3057" s="893"/>
      <c r="HT3057" s="893"/>
      <c r="HU3057" s="893"/>
      <c r="HV3057" s="893"/>
      <c r="HW3057" s="893"/>
      <c r="HX3057" s="893"/>
      <c r="HY3057" s="893"/>
      <c r="HZ3057" s="893"/>
      <c r="IA3057" s="893"/>
      <c r="IB3057" s="893"/>
      <c r="IC3057" s="893"/>
      <c r="ID3057" s="893"/>
      <c r="IE3057" s="893"/>
      <c r="IF3057" s="893"/>
      <c r="IG3057" s="893"/>
      <c r="IH3057" s="893"/>
      <c r="II3057" s="893"/>
      <c r="IJ3057" s="893"/>
      <c r="IK3057" s="893"/>
      <c r="IL3057" s="893"/>
      <c r="IM3057" s="893"/>
      <c r="IN3057" s="893"/>
      <c r="IO3057" s="893"/>
      <c r="IP3057" s="893"/>
      <c r="IQ3057" s="893"/>
      <c r="IR3057" s="893"/>
      <c r="IS3057" s="893"/>
      <c r="IT3057" s="893"/>
      <c r="IU3057" s="893"/>
      <c r="IV3057" s="893"/>
    </row>
    <row r="3058" spans="1:256" s="501" customFormat="1" ht="13.95" customHeight="1">
      <c r="A3058" s="767"/>
      <c r="B3058" s="567"/>
      <c r="C3058" s="567"/>
      <c r="D3058" s="567"/>
      <c r="E3058" s="567"/>
      <c r="F3058" s="567"/>
      <c r="G3058" s="567"/>
      <c r="H3058" s="764"/>
      <c r="I3058" s="567"/>
      <c r="J3058" s="45"/>
      <c r="K3058" s="769"/>
      <c r="L3058" s="770"/>
      <c r="M3058" s="567"/>
      <c r="N3058" s="567"/>
      <c r="O3058" s="45"/>
      <c r="P3058" s="567"/>
      <c r="Q3058" s="567"/>
      <c r="R3058" s="771">
        <f>$A3058*Q3058</f>
        <v>0</v>
      </c>
      <c r="S3058" s="567"/>
      <c r="T3058" s="500">
        <f>$A3058*S3058*$T$1</f>
        <v>0</v>
      </c>
    </row>
    <row r="3059" spans="1:256" s="501" customFormat="1" ht="12">
      <c r="A3059" s="825" t="s">
        <v>145</v>
      </c>
      <c r="B3059" s="826">
        <f>(R3058+T3058)</f>
        <v>0</v>
      </c>
      <c r="C3059" s="497"/>
      <c r="G3059" s="774"/>
      <c r="H3059" s="774"/>
      <c r="I3059" s="774"/>
      <c r="J3059" s="774"/>
      <c r="K3059" s="750" t="s">
        <v>3</v>
      </c>
      <c r="L3059" s="775" t="s">
        <v>573</v>
      </c>
      <c r="M3059" s="774"/>
      <c r="N3059" s="774"/>
      <c r="O3059" s="774"/>
      <c r="P3059" s="774"/>
      <c r="Q3059" s="776"/>
      <c r="R3059" s="777">
        <f>SUM(R3054:R3058)</f>
        <v>719.04</v>
      </c>
      <c r="S3059" s="778"/>
      <c r="T3059" s="777">
        <f>SUM(T3054:T3058)</f>
        <v>0</v>
      </c>
      <c r="AG3059" s="779">
        <f>ROUND($R3059*$S$2,2)</f>
        <v>970.7</v>
      </c>
    </row>
    <row r="3060" spans="1:256" s="501" customFormat="1" ht="12" customHeight="1">
      <c r="A3060" s="760"/>
      <c r="B3060" s="1328"/>
      <c r="C3060" s="1255"/>
      <c r="D3060" s="1255" t="str">
        <f>$F$5</f>
        <v>Megaline</v>
      </c>
      <c r="E3060" s="1255">
        <f>ROUND(($R3063*$S$5 + ($T3063*$T$5)),2)</f>
        <v>615.03</v>
      </c>
      <c r="F3060" s="1330">
        <f>$E3060*$C$12</f>
        <v>615.03</v>
      </c>
      <c r="G3060" s="567"/>
      <c r="H3060" s="764"/>
      <c r="I3060" s="567"/>
      <c r="J3060" s="45"/>
      <c r="K3060" s="765" t="s">
        <v>10</v>
      </c>
      <c r="L3060" s="766" t="s">
        <v>573</v>
      </c>
      <c r="M3060" s="567"/>
      <c r="N3060" s="567"/>
      <c r="O3060" s="45"/>
      <c r="P3060" s="567"/>
      <c r="Q3060" s="567"/>
      <c r="R3060"/>
      <c r="S3060"/>
      <c r="T3060"/>
    </row>
    <row r="3061" spans="1:256" s="893" customFormat="1" ht="13.2">
      <c r="A3061" s="971">
        <v>1</v>
      </c>
      <c r="B3061" s="972" t="s">
        <v>287</v>
      </c>
      <c r="C3061" s="972"/>
      <c r="D3061" s="972" t="s">
        <v>884</v>
      </c>
      <c r="E3061" s="972"/>
      <c r="F3061" s="944" t="s">
        <v>885</v>
      </c>
      <c r="G3061" s="973" t="s">
        <v>886</v>
      </c>
      <c r="H3061" s="979">
        <v>960</v>
      </c>
      <c r="I3061" s="972" t="s">
        <v>660</v>
      </c>
      <c r="J3061" s="972"/>
      <c r="K3061" s="972"/>
      <c r="L3061" s="972"/>
      <c r="M3061" s="972"/>
      <c r="N3061" s="972"/>
      <c r="O3061" s="974">
        <v>4</v>
      </c>
      <c r="P3061" s="975">
        <v>38594</v>
      </c>
      <c r="Q3061" s="976">
        <v>615.03</v>
      </c>
      <c r="R3061" s="977">
        <f>$A3061*Q3061</f>
        <v>615.03</v>
      </c>
      <c r="S3061" s="976"/>
      <c r="T3061" s="978">
        <f>$A3061*S3061*$T$1</f>
        <v>0</v>
      </c>
    </row>
    <row r="3062" spans="1:256" s="501" customFormat="1" ht="13.95" customHeight="1">
      <c r="A3062" s="767"/>
      <c r="B3062" s="567"/>
      <c r="C3062" s="567"/>
      <c r="D3062" s="567"/>
      <c r="E3062" s="567"/>
      <c r="F3062" s="567"/>
      <c r="G3062" s="567"/>
      <c r="H3062" s="764"/>
      <c r="I3062" s="567"/>
      <c r="J3062" s="45"/>
      <c r="K3062" s="769"/>
      <c r="L3062" s="770"/>
      <c r="M3062" s="567"/>
      <c r="N3062" s="567"/>
      <c r="O3062" s="45"/>
      <c r="P3062" s="567"/>
      <c r="Q3062" s="567"/>
      <c r="R3062" s="771">
        <f>$A3062*Q3062</f>
        <v>0</v>
      </c>
      <c r="S3062" s="567"/>
      <c r="T3062" s="500">
        <f>$A3062*S3062*$T$1</f>
        <v>0</v>
      </c>
    </row>
    <row r="3063" spans="1:256" s="501" customFormat="1" ht="12">
      <c r="A3063" s="825" t="s">
        <v>145</v>
      </c>
      <c r="B3063" s="826">
        <f>(R3062+T3062)</f>
        <v>0</v>
      </c>
      <c r="C3063" s="497"/>
      <c r="G3063" s="774"/>
      <c r="H3063" s="774"/>
      <c r="I3063" s="774"/>
      <c r="J3063" s="774"/>
      <c r="K3063" s="750" t="s">
        <v>10</v>
      </c>
      <c r="L3063" s="775" t="s">
        <v>573</v>
      </c>
      <c r="M3063" s="774"/>
      <c r="N3063" s="774"/>
      <c r="O3063" s="774"/>
      <c r="P3063" s="774"/>
      <c r="Q3063" s="776"/>
      <c r="R3063" s="777">
        <f>SUM(R3060:R3062)</f>
        <v>615.03</v>
      </c>
      <c r="S3063" s="778"/>
      <c r="T3063" s="777">
        <f>SUM(T3060:T3062)</f>
        <v>0</v>
      </c>
      <c r="AG3063" s="1257">
        <f>ROUND($R3063*$S$5,2)</f>
        <v>615.03</v>
      </c>
    </row>
    <row r="3064" spans="1:256" s="501" customFormat="1" ht="12" customHeight="1">
      <c r="A3064" s="800"/>
      <c r="B3064" s="827"/>
      <c r="C3064" s="828"/>
      <c r="D3064" s="828" t="str">
        <f>$F$3</f>
        <v>Technician</v>
      </c>
      <c r="E3064" s="828">
        <f>ROUND(($R3068*$S$3 + ($T3068*$T$3)), 2)</f>
        <v>364.18</v>
      </c>
      <c r="F3064" s="829">
        <f ca="1">$F3051-SUMIF($L3053:$P3063,"SUBI",$F3053:$F3063)</f>
        <v>364.18000000000006</v>
      </c>
      <c r="G3064" s="499"/>
      <c r="H3064" s="499"/>
      <c r="I3064" s="499"/>
      <c r="J3064" s="499"/>
      <c r="K3064" s="765" t="s">
        <v>5</v>
      </c>
      <c r="L3064" s="766" t="s">
        <v>573</v>
      </c>
      <c r="M3064" s="499"/>
      <c r="N3064" s="499"/>
      <c r="O3064" s="499"/>
      <c r="P3064" s="499"/>
      <c r="Q3064" s="499"/>
      <c r="R3064" s="784"/>
      <c r="S3064" s="499"/>
      <c r="T3064" s="784"/>
    </row>
    <row r="3065" spans="1:256" s="893" customFormat="1" ht="13.2">
      <c r="A3065">
        <v>1</v>
      </c>
      <c r="B3065" s="893" t="s">
        <v>141</v>
      </c>
      <c r="D3065" s="893" t="s">
        <v>641</v>
      </c>
      <c r="F3065" s="1134" t="s">
        <v>733</v>
      </c>
      <c r="G3065" s="894" t="s">
        <v>642</v>
      </c>
      <c r="H3065" s="895">
        <v>512</v>
      </c>
      <c r="I3065" s="893" t="s">
        <v>643</v>
      </c>
      <c r="O3065" s="896">
        <v>3</v>
      </c>
      <c r="P3065" s="897"/>
      <c r="Q3065" s="898"/>
      <c r="R3065" s="899">
        <f>$A3065*Q3065</f>
        <v>0</v>
      </c>
      <c r="S3065" s="567">
        <v>8</v>
      </c>
      <c r="T3065" s="900">
        <f>$A3065*S3065*$T$1</f>
        <v>8</v>
      </c>
    </row>
    <row r="3066" spans="1:256" s="501" customFormat="1" ht="11.4">
      <c r="A3066" s="767"/>
      <c r="B3066" s="567"/>
      <c r="C3066" s="567"/>
      <c r="D3066" s="567"/>
      <c r="E3066" s="567"/>
      <c r="F3066" s="567"/>
      <c r="G3066" s="567"/>
      <c r="H3066" s="567"/>
      <c r="I3066" s="567"/>
      <c r="J3066" s="567"/>
      <c r="K3066" s="567"/>
      <c r="L3066" s="770"/>
      <c r="M3066" s="567"/>
      <c r="N3066" s="567"/>
      <c r="O3066" s="567"/>
      <c r="P3066" s="567"/>
      <c r="Q3066" s="567"/>
      <c r="R3066" s="771">
        <f>$A3066*Q3066</f>
        <v>0</v>
      </c>
      <c r="S3066" s="567"/>
      <c r="T3066" s="500">
        <f>$A3066*S3066*$T$1</f>
        <v>0</v>
      </c>
    </row>
    <row r="3067" spans="1:256" s="501" customFormat="1" ht="13.2">
      <c r="A3067" s="767"/>
      <c r="B3067" s="567"/>
      <c r="C3067" s="567"/>
      <c r="D3067" s="3"/>
      <c r="E3067" s="567"/>
      <c r="F3067" s="567"/>
      <c r="G3067" s="567"/>
      <c r="H3067" s="567"/>
      <c r="I3067" s="567"/>
      <c r="J3067" s="567"/>
      <c r="K3067" s="567"/>
      <c r="L3067" s="770"/>
      <c r="M3067" s="567"/>
      <c r="N3067" s="567"/>
      <c r="O3067" s="567"/>
      <c r="P3067" s="567"/>
      <c r="Q3067" s="567"/>
      <c r="R3067" s="771">
        <f>$A3067*Q3067</f>
        <v>0</v>
      </c>
      <c r="S3067" s="567"/>
      <c r="T3067" s="500">
        <f>$A3067*S3067*$T$1</f>
        <v>0</v>
      </c>
    </row>
    <row r="3068" spans="1:256" s="501" customFormat="1" ht="12" customHeight="1">
      <c r="A3068" s="772" t="s">
        <v>145</v>
      </c>
      <c r="B3068" s="773">
        <f>(R3067+T3067)</f>
        <v>0</v>
      </c>
      <c r="C3068" s="810"/>
      <c r="D3068" s="810"/>
      <c r="E3068" s="810"/>
      <c r="F3068" s="810"/>
      <c r="G3068" s="776"/>
      <c r="H3068" s="776"/>
      <c r="I3068" s="776"/>
      <c r="J3068" s="776"/>
      <c r="K3068" s="798" t="s">
        <v>5</v>
      </c>
      <c r="L3068" s="811" t="s">
        <v>573</v>
      </c>
      <c r="M3068" s="776"/>
      <c r="N3068" s="776"/>
      <c r="O3068" s="776"/>
      <c r="P3068" s="776"/>
      <c r="Q3068" s="776"/>
      <c r="R3068" s="777">
        <f>SUM(R3064:R3067)</f>
        <v>0</v>
      </c>
      <c r="S3068" s="778"/>
      <c r="T3068" s="777">
        <f>SUM(T3064:T3067)</f>
        <v>8</v>
      </c>
      <c r="AG3068" s="799">
        <f>ROUND($R3068*$S$3,2)</f>
        <v>0</v>
      </c>
    </row>
    <row r="3069" spans="1:256" s="501" customFormat="1" ht="12.75" customHeight="1">
      <c r="A3069" s="813"/>
      <c r="B3069" s="814"/>
      <c r="E3069" s="497"/>
      <c r="F3069" s="808"/>
      <c r="G3069" s="497"/>
      <c r="H3069" s="497"/>
      <c r="I3069" s="499"/>
      <c r="J3069" s="497"/>
      <c r="K3069" s="497"/>
      <c r="L3069" s="815"/>
      <c r="M3069" s="725"/>
      <c r="N3069" s="725"/>
      <c r="O3069" s="725"/>
      <c r="P3069" s="725"/>
      <c r="Q3069" s="726"/>
      <c r="R3069" s="784"/>
      <c r="S3069" s="497"/>
      <c r="T3069" s="784"/>
    </row>
    <row r="3070" spans="1:256" s="501" customFormat="1" ht="13.5" customHeight="1" thickBot="1">
      <c r="A3070" s="816"/>
      <c r="B3070" s="817"/>
      <c r="C3070" s="518"/>
      <c r="D3070" s="518"/>
      <c r="E3070" s="515"/>
      <c r="F3070" s="721"/>
      <c r="G3070" s="515" t="s">
        <v>146</v>
      </c>
      <c r="H3070" s="515"/>
      <c r="I3070" s="516"/>
      <c r="J3070" s="515"/>
      <c r="K3070" s="515"/>
      <c r="L3070" s="818" t="s">
        <v>143</v>
      </c>
      <c r="M3070" s="517"/>
      <c r="N3070" s="517"/>
      <c r="O3070" s="517"/>
      <c r="P3070" s="517"/>
      <c r="Q3070" s="722"/>
      <c r="R3070" s="819">
        <f>SUMIF($L3052:$L3069,"SUBI",R3052:R3069)</f>
        <v>1334.07</v>
      </c>
      <c r="S3070" s="515"/>
      <c r="T3070" s="819">
        <f>SUMIF($L3052:$L3069,"SUBI",T3052:T3069)</f>
        <v>8</v>
      </c>
      <c r="U3070" s="518"/>
      <c r="V3070" s="518"/>
      <c r="W3070" s="518"/>
      <c r="X3070" s="518"/>
      <c r="Y3070" s="518"/>
      <c r="Z3070" s="518"/>
      <c r="AA3070" s="518"/>
      <c r="AB3070" s="518"/>
      <c r="AC3070" s="518"/>
      <c r="AD3070" s="518"/>
      <c r="AE3070" s="518"/>
      <c r="AF3070" s="518"/>
      <c r="AG3070" s="518"/>
      <c r="AH3070" s="518"/>
      <c r="AI3070" s="518"/>
      <c r="AJ3070" s="518"/>
      <c r="AK3070" s="518"/>
      <c r="AL3070" s="518"/>
      <c r="AM3070" s="518"/>
      <c r="AN3070" s="518"/>
      <c r="AO3070" s="518"/>
    </row>
    <row r="3071" spans="1:256" s="501" customFormat="1" ht="12" thickTop="1">
      <c r="A3071" s="41" t="s">
        <v>148</v>
      </c>
      <c r="D3071" s="11"/>
      <c r="E3071" s="40"/>
      <c r="O3071" s="727"/>
    </row>
    <row r="3072" spans="1:256" s="501" customFormat="1" ht="13.2">
      <c r="B3072" s="3"/>
      <c r="O3072" s="727"/>
    </row>
    <row r="3073" spans="1:41" s="501" customFormat="1" ht="12">
      <c r="B3073" s="728">
        <f>$F3073/$C$2-($R3073*$S$2+$T3073*$T$2)</f>
        <v>-257.51649999999972</v>
      </c>
      <c r="D3073" s="729" t="s">
        <v>568</v>
      </c>
      <c r="E3073" s="730"/>
      <c r="F3073" s="731">
        <f>SUMIF($L2989:$L3071,"ITEM",F2989:F3071)</f>
        <v>4805.51</v>
      </c>
      <c r="G3073" s="497"/>
      <c r="H3073" s="497"/>
      <c r="I3073" s="499"/>
      <c r="J3073" s="497"/>
      <c r="K3073" s="497"/>
      <c r="L3073" s="717" t="s">
        <v>159</v>
      </c>
      <c r="M3073" s="717"/>
      <c r="N3073" s="717"/>
      <c r="O3073" s="717"/>
      <c r="P3073" s="717"/>
      <c r="R3073" s="731">
        <f>SUMIF($L2989:$L3071,"ITEM",R2989:R3071)</f>
        <v>1883.11</v>
      </c>
      <c r="S3073" s="733"/>
      <c r="T3073" s="731">
        <f>SUMIF($L2989:$L3071,"ITEM",T2989:T3071)</f>
        <v>68</v>
      </c>
    </row>
    <row r="3074" spans="1:41" s="501" customFormat="1" ht="13.2">
      <c r="A3074" s="44"/>
      <c r="B3074" s="42" t="s">
        <v>569</v>
      </c>
      <c r="C3074" s="44"/>
      <c r="D3074" s="3"/>
      <c r="F3074" s="734" t="s">
        <v>160</v>
      </c>
      <c r="G3074" s="497"/>
      <c r="H3074" s="497"/>
      <c r="I3074" s="499"/>
      <c r="J3074" s="497"/>
      <c r="K3074" s="497"/>
      <c r="L3074" s="497"/>
      <c r="M3074" s="497"/>
      <c r="N3074" s="497"/>
      <c r="O3074" s="497"/>
      <c r="P3074" s="497"/>
      <c r="Q3074" s="726"/>
      <c r="R3074" s="734" t="s">
        <v>161</v>
      </c>
      <c r="S3074" s="36"/>
      <c r="T3074" s="734" t="s">
        <v>162</v>
      </c>
    </row>
    <row r="3075" spans="1:41" s="501" customFormat="1" ht="13.2">
      <c r="A3075" s="497"/>
      <c r="B3075" s="3"/>
      <c r="C3075" s="497"/>
      <c r="D3075" s="3"/>
      <c r="E3075" s="3"/>
      <c r="G3075" s="3"/>
      <c r="H3075" s="3"/>
      <c r="I3075" s="3"/>
      <c r="J3075" s="3"/>
      <c r="K3075" s="3"/>
      <c r="L3075" s="3"/>
      <c r="M3075" s="3"/>
      <c r="N3075" s="3"/>
      <c r="O3075" s="86"/>
      <c r="P3075" s="3"/>
      <c r="Q3075" s="3"/>
      <c r="R3075" s="3"/>
      <c r="S3075" s="3"/>
      <c r="T3075" s="3"/>
    </row>
    <row r="3076" spans="1:41" s="501" customFormat="1" ht="12" thickBot="1">
      <c r="A3076" s="518"/>
      <c r="B3076" s="515"/>
      <c r="C3076" s="515"/>
      <c r="D3076" s="518"/>
      <c r="E3076" s="37"/>
      <c r="F3076" s="735"/>
      <c r="G3076" s="515"/>
      <c r="H3076" s="515"/>
      <c r="I3076" s="516"/>
      <c r="J3076" s="515"/>
      <c r="K3076" s="515"/>
      <c r="L3076" s="517"/>
      <c r="M3076" s="517"/>
      <c r="N3076" s="517"/>
      <c r="O3076" s="517"/>
      <c r="P3076" s="517"/>
      <c r="Q3076" s="722"/>
      <c r="R3076" s="735"/>
      <c r="S3076" s="736"/>
      <c r="T3076" s="735"/>
      <c r="U3076" s="518"/>
      <c r="V3076" s="518"/>
      <c r="W3076" s="518"/>
      <c r="X3076" s="518"/>
      <c r="Y3076" s="518"/>
      <c r="Z3076" s="518"/>
      <c r="AA3076" s="518"/>
      <c r="AB3076" s="518"/>
      <c r="AC3076" s="518"/>
      <c r="AD3076" s="518"/>
      <c r="AE3076" s="518"/>
      <c r="AF3076" s="518"/>
      <c r="AG3076" s="518"/>
      <c r="AH3076" s="518"/>
      <c r="AI3076" s="518"/>
      <c r="AJ3076" s="518"/>
      <c r="AK3076" s="518"/>
    </row>
    <row r="3077" spans="1:41" s="501" customFormat="1" thickTop="1">
      <c r="A3077" s="44"/>
      <c r="B3077" s="44"/>
      <c r="C3077" s="3"/>
      <c r="D3077" s="3"/>
      <c r="E3077" s="44"/>
      <c r="F3077" s="44"/>
      <c r="G3077" s="44"/>
      <c r="H3077" s="44"/>
      <c r="I3077" s="44"/>
      <c r="J3077" s="44"/>
      <c r="K3077" s="44" t="s">
        <v>134</v>
      </c>
      <c r="L3077" s="44"/>
      <c r="M3077" s="44"/>
      <c r="N3077" s="44"/>
      <c r="O3077" s="45"/>
      <c r="P3077" s="44"/>
      <c r="Q3077" s="44"/>
      <c r="R3077" s="44"/>
      <c r="S3077" s="44"/>
      <c r="T3077" s="44"/>
    </row>
    <row r="3078" spans="1:41" s="501" customFormat="1" ht="12">
      <c r="A3078" s="44"/>
      <c r="B3078" s="44"/>
      <c r="C3078" s="44" t="s">
        <v>135</v>
      </c>
      <c r="D3078" s="35" t="s">
        <v>136</v>
      </c>
      <c r="E3078" s="44"/>
      <c r="F3078" s="44"/>
      <c r="G3078" s="44"/>
      <c r="H3078" s="44"/>
      <c r="I3078" s="44"/>
      <c r="J3078" s="44"/>
      <c r="K3078" s="44"/>
      <c r="L3078" s="44"/>
      <c r="M3078" s="44"/>
      <c r="N3078" s="44"/>
      <c r="O3078" s="45"/>
      <c r="P3078" s="44"/>
      <c r="Q3078" s="44"/>
      <c r="R3078" s="44"/>
      <c r="S3078" s="44"/>
      <c r="T3078" s="44"/>
    </row>
    <row r="3079" spans="1:41" s="501" customFormat="1" ht="12">
      <c r="A3079" s="44"/>
      <c r="B3079" s="44"/>
      <c r="C3079" s="44"/>
      <c r="D3079" s="35" t="s">
        <v>1058</v>
      </c>
      <c r="E3079" s="44"/>
      <c r="F3079" s="44"/>
      <c r="G3079" s="44"/>
      <c r="H3079" s="44"/>
      <c r="I3079" s="44"/>
      <c r="J3079" s="44"/>
      <c r="K3079" s="44"/>
      <c r="L3079" s="44"/>
      <c r="M3079" s="44"/>
      <c r="N3079" s="44"/>
      <c r="O3079" s="45"/>
      <c r="P3079" s="44"/>
      <c r="Q3079" s="44"/>
      <c r="R3079" s="44"/>
      <c r="S3079" s="36"/>
      <c r="T3079" s="36"/>
    </row>
    <row r="3080" spans="1:41" s="3" customFormat="1" thickBot="1">
      <c r="A3080" s="518"/>
      <c r="O3080" s="86"/>
    </row>
    <row r="3081" spans="1:41" s="501" customFormat="1" thickTop="1">
      <c r="A3081" s="44"/>
      <c r="B3081" s="39"/>
      <c r="C3081" s="44"/>
      <c r="E3081" s="40" t="s">
        <v>138</v>
      </c>
      <c r="F3081" s="40" t="s">
        <v>139</v>
      </c>
      <c r="G3081" s="44"/>
      <c r="H3081" s="44"/>
      <c r="I3081" s="44"/>
      <c r="J3081" s="44"/>
      <c r="K3081" s="44" t="s">
        <v>140</v>
      </c>
      <c r="L3081" s="737"/>
      <c r="M3081" s="44"/>
      <c r="N3081" s="44"/>
      <c r="O3081" s="45"/>
      <c r="P3081" s="44"/>
      <c r="Q3081"/>
      <c r="R3081"/>
      <c r="S3081"/>
      <c r="T3081" s="39"/>
      <c r="AG3081" s="502" t="s">
        <v>247</v>
      </c>
      <c r="AH3081" s="502" t="s">
        <v>248</v>
      </c>
      <c r="AI3081" s="502" t="s">
        <v>249</v>
      </c>
      <c r="AJ3081" s="502" t="s">
        <v>250</v>
      </c>
      <c r="AK3081" s="502" t="s">
        <v>251</v>
      </c>
      <c r="AM3081" s="710" t="s">
        <v>260</v>
      </c>
      <c r="AN3081" s="711" t="s">
        <v>261</v>
      </c>
      <c r="AO3081" s="503" t="s">
        <v>257</v>
      </c>
    </row>
    <row r="3082" spans="1:41" s="501" customFormat="1" ht="13.2">
      <c r="A3082" s="712">
        <v>3</v>
      </c>
      <c r="B3082" s="504" t="s">
        <v>977</v>
      </c>
      <c r="C3082" s="505"/>
      <c r="D3082" s="713" t="s">
        <v>571</v>
      </c>
      <c r="E3082" s="738">
        <f>IF(AND($A3082=0,$A$1="DIF"),0,ROUND(ROUND(SUMIF($L3084:$L3095,"SUBI",$E3084:$E3095)/$A3082,2)*$C$12,2))</f>
        <v>9864.0400000000009</v>
      </c>
      <c r="F3082" s="739">
        <f>ROUND($A3082*$E3082,2)</f>
        <v>29592.12</v>
      </c>
      <c r="G3082" s="506" t="s">
        <v>142</v>
      </c>
      <c r="H3082" s="498"/>
      <c r="I3082" s="716"/>
      <c r="J3082" s="498"/>
      <c r="K3082" s="740"/>
      <c r="L3082" s="741" t="s">
        <v>143</v>
      </c>
      <c r="M3082" s="717"/>
      <c r="N3082" s="717"/>
      <c r="O3082" s="717"/>
      <c r="P3082" s="717"/>
      <c r="Q3082"/>
      <c r="R3082"/>
      <c r="S3082"/>
      <c r="T3082" s="742" t="str">
        <f>IF(AND($R3101=0,$T3101=0),"0.00","mu :" &amp; ROUND($F3082/$C$12/($R3101+$T3101*$D$9),2))</f>
        <v>mu :1.32</v>
      </c>
      <c r="W3082" s="507"/>
      <c r="AG3082" s="743">
        <f>IF(A3082=0,0,ROUND(SUM(AG3084:AG3101)/A3082,2))</f>
        <v>9864.0400000000009</v>
      </c>
      <c r="AH3082" s="743">
        <f>$AG3082*$A3082</f>
        <v>29592.120000000003</v>
      </c>
      <c r="AI3082" s="743">
        <f>$E3082-$AG3082</f>
        <v>0</v>
      </c>
      <c r="AJ3082" s="743">
        <f>$A3082*$AI3082</f>
        <v>0</v>
      </c>
      <c r="AK3082" s="744">
        <f>ROUND(($AG3082+$AI3082)*$A3082,2)</f>
        <v>29592.12</v>
      </c>
      <c r="AM3082" s="510">
        <f>ROUND(R3101,2)</f>
        <v>22347.119999999999</v>
      </c>
      <c r="AN3082" s="511">
        <f>ROUND(T3101,2)</f>
        <v>0</v>
      </c>
      <c r="AO3082" s="512">
        <f>ROUND(AM3082+AN3082,2)*A3082</f>
        <v>67041.36</v>
      </c>
    </row>
    <row r="3083" spans="1:41" s="501" customFormat="1" ht="21.6" customHeight="1">
      <c r="A3083" s="745"/>
      <c r="B3083" s="746"/>
      <c r="C3083" s="505"/>
      <c r="D3083" s="1183" t="s">
        <v>976</v>
      </c>
      <c r="E3083" s="1184"/>
      <c r="F3083" s="1184"/>
      <c r="G3083" s="1184"/>
      <c r="H3083" s="1184"/>
      <c r="I3083" s="1184"/>
      <c r="J3083" s="1184"/>
      <c r="K3083" s="1184"/>
      <c r="L3083" s="1184"/>
      <c r="M3083" s="1184"/>
      <c r="N3083" s="1184"/>
      <c r="O3083" s="1184"/>
      <c r="P3083" s="1184"/>
      <c r="Q3083" s="1184"/>
      <c r="R3083" s="1184"/>
      <c r="S3083" s="1184"/>
      <c r="T3083" s="1184"/>
    </row>
    <row r="3084" spans="1:41" s="501" customFormat="1" ht="12">
      <c r="A3084" s="748"/>
      <c r="B3084" s="749"/>
      <c r="C3084" s="497"/>
      <c r="D3084" s="750"/>
      <c r="E3084" s="751">
        <f>F3082/$C$12-SUMIF($L3081:$L3101,"SUBI",$E3081:$E3101)</f>
        <v>0</v>
      </c>
      <c r="F3084" s="752" t="s">
        <v>572</v>
      </c>
      <c r="G3084" s="753"/>
      <c r="H3084" s="753"/>
      <c r="I3084" s="754"/>
      <c r="J3084" s="753"/>
      <c r="K3084" s="753"/>
      <c r="L3084" s="755"/>
      <c r="M3084" s="756"/>
      <c r="N3084" s="756"/>
      <c r="O3084" s="756"/>
      <c r="P3084" s="756"/>
      <c r="Q3084" s="757"/>
      <c r="R3084" s="758"/>
      <c r="S3084" s="757"/>
      <c r="T3084" s="759"/>
    </row>
    <row r="3085" spans="1:41" s="501" customFormat="1" ht="12" customHeight="1">
      <c r="A3085" s="760"/>
      <c r="B3085" s="761"/>
      <c r="C3085" s="762"/>
      <c r="D3085" s="762" t="str">
        <f>$F$2</f>
        <v>Electrical</v>
      </c>
      <c r="E3085" s="762">
        <f>ROUND(($R3089*$S$2 + ($T3089*$T$2)), 2)</f>
        <v>2430</v>
      </c>
      <c r="F3085" s="763">
        <f>$E3085*$C$12</f>
        <v>2430</v>
      </c>
      <c r="G3085" s="567"/>
      <c r="H3085" s="764"/>
      <c r="I3085" s="567"/>
      <c r="J3085" s="45"/>
      <c r="K3085" s="765" t="s">
        <v>3</v>
      </c>
      <c r="L3085" s="766" t="s">
        <v>573</v>
      </c>
      <c r="M3085" s="567"/>
      <c r="N3085" s="567"/>
      <c r="O3085" s="45"/>
      <c r="P3085" s="567"/>
      <c r="Q3085" s="567"/>
      <c r="R3085"/>
      <c r="S3085"/>
      <c r="T3085"/>
    </row>
    <row r="3086" spans="1:41" s="893" customFormat="1" ht="13.2">
      <c r="A3086" s="87">
        <v>3</v>
      </c>
      <c r="B3086" s="893" t="s">
        <v>287</v>
      </c>
      <c r="D3086" s="893" t="s">
        <v>1150</v>
      </c>
      <c r="E3086" s="893" t="s">
        <v>1151</v>
      </c>
      <c r="G3086" s="894" t="s">
        <v>1152</v>
      </c>
      <c r="H3086" s="895">
        <v>900</v>
      </c>
      <c r="I3086" s="893" t="s">
        <v>660</v>
      </c>
      <c r="O3086" s="896">
        <v>4</v>
      </c>
      <c r="P3086" s="897">
        <v>38328</v>
      </c>
      <c r="Q3086" s="898">
        <v>600</v>
      </c>
      <c r="R3086" s="899">
        <f>$A3086*Q3086</f>
        <v>1800</v>
      </c>
      <c r="S3086" s="898"/>
      <c r="T3086" s="900">
        <f>$A3086*S3086*$T$1</f>
        <v>0</v>
      </c>
    </row>
    <row r="3087" spans="1:41" s="501" customFormat="1" ht="14.4" customHeight="1">
      <c r="A3087" s="767"/>
      <c r="B3087" s="567"/>
      <c r="C3087" s="567"/>
      <c r="D3087" s="567"/>
      <c r="E3087" s="567"/>
      <c r="F3087" s="567"/>
      <c r="G3087" s="567"/>
      <c r="H3087" s="764"/>
      <c r="I3087" s="567"/>
      <c r="J3087" s="45"/>
      <c r="K3087" s="769"/>
      <c r="L3087" s="770"/>
      <c r="M3087" s="567"/>
      <c r="N3087" s="567"/>
      <c r="O3087" s="45"/>
      <c r="P3087" s="567"/>
      <c r="Q3087" s="567"/>
      <c r="R3087" s="771">
        <f>$A3087*Q3087</f>
        <v>0</v>
      </c>
      <c r="S3087" s="567"/>
      <c r="T3087" s="500">
        <f>$A3087*S3087*$T$1</f>
        <v>0</v>
      </c>
    </row>
    <row r="3088" spans="1:41" s="501" customFormat="1" ht="14.4" customHeight="1">
      <c r="A3088" s="767"/>
      <c r="B3088" s="567"/>
      <c r="C3088" s="567"/>
      <c r="D3088" s="567"/>
      <c r="E3088" s="567"/>
      <c r="F3088" s="567"/>
      <c r="G3088" s="567"/>
      <c r="H3088" s="764"/>
      <c r="I3088" s="567"/>
      <c r="J3088" s="45"/>
      <c r="K3088" s="769"/>
      <c r="L3088" s="770"/>
      <c r="M3088" s="567"/>
      <c r="N3088" s="567"/>
      <c r="O3088" s="45"/>
      <c r="P3088" s="567"/>
      <c r="Q3088" s="567"/>
      <c r="R3088" s="771">
        <f>$A3088*Q3088</f>
        <v>0</v>
      </c>
      <c r="S3088" s="567"/>
      <c r="T3088" s="500">
        <f>$A3088*S3088*$T$1</f>
        <v>0</v>
      </c>
    </row>
    <row r="3089" spans="1:41" s="501" customFormat="1" ht="12">
      <c r="A3089" s="772" t="s">
        <v>145</v>
      </c>
      <c r="B3089" s="773">
        <f>(R3088+T3088)</f>
        <v>0</v>
      </c>
      <c r="C3089" s="753"/>
      <c r="G3089" s="774"/>
      <c r="H3089" s="774"/>
      <c r="I3089" s="774"/>
      <c r="J3089" s="774"/>
      <c r="K3089" s="750" t="s">
        <v>3</v>
      </c>
      <c r="L3089" s="775" t="s">
        <v>573</v>
      </c>
      <c r="M3089" s="774"/>
      <c r="N3089" s="774"/>
      <c r="O3089" s="774"/>
      <c r="P3089" s="774"/>
      <c r="Q3089" s="776"/>
      <c r="R3089" s="777">
        <f>SUM(R3085:R3088)</f>
        <v>1800</v>
      </c>
      <c r="S3089" s="778"/>
      <c r="T3089" s="777">
        <f>SUM(T3085:T3088)</f>
        <v>0</v>
      </c>
      <c r="AG3089" s="779">
        <f>ROUND($R3089*$S$2,2)</f>
        <v>2430</v>
      </c>
    </row>
    <row r="3090" spans="1:41" s="501" customFormat="1" ht="12" customHeight="1">
      <c r="A3090" s="760"/>
      <c r="B3090" s="1328"/>
      <c r="C3090" s="1329"/>
      <c r="D3090" s="1255" t="str">
        <f>$F$5</f>
        <v>Megaline</v>
      </c>
      <c r="E3090" s="1255">
        <f>ROUND(($R3094*$S$5 + ($T3094*$T$5)),2)</f>
        <v>1647.12</v>
      </c>
      <c r="F3090" s="1330">
        <f>$E3090*$C$12</f>
        <v>1647.12</v>
      </c>
      <c r="G3090" s="499"/>
      <c r="H3090" s="499"/>
      <c r="I3090" s="499"/>
      <c r="J3090" s="499"/>
      <c r="K3090" s="765" t="s">
        <v>10</v>
      </c>
      <c r="L3090" s="766" t="s">
        <v>573</v>
      </c>
      <c r="M3090" s="499"/>
      <c r="N3090" s="499"/>
      <c r="O3090" s="499"/>
      <c r="P3090" s="499"/>
      <c r="Q3090" s="499"/>
      <c r="R3090" s="784"/>
      <c r="S3090" s="499"/>
      <c r="T3090" s="784"/>
    </row>
    <row r="3091" spans="1:41" s="893" customFormat="1" ht="13.2">
      <c r="A3091" s="971">
        <v>3</v>
      </c>
      <c r="B3091" s="972" t="s">
        <v>287</v>
      </c>
      <c r="C3091" s="972"/>
      <c r="D3091" s="972" t="s">
        <v>884</v>
      </c>
      <c r="E3091" s="972"/>
      <c r="F3091" s="944" t="s">
        <v>885</v>
      </c>
      <c r="G3091" s="973" t="s">
        <v>886</v>
      </c>
      <c r="H3091" s="979">
        <v>960</v>
      </c>
      <c r="I3091" s="972" t="s">
        <v>660</v>
      </c>
      <c r="J3091" s="972"/>
      <c r="K3091" s="972"/>
      <c r="L3091" s="972"/>
      <c r="M3091" s="972"/>
      <c r="N3091" s="972"/>
      <c r="O3091" s="974">
        <v>4</v>
      </c>
      <c r="P3091" s="975">
        <v>38594</v>
      </c>
      <c r="Q3091" s="976">
        <v>549.04</v>
      </c>
      <c r="R3091" s="977">
        <f>$A3091*Q3091</f>
        <v>1647.12</v>
      </c>
      <c r="S3091" s="976"/>
      <c r="T3091" s="978">
        <f>$A3091*S3091*$T$1</f>
        <v>0</v>
      </c>
    </row>
    <row r="3092" spans="1:41" s="501" customFormat="1" ht="15.6" customHeight="1">
      <c r="A3092" s="767"/>
      <c r="B3092" s="567"/>
      <c r="C3092" s="567"/>
      <c r="D3092" s="567"/>
      <c r="E3092" s="567"/>
      <c r="F3092" s="567"/>
      <c r="G3092" s="567"/>
      <c r="H3092" s="567"/>
      <c r="I3092" s="567"/>
      <c r="J3092" s="567"/>
      <c r="K3092" s="567"/>
      <c r="L3092" s="770"/>
      <c r="M3092" s="567"/>
      <c r="N3092" s="567"/>
      <c r="O3092" s="567"/>
      <c r="P3092" s="567"/>
      <c r="Q3092" s="567"/>
      <c r="R3092" s="771">
        <f>$A3092*Q3092</f>
        <v>0</v>
      </c>
      <c r="S3092" s="567"/>
      <c r="T3092" s="500">
        <f>$A3092*S3092*$T$1</f>
        <v>0</v>
      </c>
    </row>
    <row r="3093" spans="1:41" s="501" customFormat="1" ht="15.6" customHeight="1">
      <c r="A3093" s="767"/>
      <c r="B3093" s="567"/>
      <c r="C3093" s="567"/>
      <c r="D3093" s="3"/>
      <c r="E3093" s="567"/>
      <c r="F3093" s="567"/>
      <c r="G3093" s="567"/>
      <c r="H3093" s="567"/>
      <c r="I3093" s="567"/>
      <c r="J3093" s="567"/>
      <c r="K3093" s="567"/>
      <c r="L3093" s="770"/>
      <c r="M3093" s="567"/>
      <c r="N3093" s="567"/>
      <c r="O3093" s="567"/>
      <c r="P3093" s="567"/>
      <c r="Q3093" s="567"/>
      <c r="R3093" s="771">
        <f>$A3093*Q3093</f>
        <v>0</v>
      </c>
      <c r="S3093" s="567"/>
      <c r="T3093" s="500">
        <f>$A3093*S3093*$T$1</f>
        <v>0</v>
      </c>
    </row>
    <row r="3094" spans="1:41" s="501" customFormat="1" ht="12">
      <c r="A3094" s="772" t="s">
        <v>145</v>
      </c>
      <c r="B3094" s="773">
        <f>(R3093+T3093)</f>
        <v>0</v>
      </c>
      <c r="C3094" s="753"/>
      <c r="G3094" s="774"/>
      <c r="H3094" s="774"/>
      <c r="I3094" s="774"/>
      <c r="J3094" s="774"/>
      <c r="K3094" s="798" t="s">
        <v>10</v>
      </c>
      <c r="L3094" s="775" t="s">
        <v>573</v>
      </c>
      <c r="M3094" s="774"/>
      <c r="N3094" s="774"/>
      <c r="O3094" s="774"/>
      <c r="P3094" s="774"/>
      <c r="Q3094" s="776"/>
      <c r="R3094" s="777">
        <f>SUM(R3090:R3093)</f>
        <v>1647.12</v>
      </c>
      <c r="S3094" s="778"/>
      <c r="T3094" s="777">
        <f>SUM(T3090:T3093)</f>
        <v>0</v>
      </c>
      <c r="AG3094" s="1257">
        <f>ROUND($R3094*$S$5,2)</f>
        <v>1647.12</v>
      </c>
    </row>
    <row r="3095" spans="1:41" s="501" customFormat="1" ht="12" customHeight="1">
      <c r="A3095" s="800"/>
      <c r="B3095" s="827"/>
      <c r="C3095" s="1392"/>
      <c r="D3095" s="828" t="str">
        <f>$F$3</f>
        <v>Technician</v>
      </c>
      <c r="E3095" s="828">
        <f>ROUND(($R3099*$S$3 + ($T3099*$T$3)),2)</f>
        <v>25515</v>
      </c>
      <c r="F3095" s="829">
        <f ca="1">$F3082-SUMIF($L3084:$P3092,"SUBI",$F3084:$F3092)</f>
        <v>25515</v>
      </c>
      <c r="G3095" s="499"/>
      <c r="H3095" s="499"/>
      <c r="I3095" s="499"/>
      <c r="J3095" s="499"/>
      <c r="K3095" s="805" t="s">
        <v>5</v>
      </c>
      <c r="L3095" s="766" t="s">
        <v>573</v>
      </c>
      <c r="M3095" s="499"/>
      <c r="N3095" s="499"/>
      <c r="O3095" s="499"/>
      <c r="P3095" s="499"/>
      <c r="Q3095" s="499"/>
      <c r="R3095" s="784"/>
      <c r="S3095" s="499"/>
      <c r="T3095" s="784"/>
    </row>
    <row r="3096" spans="1:41" s="893" customFormat="1" ht="13.2">
      <c r="A3096">
        <v>3</v>
      </c>
      <c r="B3096" s="893" t="s">
        <v>141</v>
      </c>
      <c r="D3096" s="893" t="s">
        <v>641</v>
      </c>
      <c r="F3096" s="1134" t="s">
        <v>733</v>
      </c>
      <c r="G3096" s="894" t="s">
        <v>642</v>
      </c>
      <c r="H3096" s="895">
        <v>512</v>
      </c>
      <c r="I3096" s="893" t="s">
        <v>643</v>
      </c>
      <c r="O3096" s="896">
        <v>3</v>
      </c>
      <c r="P3096" s="897"/>
      <c r="Q3096" s="898">
        <f>0.9*7000</f>
        <v>6300</v>
      </c>
      <c r="R3096" s="899">
        <f>$A3096*Q3096</f>
        <v>18900</v>
      </c>
      <c r="S3096" s="567"/>
      <c r="T3096" s="900">
        <f>$A3096*S3096*$T$1</f>
        <v>0</v>
      </c>
    </row>
    <row r="3097" spans="1:41" s="501" customFormat="1" ht="12">
      <c r="A3097" s="44"/>
      <c r="B3097" s="497"/>
      <c r="C3097" s="497"/>
      <c r="D3097" s="807"/>
      <c r="E3097" s="808"/>
      <c r="F3097" s="499"/>
      <c r="G3097" s="499"/>
      <c r="H3097" s="499"/>
      <c r="I3097" s="499"/>
      <c r="J3097" s="499"/>
      <c r="K3097" s="499"/>
      <c r="L3097" s="809"/>
      <c r="M3097" s="499"/>
      <c r="N3097" s="499"/>
      <c r="O3097" s="499"/>
      <c r="P3097" s="499"/>
      <c r="Q3097" s="499"/>
      <c r="R3097" s="720">
        <f>$A3097*Q3097</f>
        <v>0</v>
      </c>
      <c r="S3097" s="499"/>
      <c r="T3097" s="500">
        <f>$A3097*S3097*$T$1</f>
        <v>0</v>
      </c>
    </row>
    <row r="3098" spans="1:41" s="501" customFormat="1" ht="12">
      <c r="A3098" s="44"/>
      <c r="B3098" s="497"/>
      <c r="C3098" s="497"/>
      <c r="D3098" s="807"/>
      <c r="E3098" s="808"/>
      <c r="F3098" s="499"/>
      <c r="G3098" s="499"/>
      <c r="H3098" s="499"/>
      <c r="I3098" s="499"/>
      <c r="J3098" s="499"/>
      <c r="K3098" s="499"/>
      <c r="L3098" s="809"/>
      <c r="M3098" s="499"/>
      <c r="N3098" s="499"/>
      <c r="O3098" s="499"/>
      <c r="P3098" s="499"/>
      <c r="Q3098" s="499"/>
      <c r="R3098" s="720">
        <f>$A3098*Q3098</f>
        <v>0</v>
      </c>
      <c r="S3098" s="499"/>
      <c r="T3098" s="500">
        <f>$A3098*S3098*$T$1</f>
        <v>0</v>
      </c>
    </row>
    <row r="3099" spans="1:41" s="501" customFormat="1" ht="12.75" customHeight="1">
      <c r="A3099" s="772" t="s">
        <v>145</v>
      </c>
      <c r="B3099" s="773">
        <f>(R3098+T3098)</f>
        <v>0</v>
      </c>
      <c r="C3099" s="810"/>
      <c r="D3099" s="810"/>
      <c r="E3099" s="810"/>
      <c r="F3099" s="810"/>
      <c r="G3099" s="776"/>
      <c r="H3099" s="776"/>
      <c r="I3099" s="776"/>
      <c r="J3099" s="776"/>
      <c r="K3099" s="798" t="s">
        <v>5</v>
      </c>
      <c r="L3099" s="811" t="s">
        <v>573</v>
      </c>
      <c r="M3099" s="776"/>
      <c r="N3099" s="776"/>
      <c r="O3099" s="776"/>
      <c r="P3099" s="776"/>
      <c r="Q3099" s="776"/>
      <c r="R3099" s="777">
        <f>SUM(R3095:R3098)</f>
        <v>18900</v>
      </c>
      <c r="S3099" s="778"/>
      <c r="T3099" s="777">
        <f>SUM(T3095:T3098)</f>
        <v>0</v>
      </c>
      <c r="AG3099" s="799">
        <f>ROUND($R3099*$S$3,2)</f>
        <v>25515</v>
      </c>
    </row>
    <row r="3100" spans="1:41" s="501" customFormat="1" ht="12.75" customHeight="1">
      <c r="A3100" s="813"/>
      <c r="B3100" s="814"/>
      <c r="E3100" s="497"/>
      <c r="F3100" s="808"/>
      <c r="G3100" s="497"/>
      <c r="H3100" s="497"/>
      <c r="I3100" s="499"/>
      <c r="J3100" s="497"/>
      <c r="K3100" s="497"/>
      <c r="L3100" s="815"/>
      <c r="M3100" s="725"/>
      <c r="N3100" s="725"/>
      <c r="O3100" s="725"/>
      <c r="P3100" s="725"/>
      <c r="Q3100" s="726"/>
      <c r="R3100" s="784"/>
      <c r="S3100" s="497"/>
      <c r="T3100" s="784"/>
    </row>
    <row r="3101" spans="1:41" s="501" customFormat="1" ht="13.5" customHeight="1" thickBot="1">
      <c r="A3101" s="816"/>
      <c r="B3101" s="817"/>
      <c r="C3101" s="518"/>
      <c r="D3101" s="518"/>
      <c r="E3101" s="515"/>
      <c r="F3101" s="721"/>
      <c r="G3101" s="515" t="s">
        <v>146</v>
      </c>
      <c r="H3101" s="515"/>
      <c r="I3101" s="516"/>
      <c r="J3101" s="515"/>
      <c r="K3101" s="515"/>
      <c r="L3101" s="818" t="s">
        <v>143</v>
      </c>
      <c r="M3101" s="517"/>
      <c r="N3101" s="517"/>
      <c r="O3101" s="517"/>
      <c r="P3101" s="517"/>
      <c r="Q3101" s="722"/>
      <c r="R3101" s="819">
        <f>SUMIF($L3083:$L3100,"SUBI",R3083:R3100)</f>
        <v>22347.119999999999</v>
      </c>
      <c r="S3101" s="820"/>
      <c r="T3101" s="819">
        <f>SUMIF($L3083:$L3100,"SUBI",T3083:T3100)</f>
        <v>0</v>
      </c>
      <c r="U3101" s="518"/>
      <c r="V3101" s="518"/>
      <c r="W3101" s="518"/>
      <c r="X3101" s="518"/>
      <c r="Y3101" s="518"/>
      <c r="Z3101" s="518"/>
      <c r="AA3101" s="518"/>
      <c r="AB3101" s="518"/>
      <c r="AC3101" s="518"/>
      <c r="AD3101" s="518"/>
      <c r="AE3101" s="518"/>
      <c r="AF3101" s="518"/>
      <c r="AG3101" s="518"/>
      <c r="AH3101" s="518"/>
      <c r="AI3101" s="518"/>
      <c r="AJ3101" s="518"/>
      <c r="AK3101" s="518"/>
      <c r="AL3101" s="518"/>
      <c r="AM3101" s="518"/>
      <c r="AN3101" s="518"/>
      <c r="AO3101" s="518"/>
    </row>
    <row r="3102" spans="1:41" s="501" customFormat="1" thickTop="1">
      <c r="A3102" s="44"/>
      <c r="B3102" s="39"/>
      <c r="C3102" s="44"/>
      <c r="E3102" s="40" t="s">
        <v>138</v>
      </c>
      <c r="F3102" s="40"/>
      <c r="G3102" s="44"/>
      <c r="H3102" s="44"/>
      <c r="I3102" s="44"/>
      <c r="J3102" s="44"/>
      <c r="K3102" s="44" t="s">
        <v>140</v>
      </c>
      <c r="L3102" s="737"/>
      <c r="M3102" s="44"/>
      <c r="N3102" s="44"/>
      <c r="O3102" s="45"/>
      <c r="P3102" s="44"/>
      <c r="Q3102"/>
      <c r="R3102"/>
      <c r="S3102"/>
      <c r="T3102" s="39"/>
      <c r="AG3102" s="502" t="s">
        <v>247</v>
      </c>
      <c r="AH3102" s="1129"/>
      <c r="AI3102" s="502" t="s">
        <v>249</v>
      </c>
      <c r="AM3102" s="710" t="s">
        <v>260</v>
      </c>
      <c r="AN3102" s="711" t="s">
        <v>261</v>
      </c>
      <c r="AO3102" s="503" t="s">
        <v>257</v>
      </c>
    </row>
    <row r="3103" spans="1:41" s="501" customFormat="1" ht="13.2">
      <c r="A3103" s="1393">
        <v>1</v>
      </c>
      <c r="B3103" s="504" t="s">
        <v>1153</v>
      </c>
      <c r="C3103" s="505"/>
      <c r="D3103" s="713" t="s">
        <v>591</v>
      </c>
      <c r="E3103" s="1394">
        <f>IF(AND($A3103=0,$A$1="DIF"),0,ROUND(ROUND(SUMIF($L3104:$L3118,"SUBI",$E3104:$E3118)/$A3103,2)*$C$12,2))</f>
        <v>11081.29</v>
      </c>
      <c r="F3103"/>
      <c r="G3103" s="506" t="s">
        <v>142</v>
      </c>
      <c r="H3103" s="498"/>
      <c r="I3103" s="716"/>
      <c r="J3103" s="498"/>
      <c r="K3103" s="1395" t="s">
        <v>1085</v>
      </c>
      <c r="L3103" s="741" t="s">
        <v>143</v>
      </c>
      <c r="M3103" s="717"/>
      <c r="N3103" s="717"/>
      <c r="O3103" s="717"/>
      <c r="P3103" s="717"/>
      <c r="Q3103"/>
      <c r="R3103"/>
      <c r="S3103"/>
      <c r="T3103" s="1396" t="str">
        <f>IF(AND($R3122=0,$T3122=0),"0.00","mu :" &amp; ROUND($A3103*$E3103/$C$12/($R3122+$T3122*$D$9),2))</f>
        <v>mu :1.32</v>
      </c>
      <c r="W3103" s="507"/>
      <c r="AG3103" s="743">
        <f>IF(A3103=0,0,ROUND(SUM(AG3105:AG3122)/A3103,2))</f>
        <v>11081.29</v>
      </c>
      <c r="AH3103" s="1129"/>
      <c r="AI3103" s="1397">
        <f>$E3103-$AG3103</f>
        <v>0</v>
      </c>
      <c r="AM3103" s="510">
        <f>ROUND(R3122,2)</f>
        <v>8386.2900000000009</v>
      </c>
      <c r="AN3103" s="511">
        <f>ROUND(T3122,2)</f>
        <v>0</v>
      </c>
      <c r="AO3103" s="512">
        <f>ROUND(AM3103+AN3103,2)*A3103</f>
        <v>8386.2900000000009</v>
      </c>
    </row>
    <row r="3104" spans="1:41" s="501" customFormat="1" ht="12">
      <c r="A3104" s="505"/>
      <c r="B3104" s="505"/>
      <c r="C3104" s="505"/>
      <c r="D3104" s="713" t="s">
        <v>978</v>
      </c>
      <c r="F3104" s="498"/>
      <c r="G3104" s="498"/>
      <c r="H3104" s="498"/>
      <c r="I3104" s="716"/>
      <c r="J3104" s="498"/>
      <c r="K3104" s="498" t="s">
        <v>144</v>
      </c>
      <c r="L3104" s="747"/>
      <c r="M3104" s="498"/>
      <c r="N3104" s="498"/>
      <c r="O3104" s="498"/>
      <c r="P3104" s="498"/>
      <c r="Q3104" s="44"/>
      <c r="R3104" s="567"/>
      <c r="S3104" s="719"/>
      <c r="T3104" s="498"/>
    </row>
    <row r="3105" spans="1:33" s="501" customFormat="1" ht="13.2">
      <c r="A3105" s="505"/>
      <c r="B3105" s="505"/>
      <c r="C3105" s="505"/>
      <c r="D3105" s="713"/>
      <c r="F3105" s="798"/>
      <c r="G3105" s="798"/>
      <c r="H3105" s="798"/>
      <c r="I3105" s="1398"/>
      <c r="J3105" s="798"/>
      <c r="K3105" s="798"/>
      <c r="L3105" s="1399"/>
      <c r="M3105" s="798"/>
      <c r="N3105" s="798"/>
      <c r="O3105" s="798"/>
      <c r="P3105" s="798"/>
      <c r="Q3105" s="1400"/>
      <c r="R3105" s="1401"/>
      <c r="S3105" s="1402"/>
      <c r="T3105" s="798"/>
      <c r="AG3105"/>
    </row>
    <row r="3106" spans="1:33" s="501" customFormat="1" ht="12" customHeight="1">
      <c r="A3106" s="760"/>
      <c r="B3106" s="761"/>
      <c r="C3106" s="762"/>
      <c r="D3106" s="762" t="str">
        <f>$F$2</f>
        <v>Electrical</v>
      </c>
      <c r="E3106" s="763">
        <f>ROUND(($R3110*$S$2 + ($T3110*$T$2)), 2)</f>
        <v>945</v>
      </c>
      <c r="F3106"/>
      <c r="G3106" s="497"/>
      <c r="H3106" s="497"/>
      <c r="I3106" s="499"/>
      <c r="J3106" s="497"/>
      <c r="K3106" s="497"/>
      <c r="L3106" s="815" t="s">
        <v>573</v>
      </c>
      <c r="M3106" s="717"/>
      <c r="N3106" s="717"/>
      <c r="O3106" s="717"/>
      <c r="P3106" s="717"/>
      <c r="Q3106" s="499"/>
      <c r="R3106" s="874"/>
      <c r="S3106" s="499"/>
      <c r="T3106" s="784"/>
    </row>
    <row r="3107" spans="1:33" s="893" customFormat="1" ht="13.2">
      <c r="A3107" s="87">
        <v>1</v>
      </c>
      <c r="B3107" s="893" t="s">
        <v>287</v>
      </c>
      <c r="D3107" s="893" t="s">
        <v>1150</v>
      </c>
      <c r="E3107" s="893" t="s">
        <v>1151</v>
      </c>
      <c r="G3107" s="894" t="s">
        <v>1152</v>
      </c>
      <c r="H3107" s="1131" t="s">
        <v>1086</v>
      </c>
      <c r="I3107" s="893" t="s">
        <v>660</v>
      </c>
      <c r="L3107" s="1132" t="s">
        <v>1086</v>
      </c>
      <c r="O3107" s="896">
        <v>4</v>
      </c>
      <c r="P3107" s="897">
        <v>38328</v>
      </c>
      <c r="Q3107" s="898">
        <v>700</v>
      </c>
      <c r="R3107" s="899">
        <f>$A3107*Q3107</f>
        <v>700</v>
      </c>
      <c r="S3107" s="898"/>
      <c r="T3107" s="900">
        <f>$A3107*S3107*$T$1</f>
        <v>0</v>
      </c>
    </row>
    <row r="3108" spans="1:33" s="501" customFormat="1" ht="11.4">
      <c r="A3108" s="785"/>
      <c r="B3108" s="790"/>
      <c r="C3108" s="786"/>
      <c r="D3108" s="797"/>
      <c r="E3108" s="797"/>
      <c r="F3108" s="797"/>
      <c r="G3108" s="786"/>
      <c r="H3108" s="786"/>
      <c r="I3108" s="786"/>
      <c r="J3108" s="790"/>
      <c r="K3108" s="791"/>
      <c r="L3108" s="786"/>
      <c r="M3108" s="792"/>
      <c r="N3108" s="793"/>
      <c r="O3108" s="1403"/>
      <c r="P3108" s="795"/>
      <c r="Q3108" s="1404"/>
      <c r="R3108" s="771">
        <f>$A3108*Q3108</f>
        <v>0</v>
      </c>
      <c r="S3108" s="796"/>
      <c r="T3108" s="500">
        <f>$A3108*S3108*$T$1</f>
        <v>0</v>
      </c>
    </row>
    <row r="3109" spans="1:33" s="501" customFormat="1" ht="11.4">
      <c r="A3109" s="767"/>
      <c r="B3109" s="567"/>
      <c r="C3109" s="567"/>
      <c r="D3109" s="567"/>
      <c r="E3109" s="567"/>
      <c r="F3109" s="567"/>
      <c r="G3109" s="567"/>
      <c r="H3109" s="764"/>
      <c r="I3109" s="567"/>
      <c r="J3109" s="45"/>
      <c r="K3109" s="769"/>
      <c r="L3109" s="770"/>
      <c r="M3109" s="567"/>
      <c r="N3109" s="567"/>
      <c r="O3109" s="45"/>
      <c r="P3109" s="567"/>
      <c r="Q3109" s="567"/>
      <c r="R3109" s="771">
        <f>$A3109*Q3109</f>
        <v>0</v>
      </c>
      <c r="S3109" s="567"/>
      <c r="T3109" s="500">
        <f>$A3109*S3109*$T$1</f>
        <v>0</v>
      </c>
    </row>
    <row r="3110" spans="1:33" s="501" customFormat="1" ht="11.4">
      <c r="A3110" s="772" t="s">
        <v>145</v>
      </c>
      <c r="B3110" s="773">
        <f>(R3109+T3109)</f>
        <v>0</v>
      </c>
      <c r="C3110" s="497"/>
      <c r="F3110" s="753"/>
      <c r="G3110" s="753"/>
      <c r="H3110" s="753"/>
      <c r="I3110" s="754"/>
      <c r="J3110" s="753"/>
      <c r="K3110" s="1405"/>
      <c r="L3110" s="775" t="s">
        <v>573</v>
      </c>
      <c r="M3110" s="1406"/>
      <c r="N3110" s="1406"/>
      <c r="O3110" s="1406"/>
      <c r="P3110" s="1406"/>
      <c r="Q3110" s="774"/>
      <c r="R3110" s="1407">
        <f>SUM(R3106:R3109)</f>
        <v>700</v>
      </c>
      <c r="S3110" s="753"/>
      <c r="T3110" s="1407">
        <f>SUM(T3106:T3109)</f>
        <v>0</v>
      </c>
      <c r="AG3110" s="779">
        <f>ROUND($R3110*$S$2,2)</f>
        <v>945</v>
      </c>
    </row>
    <row r="3111" spans="1:33" s="501" customFormat="1" ht="12" customHeight="1">
      <c r="A3111" s="760"/>
      <c r="B3111" s="1328"/>
      <c r="C3111" s="1255"/>
      <c r="D3111" s="1255" t="str">
        <f>$F$5</f>
        <v>Megaline</v>
      </c>
      <c r="E3111" s="1330">
        <f>ROUND(($R3115*$S$5 + ($T3115*$T$5)),2)</f>
        <v>686.29</v>
      </c>
      <c r="F3111"/>
      <c r="G3111" s="497"/>
      <c r="H3111" s="497"/>
      <c r="I3111" s="499"/>
      <c r="J3111" s="497"/>
      <c r="K3111" s="497"/>
      <c r="L3111" s="815" t="s">
        <v>573</v>
      </c>
      <c r="M3111" s="717"/>
      <c r="N3111" s="717"/>
      <c r="O3111" s="717"/>
      <c r="P3111" s="717"/>
      <c r="Q3111" s="499"/>
      <c r="R3111" s="874"/>
      <c r="S3111" s="499"/>
      <c r="T3111" s="784"/>
    </row>
    <row r="3112" spans="1:33" s="893" customFormat="1" ht="13.2">
      <c r="A3112" s="971">
        <v>1</v>
      </c>
      <c r="B3112" s="972" t="s">
        <v>287</v>
      </c>
      <c r="C3112" s="972"/>
      <c r="D3112" s="972" t="s">
        <v>884</v>
      </c>
      <c r="E3112" s="972"/>
      <c r="F3112" s="944" t="s">
        <v>885</v>
      </c>
      <c r="G3112" s="973" t="s">
        <v>886</v>
      </c>
      <c r="H3112" s="1131" t="s">
        <v>1086</v>
      </c>
      <c r="I3112" s="972" t="s">
        <v>660</v>
      </c>
      <c r="J3112" s="972"/>
      <c r="K3112" s="972"/>
      <c r="L3112" s="1132" t="s">
        <v>1086</v>
      </c>
      <c r="M3112" s="972"/>
      <c r="N3112" s="972"/>
      <c r="O3112" s="974">
        <v>4</v>
      </c>
      <c r="P3112" s="975">
        <v>38594</v>
      </c>
      <c r="Q3112" s="976">
        <v>686.29</v>
      </c>
      <c r="R3112" s="977">
        <f>$A3112*Q3112</f>
        <v>686.29</v>
      </c>
      <c r="S3112" s="976"/>
      <c r="T3112" s="978">
        <f>$A3112*S3112*$T$1</f>
        <v>0</v>
      </c>
    </row>
    <row r="3113" spans="1:33" s="501" customFormat="1" ht="11.4">
      <c r="A3113" s="785"/>
      <c r="B3113" s="790"/>
      <c r="C3113" s="786"/>
      <c r="D3113" s="797"/>
      <c r="E3113" s="797"/>
      <c r="F3113" s="797"/>
      <c r="G3113" s="786"/>
      <c r="H3113" s="786"/>
      <c r="I3113" s="786"/>
      <c r="J3113" s="790"/>
      <c r="K3113" s="791"/>
      <c r="L3113" s="786"/>
      <c r="M3113" s="792"/>
      <c r="N3113" s="793"/>
      <c r="O3113" s="1403"/>
      <c r="P3113" s="795"/>
      <c r="Q3113" s="1404"/>
      <c r="R3113" s="771">
        <f>$A3113*Q3113</f>
        <v>0</v>
      </c>
      <c r="S3113" s="796"/>
      <c r="T3113" s="500">
        <f>$A3113*S3113*$T$1</f>
        <v>0</v>
      </c>
    </row>
    <row r="3114" spans="1:33" s="501" customFormat="1" ht="11.4">
      <c r="A3114" s="767"/>
      <c r="B3114" s="567"/>
      <c r="C3114" s="567"/>
      <c r="D3114" s="567"/>
      <c r="E3114" s="567"/>
      <c r="F3114" s="567"/>
      <c r="G3114" s="567"/>
      <c r="H3114" s="764"/>
      <c r="I3114" s="567"/>
      <c r="J3114" s="45"/>
      <c r="K3114" s="769"/>
      <c r="L3114" s="770"/>
      <c r="M3114" s="567"/>
      <c r="N3114" s="567"/>
      <c r="O3114" s="45"/>
      <c r="P3114" s="567"/>
      <c r="Q3114" s="567"/>
      <c r="R3114" s="771">
        <f>$A3114*Q3114</f>
        <v>0</v>
      </c>
      <c r="S3114" s="567"/>
      <c r="T3114" s="500">
        <f>$A3114*S3114*$T$1</f>
        <v>0</v>
      </c>
    </row>
    <row r="3115" spans="1:33" s="501" customFormat="1" ht="11.4">
      <c r="A3115" s="772" t="s">
        <v>145</v>
      </c>
      <c r="B3115" s="773">
        <f>(R3114+T3114)</f>
        <v>0</v>
      </c>
      <c r="C3115" s="497"/>
      <c r="F3115" s="753"/>
      <c r="G3115" s="753"/>
      <c r="H3115" s="753"/>
      <c r="I3115" s="754"/>
      <c r="J3115" s="753"/>
      <c r="K3115" s="1405"/>
      <c r="L3115" s="775" t="s">
        <v>573</v>
      </c>
      <c r="M3115" s="1406"/>
      <c r="N3115" s="1406"/>
      <c r="O3115" s="1406"/>
      <c r="P3115" s="1406"/>
      <c r="Q3115" s="774"/>
      <c r="R3115" s="1407">
        <f>SUM(R3111:R3114)</f>
        <v>686.29</v>
      </c>
      <c r="S3115" s="753"/>
      <c r="T3115" s="1407">
        <f>SUM(T3111:T3114)</f>
        <v>0</v>
      </c>
      <c r="AG3115" s="1257">
        <f>ROUND($R3115*$S$5,2)</f>
        <v>686.29</v>
      </c>
    </row>
    <row r="3116" spans="1:33" s="501" customFormat="1" ht="12" customHeight="1">
      <c r="A3116" s="760"/>
      <c r="B3116" s="1408"/>
      <c r="C3116" s="1409"/>
      <c r="D3116" s="782" t="str">
        <f>$F$3</f>
        <v>Technician</v>
      </c>
      <c r="E3116" s="783">
        <f>ROUND(($R3120*$S$3 + ($T3120*$T$3)), 2)</f>
        <v>9450</v>
      </c>
      <c r="F3116" s="3"/>
      <c r="G3116" s="497"/>
      <c r="H3116" s="497"/>
      <c r="I3116" s="499"/>
      <c r="J3116" s="497"/>
      <c r="K3116" s="747"/>
      <c r="L3116" s="766" t="s">
        <v>573</v>
      </c>
      <c r="M3116" s="717"/>
      <c r="N3116" s="717"/>
      <c r="O3116" s="717"/>
      <c r="P3116" s="717"/>
      <c r="Q3116" s="499"/>
      <c r="R3116" s="784"/>
      <c r="S3116" s="499"/>
      <c r="T3116" s="784"/>
    </row>
    <row r="3117" spans="1:33" s="893" customFormat="1" ht="13.2">
      <c r="A3117">
        <v>1</v>
      </c>
      <c r="B3117" s="893" t="s">
        <v>141</v>
      </c>
      <c r="D3117" s="893" t="s">
        <v>641</v>
      </c>
      <c r="F3117" s="1134" t="s">
        <v>733</v>
      </c>
      <c r="G3117" s="894" t="s">
        <v>642</v>
      </c>
      <c r="H3117" s="1131" t="s">
        <v>1086</v>
      </c>
      <c r="I3117" s="893" t="s">
        <v>643</v>
      </c>
      <c r="L3117" s="1132" t="s">
        <v>1086</v>
      </c>
      <c r="O3117" s="896">
        <v>3</v>
      </c>
      <c r="P3117" s="897"/>
      <c r="Q3117" s="898">
        <v>7000</v>
      </c>
      <c r="R3117" s="899">
        <f>$A3117*Q3117</f>
        <v>7000</v>
      </c>
      <c r="S3117" s="567"/>
      <c r="T3117" s="900">
        <f>$A3117*S3117*$T$1</f>
        <v>0</v>
      </c>
    </row>
    <row r="3118" spans="1:33" s="920" customFormat="1" ht="13.2">
      <c r="A3118" s="935"/>
      <c r="B3118"/>
      <c r="C3118"/>
      <c r="D3118"/>
      <c r="E3118"/>
      <c r="F3118"/>
      <c r="G3118"/>
      <c r="H3118"/>
      <c r="I3118"/>
      <c r="J3118"/>
      <c r="K3118" s="769"/>
      <c r="L3118" s="270"/>
      <c r="M3118"/>
      <c r="N3118"/>
      <c r="O3118"/>
      <c r="P3118"/>
      <c r="Q3118"/>
      <c r="R3118" s="909">
        <f>$A3118*Q3118</f>
        <v>0</v>
      </c>
      <c r="T3118" s="910">
        <f>$A3118*S3118*$T$1</f>
        <v>0</v>
      </c>
    </row>
    <row r="3119" spans="1:33" s="501" customFormat="1" ht="13.2">
      <c r="A3119" s="767"/>
      <c r="B3119" s="567"/>
      <c r="C3119" s="567"/>
      <c r="D3119" s="3"/>
      <c r="E3119" s="567"/>
      <c r="F3119" s="567"/>
      <c r="G3119" s="567"/>
      <c r="H3119" s="764"/>
      <c r="I3119" s="567"/>
      <c r="J3119" s="45"/>
      <c r="K3119" s="769"/>
      <c r="L3119" s="770"/>
      <c r="M3119" s="567"/>
      <c r="N3119" s="567"/>
      <c r="O3119" s="45"/>
      <c r="P3119" s="567"/>
      <c r="Q3119" s="567"/>
      <c r="R3119" s="771">
        <f>$A3119*Q3119</f>
        <v>0</v>
      </c>
      <c r="S3119" s="567"/>
      <c r="T3119" s="500">
        <f>$A3119*S3119*$T$1</f>
        <v>0</v>
      </c>
    </row>
    <row r="3120" spans="1:33" s="501" customFormat="1" ht="11.4">
      <c r="A3120" s="772" t="s">
        <v>145</v>
      </c>
      <c r="B3120" s="773">
        <f>(R3119+T3119)</f>
        <v>0</v>
      </c>
      <c r="C3120" s="753"/>
      <c r="D3120" s="810"/>
      <c r="E3120" s="810"/>
      <c r="F3120" s="753"/>
      <c r="G3120" s="753"/>
      <c r="H3120" s="753"/>
      <c r="I3120" s="754"/>
      <c r="J3120" s="753"/>
      <c r="K3120" s="1405"/>
      <c r="L3120" s="775" t="s">
        <v>573</v>
      </c>
      <c r="M3120" s="1406"/>
      <c r="N3120" s="1406"/>
      <c r="O3120" s="1406"/>
      <c r="P3120" s="1406"/>
      <c r="Q3120" s="774"/>
      <c r="R3120" s="1407">
        <f>SUM(R3116:R3119)</f>
        <v>7000</v>
      </c>
      <c r="S3120" s="753"/>
      <c r="T3120" s="1407">
        <f>SUM(T3116:T3119)</f>
        <v>0</v>
      </c>
      <c r="AG3120" s="799">
        <f>ROUND($R3120*$S$3,2)</f>
        <v>9450</v>
      </c>
    </row>
    <row r="3121" spans="1:41" s="501" customFormat="1" ht="12">
      <c r="A3121" s="44"/>
      <c r="B3121" s="1410"/>
      <c r="C3121" s="497"/>
      <c r="D3121" s="497"/>
      <c r="E3121" s="497"/>
      <c r="F3121" s="808"/>
      <c r="G3121" s="497"/>
      <c r="H3121" s="497"/>
      <c r="I3121" s="499"/>
      <c r="J3121" s="497"/>
      <c r="K3121" s="497"/>
      <c r="L3121" s="815"/>
      <c r="M3121" s="725"/>
      <c r="N3121" s="725"/>
      <c r="O3121" s="725"/>
      <c r="P3121" s="725"/>
      <c r="Q3121" s="726"/>
      <c r="R3121" s="784"/>
      <c r="S3121" s="497"/>
      <c r="T3121" s="784"/>
    </row>
    <row r="3122" spans="1:41" s="501" customFormat="1" ht="12.6" thickBot="1">
      <c r="A3122" s="37"/>
      <c r="B3122" s="515"/>
      <c r="C3122" s="515"/>
      <c r="D3122" s="721"/>
      <c r="E3122" s="515"/>
      <c r="F3122" s="721"/>
      <c r="G3122" s="515" t="s">
        <v>146</v>
      </c>
      <c r="H3122" s="515"/>
      <c r="I3122" s="516"/>
      <c r="J3122" s="515"/>
      <c r="K3122" s="1411"/>
      <c r="L3122" s="818" t="s">
        <v>1085</v>
      </c>
      <c r="M3122" s="517"/>
      <c r="N3122" s="517"/>
      <c r="O3122" s="517"/>
      <c r="P3122" s="517"/>
      <c r="Q3122" s="722"/>
      <c r="R3122" s="1412">
        <f>SUMIF($L3104:$L3121,"SUBI",R3104:R3121)</f>
        <v>8386.2900000000009</v>
      </c>
      <c r="S3122" s="515"/>
      <c r="T3122" s="1412">
        <f>SUMIF($L3104:$L3121,"SUBI",T3104:T3121)</f>
        <v>0</v>
      </c>
      <c r="U3122" s="518"/>
      <c r="V3122" s="518"/>
      <c r="W3122" s="518"/>
      <c r="X3122" s="518"/>
      <c r="Y3122" s="518"/>
      <c r="Z3122" s="518"/>
      <c r="AA3122" s="518"/>
      <c r="AB3122" s="518"/>
      <c r="AC3122" s="518"/>
      <c r="AD3122" s="518"/>
      <c r="AE3122" s="518"/>
      <c r="AF3122" s="518"/>
      <c r="AG3122" s="518"/>
      <c r="AH3122" s="518"/>
      <c r="AI3122" s="518"/>
      <c r="AJ3122" s="518"/>
      <c r="AK3122" s="518"/>
      <c r="AL3122" s="518"/>
      <c r="AM3122" s="518"/>
      <c r="AN3122" s="518"/>
      <c r="AO3122" s="518"/>
    </row>
    <row r="3123" spans="1:41" s="501" customFormat="1" ht="12" thickTop="1">
      <c r="A3123" s="41" t="s">
        <v>148</v>
      </c>
      <c r="D3123" s="11"/>
      <c r="E3123" s="40"/>
      <c r="O3123" s="727"/>
    </row>
    <row r="3124" spans="1:41" s="501" customFormat="1" ht="13.2">
      <c r="B3124" s="3"/>
      <c r="O3124" s="727"/>
    </row>
    <row r="3125" spans="1:41" s="501" customFormat="1" ht="12">
      <c r="B3125" s="728">
        <f>$F3125/$C$2-($R3125*$S$2+$T3125*$T$2)</f>
        <v>-834.00850000000355</v>
      </c>
      <c r="D3125" s="729" t="s">
        <v>568</v>
      </c>
      <c r="E3125" s="730"/>
      <c r="F3125" s="731">
        <f>SUMIF($L2995:$L3123,"ITEM",F2995:F3123)</f>
        <v>34397.629999999997</v>
      </c>
      <c r="G3125" s="497"/>
      <c r="H3125" s="497"/>
      <c r="I3125" s="499"/>
      <c r="J3125" s="497"/>
      <c r="K3125" s="497"/>
      <c r="L3125" s="717" t="s">
        <v>159</v>
      </c>
      <c r="M3125" s="717"/>
      <c r="N3125" s="717"/>
      <c r="O3125" s="717"/>
      <c r="P3125" s="717"/>
      <c r="R3125" s="731">
        <f>SUMIF($L2995:$L3123,"ITEM",R2995:R3123)</f>
        <v>24230.23</v>
      </c>
      <c r="S3125" s="733"/>
      <c r="T3125" s="731">
        <f>SUMIF($L2995:$L3123,"ITEM",T2995:T3123)</f>
        <v>68</v>
      </c>
    </row>
    <row r="3126" spans="1:41" s="501" customFormat="1" ht="13.2">
      <c r="A3126" s="44"/>
      <c r="B3126" s="42" t="s">
        <v>569</v>
      </c>
      <c r="C3126" s="44"/>
      <c r="D3126" s="3"/>
      <c r="F3126" s="734" t="s">
        <v>160</v>
      </c>
      <c r="G3126" s="497"/>
      <c r="H3126" s="497"/>
      <c r="I3126" s="499"/>
      <c r="J3126" s="497"/>
      <c r="K3126" s="497"/>
      <c r="L3126" s="497"/>
      <c r="M3126" s="497"/>
      <c r="N3126" s="497"/>
      <c r="O3126" s="497"/>
      <c r="P3126" s="497"/>
      <c r="Q3126" s="726"/>
      <c r="R3126" s="734" t="s">
        <v>161</v>
      </c>
      <c r="S3126" s="36"/>
      <c r="T3126" s="734" t="s">
        <v>162</v>
      </c>
    </row>
    <row r="3127" spans="1:41" s="501" customFormat="1" ht="13.2">
      <c r="A3127" s="497"/>
      <c r="B3127" s="3"/>
      <c r="C3127" s="497"/>
      <c r="D3127" s="3"/>
      <c r="E3127" s="3"/>
      <c r="G3127" s="3"/>
      <c r="H3127" s="3"/>
      <c r="I3127" s="3"/>
      <c r="J3127" s="3"/>
      <c r="K3127" s="3"/>
      <c r="L3127" s="3"/>
      <c r="M3127" s="3"/>
      <c r="N3127" s="3"/>
      <c r="O3127" s="86"/>
      <c r="P3127" s="3"/>
      <c r="Q3127" s="3"/>
      <c r="R3127" s="3"/>
      <c r="S3127" s="3"/>
      <c r="T3127" s="3"/>
    </row>
    <row r="3128" spans="1:41" s="501" customFormat="1" ht="12" thickBot="1">
      <c r="A3128" s="518"/>
      <c r="B3128" s="515"/>
      <c r="C3128" s="515"/>
      <c r="D3128" s="518"/>
      <c r="E3128" s="37"/>
      <c r="F3128" s="735"/>
      <c r="G3128" s="515"/>
      <c r="H3128" s="515"/>
      <c r="I3128" s="516"/>
      <c r="J3128" s="515"/>
      <c r="K3128" s="515"/>
      <c r="L3128" s="517"/>
      <c r="M3128" s="517"/>
      <c r="N3128" s="517"/>
      <c r="O3128" s="517"/>
      <c r="P3128" s="517"/>
      <c r="Q3128" s="722"/>
      <c r="R3128" s="735"/>
      <c r="S3128" s="736"/>
      <c r="T3128" s="735"/>
      <c r="U3128" s="518"/>
      <c r="V3128" s="518"/>
      <c r="W3128" s="518"/>
      <c r="X3128" s="518"/>
      <c r="Y3128" s="518"/>
      <c r="Z3128" s="518"/>
      <c r="AA3128" s="518"/>
      <c r="AB3128" s="518"/>
      <c r="AC3128" s="518"/>
      <c r="AD3128" s="518"/>
      <c r="AE3128" s="518"/>
      <c r="AF3128" s="518"/>
      <c r="AG3128" s="518"/>
      <c r="AH3128" s="518"/>
      <c r="AI3128" s="518"/>
      <c r="AJ3128" s="518"/>
      <c r="AK3128" s="518"/>
    </row>
    <row r="3129" spans="1:41" s="501" customFormat="1" ht="14.4" thickTop="1" thickBot="1">
      <c r="A3129" s="41"/>
      <c r="B3129" s="3"/>
      <c r="C3129" s="44"/>
      <c r="D3129" s="3"/>
      <c r="E3129" s="3"/>
      <c r="F3129" s="3"/>
      <c r="G3129" s="3"/>
      <c r="H3129" s="3"/>
      <c r="I3129" s="3"/>
      <c r="J3129" s="3"/>
      <c r="K3129" s="3"/>
      <c r="L3129" s="3"/>
      <c r="M3129" s="3"/>
      <c r="N3129" s="3"/>
      <c r="O3129" s="86"/>
      <c r="P3129" s="3"/>
      <c r="Q3129" s="3"/>
      <c r="R3129" s="3"/>
      <c r="S3129" s="3"/>
      <c r="T3129" s="3"/>
      <c r="AH3129" s="830">
        <f ca="1">SUM(AH$15:AH2850)</f>
        <v>136303.02999999985</v>
      </c>
      <c r="AI3129" s="34"/>
      <c r="AJ3129" s="830">
        <f ca="1">SUM(AJ$15:AJ2850)</f>
        <v>34047.350000000013</v>
      </c>
      <c r="AK3129" s="830">
        <f ca="1">SUM(AK$15:AK2850)</f>
        <v>170350.37999999986</v>
      </c>
    </row>
    <row r="3130" spans="1:41" s="501" customFormat="1" ht="12" thickTop="1">
      <c r="B3130" s="831">
        <f ca="1">$F3130/$C$2-($R3130*$S$2+$T3130*$T$2)</f>
        <v>4.5045000006211922E-2</v>
      </c>
      <c r="C3130" s="501" t="s">
        <v>73</v>
      </c>
      <c r="D3130" s="832"/>
      <c r="E3130" s="832" t="str">
        <f>$F$2 &amp; " (mu_A) :"</f>
        <v>Electrical (mu_A) :</v>
      </c>
      <c r="F3130" s="833">
        <f ca="1">SUMIF($K$13:$K3129,"mu_A",F$13:F3129)</f>
        <v>59159.25</v>
      </c>
      <c r="O3130" s="727"/>
      <c r="R3130" s="834">
        <f ca="1">SUMIF($K$13:$K3129,"mu_A",$R$13:$R3129)</f>
        <v>24030.387500000001</v>
      </c>
      <c r="T3130" s="834">
        <f ca="1">SUMIF($K$13:$K3129,"mu_A",$T$13:$T3129)</f>
        <v>720.72999999999968</v>
      </c>
      <c r="AH3130" s="835">
        <f ca="1">R3130*$S$2</f>
        <v>32441.023125000003</v>
      </c>
      <c r="AJ3130" s="835">
        <f ca="1">T3130*$T$2</f>
        <v>26718.18182999999</v>
      </c>
    </row>
    <row r="3131" spans="1:41" s="501" customFormat="1" ht="11.4">
      <c r="B3131" s="831">
        <f ca="1">$F3131/$C$3-($R3131*$S$3+$T3131*$T$3)</f>
        <v>4.7999999893363565E-2</v>
      </c>
      <c r="C3131" s="501" t="s">
        <v>73</v>
      </c>
      <c r="D3131" s="832"/>
      <c r="E3131" s="832" t="str">
        <f>$F$3&amp; " (mu_B) :"</f>
        <v>Technician (mu_B) :</v>
      </c>
      <c r="F3131" s="836">
        <f ca="1">SUMIF($K$13:$K3129,"mu_B",F$13:F3129)</f>
        <v>139537.55999999991</v>
      </c>
      <c r="G3131" s="497"/>
      <c r="H3131" s="497"/>
      <c r="I3131" s="499"/>
      <c r="J3131" s="497"/>
      <c r="K3131" s="497"/>
      <c r="L3131" s="497"/>
      <c r="M3131" s="497"/>
      <c r="N3131" s="497"/>
      <c r="O3131" s="497"/>
      <c r="P3131" s="497"/>
      <c r="Q3131" s="726"/>
      <c r="R3131" s="837">
        <f>SUMIF($K$13:$K3129,"mu_B",$R$13:$R3129)</f>
        <v>98353.700000000012</v>
      </c>
      <c r="S3131" s="767"/>
      <c r="T3131" s="837">
        <f>SUMIF($K$13:$K3129,"mu_B",$T$13:$T3129)</f>
        <v>148.5</v>
      </c>
      <c r="AH3131" s="838">
        <f>R3131*$S$3</f>
        <v>132777.49500000002</v>
      </c>
      <c r="AJ3131" s="838">
        <f>T3131*$T$3</f>
        <v>6760.0169999999998</v>
      </c>
    </row>
    <row r="3132" spans="1:41" s="501" customFormat="1" ht="11.4">
      <c r="B3132" s="831">
        <f ca="1">$F3132/$C$4-($R3132*$S$4+$T3132*$T$4)</f>
        <v>1.0000000000218279E-2</v>
      </c>
      <c r="C3132" s="501" t="s">
        <v>73</v>
      </c>
      <c r="D3132" s="832"/>
      <c r="E3132" s="832" t="str">
        <f>$F$4&amp; " (mu_C) :"</f>
        <v>Engineer (Man Hours) (mu_C) :</v>
      </c>
      <c r="F3132" s="839">
        <f ca="1">SUMIF($K$13:$K3129,"mu_C",F$13:F3129)</f>
        <v>3240.01</v>
      </c>
      <c r="G3132" s="497"/>
      <c r="H3132" s="497"/>
      <c r="I3132" s="499"/>
      <c r="J3132" s="497"/>
      <c r="K3132" s="497"/>
      <c r="L3132" s="725"/>
      <c r="M3132" s="725"/>
      <c r="N3132" s="725"/>
      <c r="O3132" s="725"/>
      <c r="P3132" s="725"/>
      <c r="R3132" s="837">
        <f>SUMIF($K$13:$K3129,"mu_C",$R$13:$R3129)</f>
        <v>0</v>
      </c>
      <c r="S3132" s="733"/>
      <c r="T3132" s="837">
        <f>SUMIF($K$13:$K3129,"mu_C",$T$13:$T3129)</f>
        <v>80</v>
      </c>
      <c r="AH3132" s="840">
        <f>R3132*$S$4</f>
        <v>0</v>
      </c>
      <c r="AJ3132" s="840">
        <f>T3132*$T$4</f>
        <v>3240</v>
      </c>
    </row>
    <row r="3133" spans="1:41" s="501" customFormat="1" ht="11.4">
      <c r="B3133" s="831">
        <f ca="1">$F3133/$C$5-($R3133*$S$5+$T3133*$T$5)</f>
        <v>0</v>
      </c>
      <c r="C3133" s="501" t="s">
        <v>73</v>
      </c>
      <c r="D3133" s="832"/>
      <c r="E3133" s="832" t="str">
        <f>$F$5&amp; " (mu_D) :"</f>
        <v>Megaline (mu_D) :</v>
      </c>
      <c r="F3133" s="841">
        <f ca="1">SUMIF($K$13:$K3129,"mu_D",F$13:F3129)</f>
        <v>7441.04</v>
      </c>
      <c r="G3133" s="497"/>
      <c r="H3133" s="497"/>
      <c r="I3133" s="499"/>
      <c r="J3133" s="497"/>
      <c r="K3133" s="497"/>
      <c r="L3133" s="725"/>
      <c r="M3133" s="725"/>
      <c r="N3133" s="725"/>
      <c r="O3133" s="725"/>
      <c r="P3133" s="725"/>
      <c r="R3133" s="837">
        <f>SUMIF($K$13:$K3129,"mu_D",$R$13:$R3129)</f>
        <v>7441.04</v>
      </c>
      <c r="S3133" s="733"/>
      <c r="T3133" s="837">
        <f>SUMIF($K$13:$K3129,"mu_D",$T$13:$T3129)</f>
        <v>0</v>
      </c>
      <c r="AH3133" s="842">
        <f>R3133*$S$5</f>
        <v>7441.04</v>
      </c>
      <c r="AJ3133" s="842">
        <f>T3133*$T$5</f>
        <v>0</v>
      </c>
    </row>
    <row r="3134" spans="1:41" s="501" customFormat="1" ht="11.4">
      <c r="B3134" s="831">
        <f>$F3134/$C$6-($R3134*$S$6+$T3134*$T$6)</f>
        <v>0</v>
      </c>
      <c r="C3134" s="501" t="s">
        <v>73</v>
      </c>
      <c r="D3134" s="832"/>
      <c r="E3134" s="832" t="str">
        <f>$F$6&amp; " (mu_E) :"</f>
        <v>0 (mu_E) :</v>
      </c>
      <c r="F3134" s="843">
        <f>SUMIF($K$13:$K3129,"mu_E",F$13:F3129)</f>
        <v>0</v>
      </c>
      <c r="G3134" s="497"/>
      <c r="H3134" s="497"/>
      <c r="I3134" s="499"/>
      <c r="J3134" s="497"/>
      <c r="K3134" s="497"/>
      <c r="L3134" s="725"/>
      <c r="M3134" s="725"/>
      <c r="N3134" s="725"/>
      <c r="O3134" s="725"/>
      <c r="P3134" s="725"/>
      <c r="R3134" s="837">
        <f>SUMIF($K$13:$K3129,"mu_E",$R$13:$R3129)</f>
        <v>0</v>
      </c>
      <c r="S3134" s="733"/>
      <c r="T3134" s="837">
        <f>SUMIF($K$13:$K3129,"mu_E",$T$13:$T3129)</f>
        <v>0</v>
      </c>
      <c r="AH3134" s="844">
        <f>R3134*$S$6</f>
        <v>0</v>
      </c>
      <c r="AJ3134" s="844">
        <f>T3134*$T$6</f>
        <v>0</v>
      </c>
    </row>
    <row r="3135" spans="1:41" s="501" customFormat="1" ht="11.4">
      <c r="B3135" s="831">
        <f>$F3135/$C$7-($R3135*$S$7+$T3135*$T$7)</f>
        <v>0</v>
      </c>
      <c r="C3135" s="501" t="s">
        <v>73</v>
      </c>
      <c r="D3135" s="832"/>
      <c r="E3135" s="832" t="str">
        <f>$F$7&amp; " (mu_F) :"</f>
        <v>0 (mu_F) :</v>
      </c>
      <c r="F3135" s="845">
        <f>SUMIF($K$13:$K3129,"mu_F",F$13:F3129)</f>
        <v>0</v>
      </c>
      <c r="G3135" s="497"/>
      <c r="H3135" s="497"/>
      <c r="I3135" s="499"/>
      <c r="J3135" s="497"/>
      <c r="K3135" s="497"/>
      <c r="L3135" s="725"/>
      <c r="M3135" s="725"/>
      <c r="N3135" s="725"/>
      <c r="O3135" s="725"/>
      <c r="P3135" s="725"/>
      <c r="R3135" s="837">
        <f>SUMIF($K$13:$K3129,"mu_F",$R$13:$R3129)</f>
        <v>0</v>
      </c>
      <c r="S3135" s="733"/>
      <c r="T3135" s="837">
        <f>SUMIF($K$13:$K3129,"mu_F",$T$13:$T3129)</f>
        <v>0</v>
      </c>
      <c r="AH3135" s="846">
        <f>R3135*$S$7</f>
        <v>0</v>
      </c>
      <c r="AJ3135" s="846">
        <f>T3135*$T$7</f>
        <v>0</v>
      </c>
    </row>
    <row r="3136" spans="1:41" s="501" customFormat="1" ht="11.4">
      <c r="B3136" s="831">
        <f>$F3136/$C$8-($R3136*$S$8+$T3136*$T$8)</f>
        <v>0</v>
      </c>
      <c r="C3136" s="501" t="s">
        <v>73</v>
      </c>
      <c r="D3136" s="832"/>
      <c r="E3136" s="832" t="str">
        <f>$F$8&amp; " (mu_G) :"</f>
        <v>0 (mu_G) :</v>
      </c>
      <c r="F3136" s="847">
        <f>SUMIF($K$13:$K3129,"mu_G",F$13:F3129)</f>
        <v>0</v>
      </c>
      <c r="G3136" s="497"/>
      <c r="H3136" s="497"/>
      <c r="I3136" s="499"/>
      <c r="J3136" s="497"/>
      <c r="K3136" s="497"/>
      <c r="L3136" s="725"/>
      <c r="M3136" s="725"/>
      <c r="N3136" s="725"/>
      <c r="O3136" s="725"/>
      <c r="P3136" s="725"/>
      <c r="R3136" s="837">
        <f>SUMIF($K$13:$K3129,"mu_G",$R$13:$R3129)</f>
        <v>0</v>
      </c>
      <c r="S3136" s="733"/>
      <c r="T3136" s="837">
        <f>SUMIF($K$13:$K3129,"mu_G",$T$13:$T3129)</f>
        <v>0</v>
      </c>
      <c r="AH3136" s="848">
        <f>R3136*$S$8</f>
        <v>0</v>
      </c>
      <c r="AJ3136" s="848">
        <f>T3136*$T$8</f>
        <v>0</v>
      </c>
    </row>
    <row r="3137" spans="1:37" s="501" customFormat="1" ht="11.4">
      <c r="B3137" s="831">
        <f>$F3137/$C$9-($R3137*$S$9+$T3137*$T$9)</f>
        <v>0</v>
      </c>
      <c r="C3137" s="501" t="s">
        <v>73</v>
      </c>
      <c r="D3137" s="832"/>
      <c r="E3137" s="832" t="str">
        <f>$F$9&amp; " (mu_H) :"</f>
        <v>0 (mu_H) :</v>
      </c>
      <c r="F3137" s="849">
        <f>SUMIF($K$13:$K3129,"mu_H",F$13:F3129)</f>
        <v>0</v>
      </c>
      <c r="G3137" s="497"/>
      <c r="H3137" s="497"/>
      <c r="I3137" s="499"/>
      <c r="J3137" s="497"/>
      <c r="K3137" s="497"/>
      <c r="L3137" s="725"/>
      <c r="M3137" s="725"/>
      <c r="N3137" s="725"/>
      <c r="O3137" s="725"/>
      <c r="P3137" s="725"/>
      <c r="R3137" s="837">
        <f>SUMIF($K$13:$K3129,"mu_H",$R$13:$R3129)</f>
        <v>0</v>
      </c>
      <c r="S3137" s="733"/>
      <c r="T3137" s="837">
        <f>SUMIF($K$13:$K3129,"mu_H",$T$13:$T3129)</f>
        <v>0</v>
      </c>
      <c r="AH3137" s="850">
        <f>R3137*$S$9</f>
        <v>0</v>
      </c>
      <c r="AJ3137" s="850">
        <f>T3137*$T$9</f>
        <v>0</v>
      </c>
    </row>
    <row r="3138" spans="1:37" s="501" customFormat="1" ht="11.4">
      <c r="B3138" s="831">
        <f>$F3138/$C$10-($R3138*$S$10+$T3138*$T$10)</f>
        <v>0</v>
      </c>
      <c r="C3138" s="501" t="s">
        <v>73</v>
      </c>
      <c r="D3138" s="832"/>
      <c r="E3138" s="832" t="str">
        <f>$F$10&amp; " (mu_I) :"</f>
        <v>0 (mu_I) :</v>
      </c>
      <c r="F3138" s="851">
        <f>SUMIF($K$13:$K3129,"mu_I",F$13:F3129)</f>
        <v>0</v>
      </c>
      <c r="G3138" s="497"/>
      <c r="H3138" s="497"/>
      <c r="I3138" s="499"/>
      <c r="J3138" s="497"/>
      <c r="K3138" s="497"/>
      <c r="L3138" s="725"/>
      <c r="M3138" s="725"/>
      <c r="N3138" s="725"/>
      <c r="O3138" s="725"/>
      <c r="P3138" s="725"/>
      <c r="R3138" s="837">
        <f>SUMIF($K$13:$K3129,"mu_I",$R$13:$R3129)</f>
        <v>0</v>
      </c>
      <c r="S3138" s="733"/>
      <c r="T3138" s="837">
        <f>SUMIF($K$13:$K3129,"mu_I",$T$13:$T3129)</f>
        <v>0</v>
      </c>
      <c r="AH3138" s="852">
        <f>R3138*$S$10</f>
        <v>0</v>
      </c>
      <c r="AJ3138" s="852">
        <f>T3138*$T$10</f>
        <v>0</v>
      </c>
    </row>
    <row r="3139" spans="1:37" s="501" customFormat="1" ht="11.4">
      <c r="B3139" s="831">
        <f>$F3139/$C$11-($R3139*$S$11+$T3139*$T$11)</f>
        <v>0</v>
      </c>
      <c r="D3139" s="832"/>
      <c r="E3139" s="832" t="str">
        <f>$F$10&amp; " (mu_J) :"</f>
        <v>0 (mu_J) :</v>
      </c>
      <c r="F3139" s="853">
        <f>SUMIF($K$13:$K3129,"mu_J",F$13:F3129)</f>
        <v>0</v>
      </c>
      <c r="G3139" s="497"/>
      <c r="H3139" s="497"/>
      <c r="I3139" s="499"/>
      <c r="J3139" s="497"/>
      <c r="K3139" s="497"/>
      <c r="L3139" s="725"/>
      <c r="M3139" s="725"/>
      <c r="N3139" s="725"/>
      <c r="O3139" s="725"/>
      <c r="P3139" s="725"/>
      <c r="R3139" s="837">
        <f>SUMIF($K$13:$K3129,"mu_J",$R$13:$R3129)</f>
        <v>0</v>
      </c>
      <c r="S3139" s="733"/>
      <c r="T3139" s="837">
        <f>SUMIF($K$13:$K3129,"mu_J",$T$13:$T3129)</f>
        <v>0</v>
      </c>
      <c r="AH3139" s="854">
        <f>R3139*$S$11</f>
        <v>0</v>
      </c>
      <c r="AJ3139" s="854">
        <f>T3139*$T$11</f>
        <v>0</v>
      </c>
    </row>
    <row r="3140" spans="1:37" s="501" customFormat="1" ht="14.4" thickBot="1">
      <c r="A3140" s="855"/>
      <c r="B3140" s="855"/>
      <c r="C3140" s="856" t="s">
        <v>631</v>
      </c>
      <c r="D3140" s="857"/>
      <c r="E3140" s="858" t="s">
        <v>632</v>
      </c>
      <c r="F3140" s="859">
        <f ca="1">SUM(F3130:F3139)</f>
        <v>209377.85999999993</v>
      </c>
      <c r="G3140" s="860"/>
      <c r="H3140" s="860"/>
      <c r="I3140" s="861"/>
      <c r="J3140" s="860"/>
      <c r="K3140" s="860"/>
      <c r="L3140" s="862"/>
      <c r="M3140" s="862"/>
      <c r="N3140" s="862"/>
      <c r="O3140" s="862"/>
      <c r="P3140" s="862"/>
      <c r="Q3140" s="863"/>
      <c r="R3140" s="863">
        <f ca="1">SUM(R3130:R3139)</f>
        <v>129825.1275</v>
      </c>
      <c r="S3140" s="864"/>
      <c r="T3140" s="863">
        <f ca="1">SUM(T3130:T3139)</f>
        <v>949.22999999999968</v>
      </c>
      <c r="U3140" s="518"/>
      <c r="V3140" s="518"/>
      <c r="W3140" s="518"/>
      <c r="X3140" s="518"/>
      <c r="Y3140" s="518"/>
      <c r="Z3140" s="518"/>
      <c r="AA3140" s="518"/>
      <c r="AB3140" s="518"/>
      <c r="AC3140" s="518"/>
      <c r="AD3140" s="518"/>
      <c r="AE3140" s="518"/>
      <c r="AF3140" s="518"/>
      <c r="AG3140" s="518"/>
      <c r="AH3140" s="830">
        <f ca="1">SUM(AH3130:AH3139)</f>
        <v>172659.55812500004</v>
      </c>
      <c r="AI3140" s="865"/>
      <c r="AJ3140" s="830">
        <f ca="1">SUM(AJ3130:AJ3139)</f>
        <v>36718.198829999994</v>
      </c>
      <c r="AK3140" s="830">
        <f ca="1">AH3140+AJ3140</f>
        <v>209377.75695500005</v>
      </c>
    </row>
    <row r="3141" spans="1:37" s="501" customFormat="1" ht="14.4" thickTop="1">
      <c r="A3141" s="492"/>
      <c r="B3141" s="492"/>
      <c r="C3141" s="866"/>
      <c r="D3141" s="867"/>
      <c r="E3141" s="734"/>
      <c r="F3141" s="868"/>
      <c r="G3141" s="716"/>
      <c r="H3141" s="716"/>
      <c r="I3141" s="716"/>
      <c r="J3141" s="716"/>
      <c r="K3141" s="716"/>
      <c r="L3141" s="869"/>
      <c r="M3141" s="869"/>
      <c r="N3141" s="869"/>
      <c r="O3141" s="869"/>
      <c r="P3141" s="869"/>
      <c r="Q3141" s="868"/>
      <c r="R3141" s="868"/>
      <c r="S3141" s="870"/>
      <c r="T3141" s="868"/>
      <c r="AH3141" s="871">
        <f ca="1">AH3129-AH3140</f>
        <v>-36356.528125000186</v>
      </c>
      <c r="AI3141" s="34"/>
      <c r="AJ3141" s="871">
        <f ca="1">AJ3129-AJ3140</f>
        <v>-2670.8488299999808</v>
      </c>
      <c r="AK3141" s="871">
        <f ca="1">AK3129-AK3140</f>
        <v>-39027.376955000189</v>
      </c>
    </row>
    <row r="3142" spans="1:37" s="501" customFormat="1" ht="12.6" thickBot="1">
      <c r="A3142" s="872"/>
      <c r="B3142" s="873" t="s">
        <v>633</v>
      </c>
      <c r="C3142" s="44"/>
      <c r="D3142" s="46"/>
      <c r="E3142" s="36" t="s">
        <v>634</v>
      </c>
      <c r="F3142" s="874"/>
      <c r="G3142" s="567"/>
      <c r="H3142" s="567"/>
      <c r="I3142" s="567"/>
      <c r="J3142" s="567"/>
      <c r="K3142" s="567"/>
      <c r="L3142" s="868" t="s">
        <v>635</v>
      </c>
      <c r="M3142" s="868"/>
      <c r="N3142" s="868"/>
      <c r="O3142" s="868"/>
      <c r="P3142" s="868"/>
      <c r="Q3142" s="567"/>
      <c r="R3142" s="875">
        <f ca="1">SUMIF($L$15:$L3129,"",R$15:R3129)</f>
        <v>129825.12750000006</v>
      </c>
      <c r="S3142" s="876"/>
      <c r="T3142" s="875">
        <f ca="1">SUMIF($L$15:$L3129,"",T$15:T3129)</f>
        <v>949.22999999999979</v>
      </c>
    </row>
    <row r="3143" spans="1:37" s="501" customFormat="1" ht="12">
      <c r="A3143" s="872"/>
      <c r="B3143" s="873" t="s">
        <v>636</v>
      </c>
      <c r="C3143" s="44"/>
      <c r="D3143" s="44"/>
      <c r="E3143" s="767"/>
      <c r="F3143" s="567"/>
      <c r="G3143" s="567"/>
      <c r="H3143" s="567"/>
      <c r="I3143" s="567"/>
      <c r="J3143" s="567"/>
      <c r="K3143" s="567"/>
      <c r="L3143" s="567"/>
      <c r="M3143" s="567"/>
      <c r="N3143" s="567"/>
      <c r="O3143" s="567"/>
      <c r="P3143" s="567"/>
      <c r="Q3143" s="567"/>
      <c r="R3143" s="567"/>
      <c r="S3143" s="567"/>
      <c r="T3143" s="567"/>
    </row>
    <row r="3144" spans="1:37" s="501" customFormat="1" ht="12.6" thickBot="1">
      <c r="A3144" s="877"/>
      <c r="B3144" s="878">
        <f ca="1">$F3144/$C$2-($R3144*$S$2+$T3144*$T$2)</f>
        <v>-1074.9674550000927</v>
      </c>
      <c r="C3144" s="44"/>
      <c r="D3144" s="46"/>
      <c r="E3144" s="36" t="s">
        <v>637</v>
      </c>
      <c r="F3144" s="879">
        <f ca="1">SUMIF($L$15:$L3129,"ITEM",F$15:F3129)</f>
        <v>209377.85999999987</v>
      </c>
      <c r="G3144" s="567"/>
      <c r="H3144" s="567"/>
      <c r="I3144" s="567"/>
      <c r="J3144" s="567"/>
      <c r="K3144" s="567"/>
      <c r="L3144" s="868" t="s">
        <v>638</v>
      </c>
      <c r="M3144" s="868"/>
      <c r="N3144" s="868"/>
      <c r="O3144" s="868"/>
      <c r="P3144" s="868"/>
      <c r="Q3144" s="876"/>
      <c r="R3144" s="880">
        <f ca="1">SUMIF($L$15:$L3129,"ITEM",R$15:R3129)</f>
        <v>129825.12749999997</v>
      </c>
      <c r="S3144" s="881"/>
      <c r="T3144" s="880">
        <f ca="1">SUMIF($L$15:$L3129,"ITEM",T$15:T3129)</f>
        <v>949.22999999999968</v>
      </c>
    </row>
    <row r="3145" spans="1:37" s="501" customFormat="1" ht="11.4">
      <c r="A3145" s="877"/>
      <c r="B3145" s="882"/>
      <c r="C3145" s="497"/>
      <c r="D3145" s="44"/>
      <c r="E3145" s="767"/>
      <c r="F3145" s="567"/>
      <c r="G3145" s="567"/>
      <c r="H3145" s="567"/>
      <c r="I3145" s="567"/>
      <c r="J3145" s="567"/>
      <c r="K3145" s="567"/>
      <c r="L3145" s="567"/>
      <c r="M3145" s="567"/>
      <c r="N3145" s="567"/>
      <c r="O3145" s="567"/>
      <c r="P3145" s="567"/>
      <c r="Q3145" s="567"/>
      <c r="R3145" s="567"/>
      <c r="S3145" s="567"/>
      <c r="T3145" s="567"/>
    </row>
    <row r="3146" spans="1:37" s="501" customFormat="1" thickBot="1">
      <c r="A3146" s="877"/>
      <c r="B3146" s="878">
        <f ca="1">$F3146/$C$2-($R3146*$S$2+$T3146*$T$2)</f>
        <v>-1332.4839549999742</v>
      </c>
      <c r="C3146" s="44"/>
      <c r="D3146" s="883"/>
      <c r="E3146" s="884" t="s">
        <v>639</v>
      </c>
      <c r="F3146" s="885">
        <f ca="1">SUMIF($L$15:$L3129,"PAGE",F$15:F3129)</f>
        <v>214183.37000000002</v>
      </c>
      <c r="G3146" s="499"/>
      <c r="H3146" s="499"/>
      <c r="I3146" s="499"/>
      <c r="J3146" s="499"/>
      <c r="K3146" s="567"/>
      <c r="L3146" s="869" t="s">
        <v>640</v>
      </c>
      <c r="M3146" s="869"/>
      <c r="N3146" s="869"/>
      <c r="O3146" s="869"/>
      <c r="P3146" s="869"/>
      <c r="Q3146" s="876"/>
      <c r="R3146" s="886">
        <f ca="1">SUMIF($L$15:$L3129,"PAGE",R$15:R3129)</f>
        <v>131708.23749999999</v>
      </c>
      <c r="S3146" s="887"/>
      <c r="T3146" s="886">
        <f ca="1">SUMIF($L$15:$L3129,"PAGE",T$15:T3129)</f>
        <v>1017.2299999999999</v>
      </c>
    </row>
    <row r="3147" spans="1:37" s="501" customFormat="1" ht="11.4">
      <c r="A3147" s="877"/>
      <c r="B3147" s="878"/>
      <c r="C3147" s="44"/>
      <c r="D3147" s="44"/>
      <c r="E3147" s="767"/>
      <c r="F3147" s="567"/>
      <c r="G3147" s="567"/>
      <c r="H3147" s="567"/>
      <c r="I3147" s="567"/>
      <c r="J3147" s="567"/>
      <c r="K3147" s="567"/>
      <c r="L3147" s="567"/>
      <c r="M3147" s="567"/>
      <c r="N3147" s="567"/>
      <c r="O3147" s="567"/>
      <c r="P3147" s="567"/>
      <c r="Q3147" s="567"/>
      <c r="R3147" s="567"/>
      <c r="S3147" s="567"/>
      <c r="T3147" s="567"/>
    </row>
    <row r="3148" spans="1:37" s="501" customFormat="1" ht="12.6" thickBot="1">
      <c r="A3148" s="288" t="s">
        <v>148</v>
      </c>
      <c r="B3148" s="878">
        <f>$F3148/$C$2-($R3148*$S$2+$T3148*$T$2)</f>
        <v>0</v>
      </c>
      <c r="C3148" s="44"/>
      <c r="D3148" s="498"/>
      <c r="E3148" s="884" t="s">
        <v>149</v>
      </c>
      <c r="F3148" s="888">
        <f>SUMIF($L$15:$L3129,"SECT",F$15:F3129)</f>
        <v>0</v>
      </c>
      <c r="G3148" s="499"/>
      <c r="H3148" s="499"/>
      <c r="I3148" s="499"/>
      <c r="J3148" s="499"/>
      <c r="K3148" s="567"/>
      <c r="L3148" s="868" t="s">
        <v>150</v>
      </c>
      <c r="M3148" s="868"/>
      <c r="N3148" s="868"/>
      <c r="O3148" s="868"/>
      <c r="P3148" s="868"/>
      <c r="Q3148" s="876"/>
      <c r="R3148" s="889">
        <f>SUMIF($L$15:$L3129,"SECT",R$15:R3129)</f>
        <v>0</v>
      </c>
      <c r="S3148" s="876"/>
      <c r="T3148" s="889">
        <f>SUMIF($L$15:$L3129,"SECT",T$15:T3129)</f>
        <v>0</v>
      </c>
    </row>
    <row r="3149" spans="1:37" s="501" customFormat="1" thickBot="1">
      <c r="A3149" s="47" t="s">
        <v>151</v>
      </c>
      <c r="B3149" s="37"/>
      <c r="C3149" s="3"/>
      <c r="D3149" s="37"/>
      <c r="E3149" s="37"/>
      <c r="F3149" s="890"/>
      <c r="G3149" s="891"/>
      <c r="H3149" s="891"/>
      <c r="I3149" s="891"/>
      <c r="J3149" s="891"/>
      <c r="K3149" s="891"/>
      <c r="L3149" s="891"/>
      <c r="M3149" s="891"/>
      <c r="N3149" s="891"/>
      <c r="O3149" s="891"/>
      <c r="P3149" s="891"/>
      <c r="Q3149" s="891"/>
      <c r="R3149" s="890"/>
      <c r="S3149" s="48"/>
      <c r="T3149" s="890"/>
      <c r="U3149" s="518"/>
      <c r="V3149" s="518"/>
      <c r="W3149" s="518"/>
      <c r="X3149" s="518"/>
      <c r="Y3149" s="518"/>
      <c r="Z3149" s="518"/>
      <c r="AA3149" s="518"/>
      <c r="AB3149" s="518"/>
      <c r="AC3149" s="518"/>
      <c r="AD3149" s="518"/>
      <c r="AE3149" s="518"/>
      <c r="AF3149" s="518"/>
      <c r="AG3149" s="518"/>
      <c r="AH3149" s="518"/>
      <c r="AI3149" s="518"/>
      <c r="AJ3149" s="518"/>
      <c r="AK3149" s="518"/>
    </row>
    <row r="3150" spans="1:37" ht="14.4" thickTop="1">
      <c r="A3150" s="49"/>
      <c r="B3150" s="482" t="s">
        <v>71</v>
      </c>
      <c r="C3150" s="4"/>
      <c r="D3150" s="50"/>
      <c r="E3150" s="51" t="s">
        <v>152</v>
      </c>
      <c r="F3150" s="52"/>
      <c r="G3150" s="52"/>
      <c r="H3150" s="52"/>
      <c r="I3150" s="52"/>
      <c r="J3150" s="52"/>
      <c r="K3150" s="52"/>
      <c r="L3150" s="52"/>
      <c r="M3150" s="52"/>
      <c r="N3150" s="52"/>
      <c r="O3150" s="53"/>
      <c r="P3150" s="52"/>
      <c r="Q3150" s="54"/>
      <c r="R3150" s="55">
        <f ca="1">SUM(R3151:R3206)</f>
        <v>129825.07849999997</v>
      </c>
      <c r="S3150" s="56"/>
      <c r="T3150" s="55">
        <f ca="1">SUM(T3151:T3206)</f>
        <v>949.21999999999991</v>
      </c>
    </row>
    <row r="3151" spans="1:37">
      <c r="A3151" s="57"/>
      <c r="B3151" s="452">
        <v>1</v>
      </c>
      <c r="C3151" s="4" t="s">
        <v>73</v>
      </c>
      <c r="D3151" s="34" t="s">
        <v>74</v>
      </c>
      <c r="F3151" s="58">
        <v>501</v>
      </c>
      <c r="O3151" s="59"/>
      <c r="P3151" s="34">
        <v>1</v>
      </c>
      <c r="R3151" s="60">
        <f ca="1">SUMIF($H$13:$H$3129,$F3151,R$13:R$3129)+Elec_Rates!R234</f>
        <v>1948.364</v>
      </c>
      <c r="S3151" s="61"/>
      <c r="T3151" s="60">
        <f ca="1">SUMIF($H$13:$H$3129,$F3151,T$13:T$3129)+Elec_Rates!T234</f>
        <v>0</v>
      </c>
    </row>
    <row r="3152" spans="1:37">
      <c r="A3152" s="57"/>
      <c r="B3152" s="452">
        <v>2</v>
      </c>
      <c r="C3152" s="4" t="s">
        <v>73</v>
      </c>
      <c r="D3152" s="34" t="s">
        <v>75</v>
      </c>
      <c r="F3152" s="58">
        <v>505</v>
      </c>
      <c r="O3152" s="59"/>
      <c r="P3152" s="34">
        <v>1</v>
      </c>
      <c r="R3152" s="60">
        <f>SUMIF($H$13:$H$3129,$F3152,R$13:R$3129)+Elec_Rates!R235</f>
        <v>0</v>
      </c>
      <c r="S3152" s="61"/>
      <c r="T3152" s="60">
        <f>SUMIF($H$13:$H$3129,$F3152,T$13:T$3129)+Elec_Rates!T235</f>
        <v>0</v>
      </c>
    </row>
    <row r="3153" spans="1:20">
      <c r="A3153" s="57"/>
      <c r="B3153" s="452">
        <v>3</v>
      </c>
      <c r="C3153" s="4" t="s">
        <v>73</v>
      </c>
      <c r="D3153" s="34" t="s">
        <v>76</v>
      </c>
      <c r="F3153" s="58">
        <v>510</v>
      </c>
      <c r="O3153" s="59"/>
      <c r="P3153" s="34">
        <v>2</v>
      </c>
      <c r="R3153" s="60">
        <f>SUMIF($H$13:$H$3129,$F3153,R$13:R$3129)+Elec_Rates!R236</f>
        <v>0</v>
      </c>
      <c r="S3153" s="61"/>
      <c r="T3153" s="60">
        <f>SUMIF($H$13:$H$3129,$F3153,T$13:T$3129)+Elec_Rates!T236</f>
        <v>0</v>
      </c>
    </row>
    <row r="3154" spans="1:20">
      <c r="A3154" s="57"/>
      <c r="B3154" s="452">
        <v>4</v>
      </c>
      <c r="C3154" s="4" t="s">
        <v>73</v>
      </c>
      <c r="D3154" s="34" t="s">
        <v>77</v>
      </c>
      <c r="F3154" s="58">
        <v>511</v>
      </c>
      <c r="O3154" s="59"/>
      <c r="P3154" s="34">
        <v>2</v>
      </c>
      <c r="R3154" s="60">
        <f>SUMIF($H$13:$H$3129,$F3154,R$13:R$3129)+Elec_Rates!R237</f>
        <v>0</v>
      </c>
      <c r="S3154" s="61"/>
      <c r="T3154" s="60">
        <f>SUMIF($H$13:$H$3129,$F3154,T$13:T$3129)+Elec_Rates!T237</f>
        <v>0</v>
      </c>
    </row>
    <row r="3155" spans="1:20">
      <c r="A3155" s="57"/>
      <c r="B3155" s="452">
        <v>5</v>
      </c>
      <c r="C3155" s="4" t="s">
        <v>73</v>
      </c>
      <c r="D3155" s="34" t="s">
        <v>78</v>
      </c>
      <c r="F3155" s="58">
        <v>512</v>
      </c>
      <c r="O3155" s="59"/>
      <c r="P3155" s="34">
        <v>2</v>
      </c>
      <c r="R3155" s="60">
        <f>SUMIF($H$13:$H$3129,$F3155,R$13:R$3129)+Elec_Rates!R238</f>
        <v>70901.5</v>
      </c>
      <c r="S3155" s="61"/>
      <c r="T3155" s="60">
        <f>SUMIF($H$13:$H$3129,$F3155,T$13:T$3129)+Elec_Rates!T238</f>
        <v>80</v>
      </c>
    </row>
    <row r="3156" spans="1:20">
      <c r="A3156" s="57"/>
      <c r="B3156" s="452">
        <v>6</v>
      </c>
      <c r="C3156" s="4" t="s">
        <v>73</v>
      </c>
      <c r="D3156" s="34" t="s">
        <v>79</v>
      </c>
      <c r="F3156" s="58">
        <v>520</v>
      </c>
      <c r="O3156" s="59"/>
      <c r="P3156" s="34">
        <v>1</v>
      </c>
      <c r="R3156" s="60">
        <f>SUMIF($H$13:$H$3129,$F3156,R$13:R$3129)+Elec_Rates!R239</f>
        <v>0</v>
      </c>
      <c r="S3156" s="61"/>
      <c r="T3156" s="60">
        <f>SUMIF($H$13:$H$3129,$F3156,T$13:T$3129)+Elec_Rates!T239</f>
        <v>0</v>
      </c>
    </row>
    <row r="3157" spans="1:20">
      <c r="A3157" s="57"/>
      <c r="B3157" s="452">
        <v>7</v>
      </c>
      <c r="C3157" s="4" t="s">
        <v>73</v>
      </c>
      <c r="D3157" s="34" t="s">
        <v>80</v>
      </c>
      <c r="F3157" s="58">
        <v>530</v>
      </c>
      <c r="O3157" s="59"/>
      <c r="P3157" s="34">
        <v>2</v>
      </c>
      <c r="R3157" s="60">
        <f>SUMIF($H$13:$H$3129,$F3157,R$13:R$3129)+Elec_Rates!R240</f>
        <v>0</v>
      </c>
      <c r="S3157" s="61"/>
      <c r="T3157" s="60">
        <f>SUMIF($H$13:$H$3129,$F3157,T$13:T$3129)+Elec_Rates!T240</f>
        <v>0</v>
      </c>
    </row>
    <row r="3158" spans="1:20">
      <c r="A3158" s="57"/>
      <c r="B3158" s="452">
        <v>8</v>
      </c>
      <c r="C3158" s="4" t="s">
        <v>73</v>
      </c>
      <c r="D3158" s="34" t="s">
        <v>81</v>
      </c>
      <c r="F3158" s="58">
        <v>550</v>
      </c>
      <c r="O3158" s="59"/>
      <c r="P3158" s="34">
        <v>2</v>
      </c>
      <c r="R3158" s="60">
        <f>SUMIF($H$13:$H$3129,$F3158,R$13:R$3129)+Elec_Rates!R241</f>
        <v>0</v>
      </c>
      <c r="S3158" s="61"/>
      <c r="T3158" s="60">
        <f>SUMIF($H$13:$H$3129,$F3158,T$13:T$3129)+Elec_Rates!T241</f>
        <v>0</v>
      </c>
    </row>
    <row r="3159" spans="1:20">
      <c r="A3159" s="57"/>
      <c r="B3159" s="452">
        <v>9</v>
      </c>
      <c r="C3159" s="4" t="s">
        <v>73</v>
      </c>
      <c r="D3159" s="34" t="s">
        <v>82</v>
      </c>
      <c r="F3159" s="58">
        <v>570</v>
      </c>
      <c r="O3159" s="59"/>
      <c r="P3159" s="34">
        <v>2</v>
      </c>
      <c r="R3159" s="60">
        <f ca="1">SUMIF($H$13:$H$3129,$F3159,R$13:R$3129)+Elec_Rates!R242</f>
        <v>35715</v>
      </c>
      <c r="S3159" s="61"/>
      <c r="T3159" s="60">
        <f ca="1">SUMIF($H$13:$H$3129,$F3159,T$13:T$3129)+Elec_Rates!T242</f>
        <v>226.16</v>
      </c>
    </row>
    <row r="3160" spans="1:20">
      <c r="A3160" s="57"/>
      <c r="B3160" s="452">
        <v>10</v>
      </c>
      <c r="C3160" s="4" t="s">
        <v>73</v>
      </c>
      <c r="D3160" s="34" t="s">
        <v>83</v>
      </c>
      <c r="F3160" s="58">
        <v>615</v>
      </c>
      <c r="O3160" s="59"/>
      <c r="P3160" s="34">
        <v>2</v>
      </c>
      <c r="R3160" s="60">
        <f ca="1">SUMIF($H$13:$H$3129,$F3160,R$13:R$3129)+Elec_Rates!R243</f>
        <v>185</v>
      </c>
      <c r="S3160" s="61"/>
      <c r="T3160" s="60">
        <f ca="1">SUMIF($H$13:$H$3129,$F3160,T$13:T$3129)+Elec_Rates!T243</f>
        <v>6.3</v>
      </c>
    </row>
    <row r="3161" spans="1:20">
      <c r="A3161" s="57"/>
      <c r="B3161" s="452">
        <v>11</v>
      </c>
      <c r="C3161" s="4" t="s">
        <v>73</v>
      </c>
      <c r="D3161" s="34" t="s">
        <v>85</v>
      </c>
      <c r="F3161" s="58">
        <v>616</v>
      </c>
      <c r="O3161" s="59"/>
      <c r="P3161" s="34">
        <v>2</v>
      </c>
      <c r="R3161" s="60">
        <f ca="1">SUMIF($H$13:$H$3129,$F3161,R$13:R$3129)+Elec_Rates!R244</f>
        <v>853.62000000000023</v>
      </c>
      <c r="S3161" s="61"/>
      <c r="T3161" s="60">
        <f ca="1">SUMIF($H$13:$H$3129,$F3161,T$13:T$3129)+Elec_Rates!T244</f>
        <v>9.7799999999999976</v>
      </c>
    </row>
    <row r="3162" spans="1:20">
      <c r="A3162" s="57"/>
      <c r="B3162" s="452">
        <v>12</v>
      </c>
      <c r="C3162" s="4" t="s">
        <v>73</v>
      </c>
      <c r="D3162" s="34" t="s">
        <v>86</v>
      </c>
      <c r="F3162" s="58">
        <v>617</v>
      </c>
      <c r="O3162" s="59"/>
      <c r="P3162" s="34">
        <v>2</v>
      </c>
      <c r="R3162" s="60">
        <f ca="1">SUMIF($H$13:$H$3129,$F3162,R$13:R$3129)+Elec_Rates!R245</f>
        <v>3794.9375</v>
      </c>
      <c r="S3162" s="61"/>
      <c r="T3162" s="60">
        <f ca="1">SUMIF($H$13:$H$3129,$F3162,T$13:T$3129)+Elec_Rates!T245</f>
        <v>80.400000000000006</v>
      </c>
    </row>
    <row r="3163" spans="1:20">
      <c r="A3163" s="57"/>
      <c r="B3163" s="452">
        <v>13</v>
      </c>
      <c r="C3163" s="4" t="s">
        <v>73</v>
      </c>
      <c r="D3163" s="34" t="s">
        <v>153</v>
      </c>
      <c r="F3163" s="58">
        <v>620</v>
      </c>
      <c r="O3163" s="59"/>
      <c r="P3163" s="34">
        <v>2</v>
      </c>
      <c r="R3163" s="60">
        <f ca="1">SUMIF($H$13:$H$3129,$F3163,R$13:R$3129)+Elec_Rates!R246</f>
        <v>1415.06</v>
      </c>
      <c r="S3163" s="61"/>
      <c r="T3163" s="60">
        <f ca="1">SUMIF($H$13:$H$3129,$F3163,T$13:T$3129)+Elec_Rates!T246</f>
        <v>84.02000000000001</v>
      </c>
    </row>
    <row r="3164" spans="1:20">
      <c r="A3164" s="57"/>
      <c r="B3164" s="452">
        <v>14</v>
      </c>
      <c r="C3164" s="4" t="s">
        <v>73</v>
      </c>
      <c r="D3164" s="34" t="s">
        <v>88</v>
      </c>
      <c r="F3164" s="58">
        <v>650</v>
      </c>
      <c r="O3164" s="59"/>
      <c r="P3164" s="34">
        <v>1</v>
      </c>
      <c r="R3164" s="60">
        <f ca="1">SUMIF($H$13:$H$3129,$F3164,R$13:R$3129)+Elec_Rates!R247</f>
        <v>221.87200000000001</v>
      </c>
      <c r="S3164" s="61"/>
      <c r="T3164" s="60">
        <f ca="1">SUMIF($H$13:$H$3129,$F3164,T$13:T$3129)+Elec_Rates!T247</f>
        <v>8.82</v>
      </c>
    </row>
    <row r="3165" spans="1:20">
      <c r="A3165" s="57"/>
      <c r="B3165" s="452">
        <v>15</v>
      </c>
      <c r="C3165" s="4" t="s">
        <v>73</v>
      </c>
      <c r="D3165" s="34" t="s">
        <v>89</v>
      </c>
      <c r="F3165" s="58">
        <v>651</v>
      </c>
      <c r="O3165" s="59"/>
      <c r="P3165" s="34">
        <v>1</v>
      </c>
      <c r="R3165" s="60">
        <f>SUMIF($H$13:$H$3129,$F3165,R$13:R$3129)+Elec_Rates!R248</f>
        <v>0</v>
      </c>
      <c r="S3165" s="61"/>
      <c r="T3165" s="60">
        <f>SUMIF($H$13:$H$3129,$F3165,T$13:T$3129)+Elec_Rates!T248</f>
        <v>0</v>
      </c>
    </row>
    <row r="3166" spans="1:20">
      <c r="A3166" s="57"/>
      <c r="B3166" s="452">
        <v>16</v>
      </c>
      <c r="C3166" s="4" t="s">
        <v>73</v>
      </c>
      <c r="D3166" s="34" t="s">
        <v>90</v>
      </c>
      <c r="F3166" s="58">
        <v>652</v>
      </c>
      <c r="O3166" s="59"/>
      <c r="P3166" s="34">
        <v>1</v>
      </c>
      <c r="R3166" s="60">
        <f>SUMIF($H$13:$H$3129,$F3166,R$13:R$3129)+Elec_Rates!R249</f>
        <v>0</v>
      </c>
      <c r="S3166" s="61"/>
      <c r="T3166" s="60">
        <f>SUMIF($H$13:$H$3129,$F3166,T$13:T$3129)+Elec_Rates!T249</f>
        <v>0</v>
      </c>
    </row>
    <row r="3167" spans="1:20">
      <c r="A3167" s="57"/>
      <c r="B3167" s="452">
        <v>17</v>
      </c>
      <c r="C3167" s="4" t="s">
        <v>73</v>
      </c>
      <c r="D3167" s="34" t="s">
        <v>91</v>
      </c>
      <c r="F3167" s="58">
        <v>654</v>
      </c>
      <c r="O3167" s="59"/>
      <c r="P3167" s="34">
        <v>1</v>
      </c>
      <c r="R3167" s="60">
        <f>SUMIF($H$13:$H$3129,$F3167,R$13:R$3129)+Elec_Rates!R250</f>
        <v>0</v>
      </c>
      <c r="S3167" s="61"/>
      <c r="T3167" s="60">
        <f>SUMIF($H$13:$H$3129,$F3167,T$13:T$3129)+Elec_Rates!T250</f>
        <v>0</v>
      </c>
    </row>
    <row r="3168" spans="1:20">
      <c r="A3168" s="57"/>
      <c r="B3168" s="452">
        <v>18</v>
      </c>
      <c r="C3168" s="4" t="s">
        <v>73</v>
      </c>
      <c r="D3168" s="34" t="s">
        <v>92</v>
      </c>
      <c r="F3168" s="58">
        <v>675</v>
      </c>
      <c r="O3168" s="59"/>
      <c r="P3168" s="34">
        <v>1</v>
      </c>
      <c r="R3168" s="60">
        <f>SUMIF($H$13:$H$3129,$F3168,R$13:R$3129)+Elec_Rates!R251</f>
        <v>0</v>
      </c>
      <c r="S3168" s="61"/>
      <c r="T3168" s="60">
        <f>SUMIF($H$13:$H$3129,$F3168,T$13:T$3129)+Elec_Rates!T251</f>
        <v>0</v>
      </c>
    </row>
    <row r="3169" spans="1:20">
      <c r="A3169" s="57"/>
      <c r="B3169" s="452">
        <v>19</v>
      </c>
      <c r="C3169" s="4" t="s">
        <v>73</v>
      </c>
      <c r="D3169" s="34" t="s">
        <v>93</v>
      </c>
      <c r="F3169" s="58">
        <v>676</v>
      </c>
      <c r="O3169" s="59"/>
      <c r="P3169" s="34">
        <v>1</v>
      </c>
      <c r="R3169" s="60">
        <f>SUMIF($H$13:$H$3129,$F3169,R$13:R$3129)+Elec_Rates!R252</f>
        <v>0</v>
      </c>
      <c r="S3169" s="61"/>
      <c r="T3169" s="60">
        <f>SUMIF($H$13:$H$3129,$F3169,T$13:T$3129)+Elec_Rates!T252</f>
        <v>0</v>
      </c>
    </row>
    <row r="3170" spans="1:20">
      <c r="A3170" s="57"/>
      <c r="B3170" s="452">
        <v>20</v>
      </c>
      <c r="C3170" s="4" t="s">
        <v>73</v>
      </c>
      <c r="D3170" s="34" t="s">
        <v>94</v>
      </c>
      <c r="F3170" s="58">
        <v>680</v>
      </c>
      <c r="O3170" s="59"/>
      <c r="P3170" s="34">
        <v>1</v>
      </c>
      <c r="R3170" s="60">
        <f>SUMIF($H$13:$H$3129,$F3170,R$13:R$3129)+Elec_Rates!R253</f>
        <v>0</v>
      </c>
      <c r="S3170" s="61"/>
      <c r="T3170" s="60">
        <f>SUMIF($H$13:$H$3129,$F3170,T$13:T$3129)+Elec_Rates!T253</f>
        <v>0</v>
      </c>
    </row>
    <row r="3171" spans="1:20">
      <c r="A3171" s="57"/>
      <c r="B3171" s="452">
        <v>21</v>
      </c>
      <c r="C3171" s="4" t="s">
        <v>73</v>
      </c>
      <c r="D3171" s="34" t="s">
        <v>96</v>
      </c>
      <c r="F3171" s="58">
        <v>681</v>
      </c>
      <c r="O3171" s="59"/>
      <c r="P3171" s="34">
        <v>1</v>
      </c>
      <c r="R3171" s="60">
        <f>SUMIF($H$13:$H$3129,$F3171,R$13:R$3129)+Elec_Rates!R254</f>
        <v>0</v>
      </c>
      <c r="S3171" s="61"/>
      <c r="T3171" s="60">
        <f>SUMIF($H$13:$H$3129,$F3171,T$13:T$3129)+Elec_Rates!T254</f>
        <v>0</v>
      </c>
    </row>
    <row r="3172" spans="1:20">
      <c r="A3172" s="57"/>
      <c r="B3172" s="452">
        <v>22</v>
      </c>
      <c r="C3172" s="4" t="s">
        <v>73</v>
      </c>
      <c r="D3172" s="34" t="s">
        <v>97</v>
      </c>
      <c r="F3172" s="58">
        <v>690</v>
      </c>
      <c r="O3172" s="59"/>
      <c r="P3172" s="34">
        <v>1</v>
      </c>
      <c r="R3172" s="60">
        <f ca="1">SUMIF($H$13:$H$3129,$F3172,R$13:R$3129)+Elec_Rates!R255</f>
        <v>4793.84</v>
      </c>
      <c r="S3172" s="61"/>
      <c r="T3172" s="60">
        <f ca="1">SUMIF($H$13:$H$3129,$F3172,T$13:T$3129)+Elec_Rates!T255</f>
        <v>261.10000000000002</v>
      </c>
    </row>
    <row r="3173" spans="1:20">
      <c r="A3173" s="57"/>
      <c r="B3173" s="452">
        <v>23</v>
      </c>
      <c r="C3173" s="4" t="s">
        <v>73</v>
      </c>
      <c r="D3173" s="34" t="s">
        <v>98</v>
      </c>
      <c r="F3173" s="58">
        <v>700</v>
      </c>
      <c r="O3173" s="59"/>
      <c r="P3173" s="34">
        <v>1</v>
      </c>
      <c r="R3173" s="60">
        <f>SUMIF($H$13:$H$3129,$F3173,R$13:R$3129)+Elec_Rates!R256</f>
        <v>0</v>
      </c>
      <c r="S3173" s="61"/>
      <c r="T3173" s="60">
        <f>SUMIF($H$13:$H$3129,$F3173,T$13:T$3129)+Elec_Rates!T256</f>
        <v>0</v>
      </c>
    </row>
    <row r="3174" spans="1:20">
      <c r="A3174" s="57"/>
      <c r="B3174" s="452">
        <v>24</v>
      </c>
      <c r="C3174" s="4" t="s">
        <v>73</v>
      </c>
      <c r="D3174" s="34" t="s">
        <v>99</v>
      </c>
      <c r="F3174" s="58">
        <v>705</v>
      </c>
      <c r="O3174" s="59"/>
      <c r="P3174" s="34">
        <v>3</v>
      </c>
      <c r="R3174" s="60">
        <f>SUMIF($H$13:$H$3129,$F3174,R$13:R$3129)+Elec_Rates!R257</f>
        <v>0</v>
      </c>
      <c r="S3174" s="61"/>
      <c r="T3174" s="60">
        <f>SUMIF($H$13:$H$3129,$F3174,T$13:T$3129)+Elec_Rates!T257</f>
        <v>0</v>
      </c>
    </row>
    <row r="3175" spans="1:20">
      <c r="A3175" s="57"/>
      <c r="B3175" s="452">
        <v>25</v>
      </c>
      <c r="C3175" s="4" t="s">
        <v>73</v>
      </c>
      <c r="D3175" s="34" t="s">
        <v>100</v>
      </c>
      <c r="F3175" s="58">
        <v>706</v>
      </c>
      <c r="O3175" s="59"/>
      <c r="P3175" s="34">
        <v>3</v>
      </c>
      <c r="R3175" s="60">
        <f>SUMIF($H$13:$H$3129,$F3175,R$13:R$3129)+Elec_Rates!R258</f>
        <v>0</v>
      </c>
      <c r="S3175" s="61"/>
      <c r="T3175" s="60">
        <f>SUMIF($H$13:$H$3129,$F3175,T$13:T$3129)+Elec_Rates!T258</f>
        <v>0</v>
      </c>
    </row>
    <row r="3176" spans="1:20">
      <c r="A3176" s="57"/>
      <c r="B3176" s="452">
        <v>26</v>
      </c>
      <c r="C3176" s="4" t="s">
        <v>73</v>
      </c>
      <c r="D3176" s="34" t="s">
        <v>101</v>
      </c>
      <c r="F3176" s="58">
        <v>725</v>
      </c>
      <c r="O3176" s="59"/>
      <c r="P3176" s="34">
        <v>3</v>
      </c>
      <c r="R3176" s="60">
        <f>SUMIF($H$13:$H$3129,$F3176,R$13:R$3129)+Elec_Rates!R259</f>
        <v>0</v>
      </c>
      <c r="S3176" s="61"/>
      <c r="T3176" s="60">
        <f>SUMIF($H$13:$H$3129,$F3176,T$13:T$3129)+Elec_Rates!T259</f>
        <v>0</v>
      </c>
    </row>
    <row r="3177" spans="1:20">
      <c r="A3177" s="57"/>
      <c r="B3177" s="452">
        <v>27</v>
      </c>
      <c r="C3177" s="4" t="s">
        <v>73</v>
      </c>
      <c r="D3177" s="34" t="s">
        <v>102</v>
      </c>
      <c r="F3177" s="58">
        <v>726</v>
      </c>
      <c r="O3177" s="59"/>
      <c r="P3177" s="34">
        <v>3</v>
      </c>
      <c r="R3177" s="60">
        <f>SUMIF($H$13:$H$3129,$F3177,R$13:R$3129)+Elec_Rates!R260</f>
        <v>0</v>
      </c>
      <c r="S3177" s="61"/>
      <c r="T3177" s="60">
        <f>SUMIF($H$13:$H$3129,$F3177,T$13:T$3129)+Elec_Rates!T260</f>
        <v>0</v>
      </c>
    </row>
    <row r="3178" spans="1:20">
      <c r="A3178" s="57"/>
      <c r="B3178" s="452">
        <v>28</v>
      </c>
      <c r="C3178" s="4" t="s">
        <v>73</v>
      </c>
      <c r="D3178" s="34" t="s">
        <v>103</v>
      </c>
      <c r="F3178" s="58">
        <v>750</v>
      </c>
      <c r="O3178" s="59"/>
      <c r="P3178" s="34">
        <v>3</v>
      </c>
      <c r="R3178" s="60">
        <f>SUMIF($H$13:$H$3129,$F3178,R$13:R$3129)+Elec_Rates!R261</f>
        <v>0</v>
      </c>
      <c r="S3178" s="61"/>
      <c r="T3178" s="60">
        <f>SUMIF($H$13:$H$3129,$F3178,T$13:T$3129)+Elec_Rates!T261</f>
        <v>0</v>
      </c>
    </row>
    <row r="3179" spans="1:20">
      <c r="A3179" s="57"/>
      <c r="B3179" s="452">
        <v>29</v>
      </c>
      <c r="C3179" s="4" t="s">
        <v>73</v>
      </c>
      <c r="D3179" s="34" t="s">
        <v>104</v>
      </c>
      <c r="F3179" s="58">
        <v>751</v>
      </c>
      <c r="O3179" s="59"/>
      <c r="P3179" s="34">
        <v>3</v>
      </c>
      <c r="R3179" s="60">
        <f>SUMIF($H$13:$H$3129,$F3179,R$13:R$3129)+Elec_Rates!R262</f>
        <v>0</v>
      </c>
      <c r="S3179" s="61"/>
      <c r="T3179" s="60">
        <f>SUMIF($H$13:$H$3129,$F3179,T$13:T$3129)+Elec_Rates!T262</f>
        <v>0</v>
      </c>
    </row>
    <row r="3180" spans="1:20">
      <c r="A3180" s="57"/>
      <c r="B3180" s="452">
        <v>30</v>
      </c>
      <c r="C3180" s="4" t="s">
        <v>73</v>
      </c>
      <c r="D3180" s="34" t="s">
        <v>105</v>
      </c>
      <c r="F3180" s="58">
        <v>752</v>
      </c>
      <c r="O3180" s="59"/>
      <c r="P3180" s="34">
        <v>3</v>
      </c>
      <c r="R3180" s="60">
        <f>SUMIF($H$13:$H$3129,$F3180,R$13:R$3129)+Elec_Rates!R263</f>
        <v>0</v>
      </c>
      <c r="S3180" s="61"/>
      <c r="T3180" s="60">
        <f>SUMIF($H$13:$H$3129,$F3180,T$13:T$3129)+Elec_Rates!T263</f>
        <v>0</v>
      </c>
    </row>
    <row r="3181" spans="1:20">
      <c r="A3181" s="57"/>
      <c r="B3181" s="452">
        <v>31</v>
      </c>
      <c r="C3181" s="4" t="s">
        <v>73</v>
      </c>
      <c r="D3181" s="547" t="s">
        <v>263</v>
      </c>
      <c r="F3181" s="58">
        <v>753</v>
      </c>
      <c r="O3181" s="59"/>
      <c r="P3181" s="34">
        <v>3</v>
      </c>
      <c r="R3181" s="60">
        <f>SUMIF($H$13:$H$3129,$F3181,R$13:R$3129)+Elec_Rates!R264</f>
        <v>0</v>
      </c>
      <c r="S3181" s="61"/>
      <c r="T3181" s="60">
        <f>SUMIF($H$13:$H$3129,$F3181,T$13:T$3129)+Elec_Rates!T264</f>
        <v>0</v>
      </c>
    </row>
    <row r="3182" spans="1:20">
      <c r="A3182" s="57"/>
      <c r="B3182" s="452">
        <v>32</v>
      </c>
      <c r="C3182" s="4" t="s">
        <v>73</v>
      </c>
      <c r="D3182" s="34" t="s">
        <v>107</v>
      </c>
      <c r="F3182" s="58">
        <v>770</v>
      </c>
      <c r="O3182" s="59"/>
      <c r="P3182" s="34">
        <v>3</v>
      </c>
      <c r="R3182" s="60">
        <f>SUMIF($H$13:$H$3129,$F3182,R$13:R$3129)+Elec_Rates!R265</f>
        <v>0</v>
      </c>
      <c r="S3182" s="61"/>
      <c r="T3182" s="60">
        <f>SUMIF($H$13:$H$3129,$F3182,T$13:T$3129)+Elec_Rates!T265</f>
        <v>0</v>
      </c>
    </row>
    <row r="3183" spans="1:20">
      <c r="A3183" s="57"/>
      <c r="B3183" s="452">
        <v>33</v>
      </c>
      <c r="C3183" s="4" t="s">
        <v>73</v>
      </c>
      <c r="D3183" s="34" t="s">
        <v>108</v>
      </c>
      <c r="F3183" s="58">
        <v>790</v>
      </c>
      <c r="O3183" s="59"/>
      <c r="P3183" s="34">
        <v>3</v>
      </c>
      <c r="R3183" s="60">
        <f>SUMIF($H$13:$H$3129,$F3183,R$13:R$3129)+Elec_Rates!R266</f>
        <v>0</v>
      </c>
      <c r="S3183" s="61"/>
      <c r="T3183" s="60">
        <f>SUMIF($H$13:$H$3129,$F3183,T$13:T$3129)+Elec_Rates!T266</f>
        <v>0</v>
      </c>
    </row>
    <row r="3184" spans="1:20">
      <c r="A3184" s="57"/>
      <c r="B3184" s="452">
        <v>34</v>
      </c>
      <c r="C3184" s="4" t="s">
        <v>73</v>
      </c>
      <c r="D3184" s="34" t="s">
        <v>109</v>
      </c>
      <c r="F3184" s="58">
        <v>791</v>
      </c>
      <c r="O3184" s="59"/>
      <c r="P3184" s="34">
        <v>3</v>
      </c>
      <c r="R3184" s="60">
        <f>SUMIF($H$13:$H$3129,$F3184,R$13:R$3129)+Elec_Rates!R267</f>
        <v>0</v>
      </c>
      <c r="S3184" s="61"/>
      <c r="T3184" s="60">
        <f>SUMIF($H$13:$H$3129,$F3184,T$13:T$3129)+Elec_Rates!T267</f>
        <v>0</v>
      </c>
    </row>
    <row r="3185" spans="1:20">
      <c r="A3185" s="57"/>
      <c r="B3185" s="452">
        <v>35</v>
      </c>
      <c r="C3185" s="4" t="s">
        <v>73</v>
      </c>
      <c r="D3185" s="34" t="s">
        <v>110</v>
      </c>
      <c r="F3185" s="58">
        <v>810</v>
      </c>
      <c r="O3185" s="59"/>
      <c r="P3185" s="34">
        <v>3</v>
      </c>
      <c r="R3185" s="60">
        <f>SUMIF($H$13:$H$3129,$F3185,R$13:R$3129)+Elec_Rates!R268</f>
        <v>0</v>
      </c>
      <c r="S3185" s="61"/>
      <c r="T3185" s="60">
        <f>SUMIF($H$13:$H$3129,$F3185,T$13:T$3129)+Elec_Rates!T268</f>
        <v>0</v>
      </c>
    </row>
    <row r="3186" spans="1:20">
      <c r="A3186" s="57"/>
      <c r="B3186" s="452">
        <v>36</v>
      </c>
      <c r="C3186" s="4" t="s">
        <v>73</v>
      </c>
      <c r="D3186" s="34" t="s">
        <v>111</v>
      </c>
      <c r="F3186" s="58">
        <v>815</v>
      </c>
      <c r="O3186" s="59"/>
      <c r="P3186" s="34">
        <v>3</v>
      </c>
      <c r="R3186" s="60">
        <f>SUMIF($H$13:$H$3129,$F3186,R$13:R$3129)+Elec_Rates!R269</f>
        <v>0</v>
      </c>
      <c r="S3186" s="61"/>
      <c r="T3186" s="60">
        <f>SUMIF($H$13:$H$3129,$F3186,T$13:T$3129)+Elec_Rates!T269</f>
        <v>0</v>
      </c>
    </row>
    <row r="3187" spans="1:20">
      <c r="A3187" s="57"/>
      <c r="B3187" s="452">
        <v>37</v>
      </c>
      <c r="C3187" s="4" t="s">
        <v>73</v>
      </c>
      <c r="D3187" s="34" t="s">
        <v>112</v>
      </c>
      <c r="F3187" s="58">
        <v>820</v>
      </c>
      <c r="O3187" s="59"/>
      <c r="P3187" s="34">
        <v>2</v>
      </c>
      <c r="R3187" s="60">
        <f>SUMIF($H$13:$H$3129,$F3187,R$13:R$3129)+Elec_Rates!R270</f>
        <v>0</v>
      </c>
      <c r="S3187" s="61"/>
      <c r="T3187" s="60">
        <f>SUMIF($H$13:$H$3129,$F3187,T$13:T$3129)+Elec_Rates!T270</f>
        <v>0</v>
      </c>
    </row>
    <row r="3188" spans="1:20">
      <c r="A3188" s="57"/>
      <c r="B3188" s="452">
        <v>38</v>
      </c>
      <c r="C3188" s="4" t="s">
        <v>73</v>
      </c>
      <c r="D3188" s="34" t="s">
        <v>113</v>
      </c>
      <c r="F3188" s="58">
        <v>821</v>
      </c>
      <c r="O3188" s="59"/>
      <c r="P3188" s="34">
        <v>3</v>
      </c>
      <c r="R3188" s="60">
        <f>SUMIF($H$13:$H$3129,$F3188,R$13:R$3129)+Elec_Rates!R271</f>
        <v>0</v>
      </c>
      <c r="S3188" s="61"/>
      <c r="T3188" s="60">
        <f>SUMIF($H$13:$H$3129,$F3188,T$13:T$3129)+Elec_Rates!T271</f>
        <v>0</v>
      </c>
    </row>
    <row r="3189" spans="1:20">
      <c r="A3189" s="57"/>
      <c r="B3189" s="452">
        <v>39</v>
      </c>
      <c r="C3189" s="4" t="s">
        <v>73</v>
      </c>
      <c r="D3189" s="34" t="s">
        <v>114</v>
      </c>
      <c r="F3189" s="58">
        <v>835</v>
      </c>
      <c r="O3189" s="59"/>
      <c r="P3189" s="34">
        <v>3</v>
      </c>
      <c r="R3189" s="60">
        <f>SUMIF($H$13:$H$3129,$F3189,R$13:R$3129)+Elec_Rates!R272</f>
        <v>0</v>
      </c>
      <c r="S3189" s="61"/>
      <c r="T3189" s="60">
        <f>SUMIF($H$13:$H$3129,$F3189,T$13:T$3129)+Elec_Rates!T272</f>
        <v>0</v>
      </c>
    </row>
    <row r="3190" spans="1:20">
      <c r="A3190" s="57"/>
      <c r="B3190" s="452">
        <v>40</v>
      </c>
      <c r="C3190" s="4" t="s">
        <v>73</v>
      </c>
      <c r="D3190" s="34" t="s">
        <v>115</v>
      </c>
      <c r="F3190" s="58">
        <v>845</v>
      </c>
      <c r="O3190" s="59"/>
      <c r="P3190" s="34">
        <v>2</v>
      </c>
      <c r="R3190" s="60">
        <f>SUMIF($H$13:$H$3129,$F3190,R$13:R$3129)+Elec_Rates!R273</f>
        <v>0</v>
      </c>
      <c r="S3190" s="61"/>
      <c r="T3190" s="60">
        <f>SUMIF($H$13:$H$3129,$F3190,T$13:T$3129)+Elec_Rates!T273</f>
        <v>0</v>
      </c>
    </row>
    <row r="3191" spans="1:20">
      <c r="A3191" s="57"/>
      <c r="B3191" s="452">
        <v>41</v>
      </c>
      <c r="C3191" s="4" t="s">
        <v>73</v>
      </c>
      <c r="D3191" s="34" t="s">
        <v>117</v>
      </c>
      <c r="F3191" s="58">
        <v>855</v>
      </c>
      <c r="O3191" s="59"/>
      <c r="P3191" s="34">
        <v>3</v>
      </c>
      <c r="R3191" s="60">
        <f>SUMIF($H$13:$H$3129,$F3191,R$13:R$3129)+Elec_Rates!R274</f>
        <v>0</v>
      </c>
      <c r="S3191" s="61"/>
      <c r="T3191" s="60">
        <f>SUMIF($H$13:$H$3129,$F3191,T$13:T$3129)+Elec_Rates!T274</f>
        <v>0</v>
      </c>
    </row>
    <row r="3192" spans="1:20">
      <c r="A3192" s="57"/>
      <c r="B3192" s="452">
        <v>42</v>
      </c>
      <c r="C3192" s="4" t="s">
        <v>73</v>
      </c>
      <c r="D3192" s="34" t="s">
        <v>118</v>
      </c>
      <c r="F3192" s="58">
        <v>856</v>
      </c>
      <c r="O3192" s="59"/>
      <c r="P3192" s="34">
        <v>3</v>
      </c>
      <c r="R3192" s="60">
        <f>SUMIF($H$13:$H$3129,$F3192,R$13:R$3129)+Elec_Rates!R275</f>
        <v>0</v>
      </c>
      <c r="S3192" s="61"/>
      <c r="T3192" s="60">
        <f>SUMIF($H$13:$H$3129,$F3192,T$13:T$3129)+Elec_Rates!T275</f>
        <v>0</v>
      </c>
    </row>
    <row r="3193" spans="1:20">
      <c r="A3193" s="57"/>
      <c r="B3193" s="452">
        <v>43</v>
      </c>
      <c r="C3193" s="4" t="s">
        <v>73</v>
      </c>
      <c r="D3193" s="34" t="s">
        <v>244</v>
      </c>
      <c r="F3193" s="58">
        <v>857</v>
      </c>
      <c r="O3193" s="59"/>
      <c r="P3193" s="34">
        <v>3</v>
      </c>
      <c r="R3193" s="60">
        <f>SUMIF($H$13:$H$3129,$F3193,R$13:R$3129)+Elec_Rates!R276</f>
        <v>0</v>
      </c>
      <c r="S3193" s="61"/>
      <c r="T3193" s="60">
        <f>SUMIF($H$13:$H$3129,$F3193,T$13:T$3129)+Elec_Rates!T276</f>
        <v>0</v>
      </c>
    </row>
    <row r="3194" spans="1:20">
      <c r="A3194" s="57"/>
      <c r="B3194" s="452">
        <v>44</v>
      </c>
      <c r="C3194" s="4" t="s">
        <v>73</v>
      </c>
      <c r="D3194" s="34" t="s">
        <v>119</v>
      </c>
      <c r="F3194" s="58">
        <v>858</v>
      </c>
      <c r="O3194" s="59"/>
      <c r="P3194" s="34">
        <v>3</v>
      </c>
      <c r="R3194" s="60">
        <f>SUMIF($H$13:$H$3129,$F3194,R$13:R$3129)+Elec_Rates!R277</f>
        <v>0</v>
      </c>
      <c r="S3194" s="61"/>
      <c r="T3194" s="60">
        <f>SUMIF($H$13:$H$3129,$F3194,T$13:T$3129)+Elec_Rates!T277</f>
        <v>0</v>
      </c>
    </row>
    <row r="3195" spans="1:20">
      <c r="A3195" s="57"/>
      <c r="B3195" s="452">
        <v>45</v>
      </c>
      <c r="C3195" s="4" t="s">
        <v>73</v>
      </c>
      <c r="D3195" s="34" t="s">
        <v>120</v>
      </c>
      <c r="F3195" s="58">
        <v>865</v>
      </c>
      <c r="O3195" s="59"/>
      <c r="P3195" s="34">
        <v>3</v>
      </c>
      <c r="R3195" s="60">
        <f>SUMIF($H$13:$H$3129,$F3195,R$13:R$3129)+Elec_Rates!R278</f>
        <v>0</v>
      </c>
      <c r="S3195" s="61"/>
      <c r="T3195" s="60">
        <f>SUMIF($H$13:$H$3129,$F3195,T$13:T$3129)+Elec_Rates!T278</f>
        <v>0</v>
      </c>
    </row>
    <row r="3196" spans="1:20">
      <c r="A3196" s="57"/>
      <c r="B3196" s="452">
        <v>46</v>
      </c>
      <c r="C3196" s="4" t="s">
        <v>73</v>
      </c>
      <c r="D3196" s="34" t="s">
        <v>121</v>
      </c>
      <c r="F3196" s="58">
        <v>870</v>
      </c>
      <c r="O3196" s="59"/>
      <c r="P3196" s="34">
        <v>4</v>
      </c>
      <c r="R3196" s="60">
        <f>SUMIF($H$13:$H$3129,$F3196,R$13:R$3129)+Elec_Rates!R279</f>
        <v>0</v>
      </c>
      <c r="S3196" s="61"/>
      <c r="T3196" s="60">
        <f>SUMIF($H$13:$H$3129,$F3196,T$13:T$3129)+Elec_Rates!T279</f>
        <v>0</v>
      </c>
    </row>
    <row r="3197" spans="1:20">
      <c r="A3197" s="57"/>
      <c r="B3197" s="452">
        <v>47</v>
      </c>
      <c r="C3197" s="4" t="s">
        <v>73</v>
      </c>
      <c r="D3197" s="34" t="s">
        <v>122</v>
      </c>
      <c r="F3197" s="58">
        <v>875</v>
      </c>
      <c r="O3197" s="59"/>
      <c r="P3197" s="34">
        <v>1</v>
      </c>
      <c r="R3197" s="60">
        <f ca="1">SUMIF($H$13:$H$3129,$F3197,R$13:R$3129)+Elec_Rates!R280</f>
        <v>35.805</v>
      </c>
      <c r="S3197" s="61"/>
      <c r="T3197" s="60">
        <f ca="1">SUMIF($H$13:$H$3129,$F3197,T$13:T$3129)+Elec_Rates!T280</f>
        <v>0</v>
      </c>
    </row>
    <row r="3198" spans="1:20">
      <c r="A3198" s="57"/>
      <c r="B3198" s="452">
        <v>48</v>
      </c>
      <c r="C3198" s="4" t="s">
        <v>73</v>
      </c>
      <c r="D3198" s="34" t="s">
        <v>123</v>
      </c>
      <c r="F3198" s="58">
        <v>880</v>
      </c>
      <c r="O3198" s="59"/>
      <c r="P3198" s="34">
        <v>3</v>
      </c>
      <c r="R3198" s="60">
        <f>SUMIF($H$13:$H$3129,$F3198,R$13:R$3129)+Elec_Rates!R281</f>
        <v>719.04</v>
      </c>
      <c r="S3198" s="61"/>
      <c r="T3198" s="60">
        <f>SUMIF($H$13:$H$3129,$F3198,T$13:T$3129)+Elec_Rates!T281</f>
        <v>0</v>
      </c>
    </row>
    <row r="3199" spans="1:20">
      <c r="A3199" s="57"/>
      <c r="B3199" s="452">
        <v>49</v>
      </c>
      <c r="C3199" s="4" t="s">
        <v>73</v>
      </c>
      <c r="D3199" s="34" t="s">
        <v>124</v>
      </c>
      <c r="F3199" s="58">
        <v>885</v>
      </c>
      <c r="O3199" s="59"/>
      <c r="P3199" s="34">
        <v>4</v>
      </c>
      <c r="R3199" s="60">
        <f>SUMIF($H$13:$H$3129,$F3199,R$13:R$3129)+Elec_Rates!R282</f>
        <v>0</v>
      </c>
      <c r="S3199" s="61"/>
      <c r="T3199" s="60">
        <f>SUMIF($H$13:$H$3129,$F3199,T$13:T$3129)+Elec_Rates!T282</f>
        <v>0</v>
      </c>
    </row>
    <row r="3200" spans="1:20">
      <c r="A3200" s="57"/>
      <c r="B3200" s="452">
        <v>50</v>
      </c>
      <c r="C3200" s="4" t="s">
        <v>73</v>
      </c>
      <c r="D3200" s="34" t="s">
        <v>68</v>
      </c>
      <c r="F3200" s="58">
        <v>900</v>
      </c>
      <c r="O3200" s="59"/>
      <c r="P3200" s="34">
        <v>3</v>
      </c>
      <c r="R3200" s="60">
        <f ca="1">SUMIF($H$13:$H$3129,$F3200,R$13:R$3129)+Elec_Rates!R283</f>
        <v>1800</v>
      </c>
      <c r="S3200" s="61"/>
      <c r="T3200" s="60">
        <f ca="1">SUMIF($H$13:$H$3129,$F3200,T$13:T$3129)+Elec_Rates!T283</f>
        <v>146.13999999999999</v>
      </c>
    </row>
    <row r="3201" spans="1:37">
      <c r="A3201" s="57"/>
      <c r="B3201" s="452">
        <v>51</v>
      </c>
      <c r="C3201" s="4" t="s">
        <v>73</v>
      </c>
      <c r="D3201" s="34" t="s">
        <v>126</v>
      </c>
      <c r="F3201" s="58">
        <v>901</v>
      </c>
      <c r="O3201" s="59"/>
      <c r="P3201" s="34">
        <v>1</v>
      </c>
      <c r="R3201" s="60">
        <f>SUMIF($H$13:$H$3129,$F3201,R$13:R$3129)+Elec_Rates!R284</f>
        <v>0</v>
      </c>
      <c r="S3201" s="61"/>
      <c r="T3201" s="60">
        <f>SUMIF($H$13:$H$3129,$F3201,T$13:T$3129)+Elec_Rates!T284</f>
        <v>18.5</v>
      </c>
    </row>
    <row r="3202" spans="1:37">
      <c r="A3202" s="57"/>
      <c r="B3202" s="452">
        <v>52</v>
      </c>
      <c r="C3202" s="4" t="s">
        <v>73</v>
      </c>
      <c r="D3202" s="34" t="s">
        <v>127</v>
      </c>
      <c r="F3202" s="58">
        <v>902</v>
      </c>
      <c r="O3202" s="59"/>
      <c r="P3202" s="34">
        <v>3</v>
      </c>
      <c r="R3202" s="60">
        <f>SUMIF($H$13:$H$3129,$F3202,R$13:R$3129)+Elec_Rates!R285</f>
        <v>0</v>
      </c>
      <c r="S3202" s="61"/>
      <c r="T3202" s="60">
        <f>SUMIF($H$13:$H$3129,$F3202,T$13:T$3129)+Elec_Rates!T285</f>
        <v>28</v>
      </c>
    </row>
    <row r="3203" spans="1:37">
      <c r="A3203" s="57"/>
      <c r="B3203" s="452">
        <v>53</v>
      </c>
      <c r="C3203" s="4" t="s">
        <v>73</v>
      </c>
      <c r="D3203" s="62" t="s">
        <v>128</v>
      </c>
      <c r="F3203" s="58">
        <v>960</v>
      </c>
      <c r="O3203" s="59"/>
      <c r="P3203" s="34">
        <v>4</v>
      </c>
      <c r="R3203" s="60">
        <f>SUMIF($H$13:$H$3129,$F3203,R$13:R$3129)+Elec_Rates!R286</f>
        <v>7441.04</v>
      </c>
      <c r="S3203" s="61"/>
      <c r="T3203" s="60">
        <f>SUMIF($H$13:$H$3129,$F3203,T$13:T$3129)+Elec_Rates!T286</f>
        <v>0</v>
      </c>
    </row>
    <row r="3204" spans="1:37">
      <c r="A3204" s="57"/>
      <c r="B3204" s="452">
        <v>54</v>
      </c>
      <c r="C3204" s="4" t="s">
        <v>73</v>
      </c>
      <c r="D3204" s="62" t="s">
        <v>129</v>
      </c>
      <c r="F3204" s="58">
        <v>961</v>
      </c>
      <c r="O3204" s="59"/>
      <c r="P3204" s="34">
        <v>3</v>
      </c>
      <c r="R3204" s="60">
        <f>SUMIF($H$13:$H$3129,$F3204,R$13:R$3129)+Elec_Rates!R287</f>
        <v>0</v>
      </c>
      <c r="S3204" s="61"/>
      <c r="T3204" s="60">
        <f>SUMIF($H$13:$H$3129,$F3204,T$13:T$3129)+Elec_Rates!T287</f>
        <v>0</v>
      </c>
    </row>
    <row r="3205" spans="1:37">
      <c r="A3205" s="57"/>
      <c r="B3205" s="452">
        <v>55</v>
      </c>
      <c r="C3205" s="4" t="s">
        <v>73</v>
      </c>
      <c r="D3205" s="62" t="s">
        <v>130</v>
      </c>
      <c r="F3205" s="58">
        <v>962</v>
      </c>
      <c r="O3205" s="59"/>
      <c r="P3205" s="34">
        <v>1</v>
      </c>
      <c r="R3205" s="60">
        <f>SUMIF($H$13:$H$3129,$F3205,R$13:R$3129)+Elec_Rates!R288</f>
        <v>0</v>
      </c>
      <c r="S3205" s="61"/>
      <c r="T3205" s="60">
        <f>SUMIF($H$13:$H$3129,$F3205,T$13:T$3129)+Elec_Rates!T288</f>
        <v>0</v>
      </c>
    </row>
    <row r="3206" spans="1:37">
      <c r="A3206" s="57"/>
      <c r="B3206" s="452">
        <v>56</v>
      </c>
      <c r="C3206" s="4" t="s">
        <v>73</v>
      </c>
      <c r="D3206" s="62" t="s">
        <v>131</v>
      </c>
      <c r="F3206" s="58">
        <v>970</v>
      </c>
      <c r="O3206" s="59"/>
      <c r="P3206" s="34">
        <v>4</v>
      </c>
      <c r="R3206" s="60">
        <f>SUMIF($H$13:$H$3129,$F3206,R$13:R$3129)+Elec_Rates!R289</f>
        <v>0</v>
      </c>
      <c r="S3206" s="61"/>
      <c r="T3206" s="60">
        <f>SUMIF($H$13:$H$3129,$F3206,T$13:T$3129)+Elec_Rates!T289</f>
        <v>0</v>
      </c>
    </row>
    <row r="3207" spans="1:37" ht="14.4" thickBot="1">
      <c r="A3207" s="63"/>
      <c r="B3207" s="64"/>
      <c r="C3207" s="65"/>
      <c r="D3207" s="66"/>
      <c r="E3207" s="67"/>
      <c r="F3207" s="68"/>
      <c r="G3207" s="67"/>
      <c r="H3207" s="67"/>
      <c r="I3207" s="67"/>
      <c r="J3207" s="67"/>
      <c r="K3207" s="67"/>
      <c r="L3207" s="67"/>
      <c r="M3207" s="67"/>
      <c r="N3207" s="67"/>
      <c r="O3207" s="69"/>
      <c r="P3207" s="67"/>
      <c r="Q3207" s="67"/>
      <c r="R3207" s="70"/>
      <c r="S3207" s="71"/>
      <c r="T3207" s="70"/>
      <c r="U3207" s="67"/>
      <c r="V3207" s="389"/>
      <c r="W3207" s="389"/>
      <c r="X3207" s="389"/>
      <c r="Y3207" s="389"/>
      <c r="Z3207" s="389"/>
      <c r="AA3207" s="389"/>
      <c r="AB3207" s="389"/>
      <c r="AC3207" s="67"/>
      <c r="AD3207" s="67"/>
      <c r="AE3207" s="67"/>
      <c r="AF3207" s="67"/>
      <c r="AG3207" s="67"/>
      <c r="AH3207" s="67"/>
      <c r="AI3207" s="67"/>
      <c r="AJ3207" s="67"/>
      <c r="AK3207" s="67"/>
    </row>
    <row r="3208" spans="1:37" ht="14.4" thickTop="1">
      <c r="A3208" s="57"/>
      <c r="B3208" s="72"/>
      <c r="C3208" s="4" t="s">
        <v>73</v>
      </c>
      <c r="D3208" s="73"/>
      <c r="F3208" s="74" t="s">
        <v>154</v>
      </c>
      <c r="G3208" s="75"/>
      <c r="H3208" s="34">
        <v>1</v>
      </c>
      <c r="O3208" s="59"/>
      <c r="R3208" s="60">
        <f ca="1">SUMIF($P3151:$P3206,1,R3151:R3206)</f>
        <v>6999.8810000000003</v>
      </c>
      <c r="T3208" s="60">
        <f ca="1">SUMIF($P3151:$P3206,1,T3151:T3206)</f>
        <v>288.42</v>
      </c>
    </row>
    <row r="3209" spans="1:37">
      <c r="A3209" s="57"/>
      <c r="B3209" s="72"/>
      <c r="C3209" s="4" t="s">
        <v>73</v>
      </c>
      <c r="D3209" s="73"/>
      <c r="F3209" s="74" t="s">
        <v>155</v>
      </c>
      <c r="G3209" s="75"/>
      <c r="H3209" s="34">
        <v>2</v>
      </c>
      <c r="O3209" s="59"/>
      <c r="R3209" s="60">
        <f ca="1">SUMIF($P3151:$P3206,2,R3151:R3206)</f>
        <v>112865.11749999999</v>
      </c>
      <c r="T3209" s="60">
        <f ca="1">SUMIF($P3151:$P3206,2,T3151:T3206)</f>
        <v>486.65999999999997</v>
      </c>
    </row>
    <row r="3210" spans="1:37">
      <c r="A3210" s="57"/>
      <c r="B3210" s="72"/>
      <c r="C3210" s="4" t="s">
        <v>73</v>
      </c>
      <c r="D3210" s="73"/>
      <c r="F3210" s="74" t="s">
        <v>156</v>
      </c>
      <c r="G3210" s="75"/>
      <c r="H3210" s="34">
        <v>2</v>
      </c>
      <c r="O3210" s="59"/>
      <c r="R3210" s="60">
        <f ca="1">SUMIF($P3151:$P3206,3,R3151:R3206)</f>
        <v>2519.04</v>
      </c>
      <c r="T3210" s="60">
        <f ca="1">SUMIF($P3151:$P3206,3,T3151:T3206)</f>
        <v>174.14</v>
      </c>
    </row>
    <row r="3211" spans="1:37">
      <c r="A3211" s="57"/>
      <c r="B3211" s="72"/>
      <c r="C3211" s="4" t="s">
        <v>73</v>
      </c>
      <c r="D3211" s="73"/>
      <c r="F3211" s="74" t="s">
        <v>157</v>
      </c>
      <c r="G3211" s="75"/>
      <c r="H3211" s="34">
        <v>3</v>
      </c>
      <c r="O3211" s="59"/>
      <c r="R3211" s="60">
        <f>SUMIF($P3151:$P3206,4,R3151:R3206)</f>
        <v>7441.04</v>
      </c>
      <c r="T3211" s="60">
        <f>SUMIF($P3151:$P3206,4,T3151:T3206)</f>
        <v>0</v>
      </c>
    </row>
    <row r="3212" spans="1:37" ht="14.4" thickBot="1">
      <c r="A3212" s="63"/>
      <c r="B3212" s="76"/>
      <c r="C3212" s="65" t="s">
        <v>73</v>
      </c>
      <c r="D3212" s="77"/>
      <c r="E3212" s="67"/>
      <c r="F3212" s="78" t="s">
        <v>158</v>
      </c>
      <c r="G3212" s="79"/>
      <c r="H3212" s="80"/>
      <c r="I3212" s="80"/>
      <c r="J3212" s="80"/>
      <c r="K3212" s="80"/>
      <c r="L3212" s="80"/>
      <c r="M3212" s="80"/>
      <c r="N3212" s="80"/>
      <c r="O3212" s="81"/>
      <c r="P3212" s="80"/>
      <c r="Q3212" s="80"/>
      <c r="R3212" s="82">
        <f ca="1">SUM(R3208:R3211)</f>
        <v>129825.07849999997</v>
      </c>
      <c r="S3212" s="83"/>
      <c r="T3212" s="82">
        <f ca="1">SUM(T3208:T3211)</f>
        <v>949.21999999999991</v>
      </c>
      <c r="U3212" s="67"/>
      <c r="V3212" s="389"/>
      <c r="W3212" s="389"/>
      <c r="X3212" s="389"/>
      <c r="Y3212" s="389"/>
      <c r="Z3212" s="389"/>
      <c r="AA3212" s="389"/>
      <c r="AB3212" s="389"/>
      <c r="AC3212" s="67"/>
      <c r="AD3212" s="67"/>
      <c r="AE3212" s="67"/>
      <c r="AF3212" s="67"/>
      <c r="AG3212" s="67"/>
      <c r="AH3212" s="67"/>
      <c r="AI3212" s="67"/>
      <c r="AJ3212" s="67"/>
      <c r="AK3212" s="67"/>
    </row>
    <row r="3213" spans="1:37" ht="14.4" thickTop="1">
      <c r="A3213" s="44"/>
      <c r="B3213" s="483" t="s">
        <v>172</v>
      </c>
      <c r="C3213" s="73" t="s">
        <v>172</v>
      </c>
      <c r="D3213" s="73"/>
      <c r="O3213" s="59"/>
    </row>
    <row r="3214" spans="1:37">
      <c r="A3214" s="484"/>
      <c r="O3214" s="59"/>
    </row>
    <row r="3215" spans="1:37">
      <c r="A3215" s="484"/>
      <c r="B3215" s="485">
        <f ca="1">SUMIF($D$13:$D$3129,D3215,$C$13:$C$3129)</f>
        <v>2</v>
      </c>
      <c r="C3215" s="62"/>
      <c r="D3215" s="486" t="str">
        <f>Elec_Rates!$D$19</f>
        <v>001# Connecting up of 3.0 kW 400Volt motor (Standard)</v>
      </c>
      <c r="O3215" s="59"/>
      <c r="Q3215" s="31"/>
    </row>
    <row r="3216" spans="1:37">
      <c r="A3216" s="484"/>
      <c r="B3216" s="485">
        <f ca="1">SUMIF($D$13:$D$3129,D3216,$C$13:$C$3129)</f>
        <v>4</v>
      </c>
      <c r="C3216" s="62"/>
      <c r="D3216" s="486" t="str">
        <f>Elec_Rates!$D$28</f>
        <v>002# Connecting up of 7.5 kW 400Volt motor (Standard)</v>
      </c>
      <c r="O3216" s="59"/>
    </row>
    <row r="3217" spans="1:37">
      <c r="A3217" s="484"/>
      <c r="B3217" s="485">
        <f ca="1">SUMIF($D$13:$D$3129,D3217,$C$13:$C$3129)</f>
        <v>3</v>
      </c>
      <c r="C3217" s="62"/>
      <c r="D3217" s="486" t="str">
        <f>Elec_Rates!$D$37</f>
        <v>003# Connecting up of 11.0 kW 400Volt motor (Standard)</v>
      </c>
      <c r="O3217" s="59"/>
    </row>
    <row r="3218" spans="1:37">
      <c r="A3218" s="484"/>
      <c r="B3218" s="485">
        <f ca="1">SUMIF($D$13:$D$3129,D3218,$C$13:$C$3129)</f>
        <v>16</v>
      </c>
      <c r="C3218" s="62"/>
      <c r="D3218" s="486" t="str">
        <f>Elec_Rates!$D$46</f>
        <v>004# Connecting up of 3.0/4.0 kW 400Volt motor (VFD)</v>
      </c>
      <c r="O3218" s="59"/>
    </row>
    <row r="3219" spans="1:37">
      <c r="A3219" s="484"/>
      <c r="B3219" s="485">
        <f ca="1">SUMIF($D$13:$D$3129,D3219,$C$13:$C$3129)</f>
        <v>8</v>
      </c>
      <c r="C3219" s="62"/>
      <c r="D3219" s="486" t="str">
        <f>Elec_Rates!$D$55</f>
        <v>005# Connecting up of 7.5 kW 400Volt motor (VFD)</v>
      </c>
      <c r="O3219" s="59"/>
    </row>
    <row r="3220" spans="1:37">
      <c r="A3220" s="484"/>
      <c r="B3220" s="485">
        <f ca="1">SUMIF($D$13:$D$3129,D3220,$C$13:$C$3129)</f>
        <v>16</v>
      </c>
      <c r="C3220" s="62"/>
      <c r="D3220" s="486" t="str">
        <f>Elec_Rates!$D$64</f>
        <v>006# Connecting up of 11.0/18.0 kW 400Volt motor (VFD)</v>
      </c>
      <c r="O3220" s="59"/>
    </row>
    <row r="3221" spans="1:37">
      <c r="A3221" s="484"/>
      <c r="B3221" s="485">
        <f ca="1">SUMIF($D$13:$D$3129,D3221,$C$13:$C$3129)</f>
        <v>0</v>
      </c>
      <c r="C3221" s="62"/>
      <c r="D3221" s="486" t="str">
        <f>Elec_Rates!$D$73</f>
        <v>007# 200mm galvanised steel cable tray</v>
      </c>
      <c r="O3221" s="59"/>
    </row>
    <row r="3222" spans="1:37">
      <c r="A3222" s="484"/>
      <c r="B3222" s="485">
        <f ca="1">SUMIF($D$13:$D$3129,D3222,$C$13:$C$3129)</f>
        <v>0</v>
      </c>
      <c r="C3222" s="62"/>
      <c r="D3222" s="486" t="str">
        <f>Elec_Rates!$D$84</f>
        <v>008# Bracket for 200-300mm cable tray</v>
      </c>
      <c r="O3222" s="59"/>
    </row>
    <row r="3223" spans="1:37">
      <c r="A3223" s="484"/>
      <c r="B3223" s="485">
        <f ca="1">SUMIF($D$13:$D$3129,D3223,$C$13:$C$3129)</f>
        <v>3</v>
      </c>
      <c r="C3223" s="62"/>
      <c r="D3223" s="486" t="str">
        <f>Elec_Rates!$D$97</f>
        <v>009# Energy Meter M-Bus</v>
      </c>
      <c r="O3223" s="59"/>
    </row>
    <row r="3224" spans="1:37">
      <c r="A3224" s="484"/>
      <c r="B3224" s="485">
        <f ca="1">SUMIF($D$13:$D$3129,D3224,$C$13:$C$3129)</f>
        <v>0</v>
      </c>
      <c r="C3224" s="62"/>
      <c r="D3224" s="486" t="str">
        <f>Elec_Rates!$D$107</f>
        <v>010# Motorised valve</v>
      </c>
      <c r="O3224" s="59"/>
    </row>
    <row r="3225" spans="1:37">
      <c r="A3225" s="484"/>
      <c r="B3225" s="485">
        <f ca="1">SUMIF($D$13:$D$3129,D3225,$C$13:$C$3129)</f>
        <v>3</v>
      </c>
      <c r="C3225" s="62"/>
      <c r="D3225" s="486" t="str">
        <f>Elec_Rates!D117</f>
        <v>004# Power supply to control panel (4core x 2.5sqmm)</v>
      </c>
      <c r="O3225" s="59"/>
    </row>
    <row r="3226" spans="1:37">
      <c r="A3226" s="484"/>
      <c r="B3226" s="485">
        <f ca="1">SUMIF($D$13:$D$3129,D3226,$C$13:$C$3129)</f>
        <v>10</v>
      </c>
      <c r="C3226" s="62"/>
      <c r="D3226" s="486" t="str">
        <f>Elec_Rates!$D$143</f>
        <v>011# Power supply to control panel (4core x 4.0sqmm) and VDS by pass in MCC</v>
      </c>
      <c r="O3226" s="59"/>
    </row>
    <row r="3227" spans="1:37">
      <c r="A3227" s="484"/>
      <c r="B3227" s="485">
        <f ca="1">SUMIF($D$13:$D$3129,D3227,$C$13:$C$3129)</f>
        <v>1</v>
      </c>
      <c r="C3227" s="62"/>
      <c r="D3227" s="486" t="str">
        <f>Elec_Rates!$D$170</f>
        <v>012# Power supply to control panel (4core x 10.0sqmm)</v>
      </c>
      <c r="O3227" s="59"/>
    </row>
    <row r="3228" spans="1:37">
      <c r="A3228" s="484"/>
      <c r="B3228" s="485">
        <f ca="1">SUMIF($D$13:$D$3129,D3228,$C$13:$C$3129)</f>
        <v>13</v>
      </c>
      <c r="C3228" s="62"/>
      <c r="D3228" s="486" t="str">
        <f>Elec_Rates!$D$196</f>
        <v>013# Installation of Rosenger control panel</v>
      </c>
      <c r="O3228" s="59"/>
    </row>
    <row r="3229" spans="1:37">
      <c r="A3229" s="484"/>
      <c r="B3229" s="485">
        <f ca="1">SUMIF($D$13:$D$3129,D3229,$C$13:$C$3129)</f>
        <v>35</v>
      </c>
      <c r="C3229" s="62"/>
      <c r="D3229" s="486" t="str">
        <f>Elec_Rates!$D$203</f>
        <v>014# Installation of cable harness to fans</v>
      </c>
      <c r="O3229" s="59"/>
    </row>
    <row r="3230" spans="1:37">
      <c r="A3230" s="484"/>
      <c r="B3230" s="485">
        <f ca="1">SUMIF($D$13:$D$3129,D3230,$C$13:$C$3129)</f>
        <v>14</v>
      </c>
      <c r="C3230" s="62"/>
      <c r="D3230" s="486" t="str">
        <f>Elec_Rates!$D$210</f>
        <v>015# Installation of control panels by ECA</v>
      </c>
      <c r="O3230" s="59"/>
    </row>
    <row r="3231" spans="1:37">
      <c r="A3231" s="484" t="s">
        <v>147</v>
      </c>
      <c r="B3231" s="485">
        <f ca="1">SUMIF($D$13:$D$3129,D3231,$C$13:$C$3129)</f>
        <v>14</v>
      </c>
      <c r="C3231" s="62"/>
      <c r="D3231" s="486" t="str">
        <f>Elec_Rates!$D$217</f>
        <v>016# Installation of sensors on AHUs</v>
      </c>
      <c r="O3231" s="59"/>
    </row>
    <row r="3232" spans="1:37" ht="14.4" thickBot="1">
      <c r="A3232" s="487"/>
      <c r="B3232" s="67"/>
      <c r="C3232" s="67"/>
      <c r="D3232" s="69"/>
      <c r="E3232" s="67"/>
      <c r="F3232" s="67"/>
      <c r="G3232" s="67"/>
      <c r="H3232" s="67"/>
      <c r="I3232" s="67"/>
      <c r="J3232" s="67"/>
      <c r="K3232" s="67"/>
      <c r="L3232" s="67"/>
      <c r="M3232" s="67"/>
      <c r="N3232" s="67"/>
      <c r="O3232" s="69"/>
      <c r="P3232" s="67"/>
      <c r="Q3232" s="67"/>
      <c r="R3232" s="67"/>
      <c r="S3232" s="67"/>
      <c r="T3232" s="67"/>
      <c r="U3232" s="67"/>
      <c r="V3232" s="389"/>
      <c r="W3232" s="389"/>
      <c r="X3232" s="389"/>
      <c r="Y3232" s="389"/>
      <c r="Z3232" s="389"/>
      <c r="AA3232" s="389"/>
      <c r="AB3232" s="389"/>
      <c r="AC3232" s="67"/>
      <c r="AD3232" s="67"/>
      <c r="AE3232" s="67"/>
      <c r="AF3232" s="67"/>
      <c r="AG3232" s="67"/>
      <c r="AH3232" s="67"/>
      <c r="AI3232" s="67"/>
      <c r="AJ3232" s="67"/>
      <c r="AK3232" s="67"/>
    </row>
    <row r="3233" ht="14.4" thickTop="1"/>
  </sheetData>
  <sheetProtection formatCells="0" formatColumns="0" formatRows="0" insertColumns="0" insertRows="0" insertHyperlinks="0" deleteColumns="0" deleteRows="0" sort="0" autoFilter="0" pivotTables="0"/>
  <mergeCells count="67">
    <mergeCell ref="D3007:T3007"/>
    <mergeCell ref="D3030:T3030"/>
    <mergeCell ref="D3052:T3052"/>
    <mergeCell ref="D3083:T3083"/>
    <mergeCell ref="D2899:T2899"/>
    <mergeCell ref="D2917:T2917"/>
    <mergeCell ref="D2923:T2923"/>
    <mergeCell ref="D2929:T2929"/>
    <mergeCell ref="D2935:T2935"/>
    <mergeCell ref="D2949:T2949"/>
    <mergeCell ref="D2955:T2955"/>
    <mergeCell ref="D2979:T2979"/>
    <mergeCell ref="D2510:T2510"/>
    <mergeCell ref="D2535:T2535"/>
    <mergeCell ref="D2568:T2568"/>
    <mergeCell ref="D2593:T2593"/>
    <mergeCell ref="D2624:T2624"/>
    <mergeCell ref="D2655:T2655"/>
    <mergeCell ref="D2692:T2692"/>
    <mergeCell ref="D2718:T2718"/>
    <mergeCell ref="D2789:F2789"/>
    <mergeCell ref="D2805:T2805"/>
    <mergeCell ref="D2386:T2386"/>
    <mergeCell ref="D2417:T2417"/>
    <mergeCell ref="D2448:T2448"/>
    <mergeCell ref="D2479:T2479"/>
    <mergeCell ref="D2200:T2200"/>
    <mergeCell ref="D2231:T2231"/>
    <mergeCell ref="D2262:T2262"/>
    <mergeCell ref="D2293:T2293"/>
    <mergeCell ref="D2324:T2324"/>
    <mergeCell ref="D1935:T1935"/>
    <mergeCell ref="D1960:T1960"/>
    <mergeCell ref="D1991:T1991"/>
    <mergeCell ref="D2022:T2022"/>
    <mergeCell ref="D2355:T2355"/>
    <mergeCell ref="D306:T306"/>
    <mergeCell ref="D408:T408"/>
    <mergeCell ref="D1534:T1534"/>
    <mergeCell ref="D1594:T1594"/>
    <mergeCell ref="D1668:T1668"/>
    <mergeCell ref="D994:T994"/>
    <mergeCell ref="D1124:T1124"/>
    <mergeCell ref="D1216:T1216"/>
    <mergeCell ref="D1310:T1310"/>
    <mergeCell ref="D1449:T1449"/>
    <mergeCell ref="D24:T24"/>
    <mergeCell ref="D46:T46"/>
    <mergeCell ref="D54:T54"/>
    <mergeCell ref="D30:T30"/>
    <mergeCell ref="D171:T171"/>
    <mergeCell ref="D2843:T2843"/>
    <mergeCell ref="D2857:T2857"/>
    <mergeCell ref="D2867:T2867"/>
    <mergeCell ref="D416:T416"/>
    <mergeCell ref="D560:T560"/>
    <mergeCell ref="D829:T829"/>
    <mergeCell ref="D894:T894"/>
    <mergeCell ref="D920:T920"/>
    <mergeCell ref="D1798:T1798"/>
    <mergeCell ref="D1896:T1896"/>
    <mergeCell ref="D2053:T2053"/>
    <mergeCell ref="D2084:T2084"/>
    <mergeCell ref="D2115:T2115"/>
    <mergeCell ref="D2138:T2138"/>
    <mergeCell ref="D2169:T2169"/>
    <mergeCell ref="D1904:T1904"/>
  </mergeCells>
  <phoneticPr fontId="30"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E0000"/>
  </sheetPr>
  <dimension ref="A1:G54"/>
  <sheetViews>
    <sheetView workbookViewId="0">
      <selection activeCell="L38" sqref="L38"/>
    </sheetView>
  </sheetViews>
  <sheetFormatPr defaultColWidth="8.88671875" defaultRowHeight="14.4"/>
  <cols>
    <col min="1" max="1" width="7.6640625" style="630" customWidth="1"/>
    <col min="2" max="2" width="48.6640625" style="573" customWidth="1"/>
    <col min="3" max="3" width="5.6640625" style="631" customWidth="1"/>
    <col min="4" max="4" width="7.6640625" style="573" customWidth="1"/>
    <col min="5" max="5" width="10.33203125" style="632" customWidth="1"/>
    <col min="6" max="6" width="12.109375" style="632" customWidth="1"/>
    <col min="7" max="16384" width="8.88671875" style="573"/>
  </cols>
  <sheetData>
    <row r="1" spans="1:6" ht="17.399999999999999">
      <c r="A1" s="568" t="s">
        <v>273</v>
      </c>
      <c r="B1" s="569"/>
      <c r="C1" s="570"/>
      <c r="D1" s="569"/>
      <c r="E1" s="571"/>
      <c r="F1" s="572"/>
    </row>
    <row r="2" spans="1:6">
      <c r="A2" s="574" t="s">
        <v>274</v>
      </c>
      <c r="B2" s="575"/>
      <c r="C2" s="576"/>
      <c r="D2" s="575"/>
      <c r="E2" s="577"/>
      <c r="F2" s="578"/>
    </row>
    <row r="3" spans="1:6">
      <c r="A3" s="574" t="s">
        <v>275</v>
      </c>
      <c r="B3" s="575"/>
      <c r="C3" s="576"/>
      <c r="D3" s="575"/>
      <c r="E3" s="577"/>
      <c r="F3" s="578"/>
    </row>
    <row r="4" spans="1:6">
      <c r="A4" s="579"/>
      <c r="B4" s="580"/>
      <c r="C4" s="581"/>
      <c r="D4" s="580"/>
      <c r="E4" s="582"/>
      <c r="F4" s="583"/>
    </row>
    <row r="5" spans="1:6" ht="15" thickBot="1">
      <c r="A5" s="584" t="s">
        <v>276</v>
      </c>
      <c r="B5" s="585"/>
      <c r="C5" s="587" t="s">
        <v>277</v>
      </c>
      <c r="D5" s="586" t="s">
        <v>266</v>
      </c>
      <c r="E5" s="588" t="s">
        <v>278</v>
      </c>
      <c r="F5" s="589" t="s">
        <v>267</v>
      </c>
    </row>
    <row r="6" spans="1:6">
      <c r="A6" s="590"/>
      <c r="B6" s="591"/>
      <c r="C6" s="593"/>
      <c r="D6" s="592"/>
      <c r="E6" s="594"/>
      <c r="F6" s="595"/>
    </row>
    <row r="7" spans="1:6" ht="26.4">
      <c r="A7" s="590" t="s">
        <v>279</v>
      </c>
      <c r="B7" s="596" t="s">
        <v>280</v>
      </c>
      <c r="C7" s="593"/>
      <c r="D7" s="592"/>
      <c r="E7" s="594"/>
      <c r="F7" s="595"/>
    </row>
    <row r="8" spans="1:6">
      <c r="A8" s="590"/>
      <c r="B8" s="596"/>
      <c r="C8" s="593"/>
      <c r="D8" s="592"/>
      <c r="E8" s="594"/>
      <c r="F8" s="595"/>
    </row>
    <row r="9" spans="1:6">
      <c r="A9" s="590" t="s">
        <v>279</v>
      </c>
      <c r="B9" s="597" t="s">
        <v>281</v>
      </c>
      <c r="C9" s="593"/>
      <c r="D9" s="592"/>
      <c r="E9" s="594"/>
      <c r="F9" s="595"/>
    </row>
    <row r="10" spans="1:6">
      <c r="A10" s="590"/>
      <c r="B10" s="591"/>
      <c r="C10" s="599"/>
      <c r="D10" s="598"/>
      <c r="E10" s="600"/>
      <c r="F10" s="601"/>
    </row>
    <row r="11" spans="1:6" ht="26.4">
      <c r="A11" s="590">
        <v>1</v>
      </c>
      <c r="B11" s="602" t="s">
        <v>282</v>
      </c>
      <c r="C11" s="599">
        <v>3</v>
      </c>
      <c r="D11" s="598" t="s">
        <v>283</v>
      </c>
      <c r="E11" s="600"/>
      <c r="F11" s="601">
        <f>E11*C11</f>
        <v>0</v>
      </c>
    </row>
    <row r="12" spans="1:6">
      <c r="A12" s="590"/>
      <c r="B12" s="602"/>
      <c r="C12" s="599"/>
      <c r="D12" s="598"/>
      <c r="E12" s="600"/>
      <c r="F12" s="601"/>
    </row>
    <row r="13" spans="1:6">
      <c r="A13" s="590"/>
      <c r="B13" s="591"/>
      <c r="C13" s="599"/>
      <c r="D13" s="598"/>
      <c r="E13" s="600"/>
      <c r="F13" s="601"/>
    </row>
    <row r="14" spans="1:6" s="702" customFormat="1" ht="13.2">
      <c r="A14" s="696" t="s">
        <v>279</v>
      </c>
      <c r="B14" s="697" t="s">
        <v>284</v>
      </c>
      <c r="C14" s="699"/>
      <c r="D14" s="698"/>
      <c r="E14" s="700"/>
      <c r="F14" s="701"/>
    </row>
    <row r="15" spans="1:6" s="702" customFormat="1" ht="13.2">
      <c r="A15" s="696"/>
      <c r="B15" s="703"/>
      <c r="C15" s="699"/>
      <c r="D15" s="698"/>
      <c r="E15" s="700"/>
      <c r="F15" s="701"/>
    </row>
    <row r="16" spans="1:6" s="702" customFormat="1" ht="26.4">
      <c r="A16" s="696">
        <f>A11+1</f>
        <v>2</v>
      </c>
      <c r="B16" s="704" t="s">
        <v>285</v>
      </c>
      <c r="C16" s="699">
        <v>1</v>
      </c>
      <c r="D16" s="698" t="s">
        <v>283</v>
      </c>
      <c r="E16" s="700"/>
      <c r="F16" s="701">
        <f>E16*C16</f>
        <v>0</v>
      </c>
    </row>
    <row r="17" spans="1:7" s="702" customFormat="1" ht="13.2">
      <c r="A17" s="696"/>
      <c r="B17" s="704"/>
      <c r="C17" s="699"/>
      <c r="D17" s="698"/>
      <c r="E17" s="700"/>
      <c r="F17" s="701"/>
    </row>
    <row r="18" spans="1:7" s="702" customFormat="1" ht="13.2">
      <c r="A18" s="696"/>
      <c r="B18" s="703"/>
      <c r="C18" s="699"/>
      <c r="D18" s="698"/>
      <c r="E18" s="700"/>
      <c r="F18" s="701"/>
    </row>
    <row r="19" spans="1:7" s="702" customFormat="1" ht="87.6" customHeight="1">
      <c r="A19" s="705">
        <f>A16+1</f>
        <v>3</v>
      </c>
      <c r="B19" s="706" t="s">
        <v>286</v>
      </c>
      <c r="C19" s="708">
        <v>1</v>
      </c>
      <c r="D19" s="707" t="s">
        <v>287</v>
      </c>
      <c r="E19" s="1087" t="str">
        <f>Elec_Est!Q23</f>
        <v>Included in Electrical - Note by Megaline</v>
      </c>
      <c r="F19" s="709"/>
      <c r="G19" s="543" t="s">
        <v>885</v>
      </c>
    </row>
    <row r="20" spans="1:7">
      <c r="A20" s="590"/>
      <c r="B20" s="591"/>
      <c r="C20" s="599"/>
      <c r="D20" s="598"/>
      <c r="E20" s="600"/>
      <c r="F20" s="601"/>
    </row>
    <row r="21" spans="1:7" ht="52.8">
      <c r="A21" s="705">
        <f>A19+1</f>
        <v>4</v>
      </c>
      <c r="B21" s="706" t="s">
        <v>882</v>
      </c>
      <c r="C21" s="708">
        <v>1</v>
      </c>
      <c r="D21" s="707" t="s">
        <v>287</v>
      </c>
      <c r="E21" s="1087" t="str">
        <f>Elec_Est!Q29</f>
        <v>Included in Electrical - Note by Megaline</v>
      </c>
      <c r="F21" s="709"/>
      <c r="G21" s="543" t="s">
        <v>885</v>
      </c>
    </row>
    <row r="22" spans="1:7">
      <c r="A22" s="696"/>
      <c r="B22" s="703" t="s">
        <v>883</v>
      </c>
      <c r="C22" s="593"/>
      <c r="D22" s="968"/>
      <c r="E22" s="969"/>
      <c r="F22" s="970"/>
    </row>
    <row r="23" spans="1:7">
      <c r="A23" s="590"/>
      <c r="B23" s="591"/>
      <c r="C23" s="593"/>
      <c r="D23" s="592"/>
      <c r="E23" s="594"/>
      <c r="F23" s="595"/>
    </row>
    <row r="24" spans="1:7">
      <c r="A24" s="590"/>
      <c r="B24" s="591"/>
      <c r="C24" s="593"/>
      <c r="D24" s="592"/>
      <c r="E24" s="594"/>
      <c r="F24" s="595"/>
    </row>
    <row r="25" spans="1:7">
      <c r="A25" s="590"/>
      <c r="B25" s="591"/>
      <c r="C25" s="593"/>
      <c r="D25" s="592"/>
      <c r="E25" s="594"/>
      <c r="F25" s="595"/>
    </row>
    <row r="26" spans="1:7">
      <c r="A26" s="590"/>
      <c r="B26" s="591"/>
      <c r="C26" s="593"/>
      <c r="D26" s="592"/>
      <c r="E26" s="594"/>
      <c r="F26" s="595"/>
    </row>
    <row r="27" spans="1:7">
      <c r="A27" s="590"/>
      <c r="B27" s="591"/>
      <c r="C27" s="593"/>
      <c r="D27" s="592"/>
      <c r="E27" s="594"/>
      <c r="F27" s="595"/>
    </row>
    <row r="28" spans="1:7">
      <c r="A28" s="590"/>
      <c r="C28" s="593"/>
      <c r="D28" s="592"/>
      <c r="E28" s="594"/>
      <c r="F28" s="595"/>
    </row>
    <row r="29" spans="1:7">
      <c r="A29" s="590"/>
      <c r="B29" s="591"/>
      <c r="C29" s="593"/>
      <c r="D29" s="592"/>
      <c r="E29" s="594"/>
      <c r="F29" s="595"/>
    </row>
    <row r="30" spans="1:7">
      <c r="A30" s="590"/>
      <c r="B30" s="591"/>
      <c r="C30" s="593"/>
      <c r="D30" s="592"/>
      <c r="E30" s="594"/>
      <c r="F30" s="595"/>
    </row>
    <row r="31" spans="1:7">
      <c r="A31" s="590"/>
      <c r="B31" s="591"/>
      <c r="C31" s="593"/>
      <c r="D31" s="592"/>
      <c r="E31" s="594"/>
      <c r="F31" s="595"/>
    </row>
    <row r="32" spans="1:7">
      <c r="A32" s="590"/>
      <c r="B32" s="591"/>
      <c r="C32" s="593"/>
      <c r="D32" s="592"/>
      <c r="E32" s="594"/>
      <c r="F32" s="595"/>
    </row>
    <row r="33" spans="1:6">
      <c r="A33" s="590"/>
      <c r="B33" s="591"/>
      <c r="C33" s="593"/>
      <c r="D33" s="592"/>
      <c r="E33" s="594"/>
      <c r="F33" s="595"/>
    </row>
    <row r="34" spans="1:6">
      <c r="A34" s="590"/>
      <c r="B34" s="591"/>
      <c r="C34" s="593"/>
      <c r="D34" s="592"/>
      <c r="E34" s="594"/>
      <c r="F34" s="595"/>
    </row>
    <row r="35" spans="1:6">
      <c r="A35" s="590"/>
      <c r="B35" s="591"/>
      <c r="C35" s="593"/>
      <c r="D35" s="592"/>
      <c r="E35" s="594"/>
      <c r="F35" s="595"/>
    </row>
    <row r="36" spans="1:6">
      <c r="A36" s="590"/>
      <c r="B36" s="591"/>
      <c r="C36" s="593"/>
      <c r="D36" s="592"/>
      <c r="E36" s="594"/>
      <c r="F36" s="595"/>
    </row>
    <row r="37" spans="1:6">
      <c r="A37" s="590"/>
      <c r="B37" s="591"/>
      <c r="C37" s="593"/>
      <c r="D37" s="592"/>
      <c r="E37" s="594"/>
      <c r="F37" s="595"/>
    </row>
    <row r="38" spans="1:6">
      <c r="A38" s="590"/>
      <c r="B38" s="591"/>
      <c r="C38" s="593"/>
      <c r="D38" s="592"/>
      <c r="E38" s="594"/>
      <c r="F38" s="595"/>
    </row>
    <row r="39" spans="1:6">
      <c r="A39" s="590"/>
      <c r="B39" s="591"/>
      <c r="C39" s="593"/>
      <c r="D39" s="592"/>
      <c r="E39" s="594"/>
      <c r="F39" s="595"/>
    </row>
    <row r="40" spans="1:6">
      <c r="A40" s="590"/>
      <c r="B40" s="591"/>
      <c r="C40" s="593"/>
      <c r="D40" s="592"/>
      <c r="E40" s="594"/>
      <c r="F40" s="595"/>
    </row>
    <row r="41" spans="1:6">
      <c r="A41" s="590"/>
      <c r="B41" s="591"/>
      <c r="C41" s="593"/>
      <c r="D41" s="592"/>
      <c r="E41" s="594"/>
      <c r="F41" s="595"/>
    </row>
    <row r="42" spans="1:6">
      <c r="A42" s="590"/>
      <c r="B42" s="591"/>
      <c r="C42" s="593"/>
      <c r="D42" s="592"/>
      <c r="E42" s="594"/>
      <c r="F42" s="595"/>
    </row>
    <row r="43" spans="1:6">
      <c r="A43" s="590"/>
      <c r="B43" s="591"/>
      <c r="C43" s="593"/>
      <c r="D43" s="592"/>
      <c r="E43" s="594"/>
      <c r="F43" s="595"/>
    </row>
    <row r="44" spans="1:6">
      <c r="A44" s="590"/>
      <c r="B44" s="591"/>
      <c r="C44" s="593"/>
      <c r="D44" s="592"/>
      <c r="E44" s="594"/>
      <c r="F44" s="595"/>
    </row>
    <row r="45" spans="1:6">
      <c r="A45" s="590"/>
      <c r="B45" s="591"/>
      <c r="C45" s="593"/>
      <c r="D45" s="592"/>
      <c r="E45" s="594"/>
      <c r="F45" s="595"/>
    </row>
    <row r="46" spans="1:6">
      <c r="A46" s="590"/>
      <c r="B46" s="591"/>
      <c r="C46" s="593"/>
      <c r="D46" s="592"/>
      <c r="E46" s="594"/>
      <c r="F46" s="595"/>
    </row>
    <row r="47" spans="1:6">
      <c r="A47" s="590"/>
      <c r="B47" s="609"/>
      <c r="C47" s="610"/>
      <c r="D47" s="592"/>
      <c r="E47" s="594"/>
      <c r="F47" s="595"/>
    </row>
    <row r="48" spans="1:6">
      <c r="A48" s="590"/>
      <c r="B48" s="609"/>
      <c r="C48" s="610"/>
      <c r="D48" s="592"/>
      <c r="E48" s="594"/>
      <c r="F48" s="595"/>
    </row>
    <row r="49" spans="1:6" ht="15" thickBot="1">
      <c r="A49" s="590"/>
      <c r="B49" s="611"/>
      <c r="C49" s="593"/>
      <c r="D49" s="592"/>
      <c r="E49" s="594"/>
      <c r="F49" s="595"/>
    </row>
    <row r="50" spans="1:6">
      <c r="A50" s="612"/>
      <c r="B50" s="613"/>
      <c r="C50" s="615"/>
      <c r="D50" s="614"/>
      <c r="E50" s="616"/>
      <c r="F50" s="617"/>
    </row>
    <row r="51" spans="1:6">
      <c r="A51" s="618" t="s">
        <v>288</v>
      </c>
      <c r="B51" s="619" t="s">
        <v>289</v>
      </c>
      <c r="C51" s="621"/>
      <c r="D51" s="620"/>
      <c r="E51" s="622"/>
      <c r="F51" s="623">
        <f>SUM(F11:F49)</f>
        <v>0</v>
      </c>
    </row>
    <row r="52" spans="1:6">
      <c r="A52" s="624"/>
      <c r="B52" s="625"/>
      <c r="C52" s="627"/>
      <c r="D52" s="626"/>
      <c r="E52" s="628"/>
      <c r="F52" s="629"/>
    </row>
    <row r="54" spans="1:6">
      <c r="F54" s="63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04"/>
  <sheetViews>
    <sheetView workbookViewId="0">
      <selection activeCell="F411" sqref="F411"/>
    </sheetView>
  </sheetViews>
  <sheetFormatPr defaultColWidth="8.88671875" defaultRowHeight="14.4"/>
  <cols>
    <col min="1" max="1" width="7.6640625" style="1043" customWidth="1"/>
    <col min="2" max="2" width="2.6640625" style="1043" customWidth="1"/>
    <col min="3" max="3" width="48.6640625" style="702" customWidth="1"/>
    <col min="4" max="4" width="5.6640625" style="1044" customWidth="1"/>
    <col min="5" max="5" width="7.6640625" style="702" customWidth="1"/>
    <col min="6" max="6" width="10.33203125" style="1045" customWidth="1"/>
    <col min="7" max="7" width="12.109375" style="1045" customWidth="1"/>
    <col min="8" max="16384" width="8.88671875" style="573"/>
  </cols>
  <sheetData>
    <row r="1" spans="1:7" ht="17.399999999999999">
      <c r="A1" s="980" t="s">
        <v>273</v>
      </c>
      <c r="B1" s="981"/>
      <c r="C1" s="982"/>
      <c r="D1" s="983"/>
      <c r="E1" s="982"/>
      <c r="F1" s="984"/>
      <c r="G1" s="985"/>
    </row>
    <row r="2" spans="1:7">
      <c r="A2" s="986" t="s">
        <v>274</v>
      </c>
      <c r="B2" s="987"/>
      <c r="C2" s="988"/>
      <c r="D2" s="989"/>
      <c r="E2" s="988"/>
      <c r="F2" s="990"/>
      <c r="G2" s="991"/>
    </row>
    <row r="3" spans="1:7">
      <c r="A3" s="986" t="s">
        <v>290</v>
      </c>
      <c r="B3" s="987"/>
      <c r="C3" s="988"/>
      <c r="D3" s="989"/>
      <c r="E3" s="988"/>
      <c r="F3" s="990"/>
      <c r="G3" s="991"/>
    </row>
    <row r="4" spans="1:7">
      <c r="A4" s="992"/>
      <c r="B4" s="993"/>
      <c r="C4" s="543"/>
      <c r="D4" s="994"/>
      <c r="E4" s="543"/>
      <c r="F4" s="995"/>
      <c r="G4" s="996"/>
    </row>
    <row r="5" spans="1:7" ht="15" thickBot="1">
      <c r="A5" s="997" t="s">
        <v>276</v>
      </c>
      <c r="B5" s="998" t="s">
        <v>887</v>
      </c>
      <c r="C5" s="999"/>
      <c r="D5" s="1001" t="s">
        <v>277</v>
      </c>
      <c r="E5" s="1000" t="s">
        <v>266</v>
      </c>
      <c r="F5" s="1002" t="s">
        <v>278</v>
      </c>
      <c r="G5" s="1003" t="s">
        <v>267</v>
      </c>
    </row>
    <row r="6" spans="1:7">
      <c r="A6" s="1004"/>
      <c r="B6" s="1005"/>
      <c r="C6" s="1006"/>
      <c r="D6" s="1008"/>
      <c r="E6" s="1007"/>
      <c r="F6" s="1009"/>
      <c r="G6" s="1010"/>
    </row>
    <row r="7" spans="1:7" ht="52.8">
      <c r="A7" s="696"/>
      <c r="B7" s="696"/>
      <c r="C7" s="1011" t="s">
        <v>888</v>
      </c>
      <c r="D7" s="968"/>
      <c r="E7" s="967"/>
      <c r="F7" s="969"/>
      <c r="G7" s="970"/>
    </row>
    <row r="8" spans="1:7">
      <c r="A8" s="696"/>
      <c r="B8" s="696"/>
      <c r="C8" s="1012"/>
      <c r="D8" s="968"/>
      <c r="E8" s="967"/>
      <c r="F8" s="969"/>
      <c r="G8" s="970"/>
    </row>
    <row r="9" spans="1:7">
      <c r="A9" s="696"/>
      <c r="B9" s="696"/>
      <c r="C9" s="697" t="s">
        <v>281</v>
      </c>
      <c r="D9" s="968"/>
      <c r="E9" s="967"/>
      <c r="F9" s="969"/>
      <c r="G9" s="970"/>
    </row>
    <row r="10" spans="1:7">
      <c r="A10" s="696"/>
      <c r="B10" s="696"/>
      <c r="C10" s="703"/>
      <c r="D10" s="968"/>
      <c r="E10" s="967"/>
      <c r="F10" s="969"/>
      <c r="G10" s="970"/>
    </row>
    <row r="11" spans="1:7" ht="41.4" customHeight="1">
      <c r="A11" s="705">
        <v>1</v>
      </c>
      <c r="B11" s="705"/>
      <c r="C11" s="1046" t="s">
        <v>889</v>
      </c>
      <c r="D11" s="708">
        <v>3</v>
      </c>
      <c r="E11" s="707" t="s">
        <v>283</v>
      </c>
      <c r="F11" s="966">
        <f>Elec_Est!E53</f>
        <v>777.51</v>
      </c>
      <c r="G11" s="709">
        <f>F11*D11</f>
        <v>2332.5299999999997</v>
      </c>
    </row>
    <row r="12" spans="1:7" ht="12.75" customHeight="1">
      <c r="A12" s="696"/>
      <c r="B12" s="696"/>
      <c r="C12" s="704"/>
      <c r="D12" s="968"/>
      <c r="E12" s="967"/>
      <c r="F12" s="969"/>
      <c r="G12" s="970"/>
    </row>
    <row r="13" spans="1:7" ht="12.6" customHeight="1">
      <c r="A13" s="696"/>
      <c r="B13" s="696"/>
      <c r="C13" s="704"/>
      <c r="D13" s="968"/>
      <c r="E13" s="967"/>
      <c r="F13" s="969"/>
      <c r="G13" s="970"/>
    </row>
    <row r="14" spans="1:7" ht="39.6">
      <c r="A14" s="696">
        <f>A11+1</f>
        <v>2</v>
      </c>
      <c r="B14" s="696"/>
      <c r="C14" s="704" t="s">
        <v>890</v>
      </c>
      <c r="D14" s="699">
        <v>1</v>
      </c>
      <c r="E14" s="698" t="s">
        <v>287</v>
      </c>
      <c r="F14" s="700"/>
      <c r="G14" s="701">
        <f>F14*D14</f>
        <v>0</v>
      </c>
    </row>
    <row r="15" spans="1:7">
      <c r="A15" s="696"/>
      <c r="B15" s="696"/>
      <c r="C15" s="704"/>
      <c r="D15" s="968"/>
      <c r="E15" s="967"/>
      <c r="F15" s="969"/>
      <c r="G15" s="970"/>
    </row>
    <row r="16" spans="1:7">
      <c r="A16" s="696"/>
      <c r="B16" s="696"/>
      <c r="C16" s="703"/>
      <c r="D16" s="968"/>
      <c r="E16" s="967"/>
      <c r="F16" s="969"/>
      <c r="G16" s="970"/>
    </row>
    <row r="17" spans="1:7" ht="13.95" customHeight="1">
      <c r="A17" s="696"/>
      <c r="B17" s="696"/>
      <c r="C17" s="697" t="s">
        <v>891</v>
      </c>
      <c r="D17" s="968"/>
      <c r="E17" s="967"/>
      <c r="F17" s="969"/>
      <c r="G17" s="970"/>
    </row>
    <row r="18" spans="1:7" ht="13.95" customHeight="1">
      <c r="A18" s="696"/>
      <c r="B18" s="696"/>
      <c r="C18" s="703"/>
      <c r="D18" s="968"/>
      <c r="E18" s="967"/>
      <c r="F18" s="969"/>
      <c r="G18" s="970"/>
    </row>
    <row r="19" spans="1:7" ht="26.4">
      <c r="A19" s="696">
        <f>A14+1</f>
        <v>3</v>
      </c>
      <c r="B19" s="696"/>
      <c r="C19" s="703" t="s">
        <v>892</v>
      </c>
      <c r="D19" s="968"/>
      <c r="E19" s="967"/>
      <c r="F19" s="969"/>
      <c r="G19" s="970"/>
    </row>
    <row r="20" spans="1:7">
      <c r="A20" s="696"/>
      <c r="B20" s="696"/>
      <c r="C20" s="703"/>
      <c r="D20" s="968"/>
      <c r="E20" s="967"/>
      <c r="F20" s="969"/>
      <c r="G20" s="970"/>
    </row>
    <row r="21" spans="1:7">
      <c r="A21" s="696"/>
      <c r="B21" s="696" t="s">
        <v>294</v>
      </c>
      <c r="C21" s="703" t="s">
        <v>316</v>
      </c>
      <c r="D21" s="1013">
        <f>5*2*3</f>
        <v>30</v>
      </c>
      <c r="E21" s="967" t="s">
        <v>296</v>
      </c>
      <c r="F21" s="969"/>
      <c r="G21" s="970">
        <f>F21*D21</f>
        <v>0</v>
      </c>
    </row>
    <row r="22" spans="1:7">
      <c r="A22" s="696"/>
      <c r="B22" s="696"/>
      <c r="C22" s="703"/>
      <c r="D22" s="968"/>
      <c r="E22" s="967"/>
      <c r="F22" s="969"/>
      <c r="G22" s="970"/>
    </row>
    <row r="23" spans="1:7">
      <c r="A23" s="696"/>
      <c r="B23" s="696"/>
      <c r="C23" s="703"/>
      <c r="D23" s="968"/>
      <c r="E23" s="967"/>
      <c r="F23" s="969"/>
      <c r="G23" s="970"/>
    </row>
    <row r="24" spans="1:7">
      <c r="A24" s="696">
        <f>A19+1</f>
        <v>4</v>
      </c>
      <c r="B24" s="696"/>
      <c r="C24" s="703" t="s">
        <v>300</v>
      </c>
      <c r="D24" s="968"/>
      <c r="E24" s="967"/>
      <c r="F24" s="969"/>
      <c r="G24" s="970"/>
    </row>
    <row r="25" spans="1:7">
      <c r="A25" s="696"/>
      <c r="B25" s="696"/>
      <c r="C25" s="697"/>
      <c r="D25" s="968"/>
      <c r="E25" s="967"/>
      <c r="F25" s="969"/>
      <c r="G25" s="970"/>
    </row>
    <row r="26" spans="1:7">
      <c r="A26" s="696"/>
      <c r="B26" s="696" t="s">
        <v>294</v>
      </c>
      <c r="C26" s="703" t="s">
        <v>319</v>
      </c>
      <c r="D26" s="968">
        <f>4*3</f>
        <v>12</v>
      </c>
      <c r="E26" s="967" t="s">
        <v>283</v>
      </c>
      <c r="F26" s="969"/>
      <c r="G26" s="970">
        <f>F26*D26</f>
        <v>0</v>
      </c>
    </row>
    <row r="27" spans="1:7">
      <c r="A27" s="696"/>
      <c r="B27" s="696"/>
      <c r="C27" s="703"/>
      <c r="D27" s="968"/>
      <c r="E27" s="967"/>
      <c r="F27" s="969"/>
      <c r="G27" s="970"/>
    </row>
    <row r="28" spans="1:7">
      <c r="A28" s="696"/>
      <c r="B28" s="696"/>
      <c r="C28" s="703"/>
      <c r="D28" s="968"/>
      <c r="E28" s="967"/>
      <c r="F28" s="969"/>
      <c r="G28" s="970"/>
    </row>
    <row r="29" spans="1:7">
      <c r="A29" s="705">
        <f>A24+1</f>
        <v>5</v>
      </c>
      <c r="B29" s="705"/>
      <c r="C29" s="706" t="s">
        <v>303</v>
      </c>
      <c r="D29" s="1048"/>
      <c r="E29" s="1047"/>
      <c r="F29" s="1049"/>
      <c r="G29" s="1050"/>
    </row>
    <row r="30" spans="1:7">
      <c r="A30" s="705"/>
      <c r="B30" s="705"/>
      <c r="C30" s="1051"/>
      <c r="D30" s="1048"/>
      <c r="E30" s="1047"/>
      <c r="F30" s="1049"/>
      <c r="G30" s="1050"/>
    </row>
    <row r="31" spans="1:7">
      <c r="A31" s="705"/>
      <c r="B31" s="705" t="s">
        <v>294</v>
      </c>
      <c r="C31" s="706" t="s">
        <v>319</v>
      </c>
      <c r="D31" s="1048">
        <v>3</v>
      </c>
      <c r="E31" s="1047" t="s">
        <v>283</v>
      </c>
      <c r="F31" s="1049">
        <f ca="1">Elec_Est!E89</f>
        <v>3991.72</v>
      </c>
      <c r="G31" s="1050">
        <f ca="1">F31*D31</f>
        <v>11975.16</v>
      </c>
    </row>
    <row r="32" spans="1:7">
      <c r="A32" s="696"/>
      <c r="B32" s="696"/>
      <c r="C32" s="703"/>
      <c r="D32" s="968"/>
      <c r="E32" s="967"/>
      <c r="F32" s="969"/>
      <c r="G32" s="970"/>
    </row>
    <row r="33" spans="1:7">
      <c r="A33" s="696"/>
      <c r="B33" s="696"/>
      <c r="C33" s="703"/>
      <c r="D33" s="968"/>
      <c r="E33" s="967"/>
      <c r="F33" s="969"/>
      <c r="G33" s="970"/>
    </row>
    <row r="34" spans="1:7">
      <c r="A34" s="705">
        <f>A29+1</f>
        <v>6</v>
      </c>
      <c r="B34" s="705"/>
      <c r="C34" s="706" t="s">
        <v>305</v>
      </c>
      <c r="D34" s="1048"/>
      <c r="E34" s="1047"/>
      <c r="F34" s="1049"/>
      <c r="G34" s="1050"/>
    </row>
    <row r="35" spans="1:7">
      <c r="A35" s="705"/>
      <c r="B35" s="705"/>
      <c r="C35" s="1051"/>
      <c r="D35" s="1048"/>
      <c r="E35" s="1047"/>
      <c r="F35" s="1049"/>
      <c r="G35" s="1050"/>
    </row>
    <row r="36" spans="1:7" ht="13.95" customHeight="1">
      <c r="A36" s="705"/>
      <c r="B36" s="705" t="s">
        <v>294</v>
      </c>
      <c r="C36" s="706" t="s">
        <v>319</v>
      </c>
      <c r="D36" s="1048">
        <v>3</v>
      </c>
      <c r="E36" s="1047" t="s">
        <v>283</v>
      </c>
      <c r="F36" s="1049">
        <f ca="1">Elec_Est!E108</f>
        <v>1220.98</v>
      </c>
      <c r="G36" s="1050">
        <f ca="1">F36*D36</f>
        <v>3662.94</v>
      </c>
    </row>
    <row r="37" spans="1:7">
      <c r="A37" s="696"/>
      <c r="B37" s="696"/>
      <c r="C37" s="703"/>
      <c r="D37" s="968"/>
      <c r="E37" s="967"/>
      <c r="F37" s="969"/>
      <c r="G37" s="970"/>
    </row>
    <row r="38" spans="1:7">
      <c r="A38" s="696"/>
      <c r="B38" s="696"/>
      <c r="C38" s="703"/>
      <c r="D38" s="968"/>
      <c r="E38" s="967"/>
      <c r="F38" s="969"/>
      <c r="G38" s="970"/>
    </row>
    <row r="39" spans="1:7">
      <c r="A39" s="696">
        <f>A34+1</f>
        <v>7</v>
      </c>
      <c r="B39" s="696"/>
      <c r="C39" s="703" t="s">
        <v>307</v>
      </c>
      <c r="D39" s="968"/>
      <c r="E39" s="967"/>
      <c r="F39" s="969"/>
      <c r="G39" s="970"/>
    </row>
    <row r="40" spans="1:7">
      <c r="A40" s="696"/>
      <c r="B40" s="696"/>
      <c r="C40" s="697"/>
      <c r="D40" s="968"/>
      <c r="E40" s="967"/>
      <c r="F40" s="969"/>
      <c r="G40" s="970"/>
    </row>
    <row r="41" spans="1:7">
      <c r="A41" s="696"/>
      <c r="B41" s="696" t="s">
        <v>294</v>
      </c>
      <c r="C41" s="703" t="s">
        <v>319</v>
      </c>
      <c r="D41" s="968">
        <v>3</v>
      </c>
      <c r="E41" s="967" t="s">
        <v>283</v>
      </c>
      <c r="F41" s="969"/>
      <c r="G41" s="970">
        <f>F41*D41</f>
        <v>0</v>
      </c>
    </row>
    <row r="42" spans="1:7">
      <c r="A42" s="696"/>
      <c r="B42" s="696"/>
      <c r="C42" s="703"/>
      <c r="D42" s="968"/>
      <c r="E42" s="967"/>
      <c r="F42" s="969"/>
      <c r="G42" s="970"/>
    </row>
    <row r="43" spans="1:7">
      <c r="A43" s="696"/>
      <c r="B43" s="696"/>
      <c r="C43" s="703"/>
      <c r="D43" s="968"/>
      <c r="E43" s="967"/>
      <c r="F43" s="969"/>
      <c r="G43" s="970"/>
    </row>
    <row r="44" spans="1:7">
      <c r="A44" s="696">
        <f>A39+1</f>
        <v>8</v>
      </c>
      <c r="B44" s="696"/>
      <c r="C44" s="703" t="s">
        <v>309</v>
      </c>
      <c r="D44" s="968"/>
      <c r="E44" s="967"/>
      <c r="F44" s="969"/>
      <c r="G44" s="970"/>
    </row>
    <row r="45" spans="1:7">
      <c r="A45" s="696"/>
      <c r="B45" s="696"/>
      <c r="C45" s="697"/>
      <c r="D45" s="968"/>
      <c r="E45" s="967"/>
      <c r="F45" s="969"/>
      <c r="G45" s="970"/>
    </row>
    <row r="46" spans="1:7">
      <c r="A46" s="696"/>
      <c r="B46" s="696" t="s">
        <v>294</v>
      </c>
      <c r="C46" s="703" t="s">
        <v>319</v>
      </c>
      <c r="D46" s="968">
        <v>3</v>
      </c>
      <c r="E46" s="967" t="s">
        <v>283</v>
      </c>
      <c r="F46" s="969"/>
      <c r="G46" s="970">
        <f>F46*D46</f>
        <v>0</v>
      </c>
    </row>
    <row r="47" spans="1:7">
      <c r="A47" s="696"/>
      <c r="B47" s="696"/>
      <c r="C47" s="703"/>
      <c r="D47" s="968"/>
      <c r="E47" s="967"/>
      <c r="F47" s="969"/>
      <c r="G47" s="970"/>
    </row>
    <row r="48" spans="1:7">
      <c r="A48" s="696"/>
      <c r="B48" s="696"/>
      <c r="C48" s="703"/>
      <c r="D48" s="968"/>
      <c r="E48" s="967"/>
      <c r="F48" s="969"/>
      <c r="G48" s="970"/>
    </row>
    <row r="49" spans="1:7" ht="15" thickBot="1">
      <c r="A49" s="696"/>
      <c r="B49" s="696"/>
      <c r="C49" s="703"/>
      <c r="D49" s="968"/>
      <c r="E49" s="967"/>
      <c r="F49" s="969"/>
      <c r="G49" s="970"/>
    </row>
    <row r="50" spans="1:7">
      <c r="A50" s="1014"/>
      <c r="B50" s="1014"/>
      <c r="C50" s="1015"/>
      <c r="D50" s="1017"/>
      <c r="E50" s="1016"/>
      <c r="F50" s="1018"/>
      <c r="G50" s="1019"/>
    </row>
    <row r="51" spans="1:7">
      <c r="A51" s="1020"/>
      <c r="B51" s="1020"/>
      <c r="C51" s="1021" t="s">
        <v>289</v>
      </c>
      <c r="D51" s="1023"/>
      <c r="E51" s="1022"/>
      <c r="F51" s="1024"/>
      <c r="G51" s="1010">
        <f ca="1">SUM(G7:G49)</f>
        <v>17970.629999999997</v>
      </c>
    </row>
    <row r="52" spans="1:7">
      <c r="A52" s="1025"/>
      <c r="B52" s="1025"/>
      <c r="C52" s="1026"/>
      <c r="D52" s="1028"/>
      <c r="E52" s="1027"/>
      <c r="F52" s="1029"/>
      <c r="G52" s="1030"/>
    </row>
    <row r="53" spans="1:7" ht="17.399999999999999">
      <c r="A53" s="980"/>
      <c r="B53" s="981"/>
      <c r="C53" s="982"/>
      <c r="D53" s="983"/>
      <c r="E53" s="982"/>
      <c r="F53" s="984"/>
      <c r="G53" s="985"/>
    </row>
    <row r="54" spans="1:7">
      <c r="A54" s="986"/>
      <c r="B54" s="987"/>
      <c r="C54" s="988"/>
      <c r="D54" s="989"/>
      <c r="E54" s="988"/>
      <c r="F54" s="990"/>
      <c r="G54" s="991"/>
    </row>
    <row r="55" spans="1:7">
      <c r="A55" s="986"/>
      <c r="B55" s="987"/>
      <c r="C55" s="988"/>
      <c r="D55" s="989"/>
      <c r="E55" s="988"/>
      <c r="F55" s="990"/>
      <c r="G55" s="991"/>
    </row>
    <row r="56" spans="1:7">
      <c r="A56" s="992"/>
      <c r="B56" s="993"/>
      <c r="C56" s="543"/>
      <c r="D56" s="994"/>
      <c r="E56" s="543"/>
      <c r="F56" s="995"/>
      <c r="G56" s="996"/>
    </row>
    <row r="57" spans="1:7" ht="15" thickBot="1">
      <c r="A57" s="997" t="s">
        <v>276</v>
      </c>
      <c r="B57" s="998" t="s">
        <v>887</v>
      </c>
      <c r="C57" s="999"/>
      <c r="D57" s="1001" t="s">
        <v>277</v>
      </c>
      <c r="E57" s="1000" t="s">
        <v>266</v>
      </c>
      <c r="F57" s="1002" t="s">
        <v>278</v>
      </c>
      <c r="G57" s="1003" t="s">
        <v>267</v>
      </c>
    </row>
    <row r="58" spans="1:7">
      <c r="A58" s="1004"/>
      <c r="B58" s="1005"/>
      <c r="C58" s="1006"/>
      <c r="D58" s="1008"/>
      <c r="E58" s="1007"/>
      <c r="F58" s="1009"/>
      <c r="G58" s="1010"/>
    </row>
    <row r="59" spans="1:7">
      <c r="A59" s="705">
        <f>A44+1</f>
        <v>9</v>
      </c>
      <c r="B59" s="705"/>
      <c r="C59" s="706" t="s">
        <v>893</v>
      </c>
      <c r="D59" s="1048"/>
      <c r="E59" s="1047"/>
      <c r="F59" s="1049"/>
      <c r="G59" s="1050"/>
    </row>
    <row r="60" spans="1:7">
      <c r="A60" s="705"/>
      <c r="B60" s="705"/>
      <c r="C60" s="1051"/>
      <c r="D60" s="1048"/>
      <c r="E60" s="1047"/>
      <c r="F60" s="1049"/>
      <c r="G60" s="1050"/>
    </row>
    <row r="61" spans="1:7">
      <c r="A61" s="705"/>
      <c r="B61" s="705" t="s">
        <v>294</v>
      </c>
      <c r="C61" s="706" t="s">
        <v>319</v>
      </c>
      <c r="D61" s="1048">
        <f>3*2</f>
        <v>6</v>
      </c>
      <c r="E61" s="1047" t="s">
        <v>283</v>
      </c>
      <c r="F61" s="1049">
        <f ca="1">Elec_Est!E127</f>
        <v>2368.98</v>
      </c>
      <c r="G61" s="1050">
        <f ca="1">F61*D61</f>
        <v>14213.880000000001</v>
      </c>
    </row>
    <row r="62" spans="1:7">
      <c r="A62" s="1004"/>
      <c r="B62" s="1005"/>
      <c r="C62" s="1006"/>
      <c r="D62" s="1008"/>
      <c r="E62" s="1007"/>
      <c r="F62" s="1009"/>
      <c r="G62" s="1010"/>
    </row>
    <row r="63" spans="1:7">
      <c r="A63" s="1004"/>
      <c r="B63" s="1005"/>
      <c r="C63" s="1006"/>
      <c r="D63" s="1008"/>
      <c r="E63" s="1007"/>
      <c r="F63" s="1009"/>
      <c r="G63" s="1010"/>
    </row>
    <row r="64" spans="1:7">
      <c r="A64" s="705">
        <f>A59+1</f>
        <v>10</v>
      </c>
      <c r="B64" s="705"/>
      <c r="C64" s="706" t="s">
        <v>685</v>
      </c>
      <c r="D64" s="1048">
        <v>3</v>
      </c>
      <c r="E64" s="1047" t="s">
        <v>283</v>
      </c>
      <c r="F64" s="1049">
        <f>Elec_Est!E142</f>
        <v>129.4</v>
      </c>
      <c r="G64" s="1050">
        <f>F64*D64</f>
        <v>388.20000000000005</v>
      </c>
    </row>
    <row r="65" spans="1:7" ht="13.95" customHeight="1">
      <c r="A65" s="696"/>
      <c r="B65" s="696"/>
      <c r="C65" s="697"/>
      <c r="D65" s="968"/>
      <c r="E65" s="967"/>
      <c r="F65" s="969"/>
      <c r="G65" s="970"/>
    </row>
    <row r="66" spans="1:7">
      <c r="A66" s="696"/>
      <c r="B66" s="696"/>
      <c r="C66" s="703"/>
      <c r="D66" s="968"/>
      <c r="E66" s="967"/>
      <c r="F66" s="969"/>
      <c r="G66" s="970"/>
    </row>
    <row r="67" spans="1:7">
      <c r="A67" s="705">
        <f>A64+1</f>
        <v>11</v>
      </c>
      <c r="B67" s="705"/>
      <c r="C67" s="706" t="s">
        <v>894</v>
      </c>
      <c r="D67" s="1048">
        <f>2*3</f>
        <v>6</v>
      </c>
      <c r="E67" s="1047" t="s">
        <v>283</v>
      </c>
      <c r="F67" s="1049">
        <f>Elec_Est!E156</f>
        <v>22.76</v>
      </c>
      <c r="G67" s="1050">
        <f>F67*D67</f>
        <v>136.56</v>
      </c>
    </row>
    <row r="68" spans="1:7">
      <c r="A68" s="1004"/>
      <c r="B68" s="1005"/>
      <c r="C68" s="1006"/>
      <c r="D68" s="1008"/>
      <c r="E68" s="1007"/>
      <c r="F68" s="1009"/>
      <c r="G68" s="970"/>
    </row>
    <row r="69" spans="1:7">
      <c r="A69" s="1004"/>
      <c r="B69" s="1005"/>
      <c r="C69" s="1006"/>
      <c r="D69" s="1008"/>
      <c r="E69" s="1007"/>
      <c r="F69" s="1009"/>
      <c r="G69" s="1010"/>
    </row>
    <row r="70" spans="1:7">
      <c r="A70" s="696">
        <f>A67+1</f>
        <v>12</v>
      </c>
      <c r="B70" s="696"/>
      <c r="C70" s="703" t="s">
        <v>311</v>
      </c>
      <c r="D70" s="968">
        <f>2*3</f>
        <v>6</v>
      </c>
      <c r="E70" s="967" t="s">
        <v>283</v>
      </c>
      <c r="F70" s="969"/>
      <c r="G70" s="970">
        <f>F70*D70</f>
        <v>0</v>
      </c>
    </row>
    <row r="71" spans="1:7">
      <c r="A71" s="696"/>
      <c r="B71" s="696"/>
      <c r="C71" s="703"/>
      <c r="D71" s="968"/>
      <c r="E71" s="967"/>
      <c r="F71" s="969"/>
      <c r="G71" s="970"/>
    </row>
    <row r="72" spans="1:7">
      <c r="A72" s="696"/>
      <c r="B72" s="696"/>
      <c r="C72" s="703"/>
      <c r="D72" s="968"/>
      <c r="E72" s="967"/>
      <c r="F72" s="969"/>
      <c r="G72" s="970"/>
    </row>
    <row r="73" spans="1:7">
      <c r="A73" s="696">
        <f>A70+1</f>
        <v>13</v>
      </c>
      <c r="B73" s="696"/>
      <c r="C73" s="703" t="s">
        <v>312</v>
      </c>
      <c r="D73" s="968">
        <f>2*3</f>
        <v>6</v>
      </c>
      <c r="E73" s="967" t="s">
        <v>283</v>
      </c>
      <c r="F73" s="969"/>
      <c r="G73" s="970">
        <f>F73*D73</f>
        <v>0</v>
      </c>
    </row>
    <row r="74" spans="1:7">
      <c r="A74" s="696"/>
      <c r="B74" s="696"/>
      <c r="C74" s="703"/>
      <c r="D74" s="968"/>
      <c r="E74" s="967"/>
      <c r="F74" s="969"/>
      <c r="G74" s="970"/>
    </row>
    <row r="75" spans="1:7">
      <c r="A75" s="696"/>
      <c r="B75" s="696"/>
      <c r="C75" s="703"/>
      <c r="D75" s="968"/>
      <c r="E75" s="967"/>
      <c r="F75" s="969"/>
      <c r="G75" s="970"/>
    </row>
    <row r="76" spans="1:7">
      <c r="A76" s="696">
        <f>A73+1</f>
        <v>14</v>
      </c>
      <c r="B76" s="696"/>
      <c r="C76" s="703" t="s">
        <v>314</v>
      </c>
      <c r="D76" s="968">
        <v>3</v>
      </c>
      <c r="E76" s="967" t="s">
        <v>283</v>
      </c>
      <c r="F76" s="969"/>
      <c r="G76" s="970">
        <f>F76*D76</f>
        <v>0</v>
      </c>
    </row>
    <row r="77" spans="1:7">
      <c r="A77" s="696"/>
      <c r="B77" s="696"/>
      <c r="C77" s="703"/>
      <c r="D77" s="968"/>
      <c r="E77" s="967"/>
      <c r="F77" s="969"/>
      <c r="G77" s="970"/>
    </row>
    <row r="78" spans="1:7">
      <c r="A78" s="696"/>
      <c r="B78" s="696"/>
      <c r="C78" s="703"/>
      <c r="D78" s="968"/>
      <c r="E78" s="967"/>
      <c r="F78" s="969"/>
      <c r="G78" s="970"/>
    </row>
    <row r="79" spans="1:7" ht="52.8">
      <c r="A79" s="705">
        <f>A76+1</f>
        <v>15</v>
      </c>
      <c r="B79" s="705"/>
      <c r="C79" s="706" t="s">
        <v>895</v>
      </c>
      <c r="D79" s="1048"/>
      <c r="E79" s="1047"/>
      <c r="F79" s="1049"/>
      <c r="G79" s="1050"/>
    </row>
    <row r="80" spans="1:7">
      <c r="A80" s="705"/>
      <c r="B80" s="705"/>
      <c r="C80" s="1051"/>
      <c r="D80" s="1048"/>
      <c r="E80" s="1047"/>
      <c r="F80" s="1049"/>
      <c r="G80" s="1050"/>
    </row>
    <row r="81" spans="1:7">
      <c r="A81" s="705"/>
      <c r="B81" s="705" t="s">
        <v>294</v>
      </c>
      <c r="C81" s="706" t="s">
        <v>896</v>
      </c>
      <c r="D81" s="1048">
        <v>1</v>
      </c>
      <c r="E81" s="1047" t="s">
        <v>283</v>
      </c>
      <c r="F81" s="1049">
        <f ca="1">Elec_Est!E174</f>
        <v>76.62</v>
      </c>
      <c r="G81" s="1050">
        <f ca="1">F81*D81</f>
        <v>76.62</v>
      </c>
    </row>
    <row r="82" spans="1:7">
      <c r="A82" s="705"/>
      <c r="B82" s="705"/>
      <c r="C82" s="706"/>
      <c r="D82" s="1048"/>
      <c r="E82" s="1047"/>
      <c r="F82" s="1049"/>
      <c r="G82" s="1050"/>
    </row>
    <row r="83" spans="1:7">
      <c r="A83" s="705"/>
      <c r="B83" s="705" t="s">
        <v>339</v>
      </c>
      <c r="C83" s="706" t="s">
        <v>897</v>
      </c>
      <c r="D83" s="1048">
        <v>1</v>
      </c>
      <c r="E83" s="1047" t="s">
        <v>283</v>
      </c>
      <c r="F83" s="1049">
        <f ca="1">Elec_Est!E195</f>
        <v>76.62</v>
      </c>
      <c r="G83" s="1050">
        <f ca="1">F83*D83</f>
        <v>76.62</v>
      </c>
    </row>
    <row r="84" spans="1:7">
      <c r="A84" s="705"/>
      <c r="B84" s="705"/>
      <c r="C84" s="706"/>
      <c r="D84" s="1048"/>
      <c r="E84" s="1047"/>
      <c r="F84" s="1049"/>
      <c r="G84" s="1050"/>
    </row>
    <row r="85" spans="1:7">
      <c r="A85" s="705"/>
      <c r="B85" s="705" t="s">
        <v>340</v>
      </c>
      <c r="C85" s="706" t="s">
        <v>898</v>
      </c>
      <c r="D85" s="1048">
        <v>1</v>
      </c>
      <c r="E85" s="1047" t="s">
        <v>283</v>
      </c>
      <c r="F85" s="1049">
        <f ca="1">Elec_Est!E216</f>
        <v>76.62</v>
      </c>
      <c r="G85" s="1050">
        <f ca="1">F85*D85</f>
        <v>76.62</v>
      </c>
    </row>
    <row r="86" spans="1:7">
      <c r="A86" s="696"/>
      <c r="B86" s="696"/>
      <c r="C86" s="703"/>
      <c r="D86" s="968"/>
      <c r="E86" s="967"/>
      <c r="F86" s="969"/>
      <c r="G86" s="970"/>
    </row>
    <row r="87" spans="1:7">
      <c r="A87" s="696"/>
      <c r="B87" s="696"/>
      <c r="C87" s="703"/>
      <c r="D87" s="968"/>
      <c r="E87" s="967"/>
      <c r="F87" s="969"/>
      <c r="G87" s="970"/>
    </row>
    <row r="88" spans="1:7">
      <c r="A88" s="696">
        <f>A79+1</f>
        <v>16</v>
      </c>
      <c r="B88" s="696"/>
      <c r="C88" s="703" t="s">
        <v>300</v>
      </c>
      <c r="D88" s="968"/>
      <c r="E88" s="967"/>
      <c r="F88" s="969"/>
      <c r="G88" s="970"/>
    </row>
    <row r="89" spans="1:7">
      <c r="A89" s="696"/>
      <c r="B89" s="696"/>
      <c r="C89" s="697"/>
      <c r="D89" s="968"/>
      <c r="E89" s="967"/>
      <c r="F89" s="969"/>
      <c r="G89" s="970"/>
    </row>
    <row r="90" spans="1:7">
      <c r="A90" s="696"/>
      <c r="B90" s="696" t="s">
        <v>294</v>
      </c>
      <c r="C90" s="703" t="s">
        <v>319</v>
      </c>
      <c r="D90" s="968">
        <v>3</v>
      </c>
      <c r="E90" s="967" t="s">
        <v>283</v>
      </c>
      <c r="F90" s="969"/>
      <c r="G90" s="970">
        <f>F90*D90</f>
        <v>0</v>
      </c>
    </row>
    <row r="91" spans="1:7">
      <c r="A91" s="696"/>
      <c r="B91" s="696"/>
      <c r="C91" s="703"/>
      <c r="D91" s="968"/>
      <c r="E91" s="967"/>
      <c r="F91" s="969"/>
      <c r="G91" s="970"/>
    </row>
    <row r="92" spans="1:7">
      <c r="A92" s="696"/>
      <c r="B92" s="696"/>
      <c r="C92" s="703"/>
      <c r="D92" s="968"/>
      <c r="E92" s="967"/>
      <c r="F92" s="969"/>
      <c r="G92" s="970"/>
    </row>
    <row r="93" spans="1:7">
      <c r="A93" s="1031">
        <f>A88+1</f>
        <v>17</v>
      </c>
      <c r="B93" s="696"/>
      <c r="C93" s="1032" t="s">
        <v>342</v>
      </c>
      <c r="D93" s="968"/>
      <c r="E93" s="967"/>
      <c r="F93" s="969"/>
      <c r="G93" s="970"/>
    </row>
    <row r="94" spans="1:7">
      <c r="A94" s="696"/>
      <c r="B94" s="696"/>
      <c r="C94" s="697"/>
      <c r="D94" s="968"/>
      <c r="E94" s="967"/>
      <c r="F94" s="969"/>
      <c r="G94" s="970"/>
    </row>
    <row r="95" spans="1:7">
      <c r="A95" s="696"/>
      <c r="B95" s="696" t="s">
        <v>294</v>
      </c>
      <c r="C95" s="703" t="s">
        <v>319</v>
      </c>
      <c r="D95" s="968">
        <f>1*3</f>
        <v>3</v>
      </c>
      <c r="E95" s="967" t="s">
        <v>283</v>
      </c>
      <c r="F95" s="969"/>
      <c r="G95" s="970">
        <f>F95*D95</f>
        <v>0</v>
      </c>
    </row>
    <row r="96" spans="1:7">
      <c r="A96" s="696"/>
      <c r="B96" s="696"/>
      <c r="C96" s="703"/>
      <c r="D96" s="968"/>
      <c r="E96" s="967"/>
      <c r="F96" s="969"/>
      <c r="G96" s="970"/>
    </row>
    <row r="97" spans="1:7">
      <c r="A97" s="696"/>
      <c r="B97" s="696"/>
      <c r="C97" s="703"/>
      <c r="D97" s="968"/>
      <c r="E97" s="967"/>
      <c r="F97" s="969"/>
      <c r="G97" s="970"/>
    </row>
    <row r="98" spans="1:7">
      <c r="A98" s="1031">
        <f>A93+1</f>
        <v>18</v>
      </c>
      <c r="B98" s="696"/>
      <c r="C98" s="1032" t="s">
        <v>343</v>
      </c>
      <c r="D98" s="968"/>
      <c r="E98" s="967"/>
      <c r="F98" s="969"/>
      <c r="G98" s="970"/>
    </row>
    <row r="99" spans="1:7">
      <c r="A99" s="696"/>
      <c r="B99" s="696"/>
      <c r="C99" s="697"/>
      <c r="D99" s="968"/>
      <c r="E99" s="967"/>
      <c r="F99" s="969"/>
      <c r="G99" s="970"/>
    </row>
    <row r="100" spans="1:7">
      <c r="A100" s="696"/>
      <c r="B100" s="696" t="s">
        <v>294</v>
      </c>
      <c r="C100" s="703" t="s">
        <v>319</v>
      </c>
      <c r="D100" s="968">
        <f>1*3</f>
        <v>3</v>
      </c>
      <c r="E100" s="967" t="s">
        <v>283</v>
      </c>
      <c r="F100" s="969"/>
      <c r="G100" s="970">
        <f>F100*D100</f>
        <v>0</v>
      </c>
    </row>
    <row r="101" spans="1:7">
      <c r="A101" s="696"/>
      <c r="B101" s="696"/>
      <c r="C101" s="703"/>
      <c r="D101" s="968"/>
      <c r="E101" s="967"/>
      <c r="F101" s="969"/>
      <c r="G101" s="970"/>
    </row>
    <row r="102" spans="1:7">
      <c r="A102" s="696"/>
      <c r="B102" s="696"/>
      <c r="C102" s="703"/>
      <c r="D102" s="968"/>
      <c r="E102" s="967"/>
      <c r="F102" s="969"/>
      <c r="G102" s="970"/>
    </row>
    <row r="103" spans="1:7">
      <c r="A103" s="696">
        <f>A98+1</f>
        <v>19</v>
      </c>
      <c r="B103" s="696"/>
      <c r="C103" s="703" t="s">
        <v>311</v>
      </c>
      <c r="D103" s="968">
        <f>2*3</f>
        <v>6</v>
      </c>
      <c r="E103" s="967" t="s">
        <v>283</v>
      </c>
      <c r="F103" s="969"/>
      <c r="G103" s="970">
        <f>F103*D103</f>
        <v>0</v>
      </c>
    </row>
    <row r="104" spans="1:7">
      <c r="A104" s="696"/>
      <c r="B104" s="696"/>
      <c r="C104" s="703"/>
      <c r="D104" s="968"/>
      <c r="E104" s="967"/>
      <c r="F104" s="969"/>
      <c r="G104" s="970"/>
    </row>
    <row r="105" spans="1:7">
      <c r="A105" s="696"/>
      <c r="B105" s="696"/>
      <c r="C105" s="703"/>
      <c r="D105" s="968"/>
      <c r="E105" s="967"/>
      <c r="F105" s="969"/>
      <c r="G105" s="970"/>
    </row>
    <row r="106" spans="1:7">
      <c r="A106" s="696"/>
      <c r="B106" s="696"/>
      <c r="C106" s="703"/>
      <c r="D106" s="968"/>
      <c r="E106" s="967"/>
      <c r="F106" s="969"/>
      <c r="G106" s="970"/>
    </row>
    <row r="107" spans="1:7" ht="15" thickBot="1">
      <c r="A107" s="696"/>
      <c r="B107" s="696"/>
      <c r="C107" s="703"/>
      <c r="D107" s="968"/>
      <c r="E107" s="967"/>
      <c r="F107" s="969"/>
      <c r="G107" s="970"/>
    </row>
    <row r="108" spans="1:7">
      <c r="A108" s="1014"/>
      <c r="B108" s="1014"/>
      <c r="C108" s="1015"/>
      <c r="D108" s="1017"/>
      <c r="E108" s="1016"/>
      <c r="F108" s="1018"/>
      <c r="G108" s="1019"/>
    </row>
    <row r="109" spans="1:7">
      <c r="A109" s="1020"/>
      <c r="B109" s="1020"/>
      <c r="C109" s="1021" t="s">
        <v>289</v>
      </c>
      <c r="D109" s="1023"/>
      <c r="E109" s="1022"/>
      <c r="F109" s="1024"/>
      <c r="G109" s="1010">
        <f ca="1">SUM(G58:G107)</f>
        <v>14968.500000000004</v>
      </c>
    </row>
    <row r="110" spans="1:7">
      <c r="A110" s="1025"/>
      <c r="B110" s="1025"/>
      <c r="C110" s="1026"/>
      <c r="D110" s="1028"/>
      <c r="E110" s="1027"/>
      <c r="F110" s="1029"/>
      <c r="G110" s="1030"/>
    </row>
    <row r="111" spans="1:7" ht="17.399999999999999">
      <c r="A111" s="980"/>
      <c r="B111" s="981"/>
      <c r="C111" s="982"/>
      <c r="D111" s="983"/>
      <c r="E111" s="982"/>
      <c r="F111" s="984"/>
      <c r="G111" s="985"/>
    </row>
    <row r="112" spans="1:7">
      <c r="A112" s="986"/>
      <c r="B112" s="987"/>
      <c r="C112" s="1033"/>
      <c r="D112" s="989"/>
      <c r="E112" s="988"/>
      <c r="F112" s="990"/>
      <c r="G112" s="991"/>
    </row>
    <row r="113" spans="1:7">
      <c r="A113" s="986"/>
      <c r="B113" s="987"/>
      <c r="C113" s="988"/>
      <c r="D113" s="989"/>
      <c r="E113" s="988"/>
      <c r="F113" s="990"/>
      <c r="G113" s="991"/>
    </row>
    <row r="114" spans="1:7">
      <c r="A114" s="992"/>
      <c r="B114" s="993"/>
      <c r="C114" s="543"/>
      <c r="D114" s="994"/>
      <c r="E114" s="543"/>
      <c r="F114" s="995"/>
      <c r="G114" s="996"/>
    </row>
    <row r="115" spans="1:7" ht="15" thickBot="1">
      <c r="A115" s="997" t="s">
        <v>276</v>
      </c>
      <c r="B115" s="998" t="s">
        <v>887</v>
      </c>
      <c r="C115" s="999"/>
      <c r="D115" s="1001" t="s">
        <v>277</v>
      </c>
      <c r="E115" s="1000" t="s">
        <v>266</v>
      </c>
      <c r="F115" s="1002" t="s">
        <v>278</v>
      </c>
      <c r="G115" s="1003" t="s">
        <v>267</v>
      </c>
    </row>
    <row r="116" spans="1:7">
      <c r="A116" s="696"/>
      <c r="B116" s="967"/>
      <c r="C116" s="545"/>
      <c r="D116" s="1034"/>
      <c r="E116" s="967"/>
      <c r="F116" s="969"/>
      <c r="G116" s="970"/>
    </row>
    <row r="117" spans="1:7">
      <c r="A117" s="696"/>
      <c r="B117" s="696"/>
      <c r="C117" s="697" t="s">
        <v>899</v>
      </c>
      <c r="D117" s="968"/>
      <c r="E117" s="967"/>
      <c r="F117" s="969"/>
      <c r="G117" s="970"/>
    </row>
    <row r="118" spans="1:7">
      <c r="A118" s="696"/>
      <c r="B118" s="696"/>
      <c r="C118" s="697"/>
      <c r="D118" s="968"/>
      <c r="E118" s="967"/>
      <c r="F118" s="969"/>
      <c r="G118" s="970"/>
    </row>
    <row r="119" spans="1:7" ht="52.8">
      <c r="A119" s="696">
        <f>A103+1</f>
        <v>20</v>
      </c>
      <c r="B119" s="696"/>
      <c r="C119" s="703" t="s">
        <v>900</v>
      </c>
      <c r="D119" s="968"/>
      <c r="E119" s="967"/>
      <c r="F119" s="969"/>
      <c r="G119" s="970"/>
    </row>
    <row r="120" spans="1:7">
      <c r="A120" s="696"/>
      <c r="B120" s="696"/>
      <c r="C120" s="703"/>
      <c r="D120" s="968"/>
      <c r="E120" s="967"/>
      <c r="F120" s="969"/>
      <c r="G120" s="970"/>
    </row>
    <row r="121" spans="1:7">
      <c r="A121" s="696"/>
      <c r="B121" s="696"/>
      <c r="C121" s="703" t="s">
        <v>901</v>
      </c>
      <c r="D121" s="968">
        <v>2</v>
      </c>
      <c r="E121" s="967" t="s">
        <v>283</v>
      </c>
      <c r="F121" s="969"/>
      <c r="G121" s="970">
        <f>F121*D121</f>
        <v>0</v>
      </c>
    </row>
    <row r="122" spans="1:7">
      <c r="A122" s="696"/>
      <c r="B122" s="696"/>
      <c r="C122" s="703" t="s">
        <v>902</v>
      </c>
      <c r="D122" s="968"/>
      <c r="E122" s="967"/>
      <c r="F122" s="969"/>
      <c r="G122" s="970"/>
    </row>
    <row r="123" spans="1:7">
      <c r="A123" s="696"/>
      <c r="B123" s="696"/>
      <c r="C123" s="703" t="s">
        <v>903</v>
      </c>
      <c r="D123" s="968"/>
      <c r="E123" s="967"/>
      <c r="F123" s="969"/>
      <c r="G123" s="970"/>
    </row>
    <row r="124" spans="1:7">
      <c r="A124" s="696"/>
      <c r="B124" s="696"/>
      <c r="C124" s="703" t="s">
        <v>904</v>
      </c>
      <c r="D124" s="968"/>
      <c r="E124" s="967"/>
      <c r="F124" s="969"/>
      <c r="G124" s="970"/>
    </row>
    <row r="125" spans="1:7">
      <c r="A125" s="696"/>
      <c r="B125" s="696"/>
      <c r="C125" s="703"/>
      <c r="D125" s="968"/>
      <c r="E125" s="967"/>
      <c r="F125" s="969"/>
      <c r="G125" s="970"/>
    </row>
    <row r="126" spans="1:7">
      <c r="A126" s="696"/>
      <c r="B126" s="696"/>
      <c r="C126" s="703"/>
      <c r="D126" s="968"/>
      <c r="E126" s="967"/>
      <c r="F126" s="969"/>
      <c r="G126" s="970"/>
    </row>
    <row r="127" spans="1:7">
      <c r="A127" s="696">
        <f>A119+1</f>
        <v>21</v>
      </c>
      <c r="B127" s="696"/>
      <c r="C127" s="703" t="s">
        <v>311</v>
      </c>
      <c r="D127" s="968">
        <v>2</v>
      </c>
      <c r="E127" s="967" t="s">
        <v>283</v>
      </c>
      <c r="F127" s="969"/>
      <c r="G127" s="970">
        <f>F127*D127</f>
        <v>0</v>
      </c>
    </row>
    <row r="128" spans="1:7">
      <c r="A128" s="696"/>
      <c r="B128" s="696"/>
      <c r="C128" s="703"/>
      <c r="D128" s="968"/>
      <c r="E128" s="967"/>
      <c r="F128" s="969"/>
      <c r="G128" s="970"/>
    </row>
    <row r="129" spans="1:7">
      <c r="A129" s="696"/>
      <c r="B129" s="696"/>
      <c r="C129" s="703"/>
      <c r="D129" s="968"/>
      <c r="E129" s="967"/>
      <c r="F129" s="969"/>
      <c r="G129" s="970"/>
    </row>
    <row r="130" spans="1:7" ht="27" customHeight="1">
      <c r="A130" s="696">
        <f>A127+1</f>
        <v>22</v>
      </c>
      <c r="B130" s="696"/>
      <c r="C130" s="703" t="s">
        <v>312</v>
      </c>
      <c r="D130" s="968">
        <v>2</v>
      </c>
      <c r="E130" s="967" t="s">
        <v>283</v>
      </c>
      <c r="F130" s="969"/>
      <c r="G130" s="970">
        <f>F130*D130</f>
        <v>0</v>
      </c>
    </row>
    <row r="131" spans="1:7" ht="12.75" customHeight="1">
      <c r="A131" s="696"/>
      <c r="B131" s="696"/>
      <c r="C131" s="703"/>
      <c r="D131" s="968"/>
      <c r="E131" s="967"/>
      <c r="F131" s="969"/>
      <c r="G131" s="970"/>
    </row>
    <row r="132" spans="1:7" ht="12.75" customHeight="1">
      <c r="A132" s="696"/>
      <c r="B132" s="696"/>
      <c r="C132" s="703"/>
      <c r="D132" s="968"/>
      <c r="E132" s="967"/>
      <c r="F132" s="969"/>
      <c r="G132" s="970"/>
    </row>
    <row r="133" spans="1:7" ht="13.95" customHeight="1">
      <c r="A133" s="696">
        <f>A130+1</f>
        <v>23</v>
      </c>
      <c r="B133" s="696"/>
      <c r="C133" s="703" t="s">
        <v>905</v>
      </c>
      <c r="D133" s="968"/>
      <c r="E133" s="967"/>
      <c r="F133" s="969"/>
      <c r="G133" s="970"/>
    </row>
    <row r="134" spans="1:7" ht="13.95" customHeight="1">
      <c r="A134" s="696"/>
      <c r="B134" s="696"/>
      <c r="C134" s="703"/>
      <c r="D134" s="968"/>
      <c r="E134" s="967"/>
      <c r="F134" s="969"/>
      <c r="G134" s="970"/>
    </row>
    <row r="135" spans="1:7">
      <c r="A135" s="696"/>
      <c r="B135" s="696" t="s">
        <v>294</v>
      </c>
      <c r="C135" s="703" t="s">
        <v>356</v>
      </c>
      <c r="D135" s="968">
        <f>80*2</f>
        <v>160</v>
      </c>
      <c r="E135" s="967" t="s">
        <v>296</v>
      </c>
      <c r="F135" s="969"/>
      <c r="G135" s="970">
        <f>F135*D135</f>
        <v>0</v>
      </c>
    </row>
    <row r="136" spans="1:7">
      <c r="A136" s="696"/>
      <c r="B136" s="696"/>
      <c r="C136" s="703"/>
      <c r="D136" s="968"/>
      <c r="E136" s="967"/>
      <c r="F136" s="969"/>
      <c r="G136" s="970"/>
    </row>
    <row r="137" spans="1:7">
      <c r="A137" s="696"/>
      <c r="B137" s="696"/>
      <c r="C137" s="703"/>
      <c r="D137" s="968"/>
      <c r="E137" s="967"/>
      <c r="F137" s="969"/>
      <c r="G137" s="970"/>
    </row>
    <row r="138" spans="1:7">
      <c r="A138" s="696">
        <f>A133+1</f>
        <v>24</v>
      </c>
      <c r="B138" s="696"/>
      <c r="C138" s="703" t="s">
        <v>300</v>
      </c>
      <c r="D138" s="968"/>
      <c r="E138" s="967"/>
      <c r="F138" s="969"/>
      <c r="G138" s="970"/>
    </row>
    <row r="139" spans="1:7">
      <c r="A139" s="696"/>
      <c r="B139" s="696"/>
      <c r="C139" s="703"/>
      <c r="D139" s="968"/>
      <c r="E139" s="967"/>
      <c r="F139" s="969"/>
      <c r="G139" s="970"/>
    </row>
    <row r="140" spans="1:7">
      <c r="A140" s="696"/>
      <c r="B140" s="696" t="s">
        <v>294</v>
      </c>
      <c r="C140" s="703" t="s">
        <v>357</v>
      </c>
      <c r="D140" s="968">
        <v>4</v>
      </c>
      <c r="E140" s="967" t="s">
        <v>283</v>
      </c>
      <c r="F140" s="969"/>
      <c r="G140" s="970">
        <f>F140*D140</f>
        <v>0</v>
      </c>
    </row>
    <row r="141" spans="1:7">
      <c r="A141" s="696"/>
      <c r="B141" s="696"/>
      <c r="C141" s="703"/>
      <c r="D141" s="968"/>
      <c r="E141" s="967"/>
      <c r="F141" s="969"/>
      <c r="G141" s="970"/>
    </row>
    <row r="142" spans="1:7">
      <c r="A142" s="696"/>
      <c r="B142" s="967"/>
      <c r="C142" s="703"/>
      <c r="D142" s="1035"/>
      <c r="E142" s="698"/>
      <c r="F142" s="700"/>
      <c r="G142" s="701"/>
    </row>
    <row r="143" spans="1:7">
      <c r="A143" s="696"/>
      <c r="B143" s="696"/>
      <c r="C143" s="697" t="s">
        <v>906</v>
      </c>
      <c r="D143" s="968"/>
      <c r="E143" s="967"/>
      <c r="F143" s="969"/>
      <c r="G143" s="970"/>
    </row>
    <row r="144" spans="1:7">
      <c r="A144" s="696"/>
      <c r="B144" s="696"/>
      <c r="C144" s="703"/>
      <c r="D144" s="968"/>
      <c r="E144" s="967"/>
      <c r="F144" s="969"/>
      <c r="G144" s="970"/>
    </row>
    <row r="145" spans="1:7" ht="26.4">
      <c r="A145" s="696">
        <f>A138+1</f>
        <v>25</v>
      </c>
      <c r="B145" s="696"/>
      <c r="C145" s="703" t="s">
        <v>335</v>
      </c>
      <c r="D145" s="968"/>
      <c r="E145" s="967"/>
      <c r="F145" s="969"/>
      <c r="G145" s="970"/>
    </row>
    <row r="146" spans="1:7">
      <c r="A146" s="696"/>
      <c r="B146" s="696"/>
      <c r="C146" s="703"/>
      <c r="D146" s="968"/>
      <c r="E146" s="967"/>
      <c r="F146" s="969"/>
      <c r="G146" s="970"/>
    </row>
    <row r="147" spans="1:7">
      <c r="A147" s="696"/>
      <c r="B147" s="696" t="s">
        <v>294</v>
      </c>
      <c r="C147" s="703" t="s">
        <v>316</v>
      </c>
      <c r="D147" s="1013">
        <f>12*2*3</f>
        <v>72</v>
      </c>
      <c r="E147" s="967" t="s">
        <v>296</v>
      </c>
      <c r="F147" s="969"/>
      <c r="G147" s="970">
        <f>F147*D147</f>
        <v>0</v>
      </c>
    </row>
    <row r="148" spans="1:7">
      <c r="A148" s="696"/>
      <c r="B148" s="696"/>
      <c r="C148" s="703"/>
      <c r="D148" s="968"/>
      <c r="E148" s="967"/>
      <c r="F148" s="969"/>
      <c r="G148" s="970"/>
    </row>
    <row r="149" spans="1:7">
      <c r="A149" s="696"/>
      <c r="B149" s="696"/>
      <c r="C149" s="703"/>
      <c r="D149" s="968"/>
      <c r="E149" s="967"/>
      <c r="F149" s="969"/>
      <c r="G149" s="970"/>
    </row>
    <row r="150" spans="1:7">
      <c r="A150" s="696">
        <f>A145+1</f>
        <v>26</v>
      </c>
      <c r="B150" s="696"/>
      <c r="C150" s="703" t="s">
        <v>300</v>
      </c>
      <c r="D150" s="968"/>
      <c r="E150" s="967"/>
      <c r="F150" s="969"/>
      <c r="G150" s="970"/>
    </row>
    <row r="151" spans="1:7">
      <c r="A151" s="696"/>
      <c r="B151" s="696"/>
      <c r="C151" s="697"/>
      <c r="D151" s="968"/>
      <c r="E151" s="967"/>
      <c r="F151" s="969"/>
      <c r="G151" s="970"/>
    </row>
    <row r="152" spans="1:7">
      <c r="A152" s="696"/>
      <c r="B152" s="696" t="s">
        <v>294</v>
      </c>
      <c r="C152" s="703" t="s">
        <v>319</v>
      </c>
      <c r="D152" s="968">
        <f>4*3</f>
        <v>12</v>
      </c>
      <c r="E152" s="967" t="s">
        <v>283</v>
      </c>
      <c r="F152" s="969"/>
      <c r="G152" s="970">
        <f>F152*D152</f>
        <v>0</v>
      </c>
    </row>
    <row r="153" spans="1:7">
      <c r="A153" s="696"/>
      <c r="B153" s="696"/>
      <c r="C153" s="703"/>
      <c r="D153" s="968"/>
      <c r="E153" s="967"/>
      <c r="F153" s="969"/>
      <c r="G153" s="970"/>
    </row>
    <row r="154" spans="1:7">
      <c r="A154" s="696"/>
      <c r="B154" s="696"/>
      <c r="C154" s="703"/>
      <c r="D154" s="968"/>
      <c r="E154" s="967"/>
      <c r="F154" s="969"/>
      <c r="G154" s="970"/>
    </row>
    <row r="155" spans="1:7">
      <c r="A155" s="705">
        <f>A150+1</f>
        <v>27</v>
      </c>
      <c r="B155" s="705"/>
      <c r="C155" s="706" t="s">
        <v>303</v>
      </c>
      <c r="D155" s="1048"/>
      <c r="E155" s="1047"/>
      <c r="F155" s="1049"/>
      <c r="G155" s="1050"/>
    </row>
    <row r="156" spans="1:7">
      <c r="A156" s="705"/>
      <c r="B156" s="705"/>
      <c r="C156" s="1051"/>
      <c r="D156" s="1048"/>
      <c r="E156" s="1047"/>
      <c r="F156" s="1049"/>
      <c r="G156" s="1050"/>
    </row>
    <row r="157" spans="1:7">
      <c r="A157" s="705"/>
      <c r="B157" s="705" t="s">
        <v>294</v>
      </c>
      <c r="C157" s="706" t="s">
        <v>319</v>
      </c>
      <c r="D157" s="1048">
        <v>3</v>
      </c>
      <c r="E157" s="1047" t="s">
        <v>283</v>
      </c>
      <c r="F157" s="1049">
        <f ca="1">Elec_Est!E241</f>
        <v>4731.63</v>
      </c>
      <c r="G157" s="1050">
        <f ca="1">F157*D157</f>
        <v>14194.89</v>
      </c>
    </row>
    <row r="158" spans="1:7">
      <c r="A158" s="696"/>
      <c r="B158" s="967"/>
      <c r="C158" s="703"/>
      <c r="D158" s="1035"/>
      <c r="E158" s="698"/>
      <c r="F158" s="700"/>
      <c r="G158" s="701"/>
    </row>
    <row r="159" spans="1:7">
      <c r="A159" s="696"/>
      <c r="B159" s="967"/>
      <c r="C159" s="703"/>
      <c r="D159" s="1034"/>
      <c r="E159" s="967"/>
      <c r="F159" s="969"/>
      <c r="G159" s="970"/>
    </row>
    <row r="160" spans="1:7">
      <c r="A160" s="696"/>
      <c r="B160" s="967"/>
      <c r="C160" s="703"/>
      <c r="D160" s="1034"/>
      <c r="E160" s="967"/>
      <c r="F160" s="969"/>
      <c r="G160" s="970"/>
    </row>
    <row r="161" spans="1:7" ht="15" thickBot="1">
      <c r="A161" s="696"/>
      <c r="B161" s="967"/>
      <c r="C161" s="703"/>
      <c r="D161" s="1034"/>
      <c r="E161" s="967"/>
      <c r="F161" s="969"/>
      <c r="G161" s="970"/>
    </row>
    <row r="162" spans="1:7">
      <c r="A162" s="1014"/>
      <c r="B162" s="1036"/>
      <c r="C162" s="1015"/>
      <c r="D162" s="1037"/>
      <c r="E162" s="1016"/>
      <c r="F162" s="1018"/>
      <c r="G162" s="1019"/>
    </row>
    <row r="163" spans="1:7">
      <c r="A163" s="1020"/>
      <c r="B163" s="1038"/>
      <c r="C163" s="1021" t="s">
        <v>289</v>
      </c>
      <c r="D163" s="546"/>
      <c r="E163" s="1022"/>
      <c r="F163" s="1024"/>
      <c r="G163" s="1010">
        <f ca="1">SUM(G118:G161)</f>
        <v>14194.89</v>
      </c>
    </row>
    <row r="164" spans="1:7">
      <c r="A164" s="1025"/>
      <c r="B164" s="1039"/>
      <c r="C164" s="1026"/>
      <c r="D164" s="1027"/>
      <c r="E164" s="1027"/>
      <c r="F164" s="1029"/>
      <c r="G164" s="1030"/>
    </row>
    <row r="165" spans="1:7" ht="17.399999999999999">
      <c r="A165" s="980"/>
      <c r="B165" s="981"/>
      <c r="C165" s="982"/>
      <c r="D165" s="983"/>
      <c r="E165" s="982"/>
      <c r="F165" s="984"/>
      <c r="G165" s="985"/>
    </row>
    <row r="166" spans="1:7">
      <c r="A166" s="986"/>
      <c r="B166" s="987"/>
      <c r="C166" s="1033"/>
      <c r="D166" s="989"/>
      <c r="E166" s="988"/>
      <c r="F166" s="990"/>
      <c r="G166" s="991"/>
    </row>
    <row r="167" spans="1:7">
      <c r="A167" s="986"/>
      <c r="B167" s="987"/>
      <c r="C167" s="988"/>
      <c r="D167" s="989"/>
      <c r="E167" s="988"/>
      <c r="F167" s="990"/>
      <c r="G167" s="991"/>
    </row>
    <row r="168" spans="1:7">
      <c r="A168" s="992"/>
      <c r="B168" s="993"/>
      <c r="C168" s="543"/>
      <c r="D168" s="994"/>
      <c r="E168" s="543"/>
      <c r="F168" s="995"/>
      <c r="G168" s="996"/>
    </row>
    <row r="169" spans="1:7" ht="15" thickBot="1">
      <c r="A169" s="997" t="s">
        <v>276</v>
      </c>
      <c r="B169" s="998" t="s">
        <v>887</v>
      </c>
      <c r="C169" s="999"/>
      <c r="D169" s="1001" t="s">
        <v>277</v>
      </c>
      <c r="E169" s="1000" t="s">
        <v>266</v>
      </c>
      <c r="F169" s="1002" t="s">
        <v>278</v>
      </c>
      <c r="G169" s="1003" t="s">
        <v>267</v>
      </c>
    </row>
    <row r="170" spans="1:7">
      <c r="A170" s="696"/>
      <c r="B170" s="967"/>
      <c r="C170" s="545"/>
      <c r="D170" s="1034"/>
      <c r="E170" s="967"/>
      <c r="F170" s="969"/>
      <c r="G170" s="970"/>
    </row>
    <row r="171" spans="1:7">
      <c r="A171" s="696">
        <f>A155+1</f>
        <v>28</v>
      </c>
      <c r="B171" s="696"/>
      <c r="C171" s="703" t="s">
        <v>309</v>
      </c>
      <c r="D171" s="968"/>
      <c r="E171" s="967"/>
      <c r="F171" s="969"/>
      <c r="G171" s="970"/>
    </row>
    <row r="172" spans="1:7">
      <c r="A172" s="696"/>
      <c r="B172" s="696"/>
      <c r="C172" s="697"/>
      <c r="D172" s="968"/>
      <c r="E172" s="967"/>
      <c r="F172" s="969"/>
      <c r="G172" s="970"/>
    </row>
    <row r="173" spans="1:7">
      <c r="A173" s="696"/>
      <c r="B173" s="696" t="s">
        <v>294</v>
      </c>
      <c r="C173" s="703" t="s">
        <v>319</v>
      </c>
      <c r="D173" s="968">
        <v>3</v>
      </c>
      <c r="E173" s="967" t="s">
        <v>283</v>
      </c>
      <c r="F173" s="969"/>
      <c r="G173" s="970">
        <f>F173*D173</f>
        <v>0</v>
      </c>
    </row>
    <row r="174" spans="1:7">
      <c r="A174" s="696"/>
      <c r="B174" s="696"/>
      <c r="C174" s="703"/>
      <c r="D174" s="968"/>
      <c r="E174" s="967"/>
      <c r="F174" s="969"/>
      <c r="G174" s="970"/>
    </row>
    <row r="175" spans="1:7">
      <c r="A175" s="696"/>
      <c r="B175" s="696"/>
      <c r="C175" s="703"/>
      <c r="D175" s="968"/>
      <c r="E175" s="967"/>
      <c r="F175" s="969"/>
      <c r="G175" s="970"/>
    </row>
    <row r="176" spans="1:7">
      <c r="A176" s="705">
        <f>A171+1</f>
        <v>29</v>
      </c>
      <c r="B176" s="705"/>
      <c r="C176" s="706" t="s">
        <v>907</v>
      </c>
      <c r="D176" s="1048"/>
      <c r="E176" s="1047"/>
      <c r="F176" s="1049"/>
      <c r="G176" s="1050"/>
    </row>
    <row r="177" spans="1:7">
      <c r="A177" s="705"/>
      <c r="B177" s="705"/>
      <c r="C177" s="1051"/>
      <c r="D177" s="1048"/>
      <c r="E177" s="1047"/>
      <c r="F177" s="1049"/>
      <c r="G177" s="1050"/>
    </row>
    <row r="178" spans="1:7">
      <c r="A178" s="705"/>
      <c r="B178" s="705" t="s">
        <v>294</v>
      </c>
      <c r="C178" s="706" t="s">
        <v>319</v>
      </c>
      <c r="D178" s="1048">
        <f>3*2</f>
        <v>6</v>
      </c>
      <c r="E178" s="1047" t="s">
        <v>283</v>
      </c>
      <c r="F178" s="1049">
        <f ca="1">Elec_Est!E261</f>
        <v>2368.98</v>
      </c>
      <c r="G178" s="1050">
        <f ca="1">F178*D178</f>
        <v>14213.880000000001</v>
      </c>
    </row>
    <row r="179" spans="1:7">
      <c r="A179" s="696"/>
      <c r="B179" s="696"/>
      <c r="C179" s="703"/>
      <c r="D179" s="968"/>
      <c r="E179" s="967"/>
      <c r="F179" s="969"/>
      <c r="G179" s="970"/>
    </row>
    <row r="180" spans="1:7">
      <c r="A180" s="696"/>
      <c r="B180" s="696"/>
      <c r="C180" s="703"/>
      <c r="D180" s="968"/>
      <c r="E180" s="967"/>
      <c r="F180" s="969"/>
      <c r="G180" s="970"/>
    </row>
    <row r="181" spans="1:7">
      <c r="A181" s="705">
        <f>A176+1</f>
        <v>30</v>
      </c>
      <c r="B181" s="705"/>
      <c r="C181" s="706" t="s">
        <v>685</v>
      </c>
      <c r="D181" s="1048">
        <v>3</v>
      </c>
      <c r="E181" s="1047" t="s">
        <v>283</v>
      </c>
      <c r="F181" s="1049">
        <f>Elec_Est!E277</f>
        <v>129.4</v>
      </c>
      <c r="G181" s="1050">
        <f>F181*D181</f>
        <v>388.20000000000005</v>
      </c>
    </row>
    <row r="182" spans="1:7">
      <c r="A182" s="696"/>
      <c r="B182" s="696"/>
      <c r="C182" s="703"/>
      <c r="D182" s="968"/>
      <c r="E182" s="967"/>
      <c r="F182" s="969"/>
      <c r="G182" s="970"/>
    </row>
    <row r="183" spans="1:7">
      <c r="A183" s="696"/>
      <c r="B183" s="696"/>
      <c r="C183" s="703"/>
      <c r="D183" s="968"/>
      <c r="E183" s="967"/>
      <c r="F183" s="969"/>
      <c r="G183" s="970"/>
    </row>
    <row r="184" spans="1:7">
      <c r="A184" s="705">
        <f>A181+1</f>
        <v>31</v>
      </c>
      <c r="B184" s="705"/>
      <c r="C184" s="706" t="s">
        <v>894</v>
      </c>
      <c r="D184" s="1048">
        <f>2*3</f>
        <v>6</v>
      </c>
      <c r="E184" s="1047" t="s">
        <v>283</v>
      </c>
      <c r="F184" s="1049">
        <f>Elec_Est!E291</f>
        <v>22.76</v>
      </c>
      <c r="G184" s="1050">
        <f>F184*D184</f>
        <v>136.56</v>
      </c>
    </row>
    <row r="185" spans="1:7">
      <c r="A185" s="696"/>
      <c r="B185" s="967"/>
      <c r="C185" s="703"/>
      <c r="D185" s="1035"/>
      <c r="E185" s="698"/>
      <c r="F185" s="700"/>
      <c r="G185" s="970"/>
    </row>
    <row r="186" spans="1:7">
      <c r="A186" s="696"/>
      <c r="B186" s="967"/>
      <c r="C186" s="703"/>
      <c r="D186" s="1035"/>
      <c r="E186" s="698"/>
      <c r="F186" s="700"/>
      <c r="G186" s="970"/>
    </row>
    <row r="187" spans="1:7">
      <c r="A187" s="696">
        <f>A184+1</f>
        <v>32</v>
      </c>
      <c r="B187" s="696"/>
      <c r="C187" s="703" t="s">
        <v>311</v>
      </c>
      <c r="D187" s="968">
        <f>2*3</f>
        <v>6</v>
      </c>
      <c r="E187" s="967" t="s">
        <v>283</v>
      </c>
      <c r="F187" s="969"/>
      <c r="G187" s="970">
        <f>F187*D187</f>
        <v>0</v>
      </c>
    </row>
    <row r="188" spans="1:7">
      <c r="A188" s="696"/>
      <c r="B188" s="696"/>
      <c r="C188" s="703"/>
      <c r="D188" s="968"/>
      <c r="E188" s="967"/>
      <c r="F188" s="969"/>
      <c r="G188" s="970"/>
    </row>
    <row r="189" spans="1:7">
      <c r="A189" s="696"/>
      <c r="B189" s="696"/>
      <c r="C189" s="703"/>
      <c r="D189" s="968"/>
      <c r="E189" s="967"/>
      <c r="F189" s="969"/>
      <c r="G189" s="970"/>
    </row>
    <row r="190" spans="1:7">
      <c r="A190" s="696">
        <f>A187+1</f>
        <v>33</v>
      </c>
      <c r="B190" s="696"/>
      <c r="C190" s="703" t="s">
        <v>312</v>
      </c>
      <c r="D190" s="968">
        <f>2*3</f>
        <v>6</v>
      </c>
      <c r="E190" s="967" t="s">
        <v>283</v>
      </c>
      <c r="F190" s="969"/>
      <c r="G190" s="970">
        <f>F190*D190</f>
        <v>0</v>
      </c>
    </row>
    <row r="191" spans="1:7">
      <c r="A191" s="696"/>
      <c r="B191" s="696"/>
      <c r="C191" s="703"/>
      <c r="D191" s="968"/>
      <c r="E191" s="967"/>
      <c r="F191" s="969"/>
      <c r="G191" s="970"/>
    </row>
    <row r="192" spans="1:7">
      <c r="A192" s="696"/>
      <c r="B192" s="696"/>
      <c r="C192" s="703"/>
      <c r="D192" s="968"/>
      <c r="E192" s="967"/>
      <c r="F192" s="969"/>
      <c r="G192" s="970"/>
    </row>
    <row r="193" spans="1:7">
      <c r="A193" s="696">
        <f>A190+1</f>
        <v>34</v>
      </c>
      <c r="B193" s="696"/>
      <c r="C193" s="703" t="s">
        <v>314</v>
      </c>
      <c r="D193" s="968">
        <v>3</v>
      </c>
      <c r="E193" s="967" t="s">
        <v>283</v>
      </c>
      <c r="F193" s="969"/>
      <c r="G193" s="970">
        <f>F193*D193</f>
        <v>0</v>
      </c>
    </row>
    <row r="194" spans="1:7">
      <c r="A194" s="696"/>
      <c r="B194" s="967"/>
      <c r="C194" s="703"/>
      <c r="D194" s="1035"/>
      <c r="E194" s="698"/>
      <c r="F194" s="700"/>
      <c r="G194" s="701"/>
    </row>
    <row r="195" spans="1:7">
      <c r="A195" s="696"/>
      <c r="B195" s="967"/>
      <c r="C195" s="703"/>
      <c r="D195" s="1035"/>
      <c r="E195" s="698"/>
      <c r="F195" s="700"/>
      <c r="G195" s="701"/>
    </row>
    <row r="196" spans="1:7" ht="52.8">
      <c r="A196" s="705">
        <f>A193+1</f>
        <v>35</v>
      </c>
      <c r="B196" s="705"/>
      <c r="C196" s="706" t="s">
        <v>908</v>
      </c>
      <c r="D196" s="1048"/>
      <c r="E196" s="1047"/>
      <c r="F196" s="1049"/>
      <c r="G196" s="1050"/>
    </row>
    <row r="197" spans="1:7">
      <c r="A197" s="705"/>
      <c r="B197" s="705"/>
      <c r="C197" s="1051"/>
      <c r="D197" s="1048"/>
      <c r="E197" s="1047"/>
      <c r="F197" s="1049"/>
      <c r="G197" s="1050"/>
    </row>
    <row r="198" spans="1:7">
      <c r="A198" s="705"/>
      <c r="B198" s="705" t="s">
        <v>294</v>
      </c>
      <c r="C198" s="706" t="s">
        <v>393</v>
      </c>
      <c r="D198" s="1048">
        <v>1</v>
      </c>
      <c r="E198" s="1047" t="s">
        <v>283</v>
      </c>
      <c r="F198" s="1049">
        <f>Elec_Est!E309</f>
        <v>165.9</v>
      </c>
      <c r="G198" s="1050">
        <f>F198*D198</f>
        <v>165.9</v>
      </c>
    </row>
    <row r="199" spans="1:7">
      <c r="A199" s="705"/>
      <c r="B199" s="705"/>
      <c r="C199" s="706"/>
      <c r="D199" s="1048"/>
      <c r="E199" s="1047"/>
      <c r="F199" s="1049"/>
      <c r="G199" s="1050"/>
    </row>
    <row r="200" spans="1:7">
      <c r="A200" s="705"/>
      <c r="B200" s="705" t="s">
        <v>339</v>
      </c>
      <c r="C200" s="706" t="s">
        <v>394</v>
      </c>
      <c r="D200" s="1048">
        <v>1</v>
      </c>
      <c r="E200" s="1047" t="s">
        <v>283</v>
      </c>
      <c r="F200" s="1049">
        <f>Elec_Est!E336</f>
        <v>165.9</v>
      </c>
      <c r="G200" s="1050">
        <f>F200*D200</f>
        <v>165.9</v>
      </c>
    </row>
    <row r="201" spans="1:7">
      <c r="A201" s="705"/>
      <c r="B201" s="705"/>
      <c r="C201" s="706"/>
      <c r="D201" s="1048"/>
      <c r="E201" s="1047"/>
      <c r="F201" s="1049"/>
      <c r="G201" s="1050"/>
    </row>
    <row r="202" spans="1:7">
      <c r="A202" s="705"/>
      <c r="B202" s="705" t="s">
        <v>340</v>
      </c>
      <c r="C202" s="706" t="s">
        <v>766</v>
      </c>
      <c r="D202" s="1048">
        <v>1</v>
      </c>
      <c r="E202" s="1047" t="s">
        <v>283</v>
      </c>
      <c r="F202" s="1049">
        <f>Elec_Est!E363</f>
        <v>165.9</v>
      </c>
      <c r="G202" s="1050">
        <f>F202*D202</f>
        <v>165.9</v>
      </c>
    </row>
    <row r="203" spans="1:7">
      <c r="A203" s="696"/>
      <c r="B203" s="696"/>
      <c r="C203" s="703"/>
      <c r="D203" s="968"/>
      <c r="E203" s="967"/>
      <c r="F203" s="969"/>
      <c r="G203" s="970"/>
    </row>
    <row r="204" spans="1:7">
      <c r="A204" s="696"/>
      <c r="B204" s="696"/>
      <c r="C204" s="703"/>
      <c r="D204" s="968"/>
      <c r="E204" s="967"/>
      <c r="F204" s="969"/>
      <c r="G204" s="970"/>
    </row>
    <row r="205" spans="1:7">
      <c r="A205" s="696">
        <f>A196+1</f>
        <v>36</v>
      </c>
      <c r="B205" s="696"/>
      <c r="C205" s="703" t="s">
        <v>300</v>
      </c>
      <c r="D205" s="968"/>
      <c r="E205" s="967"/>
      <c r="F205" s="969"/>
      <c r="G205" s="970"/>
    </row>
    <row r="206" spans="1:7">
      <c r="A206" s="696"/>
      <c r="B206" s="696"/>
      <c r="C206" s="697"/>
      <c r="D206" s="968"/>
      <c r="E206" s="967"/>
      <c r="F206" s="969"/>
      <c r="G206" s="970"/>
    </row>
    <row r="207" spans="1:7">
      <c r="A207" s="696"/>
      <c r="B207" s="696" t="s">
        <v>294</v>
      </c>
      <c r="C207" s="703" t="s">
        <v>319</v>
      </c>
      <c r="D207" s="968">
        <v>3</v>
      </c>
      <c r="E207" s="967" t="s">
        <v>283</v>
      </c>
      <c r="F207" s="969"/>
      <c r="G207" s="970">
        <f>F207*D207</f>
        <v>0</v>
      </c>
    </row>
    <row r="208" spans="1:7">
      <c r="A208" s="696"/>
      <c r="B208" s="696"/>
      <c r="C208" s="703"/>
      <c r="D208" s="968"/>
      <c r="E208" s="967"/>
      <c r="F208" s="969"/>
      <c r="G208" s="970"/>
    </row>
    <row r="209" spans="1:7">
      <c r="A209" s="696"/>
      <c r="B209" s="696"/>
      <c r="C209" s="703"/>
      <c r="D209" s="968"/>
      <c r="E209" s="967"/>
      <c r="F209" s="969"/>
      <c r="G209" s="970"/>
    </row>
    <row r="210" spans="1:7">
      <c r="A210" s="1031">
        <f>A205+1</f>
        <v>37</v>
      </c>
      <c r="B210" s="696"/>
      <c r="C210" s="1032" t="s">
        <v>342</v>
      </c>
      <c r="D210" s="968"/>
      <c r="E210" s="967"/>
      <c r="F210" s="969"/>
      <c r="G210" s="970"/>
    </row>
    <row r="211" spans="1:7">
      <c r="A211" s="696"/>
      <c r="B211" s="696"/>
      <c r="C211" s="697"/>
      <c r="D211" s="968"/>
      <c r="E211" s="967"/>
      <c r="F211" s="969"/>
      <c r="G211" s="970"/>
    </row>
    <row r="212" spans="1:7">
      <c r="A212" s="696"/>
      <c r="B212" s="696" t="s">
        <v>294</v>
      </c>
      <c r="C212" s="703" t="s">
        <v>319</v>
      </c>
      <c r="D212" s="968">
        <f>1*3</f>
        <v>3</v>
      </c>
      <c r="E212" s="967" t="s">
        <v>283</v>
      </c>
      <c r="F212" s="969"/>
      <c r="G212" s="970">
        <f>F212*D212</f>
        <v>0</v>
      </c>
    </row>
    <row r="213" spans="1:7">
      <c r="A213" s="696"/>
      <c r="B213" s="967"/>
      <c r="C213" s="703"/>
      <c r="D213" s="1034"/>
      <c r="E213" s="967"/>
      <c r="F213" s="969"/>
      <c r="G213" s="970"/>
    </row>
    <row r="214" spans="1:7">
      <c r="A214" s="696"/>
      <c r="B214" s="967"/>
      <c r="C214" s="703"/>
      <c r="D214" s="1034"/>
      <c r="E214" s="967"/>
      <c r="F214" s="969"/>
      <c r="G214" s="970"/>
    </row>
    <row r="215" spans="1:7">
      <c r="A215" s="696"/>
      <c r="B215" s="967"/>
      <c r="C215" s="703"/>
      <c r="D215" s="1034"/>
      <c r="E215" s="967"/>
      <c r="F215" s="969"/>
      <c r="G215" s="970"/>
    </row>
    <row r="216" spans="1:7">
      <c r="A216" s="696"/>
      <c r="B216" s="967"/>
      <c r="C216" s="703"/>
      <c r="D216" s="1034"/>
      <c r="E216" s="967"/>
      <c r="F216" s="969"/>
      <c r="G216" s="970"/>
    </row>
    <row r="217" spans="1:7">
      <c r="A217" s="696"/>
      <c r="B217" s="967"/>
      <c r="C217" s="703"/>
      <c r="D217" s="1034"/>
      <c r="E217" s="967"/>
      <c r="F217" s="969"/>
      <c r="G217" s="970"/>
    </row>
    <row r="218" spans="1:7">
      <c r="A218" s="696"/>
      <c r="B218" s="967"/>
      <c r="C218" s="703"/>
      <c r="D218" s="1034"/>
      <c r="E218" s="967"/>
      <c r="F218" s="969"/>
      <c r="G218" s="970"/>
    </row>
    <row r="219" spans="1:7" ht="15" thickBot="1">
      <c r="A219" s="696"/>
      <c r="B219" s="967"/>
      <c r="C219" s="703"/>
      <c r="D219" s="1034"/>
      <c r="E219" s="967"/>
      <c r="F219" s="969"/>
      <c r="G219" s="970"/>
    </row>
    <row r="220" spans="1:7">
      <c r="A220" s="1014"/>
      <c r="B220" s="1036"/>
      <c r="C220" s="1015"/>
      <c r="D220" s="1037"/>
      <c r="E220" s="1016"/>
      <c r="F220" s="1018"/>
      <c r="G220" s="1019"/>
    </row>
    <row r="221" spans="1:7">
      <c r="A221" s="1020"/>
      <c r="B221" s="1038"/>
      <c r="C221" s="1021" t="s">
        <v>289</v>
      </c>
      <c r="D221" s="546"/>
      <c r="E221" s="1022"/>
      <c r="F221" s="1024"/>
      <c r="G221" s="1010">
        <f ca="1">SUM(G170:G219)</f>
        <v>15236.34</v>
      </c>
    </row>
    <row r="222" spans="1:7">
      <c r="A222" s="1025"/>
      <c r="B222" s="1039"/>
      <c r="C222" s="1026"/>
      <c r="D222" s="1027"/>
      <c r="E222" s="1027"/>
      <c r="F222" s="1029"/>
      <c r="G222" s="1030"/>
    </row>
    <row r="223" spans="1:7" ht="17.399999999999999">
      <c r="A223" s="980"/>
      <c r="B223" s="981"/>
      <c r="C223" s="982"/>
      <c r="D223" s="983"/>
      <c r="E223" s="982"/>
      <c r="F223" s="984"/>
      <c r="G223" s="985"/>
    </row>
    <row r="224" spans="1:7">
      <c r="A224" s="986"/>
      <c r="B224" s="987"/>
      <c r="C224" s="988"/>
      <c r="D224" s="989"/>
      <c r="E224" s="988"/>
      <c r="F224" s="990"/>
      <c r="G224" s="991"/>
    </row>
    <row r="225" spans="1:7">
      <c r="A225" s="986"/>
      <c r="B225" s="987"/>
      <c r="C225" s="988"/>
      <c r="D225" s="989"/>
      <c r="E225" s="988"/>
      <c r="F225" s="990"/>
      <c r="G225" s="991"/>
    </row>
    <row r="226" spans="1:7">
      <c r="A226" s="992"/>
      <c r="B226" s="993"/>
      <c r="C226" s="543"/>
      <c r="D226" s="994"/>
      <c r="E226" s="543"/>
      <c r="F226" s="995"/>
      <c r="G226" s="996"/>
    </row>
    <row r="227" spans="1:7" ht="15" thickBot="1">
      <c r="A227" s="997" t="s">
        <v>276</v>
      </c>
      <c r="B227" s="998" t="s">
        <v>887</v>
      </c>
      <c r="C227" s="999"/>
      <c r="D227" s="1001" t="s">
        <v>277</v>
      </c>
      <c r="E227" s="1000" t="s">
        <v>266</v>
      </c>
      <c r="F227" s="1002" t="s">
        <v>278</v>
      </c>
      <c r="G227" s="1003" t="s">
        <v>267</v>
      </c>
    </row>
    <row r="228" spans="1:7">
      <c r="A228" s="1004"/>
      <c r="B228" s="1005"/>
      <c r="C228" s="1006"/>
      <c r="D228" s="1008"/>
      <c r="E228" s="1007"/>
      <c r="F228" s="1009"/>
      <c r="G228" s="1010"/>
    </row>
    <row r="229" spans="1:7">
      <c r="A229" s="1031">
        <f>A210+1</f>
        <v>38</v>
      </c>
      <c r="B229" s="696"/>
      <c r="C229" s="1032" t="s">
        <v>343</v>
      </c>
      <c r="D229" s="968"/>
      <c r="E229" s="967"/>
      <c r="F229" s="969"/>
      <c r="G229" s="970"/>
    </row>
    <row r="230" spans="1:7">
      <c r="A230" s="696"/>
      <c r="B230" s="696"/>
      <c r="C230" s="697"/>
      <c r="D230" s="968"/>
      <c r="E230" s="967"/>
      <c r="F230" s="969"/>
      <c r="G230" s="970"/>
    </row>
    <row r="231" spans="1:7">
      <c r="A231" s="696"/>
      <c r="B231" s="696" t="s">
        <v>294</v>
      </c>
      <c r="C231" s="703" t="s">
        <v>319</v>
      </c>
      <c r="D231" s="968">
        <f>1*3</f>
        <v>3</v>
      </c>
      <c r="E231" s="967" t="s">
        <v>283</v>
      </c>
      <c r="F231" s="969"/>
      <c r="G231" s="970">
        <f>F231*D231</f>
        <v>0</v>
      </c>
    </row>
    <row r="232" spans="1:7">
      <c r="A232" s="696"/>
      <c r="B232" s="696"/>
      <c r="C232" s="703"/>
      <c r="D232" s="968"/>
      <c r="E232" s="967"/>
      <c r="F232" s="969"/>
      <c r="G232" s="970"/>
    </row>
    <row r="233" spans="1:7">
      <c r="A233" s="696"/>
      <c r="B233" s="696"/>
      <c r="C233" s="703"/>
      <c r="D233" s="968"/>
      <c r="E233" s="967"/>
      <c r="F233" s="969"/>
      <c r="G233" s="970"/>
    </row>
    <row r="234" spans="1:7">
      <c r="A234" s="696">
        <f>A229+1</f>
        <v>39</v>
      </c>
      <c r="B234" s="696"/>
      <c r="C234" s="703" t="s">
        <v>311</v>
      </c>
      <c r="D234" s="968">
        <f>2*3</f>
        <v>6</v>
      </c>
      <c r="E234" s="967" t="s">
        <v>283</v>
      </c>
      <c r="F234" s="969"/>
      <c r="G234" s="970">
        <f>F234*D234</f>
        <v>0</v>
      </c>
    </row>
    <row r="235" spans="1:7">
      <c r="A235" s="696"/>
      <c r="B235" s="696"/>
      <c r="C235" s="703"/>
      <c r="D235" s="968"/>
      <c r="E235" s="967"/>
      <c r="F235" s="969"/>
      <c r="G235" s="970"/>
    </row>
    <row r="236" spans="1:7">
      <c r="A236" s="696"/>
      <c r="B236" s="696"/>
      <c r="C236" s="703"/>
      <c r="D236" s="968"/>
      <c r="E236" s="967"/>
      <c r="F236" s="969"/>
      <c r="G236" s="970"/>
    </row>
    <row r="237" spans="1:7">
      <c r="A237" s="696"/>
      <c r="B237" s="696"/>
      <c r="C237" s="697" t="s">
        <v>909</v>
      </c>
      <c r="D237" s="968"/>
      <c r="E237" s="967"/>
      <c r="F237" s="969"/>
      <c r="G237" s="970"/>
    </row>
    <row r="238" spans="1:7">
      <c r="A238" s="696"/>
      <c r="B238" s="696"/>
      <c r="C238" s="703"/>
      <c r="D238" s="968"/>
      <c r="E238" s="967"/>
      <c r="F238" s="969"/>
      <c r="G238" s="970"/>
    </row>
    <row r="239" spans="1:7" ht="26.4">
      <c r="A239" s="696">
        <f>A234+1</f>
        <v>40</v>
      </c>
      <c r="B239" s="696"/>
      <c r="C239" s="703" t="s">
        <v>910</v>
      </c>
      <c r="D239" s="968"/>
      <c r="E239" s="967"/>
      <c r="F239" s="969"/>
      <c r="G239" s="970"/>
    </row>
    <row r="240" spans="1:7">
      <c r="A240" s="696"/>
      <c r="B240" s="696"/>
      <c r="C240" s="703"/>
      <c r="D240" s="968"/>
      <c r="E240" s="967"/>
      <c r="F240" s="969"/>
      <c r="G240" s="970"/>
    </row>
    <row r="241" spans="1:7">
      <c r="A241" s="696"/>
      <c r="B241" s="696" t="s">
        <v>294</v>
      </c>
      <c r="C241" s="703" t="s">
        <v>316</v>
      </c>
      <c r="D241" s="1013">
        <f>(7+7)*2*3</f>
        <v>84</v>
      </c>
      <c r="E241" s="967" t="s">
        <v>296</v>
      </c>
      <c r="F241" s="969"/>
      <c r="G241" s="970">
        <f>F241*D241</f>
        <v>0</v>
      </c>
    </row>
    <row r="242" spans="1:7">
      <c r="A242" s="696"/>
      <c r="B242" s="696"/>
      <c r="C242" s="703"/>
      <c r="D242" s="968"/>
      <c r="E242" s="967"/>
      <c r="F242" s="969"/>
      <c r="G242" s="970"/>
    </row>
    <row r="243" spans="1:7">
      <c r="A243" s="696"/>
      <c r="B243" s="696"/>
      <c r="C243" s="703"/>
      <c r="D243" s="968"/>
      <c r="E243" s="967"/>
      <c r="F243" s="969"/>
      <c r="G243" s="970"/>
    </row>
    <row r="244" spans="1:7">
      <c r="A244" s="696">
        <f>A239+1</f>
        <v>41</v>
      </c>
      <c r="B244" s="696"/>
      <c r="C244" s="703" t="s">
        <v>300</v>
      </c>
      <c r="D244" s="968"/>
      <c r="E244" s="967"/>
      <c r="F244" s="969"/>
      <c r="G244" s="970"/>
    </row>
    <row r="245" spans="1:7">
      <c r="A245" s="696"/>
      <c r="B245" s="696"/>
      <c r="C245" s="697"/>
      <c r="D245" s="968"/>
      <c r="E245" s="967"/>
      <c r="F245" s="969"/>
      <c r="G245" s="970"/>
    </row>
    <row r="246" spans="1:7">
      <c r="A246" s="696"/>
      <c r="B246" s="696" t="s">
        <v>294</v>
      </c>
      <c r="C246" s="703" t="s">
        <v>319</v>
      </c>
      <c r="D246" s="968">
        <f>6*3</f>
        <v>18</v>
      </c>
      <c r="E246" s="967" t="s">
        <v>283</v>
      </c>
      <c r="F246" s="969"/>
      <c r="G246" s="970">
        <f>F246*D246</f>
        <v>0</v>
      </c>
    </row>
    <row r="247" spans="1:7">
      <c r="A247" s="696"/>
      <c r="B247" s="696"/>
      <c r="C247" s="703"/>
      <c r="D247" s="968"/>
      <c r="E247" s="967"/>
      <c r="F247" s="969"/>
      <c r="G247" s="970"/>
    </row>
    <row r="248" spans="1:7">
      <c r="A248" s="696"/>
      <c r="B248" s="696"/>
      <c r="C248" s="703"/>
      <c r="D248" s="968"/>
      <c r="E248" s="967"/>
      <c r="F248" s="969"/>
      <c r="G248" s="970"/>
    </row>
    <row r="249" spans="1:7">
      <c r="A249" s="705">
        <f>A244+1</f>
        <v>42</v>
      </c>
      <c r="B249" s="705"/>
      <c r="C249" s="706" t="s">
        <v>894</v>
      </c>
      <c r="D249" s="1048"/>
      <c r="E249" s="1047"/>
      <c r="F249" s="1049"/>
      <c r="G249" s="1050"/>
    </row>
    <row r="250" spans="1:7">
      <c r="A250" s="705"/>
      <c r="B250" s="705"/>
      <c r="C250" s="1051"/>
      <c r="D250" s="1048"/>
      <c r="E250" s="1047"/>
      <c r="F250" s="1049"/>
      <c r="G250" s="1050"/>
    </row>
    <row r="251" spans="1:7">
      <c r="A251" s="705"/>
      <c r="B251" s="705" t="s">
        <v>294</v>
      </c>
      <c r="C251" s="706" t="s">
        <v>319</v>
      </c>
      <c r="D251" s="1048">
        <f>2*3</f>
        <v>6</v>
      </c>
      <c r="E251" s="1047" t="s">
        <v>283</v>
      </c>
      <c r="F251" s="1049">
        <f>Elec_Est!E394</f>
        <v>22.76</v>
      </c>
      <c r="G251" s="1050">
        <f>F251*D251</f>
        <v>136.56</v>
      </c>
    </row>
    <row r="252" spans="1:7">
      <c r="A252" s="696"/>
      <c r="B252" s="696"/>
      <c r="C252" s="703"/>
      <c r="D252" s="968"/>
      <c r="E252" s="967"/>
      <c r="F252" s="969"/>
      <c r="G252" s="970"/>
    </row>
    <row r="253" spans="1:7">
      <c r="A253" s="696"/>
      <c r="B253" s="696"/>
      <c r="C253" s="703"/>
      <c r="D253" s="968"/>
      <c r="E253" s="967"/>
      <c r="F253" s="969"/>
      <c r="G253" s="970"/>
    </row>
    <row r="254" spans="1:7">
      <c r="A254" s="696">
        <f>A249+1</f>
        <v>43</v>
      </c>
      <c r="B254" s="696"/>
      <c r="C254" s="703" t="s">
        <v>311</v>
      </c>
      <c r="D254" s="968">
        <f>2*3</f>
        <v>6</v>
      </c>
      <c r="E254" s="967" t="s">
        <v>283</v>
      </c>
      <c r="F254" s="969"/>
      <c r="G254" s="970">
        <f>F254*D254</f>
        <v>0</v>
      </c>
    </row>
    <row r="255" spans="1:7">
      <c r="A255" s="696"/>
      <c r="B255" s="696"/>
      <c r="C255" s="703"/>
      <c r="D255" s="968"/>
      <c r="E255" s="967"/>
      <c r="F255" s="969"/>
      <c r="G255" s="970"/>
    </row>
    <row r="256" spans="1:7">
      <c r="A256" s="696"/>
      <c r="B256" s="696"/>
      <c r="C256" s="703"/>
      <c r="D256" s="968"/>
      <c r="E256" s="967"/>
      <c r="F256" s="969"/>
      <c r="G256" s="970"/>
    </row>
    <row r="257" spans="1:7">
      <c r="A257" s="696">
        <f>A254+1</f>
        <v>44</v>
      </c>
      <c r="B257" s="696"/>
      <c r="C257" s="703" t="s">
        <v>312</v>
      </c>
      <c r="D257" s="968">
        <f>2*3</f>
        <v>6</v>
      </c>
      <c r="E257" s="967" t="s">
        <v>283</v>
      </c>
      <c r="F257" s="969"/>
      <c r="G257" s="970">
        <f>F257*D257</f>
        <v>0</v>
      </c>
    </row>
    <row r="258" spans="1:7">
      <c r="A258" s="696"/>
      <c r="B258" s="696"/>
      <c r="C258" s="703"/>
      <c r="D258" s="968"/>
      <c r="E258" s="967"/>
      <c r="F258" s="969"/>
      <c r="G258" s="970"/>
    </row>
    <row r="259" spans="1:7">
      <c r="A259" s="696"/>
      <c r="B259" s="696"/>
      <c r="C259" s="703"/>
      <c r="D259" s="968"/>
      <c r="E259" s="967"/>
      <c r="F259" s="969"/>
      <c r="G259" s="970"/>
    </row>
    <row r="260" spans="1:7">
      <c r="A260" s="696">
        <f>A257+1</f>
        <v>45</v>
      </c>
      <c r="B260" s="696"/>
      <c r="C260" s="703" t="s">
        <v>314</v>
      </c>
      <c r="D260" s="968">
        <v>3</v>
      </c>
      <c r="E260" s="967" t="s">
        <v>283</v>
      </c>
      <c r="F260" s="969"/>
      <c r="G260" s="970">
        <f>F260*D260</f>
        <v>0</v>
      </c>
    </row>
    <row r="261" spans="1:7">
      <c r="A261" s="696"/>
      <c r="B261" s="696"/>
      <c r="C261" s="703"/>
      <c r="D261" s="968"/>
      <c r="E261" s="967"/>
      <c r="F261" s="969"/>
      <c r="G261" s="970"/>
    </row>
    <row r="262" spans="1:7">
      <c r="A262" s="696"/>
      <c r="B262" s="696"/>
      <c r="C262" s="703"/>
      <c r="D262" s="968"/>
      <c r="E262" s="967"/>
      <c r="F262" s="969"/>
      <c r="G262" s="970"/>
    </row>
    <row r="263" spans="1:7">
      <c r="A263" s="696"/>
      <c r="B263" s="696"/>
      <c r="C263" s="703"/>
      <c r="D263" s="968"/>
      <c r="E263" s="967"/>
      <c r="F263" s="969"/>
      <c r="G263" s="970"/>
    </row>
    <row r="264" spans="1:7">
      <c r="A264" s="696"/>
      <c r="B264" s="696"/>
      <c r="C264" s="703"/>
      <c r="D264" s="968"/>
      <c r="E264" s="967"/>
      <c r="F264" s="969"/>
      <c r="G264" s="970"/>
    </row>
    <row r="265" spans="1:7">
      <c r="A265" s="696"/>
      <c r="B265" s="696"/>
      <c r="C265" s="703"/>
      <c r="D265" s="968"/>
      <c r="E265" s="967"/>
      <c r="F265" s="969"/>
      <c r="G265" s="970"/>
    </row>
    <row r="266" spans="1:7">
      <c r="A266" s="696"/>
      <c r="B266" s="696"/>
      <c r="C266" s="703"/>
      <c r="D266" s="968"/>
      <c r="E266" s="967"/>
      <c r="F266" s="969"/>
      <c r="G266" s="970"/>
    </row>
    <row r="267" spans="1:7">
      <c r="A267" s="696"/>
      <c r="B267" s="696"/>
      <c r="C267" s="703"/>
      <c r="D267" s="968"/>
      <c r="E267" s="967"/>
      <c r="F267" s="969"/>
      <c r="G267" s="970"/>
    </row>
    <row r="268" spans="1:7">
      <c r="A268" s="696"/>
      <c r="B268" s="696"/>
      <c r="C268" s="703"/>
      <c r="D268" s="968"/>
      <c r="E268" s="967"/>
      <c r="F268" s="969"/>
      <c r="G268" s="970"/>
    </row>
    <row r="269" spans="1:7">
      <c r="A269" s="696"/>
      <c r="B269" s="696"/>
      <c r="C269" s="703"/>
      <c r="D269" s="968"/>
      <c r="E269" s="967"/>
      <c r="F269" s="969"/>
      <c r="G269" s="970"/>
    </row>
    <row r="270" spans="1:7">
      <c r="A270" s="696"/>
      <c r="B270" s="696"/>
      <c r="C270" s="703"/>
      <c r="D270" s="968"/>
      <c r="E270" s="967"/>
      <c r="F270" s="969"/>
      <c r="G270" s="970"/>
    </row>
    <row r="271" spans="1:7">
      <c r="A271" s="696"/>
      <c r="B271" s="696"/>
      <c r="C271" s="703"/>
      <c r="D271" s="968"/>
      <c r="E271" s="967"/>
      <c r="F271" s="969"/>
      <c r="G271" s="970"/>
    </row>
    <row r="272" spans="1:7">
      <c r="A272" s="696"/>
      <c r="B272" s="696"/>
      <c r="C272" s="703"/>
      <c r="D272" s="968"/>
      <c r="E272" s="967"/>
      <c r="F272" s="969"/>
      <c r="G272" s="970"/>
    </row>
    <row r="273" spans="1:7">
      <c r="A273" s="696"/>
      <c r="B273" s="696"/>
      <c r="C273" s="703"/>
      <c r="D273" s="968"/>
      <c r="E273" s="967"/>
      <c r="F273" s="969"/>
      <c r="G273" s="970"/>
    </row>
    <row r="274" spans="1:7">
      <c r="A274" s="696"/>
      <c r="B274" s="696"/>
      <c r="C274" s="703"/>
      <c r="D274" s="968"/>
      <c r="E274" s="967"/>
      <c r="F274" s="969"/>
      <c r="G274" s="970"/>
    </row>
    <row r="275" spans="1:7">
      <c r="A275" s="696"/>
      <c r="B275" s="696"/>
      <c r="C275" s="703"/>
      <c r="D275" s="968"/>
      <c r="E275" s="967"/>
      <c r="F275" s="969"/>
      <c r="G275" s="970"/>
    </row>
    <row r="276" spans="1:7">
      <c r="A276" s="696"/>
      <c r="B276" s="696"/>
      <c r="C276" s="703"/>
      <c r="D276" s="968"/>
      <c r="E276" s="967"/>
      <c r="F276" s="969"/>
      <c r="G276" s="970"/>
    </row>
    <row r="277" spans="1:7">
      <c r="A277" s="696"/>
      <c r="B277" s="696"/>
      <c r="C277" s="703"/>
      <c r="D277" s="968"/>
      <c r="E277" s="967"/>
      <c r="F277" s="969"/>
      <c r="G277" s="970"/>
    </row>
    <row r="278" spans="1:7" ht="15" thickBot="1">
      <c r="A278" s="696"/>
      <c r="B278" s="696"/>
      <c r="C278" s="703"/>
      <c r="D278" s="968"/>
      <c r="E278" s="967"/>
      <c r="F278" s="969"/>
      <c r="G278" s="970"/>
    </row>
    <row r="279" spans="1:7">
      <c r="A279" s="1014"/>
      <c r="B279" s="1014"/>
      <c r="C279" s="1015"/>
      <c r="D279" s="1017"/>
      <c r="E279" s="1016"/>
      <c r="F279" s="1018"/>
      <c r="G279" s="1019"/>
    </row>
    <row r="280" spans="1:7">
      <c r="A280" s="1020"/>
      <c r="B280" s="1020"/>
      <c r="C280" s="1021" t="s">
        <v>289</v>
      </c>
      <c r="D280" s="1023"/>
      <c r="E280" s="1022"/>
      <c r="F280" s="1024"/>
      <c r="G280" s="1010">
        <f>SUM(G228:G278)</f>
        <v>136.56</v>
      </c>
    </row>
    <row r="281" spans="1:7">
      <c r="A281" s="1025"/>
      <c r="B281" s="1025"/>
      <c r="C281" s="1026"/>
      <c r="D281" s="1028"/>
      <c r="E281" s="1027"/>
      <c r="F281" s="1029"/>
      <c r="G281" s="1030"/>
    </row>
    <row r="282" spans="1:7" ht="17.399999999999999">
      <c r="A282" s="980"/>
      <c r="B282" s="981"/>
      <c r="C282" s="982"/>
      <c r="D282" s="983"/>
      <c r="E282" s="982"/>
      <c r="F282" s="984"/>
      <c r="G282" s="985"/>
    </row>
    <row r="283" spans="1:7">
      <c r="A283" s="986"/>
      <c r="B283" s="987"/>
      <c r="C283" s="988"/>
      <c r="D283" s="989"/>
      <c r="E283" s="988"/>
      <c r="F283" s="990"/>
      <c r="G283" s="991"/>
    </row>
    <row r="284" spans="1:7">
      <c r="A284" s="986"/>
      <c r="B284" s="987"/>
      <c r="C284" s="988"/>
      <c r="D284" s="989"/>
      <c r="E284" s="988"/>
      <c r="F284" s="990"/>
      <c r="G284" s="991"/>
    </row>
    <row r="285" spans="1:7">
      <c r="A285" s="992"/>
      <c r="B285" s="993"/>
      <c r="C285" s="543"/>
      <c r="D285" s="994"/>
      <c r="E285" s="543"/>
      <c r="F285" s="995"/>
      <c r="G285" s="996"/>
    </row>
    <row r="286" spans="1:7" ht="15" thickBot="1">
      <c r="A286" s="997" t="s">
        <v>276</v>
      </c>
      <c r="B286" s="998" t="s">
        <v>887</v>
      </c>
      <c r="C286" s="999"/>
      <c r="D286" s="1001" t="s">
        <v>277</v>
      </c>
      <c r="E286" s="1000" t="s">
        <v>266</v>
      </c>
      <c r="F286" s="1002" t="s">
        <v>278</v>
      </c>
      <c r="G286" s="1003" t="s">
        <v>267</v>
      </c>
    </row>
    <row r="287" spans="1:7">
      <c r="A287" s="696"/>
      <c r="B287" s="696"/>
      <c r="C287" s="703"/>
      <c r="D287" s="968"/>
      <c r="E287" s="967"/>
      <c r="F287" s="969"/>
      <c r="G287" s="970"/>
    </row>
    <row r="288" spans="1:7" ht="52.8">
      <c r="A288" s="696"/>
      <c r="B288" s="696"/>
      <c r="C288" s="1011" t="s">
        <v>888</v>
      </c>
      <c r="D288" s="968"/>
      <c r="E288" s="967"/>
      <c r="F288" s="969"/>
      <c r="G288" s="970"/>
    </row>
    <row r="289" spans="1:7">
      <c r="A289" s="696"/>
      <c r="B289" s="696"/>
      <c r="C289" s="1012"/>
      <c r="D289" s="968"/>
      <c r="E289" s="967"/>
      <c r="F289" s="969"/>
      <c r="G289" s="970"/>
    </row>
    <row r="290" spans="1:7">
      <c r="A290" s="696"/>
      <c r="B290" s="696"/>
      <c r="C290" s="697" t="s">
        <v>284</v>
      </c>
      <c r="D290" s="968"/>
      <c r="E290" s="967"/>
      <c r="F290" s="969"/>
      <c r="G290" s="970"/>
    </row>
    <row r="291" spans="1:7">
      <c r="A291" s="696"/>
      <c r="B291" s="696"/>
      <c r="C291" s="703"/>
      <c r="D291" s="968"/>
      <c r="E291" s="967"/>
      <c r="F291" s="969"/>
      <c r="G291" s="970"/>
    </row>
    <row r="292" spans="1:7" ht="39.6">
      <c r="A292" s="705">
        <f>A260+1</f>
        <v>46</v>
      </c>
      <c r="B292" s="705"/>
      <c r="C292" s="1046" t="s">
        <v>911</v>
      </c>
      <c r="D292" s="1048">
        <v>1</v>
      </c>
      <c r="E292" s="1047" t="s">
        <v>283</v>
      </c>
      <c r="F292" s="1049">
        <f>Elec_Est!E415</f>
        <v>777.51</v>
      </c>
      <c r="G292" s="1050">
        <f>F292*D292</f>
        <v>777.51</v>
      </c>
    </row>
    <row r="293" spans="1:7">
      <c r="A293" s="696"/>
      <c r="B293" s="696"/>
      <c r="C293" s="704"/>
      <c r="D293" s="968"/>
      <c r="E293" s="967"/>
      <c r="F293" s="969"/>
      <c r="G293" s="970"/>
    </row>
    <row r="294" spans="1:7">
      <c r="A294" s="696"/>
      <c r="B294" s="696"/>
      <c r="C294" s="704"/>
      <c r="D294" s="968"/>
      <c r="E294" s="967"/>
      <c r="F294" s="969"/>
      <c r="G294" s="970"/>
    </row>
    <row r="295" spans="1:7" ht="39.6">
      <c r="A295" s="696">
        <f>A292+1</f>
        <v>47</v>
      </c>
      <c r="B295" s="696"/>
      <c r="C295" s="704" t="s">
        <v>912</v>
      </c>
      <c r="D295" s="968">
        <v>1</v>
      </c>
      <c r="E295" s="967" t="s">
        <v>287</v>
      </c>
      <c r="F295" s="969"/>
      <c r="G295" s="970">
        <f>F295*D295</f>
        <v>0</v>
      </c>
    </row>
    <row r="296" spans="1:7">
      <c r="A296" s="696"/>
      <c r="B296" s="696"/>
      <c r="C296" s="704"/>
      <c r="D296" s="968"/>
      <c r="E296" s="967"/>
      <c r="F296" s="969"/>
      <c r="G296" s="970"/>
    </row>
    <row r="297" spans="1:7">
      <c r="A297" s="696"/>
      <c r="B297" s="696"/>
      <c r="C297" s="703"/>
      <c r="D297" s="968"/>
      <c r="E297" s="967"/>
      <c r="F297" s="969"/>
      <c r="G297" s="970"/>
    </row>
    <row r="298" spans="1:7">
      <c r="A298" s="696"/>
      <c r="B298" s="696"/>
      <c r="C298" s="1012" t="s">
        <v>891</v>
      </c>
      <c r="D298" s="968"/>
      <c r="E298" s="967"/>
      <c r="F298" s="969"/>
      <c r="G298" s="970"/>
    </row>
    <row r="299" spans="1:7">
      <c r="A299" s="696"/>
      <c r="B299" s="696"/>
      <c r="C299" s="697"/>
      <c r="D299" s="968"/>
      <c r="E299" s="967"/>
      <c r="F299" s="969"/>
      <c r="G299" s="970"/>
    </row>
    <row r="300" spans="1:7" ht="26.4">
      <c r="A300" s="696">
        <f>A295+1</f>
        <v>48</v>
      </c>
      <c r="B300" s="696"/>
      <c r="C300" s="703" t="s">
        <v>298</v>
      </c>
      <c r="D300" s="968"/>
      <c r="E300" s="967"/>
      <c r="F300" s="969"/>
      <c r="G300" s="970"/>
    </row>
    <row r="301" spans="1:7">
      <c r="A301" s="696"/>
      <c r="B301" s="696"/>
      <c r="C301" s="703"/>
      <c r="D301" s="968"/>
      <c r="E301" s="967"/>
      <c r="F301" s="969"/>
      <c r="G301" s="970"/>
    </row>
    <row r="302" spans="1:7">
      <c r="A302" s="696"/>
      <c r="B302" s="696" t="s">
        <v>294</v>
      </c>
      <c r="C302" s="703" t="s">
        <v>316</v>
      </c>
      <c r="D302" s="968">
        <f>100*2</f>
        <v>200</v>
      </c>
      <c r="E302" s="967" t="s">
        <v>296</v>
      </c>
      <c r="F302" s="969"/>
      <c r="G302" s="970">
        <f>F302*D302</f>
        <v>0</v>
      </c>
    </row>
    <row r="303" spans="1:7">
      <c r="A303" s="696"/>
      <c r="B303" s="696"/>
      <c r="C303" s="703"/>
      <c r="D303" s="968"/>
      <c r="E303" s="967"/>
      <c r="F303" s="969"/>
      <c r="G303" s="970"/>
    </row>
    <row r="304" spans="1:7">
      <c r="A304" s="696"/>
      <c r="B304" s="696"/>
      <c r="C304" s="703"/>
      <c r="D304" s="968"/>
      <c r="E304" s="967"/>
      <c r="F304" s="969"/>
      <c r="G304" s="970"/>
    </row>
    <row r="305" spans="1:7">
      <c r="A305" s="696">
        <f>A300+1</f>
        <v>49</v>
      </c>
      <c r="B305" s="696"/>
      <c r="C305" s="703" t="s">
        <v>300</v>
      </c>
      <c r="D305" s="968"/>
      <c r="E305" s="967"/>
      <c r="F305" s="969"/>
      <c r="G305" s="970"/>
    </row>
    <row r="306" spans="1:7">
      <c r="A306" s="696"/>
      <c r="B306" s="696"/>
      <c r="C306" s="697"/>
      <c r="D306" s="968"/>
      <c r="E306" s="967"/>
      <c r="F306" s="969"/>
      <c r="G306" s="970"/>
    </row>
    <row r="307" spans="1:7">
      <c r="A307" s="696"/>
      <c r="B307" s="696" t="s">
        <v>294</v>
      </c>
      <c r="C307" s="703" t="s">
        <v>319</v>
      </c>
      <c r="D307" s="968">
        <f>2*2</f>
        <v>4</v>
      </c>
      <c r="E307" s="967" t="s">
        <v>283</v>
      </c>
      <c r="F307" s="969"/>
      <c r="G307" s="970">
        <f>F307*D307</f>
        <v>0</v>
      </c>
    </row>
    <row r="308" spans="1:7">
      <c r="A308" s="696"/>
      <c r="B308" s="696"/>
      <c r="C308" s="703"/>
      <c r="D308" s="968"/>
      <c r="E308" s="967"/>
      <c r="F308" s="969"/>
      <c r="G308" s="970"/>
    </row>
    <row r="309" spans="1:7">
      <c r="A309" s="696"/>
      <c r="B309" s="696"/>
      <c r="C309" s="703"/>
      <c r="D309" s="968"/>
      <c r="E309" s="967"/>
      <c r="F309" s="969"/>
      <c r="G309" s="970"/>
    </row>
    <row r="310" spans="1:7">
      <c r="A310" s="705">
        <f>A305+1</f>
        <v>50</v>
      </c>
      <c r="B310" s="705"/>
      <c r="C310" s="706" t="s">
        <v>303</v>
      </c>
      <c r="D310" s="1048"/>
      <c r="E310" s="1047"/>
      <c r="F310" s="1049"/>
      <c r="G310" s="1050"/>
    </row>
    <row r="311" spans="1:7">
      <c r="A311" s="705"/>
      <c r="B311" s="705"/>
      <c r="C311" s="1051"/>
      <c r="D311" s="1048"/>
      <c r="E311" s="1047"/>
      <c r="F311" s="1049"/>
      <c r="G311" s="1050"/>
    </row>
    <row r="312" spans="1:7">
      <c r="A312" s="705"/>
      <c r="B312" s="705" t="s">
        <v>294</v>
      </c>
      <c r="C312" s="706" t="s">
        <v>319</v>
      </c>
      <c r="D312" s="1048">
        <v>1</v>
      </c>
      <c r="E312" s="1047" t="s">
        <v>283</v>
      </c>
      <c r="F312" s="1049">
        <f ca="1">Elec_Est!E451</f>
        <v>3991.72</v>
      </c>
      <c r="G312" s="1050">
        <f ca="1">F312*D312</f>
        <v>3991.72</v>
      </c>
    </row>
    <row r="313" spans="1:7">
      <c r="A313" s="696"/>
      <c r="B313" s="696"/>
      <c r="C313" s="703"/>
      <c r="D313" s="968"/>
      <c r="E313" s="967"/>
      <c r="F313" s="969"/>
      <c r="G313" s="970"/>
    </row>
    <row r="314" spans="1:7">
      <c r="A314" s="696"/>
      <c r="B314" s="696"/>
      <c r="C314" s="703"/>
      <c r="D314" s="968"/>
      <c r="E314" s="967"/>
      <c r="F314" s="969"/>
      <c r="G314" s="970"/>
    </row>
    <row r="315" spans="1:7">
      <c r="A315" s="696">
        <f>A310+1</f>
        <v>51</v>
      </c>
      <c r="B315" s="696"/>
      <c r="C315" s="703" t="s">
        <v>309</v>
      </c>
      <c r="D315" s="968"/>
      <c r="E315" s="967"/>
      <c r="F315" s="969"/>
      <c r="G315" s="970"/>
    </row>
    <row r="316" spans="1:7">
      <c r="A316" s="696"/>
      <c r="B316" s="696"/>
      <c r="C316" s="697"/>
      <c r="D316" s="968"/>
      <c r="E316" s="967"/>
      <c r="F316" s="969"/>
      <c r="G316" s="970"/>
    </row>
    <row r="317" spans="1:7">
      <c r="A317" s="696"/>
      <c r="B317" s="696" t="s">
        <v>294</v>
      </c>
      <c r="C317" s="703" t="s">
        <v>319</v>
      </c>
      <c r="D317" s="968">
        <v>1</v>
      </c>
      <c r="E317" s="967" t="s">
        <v>283</v>
      </c>
      <c r="F317" s="969"/>
      <c r="G317" s="970">
        <f>F317*D317</f>
        <v>0</v>
      </c>
    </row>
    <row r="318" spans="1:7">
      <c r="A318" s="696"/>
      <c r="B318" s="696"/>
      <c r="C318" s="703"/>
      <c r="D318" s="968"/>
      <c r="E318" s="967"/>
      <c r="F318" s="969"/>
      <c r="G318" s="970"/>
    </row>
    <row r="319" spans="1:7">
      <c r="A319" s="696"/>
      <c r="B319" s="696"/>
      <c r="C319" s="703"/>
      <c r="D319" s="968"/>
      <c r="E319" s="967"/>
      <c r="F319" s="969"/>
      <c r="G319" s="970"/>
    </row>
    <row r="320" spans="1:7">
      <c r="A320" s="696">
        <f>A315+1</f>
        <v>52</v>
      </c>
      <c r="B320" s="696"/>
      <c r="C320" s="703" t="s">
        <v>311</v>
      </c>
      <c r="D320" s="968">
        <v>2</v>
      </c>
      <c r="E320" s="967" t="s">
        <v>283</v>
      </c>
      <c r="F320" s="969"/>
      <c r="G320" s="970">
        <f>F320*D320</f>
        <v>0</v>
      </c>
    </row>
    <row r="321" spans="1:7">
      <c r="A321" s="696"/>
      <c r="B321" s="696"/>
      <c r="C321" s="703"/>
      <c r="D321" s="968"/>
      <c r="E321" s="967"/>
      <c r="F321" s="969"/>
      <c r="G321" s="970"/>
    </row>
    <row r="322" spans="1:7">
      <c r="A322" s="696"/>
      <c r="B322" s="696"/>
      <c r="C322" s="703"/>
      <c r="D322" s="968"/>
      <c r="E322" s="967"/>
      <c r="F322" s="969"/>
      <c r="G322" s="970"/>
    </row>
    <row r="323" spans="1:7">
      <c r="A323" s="696">
        <f>A320+1</f>
        <v>53</v>
      </c>
      <c r="B323" s="696"/>
      <c r="C323" s="703" t="s">
        <v>312</v>
      </c>
      <c r="D323" s="968">
        <f>2*2</f>
        <v>4</v>
      </c>
      <c r="E323" s="967" t="s">
        <v>283</v>
      </c>
      <c r="F323" s="969"/>
      <c r="G323" s="970">
        <f>F323*D323</f>
        <v>0</v>
      </c>
    </row>
    <row r="324" spans="1:7">
      <c r="A324" s="696"/>
      <c r="B324" s="696"/>
      <c r="C324" s="703"/>
      <c r="D324" s="968"/>
      <c r="E324" s="967"/>
      <c r="F324" s="969"/>
      <c r="G324" s="970"/>
    </row>
    <row r="325" spans="1:7">
      <c r="A325" s="696"/>
      <c r="B325" s="696"/>
      <c r="C325" s="703"/>
      <c r="D325" s="968"/>
      <c r="E325" s="967"/>
      <c r="F325" s="969"/>
      <c r="G325" s="970"/>
    </row>
    <row r="326" spans="1:7">
      <c r="A326" s="696"/>
      <c r="B326" s="696"/>
      <c r="C326" s="703"/>
      <c r="D326" s="968"/>
      <c r="E326" s="967"/>
      <c r="F326" s="969"/>
      <c r="G326" s="970"/>
    </row>
    <row r="327" spans="1:7">
      <c r="A327" s="696"/>
      <c r="B327" s="696"/>
      <c r="C327" s="703"/>
      <c r="D327" s="968"/>
      <c r="E327" s="967"/>
      <c r="F327" s="969"/>
      <c r="G327" s="970"/>
    </row>
    <row r="328" spans="1:7">
      <c r="A328" s="696"/>
      <c r="B328" s="696"/>
      <c r="C328" s="703"/>
      <c r="D328" s="968"/>
      <c r="E328" s="967"/>
      <c r="F328" s="969"/>
      <c r="G328" s="970"/>
    </row>
    <row r="329" spans="1:7">
      <c r="A329" s="696"/>
      <c r="B329" s="696"/>
      <c r="C329" s="703"/>
      <c r="D329" s="968"/>
      <c r="E329" s="967"/>
      <c r="F329" s="969"/>
      <c r="G329" s="970"/>
    </row>
    <row r="330" spans="1:7" ht="15" thickBot="1">
      <c r="A330" s="696"/>
      <c r="B330" s="696"/>
      <c r="C330" s="703"/>
      <c r="D330" s="968"/>
      <c r="E330" s="967"/>
      <c r="F330" s="969"/>
      <c r="G330" s="970"/>
    </row>
    <row r="331" spans="1:7">
      <c r="A331" s="1014"/>
      <c r="B331" s="1014"/>
      <c r="C331" s="1015"/>
      <c r="D331" s="1017"/>
      <c r="E331" s="1016"/>
      <c r="F331" s="1018"/>
      <c r="G331" s="1019"/>
    </row>
    <row r="332" spans="1:7">
      <c r="A332" s="1020"/>
      <c r="B332" s="1020"/>
      <c r="C332" s="1021" t="s">
        <v>289</v>
      </c>
      <c r="D332" s="1023"/>
      <c r="E332" s="1022"/>
      <c r="F332" s="1024"/>
      <c r="G332" s="1010">
        <f ca="1">SUM(G288:G330)</f>
        <v>4769.2299999999996</v>
      </c>
    </row>
    <row r="333" spans="1:7">
      <c r="A333" s="1025"/>
      <c r="B333" s="1025"/>
      <c r="C333" s="1026"/>
      <c r="D333" s="1028"/>
      <c r="E333" s="1027"/>
      <c r="F333" s="1029"/>
      <c r="G333" s="1030"/>
    </row>
    <row r="334" spans="1:7" ht="17.399999999999999">
      <c r="A334" s="980"/>
      <c r="B334" s="981"/>
      <c r="C334" s="982"/>
      <c r="D334" s="983"/>
      <c r="E334" s="982"/>
      <c r="F334" s="984"/>
      <c r="G334" s="985"/>
    </row>
    <row r="335" spans="1:7">
      <c r="A335" s="986"/>
      <c r="B335" s="987"/>
      <c r="C335" s="988"/>
      <c r="D335" s="989"/>
      <c r="E335" s="988"/>
      <c r="F335" s="990"/>
      <c r="G335" s="991"/>
    </row>
    <row r="336" spans="1:7">
      <c r="A336" s="986"/>
      <c r="B336" s="987"/>
      <c r="C336" s="988"/>
      <c r="D336" s="989"/>
      <c r="E336" s="988"/>
      <c r="F336" s="990"/>
      <c r="G336" s="991"/>
    </row>
    <row r="337" spans="1:7">
      <c r="A337" s="992"/>
      <c r="B337" s="993"/>
      <c r="C337" s="543"/>
      <c r="D337" s="994"/>
      <c r="E337" s="543"/>
      <c r="F337" s="995"/>
      <c r="G337" s="996"/>
    </row>
    <row r="338" spans="1:7" ht="15" thickBot="1">
      <c r="A338" s="997" t="s">
        <v>276</v>
      </c>
      <c r="B338" s="998" t="s">
        <v>887</v>
      </c>
      <c r="C338" s="999"/>
      <c r="D338" s="1001" t="s">
        <v>277</v>
      </c>
      <c r="E338" s="1000" t="s">
        <v>266</v>
      </c>
      <c r="F338" s="1002" t="s">
        <v>278</v>
      </c>
      <c r="G338" s="1003" t="s">
        <v>267</v>
      </c>
    </row>
    <row r="339" spans="1:7">
      <c r="A339" s="696"/>
      <c r="B339" s="696"/>
      <c r="C339" s="703"/>
      <c r="D339" s="968"/>
      <c r="E339" s="967"/>
      <c r="F339" s="969"/>
      <c r="G339" s="970"/>
    </row>
    <row r="340" spans="1:7">
      <c r="A340" s="696">
        <f>A323+1</f>
        <v>54</v>
      </c>
      <c r="B340" s="696"/>
      <c r="C340" s="703" t="s">
        <v>313</v>
      </c>
      <c r="D340" s="968">
        <v>2</v>
      </c>
      <c r="E340" s="967" t="s">
        <v>283</v>
      </c>
      <c r="F340" s="969"/>
      <c r="G340" s="970">
        <f>F340*D340</f>
        <v>0</v>
      </c>
    </row>
    <row r="341" spans="1:7">
      <c r="A341" s="696"/>
      <c r="B341" s="696"/>
      <c r="C341" s="703"/>
      <c r="D341" s="968"/>
      <c r="E341" s="967"/>
      <c r="F341" s="969"/>
      <c r="G341" s="970"/>
    </row>
    <row r="342" spans="1:7">
      <c r="A342" s="696"/>
      <c r="B342" s="696"/>
      <c r="C342" s="703"/>
      <c r="D342" s="968"/>
      <c r="E342" s="967"/>
      <c r="F342" s="969"/>
      <c r="G342" s="970"/>
    </row>
    <row r="343" spans="1:7">
      <c r="A343" s="696">
        <f>A340+1</f>
        <v>55</v>
      </c>
      <c r="B343" s="696"/>
      <c r="C343" s="703" t="s">
        <v>314</v>
      </c>
      <c r="D343" s="968">
        <v>2</v>
      </c>
      <c r="E343" s="967" t="s">
        <v>283</v>
      </c>
      <c r="F343" s="969"/>
      <c r="G343" s="970">
        <f>F343*D343</f>
        <v>0</v>
      </c>
    </row>
    <row r="344" spans="1:7">
      <c r="A344" s="696"/>
      <c r="B344" s="696"/>
      <c r="C344" s="703"/>
      <c r="D344" s="968"/>
      <c r="E344" s="967"/>
      <c r="F344" s="969"/>
      <c r="G344" s="970"/>
    </row>
    <row r="345" spans="1:7">
      <c r="A345" s="696"/>
      <c r="B345" s="696"/>
      <c r="C345" s="703"/>
      <c r="D345" s="968"/>
      <c r="E345" s="967"/>
      <c r="F345" s="969"/>
      <c r="G345" s="970"/>
    </row>
    <row r="346" spans="1:7" ht="52.8">
      <c r="A346" s="705">
        <f>A343+1</f>
        <v>56</v>
      </c>
      <c r="B346" s="705"/>
      <c r="C346" s="706" t="s">
        <v>895</v>
      </c>
      <c r="D346" s="1048"/>
      <c r="E346" s="1047"/>
      <c r="F346" s="1049"/>
      <c r="G346" s="1050"/>
    </row>
    <row r="347" spans="1:7">
      <c r="A347" s="705"/>
      <c r="B347" s="705"/>
      <c r="C347" s="1051"/>
      <c r="D347" s="1048"/>
      <c r="E347" s="1047"/>
      <c r="F347" s="1049"/>
      <c r="G347" s="1050"/>
    </row>
    <row r="348" spans="1:7">
      <c r="A348" s="705"/>
      <c r="B348" s="705" t="s">
        <v>294</v>
      </c>
      <c r="C348" s="706" t="s">
        <v>913</v>
      </c>
      <c r="D348" s="1048">
        <v>1</v>
      </c>
      <c r="E348" s="1047" t="s">
        <v>283</v>
      </c>
      <c r="F348" s="1049">
        <f ca="1">Elec_Est!E470</f>
        <v>69.14</v>
      </c>
      <c r="G348" s="1050">
        <f ca="1">F348*D348</f>
        <v>69.14</v>
      </c>
    </row>
    <row r="349" spans="1:7">
      <c r="A349" s="705"/>
      <c r="B349" s="705"/>
      <c r="C349" s="706"/>
      <c r="D349" s="1048"/>
      <c r="E349" s="1047"/>
      <c r="F349" s="1049"/>
      <c r="G349" s="1050"/>
    </row>
    <row r="350" spans="1:7">
      <c r="A350" s="705"/>
      <c r="B350" s="705" t="s">
        <v>294</v>
      </c>
      <c r="C350" s="706" t="s">
        <v>914</v>
      </c>
      <c r="D350" s="1048">
        <v>1</v>
      </c>
      <c r="E350" s="1047" t="s">
        <v>283</v>
      </c>
      <c r="F350" s="1049">
        <f ca="1">Elec_Est!E491</f>
        <v>69.14</v>
      </c>
      <c r="G350" s="1050">
        <f ca="1">F350*D350</f>
        <v>69.14</v>
      </c>
    </row>
    <row r="351" spans="1:7">
      <c r="A351" s="696"/>
      <c r="B351" s="696"/>
      <c r="C351" s="703"/>
      <c r="D351" s="968"/>
      <c r="E351" s="967"/>
      <c r="F351" s="969"/>
      <c r="G351" s="970"/>
    </row>
    <row r="352" spans="1:7">
      <c r="A352" s="696"/>
      <c r="B352" s="696"/>
      <c r="C352" s="703"/>
      <c r="D352" s="968"/>
      <c r="E352" s="967"/>
      <c r="F352" s="969"/>
      <c r="G352" s="970"/>
    </row>
    <row r="353" spans="1:7">
      <c r="A353" s="696">
        <f>A346+1</f>
        <v>57</v>
      </c>
      <c r="B353" s="696"/>
      <c r="C353" s="703" t="s">
        <v>300</v>
      </c>
      <c r="D353" s="968"/>
      <c r="E353" s="967"/>
      <c r="F353" s="969"/>
      <c r="G353" s="970"/>
    </row>
    <row r="354" spans="1:7">
      <c r="A354" s="696"/>
      <c r="B354" s="696"/>
      <c r="C354" s="697"/>
      <c r="D354" s="968"/>
      <c r="E354" s="967"/>
      <c r="F354" s="969"/>
      <c r="G354" s="970"/>
    </row>
    <row r="355" spans="1:7">
      <c r="A355" s="696"/>
      <c r="B355" s="696" t="s">
        <v>294</v>
      </c>
      <c r="C355" s="703" t="s">
        <v>319</v>
      </c>
      <c r="D355" s="968">
        <v>4</v>
      </c>
      <c r="E355" s="967" t="s">
        <v>283</v>
      </c>
      <c r="F355" s="969"/>
      <c r="G355" s="970">
        <f>F355*D355</f>
        <v>0</v>
      </c>
    </row>
    <row r="356" spans="1:7">
      <c r="A356" s="696"/>
      <c r="B356" s="696"/>
      <c r="C356" s="703"/>
      <c r="D356" s="968"/>
      <c r="E356" s="967"/>
      <c r="F356" s="969"/>
      <c r="G356" s="970"/>
    </row>
    <row r="357" spans="1:7">
      <c r="A357" s="696"/>
      <c r="B357" s="696"/>
      <c r="C357" s="703"/>
      <c r="D357" s="968"/>
      <c r="E357" s="967"/>
      <c r="F357" s="969"/>
      <c r="G357" s="970"/>
    </row>
    <row r="358" spans="1:7">
      <c r="A358" s="1031">
        <f>A353+1</f>
        <v>58</v>
      </c>
      <c r="B358" s="696"/>
      <c r="C358" s="1032" t="s">
        <v>342</v>
      </c>
      <c r="D358" s="968"/>
      <c r="E358" s="967"/>
      <c r="F358" s="969"/>
      <c r="G358" s="970"/>
    </row>
    <row r="359" spans="1:7">
      <c r="A359" s="696"/>
      <c r="B359" s="696"/>
      <c r="C359" s="697"/>
      <c r="D359" s="968"/>
      <c r="E359" s="967"/>
      <c r="F359" s="969"/>
      <c r="G359" s="970"/>
    </row>
    <row r="360" spans="1:7">
      <c r="A360" s="696"/>
      <c r="B360" s="696" t="s">
        <v>294</v>
      </c>
      <c r="C360" s="703" t="s">
        <v>319</v>
      </c>
      <c r="D360" s="968">
        <v>2</v>
      </c>
      <c r="E360" s="967" t="s">
        <v>283</v>
      </c>
      <c r="F360" s="969"/>
      <c r="G360" s="970">
        <f>F360*D360</f>
        <v>0</v>
      </c>
    </row>
    <row r="361" spans="1:7">
      <c r="A361" s="696"/>
      <c r="B361" s="696"/>
      <c r="C361" s="703"/>
      <c r="D361" s="968"/>
      <c r="E361" s="967"/>
      <c r="F361" s="969"/>
      <c r="G361" s="970"/>
    </row>
    <row r="362" spans="1:7">
      <c r="A362" s="696"/>
      <c r="B362" s="696"/>
      <c r="C362" s="703"/>
      <c r="D362" s="968"/>
      <c r="E362" s="967"/>
      <c r="F362" s="969"/>
      <c r="G362" s="970"/>
    </row>
    <row r="363" spans="1:7">
      <c r="A363" s="1031">
        <f>A358+1</f>
        <v>59</v>
      </c>
      <c r="B363" s="696"/>
      <c r="C363" s="1032" t="s">
        <v>343</v>
      </c>
      <c r="D363" s="968"/>
      <c r="E363" s="967"/>
      <c r="F363" s="969"/>
      <c r="G363" s="970"/>
    </row>
    <row r="364" spans="1:7">
      <c r="A364" s="696"/>
      <c r="B364" s="696"/>
      <c r="C364" s="697"/>
      <c r="D364" s="968"/>
      <c r="E364" s="967"/>
      <c r="F364" s="969"/>
      <c r="G364" s="970"/>
    </row>
    <row r="365" spans="1:7">
      <c r="A365" s="696"/>
      <c r="B365" s="696" t="s">
        <v>294</v>
      </c>
      <c r="C365" s="703" t="s">
        <v>319</v>
      </c>
      <c r="D365" s="968">
        <v>2</v>
      </c>
      <c r="E365" s="967" t="s">
        <v>283</v>
      </c>
      <c r="F365" s="969"/>
      <c r="G365" s="970">
        <f>F365*D365</f>
        <v>0</v>
      </c>
    </row>
    <row r="366" spans="1:7">
      <c r="A366" s="696"/>
      <c r="B366" s="696"/>
      <c r="C366" s="703"/>
      <c r="D366" s="968"/>
      <c r="E366" s="967"/>
      <c r="F366" s="969"/>
      <c r="G366" s="970"/>
    </row>
    <row r="367" spans="1:7">
      <c r="A367" s="696"/>
      <c r="B367" s="696"/>
      <c r="C367" s="703"/>
      <c r="D367" s="968"/>
      <c r="E367" s="967"/>
      <c r="F367" s="969"/>
      <c r="G367" s="970"/>
    </row>
    <row r="368" spans="1:7">
      <c r="A368" s="696">
        <f>A363+1</f>
        <v>60</v>
      </c>
      <c r="B368" s="696"/>
      <c r="C368" s="703" t="s">
        <v>311</v>
      </c>
      <c r="D368" s="968">
        <v>4</v>
      </c>
      <c r="E368" s="967" t="s">
        <v>283</v>
      </c>
      <c r="F368" s="969"/>
      <c r="G368" s="970">
        <f>F368*D368</f>
        <v>0</v>
      </c>
    </row>
    <row r="369" spans="1:7">
      <c r="A369" s="696"/>
      <c r="B369" s="696"/>
      <c r="C369" s="703"/>
      <c r="D369" s="968"/>
      <c r="E369" s="967"/>
      <c r="F369" s="969"/>
      <c r="G369" s="970"/>
    </row>
    <row r="370" spans="1:7">
      <c r="A370" s="696"/>
      <c r="B370" s="696"/>
      <c r="C370" s="703"/>
      <c r="D370" s="968"/>
      <c r="E370" s="967"/>
      <c r="F370" s="969"/>
      <c r="G370" s="970"/>
    </row>
    <row r="371" spans="1:7">
      <c r="A371" s="696"/>
      <c r="B371" s="696"/>
      <c r="C371" s="1012" t="s">
        <v>909</v>
      </c>
      <c r="D371" s="968"/>
      <c r="E371" s="967"/>
      <c r="F371" s="969"/>
      <c r="G371" s="970"/>
    </row>
    <row r="372" spans="1:7">
      <c r="A372" s="696"/>
      <c r="B372" s="696"/>
      <c r="C372" s="697"/>
      <c r="D372" s="968"/>
      <c r="E372" s="967"/>
      <c r="F372" s="969"/>
      <c r="G372" s="970"/>
    </row>
    <row r="373" spans="1:7" ht="26.4">
      <c r="A373" s="696">
        <f>A368+1</f>
        <v>61</v>
      </c>
      <c r="B373" s="696"/>
      <c r="C373" s="703" t="s">
        <v>293</v>
      </c>
      <c r="D373" s="968"/>
      <c r="E373" s="967"/>
      <c r="F373" s="969"/>
      <c r="G373" s="970"/>
    </row>
    <row r="374" spans="1:7">
      <c r="A374" s="696"/>
      <c r="B374" s="696"/>
      <c r="C374" s="703"/>
      <c r="D374" s="968"/>
      <c r="E374" s="967"/>
      <c r="F374" s="969"/>
      <c r="G374" s="970"/>
    </row>
    <row r="375" spans="1:7">
      <c r="A375" s="696"/>
      <c r="B375" s="696" t="s">
        <v>294</v>
      </c>
      <c r="C375" s="703" t="s">
        <v>316</v>
      </c>
      <c r="D375" s="968">
        <f>10*2</f>
        <v>20</v>
      </c>
      <c r="E375" s="967" t="s">
        <v>296</v>
      </c>
      <c r="F375" s="969"/>
      <c r="G375" s="970">
        <f>F375*D375</f>
        <v>0</v>
      </c>
    </row>
    <row r="376" spans="1:7">
      <c r="A376" s="696"/>
      <c r="B376" s="696"/>
      <c r="C376" s="703"/>
      <c r="D376" s="968"/>
      <c r="E376" s="967"/>
      <c r="F376" s="969"/>
      <c r="G376" s="970"/>
    </row>
    <row r="377" spans="1:7">
      <c r="A377" s="696"/>
      <c r="B377" s="696"/>
      <c r="C377" s="703"/>
      <c r="D377" s="968"/>
      <c r="E377" s="967"/>
      <c r="F377" s="969"/>
      <c r="G377" s="970"/>
    </row>
    <row r="378" spans="1:7">
      <c r="A378" s="696">
        <f>A373+1</f>
        <v>62</v>
      </c>
      <c r="B378" s="696"/>
      <c r="C378" s="703" t="s">
        <v>300</v>
      </c>
      <c r="D378" s="968"/>
      <c r="E378" s="967"/>
      <c r="F378" s="969"/>
      <c r="G378" s="970"/>
    </row>
    <row r="379" spans="1:7">
      <c r="A379" s="696"/>
      <c r="B379" s="696"/>
      <c r="C379" s="697"/>
      <c r="D379" s="968"/>
      <c r="E379" s="967"/>
      <c r="F379" s="969"/>
      <c r="G379" s="970"/>
    </row>
    <row r="380" spans="1:7">
      <c r="A380" s="696"/>
      <c r="B380" s="696" t="s">
        <v>294</v>
      </c>
      <c r="C380" s="703" t="s">
        <v>319</v>
      </c>
      <c r="D380" s="968">
        <f>2*2</f>
        <v>4</v>
      </c>
      <c r="E380" s="967" t="s">
        <v>283</v>
      </c>
      <c r="F380" s="969"/>
      <c r="G380" s="970">
        <f>F380*D380</f>
        <v>0</v>
      </c>
    </row>
    <row r="381" spans="1:7">
      <c r="A381" s="696"/>
      <c r="B381" s="696"/>
      <c r="C381" s="703"/>
      <c r="D381" s="968"/>
      <c r="E381" s="967"/>
      <c r="F381" s="969"/>
      <c r="G381" s="970"/>
    </row>
    <row r="382" spans="1:7">
      <c r="A382" s="696"/>
      <c r="B382" s="696"/>
      <c r="C382" s="703"/>
      <c r="D382" s="968"/>
      <c r="E382" s="967"/>
      <c r="F382" s="969"/>
      <c r="G382" s="970"/>
    </row>
    <row r="383" spans="1:7">
      <c r="A383" s="696">
        <f>A378+1</f>
        <v>63</v>
      </c>
      <c r="B383" s="696"/>
      <c r="C383" s="703" t="s">
        <v>309</v>
      </c>
      <c r="D383" s="968"/>
      <c r="E383" s="967"/>
      <c r="F383" s="969"/>
      <c r="G383" s="970"/>
    </row>
    <row r="384" spans="1:7">
      <c r="A384" s="696"/>
      <c r="B384" s="696"/>
      <c r="C384" s="697"/>
      <c r="D384" s="968"/>
      <c r="E384" s="967"/>
      <c r="F384" s="969"/>
      <c r="G384" s="970"/>
    </row>
    <row r="385" spans="1:7">
      <c r="A385" s="696"/>
      <c r="B385" s="696" t="s">
        <v>294</v>
      </c>
      <c r="C385" s="703" t="s">
        <v>319</v>
      </c>
      <c r="D385" s="968">
        <v>1</v>
      </c>
      <c r="E385" s="967" t="s">
        <v>283</v>
      </c>
      <c r="F385" s="969"/>
      <c r="G385" s="970">
        <f>F385*D385</f>
        <v>0</v>
      </c>
    </row>
    <row r="386" spans="1:7">
      <c r="A386" s="696"/>
      <c r="B386" s="696"/>
      <c r="C386" s="703"/>
      <c r="D386" s="968"/>
      <c r="E386" s="967"/>
      <c r="F386" s="969"/>
      <c r="G386" s="970"/>
    </row>
    <row r="387" spans="1:7" ht="15" thickBot="1">
      <c r="A387" s="696"/>
      <c r="B387" s="696"/>
      <c r="C387" s="703"/>
      <c r="D387" s="968"/>
      <c r="E387" s="967"/>
      <c r="F387" s="969"/>
      <c r="G387" s="970"/>
    </row>
    <row r="388" spans="1:7">
      <c r="A388" s="1014"/>
      <c r="B388" s="1014"/>
      <c r="C388" s="1015"/>
      <c r="D388" s="1017"/>
      <c r="E388" s="1016"/>
      <c r="F388" s="1018"/>
      <c r="G388" s="1019"/>
    </row>
    <row r="389" spans="1:7">
      <c r="A389" s="1020"/>
      <c r="B389" s="1020"/>
      <c r="C389" s="1021" t="s">
        <v>289</v>
      </c>
      <c r="D389" s="1023"/>
      <c r="E389" s="1022"/>
      <c r="F389" s="1024"/>
      <c r="G389" s="1010">
        <f ca="1">SUM(G339:G387)</f>
        <v>138.28</v>
      </c>
    </row>
    <row r="390" spans="1:7">
      <c r="A390" s="1025"/>
      <c r="B390" s="1025"/>
      <c r="C390" s="1026"/>
      <c r="D390" s="1028"/>
      <c r="E390" s="1027"/>
      <c r="F390" s="1029"/>
      <c r="G390" s="1030"/>
    </row>
    <row r="391" spans="1:7" ht="17.399999999999999">
      <c r="A391" s="980"/>
      <c r="B391" s="981"/>
      <c r="C391" s="982"/>
      <c r="D391" s="983"/>
      <c r="E391" s="982"/>
      <c r="F391" s="984"/>
      <c r="G391" s="985"/>
    </row>
    <row r="392" spans="1:7">
      <c r="A392" s="986"/>
      <c r="B392" s="987"/>
      <c r="C392" s="988"/>
      <c r="D392" s="989"/>
      <c r="E392" s="988"/>
      <c r="F392" s="990"/>
      <c r="G392" s="991"/>
    </row>
    <row r="393" spans="1:7">
      <c r="A393" s="986"/>
      <c r="B393" s="987"/>
      <c r="C393" s="988"/>
      <c r="D393" s="989"/>
      <c r="E393" s="988"/>
      <c r="F393" s="990"/>
      <c r="G393" s="991"/>
    </row>
    <row r="394" spans="1:7">
      <c r="A394" s="992"/>
      <c r="B394" s="993"/>
      <c r="C394" s="543"/>
      <c r="D394" s="994"/>
      <c r="E394" s="543"/>
      <c r="F394" s="995"/>
      <c r="G394" s="996"/>
    </row>
    <row r="395" spans="1:7" ht="15" thickBot="1">
      <c r="A395" s="997" t="s">
        <v>276</v>
      </c>
      <c r="B395" s="998" t="s">
        <v>887</v>
      </c>
      <c r="C395" s="999"/>
      <c r="D395" s="1001" t="s">
        <v>277</v>
      </c>
      <c r="E395" s="1000" t="s">
        <v>266</v>
      </c>
      <c r="F395" s="1002" t="s">
        <v>278</v>
      </c>
      <c r="G395" s="1003" t="s">
        <v>267</v>
      </c>
    </row>
    <row r="396" spans="1:7">
      <c r="A396" s="696"/>
      <c r="B396" s="696"/>
      <c r="C396" s="703"/>
      <c r="D396" s="968"/>
      <c r="E396" s="967"/>
      <c r="F396" s="969"/>
      <c r="G396" s="970"/>
    </row>
    <row r="397" spans="1:7">
      <c r="A397" s="696">
        <f>A383+1</f>
        <v>64</v>
      </c>
      <c r="B397" s="696"/>
      <c r="C397" s="703" t="s">
        <v>311</v>
      </c>
      <c r="D397" s="968">
        <f>2*2</f>
        <v>4</v>
      </c>
      <c r="E397" s="967" t="s">
        <v>283</v>
      </c>
      <c r="F397" s="969"/>
      <c r="G397" s="970">
        <f>F397*D397</f>
        <v>0</v>
      </c>
    </row>
    <row r="398" spans="1:7">
      <c r="A398" s="696"/>
      <c r="B398" s="696"/>
      <c r="C398" s="703"/>
      <c r="D398" s="968"/>
      <c r="E398" s="967"/>
      <c r="F398" s="969"/>
      <c r="G398" s="970"/>
    </row>
    <row r="399" spans="1:7">
      <c r="A399" s="696"/>
      <c r="B399" s="696"/>
      <c r="C399" s="703"/>
      <c r="D399" s="968"/>
      <c r="E399" s="967"/>
      <c r="F399" s="969"/>
      <c r="G399" s="970"/>
    </row>
    <row r="400" spans="1:7">
      <c r="A400" s="696">
        <f>A397+1</f>
        <v>65</v>
      </c>
      <c r="B400" s="696"/>
      <c r="C400" s="703" t="s">
        <v>312</v>
      </c>
      <c r="D400" s="968">
        <v>2</v>
      </c>
      <c r="E400" s="967" t="s">
        <v>283</v>
      </c>
      <c r="F400" s="969"/>
      <c r="G400" s="970">
        <f>F400*D400</f>
        <v>0</v>
      </c>
    </row>
    <row r="401" spans="1:7">
      <c r="A401" s="696"/>
      <c r="B401" s="696"/>
      <c r="C401" s="703"/>
      <c r="D401" s="968"/>
      <c r="E401" s="967"/>
      <c r="F401" s="969"/>
      <c r="G401" s="970"/>
    </row>
    <row r="402" spans="1:7">
      <c r="A402" s="696"/>
      <c r="B402" s="696"/>
      <c r="C402" s="703"/>
      <c r="D402" s="968"/>
      <c r="E402" s="967"/>
      <c r="F402" s="969"/>
      <c r="G402" s="970"/>
    </row>
    <row r="403" spans="1:7">
      <c r="A403" s="696">
        <f>A400+1</f>
        <v>66</v>
      </c>
      <c r="B403" s="696"/>
      <c r="C403" s="703" t="s">
        <v>313</v>
      </c>
      <c r="D403" s="968">
        <v>2</v>
      </c>
      <c r="E403" s="967" t="s">
        <v>283</v>
      </c>
      <c r="F403" s="969"/>
      <c r="G403" s="970">
        <f>F403*D403</f>
        <v>0</v>
      </c>
    </row>
    <row r="404" spans="1:7">
      <c r="A404" s="696"/>
      <c r="B404" s="696"/>
      <c r="C404" s="703"/>
      <c r="D404" s="968"/>
      <c r="E404" s="967"/>
      <c r="F404" s="969"/>
      <c r="G404" s="970"/>
    </row>
    <row r="405" spans="1:7">
      <c r="A405" s="696"/>
      <c r="B405" s="696"/>
      <c r="C405" s="703"/>
      <c r="D405" s="968"/>
      <c r="E405" s="967"/>
      <c r="F405" s="969"/>
      <c r="G405" s="970"/>
    </row>
    <row r="406" spans="1:7">
      <c r="A406" s="696">
        <f>A403+1</f>
        <v>67</v>
      </c>
      <c r="B406" s="696"/>
      <c r="C406" s="703" t="s">
        <v>314</v>
      </c>
      <c r="D406" s="968">
        <v>2</v>
      </c>
      <c r="E406" s="967" t="s">
        <v>283</v>
      </c>
      <c r="F406" s="969"/>
      <c r="G406" s="970">
        <f>F406*D406</f>
        <v>0</v>
      </c>
    </row>
    <row r="407" spans="1:7">
      <c r="A407" s="696"/>
      <c r="B407" s="696"/>
      <c r="C407" s="703"/>
      <c r="D407" s="968"/>
      <c r="E407" s="967"/>
      <c r="F407" s="969"/>
      <c r="G407" s="970"/>
    </row>
    <row r="408" spans="1:7">
      <c r="A408" s="696"/>
      <c r="B408" s="696"/>
      <c r="C408" s="703"/>
      <c r="D408" s="968"/>
      <c r="E408" s="967"/>
      <c r="F408" s="969"/>
      <c r="G408" s="970"/>
    </row>
    <row r="409" spans="1:7" ht="39.6">
      <c r="A409" s="705">
        <f>A406+1</f>
        <v>68</v>
      </c>
      <c r="B409" s="705"/>
      <c r="C409" s="706" t="s">
        <v>915</v>
      </c>
      <c r="D409" s="1048"/>
      <c r="E409" s="1047"/>
      <c r="F409" s="1049"/>
      <c r="G409" s="1050"/>
    </row>
    <row r="410" spans="1:7">
      <c r="A410" s="705"/>
      <c r="B410" s="705"/>
      <c r="C410" s="1051"/>
      <c r="D410" s="1048"/>
      <c r="E410" s="1047"/>
      <c r="F410" s="1049"/>
      <c r="G410" s="1050"/>
    </row>
    <row r="411" spans="1:7">
      <c r="A411" s="705"/>
      <c r="B411" s="705" t="s">
        <v>294</v>
      </c>
      <c r="C411" s="706" t="s">
        <v>916</v>
      </c>
      <c r="D411" s="1048">
        <v>1</v>
      </c>
      <c r="E411" s="1047" t="s">
        <v>283</v>
      </c>
      <c r="F411" s="1049">
        <f ca="1">Elec_Est!E516</f>
        <v>76.62</v>
      </c>
      <c r="G411" s="1050">
        <f ca="1">F411*D411</f>
        <v>76.62</v>
      </c>
    </row>
    <row r="412" spans="1:7">
      <c r="A412" s="696"/>
      <c r="B412" s="696"/>
      <c r="C412" s="703"/>
      <c r="D412" s="968"/>
      <c r="E412" s="967"/>
      <c r="F412" s="969"/>
      <c r="G412" s="970"/>
    </row>
    <row r="413" spans="1:7">
      <c r="A413" s="696"/>
      <c r="B413" s="696"/>
      <c r="C413" s="703"/>
      <c r="D413" s="968"/>
      <c r="E413" s="967"/>
      <c r="F413" s="969"/>
      <c r="G413" s="970"/>
    </row>
    <row r="414" spans="1:7">
      <c r="A414" s="696">
        <f>A409+1</f>
        <v>69</v>
      </c>
      <c r="B414" s="696"/>
      <c r="C414" s="703" t="s">
        <v>300</v>
      </c>
      <c r="D414" s="968"/>
      <c r="E414" s="967"/>
      <c r="F414" s="969"/>
      <c r="G414" s="970"/>
    </row>
    <row r="415" spans="1:7">
      <c r="A415" s="696"/>
      <c r="B415" s="696"/>
      <c r="C415" s="697"/>
      <c r="D415" s="968"/>
      <c r="E415" s="967"/>
      <c r="F415" s="969"/>
      <c r="G415" s="970"/>
    </row>
    <row r="416" spans="1:7">
      <c r="A416" s="696"/>
      <c r="B416" s="696" t="s">
        <v>294</v>
      </c>
      <c r="C416" s="703" t="s">
        <v>319</v>
      </c>
      <c r="D416" s="968">
        <v>2</v>
      </c>
      <c r="E416" s="967" t="s">
        <v>283</v>
      </c>
      <c r="F416" s="969"/>
      <c r="G416" s="970">
        <f>F416*D416</f>
        <v>0</v>
      </c>
    </row>
    <row r="417" spans="1:7">
      <c r="A417" s="696"/>
      <c r="B417" s="696"/>
      <c r="C417" s="703"/>
      <c r="D417" s="968"/>
      <c r="E417" s="967"/>
      <c r="F417" s="969"/>
      <c r="G417" s="970"/>
    </row>
    <row r="418" spans="1:7">
      <c r="A418" s="696"/>
      <c r="B418" s="696"/>
      <c r="C418" s="703"/>
      <c r="D418" s="968"/>
      <c r="E418" s="967"/>
      <c r="F418" s="969"/>
      <c r="G418" s="970"/>
    </row>
    <row r="419" spans="1:7">
      <c r="A419" s="1031">
        <f>A414+1</f>
        <v>70</v>
      </c>
      <c r="B419" s="696"/>
      <c r="C419" s="1032" t="s">
        <v>342</v>
      </c>
      <c r="D419" s="968"/>
      <c r="E419" s="967"/>
      <c r="F419" s="969"/>
      <c r="G419" s="970"/>
    </row>
    <row r="420" spans="1:7">
      <c r="A420" s="696"/>
      <c r="B420" s="696"/>
      <c r="C420" s="697"/>
      <c r="D420" s="968"/>
      <c r="E420" s="967"/>
      <c r="F420" s="969"/>
      <c r="G420" s="970"/>
    </row>
    <row r="421" spans="1:7">
      <c r="A421" s="696"/>
      <c r="B421" s="696" t="s">
        <v>294</v>
      </c>
      <c r="C421" s="703" t="s">
        <v>319</v>
      </c>
      <c r="D421" s="968">
        <v>1</v>
      </c>
      <c r="E421" s="967" t="s">
        <v>283</v>
      </c>
      <c r="F421" s="969"/>
      <c r="G421" s="970">
        <f>F421*D421</f>
        <v>0</v>
      </c>
    </row>
    <row r="422" spans="1:7">
      <c r="A422" s="696"/>
      <c r="B422" s="696"/>
      <c r="C422" s="703"/>
      <c r="D422" s="968"/>
      <c r="E422" s="967"/>
      <c r="F422" s="969"/>
      <c r="G422" s="970"/>
    </row>
    <row r="423" spans="1:7">
      <c r="A423" s="1031">
        <f>A419+1</f>
        <v>71</v>
      </c>
      <c r="B423" s="696"/>
      <c r="C423" s="1032" t="s">
        <v>343</v>
      </c>
      <c r="D423" s="968"/>
      <c r="E423" s="967"/>
      <c r="F423" s="969"/>
      <c r="G423" s="970"/>
    </row>
    <row r="424" spans="1:7">
      <c r="A424" s="696"/>
      <c r="B424" s="696"/>
      <c r="C424" s="697"/>
      <c r="D424" s="968"/>
      <c r="E424" s="967"/>
      <c r="F424" s="969"/>
      <c r="G424" s="970"/>
    </row>
    <row r="425" spans="1:7">
      <c r="A425" s="696"/>
      <c r="B425" s="696" t="s">
        <v>294</v>
      </c>
      <c r="C425" s="703" t="s">
        <v>319</v>
      </c>
      <c r="D425" s="968">
        <v>1</v>
      </c>
      <c r="E425" s="967" t="s">
        <v>283</v>
      </c>
      <c r="F425" s="969"/>
      <c r="G425" s="970">
        <f>F425*D425</f>
        <v>0</v>
      </c>
    </row>
    <row r="426" spans="1:7">
      <c r="A426" s="696"/>
      <c r="B426" s="696"/>
      <c r="C426" s="703"/>
      <c r="D426" s="968"/>
      <c r="E426" s="967"/>
      <c r="F426" s="969"/>
      <c r="G426" s="970"/>
    </row>
    <row r="427" spans="1:7">
      <c r="A427" s="696"/>
      <c r="B427" s="696"/>
      <c r="C427" s="703"/>
      <c r="D427" s="968"/>
      <c r="E427" s="967"/>
      <c r="F427" s="969"/>
      <c r="G427" s="970"/>
    </row>
    <row r="428" spans="1:7">
      <c r="A428" s="696">
        <f>A423+1</f>
        <v>72</v>
      </c>
      <c r="B428" s="696"/>
      <c r="C428" s="703" t="s">
        <v>311</v>
      </c>
      <c r="D428" s="968">
        <v>2</v>
      </c>
      <c r="E428" s="967" t="s">
        <v>283</v>
      </c>
      <c r="F428" s="969"/>
      <c r="G428" s="970">
        <f>F428*D428</f>
        <v>0</v>
      </c>
    </row>
    <row r="429" spans="1:7">
      <c r="A429" s="696"/>
      <c r="B429" s="696"/>
      <c r="C429" s="703"/>
      <c r="D429" s="968"/>
      <c r="E429" s="967"/>
      <c r="F429" s="969"/>
      <c r="G429" s="970"/>
    </row>
    <row r="430" spans="1:7">
      <c r="A430" s="696"/>
      <c r="B430" s="696"/>
      <c r="C430" s="703"/>
      <c r="D430" s="968"/>
      <c r="E430" s="967"/>
      <c r="F430" s="969"/>
      <c r="G430" s="970"/>
    </row>
    <row r="431" spans="1:7">
      <c r="A431" s="696"/>
      <c r="B431" s="696"/>
      <c r="C431" s="703"/>
      <c r="D431" s="968"/>
      <c r="E431" s="967"/>
      <c r="F431" s="969"/>
      <c r="G431" s="970"/>
    </row>
    <row r="432" spans="1:7">
      <c r="A432" s="696"/>
      <c r="B432" s="696"/>
      <c r="C432" s="703"/>
      <c r="D432" s="968"/>
      <c r="E432" s="967"/>
      <c r="F432" s="969"/>
      <c r="G432" s="970"/>
    </row>
    <row r="433" spans="1:7">
      <c r="A433" s="696"/>
      <c r="B433" s="696"/>
      <c r="C433" s="703"/>
      <c r="D433" s="968"/>
      <c r="E433" s="967"/>
      <c r="F433" s="969"/>
      <c r="G433" s="970"/>
    </row>
    <row r="434" spans="1:7">
      <c r="A434" s="696"/>
      <c r="B434" s="696"/>
      <c r="C434" s="703"/>
      <c r="D434" s="968"/>
      <c r="E434" s="967"/>
      <c r="F434" s="969"/>
      <c r="G434" s="970"/>
    </row>
    <row r="435" spans="1:7">
      <c r="A435" s="696"/>
      <c r="B435" s="696"/>
      <c r="C435" s="703"/>
      <c r="D435" s="968"/>
      <c r="E435" s="967"/>
      <c r="F435" s="969"/>
      <c r="G435" s="970"/>
    </row>
    <row r="436" spans="1:7">
      <c r="A436" s="696"/>
      <c r="B436" s="696"/>
      <c r="C436" s="703"/>
      <c r="D436" s="968"/>
      <c r="E436" s="967"/>
      <c r="F436" s="969"/>
      <c r="G436" s="970"/>
    </row>
    <row r="437" spans="1:7">
      <c r="A437" s="696"/>
      <c r="B437" s="696"/>
      <c r="C437" s="703"/>
      <c r="D437" s="968"/>
      <c r="E437" s="967"/>
      <c r="F437" s="969"/>
      <c r="G437" s="970"/>
    </row>
    <row r="438" spans="1:7">
      <c r="A438" s="696"/>
      <c r="B438" s="696"/>
      <c r="C438" s="703"/>
      <c r="D438" s="968"/>
      <c r="E438" s="967"/>
      <c r="F438" s="969"/>
      <c r="G438" s="970"/>
    </row>
    <row r="439" spans="1:7">
      <c r="A439" s="696"/>
      <c r="B439" s="696"/>
      <c r="C439" s="703"/>
      <c r="D439" s="968"/>
      <c r="E439" s="967"/>
      <c r="F439" s="969"/>
      <c r="G439" s="970"/>
    </row>
    <row r="440" spans="1:7">
      <c r="A440" s="696"/>
      <c r="B440" s="696"/>
      <c r="C440" s="703"/>
      <c r="D440" s="968"/>
      <c r="E440" s="967"/>
      <c r="F440" s="969"/>
      <c r="G440" s="970"/>
    </row>
    <row r="441" spans="1:7">
      <c r="A441" s="696"/>
      <c r="B441" s="696"/>
      <c r="C441" s="703"/>
      <c r="D441" s="968"/>
      <c r="E441" s="967"/>
      <c r="F441" s="969"/>
      <c r="G441" s="970"/>
    </row>
    <row r="442" spans="1:7">
      <c r="A442" s="696"/>
      <c r="B442" s="696"/>
      <c r="C442" s="703"/>
      <c r="D442" s="968"/>
      <c r="E442" s="967"/>
      <c r="F442" s="969"/>
      <c r="G442" s="970"/>
    </row>
    <row r="443" spans="1:7">
      <c r="A443" s="696"/>
      <c r="B443" s="696"/>
      <c r="C443" s="1040"/>
      <c r="D443" s="1041"/>
      <c r="E443" s="967"/>
      <c r="F443" s="969"/>
      <c r="G443" s="970"/>
    </row>
    <row r="444" spans="1:7">
      <c r="A444" s="696"/>
      <c r="B444" s="696"/>
      <c r="C444" s="1040"/>
      <c r="D444" s="1041"/>
      <c r="E444" s="967"/>
      <c r="F444" s="969"/>
      <c r="G444" s="970"/>
    </row>
    <row r="445" spans="1:7" ht="15" thickBot="1">
      <c r="A445" s="696"/>
      <c r="B445" s="696"/>
      <c r="C445" s="1042"/>
      <c r="D445" s="968"/>
      <c r="E445" s="967"/>
      <c r="F445" s="969"/>
      <c r="G445" s="970"/>
    </row>
    <row r="446" spans="1:7">
      <c r="A446" s="1014"/>
      <c r="B446" s="1014"/>
      <c r="C446" s="1015"/>
      <c r="D446" s="1017"/>
      <c r="E446" s="1016"/>
      <c r="F446" s="1018"/>
      <c r="G446" s="1019"/>
    </row>
    <row r="447" spans="1:7">
      <c r="A447" s="1020"/>
      <c r="B447" s="1020"/>
      <c r="C447" s="1021" t="s">
        <v>289</v>
      </c>
      <c r="D447" s="1023"/>
      <c r="E447" s="1022"/>
      <c r="F447" s="1024"/>
      <c r="G447" s="1010">
        <f ca="1">SUM(G396:G445)</f>
        <v>76.62</v>
      </c>
    </row>
    <row r="448" spans="1:7">
      <c r="A448" s="1025"/>
      <c r="B448" s="1025"/>
      <c r="C448" s="1026"/>
      <c r="D448" s="1028"/>
      <c r="E448" s="1027"/>
      <c r="F448" s="1029"/>
      <c r="G448" s="1030"/>
    </row>
    <row r="449" spans="1:7" ht="17.399999999999999">
      <c r="A449" s="980"/>
      <c r="B449" s="981"/>
      <c r="C449" s="982"/>
      <c r="D449" s="983"/>
      <c r="E449" s="982"/>
      <c r="F449" s="984"/>
      <c r="G449" s="985"/>
    </row>
    <row r="450" spans="1:7">
      <c r="A450" s="986"/>
      <c r="B450" s="987"/>
      <c r="C450" s="988"/>
      <c r="D450" s="989"/>
      <c r="E450" s="988"/>
      <c r="F450" s="990"/>
      <c r="G450" s="991"/>
    </row>
    <row r="451" spans="1:7">
      <c r="A451" s="986"/>
      <c r="B451" s="987"/>
      <c r="C451" s="988"/>
      <c r="D451" s="989"/>
      <c r="E451" s="988"/>
      <c r="F451" s="990"/>
      <c r="G451" s="991"/>
    </row>
    <row r="452" spans="1:7">
      <c r="A452" s="992"/>
      <c r="B452" s="993"/>
      <c r="C452" s="543"/>
      <c r="D452" s="994"/>
      <c r="E452" s="543"/>
      <c r="F452" s="995"/>
      <c r="G452" s="996"/>
    </row>
    <row r="453" spans="1:7" ht="15" thickBot="1">
      <c r="A453" s="997" t="s">
        <v>276</v>
      </c>
      <c r="B453" s="998" t="s">
        <v>887</v>
      </c>
      <c r="C453" s="999"/>
      <c r="D453" s="1001" t="s">
        <v>277</v>
      </c>
      <c r="E453" s="1000" t="s">
        <v>266</v>
      </c>
      <c r="F453" s="1002" t="s">
        <v>278</v>
      </c>
      <c r="G453" s="1003" t="s">
        <v>267</v>
      </c>
    </row>
    <row r="454" spans="1:7">
      <c r="A454" s="696"/>
      <c r="B454" s="696"/>
      <c r="C454" s="703"/>
      <c r="D454" s="968"/>
      <c r="E454" s="967"/>
      <c r="F454" s="969"/>
      <c r="G454" s="970"/>
    </row>
    <row r="455" spans="1:7" ht="39.6">
      <c r="A455" s="696"/>
      <c r="B455" s="696"/>
      <c r="C455" s="1011" t="s">
        <v>291</v>
      </c>
      <c r="D455" s="968"/>
      <c r="E455" s="967"/>
      <c r="F455" s="969"/>
      <c r="G455" s="970"/>
    </row>
    <row r="456" spans="1:7">
      <c r="A456" s="696"/>
      <c r="B456" s="696"/>
      <c r="C456" s="1012"/>
      <c r="D456" s="968"/>
      <c r="E456" s="967"/>
      <c r="F456" s="969"/>
      <c r="G456" s="970"/>
    </row>
    <row r="457" spans="1:7" ht="26.4">
      <c r="A457" s="696"/>
      <c r="B457" s="696"/>
      <c r="C457" s="697" t="s">
        <v>324</v>
      </c>
      <c r="D457" s="968"/>
      <c r="E457" s="967"/>
      <c r="F457" s="969"/>
      <c r="G457" s="970"/>
    </row>
    <row r="458" spans="1:7">
      <c r="A458" s="696"/>
      <c r="B458" s="696"/>
      <c r="C458" s="703"/>
      <c r="D458" s="968"/>
      <c r="E458" s="967"/>
      <c r="F458" s="969"/>
      <c r="G458" s="970"/>
    </row>
    <row r="459" spans="1:7">
      <c r="A459" s="696"/>
      <c r="B459" s="696"/>
      <c r="C459" s="697"/>
      <c r="D459" s="968"/>
      <c r="E459" s="967"/>
      <c r="F459" s="969"/>
      <c r="G459" s="970"/>
    </row>
    <row r="460" spans="1:7" ht="26.4">
      <c r="A460" s="696">
        <f>A428+1</f>
        <v>73</v>
      </c>
      <c r="B460" s="696"/>
      <c r="C460" s="703" t="s">
        <v>298</v>
      </c>
      <c r="D460" s="968"/>
      <c r="E460" s="967"/>
      <c r="F460" s="969"/>
      <c r="G460" s="970"/>
    </row>
    <row r="461" spans="1:7">
      <c r="A461" s="696"/>
      <c r="B461" s="696"/>
      <c r="C461" s="703"/>
      <c r="D461" s="968"/>
      <c r="E461" s="967"/>
      <c r="F461" s="969"/>
      <c r="G461" s="970"/>
    </row>
    <row r="462" spans="1:7">
      <c r="A462" s="696"/>
      <c r="B462" s="696" t="s">
        <v>294</v>
      </c>
      <c r="C462" s="703" t="s">
        <v>316</v>
      </c>
      <c r="D462" s="968">
        <f>20*2</f>
        <v>40</v>
      </c>
      <c r="E462" s="967" t="s">
        <v>296</v>
      </c>
      <c r="F462" s="969"/>
      <c r="G462" s="970">
        <f>F462*D462</f>
        <v>0</v>
      </c>
    </row>
    <row r="463" spans="1:7">
      <c r="A463" s="696"/>
      <c r="B463" s="696"/>
      <c r="C463" s="703"/>
      <c r="D463" s="968"/>
      <c r="E463" s="967"/>
      <c r="F463" s="969"/>
      <c r="G463" s="970"/>
    </row>
    <row r="464" spans="1:7">
      <c r="A464" s="696"/>
      <c r="B464" s="696"/>
      <c r="C464" s="703"/>
      <c r="D464" s="968"/>
      <c r="E464" s="967"/>
      <c r="F464" s="969"/>
      <c r="G464" s="970"/>
    </row>
    <row r="465" spans="1:7">
      <c r="A465" s="696">
        <f>A460+1</f>
        <v>74</v>
      </c>
      <c r="B465" s="696"/>
      <c r="C465" s="703" t="s">
        <v>300</v>
      </c>
      <c r="D465" s="968"/>
      <c r="E465" s="967"/>
      <c r="F465" s="969"/>
      <c r="G465" s="970"/>
    </row>
    <row r="466" spans="1:7">
      <c r="A466" s="696"/>
      <c r="B466" s="696"/>
      <c r="C466" s="697"/>
      <c r="D466" s="968"/>
      <c r="E466" s="967"/>
      <c r="F466" s="969"/>
      <c r="G466" s="970"/>
    </row>
    <row r="467" spans="1:7">
      <c r="A467" s="696"/>
      <c r="B467" s="696" t="s">
        <v>294</v>
      </c>
      <c r="C467" s="703" t="s">
        <v>319</v>
      </c>
      <c r="D467" s="968">
        <f>2*2</f>
        <v>4</v>
      </c>
      <c r="E467" s="967" t="s">
        <v>283</v>
      </c>
      <c r="F467" s="969"/>
      <c r="G467" s="970">
        <f>F467*D467</f>
        <v>0</v>
      </c>
    </row>
    <row r="468" spans="1:7">
      <c r="A468" s="696"/>
      <c r="B468" s="696"/>
      <c r="C468" s="703"/>
      <c r="D468" s="968"/>
      <c r="E468" s="967"/>
      <c r="F468" s="969"/>
      <c r="G468" s="970"/>
    </row>
    <row r="469" spans="1:7">
      <c r="A469" s="696"/>
      <c r="B469" s="696"/>
      <c r="C469" s="703"/>
      <c r="D469" s="968"/>
      <c r="E469" s="967"/>
      <c r="F469" s="969"/>
      <c r="G469" s="970"/>
    </row>
    <row r="470" spans="1:7">
      <c r="A470" s="696">
        <f>A465+1</f>
        <v>75</v>
      </c>
      <c r="B470" s="696"/>
      <c r="C470" s="703" t="s">
        <v>309</v>
      </c>
      <c r="D470" s="968"/>
      <c r="E470" s="967"/>
      <c r="F470" s="969"/>
      <c r="G470" s="970"/>
    </row>
    <row r="471" spans="1:7">
      <c r="A471" s="696"/>
      <c r="B471" s="696"/>
      <c r="C471" s="697"/>
      <c r="D471" s="968"/>
      <c r="E471" s="967"/>
      <c r="F471" s="969"/>
      <c r="G471" s="970"/>
    </row>
    <row r="472" spans="1:7">
      <c r="A472" s="696"/>
      <c r="B472" s="696" t="s">
        <v>294</v>
      </c>
      <c r="C472" s="703" t="s">
        <v>319</v>
      </c>
      <c r="D472" s="968">
        <v>1</v>
      </c>
      <c r="E472" s="967" t="s">
        <v>283</v>
      </c>
      <c r="F472" s="969"/>
      <c r="G472" s="970">
        <f>F472*D472</f>
        <v>0</v>
      </c>
    </row>
    <row r="473" spans="1:7">
      <c r="A473" s="696"/>
      <c r="B473" s="696"/>
      <c r="C473" s="703"/>
      <c r="D473" s="968"/>
      <c r="E473" s="967"/>
      <c r="F473" s="969"/>
      <c r="G473" s="970"/>
    </row>
    <row r="474" spans="1:7">
      <c r="A474" s="696"/>
      <c r="B474" s="696"/>
      <c r="C474" s="703"/>
      <c r="D474" s="968"/>
      <c r="E474" s="967"/>
      <c r="F474" s="969"/>
      <c r="G474" s="970"/>
    </row>
    <row r="475" spans="1:7">
      <c r="A475" s="696"/>
      <c r="B475" s="696"/>
      <c r="C475" s="703"/>
      <c r="D475" s="968"/>
      <c r="E475" s="967"/>
      <c r="F475" s="969"/>
      <c r="G475" s="970"/>
    </row>
    <row r="476" spans="1:7">
      <c r="A476" s="696"/>
      <c r="B476" s="696"/>
      <c r="C476" s="703"/>
      <c r="D476" s="968"/>
      <c r="E476" s="967"/>
      <c r="F476" s="969"/>
      <c r="G476" s="970"/>
    </row>
    <row r="477" spans="1:7">
      <c r="A477" s="1031"/>
      <c r="B477" s="696"/>
      <c r="C477" s="1032"/>
      <c r="D477" s="968"/>
      <c r="E477" s="967"/>
      <c r="F477" s="969"/>
      <c r="G477" s="970"/>
    </row>
    <row r="478" spans="1:7">
      <c r="A478" s="696"/>
      <c r="B478" s="696"/>
      <c r="C478" s="697"/>
      <c r="D478" s="968"/>
      <c r="E478" s="967"/>
      <c r="F478" s="969"/>
      <c r="G478" s="970"/>
    </row>
    <row r="479" spans="1:7">
      <c r="A479" s="696"/>
      <c r="B479" s="696"/>
      <c r="C479" s="703"/>
      <c r="D479" s="968"/>
      <c r="E479" s="967"/>
      <c r="F479" s="969"/>
      <c r="G479" s="970"/>
    </row>
    <row r="480" spans="1:7">
      <c r="A480" s="696"/>
      <c r="B480" s="696"/>
      <c r="C480" s="703"/>
      <c r="D480" s="968"/>
      <c r="E480" s="967"/>
      <c r="F480" s="969"/>
      <c r="G480" s="970"/>
    </row>
    <row r="481" spans="1:7">
      <c r="A481" s="1031"/>
      <c r="B481" s="696"/>
      <c r="C481" s="1032"/>
      <c r="D481" s="968"/>
      <c r="E481" s="967"/>
      <c r="F481" s="969"/>
      <c r="G481" s="970"/>
    </row>
    <row r="482" spans="1:7">
      <c r="A482" s="696"/>
      <c r="B482" s="696"/>
      <c r="C482" s="697"/>
      <c r="D482" s="968"/>
      <c r="E482" s="967"/>
      <c r="F482" s="969"/>
      <c r="G482" s="970"/>
    </row>
    <row r="483" spans="1:7">
      <c r="A483" s="696"/>
      <c r="B483" s="696"/>
      <c r="C483" s="703"/>
      <c r="D483" s="968"/>
      <c r="E483" s="967"/>
      <c r="F483" s="969"/>
      <c r="G483" s="970"/>
    </row>
    <row r="484" spans="1:7">
      <c r="A484" s="696"/>
      <c r="B484" s="696"/>
      <c r="C484" s="703"/>
      <c r="D484" s="968"/>
      <c r="E484" s="967"/>
      <c r="F484" s="969"/>
      <c r="G484" s="970"/>
    </row>
    <row r="485" spans="1:7">
      <c r="A485" s="696"/>
      <c r="B485" s="696"/>
      <c r="C485" s="703"/>
      <c r="D485" s="968"/>
      <c r="E485" s="967"/>
      <c r="F485" s="969"/>
      <c r="G485" s="970"/>
    </row>
    <row r="486" spans="1:7">
      <c r="A486" s="696"/>
      <c r="B486" s="696"/>
      <c r="C486" s="703"/>
      <c r="D486" s="968"/>
      <c r="E486" s="967"/>
      <c r="F486" s="969"/>
      <c r="G486" s="970"/>
    </row>
    <row r="487" spans="1:7">
      <c r="A487" s="696"/>
      <c r="B487" s="696"/>
      <c r="C487" s="703"/>
      <c r="D487" s="968"/>
      <c r="E487" s="967"/>
      <c r="F487" s="969"/>
      <c r="G487" s="970"/>
    </row>
    <row r="488" spans="1:7">
      <c r="A488" s="696"/>
      <c r="B488" s="696"/>
      <c r="C488" s="703"/>
      <c r="D488" s="968"/>
      <c r="E488" s="967"/>
      <c r="F488" s="969"/>
      <c r="G488" s="970"/>
    </row>
    <row r="489" spans="1:7">
      <c r="A489" s="696"/>
      <c r="B489" s="696"/>
      <c r="C489" s="1011"/>
      <c r="D489" s="968"/>
      <c r="E489" s="967"/>
      <c r="F489" s="969"/>
      <c r="G489" s="970"/>
    </row>
    <row r="490" spans="1:7">
      <c r="A490" s="696"/>
      <c r="B490" s="696"/>
      <c r="C490" s="1012"/>
      <c r="D490" s="968"/>
      <c r="E490" s="967"/>
      <c r="F490" s="969"/>
      <c r="G490" s="970"/>
    </row>
    <row r="491" spans="1:7">
      <c r="A491" s="696"/>
      <c r="B491" s="696"/>
      <c r="C491" s="697"/>
      <c r="D491" s="968"/>
      <c r="E491" s="967"/>
      <c r="F491" s="969"/>
      <c r="G491" s="970"/>
    </row>
    <row r="492" spans="1:7">
      <c r="A492" s="696"/>
      <c r="B492" s="696"/>
      <c r="C492" s="703"/>
      <c r="D492" s="968"/>
      <c r="E492" s="967"/>
      <c r="F492" s="969"/>
      <c r="G492" s="970"/>
    </row>
    <row r="493" spans="1:7">
      <c r="A493" s="696"/>
      <c r="B493" s="696"/>
      <c r="C493" s="697"/>
      <c r="D493" s="968"/>
      <c r="E493" s="967"/>
      <c r="F493" s="969"/>
      <c r="G493" s="970"/>
    </row>
    <row r="494" spans="1:7">
      <c r="A494" s="696"/>
      <c r="B494" s="696"/>
      <c r="C494" s="703"/>
      <c r="D494" s="968"/>
      <c r="E494" s="967"/>
      <c r="F494" s="969"/>
      <c r="G494" s="970"/>
    </row>
    <row r="495" spans="1:7">
      <c r="A495" s="696"/>
      <c r="B495" s="696"/>
      <c r="C495" s="703"/>
      <c r="D495" s="968"/>
      <c r="E495" s="967"/>
      <c r="F495" s="969"/>
      <c r="G495" s="970"/>
    </row>
    <row r="496" spans="1:7">
      <c r="A496" s="696"/>
      <c r="B496" s="696"/>
      <c r="C496" s="703"/>
      <c r="D496" s="968"/>
      <c r="E496" s="967"/>
      <c r="F496" s="969"/>
      <c r="G496" s="970"/>
    </row>
    <row r="497" spans="1:7">
      <c r="A497" s="696"/>
      <c r="B497" s="696"/>
      <c r="C497" s="703"/>
      <c r="D497" s="968"/>
      <c r="E497" s="967"/>
      <c r="F497" s="969"/>
      <c r="G497" s="970"/>
    </row>
    <row r="498" spans="1:7">
      <c r="A498" s="696"/>
      <c r="B498" s="696"/>
      <c r="C498" s="703"/>
      <c r="D498" s="968"/>
      <c r="E498" s="967"/>
      <c r="F498" s="969"/>
      <c r="G498" s="970"/>
    </row>
    <row r="499" spans="1:7">
      <c r="A499" s="696"/>
      <c r="B499" s="696"/>
      <c r="C499" s="1040"/>
      <c r="D499" s="1041"/>
      <c r="E499" s="967"/>
      <c r="F499" s="969"/>
      <c r="G499" s="970"/>
    </row>
    <row r="500" spans="1:7">
      <c r="A500" s="696"/>
      <c r="B500" s="696"/>
      <c r="C500" s="1040"/>
      <c r="D500" s="1041"/>
      <c r="E500" s="967"/>
      <c r="F500" s="969"/>
      <c r="G500" s="970"/>
    </row>
    <row r="501" spans="1:7" ht="15" thickBot="1">
      <c r="A501" s="696"/>
      <c r="B501" s="696"/>
      <c r="C501" s="1042"/>
      <c r="D501" s="968"/>
      <c r="E501" s="967"/>
      <c r="F501" s="969"/>
      <c r="G501" s="970"/>
    </row>
    <row r="502" spans="1:7">
      <c r="A502" s="1014"/>
      <c r="B502" s="1014"/>
      <c r="C502" s="1015"/>
      <c r="D502" s="1017"/>
      <c r="E502" s="1016"/>
      <c r="F502" s="1018"/>
      <c r="G502" s="1019"/>
    </row>
    <row r="503" spans="1:7">
      <c r="A503" s="1020"/>
      <c r="B503" s="1020"/>
      <c r="C503" s="1021" t="s">
        <v>289</v>
      </c>
      <c r="D503" s="1023"/>
      <c r="E503" s="1022"/>
      <c r="F503" s="1024"/>
      <c r="G503" s="1010">
        <f>SUM(G454:G501)</f>
        <v>0</v>
      </c>
    </row>
    <row r="504" spans="1:7">
      <c r="A504" s="1025"/>
      <c r="B504" s="1025"/>
      <c r="C504" s="1026"/>
      <c r="D504" s="1028"/>
      <c r="E504" s="1027"/>
      <c r="F504" s="1029"/>
      <c r="G504" s="103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E0000"/>
  </sheetPr>
  <dimension ref="A1:G56"/>
  <sheetViews>
    <sheetView workbookViewId="0">
      <selection activeCell="N24" sqref="N24"/>
    </sheetView>
  </sheetViews>
  <sheetFormatPr defaultColWidth="8.88671875" defaultRowHeight="14.4"/>
  <cols>
    <col min="1" max="1" width="7.6640625" style="630" customWidth="1"/>
    <col min="2" max="2" width="48.6640625" style="573" customWidth="1"/>
    <col min="3" max="3" width="5.6640625" style="631" customWidth="1"/>
    <col min="4" max="4" width="7.6640625" style="573" customWidth="1"/>
    <col min="5" max="5" width="10.33203125" style="632" customWidth="1"/>
    <col min="6" max="6" width="12.109375" style="632" customWidth="1"/>
    <col min="7" max="16384" width="8.88671875" style="573"/>
  </cols>
  <sheetData>
    <row r="1" spans="1:7" ht="17.399999999999999">
      <c r="A1" s="568" t="s">
        <v>273</v>
      </c>
      <c r="B1" s="569"/>
      <c r="C1" s="570"/>
      <c r="D1" s="569"/>
      <c r="E1" s="571"/>
      <c r="F1" s="572"/>
    </row>
    <row r="2" spans="1:7">
      <c r="A2" s="574" t="s">
        <v>328</v>
      </c>
      <c r="B2" s="575"/>
      <c r="C2" s="576"/>
      <c r="D2" s="575"/>
      <c r="E2" s="577"/>
      <c r="F2" s="578"/>
    </row>
    <row r="3" spans="1:7">
      <c r="A3" s="574" t="s">
        <v>275</v>
      </c>
      <c r="B3" s="575"/>
      <c r="C3" s="576"/>
      <c r="D3" s="575"/>
      <c r="E3" s="577"/>
      <c r="F3" s="578"/>
    </row>
    <row r="4" spans="1:7">
      <c r="A4" s="579"/>
      <c r="B4" s="580"/>
      <c r="C4" s="581"/>
      <c r="D4" s="580"/>
      <c r="E4" s="582"/>
      <c r="F4" s="583"/>
    </row>
    <row r="5" spans="1:7" ht="15" thickBot="1">
      <c r="A5" s="584" t="s">
        <v>276</v>
      </c>
      <c r="B5" s="585"/>
      <c r="C5" s="587" t="s">
        <v>277</v>
      </c>
      <c r="D5" s="586" t="s">
        <v>266</v>
      </c>
      <c r="E5" s="588" t="s">
        <v>278</v>
      </c>
      <c r="F5" s="589" t="s">
        <v>267</v>
      </c>
    </row>
    <row r="6" spans="1:7">
      <c r="A6" s="590"/>
      <c r="B6" s="591"/>
      <c r="C6" s="593"/>
      <c r="D6" s="592"/>
      <c r="E6" s="594"/>
      <c r="F6" s="595"/>
    </row>
    <row r="7" spans="1:7" ht="26.4">
      <c r="A7" s="590" t="s">
        <v>279</v>
      </c>
      <c r="B7" s="596" t="s">
        <v>280</v>
      </c>
      <c r="C7" s="593"/>
      <c r="D7" s="592"/>
      <c r="E7" s="594"/>
      <c r="F7" s="595"/>
    </row>
    <row r="8" spans="1:7">
      <c r="A8" s="590"/>
      <c r="B8" s="596"/>
      <c r="C8" s="593"/>
      <c r="D8" s="592"/>
      <c r="E8" s="594"/>
      <c r="F8" s="595"/>
    </row>
    <row r="9" spans="1:7">
      <c r="A9" s="590" t="s">
        <v>279</v>
      </c>
      <c r="B9" s="597" t="s">
        <v>329</v>
      </c>
      <c r="C9" s="593"/>
      <c r="D9" s="592"/>
      <c r="E9" s="594"/>
      <c r="F9" s="595"/>
    </row>
    <row r="10" spans="1:7">
      <c r="A10" s="590" t="s">
        <v>279</v>
      </c>
      <c r="B10" s="597" t="s">
        <v>328</v>
      </c>
      <c r="C10" s="593"/>
      <c r="D10" s="592"/>
      <c r="E10" s="594"/>
      <c r="F10" s="595"/>
    </row>
    <row r="11" spans="1:7">
      <c r="A11" s="647"/>
      <c r="B11" s="591"/>
      <c r="C11" s="593"/>
      <c r="D11" s="592"/>
      <c r="E11" s="594"/>
      <c r="F11" s="595"/>
    </row>
    <row r="12" spans="1:7">
      <c r="A12" s="590">
        <v>1</v>
      </c>
      <c r="B12" s="591" t="s">
        <v>330</v>
      </c>
      <c r="C12" s="599">
        <v>2</v>
      </c>
      <c r="D12" s="598" t="s">
        <v>283</v>
      </c>
      <c r="E12" s="600"/>
      <c r="F12" s="601">
        <f>E12*C12</f>
        <v>0</v>
      </c>
    </row>
    <row r="13" spans="1:7">
      <c r="A13" s="590"/>
      <c r="B13" s="591"/>
      <c r="C13" s="599"/>
      <c r="D13" s="598"/>
      <c r="E13" s="600"/>
      <c r="F13" s="601"/>
    </row>
    <row r="14" spans="1:7">
      <c r="A14" s="590"/>
      <c r="B14" s="591"/>
      <c r="C14" s="599"/>
      <c r="D14" s="598"/>
      <c r="E14" s="600"/>
      <c r="F14" s="601"/>
    </row>
    <row r="15" spans="1:7" ht="87.6" customHeight="1">
      <c r="A15" s="603">
        <f>A12+1</f>
        <v>2</v>
      </c>
      <c r="B15" s="604" t="s">
        <v>331</v>
      </c>
      <c r="C15" s="606">
        <v>1</v>
      </c>
      <c r="D15" s="605" t="s">
        <v>287</v>
      </c>
      <c r="E15" s="607">
        <f>Elec_Est!E559</f>
        <v>283.27999999999997</v>
      </c>
      <c r="F15" s="608">
        <f>E15*C15</f>
        <v>283.27999999999997</v>
      </c>
      <c r="G15" s="573">
        <v>2</v>
      </c>
    </row>
    <row r="16" spans="1:7">
      <c r="A16" s="590"/>
      <c r="B16" s="591"/>
      <c r="C16" s="593"/>
      <c r="D16" s="592"/>
      <c r="E16" s="594"/>
      <c r="F16" s="595"/>
    </row>
    <row r="17" spans="1:6">
      <c r="A17" s="590"/>
      <c r="B17" s="591"/>
      <c r="C17" s="593"/>
      <c r="D17" s="592"/>
      <c r="E17" s="594"/>
      <c r="F17" s="595"/>
    </row>
    <row r="18" spans="1:6">
      <c r="A18" s="590"/>
      <c r="B18" s="591"/>
      <c r="C18" s="593"/>
      <c r="D18" s="592"/>
      <c r="E18" s="594"/>
      <c r="F18" s="595"/>
    </row>
    <row r="19" spans="1:6">
      <c r="A19" s="590"/>
      <c r="B19" s="591"/>
      <c r="C19" s="593"/>
      <c r="D19" s="592"/>
      <c r="E19" s="594"/>
      <c r="F19" s="595"/>
    </row>
    <row r="20" spans="1:6">
      <c r="A20" s="590"/>
      <c r="B20" s="591"/>
      <c r="C20" s="593"/>
      <c r="D20" s="592"/>
      <c r="E20" s="594"/>
      <c r="F20" s="595"/>
    </row>
    <row r="21" spans="1:6">
      <c r="A21" s="590"/>
      <c r="B21" s="591"/>
      <c r="C21" s="593"/>
      <c r="D21" s="592"/>
      <c r="E21" s="594"/>
      <c r="F21" s="595"/>
    </row>
    <row r="22" spans="1:6">
      <c r="A22" s="590"/>
      <c r="B22" s="591"/>
      <c r="C22" s="593"/>
      <c r="D22" s="592"/>
      <c r="E22" s="594"/>
      <c r="F22" s="595"/>
    </row>
    <row r="23" spans="1:6">
      <c r="A23" s="590"/>
      <c r="B23" s="591"/>
      <c r="C23" s="593"/>
      <c r="D23" s="592"/>
      <c r="E23" s="594"/>
      <c r="F23" s="595"/>
    </row>
    <row r="24" spans="1:6">
      <c r="A24" s="590"/>
      <c r="B24" s="591"/>
      <c r="C24" s="593"/>
      <c r="D24" s="592"/>
      <c r="E24" s="594"/>
      <c r="F24" s="595"/>
    </row>
    <row r="25" spans="1:6">
      <c r="A25" s="590"/>
      <c r="B25" s="591"/>
      <c r="C25" s="593"/>
      <c r="D25" s="592"/>
      <c r="E25" s="594"/>
      <c r="F25" s="595"/>
    </row>
    <row r="26" spans="1:6">
      <c r="A26" s="590"/>
      <c r="B26" s="591"/>
      <c r="C26" s="593"/>
      <c r="D26" s="592"/>
      <c r="E26" s="594"/>
      <c r="F26" s="595"/>
    </row>
    <row r="27" spans="1:6">
      <c r="A27" s="590"/>
      <c r="B27" s="591"/>
      <c r="C27" s="593"/>
      <c r="D27" s="592"/>
      <c r="E27" s="594"/>
      <c r="F27" s="595"/>
    </row>
    <row r="28" spans="1:6">
      <c r="A28" s="590"/>
      <c r="B28" s="591"/>
      <c r="C28" s="593"/>
      <c r="D28" s="592"/>
      <c r="E28" s="594"/>
      <c r="F28" s="595"/>
    </row>
    <row r="29" spans="1:6">
      <c r="A29" s="590"/>
      <c r="B29" s="591"/>
      <c r="C29" s="593"/>
      <c r="D29" s="592"/>
      <c r="E29" s="594"/>
      <c r="F29" s="595"/>
    </row>
    <row r="30" spans="1:6">
      <c r="A30" s="590"/>
      <c r="B30" s="591"/>
      <c r="C30" s="593"/>
      <c r="D30" s="592"/>
      <c r="E30" s="594"/>
      <c r="F30" s="595"/>
    </row>
    <row r="31" spans="1:6">
      <c r="A31" s="590"/>
      <c r="B31" s="591"/>
      <c r="C31" s="593"/>
      <c r="D31" s="592"/>
      <c r="E31" s="594"/>
      <c r="F31" s="595"/>
    </row>
    <row r="32" spans="1:6">
      <c r="A32" s="590"/>
      <c r="B32" s="591"/>
      <c r="C32" s="593"/>
      <c r="D32" s="592"/>
      <c r="E32" s="594"/>
      <c r="F32" s="595"/>
    </row>
    <row r="33" spans="1:6">
      <c r="A33" s="590"/>
      <c r="B33" s="591"/>
      <c r="C33" s="593"/>
      <c r="D33" s="592"/>
      <c r="E33" s="594"/>
      <c r="F33" s="595"/>
    </row>
    <row r="34" spans="1:6">
      <c r="A34" s="590"/>
      <c r="B34" s="591"/>
      <c r="C34" s="593"/>
      <c r="D34" s="592"/>
      <c r="E34" s="594"/>
      <c r="F34" s="595"/>
    </row>
    <row r="35" spans="1:6">
      <c r="A35" s="590"/>
      <c r="B35" s="591"/>
      <c r="C35" s="593"/>
      <c r="D35" s="592"/>
      <c r="E35" s="594"/>
      <c r="F35" s="595"/>
    </row>
    <row r="36" spans="1:6">
      <c r="A36" s="590"/>
      <c r="B36" s="591"/>
      <c r="C36" s="593"/>
      <c r="D36" s="592"/>
      <c r="E36" s="594"/>
      <c r="F36" s="595"/>
    </row>
    <row r="37" spans="1:6">
      <c r="A37" s="590"/>
      <c r="B37" s="591"/>
      <c r="C37" s="593"/>
      <c r="D37" s="592"/>
      <c r="E37" s="594"/>
      <c r="F37" s="595"/>
    </row>
    <row r="38" spans="1:6">
      <c r="A38" s="590"/>
      <c r="B38" s="609"/>
      <c r="C38" s="610"/>
      <c r="D38" s="592"/>
      <c r="E38" s="594"/>
      <c r="F38" s="595"/>
    </row>
    <row r="39" spans="1:6">
      <c r="A39" s="590"/>
      <c r="B39" s="609"/>
      <c r="C39" s="610"/>
      <c r="D39" s="592"/>
      <c r="E39" s="594"/>
      <c r="F39" s="595"/>
    </row>
    <row r="40" spans="1:6">
      <c r="A40" s="590"/>
      <c r="B40" s="609"/>
      <c r="C40" s="610"/>
      <c r="D40" s="592"/>
      <c r="E40" s="594"/>
      <c r="F40" s="595"/>
    </row>
    <row r="41" spans="1:6">
      <c r="A41" s="590"/>
      <c r="B41" s="609"/>
      <c r="C41" s="610"/>
      <c r="D41" s="592"/>
      <c r="E41" s="594"/>
      <c r="F41" s="595"/>
    </row>
    <row r="42" spans="1:6">
      <c r="A42" s="590"/>
      <c r="B42" s="609"/>
      <c r="C42" s="610"/>
      <c r="D42" s="592"/>
      <c r="E42" s="594"/>
      <c r="F42" s="595"/>
    </row>
    <row r="43" spans="1:6">
      <c r="A43" s="590"/>
      <c r="B43" s="609"/>
      <c r="C43" s="610"/>
      <c r="D43" s="592"/>
      <c r="E43" s="594"/>
      <c r="F43" s="595"/>
    </row>
    <row r="44" spans="1:6">
      <c r="A44" s="590"/>
      <c r="B44" s="609"/>
      <c r="C44" s="610"/>
      <c r="D44" s="592"/>
      <c r="E44" s="594"/>
      <c r="F44" s="595"/>
    </row>
    <row r="45" spans="1:6">
      <c r="A45" s="590"/>
      <c r="B45" s="609"/>
      <c r="C45" s="610"/>
      <c r="D45" s="592"/>
      <c r="E45" s="594"/>
      <c r="F45" s="595"/>
    </row>
    <row r="46" spans="1:6">
      <c r="A46" s="590"/>
      <c r="B46" s="609"/>
      <c r="C46" s="610"/>
      <c r="D46" s="592"/>
      <c r="E46" s="594"/>
      <c r="F46" s="595"/>
    </row>
    <row r="47" spans="1:6">
      <c r="A47" s="590"/>
      <c r="B47" s="609"/>
      <c r="C47" s="610"/>
      <c r="D47" s="592"/>
      <c r="E47" s="594"/>
      <c r="F47" s="595"/>
    </row>
    <row r="48" spans="1:6">
      <c r="A48" s="590"/>
      <c r="B48" s="609"/>
      <c r="C48" s="610"/>
      <c r="D48" s="592"/>
      <c r="E48" s="594"/>
      <c r="F48" s="595"/>
    </row>
    <row r="49" spans="1:6">
      <c r="A49" s="590"/>
      <c r="B49" s="609"/>
      <c r="C49" s="610"/>
      <c r="D49" s="592"/>
      <c r="E49" s="594"/>
      <c r="F49" s="595"/>
    </row>
    <row r="50" spans="1:6">
      <c r="A50" s="590"/>
      <c r="B50" s="609"/>
      <c r="C50" s="610"/>
      <c r="D50" s="592"/>
      <c r="E50" s="594"/>
      <c r="F50" s="595"/>
    </row>
    <row r="51" spans="1:6" ht="15" thickBot="1">
      <c r="A51" s="590"/>
      <c r="B51" s="611"/>
      <c r="C51" s="593"/>
      <c r="D51" s="592"/>
      <c r="E51" s="594"/>
      <c r="F51" s="595"/>
    </row>
    <row r="52" spans="1:6">
      <c r="A52" s="612"/>
      <c r="B52" s="613"/>
      <c r="C52" s="615"/>
      <c r="D52" s="614"/>
      <c r="E52" s="616"/>
      <c r="F52" s="617"/>
    </row>
    <row r="53" spans="1:6">
      <c r="A53" s="618" t="s">
        <v>288</v>
      </c>
      <c r="B53" s="619" t="s">
        <v>289</v>
      </c>
      <c r="C53" s="621"/>
      <c r="D53" s="620"/>
      <c r="E53" s="622"/>
      <c r="F53" s="623">
        <f>SUM(F12:F51)</f>
        <v>283.27999999999997</v>
      </c>
    </row>
    <row r="54" spans="1:6">
      <c r="A54" s="624"/>
      <c r="B54" s="625"/>
      <c r="C54" s="627"/>
      <c r="D54" s="626"/>
      <c r="E54" s="628"/>
      <c r="F54" s="629"/>
    </row>
    <row r="56" spans="1:6">
      <c r="F56" s="63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45"/>
  <sheetViews>
    <sheetView topLeftCell="K1" workbookViewId="0">
      <selection activeCell="U267" sqref="U267"/>
    </sheetView>
  </sheetViews>
  <sheetFormatPr defaultColWidth="8.88671875" defaultRowHeight="14.4"/>
  <cols>
    <col min="1" max="1" width="7.6640625" style="630" hidden="1" customWidth="1"/>
    <col min="2" max="2" width="48.6640625" style="573" hidden="1" customWidth="1"/>
    <col min="3" max="3" width="5.6640625" style="631" hidden="1" customWidth="1"/>
    <col min="4" max="4" width="7.6640625" style="573" hidden="1" customWidth="1"/>
    <col min="5" max="5" width="16.21875" style="660" hidden="1" customWidth="1"/>
    <col min="6" max="6" width="16" style="632" hidden="1" customWidth="1"/>
    <col min="7" max="7" width="0" style="573" hidden="1" customWidth="1"/>
    <col min="8" max="8" width="10.109375" style="573" hidden="1" customWidth="1"/>
    <col min="9" max="10" width="0" style="573" hidden="1" customWidth="1"/>
    <col min="11" max="11" width="7.6640625" style="1043" customWidth="1"/>
    <col min="12" max="12" width="2.6640625" style="1043" customWidth="1"/>
    <col min="13" max="13" width="48.6640625" style="702" customWidth="1"/>
    <col min="14" max="14" width="7.6640625" style="702" customWidth="1"/>
    <col min="15" max="15" width="5.6640625" style="1044" customWidth="1"/>
    <col min="16" max="16" width="10.33203125" style="1067" customWidth="1"/>
    <col min="17" max="17" width="12.109375" style="1045" customWidth="1"/>
    <col min="18" max="16384" width="8.88671875" style="573"/>
  </cols>
  <sheetData>
    <row r="1" spans="1:17" ht="17.399999999999999">
      <c r="A1" s="568" t="s">
        <v>273</v>
      </c>
      <c r="B1" s="569"/>
      <c r="C1" s="570"/>
      <c r="D1" s="569"/>
      <c r="E1" s="571"/>
      <c r="F1" s="572"/>
      <c r="K1" s="980" t="s">
        <v>273</v>
      </c>
      <c r="L1" s="981"/>
      <c r="M1" s="982"/>
      <c r="N1" s="982"/>
      <c r="O1" s="983"/>
      <c r="P1" s="984"/>
      <c r="Q1" s="985"/>
    </row>
    <row r="2" spans="1:17">
      <c r="A2" s="574" t="s">
        <v>332</v>
      </c>
      <c r="B2" s="575"/>
      <c r="C2" s="576"/>
      <c r="D2" s="575"/>
      <c r="E2" s="577"/>
      <c r="F2" s="578"/>
      <c r="K2" s="986" t="s">
        <v>332</v>
      </c>
      <c r="L2" s="987"/>
      <c r="M2" s="988"/>
      <c r="N2" s="988"/>
      <c r="O2" s="989"/>
      <c r="P2" s="990"/>
      <c r="Q2" s="991"/>
    </row>
    <row r="3" spans="1:17">
      <c r="A3" s="574" t="s">
        <v>290</v>
      </c>
      <c r="B3" s="575"/>
      <c r="C3" s="576"/>
      <c r="D3" s="575"/>
      <c r="E3" s="577"/>
      <c r="F3" s="578"/>
      <c r="K3" s="986" t="s">
        <v>290</v>
      </c>
      <c r="L3" s="987"/>
      <c r="M3" s="988"/>
      <c r="N3" s="988"/>
      <c r="O3" s="989"/>
      <c r="P3" s="990"/>
      <c r="Q3" s="991"/>
    </row>
    <row r="4" spans="1:17">
      <c r="A4" s="579"/>
      <c r="B4" s="580"/>
      <c r="C4" s="581"/>
      <c r="D4" s="580"/>
      <c r="E4" s="648"/>
      <c r="F4" s="583"/>
      <c r="K4" s="992"/>
      <c r="L4" s="993"/>
      <c r="M4" s="543"/>
      <c r="N4" s="543"/>
      <c r="O4" s="994"/>
      <c r="P4" s="1059"/>
      <c r="Q4" s="996"/>
    </row>
    <row r="5" spans="1:17" ht="15" thickBot="1">
      <c r="A5" s="584" t="s">
        <v>276</v>
      </c>
      <c r="B5" s="585"/>
      <c r="C5" s="587" t="s">
        <v>277</v>
      </c>
      <c r="D5" s="586" t="s">
        <v>266</v>
      </c>
      <c r="E5" s="649" t="s">
        <v>278</v>
      </c>
      <c r="F5" s="589" t="s">
        <v>267</v>
      </c>
      <c r="K5" s="997" t="s">
        <v>276</v>
      </c>
      <c r="L5" s="998" t="s">
        <v>887</v>
      </c>
      <c r="M5" s="999"/>
      <c r="N5" s="1000" t="s">
        <v>266</v>
      </c>
      <c r="O5" s="1001" t="s">
        <v>277</v>
      </c>
      <c r="P5" s="1060" t="s">
        <v>278</v>
      </c>
      <c r="Q5" s="1003" t="s">
        <v>267</v>
      </c>
    </row>
    <row r="6" spans="1:17">
      <c r="A6" s="590"/>
      <c r="B6" s="591"/>
      <c r="C6" s="593"/>
      <c r="D6" s="592"/>
      <c r="E6" s="594"/>
      <c r="F6" s="595"/>
      <c r="K6" s="696"/>
      <c r="L6" s="696"/>
      <c r="M6" s="703"/>
      <c r="N6" s="967"/>
      <c r="O6" s="968"/>
      <c r="P6" s="969"/>
      <c r="Q6" s="970"/>
    </row>
    <row r="7" spans="1:17">
      <c r="A7" s="590" t="s">
        <v>279</v>
      </c>
      <c r="B7" s="596" t="s">
        <v>333</v>
      </c>
      <c r="C7" s="610"/>
      <c r="D7" s="592"/>
      <c r="E7" s="594"/>
      <c r="F7" s="595"/>
      <c r="K7" s="696"/>
      <c r="L7" s="696"/>
      <c r="M7" s="697" t="s">
        <v>344</v>
      </c>
      <c r="N7" s="967"/>
      <c r="O7" s="968"/>
      <c r="P7" s="969"/>
      <c r="Q7" s="970"/>
    </row>
    <row r="8" spans="1:17">
      <c r="A8" s="590"/>
      <c r="B8" s="591"/>
      <c r="C8" s="593"/>
      <c r="D8" s="592"/>
      <c r="E8" s="594"/>
      <c r="F8" s="595"/>
      <c r="K8" s="696"/>
      <c r="L8" s="696"/>
      <c r="M8" s="697"/>
      <c r="N8" s="967"/>
      <c r="O8" s="968"/>
      <c r="P8" s="969"/>
      <c r="Q8" s="970"/>
    </row>
    <row r="9" spans="1:17" ht="52.8">
      <c r="A9" s="590" t="s">
        <v>334</v>
      </c>
      <c r="B9" s="591" t="s">
        <v>335</v>
      </c>
      <c r="C9" s="593"/>
      <c r="D9" s="592"/>
      <c r="E9" s="594"/>
      <c r="F9" s="595"/>
      <c r="K9" s="696">
        <v>1</v>
      </c>
      <c r="L9" s="696"/>
      <c r="M9" s="703" t="s">
        <v>934</v>
      </c>
      <c r="N9" s="967"/>
      <c r="O9" s="968"/>
      <c r="P9" s="969"/>
      <c r="Q9" s="970"/>
    </row>
    <row r="10" spans="1:17">
      <c r="A10" s="590"/>
      <c r="B10" s="591"/>
      <c r="C10" s="593"/>
      <c r="D10" s="592"/>
      <c r="E10" s="594"/>
      <c r="F10" s="595"/>
      <c r="K10" s="696"/>
      <c r="L10" s="696"/>
      <c r="M10" s="703"/>
      <c r="N10" s="967"/>
      <c r="O10" s="968"/>
      <c r="P10" s="969"/>
      <c r="Q10" s="970"/>
    </row>
    <row r="11" spans="1:17">
      <c r="A11" s="590" t="s">
        <v>294</v>
      </c>
      <c r="B11" s="591" t="s">
        <v>295</v>
      </c>
      <c r="C11" s="593">
        <f>10*2*3</f>
        <v>60</v>
      </c>
      <c r="D11" s="592" t="s">
        <v>296</v>
      </c>
      <c r="E11" s="594"/>
      <c r="F11" s="595">
        <f>E11*C11</f>
        <v>0</v>
      </c>
      <c r="K11" s="696"/>
      <c r="L11" s="696"/>
      <c r="M11" s="703" t="s">
        <v>901</v>
      </c>
      <c r="N11" s="967" t="s">
        <v>283</v>
      </c>
      <c r="O11" s="968">
        <v>2</v>
      </c>
      <c r="P11" s="969"/>
      <c r="Q11" s="970">
        <f>P11*O11</f>
        <v>0</v>
      </c>
    </row>
    <row r="12" spans="1:17">
      <c r="A12" s="590"/>
      <c r="B12" s="591"/>
      <c r="C12" s="593"/>
      <c r="D12" s="592"/>
      <c r="E12" s="594"/>
      <c r="F12" s="595"/>
      <c r="K12" s="696"/>
      <c r="L12" s="696"/>
      <c r="M12" s="703" t="s">
        <v>902</v>
      </c>
      <c r="N12" s="967"/>
      <c r="O12" s="968"/>
      <c r="P12" s="969"/>
      <c r="Q12" s="970"/>
    </row>
    <row r="13" spans="1:17">
      <c r="A13" s="590"/>
      <c r="B13" s="591"/>
      <c r="C13" s="593"/>
      <c r="D13" s="592"/>
      <c r="E13" s="594"/>
      <c r="F13" s="595"/>
      <c r="K13" s="696"/>
      <c r="L13" s="696"/>
      <c r="M13" s="703" t="s">
        <v>903</v>
      </c>
      <c r="N13" s="967"/>
      <c r="O13" s="968"/>
      <c r="P13" s="969"/>
      <c r="Q13" s="970"/>
    </row>
    <row r="14" spans="1:17">
      <c r="A14" s="590" t="s">
        <v>336</v>
      </c>
      <c r="B14" s="591" t="s">
        <v>300</v>
      </c>
      <c r="C14" s="593"/>
      <c r="D14" s="592"/>
      <c r="E14" s="594"/>
      <c r="F14" s="595"/>
      <c r="K14" s="696"/>
      <c r="L14" s="696"/>
      <c r="M14" s="703" t="s">
        <v>904</v>
      </c>
      <c r="N14" s="967"/>
      <c r="O14" s="968"/>
      <c r="P14" s="969"/>
      <c r="Q14" s="970"/>
    </row>
    <row r="15" spans="1:17">
      <c r="A15" s="590"/>
      <c r="B15" s="597"/>
      <c r="C15" s="593"/>
      <c r="D15" s="592"/>
      <c r="E15" s="594"/>
      <c r="F15" s="595"/>
      <c r="K15" s="696"/>
      <c r="L15" s="696"/>
      <c r="M15" s="703"/>
      <c r="N15" s="967"/>
      <c r="O15" s="968"/>
      <c r="P15" s="969"/>
      <c r="Q15" s="970"/>
    </row>
    <row r="16" spans="1:17">
      <c r="A16" s="590" t="s">
        <v>294</v>
      </c>
      <c r="B16" s="591" t="s">
        <v>301</v>
      </c>
      <c r="C16" s="593">
        <f>2*3</f>
        <v>6</v>
      </c>
      <c r="D16" s="592" t="s">
        <v>283</v>
      </c>
      <c r="E16" s="594"/>
      <c r="F16" s="595">
        <f>E16*C16</f>
        <v>0</v>
      </c>
      <c r="K16" s="696"/>
      <c r="L16" s="696"/>
      <c r="M16" s="703"/>
      <c r="N16" s="967"/>
      <c r="O16" s="968"/>
      <c r="P16" s="969"/>
      <c r="Q16" s="970"/>
    </row>
    <row r="17" spans="1:17">
      <c r="A17" s="590"/>
      <c r="B17" s="591"/>
      <c r="C17" s="593"/>
      <c r="D17" s="592"/>
      <c r="E17" s="594"/>
      <c r="F17" s="595"/>
      <c r="K17" s="696">
        <f>K9+1</f>
        <v>2</v>
      </c>
      <c r="L17" s="696"/>
      <c r="M17" s="703" t="s">
        <v>311</v>
      </c>
      <c r="N17" s="967" t="s">
        <v>283</v>
      </c>
      <c r="O17" s="968">
        <v>2</v>
      </c>
      <c r="P17" s="969"/>
      <c r="Q17" s="970">
        <f>P17*O17</f>
        <v>0</v>
      </c>
    </row>
    <row r="18" spans="1:17">
      <c r="A18" s="590"/>
      <c r="B18" s="591"/>
      <c r="C18" s="593"/>
      <c r="D18" s="592"/>
      <c r="E18" s="594"/>
      <c r="F18" s="595"/>
      <c r="K18" s="696"/>
      <c r="L18" s="696"/>
      <c r="M18" s="703"/>
      <c r="N18" s="967"/>
      <c r="O18" s="968"/>
      <c r="P18" s="969"/>
      <c r="Q18" s="970"/>
    </row>
    <row r="19" spans="1:17">
      <c r="A19" s="603" t="s">
        <v>337</v>
      </c>
      <c r="B19" s="650" t="s">
        <v>303</v>
      </c>
      <c r="C19" s="640"/>
      <c r="D19" s="641"/>
      <c r="E19" s="642"/>
      <c r="F19" s="643"/>
      <c r="K19" s="696"/>
      <c r="L19" s="696"/>
      <c r="M19" s="703"/>
      <c r="N19" s="967"/>
      <c r="O19" s="968"/>
      <c r="P19" s="969"/>
      <c r="Q19" s="970"/>
    </row>
    <row r="20" spans="1:17">
      <c r="A20" s="603"/>
      <c r="B20" s="644"/>
      <c r="C20" s="640"/>
      <c r="D20" s="641"/>
      <c r="E20" s="642"/>
      <c r="F20" s="643"/>
      <c r="K20" s="696">
        <f>K17+1</f>
        <v>3</v>
      </c>
      <c r="L20" s="696"/>
      <c r="M20" s="703" t="s">
        <v>312</v>
      </c>
      <c r="N20" s="967" t="s">
        <v>283</v>
      </c>
      <c r="O20" s="968">
        <v>2</v>
      </c>
      <c r="P20" s="969"/>
      <c r="Q20" s="970">
        <f>P20*O20</f>
        <v>0</v>
      </c>
    </row>
    <row r="21" spans="1:17">
      <c r="A21" s="603" t="s">
        <v>294</v>
      </c>
      <c r="B21" s="604" t="s">
        <v>301</v>
      </c>
      <c r="C21" s="640">
        <v>3</v>
      </c>
      <c r="D21" s="641" t="s">
        <v>283</v>
      </c>
      <c r="E21" s="642" t="e">
        <f>Elec_Est!#REF!</f>
        <v>#REF!</v>
      </c>
      <c r="F21" s="643" t="e">
        <f>E21*C21</f>
        <v>#REF!</v>
      </c>
      <c r="G21" s="573">
        <v>2</v>
      </c>
      <c r="K21" s="696"/>
      <c r="L21" s="696"/>
      <c r="M21" s="703"/>
      <c r="N21" s="967"/>
      <c r="O21" s="968"/>
      <c r="P21" s="969"/>
      <c r="Q21" s="970"/>
    </row>
    <row r="22" spans="1:17">
      <c r="A22" s="590"/>
      <c r="B22" s="591"/>
      <c r="C22" s="593"/>
      <c r="D22" s="592"/>
      <c r="E22" s="594"/>
      <c r="F22" s="595"/>
      <c r="K22" s="696"/>
      <c r="L22" s="696"/>
      <c r="M22" s="703"/>
      <c r="N22" s="967"/>
      <c r="O22" s="968"/>
      <c r="P22" s="969"/>
      <c r="Q22" s="970"/>
    </row>
    <row r="23" spans="1:17">
      <c r="A23" s="590"/>
      <c r="B23" s="591"/>
      <c r="C23" s="593"/>
      <c r="D23" s="592"/>
      <c r="E23" s="594"/>
      <c r="F23" s="595"/>
      <c r="K23" s="696">
        <f>K20+1</f>
        <v>4</v>
      </c>
      <c r="L23" s="696"/>
      <c r="M23" s="703" t="s">
        <v>348</v>
      </c>
      <c r="N23" s="967" t="s">
        <v>283</v>
      </c>
      <c r="O23" s="968">
        <v>1</v>
      </c>
      <c r="P23" s="969"/>
      <c r="Q23" s="970">
        <f>P23*O23</f>
        <v>0</v>
      </c>
    </row>
    <row r="24" spans="1:17">
      <c r="A24" s="590">
        <v>4</v>
      </c>
      <c r="B24" s="591" t="s">
        <v>311</v>
      </c>
      <c r="C24" s="593">
        <f>3*3</f>
        <v>9</v>
      </c>
      <c r="D24" s="592" t="s">
        <v>283</v>
      </c>
      <c r="E24" s="594"/>
      <c r="F24" s="595">
        <f>E24*C24</f>
        <v>0</v>
      </c>
      <c r="K24" s="696"/>
      <c r="L24" s="696"/>
      <c r="M24" s="703"/>
      <c r="N24" s="967"/>
      <c r="O24" s="968"/>
      <c r="P24" s="969"/>
      <c r="Q24" s="970"/>
    </row>
    <row r="25" spans="1:17">
      <c r="A25" s="590"/>
      <c r="B25" s="591"/>
      <c r="C25" s="593"/>
      <c r="D25" s="592"/>
      <c r="E25" s="594"/>
      <c r="F25" s="595"/>
      <c r="K25" s="696"/>
      <c r="L25" s="696"/>
      <c r="M25" s="703"/>
      <c r="N25" s="967"/>
      <c r="O25" s="968"/>
      <c r="P25" s="969"/>
      <c r="Q25" s="970"/>
    </row>
    <row r="26" spans="1:17" ht="26.4">
      <c r="A26" s="590"/>
      <c r="B26" s="591"/>
      <c r="C26" s="593"/>
      <c r="D26" s="592"/>
      <c r="E26" s="594"/>
      <c r="F26" s="595"/>
      <c r="K26" s="705">
        <f>K23+1</f>
        <v>5</v>
      </c>
      <c r="L26" s="705"/>
      <c r="M26" s="706" t="s">
        <v>350</v>
      </c>
      <c r="N26" s="1047"/>
      <c r="O26" s="1048"/>
      <c r="P26" s="1049"/>
      <c r="Q26" s="1050"/>
    </row>
    <row r="27" spans="1:17">
      <c r="A27" s="590">
        <v>5</v>
      </c>
      <c r="B27" s="591" t="s">
        <v>312</v>
      </c>
      <c r="C27" s="593">
        <f>2*3</f>
        <v>6</v>
      </c>
      <c r="D27" s="592" t="s">
        <v>283</v>
      </c>
      <c r="E27" s="594"/>
      <c r="F27" s="595">
        <f>E27*C27</f>
        <v>0</v>
      </c>
      <c r="K27" s="705"/>
      <c r="L27" s="705"/>
      <c r="M27" s="706"/>
      <c r="N27" s="1047"/>
      <c r="O27" s="1048"/>
      <c r="P27" s="1049"/>
      <c r="Q27" s="1050"/>
    </row>
    <row r="28" spans="1:17">
      <c r="A28" s="590"/>
      <c r="B28" s="591"/>
      <c r="C28" s="593"/>
      <c r="D28" s="592"/>
      <c r="E28" s="594"/>
      <c r="F28" s="595"/>
      <c r="K28" s="705"/>
      <c r="L28" s="705" t="s">
        <v>294</v>
      </c>
      <c r="M28" s="706" t="s">
        <v>351</v>
      </c>
      <c r="N28" s="1047" t="s">
        <v>283</v>
      </c>
      <c r="O28" s="1048">
        <v>1</v>
      </c>
      <c r="P28" s="1049">
        <f>Elec_Est!E586</f>
        <v>62.88</v>
      </c>
      <c r="Q28" s="1050">
        <f>P28*O28</f>
        <v>62.88</v>
      </c>
    </row>
    <row r="29" spans="1:17">
      <c r="A29" s="590"/>
      <c r="B29" s="591"/>
      <c r="C29" s="593"/>
      <c r="D29" s="592"/>
      <c r="E29" s="594"/>
      <c r="F29" s="595"/>
      <c r="K29" s="696"/>
      <c r="L29" s="696"/>
      <c r="M29" s="703"/>
      <c r="N29" s="967"/>
      <c r="O29" s="968"/>
      <c r="P29" s="969"/>
      <c r="Q29" s="970"/>
    </row>
    <row r="30" spans="1:17" ht="41.4" customHeight="1">
      <c r="A30" s="603" t="s">
        <v>299</v>
      </c>
      <c r="B30" s="604" t="s">
        <v>338</v>
      </c>
      <c r="C30" s="640"/>
      <c r="D30" s="641"/>
      <c r="E30" s="642"/>
      <c r="F30" s="643"/>
      <c r="K30" s="696"/>
      <c r="L30" s="696"/>
      <c r="M30" s="703"/>
      <c r="N30" s="967"/>
      <c r="O30" s="968"/>
      <c r="P30" s="969"/>
      <c r="Q30" s="970"/>
    </row>
    <row r="31" spans="1:17" ht="26.4">
      <c r="A31" s="603"/>
      <c r="B31" s="644"/>
      <c r="C31" s="640"/>
      <c r="D31" s="641"/>
      <c r="E31" s="642"/>
      <c r="F31" s="643"/>
      <c r="K31" s="696">
        <f>K26+1</f>
        <v>6</v>
      </c>
      <c r="L31" s="696"/>
      <c r="M31" s="703" t="s">
        <v>352</v>
      </c>
      <c r="N31" s="967"/>
      <c r="O31" s="968"/>
      <c r="P31" s="969"/>
      <c r="Q31" s="970"/>
    </row>
    <row r="32" spans="1:17">
      <c r="A32" s="603" t="s">
        <v>294</v>
      </c>
      <c r="B32" s="604" t="s">
        <v>393</v>
      </c>
      <c r="C32" s="640">
        <v>1</v>
      </c>
      <c r="D32" s="641" t="s">
        <v>283</v>
      </c>
      <c r="E32" s="945" t="e">
        <f>Elec_Est!#REF!</f>
        <v>#REF!</v>
      </c>
      <c r="F32" s="643"/>
      <c r="G32" s="573">
        <v>2</v>
      </c>
      <c r="K32" s="696"/>
      <c r="L32" s="696"/>
      <c r="M32" s="703"/>
      <c r="N32" s="967"/>
      <c r="O32" s="968"/>
      <c r="P32" s="969"/>
      <c r="Q32" s="970"/>
    </row>
    <row r="33" spans="1:17">
      <c r="A33" s="603"/>
      <c r="B33" s="604"/>
      <c r="C33" s="640"/>
      <c r="D33" s="641"/>
      <c r="E33" s="642"/>
      <c r="F33" s="643"/>
      <c r="K33" s="696"/>
      <c r="L33" s="696" t="s">
        <v>294</v>
      </c>
      <c r="M33" s="703" t="s">
        <v>353</v>
      </c>
      <c r="N33" s="967" t="s">
        <v>296</v>
      </c>
      <c r="O33" s="968">
        <v>30</v>
      </c>
      <c r="P33" s="969"/>
      <c r="Q33" s="970">
        <f>P33*O33</f>
        <v>0</v>
      </c>
    </row>
    <row r="34" spans="1:17">
      <c r="A34" s="603" t="s">
        <v>339</v>
      </c>
      <c r="B34" s="604" t="s">
        <v>394</v>
      </c>
      <c r="C34" s="640">
        <v>1</v>
      </c>
      <c r="D34" s="641" t="s">
        <v>283</v>
      </c>
      <c r="E34" s="945" t="e">
        <f>Elec_Est!#REF!</f>
        <v>#REF!</v>
      </c>
      <c r="F34" s="643"/>
      <c r="G34" s="573">
        <v>2</v>
      </c>
      <c r="K34" s="696"/>
      <c r="L34" s="696"/>
      <c r="M34" s="703"/>
      <c r="N34" s="967"/>
      <c r="O34" s="968"/>
      <c r="P34" s="969"/>
      <c r="Q34" s="970"/>
    </row>
    <row r="35" spans="1:17">
      <c r="A35" s="603"/>
      <c r="B35" s="604"/>
      <c r="C35" s="640"/>
      <c r="D35" s="641"/>
      <c r="E35" s="642"/>
      <c r="F35" s="643"/>
      <c r="K35" s="696"/>
      <c r="L35" s="696"/>
      <c r="M35" s="703"/>
      <c r="N35" s="967"/>
      <c r="O35" s="968"/>
      <c r="P35" s="969"/>
      <c r="Q35" s="970"/>
    </row>
    <row r="36" spans="1:17">
      <c r="A36" s="603" t="s">
        <v>340</v>
      </c>
      <c r="B36" s="604" t="s">
        <v>766</v>
      </c>
      <c r="C36" s="640">
        <v>1</v>
      </c>
      <c r="D36" s="641" t="s">
        <v>283</v>
      </c>
      <c r="E36" s="945" t="e">
        <f>Elec_Est!#REF!</f>
        <v>#REF!</v>
      </c>
      <c r="F36" s="643"/>
      <c r="G36" s="573">
        <v>2</v>
      </c>
      <c r="K36" s="696">
        <f>K31+1</f>
        <v>7</v>
      </c>
      <c r="L36" s="696"/>
      <c r="M36" s="703" t="s">
        <v>354</v>
      </c>
      <c r="N36" s="967"/>
      <c r="O36" s="968"/>
      <c r="P36" s="969"/>
      <c r="Q36" s="970"/>
    </row>
    <row r="37" spans="1:17">
      <c r="A37" s="590"/>
      <c r="B37" s="591"/>
      <c r="C37" s="593"/>
      <c r="D37" s="592"/>
      <c r="E37" s="594"/>
      <c r="F37" s="595"/>
      <c r="K37" s="696"/>
      <c r="L37" s="696"/>
      <c r="M37" s="703"/>
      <c r="N37" s="967"/>
      <c r="O37" s="968"/>
      <c r="P37" s="969"/>
      <c r="Q37" s="970"/>
    </row>
    <row r="38" spans="1:17">
      <c r="A38" s="590"/>
      <c r="B38" s="591"/>
      <c r="C38" s="593"/>
      <c r="D38" s="592"/>
      <c r="E38" s="594"/>
      <c r="F38" s="595"/>
      <c r="K38" s="696"/>
      <c r="L38" s="696" t="s">
        <v>294</v>
      </c>
      <c r="M38" s="703" t="s">
        <v>353</v>
      </c>
      <c r="N38" s="967" t="s">
        <v>283</v>
      </c>
      <c r="O38" s="968">
        <v>1</v>
      </c>
      <c r="P38" s="969"/>
      <c r="Q38" s="970">
        <f>P38*O38</f>
        <v>0</v>
      </c>
    </row>
    <row r="39" spans="1:17">
      <c r="A39" s="590" t="s">
        <v>302</v>
      </c>
      <c r="B39" s="591" t="s">
        <v>300</v>
      </c>
      <c r="C39" s="593"/>
      <c r="D39" s="592"/>
      <c r="E39" s="594"/>
      <c r="F39" s="595"/>
      <c r="K39" s="696"/>
      <c r="L39" s="696"/>
      <c r="M39" s="703"/>
      <c r="N39" s="967"/>
      <c r="O39" s="968"/>
      <c r="P39" s="969"/>
      <c r="Q39" s="970"/>
    </row>
    <row r="40" spans="1:17">
      <c r="A40" s="590"/>
      <c r="B40" s="597"/>
      <c r="C40" s="593"/>
      <c r="D40" s="592"/>
      <c r="E40" s="594"/>
      <c r="F40" s="595"/>
      <c r="K40" s="696"/>
      <c r="L40" s="696"/>
      <c r="M40" s="703"/>
      <c r="N40" s="967"/>
      <c r="O40" s="968"/>
      <c r="P40" s="969"/>
      <c r="Q40" s="970"/>
    </row>
    <row r="41" spans="1:17" ht="26.4">
      <c r="A41" s="590" t="s">
        <v>294</v>
      </c>
      <c r="B41" s="591" t="s">
        <v>301</v>
      </c>
      <c r="C41" s="593">
        <f>2*3</f>
        <v>6</v>
      </c>
      <c r="D41" s="592" t="s">
        <v>283</v>
      </c>
      <c r="E41" s="594"/>
      <c r="F41" s="595">
        <f>E41*C41</f>
        <v>0</v>
      </c>
      <c r="K41" s="696">
        <f>K36+1</f>
        <v>8</v>
      </c>
      <c r="L41" s="696"/>
      <c r="M41" s="703" t="s">
        <v>355</v>
      </c>
      <c r="N41" s="967"/>
      <c r="O41" s="968"/>
      <c r="P41" s="969"/>
      <c r="Q41" s="970"/>
    </row>
    <row r="42" spans="1:17">
      <c r="A42" s="590"/>
      <c r="B42" s="591"/>
      <c r="C42" s="593"/>
      <c r="D42" s="592"/>
      <c r="E42" s="594"/>
      <c r="F42" s="595"/>
      <c r="K42" s="696"/>
      <c r="L42" s="696"/>
      <c r="M42" s="703"/>
      <c r="N42" s="967"/>
      <c r="O42" s="968"/>
      <c r="P42" s="969"/>
      <c r="Q42" s="970"/>
    </row>
    <row r="43" spans="1:17">
      <c r="A43" s="590"/>
      <c r="B43" s="591"/>
      <c r="C43" s="593"/>
      <c r="D43" s="592"/>
      <c r="E43" s="594"/>
      <c r="F43" s="595"/>
      <c r="K43" s="696"/>
      <c r="L43" s="696" t="s">
        <v>294</v>
      </c>
      <c r="M43" s="703" t="s">
        <v>356</v>
      </c>
      <c r="N43" s="967" t="s">
        <v>296</v>
      </c>
      <c r="O43" s="968">
        <f>25*2</f>
        <v>50</v>
      </c>
      <c r="P43" s="969"/>
      <c r="Q43" s="970">
        <f>P43*O43</f>
        <v>0</v>
      </c>
    </row>
    <row r="44" spans="1:17">
      <c r="A44" s="590" t="s">
        <v>304</v>
      </c>
      <c r="B44" s="651" t="s">
        <v>341</v>
      </c>
      <c r="C44" s="593"/>
      <c r="D44" s="592"/>
      <c r="E44" s="594"/>
      <c r="F44" s="595"/>
      <c r="K44" s="696"/>
      <c r="L44" s="696"/>
      <c r="M44" s="703"/>
      <c r="N44" s="967"/>
      <c r="O44" s="968"/>
      <c r="P44" s="969"/>
      <c r="Q44" s="970"/>
    </row>
    <row r="45" spans="1:17">
      <c r="A45" s="590"/>
      <c r="B45" s="597"/>
      <c r="C45" s="593"/>
      <c r="D45" s="592"/>
      <c r="E45" s="594"/>
      <c r="F45" s="595"/>
      <c r="K45" s="696"/>
      <c r="L45" s="696"/>
      <c r="M45" s="703"/>
      <c r="N45" s="967"/>
      <c r="O45" s="968"/>
      <c r="P45" s="969"/>
      <c r="Q45" s="970"/>
    </row>
    <row r="46" spans="1:17">
      <c r="A46" s="590" t="s">
        <v>294</v>
      </c>
      <c r="B46" s="591" t="s">
        <v>301</v>
      </c>
      <c r="C46" s="593">
        <f>1*3</f>
        <v>3</v>
      </c>
      <c r="D46" s="592" t="s">
        <v>283</v>
      </c>
      <c r="E46" s="594"/>
      <c r="F46" s="595">
        <f>E46*C46</f>
        <v>0</v>
      </c>
      <c r="K46" s="696">
        <f>K41+1</f>
        <v>9</v>
      </c>
      <c r="L46" s="696"/>
      <c r="M46" s="703" t="s">
        <v>300</v>
      </c>
      <c r="N46" s="967"/>
      <c r="O46" s="968"/>
      <c r="P46" s="969"/>
      <c r="Q46" s="970"/>
    </row>
    <row r="47" spans="1:17">
      <c r="A47" s="590"/>
      <c r="B47" s="591"/>
      <c r="C47" s="593"/>
      <c r="D47" s="592"/>
      <c r="E47" s="594"/>
      <c r="F47" s="595"/>
      <c r="K47" s="696"/>
      <c r="L47" s="696"/>
      <c r="M47" s="703"/>
      <c r="N47" s="967"/>
      <c r="O47" s="968"/>
      <c r="P47" s="969"/>
      <c r="Q47" s="970"/>
    </row>
    <row r="48" spans="1:17">
      <c r="A48" s="590"/>
      <c r="B48" s="591"/>
      <c r="C48" s="593"/>
      <c r="D48" s="592"/>
      <c r="E48" s="594"/>
      <c r="F48" s="595"/>
      <c r="K48" s="696"/>
      <c r="L48" s="696" t="s">
        <v>294</v>
      </c>
      <c r="M48" s="703" t="s">
        <v>357</v>
      </c>
      <c r="N48" s="967" t="s">
        <v>283</v>
      </c>
      <c r="O48" s="968">
        <v>4</v>
      </c>
      <c r="P48" s="969"/>
      <c r="Q48" s="970">
        <f>P48*O48</f>
        <v>0</v>
      </c>
    </row>
    <row r="49" spans="1:17">
      <c r="A49" s="652" t="s">
        <v>306</v>
      </c>
      <c r="B49" s="651" t="s">
        <v>342</v>
      </c>
      <c r="C49" s="593"/>
      <c r="D49" s="592"/>
      <c r="E49" s="594"/>
      <c r="F49" s="595"/>
      <c r="K49" s="696"/>
      <c r="L49" s="696"/>
      <c r="M49" s="703"/>
      <c r="N49" s="967"/>
      <c r="O49" s="968"/>
      <c r="P49" s="969"/>
      <c r="Q49" s="970"/>
    </row>
    <row r="50" spans="1:17">
      <c r="A50" s="590"/>
      <c r="B50" s="597"/>
      <c r="C50" s="593"/>
      <c r="D50" s="592"/>
      <c r="E50" s="594"/>
      <c r="F50" s="595"/>
      <c r="K50" s="696"/>
      <c r="L50" s="696"/>
      <c r="M50" s="703"/>
      <c r="N50" s="967"/>
      <c r="O50" s="968"/>
      <c r="P50" s="969"/>
      <c r="Q50" s="970"/>
    </row>
    <row r="51" spans="1:17">
      <c r="A51" s="590" t="s">
        <v>294</v>
      </c>
      <c r="B51" s="591" t="s">
        <v>301</v>
      </c>
      <c r="C51" s="593">
        <f>1*3</f>
        <v>3</v>
      </c>
      <c r="D51" s="592" t="s">
        <v>283</v>
      </c>
      <c r="E51" s="594"/>
      <c r="F51" s="595">
        <f>E51*C51</f>
        <v>0</v>
      </c>
      <c r="K51" s="696"/>
      <c r="L51" s="696"/>
      <c r="M51" s="703"/>
      <c r="N51" s="967"/>
      <c r="O51" s="968"/>
      <c r="P51" s="969"/>
      <c r="Q51" s="970"/>
    </row>
    <row r="52" spans="1:17" ht="15" thickBot="1">
      <c r="A52" s="590"/>
      <c r="B52" s="591"/>
      <c r="C52" s="593"/>
      <c r="D52" s="592"/>
      <c r="E52" s="594"/>
      <c r="F52" s="595"/>
      <c r="K52" s="696"/>
      <c r="L52" s="696"/>
      <c r="M52" s="703"/>
      <c r="N52" s="967"/>
      <c r="O52" s="968"/>
      <c r="P52" s="969"/>
      <c r="Q52" s="970"/>
    </row>
    <row r="53" spans="1:17">
      <c r="A53" s="590"/>
      <c r="B53" s="591"/>
      <c r="C53" s="593"/>
      <c r="D53" s="592"/>
      <c r="E53" s="594"/>
      <c r="F53" s="595"/>
      <c r="K53" s="1014"/>
      <c r="L53" s="1014"/>
      <c r="M53" s="1015"/>
      <c r="N53" s="1016"/>
      <c r="O53" s="1017"/>
      <c r="P53" s="1061"/>
      <c r="Q53" s="1019"/>
    </row>
    <row r="54" spans="1:17" ht="15" thickBot="1">
      <c r="A54" s="590"/>
      <c r="B54" s="611"/>
      <c r="C54" s="593"/>
      <c r="D54" s="592"/>
      <c r="E54" s="594"/>
      <c r="F54" s="595"/>
      <c r="K54" s="1020"/>
      <c r="L54" s="1020"/>
      <c r="M54" s="1021" t="s">
        <v>289</v>
      </c>
      <c r="N54" s="1022"/>
      <c r="O54" s="1023"/>
      <c r="P54" s="1062"/>
      <c r="Q54" s="1010">
        <f>SUM(Q11:Q52)</f>
        <v>62.88</v>
      </c>
    </row>
    <row r="55" spans="1:17">
      <c r="A55" s="612"/>
      <c r="B55" s="613"/>
      <c r="C55" s="615"/>
      <c r="D55" s="614"/>
      <c r="E55" s="653"/>
      <c r="F55" s="617"/>
      <c r="K55" s="1025"/>
      <c r="L55" s="1025"/>
      <c r="M55" s="1026"/>
      <c r="N55" s="1027"/>
      <c r="O55" s="1028"/>
      <c r="P55" s="1063"/>
      <c r="Q55" s="1030"/>
    </row>
    <row r="56" spans="1:17" ht="17.399999999999999">
      <c r="A56" s="618" t="s">
        <v>310</v>
      </c>
      <c r="B56" s="619" t="s">
        <v>289</v>
      </c>
      <c r="C56" s="621"/>
      <c r="D56" s="620"/>
      <c r="E56" s="654"/>
      <c r="F56" s="623" t="e">
        <f>SUM(F11:F54)</f>
        <v>#REF!</v>
      </c>
      <c r="H56" s="645"/>
      <c r="K56" s="980"/>
      <c r="L56" s="981"/>
      <c r="M56" s="982"/>
      <c r="N56" s="982"/>
      <c r="O56" s="983"/>
      <c r="P56" s="1064"/>
      <c r="Q56" s="985"/>
    </row>
    <row r="57" spans="1:17">
      <c r="A57" s="624"/>
      <c r="B57" s="625"/>
      <c r="C57" s="627"/>
      <c r="D57" s="626"/>
      <c r="E57" s="655"/>
      <c r="F57" s="629"/>
      <c r="H57" s="645"/>
      <c r="K57" s="986"/>
      <c r="L57" s="987"/>
      <c r="M57" s="988"/>
      <c r="N57" s="988"/>
      <c r="O57" s="989"/>
      <c r="P57" s="1059"/>
      <c r="Q57" s="991"/>
    </row>
    <row r="58" spans="1:17" ht="17.399999999999999">
      <c r="A58" s="568"/>
      <c r="B58" s="569"/>
      <c r="C58" s="570"/>
      <c r="D58" s="569"/>
      <c r="E58" s="656"/>
      <c r="F58" s="572"/>
      <c r="K58" s="986"/>
      <c r="L58" s="987"/>
      <c r="M58" s="988"/>
      <c r="N58" s="988"/>
      <c r="O58" s="989"/>
      <c r="P58" s="1059"/>
      <c r="Q58" s="991"/>
    </row>
    <row r="59" spans="1:17">
      <c r="A59" s="574"/>
      <c r="B59" s="575"/>
      <c r="C59" s="576"/>
      <c r="D59" s="575"/>
      <c r="E59" s="648"/>
      <c r="F59" s="578"/>
      <c r="K59" s="992"/>
      <c r="L59" s="993"/>
      <c r="M59" s="543"/>
      <c r="N59" s="543"/>
      <c r="O59" s="994"/>
      <c r="P59" s="1059"/>
      <c r="Q59" s="996"/>
    </row>
    <row r="60" spans="1:17" ht="15" thickBot="1">
      <c r="A60" s="574"/>
      <c r="B60" s="575"/>
      <c r="C60" s="576"/>
      <c r="D60" s="575"/>
      <c r="E60" s="648"/>
      <c r="F60" s="578"/>
      <c r="K60" s="997" t="s">
        <v>276</v>
      </c>
      <c r="L60" s="998" t="s">
        <v>887</v>
      </c>
      <c r="M60" s="999"/>
      <c r="N60" s="1000" t="s">
        <v>266</v>
      </c>
      <c r="O60" s="1001" t="s">
        <v>277</v>
      </c>
      <c r="P60" s="1060" t="s">
        <v>278</v>
      </c>
      <c r="Q60" s="1003" t="s">
        <v>267</v>
      </c>
    </row>
    <row r="61" spans="1:17">
      <c r="A61" s="579"/>
      <c r="B61" s="580"/>
      <c r="C61" s="581"/>
      <c r="D61" s="580"/>
      <c r="E61" s="648"/>
      <c r="F61" s="583"/>
      <c r="K61" s="1020"/>
      <c r="L61" s="1020"/>
      <c r="M61" s="959"/>
      <c r="N61" s="967"/>
      <c r="O61" s="968"/>
      <c r="P61" s="969"/>
      <c r="Q61" s="970"/>
    </row>
    <row r="62" spans="1:17" ht="40.200000000000003" thickBot="1">
      <c r="A62" s="584" t="s">
        <v>276</v>
      </c>
      <c r="B62" s="585"/>
      <c r="C62" s="587" t="s">
        <v>277</v>
      </c>
      <c r="D62" s="586" t="s">
        <v>266</v>
      </c>
      <c r="E62" s="649" t="s">
        <v>278</v>
      </c>
      <c r="F62" s="589" t="s">
        <v>267</v>
      </c>
      <c r="K62" s="696">
        <f>K46+1</f>
        <v>10</v>
      </c>
      <c r="L62" s="696"/>
      <c r="M62" s="703" t="s">
        <v>935</v>
      </c>
      <c r="N62" s="698" t="s">
        <v>283</v>
      </c>
      <c r="O62" s="699">
        <v>1</v>
      </c>
      <c r="P62" s="700"/>
      <c r="Q62" s="701">
        <f>P62*O62</f>
        <v>0</v>
      </c>
    </row>
    <row r="63" spans="1:17">
      <c r="A63" s="590"/>
      <c r="B63" s="591"/>
      <c r="C63" s="593"/>
      <c r="D63" s="592"/>
      <c r="E63" s="594"/>
      <c r="F63" s="595"/>
      <c r="K63" s="1020"/>
      <c r="L63" s="1020"/>
      <c r="M63" s="959"/>
      <c r="N63" s="967"/>
      <c r="O63" s="968"/>
      <c r="P63" s="969"/>
      <c r="Q63" s="970"/>
    </row>
    <row r="64" spans="1:17">
      <c r="A64" s="652" t="s">
        <v>308</v>
      </c>
      <c r="B64" s="651" t="s">
        <v>343</v>
      </c>
      <c r="C64" s="593"/>
      <c r="D64" s="592"/>
      <c r="E64" s="594"/>
      <c r="F64" s="595"/>
      <c r="K64" s="1020"/>
      <c r="L64" s="1020"/>
      <c r="M64" s="959"/>
      <c r="N64" s="967"/>
      <c r="O64" s="968"/>
      <c r="P64" s="969"/>
      <c r="Q64" s="970"/>
    </row>
    <row r="65" spans="1:17" ht="26.4">
      <c r="A65" s="590"/>
      <c r="B65" s="597"/>
      <c r="C65" s="593"/>
      <c r="D65" s="592"/>
      <c r="E65" s="594"/>
      <c r="F65" s="595"/>
      <c r="K65" s="696">
        <f>K62+1</f>
        <v>11</v>
      </c>
      <c r="L65" s="696"/>
      <c r="M65" s="703" t="s">
        <v>359</v>
      </c>
      <c r="N65" s="967"/>
      <c r="O65" s="968"/>
      <c r="P65" s="969"/>
      <c r="Q65" s="970"/>
    </row>
    <row r="66" spans="1:17">
      <c r="A66" s="590" t="s">
        <v>294</v>
      </c>
      <c r="B66" s="591" t="s">
        <v>301</v>
      </c>
      <c r="C66" s="593">
        <f>1*3</f>
        <v>3</v>
      </c>
      <c r="D66" s="592" t="s">
        <v>283</v>
      </c>
      <c r="E66" s="594"/>
      <c r="F66" s="595">
        <f>E66*C66</f>
        <v>0</v>
      </c>
      <c r="K66" s="696"/>
      <c r="L66" s="696"/>
      <c r="M66" s="703"/>
      <c r="N66" s="967"/>
      <c r="O66" s="968"/>
      <c r="P66" s="969"/>
      <c r="Q66" s="970"/>
    </row>
    <row r="67" spans="1:17">
      <c r="A67" s="590"/>
      <c r="B67" s="591"/>
      <c r="C67" s="593"/>
      <c r="D67" s="592"/>
      <c r="E67" s="594"/>
      <c r="F67" s="595"/>
      <c r="K67" s="696"/>
      <c r="L67" s="696" t="s">
        <v>294</v>
      </c>
      <c r="M67" s="703" t="s">
        <v>356</v>
      </c>
      <c r="N67" s="967" t="s">
        <v>296</v>
      </c>
      <c r="O67" s="968">
        <f>10*2</f>
        <v>20</v>
      </c>
      <c r="P67" s="969"/>
      <c r="Q67" s="970">
        <f>P67*O67</f>
        <v>0</v>
      </c>
    </row>
    <row r="68" spans="1:17">
      <c r="A68" s="590"/>
      <c r="B68" s="591"/>
      <c r="C68" s="593"/>
      <c r="D68" s="592"/>
      <c r="E68" s="594"/>
      <c r="F68" s="595"/>
      <c r="K68" s="696"/>
      <c r="L68" s="696"/>
      <c r="M68" s="703"/>
      <c r="N68" s="967"/>
      <c r="O68" s="968"/>
      <c r="P68" s="969"/>
      <c r="Q68" s="970"/>
    </row>
    <row r="69" spans="1:17">
      <c r="A69" s="590">
        <v>11</v>
      </c>
      <c r="B69" s="591" t="s">
        <v>311</v>
      </c>
      <c r="C69" s="593">
        <f>2*3</f>
        <v>6</v>
      </c>
      <c r="D69" s="592" t="s">
        <v>283</v>
      </c>
      <c r="E69" s="594"/>
      <c r="F69" s="595">
        <f>E69*C69</f>
        <v>0</v>
      </c>
      <c r="K69" s="696"/>
      <c r="L69" s="696"/>
      <c r="M69" s="703"/>
      <c r="N69" s="967"/>
      <c r="O69" s="968"/>
      <c r="P69" s="969"/>
      <c r="Q69" s="970"/>
    </row>
    <row r="70" spans="1:17">
      <c r="A70" s="590"/>
      <c r="B70" s="591"/>
      <c r="C70" s="593"/>
      <c r="D70" s="592"/>
      <c r="E70" s="594"/>
      <c r="F70" s="595"/>
      <c r="K70" s="696">
        <f>K65+1</f>
        <v>12</v>
      </c>
      <c r="L70" s="696"/>
      <c r="M70" s="703" t="s">
        <v>312</v>
      </c>
      <c r="N70" s="967" t="s">
        <v>283</v>
      </c>
      <c r="O70" s="968">
        <v>4</v>
      </c>
      <c r="P70" s="969"/>
      <c r="Q70" s="970">
        <f>P70*O70</f>
        <v>0</v>
      </c>
    </row>
    <row r="71" spans="1:17">
      <c r="A71" s="590"/>
      <c r="B71" s="591"/>
      <c r="C71" s="593"/>
      <c r="D71" s="592"/>
      <c r="E71" s="594"/>
      <c r="F71" s="595"/>
      <c r="K71" s="696"/>
      <c r="L71" s="696"/>
      <c r="M71" s="703"/>
      <c r="N71" s="967"/>
      <c r="O71" s="968"/>
      <c r="P71" s="969"/>
      <c r="Q71" s="970"/>
    </row>
    <row r="72" spans="1:17">
      <c r="A72" s="590"/>
      <c r="B72" s="591"/>
      <c r="C72" s="593"/>
      <c r="D72" s="592"/>
      <c r="E72" s="594"/>
      <c r="F72" s="595"/>
      <c r="K72" s="696"/>
      <c r="L72" s="696"/>
      <c r="M72" s="1040"/>
      <c r="N72" s="967"/>
      <c r="O72" s="1041"/>
      <c r="P72" s="969"/>
      <c r="Q72" s="970"/>
    </row>
    <row r="73" spans="1:17">
      <c r="A73" s="590"/>
      <c r="B73" s="591"/>
      <c r="C73" s="593"/>
      <c r="D73" s="592"/>
      <c r="E73" s="594"/>
      <c r="F73" s="595"/>
      <c r="K73" s="696">
        <f>K70+1</f>
        <v>13</v>
      </c>
      <c r="L73" s="696"/>
      <c r="M73" s="703" t="s">
        <v>300</v>
      </c>
      <c r="N73" s="967"/>
      <c r="O73" s="968"/>
      <c r="P73" s="969"/>
      <c r="Q73" s="970"/>
    </row>
    <row r="74" spans="1:17">
      <c r="A74" s="590"/>
      <c r="B74" s="591"/>
      <c r="C74" s="593"/>
      <c r="D74" s="592"/>
      <c r="E74" s="594"/>
      <c r="F74" s="595"/>
      <c r="K74" s="696"/>
      <c r="L74" s="696"/>
      <c r="M74" s="697"/>
      <c r="N74" s="967"/>
      <c r="O74" s="968"/>
      <c r="P74" s="969"/>
      <c r="Q74" s="970"/>
    </row>
    <row r="75" spans="1:17">
      <c r="A75" s="590"/>
      <c r="B75" s="591"/>
      <c r="C75" s="593"/>
      <c r="D75" s="592"/>
      <c r="E75" s="594"/>
      <c r="F75" s="595"/>
      <c r="K75" s="696"/>
      <c r="L75" s="696" t="s">
        <v>294</v>
      </c>
      <c r="M75" s="703" t="s">
        <v>356</v>
      </c>
      <c r="N75" s="967" t="s">
        <v>283</v>
      </c>
      <c r="O75" s="968">
        <v>4</v>
      </c>
      <c r="P75" s="969"/>
      <c r="Q75" s="970">
        <f>P75*O75</f>
        <v>0</v>
      </c>
    </row>
    <row r="76" spans="1:17">
      <c r="A76" s="590"/>
      <c r="B76" s="591"/>
      <c r="C76" s="593"/>
      <c r="D76" s="592"/>
      <c r="E76" s="594"/>
      <c r="F76" s="595"/>
      <c r="K76" s="696"/>
      <c r="L76" s="696"/>
      <c r="M76" s="703"/>
      <c r="N76" s="967"/>
      <c r="O76" s="968"/>
      <c r="P76" s="969"/>
      <c r="Q76" s="970"/>
    </row>
    <row r="77" spans="1:17">
      <c r="A77" s="590"/>
      <c r="B77" s="591"/>
      <c r="C77" s="593"/>
      <c r="D77" s="592"/>
      <c r="E77" s="594"/>
      <c r="F77" s="595"/>
      <c r="K77" s="696"/>
      <c r="L77" s="696"/>
      <c r="M77" s="703"/>
      <c r="N77" s="967"/>
      <c r="O77" s="968"/>
      <c r="P77" s="969"/>
      <c r="Q77" s="970"/>
    </row>
    <row r="78" spans="1:17">
      <c r="A78" s="590"/>
      <c r="B78" s="591"/>
      <c r="C78" s="593"/>
      <c r="D78" s="592"/>
      <c r="E78" s="594"/>
      <c r="F78" s="595"/>
      <c r="K78" s="705">
        <f>K73+1</f>
        <v>14</v>
      </c>
      <c r="L78" s="705"/>
      <c r="M78" s="706" t="s">
        <v>894</v>
      </c>
      <c r="N78" s="1047" t="s">
        <v>283</v>
      </c>
      <c r="O78" s="1048">
        <v>4</v>
      </c>
      <c r="P78" s="1049">
        <f>Elec_Est!E604</f>
        <v>22.76</v>
      </c>
      <c r="Q78" s="1050">
        <f>P78*O78</f>
        <v>91.04</v>
      </c>
    </row>
    <row r="79" spans="1:17">
      <c r="A79" s="590"/>
      <c r="B79" s="591"/>
      <c r="C79" s="593"/>
      <c r="D79" s="592"/>
      <c r="E79" s="594"/>
      <c r="F79" s="595"/>
      <c r="K79" s="696"/>
      <c r="L79" s="696"/>
      <c r="M79" s="1040"/>
      <c r="N79" s="967"/>
      <c r="O79" s="1041"/>
      <c r="P79" s="969"/>
      <c r="Q79" s="970"/>
    </row>
    <row r="80" spans="1:17">
      <c r="A80" s="590"/>
      <c r="B80" s="591"/>
      <c r="C80" s="593"/>
      <c r="D80" s="592"/>
      <c r="E80" s="594"/>
      <c r="F80" s="595"/>
      <c r="K80" s="696"/>
      <c r="L80" s="696"/>
      <c r="M80" s="703"/>
      <c r="N80" s="967"/>
      <c r="O80" s="968"/>
      <c r="P80" s="969"/>
      <c r="Q80" s="970"/>
    </row>
    <row r="81" spans="1:17" ht="52.8">
      <c r="A81" s="590"/>
      <c r="B81" s="591"/>
      <c r="C81" s="593"/>
      <c r="D81" s="592"/>
      <c r="E81" s="594"/>
      <c r="F81" s="595"/>
      <c r="K81" s="696">
        <f>K78+1</f>
        <v>15</v>
      </c>
      <c r="L81" s="696"/>
      <c r="M81" s="703" t="s">
        <v>936</v>
      </c>
      <c r="N81" s="967"/>
      <c r="O81" s="968"/>
      <c r="P81" s="969"/>
      <c r="Q81" s="970"/>
    </row>
    <row r="82" spans="1:17">
      <c r="A82" s="590"/>
      <c r="B82" s="591"/>
      <c r="C82" s="593"/>
      <c r="D82" s="592"/>
      <c r="E82" s="594"/>
      <c r="F82" s="595"/>
      <c r="K82" s="696"/>
      <c r="L82" s="696"/>
      <c r="M82" s="703"/>
      <c r="N82" s="967"/>
      <c r="O82" s="968"/>
      <c r="P82" s="969"/>
      <c r="Q82" s="970"/>
    </row>
    <row r="83" spans="1:17">
      <c r="A83" s="590"/>
      <c r="B83" s="591"/>
      <c r="C83" s="593"/>
      <c r="D83" s="592"/>
      <c r="E83" s="594"/>
      <c r="F83" s="595"/>
      <c r="K83" s="696"/>
      <c r="L83" s="696"/>
      <c r="M83" s="703" t="s">
        <v>901</v>
      </c>
      <c r="N83" s="967" t="s">
        <v>283</v>
      </c>
      <c r="O83" s="968">
        <v>2</v>
      </c>
      <c r="P83" s="969"/>
      <c r="Q83" s="970">
        <f>P83*O83</f>
        <v>0</v>
      </c>
    </row>
    <row r="84" spans="1:17">
      <c r="A84" s="590"/>
      <c r="B84" s="591"/>
      <c r="C84" s="593"/>
      <c r="D84" s="592"/>
      <c r="E84" s="594"/>
      <c r="F84" s="595"/>
      <c r="K84" s="696"/>
      <c r="L84" s="696"/>
      <c r="M84" s="703" t="s">
        <v>902</v>
      </c>
      <c r="N84" s="967"/>
      <c r="O84" s="968"/>
      <c r="P84" s="969"/>
      <c r="Q84" s="970"/>
    </row>
    <row r="85" spans="1:17">
      <c r="A85" s="590"/>
      <c r="B85" s="591"/>
      <c r="C85" s="593"/>
      <c r="D85" s="592"/>
      <c r="E85" s="594"/>
      <c r="F85" s="595"/>
      <c r="K85" s="696"/>
      <c r="L85" s="696"/>
      <c r="M85" s="703" t="s">
        <v>903</v>
      </c>
      <c r="N85" s="967"/>
      <c r="O85" s="968"/>
      <c r="P85" s="969"/>
      <c r="Q85" s="970"/>
    </row>
    <row r="86" spans="1:17">
      <c r="A86" s="590"/>
      <c r="B86" s="591"/>
      <c r="C86" s="593"/>
      <c r="D86" s="592"/>
      <c r="E86" s="594"/>
      <c r="F86" s="595"/>
      <c r="K86" s="696"/>
      <c r="L86" s="696"/>
      <c r="M86" s="703" t="s">
        <v>904</v>
      </c>
      <c r="N86" s="967"/>
      <c r="O86" s="968"/>
      <c r="P86" s="969"/>
      <c r="Q86" s="970"/>
    </row>
    <row r="87" spans="1:17">
      <c r="A87" s="590"/>
      <c r="B87" s="591"/>
      <c r="C87" s="593"/>
      <c r="D87" s="592"/>
      <c r="E87" s="594"/>
      <c r="F87" s="595"/>
      <c r="K87" s="696"/>
      <c r="L87" s="696"/>
      <c r="M87" s="703"/>
      <c r="N87" s="967"/>
      <c r="O87" s="968"/>
      <c r="P87" s="969"/>
      <c r="Q87" s="970"/>
    </row>
    <row r="88" spans="1:17">
      <c r="A88" s="590"/>
      <c r="B88" s="591"/>
      <c r="C88" s="593"/>
      <c r="D88" s="592"/>
      <c r="E88" s="594"/>
      <c r="F88" s="595"/>
      <c r="K88" s="696"/>
      <c r="L88" s="696"/>
      <c r="M88" s="703"/>
      <c r="N88" s="967"/>
      <c r="O88" s="968"/>
      <c r="P88" s="969"/>
      <c r="Q88" s="970"/>
    </row>
    <row r="89" spans="1:17" ht="26.4">
      <c r="A89" s="590"/>
      <c r="B89" s="591"/>
      <c r="C89" s="593"/>
      <c r="D89" s="592"/>
      <c r="E89" s="594"/>
      <c r="F89" s="595"/>
      <c r="K89" s="705">
        <f>K81+1</f>
        <v>16</v>
      </c>
      <c r="L89" s="705"/>
      <c r="M89" s="706" t="s">
        <v>350</v>
      </c>
      <c r="N89" s="1047"/>
      <c r="O89" s="1048"/>
      <c r="P89" s="1049"/>
      <c r="Q89" s="1050"/>
    </row>
    <row r="90" spans="1:17">
      <c r="A90" s="590"/>
      <c r="B90" s="591"/>
      <c r="C90" s="593"/>
      <c r="D90" s="592"/>
      <c r="E90" s="594"/>
      <c r="F90" s="595"/>
      <c r="K90" s="705"/>
      <c r="L90" s="705"/>
      <c r="M90" s="706"/>
      <c r="N90" s="1047"/>
      <c r="O90" s="1048"/>
      <c r="P90" s="1049"/>
      <c r="Q90" s="1050"/>
    </row>
    <row r="91" spans="1:17">
      <c r="A91" s="590"/>
      <c r="B91" s="591"/>
      <c r="C91" s="593"/>
      <c r="D91" s="592"/>
      <c r="E91" s="594"/>
      <c r="F91" s="595"/>
      <c r="K91" s="705"/>
      <c r="L91" s="705" t="s">
        <v>294</v>
      </c>
      <c r="M91" s="706" t="s">
        <v>364</v>
      </c>
      <c r="N91" s="1047" t="s">
        <v>283</v>
      </c>
      <c r="O91" s="1048">
        <v>1</v>
      </c>
      <c r="P91" s="1049">
        <f>Elec_Est!E622</f>
        <v>62.88</v>
      </c>
      <c r="Q91" s="1050">
        <f>P91*O91</f>
        <v>62.88</v>
      </c>
    </row>
    <row r="92" spans="1:17">
      <c r="A92" s="590"/>
      <c r="B92" s="591"/>
      <c r="C92" s="593"/>
      <c r="D92" s="592"/>
      <c r="E92" s="594"/>
      <c r="F92" s="595"/>
      <c r="K92" s="696"/>
      <c r="L92" s="696"/>
      <c r="M92" s="703"/>
      <c r="N92" s="967"/>
      <c r="O92" s="968"/>
      <c r="P92" s="969"/>
      <c r="Q92" s="970"/>
    </row>
    <row r="93" spans="1:17">
      <c r="A93" s="590"/>
      <c r="B93" s="591"/>
      <c r="C93" s="593"/>
      <c r="D93" s="592"/>
      <c r="E93" s="594"/>
      <c r="F93" s="595"/>
      <c r="K93" s="696"/>
      <c r="L93" s="696"/>
      <c r="M93" s="703"/>
      <c r="N93" s="967"/>
      <c r="O93" s="968"/>
      <c r="P93" s="969"/>
      <c r="Q93" s="970"/>
    </row>
    <row r="94" spans="1:17" ht="26.4">
      <c r="A94" s="590"/>
      <c r="B94" s="591"/>
      <c r="C94" s="593"/>
      <c r="D94" s="592"/>
      <c r="E94" s="594"/>
      <c r="F94" s="595"/>
      <c r="K94" s="696">
        <f>K89+1</f>
        <v>17</v>
      </c>
      <c r="L94" s="696"/>
      <c r="M94" s="703" t="s">
        <v>352</v>
      </c>
      <c r="N94" s="967"/>
      <c r="O94" s="968"/>
      <c r="P94" s="969"/>
      <c r="Q94" s="970"/>
    </row>
    <row r="95" spans="1:17">
      <c r="A95" s="590"/>
      <c r="B95" s="591"/>
      <c r="C95" s="593"/>
      <c r="D95" s="592"/>
      <c r="E95" s="594"/>
      <c r="F95" s="595"/>
      <c r="K95" s="696"/>
      <c r="L95" s="696"/>
      <c r="M95" s="703"/>
      <c r="N95" s="967"/>
      <c r="O95" s="968"/>
      <c r="P95" s="969"/>
      <c r="Q95" s="970"/>
    </row>
    <row r="96" spans="1:17">
      <c r="A96" s="590"/>
      <c r="B96" s="591"/>
      <c r="C96" s="593"/>
      <c r="D96" s="592"/>
      <c r="E96" s="594"/>
      <c r="F96" s="595"/>
      <c r="K96" s="696"/>
      <c r="L96" s="696" t="s">
        <v>294</v>
      </c>
      <c r="M96" s="703" t="s">
        <v>353</v>
      </c>
      <c r="N96" s="967" t="s">
        <v>296</v>
      </c>
      <c r="O96" s="968">
        <v>30</v>
      </c>
      <c r="P96" s="969"/>
      <c r="Q96" s="970">
        <f>P96*O96</f>
        <v>0</v>
      </c>
    </row>
    <row r="97" spans="1:17">
      <c r="A97" s="590"/>
      <c r="B97" s="591"/>
      <c r="C97" s="593"/>
      <c r="D97" s="592"/>
      <c r="E97" s="594"/>
      <c r="F97" s="595"/>
      <c r="K97" s="696"/>
      <c r="L97" s="696"/>
      <c r="M97" s="703"/>
      <c r="N97" s="967"/>
      <c r="O97" s="968"/>
      <c r="P97" s="969"/>
      <c r="Q97" s="970"/>
    </row>
    <row r="98" spans="1:17">
      <c r="A98" s="590"/>
      <c r="B98" s="591"/>
      <c r="C98" s="593"/>
      <c r="D98" s="592"/>
      <c r="E98" s="594"/>
      <c r="F98" s="595"/>
      <c r="K98" s="696"/>
      <c r="L98" s="696"/>
      <c r="M98" s="703"/>
      <c r="N98" s="967"/>
      <c r="O98" s="968"/>
      <c r="P98" s="969"/>
      <c r="Q98" s="970"/>
    </row>
    <row r="99" spans="1:17">
      <c r="A99" s="590"/>
      <c r="B99" s="591"/>
      <c r="C99" s="593"/>
      <c r="D99" s="592"/>
      <c r="E99" s="594"/>
      <c r="F99" s="595"/>
      <c r="K99" s="696">
        <f>K94+1</f>
        <v>18</v>
      </c>
      <c r="L99" s="696"/>
      <c r="M99" s="703" t="s">
        <v>354</v>
      </c>
      <c r="N99" s="967"/>
      <c r="O99" s="968"/>
      <c r="P99" s="969"/>
      <c r="Q99" s="970"/>
    </row>
    <row r="100" spans="1:17">
      <c r="A100" s="590"/>
      <c r="B100" s="591"/>
      <c r="C100" s="593"/>
      <c r="D100" s="592"/>
      <c r="E100" s="594"/>
      <c r="F100" s="595"/>
      <c r="K100" s="696"/>
      <c r="L100" s="696"/>
      <c r="M100" s="703"/>
      <c r="N100" s="967"/>
      <c r="O100" s="968"/>
      <c r="P100" s="969"/>
      <c r="Q100" s="970"/>
    </row>
    <row r="101" spans="1:17">
      <c r="A101" s="590"/>
      <c r="B101" s="591"/>
      <c r="C101" s="593"/>
      <c r="D101" s="592"/>
      <c r="E101" s="594"/>
      <c r="F101" s="595"/>
      <c r="K101" s="696"/>
      <c r="L101" s="696" t="s">
        <v>294</v>
      </c>
      <c r="M101" s="703" t="s">
        <v>353</v>
      </c>
      <c r="N101" s="967" t="s">
        <v>283</v>
      </c>
      <c r="O101" s="968">
        <v>1</v>
      </c>
      <c r="P101" s="969"/>
      <c r="Q101" s="970">
        <f>P101*O101</f>
        <v>0</v>
      </c>
    </row>
    <row r="102" spans="1:17">
      <c r="A102" s="590"/>
      <c r="B102" s="591"/>
      <c r="C102" s="593"/>
      <c r="D102" s="592"/>
      <c r="E102" s="594"/>
      <c r="F102" s="595"/>
      <c r="K102" s="696"/>
      <c r="L102" s="696"/>
      <c r="M102" s="703"/>
      <c r="N102" s="967"/>
      <c r="O102" s="968"/>
      <c r="P102" s="969"/>
      <c r="Q102" s="970"/>
    </row>
    <row r="103" spans="1:17">
      <c r="A103" s="590"/>
      <c r="B103" s="591"/>
      <c r="C103" s="593"/>
      <c r="D103" s="592"/>
      <c r="E103" s="594"/>
      <c r="F103" s="595"/>
      <c r="K103" s="696"/>
      <c r="L103" s="696"/>
      <c r="M103" s="703"/>
      <c r="N103" s="967"/>
      <c r="O103" s="968"/>
      <c r="P103" s="969"/>
      <c r="Q103" s="970"/>
    </row>
    <row r="104" spans="1:17" ht="15" thickBot="1">
      <c r="A104" s="590"/>
      <c r="B104" s="591"/>
      <c r="C104" s="593"/>
      <c r="D104" s="592"/>
      <c r="E104" s="594"/>
      <c r="F104" s="595"/>
      <c r="K104" s="696"/>
      <c r="L104" s="696"/>
      <c r="M104" s="703"/>
      <c r="N104" s="967"/>
      <c r="O104" s="968"/>
      <c r="P104" s="969"/>
      <c r="Q104" s="970"/>
    </row>
    <row r="105" spans="1:17">
      <c r="A105" s="590"/>
      <c r="B105" s="591"/>
      <c r="C105" s="593"/>
      <c r="D105" s="592"/>
      <c r="E105" s="594"/>
      <c r="F105" s="595"/>
      <c r="K105" s="1014"/>
      <c r="L105" s="1014"/>
      <c r="M105" s="1015"/>
      <c r="N105" s="1016"/>
      <c r="O105" s="1017"/>
      <c r="P105" s="1061"/>
      <c r="Q105" s="1019"/>
    </row>
    <row r="106" spans="1:17">
      <c r="A106" s="590"/>
      <c r="B106" s="591"/>
      <c r="C106" s="593"/>
      <c r="D106" s="592"/>
      <c r="E106" s="594"/>
      <c r="F106" s="595"/>
      <c r="K106" s="1020"/>
      <c r="L106" s="1020"/>
      <c r="M106" s="1021" t="s">
        <v>289</v>
      </c>
      <c r="N106" s="1022"/>
      <c r="O106" s="1023"/>
      <c r="P106" s="1062"/>
      <c r="Q106" s="1010">
        <f>SUM(Q62:Q104)</f>
        <v>153.92000000000002</v>
      </c>
    </row>
    <row r="107" spans="1:17">
      <c r="A107" s="590"/>
      <c r="B107" s="591"/>
      <c r="C107" s="593"/>
      <c r="D107" s="592"/>
      <c r="E107" s="594"/>
      <c r="F107" s="595"/>
      <c r="K107" s="1025"/>
      <c r="L107" s="1025"/>
      <c r="M107" s="1026"/>
      <c r="N107" s="1027"/>
      <c r="O107" s="1028"/>
      <c r="P107" s="1063"/>
      <c r="Q107" s="1030"/>
    </row>
    <row r="108" spans="1:17" ht="17.399999999999999">
      <c r="A108" s="590"/>
      <c r="B108" s="591"/>
      <c r="C108" s="593"/>
      <c r="D108" s="592"/>
      <c r="E108" s="594"/>
      <c r="F108" s="595"/>
      <c r="K108" s="980"/>
      <c r="L108" s="981"/>
      <c r="M108" s="982"/>
      <c r="N108" s="982"/>
      <c r="O108" s="983"/>
      <c r="P108" s="1064"/>
      <c r="Q108" s="985"/>
    </row>
    <row r="109" spans="1:17">
      <c r="A109" s="590"/>
      <c r="B109" s="591"/>
      <c r="C109" s="593"/>
      <c r="D109" s="592"/>
      <c r="E109" s="594"/>
      <c r="F109" s="595"/>
      <c r="K109" s="986"/>
      <c r="L109" s="987"/>
      <c r="M109" s="988"/>
      <c r="N109" s="988"/>
      <c r="O109" s="989"/>
      <c r="P109" s="1059"/>
      <c r="Q109" s="991"/>
    </row>
    <row r="110" spans="1:17">
      <c r="A110" s="590"/>
      <c r="B110" s="591"/>
      <c r="C110" s="593"/>
      <c r="D110" s="592"/>
      <c r="E110" s="594"/>
      <c r="F110" s="595"/>
      <c r="K110" s="986"/>
      <c r="L110" s="987"/>
      <c r="M110" s="988"/>
      <c r="N110" s="988"/>
      <c r="O110" s="989"/>
      <c r="P110" s="1059"/>
      <c r="Q110" s="991"/>
    </row>
    <row r="111" spans="1:17">
      <c r="A111" s="590"/>
      <c r="B111" s="591"/>
      <c r="C111" s="593"/>
      <c r="D111" s="592"/>
      <c r="E111" s="594"/>
      <c r="F111" s="595"/>
      <c r="K111" s="992"/>
      <c r="L111" s="993"/>
      <c r="M111" s="543"/>
      <c r="N111" s="543"/>
      <c r="O111" s="994"/>
      <c r="P111" s="1059"/>
      <c r="Q111" s="996"/>
    </row>
    <row r="112" spans="1:17" ht="15" thickBot="1">
      <c r="A112" s="590"/>
      <c r="B112" s="591"/>
      <c r="C112" s="593"/>
      <c r="D112" s="592"/>
      <c r="E112" s="594"/>
      <c r="F112" s="595"/>
      <c r="K112" s="997" t="s">
        <v>276</v>
      </c>
      <c r="L112" s="998" t="s">
        <v>887</v>
      </c>
      <c r="M112" s="999"/>
      <c r="N112" s="1000" t="s">
        <v>266</v>
      </c>
      <c r="O112" s="1001" t="s">
        <v>277</v>
      </c>
      <c r="P112" s="1060" t="s">
        <v>278</v>
      </c>
      <c r="Q112" s="1003" t="s">
        <v>267</v>
      </c>
    </row>
    <row r="113" spans="1:17">
      <c r="A113" s="590"/>
      <c r="B113" s="591"/>
      <c r="C113" s="593"/>
      <c r="D113" s="592"/>
      <c r="E113" s="594"/>
      <c r="F113" s="595"/>
      <c r="K113" s="696"/>
      <c r="L113" s="696"/>
      <c r="M113" s="703"/>
      <c r="N113" s="967"/>
      <c r="O113" s="968"/>
      <c r="P113" s="969"/>
      <c r="Q113" s="970"/>
    </row>
    <row r="114" spans="1:17" ht="40.200000000000003" thickBot="1">
      <c r="A114" s="590"/>
      <c r="B114" s="591"/>
      <c r="C114" s="593"/>
      <c r="D114" s="592"/>
      <c r="E114" s="594"/>
      <c r="F114" s="595"/>
      <c r="K114" s="696">
        <f>K99+1</f>
        <v>19</v>
      </c>
      <c r="L114" s="696"/>
      <c r="M114" s="703" t="s">
        <v>366</v>
      </c>
      <c r="N114" s="967"/>
      <c r="O114" s="968"/>
      <c r="P114" s="969"/>
      <c r="Q114" s="970"/>
    </row>
    <row r="115" spans="1:17">
      <c r="A115" s="612"/>
      <c r="B115" s="613"/>
      <c r="C115" s="615"/>
      <c r="D115" s="614"/>
      <c r="E115" s="653"/>
      <c r="F115" s="617"/>
      <c r="K115" s="696"/>
      <c r="L115" s="696"/>
      <c r="M115" s="703"/>
      <c r="N115" s="967"/>
      <c r="O115" s="968"/>
      <c r="P115" s="969"/>
      <c r="Q115" s="970"/>
    </row>
    <row r="116" spans="1:17">
      <c r="A116" s="618" t="s">
        <v>310</v>
      </c>
      <c r="B116" s="619" t="s">
        <v>289</v>
      </c>
      <c r="C116" s="621"/>
      <c r="D116" s="620"/>
      <c r="E116" s="654"/>
      <c r="F116" s="623">
        <f>SUM(F66:F114)</f>
        <v>0</v>
      </c>
      <c r="H116" s="645"/>
      <c r="K116" s="696"/>
      <c r="L116" s="696" t="s">
        <v>294</v>
      </c>
      <c r="M116" s="703" t="s">
        <v>316</v>
      </c>
      <c r="N116" s="967" t="s">
        <v>296</v>
      </c>
      <c r="O116" s="968">
        <f>12*2*3</f>
        <v>72</v>
      </c>
      <c r="P116" s="969"/>
      <c r="Q116" s="970">
        <f>P116*O116</f>
        <v>0</v>
      </c>
    </row>
    <row r="117" spans="1:17">
      <c r="A117" s="624"/>
      <c r="B117" s="625"/>
      <c r="C117" s="627"/>
      <c r="D117" s="626"/>
      <c r="E117" s="655"/>
      <c r="F117" s="629"/>
      <c r="K117" s="696"/>
      <c r="L117" s="696"/>
      <c r="M117" s="703"/>
      <c r="N117" s="967"/>
      <c r="O117" s="968"/>
      <c r="P117" s="969"/>
      <c r="Q117" s="970"/>
    </row>
    <row r="118" spans="1:17" ht="17.399999999999999">
      <c r="A118" s="568"/>
      <c r="B118" s="569"/>
      <c r="C118" s="570"/>
      <c r="D118" s="569"/>
      <c r="E118" s="656"/>
      <c r="F118" s="572"/>
      <c r="K118" s="696"/>
      <c r="L118" s="696"/>
      <c r="M118" s="703"/>
      <c r="N118" s="967"/>
      <c r="O118" s="968"/>
      <c r="P118" s="969"/>
      <c r="Q118" s="970"/>
    </row>
    <row r="119" spans="1:17">
      <c r="A119" s="574"/>
      <c r="B119" s="575"/>
      <c r="C119" s="576"/>
      <c r="D119" s="575"/>
      <c r="E119" s="648"/>
      <c r="F119" s="578"/>
      <c r="K119" s="696">
        <f>K114+1</f>
        <v>20</v>
      </c>
      <c r="L119" s="696"/>
      <c r="M119" s="703" t="s">
        <v>300</v>
      </c>
      <c r="N119" s="967"/>
      <c r="O119" s="968"/>
      <c r="P119" s="969"/>
      <c r="Q119" s="970"/>
    </row>
    <row r="120" spans="1:17">
      <c r="A120" s="574"/>
      <c r="B120" s="575"/>
      <c r="C120" s="576"/>
      <c r="D120" s="575"/>
      <c r="E120" s="648"/>
      <c r="F120" s="578"/>
      <c r="K120" s="696"/>
      <c r="L120" s="696"/>
      <c r="M120" s="697"/>
      <c r="N120" s="967"/>
      <c r="O120" s="968"/>
      <c r="P120" s="969"/>
      <c r="Q120" s="970"/>
    </row>
    <row r="121" spans="1:17">
      <c r="A121" s="579"/>
      <c r="B121" s="580"/>
      <c r="C121" s="581"/>
      <c r="D121" s="580"/>
      <c r="E121" s="648"/>
      <c r="F121" s="583"/>
      <c r="K121" s="696"/>
      <c r="L121" s="696" t="s">
        <v>294</v>
      </c>
      <c r="M121" s="703" t="s">
        <v>319</v>
      </c>
      <c r="N121" s="967" t="s">
        <v>283</v>
      </c>
      <c r="O121" s="968">
        <f>4*3</f>
        <v>12</v>
      </c>
      <c r="P121" s="969"/>
      <c r="Q121" s="970">
        <f>P121*O121</f>
        <v>0</v>
      </c>
    </row>
    <row r="122" spans="1:17" ht="15" thickBot="1">
      <c r="A122" s="584" t="s">
        <v>276</v>
      </c>
      <c r="B122" s="585"/>
      <c r="C122" s="587" t="s">
        <v>277</v>
      </c>
      <c r="D122" s="586" t="s">
        <v>266</v>
      </c>
      <c r="E122" s="649" t="s">
        <v>278</v>
      </c>
      <c r="F122" s="589" t="s">
        <v>267</v>
      </c>
      <c r="K122" s="696"/>
      <c r="L122" s="696"/>
      <c r="M122" s="703"/>
      <c r="N122" s="967"/>
      <c r="O122" s="968"/>
      <c r="P122" s="969"/>
      <c r="Q122" s="970"/>
    </row>
    <row r="123" spans="1:17">
      <c r="A123" s="590"/>
      <c r="B123" s="591"/>
      <c r="C123" s="593"/>
      <c r="D123" s="592"/>
      <c r="E123" s="594"/>
      <c r="F123" s="595"/>
      <c r="K123" s="696"/>
      <c r="L123" s="696"/>
      <c r="M123" s="703"/>
      <c r="N123" s="967"/>
      <c r="O123" s="968"/>
      <c r="P123" s="969"/>
      <c r="Q123" s="970"/>
    </row>
    <row r="124" spans="1:17" ht="52.8">
      <c r="A124" s="590" t="s">
        <v>279</v>
      </c>
      <c r="B124" s="597" t="s">
        <v>344</v>
      </c>
      <c r="C124" s="593"/>
      <c r="D124" s="592"/>
      <c r="E124" s="594"/>
      <c r="F124" s="595"/>
      <c r="K124" s="705">
        <f>K119+1</f>
        <v>21</v>
      </c>
      <c r="L124" s="705"/>
      <c r="M124" s="706" t="s">
        <v>908</v>
      </c>
      <c r="N124" s="1047"/>
      <c r="O124" s="1048"/>
      <c r="P124" s="1049"/>
      <c r="Q124" s="1050"/>
    </row>
    <row r="125" spans="1:17">
      <c r="A125" s="590"/>
      <c r="B125" s="597"/>
      <c r="C125" s="593"/>
      <c r="D125" s="592"/>
      <c r="E125" s="594"/>
      <c r="F125" s="595"/>
      <c r="K125" s="705"/>
      <c r="L125" s="705"/>
      <c r="M125" s="1051"/>
      <c r="N125" s="1047"/>
      <c r="O125" s="1048"/>
      <c r="P125" s="1049"/>
      <c r="Q125" s="1050"/>
    </row>
    <row r="126" spans="1:17" ht="39.6">
      <c r="A126" s="590" t="s">
        <v>345</v>
      </c>
      <c r="B126" s="591" t="s">
        <v>346</v>
      </c>
      <c r="C126" s="593"/>
      <c r="D126" s="592"/>
      <c r="E126" s="594"/>
      <c r="F126" s="595"/>
      <c r="K126" s="705"/>
      <c r="L126" s="705" t="s">
        <v>294</v>
      </c>
      <c r="M126" s="706" t="s">
        <v>937</v>
      </c>
      <c r="N126" s="1047" t="s">
        <v>283</v>
      </c>
      <c r="O126" s="1048">
        <v>1</v>
      </c>
      <c r="P126" s="1049">
        <f>Elec_Est!E644</f>
        <v>152.91</v>
      </c>
      <c r="Q126" s="1050">
        <f>P126*O126</f>
        <v>152.91</v>
      </c>
    </row>
    <row r="127" spans="1:17">
      <c r="A127" s="590"/>
      <c r="B127" s="591"/>
      <c r="C127" s="593"/>
      <c r="D127" s="592"/>
      <c r="E127" s="594"/>
      <c r="F127" s="595"/>
      <c r="K127" s="705"/>
      <c r="L127" s="705"/>
      <c r="M127" s="706"/>
      <c r="N127" s="1047"/>
      <c r="O127" s="1048"/>
      <c r="P127" s="1049"/>
      <c r="Q127" s="1050"/>
    </row>
    <row r="128" spans="1:17" ht="52.8">
      <c r="A128" s="590" t="s">
        <v>294</v>
      </c>
      <c r="B128" s="591" t="s">
        <v>347</v>
      </c>
      <c r="C128" s="593">
        <v>2</v>
      </c>
      <c r="D128" s="592" t="s">
        <v>283</v>
      </c>
      <c r="E128" s="594"/>
      <c r="F128" s="595">
        <f>E128*C128</f>
        <v>0</v>
      </c>
      <c r="K128" s="705"/>
      <c r="L128" s="705" t="s">
        <v>339</v>
      </c>
      <c r="M128" s="706" t="s">
        <v>938</v>
      </c>
      <c r="N128" s="1047" t="s">
        <v>283</v>
      </c>
      <c r="O128" s="1048">
        <v>1</v>
      </c>
      <c r="P128" s="1049">
        <f>Elec_Est!E666</f>
        <v>152.91</v>
      </c>
      <c r="Q128" s="1050">
        <f>P128*O128</f>
        <v>152.91</v>
      </c>
    </row>
    <row r="129" spans="1:17">
      <c r="A129" s="590"/>
      <c r="B129" s="591"/>
      <c r="C129" s="593"/>
      <c r="D129" s="592"/>
      <c r="E129" s="594"/>
      <c r="F129" s="595"/>
      <c r="K129" s="705"/>
      <c r="L129" s="705"/>
      <c r="M129" s="706"/>
      <c r="N129" s="1047"/>
      <c r="O129" s="1048"/>
      <c r="P129" s="1049"/>
      <c r="Q129" s="1050"/>
    </row>
    <row r="130" spans="1:17">
      <c r="A130" s="590"/>
      <c r="B130" s="591"/>
      <c r="C130" s="593"/>
      <c r="D130" s="592"/>
      <c r="E130" s="594"/>
      <c r="F130" s="595"/>
      <c r="K130" s="705"/>
      <c r="L130" s="705" t="s">
        <v>340</v>
      </c>
      <c r="M130" s="706" t="s">
        <v>939</v>
      </c>
      <c r="N130" s="1047" t="s">
        <v>283</v>
      </c>
      <c r="O130" s="1048">
        <v>1</v>
      </c>
      <c r="P130" s="1049">
        <f>Elec_Est!E688</f>
        <v>152.91</v>
      </c>
      <c r="Q130" s="1050">
        <f>P130*O130</f>
        <v>152.91</v>
      </c>
    </row>
    <row r="131" spans="1:17">
      <c r="A131" s="590"/>
      <c r="B131" s="591"/>
      <c r="C131" s="593"/>
      <c r="D131" s="592"/>
      <c r="E131" s="594"/>
      <c r="F131" s="595"/>
      <c r="K131" s="696"/>
      <c r="L131" s="696"/>
      <c r="M131" s="703"/>
      <c r="N131" s="967"/>
      <c r="O131" s="968"/>
      <c r="P131" s="969"/>
      <c r="Q131" s="970"/>
    </row>
    <row r="132" spans="1:17">
      <c r="A132" s="590"/>
      <c r="B132" s="591"/>
      <c r="C132" s="593"/>
      <c r="D132" s="592"/>
      <c r="E132" s="594"/>
      <c r="F132" s="595"/>
      <c r="K132" s="696"/>
      <c r="L132" s="696"/>
      <c r="M132" s="703"/>
      <c r="N132" s="967"/>
      <c r="O132" s="968"/>
      <c r="P132" s="969"/>
      <c r="Q132" s="970"/>
    </row>
    <row r="133" spans="1:17">
      <c r="A133" s="590"/>
      <c r="B133" s="591"/>
      <c r="C133" s="593"/>
      <c r="D133" s="592"/>
      <c r="E133" s="594"/>
      <c r="F133" s="595"/>
      <c r="K133" s="696">
        <f>K124+1</f>
        <v>22</v>
      </c>
      <c r="L133" s="696"/>
      <c r="M133" s="703" t="s">
        <v>300</v>
      </c>
      <c r="N133" s="967"/>
      <c r="O133" s="968"/>
      <c r="P133" s="969"/>
      <c r="Q133" s="970"/>
    </row>
    <row r="134" spans="1:17">
      <c r="A134" s="590">
        <v>13</v>
      </c>
      <c r="B134" s="591" t="s">
        <v>311</v>
      </c>
      <c r="C134" s="593">
        <v>2</v>
      </c>
      <c r="D134" s="592" t="s">
        <v>283</v>
      </c>
      <c r="E134" s="594"/>
      <c r="F134" s="595">
        <f>E134*C134</f>
        <v>0</v>
      </c>
      <c r="K134" s="696"/>
      <c r="L134" s="696"/>
      <c r="M134" s="697"/>
      <c r="N134" s="967"/>
      <c r="O134" s="968"/>
      <c r="P134" s="969"/>
      <c r="Q134" s="970"/>
    </row>
    <row r="135" spans="1:17">
      <c r="A135" s="590"/>
      <c r="B135" s="591"/>
      <c r="C135" s="593"/>
      <c r="D135" s="592"/>
      <c r="E135" s="594"/>
      <c r="F135" s="595"/>
      <c r="K135" s="696"/>
      <c r="L135" s="696" t="s">
        <v>294</v>
      </c>
      <c r="M135" s="703" t="s">
        <v>319</v>
      </c>
      <c r="N135" s="967" t="s">
        <v>283</v>
      </c>
      <c r="O135" s="968">
        <v>3</v>
      </c>
      <c r="P135" s="969"/>
      <c r="Q135" s="970">
        <f>P135*O135</f>
        <v>0</v>
      </c>
    </row>
    <row r="136" spans="1:17">
      <c r="A136" s="590"/>
      <c r="B136" s="591"/>
      <c r="C136" s="593"/>
      <c r="D136" s="592"/>
      <c r="E136" s="594"/>
      <c r="F136" s="595"/>
      <c r="K136" s="696"/>
      <c r="L136" s="696"/>
      <c r="M136" s="703"/>
      <c r="N136" s="967"/>
      <c r="O136" s="968"/>
      <c r="P136" s="969"/>
      <c r="Q136" s="970"/>
    </row>
    <row r="137" spans="1:17">
      <c r="A137" s="590">
        <v>14</v>
      </c>
      <c r="B137" s="591" t="s">
        <v>312</v>
      </c>
      <c r="C137" s="593">
        <v>2</v>
      </c>
      <c r="D137" s="592" t="s">
        <v>283</v>
      </c>
      <c r="E137" s="594"/>
      <c r="F137" s="595">
        <f>E137*C137</f>
        <v>0</v>
      </c>
      <c r="K137" s="696"/>
      <c r="L137" s="696"/>
      <c r="M137" s="703"/>
      <c r="N137" s="967"/>
      <c r="O137" s="968"/>
      <c r="P137" s="969"/>
      <c r="Q137" s="970"/>
    </row>
    <row r="138" spans="1:17">
      <c r="A138" s="590"/>
      <c r="B138" s="591"/>
      <c r="C138" s="593"/>
      <c r="D138" s="592"/>
      <c r="E138" s="594"/>
      <c r="F138" s="595"/>
      <c r="K138" s="696">
        <f>K133+1</f>
        <v>23</v>
      </c>
      <c r="L138" s="696"/>
      <c r="M138" s="1032" t="s">
        <v>342</v>
      </c>
      <c r="N138" s="967"/>
      <c r="O138" s="968"/>
      <c r="P138" s="969"/>
      <c r="Q138" s="970"/>
    </row>
    <row r="139" spans="1:17">
      <c r="A139" s="590"/>
      <c r="B139" s="591"/>
      <c r="C139" s="593"/>
      <c r="D139" s="592"/>
      <c r="E139" s="594"/>
      <c r="F139" s="595"/>
      <c r="K139" s="696"/>
      <c r="L139" s="696"/>
      <c r="M139" s="697"/>
      <c r="N139" s="967"/>
      <c r="O139" s="968"/>
      <c r="P139" s="969"/>
      <c r="Q139" s="970"/>
    </row>
    <row r="140" spans="1:17">
      <c r="A140" s="590">
        <v>15</v>
      </c>
      <c r="B140" s="591" t="s">
        <v>348</v>
      </c>
      <c r="C140" s="593">
        <v>1</v>
      </c>
      <c r="D140" s="592" t="s">
        <v>283</v>
      </c>
      <c r="E140" s="594"/>
      <c r="F140" s="595">
        <f>E140*C140</f>
        <v>0</v>
      </c>
      <c r="K140" s="696"/>
      <c r="L140" s="696" t="s">
        <v>294</v>
      </c>
      <c r="M140" s="703" t="s">
        <v>319</v>
      </c>
      <c r="N140" s="967" t="s">
        <v>283</v>
      </c>
      <c r="O140" s="968">
        <v>3</v>
      </c>
      <c r="P140" s="969"/>
      <c r="Q140" s="970">
        <f>P140*O140</f>
        <v>0</v>
      </c>
    </row>
    <row r="141" spans="1:17">
      <c r="A141" s="590"/>
      <c r="B141" s="591"/>
      <c r="C141" s="593"/>
      <c r="D141" s="592"/>
      <c r="E141" s="594"/>
      <c r="F141" s="595"/>
      <c r="K141" s="696"/>
      <c r="L141" s="696"/>
      <c r="M141" s="703"/>
      <c r="N141" s="967"/>
      <c r="O141" s="968"/>
      <c r="P141" s="969"/>
      <c r="Q141" s="970"/>
    </row>
    <row r="142" spans="1:17">
      <c r="A142" s="590"/>
      <c r="B142" s="591"/>
      <c r="C142" s="593"/>
      <c r="D142" s="592"/>
      <c r="E142" s="594"/>
      <c r="F142" s="595"/>
      <c r="K142" s="696"/>
      <c r="L142" s="696"/>
      <c r="M142" s="703"/>
      <c r="N142" s="967"/>
      <c r="O142" s="968"/>
      <c r="P142" s="969"/>
      <c r="Q142" s="970"/>
    </row>
    <row r="143" spans="1:17" ht="26.4">
      <c r="A143" s="603" t="s">
        <v>349</v>
      </c>
      <c r="B143" s="604" t="s">
        <v>350</v>
      </c>
      <c r="C143" s="640"/>
      <c r="D143" s="641"/>
      <c r="E143" s="642"/>
      <c r="F143" s="643"/>
      <c r="K143" s="696">
        <f>K138+1</f>
        <v>24</v>
      </c>
      <c r="L143" s="696"/>
      <c r="M143" s="703" t="s">
        <v>371</v>
      </c>
      <c r="N143" s="967"/>
      <c r="O143" s="968"/>
      <c r="P143" s="969"/>
      <c r="Q143" s="970"/>
    </row>
    <row r="144" spans="1:17">
      <c r="A144" s="603"/>
      <c r="B144" s="604"/>
      <c r="C144" s="640"/>
      <c r="D144" s="641"/>
      <c r="E144" s="642"/>
      <c r="F144" s="643"/>
      <c r="K144" s="696"/>
      <c r="L144" s="696"/>
      <c r="M144" s="697"/>
      <c r="N144" s="967"/>
      <c r="O144" s="968"/>
      <c r="P144" s="969"/>
      <c r="Q144" s="970"/>
    </row>
    <row r="145" spans="1:17">
      <c r="A145" s="603" t="s">
        <v>294</v>
      </c>
      <c r="B145" s="604" t="s">
        <v>351</v>
      </c>
      <c r="C145" s="640">
        <v>1</v>
      </c>
      <c r="D145" s="641" t="s">
        <v>283</v>
      </c>
      <c r="E145" s="642" t="e">
        <f>Elec_Est!#REF!</f>
        <v>#REF!</v>
      </c>
      <c r="F145" s="643" t="e">
        <f>E145*C145</f>
        <v>#REF!</v>
      </c>
      <c r="G145" s="573">
        <v>2</v>
      </c>
      <c r="K145" s="696"/>
      <c r="L145" s="696" t="s">
        <v>294</v>
      </c>
      <c r="M145" s="703" t="s">
        <v>319</v>
      </c>
      <c r="N145" s="967" t="s">
        <v>283</v>
      </c>
      <c r="O145" s="968">
        <v>3</v>
      </c>
      <c r="P145" s="969"/>
      <c r="Q145" s="970">
        <f>P145*O145</f>
        <v>0</v>
      </c>
    </row>
    <row r="146" spans="1:17">
      <c r="A146" s="590"/>
      <c r="B146" s="591"/>
      <c r="C146" s="593"/>
      <c r="D146" s="592"/>
      <c r="E146" s="594"/>
      <c r="F146" s="595"/>
      <c r="K146" s="696"/>
      <c r="L146" s="696"/>
      <c r="M146" s="703"/>
      <c r="N146" s="967"/>
      <c r="O146" s="968"/>
      <c r="P146" s="969"/>
      <c r="Q146" s="970"/>
    </row>
    <row r="147" spans="1:17">
      <c r="A147" s="590"/>
      <c r="B147" s="591"/>
      <c r="C147" s="593"/>
      <c r="D147" s="592"/>
      <c r="E147" s="594"/>
      <c r="F147" s="595"/>
      <c r="K147" s="696"/>
      <c r="L147" s="696"/>
      <c r="M147" s="703"/>
      <c r="N147" s="967"/>
      <c r="O147" s="968"/>
      <c r="P147" s="969"/>
      <c r="Q147" s="970"/>
    </row>
    <row r="148" spans="1:17" ht="26.4">
      <c r="A148" s="590" t="s">
        <v>315</v>
      </c>
      <c r="B148" s="591" t="s">
        <v>352</v>
      </c>
      <c r="C148" s="593"/>
      <c r="D148" s="592"/>
      <c r="E148" s="594"/>
      <c r="F148" s="595"/>
      <c r="K148" s="696">
        <f>K143+1</f>
        <v>25</v>
      </c>
      <c r="L148" s="696"/>
      <c r="M148" s="703" t="s">
        <v>312</v>
      </c>
      <c r="N148" s="967" t="s">
        <v>283</v>
      </c>
      <c r="O148" s="968">
        <f>2*3</f>
        <v>6</v>
      </c>
      <c r="P148" s="969"/>
      <c r="Q148" s="970">
        <f>P148*O148</f>
        <v>0</v>
      </c>
    </row>
    <row r="149" spans="1:17">
      <c r="A149" s="590"/>
      <c r="B149" s="591"/>
      <c r="C149" s="593"/>
      <c r="D149" s="592"/>
      <c r="E149" s="594"/>
      <c r="F149" s="595"/>
      <c r="K149" s="696"/>
      <c r="L149" s="696"/>
      <c r="M149" s="703"/>
      <c r="N149" s="967"/>
      <c r="O149" s="968"/>
      <c r="P149" s="969"/>
      <c r="Q149" s="970"/>
    </row>
    <row r="150" spans="1:17">
      <c r="A150" s="590" t="s">
        <v>294</v>
      </c>
      <c r="B150" s="591" t="s">
        <v>353</v>
      </c>
      <c r="C150" s="593">
        <v>30</v>
      </c>
      <c r="D150" s="592" t="s">
        <v>296</v>
      </c>
      <c r="E150" s="594"/>
      <c r="F150" s="595">
        <f>E150*C150</f>
        <v>0</v>
      </c>
      <c r="K150" s="696"/>
      <c r="L150" s="696"/>
      <c r="M150" s="703"/>
      <c r="N150" s="967"/>
      <c r="O150" s="968"/>
      <c r="P150" s="969"/>
      <c r="Q150" s="970"/>
    </row>
    <row r="151" spans="1:17">
      <c r="A151" s="590"/>
      <c r="B151" s="591"/>
      <c r="C151" s="593"/>
      <c r="D151" s="592"/>
      <c r="E151" s="594"/>
      <c r="F151" s="595"/>
      <c r="K151" s="696">
        <f>K148+1</f>
        <v>26</v>
      </c>
      <c r="L151" s="696"/>
      <c r="M151" s="703" t="s">
        <v>313</v>
      </c>
      <c r="N151" s="967" t="s">
        <v>283</v>
      </c>
      <c r="O151" s="968">
        <f>2*3</f>
        <v>6</v>
      </c>
      <c r="P151" s="969"/>
      <c r="Q151" s="970">
        <f>P151*O151</f>
        <v>0</v>
      </c>
    </row>
    <row r="152" spans="1:17">
      <c r="A152" s="590"/>
      <c r="B152" s="591"/>
      <c r="C152" s="593"/>
      <c r="D152" s="592"/>
      <c r="E152" s="594"/>
      <c r="F152" s="595"/>
      <c r="K152" s="696"/>
      <c r="L152" s="696"/>
      <c r="M152" s="703"/>
      <c r="N152" s="967"/>
      <c r="O152" s="968"/>
      <c r="P152" s="969"/>
      <c r="Q152" s="970"/>
    </row>
    <row r="153" spans="1:17">
      <c r="A153" s="590" t="s">
        <v>317</v>
      </c>
      <c r="B153" s="591" t="s">
        <v>354</v>
      </c>
      <c r="C153" s="593"/>
      <c r="D153" s="592"/>
      <c r="E153" s="594"/>
      <c r="F153" s="595"/>
      <c r="K153" s="696"/>
      <c r="L153" s="696"/>
      <c r="M153" s="703"/>
      <c r="N153" s="967"/>
      <c r="O153" s="968"/>
      <c r="P153" s="969"/>
      <c r="Q153" s="970"/>
    </row>
    <row r="154" spans="1:17">
      <c r="A154" s="590"/>
      <c r="B154" s="591"/>
      <c r="C154" s="593"/>
      <c r="D154" s="592"/>
      <c r="E154" s="594"/>
      <c r="F154" s="595"/>
      <c r="K154" s="696">
        <f>K151+1</f>
        <v>27</v>
      </c>
      <c r="L154" s="696"/>
      <c r="M154" s="703" t="s">
        <v>314</v>
      </c>
      <c r="N154" s="967" t="s">
        <v>283</v>
      </c>
      <c r="O154" s="968">
        <v>3</v>
      </c>
      <c r="P154" s="969"/>
      <c r="Q154" s="970">
        <f>P154*O154</f>
        <v>0</v>
      </c>
    </row>
    <row r="155" spans="1:17">
      <c r="A155" s="590" t="s">
        <v>294</v>
      </c>
      <c r="B155" s="591" t="s">
        <v>353</v>
      </c>
      <c r="C155" s="593">
        <v>1</v>
      </c>
      <c r="D155" s="592" t="s">
        <v>283</v>
      </c>
      <c r="E155" s="594"/>
      <c r="F155" s="595">
        <f>E155*C155</f>
        <v>0</v>
      </c>
      <c r="K155" s="696"/>
      <c r="L155" s="696"/>
      <c r="M155" s="703"/>
      <c r="N155" s="967"/>
      <c r="O155" s="968"/>
      <c r="P155" s="969"/>
      <c r="Q155" s="970"/>
    </row>
    <row r="156" spans="1:17">
      <c r="A156" s="590"/>
      <c r="B156" s="591"/>
      <c r="C156" s="593"/>
      <c r="D156" s="592"/>
      <c r="E156" s="594"/>
      <c r="F156" s="595"/>
      <c r="K156" s="696"/>
      <c r="L156" s="696"/>
      <c r="M156" s="703"/>
      <c r="N156" s="967"/>
      <c r="O156" s="968"/>
      <c r="P156" s="969"/>
      <c r="Q156" s="970"/>
    </row>
    <row r="157" spans="1:17">
      <c r="A157" s="590"/>
      <c r="B157" s="591"/>
      <c r="C157" s="593"/>
      <c r="D157" s="592"/>
      <c r="E157" s="594"/>
      <c r="F157" s="595"/>
      <c r="K157" s="696"/>
      <c r="L157" s="696"/>
      <c r="M157" s="703"/>
      <c r="N157" s="967"/>
      <c r="O157" s="968"/>
      <c r="P157" s="969"/>
      <c r="Q157" s="970"/>
    </row>
    <row r="158" spans="1:17" ht="26.4">
      <c r="A158" s="590" t="s">
        <v>318</v>
      </c>
      <c r="B158" s="591" t="s">
        <v>355</v>
      </c>
      <c r="C158" s="593"/>
      <c r="D158" s="592"/>
      <c r="E158" s="594"/>
      <c r="F158" s="595"/>
      <c r="K158" s="696"/>
      <c r="L158" s="696"/>
      <c r="M158" s="703"/>
      <c r="N158" s="967"/>
      <c r="O158" s="968"/>
      <c r="P158" s="969"/>
      <c r="Q158" s="970"/>
    </row>
    <row r="159" spans="1:17">
      <c r="A159" s="590"/>
      <c r="B159" s="591"/>
      <c r="C159" s="593"/>
      <c r="D159" s="592"/>
      <c r="E159" s="594"/>
      <c r="F159" s="595"/>
      <c r="K159" s="696"/>
      <c r="L159" s="696"/>
      <c r="M159" s="703"/>
      <c r="N159" s="967"/>
      <c r="O159" s="968"/>
      <c r="P159" s="969"/>
      <c r="Q159" s="970"/>
    </row>
    <row r="160" spans="1:17" ht="15" thickBot="1">
      <c r="A160" s="590" t="s">
        <v>294</v>
      </c>
      <c r="B160" s="591" t="s">
        <v>356</v>
      </c>
      <c r="C160" s="593">
        <f>15*2</f>
        <v>30</v>
      </c>
      <c r="D160" s="592" t="s">
        <v>296</v>
      </c>
      <c r="E160" s="594"/>
      <c r="F160" s="595">
        <f>E160*C160</f>
        <v>0</v>
      </c>
      <c r="K160" s="696"/>
      <c r="L160" s="696"/>
      <c r="M160" s="703"/>
      <c r="N160" s="967"/>
      <c r="O160" s="968"/>
      <c r="P160" s="969"/>
      <c r="Q160" s="970"/>
    </row>
    <row r="161" spans="1:17">
      <c r="A161" s="590"/>
      <c r="B161" s="591"/>
      <c r="C161" s="593"/>
      <c r="D161" s="592"/>
      <c r="E161" s="594"/>
      <c r="F161" s="595"/>
      <c r="K161" s="1014"/>
      <c r="L161" s="1014"/>
      <c r="M161" s="1015"/>
      <c r="N161" s="1016"/>
      <c r="O161" s="1017"/>
      <c r="P161" s="1061"/>
      <c r="Q161" s="1019"/>
    </row>
    <row r="162" spans="1:17">
      <c r="A162" s="590"/>
      <c r="B162" s="591"/>
      <c r="C162" s="593"/>
      <c r="D162" s="592"/>
      <c r="E162" s="594"/>
      <c r="F162" s="595"/>
      <c r="K162" s="1020"/>
      <c r="L162" s="1020"/>
      <c r="M162" s="1021" t="s">
        <v>289</v>
      </c>
      <c r="N162" s="1022"/>
      <c r="O162" s="1023"/>
      <c r="P162" s="1062"/>
      <c r="Q162" s="1010">
        <f>SUM(Q113:Q160)</f>
        <v>458.73</v>
      </c>
    </row>
    <row r="163" spans="1:17">
      <c r="A163" s="590" t="s">
        <v>320</v>
      </c>
      <c r="B163" s="591" t="s">
        <v>300</v>
      </c>
      <c r="C163" s="593"/>
      <c r="D163" s="592"/>
      <c r="E163" s="594"/>
      <c r="F163" s="595"/>
      <c r="K163" s="1025"/>
      <c r="L163" s="1025"/>
      <c r="M163" s="1026"/>
      <c r="N163" s="1027"/>
      <c r="O163" s="1028"/>
      <c r="P163" s="1063"/>
      <c r="Q163" s="1030"/>
    </row>
    <row r="164" spans="1:17" ht="17.399999999999999">
      <c r="A164" s="590"/>
      <c r="B164" s="591"/>
      <c r="C164" s="593"/>
      <c r="D164" s="592"/>
      <c r="E164" s="594"/>
      <c r="F164" s="595"/>
      <c r="K164" s="980"/>
      <c r="L164" s="981"/>
      <c r="M164" s="982"/>
      <c r="N164" s="982"/>
      <c r="O164" s="983"/>
      <c r="P164" s="984"/>
      <c r="Q164" s="985"/>
    </row>
    <row r="165" spans="1:17">
      <c r="A165" s="590" t="s">
        <v>294</v>
      </c>
      <c r="B165" s="591" t="s">
        <v>357</v>
      </c>
      <c r="C165" s="593">
        <v>4</v>
      </c>
      <c r="D165" s="592" t="s">
        <v>283</v>
      </c>
      <c r="E165" s="594"/>
      <c r="F165" s="595">
        <f>E165*C165</f>
        <v>0</v>
      </c>
      <c r="K165" s="986"/>
      <c r="L165" s="987"/>
      <c r="M165" s="1033"/>
      <c r="N165" s="988"/>
      <c r="O165" s="989"/>
      <c r="P165" s="990"/>
      <c r="Q165" s="991"/>
    </row>
    <row r="166" spans="1:17">
      <c r="A166" s="590"/>
      <c r="B166" s="591"/>
      <c r="C166" s="593"/>
      <c r="D166" s="592"/>
      <c r="E166" s="594"/>
      <c r="F166" s="595"/>
      <c r="K166" s="986"/>
      <c r="L166" s="987"/>
      <c r="M166" s="988"/>
      <c r="N166" s="988"/>
      <c r="O166" s="989"/>
      <c r="P166" s="990"/>
      <c r="Q166" s="991"/>
    </row>
    <row r="167" spans="1:17">
      <c r="A167" s="590"/>
      <c r="B167" s="591"/>
      <c r="C167" s="593"/>
      <c r="D167" s="592"/>
      <c r="E167" s="594"/>
      <c r="F167" s="595"/>
      <c r="K167" s="992"/>
      <c r="L167" s="993"/>
      <c r="M167" s="543"/>
      <c r="N167" s="543"/>
      <c r="O167" s="994"/>
      <c r="P167" s="995"/>
      <c r="Q167" s="996"/>
    </row>
    <row r="168" spans="1:17" ht="15" thickBot="1">
      <c r="A168" s="590"/>
      <c r="B168" s="591"/>
      <c r="C168" s="593"/>
      <c r="D168" s="592"/>
      <c r="E168" s="594"/>
      <c r="F168" s="595"/>
      <c r="K168" s="997" t="s">
        <v>276</v>
      </c>
      <c r="L168" s="998" t="s">
        <v>887</v>
      </c>
      <c r="M168" s="999"/>
      <c r="N168" s="1000" t="s">
        <v>266</v>
      </c>
      <c r="O168" s="1001" t="s">
        <v>277</v>
      </c>
      <c r="P168" s="1002" t="s">
        <v>278</v>
      </c>
      <c r="Q168" s="1003" t="s">
        <v>267</v>
      </c>
    </row>
    <row r="169" spans="1:17">
      <c r="A169" s="612"/>
      <c r="B169" s="613"/>
      <c r="C169" s="615"/>
      <c r="D169" s="614"/>
      <c r="E169" s="653"/>
      <c r="F169" s="617"/>
      <c r="K169" s="696"/>
      <c r="L169" s="967"/>
      <c r="M169" s="545"/>
      <c r="N169" s="967"/>
      <c r="O169" s="1034"/>
      <c r="P169" s="969"/>
      <c r="Q169" s="970"/>
    </row>
    <row r="170" spans="1:17">
      <c r="A170" s="618" t="s">
        <v>310</v>
      </c>
      <c r="B170" s="619" t="s">
        <v>289</v>
      </c>
      <c r="C170" s="621"/>
      <c r="D170" s="620"/>
      <c r="E170" s="654"/>
      <c r="F170" s="623" t="e">
        <f>SUM(F128:F168)</f>
        <v>#REF!</v>
      </c>
      <c r="H170" s="645"/>
      <c r="K170" s="696"/>
      <c r="L170" s="696"/>
      <c r="M170" s="697" t="s">
        <v>372</v>
      </c>
      <c r="N170" s="967"/>
      <c r="O170" s="968"/>
      <c r="P170" s="969"/>
      <c r="Q170" s="970"/>
    </row>
    <row r="171" spans="1:17">
      <c r="A171" s="624"/>
      <c r="B171" s="625"/>
      <c r="C171" s="627"/>
      <c r="D171" s="626"/>
      <c r="E171" s="655"/>
      <c r="F171" s="629"/>
      <c r="K171" s="696"/>
      <c r="L171" s="696"/>
      <c r="M171" s="697" t="s">
        <v>332</v>
      </c>
      <c r="N171" s="967"/>
      <c r="O171" s="968"/>
      <c r="P171" s="969"/>
      <c r="Q171" s="970"/>
    </row>
    <row r="172" spans="1:17" ht="17.399999999999999">
      <c r="A172" s="568"/>
      <c r="B172" s="569"/>
      <c r="C172" s="570"/>
      <c r="D172" s="569"/>
      <c r="E172" s="656"/>
      <c r="F172" s="572"/>
      <c r="K172" s="1065"/>
      <c r="L172" s="696"/>
      <c r="M172" s="703"/>
      <c r="N172" s="967"/>
      <c r="O172" s="968"/>
      <c r="P172" s="969"/>
      <c r="Q172" s="970"/>
    </row>
    <row r="173" spans="1:17" ht="52.8">
      <c r="A173" s="574"/>
      <c r="B173" s="575"/>
      <c r="C173" s="576"/>
      <c r="D173" s="575"/>
      <c r="E173" s="648"/>
      <c r="F173" s="578"/>
      <c r="K173" s="696"/>
      <c r="L173" s="696"/>
      <c r="M173" s="1011" t="s">
        <v>940</v>
      </c>
      <c r="N173" s="967"/>
      <c r="O173" s="968"/>
      <c r="P173" s="969"/>
      <c r="Q173" s="970"/>
    </row>
    <row r="174" spans="1:17">
      <c r="A174" s="574"/>
      <c r="B174" s="575"/>
      <c r="C174" s="576"/>
      <c r="D174" s="575"/>
      <c r="E174" s="648"/>
      <c r="F174" s="578"/>
      <c r="K174" s="696"/>
      <c r="L174" s="696"/>
      <c r="M174" s="1012"/>
      <c r="N174" s="967"/>
      <c r="O174" s="968"/>
      <c r="P174" s="969"/>
      <c r="Q174" s="970"/>
    </row>
    <row r="175" spans="1:17" ht="39.6">
      <c r="A175" s="579"/>
      <c r="B175" s="580"/>
      <c r="C175" s="581"/>
      <c r="D175" s="580"/>
      <c r="E175" s="648"/>
      <c r="F175" s="583"/>
      <c r="K175" s="705">
        <f>K154+1</f>
        <v>28</v>
      </c>
      <c r="L175" s="705"/>
      <c r="M175" s="1046" t="s">
        <v>941</v>
      </c>
      <c r="N175" s="1047" t="s">
        <v>283</v>
      </c>
      <c r="O175" s="1048">
        <v>3</v>
      </c>
      <c r="P175" s="1049">
        <f>Elec_Est!E718</f>
        <v>777.51</v>
      </c>
      <c r="Q175" s="1050">
        <f>P175*O175</f>
        <v>2332.5299999999997</v>
      </c>
    </row>
    <row r="176" spans="1:17" ht="15" thickBot="1">
      <c r="A176" s="584" t="s">
        <v>276</v>
      </c>
      <c r="B176" s="585"/>
      <c r="C176" s="587" t="s">
        <v>277</v>
      </c>
      <c r="D176" s="586" t="s">
        <v>266</v>
      </c>
      <c r="E176" s="649" t="s">
        <v>278</v>
      </c>
      <c r="F176" s="589" t="s">
        <v>267</v>
      </c>
      <c r="K176" s="696"/>
      <c r="L176" s="696"/>
      <c r="M176" s="704"/>
      <c r="N176" s="967"/>
      <c r="O176" s="968"/>
      <c r="P176" s="969"/>
      <c r="Q176" s="970"/>
    </row>
    <row r="177" spans="1:17">
      <c r="A177" s="618"/>
      <c r="B177" s="657"/>
      <c r="C177" s="593"/>
      <c r="D177" s="592"/>
      <c r="E177" s="594"/>
      <c r="F177" s="595"/>
      <c r="K177" s="696"/>
      <c r="L177" s="696"/>
      <c r="M177" s="704"/>
      <c r="N177" s="967"/>
      <c r="O177" s="968"/>
      <c r="P177" s="969"/>
      <c r="Q177" s="970"/>
    </row>
    <row r="178" spans="1:17" ht="39.6">
      <c r="A178" s="590">
        <v>21</v>
      </c>
      <c r="B178" s="591" t="s">
        <v>358</v>
      </c>
      <c r="C178" s="599">
        <v>1</v>
      </c>
      <c r="D178" s="598" t="s">
        <v>283</v>
      </c>
      <c r="E178" s="600"/>
      <c r="F178" s="601">
        <f>E178*C178</f>
        <v>0</v>
      </c>
      <c r="K178" s="696">
        <f>K175+1</f>
        <v>29</v>
      </c>
      <c r="L178" s="696"/>
      <c r="M178" s="704" t="s">
        <v>942</v>
      </c>
      <c r="N178" s="967" t="s">
        <v>287</v>
      </c>
      <c r="O178" s="968">
        <v>1</v>
      </c>
      <c r="P178" s="969"/>
      <c r="Q178" s="970">
        <f>P178*O178</f>
        <v>0</v>
      </c>
    </row>
    <row r="179" spans="1:17">
      <c r="A179" s="618"/>
      <c r="B179" s="657"/>
      <c r="C179" s="593"/>
      <c r="D179" s="592"/>
      <c r="E179" s="594"/>
      <c r="F179" s="595"/>
      <c r="K179" s="696"/>
      <c r="L179" s="696"/>
      <c r="M179" s="704"/>
      <c r="N179" s="967"/>
      <c r="O179" s="968"/>
      <c r="P179" s="969"/>
      <c r="Q179" s="970"/>
    </row>
    <row r="180" spans="1:17">
      <c r="A180" s="618"/>
      <c r="B180" s="657"/>
      <c r="C180" s="593"/>
      <c r="D180" s="592"/>
      <c r="E180" s="594"/>
      <c r="F180" s="595"/>
      <c r="K180" s="696"/>
      <c r="L180" s="696"/>
      <c r="M180" s="704"/>
      <c r="N180" s="967"/>
      <c r="O180" s="968"/>
      <c r="P180" s="969"/>
      <c r="Q180" s="970"/>
    </row>
    <row r="181" spans="1:17" ht="39.6">
      <c r="A181" s="590" t="s">
        <v>322</v>
      </c>
      <c r="B181" s="591" t="s">
        <v>359</v>
      </c>
      <c r="C181" s="593"/>
      <c r="D181" s="592"/>
      <c r="E181" s="594"/>
      <c r="F181" s="595"/>
      <c r="K181" s="696">
        <f>K178+1</f>
        <v>30</v>
      </c>
      <c r="L181" s="696"/>
      <c r="M181" s="703" t="s">
        <v>375</v>
      </c>
      <c r="N181" s="967"/>
      <c r="O181" s="968"/>
      <c r="P181" s="969"/>
      <c r="Q181" s="970"/>
    </row>
    <row r="182" spans="1:17">
      <c r="A182" s="590"/>
      <c r="B182" s="591"/>
      <c r="C182" s="593"/>
      <c r="D182" s="592"/>
      <c r="E182" s="594"/>
      <c r="F182" s="595"/>
      <c r="K182" s="696"/>
      <c r="L182" s="696"/>
      <c r="M182" s="703"/>
      <c r="N182" s="967"/>
      <c r="O182" s="968"/>
      <c r="P182" s="969"/>
      <c r="Q182" s="970"/>
    </row>
    <row r="183" spans="1:17">
      <c r="A183" s="590" t="s">
        <v>294</v>
      </c>
      <c r="B183" s="591" t="s">
        <v>356</v>
      </c>
      <c r="C183" s="593">
        <f>15*2</f>
        <v>30</v>
      </c>
      <c r="D183" s="592" t="s">
        <v>296</v>
      </c>
      <c r="E183" s="594"/>
      <c r="F183" s="595">
        <f>E183*C183</f>
        <v>0</v>
      </c>
      <c r="K183" s="696"/>
      <c r="L183" s="696" t="s">
        <v>294</v>
      </c>
      <c r="M183" s="703" t="s">
        <v>316</v>
      </c>
      <c r="N183" s="967" t="s">
        <v>296</v>
      </c>
      <c r="O183" s="968">
        <f>10*2*3</f>
        <v>60</v>
      </c>
      <c r="P183" s="969"/>
      <c r="Q183" s="970">
        <f>P183*O183</f>
        <v>0</v>
      </c>
    </row>
    <row r="184" spans="1:17">
      <c r="A184" s="590"/>
      <c r="B184" s="591"/>
      <c r="C184" s="593"/>
      <c r="D184" s="592"/>
      <c r="E184" s="594"/>
      <c r="F184" s="595"/>
      <c r="K184" s="696"/>
      <c r="L184" s="696"/>
      <c r="M184" s="703"/>
      <c r="N184" s="967"/>
      <c r="O184" s="968"/>
      <c r="P184" s="969"/>
      <c r="Q184" s="970"/>
    </row>
    <row r="185" spans="1:17">
      <c r="A185" s="590"/>
      <c r="B185" s="591"/>
      <c r="C185" s="593"/>
      <c r="D185" s="592"/>
      <c r="E185" s="594"/>
      <c r="F185" s="595"/>
      <c r="K185" s="696"/>
      <c r="L185" s="696"/>
      <c r="M185" s="703"/>
      <c r="N185" s="967"/>
      <c r="O185" s="968"/>
      <c r="P185" s="969"/>
      <c r="Q185" s="970"/>
    </row>
    <row r="186" spans="1:17" s="658" customFormat="1">
      <c r="A186" s="590">
        <v>23</v>
      </c>
      <c r="B186" s="591" t="s">
        <v>312</v>
      </c>
      <c r="C186" s="593">
        <v>3</v>
      </c>
      <c r="D186" s="592" t="s">
        <v>283</v>
      </c>
      <c r="E186" s="594"/>
      <c r="F186" s="595">
        <f>E186*C186</f>
        <v>0</v>
      </c>
      <c r="K186" s="696">
        <f>K181+1</f>
        <v>31</v>
      </c>
      <c r="L186" s="696"/>
      <c r="M186" s="703" t="s">
        <v>300</v>
      </c>
      <c r="N186" s="967"/>
      <c r="O186" s="968"/>
      <c r="P186" s="969"/>
      <c r="Q186" s="970"/>
    </row>
    <row r="187" spans="1:17" s="658" customFormat="1">
      <c r="A187" s="590"/>
      <c r="B187" s="591"/>
      <c r="C187" s="593"/>
      <c r="D187" s="592"/>
      <c r="E187" s="594"/>
      <c r="F187" s="595"/>
      <c r="K187" s="696"/>
      <c r="L187" s="696"/>
      <c r="M187" s="697"/>
      <c r="N187" s="967"/>
      <c r="O187" s="968"/>
      <c r="P187" s="969"/>
      <c r="Q187" s="970"/>
    </row>
    <row r="188" spans="1:17">
      <c r="A188" s="590"/>
      <c r="B188" s="609"/>
      <c r="C188" s="610"/>
      <c r="D188" s="592"/>
      <c r="E188" s="594"/>
      <c r="F188" s="595"/>
      <c r="K188" s="696"/>
      <c r="L188" s="696" t="s">
        <v>294</v>
      </c>
      <c r="M188" s="703" t="s">
        <v>319</v>
      </c>
      <c r="N188" s="967" t="s">
        <v>283</v>
      </c>
      <c r="O188" s="968">
        <f>4*3</f>
        <v>12</v>
      </c>
      <c r="P188" s="969"/>
      <c r="Q188" s="970">
        <f>P188*O188</f>
        <v>0</v>
      </c>
    </row>
    <row r="189" spans="1:17">
      <c r="A189" s="590" t="s">
        <v>360</v>
      </c>
      <c r="B189" s="591" t="s">
        <v>300</v>
      </c>
      <c r="C189" s="593"/>
      <c r="D189" s="592"/>
      <c r="E189" s="594"/>
      <c r="F189" s="595"/>
      <c r="K189" s="696"/>
      <c r="L189" s="967"/>
      <c r="M189" s="703"/>
      <c r="N189" s="698"/>
      <c r="O189" s="1035"/>
      <c r="P189" s="700"/>
      <c r="Q189" s="701"/>
    </row>
    <row r="190" spans="1:17">
      <c r="A190" s="590"/>
      <c r="B190" s="597"/>
      <c r="C190" s="593"/>
      <c r="D190" s="592"/>
      <c r="E190" s="594"/>
      <c r="F190" s="595"/>
      <c r="K190" s="696"/>
      <c r="L190" s="967"/>
      <c r="M190" s="703"/>
      <c r="N190" s="698"/>
      <c r="O190" s="1035"/>
      <c r="P190" s="700"/>
      <c r="Q190" s="701"/>
    </row>
    <row r="191" spans="1:17" ht="52.8">
      <c r="A191" s="590" t="s">
        <v>294</v>
      </c>
      <c r="B191" s="591" t="s">
        <v>357</v>
      </c>
      <c r="C191" s="593">
        <v>3</v>
      </c>
      <c r="D191" s="592" t="s">
        <v>283</v>
      </c>
      <c r="E191" s="594"/>
      <c r="F191" s="595">
        <f>E191*C191</f>
        <v>0</v>
      </c>
      <c r="K191" s="705">
        <f>K186+1</f>
        <v>32</v>
      </c>
      <c r="L191" s="705"/>
      <c r="M191" s="706" t="s">
        <v>908</v>
      </c>
      <c r="N191" s="1047"/>
      <c r="O191" s="1048"/>
      <c r="P191" s="1049"/>
      <c r="Q191" s="1050"/>
    </row>
    <row r="192" spans="1:17">
      <c r="A192" s="590"/>
      <c r="B192" s="591"/>
      <c r="C192" s="593"/>
      <c r="D192" s="592"/>
      <c r="E192" s="594"/>
      <c r="F192" s="595"/>
      <c r="K192" s="705"/>
      <c r="L192" s="705"/>
      <c r="M192" s="1051"/>
      <c r="N192" s="1047"/>
      <c r="O192" s="1048"/>
      <c r="P192" s="1049"/>
      <c r="Q192" s="1050"/>
    </row>
    <row r="193" spans="1:17">
      <c r="A193" s="590"/>
      <c r="B193" s="591"/>
      <c r="C193" s="593"/>
      <c r="D193" s="592"/>
      <c r="E193" s="594"/>
      <c r="F193" s="595"/>
      <c r="K193" s="705"/>
      <c r="L193" s="705" t="s">
        <v>294</v>
      </c>
      <c r="M193" s="706" t="s">
        <v>943</v>
      </c>
      <c r="N193" s="1047" t="s">
        <v>283</v>
      </c>
      <c r="O193" s="1048">
        <v>1</v>
      </c>
      <c r="P193" s="1049">
        <f>Elec_Est!E749</f>
        <v>152.91</v>
      </c>
      <c r="Q193" s="1050">
        <f>P193*O193</f>
        <v>152.91</v>
      </c>
    </row>
    <row r="194" spans="1:17" ht="39.6">
      <c r="A194" s="590" t="s">
        <v>361</v>
      </c>
      <c r="B194" s="591" t="s">
        <v>346</v>
      </c>
      <c r="C194" s="593"/>
      <c r="D194" s="592"/>
      <c r="E194" s="594"/>
      <c r="F194" s="595"/>
      <c r="K194" s="705"/>
      <c r="L194" s="705"/>
      <c r="M194" s="706"/>
      <c r="N194" s="1047"/>
      <c r="O194" s="1048"/>
      <c r="P194" s="1049"/>
      <c r="Q194" s="1050"/>
    </row>
    <row r="195" spans="1:17">
      <c r="A195" s="590"/>
      <c r="B195" s="591"/>
      <c r="C195" s="593"/>
      <c r="D195" s="592"/>
      <c r="E195" s="594"/>
      <c r="F195" s="595"/>
      <c r="K195" s="705"/>
      <c r="L195" s="705" t="s">
        <v>339</v>
      </c>
      <c r="M195" s="706" t="s">
        <v>944</v>
      </c>
      <c r="N195" s="1047" t="s">
        <v>283</v>
      </c>
      <c r="O195" s="1048">
        <v>1</v>
      </c>
      <c r="P195" s="1049">
        <f>Elec_Est!E771</f>
        <v>152.91</v>
      </c>
      <c r="Q195" s="1050">
        <f>P195*O195</f>
        <v>152.91</v>
      </c>
    </row>
    <row r="196" spans="1:17" ht="52.8">
      <c r="A196" s="590" t="s">
        <v>294</v>
      </c>
      <c r="B196" s="591" t="s">
        <v>362</v>
      </c>
      <c r="C196" s="593">
        <v>2</v>
      </c>
      <c r="D196" s="592" t="s">
        <v>283</v>
      </c>
      <c r="E196" s="594"/>
      <c r="F196" s="595">
        <f>E196*C196</f>
        <v>0</v>
      </c>
      <c r="K196" s="705"/>
      <c r="L196" s="705"/>
      <c r="M196" s="706"/>
      <c r="N196" s="1047"/>
      <c r="O196" s="1048"/>
      <c r="P196" s="1049"/>
      <c r="Q196" s="1050"/>
    </row>
    <row r="197" spans="1:17">
      <c r="A197" s="590"/>
      <c r="B197" s="591"/>
      <c r="C197" s="593"/>
      <c r="D197" s="592"/>
      <c r="E197" s="594"/>
      <c r="F197" s="595"/>
      <c r="K197" s="705"/>
      <c r="L197" s="705" t="s">
        <v>340</v>
      </c>
      <c r="M197" s="706" t="s">
        <v>945</v>
      </c>
      <c r="N197" s="1047" t="s">
        <v>283</v>
      </c>
      <c r="O197" s="1048">
        <v>1</v>
      </c>
      <c r="P197" s="1049">
        <f>Elec_Est!E793</f>
        <v>152.91</v>
      </c>
      <c r="Q197" s="1050">
        <f>P197*O197</f>
        <v>152.91</v>
      </c>
    </row>
    <row r="198" spans="1:17">
      <c r="A198" s="590"/>
      <c r="B198" s="591"/>
      <c r="C198" s="593"/>
      <c r="D198" s="592"/>
      <c r="E198" s="594"/>
      <c r="F198" s="595"/>
      <c r="K198" s="696"/>
      <c r="L198" s="696"/>
      <c r="M198" s="703"/>
      <c r="N198" s="967"/>
      <c r="O198" s="968"/>
      <c r="P198" s="969"/>
      <c r="Q198" s="970"/>
    </row>
    <row r="199" spans="1:17">
      <c r="A199" s="590"/>
      <c r="B199" s="591"/>
      <c r="C199" s="593"/>
      <c r="D199" s="592"/>
      <c r="E199" s="594"/>
      <c r="F199" s="595"/>
      <c r="K199" s="696"/>
      <c r="L199" s="696"/>
      <c r="M199" s="703"/>
      <c r="N199" s="967"/>
      <c r="O199" s="968"/>
      <c r="P199" s="969"/>
      <c r="Q199" s="970"/>
    </row>
    <row r="200" spans="1:17">
      <c r="A200" s="590"/>
      <c r="B200" s="591"/>
      <c r="C200" s="593"/>
      <c r="D200" s="592"/>
      <c r="E200" s="594"/>
      <c r="F200" s="595"/>
      <c r="K200" s="696">
        <f>K191+1</f>
        <v>33</v>
      </c>
      <c r="L200" s="696"/>
      <c r="M200" s="703" t="s">
        <v>300</v>
      </c>
      <c r="N200" s="967"/>
      <c r="O200" s="968"/>
      <c r="P200" s="969"/>
      <c r="Q200" s="970"/>
    </row>
    <row r="201" spans="1:17">
      <c r="A201" s="590"/>
      <c r="B201" s="591"/>
      <c r="C201" s="593"/>
      <c r="D201" s="592"/>
      <c r="E201" s="594"/>
      <c r="F201" s="595"/>
      <c r="K201" s="696"/>
      <c r="L201" s="696"/>
      <c r="M201" s="697"/>
      <c r="N201" s="967"/>
      <c r="O201" s="968"/>
      <c r="P201" s="969"/>
      <c r="Q201" s="970"/>
    </row>
    <row r="202" spans="1:17" ht="26.4">
      <c r="A202" s="603" t="s">
        <v>363</v>
      </c>
      <c r="B202" s="604" t="s">
        <v>350</v>
      </c>
      <c r="C202" s="640"/>
      <c r="D202" s="641"/>
      <c r="E202" s="642"/>
      <c r="F202" s="643"/>
      <c r="K202" s="696"/>
      <c r="L202" s="696" t="s">
        <v>294</v>
      </c>
      <c r="M202" s="703" t="s">
        <v>319</v>
      </c>
      <c r="N202" s="967" t="s">
        <v>283</v>
      </c>
      <c r="O202" s="968">
        <v>3</v>
      </c>
      <c r="P202" s="969"/>
      <c r="Q202" s="970">
        <f>P202*O202</f>
        <v>0</v>
      </c>
    </row>
    <row r="203" spans="1:17">
      <c r="A203" s="603"/>
      <c r="B203" s="604"/>
      <c r="C203" s="640"/>
      <c r="D203" s="641"/>
      <c r="E203" s="642"/>
      <c r="F203" s="643"/>
      <c r="K203" s="696"/>
      <c r="L203" s="696"/>
      <c r="M203" s="703"/>
      <c r="N203" s="967"/>
      <c r="O203" s="968"/>
      <c r="P203" s="969"/>
      <c r="Q203" s="970"/>
    </row>
    <row r="204" spans="1:17">
      <c r="A204" s="603" t="s">
        <v>294</v>
      </c>
      <c r="B204" s="604" t="s">
        <v>364</v>
      </c>
      <c r="C204" s="640">
        <v>1</v>
      </c>
      <c r="D204" s="641" t="s">
        <v>283</v>
      </c>
      <c r="E204" s="642" t="e">
        <f>Elec_Est!#REF!</f>
        <v>#REF!</v>
      </c>
      <c r="F204" s="643" t="e">
        <f>E204*C204</f>
        <v>#REF!</v>
      </c>
      <c r="G204" s="573">
        <v>2</v>
      </c>
      <c r="K204" s="696"/>
      <c r="L204" s="967"/>
      <c r="M204" s="703"/>
      <c r="N204" s="698"/>
      <c r="O204" s="1035"/>
      <c r="P204" s="700"/>
      <c r="Q204" s="701"/>
    </row>
    <row r="205" spans="1:17">
      <c r="A205" s="590"/>
      <c r="B205" s="591"/>
      <c r="C205" s="593"/>
      <c r="D205" s="592"/>
      <c r="E205" s="594"/>
      <c r="F205" s="595"/>
      <c r="K205" s="696"/>
      <c r="L205" s="967"/>
      <c r="M205" s="703"/>
      <c r="N205" s="698"/>
      <c r="O205" s="1035"/>
      <c r="P205" s="700"/>
      <c r="Q205" s="701"/>
    </row>
    <row r="206" spans="1:17">
      <c r="A206" s="590"/>
      <c r="B206" s="591"/>
      <c r="C206" s="593"/>
      <c r="D206" s="592"/>
      <c r="E206" s="594"/>
      <c r="F206" s="595"/>
      <c r="K206" s="696"/>
      <c r="L206" s="967"/>
      <c r="M206" s="703"/>
      <c r="N206" s="698"/>
      <c r="O206" s="1035"/>
      <c r="P206" s="700"/>
      <c r="Q206" s="701"/>
    </row>
    <row r="207" spans="1:17" ht="26.4">
      <c r="A207" s="590" t="s">
        <v>365</v>
      </c>
      <c r="B207" s="591" t="s">
        <v>352</v>
      </c>
      <c r="C207" s="593"/>
      <c r="D207" s="592"/>
      <c r="E207" s="594"/>
      <c r="F207" s="595"/>
      <c r="K207" s="696"/>
      <c r="L207" s="967"/>
      <c r="M207" s="703"/>
      <c r="N207" s="698"/>
      <c r="O207" s="1035"/>
      <c r="P207" s="700"/>
      <c r="Q207" s="701"/>
    </row>
    <row r="208" spans="1:17">
      <c r="A208" s="590"/>
      <c r="B208" s="591"/>
      <c r="C208" s="593"/>
      <c r="D208" s="592"/>
      <c r="E208" s="594"/>
      <c r="F208" s="595"/>
      <c r="K208" s="696"/>
      <c r="L208" s="967"/>
      <c r="M208" s="703"/>
      <c r="N208" s="967"/>
      <c r="O208" s="1034"/>
      <c r="P208" s="969"/>
      <c r="Q208" s="970"/>
    </row>
    <row r="209" spans="1:17" ht="15" thickBot="1">
      <c r="A209" s="590" t="s">
        <v>294</v>
      </c>
      <c r="B209" s="591" t="s">
        <v>353</v>
      </c>
      <c r="C209" s="593">
        <v>30</v>
      </c>
      <c r="D209" s="592" t="s">
        <v>296</v>
      </c>
      <c r="E209" s="594"/>
      <c r="F209" s="595">
        <f>E209*C209</f>
        <v>0</v>
      </c>
      <c r="K209" s="696"/>
      <c r="L209" s="967"/>
      <c r="M209" s="703"/>
      <c r="N209" s="967"/>
      <c r="O209" s="1034"/>
      <c r="P209" s="969"/>
      <c r="Q209" s="970"/>
    </row>
    <row r="210" spans="1:17">
      <c r="A210" s="590"/>
      <c r="B210" s="591"/>
      <c r="C210" s="593"/>
      <c r="D210" s="592"/>
      <c r="E210" s="594"/>
      <c r="F210" s="595"/>
      <c r="K210" s="1014"/>
      <c r="L210" s="1036"/>
      <c r="M210" s="1015"/>
      <c r="N210" s="1016"/>
      <c r="O210" s="1037"/>
      <c r="P210" s="1018"/>
      <c r="Q210" s="1019"/>
    </row>
    <row r="211" spans="1:17">
      <c r="A211" s="590"/>
      <c r="B211" s="591"/>
      <c r="C211" s="593"/>
      <c r="D211" s="592"/>
      <c r="E211" s="594"/>
      <c r="F211" s="595"/>
      <c r="K211" s="1020"/>
      <c r="L211" s="1038"/>
      <c r="M211" s="1021" t="s">
        <v>289</v>
      </c>
      <c r="N211" s="1022"/>
      <c r="O211" s="546"/>
      <c r="P211" s="1024"/>
      <c r="Q211" s="1010">
        <f>SUM(Q169:Q209)</f>
        <v>2791.2599999999993</v>
      </c>
    </row>
    <row r="212" spans="1:17">
      <c r="A212" s="590" t="s">
        <v>325</v>
      </c>
      <c r="B212" s="591" t="s">
        <v>354</v>
      </c>
      <c r="C212" s="593"/>
      <c r="D212" s="592"/>
      <c r="E212" s="594"/>
      <c r="F212" s="595"/>
      <c r="K212" s="1025"/>
      <c r="L212" s="1039"/>
      <c r="M212" s="1026"/>
      <c r="N212" s="1027"/>
      <c r="O212" s="1027"/>
      <c r="P212" s="1029"/>
      <c r="Q212" s="1030"/>
    </row>
    <row r="213" spans="1:17" ht="17.399999999999999">
      <c r="A213" s="590"/>
      <c r="B213" s="591"/>
      <c r="C213" s="593"/>
      <c r="D213" s="592"/>
      <c r="E213" s="594"/>
      <c r="F213" s="595"/>
      <c r="K213" s="980"/>
      <c r="L213" s="981"/>
      <c r="M213" s="982"/>
      <c r="N213" s="982"/>
      <c r="O213" s="983"/>
      <c r="P213" s="984"/>
      <c r="Q213" s="985"/>
    </row>
    <row r="214" spans="1:17">
      <c r="A214" s="590" t="s">
        <v>294</v>
      </c>
      <c r="B214" s="591" t="s">
        <v>353</v>
      </c>
      <c r="C214" s="593">
        <v>1</v>
      </c>
      <c r="D214" s="592" t="s">
        <v>283</v>
      </c>
      <c r="E214" s="594"/>
      <c r="F214" s="595">
        <f>E214*C214</f>
        <v>0</v>
      </c>
      <c r="K214" s="986"/>
      <c r="L214" s="987"/>
      <c r="M214" s="1033"/>
      <c r="N214" s="988"/>
      <c r="O214" s="989"/>
      <c r="P214" s="990"/>
      <c r="Q214" s="991"/>
    </row>
    <row r="215" spans="1:17">
      <c r="A215" s="590"/>
      <c r="B215" s="591"/>
      <c r="C215" s="593"/>
      <c r="D215" s="592"/>
      <c r="E215" s="594"/>
      <c r="F215" s="595"/>
      <c r="K215" s="986"/>
      <c r="L215" s="987"/>
      <c r="M215" s="988"/>
      <c r="N215" s="988"/>
      <c r="O215" s="989"/>
      <c r="P215" s="990"/>
      <c r="Q215" s="991"/>
    </row>
    <row r="216" spans="1:17">
      <c r="A216" s="590"/>
      <c r="B216" s="591"/>
      <c r="C216" s="593"/>
      <c r="D216" s="592"/>
      <c r="E216" s="594"/>
      <c r="F216" s="595"/>
      <c r="K216" s="992"/>
      <c r="L216" s="993"/>
      <c r="M216" s="543"/>
      <c r="N216" s="543"/>
      <c r="O216" s="994"/>
      <c r="P216" s="995"/>
      <c r="Q216" s="996"/>
    </row>
    <row r="217" spans="1:17" ht="40.200000000000003" thickBot="1">
      <c r="A217" s="590" t="s">
        <v>326</v>
      </c>
      <c r="B217" s="591" t="s">
        <v>366</v>
      </c>
      <c r="C217" s="593"/>
      <c r="D217" s="592"/>
      <c r="E217" s="594"/>
      <c r="F217" s="595"/>
      <c r="K217" s="997" t="s">
        <v>276</v>
      </c>
      <c r="L217" s="998" t="s">
        <v>887</v>
      </c>
      <c r="M217" s="999"/>
      <c r="N217" s="1000" t="s">
        <v>266</v>
      </c>
      <c r="O217" s="1001" t="s">
        <v>277</v>
      </c>
      <c r="P217" s="1002" t="s">
        <v>278</v>
      </c>
      <c r="Q217" s="1003" t="s">
        <v>267</v>
      </c>
    </row>
    <row r="218" spans="1:17">
      <c r="A218" s="590"/>
      <c r="B218" s="591"/>
      <c r="C218" s="593"/>
      <c r="D218" s="592"/>
      <c r="E218" s="594"/>
      <c r="F218" s="595"/>
      <c r="K218" s="696"/>
      <c r="L218" s="967"/>
      <c r="M218" s="545"/>
      <c r="N218" s="967"/>
      <c r="O218" s="1034"/>
      <c r="P218" s="969"/>
      <c r="Q218" s="970"/>
    </row>
    <row r="219" spans="1:17" ht="15" thickBot="1">
      <c r="A219" s="590" t="s">
        <v>294</v>
      </c>
      <c r="B219" s="591" t="s">
        <v>367</v>
      </c>
      <c r="C219" s="593">
        <f>2*2*8</f>
        <v>32</v>
      </c>
      <c r="D219" s="592" t="s">
        <v>296</v>
      </c>
      <c r="E219" s="594"/>
      <c r="F219" s="595">
        <f>E219*C219</f>
        <v>0</v>
      </c>
      <c r="K219" s="696">
        <f>K200+1</f>
        <v>34</v>
      </c>
      <c r="L219" s="696"/>
      <c r="M219" s="1032" t="s">
        <v>342</v>
      </c>
      <c r="N219" s="967"/>
      <c r="O219" s="968"/>
      <c r="P219" s="969"/>
      <c r="Q219" s="970"/>
    </row>
    <row r="220" spans="1:17">
      <c r="A220" s="612"/>
      <c r="B220" s="613"/>
      <c r="C220" s="615"/>
      <c r="D220" s="614"/>
      <c r="E220" s="653"/>
      <c r="F220" s="617"/>
      <c r="K220" s="696"/>
      <c r="L220" s="696"/>
      <c r="M220" s="697"/>
      <c r="N220" s="967"/>
      <c r="O220" s="968"/>
      <c r="P220" s="969"/>
      <c r="Q220" s="970"/>
    </row>
    <row r="221" spans="1:17">
      <c r="A221" s="618" t="s">
        <v>310</v>
      </c>
      <c r="B221" s="619" t="s">
        <v>289</v>
      </c>
      <c r="C221" s="621"/>
      <c r="D221" s="620"/>
      <c r="E221" s="654"/>
      <c r="F221" s="623" t="e">
        <f>SUM(F177:F219)</f>
        <v>#REF!</v>
      </c>
      <c r="H221" s="645"/>
      <c r="K221" s="696"/>
      <c r="L221" s="696" t="s">
        <v>294</v>
      </c>
      <c r="M221" s="703" t="s">
        <v>319</v>
      </c>
      <c r="N221" s="967" t="s">
        <v>283</v>
      </c>
      <c r="O221" s="968">
        <v>3</v>
      </c>
      <c r="P221" s="969"/>
      <c r="Q221" s="970">
        <f>P221*O221</f>
        <v>0</v>
      </c>
    </row>
    <row r="222" spans="1:17">
      <c r="A222" s="624"/>
      <c r="B222" s="625"/>
      <c r="C222" s="627"/>
      <c r="D222" s="626"/>
      <c r="E222" s="655"/>
      <c r="F222" s="629"/>
      <c r="K222" s="696"/>
      <c r="L222" s="696"/>
      <c r="M222" s="703"/>
      <c r="N222" s="967"/>
      <c r="O222" s="968"/>
      <c r="P222" s="969"/>
      <c r="Q222" s="970"/>
    </row>
    <row r="223" spans="1:17" ht="17.399999999999999">
      <c r="A223" s="568"/>
      <c r="B223" s="569"/>
      <c r="C223" s="570"/>
      <c r="D223" s="569"/>
      <c r="E223" s="656"/>
      <c r="F223" s="572"/>
      <c r="K223" s="696"/>
      <c r="L223" s="696"/>
      <c r="M223" s="703"/>
      <c r="N223" s="967"/>
      <c r="O223" s="968"/>
      <c r="P223" s="969"/>
      <c r="Q223" s="970"/>
    </row>
    <row r="224" spans="1:17">
      <c r="A224" s="574"/>
      <c r="B224" s="575"/>
      <c r="C224" s="576"/>
      <c r="D224" s="575"/>
      <c r="E224" s="648"/>
      <c r="F224" s="578"/>
      <c r="K224" s="696">
        <f>K219+1</f>
        <v>35</v>
      </c>
      <c r="L224" s="696"/>
      <c r="M224" s="703" t="s">
        <v>371</v>
      </c>
      <c r="N224" s="967"/>
      <c r="O224" s="968"/>
      <c r="P224" s="969"/>
      <c r="Q224" s="970"/>
    </row>
    <row r="225" spans="1:17">
      <c r="A225" s="574"/>
      <c r="B225" s="575"/>
      <c r="C225" s="576"/>
      <c r="D225" s="575"/>
      <c r="E225" s="648"/>
      <c r="F225" s="578"/>
      <c r="K225" s="696"/>
      <c r="L225" s="696"/>
      <c r="M225" s="697"/>
      <c r="N225" s="967"/>
      <c r="O225" s="968"/>
      <c r="P225" s="969"/>
      <c r="Q225" s="970"/>
    </row>
    <row r="226" spans="1:17">
      <c r="A226" s="579"/>
      <c r="B226" s="580"/>
      <c r="C226" s="581"/>
      <c r="D226" s="580"/>
      <c r="E226" s="648"/>
      <c r="F226" s="583"/>
      <c r="K226" s="696"/>
      <c r="L226" s="696" t="s">
        <v>294</v>
      </c>
      <c r="M226" s="703" t="s">
        <v>319</v>
      </c>
      <c r="N226" s="967" t="s">
        <v>283</v>
      </c>
      <c r="O226" s="968">
        <v>3</v>
      </c>
      <c r="P226" s="969"/>
      <c r="Q226" s="970">
        <f>P226*O226</f>
        <v>0</v>
      </c>
    </row>
    <row r="227" spans="1:17" ht="15" thickBot="1">
      <c r="A227" s="584" t="s">
        <v>276</v>
      </c>
      <c r="B227" s="585"/>
      <c r="C227" s="587" t="s">
        <v>277</v>
      </c>
      <c r="D227" s="586" t="s">
        <v>266</v>
      </c>
      <c r="E227" s="649" t="s">
        <v>278</v>
      </c>
      <c r="F227" s="589" t="s">
        <v>267</v>
      </c>
      <c r="K227" s="696"/>
      <c r="L227" s="696"/>
      <c r="M227" s="703"/>
      <c r="N227" s="967"/>
      <c r="O227" s="968"/>
      <c r="P227" s="969"/>
      <c r="Q227" s="970"/>
    </row>
    <row r="228" spans="1:17">
      <c r="A228" s="590"/>
      <c r="B228" s="591"/>
      <c r="C228" s="593"/>
      <c r="D228" s="592"/>
      <c r="E228" s="594"/>
      <c r="F228" s="595"/>
      <c r="K228" s="696"/>
      <c r="L228" s="696"/>
      <c r="M228" s="703"/>
      <c r="N228" s="967"/>
      <c r="O228" s="968"/>
      <c r="P228" s="969"/>
      <c r="Q228" s="970"/>
    </row>
    <row r="229" spans="1:17" ht="13.95" customHeight="1">
      <c r="A229" s="590" t="s">
        <v>327</v>
      </c>
      <c r="B229" s="591" t="s">
        <v>300</v>
      </c>
      <c r="C229" s="593"/>
      <c r="D229" s="592"/>
      <c r="E229" s="594"/>
      <c r="F229" s="595"/>
      <c r="K229" s="696">
        <f>K224+1</f>
        <v>36</v>
      </c>
      <c r="L229" s="696"/>
      <c r="M229" s="703" t="s">
        <v>312</v>
      </c>
      <c r="N229" s="967" t="s">
        <v>283</v>
      </c>
      <c r="O229" s="968">
        <f>2*3</f>
        <v>6</v>
      </c>
      <c r="P229" s="969"/>
      <c r="Q229" s="970">
        <f>P229*O229</f>
        <v>0</v>
      </c>
    </row>
    <row r="230" spans="1:17">
      <c r="A230" s="590"/>
      <c r="B230" s="597"/>
      <c r="C230" s="593"/>
      <c r="D230" s="592"/>
      <c r="E230" s="594"/>
      <c r="F230" s="595"/>
      <c r="K230" s="696"/>
      <c r="L230" s="696"/>
      <c r="M230" s="703"/>
      <c r="N230" s="967"/>
      <c r="O230" s="968"/>
      <c r="P230" s="969"/>
      <c r="Q230" s="970"/>
    </row>
    <row r="231" spans="1:17">
      <c r="A231" s="590" t="s">
        <v>294</v>
      </c>
      <c r="B231" s="591" t="s">
        <v>368</v>
      </c>
      <c r="C231" s="593">
        <f>8*2</f>
        <v>16</v>
      </c>
      <c r="D231" s="592" t="s">
        <v>283</v>
      </c>
      <c r="E231" s="594"/>
      <c r="F231" s="595">
        <f>E231*C231</f>
        <v>0</v>
      </c>
      <c r="K231" s="696"/>
      <c r="L231" s="696"/>
      <c r="M231" s="703"/>
      <c r="N231" s="967"/>
      <c r="O231" s="968"/>
      <c r="P231" s="969"/>
      <c r="Q231" s="970"/>
    </row>
    <row r="232" spans="1:17">
      <c r="A232" s="590"/>
      <c r="B232" s="591"/>
      <c r="C232" s="593"/>
      <c r="D232" s="592"/>
      <c r="E232" s="594"/>
      <c r="F232" s="595"/>
      <c r="K232" s="696">
        <f>K229+1</f>
        <v>37</v>
      </c>
      <c r="L232" s="696"/>
      <c r="M232" s="703" t="s">
        <v>313</v>
      </c>
      <c r="N232" s="967" t="s">
        <v>283</v>
      </c>
      <c r="O232" s="968">
        <f>2*3</f>
        <v>6</v>
      </c>
      <c r="P232" s="969"/>
      <c r="Q232" s="970">
        <f>P232*O232</f>
        <v>0</v>
      </c>
    </row>
    <row r="233" spans="1:17">
      <c r="A233" s="590"/>
      <c r="B233" s="591"/>
      <c r="C233" s="593"/>
      <c r="D233" s="592"/>
      <c r="E233" s="594"/>
      <c r="F233" s="595"/>
      <c r="K233" s="696"/>
      <c r="L233" s="696"/>
      <c r="M233" s="703"/>
      <c r="N233" s="967"/>
      <c r="O233" s="968"/>
      <c r="P233" s="969"/>
      <c r="Q233" s="970"/>
    </row>
    <row r="234" spans="1:17">
      <c r="A234" s="590" t="s">
        <v>369</v>
      </c>
      <c r="B234" s="651" t="s">
        <v>342</v>
      </c>
      <c r="C234" s="593"/>
      <c r="D234" s="592"/>
      <c r="E234" s="594"/>
      <c r="F234" s="595"/>
      <c r="K234" s="696"/>
      <c r="L234" s="696"/>
      <c r="M234" s="703"/>
      <c r="N234" s="967"/>
      <c r="O234" s="968"/>
      <c r="P234" s="969"/>
      <c r="Q234" s="970"/>
    </row>
    <row r="235" spans="1:17">
      <c r="A235" s="590"/>
      <c r="B235" s="597"/>
      <c r="C235" s="593"/>
      <c r="D235" s="592"/>
      <c r="E235" s="594"/>
      <c r="F235" s="595"/>
      <c r="K235" s="696">
        <f>K232+1</f>
        <v>38</v>
      </c>
      <c r="L235" s="696"/>
      <c r="M235" s="703" t="s">
        <v>314</v>
      </c>
      <c r="N235" s="967" t="s">
        <v>283</v>
      </c>
      <c r="O235" s="968">
        <v>3</v>
      </c>
      <c r="P235" s="969"/>
      <c r="Q235" s="970">
        <f>P235*O235</f>
        <v>0</v>
      </c>
    </row>
    <row r="236" spans="1:17">
      <c r="A236" s="590" t="s">
        <v>294</v>
      </c>
      <c r="B236" s="591" t="s">
        <v>368</v>
      </c>
      <c r="C236" s="593">
        <f>8*1</f>
        <v>8</v>
      </c>
      <c r="D236" s="592" t="s">
        <v>283</v>
      </c>
      <c r="E236" s="594"/>
      <c r="F236" s="595">
        <f>E236*C236</f>
        <v>0</v>
      </c>
      <c r="K236" s="696"/>
      <c r="L236" s="967"/>
      <c r="M236" s="703"/>
      <c r="N236" s="698"/>
      <c r="O236" s="1035"/>
      <c r="P236" s="700"/>
      <c r="Q236" s="701"/>
    </row>
    <row r="237" spans="1:17">
      <c r="A237" s="590"/>
      <c r="B237" s="591"/>
      <c r="C237" s="593"/>
      <c r="D237" s="592"/>
      <c r="E237" s="594"/>
      <c r="F237" s="595"/>
      <c r="K237" s="696"/>
      <c r="L237" s="967"/>
      <c r="M237" s="703"/>
      <c r="N237" s="698"/>
      <c r="O237" s="1035"/>
      <c r="P237" s="700"/>
      <c r="Q237" s="701"/>
    </row>
    <row r="238" spans="1:17" ht="39.6">
      <c r="A238" s="590"/>
      <c r="B238" s="591"/>
      <c r="C238" s="593"/>
      <c r="D238" s="592"/>
      <c r="E238" s="594"/>
      <c r="F238" s="595"/>
      <c r="K238" s="696">
        <f>K235+1</f>
        <v>39</v>
      </c>
      <c r="L238" s="696"/>
      <c r="M238" s="703" t="s">
        <v>946</v>
      </c>
      <c r="N238" s="967"/>
      <c r="O238" s="968"/>
      <c r="P238" s="969"/>
      <c r="Q238" s="970"/>
    </row>
    <row r="239" spans="1:17">
      <c r="A239" s="590" t="s">
        <v>370</v>
      </c>
      <c r="B239" s="591" t="s">
        <v>371</v>
      </c>
      <c r="C239" s="593"/>
      <c r="D239" s="592"/>
      <c r="E239" s="594"/>
      <c r="F239" s="595"/>
      <c r="K239" s="696"/>
      <c r="L239" s="696"/>
      <c r="M239" s="703"/>
      <c r="N239" s="967"/>
      <c r="O239" s="968"/>
      <c r="P239" s="969"/>
      <c r="Q239" s="970"/>
    </row>
    <row r="240" spans="1:17">
      <c r="A240" s="590"/>
      <c r="B240" s="597"/>
      <c r="C240" s="593"/>
      <c r="D240" s="592"/>
      <c r="E240" s="594"/>
      <c r="F240" s="595"/>
      <c r="K240" s="696"/>
      <c r="L240" s="696"/>
      <c r="M240" s="703" t="s">
        <v>901</v>
      </c>
      <c r="N240" s="967" t="s">
        <v>283</v>
      </c>
      <c r="O240" s="968">
        <v>2</v>
      </c>
      <c r="P240" s="969"/>
      <c r="Q240" s="970">
        <f>P240*O240</f>
        <v>0</v>
      </c>
    </row>
    <row r="241" spans="1:17">
      <c r="A241" s="590" t="s">
        <v>294</v>
      </c>
      <c r="B241" s="591" t="s">
        <v>368</v>
      </c>
      <c r="C241" s="593">
        <f>8*1</f>
        <v>8</v>
      </c>
      <c r="D241" s="592" t="s">
        <v>283</v>
      </c>
      <c r="E241" s="594"/>
      <c r="F241" s="595">
        <f>E241*C241</f>
        <v>0</v>
      </c>
      <c r="K241" s="696"/>
      <c r="L241" s="696"/>
      <c r="M241" s="703" t="s">
        <v>947</v>
      </c>
      <c r="N241" s="967"/>
      <c r="O241" s="968"/>
      <c r="P241" s="969"/>
      <c r="Q241" s="970"/>
    </row>
    <row r="242" spans="1:17">
      <c r="A242" s="590"/>
      <c r="B242" s="591"/>
      <c r="C242" s="593"/>
      <c r="D242" s="592"/>
      <c r="E242" s="594"/>
      <c r="F242" s="595"/>
      <c r="K242" s="696"/>
      <c r="L242" s="696"/>
      <c r="M242" s="703" t="s">
        <v>903</v>
      </c>
      <c r="N242" s="967"/>
      <c r="O242" s="968"/>
      <c r="P242" s="969"/>
      <c r="Q242" s="970"/>
    </row>
    <row r="243" spans="1:17" ht="12.6" customHeight="1">
      <c r="A243" s="590"/>
      <c r="B243" s="591"/>
      <c r="C243" s="593"/>
      <c r="D243" s="592"/>
      <c r="E243" s="594"/>
      <c r="F243" s="595"/>
      <c r="K243" s="696"/>
      <c r="L243" s="696"/>
      <c r="M243" s="703" t="s">
        <v>904</v>
      </c>
      <c r="N243" s="967"/>
      <c r="O243" s="968"/>
      <c r="P243" s="969"/>
      <c r="Q243" s="970"/>
    </row>
    <row r="244" spans="1:17">
      <c r="A244" s="590"/>
      <c r="B244" s="591"/>
      <c r="C244" s="593"/>
      <c r="D244" s="592"/>
      <c r="E244" s="594"/>
      <c r="F244" s="595"/>
      <c r="K244" s="696"/>
      <c r="L244" s="696"/>
      <c r="M244" s="703"/>
      <c r="N244" s="967"/>
      <c r="O244" s="968"/>
      <c r="P244" s="969"/>
      <c r="Q244" s="970"/>
    </row>
    <row r="245" spans="1:17" s="658" customFormat="1">
      <c r="A245" s="590">
        <v>33</v>
      </c>
      <c r="B245" s="591" t="s">
        <v>312</v>
      </c>
      <c r="C245" s="593">
        <f>8*2</f>
        <v>16</v>
      </c>
      <c r="D245" s="592" t="s">
        <v>283</v>
      </c>
      <c r="E245" s="594"/>
      <c r="F245" s="595">
        <f>E245*C245</f>
        <v>0</v>
      </c>
      <c r="K245" s="696"/>
      <c r="L245" s="696"/>
      <c r="M245" s="703"/>
      <c r="N245" s="967"/>
      <c r="O245" s="968"/>
      <c r="P245" s="969"/>
      <c r="Q245" s="970"/>
    </row>
    <row r="246" spans="1:17" s="658" customFormat="1" ht="26.4">
      <c r="A246" s="590"/>
      <c r="B246" s="591"/>
      <c r="C246" s="593"/>
      <c r="D246" s="592"/>
      <c r="E246" s="594"/>
      <c r="F246" s="595"/>
      <c r="K246" s="705">
        <f>K238+1</f>
        <v>40</v>
      </c>
      <c r="L246" s="705"/>
      <c r="M246" s="706" t="s">
        <v>350</v>
      </c>
      <c r="N246" s="1047"/>
      <c r="O246" s="1048"/>
      <c r="P246" s="1049"/>
      <c r="Q246" s="1050"/>
    </row>
    <row r="247" spans="1:17" s="658" customFormat="1">
      <c r="A247" s="590"/>
      <c r="B247" s="591"/>
      <c r="C247" s="593"/>
      <c r="D247" s="592"/>
      <c r="E247" s="594"/>
      <c r="F247" s="595"/>
      <c r="K247" s="705"/>
      <c r="L247" s="705"/>
      <c r="M247" s="706"/>
      <c r="N247" s="1047"/>
      <c r="O247" s="1048"/>
      <c r="P247" s="1049"/>
      <c r="Q247" s="1050"/>
    </row>
    <row r="248" spans="1:17">
      <c r="A248" s="590">
        <v>34</v>
      </c>
      <c r="B248" s="591" t="s">
        <v>313</v>
      </c>
      <c r="C248" s="593">
        <f>8*2</f>
        <v>16</v>
      </c>
      <c r="D248" s="592" t="s">
        <v>283</v>
      </c>
      <c r="E248" s="594"/>
      <c r="F248" s="595">
        <f>E248*C248</f>
        <v>0</v>
      </c>
      <c r="K248" s="705"/>
      <c r="L248" s="705" t="s">
        <v>294</v>
      </c>
      <c r="M248" s="706" t="s">
        <v>383</v>
      </c>
      <c r="N248" s="1047" t="s">
        <v>283</v>
      </c>
      <c r="O248" s="1048">
        <v>1</v>
      </c>
      <c r="P248" s="1049">
        <f>Elec_Est!E819</f>
        <v>62.88</v>
      </c>
      <c r="Q248" s="1050" t="s">
        <v>384</v>
      </c>
    </row>
    <row r="249" spans="1:17">
      <c r="A249" s="590"/>
      <c r="B249" s="591"/>
      <c r="C249" s="593"/>
      <c r="D249" s="592"/>
      <c r="E249" s="594"/>
      <c r="F249" s="595"/>
      <c r="K249" s="696"/>
      <c r="L249" s="696"/>
      <c r="M249" s="703"/>
      <c r="N249" s="967"/>
      <c r="O249" s="968"/>
      <c r="P249" s="969"/>
      <c r="Q249" s="970"/>
    </row>
    <row r="250" spans="1:17">
      <c r="A250" s="590"/>
      <c r="B250" s="591"/>
      <c r="C250" s="593"/>
      <c r="D250" s="592"/>
      <c r="E250" s="594"/>
      <c r="F250" s="595"/>
      <c r="K250" s="696"/>
      <c r="L250" s="696"/>
      <c r="M250" s="703"/>
      <c r="N250" s="967"/>
      <c r="O250" s="968"/>
      <c r="P250" s="969"/>
      <c r="Q250" s="970"/>
    </row>
    <row r="251" spans="1:17" s="658" customFormat="1" ht="26.4">
      <c r="A251" s="590">
        <v>35</v>
      </c>
      <c r="B251" s="591" t="s">
        <v>314</v>
      </c>
      <c r="C251" s="593">
        <f>8*2</f>
        <v>16</v>
      </c>
      <c r="D251" s="592" t="s">
        <v>283</v>
      </c>
      <c r="E251" s="594"/>
      <c r="F251" s="595">
        <f>E251*C251</f>
        <v>0</v>
      </c>
      <c r="K251" s="696">
        <f>K246+1</f>
        <v>41</v>
      </c>
      <c r="L251" s="696"/>
      <c r="M251" s="703" t="s">
        <v>355</v>
      </c>
      <c r="N251" s="967"/>
      <c r="O251" s="968"/>
      <c r="P251" s="969"/>
      <c r="Q251" s="970"/>
    </row>
    <row r="252" spans="1:17" s="658" customFormat="1">
      <c r="A252" s="590"/>
      <c r="B252" s="591"/>
      <c r="C252" s="593"/>
      <c r="D252" s="592"/>
      <c r="E252" s="594"/>
      <c r="F252" s="595"/>
      <c r="K252" s="696"/>
      <c r="L252" s="696"/>
      <c r="M252" s="703"/>
      <c r="N252" s="967"/>
      <c r="O252" s="968"/>
      <c r="P252" s="969"/>
      <c r="Q252" s="970"/>
    </row>
    <row r="253" spans="1:17" s="658" customFormat="1">
      <c r="A253" s="590"/>
      <c r="B253" s="591"/>
      <c r="C253" s="593"/>
      <c r="D253" s="592"/>
      <c r="E253" s="594"/>
      <c r="F253" s="595"/>
      <c r="K253" s="696"/>
      <c r="L253" s="696" t="s">
        <v>294</v>
      </c>
      <c r="M253" s="703" t="s">
        <v>295</v>
      </c>
      <c r="N253" s="967" t="s">
        <v>296</v>
      </c>
      <c r="O253" s="968">
        <f>10*2</f>
        <v>20</v>
      </c>
      <c r="P253" s="969"/>
      <c r="Q253" s="970">
        <f>P253*O253</f>
        <v>0</v>
      </c>
    </row>
    <row r="254" spans="1:17">
      <c r="A254" s="590" t="s">
        <v>279</v>
      </c>
      <c r="B254" s="597" t="s">
        <v>372</v>
      </c>
      <c r="C254" s="593"/>
      <c r="D254" s="592"/>
      <c r="E254" s="594"/>
      <c r="F254" s="595"/>
      <c r="K254" s="696"/>
      <c r="L254" s="696"/>
      <c r="M254" s="703"/>
      <c r="N254" s="967"/>
      <c r="O254" s="968"/>
      <c r="P254" s="969"/>
      <c r="Q254" s="970"/>
    </row>
    <row r="255" spans="1:17">
      <c r="A255" s="590" t="s">
        <v>279</v>
      </c>
      <c r="B255" s="597" t="s">
        <v>332</v>
      </c>
      <c r="C255" s="593"/>
      <c r="D255" s="592"/>
      <c r="E255" s="594"/>
      <c r="F255" s="595"/>
      <c r="K255" s="696"/>
      <c r="L255" s="696"/>
      <c r="M255" s="703"/>
      <c r="N255" s="967"/>
      <c r="O255" s="968"/>
      <c r="P255" s="969"/>
      <c r="Q255" s="970"/>
    </row>
    <row r="256" spans="1:17">
      <c r="A256" s="647"/>
      <c r="B256" s="591"/>
      <c r="C256" s="593"/>
      <c r="D256" s="592"/>
      <c r="E256" s="594"/>
      <c r="F256" s="595"/>
      <c r="K256" s="696">
        <f>K251+1</f>
        <v>42</v>
      </c>
      <c r="L256" s="696"/>
      <c r="M256" s="703" t="s">
        <v>300</v>
      </c>
      <c r="N256" s="967"/>
      <c r="O256" s="968"/>
      <c r="P256" s="969"/>
      <c r="Q256" s="970"/>
    </row>
    <row r="257" spans="1:17" ht="26.4">
      <c r="A257" s="603">
        <v>36</v>
      </c>
      <c r="B257" s="604" t="s">
        <v>373</v>
      </c>
      <c r="C257" s="640">
        <v>8</v>
      </c>
      <c r="D257" s="641" t="s">
        <v>283</v>
      </c>
      <c r="E257" s="642" t="e">
        <f>Elec_Est!#REF!</f>
        <v>#REF!</v>
      </c>
      <c r="F257" s="643" t="e">
        <f>E257*C257</f>
        <v>#REF!</v>
      </c>
      <c r="G257" s="573">
        <v>3</v>
      </c>
      <c r="K257" s="696"/>
      <c r="L257" s="696"/>
      <c r="M257" s="697"/>
      <c r="N257" s="967"/>
      <c r="O257" s="968"/>
      <c r="P257" s="969"/>
      <c r="Q257" s="970"/>
    </row>
    <row r="258" spans="1:17">
      <c r="A258" s="590"/>
      <c r="B258" s="591"/>
      <c r="C258" s="593"/>
      <c r="D258" s="592"/>
      <c r="E258" s="594"/>
      <c r="F258" s="595"/>
      <c r="K258" s="696"/>
      <c r="L258" s="696" t="s">
        <v>294</v>
      </c>
      <c r="M258" s="703" t="s">
        <v>301</v>
      </c>
      <c r="N258" s="967" t="s">
        <v>283</v>
      </c>
      <c r="O258" s="968">
        <v>4</v>
      </c>
      <c r="P258" s="969"/>
      <c r="Q258" s="970">
        <f>P258*O258</f>
        <v>0</v>
      </c>
    </row>
    <row r="259" spans="1:17">
      <c r="A259" s="590"/>
      <c r="B259" s="591"/>
      <c r="C259" s="593"/>
      <c r="D259" s="592"/>
      <c r="E259" s="594"/>
      <c r="F259" s="595"/>
      <c r="K259" s="696"/>
      <c r="L259" s="696"/>
      <c r="M259" s="703"/>
      <c r="N259" s="967"/>
      <c r="O259" s="968"/>
      <c r="P259" s="969"/>
      <c r="Q259" s="970"/>
    </row>
    <row r="260" spans="1:17" ht="39.6">
      <c r="A260" s="590" t="s">
        <v>374</v>
      </c>
      <c r="B260" s="591" t="s">
        <v>375</v>
      </c>
      <c r="C260" s="593"/>
      <c r="D260" s="592"/>
      <c r="E260" s="594"/>
      <c r="F260" s="595"/>
      <c r="K260" s="696"/>
      <c r="L260" s="696"/>
      <c r="M260" s="703"/>
      <c r="N260" s="967"/>
      <c r="O260" s="968"/>
      <c r="P260" s="969"/>
      <c r="Q260" s="970"/>
    </row>
    <row r="261" spans="1:17">
      <c r="A261" s="590"/>
      <c r="B261" s="591"/>
      <c r="C261" s="593"/>
      <c r="D261" s="592"/>
      <c r="E261" s="594"/>
      <c r="F261" s="595"/>
      <c r="K261" s="696"/>
      <c r="L261" s="967"/>
      <c r="M261" s="703"/>
      <c r="N261" s="698"/>
      <c r="O261" s="1035"/>
      <c r="P261" s="700"/>
      <c r="Q261" s="701"/>
    </row>
    <row r="262" spans="1:17">
      <c r="A262" s="590" t="s">
        <v>294</v>
      </c>
      <c r="B262" s="591" t="s">
        <v>367</v>
      </c>
      <c r="C262" s="593">
        <f>10*2*8</f>
        <v>160</v>
      </c>
      <c r="D262" s="592" t="s">
        <v>296</v>
      </c>
      <c r="E262" s="594"/>
      <c r="F262" s="595">
        <f>E262*C262</f>
        <v>0</v>
      </c>
      <c r="K262" s="696"/>
      <c r="L262" s="967"/>
      <c r="M262" s="703"/>
      <c r="N262" s="698"/>
      <c r="O262" s="1035"/>
      <c r="P262" s="700"/>
      <c r="Q262" s="701"/>
    </row>
    <row r="263" spans="1:17">
      <c r="A263" s="590"/>
      <c r="B263" s="591"/>
      <c r="C263" s="593"/>
      <c r="D263" s="592"/>
      <c r="E263" s="594"/>
      <c r="F263" s="595"/>
      <c r="K263" s="696"/>
      <c r="L263" s="967"/>
      <c r="M263" s="703"/>
      <c r="N263" s="967"/>
      <c r="O263" s="1034"/>
      <c r="P263" s="969"/>
      <c r="Q263" s="970"/>
    </row>
    <row r="264" spans="1:17">
      <c r="A264" s="590"/>
      <c r="B264" s="591"/>
      <c r="C264" s="593"/>
      <c r="D264" s="592"/>
      <c r="E264" s="594"/>
      <c r="F264" s="595"/>
      <c r="K264" s="696"/>
      <c r="L264" s="967"/>
      <c r="M264" s="703"/>
      <c r="N264" s="967"/>
      <c r="O264" s="1034"/>
      <c r="P264" s="969"/>
      <c r="Q264" s="970"/>
    </row>
    <row r="265" spans="1:17" ht="13.95" customHeight="1" thickBot="1">
      <c r="A265" s="590" t="s">
        <v>376</v>
      </c>
      <c r="B265" s="591" t="s">
        <v>300</v>
      </c>
      <c r="C265" s="593"/>
      <c r="D265" s="592"/>
      <c r="E265" s="594"/>
      <c r="F265" s="595"/>
      <c r="K265" s="696"/>
      <c r="L265" s="967"/>
      <c r="M265" s="703"/>
      <c r="N265" s="967"/>
      <c r="O265" s="1034"/>
      <c r="P265" s="969"/>
      <c r="Q265" s="970"/>
    </row>
    <row r="266" spans="1:17">
      <c r="A266" s="590"/>
      <c r="B266" s="597"/>
      <c r="C266" s="593"/>
      <c r="D266" s="592"/>
      <c r="E266" s="594"/>
      <c r="F266" s="595"/>
      <c r="K266" s="1014"/>
      <c r="L266" s="1036"/>
      <c r="M266" s="1015"/>
      <c r="N266" s="1016"/>
      <c r="O266" s="1037"/>
      <c r="P266" s="1018"/>
      <c r="Q266" s="1019"/>
    </row>
    <row r="267" spans="1:17">
      <c r="A267" s="590" t="s">
        <v>294</v>
      </c>
      <c r="B267" s="591" t="s">
        <v>368</v>
      </c>
      <c r="C267" s="593">
        <f>8*2</f>
        <v>16</v>
      </c>
      <c r="D267" s="592" t="s">
        <v>283</v>
      </c>
      <c r="E267" s="594"/>
      <c r="F267" s="595">
        <f>E267*C267</f>
        <v>0</v>
      </c>
      <c r="K267" s="1020"/>
      <c r="L267" s="1038"/>
      <c r="M267" s="1021" t="s">
        <v>289</v>
      </c>
      <c r="N267" s="1022"/>
      <c r="O267" s="546"/>
      <c r="P267" s="1024"/>
      <c r="Q267" s="1010">
        <f>SUM(Q218:Q265)</f>
        <v>0</v>
      </c>
    </row>
    <row r="268" spans="1:17">
      <c r="A268" s="590"/>
      <c r="B268" s="591"/>
      <c r="C268" s="593"/>
      <c r="D268" s="592"/>
      <c r="E268" s="594"/>
      <c r="F268" s="595"/>
      <c r="K268" s="1025"/>
      <c r="L268" s="1039"/>
      <c r="M268" s="1026"/>
      <c r="N268" s="1027"/>
      <c r="O268" s="1027"/>
      <c r="P268" s="1029"/>
      <c r="Q268" s="1030"/>
    </row>
    <row r="269" spans="1:17" ht="17.399999999999999">
      <c r="A269" s="590"/>
      <c r="B269" s="591"/>
      <c r="C269" s="593"/>
      <c r="D269" s="592"/>
      <c r="E269" s="594"/>
      <c r="F269" s="595"/>
      <c r="K269" s="980"/>
      <c r="L269" s="981"/>
      <c r="M269" s="982"/>
      <c r="N269" s="982"/>
      <c r="O269" s="983"/>
      <c r="P269" s="1064"/>
      <c r="Q269" s="985"/>
    </row>
    <row r="270" spans="1:17">
      <c r="A270" s="590"/>
      <c r="B270" s="591"/>
      <c r="C270" s="593"/>
      <c r="D270" s="592"/>
      <c r="E270" s="594"/>
      <c r="F270" s="595"/>
      <c r="K270" s="986"/>
      <c r="L270" s="987"/>
      <c r="M270" s="988"/>
      <c r="N270" s="988"/>
      <c r="O270" s="989"/>
      <c r="P270" s="1059"/>
      <c r="Q270" s="991"/>
    </row>
    <row r="271" spans="1:17">
      <c r="A271" s="590"/>
      <c r="B271" s="591"/>
      <c r="C271" s="593"/>
      <c r="D271" s="592"/>
      <c r="E271" s="594"/>
      <c r="F271" s="595"/>
      <c r="K271" s="986"/>
      <c r="L271" s="987"/>
      <c r="M271" s="988"/>
      <c r="N271" s="988"/>
      <c r="O271" s="989"/>
      <c r="P271" s="1059"/>
      <c r="Q271" s="991"/>
    </row>
    <row r="272" spans="1:17">
      <c r="A272" s="590"/>
      <c r="B272" s="591"/>
      <c r="C272" s="593"/>
      <c r="D272" s="592"/>
      <c r="E272" s="594"/>
      <c r="F272" s="595"/>
      <c r="K272" s="992"/>
      <c r="L272" s="993"/>
      <c r="M272" s="543"/>
      <c r="N272" s="543"/>
      <c r="O272" s="994"/>
      <c r="P272" s="1059"/>
      <c r="Q272" s="996"/>
    </row>
    <row r="273" spans="1:17" ht="15" thickBot="1">
      <c r="A273" s="590"/>
      <c r="B273" s="591"/>
      <c r="C273" s="593"/>
      <c r="D273" s="592"/>
      <c r="E273" s="594"/>
      <c r="F273" s="595"/>
      <c r="K273" s="997" t="s">
        <v>276</v>
      </c>
      <c r="L273" s="998" t="s">
        <v>887</v>
      </c>
      <c r="M273" s="999"/>
      <c r="N273" s="1000" t="s">
        <v>266</v>
      </c>
      <c r="O273" s="1001" t="s">
        <v>277</v>
      </c>
      <c r="P273" s="1060" t="s">
        <v>278</v>
      </c>
      <c r="Q273" s="1003" t="s">
        <v>267</v>
      </c>
    </row>
    <row r="274" spans="1:17">
      <c r="A274" s="590"/>
      <c r="B274" s="591"/>
      <c r="C274" s="593"/>
      <c r="D274" s="592"/>
      <c r="E274" s="594"/>
      <c r="F274" s="595"/>
      <c r="K274" s="1004"/>
      <c r="L274" s="1005"/>
      <c r="M274" s="1006"/>
      <c r="N274" s="1007"/>
      <c r="O274" s="1008"/>
      <c r="P274" s="1066"/>
      <c r="Q274" s="1010"/>
    </row>
    <row r="275" spans="1:17" ht="39.6">
      <c r="A275" s="590"/>
      <c r="B275" s="591"/>
      <c r="C275" s="593"/>
      <c r="D275" s="592"/>
      <c r="E275" s="594"/>
      <c r="F275" s="595"/>
      <c r="K275" s="696">
        <f>K256+1</f>
        <v>43</v>
      </c>
      <c r="L275" s="696"/>
      <c r="M275" s="703" t="s">
        <v>387</v>
      </c>
      <c r="N275" s="967" t="s">
        <v>283</v>
      </c>
      <c r="O275" s="968">
        <v>1</v>
      </c>
      <c r="P275" s="969"/>
      <c r="Q275" s="970">
        <f>P275*O275</f>
        <v>0</v>
      </c>
    </row>
    <row r="276" spans="1:17" ht="15" thickBot="1">
      <c r="A276" s="590"/>
      <c r="B276" s="591"/>
      <c r="C276" s="593"/>
      <c r="D276" s="592"/>
      <c r="E276" s="594"/>
      <c r="F276" s="595"/>
      <c r="K276" s="696"/>
      <c r="L276" s="696"/>
      <c r="M276" s="703"/>
      <c r="N276" s="967"/>
      <c r="O276" s="968"/>
      <c r="P276" s="969"/>
      <c r="Q276" s="970"/>
    </row>
    <row r="277" spans="1:17">
      <c r="A277" s="612"/>
      <c r="B277" s="613"/>
      <c r="C277" s="615"/>
      <c r="D277" s="614"/>
      <c r="E277" s="653"/>
      <c r="F277" s="617"/>
      <c r="H277" s="645"/>
      <c r="K277" s="1031"/>
      <c r="L277" s="696"/>
      <c r="M277" s="703"/>
      <c r="N277" s="967"/>
      <c r="O277" s="968"/>
      <c r="P277" s="969"/>
      <c r="Q277" s="970"/>
    </row>
    <row r="278" spans="1:17">
      <c r="A278" s="618" t="s">
        <v>310</v>
      </c>
      <c r="B278" s="619" t="s">
        <v>289</v>
      </c>
      <c r="C278" s="621"/>
      <c r="D278" s="620"/>
      <c r="E278" s="654"/>
      <c r="F278" s="623" t="e">
        <f>SUM(F228:F275)</f>
        <v>#REF!</v>
      </c>
      <c r="H278" s="645"/>
      <c r="K278" s="696">
        <f>K275+1</f>
        <v>44</v>
      </c>
      <c r="L278" s="696"/>
      <c r="M278" s="703" t="s">
        <v>312</v>
      </c>
      <c r="N278" s="967" t="s">
        <v>283</v>
      </c>
      <c r="O278" s="968">
        <v>4</v>
      </c>
      <c r="P278" s="969"/>
      <c r="Q278" s="970">
        <f>P278*O278</f>
        <v>0</v>
      </c>
    </row>
    <row r="279" spans="1:17">
      <c r="A279" s="624"/>
      <c r="B279" s="625"/>
      <c r="C279" s="627"/>
      <c r="D279" s="626"/>
      <c r="E279" s="655"/>
      <c r="F279" s="629"/>
      <c r="K279" s="696"/>
      <c r="L279" s="696"/>
      <c r="M279" s="703"/>
      <c r="N279" s="967"/>
      <c r="O279" s="968"/>
      <c r="P279" s="969"/>
      <c r="Q279" s="970"/>
    </row>
    <row r="280" spans="1:17" ht="17.399999999999999">
      <c r="A280" s="568"/>
      <c r="B280" s="569"/>
      <c r="C280" s="570"/>
      <c r="D280" s="569"/>
      <c r="E280" s="656"/>
      <c r="F280" s="572"/>
      <c r="K280" s="696"/>
      <c r="L280" s="696"/>
      <c r="M280" s="703"/>
      <c r="N280" s="967"/>
      <c r="O280" s="968"/>
      <c r="P280" s="969"/>
      <c r="Q280" s="970"/>
    </row>
    <row r="281" spans="1:17" ht="39.6">
      <c r="A281" s="574"/>
      <c r="B281" s="575"/>
      <c r="C281" s="576"/>
      <c r="D281" s="575"/>
      <c r="E281" s="648"/>
      <c r="F281" s="578"/>
      <c r="K281" s="696">
        <f>K278+1</f>
        <v>45</v>
      </c>
      <c r="L281" s="696"/>
      <c r="M281" s="703" t="s">
        <v>389</v>
      </c>
      <c r="N281" s="967"/>
      <c r="O281" s="968"/>
      <c r="P281" s="969"/>
      <c r="Q281" s="970"/>
    </row>
    <row r="282" spans="1:17">
      <c r="A282" s="574"/>
      <c r="B282" s="575"/>
      <c r="C282" s="576"/>
      <c r="D282" s="575"/>
      <c r="E282" s="648"/>
      <c r="F282" s="578"/>
      <c r="K282" s="696"/>
      <c r="L282" s="696"/>
      <c r="M282" s="703"/>
      <c r="N282" s="967"/>
      <c r="O282" s="968"/>
      <c r="P282" s="969"/>
      <c r="Q282" s="970"/>
    </row>
    <row r="283" spans="1:17">
      <c r="A283" s="579"/>
      <c r="B283" s="580"/>
      <c r="C283" s="581"/>
      <c r="D283" s="580"/>
      <c r="E283" s="648"/>
      <c r="F283" s="583"/>
      <c r="K283" s="696"/>
      <c r="L283" s="696" t="s">
        <v>294</v>
      </c>
      <c r="M283" s="703" t="s">
        <v>295</v>
      </c>
      <c r="N283" s="967" t="s">
        <v>296</v>
      </c>
      <c r="O283" s="968">
        <f>70*2</f>
        <v>140</v>
      </c>
      <c r="P283" s="969"/>
      <c r="Q283" s="970">
        <f>P283*O283</f>
        <v>0</v>
      </c>
    </row>
    <row r="284" spans="1:17" ht="15" thickBot="1">
      <c r="A284" s="584" t="s">
        <v>276</v>
      </c>
      <c r="B284" s="585"/>
      <c r="C284" s="587" t="s">
        <v>277</v>
      </c>
      <c r="D284" s="586" t="s">
        <v>266</v>
      </c>
      <c r="E284" s="649" t="s">
        <v>278</v>
      </c>
      <c r="F284" s="589" t="s">
        <v>267</v>
      </c>
      <c r="K284" s="696"/>
      <c r="L284" s="696"/>
      <c r="M284" s="703"/>
      <c r="N284" s="967"/>
      <c r="O284" s="968"/>
      <c r="P284" s="969"/>
      <c r="Q284" s="970"/>
    </row>
    <row r="285" spans="1:17">
      <c r="A285" s="634"/>
      <c r="B285" s="635"/>
      <c r="C285" s="636"/>
      <c r="D285" s="637"/>
      <c r="E285" s="659"/>
      <c r="F285" s="623"/>
      <c r="K285" s="696"/>
      <c r="L285" s="696"/>
      <c r="M285" s="703"/>
      <c r="N285" s="967"/>
      <c r="O285" s="968"/>
      <c r="P285" s="969"/>
      <c r="Q285" s="970"/>
    </row>
    <row r="286" spans="1:17">
      <c r="A286" s="590" t="s">
        <v>377</v>
      </c>
      <c r="B286" s="651" t="s">
        <v>342</v>
      </c>
      <c r="C286" s="593"/>
      <c r="D286" s="592"/>
      <c r="E286" s="594"/>
      <c r="F286" s="595"/>
      <c r="K286" s="696">
        <f>K281+1</f>
        <v>46</v>
      </c>
      <c r="L286" s="696"/>
      <c r="M286" s="703" t="s">
        <v>300</v>
      </c>
      <c r="N286" s="967"/>
      <c r="O286" s="968"/>
      <c r="P286" s="969"/>
      <c r="Q286" s="970"/>
    </row>
    <row r="287" spans="1:17">
      <c r="A287" s="590"/>
      <c r="B287" s="597"/>
      <c r="C287" s="593"/>
      <c r="D287" s="592"/>
      <c r="E287" s="594"/>
      <c r="F287" s="595"/>
      <c r="K287" s="696"/>
      <c r="L287" s="696"/>
      <c r="M287" s="697"/>
      <c r="N287" s="967"/>
      <c r="O287" s="968"/>
      <c r="P287" s="969"/>
      <c r="Q287" s="970"/>
    </row>
    <row r="288" spans="1:17">
      <c r="A288" s="590" t="s">
        <v>294</v>
      </c>
      <c r="B288" s="591" t="s">
        <v>368</v>
      </c>
      <c r="C288" s="593">
        <f>8*1</f>
        <v>8</v>
      </c>
      <c r="D288" s="592" t="s">
        <v>283</v>
      </c>
      <c r="E288" s="594"/>
      <c r="F288" s="595">
        <f>E288*C288</f>
        <v>0</v>
      </c>
      <c r="K288" s="696"/>
      <c r="L288" s="696" t="s">
        <v>294</v>
      </c>
      <c r="M288" s="703" t="s">
        <v>301</v>
      </c>
      <c r="N288" s="967" t="s">
        <v>283</v>
      </c>
      <c r="O288" s="968">
        <f>2*2</f>
        <v>4</v>
      </c>
      <c r="P288" s="969"/>
      <c r="Q288" s="970">
        <f>P288*O288</f>
        <v>0</v>
      </c>
    </row>
    <row r="289" spans="1:17">
      <c r="A289" s="590"/>
      <c r="B289" s="591"/>
      <c r="C289" s="593"/>
      <c r="D289" s="592"/>
      <c r="E289" s="594"/>
      <c r="F289" s="595"/>
      <c r="K289" s="696"/>
      <c r="L289" s="696"/>
      <c r="M289" s="703"/>
      <c r="N289" s="967"/>
      <c r="O289" s="968"/>
      <c r="P289" s="969"/>
      <c r="Q289" s="970"/>
    </row>
    <row r="290" spans="1:17">
      <c r="A290" s="590"/>
      <c r="B290" s="591"/>
      <c r="C290" s="593"/>
      <c r="D290" s="592"/>
      <c r="E290" s="594"/>
      <c r="F290" s="595"/>
      <c r="K290" s="1004"/>
      <c r="L290" s="1005"/>
      <c r="M290" s="1006"/>
      <c r="N290" s="1007"/>
      <c r="O290" s="1008"/>
      <c r="P290" s="1066"/>
      <c r="Q290" s="1010"/>
    </row>
    <row r="291" spans="1:17" ht="52.8">
      <c r="A291" s="590" t="s">
        <v>378</v>
      </c>
      <c r="B291" s="591" t="s">
        <v>371</v>
      </c>
      <c r="C291" s="593"/>
      <c r="D291" s="592"/>
      <c r="E291" s="594"/>
      <c r="F291" s="595"/>
      <c r="K291" s="705">
        <f>K286+1</f>
        <v>47</v>
      </c>
      <c r="L291" s="705"/>
      <c r="M291" s="706" t="s">
        <v>392</v>
      </c>
      <c r="N291" s="1047"/>
      <c r="O291" s="1048"/>
      <c r="P291" s="1049"/>
      <c r="Q291" s="1050"/>
    </row>
    <row r="292" spans="1:17">
      <c r="A292" s="590"/>
      <c r="B292" s="597"/>
      <c r="C292" s="593"/>
      <c r="D292" s="592"/>
      <c r="E292" s="594"/>
      <c r="F292" s="595"/>
      <c r="K292" s="705"/>
      <c r="L292" s="705"/>
      <c r="M292" s="1051"/>
      <c r="N292" s="1047"/>
      <c r="O292" s="1048"/>
      <c r="P292" s="1049"/>
      <c r="Q292" s="1050"/>
    </row>
    <row r="293" spans="1:17">
      <c r="A293" s="590" t="s">
        <v>294</v>
      </c>
      <c r="B293" s="591" t="s">
        <v>368</v>
      </c>
      <c r="C293" s="593">
        <f>8*1</f>
        <v>8</v>
      </c>
      <c r="D293" s="592" t="s">
        <v>283</v>
      </c>
      <c r="E293" s="594"/>
      <c r="F293" s="595">
        <f>E293*C293</f>
        <v>0</v>
      </c>
      <c r="K293" s="705"/>
      <c r="L293" s="705" t="s">
        <v>294</v>
      </c>
      <c r="M293" s="706" t="s">
        <v>948</v>
      </c>
      <c r="N293" s="1047" t="s">
        <v>283</v>
      </c>
      <c r="O293" s="1048">
        <v>1</v>
      </c>
      <c r="P293" s="1049">
        <f>Elec_Est!E832</f>
        <v>165.9</v>
      </c>
      <c r="Q293" s="1050">
        <f>P293*O293</f>
        <v>165.9</v>
      </c>
    </row>
    <row r="294" spans="1:17">
      <c r="A294" s="590"/>
      <c r="B294" s="591"/>
      <c r="C294" s="593"/>
      <c r="D294" s="592"/>
      <c r="E294" s="594"/>
      <c r="F294" s="595"/>
      <c r="K294" s="705"/>
      <c r="L294" s="705"/>
      <c r="M294" s="706"/>
      <c r="N294" s="1047"/>
      <c r="O294" s="1048"/>
      <c r="P294" s="1049"/>
      <c r="Q294" s="1050"/>
    </row>
    <row r="295" spans="1:17">
      <c r="A295" s="590"/>
      <c r="B295" s="591"/>
      <c r="C295" s="593"/>
      <c r="D295" s="592"/>
      <c r="E295" s="594"/>
      <c r="F295" s="595"/>
      <c r="K295" s="705"/>
      <c r="L295" s="705" t="s">
        <v>339</v>
      </c>
      <c r="M295" s="706" t="s">
        <v>949</v>
      </c>
      <c r="N295" s="1047" t="s">
        <v>283</v>
      </c>
      <c r="O295" s="1048">
        <v>1</v>
      </c>
      <c r="P295" s="1049">
        <f>Elec_Est!E857</f>
        <v>165.9</v>
      </c>
      <c r="Q295" s="1050">
        <f>P295*O295</f>
        <v>165.9</v>
      </c>
    </row>
    <row r="296" spans="1:17">
      <c r="A296" s="590">
        <v>41</v>
      </c>
      <c r="B296" s="591" t="s">
        <v>312</v>
      </c>
      <c r="C296" s="593">
        <v>16</v>
      </c>
      <c r="D296" s="592" t="s">
        <v>283</v>
      </c>
      <c r="E296" s="594"/>
      <c r="F296" s="595">
        <f>E296*C296</f>
        <v>0</v>
      </c>
      <c r="K296" s="696"/>
      <c r="L296" s="696"/>
      <c r="M296" s="703"/>
      <c r="N296" s="967"/>
      <c r="O296" s="968"/>
      <c r="P296" s="969"/>
      <c r="Q296" s="970"/>
    </row>
    <row r="297" spans="1:17">
      <c r="A297" s="590"/>
      <c r="B297" s="591"/>
      <c r="C297" s="593"/>
      <c r="D297" s="592"/>
      <c r="E297" s="594"/>
      <c r="F297" s="595"/>
      <c r="K297" s="696"/>
      <c r="L297" s="696"/>
      <c r="M297" s="703"/>
      <c r="N297" s="967"/>
      <c r="O297" s="968"/>
      <c r="P297" s="969"/>
      <c r="Q297" s="970"/>
    </row>
    <row r="298" spans="1:17">
      <c r="A298" s="590"/>
      <c r="B298" s="591"/>
      <c r="C298" s="593"/>
      <c r="D298" s="592"/>
      <c r="E298" s="594"/>
      <c r="F298" s="595"/>
      <c r="K298" s="696">
        <f>K291+1</f>
        <v>48</v>
      </c>
      <c r="L298" s="696"/>
      <c r="M298" s="703" t="s">
        <v>300</v>
      </c>
      <c r="N298" s="967"/>
      <c r="O298" s="968"/>
      <c r="P298" s="969"/>
      <c r="Q298" s="970"/>
    </row>
    <row r="299" spans="1:17">
      <c r="A299" s="590"/>
      <c r="B299" s="591"/>
      <c r="C299" s="593"/>
      <c r="D299" s="592"/>
      <c r="E299" s="594"/>
      <c r="F299" s="595"/>
      <c r="K299" s="696"/>
      <c r="L299" s="696"/>
      <c r="M299" s="697"/>
      <c r="N299" s="967"/>
      <c r="O299" s="968"/>
      <c r="P299" s="969"/>
      <c r="Q299" s="970"/>
    </row>
    <row r="300" spans="1:17">
      <c r="A300" s="590">
        <v>42</v>
      </c>
      <c r="B300" s="591" t="s">
        <v>313</v>
      </c>
      <c r="C300" s="593">
        <f>8*2</f>
        <v>16</v>
      </c>
      <c r="D300" s="592" t="s">
        <v>283</v>
      </c>
      <c r="E300" s="594"/>
      <c r="F300" s="595">
        <f>E300*C300</f>
        <v>0</v>
      </c>
      <c r="K300" s="696"/>
      <c r="L300" s="696" t="s">
        <v>294</v>
      </c>
      <c r="M300" s="703" t="s">
        <v>301</v>
      </c>
      <c r="N300" s="967" t="s">
        <v>283</v>
      </c>
      <c r="O300" s="968">
        <f>2*2</f>
        <v>4</v>
      </c>
      <c r="P300" s="969"/>
      <c r="Q300" s="970">
        <f>P300*O300</f>
        <v>0</v>
      </c>
    </row>
    <row r="301" spans="1:17">
      <c r="A301" s="590"/>
      <c r="B301" s="591"/>
      <c r="C301" s="593"/>
      <c r="D301" s="592"/>
      <c r="E301" s="594"/>
      <c r="F301" s="595"/>
      <c r="K301" s="696"/>
      <c r="L301" s="696"/>
      <c r="M301" s="703"/>
      <c r="N301" s="967"/>
      <c r="O301" s="968"/>
      <c r="P301" s="969"/>
      <c r="Q301" s="970"/>
    </row>
    <row r="302" spans="1:17">
      <c r="A302" s="590"/>
      <c r="B302" s="591"/>
      <c r="C302" s="593"/>
      <c r="D302" s="592"/>
      <c r="E302" s="594"/>
      <c r="F302" s="595"/>
      <c r="K302" s="696"/>
      <c r="L302" s="696"/>
      <c r="M302" s="703"/>
      <c r="N302" s="967"/>
      <c r="O302" s="968"/>
      <c r="P302" s="969"/>
      <c r="Q302" s="970"/>
    </row>
    <row r="303" spans="1:17" s="658" customFormat="1">
      <c r="A303" s="590">
        <v>43</v>
      </c>
      <c r="B303" s="591" t="s">
        <v>314</v>
      </c>
      <c r="C303" s="593">
        <f>8*2</f>
        <v>16</v>
      </c>
      <c r="D303" s="592" t="s">
        <v>283</v>
      </c>
      <c r="E303" s="594"/>
      <c r="F303" s="595">
        <f>E303*C303</f>
        <v>0</v>
      </c>
      <c r="K303" s="696">
        <f>K298+1</f>
        <v>49</v>
      </c>
      <c r="L303" s="696"/>
      <c r="M303" s="1032" t="s">
        <v>341</v>
      </c>
      <c r="N303" s="967"/>
      <c r="O303" s="968"/>
      <c r="P303" s="969"/>
      <c r="Q303" s="970"/>
    </row>
    <row r="304" spans="1:17" s="658" customFormat="1">
      <c r="A304" s="590"/>
      <c r="B304" s="591"/>
      <c r="C304" s="593"/>
      <c r="D304" s="592"/>
      <c r="E304" s="594"/>
      <c r="F304" s="595"/>
      <c r="K304" s="696"/>
      <c r="L304" s="696"/>
      <c r="M304" s="697"/>
      <c r="N304" s="967"/>
      <c r="O304" s="968"/>
      <c r="P304" s="969"/>
      <c r="Q304" s="970"/>
    </row>
    <row r="305" spans="1:17" s="658" customFormat="1">
      <c r="A305" s="590"/>
      <c r="B305" s="591"/>
      <c r="C305" s="593"/>
      <c r="D305" s="592"/>
      <c r="E305" s="594"/>
      <c r="F305" s="595"/>
      <c r="K305" s="696"/>
      <c r="L305" s="696" t="s">
        <v>294</v>
      </c>
      <c r="M305" s="703" t="s">
        <v>301</v>
      </c>
      <c r="N305" s="967" t="s">
        <v>283</v>
      </c>
      <c r="O305" s="968">
        <v>1</v>
      </c>
      <c r="P305" s="969"/>
      <c r="Q305" s="970">
        <f>P305*O305</f>
        <v>0</v>
      </c>
    </row>
    <row r="306" spans="1:17" ht="39.6">
      <c r="A306" s="590" t="s">
        <v>379</v>
      </c>
      <c r="B306" s="591" t="s">
        <v>380</v>
      </c>
      <c r="C306" s="593"/>
      <c r="D306" s="592"/>
      <c r="E306" s="594"/>
      <c r="F306" s="595"/>
      <c r="K306" s="696"/>
      <c r="L306" s="696"/>
      <c r="M306" s="703"/>
      <c r="N306" s="967"/>
      <c r="O306" s="968"/>
      <c r="P306" s="969"/>
      <c r="Q306" s="970"/>
    </row>
    <row r="307" spans="1:17">
      <c r="A307" s="590"/>
      <c r="B307" s="591"/>
      <c r="C307" s="593"/>
      <c r="D307" s="592"/>
      <c r="E307" s="594"/>
      <c r="F307" s="595"/>
      <c r="K307" s="696"/>
      <c r="L307" s="696"/>
      <c r="M307" s="703"/>
      <c r="N307" s="967"/>
      <c r="O307" s="968"/>
      <c r="P307" s="969"/>
      <c r="Q307" s="970"/>
    </row>
    <row r="308" spans="1:17" ht="52.8">
      <c r="A308" s="590" t="s">
        <v>294</v>
      </c>
      <c r="B308" s="591" t="s">
        <v>381</v>
      </c>
      <c r="C308" s="593">
        <v>2</v>
      </c>
      <c r="D308" s="592" t="s">
        <v>283</v>
      </c>
      <c r="E308" s="594"/>
      <c r="F308" s="595">
        <f>E308*C308</f>
        <v>0</v>
      </c>
      <c r="K308" s="1031">
        <f>K303+1</f>
        <v>50</v>
      </c>
      <c r="L308" s="696"/>
      <c r="M308" s="1032" t="s">
        <v>342</v>
      </c>
      <c r="N308" s="967"/>
      <c r="O308" s="968"/>
      <c r="P308" s="969"/>
      <c r="Q308" s="970"/>
    </row>
    <row r="309" spans="1:17">
      <c r="A309" s="590"/>
      <c r="B309" s="591"/>
      <c r="C309" s="593"/>
      <c r="D309" s="592"/>
      <c r="E309" s="594"/>
      <c r="F309" s="595"/>
      <c r="K309" s="696"/>
      <c r="L309" s="696"/>
      <c r="M309" s="697"/>
      <c r="N309" s="967"/>
      <c r="O309" s="968"/>
      <c r="P309" s="969"/>
      <c r="Q309" s="970"/>
    </row>
    <row r="310" spans="1:17">
      <c r="A310" s="590"/>
      <c r="B310" s="591"/>
      <c r="C310" s="593"/>
      <c r="D310" s="592"/>
      <c r="E310" s="594"/>
      <c r="F310" s="595"/>
      <c r="K310" s="696"/>
      <c r="L310" s="696" t="s">
        <v>294</v>
      </c>
      <c r="M310" s="703" t="s">
        <v>301</v>
      </c>
      <c r="N310" s="967" t="s">
        <v>283</v>
      </c>
      <c r="O310" s="968">
        <f>1*2</f>
        <v>2</v>
      </c>
      <c r="P310" s="970"/>
      <c r="Q310" s="970">
        <f>P310*O310</f>
        <v>0</v>
      </c>
    </row>
    <row r="311" spans="1:17">
      <c r="A311" s="590"/>
      <c r="B311" s="591"/>
      <c r="C311" s="593"/>
      <c r="D311" s="592"/>
      <c r="E311" s="594"/>
      <c r="F311" s="595"/>
      <c r="K311" s="696"/>
      <c r="L311" s="696"/>
      <c r="M311" s="703"/>
      <c r="N311" s="967"/>
      <c r="O311" s="968"/>
      <c r="P311" s="969"/>
      <c r="Q311" s="970"/>
    </row>
    <row r="312" spans="1:17">
      <c r="A312" s="590"/>
      <c r="B312" s="591"/>
      <c r="C312" s="593"/>
      <c r="D312" s="592"/>
      <c r="E312" s="594"/>
      <c r="F312" s="595"/>
      <c r="K312" s="696"/>
      <c r="L312" s="696"/>
      <c r="M312" s="703"/>
      <c r="N312" s="967"/>
      <c r="O312" s="968"/>
      <c r="P312" s="969"/>
      <c r="Q312" s="970"/>
    </row>
    <row r="313" spans="1:17">
      <c r="A313" s="590"/>
      <c r="B313" s="591"/>
      <c r="C313" s="593"/>
      <c r="D313" s="592"/>
      <c r="E313" s="594"/>
      <c r="F313" s="595"/>
      <c r="K313" s="1031">
        <f>K308+1</f>
        <v>51</v>
      </c>
      <c r="L313" s="696"/>
      <c r="M313" s="1032" t="s">
        <v>399</v>
      </c>
      <c r="N313" s="967"/>
      <c r="O313" s="968"/>
      <c r="P313" s="969"/>
      <c r="Q313" s="970"/>
    </row>
    <row r="314" spans="1:17" ht="26.4">
      <c r="A314" s="603" t="s">
        <v>382</v>
      </c>
      <c r="B314" s="604" t="s">
        <v>350</v>
      </c>
      <c r="C314" s="640"/>
      <c r="D314" s="641"/>
      <c r="E314" s="642"/>
      <c r="F314" s="643"/>
      <c r="K314" s="696"/>
      <c r="L314" s="696"/>
      <c r="M314" s="697"/>
      <c r="N314" s="967"/>
      <c r="O314" s="968"/>
      <c r="P314" s="969"/>
      <c r="Q314" s="970"/>
    </row>
    <row r="315" spans="1:17">
      <c r="A315" s="603"/>
      <c r="B315" s="604"/>
      <c r="C315" s="640"/>
      <c r="D315" s="641"/>
      <c r="E315" s="642"/>
      <c r="F315" s="643"/>
      <c r="K315" s="696"/>
      <c r="L315" s="696" t="s">
        <v>294</v>
      </c>
      <c r="M315" s="703" t="s">
        <v>301</v>
      </c>
      <c r="N315" s="967" t="s">
        <v>283</v>
      </c>
      <c r="O315" s="968">
        <f>1*2</f>
        <v>2</v>
      </c>
      <c r="P315" s="969"/>
      <c r="Q315" s="970">
        <f>P315*O315</f>
        <v>0</v>
      </c>
    </row>
    <row r="316" spans="1:17">
      <c r="A316" s="603" t="s">
        <v>294</v>
      </c>
      <c r="B316" s="604" t="s">
        <v>383</v>
      </c>
      <c r="C316" s="640">
        <v>1</v>
      </c>
      <c r="D316" s="641" t="s">
        <v>283</v>
      </c>
      <c r="E316" s="642" t="e">
        <f>Elec_Est!#REF!</f>
        <v>#REF!</v>
      </c>
      <c r="F316" s="643" t="s">
        <v>384</v>
      </c>
      <c r="G316" s="573">
        <v>2</v>
      </c>
      <c r="K316" s="696"/>
      <c r="L316" s="696"/>
      <c r="M316" s="703"/>
      <c r="N316" s="967"/>
      <c r="O316" s="968"/>
      <c r="P316" s="969"/>
      <c r="Q316" s="970"/>
    </row>
    <row r="317" spans="1:17">
      <c r="A317" s="590"/>
      <c r="B317" s="591"/>
      <c r="C317" s="593"/>
      <c r="D317" s="592"/>
      <c r="E317" s="594"/>
      <c r="F317" s="595"/>
      <c r="K317" s="696"/>
      <c r="L317" s="696"/>
      <c r="M317" s="703"/>
      <c r="N317" s="967"/>
      <c r="O317" s="968"/>
      <c r="P317" s="969"/>
      <c r="Q317" s="970"/>
    </row>
    <row r="318" spans="1:17" ht="15" thickBot="1">
      <c r="A318" s="590"/>
      <c r="B318" s="591"/>
      <c r="C318" s="593"/>
      <c r="D318" s="592"/>
      <c r="E318" s="594"/>
      <c r="F318" s="595"/>
      <c r="K318" s="696"/>
      <c r="L318" s="696"/>
      <c r="M318" s="1040"/>
      <c r="N318" s="967"/>
      <c r="O318" s="1041"/>
      <c r="P318" s="969"/>
      <c r="Q318" s="970"/>
    </row>
    <row r="319" spans="1:17" ht="26.4">
      <c r="A319" s="590" t="s">
        <v>385</v>
      </c>
      <c r="B319" s="591" t="s">
        <v>355</v>
      </c>
      <c r="C319" s="593"/>
      <c r="D319" s="592"/>
      <c r="E319" s="594"/>
      <c r="F319" s="595"/>
      <c r="K319" s="1014"/>
      <c r="L319" s="1014"/>
      <c r="M319" s="1015"/>
      <c r="N319" s="1016"/>
      <c r="O319" s="1017"/>
      <c r="P319" s="1061"/>
      <c r="Q319" s="1019"/>
    </row>
    <row r="320" spans="1:17">
      <c r="A320" s="590"/>
      <c r="B320" s="591"/>
      <c r="C320" s="593"/>
      <c r="D320" s="592"/>
      <c r="E320" s="594"/>
      <c r="F320" s="595"/>
      <c r="K320" s="1020"/>
      <c r="L320" s="1020"/>
      <c r="M320" s="1021" t="s">
        <v>289</v>
      </c>
      <c r="N320" s="1022"/>
      <c r="O320" s="1023"/>
      <c r="P320" s="1062"/>
      <c r="Q320" s="1010">
        <f>SUM(Q274:Q318)</f>
        <v>331.8</v>
      </c>
    </row>
    <row r="321" spans="1:17">
      <c r="A321" s="590" t="s">
        <v>294</v>
      </c>
      <c r="B321" s="591" t="s">
        <v>295</v>
      </c>
      <c r="C321" s="593">
        <f>90*2</f>
        <v>180</v>
      </c>
      <c r="D321" s="592" t="s">
        <v>296</v>
      </c>
      <c r="E321" s="594"/>
      <c r="F321" s="595">
        <f>E321*C321</f>
        <v>0</v>
      </c>
      <c r="K321" s="1025"/>
      <c r="L321" s="1025"/>
      <c r="M321" s="1026"/>
      <c r="N321" s="1027"/>
      <c r="O321" s="1028"/>
      <c r="P321" s="1063"/>
      <c r="Q321" s="1030"/>
    </row>
    <row r="322" spans="1:17" ht="17.399999999999999">
      <c r="A322" s="590"/>
      <c r="B322" s="591"/>
      <c r="C322" s="593"/>
      <c r="D322" s="592"/>
      <c r="E322" s="594"/>
      <c r="F322" s="595"/>
      <c r="K322" s="980"/>
      <c r="L322" s="981"/>
      <c r="M322" s="982"/>
      <c r="N322" s="982"/>
      <c r="O322" s="983"/>
      <c r="P322" s="1064"/>
      <c r="Q322" s="985"/>
    </row>
    <row r="323" spans="1:17">
      <c r="A323" s="590"/>
      <c r="B323" s="591"/>
      <c r="C323" s="593"/>
      <c r="D323" s="592"/>
      <c r="E323" s="594"/>
      <c r="F323" s="595"/>
      <c r="K323" s="986"/>
      <c r="L323" s="987"/>
      <c r="M323" s="988"/>
      <c r="N323" s="988"/>
      <c r="O323" s="989"/>
      <c r="P323" s="1059"/>
      <c r="Q323" s="991"/>
    </row>
    <row r="324" spans="1:17">
      <c r="A324" s="590" t="s">
        <v>386</v>
      </c>
      <c r="B324" s="591" t="s">
        <v>300</v>
      </c>
      <c r="C324" s="593"/>
      <c r="D324" s="592"/>
      <c r="E324" s="594"/>
      <c r="F324" s="595"/>
      <c r="K324" s="986"/>
      <c r="L324" s="987"/>
      <c r="M324" s="988"/>
      <c r="N324" s="988"/>
      <c r="O324" s="989"/>
      <c r="P324" s="1059"/>
      <c r="Q324" s="991"/>
    </row>
    <row r="325" spans="1:17">
      <c r="A325" s="590"/>
      <c r="B325" s="597"/>
      <c r="C325" s="593"/>
      <c r="D325" s="592"/>
      <c r="E325" s="594"/>
      <c r="F325" s="595"/>
      <c r="K325" s="992"/>
      <c r="L325" s="993"/>
      <c r="M325" s="543"/>
      <c r="N325" s="543"/>
      <c r="O325" s="994"/>
      <c r="P325" s="1059"/>
      <c r="Q325" s="996"/>
    </row>
    <row r="326" spans="1:17" ht="15" thickBot="1">
      <c r="A326" s="590" t="s">
        <v>294</v>
      </c>
      <c r="B326" s="591" t="s">
        <v>301</v>
      </c>
      <c r="C326" s="593">
        <v>4</v>
      </c>
      <c r="D326" s="592" t="s">
        <v>283</v>
      </c>
      <c r="E326" s="594"/>
      <c r="F326" s="595">
        <f>E326*C326</f>
        <v>0</v>
      </c>
      <c r="K326" s="997" t="s">
        <v>276</v>
      </c>
      <c r="L326" s="998" t="s">
        <v>887</v>
      </c>
      <c r="M326" s="999"/>
      <c r="N326" s="1000" t="s">
        <v>266</v>
      </c>
      <c r="O326" s="1001" t="s">
        <v>277</v>
      </c>
      <c r="P326" s="1060" t="s">
        <v>278</v>
      </c>
      <c r="Q326" s="1003" t="s">
        <v>267</v>
      </c>
    </row>
    <row r="327" spans="1:17">
      <c r="A327" s="590"/>
      <c r="B327" s="591"/>
      <c r="C327" s="593"/>
      <c r="D327" s="592"/>
      <c r="E327" s="594"/>
      <c r="F327" s="595"/>
      <c r="K327" s="1004"/>
      <c r="L327" s="1005"/>
      <c r="M327" s="1006"/>
      <c r="N327" s="1007"/>
      <c r="O327" s="1008"/>
      <c r="P327" s="1066"/>
      <c r="Q327" s="1010"/>
    </row>
    <row r="328" spans="1:17">
      <c r="A328" s="590"/>
      <c r="B328" s="591"/>
      <c r="C328" s="593"/>
      <c r="D328" s="592"/>
      <c r="E328" s="594"/>
      <c r="F328" s="595"/>
      <c r="K328" s="696">
        <f>K313+1</f>
        <v>52</v>
      </c>
      <c r="L328" s="696"/>
      <c r="M328" s="703" t="s">
        <v>311</v>
      </c>
      <c r="N328" s="967" t="s">
        <v>283</v>
      </c>
      <c r="O328" s="968">
        <v>2</v>
      </c>
      <c r="P328" s="969"/>
      <c r="Q328" s="970">
        <f>P328*O328</f>
        <v>0</v>
      </c>
    </row>
    <row r="329" spans="1:17">
      <c r="A329" s="590"/>
      <c r="B329" s="591"/>
      <c r="C329" s="593"/>
      <c r="D329" s="592"/>
      <c r="E329" s="594"/>
      <c r="F329" s="595"/>
      <c r="K329" s="696"/>
      <c r="L329" s="696"/>
      <c r="M329" s="703"/>
      <c r="N329" s="967"/>
      <c r="O329" s="968"/>
      <c r="P329" s="969"/>
      <c r="Q329" s="970"/>
    </row>
    <row r="330" spans="1:17">
      <c r="A330" s="590"/>
      <c r="B330" s="591"/>
      <c r="C330" s="593"/>
      <c r="D330" s="592"/>
      <c r="E330" s="594"/>
      <c r="F330" s="595"/>
      <c r="K330" s="696"/>
      <c r="L330" s="696"/>
      <c r="M330" s="703"/>
      <c r="N330" s="967"/>
      <c r="O330" s="968"/>
      <c r="P330" s="969"/>
      <c r="Q330" s="970"/>
    </row>
    <row r="331" spans="1:17" ht="40.200000000000003" thickBot="1">
      <c r="A331" s="590"/>
      <c r="B331" s="611"/>
      <c r="C331" s="593"/>
      <c r="D331" s="592"/>
      <c r="E331" s="594"/>
      <c r="F331" s="595"/>
      <c r="K331" s="696">
        <f>K328+1</f>
        <v>53</v>
      </c>
      <c r="L331" s="696"/>
      <c r="M331" s="703" t="s">
        <v>950</v>
      </c>
      <c r="N331" s="967"/>
      <c r="O331" s="968"/>
      <c r="P331" s="969"/>
      <c r="Q331" s="970"/>
    </row>
    <row r="332" spans="1:17">
      <c r="A332" s="612"/>
      <c r="B332" s="613"/>
      <c r="C332" s="615"/>
      <c r="D332" s="614"/>
      <c r="E332" s="653"/>
      <c r="F332" s="617"/>
      <c r="K332" s="696"/>
      <c r="L332" s="696"/>
      <c r="M332" s="703"/>
      <c r="N332" s="967"/>
      <c r="O332" s="968"/>
      <c r="P332" s="969"/>
      <c r="Q332" s="970"/>
    </row>
    <row r="333" spans="1:17">
      <c r="A333" s="618" t="s">
        <v>310</v>
      </c>
      <c r="B333" s="619" t="s">
        <v>289</v>
      </c>
      <c r="C333" s="621"/>
      <c r="D333" s="620"/>
      <c r="E333" s="654"/>
      <c r="F333" s="623">
        <f>SUM(F285:F331)</f>
        <v>0</v>
      </c>
      <c r="H333" s="645"/>
      <c r="K333" s="696"/>
      <c r="L333" s="696" t="s">
        <v>294</v>
      </c>
      <c r="M333" s="703" t="s">
        <v>295</v>
      </c>
      <c r="N333" s="967" t="s">
        <v>296</v>
      </c>
      <c r="O333" s="968">
        <v>10</v>
      </c>
      <c r="P333" s="969"/>
      <c r="Q333" s="970">
        <f>P333*O333</f>
        <v>0</v>
      </c>
    </row>
    <row r="334" spans="1:17">
      <c r="A334" s="624"/>
      <c r="B334" s="625"/>
      <c r="C334" s="627"/>
      <c r="D334" s="626"/>
      <c r="E334" s="655"/>
      <c r="F334" s="629"/>
      <c r="K334" s="696"/>
      <c r="L334" s="696"/>
      <c r="M334" s="703"/>
      <c r="N334" s="967"/>
      <c r="O334" s="968"/>
      <c r="P334" s="969"/>
      <c r="Q334" s="970"/>
    </row>
    <row r="335" spans="1:17" ht="17.399999999999999">
      <c r="A335" s="568"/>
      <c r="B335" s="569"/>
      <c r="C335" s="570"/>
      <c r="D335" s="569"/>
      <c r="E335" s="656"/>
      <c r="F335" s="572"/>
      <c r="K335" s="696"/>
      <c r="L335" s="696"/>
      <c r="M335" s="703"/>
      <c r="N335" s="967"/>
      <c r="O335" s="968"/>
      <c r="P335" s="969"/>
      <c r="Q335" s="970"/>
    </row>
    <row r="336" spans="1:17">
      <c r="A336" s="574"/>
      <c r="B336" s="575"/>
      <c r="C336" s="576"/>
      <c r="D336" s="575"/>
      <c r="E336" s="648"/>
      <c r="F336" s="578"/>
      <c r="K336" s="696">
        <f>K331+1</f>
        <v>54</v>
      </c>
      <c r="L336" s="696"/>
      <c r="M336" s="703" t="s">
        <v>300</v>
      </c>
      <c r="N336" s="967"/>
      <c r="O336" s="968"/>
      <c r="P336" s="969"/>
      <c r="Q336" s="970"/>
    </row>
    <row r="337" spans="1:17">
      <c r="A337" s="574"/>
      <c r="B337" s="575"/>
      <c r="C337" s="576"/>
      <c r="D337" s="575"/>
      <c r="E337" s="648"/>
      <c r="F337" s="578"/>
      <c r="K337" s="696"/>
      <c r="L337" s="696"/>
      <c r="M337" s="697"/>
      <c r="N337" s="967"/>
      <c r="O337" s="968"/>
      <c r="P337" s="969"/>
      <c r="Q337" s="970"/>
    </row>
    <row r="338" spans="1:17">
      <c r="A338" s="579"/>
      <c r="B338" s="580"/>
      <c r="C338" s="581"/>
      <c r="D338" s="580"/>
      <c r="E338" s="648"/>
      <c r="F338" s="583"/>
      <c r="K338" s="696"/>
      <c r="L338" s="696" t="s">
        <v>294</v>
      </c>
      <c r="M338" s="703" t="s">
        <v>301</v>
      </c>
      <c r="N338" s="967" t="s">
        <v>283</v>
      </c>
      <c r="O338" s="968">
        <v>2</v>
      </c>
      <c r="P338" s="969"/>
      <c r="Q338" s="970">
        <f>P338*O338</f>
        <v>0</v>
      </c>
    </row>
    <row r="339" spans="1:17" ht="15" thickBot="1">
      <c r="A339" s="584" t="s">
        <v>276</v>
      </c>
      <c r="B339" s="585"/>
      <c r="C339" s="587" t="s">
        <v>277</v>
      </c>
      <c r="D339" s="586" t="s">
        <v>266</v>
      </c>
      <c r="E339" s="649" t="s">
        <v>278</v>
      </c>
      <c r="F339" s="589" t="s">
        <v>267</v>
      </c>
      <c r="K339" s="696"/>
      <c r="L339" s="696"/>
      <c r="M339" s="703"/>
      <c r="N339" s="967"/>
      <c r="O339" s="968"/>
      <c r="P339" s="969"/>
      <c r="Q339" s="970"/>
    </row>
    <row r="340" spans="1:17">
      <c r="A340" s="634"/>
      <c r="B340" s="635"/>
      <c r="C340" s="636"/>
      <c r="D340" s="637"/>
      <c r="E340" s="659"/>
      <c r="F340" s="623"/>
      <c r="K340" s="696"/>
      <c r="L340" s="696"/>
      <c r="M340" s="703"/>
      <c r="N340" s="967"/>
      <c r="O340" s="968"/>
      <c r="P340" s="969"/>
      <c r="Q340" s="970"/>
    </row>
    <row r="341" spans="1:17" ht="39.6">
      <c r="A341" s="590">
        <v>48</v>
      </c>
      <c r="B341" s="591" t="s">
        <v>387</v>
      </c>
      <c r="C341" s="593">
        <v>1</v>
      </c>
      <c r="D341" s="592" t="s">
        <v>283</v>
      </c>
      <c r="E341" s="594"/>
      <c r="F341" s="595">
        <f>E341*C341</f>
        <v>0</v>
      </c>
      <c r="K341" s="696"/>
      <c r="L341" s="696"/>
      <c r="M341" s="697"/>
      <c r="N341" s="967"/>
      <c r="O341" s="968"/>
      <c r="P341" s="969"/>
      <c r="Q341" s="970"/>
    </row>
    <row r="342" spans="1:17">
      <c r="A342" s="590"/>
      <c r="B342" s="591"/>
      <c r="C342" s="593"/>
      <c r="D342" s="592"/>
      <c r="E342" s="594"/>
      <c r="F342" s="595"/>
      <c r="K342" s="696"/>
      <c r="L342" s="696"/>
      <c r="M342" s="703"/>
      <c r="N342" s="967"/>
      <c r="O342" s="968"/>
      <c r="P342" s="969"/>
      <c r="Q342" s="970"/>
    </row>
    <row r="343" spans="1:17">
      <c r="A343" s="652"/>
      <c r="B343" s="591"/>
      <c r="C343" s="593"/>
      <c r="D343" s="592"/>
      <c r="E343" s="594"/>
      <c r="F343" s="595"/>
      <c r="K343" s="696"/>
      <c r="L343" s="696"/>
      <c r="M343" s="703"/>
      <c r="N343" s="967"/>
      <c r="O343" s="968"/>
      <c r="P343" s="969"/>
      <c r="Q343" s="970"/>
    </row>
    <row r="344" spans="1:17" s="658" customFormat="1">
      <c r="A344" s="590">
        <v>49</v>
      </c>
      <c r="B344" s="591" t="s">
        <v>312</v>
      </c>
      <c r="C344" s="593">
        <v>4</v>
      </c>
      <c r="D344" s="592" t="s">
        <v>283</v>
      </c>
      <c r="E344" s="594"/>
      <c r="F344" s="595">
        <f>E344*C344</f>
        <v>0</v>
      </c>
      <c r="K344" s="1004"/>
      <c r="L344" s="1005"/>
      <c r="M344" s="1006"/>
      <c r="N344" s="1007"/>
      <c r="O344" s="1008"/>
      <c r="P344" s="1066"/>
      <c r="Q344" s="1010"/>
    </row>
    <row r="345" spans="1:17" s="658" customFormat="1">
      <c r="A345" s="590"/>
      <c r="B345" s="591"/>
      <c r="C345" s="593"/>
      <c r="D345" s="592"/>
      <c r="E345" s="594"/>
      <c r="F345" s="595"/>
      <c r="K345" s="696"/>
      <c r="L345" s="696"/>
      <c r="M345" s="703"/>
      <c r="N345" s="967"/>
      <c r="O345" s="968"/>
      <c r="P345" s="969"/>
      <c r="Q345" s="970"/>
    </row>
    <row r="346" spans="1:17">
      <c r="A346" s="590"/>
      <c r="B346" s="591"/>
      <c r="C346" s="593"/>
      <c r="D346" s="592"/>
      <c r="E346" s="594"/>
      <c r="F346" s="595"/>
      <c r="K346" s="696"/>
      <c r="L346" s="696"/>
      <c r="M346" s="697"/>
      <c r="N346" s="967"/>
      <c r="O346" s="968"/>
      <c r="P346" s="969"/>
      <c r="Q346" s="970"/>
    </row>
    <row r="347" spans="1:17" ht="39.6">
      <c r="A347" s="590" t="s">
        <v>388</v>
      </c>
      <c r="B347" s="591" t="s">
        <v>389</v>
      </c>
      <c r="C347" s="593"/>
      <c r="D347" s="592"/>
      <c r="E347" s="594"/>
      <c r="F347" s="595"/>
      <c r="K347" s="696"/>
      <c r="L347" s="696"/>
      <c r="M347" s="703"/>
      <c r="N347" s="967"/>
      <c r="O347" s="968"/>
      <c r="P347" s="969"/>
      <c r="Q347" s="970"/>
    </row>
    <row r="348" spans="1:17">
      <c r="A348" s="590"/>
      <c r="B348" s="591"/>
      <c r="C348" s="593"/>
      <c r="D348" s="592"/>
      <c r="E348" s="594"/>
      <c r="F348" s="595"/>
      <c r="K348" s="696"/>
      <c r="L348" s="696"/>
      <c r="M348" s="703"/>
      <c r="N348" s="967"/>
      <c r="O348" s="968"/>
      <c r="P348" s="969"/>
      <c r="Q348" s="970"/>
    </row>
    <row r="349" spans="1:17">
      <c r="A349" s="590" t="s">
        <v>294</v>
      </c>
      <c r="B349" s="591" t="s">
        <v>295</v>
      </c>
      <c r="C349" s="593">
        <f>10*2</f>
        <v>20</v>
      </c>
      <c r="D349" s="592" t="s">
        <v>296</v>
      </c>
      <c r="E349" s="594"/>
      <c r="F349" s="595">
        <f>E349*C349</f>
        <v>0</v>
      </c>
      <c r="K349" s="696"/>
      <c r="L349" s="696"/>
      <c r="M349" s="703"/>
      <c r="N349" s="967"/>
      <c r="O349" s="968"/>
      <c r="P349" s="969"/>
      <c r="Q349" s="970"/>
    </row>
    <row r="350" spans="1:17">
      <c r="A350" s="590"/>
      <c r="B350" s="591"/>
      <c r="C350" s="593"/>
      <c r="D350" s="592"/>
      <c r="E350" s="594"/>
      <c r="F350" s="595"/>
      <c r="K350" s="696"/>
      <c r="L350" s="696"/>
      <c r="M350" s="703"/>
      <c r="N350" s="967"/>
      <c r="O350" s="968"/>
      <c r="P350" s="969"/>
      <c r="Q350" s="970"/>
    </row>
    <row r="351" spans="1:17">
      <c r="A351" s="590"/>
      <c r="B351" s="591"/>
      <c r="C351" s="593"/>
      <c r="D351" s="592"/>
      <c r="E351" s="594"/>
      <c r="F351" s="595"/>
      <c r="K351" s="696"/>
      <c r="L351" s="696"/>
      <c r="M351" s="703"/>
      <c r="N351" s="967"/>
      <c r="O351" s="968"/>
      <c r="P351" s="969"/>
      <c r="Q351" s="970"/>
    </row>
    <row r="352" spans="1:17">
      <c r="A352" s="590" t="s">
        <v>390</v>
      </c>
      <c r="B352" s="591" t="s">
        <v>300</v>
      </c>
      <c r="C352" s="593"/>
      <c r="D352" s="592"/>
      <c r="E352" s="594"/>
      <c r="F352" s="595"/>
      <c r="K352" s="696"/>
      <c r="L352" s="696"/>
      <c r="M352" s="703"/>
      <c r="N352" s="967"/>
      <c r="O352" s="968"/>
      <c r="P352" s="969"/>
      <c r="Q352" s="970"/>
    </row>
    <row r="353" spans="1:17">
      <c r="A353" s="590"/>
      <c r="B353" s="597"/>
      <c r="C353" s="593"/>
      <c r="D353" s="592"/>
      <c r="E353" s="594"/>
      <c r="F353" s="595"/>
      <c r="K353" s="696"/>
      <c r="L353" s="696"/>
      <c r="M353" s="697"/>
      <c r="N353" s="967"/>
      <c r="O353" s="968"/>
      <c r="P353" s="969"/>
      <c r="Q353" s="970"/>
    </row>
    <row r="354" spans="1:17">
      <c r="A354" s="590" t="s">
        <v>294</v>
      </c>
      <c r="B354" s="591" t="s">
        <v>301</v>
      </c>
      <c r="C354" s="593">
        <f>2*2</f>
        <v>4</v>
      </c>
      <c r="D354" s="592" t="s">
        <v>283</v>
      </c>
      <c r="E354" s="594"/>
      <c r="F354" s="595">
        <f>E354*C354</f>
        <v>0</v>
      </c>
      <c r="K354" s="696"/>
      <c r="L354" s="696"/>
      <c r="M354" s="703"/>
      <c r="N354" s="967"/>
      <c r="O354" s="968"/>
      <c r="P354" s="969"/>
      <c r="Q354" s="970"/>
    </row>
    <row r="355" spans="1:17">
      <c r="A355" s="590"/>
      <c r="B355" s="591"/>
      <c r="C355" s="593"/>
      <c r="D355" s="592"/>
      <c r="E355" s="594"/>
      <c r="F355" s="595"/>
      <c r="K355" s="696"/>
      <c r="L355" s="696"/>
      <c r="M355" s="703"/>
      <c r="N355" s="967"/>
      <c r="O355" s="968"/>
      <c r="P355" s="969"/>
      <c r="Q355" s="970"/>
    </row>
    <row r="356" spans="1:17">
      <c r="A356" s="634"/>
      <c r="B356" s="635"/>
      <c r="C356" s="636"/>
      <c r="D356" s="637"/>
      <c r="E356" s="659"/>
      <c r="F356" s="623"/>
      <c r="K356" s="696"/>
      <c r="L356" s="696"/>
      <c r="M356" s="703"/>
      <c r="N356" s="967"/>
      <c r="O356" s="968"/>
      <c r="P356" s="969"/>
      <c r="Q356" s="970"/>
    </row>
    <row r="357" spans="1:17" ht="52.8">
      <c r="A357" s="603" t="s">
        <v>391</v>
      </c>
      <c r="B357" s="604" t="s">
        <v>392</v>
      </c>
      <c r="C357" s="640"/>
      <c r="D357" s="641"/>
      <c r="E357" s="642"/>
      <c r="F357" s="643"/>
      <c r="K357" s="696"/>
      <c r="L357" s="696"/>
      <c r="M357" s="1032"/>
      <c r="N357" s="967"/>
      <c r="O357" s="968"/>
      <c r="P357" s="969"/>
      <c r="Q357" s="970"/>
    </row>
    <row r="358" spans="1:17">
      <c r="A358" s="603"/>
      <c r="B358" s="644"/>
      <c r="C358" s="640"/>
      <c r="D358" s="641"/>
      <c r="E358" s="642"/>
      <c r="F358" s="643"/>
      <c r="K358" s="696"/>
      <c r="L358" s="696"/>
      <c r="M358" s="697"/>
      <c r="N358" s="967"/>
      <c r="O358" s="968"/>
      <c r="P358" s="969"/>
      <c r="Q358" s="970"/>
    </row>
    <row r="359" spans="1:17">
      <c r="A359" s="603" t="s">
        <v>294</v>
      </c>
      <c r="B359" s="604" t="s">
        <v>393</v>
      </c>
      <c r="C359" s="640">
        <v>1</v>
      </c>
      <c r="D359" s="641" t="s">
        <v>283</v>
      </c>
      <c r="E359" s="945" t="e">
        <f>Elec_Est!#REF!</f>
        <v>#REF!</v>
      </c>
      <c r="F359" s="643"/>
      <c r="G359" s="573">
        <v>2</v>
      </c>
      <c r="K359" s="696"/>
      <c r="L359" s="696"/>
      <c r="M359" s="703"/>
      <c r="N359" s="967"/>
      <c r="O359" s="968"/>
      <c r="P359" s="969"/>
      <c r="Q359" s="970"/>
    </row>
    <row r="360" spans="1:17">
      <c r="A360" s="603"/>
      <c r="B360" s="604"/>
      <c r="C360" s="640"/>
      <c r="D360" s="641"/>
      <c r="E360" s="642"/>
      <c r="F360" s="643"/>
      <c r="K360" s="696"/>
      <c r="L360" s="696"/>
      <c r="M360" s="703"/>
      <c r="N360" s="967"/>
      <c r="O360" s="968"/>
      <c r="P360" s="969"/>
      <c r="Q360" s="970"/>
    </row>
    <row r="361" spans="1:17">
      <c r="A361" s="603" t="s">
        <v>339</v>
      </c>
      <c r="B361" s="604" t="s">
        <v>394</v>
      </c>
      <c r="C361" s="640">
        <v>1</v>
      </c>
      <c r="D361" s="641" t="s">
        <v>283</v>
      </c>
      <c r="E361" s="945" t="e">
        <f>Elec_Est!#REF!</f>
        <v>#REF!</v>
      </c>
      <c r="F361" s="643"/>
      <c r="G361" s="573">
        <v>2</v>
      </c>
      <c r="K361" s="696"/>
      <c r="L361" s="696"/>
      <c r="M361" s="703"/>
      <c r="N361" s="967"/>
      <c r="O361" s="968"/>
      <c r="P361" s="969"/>
      <c r="Q361" s="970"/>
    </row>
    <row r="362" spans="1:17">
      <c r="A362" s="590"/>
      <c r="B362" s="591"/>
      <c r="C362" s="593"/>
      <c r="D362" s="592"/>
      <c r="E362" s="594"/>
      <c r="F362" s="595"/>
      <c r="K362" s="1031"/>
      <c r="L362" s="696"/>
      <c r="M362" s="1032"/>
      <c r="N362" s="967"/>
      <c r="O362" s="968"/>
      <c r="P362" s="969"/>
      <c r="Q362" s="970"/>
    </row>
    <row r="363" spans="1:17">
      <c r="A363" s="590"/>
      <c r="B363" s="591"/>
      <c r="C363" s="593"/>
      <c r="D363" s="592"/>
      <c r="E363" s="594"/>
      <c r="F363" s="595"/>
      <c r="K363" s="696"/>
      <c r="L363" s="696"/>
      <c r="M363" s="697"/>
      <c r="N363" s="967"/>
      <c r="O363" s="968"/>
      <c r="P363" s="969"/>
      <c r="Q363" s="970"/>
    </row>
    <row r="364" spans="1:17">
      <c r="A364" s="590" t="s">
        <v>395</v>
      </c>
      <c r="B364" s="591" t="s">
        <v>300</v>
      </c>
      <c r="C364" s="593"/>
      <c r="D364" s="592"/>
      <c r="E364" s="594"/>
      <c r="F364" s="595"/>
      <c r="K364" s="696"/>
      <c r="L364" s="696"/>
      <c r="M364" s="703"/>
      <c r="N364" s="967"/>
      <c r="O364" s="968"/>
      <c r="P364" s="970"/>
      <c r="Q364" s="970"/>
    </row>
    <row r="365" spans="1:17">
      <c r="A365" s="590"/>
      <c r="B365" s="597"/>
      <c r="C365" s="593"/>
      <c r="D365" s="592"/>
      <c r="E365" s="594"/>
      <c r="F365" s="595"/>
      <c r="K365" s="696"/>
      <c r="L365" s="696"/>
      <c r="M365" s="703"/>
      <c r="N365" s="967"/>
      <c r="O365" s="968"/>
      <c r="P365" s="969"/>
      <c r="Q365" s="970"/>
    </row>
    <row r="366" spans="1:17">
      <c r="A366" s="590" t="s">
        <v>294</v>
      </c>
      <c r="B366" s="591" t="s">
        <v>301</v>
      </c>
      <c r="C366" s="593">
        <f>2*2</f>
        <v>4</v>
      </c>
      <c r="D366" s="592" t="s">
        <v>283</v>
      </c>
      <c r="E366" s="594"/>
      <c r="F366" s="595">
        <f>E366*C366</f>
        <v>0</v>
      </c>
      <c r="K366" s="1031"/>
      <c r="L366" s="696"/>
      <c r="M366" s="1032"/>
      <c r="N366" s="967"/>
      <c r="O366" s="968"/>
      <c r="P366" s="969"/>
      <c r="Q366" s="970"/>
    </row>
    <row r="367" spans="1:17">
      <c r="A367" s="590"/>
      <c r="B367" s="591"/>
      <c r="C367" s="593"/>
      <c r="D367" s="592"/>
      <c r="E367" s="594"/>
      <c r="F367" s="595"/>
      <c r="K367" s="696"/>
      <c r="L367" s="696"/>
      <c r="M367" s="697"/>
      <c r="N367" s="967"/>
      <c r="O367" s="968"/>
      <c r="P367" s="969"/>
      <c r="Q367" s="970"/>
    </row>
    <row r="368" spans="1:17">
      <c r="A368" s="590"/>
      <c r="B368" s="591"/>
      <c r="C368" s="593"/>
      <c r="D368" s="592"/>
      <c r="E368" s="594"/>
      <c r="F368" s="595"/>
      <c r="K368" s="696"/>
      <c r="L368" s="696"/>
      <c r="M368" s="703"/>
      <c r="N368" s="967"/>
      <c r="O368" s="968"/>
      <c r="P368" s="969"/>
      <c r="Q368" s="970"/>
    </row>
    <row r="369" spans="1:17">
      <c r="A369" s="590" t="s">
        <v>396</v>
      </c>
      <c r="B369" s="651" t="s">
        <v>341</v>
      </c>
      <c r="C369" s="593"/>
      <c r="D369" s="592"/>
      <c r="E369" s="594"/>
      <c r="F369" s="595"/>
      <c r="K369" s="696"/>
      <c r="L369" s="696"/>
      <c r="M369" s="703"/>
      <c r="N369" s="967"/>
      <c r="O369" s="968"/>
      <c r="P369" s="969"/>
      <c r="Q369" s="970"/>
    </row>
    <row r="370" spans="1:17">
      <c r="A370" s="590"/>
      <c r="B370" s="597"/>
      <c r="C370" s="593"/>
      <c r="D370" s="592"/>
      <c r="E370" s="594"/>
      <c r="F370" s="595"/>
      <c r="K370" s="696"/>
      <c r="L370" s="696"/>
      <c r="M370" s="703"/>
      <c r="N370" s="967"/>
      <c r="O370" s="968"/>
      <c r="P370" s="969"/>
      <c r="Q370" s="970"/>
    </row>
    <row r="371" spans="1:17">
      <c r="A371" s="590" t="s">
        <v>294</v>
      </c>
      <c r="B371" s="591" t="s">
        <v>301</v>
      </c>
      <c r="C371" s="593">
        <v>1</v>
      </c>
      <c r="D371" s="592" t="s">
        <v>283</v>
      </c>
      <c r="E371" s="594"/>
      <c r="F371" s="595">
        <f>E371*C371</f>
        <v>0</v>
      </c>
      <c r="K371" s="696"/>
      <c r="L371" s="696"/>
      <c r="M371" s="703"/>
      <c r="N371" s="967"/>
      <c r="O371" s="968"/>
      <c r="P371" s="969"/>
      <c r="Q371" s="970"/>
    </row>
    <row r="372" spans="1:17">
      <c r="A372" s="590"/>
      <c r="B372" s="591"/>
      <c r="C372" s="593"/>
      <c r="D372" s="592"/>
      <c r="E372" s="594"/>
      <c r="F372" s="595"/>
      <c r="K372" s="696"/>
      <c r="L372" s="696"/>
      <c r="M372" s="703"/>
      <c r="N372" s="967"/>
      <c r="O372" s="968"/>
      <c r="P372" s="969"/>
      <c r="Q372" s="970"/>
    </row>
    <row r="373" spans="1:17">
      <c r="A373" s="590"/>
      <c r="B373" s="591"/>
      <c r="C373" s="593"/>
      <c r="D373" s="592"/>
      <c r="E373" s="594"/>
      <c r="F373" s="595"/>
      <c r="K373" s="696"/>
      <c r="L373" s="696"/>
      <c r="M373" s="703"/>
      <c r="N373" s="967"/>
      <c r="O373" s="968"/>
      <c r="P373" s="969"/>
      <c r="Q373" s="970"/>
    </row>
    <row r="374" spans="1:17">
      <c r="A374" s="652" t="s">
        <v>397</v>
      </c>
      <c r="B374" s="651" t="s">
        <v>342</v>
      </c>
      <c r="C374" s="593"/>
      <c r="D374" s="592"/>
      <c r="E374" s="594"/>
      <c r="F374" s="595"/>
      <c r="K374" s="696"/>
      <c r="L374" s="696"/>
      <c r="M374" s="703"/>
      <c r="N374" s="967"/>
      <c r="O374" s="968"/>
      <c r="P374" s="969"/>
      <c r="Q374" s="970"/>
    </row>
    <row r="375" spans="1:17">
      <c r="A375" s="590"/>
      <c r="B375" s="597"/>
      <c r="C375" s="593"/>
      <c r="D375" s="592"/>
      <c r="E375" s="594"/>
      <c r="F375" s="595"/>
      <c r="K375" s="696"/>
      <c r="L375" s="696"/>
      <c r="M375" s="1040"/>
      <c r="N375" s="967"/>
      <c r="O375" s="1041"/>
      <c r="P375" s="969"/>
      <c r="Q375" s="970"/>
    </row>
    <row r="376" spans="1:17" ht="15" thickBot="1">
      <c r="A376" s="590" t="s">
        <v>294</v>
      </c>
      <c r="B376" s="591" t="s">
        <v>301</v>
      </c>
      <c r="C376" s="593">
        <f>1*2</f>
        <v>2</v>
      </c>
      <c r="D376" s="592" t="s">
        <v>283</v>
      </c>
      <c r="E376" s="595"/>
      <c r="F376" s="595">
        <f>E376*C376</f>
        <v>0</v>
      </c>
      <c r="K376" s="696"/>
      <c r="L376" s="696"/>
      <c r="M376" s="1042"/>
      <c r="N376" s="967"/>
      <c r="O376" s="968"/>
      <c r="P376" s="969"/>
      <c r="Q376" s="970"/>
    </row>
    <row r="377" spans="1:17">
      <c r="A377" s="590"/>
      <c r="B377" s="591"/>
      <c r="C377" s="593"/>
      <c r="D377" s="592"/>
      <c r="E377" s="594"/>
      <c r="F377" s="595"/>
      <c r="K377" s="1014"/>
      <c r="L377" s="1014"/>
      <c r="M377" s="1015"/>
      <c r="N377" s="1016"/>
      <c r="O377" s="1017"/>
      <c r="P377" s="1061"/>
      <c r="Q377" s="1019"/>
    </row>
    <row r="378" spans="1:17">
      <c r="A378" s="590"/>
      <c r="B378" s="591"/>
      <c r="C378" s="593"/>
      <c r="D378" s="592"/>
      <c r="E378" s="594"/>
      <c r="F378" s="595"/>
      <c r="K378" s="1020"/>
      <c r="L378" s="1020"/>
      <c r="M378" s="1021" t="s">
        <v>289</v>
      </c>
      <c r="N378" s="1022"/>
      <c r="O378" s="1023"/>
      <c r="P378" s="1062"/>
      <c r="Q378" s="1010">
        <f>SUM(Q327:Q376)</f>
        <v>0</v>
      </c>
    </row>
    <row r="379" spans="1:17">
      <c r="A379" s="652" t="s">
        <v>398</v>
      </c>
      <c r="B379" s="651" t="s">
        <v>399</v>
      </c>
      <c r="C379" s="593"/>
      <c r="D379" s="592"/>
      <c r="E379" s="594"/>
      <c r="F379" s="595"/>
      <c r="K379" s="1025"/>
      <c r="L379" s="1025"/>
      <c r="M379" s="1026"/>
      <c r="N379" s="1027"/>
      <c r="O379" s="1028"/>
      <c r="P379" s="1063"/>
      <c r="Q379" s="1030"/>
    </row>
    <row r="380" spans="1:17">
      <c r="A380" s="590"/>
      <c r="B380" s="597"/>
      <c r="C380" s="593"/>
      <c r="D380" s="592"/>
      <c r="E380" s="594"/>
      <c r="F380" s="595"/>
    </row>
    <row r="381" spans="1:17">
      <c r="A381" s="590" t="s">
        <v>294</v>
      </c>
      <c r="B381" s="591" t="s">
        <v>301</v>
      </c>
      <c r="C381" s="593">
        <f>1*2</f>
        <v>2</v>
      </c>
      <c r="D381" s="592" t="s">
        <v>283</v>
      </c>
      <c r="E381" s="594"/>
      <c r="F381" s="595">
        <f>E381*C381</f>
        <v>0</v>
      </c>
    </row>
    <row r="382" spans="1:17">
      <c r="A382" s="590"/>
      <c r="B382" s="591"/>
      <c r="C382" s="593"/>
      <c r="D382" s="592"/>
      <c r="E382" s="594"/>
      <c r="F382" s="595"/>
    </row>
    <row r="383" spans="1:17">
      <c r="A383" s="590"/>
      <c r="B383" s="591"/>
      <c r="C383" s="593"/>
      <c r="D383" s="592"/>
      <c r="E383" s="594"/>
      <c r="F383" s="595"/>
    </row>
    <row r="384" spans="1:17" ht="15" thickBot="1">
      <c r="A384" s="590"/>
      <c r="B384" s="609"/>
      <c r="C384" s="610"/>
      <c r="D384" s="592"/>
      <c r="E384" s="594"/>
      <c r="F384" s="595"/>
    </row>
    <row r="385" spans="1:8">
      <c r="A385" s="612"/>
      <c r="B385" s="613"/>
      <c r="C385" s="615"/>
      <c r="D385" s="614"/>
      <c r="E385" s="653"/>
      <c r="F385" s="617"/>
    </row>
    <row r="386" spans="1:8">
      <c r="A386" s="618" t="s">
        <v>310</v>
      </c>
      <c r="B386" s="619" t="s">
        <v>289</v>
      </c>
      <c r="C386" s="621"/>
      <c r="D386" s="620"/>
      <c r="E386" s="654"/>
      <c r="F386" s="623">
        <f>SUM(F340:F383)</f>
        <v>0</v>
      </c>
      <c r="H386" s="645"/>
    </row>
    <row r="387" spans="1:8">
      <c r="A387" s="624"/>
      <c r="B387" s="625"/>
      <c r="C387" s="627"/>
      <c r="D387" s="626"/>
      <c r="E387" s="655"/>
      <c r="F387" s="629"/>
    </row>
    <row r="388" spans="1:8" ht="17.399999999999999">
      <c r="A388" s="568"/>
      <c r="B388" s="569"/>
      <c r="C388" s="570"/>
      <c r="D388" s="569"/>
      <c r="E388" s="656"/>
      <c r="F388" s="572"/>
    </row>
    <row r="389" spans="1:8">
      <c r="A389" s="574"/>
      <c r="B389" s="575"/>
      <c r="C389" s="576"/>
      <c r="D389" s="575"/>
      <c r="E389" s="648"/>
      <c r="F389" s="578"/>
    </row>
    <row r="390" spans="1:8">
      <c r="A390" s="574"/>
      <c r="B390" s="575"/>
      <c r="C390" s="576"/>
      <c r="D390" s="575"/>
      <c r="E390" s="648"/>
      <c r="F390" s="578"/>
    </row>
    <row r="391" spans="1:8">
      <c r="A391" s="579"/>
      <c r="B391" s="580"/>
      <c r="C391" s="581"/>
      <c r="D391" s="580"/>
      <c r="E391" s="648"/>
      <c r="F391" s="583"/>
    </row>
    <row r="392" spans="1:8" ht="15" thickBot="1">
      <c r="A392" s="584" t="s">
        <v>276</v>
      </c>
      <c r="B392" s="585"/>
      <c r="C392" s="587" t="s">
        <v>277</v>
      </c>
      <c r="D392" s="586" t="s">
        <v>266</v>
      </c>
      <c r="E392" s="649" t="s">
        <v>278</v>
      </c>
      <c r="F392" s="589" t="s">
        <v>267</v>
      </c>
    </row>
    <row r="393" spans="1:8">
      <c r="A393" s="634"/>
      <c r="B393" s="635"/>
      <c r="C393" s="636"/>
      <c r="D393" s="637"/>
      <c r="E393" s="659"/>
      <c r="F393" s="623"/>
    </row>
    <row r="394" spans="1:8">
      <c r="A394" s="590">
        <v>57</v>
      </c>
      <c r="B394" s="591" t="s">
        <v>311</v>
      </c>
      <c r="C394" s="593">
        <v>2</v>
      </c>
      <c r="D394" s="592" t="s">
        <v>283</v>
      </c>
      <c r="E394" s="594"/>
      <c r="F394" s="595">
        <f>E394*C394</f>
        <v>0</v>
      </c>
    </row>
    <row r="395" spans="1:8">
      <c r="A395" s="590"/>
      <c r="B395" s="591"/>
      <c r="C395" s="593"/>
      <c r="D395" s="592"/>
      <c r="E395" s="594"/>
      <c r="F395" s="595"/>
    </row>
    <row r="396" spans="1:8">
      <c r="A396" s="590"/>
      <c r="B396" s="591"/>
      <c r="C396" s="593"/>
      <c r="D396" s="592"/>
      <c r="E396" s="594"/>
      <c r="F396" s="595"/>
    </row>
    <row r="397" spans="1:8" ht="39.6">
      <c r="A397" s="590" t="s">
        <v>400</v>
      </c>
      <c r="B397" s="591" t="s">
        <v>401</v>
      </c>
      <c r="C397" s="593"/>
      <c r="D397" s="592"/>
      <c r="E397" s="594"/>
      <c r="F397" s="595"/>
    </row>
    <row r="398" spans="1:8">
      <c r="A398" s="590"/>
      <c r="B398" s="591"/>
      <c r="C398" s="593"/>
      <c r="D398" s="592"/>
      <c r="E398" s="594"/>
      <c r="F398" s="595"/>
    </row>
    <row r="399" spans="1:8">
      <c r="A399" s="590" t="s">
        <v>294</v>
      </c>
      <c r="B399" s="591" t="s">
        <v>295</v>
      </c>
      <c r="C399" s="593">
        <v>10</v>
      </c>
      <c r="D399" s="592" t="s">
        <v>296</v>
      </c>
      <c r="E399" s="594"/>
      <c r="F399" s="595">
        <f>E399*C399</f>
        <v>0</v>
      </c>
    </row>
    <row r="400" spans="1:8">
      <c r="A400" s="590"/>
      <c r="B400" s="591"/>
      <c r="C400" s="593"/>
      <c r="D400" s="592"/>
      <c r="E400" s="594"/>
      <c r="F400" s="595"/>
    </row>
    <row r="401" spans="1:6">
      <c r="A401" s="590"/>
      <c r="B401" s="591"/>
      <c r="C401" s="593"/>
      <c r="D401" s="592"/>
      <c r="E401" s="594"/>
      <c r="F401" s="595"/>
    </row>
    <row r="402" spans="1:6">
      <c r="A402" s="590" t="s">
        <v>402</v>
      </c>
      <c r="B402" s="591" t="s">
        <v>300</v>
      </c>
      <c r="C402" s="593"/>
      <c r="D402" s="592"/>
      <c r="E402" s="594"/>
      <c r="F402" s="595"/>
    </row>
    <row r="403" spans="1:6">
      <c r="A403" s="590"/>
      <c r="B403" s="597"/>
      <c r="C403" s="593"/>
      <c r="D403" s="592"/>
      <c r="E403" s="594"/>
      <c r="F403" s="595"/>
    </row>
    <row r="404" spans="1:6">
      <c r="A404" s="590" t="s">
        <v>294</v>
      </c>
      <c r="B404" s="591" t="s">
        <v>301</v>
      </c>
      <c r="C404" s="593">
        <f>2*2</f>
        <v>4</v>
      </c>
      <c r="D404" s="592" t="s">
        <v>283</v>
      </c>
      <c r="E404" s="594"/>
      <c r="F404" s="595">
        <f>E404*C404</f>
        <v>0</v>
      </c>
    </row>
    <row r="405" spans="1:6">
      <c r="A405" s="590"/>
      <c r="B405" s="591"/>
      <c r="C405" s="593"/>
      <c r="D405" s="592"/>
      <c r="E405" s="594"/>
      <c r="F405" s="595"/>
    </row>
    <row r="406" spans="1:6">
      <c r="A406" s="590"/>
      <c r="B406" s="591"/>
      <c r="C406" s="593"/>
      <c r="D406" s="592"/>
      <c r="E406" s="594"/>
      <c r="F406" s="595"/>
    </row>
    <row r="407" spans="1:6">
      <c r="A407" s="590"/>
      <c r="B407" s="597"/>
      <c r="C407" s="593"/>
      <c r="D407" s="592"/>
      <c r="E407" s="594"/>
      <c r="F407" s="595"/>
    </row>
    <row r="408" spans="1:6">
      <c r="A408" s="590"/>
      <c r="B408" s="591"/>
      <c r="C408" s="593"/>
      <c r="D408" s="592"/>
      <c r="E408" s="594"/>
      <c r="F408" s="595"/>
    </row>
    <row r="409" spans="1:6">
      <c r="A409" s="590"/>
      <c r="B409" s="591"/>
      <c r="C409" s="593"/>
      <c r="D409" s="592"/>
      <c r="E409" s="594"/>
      <c r="F409" s="595"/>
    </row>
    <row r="410" spans="1:6">
      <c r="A410" s="634"/>
      <c r="B410" s="635"/>
      <c r="C410" s="636"/>
      <c r="D410" s="637"/>
      <c r="E410" s="659"/>
      <c r="F410" s="623"/>
    </row>
    <row r="411" spans="1:6">
      <c r="A411" s="590"/>
      <c r="B411" s="591"/>
      <c r="C411" s="593"/>
      <c r="D411" s="592"/>
      <c r="E411" s="594"/>
      <c r="F411" s="595"/>
    </row>
    <row r="412" spans="1:6">
      <c r="A412" s="590"/>
      <c r="B412" s="597"/>
      <c r="C412" s="593"/>
      <c r="D412" s="592"/>
      <c r="E412" s="594"/>
      <c r="F412" s="595"/>
    </row>
    <row r="413" spans="1:6">
      <c r="A413" s="590"/>
      <c r="B413" s="591"/>
      <c r="C413" s="593"/>
      <c r="D413" s="592"/>
      <c r="E413" s="594"/>
      <c r="F413" s="595"/>
    </row>
    <row r="414" spans="1:6">
      <c r="A414" s="590"/>
      <c r="B414" s="591"/>
      <c r="C414" s="593"/>
      <c r="D414" s="592"/>
      <c r="E414" s="594"/>
      <c r="F414" s="595"/>
    </row>
    <row r="415" spans="1:6">
      <c r="A415" s="590"/>
      <c r="B415" s="591"/>
      <c r="C415" s="593"/>
      <c r="D415" s="592"/>
      <c r="E415" s="594"/>
      <c r="F415" s="595"/>
    </row>
    <row r="416" spans="1:6">
      <c r="A416" s="590"/>
      <c r="B416" s="591"/>
      <c r="C416" s="593"/>
      <c r="D416" s="592"/>
      <c r="E416" s="594"/>
      <c r="F416" s="595"/>
    </row>
    <row r="417" spans="1:6">
      <c r="A417" s="590"/>
      <c r="B417" s="591"/>
      <c r="C417" s="593"/>
      <c r="D417" s="592"/>
      <c r="E417" s="594"/>
      <c r="F417" s="595"/>
    </row>
    <row r="418" spans="1:6">
      <c r="A418" s="590"/>
      <c r="B418" s="591"/>
      <c r="C418" s="593"/>
      <c r="D418" s="592"/>
      <c r="E418" s="594"/>
      <c r="F418" s="595"/>
    </row>
    <row r="419" spans="1:6">
      <c r="A419" s="590"/>
      <c r="B419" s="597"/>
      <c r="C419" s="593"/>
      <c r="D419" s="592"/>
      <c r="E419" s="594"/>
      <c r="F419" s="595"/>
    </row>
    <row r="420" spans="1:6">
      <c r="A420" s="590"/>
      <c r="B420" s="591"/>
      <c r="C420" s="593"/>
      <c r="D420" s="592"/>
      <c r="E420" s="594"/>
      <c r="F420" s="595"/>
    </row>
    <row r="421" spans="1:6">
      <c r="A421" s="590"/>
      <c r="B421" s="591"/>
      <c r="C421" s="593"/>
      <c r="D421" s="592"/>
      <c r="E421" s="594"/>
      <c r="F421" s="595"/>
    </row>
    <row r="422" spans="1:6">
      <c r="A422" s="590"/>
      <c r="B422" s="591"/>
      <c r="C422" s="593"/>
      <c r="D422" s="592"/>
      <c r="E422" s="594"/>
      <c r="F422" s="595"/>
    </row>
    <row r="423" spans="1:6">
      <c r="A423" s="590"/>
      <c r="B423" s="651"/>
      <c r="C423" s="593"/>
      <c r="D423" s="592"/>
      <c r="E423" s="594"/>
      <c r="F423" s="595"/>
    </row>
    <row r="424" spans="1:6">
      <c r="A424" s="590"/>
      <c r="B424" s="597"/>
      <c r="C424" s="593"/>
      <c r="D424" s="592"/>
      <c r="E424" s="594"/>
      <c r="F424" s="595"/>
    </row>
    <row r="425" spans="1:6">
      <c r="A425" s="590"/>
      <c r="B425" s="591"/>
      <c r="C425" s="593"/>
      <c r="D425" s="592"/>
      <c r="E425" s="594"/>
      <c r="F425" s="595"/>
    </row>
    <row r="426" spans="1:6">
      <c r="A426" s="590"/>
      <c r="B426" s="591"/>
      <c r="C426" s="593"/>
      <c r="D426" s="592"/>
      <c r="E426" s="594"/>
      <c r="F426" s="595"/>
    </row>
    <row r="427" spans="1:6">
      <c r="A427" s="590"/>
      <c r="B427" s="591"/>
      <c r="C427" s="593"/>
      <c r="D427" s="592"/>
      <c r="E427" s="594"/>
      <c r="F427" s="595"/>
    </row>
    <row r="428" spans="1:6">
      <c r="A428" s="652"/>
      <c r="B428" s="651"/>
      <c r="C428" s="593"/>
      <c r="D428" s="592"/>
      <c r="E428" s="594"/>
      <c r="F428" s="595"/>
    </row>
    <row r="429" spans="1:6">
      <c r="A429" s="590"/>
      <c r="B429" s="597"/>
      <c r="C429" s="593"/>
      <c r="D429" s="592"/>
      <c r="E429" s="594"/>
      <c r="F429" s="595"/>
    </row>
    <row r="430" spans="1:6">
      <c r="A430" s="590"/>
      <c r="B430" s="591"/>
      <c r="C430" s="593"/>
      <c r="D430" s="592"/>
      <c r="E430" s="595"/>
      <c r="F430" s="595"/>
    </row>
    <row r="431" spans="1:6">
      <c r="A431" s="590"/>
      <c r="B431" s="591"/>
      <c r="C431" s="593"/>
      <c r="D431" s="592"/>
      <c r="E431" s="594"/>
      <c r="F431" s="595"/>
    </row>
    <row r="432" spans="1:6">
      <c r="A432" s="652"/>
      <c r="B432" s="651"/>
      <c r="C432" s="593"/>
      <c r="D432" s="592"/>
      <c r="E432" s="594"/>
      <c r="F432" s="595"/>
    </row>
    <row r="433" spans="1:8">
      <c r="A433" s="590"/>
      <c r="B433" s="597"/>
      <c r="C433" s="593"/>
      <c r="D433" s="592"/>
      <c r="E433" s="594"/>
      <c r="F433" s="595"/>
    </row>
    <row r="434" spans="1:8">
      <c r="A434" s="590"/>
      <c r="B434" s="591"/>
      <c r="C434" s="593"/>
      <c r="D434" s="592"/>
      <c r="E434" s="594"/>
      <c r="F434" s="595"/>
    </row>
    <row r="435" spans="1:8">
      <c r="A435" s="590"/>
      <c r="B435" s="591"/>
      <c r="C435" s="593"/>
      <c r="D435" s="592"/>
      <c r="E435" s="594"/>
      <c r="F435" s="595"/>
    </row>
    <row r="436" spans="1:8">
      <c r="A436" s="590"/>
      <c r="B436" s="591"/>
      <c r="C436" s="593"/>
      <c r="D436" s="592"/>
      <c r="E436" s="594"/>
      <c r="F436" s="595"/>
    </row>
    <row r="437" spans="1:8" ht="13.95" customHeight="1">
      <c r="A437" s="590"/>
      <c r="B437" s="591"/>
      <c r="C437" s="593"/>
      <c r="D437" s="592"/>
      <c r="E437" s="594"/>
      <c r="F437" s="595"/>
    </row>
    <row r="438" spans="1:8">
      <c r="A438" s="590"/>
      <c r="B438" s="591"/>
      <c r="C438" s="593"/>
      <c r="D438" s="592"/>
      <c r="E438" s="594"/>
      <c r="F438" s="595"/>
    </row>
    <row r="439" spans="1:8">
      <c r="A439" s="590"/>
      <c r="B439" s="591"/>
      <c r="C439" s="593"/>
      <c r="D439" s="592"/>
      <c r="E439" s="594"/>
      <c r="F439" s="595"/>
    </row>
    <row r="440" spans="1:8">
      <c r="A440" s="590"/>
      <c r="B440" s="591"/>
      <c r="C440" s="593"/>
      <c r="D440" s="592"/>
      <c r="E440" s="594"/>
      <c r="F440" s="595"/>
    </row>
    <row r="441" spans="1:8">
      <c r="A441" s="590"/>
      <c r="B441" s="609"/>
      <c r="C441" s="610"/>
      <c r="D441" s="592"/>
      <c r="E441" s="594"/>
      <c r="F441" s="595"/>
    </row>
    <row r="442" spans="1:8" ht="15" thickBot="1">
      <c r="A442" s="590"/>
      <c r="B442" s="611"/>
      <c r="C442" s="593"/>
      <c r="D442" s="592"/>
      <c r="E442" s="594"/>
      <c r="F442" s="595"/>
    </row>
    <row r="443" spans="1:8">
      <c r="A443" s="612"/>
      <c r="B443" s="613"/>
      <c r="C443" s="615"/>
      <c r="D443" s="614"/>
      <c r="E443" s="653"/>
      <c r="F443" s="617"/>
    </row>
    <row r="444" spans="1:8">
      <c r="A444" s="618" t="s">
        <v>310</v>
      </c>
      <c r="B444" s="619" t="s">
        <v>289</v>
      </c>
      <c r="C444" s="621"/>
      <c r="D444" s="620"/>
      <c r="E444" s="654"/>
      <c r="F444" s="623">
        <f>SUM(F393:F408)</f>
        <v>0</v>
      </c>
      <c r="H444" s="645"/>
    </row>
    <row r="445" spans="1:8">
      <c r="A445" s="624"/>
      <c r="B445" s="625"/>
      <c r="C445" s="627"/>
      <c r="D445" s="626"/>
      <c r="E445" s="655"/>
      <c r="F445" s="629"/>
      <c r="H445" s="645"/>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E0000"/>
  </sheetPr>
  <dimension ref="A1:I219"/>
  <sheetViews>
    <sheetView workbookViewId="0">
      <selection activeCell="O197" sqref="O197"/>
    </sheetView>
  </sheetViews>
  <sheetFormatPr defaultColWidth="8.88671875" defaultRowHeight="14.4"/>
  <cols>
    <col min="1" max="1" width="7.6640625" style="630" customWidth="1"/>
    <col min="2" max="2" width="48.6640625" style="573" customWidth="1"/>
    <col min="3" max="3" width="5.6640625" style="631" customWidth="1"/>
    <col min="4" max="4" width="7.6640625" style="573" customWidth="1"/>
    <col min="5" max="5" width="10.33203125" style="632" customWidth="1"/>
    <col min="6" max="6" width="12.109375" style="632" customWidth="1"/>
    <col min="7" max="7" width="8.88671875" style="573"/>
    <col min="8" max="9" width="9.109375" style="573" bestFit="1" customWidth="1"/>
    <col min="10" max="16384" width="8.88671875" style="573"/>
  </cols>
  <sheetData>
    <row r="1" spans="1:6" ht="17.399999999999999">
      <c r="A1" s="568" t="s">
        <v>273</v>
      </c>
      <c r="B1" s="569"/>
      <c r="C1" s="570"/>
      <c r="D1" s="569"/>
      <c r="E1" s="571"/>
      <c r="F1" s="572"/>
    </row>
    <row r="2" spans="1:6">
      <c r="A2" s="574" t="s">
        <v>403</v>
      </c>
      <c r="B2" s="575"/>
      <c r="C2" s="576"/>
      <c r="D2" s="575"/>
      <c r="E2" s="577"/>
      <c r="F2" s="578"/>
    </row>
    <row r="3" spans="1:6">
      <c r="A3" s="574" t="s">
        <v>275</v>
      </c>
      <c r="B3" s="575"/>
      <c r="C3" s="576"/>
      <c r="D3" s="575"/>
      <c r="E3" s="577"/>
      <c r="F3" s="578"/>
    </row>
    <row r="4" spans="1:6">
      <c r="A4" s="579"/>
      <c r="B4" s="580"/>
      <c r="C4" s="581"/>
      <c r="D4" s="580"/>
      <c r="E4" s="582"/>
      <c r="F4" s="583"/>
    </row>
    <row r="5" spans="1:6" ht="15" thickBot="1">
      <c r="A5" s="584" t="s">
        <v>276</v>
      </c>
      <c r="B5" s="585"/>
      <c r="C5" s="587" t="s">
        <v>277</v>
      </c>
      <c r="D5" s="586" t="s">
        <v>266</v>
      </c>
      <c r="E5" s="588" t="s">
        <v>278</v>
      </c>
      <c r="F5" s="589" t="s">
        <v>267</v>
      </c>
    </row>
    <row r="6" spans="1:6">
      <c r="A6" s="590"/>
      <c r="B6" s="591"/>
      <c r="C6" s="593"/>
      <c r="D6" s="592"/>
      <c r="E6" s="594"/>
      <c r="F6" s="595"/>
    </row>
    <row r="7" spans="1:6" ht="26.4">
      <c r="A7" s="590" t="s">
        <v>279</v>
      </c>
      <c r="B7" s="596" t="s">
        <v>280</v>
      </c>
      <c r="C7" s="593"/>
      <c r="D7" s="592"/>
      <c r="E7" s="594"/>
      <c r="F7" s="595"/>
    </row>
    <row r="8" spans="1:6" ht="39.6">
      <c r="A8" s="590" t="s">
        <v>279</v>
      </c>
      <c r="B8" s="591" t="s">
        <v>404</v>
      </c>
      <c r="C8" s="593"/>
      <c r="D8" s="592"/>
      <c r="E8" s="594"/>
      <c r="F8" s="595"/>
    </row>
    <row r="9" spans="1:6">
      <c r="A9" s="590"/>
      <c r="B9" s="591"/>
      <c r="C9" s="593"/>
      <c r="D9" s="592"/>
      <c r="E9" s="594"/>
      <c r="F9" s="595"/>
    </row>
    <row r="10" spans="1:6">
      <c r="A10" s="590" t="s">
        <v>279</v>
      </c>
      <c r="B10" s="597" t="s">
        <v>403</v>
      </c>
      <c r="C10" s="593"/>
      <c r="D10" s="592"/>
      <c r="E10" s="594"/>
      <c r="F10" s="595"/>
    </row>
    <row r="11" spans="1:6">
      <c r="A11" s="590"/>
      <c r="B11" s="591"/>
      <c r="C11" s="593"/>
      <c r="D11" s="592"/>
      <c r="E11" s="594"/>
      <c r="F11" s="595"/>
    </row>
    <row r="12" spans="1:6" ht="39.6">
      <c r="A12" s="652" t="s">
        <v>334</v>
      </c>
      <c r="B12" s="661" t="s">
        <v>405</v>
      </c>
      <c r="C12" s="610"/>
      <c r="D12" s="662"/>
      <c r="E12" s="594"/>
      <c r="F12" s="595"/>
    </row>
    <row r="13" spans="1:6">
      <c r="A13" s="590"/>
      <c r="B13" s="661"/>
      <c r="C13" s="593"/>
      <c r="D13" s="662"/>
      <c r="E13" s="594"/>
      <c r="F13" s="595"/>
    </row>
    <row r="14" spans="1:6">
      <c r="A14" s="590" t="s">
        <v>294</v>
      </c>
      <c r="B14" s="661" t="s">
        <v>406</v>
      </c>
      <c r="C14" s="593">
        <v>1</v>
      </c>
      <c r="D14" s="662" t="s">
        <v>283</v>
      </c>
      <c r="E14" s="594"/>
      <c r="F14" s="595">
        <f>E14*C14</f>
        <v>0</v>
      </c>
    </row>
    <row r="15" spans="1:6">
      <c r="A15" s="590"/>
      <c r="B15" s="661"/>
      <c r="C15" s="593"/>
      <c r="D15" s="662"/>
      <c r="E15" s="594"/>
      <c r="F15" s="595"/>
    </row>
    <row r="16" spans="1:6">
      <c r="A16" s="590" t="s">
        <v>339</v>
      </c>
      <c r="B16" s="661" t="s">
        <v>407</v>
      </c>
      <c r="C16" s="593">
        <v>1</v>
      </c>
      <c r="D16" s="662" t="s">
        <v>283</v>
      </c>
      <c r="E16" s="594"/>
      <c r="F16" s="595">
        <f>E16*C16</f>
        <v>0</v>
      </c>
    </row>
    <row r="17" spans="1:6">
      <c r="A17" s="590"/>
      <c r="B17" s="661"/>
      <c r="C17" s="593"/>
      <c r="D17" s="662"/>
      <c r="E17" s="594"/>
      <c r="F17" s="595"/>
    </row>
    <row r="18" spans="1:6">
      <c r="A18" s="590" t="s">
        <v>340</v>
      </c>
      <c r="B18" s="661" t="s">
        <v>408</v>
      </c>
      <c r="C18" s="593">
        <v>1</v>
      </c>
      <c r="D18" s="662" t="s">
        <v>283</v>
      </c>
      <c r="E18" s="594"/>
      <c r="F18" s="595">
        <f>E18*C18</f>
        <v>0</v>
      </c>
    </row>
    <row r="19" spans="1:6">
      <c r="A19" s="590"/>
      <c r="B19" s="661"/>
      <c r="C19" s="593"/>
      <c r="D19" s="662"/>
      <c r="E19" s="594"/>
      <c r="F19" s="595"/>
    </row>
    <row r="20" spans="1:6">
      <c r="A20" s="590" t="s">
        <v>409</v>
      </c>
      <c r="B20" s="661" t="s">
        <v>410</v>
      </c>
      <c r="C20" s="593">
        <v>1</v>
      </c>
      <c r="D20" s="662" t="s">
        <v>283</v>
      </c>
      <c r="E20" s="594"/>
      <c r="F20" s="595">
        <f>E20*C20</f>
        <v>0</v>
      </c>
    </row>
    <row r="21" spans="1:6">
      <c r="A21" s="590"/>
      <c r="B21" s="661"/>
      <c r="C21" s="593"/>
      <c r="D21" s="662"/>
      <c r="E21" s="594"/>
      <c r="F21" s="595"/>
    </row>
    <row r="22" spans="1:6">
      <c r="A22" s="590"/>
      <c r="B22" s="661"/>
      <c r="C22" s="593"/>
      <c r="D22" s="662"/>
      <c r="E22" s="594"/>
      <c r="F22" s="595"/>
    </row>
    <row r="23" spans="1:6" ht="40.950000000000003" customHeight="1">
      <c r="A23" s="652" t="s">
        <v>336</v>
      </c>
      <c r="B23" s="661" t="s">
        <v>411</v>
      </c>
      <c r="C23" s="610"/>
      <c r="D23" s="662"/>
      <c r="E23" s="594"/>
      <c r="F23" s="595"/>
    </row>
    <row r="24" spans="1:6">
      <c r="A24" s="590"/>
      <c r="B24" s="661"/>
      <c r="C24" s="593"/>
      <c r="D24" s="662"/>
      <c r="E24" s="594"/>
      <c r="F24" s="595"/>
    </row>
    <row r="25" spans="1:6">
      <c r="A25" s="590" t="s">
        <v>294</v>
      </c>
      <c r="B25" s="661" t="s">
        <v>412</v>
      </c>
      <c r="C25" s="593">
        <v>1</v>
      </c>
      <c r="D25" s="662" t="s">
        <v>283</v>
      </c>
      <c r="E25" s="594"/>
      <c r="F25" s="595">
        <f>E25*C25</f>
        <v>0</v>
      </c>
    </row>
    <row r="26" spans="1:6">
      <c r="A26" s="590"/>
      <c r="B26" s="661"/>
      <c r="C26" s="593"/>
      <c r="D26" s="662"/>
      <c r="E26" s="594"/>
      <c r="F26" s="595"/>
    </row>
    <row r="27" spans="1:6">
      <c r="A27" s="590" t="s">
        <v>339</v>
      </c>
      <c r="B27" s="661" t="s">
        <v>413</v>
      </c>
      <c r="C27" s="593">
        <v>1</v>
      </c>
      <c r="D27" s="662" t="s">
        <v>283</v>
      </c>
      <c r="E27" s="594"/>
      <c r="F27" s="595">
        <f>E27*C27</f>
        <v>0</v>
      </c>
    </row>
    <row r="28" spans="1:6">
      <c r="A28" s="590"/>
      <c r="B28" s="661"/>
      <c r="C28" s="593"/>
      <c r="D28" s="662"/>
      <c r="E28" s="594"/>
      <c r="F28" s="595"/>
    </row>
    <row r="29" spans="1:6">
      <c r="A29" s="590" t="s">
        <v>340</v>
      </c>
      <c r="B29" s="661" t="s">
        <v>414</v>
      </c>
      <c r="C29" s="593">
        <v>1</v>
      </c>
      <c r="D29" s="662" t="s">
        <v>283</v>
      </c>
      <c r="E29" s="594"/>
      <c r="F29" s="595">
        <f>E29*C29</f>
        <v>0</v>
      </c>
    </row>
    <row r="30" spans="1:6">
      <c r="A30" s="590"/>
      <c r="B30" s="661"/>
      <c r="C30" s="593"/>
      <c r="D30" s="662"/>
      <c r="E30" s="594"/>
      <c r="F30" s="595"/>
    </row>
    <row r="31" spans="1:6">
      <c r="A31" s="590" t="s">
        <v>409</v>
      </c>
      <c r="B31" s="661" t="s">
        <v>415</v>
      </c>
      <c r="C31" s="593">
        <v>1</v>
      </c>
      <c r="D31" s="662" t="s">
        <v>283</v>
      </c>
      <c r="E31" s="594"/>
      <c r="F31" s="595">
        <f>E31*C31</f>
        <v>0</v>
      </c>
    </row>
    <row r="32" spans="1:6">
      <c r="A32" s="590"/>
      <c r="B32" s="661"/>
      <c r="C32" s="593"/>
      <c r="D32" s="662"/>
      <c r="E32" s="594"/>
      <c r="F32" s="595"/>
    </row>
    <row r="33" spans="1:6">
      <c r="A33" s="590" t="s">
        <v>416</v>
      </c>
      <c r="B33" s="661" t="s">
        <v>417</v>
      </c>
      <c r="C33" s="593">
        <v>1</v>
      </c>
      <c r="D33" s="662" t="s">
        <v>283</v>
      </c>
      <c r="E33" s="594"/>
      <c r="F33" s="595">
        <f>E33*C33</f>
        <v>0</v>
      </c>
    </row>
    <row r="34" spans="1:6">
      <c r="A34" s="590"/>
      <c r="B34" s="661"/>
      <c r="C34" s="593"/>
      <c r="D34" s="662"/>
      <c r="E34" s="594"/>
      <c r="F34" s="595"/>
    </row>
    <row r="35" spans="1:6">
      <c r="A35" s="590"/>
      <c r="B35" s="661"/>
      <c r="C35" s="593"/>
      <c r="D35" s="662"/>
      <c r="E35" s="594"/>
      <c r="F35" s="595"/>
    </row>
    <row r="36" spans="1:6">
      <c r="A36" s="590"/>
      <c r="B36" s="661"/>
      <c r="C36" s="593"/>
      <c r="D36" s="662"/>
      <c r="E36" s="594"/>
      <c r="F36" s="595"/>
    </row>
    <row r="37" spans="1:6">
      <c r="A37" s="590"/>
      <c r="B37" s="661"/>
      <c r="C37" s="593"/>
      <c r="D37" s="662"/>
      <c r="E37" s="594"/>
      <c r="F37" s="595"/>
    </row>
    <row r="38" spans="1:6">
      <c r="A38" s="590"/>
      <c r="B38" s="661"/>
      <c r="C38" s="593"/>
      <c r="D38" s="662"/>
      <c r="E38" s="594"/>
      <c r="F38" s="595"/>
    </row>
    <row r="39" spans="1:6">
      <c r="A39" s="590"/>
      <c r="B39" s="661"/>
      <c r="C39" s="593"/>
      <c r="D39" s="662"/>
      <c r="E39" s="594"/>
      <c r="F39" s="595"/>
    </row>
    <row r="40" spans="1:6">
      <c r="A40" s="590"/>
      <c r="B40" s="661"/>
      <c r="C40" s="593"/>
      <c r="D40" s="662"/>
      <c r="E40" s="594"/>
      <c r="F40" s="595"/>
    </row>
    <row r="41" spans="1:6">
      <c r="A41" s="590"/>
      <c r="B41" s="661"/>
      <c r="C41" s="593"/>
      <c r="D41" s="662"/>
      <c r="E41" s="594"/>
      <c r="F41" s="595"/>
    </row>
    <row r="42" spans="1:6">
      <c r="A42" s="590"/>
      <c r="B42" s="661"/>
      <c r="C42" s="593"/>
      <c r="D42" s="662"/>
      <c r="E42" s="594"/>
      <c r="F42" s="595"/>
    </row>
    <row r="43" spans="1:6">
      <c r="A43" s="590"/>
      <c r="B43" s="661"/>
      <c r="C43" s="593"/>
      <c r="D43" s="662"/>
      <c r="E43" s="594"/>
      <c r="F43" s="595"/>
    </row>
    <row r="44" spans="1:6">
      <c r="A44" s="590"/>
      <c r="B44" s="661"/>
      <c r="C44" s="593"/>
      <c r="D44" s="662"/>
      <c r="E44" s="594"/>
      <c r="F44" s="595"/>
    </row>
    <row r="45" spans="1:6">
      <c r="A45" s="590"/>
      <c r="B45" s="661"/>
      <c r="C45" s="593"/>
      <c r="D45" s="662"/>
      <c r="E45" s="594"/>
      <c r="F45" s="595"/>
    </row>
    <row r="46" spans="1:6">
      <c r="A46" s="590"/>
      <c r="B46" s="661"/>
      <c r="C46" s="593"/>
      <c r="D46" s="662"/>
      <c r="E46" s="594"/>
      <c r="F46" s="595"/>
    </row>
    <row r="47" spans="1:6">
      <c r="A47" s="590"/>
      <c r="B47" s="661"/>
      <c r="C47" s="593"/>
      <c r="D47" s="662"/>
      <c r="E47" s="594"/>
      <c r="F47" s="595"/>
    </row>
    <row r="48" spans="1:6">
      <c r="A48" s="590"/>
      <c r="B48" s="661"/>
      <c r="C48" s="593"/>
      <c r="D48" s="662"/>
      <c r="E48" s="594"/>
      <c r="F48" s="595"/>
    </row>
    <row r="49" spans="1:8">
      <c r="A49" s="590"/>
      <c r="B49" s="661"/>
      <c r="C49" s="593"/>
      <c r="D49" s="662"/>
      <c r="E49" s="594"/>
      <c r="F49" s="595"/>
    </row>
    <row r="50" spans="1:8" ht="15" thickBot="1">
      <c r="A50" s="590"/>
      <c r="B50" s="661"/>
      <c r="C50" s="593"/>
      <c r="D50" s="662"/>
      <c r="E50" s="594"/>
      <c r="F50" s="595"/>
    </row>
    <row r="51" spans="1:8">
      <c r="A51" s="612"/>
      <c r="B51" s="613"/>
      <c r="C51" s="615"/>
      <c r="D51" s="614"/>
      <c r="E51" s="616"/>
      <c r="F51" s="617"/>
    </row>
    <row r="52" spans="1:8">
      <c r="A52" s="618" t="s">
        <v>310</v>
      </c>
      <c r="B52" s="619" t="s">
        <v>289</v>
      </c>
      <c r="C52" s="621"/>
      <c r="D52" s="620"/>
      <c r="E52" s="622"/>
      <c r="F52" s="623">
        <f>SUM(F14:F50)</f>
        <v>0</v>
      </c>
      <c r="H52" s="645"/>
    </row>
    <row r="53" spans="1:8">
      <c r="A53" s="624"/>
      <c r="B53" s="625"/>
      <c r="C53" s="627"/>
      <c r="D53" s="626"/>
      <c r="E53" s="628"/>
      <c r="F53" s="629"/>
    </row>
    <row r="54" spans="1:8" ht="17.399999999999999">
      <c r="A54" s="568"/>
      <c r="B54" s="569"/>
      <c r="C54" s="570"/>
      <c r="D54" s="569"/>
      <c r="E54" s="571"/>
      <c r="F54" s="572"/>
    </row>
    <row r="55" spans="1:8">
      <c r="A55" s="574"/>
      <c r="B55" s="575"/>
      <c r="C55" s="576"/>
      <c r="D55" s="575"/>
      <c r="E55" s="577"/>
      <c r="F55" s="578"/>
    </row>
    <row r="56" spans="1:8">
      <c r="A56" s="574"/>
      <c r="B56" s="575"/>
      <c r="C56" s="576"/>
      <c r="D56" s="575"/>
      <c r="E56" s="577"/>
      <c r="F56" s="578"/>
    </row>
    <row r="57" spans="1:8">
      <c r="A57" s="579"/>
      <c r="B57" s="580"/>
      <c r="C57" s="581"/>
      <c r="D57" s="580"/>
      <c r="E57" s="582"/>
      <c r="F57" s="583"/>
    </row>
    <row r="58" spans="1:8" ht="15" thickBot="1">
      <c r="A58" s="584" t="s">
        <v>276</v>
      </c>
      <c r="B58" s="585"/>
      <c r="C58" s="587" t="s">
        <v>277</v>
      </c>
      <c r="D58" s="586" t="s">
        <v>266</v>
      </c>
      <c r="E58" s="588" t="s">
        <v>278</v>
      </c>
      <c r="F58" s="589" t="s">
        <v>267</v>
      </c>
    </row>
    <row r="59" spans="1:8">
      <c r="A59" s="590"/>
      <c r="B59" s="591"/>
      <c r="C59" s="593"/>
      <c r="D59" s="592"/>
      <c r="E59" s="594"/>
      <c r="F59" s="595"/>
    </row>
    <row r="60" spans="1:8" ht="39.6">
      <c r="A60" s="652" t="s">
        <v>337</v>
      </c>
      <c r="B60" s="591" t="s">
        <v>418</v>
      </c>
      <c r="C60" s="610"/>
      <c r="D60" s="592"/>
      <c r="E60" s="594"/>
      <c r="F60" s="595"/>
    </row>
    <row r="61" spans="1:8">
      <c r="A61" s="590"/>
      <c r="B61" s="661"/>
      <c r="C61" s="593"/>
      <c r="D61" s="662"/>
      <c r="E61" s="594"/>
      <c r="F61" s="595"/>
    </row>
    <row r="62" spans="1:8">
      <c r="A62" s="590" t="s">
        <v>294</v>
      </c>
      <c r="B62" s="661" t="s">
        <v>419</v>
      </c>
      <c r="C62" s="593">
        <v>1</v>
      </c>
      <c r="D62" s="662" t="s">
        <v>283</v>
      </c>
      <c r="E62" s="594"/>
      <c r="F62" s="595">
        <f>E62*C62</f>
        <v>0</v>
      </c>
    </row>
    <row r="63" spans="1:8">
      <c r="A63" s="590"/>
      <c r="B63" s="661"/>
      <c r="C63" s="593"/>
      <c r="D63" s="662"/>
      <c r="E63" s="594"/>
      <c r="F63" s="595"/>
    </row>
    <row r="64" spans="1:8">
      <c r="A64" s="590" t="s">
        <v>339</v>
      </c>
      <c r="B64" s="661" t="s">
        <v>420</v>
      </c>
      <c r="C64" s="593">
        <v>1</v>
      </c>
      <c r="D64" s="662" t="s">
        <v>283</v>
      </c>
      <c r="E64" s="594"/>
      <c r="F64" s="595">
        <f>E64*C64</f>
        <v>0</v>
      </c>
    </row>
    <row r="65" spans="1:6">
      <c r="A65" s="590"/>
      <c r="B65" s="661"/>
      <c r="C65" s="593"/>
      <c r="D65" s="662"/>
      <c r="E65" s="594"/>
      <c r="F65" s="595"/>
    </row>
    <row r="66" spans="1:6">
      <c r="A66" s="590" t="s">
        <v>340</v>
      </c>
      <c r="B66" s="661" t="s">
        <v>421</v>
      </c>
      <c r="C66" s="593">
        <v>1</v>
      </c>
      <c r="D66" s="662" t="s">
        <v>283</v>
      </c>
      <c r="E66" s="594"/>
      <c r="F66" s="595">
        <f>E66*C66</f>
        <v>0</v>
      </c>
    </row>
    <row r="67" spans="1:6">
      <c r="A67" s="590"/>
      <c r="B67" s="661"/>
      <c r="C67" s="593"/>
      <c r="D67" s="662"/>
      <c r="E67" s="594"/>
      <c r="F67" s="595"/>
    </row>
    <row r="68" spans="1:6">
      <c r="A68" s="590" t="s">
        <v>409</v>
      </c>
      <c r="B68" s="661" t="s">
        <v>422</v>
      </c>
      <c r="C68" s="593">
        <v>1</v>
      </c>
      <c r="D68" s="662" t="s">
        <v>283</v>
      </c>
      <c r="E68" s="594"/>
      <c r="F68" s="595">
        <f>E68*C68</f>
        <v>0</v>
      </c>
    </row>
    <row r="69" spans="1:6">
      <c r="A69" s="590"/>
      <c r="B69" s="661"/>
      <c r="C69" s="593"/>
      <c r="D69" s="662"/>
      <c r="E69" s="594"/>
      <c r="F69" s="595"/>
    </row>
    <row r="70" spans="1:6">
      <c r="A70" s="590" t="s">
        <v>416</v>
      </c>
      <c r="B70" s="661" t="s">
        <v>423</v>
      </c>
      <c r="C70" s="593">
        <v>1</v>
      </c>
      <c r="D70" s="662" t="s">
        <v>283</v>
      </c>
      <c r="E70" s="594"/>
      <c r="F70" s="595">
        <f>E70*C70</f>
        <v>0</v>
      </c>
    </row>
    <row r="71" spans="1:6">
      <c r="A71" s="590"/>
      <c r="B71" s="661"/>
      <c r="C71" s="593"/>
      <c r="D71" s="662"/>
      <c r="E71" s="594"/>
      <c r="F71" s="595"/>
    </row>
    <row r="72" spans="1:6">
      <c r="A72" s="590" t="s">
        <v>424</v>
      </c>
      <c r="B72" s="661" t="s">
        <v>425</v>
      </c>
      <c r="C72" s="593">
        <v>1</v>
      </c>
      <c r="D72" s="662" t="s">
        <v>283</v>
      </c>
      <c r="E72" s="594"/>
      <c r="F72" s="595">
        <f>E72*C72</f>
        <v>0</v>
      </c>
    </row>
    <row r="73" spans="1:6">
      <c r="A73" s="590"/>
      <c r="B73" s="661"/>
      <c r="C73" s="593"/>
      <c r="D73" s="662"/>
      <c r="E73" s="594"/>
      <c r="F73" s="595"/>
    </row>
    <row r="74" spans="1:6">
      <c r="A74" s="590" t="s">
        <v>426</v>
      </c>
      <c r="B74" s="661" t="s">
        <v>427</v>
      </c>
      <c r="C74" s="593">
        <v>1</v>
      </c>
      <c r="D74" s="662" t="s">
        <v>283</v>
      </c>
      <c r="E74" s="594"/>
      <c r="F74" s="595">
        <f>E74*C74</f>
        <v>0</v>
      </c>
    </row>
    <row r="75" spans="1:6">
      <c r="A75" s="590"/>
      <c r="B75" s="661"/>
      <c r="C75" s="593"/>
      <c r="D75" s="662"/>
      <c r="E75" s="594"/>
      <c r="F75" s="595"/>
    </row>
    <row r="76" spans="1:6">
      <c r="A76" s="590" t="s">
        <v>428</v>
      </c>
      <c r="B76" s="661" t="s">
        <v>429</v>
      </c>
      <c r="C76" s="593">
        <v>1</v>
      </c>
      <c r="D76" s="662" t="s">
        <v>283</v>
      </c>
      <c r="E76" s="594"/>
      <c r="F76" s="595">
        <f>E76*C76</f>
        <v>0</v>
      </c>
    </row>
    <row r="77" spans="1:6">
      <c r="A77" s="590"/>
      <c r="B77" s="661"/>
      <c r="C77" s="593"/>
      <c r="D77" s="662"/>
      <c r="E77" s="594"/>
      <c r="F77" s="595"/>
    </row>
    <row r="78" spans="1:6">
      <c r="A78" s="590" t="s">
        <v>430</v>
      </c>
      <c r="B78" s="661" t="s">
        <v>431</v>
      </c>
      <c r="C78" s="593">
        <v>1</v>
      </c>
      <c r="D78" s="662" t="s">
        <v>283</v>
      </c>
      <c r="E78" s="594"/>
      <c r="F78" s="595">
        <f>E78*C78</f>
        <v>0</v>
      </c>
    </row>
    <row r="79" spans="1:6">
      <c r="A79" s="590"/>
      <c r="B79" s="661"/>
      <c r="C79" s="593"/>
      <c r="D79" s="662"/>
      <c r="E79" s="594"/>
      <c r="F79" s="595"/>
    </row>
    <row r="80" spans="1:6">
      <c r="A80" s="590" t="s">
        <v>432</v>
      </c>
      <c r="B80" s="661" t="s">
        <v>433</v>
      </c>
      <c r="C80" s="593">
        <v>1</v>
      </c>
      <c r="D80" s="662" t="s">
        <v>283</v>
      </c>
      <c r="E80" s="594"/>
      <c r="F80" s="595">
        <f>E80*C80</f>
        <v>0</v>
      </c>
    </row>
    <row r="81" spans="1:6">
      <c r="A81" s="590"/>
      <c r="B81" s="661"/>
      <c r="C81" s="593"/>
      <c r="D81" s="662"/>
      <c r="E81" s="594"/>
      <c r="F81" s="595"/>
    </row>
    <row r="82" spans="1:6">
      <c r="A82" s="590"/>
      <c r="B82" s="661"/>
      <c r="C82" s="593"/>
      <c r="D82" s="662"/>
      <c r="E82" s="594"/>
      <c r="F82" s="595"/>
    </row>
    <row r="83" spans="1:6">
      <c r="A83" s="590"/>
      <c r="B83" s="661"/>
      <c r="C83" s="593"/>
      <c r="D83" s="662"/>
      <c r="E83" s="594"/>
      <c r="F83" s="595"/>
    </row>
    <row r="84" spans="1:6">
      <c r="A84" s="590"/>
      <c r="B84" s="661"/>
      <c r="C84" s="593"/>
      <c r="D84" s="662"/>
      <c r="E84" s="594"/>
      <c r="F84" s="595"/>
    </row>
    <row r="85" spans="1:6">
      <c r="A85" s="590"/>
      <c r="B85" s="661"/>
      <c r="C85" s="593"/>
      <c r="D85" s="662"/>
      <c r="E85" s="594"/>
      <c r="F85" s="595"/>
    </row>
    <row r="86" spans="1:6">
      <c r="A86" s="590"/>
      <c r="B86" s="661"/>
      <c r="C86" s="593"/>
      <c r="D86" s="662"/>
      <c r="E86" s="594"/>
      <c r="F86" s="595"/>
    </row>
    <row r="87" spans="1:6">
      <c r="A87" s="590"/>
      <c r="B87" s="661"/>
      <c r="C87" s="593"/>
      <c r="D87" s="662"/>
      <c r="E87" s="594"/>
      <c r="F87" s="595"/>
    </row>
    <row r="88" spans="1:6">
      <c r="A88" s="590"/>
      <c r="B88" s="661"/>
      <c r="C88" s="593"/>
      <c r="D88" s="662"/>
      <c r="E88" s="594"/>
      <c r="F88" s="595"/>
    </row>
    <row r="89" spans="1:6">
      <c r="A89" s="590"/>
      <c r="B89" s="661"/>
      <c r="C89" s="593"/>
      <c r="D89" s="662"/>
      <c r="E89" s="594"/>
      <c r="F89" s="595"/>
    </row>
    <row r="90" spans="1:6">
      <c r="A90" s="590"/>
      <c r="B90" s="661"/>
      <c r="C90" s="593"/>
      <c r="D90" s="662"/>
      <c r="E90" s="594"/>
      <c r="F90" s="595"/>
    </row>
    <row r="91" spans="1:6">
      <c r="A91" s="590"/>
      <c r="B91" s="661"/>
      <c r="C91" s="593"/>
      <c r="D91" s="662"/>
      <c r="E91" s="594"/>
      <c r="F91" s="595"/>
    </row>
    <row r="92" spans="1:6">
      <c r="A92" s="590"/>
      <c r="B92" s="661"/>
      <c r="C92" s="593"/>
      <c r="D92" s="662"/>
      <c r="E92" s="594"/>
      <c r="F92" s="595"/>
    </row>
    <row r="93" spans="1:6">
      <c r="A93" s="590"/>
      <c r="B93" s="661"/>
      <c r="C93" s="593"/>
      <c r="D93" s="662"/>
      <c r="E93" s="594"/>
      <c r="F93" s="595"/>
    </row>
    <row r="94" spans="1:6">
      <c r="A94" s="590"/>
      <c r="B94" s="661"/>
      <c r="C94" s="593"/>
      <c r="D94" s="662"/>
      <c r="E94" s="594"/>
      <c r="F94" s="595"/>
    </row>
    <row r="95" spans="1:6">
      <c r="A95" s="590"/>
      <c r="B95" s="661"/>
      <c r="C95" s="593"/>
      <c r="D95" s="662"/>
      <c r="E95" s="594"/>
      <c r="F95" s="595"/>
    </row>
    <row r="96" spans="1:6">
      <c r="A96" s="590"/>
      <c r="B96" s="661"/>
      <c r="C96" s="593"/>
      <c r="D96" s="662"/>
      <c r="E96" s="594"/>
      <c r="F96" s="595"/>
    </row>
    <row r="97" spans="1:8">
      <c r="A97" s="590"/>
      <c r="B97" s="661"/>
      <c r="C97" s="593"/>
      <c r="D97" s="662"/>
      <c r="E97" s="594"/>
      <c r="F97" s="595"/>
    </row>
    <row r="98" spans="1:8">
      <c r="A98" s="590"/>
      <c r="B98" s="661"/>
      <c r="C98" s="593"/>
      <c r="D98" s="662"/>
      <c r="E98" s="594"/>
      <c r="F98" s="595"/>
    </row>
    <row r="99" spans="1:8">
      <c r="A99" s="590"/>
      <c r="B99" s="661"/>
      <c r="C99" s="593"/>
      <c r="D99" s="662"/>
      <c r="E99" s="594"/>
      <c r="F99" s="595"/>
    </row>
    <row r="100" spans="1:8">
      <c r="A100" s="590"/>
      <c r="B100" s="661"/>
      <c r="C100" s="593"/>
      <c r="D100" s="662"/>
      <c r="E100" s="594"/>
      <c r="F100" s="595"/>
    </row>
    <row r="101" spans="1:8">
      <c r="A101" s="590"/>
      <c r="B101" s="661"/>
      <c r="C101" s="593"/>
      <c r="D101" s="662"/>
      <c r="E101" s="594"/>
      <c r="F101" s="595"/>
    </row>
    <row r="102" spans="1:8">
      <c r="A102" s="590"/>
      <c r="B102" s="661"/>
      <c r="C102" s="593"/>
      <c r="D102" s="662"/>
      <c r="E102" s="594"/>
      <c r="F102" s="595"/>
    </row>
    <row r="103" spans="1:8">
      <c r="A103" s="590"/>
      <c r="B103" s="661"/>
      <c r="C103" s="593"/>
      <c r="D103" s="662"/>
      <c r="E103" s="594"/>
      <c r="F103" s="595"/>
    </row>
    <row r="104" spans="1:8">
      <c r="A104" s="590"/>
      <c r="B104" s="661"/>
      <c r="C104" s="593"/>
      <c r="D104" s="662"/>
      <c r="E104" s="594"/>
      <c r="F104" s="595"/>
    </row>
    <row r="105" spans="1:8">
      <c r="A105" s="590"/>
      <c r="B105" s="661"/>
      <c r="C105" s="593"/>
      <c r="D105" s="662"/>
      <c r="E105" s="594"/>
      <c r="F105" s="595"/>
    </row>
    <row r="106" spans="1:8" ht="15" thickBot="1">
      <c r="A106" s="590"/>
      <c r="B106" s="661"/>
      <c r="C106" s="593"/>
      <c r="D106" s="662"/>
      <c r="E106" s="594"/>
      <c r="F106" s="595"/>
    </row>
    <row r="107" spans="1:8">
      <c r="A107" s="612"/>
      <c r="B107" s="613"/>
      <c r="C107" s="615"/>
      <c r="D107" s="614"/>
      <c r="E107" s="616"/>
      <c r="F107" s="617"/>
    </row>
    <row r="108" spans="1:8">
      <c r="A108" s="618" t="s">
        <v>310</v>
      </c>
      <c r="B108" s="619" t="s">
        <v>289</v>
      </c>
      <c r="C108" s="621"/>
      <c r="D108" s="620"/>
      <c r="E108" s="622"/>
      <c r="F108" s="623">
        <f>SUM(F62:F106)</f>
        <v>0</v>
      </c>
      <c r="H108" s="645"/>
    </row>
    <row r="109" spans="1:8">
      <c r="A109" s="624"/>
      <c r="B109" s="625"/>
      <c r="C109" s="627"/>
      <c r="D109" s="626"/>
      <c r="E109" s="628"/>
      <c r="F109" s="629"/>
    </row>
    <row r="110" spans="1:8" ht="17.399999999999999">
      <c r="A110" s="568"/>
      <c r="B110" s="663"/>
      <c r="C110" s="570"/>
      <c r="D110" s="569"/>
      <c r="E110" s="571"/>
      <c r="F110" s="572"/>
    </row>
    <row r="111" spans="1:8">
      <c r="A111" s="574"/>
      <c r="B111" s="664"/>
      <c r="C111" s="576"/>
      <c r="D111" s="575"/>
      <c r="E111" s="577"/>
      <c r="F111" s="578"/>
    </row>
    <row r="112" spans="1:8">
      <c r="A112" s="574"/>
      <c r="B112" s="664"/>
      <c r="C112" s="576"/>
      <c r="D112" s="575"/>
      <c r="E112" s="577"/>
      <c r="F112" s="578"/>
    </row>
    <row r="113" spans="1:6">
      <c r="A113" s="618"/>
      <c r="B113" s="657"/>
      <c r="C113" s="581"/>
      <c r="D113" s="580"/>
      <c r="E113" s="582"/>
      <c r="F113" s="583"/>
    </row>
    <row r="114" spans="1:6" ht="15" thickBot="1">
      <c r="A114" s="584" t="s">
        <v>276</v>
      </c>
      <c r="B114" s="585"/>
      <c r="C114" s="587" t="s">
        <v>277</v>
      </c>
      <c r="D114" s="586" t="s">
        <v>266</v>
      </c>
      <c r="E114" s="588" t="s">
        <v>278</v>
      </c>
      <c r="F114" s="589" t="s">
        <v>267</v>
      </c>
    </row>
    <row r="115" spans="1:6">
      <c r="A115" s="590"/>
      <c r="B115" s="661"/>
      <c r="C115" s="593"/>
      <c r="D115" s="662"/>
      <c r="E115" s="594"/>
      <c r="F115" s="595"/>
    </row>
    <row r="116" spans="1:6" ht="52.8">
      <c r="A116" s="652" t="s">
        <v>292</v>
      </c>
      <c r="B116" s="661" t="s">
        <v>434</v>
      </c>
      <c r="C116" s="593"/>
      <c r="D116" s="662"/>
      <c r="E116" s="594"/>
      <c r="F116" s="595"/>
    </row>
    <row r="117" spans="1:6">
      <c r="A117" s="590"/>
      <c r="B117" s="661"/>
      <c r="C117" s="593"/>
      <c r="D117" s="662"/>
      <c r="E117" s="594"/>
      <c r="F117" s="595"/>
    </row>
    <row r="118" spans="1:6">
      <c r="A118" s="590" t="s">
        <v>294</v>
      </c>
      <c r="B118" s="661" t="s">
        <v>435</v>
      </c>
      <c r="C118" s="593">
        <v>1</v>
      </c>
      <c r="D118" s="662" t="s">
        <v>283</v>
      </c>
      <c r="E118" s="594"/>
      <c r="F118" s="595">
        <f>E118*C118</f>
        <v>0</v>
      </c>
    </row>
    <row r="119" spans="1:6">
      <c r="A119" s="590"/>
      <c r="B119" s="661"/>
      <c r="C119" s="593"/>
      <c r="D119" s="662"/>
      <c r="E119" s="594"/>
      <c r="F119" s="595"/>
    </row>
    <row r="120" spans="1:6">
      <c r="A120" s="590" t="s">
        <v>339</v>
      </c>
      <c r="B120" s="661" t="s">
        <v>436</v>
      </c>
      <c r="C120" s="593">
        <v>1</v>
      </c>
      <c r="D120" s="662" t="s">
        <v>283</v>
      </c>
      <c r="E120" s="594"/>
      <c r="F120" s="595">
        <f>E120*C120</f>
        <v>0</v>
      </c>
    </row>
    <row r="121" spans="1:6">
      <c r="A121" s="590"/>
      <c r="B121" s="661"/>
      <c r="C121" s="593"/>
      <c r="D121" s="662"/>
      <c r="E121" s="594"/>
      <c r="F121" s="595"/>
    </row>
    <row r="122" spans="1:6">
      <c r="A122" s="590" t="s">
        <v>340</v>
      </c>
      <c r="B122" s="661" t="s">
        <v>437</v>
      </c>
      <c r="C122" s="593">
        <v>1</v>
      </c>
      <c r="D122" s="662" t="s">
        <v>283</v>
      </c>
      <c r="E122" s="594"/>
      <c r="F122" s="595">
        <f>E122*C122</f>
        <v>0</v>
      </c>
    </row>
    <row r="123" spans="1:6">
      <c r="A123" s="590"/>
      <c r="B123" s="661"/>
      <c r="C123" s="593"/>
      <c r="D123" s="662"/>
      <c r="E123" s="594"/>
      <c r="F123" s="595"/>
    </row>
    <row r="124" spans="1:6">
      <c r="A124" s="590" t="s">
        <v>409</v>
      </c>
      <c r="B124" s="661" t="s">
        <v>438</v>
      </c>
      <c r="C124" s="593">
        <v>1</v>
      </c>
      <c r="D124" s="662" t="s">
        <v>283</v>
      </c>
      <c r="E124" s="594"/>
      <c r="F124" s="595">
        <f>E124*C124</f>
        <v>0</v>
      </c>
    </row>
    <row r="125" spans="1:6">
      <c r="A125" s="590"/>
      <c r="B125" s="661"/>
      <c r="C125" s="593"/>
      <c r="D125" s="662"/>
      <c r="E125" s="594"/>
      <c r="F125" s="595"/>
    </row>
    <row r="126" spans="1:6">
      <c r="A126" s="590" t="s">
        <v>416</v>
      </c>
      <c r="B126" s="661" t="s">
        <v>439</v>
      </c>
      <c r="C126" s="593">
        <v>1</v>
      </c>
      <c r="D126" s="662" t="s">
        <v>283</v>
      </c>
      <c r="E126" s="594"/>
      <c r="F126" s="595">
        <f>E126*C126</f>
        <v>0</v>
      </c>
    </row>
    <row r="127" spans="1:6">
      <c r="A127" s="590"/>
      <c r="B127" s="661"/>
      <c r="C127" s="593"/>
      <c r="D127" s="662"/>
      <c r="E127" s="594"/>
      <c r="F127" s="595"/>
    </row>
    <row r="128" spans="1:6">
      <c r="A128" s="590" t="s">
        <v>424</v>
      </c>
      <c r="B128" s="661" t="s">
        <v>440</v>
      </c>
      <c r="C128" s="593">
        <v>1</v>
      </c>
      <c r="D128" s="662" t="s">
        <v>283</v>
      </c>
      <c r="E128" s="594"/>
      <c r="F128" s="595">
        <f>E128*C128</f>
        <v>0</v>
      </c>
    </row>
    <row r="129" spans="1:6">
      <c r="A129" s="590"/>
      <c r="B129" s="661"/>
      <c r="C129" s="593"/>
      <c r="D129" s="662"/>
      <c r="E129" s="594"/>
      <c r="F129" s="595"/>
    </row>
    <row r="130" spans="1:6">
      <c r="A130" s="590"/>
      <c r="B130" s="661"/>
      <c r="C130" s="593"/>
      <c r="D130" s="662"/>
      <c r="E130" s="594"/>
      <c r="F130" s="595"/>
    </row>
    <row r="131" spans="1:6">
      <c r="A131" s="590"/>
      <c r="B131" s="661"/>
      <c r="C131" s="593"/>
      <c r="D131" s="662"/>
      <c r="E131" s="594"/>
      <c r="F131" s="595"/>
    </row>
    <row r="132" spans="1:6">
      <c r="A132" s="590"/>
      <c r="B132" s="661"/>
      <c r="C132" s="593"/>
      <c r="D132" s="662"/>
      <c r="E132" s="594"/>
      <c r="F132" s="595"/>
    </row>
    <row r="133" spans="1:6">
      <c r="A133" s="590"/>
      <c r="B133" s="609"/>
      <c r="C133" s="646"/>
      <c r="D133" s="662"/>
      <c r="E133" s="594"/>
      <c r="F133" s="595"/>
    </row>
    <row r="134" spans="1:6">
      <c r="A134" s="590"/>
      <c r="B134" s="661"/>
      <c r="C134" s="593"/>
      <c r="D134" s="662"/>
      <c r="E134" s="594"/>
      <c r="F134" s="595"/>
    </row>
    <row r="135" spans="1:6">
      <c r="A135" s="590"/>
      <c r="B135" s="661"/>
      <c r="C135" s="593"/>
      <c r="D135" s="662"/>
      <c r="E135" s="594"/>
      <c r="F135" s="595"/>
    </row>
    <row r="136" spans="1:6">
      <c r="A136" s="590"/>
      <c r="B136" s="661"/>
      <c r="C136" s="593"/>
      <c r="D136" s="662"/>
      <c r="E136" s="594"/>
      <c r="F136" s="595"/>
    </row>
    <row r="137" spans="1:6">
      <c r="A137" s="590"/>
      <c r="B137" s="661"/>
      <c r="C137" s="593"/>
      <c r="D137" s="662"/>
      <c r="E137" s="594"/>
      <c r="F137" s="595"/>
    </row>
    <row r="138" spans="1:6">
      <c r="A138" s="590"/>
      <c r="B138" s="661"/>
      <c r="C138" s="593"/>
      <c r="D138" s="662"/>
      <c r="E138" s="594"/>
      <c r="F138" s="595"/>
    </row>
    <row r="139" spans="1:6">
      <c r="A139" s="590"/>
      <c r="B139" s="661"/>
      <c r="C139" s="593"/>
      <c r="D139" s="662"/>
      <c r="E139" s="594"/>
      <c r="F139" s="595"/>
    </row>
    <row r="140" spans="1:6">
      <c r="A140" s="590"/>
      <c r="B140" s="661"/>
      <c r="C140" s="593"/>
      <c r="D140" s="662"/>
      <c r="E140" s="594"/>
      <c r="F140" s="595"/>
    </row>
    <row r="141" spans="1:6">
      <c r="A141" s="590"/>
      <c r="B141" s="661"/>
      <c r="C141" s="593"/>
      <c r="D141" s="662"/>
      <c r="E141" s="594"/>
      <c r="F141" s="595"/>
    </row>
    <row r="142" spans="1:6">
      <c r="A142" s="590"/>
      <c r="B142" s="661"/>
      <c r="C142" s="593"/>
      <c r="D142" s="662"/>
      <c r="E142" s="594"/>
      <c r="F142" s="595"/>
    </row>
    <row r="143" spans="1:6">
      <c r="A143" s="590"/>
      <c r="B143" s="661"/>
      <c r="C143" s="593"/>
      <c r="D143" s="662"/>
      <c r="E143" s="594"/>
      <c r="F143" s="595"/>
    </row>
    <row r="144" spans="1:6">
      <c r="A144" s="590"/>
      <c r="B144" s="661"/>
      <c r="C144" s="593"/>
      <c r="D144" s="662"/>
      <c r="E144" s="594"/>
      <c r="F144" s="595"/>
    </row>
    <row r="145" spans="1:6">
      <c r="A145" s="590"/>
      <c r="B145" s="661"/>
      <c r="C145" s="593"/>
      <c r="D145" s="662"/>
      <c r="E145" s="594"/>
      <c r="F145" s="595"/>
    </row>
    <row r="146" spans="1:6">
      <c r="A146" s="590"/>
      <c r="B146" s="661"/>
      <c r="C146" s="593"/>
      <c r="D146" s="662"/>
      <c r="E146" s="594"/>
      <c r="F146" s="595"/>
    </row>
    <row r="147" spans="1:6">
      <c r="A147" s="590"/>
      <c r="B147" s="661"/>
      <c r="C147" s="593"/>
      <c r="D147" s="662"/>
      <c r="E147" s="594"/>
      <c r="F147" s="595"/>
    </row>
    <row r="148" spans="1:6">
      <c r="A148" s="590"/>
      <c r="B148" s="661"/>
      <c r="C148" s="593"/>
      <c r="D148" s="662"/>
      <c r="E148" s="594"/>
      <c r="F148" s="595"/>
    </row>
    <row r="149" spans="1:6">
      <c r="A149" s="590"/>
      <c r="B149" s="661"/>
      <c r="C149" s="593"/>
      <c r="D149" s="662"/>
      <c r="E149" s="594"/>
      <c r="F149" s="595"/>
    </row>
    <row r="150" spans="1:6">
      <c r="A150" s="590"/>
      <c r="B150" s="661"/>
      <c r="C150" s="593"/>
      <c r="D150" s="662"/>
      <c r="E150" s="594"/>
      <c r="F150" s="595"/>
    </row>
    <row r="151" spans="1:6">
      <c r="A151" s="590"/>
      <c r="B151" s="661"/>
      <c r="C151" s="593"/>
      <c r="D151" s="662"/>
      <c r="E151" s="594"/>
      <c r="F151" s="595"/>
    </row>
    <row r="152" spans="1:6">
      <c r="A152" s="590"/>
      <c r="B152" s="661"/>
      <c r="C152" s="593"/>
      <c r="D152" s="662"/>
      <c r="E152" s="594"/>
      <c r="F152" s="595"/>
    </row>
    <row r="153" spans="1:6">
      <c r="A153" s="590"/>
      <c r="B153" s="661"/>
      <c r="C153" s="593"/>
      <c r="D153" s="662"/>
      <c r="E153" s="594"/>
      <c r="F153" s="595"/>
    </row>
    <row r="154" spans="1:6">
      <c r="A154" s="590"/>
      <c r="B154" s="661"/>
      <c r="C154" s="593"/>
      <c r="D154" s="662"/>
      <c r="E154" s="594"/>
      <c r="F154" s="595"/>
    </row>
    <row r="155" spans="1:6">
      <c r="A155" s="590"/>
      <c r="B155" s="661"/>
      <c r="C155" s="593"/>
      <c r="D155" s="662"/>
      <c r="E155" s="594"/>
      <c r="F155" s="595"/>
    </row>
    <row r="156" spans="1:6">
      <c r="A156" s="590"/>
      <c r="B156" s="661"/>
      <c r="C156" s="593"/>
      <c r="D156" s="662"/>
      <c r="E156" s="594"/>
      <c r="F156" s="595"/>
    </row>
    <row r="157" spans="1:6">
      <c r="A157" s="590"/>
      <c r="B157" s="661"/>
      <c r="C157" s="593"/>
      <c r="D157" s="662"/>
      <c r="E157" s="594"/>
      <c r="F157" s="595"/>
    </row>
    <row r="158" spans="1:6">
      <c r="A158" s="590"/>
      <c r="B158" s="661"/>
      <c r="C158" s="593"/>
      <c r="D158" s="662"/>
      <c r="E158" s="594"/>
      <c r="F158" s="595"/>
    </row>
    <row r="159" spans="1:6">
      <c r="A159" s="590"/>
      <c r="B159" s="661"/>
      <c r="C159" s="593"/>
      <c r="D159" s="662"/>
      <c r="E159" s="594"/>
      <c r="F159" s="595"/>
    </row>
    <row r="160" spans="1:6">
      <c r="A160" s="590"/>
      <c r="B160" s="661"/>
      <c r="C160" s="593"/>
      <c r="D160" s="662"/>
      <c r="E160" s="594"/>
      <c r="F160" s="595"/>
    </row>
    <row r="161" spans="1:9">
      <c r="A161" s="590"/>
      <c r="B161" s="609"/>
      <c r="C161" s="646"/>
      <c r="D161" s="662"/>
      <c r="E161" s="594"/>
      <c r="F161" s="595"/>
    </row>
    <row r="162" spans="1:9" ht="15" thickBot="1">
      <c r="A162" s="590"/>
      <c r="B162" s="665"/>
      <c r="C162" s="593"/>
      <c r="D162" s="662"/>
      <c r="E162" s="594"/>
      <c r="F162" s="595"/>
    </row>
    <row r="163" spans="1:9">
      <c r="A163" s="612"/>
      <c r="B163" s="613"/>
      <c r="C163" s="615"/>
      <c r="D163" s="614"/>
      <c r="E163" s="616"/>
      <c r="F163" s="617"/>
    </row>
    <row r="164" spans="1:9">
      <c r="A164" s="618" t="s">
        <v>310</v>
      </c>
      <c r="B164" s="619" t="s">
        <v>289</v>
      </c>
      <c r="C164" s="621"/>
      <c r="D164" s="620"/>
      <c r="E164" s="622"/>
      <c r="F164" s="623">
        <f>SUM(F118:F162)</f>
        <v>0</v>
      </c>
      <c r="H164" s="645"/>
      <c r="I164" s="645"/>
    </row>
    <row r="165" spans="1:9">
      <c r="A165" s="624"/>
      <c r="B165" s="625"/>
      <c r="C165" s="627"/>
      <c r="D165" s="626"/>
      <c r="E165" s="628"/>
      <c r="F165" s="629"/>
    </row>
    <row r="166" spans="1:9" ht="17.399999999999999">
      <c r="A166" s="568"/>
      <c r="B166" s="663"/>
      <c r="C166" s="570"/>
      <c r="D166" s="569"/>
      <c r="E166" s="571"/>
      <c r="F166" s="572"/>
    </row>
    <row r="167" spans="1:9">
      <c r="A167" s="574"/>
      <c r="B167" s="664"/>
      <c r="C167" s="576"/>
      <c r="D167" s="575"/>
      <c r="E167" s="577"/>
      <c r="F167" s="578"/>
    </row>
    <row r="168" spans="1:9">
      <c r="A168" s="574"/>
      <c r="B168" s="664"/>
      <c r="C168" s="576"/>
      <c r="D168" s="575"/>
      <c r="E168" s="577"/>
      <c r="F168" s="578"/>
    </row>
    <row r="169" spans="1:9">
      <c r="A169" s="618"/>
      <c r="B169" s="657"/>
      <c r="C169" s="581"/>
      <c r="D169" s="580"/>
      <c r="E169" s="582"/>
      <c r="F169" s="583"/>
    </row>
    <row r="170" spans="1:9" ht="15" thickBot="1">
      <c r="A170" s="584" t="s">
        <v>276</v>
      </c>
      <c r="B170" s="585"/>
      <c r="C170" s="587" t="s">
        <v>277</v>
      </c>
      <c r="D170" s="586" t="s">
        <v>266</v>
      </c>
      <c r="E170" s="588" t="s">
        <v>278</v>
      </c>
      <c r="F170" s="589" t="s">
        <v>267</v>
      </c>
    </row>
    <row r="171" spans="1:9">
      <c r="A171" s="590"/>
      <c r="B171" s="591"/>
      <c r="C171" s="593"/>
      <c r="D171" s="592"/>
      <c r="E171" s="594"/>
      <c r="F171" s="595"/>
    </row>
    <row r="172" spans="1:9" ht="52.8">
      <c r="A172" s="590" t="s">
        <v>297</v>
      </c>
      <c r="B172" s="591" t="s">
        <v>441</v>
      </c>
      <c r="C172" s="593"/>
      <c r="D172" s="592"/>
      <c r="E172" s="594"/>
      <c r="F172" s="595"/>
    </row>
    <row r="173" spans="1:9">
      <c r="A173" s="590"/>
      <c r="B173" s="591"/>
      <c r="C173" s="593"/>
      <c r="D173" s="592"/>
      <c r="E173" s="594"/>
      <c r="F173" s="595"/>
    </row>
    <row r="174" spans="1:9">
      <c r="A174" s="590" t="s">
        <v>294</v>
      </c>
      <c r="B174" s="591" t="s">
        <v>442</v>
      </c>
      <c r="C174" s="593">
        <v>1</v>
      </c>
      <c r="D174" s="592" t="s">
        <v>283</v>
      </c>
      <c r="E174" s="594"/>
      <c r="F174" s="595">
        <f>E174*C174</f>
        <v>0</v>
      </c>
    </row>
    <row r="175" spans="1:9">
      <c r="A175" s="590"/>
      <c r="B175" s="591"/>
      <c r="C175" s="593"/>
      <c r="D175" s="592"/>
      <c r="E175" s="594"/>
      <c r="F175" s="595"/>
    </row>
    <row r="176" spans="1:9">
      <c r="A176" s="590" t="s">
        <v>339</v>
      </c>
      <c r="B176" s="661" t="s">
        <v>443</v>
      </c>
      <c r="C176" s="593">
        <v>1</v>
      </c>
      <c r="D176" s="592" t="s">
        <v>283</v>
      </c>
      <c r="E176" s="594"/>
      <c r="F176" s="595">
        <f>E176*C176</f>
        <v>0</v>
      </c>
    </row>
    <row r="177" spans="1:7">
      <c r="A177" s="590"/>
      <c r="B177" s="591"/>
      <c r="C177" s="593"/>
      <c r="D177" s="592"/>
      <c r="E177" s="594"/>
      <c r="F177" s="595"/>
    </row>
    <row r="178" spans="1:7">
      <c r="A178" s="590" t="s">
        <v>340</v>
      </c>
      <c r="B178" s="591" t="s">
        <v>444</v>
      </c>
      <c r="C178" s="593">
        <v>1</v>
      </c>
      <c r="D178" s="592" t="s">
        <v>283</v>
      </c>
      <c r="E178" s="594"/>
      <c r="F178" s="595">
        <f>E178*C178</f>
        <v>0</v>
      </c>
    </row>
    <row r="179" spans="1:7">
      <c r="A179" s="590"/>
      <c r="B179" s="591"/>
      <c r="C179" s="593"/>
      <c r="D179" s="592"/>
      <c r="E179" s="594"/>
      <c r="F179" s="595"/>
    </row>
    <row r="180" spans="1:7">
      <c r="A180" s="590" t="s">
        <v>409</v>
      </c>
      <c r="B180" s="591" t="s">
        <v>445</v>
      </c>
      <c r="C180" s="593">
        <v>1</v>
      </c>
      <c r="D180" s="592" t="s">
        <v>283</v>
      </c>
      <c r="E180" s="594"/>
      <c r="F180" s="595">
        <f>E180*C180</f>
        <v>0</v>
      </c>
    </row>
    <row r="181" spans="1:7">
      <c r="A181" s="590"/>
      <c r="B181" s="591"/>
      <c r="C181" s="593"/>
      <c r="D181" s="592"/>
      <c r="E181" s="594"/>
      <c r="F181" s="595"/>
    </row>
    <row r="182" spans="1:7">
      <c r="A182" s="590"/>
      <c r="B182" s="591"/>
      <c r="C182" s="593"/>
      <c r="D182" s="592"/>
      <c r="E182" s="594"/>
      <c r="F182" s="595"/>
    </row>
    <row r="183" spans="1:7" ht="87.6" customHeight="1">
      <c r="A183" s="603">
        <v>6</v>
      </c>
      <c r="B183" s="604" t="s">
        <v>446</v>
      </c>
      <c r="C183" s="606">
        <v>1</v>
      </c>
      <c r="D183" s="605" t="s">
        <v>287</v>
      </c>
      <c r="E183" s="607">
        <f>Elec_Est!E893</f>
        <v>929.03</v>
      </c>
      <c r="F183" s="608">
        <f>E183*C183</f>
        <v>929.03</v>
      </c>
      <c r="G183" s="573">
        <v>2</v>
      </c>
    </row>
    <row r="184" spans="1:7">
      <c r="A184" s="590"/>
      <c r="B184" s="661"/>
      <c r="C184" s="593"/>
      <c r="D184" s="592"/>
      <c r="E184" s="594"/>
      <c r="F184" s="595"/>
    </row>
    <row r="185" spans="1:7">
      <c r="A185" s="590"/>
      <c r="B185" s="666"/>
      <c r="C185" s="646"/>
      <c r="D185" s="592"/>
      <c r="E185" s="594"/>
      <c r="F185" s="595"/>
    </row>
    <row r="186" spans="1:7">
      <c r="A186" s="590"/>
      <c r="B186" s="609"/>
      <c r="C186" s="610"/>
      <c r="D186" s="592"/>
      <c r="E186" s="594"/>
      <c r="F186" s="595"/>
    </row>
    <row r="187" spans="1:7">
      <c r="A187" s="590"/>
      <c r="B187" s="609"/>
      <c r="C187" s="610"/>
      <c r="D187" s="592"/>
      <c r="E187" s="594"/>
      <c r="F187" s="595"/>
    </row>
    <row r="188" spans="1:7">
      <c r="A188" s="590"/>
      <c r="B188" s="609"/>
      <c r="C188" s="610"/>
      <c r="D188" s="592"/>
      <c r="E188" s="594"/>
      <c r="F188" s="595"/>
    </row>
    <row r="189" spans="1:7">
      <c r="A189" s="590"/>
      <c r="B189" s="609"/>
      <c r="C189" s="610"/>
      <c r="D189" s="592"/>
      <c r="E189" s="594"/>
      <c r="F189" s="595"/>
    </row>
    <row r="190" spans="1:7">
      <c r="A190" s="590"/>
      <c r="B190" s="667"/>
      <c r="C190" s="610"/>
      <c r="D190" s="592"/>
      <c r="E190" s="594"/>
      <c r="F190" s="595"/>
    </row>
    <row r="191" spans="1:7">
      <c r="A191" s="590"/>
      <c r="B191" s="609"/>
      <c r="C191" s="610"/>
      <c r="D191" s="592"/>
      <c r="E191" s="594"/>
      <c r="F191" s="595"/>
    </row>
    <row r="192" spans="1:7">
      <c r="A192" s="590"/>
      <c r="B192" s="609"/>
      <c r="C192" s="610"/>
      <c r="D192" s="592"/>
      <c r="E192" s="594"/>
      <c r="F192" s="595"/>
    </row>
    <row r="193" spans="1:6">
      <c r="A193" s="590"/>
      <c r="B193" s="666"/>
      <c r="C193" s="646"/>
      <c r="D193" s="592"/>
      <c r="E193" s="594"/>
      <c r="F193" s="595"/>
    </row>
    <row r="194" spans="1:6">
      <c r="A194" s="590"/>
      <c r="B194" s="666"/>
      <c r="C194" s="610"/>
      <c r="D194" s="592"/>
      <c r="E194" s="594"/>
      <c r="F194" s="595"/>
    </row>
    <row r="195" spans="1:6">
      <c r="A195" s="590"/>
      <c r="B195" s="666"/>
      <c r="C195" s="610"/>
      <c r="D195" s="592"/>
      <c r="E195" s="594"/>
      <c r="F195" s="595"/>
    </row>
    <row r="196" spans="1:6">
      <c r="A196" s="590"/>
      <c r="B196" s="666"/>
      <c r="C196" s="610"/>
      <c r="D196" s="592"/>
      <c r="E196" s="594"/>
      <c r="F196" s="595"/>
    </row>
    <row r="197" spans="1:6">
      <c r="A197" s="590"/>
      <c r="B197" s="666"/>
      <c r="C197" s="610"/>
      <c r="D197" s="592"/>
      <c r="E197" s="594"/>
      <c r="F197" s="595"/>
    </row>
    <row r="198" spans="1:6">
      <c r="A198" s="590"/>
      <c r="B198" s="666"/>
      <c r="C198" s="610"/>
      <c r="D198" s="592"/>
      <c r="E198" s="594"/>
      <c r="F198" s="595"/>
    </row>
    <row r="199" spans="1:6">
      <c r="A199" s="590"/>
      <c r="B199" s="666"/>
      <c r="C199" s="610"/>
      <c r="D199" s="592"/>
      <c r="E199" s="594"/>
      <c r="F199" s="595"/>
    </row>
    <row r="200" spans="1:6">
      <c r="A200" s="590"/>
      <c r="B200" s="666"/>
      <c r="C200" s="610"/>
      <c r="D200" s="592"/>
      <c r="E200" s="594"/>
      <c r="F200" s="595"/>
    </row>
    <row r="201" spans="1:6">
      <c r="A201" s="590"/>
      <c r="B201" s="666"/>
      <c r="C201" s="646"/>
      <c r="D201" s="592"/>
      <c r="E201" s="594"/>
      <c r="F201" s="595"/>
    </row>
    <row r="202" spans="1:6">
      <c r="A202" s="590"/>
      <c r="B202" s="666"/>
      <c r="C202" s="610"/>
      <c r="D202" s="592"/>
      <c r="E202" s="594"/>
      <c r="F202" s="595"/>
    </row>
    <row r="203" spans="1:6">
      <c r="A203" s="590"/>
      <c r="B203" s="666"/>
      <c r="C203" s="610"/>
      <c r="D203" s="592"/>
      <c r="E203" s="594"/>
      <c r="F203" s="595"/>
    </row>
    <row r="204" spans="1:6">
      <c r="A204" s="590"/>
      <c r="B204" s="666"/>
      <c r="C204" s="646"/>
      <c r="D204" s="592"/>
      <c r="E204" s="594"/>
      <c r="F204" s="595"/>
    </row>
    <row r="205" spans="1:6">
      <c r="A205" s="590"/>
      <c r="B205" s="666"/>
      <c r="C205" s="610"/>
      <c r="D205" s="592"/>
      <c r="E205" s="594"/>
      <c r="F205" s="595"/>
    </row>
    <row r="206" spans="1:6">
      <c r="A206" s="590"/>
      <c r="B206" s="666"/>
      <c r="C206" s="646"/>
      <c r="D206" s="592"/>
      <c r="E206" s="594"/>
      <c r="F206" s="595"/>
    </row>
    <row r="207" spans="1:6">
      <c r="A207" s="590"/>
      <c r="B207" s="666"/>
      <c r="C207" s="593"/>
      <c r="D207" s="592"/>
      <c r="E207" s="594"/>
      <c r="F207" s="595"/>
    </row>
    <row r="208" spans="1:6">
      <c r="A208" s="590"/>
      <c r="B208" s="666"/>
      <c r="C208" s="610"/>
      <c r="D208" s="592"/>
      <c r="E208" s="594"/>
      <c r="F208" s="595"/>
    </row>
    <row r="209" spans="1:9">
      <c r="A209" s="590"/>
      <c r="B209" s="666"/>
      <c r="C209" s="610"/>
      <c r="D209" s="592"/>
      <c r="E209" s="594"/>
      <c r="F209" s="595"/>
    </row>
    <row r="210" spans="1:9">
      <c r="A210" s="590"/>
      <c r="B210" s="666"/>
      <c r="C210" s="646"/>
      <c r="D210" s="592"/>
      <c r="E210" s="594"/>
      <c r="F210" s="595"/>
    </row>
    <row r="211" spans="1:9">
      <c r="A211" s="590"/>
      <c r="B211" s="666"/>
      <c r="C211" s="646"/>
      <c r="D211" s="592"/>
      <c r="E211" s="594"/>
      <c r="F211" s="595"/>
    </row>
    <row r="212" spans="1:9">
      <c r="A212" s="590"/>
      <c r="B212" s="666"/>
      <c r="C212" s="646"/>
      <c r="D212" s="592"/>
      <c r="E212" s="594"/>
      <c r="F212" s="595"/>
    </row>
    <row r="213" spans="1:9">
      <c r="A213" s="590"/>
      <c r="B213" s="666"/>
      <c r="C213" s="646"/>
      <c r="D213" s="592"/>
      <c r="E213" s="594"/>
      <c r="F213" s="595"/>
    </row>
    <row r="214" spans="1:9" ht="15" thickBot="1">
      <c r="A214" s="590"/>
      <c r="B214" s="591"/>
      <c r="C214" s="593"/>
      <c r="D214" s="592"/>
      <c r="E214" s="594"/>
      <c r="F214" s="595"/>
    </row>
    <row r="215" spans="1:9">
      <c r="A215" s="612"/>
      <c r="B215" s="613"/>
      <c r="C215" s="615"/>
      <c r="D215" s="614"/>
      <c r="E215" s="616"/>
      <c r="F215" s="617"/>
      <c r="H215" s="645"/>
    </row>
    <row r="216" spans="1:9">
      <c r="A216" s="618" t="s">
        <v>310</v>
      </c>
      <c r="B216" s="619" t="s">
        <v>289</v>
      </c>
      <c r="C216" s="621"/>
      <c r="D216" s="620"/>
      <c r="E216" s="622"/>
      <c r="F216" s="623">
        <f>SUM(F174:F214)</f>
        <v>929.03</v>
      </c>
      <c r="I216" s="645"/>
    </row>
    <row r="217" spans="1:9">
      <c r="A217" s="624"/>
      <c r="B217" s="625"/>
      <c r="C217" s="627"/>
      <c r="D217" s="626"/>
      <c r="E217" s="628"/>
      <c r="F217" s="629"/>
    </row>
    <row r="219" spans="1:9">
      <c r="F219" s="63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456"/>
  <sheetViews>
    <sheetView topLeftCell="K1" workbookViewId="0">
      <selection activeCell="Y213" sqref="Y213"/>
    </sheetView>
  </sheetViews>
  <sheetFormatPr defaultColWidth="8.88671875" defaultRowHeight="14.4"/>
  <cols>
    <col min="1" max="1" width="7.6640625" style="630" hidden="1" customWidth="1"/>
    <col min="2" max="2" width="48.6640625" style="573" hidden="1" customWidth="1"/>
    <col min="3" max="3" width="5.6640625" style="631" hidden="1" customWidth="1"/>
    <col min="4" max="4" width="7.6640625" style="573" hidden="1" customWidth="1"/>
    <col min="5" max="5" width="10.33203125" style="632" hidden="1" customWidth="1"/>
    <col min="6" max="6" width="12.109375" style="632" hidden="1" customWidth="1"/>
    <col min="7" max="7" width="0" style="573" hidden="1" customWidth="1"/>
    <col min="8" max="8" width="10.109375" style="573" hidden="1" customWidth="1"/>
    <col min="9" max="10" width="0" style="573" hidden="1" customWidth="1"/>
    <col min="11" max="11" width="7.6640625" style="1043" customWidth="1"/>
    <col min="12" max="12" width="2.6640625" style="1043" customWidth="1"/>
    <col min="13" max="13" width="48.6640625" style="702" customWidth="1"/>
    <col min="14" max="14" width="7.6640625" style="702" customWidth="1"/>
    <col min="15" max="15" width="5.6640625" style="1044" customWidth="1"/>
    <col min="16" max="16" width="10.33203125" style="1045" customWidth="1"/>
    <col min="17" max="17" width="12.109375" style="1045" customWidth="1"/>
    <col min="18" max="16384" width="8.88671875" style="573"/>
  </cols>
  <sheetData>
    <row r="1" spans="1:17" ht="17.399999999999999">
      <c r="A1" s="568" t="s">
        <v>273</v>
      </c>
      <c r="B1" s="569"/>
      <c r="C1" s="570"/>
      <c r="D1" s="569"/>
      <c r="E1" s="571"/>
      <c r="F1" s="572"/>
      <c r="K1" s="980" t="s">
        <v>273</v>
      </c>
      <c r="L1" s="981"/>
      <c r="M1" s="982"/>
      <c r="N1" s="982"/>
      <c r="O1" s="983"/>
      <c r="P1" s="984"/>
      <c r="Q1" s="985"/>
    </row>
    <row r="2" spans="1:17">
      <c r="A2" s="574" t="s">
        <v>403</v>
      </c>
      <c r="B2" s="575"/>
      <c r="C2" s="576"/>
      <c r="D2" s="575"/>
      <c r="E2" s="577"/>
      <c r="F2" s="578"/>
      <c r="K2" s="986" t="s">
        <v>403</v>
      </c>
      <c r="L2" s="987"/>
      <c r="M2" s="988"/>
      <c r="N2" s="988"/>
      <c r="O2" s="989"/>
      <c r="P2" s="990"/>
      <c r="Q2" s="991"/>
    </row>
    <row r="3" spans="1:17">
      <c r="A3" s="574" t="s">
        <v>448</v>
      </c>
      <c r="B3" s="575"/>
      <c r="C3" s="576"/>
      <c r="D3" s="575"/>
      <c r="E3" s="577"/>
      <c r="F3" s="578"/>
      <c r="K3" s="986" t="s">
        <v>448</v>
      </c>
      <c r="L3" s="987"/>
      <c r="M3" s="988"/>
      <c r="N3" s="988"/>
      <c r="O3" s="989"/>
      <c r="P3" s="990"/>
      <c r="Q3" s="991"/>
    </row>
    <row r="4" spans="1:17">
      <c r="A4" s="579"/>
      <c r="B4" s="580"/>
      <c r="C4" s="581"/>
      <c r="D4" s="580"/>
      <c r="E4" s="582"/>
      <c r="F4" s="583"/>
      <c r="K4" s="992"/>
      <c r="L4" s="993"/>
      <c r="M4" s="543"/>
      <c r="N4" s="543"/>
      <c r="O4" s="994"/>
      <c r="P4" s="995"/>
      <c r="Q4" s="996"/>
    </row>
    <row r="5" spans="1:17" ht="15" thickBot="1">
      <c r="A5" s="584" t="s">
        <v>276</v>
      </c>
      <c r="B5" s="585"/>
      <c r="C5" s="587" t="s">
        <v>277</v>
      </c>
      <c r="D5" s="586" t="s">
        <v>266</v>
      </c>
      <c r="E5" s="588" t="s">
        <v>278</v>
      </c>
      <c r="F5" s="589" t="s">
        <v>267</v>
      </c>
      <c r="K5" s="997" t="s">
        <v>276</v>
      </c>
      <c r="L5" s="998" t="s">
        <v>887</v>
      </c>
      <c r="M5" s="999"/>
      <c r="N5" s="1000" t="s">
        <v>266</v>
      </c>
      <c r="O5" s="1001" t="s">
        <v>277</v>
      </c>
      <c r="P5" s="1002" t="s">
        <v>278</v>
      </c>
      <c r="Q5" s="1003" t="s">
        <v>267</v>
      </c>
    </row>
    <row r="6" spans="1:17">
      <c r="A6" s="590"/>
      <c r="B6" s="591"/>
      <c r="C6" s="593"/>
      <c r="D6" s="592"/>
      <c r="E6" s="594"/>
      <c r="F6" s="595"/>
      <c r="K6" s="696"/>
      <c r="L6" s="696"/>
      <c r="M6" s="703"/>
      <c r="N6" s="967"/>
      <c r="O6" s="968"/>
      <c r="P6" s="969"/>
      <c r="Q6" s="970"/>
    </row>
    <row r="7" spans="1:17" ht="39.6">
      <c r="A7" s="590" t="s">
        <v>279</v>
      </c>
      <c r="B7" s="639" t="s">
        <v>291</v>
      </c>
      <c r="C7" s="593"/>
      <c r="D7" s="592"/>
      <c r="E7" s="594"/>
      <c r="F7" s="595"/>
      <c r="K7" s="696"/>
      <c r="L7" s="696"/>
      <c r="M7" s="703"/>
      <c r="N7" s="967"/>
      <c r="O7" s="968"/>
      <c r="P7" s="969"/>
      <c r="Q7" s="970"/>
    </row>
    <row r="8" spans="1:17" ht="39.6">
      <c r="A8" s="590"/>
      <c r="B8" s="596"/>
      <c r="C8" s="593"/>
      <c r="D8" s="592"/>
      <c r="E8" s="594"/>
      <c r="F8" s="595"/>
      <c r="K8" s="1070">
        <v>1</v>
      </c>
      <c r="L8" s="705"/>
      <c r="M8" s="1071" t="s">
        <v>418</v>
      </c>
      <c r="N8" s="1047"/>
      <c r="O8" s="1072"/>
      <c r="P8" s="1049"/>
      <c r="Q8" s="1050"/>
    </row>
    <row r="9" spans="1:17">
      <c r="A9" s="590" t="s">
        <v>279</v>
      </c>
      <c r="B9" s="597" t="s">
        <v>403</v>
      </c>
      <c r="C9" s="593"/>
      <c r="D9" s="592"/>
      <c r="E9" s="594"/>
      <c r="F9" s="595"/>
      <c r="K9" s="705"/>
      <c r="L9" s="705"/>
      <c r="M9" s="1073"/>
      <c r="N9" s="1074"/>
      <c r="O9" s="1048"/>
      <c r="P9" s="1049"/>
      <c r="Q9" s="1050"/>
    </row>
    <row r="10" spans="1:17">
      <c r="A10" s="590"/>
      <c r="B10" s="677"/>
      <c r="C10" s="593"/>
      <c r="D10" s="662"/>
      <c r="E10" s="594"/>
      <c r="F10" s="595"/>
      <c r="K10" s="705"/>
      <c r="L10" s="705"/>
      <c r="M10" s="1073" t="s">
        <v>419</v>
      </c>
      <c r="N10" s="1074" t="s">
        <v>283</v>
      </c>
      <c r="O10" s="1048">
        <v>1</v>
      </c>
      <c r="P10" s="1049">
        <f ca="1">Elec_Est!E923</f>
        <v>61.84</v>
      </c>
      <c r="Q10" s="1050">
        <f ca="1">P10*O10</f>
        <v>61.84</v>
      </c>
    </row>
    <row r="11" spans="1:17" ht="52.8">
      <c r="A11" s="652" t="s">
        <v>334</v>
      </c>
      <c r="B11" s="678" t="s">
        <v>449</v>
      </c>
      <c r="C11" s="610"/>
      <c r="D11" s="662"/>
      <c r="E11" s="594"/>
      <c r="F11" s="595"/>
      <c r="K11" s="705"/>
      <c r="L11" s="705"/>
      <c r="M11" s="1073"/>
      <c r="N11" s="1074"/>
      <c r="O11" s="1048"/>
      <c r="P11" s="1049"/>
      <c r="Q11" s="1050"/>
    </row>
    <row r="12" spans="1:17">
      <c r="A12" s="590"/>
      <c r="B12" s="661"/>
      <c r="C12" s="593"/>
      <c r="D12" s="662"/>
      <c r="E12" s="594"/>
      <c r="F12" s="595"/>
      <c r="K12" s="705"/>
      <c r="L12" s="705"/>
      <c r="M12" s="1073" t="s">
        <v>420</v>
      </c>
      <c r="N12" s="1074" t="s">
        <v>283</v>
      </c>
      <c r="O12" s="1048">
        <v>1</v>
      </c>
      <c r="P12" s="1049">
        <f ca="1">Elec_Est!E930</f>
        <v>61.84</v>
      </c>
      <c r="Q12" s="1050">
        <f ca="1">P12*O12</f>
        <v>61.84</v>
      </c>
    </row>
    <row r="13" spans="1:17">
      <c r="A13" s="590" t="s">
        <v>294</v>
      </c>
      <c r="B13" s="678" t="s">
        <v>406</v>
      </c>
      <c r="C13" s="593">
        <v>1</v>
      </c>
      <c r="D13" s="662" t="s">
        <v>283</v>
      </c>
      <c r="E13" s="594"/>
      <c r="F13" s="595">
        <f>E13*C13</f>
        <v>0</v>
      </c>
      <c r="K13" s="705"/>
      <c r="L13" s="705"/>
      <c r="M13" s="1073"/>
      <c r="N13" s="1074"/>
      <c r="O13" s="1048"/>
      <c r="P13" s="1049"/>
      <c r="Q13" s="1050"/>
    </row>
    <row r="14" spans="1:17">
      <c r="A14" s="590"/>
      <c r="B14" s="678"/>
      <c r="C14" s="593"/>
      <c r="D14" s="662"/>
      <c r="E14" s="594"/>
      <c r="F14" s="595"/>
      <c r="K14" s="705"/>
      <c r="L14" s="705"/>
      <c r="M14" s="1073" t="s">
        <v>421</v>
      </c>
      <c r="N14" s="1074" t="s">
        <v>283</v>
      </c>
      <c r="O14" s="1048">
        <v>1</v>
      </c>
      <c r="P14" s="1049">
        <f ca="1">Elec_Est!E937</f>
        <v>47.58</v>
      </c>
      <c r="Q14" s="1050">
        <f ca="1">P14*O14</f>
        <v>47.58</v>
      </c>
    </row>
    <row r="15" spans="1:17">
      <c r="A15" s="590" t="s">
        <v>339</v>
      </c>
      <c r="B15" s="678" t="s">
        <v>407</v>
      </c>
      <c r="C15" s="593">
        <v>1</v>
      </c>
      <c r="D15" s="662" t="s">
        <v>283</v>
      </c>
      <c r="E15" s="594"/>
      <c r="F15" s="595">
        <f>E15*C15</f>
        <v>0</v>
      </c>
      <c r="K15" s="705"/>
      <c r="L15" s="705"/>
      <c r="M15" s="1073"/>
      <c r="N15" s="1074"/>
      <c r="O15" s="1048"/>
      <c r="P15" s="1049"/>
      <c r="Q15" s="1050"/>
    </row>
    <row r="16" spans="1:17">
      <c r="A16" s="590"/>
      <c r="B16" s="678"/>
      <c r="C16" s="593"/>
      <c r="D16" s="662"/>
      <c r="E16" s="594"/>
      <c r="F16" s="595"/>
      <c r="K16" s="705"/>
      <c r="L16" s="705"/>
      <c r="M16" s="1073" t="s">
        <v>422</v>
      </c>
      <c r="N16" s="1074" t="s">
        <v>283</v>
      </c>
      <c r="O16" s="1048">
        <v>1</v>
      </c>
      <c r="P16" s="1049">
        <f ca="1">Elec_Est!E944</f>
        <v>47.58</v>
      </c>
      <c r="Q16" s="1050">
        <f ca="1">P16*O16</f>
        <v>47.58</v>
      </c>
    </row>
    <row r="17" spans="1:17">
      <c r="A17" s="590" t="s">
        <v>340</v>
      </c>
      <c r="B17" s="678" t="s">
        <v>408</v>
      </c>
      <c r="C17" s="593">
        <v>1</v>
      </c>
      <c r="D17" s="662" t="s">
        <v>283</v>
      </c>
      <c r="E17" s="594"/>
      <c r="F17" s="595">
        <f>E17*C17</f>
        <v>0</v>
      </c>
      <c r="K17" s="705"/>
      <c r="L17" s="705"/>
      <c r="M17" s="1073"/>
      <c r="N17" s="1074"/>
      <c r="O17" s="1048"/>
      <c r="P17" s="1049"/>
      <c r="Q17" s="1050"/>
    </row>
    <row r="18" spans="1:17">
      <c r="A18" s="590"/>
      <c r="B18" s="661"/>
      <c r="C18" s="593"/>
      <c r="D18" s="662"/>
      <c r="E18" s="594"/>
      <c r="F18" s="595"/>
      <c r="K18" s="705"/>
      <c r="L18" s="705"/>
      <c r="M18" s="1073" t="s">
        <v>423</v>
      </c>
      <c r="N18" s="1074" t="s">
        <v>283</v>
      </c>
      <c r="O18" s="1048">
        <v>1</v>
      </c>
      <c r="P18" s="1049">
        <f ca="1">Elec_Est!E951</f>
        <v>61.84</v>
      </c>
      <c r="Q18" s="1050">
        <f ca="1">P18*O18</f>
        <v>61.84</v>
      </c>
    </row>
    <row r="19" spans="1:17">
      <c r="A19" s="590" t="s">
        <v>409</v>
      </c>
      <c r="B19" s="678" t="s">
        <v>410</v>
      </c>
      <c r="C19" s="593">
        <v>1</v>
      </c>
      <c r="D19" s="662" t="s">
        <v>283</v>
      </c>
      <c r="E19" s="594"/>
      <c r="F19" s="595">
        <f>E19*C19</f>
        <v>0</v>
      </c>
      <c r="K19" s="705"/>
      <c r="L19" s="705"/>
      <c r="M19" s="1073"/>
      <c r="N19" s="1074"/>
      <c r="O19" s="1048"/>
      <c r="P19" s="1049"/>
      <c r="Q19" s="1050"/>
    </row>
    <row r="20" spans="1:17">
      <c r="A20" s="590"/>
      <c r="B20" s="678"/>
      <c r="C20" s="593"/>
      <c r="D20" s="662"/>
      <c r="E20" s="594"/>
      <c r="F20" s="595"/>
      <c r="K20" s="705"/>
      <c r="L20" s="705"/>
      <c r="M20" s="1073" t="s">
        <v>425</v>
      </c>
      <c r="N20" s="1074" t="s">
        <v>283</v>
      </c>
      <c r="O20" s="1048">
        <v>1</v>
      </c>
      <c r="P20" s="1049">
        <f ca="1">Elec_Est!E958</f>
        <v>61.84</v>
      </c>
      <c r="Q20" s="1050">
        <f ca="1">P20*O20</f>
        <v>61.84</v>
      </c>
    </row>
    <row r="21" spans="1:17">
      <c r="A21" s="590"/>
      <c r="B21" s="661"/>
      <c r="C21" s="593"/>
      <c r="D21" s="662"/>
      <c r="E21" s="594"/>
      <c r="F21" s="595"/>
      <c r="K21" s="705"/>
      <c r="L21" s="705"/>
      <c r="M21" s="1073"/>
      <c r="N21" s="1074"/>
      <c r="O21" s="1048"/>
      <c r="P21" s="1049"/>
      <c r="Q21" s="1050"/>
    </row>
    <row r="22" spans="1:17" ht="39.6">
      <c r="A22" s="679" t="s">
        <v>336</v>
      </c>
      <c r="B22" s="680" t="s">
        <v>450</v>
      </c>
      <c r="C22" s="682"/>
      <c r="D22" s="681"/>
      <c r="E22" s="642"/>
      <c r="F22" s="643"/>
      <c r="K22" s="705"/>
      <c r="L22" s="705"/>
      <c r="M22" s="1073" t="s">
        <v>427</v>
      </c>
      <c r="N22" s="1074" t="s">
        <v>283</v>
      </c>
      <c r="O22" s="1048">
        <v>1</v>
      </c>
      <c r="P22" s="1049">
        <f ca="1">Elec_Est!E965</f>
        <v>43.84</v>
      </c>
      <c r="Q22" s="1050">
        <f ca="1">P22*O22</f>
        <v>43.84</v>
      </c>
    </row>
    <row r="23" spans="1:17">
      <c r="A23" s="603"/>
      <c r="B23" s="683"/>
      <c r="C23" s="640"/>
      <c r="D23" s="681"/>
      <c r="E23" s="642"/>
      <c r="F23" s="643"/>
      <c r="K23" s="705"/>
      <c r="L23" s="705"/>
      <c r="M23" s="1073"/>
      <c r="N23" s="1074"/>
      <c r="O23" s="1048"/>
      <c r="P23" s="1049"/>
      <c r="Q23" s="1050"/>
    </row>
    <row r="24" spans="1:17">
      <c r="A24" s="603" t="s">
        <v>294</v>
      </c>
      <c r="B24" s="680" t="s">
        <v>412</v>
      </c>
      <c r="C24" s="640">
        <v>1</v>
      </c>
      <c r="D24" s="681" t="s">
        <v>283</v>
      </c>
      <c r="E24" s="946" t="e">
        <f>Elec_Est!#REF!</f>
        <v>#REF!</v>
      </c>
      <c r="F24" s="643"/>
      <c r="G24" s="573">
        <v>3</v>
      </c>
      <c r="K24" s="705"/>
      <c r="L24" s="705"/>
      <c r="M24" s="1073" t="s">
        <v>429</v>
      </c>
      <c r="N24" s="1074" t="s">
        <v>283</v>
      </c>
      <c r="O24" s="1048">
        <v>1</v>
      </c>
      <c r="P24" s="1049">
        <f ca="1">Elec_Est!E972</f>
        <v>43.84</v>
      </c>
      <c r="Q24" s="1050">
        <f ca="1">P24*O24</f>
        <v>43.84</v>
      </c>
    </row>
    <row r="25" spans="1:17">
      <c r="A25" s="603"/>
      <c r="B25" s="680"/>
      <c r="C25" s="640"/>
      <c r="D25" s="681"/>
      <c r="E25" s="946"/>
      <c r="F25" s="643"/>
      <c r="K25" s="705"/>
      <c r="L25" s="705"/>
      <c r="M25" s="1073"/>
      <c r="N25" s="1074"/>
      <c r="O25" s="1048"/>
      <c r="P25" s="1049"/>
      <c r="Q25" s="1050"/>
    </row>
    <row r="26" spans="1:17">
      <c r="A26" s="603" t="s">
        <v>339</v>
      </c>
      <c r="B26" s="680" t="s">
        <v>413</v>
      </c>
      <c r="C26" s="640">
        <v>1</v>
      </c>
      <c r="D26" s="681" t="s">
        <v>283</v>
      </c>
      <c r="E26" s="946" t="e">
        <f>Elec_Est!#REF!</f>
        <v>#REF!</v>
      </c>
      <c r="F26" s="643"/>
      <c r="G26" s="573">
        <v>3</v>
      </c>
      <c r="K26" s="705"/>
      <c r="L26" s="705"/>
      <c r="M26" s="1073" t="s">
        <v>431</v>
      </c>
      <c r="N26" s="1074" t="s">
        <v>283</v>
      </c>
      <c r="O26" s="1048">
        <v>1</v>
      </c>
      <c r="P26" s="1049">
        <f ca="1">Elec_Est!E979</f>
        <v>43.84</v>
      </c>
      <c r="Q26" s="1050">
        <f ca="1">P26*O26</f>
        <v>43.84</v>
      </c>
    </row>
    <row r="27" spans="1:17">
      <c r="A27" s="603"/>
      <c r="B27" s="680"/>
      <c r="C27" s="640"/>
      <c r="D27" s="681"/>
      <c r="E27" s="946"/>
      <c r="F27" s="643"/>
      <c r="K27" s="705"/>
      <c r="L27" s="705"/>
      <c r="M27" s="1073"/>
      <c r="N27" s="1074"/>
      <c r="O27" s="1048"/>
      <c r="P27" s="1049"/>
      <c r="Q27" s="1050"/>
    </row>
    <row r="28" spans="1:17">
      <c r="A28" s="603" t="s">
        <v>340</v>
      </c>
      <c r="B28" s="680" t="s">
        <v>414</v>
      </c>
      <c r="C28" s="640">
        <v>1</v>
      </c>
      <c r="D28" s="681" t="s">
        <v>283</v>
      </c>
      <c r="E28" s="946" t="e">
        <f>Elec_Est!#REF!</f>
        <v>#REF!</v>
      </c>
      <c r="F28" s="643"/>
      <c r="G28" s="573">
        <v>3</v>
      </c>
      <c r="K28" s="705"/>
      <c r="L28" s="705"/>
      <c r="M28" s="1073" t="s">
        <v>433</v>
      </c>
      <c r="N28" s="1074" t="s">
        <v>283</v>
      </c>
      <c r="O28" s="1048">
        <v>1</v>
      </c>
      <c r="P28" s="1049">
        <f ca="1">Elec_Est!E986</f>
        <v>43.84</v>
      </c>
      <c r="Q28" s="1050">
        <f ca="1">P28*O28</f>
        <v>43.84</v>
      </c>
    </row>
    <row r="29" spans="1:17">
      <c r="A29" s="603"/>
      <c r="B29" s="683"/>
      <c r="C29" s="640"/>
      <c r="D29" s="681"/>
      <c r="E29" s="946"/>
      <c r="F29" s="643"/>
      <c r="K29" s="696"/>
      <c r="L29" s="696"/>
      <c r="M29" s="1075"/>
      <c r="N29" s="1076"/>
      <c r="O29" s="968"/>
      <c r="P29" s="969"/>
      <c r="Q29" s="970"/>
    </row>
    <row r="30" spans="1:17">
      <c r="A30" s="603" t="s">
        <v>409</v>
      </c>
      <c r="B30" s="680" t="s">
        <v>415</v>
      </c>
      <c r="C30" s="640">
        <v>1</v>
      </c>
      <c r="D30" s="681" t="s">
        <v>283</v>
      </c>
      <c r="E30" s="946" t="e">
        <f>Elec_Est!#REF!</f>
        <v>#REF!</v>
      </c>
      <c r="F30" s="643"/>
      <c r="G30" s="573">
        <v>3</v>
      </c>
      <c r="K30" s="696"/>
      <c r="L30" s="696"/>
      <c r="M30" s="1075"/>
      <c r="N30" s="1076"/>
      <c r="O30" s="968"/>
      <c r="P30" s="969"/>
      <c r="Q30" s="970"/>
    </row>
    <row r="31" spans="1:17">
      <c r="A31" s="603"/>
      <c r="B31" s="680"/>
      <c r="C31" s="640"/>
      <c r="D31" s="681"/>
      <c r="E31" s="946"/>
      <c r="F31" s="643"/>
      <c r="K31" s="696"/>
      <c r="L31" s="696"/>
      <c r="M31" s="1075"/>
      <c r="N31" s="1076"/>
      <c r="O31" s="968"/>
      <c r="P31" s="969"/>
      <c r="Q31" s="970"/>
    </row>
    <row r="32" spans="1:17">
      <c r="A32" s="603" t="s">
        <v>416</v>
      </c>
      <c r="B32" s="680" t="s">
        <v>417</v>
      </c>
      <c r="C32" s="640">
        <v>1</v>
      </c>
      <c r="D32" s="681" t="s">
        <v>283</v>
      </c>
      <c r="E32" s="946" t="e">
        <f>Elec_Est!#REF!</f>
        <v>#REF!</v>
      </c>
      <c r="F32" s="643"/>
      <c r="G32" s="573">
        <v>3</v>
      </c>
      <c r="K32" s="696"/>
      <c r="L32" s="696"/>
      <c r="M32" s="1075"/>
      <c r="N32" s="1076"/>
      <c r="O32" s="968"/>
      <c r="P32" s="969"/>
      <c r="Q32" s="970"/>
    </row>
    <row r="33" spans="1:17">
      <c r="A33" s="590"/>
      <c r="B33" s="678"/>
      <c r="C33" s="593"/>
      <c r="D33" s="662"/>
      <c r="E33" s="947"/>
      <c r="F33" s="595"/>
      <c r="K33" s="696"/>
      <c r="L33" s="696"/>
      <c r="M33" s="1075"/>
      <c r="N33" s="1076"/>
      <c r="O33" s="968"/>
      <c r="P33" s="969"/>
      <c r="Q33" s="970"/>
    </row>
    <row r="34" spans="1:17">
      <c r="A34" s="590"/>
      <c r="B34" s="661"/>
      <c r="C34" s="593"/>
      <c r="D34" s="662"/>
      <c r="E34" s="947"/>
      <c r="F34" s="595"/>
      <c r="K34" s="696"/>
      <c r="L34" s="696"/>
      <c r="M34" s="1075"/>
      <c r="N34" s="1076"/>
      <c r="O34" s="968"/>
      <c r="P34" s="969"/>
      <c r="Q34" s="970"/>
    </row>
    <row r="35" spans="1:17" ht="39.6">
      <c r="A35" s="679" t="s">
        <v>337</v>
      </c>
      <c r="B35" s="680" t="s">
        <v>451</v>
      </c>
      <c r="C35" s="682"/>
      <c r="D35" s="681"/>
      <c r="E35" s="946"/>
      <c r="F35" s="643"/>
      <c r="K35" s="696"/>
      <c r="L35" s="696"/>
      <c r="M35" s="1075"/>
      <c r="N35" s="1076"/>
      <c r="O35" s="968"/>
      <c r="P35" s="969"/>
      <c r="Q35" s="970"/>
    </row>
    <row r="36" spans="1:17">
      <c r="A36" s="603"/>
      <c r="B36" s="683"/>
      <c r="C36" s="640"/>
      <c r="D36" s="681"/>
      <c r="E36" s="946"/>
      <c r="F36" s="643"/>
      <c r="K36" s="696"/>
      <c r="L36" s="696"/>
      <c r="M36" s="1075"/>
      <c r="N36" s="1076"/>
      <c r="O36" s="968"/>
      <c r="P36" s="969"/>
      <c r="Q36" s="970"/>
    </row>
    <row r="37" spans="1:17">
      <c r="A37" s="603" t="s">
        <v>294</v>
      </c>
      <c r="B37" s="680" t="s">
        <v>452</v>
      </c>
      <c r="C37" s="640">
        <v>1</v>
      </c>
      <c r="D37" s="681" t="s">
        <v>283</v>
      </c>
      <c r="E37" s="946" t="e">
        <f>Elec_Est!#REF!</f>
        <v>#REF!</v>
      </c>
      <c r="F37" s="643"/>
      <c r="G37" s="573">
        <v>3</v>
      </c>
      <c r="K37" s="696"/>
      <c r="L37" s="696"/>
      <c r="M37" s="1075"/>
      <c r="N37" s="1076"/>
      <c r="O37" s="968"/>
      <c r="P37" s="969"/>
      <c r="Q37" s="970"/>
    </row>
    <row r="38" spans="1:17">
      <c r="A38" s="603"/>
      <c r="B38" s="680"/>
      <c r="C38" s="640"/>
      <c r="D38" s="681"/>
      <c r="E38" s="946"/>
      <c r="F38" s="643"/>
      <c r="K38" s="696"/>
      <c r="L38" s="696"/>
      <c r="M38" s="1075"/>
      <c r="N38" s="1076"/>
      <c r="O38" s="968"/>
      <c r="P38" s="969"/>
      <c r="Q38" s="970"/>
    </row>
    <row r="39" spans="1:17">
      <c r="A39" s="603" t="s">
        <v>339</v>
      </c>
      <c r="B39" s="680" t="s">
        <v>453</v>
      </c>
      <c r="C39" s="640">
        <v>1</v>
      </c>
      <c r="D39" s="681" t="s">
        <v>283</v>
      </c>
      <c r="E39" s="946" t="e">
        <f>Elec_Est!#REF!</f>
        <v>#REF!</v>
      </c>
      <c r="F39" s="643"/>
      <c r="G39" s="573">
        <v>3</v>
      </c>
      <c r="K39" s="696"/>
      <c r="L39" s="696"/>
      <c r="M39" s="1075"/>
      <c r="N39" s="1076"/>
      <c r="O39" s="968"/>
      <c r="P39" s="969"/>
      <c r="Q39" s="970"/>
    </row>
    <row r="40" spans="1:17">
      <c r="A40" s="603"/>
      <c r="B40" s="680"/>
      <c r="C40" s="640"/>
      <c r="D40" s="681"/>
      <c r="E40" s="946"/>
      <c r="F40" s="643"/>
      <c r="K40" s="696"/>
      <c r="L40" s="696"/>
      <c r="M40" s="1075"/>
      <c r="N40" s="1076"/>
      <c r="O40" s="968"/>
      <c r="P40" s="969"/>
      <c r="Q40" s="970"/>
    </row>
    <row r="41" spans="1:17">
      <c r="A41" s="603" t="s">
        <v>340</v>
      </c>
      <c r="B41" s="680" t="s">
        <v>454</v>
      </c>
      <c r="C41" s="640">
        <v>1</v>
      </c>
      <c r="D41" s="681" t="s">
        <v>283</v>
      </c>
      <c r="E41" s="946" t="e">
        <f>Elec_Est!#REF!</f>
        <v>#REF!</v>
      </c>
      <c r="F41" s="643"/>
      <c r="G41" s="573">
        <v>3</v>
      </c>
      <c r="K41" s="696"/>
      <c r="L41" s="696"/>
      <c r="M41" s="1075"/>
      <c r="N41" s="1076"/>
      <c r="O41" s="968"/>
      <c r="P41" s="969"/>
      <c r="Q41" s="970"/>
    </row>
    <row r="42" spans="1:17">
      <c r="A42" s="590"/>
      <c r="B42" s="678"/>
      <c r="C42" s="593"/>
      <c r="D42" s="662"/>
      <c r="E42" s="594"/>
      <c r="F42" s="595"/>
      <c r="K42" s="696"/>
      <c r="L42" s="696"/>
      <c r="M42" s="1075"/>
      <c r="N42" s="1076"/>
      <c r="O42" s="968"/>
      <c r="P42" s="969"/>
      <c r="Q42" s="970"/>
    </row>
    <row r="43" spans="1:17">
      <c r="A43" s="590"/>
      <c r="B43" s="678"/>
      <c r="C43" s="593"/>
      <c r="D43" s="662"/>
      <c r="E43" s="594"/>
      <c r="F43" s="595"/>
      <c r="K43" s="696"/>
      <c r="L43" s="696"/>
      <c r="M43" s="1075"/>
      <c r="N43" s="1076"/>
      <c r="O43" s="968"/>
      <c r="P43" s="969"/>
      <c r="Q43" s="970"/>
    </row>
    <row r="44" spans="1:17">
      <c r="A44" s="590"/>
      <c r="B44" s="678"/>
      <c r="C44" s="593"/>
      <c r="D44" s="662"/>
      <c r="E44" s="594"/>
      <c r="F44" s="595"/>
      <c r="K44" s="696"/>
      <c r="L44" s="696"/>
      <c r="M44" s="1075"/>
      <c r="N44" s="1076"/>
      <c r="O44" s="968"/>
      <c r="P44" s="969"/>
      <c r="Q44" s="970"/>
    </row>
    <row r="45" spans="1:17">
      <c r="A45" s="590"/>
      <c r="B45" s="678"/>
      <c r="C45" s="593"/>
      <c r="D45" s="662"/>
      <c r="E45" s="594"/>
      <c r="F45" s="595"/>
      <c r="K45" s="696"/>
      <c r="L45" s="696"/>
      <c r="M45" s="1075"/>
      <c r="N45" s="1076"/>
      <c r="O45" s="968"/>
      <c r="P45" s="969"/>
      <c r="Q45" s="970"/>
    </row>
    <row r="46" spans="1:17">
      <c r="A46" s="590"/>
      <c r="B46" s="678"/>
      <c r="C46" s="593"/>
      <c r="D46" s="662"/>
      <c r="E46" s="594"/>
      <c r="F46" s="595"/>
      <c r="K46" s="696"/>
      <c r="L46" s="696"/>
      <c r="M46" s="1075"/>
      <c r="N46" s="1076"/>
      <c r="O46" s="968"/>
      <c r="P46" s="969"/>
      <c r="Q46" s="970"/>
    </row>
    <row r="47" spans="1:17">
      <c r="A47" s="590"/>
      <c r="B47" s="678"/>
      <c r="C47" s="593"/>
      <c r="D47" s="662"/>
      <c r="E47" s="594"/>
      <c r="F47" s="595"/>
      <c r="K47" s="696"/>
      <c r="L47" s="696"/>
      <c r="M47" s="1075"/>
      <c r="N47" s="1076"/>
      <c r="O47" s="968"/>
      <c r="P47" s="969"/>
      <c r="Q47" s="970"/>
    </row>
    <row r="48" spans="1:17" ht="15" thickBot="1">
      <c r="A48" s="590"/>
      <c r="B48" s="678"/>
      <c r="C48" s="593"/>
      <c r="D48" s="662"/>
      <c r="E48" s="594"/>
      <c r="F48" s="595"/>
      <c r="K48" s="696"/>
      <c r="L48" s="696"/>
      <c r="M48" s="1075"/>
      <c r="N48" s="1076"/>
      <c r="O48" s="968"/>
      <c r="P48" s="969"/>
      <c r="Q48" s="970"/>
    </row>
    <row r="49" spans="1:17">
      <c r="A49" s="612"/>
      <c r="B49" s="613"/>
      <c r="C49" s="615"/>
      <c r="D49" s="614"/>
      <c r="E49" s="616"/>
      <c r="F49" s="617"/>
      <c r="K49" s="696"/>
      <c r="L49" s="696"/>
      <c r="M49" s="1075"/>
      <c r="N49" s="1076"/>
      <c r="O49" s="968"/>
      <c r="P49" s="969"/>
      <c r="Q49" s="970"/>
    </row>
    <row r="50" spans="1:17">
      <c r="A50" s="618" t="s">
        <v>310</v>
      </c>
      <c r="B50" s="619" t="s">
        <v>289</v>
      </c>
      <c r="C50" s="621"/>
      <c r="D50" s="620"/>
      <c r="E50" s="622"/>
      <c r="F50" s="623">
        <f>SUM(F6:F48)</f>
        <v>0</v>
      </c>
      <c r="H50" s="645"/>
      <c r="K50" s="696"/>
      <c r="L50" s="696"/>
      <c r="M50" s="1075"/>
      <c r="N50" s="1076"/>
      <c r="O50" s="968"/>
      <c r="P50" s="969"/>
      <c r="Q50" s="970"/>
    </row>
    <row r="51" spans="1:17">
      <c r="A51" s="624"/>
      <c r="B51" s="625"/>
      <c r="C51" s="627"/>
      <c r="D51" s="626"/>
      <c r="E51" s="628"/>
      <c r="F51" s="629"/>
      <c r="K51" s="696"/>
      <c r="L51" s="696"/>
      <c r="M51" s="1075"/>
      <c r="N51" s="1076"/>
      <c r="O51" s="968"/>
      <c r="P51" s="969"/>
      <c r="Q51" s="970"/>
    </row>
    <row r="52" spans="1:17" ht="17.399999999999999">
      <c r="A52" s="568"/>
      <c r="B52" s="569"/>
      <c r="C52" s="570"/>
      <c r="D52" s="569"/>
      <c r="E52" s="571"/>
      <c r="F52" s="572"/>
      <c r="K52" s="696"/>
      <c r="L52" s="696"/>
      <c r="M52" s="1075"/>
      <c r="N52" s="1076"/>
      <c r="O52" s="968"/>
      <c r="P52" s="969"/>
      <c r="Q52" s="970"/>
    </row>
    <row r="53" spans="1:17">
      <c r="A53" s="574"/>
      <c r="B53" s="575"/>
      <c r="C53" s="576"/>
      <c r="D53" s="575"/>
      <c r="E53" s="577"/>
      <c r="F53" s="578"/>
      <c r="K53" s="696"/>
      <c r="L53" s="696"/>
      <c r="M53" s="1075"/>
      <c r="N53" s="1076"/>
      <c r="O53" s="968"/>
      <c r="P53" s="969"/>
      <c r="Q53" s="970"/>
    </row>
    <row r="54" spans="1:17">
      <c r="A54" s="574"/>
      <c r="B54" s="575"/>
      <c r="C54" s="576"/>
      <c r="D54" s="575"/>
      <c r="E54" s="577"/>
      <c r="F54" s="578"/>
      <c r="K54" s="696"/>
      <c r="L54" s="696"/>
      <c r="M54" s="1075"/>
      <c r="N54" s="1076"/>
      <c r="O54" s="968"/>
      <c r="P54" s="969"/>
      <c r="Q54" s="970"/>
    </row>
    <row r="55" spans="1:17" ht="15" thickBot="1">
      <c r="A55" s="579"/>
      <c r="B55" s="580"/>
      <c r="C55" s="581"/>
      <c r="D55" s="580"/>
      <c r="E55" s="582"/>
      <c r="F55" s="583"/>
      <c r="K55" s="696"/>
      <c r="L55" s="696"/>
      <c r="M55" s="1075"/>
      <c r="N55" s="1076"/>
      <c r="O55" s="968"/>
      <c r="P55" s="969"/>
      <c r="Q55" s="970"/>
    </row>
    <row r="56" spans="1:17" ht="15" thickBot="1">
      <c r="A56" s="584" t="s">
        <v>276</v>
      </c>
      <c r="B56" s="585"/>
      <c r="C56" s="587" t="s">
        <v>277</v>
      </c>
      <c r="D56" s="586" t="s">
        <v>266</v>
      </c>
      <c r="E56" s="588" t="s">
        <v>278</v>
      </c>
      <c r="F56" s="589" t="s">
        <v>267</v>
      </c>
      <c r="K56" s="1014"/>
      <c r="L56" s="1014"/>
      <c r="M56" s="1015"/>
      <c r="N56" s="1016"/>
      <c r="O56" s="1017"/>
      <c r="P56" s="1018"/>
      <c r="Q56" s="1019"/>
    </row>
    <row r="57" spans="1:17">
      <c r="A57" s="590"/>
      <c r="B57" s="591"/>
      <c r="C57" s="593"/>
      <c r="D57" s="592"/>
      <c r="E57" s="594"/>
      <c r="F57" s="595"/>
      <c r="K57" s="1020"/>
      <c r="L57" s="1020"/>
      <c r="M57" s="1021" t="s">
        <v>289</v>
      </c>
      <c r="N57" s="1022"/>
      <c r="O57" s="1023"/>
      <c r="P57" s="1024"/>
      <c r="Q57" s="1010">
        <f ca="1">SUM(Q6:Q55)</f>
        <v>517.88000000000011</v>
      </c>
    </row>
    <row r="58" spans="1:17" ht="39.6">
      <c r="A58" s="679" t="s">
        <v>292</v>
      </c>
      <c r="B58" s="680" t="s">
        <v>451</v>
      </c>
      <c r="C58" s="682"/>
      <c r="D58" s="681"/>
      <c r="E58" s="642"/>
      <c r="F58" s="643"/>
      <c r="K58" s="1025"/>
      <c r="L58" s="1025"/>
      <c r="M58" s="1026"/>
      <c r="N58" s="1027"/>
      <c r="O58" s="1028"/>
      <c r="P58" s="1029"/>
      <c r="Q58" s="1030"/>
    </row>
    <row r="59" spans="1:17" ht="17.399999999999999">
      <c r="A59" s="603"/>
      <c r="B59" s="683"/>
      <c r="C59" s="640"/>
      <c r="D59" s="681"/>
      <c r="E59" s="642"/>
      <c r="F59" s="643"/>
      <c r="K59" s="980"/>
      <c r="L59" s="981"/>
      <c r="M59" s="1077"/>
      <c r="N59" s="982"/>
      <c r="O59" s="983"/>
      <c r="P59" s="984"/>
      <c r="Q59" s="985"/>
    </row>
    <row r="60" spans="1:17">
      <c r="A60" s="603" t="s">
        <v>294</v>
      </c>
      <c r="B60" s="680" t="s">
        <v>455</v>
      </c>
      <c r="C60" s="640">
        <v>1</v>
      </c>
      <c r="D60" s="681" t="s">
        <v>283</v>
      </c>
      <c r="E60" s="946" t="e">
        <f>Elec_Est!#REF!</f>
        <v>#REF!</v>
      </c>
      <c r="F60" s="643"/>
      <c r="G60" s="573">
        <v>3</v>
      </c>
      <c r="K60" s="986"/>
      <c r="L60" s="987"/>
      <c r="M60" s="1078"/>
      <c r="N60" s="988"/>
      <c r="O60" s="989"/>
      <c r="P60" s="990"/>
      <c r="Q60" s="991"/>
    </row>
    <row r="61" spans="1:17">
      <c r="A61" s="603"/>
      <c r="B61" s="680"/>
      <c r="C61" s="640"/>
      <c r="D61" s="681"/>
      <c r="E61" s="946"/>
      <c r="F61" s="643"/>
      <c r="K61" s="986"/>
      <c r="L61" s="987"/>
      <c r="M61" s="1078"/>
      <c r="N61" s="988"/>
      <c r="O61" s="989"/>
      <c r="P61" s="990"/>
      <c r="Q61" s="991"/>
    </row>
    <row r="62" spans="1:17">
      <c r="A62" s="603" t="s">
        <v>339</v>
      </c>
      <c r="B62" s="680" t="s">
        <v>456</v>
      </c>
      <c r="C62" s="640">
        <v>1</v>
      </c>
      <c r="D62" s="681" t="s">
        <v>283</v>
      </c>
      <c r="E62" s="946" t="e">
        <f>Elec_Est!#REF!</f>
        <v>#REF!</v>
      </c>
      <c r="F62" s="643"/>
      <c r="G62" s="573">
        <v>3</v>
      </c>
      <c r="K62" s="1020"/>
      <c r="L62" s="993"/>
      <c r="M62" s="959"/>
      <c r="N62" s="543"/>
      <c r="O62" s="994"/>
      <c r="P62" s="995"/>
      <c r="Q62" s="996"/>
    </row>
    <row r="63" spans="1:17" ht="15" thickBot="1">
      <c r="A63" s="590"/>
      <c r="B63" s="591"/>
      <c r="C63" s="593"/>
      <c r="D63" s="592"/>
      <c r="E63" s="947"/>
      <c r="F63" s="595"/>
      <c r="K63" s="997" t="s">
        <v>276</v>
      </c>
      <c r="L63" s="998" t="s">
        <v>887</v>
      </c>
      <c r="M63" s="999"/>
      <c r="N63" s="1000" t="s">
        <v>266</v>
      </c>
      <c r="O63" s="1001" t="s">
        <v>277</v>
      </c>
      <c r="P63" s="1002" t="s">
        <v>278</v>
      </c>
      <c r="Q63" s="1003" t="s">
        <v>267</v>
      </c>
    </row>
    <row r="64" spans="1:17">
      <c r="A64" s="590"/>
      <c r="B64" s="591"/>
      <c r="C64" s="593"/>
      <c r="D64" s="592"/>
      <c r="E64" s="947"/>
      <c r="F64" s="595"/>
      <c r="K64" s="696"/>
      <c r="L64" s="696"/>
      <c r="M64" s="1075"/>
      <c r="N64" s="1076"/>
      <c r="O64" s="968"/>
      <c r="P64" s="969"/>
      <c r="Q64" s="970"/>
    </row>
    <row r="65" spans="1:17" ht="52.8">
      <c r="A65" s="679" t="s">
        <v>297</v>
      </c>
      <c r="B65" s="650" t="s">
        <v>418</v>
      </c>
      <c r="C65" s="682"/>
      <c r="D65" s="641"/>
      <c r="E65" s="946"/>
      <c r="F65" s="643"/>
      <c r="K65" s="1070">
        <f>K8+1</f>
        <v>2</v>
      </c>
      <c r="L65" s="705"/>
      <c r="M65" s="1073" t="s">
        <v>434</v>
      </c>
      <c r="N65" s="1074"/>
      <c r="O65" s="1048"/>
      <c r="P65" s="1049"/>
      <c r="Q65" s="1050"/>
    </row>
    <row r="66" spans="1:17">
      <c r="A66" s="603"/>
      <c r="B66" s="683"/>
      <c r="C66" s="640"/>
      <c r="D66" s="681"/>
      <c r="E66" s="946"/>
      <c r="F66" s="643"/>
      <c r="K66" s="705"/>
      <c r="L66" s="705"/>
      <c r="M66" s="1073"/>
      <c r="N66" s="1074"/>
      <c r="O66" s="1048"/>
      <c r="P66" s="1049"/>
      <c r="Q66" s="1050"/>
    </row>
    <row r="67" spans="1:17">
      <c r="A67" s="603" t="s">
        <v>294</v>
      </c>
      <c r="B67" s="683" t="s">
        <v>419</v>
      </c>
      <c r="C67" s="640">
        <v>1</v>
      </c>
      <c r="D67" s="681" t="s">
        <v>283</v>
      </c>
      <c r="E67" s="946" t="e">
        <f>Elec_Est!#REF!</f>
        <v>#REF!</v>
      </c>
      <c r="F67" s="643"/>
      <c r="G67" s="573">
        <v>3</v>
      </c>
      <c r="K67" s="705"/>
      <c r="L67" s="705"/>
      <c r="M67" s="1073" t="s">
        <v>435</v>
      </c>
      <c r="N67" s="1074" t="s">
        <v>283</v>
      </c>
      <c r="O67" s="1048">
        <v>1</v>
      </c>
      <c r="P67" s="1049">
        <f ca="1">Elec_Est!E997</f>
        <v>61.84</v>
      </c>
      <c r="Q67" s="1050">
        <f ca="1">P67*O67</f>
        <v>61.84</v>
      </c>
    </row>
    <row r="68" spans="1:17">
      <c r="A68" s="603"/>
      <c r="B68" s="683"/>
      <c r="C68" s="640"/>
      <c r="D68" s="681"/>
      <c r="E68" s="946"/>
      <c r="F68" s="643"/>
      <c r="K68" s="705"/>
      <c r="L68" s="705"/>
      <c r="M68" s="1073"/>
      <c r="N68" s="1074"/>
      <c r="O68" s="1048"/>
      <c r="P68" s="1049"/>
      <c r="Q68" s="1050"/>
    </row>
    <row r="69" spans="1:17">
      <c r="A69" s="603" t="s">
        <v>339</v>
      </c>
      <c r="B69" s="683" t="s">
        <v>420</v>
      </c>
      <c r="C69" s="640">
        <v>1</v>
      </c>
      <c r="D69" s="681" t="s">
        <v>283</v>
      </c>
      <c r="E69" s="946" t="e">
        <f>Elec_Est!#REF!</f>
        <v>#REF!</v>
      </c>
      <c r="F69" s="643"/>
      <c r="G69" s="573">
        <v>3</v>
      </c>
      <c r="K69" s="705"/>
      <c r="L69" s="705"/>
      <c r="M69" s="1073" t="s">
        <v>436</v>
      </c>
      <c r="N69" s="1074" t="s">
        <v>283</v>
      </c>
      <c r="O69" s="1048">
        <v>1</v>
      </c>
      <c r="P69" s="1049">
        <f ca="1">Elec_Est!E1018</f>
        <v>61.84</v>
      </c>
      <c r="Q69" s="1050">
        <f ca="1">P69*O69</f>
        <v>61.84</v>
      </c>
    </row>
    <row r="70" spans="1:17">
      <c r="A70" s="603"/>
      <c r="B70" s="683"/>
      <c r="C70" s="640"/>
      <c r="D70" s="681"/>
      <c r="E70" s="946"/>
      <c r="F70" s="643"/>
      <c r="K70" s="705"/>
      <c r="L70" s="705"/>
      <c r="M70" s="1073"/>
      <c r="N70" s="1074"/>
      <c r="O70" s="1048"/>
      <c r="P70" s="1049"/>
      <c r="Q70" s="1050"/>
    </row>
    <row r="71" spans="1:17">
      <c r="A71" s="603" t="s">
        <v>340</v>
      </c>
      <c r="B71" s="683" t="s">
        <v>421</v>
      </c>
      <c r="C71" s="640">
        <v>1</v>
      </c>
      <c r="D71" s="681" t="s">
        <v>283</v>
      </c>
      <c r="E71" s="946" t="e">
        <f>Elec_Est!#REF!</f>
        <v>#REF!</v>
      </c>
      <c r="F71" s="643"/>
      <c r="G71" s="573">
        <v>3</v>
      </c>
      <c r="K71" s="705"/>
      <c r="L71" s="705"/>
      <c r="M71" s="1073" t="s">
        <v>437</v>
      </c>
      <c r="N71" s="1074" t="s">
        <v>283</v>
      </c>
      <c r="O71" s="1048">
        <v>1</v>
      </c>
      <c r="P71" s="1049">
        <f ca="1">Elec_Est!E1039</f>
        <v>61.84</v>
      </c>
      <c r="Q71" s="1050">
        <f ca="1">P71*O71</f>
        <v>61.84</v>
      </c>
    </row>
    <row r="72" spans="1:17">
      <c r="A72" s="603"/>
      <c r="B72" s="683"/>
      <c r="C72" s="640"/>
      <c r="D72" s="681"/>
      <c r="E72" s="946"/>
      <c r="F72" s="643"/>
      <c r="K72" s="705"/>
      <c r="L72" s="705"/>
      <c r="M72" s="1073"/>
      <c r="N72" s="1074"/>
      <c r="O72" s="1048"/>
      <c r="P72" s="1049"/>
      <c r="Q72" s="1050"/>
    </row>
    <row r="73" spans="1:17">
      <c r="A73" s="603" t="s">
        <v>409</v>
      </c>
      <c r="B73" s="683" t="s">
        <v>422</v>
      </c>
      <c r="C73" s="640">
        <v>1</v>
      </c>
      <c r="D73" s="681" t="s">
        <v>283</v>
      </c>
      <c r="E73" s="946" t="e">
        <f>Elec_Est!#REF!</f>
        <v>#REF!</v>
      </c>
      <c r="F73" s="643"/>
      <c r="G73" s="573">
        <v>3</v>
      </c>
      <c r="K73" s="705"/>
      <c r="L73" s="705"/>
      <c r="M73" s="1073" t="s">
        <v>438</v>
      </c>
      <c r="N73" s="1074" t="s">
        <v>283</v>
      </c>
      <c r="O73" s="1048">
        <v>1</v>
      </c>
      <c r="P73" s="1049">
        <f ca="1">Elec_Est!E1060</f>
        <v>61.84</v>
      </c>
      <c r="Q73" s="1050">
        <f ca="1">P73*O73</f>
        <v>61.84</v>
      </c>
    </row>
    <row r="74" spans="1:17">
      <c r="A74" s="603"/>
      <c r="B74" s="683"/>
      <c r="C74" s="640"/>
      <c r="D74" s="681"/>
      <c r="E74" s="946"/>
      <c r="F74" s="643"/>
      <c r="K74" s="705"/>
      <c r="L74" s="705"/>
      <c r="M74" s="1073"/>
      <c r="N74" s="1074"/>
      <c r="O74" s="1048"/>
      <c r="P74" s="1049"/>
      <c r="Q74" s="1050"/>
    </row>
    <row r="75" spans="1:17">
      <c r="A75" s="603" t="s">
        <v>416</v>
      </c>
      <c r="B75" s="683" t="s">
        <v>423</v>
      </c>
      <c r="C75" s="640">
        <v>1</v>
      </c>
      <c r="D75" s="681" t="s">
        <v>283</v>
      </c>
      <c r="E75" s="946" t="e">
        <f>Elec_Est!#REF!</f>
        <v>#REF!</v>
      </c>
      <c r="F75" s="643"/>
      <c r="G75" s="573">
        <v>3</v>
      </c>
      <c r="K75" s="705"/>
      <c r="L75" s="705"/>
      <c r="M75" s="1073" t="s">
        <v>439</v>
      </c>
      <c r="N75" s="1074" t="s">
        <v>283</v>
      </c>
      <c r="O75" s="1048">
        <v>1</v>
      </c>
      <c r="P75" s="1049">
        <f ca="1">Elec_Est!E1081</f>
        <v>43.84</v>
      </c>
      <c r="Q75" s="1050">
        <f ca="1">P75*O75</f>
        <v>43.84</v>
      </c>
    </row>
    <row r="76" spans="1:17">
      <c r="A76" s="603"/>
      <c r="B76" s="683"/>
      <c r="C76" s="640"/>
      <c r="D76" s="681"/>
      <c r="E76" s="946"/>
      <c r="F76" s="643"/>
      <c r="K76" s="705"/>
      <c r="L76" s="705"/>
      <c r="M76" s="1073"/>
      <c r="N76" s="1074"/>
      <c r="O76" s="1048"/>
      <c r="P76" s="1049"/>
      <c r="Q76" s="1050"/>
    </row>
    <row r="77" spans="1:17">
      <c r="A77" s="603" t="s">
        <v>424</v>
      </c>
      <c r="B77" s="683" t="s">
        <v>425</v>
      </c>
      <c r="C77" s="640">
        <v>1</v>
      </c>
      <c r="D77" s="681" t="s">
        <v>283</v>
      </c>
      <c r="E77" s="946" t="e">
        <f>Elec_Est!#REF!</f>
        <v>#REF!</v>
      </c>
      <c r="F77" s="643"/>
      <c r="G77" s="573">
        <v>3</v>
      </c>
      <c r="K77" s="705"/>
      <c r="L77" s="705"/>
      <c r="M77" s="1073" t="s">
        <v>440</v>
      </c>
      <c r="N77" s="1074" t="s">
        <v>283</v>
      </c>
      <c r="O77" s="1048">
        <v>1</v>
      </c>
      <c r="P77" s="1049">
        <f ca="1">Elec_Est!E1102</f>
        <v>43.84</v>
      </c>
      <c r="Q77" s="1050">
        <f ca="1">P77*O77</f>
        <v>43.84</v>
      </c>
    </row>
    <row r="78" spans="1:17">
      <c r="A78" s="603"/>
      <c r="B78" s="683"/>
      <c r="C78" s="640"/>
      <c r="D78" s="681"/>
      <c r="E78" s="946"/>
      <c r="F78" s="643"/>
      <c r="K78" s="696"/>
      <c r="L78" s="696"/>
      <c r="M78" s="1075"/>
      <c r="N78" s="1076"/>
      <c r="O78" s="968"/>
      <c r="P78" s="969"/>
      <c r="Q78" s="970"/>
    </row>
    <row r="79" spans="1:17">
      <c r="A79" s="603" t="s">
        <v>426</v>
      </c>
      <c r="B79" s="683" t="s">
        <v>427</v>
      </c>
      <c r="C79" s="640">
        <v>1</v>
      </c>
      <c r="D79" s="681" t="s">
        <v>283</v>
      </c>
      <c r="E79" s="946" t="e">
        <f>Elec_Est!#REF!</f>
        <v>#REF!</v>
      </c>
      <c r="F79" s="643"/>
      <c r="G79" s="573">
        <v>3</v>
      </c>
      <c r="K79" s="696"/>
      <c r="L79" s="696"/>
      <c r="M79" s="1075"/>
      <c r="N79" s="1076"/>
      <c r="O79" s="968"/>
      <c r="P79" s="969"/>
      <c r="Q79" s="970"/>
    </row>
    <row r="80" spans="1:17">
      <c r="A80" s="603"/>
      <c r="B80" s="683"/>
      <c r="C80" s="640"/>
      <c r="D80" s="681"/>
      <c r="E80" s="946"/>
      <c r="F80" s="643"/>
      <c r="K80" s="696"/>
      <c r="L80" s="696"/>
      <c r="M80" s="1075"/>
      <c r="N80" s="1076"/>
      <c r="O80" s="968"/>
      <c r="P80" s="969"/>
      <c r="Q80" s="970"/>
    </row>
    <row r="81" spans="1:17">
      <c r="A81" s="603" t="s">
        <v>428</v>
      </c>
      <c r="B81" s="683" t="s">
        <v>429</v>
      </c>
      <c r="C81" s="640">
        <v>1</v>
      </c>
      <c r="D81" s="681" t="s">
        <v>283</v>
      </c>
      <c r="E81" s="946" t="e">
        <f>Elec_Est!#REF!</f>
        <v>#REF!</v>
      </c>
      <c r="F81" s="643"/>
      <c r="G81" s="573">
        <v>3</v>
      </c>
      <c r="K81" s="696"/>
      <c r="L81" s="696"/>
      <c r="M81" s="1075"/>
      <c r="N81" s="1076"/>
      <c r="O81" s="968"/>
      <c r="P81" s="969"/>
      <c r="Q81" s="970"/>
    </row>
    <row r="82" spans="1:17">
      <c r="A82" s="603"/>
      <c r="B82" s="683"/>
      <c r="C82" s="640"/>
      <c r="D82" s="681"/>
      <c r="E82" s="946"/>
      <c r="F82" s="643"/>
      <c r="K82" s="696"/>
      <c r="L82" s="696"/>
      <c r="M82" s="1040"/>
      <c r="N82" s="1076"/>
      <c r="O82" s="544"/>
      <c r="P82" s="969"/>
      <c r="Q82" s="970"/>
    </row>
    <row r="83" spans="1:17">
      <c r="A83" s="603" t="s">
        <v>430</v>
      </c>
      <c r="B83" s="683" t="s">
        <v>431</v>
      </c>
      <c r="C83" s="640">
        <v>1</v>
      </c>
      <c r="D83" s="681" t="s">
        <v>283</v>
      </c>
      <c r="E83" s="946" t="e">
        <f>Elec_Est!#REF!</f>
        <v>#REF!</v>
      </c>
      <c r="F83" s="643"/>
      <c r="G83" s="573">
        <v>3</v>
      </c>
      <c r="K83" s="696"/>
      <c r="L83" s="696"/>
      <c r="M83" s="1075"/>
      <c r="N83" s="1076"/>
      <c r="O83" s="968"/>
      <c r="P83" s="969"/>
      <c r="Q83" s="970"/>
    </row>
    <row r="84" spans="1:17">
      <c r="A84" s="603"/>
      <c r="B84" s="683"/>
      <c r="C84" s="640"/>
      <c r="D84" s="681"/>
      <c r="E84" s="946"/>
      <c r="F84" s="643"/>
      <c r="K84" s="696"/>
      <c r="L84" s="696"/>
      <c r="M84" s="1075"/>
      <c r="N84" s="1076"/>
      <c r="O84" s="968"/>
      <c r="P84" s="969"/>
      <c r="Q84" s="970"/>
    </row>
    <row r="85" spans="1:17">
      <c r="A85" s="603" t="s">
        <v>432</v>
      </c>
      <c r="B85" s="683" t="s">
        <v>433</v>
      </c>
      <c r="C85" s="640">
        <v>1</v>
      </c>
      <c r="D85" s="681" t="s">
        <v>283</v>
      </c>
      <c r="E85" s="946" t="e">
        <f>Elec_Est!#REF!</f>
        <v>#REF!</v>
      </c>
      <c r="F85" s="643"/>
      <c r="G85" s="573">
        <v>3</v>
      </c>
      <c r="K85" s="696"/>
      <c r="L85" s="696"/>
      <c r="M85" s="1075"/>
      <c r="N85" s="1076"/>
      <c r="O85" s="968"/>
      <c r="P85" s="969"/>
      <c r="Q85" s="970"/>
    </row>
    <row r="86" spans="1:17">
      <c r="A86" s="590"/>
      <c r="B86" s="661"/>
      <c r="C86" s="593"/>
      <c r="D86" s="662"/>
      <c r="E86" s="594"/>
      <c r="F86" s="595"/>
      <c r="K86" s="696"/>
      <c r="L86" s="696"/>
      <c r="M86" s="1075"/>
      <c r="N86" s="1076"/>
      <c r="O86" s="968"/>
      <c r="P86" s="969"/>
      <c r="Q86" s="970"/>
    </row>
    <row r="87" spans="1:17">
      <c r="A87" s="590"/>
      <c r="B87" s="661"/>
      <c r="C87" s="593"/>
      <c r="D87" s="662"/>
      <c r="E87" s="594"/>
      <c r="F87" s="595"/>
      <c r="K87" s="696"/>
      <c r="L87" s="696"/>
      <c r="M87" s="1075"/>
      <c r="N87" s="1076"/>
      <c r="O87" s="968"/>
      <c r="P87" s="969"/>
      <c r="Q87" s="970"/>
    </row>
    <row r="88" spans="1:17">
      <c r="A88" s="590"/>
      <c r="B88" s="661"/>
      <c r="C88" s="593"/>
      <c r="D88" s="662"/>
      <c r="E88" s="594"/>
      <c r="F88" s="595"/>
      <c r="K88" s="696"/>
      <c r="L88" s="696"/>
      <c r="M88" s="1075"/>
      <c r="N88" s="1076"/>
      <c r="O88" s="968"/>
      <c r="P88" s="969"/>
      <c r="Q88" s="970"/>
    </row>
    <row r="89" spans="1:17">
      <c r="A89" s="590"/>
      <c r="B89" s="661"/>
      <c r="C89" s="593"/>
      <c r="D89" s="662"/>
      <c r="E89" s="594"/>
      <c r="F89" s="595"/>
      <c r="K89" s="696"/>
      <c r="L89" s="696"/>
      <c r="M89" s="1075"/>
      <c r="N89" s="1076"/>
      <c r="O89" s="968"/>
      <c r="P89" s="969"/>
      <c r="Q89" s="970"/>
    </row>
    <row r="90" spans="1:17">
      <c r="A90" s="590"/>
      <c r="B90" s="661"/>
      <c r="C90" s="593"/>
      <c r="D90" s="662"/>
      <c r="E90" s="594"/>
      <c r="F90" s="595"/>
      <c r="K90" s="696"/>
      <c r="L90" s="696"/>
      <c r="M90" s="1075"/>
      <c r="N90" s="1076"/>
      <c r="O90" s="968"/>
      <c r="P90" s="969"/>
      <c r="Q90" s="970"/>
    </row>
    <row r="91" spans="1:17">
      <c r="A91" s="590"/>
      <c r="B91" s="661"/>
      <c r="C91" s="593"/>
      <c r="D91" s="662"/>
      <c r="E91" s="594"/>
      <c r="F91" s="595"/>
      <c r="K91" s="696"/>
      <c r="L91" s="696"/>
      <c r="M91" s="1075"/>
      <c r="N91" s="1076"/>
      <c r="O91" s="968"/>
      <c r="P91" s="969"/>
      <c r="Q91" s="970"/>
    </row>
    <row r="92" spans="1:17">
      <c r="A92" s="590"/>
      <c r="B92" s="661"/>
      <c r="C92" s="593"/>
      <c r="D92" s="662"/>
      <c r="E92" s="594"/>
      <c r="F92" s="595"/>
      <c r="K92" s="696"/>
      <c r="L92" s="696"/>
      <c r="M92" s="1075"/>
      <c r="N92" s="1076"/>
      <c r="O92" s="968"/>
      <c r="P92" s="969"/>
      <c r="Q92" s="970"/>
    </row>
    <row r="93" spans="1:17">
      <c r="A93" s="590"/>
      <c r="B93" s="661"/>
      <c r="C93" s="593"/>
      <c r="D93" s="662"/>
      <c r="E93" s="594"/>
      <c r="F93" s="595"/>
      <c r="K93" s="696"/>
      <c r="L93" s="696"/>
      <c r="M93" s="1075"/>
      <c r="N93" s="1076"/>
      <c r="O93" s="968"/>
      <c r="P93" s="969"/>
      <c r="Q93" s="970"/>
    </row>
    <row r="94" spans="1:17">
      <c r="A94" s="590"/>
      <c r="B94" s="661"/>
      <c r="C94" s="593"/>
      <c r="D94" s="662"/>
      <c r="E94" s="594"/>
      <c r="F94" s="595"/>
      <c r="K94" s="696"/>
      <c r="L94" s="696"/>
      <c r="M94" s="1075"/>
      <c r="N94" s="1076"/>
      <c r="O94" s="968"/>
      <c r="P94" s="969"/>
      <c r="Q94" s="970"/>
    </row>
    <row r="95" spans="1:17">
      <c r="A95" s="590"/>
      <c r="B95" s="661"/>
      <c r="C95" s="593"/>
      <c r="D95" s="662"/>
      <c r="E95" s="594"/>
      <c r="F95" s="595"/>
      <c r="K95" s="696"/>
      <c r="L95" s="696"/>
      <c r="M95" s="1075"/>
      <c r="N95" s="1076"/>
      <c r="O95" s="968"/>
      <c r="P95" s="969"/>
      <c r="Q95" s="970"/>
    </row>
    <row r="96" spans="1:17">
      <c r="A96" s="590"/>
      <c r="B96" s="661"/>
      <c r="C96" s="593"/>
      <c r="D96" s="662"/>
      <c r="E96" s="594"/>
      <c r="F96" s="595"/>
      <c r="K96" s="696"/>
      <c r="L96" s="696"/>
      <c r="M96" s="1075"/>
      <c r="N96" s="1076"/>
      <c r="O96" s="968"/>
      <c r="P96" s="969"/>
      <c r="Q96" s="970"/>
    </row>
    <row r="97" spans="1:17">
      <c r="A97" s="590"/>
      <c r="B97" s="661"/>
      <c r="C97" s="593"/>
      <c r="D97" s="662"/>
      <c r="E97" s="594"/>
      <c r="F97" s="595"/>
      <c r="K97" s="696"/>
      <c r="L97" s="696"/>
      <c r="M97" s="1075"/>
      <c r="N97" s="1076"/>
      <c r="O97" s="968"/>
      <c r="P97" s="969"/>
      <c r="Q97" s="970"/>
    </row>
    <row r="98" spans="1:17">
      <c r="A98" s="590"/>
      <c r="B98" s="661"/>
      <c r="C98" s="593"/>
      <c r="D98" s="662"/>
      <c r="E98" s="594"/>
      <c r="F98" s="595"/>
      <c r="K98" s="696"/>
      <c r="L98" s="696"/>
      <c r="M98" s="1075"/>
      <c r="N98" s="1076"/>
      <c r="O98" s="968"/>
      <c r="P98" s="969"/>
      <c r="Q98" s="970"/>
    </row>
    <row r="99" spans="1:17">
      <c r="A99" s="590"/>
      <c r="B99" s="661"/>
      <c r="C99" s="593"/>
      <c r="D99" s="662"/>
      <c r="E99" s="594"/>
      <c r="F99" s="595"/>
      <c r="K99" s="696"/>
      <c r="L99" s="696"/>
      <c r="M99" s="1075"/>
      <c r="N99" s="1076"/>
      <c r="O99" s="968"/>
      <c r="P99" s="969"/>
      <c r="Q99" s="970"/>
    </row>
    <row r="100" spans="1:17">
      <c r="A100" s="590"/>
      <c r="B100" s="661"/>
      <c r="C100" s="593"/>
      <c r="D100" s="662"/>
      <c r="E100" s="594"/>
      <c r="F100" s="595"/>
      <c r="K100" s="696"/>
      <c r="L100" s="696"/>
      <c r="M100" s="1075"/>
      <c r="N100" s="1076"/>
      <c r="O100" s="968"/>
      <c r="P100" s="969"/>
      <c r="Q100" s="970"/>
    </row>
    <row r="101" spans="1:17">
      <c r="A101" s="590"/>
      <c r="B101" s="661"/>
      <c r="C101" s="593"/>
      <c r="D101" s="662"/>
      <c r="E101" s="594"/>
      <c r="F101" s="595"/>
      <c r="K101" s="696"/>
      <c r="L101" s="696"/>
      <c r="M101" s="1075"/>
      <c r="N101" s="1076"/>
      <c r="O101" s="968"/>
      <c r="P101" s="969"/>
      <c r="Q101" s="970"/>
    </row>
    <row r="102" spans="1:17">
      <c r="A102" s="590"/>
      <c r="B102" s="661"/>
      <c r="C102" s="593"/>
      <c r="D102" s="662"/>
      <c r="E102" s="594"/>
      <c r="F102" s="595"/>
      <c r="K102" s="696"/>
      <c r="L102" s="696"/>
      <c r="M102" s="1075"/>
      <c r="N102" s="1076"/>
      <c r="O102" s="968"/>
      <c r="P102" s="969"/>
      <c r="Q102" s="970"/>
    </row>
    <row r="103" spans="1:17">
      <c r="A103" s="590"/>
      <c r="B103" s="661"/>
      <c r="C103" s="593"/>
      <c r="D103" s="662"/>
      <c r="E103" s="594"/>
      <c r="F103" s="595"/>
      <c r="K103" s="696"/>
      <c r="L103" s="696"/>
      <c r="M103" s="1075"/>
      <c r="N103" s="1076"/>
      <c r="O103" s="968"/>
      <c r="P103" s="969"/>
      <c r="Q103" s="970"/>
    </row>
    <row r="104" spans="1:17" ht="15" thickBot="1">
      <c r="A104" s="590"/>
      <c r="B104" s="661"/>
      <c r="C104" s="593"/>
      <c r="D104" s="662"/>
      <c r="E104" s="594"/>
      <c r="F104" s="595"/>
      <c r="K104" s="696"/>
      <c r="L104" s="696"/>
      <c r="M104" s="1075"/>
      <c r="N104" s="1076"/>
      <c r="O104" s="968"/>
      <c r="P104" s="969"/>
      <c r="Q104" s="970"/>
    </row>
    <row r="105" spans="1:17">
      <c r="A105" s="612"/>
      <c r="B105" s="613"/>
      <c r="C105" s="615"/>
      <c r="D105" s="614"/>
      <c r="E105" s="616"/>
      <c r="F105" s="617"/>
      <c r="K105" s="696"/>
      <c r="L105" s="696"/>
      <c r="M105" s="1075"/>
      <c r="N105" s="1076"/>
      <c r="O105" s="968"/>
      <c r="P105" s="969"/>
      <c r="Q105" s="970"/>
    </row>
    <row r="106" spans="1:17">
      <c r="A106" s="618" t="s">
        <v>310</v>
      </c>
      <c r="B106" s="619" t="s">
        <v>289</v>
      </c>
      <c r="C106" s="621"/>
      <c r="D106" s="620"/>
      <c r="E106" s="622"/>
      <c r="F106" s="623">
        <f>SUM(F57:F104)</f>
        <v>0</v>
      </c>
      <c r="H106" s="645"/>
      <c r="K106" s="696"/>
      <c r="L106" s="696"/>
      <c r="M106" s="1075"/>
      <c r="N106" s="1076"/>
      <c r="O106" s="968"/>
      <c r="P106" s="969"/>
      <c r="Q106" s="970"/>
    </row>
    <row r="107" spans="1:17">
      <c r="A107" s="624"/>
      <c r="B107" s="625"/>
      <c r="C107" s="627"/>
      <c r="D107" s="626"/>
      <c r="E107" s="628"/>
      <c r="F107" s="629"/>
      <c r="K107" s="696"/>
      <c r="L107" s="696"/>
      <c r="M107" s="1075"/>
      <c r="N107" s="1076"/>
      <c r="O107" s="968"/>
      <c r="P107" s="969"/>
      <c r="Q107" s="970"/>
    </row>
    <row r="108" spans="1:17" ht="17.399999999999999">
      <c r="A108" s="568"/>
      <c r="B108" s="663"/>
      <c r="C108" s="570"/>
      <c r="D108" s="569"/>
      <c r="E108" s="571"/>
      <c r="F108" s="572"/>
      <c r="K108" s="696"/>
      <c r="L108" s="696"/>
      <c r="M108" s="1075"/>
      <c r="N108" s="1076"/>
      <c r="O108" s="968"/>
      <c r="P108" s="969"/>
      <c r="Q108" s="970"/>
    </row>
    <row r="109" spans="1:17">
      <c r="A109" s="574"/>
      <c r="B109" s="664"/>
      <c r="C109" s="576"/>
      <c r="D109" s="575"/>
      <c r="E109" s="577"/>
      <c r="F109" s="578"/>
      <c r="K109" s="696"/>
      <c r="L109" s="696"/>
      <c r="M109" s="1075"/>
      <c r="N109" s="1076"/>
      <c r="O109" s="968"/>
      <c r="P109" s="969"/>
      <c r="Q109" s="970"/>
    </row>
    <row r="110" spans="1:17">
      <c r="A110" s="574"/>
      <c r="B110" s="664"/>
      <c r="C110" s="576"/>
      <c r="D110" s="575"/>
      <c r="E110" s="577"/>
      <c r="F110" s="578"/>
      <c r="K110" s="696"/>
      <c r="L110" s="696"/>
      <c r="M110" s="1075"/>
      <c r="N110" s="1076"/>
      <c r="O110" s="968"/>
      <c r="P110" s="969"/>
      <c r="Q110" s="970"/>
    </row>
    <row r="111" spans="1:17">
      <c r="A111" s="618"/>
      <c r="B111" s="657"/>
      <c r="C111" s="581"/>
      <c r="D111" s="580"/>
      <c r="E111" s="582"/>
      <c r="F111" s="583"/>
      <c r="K111" s="696"/>
      <c r="L111" s="696"/>
      <c r="M111" s="1075"/>
      <c r="N111" s="1076"/>
      <c r="O111" s="968"/>
      <c r="P111" s="969"/>
      <c r="Q111" s="970"/>
    </row>
    <row r="112" spans="1:17" ht="15" thickBot="1">
      <c r="A112" s="584" t="s">
        <v>276</v>
      </c>
      <c r="B112" s="585"/>
      <c r="C112" s="587" t="s">
        <v>277</v>
      </c>
      <c r="D112" s="586" t="s">
        <v>266</v>
      </c>
      <c r="E112" s="588" t="s">
        <v>278</v>
      </c>
      <c r="F112" s="589" t="s">
        <v>267</v>
      </c>
      <c r="K112" s="696"/>
      <c r="L112" s="696"/>
      <c r="M112" s="1040"/>
      <c r="N112" s="1076"/>
      <c r="O112" s="544"/>
      <c r="P112" s="969"/>
      <c r="Q112" s="970"/>
    </row>
    <row r="113" spans="1:17" ht="15" thickBot="1">
      <c r="A113" s="590"/>
      <c r="B113" s="661"/>
      <c r="C113" s="593"/>
      <c r="D113" s="662"/>
      <c r="E113" s="594"/>
      <c r="F113" s="595"/>
      <c r="K113" s="696"/>
      <c r="L113" s="696"/>
      <c r="M113" s="1079"/>
      <c r="N113" s="1076"/>
      <c r="O113" s="968"/>
      <c r="P113" s="969"/>
      <c r="Q113" s="970"/>
    </row>
    <row r="114" spans="1:17" ht="43.95" customHeight="1">
      <c r="A114" s="679" t="s">
        <v>299</v>
      </c>
      <c r="B114" s="683" t="s">
        <v>434</v>
      </c>
      <c r="C114" s="640"/>
      <c r="D114" s="681"/>
      <c r="E114" s="642"/>
      <c r="F114" s="643"/>
      <c r="K114" s="1014"/>
      <c r="L114" s="1014"/>
      <c r="M114" s="1015"/>
      <c r="N114" s="1016"/>
      <c r="O114" s="1017"/>
      <c r="P114" s="1018"/>
      <c r="Q114" s="1019"/>
    </row>
    <row r="115" spans="1:17">
      <c r="A115" s="603"/>
      <c r="B115" s="683"/>
      <c r="C115" s="640"/>
      <c r="D115" s="681"/>
      <c r="E115" s="642"/>
      <c r="F115" s="643"/>
      <c r="K115" s="1020"/>
      <c r="L115" s="1020"/>
      <c r="M115" s="1021" t="s">
        <v>289</v>
      </c>
      <c r="N115" s="1022"/>
      <c r="O115" s="1023"/>
      <c r="P115" s="1024"/>
      <c r="Q115" s="1010">
        <f ca="1">SUM(Q64:Q113)</f>
        <v>335.04000000000008</v>
      </c>
    </row>
    <row r="116" spans="1:17">
      <c r="A116" s="603" t="s">
        <v>294</v>
      </c>
      <c r="B116" s="683" t="s">
        <v>435</v>
      </c>
      <c r="C116" s="640">
        <v>1</v>
      </c>
      <c r="D116" s="681" t="s">
        <v>283</v>
      </c>
      <c r="E116" s="946" t="e">
        <f>Elec_Est!#REF!</f>
        <v>#REF!</v>
      </c>
      <c r="F116" s="643"/>
      <c r="G116" s="573">
        <v>3</v>
      </c>
      <c r="K116" s="1025"/>
      <c r="L116" s="1025"/>
      <c r="M116" s="1026"/>
      <c r="N116" s="1027"/>
      <c r="O116" s="1028"/>
      <c r="P116" s="1029"/>
      <c r="Q116" s="1030"/>
    </row>
    <row r="117" spans="1:17" ht="17.399999999999999">
      <c r="A117" s="603"/>
      <c r="B117" s="683"/>
      <c r="C117" s="640"/>
      <c r="D117" s="681"/>
      <c r="E117" s="946"/>
      <c r="F117" s="643"/>
      <c r="K117" s="980"/>
      <c r="L117" s="981"/>
      <c r="M117" s="1077"/>
      <c r="N117" s="982"/>
      <c r="O117" s="983"/>
      <c r="P117" s="984"/>
      <c r="Q117" s="985"/>
    </row>
    <row r="118" spans="1:17">
      <c r="A118" s="603" t="s">
        <v>339</v>
      </c>
      <c r="B118" s="683" t="s">
        <v>436</v>
      </c>
      <c r="C118" s="640">
        <v>1</v>
      </c>
      <c r="D118" s="681" t="s">
        <v>283</v>
      </c>
      <c r="E118" s="946" t="e">
        <f>Elec_Est!#REF!</f>
        <v>#REF!</v>
      </c>
      <c r="F118" s="643"/>
      <c r="G118" s="573">
        <v>3</v>
      </c>
      <c r="K118" s="986"/>
      <c r="L118" s="987"/>
      <c r="M118" s="1078"/>
      <c r="N118" s="988"/>
      <c r="O118" s="989"/>
      <c r="P118" s="990"/>
      <c r="Q118" s="991"/>
    </row>
    <row r="119" spans="1:17">
      <c r="A119" s="603"/>
      <c r="B119" s="683"/>
      <c r="C119" s="640"/>
      <c r="D119" s="681"/>
      <c r="E119" s="946"/>
      <c r="F119" s="643"/>
      <c r="K119" s="986"/>
      <c r="L119" s="987"/>
      <c r="M119" s="1078"/>
      <c r="N119" s="988"/>
      <c r="O119" s="989"/>
      <c r="P119" s="990"/>
      <c r="Q119" s="991"/>
    </row>
    <row r="120" spans="1:17">
      <c r="A120" s="603" t="s">
        <v>340</v>
      </c>
      <c r="B120" s="683" t="s">
        <v>437</v>
      </c>
      <c r="C120" s="640">
        <v>1</v>
      </c>
      <c r="D120" s="681" t="s">
        <v>283</v>
      </c>
      <c r="E120" s="946" t="e">
        <f>Elec_Est!#REF!</f>
        <v>#REF!</v>
      </c>
      <c r="F120" s="643"/>
      <c r="G120" s="573">
        <v>3</v>
      </c>
      <c r="K120" s="1020"/>
      <c r="L120" s="993"/>
      <c r="M120" s="959"/>
      <c r="N120" s="543"/>
      <c r="O120" s="994"/>
      <c r="P120" s="995"/>
      <c r="Q120" s="996"/>
    </row>
    <row r="121" spans="1:17" ht="15" thickBot="1">
      <c r="A121" s="603"/>
      <c r="B121" s="683"/>
      <c r="C121" s="640"/>
      <c r="D121" s="681"/>
      <c r="E121" s="946"/>
      <c r="F121" s="643"/>
      <c r="K121" s="997" t="s">
        <v>276</v>
      </c>
      <c r="L121" s="998" t="s">
        <v>887</v>
      </c>
      <c r="M121" s="999"/>
      <c r="N121" s="1000" t="s">
        <v>266</v>
      </c>
      <c r="O121" s="1001" t="s">
        <v>277</v>
      </c>
      <c r="P121" s="1002" t="s">
        <v>278</v>
      </c>
      <c r="Q121" s="1003" t="s">
        <v>267</v>
      </c>
    </row>
    <row r="122" spans="1:17">
      <c r="A122" s="603" t="s">
        <v>409</v>
      </c>
      <c r="B122" s="683" t="s">
        <v>438</v>
      </c>
      <c r="C122" s="640">
        <v>1</v>
      </c>
      <c r="D122" s="681" t="s">
        <v>283</v>
      </c>
      <c r="E122" s="946" t="e">
        <f>Elec_Est!#REF!</f>
        <v>#REF!</v>
      </c>
      <c r="F122" s="643"/>
      <c r="G122" s="573">
        <v>3</v>
      </c>
      <c r="K122" s="696"/>
      <c r="L122" s="696"/>
      <c r="M122" s="703"/>
      <c r="N122" s="967"/>
      <c r="O122" s="968"/>
      <c r="P122" s="969"/>
      <c r="Q122" s="970"/>
    </row>
    <row r="123" spans="1:17" ht="52.8">
      <c r="A123" s="603"/>
      <c r="B123" s="683"/>
      <c r="C123" s="640"/>
      <c r="D123" s="681"/>
      <c r="E123" s="946"/>
      <c r="F123" s="643"/>
      <c r="K123" s="705">
        <f>K65+1</f>
        <v>3</v>
      </c>
      <c r="L123" s="705"/>
      <c r="M123" s="706" t="s">
        <v>441</v>
      </c>
      <c r="N123" s="1047"/>
      <c r="O123" s="1048"/>
      <c r="P123" s="1049"/>
      <c r="Q123" s="1050"/>
    </row>
    <row r="124" spans="1:17">
      <c r="A124" s="603" t="s">
        <v>416</v>
      </c>
      <c r="B124" s="683" t="s">
        <v>439</v>
      </c>
      <c r="C124" s="640">
        <v>1</v>
      </c>
      <c r="D124" s="681" t="s">
        <v>283</v>
      </c>
      <c r="E124" s="946" t="e">
        <f>Elec_Est!#REF!</f>
        <v>#REF!</v>
      </c>
      <c r="F124" s="643"/>
      <c r="G124" s="573">
        <v>3</v>
      </c>
      <c r="K124" s="705"/>
      <c r="L124" s="705"/>
      <c r="M124" s="706"/>
      <c r="N124" s="1047"/>
      <c r="O124" s="1048"/>
      <c r="P124" s="1049"/>
      <c r="Q124" s="1050"/>
    </row>
    <row r="125" spans="1:17">
      <c r="A125" s="603"/>
      <c r="B125" s="683"/>
      <c r="C125" s="640"/>
      <c r="D125" s="681"/>
      <c r="E125" s="946"/>
      <c r="F125" s="643"/>
      <c r="K125" s="705"/>
      <c r="L125" s="705"/>
      <c r="M125" s="706" t="s">
        <v>442</v>
      </c>
      <c r="N125" s="1047" t="s">
        <v>283</v>
      </c>
      <c r="O125" s="1048">
        <v>1</v>
      </c>
      <c r="P125" s="1049">
        <f ca="1">Elec_Est!E1127</f>
        <v>43.84</v>
      </c>
      <c r="Q125" s="1050">
        <f ca="1">P125*O125</f>
        <v>43.84</v>
      </c>
    </row>
    <row r="126" spans="1:17">
      <c r="A126" s="603" t="s">
        <v>424</v>
      </c>
      <c r="B126" s="683" t="s">
        <v>440</v>
      </c>
      <c r="C126" s="640">
        <v>1</v>
      </c>
      <c r="D126" s="681" t="s">
        <v>283</v>
      </c>
      <c r="E126" s="946" t="e">
        <f>Elec_Est!#REF!</f>
        <v>#REF!</v>
      </c>
      <c r="F126" s="643"/>
      <c r="G126" s="573">
        <v>3</v>
      </c>
      <c r="K126" s="705"/>
      <c r="L126" s="705"/>
      <c r="M126" s="706"/>
      <c r="N126" s="1047"/>
      <c r="O126" s="1048"/>
      <c r="P126" s="1049"/>
      <c r="Q126" s="1050"/>
    </row>
    <row r="127" spans="1:17">
      <c r="A127" s="590"/>
      <c r="B127" s="661"/>
      <c r="C127" s="593"/>
      <c r="D127" s="662"/>
      <c r="E127" s="594"/>
      <c r="F127" s="595"/>
      <c r="K127" s="705"/>
      <c r="L127" s="705"/>
      <c r="M127" s="1073" t="s">
        <v>443</v>
      </c>
      <c r="N127" s="1047" t="s">
        <v>283</v>
      </c>
      <c r="O127" s="1048">
        <v>1</v>
      </c>
      <c r="P127" s="1049">
        <f ca="1">Elec_Est!E1148</f>
        <v>43.84</v>
      </c>
      <c r="Q127" s="1050">
        <f ca="1">P127*O127</f>
        <v>43.84</v>
      </c>
    </row>
    <row r="128" spans="1:17">
      <c r="A128" s="590"/>
      <c r="B128" s="661"/>
      <c r="C128" s="593"/>
      <c r="D128" s="662"/>
      <c r="E128" s="594"/>
      <c r="F128" s="595"/>
      <c r="K128" s="705"/>
      <c r="L128" s="705"/>
      <c r="M128" s="706"/>
      <c r="N128" s="1047"/>
      <c r="O128" s="1048"/>
      <c r="P128" s="1049"/>
      <c r="Q128" s="1050"/>
    </row>
    <row r="129" spans="1:17">
      <c r="A129" s="590"/>
      <c r="B129" s="661"/>
      <c r="C129" s="593"/>
      <c r="D129" s="662"/>
      <c r="E129" s="594"/>
      <c r="F129" s="595"/>
      <c r="K129" s="705"/>
      <c r="L129" s="705"/>
      <c r="M129" s="706" t="s">
        <v>444</v>
      </c>
      <c r="N129" s="1047" t="s">
        <v>283</v>
      </c>
      <c r="O129" s="1048">
        <v>1</v>
      </c>
      <c r="P129" s="1049">
        <f ca="1">Elec_Est!E1169</f>
        <v>47.58</v>
      </c>
      <c r="Q129" s="1050">
        <f ca="1">P129*O129</f>
        <v>47.58</v>
      </c>
    </row>
    <row r="130" spans="1:17">
      <c r="A130" s="590"/>
      <c r="B130" s="661"/>
      <c r="C130" s="593"/>
      <c r="D130" s="662"/>
      <c r="E130" s="594"/>
      <c r="F130" s="595"/>
      <c r="K130" s="705"/>
      <c r="L130" s="705"/>
      <c r="M130" s="706"/>
      <c r="N130" s="1047"/>
      <c r="O130" s="1048"/>
      <c r="P130" s="1049"/>
      <c r="Q130" s="1050"/>
    </row>
    <row r="131" spans="1:17">
      <c r="A131" s="590"/>
      <c r="B131" s="609"/>
      <c r="C131" s="646"/>
      <c r="D131" s="662"/>
      <c r="E131" s="594"/>
      <c r="F131" s="595"/>
      <c r="K131" s="705"/>
      <c r="L131" s="705"/>
      <c r="M131" s="706" t="s">
        <v>445</v>
      </c>
      <c r="N131" s="1047" t="s">
        <v>283</v>
      </c>
      <c r="O131" s="1048">
        <v>1</v>
      </c>
      <c r="P131" s="1049">
        <f ca="1">Elec_Est!E1190</f>
        <v>47.58</v>
      </c>
      <c r="Q131" s="1050">
        <f ca="1">P131*O131</f>
        <v>47.58</v>
      </c>
    </row>
    <row r="132" spans="1:17">
      <c r="A132" s="590"/>
      <c r="B132" s="661"/>
      <c r="C132" s="593"/>
      <c r="D132" s="662"/>
      <c r="E132" s="594"/>
      <c r="F132" s="595"/>
      <c r="K132" s="696"/>
      <c r="L132" s="696"/>
      <c r="M132" s="703"/>
      <c r="N132" s="967"/>
      <c r="O132" s="968"/>
      <c r="P132" s="969"/>
      <c r="Q132" s="970"/>
    </row>
    <row r="133" spans="1:17">
      <c r="A133" s="590"/>
      <c r="B133" s="661"/>
      <c r="C133" s="593"/>
      <c r="D133" s="662"/>
      <c r="E133" s="594"/>
      <c r="F133" s="595"/>
      <c r="K133" s="696"/>
      <c r="L133" s="696"/>
      <c r="M133" s="703"/>
      <c r="N133" s="967"/>
      <c r="O133" s="968"/>
      <c r="P133" s="969"/>
      <c r="Q133" s="970"/>
    </row>
    <row r="134" spans="1:17">
      <c r="A134" s="590"/>
      <c r="B134" s="661"/>
      <c r="C134" s="593"/>
      <c r="D134" s="662"/>
      <c r="E134" s="594"/>
      <c r="F134" s="595"/>
      <c r="K134" s="696"/>
      <c r="L134" s="696"/>
      <c r="M134" s="703"/>
      <c r="N134" s="967"/>
      <c r="O134" s="968"/>
      <c r="P134" s="969"/>
      <c r="Q134" s="970"/>
    </row>
    <row r="135" spans="1:17">
      <c r="A135" s="590"/>
      <c r="B135" s="661"/>
      <c r="C135" s="593"/>
      <c r="D135" s="662"/>
      <c r="E135" s="594"/>
      <c r="F135" s="595"/>
      <c r="K135" s="696"/>
      <c r="L135" s="696"/>
      <c r="M135" s="703"/>
      <c r="N135" s="967"/>
      <c r="O135" s="968"/>
      <c r="P135" s="969"/>
      <c r="Q135" s="970"/>
    </row>
    <row r="136" spans="1:17">
      <c r="A136" s="590"/>
      <c r="B136" s="661"/>
      <c r="C136" s="593"/>
      <c r="D136" s="662"/>
      <c r="E136" s="594"/>
      <c r="F136" s="595"/>
      <c r="K136" s="696"/>
      <c r="L136" s="696"/>
      <c r="M136" s="703"/>
      <c r="N136" s="967"/>
      <c r="O136" s="968"/>
      <c r="P136" s="969"/>
      <c r="Q136" s="970"/>
    </row>
    <row r="137" spans="1:17">
      <c r="A137" s="590"/>
      <c r="B137" s="661"/>
      <c r="C137" s="593"/>
      <c r="D137" s="662"/>
      <c r="E137" s="594"/>
      <c r="F137" s="595"/>
      <c r="K137" s="696"/>
      <c r="L137" s="696"/>
      <c r="M137" s="703"/>
      <c r="N137" s="967"/>
      <c r="O137" s="968"/>
      <c r="P137" s="969"/>
      <c r="Q137" s="970"/>
    </row>
    <row r="138" spans="1:17">
      <c r="A138" s="590"/>
      <c r="B138" s="661"/>
      <c r="C138" s="593"/>
      <c r="D138" s="662"/>
      <c r="E138" s="594"/>
      <c r="F138" s="595"/>
      <c r="K138" s="696"/>
      <c r="L138" s="696"/>
      <c r="M138" s="703"/>
      <c r="N138" s="967"/>
      <c r="O138" s="968"/>
      <c r="P138" s="969"/>
      <c r="Q138" s="970"/>
    </row>
    <row r="139" spans="1:17">
      <c r="A139" s="590"/>
      <c r="B139" s="661"/>
      <c r="C139" s="593"/>
      <c r="D139" s="662"/>
      <c r="E139" s="594"/>
      <c r="F139" s="595"/>
      <c r="K139" s="696"/>
      <c r="L139" s="696"/>
      <c r="M139" s="703"/>
      <c r="N139" s="967"/>
      <c r="O139" s="968"/>
      <c r="P139" s="969"/>
      <c r="Q139" s="970"/>
    </row>
    <row r="140" spans="1:17">
      <c r="A140" s="590"/>
      <c r="B140" s="661"/>
      <c r="C140" s="593"/>
      <c r="D140" s="662"/>
      <c r="E140" s="594"/>
      <c r="F140" s="595"/>
      <c r="K140" s="696"/>
      <c r="L140" s="696"/>
      <c r="M140" s="703"/>
      <c r="N140" s="967"/>
      <c r="O140" s="968"/>
      <c r="P140" s="969"/>
      <c r="Q140" s="970"/>
    </row>
    <row r="141" spans="1:17">
      <c r="A141" s="590"/>
      <c r="B141" s="661"/>
      <c r="C141" s="593"/>
      <c r="D141" s="662"/>
      <c r="E141" s="594"/>
      <c r="F141" s="595"/>
      <c r="K141" s="696"/>
      <c r="L141" s="696"/>
      <c r="M141" s="703"/>
      <c r="N141" s="967"/>
      <c r="O141" s="544"/>
      <c r="P141" s="969"/>
      <c r="Q141" s="970"/>
    </row>
    <row r="142" spans="1:17">
      <c r="A142" s="590"/>
      <c r="B142" s="661"/>
      <c r="C142" s="593"/>
      <c r="D142" s="662"/>
      <c r="E142" s="594"/>
      <c r="F142" s="595"/>
      <c r="K142" s="696"/>
      <c r="L142" s="696"/>
      <c r="M142" s="703"/>
      <c r="N142" s="967"/>
      <c r="O142" s="968"/>
      <c r="P142" s="969"/>
      <c r="Q142" s="970"/>
    </row>
    <row r="143" spans="1:17">
      <c r="A143" s="590"/>
      <c r="B143" s="661"/>
      <c r="C143" s="593"/>
      <c r="D143" s="662"/>
      <c r="E143" s="594"/>
      <c r="F143" s="595"/>
      <c r="K143" s="696"/>
      <c r="L143" s="696"/>
      <c r="M143" s="1080"/>
      <c r="N143" s="967"/>
      <c r="O143" s="544"/>
      <c r="P143" s="969"/>
      <c r="Q143" s="970"/>
    </row>
    <row r="144" spans="1:17">
      <c r="A144" s="590"/>
      <c r="B144" s="661"/>
      <c r="C144" s="593"/>
      <c r="D144" s="662"/>
      <c r="E144" s="594"/>
      <c r="F144" s="595"/>
      <c r="K144" s="696"/>
      <c r="L144" s="696"/>
      <c r="M144" s="1040"/>
      <c r="N144" s="967"/>
      <c r="O144" s="1041"/>
      <c r="P144" s="969"/>
      <c r="Q144" s="970"/>
    </row>
    <row r="145" spans="1:17">
      <c r="A145" s="590"/>
      <c r="B145" s="661"/>
      <c r="C145" s="593"/>
      <c r="D145" s="662"/>
      <c r="E145" s="594"/>
      <c r="F145" s="595"/>
      <c r="K145" s="696"/>
      <c r="L145" s="696"/>
      <c r="M145" s="1040"/>
      <c r="N145" s="967"/>
      <c r="O145" s="1041"/>
      <c r="P145" s="969"/>
      <c r="Q145" s="970"/>
    </row>
    <row r="146" spans="1:17">
      <c r="A146" s="590"/>
      <c r="B146" s="661"/>
      <c r="C146" s="593"/>
      <c r="D146" s="662"/>
      <c r="E146" s="594"/>
      <c r="F146" s="595"/>
      <c r="K146" s="696"/>
      <c r="L146" s="696"/>
      <c r="M146" s="1040"/>
      <c r="N146" s="967"/>
      <c r="O146" s="1041"/>
      <c r="P146" s="969"/>
      <c r="Q146" s="970"/>
    </row>
    <row r="147" spans="1:17">
      <c r="A147" s="590"/>
      <c r="B147" s="661"/>
      <c r="C147" s="593"/>
      <c r="D147" s="662"/>
      <c r="E147" s="594"/>
      <c r="F147" s="595"/>
      <c r="K147" s="696"/>
      <c r="L147" s="696"/>
      <c r="M147" s="1040"/>
      <c r="N147" s="967"/>
      <c r="O147" s="1041"/>
      <c r="P147" s="969"/>
      <c r="Q147" s="970"/>
    </row>
    <row r="148" spans="1:17">
      <c r="A148" s="590"/>
      <c r="B148" s="661"/>
      <c r="C148" s="593"/>
      <c r="D148" s="662"/>
      <c r="E148" s="594"/>
      <c r="F148" s="595"/>
      <c r="K148" s="696"/>
      <c r="L148" s="696"/>
      <c r="M148" s="1081"/>
      <c r="N148" s="967"/>
      <c r="O148" s="1041"/>
      <c r="P148" s="969"/>
      <c r="Q148" s="970"/>
    </row>
    <row r="149" spans="1:17">
      <c r="A149" s="590"/>
      <c r="B149" s="661"/>
      <c r="C149" s="593"/>
      <c r="D149" s="662"/>
      <c r="E149" s="594"/>
      <c r="F149" s="595"/>
      <c r="K149" s="696"/>
      <c r="L149" s="696"/>
      <c r="M149" s="1040"/>
      <c r="N149" s="967"/>
      <c r="O149" s="1041"/>
      <c r="P149" s="969"/>
      <c r="Q149" s="970"/>
    </row>
    <row r="150" spans="1:17">
      <c r="A150" s="590"/>
      <c r="B150" s="661"/>
      <c r="C150" s="593"/>
      <c r="D150" s="662"/>
      <c r="E150" s="594"/>
      <c r="F150" s="595"/>
      <c r="K150" s="696"/>
      <c r="L150" s="696"/>
      <c r="M150" s="1040"/>
      <c r="N150" s="967"/>
      <c r="O150" s="1041"/>
      <c r="P150" s="969"/>
      <c r="Q150" s="970"/>
    </row>
    <row r="151" spans="1:17">
      <c r="A151" s="590"/>
      <c r="B151" s="661"/>
      <c r="C151" s="593"/>
      <c r="D151" s="662"/>
      <c r="E151" s="594"/>
      <c r="F151" s="595"/>
      <c r="K151" s="696"/>
      <c r="L151" s="696"/>
      <c r="M151" s="1080"/>
      <c r="N151" s="967"/>
      <c r="O151" s="544"/>
      <c r="P151" s="969"/>
      <c r="Q151" s="970"/>
    </row>
    <row r="152" spans="1:17">
      <c r="A152" s="590"/>
      <c r="B152" s="661"/>
      <c r="C152" s="593"/>
      <c r="D152" s="662"/>
      <c r="E152" s="594"/>
      <c r="F152" s="595"/>
      <c r="K152" s="696"/>
      <c r="L152" s="696"/>
      <c r="M152" s="1080"/>
      <c r="N152" s="967"/>
      <c r="O152" s="1041"/>
      <c r="P152" s="969"/>
      <c r="Q152" s="970"/>
    </row>
    <row r="153" spans="1:17">
      <c r="A153" s="590"/>
      <c r="B153" s="661"/>
      <c r="C153" s="593"/>
      <c r="D153" s="662"/>
      <c r="E153" s="594"/>
      <c r="F153" s="595"/>
      <c r="K153" s="696"/>
      <c r="L153" s="696"/>
      <c r="M153" s="1080"/>
      <c r="N153" s="967"/>
      <c r="O153" s="544"/>
      <c r="P153" s="969"/>
      <c r="Q153" s="970"/>
    </row>
    <row r="154" spans="1:17">
      <c r="A154" s="590"/>
      <c r="B154" s="661"/>
      <c r="C154" s="593"/>
      <c r="D154" s="662"/>
      <c r="E154" s="594"/>
      <c r="F154" s="595"/>
      <c r="K154" s="696"/>
      <c r="L154" s="696"/>
      <c r="M154" s="1080"/>
      <c r="N154" s="967"/>
      <c r="O154" s="1041"/>
      <c r="P154" s="969"/>
      <c r="Q154" s="970"/>
    </row>
    <row r="155" spans="1:17">
      <c r="A155" s="590"/>
      <c r="B155" s="661"/>
      <c r="C155" s="593"/>
      <c r="D155" s="662"/>
      <c r="E155" s="594"/>
      <c r="F155" s="595"/>
      <c r="K155" s="696"/>
      <c r="L155" s="696"/>
      <c r="M155" s="1080"/>
      <c r="N155" s="967"/>
      <c r="O155" s="544"/>
      <c r="P155" s="969"/>
      <c r="Q155" s="970"/>
    </row>
    <row r="156" spans="1:17">
      <c r="A156" s="590"/>
      <c r="B156" s="661"/>
      <c r="C156" s="593"/>
      <c r="D156" s="662"/>
      <c r="E156" s="594"/>
      <c r="F156" s="595"/>
      <c r="K156" s="696"/>
      <c r="L156" s="696"/>
      <c r="M156" s="1080"/>
      <c r="N156" s="967"/>
      <c r="O156" s="1041"/>
      <c r="P156" s="969"/>
      <c r="Q156" s="970"/>
    </row>
    <row r="157" spans="1:17">
      <c r="A157" s="590"/>
      <c r="B157" s="661"/>
      <c r="C157" s="593"/>
      <c r="D157" s="662"/>
      <c r="E157" s="594"/>
      <c r="F157" s="595"/>
      <c r="K157" s="696"/>
      <c r="L157" s="696"/>
      <c r="M157" s="1080"/>
      <c r="N157" s="967"/>
      <c r="O157" s="544"/>
      <c r="P157" s="969"/>
      <c r="Q157" s="970"/>
    </row>
    <row r="158" spans="1:17">
      <c r="A158" s="590"/>
      <c r="B158" s="661"/>
      <c r="C158" s="593"/>
      <c r="D158" s="662"/>
      <c r="E158" s="594"/>
      <c r="F158" s="595"/>
      <c r="K158" s="696"/>
      <c r="L158" s="696"/>
      <c r="M158" s="1080"/>
      <c r="N158" s="967"/>
      <c r="O158" s="1041"/>
      <c r="P158" s="969"/>
      <c r="Q158" s="970"/>
    </row>
    <row r="159" spans="1:17">
      <c r="A159" s="590"/>
      <c r="B159" s="661"/>
      <c r="C159" s="593"/>
      <c r="D159" s="662"/>
      <c r="E159" s="594"/>
      <c r="F159" s="595"/>
      <c r="K159" s="696"/>
      <c r="L159" s="696"/>
      <c r="M159" s="1080"/>
      <c r="N159" s="967"/>
      <c r="O159" s="544"/>
      <c r="P159" s="969"/>
      <c r="Q159" s="970"/>
    </row>
    <row r="160" spans="1:17">
      <c r="A160" s="590"/>
      <c r="B160" s="661"/>
      <c r="C160" s="593"/>
      <c r="D160" s="662"/>
      <c r="E160" s="594"/>
      <c r="F160" s="595"/>
      <c r="K160" s="696"/>
      <c r="L160" s="696"/>
      <c r="M160" s="1080"/>
      <c r="N160" s="967"/>
      <c r="O160" s="544"/>
      <c r="P160" s="969"/>
      <c r="Q160" s="970"/>
    </row>
    <row r="161" spans="1:17">
      <c r="A161" s="590"/>
      <c r="B161" s="609"/>
      <c r="C161" s="646"/>
      <c r="D161" s="662"/>
      <c r="E161" s="594"/>
      <c r="F161" s="595"/>
      <c r="K161" s="696"/>
      <c r="L161" s="696"/>
      <c r="M161" s="1080"/>
      <c r="N161" s="967"/>
      <c r="O161" s="544"/>
      <c r="P161" s="969"/>
      <c r="Q161" s="970"/>
    </row>
    <row r="162" spans="1:17" ht="15" thickBot="1">
      <c r="A162" s="590"/>
      <c r="B162" s="665"/>
      <c r="C162" s="593"/>
      <c r="D162" s="662"/>
      <c r="E162" s="594"/>
      <c r="F162" s="595"/>
      <c r="K162" s="696"/>
      <c r="L162" s="696"/>
      <c r="M162" s="1080"/>
      <c r="N162" s="967"/>
      <c r="O162" s="544"/>
      <c r="P162" s="969"/>
      <c r="Q162" s="970"/>
    </row>
    <row r="163" spans="1:17">
      <c r="A163" s="612"/>
      <c r="B163" s="613"/>
      <c r="C163" s="615"/>
      <c r="D163" s="614"/>
      <c r="E163" s="616"/>
      <c r="F163" s="617"/>
      <c r="K163" s="696"/>
      <c r="L163" s="696"/>
      <c r="M163" s="1080"/>
      <c r="N163" s="967"/>
      <c r="O163" s="544"/>
      <c r="P163" s="969"/>
      <c r="Q163" s="970"/>
    </row>
    <row r="164" spans="1:17">
      <c r="A164" s="618" t="s">
        <v>310</v>
      </c>
      <c r="B164" s="619" t="s">
        <v>289</v>
      </c>
      <c r="C164" s="621"/>
      <c r="D164" s="620"/>
      <c r="E164" s="622"/>
      <c r="F164" s="623">
        <f>SUM(F113:F162)</f>
        <v>0</v>
      </c>
      <c r="H164" s="645"/>
      <c r="K164" s="696"/>
      <c r="L164" s="696"/>
      <c r="M164" s="1080"/>
      <c r="N164" s="967"/>
      <c r="O164" s="544"/>
      <c r="P164" s="969"/>
      <c r="Q164" s="970"/>
    </row>
    <row r="165" spans="1:17">
      <c r="A165" s="624"/>
      <c r="B165" s="625"/>
      <c r="C165" s="627"/>
      <c r="D165" s="626"/>
      <c r="E165" s="628"/>
      <c r="F165" s="629"/>
      <c r="K165" s="696"/>
      <c r="L165" s="696"/>
      <c r="M165" s="1080"/>
      <c r="N165" s="967"/>
      <c r="O165" s="544"/>
      <c r="P165" s="969"/>
      <c r="Q165" s="970"/>
    </row>
    <row r="166" spans="1:17" ht="17.399999999999999">
      <c r="A166" s="568"/>
      <c r="B166" s="663"/>
      <c r="C166" s="570"/>
      <c r="D166" s="569"/>
      <c r="E166" s="571"/>
      <c r="F166" s="572"/>
      <c r="K166" s="696"/>
      <c r="L166" s="696"/>
      <c r="M166" s="1080"/>
      <c r="N166" s="967"/>
      <c r="O166" s="544"/>
      <c r="P166" s="969"/>
      <c r="Q166" s="970"/>
    </row>
    <row r="167" spans="1:17">
      <c r="A167" s="574"/>
      <c r="B167" s="664"/>
      <c r="C167" s="576"/>
      <c r="D167" s="575"/>
      <c r="E167" s="577"/>
      <c r="F167" s="578"/>
      <c r="K167" s="696"/>
      <c r="L167" s="696"/>
      <c r="M167" s="1080"/>
      <c r="N167" s="967"/>
      <c r="O167" s="544"/>
      <c r="P167" s="969"/>
      <c r="Q167" s="970"/>
    </row>
    <row r="168" spans="1:17">
      <c r="A168" s="574"/>
      <c r="B168" s="664"/>
      <c r="C168" s="576"/>
      <c r="D168" s="575"/>
      <c r="E168" s="577"/>
      <c r="F168" s="578"/>
      <c r="K168" s="696"/>
      <c r="L168" s="696"/>
      <c r="M168" s="1080"/>
      <c r="N168" s="967"/>
      <c r="O168" s="544"/>
      <c r="P168" s="969"/>
      <c r="Q168" s="970"/>
    </row>
    <row r="169" spans="1:17">
      <c r="A169" s="618"/>
      <c r="B169" s="657"/>
      <c r="C169" s="581"/>
      <c r="D169" s="580"/>
      <c r="E169" s="582"/>
      <c r="F169" s="583"/>
      <c r="K169" s="696"/>
      <c r="L169" s="696"/>
      <c r="M169" s="1080"/>
      <c r="N169" s="967"/>
      <c r="O169" s="544"/>
      <c r="P169" s="969"/>
      <c r="Q169" s="970"/>
    </row>
    <row r="170" spans="1:17" ht="15" thickBot="1">
      <c r="A170" s="584" t="s">
        <v>276</v>
      </c>
      <c r="B170" s="585"/>
      <c r="C170" s="587" t="s">
        <v>277</v>
      </c>
      <c r="D170" s="586" t="s">
        <v>266</v>
      </c>
      <c r="E170" s="588" t="s">
        <v>278</v>
      </c>
      <c r="F170" s="589" t="s">
        <v>267</v>
      </c>
      <c r="K170" s="696"/>
      <c r="L170" s="696"/>
      <c r="M170" s="1080"/>
      <c r="N170" s="967"/>
      <c r="O170" s="544"/>
      <c r="P170" s="969"/>
      <c r="Q170" s="970"/>
    </row>
    <row r="171" spans="1:17" ht="15" thickBot="1">
      <c r="A171" s="590"/>
      <c r="B171" s="591"/>
      <c r="C171" s="593"/>
      <c r="D171" s="592"/>
      <c r="E171" s="594"/>
      <c r="F171" s="595"/>
      <c r="K171" s="696"/>
      <c r="L171" s="696"/>
      <c r="M171" s="703"/>
      <c r="N171" s="967"/>
      <c r="O171" s="968"/>
      <c r="P171" s="969"/>
      <c r="Q171" s="970"/>
    </row>
    <row r="172" spans="1:17" ht="40.950000000000003" customHeight="1">
      <c r="A172" s="603" t="s">
        <v>302</v>
      </c>
      <c r="B172" s="604" t="s">
        <v>441</v>
      </c>
      <c r="C172" s="640"/>
      <c r="D172" s="641"/>
      <c r="E172" s="642"/>
      <c r="F172" s="643"/>
      <c r="K172" s="1014"/>
      <c r="L172" s="1014"/>
      <c r="M172" s="1015"/>
      <c r="N172" s="1016"/>
      <c r="O172" s="1017"/>
      <c r="P172" s="1018"/>
      <c r="Q172" s="1019"/>
    </row>
    <row r="173" spans="1:17">
      <c r="A173" s="603"/>
      <c r="B173" s="604"/>
      <c r="C173" s="640"/>
      <c r="D173" s="641"/>
      <c r="E173" s="642"/>
      <c r="F173" s="643"/>
      <c r="K173" s="1020"/>
      <c r="L173" s="1020"/>
      <c r="M173" s="1021" t="s">
        <v>289</v>
      </c>
      <c r="N173" s="1022"/>
      <c r="O173" s="1023"/>
      <c r="P173" s="1024"/>
      <c r="Q173" s="1010">
        <f ca="1">SUM(Q123:Q171)</f>
        <v>182.83999999999997</v>
      </c>
    </row>
    <row r="174" spans="1:17">
      <c r="A174" s="603" t="s">
        <v>294</v>
      </c>
      <c r="B174" s="604" t="s">
        <v>442</v>
      </c>
      <c r="C174" s="640">
        <v>1</v>
      </c>
      <c r="D174" s="641" t="s">
        <v>283</v>
      </c>
      <c r="E174" s="946" t="e">
        <f>Elec_Est!#REF!</f>
        <v>#REF!</v>
      </c>
      <c r="F174" s="643"/>
      <c r="G174" s="573">
        <v>3</v>
      </c>
      <c r="K174" s="1025"/>
      <c r="L174" s="1025"/>
      <c r="M174" s="1026"/>
      <c r="N174" s="1027"/>
      <c r="O174" s="1028"/>
      <c r="P174" s="1029"/>
      <c r="Q174" s="1030"/>
    </row>
    <row r="175" spans="1:17" ht="17.399999999999999">
      <c r="A175" s="603"/>
      <c r="B175" s="604"/>
      <c r="C175" s="640"/>
      <c r="D175" s="641"/>
      <c r="E175" s="946"/>
      <c r="F175" s="643"/>
      <c r="K175" s="980"/>
      <c r="L175" s="981"/>
      <c r="M175" s="982"/>
      <c r="N175" s="982"/>
      <c r="O175" s="983"/>
      <c r="P175" s="984"/>
      <c r="Q175" s="985"/>
    </row>
    <row r="176" spans="1:17">
      <c r="A176" s="603" t="s">
        <v>339</v>
      </c>
      <c r="B176" s="683" t="s">
        <v>443</v>
      </c>
      <c r="C176" s="640">
        <v>1</v>
      </c>
      <c r="D176" s="641" t="s">
        <v>283</v>
      </c>
      <c r="E176" s="946" t="e">
        <f>Elec_Est!#REF!</f>
        <v>#REF!</v>
      </c>
      <c r="F176" s="643"/>
      <c r="G176" s="573">
        <v>3</v>
      </c>
      <c r="K176" s="986"/>
      <c r="L176" s="987"/>
      <c r="M176" s="988"/>
      <c r="N176" s="988"/>
      <c r="O176" s="989"/>
      <c r="P176" s="990"/>
      <c r="Q176" s="991"/>
    </row>
    <row r="177" spans="1:17">
      <c r="A177" s="603"/>
      <c r="B177" s="604"/>
      <c r="C177" s="640"/>
      <c r="D177" s="641"/>
      <c r="E177" s="946"/>
      <c r="F177" s="643"/>
      <c r="K177" s="986"/>
      <c r="L177" s="987"/>
      <c r="M177" s="988"/>
      <c r="N177" s="988"/>
      <c r="O177" s="989"/>
      <c r="P177" s="990"/>
      <c r="Q177" s="991"/>
    </row>
    <row r="178" spans="1:17">
      <c r="A178" s="603" t="s">
        <v>340</v>
      </c>
      <c r="B178" s="604" t="s">
        <v>444</v>
      </c>
      <c r="C178" s="640">
        <v>1</v>
      </c>
      <c r="D178" s="641" t="s">
        <v>283</v>
      </c>
      <c r="E178" s="946" t="e">
        <f>Elec_Est!#REF!</f>
        <v>#REF!</v>
      </c>
      <c r="F178" s="643"/>
      <c r="G178" s="573">
        <v>3</v>
      </c>
      <c r="K178" s="992"/>
      <c r="L178" s="993"/>
      <c r="M178" s="543"/>
      <c r="N178" s="543"/>
      <c r="O178" s="994"/>
      <c r="P178" s="995"/>
      <c r="Q178" s="996"/>
    </row>
    <row r="179" spans="1:17" ht="15" thickBot="1">
      <c r="A179" s="603"/>
      <c r="B179" s="604"/>
      <c r="C179" s="640"/>
      <c r="D179" s="641"/>
      <c r="E179" s="946"/>
      <c r="F179" s="643"/>
      <c r="K179" s="997" t="s">
        <v>276</v>
      </c>
      <c r="L179" s="998" t="s">
        <v>887</v>
      </c>
      <c r="M179" s="999"/>
      <c r="N179" s="1000" t="s">
        <v>266</v>
      </c>
      <c r="O179" s="1001" t="s">
        <v>277</v>
      </c>
      <c r="P179" s="1002" t="s">
        <v>278</v>
      </c>
      <c r="Q179" s="1003" t="s">
        <v>267</v>
      </c>
    </row>
    <row r="180" spans="1:17">
      <c r="A180" s="603" t="s">
        <v>409</v>
      </c>
      <c r="B180" s="604" t="s">
        <v>445</v>
      </c>
      <c r="C180" s="640">
        <v>1</v>
      </c>
      <c r="D180" s="641" t="s">
        <v>283</v>
      </c>
      <c r="E180" s="946" t="e">
        <f>Elec_Est!#REF!</f>
        <v>#REF!</v>
      </c>
      <c r="F180" s="643"/>
      <c r="G180" s="573">
        <v>3</v>
      </c>
      <c r="K180" s="696"/>
      <c r="L180" s="696"/>
      <c r="M180" s="703"/>
      <c r="N180" s="967"/>
      <c r="O180" s="968"/>
      <c r="P180" s="969"/>
      <c r="Q180" s="970"/>
    </row>
    <row r="181" spans="1:17" ht="26.4">
      <c r="A181" s="590"/>
      <c r="B181" s="591"/>
      <c r="C181" s="593"/>
      <c r="D181" s="592"/>
      <c r="E181" s="594"/>
      <c r="F181" s="595"/>
      <c r="K181" s="1031">
        <f>K123+1</f>
        <v>4</v>
      </c>
      <c r="L181" s="696"/>
      <c r="M181" s="1032" t="s">
        <v>457</v>
      </c>
      <c r="N181" s="967"/>
      <c r="O181" s="1041"/>
      <c r="P181" s="969"/>
      <c r="Q181" s="970"/>
    </row>
    <row r="182" spans="1:17">
      <c r="A182" s="590"/>
      <c r="B182" s="591"/>
      <c r="C182" s="593"/>
      <c r="D182" s="592"/>
      <c r="E182" s="594"/>
      <c r="F182" s="595"/>
      <c r="K182" s="696"/>
      <c r="L182" s="696"/>
      <c r="M182" s="1075"/>
      <c r="N182" s="1076"/>
      <c r="O182" s="968"/>
      <c r="P182" s="969"/>
      <c r="Q182" s="970"/>
    </row>
    <row r="183" spans="1:17">
      <c r="A183" s="590"/>
      <c r="B183" s="591"/>
      <c r="C183" s="593"/>
      <c r="D183" s="592"/>
      <c r="E183" s="594"/>
      <c r="F183" s="595"/>
      <c r="K183" s="696"/>
      <c r="L183" s="696"/>
      <c r="M183" s="1082" t="s">
        <v>458</v>
      </c>
      <c r="N183" s="1076" t="s">
        <v>459</v>
      </c>
      <c r="O183" s="968">
        <v>1</v>
      </c>
      <c r="P183" s="969"/>
      <c r="Q183" s="970">
        <f>P183*O183</f>
        <v>0</v>
      </c>
    </row>
    <row r="184" spans="1:17">
      <c r="A184" s="590"/>
      <c r="B184" s="591"/>
      <c r="C184" s="593"/>
      <c r="D184" s="592"/>
      <c r="E184" s="594"/>
      <c r="F184" s="595"/>
      <c r="K184" s="696"/>
      <c r="L184" s="696"/>
      <c r="M184" s="1082"/>
      <c r="N184" s="1076"/>
      <c r="O184" s="968"/>
      <c r="P184" s="969"/>
      <c r="Q184" s="970"/>
    </row>
    <row r="185" spans="1:17">
      <c r="A185" s="590"/>
      <c r="B185" s="591"/>
      <c r="C185" s="593"/>
      <c r="D185" s="592"/>
      <c r="E185" s="594"/>
      <c r="F185" s="595"/>
      <c r="K185" s="696"/>
      <c r="L185" s="696"/>
      <c r="M185" s="1082" t="s">
        <v>460</v>
      </c>
      <c r="N185" s="1076" t="s">
        <v>459</v>
      </c>
      <c r="O185" s="968">
        <v>1</v>
      </c>
      <c r="P185" s="969"/>
      <c r="Q185" s="970">
        <f>P185*O185</f>
        <v>0</v>
      </c>
    </row>
    <row r="186" spans="1:17">
      <c r="A186" s="590"/>
      <c r="B186" s="591"/>
      <c r="C186" s="593"/>
      <c r="D186" s="592"/>
      <c r="E186" s="594"/>
      <c r="F186" s="595"/>
      <c r="K186" s="696"/>
      <c r="L186" s="696"/>
      <c r="M186" s="1082"/>
      <c r="N186" s="1076"/>
      <c r="O186" s="968"/>
      <c r="P186" s="969"/>
      <c r="Q186" s="970"/>
    </row>
    <row r="187" spans="1:17">
      <c r="A187" s="590"/>
      <c r="B187" s="591"/>
      <c r="C187" s="593"/>
      <c r="D187" s="592"/>
      <c r="E187" s="594"/>
      <c r="F187" s="595"/>
      <c r="K187" s="696"/>
      <c r="L187" s="696"/>
      <c r="M187" s="1082" t="s">
        <v>461</v>
      </c>
      <c r="N187" s="1076" t="s">
        <v>459</v>
      </c>
      <c r="O187" s="968">
        <v>1</v>
      </c>
      <c r="P187" s="969"/>
      <c r="Q187" s="970">
        <f>P187*O187</f>
        <v>0</v>
      </c>
    </row>
    <row r="188" spans="1:17">
      <c r="A188" s="590"/>
      <c r="B188" s="591"/>
      <c r="C188" s="593"/>
      <c r="D188" s="592"/>
      <c r="E188" s="594"/>
      <c r="F188" s="595"/>
      <c r="K188" s="696"/>
      <c r="L188" s="696"/>
      <c r="M188" s="1075"/>
      <c r="N188" s="1076"/>
      <c r="O188" s="968"/>
      <c r="P188" s="969"/>
      <c r="Q188" s="970"/>
    </row>
    <row r="189" spans="1:17">
      <c r="A189" s="590"/>
      <c r="B189" s="591"/>
      <c r="C189" s="593"/>
      <c r="D189" s="592"/>
      <c r="E189" s="594"/>
      <c r="F189" s="595"/>
      <c r="K189" s="696"/>
      <c r="L189" s="696"/>
      <c r="M189" s="1082" t="s">
        <v>462</v>
      </c>
      <c r="N189" s="1076" t="s">
        <v>459</v>
      </c>
      <c r="O189" s="968">
        <v>1</v>
      </c>
      <c r="P189" s="969"/>
      <c r="Q189" s="970">
        <f>P189*O189</f>
        <v>0</v>
      </c>
    </row>
    <row r="190" spans="1:17">
      <c r="A190" s="590"/>
      <c r="B190" s="591"/>
      <c r="C190" s="646"/>
      <c r="D190" s="592"/>
      <c r="E190" s="594"/>
      <c r="F190" s="595"/>
      <c r="K190" s="696"/>
      <c r="L190" s="696"/>
      <c r="M190" s="1075"/>
      <c r="N190" s="1076"/>
      <c r="O190" s="968"/>
      <c r="P190" s="969"/>
      <c r="Q190" s="970"/>
    </row>
    <row r="191" spans="1:17">
      <c r="A191" s="590"/>
      <c r="B191" s="591"/>
      <c r="C191" s="593"/>
      <c r="D191" s="592"/>
      <c r="E191" s="594"/>
      <c r="F191" s="595"/>
      <c r="K191" s="696"/>
      <c r="L191" s="696"/>
      <c r="M191" s="1082" t="s">
        <v>489</v>
      </c>
      <c r="N191" s="1076" t="s">
        <v>459</v>
      </c>
      <c r="O191" s="968">
        <v>1</v>
      </c>
      <c r="P191" s="969"/>
      <c r="Q191" s="970">
        <f>P191*O191</f>
        <v>0</v>
      </c>
    </row>
    <row r="192" spans="1:17">
      <c r="A192" s="590"/>
      <c r="B192" s="666"/>
      <c r="C192" s="646"/>
      <c r="D192" s="592"/>
      <c r="E192" s="594"/>
      <c r="F192" s="595"/>
      <c r="K192" s="696"/>
      <c r="L192" s="696"/>
      <c r="M192" s="1082"/>
      <c r="N192" s="1076"/>
      <c r="O192" s="968"/>
      <c r="P192" s="969"/>
      <c r="Q192" s="970"/>
    </row>
    <row r="193" spans="1:17">
      <c r="A193" s="590"/>
      <c r="B193" s="609"/>
      <c r="C193" s="610"/>
      <c r="D193" s="592"/>
      <c r="E193" s="594"/>
      <c r="F193" s="595"/>
      <c r="K193" s="696"/>
      <c r="L193" s="696"/>
      <c r="M193" s="1082" t="s">
        <v>490</v>
      </c>
      <c r="N193" s="1076" t="s">
        <v>459</v>
      </c>
      <c r="O193" s="968">
        <v>1</v>
      </c>
      <c r="P193" s="969"/>
      <c r="Q193" s="970">
        <f>P193*O193</f>
        <v>0</v>
      </c>
    </row>
    <row r="194" spans="1:17">
      <c r="A194" s="590"/>
      <c r="B194" s="609"/>
      <c r="C194" s="610"/>
      <c r="D194" s="592"/>
      <c r="E194" s="594"/>
      <c r="F194" s="595"/>
      <c r="K194" s="696"/>
      <c r="L194" s="696"/>
      <c r="M194" s="1082"/>
      <c r="N194" s="1076"/>
      <c r="O194" s="968"/>
      <c r="P194" s="969"/>
      <c r="Q194" s="970"/>
    </row>
    <row r="195" spans="1:17">
      <c r="A195" s="590"/>
      <c r="B195" s="609"/>
      <c r="C195" s="610"/>
      <c r="D195" s="592"/>
      <c r="E195" s="594"/>
      <c r="F195" s="595"/>
      <c r="K195" s="696"/>
      <c r="L195" s="696"/>
      <c r="M195" s="1082" t="s">
        <v>491</v>
      </c>
      <c r="N195" s="1076" t="s">
        <v>459</v>
      </c>
      <c r="O195" s="968">
        <v>1</v>
      </c>
      <c r="P195" s="969"/>
      <c r="Q195" s="970">
        <f>P195*O195</f>
        <v>0</v>
      </c>
    </row>
    <row r="196" spans="1:17">
      <c r="A196" s="590"/>
      <c r="B196" s="609"/>
      <c r="C196" s="610"/>
      <c r="D196" s="592"/>
      <c r="E196" s="594"/>
      <c r="F196" s="595"/>
      <c r="K196" s="696"/>
      <c r="L196" s="696"/>
      <c r="M196" s="1075"/>
      <c r="N196" s="1076"/>
      <c r="O196" s="968"/>
      <c r="P196" s="969"/>
      <c r="Q196" s="970"/>
    </row>
    <row r="197" spans="1:17">
      <c r="A197" s="590"/>
      <c r="B197" s="667"/>
      <c r="C197" s="610"/>
      <c r="D197" s="592"/>
      <c r="E197" s="594"/>
      <c r="F197" s="595"/>
      <c r="K197" s="696"/>
      <c r="L197" s="696"/>
      <c r="M197" s="1082" t="s">
        <v>492</v>
      </c>
      <c r="N197" s="1076" t="s">
        <v>459</v>
      </c>
      <c r="O197" s="968">
        <v>1</v>
      </c>
      <c r="P197" s="969"/>
      <c r="Q197" s="970">
        <f>P197*O197</f>
        <v>0</v>
      </c>
    </row>
    <row r="198" spans="1:17">
      <c r="A198" s="590"/>
      <c r="B198" s="609"/>
      <c r="C198" s="610"/>
      <c r="D198" s="592"/>
      <c r="E198" s="594"/>
      <c r="F198" s="595"/>
      <c r="K198" s="696"/>
      <c r="L198" s="696"/>
      <c r="M198" s="1082"/>
      <c r="N198" s="1076"/>
      <c r="O198" s="968"/>
      <c r="P198" s="969"/>
      <c r="Q198" s="970"/>
    </row>
    <row r="199" spans="1:17">
      <c r="A199" s="590"/>
      <c r="B199" s="609"/>
      <c r="C199" s="610"/>
      <c r="D199" s="592"/>
      <c r="E199" s="594"/>
      <c r="F199" s="595"/>
      <c r="K199" s="696"/>
      <c r="L199" s="696"/>
      <c r="M199" s="1082" t="s">
        <v>493</v>
      </c>
      <c r="N199" s="1076" t="s">
        <v>459</v>
      </c>
      <c r="O199" s="968">
        <v>1</v>
      </c>
      <c r="P199" s="969"/>
      <c r="Q199" s="970">
        <f>P199*O199</f>
        <v>0</v>
      </c>
    </row>
    <row r="200" spans="1:17">
      <c r="A200" s="590"/>
      <c r="B200" s="666"/>
      <c r="C200" s="646"/>
      <c r="D200" s="592"/>
      <c r="E200" s="594"/>
      <c r="F200" s="595"/>
      <c r="K200" s="696"/>
      <c r="L200" s="696"/>
      <c r="M200" s="1075"/>
      <c r="N200" s="1076"/>
      <c r="O200" s="968"/>
      <c r="P200" s="969"/>
      <c r="Q200" s="970"/>
    </row>
    <row r="201" spans="1:17">
      <c r="A201" s="590"/>
      <c r="B201" s="666"/>
      <c r="C201" s="610"/>
      <c r="D201" s="592"/>
      <c r="E201" s="594"/>
      <c r="F201" s="595"/>
      <c r="K201" s="696"/>
      <c r="L201" s="696"/>
      <c r="M201" s="1075"/>
      <c r="N201" s="1076"/>
      <c r="O201" s="968"/>
      <c r="P201" s="969"/>
      <c r="Q201" s="970"/>
    </row>
    <row r="202" spans="1:17">
      <c r="A202" s="590"/>
      <c r="B202" s="666"/>
      <c r="C202" s="646"/>
      <c r="D202" s="592"/>
      <c r="E202" s="594"/>
      <c r="F202" s="595"/>
      <c r="K202" s="696"/>
      <c r="L202" s="696"/>
      <c r="M202" s="1075"/>
      <c r="N202" s="1076"/>
      <c r="O202" s="968"/>
      <c r="P202" s="969"/>
      <c r="Q202" s="970"/>
    </row>
    <row r="203" spans="1:17">
      <c r="A203" s="590"/>
      <c r="B203" s="666"/>
      <c r="C203" s="610"/>
      <c r="D203" s="592"/>
      <c r="E203" s="594"/>
      <c r="F203" s="595"/>
      <c r="K203" s="696"/>
      <c r="L203" s="696"/>
      <c r="M203" s="1075"/>
      <c r="N203" s="1076"/>
      <c r="O203" s="968"/>
      <c r="P203" s="969"/>
      <c r="Q203" s="970"/>
    </row>
    <row r="204" spans="1:17">
      <c r="A204" s="590"/>
      <c r="B204" s="666"/>
      <c r="C204" s="646"/>
      <c r="D204" s="592"/>
      <c r="E204" s="594"/>
      <c r="F204" s="595"/>
      <c r="K204" s="696"/>
      <c r="L204" s="696"/>
      <c r="M204" s="1075"/>
      <c r="N204" s="1076"/>
      <c r="O204" s="968"/>
      <c r="P204" s="969"/>
      <c r="Q204" s="970"/>
    </row>
    <row r="205" spans="1:17">
      <c r="A205" s="590"/>
      <c r="B205" s="666"/>
      <c r="C205" s="610"/>
      <c r="D205" s="592"/>
      <c r="E205" s="594"/>
      <c r="F205" s="595"/>
      <c r="K205" s="696"/>
      <c r="L205" s="696"/>
      <c r="M205" s="1075"/>
      <c r="N205" s="1076"/>
      <c r="O205" s="968"/>
      <c r="P205" s="969"/>
      <c r="Q205" s="970"/>
    </row>
    <row r="206" spans="1:17">
      <c r="A206" s="590"/>
      <c r="B206" s="666"/>
      <c r="C206" s="646"/>
      <c r="D206" s="592"/>
      <c r="E206" s="594"/>
      <c r="F206" s="595"/>
      <c r="K206" s="696"/>
      <c r="L206" s="696"/>
      <c r="M206" s="1075"/>
      <c r="N206" s="1076"/>
      <c r="O206" s="968"/>
      <c r="P206" s="969"/>
      <c r="Q206" s="970"/>
    </row>
    <row r="207" spans="1:17">
      <c r="A207" s="590"/>
      <c r="B207" s="666"/>
      <c r="C207" s="610"/>
      <c r="D207" s="592"/>
      <c r="E207" s="594"/>
      <c r="F207" s="595"/>
      <c r="K207" s="696"/>
      <c r="L207" s="696"/>
      <c r="M207" s="1075"/>
      <c r="N207" s="1076"/>
      <c r="O207" s="968"/>
      <c r="P207" s="969"/>
      <c r="Q207" s="970"/>
    </row>
    <row r="208" spans="1:17">
      <c r="A208" s="590"/>
      <c r="B208" s="666"/>
      <c r="C208" s="646"/>
      <c r="D208" s="592"/>
      <c r="E208" s="594"/>
      <c r="F208" s="595"/>
      <c r="K208" s="696"/>
      <c r="L208" s="696"/>
      <c r="M208" s="1075"/>
      <c r="N208" s="1076"/>
      <c r="O208" s="968"/>
      <c r="P208" s="969"/>
      <c r="Q208" s="970"/>
    </row>
    <row r="209" spans="1:17">
      <c r="A209" s="590"/>
      <c r="B209" s="666"/>
      <c r="C209" s="646"/>
      <c r="D209" s="592"/>
      <c r="E209" s="594"/>
      <c r="F209" s="595"/>
      <c r="K209" s="696"/>
      <c r="L209" s="696"/>
      <c r="M209" s="1075"/>
      <c r="N209" s="1076"/>
      <c r="O209" s="968"/>
      <c r="P209" s="969"/>
      <c r="Q209" s="970"/>
    </row>
    <row r="210" spans="1:17">
      <c r="A210" s="590"/>
      <c r="B210" s="666"/>
      <c r="C210" s="646"/>
      <c r="D210" s="592"/>
      <c r="E210" s="594"/>
      <c r="F210" s="595"/>
      <c r="K210" s="696"/>
      <c r="L210" s="696"/>
      <c r="M210" s="1075"/>
      <c r="N210" s="1076"/>
      <c r="O210" s="968"/>
      <c r="P210" s="969"/>
      <c r="Q210" s="970"/>
    </row>
    <row r="211" spans="1:17">
      <c r="A211" s="590"/>
      <c r="B211" s="666"/>
      <c r="C211" s="646"/>
      <c r="D211" s="592"/>
      <c r="E211" s="594"/>
      <c r="F211" s="595"/>
      <c r="K211" s="696"/>
      <c r="L211" s="696"/>
      <c r="M211" s="1075"/>
      <c r="N211" s="1076"/>
      <c r="O211" s="968"/>
      <c r="P211" s="969"/>
      <c r="Q211" s="970"/>
    </row>
    <row r="212" spans="1:17">
      <c r="A212" s="590"/>
      <c r="B212" s="666"/>
      <c r="C212" s="646"/>
      <c r="D212" s="592"/>
      <c r="E212" s="594"/>
      <c r="F212" s="595"/>
      <c r="K212" s="696"/>
      <c r="L212" s="696"/>
      <c r="M212" s="1075"/>
      <c r="N212" s="1076"/>
      <c r="O212" s="968"/>
      <c r="P212" s="969"/>
      <c r="Q212" s="970"/>
    </row>
    <row r="213" spans="1:17">
      <c r="A213" s="590"/>
      <c r="B213" s="666"/>
      <c r="C213" s="646"/>
      <c r="D213" s="592"/>
      <c r="E213" s="594"/>
      <c r="F213" s="595"/>
      <c r="K213" s="696"/>
      <c r="L213" s="696"/>
      <c r="M213" s="1075"/>
      <c r="N213" s="1076"/>
      <c r="O213" s="968"/>
      <c r="P213" s="969"/>
      <c r="Q213" s="970"/>
    </row>
    <row r="214" spans="1:17">
      <c r="A214" s="590"/>
      <c r="B214" s="666"/>
      <c r="C214" s="646"/>
      <c r="D214" s="592"/>
      <c r="E214" s="594"/>
      <c r="F214" s="595"/>
      <c r="K214" s="696"/>
      <c r="L214" s="696"/>
      <c r="M214" s="1075"/>
      <c r="N214" s="1076"/>
      <c r="O214" s="968"/>
      <c r="P214" s="969"/>
      <c r="Q214" s="970"/>
    </row>
    <row r="215" spans="1:17">
      <c r="A215" s="590"/>
      <c r="B215" s="666"/>
      <c r="C215" s="646"/>
      <c r="D215" s="592"/>
      <c r="E215" s="594"/>
      <c r="F215" s="595"/>
      <c r="K215" s="696"/>
      <c r="L215" s="696"/>
      <c r="M215" s="1075"/>
      <c r="N215" s="1076"/>
      <c r="O215" s="968"/>
      <c r="P215" s="969"/>
      <c r="Q215" s="970"/>
    </row>
    <row r="216" spans="1:17">
      <c r="A216" s="590"/>
      <c r="B216" s="666"/>
      <c r="C216" s="646"/>
      <c r="D216" s="592"/>
      <c r="E216" s="594"/>
      <c r="F216" s="595"/>
      <c r="K216" s="696"/>
      <c r="L216" s="696"/>
      <c r="M216" s="1075"/>
      <c r="N216" s="1076"/>
      <c r="O216" s="968"/>
      <c r="P216" s="969"/>
      <c r="Q216" s="970"/>
    </row>
    <row r="217" spans="1:17">
      <c r="A217" s="590"/>
      <c r="B217" s="666"/>
      <c r="C217" s="646"/>
      <c r="D217" s="592"/>
      <c r="E217" s="594"/>
      <c r="F217" s="595"/>
      <c r="K217" s="696"/>
      <c r="L217" s="696"/>
      <c r="M217" s="1075"/>
      <c r="N217" s="1076"/>
      <c r="O217" s="968"/>
      <c r="P217" s="969"/>
      <c r="Q217" s="970"/>
    </row>
    <row r="218" spans="1:17">
      <c r="A218" s="590"/>
      <c r="B218" s="666"/>
      <c r="C218" s="646"/>
      <c r="D218" s="592"/>
      <c r="E218" s="594"/>
      <c r="F218" s="595"/>
      <c r="K218" s="696"/>
      <c r="L218" s="696"/>
      <c r="M218" s="1075"/>
      <c r="N218" s="1076"/>
      <c r="O218" s="968"/>
      <c r="P218" s="969"/>
      <c r="Q218" s="970"/>
    </row>
    <row r="219" spans="1:17">
      <c r="A219" s="590"/>
      <c r="B219" s="666"/>
      <c r="C219" s="646"/>
      <c r="D219" s="592"/>
      <c r="E219" s="594"/>
      <c r="F219" s="595"/>
      <c r="K219" s="696"/>
      <c r="L219" s="696"/>
      <c r="M219" s="1075"/>
      <c r="N219" s="1076"/>
      <c r="O219" s="968"/>
      <c r="P219" s="969"/>
      <c r="Q219" s="970"/>
    </row>
    <row r="220" spans="1:17" ht="15" thickBot="1">
      <c r="A220" s="590"/>
      <c r="B220" s="591"/>
      <c r="C220" s="593"/>
      <c r="D220" s="592"/>
      <c r="E220" s="594"/>
      <c r="F220" s="595"/>
      <c r="K220" s="696"/>
      <c r="L220" s="696"/>
      <c r="M220" s="1075"/>
      <c r="N220" s="1076"/>
      <c r="O220" s="968"/>
      <c r="P220" s="969"/>
      <c r="Q220" s="970"/>
    </row>
    <row r="221" spans="1:17">
      <c r="A221" s="612"/>
      <c r="B221" s="613"/>
      <c r="C221" s="615"/>
      <c r="D221" s="614"/>
      <c r="E221" s="616"/>
      <c r="F221" s="617"/>
      <c r="K221" s="696"/>
      <c r="L221" s="696"/>
      <c r="M221" s="1075"/>
      <c r="N221" s="1076"/>
      <c r="O221" s="968"/>
      <c r="P221" s="969"/>
      <c r="Q221" s="970"/>
    </row>
    <row r="222" spans="1:17">
      <c r="A222" s="618" t="s">
        <v>310</v>
      </c>
      <c r="B222" s="619" t="s">
        <v>289</v>
      </c>
      <c r="C222" s="621"/>
      <c r="D222" s="620"/>
      <c r="E222" s="622"/>
      <c r="F222" s="623">
        <f>SUM(F172:F220)</f>
        <v>0</v>
      </c>
      <c r="H222" s="645"/>
      <c r="K222" s="696"/>
      <c r="L222" s="696"/>
      <c r="M222" s="1075"/>
      <c r="N222" s="1076"/>
      <c r="O222" s="968"/>
      <c r="P222" s="969"/>
      <c r="Q222" s="970"/>
    </row>
    <row r="223" spans="1:17">
      <c r="A223" s="624"/>
      <c r="B223" s="625"/>
      <c r="C223" s="627"/>
      <c r="D223" s="626"/>
      <c r="E223" s="628"/>
      <c r="F223" s="629"/>
      <c r="K223" s="696"/>
      <c r="L223" s="696"/>
      <c r="M223" s="1075"/>
      <c r="N223" s="1076"/>
      <c r="O223" s="968"/>
      <c r="P223" s="969"/>
      <c r="Q223" s="970"/>
    </row>
    <row r="224" spans="1:17" ht="17.399999999999999">
      <c r="A224" s="568"/>
      <c r="B224" s="569"/>
      <c r="C224" s="570"/>
      <c r="D224" s="569"/>
      <c r="E224" s="571"/>
      <c r="F224" s="572"/>
      <c r="K224" s="696"/>
      <c r="L224" s="696"/>
      <c r="M224" s="1075"/>
      <c r="N224" s="1076"/>
      <c r="O224" s="968"/>
      <c r="P224" s="969"/>
      <c r="Q224" s="970"/>
    </row>
    <row r="225" spans="1:17">
      <c r="A225" s="574"/>
      <c r="B225" s="575"/>
      <c r="C225" s="576"/>
      <c r="D225" s="575"/>
      <c r="E225" s="577"/>
      <c r="F225" s="578"/>
      <c r="K225" s="696"/>
      <c r="L225" s="696"/>
      <c r="M225" s="1075"/>
      <c r="N225" s="1076"/>
      <c r="O225" s="968"/>
      <c r="P225" s="969"/>
      <c r="Q225" s="970"/>
    </row>
    <row r="226" spans="1:17">
      <c r="A226" s="574"/>
      <c r="B226" s="575"/>
      <c r="C226" s="576"/>
      <c r="D226" s="575"/>
      <c r="E226" s="577"/>
      <c r="F226" s="578"/>
      <c r="K226" s="696"/>
      <c r="L226" s="696"/>
      <c r="M226" s="1075"/>
      <c r="N226" s="1076"/>
      <c r="O226" s="968"/>
      <c r="P226" s="969"/>
      <c r="Q226" s="970"/>
    </row>
    <row r="227" spans="1:17">
      <c r="A227" s="579"/>
      <c r="B227" s="580"/>
      <c r="C227" s="581"/>
      <c r="D227" s="580"/>
      <c r="E227" s="582"/>
      <c r="F227" s="583"/>
      <c r="K227" s="696"/>
      <c r="L227" s="696"/>
      <c r="M227" s="1075"/>
      <c r="N227" s="1076"/>
      <c r="O227" s="968"/>
      <c r="P227" s="969"/>
      <c r="Q227" s="970"/>
    </row>
    <row r="228" spans="1:17" ht="15" thickBot="1">
      <c r="A228" s="584" t="s">
        <v>276</v>
      </c>
      <c r="B228" s="585"/>
      <c r="C228" s="587" t="s">
        <v>277</v>
      </c>
      <c r="D228" s="586" t="s">
        <v>266</v>
      </c>
      <c r="E228" s="588" t="s">
        <v>278</v>
      </c>
      <c r="F228" s="589" t="s">
        <v>267</v>
      </c>
      <c r="K228" s="696"/>
      <c r="L228" s="696"/>
      <c r="M228" s="1075"/>
      <c r="N228" s="1076"/>
      <c r="O228" s="968"/>
      <c r="P228" s="969"/>
      <c r="Q228" s="970"/>
    </row>
    <row r="229" spans="1:17">
      <c r="A229" s="590"/>
      <c r="B229" s="591"/>
      <c r="C229" s="593"/>
      <c r="D229" s="592"/>
      <c r="E229" s="594"/>
      <c r="F229" s="595"/>
      <c r="K229" s="696"/>
      <c r="L229" s="696"/>
      <c r="M229" s="1075"/>
      <c r="N229" s="1076"/>
      <c r="O229" s="968"/>
      <c r="P229" s="969"/>
      <c r="Q229" s="970"/>
    </row>
    <row r="230" spans="1:17" ht="27" thickBot="1">
      <c r="A230" s="652" t="s">
        <v>304</v>
      </c>
      <c r="B230" s="651" t="s">
        <v>457</v>
      </c>
      <c r="C230" s="610"/>
      <c r="D230" s="592"/>
      <c r="E230" s="594"/>
      <c r="F230" s="595"/>
      <c r="K230" s="696"/>
      <c r="L230" s="696"/>
      <c r="M230" s="1075"/>
      <c r="N230" s="1076"/>
      <c r="O230" s="968"/>
      <c r="P230" s="969"/>
      <c r="Q230" s="970"/>
    </row>
    <row r="231" spans="1:17">
      <c r="A231" s="590"/>
      <c r="B231" s="661"/>
      <c r="C231" s="593"/>
      <c r="D231" s="662"/>
      <c r="E231" s="594"/>
      <c r="F231" s="595"/>
      <c r="K231" s="1014"/>
      <c r="L231" s="1014"/>
      <c r="M231" s="1015"/>
      <c r="N231" s="1016"/>
      <c r="O231" s="1017"/>
      <c r="P231" s="1018"/>
      <c r="Q231" s="1019"/>
    </row>
    <row r="232" spans="1:17">
      <c r="A232" s="590" t="s">
        <v>294</v>
      </c>
      <c r="B232" s="678" t="s">
        <v>458</v>
      </c>
      <c r="C232" s="593">
        <v>1</v>
      </c>
      <c r="D232" s="662" t="s">
        <v>459</v>
      </c>
      <c r="E232" s="594"/>
      <c r="F232" s="595">
        <f>E232*C232</f>
        <v>0</v>
      </c>
      <c r="K232" s="1020"/>
      <c r="L232" s="1020"/>
      <c r="M232" s="1021" t="s">
        <v>289</v>
      </c>
      <c r="N232" s="1022"/>
      <c r="O232" s="1023"/>
      <c r="P232" s="1024"/>
      <c r="Q232" s="1010">
        <f>SUM(Q180:Q230)</f>
        <v>0</v>
      </c>
    </row>
    <row r="233" spans="1:17">
      <c r="A233" s="590"/>
      <c r="B233" s="678"/>
      <c r="C233" s="593"/>
      <c r="D233" s="662"/>
      <c r="E233" s="594"/>
      <c r="F233" s="595"/>
      <c r="K233" s="1025"/>
      <c r="L233" s="1025"/>
      <c r="M233" s="1026"/>
      <c r="N233" s="1027"/>
      <c r="O233" s="1028"/>
      <c r="P233" s="1029"/>
      <c r="Q233" s="1030"/>
    </row>
    <row r="234" spans="1:17" ht="17.399999999999999">
      <c r="A234" s="590" t="s">
        <v>339</v>
      </c>
      <c r="B234" s="678" t="s">
        <v>460</v>
      </c>
      <c r="C234" s="593">
        <v>1</v>
      </c>
      <c r="D234" s="662" t="s">
        <v>459</v>
      </c>
      <c r="E234" s="594"/>
      <c r="F234" s="595">
        <f>E234*C234</f>
        <v>0</v>
      </c>
      <c r="K234" s="980"/>
      <c r="L234" s="981"/>
      <c r="M234" s="982"/>
      <c r="N234" s="982"/>
      <c r="O234" s="983"/>
      <c r="P234" s="984"/>
      <c r="Q234" s="985"/>
    </row>
    <row r="235" spans="1:17">
      <c r="A235" s="590"/>
      <c r="B235" s="678"/>
      <c r="C235" s="593"/>
      <c r="D235" s="662"/>
      <c r="E235" s="594"/>
      <c r="F235" s="595"/>
      <c r="K235" s="986"/>
      <c r="L235" s="987"/>
      <c r="M235" s="988"/>
      <c r="N235" s="988"/>
      <c r="O235" s="989"/>
      <c r="P235" s="990"/>
      <c r="Q235" s="991"/>
    </row>
    <row r="236" spans="1:17">
      <c r="A236" s="590" t="s">
        <v>340</v>
      </c>
      <c r="B236" s="678" t="s">
        <v>461</v>
      </c>
      <c r="C236" s="593">
        <v>1</v>
      </c>
      <c r="D236" s="662" t="s">
        <v>459</v>
      </c>
      <c r="E236" s="594"/>
      <c r="F236" s="595">
        <f>E236*C236</f>
        <v>0</v>
      </c>
      <c r="K236" s="986"/>
      <c r="L236" s="987"/>
      <c r="M236" s="988"/>
      <c r="N236" s="988"/>
      <c r="O236" s="989"/>
      <c r="P236" s="990"/>
      <c r="Q236" s="991"/>
    </row>
    <row r="237" spans="1:17">
      <c r="A237" s="590"/>
      <c r="B237" s="661"/>
      <c r="C237" s="593"/>
      <c r="D237" s="662"/>
      <c r="E237" s="594"/>
      <c r="F237" s="595"/>
      <c r="K237" s="992"/>
      <c r="L237" s="993"/>
      <c r="M237" s="543"/>
      <c r="N237" s="543"/>
      <c r="O237" s="994"/>
      <c r="P237" s="995"/>
      <c r="Q237" s="996"/>
    </row>
    <row r="238" spans="1:17" ht="15" thickBot="1">
      <c r="A238" s="590" t="s">
        <v>409</v>
      </c>
      <c r="B238" s="678" t="s">
        <v>462</v>
      </c>
      <c r="C238" s="593">
        <v>1</v>
      </c>
      <c r="D238" s="662" t="s">
        <v>459</v>
      </c>
      <c r="E238" s="594"/>
      <c r="F238" s="595">
        <f>E238*C238</f>
        <v>0</v>
      </c>
      <c r="K238" s="997" t="s">
        <v>276</v>
      </c>
      <c r="L238" s="998" t="s">
        <v>887</v>
      </c>
      <c r="M238" s="999"/>
      <c r="N238" s="1000" t="s">
        <v>266</v>
      </c>
      <c r="O238" s="1001" t="s">
        <v>277</v>
      </c>
      <c r="P238" s="1002" t="s">
        <v>278</v>
      </c>
      <c r="Q238" s="1003" t="s">
        <v>267</v>
      </c>
    </row>
    <row r="239" spans="1:17">
      <c r="A239" s="590"/>
      <c r="B239" s="661"/>
      <c r="C239" s="593"/>
      <c r="D239" s="662"/>
      <c r="E239" s="594"/>
      <c r="F239" s="595"/>
      <c r="K239" s="696"/>
      <c r="L239" s="696"/>
      <c r="M239" s="703"/>
      <c r="N239" s="967"/>
      <c r="O239" s="968"/>
      <c r="P239" s="969"/>
      <c r="Q239" s="970"/>
    </row>
    <row r="240" spans="1:17" ht="26.4">
      <c r="A240" s="590" t="s">
        <v>416</v>
      </c>
      <c r="B240" s="678" t="s">
        <v>463</v>
      </c>
      <c r="C240" s="593">
        <v>1</v>
      </c>
      <c r="D240" s="662" t="s">
        <v>459</v>
      </c>
      <c r="E240" s="594"/>
      <c r="F240" s="595">
        <f>E240*C240</f>
        <v>0</v>
      </c>
      <c r="K240" s="1031">
        <f>K181+1</f>
        <v>5</v>
      </c>
      <c r="L240" s="696"/>
      <c r="M240" s="1032" t="s">
        <v>457</v>
      </c>
      <c r="N240" s="967"/>
      <c r="O240" s="1041"/>
      <c r="P240" s="969"/>
      <c r="Q240" s="970"/>
    </row>
    <row r="241" spans="1:17">
      <c r="A241" s="590"/>
      <c r="B241" s="678"/>
      <c r="C241" s="593"/>
      <c r="D241" s="662"/>
      <c r="E241" s="594"/>
      <c r="F241" s="595"/>
      <c r="K241" s="696"/>
      <c r="L241" s="696"/>
      <c r="M241" s="1075"/>
      <c r="N241" s="1076"/>
      <c r="O241" s="968"/>
      <c r="P241" s="969"/>
      <c r="Q241" s="970"/>
    </row>
    <row r="242" spans="1:17">
      <c r="A242" s="590" t="s">
        <v>424</v>
      </c>
      <c r="B242" s="678" t="s">
        <v>464</v>
      </c>
      <c r="C242" s="593">
        <v>1</v>
      </c>
      <c r="D242" s="662" t="s">
        <v>459</v>
      </c>
      <c r="E242" s="594"/>
      <c r="F242" s="595">
        <f>E242*C242</f>
        <v>0</v>
      </c>
      <c r="K242" s="696"/>
      <c r="L242" s="696"/>
      <c r="M242" s="1075" t="s">
        <v>468</v>
      </c>
      <c r="N242" s="1076" t="s">
        <v>459</v>
      </c>
      <c r="O242" s="968">
        <v>1</v>
      </c>
      <c r="P242" s="969"/>
      <c r="Q242" s="970">
        <f>P242*O242</f>
        <v>0</v>
      </c>
    </row>
    <row r="243" spans="1:17">
      <c r="A243" s="590"/>
      <c r="B243" s="678"/>
      <c r="C243" s="593"/>
      <c r="D243" s="662"/>
      <c r="E243" s="594"/>
      <c r="F243" s="595"/>
      <c r="K243" s="696"/>
      <c r="L243" s="696"/>
      <c r="M243" s="1075"/>
      <c r="N243" s="1076"/>
      <c r="O243" s="968"/>
      <c r="P243" s="969"/>
      <c r="Q243" s="970"/>
    </row>
    <row r="244" spans="1:17">
      <c r="A244" s="590" t="s">
        <v>426</v>
      </c>
      <c r="B244" s="678" t="s">
        <v>465</v>
      </c>
      <c r="C244" s="593">
        <v>1</v>
      </c>
      <c r="D244" s="662" t="s">
        <v>459</v>
      </c>
      <c r="E244" s="594"/>
      <c r="F244" s="595">
        <f>E244*C244</f>
        <v>0</v>
      </c>
      <c r="K244" s="696"/>
      <c r="L244" s="696"/>
      <c r="M244" s="1075" t="s">
        <v>469</v>
      </c>
      <c r="N244" s="1076" t="s">
        <v>459</v>
      </c>
      <c r="O244" s="968">
        <v>1</v>
      </c>
      <c r="P244" s="969"/>
      <c r="Q244" s="970">
        <f>P244*O244</f>
        <v>0</v>
      </c>
    </row>
    <row r="245" spans="1:17">
      <c r="A245" s="590"/>
      <c r="B245" s="661"/>
      <c r="C245" s="593"/>
      <c r="D245" s="662"/>
      <c r="E245" s="594"/>
      <c r="F245" s="595"/>
      <c r="K245" s="696"/>
      <c r="L245" s="696"/>
      <c r="M245" s="1075"/>
      <c r="N245" s="1076"/>
      <c r="O245" s="968"/>
      <c r="P245" s="969"/>
      <c r="Q245" s="970"/>
    </row>
    <row r="246" spans="1:17">
      <c r="A246" s="590" t="s">
        <v>428</v>
      </c>
      <c r="B246" s="678" t="s">
        <v>466</v>
      </c>
      <c r="C246" s="593">
        <v>1</v>
      </c>
      <c r="D246" s="662" t="s">
        <v>459</v>
      </c>
      <c r="E246" s="594"/>
      <c r="F246" s="595">
        <f>E246*C246</f>
        <v>0</v>
      </c>
      <c r="K246" s="696"/>
      <c r="L246" s="696"/>
      <c r="M246" s="1075" t="s">
        <v>470</v>
      </c>
      <c r="N246" s="1076" t="s">
        <v>459</v>
      </c>
      <c r="O246" s="968">
        <v>1</v>
      </c>
      <c r="P246" s="969"/>
      <c r="Q246" s="970">
        <f>P246*O246</f>
        <v>0</v>
      </c>
    </row>
    <row r="247" spans="1:17">
      <c r="A247" s="590"/>
      <c r="B247" s="678"/>
      <c r="C247" s="593"/>
      <c r="D247" s="662"/>
      <c r="E247" s="594"/>
      <c r="F247" s="595"/>
      <c r="K247" s="696"/>
      <c r="L247" s="696"/>
      <c r="M247" s="1075"/>
      <c r="N247" s="1076"/>
      <c r="O247" s="968"/>
      <c r="P247" s="969"/>
      <c r="Q247" s="970"/>
    </row>
    <row r="248" spans="1:17">
      <c r="A248" s="590" t="s">
        <v>430</v>
      </c>
      <c r="B248" s="678" t="s">
        <v>467</v>
      </c>
      <c r="C248" s="593">
        <v>1</v>
      </c>
      <c r="D248" s="662" t="s">
        <v>459</v>
      </c>
      <c r="E248" s="594"/>
      <c r="F248" s="595">
        <f>E248*C248</f>
        <v>0</v>
      </c>
      <c r="K248" s="696"/>
      <c r="L248" s="696"/>
      <c r="M248" s="1075" t="s">
        <v>471</v>
      </c>
      <c r="N248" s="1076" t="s">
        <v>459</v>
      </c>
      <c r="O248" s="968">
        <v>1</v>
      </c>
      <c r="P248" s="969"/>
      <c r="Q248" s="970">
        <f>P248*O248</f>
        <v>0</v>
      </c>
    </row>
    <row r="249" spans="1:17">
      <c r="A249" s="590"/>
      <c r="B249" s="661"/>
      <c r="C249" s="593"/>
      <c r="D249" s="662"/>
      <c r="E249" s="594"/>
      <c r="F249" s="595"/>
      <c r="K249" s="696"/>
      <c r="L249" s="696"/>
      <c r="M249" s="1075"/>
      <c r="N249" s="1076"/>
      <c r="O249" s="968"/>
      <c r="P249" s="969"/>
      <c r="Q249" s="970"/>
    </row>
    <row r="250" spans="1:17">
      <c r="A250" s="590"/>
      <c r="B250" s="661"/>
      <c r="C250" s="593"/>
      <c r="D250" s="662"/>
      <c r="E250" s="594"/>
      <c r="F250" s="595"/>
      <c r="K250" s="696"/>
      <c r="L250" s="696"/>
      <c r="M250" s="1075" t="s">
        <v>472</v>
      </c>
      <c r="N250" s="1076" t="s">
        <v>459</v>
      </c>
      <c r="O250" s="968">
        <v>1</v>
      </c>
      <c r="P250" s="969"/>
      <c r="Q250" s="970">
        <f>P250*O250</f>
        <v>0</v>
      </c>
    </row>
    <row r="251" spans="1:17">
      <c r="A251" s="590"/>
      <c r="B251" s="661"/>
      <c r="C251" s="593"/>
      <c r="D251" s="662"/>
      <c r="E251" s="594"/>
      <c r="F251" s="595"/>
      <c r="K251" s="696"/>
      <c r="L251" s="696"/>
      <c r="M251" s="1075"/>
      <c r="N251" s="1076"/>
      <c r="O251" s="968"/>
      <c r="P251" s="969"/>
      <c r="Q251" s="970"/>
    </row>
    <row r="252" spans="1:17">
      <c r="A252" s="590"/>
      <c r="B252" s="661"/>
      <c r="C252" s="593"/>
      <c r="D252" s="662"/>
      <c r="E252" s="594"/>
      <c r="F252" s="595"/>
      <c r="K252" s="696"/>
      <c r="L252" s="696"/>
      <c r="M252" s="1075" t="s">
        <v>473</v>
      </c>
      <c r="N252" s="1076" t="s">
        <v>459</v>
      </c>
      <c r="O252" s="968">
        <v>1</v>
      </c>
      <c r="P252" s="969"/>
      <c r="Q252" s="970">
        <f>P252*O252</f>
        <v>0</v>
      </c>
    </row>
    <row r="253" spans="1:17">
      <c r="A253" s="590"/>
      <c r="B253" s="661"/>
      <c r="C253" s="593"/>
      <c r="D253" s="662"/>
      <c r="E253" s="594"/>
      <c r="F253" s="595"/>
      <c r="K253" s="696"/>
      <c r="L253" s="696"/>
      <c r="M253" s="1075"/>
      <c r="N253" s="1076"/>
      <c r="O253" s="968"/>
      <c r="P253" s="969"/>
      <c r="Q253" s="970"/>
    </row>
    <row r="254" spans="1:17">
      <c r="A254" s="590"/>
      <c r="B254" s="661"/>
      <c r="C254" s="593"/>
      <c r="D254" s="662"/>
      <c r="E254" s="594"/>
      <c r="F254" s="595"/>
      <c r="K254" s="696"/>
      <c r="L254" s="696"/>
      <c r="M254" s="1075" t="s">
        <v>474</v>
      </c>
      <c r="N254" s="1076" t="s">
        <v>459</v>
      </c>
      <c r="O254" s="968">
        <v>1</v>
      </c>
      <c r="P254" s="969"/>
      <c r="Q254" s="970">
        <f>P254*O254</f>
        <v>0</v>
      </c>
    </row>
    <row r="255" spans="1:17">
      <c r="A255" s="590"/>
      <c r="B255" s="661"/>
      <c r="C255" s="593"/>
      <c r="D255" s="662"/>
      <c r="E255" s="594"/>
      <c r="F255" s="595"/>
      <c r="K255" s="696"/>
      <c r="L255" s="696"/>
      <c r="M255" s="1075"/>
      <c r="N255" s="1076"/>
      <c r="O255" s="968"/>
      <c r="P255" s="969"/>
      <c r="Q255" s="970"/>
    </row>
    <row r="256" spans="1:17">
      <c r="A256" s="590"/>
      <c r="B256" s="661"/>
      <c r="C256" s="593"/>
      <c r="D256" s="662"/>
      <c r="E256" s="594"/>
      <c r="F256" s="595"/>
      <c r="K256" s="696"/>
      <c r="L256" s="696"/>
      <c r="M256" s="1075" t="s">
        <v>475</v>
      </c>
      <c r="N256" s="1076" t="s">
        <v>459</v>
      </c>
      <c r="O256" s="968">
        <v>1</v>
      </c>
      <c r="P256" s="969"/>
      <c r="Q256" s="970">
        <f>P256*O256</f>
        <v>0</v>
      </c>
    </row>
    <row r="257" spans="1:17">
      <c r="A257" s="590"/>
      <c r="B257" s="661"/>
      <c r="C257" s="593"/>
      <c r="D257" s="662"/>
      <c r="E257" s="594"/>
      <c r="F257" s="595"/>
      <c r="K257" s="696"/>
      <c r="L257" s="696"/>
      <c r="M257" s="1075"/>
      <c r="N257" s="1076"/>
      <c r="O257" s="968"/>
      <c r="P257" s="969"/>
      <c r="Q257" s="970"/>
    </row>
    <row r="258" spans="1:17">
      <c r="A258" s="590"/>
      <c r="B258" s="661"/>
      <c r="C258" s="593"/>
      <c r="D258" s="662"/>
      <c r="E258" s="594"/>
      <c r="F258" s="595"/>
      <c r="K258" s="696"/>
      <c r="L258" s="696"/>
      <c r="M258" s="1075" t="s">
        <v>476</v>
      </c>
      <c r="N258" s="1076" t="s">
        <v>459</v>
      </c>
      <c r="O258" s="968">
        <v>1</v>
      </c>
      <c r="P258" s="969"/>
      <c r="Q258" s="970">
        <f>P258*O258</f>
        <v>0</v>
      </c>
    </row>
    <row r="259" spans="1:17">
      <c r="A259" s="590"/>
      <c r="B259" s="661"/>
      <c r="C259" s="593"/>
      <c r="D259" s="662"/>
      <c r="E259" s="594"/>
      <c r="F259" s="595"/>
      <c r="K259" s="696"/>
      <c r="L259" s="696"/>
      <c r="M259" s="1075"/>
      <c r="N259" s="1076"/>
      <c r="O259" s="968"/>
      <c r="P259" s="969"/>
      <c r="Q259" s="970"/>
    </row>
    <row r="260" spans="1:17">
      <c r="A260" s="590"/>
      <c r="B260" s="661"/>
      <c r="C260" s="593"/>
      <c r="D260" s="662"/>
      <c r="E260" s="594"/>
      <c r="F260" s="595"/>
      <c r="K260" s="696"/>
      <c r="L260" s="696"/>
      <c r="M260" s="1075" t="s">
        <v>477</v>
      </c>
      <c r="N260" s="1076" t="s">
        <v>459</v>
      </c>
      <c r="O260" s="968">
        <v>1</v>
      </c>
      <c r="P260" s="969"/>
      <c r="Q260" s="970">
        <f>P260*O260</f>
        <v>0</v>
      </c>
    </row>
    <row r="261" spans="1:17">
      <c r="A261" s="590"/>
      <c r="B261" s="661"/>
      <c r="C261" s="593"/>
      <c r="D261" s="662"/>
      <c r="E261" s="594"/>
      <c r="F261" s="595"/>
      <c r="K261" s="696"/>
      <c r="L261" s="696"/>
      <c r="M261" s="1075"/>
      <c r="N261" s="1076"/>
      <c r="O261" s="968"/>
      <c r="P261" s="969"/>
      <c r="Q261" s="970"/>
    </row>
    <row r="262" spans="1:17">
      <c r="A262" s="590"/>
      <c r="B262" s="661"/>
      <c r="C262" s="593"/>
      <c r="D262" s="662"/>
      <c r="E262" s="594"/>
      <c r="F262" s="595"/>
      <c r="K262" s="696"/>
      <c r="L262" s="696"/>
      <c r="M262" s="1075"/>
      <c r="N262" s="1076"/>
      <c r="O262" s="968"/>
      <c r="P262" s="969"/>
      <c r="Q262" s="970"/>
    </row>
    <row r="263" spans="1:17">
      <c r="A263" s="590"/>
      <c r="B263" s="661"/>
      <c r="C263" s="593"/>
      <c r="D263" s="662"/>
      <c r="E263" s="594"/>
      <c r="F263" s="595"/>
      <c r="K263" s="696"/>
      <c r="L263" s="696"/>
      <c r="M263" s="1075"/>
      <c r="N263" s="1076"/>
      <c r="O263" s="968"/>
      <c r="P263" s="969"/>
      <c r="Q263" s="970"/>
    </row>
    <row r="264" spans="1:17">
      <c r="A264" s="590"/>
      <c r="B264" s="661"/>
      <c r="C264" s="593"/>
      <c r="D264" s="662"/>
      <c r="E264" s="594"/>
      <c r="F264" s="595"/>
      <c r="K264" s="696"/>
      <c r="L264" s="696"/>
      <c r="M264" s="1075"/>
      <c r="N264" s="1076"/>
      <c r="O264" s="968"/>
      <c r="P264" s="969"/>
      <c r="Q264" s="970"/>
    </row>
    <row r="265" spans="1:17">
      <c r="A265" s="590"/>
      <c r="B265" s="661"/>
      <c r="C265" s="593"/>
      <c r="D265" s="662"/>
      <c r="E265" s="594"/>
      <c r="F265" s="595"/>
      <c r="K265" s="696"/>
      <c r="L265" s="696"/>
      <c r="M265" s="1075"/>
      <c r="N265" s="1076"/>
      <c r="O265" s="968"/>
      <c r="P265" s="969"/>
      <c r="Q265" s="970"/>
    </row>
    <row r="266" spans="1:17">
      <c r="A266" s="590"/>
      <c r="B266" s="661"/>
      <c r="C266" s="593"/>
      <c r="D266" s="662"/>
      <c r="E266" s="594"/>
      <c r="F266" s="595"/>
      <c r="K266" s="696"/>
      <c r="L266" s="696"/>
      <c r="M266" s="1075"/>
      <c r="N266" s="1076"/>
      <c r="O266" s="968"/>
      <c r="P266" s="969"/>
      <c r="Q266" s="970"/>
    </row>
    <row r="267" spans="1:17">
      <c r="A267" s="590"/>
      <c r="B267" s="661"/>
      <c r="C267" s="593"/>
      <c r="D267" s="662"/>
      <c r="E267" s="594"/>
      <c r="F267" s="595"/>
      <c r="K267" s="696"/>
      <c r="L267" s="696"/>
      <c r="M267" s="1075"/>
      <c r="N267" s="1076"/>
      <c r="O267" s="968"/>
      <c r="P267" s="969"/>
      <c r="Q267" s="970"/>
    </row>
    <row r="268" spans="1:17">
      <c r="A268" s="590"/>
      <c r="B268" s="661"/>
      <c r="C268" s="593"/>
      <c r="D268" s="662"/>
      <c r="E268" s="594"/>
      <c r="F268" s="595"/>
      <c r="K268" s="696"/>
      <c r="L268" s="696"/>
      <c r="M268" s="1075"/>
      <c r="N268" s="1076"/>
      <c r="O268" s="968"/>
      <c r="P268" s="969"/>
      <c r="Q268" s="970"/>
    </row>
    <row r="269" spans="1:17">
      <c r="A269" s="590"/>
      <c r="B269" s="661"/>
      <c r="C269" s="593"/>
      <c r="D269" s="662"/>
      <c r="E269" s="594"/>
      <c r="F269" s="595"/>
      <c r="K269" s="696"/>
      <c r="L269" s="696"/>
      <c r="M269" s="1075"/>
      <c r="N269" s="1076"/>
      <c r="O269" s="968"/>
      <c r="P269" s="969"/>
      <c r="Q269" s="970"/>
    </row>
    <row r="270" spans="1:17">
      <c r="A270" s="590"/>
      <c r="B270" s="661"/>
      <c r="C270" s="593"/>
      <c r="D270" s="662"/>
      <c r="E270" s="594"/>
      <c r="F270" s="595"/>
      <c r="K270" s="696"/>
      <c r="L270" s="696"/>
      <c r="M270" s="1075"/>
      <c r="N270" s="1076"/>
      <c r="O270" s="968"/>
      <c r="P270" s="969"/>
      <c r="Q270" s="970"/>
    </row>
    <row r="271" spans="1:17">
      <c r="A271" s="590"/>
      <c r="B271" s="661"/>
      <c r="C271" s="593"/>
      <c r="D271" s="662"/>
      <c r="E271" s="594"/>
      <c r="F271" s="595"/>
      <c r="K271" s="696"/>
      <c r="L271" s="696"/>
      <c r="M271" s="1075"/>
      <c r="N271" s="1076"/>
      <c r="O271" s="968"/>
      <c r="P271" s="969"/>
      <c r="Q271" s="970"/>
    </row>
    <row r="272" spans="1:17">
      <c r="A272" s="590"/>
      <c r="B272" s="661"/>
      <c r="C272" s="593"/>
      <c r="D272" s="662"/>
      <c r="E272" s="594"/>
      <c r="F272" s="595"/>
      <c r="K272" s="696"/>
      <c r="L272" s="696"/>
      <c r="M272" s="1075"/>
      <c r="N272" s="1076"/>
      <c r="O272" s="968"/>
      <c r="P272" s="969"/>
      <c r="Q272" s="970"/>
    </row>
    <row r="273" spans="1:17">
      <c r="A273" s="590"/>
      <c r="B273" s="661"/>
      <c r="C273" s="593"/>
      <c r="D273" s="662"/>
      <c r="E273" s="594"/>
      <c r="F273" s="595"/>
      <c r="K273" s="696"/>
      <c r="L273" s="696"/>
      <c r="M273" s="1075"/>
      <c r="N273" s="1076"/>
      <c r="O273" s="968"/>
      <c r="P273" s="969"/>
      <c r="Q273" s="970"/>
    </row>
    <row r="274" spans="1:17">
      <c r="A274" s="590"/>
      <c r="B274" s="661"/>
      <c r="C274" s="593"/>
      <c r="D274" s="662"/>
      <c r="E274" s="594"/>
      <c r="F274" s="595"/>
      <c r="K274" s="696"/>
      <c r="L274" s="696"/>
      <c r="M274" s="1075"/>
      <c r="N274" s="1076"/>
      <c r="O274" s="968"/>
      <c r="P274" s="969"/>
      <c r="Q274" s="970"/>
    </row>
    <row r="275" spans="1:17">
      <c r="A275" s="590"/>
      <c r="B275" s="661"/>
      <c r="C275" s="593"/>
      <c r="D275" s="662"/>
      <c r="E275" s="594"/>
      <c r="F275" s="595"/>
      <c r="K275" s="696"/>
      <c r="L275" s="696"/>
      <c r="M275" s="1075"/>
      <c r="N275" s="1076"/>
      <c r="O275" s="968"/>
      <c r="P275" s="969"/>
      <c r="Q275" s="970"/>
    </row>
    <row r="276" spans="1:17">
      <c r="A276" s="590"/>
      <c r="B276" s="661"/>
      <c r="C276" s="593"/>
      <c r="D276" s="662"/>
      <c r="E276" s="594"/>
      <c r="F276" s="595"/>
      <c r="K276" s="696"/>
      <c r="L276" s="696"/>
      <c r="M276" s="1075"/>
      <c r="N276" s="1076"/>
      <c r="O276" s="968"/>
      <c r="P276" s="969"/>
      <c r="Q276" s="970"/>
    </row>
    <row r="277" spans="1:17">
      <c r="A277" s="590"/>
      <c r="B277" s="661"/>
      <c r="C277" s="593"/>
      <c r="D277" s="662"/>
      <c r="E277" s="594"/>
      <c r="F277" s="595"/>
      <c r="K277" s="696"/>
      <c r="L277" s="696"/>
      <c r="M277" s="1075"/>
      <c r="N277" s="1076"/>
      <c r="O277" s="968"/>
      <c r="P277" s="969"/>
      <c r="Q277" s="970"/>
    </row>
    <row r="278" spans="1:17">
      <c r="A278" s="590"/>
      <c r="B278" s="661"/>
      <c r="C278" s="593"/>
      <c r="D278" s="662"/>
      <c r="E278" s="594"/>
      <c r="F278" s="595"/>
      <c r="K278" s="696"/>
      <c r="L278" s="696"/>
      <c r="M278" s="1075"/>
      <c r="N278" s="1076"/>
      <c r="O278" s="968"/>
      <c r="P278" s="969"/>
      <c r="Q278" s="970"/>
    </row>
    <row r="279" spans="1:17" ht="15" thickBot="1">
      <c r="A279" s="590"/>
      <c r="B279" s="661"/>
      <c r="C279" s="593"/>
      <c r="D279" s="662"/>
      <c r="E279" s="594"/>
      <c r="F279" s="595"/>
      <c r="K279" s="696"/>
      <c r="L279" s="696"/>
      <c r="M279" s="1075"/>
      <c r="N279" s="1076"/>
      <c r="O279" s="968"/>
      <c r="P279" s="969"/>
      <c r="Q279" s="970"/>
    </row>
    <row r="280" spans="1:17">
      <c r="A280" s="612"/>
      <c r="B280" s="613"/>
      <c r="C280" s="615"/>
      <c r="D280" s="614"/>
      <c r="E280" s="616"/>
      <c r="F280" s="617"/>
      <c r="H280" s="645"/>
      <c r="K280" s="696"/>
      <c r="L280" s="696"/>
      <c r="M280" s="1075"/>
      <c r="N280" s="1076"/>
      <c r="O280" s="968"/>
      <c r="P280" s="969"/>
      <c r="Q280" s="970"/>
    </row>
    <row r="281" spans="1:17">
      <c r="A281" s="618" t="s">
        <v>310</v>
      </c>
      <c r="B281" s="619" t="s">
        <v>289</v>
      </c>
      <c r="C281" s="621"/>
      <c r="D281" s="620"/>
      <c r="E281" s="622"/>
      <c r="F281" s="623">
        <f>SUM(F229:F279)</f>
        <v>0</v>
      </c>
      <c r="K281" s="696"/>
      <c r="L281" s="696"/>
      <c r="M281" s="1075"/>
      <c r="N281" s="1076"/>
      <c r="O281" s="968"/>
      <c r="P281" s="969"/>
      <c r="Q281" s="970"/>
    </row>
    <row r="282" spans="1:17">
      <c r="A282" s="624"/>
      <c r="B282" s="625"/>
      <c r="C282" s="627"/>
      <c r="D282" s="626"/>
      <c r="E282" s="628"/>
      <c r="F282" s="629"/>
      <c r="K282" s="696"/>
      <c r="L282" s="696"/>
      <c r="M282" s="1075"/>
      <c r="N282" s="1076"/>
      <c r="O282" s="968"/>
      <c r="P282" s="969"/>
      <c r="Q282" s="970"/>
    </row>
    <row r="283" spans="1:17" ht="17.399999999999999">
      <c r="A283" s="568"/>
      <c r="B283" s="569"/>
      <c r="C283" s="570"/>
      <c r="D283" s="569"/>
      <c r="E283" s="571"/>
      <c r="F283" s="572"/>
      <c r="K283" s="696"/>
      <c r="L283" s="696"/>
      <c r="M283" s="1075"/>
      <c r="N283" s="1076"/>
      <c r="O283" s="968"/>
      <c r="P283" s="969"/>
      <c r="Q283" s="970"/>
    </row>
    <row r="284" spans="1:17">
      <c r="A284" s="574"/>
      <c r="B284" s="575"/>
      <c r="C284" s="576"/>
      <c r="D284" s="575"/>
      <c r="E284" s="577"/>
      <c r="F284" s="578"/>
      <c r="K284" s="696"/>
      <c r="L284" s="696"/>
      <c r="M284" s="1075"/>
      <c r="N284" s="1076"/>
      <c r="O284" s="968"/>
      <c r="P284" s="969"/>
      <c r="Q284" s="970"/>
    </row>
    <row r="285" spans="1:17">
      <c r="A285" s="574"/>
      <c r="B285" s="575"/>
      <c r="C285" s="576"/>
      <c r="D285" s="575"/>
      <c r="E285" s="577"/>
      <c r="F285" s="578"/>
      <c r="K285" s="696"/>
      <c r="L285" s="696"/>
      <c r="M285" s="1075"/>
      <c r="N285" s="1076"/>
      <c r="O285" s="968"/>
      <c r="P285" s="969"/>
      <c r="Q285" s="970"/>
    </row>
    <row r="286" spans="1:17">
      <c r="A286" s="579"/>
      <c r="B286" s="580"/>
      <c r="C286" s="581"/>
      <c r="D286" s="580"/>
      <c r="E286" s="582"/>
      <c r="F286" s="583"/>
      <c r="K286" s="696"/>
      <c r="L286" s="696"/>
      <c r="M286" s="1075"/>
      <c r="N286" s="1076"/>
      <c r="O286" s="968"/>
      <c r="P286" s="969"/>
      <c r="Q286" s="970"/>
    </row>
    <row r="287" spans="1:17" ht="15" thickBot="1">
      <c r="A287" s="584" t="s">
        <v>276</v>
      </c>
      <c r="B287" s="585"/>
      <c r="C287" s="587" t="s">
        <v>277</v>
      </c>
      <c r="D287" s="586" t="s">
        <v>266</v>
      </c>
      <c r="E287" s="588" t="s">
        <v>278</v>
      </c>
      <c r="F287" s="589" t="s">
        <v>267</v>
      </c>
      <c r="K287" s="696"/>
      <c r="L287" s="696"/>
      <c r="M287" s="1075"/>
      <c r="N287" s="1076"/>
      <c r="O287" s="968"/>
      <c r="P287" s="969"/>
      <c r="Q287" s="970"/>
    </row>
    <row r="288" spans="1:17">
      <c r="A288" s="590"/>
      <c r="B288" s="591"/>
      <c r="C288" s="593"/>
      <c r="D288" s="592"/>
      <c r="E288" s="594"/>
      <c r="F288" s="595"/>
      <c r="K288" s="696"/>
      <c r="L288" s="696"/>
      <c r="M288" s="1075"/>
      <c r="N288" s="1076"/>
      <c r="O288" s="968"/>
      <c r="P288" s="969"/>
      <c r="Q288" s="970"/>
    </row>
    <row r="289" spans="1:17" ht="27" thickBot="1">
      <c r="A289" s="652" t="s">
        <v>306</v>
      </c>
      <c r="B289" s="651" t="s">
        <v>457</v>
      </c>
      <c r="C289" s="610"/>
      <c r="D289" s="592"/>
      <c r="E289" s="594"/>
      <c r="F289" s="595"/>
      <c r="K289" s="696"/>
      <c r="L289" s="696"/>
      <c r="M289" s="1075"/>
      <c r="N289" s="1076"/>
      <c r="O289" s="968"/>
      <c r="P289" s="969"/>
      <c r="Q289" s="970"/>
    </row>
    <row r="290" spans="1:17">
      <c r="A290" s="590"/>
      <c r="B290" s="661"/>
      <c r="C290" s="593"/>
      <c r="D290" s="662"/>
      <c r="E290" s="594"/>
      <c r="F290" s="595"/>
      <c r="K290" s="1014"/>
      <c r="L290" s="1014"/>
      <c r="M290" s="1015"/>
      <c r="N290" s="1016"/>
      <c r="O290" s="1017"/>
      <c r="P290" s="1018"/>
      <c r="Q290" s="1019"/>
    </row>
    <row r="291" spans="1:17">
      <c r="A291" s="590" t="s">
        <v>294</v>
      </c>
      <c r="B291" s="661" t="s">
        <v>468</v>
      </c>
      <c r="C291" s="593">
        <v>1</v>
      </c>
      <c r="D291" s="662" t="s">
        <v>459</v>
      </c>
      <c r="E291" s="594"/>
      <c r="F291" s="595">
        <f>E291*C291</f>
        <v>0</v>
      </c>
      <c r="K291" s="1020"/>
      <c r="L291" s="1020"/>
      <c r="M291" s="1021" t="s">
        <v>289</v>
      </c>
      <c r="N291" s="1022"/>
      <c r="O291" s="1023"/>
      <c r="P291" s="1024"/>
      <c r="Q291" s="1010">
        <f>SUM(Q239:Q289)</f>
        <v>0</v>
      </c>
    </row>
    <row r="292" spans="1:17">
      <c r="A292" s="590"/>
      <c r="B292" s="661"/>
      <c r="C292" s="593"/>
      <c r="D292" s="662"/>
      <c r="E292" s="594"/>
      <c r="F292" s="595"/>
      <c r="K292" s="1025"/>
      <c r="L292" s="1025"/>
      <c r="M292" s="1026"/>
      <c r="N292" s="1027"/>
      <c r="O292" s="1028"/>
      <c r="P292" s="1029"/>
      <c r="Q292" s="1030"/>
    </row>
    <row r="293" spans="1:17" ht="17.399999999999999">
      <c r="A293" s="590" t="s">
        <v>339</v>
      </c>
      <c r="B293" s="661" t="s">
        <v>469</v>
      </c>
      <c r="C293" s="593">
        <v>1</v>
      </c>
      <c r="D293" s="662" t="s">
        <v>459</v>
      </c>
      <c r="E293" s="594"/>
      <c r="F293" s="595">
        <f>E293*C293</f>
        <v>0</v>
      </c>
      <c r="K293" s="980"/>
      <c r="L293" s="981"/>
      <c r="M293" s="1077"/>
      <c r="N293" s="982"/>
      <c r="O293" s="983"/>
      <c r="P293" s="984"/>
      <c r="Q293" s="985"/>
    </row>
    <row r="294" spans="1:17">
      <c r="A294" s="590"/>
      <c r="B294" s="661"/>
      <c r="C294" s="593"/>
      <c r="D294" s="662"/>
      <c r="E294" s="594"/>
      <c r="F294" s="595"/>
      <c r="K294" s="986"/>
      <c r="L294" s="987"/>
      <c r="M294" s="1078"/>
      <c r="N294" s="988"/>
      <c r="O294" s="989"/>
      <c r="P294" s="990"/>
      <c r="Q294" s="991"/>
    </row>
    <row r="295" spans="1:17">
      <c r="A295" s="590" t="s">
        <v>340</v>
      </c>
      <c r="B295" s="661" t="s">
        <v>470</v>
      </c>
      <c r="C295" s="593">
        <v>1</v>
      </c>
      <c r="D295" s="662" t="s">
        <v>459</v>
      </c>
      <c r="E295" s="594"/>
      <c r="F295" s="595">
        <f>E295*C295</f>
        <v>0</v>
      </c>
      <c r="K295" s="986"/>
      <c r="L295" s="987"/>
      <c r="M295" s="1078"/>
      <c r="N295" s="988"/>
      <c r="O295" s="989"/>
      <c r="P295" s="990"/>
      <c r="Q295" s="991"/>
    </row>
    <row r="296" spans="1:17">
      <c r="A296" s="590"/>
      <c r="B296" s="661"/>
      <c r="C296" s="593"/>
      <c r="D296" s="662"/>
      <c r="E296" s="594"/>
      <c r="F296" s="595"/>
      <c r="K296" s="1020"/>
      <c r="L296" s="993"/>
      <c r="M296" s="959"/>
      <c r="N296" s="543"/>
      <c r="O296" s="994"/>
      <c r="P296" s="995"/>
      <c r="Q296" s="996"/>
    </row>
    <row r="297" spans="1:17" ht="15" thickBot="1">
      <c r="A297" s="590" t="s">
        <v>409</v>
      </c>
      <c r="B297" s="661" t="s">
        <v>471</v>
      </c>
      <c r="C297" s="593">
        <v>1</v>
      </c>
      <c r="D297" s="662" t="s">
        <v>459</v>
      </c>
      <c r="E297" s="594"/>
      <c r="F297" s="595">
        <f>E297*C297</f>
        <v>0</v>
      </c>
      <c r="K297" s="997" t="s">
        <v>276</v>
      </c>
      <c r="L297" s="998" t="s">
        <v>887</v>
      </c>
      <c r="M297" s="999"/>
      <c r="N297" s="1000" t="s">
        <v>266</v>
      </c>
      <c r="O297" s="1001" t="s">
        <v>277</v>
      </c>
      <c r="P297" s="1002" t="s">
        <v>278</v>
      </c>
      <c r="Q297" s="1003" t="s">
        <v>267</v>
      </c>
    </row>
    <row r="298" spans="1:17">
      <c r="A298" s="590"/>
      <c r="B298" s="661"/>
      <c r="C298" s="593"/>
      <c r="D298" s="662"/>
      <c r="E298" s="594"/>
      <c r="F298" s="595"/>
      <c r="K298" s="696"/>
      <c r="L298" s="696"/>
      <c r="M298" s="1075"/>
      <c r="N298" s="1076"/>
      <c r="O298" s="968"/>
      <c r="P298" s="969"/>
      <c r="Q298" s="970"/>
    </row>
    <row r="299" spans="1:17" ht="26.4">
      <c r="A299" s="590" t="s">
        <v>416</v>
      </c>
      <c r="B299" s="661" t="s">
        <v>472</v>
      </c>
      <c r="C299" s="593">
        <v>1</v>
      </c>
      <c r="D299" s="662" t="s">
        <v>459</v>
      </c>
      <c r="E299" s="594"/>
      <c r="F299" s="595">
        <f>E299*C299</f>
        <v>0</v>
      </c>
      <c r="K299" s="1031">
        <f>K240+1</f>
        <v>6</v>
      </c>
      <c r="L299" s="696"/>
      <c r="M299" s="1082" t="s">
        <v>457</v>
      </c>
      <c r="N299" s="1076"/>
      <c r="O299" s="968"/>
      <c r="P299" s="969"/>
      <c r="Q299" s="970"/>
    </row>
    <row r="300" spans="1:17">
      <c r="A300" s="590"/>
      <c r="B300" s="661"/>
      <c r="C300" s="593"/>
      <c r="D300" s="662"/>
      <c r="E300" s="594"/>
      <c r="F300" s="595"/>
      <c r="K300" s="696"/>
      <c r="L300" s="696"/>
      <c r="M300" s="1075"/>
      <c r="N300" s="1076"/>
      <c r="O300" s="968"/>
      <c r="P300" s="969"/>
      <c r="Q300" s="970"/>
    </row>
    <row r="301" spans="1:17">
      <c r="A301" s="590" t="s">
        <v>424</v>
      </c>
      <c r="B301" s="661" t="s">
        <v>473</v>
      </c>
      <c r="C301" s="593">
        <v>1</v>
      </c>
      <c r="D301" s="662" t="s">
        <v>459</v>
      </c>
      <c r="E301" s="594"/>
      <c r="F301" s="595">
        <f>E301*C301</f>
        <v>0</v>
      </c>
      <c r="K301" s="696"/>
      <c r="L301" s="696"/>
      <c r="M301" s="1075" t="s">
        <v>478</v>
      </c>
      <c r="N301" s="1076" t="s">
        <v>459</v>
      </c>
      <c r="O301" s="968">
        <v>1</v>
      </c>
      <c r="P301" s="969"/>
      <c r="Q301" s="970">
        <f>P301*O301</f>
        <v>0</v>
      </c>
    </row>
    <row r="302" spans="1:17">
      <c r="A302" s="590"/>
      <c r="B302" s="661"/>
      <c r="C302" s="593"/>
      <c r="D302" s="662"/>
      <c r="E302" s="594"/>
      <c r="F302" s="595"/>
      <c r="K302" s="696"/>
      <c r="L302" s="696"/>
      <c r="M302" s="1075"/>
      <c r="N302" s="1076"/>
      <c r="O302" s="968"/>
      <c r="P302" s="969"/>
      <c r="Q302" s="970"/>
    </row>
    <row r="303" spans="1:17">
      <c r="A303" s="590" t="s">
        <v>426</v>
      </c>
      <c r="B303" s="661" t="s">
        <v>474</v>
      </c>
      <c r="C303" s="593">
        <v>1</v>
      </c>
      <c r="D303" s="662" t="s">
        <v>459</v>
      </c>
      <c r="E303" s="594"/>
      <c r="F303" s="595">
        <f>E303*C303</f>
        <v>0</v>
      </c>
      <c r="K303" s="696"/>
      <c r="L303" s="696"/>
      <c r="M303" s="1075" t="s">
        <v>479</v>
      </c>
      <c r="N303" s="1076" t="s">
        <v>459</v>
      </c>
      <c r="O303" s="968">
        <v>1</v>
      </c>
      <c r="P303" s="969"/>
      <c r="Q303" s="970">
        <f>P303*O303</f>
        <v>0</v>
      </c>
    </row>
    <row r="304" spans="1:17">
      <c r="A304" s="590"/>
      <c r="B304" s="661"/>
      <c r="C304" s="593"/>
      <c r="D304" s="662"/>
      <c r="E304" s="594"/>
      <c r="F304" s="595"/>
      <c r="K304" s="696"/>
      <c r="L304" s="696"/>
      <c r="M304" s="1075"/>
      <c r="N304" s="1076"/>
      <c r="O304" s="968"/>
      <c r="P304" s="969"/>
      <c r="Q304" s="970"/>
    </row>
    <row r="305" spans="1:17">
      <c r="A305" s="590" t="s">
        <v>428</v>
      </c>
      <c r="B305" s="661" t="s">
        <v>475</v>
      </c>
      <c r="C305" s="593">
        <v>1</v>
      </c>
      <c r="D305" s="662" t="s">
        <v>459</v>
      </c>
      <c r="E305" s="594"/>
      <c r="F305" s="595">
        <f>E305*C305</f>
        <v>0</v>
      </c>
      <c r="K305" s="696"/>
      <c r="L305" s="696"/>
      <c r="M305" s="1075" t="s">
        <v>480</v>
      </c>
      <c r="N305" s="1076" t="s">
        <v>459</v>
      </c>
      <c r="O305" s="968">
        <v>1</v>
      </c>
      <c r="P305" s="969"/>
      <c r="Q305" s="970">
        <f>P305*O305</f>
        <v>0</v>
      </c>
    </row>
    <row r="306" spans="1:17">
      <c r="A306" s="590"/>
      <c r="B306" s="661"/>
      <c r="C306" s="593"/>
      <c r="D306" s="662"/>
      <c r="E306" s="594"/>
      <c r="F306" s="595"/>
      <c r="K306" s="696"/>
      <c r="L306" s="696"/>
      <c r="M306" s="1075"/>
      <c r="N306" s="1076"/>
      <c r="O306" s="968"/>
      <c r="P306" s="969"/>
      <c r="Q306" s="970"/>
    </row>
    <row r="307" spans="1:17">
      <c r="A307" s="590" t="s">
        <v>430</v>
      </c>
      <c r="B307" s="661" t="s">
        <v>476</v>
      </c>
      <c r="C307" s="593">
        <v>1</v>
      </c>
      <c r="D307" s="662" t="s">
        <v>459</v>
      </c>
      <c r="E307" s="594"/>
      <c r="F307" s="595">
        <f>E307*C307</f>
        <v>0</v>
      </c>
      <c r="K307" s="696"/>
      <c r="L307" s="696"/>
      <c r="M307" s="1075" t="s">
        <v>481</v>
      </c>
      <c r="N307" s="1076" t="s">
        <v>459</v>
      </c>
      <c r="O307" s="968">
        <v>1</v>
      </c>
      <c r="P307" s="969"/>
      <c r="Q307" s="970">
        <f>P307*O307</f>
        <v>0</v>
      </c>
    </row>
    <row r="308" spans="1:17">
      <c r="A308" s="590"/>
      <c r="B308" s="661"/>
      <c r="C308" s="593"/>
      <c r="D308" s="662"/>
      <c r="E308" s="594"/>
      <c r="F308" s="595"/>
      <c r="K308" s="696"/>
      <c r="L308" s="696"/>
      <c r="M308" s="1075"/>
      <c r="N308" s="1076"/>
      <c r="O308" s="968"/>
      <c r="P308" s="969"/>
      <c r="Q308" s="970"/>
    </row>
    <row r="309" spans="1:17">
      <c r="A309" s="590" t="s">
        <v>432</v>
      </c>
      <c r="B309" s="661" t="s">
        <v>477</v>
      </c>
      <c r="C309" s="593">
        <v>1</v>
      </c>
      <c r="D309" s="662" t="s">
        <v>459</v>
      </c>
      <c r="E309" s="594"/>
      <c r="F309" s="595">
        <f>E309*C309</f>
        <v>0</v>
      </c>
      <c r="K309" s="696"/>
      <c r="L309" s="696"/>
      <c r="M309" s="1075" t="s">
        <v>482</v>
      </c>
      <c r="N309" s="1076" t="s">
        <v>459</v>
      </c>
      <c r="O309" s="968">
        <v>1</v>
      </c>
      <c r="P309" s="969"/>
      <c r="Q309" s="970">
        <f>P309*O309</f>
        <v>0</v>
      </c>
    </row>
    <row r="310" spans="1:17">
      <c r="A310" s="590"/>
      <c r="B310" s="661"/>
      <c r="C310" s="593"/>
      <c r="D310" s="662"/>
      <c r="E310" s="594"/>
      <c r="F310" s="595"/>
      <c r="K310" s="696"/>
      <c r="L310" s="696"/>
      <c r="M310" s="1075"/>
      <c r="N310" s="1076"/>
      <c r="O310" s="968"/>
      <c r="P310" s="969"/>
      <c r="Q310" s="970"/>
    </row>
    <row r="311" spans="1:17">
      <c r="A311" s="590"/>
      <c r="B311" s="661"/>
      <c r="C311" s="593"/>
      <c r="D311" s="662"/>
      <c r="E311" s="594"/>
      <c r="F311" s="595"/>
      <c r="K311" s="696"/>
      <c r="L311" s="696"/>
      <c r="M311" s="1075" t="s">
        <v>483</v>
      </c>
      <c r="N311" s="1076" t="s">
        <v>459</v>
      </c>
      <c r="O311" s="968">
        <v>1</v>
      </c>
      <c r="P311" s="969"/>
      <c r="Q311" s="970">
        <f>P311*O311</f>
        <v>0</v>
      </c>
    </row>
    <row r="312" spans="1:17">
      <c r="A312" s="590"/>
      <c r="B312" s="661"/>
      <c r="C312" s="593"/>
      <c r="D312" s="662"/>
      <c r="E312" s="594"/>
      <c r="F312" s="595"/>
      <c r="K312" s="696"/>
      <c r="L312" s="696"/>
      <c r="M312" s="1075"/>
      <c r="N312" s="1076"/>
      <c r="O312" s="968"/>
      <c r="P312" s="969"/>
      <c r="Q312" s="970"/>
    </row>
    <row r="313" spans="1:17">
      <c r="A313" s="590"/>
      <c r="B313" s="661"/>
      <c r="C313" s="593"/>
      <c r="D313" s="662"/>
      <c r="E313" s="594"/>
      <c r="F313" s="595"/>
      <c r="K313" s="696"/>
      <c r="L313" s="696"/>
      <c r="M313" s="1075"/>
      <c r="N313" s="1076"/>
      <c r="O313" s="968"/>
      <c r="P313" s="969"/>
      <c r="Q313" s="970"/>
    </row>
    <row r="314" spans="1:17">
      <c r="A314" s="590"/>
      <c r="B314" s="661"/>
      <c r="C314" s="593"/>
      <c r="D314" s="662"/>
      <c r="E314" s="594"/>
      <c r="F314" s="595"/>
      <c r="K314" s="696"/>
      <c r="L314" s="696"/>
      <c r="M314" s="1075"/>
      <c r="N314" s="1076"/>
      <c r="O314" s="968"/>
      <c r="P314" s="969"/>
      <c r="Q314" s="970"/>
    </row>
    <row r="315" spans="1:17">
      <c r="A315" s="590"/>
      <c r="B315" s="661"/>
      <c r="C315" s="593"/>
      <c r="D315" s="662"/>
      <c r="E315" s="594"/>
      <c r="F315" s="595"/>
      <c r="K315" s="696"/>
      <c r="L315" s="696"/>
      <c r="M315" s="1075"/>
      <c r="N315" s="1076"/>
      <c r="O315" s="968"/>
      <c r="P315" s="969"/>
      <c r="Q315" s="970"/>
    </row>
    <row r="316" spans="1:17">
      <c r="A316" s="590"/>
      <c r="B316" s="661"/>
      <c r="C316" s="593"/>
      <c r="D316" s="662"/>
      <c r="E316" s="594"/>
      <c r="F316" s="595"/>
      <c r="K316" s="696"/>
      <c r="L316" s="696"/>
      <c r="M316" s="1040"/>
      <c r="N316" s="1076"/>
      <c r="O316" s="544"/>
      <c r="P316" s="969"/>
      <c r="Q316" s="970"/>
    </row>
    <row r="317" spans="1:17">
      <c r="A317" s="590"/>
      <c r="B317" s="661"/>
      <c r="C317" s="593"/>
      <c r="D317" s="662"/>
      <c r="E317" s="594"/>
      <c r="F317" s="595"/>
      <c r="K317" s="696"/>
      <c r="L317" s="696"/>
      <c r="M317" s="1075"/>
      <c r="N317" s="1076"/>
      <c r="O317" s="968"/>
      <c r="P317" s="969"/>
      <c r="Q317" s="970"/>
    </row>
    <row r="318" spans="1:17">
      <c r="A318" s="590"/>
      <c r="B318" s="661"/>
      <c r="C318" s="593"/>
      <c r="D318" s="662"/>
      <c r="E318" s="594"/>
      <c r="F318" s="595"/>
      <c r="K318" s="696"/>
      <c r="L318" s="696"/>
      <c r="M318" s="1075"/>
      <c r="N318" s="1076"/>
      <c r="O318" s="968"/>
      <c r="P318" s="969"/>
      <c r="Q318" s="970"/>
    </row>
    <row r="319" spans="1:17">
      <c r="A319" s="590"/>
      <c r="B319" s="661"/>
      <c r="C319" s="593"/>
      <c r="D319" s="662"/>
      <c r="E319" s="594"/>
      <c r="F319" s="595"/>
      <c r="K319" s="696"/>
      <c r="L319" s="696"/>
      <c r="M319" s="1075"/>
      <c r="N319" s="1076"/>
      <c r="O319" s="968"/>
      <c r="P319" s="969"/>
      <c r="Q319" s="970"/>
    </row>
    <row r="320" spans="1:17">
      <c r="A320" s="590"/>
      <c r="B320" s="661"/>
      <c r="C320" s="593"/>
      <c r="D320" s="662"/>
      <c r="E320" s="594"/>
      <c r="F320" s="595"/>
      <c r="K320" s="696"/>
      <c r="L320" s="696"/>
      <c r="M320" s="1075"/>
      <c r="N320" s="1076"/>
      <c r="O320" s="968"/>
      <c r="P320" s="969"/>
      <c r="Q320" s="970"/>
    </row>
    <row r="321" spans="1:17">
      <c r="A321" s="590"/>
      <c r="B321" s="661"/>
      <c r="C321" s="593"/>
      <c r="D321" s="662"/>
      <c r="E321" s="594"/>
      <c r="F321" s="595"/>
      <c r="K321" s="696"/>
      <c r="L321" s="696"/>
      <c r="M321" s="1075"/>
      <c r="N321" s="1076"/>
      <c r="O321" s="968"/>
      <c r="P321" s="969"/>
      <c r="Q321" s="970"/>
    </row>
    <row r="322" spans="1:17">
      <c r="A322" s="590"/>
      <c r="B322" s="661"/>
      <c r="C322" s="593"/>
      <c r="D322" s="662"/>
      <c r="E322" s="594"/>
      <c r="F322" s="595"/>
      <c r="K322" s="696"/>
      <c r="L322" s="696"/>
      <c r="M322" s="1075"/>
      <c r="N322" s="1076"/>
      <c r="O322" s="968"/>
      <c r="P322" s="969"/>
      <c r="Q322" s="970"/>
    </row>
    <row r="323" spans="1:17">
      <c r="A323" s="590"/>
      <c r="B323" s="661"/>
      <c r="C323" s="593"/>
      <c r="D323" s="662"/>
      <c r="E323" s="594"/>
      <c r="F323" s="595"/>
      <c r="K323" s="696"/>
      <c r="L323" s="696"/>
      <c r="M323" s="1075"/>
      <c r="N323" s="1076"/>
      <c r="O323" s="968"/>
      <c r="P323" s="969"/>
      <c r="Q323" s="970"/>
    </row>
    <row r="324" spans="1:17">
      <c r="A324" s="590"/>
      <c r="B324" s="661"/>
      <c r="C324" s="593"/>
      <c r="D324" s="662"/>
      <c r="E324" s="594"/>
      <c r="F324" s="595"/>
      <c r="K324" s="696"/>
      <c r="L324" s="696"/>
      <c r="M324" s="1075"/>
      <c r="N324" s="1076"/>
      <c r="O324" s="968"/>
      <c r="P324" s="969"/>
      <c r="Q324" s="970"/>
    </row>
    <row r="325" spans="1:17">
      <c r="A325" s="590"/>
      <c r="B325" s="661"/>
      <c r="C325" s="593"/>
      <c r="D325" s="662"/>
      <c r="E325" s="594"/>
      <c r="F325" s="595"/>
      <c r="K325" s="696"/>
      <c r="L325" s="696"/>
      <c r="M325" s="1075"/>
      <c r="N325" s="1076"/>
      <c r="O325" s="968"/>
      <c r="P325" s="969"/>
      <c r="Q325" s="970"/>
    </row>
    <row r="326" spans="1:17">
      <c r="A326" s="590"/>
      <c r="B326" s="661"/>
      <c r="C326" s="593"/>
      <c r="D326" s="662"/>
      <c r="E326" s="594"/>
      <c r="F326" s="595"/>
      <c r="K326" s="696"/>
      <c r="L326" s="696"/>
      <c r="M326" s="1075"/>
      <c r="N326" s="1076"/>
      <c r="O326" s="968"/>
      <c r="P326" s="969"/>
      <c r="Q326" s="970"/>
    </row>
    <row r="327" spans="1:17">
      <c r="A327" s="590"/>
      <c r="B327" s="661"/>
      <c r="C327" s="593"/>
      <c r="D327" s="662"/>
      <c r="E327" s="594"/>
      <c r="F327" s="595"/>
      <c r="K327" s="696"/>
      <c r="L327" s="696"/>
      <c r="M327" s="1075"/>
      <c r="N327" s="1076"/>
      <c r="O327" s="968"/>
      <c r="P327" s="969"/>
      <c r="Q327" s="970"/>
    </row>
    <row r="328" spans="1:17">
      <c r="A328" s="590"/>
      <c r="B328" s="661"/>
      <c r="C328" s="593"/>
      <c r="D328" s="662"/>
      <c r="E328" s="594"/>
      <c r="F328" s="595"/>
      <c r="K328" s="696"/>
      <c r="L328" s="696"/>
      <c r="M328" s="1075"/>
      <c r="N328" s="1076"/>
      <c r="O328" s="968"/>
      <c r="P328" s="969"/>
      <c r="Q328" s="970"/>
    </row>
    <row r="329" spans="1:17">
      <c r="A329" s="590"/>
      <c r="B329" s="661"/>
      <c r="C329" s="593"/>
      <c r="D329" s="662"/>
      <c r="E329" s="594"/>
      <c r="F329" s="595"/>
      <c r="K329" s="696"/>
      <c r="L329" s="696"/>
      <c r="M329" s="1075"/>
      <c r="N329" s="1076"/>
      <c r="O329" s="968"/>
      <c r="P329" s="969"/>
      <c r="Q329" s="970"/>
    </row>
    <row r="330" spans="1:17">
      <c r="A330" s="590"/>
      <c r="B330" s="661"/>
      <c r="C330" s="593"/>
      <c r="D330" s="662"/>
      <c r="E330" s="594"/>
      <c r="F330" s="595"/>
      <c r="K330" s="696"/>
      <c r="L330" s="696"/>
      <c r="M330" s="1075"/>
      <c r="N330" s="1076"/>
      <c r="O330" s="968"/>
      <c r="P330" s="969"/>
      <c r="Q330" s="970"/>
    </row>
    <row r="331" spans="1:17">
      <c r="A331" s="590"/>
      <c r="B331" s="661"/>
      <c r="C331" s="593"/>
      <c r="D331" s="662"/>
      <c r="E331" s="594"/>
      <c r="F331" s="595"/>
      <c r="K331" s="696"/>
      <c r="L331" s="696"/>
      <c r="M331" s="1075"/>
      <c r="N331" s="1076"/>
      <c r="O331" s="968"/>
      <c r="P331" s="969"/>
      <c r="Q331" s="970"/>
    </row>
    <row r="332" spans="1:17">
      <c r="A332" s="590"/>
      <c r="B332" s="661"/>
      <c r="C332" s="593"/>
      <c r="D332" s="662"/>
      <c r="E332" s="594"/>
      <c r="F332" s="595"/>
      <c r="K332" s="696"/>
      <c r="L332" s="696"/>
      <c r="M332" s="1075"/>
      <c r="N332" s="1076"/>
      <c r="O332" s="968"/>
      <c r="P332" s="969"/>
      <c r="Q332" s="970"/>
    </row>
    <row r="333" spans="1:17">
      <c r="A333" s="590"/>
      <c r="B333" s="661"/>
      <c r="C333" s="593"/>
      <c r="D333" s="662"/>
      <c r="E333" s="594"/>
      <c r="F333" s="595"/>
      <c r="K333" s="696"/>
      <c r="L333" s="696"/>
      <c r="M333" s="1075"/>
      <c r="N333" s="1076"/>
      <c r="O333" s="968"/>
      <c r="P333" s="969"/>
      <c r="Q333" s="970"/>
    </row>
    <row r="334" spans="1:17">
      <c r="A334" s="590"/>
      <c r="B334" s="661"/>
      <c r="C334" s="593"/>
      <c r="D334" s="662"/>
      <c r="E334" s="594"/>
      <c r="F334" s="595"/>
      <c r="K334" s="696"/>
      <c r="L334" s="696"/>
      <c r="M334" s="1075"/>
      <c r="N334" s="1076"/>
      <c r="O334" s="968"/>
      <c r="P334" s="969"/>
      <c r="Q334" s="970"/>
    </row>
    <row r="335" spans="1:17">
      <c r="A335" s="590"/>
      <c r="B335" s="661"/>
      <c r="C335" s="593"/>
      <c r="D335" s="662"/>
      <c r="E335" s="594"/>
      <c r="F335" s="595"/>
      <c r="K335" s="696"/>
      <c r="L335" s="696"/>
      <c r="M335" s="1075"/>
      <c r="N335" s="1076"/>
      <c r="O335" s="968"/>
      <c r="P335" s="969"/>
      <c r="Q335" s="970"/>
    </row>
    <row r="336" spans="1:17">
      <c r="A336" s="590"/>
      <c r="B336" s="661"/>
      <c r="C336" s="593"/>
      <c r="D336" s="662"/>
      <c r="E336" s="594"/>
      <c r="F336" s="595"/>
      <c r="K336" s="696"/>
      <c r="L336" s="696"/>
      <c r="M336" s="1075"/>
      <c r="N336" s="1076"/>
      <c r="O336" s="968"/>
      <c r="P336" s="969"/>
      <c r="Q336" s="970"/>
    </row>
    <row r="337" spans="1:17">
      <c r="A337" s="590"/>
      <c r="B337" s="661"/>
      <c r="C337" s="593"/>
      <c r="D337" s="662"/>
      <c r="E337" s="594"/>
      <c r="F337" s="595"/>
      <c r="K337" s="696"/>
      <c r="L337" s="696"/>
      <c r="M337" s="1075"/>
      <c r="N337" s="1076"/>
      <c r="O337" s="968"/>
      <c r="P337" s="969"/>
      <c r="Q337" s="970"/>
    </row>
    <row r="338" spans="1:17" ht="15" thickBot="1">
      <c r="A338" s="590"/>
      <c r="B338" s="661"/>
      <c r="C338" s="593"/>
      <c r="D338" s="662"/>
      <c r="E338" s="594"/>
      <c r="F338" s="595"/>
      <c r="K338" s="696"/>
      <c r="L338" s="696"/>
      <c r="M338" s="1075"/>
      <c r="N338" s="1076"/>
      <c r="O338" s="968"/>
      <c r="P338" s="969"/>
      <c r="Q338" s="970"/>
    </row>
    <row r="339" spans="1:17">
      <c r="A339" s="612"/>
      <c r="B339" s="613"/>
      <c r="C339" s="615"/>
      <c r="D339" s="614"/>
      <c r="E339" s="616"/>
      <c r="F339" s="617"/>
      <c r="K339" s="696"/>
      <c r="L339" s="696"/>
      <c r="M339" s="1075"/>
      <c r="N339" s="1076"/>
      <c r="O339" s="968"/>
      <c r="P339" s="969"/>
      <c r="Q339" s="970"/>
    </row>
    <row r="340" spans="1:17">
      <c r="A340" s="618" t="s">
        <v>310</v>
      </c>
      <c r="B340" s="619" t="s">
        <v>289</v>
      </c>
      <c r="C340" s="621"/>
      <c r="D340" s="620"/>
      <c r="E340" s="622"/>
      <c r="F340" s="623">
        <f>SUM(F288:F338)</f>
        <v>0</v>
      </c>
      <c r="H340" s="645"/>
      <c r="K340" s="696"/>
      <c r="L340" s="696"/>
      <c r="M340" s="1075"/>
      <c r="N340" s="1076"/>
      <c r="O340" s="968"/>
      <c r="P340" s="969"/>
      <c r="Q340" s="970"/>
    </row>
    <row r="341" spans="1:17">
      <c r="A341" s="624"/>
      <c r="B341" s="625"/>
      <c r="C341" s="627"/>
      <c r="D341" s="626"/>
      <c r="E341" s="628"/>
      <c r="F341" s="629"/>
      <c r="K341" s="696"/>
      <c r="L341" s="696"/>
      <c r="M341" s="1075"/>
      <c r="N341" s="1076"/>
      <c r="O341" s="968"/>
      <c r="P341" s="969"/>
      <c r="Q341" s="970"/>
    </row>
    <row r="342" spans="1:17" ht="17.399999999999999">
      <c r="A342" s="568"/>
      <c r="B342" s="663"/>
      <c r="C342" s="570"/>
      <c r="D342" s="569"/>
      <c r="E342" s="571"/>
      <c r="F342" s="572"/>
      <c r="K342" s="696"/>
      <c r="L342" s="696"/>
      <c r="M342" s="1075"/>
      <c r="N342" s="1076"/>
      <c r="O342" s="968"/>
      <c r="P342" s="969"/>
      <c r="Q342" s="970"/>
    </row>
    <row r="343" spans="1:17">
      <c r="A343" s="574"/>
      <c r="B343" s="664"/>
      <c r="C343" s="576"/>
      <c r="D343" s="575"/>
      <c r="E343" s="577"/>
      <c r="F343" s="578"/>
      <c r="K343" s="696"/>
      <c r="L343" s="696"/>
      <c r="M343" s="1075"/>
      <c r="N343" s="1076"/>
      <c r="O343" s="968"/>
      <c r="P343" s="969"/>
      <c r="Q343" s="970"/>
    </row>
    <row r="344" spans="1:17">
      <c r="A344" s="574"/>
      <c r="B344" s="664"/>
      <c r="C344" s="576"/>
      <c r="D344" s="575"/>
      <c r="E344" s="577"/>
      <c r="F344" s="578"/>
      <c r="K344" s="696"/>
      <c r="L344" s="696"/>
      <c r="M344" s="1075"/>
      <c r="N344" s="1076"/>
      <c r="O344" s="968"/>
      <c r="P344" s="969"/>
      <c r="Q344" s="970"/>
    </row>
    <row r="345" spans="1:17">
      <c r="A345" s="618"/>
      <c r="B345" s="657"/>
      <c r="C345" s="581"/>
      <c r="D345" s="580"/>
      <c r="E345" s="582"/>
      <c r="F345" s="583"/>
      <c r="K345" s="696"/>
      <c r="L345" s="696"/>
      <c r="M345" s="1075"/>
      <c r="N345" s="1076"/>
      <c r="O345" s="968"/>
      <c r="P345" s="969"/>
      <c r="Q345" s="970"/>
    </row>
    <row r="346" spans="1:17" ht="15" thickBot="1">
      <c r="A346" s="584" t="s">
        <v>276</v>
      </c>
      <c r="B346" s="585"/>
      <c r="C346" s="587" t="s">
        <v>277</v>
      </c>
      <c r="D346" s="586" t="s">
        <v>266</v>
      </c>
      <c r="E346" s="588" t="s">
        <v>278</v>
      </c>
      <c r="F346" s="589" t="s">
        <v>267</v>
      </c>
      <c r="K346" s="696"/>
      <c r="L346" s="696"/>
      <c r="M346" s="1075"/>
      <c r="N346" s="1076"/>
      <c r="O346" s="968"/>
      <c r="P346" s="969"/>
      <c r="Q346" s="970"/>
    </row>
    <row r="347" spans="1:17">
      <c r="A347" s="590"/>
      <c r="B347" s="661"/>
      <c r="C347" s="593"/>
      <c r="D347" s="662"/>
      <c r="E347" s="594"/>
      <c r="F347" s="595"/>
      <c r="K347" s="696"/>
      <c r="L347" s="696"/>
      <c r="M347" s="1040"/>
      <c r="N347" s="1076"/>
      <c r="O347" s="544"/>
      <c r="P347" s="969"/>
      <c r="Q347" s="970"/>
    </row>
    <row r="348" spans="1:17" ht="27" thickBot="1">
      <c r="A348" s="652" t="s">
        <v>308</v>
      </c>
      <c r="B348" s="678" t="s">
        <v>457</v>
      </c>
      <c r="C348" s="593"/>
      <c r="D348" s="662"/>
      <c r="E348" s="594"/>
      <c r="F348" s="595"/>
      <c r="K348" s="696"/>
      <c r="L348" s="696"/>
      <c r="M348" s="1079"/>
      <c r="N348" s="1076"/>
      <c r="O348" s="968"/>
      <c r="P348" s="969"/>
      <c r="Q348" s="970"/>
    </row>
    <row r="349" spans="1:17">
      <c r="A349" s="590"/>
      <c r="B349" s="661"/>
      <c r="C349" s="593"/>
      <c r="D349" s="662"/>
      <c r="E349" s="594"/>
      <c r="F349" s="595"/>
      <c r="K349" s="1014"/>
      <c r="L349" s="1014"/>
      <c r="M349" s="1015"/>
      <c r="N349" s="1016"/>
      <c r="O349" s="1017"/>
      <c r="P349" s="1018"/>
      <c r="Q349" s="1019"/>
    </row>
    <row r="350" spans="1:17">
      <c r="A350" s="590" t="s">
        <v>294</v>
      </c>
      <c r="B350" s="661" t="s">
        <v>478</v>
      </c>
      <c r="C350" s="593">
        <v>1</v>
      </c>
      <c r="D350" s="662" t="s">
        <v>459</v>
      </c>
      <c r="E350" s="594"/>
      <c r="F350" s="595">
        <f>E350*C350</f>
        <v>0</v>
      </c>
      <c r="K350" s="1020"/>
      <c r="L350" s="1020"/>
      <c r="M350" s="1021" t="s">
        <v>289</v>
      </c>
      <c r="N350" s="1022"/>
      <c r="O350" s="1023"/>
      <c r="P350" s="1024"/>
      <c r="Q350" s="1010">
        <f>SUM(Q298:Q348)</f>
        <v>0</v>
      </c>
    </row>
    <row r="351" spans="1:17">
      <c r="A351" s="590"/>
      <c r="B351" s="661"/>
      <c r="C351" s="593"/>
      <c r="D351" s="662"/>
      <c r="E351" s="594"/>
      <c r="F351" s="595"/>
      <c r="K351" s="1025"/>
      <c r="L351" s="1025"/>
      <c r="M351" s="1026"/>
      <c r="N351" s="1027"/>
      <c r="O351" s="1028"/>
      <c r="P351" s="1029"/>
      <c r="Q351" s="1030"/>
    </row>
    <row r="352" spans="1:17" ht="17.399999999999999">
      <c r="A352" s="590" t="s">
        <v>339</v>
      </c>
      <c r="B352" s="661" t="s">
        <v>479</v>
      </c>
      <c r="C352" s="593">
        <v>1</v>
      </c>
      <c r="D352" s="662" t="s">
        <v>459</v>
      </c>
      <c r="E352" s="594"/>
      <c r="F352" s="595">
        <f>E352*C352</f>
        <v>0</v>
      </c>
      <c r="K352" s="980"/>
      <c r="L352" s="981"/>
      <c r="M352" s="1077"/>
      <c r="N352" s="982"/>
      <c r="O352" s="983"/>
      <c r="P352" s="984"/>
      <c r="Q352" s="985"/>
    </row>
    <row r="353" spans="1:17">
      <c r="A353" s="590"/>
      <c r="B353" s="661"/>
      <c r="C353" s="593"/>
      <c r="D353" s="662"/>
      <c r="E353" s="594"/>
      <c r="F353" s="595"/>
      <c r="K353" s="986"/>
      <c r="L353" s="987"/>
      <c r="M353" s="1078"/>
      <c r="N353" s="988"/>
      <c r="O353" s="989"/>
      <c r="P353" s="990"/>
      <c r="Q353" s="991"/>
    </row>
    <row r="354" spans="1:17">
      <c r="A354" s="590" t="s">
        <v>340</v>
      </c>
      <c r="B354" s="661" t="s">
        <v>480</v>
      </c>
      <c r="C354" s="593">
        <v>1</v>
      </c>
      <c r="D354" s="662" t="s">
        <v>459</v>
      </c>
      <c r="E354" s="594"/>
      <c r="F354" s="595">
        <f>E354*C354</f>
        <v>0</v>
      </c>
      <c r="K354" s="986"/>
      <c r="L354" s="987"/>
      <c r="M354" s="1078"/>
      <c r="N354" s="988"/>
      <c r="O354" s="989"/>
      <c r="P354" s="990"/>
      <c r="Q354" s="991"/>
    </row>
    <row r="355" spans="1:17">
      <c r="A355" s="590"/>
      <c r="B355" s="661"/>
      <c r="C355" s="593"/>
      <c r="D355" s="662"/>
      <c r="E355" s="594"/>
      <c r="F355" s="595"/>
      <c r="K355" s="1020"/>
      <c r="L355" s="993"/>
      <c r="M355" s="959"/>
      <c r="N355" s="543"/>
      <c r="O355" s="994"/>
      <c r="P355" s="995"/>
      <c r="Q355" s="996"/>
    </row>
    <row r="356" spans="1:17" ht="15" thickBot="1">
      <c r="A356" s="590" t="s">
        <v>409</v>
      </c>
      <c r="B356" s="661" t="s">
        <v>481</v>
      </c>
      <c r="C356" s="593">
        <v>1</v>
      </c>
      <c r="D356" s="662" t="s">
        <v>459</v>
      </c>
      <c r="E356" s="594"/>
      <c r="F356" s="595">
        <f>E356*C356</f>
        <v>0</v>
      </c>
      <c r="K356" s="997" t="s">
        <v>276</v>
      </c>
      <c r="L356" s="998" t="s">
        <v>887</v>
      </c>
      <c r="M356" s="999"/>
      <c r="N356" s="1000" t="s">
        <v>266</v>
      </c>
      <c r="O356" s="1001" t="s">
        <v>277</v>
      </c>
      <c r="P356" s="1002" t="s">
        <v>278</v>
      </c>
      <c r="Q356" s="1003" t="s">
        <v>267</v>
      </c>
    </row>
    <row r="357" spans="1:17">
      <c r="A357" s="590"/>
      <c r="B357" s="661"/>
      <c r="C357" s="593"/>
      <c r="D357" s="662"/>
      <c r="E357" s="594"/>
      <c r="F357" s="595"/>
      <c r="K357" s="696"/>
      <c r="L357" s="696"/>
      <c r="M357" s="703"/>
      <c r="N357" s="967"/>
      <c r="O357" s="968"/>
      <c r="P357" s="969"/>
      <c r="Q357" s="970"/>
    </row>
    <row r="358" spans="1:17" ht="26.4">
      <c r="A358" s="590" t="s">
        <v>416</v>
      </c>
      <c r="B358" s="661" t="s">
        <v>482</v>
      </c>
      <c r="C358" s="593">
        <v>1</v>
      </c>
      <c r="D358" s="662" t="s">
        <v>459</v>
      </c>
      <c r="E358" s="594"/>
      <c r="F358" s="595">
        <f>E358*C358</f>
        <v>0</v>
      </c>
      <c r="K358" s="696">
        <f>K299+1</f>
        <v>7</v>
      </c>
      <c r="L358" s="696"/>
      <c r="M358" s="1032" t="s">
        <v>457</v>
      </c>
      <c r="N358" s="967"/>
      <c r="O358" s="968"/>
      <c r="P358" s="969"/>
      <c r="Q358" s="970"/>
    </row>
    <row r="359" spans="1:17">
      <c r="A359" s="590"/>
      <c r="B359" s="661"/>
      <c r="C359" s="593"/>
      <c r="D359" s="662"/>
      <c r="E359" s="594"/>
      <c r="F359" s="595"/>
      <c r="K359" s="696"/>
      <c r="L359" s="696"/>
      <c r="M359" s="703"/>
      <c r="N359" s="967"/>
      <c r="O359" s="968"/>
      <c r="P359" s="969"/>
      <c r="Q359" s="970"/>
    </row>
    <row r="360" spans="1:17">
      <c r="A360" s="590" t="s">
        <v>424</v>
      </c>
      <c r="B360" s="661" t="s">
        <v>483</v>
      </c>
      <c r="C360" s="593">
        <v>1</v>
      </c>
      <c r="D360" s="662" t="s">
        <v>459</v>
      </c>
      <c r="E360" s="594"/>
      <c r="F360" s="595">
        <f>E360*C360</f>
        <v>0</v>
      </c>
      <c r="K360" s="696"/>
      <c r="L360" s="696"/>
      <c r="M360" s="1075" t="s">
        <v>485</v>
      </c>
      <c r="N360" s="1076" t="s">
        <v>459</v>
      </c>
      <c r="O360" s="968">
        <v>1</v>
      </c>
      <c r="P360" s="969"/>
      <c r="Q360" s="970">
        <f>P360*O360</f>
        <v>0</v>
      </c>
    </row>
    <row r="361" spans="1:17">
      <c r="A361" s="590"/>
      <c r="B361" s="661"/>
      <c r="C361" s="593"/>
      <c r="D361" s="662"/>
      <c r="E361" s="594"/>
      <c r="F361" s="595"/>
      <c r="K361" s="696"/>
      <c r="L361" s="696"/>
      <c r="M361" s="1075"/>
      <c r="N361" s="1076"/>
      <c r="O361" s="968"/>
      <c r="P361" s="969"/>
      <c r="Q361" s="970"/>
    </row>
    <row r="362" spans="1:17">
      <c r="A362" s="590"/>
      <c r="B362" s="661"/>
      <c r="C362" s="593"/>
      <c r="D362" s="662"/>
      <c r="E362" s="594"/>
      <c r="F362" s="595"/>
      <c r="K362" s="696"/>
      <c r="L362" s="696"/>
      <c r="M362" s="1075" t="s">
        <v>486</v>
      </c>
      <c r="N362" s="1076" t="s">
        <v>459</v>
      </c>
      <c r="O362" s="968">
        <v>1</v>
      </c>
      <c r="P362" s="969"/>
      <c r="Q362" s="970">
        <f>P362*O362</f>
        <v>0</v>
      </c>
    </row>
    <row r="363" spans="1:17">
      <c r="A363" s="590"/>
      <c r="B363" s="661"/>
      <c r="C363" s="593"/>
      <c r="D363" s="662"/>
      <c r="E363" s="594"/>
      <c r="F363" s="595"/>
      <c r="K363" s="696"/>
      <c r="L363" s="696"/>
      <c r="M363" s="1075"/>
      <c r="N363" s="1076"/>
      <c r="O363" s="968"/>
      <c r="P363" s="969"/>
      <c r="Q363" s="970"/>
    </row>
    <row r="364" spans="1:17">
      <c r="A364" s="590"/>
      <c r="B364" s="661"/>
      <c r="C364" s="593"/>
      <c r="D364" s="662"/>
      <c r="E364" s="594"/>
      <c r="F364" s="595"/>
      <c r="K364" s="696"/>
      <c r="L364" s="696"/>
      <c r="M364" s="1075" t="s">
        <v>487</v>
      </c>
      <c r="N364" s="1076" t="s">
        <v>459</v>
      </c>
      <c r="O364" s="968">
        <v>1</v>
      </c>
      <c r="P364" s="969"/>
      <c r="Q364" s="970">
        <f>P364*O364</f>
        <v>0</v>
      </c>
    </row>
    <row r="365" spans="1:17">
      <c r="A365" s="590"/>
      <c r="B365" s="609"/>
      <c r="C365" s="646"/>
      <c r="D365" s="662"/>
      <c r="E365" s="594"/>
      <c r="F365" s="595"/>
      <c r="K365" s="696"/>
      <c r="L365" s="696"/>
      <c r="M365" s="1075"/>
      <c r="N365" s="1076"/>
      <c r="O365" s="968"/>
      <c r="P365" s="969"/>
      <c r="Q365" s="970"/>
    </row>
    <row r="366" spans="1:17">
      <c r="A366" s="590"/>
      <c r="B366" s="661"/>
      <c r="C366" s="593"/>
      <c r="D366" s="662"/>
      <c r="E366" s="594"/>
      <c r="F366" s="595"/>
      <c r="K366" s="696"/>
      <c r="L366" s="696"/>
      <c r="M366" s="1075" t="s">
        <v>488</v>
      </c>
      <c r="N366" s="1076" t="s">
        <v>459</v>
      </c>
      <c r="O366" s="968">
        <v>1</v>
      </c>
      <c r="P366" s="969"/>
      <c r="Q366" s="970">
        <f>P366*O366</f>
        <v>0</v>
      </c>
    </row>
    <row r="367" spans="1:17">
      <c r="A367" s="590"/>
      <c r="B367" s="661"/>
      <c r="C367" s="593"/>
      <c r="D367" s="662"/>
      <c r="E367" s="594"/>
      <c r="F367" s="595"/>
      <c r="K367" s="696"/>
      <c r="L367" s="696"/>
      <c r="M367" s="1075"/>
      <c r="N367" s="1076"/>
      <c r="O367" s="968"/>
      <c r="P367" s="969"/>
      <c r="Q367" s="970"/>
    </row>
    <row r="368" spans="1:17">
      <c r="A368" s="590"/>
      <c r="B368" s="661"/>
      <c r="C368" s="593"/>
      <c r="D368" s="662"/>
      <c r="E368" s="594"/>
      <c r="F368" s="595"/>
      <c r="K368" s="696"/>
      <c r="L368" s="696"/>
      <c r="M368" s="703"/>
      <c r="N368" s="967"/>
      <c r="O368" s="968"/>
      <c r="P368" s="969"/>
      <c r="Q368" s="970"/>
    </row>
    <row r="369" spans="1:17">
      <c r="A369" s="590"/>
      <c r="B369" s="661"/>
      <c r="C369" s="593"/>
      <c r="D369" s="662"/>
      <c r="E369" s="594"/>
      <c r="F369" s="595"/>
      <c r="K369" s="696"/>
      <c r="L369" s="696"/>
      <c r="M369" s="703"/>
      <c r="N369" s="967"/>
      <c r="O369" s="968"/>
      <c r="P369" s="969"/>
      <c r="Q369" s="970"/>
    </row>
    <row r="370" spans="1:17">
      <c r="A370" s="590"/>
      <c r="B370" s="661"/>
      <c r="C370" s="593"/>
      <c r="D370" s="662"/>
      <c r="E370" s="594"/>
      <c r="F370" s="595"/>
      <c r="K370" s="696"/>
      <c r="L370" s="696"/>
      <c r="M370" s="703"/>
      <c r="N370" s="967"/>
      <c r="O370" s="968"/>
      <c r="P370" s="969"/>
      <c r="Q370" s="970"/>
    </row>
    <row r="371" spans="1:17">
      <c r="A371" s="590"/>
      <c r="B371" s="661"/>
      <c r="C371" s="593"/>
      <c r="D371" s="662"/>
      <c r="E371" s="594"/>
      <c r="F371" s="595"/>
      <c r="K371" s="696"/>
      <c r="L371" s="696"/>
      <c r="M371" s="703"/>
      <c r="N371" s="967"/>
      <c r="O371" s="968"/>
      <c r="P371" s="969"/>
      <c r="Q371" s="970"/>
    </row>
    <row r="372" spans="1:17">
      <c r="A372" s="590"/>
      <c r="B372" s="661"/>
      <c r="C372" s="593"/>
      <c r="D372" s="662"/>
      <c r="E372" s="594"/>
      <c r="F372" s="595"/>
      <c r="K372" s="696"/>
      <c r="L372" s="696"/>
      <c r="M372" s="703"/>
      <c r="N372" s="967"/>
      <c r="O372" s="968"/>
      <c r="P372" s="969"/>
      <c r="Q372" s="970"/>
    </row>
    <row r="373" spans="1:17">
      <c r="A373" s="590"/>
      <c r="B373" s="661"/>
      <c r="C373" s="593"/>
      <c r="D373" s="662"/>
      <c r="E373" s="594"/>
      <c r="F373" s="595"/>
      <c r="K373" s="696"/>
      <c r="L373" s="696"/>
      <c r="M373" s="703"/>
      <c r="N373" s="967"/>
      <c r="O373" s="968"/>
      <c r="P373" s="969"/>
      <c r="Q373" s="970"/>
    </row>
    <row r="374" spans="1:17">
      <c r="A374" s="590"/>
      <c r="B374" s="661"/>
      <c r="C374" s="593"/>
      <c r="D374" s="662"/>
      <c r="E374" s="594"/>
      <c r="F374" s="595"/>
      <c r="K374" s="696"/>
      <c r="L374" s="696"/>
      <c r="M374" s="703"/>
      <c r="N374" s="967"/>
      <c r="O374" s="968"/>
      <c r="P374" s="969"/>
      <c r="Q374" s="970"/>
    </row>
    <row r="375" spans="1:17">
      <c r="A375" s="590"/>
      <c r="B375" s="661"/>
      <c r="C375" s="593"/>
      <c r="D375" s="662"/>
      <c r="E375" s="594"/>
      <c r="F375" s="595"/>
      <c r="K375" s="696"/>
      <c r="L375" s="696"/>
      <c r="M375" s="703"/>
      <c r="N375" s="967"/>
      <c r="O375" s="968"/>
      <c r="P375" s="969"/>
      <c r="Q375" s="970"/>
    </row>
    <row r="376" spans="1:17">
      <c r="A376" s="590"/>
      <c r="B376" s="661"/>
      <c r="C376" s="593"/>
      <c r="D376" s="662"/>
      <c r="E376" s="594"/>
      <c r="F376" s="595"/>
      <c r="K376" s="696"/>
      <c r="L376" s="696"/>
      <c r="M376" s="703"/>
      <c r="N376" s="967"/>
      <c r="O376" s="544"/>
      <c r="P376" s="969"/>
      <c r="Q376" s="970"/>
    </row>
    <row r="377" spans="1:17">
      <c r="A377" s="590"/>
      <c r="B377" s="661"/>
      <c r="C377" s="593"/>
      <c r="D377" s="662"/>
      <c r="E377" s="594"/>
      <c r="F377" s="595"/>
      <c r="K377" s="696"/>
      <c r="L377" s="696"/>
      <c r="M377" s="703"/>
      <c r="N377" s="967"/>
      <c r="O377" s="968"/>
      <c r="P377" s="969"/>
      <c r="Q377" s="970"/>
    </row>
    <row r="378" spans="1:17">
      <c r="A378" s="590"/>
      <c r="B378" s="661"/>
      <c r="C378" s="593"/>
      <c r="D378" s="662"/>
      <c r="E378" s="594"/>
      <c r="F378" s="595"/>
      <c r="K378" s="696"/>
      <c r="L378" s="696"/>
      <c r="M378" s="1080"/>
      <c r="N378" s="967"/>
      <c r="O378" s="544"/>
      <c r="P378" s="969"/>
      <c r="Q378" s="970"/>
    </row>
    <row r="379" spans="1:17">
      <c r="A379" s="590"/>
      <c r="B379" s="661"/>
      <c r="C379" s="593"/>
      <c r="D379" s="662"/>
      <c r="E379" s="594"/>
      <c r="F379" s="595"/>
      <c r="K379" s="696"/>
      <c r="L379" s="696"/>
      <c r="M379" s="1040"/>
      <c r="N379" s="967"/>
      <c r="O379" s="1041"/>
      <c r="P379" s="969"/>
      <c r="Q379" s="970"/>
    </row>
    <row r="380" spans="1:17">
      <c r="A380" s="590"/>
      <c r="B380" s="661"/>
      <c r="C380" s="593"/>
      <c r="D380" s="662"/>
      <c r="E380" s="594"/>
      <c r="F380" s="595"/>
      <c r="K380" s="696"/>
      <c r="L380" s="696"/>
      <c r="M380" s="1040"/>
      <c r="N380" s="967"/>
      <c r="O380" s="1041"/>
      <c r="P380" s="969"/>
      <c r="Q380" s="970"/>
    </row>
    <row r="381" spans="1:17">
      <c r="A381" s="590"/>
      <c r="B381" s="661"/>
      <c r="C381" s="593"/>
      <c r="D381" s="662"/>
      <c r="E381" s="594"/>
      <c r="F381" s="595"/>
      <c r="K381" s="696"/>
      <c r="L381" s="696"/>
      <c r="M381" s="1040"/>
      <c r="N381" s="967"/>
      <c r="O381" s="1041"/>
      <c r="P381" s="969"/>
      <c r="Q381" s="970"/>
    </row>
    <row r="382" spans="1:17">
      <c r="A382" s="590"/>
      <c r="B382" s="661"/>
      <c r="C382" s="593"/>
      <c r="D382" s="662"/>
      <c r="E382" s="594"/>
      <c r="F382" s="595"/>
      <c r="K382" s="696"/>
      <c r="L382" s="696"/>
      <c r="M382" s="1040"/>
      <c r="N382" s="967"/>
      <c r="O382" s="1041"/>
      <c r="P382" s="969"/>
      <c r="Q382" s="970"/>
    </row>
    <row r="383" spans="1:17">
      <c r="A383" s="590"/>
      <c r="B383" s="661"/>
      <c r="C383" s="593"/>
      <c r="D383" s="662"/>
      <c r="E383" s="594"/>
      <c r="F383" s="595"/>
      <c r="K383" s="696"/>
      <c r="L383" s="696"/>
      <c r="M383" s="1081"/>
      <c r="N383" s="967"/>
      <c r="O383" s="1041"/>
      <c r="P383" s="969"/>
      <c r="Q383" s="970"/>
    </row>
    <row r="384" spans="1:17">
      <c r="A384" s="590"/>
      <c r="B384" s="661"/>
      <c r="C384" s="593"/>
      <c r="D384" s="662"/>
      <c r="E384" s="594"/>
      <c r="F384" s="595"/>
      <c r="K384" s="696"/>
      <c r="L384" s="696"/>
      <c r="M384" s="1040"/>
      <c r="N384" s="967"/>
      <c r="O384" s="1041"/>
      <c r="P384" s="969"/>
      <c r="Q384" s="970"/>
    </row>
    <row r="385" spans="1:17">
      <c r="A385" s="590"/>
      <c r="B385" s="661"/>
      <c r="C385" s="593"/>
      <c r="D385" s="662"/>
      <c r="E385" s="594"/>
      <c r="F385" s="595"/>
      <c r="K385" s="696"/>
      <c r="L385" s="696"/>
      <c r="M385" s="1040"/>
      <c r="N385" s="967"/>
      <c r="O385" s="1041"/>
      <c r="P385" s="969"/>
      <c r="Q385" s="970"/>
    </row>
    <row r="386" spans="1:17">
      <c r="A386" s="590"/>
      <c r="B386" s="661"/>
      <c r="C386" s="593"/>
      <c r="D386" s="662"/>
      <c r="E386" s="594"/>
      <c r="F386" s="595"/>
      <c r="K386" s="696"/>
      <c r="L386" s="696"/>
      <c r="M386" s="1080"/>
      <c r="N386" s="967"/>
      <c r="O386" s="544"/>
      <c r="P386" s="969"/>
      <c r="Q386" s="970"/>
    </row>
    <row r="387" spans="1:17">
      <c r="A387" s="590"/>
      <c r="B387" s="661"/>
      <c r="C387" s="593"/>
      <c r="D387" s="662"/>
      <c r="E387" s="594"/>
      <c r="F387" s="595"/>
      <c r="K387" s="696"/>
      <c r="L387" s="696"/>
      <c r="M387" s="1080"/>
      <c r="N387" s="967"/>
      <c r="O387" s="1041"/>
      <c r="P387" s="969"/>
      <c r="Q387" s="970"/>
    </row>
    <row r="388" spans="1:17">
      <c r="A388" s="590"/>
      <c r="B388" s="661"/>
      <c r="C388" s="593"/>
      <c r="D388" s="662"/>
      <c r="E388" s="594"/>
      <c r="F388" s="595"/>
      <c r="K388" s="696"/>
      <c r="L388" s="696"/>
      <c r="M388" s="1080"/>
      <c r="N388" s="967"/>
      <c r="O388" s="544"/>
      <c r="P388" s="969"/>
      <c r="Q388" s="970"/>
    </row>
    <row r="389" spans="1:17">
      <c r="A389" s="590"/>
      <c r="B389" s="661"/>
      <c r="C389" s="593"/>
      <c r="D389" s="662"/>
      <c r="E389" s="594"/>
      <c r="F389" s="595"/>
      <c r="K389" s="696"/>
      <c r="L389" s="696"/>
      <c r="M389" s="1080"/>
      <c r="N389" s="967"/>
      <c r="O389" s="1041"/>
      <c r="P389" s="969"/>
      <c r="Q389" s="970"/>
    </row>
    <row r="390" spans="1:17">
      <c r="A390" s="590"/>
      <c r="B390" s="661"/>
      <c r="C390" s="593"/>
      <c r="D390" s="662"/>
      <c r="E390" s="594"/>
      <c r="F390" s="595"/>
      <c r="K390" s="696"/>
      <c r="L390" s="696"/>
      <c r="M390" s="1080"/>
      <c r="N390" s="967"/>
      <c r="O390" s="544"/>
      <c r="P390" s="969"/>
      <c r="Q390" s="970"/>
    </row>
    <row r="391" spans="1:17">
      <c r="A391" s="590"/>
      <c r="B391" s="661"/>
      <c r="C391" s="593"/>
      <c r="D391" s="662"/>
      <c r="E391" s="594"/>
      <c r="F391" s="595"/>
      <c r="K391" s="696"/>
      <c r="L391" s="696"/>
      <c r="M391" s="1080"/>
      <c r="N391" s="967"/>
      <c r="O391" s="1041"/>
      <c r="P391" s="969"/>
      <c r="Q391" s="970"/>
    </row>
    <row r="392" spans="1:17">
      <c r="A392" s="590"/>
      <c r="B392" s="661"/>
      <c r="C392" s="593"/>
      <c r="D392" s="662"/>
      <c r="E392" s="594"/>
      <c r="F392" s="595"/>
      <c r="K392" s="696"/>
      <c r="L392" s="696"/>
      <c r="M392" s="1080"/>
      <c r="N392" s="967"/>
      <c r="O392" s="544"/>
      <c r="P392" s="969"/>
      <c r="Q392" s="970"/>
    </row>
    <row r="393" spans="1:17">
      <c r="A393" s="590"/>
      <c r="B393" s="661"/>
      <c r="C393" s="593"/>
      <c r="D393" s="662"/>
      <c r="E393" s="594"/>
      <c r="F393" s="595"/>
      <c r="K393" s="696"/>
      <c r="L393" s="696"/>
      <c r="M393" s="1080"/>
      <c r="N393" s="967"/>
      <c r="O393" s="1041"/>
      <c r="P393" s="969"/>
      <c r="Q393" s="970"/>
    </row>
    <row r="394" spans="1:17">
      <c r="A394" s="590"/>
      <c r="B394" s="661"/>
      <c r="C394" s="593"/>
      <c r="D394" s="662"/>
      <c r="E394" s="594"/>
      <c r="F394" s="595"/>
      <c r="K394" s="696"/>
      <c r="L394" s="696"/>
      <c r="M394" s="1080"/>
      <c r="N394" s="967"/>
      <c r="O394" s="544"/>
      <c r="P394" s="969"/>
      <c r="Q394" s="970"/>
    </row>
    <row r="395" spans="1:17">
      <c r="A395" s="590"/>
      <c r="B395" s="661"/>
      <c r="C395" s="593"/>
      <c r="D395" s="662"/>
      <c r="E395" s="594"/>
      <c r="F395" s="595"/>
      <c r="K395" s="696"/>
      <c r="L395" s="696"/>
      <c r="M395" s="1080"/>
      <c r="N395" s="967"/>
      <c r="O395" s="544"/>
      <c r="P395" s="969"/>
      <c r="Q395" s="970"/>
    </row>
    <row r="396" spans="1:17">
      <c r="A396" s="590"/>
      <c r="B396" s="609"/>
      <c r="C396" s="646"/>
      <c r="D396" s="662"/>
      <c r="E396" s="594"/>
      <c r="F396" s="595"/>
      <c r="K396" s="696"/>
      <c r="L396" s="696"/>
      <c r="M396" s="1080"/>
      <c r="N396" s="967"/>
      <c r="O396" s="544"/>
      <c r="P396" s="969"/>
      <c r="Q396" s="970"/>
    </row>
    <row r="397" spans="1:17" ht="15" thickBot="1">
      <c r="A397" s="590"/>
      <c r="B397" s="665"/>
      <c r="C397" s="593"/>
      <c r="D397" s="662"/>
      <c r="E397" s="594"/>
      <c r="F397" s="595"/>
      <c r="K397" s="696"/>
      <c r="L397" s="696"/>
      <c r="M397" s="1080"/>
      <c r="N397" s="967"/>
      <c r="O397" s="544"/>
      <c r="P397" s="969"/>
      <c r="Q397" s="970"/>
    </row>
    <row r="398" spans="1:17">
      <c r="A398" s="612"/>
      <c r="B398" s="613"/>
      <c r="C398" s="615"/>
      <c r="D398" s="614"/>
      <c r="E398" s="616"/>
      <c r="F398" s="617"/>
      <c r="K398" s="696"/>
      <c r="L398" s="696"/>
      <c r="M398" s="1080"/>
      <c r="N398" s="967"/>
      <c r="O398" s="544"/>
      <c r="P398" s="969"/>
      <c r="Q398" s="970"/>
    </row>
    <row r="399" spans="1:17">
      <c r="A399" s="618" t="s">
        <v>310</v>
      </c>
      <c r="B399" s="619" t="s">
        <v>289</v>
      </c>
      <c r="C399" s="621"/>
      <c r="D399" s="620"/>
      <c r="E399" s="622"/>
      <c r="F399" s="623">
        <f>SUM(F347:F397)</f>
        <v>0</v>
      </c>
      <c r="H399" s="645"/>
      <c r="K399" s="696"/>
      <c r="L399" s="696"/>
      <c r="M399" s="1080"/>
      <c r="N399" s="967"/>
      <c r="O399" s="544"/>
      <c r="P399" s="969"/>
      <c r="Q399" s="970"/>
    </row>
    <row r="400" spans="1:17">
      <c r="A400" s="624"/>
      <c r="B400" s="625"/>
      <c r="C400" s="627"/>
      <c r="D400" s="626"/>
      <c r="E400" s="628"/>
      <c r="F400" s="629"/>
      <c r="K400" s="696"/>
      <c r="L400" s="696"/>
      <c r="M400" s="1080"/>
      <c r="N400" s="967"/>
      <c r="O400" s="544"/>
      <c r="P400" s="969"/>
      <c r="Q400" s="970"/>
    </row>
    <row r="401" spans="1:17" ht="17.399999999999999">
      <c r="A401" s="568"/>
      <c r="B401" s="663"/>
      <c r="C401" s="570"/>
      <c r="D401" s="569"/>
      <c r="E401" s="571"/>
      <c r="F401" s="572"/>
      <c r="K401" s="696"/>
      <c r="L401" s="696"/>
      <c r="M401" s="1080"/>
      <c r="N401" s="967"/>
      <c r="O401" s="544"/>
      <c r="P401" s="969"/>
      <c r="Q401" s="970"/>
    </row>
    <row r="402" spans="1:17">
      <c r="A402" s="574"/>
      <c r="B402" s="664"/>
      <c r="C402" s="576"/>
      <c r="D402" s="575"/>
      <c r="E402" s="577"/>
      <c r="F402" s="578"/>
      <c r="K402" s="696"/>
      <c r="L402" s="696"/>
      <c r="M402" s="1080"/>
      <c r="N402" s="967"/>
      <c r="O402" s="544"/>
      <c r="P402" s="969"/>
      <c r="Q402" s="970"/>
    </row>
    <row r="403" spans="1:17">
      <c r="A403" s="574"/>
      <c r="B403" s="664"/>
      <c r="C403" s="576"/>
      <c r="D403" s="575"/>
      <c r="E403" s="577"/>
      <c r="F403" s="578"/>
      <c r="K403" s="696"/>
      <c r="L403" s="696"/>
      <c r="M403" s="1080"/>
      <c r="N403" s="967"/>
      <c r="O403" s="544"/>
      <c r="P403" s="969"/>
      <c r="Q403" s="970"/>
    </row>
    <row r="404" spans="1:17">
      <c r="A404" s="618"/>
      <c r="B404" s="657"/>
      <c r="C404" s="581"/>
      <c r="D404" s="580"/>
      <c r="E404" s="582"/>
      <c r="F404" s="583"/>
      <c r="K404" s="696"/>
      <c r="L404" s="696"/>
      <c r="M404" s="1080"/>
      <c r="N404" s="967"/>
      <c r="O404" s="544"/>
      <c r="P404" s="969"/>
      <c r="Q404" s="970"/>
    </row>
    <row r="405" spans="1:17" ht="15" thickBot="1">
      <c r="A405" s="584" t="s">
        <v>276</v>
      </c>
      <c r="B405" s="585"/>
      <c r="C405" s="587" t="s">
        <v>277</v>
      </c>
      <c r="D405" s="586" t="s">
        <v>266</v>
      </c>
      <c r="E405" s="588" t="s">
        <v>278</v>
      </c>
      <c r="F405" s="589" t="s">
        <v>267</v>
      </c>
      <c r="K405" s="696"/>
      <c r="L405" s="696"/>
      <c r="M405" s="1080"/>
      <c r="N405" s="967"/>
      <c r="O405" s="544"/>
      <c r="P405" s="969"/>
      <c r="Q405" s="970"/>
    </row>
    <row r="406" spans="1:17">
      <c r="A406" s="590"/>
      <c r="B406" s="591"/>
      <c r="C406" s="593"/>
      <c r="D406" s="592"/>
      <c r="E406" s="594"/>
      <c r="F406" s="595"/>
      <c r="K406" s="696"/>
      <c r="L406" s="696"/>
      <c r="M406" s="1080"/>
      <c r="N406" s="967"/>
      <c r="O406" s="544"/>
      <c r="P406" s="969"/>
      <c r="Q406" s="970"/>
    </row>
    <row r="407" spans="1:17" ht="27" thickBot="1">
      <c r="A407" s="590" t="s">
        <v>484</v>
      </c>
      <c r="B407" s="651" t="s">
        <v>457</v>
      </c>
      <c r="C407" s="593"/>
      <c r="D407" s="592"/>
      <c r="E407" s="594"/>
      <c r="F407" s="595"/>
      <c r="K407" s="696"/>
      <c r="L407" s="696"/>
      <c r="M407" s="703"/>
      <c r="N407" s="967"/>
      <c r="O407" s="968"/>
      <c r="P407" s="969"/>
      <c r="Q407" s="970"/>
    </row>
    <row r="408" spans="1:17">
      <c r="A408" s="590"/>
      <c r="B408" s="591"/>
      <c r="C408" s="593"/>
      <c r="D408" s="592"/>
      <c r="E408" s="594"/>
      <c r="F408" s="595"/>
      <c r="K408" s="1014"/>
      <c r="L408" s="1014"/>
      <c r="M408" s="1015"/>
      <c r="N408" s="1016"/>
      <c r="O408" s="1017"/>
      <c r="P408" s="1018"/>
      <c r="Q408" s="1019"/>
    </row>
    <row r="409" spans="1:17">
      <c r="A409" s="590" t="s">
        <v>294</v>
      </c>
      <c r="B409" s="661" t="s">
        <v>485</v>
      </c>
      <c r="C409" s="593">
        <v>1</v>
      </c>
      <c r="D409" s="662" t="s">
        <v>459</v>
      </c>
      <c r="E409" s="594"/>
      <c r="F409" s="595">
        <f>E409*C409</f>
        <v>0</v>
      </c>
      <c r="K409" s="1020"/>
      <c r="L409" s="1020"/>
      <c r="M409" s="1021" t="s">
        <v>289</v>
      </c>
      <c r="N409" s="1022"/>
      <c r="O409" s="1023"/>
      <c r="P409" s="1024"/>
      <c r="Q409" s="1010">
        <f>SUM(Q357:Q406)</f>
        <v>0</v>
      </c>
    </row>
    <row r="410" spans="1:17">
      <c r="A410" s="590"/>
      <c r="B410" s="661"/>
      <c r="C410" s="593"/>
      <c r="D410" s="662"/>
      <c r="E410" s="594"/>
      <c r="F410" s="595"/>
      <c r="K410" s="1025"/>
      <c r="L410" s="1025"/>
      <c r="M410" s="1026"/>
      <c r="N410" s="1027"/>
      <c r="O410" s="1028"/>
      <c r="P410" s="1029"/>
      <c r="Q410" s="1030"/>
    </row>
    <row r="411" spans="1:17" ht="17.399999999999999">
      <c r="A411" s="590" t="s">
        <v>339</v>
      </c>
      <c r="B411" s="661" t="s">
        <v>486</v>
      </c>
      <c r="C411" s="593">
        <v>1</v>
      </c>
      <c r="D411" s="662" t="s">
        <v>459</v>
      </c>
      <c r="E411" s="594"/>
      <c r="F411" s="595">
        <f>E411*C411</f>
        <v>0</v>
      </c>
      <c r="K411" s="980"/>
      <c r="L411" s="981"/>
      <c r="M411" s="982"/>
      <c r="N411" s="982"/>
      <c r="O411" s="983"/>
      <c r="P411" s="984"/>
      <c r="Q411" s="985"/>
    </row>
    <row r="412" spans="1:17">
      <c r="A412" s="590"/>
      <c r="B412" s="661"/>
      <c r="C412" s="593"/>
      <c r="D412" s="662"/>
      <c r="E412" s="594"/>
      <c r="F412" s="595"/>
      <c r="K412" s="986"/>
      <c r="L412" s="987"/>
      <c r="M412" s="988"/>
      <c r="N412" s="988"/>
      <c r="O412" s="989"/>
      <c r="P412" s="990"/>
      <c r="Q412" s="991"/>
    </row>
    <row r="413" spans="1:17">
      <c r="A413" s="590" t="s">
        <v>340</v>
      </c>
      <c r="B413" s="661" t="s">
        <v>487</v>
      </c>
      <c r="C413" s="593">
        <v>1</v>
      </c>
      <c r="D413" s="662" t="s">
        <v>459</v>
      </c>
      <c r="E413" s="594"/>
      <c r="F413" s="595">
        <f>E413*C413</f>
        <v>0</v>
      </c>
      <c r="K413" s="986"/>
      <c r="L413" s="987"/>
      <c r="M413" s="988"/>
      <c r="N413" s="988"/>
      <c r="O413" s="989"/>
      <c r="P413" s="990"/>
      <c r="Q413" s="991"/>
    </row>
    <row r="414" spans="1:17">
      <c r="A414" s="590"/>
      <c r="B414" s="661"/>
      <c r="C414" s="593"/>
      <c r="D414" s="662"/>
      <c r="E414" s="594"/>
      <c r="F414" s="595"/>
      <c r="K414" s="992"/>
      <c r="L414" s="993"/>
      <c r="M414" s="543"/>
      <c r="N414" s="543"/>
      <c r="O414" s="994"/>
      <c r="P414" s="995"/>
      <c r="Q414" s="996"/>
    </row>
    <row r="415" spans="1:17" ht="15" thickBot="1">
      <c r="A415" s="590" t="s">
        <v>409</v>
      </c>
      <c r="B415" s="661" t="s">
        <v>488</v>
      </c>
      <c r="C415" s="593">
        <v>1</v>
      </c>
      <c r="D415" s="662" t="s">
        <v>459</v>
      </c>
      <c r="E415" s="594"/>
      <c r="F415" s="595">
        <f>E415*C415</f>
        <v>0</v>
      </c>
      <c r="K415" s="997" t="s">
        <v>276</v>
      </c>
      <c r="L415" s="998" t="s">
        <v>887</v>
      </c>
      <c r="M415" s="999"/>
      <c r="N415" s="1000" t="s">
        <v>266</v>
      </c>
      <c r="O415" s="1001" t="s">
        <v>277</v>
      </c>
      <c r="P415" s="1002" t="s">
        <v>278</v>
      </c>
      <c r="Q415" s="1003" t="s">
        <v>267</v>
      </c>
    </row>
    <row r="416" spans="1:17">
      <c r="A416" s="590"/>
      <c r="B416" s="661"/>
      <c r="C416" s="593"/>
      <c r="D416" s="662"/>
      <c r="E416" s="594"/>
      <c r="F416" s="595"/>
      <c r="K416" s="696"/>
      <c r="L416" s="696"/>
      <c r="M416" s="703"/>
      <c r="N416" s="967"/>
      <c r="O416" s="968"/>
      <c r="P416" s="969"/>
      <c r="Q416" s="970"/>
    </row>
    <row r="417" spans="1:17">
      <c r="A417" s="590"/>
      <c r="B417" s="591"/>
      <c r="C417" s="593"/>
      <c r="D417" s="592"/>
      <c r="E417" s="594"/>
      <c r="F417" s="595"/>
      <c r="K417" s="1031">
        <f>K358+1</f>
        <v>8</v>
      </c>
      <c r="L417" s="696"/>
      <c r="M417" s="1032" t="s">
        <v>300</v>
      </c>
      <c r="N417" s="967"/>
      <c r="O417" s="1041"/>
      <c r="P417" s="969"/>
      <c r="Q417" s="970"/>
    </row>
    <row r="418" spans="1:17">
      <c r="A418" s="590"/>
      <c r="B418" s="591"/>
      <c r="C418" s="593"/>
      <c r="D418" s="592"/>
      <c r="E418" s="594"/>
      <c r="F418" s="595"/>
      <c r="K418" s="696"/>
      <c r="L418" s="696"/>
      <c r="M418" s="1075"/>
      <c r="N418" s="1076"/>
      <c r="O418" s="968"/>
      <c r="P418" s="969"/>
      <c r="Q418" s="970"/>
    </row>
    <row r="419" spans="1:17">
      <c r="A419" s="590"/>
      <c r="B419" s="591"/>
      <c r="C419" s="593"/>
      <c r="D419" s="592"/>
      <c r="E419" s="594"/>
      <c r="F419" s="595"/>
      <c r="K419" s="696"/>
      <c r="L419" s="696"/>
      <c r="M419" s="1082" t="s">
        <v>458</v>
      </c>
      <c r="N419" s="1076" t="s">
        <v>459</v>
      </c>
      <c r="O419" s="968">
        <v>1</v>
      </c>
      <c r="P419" s="969"/>
      <c r="Q419" s="970">
        <f>P419*O419</f>
        <v>0</v>
      </c>
    </row>
    <row r="420" spans="1:17">
      <c r="A420" s="590"/>
      <c r="B420" s="591"/>
      <c r="C420" s="593"/>
      <c r="D420" s="592"/>
      <c r="E420" s="594"/>
      <c r="F420" s="595"/>
      <c r="K420" s="696"/>
      <c r="L420" s="696"/>
      <c r="M420" s="1082"/>
      <c r="N420" s="1076"/>
      <c r="O420" s="968"/>
      <c r="P420" s="969"/>
      <c r="Q420" s="970"/>
    </row>
    <row r="421" spans="1:17">
      <c r="A421" s="590"/>
      <c r="B421" s="591"/>
      <c r="C421" s="593"/>
      <c r="D421" s="592"/>
      <c r="E421" s="594"/>
      <c r="F421" s="595"/>
      <c r="K421" s="696"/>
      <c r="L421" s="696"/>
      <c r="M421" s="1082" t="s">
        <v>460</v>
      </c>
      <c r="N421" s="1076" t="s">
        <v>459</v>
      </c>
      <c r="O421" s="968">
        <v>1</v>
      </c>
      <c r="P421" s="969"/>
      <c r="Q421" s="970">
        <f>P421*O421</f>
        <v>0</v>
      </c>
    </row>
    <row r="422" spans="1:17">
      <c r="A422" s="590"/>
      <c r="B422" s="591"/>
      <c r="C422" s="593"/>
      <c r="D422" s="592"/>
      <c r="E422" s="594"/>
      <c r="F422" s="595"/>
      <c r="K422" s="696"/>
      <c r="L422" s="696"/>
      <c r="M422" s="1082"/>
      <c r="N422" s="1076"/>
      <c r="O422" s="968"/>
      <c r="P422" s="969"/>
      <c r="Q422" s="970"/>
    </row>
    <row r="423" spans="1:17">
      <c r="A423" s="590"/>
      <c r="B423" s="591"/>
      <c r="C423" s="593"/>
      <c r="D423" s="592"/>
      <c r="E423" s="594"/>
      <c r="F423" s="595"/>
      <c r="K423" s="696"/>
      <c r="L423" s="696"/>
      <c r="M423" s="1082" t="s">
        <v>461</v>
      </c>
      <c r="N423" s="1076" t="s">
        <v>459</v>
      </c>
      <c r="O423" s="968">
        <v>1</v>
      </c>
      <c r="P423" s="969"/>
      <c r="Q423" s="970">
        <f>P423*O423</f>
        <v>0</v>
      </c>
    </row>
    <row r="424" spans="1:17">
      <c r="A424" s="590"/>
      <c r="B424" s="591"/>
      <c r="C424" s="593"/>
      <c r="D424" s="592"/>
      <c r="E424" s="594"/>
      <c r="F424" s="595"/>
      <c r="K424" s="696"/>
      <c r="L424" s="696"/>
      <c r="M424" s="1075"/>
      <c r="N424" s="1076"/>
      <c r="O424" s="968"/>
      <c r="P424" s="969"/>
      <c r="Q424" s="970"/>
    </row>
    <row r="425" spans="1:17">
      <c r="A425" s="590"/>
      <c r="B425" s="591"/>
      <c r="C425" s="646"/>
      <c r="D425" s="592"/>
      <c r="E425" s="594"/>
      <c r="F425" s="595"/>
      <c r="K425" s="696"/>
      <c r="L425" s="696"/>
      <c r="M425" s="1082" t="s">
        <v>462</v>
      </c>
      <c r="N425" s="1076" t="s">
        <v>459</v>
      </c>
      <c r="O425" s="968">
        <v>1</v>
      </c>
      <c r="P425" s="969"/>
      <c r="Q425" s="970">
        <f>P425*O425</f>
        <v>0</v>
      </c>
    </row>
    <row r="426" spans="1:17">
      <c r="A426" s="590"/>
      <c r="B426" s="591"/>
      <c r="C426" s="593"/>
      <c r="D426" s="592"/>
      <c r="E426" s="594"/>
      <c r="F426" s="595"/>
      <c r="K426" s="696"/>
      <c r="L426" s="696"/>
      <c r="M426" s="1075"/>
      <c r="N426" s="1076"/>
      <c r="O426" s="968"/>
      <c r="P426" s="969"/>
      <c r="Q426" s="970"/>
    </row>
    <row r="427" spans="1:17">
      <c r="A427" s="590"/>
      <c r="B427" s="666"/>
      <c r="C427" s="646"/>
      <c r="D427" s="592"/>
      <c r="E427" s="594"/>
      <c r="F427" s="595"/>
      <c r="K427" s="696"/>
      <c r="L427" s="696"/>
      <c r="M427" s="1082" t="s">
        <v>489</v>
      </c>
      <c r="N427" s="1076" t="s">
        <v>459</v>
      </c>
      <c r="O427" s="968">
        <v>1</v>
      </c>
      <c r="P427" s="969"/>
      <c r="Q427" s="970">
        <f>P427*O427</f>
        <v>0</v>
      </c>
    </row>
    <row r="428" spans="1:17">
      <c r="A428" s="590"/>
      <c r="B428" s="609"/>
      <c r="C428" s="610"/>
      <c r="D428" s="592"/>
      <c r="E428" s="594"/>
      <c r="F428" s="595"/>
      <c r="K428" s="696"/>
      <c r="L428" s="696"/>
      <c r="M428" s="1082"/>
      <c r="N428" s="1076"/>
      <c r="O428" s="968"/>
      <c r="P428" s="969"/>
      <c r="Q428" s="970"/>
    </row>
    <row r="429" spans="1:17">
      <c r="A429" s="590"/>
      <c r="B429" s="609"/>
      <c r="C429" s="610"/>
      <c r="D429" s="592"/>
      <c r="E429" s="594"/>
      <c r="F429" s="595"/>
      <c r="K429" s="696"/>
      <c r="L429" s="696"/>
      <c r="M429" s="1082" t="s">
        <v>490</v>
      </c>
      <c r="N429" s="1076" t="s">
        <v>459</v>
      </c>
      <c r="O429" s="968">
        <v>1</v>
      </c>
      <c r="P429" s="969"/>
      <c r="Q429" s="970">
        <f>P429*O429</f>
        <v>0</v>
      </c>
    </row>
    <row r="430" spans="1:17">
      <c r="A430" s="590"/>
      <c r="B430" s="609"/>
      <c r="C430" s="610"/>
      <c r="D430" s="592"/>
      <c r="E430" s="594"/>
      <c r="F430" s="595"/>
      <c r="K430" s="696"/>
      <c r="L430" s="696"/>
      <c r="M430" s="1082"/>
      <c r="N430" s="1076"/>
      <c r="O430" s="968"/>
      <c r="P430" s="969"/>
      <c r="Q430" s="970"/>
    </row>
    <row r="431" spans="1:17">
      <c r="A431" s="590"/>
      <c r="B431" s="609"/>
      <c r="C431" s="610"/>
      <c r="D431" s="592"/>
      <c r="E431" s="594"/>
      <c r="F431" s="595"/>
      <c r="K431" s="696"/>
      <c r="L431" s="696"/>
      <c r="M431" s="1082" t="s">
        <v>491</v>
      </c>
      <c r="N431" s="1076" t="s">
        <v>459</v>
      </c>
      <c r="O431" s="968">
        <v>1</v>
      </c>
      <c r="P431" s="969"/>
      <c r="Q431" s="970">
        <f>P431*O431</f>
        <v>0</v>
      </c>
    </row>
    <row r="432" spans="1:17">
      <c r="A432" s="590"/>
      <c r="B432" s="667"/>
      <c r="C432" s="610"/>
      <c r="D432" s="592"/>
      <c r="E432" s="594"/>
      <c r="F432" s="595"/>
      <c r="K432" s="696"/>
      <c r="L432" s="696"/>
      <c r="M432" s="1075"/>
      <c r="N432" s="1076"/>
      <c r="O432" s="968"/>
      <c r="P432" s="969"/>
      <c r="Q432" s="970"/>
    </row>
    <row r="433" spans="1:17">
      <c r="A433" s="590"/>
      <c r="B433" s="609"/>
      <c r="C433" s="610"/>
      <c r="D433" s="592"/>
      <c r="E433" s="594"/>
      <c r="F433" s="595"/>
      <c r="K433" s="696"/>
      <c r="L433" s="696"/>
      <c r="M433" s="1082" t="s">
        <v>492</v>
      </c>
      <c r="N433" s="1076" t="s">
        <v>459</v>
      </c>
      <c r="O433" s="968">
        <v>1</v>
      </c>
      <c r="P433" s="969"/>
      <c r="Q433" s="970">
        <f>P433*O433</f>
        <v>0</v>
      </c>
    </row>
    <row r="434" spans="1:17">
      <c r="A434" s="590"/>
      <c r="B434" s="609"/>
      <c r="C434" s="610"/>
      <c r="D434" s="592"/>
      <c r="E434" s="594"/>
      <c r="F434" s="595"/>
      <c r="K434" s="696"/>
      <c r="L434" s="696"/>
      <c r="M434" s="1082"/>
      <c r="N434" s="1076"/>
      <c r="O434" s="968"/>
      <c r="P434" s="969"/>
      <c r="Q434" s="970"/>
    </row>
    <row r="435" spans="1:17">
      <c r="A435" s="590"/>
      <c r="B435" s="666"/>
      <c r="C435" s="646"/>
      <c r="D435" s="592"/>
      <c r="E435" s="594"/>
      <c r="F435" s="595"/>
      <c r="K435" s="696"/>
      <c r="L435" s="696"/>
      <c r="M435" s="1082" t="s">
        <v>493</v>
      </c>
      <c r="N435" s="1076" t="s">
        <v>459</v>
      </c>
      <c r="O435" s="968">
        <v>1</v>
      </c>
      <c r="P435" s="969"/>
      <c r="Q435" s="970">
        <f>P435*O435</f>
        <v>0</v>
      </c>
    </row>
    <row r="436" spans="1:17">
      <c r="A436" s="590"/>
      <c r="B436" s="666"/>
      <c r="C436" s="610"/>
      <c r="D436" s="592"/>
      <c r="E436" s="594"/>
      <c r="F436" s="595"/>
      <c r="K436" s="696"/>
      <c r="L436" s="696"/>
      <c r="M436" s="1075"/>
      <c r="N436" s="1076"/>
      <c r="O436" s="968"/>
      <c r="P436" s="969"/>
      <c r="Q436" s="970"/>
    </row>
    <row r="437" spans="1:17">
      <c r="A437" s="590"/>
      <c r="B437" s="666"/>
      <c r="C437" s="646"/>
      <c r="D437" s="592"/>
      <c r="E437" s="594"/>
      <c r="F437" s="595"/>
      <c r="K437" s="696"/>
      <c r="L437" s="696"/>
      <c r="M437" s="1075"/>
      <c r="N437" s="1076"/>
      <c r="O437" s="968"/>
      <c r="P437" s="969"/>
      <c r="Q437" s="970"/>
    </row>
    <row r="438" spans="1:17">
      <c r="A438" s="590"/>
      <c r="B438" s="666"/>
      <c r="C438" s="610"/>
      <c r="D438" s="592"/>
      <c r="E438" s="594"/>
      <c r="F438" s="595"/>
      <c r="K438" s="696"/>
      <c r="L438" s="696"/>
      <c r="M438" s="1075"/>
      <c r="N438" s="1076"/>
      <c r="O438" s="968"/>
      <c r="P438" s="969"/>
      <c r="Q438" s="970"/>
    </row>
    <row r="439" spans="1:17">
      <c r="A439" s="590"/>
      <c r="B439" s="666"/>
      <c r="C439" s="646"/>
      <c r="D439" s="592"/>
      <c r="E439" s="594"/>
      <c r="F439" s="595"/>
      <c r="K439" s="696"/>
      <c r="L439" s="696"/>
      <c r="M439" s="1075"/>
      <c r="N439" s="1076"/>
      <c r="O439" s="968"/>
      <c r="P439" s="969"/>
      <c r="Q439" s="970"/>
    </row>
    <row r="440" spans="1:17">
      <c r="A440" s="590"/>
      <c r="B440" s="666"/>
      <c r="C440" s="610"/>
      <c r="D440" s="592"/>
      <c r="E440" s="594"/>
      <c r="F440" s="595"/>
      <c r="K440" s="696"/>
      <c r="L440" s="696"/>
      <c r="M440" s="1075"/>
      <c r="N440" s="1076"/>
      <c r="O440" s="968"/>
      <c r="P440" s="969"/>
      <c r="Q440" s="970"/>
    </row>
    <row r="441" spans="1:17">
      <c r="A441" s="590"/>
      <c r="B441" s="666"/>
      <c r="C441" s="646"/>
      <c r="D441" s="592"/>
      <c r="E441" s="594"/>
      <c r="F441" s="595"/>
      <c r="K441" s="696"/>
      <c r="L441" s="696"/>
      <c r="M441" s="1075"/>
      <c r="N441" s="1076"/>
      <c r="O441" s="968"/>
      <c r="P441" s="969"/>
      <c r="Q441" s="970"/>
    </row>
    <row r="442" spans="1:17">
      <c r="A442" s="590"/>
      <c r="B442" s="666"/>
      <c r="C442" s="610"/>
      <c r="D442" s="592"/>
      <c r="E442" s="594"/>
      <c r="F442" s="595"/>
      <c r="K442" s="696"/>
      <c r="L442" s="696"/>
      <c r="M442" s="1075"/>
      <c r="N442" s="1076"/>
      <c r="O442" s="968"/>
      <c r="P442" s="969"/>
      <c r="Q442" s="970"/>
    </row>
    <row r="443" spans="1:17">
      <c r="A443" s="590"/>
      <c r="B443" s="666"/>
      <c r="C443" s="646"/>
      <c r="D443" s="592"/>
      <c r="E443" s="594"/>
      <c r="F443" s="595"/>
      <c r="K443" s="696"/>
      <c r="L443" s="696"/>
      <c r="M443" s="1075"/>
      <c r="N443" s="1076"/>
      <c r="O443" s="968"/>
      <c r="P443" s="969"/>
      <c r="Q443" s="970"/>
    </row>
    <row r="444" spans="1:17">
      <c r="A444" s="590"/>
      <c r="B444" s="666"/>
      <c r="C444" s="646"/>
      <c r="D444" s="592"/>
      <c r="E444" s="594"/>
      <c r="F444" s="595"/>
      <c r="K444" s="696"/>
      <c r="L444" s="696"/>
      <c r="M444" s="1075"/>
      <c r="N444" s="1076"/>
      <c r="O444" s="968"/>
      <c r="P444" s="969"/>
      <c r="Q444" s="970"/>
    </row>
    <row r="445" spans="1:17">
      <c r="A445" s="590"/>
      <c r="B445" s="666"/>
      <c r="C445" s="646"/>
      <c r="D445" s="592"/>
      <c r="E445" s="594"/>
      <c r="F445" s="595"/>
      <c r="K445" s="696"/>
      <c r="L445" s="696"/>
      <c r="M445" s="1075"/>
      <c r="N445" s="1076"/>
      <c r="O445" s="968"/>
      <c r="P445" s="969"/>
      <c r="Q445" s="970"/>
    </row>
    <row r="446" spans="1:17">
      <c r="A446" s="590"/>
      <c r="B446" s="666"/>
      <c r="C446" s="646"/>
      <c r="D446" s="592"/>
      <c r="E446" s="594"/>
      <c r="F446" s="595"/>
      <c r="K446" s="696"/>
      <c r="L446" s="696"/>
      <c r="M446" s="1075"/>
      <c r="N446" s="1076"/>
      <c r="O446" s="968"/>
      <c r="P446" s="969"/>
      <c r="Q446" s="970"/>
    </row>
    <row r="447" spans="1:17">
      <c r="A447" s="590"/>
      <c r="B447" s="666"/>
      <c r="C447" s="646"/>
      <c r="D447" s="592"/>
      <c r="E447" s="594"/>
      <c r="F447" s="595"/>
      <c r="K447" s="696"/>
      <c r="L447" s="696"/>
      <c r="M447" s="1075"/>
      <c r="N447" s="1076"/>
      <c r="O447" s="968"/>
      <c r="P447" s="969"/>
      <c r="Q447" s="970"/>
    </row>
    <row r="448" spans="1:17">
      <c r="A448" s="590"/>
      <c r="B448" s="666"/>
      <c r="C448" s="646"/>
      <c r="D448" s="592"/>
      <c r="E448" s="594"/>
      <c r="F448" s="595"/>
      <c r="K448" s="696"/>
      <c r="L448" s="696"/>
      <c r="M448" s="1075"/>
      <c r="N448" s="1076"/>
      <c r="O448" s="968"/>
      <c r="P448" s="969"/>
      <c r="Q448" s="970"/>
    </row>
    <row r="449" spans="1:17">
      <c r="A449" s="590"/>
      <c r="B449" s="666"/>
      <c r="C449" s="646"/>
      <c r="D449" s="592"/>
      <c r="E449" s="594"/>
      <c r="F449" s="595"/>
      <c r="K449" s="696"/>
      <c r="L449" s="696"/>
      <c r="M449" s="1075"/>
      <c r="N449" s="1076"/>
      <c r="O449" s="968"/>
      <c r="P449" s="969"/>
      <c r="Q449" s="970"/>
    </row>
    <row r="450" spans="1:17">
      <c r="A450" s="590"/>
      <c r="B450" s="666"/>
      <c r="C450" s="646"/>
      <c r="D450" s="592"/>
      <c r="E450" s="594"/>
      <c r="F450" s="595"/>
      <c r="K450" s="696"/>
      <c r="L450" s="696"/>
      <c r="M450" s="1075"/>
      <c r="N450" s="1076"/>
      <c r="O450" s="968"/>
      <c r="P450" s="969"/>
      <c r="Q450" s="970"/>
    </row>
    <row r="451" spans="1:17">
      <c r="A451" s="590"/>
      <c r="B451" s="666"/>
      <c r="C451" s="646"/>
      <c r="D451" s="592"/>
      <c r="E451" s="594"/>
      <c r="F451" s="595"/>
      <c r="K451" s="696"/>
      <c r="L451" s="696"/>
      <c r="M451" s="1075"/>
      <c r="N451" s="1076"/>
      <c r="O451" s="968"/>
      <c r="P451" s="969"/>
      <c r="Q451" s="970"/>
    </row>
    <row r="452" spans="1:17">
      <c r="A452" s="590"/>
      <c r="B452" s="666"/>
      <c r="C452" s="646"/>
      <c r="D452" s="592"/>
      <c r="E452" s="594"/>
      <c r="F452" s="595"/>
      <c r="K452" s="696"/>
      <c r="L452" s="696"/>
      <c r="M452" s="1075"/>
      <c r="N452" s="1076"/>
      <c r="O452" s="968"/>
      <c r="P452" s="969"/>
      <c r="Q452" s="970"/>
    </row>
    <row r="453" spans="1:17">
      <c r="A453" s="590"/>
      <c r="B453" s="666"/>
      <c r="C453" s="646"/>
      <c r="D453" s="592"/>
      <c r="E453" s="594"/>
      <c r="F453" s="595"/>
      <c r="K453" s="696"/>
      <c r="L453" s="696"/>
      <c r="M453" s="1075"/>
      <c r="N453" s="1076"/>
      <c r="O453" s="968"/>
      <c r="P453" s="969"/>
      <c r="Q453" s="970"/>
    </row>
    <row r="454" spans="1:17">
      <c r="A454" s="590"/>
      <c r="B454" s="666"/>
      <c r="C454" s="646"/>
      <c r="D454" s="592"/>
      <c r="E454" s="594"/>
      <c r="F454" s="595"/>
      <c r="K454" s="696"/>
      <c r="L454" s="696"/>
      <c r="M454" s="1075"/>
      <c r="N454" s="1076"/>
      <c r="O454" s="968"/>
      <c r="P454" s="969"/>
      <c r="Q454" s="970"/>
    </row>
    <row r="455" spans="1:17">
      <c r="A455" s="590"/>
      <c r="B455" s="666"/>
      <c r="C455" s="646"/>
      <c r="D455" s="592"/>
      <c r="E455" s="594"/>
      <c r="F455" s="595"/>
      <c r="K455" s="696"/>
      <c r="L455" s="696"/>
      <c r="M455" s="1075"/>
      <c r="N455" s="1076"/>
      <c r="O455" s="968"/>
      <c r="P455" s="969"/>
      <c r="Q455" s="970"/>
    </row>
    <row r="456" spans="1:17" ht="15" thickBot="1">
      <c r="A456" s="590"/>
      <c r="B456" s="591"/>
      <c r="C456" s="593"/>
      <c r="D456" s="592"/>
      <c r="E456" s="594"/>
      <c r="F456" s="595"/>
      <c r="K456" s="696"/>
      <c r="L456" s="696"/>
      <c r="M456" s="1075"/>
      <c r="N456" s="1076"/>
      <c r="O456" s="968"/>
      <c r="P456" s="969"/>
      <c r="Q456" s="970"/>
    </row>
    <row r="457" spans="1:17">
      <c r="A457" s="612"/>
      <c r="B457" s="613"/>
      <c r="C457" s="615"/>
      <c r="D457" s="614"/>
      <c r="E457" s="616"/>
      <c r="F457" s="617"/>
      <c r="K457" s="696"/>
      <c r="L457" s="696"/>
      <c r="M457" s="1075"/>
      <c r="N457" s="1076"/>
      <c r="O457" s="968"/>
      <c r="P457" s="969"/>
      <c r="Q457" s="970"/>
    </row>
    <row r="458" spans="1:17">
      <c r="A458" s="618" t="s">
        <v>310</v>
      </c>
      <c r="B458" s="619" t="s">
        <v>289</v>
      </c>
      <c r="C458" s="621"/>
      <c r="D458" s="620"/>
      <c r="E458" s="622"/>
      <c r="F458" s="623">
        <f>SUM(F406:F455)</f>
        <v>0</v>
      </c>
      <c r="H458" s="645"/>
      <c r="K458" s="696"/>
      <c r="L458" s="696"/>
      <c r="M458" s="1075"/>
      <c r="N458" s="1076"/>
      <c r="O458" s="968"/>
      <c r="P458" s="969"/>
      <c r="Q458" s="970"/>
    </row>
    <row r="459" spans="1:17">
      <c r="A459" s="624"/>
      <c r="B459" s="625"/>
      <c r="C459" s="627"/>
      <c r="D459" s="626"/>
      <c r="E459" s="628"/>
      <c r="F459" s="629"/>
      <c r="K459" s="696"/>
      <c r="L459" s="696"/>
      <c r="M459" s="1075"/>
      <c r="N459" s="1076"/>
      <c r="O459" s="968"/>
      <c r="P459" s="969"/>
      <c r="Q459" s="970"/>
    </row>
    <row r="460" spans="1:17" ht="17.399999999999999">
      <c r="A460" s="568"/>
      <c r="B460" s="569"/>
      <c r="C460" s="570"/>
      <c r="D460" s="569"/>
      <c r="E460" s="571"/>
      <c r="F460" s="572"/>
      <c r="K460" s="696"/>
      <c r="L460" s="696"/>
      <c r="M460" s="1075"/>
      <c r="N460" s="1076"/>
      <c r="O460" s="968"/>
      <c r="P460" s="969"/>
      <c r="Q460" s="970"/>
    </row>
    <row r="461" spans="1:17">
      <c r="A461" s="574"/>
      <c r="B461" s="575"/>
      <c r="C461" s="576"/>
      <c r="D461" s="575"/>
      <c r="E461" s="577"/>
      <c r="F461" s="578"/>
      <c r="K461" s="696"/>
      <c r="L461" s="696"/>
      <c r="M461" s="1075"/>
      <c r="N461" s="1076"/>
      <c r="O461" s="968"/>
      <c r="P461" s="969"/>
      <c r="Q461" s="970"/>
    </row>
    <row r="462" spans="1:17">
      <c r="A462" s="574"/>
      <c r="B462" s="575"/>
      <c r="C462" s="576"/>
      <c r="D462" s="575"/>
      <c r="E462" s="577"/>
      <c r="F462" s="578"/>
      <c r="K462" s="696"/>
      <c r="L462" s="696"/>
      <c r="M462" s="1075"/>
      <c r="N462" s="1076"/>
      <c r="O462" s="968"/>
      <c r="P462" s="969"/>
      <c r="Q462" s="970"/>
    </row>
    <row r="463" spans="1:17">
      <c r="A463" s="579"/>
      <c r="B463" s="580"/>
      <c r="C463" s="581"/>
      <c r="D463" s="580"/>
      <c r="E463" s="582"/>
      <c r="F463" s="583"/>
      <c r="K463" s="696"/>
      <c r="L463" s="696"/>
      <c r="M463" s="1075"/>
      <c r="N463" s="1076"/>
      <c r="O463" s="968"/>
      <c r="P463" s="969"/>
      <c r="Q463" s="970"/>
    </row>
    <row r="464" spans="1:17" ht="15" thickBot="1">
      <c r="A464" s="584" t="s">
        <v>276</v>
      </c>
      <c r="B464" s="585"/>
      <c r="C464" s="587" t="s">
        <v>277</v>
      </c>
      <c r="D464" s="586" t="s">
        <v>266</v>
      </c>
      <c r="E464" s="588" t="s">
        <v>278</v>
      </c>
      <c r="F464" s="589" t="s">
        <v>267</v>
      </c>
      <c r="K464" s="696"/>
      <c r="L464" s="696"/>
      <c r="M464" s="1075"/>
      <c r="N464" s="1076"/>
      <c r="O464" s="968"/>
      <c r="P464" s="969"/>
      <c r="Q464" s="970"/>
    </row>
    <row r="465" spans="1:17">
      <c r="A465" s="590"/>
      <c r="B465" s="591"/>
      <c r="C465" s="593"/>
      <c r="D465" s="592"/>
      <c r="E465" s="594"/>
      <c r="F465" s="595"/>
      <c r="K465" s="696"/>
      <c r="L465" s="696"/>
      <c r="M465" s="1075"/>
      <c r="N465" s="1076"/>
      <c r="O465" s="968"/>
      <c r="P465" s="969"/>
      <c r="Q465" s="970"/>
    </row>
    <row r="466" spans="1:17">
      <c r="A466" s="652" t="s">
        <v>345</v>
      </c>
      <c r="B466" s="651" t="s">
        <v>300</v>
      </c>
      <c r="C466" s="610"/>
      <c r="D466" s="592"/>
      <c r="E466" s="594"/>
      <c r="F466" s="595"/>
      <c r="K466" s="696"/>
      <c r="L466" s="696"/>
      <c r="M466" s="1075"/>
      <c r="N466" s="1076"/>
      <c r="O466" s="968"/>
      <c r="P466" s="969"/>
      <c r="Q466" s="970"/>
    </row>
    <row r="467" spans="1:17" ht="15" thickBot="1">
      <c r="A467" s="590"/>
      <c r="B467" s="661"/>
      <c r="C467" s="593"/>
      <c r="D467" s="662"/>
      <c r="E467" s="594"/>
      <c r="F467" s="595"/>
      <c r="K467" s="696"/>
      <c r="L467" s="696"/>
      <c r="M467" s="1075"/>
      <c r="N467" s="1076"/>
      <c r="O467" s="968"/>
      <c r="P467" s="969"/>
      <c r="Q467" s="970"/>
    </row>
    <row r="468" spans="1:17">
      <c r="A468" s="590" t="s">
        <v>294</v>
      </c>
      <c r="B468" s="678" t="s">
        <v>458</v>
      </c>
      <c r="C468" s="593">
        <v>1</v>
      </c>
      <c r="D468" s="662" t="s">
        <v>459</v>
      </c>
      <c r="E468" s="594"/>
      <c r="F468" s="595">
        <f>E468*C468</f>
        <v>0</v>
      </c>
      <c r="K468" s="1014"/>
      <c r="L468" s="1014"/>
      <c r="M468" s="1015"/>
      <c r="N468" s="1016"/>
      <c r="O468" s="1017"/>
      <c r="P468" s="1018"/>
      <c r="Q468" s="1019"/>
    </row>
    <row r="469" spans="1:17">
      <c r="A469" s="590"/>
      <c r="B469" s="678"/>
      <c r="C469" s="593"/>
      <c r="D469" s="662"/>
      <c r="E469" s="594"/>
      <c r="F469" s="595"/>
      <c r="K469" s="1020"/>
      <c r="L469" s="1020"/>
      <c r="M469" s="1021" t="s">
        <v>289</v>
      </c>
      <c r="N469" s="1022"/>
      <c r="O469" s="1023"/>
      <c r="P469" s="1024"/>
      <c r="Q469" s="1010">
        <f>SUM(Q417:Q467)</f>
        <v>0</v>
      </c>
    </row>
    <row r="470" spans="1:17">
      <c r="A470" s="590" t="s">
        <v>339</v>
      </c>
      <c r="B470" s="678" t="s">
        <v>460</v>
      </c>
      <c r="C470" s="593">
        <v>1</v>
      </c>
      <c r="D470" s="662" t="s">
        <v>459</v>
      </c>
      <c r="E470" s="594"/>
      <c r="F470" s="595">
        <f>E470*C470</f>
        <v>0</v>
      </c>
      <c r="K470" s="1025"/>
      <c r="L470" s="1025"/>
      <c r="M470" s="1026"/>
      <c r="N470" s="1027"/>
      <c r="O470" s="1028"/>
      <c r="P470" s="1029"/>
      <c r="Q470" s="1030"/>
    </row>
    <row r="471" spans="1:17" ht="17.399999999999999">
      <c r="A471" s="590"/>
      <c r="B471" s="678"/>
      <c r="C471" s="593"/>
      <c r="D471" s="662"/>
      <c r="E471" s="594"/>
      <c r="F471" s="595"/>
      <c r="K471" s="980"/>
      <c r="L471" s="981"/>
      <c r="M471" s="982"/>
      <c r="N471" s="982"/>
      <c r="O471" s="983"/>
      <c r="P471" s="984"/>
      <c r="Q471" s="985"/>
    </row>
    <row r="472" spans="1:17">
      <c r="A472" s="590" t="s">
        <v>340</v>
      </c>
      <c r="B472" s="678" t="s">
        <v>461</v>
      </c>
      <c r="C472" s="593">
        <v>1</v>
      </c>
      <c r="D472" s="662" t="s">
        <v>459</v>
      </c>
      <c r="E472" s="594"/>
      <c r="F472" s="595">
        <f>E472*C472</f>
        <v>0</v>
      </c>
      <c r="K472" s="986"/>
      <c r="L472" s="987"/>
      <c r="M472" s="988"/>
      <c r="N472" s="988"/>
      <c r="O472" s="989"/>
      <c r="P472" s="990"/>
      <c r="Q472" s="991"/>
    </row>
    <row r="473" spans="1:17">
      <c r="A473" s="590"/>
      <c r="B473" s="661"/>
      <c r="C473" s="593"/>
      <c r="D473" s="662"/>
      <c r="E473" s="594"/>
      <c r="F473" s="595"/>
      <c r="K473" s="986"/>
      <c r="L473" s="987"/>
      <c r="M473" s="988"/>
      <c r="N473" s="988"/>
      <c r="O473" s="989"/>
      <c r="P473" s="990"/>
      <c r="Q473" s="991"/>
    </row>
    <row r="474" spans="1:17">
      <c r="A474" s="590" t="s">
        <v>409</v>
      </c>
      <c r="B474" s="678" t="s">
        <v>462</v>
      </c>
      <c r="C474" s="593">
        <v>1</v>
      </c>
      <c r="D474" s="662" t="s">
        <v>459</v>
      </c>
      <c r="E474" s="594"/>
      <c r="F474" s="595">
        <f>E474*C474</f>
        <v>0</v>
      </c>
      <c r="K474" s="992"/>
      <c r="L474" s="993"/>
      <c r="M474" s="543"/>
      <c r="N474" s="543"/>
      <c r="O474" s="994"/>
      <c r="P474" s="995"/>
      <c r="Q474" s="996"/>
    </row>
    <row r="475" spans="1:17" ht="15" thickBot="1">
      <c r="A475" s="590"/>
      <c r="B475" s="661"/>
      <c r="C475" s="593"/>
      <c r="D475" s="662"/>
      <c r="E475" s="594"/>
      <c r="F475" s="595"/>
      <c r="K475" s="997" t="s">
        <v>276</v>
      </c>
      <c r="L475" s="998" t="s">
        <v>887</v>
      </c>
      <c r="M475" s="999"/>
      <c r="N475" s="1000" t="s">
        <v>266</v>
      </c>
      <c r="O475" s="1001" t="s">
        <v>277</v>
      </c>
      <c r="P475" s="1002" t="s">
        <v>278</v>
      </c>
      <c r="Q475" s="1003" t="s">
        <v>267</v>
      </c>
    </row>
    <row r="476" spans="1:17">
      <c r="A476" s="590" t="s">
        <v>416</v>
      </c>
      <c r="B476" s="678" t="s">
        <v>489</v>
      </c>
      <c r="C476" s="593">
        <v>1</v>
      </c>
      <c r="D476" s="662" t="s">
        <v>459</v>
      </c>
      <c r="E476" s="594"/>
      <c r="F476" s="595">
        <f>E476*C476</f>
        <v>0</v>
      </c>
      <c r="K476" s="696"/>
      <c r="L476" s="696"/>
      <c r="M476" s="703"/>
      <c r="N476" s="967"/>
      <c r="O476" s="968"/>
      <c r="P476" s="969"/>
      <c r="Q476" s="970"/>
    </row>
    <row r="477" spans="1:17">
      <c r="A477" s="590"/>
      <c r="B477" s="678"/>
      <c r="C477" s="593"/>
      <c r="D477" s="662"/>
      <c r="E477" s="594"/>
      <c r="F477" s="595"/>
      <c r="K477" s="1031">
        <f>K417+1</f>
        <v>9</v>
      </c>
      <c r="L477" s="696"/>
      <c r="M477" s="1032" t="s">
        <v>300</v>
      </c>
      <c r="N477" s="967"/>
      <c r="O477" s="1041"/>
      <c r="P477" s="969"/>
      <c r="Q477" s="970"/>
    </row>
    <row r="478" spans="1:17">
      <c r="A478" s="590" t="s">
        <v>424</v>
      </c>
      <c r="B478" s="678" t="s">
        <v>490</v>
      </c>
      <c r="C478" s="593">
        <v>1</v>
      </c>
      <c r="D478" s="662" t="s">
        <v>459</v>
      </c>
      <c r="E478" s="594"/>
      <c r="F478" s="595">
        <f>E478*C478</f>
        <v>0</v>
      </c>
      <c r="K478" s="696"/>
      <c r="L478" s="696"/>
      <c r="M478" s="1075"/>
      <c r="N478" s="1076"/>
      <c r="O478" s="968"/>
      <c r="P478" s="969"/>
      <c r="Q478" s="970"/>
    </row>
    <row r="479" spans="1:17">
      <c r="A479" s="590"/>
      <c r="B479" s="678"/>
      <c r="C479" s="593"/>
      <c r="D479" s="662"/>
      <c r="E479" s="594"/>
      <c r="F479" s="595"/>
      <c r="K479" s="696"/>
      <c r="L479" s="696"/>
      <c r="M479" s="1075" t="s">
        <v>468</v>
      </c>
      <c r="N479" s="1076" t="s">
        <v>283</v>
      </c>
      <c r="O479" s="968">
        <v>2</v>
      </c>
      <c r="P479" s="969"/>
      <c r="Q479" s="970">
        <f>P479*O479</f>
        <v>0</v>
      </c>
    </row>
    <row r="480" spans="1:17">
      <c r="A480" s="590" t="s">
        <v>426</v>
      </c>
      <c r="B480" s="678" t="s">
        <v>491</v>
      </c>
      <c r="C480" s="593">
        <v>1</v>
      </c>
      <c r="D480" s="662" t="s">
        <v>459</v>
      </c>
      <c r="E480" s="594"/>
      <c r="F480" s="595">
        <f>E480*C480</f>
        <v>0</v>
      </c>
      <c r="K480" s="696"/>
      <c r="L480" s="696"/>
      <c r="M480" s="1075"/>
      <c r="N480" s="1076"/>
      <c r="O480" s="968"/>
      <c r="P480" s="969"/>
      <c r="Q480" s="970"/>
    </row>
    <row r="481" spans="1:17">
      <c r="A481" s="590"/>
      <c r="B481" s="661"/>
      <c r="C481" s="593"/>
      <c r="D481" s="662"/>
      <c r="E481" s="594"/>
      <c r="F481" s="595"/>
      <c r="K481" s="696"/>
      <c r="L481" s="696"/>
      <c r="M481" s="1075" t="s">
        <v>469</v>
      </c>
      <c r="N481" s="1076" t="s">
        <v>283</v>
      </c>
      <c r="O481" s="968">
        <v>2</v>
      </c>
      <c r="P481" s="969"/>
      <c r="Q481" s="970">
        <f>P481*O481</f>
        <v>0</v>
      </c>
    </row>
    <row r="482" spans="1:17">
      <c r="A482" s="590" t="s">
        <v>428</v>
      </c>
      <c r="B482" s="678" t="s">
        <v>492</v>
      </c>
      <c r="C482" s="593">
        <v>1</v>
      </c>
      <c r="D482" s="662" t="s">
        <v>459</v>
      </c>
      <c r="E482" s="594"/>
      <c r="F482" s="595">
        <f>E482*C482</f>
        <v>0</v>
      </c>
      <c r="K482" s="696"/>
      <c r="L482" s="696"/>
      <c r="M482" s="1075"/>
      <c r="N482" s="1076"/>
      <c r="O482" s="968"/>
      <c r="P482" s="969"/>
      <c r="Q482" s="970"/>
    </row>
    <row r="483" spans="1:17">
      <c r="A483" s="590"/>
      <c r="B483" s="678"/>
      <c r="C483" s="593"/>
      <c r="D483" s="662"/>
      <c r="E483" s="594"/>
      <c r="F483" s="595"/>
      <c r="K483" s="696"/>
      <c r="L483" s="696"/>
      <c r="M483" s="1075" t="s">
        <v>470</v>
      </c>
      <c r="N483" s="1076" t="s">
        <v>283</v>
      </c>
      <c r="O483" s="968">
        <v>2</v>
      </c>
      <c r="P483" s="969"/>
      <c r="Q483" s="970">
        <f>P483*O483</f>
        <v>0</v>
      </c>
    </row>
    <row r="484" spans="1:17">
      <c r="A484" s="590" t="s">
        <v>430</v>
      </c>
      <c r="B484" s="678" t="s">
        <v>493</v>
      </c>
      <c r="C484" s="593">
        <v>1</v>
      </c>
      <c r="D484" s="662" t="s">
        <v>459</v>
      </c>
      <c r="E484" s="594"/>
      <c r="F484" s="595">
        <f>E484*C484</f>
        <v>0</v>
      </c>
      <c r="K484" s="696"/>
      <c r="L484" s="696"/>
      <c r="M484" s="1075"/>
      <c r="N484" s="1076"/>
      <c r="O484" s="968"/>
      <c r="P484" s="969"/>
      <c r="Q484" s="970"/>
    </row>
    <row r="485" spans="1:17">
      <c r="A485" s="590"/>
      <c r="B485" s="661"/>
      <c r="C485" s="593"/>
      <c r="D485" s="662"/>
      <c r="E485" s="594"/>
      <c r="F485" s="595"/>
      <c r="K485" s="696"/>
      <c r="L485" s="696"/>
      <c r="M485" s="1075" t="s">
        <v>471</v>
      </c>
      <c r="N485" s="1076" t="s">
        <v>283</v>
      </c>
      <c r="O485" s="968">
        <v>2</v>
      </c>
      <c r="P485" s="969"/>
      <c r="Q485" s="970">
        <f>P485*O485</f>
        <v>0</v>
      </c>
    </row>
    <row r="486" spans="1:17">
      <c r="A486" s="590"/>
      <c r="B486" s="661"/>
      <c r="C486" s="593"/>
      <c r="D486" s="662"/>
      <c r="E486" s="594"/>
      <c r="F486" s="595"/>
      <c r="K486" s="696"/>
      <c r="L486" s="696"/>
      <c r="M486" s="1075"/>
      <c r="N486" s="1076"/>
      <c r="O486" s="968"/>
      <c r="P486" s="969"/>
      <c r="Q486" s="970"/>
    </row>
    <row r="487" spans="1:17">
      <c r="A487" s="590"/>
      <c r="B487" s="661"/>
      <c r="C487" s="593"/>
      <c r="D487" s="662"/>
      <c r="E487" s="594"/>
      <c r="F487" s="595"/>
      <c r="K487" s="696"/>
      <c r="L487" s="696"/>
      <c r="M487" s="1075" t="s">
        <v>472</v>
      </c>
      <c r="N487" s="1076" t="s">
        <v>283</v>
      </c>
      <c r="O487" s="968">
        <v>2</v>
      </c>
      <c r="P487" s="969"/>
      <c r="Q487" s="970">
        <f>P487*O487</f>
        <v>0</v>
      </c>
    </row>
    <row r="488" spans="1:17">
      <c r="A488" s="590"/>
      <c r="B488" s="661"/>
      <c r="C488" s="593"/>
      <c r="D488" s="662"/>
      <c r="E488" s="594"/>
      <c r="F488" s="595"/>
      <c r="K488" s="696"/>
      <c r="L488" s="696"/>
      <c r="M488" s="1075"/>
      <c r="N488" s="1076"/>
      <c r="O488" s="968"/>
      <c r="P488" s="969"/>
      <c r="Q488" s="970"/>
    </row>
    <row r="489" spans="1:17">
      <c r="A489" s="590"/>
      <c r="B489" s="661"/>
      <c r="C489" s="593"/>
      <c r="D489" s="662"/>
      <c r="E489" s="594"/>
      <c r="F489" s="595"/>
      <c r="K489" s="696"/>
      <c r="L489" s="696"/>
      <c r="M489" s="1075" t="s">
        <v>473</v>
      </c>
      <c r="N489" s="1076" t="s">
        <v>283</v>
      </c>
      <c r="O489" s="968">
        <v>2</v>
      </c>
      <c r="P489" s="969"/>
      <c r="Q489" s="970">
        <f>P489*O489</f>
        <v>0</v>
      </c>
    </row>
    <row r="490" spans="1:17">
      <c r="A490" s="590"/>
      <c r="B490" s="661"/>
      <c r="C490" s="593"/>
      <c r="D490" s="662"/>
      <c r="E490" s="594"/>
      <c r="F490" s="595"/>
      <c r="K490" s="696"/>
      <c r="L490" s="696"/>
      <c r="M490" s="1075"/>
      <c r="N490" s="1076"/>
      <c r="O490" s="968"/>
      <c r="P490" s="969"/>
      <c r="Q490" s="970"/>
    </row>
    <row r="491" spans="1:17">
      <c r="A491" s="590"/>
      <c r="B491" s="661"/>
      <c r="C491" s="593"/>
      <c r="D491" s="662"/>
      <c r="E491" s="594"/>
      <c r="F491" s="595"/>
      <c r="K491" s="696"/>
      <c r="L491" s="696"/>
      <c r="M491" s="1075" t="s">
        <v>474</v>
      </c>
      <c r="N491" s="1076" t="s">
        <v>283</v>
      </c>
      <c r="O491" s="968">
        <v>2</v>
      </c>
      <c r="P491" s="969"/>
      <c r="Q491" s="970">
        <f>P491*O491</f>
        <v>0</v>
      </c>
    </row>
    <row r="492" spans="1:17">
      <c r="A492" s="590"/>
      <c r="B492" s="661"/>
      <c r="C492" s="593"/>
      <c r="D492" s="662"/>
      <c r="E492" s="594"/>
      <c r="F492" s="595"/>
      <c r="K492" s="696"/>
      <c r="L492" s="696"/>
      <c r="M492" s="1075"/>
      <c r="N492" s="1076"/>
      <c r="O492" s="968"/>
      <c r="P492" s="969"/>
      <c r="Q492" s="970"/>
    </row>
    <row r="493" spans="1:17">
      <c r="A493" s="590"/>
      <c r="B493" s="661"/>
      <c r="C493" s="593"/>
      <c r="D493" s="662"/>
      <c r="E493" s="594"/>
      <c r="F493" s="595"/>
      <c r="K493" s="696"/>
      <c r="L493" s="696"/>
      <c r="M493" s="1075" t="s">
        <v>475</v>
      </c>
      <c r="N493" s="1076" t="s">
        <v>283</v>
      </c>
      <c r="O493" s="968">
        <v>2</v>
      </c>
      <c r="P493" s="969"/>
      <c r="Q493" s="970">
        <f>P493*O493</f>
        <v>0</v>
      </c>
    </row>
    <row r="494" spans="1:17">
      <c r="A494" s="590"/>
      <c r="B494" s="661"/>
      <c r="C494" s="593"/>
      <c r="D494" s="662"/>
      <c r="E494" s="594"/>
      <c r="F494" s="595"/>
      <c r="K494" s="696"/>
      <c r="L494" s="696"/>
      <c r="M494" s="1075"/>
      <c r="N494" s="1076"/>
      <c r="O494" s="968"/>
      <c r="P494" s="969"/>
      <c r="Q494" s="970"/>
    </row>
    <row r="495" spans="1:17">
      <c r="A495" s="590"/>
      <c r="B495" s="661"/>
      <c r="C495" s="593"/>
      <c r="D495" s="662"/>
      <c r="E495" s="594"/>
      <c r="F495" s="595"/>
      <c r="K495" s="696"/>
      <c r="L495" s="696"/>
      <c r="M495" s="1075" t="s">
        <v>476</v>
      </c>
      <c r="N495" s="1076" t="s">
        <v>283</v>
      </c>
      <c r="O495" s="968">
        <v>2</v>
      </c>
      <c r="P495" s="969"/>
      <c r="Q495" s="970">
        <f>P495*O495</f>
        <v>0</v>
      </c>
    </row>
    <row r="496" spans="1:17">
      <c r="A496" s="590"/>
      <c r="B496" s="661"/>
      <c r="C496" s="593"/>
      <c r="D496" s="662"/>
      <c r="E496" s="594"/>
      <c r="F496" s="595"/>
      <c r="K496" s="696"/>
      <c r="L496" s="696"/>
      <c r="M496" s="1075"/>
      <c r="N496" s="1076"/>
      <c r="O496" s="968"/>
      <c r="P496" s="969"/>
      <c r="Q496" s="970"/>
    </row>
    <row r="497" spans="1:17">
      <c r="A497" s="590"/>
      <c r="B497" s="661"/>
      <c r="C497" s="593"/>
      <c r="D497" s="662"/>
      <c r="E497" s="594"/>
      <c r="F497" s="595"/>
      <c r="K497" s="696"/>
      <c r="L497" s="696"/>
      <c r="M497" s="1075" t="s">
        <v>477</v>
      </c>
      <c r="N497" s="1076" t="s">
        <v>283</v>
      </c>
      <c r="O497" s="968">
        <v>2</v>
      </c>
      <c r="P497" s="969"/>
      <c r="Q497" s="970">
        <f>P497*O497</f>
        <v>0</v>
      </c>
    </row>
    <row r="498" spans="1:17">
      <c r="A498" s="590"/>
      <c r="B498" s="661"/>
      <c r="C498" s="593"/>
      <c r="D498" s="662"/>
      <c r="E498" s="594"/>
      <c r="F498" s="595"/>
      <c r="K498" s="696"/>
      <c r="L498" s="696"/>
      <c r="M498" s="1075"/>
      <c r="N498" s="1076"/>
      <c r="O498" s="968"/>
      <c r="P498" s="969"/>
      <c r="Q498" s="970"/>
    </row>
    <row r="499" spans="1:17">
      <c r="A499" s="590"/>
      <c r="B499" s="661"/>
      <c r="C499" s="593"/>
      <c r="D499" s="662"/>
      <c r="E499" s="594"/>
      <c r="F499" s="595"/>
      <c r="K499" s="696"/>
      <c r="L499" s="696"/>
      <c r="M499" s="1075"/>
      <c r="N499" s="1076"/>
      <c r="O499" s="968"/>
      <c r="P499" s="969"/>
      <c r="Q499" s="970"/>
    </row>
    <row r="500" spans="1:17">
      <c r="A500" s="590"/>
      <c r="B500" s="661"/>
      <c r="C500" s="593"/>
      <c r="D500" s="662"/>
      <c r="E500" s="594"/>
      <c r="F500" s="595"/>
      <c r="K500" s="696"/>
      <c r="L500" s="696"/>
      <c r="M500" s="1075"/>
      <c r="N500" s="1076"/>
      <c r="O500" s="968"/>
      <c r="P500" s="969"/>
      <c r="Q500" s="970"/>
    </row>
    <row r="501" spans="1:17">
      <c r="A501" s="590"/>
      <c r="B501" s="661"/>
      <c r="C501" s="593"/>
      <c r="D501" s="662"/>
      <c r="E501" s="594"/>
      <c r="F501" s="595"/>
      <c r="K501" s="696"/>
      <c r="L501" s="696"/>
      <c r="M501" s="1075"/>
      <c r="N501" s="1076"/>
      <c r="O501" s="968"/>
      <c r="P501" s="969"/>
      <c r="Q501" s="970"/>
    </row>
    <row r="502" spans="1:17">
      <c r="A502" s="590"/>
      <c r="B502" s="661"/>
      <c r="C502" s="593"/>
      <c r="D502" s="662"/>
      <c r="E502" s="594"/>
      <c r="F502" s="595"/>
      <c r="K502" s="696"/>
      <c r="L502" s="696"/>
      <c r="M502" s="1075"/>
      <c r="N502" s="1076"/>
      <c r="O502" s="968"/>
      <c r="P502" s="969"/>
      <c r="Q502" s="970"/>
    </row>
    <row r="503" spans="1:17">
      <c r="A503" s="590"/>
      <c r="B503" s="661"/>
      <c r="C503" s="593"/>
      <c r="D503" s="662"/>
      <c r="E503" s="594"/>
      <c r="F503" s="595"/>
      <c r="K503" s="696"/>
      <c r="L503" s="696"/>
      <c r="M503" s="1075"/>
      <c r="N503" s="1076"/>
      <c r="O503" s="968"/>
      <c r="P503" s="969"/>
      <c r="Q503" s="970"/>
    </row>
    <row r="504" spans="1:17">
      <c r="A504" s="590"/>
      <c r="B504" s="661"/>
      <c r="C504" s="593"/>
      <c r="D504" s="662"/>
      <c r="E504" s="594"/>
      <c r="F504" s="595"/>
      <c r="K504" s="696"/>
      <c r="L504" s="696"/>
      <c r="M504" s="1075"/>
      <c r="N504" s="1076"/>
      <c r="O504" s="968"/>
      <c r="P504" s="969"/>
      <c r="Q504" s="970"/>
    </row>
    <row r="505" spans="1:17">
      <c r="A505" s="590"/>
      <c r="B505" s="661"/>
      <c r="C505" s="593"/>
      <c r="D505" s="662"/>
      <c r="E505" s="594"/>
      <c r="F505" s="595"/>
      <c r="K505" s="696"/>
      <c r="L505" s="696"/>
      <c r="M505" s="1075"/>
      <c r="N505" s="1076"/>
      <c r="O505" s="968"/>
      <c r="P505" s="969"/>
      <c r="Q505" s="970"/>
    </row>
    <row r="506" spans="1:17">
      <c r="A506" s="590"/>
      <c r="B506" s="661"/>
      <c r="C506" s="593"/>
      <c r="D506" s="662"/>
      <c r="E506" s="594"/>
      <c r="F506" s="595"/>
      <c r="K506" s="696"/>
      <c r="L506" s="696"/>
      <c r="M506" s="1075"/>
      <c r="N506" s="1076"/>
      <c r="O506" s="968"/>
      <c r="P506" s="969"/>
      <c r="Q506" s="970"/>
    </row>
    <row r="507" spans="1:17">
      <c r="A507" s="590"/>
      <c r="B507" s="661"/>
      <c r="C507" s="593"/>
      <c r="D507" s="662"/>
      <c r="E507" s="594"/>
      <c r="F507" s="595"/>
      <c r="K507" s="696"/>
      <c r="L507" s="696"/>
      <c r="M507" s="1075"/>
      <c r="N507" s="1076"/>
      <c r="O507" s="968"/>
      <c r="P507" s="969"/>
      <c r="Q507" s="970"/>
    </row>
    <row r="508" spans="1:17">
      <c r="A508" s="590"/>
      <c r="B508" s="661"/>
      <c r="C508" s="593"/>
      <c r="D508" s="662"/>
      <c r="E508" s="594"/>
      <c r="F508" s="595"/>
      <c r="K508" s="696"/>
      <c r="L508" s="696"/>
      <c r="M508" s="1075"/>
      <c r="N508" s="1076"/>
      <c r="O508" s="968"/>
      <c r="P508" s="969"/>
      <c r="Q508" s="970"/>
    </row>
    <row r="509" spans="1:17">
      <c r="A509" s="590"/>
      <c r="B509" s="661"/>
      <c r="C509" s="593"/>
      <c r="D509" s="662"/>
      <c r="E509" s="594"/>
      <c r="F509" s="595"/>
      <c r="K509" s="696"/>
      <c r="L509" s="696"/>
      <c r="M509" s="1075"/>
      <c r="N509" s="1076"/>
      <c r="O509" s="968"/>
      <c r="P509" s="969"/>
      <c r="Q509" s="970"/>
    </row>
    <row r="510" spans="1:17">
      <c r="A510" s="590"/>
      <c r="B510" s="661"/>
      <c r="C510" s="593"/>
      <c r="D510" s="662"/>
      <c r="E510" s="594"/>
      <c r="F510" s="595"/>
      <c r="K510" s="696"/>
      <c r="L510" s="696"/>
      <c r="M510" s="1075"/>
      <c r="N510" s="1076"/>
      <c r="O510" s="968"/>
      <c r="P510" s="969"/>
      <c r="Q510" s="970"/>
    </row>
    <row r="511" spans="1:17">
      <c r="A511" s="590"/>
      <c r="B511" s="661"/>
      <c r="C511" s="593"/>
      <c r="D511" s="662"/>
      <c r="E511" s="594"/>
      <c r="F511" s="595"/>
      <c r="K511" s="696"/>
      <c r="L511" s="696"/>
      <c r="M511" s="1075"/>
      <c r="N511" s="1076"/>
      <c r="O511" s="968"/>
      <c r="P511" s="969"/>
      <c r="Q511" s="970"/>
    </row>
    <row r="512" spans="1:17">
      <c r="A512" s="590"/>
      <c r="B512" s="661"/>
      <c r="C512" s="593"/>
      <c r="D512" s="662"/>
      <c r="E512" s="594"/>
      <c r="F512" s="595"/>
      <c r="K512" s="696"/>
      <c r="L512" s="696"/>
      <c r="M512" s="1075"/>
      <c r="N512" s="1076"/>
      <c r="O512" s="968"/>
      <c r="P512" s="969"/>
      <c r="Q512" s="970"/>
    </row>
    <row r="513" spans="1:17">
      <c r="A513" s="590"/>
      <c r="B513" s="661"/>
      <c r="C513" s="593"/>
      <c r="D513" s="662"/>
      <c r="E513" s="594"/>
      <c r="F513" s="595"/>
      <c r="K513" s="696"/>
      <c r="L513" s="696"/>
      <c r="M513" s="1075"/>
      <c r="N513" s="1076"/>
      <c r="O513" s="968"/>
      <c r="P513" s="969"/>
      <c r="Q513" s="970"/>
    </row>
    <row r="514" spans="1:17">
      <c r="A514" s="590"/>
      <c r="B514" s="661"/>
      <c r="C514" s="593"/>
      <c r="D514" s="662"/>
      <c r="E514" s="594"/>
      <c r="F514" s="595"/>
      <c r="K514" s="696"/>
      <c r="L514" s="696"/>
      <c r="M514" s="1075"/>
      <c r="N514" s="1076"/>
      <c r="O514" s="968"/>
      <c r="P514" s="969"/>
      <c r="Q514" s="970"/>
    </row>
    <row r="515" spans="1:17">
      <c r="A515" s="590"/>
      <c r="B515" s="661"/>
      <c r="C515" s="593"/>
      <c r="D515" s="662"/>
      <c r="E515" s="594"/>
      <c r="F515" s="595"/>
      <c r="K515" s="696"/>
      <c r="L515" s="696"/>
      <c r="M515" s="1075"/>
      <c r="N515" s="1076"/>
      <c r="O515" s="968"/>
      <c r="P515" s="969"/>
      <c r="Q515" s="970"/>
    </row>
    <row r="516" spans="1:17" ht="15" thickBot="1">
      <c r="A516" s="590"/>
      <c r="B516" s="661"/>
      <c r="C516" s="593"/>
      <c r="D516" s="662"/>
      <c r="E516" s="594"/>
      <c r="F516" s="595"/>
      <c r="K516" s="696"/>
      <c r="L516" s="696"/>
      <c r="M516" s="1075"/>
      <c r="N516" s="1076"/>
      <c r="O516" s="968"/>
      <c r="P516" s="969"/>
      <c r="Q516" s="970"/>
    </row>
    <row r="517" spans="1:17">
      <c r="A517" s="612"/>
      <c r="B517" s="613"/>
      <c r="C517" s="615"/>
      <c r="D517" s="614"/>
      <c r="E517" s="616"/>
      <c r="F517" s="617"/>
      <c r="K517" s="696"/>
      <c r="L517" s="696"/>
      <c r="M517" s="1075"/>
      <c r="N517" s="1076"/>
      <c r="O517" s="968"/>
      <c r="P517" s="969"/>
      <c r="Q517" s="970"/>
    </row>
    <row r="518" spans="1:17">
      <c r="A518" s="618" t="s">
        <v>310</v>
      </c>
      <c r="B518" s="619" t="s">
        <v>289</v>
      </c>
      <c r="C518" s="621"/>
      <c r="D518" s="620"/>
      <c r="E518" s="622"/>
      <c r="F518" s="623">
        <f>SUM(F466:F516)</f>
        <v>0</v>
      </c>
      <c r="H518" s="645"/>
      <c r="K518" s="696"/>
      <c r="L518" s="696"/>
      <c r="M518" s="1075"/>
      <c r="N518" s="1076"/>
      <c r="O518" s="968"/>
      <c r="P518" s="969"/>
      <c r="Q518" s="970"/>
    </row>
    <row r="519" spans="1:17">
      <c r="A519" s="624"/>
      <c r="B519" s="625"/>
      <c r="C519" s="627"/>
      <c r="D519" s="626"/>
      <c r="E519" s="628"/>
      <c r="F519" s="629"/>
      <c r="K519" s="696"/>
      <c r="L519" s="696"/>
      <c r="M519" s="1075"/>
      <c r="N519" s="1076"/>
      <c r="O519" s="968"/>
      <c r="P519" s="969"/>
      <c r="Q519" s="970"/>
    </row>
    <row r="520" spans="1:17" ht="17.399999999999999">
      <c r="A520" s="568"/>
      <c r="B520" s="569"/>
      <c r="C520" s="570"/>
      <c r="D520" s="569"/>
      <c r="E520" s="571"/>
      <c r="F520" s="572"/>
      <c r="K520" s="696"/>
      <c r="L520" s="696"/>
      <c r="M520" s="1075"/>
      <c r="N520" s="1076"/>
      <c r="O520" s="968"/>
      <c r="P520" s="969"/>
      <c r="Q520" s="970"/>
    </row>
    <row r="521" spans="1:17">
      <c r="A521" s="574"/>
      <c r="B521" s="575"/>
      <c r="C521" s="576"/>
      <c r="D521" s="575"/>
      <c r="E521" s="577"/>
      <c r="F521" s="578"/>
      <c r="K521" s="696"/>
      <c r="L521" s="696"/>
      <c r="M521" s="1075"/>
      <c r="N521" s="1076"/>
      <c r="O521" s="968"/>
      <c r="P521" s="969"/>
      <c r="Q521" s="970"/>
    </row>
    <row r="522" spans="1:17">
      <c r="A522" s="574"/>
      <c r="B522" s="575"/>
      <c r="C522" s="576"/>
      <c r="D522" s="575"/>
      <c r="E522" s="577"/>
      <c r="F522" s="578"/>
      <c r="K522" s="696"/>
      <c r="L522" s="696"/>
      <c r="M522" s="1075"/>
      <c r="N522" s="1076"/>
      <c r="O522" s="968"/>
      <c r="P522" s="969"/>
      <c r="Q522" s="970"/>
    </row>
    <row r="523" spans="1:17">
      <c r="A523" s="579"/>
      <c r="B523" s="580"/>
      <c r="C523" s="581"/>
      <c r="D523" s="580"/>
      <c r="E523" s="582"/>
      <c r="F523" s="583"/>
      <c r="K523" s="696"/>
      <c r="L523" s="696"/>
      <c r="M523" s="1075"/>
      <c r="N523" s="1076"/>
      <c r="O523" s="968"/>
      <c r="P523" s="969"/>
      <c r="Q523" s="970"/>
    </row>
    <row r="524" spans="1:17" ht="15" thickBot="1">
      <c r="A524" s="584" t="s">
        <v>276</v>
      </c>
      <c r="B524" s="585"/>
      <c r="C524" s="587" t="s">
        <v>277</v>
      </c>
      <c r="D524" s="586" t="s">
        <v>266</v>
      </c>
      <c r="E524" s="588" t="s">
        <v>278</v>
      </c>
      <c r="F524" s="589" t="s">
        <v>267</v>
      </c>
      <c r="K524" s="696"/>
      <c r="L524" s="696"/>
      <c r="M524" s="1075"/>
      <c r="N524" s="1076"/>
      <c r="O524" s="968"/>
      <c r="P524" s="969"/>
      <c r="Q524" s="970"/>
    </row>
    <row r="525" spans="1:17">
      <c r="A525" s="590"/>
      <c r="B525" s="591"/>
      <c r="C525" s="593"/>
      <c r="D525" s="592"/>
      <c r="E525" s="594"/>
      <c r="F525" s="595"/>
      <c r="K525" s="696"/>
      <c r="L525" s="696"/>
      <c r="M525" s="1075"/>
      <c r="N525" s="1076"/>
      <c r="O525" s="968"/>
      <c r="P525" s="969"/>
      <c r="Q525" s="970"/>
    </row>
    <row r="526" spans="1:17">
      <c r="A526" s="652" t="s">
        <v>494</v>
      </c>
      <c r="B526" s="651" t="s">
        <v>300</v>
      </c>
      <c r="C526" s="610"/>
      <c r="D526" s="592"/>
      <c r="E526" s="594"/>
      <c r="F526" s="595"/>
      <c r="K526" s="696"/>
      <c r="L526" s="696"/>
      <c r="M526" s="1075"/>
      <c r="N526" s="1076"/>
      <c r="O526" s="968"/>
      <c r="P526" s="969"/>
      <c r="Q526" s="970"/>
    </row>
    <row r="527" spans="1:17" ht="15" thickBot="1">
      <c r="A527" s="590"/>
      <c r="B527" s="661"/>
      <c r="C527" s="593"/>
      <c r="D527" s="662"/>
      <c r="E527" s="594"/>
      <c r="F527" s="595"/>
      <c r="K527" s="696"/>
      <c r="L527" s="696"/>
      <c r="M527" s="1075"/>
      <c r="N527" s="1076"/>
      <c r="O527" s="968"/>
      <c r="P527" s="969"/>
      <c r="Q527" s="970"/>
    </row>
    <row r="528" spans="1:17">
      <c r="A528" s="590" t="s">
        <v>294</v>
      </c>
      <c r="B528" s="661" t="s">
        <v>468</v>
      </c>
      <c r="C528" s="593">
        <v>2</v>
      </c>
      <c r="D528" s="662" t="s">
        <v>283</v>
      </c>
      <c r="E528" s="594"/>
      <c r="F528" s="595">
        <f>E528*C528</f>
        <v>0</v>
      </c>
      <c r="K528" s="1014"/>
      <c r="L528" s="1014"/>
      <c r="M528" s="1015"/>
      <c r="N528" s="1016"/>
      <c r="O528" s="1017"/>
      <c r="P528" s="1018"/>
      <c r="Q528" s="1019"/>
    </row>
    <row r="529" spans="1:17">
      <c r="A529" s="590"/>
      <c r="B529" s="661"/>
      <c r="C529" s="593"/>
      <c r="D529" s="662"/>
      <c r="E529" s="594"/>
      <c r="F529" s="595"/>
      <c r="K529" s="1020"/>
      <c r="L529" s="1020"/>
      <c r="M529" s="1021" t="s">
        <v>289</v>
      </c>
      <c r="N529" s="1022"/>
      <c r="O529" s="1023"/>
      <c r="P529" s="1024"/>
      <c r="Q529" s="1010">
        <f>SUM(Q477:Q527)</f>
        <v>0</v>
      </c>
    </row>
    <row r="530" spans="1:17">
      <c r="A530" s="590" t="s">
        <v>339</v>
      </c>
      <c r="B530" s="661" t="s">
        <v>469</v>
      </c>
      <c r="C530" s="593">
        <v>2</v>
      </c>
      <c r="D530" s="662" t="s">
        <v>283</v>
      </c>
      <c r="E530" s="594"/>
      <c r="F530" s="595">
        <f>E530*C530</f>
        <v>0</v>
      </c>
      <c r="K530" s="1025"/>
      <c r="L530" s="1025"/>
      <c r="M530" s="1026"/>
      <c r="N530" s="1027"/>
      <c r="O530" s="1028"/>
      <c r="P530" s="1029"/>
      <c r="Q530" s="1030"/>
    </row>
    <row r="531" spans="1:17" ht="17.399999999999999">
      <c r="A531" s="590"/>
      <c r="B531" s="661"/>
      <c r="C531" s="593"/>
      <c r="D531" s="662"/>
      <c r="E531" s="594"/>
      <c r="F531" s="595"/>
      <c r="K531" s="980"/>
      <c r="L531" s="981"/>
      <c r="M531" s="1077"/>
      <c r="N531" s="982"/>
      <c r="O531" s="983"/>
      <c r="P531" s="984"/>
      <c r="Q531" s="985"/>
    </row>
    <row r="532" spans="1:17">
      <c r="A532" s="590" t="s">
        <v>340</v>
      </c>
      <c r="B532" s="661" t="s">
        <v>470</v>
      </c>
      <c r="C532" s="593">
        <v>2</v>
      </c>
      <c r="D532" s="662" t="s">
        <v>283</v>
      </c>
      <c r="E532" s="594"/>
      <c r="F532" s="595">
        <f>E532*C532</f>
        <v>0</v>
      </c>
      <c r="K532" s="986"/>
      <c r="L532" s="987"/>
      <c r="M532" s="1078"/>
      <c r="N532" s="988"/>
      <c r="O532" s="989"/>
      <c r="P532" s="990"/>
      <c r="Q532" s="991"/>
    </row>
    <row r="533" spans="1:17">
      <c r="A533" s="590"/>
      <c r="B533" s="661"/>
      <c r="C533" s="593"/>
      <c r="D533" s="662"/>
      <c r="E533" s="594"/>
      <c r="F533" s="595"/>
      <c r="K533" s="986"/>
      <c r="L533" s="987"/>
      <c r="M533" s="1078"/>
      <c r="N533" s="988"/>
      <c r="O533" s="989"/>
      <c r="P533" s="990"/>
      <c r="Q533" s="991"/>
    </row>
    <row r="534" spans="1:17">
      <c r="A534" s="590" t="s">
        <v>409</v>
      </c>
      <c r="B534" s="661" t="s">
        <v>471</v>
      </c>
      <c r="C534" s="593">
        <v>2</v>
      </c>
      <c r="D534" s="662" t="s">
        <v>283</v>
      </c>
      <c r="E534" s="594"/>
      <c r="F534" s="595">
        <f>E534*C534</f>
        <v>0</v>
      </c>
      <c r="K534" s="1020"/>
      <c r="L534" s="993"/>
      <c r="M534" s="959"/>
      <c r="N534" s="543"/>
      <c r="O534" s="994"/>
      <c r="P534" s="995"/>
      <c r="Q534" s="996"/>
    </row>
    <row r="535" spans="1:17" ht="15" thickBot="1">
      <c r="A535" s="590"/>
      <c r="B535" s="661"/>
      <c r="C535" s="593"/>
      <c r="D535" s="662"/>
      <c r="E535" s="594"/>
      <c r="F535" s="595"/>
      <c r="K535" s="997" t="s">
        <v>276</v>
      </c>
      <c r="L535" s="998" t="s">
        <v>887</v>
      </c>
      <c r="M535" s="999"/>
      <c r="N535" s="1000" t="s">
        <v>266</v>
      </c>
      <c r="O535" s="1001" t="s">
        <v>277</v>
      </c>
      <c r="P535" s="1002" t="s">
        <v>278</v>
      </c>
      <c r="Q535" s="1003" t="s">
        <v>267</v>
      </c>
    </row>
    <row r="536" spans="1:17">
      <c r="A536" s="590" t="s">
        <v>416</v>
      </c>
      <c r="B536" s="661" t="s">
        <v>472</v>
      </c>
      <c r="C536" s="593">
        <v>2</v>
      </c>
      <c r="D536" s="662" t="s">
        <v>283</v>
      </c>
      <c r="E536" s="594"/>
      <c r="F536" s="595">
        <f>E536*C536</f>
        <v>0</v>
      </c>
      <c r="K536" s="696"/>
      <c r="L536" s="696"/>
      <c r="M536" s="1075"/>
      <c r="N536" s="1076"/>
      <c r="O536" s="968"/>
      <c r="P536" s="969"/>
      <c r="Q536" s="970"/>
    </row>
    <row r="537" spans="1:17">
      <c r="A537" s="590"/>
      <c r="B537" s="661"/>
      <c r="C537" s="593"/>
      <c r="D537" s="662"/>
      <c r="E537" s="594"/>
      <c r="F537" s="595"/>
      <c r="K537" s="1031">
        <f>K477+1</f>
        <v>10</v>
      </c>
      <c r="L537" s="696"/>
      <c r="M537" s="1032" t="s">
        <v>300</v>
      </c>
      <c r="N537" s="1083"/>
      <c r="O537" s="968"/>
      <c r="P537" s="969"/>
      <c r="Q537" s="970"/>
    </row>
    <row r="538" spans="1:17">
      <c r="A538" s="590" t="s">
        <v>424</v>
      </c>
      <c r="B538" s="661" t="s">
        <v>473</v>
      </c>
      <c r="C538" s="593">
        <v>2</v>
      </c>
      <c r="D538" s="662" t="s">
        <v>283</v>
      </c>
      <c r="E538" s="594"/>
      <c r="F538" s="595">
        <f>E538*C538</f>
        <v>0</v>
      </c>
      <c r="K538" s="696"/>
      <c r="L538" s="696"/>
      <c r="M538" s="1075"/>
      <c r="N538" s="1076"/>
      <c r="O538" s="968"/>
      <c r="P538" s="969"/>
      <c r="Q538" s="970"/>
    </row>
    <row r="539" spans="1:17">
      <c r="A539" s="590"/>
      <c r="B539" s="661"/>
      <c r="C539" s="593"/>
      <c r="D539" s="662"/>
      <c r="E539" s="594"/>
      <c r="F539" s="595"/>
      <c r="K539" s="696"/>
      <c r="L539" s="696"/>
      <c r="M539" s="1075" t="s">
        <v>478</v>
      </c>
      <c r="N539" s="1076" t="s">
        <v>283</v>
      </c>
      <c r="O539" s="968">
        <v>2</v>
      </c>
      <c r="P539" s="969"/>
      <c r="Q539" s="970">
        <f>P539*O539</f>
        <v>0</v>
      </c>
    </row>
    <row r="540" spans="1:17">
      <c r="A540" s="590" t="s">
        <v>426</v>
      </c>
      <c r="B540" s="661" t="s">
        <v>474</v>
      </c>
      <c r="C540" s="593">
        <v>2</v>
      </c>
      <c r="D540" s="662" t="s">
        <v>283</v>
      </c>
      <c r="E540" s="594"/>
      <c r="F540" s="595">
        <f>E540*C540</f>
        <v>0</v>
      </c>
      <c r="K540" s="696"/>
      <c r="L540" s="696"/>
      <c r="M540" s="1075"/>
      <c r="N540" s="1076"/>
      <c r="O540" s="968"/>
      <c r="P540" s="969"/>
      <c r="Q540" s="970"/>
    </row>
    <row r="541" spans="1:17">
      <c r="A541" s="590"/>
      <c r="B541" s="661"/>
      <c r="C541" s="593"/>
      <c r="D541" s="662"/>
      <c r="E541" s="594"/>
      <c r="F541" s="595"/>
      <c r="K541" s="696"/>
      <c r="L541" s="696"/>
      <c r="M541" s="1075" t="s">
        <v>479</v>
      </c>
      <c r="N541" s="1076" t="s">
        <v>283</v>
      </c>
      <c r="O541" s="968">
        <v>2</v>
      </c>
      <c r="P541" s="969"/>
      <c r="Q541" s="970">
        <f>P541*O541</f>
        <v>0</v>
      </c>
    </row>
    <row r="542" spans="1:17">
      <c r="A542" s="590" t="s">
        <v>428</v>
      </c>
      <c r="B542" s="661" t="s">
        <v>475</v>
      </c>
      <c r="C542" s="593">
        <v>2</v>
      </c>
      <c r="D542" s="662" t="s">
        <v>283</v>
      </c>
      <c r="E542" s="594"/>
      <c r="F542" s="595">
        <f>E542*C542</f>
        <v>0</v>
      </c>
      <c r="K542" s="696"/>
      <c r="L542" s="696"/>
      <c r="M542" s="1075"/>
      <c r="N542" s="1076"/>
      <c r="O542" s="968"/>
      <c r="P542" s="969"/>
      <c r="Q542" s="970"/>
    </row>
    <row r="543" spans="1:17">
      <c r="A543" s="590"/>
      <c r="B543" s="661"/>
      <c r="C543" s="593"/>
      <c r="D543" s="662"/>
      <c r="E543" s="594"/>
      <c r="F543" s="595"/>
      <c r="K543" s="696"/>
      <c r="L543" s="696"/>
      <c r="M543" s="1075" t="s">
        <v>480</v>
      </c>
      <c r="N543" s="1076" t="s">
        <v>283</v>
      </c>
      <c r="O543" s="968">
        <v>2</v>
      </c>
      <c r="P543" s="969"/>
      <c r="Q543" s="970">
        <f>P543*O543</f>
        <v>0</v>
      </c>
    </row>
    <row r="544" spans="1:17">
      <c r="A544" s="590" t="s">
        <v>430</v>
      </c>
      <c r="B544" s="661" t="s">
        <v>476</v>
      </c>
      <c r="C544" s="593">
        <v>2</v>
      </c>
      <c r="D544" s="662" t="s">
        <v>283</v>
      </c>
      <c r="E544" s="594"/>
      <c r="F544" s="595">
        <f>E544*C544</f>
        <v>0</v>
      </c>
      <c r="K544" s="696"/>
      <c r="L544" s="696"/>
      <c r="M544" s="1075"/>
      <c r="N544" s="1076"/>
      <c r="O544" s="968"/>
      <c r="P544" s="969"/>
      <c r="Q544" s="970"/>
    </row>
    <row r="545" spans="1:17">
      <c r="A545" s="590"/>
      <c r="B545" s="661"/>
      <c r="C545" s="593"/>
      <c r="D545" s="662"/>
      <c r="E545" s="594"/>
      <c r="F545" s="595"/>
      <c r="K545" s="696"/>
      <c r="L545" s="696"/>
      <c r="M545" s="1075" t="s">
        <v>481</v>
      </c>
      <c r="N545" s="1076" t="s">
        <v>283</v>
      </c>
      <c r="O545" s="968">
        <v>2</v>
      </c>
      <c r="P545" s="969"/>
      <c r="Q545" s="970">
        <f>P545*O545</f>
        <v>0</v>
      </c>
    </row>
    <row r="546" spans="1:17">
      <c r="A546" s="590" t="s">
        <v>432</v>
      </c>
      <c r="B546" s="661" t="s">
        <v>477</v>
      </c>
      <c r="C546" s="593">
        <v>2</v>
      </c>
      <c r="D546" s="662" t="s">
        <v>283</v>
      </c>
      <c r="E546" s="594"/>
      <c r="F546" s="595">
        <f>E546*C546</f>
        <v>0</v>
      </c>
      <c r="K546" s="696"/>
      <c r="L546" s="696"/>
      <c r="M546" s="1075"/>
      <c r="N546" s="1076"/>
      <c r="O546" s="968"/>
      <c r="P546" s="969"/>
      <c r="Q546" s="970"/>
    </row>
    <row r="547" spans="1:17">
      <c r="A547" s="590"/>
      <c r="B547" s="661"/>
      <c r="C547" s="593"/>
      <c r="D547" s="662"/>
      <c r="E547" s="594"/>
      <c r="F547" s="595"/>
      <c r="K547" s="696"/>
      <c r="L547" s="696"/>
      <c r="M547" s="1075" t="s">
        <v>482</v>
      </c>
      <c r="N547" s="1076" t="s">
        <v>283</v>
      </c>
      <c r="O547" s="968">
        <v>2</v>
      </c>
      <c r="P547" s="969"/>
      <c r="Q547" s="970">
        <f>P547*O547</f>
        <v>0</v>
      </c>
    </row>
    <row r="548" spans="1:17">
      <c r="A548" s="590"/>
      <c r="B548" s="661"/>
      <c r="C548" s="593"/>
      <c r="D548" s="662"/>
      <c r="E548" s="594"/>
      <c r="F548" s="595"/>
      <c r="K548" s="696"/>
      <c r="L548" s="696"/>
      <c r="M548" s="1075"/>
      <c r="N548" s="1076"/>
      <c r="O548" s="968"/>
      <c r="P548" s="969"/>
      <c r="Q548" s="970"/>
    </row>
    <row r="549" spans="1:17">
      <c r="A549" s="590"/>
      <c r="B549" s="661"/>
      <c r="C549" s="593"/>
      <c r="D549" s="662"/>
      <c r="E549" s="594"/>
      <c r="F549" s="595"/>
      <c r="K549" s="696"/>
      <c r="L549" s="696"/>
      <c r="M549" s="1075" t="s">
        <v>483</v>
      </c>
      <c r="N549" s="1076" t="s">
        <v>283</v>
      </c>
      <c r="O549" s="968">
        <v>2</v>
      </c>
      <c r="P549" s="969"/>
      <c r="Q549" s="970">
        <f>P549*O549</f>
        <v>0</v>
      </c>
    </row>
    <row r="550" spans="1:17">
      <c r="A550" s="590"/>
      <c r="B550" s="661"/>
      <c r="C550" s="593"/>
      <c r="D550" s="662"/>
      <c r="E550" s="594"/>
      <c r="F550" s="595"/>
      <c r="K550" s="696"/>
      <c r="L550" s="696"/>
      <c r="M550" s="1075"/>
      <c r="N550" s="1076"/>
      <c r="O550" s="968"/>
      <c r="P550" s="969"/>
      <c r="Q550" s="970"/>
    </row>
    <row r="551" spans="1:17">
      <c r="A551" s="590"/>
      <c r="B551" s="661"/>
      <c r="C551" s="593"/>
      <c r="D551" s="662"/>
      <c r="E551" s="594"/>
      <c r="F551" s="595"/>
      <c r="K551" s="696"/>
      <c r="L551" s="696"/>
      <c r="M551" s="1075"/>
      <c r="N551" s="1076"/>
      <c r="O551" s="968"/>
      <c r="P551" s="969"/>
      <c r="Q551" s="970"/>
    </row>
    <row r="552" spans="1:17">
      <c r="A552" s="590"/>
      <c r="B552" s="661"/>
      <c r="C552" s="593"/>
      <c r="D552" s="662"/>
      <c r="E552" s="594"/>
      <c r="F552" s="595"/>
      <c r="K552" s="696"/>
      <c r="L552" s="696"/>
      <c r="M552" s="1075"/>
      <c r="N552" s="1076"/>
      <c r="O552" s="968"/>
      <c r="P552" s="969"/>
      <c r="Q552" s="970"/>
    </row>
    <row r="553" spans="1:17">
      <c r="A553" s="590"/>
      <c r="B553" s="661"/>
      <c r="C553" s="593"/>
      <c r="D553" s="662"/>
      <c r="E553" s="594"/>
      <c r="F553" s="595"/>
      <c r="K553" s="696"/>
      <c r="L553" s="696"/>
      <c r="M553" s="1075"/>
      <c r="N553" s="1076"/>
      <c r="O553" s="968"/>
      <c r="P553" s="969"/>
      <c r="Q553" s="970"/>
    </row>
    <row r="554" spans="1:17">
      <c r="A554" s="590"/>
      <c r="B554" s="661"/>
      <c r="C554" s="593"/>
      <c r="D554" s="662"/>
      <c r="E554" s="594"/>
      <c r="F554" s="595"/>
      <c r="K554" s="696"/>
      <c r="L554" s="696"/>
      <c r="M554" s="1040"/>
      <c r="N554" s="1076"/>
      <c r="O554" s="544"/>
      <c r="P554" s="969"/>
      <c r="Q554" s="970"/>
    </row>
    <row r="555" spans="1:17">
      <c r="A555" s="590"/>
      <c r="B555" s="661"/>
      <c r="C555" s="593"/>
      <c r="D555" s="662"/>
      <c r="E555" s="594"/>
      <c r="F555" s="595"/>
      <c r="K555" s="696"/>
      <c r="L555" s="696"/>
      <c r="M555" s="1075"/>
      <c r="N555" s="1076"/>
      <c r="O555" s="968"/>
      <c r="P555" s="969"/>
      <c r="Q555" s="970"/>
    </row>
    <row r="556" spans="1:17">
      <c r="A556" s="590"/>
      <c r="B556" s="661"/>
      <c r="C556" s="593"/>
      <c r="D556" s="662"/>
      <c r="E556" s="594"/>
      <c r="F556" s="595"/>
      <c r="K556" s="696"/>
      <c r="L556" s="696"/>
      <c r="M556" s="1075"/>
      <c r="N556" s="1076"/>
      <c r="O556" s="968"/>
      <c r="P556" s="969"/>
      <c r="Q556" s="970"/>
    </row>
    <row r="557" spans="1:17">
      <c r="A557" s="590"/>
      <c r="B557" s="661"/>
      <c r="C557" s="593"/>
      <c r="D557" s="662"/>
      <c r="E557" s="594"/>
      <c r="F557" s="595"/>
      <c r="K557" s="696"/>
      <c r="L557" s="696"/>
      <c r="M557" s="1075"/>
      <c r="N557" s="1076"/>
      <c r="O557" s="968"/>
      <c r="P557" s="969"/>
      <c r="Q557" s="970"/>
    </row>
    <row r="558" spans="1:17">
      <c r="A558" s="590"/>
      <c r="B558" s="661"/>
      <c r="C558" s="593"/>
      <c r="D558" s="662"/>
      <c r="E558" s="594"/>
      <c r="F558" s="595"/>
      <c r="K558" s="696"/>
      <c r="L558" s="696"/>
      <c r="M558" s="1075"/>
      <c r="N558" s="1076"/>
      <c r="O558" s="968"/>
      <c r="P558" s="969"/>
      <c r="Q558" s="970"/>
    </row>
    <row r="559" spans="1:17">
      <c r="A559" s="590"/>
      <c r="B559" s="661"/>
      <c r="C559" s="593"/>
      <c r="D559" s="662"/>
      <c r="E559" s="594"/>
      <c r="F559" s="595"/>
      <c r="K559" s="696"/>
      <c r="L559" s="696"/>
      <c r="M559" s="1075"/>
      <c r="N559" s="1076"/>
      <c r="O559" s="968"/>
      <c r="P559" s="969"/>
      <c r="Q559" s="970"/>
    </row>
    <row r="560" spans="1:17">
      <c r="A560" s="590"/>
      <c r="B560" s="661"/>
      <c r="C560" s="593"/>
      <c r="D560" s="662"/>
      <c r="E560" s="594"/>
      <c r="F560" s="595"/>
      <c r="K560" s="696"/>
      <c r="L560" s="696"/>
      <c r="M560" s="1075"/>
      <c r="N560" s="1076"/>
      <c r="O560" s="968"/>
      <c r="P560" s="969"/>
      <c r="Q560" s="970"/>
    </row>
    <row r="561" spans="1:17">
      <c r="A561" s="590"/>
      <c r="B561" s="661"/>
      <c r="C561" s="593"/>
      <c r="D561" s="662"/>
      <c r="E561" s="594"/>
      <c r="F561" s="595"/>
      <c r="K561" s="696"/>
      <c r="L561" s="696"/>
      <c r="M561" s="1075"/>
      <c r="N561" s="1076"/>
      <c r="O561" s="968"/>
      <c r="P561" s="969"/>
      <c r="Q561" s="970"/>
    </row>
    <row r="562" spans="1:17">
      <c r="A562" s="590"/>
      <c r="B562" s="661"/>
      <c r="C562" s="593"/>
      <c r="D562" s="662"/>
      <c r="E562" s="594"/>
      <c r="F562" s="595"/>
      <c r="K562" s="696"/>
      <c r="L562" s="696"/>
      <c r="M562" s="1075"/>
      <c r="N562" s="1076"/>
      <c r="O562" s="968"/>
      <c r="P562" s="969"/>
      <c r="Q562" s="970"/>
    </row>
    <row r="563" spans="1:17">
      <c r="A563" s="590"/>
      <c r="B563" s="661"/>
      <c r="C563" s="593"/>
      <c r="D563" s="662"/>
      <c r="E563" s="594"/>
      <c r="F563" s="595"/>
      <c r="K563" s="696"/>
      <c r="L563" s="696"/>
      <c r="M563" s="1075"/>
      <c r="N563" s="1076"/>
      <c r="O563" s="968"/>
      <c r="P563" s="969"/>
      <c r="Q563" s="970"/>
    </row>
    <row r="564" spans="1:17">
      <c r="A564" s="590"/>
      <c r="B564" s="661"/>
      <c r="C564" s="593"/>
      <c r="D564" s="662"/>
      <c r="E564" s="594"/>
      <c r="F564" s="595"/>
      <c r="K564" s="696"/>
      <c r="L564" s="696"/>
      <c r="M564" s="1075"/>
      <c r="N564" s="1076"/>
      <c r="O564" s="968"/>
      <c r="P564" s="969"/>
      <c r="Q564" s="970"/>
    </row>
    <row r="565" spans="1:17">
      <c r="A565" s="590"/>
      <c r="B565" s="661"/>
      <c r="C565" s="593"/>
      <c r="D565" s="662"/>
      <c r="E565" s="594"/>
      <c r="F565" s="595"/>
      <c r="K565" s="696"/>
      <c r="L565" s="696"/>
      <c r="M565" s="1075"/>
      <c r="N565" s="1076"/>
      <c r="O565" s="968"/>
      <c r="P565" s="969"/>
      <c r="Q565" s="970"/>
    </row>
    <row r="566" spans="1:17">
      <c r="A566" s="590"/>
      <c r="B566" s="661"/>
      <c r="C566" s="593"/>
      <c r="D566" s="662"/>
      <c r="E566" s="594"/>
      <c r="F566" s="595"/>
      <c r="K566" s="696"/>
      <c r="L566" s="696"/>
      <c r="M566" s="1075"/>
      <c r="N566" s="1076"/>
      <c r="O566" s="968"/>
      <c r="P566" s="969"/>
      <c r="Q566" s="970"/>
    </row>
    <row r="567" spans="1:17">
      <c r="A567" s="590"/>
      <c r="B567" s="661"/>
      <c r="C567" s="593"/>
      <c r="D567" s="662"/>
      <c r="E567" s="594"/>
      <c r="F567" s="595"/>
      <c r="K567" s="696"/>
      <c r="L567" s="696"/>
      <c r="M567" s="1075"/>
      <c r="N567" s="1076"/>
      <c r="O567" s="968"/>
      <c r="P567" s="969"/>
      <c r="Q567" s="970"/>
    </row>
    <row r="568" spans="1:17">
      <c r="A568" s="590"/>
      <c r="B568" s="661"/>
      <c r="C568" s="593"/>
      <c r="D568" s="662"/>
      <c r="E568" s="594"/>
      <c r="F568" s="595"/>
      <c r="K568" s="696"/>
      <c r="L568" s="696"/>
      <c r="M568" s="1075"/>
      <c r="N568" s="1076"/>
      <c r="O568" s="968"/>
      <c r="P568" s="969"/>
      <c r="Q568" s="970"/>
    </row>
    <row r="569" spans="1:17">
      <c r="A569" s="590"/>
      <c r="B569" s="661"/>
      <c r="C569" s="593"/>
      <c r="D569" s="662"/>
      <c r="E569" s="594"/>
      <c r="F569" s="595"/>
      <c r="K569" s="696"/>
      <c r="L569" s="696"/>
      <c r="M569" s="1075"/>
      <c r="N569" s="1076"/>
      <c r="O569" s="968"/>
      <c r="P569" s="969"/>
      <c r="Q569" s="970"/>
    </row>
    <row r="570" spans="1:17">
      <c r="A570" s="590"/>
      <c r="B570" s="661"/>
      <c r="C570" s="593"/>
      <c r="D570" s="662"/>
      <c r="E570" s="594"/>
      <c r="F570" s="595"/>
      <c r="K570" s="696"/>
      <c r="L570" s="696"/>
      <c r="M570" s="1075"/>
      <c r="N570" s="1076"/>
      <c r="O570" s="968"/>
      <c r="P570" s="969"/>
      <c r="Q570" s="970"/>
    </row>
    <row r="571" spans="1:17">
      <c r="A571" s="590"/>
      <c r="B571" s="661"/>
      <c r="C571" s="593"/>
      <c r="D571" s="662"/>
      <c r="E571" s="594"/>
      <c r="F571" s="595"/>
      <c r="K571" s="696"/>
      <c r="L571" s="696"/>
      <c r="M571" s="1075"/>
      <c r="N571" s="1076"/>
      <c r="O571" s="968"/>
      <c r="P571" s="969"/>
      <c r="Q571" s="970"/>
    </row>
    <row r="572" spans="1:17">
      <c r="A572" s="590"/>
      <c r="B572" s="661"/>
      <c r="C572" s="593"/>
      <c r="D572" s="662"/>
      <c r="E572" s="594"/>
      <c r="F572" s="595"/>
      <c r="K572" s="696"/>
      <c r="L572" s="696"/>
      <c r="M572" s="1075"/>
      <c r="N572" s="1076"/>
      <c r="O572" s="968"/>
      <c r="P572" s="969"/>
      <c r="Q572" s="970"/>
    </row>
    <row r="573" spans="1:17">
      <c r="A573" s="590"/>
      <c r="B573" s="661"/>
      <c r="C573" s="593"/>
      <c r="D573" s="662"/>
      <c r="E573" s="594"/>
      <c r="F573" s="595"/>
      <c r="K573" s="696"/>
      <c r="L573" s="696"/>
      <c r="M573" s="1075"/>
      <c r="N573" s="1076"/>
      <c r="O573" s="968"/>
      <c r="P573" s="969"/>
      <c r="Q573" s="970"/>
    </row>
    <row r="574" spans="1:17">
      <c r="A574" s="590"/>
      <c r="B574" s="661"/>
      <c r="C574" s="593"/>
      <c r="D574" s="662"/>
      <c r="E574" s="594"/>
      <c r="F574" s="595"/>
      <c r="K574" s="696"/>
      <c r="L574" s="696"/>
      <c r="M574" s="1075"/>
      <c r="N574" s="1076"/>
      <c r="O574" s="968"/>
      <c r="P574" s="969"/>
      <c r="Q574" s="970"/>
    </row>
    <row r="575" spans="1:17">
      <c r="A575" s="590"/>
      <c r="B575" s="661"/>
      <c r="C575" s="593"/>
      <c r="D575" s="662"/>
      <c r="E575" s="594"/>
      <c r="F575" s="595"/>
      <c r="K575" s="696"/>
      <c r="L575" s="696"/>
      <c r="M575" s="1075"/>
      <c r="N575" s="1076"/>
      <c r="O575" s="968"/>
      <c r="P575" s="969"/>
      <c r="Q575" s="970"/>
    </row>
    <row r="576" spans="1:17" ht="15" thickBot="1">
      <c r="A576" s="590"/>
      <c r="B576" s="661"/>
      <c r="C576" s="593"/>
      <c r="D576" s="662"/>
      <c r="E576" s="594"/>
      <c r="F576" s="595"/>
      <c r="K576" s="696"/>
      <c r="L576" s="696"/>
      <c r="M576" s="1075"/>
      <c r="N576" s="1076"/>
      <c r="O576" s="968"/>
      <c r="P576" s="969"/>
      <c r="Q576" s="970"/>
    </row>
    <row r="577" spans="1:17">
      <c r="A577" s="612"/>
      <c r="B577" s="613"/>
      <c r="C577" s="615"/>
      <c r="D577" s="614"/>
      <c r="E577" s="616"/>
      <c r="F577" s="617"/>
      <c r="K577" s="696"/>
      <c r="L577" s="696"/>
      <c r="M577" s="1075"/>
      <c r="N577" s="1076"/>
      <c r="O577" s="968"/>
      <c r="P577" s="969"/>
      <c r="Q577" s="970"/>
    </row>
    <row r="578" spans="1:17">
      <c r="A578" s="618" t="s">
        <v>310</v>
      </c>
      <c r="B578" s="619" t="s">
        <v>289</v>
      </c>
      <c r="C578" s="621"/>
      <c r="D578" s="620"/>
      <c r="E578" s="622"/>
      <c r="F578" s="623">
        <f>SUM(F526:F576)</f>
        <v>0</v>
      </c>
      <c r="H578" s="645"/>
      <c r="K578" s="696"/>
      <c r="L578" s="696"/>
      <c r="M578" s="1075"/>
      <c r="N578" s="1076"/>
      <c r="O578" s="968"/>
      <c r="P578" s="969"/>
      <c r="Q578" s="970"/>
    </row>
    <row r="579" spans="1:17">
      <c r="A579" s="624"/>
      <c r="B579" s="625"/>
      <c r="C579" s="627"/>
      <c r="D579" s="626"/>
      <c r="E579" s="628"/>
      <c r="F579" s="629"/>
      <c r="K579" s="696"/>
      <c r="L579" s="696"/>
      <c r="M579" s="1075"/>
      <c r="N579" s="1076"/>
      <c r="O579" s="968"/>
      <c r="P579" s="969"/>
      <c r="Q579" s="970"/>
    </row>
    <row r="580" spans="1:17" ht="17.399999999999999">
      <c r="A580" s="568"/>
      <c r="B580" s="663"/>
      <c r="C580" s="570"/>
      <c r="D580" s="569"/>
      <c r="E580" s="571"/>
      <c r="F580" s="572"/>
      <c r="K580" s="696"/>
      <c r="L580" s="696"/>
      <c r="M580" s="1075"/>
      <c r="N580" s="1076"/>
      <c r="O580" s="968"/>
      <c r="P580" s="969"/>
      <c r="Q580" s="970"/>
    </row>
    <row r="581" spans="1:17">
      <c r="A581" s="574"/>
      <c r="B581" s="664"/>
      <c r="C581" s="576"/>
      <c r="D581" s="575"/>
      <c r="E581" s="577"/>
      <c r="F581" s="578"/>
      <c r="K581" s="696"/>
      <c r="L581" s="696"/>
      <c r="M581" s="1075"/>
      <c r="N581" s="1076"/>
      <c r="O581" s="968"/>
      <c r="P581" s="969"/>
      <c r="Q581" s="970"/>
    </row>
    <row r="582" spans="1:17">
      <c r="A582" s="574"/>
      <c r="B582" s="664"/>
      <c r="C582" s="576"/>
      <c r="D582" s="575"/>
      <c r="E582" s="577"/>
      <c r="F582" s="578"/>
      <c r="K582" s="696"/>
      <c r="L582" s="696"/>
      <c r="M582" s="1075"/>
      <c r="N582" s="1076"/>
      <c r="O582" s="968"/>
      <c r="P582" s="969"/>
      <c r="Q582" s="970"/>
    </row>
    <row r="583" spans="1:17">
      <c r="A583" s="618"/>
      <c r="B583" s="657"/>
      <c r="C583" s="581"/>
      <c r="D583" s="580"/>
      <c r="E583" s="582"/>
      <c r="F583" s="583"/>
      <c r="K583" s="696"/>
      <c r="L583" s="696"/>
      <c r="M583" s="1075"/>
      <c r="N583" s="1076"/>
      <c r="O583" s="968"/>
      <c r="P583" s="969"/>
      <c r="Q583" s="970"/>
    </row>
    <row r="584" spans="1:17" ht="15" thickBot="1">
      <c r="A584" s="584" t="s">
        <v>276</v>
      </c>
      <c r="B584" s="585"/>
      <c r="C584" s="587" t="s">
        <v>277</v>
      </c>
      <c r="D584" s="586" t="s">
        <v>266</v>
      </c>
      <c r="E584" s="588" t="s">
        <v>278</v>
      </c>
      <c r="F584" s="589" t="s">
        <v>267</v>
      </c>
      <c r="K584" s="696"/>
      <c r="L584" s="696"/>
      <c r="M584" s="1075"/>
      <c r="N584" s="1076"/>
      <c r="O584" s="968"/>
      <c r="P584" s="969"/>
      <c r="Q584" s="970"/>
    </row>
    <row r="585" spans="1:17">
      <c r="A585" s="590"/>
      <c r="B585" s="661"/>
      <c r="C585" s="593"/>
      <c r="D585" s="662"/>
      <c r="E585" s="594"/>
      <c r="F585" s="595"/>
      <c r="K585" s="696"/>
      <c r="L585" s="696"/>
      <c r="M585" s="1075"/>
      <c r="N585" s="1076"/>
      <c r="O585" s="968"/>
      <c r="P585" s="969"/>
      <c r="Q585" s="970"/>
    </row>
    <row r="586" spans="1:17">
      <c r="A586" s="652" t="s">
        <v>495</v>
      </c>
      <c r="B586" s="651" t="s">
        <v>300</v>
      </c>
      <c r="C586" s="593"/>
      <c r="D586" s="684"/>
      <c r="E586" s="594"/>
      <c r="F586" s="595"/>
      <c r="K586" s="696"/>
      <c r="L586" s="696"/>
      <c r="M586" s="1040"/>
      <c r="N586" s="1076"/>
      <c r="O586" s="544"/>
      <c r="P586" s="969"/>
      <c r="Q586" s="970"/>
    </row>
    <row r="587" spans="1:17" ht="15" thickBot="1">
      <c r="A587" s="590"/>
      <c r="B587" s="661"/>
      <c r="C587" s="593"/>
      <c r="D587" s="662"/>
      <c r="E587" s="594"/>
      <c r="F587" s="595"/>
      <c r="K587" s="696"/>
      <c r="L587" s="696"/>
      <c r="M587" s="1079"/>
      <c r="N587" s="1076"/>
      <c r="O587" s="968"/>
      <c r="P587" s="969"/>
      <c r="Q587" s="970"/>
    </row>
    <row r="588" spans="1:17">
      <c r="A588" s="590" t="s">
        <v>294</v>
      </c>
      <c r="B588" s="661" t="s">
        <v>478</v>
      </c>
      <c r="C588" s="593">
        <v>2</v>
      </c>
      <c r="D588" s="662" t="s">
        <v>283</v>
      </c>
      <c r="E588" s="594"/>
      <c r="F588" s="595">
        <f>E588*C588</f>
        <v>0</v>
      </c>
      <c r="K588" s="1014"/>
      <c r="L588" s="1014"/>
      <c r="M588" s="1015"/>
      <c r="N588" s="1016"/>
      <c r="O588" s="1017"/>
      <c r="P588" s="1018"/>
      <c r="Q588" s="1019"/>
    </row>
    <row r="589" spans="1:17">
      <c r="A589" s="590"/>
      <c r="B589" s="661"/>
      <c r="C589" s="593"/>
      <c r="D589" s="662"/>
      <c r="E589" s="594"/>
      <c r="F589" s="595"/>
      <c r="K589" s="1020"/>
      <c r="L589" s="1020"/>
      <c r="M589" s="1021" t="s">
        <v>289</v>
      </c>
      <c r="N589" s="1022"/>
      <c r="O589" s="1023"/>
      <c r="P589" s="1024"/>
      <c r="Q589" s="1010">
        <f>SUM(Q537:Q587)</f>
        <v>0</v>
      </c>
    </row>
    <row r="590" spans="1:17">
      <c r="A590" s="590" t="s">
        <v>339</v>
      </c>
      <c r="B590" s="661" t="s">
        <v>479</v>
      </c>
      <c r="C590" s="593">
        <v>2</v>
      </c>
      <c r="D590" s="662" t="s">
        <v>283</v>
      </c>
      <c r="E590" s="594"/>
      <c r="F590" s="595">
        <f>E590*C590</f>
        <v>0</v>
      </c>
      <c r="K590" s="1025"/>
      <c r="L590" s="1025"/>
      <c r="M590" s="1026"/>
      <c r="N590" s="1027"/>
      <c r="O590" s="1028"/>
      <c r="P590" s="1029"/>
      <c r="Q590" s="1030"/>
    </row>
    <row r="591" spans="1:17" ht="17.399999999999999">
      <c r="A591" s="590"/>
      <c r="B591" s="661"/>
      <c r="C591" s="593"/>
      <c r="D591" s="662"/>
      <c r="E591" s="594"/>
      <c r="F591" s="595"/>
      <c r="K591" s="980"/>
      <c r="L591" s="981"/>
      <c r="M591" s="1077"/>
      <c r="N591" s="982"/>
      <c r="O591" s="983"/>
      <c r="P591" s="984"/>
      <c r="Q591" s="985"/>
    </row>
    <row r="592" spans="1:17">
      <c r="A592" s="590" t="s">
        <v>340</v>
      </c>
      <c r="B592" s="661" t="s">
        <v>480</v>
      </c>
      <c r="C592" s="593">
        <v>2</v>
      </c>
      <c r="D592" s="662" t="s">
        <v>283</v>
      </c>
      <c r="E592" s="594"/>
      <c r="F592" s="595">
        <f>E592*C592</f>
        <v>0</v>
      </c>
      <c r="K592" s="986"/>
      <c r="L592" s="987"/>
      <c r="M592" s="1078"/>
      <c r="N592" s="988"/>
      <c r="O592" s="989"/>
      <c r="P592" s="990"/>
      <c r="Q592" s="991"/>
    </row>
    <row r="593" spans="1:17">
      <c r="A593" s="590"/>
      <c r="B593" s="661"/>
      <c r="C593" s="593"/>
      <c r="D593" s="662"/>
      <c r="E593" s="594"/>
      <c r="F593" s="595"/>
      <c r="K593" s="986"/>
      <c r="L593" s="987"/>
      <c r="M593" s="1078"/>
      <c r="N593" s="988"/>
      <c r="O593" s="989"/>
      <c r="P593" s="990"/>
      <c r="Q593" s="991"/>
    </row>
    <row r="594" spans="1:17">
      <c r="A594" s="590" t="s">
        <v>409</v>
      </c>
      <c r="B594" s="661" t="s">
        <v>481</v>
      </c>
      <c r="C594" s="593">
        <v>2</v>
      </c>
      <c r="D594" s="662" t="s">
        <v>283</v>
      </c>
      <c r="E594" s="594"/>
      <c r="F594" s="595">
        <f>E594*C594</f>
        <v>0</v>
      </c>
      <c r="K594" s="1020"/>
      <c r="L594" s="993"/>
      <c r="M594" s="959"/>
      <c r="N594" s="543"/>
      <c r="O594" s="994"/>
      <c r="P594" s="995"/>
      <c r="Q594" s="996"/>
    </row>
    <row r="595" spans="1:17" ht="15" thickBot="1">
      <c r="A595" s="590"/>
      <c r="B595" s="661"/>
      <c r="C595" s="593"/>
      <c r="D595" s="662"/>
      <c r="E595" s="594"/>
      <c r="F595" s="595"/>
      <c r="K595" s="997" t="s">
        <v>276</v>
      </c>
      <c r="L595" s="998" t="s">
        <v>887</v>
      </c>
      <c r="M595" s="999"/>
      <c r="N595" s="1000" t="s">
        <v>266</v>
      </c>
      <c r="O595" s="1001" t="s">
        <v>277</v>
      </c>
      <c r="P595" s="1002" t="s">
        <v>278</v>
      </c>
      <c r="Q595" s="1003" t="s">
        <v>267</v>
      </c>
    </row>
    <row r="596" spans="1:17">
      <c r="A596" s="590" t="s">
        <v>416</v>
      </c>
      <c r="B596" s="661" t="s">
        <v>482</v>
      </c>
      <c r="C596" s="593">
        <v>2</v>
      </c>
      <c r="D596" s="662" t="s">
        <v>283</v>
      </c>
      <c r="E596" s="594"/>
      <c r="F596" s="595">
        <f>E596*C596</f>
        <v>0</v>
      </c>
      <c r="K596" s="696"/>
      <c r="L596" s="696"/>
      <c r="M596" s="703"/>
      <c r="N596" s="967"/>
      <c r="O596" s="968"/>
      <c r="P596" s="969"/>
      <c r="Q596" s="970"/>
    </row>
    <row r="597" spans="1:17">
      <c r="A597" s="590"/>
      <c r="B597" s="661"/>
      <c r="C597" s="593"/>
      <c r="D597" s="662"/>
      <c r="E597" s="594"/>
      <c r="F597" s="595"/>
      <c r="K597" s="696">
        <f>K537+1</f>
        <v>11</v>
      </c>
      <c r="L597" s="696"/>
      <c r="M597" s="1032" t="s">
        <v>300</v>
      </c>
      <c r="N597" s="967"/>
      <c r="O597" s="968"/>
      <c r="P597" s="969"/>
      <c r="Q597" s="970"/>
    </row>
    <row r="598" spans="1:17">
      <c r="A598" s="590" t="s">
        <v>424</v>
      </c>
      <c r="B598" s="661" t="s">
        <v>483</v>
      </c>
      <c r="C598" s="593">
        <v>2</v>
      </c>
      <c r="D598" s="662" t="s">
        <v>283</v>
      </c>
      <c r="E598" s="594"/>
      <c r="F598" s="595">
        <f>E598*C598</f>
        <v>0</v>
      </c>
      <c r="K598" s="696"/>
      <c r="L598" s="696"/>
      <c r="M598" s="703"/>
      <c r="N598" s="967"/>
      <c r="O598" s="968"/>
      <c r="P598" s="969"/>
      <c r="Q598" s="970"/>
    </row>
    <row r="599" spans="1:17">
      <c r="A599" s="590"/>
      <c r="B599" s="661"/>
      <c r="C599" s="593"/>
      <c r="D599" s="662"/>
      <c r="E599" s="594"/>
      <c r="F599" s="595"/>
      <c r="K599" s="696"/>
      <c r="L599" s="696"/>
      <c r="M599" s="703" t="s">
        <v>485</v>
      </c>
      <c r="N599" s="967" t="s">
        <v>283</v>
      </c>
      <c r="O599" s="968">
        <v>2</v>
      </c>
      <c r="P599" s="969"/>
      <c r="Q599" s="970">
        <f>P599*O599</f>
        <v>0</v>
      </c>
    </row>
    <row r="600" spans="1:17">
      <c r="A600" s="590"/>
      <c r="B600" s="661"/>
      <c r="C600" s="593"/>
      <c r="D600" s="662"/>
      <c r="E600" s="594"/>
      <c r="F600" s="595"/>
      <c r="K600" s="696"/>
      <c r="L600" s="696"/>
      <c r="M600" s="703"/>
      <c r="N600" s="967"/>
      <c r="O600" s="968"/>
      <c r="P600" s="969"/>
      <c r="Q600" s="970"/>
    </row>
    <row r="601" spans="1:17">
      <c r="A601" s="590"/>
      <c r="B601" s="661"/>
      <c r="C601" s="593"/>
      <c r="D601" s="662"/>
      <c r="E601" s="594"/>
      <c r="F601" s="595"/>
      <c r="K601" s="696"/>
      <c r="L601" s="696"/>
      <c r="M601" s="1075" t="s">
        <v>486</v>
      </c>
      <c r="N601" s="967" t="s">
        <v>283</v>
      </c>
      <c r="O601" s="968">
        <v>2</v>
      </c>
      <c r="P601" s="969"/>
      <c r="Q601" s="970">
        <f>P601*O601</f>
        <v>0</v>
      </c>
    </row>
    <row r="602" spans="1:17">
      <c r="A602" s="590"/>
      <c r="B602" s="661"/>
      <c r="C602" s="593"/>
      <c r="D602" s="662"/>
      <c r="E602" s="594"/>
      <c r="F602" s="595"/>
      <c r="K602" s="696"/>
      <c r="L602" s="696"/>
      <c r="M602" s="703"/>
      <c r="N602" s="967"/>
      <c r="O602" s="968"/>
      <c r="P602" s="969"/>
      <c r="Q602" s="970"/>
    </row>
    <row r="603" spans="1:17">
      <c r="A603" s="590"/>
      <c r="B603" s="609"/>
      <c r="C603" s="646"/>
      <c r="D603" s="662"/>
      <c r="E603" s="594"/>
      <c r="F603" s="595"/>
      <c r="K603" s="696"/>
      <c r="L603" s="696"/>
      <c r="M603" s="703" t="s">
        <v>487</v>
      </c>
      <c r="N603" s="967" t="s">
        <v>283</v>
      </c>
      <c r="O603" s="968">
        <v>2</v>
      </c>
      <c r="P603" s="969"/>
      <c r="Q603" s="970">
        <f>P603*O603</f>
        <v>0</v>
      </c>
    </row>
    <row r="604" spans="1:17">
      <c r="A604" s="590"/>
      <c r="B604" s="661"/>
      <c r="C604" s="593"/>
      <c r="D604" s="662"/>
      <c r="E604" s="594"/>
      <c r="F604" s="595"/>
      <c r="K604" s="696"/>
      <c r="L604" s="696"/>
      <c r="M604" s="703"/>
      <c r="N604" s="967"/>
      <c r="O604" s="968"/>
      <c r="P604" s="969"/>
      <c r="Q604" s="970"/>
    </row>
    <row r="605" spans="1:17">
      <c r="A605" s="590"/>
      <c r="B605" s="661"/>
      <c r="C605" s="593"/>
      <c r="D605" s="662"/>
      <c r="E605" s="594"/>
      <c r="F605" s="595"/>
      <c r="K605" s="696"/>
      <c r="L605" s="696"/>
      <c r="M605" s="703" t="s">
        <v>488</v>
      </c>
      <c r="N605" s="967" t="s">
        <v>283</v>
      </c>
      <c r="O605" s="968">
        <v>2</v>
      </c>
      <c r="P605" s="969"/>
      <c r="Q605" s="970">
        <f>P605*O605</f>
        <v>0</v>
      </c>
    </row>
    <row r="606" spans="1:17">
      <c r="A606" s="590"/>
      <c r="B606" s="661"/>
      <c r="C606" s="593"/>
      <c r="D606" s="662"/>
      <c r="E606" s="594"/>
      <c r="F606" s="595"/>
      <c r="K606" s="696"/>
      <c r="L606" s="696"/>
      <c r="M606" s="703"/>
      <c r="N606" s="967"/>
      <c r="O606" s="968"/>
      <c r="P606" s="969"/>
      <c r="Q606" s="970"/>
    </row>
    <row r="607" spans="1:17">
      <c r="A607" s="590"/>
      <c r="B607" s="661"/>
      <c r="C607" s="593"/>
      <c r="D607" s="662"/>
      <c r="E607" s="594"/>
      <c r="F607" s="595"/>
      <c r="K607" s="696"/>
      <c r="L607" s="696"/>
      <c r="M607" s="703"/>
      <c r="N607" s="967"/>
      <c r="O607" s="968"/>
      <c r="P607" s="969"/>
      <c r="Q607" s="970"/>
    </row>
    <row r="608" spans="1:17">
      <c r="A608" s="590"/>
      <c r="B608" s="661"/>
      <c r="C608" s="593"/>
      <c r="D608" s="662"/>
      <c r="E608" s="594"/>
      <c r="F608" s="595"/>
      <c r="K608" s="696"/>
      <c r="L608" s="696"/>
      <c r="M608" s="703"/>
      <c r="N608" s="967"/>
      <c r="O608" s="968"/>
      <c r="P608" s="969"/>
      <c r="Q608" s="970"/>
    </row>
    <row r="609" spans="1:17">
      <c r="A609" s="590"/>
      <c r="B609" s="661"/>
      <c r="C609" s="593"/>
      <c r="D609" s="662"/>
      <c r="E609" s="594"/>
      <c r="F609" s="595"/>
      <c r="K609" s="696"/>
      <c r="L609" s="696"/>
      <c r="M609" s="703"/>
      <c r="N609" s="967"/>
      <c r="O609" s="968"/>
      <c r="P609" s="969"/>
      <c r="Q609" s="970"/>
    </row>
    <row r="610" spans="1:17">
      <c r="A610" s="590"/>
      <c r="B610" s="661"/>
      <c r="C610" s="593"/>
      <c r="D610" s="662"/>
      <c r="E610" s="594"/>
      <c r="F610" s="595"/>
      <c r="K610" s="696"/>
      <c r="L610" s="696"/>
      <c r="M610" s="703"/>
      <c r="N610" s="967"/>
      <c r="O610" s="968"/>
      <c r="P610" s="969"/>
      <c r="Q610" s="970"/>
    </row>
    <row r="611" spans="1:17">
      <c r="A611" s="590"/>
      <c r="B611" s="661"/>
      <c r="C611" s="593"/>
      <c r="D611" s="662"/>
      <c r="E611" s="594"/>
      <c r="F611" s="595"/>
      <c r="K611" s="696"/>
      <c r="L611" s="696"/>
      <c r="M611" s="703"/>
      <c r="N611" s="967"/>
      <c r="O611" s="968"/>
      <c r="P611" s="969"/>
      <c r="Q611" s="970"/>
    </row>
    <row r="612" spans="1:17">
      <c r="A612" s="590"/>
      <c r="B612" s="661"/>
      <c r="C612" s="593"/>
      <c r="D612" s="662"/>
      <c r="E612" s="594"/>
      <c r="F612" s="595"/>
      <c r="K612" s="696"/>
      <c r="L612" s="696"/>
      <c r="M612" s="703"/>
      <c r="N612" s="967"/>
      <c r="O612" s="968"/>
      <c r="P612" s="969"/>
      <c r="Q612" s="970"/>
    </row>
    <row r="613" spans="1:17">
      <c r="A613" s="590"/>
      <c r="B613" s="661"/>
      <c r="C613" s="593"/>
      <c r="D613" s="662"/>
      <c r="E613" s="594"/>
      <c r="F613" s="595"/>
      <c r="K613" s="696"/>
      <c r="L613" s="696"/>
      <c r="M613" s="703"/>
      <c r="N613" s="967"/>
      <c r="O613" s="968"/>
      <c r="P613" s="969"/>
      <c r="Q613" s="970"/>
    </row>
    <row r="614" spans="1:17">
      <c r="A614" s="590"/>
      <c r="B614" s="661"/>
      <c r="C614" s="593"/>
      <c r="D614" s="662"/>
      <c r="E614" s="594"/>
      <c r="F614" s="595"/>
      <c r="K614" s="696"/>
      <c r="L614" s="696"/>
      <c r="M614" s="703"/>
      <c r="N614" s="967"/>
      <c r="O614" s="968"/>
      <c r="P614" s="969"/>
      <c r="Q614" s="970"/>
    </row>
    <row r="615" spans="1:17">
      <c r="A615" s="590"/>
      <c r="B615" s="661"/>
      <c r="C615" s="593"/>
      <c r="D615" s="662"/>
      <c r="E615" s="594"/>
      <c r="F615" s="595"/>
      <c r="K615" s="696"/>
      <c r="L615" s="696"/>
      <c r="M615" s="703"/>
      <c r="N615" s="967"/>
      <c r="O615" s="544"/>
      <c r="P615" s="969"/>
      <c r="Q615" s="970"/>
    </row>
    <row r="616" spans="1:17">
      <c r="A616" s="590"/>
      <c r="B616" s="661"/>
      <c r="C616" s="593"/>
      <c r="D616" s="662"/>
      <c r="E616" s="594"/>
      <c r="F616" s="595"/>
      <c r="K616" s="696"/>
      <c r="L616" s="696"/>
      <c r="M616" s="703"/>
      <c r="N616" s="967"/>
      <c r="O616" s="968"/>
      <c r="P616" s="969"/>
      <c r="Q616" s="970"/>
    </row>
    <row r="617" spans="1:17">
      <c r="A617" s="590"/>
      <c r="B617" s="661"/>
      <c r="C617" s="593"/>
      <c r="D617" s="662"/>
      <c r="E617" s="594"/>
      <c r="F617" s="595"/>
      <c r="K617" s="696"/>
      <c r="L617" s="696"/>
      <c r="M617" s="1080"/>
      <c r="N617" s="967"/>
      <c r="O617" s="544"/>
      <c r="P617" s="969"/>
      <c r="Q617" s="970"/>
    </row>
    <row r="618" spans="1:17">
      <c r="A618" s="590"/>
      <c r="B618" s="661"/>
      <c r="C618" s="593"/>
      <c r="D618" s="662"/>
      <c r="E618" s="594"/>
      <c r="F618" s="595"/>
      <c r="K618" s="696"/>
      <c r="L618" s="696"/>
      <c r="M618" s="1040"/>
      <c r="N618" s="967"/>
      <c r="O618" s="1041"/>
      <c r="P618" s="969"/>
      <c r="Q618" s="970"/>
    </row>
    <row r="619" spans="1:17">
      <c r="A619" s="590"/>
      <c r="B619" s="661"/>
      <c r="C619" s="593"/>
      <c r="D619" s="662"/>
      <c r="E619" s="594"/>
      <c r="F619" s="595"/>
      <c r="K619" s="696"/>
      <c r="L619" s="696"/>
      <c r="M619" s="1040"/>
      <c r="N619" s="967"/>
      <c r="O619" s="1041"/>
      <c r="P619" s="969"/>
      <c r="Q619" s="970"/>
    </row>
    <row r="620" spans="1:17">
      <c r="A620" s="590"/>
      <c r="B620" s="661"/>
      <c r="C620" s="593"/>
      <c r="D620" s="662"/>
      <c r="E620" s="594"/>
      <c r="F620" s="595"/>
      <c r="K620" s="696"/>
      <c r="L620" s="696"/>
      <c r="M620" s="1040"/>
      <c r="N620" s="967"/>
      <c r="O620" s="1041"/>
      <c r="P620" s="969"/>
      <c r="Q620" s="970"/>
    </row>
    <row r="621" spans="1:17">
      <c r="A621" s="590"/>
      <c r="B621" s="661"/>
      <c r="C621" s="593"/>
      <c r="D621" s="662"/>
      <c r="E621" s="594"/>
      <c r="F621" s="595"/>
      <c r="K621" s="696"/>
      <c r="L621" s="696"/>
      <c r="M621" s="1040"/>
      <c r="N621" s="967"/>
      <c r="O621" s="1041"/>
      <c r="P621" s="969"/>
      <c r="Q621" s="970"/>
    </row>
    <row r="622" spans="1:17">
      <c r="A622" s="590"/>
      <c r="B622" s="661"/>
      <c r="C622" s="593"/>
      <c r="D622" s="662"/>
      <c r="E622" s="594"/>
      <c r="F622" s="595"/>
      <c r="K622" s="696"/>
      <c r="L622" s="696"/>
      <c r="M622" s="1081"/>
      <c r="N622" s="967"/>
      <c r="O622" s="1041"/>
      <c r="P622" s="969"/>
      <c r="Q622" s="970"/>
    </row>
    <row r="623" spans="1:17">
      <c r="A623" s="590"/>
      <c r="B623" s="661"/>
      <c r="C623" s="593"/>
      <c r="D623" s="662"/>
      <c r="E623" s="594"/>
      <c r="F623" s="595"/>
      <c r="K623" s="696"/>
      <c r="L623" s="696"/>
      <c r="M623" s="1040"/>
      <c r="N623" s="967"/>
      <c r="O623" s="1041"/>
      <c r="P623" s="969"/>
      <c r="Q623" s="970"/>
    </row>
    <row r="624" spans="1:17">
      <c r="A624" s="590"/>
      <c r="B624" s="661"/>
      <c r="C624" s="593"/>
      <c r="D624" s="662"/>
      <c r="E624" s="594"/>
      <c r="F624" s="595"/>
      <c r="K624" s="696"/>
      <c r="L624" s="696"/>
      <c r="M624" s="1040"/>
      <c r="N624" s="967"/>
      <c r="O624" s="1041"/>
      <c r="P624" s="969"/>
      <c r="Q624" s="970"/>
    </row>
    <row r="625" spans="1:17">
      <c r="A625" s="590"/>
      <c r="B625" s="661"/>
      <c r="C625" s="593"/>
      <c r="D625" s="662"/>
      <c r="E625" s="594"/>
      <c r="F625" s="595"/>
      <c r="K625" s="696"/>
      <c r="L625" s="696"/>
      <c r="M625" s="1080"/>
      <c r="N625" s="967"/>
      <c r="O625" s="544"/>
      <c r="P625" s="969"/>
      <c r="Q625" s="970"/>
    </row>
    <row r="626" spans="1:17">
      <c r="A626" s="590"/>
      <c r="B626" s="661"/>
      <c r="C626" s="593"/>
      <c r="D626" s="662"/>
      <c r="E626" s="594"/>
      <c r="F626" s="595"/>
      <c r="K626" s="696"/>
      <c r="L626" s="696"/>
      <c r="M626" s="1080"/>
      <c r="N626" s="967"/>
      <c r="O626" s="1041"/>
      <c r="P626" s="969"/>
      <c r="Q626" s="970"/>
    </row>
    <row r="627" spans="1:17">
      <c r="A627" s="590"/>
      <c r="B627" s="661"/>
      <c r="C627" s="593"/>
      <c r="D627" s="662"/>
      <c r="E627" s="594"/>
      <c r="F627" s="595"/>
      <c r="K627" s="696"/>
      <c r="L627" s="696"/>
      <c r="M627" s="1080"/>
      <c r="N627" s="967"/>
      <c r="O627" s="544"/>
      <c r="P627" s="969"/>
      <c r="Q627" s="970"/>
    </row>
    <row r="628" spans="1:17">
      <c r="A628" s="590"/>
      <c r="B628" s="661"/>
      <c r="C628" s="593"/>
      <c r="D628" s="662"/>
      <c r="E628" s="594"/>
      <c r="F628" s="595"/>
      <c r="K628" s="696"/>
      <c r="L628" s="696"/>
      <c r="M628" s="1080"/>
      <c r="N628" s="967"/>
      <c r="O628" s="1041"/>
      <c r="P628" s="969"/>
      <c r="Q628" s="970"/>
    </row>
    <row r="629" spans="1:17">
      <c r="A629" s="590"/>
      <c r="B629" s="661"/>
      <c r="C629" s="593"/>
      <c r="D629" s="662"/>
      <c r="E629" s="594"/>
      <c r="F629" s="595"/>
      <c r="K629" s="696"/>
      <c r="L629" s="696"/>
      <c r="M629" s="1080"/>
      <c r="N629" s="967"/>
      <c r="O629" s="544"/>
      <c r="P629" s="969"/>
      <c r="Q629" s="970"/>
    </row>
    <row r="630" spans="1:17">
      <c r="A630" s="590"/>
      <c r="B630" s="661"/>
      <c r="C630" s="593"/>
      <c r="D630" s="662"/>
      <c r="E630" s="594"/>
      <c r="F630" s="595"/>
      <c r="K630" s="696"/>
      <c r="L630" s="696"/>
      <c r="M630" s="1080"/>
      <c r="N630" s="967"/>
      <c r="O630" s="1041"/>
      <c r="P630" s="969"/>
      <c r="Q630" s="970"/>
    </row>
    <row r="631" spans="1:17">
      <c r="A631" s="590"/>
      <c r="B631" s="661"/>
      <c r="C631" s="593"/>
      <c r="D631" s="662"/>
      <c r="E631" s="594"/>
      <c r="F631" s="595"/>
      <c r="K631" s="696"/>
      <c r="L631" s="696"/>
      <c r="M631" s="1080"/>
      <c r="N631" s="967"/>
      <c r="O631" s="544"/>
      <c r="P631" s="969"/>
      <c r="Q631" s="970"/>
    </row>
    <row r="632" spans="1:17">
      <c r="A632" s="590"/>
      <c r="B632" s="661"/>
      <c r="C632" s="593"/>
      <c r="D632" s="662"/>
      <c r="E632" s="594"/>
      <c r="F632" s="595"/>
      <c r="K632" s="696"/>
      <c r="L632" s="696"/>
      <c r="M632" s="1080"/>
      <c r="N632" s="967"/>
      <c r="O632" s="968"/>
      <c r="P632" s="969"/>
      <c r="Q632" s="970"/>
    </row>
    <row r="633" spans="1:17">
      <c r="A633" s="590"/>
      <c r="B633" s="661"/>
      <c r="C633" s="593"/>
      <c r="D633" s="662"/>
      <c r="E633" s="594"/>
      <c r="F633" s="595"/>
      <c r="K633" s="696"/>
      <c r="L633" s="696"/>
      <c r="M633" s="1080"/>
      <c r="N633" s="967"/>
      <c r="O633" s="968"/>
      <c r="P633" s="969"/>
      <c r="Q633" s="970"/>
    </row>
    <row r="634" spans="1:17">
      <c r="A634" s="590"/>
      <c r="B634" s="609"/>
      <c r="C634" s="646"/>
      <c r="D634" s="662"/>
      <c r="E634" s="594"/>
      <c r="F634" s="595"/>
      <c r="K634" s="696"/>
      <c r="L634" s="696"/>
      <c r="M634" s="1080"/>
      <c r="N634" s="967"/>
      <c r="O634" s="968"/>
      <c r="P634" s="969"/>
      <c r="Q634" s="970"/>
    </row>
    <row r="635" spans="1:17" ht="15" thickBot="1">
      <c r="A635" s="590"/>
      <c r="B635" s="665"/>
      <c r="C635" s="593"/>
      <c r="D635" s="662"/>
      <c r="E635" s="594"/>
      <c r="F635" s="595"/>
      <c r="K635" s="696"/>
      <c r="L635" s="696"/>
      <c r="M635" s="1080"/>
      <c r="N635" s="967"/>
      <c r="O635" s="968"/>
      <c r="P635" s="969"/>
      <c r="Q635" s="970"/>
    </row>
    <row r="636" spans="1:17">
      <c r="A636" s="612"/>
      <c r="B636" s="613"/>
      <c r="C636" s="615"/>
      <c r="D636" s="614"/>
      <c r="E636" s="616"/>
      <c r="F636" s="617"/>
      <c r="K636" s="696"/>
      <c r="L636" s="696"/>
      <c r="M636" s="1080"/>
      <c r="N636" s="967"/>
      <c r="O636" s="968"/>
      <c r="P636" s="969"/>
      <c r="Q636" s="970"/>
    </row>
    <row r="637" spans="1:17">
      <c r="A637" s="618" t="s">
        <v>310</v>
      </c>
      <c r="B637" s="619" t="s">
        <v>289</v>
      </c>
      <c r="C637" s="621"/>
      <c r="D637" s="620"/>
      <c r="E637" s="622"/>
      <c r="F637" s="623">
        <f>SUM(F586:F635)</f>
        <v>0</v>
      </c>
      <c r="H637" s="645"/>
      <c r="K637" s="696"/>
      <c r="L637" s="696"/>
      <c r="M637" s="1080"/>
      <c r="N637" s="967"/>
      <c r="O637" s="968"/>
      <c r="P637" s="969"/>
      <c r="Q637" s="970"/>
    </row>
    <row r="638" spans="1:17">
      <c r="A638" s="624"/>
      <c r="B638" s="625"/>
      <c r="C638" s="627"/>
      <c r="D638" s="626"/>
      <c r="E638" s="628"/>
      <c r="F638" s="629"/>
      <c r="K638" s="696"/>
      <c r="L638" s="696"/>
      <c r="M638" s="1080"/>
      <c r="N638" s="967"/>
      <c r="O638" s="968"/>
      <c r="P638" s="969"/>
      <c r="Q638" s="970"/>
    </row>
    <row r="639" spans="1:17" ht="17.399999999999999">
      <c r="A639" s="568"/>
      <c r="B639" s="663"/>
      <c r="C639" s="570"/>
      <c r="D639" s="569"/>
      <c r="E639" s="571"/>
      <c r="F639" s="572"/>
      <c r="K639" s="696"/>
      <c r="L639" s="696"/>
      <c r="M639" s="1080"/>
      <c r="N639" s="967"/>
      <c r="O639" s="968"/>
      <c r="P639" s="969"/>
      <c r="Q639" s="970"/>
    </row>
    <row r="640" spans="1:17">
      <c r="A640" s="574"/>
      <c r="B640" s="664"/>
      <c r="C640" s="576"/>
      <c r="D640" s="575"/>
      <c r="E640" s="577"/>
      <c r="F640" s="578"/>
      <c r="K640" s="696"/>
      <c r="L640" s="696"/>
      <c r="M640" s="1080"/>
      <c r="N640" s="967"/>
      <c r="O640" s="968"/>
      <c r="P640" s="969"/>
      <c r="Q640" s="970"/>
    </row>
    <row r="641" spans="1:17">
      <c r="A641" s="574"/>
      <c r="B641" s="664"/>
      <c r="C641" s="576"/>
      <c r="D641" s="575"/>
      <c r="E641" s="577"/>
      <c r="F641" s="578"/>
      <c r="K641" s="696"/>
      <c r="L641" s="696"/>
      <c r="M641" s="1080"/>
      <c r="N641" s="967"/>
      <c r="O641" s="968"/>
      <c r="P641" s="969"/>
      <c r="Q641" s="970"/>
    </row>
    <row r="642" spans="1:17">
      <c r="A642" s="618"/>
      <c r="B642" s="657"/>
      <c r="C642" s="581"/>
      <c r="D642" s="580"/>
      <c r="E642" s="582"/>
      <c r="F642" s="583"/>
      <c r="K642" s="696"/>
      <c r="L642" s="696"/>
      <c r="M642" s="1080"/>
      <c r="N642" s="967"/>
      <c r="O642" s="1041"/>
      <c r="P642" s="969"/>
      <c r="Q642" s="970"/>
    </row>
    <row r="643" spans="1:17" ht="15" thickBot="1">
      <c r="A643" s="584" t="s">
        <v>276</v>
      </c>
      <c r="B643" s="585"/>
      <c r="C643" s="587" t="s">
        <v>277</v>
      </c>
      <c r="D643" s="586" t="s">
        <v>266</v>
      </c>
      <c r="E643" s="588" t="s">
        <v>278</v>
      </c>
      <c r="F643" s="589" t="s">
        <v>267</v>
      </c>
      <c r="K643" s="696"/>
      <c r="L643" s="696"/>
      <c r="M643" s="1080"/>
      <c r="N643" s="967"/>
      <c r="O643" s="544"/>
      <c r="P643" s="969"/>
      <c r="Q643" s="970"/>
    </row>
    <row r="644" spans="1:17">
      <c r="A644" s="590"/>
      <c r="B644" s="591"/>
      <c r="C644" s="593"/>
      <c r="D644" s="592"/>
      <c r="E644" s="594"/>
      <c r="F644" s="595"/>
      <c r="K644" s="696"/>
      <c r="L644" s="696"/>
      <c r="M644" s="1080"/>
      <c r="N644" s="967"/>
      <c r="O644" s="544"/>
      <c r="P644" s="969"/>
      <c r="Q644" s="970"/>
    </row>
    <row r="645" spans="1:17">
      <c r="A645" s="590" t="s">
        <v>496</v>
      </c>
      <c r="B645" s="651" t="s">
        <v>300</v>
      </c>
      <c r="C645" s="593"/>
      <c r="D645" s="592"/>
      <c r="E645" s="594"/>
      <c r="F645" s="595"/>
      <c r="K645" s="696"/>
      <c r="L645" s="696"/>
      <c r="M645" s="1080"/>
      <c r="N645" s="967"/>
      <c r="O645" s="544"/>
      <c r="P645" s="969"/>
      <c r="Q645" s="970"/>
    </row>
    <row r="646" spans="1:17">
      <c r="A646" s="590"/>
      <c r="B646" s="591"/>
      <c r="C646" s="593"/>
      <c r="D646" s="592"/>
      <c r="E646" s="594"/>
      <c r="F646" s="595"/>
      <c r="K646" s="696"/>
      <c r="L646" s="696"/>
      <c r="M646" s="1080"/>
      <c r="N646" s="967"/>
      <c r="O646" s="544"/>
      <c r="P646" s="969"/>
      <c r="Q646" s="970"/>
    </row>
    <row r="647" spans="1:17" ht="15" thickBot="1">
      <c r="A647" s="590" t="s">
        <v>294</v>
      </c>
      <c r="B647" s="591" t="s">
        <v>485</v>
      </c>
      <c r="C647" s="593">
        <v>2</v>
      </c>
      <c r="D647" s="592" t="s">
        <v>283</v>
      </c>
      <c r="E647" s="594"/>
      <c r="F647" s="595">
        <f>E647*C647</f>
        <v>0</v>
      </c>
      <c r="K647" s="696"/>
      <c r="L647" s="696"/>
      <c r="M647" s="703"/>
      <c r="N647" s="967"/>
      <c r="O647" s="968"/>
      <c r="P647" s="969"/>
      <c r="Q647" s="970"/>
    </row>
    <row r="648" spans="1:17">
      <c r="A648" s="590"/>
      <c r="B648" s="591"/>
      <c r="C648" s="593"/>
      <c r="D648" s="592"/>
      <c r="E648" s="594"/>
      <c r="F648" s="595"/>
      <c r="K648" s="1014"/>
      <c r="L648" s="1014"/>
      <c r="M648" s="1015"/>
      <c r="N648" s="1016"/>
      <c r="O648" s="1017"/>
      <c r="P648" s="1018"/>
      <c r="Q648" s="1019"/>
    </row>
    <row r="649" spans="1:17">
      <c r="A649" s="590" t="s">
        <v>339</v>
      </c>
      <c r="B649" s="661" t="s">
        <v>486</v>
      </c>
      <c r="C649" s="593">
        <v>2</v>
      </c>
      <c r="D649" s="592" t="s">
        <v>283</v>
      </c>
      <c r="E649" s="594"/>
      <c r="F649" s="595">
        <f>E649*C649</f>
        <v>0</v>
      </c>
      <c r="K649" s="1020"/>
      <c r="L649" s="1020"/>
      <c r="M649" s="1021" t="s">
        <v>289</v>
      </c>
      <c r="N649" s="1022"/>
      <c r="O649" s="1023"/>
      <c r="P649" s="1024"/>
      <c r="Q649" s="1010">
        <f>SUM(Q597:Q647)</f>
        <v>0</v>
      </c>
    </row>
    <row r="650" spans="1:17">
      <c r="A650" s="590"/>
      <c r="B650" s="591"/>
      <c r="C650" s="593"/>
      <c r="D650" s="592"/>
      <c r="E650" s="594"/>
      <c r="F650" s="595"/>
      <c r="K650" s="1025"/>
      <c r="L650" s="1025"/>
      <c r="M650" s="1026"/>
      <c r="N650" s="1027"/>
      <c r="O650" s="1028"/>
      <c r="P650" s="1029"/>
      <c r="Q650" s="1030"/>
    </row>
    <row r="651" spans="1:17" ht="17.399999999999999">
      <c r="A651" s="590" t="s">
        <v>340</v>
      </c>
      <c r="B651" s="591" t="s">
        <v>487</v>
      </c>
      <c r="C651" s="593">
        <v>2</v>
      </c>
      <c r="D651" s="592" t="s">
        <v>283</v>
      </c>
      <c r="E651" s="594"/>
      <c r="F651" s="595">
        <f>E651*C651</f>
        <v>0</v>
      </c>
      <c r="K651" s="980"/>
      <c r="L651" s="981"/>
      <c r="M651" s="982"/>
      <c r="N651" s="982"/>
      <c r="O651" s="983"/>
      <c r="P651" s="984"/>
      <c r="Q651" s="985"/>
    </row>
    <row r="652" spans="1:17">
      <c r="A652" s="590"/>
      <c r="B652" s="591"/>
      <c r="C652" s="593"/>
      <c r="D652" s="592"/>
      <c r="E652" s="594"/>
      <c r="F652" s="595"/>
      <c r="K652" s="986"/>
      <c r="L652" s="987"/>
      <c r="M652" s="988"/>
      <c r="N652" s="988"/>
      <c r="O652" s="989"/>
      <c r="P652" s="990"/>
      <c r="Q652" s="991"/>
    </row>
    <row r="653" spans="1:17">
      <c r="A653" s="590" t="s">
        <v>409</v>
      </c>
      <c r="B653" s="591" t="s">
        <v>488</v>
      </c>
      <c r="C653" s="593">
        <v>2</v>
      </c>
      <c r="D653" s="592" t="s">
        <v>283</v>
      </c>
      <c r="E653" s="594"/>
      <c r="F653" s="595">
        <f>E653*C653</f>
        <v>0</v>
      </c>
      <c r="K653" s="986"/>
      <c r="L653" s="987"/>
      <c r="M653" s="988"/>
      <c r="N653" s="988"/>
      <c r="O653" s="989"/>
      <c r="P653" s="990"/>
      <c r="Q653" s="991"/>
    </row>
    <row r="654" spans="1:17">
      <c r="A654" s="590"/>
      <c r="B654" s="591"/>
      <c r="C654" s="593"/>
      <c r="D654" s="592"/>
      <c r="E654" s="594"/>
      <c r="F654" s="595"/>
      <c r="K654" s="992"/>
      <c r="L654" s="993"/>
      <c r="M654" s="543"/>
      <c r="N654" s="543"/>
      <c r="O654" s="994"/>
      <c r="P654" s="995"/>
      <c r="Q654" s="996"/>
    </row>
    <row r="655" spans="1:17" ht="15" thickBot="1">
      <c r="A655" s="590"/>
      <c r="B655" s="591"/>
      <c r="C655" s="593"/>
      <c r="D655" s="592"/>
      <c r="E655" s="594"/>
      <c r="F655" s="595"/>
      <c r="K655" s="997" t="s">
        <v>276</v>
      </c>
      <c r="L655" s="998" t="s">
        <v>887</v>
      </c>
      <c r="M655" s="999"/>
      <c r="N655" s="1000" t="s">
        <v>266</v>
      </c>
      <c r="O655" s="1001" t="s">
        <v>277</v>
      </c>
      <c r="P655" s="1002" t="s">
        <v>278</v>
      </c>
      <c r="Q655" s="1003" t="s">
        <v>267</v>
      </c>
    </row>
    <row r="656" spans="1:17">
      <c r="A656" s="590"/>
      <c r="B656" s="591"/>
      <c r="C656" s="593"/>
      <c r="D656" s="592"/>
      <c r="E656" s="594"/>
      <c r="F656" s="595"/>
      <c r="K656" s="696"/>
      <c r="L656" s="696"/>
      <c r="M656" s="703"/>
      <c r="N656" s="967"/>
      <c r="O656" s="968"/>
      <c r="P656" s="969"/>
      <c r="Q656" s="970"/>
    </row>
    <row r="657" spans="1:17">
      <c r="A657" s="590"/>
      <c r="B657" s="591"/>
      <c r="C657" s="593"/>
      <c r="D657" s="592"/>
      <c r="E657" s="594"/>
      <c r="F657" s="595"/>
      <c r="K657" s="1031">
        <f>K597+1</f>
        <v>12</v>
      </c>
      <c r="L657" s="696"/>
      <c r="M657" s="1032" t="s">
        <v>342</v>
      </c>
      <c r="N657" s="967"/>
      <c r="O657" s="1041"/>
      <c r="P657" s="969"/>
      <c r="Q657" s="970"/>
    </row>
    <row r="658" spans="1:17">
      <c r="A658" s="590"/>
      <c r="B658" s="591"/>
      <c r="C658" s="593"/>
      <c r="D658" s="592"/>
      <c r="E658" s="594"/>
      <c r="F658" s="595"/>
      <c r="K658" s="696"/>
      <c r="L658" s="696"/>
      <c r="M658" s="1075"/>
      <c r="N658" s="1076"/>
      <c r="O658" s="968"/>
      <c r="P658" s="969"/>
      <c r="Q658" s="970"/>
    </row>
    <row r="659" spans="1:17">
      <c r="A659" s="590"/>
      <c r="B659" s="591"/>
      <c r="C659" s="593"/>
      <c r="D659" s="592"/>
      <c r="E659" s="594"/>
      <c r="F659" s="595"/>
      <c r="K659" s="696"/>
      <c r="L659" s="696"/>
      <c r="M659" s="1082" t="s">
        <v>458</v>
      </c>
      <c r="N659" s="1076" t="s">
        <v>459</v>
      </c>
      <c r="O659" s="968">
        <v>1</v>
      </c>
      <c r="P659" s="969"/>
      <c r="Q659" s="970">
        <f>P659*O659</f>
        <v>0</v>
      </c>
    </row>
    <row r="660" spans="1:17">
      <c r="A660" s="590"/>
      <c r="B660" s="591"/>
      <c r="C660" s="593"/>
      <c r="D660" s="592"/>
      <c r="E660" s="594"/>
      <c r="F660" s="595"/>
      <c r="K660" s="696"/>
      <c r="L660" s="696"/>
      <c r="M660" s="1082"/>
      <c r="N660" s="1076"/>
      <c r="O660" s="968"/>
      <c r="P660" s="969"/>
      <c r="Q660" s="970"/>
    </row>
    <row r="661" spans="1:17">
      <c r="A661" s="590"/>
      <c r="B661" s="591"/>
      <c r="C661" s="593"/>
      <c r="D661" s="592"/>
      <c r="E661" s="594"/>
      <c r="F661" s="595"/>
      <c r="K661" s="696"/>
      <c r="L661" s="696"/>
      <c r="M661" s="1082" t="s">
        <v>460</v>
      </c>
      <c r="N661" s="1076" t="s">
        <v>459</v>
      </c>
      <c r="O661" s="968">
        <v>1</v>
      </c>
      <c r="P661" s="969"/>
      <c r="Q661" s="970">
        <f>P661*O661</f>
        <v>0</v>
      </c>
    </row>
    <row r="662" spans="1:17">
      <c r="A662" s="590"/>
      <c r="B662" s="591"/>
      <c r="C662" s="593"/>
      <c r="D662" s="592"/>
      <c r="E662" s="594"/>
      <c r="F662" s="595"/>
      <c r="K662" s="696"/>
      <c r="L662" s="696"/>
      <c r="M662" s="1082"/>
      <c r="N662" s="1076"/>
      <c r="O662" s="968"/>
      <c r="P662" s="969"/>
      <c r="Q662" s="970"/>
    </row>
    <row r="663" spans="1:17">
      <c r="A663" s="590"/>
      <c r="B663" s="591"/>
      <c r="C663" s="646"/>
      <c r="D663" s="592"/>
      <c r="E663" s="594"/>
      <c r="F663" s="595"/>
      <c r="K663" s="696"/>
      <c r="L663" s="696"/>
      <c r="M663" s="1082" t="s">
        <v>461</v>
      </c>
      <c r="N663" s="1076" t="s">
        <v>459</v>
      </c>
      <c r="O663" s="968">
        <v>1</v>
      </c>
      <c r="P663" s="969"/>
      <c r="Q663" s="970">
        <f>P663*O663</f>
        <v>0</v>
      </c>
    </row>
    <row r="664" spans="1:17">
      <c r="A664" s="590"/>
      <c r="B664" s="591"/>
      <c r="C664" s="593"/>
      <c r="D664" s="592"/>
      <c r="E664" s="594"/>
      <c r="F664" s="595"/>
      <c r="K664" s="696"/>
      <c r="L664" s="696"/>
      <c r="M664" s="1075"/>
      <c r="N664" s="1076"/>
      <c r="O664" s="968"/>
      <c r="P664" s="969"/>
      <c r="Q664" s="970"/>
    </row>
    <row r="665" spans="1:17">
      <c r="A665" s="590"/>
      <c r="B665" s="666"/>
      <c r="C665" s="646"/>
      <c r="D665" s="592"/>
      <c r="E665" s="594"/>
      <c r="F665" s="595"/>
      <c r="K665" s="696"/>
      <c r="L665" s="696"/>
      <c r="M665" s="1082" t="s">
        <v>462</v>
      </c>
      <c r="N665" s="1076" t="s">
        <v>459</v>
      </c>
      <c r="O665" s="968">
        <v>1</v>
      </c>
      <c r="P665" s="969"/>
      <c r="Q665" s="970">
        <f>P665*O665</f>
        <v>0</v>
      </c>
    </row>
    <row r="666" spans="1:17">
      <c r="A666" s="590"/>
      <c r="B666" s="609"/>
      <c r="C666" s="610"/>
      <c r="D666" s="592"/>
      <c r="E666" s="594"/>
      <c r="F666" s="595"/>
      <c r="K666" s="696"/>
      <c r="L666" s="696"/>
      <c r="M666" s="1075"/>
      <c r="N666" s="1076"/>
      <c r="O666" s="968"/>
      <c r="P666" s="969"/>
      <c r="Q666" s="970"/>
    </row>
    <row r="667" spans="1:17">
      <c r="A667" s="590"/>
      <c r="B667" s="609"/>
      <c r="C667" s="610"/>
      <c r="D667" s="592"/>
      <c r="E667" s="594"/>
      <c r="F667" s="595"/>
      <c r="K667" s="696"/>
      <c r="L667" s="696"/>
      <c r="M667" s="1082" t="s">
        <v>489</v>
      </c>
      <c r="N667" s="1076" t="s">
        <v>459</v>
      </c>
      <c r="O667" s="968">
        <v>1</v>
      </c>
      <c r="P667" s="969"/>
      <c r="Q667" s="970">
        <f>P667*O667</f>
        <v>0</v>
      </c>
    </row>
    <row r="668" spans="1:17">
      <c r="A668" s="590"/>
      <c r="B668" s="609"/>
      <c r="C668" s="610"/>
      <c r="D668" s="592"/>
      <c r="E668" s="594"/>
      <c r="F668" s="595"/>
      <c r="K668" s="696"/>
      <c r="L668" s="696"/>
      <c r="M668" s="1082"/>
      <c r="N668" s="1076"/>
      <c r="O668" s="968"/>
      <c r="P668" s="969"/>
      <c r="Q668" s="970"/>
    </row>
    <row r="669" spans="1:17">
      <c r="A669" s="590"/>
      <c r="B669" s="609"/>
      <c r="C669" s="610"/>
      <c r="D669" s="592"/>
      <c r="E669" s="594"/>
      <c r="F669" s="595"/>
      <c r="K669" s="696"/>
      <c r="L669" s="696"/>
      <c r="M669" s="1082" t="s">
        <v>490</v>
      </c>
      <c r="N669" s="1076" t="s">
        <v>459</v>
      </c>
      <c r="O669" s="968">
        <v>1</v>
      </c>
      <c r="P669" s="969"/>
      <c r="Q669" s="970">
        <f>P669*O669</f>
        <v>0</v>
      </c>
    </row>
    <row r="670" spans="1:17">
      <c r="A670" s="590"/>
      <c r="B670" s="667"/>
      <c r="C670" s="610"/>
      <c r="D670" s="592"/>
      <c r="E670" s="594"/>
      <c r="F670" s="595"/>
      <c r="K670" s="696"/>
      <c r="L670" s="696"/>
      <c r="M670" s="1082"/>
      <c r="N670" s="1076"/>
      <c r="O670" s="968"/>
      <c r="P670" s="969"/>
      <c r="Q670" s="970"/>
    </row>
    <row r="671" spans="1:17">
      <c r="A671" s="590"/>
      <c r="B671" s="609"/>
      <c r="C671" s="610"/>
      <c r="D671" s="592"/>
      <c r="E671" s="594"/>
      <c r="F671" s="595"/>
      <c r="K671" s="696"/>
      <c r="L671" s="696"/>
      <c r="M671" s="1082" t="s">
        <v>491</v>
      </c>
      <c r="N671" s="1076" t="s">
        <v>459</v>
      </c>
      <c r="O671" s="968">
        <v>1</v>
      </c>
      <c r="P671" s="969"/>
      <c r="Q671" s="970">
        <f>P671*O671</f>
        <v>0</v>
      </c>
    </row>
    <row r="672" spans="1:17">
      <c r="A672" s="590"/>
      <c r="B672" s="609"/>
      <c r="C672" s="610"/>
      <c r="D672" s="592"/>
      <c r="E672" s="594"/>
      <c r="F672" s="595"/>
      <c r="K672" s="696"/>
      <c r="L672" s="696"/>
      <c r="M672" s="1075"/>
      <c r="N672" s="1076"/>
      <c r="O672" s="968"/>
      <c r="P672" s="969"/>
      <c r="Q672" s="970"/>
    </row>
    <row r="673" spans="1:17">
      <c r="A673" s="590"/>
      <c r="B673" s="666"/>
      <c r="C673" s="646"/>
      <c r="D673" s="592"/>
      <c r="E673" s="594"/>
      <c r="F673" s="595"/>
      <c r="K673" s="696"/>
      <c r="L673" s="696"/>
      <c r="M673" s="1082" t="s">
        <v>492</v>
      </c>
      <c r="N673" s="1076" t="s">
        <v>459</v>
      </c>
      <c r="O673" s="968">
        <v>1</v>
      </c>
      <c r="P673" s="969"/>
      <c r="Q673" s="970">
        <f>P673*O673</f>
        <v>0</v>
      </c>
    </row>
    <row r="674" spans="1:17">
      <c r="A674" s="590"/>
      <c r="B674" s="666"/>
      <c r="C674" s="610"/>
      <c r="D674" s="592"/>
      <c r="E674" s="594"/>
      <c r="F674" s="595"/>
      <c r="K674" s="696"/>
      <c r="L674" s="696"/>
      <c r="M674" s="1082"/>
      <c r="N674" s="1076"/>
      <c r="O674" s="968"/>
      <c r="P674" s="969"/>
      <c r="Q674" s="970"/>
    </row>
    <row r="675" spans="1:17">
      <c r="A675" s="590"/>
      <c r="B675" s="666"/>
      <c r="C675" s="646"/>
      <c r="D675" s="592"/>
      <c r="E675" s="594"/>
      <c r="F675" s="595"/>
      <c r="K675" s="696"/>
      <c r="L675" s="696"/>
      <c r="M675" s="1082" t="s">
        <v>493</v>
      </c>
      <c r="N675" s="1076" t="s">
        <v>459</v>
      </c>
      <c r="O675" s="968">
        <v>1</v>
      </c>
      <c r="P675" s="969"/>
      <c r="Q675" s="970">
        <f>P675*O675</f>
        <v>0</v>
      </c>
    </row>
    <row r="676" spans="1:17">
      <c r="A676" s="590"/>
      <c r="B676" s="666"/>
      <c r="C676" s="610"/>
      <c r="D676" s="592"/>
      <c r="E676" s="594"/>
      <c r="F676" s="595"/>
      <c r="K676" s="696"/>
      <c r="L676" s="696"/>
      <c r="M676" s="1075"/>
      <c r="N676" s="1076"/>
      <c r="O676" s="968"/>
      <c r="P676" s="969"/>
      <c r="Q676" s="970"/>
    </row>
    <row r="677" spans="1:17">
      <c r="A677" s="590"/>
      <c r="B677" s="666"/>
      <c r="C677" s="646"/>
      <c r="D677" s="592"/>
      <c r="E677" s="594"/>
      <c r="F677" s="595"/>
      <c r="K677" s="696"/>
      <c r="L677" s="696"/>
      <c r="M677" s="1075"/>
      <c r="N677" s="1076"/>
      <c r="O677" s="968"/>
      <c r="P677" s="969"/>
      <c r="Q677" s="970"/>
    </row>
    <row r="678" spans="1:17">
      <c r="A678" s="590"/>
      <c r="B678" s="666"/>
      <c r="C678" s="610"/>
      <c r="D678" s="592"/>
      <c r="E678" s="594"/>
      <c r="F678" s="595"/>
      <c r="K678" s="696"/>
      <c r="L678" s="696"/>
      <c r="M678" s="1075"/>
      <c r="N678" s="1076"/>
      <c r="O678" s="968"/>
      <c r="P678" s="969"/>
      <c r="Q678" s="970"/>
    </row>
    <row r="679" spans="1:17">
      <c r="A679" s="590"/>
      <c r="B679" s="666"/>
      <c r="C679" s="646"/>
      <c r="D679" s="592"/>
      <c r="E679" s="594"/>
      <c r="F679" s="595"/>
      <c r="K679" s="696"/>
      <c r="L679" s="696"/>
      <c r="M679" s="1075"/>
      <c r="N679" s="1076"/>
      <c r="O679" s="968"/>
      <c r="P679" s="969"/>
      <c r="Q679" s="970"/>
    </row>
    <row r="680" spans="1:17">
      <c r="A680" s="590"/>
      <c r="B680" s="666"/>
      <c r="C680" s="593"/>
      <c r="D680" s="592"/>
      <c r="E680" s="594"/>
      <c r="F680" s="595"/>
      <c r="K680" s="696"/>
      <c r="L680" s="696"/>
      <c r="M680" s="1075"/>
      <c r="N680" s="1076"/>
      <c r="O680" s="968"/>
      <c r="P680" s="969"/>
      <c r="Q680" s="970"/>
    </row>
    <row r="681" spans="1:17">
      <c r="A681" s="590"/>
      <c r="B681" s="666"/>
      <c r="C681" s="593"/>
      <c r="D681" s="592"/>
      <c r="E681" s="594"/>
      <c r="F681" s="595"/>
      <c r="K681" s="696"/>
      <c r="L681" s="696"/>
      <c r="M681" s="1075"/>
      <c r="N681" s="1076"/>
      <c r="O681" s="968"/>
      <c r="P681" s="969"/>
      <c r="Q681" s="970"/>
    </row>
    <row r="682" spans="1:17">
      <c r="A682" s="590"/>
      <c r="B682" s="666"/>
      <c r="C682" s="593"/>
      <c r="D682" s="592"/>
      <c r="E682" s="594"/>
      <c r="F682" s="595"/>
      <c r="K682" s="696"/>
      <c r="L682" s="696"/>
      <c r="M682" s="1075"/>
      <c r="N682" s="1076"/>
      <c r="O682" s="968"/>
      <c r="P682" s="969"/>
      <c r="Q682" s="970"/>
    </row>
    <row r="683" spans="1:17">
      <c r="A683" s="590"/>
      <c r="B683" s="666"/>
      <c r="C683" s="593"/>
      <c r="D683" s="592"/>
      <c r="E683" s="594"/>
      <c r="F683" s="595"/>
      <c r="K683" s="696"/>
      <c r="L683" s="696"/>
      <c r="M683" s="1075"/>
      <c r="N683" s="1076"/>
      <c r="O683" s="968"/>
      <c r="P683" s="969"/>
      <c r="Q683" s="970"/>
    </row>
    <row r="684" spans="1:17">
      <c r="A684" s="590"/>
      <c r="B684" s="666"/>
      <c r="C684" s="593"/>
      <c r="D684" s="592"/>
      <c r="E684" s="594"/>
      <c r="F684" s="595"/>
      <c r="K684" s="696"/>
      <c r="L684" s="696"/>
      <c r="M684" s="1075"/>
      <c r="N684" s="1076"/>
      <c r="O684" s="968"/>
      <c r="P684" s="969"/>
      <c r="Q684" s="970"/>
    </row>
    <row r="685" spans="1:17">
      <c r="A685" s="590"/>
      <c r="B685" s="666"/>
      <c r="C685" s="593"/>
      <c r="D685" s="592"/>
      <c r="E685" s="594"/>
      <c r="F685" s="595"/>
      <c r="K685" s="696"/>
      <c r="L685" s="696"/>
      <c r="M685" s="1075"/>
      <c r="N685" s="1076"/>
      <c r="O685" s="968"/>
      <c r="P685" s="969"/>
      <c r="Q685" s="970"/>
    </row>
    <row r="686" spans="1:17">
      <c r="A686" s="590"/>
      <c r="B686" s="666"/>
      <c r="C686" s="593"/>
      <c r="D686" s="592"/>
      <c r="E686" s="594"/>
      <c r="F686" s="595"/>
      <c r="K686" s="696"/>
      <c r="L686" s="696"/>
      <c r="M686" s="1075"/>
      <c r="N686" s="1076"/>
      <c r="O686" s="968"/>
      <c r="P686" s="969"/>
      <c r="Q686" s="970"/>
    </row>
    <row r="687" spans="1:17">
      <c r="A687" s="590"/>
      <c r="B687" s="666"/>
      <c r="C687" s="593"/>
      <c r="D687" s="592"/>
      <c r="E687" s="594"/>
      <c r="F687" s="595"/>
      <c r="K687" s="696"/>
      <c r="L687" s="696"/>
      <c r="M687" s="1075"/>
      <c r="N687" s="1076"/>
      <c r="O687" s="968"/>
      <c r="P687" s="969"/>
      <c r="Q687" s="970"/>
    </row>
    <row r="688" spans="1:17">
      <c r="A688" s="590"/>
      <c r="B688" s="666"/>
      <c r="C688" s="593"/>
      <c r="D688" s="592"/>
      <c r="E688" s="594"/>
      <c r="F688" s="595"/>
      <c r="K688" s="696"/>
      <c r="L688" s="696"/>
      <c r="M688" s="1075"/>
      <c r="N688" s="1076"/>
      <c r="O688" s="968"/>
      <c r="P688" s="969"/>
      <c r="Q688" s="970"/>
    </row>
    <row r="689" spans="1:17">
      <c r="A689" s="590"/>
      <c r="B689" s="666"/>
      <c r="C689" s="593"/>
      <c r="D689" s="592"/>
      <c r="E689" s="594"/>
      <c r="F689" s="595"/>
      <c r="K689" s="696"/>
      <c r="L689" s="696"/>
      <c r="M689" s="1075"/>
      <c r="N689" s="1076"/>
      <c r="O689" s="968"/>
      <c r="P689" s="969"/>
      <c r="Q689" s="970"/>
    </row>
    <row r="690" spans="1:17">
      <c r="A690" s="590"/>
      <c r="B690" s="666"/>
      <c r="C690" s="610"/>
      <c r="D690" s="592"/>
      <c r="E690" s="594"/>
      <c r="F690" s="595"/>
      <c r="K690" s="696"/>
      <c r="L690" s="696"/>
      <c r="M690" s="1075"/>
      <c r="N690" s="1076"/>
      <c r="O690" s="968"/>
      <c r="P690" s="969"/>
      <c r="Q690" s="970"/>
    </row>
    <row r="691" spans="1:17">
      <c r="A691" s="590"/>
      <c r="B691" s="666"/>
      <c r="C691" s="646"/>
      <c r="D691" s="592"/>
      <c r="E691" s="594"/>
      <c r="F691" s="595"/>
      <c r="K691" s="696"/>
      <c r="L691" s="696"/>
      <c r="M691" s="1075"/>
      <c r="N691" s="1076"/>
      <c r="O691" s="968"/>
      <c r="P691" s="969"/>
      <c r="Q691" s="970"/>
    </row>
    <row r="692" spans="1:17">
      <c r="A692" s="590"/>
      <c r="B692" s="666"/>
      <c r="C692" s="646"/>
      <c r="D692" s="592"/>
      <c r="E692" s="594"/>
      <c r="F692" s="595"/>
      <c r="K692" s="696"/>
      <c r="L692" s="696"/>
      <c r="M692" s="1075"/>
      <c r="N692" s="1076"/>
      <c r="O692" s="968"/>
      <c r="P692" s="969"/>
      <c r="Q692" s="970"/>
    </row>
    <row r="693" spans="1:17">
      <c r="A693" s="590"/>
      <c r="B693" s="666"/>
      <c r="C693" s="646"/>
      <c r="D693" s="592"/>
      <c r="E693" s="594"/>
      <c r="F693" s="595"/>
      <c r="K693" s="696"/>
      <c r="L693" s="696"/>
      <c r="M693" s="1075"/>
      <c r="N693" s="1076"/>
      <c r="O693" s="968"/>
      <c r="P693" s="969"/>
      <c r="Q693" s="970"/>
    </row>
    <row r="694" spans="1:17">
      <c r="A694" s="590"/>
      <c r="B694" s="666"/>
      <c r="C694" s="646"/>
      <c r="D694" s="592"/>
      <c r="E694" s="594"/>
      <c r="F694" s="595"/>
      <c r="K694" s="696"/>
      <c r="L694" s="696"/>
      <c r="M694" s="1075"/>
      <c r="N694" s="1076"/>
      <c r="O694" s="968"/>
      <c r="P694" s="969"/>
      <c r="Q694" s="970"/>
    </row>
    <row r="695" spans="1:17" ht="15" thickBot="1">
      <c r="A695" s="590"/>
      <c r="B695" s="591"/>
      <c r="C695" s="593"/>
      <c r="D695" s="592"/>
      <c r="E695" s="594"/>
      <c r="F695" s="595"/>
      <c r="K695" s="696"/>
      <c r="L695" s="696"/>
      <c r="M695" s="1075"/>
      <c r="N695" s="1076"/>
      <c r="O695" s="968"/>
      <c r="P695" s="969"/>
      <c r="Q695" s="970"/>
    </row>
    <row r="696" spans="1:17">
      <c r="A696" s="612"/>
      <c r="B696" s="613"/>
      <c r="C696" s="615"/>
      <c r="D696" s="614"/>
      <c r="E696" s="616"/>
      <c r="F696" s="617"/>
      <c r="K696" s="696"/>
      <c r="L696" s="696"/>
      <c r="M696" s="1075"/>
      <c r="N696" s="1076"/>
      <c r="O696" s="968"/>
      <c r="P696" s="969"/>
      <c r="Q696" s="970"/>
    </row>
    <row r="697" spans="1:17">
      <c r="A697" s="618" t="s">
        <v>310</v>
      </c>
      <c r="B697" s="619" t="s">
        <v>289</v>
      </c>
      <c r="C697" s="621"/>
      <c r="D697" s="620"/>
      <c r="E697" s="622"/>
      <c r="F697" s="623">
        <f>SUM(F645:F695)</f>
        <v>0</v>
      </c>
      <c r="H697" s="645"/>
      <c r="K697" s="696"/>
      <c r="L697" s="696"/>
      <c r="M697" s="1075"/>
      <c r="N697" s="1076"/>
      <c r="O697" s="968"/>
      <c r="P697" s="969"/>
      <c r="Q697" s="970"/>
    </row>
    <row r="698" spans="1:17">
      <c r="A698" s="624"/>
      <c r="B698" s="625"/>
      <c r="C698" s="627"/>
      <c r="D698" s="626"/>
      <c r="E698" s="628"/>
      <c r="F698" s="629"/>
      <c r="K698" s="696"/>
      <c r="L698" s="696"/>
      <c r="M698" s="1075"/>
      <c r="N698" s="1076"/>
      <c r="O698" s="968"/>
      <c r="P698" s="969"/>
      <c r="Q698" s="970"/>
    </row>
    <row r="699" spans="1:17" ht="17.399999999999999">
      <c r="A699" s="568"/>
      <c r="B699" s="569"/>
      <c r="C699" s="570"/>
      <c r="D699" s="569"/>
      <c r="E699" s="571"/>
      <c r="F699" s="572"/>
      <c r="K699" s="696"/>
      <c r="L699" s="696"/>
      <c r="M699" s="1075"/>
      <c r="N699" s="1076"/>
      <c r="O699" s="968"/>
      <c r="P699" s="969"/>
      <c r="Q699" s="970"/>
    </row>
    <row r="700" spans="1:17">
      <c r="A700" s="574"/>
      <c r="B700" s="575"/>
      <c r="C700" s="576"/>
      <c r="D700" s="575"/>
      <c r="E700" s="577"/>
      <c r="F700" s="578"/>
      <c r="K700" s="696"/>
      <c r="L700" s="696"/>
      <c r="M700" s="1075"/>
      <c r="N700" s="1076"/>
      <c r="O700" s="968"/>
      <c r="P700" s="969"/>
      <c r="Q700" s="970"/>
    </row>
    <row r="701" spans="1:17">
      <c r="A701" s="574"/>
      <c r="B701" s="575"/>
      <c r="C701" s="576"/>
      <c r="D701" s="575"/>
      <c r="E701" s="577"/>
      <c r="F701" s="578"/>
      <c r="K701" s="696"/>
      <c r="L701" s="696"/>
      <c r="M701" s="1075"/>
      <c r="N701" s="1076"/>
      <c r="O701" s="968"/>
      <c r="P701" s="969"/>
      <c r="Q701" s="970"/>
    </row>
    <row r="702" spans="1:17">
      <c r="A702" s="579"/>
      <c r="B702" s="580"/>
      <c r="C702" s="581"/>
      <c r="D702" s="580"/>
      <c r="E702" s="582"/>
      <c r="F702" s="583"/>
      <c r="K702" s="696"/>
      <c r="L702" s="696"/>
      <c r="M702" s="1075"/>
      <c r="N702" s="1076"/>
      <c r="O702" s="968"/>
      <c r="P702" s="969"/>
      <c r="Q702" s="970"/>
    </row>
    <row r="703" spans="1:17" ht="15" thickBot="1">
      <c r="A703" s="584" t="s">
        <v>276</v>
      </c>
      <c r="B703" s="585"/>
      <c r="C703" s="587" t="s">
        <v>277</v>
      </c>
      <c r="D703" s="586" t="s">
        <v>266</v>
      </c>
      <c r="E703" s="588" t="s">
        <v>278</v>
      </c>
      <c r="F703" s="589" t="s">
        <v>267</v>
      </c>
      <c r="K703" s="696"/>
      <c r="L703" s="696"/>
      <c r="M703" s="1075"/>
      <c r="N703" s="1076"/>
      <c r="O703" s="968"/>
      <c r="P703" s="969"/>
      <c r="Q703" s="970"/>
    </row>
    <row r="704" spans="1:17">
      <c r="A704" s="590"/>
      <c r="B704" s="591"/>
      <c r="C704" s="593"/>
      <c r="D704" s="592"/>
      <c r="E704" s="594"/>
      <c r="F704" s="595"/>
      <c r="K704" s="696"/>
      <c r="L704" s="696"/>
      <c r="M704" s="1075"/>
      <c r="N704" s="1076"/>
      <c r="O704" s="968"/>
      <c r="P704" s="969"/>
      <c r="Q704" s="970"/>
    </row>
    <row r="705" spans="1:17">
      <c r="A705" s="652" t="s">
        <v>349</v>
      </c>
      <c r="B705" s="651" t="s">
        <v>342</v>
      </c>
      <c r="C705" s="610"/>
      <c r="D705" s="592"/>
      <c r="E705" s="594"/>
      <c r="F705" s="595"/>
      <c r="K705" s="696"/>
      <c r="L705" s="696"/>
      <c r="M705" s="1075"/>
      <c r="N705" s="1076"/>
      <c r="O705" s="968"/>
      <c r="P705" s="969"/>
      <c r="Q705" s="970"/>
    </row>
    <row r="706" spans="1:17">
      <c r="A706" s="590"/>
      <c r="B706" s="661"/>
      <c r="C706" s="593"/>
      <c r="D706" s="662"/>
      <c r="E706" s="594"/>
      <c r="F706" s="595"/>
      <c r="K706" s="696"/>
      <c r="L706" s="696"/>
      <c r="M706" s="1075"/>
      <c r="N706" s="1076"/>
      <c r="O706" s="968"/>
      <c r="P706" s="969"/>
      <c r="Q706" s="970"/>
    </row>
    <row r="707" spans="1:17" ht="15" thickBot="1">
      <c r="A707" s="590" t="s">
        <v>294</v>
      </c>
      <c r="B707" s="678" t="s">
        <v>458</v>
      </c>
      <c r="C707" s="593">
        <v>1</v>
      </c>
      <c r="D707" s="662" t="s">
        <v>459</v>
      </c>
      <c r="E707" s="594"/>
      <c r="F707" s="595">
        <f>E707*C707</f>
        <v>0</v>
      </c>
      <c r="K707" s="696"/>
      <c r="L707" s="696"/>
      <c r="M707" s="1075"/>
      <c r="N707" s="1076"/>
      <c r="O707" s="968"/>
      <c r="P707" s="969"/>
      <c r="Q707" s="970"/>
    </row>
    <row r="708" spans="1:17">
      <c r="A708" s="590"/>
      <c r="B708" s="678"/>
      <c r="C708" s="593"/>
      <c r="D708" s="662"/>
      <c r="E708" s="594"/>
      <c r="F708" s="595"/>
      <c r="K708" s="1014"/>
      <c r="L708" s="1014"/>
      <c r="M708" s="1015"/>
      <c r="N708" s="1016"/>
      <c r="O708" s="1017"/>
      <c r="P708" s="1018"/>
      <c r="Q708" s="1019"/>
    </row>
    <row r="709" spans="1:17">
      <c r="A709" s="590" t="s">
        <v>339</v>
      </c>
      <c r="B709" s="678" t="s">
        <v>460</v>
      </c>
      <c r="C709" s="593">
        <v>1</v>
      </c>
      <c r="D709" s="662" t="s">
        <v>459</v>
      </c>
      <c r="E709" s="594"/>
      <c r="F709" s="595">
        <f>E709*C709</f>
        <v>0</v>
      </c>
      <c r="K709" s="1020"/>
      <c r="L709" s="1020"/>
      <c r="M709" s="1021" t="s">
        <v>289</v>
      </c>
      <c r="N709" s="1022"/>
      <c r="O709" s="1023"/>
      <c r="P709" s="1024"/>
      <c r="Q709" s="1010">
        <f>SUM(Q656:Q706)</f>
        <v>0</v>
      </c>
    </row>
    <row r="710" spans="1:17">
      <c r="A710" s="590"/>
      <c r="B710" s="678"/>
      <c r="C710" s="593"/>
      <c r="D710" s="662"/>
      <c r="E710" s="594"/>
      <c r="F710" s="595"/>
      <c r="K710" s="1025"/>
      <c r="L710" s="1025"/>
      <c r="M710" s="1026"/>
      <c r="N710" s="1027"/>
      <c r="O710" s="1028"/>
      <c r="P710" s="1029"/>
      <c r="Q710" s="1030"/>
    </row>
    <row r="711" spans="1:17" ht="17.399999999999999">
      <c r="A711" s="590" t="s">
        <v>340</v>
      </c>
      <c r="B711" s="678" t="s">
        <v>461</v>
      </c>
      <c r="C711" s="593">
        <v>1</v>
      </c>
      <c r="D711" s="662" t="s">
        <v>459</v>
      </c>
      <c r="E711" s="594"/>
      <c r="F711" s="595">
        <f>E711*C711</f>
        <v>0</v>
      </c>
      <c r="K711" s="980"/>
      <c r="L711" s="981"/>
      <c r="M711" s="982"/>
      <c r="N711" s="982"/>
      <c r="O711" s="983"/>
      <c r="P711" s="984"/>
      <c r="Q711" s="985"/>
    </row>
    <row r="712" spans="1:17">
      <c r="A712" s="590"/>
      <c r="B712" s="661"/>
      <c r="C712" s="593"/>
      <c r="D712" s="662"/>
      <c r="E712" s="594"/>
      <c r="F712" s="595"/>
      <c r="K712" s="986"/>
      <c r="L712" s="987"/>
      <c r="M712" s="988"/>
      <c r="N712" s="988"/>
      <c r="O712" s="989"/>
      <c r="P712" s="990"/>
      <c r="Q712" s="991"/>
    </row>
    <row r="713" spans="1:17">
      <c r="A713" s="590" t="s">
        <v>409</v>
      </c>
      <c r="B713" s="678" t="s">
        <v>462</v>
      </c>
      <c r="C713" s="593">
        <v>1</v>
      </c>
      <c r="D713" s="662" t="s">
        <v>459</v>
      </c>
      <c r="E713" s="594"/>
      <c r="F713" s="595">
        <f>E713*C713</f>
        <v>0</v>
      </c>
      <c r="K713" s="986"/>
      <c r="L713" s="987"/>
      <c r="M713" s="988"/>
      <c r="N713" s="988"/>
      <c r="O713" s="989"/>
      <c r="P713" s="990"/>
      <c r="Q713" s="991"/>
    </row>
    <row r="714" spans="1:17">
      <c r="A714" s="590"/>
      <c r="B714" s="661"/>
      <c r="C714" s="593"/>
      <c r="D714" s="662"/>
      <c r="E714" s="594"/>
      <c r="F714" s="595"/>
      <c r="K714" s="992"/>
      <c r="L714" s="993"/>
      <c r="M714" s="543"/>
      <c r="N714" s="543"/>
      <c r="O714" s="994"/>
      <c r="P714" s="995"/>
      <c r="Q714" s="996"/>
    </row>
    <row r="715" spans="1:17" ht="15" thickBot="1">
      <c r="A715" s="590" t="s">
        <v>416</v>
      </c>
      <c r="B715" s="678" t="s">
        <v>489</v>
      </c>
      <c r="C715" s="593">
        <v>1</v>
      </c>
      <c r="D715" s="662" t="s">
        <v>459</v>
      </c>
      <c r="E715" s="594"/>
      <c r="F715" s="595">
        <f>E715*C715</f>
        <v>0</v>
      </c>
      <c r="K715" s="997" t="s">
        <v>276</v>
      </c>
      <c r="L715" s="998" t="s">
        <v>887</v>
      </c>
      <c r="M715" s="999"/>
      <c r="N715" s="1000" t="s">
        <v>266</v>
      </c>
      <c r="O715" s="1001" t="s">
        <v>277</v>
      </c>
      <c r="P715" s="1002" t="s">
        <v>278</v>
      </c>
      <c r="Q715" s="1003" t="s">
        <v>267</v>
      </c>
    </row>
    <row r="716" spans="1:17">
      <c r="A716" s="590"/>
      <c r="B716" s="678"/>
      <c r="C716" s="593"/>
      <c r="D716" s="662"/>
      <c r="E716" s="594"/>
      <c r="F716" s="595"/>
      <c r="K716" s="696"/>
      <c r="L716" s="696"/>
      <c r="M716" s="703"/>
      <c r="N716" s="967"/>
      <c r="O716" s="968"/>
      <c r="P716" s="969"/>
      <c r="Q716" s="970"/>
    </row>
    <row r="717" spans="1:17">
      <c r="A717" s="590" t="s">
        <v>424</v>
      </c>
      <c r="B717" s="678" t="s">
        <v>490</v>
      </c>
      <c r="C717" s="593">
        <v>1</v>
      </c>
      <c r="D717" s="662" t="s">
        <v>459</v>
      </c>
      <c r="E717" s="594"/>
      <c r="F717" s="595">
        <f>E717*C717</f>
        <v>0</v>
      </c>
      <c r="K717" s="1031">
        <f>K657+1</f>
        <v>13</v>
      </c>
      <c r="L717" s="696"/>
      <c r="M717" s="1032" t="s">
        <v>342</v>
      </c>
      <c r="N717" s="967"/>
      <c r="O717" s="1041"/>
      <c r="P717" s="969"/>
      <c r="Q717" s="970"/>
    </row>
    <row r="718" spans="1:17">
      <c r="A718" s="590"/>
      <c r="B718" s="678"/>
      <c r="C718" s="593"/>
      <c r="D718" s="662"/>
      <c r="E718" s="594"/>
      <c r="F718" s="595"/>
      <c r="K718" s="696"/>
      <c r="L718" s="696"/>
      <c r="M718" s="1075"/>
      <c r="N718" s="1076"/>
      <c r="O718" s="968"/>
      <c r="P718" s="969"/>
      <c r="Q718" s="970"/>
    </row>
    <row r="719" spans="1:17">
      <c r="A719" s="590" t="s">
        <v>426</v>
      </c>
      <c r="B719" s="678" t="s">
        <v>491</v>
      </c>
      <c r="C719" s="593">
        <v>1</v>
      </c>
      <c r="D719" s="662" t="s">
        <v>459</v>
      </c>
      <c r="E719" s="594"/>
      <c r="F719" s="595">
        <f>E719*C719</f>
        <v>0</v>
      </c>
      <c r="K719" s="696"/>
      <c r="L719" s="696"/>
      <c r="M719" s="1075" t="s">
        <v>468</v>
      </c>
      <c r="N719" s="1076" t="s">
        <v>283</v>
      </c>
      <c r="O719" s="968">
        <v>1</v>
      </c>
      <c r="P719" s="969"/>
      <c r="Q719" s="970">
        <f>P719*O719</f>
        <v>0</v>
      </c>
    </row>
    <row r="720" spans="1:17">
      <c r="A720" s="590"/>
      <c r="B720" s="661"/>
      <c r="C720" s="593"/>
      <c r="D720" s="662"/>
      <c r="E720" s="594"/>
      <c r="F720" s="595"/>
      <c r="K720" s="696"/>
      <c r="L720" s="696"/>
      <c r="M720" s="1075"/>
      <c r="N720" s="1076"/>
      <c r="O720" s="968"/>
      <c r="P720" s="969"/>
      <c r="Q720" s="970"/>
    </row>
    <row r="721" spans="1:17">
      <c r="A721" s="590" t="s">
        <v>428</v>
      </c>
      <c r="B721" s="678" t="s">
        <v>492</v>
      </c>
      <c r="C721" s="593">
        <v>1</v>
      </c>
      <c r="D721" s="662" t="s">
        <v>459</v>
      </c>
      <c r="E721" s="594"/>
      <c r="F721" s="595">
        <f>E721*C721</f>
        <v>0</v>
      </c>
      <c r="K721" s="696"/>
      <c r="L721" s="696"/>
      <c r="M721" s="1075" t="s">
        <v>469</v>
      </c>
      <c r="N721" s="1076" t="s">
        <v>283</v>
      </c>
      <c r="O721" s="968">
        <v>1</v>
      </c>
      <c r="P721" s="969"/>
      <c r="Q721" s="970">
        <f>P721*O721</f>
        <v>0</v>
      </c>
    </row>
    <row r="722" spans="1:17">
      <c r="A722" s="590"/>
      <c r="B722" s="678"/>
      <c r="C722" s="593"/>
      <c r="D722" s="662"/>
      <c r="E722" s="594"/>
      <c r="F722" s="595"/>
      <c r="K722" s="696"/>
      <c r="L722" s="696"/>
      <c r="M722" s="1075"/>
      <c r="N722" s="1076"/>
      <c r="O722" s="968"/>
      <c r="P722" s="969"/>
      <c r="Q722" s="970"/>
    </row>
    <row r="723" spans="1:17">
      <c r="A723" s="590" t="s">
        <v>430</v>
      </c>
      <c r="B723" s="678" t="s">
        <v>493</v>
      </c>
      <c r="C723" s="593">
        <v>1</v>
      </c>
      <c r="D723" s="662" t="s">
        <v>459</v>
      </c>
      <c r="E723" s="594"/>
      <c r="F723" s="595">
        <f>E723*C723</f>
        <v>0</v>
      </c>
      <c r="K723" s="696"/>
      <c r="L723" s="696"/>
      <c r="M723" s="1075" t="s">
        <v>470</v>
      </c>
      <c r="N723" s="1076" t="s">
        <v>283</v>
      </c>
      <c r="O723" s="968">
        <v>1</v>
      </c>
      <c r="P723" s="969"/>
      <c r="Q723" s="970">
        <f>P723*O723</f>
        <v>0</v>
      </c>
    </row>
    <row r="724" spans="1:17">
      <c r="A724" s="590"/>
      <c r="B724" s="661"/>
      <c r="C724" s="593"/>
      <c r="D724" s="662"/>
      <c r="E724" s="594"/>
      <c r="F724" s="595"/>
      <c r="K724" s="696"/>
      <c r="L724" s="696"/>
      <c r="M724" s="1075"/>
      <c r="N724" s="1076"/>
      <c r="O724" s="968"/>
      <c r="P724" s="969"/>
      <c r="Q724" s="970"/>
    </row>
    <row r="725" spans="1:17">
      <c r="A725" s="590"/>
      <c r="B725" s="661"/>
      <c r="C725" s="593"/>
      <c r="D725" s="662"/>
      <c r="E725" s="594"/>
      <c r="F725" s="595"/>
      <c r="K725" s="696"/>
      <c r="L725" s="696"/>
      <c r="M725" s="1075" t="s">
        <v>471</v>
      </c>
      <c r="N725" s="1076" t="s">
        <v>283</v>
      </c>
      <c r="O725" s="968">
        <v>1</v>
      </c>
      <c r="P725" s="969"/>
      <c r="Q725" s="970">
        <f>P725*O725</f>
        <v>0</v>
      </c>
    </row>
    <row r="726" spans="1:17">
      <c r="A726" s="590"/>
      <c r="B726" s="661"/>
      <c r="C726" s="593"/>
      <c r="D726" s="662"/>
      <c r="E726" s="594"/>
      <c r="F726" s="595"/>
      <c r="K726" s="696"/>
      <c r="L726" s="696"/>
      <c r="M726" s="1075"/>
      <c r="N726" s="1076"/>
      <c r="O726" s="968"/>
      <c r="P726" s="969"/>
      <c r="Q726" s="970"/>
    </row>
    <row r="727" spans="1:17">
      <c r="A727" s="590"/>
      <c r="B727" s="661"/>
      <c r="C727" s="593"/>
      <c r="D727" s="662"/>
      <c r="E727" s="594"/>
      <c r="F727" s="595"/>
      <c r="K727" s="696"/>
      <c r="L727" s="696"/>
      <c r="M727" s="1075" t="s">
        <v>472</v>
      </c>
      <c r="N727" s="1076" t="s">
        <v>283</v>
      </c>
      <c r="O727" s="968">
        <v>1</v>
      </c>
      <c r="P727" s="969"/>
      <c r="Q727" s="970">
        <f>P727*O727</f>
        <v>0</v>
      </c>
    </row>
    <row r="728" spans="1:17">
      <c r="A728" s="590"/>
      <c r="B728" s="661"/>
      <c r="C728" s="593"/>
      <c r="D728" s="662"/>
      <c r="E728" s="594"/>
      <c r="F728" s="595"/>
      <c r="K728" s="696"/>
      <c r="L728" s="696"/>
      <c r="M728" s="1075"/>
      <c r="N728" s="1076"/>
      <c r="O728" s="968"/>
      <c r="P728" s="969"/>
      <c r="Q728" s="970"/>
    </row>
    <row r="729" spans="1:17">
      <c r="A729" s="590"/>
      <c r="B729" s="661"/>
      <c r="C729" s="593"/>
      <c r="D729" s="662"/>
      <c r="E729" s="594"/>
      <c r="F729" s="595"/>
      <c r="K729" s="696"/>
      <c r="L729" s="696"/>
      <c r="M729" s="1075" t="s">
        <v>473</v>
      </c>
      <c r="N729" s="1076" t="s">
        <v>283</v>
      </c>
      <c r="O729" s="968">
        <v>1</v>
      </c>
      <c r="P729" s="969"/>
      <c r="Q729" s="970">
        <f>P729*O729</f>
        <v>0</v>
      </c>
    </row>
    <row r="730" spans="1:17">
      <c r="A730" s="590"/>
      <c r="B730" s="661"/>
      <c r="C730" s="593"/>
      <c r="D730" s="662"/>
      <c r="E730" s="594"/>
      <c r="F730" s="595"/>
      <c r="K730" s="696"/>
      <c r="L730" s="696"/>
      <c r="M730" s="1075"/>
      <c r="N730" s="1076"/>
      <c r="O730" s="968"/>
      <c r="P730" s="969"/>
      <c r="Q730" s="970"/>
    </row>
    <row r="731" spans="1:17">
      <c r="A731" s="590"/>
      <c r="B731" s="661"/>
      <c r="C731" s="593"/>
      <c r="D731" s="662"/>
      <c r="E731" s="594"/>
      <c r="F731" s="595"/>
      <c r="K731" s="696"/>
      <c r="L731" s="696"/>
      <c r="M731" s="1075" t="s">
        <v>474</v>
      </c>
      <c r="N731" s="1076" t="s">
        <v>283</v>
      </c>
      <c r="O731" s="968">
        <v>1</v>
      </c>
      <c r="P731" s="969"/>
      <c r="Q731" s="970">
        <f>P731*O731</f>
        <v>0</v>
      </c>
    </row>
    <row r="732" spans="1:17">
      <c r="A732" s="590"/>
      <c r="B732" s="661"/>
      <c r="C732" s="593"/>
      <c r="D732" s="662"/>
      <c r="E732" s="594"/>
      <c r="F732" s="595"/>
      <c r="K732" s="696"/>
      <c r="L732" s="696"/>
      <c r="M732" s="1075"/>
      <c r="N732" s="1076"/>
      <c r="O732" s="968"/>
      <c r="P732" s="969"/>
      <c r="Q732" s="970"/>
    </row>
    <row r="733" spans="1:17">
      <c r="A733" s="590"/>
      <c r="B733" s="661"/>
      <c r="C733" s="593"/>
      <c r="D733" s="662"/>
      <c r="E733" s="594"/>
      <c r="F733" s="595"/>
      <c r="K733" s="696"/>
      <c r="L733" s="696"/>
      <c r="M733" s="1075" t="s">
        <v>475</v>
      </c>
      <c r="N733" s="1076" t="s">
        <v>283</v>
      </c>
      <c r="O733" s="968">
        <v>1</v>
      </c>
      <c r="P733" s="969"/>
      <c r="Q733" s="970">
        <f>P733*O733</f>
        <v>0</v>
      </c>
    </row>
    <row r="734" spans="1:17">
      <c r="A734" s="590"/>
      <c r="B734" s="661"/>
      <c r="C734" s="593"/>
      <c r="D734" s="662"/>
      <c r="E734" s="594"/>
      <c r="F734" s="595"/>
      <c r="K734" s="696"/>
      <c r="L734" s="696"/>
      <c r="M734" s="1075"/>
      <c r="N734" s="1076"/>
      <c r="O734" s="968"/>
      <c r="P734" s="969"/>
      <c r="Q734" s="970"/>
    </row>
    <row r="735" spans="1:17">
      <c r="A735" s="590"/>
      <c r="B735" s="661"/>
      <c r="C735" s="593"/>
      <c r="D735" s="662"/>
      <c r="E735" s="594"/>
      <c r="F735" s="595"/>
      <c r="K735" s="696"/>
      <c r="L735" s="696"/>
      <c r="M735" s="1075" t="s">
        <v>476</v>
      </c>
      <c r="N735" s="1076" t="s">
        <v>283</v>
      </c>
      <c r="O735" s="968">
        <v>1</v>
      </c>
      <c r="P735" s="969"/>
      <c r="Q735" s="970">
        <f>P735*O735</f>
        <v>0</v>
      </c>
    </row>
    <row r="736" spans="1:17">
      <c r="A736" s="590"/>
      <c r="B736" s="661"/>
      <c r="C736" s="593"/>
      <c r="D736" s="662"/>
      <c r="E736" s="594"/>
      <c r="F736" s="595"/>
      <c r="K736" s="696"/>
      <c r="L736" s="696"/>
      <c r="M736" s="1075"/>
      <c r="N736" s="1076"/>
      <c r="O736" s="968"/>
      <c r="P736" s="969"/>
      <c r="Q736" s="970"/>
    </row>
    <row r="737" spans="1:17">
      <c r="A737" s="590"/>
      <c r="B737" s="661"/>
      <c r="C737" s="593"/>
      <c r="D737" s="662"/>
      <c r="E737" s="594"/>
      <c r="F737" s="595"/>
      <c r="K737" s="696"/>
      <c r="L737" s="696"/>
      <c r="M737" s="1075" t="s">
        <v>477</v>
      </c>
      <c r="N737" s="1076" t="s">
        <v>283</v>
      </c>
      <c r="O737" s="968">
        <v>1</v>
      </c>
      <c r="P737" s="969"/>
      <c r="Q737" s="970">
        <f>P737*O737</f>
        <v>0</v>
      </c>
    </row>
    <row r="738" spans="1:17">
      <c r="A738" s="590"/>
      <c r="B738" s="661"/>
      <c r="C738" s="593"/>
      <c r="D738" s="662"/>
      <c r="E738" s="594"/>
      <c r="F738" s="595"/>
      <c r="K738" s="696"/>
      <c r="L738" s="696"/>
      <c r="M738" s="1075"/>
      <c r="N738" s="1076"/>
      <c r="O738" s="968"/>
      <c r="P738" s="969"/>
      <c r="Q738" s="970"/>
    </row>
    <row r="739" spans="1:17">
      <c r="A739" s="590"/>
      <c r="B739" s="661"/>
      <c r="C739" s="593"/>
      <c r="D739" s="662"/>
      <c r="E739" s="594"/>
      <c r="F739" s="595"/>
      <c r="K739" s="696"/>
      <c r="L739" s="696"/>
      <c r="M739" s="1075"/>
      <c r="N739" s="1076"/>
      <c r="O739" s="968"/>
      <c r="P739" s="969"/>
      <c r="Q739" s="970"/>
    </row>
    <row r="740" spans="1:17">
      <c r="A740" s="590"/>
      <c r="B740" s="661"/>
      <c r="C740" s="593"/>
      <c r="D740" s="662"/>
      <c r="E740" s="594"/>
      <c r="F740" s="595"/>
      <c r="K740" s="696"/>
      <c r="L740" s="696"/>
      <c r="M740" s="1075"/>
      <c r="N740" s="1076"/>
      <c r="O740" s="968"/>
      <c r="P740" s="969"/>
      <c r="Q740" s="970"/>
    </row>
    <row r="741" spans="1:17">
      <c r="A741" s="590"/>
      <c r="B741" s="661"/>
      <c r="C741" s="593"/>
      <c r="D741" s="662"/>
      <c r="E741" s="594"/>
      <c r="F741" s="595"/>
      <c r="K741" s="696"/>
      <c r="L741" s="696"/>
      <c r="M741" s="1075"/>
      <c r="N741" s="1076"/>
      <c r="O741" s="968"/>
      <c r="P741" s="969"/>
      <c r="Q741" s="970"/>
    </row>
    <row r="742" spans="1:17">
      <c r="A742" s="590"/>
      <c r="B742" s="661"/>
      <c r="C742" s="593"/>
      <c r="D742" s="662"/>
      <c r="E742" s="594"/>
      <c r="F742" s="595"/>
      <c r="K742" s="696"/>
      <c r="L742" s="696"/>
      <c r="M742" s="1075"/>
      <c r="N742" s="1076"/>
      <c r="O742" s="968"/>
      <c r="P742" s="969"/>
      <c r="Q742" s="970"/>
    </row>
    <row r="743" spans="1:17">
      <c r="A743" s="590"/>
      <c r="B743" s="661"/>
      <c r="C743" s="593"/>
      <c r="D743" s="662"/>
      <c r="E743" s="594"/>
      <c r="F743" s="595"/>
      <c r="K743" s="696"/>
      <c r="L743" s="696"/>
      <c r="M743" s="1075"/>
      <c r="N743" s="1076"/>
      <c r="O743" s="968"/>
      <c r="P743" s="969"/>
      <c r="Q743" s="970"/>
    </row>
    <row r="744" spans="1:17">
      <c r="A744" s="590"/>
      <c r="B744" s="661"/>
      <c r="C744" s="593"/>
      <c r="D744" s="662"/>
      <c r="E744" s="594"/>
      <c r="F744" s="595"/>
      <c r="K744" s="696"/>
      <c r="L744" s="696"/>
      <c r="M744" s="1075"/>
      <c r="N744" s="1076"/>
      <c r="O744" s="968"/>
      <c r="P744" s="969"/>
      <c r="Q744" s="970"/>
    </row>
    <row r="745" spans="1:17">
      <c r="A745" s="590"/>
      <c r="B745" s="661"/>
      <c r="C745" s="593"/>
      <c r="D745" s="662"/>
      <c r="E745" s="594"/>
      <c r="F745" s="595"/>
      <c r="K745" s="696"/>
      <c r="L745" s="696"/>
      <c r="M745" s="1075"/>
      <c r="N745" s="1076"/>
      <c r="O745" s="968"/>
      <c r="P745" s="969"/>
      <c r="Q745" s="970"/>
    </row>
    <row r="746" spans="1:17">
      <c r="A746" s="590"/>
      <c r="B746" s="661"/>
      <c r="C746" s="593"/>
      <c r="D746" s="662"/>
      <c r="E746" s="594"/>
      <c r="F746" s="595"/>
      <c r="K746" s="696"/>
      <c r="L746" s="696"/>
      <c r="M746" s="1075"/>
      <c r="N746" s="1076"/>
      <c r="O746" s="968"/>
      <c r="P746" s="969"/>
      <c r="Q746" s="970"/>
    </row>
    <row r="747" spans="1:17">
      <c r="A747" s="590"/>
      <c r="B747" s="661"/>
      <c r="C747" s="593"/>
      <c r="D747" s="662"/>
      <c r="E747" s="594"/>
      <c r="F747" s="595"/>
      <c r="K747" s="696"/>
      <c r="L747" s="696"/>
      <c r="M747" s="1075"/>
      <c r="N747" s="1076"/>
      <c r="O747" s="968"/>
      <c r="P747" s="969"/>
      <c r="Q747" s="970"/>
    </row>
    <row r="748" spans="1:17">
      <c r="A748" s="590"/>
      <c r="B748" s="661"/>
      <c r="C748" s="593"/>
      <c r="D748" s="662"/>
      <c r="E748" s="594"/>
      <c r="F748" s="595"/>
      <c r="K748" s="696"/>
      <c r="L748" s="696"/>
      <c r="M748" s="1075"/>
      <c r="N748" s="1076"/>
      <c r="O748" s="968"/>
      <c r="P748" s="969"/>
      <c r="Q748" s="970"/>
    </row>
    <row r="749" spans="1:17">
      <c r="A749" s="590"/>
      <c r="B749" s="661"/>
      <c r="C749" s="593"/>
      <c r="D749" s="662"/>
      <c r="E749" s="594"/>
      <c r="F749" s="595"/>
      <c r="K749" s="696"/>
      <c r="L749" s="696"/>
      <c r="M749" s="1075"/>
      <c r="N749" s="1076"/>
      <c r="O749" s="968"/>
      <c r="P749" s="969"/>
      <c r="Q749" s="970"/>
    </row>
    <row r="750" spans="1:17">
      <c r="A750" s="590"/>
      <c r="B750" s="661"/>
      <c r="C750" s="593"/>
      <c r="D750" s="662"/>
      <c r="E750" s="594"/>
      <c r="F750" s="595"/>
      <c r="K750" s="696"/>
      <c r="L750" s="696"/>
      <c r="M750" s="1075"/>
      <c r="N750" s="1076"/>
      <c r="O750" s="968"/>
      <c r="P750" s="969"/>
      <c r="Q750" s="970"/>
    </row>
    <row r="751" spans="1:17">
      <c r="A751" s="590"/>
      <c r="B751" s="661"/>
      <c r="C751" s="593"/>
      <c r="D751" s="662"/>
      <c r="E751" s="594"/>
      <c r="F751" s="595"/>
      <c r="K751" s="696"/>
      <c r="L751" s="696"/>
      <c r="M751" s="1075"/>
      <c r="N751" s="1076"/>
      <c r="O751" s="968"/>
      <c r="P751" s="969"/>
      <c r="Q751" s="970"/>
    </row>
    <row r="752" spans="1:17">
      <c r="A752" s="590"/>
      <c r="B752" s="661"/>
      <c r="C752" s="593"/>
      <c r="D752" s="662"/>
      <c r="E752" s="594"/>
      <c r="F752" s="595"/>
      <c r="K752" s="696"/>
      <c r="L752" s="696"/>
      <c r="M752" s="1075"/>
      <c r="N752" s="1076"/>
      <c r="O752" s="968"/>
      <c r="P752" s="969"/>
      <c r="Q752" s="970"/>
    </row>
    <row r="753" spans="1:17">
      <c r="A753" s="590"/>
      <c r="B753" s="661"/>
      <c r="C753" s="593"/>
      <c r="D753" s="662"/>
      <c r="E753" s="594"/>
      <c r="F753" s="595"/>
      <c r="K753" s="696"/>
      <c r="L753" s="696"/>
      <c r="M753" s="1075"/>
      <c r="N753" s="1076"/>
      <c r="O753" s="968"/>
      <c r="P753" s="969"/>
      <c r="Q753" s="970"/>
    </row>
    <row r="754" spans="1:17">
      <c r="A754" s="590"/>
      <c r="B754" s="661"/>
      <c r="C754" s="593"/>
      <c r="D754" s="662"/>
      <c r="E754" s="594"/>
      <c r="F754" s="595"/>
      <c r="K754" s="696"/>
      <c r="L754" s="696"/>
      <c r="M754" s="1075"/>
      <c r="N754" s="1076"/>
      <c r="O754" s="968"/>
      <c r="P754" s="969"/>
      <c r="Q754" s="970"/>
    </row>
    <row r="755" spans="1:17" ht="15" thickBot="1">
      <c r="A755" s="590"/>
      <c r="B755" s="661"/>
      <c r="C755" s="593"/>
      <c r="D755" s="662"/>
      <c r="E755" s="594"/>
      <c r="F755" s="595"/>
      <c r="K755" s="696"/>
      <c r="L755" s="696"/>
      <c r="M755" s="1075"/>
      <c r="N755" s="1076"/>
      <c r="O755" s="968"/>
      <c r="P755" s="969"/>
      <c r="Q755" s="970"/>
    </row>
    <row r="756" spans="1:17">
      <c r="A756" s="612"/>
      <c r="B756" s="613"/>
      <c r="C756" s="615"/>
      <c r="D756" s="614"/>
      <c r="E756" s="616"/>
      <c r="F756" s="617"/>
      <c r="K756" s="696"/>
      <c r="L756" s="696"/>
      <c r="M756" s="1075"/>
      <c r="N756" s="1076"/>
      <c r="O756" s="968"/>
      <c r="P756" s="969"/>
      <c r="Q756" s="970"/>
    </row>
    <row r="757" spans="1:17">
      <c r="A757" s="618" t="s">
        <v>310</v>
      </c>
      <c r="B757" s="619" t="s">
        <v>289</v>
      </c>
      <c r="C757" s="621"/>
      <c r="D757" s="620"/>
      <c r="E757" s="622"/>
      <c r="F757" s="623">
        <f>SUM(F704:F754)</f>
        <v>0</v>
      </c>
      <c r="H757" s="645"/>
      <c r="K757" s="696"/>
      <c r="L757" s="696"/>
      <c r="M757" s="1075"/>
      <c r="N757" s="1076"/>
      <c r="O757" s="968"/>
      <c r="P757" s="969"/>
      <c r="Q757" s="970"/>
    </row>
    <row r="758" spans="1:17">
      <c r="A758" s="624"/>
      <c r="B758" s="625"/>
      <c r="C758" s="627"/>
      <c r="D758" s="626"/>
      <c r="E758" s="628"/>
      <c r="F758" s="629"/>
      <c r="K758" s="696"/>
      <c r="L758" s="696"/>
      <c r="M758" s="1075"/>
      <c r="N758" s="1076"/>
      <c r="O758" s="968"/>
      <c r="P758" s="969"/>
      <c r="Q758" s="970"/>
    </row>
    <row r="759" spans="1:17" ht="17.399999999999999">
      <c r="A759" s="568"/>
      <c r="B759" s="569"/>
      <c r="C759" s="570"/>
      <c r="D759" s="569"/>
      <c r="E759" s="571"/>
      <c r="F759" s="572"/>
      <c r="K759" s="696"/>
      <c r="L759" s="696"/>
      <c r="M759" s="1075"/>
      <c r="N759" s="1076"/>
      <c r="O759" s="968"/>
      <c r="P759" s="969"/>
      <c r="Q759" s="970"/>
    </row>
    <row r="760" spans="1:17">
      <c r="A760" s="574"/>
      <c r="B760" s="575"/>
      <c r="C760" s="576"/>
      <c r="D760" s="575"/>
      <c r="E760" s="577"/>
      <c r="F760" s="578"/>
      <c r="K760" s="696"/>
      <c r="L760" s="696"/>
      <c r="M760" s="1075"/>
      <c r="N760" s="1076"/>
      <c r="O760" s="968"/>
      <c r="P760" s="969"/>
      <c r="Q760" s="970"/>
    </row>
    <row r="761" spans="1:17">
      <c r="A761" s="574"/>
      <c r="B761" s="575"/>
      <c r="C761" s="576"/>
      <c r="D761" s="575"/>
      <c r="E761" s="577"/>
      <c r="F761" s="578"/>
      <c r="K761" s="696"/>
      <c r="L761" s="696"/>
      <c r="M761" s="1075"/>
      <c r="N761" s="1076"/>
      <c r="O761" s="968"/>
      <c r="P761" s="969"/>
      <c r="Q761" s="970"/>
    </row>
    <row r="762" spans="1:17">
      <c r="A762" s="579"/>
      <c r="B762" s="580"/>
      <c r="C762" s="581"/>
      <c r="D762" s="580"/>
      <c r="E762" s="582"/>
      <c r="F762" s="583"/>
      <c r="K762" s="696"/>
      <c r="L762" s="696"/>
      <c r="M762" s="1075"/>
      <c r="N762" s="1076"/>
      <c r="O762" s="968"/>
      <c r="P762" s="969"/>
      <c r="Q762" s="970"/>
    </row>
    <row r="763" spans="1:17" ht="15" thickBot="1">
      <c r="A763" s="584" t="s">
        <v>276</v>
      </c>
      <c r="B763" s="585"/>
      <c r="C763" s="587" t="s">
        <v>277</v>
      </c>
      <c r="D763" s="586" t="s">
        <v>266</v>
      </c>
      <c r="E763" s="588" t="s">
        <v>278</v>
      </c>
      <c r="F763" s="589" t="s">
        <v>267</v>
      </c>
      <c r="K763" s="696"/>
      <c r="L763" s="696"/>
      <c r="M763" s="1075"/>
      <c r="N763" s="1076"/>
      <c r="O763" s="968"/>
      <c r="P763" s="969"/>
      <c r="Q763" s="970"/>
    </row>
    <row r="764" spans="1:17">
      <c r="A764" s="590"/>
      <c r="B764" s="591"/>
      <c r="C764" s="593"/>
      <c r="D764" s="592"/>
      <c r="E764" s="594"/>
      <c r="F764" s="595"/>
      <c r="K764" s="696"/>
      <c r="L764" s="696"/>
      <c r="M764" s="1075"/>
      <c r="N764" s="1076"/>
      <c r="O764" s="968"/>
      <c r="P764" s="969"/>
      <c r="Q764" s="970"/>
    </row>
    <row r="765" spans="1:17">
      <c r="A765" s="652" t="s">
        <v>315</v>
      </c>
      <c r="B765" s="651" t="s">
        <v>342</v>
      </c>
      <c r="C765" s="610"/>
      <c r="D765" s="592"/>
      <c r="E765" s="594"/>
      <c r="F765" s="595"/>
      <c r="K765" s="696"/>
      <c r="L765" s="696"/>
      <c r="M765" s="1075"/>
      <c r="N765" s="1076"/>
      <c r="O765" s="968"/>
      <c r="P765" s="969"/>
      <c r="Q765" s="970"/>
    </row>
    <row r="766" spans="1:17">
      <c r="A766" s="590"/>
      <c r="B766" s="661"/>
      <c r="C766" s="593"/>
      <c r="D766" s="662"/>
      <c r="E766" s="594"/>
      <c r="F766" s="595"/>
      <c r="K766" s="696"/>
      <c r="L766" s="696"/>
      <c r="M766" s="1075"/>
      <c r="N766" s="1076"/>
      <c r="O766" s="968"/>
      <c r="P766" s="969"/>
      <c r="Q766" s="970"/>
    </row>
    <row r="767" spans="1:17" ht="15" thickBot="1">
      <c r="A767" s="590" t="s">
        <v>294</v>
      </c>
      <c r="B767" s="661" t="s">
        <v>468</v>
      </c>
      <c r="C767" s="593">
        <v>1</v>
      </c>
      <c r="D767" s="662" t="s">
        <v>283</v>
      </c>
      <c r="E767" s="594"/>
      <c r="F767" s="595">
        <f>E767*C767</f>
        <v>0</v>
      </c>
      <c r="K767" s="696"/>
      <c r="L767" s="696"/>
      <c r="M767" s="1075"/>
      <c r="N767" s="1076"/>
      <c r="O767" s="968"/>
      <c r="P767" s="969"/>
      <c r="Q767" s="970"/>
    </row>
    <row r="768" spans="1:17">
      <c r="A768" s="590"/>
      <c r="B768" s="661"/>
      <c r="C768" s="593"/>
      <c r="D768" s="662"/>
      <c r="E768" s="594"/>
      <c r="F768" s="595"/>
      <c r="K768" s="1014"/>
      <c r="L768" s="1014"/>
      <c r="M768" s="1015"/>
      <c r="N768" s="1016"/>
      <c r="O768" s="1017"/>
      <c r="P768" s="1018"/>
      <c r="Q768" s="1019"/>
    </row>
    <row r="769" spans="1:17">
      <c r="A769" s="590" t="s">
        <v>339</v>
      </c>
      <c r="B769" s="661" t="s">
        <v>469</v>
      </c>
      <c r="C769" s="593">
        <v>1</v>
      </c>
      <c r="D769" s="662" t="s">
        <v>283</v>
      </c>
      <c r="E769" s="594"/>
      <c r="F769" s="595">
        <f>E769*C769</f>
        <v>0</v>
      </c>
      <c r="K769" s="1020"/>
      <c r="L769" s="1020"/>
      <c r="M769" s="1021" t="s">
        <v>289</v>
      </c>
      <c r="N769" s="1022"/>
      <c r="O769" s="1023"/>
      <c r="P769" s="1024"/>
      <c r="Q769" s="1010">
        <f>SUM(Q718:Q767)</f>
        <v>0</v>
      </c>
    </row>
    <row r="770" spans="1:17">
      <c r="A770" s="590"/>
      <c r="B770" s="661"/>
      <c r="C770" s="593"/>
      <c r="D770" s="662"/>
      <c r="E770" s="594"/>
      <c r="F770" s="595"/>
      <c r="K770" s="1025"/>
      <c r="L770" s="1025"/>
      <c r="M770" s="1026"/>
      <c r="N770" s="1027"/>
      <c r="O770" s="1028"/>
      <c r="P770" s="1029"/>
      <c r="Q770" s="1030"/>
    </row>
    <row r="771" spans="1:17" ht="17.399999999999999">
      <c r="A771" s="590" t="s">
        <v>340</v>
      </c>
      <c r="B771" s="661" t="s">
        <v>470</v>
      </c>
      <c r="C771" s="593">
        <v>1</v>
      </c>
      <c r="D771" s="662" t="s">
        <v>283</v>
      </c>
      <c r="E771" s="594"/>
      <c r="F771" s="595">
        <f>E771*C771</f>
        <v>0</v>
      </c>
      <c r="K771" s="980"/>
      <c r="L771" s="981"/>
      <c r="M771" s="1077"/>
      <c r="N771" s="982"/>
      <c r="O771" s="983"/>
      <c r="P771" s="984"/>
      <c r="Q771" s="985"/>
    </row>
    <row r="772" spans="1:17">
      <c r="A772" s="590"/>
      <c r="B772" s="661"/>
      <c r="C772" s="593"/>
      <c r="D772" s="662"/>
      <c r="E772" s="594"/>
      <c r="F772" s="595"/>
      <c r="K772" s="986"/>
      <c r="L772" s="987"/>
      <c r="M772" s="1078"/>
      <c r="N772" s="988"/>
      <c r="O772" s="989"/>
      <c r="P772" s="990"/>
      <c r="Q772" s="991"/>
    </row>
    <row r="773" spans="1:17">
      <c r="A773" s="590" t="s">
        <v>409</v>
      </c>
      <c r="B773" s="661" t="s">
        <v>471</v>
      </c>
      <c r="C773" s="593">
        <v>1</v>
      </c>
      <c r="D773" s="662" t="s">
        <v>283</v>
      </c>
      <c r="E773" s="594"/>
      <c r="F773" s="595">
        <f>E773*C773</f>
        <v>0</v>
      </c>
      <c r="K773" s="986"/>
      <c r="L773" s="987"/>
      <c r="M773" s="1078"/>
      <c r="N773" s="988"/>
      <c r="O773" s="989"/>
      <c r="P773" s="990"/>
      <c r="Q773" s="991"/>
    </row>
    <row r="774" spans="1:17">
      <c r="A774" s="590"/>
      <c r="B774" s="661"/>
      <c r="C774" s="593"/>
      <c r="D774" s="662"/>
      <c r="E774" s="594"/>
      <c r="F774" s="595"/>
      <c r="K774" s="1020"/>
      <c r="L774" s="993"/>
      <c r="M774" s="959"/>
      <c r="N774" s="543"/>
      <c r="O774" s="994"/>
      <c r="P774" s="995"/>
      <c r="Q774" s="996"/>
    </row>
    <row r="775" spans="1:17" ht="15" thickBot="1">
      <c r="A775" s="590" t="s">
        <v>416</v>
      </c>
      <c r="B775" s="661" t="s">
        <v>472</v>
      </c>
      <c r="C775" s="593">
        <v>1</v>
      </c>
      <c r="D775" s="662" t="s">
        <v>283</v>
      </c>
      <c r="E775" s="594"/>
      <c r="F775" s="595">
        <f>E775*C775</f>
        <v>0</v>
      </c>
      <c r="K775" s="997" t="s">
        <v>276</v>
      </c>
      <c r="L775" s="998" t="s">
        <v>887</v>
      </c>
      <c r="M775" s="999"/>
      <c r="N775" s="1000" t="s">
        <v>266</v>
      </c>
      <c r="O775" s="1001" t="s">
        <v>277</v>
      </c>
      <c r="P775" s="1002" t="s">
        <v>278</v>
      </c>
      <c r="Q775" s="1003" t="s">
        <v>267</v>
      </c>
    </row>
    <row r="776" spans="1:17">
      <c r="A776" s="590"/>
      <c r="B776" s="661"/>
      <c r="C776" s="593"/>
      <c r="D776" s="662"/>
      <c r="E776" s="594"/>
      <c r="F776" s="595"/>
      <c r="K776" s="696"/>
      <c r="L776" s="696"/>
      <c r="M776" s="1084"/>
      <c r="N776" s="1076"/>
      <c r="O776" s="968"/>
      <c r="P776" s="969"/>
      <c r="Q776" s="970"/>
    </row>
    <row r="777" spans="1:17">
      <c r="A777" s="590" t="s">
        <v>424</v>
      </c>
      <c r="B777" s="661" t="s">
        <v>473</v>
      </c>
      <c r="C777" s="593">
        <v>1</v>
      </c>
      <c r="D777" s="662" t="s">
        <v>283</v>
      </c>
      <c r="E777" s="594"/>
      <c r="F777" s="595">
        <f>E777*C777</f>
        <v>0</v>
      </c>
      <c r="K777" s="1031">
        <f>K717+1</f>
        <v>14</v>
      </c>
      <c r="L777" s="696"/>
      <c r="M777" s="1082" t="s">
        <v>342</v>
      </c>
      <c r="N777" s="1076"/>
      <c r="O777" s="968"/>
      <c r="P777" s="969"/>
      <c r="Q777" s="970"/>
    </row>
    <row r="778" spans="1:17">
      <c r="A778" s="590"/>
      <c r="B778" s="661"/>
      <c r="C778" s="593"/>
      <c r="D778" s="662"/>
      <c r="E778" s="594"/>
      <c r="F778" s="595"/>
      <c r="K778" s="696"/>
      <c r="L778" s="696"/>
      <c r="M778" s="1075"/>
      <c r="N778" s="1076"/>
      <c r="O778" s="968"/>
      <c r="P778" s="969"/>
      <c r="Q778" s="970"/>
    </row>
    <row r="779" spans="1:17">
      <c r="A779" s="590" t="s">
        <v>426</v>
      </c>
      <c r="B779" s="661" t="s">
        <v>474</v>
      </c>
      <c r="C779" s="593">
        <v>1</v>
      </c>
      <c r="D779" s="662" t="s">
        <v>283</v>
      </c>
      <c r="E779" s="594"/>
      <c r="F779" s="595">
        <f>E779*C779</f>
        <v>0</v>
      </c>
      <c r="K779" s="696"/>
      <c r="L779" s="696"/>
      <c r="M779" s="1075" t="s">
        <v>478</v>
      </c>
      <c r="N779" s="1076" t="s">
        <v>283</v>
      </c>
      <c r="O779" s="968">
        <v>1</v>
      </c>
      <c r="P779" s="969"/>
      <c r="Q779" s="970">
        <f>P779*O779</f>
        <v>0</v>
      </c>
    </row>
    <row r="780" spans="1:17">
      <c r="A780" s="590"/>
      <c r="B780" s="661"/>
      <c r="C780" s="593"/>
      <c r="D780" s="662"/>
      <c r="E780" s="594"/>
      <c r="F780" s="595"/>
      <c r="K780" s="696"/>
      <c r="L780" s="696"/>
      <c r="M780" s="1075"/>
      <c r="N780" s="1076"/>
      <c r="O780" s="968"/>
      <c r="P780" s="969"/>
      <c r="Q780" s="970"/>
    </row>
    <row r="781" spans="1:17">
      <c r="A781" s="590" t="s">
        <v>428</v>
      </c>
      <c r="B781" s="661" t="s">
        <v>475</v>
      </c>
      <c r="C781" s="593">
        <v>1</v>
      </c>
      <c r="D781" s="662" t="s">
        <v>283</v>
      </c>
      <c r="E781" s="594"/>
      <c r="F781" s="595">
        <f>E781*C781</f>
        <v>0</v>
      </c>
      <c r="K781" s="696"/>
      <c r="L781" s="696"/>
      <c r="M781" s="1075" t="s">
        <v>479</v>
      </c>
      <c r="N781" s="1076" t="s">
        <v>283</v>
      </c>
      <c r="O781" s="968">
        <v>1</v>
      </c>
      <c r="P781" s="969"/>
      <c r="Q781" s="970">
        <f>P781*O781</f>
        <v>0</v>
      </c>
    </row>
    <row r="782" spans="1:17">
      <c r="A782" s="590"/>
      <c r="B782" s="661"/>
      <c r="C782" s="593"/>
      <c r="D782" s="662"/>
      <c r="E782" s="594"/>
      <c r="F782" s="595"/>
      <c r="K782" s="696"/>
      <c r="L782" s="696"/>
      <c r="M782" s="1075"/>
      <c r="N782" s="1076"/>
      <c r="O782" s="968"/>
      <c r="P782" s="969"/>
      <c r="Q782" s="970"/>
    </row>
    <row r="783" spans="1:17">
      <c r="A783" s="590" t="s">
        <v>430</v>
      </c>
      <c r="B783" s="661" t="s">
        <v>476</v>
      </c>
      <c r="C783" s="593">
        <v>1</v>
      </c>
      <c r="D783" s="662" t="s">
        <v>283</v>
      </c>
      <c r="E783" s="594"/>
      <c r="F783" s="595">
        <f>E783*C783</f>
        <v>0</v>
      </c>
      <c r="K783" s="696"/>
      <c r="L783" s="696"/>
      <c r="M783" s="1075" t="s">
        <v>480</v>
      </c>
      <c r="N783" s="1076" t="s">
        <v>283</v>
      </c>
      <c r="O783" s="968">
        <v>1</v>
      </c>
      <c r="P783" s="969"/>
      <c r="Q783" s="970">
        <f>P783*O783</f>
        <v>0</v>
      </c>
    </row>
    <row r="784" spans="1:17">
      <c r="A784" s="590"/>
      <c r="B784" s="661"/>
      <c r="C784" s="593"/>
      <c r="D784" s="662"/>
      <c r="E784" s="594"/>
      <c r="F784" s="595"/>
      <c r="K784" s="696"/>
      <c r="L784" s="696"/>
      <c r="M784" s="1075"/>
      <c r="N784" s="1076"/>
      <c r="O784" s="968"/>
      <c r="P784" s="969"/>
      <c r="Q784" s="970"/>
    </row>
    <row r="785" spans="1:17">
      <c r="A785" s="590" t="s">
        <v>432</v>
      </c>
      <c r="B785" s="661" t="s">
        <v>477</v>
      </c>
      <c r="C785" s="593">
        <v>1</v>
      </c>
      <c r="D785" s="662" t="s">
        <v>283</v>
      </c>
      <c r="E785" s="594"/>
      <c r="F785" s="595">
        <f>E785*C785</f>
        <v>0</v>
      </c>
      <c r="K785" s="696"/>
      <c r="L785" s="696"/>
      <c r="M785" s="1075" t="s">
        <v>481</v>
      </c>
      <c r="N785" s="1076" t="s">
        <v>283</v>
      </c>
      <c r="O785" s="968">
        <v>1</v>
      </c>
      <c r="P785" s="969"/>
      <c r="Q785" s="970">
        <f>P785*O785</f>
        <v>0</v>
      </c>
    </row>
    <row r="786" spans="1:17">
      <c r="A786" s="590"/>
      <c r="B786" s="661"/>
      <c r="C786" s="593"/>
      <c r="D786" s="662"/>
      <c r="E786" s="594"/>
      <c r="F786" s="595"/>
      <c r="K786" s="696"/>
      <c r="L786" s="696"/>
      <c r="M786" s="1075"/>
      <c r="N786" s="1076"/>
      <c r="O786" s="968"/>
      <c r="P786" s="969"/>
      <c r="Q786" s="970"/>
    </row>
    <row r="787" spans="1:17">
      <c r="A787" s="590"/>
      <c r="B787" s="661"/>
      <c r="C787" s="593"/>
      <c r="D787" s="662"/>
      <c r="E787" s="594"/>
      <c r="F787" s="595"/>
      <c r="K787" s="696"/>
      <c r="L787" s="696"/>
      <c r="M787" s="1075" t="s">
        <v>482</v>
      </c>
      <c r="N787" s="1076" t="s">
        <v>283</v>
      </c>
      <c r="O787" s="968">
        <v>1</v>
      </c>
      <c r="P787" s="969"/>
      <c r="Q787" s="970">
        <f>P787*O787</f>
        <v>0</v>
      </c>
    </row>
    <row r="788" spans="1:17">
      <c r="A788" s="590"/>
      <c r="B788" s="661"/>
      <c r="C788" s="593"/>
      <c r="D788" s="662"/>
      <c r="E788" s="594"/>
      <c r="F788" s="595"/>
      <c r="K788" s="696"/>
      <c r="L788" s="696"/>
      <c r="M788" s="1075"/>
      <c r="N788" s="1076"/>
      <c r="O788" s="968"/>
      <c r="P788" s="969"/>
      <c r="Q788" s="970"/>
    </row>
    <row r="789" spans="1:17">
      <c r="A789" s="590"/>
      <c r="B789" s="661"/>
      <c r="C789" s="593"/>
      <c r="D789" s="662"/>
      <c r="E789" s="594"/>
      <c r="F789" s="595"/>
      <c r="K789" s="696"/>
      <c r="L789" s="696"/>
      <c r="M789" s="1075" t="s">
        <v>483</v>
      </c>
      <c r="N789" s="1076" t="s">
        <v>283</v>
      </c>
      <c r="O789" s="968">
        <v>1</v>
      </c>
      <c r="P789" s="969"/>
      <c r="Q789" s="970">
        <f>P789*O789</f>
        <v>0</v>
      </c>
    </row>
    <row r="790" spans="1:17">
      <c r="A790" s="590"/>
      <c r="B790" s="661"/>
      <c r="C790" s="593"/>
      <c r="D790" s="662"/>
      <c r="E790" s="594"/>
      <c r="F790" s="595"/>
      <c r="K790" s="696"/>
      <c r="L790" s="696"/>
      <c r="M790" s="1075"/>
      <c r="N790" s="1076"/>
      <c r="O790" s="968"/>
      <c r="P790" s="969"/>
      <c r="Q790" s="970"/>
    </row>
    <row r="791" spans="1:17">
      <c r="A791" s="590"/>
      <c r="B791" s="661"/>
      <c r="C791" s="593"/>
      <c r="D791" s="662"/>
      <c r="E791" s="594"/>
      <c r="F791" s="595"/>
      <c r="K791" s="696"/>
      <c r="L791" s="696"/>
      <c r="M791" s="1075"/>
      <c r="N791" s="1076"/>
      <c r="O791" s="968"/>
      <c r="P791" s="969"/>
      <c r="Q791" s="970"/>
    </row>
    <row r="792" spans="1:17">
      <c r="A792" s="590"/>
      <c r="B792" s="661"/>
      <c r="C792" s="593"/>
      <c r="D792" s="662"/>
      <c r="E792" s="594"/>
      <c r="F792" s="595"/>
      <c r="K792" s="696"/>
      <c r="L792" s="696"/>
      <c r="M792" s="1075"/>
      <c r="N792" s="1076"/>
      <c r="O792" s="968"/>
      <c r="P792" s="969"/>
      <c r="Q792" s="970"/>
    </row>
    <row r="793" spans="1:17">
      <c r="A793" s="590"/>
      <c r="B793" s="661"/>
      <c r="C793" s="593"/>
      <c r="D793" s="662"/>
      <c r="E793" s="594"/>
      <c r="F793" s="595"/>
      <c r="K793" s="696"/>
      <c r="L793" s="696"/>
      <c r="M793" s="1075"/>
      <c r="N793" s="1076"/>
      <c r="O793" s="968"/>
      <c r="P793" s="969"/>
      <c r="Q793" s="970"/>
    </row>
    <row r="794" spans="1:17">
      <c r="A794" s="590"/>
      <c r="B794" s="661"/>
      <c r="C794" s="593"/>
      <c r="D794" s="662"/>
      <c r="E794" s="594"/>
      <c r="F794" s="595"/>
      <c r="K794" s="696"/>
      <c r="L794" s="696"/>
      <c r="M794" s="1040"/>
      <c r="N794" s="1076"/>
      <c r="O794" s="544"/>
      <c r="P794" s="969"/>
      <c r="Q794" s="970"/>
    </row>
    <row r="795" spans="1:17">
      <c r="A795" s="590"/>
      <c r="B795" s="661"/>
      <c r="C795" s="593"/>
      <c r="D795" s="662"/>
      <c r="E795" s="594"/>
      <c r="F795" s="595"/>
      <c r="K795" s="696"/>
      <c r="L795" s="696"/>
      <c r="M795" s="1075"/>
      <c r="N795" s="1076"/>
      <c r="O795" s="968"/>
      <c r="P795" s="969"/>
      <c r="Q795" s="970"/>
    </row>
    <row r="796" spans="1:17">
      <c r="A796" s="590"/>
      <c r="B796" s="661"/>
      <c r="C796" s="593"/>
      <c r="D796" s="662"/>
      <c r="E796" s="594"/>
      <c r="F796" s="595"/>
      <c r="K796" s="696"/>
      <c r="L796" s="696"/>
      <c r="M796" s="1075"/>
      <c r="N796" s="1076"/>
      <c r="O796" s="968"/>
      <c r="P796" s="969"/>
      <c r="Q796" s="970"/>
    </row>
    <row r="797" spans="1:17">
      <c r="A797" s="590"/>
      <c r="B797" s="661"/>
      <c r="C797" s="593"/>
      <c r="D797" s="662"/>
      <c r="E797" s="594"/>
      <c r="F797" s="595"/>
      <c r="K797" s="696"/>
      <c r="L797" s="696"/>
      <c r="M797" s="1075"/>
      <c r="N797" s="1076"/>
      <c r="O797" s="968"/>
      <c r="P797" s="969"/>
      <c r="Q797" s="970"/>
    </row>
    <row r="798" spans="1:17">
      <c r="A798" s="590"/>
      <c r="B798" s="661"/>
      <c r="C798" s="593"/>
      <c r="D798" s="662"/>
      <c r="E798" s="594"/>
      <c r="F798" s="595"/>
      <c r="K798" s="696"/>
      <c r="L798" s="696"/>
      <c r="M798" s="1075"/>
      <c r="N798" s="1076"/>
      <c r="O798" s="968"/>
      <c r="P798" s="969"/>
      <c r="Q798" s="970"/>
    </row>
    <row r="799" spans="1:17">
      <c r="A799" s="590"/>
      <c r="B799" s="661"/>
      <c r="C799" s="593"/>
      <c r="D799" s="662"/>
      <c r="E799" s="594"/>
      <c r="F799" s="595"/>
      <c r="K799" s="696"/>
      <c r="L799" s="696"/>
      <c r="M799" s="1075"/>
      <c r="N799" s="1076"/>
      <c r="O799" s="968"/>
      <c r="P799" s="969"/>
      <c r="Q799" s="970"/>
    </row>
    <row r="800" spans="1:17">
      <c r="A800" s="590"/>
      <c r="B800" s="661"/>
      <c r="C800" s="593"/>
      <c r="D800" s="662"/>
      <c r="E800" s="594"/>
      <c r="F800" s="595"/>
      <c r="K800" s="696"/>
      <c r="L800" s="696"/>
      <c r="M800" s="1075"/>
      <c r="N800" s="1076"/>
      <c r="O800" s="968"/>
      <c r="P800" s="969"/>
      <c r="Q800" s="970"/>
    </row>
    <row r="801" spans="1:17">
      <c r="A801" s="590"/>
      <c r="B801" s="661"/>
      <c r="C801" s="593"/>
      <c r="D801" s="662"/>
      <c r="E801" s="594"/>
      <c r="F801" s="595"/>
      <c r="K801" s="696"/>
      <c r="L801" s="696"/>
      <c r="M801" s="1075"/>
      <c r="N801" s="1076"/>
      <c r="O801" s="968"/>
      <c r="P801" s="969"/>
      <c r="Q801" s="970"/>
    </row>
    <row r="802" spans="1:17">
      <c r="A802" s="590"/>
      <c r="B802" s="661"/>
      <c r="C802" s="593"/>
      <c r="D802" s="662"/>
      <c r="E802" s="594"/>
      <c r="F802" s="595"/>
      <c r="K802" s="696"/>
      <c r="L802" s="696"/>
      <c r="M802" s="1075"/>
      <c r="N802" s="1076"/>
      <c r="O802" s="968"/>
      <c r="P802" s="969"/>
      <c r="Q802" s="970"/>
    </row>
    <row r="803" spans="1:17">
      <c r="A803" s="590"/>
      <c r="B803" s="661"/>
      <c r="C803" s="593"/>
      <c r="D803" s="662"/>
      <c r="E803" s="594"/>
      <c r="F803" s="595"/>
      <c r="K803" s="696"/>
      <c r="L803" s="696"/>
      <c r="M803" s="1075"/>
      <c r="N803" s="1076"/>
      <c r="O803" s="968"/>
      <c r="P803" s="969"/>
      <c r="Q803" s="970"/>
    </row>
    <row r="804" spans="1:17">
      <c r="A804" s="590"/>
      <c r="B804" s="661"/>
      <c r="C804" s="593"/>
      <c r="D804" s="662"/>
      <c r="E804" s="594"/>
      <c r="F804" s="595"/>
      <c r="K804" s="696"/>
      <c r="L804" s="696"/>
      <c r="M804" s="1075"/>
      <c r="N804" s="1076"/>
      <c r="O804" s="968"/>
      <c r="P804" s="969"/>
      <c r="Q804" s="970"/>
    </row>
    <row r="805" spans="1:17">
      <c r="A805" s="590"/>
      <c r="B805" s="661"/>
      <c r="C805" s="593"/>
      <c r="D805" s="662"/>
      <c r="E805" s="594"/>
      <c r="F805" s="595"/>
      <c r="K805" s="696"/>
      <c r="L805" s="696"/>
      <c r="M805" s="1075"/>
      <c r="N805" s="1076"/>
      <c r="O805" s="968"/>
      <c r="P805" s="969"/>
      <c r="Q805" s="970"/>
    </row>
    <row r="806" spans="1:17">
      <c r="A806" s="590"/>
      <c r="B806" s="661"/>
      <c r="C806" s="593"/>
      <c r="D806" s="662"/>
      <c r="E806" s="594"/>
      <c r="F806" s="595"/>
      <c r="K806" s="696"/>
      <c r="L806" s="696"/>
      <c r="M806" s="1075"/>
      <c r="N806" s="1076"/>
      <c r="O806" s="968"/>
      <c r="P806" s="969"/>
      <c r="Q806" s="970"/>
    </row>
    <row r="807" spans="1:17">
      <c r="A807" s="590"/>
      <c r="B807" s="661"/>
      <c r="C807" s="593"/>
      <c r="D807" s="662"/>
      <c r="E807" s="594"/>
      <c r="F807" s="595"/>
      <c r="K807" s="696"/>
      <c r="L807" s="696"/>
      <c r="M807" s="1075"/>
      <c r="N807" s="1076"/>
      <c r="O807" s="968"/>
      <c r="P807" s="969"/>
      <c r="Q807" s="970"/>
    </row>
    <row r="808" spans="1:17">
      <c r="A808" s="590"/>
      <c r="B808" s="661"/>
      <c r="C808" s="593"/>
      <c r="D808" s="662"/>
      <c r="E808" s="594"/>
      <c r="F808" s="595"/>
      <c r="K808" s="696"/>
      <c r="L808" s="696"/>
      <c r="M808" s="1075"/>
      <c r="N808" s="1076"/>
      <c r="O808" s="968"/>
      <c r="P808" s="969"/>
      <c r="Q808" s="970"/>
    </row>
    <row r="809" spans="1:17">
      <c r="A809" s="590"/>
      <c r="B809" s="661"/>
      <c r="C809" s="593"/>
      <c r="D809" s="662"/>
      <c r="E809" s="594"/>
      <c r="F809" s="595"/>
      <c r="K809" s="696"/>
      <c r="L809" s="696"/>
      <c r="M809" s="1075"/>
      <c r="N809" s="1076"/>
      <c r="O809" s="968"/>
      <c r="P809" s="969"/>
      <c r="Q809" s="970"/>
    </row>
    <row r="810" spans="1:17">
      <c r="A810" s="590"/>
      <c r="B810" s="661"/>
      <c r="C810" s="593"/>
      <c r="D810" s="662"/>
      <c r="E810" s="594"/>
      <c r="F810" s="595"/>
      <c r="K810" s="696"/>
      <c r="L810" s="696"/>
      <c r="M810" s="1075"/>
      <c r="N810" s="1076"/>
      <c r="O810" s="968"/>
      <c r="P810" s="969"/>
      <c r="Q810" s="970"/>
    </row>
    <row r="811" spans="1:17">
      <c r="A811" s="590"/>
      <c r="B811" s="661"/>
      <c r="C811" s="593"/>
      <c r="D811" s="662"/>
      <c r="E811" s="594"/>
      <c r="F811" s="595"/>
      <c r="K811" s="696"/>
      <c r="L811" s="696"/>
      <c r="M811" s="1075"/>
      <c r="N811" s="1076"/>
      <c r="O811" s="968"/>
      <c r="P811" s="969"/>
      <c r="Q811" s="970"/>
    </row>
    <row r="812" spans="1:17">
      <c r="A812" s="590"/>
      <c r="B812" s="661"/>
      <c r="C812" s="593"/>
      <c r="D812" s="662"/>
      <c r="E812" s="594"/>
      <c r="F812" s="595"/>
      <c r="K812" s="696"/>
      <c r="L812" s="696"/>
      <c r="M812" s="1075"/>
      <c r="N812" s="1076"/>
      <c r="O812" s="968"/>
      <c r="P812" s="969"/>
      <c r="Q812" s="970"/>
    </row>
    <row r="813" spans="1:17">
      <c r="A813" s="590"/>
      <c r="B813" s="661"/>
      <c r="C813" s="593"/>
      <c r="D813" s="662"/>
      <c r="E813" s="594"/>
      <c r="F813" s="595"/>
      <c r="K813" s="696"/>
      <c r="L813" s="696"/>
      <c r="M813" s="1075"/>
      <c r="N813" s="1076"/>
      <c r="O813" s="968"/>
      <c r="P813" s="969"/>
      <c r="Q813" s="970"/>
    </row>
    <row r="814" spans="1:17">
      <c r="A814" s="590"/>
      <c r="B814" s="661"/>
      <c r="C814" s="593"/>
      <c r="D814" s="662"/>
      <c r="E814" s="594"/>
      <c r="F814" s="595"/>
      <c r="K814" s="696"/>
      <c r="L814" s="696"/>
      <c r="M814" s="1075"/>
      <c r="N814" s="1076"/>
      <c r="O814" s="968"/>
      <c r="P814" s="969"/>
      <c r="Q814" s="970"/>
    </row>
    <row r="815" spans="1:17" ht="15" thickBot="1">
      <c r="A815" s="590"/>
      <c r="B815" s="661"/>
      <c r="C815" s="593"/>
      <c r="D815" s="662"/>
      <c r="E815" s="594"/>
      <c r="F815" s="595"/>
      <c r="K815" s="696"/>
      <c r="L815" s="696"/>
      <c r="M815" s="1075"/>
      <c r="N815" s="1076"/>
      <c r="O815" s="968"/>
      <c r="P815" s="969"/>
      <c r="Q815" s="970"/>
    </row>
    <row r="816" spans="1:17">
      <c r="A816" s="612"/>
      <c r="B816" s="613"/>
      <c r="C816" s="615"/>
      <c r="D816" s="614"/>
      <c r="E816" s="616"/>
      <c r="F816" s="617"/>
      <c r="K816" s="696"/>
      <c r="L816" s="696"/>
      <c r="M816" s="1075"/>
      <c r="N816" s="1076"/>
      <c r="O816" s="968"/>
      <c r="P816" s="969"/>
      <c r="Q816" s="970"/>
    </row>
    <row r="817" spans="1:17">
      <c r="A817" s="618" t="s">
        <v>310</v>
      </c>
      <c r="B817" s="619" t="s">
        <v>289</v>
      </c>
      <c r="C817" s="621"/>
      <c r="D817" s="620"/>
      <c r="E817" s="622"/>
      <c r="F817" s="623">
        <f>SUM(F766:F815)</f>
        <v>0</v>
      </c>
      <c r="H817" s="645"/>
      <c r="K817" s="696"/>
      <c r="L817" s="696"/>
      <c r="M817" s="1075"/>
      <c r="N817" s="1076"/>
      <c r="O817" s="968"/>
      <c r="P817" s="969"/>
      <c r="Q817" s="970"/>
    </row>
    <row r="818" spans="1:17">
      <c r="A818" s="624"/>
      <c r="B818" s="625"/>
      <c r="C818" s="627"/>
      <c r="D818" s="626"/>
      <c r="E818" s="628"/>
      <c r="F818" s="629"/>
      <c r="K818" s="696"/>
      <c r="L818" s="696"/>
      <c r="M818" s="1075"/>
      <c r="N818" s="1076"/>
      <c r="O818" s="968"/>
      <c r="P818" s="969"/>
      <c r="Q818" s="970"/>
    </row>
    <row r="819" spans="1:17" ht="17.399999999999999">
      <c r="A819" s="568"/>
      <c r="B819" s="663"/>
      <c r="C819" s="570"/>
      <c r="D819" s="569"/>
      <c r="E819" s="571"/>
      <c r="F819" s="572"/>
      <c r="K819" s="696"/>
      <c r="L819" s="696"/>
      <c r="M819" s="1075"/>
      <c r="N819" s="1076"/>
      <c r="O819" s="968"/>
      <c r="P819" s="969"/>
      <c r="Q819" s="970"/>
    </row>
    <row r="820" spans="1:17">
      <c r="A820" s="574"/>
      <c r="B820" s="664"/>
      <c r="C820" s="576"/>
      <c r="D820" s="575"/>
      <c r="E820" s="577"/>
      <c r="F820" s="578"/>
      <c r="K820" s="696"/>
      <c r="L820" s="696"/>
      <c r="M820" s="1075"/>
      <c r="N820" s="1076"/>
      <c r="O820" s="968"/>
      <c r="P820" s="969"/>
      <c r="Q820" s="970"/>
    </row>
    <row r="821" spans="1:17">
      <c r="A821" s="574"/>
      <c r="B821" s="664"/>
      <c r="C821" s="576"/>
      <c r="D821" s="575"/>
      <c r="E821" s="577"/>
      <c r="F821" s="578"/>
      <c r="K821" s="696"/>
      <c r="L821" s="696"/>
      <c r="M821" s="1075"/>
      <c r="N821" s="1076"/>
      <c r="O821" s="968"/>
      <c r="P821" s="969"/>
      <c r="Q821" s="970"/>
    </row>
    <row r="822" spans="1:17">
      <c r="A822" s="618"/>
      <c r="B822" s="657"/>
      <c r="C822" s="581"/>
      <c r="D822" s="580"/>
      <c r="E822" s="582"/>
      <c r="F822" s="583"/>
      <c r="K822" s="696"/>
      <c r="L822" s="696"/>
      <c r="M822" s="1075"/>
      <c r="N822" s="1076"/>
      <c r="O822" s="968"/>
      <c r="P822" s="969"/>
      <c r="Q822" s="970"/>
    </row>
    <row r="823" spans="1:17" ht="15" thickBot="1">
      <c r="A823" s="584" t="s">
        <v>276</v>
      </c>
      <c r="B823" s="585"/>
      <c r="C823" s="587" t="s">
        <v>277</v>
      </c>
      <c r="D823" s="586" t="s">
        <v>266</v>
      </c>
      <c r="E823" s="588" t="s">
        <v>278</v>
      </c>
      <c r="F823" s="589" t="s">
        <v>267</v>
      </c>
      <c r="K823" s="696"/>
      <c r="L823" s="696"/>
      <c r="M823" s="1075"/>
      <c r="N823" s="1076"/>
      <c r="O823" s="968"/>
      <c r="P823" s="969"/>
      <c r="Q823" s="970"/>
    </row>
    <row r="824" spans="1:17">
      <c r="A824" s="590"/>
      <c r="B824" s="685"/>
      <c r="C824" s="593"/>
      <c r="D824" s="662"/>
      <c r="E824" s="594"/>
      <c r="F824" s="595"/>
      <c r="K824" s="696"/>
      <c r="L824" s="696"/>
      <c r="M824" s="1075"/>
      <c r="N824" s="1076"/>
      <c r="O824" s="968"/>
      <c r="P824" s="969"/>
      <c r="Q824" s="970"/>
    </row>
    <row r="825" spans="1:17">
      <c r="A825" s="652" t="s">
        <v>317</v>
      </c>
      <c r="B825" s="678" t="s">
        <v>342</v>
      </c>
      <c r="C825" s="593"/>
      <c r="D825" s="662"/>
      <c r="E825" s="594"/>
      <c r="F825" s="595"/>
      <c r="K825" s="696"/>
      <c r="L825" s="696"/>
      <c r="M825" s="1075"/>
      <c r="N825" s="1076"/>
      <c r="O825" s="968"/>
      <c r="P825" s="969"/>
      <c r="Q825" s="970"/>
    </row>
    <row r="826" spans="1:17">
      <c r="A826" s="590"/>
      <c r="B826" s="661"/>
      <c r="C826" s="593"/>
      <c r="D826" s="662"/>
      <c r="E826" s="594"/>
      <c r="F826" s="595"/>
      <c r="K826" s="696"/>
      <c r="L826" s="696"/>
      <c r="M826" s="1040"/>
      <c r="N826" s="1076"/>
      <c r="O826" s="544"/>
      <c r="P826" s="969"/>
      <c r="Q826" s="970"/>
    </row>
    <row r="827" spans="1:17" ht="15" thickBot="1">
      <c r="A827" s="590" t="s">
        <v>294</v>
      </c>
      <c r="B827" s="661" t="s">
        <v>478</v>
      </c>
      <c r="C827" s="593">
        <v>1</v>
      </c>
      <c r="D827" s="662" t="s">
        <v>283</v>
      </c>
      <c r="E827" s="594"/>
      <c r="F827" s="595">
        <f>E827*C827</f>
        <v>0</v>
      </c>
      <c r="K827" s="696"/>
      <c r="L827" s="696"/>
      <c r="M827" s="1079"/>
      <c r="N827" s="1076"/>
      <c r="O827" s="968"/>
      <c r="P827" s="969"/>
      <c r="Q827" s="970"/>
    </row>
    <row r="828" spans="1:17">
      <c r="A828" s="590"/>
      <c r="B828" s="661"/>
      <c r="C828" s="593"/>
      <c r="D828" s="662"/>
      <c r="E828" s="594"/>
      <c r="F828" s="595"/>
      <c r="K828" s="1014"/>
      <c r="L828" s="1014"/>
      <c r="M828" s="1015"/>
      <c r="N828" s="1016"/>
      <c r="O828" s="1017"/>
      <c r="P828" s="1018"/>
      <c r="Q828" s="1019"/>
    </row>
    <row r="829" spans="1:17">
      <c r="A829" s="590" t="s">
        <v>339</v>
      </c>
      <c r="B829" s="661" t="s">
        <v>479</v>
      </c>
      <c r="C829" s="593">
        <v>1</v>
      </c>
      <c r="D829" s="662" t="s">
        <v>283</v>
      </c>
      <c r="E829" s="594"/>
      <c r="F829" s="595">
        <f>E829*C829</f>
        <v>0</v>
      </c>
      <c r="K829" s="1020"/>
      <c r="L829" s="1020"/>
      <c r="M829" s="1021" t="s">
        <v>289</v>
      </c>
      <c r="N829" s="1022"/>
      <c r="O829" s="1023"/>
      <c r="P829" s="1024"/>
      <c r="Q829" s="1010">
        <f>SUM(Q776:Q827)</f>
        <v>0</v>
      </c>
    </row>
    <row r="830" spans="1:17">
      <c r="A830" s="590"/>
      <c r="B830" s="661"/>
      <c r="C830" s="593"/>
      <c r="D830" s="662"/>
      <c r="E830" s="594"/>
      <c r="F830" s="595"/>
      <c r="K830" s="1025"/>
      <c r="L830" s="1025"/>
      <c r="M830" s="1026"/>
      <c r="N830" s="1027"/>
      <c r="O830" s="1028"/>
      <c r="P830" s="1029"/>
      <c r="Q830" s="1030"/>
    </row>
    <row r="831" spans="1:17" ht="17.399999999999999">
      <c r="A831" s="590" t="s">
        <v>340</v>
      </c>
      <c r="B831" s="661" t="s">
        <v>480</v>
      </c>
      <c r="C831" s="593">
        <v>1</v>
      </c>
      <c r="D831" s="662" t="s">
        <v>283</v>
      </c>
      <c r="E831" s="594"/>
      <c r="F831" s="595">
        <f>E831*C831</f>
        <v>0</v>
      </c>
      <c r="K831" s="980"/>
      <c r="L831" s="981"/>
      <c r="M831" s="1077"/>
      <c r="N831" s="982"/>
      <c r="O831" s="983"/>
      <c r="P831" s="984"/>
      <c r="Q831" s="985"/>
    </row>
    <row r="832" spans="1:17">
      <c r="A832" s="590"/>
      <c r="B832" s="661"/>
      <c r="C832" s="593"/>
      <c r="D832" s="662"/>
      <c r="E832" s="594"/>
      <c r="F832" s="595"/>
      <c r="K832" s="986"/>
      <c r="L832" s="987"/>
      <c r="M832" s="1078"/>
      <c r="N832" s="988"/>
      <c r="O832" s="989"/>
      <c r="P832" s="990"/>
      <c r="Q832" s="991"/>
    </row>
    <row r="833" spans="1:17">
      <c r="A833" s="590" t="s">
        <v>409</v>
      </c>
      <c r="B833" s="661" t="s">
        <v>481</v>
      </c>
      <c r="C833" s="593">
        <v>1</v>
      </c>
      <c r="D833" s="662" t="s">
        <v>283</v>
      </c>
      <c r="E833" s="594"/>
      <c r="F833" s="595">
        <f>E833*C833</f>
        <v>0</v>
      </c>
      <c r="K833" s="986"/>
      <c r="L833" s="987"/>
      <c r="M833" s="1078"/>
      <c r="N833" s="988"/>
      <c r="O833" s="989"/>
      <c r="P833" s="990"/>
      <c r="Q833" s="991"/>
    </row>
    <row r="834" spans="1:17">
      <c r="A834" s="590"/>
      <c r="B834" s="661"/>
      <c r="C834" s="593"/>
      <c r="D834" s="662"/>
      <c r="E834" s="594"/>
      <c r="F834" s="595"/>
      <c r="K834" s="1020"/>
      <c r="L834" s="993"/>
      <c r="M834" s="959"/>
      <c r="N834" s="543"/>
      <c r="O834" s="994"/>
      <c r="P834" s="995"/>
      <c r="Q834" s="996"/>
    </row>
    <row r="835" spans="1:17" ht="15" thickBot="1">
      <c r="A835" s="590" t="s">
        <v>416</v>
      </c>
      <c r="B835" s="661" t="s">
        <v>482</v>
      </c>
      <c r="C835" s="593">
        <v>1</v>
      </c>
      <c r="D835" s="662" t="s">
        <v>283</v>
      </c>
      <c r="E835" s="594"/>
      <c r="F835" s="595">
        <f>E835*C835</f>
        <v>0</v>
      </c>
      <c r="K835" s="997" t="s">
        <v>276</v>
      </c>
      <c r="L835" s="998" t="s">
        <v>887</v>
      </c>
      <c r="M835" s="999"/>
      <c r="N835" s="1000" t="s">
        <v>266</v>
      </c>
      <c r="O835" s="1001" t="s">
        <v>277</v>
      </c>
      <c r="P835" s="1002" t="s">
        <v>278</v>
      </c>
      <c r="Q835" s="1003" t="s">
        <v>267</v>
      </c>
    </row>
    <row r="836" spans="1:17">
      <c r="A836" s="590"/>
      <c r="B836" s="661"/>
      <c r="C836" s="593"/>
      <c r="D836" s="662"/>
      <c r="E836" s="594"/>
      <c r="F836" s="595"/>
      <c r="K836" s="696"/>
      <c r="L836" s="696"/>
      <c r="M836" s="703"/>
      <c r="N836" s="967"/>
      <c r="O836" s="968"/>
      <c r="P836" s="969"/>
      <c r="Q836" s="970"/>
    </row>
    <row r="837" spans="1:17">
      <c r="A837" s="590" t="s">
        <v>424</v>
      </c>
      <c r="B837" s="661" t="s">
        <v>483</v>
      </c>
      <c r="C837" s="593">
        <v>1</v>
      </c>
      <c r="D837" s="662" t="s">
        <v>283</v>
      </c>
      <c r="E837" s="594"/>
      <c r="F837" s="595">
        <f>E837*C837</f>
        <v>0</v>
      </c>
      <c r="K837" s="696">
        <f>K777+1</f>
        <v>15</v>
      </c>
      <c r="L837" s="696"/>
      <c r="M837" s="1032" t="s">
        <v>342</v>
      </c>
      <c r="N837" s="967"/>
      <c r="O837" s="968"/>
      <c r="P837" s="969"/>
      <c r="Q837" s="970"/>
    </row>
    <row r="838" spans="1:17">
      <c r="A838" s="590"/>
      <c r="B838" s="661"/>
      <c r="C838" s="593"/>
      <c r="D838" s="662"/>
      <c r="E838" s="594"/>
      <c r="F838" s="595"/>
      <c r="K838" s="696"/>
      <c r="L838" s="696"/>
      <c r="M838" s="703"/>
      <c r="N838" s="967"/>
      <c r="O838" s="968"/>
      <c r="P838" s="969"/>
      <c r="Q838" s="970"/>
    </row>
    <row r="839" spans="1:17">
      <c r="A839" s="590"/>
      <c r="B839" s="661"/>
      <c r="C839" s="593"/>
      <c r="D839" s="662"/>
      <c r="E839" s="594"/>
      <c r="F839" s="595"/>
      <c r="K839" s="696"/>
      <c r="L839" s="696"/>
      <c r="M839" s="703" t="s">
        <v>485</v>
      </c>
      <c r="N839" s="967" t="s">
        <v>283</v>
      </c>
      <c r="O839" s="968">
        <v>1</v>
      </c>
      <c r="P839" s="969"/>
      <c r="Q839" s="970">
        <f>P839*O839</f>
        <v>0</v>
      </c>
    </row>
    <row r="840" spans="1:17">
      <c r="A840" s="590"/>
      <c r="B840" s="661"/>
      <c r="C840" s="593"/>
      <c r="D840" s="662"/>
      <c r="E840" s="594"/>
      <c r="F840" s="595"/>
      <c r="K840" s="696"/>
      <c r="L840" s="696"/>
      <c r="M840" s="703"/>
      <c r="N840" s="967"/>
      <c r="O840" s="968"/>
      <c r="P840" s="969"/>
      <c r="Q840" s="970"/>
    </row>
    <row r="841" spans="1:17">
      <c r="A841" s="590"/>
      <c r="B841" s="661"/>
      <c r="C841" s="593"/>
      <c r="D841" s="662"/>
      <c r="E841" s="594"/>
      <c r="F841" s="595"/>
      <c r="K841" s="696"/>
      <c r="L841" s="696"/>
      <c r="M841" s="1075" t="s">
        <v>486</v>
      </c>
      <c r="N841" s="967" t="s">
        <v>283</v>
      </c>
      <c r="O841" s="968">
        <v>1</v>
      </c>
      <c r="P841" s="969"/>
      <c r="Q841" s="970">
        <f>P841*O841</f>
        <v>0</v>
      </c>
    </row>
    <row r="842" spans="1:17">
      <c r="A842" s="590"/>
      <c r="B842" s="609"/>
      <c r="C842" s="646"/>
      <c r="D842" s="662"/>
      <c r="E842" s="594"/>
      <c r="F842" s="595"/>
      <c r="K842" s="696"/>
      <c r="L842" s="696"/>
      <c r="M842" s="703"/>
      <c r="N842" s="967"/>
      <c r="O842" s="968"/>
      <c r="P842" s="969"/>
      <c r="Q842" s="970"/>
    </row>
    <row r="843" spans="1:17">
      <c r="A843" s="590"/>
      <c r="B843" s="661"/>
      <c r="C843" s="593"/>
      <c r="D843" s="662"/>
      <c r="E843" s="594"/>
      <c r="F843" s="595"/>
      <c r="K843" s="696"/>
      <c r="L843" s="696"/>
      <c r="M843" s="703" t="s">
        <v>487</v>
      </c>
      <c r="N843" s="967" t="s">
        <v>283</v>
      </c>
      <c r="O843" s="968">
        <v>1</v>
      </c>
      <c r="P843" s="969"/>
      <c r="Q843" s="970">
        <f>P843*O843</f>
        <v>0</v>
      </c>
    </row>
    <row r="844" spans="1:17">
      <c r="A844" s="590"/>
      <c r="B844" s="661"/>
      <c r="C844" s="593"/>
      <c r="D844" s="662"/>
      <c r="E844" s="594"/>
      <c r="F844" s="595"/>
      <c r="K844" s="696"/>
      <c r="L844" s="696"/>
      <c r="M844" s="703"/>
      <c r="N844" s="967"/>
      <c r="O844" s="968"/>
      <c r="P844" s="969"/>
      <c r="Q844" s="970"/>
    </row>
    <row r="845" spans="1:17">
      <c r="A845" s="590"/>
      <c r="B845" s="661"/>
      <c r="C845" s="593"/>
      <c r="D845" s="662"/>
      <c r="E845" s="594"/>
      <c r="F845" s="595"/>
      <c r="K845" s="696"/>
      <c r="L845" s="696"/>
      <c r="M845" s="703" t="s">
        <v>488</v>
      </c>
      <c r="N845" s="967" t="s">
        <v>283</v>
      </c>
      <c r="O845" s="968">
        <v>1</v>
      </c>
      <c r="P845" s="969"/>
      <c r="Q845" s="970">
        <f>P845*O845</f>
        <v>0</v>
      </c>
    </row>
    <row r="846" spans="1:17">
      <c r="A846" s="590"/>
      <c r="B846" s="661"/>
      <c r="C846" s="593"/>
      <c r="D846" s="662"/>
      <c r="E846" s="594"/>
      <c r="F846" s="595"/>
      <c r="K846" s="696"/>
      <c r="L846" s="696"/>
      <c r="M846" s="703"/>
      <c r="N846" s="967"/>
      <c r="O846" s="968"/>
      <c r="P846" s="969"/>
      <c r="Q846" s="970"/>
    </row>
    <row r="847" spans="1:17">
      <c r="A847" s="590"/>
      <c r="B847" s="661"/>
      <c r="C847" s="593"/>
      <c r="D847" s="662"/>
      <c r="E847" s="594"/>
      <c r="F847" s="595"/>
      <c r="K847" s="696"/>
      <c r="L847" s="696"/>
      <c r="M847" s="703"/>
      <c r="N847" s="967"/>
      <c r="O847" s="968"/>
      <c r="P847" s="969"/>
      <c r="Q847" s="970"/>
    </row>
    <row r="848" spans="1:17">
      <c r="A848" s="590"/>
      <c r="B848" s="661"/>
      <c r="C848" s="593"/>
      <c r="D848" s="662"/>
      <c r="E848" s="594"/>
      <c r="F848" s="595"/>
      <c r="K848" s="696"/>
      <c r="L848" s="696"/>
      <c r="M848" s="703"/>
      <c r="N848" s="967"/>
      <c r="O848" s="968"/>
      <c r="P848" s="969"/>
      <c r="Q848" s="970"/>
    </row>
    <row r="849" spans="1:17">
      <c r="A849" s="590"/>
      <c r="B849" s="661"/>
      <c r="C849" s="593"/>
      <c r="D849" s="662"/>
      <c r="E849" s="594"/>
      <c r="F849" s="595"/>
      <c r="K849" s="696"/>
      <c r="L849" s="696"/>
      <c r="M849" s="703"/>
      <c r="N849" s="967"/>
      <c r="O849" s="968"/>
      <c r="P849" s="969"/>
      <c r="Q849" s="970"/>
    </row>
    <row r="850" spans="1:17">
      <c r="A850" s="590"/>
      <c r="B850" s="661"/>
      <c r="C850" s="593"/>
      <c r="D850" s="662"/>
      <c r="E850" s="594"/>
      <c r="F850" s="595"/>
      <c r="K850" s="696"/>
      <c r="L850" s="696"/>
      <c r="M850" s="703"/>
      <c r="N850" s="967"/>
      <c r="O850" s="968"/>
      <c r="P850" s="969"/>
      <c r="Q850" s="970"/>
    </row>
    <row r="851" spans="1:17">
      <c r="A851" s="590"/>
      <c r="B851" s="661"/>
      <c r="C851" s="593"/>
      <c r="D851" s="662"/>
      <c r="E851" s="594"/>
      <c r="F851" s="595"/>
      <c r="K851" s="696"/>
      <c r="L851" s="696"/>
      <c r="M851" s="703"/>
      <c r="N851" s="967"/>
      <c r="O851" s="968"/>
      <c r="P851" s="969"/>
      <c r="Q851" s="970"/>
    </row>
    <row r="852" spans="1:17">
      <c r="A852" s="590"/>
      <c r="B852" s="661"/>
      <c r="C852" s="593"/>
      <c r="D852" s="662"/>
      <c r="E852" s="594"/>
      <c r="F852" s="595"/>
      <c r="K852" s="696"/>
      <c r="L852" s="696"/>
      <c r="M852" s="703"/>
      <c r="N852" s="967"/>
      <c r="O852" s="968"/>
      <c r="P852" s="969"/>
      <c r="Q852" s="970"/>
    </row>
    <row r="853" spans="1:17">
      <c r="A853" s="590"/>
      <c r="B853" s="661"/>
      <c r="C853" s="593"/>
      <c r="D853" s="662"/>
      <c r="E853" s="594"/>
      <c r="F853" s="595"/>
      <c r="K853" s="696"/>
      <c r="L853" s="696"/>
      <c r="M853" s="703"/>
      <c r="N853" s="967"/>
      <c r="O853" s="968"/>
      <c r="P853" s="969"/>
      <c r="Q853" s="970"/>
    </row>
    <row r="854" spans="1:17">
      <c r="A854" s="590"/>
      <c r="B854" s="661"/>
      <c r="C854" s="593"/>
      <c r="D854" s="662"/>
      <c r="E854" s="594"/>
      <c r="F854" s="595"/>
      <c r="K854" s="696"/>
      <c r="L854" s="696"/>
      <c r="M854" s="703"/>
      <c r="N854" s="967"/>
      <c r="O854" s="968"/>
      <c r="P854" s="969"/>
      <c r="Q854" s="970"/>
    </row>
    <row r="855" spans="1:17">
      <c r="A855" s="590"/>
      <c r="B855" s="661"/>
      <c r="C855" s="593"/>
      <c r="D855" s="662"/>
      <c r="E855" s="594"/>
      <c r="F855" s="595"/>
      <c r="K855" s="696"/>
      <c r="L855" s="696"/>
      <c r="M855" s="703"/>
      <c r="N855" s="967"/>
      <c r="O855" s="544"/>
      <c r="P855" s="969"/>
      <c r="Q855" s="970"/>
    </row>
    <row r="856" spans="1:17">
      <c r="A856" s="590"/>
      <c r="B856" s="661"/>
      <c r="C856" s="593"/>
      <c r="D856" s="662"/>
      <c r="E856" s="594"/>
      <c r="F856" s="595"/>
      <c r="K856" s="696"/>
      <c r="L856" s="696"/>
      <c r="M856" s="703"/>
      <c r="N856" s="967"/>
      <c r="O856" s="968"/>
      <c r="P856" s="969"/>
      <c r="Q856" s="970"/>
    </row>
    <row r="857" spans="1:17">
      <c r="A857" s="590"/>
      <c r="B857" s="661"/>
      <c r="C857" s="593"/>
      <c r="D857" s="662"/>
      <c r="E857" s="594"/>
      <c r="F857" s="595"/>
      <c r="K857" s="696"/>
      <c r="L857" s="696"/>
      <c r="M857" s="1080"/>
      <c r="N857" s="967"/>
      <c r="O857" s="544"/>
      <c r="P857" s="969"/>
      <c r="Q857" s="970"/>
    </row>
    <row r="858" spans="1:17">
      <c r="A858" s="590"/>
      <c r="B858" s="661"/>
      <c r="C858" s="593"/>
      <c r="D858" s="662"/>
      <c r="E858" s="594"/>
      <c r="F858" s="595"/>
      <c r="K858" s="696"/>
      <c r="L858" s="696"/>
      <c r="M858" s="1040"/>
      <c r="N858" s="967"/>
      <c r="O858" s="1041"/>
      <c r="P858" s="969"/>
      <c r="Q858" s="970"/>
    </row>
    <row r="859" spans="1:17">
      <c r="A859" s="590"/>
      <c r="B859" s="661"/>
      <c r="C859" s="593"/>
      <c r="D859" s="662"/>
      <c r="E859" s="594"/>
      <c r="F859" s="595"/>
      <c r="K859" s="696"/>
      <c r="L859" s="696"/>
      <c r="M859" s="1040"/>
      <c r="N859" s="967"/>
      <c r="O859" s="1041"/>
      <c r="P859" s="969"/>
      <c r="Q859" s="970"/>
    </row>
    <row r="860" spans="1:17">
      <c r="A860" s="590"/>
      <c r="B860" s="661"/>
      <c r="C860" s="593"/>
      <c r="D860" s="662"/>
      <c r="E860" s="594"/>
      <c r="F860" s="595"/>
      <c r="K860" s="696"/>
      <c r="L860" s="696"/>
      <c r="M860" s="1040"/>
      <c r="N860" s="967"/>
      <c r="O860" s="1041"/>
      <c r="P860" s="969"/>
      <c r="Q860" s="970"/>
    </row>
    <row r="861" spans="1:17">
      <c r="A861" s="590"/>
      <c r="B861" s="661"/>
      <c r="C861" s="593"/>
      <c r="D861" s="662"/>
      <c r="E861" s="594"/>
      <c r="F861" s="595"/>
      <c r="K861" s="696"/>
      <c r="L861" s="696"/>
      <c r="M861" s="1040"/>
      <c r="N861" s="967"/>
      <c r="O861" s="1041"/>
      <c r="P861" s="969"/>
      <c r="Q861" s="970"/>
    </row>
    <row r="862" spans="1:17">
      <c r="A862" s="590"/>
      <c r="B862" s="661"/>
      <c r="C862" s="593"/>
      <c r="D862" s="662"/>
      <c r="E862" s="594"/>
      <c r="F862" s="595"/>
      <c r="K862" s="696"/>
      <c r="L862" s="696"/>
      <c r="M862" s="1081"/>
      <c r="N862" s="967"/>
      <c r="O862" s="1041"/>
      <c r="P862" s="969"/>
      <c r="Q862" s="970"/>
    </row>
    <row r="863" spans="1:17">
      <c r="A863" s="590"/>
      <c r="B863" s="661"/>
      <c r="C863" s="593"/>
      <c r="D863" s="662"/>
      <c r="E863" s="594"/>
      <c r="F863" s="595"/>
      <c r="K863" s="696"/>
      <c r="L863" s="696"/>
      <c r="M863" s="1040"/>
      <c r="N863" s="967"/>
      <c r="O863" s="1041"/>
      <c r="P863" s="969"/>
      <c r="Q863" s="970"/>
    </row>
    <row r="864" spans="1:17">
      <c r="A864" s="590"/>
      <c r="B864" s="661"/>
      <c r="C864" s="593"/>
      <c r="D864" s="662"/>
      <c r="E864" s="594"/>
      <c r="F864" s="595"/>
      <c r="K864" s="696"/>
      <c r="L864" s="696"/>
      <c r="M864" s="1040"/>
      <c r="N864" s="967"/>
      <c r="O864" s="1041"/>
      <c r="P864" s="969"/>
      <c r="Q864" s="970"/>
    </row>
    <row r="865" spans="1:17">
      <c r="A865" s="590"/>
      <c r="B865" s="661"/>
      <c r="C865" s="593"/>
      <c r="D865" s="662"/>
      <c r="E865" s="594"/>
      <c r="F865" s="595"/>
      <c r="K865" s="696"/>
      <c r="L865" s="696"/>
      <c r="M865" s="1080"/>
      <c r="N865" s="967"/>
      <c r="O865" s="544"/>
      <c r="P865" s="969"/>
      <c r="Q865" s="970"/>
    </row>
    <row r="866" spans="1:17">
      <c r="A866" s="590"/>
      <c r="B866" s="661"/>
      <c r="C866" s="593"/>
      <c r="D866" s="662"/>
      <c r="E866" s="594"/>
      <c r="F866" s="595"/>
      <c r="K866" s="696"/>
      <c r="L866" s="696"/>
      <c r="M866" s="1080"/>
      <c r="N866" s="967"/>
      <c r="O866" s="1041"/>
      <c r="P866" s="969"/>
      <c r="Q866" s="970"/>
    </row>
    <row r="867" spans="1:17">
      <c r="A867" s="590"/>
      <c r="B867" s="661"/>
      <c r="C867" s="593"/>
      <c r="D867" s="662"/>
      <c r="E867" s="594"/>
      <c r="F867" s="595"/>
      <c r="K867" s="696"/>
      <c r="L867" s="696"/>
      <c r="M867" s="1080"/>
      <c r="N867" s="967"/>
      <c r="O867" s="544"/>
      <c r="P867" s="969"/>
      <c r="Q867" s="970"/>
    </row>
    <row r="868" spans="1:17">
      <c r="A868" s="590"/>
      <c r="B868" s="661"/>
      <c r="C868" s="593"/>
      <c r="D868" s="662"/>
      <c r="E868" s="594"/>
      <c r="F868" s="595"/>
      <c r="K868" s="696"/>
      <c r="L868" s="696"/>
      <c r="M868" s="1080"/>
      <c r="N868" s="967"/>
      <c r="O868" s="1041"/>
      <c r="P868" s="969"/>
      <c r="Q868" s="970"/>
    </row>
    <row r="869" spans="1:17">
      <c r="A869" s="590"/>
      <c r="B869" s="661"/>
      <c r="C869" s="593"/>
      <c r="D869" s="662"/>
      <c r="E869" s="594"/>
      <c r="F869" s="595"/>
      <c r="K869" s="696"/>
      <c r="L869" s="696"/>
      <c r="M869" s="1080"/>
      <c r="N869" s="967"/>
      <c r="O869" s="544"/>
      <c r="P869" s="969"/>
      <c r="Q869" s="970"/>
    </row>
    <row r="870" spans="1:17">
      <c r="A870" s="590"/>
      <c r="B870" s="661"/>
      <c r="C870" s="593"/>
      <c r="D870" s="662"/>
      <c r="E870" s="594"/>
      <c r="F870" s="595"/>
      <c r="K870" s="696"/>
      <c r="L870" s="696"/>
      <c r="M870" s="1080"/>
      <c r="N870" s="967"/>
      <c r="O870" s="1041"/>
      <c r="P870" s="969"/>
      <c r="Q870" s="970"/>
    </row>
    <row r="871" spans="1:17">
      <c r="A871" s="590"/>
      <c r="B871" s="661"/>
      <c r="C871" s="593"/>
      <c r="D871" s="662"/>
      <c r="E871" s="594"/>
      <c r="F871" s="595"/>
      <c r="K871" s="696"/>
      <c r="L871" s="696"/>
      <c r="M871" s="1080"/>
      <c r="N871" s="967"/>
      <c r="O871" s="544"/>
      <c r="P871" s="969"/>
      <c r="Q871" s="970"/>
    </row>
    <row r="872" spans="1:17">
      <c r="A872" s="590"/>
      <c r="B872" s="661"/>
      <c r="C872" s="593"/>
      <c r="D872" s="662"/>
      <c r="E872" s="594"/>
      <c r="F872" s="595"/>
      <c r="K872" s="696"/>
      <c r="L872" s="696"/>
      <c r="M872" s="1080"/>
      <c r="N872" s="967"/>
      <c r="O872" s="968"/>
      <c r="P872" s="969"/>
      <c r="Q872" s="970"/>
    </row>
    <row r="873" spans="1:17">
      <c r="A873" s="590"/>
      <c r="B873" s="661"/>
      <c r="C873" s="593"/>
      <c r="D873" s="662"/>
      <c r="E873" s="594"/>
      <c r="F873" s="595"/>
      <c r="K873" s="696"/>
      <c r="L873" s="696"/>
      <c r="M873" s="1080"/>
      <c r="N873" s="967"/>
      <c r="O873" s="968"/>
      <c r="P873" s="969"/>
      <c r="Q873" s="970"/>
    </row>
    <row r="874" spans="1:17">
      <c r="A874" s="590"/>
      <c r="B874" s="609"/>
      <c r="C874" s="646"/>
      <c r="D874" s="662"/>
      <c r="E874" s="594"/>
      <c r="F874" s="595"/>
      <c r="K874" s="696"/>
      <c r="L874" s="696"/>
      <c r="M874" s="1080"/>
      <c r="N874" s="967"/>
      <c r="O874" s="968"/>
      <c r="P874" s="969"/>
      <c r="Q874" s="970"/>
    </row>
    <row r="875" spans="1:17" ht="15" thickBot="1">
      <c r="A875" s="590"/>
      <c r="B875" s="665"/>
      <c r="C875" s="593"/>
      <c r="D875" s="662"/>
      <c r="E875" s="594"/>
      <c r="F875" s="595"/>
      <c r="K875" s="696"/>
      <c r="L875" s="696"/>
      <c r="M875" s="1080"/>
      <c r="N875" s="967"/>
      <c r="O875" s="968"/>
      <c r="P875" s="969"/>
      <c r="Q875" s="970"/>
    </row>
    <row r="876" spans="1:17">
      <c r="A876" s="612"/>
      <c r="B876" s="613"/>
      <c r="C876" s="615"/>
      <c r="D876" s="614"/>
      <c r="E876" s="616"/>
      <c r="F876" s="617"/>
      <c r="K876" s="696"/>
      <c r="L876" s="696"/>
      <c r="M876" s="1080"/>
      <c r="N876" s="967"/>
      <c r="O876" s="968"/>
      <c r="P876" s="969"/>
      <c r="Q876" s="970"/>
    </row>
    <row r="877" spans="1:17">
      <c r="A877" s="618" t="s">
        <v>310</v>
      </c>
      <c r="B877" s="619" t="s">
        <v>289</v>
      </c>
      <c r="C877" s="621"/>
      <c r="D877" s="620"/>
      <c r="E877" s="622"/>
      <c r="F877" s="623">
        <f>SUM(F824:F875)</f>
        <v>0</v>
      </c>
      <c r="H877" s="645"/>
      <c r="K877" s="696"/>
      <c r="L877" s="696"/>
      <c r="M877" s="1080"/>
      <c r="N877" s="967"/>
      <c r="O877" s="968"/>
      <c r="P877" s="969"/>
      <c r="Q877" s="970"/>
    </row>
    <row r="878" spans="1:17">
      <c r="A878" s="624"/>
      <c r="B878" s="625"/>
      <c r="C878" s="627"/>
      <c r="D878" s="626"/>
      <c r="E878" s="628"/>
      <c r="F878" s="629"/>
      <c r="K878" s="696"/>
      <c r="L878" s="696"/>
      <c r="M878" s="1080"/>
      <c r="N878" s="967"/>
      <c r="O878" s="968"/>
      <c r="P878" s="969"/>
      <c r="Q878" s="970"/>
    </row>
    <row r="879" spans="1:17" ht="17.399999999999999">
      <c r="A879" s="568"/>
      <c r="B879" s="663"/>
      <c r="C879" s="570"/>
      <c r="D879" s="569"/>
      <c r="E879" s="571"/>
      <c r="F879" s="572"/>
      <c r="K879" s="696"/>
      <c r="L879" s="696"/>
      <c r="M879" s="1080"/>
      <c r="N879" s="967"/>
      <c r="O879" s="968"/>
      <c r="P879" s="969"/>
      <c r="Q879" s="970"/>
    </row>
    <row r="880" spans="1:17">
      <c r="A880" s="574"/>
      <c r="B880" s="664"/>
      <c r="C880" s="576"/>
      <c r="D880" s="575"/>
      <c r="E880" s="577"/>
      <c r="F880" s="578"/>
      <c r="K880" s="696"/>
      <c r="L880" s="696"/>
      <c r="M880" s="1080"/>
      <c r="N880" s="967"/>
      <c r="O880" s="968"/>
      <c r="P880" s="969"/>
      <c r="Q880" s="970"/>
    </row>
    <row r="881" spans="1:17">
      <c r="A881" s="574"/>
      <c r="B881" s="664"/>
      <c r="C881" s="576"/>
      <c r="D881" s="575"/>
      <c r="E881" s="577"/>
      <c r="F881" s="578"/>
      <c r="K881" s="696"/>
      <c r="L881" s="696"/>
      <c r="M881" s="1080"/>
      <c r="N881" s="967"/>
      <c r="O881" s="968"/>
      <c r="P881" s="969"/>
      <c r="Q881" s="970"/>
    </row>
    <row r="882" spans="1:17">
      <c r="A882" s="618"/>
      <c r="B882" s="657"/>
      <c r="C882" s="581"/>
      <c r="D882" s="580"/>
      <c r="E882" s="582"/>
      <c r="F882" s="583"/>
      <c r="K882" s="696"/>
      <c r="L882" s="696"/>
      <c r="M882" s="1080"/>
      <c r="N882" s="967"/>
      <c r="O882" s="1041"/>
      <c r="P882" s="969"/>
      <c r="Q882" s="970"/>
    </row>
    <row r="883" spans="1:17" ht="15" thickBot="1">
      <c r="A883" s="584" t="s">
        <v>276</v>
      </c>
      <c r="B883" s="585"/>
      <c r="C883" s="587" t="s">
        <v>277</v>
      </c>
      <c r="D883" s="586" t="s">
        <v>266</v>
      </c>
      <c r="E883" s="588" t="s">
        <v>278</v>
      </c>
      <c r="F883" s="589" t="s">
        <v>267</v>
      </c>
      <c r="K883" s="696"/>
      <c r="L883" s="696"/>
      <c r="M883" s="1080"/>
      <c r="N883" s="967"/>
      <c r="O883" s="544"/>
      <c r="P883" s="969"/>
      <c r="Q883" s="970"/>
    </row>
    <row r="884" spans="1:17">
      <c r="A884" s="590"/>
      <c r="B884" s="591"/>
      <c r="C884" s="593"/>
      <c r="D884" s="592"/>
      <c r="E884" s="594"/>
      <c r="F884" s="595"/>
      <c r="K884" s="696"/>
      <c r="L884" s="696"/>
      <c r="M884" s="1080"/>
      <c r="N884" s="967"/>
      <c r="O884" s="544"/>
      <c r="P884" s="969"/>
      <c r="Q884" s="970"/>
    </row>
    <row r="885" spans="1:17">
      <c r="A885" s="590" t="s">
        <v>318</v>
      </c>
      <c r="B885" s="651" t="s">
        <v>342</v>
      </c>
      <c r="C885" s="593"/>
      <c r="D885" s="592"/>
      <c r="E885" s="594"/>
      <c r="F885" s="595"/>
      <c r="K885" s="696"/>
      <c r="L885" s="696"/>
      <c r="M885" s="1080"/>
      <c r="N885" s="967"/>
      <c r="O885" s="544"/>
      <c r="P885" s="969"/>
      <c r="Q885" s="970"/>
    </row>
    <row r="886" spans="1:17">
      <c r="A886" s="590"/>
      <c r="B886" s="591"/>
      <c r="C886" s="593"/>
      <c r="D886" s="592"/>
      <c r="E886" s="594"/>
      <c r="F886" s="595"/>
      <c r="K886" s="696"/>
      <c r="L886" s="696"/>
      <c r="M886" s="1080"/>
      <c r="N886" s="967"/>
      <c r="O886" s="544"/>
      <c r="P886" s="969"/>
      <c r="Q886" s="970"/>
    </row>
    <row r="887" spans="1:17" ht="15" thickBot="1">
      <c r="A887" s="590" t="s">
        <v>294</v>
      </c>
      <c r="B887" s="591" t="s">
        <v>485</v>
      </c>
      <c r="C887" s="593">
        <v>1</v>
      </c>
      <c r="D887" s="592" t="s">
        <v>283</v>
      </c>
      <c r="E887" s="594"/>
      <c r="F887" s="595">
        <f>E887*C887</f>
        <v>0</v>
      </c>
      <c r="K887" s="696"/>
      <c r="L887" s="696"/>
      <c r="M887" s="703"/>
      <c r="N887" s="967"/>
      <c r="O887" s="968"/>
      <c r="P887" s="969"/>
      <c r="Q887" s="970"/>
    </row>
    <row r="888" spans="1:17">
      <c r="A888" s="590"/>
      <c r="B888" s="591"/>
      <c r="C888" s="593"/>
      <c r="D888" s="592"/>
      <c r="E888" s="594"/>
      <c r="F888" s="595"/>
      <c r="K888" s="1014"/>
      <c r="L888" s="1014"/>
      <c r="M888" s="1015"/>
      <c r="N888" s="1016"/>
      <c r="O888" s="1017"/>
      <c r="P888" s="1018"/>
      <c r="Q888" s="1019"/>
    </row>
    <row r="889" spans="1:17">
      <c r="A889" s="590" t="s">
        <v>339</v>
      </c>
      <c r="B889" s="661" t="s">
        <v>486</v>
      </c>
      <c r="C889" s="593">
        <v>1</v>
      </c>
      <c r="D889" s="592" t="s">
        <v>283</v>
      </c>
      <c r="E889" s="594"/>
      <c r="F889" s="595">
        <f>E889*C889</f>
        <v>0</v>
      </c>
      <c r="K889" s="1020"/>
      <c r="L889" s="1020"/>
      <c r="M889" s="1021" t="s">
        <v>289</v>
      </c>
      <c r="N889" s="1022"/>
      <c r="O889" s="1023"/>
      <c r="P889" s="1024"/>
      <c r="Q889" s="1010">
        <f>SUM(Q837:Q887)</f>
        <v>0</v>
      </c>
    </row>
    <row r="890" spans="1:17">
      <c r="A890" s="590"/>
      <c r="B890" s="591"/>
      <c r="C890" s="593"/>
      <c r="D890" s="592"/>
      <c r="E890" s="594"/>
      <c r="F890" s="595"/>
      <c r="K890" s="1025"/>
      <c r="L890" s="1025"/>
      <c r="M890" s="1026"/>
      <c r="N890" s="1027"/>
      <c r="O890" s="1028"/>
      <c r="P890" s="1029"/>
      <c r="Q890" s="1030"/>
    </row>
    <row r="891" spans="1:17" ht="17.399999999999999">
      <c r="A891" s="590" t="s">
        <v>340</v>
      </c>
      <c r="B891" s="591" t="s">
        <v>487</v>
      </c>
      <c r="C891" s="593">
        <v>1</v>
      </c>
      <c r="D891" s="592" t="s">
        <v>283</v>
      </c>
      <c r="E891" s="594"/>
      <c r="F891" s="595">
        <f>E891*C891</f>
        <v>0</v>
      </c>
      <c r="K891" s="980"/>
      <c r="L891" s="981"/>
      <c r="M891" s="982"/>
      <c r="N891" s="982"/>
      <c r="O891" s="983"/>
      <c r="P891" s="984"/>
      <c r="Q891" s="985"/>
    </row>
    <row r="892" spans="1:17">
      <c r="A892" s="590"/>
      <c r="B892" s="591"/>
      <c r="C892" s="593"/>
      <c r="D892" s="592"/>
      <c r="E892" s="594"/>
      <c r="F892" s="595"/>
      <c r="K892" s="986"/>
      <c r="L892" s="987"/>
      <c r="M892" s="988"/>
      <c r="N892" s="988"/>
      <c r="O892" s="989"/>
      <c r="P892" s="990"/>
      <c r="Q892" s="991"/>
    </row>
    <row r="893" spans="1:17">
      <c r="A893" s="590" t="s">
        <v>409</v>
      </c>
      <c r="B893" s="591" t="s">
        <v>488</v>
      </c>
      <c r="C893" s="593">
        <v>1</v>
      </c>
      <c r="D893" s="592" t="s">
        <v>283</v>
      </c>
      <c r="E893" s="594"/>
      <c r="F893" s="595">
        <f>E893*C893</f>
        <v>0</v>
      </c>
      <c r="K893" s="986"/>
      <c r="L893" s="987"/>
      <c r="M893" s="988"/>
      <c r="N893" s="988"/>
      <c r="O893" s="989"/>
      <c r="P893" s="990"/>
      <c r="Q893" s="991"/>
    </row>
    <row r="894" spans="1:17">
      <c r="A894" s="590"/>
      <c r="B894" s="591"/>
      <c r="C894" s="593"/>
      <c r="D894" s="592"/>
      <c r="E894" s="594"/>
      <c r="F894" s="595"/>
      <c r="K894" s="992"/>
      <c r="L894" s="993"/>
      <c r="M894" s="543"/>
      <c r="N894" s="543"/>
      <c r="O894" s="994"/>
      <c r="P894" s="995"/>
      <c r="Q894" s="996"/>
    </row>
    <row r="895" spans="1:17" ht="15" thickBot="1">
      <c r="A895" s="590"/>
      <c r="B895" s="591"/>
      <c r="C895" s="593"/>
      <c r="D895" s="592"/>
      <c r="E895" s="594"/>
      <c r="F895" s="595"/>
      <c r="K895" s="997" t="s">
        <v>276</v>
      </c>
      <c r="L895" s="998" t="s">
        <v>887</v>
      </c>
      <c r="M895" s="999"/>
      <c r="N895" s="1000" t="s">
        <v>266</v>
      </c>
      <c r="O895" s="1001" t="s">
        <v>277</v>
      </c>
      <c r="P895" s="1002" t="s">
        <v>278</v>
      </c>
      <c r="Q895" s="1003" t="s">
        <v>267</v>
      </c>
    </row>
    <row r="896" spans="1:17">
      <c r="A896" s="590"/>
      <c r="B896" s="591"/>
      <c r="C896" s="593"/>
      <c r="D896" s="592"/>
      <c r="E896" s="594"/>
      <c r="F896" s="595"/>
      <c r="K896" s="696"/>
      <c r="L896" s="696"/>
      <c r="M896" s="703"/>
      <c r="N896" s="967"/>
      <c r="O896" s="968"/>
      <c r="P896" s="969"/>
      <c r="Q896" s="970"/>
    </row>
    <row r="897" spans="1:17">
      <c r="A897" s="590"/>
      <c r="B897" s="591"/>
      <c r="C897" s="593"/>
      <c r="D897" s="592"/>
      <c r="E897" s="594"/>
      <c r="F897" s="595"/>
      <c r="K897" s="1031">
        <f>K837+1</f>
        <v>16</v>
      </c>
      <c r="L897" s="696"/>
      <c r="M897" s="1032" t="s">
        <v>343</v>
      </c>
      <c r="N897" s="967"/>
      <c r="O897" s="1041"/>
      <c r="P897" s="969"/>
      <c r="Q897" s="970"/>
    </row>
    <row r="898" spans="1:17">
      <c r="A898" s="590"/>
      <c r="B898" s="591"/>
      <c r="C898" s="593"/>
      <c r="D898" s="592"/>
      <c r="E898" s="594"/>
      <c r="F898" s="595"/>
      <c r="K898" s="696"/>
      <c r="L898" s="696"/>
      <c r="M898" s="1075"/>
      <c r="N898" s="1076"/>
      <c r="O898" s="968"/>
      <c r="P898" s="969"/>
      <c r="Q898" s="970"/>
    </row>
    <row r="899" spans="1:17">
      <c r="A899" s="590"/>
      <c r="B899" s="591"/>
      <c r="C899" s="593"/>
      <c r="D899" s="592"/>
      <c r="E899" s="594"/>
      <c r="F899" s="595"/>
      <c r="K899" s="696"/>
      <c r="L899" s="696"/>
      <c r="M899" s="1082" t="s">
        <v>458</v>
      </c>
      <c r="N899" s="1076" t="s">
        <v>459</v>
      </c>
      <c r="O899" s="968">
        <v>1</v>
      </c>
      <c r="P899" s="969"/>
      <c r="Q899" s="970">
        <f>P899*O899</f>
        <v>0</v>
      </c>
    </row>
    <row r="900" spans="1:17">
      <c r="A900" s="590"/>
      <c r="B900" s="591"/>
      <c r="C900" s="593"/>
      <c r="D900" s="592"/>
      <c r="E900" s="594"/>
      <c r="F900" s="595"/>
      <c r="K900" s="696"/>
      <c r="L900" s="696"/>
      <c r="M900" s="1082"/>
      <c r="N900" s="1076"/>
      <c r="O900" s="968"/>
      <c r="P900" s="969"/>
      <c r="Q900" s="970"/>
    </row>
    <row r="901" spans="1:17">
      <c r="A901" s="590"/>
      <c r="B901" s="591"/>
      <c r="C901" s="593"/>
      <c r="D901" s="592"/>
      <c r="E901" s="594"/>
      <c r="F901" s="595"/>
      <c r="K901" s="696"/>
      <c r="L901" s="696"/>
      <c r="M901" s="1082" t="s">
        <v>460</v>
      </c>
      <c r="N901" s="1076" t="s">
        <v>459</v>
      </c>
      <c r="O901" s="968">
        <v>1</v>
      </c>
      <c r="P901" s="969"/>
      <c r="Q901" s="970">
        <f>P901*O901</f>
        <v>0</v>
      </c>
    </row>
    <row r="902" spans="1:17">
      <c r="A902" s="590"/>
      <c r="B902" s="591"/>
      <c r="C902" s="593"/>
      <c r="D902" s="592"/>
      <c r="E902" s="594"/>
      <c r="F902" s="595"/>
      <c r="K902" s="696"/>
      <c r="L902" s="696"/>
      <c r="M902" s="1082"/>
      <c r="N902" s="1076"/>
      <c r="O902" s="968"/>
      <c r="P902" s="969"/>
      <c r="Q902" s="970"/>
    </row>
    <row r="903" spans="1:17">
      <c r="A903" s="590"/>
      <c r="B903" s="591"/>
      <c r="C903" s="646"/>
      <c r="D903" s="592"/>
      <c r="E903" s="594"/>
      <c r="F903" s="595"/>
      <c r="K903" s="696"/>
      <c r="L903" s="696"/>
      <c r="M903" s="1082" t="s">
        <v>461</v>
      </c>
      <c r="N903" s="1076" t="s">
        <v>459</v>
      </c>
      <c r="O903" s="968">
        <v>1</v>
      </c>
      <c r="P903" s="969"/>
      <c r="Q903" s="970">
        <f>P903*O903</f>
        <v>0</v>
      </c>
    </row>
    <row r="904" spans="1:17">
      <c r="A904" s="590"/>
      <c r="B904" s="591"/>
      <c r="C904" s="593"/>
      <c r="D904" s="592"/>
      <c r="E904" s="594"/>
      <c r="F904" s="595"/>
      <c r="K904" s="696"/>
      <c r="L904" s="696"/>
      <c r="M904" s="1075"/>
      <c r="N904" s="1076"/>
      <c r="O904" s="968"/>
      <c r="P904" s="969"/>
      <c r="Q904" s="970"/>
    </row>
    <row r="905" spans="1:17">
      <c r="A905" s="590"/>
      <c r="B905" s="666"/>
      <c r="C905" s="646"/>
      <c r="D905" s="592"/>
      <c r="E905" s="594"/>
      <c r="F905" s="595"/>
      <c r="K905" s="696"/>
      <c r="L905" s="696"/>
      <c r="M905" s="1082" t="s">
        <v>462</v>
      </c>
      <c r="N905" s="1076" t="s">
        <v>459</v>
      </c>
      <c r="O905" s="968">
        <v>1</v>
      </c>
      <c r="P905" s="969"/>
      <c r="Q905" s="970">
        <f>P905*O905</f>
        <v>0</v>
      </c>
    </row>
    <row r="906" spans="1:17">
      <c r="A906" s="590"/>
      <c r="B906" s="609"/>
      <c r="C906" s="610"/>
      <c r="D906" s="592"/>
      <c r="E906" s="594"/>
      <c r="F906" s="595"/>
      <c r="K906" s="696"/>
      <c r="L906" s="696"/>
      <c r="M906" s="1075"/>
      <c r="N906" s="1076"/>
      <c r="O906" s="968"/>
      <c r="P906" s="969"/>
      <c r="Q906" s="970"/>
    </row>
    <row r="907" spans="1:17">
      <c r="A907" s="590"/>
      <c r="B907" s="609"/>
      <c r="C907" s="610"/>
      <c r="D907" s="592"/>
      <c r="E907" s="594"/>
      <c r="F907" s="595"/>
      <c r="K907" s="696"/>
      <c r="L907" s="696"/>
      <c r="M907" s="1082" t="s">
        <v>489</v>
      </c>
      <c r="N907" s="1076" t="s">
        <v>459</v>
      </c>
      <c r="O907" s="968">
        <v>1</v>
      </c>
      <c r="P907" s="969"/>
      <c r="Q907" s="970">
        <f>P907*O907</f>
        <v>0</v>
      </c>
    </row>
    <row r="908" spans="1:17">
      <c r="A908" s="590"/>
      <c r="B908" s="609"/>
      <c r="C908" s="610"/>
      <c r="D908" s="592"/>
      <c r="E908" s="594"/>
      <c r="F908" s="595"/>
      <c r="K908" s="696"/>
      <c r="L908" s="696"/>
      <c r="M908" s="1082"/>
      <c r="N908" s="1076"/>
      <c r="O908" s="968"/>
      <c r="P908" s="969"/>
      <c r="Q908" s="970"/>
    </row>
    <row r="909" spans="1:17">
      <c r="A909" s="590"/>
      <c r="B909" s="609"/>
      <c r="C909" s="610"/>
      <c r="D909" s="592"/>
      <c r="E909" s="594"/>
      <c r="F909" s="595"/>
      <c r="K909" s="696"/>
      <c r="L909" s="696"/>
      <c r="M909" s="1082" t="s">
        <v>490</v>
      </c>
      <c r="N909" s="1076" t="s">
        <v>459</v>
      </c>
      <c r="O909" s="968">
        <v>1</v>
      </c>
      <c r="P909" s="969"/>
      <c r="Q909" s="970">
        <f>P909*O909</f>
        <v>0</v>
      </c>
    </row>
    <row r="910" spans="1:17">
      <c r="A910" s="590"/>
      <c r="B910" s="667"/>
      <c r="C910" s="610"/>
      <c r="D910" s="592"/>
      <c r="E910" s="594"/>
      <c r="F910" s="595"/>
      <c r="K910" s="696"/>
      <c r="L910" s="696"/>
      <c r="M910" s="1082"/>
      <c r="N910" s="1076"/>
      <c r="O910" s="968"/>
      <c r="P910" s="969"/>
      <c r="Q910" s="970"/>
    </row>
    <row r="911" spans="1:17">
      <c r="A911" s="590"/>
      <c r="B911" s="609"/>
      <c r="C911" s="610"/>
      <c r="D911" s="592"/>
      <c r="E911" s="594"/>
      <c r="F911" s="595"/>
      <c r="K911" s="696"/>
      <c r="L911" s="696"/>
      <c r="M911" s="1082" t="s">
        <v>491</v>
      </c>
      <c r="N911" s="1076" t="s">
        <v>459</v>
      </c>
      <c r="O911" s="968">
        <v>1</v>
      </c>
      <c r="P911" s="969"/>
      <c r="Q911" s="970">
        <f>P911*O911</f>
        <v>0</v>
      </c>
    </row>
    <row r="912" spans="1:17">
      <c r="A912" s="590"/>
      <c r="B912" s="609"/>
      <c r="C912" s="610"/>
      <c r="D912" s="592"/>
      <c r="E912" s="594"/>
      <c r="F912" s="595"/>
      <c r="K912" s="696"/>
      <c r="L912" s="696"/>
      <c r="M912" s="1075"/>
      <c r="N912" s="1076"/>
      <c r="O912" s="968"/>
      <c r="P912" s="969"/>
      <c r="Q912" s="970"/>
    </row>
    <row r="913" spans="1:17">
      <c r="A913" s="590"/>
      <c r="B913" s="666"/>
      <c r="C913" s="646"/>
      <c r="D913" s="592"/>
      <c r="E913" s="594"/>
      <c r="F913" s="595"/>
      <c r="K913" s="696"/>
      <c r="L913" s="696"/>
      <c r="M913" s="1082" t="s">
        <v>492</v>
      </c>
      <c r="N913" s="1076" t="s">
        <v>459</v>
      </c>
      <c r="O913" s="968">
        <v>1</v>
      </c>
      <c r="P913" s="969"/>
      <c r="Q913" s="970">
        <f>P913*O913</f>
        <v>0</v>
      </c>
    </row>
    <row r="914" spans="1:17">
      <c r="A914" s="590"/>
      <c r="B914" s="666"/>
      <c r="C914" s="610"/>
      <c r="D914" s="592"/>
      <c r="E914" s="594"/>
      <c r="F914" s="595"/>
      <c r="K914" s="696"/>
      <c r="L914" s="696"/>
      <c r="M914" s="1082"/>
      <c r="N914" s="1076"/>
      <c r="O914" s="968"/>
      <c r="P914" s="969"/>
      <c r="Q914" s="970"/>
    </row>
    <row r="915" spans="1:17">
      <c r="A915" s="590"/>
      <c r="B915" s="666"/>
      <c r="C915" s="646"/>
      <c r="D915" s="592"/>
      <c r="E915" s="594"/>
      <c r="F915" s="595"/>
      <c r="K915" s="696"/>
      <c r="L915" s="696"/>
      <c r="M915" s="1082" t="s">
        <v>493</v>
      </c>
      <c r="N915" s="1076" t="s">
        <v>459</v>
      </c>
      <c r="O915" s="968">
        <v>1</v>
      </c>
      <c r="P915" s="969"/>
      <c r="Q915" s="970">
        <f>P915*O915</f>
        <v>0</v>
      </c>
    </row>
    <row r="916" spans="1:17">
      <c r="A916" s="590"/>
      <c r="B916" s="666"/>
      <c r="C916" s="610"/>
      <c r="D916" s="592"/>
      <c r="E916" s="594"/>
      <c r="F916" s="595"/>
      <c r="K916" s="696"/>
      <c r="L916" s="696"/>
      <c r="M916" s="1075"/>
      <c r="N916" s="1076"/>
      <c r="O916" s="968"/>
      <c r="P916" s="969"/>
      <c r="Q916" s="970"/>
    </row>
    <row r="917" spans="1:17">
      <c r="A917" s="590"/>
      <c r="B917" s="666"/>
      <c r="C917" s="646"/>
      <c r="D917" s="592"/>
      <c r="E917" s="594"/>
      <c r="F917" s="595"/>
      <c r="K917" s="696"/>
      <c r="L917" s="696"/>
      <c r="M917" s="1075"/>
      <c r="N917" s="1076"/>
      <c r="O917" s="968"/>
      <c r="P917" s="969"/>
      <c r="Q917" s="970"/>
    </row>
    <row r="918" spans="1:17">
      <c r="A918" s="590"/>
      <c r="B918" s="666"/>
      <c r="C918" s="610"/>
      <c r="D918" s="592"/>
      <c r="E918" s="594"/>
      <c r="F918" s="595"/>
      <c r="K918" s="696"/>
      <c r="L918" s="696"/>
      <c r="M918" s="1075"/>
      <c r="N918" s="1076"/>
      <c r="O918" s="968"/>
      <c r="P918" s="969"/>
      <c r="Q918" s="970"/>
    </row>
    <row r="919" spans="1:17">
      <c r="A919" s="590"/>
      <c r="B919" s="666"/>
      <c r="C919" s="646"/>
      <c r="D919" s="592"/>
      <c r="E919" s="594"/>
      <c r="F919" s="595"/>
      <c r="K919" s="696"/>
      <c r="L919" s="696"/>
      <c r="M919" s="1075"/>
      <c r="N919" s="1076"/>
      <c r="O919" s="968"/>
      <c r="P919" s="969"/>
      <c r="Q919" s="970"/>
    </row>
    <row r="920" spans="1:17">
      <c r="A920" s="590"/>
      <c r="B920" s="666"/>
      <c r="C920" s="593"/>
      <c r="D920" s="592"/>
      <c r="E920" s="594"/>
      <c r="F920" s="595"/>
      <c r="K920" s="696"/>
      <c r="L920" s="696"/>
      <c r="M920" s="1075"/>
      <c r="N920" s="1076"/>
      <c r="O920" s="968"/>
      <c r="P920" s="969"/>
      <c r="Q920" s="970"/>
    </row>
    <row r="921" spans="1:17">
      <c r="A921" s="590"/>
      <c r="B921" s="666"/>
      <c r="C921" s="593"/>
      <c r="D921" s="592"/>
      <c r="E921" s="594"/>
      <c r="F921" s="595"/>
      <c r="K921" s="696"/>
      <c r="L921" s="696"/>
      <c r="M921" s="1075"/>
      <c r="N921" s="1076"/>
      <c r="O921" s="968"/>
      <c r="P921" s="969"/>
      <c r="Q921" s="970"/>
    </row>
    <row r="922" spans="1:17">
      <c r="A922" s="590"/>
      <c r="B922" s="666"/>
      <c r="C922" s="593"/>
      <c r="D922" s="592"/>
      <c r="E922" s="594"/>
      <c r="F922" s="595"/>
      <c r="K922" s="696"/>
      <c r="L922" s="696"/>
      <c r="M922" s="1075"/>
      <c r="N922" s="1076"/>
      <c r="O922" s="968"/>
      <c r="P922" s="969"/>
      <c r="Q922" s="970"/>
    </row>
    <row r="923" spans="1:17">
      <c r="A923" s="590"/>
      <c r="B923" s="666"/>
      <c r="C923" s="593"/>
      <c r="D923" s="592"/>
      <c r="E923" s="594"/>
      <c r="F923" s="595"/>
      <c r="K923" s="696"/>
      <c r="L923" s="696"/>
      <c r="M923" s="1075"/>
      <c r="N923" s="1076"/>
      <c r="O923" s="968"/>
      <c r="P923" s="969"/>
      <c r="Q923" s="970"/>
    </row>
    <row r="924" spans="1:17">
      <c r="A924" s="590"/>
      <c r="B924" s="666"/>
      <c r="C924" s="593"/>
      <c r="D924" s="592"/>
      <c r="E924" s="594"/>
      <c r="F924" s="595"/>
      <c r="K924" s="696"/>
      <c r="L924" s="696"/>
      <c r="M924" s="1075"/>
      <c r="N924" s="1076"/>
      <c r="O924" s="968"/>
      <c r="P924" s="969"/>
      <c r="Q924" s="970"/>
    </row>
    <row r="925" spans="1:17">
      <c r="A925" s="590"/>
      <c r="B925" s="666"/>
      <c r="C925" s="593"/>
      <c r="D925" s="592"/>
      <c r="E925" s="594"/>
      <c r="F925" s="595"/>
      <c r="K925" s="696"/>
      <c r="L925" s="696"/>
      <c r="M925" s="1075"/>
      <c r="N925" s="1076"/>
      <c r="O925" s="968"/>
      <c r="P925" s="969"/>
      <c r="Q925" s="970"/>
    </row>
    <row r="926" spans="1:17">
      <c r="A926" s="590"/>
      <c r="B926" s="666"/>
      <c r="C926" s="593"/>
      <c r="D926" s="592"/>
      <c r="E926" s="594"/>
      <c r="F926" s="595"/>
      <c r="K926" s="696"/>
      <c r="L926" s="696"/>
      <c r="M926" s="1075"/>
      <c r="N926" s="1076"/>
      <c r="O926" s="968"/>
      <c r="P926" s="969"/>
      <c r="Q926" s="970"/>
    </row>
    <row r="927" spans="1:17">
      <c r="A927" s="590"/>
      <c r="B927" s="666"/>
      <c r="C927" s="593"/>
      <c r="D927" s="592"/>
      <c r="E927" s="594"/>
      <c r="F927" s="595"/>
      <c r="K927" s="696"/>
      <c r="L927" s="696"/>
      <c r="M927" s="1075"/>
      <c r="N927" s="1076"/>
      <c r="O927" s="968"/>
      <c r="P927" s="969"/>
      <c r="Q927" s="970"/>
    </row>
    <row r="928" spans="1:17">
      <c r="A928" s="590"/>
      <c r="B928" s="666"/>
      <c r="C928" s="593"/>
      <c r="D928" s="592"/>
      <c r="E928" s="594"/>
      <c r="F928" s="595"/>
      <c r="K928" s="696"/>
      <c r="L928" s="696"/>
      <c r="M928" s="1075"/>
      <c r="N928" s="1076"/>
      <c r="O928" s="968"/>
      <c r="P928" s="969"/>
      <c r="Q928" s="970"/>
    </row>
    <row r="929" spans="1:17">
      <c r="A929" s="590"/>
      <c r="B929" s="666"/>
      <c r="C929" s="593"/>
      <c r="D929" s="592"/>
      <c r="E929" s="594"/>
      <c r="F929" s="595"/>
      <c r="K929" s="696"/>
      <c r="L929" s="696"/>
      <c r="M929" s="1075"/>
      <c r="N929" s="1076"/>
      <c r="O929" s="968"/>
      <c r="P929" s="969"/>
      <c r="Q929" s="970"/>
    </row>
    <row r="930" spans="1:17">
      <c r="A930" s="590"/>
      <c r="B930" s="666"/>
      <c r="C930" s="610"/>
      <c r="D930" s="592"/>
      <c r="E930" s="594"/>
      <c r="F930" s="595"/>
      <c r="K930" s="696"/>
      <c r="L930" s="696"/>
      <c r="M930" s="1075"/>
      <c r="N930" s="1076"/>
      <c r="O930" s="968"/>
      <c r="P930" s="969"/>
      <c r="Q930" s="970"/>
    </row>
    <row r="931" spans="1:17">
      <c r="A931" s="590"/>
      <c r="B931" s="666"/>
      <c r="C931" s="646"/>
      <c r="D931" s="592"/>
      <c r="E931" s="594"/>
      <c r="F931" s="595"/>
      <c r="K931" s="696"/>
      <c r="L931" s="696"/>
      <c r="M931" s="1075"/>
      <c r="N931" s="1076"/>
      <c r="O931" s="968"/>
      <c r="P931" s="969"/>
      <c r="Q931" s="970"/>
    </row>
    <row r="932" spans="1:17">
      <c r="A932" s="590"/>
      <c r="B932" s="666"/>
      <c r="C932" s="646"/>
      <c r="D932" s="592"/>
      <c r="E932" s="594"/>
      <c r="F932" s="595"/>
      <c r="K932" s="696"/>
      <c r="L932" s="696"/>
      <c r="M932" s="1075"/>
      <c r="N932" s="1076"/>
      <c r="O932" s="968"/>
      <c r="P932" s="969"/>
      <c r="Q932" s="970"/>
    </row>
    <row r="933" spans="1:17">
      <c r="A933" s="590"/>
      <c r="B933" s="666"/>
      <c r="C933" s="646"/>
      <c r="D933" s="592"/>
      <c r="E933" s="594"/>
      <c r="F933" s="595"/>
      <c r="K933" s="696"/>
      <c r="L933" s="696"/>
      <c r="M933" s="1075"/>
      <c r="N933" s="1076"/>
      <c r="O933" s="968"/>
      <c r="P933" s="969"/>
      <c r="Q933" s="970"/>
    </row>
    <row r="934" spans="1:17">
      <c r="A934" s="590"/>
      <c r="B934" s="666"/>
      <c r="C934" s="646"/>
      <c r="D934" s="592"/>
      <c r="E934" s="594"/>
      <c r="F934" s="595"/>
      <c r="K934" s="696"/>
      <c r="L934" s="696"/>
      <c r="M934" s="1075"/>
      <c r="N934" s="1076"/>
      <c r="O934" s="968"/>
      <c r="P934" s="969"/>
      <c r="Q934" s="970"/>
    </row>
    <row r="935" spans="1:17" ht="15" thickBot="1">
      <c r="A935" s="590"/>
      <c r="B935" s="591"/>
      <c r="C935" s="593"/>
      <c r="D935" s="592"/>
      <c r="E935" s="594"/>
      <c r="F935" s="595"/>
      <c r="K935" s="696"/>
      <c r="L935" s="696"/>
      <c r="M935" s="1075"/>
      <c r="N935" s="1076"/>
      <c r="O935" s="968"/>
      <c r="P935" s="969"/>
      <c r="Q935" s="970"/>
    </row>
    <row r="936" spans="1:17">
      <c r="A936" s="612"/>
      <c r="B936" s="613"/>
      <c r="C936" s="615"/>
      <c r="D936" s="614"/>
      <c r="E936" s="616"/>
      <c r="F936" s="617"/>
      <c r="K936" s="696"/>
      <c r="L936" s="696"/>
      <c r="M936" s="1075"/>
      <c r="N936" s="1076"/>
      <c r="O936" s="968"/>
      <c r="P936" s="969"/>
      <c r="Q936" s="970"/>
    </row>
    <row r="937" spans="1:17">
      <c r="A937" s="618" t="s">
        <v>310</v>
      </c>
      <c r="B937" s="619" t="s">
        <v>289</v>
      </c>
      <c r="C937" s="621"/>
      <c r="D937" s="620"/>
      <c r="E937" s="622"/>
      <c r="F937" s="623">
        <f>SUM(F885:F935)</f>
        <v>0</v>
      </c>
      <c r="H937" s="645"/>
      <c r="K937" s="696"/>
      <c r="L937" s="696"/>
      <c r="M937" s="1075"/>
      <c r="N937" s="1076"/>
      <c r="O937" s="968"/>
      <c r="P937" s="969"/>
      <c r="Q937" s="970"/>
    </row>
    <row r="938" spans="1:17">
      <c r="A938" s="624"/>
      <c r="B938" s="625"/>
      <c r="C938" s="627"/>
      <c r="D938" s="626"/>
      <c r="E938" s="628"/>
      <c r="F938" s="629"/>
      <c r="K938" s="696"/>
      <c r="L938" s="696"/>
      <c r="M938" s="1075"/>
      <c r="N938" s="1076"/>
      <c r="O938" s="968"/>
      <c r="P938" s="969"/>
      <c r="Q938" s="970"/>
    </row>
    <row r="939" spans="1:17" ht="17.399999999999999">
      <c r="A939" s="568"/>
      <c r="B939" s="569"/>
      <c r="C939" s="570"/>
      <c r="D939" s="569"/>
      <c r="E939" s="571"/>
      <c r="F939" s="572"/>
      <c r="K939" s="696"/>
      <c r="L939" s="696"/>
      <c r="M939" s="1075"/>
      <c r="N939" s="1076"/>
      <c r="O939" s="968"/>
      <c r="P939" s="969"/>
      <c r="Q939" s="970"/>
    </row>
    <row r="940" spans="1:17">
      <c r="A940" s="574"/>
      <c r="B940" s="575"/>
      <c r="C940" s="576"/>
      <c r="D940" s="575"/>
      <c r="E940" s="577"/>
      <c r="F940" s="578"/>
      <c r="K940" s="696"/>
      <c r="L940" s="696"/>
      <c r="M940" s="1075"/>
      <c r="N940" s="1076"/>
      <c r="O940" s="968"/>
      <c r="P940" s="969"/>
      <c r="Q940" s="970"/>
    </row>
    <row r="941" spans="1:17">
      <c r="A941" s="574"/>
      <c r="B941" s="575"/>
      <c r="C941" s="576"/>
      <c r="D941" s="575"/>
      <c r="E941" s="577"/>
      <c r="F941" s="578"/>
      <c r="K941" s="696"/>
      <c r="L941" s="696"/>
      <c r="M941" s="1075"/>
      <c r="N941" s="1076"/>
      <c r="O941" s="968"/>
      <c r="P941" s="969"/>
      <c r="Q941" s="970"/>
    </row>
    <row r="942" spans="1:17">
      <c r="A942" s="579"/>
      <c r="B942" s="580"/>
      <c r="C942" s="581"/>
      <c r="D942" s="580"/>
      <c r="E942" s="582"/>
      <c r="F942" s="583"/>
      <c r="K942" s="696"/>
      <c r="L942" s="696"/>
      <c r="M942" s="1075"/>
      <c r="N942" s="1076"/>
      <c r="O942" s="968"/>
      <c r="P942" s="969"/>
      <c r="Q942" s="970"/>
    </row>
    <row r="943" spans="1:17" ht="15" thickBot="1">
      <c r="A943" s="584" t="s">
        <v>276</v>
      </c>
      <c r="B943" s="585"/>
      <c r="C943" s="587" t="s">
        <v>277</v>
      </c>
      <c r="D943" s="586" t="s">
        <v>266</v>
      </c>
      <c r="E943" s="588" t="s">
        <v>278</v>
      </c>
      <c r="F943" s="589" t="s">
        <v>267</v>
      </c>
      <c r="K943" s="696"/>
      <c r="L943" s="696"/>
      <c r="M943" s="1075"/>
      <c r="N943" s="1076"/>
      <c r="O943" s="968"/>
      <c r="P943" s="969"/>
      <c r="Q943" s="970"/>
    </row>
    <row r="944" spans="1:17">
      <c r="A944" s="590"/>
      <c r="B944" s="591"/>
      <c r="C944" s="593"/>
      <c r="D944" s="592"/>
      <c r="E944" s="594"/>
      <c r="F944" s="595"/>
      <c r="K944" s="696"/>
      <c r="L944" s="696"/>
      <c r="M944" s="1075"/>
      <c r="N944" s="1076"/>
      <c r="O944" s="968"/>
      <c r="P944" s="969"/>
      <c r="Q944" s="970"/>
    </row>
    <row r="945" spans="1:17">
      <c r="A945" s="652" t="s">
        <v>320</v>
      </c>
      <c r="B945" s="651" t="s">
        <v>343</v>
      </c>
      <c r="C945" s="610"/>
      <c r="D945" s="592"/>
      <c r="E945" s="594"/>
      <c r="F945" s="595"/>
      <c r="K945" s="696"/>
      <c r="L945" s="696"/>
      <c r="M945" s="1075"/>
      <c r="N945" s="1076"/>
      <c r="O945" s="968"/>
      <c r="P945" s="969"/>
      <c r="Q945" s="970"/>
    </row>
    <row r="946" spans="1:17">
      <c r="A946" s="590"/>
      <c r="B946" s="661"/>
      <c r="C946" s="593"/>
      <c r="D946" s="662"/>
      <c r="E946" s="594"/>
      <c r="F946" s="595"/>
      <c r="K946" s="696"/>
      <c r="L946" s="696"/>
      <c r="M946" s="1075"/>
      <c r="N946" s="1076"/>
      <c r="O946" s="968"/>
      <c r="P946" s="969"/>
      <c r="Q946" s="970"/>
    </row>
    <row r="947" spans="1:17" ht="15" thickBot="1">
      <c r="A947" s="590" t="s">
        <v>294</v>
      </c>
      <c r="B947" s="678" t="s">
        <v>458</v>
      </c>
      <c r="C947" s="593">
        <v>1</v>
      </c>
      <c r="D947" s="662" t="s">
        <v>459</v>
      </c>
      <c r="E947" s="594"/>
      <c r="F947" s="595">
        <f>E947*C947</f>
        <v>0</v>
      </c>
      <c r="K947" s="696"/>
      <c r="L947" s="696"/>
      <c r="M947" s="1075"/>
      <c r="N947" s="1076"/>
      <c r="O947" s="968"/>
      <c r="P947" s="969"/>
      <c r="Q947" s="970"/>
    </row>
    <row r="948" spans="1:17">
      <c r="A948" s="590"/>
      <c r="B948" s="678"/>
      <c r="C948" s="593"/>
      <c r="D948" s="662"/>
      <c r="E948" s="594"/>
      <c r="F948" s="595"/>
      <c r="K948" s="1014"/>
      <c r="L948" s="1014"/>
      <c r="M948" s="1015"/>
      <c r="N948" s="1016"/>
      <c r="O948" s="1017"/>
      <c r="P948" s="1018"/>
      <c r="Q948" s="1019"/>
    </row>
    <row r="949" spans="1:17">
      <c r="A949" s="590" t="s">
        <v>339</v>
      </c>
      <c r="B949" s="678" t="s">
        <v>460</v>
      </c>
      <c r="C949" s="593">
        <v>1</v>
      </c>
      <c r="D949" s="662" t="s">
        <v>459</v>
      </c>
      <c r="E949" s="594"/>
      <c r="F949" s="595">
        <f>E949*C949</f>
        <v>0</v>
      </c>
      <c r="K949" s="1020"/>
      <c r="L949" s="1020"/>
      <c r="M949" s="1021" t="s">
        <v>289</v>
      </c>
      <c r="N949" s="1022"/>
      <c r="O949" s="1023"/>
      <c r="P949" s="1024"/>
      <c r="Q949" s="1010">
        <f>SUM(Q896:Q947)</f>
        <v>0</v>
      </c>
    </row>
    <row r="950" spans="1:17">
      <c r="A950" s="590"/>
      <c r="B950" s="678"/>
      <c r="C950" s="593"/>
      <c r="D950" s="662"/>
      <c r="E950" s="594"/>
      <c r="F950" s="595"/>
      <c r="K950" s="1025"/>
      <c r="L950" s="1025"/>
      <c r="M950" s="1026"/>
      <c r="N950" s="1027"/>
      <c r="O950" s="1028"/>
      <c r="P950" s="1029"/>
      <c r="Q950" s="1030"/>
    </row>
    <row r="951" spans="1:17" ht="17.399999999999999">
      <c r="A951" s="590" t="s">
        <v>340</v>
      </c>
      <c r="B951" s="678" t="s">
        <v>461</v>
      </c>
      <c r="C951" s="593">
        <v>1</v>
      </c>
      <c r="D951" s="662" t="s">
        <v>459</v>
      </c>
      <c r="E951" s="594"/>
      <c r="F951" s="595">
        <f>E951*C951</f>
        <v>0</v>
      </c>
      <c r="K951" s="980"/>
      <c r="L951" s="981"/>
      <c r="M951" s="982"/>
      <c r="N951" s="982"/>
      <c r="O951" s="983"/>
      <c r="P951" s="984"/>
      <c r="Q951" s="985"/>
    </row>
    <row r="952" spans="1:17">
      <c r="A952" s="590"/>
      <c r="B952" s="661"/>
      <c r="C952" s="593"/>
      <c r="D952" s="662"/>
      <c r="E952" s="594"/>
      <c r="F952" s="595"/>
      <c r="K952" s="986"/>
      <c r="L952" s="987"/>
      <c r="M952" s="988"/>
      <c r="N952" s="988"/>
      <c r="O952" s="989"/>
      <c r="P952" s="990"/>
      <c r="Q952" s="991"/>
    </row>
    <row r="953" spans="1:17">
      <c r="A953" s="590" t="s">
        <v>409</v>
      </c>
      <c r="B953" s="678" t="s">
        <v>462</v>
      </c>
      <c r="C953" s="593">
        <v>1</v>
      </c>
      <c r="D953" s="662" t="s">
        <v>459</v>
      </c>
      <c r="E953" s="594"/>
      <c r="F953" s="595">
        <f>E953*C953</f>
        <v>0</v>
      </c>
      <c r="K953" s="986"/>
      <c r="L953" s="987"/>
      <c r="M953" s="988"/>
      <c r="N953" s="988"/>
      <c r="O953" s="989"/>
      <c r="P953" s="990"/>
      <c r="Q953" s="991"/>
    </row>
    <row r="954" spans="1:17">
      <c r="A954" s="590"/>
      <c r="B954" s="661"/>
      <c r="C954" s="593"/>
      <c r="D954" s="662"/>
      <c r="E954" s="594"/>
      <c r="F954" s="595"/>
      <c r="K954" s="992"/>
      <c r="L954" s="993"/>
      <c r="M954" s="543"/>
      <c r="N954" s="543"/>
      <c r="O954" s="994"/>
      <c r="P954" s="995"/>
      <c r="Q954" s="996"/>
    </row>
    <row r="955" spans="1:17" ht="15" thickBot="1">
      <c r="A955" s="590" t="s">
        <v>416</v>
      </c>
      <c r="B955" s="678" t="s">
        <v>489</v>
      </c>
      <c r="C955" s="593">
        <v>1</v>
      </c>
      <c r="D955" s="662" t="s">
        <v>459</v>
      </c>
      <c r="E955" s="594"/>
      <c r="F955" s="595">
        <f>E955*C955</f>
        <v>0</v>
      </c>
      <c r="K955" s="997" t="s">
        <v>276</v>
      </c>
      <c r="L955" s="998" t="s">
        <v>887</v>
      </c>
      <c r="M955" s="999"/>
      <c r="N955" s="1000" t="s">
        <v>266</v>
      </c>
      <c r="O955" s="1001" t="s">
        <v>277</v>
      </c>
      <c r="P955" s="1002" t="s">
        <v>278</v>
      </c>
      <c r="Q955" s="1003" t="s">
        <v>267</v>
      </c>
    </row>
    <row r="956" spans="1:17">
      <c r="A956" s="590"/>
      <c r="B956" s="678"/>
      <c r="C956" s="593"/>
      <c r="D956" s="662"/>
      <c r="E956" s="594"/>
      <c r="F956" s="595"/>
      <c r="K956" s="696"/>
      <c r="L956" s="696"/>
      <c r="M956" s="703"/>
      <c r="N956" s="967"/>
      <c r="O956" s="968"/>
      <c r="P956" s="969"/>
      <c r="Q956" s="970"/>
    </row>
    <row r="957" spans="1:17">
      <c r="A957" s="590" t="s">
        <v>424</v>
      </c>
      <c r="B957" s="678" t="s">
        <v>490</v>
      </c>
      <c r="C957" s="593">
        <v>1</v>
      </c>
      <c r="D957" s="662" t="s">
        <v>459</v>
      </c>
      <c r="E957" s="594"/>
      <c r="F957" s="595">
        <f>E957*C957</f>
        <v>0</v>
      </c>
      <c r="K957" s="1031">
        <f>K897+1</f>
        <v>17</v>
      </c>
      <c r="L957" s="696"/>
      <c r="M957" s="1032" t="s">
        <v>343</v>
      </c>
      <c r="N957" s="967"/>
      <c r="O957" s="1041"/>
      <c r="P957" s="969"/>
      <c r="Q957" s="970"/>
    </row>
    <row r="958" spans="1:17">
      <c r="A958" s="590"/>
      <c r="B958" s="678"/>
      <c r="C958" s="593"/>
      <c r="D958" s="662"/>
      <c r="E958" s="594"/>
      <c r="F958" s="595"/>
      <c r="K958" s="696"/>
      <c r="L958" s="696"/>
      <c r="M958" s="1075"/>
      <c r="N958" s="1076"/>
      <c r="O958" s="968"/>
      <c r="P958" s="969"/>
      <c r="Q958" s="970"/>
    </row>
    <row r="959" spans="1:17">
      <c r="A959" s="590" t="s">
        <v>426</v>
      </c>
      <c r="B959" s="678" t="s">
        <v>491</v>
      </c>
      <c r="C959" s="593">
        <v>1</v>
      </c>
      <c r="D959" s="662" t="s">
        <v>459</v>
      </c>
      <c r="E959" s="594"/>
      <c r="F959" s="595">
        <f>E959*C959</f>
        <v>0</v>
      </c>
      <c r="K959" s="696"/>
      <c r="L959" s="696"/>
      <c r="M959" s="1075" t="s">
        <v>468</v>
      </c>
      <c r="N959" s="1076" t="s">
        <v>283</v>
      </c>
      <c r="O959" s="968">
        <v>1</v>
      </c>
      <c r="P959" s="969"/>
      <c r="Q959" s="970">
        <f>P959*O959</f>
        <v>0</v>
      </c>
    </row>
    <row r="960" spans="1:17">
      <c r="A960" s="590"/>
      <c r="B960" s="661"/>
      <c r="C960" s="593"/>
      <c r="D960" s="662"/>
      <c r="E960" s="594"/>
      <c r="F960" s="595"/>
      <c r="K960" s="696"/>
      <c r="L960" s="696"/>
      <c r="M960" s="1075"/>
      <c r="N960" s="1076"/>
      <c r="O960" s="968"/>
      <c r="P960" s="969"/>
      <c r="Q960" s="970"/>
    </row>
    <row r="961" spans="1:17">
      <c r="A961" s="590" t="s">
        <v>428</v>
      </c>
      <c r="B961" s="678" t="s">
        <v>492</v>
      </c>
      <c r="C961" s="593">
        <v>1</v>
      </c>
      <c r="D961" s="662" t="s">
        <v>459</v>
      </c>
      <c r="E961" s="594"/>
      <c r="F961" s="595">
        <f>E961*C961</f>
        <v>0</v>
      </c>
      <c r="K961" s="696"/>
      <c r="L961" s="696"/>
      <c r="M961" s="1075" t="s">
        <v>469</v>
      </c>
      <c r="N961" s="1076" t="s">
        <v>283</v>
      </c>
      <c r="O961" s="968">
        <v>1</v>
      </c>
      <c r="P961" s="969"/>
      <c r="Q961" s="970">
        <f>P961*O961</f>
        <v>0</v>
      </c>
    </row>
    <row r="962" spans="1:17">
      <c r="A962" s="590"/>
      <c r="B962" s="678"/>
      <c r="C962" s="593"/>
      <c r="D962" s="662"/>
      <c r="E962" s="594"/>
      <c r="F962" s="595"/>
      <c r="K962" s="696"/>
      <c r="L962" s="696"/>
      <c r="M962" s="1075"/>
      <c r="N962" s="1076"/>
      <c r="O962" s="968"/>
      <c r="P962" s="969"/>
      <c r="Q962" s="970"/>
    </row>
    <row r="963" spans="1:17">
      <c r="A963" s="590" t="s">
        <v>430</v>
      </c>
      <c r="B963" s="678" t="s">
        <v>493</v>
      </c>
      <c r="C963" s="593">
        <v>1</v>
      </c>
      <c r="D963" s="662" t="s">
        <v>459</v>
      </c>
      <c r="E963" s="594"/>
      <c r="F963" s="595">
        <f>E963*C963</f>
        <v>0</v>
      </c>
      <c r="K963" s="696"/>
      <c r="L963" s="696"/>
      <c r="M963" s="1075" t="s">
        <v>470</v>
      </c>
      <c r="N963" s="1076" t="s">
        <v>283</v>
      </c>
      <c r="O963" s="968">
        <v>1</v>
      </c>
      <c r="P963" s="969"/>
      <c r="Q963" s="970">
        <f>P963*O963</f>
        <v>0</v>
      </c>
    </row>
    <row r="964" spans="1:17">
      <c r="A964" s="590"/>
      <c r="B964" s="661"/>
      <c r="C964" s="593"/>
      <c r="D964" s="662"/>
      <c r="E964" s="594"/>
      <c r="F964" s="595"/>
      <c r="K964" s="696"/>
      <c r="L964" s="696"/>
      <c r="M964" s="1075"/>
      <c r="N964" s="1076"/>
      <c r="O964" s="968"/>
      <c r="P964" s="969"/>
      <c r="Q964" s="970"/>
    </row>
    <row r="965" spans="1:17">
      <c r="A965" s="590"/>
      <c r="B965" s="661"/>
      <c r="C965" s="593"/>
      <c r="D965" s="662"/>
      <c r="E965" s="594"/>
      <c r="F965" s="595"/>
      <c r="K965" s="696"/>
      <c r="L965" s="696"/>
      <c r="M965" s="1075" t="s">
        <v>471</v>
      </c>
      <c r="N965" s="1076" t="s">
        <v>283</v>
      </c>
      <c r="O965" s="968">
        <v>1</v>
      </c>
      <c r="P965" s="969"/>
      <c r="Q965" s="970">
        <f>P965*O965</f>
        <v>0</v>
      </c>
    </row>
    <row r="966" spans="1:17">
      <c r="A966" s="590"/>
      <c r="B966" s="661"/>
      <c r="C966" s="593"/>
      <c r="D966" s="662"/>
      <c r="E966" s="594"/>
      <c r="F966" s="595"/>
      <c r="K966" s="696"/>
      <c r="L966" s="696"/>
      <c r="M966" s="1075"/>
      <c r="N966" s="1076"/>
      <c r="O966" s="968"/>
      <c r="P966" s="969"/>
      <c r="Q966" s="970"/>
    </row>
    <row r="967" spans="1:17">
      <c r="A967" s="590"/>
      <c r="B967" s="661"/>
      <c r="C967" s="593"/>
      <c r="D967" s="662"/>
      <c r="E967" s="594"/>
      <c r="F967" s="595"/>
      <c r="K967" s="696"/>
      <c r="L967" s="696"/>
      <c r="M967" s="1075" t="s">
        <v>472</v>
      </c>
      <c r="N967" s="1076" t="s">
        <v>283</v>
      </c>
      <c r="O967" s="968">
        <v>1</v>
      </c>
      <c r="P967" s="969"/>
      <c r="Q967" s="970">
        <f>P967*O967</f>
        <v>0</v>
      </c>
    </row>
    <row r="968" spans="1:17">
      <c r="A968" s="590"/>
      <c r="B968" s="661"/>
      <c r="C968" s="593"/>
      <c r="D968" s="662"/>
      <c r="E968" s="594"/>
      <c r="F968" s="595"/>
      <c r="K968" s="696"/>
      <c r="L968" s="696"/>
      <c r="M968" s="1075"/>
      <c r="N968" s="1076"/>
      <c r="O968" s="968"/>
      <c r="P968" s="969"/>
      <c r="Q968" s="970"/>
    </row>
    <row r="969" spans="1:17">
      <c r="A969" s="590"/>
      <c r="B969" s="661"/>
      <c r="C969" s="593"/>
      <c r="D969" s="662"/>
      <c r="E969" s="594"/>
      <c r="F969" s="595"/>
      <c r="K969" s="696"/>
      <c r="L969" s="696"/>
      <c r="M969" s="1075" t="s">
        <v>473</v>
      </c>
      <c r="N969" s="1076" t="s">
        <v>283</v>
      </c>
      <c r="O969" s="968">
        <v>1</v>
      </c>
      <c r="P969" s="969"/>
      <c r="Q969" s="970">
        <f>P969*O969</f>
        <v>0</v>
      </c>
    </row>
    <row r="970" spans="1:17">
      <c r="A970" s="590"/>
      <c r="B970" s="661"/>
      <c r="C970" s="593"/>
      <c r="D970" s="662"/>
      <c r="E970" s="594"/>
      <c r="F970" s="595"/>
      <c r="K970" s="696"/>
      <c r="L970" s="696"/>
      <c r="M970" s="1075"/>
      <c r="N970" s="1076"/>
      <c r="O970" s="968"/>
      <c r="P970" s="969"/>
      <c r="Q970" s="970"/>
    </row>
    <row r="971" spans="1:17">
      <c r="A971" s="590"/>
      <c r="B971" s="661"/>
      <c r="C971" s="593"/>
      <c r="D971" s="662"/>
      <c r="E971" s="594"/>
      <c r="F971" s="595"/>
      <c r="K971" s="696"/>
      <c r="L971" s="696"/>
      <c r="M971" s="1075" t="s">
        <v>474</v>
      </c>
      <c r="N971" s="1076" t="s">
        <v>283</v>
      </c>
      <c r="O971" s="968">
        <v>1</v>
      </c>
      <c r="P971" s="969"/>
      <c r="Q971" s="970">
        <f>P971*O971</f>
        <v>0</v>
      </c>
    </row>
    <row r="972" spans="1:17">
      <c r="A972" s="590"/>
      <c r="B972" s="661"/>
      <c r="C972" s="593"/>
      <c r="D972" s="662"/>
      <c r="E972" s="594"/>
      <c r="F972" s="595"/>
      <c r="K972" s="696"/>
      <c r="L972" s="696"/>
      <c r="M972" s="1075"/>
      <c r="N972" s="1076"/>
      <c r="O972" s="968"/>
      <c r="P972" s="969"/>
      <c r="Q972" s="970"/>
    </row>
    <row r="973" spans="1:17">
      <c r="A973" s="590"/>
      <c r="B973" s="661"/>
      <c r="C973" s="593"/>
      <c r="D973" s="662"/>
      <c r="E973" s="594"/>
      <c r="F973" s="595"/>
      <c r="K973" s="696"/>
      <c r="L973" s="696"/>
      <c r="M973" s="1075" t="s">
        <v>475</v>
      </c>
      <c r="N973" s="1076" t="s">
        <v>283</v>
      </c>
      <c r="O973" s="968">
        <v>1</v>
      </c>
      <c r="P973" s="969"/>
      <c r="Q973" s="970">
        <f>P973*O973</f>
        <v>0</v>
      </c>
    </row>
    <row r="974" spans="1:17">
      <c r="A974" s="590"/>
      <c r="B974" s="661"/>
      <c r="C974" s="593"/>
      <c r="D974" s="662"/>
      <c r="E974" s="594"/>
      <c r="F974" s="595"/>
      <c r="K974" s="696"/>
      <c r="L974" s="696"/>
      <c r="M974" s="1075"/>
      <c r="N974" s="1076"/>
      <c r="O974" s="968"/>
      <c r="P974" s="969"/>
      <c r="Q974" s="970"/>
    </row>
    <row r="975" spans="1:17">
      <c r="A975" s="590"/>
      <c r="B975" s="661"/>
      <c r="C975" s="593"/>
      <c r="D975" s="662"/>
      <c r="E975" s="594"/>
      <c r="F975" s="595"/>
      <c r="K975" s="696"/>
      <c r="L975" s="696"/>
      <c r="M975" s="1075" t="s">
        <v>476</v>
      </c>
      <c r="N975" s="1076" t="s">
        <v>283</v>
      </c>
      <c r="O975" s="968">
        <v>1</v>
      </c>
      <c r="P975" s="969"/>
      <c r="Q975" s="970">
        <f>P975*O975</f>
        <v>0</v>
      </c>
    </row>
    <row r="976" spans="1:17">
      <c r="A976" s="590"/>
      <c r="B976" s="661"/>
      <c r="C976" s="593"/>
      <c r="D976" s="662"/>
      <c r="E976" s="594"/>
      <c r="F976" s="595"/>
      <c r="K976" s="696"/>
      <c r="L976" s="696"/>
      <c r="M976" s="1075"/>
      <c r="N976" s="1076"/>
      <c r="O976" s="968"/>
      <c r="P976" s="969"/>
      <c r="Q976" s="970"/>
    </row>
    <row r="977" spans="1:17">
      <c r="A977" s="590"/>
      <c r="B977" s="661"/>
      <c r="C977" s="593"/>
      <c r="D977" s="662"/>
      <c r="E977" s="594"/>
      <c r="F977" s="595"/>
      <c r="K977" s="696"/>
      <c r="L977" s="696"/>
      <c r="M977" s="1075" t="s">
        <v>477</v>
      </c>
      <c r="N977" s="1076" t="s">
        <v>283</v>
      </c>
      <c r="O977" s="968">
        <v>1</v>
      </c>
      <c r="P977" s="969"/>
      <c r="Q977" s="970">
        <f>P977*O977</f>
        <v>0</v>
      </c>
    </row>
    <row r="978" spans="1:17">
      <c r="A978" s="590"/>
      <c r="B978" s="661"/>
      <c r="C978" s="593"/>
      <c r="D978" s="662"/>
      <c r="E978" s="594"/>
      <c r="F978" s="595"/>
      <c r="K978" s="696"/>
      <c r="L978" s="696"/>
      <c r="M978" s="1075"/>
      <c r="N978" s="1076"/>
      <c r="O978" s="968"/>
      <c r="P978" s="969"/>
      <c r="Q978" s="970"/>
    </row>
    <row r="979" spans="1:17">
      <c r="A979" s="590"/>
      <c r="B979" s="661"/>
      <c r="C979" s="593"/>
      <c r="D979" s="662"/>
      <c r="E979" s="594"/>
      <c r="F979" s="595"/>
      <c r="K979" s="696"/>
      <c r="L979" s="696"/>
      <c r="M979" s="1075"/>
      <c r="N979" s="1076"/>
      <c r="O979" s="968"/>
      <c r="P979" s="969"/>
      <c r="Q979" s="970"/>
    </row>
    <row r="980" spans="1:17">
      <c r="A980" s="590"/>
      <c r="B980" s="661"/>
      <c r="C980" s="593"/>
      <c r="D980" s="662"/>
      <c r="E980" s="594"/>
      <c r="F980" s="595"/>
      <c r="K980" s="696"/>
      <c r="L980" s="696"/>
      <c r="M980" s="1075"/>
      <c r="N980" s="1076"/>
      <c r="O980" s="968"/>
      <c r="P980" s="969"/>
      <c r="Q980" s="970"/>
    </row>
    <row r="981" spans="1:17">
      <c r="A981" s="590"/>
      <c r="B981" s="661"/>
      <c r="C981" s="593"/>
      <c r="D981" s="662"/>
      <c r="E981" s="594"/>
      <c r="F981" s="595"/>
      <c r="K981" s="696"/>
      <c r="L981" s="696"/>
      <c r="M981" s="1075"/>
      <c r="N981" s="1076"/>
      <c r="O981" s="968"/>
      <c r="P981" s="969"/>
      <c r="Q981" s="970"/>
    </row>
    <row r="982" spans="1:17">
      <c r="A982" s="590"/>
      <c r="B982" s="661"/>
      <c r="C982" s="593"/>
      <c r="D982" s="662"/>
      <c r="E982" s="594"/>
      <c r="F982" s="595"/>
      <c r="K982" s="696"/>
      <c r="L982" s="696"/>
      <c r="M982" s="1075"/>
      <c r="N982" s="1076"/>
      <c r="O982" s="968"/>
      <c r="P982" s="969"/>
      <c r="Q982" s="970"/>
    </row>
    <row r="983" spans="1:17">
      <c r="A983" s="590"/>
      <c r="B983" s="661"/>
      <c r="C983" s="593"/>
      <c r="D983" s="662"/>
      <c r="E983" s="594"/>
      <c r="F983" s="595"/>
      <c r="K983" s="696"/>
      <c r="L983" s="696"/>
      <c r="M983" s="1075"/>
      <c r="N983" s="1076"/>
      <c r="O983" s="968"/>
      <c r="P983" s="969"/>
      <c r="Q983" s="970"/>
    </row>
    <row r="984" spans="1:17">
      <c r="A984" s="590"/>
      <c r="B984" s="661"/>
      <c r="C984" s="593"/>
      <c r="D984" s="662"/>
      <c r="E984" s="594"/>
      <c r="F984" s="595"/>
      <c r="K984" s="696"/>
      <c r="L984" s="696"/>
      <c r="M984" s="1075"/>
      <c r="N984" s="1076"/>
      <c r="O984" s="968"/>
      <c r="P984" s="969"/>
      <c r="Q984" s="970"/>
    </row>
    <row r="985" spans="1:17">
      <c r="A985" s="590"/>
      <c r="B985" s="661"/>
      <c r="C985" s="593"/>
      <c r="D985" s="662"/>
      <c r="E985" s="594"/>
      <c r="F985" s="595"/>
      <c r="K985" s="696"/>
      <c r="L985" s="696"/>
      <c r="M985" s="1075"/>
      <c r="N985" s="1076"/>
      <c r="O985" s="968"/>
      <c r="P985" s="969"/>
      <c r="Q985" s="970"/>
    </row>
    <row r="986" spans="1:17">
      <c r="A986" s="590"/>
      <c r="B986" s="661"/>
      <c r="C986" s="593"/>
      <c r="D986" s="662"/>
      <c r="E986" s="594"/>
      <c r="F986" s="595"/>
      <c r="K986" s="696"/>
      <c r="L986" s="696"/>
      <c r="M986" s="1075"/>
      <c r="N986" s="1076"/>
      <c r="O986" s="968"/>
      <c r="P986" s="969"/>
      <c r="Q986" s="970"/>
    </row>
    <row r="987" spans="1:17">
      <c r="A987" s="590"/>
      <c r="B987" s="661"/>
      <c r="C987" s="593"/>
      <c r="D987" s="662"/>
      <c r="E987" s="594"/>
      <c r="F987" s="595"/>
      <c r="K987" s="696"/>
      <c r="L987" s="696"/>
      <c r="M987" s="1075"/>
      <c r="N987" s="1076"/>
      <c r="O987" s="968"/>
      <c r="P987" s="969"/>
      <c r="Q987" s="970"/>
    </row>
    <row r="988" spans="1:17">
      <c r="A988" s="590"/>
      <c r="B988" s="661"/>
      <c r="C988" s="593"/>
      <c r="D988" s="662"/>
      <c r="E988" s="594"/>
      <c r="F988" s="595"/>
      <c r="K988" s="696"/>
      <c r="L988" s="696"/>
      <c r="M988" s="1075"/>
      <c r="N988" s="1076"/>
      <c r="O988" s="968"/>
      <c r="P988" s="969"/>
      <c r="Q988" s="970"/>
    </row>
    <row r="989" spans="1:17">
      <c r="A989" s="590"/>
      <c r="B989" s="661"/>
      <c r="C989" s="593"/>
      <c r="D989" s="662"/>
      <c r="E989" s="594"/>
      <c r="F989" s="595"/>
      <c r="K989" s="696"/>
      <c r="L989" s="696"/>
      <c r="M989" s="1075"/>
      <c r="N989" s="1076"/>
      <c r="O989" s="968"/>
      <c r="P989" s="969"/>
      <c r="Q989" s="970"/>
    </row>
    <row r="990" spans="1:17">
      <c r="A990" s="590"/>
      <c r="B990" s="661"/>
      <c r="C990" s="593"/>
      <c r="D990" s="662"/>
      <c r="E990" s="594"/>
      <c r="F990" s="595"/>
      <c r="K990" s="696"/>
      <c r="L990" s="696"/>
      <c r="M990" s="1075"/>
      <c r="N990" s="1076"/>
      <c r="O990" s="968"/>
      <c r="P990" s="969"/>
      <c r="Q990" s="970"/>
    </row>
    <row r="991" spans="1:17">
      <c r="A991" s="590"/>
      <c r="B991" s="661"/>
      <c r="C991" s="593"/>
      <c r="D991" s="662"/>
      <c r="E991" s="594"/>
      <c r="F991" s="595"/>
      <c r="K991" s="696"/>
      <c r="L991" s="696"/>
      <c r="M991" s="1075"/>
      <c r="N991" s="1076"/>
      <c r="O991" s="968"/>
      <c r="P991" s="969"/>
      <c r="Q991" s="970"/>
    </row>
    <row r="992" spans="1:17">
      <c r="A992" s="590"/>
      <c r="B992" s="661"/>
      <c r="C992" s="593"/>
      <c r="D992" s="662"/>
      <c r="E992" s="594"/>
      <c r="F992" s="595"/>
      <c r="K992" s="696"/>
      <c r="L992" s="696"/>
      <c r="M992" s="1075"/>
      <c r="N992" s="1076"/>
      <c r="O992" s="968"/>
      <c r="P992" s="969"/>
      <c r="Q992" s="970"/>
    </row>
    <row r="993" spans="1:17">
      <c r="A993" s="590"/>
      <c r="B993" s="661"/>
      <c r="C993" s="593"/>
      <c r="D993" s="662"/>
      <c r="E993" s="594"/>
      <c r="F993" s="595"/>
      <c r="K993" s="696"/>
      <c r="L993" s="696"/>
      <c r="M993" s="1075"/>
      <c r="N993" s="1076"/>
      <c r="O993" s="968"/>
      <c r="P993" s="969"/>
      <c r="Q993" s="970"/>
    </row>
    <row r="994" spans="1:17">
      <c r="A994" s="590"/>
      <c r="B994" s="661"/>
      <c r="C994" s="593"/>
      <c r="D994" s="662"/>
      <c r="E994" s="594"/>
      <c r="F994" s="595"/>
      <c r="K994" s="696"/>
      <c r="L994" s="696"/>
      <c r="M994" s="1075"/>
      <c r="N994" s="1076"/>
      <c r="O994" s="968"/>
      <c r="P994" s="969"/>
      <c r="Q994" s="970"/>
    </row>
    <row r="995" spans="1:17" ht="15" thickBot="1">
      <c r="A995" s="590"/>
      <c r="B995" s="661"/>
      <c r="C995" s="593"/>
      <c r="D995" s="662"/>
      <c r="E995" s="594"/>
      <c r="F995" s="595"/>
      <c r="K995" s="696"/>
      <c r="L995" s="696"/>
      <c r="M995" s="1075"/>
      <c r="N995" s="1076"/>
      <c r="O995" s="968"/>
      <c r="P995" s="969"/>
      <c r="Q995" s="970"/>
    </row>
    <row r="996" spans="1:17">
      <c r="A996" s="612"/>
      <c r="B996" s="613"/>
      <c r="C996" s="615"/>
      <c r="D996" s="614"/>
      <c r="E996" s="616"/>
      <c r="F996" s="617"/>
      <c r="K996" s="696"/>
      <c r="L996" s="696"/>
      <c r="M996" s="1075"/>
      <c r="N996" s="1076"/>
      <c r="O996" s="968"/>
      <c r="P996" s="969"/>
      <c r="Q996" s="970"/>
    </row>
    <row r="997" spans="1:17">
      <c r="A997" s="618" t="s">
        <v>310</v>
      </c>
      <c r="B997" s="619" t="s">
        <v>289</v>
      </c>
      <c r="C997" s="621"/>
      <c r="D997" s="620"/>
      <c r="E997" s="622"/>
      <c r="F997" s="623">
        <f>SUM(F944:F995)</f>
        <v>0</v>
      </c>
      <c r="H997" s="645"/>
      <c r="K997" s="696"/>
      <c r="L997" s="696"/>
      <c r="M997" s="1075"/>
      <c r="N997" s="1076"/>
      <c r="O997" s="968"/>
      <c r="P997" s="969"/>
      <c r="Q997" s="970"/>
    </row>
    <row r="998" spans="1:17">
      <c r="A998" s="624"/>
      <c r="B998" s="625"/>
      <c r="C998" s="627"/>
      <c r="D998" s="626"/>
      <c r="E998" s="628"/>
      <c r="F998" s="629"/>
      <c r="K998" s="696"/>
      <c r="L998" s="696"/>
      <c r="M998" s="1075"/>
      <c r="N998" s="1076"/>
      <c r="O998" s="968"/>
      <c r="P998" s="969"/>
      <c r="Q998" s="970"/>
    </row>
    <row r="999" spans="1:17" ht="17.399999999999999">
      <c r="A999" s="568"/>
      <c r="B999" s="569"/>
      <c r="C999" s="570"/>
      <c r="D999" s="569"/>
      <c r="E999" s="571"/>
      <c r="F999" s="572"/>
      <c r="K999" s="696"/>
      <c r="L999" s="696"/>
      <c r="M999" s="1075"/>
      <c r="N999" s="1076"/>
      <c r="O999" s="968"/>
      <c r="P999" s="969"/>
      <c r="Q999" s="970"/>
    </row>
    <row r="1000" spans="1:17">
      <c r="A1000" s="574"/>
      <c r="B1000" s="575"/>
      <c r="C1000" s="576"/>
      <c r="D1000" s="575"/>
      <c r="E1000" s="577"/>
      <c r="F1000" s="578"/>
      <c r="K1000" s="696"/>
      <c r="L1000" s="696"/>
      <c r="M1000" s="1075"/>
      <c r="N1000" s="1076"/>
      <c r="O1000" s="968"/>
      <c r="P1000" s="969"/>
      <c r="Q1000" s="970"/>
    </row>
    <row r="1001" spans="1:17">
      <c r="A1001" s="574"/>
      <c r="B1001" s="575"/>
      <c r="C1001" s="576"/>
      <c r="D1001" s="575"/>
      <c r="E1001" s="577"/>
      <c r="F1001" s="578"/>
      <c r="K1001" s="696"/>
      <c r="L1001" s="696"/>
      <c r="M1001" s="1075"/>
      <c r="N1001" s="1076"/>
      <c r="O1001" s="968"/>
      <c r="P1001" s="969"/>
      <c r="Q1001" s="970"/>
    </row>
    <row r="1002" spans="1:17">
      <c r="A1002" s="579"/>
      <c r="B1002" s="580"/>
      <c r="C1002" s="581"/>
      <c r="D1002" s="580"/>
      <c r="E1002" s="582"/>
      <c r="F1002" s="583"/>
      <c r="K1002" s="696"/>
      <c r="L1002" s="696"/>
      <c r="M1002" s="1075"/>
      <c r="N1002" s="1076"/>
      <c r="O1002" s="968"/>
      <c r="P1002" s="969"/>
      <c r="Q1002" s="970"/>
    </row>
    <row r="1003" spans="1:17" ht="15" thickBot="1">
      <c r="A1003" s="584" t="s">
        <v>276</v>
      </c>
      <c r="B1003" s="585"/>
      <c r="C1003" s="587" t="s">
        <v>277</v>
      </c>
      <c r="D1003" s="586" t="s">
        <v>266</v>
      </c>
      <c r="E1003" s="588" t="s">
        <v>278</v>
      </c>
      <c r="F1003" s="589" t="s">
        <v>267</v>
      </c>
      <c r="K1003" s="696"/>
      <c r="L1003" s="696"/>
      <c r="M1003" s="1075"/>
      <c r="N1003" s="1076"/>
      <c r="O1003" s="968"/>
      <c r="P1003" s="969"/>
      <c r="Q1003" s="970"/>
    </row>
    <row r="1004" spans="1:17">
      <c r="A1004" s="590"/>
      <c r="B1004" s="591"/>
      <c r="C1004" s="593"/>
      <c r="D1004" s="592"/>
      <c r="E1004" s="594"/>
      <c r="F1004" s="595"/>
      <c r="K1004" s="696"/>
      <c r="L1004" s="696"/>
      <c r="M1004" s="1075"/>
      <c r="N1004" s="1076"/>
      <c r="O1004" s="968"/>
      <c r="P1004" s="969"/>
      <c r="Q1004" s="970"/>
    </row>
    <row r="1005" spans="1:17">
      <c r="A1005" s="652" t="s">
        <v>321</v>
      </c>
      <c r="B1005" s="651" t="s">
        <v>343</v>
      </c>
      <c r="C1005" s="610"/>
      <c r="D1005" s="592"/>
      <c r="E1005" s="594"/>
      <c r="F1005" s="595"/>
      <c r="K1005" s="696"/>
      <c r="L1005" s="696"/>
      <c r="M1005" s="1075"/>
      <c r="N1005" s="1076"/>
      <c r="O1005" s="968"/>
      <c r="P1005" s="969"/>
      <c r="Q1005" s="970"/>
    </row>
    <row r="1006" spans="1:17">
      <c r="A1006" s="590"/>
      <c r="B1006" s="661"/>
      <c r="C1006" s="593"/>
      <c r="D1006" s="662"/>
      <c r="E1006" s="594"/>
      <c r="F1006" s="595"/>
      <c r="K1006" s="696"/>
      <c r="L1006" s="696"/>
      <c r="M1006" s="1075"/>
      <c r="N1006" s="1076"/>
      <c r="O1006" s="968"/>
      <c r="P1006" s="969"/>
      <c r="Q1006" s="970"/>
    </row>
    <row r="1007" spans="1:17" ht="15" thickBot="1">
      <c r="A1007" s="590" t="s">
        <v>294</v>
      </c>
      <c r="B1007" s="661" t="s">
        <v>468</v>
      </c>
      <c r="C1007" s="593">
        <v>1</v>
      </c>
      <c r="D1007" s="662" t="s">
        <v>283</v>
      </c>
      <c r="E1007" s="594"/>
      <c r="F1007" s="595">
        <f>E1007*C1007</f>
        <v>0</v>
      </c>
      <c r="K1007" s="696"/>
      <c r="L1007" s="696"/>
      <c r="M1007" s="1075"/>
      <c r="N1007" s="1076"/>
      <c r="O1007" s="968"/>
      <c r="P1007" s="969"/>
      <c r="Q1007" s="970"/>
    </row>
    <row r="1008" spans="1:17">
      <c r="A1008" s="590"/>
      <c r="B1008" s="661"/>
      <c r="C1008" s="593"/>
      <c r="D1008" s="662"/>
      <c r="E1008" s="594"/>
      <c r="F1008" s="595"/>
      <c r="K1008" s="1014"/>
      <c r="L1008" s="1014"/>
      <c r="M1008" s="1015"/>
      <c r="N1008" s="1016"/>
      <c r="O1008" s="1017"/>
      <c r="P1008" s="1018"/>
      <c r="Q1008" s="1019"/>
    </row>
    <row r="1009" spans="1:17">
      <c r="A1009" s="590" t="s">
        <v>339</v>
      </c>
      <c r="B1009" s="661" t="s">
        <v>469</v>
      </c>
      <c r="C1009" s="593">
        <v>1</v>
      </c>
      <c r="D1009" s="662" t="s">
        <v>283</v>
      </c>
      <c r="E1009" s="594"/>
      <c r="F1009" s="595">
        <f>E1009*C1009</f>
        <v>0</v>
      </c>
      <c r="K1009" s="1020"/>
      <c r="L1009" s="1020"/>
      <c r="M1009" s="1021" t="s">
        <v>289</v>
      </c>
      <c r="N1009" s="1022"/>
      <c r="O1009" s="1023"/>
      <c r="P1009" s="1024"/>
      <c r="Q1009" s="1010">
        <f>SUM(Q956:Q1007)</f>
        <v>0</v>
      </c>
    </row>
    <row r="1010" spans="1:17">
      <c r="A1010" s="590"/>
      <c r="B1010" s="661"/>
      <c r="C1010" s="593"/>
      <c r="D1010" s="662"/>
      <c r="E1010" s="594"/>
      <c r="F1010" s="595"/>
      <c r="K1010" s="1025"/>
      <c r="L1010" s="1025"/>
      <c r="M1010" s="1026"/>
      <c r="N1010" s="1027"/>
      <c r="O1010" s="1028"/>
      <c r="P1010" s="1029"/>
      <c r="Q1010" s="1030"/>
    </row>
    <row r="1011" spans="1:17" ht="17.399999999999999">
      <c r="A1011" s="590" t="s">
        <v>340</v>
      </c>
      <c r="B1011" s="661" t="s">
        <v>470</v>
      </c>
      <c r="C1011" s="593">
        <v>1</v>
      </c>
      <c r="D1011" s="662" t="s">
        <v>283</v>
      </c>
      <c r="E1011" s="594"/>
      <c r="F1011" s="595">
        <f>E1011*C1011</f>
        <v>0</v>
      </c>
      <c r="K1011" s="980"/>
      <c r="L1011" s="981"/>
      <c r="M1011" s="1077"/>
      <c r="N1011" s="982"/>
      <c r="O1011" s="983"/>
      <c r="P1011" s="984"/>
      <c r="Q1011" s="985"/>
    </row>
    <row r="1012" spans="1:17">
      <c r="A1012" s="590"/>
      <c r="B1012" s="661"/>
      <c r="C1012" s="593"/>
      <c r="D1012" s="662"/>
      <c r="E1012" s="594"/>
      <c r="F1012" s="595"/>
      <c r="K1012" s="986"/>
      <c r="L1012" s="987"/>
      <c r="M1012" s="1078"/>
      <c r="N1012" s="988"/>
      <c r="O1012" s="989"/>
      <c r="P1012" s="990"/>
      <c r="Q1012" s="991"/>
    </row>
    <row r="1013" spans="1:17">
      <c r="A1013" s="590" t="s">
        <v>409</v>
      </c>
      <c r="B1013" s="661" t="s">
        <v>471</v>
      </c>
      <c r="C1013" s="593">
        <v>1</v>
      </c>
      <c r="D1013" s="662" t="s">
        <v>283</v>
      </c>
      <c r="E1013" s="594"/>
      <c r="F1013" s="595">
        <f>E1013*C1013</f>
        <v>0</v>
      </c>
      <c r="K1013" s="986"/>
      <c r="L1013" s="987"/>
      <c r="M1013" s="1078"/>
      <c r="N1013" s="988"/>
      <c r="O1013" s="989"/>
      <c r="P1013" s="990"/>
      <c r="Q1013" s="991"/>
    </row>
    <row r="1014" spans="1:17">
      <c r="A1014" s="590"/>
      <c r="B1014" s="661"/>
      <c r="C1014" s="593"/>
      <c r="D1014" s="662"/>
      <c r="E1014" s="594"/>
      <c r="F1014" s="595"/>
      <c r="K1014" s="1020"/>
      <c r="L1014" s="993"/>
      <c r="M1014" s="959"/>
      <c r="N1014" s="543"/>
      <c r="O1014" s="994"/>
      <c r="P1014" s="995"/>
      <c r="Q1014" s="996"/>
    </row>
    <row r="1015" spans="1:17" ht="15" thickBot="1">
      <c r="A1015" s="590" t="s">
        <v>416</v>
      </c>
      <c r="B1015" s="661" t="s">
        <v>472</v>
      </c>
      <c r="C1015" s="593">
        <v>1</v>
      </c>
      <c r="D1015" s="662" t="s">
        <v>283</v>
      </c>
      <c r="E1015" s="594"/>
      <c r="F1015" s="595">
        <f>E1015*C1015</f>
        <v>0</v>
      </c>
      <c r="K1015" s="997" t="s">
        <v>276</v>
      </c>
      <c r="L1015" s="998" t="s">
        <v>887</v>
      </c>
      <c r="M1015" s="999"/>
      <c r="N1015" s="1000" t="s">
        <v>266</v>
      </c>
      <c r="O1015" s="1001" t="s">
        <v>277</v>
      </c>
      <c r="P1015" s="1002" t="s">
        <v>278</v>
      </c>
      <c r="Q1015" s="1003" t="s">
        <v>267</v>
      </c>
    </row>
    <row r="1016" spans="1:17">
      <c r="A1016" s="590"/>
      <c r="B1016" s="661"/>
      <c r="C1016" s="593"/>
      <c r="D1016" s="662"/>
      <c r="E1016" s="594"/>
      <c r="F1016" s="595"/>
      <c r="K1016" s="696"/>
      <c r="L1016" s="696"/>
      <c r="M1016" s="1075"/>
      <c r="N1016" s="1076"/>
      <c r="O1016" s="968"/>
      <c r="P1016" s="969"/>
      <c r="Q1016" s="970"/>
    </row>
    <row r="1017" spans="1:17">
      <c r="A1017" s="590" t="s">
        <v>424</v>
      </c>
      <c r="B1017" s="661" t="s">
        <v>473</v>
      </c>
      <c r="C1017" s="593">
        <v>1</v>
      </c>
      <c r="D1017" s="662" t="s">
        <v>283</v>
      </c>
      <c r="E1017" s="594"/>
      <c r="F1017" s="595">
        <f>E1017*C1017</f>
        <v>0</v>
      </c>
      <c r="K1017" s="1031">
        <f>K957+1</f>
        <v>18</v>
      </c>
      <c r="L1017" s="696"/>
      <c r="M1017" s="1082" t="s">
        <v>343</v>
      </c>
      <c r="N1017" s="1076"/>
      <c r="O1017" s="968"/>
      <c r="P1017" s="969"/>
      <c r="Q1017" s="970"/>
    </row>
    <row r="1018" spans="1:17">
      <c r="A1018" s="590"/>
      <c r="B1018" s="661"/>
      <c r="C1018" s="593"/>
      <c r="D1018" s="662"/>
      <c r="E1018" s="594"/>
      <c r="F1018" s="595"/>
      <c r="K1018" s="696"/>
      <c r="L1018" s="696"/>
      <c r="M1018" s="1075"/>
      <c r="N1018" s="1076"/>
      <c r="O1018" s="968"/>
      <c r="P1018" s="969"/>
      <c r="Q1018" s="970"/>
    </row>
    <row r="1019" spans="1:17">
      <c r="A1019" s="590" t="s">
        <v>426</v>
      </c>
      <c r="B1019" s="661" t="s">
        <v>474</v>
      </c>
      <c r="C1019" s="593">
        <v>1</v>
      </c>
      <c r="D1019" s="662" t="s">
        <v>283</v>
      </c>
      <c r="E1019" s="594"/>
      <c r="F1019" s="595">
        <f>E1019*C1019</f>
        <v>0</v>
      </c>
      <c r="K1019" s="696"/>
      <c r="L1019" s="696"/>
      <c r="M1019" s="1075" t="s">
        <v>478</v>
      </c>
      <c r="N1019" s="1076" t="s">
        <v>283</v>
      </c>
      <c r="O1019" s="968">
        <v>1</v>
      </c>
      <c r="P1019" s="969"/>
      <c r="Q1019" s="970">
        <f>P1019*O1019</f>
        <v>0</v>
      </c>
    </row>
    <row r="1020" spans="1:17">
      <c r="A1020" s="590"/>
      <c r="B1020" s="661"/>
      <c r="C1020" s="593"/>
      <c r="D1020" s="662"/>
      <c r="E1020" s="594"/>
      <c r="F1020" s="595"/>
      <c r="K1020" s="696"/>
      <c r="L1020" s="696"/>
      <c r="M1020" s="1075"/>
      <c r="N1020" s="1076"/>
      <c r="O1020" s="968"/>
      <c r="P1020" s="969"/>
      <c r="Q1020" s="970"/>
    </row>
    <row r="1021" spans="1:17">
      <c r="A1021" s="590" t="s">
        <v>428</v>
      </c>
      <c r="B1021" s="661" t="s">
        <v>475</v>
      </c>
      <c r="C1021" s="593">
        <v>1</v>
      </c>
      <c r="D1021" s="662" t="s">
        <v>283</v>
      </c>
      <c r="E1021" s="594"/>
      <c r="F1021" s="595">
        <f>E1021*C1021</f>
        <v>0</v>
      </c>
      <c r="K1021" s="696"/>
      <c r="L1021" s="696"/>
      <c r="M1021" s="1075" t="s">
        <v>479</v>
      </c>
      <c r="N1021" s="1076" t="s">
        <v>283</v>
      </c>
      <c r="O1021" s="968">
        <v>1</v>
      </c>
      <c r="P1021" s="969"/>
      <c r="Q1021" s="970">
        <f>P1021*O1021</f>
        <v>0</v>
      </c>
    </row>
    <row r="1022" spans="1:17">
      <c r="A1022" s="590"/>
      <c r="B1022" s="661"/>
      <c r="C1022" s="593"/>
      <c r="D1022" s="662"/>
      <c r="E1022" s="594"/>
      <c r="F1022" s="595"/>
      <c r="K1022" s="696"/>
      <c r="L1022" s="696"/>
      <c r="M1022" s="1075"/>
      <c r="N1022" s="1076"/>
      <c r="O1022" s="968"/>
      <c r="P1022" s="969"/>
      <c r="Q1022" s="970"/>
    </row>
    <row r="1023" spans="1:17">
      <c r="A1023" s="590" t="s">
        <v>430</v>
      </c>
      <c r="B1023" s="661" t="s">
        <v>476</v>
      </c>
      <c r="C1023" s="593">
        <v>1</v>
      </c>
      <c r="D1023" s="662" t="s">
        <v>283</v>
      </c>
      <c r="E1023" s="594"/>
      <c r="F1023" s="595">
        <f>E1023*C1023</f>
        <v>0</v>
      </c>
      <c r="K1023" s="696"/>
      <c r="L1023" s="696"/>
      <c r="M1023" s="1075" t="s">
        <v>480</v>
      </c>
      <c r="N1023" s="1076" t="s">
        <v>283</v>
      </c>
      <c r="O1023" s="968">
        <v>1</v>
      </c>
      <c r="P1023" s="969"/>
      <c r="Q1023" s="970">
        <f>P1023*O1023</f>
        <v>0</v>
      </c>
    </row>
    <row r="1024" spans="1:17">
      <c r="A1024" s="590"/>
      <c r="B1024" s="661"/>
      <c r="C1024" s="593"/>
      <c r="D1024" s="662"/>
      <c r="E1024" s="594"/>
      <c r="F1024" s="595"/>
      <c r="K1024" s="696"/>
      <c r="L1024" s="696"/>
      <c r="M1024" s="1075"/>
      <c r="N1024" s="1076"/>
      <c r="O1024" s="968"/>
      <c r="P1024" s="969"/>
      <c r="Q1024" s="970"/>
    </row>
    <row r="1025" spans="1:17">
      <c r="A1025" s="590" t="s">
        <v>432</v>
      </c>
      <c r="B1025" s="661" t="s">
        <v>477</v>
      </c>
      <c r="C1025" s="593">
        <v>1</v>
      </c>
      <c r="D1025" s="662" t="s">
        <v>283</v>
      </c>
      <c r="E1025" s="594"/>
      <c r="F1025" s="595">
        <f>E1025*C1025</f>
        <v>0</v>
      </c>
      <c r="K1025" s="696"/>
      <c r="L1025" s="696"/>
      <c r="M1025" s="1075" t="s">
        <v>481</v>
      </c>
      <c r="N1025" s="1076" t="s">
        <v>283</v>
      </c>
      <c r="O1025" s="968">
        <v>1</v>
      </c>
      <c r="P1025" s="969"/>
      <c r="Q1025" s="970">
        <f>P1025*O1025</f>
        <v>0</v>
      </c>
    </row>
    <row r="1026" spans="1:17">
      <c r="A1026" s="590"/>
      <c r="B1026" s="661"/>
      <c r="C1026" s="593"/>
      <c r="D1026" s="662"/>
      <c r="E1026" s="594"/>
      <c r="F1026" s="595"/>
      <c r="K1026" s="696"/>
      <c r="L1026" s="696"/>
      <c r="M1026" s="1075"/>
      <c r="N1026" s="1076"/>
      <c r="O1026" s="968"/>
      <c r="P1026" s="969"/>
      <c r="Q1026" s="970"/>
    </row>
    <row r="1027" spans="1:17">
      <c r="A1027" s="590"/>
      <c r="B1027" s="661"/>
      <c r="C1027" s="593"/>
      <c r="D1027" s="662"/>
      <c r="E1027" s="594"/>
      <c r="F1027" s="595"/>
      <c r="K1027" s="696"/>
      <c r="L1027" s="696"/>
      <c r="M1027" s="1075" t="s">
        <v>482</v>
      </c>
      <c r="N1027" s="1076" t="s">
        <v>283</v>
      </c>
      <c r="O1027" s="968">
        <v>1</v>
      </c>
      <c r="P1027" s="969"/>
      <c r="Q1027" s="970">
        <f>P1027*O1027</f>
        <v>0</v>
      </c>
    </row>
    <row r="1028" spans="1:17">
      <c r="A1028" s="590"/>
      <c r="B1028" s="661"/>
      <c r="C1028" s="593"/>
      <c r="D1028" s="662"/>
      <c r="E1028" s="594"/>
      <c r="F1028" s="595"/>
      <c r="K1028" s="696"/>
      <c r="L1028" s="696"/>
      <c r="M1028" s="1075"/>
      <c r="N1028" s="1076"/>
      <c r="O1028" s="968"/>
      <c r="P1028" s="969"/>
      <c r="Q1028" s="970"/>
    </row>
    <row r="1029" spans="1:17">
      <c r="A1029" s="590"/>
      <c r="B1029" s="661"/>
      <c r="C1029" s="593"/>
      <c r="D1029" s="662"/>
      <c r="E1029" s="594"/>
      <c r="F1029" s="595"/>
      <c r="K1029" s="696"/>
      <c r="L1029" s="696"/>
      <c r="M1029" s="1075" t="s">
        <v>483</v>
      </c>
      <c r="N1029" s="1076" t="s">
        <v>283</v>
      </c>
      <c r="O1029" s="968">
        <v>1</v>
      </c>
      <c r="P1029" s="969"/>
      <c r="Q1029" s="970">
        <f>P1029*O1029</f>
        <v>0</v>
      </c>
    </row>
    <row r="1030" spans="1:17">
      <c r="A1030" s="590"/>
      <c r="B1030" s="661"/>
      <c r="C1030" s="593"/>
      <c r="D1030" s="662"/>
      <c r="E1030" s="594"/>
      <c r="F1030" s="595"/>
      <c r="K1030" s="696"/>
      <c r="L1030" s="696"/>
      <c r="M1030" s="1075"/>
      <c r="N1030" s="1076"/>
      <c r="O1030" s="968"/>
      <c r="P1030" s="969"/>
      <c r="Q1030" s="970"/>
    </row>
    <row r="1031" spans="1:17">
      <c r="A1031" s="590"/>
      <c r="B1031" s="661"/>
      <c r="C1031" s="593"/>
      <c r="D1031" s="662"/>
      <c r="E1031" s="594"/>
      <c r="F1031" s="595"/>
      <c r="K1031" s="696"/>
      <c r="L1031" s="696"/>
      <c r="M1031" s="1075"/>
      <c r="N1031" s="1076"/>
      <c r="O1031" s="968"/>
      <c r="P1031" s="969"/>
      <c r="Q1031" s="970"/>
    </row>
    <row r="1032" spans="1:17">
      <c r="A1032" s="590"/>
      <c r="B1032" s="661"/>
      <c r="C1032" s="593"/>
      <c r="D1032" s="662"/>
      <c r="E1032" s="594"/>
      <c r="F1032" s="595"/>
      <c r="K1032" s="696"/>
      <c r="L1032" s="696"/>
      <c r="M1032" s="1075"/>
      <c r="N1032" s="1076"/>
      <c r="O1032" s="968"/>
      <c r="P1032" s="969"/>
      <c r="Q1032" s="970"/>
    </row>
    <row r="1033" spans="1:17">
      <c r="A1033" s="590"/>
      <c r="B1033" s="661"/>
      <c r="C1033" s="593"/>
      <c r="D1033" s="662"/>
      <c r="E1033" s="594"/>
      <c r="F1033" s="595"/>
      <c r="K1033" s="696"/>
      <c r="L1033" s="696"/>
      <c r="M1033" s="1075"/>
      <c r="N1033" s="1076"/>
      <c r="O1033" s="968"/>
      <c r="P1033" s="969"/>
      <c r="Q1033" s="970"/>
    </row>
    <row r="1034" spans="1:17">
      <c r="A1034" s="590"/>
      <c r="B1034" s="661"/>
      <c r="C1034" s="593"/>
      <c r="D1034" s="662"/>
      <c r="E1034" s="594"/>
      <c r="F1034" s="595"/>
      <c r="K1034" s="696"/>
      <c r="L1034" s="696"/>
      <c r="M1034" s="1040"/>
      <c r="N1034" s="1076"/>
      <c r="O1034" s="544"/>
      <c r="P1034" s="969"/>
      <c r="Q1034" s="970"/>
    </row>
    <row r="1035" spans="1:17">
      <c r="A1035" s="590"/>
      <c r="B1035" s="661"/>
      <c r="C1035" s="593"/>
      <c r="D1035" s="662"/>
      <c r="E1035" s="594"/>
      <c r="F1035" s="595"/>
      <c r="K1035" s="696"/>
      <c r="L1035" s="696"/>
      <c r="M1035" s="1075"/>
      <c r="N1035" s="1076"/>
      <c r="O1035" s="968"/>
      <c r="P1035" s="969"/>
      <c r="Q1035" s="970"/>
    </row>
    <row r="1036" spans="1:17">
      <c r="A1036" s="590"/>
      <c r="B1036" s="661"/>
      <c r="C1036" s="593"/>
      <c r="D1036" s="662"/>
      <c r="E1036" s="594"/>
      <c r="F1036" s="595"/>
      <c r="K1036" s="696"/>
      <c r="L1036" s="696"/>
      <c r="M1036" s="1075"/>
      <c r="N1036" s="1076"/>
      <c r="O1036" s="968"/>
      <c r="P1036" s="969"/>
      <c r="Q1036" s="970"/>
    </row>
    <row r="1037" spans="1:17">
      <c r="A1037" s="590"/>
      <c r="B1037" s="661"/>
      <c r="C1037" s="593"/>
      <c r="D1037" s="662"/>
      <c r="E1037" s="594"/>
      <c r="F1037" s="595"/>
      <c r="K1037" s="696"/>
      <c r="L1037" s="696"/>
      <c r="M1037" s="1075"/>
      <c r="N1037" s="1076"/>
      <c r="O1037" s="968"/>
      <c r="P1037" s="969"/>
      <c r="Q1037" s="970"/>
    </row>
    <row r="1038" spans="1:17">
      <c r="A1038" s="590"/>
      <c r="B1038" s="661"/>
      <c r="C1038" s="593"/>
      <c r="D1038" s="662"/>
      <c r="E1038" s="594"/>
      <c r="F1038" s="595"/>
      <c r="K1038" s="696"/>
      <c r="L1038" s="696"/>
      <c r="M1038" s="1075"/>
      <c r="N1038" s="1076"/>
      <c r="O1038" s="968"/>
      <c r="P1038" s="969"/>
      <c r="Q1038" s="970"/>
    </row>
    <row r="1039" spans="1:17">
      <c r="A1039" s="590"/>
      <c r="B1039" s="661"/>
      <c r="C1039" s="593"/>
      <c r="D1039" s="662"/>
      <c r="E1039" s="594"/>
      <c r="F1039" s="595"/>
      <c r="K1039" s="696"/>
      <c r="L1039" s="696"/>
      <c r="M1039" s="1075"/>
      <c r="N1039" s="1076"/>
      <c r="O1039" s="968"/>
      <c r="P1039" s="969"/>
      <c r="Q1039" s="970"/>
    </row>
    <row r="1040" spans="1:17">
      <c r="A1040" s="590"/>
      <c r="B1040" s="661"/>
      <c r="C1040" s="593"/>
      <c r="D1040" s="662"/>
      <c r="E1040" s="594"/>
      <c r="F1040" s="595"/>
      <c r="K1040" s="696"/>
      <c r="L1040" s="696"/>
      <c r="M1040" s="1075"/>
      <c r="N1040" s="1076"/>
      <c r="O1040" s="968"/>
      <c r="P1040" s="969"/>
      <c r="Q1040" s="970"/>
    </row>
    <row r="1041" spans="1:17">
      <c r="A1041" s="590"/>
      <c r="B1041" s="661"/>
      <c r="C1041" s="593"/>
      <c r="D1041" s="662"/>
      <c r="E1041" s="594"/>
      <c r="F1041" s="595"/>
      <c r="K1041" s="696"/>
      <c r="L1041" s="696"/>
      <c r="M1041" s="1075"/>
      <c r="N1041" s="1076"/>
      <c r="O1041" s="968"/>
      <c r="P1041" s="969"/>
      <c r="Q1041" s="970"/>
    </row>
    <row r="1042" spans="1:17">
      <c r="A1042" s="590"/>
      <c r="B1042" s="661"/>
      <c r="C1042" s="593"/>
      <c r="D1042" s="662"/>
      <c r="E1042" s="594"/>
      <c r="F1042" s="595"/>
      <c r="K1042" s="696"/>
      <c r="L1042" s="696"/>
      <c r="M1042" s="1075"/>
      <c r="N1042" s="1076"/>
      <c r="O1042" s="968"/>
      <c r="P1042" s="969"/>
      <c r="Q1042" s="970"/>
    </row>
    <row r="1043" spans="1:17">
      <c r="A1043" s="590"/>
      <c r="B1043" s="661"/>
      <c r="C1043" s="593"/>
      <c r="D1043" s="662"/>
      <c r="E1043" s="594"/>
      <c r="F1043" s="595"/>
      <c r="K1043" s="696"/>
      <c r="L1043" s="696"/>
      <c r="M1043" s="1075"/>
      <c r="N1043" s="1076"/>
      <c r="O1043" s="968"/>
      <c r="P1043" s="969"/>
      <c r="Q1043" s="970"/>
    </row>
    <row r="1044" spans="1:17">
      <c r="A1044" s="590"/>
      <c r="B1044" s="661"/>
      <c r="C1044" s="593"/>
      <c r="D1044" s="662"/>
      <c r="E1044" s="594"/>
      <c r="F1044" s="595"/>
      <c r="K1044" s="696"/>
      <c r="L1044" s="696"/>
      <c r="M1044" s="1075"/>
      <c r="N1044" s="1076"/>
      <c r="O1044" s="968"/>
      <c r="P1044" s="969"/>
      <c r="Q1044" s="970"/>
    </row>
    <row r="1045" spans="1:17">
      <c r="A1045" s="590"/>
      <c r="B1045" s="661"/>
      <c r="C1045" s="593"/>
      <c r="D1045" s="662"/>
      <c r="E1045" s="594"/>
      <c r="F1045" s="595"/>
      <c r="K1045" s="696"/>
      <c r="L1045" s="696"/>
      <c r="M1045" s="1075"/>
      <c r="N1045" s="1076"/>
      <c r="O1045" s="968"/>
      <c r="P1045" s="969"/>
      <c r="Q1045" s="970"/>
    </row>
    <row r="1046" spans="1:17">
      <c r="A1046" s="590"/>
      <c r="B1046" s="661"/>
      <c r="C1046" s="593"/>
      <c r="D1046" s="662"/>
      <c r="E1046" s="594"/>
      <c r="F1046" s="595"/>
      <c r="K1046" s="696"/>
      <c r="L1046" s="696"/>
      <c r="M1046" s="1075"/>
      <c r="N1046" s="1076"/>
      <c r="O1046" s="968"/>
      <c r="P1046" s="969"/>
      <c r="Q1046" s="970"/>
    </row>
    <row r="1047" spans="1:17">
      <c r="A1047" s="590"/>
      <c r="B1047" s="661"/>
      <c r="C1047" s="593"/>
      <c r="D1047" s="662"/>
      <c r="E1047" s="594"/>
      <c r="F1047" s="595"/>
      <c r="K1047" s="696"/>
      <c r="L1047" s="696"/>
      <c r="M1047" s="1075"/>
      <c r="N1047" s="1076"/>
      <c r="O1047" s="968"/>
      <c r="P1047" s="969"/>
      <c r="Q1047" s="970"/>
    </row>
    <row r="1048" spans="1:17">
      <c r="A1048" s="590"/>
      <c r="B1048" s="661"/>
      <c r="C1048" s="593"/>
      <c r="D1048" s="662"/>
      <c r="E1048" s="594"/>
      <c r="F1048" s="595"/>
      <c r="K1048" s="696"/>
      <c r="L1048" s="696"/>
      <c r="M1048" s="1075"/>
      <c r="N1048" s="1076"/>
      <c r="O1048" s="968"/>
      <c r="P1048" s="969"/>
      <c r="Q1048" s="970"/>
    </row>
    <row r="1049" spans="1:17">
      <c r="A1049" s="590"/>
      <c r="B1049" s="661"/>
      <c r="C1049" s="593"/>
      <c r="D1049" s="662"/>
      <c r="E1049" s="594"/>
      <c r="F1049" s="595"/>
      <c r="K1049" s="696"/>
      <c r="L1049" s="696"/>
      <c r="M1049" s="1075"/>
      <c r="N1049" s="1076"/>
      <c r="O1049" s="968"/>
      <c r="P1049" s="969"/>
      <c r="Q1049" s="970"/>
    </row>
    <row r="1050" spans="1:17">
      <c r="A1050" s="590"/>
      <c r="B1050" s="661"/>
      <c r="C1050" s="593"/>
      <c r="D1050" s="662"/>
      <c r="E1050" s="594"/>
      <c r="F1050" s="595"/>
      <c r="K1050" s="696"/>
      <c r="L1050" s="696"/>
      <c r="M1050" s="1075"/>
      <c r="N1050" s="1076"/>
      <c r="O1050" s="968"/>
      <c r="P1050" s="969"/>
      <c r="Q1050" s="970"/>
    </row>
    <row r="1051" spans="1:17">
      <c r="A1051" s="590"/>
      <c r="B1051" s="661"/>
      <c r="C1051" s="593"/>
      <c r="D1051" s="662"/>
      <c r="E1051" s="594"/>
      <c r="F1051" s="595"/>
      <c r="K1051" s="696"/>
      <c r="L1051" s="696"/>
      <c r="M1051" s="1075"/>
      <c r="N1051" s="1076"/>
      <c r="O1051" s="968"/>
      <c r="P1051" s="969"/>
      <c r="Q1051" s="970"/>
    </row>
    <row r="1052" spans="1:17">
      <c r="A1052" s="590"/>
      <c r="B1052" s="661"/>
      <c r="C1052" s="593"/>
      <c r="D1052" s="662"/>
      <c r="E1052" s="594"/>
      <c r="F1052" s="595"/>
      <c r="K1052" s="696"/>
      <c r="L1052" s="696"/>
      <c r="M1052" s="1075"/>
      <c r="N1052" s="1076"/>
      <c r="O1052" s="968"/>
      <c r="P1052" s="969"/>
      <c r="Q1052" s="970"/>
    </row>
    <row r="1053" spans="1:17">
      <c r="A1053" s="590"/>
      <c r="B1053" s="661"/>
      <c r="C1053" s="593"/>
      <c r="D1053" s="662"/>
      <c r="E1053" s="594"/>
      <c r="F1053" s="595"/>
      <c r="K1053" s="696"/>
      <c r="L1053" s="696"/>
      <c r="M1053" s="1075"/>
      <c r="N1053" s="1076"/>
      <c r="O1053" s="968"/>
      <c r="P1053" s="969"/>
      <c r="Q1053" s="970"/>
    </row>
    <row r="1054" spans="1:17">
      <c r="A1054" s="590"/>
      <c r="B1054" s="661"/>
      <c r="C1054" s="593"/>
      <c r="D1054" s="662"/>
      <c r="E1054" s="594"/>
      <c r="F1054" s="595"/>
      <c r="K1054" s="696"/>
      <c r="L1054" s="696"/>
      <c r="M1054" s="1075"/>
      <c r="N1054" s="1076"/>
      <c r="O1054" s="968"/>
      <c r="P1054" s="969"/>
      <c r="Q1054" s="970"/>
    </row>
    <row r="1055" spans="1:17" ht="15" thickBot="1">
      <c r="A1055" s="590"/>
      <c r="B1055" s="661"/>
      <c r="C1055" s="593"/>
      <c r="D1055" s="662"/>
      <c r="E1055" s="594"/>
      <c r="F1055" s="595"/>
      <c r="K1055" s="696"/>
      <c r="L1055" s="696"/>
      <c r="M1055" s="1075"/>
      <c r="N1055" s="1076"/>
      <c r="O1055" s="968"/>
      <c r="P1055" s="969"/>
      <c r="Q1055" s="970"/>
    </row>
    <row r="1056" spans="1:17">
      <c r="A1056" s="612"/>
      <c r="B1056" s="613"/>
      <c r="C1056" s="615"/>
      <c r="D1056" s="614"/>
      <c r="E1056" s="616"/>
      <c r="F1056" s="617"/>
      <c r="K1056" s="696"/>
      <c r="L1056" s="696"/>
      <c r="M1056" s="1075"/>
      <c r="N1056" s="1076"/>
      <c r="O1056" s="968"/>
      <c r="P1056" s="969"/>
      <c r="Q1056" s="970"/>
    </row>
    <row r="1057" spans="1:17">
      <c r="A1057" s="618" t="s">
        <v>310</v>
      </c>
      <c r="B1057" s="619" t="s">
        <v>289</v>
      </c>
      <c r="C1057" s="621"/>
      <c r="D1057" s="620"/>
      <c r="E1057" s="622"/>
      <c r="F1057" s="623">
        <f>SUM(F1004:F1055)</f>
        <v>0</v>
      </c>
      <c r="H1057" s="645"/>
      <c r="K1057" s="696"/>
      <c r="L1057" s="696"/>
      <c r="M1057" s="1075"/>
      <c r="N1057" s="1076"/>
      <c r="O1057" s="968"/>
      <c r="P1057" s="969"/>
      <c r="Q1057" s="970"/>
    </row>
    <row r="1058" spans="1:17">
      <c r="A1058" s="624"/>
      <c r="B1058" s="625"/>
      <c r="C1058" s="627"/>
      <c r="D1058" s="626"/>
      <c r="E1058" s="628"/>
      <c r="F1058" s="629"/>
      <c r="K1058" s="696"/>
      <c r="L1058" s="696"/>
      <c r="M1058" s="1075"/>
      <c r="N1058" s="1076"/>
      <c r="O1058" s="968"/>
      <c r="P1058" s="969"/>
      <c r="Q1058" s="970"/>
    </row>
    <row r="1059" spans="1:17" ht="17.399999999999999">
      <c r="A1059" s="568"/>
      <c r="B1059" s="663"/>
      <c r="C1059" s="570"/>
      <c r="D1059" s="569"/>
      <c r="E1059" s="571"/>
      <c r="F1059" s="572"/>
      <c r="K1059" s="696"/>
      <c r="L1059" s="696"/>
      <c r="M1059" s="1075"/>
      <c r="N1059" s="1076"/>
      <c r="O1059" s="968"/>
      <c r="P1059" s="969"/>
      <c r="Q1059" s="970"/>
    </row>
    <row r="1060" spans="1:17">
      <c r="A1060" s="574"/>
      <c r="B1060" s="664"/>
      <c r="C1060" s="576"/>
      <c r="D1060" s="575"/>
      <c r="E1060" s="577"/>
      <c r="F1060" s="578"/>
      <c r="K1060" s="696"/>
      <c r="L1060" s="696"/>
      <c r="M1060" s="1075"/>
      <c r="N1060" s="1076"/>
      <c r="O1060" s="968"/>
      <c r="P1060" s="969"/>
      <c r="Q1060" s="970"/>
    </row>
    <row r="1061" spans="1:17">
      <c r="A1061" s="574"/>
      <c r="B1061" s="664"/>
      <c r="C1061" s="576"/>
      <c r="D1061" s="575"/>
      <c r="E1061" s="577"/>
      <c r="F1061" s="578"/>
      <c r="K1061" s="696"/>
      <c r="L1061" s="696"/>
      <c r="M1061" s="1075"/>
      <c r="N1061" s="1076"/>
      <c r="O1061" s="968"/>
      <c r="P1061" s="969"/>
      <c r="Q1061" s="970"/>
    </row>
    <row r="1062" spans="1:17">
      <c r="A1062" s="618"/>
      <c r="B1062" s="657"/>
      <c r="C1062" s="581"/>
      <c r="D1062" s="580"/>
      <c r="E1062" s="582"/>
      <c r="F1062" s="583"/>
      <c r="K1062" s="696"/>
      <c r="L1062" s="696"/>
      <c r="M1062" s="1075"/>
      <c r="N1062" s="1076"/>
      <c r="O1062" s="968"/>
      <c r="P1062" s="969"/>
      <c r="Q1062" s="970"/>
    </row>
    <row r="1063" spans="1:17" ht="15" thickBot="1">
      <c r="A1063" s="584" t="s">
        <v>276</v>
      </c>
      <c r="B1063" s="585"/>
      <c r="C1063" s="587" t="s">
        <v>277</v>
      </c>
      <c r="D1063" s="586" t="s">
        <v>266</v>
      </c>
      <c r="E1063" s="588" t="s">
        <v>278</v>
      </c>
      <c r="F1063" s="589" t="s">
        <v>267</v>
      </c>
      <c r="K1063" s="696"/>
      <c r="L1063" s="696"/>
      <c r="M1063" s="1075"/>
      <c r="N1063" s="1076"/>
      <c r="O1063" s="968"/>
      <c r="P1063" s="969"/>
      <c r="Q1063" s="970"/>
    </row>
    <row r="1064" spans="1:17">
      <c r="A1064" s="590"/>
      <c r="B1064" s="661"/>
      <c r="C1064" s="593"/>
      <c r="D1064" s="662"/>
      <c r="E1064" s="594"/>
      <c r="F1064" s="595"/>
      <c r="K1064" s="696"/>
      <c r="L1064" s="696"/>
      <c r="M1064" s="1075"/>
      <c r="N1064" s="1076"/>
      <c r="O1064" s="968"/>
      <c r="P1064" s="969"/>
      <c r="Q1064" s="970"/>
    </row>
    <row r="1065" spans="1:17">
      <c r="A1065" s="652" t="s">
        <v>322</v>
      </c>
      <c r="B1065" s="678" t="s">
        <v>343</v>
      </c>
      <c r="C1065" s="593"/>
      <c r="D1065" s="662"/>
      <c r="E1065" s="594"/>
      <c r="F1065" s="595"/>
      <c r="K1065" s="696"/>
      <c r="L1065" s="696"/>
      <c r="M1065" s="1075"/>
      <c r="N1065" s="1076"/>
      <c r="O1065" s="968"/>
      <c r="P1065" s="969"/>
      <c r="Q1065" s="970"/>
    </row>
    <row r="1066" spans="1:17">
      <c r="A1066" s="590"/>
      <c r="B1066" s="661"/>
      <c r="C1066" s="593"/>
      <c r="D1066" s="662"/>
      <c r="E1066" s="594"/>
      <c r="F1066" s="595"/>
      <c r="K1066" s="696"/>
      <c r="L1066" s="696"/>
      <c r="M1066" s="1040"/>
      <c r="N1066" s="1076"/>
      <c r="O1066" s="544"/>
      <c r="P1066" s="969"/>
      <c r="Q1066" s="970"/>
    </row>
    <row r="1067" spans="1:17" ht="15" thickBot="1">
      <c r="A1067" s="590" t="s">
        <v>294</v>
      </c>
      <c r="B1067" s="661" t="s">
        <v>478</v>
      </c>
      <c r="C1067" s="593">
        <v>1</v>
      </c>
      <c r="D1067" s="662" t="s">
        <v>283</v>
      </c>
      <c r="E1067" s="594"/>
      <c r="F1067" s="595">
        <f>E1067*C1067</f>
        <v>0</v>
      </c>
      <c r="K1067" s="696"/>
      <c r="L1067" s="696"/>
      <c r="M1067" s="1079"/>
      <c r="N1067" s="1076"/>
      <c r="O1067" s="968"/>
      <c r="P1067" s="969"/>
      <c r="Q1067" s="970"/>
    </row>
    <row r="1068" spans="1:17">
      <c r="A1068" s="590"/>
      <c r="B1068" s="661"/>
      <c r="C1068" s="593"/>
      <c r="D1068" s="662"/>
      <c r="E1068" s="594"/>
      <c r="F1068" s="595"/>
      <c r="K1068" s="1014"/>
      <c r="L1068" s="1014"/>
      <c r="M1068" s="1015"/>
      <c r="N1068" s="1016"/>
      <c r="O1068" s="1017"/>
      <c r="P1068" s="1018"/>
      <c r="Q1068" s="1019"/>
    </row>
    <row r="1069" spans="1:17">
      <c r="A1069" s="590" t="s">
        <v>339</v>
      </c>
      <c r="B1069" s="661" t="s">
        <v>479</v>
      </c>
      <c r="C1069" s="593">
        <v>1</v>
      </c>
      <c r="D1069" s="662" t="s">
        <v>283</v>
      </c>
      <c r="E1069" s="594"/>
      <c r="F1069" s="595">
        <f>E1069*C1069</f>
        <v>0</v>
      </c>
      <c r="K1069" s="1020"/>
      <c r="L1069" s="1020"/>
      <c r="M1069" s="1021" t="s">
        <v>289</v>
      </c>
      <c r="N1069" s="1022"/>
      <c r="O1069" s="1023"/>
      <c r="P1069" s="1024"/>
      <c r="Q1069" s="1010">
        <f>SUM(Q1016:Q1067)</f>
        <v>0</v>
      </c>
    </row>
    <row r="1070" spans="1:17">
      <c r="A1070" s="590"/>
      <c r="B1070" s="661"/>
      <c r="C1070" s="593"/>
      <c r="D1070" s="662"/>
      <c r="E1070" s="594"/>
      <c r="F1070" s="595"/>
      <c r="K1070" s="1025"/>
      <c r="L1070" s="1025"/>
      <c r="M1070" s="1026"/>
      <c r="N1070" s="1027"/>
      <c r="O1070" s="1028"/>
      <c r="P1070" s="1029"/>
      <c r="Q1070" s="1030"/>
    </row>
    <row r="1071" spans="1:17" ht="17.399999999999999">
      <c r="A1071" s="590" t="s">
        <v>340</v>
      </c>
      <c r="B1071" s="661" t="s">
        <v>480</v>
      </c>
      <c r="C1071" s="593">
        <v>1</v>
      </c>
      <c r="D1071" s="662" t="s">
        <v>283</v>
      </c>
      <c r="E1071" s="594"/>
      <c r="F1071" s="595">
        <f>E1071*C1071</f>
        <v>0</v>
      </c>
      <c r="K1071" s="980"/>
      <c r="L1071" s="981"/>
      <c r="M1071" s="1077"/>
      <c r="N1071" s="982"/>
      <c r="O1071" s="983"/>
      <c r="P1071" s="984"/>
      <c r="Q1071" s="985"/>
    </row>
    <row r="1072" spans="1:17">
      <c r="A1072" s="590"/>
      <c r="B1072" s="661"/>
      <c r="C1072" s="593"/>
      <c r="D1072" s="662"/>
      <c r="E1072" s="594"/>
      <c r="F1072" s="595"/>
      <c r="K1072" s="986"/>
      <c r="L1072" s="987"/>
      <c r="M1072" s="1078"/>
      <c r="N1072" s="988"/>
      <c r="O1072" s="989"/>
      <c r="P1072" s="990"/>
      <c r="Q1072" s="991"/>
    </row>
    <row r="1073" spans="1:17">
      <c r="A1073" s="590" t="s">
        <v>409</v>
      </c>
      <c r="B1073" s="661" t="s">
        <v>481</v>
      </c>
      <c r="C1073" s="593">
        <v>1</v>
      </c>
      <c r="D1073" s="662" t="s">
        <v>283</v>
      </c>
      <c r="E1073" s="594"/>
      <c r="F1073" s="595">
        <f>E1073*C1073</f>
        <v>0</v>
      </c>
      <c r="K1073" s="986"/>
      <c r="L1073" s="987"/>
      <c r="M1073" s="1078"/>
      <c r="N1073" s="988"/>
      <c r="O1073" s="989"/>
      <c r="P1073" s="990"/>
      <c r="Q1073" s="991"/>
    </row>
    <row r="1074" spans="1:17">
      <c r="A1074" s="590"/>
      <c r="B1074" s="661"/>
      <c r="C1074" s="593"/>
      <c r="D1074" s="662"/>
      <c r="E1074" s="594"/>
      <c r="F1074" s="595"/>
      <c r="K1074" s="1020"/>
      <c r="L1074" s="993"/>
      <c r="M1074" s="959"/>
      <c r="N1074" s="543"/>
      <c r="O1074" s="994"/>
      <c r="P1074" s="995"/>
      <c r="Q1074" s="996"/>
    </row>
    <row r="1075" spans="1:17" ht="15" thickBot="1">
      <c r="A1075" s="590" t="s">
        <v>416</v>
      </c>
      <c r="B1075" s="661" t="s">
        <v>482</v>
      </c>
      <c r="C1075" s="593">
        <v>1</v>
      </c>
      <c r="D1075" s="662" t="s">
        <v>283</v>
      </c>
      <c r="E1075" s="594"/>
      <c r="F1075" s="595">
        <f>E1075*C1075</f>
        <v>0</v>
      </c>
      <c r="K1075" s="997" t="s">
        <v>276</v>
      </c>
      <c r="L1075" s="998" t="s">
        <v>887</v>
      </c>
      <c r="M1075" s="999"/>
      <c r="N1075" s="1000" t="s">
        <v>266</v>
      </c>
      <c r="O1075" s="1001" t="s">
        <v>277</v>
      </c>
      <c r="P1075" s="1002" t="s">
        <v>278</v>
      </c>
      <c r="Q1075" s="1003" t="s">
        <v>267</v>
      </c>
    </row>
    <row r="1076" spans="1:17">
      <c r="A1076" s="590"/>
      <c r="B1076" s="661"/>
      <c r="C1076" s="593"/>
      <c r="D1076" s="662"/>
      <c r="E1076" s="594"/>
      <c r="F1076" s="595"/>
      <c r="K1076" s="696"/>
      <c r="L1076" s="696"/>
      <c r="M1076" s="703"/>
      <c r="N1076" s="967"/>
      <c r="O1076" s="968"/>
      <c r="P1076" s="969"/>
      <c r="Q1076" s="970"/>
    </row>
    <row r="1077" spans="1:17">
      <c r="A1077" s="590" t="s">
        <v>424</v>
      </c>
      <c r="B1077" s="661" t="s">
        <v>483</v>
      </c>
      <c r="C1077" s="593">
        <v>1</v>
      </c>
      <c r="D1077" s="662" t="s">
        <v>283</v>
      </c>
      <c r="E1077" s="594"/>
      <c r="F1077" s="595">
        <f>E1077*C1077</f>
        <v>0</v>
      </c>
      <c r="K1077" s="696">
        <f>K1017+1</f>
        <v>19</v>
      </c>
      <c r="L1077" s="696"/>
      <c r="M1077" s="1032" t="s">
        <v>343</v>
      </c>
      <c r="N1077" s="967"/>
      <c r="O1077" s="968"/>
      <c r="P1077" s="969"/>
      <c r="Q1077" s="970"/>
    </row>
    <row r="1078" spans="1:17">
      <c r="A1078" s="590"/>
      <c r="B1078" s="661"/>
      <c r="C1078" s="593"/>
      <c r="D1078" s="662"/>
      <c r="E1078" s="594"/>
      <c r="F1078" s="595"/>
      <c r="K1078" s="696"/>
      <c r="L1078" s="696"/>
      <c r="M1078" s="703"/>
      <c r="N1078" s="967"/>
      <c r="O1078" s="968"/>
      <c r="P1078" s="969"/>
      <c r="Q1078" s="970"/>
    </row>
    <row r="1079" spans="1:17">
      <c r="A1079" s="590"/>
      <c r="B1079" s="661"/>
      <c r="C1079" s="593"/>
      <c r="D1079" s="662"/>
      <c r="E1079" s="594"/>
      <c r="F1079" s="595"/>
      <c r="K1079" s="696"/>
      <c r="L1079" s="696"/>
      <c r="M1079" s="703" t="s">
        <v>485</v>
      </c>
      <c r="N1079" s="967" t="s">
        <v>283</v>
      </c>
      <c r="O1079" s="968">
        <v>2</v>
      </c>
      <c r="P1079" s="969"/>
      <c r="Q1079" s="970">
        <f>P1079*O1079</f>
        <v>0</v>
      </c>
    </row>
    <row r="1080" spans="1:17">
      <c r="A1080" s="590"/>
      <c r="B1080" s="661"/>
      <c r="C1080" s="593"/>
      <c r="D1080" s="662"/>
      <c r="E1080" s="594"/>
      <c r="F1080" s="595"/>
      <c r="K1080" s="696"/>
      <c r="L1080" s="696"/>
      <c r="M1080" s="703"/>
      <c r="N1080" s="967"/>
      <c r="O1080" s="968"/>
      <c r="P1080" s="969"/>
      <c r="Q1080" s="970"/>
    </row>
    <row r="1081" spans="1:17">
      <c r="A1081" s="590"/>
      <c r="B1081" s="661"/>
      <c r="C1081" s="593"/>
      <c r="D1081" s="662"/>
      <c r="E1081" s="594"/>
      <c r="F1081" s="595"/>
      <c r="K1081" s="696"/>
      <c r="L1081" s="696"/>
      <c r="M1081" s="1075" t="s">
        <v>486</v>
      </c>
      <c r="N1081" s="967" t="s">
        <v>283</v>
      </c>
      <c r="O1081" s="968">
        <v>2</v>
      </c>
      <c r="P1081" s="969"/>
      <c r="Q1081" s="970">
        <f>P1081*O1081</f>
        <v>0</v>
      </c>
    </row>
    <row r="1082" spans="1:17">
      <c r="A1082" s="590"/>
      <c r="B1082" s="609"/>
      <c r="C1082" s="646"/>
      <c r="D1082" s="662"/>
      <c r="E1082" s="594"/>
      <c r="F1082" s="595"/>
      <c r="K1082" s="696"/>
      <c r="L1082" s="696"/>
      <c r="M1082" s="703"/>
      <c r="N1082" s="967"/>
      <c r="O1082" s="968"/>
      <c r="P1082" s="969"/>
      <c r="Q1082" s="970"/>
    </row>
    <row r="1083" spans="1:17">
      <c r="A1083" s="590"/>
      <c r="B1083" s="661"/>
      <c r="C1083" s="593"/>
      <c r="D1083" s="662"/>
      <c r="E1083" s="594"/>
      <c r="F1083" s="595"/>
      <c r="K1083" s="696"/>
      <c r="L1083" s="696"/>
      <c r="M1083" s="703" t="s">
        <v>487</v>
      </c>
      <c r="N1083" s="967" t="s">
        <v>283</v>
      </c>
      <c r="O1083" s="968">
        <v>2</v>
      </c>
      <c r="P1083" s="969"/>
      <c r="Q1083" s="970">
        <f>P1083*O1083</f>
        <v>0</v>
      </c>
    </row>
    <row r="1084" spans="1:17">
      <c r="A1084" s="590"/>
      <c r="B1084" s="661"/>
      <c r="C1084" s="593"/>
      <c r="D1084" s="662"/>
      <c r="E1084" s="594"/>
      <c r="F1084" s="595"/>
      <c r="K1084" s="696"/>
      <c r="L1084" s="696"/>
      <c r="M1084" s="703"/>
      <c r="N1084" s="967"/>
      <c r="O1084" s="968"/>
      <c r="P1084" s="969"/>
      <c r="Q1084" s="970"/>
    </row>
    <row r="1085" spans="1:17">
      <c r="A1085" s="590"/>
      <c r="B1085" s="661"/>
      <c r="C1085" s="593"/>
      <c r="D1085" s="662"/>
      <c r="E1085" s="594"/>
      <c r="F1085" s="595"/>
      <c r="K1085" s="696"/>
      <c r="L1085" s="696"/>
      <c r="M1085" s="703" t="s">
        <v>488</v>
      </c>
      <c r="N1085" s="967" t="s">
        <v>283</v>
      </c>
      <c r="O1085" s="968">
        <v>2</v>
      </c>
      <c r="P1085" s="969"/>
      <c r="Q1085" s="970">
        <f>P1085*O1085</f>
        <v>0</v>
      </c>
    </row>
    <row r="1086" spans="1:17">
      <c r="A1086" s="590"/>
      <c r="B1086" s="661"/>
      <c r="C1086" s="593"/>
      <c r="D1086" s="662"/>
      <c r="E1086" s="594"/>
      <c r="F1086" s="595"/>
      <c r="K1086" s="696"/>
      <c r="L1086" s="696"/>
      <c r="M1086" s="703"/>
      <c r="N1086" s="967"/>
      <c r="O1086" s="968"/>
      <c r="P1086" s="969"/>
      <c r="Q1086" s="970"/>
    </row>
    <row r="1087" spans="1:17">
      <c r="A1087" s="590"/>
      <c r="B1087" s="661"/>
      <c r="C1087" s="593"/>
      <c r="D1087" s="662"/>
      <c r="E1087" s="594"/>
      <c r="F1087" s="595"/>
      <c r="K1087" s="696"/>
      <c r="L1087" s="696"/>
      <c r="M1087" s="703"/>
      <c r="N1087" s="967"/>
      <c r="O1087" s="968"/>
      <c r="P1087" s="969"/>
      <c r="Q1087" s="970"/>
    </row>
    <row r="1088" spans="1:17">
      <c r="A1088" s="590"/>
      <c r="B1088" s="661"/>
      <c r="C1088" s="593"/>
      <c r="D1088" s="662"/>
      <c r="E1088" s="594"/>
      <c r="F1088" s="595"/>
      <c r="K1088" s="696">
        <f>K1077+1</f>
        <v>20</v>
      </c>
      <c r="L1088" s="696"/>
      <c r="M1088" s="703" t="s">
        <v>311</v>
      </c>
      <c r="N1088" s="967" t="s">
        <v>283</v>
      </c>
      <c r="O1088" s="968">
        <v>66</v>
      </c>
      <c r="P1088" s="969"/>
      <c r="Q1088" s="970">
        <f>P1088*O1088</f>
        <v>0</v>
      </c>
    </row>
    <row r="1089" spans="1:17">
      <c r="A1089" s="590"/>
      <c r="B1089" s="661"/>
      <c r="C1089" s="593"/>
      <c r="D1089" s="662"/>
      <c r="E1089" s="594"/>
      <c r="F1089" s="595"/>
      <c r="K1089" s="696"/>
      <c r="L1089" s="696"/>
      <c r="M1089" s="703"/>
      <c r="N1089" s="967"/>
      <c r="O1089" s="968"/>
      <c r="P1089" s="969"/>
      <c r="Q1089" s="970"/>
    </row>
    <row r="1090" spans="1:17">
      <c r="A1090" s="590"/>
      <c r="B1090" s="661"/>
      <c r="C1090" s="593"/>
      <c r="D1090" s="662"/>
      <c r="E1090" s="594"/>
      <c r="F1090" s="595"/>
      <c r="K1090" s="696"/>
      <c r="L1090" s="696"/>
      <c r="M1090" s="703"/>
      <c r="N1090" s="967"/>
      <c r="O1090" s="968"/>
      <c r="P1090" s="969"/>
      <c r="Q1090" s="970"/>
    </row>
    <row r="1091" spans="1:17">
      <c r="A1091" s="590"/>
      <c r="B1091" s="661"/>
      <c r="C1091" s="593"/>
      <c r="D1091" s="662"/>
      <c r="E1091" s="594"/>
      <c r="F1091" s="595"/>
      <c r="K1091" s="696"/>
      <c r="L1091" s="696"/>
      <c r="M1091" s="703"/>
      <c r="N1091" s="967"/>
      <c r="O1091" s="968"/>
      <c r="P1091" s="969"/>
      <c r="Q1091" s="970"/>
    </row>
    <row r="1092" spans="1:17">
      <c r="A1092" s="590"/>
      <c r="B1092" s="661"/>
      <c r="C1092" s="593"/>
      <c r="D1092" s="662"/>
      <c r="E1092" s="594"/>
      <c r="F1092" s="595"/>
      <c r="K1092" s="696"/>
      <c r="L1092" s="696"/>
      <c r="M1092" s="703"/>
      <c r="N1092" s="967"/>
      <c r="O1092" s="968"/>
      <c r="P1092" s="969"/>
      <c r="Q1092" s="970"/>
    </row>
    <row r="1093" spans="1:17">
      <c r="A1093" s="590"/>
      <c r="B1093" s="661"/>
      <c r="C1093" s="593"/>
      <c r="D1093" s="662"/>
      <c r="E1093" s="594"/>
      <c r="F1093" s="595"/>
      <c r="K1093" s="696"/>
      <c r="L1093" s="696"/>
      <c r="M1093" s="703"/>
      <c r="N1093" s="967"/>
      <c r="O1093" s="968"/>
      <c r="P1093" s="969"/>
      <c r="Q1093" s="970"/>
    </row>
    <row r="1094" spans="1:17">
      <c r="A1094" s="590"/>
      <c r="B1094" s="661"/>
      <c r="C1094" s="593"/>
      <c r="D1094" s="662"/>
      <c r="E1094" s="594"/>
      <c r="F1094" s="595"/>
      <c r="K1094" s="696"/>
      <c r="L1094" s="696"/>
      <c r="M1094" s="703"/>
      <c r="N1094" s="967"/>
      <c r="O1094" s="968"/>
      <c r="P1094" s="969"/>
      <c r="Q1094" s="970"/>
    </row>
    <row r="1095" spans="1:17">
      <c r="A1095" s="590"/>
      <c r="B1095" s="661"/>
      <c r="C1095" s="593"/>
      <c r="D1095" s="662"/>
      <c r="E1095" s="594"/>
      <c r="F1095" s="595"/>
      <c r="K1095" s="696"/>
      <c r="L1095" s="696"/>
      <c r="M1095" s="703"/>
      <c r="N1095" s="967"/>
      <c r="O1095" s="968"/>
      <c r="P1095" s="969"/>
      <c r="Q1095" s="970"/>
    </row>
    <row r="1096" spans="1:17">
      <c r="A1096" s="590"/>
      <c r="B1096" s="661"/>
      <c r="C1096" s="593"/>
      <c r="D1096" s="662"/>
      <c r="E1096" s="594"/>
      <c r="F1096" s="595"/>
      <c r="K1096" s="696"/>
      <c r="L1096" s="696"/>
      <c r="M1096" s="703"/>
      <c r="N1096" s="967"/>
      <c r="O1096" s="544"/>
      <c r="P1096" s="969"/>
      <c r="Q1096" s="970"/>
    </row>
    <row r="1097" spans="1:17">
      <c r="A1097" s="590"/>
      <c r="B1097" s="661"/>
      <c r="C1097" s="593"/>
      <c r="D1097" s="662"/>
      <c r="E1097" s="594"/>
      <c r="F1097" s="595"/>
      <c r="K1097" s="696"/>
      <c r="L1097" s="696"/>
      <c r="M1097" s="703"/>
      <c r="N1097" s="967"/>
      <c r="O1097" s="968"/>
      <c r="P1097" s="969"/>
      <c r="Q1097" s="970"/>
    </row>
    <row r="1098" spans="1:17">
      <c r="A1098" s="590"/>
      <c r="B1098" s="661"/>
      <c r="C1098" s="593"/>
      <c r="D1098" s="662"/>
      <c r="E1098" s="594"/>
      <c r="F1098" s="595"/>
      <c r="K1098" s="696"/>
      <c r="L1098" s="696"/>
      <c r="M1098" s="1080"/>
      <c r="N1098" s="967"/>
      <c r="O1098" s="544"/>
      <c r="P1098" s="969"/>
      <c r="Q1098" s="970"/>
    </row>
    <row r="1099" spans="1:17">
      <c r="A1099" s="590"/>
      <c r="B1099" s="661"/>
      <c r="C1099" s="593"/>
      <c r="D1099" s="662"/>
      <c r="E1099" s="594"/>
      <c r="F1099" s="595"/>
      <c r="K1099" s="696"/>
      <c r="L1099" s="696"/>
      <c r="M1099" s="1040"/>
      <c r="N1099" s="967"/>
      <c r="O1099" s="1041"/>
      <c r="P1099" s="969"/>
      <c r="Q1099" s="970"/>
    </row>
    <row r="1100" spans="1:17">
      <c r="A1100" s="590"/>
      <c r="B1100" s="661"/>
      <c r="C1100" s="593"/>
      <c r="D1100" s="662"/>
      <c r="E1100" s="594"/>
      <c r="F1100" s="595"/>
      <c r="K1100" s="696"/>
      <c r="L1100" s="696"/>
      <c r="M1100" s="1040"/>
      <c r="N1100" s="967"/>
      <c r="O1100" s="1041"/>
      <c r="P1100" s="969"/>
      <c r="Q1100" s="970"/>
    </row>
    <row r="1101" spans="1:17">
      <c r="A1101" s="590"/>
      <c r="B1101" s="661"/>
      <c r="C1101" s="593"/>
      <c r="D1101" s="662"/>
      <c r="E1101" s="594"/>
      <c r="F1101" s="595"/>
      <c r="K1101" s="696"/>
      <c r="L1101" s="696"/>
      <c r="M1101" s="1040"/>
      <c r="N1101" s="967"/>
      <c r="O1101" s="1041"/>
      <c r="P1101" s="969"/>
      <c r="Q1101" s="970"/>
    </row>
    <row r="1102" spans="1:17">
      <c r="A1102" s="590"/>
      <c r="B1102" s="661"/>
      <c r="C1102" s="593"/>
      <c r="D1102" s="662"/>
      <c r="E1102" s="594"/>
      <c r="F1102" s="595"/>
      <c r="K1102" s="696"/>
      <c r="L1102" s="696"/>
      <c r="M1102" s="1040"/>
      <c r="N1102" s="967"/>
      <c r="O1102" s="1041"/>
      <c r="P1102" s="969"/>
      <c r="Q1102" s="970"/>
    </row>
    <row r="1103" spans="1:17">
      <c r="A1103" s="590"/>
      <c r="B1103" s="661"/>
      <c r="C1103" s="593"/>
      <c r="D1103" s="662"/>
      <c r="E1103" s="594"/>
      <c r="F1103" s="595"/>
      <c r="K1103" s="696"/>
      <c r="L1103" s="696"/>
      <c r="M1103" s="1081"/>
      <c r="N1103" s="967"/>
      <c r="O1103" s="1041"/>
      <c r="P1103" s="969"/>
      <c r="Q1103" s="970"/>
    </row>
    <row r="1104" spans="1:17">
      <c r="A1104" s="590"/>
      <c r="B1104" s="661"/>
      <c r="C1104" s="593"/>
      <c r="D1104" s="662"/>
      <c r="E1104" s="594"/>
      <c r="F1104" s="595"/>
      <c r="K1104" s="696"/>
      <c r="L1104" s="696"/>
      <c r="M1104" s="1040"/>
      <c r="N1104" s="967"/>
      <c r="O1104" s="1041"/>
      <c r="P1104" s="969"/>
      <c r="Q1104" s="970"/>
    </row>
    <row r="1105" spans="1:17">
      <c r="A1105" s="590"/>
      <c r="B1105" s="661"/>
      <c r="C1105" s="593"/>
      <c r="D1105" s="662"/>
      <c r="E1105" s="594"/>
      <c r="F1105" s="595"/>
      <c r="K1105" s="696"/>
      <c r="L1105" s="696"/>
      <c r="M1105" s="1040"/>
      <c r="N1105" s="967"/>
      <c r="O1105" s="1041"/>
      <c r="P1105" s="969"/>
      <c r="Q1105" s="970"/>
    </row>
    <row r="1106" spans="1:17">
      <c r="A1106" s="590"/>
      <c r="B1106" s="661"/>
      <c r="C1106" s="593"/>
      <c r="D1106" s="662"/>
      <c r="E1106" s="594"/>
      <c r="F1106" s="595"/>
      <c r="K1106" s="696"/>
      <c r="L1106" s="696"/>
      <c r="M1106" s="1080"/>
      <c r="N1106" s="967"/>
      <c r="O1106" s="544"/>
      <c r="P1106" s="969"/>
      <c r="Q1106" s="970"/>
    </row>
    <row r="1107" spans="1:17">
      <c r="A1107" s="590"/>
      <c r="B1107" s="661"/>
      <c r="C1107" s="593"/>
      <c r="D1107" s="662"/>
      <c r="E1107" s="594"/>
      <c r="F1107" s="595"/>
      <c r="K1107" s="696"/>
      <c r="L1107" s="696"/>
      <c r="M1107" s="1080"/>
      <c r="N1107" s="967"/>
      <c r="O1107" s="1041"/>
      <c r="P1107" s="969"/>
      <c r="Q1107" s="970"/>
    </row>
    <row r="1108" spans="1:17">
      <c r="A1108" s="590"/>
      <c r="B1108" s="661"/>
      <c r="C1108" s="593"/>
      <c r="D1108" s="662"/>
      <c r="E1108" s="594"/>
      <c r="F1108" s="595"/>
      <c r="K1108" s="696"/>
      <c r="L1108" s="696"/>
      <c r="M1108" s="1080"/>
      <c r="N1108" s="967"/>
      <c r="O1108" s="544"/>
      <c r="P1108" s="969"/>
      <c r="Q1108" s="970"/>
    </row>
    <row r="1109" spans="1:17">
      <c r="A1109" s="590"/>
      <c r="B1109" s="661"/>
      <c r="C1109" s="593"/>
      <c r="D1109" s="662"/>
      <c r="E1109" s="594"/>
      <c r="F1109" s="595"/>
      <c r="K1109" s="696"/>
      <c r="L1109" s="696"/>
      <c r="M1109" s="1080"/>
      <c r="N1109" s="967"/>
      <c r="O1109" s="1041"/>
      <c r="P1109" s="969"/>
      <c r="Q1109" s="970"/>
    </row>
    <row r="1110" spans="1:17">
      <c r="A1110" s="590"/>
      <c r="B1110" s="661"/>
      <c r="C1110" s="593"/>
      <c r="D1110" s="662"/>
      <c r="E1110" s="594"/>
      <c r="F1110" s="595"/>
      <c r="K1110" s="696"/>
      <c r="L1110" s="696"/>
      <c r="M1110" s="1080"/>
      <c r="N1110" s="967"/>
      <c r="O1110" s="544"/>
      <c r="P1110" s="969"/>
      <c r="Q1110" s="970"/>
    </row>
    <row r="1111" spans="1:17">
      <c r="A1111" s="590"/>
      <c r="B1111" s="661"/>
      <c r="C1111" s="593"/>
      <c r="D1111" s="662"/>
      <c r="E1111" s="594"/>
      <c r="F1111" s="595"/>
      <c r="K1111" s="696"/>
      <c r="L1111" s="696"/>
      <c r="M1111" s="1080"/>
      <c r="N1111" s="967"/>
      <c r="O1111" s="1041"/>
      <c r="P1111" s="969"/>
      <c r="Q1111" s="970"/>
    </row>
    <row r="1112" spans="1:17">
      <c r="A1112" s="590"/>
      <c r="B1112" s="661"/>
      <c r="C1112" s="593"/>
      <c r="D1112" s="662"/>
      <c r="E1112" s="594"/>
      <c r="F1112" s="595"/>
      <c r="K1112" s="696"/>
      <c r="L1112" s="696"/>
      <c r="M1112" s="1080"/>
      <c r="N1112" s="967"/>
      <c r="O1112" s="544"/>
      <c r="P1112" s="969"/>
      <c r="Q1112" s="970"/>
    </row>
    <row r="1113" spans="1:17">
      <c r="A1113" s="590"/>
      <c r="B1113" s="661"/>
      <c r="C1113" s="593"/>
      <c r="D1113" s="662"/>
      <c r="E1113" s="594"/>
      <c r="F1113" s="595"/>
      <c r="K1113" s="696"/>
      <c r="L1113" s="696"/>
      <c r="M1113" s="1080"/>
      <c r="N1113" s="967"/>
      <c r="O1113" s="1041"/>
      <c r="P1113" s="969"/>
      <c r="Q1113" s="970"/>
    </row>
    <row r="1114" spans="1:17">
      <c r="A1114" s="590"/>
      <c r="B1114" s="609"/>
      <c r="C1114" s="646"/>
      <c r="D1114" s="662"/>
      <c r="E1114" s="594"/>
      <c r="F1114" s="595"/>
      <c r="K1114" s="696"/>
      <c r="L1114" s="696"/>
      <c r="M1114" s="1080"/>
      <c r="N1114" s="967"/>
      <c r="O1114" s="544"/>
      <c r="P1114" s="969"/>
      <c r="Q1114" s="970"/>
    </row>
    <row r="1115" spans="1:17" ht="15" thickBot="1">
      <c r="A1115" s="590"/>
      <c r="B1115" s="665"/>
      <c r="C1115" s="593"/>
      <c r="D1115" s="662"/>
      <c r="E1115" s="594"/>
      <c r="F1115" s="595"/>
      <c r="K1115" s="696"/>
      <c r="L1115" s="696"/>
      <c r="M1115" s="1080"/>
      <c r="N1115" s="967"/>
      <c r="O1115" s="544"/>
      <c r="P1115" s="969"/>
      <c r="Q1115" s="970"/>
    </row>
    <row r="1116" spans="1:17">
      <c r="A1116" s="612"/>
      <c r="B1116" s="613"/>
      <c r="C1116" s="615"/>
      <c r="D1116" s="614"/>
      <c r="E1116" s="616"/>
      <c r="F1116" s="617"/>
      <c r="K1116" s="696"/>
      <c r="L1116" s="696"/>
      <c r="M1116" s="1080"/>
      <c r="N1116" s="967"/>
      <c r="O1116" s="544"/>
      <c r="P1116" s="969"/>
      <c r="Q1116" s="970"/>
    </row>
    <row r="1117" spans="1:17">
      <c r="A1117" s="618" t="s">
        <v>310</v>
      </c>
      <c r="B1117" s="619" t="s">
        <v>289</v>
      </c>
      <c r="C1117" s="621"/>
      <c r="D1117" s="620"/>
      <c r="E1117" s="622"/>
      <c r="F1117" s="623">
        <f>SUM(F1064:F1115)</f>
        <v>0</v>
      </c>
      <c r="H1117" s="645"/>
      <c r="K1117" s="696"/>
      <c r="L1117" s="696"/>
      <c r="M1117" s="1080"/>
      <c r="N1117" s="967"/>
      <c r="O1117" s="544"/>
      <c r="P1117" s="969"/>
      <c r="Q1117" s="970"/>
    </row>
    <row r="1118" spans="1:17">
      <c r="A1118" s="624"/>
      <c r="B1118" s="625"/>
      <c r="C1118" s="627"/>
      <c r="D1118" s="626"/>
      <c r="E1118" s="628"/>
      <c r="F1118" s="629"/>
      <c r="K1118" s="696"/>
      <c r="L1118" s="696"/>
      <c r="M1118" s="1080"/>
      <c r="N1118" s="967"/>
      <c r="O1118" s="544"/>
      <c r="P1118" s="969"/>
      <c r="Q1118" s="970"/>
    </row>
    <row r="1119" spans="1:17" ht="17.399999999999999">
      <c r="A1119" s="568"/>
      <c r="B1119" s="663"/>
      <c r="C1119" s="570"/>
      <c r="D1119" s="569"/>
      <c r="E1119" s="571"/>
      <c r="F1119" s="572"/>
      <c r="K1119" s="696"/>
      <c r="L1119" s="696"/>
      <c r="M1119" s="1080"/>
      <c r="N1119" s="967"/>
      <c r="O1119" s="544"/>
      <c r="P1119" s="969"/>
      <c r="Q1119" s="970"/>
    </row>
    <row r="1120" spans="1:17">
      <c r="A1120" s="574"/>
      <c r="B1120" s="664"/>
      <c r="C1120" s="576"/>
      <c r="D1120" s="575"/>
      <c r="E1120" s="577"/>
      <c r="F1120" s="578"/>
      <c r="K1120" s="696"/>
      <c r="L1120" s="696"/>
      <c r="M1120" s="1080"/>
      <c r="N1120" s="967"/>
      <c r="O1120" s="544"/>
      <c r="P1120" s="969"/>
      <c r="Q1120" s="970"/>
    </row>
    <row r="1121" spans="1:17">
      <c r="A1121" s="574"/>
      <c r="B1121" s="664"/>
      <c r="C1121" s="576"/>
      <c r="D1121" s="575"/>
      <c r="E1121" s="577"/>
      <c r="F1121" s="578"/>
      <c r="K1121" s="696"/>
      <c r="L1121" s="696"/>
      <c r="M1121" s="1080"/>
      <c r="N1121" s="967"/>
      <c r="O1121" s="544"/>
      <c r="P1121" s="969"/>
      <c r="Q1121" s="970"/>
    </row>
    <row r="1122" spans="1:17">
      <c r="A1122" s="618"/>
      <c r="B1122" s="657"/>
      <c r="C1122" s="581"/>
      <c r="D1122" s="580"/>
      <c r="E1122" s="582"/>
      <c r="F1122" s="583"/>
      <c r="K1122" s="696"/>
      <c r="L1122" s="696"/>
      <c r="M1122" s="1080"/>
      <c r="N1122" s="967"/>
      <c r="O1122" s="544"/>
      <c r="P1122" s="969"/>
      <c r="Q1122" s="970"/>
    </row>
    <row r="1123" spans="1:17" ht="15" thickBot="1">
      <c r="A1123" s="584" t="s">
        <v>276</v>
      </c>
      <c r="B1123" s="585"/>
      <c r="C1123" s="587" t="s">
        <v>277</v>
      </c>
      <c r="D1123" s="586" t="s">
        <v>266</v>
      </c>
      <c r="E1123" s="588" t="s">
        <v>278</v>
      </c>
      <c r="F1123" s="589" t="s">
        <v>267</v>
      </c>
      <c r="K1123" s="696"/>
      <c r="L1123" s="696"/>
      <c r="M1123" s="1080"/>
      <c r="N1123" s="967"/>
      <c r="O1123" s="544"/>
      <c r="P1123" s="969"/>
      <c r="Q1123" s="970"/>
    </row>
    <row r="1124" spans="1:17">
      <c r="A1124" s="590"/>
      <c r="B1124" s="591"/>
      <c r="C1124" s="593"/>
      <c r="D1124" s="592"/>
      <c r="E1124" s="594"/>
      <c r="F1124" s="595"/>
      <c r="K1124" s="696"/>
      <c r="L1124" s="696"/>
      <c r="M1124" s="1080"/>
      <c r="N1124" s="967"/>
      <c r="O1124" s="544"/>
      <c r="P1124" s="969"/>
      <c r="Q1124" s="970"/>
    </row>
    <row r="1125" spans="1:17">
      <c r="A1125" s="590" t="s">
        <v>323</v>
      </c>
      <c r="B1125" s="651" t="s">
        <v>343</v>
      </c>
      <c r="C1125" s="593"/>
      <c r="D1125" s="592"/>
      <c r="E1125" s="594"/>
      <c r="F1125" s="595"/>
      <c r="K1125" s="696"/>
      <c r="L1125" s="696"/>
      <c r="M1125" s="1080"/>
      <c r="N1125" s="967"/>
      <c r="O1125" s="544"/>
      <c r="P1125" s="969"/>
      <c r="Q1125" s="970"/>
    </row>
    <row r="1126" spans="1:17">
      <c r="A1126" s="590"/>
      <c r="B1126" s="591"/>
      <c r="C1126" s="593"/>
      <c r="D1126" s="592"/>
      <c r="E1126" s="594"/>
      <c r="F1126" s="595"/>
      <c r="K1126" s="696"/>
      <c r="L1126" s="696"/>
      <c r="M1126" s="1080"/>
      <c r="N1126" s="967"/>
      <c r="O1126" s="544"/>
      <c r="P1126" s="969"/>
      <c r="Q1126" s="970"/>
    </row>
    <row r="1127" spans="1:17" ht="15" thickBot="1">
      <c r="A1127" s="590" t="s">
        <v>294</v>
      </c>
      <c r="B1127" s="591" t="s">
        <v>485</v>
      </c>
      <c r="C1127" s="593">
        <v>2</v>
      </c>
      <c r="D1127" s="592" t="s">
        <v>283</v>
      </c>
      <c r="E1127" s="594"/>
      <c r="F1127" s="595">
        <f>E1127*C1127</f>
        <v>0</v>
      </c>
      <c r="K1127" s="696"/>
      <c r="L1127" s="696"/>
      <c r="M1127" s="703"/>
      <c r="N1127" s="967"/>
      <c r="O1127" s="968"/>
      <c r="P1127" s="969"/>
      <c r="Q1127" s="970"/>
    </row>
    <row r="1128" spans="1:17">
      <c r="A1128" s="590"/>
      <c r="B1128" s="591"/>
      <c r="C1128" s="593"/>
      <c r="D1128" s="592"/>
      <c r="E1128" s="594"/>
      <c r="F1128" s="595"/>
      <c r="K1128" s="1014"/>
      <c r="L1128" s="1014"/>
      <c r="M1128" s="1015"/>
      <c r="N1128" s="1016"/>
      <c r="O1128" s="1017"/>
      <c r="P1128" s="1018"/>
      <c r="Q1128" s="1019"/>
    </row>
    <row r="1129" spans="1:17">
      <c r="A1129" s="590" t="s">
        <v>339</v>
      </c>
      <c r="B1129" s="661" t="s">
        <v>486</v>
      </c>
      <c r="C1129" s="593">
        <v>2</v>
      </c>
      <c r="D1129" s="592" t="s">
        <v>283</v>
      </c>
      <c r="E1129" s="594"/>
      <c r="F1129" s="595">
        <f>E1129*C1129</f>
        <v>0</v>
      </c>
      <c r="K1129" s="1020"/>
      <c r="L1129" s="1020"/>
      <c r="M1129" s="1021" t="s">
        <v>289</v>
      </c>
      <c r="N1129" s="1022"/>
      <c r="O1129" s="1023"/>
      <c r="P1129" s="1024"/>
      <c r="Q1129" s="1010">
        <f>SUM(Q1077:Q1127)</f>
        <v>0</v>
      </c>
    </row>
    <row r="1130" spans="1:17">
      <c r="A1130" s="590"/>
      <c r="B1130" s="591"/>
      <c r="C1130" s="593"/>
      <c r="D1130" s="592"/>
      <c r="E1130" s="594"/>
      <c r="F1130" s="595"/>
      <c r="K1130" s="1025"/>
      <c r="L1130" s="1025"/>
      <c r="M1130" s="1026"/>
      <c r="N1130" s="1027"/>
      <c r="O1130" s="1028"/>
      <c r="P1130" s="1029"/>
      <c r="Q1130" s="1030"/>
    </row>
    <row r="1131" spans="1:17" ht="17.399999999999999">
      <c r="A1131" s="590" t="s">
        <v>340</v>
      </c>
      <c r="B1131" s="591" t="s">
        <v>487</v>
      </c>
      <c r="C1131" s="593">
        <v>2</v>
      </c>
      <c r="D1131" s="592" t="s">
        <v>283</v>
      </c>
      <c r="E1131" s="594"/>
      <c r="F1131" s="595">
        <f>E1131*C1131</f>
        <v>0</v>
      </c>
      <c r="K1131" s="980"/>
      <c r="L1131" s="981"/>
      <c r="M1131" s="982"/>
      <c r="N1131" s="982"/>
      <c r="O1131" s="983"/>
      <c r="P1131" s="984"/>
      <c r="Q1131" s="985"/>
    </row>
    <row r="1132" spans="1:17">
      <c r="A1132" s="590"/>
      <c r="B1132" s="591"/>
      <c r="C1132" s="593"/>
      <c r="D1132" s="592"/>
      <c r="E1132" s="594"/>
      <c r="F1132" s="595"/>
      <c r="K1132" s="986"/>
      <c r="L1132" s="987"/>
      <c r="M1132" s="988"/>
      <c r="N1132" s="988"/>
      <c r="O1132" s="989"/>
      <c r="P1132" s="990"/>
      <c r="Q1132" s="991"/>
    </row>
    <row r="1133" spans="1:17">
      <c r="A1133" s="590" t="s">
        <v>409</v>
      </c>
      <c r="B1133" s="591" t="s">
        <v>488</v>
      </c>
      <c r="C1133" s="593">
        <v>2</v>
      </c>
      <c r="D1133" s="592" t="s">
        <v>283</v>
      </c>
      <c r="E1133" s="594"/>
      <c r="F1133" s="595">
        <f>E1133*C1133</f>
        <v>0</v>
      </c>
      <c r="K1133" s="986"/>
      <c r="L1133" s="987"/>
      <c r="M1133" s="988"/>
      <c r="N1133" s="988"/>
      <c r="O1133" s="989"/>
      <c r="P1133" s="990"/>
      <c r="Q1133" s="991"/>
    </row>
    <row r="1134" spans="1:17">
      <c r="A1134" s="590"/>
      <c r="B1134" s="591"/>
      <c r="C1134" s="593"/>
      <c r="D1134" s="592"/>
      <c r="E1134" s="594"/>
      <c r="F1134" s="595"/>
      <c r="K1134" s="992"/>
      <c r="L1134" s="993"/>
      <c r="M1134" s="543"/>
      <c r="N1134" s="543"/>
      <c r="O1134" s="994"/>
      <c r="P1134" s="995"/>
      <c r="Q1134" s="996"/>
    </row>
    <row r="1135" spans="1:17" ht="15" thickBot="1">
      <c r="A1135" s="590"/>
      <c r="B1135" s="591"/>
      <c r="C1135" s="593"/>
      <c r="D1135" s="592"/>
      <c r="E1135" s="594"/>
      <c r="F1135" s="595"/>
      <c r="K1135" s="997" t="s">
        <v>276</v>
      </c>
      <c r="L1135" s="998" t="s">
        <v>887</v>
      </c>
      <c r="M1135" s="999"/>
      <c r="N1135" s="1000" t="s">
        <v>266</v>
      </c>
      <c r="O1135" s="1001" t="s">
        <v>277</v>
      </c>
      <c r="P1135" s="1002" t="s">
        <v>278</v>
      </c>
      <c r="Q1135" s="1003" t="s">
        <v>267</v>
      </c>
    </row>
    <row r="1136" spans="1:17">
      <c r="A1136" s="590">
        <v>24</v>
      </c>
      <c r="B1136" s="591" t="s">
        <v>311</v>
      </c>
      <c r="C1136" s="593">
        <v>66</v>
      </c>
      <c r="D1136" s="592" t="s">
        <v>283</v>
      </c>
      <c r="E1136" s="594"/>
      <c r="F1136" s="595">
        <f>E1136*C1136</f>
        <v>0</v>
      </c>
      <c r="K1136" s="696"/>
      <c r="L1136" s="696"/>
      <c r="M1136" s="703"/>
      <c r="N1136" s="967"/>
      <c r="O1136" s="968"/>
      <c r="P1136" s="969"/>
      <c r="Q1136" s="970"/>
    </row>
    <row r="1137" spans="1:17" ht="92.4">
      <c r="A1137" s="590"/>
      <c r="B1137" s="591"/>
      <c r="C1137" s="593"/>
      <c r="D1137" s="592"/>
      <c r="E1137" s="594"/>
      <c r="F1137" s="595"/>
      <c r="K1137" s="705"/>
      <c r="L1137" s="705"/>
      <c r="M1137" s="1073" t="s">
        <v>497</v>
      </c>
      <c r="N1137" s="1047"/>
      <c r="O1137" s="1048"/>
      <c r="P1137" s="1049"/>
      <c r="Q1137" s="1050"/>
    </row>
    <row r="1138" spans="1:17">
      <c r="A1138" s="590"/>
      <c r="B1138" s="591"/>
      <c r="C1138" s="593"/>
      <c r="D1138" s="592"/>
      <c r="E1138" s="594"/>
      <c r="F1138" s="595"/>
      <c r="K1138" s="705"/>
      <c r="L1138" s="705"/>
      <c r="M1138" s="706"/>
      <c r="N1138" s="1047"/>
      <c r="O1138" s="1048"/>
      <c r="P1138" s="1049"/>
      <c r="Q1138" s="1050"/>
    </row>
    <row r="1139" spans="1:17">
      <c r="A1139" s="590"/>
      <c r="B1139" s="591"/>
      <c r="C1139" s="593"/>
      <c r="D1139" s="592"/>
      <c r="E1139" s="594"/>
      <c r="F1139" s="595"/>
      <c r="K1139" s="705"/>
      <c r="L1139" s="705"/>
      <c r="M1139" s="1069"/>
      <c r="N1139" s="1047"/>
      <c r="O1139" s="1048"/>
      <c r="P1139" s="1049"/>
      <c r="Q1139" s="1050"/>
    </row>
    <row r="1140" spans="1:17">
      <c r="A1140" s="590"/>
      <c r="B1140" s="591"/>
      <c r="C1140" s="593"/>
      <c r="D1140" s="592"/>
      <c r="E1140" s="594"/>
      <c r="F1140" s="595"/>
      <c r="K1140" s="705"/>
      <c r="L1140" s="705"/>
      <c r="M1140" s="1051" t="s">
        <v>403</v>
      </c>
      <c r="N1140" s="1047"/>
      <c r="O1140" s="1048"/>
      <c r="P1140" s="1049"/>
      <c r="Q1140" s="1050"/>
    </row>
    <row r="1141" spans="1:17">
      <c r="A1141" s="590"/>
      <c r="B1141" s="591"/>
      <c r="C1141" s="593"/>
      <c r="D1141" s="592"/>
      <c r="E1141" s="594"/>
      <c r="F1141" s="595"/>
      <c r="K1141" s="705"/>
      <c r="L1141" s="705"/>
      <c r="M1141" s="1068"/>
      <c r="N1141" s="1047"/>
      <c r="O1141" s="1072"/>
      <c r="P1141" s="1049"/>
      <c r="Q1141" s="1050"/>
    </row>
    <row r="1142" spans="1:17" ht="52.8">
      <c r="A1142" s="590"/>
      <c r="B1142" s="591"/>
      <c r="C1142" s="593"/>
      <c r="D1142" s="592"/>
      <c r="E1142" s="594"/>
      <c r="F1142" s="595"/>
      <c r="K1142" s="705">
        <f>K1088+1</f>
        <v>21</v>
      </c>
      <c r="L1142" s="705"/>
      <c r="M1142" s="1085" t="s">
        <v>449</v>
      </c>
      <c r="N1142" s="1074"/>
      <c r="O1142" s="1072"/>
      <c r="P1142" s="1049"/>
      <c r="Q1142" s="1050"/>
    </row>
    <row r="1143" spans="1:17">
      <c r="A1143" s="590"/>
      <c r="B1143" s="591"/>
      <c r="C1143" s="593"/>
      <c r="D1143" s="592"/>
      <c r="E1143" s="594"/>
      <c r="F1143" s="595"/>
      <c r="K1143" s="705"/>
      <c r="L1143" s="705"/>
      <c r="M1143" s="1073"/>
      <c r="N1143" s="1074"/>
      <c r="O1143" s="1048"/>
      <c r="P1143" s="1049"/>
      <c r="Q1143" s="1050"/>
    </row>
    <row r="1144" spans="1:17">
      <c r="A1144" s="590"/>
      <c r="B1144" s="591"/>
      <c r="C1144" s="646"/>
      <c r="D1144" s="592"/>
      <c r="E1144" s="594"/>
      <c r="F1144" s="595"/>
      <c r="K1144" s="705"/>
      <c r="L1144" s="705"/>
      <c r="M1144" s="1085" t="s">
        <v>406</v>
      </c>
      <c r="N1144" s="1074" t="s">
        <v>283</v>
      </c>
      <c r="O1144" s="1048">
        <v>1</v>
      </c>
      <c r="P1144" s="1049">
        <f ca="1">Elec_Est!E1219</f>
        <v>81</v>
      </c>
      <c r="Q1144" s="1050">
        <f ca="1">P1144*O1144</f>
        <v>81</v>
      </c>
    </row>
    <row r="1145" spans="1:17">
      <c r="A1145" s="590"/>
      <c r="B1145" s="591"/>
      <c r="C1145" s="593"/>
      <c r="D1145" s="592"/>
      <c r="E1145" s="594"/>
      <c r="F1145" s="595"/>
      <c r="K1145" s="705"/>
      <c r="L1145" s="705"/>
      <c r="M1145" s="1085"/>
      <c r="N1145" s="1074"/>
      <c r="O1145" s="1048"/>
      <c r="P1145" s="1049"/>
      <c r="Q1145" s="1050"/>
    </row>
    <row r="1146" spans="1:17">
      <c r="A1146" s="590"/>
      <c r="B1146" s="666"/>
      <c r="C1146" s="646"/>
      <c r="D1146" s="592"/>
      <c r="E1146" s="594"/>
      <c r="F1146" s="595"/>
      <c r="K1146" s="705"/>
      <c r="L1146" s="705"/>
      <c r="M1146" s="1085" t="s">
        <v>407</v>
      </c>
      <c r="N1146" s="1074" t="s">
        <v>283</v>
      </c>
      <c r="O1146" s="1048">
        <v>1</v>
      </c>
      <c r="P1146" s="1049">
        <f ca="1">Elec_Est!E1240</f>
        <v>81</v>
      </c>
      <c r="Q1146" s="1050">
        <f ca="1">P1146*O1146</f>
        <v>81</v>
      </c>
    </row>
    <row r="1147" spans="1:17">
      <c r="A1147" s="590"/>
      <c r="B1147" s="609"/>
      <c r="C1147" s="610"/>
      <c r="D1147" s="592"/>
      <c r="E1147" s="594"/>
      <c r="F1147" s="595"/>
      <c r="K1147" s="705"/>
      <c r="L1147" s="705"/>
      <c r="M1147" s="1085"/>
      <c r="N1147" s="1074"/>
      <c r="O1147" s="1048"/>
      <c r="P1147" s="1049"/>
      <c r="Q1147" s="1050"/>
    </row>
    <row r="1148" spans="1:17">
      <c r="A1148" s="590"/>
      <c r="B1148" s="609"/>
      <c r="C1148" s="610"/>
      <c r="D1148" s="592"/>
      <c r="E1148" s="594"/>
      <c r="F1148" s="595"/>
      <c r="K1148" s="705"/>
      <c r="L1148" s="705"/>
      <c r="M1148" s="1085" t="s">
        <v>408</v>
      </c>
      <c r="N1148" s="1074" t="s">
        <v>283</v>
      </c>
      <c r="O1148" s="1048">
        <v>1</v>
      </c>
      <c r="P1148" s="1049">
        <f ca="1">Elec_Est!E1261</f>
        <v>81</v>
      </c>
      <c r="Q1148" s="1050">
        <f ca="1">P1148*O1148</f>
        <v>81</v>
      </c>
    </row>
    <row r="1149" spans="1:17">
      <c r="A1149" s="590"/>
      <c r="B1149" s="609"/>
      <c r="C1149" s="610"/>
      <c r="D1149" s="592"/>
      <c r="E1149" s="594"/>
      <c r="F1149" s="595"/>
      <c r="K1149" s="705"/>
      <c r="L1149" s="705"/>
      <c r="M1149" s="1073"/>
      <c r="N1149" s="1074"/>
      <c r="O1149" s="1048"/>
      <c r="P1149" s="1049"/>
      <c r="Q1149" s="1050"/>
    </row>
    <row r="1150" spans="1:17">
      <c r="A1150" s="590"/>
      <c r="B1150" s="609"/>
      <c r="C1150" s="610"/>
      <c r="D1150" s="592"/>
      <c r="E1150" s="594"/>
      <c r="F1150" s="595"/>
      <c r="K1150" s="705"/>
      <c r="L1150" s="705"/>
      <c r="M1150" s="1085" t="s">
        <v>410</v>
      </c>
      <c r="N1150" s="1074" t="s">
        <v>283</v>
      </c>
      <c r="O1150" s="1048">
        <v>1</v>
      </c>
      <c r="P1150" s="1049">
        <f>Elec_Est!E1282</f>
        <v>152.91</v>
      </c>
      <c r="Q1150" s="1050">
        <f>P1150*O1150</f>
        <v>152.91</v>
      </c>
    </row>
    <row r="1151" spans="1:17">
      <c r="A1151" s="590"/>
      <c r="B1151" s="667"/>
      <c r="C1151" s="610"/>
      <c r="D1151" s="592"/>
      <c r="E1151" s="594"/>
      <c r="F1151" s="595"/>
      <c r="K1151" s="696"/>
      <c r="L1151" s="696"/>
      <c r="M1151" s="1082"/>
      <c r="N1151" s="1076"/>
      <c r="O1151" s="968"/>
      <c r="P1151" s="969"/>
      <c r="Q1151" s="970"/>
    </row>
    <row r="1152" spans="1:17">
      <c r="A1152" s="590"/>
      <c r="B1152" s="609"/>
      <c r="C1152" s="610"/>
      <c r="D1152" s="592"/>
      <c r="E1152" s="594"/>
      <c r="F1152" s="595"/>
      <c r="K1152" s="696"/>
      <c r="L1152" s="696"/>
      <c r="M1152" s="1075"/>
      <c r="N1152" s="1076"/>
      <c r="O1152" s="968"/>
      <c r="P1152" s="969"/>
      <c r="Q1152" s="970"/>
    </row>
    <row r="1153" spans="1:17" ht="26.4">
      <c r="A1153" s="590"/>
      <c r="B1153" s="609"/>
      <c r="C1153" s="610"/>
      <c r="D1153" s="592"/>
      <c r="E1153" s="594"/>
      <c r="F1153" s="595"/>
      <c r="K1153" s="1070">
        <f>K1142+1</f>
        <v>22</v>
      </c>
      <c r="L1153" s="705"/>
      <c r="M1153" s="1085" t="s">
        <v>498</v>
      </c>
      <c r="N1153" s="1074"/>
      <c r="O1153" s="1072"/>
      <c r="P1153" s="1049"/>
      <c r="Q1153" s="1050"/>
    </row>
    <row r="1154" spans="1:17">
      <c r="A1154" s="590"/>
      <c r="B1154" s="666"/>
      <c r="C1154" s="646"/>
      <c r="D1154" s="592"/>
      <c r="E1154" s="594"/>
      <c r="F1154" s="595"/>
      <c r="K1154" s="705"/>
      <c r="L1154" s="705"/>
      <c r="M1154" s="1073"/>
      <c r="N1154" s="1074"/>
      <c r="O1154" s="1048"/>
      <c r="P1154" s="1049"/>
      <c r="Q1154" s="1050"/>
    </row>
    <row r="1155" spans="1:17">
      <c r="A1155" s="590"/>
      <c r="B1155" s="666"/>
      <c r="C1155" s="610"/>
      <c r="D1155" s="592"/>
      <c r="E1155" s="594"/>
      <c r="F1155" s="595"/>
      <c r="K1155" s="705"/>
      <c r="L1155" s="705"/>
      <c r="M1155" s="1085" t="s">
        <v>412</v>
      </c>
      <c r="N1155" s="1074" t="s">
        <v>283</v>
      </c>
      <c r="O1155" s="1048">
        <v>1</v>
      </c>
      <c r="P1155" s="1049">
        <f>Elec_Est!E1313</f>
        <v>165.9</v>
      </c>
      <c r="Q1155" s="1050">
        <f>P1155*O1155</f>
        <v>165.9</v>
      </c>
    </row>
    <row r="1156" spans="1:17">
      <c r="A1156" s="590"/>
      <c r="B1156" s="666"/>
      <c r="C1156" s="646"/>
      <c r="D1156" s="592"/>
      <c r="E1156" s="594"/>
      <c r="F1156" s="595"/>
      <c r="K1156" s="705"/>
      <c r="L1156" s="705"/>
      <c r="M1156" s="1085"/>
      <c r="N1156" s="1074"/>
      <c r="O1156" s="1048"/>
      <c r="P1156" s="1049"/>
      <c r="Q1156" s="1050"/>
    </row>
    <row r="1157" spans="1:17">
      <c r="A1157" s="590"/>
      <c r="B1157" s="666"/>
      <c r="C1157" s="610"/>
      <c r="D1157" s="592"/>
      <c r="E1157" s="594"/>
      <c r="F1157" s="595"/>
      <c r="K1157" s="705"/>
      <c r="L1157" s="705"/>
      <c r="M1157" s="1085" t="s">
        <v>413</v>
      </c>
      <c r="N1157" s="1074" t="s">
        <v>283</v>
      </c>
      <c r="O1157" s="1048">
        <v>1</v>
      </c>
      <c r="P1157" s="1049">
        <f>Elec_Est!E1340</f>
        <v>165.9</v>
      </c>
      <c r="Q1157" s="1050">
        <f>P1157*O1157</f>
        <v>165.9</v>
      </c>
    </row>
    <row r="1158" spans="1:17">
      <c r="A1158" s="590"/>
      <c r="B1158" s="666"/>
      <c r="C1158" s="646"/>
      <c r="D1158" s="592"/>
      <c r="E1158" s="594"/>
      <c r="F1158" s="595"/>
      <c r="K1158" s="705"/>
      <c r="L1158" s="705"/>
      <c r="M1158" s="1085"/>
      <c r="N1158" s="1074"/>
      <c r="O1158" s="1048"/>
      <c r="P1158" s="1049"/>
      <c r="Q1158" s="1050"/>
    </row>
    <row r="1159" spans="1:17">
      <c r="A1159" s="590"/>
      <c r="B1159" s="666"/>
      <c r="C1159" s="610"/>
      <c r="D1159" s="592"/>
      <c r="E1159" s="594"/>
      <c r="F1159" s="595"/>
      <c r="K1159" s="705"/>
      <c r="L1159" s="705"/>
      <c r="M1159" s="1085" t="s">
        <v>414</v>
      </c>
      <c r="N1159" s="1074" t="s">
        <v>283</v>
      </c>
      <c r="O1159" s="1048">
        <v>1</v>
      </c>
      <c r="P1159" s="1049">
        <f>Elec_Est!E1367</f>
        <v>165.9</v>
      </c>
      <c r="Q1159" s="1050">
        <f>P1159*O1159</f>
        <v>165.9</v>
      </c>
    </row>
    <row r="1160" spans="1:17">
      <c r="A1160" s="590"/>
      <c r="B1160" s="666"/>
      <c r="C1160" s="646"/>
      <c r="D1160" s="592"/>
      <c r="E1160" s="594"/>
      <c r="F1160" s="595"/>
      <c r="K1160" s="705"/>
      <c r="L1160" s="705"/>
      <c r="M1160" s="1073"/>
      <c r="N1160" s="1074"/>
      <c r="O1160" s="1048"/>
      <c r="P1160" s="1049"/>
      <c r="Q1160" s="1050"/>
    </row>
    <row r="1161" spans="1:17">
      <c r="A1161" s="590"/>
      <c r="B1161" s="666"/>
      <c r="C1161" s="610"/>
      <c r="D1161" s="592"/>
      <c r="E1161" s="594"/>
      <c r="F1161" s="595"/>
      <c r="K1161" s="705"/>
      <c r="L1161" s="705"/>
      <c r="M1161" s="1085" t="s">
        <v>415</v>
      </c>
      <c r="N1161" s="1074" t="s">
        <v>283</v>
      </c>
      <c r="O1161" s="1048">
        <v>1</v>
      </c>
      <c r="P1161" s="1049">
        <f>Elec_Est!E1394</f>
        <v>152.91</v>
      </c>
      <c r="Q1161" s="1050">
        <f>P1161*O1161</f>
        <v>152.91</v>
      </c>
    </row>
    <row r="1162" spans="1:17">
      <c r="A1162" s="590"/>
      <c r="B1162" s="666"/>
      <c r="C1162" s="646"/>
      <c r="D1162" s="592"/>
      <c r="E1162" s="594"/>
      <c r="F1162" s="595"/>
      <c r="K1162" s="705"/>
      <c r="L1162" s="705"/>
      <c r="M1162" s="1085"/>
      <c r="N1162" s="1074"/>
      <c r="O1162" s="1048"/>
      <c r="P1162" s="1049"/>
      <c r="Q1162" s="1050"/>
    </row>
    <row r="1163" spans="1:17">
      <c r="A1163" s="590"/>
      <c r="B1163" s="666"/>
      <c r="C1163" s="646"/>
      <c r="D1163" s="592"/>
      <c r="E1163" s="594"/>
      <c r="F1163" s="595"/>
      <c r="K1163" s="705"/>
      <c r="L1163" s="705"/>
      <c r="M1163" s="1085" t="s">
        <v>417</v>
      </c>
      <c r="N1163" s="1074" t="s">
        <v>283</v>
      </c>
      <c r="O1163" s="1048">
        <v>1</v>
      </c>
      <c r="P1163" s="1049">
        <f>Elec_Est!E1421</f>
        <v>152.91</v>
      </c>
      <c r="Q1163" s="1050">
        <f>P1163*O1163</f>
        <v>152.91</v>
      </c>
    </row>
    <row r="1164" spans="1:17">
      <c r="A1164" s="590"/>
      <c r="B1164" s="666"/>
      <c r="C1164" s="646"/>
      <c r="D1164" s="592"/>
      <c r="E1164" s="594"/>
      <c r="F1164" s="595"/>
      <c r="K1164" s="696"/>
      <c r="L1164" s="696"/>
      <c r="M1164" s="1032"/>
      <c r="N1164" s="1083"/>
      <c r="O1164" s="968"/>
      <c r="P1164" s="969"/>
      <c r="Q1164" s="970"/>
    </row>
    <row r="1165" spans="1:17">
      <c r="A1165" s="590"/>
      <c r="B1165" s="666"/>
      <c r="C1165" s="646"/>
      <c r="D1165" s="592"/>
      <c r="E1165" s="594"/>
      <c r="F1165" s="595"/>
      <c r="K1165" s="696"/>
      <c r="L1165" s="696"/>
      <c r="M1165" s="703"/>
      <c r="N1165" s="967"/>
      <c r="O1165" s="968"/>
      <c r="P1165" s="969"/>
      <c r="Q1165" s="970"/>
    </row>
    <row r="1166" spans="1:17" ht="39.6">
      <c r="A1166" s="590"/>
      <c r="B1166" s="666"/>
      <c r="C1166" s="646"/>
      <c r="D1166" s="592"/>
      <c r="E1166" s="594"/>
      <c r="F1166" s="595"/>
      <c r="K1166" s="1070">
        <f>K1153+1</f>
        <v>23</v>
      </c>
      <c r="L1166" s="705"/>
      <c r="M1166" s="1085" t="s">
        <v>451</v>
      </c>
      <c r="N1166" s="1074"/>
      <c r="O1166" s="1072"/>
      <c r="P1166" s="1049"/>
      <c r="Q1166" s="1050"/>
    </row>
    <row r="1167" spans="1:17">
      <c r="A1167" s="590"/>
      <c r="B1167" s="666"/>
      <c r="C1167" s="646"/>
      <c r="D1167" s="592"/>
      <c r="E1167" s="594"/>
      <c r="F1167" s="595"/>
      <c r="K1167" s="705"/>
      <c r="L1167" s="705"/>
      <c r="M1167" s="1073"/>
      <c r="N1167" s="1074"/>
      <c r="O1167" s="1048"/>
      <c r="P1167" s="1049"/>
      <c r="Q1167" s="1050"/>
    </row>
    <row r="1168" spans="1:17">
      <c r="A1168" s="590"/>
      <c r="B1168" s="666"/>
      <c r="C1168" s="646"/>
      <c r="D1168" s="592"/>
      <c r="E1168" s="594"/>
      <c r="F1168" s="595"/>
      <c r="K1168" s="705"/>
      <c r="L1168" s="705"/>
      <c r="M1168" s="1085" t="s">
        <v>452</v>
      </c>
      <c r="N1168" s="1074" t="s">
        <v>283</v>
      </c>
      <c r="O1168" s="1048">
        <v>1</v>
      </c>
      <c r="P1168" s="1049">
        <f>Elec_Est!E1452</f>
        <v>165.9</v>
      </c>
      <c r="Q1168" s="1050">
        <f>P1168*O1168</f>
        <v>165.9</v>
      </c>
    </row>
    <row r="1169" spans="1:17">
      <c r="A1169" s="590"/>
      <c r="B1169" s="666"/>
      <c r="C1169" s="646"/>
      <c r="D1169" s="592"/>
      <c r="E1169" s="594"/>
      <c r="F1169" s="595"/>
      <c r="K1169" s="705"/>
      <c r="L1169" s="705"/>
      <c r="M1169" s="1085"/>
      <c r="N1169" s="1074"/>
      <c r="O1169" s="1048"/>
      <c r="P1169" s="1049"/>
      <c r="Q1169" s="1050"/>
    </row>
    <row r="1170" spans="1:17">
      <c r="A1170" s="590"/>
      <c r="B1170" s="666"/>
      <c r="C1170" s="646"/>
      <c r="D1170" s="592"/>
      <c r="E1170" s="594"/>
      <c r="F1170" s="595"/>
      <c r="K1170" s="705"/>
      <c r="L1170" s="705"/>
      <c r="M1170" s="1085" t="s">
        <v>453</v>
      </c>
      <c r="N1170" s="1074" t="s">
        <v>283</v>
      </c>
      <c r="O1170" s="1048">
        <v>1</v>
      </c>
      <c r="P1170" s="1049">
        <f>Elec_Est!E1479</f>
        <v>165.9</v>
      </c>
      <c r="Q1170" s="1050">
        <f>P1170*O1170</f>
        <v>165.9</v>
      </c>
    </row>
    <row r="1171" spans="1:17">
      <c r="A1171" s="590"/>
      <c r="B1171" s="666"/>
      <c r="C1171" s="646"/>
      <c r="D1171" s="592"/>
      <c r="E1171" s="594"/>
      <c r="F1171" s="595"/>
      <c r="K1171" s="705"/>
      <c r="L1171" s="705"/>
      <c r="M1171" s="1085"/>
      <c r="N1171" s="1074"/>
      <c r="O1171" s="1048"/>
      <c r="P1171" s="1049"/>
      <c r="Q1171" s="1050"/>
    </row>
    <row r="1172" spans="1:17">
      <c r="A1172" s="590"/>
      <c r="B1172" s="666"/>
      <c r="C1172" s="646"/>
      <c r="D1172" s="592"/>
      <c r="E1172" s="594"/>
      <c r="F1172" s="595"/>
      <c r="K1172" s="705"/>
      <c r="L1172" s="705"/>
      <c r="M1172" s="1085" t="s">
        <v>454</v>
      </c>
      <c r="N1172" s="1074" t="s">
        <v>283</v>
      </c>
      <c r="O1172" s="1048">
        <v>1</v>
      </c>
      <c r="P1172" s="1049">
        <f>Elec_Est!E1506</f>
        <v>165.9</v>
      </c>
      <c r="Q1172" s="1050">
        <f>P1172*O1172</f>
        <v>165.9</v>
      </c>
    </row>
    <row r="1173" spans="1:17">
      <c r="A1173" s="590"/>
      <c r="B1173" s="666"/>
      <c r="C1173" s="646"/>
      <c r="D1173" s="592"/>
      <c r="E1173" s="594"/>
      <c r="F1173" s="595"/>
      <c r="K1173" s="696"/>
      <c r="L1173" s="696"/>
      <c r="M1173" s="1082"/>
      <c r="N1173" s="1076"/>
      <c r="O1173" s="968"/>
      <c r="P1173" s="969"/>
      <c r="Q1173" s="970"/>
    </row>
    <row r="1174" spans="1:17">
      <c r="A1174" s="590"/>
      <c r="B1174" s="666"/>
      <c r="C1174" s="646"/>
      <c r="D1174" s="592"/>
      <c r="E1174" s="594"/>
      <c r="F1174" s="595"/>
      <c r="K1174" s="696"/>
      <c r="L1174" s="696"/>
      <c r="M1174" s="1082"/>
      <c r="N1174" s="1076"/>
      <c r="O1174" s="968"/>
      <c r="P1174" s="969"/>
      <c r="Q1174" s="970"/>
    </row>
    <row r="1175" spans="1:17" ht="15" thickBot="1">
      <c r="A1175" s="590"/>
      <c r="B1175" s="591"/>
      <c r="C1175" s="593"/>
      <c r="D1175" s="592"/>
      <c r="E1175" s="594"/>
      <c r="F1175" s="595"/>
      <c r="K1175" s="696"/>
      <c r="L1175" s="696"/>
      <c r="M1175" s="1075"/>
      <c r="N1175" s="1076"/>
      <c r="O1175" s="968"/>
      <c r="P1175" s="969"/>
      <c r="Q1175" s="970"/>
    </row>
    <row r="1176" spans="1:17">
      <c r="A1176" s="612"/>
      <c r="B1176" s="613"/>
      <c r="C1176" s="615"/>
      <c r="D1176" s="614"/>
      <c r="E1176" s="616"/>
      <c r="F1176" s="617"/>
      <c r="K1176" s="1014"/>
      <c r="L1176" s="1014"/>
      <c r="M1176" s="1015"/>
      <c r="N1176" s="1016"/>
      <c r="O1176" s="1017"/>
      <c r="P1176" s="1018"/>
      <c r="Q1176" s="1019"/>
    </row>
    <row r="1177" spans="1:17">
      <c r="A1177" s="618" t="s">
        <v>310</v>
      </c>
      <c r="B1177" s="619" t="s">
        <v>289</v>
      </c>
      <c r="C1177" s="621"/>
      <c r="D1177" s="620"/>
      <c r="E1177" s="622"/>
      <c r="F1177" s="623">
        <f>SUM(F1125:F1175)</f>
        <v>0</v>
      </c>
      <c r="H1177" s="645"/>
      <c r="K1177" s="1020"/>
      <c r="L1177" s="1020"/>
      <c r="M1177" s="1021" t="s">
        <v>289</v>
      </c>
      <c r="N1177" s="1022"/>
      <c r="O1177" s="1023"/>
      <c r="P1177" s="1024"/>
      <c r="Q1177" s="1010">
        <f ca="1">SUM(Q1137:Q1175)</f>
        <v>1697.1300000000003</v>
      </c>
    </row>
    <row r="1178" spans="1:17">
      <c r="A1178" s="624"/>
      <c r="B1178" s="625"/>
      <c r="C1178" s="627"/>
      <c r="D1178" s="626"/>
      <c r="E1178" s="628"/>
      <c r="F1178" s="629"/>
      <c r="K1178" s="1025"/>
      <c r="L1178" s="1025"/>
      <c r="M1178" s="1026"/>
      <c r="N1178" s="1027"/>
      <c r="O1178" s="1028"/>
      <c r="P1178" s="1029"/>
      <c r="Q1178" s="1030"/>
    </row>
    <row r="1179" spans="1:17" ht="17.399999999999999">
      <c r="A1179" s="568"/>
      <c r="B1179" s="569"/>
      <c r="C1179" s="570"/>
      <c r="D1179" s="569"/>
      <c r="E1179" s="571"/>
      <c r="F1179" s="572"/>
      <c r="K1179" s="980"/>
      <c r="L1179" s="981"/>
      <c r="M1179" s="1077"/>
      <c r="N1179" s="982"/>
      <c r="O1179" s="983"/>
      <c r="P1179" s="984"/>
      <c r="Q1179" s="985"/>
    </row>
    <row r="1180" spans="1:17">
      <c r="A1180" s="574"/>
      <c r="B1180" s="575"/>
      <c r="C1180" s="576"/>
      <c r="D1180" s="575"/>
      <c r="E1180" s="577"/>
      <c r="F1180" s="578"/>
      <c r="K1180" s="986"/>
      <c r="L1180" s="987"/>
      <c r="M1180" s="1078"/>
      <c r="N1180" s="988"/>
      <c r="O1180" s="989"/>
      <c r="P1180" s="990"/>
      <c r="Q1180" s="991"/>
    </row>
    <row r="1181" spans="1:17">
      <c r="A1181" s="574"/>
      <c r="B1181" s="575"/>
      <c r="C1181" s="576"/>
      <c r="D1181" s="575"/>
      <c r="E1181" s="577"/>
      <c r="F1181" s="578"/>
      <c r="K1181" s="986"/>
      <c r="L1181" s="987"/>
      <c r="M1181" s="1078"/>
      <c r="N1181" s="988"/>
      <c r="O1181" s="989"/>
      <c r="P1181" s="990"/>
      <c r="Q1181" s="991"/>
    </row>
    <row r="1182" spans="1:17">
      <c r="A1182" s="579"/>
      <c r="B1182" s="580"/>
      <c r="C1182" s="581"/>
      <c r="D1182" s="580"/>
      <c r="E1182" s="582"/>
      <c r="F1182" s="583"/>
      <c r="K1182" s="1020"/>
      <c r="L1182" s="993"/>
      <c r="M1182" s="959"/>
      <c r="N1182" s="543"/>
      <c r="O1182" s="994"/>
      <c r="P1182" s="995"/>
      <c r="Q1182" s="996"/>
    </row>
    <row r="1183" spans="1:17" ht="15" thickBot="1">
      <c r="A1183" s="584" t="s">
        <v>276</v>
      </c>
      <c r="B1183" s="585"/>
      <c r="C1183" s="587" t="s">
        <v>277</v>
      </c>
      <c r="D1183" s="586" t="s">
        <v>266</v>
      </c>
      <c r="E1183" s="588" t="s">
        <v>278</v>
      </c>
      <c r="F1183" s="589" t="s">
        <v>267</v>
      </c>
      <c r="K1183" s="997" t="s">
        <v>276</v>
      </c>
      <c r="L1183" s="998" t="s">
        <v>887</v>
      </c>
      <c r="M1183" s="999"/>
      <c r="N1183" s="1000" t="s">
        <v>266</v>
      </c>
      <c r="O1183" s="1001" t="s">
        <v>277</v>
      </c>
      <c r="P1183" s="1002" t="s">
        <v>278</v>
      </c>
      <c r="Q1183" s="1003" t="s">
        <v>267</v>
      </c>
    </row>
    <row r="1184" spans="1:17">
      <c r="A1184" s="590"/>
      <c r="B1184" s="591"/>
      <c r="C1184" s="593"/>
      <c r="D1184" s="592"/>
      <c r="E1184" s="594"/>
      <c r="F1184" s="595"/>
      <c r="K1184" s="696"/>
      <c r="L1184" s="696"/>
      <c r="M1184" s="703"/>
      <c r="N1184" s="967"/>
      <c r="O1184" s="968"/>
      <c r="P1184" s="969"/>
      <c r="Q1184" s="970"/>
    </row>
    <row r="1185" spans="1:17" ht="102" customHeight="1">
      <c r="A1185" s="590" t="s">
        <v>279</v>
      </c>
      <c r="B1185" s="661" t="s">
        <v>497</v>
      </c>
      <c r="C1185" s="593"/>
      <c r="D1185" s="592"/>
      <c r="E1185" s="594"/>
      <c r="F1185" s="595"/>
      <c r="K1185" s="1070">
        <f>K1166+1</f>
        <v>24</v>
      </c>
      <c r="L1185" s="705"/>
      <c r="M1185" s="1085" t="s">
        <v>451</v>
      </c>
      <c r="N1185" s="1074"/>
      <c r="O1185" s="1072"/>
      <c r="P1185" s="1049"/>
      <c r="Q1185" s="1050"/>
    </row>
    <row r="1186" spans="1:17">
      <c r="A1186" s="590"/>
      <c r="B1186" s="591"/>
      <c r="C1186" s="593"/>
      <c r="D1186" s="592"/>
      <c r="E1186" s="594"/>
      <c r="F1186" s="595"/>
      <c r="K1186" s="705"/>
      <c r="L1186" s="705"/>
      <c r="M1186" s="1073"/>
      <c r="N1186" s="1074"/>
      <c r="O1186" s="1048"/>
      <c r="P1186" s="1049"/>
      <c r="Q1186" s="1050"/>
    </row>
    <row r="1187" spans="1:17">
      <c r="A1187" s="590"/>
      <c r="B1187" s="596"/>
      <c r="C1187" s="593"/>
      <c r="D1187" s="592"/>
      <c r="E1187" s="594"/>
      <c r="F1187" s="595"/>
      <c r="K1187" s="705"/>
      <c r="L1187" s="705"/>
      <c r="M1187" s="1085" t="s">
        <v>455</v>
      </c>
      <c r="N1187" s="1074" t="s">
        <v>283</v>
      </c>
      <c r="O1187" s="1048">
        <v>1</v>
      </c>
      <c r="P1187" s="1049">
        <f>Elec_Est!E1537</f>
        <v>165.9</v>
      </c>
      <c r="Q1187" s="1050">
        <f>P1187*O1187</f>
        <v>165.9</v>
      </c>
    </row>
    <row r="1188" spans="1:17">
      <c r="A1188" s="590" t="s">
        <v>279</v>
      </c>
      <c r="B1188" s="597" t="s">
        <v>403</v>
      </c>
      <c r="C1188" s="593"/>
      <c r="D1188" s="592"/>
      <c r="E1188" s="594"/>
      <c r="F1188" s="595"/>
      <c r="K1188" s="705"/>
      <c r="L1188" s="705"/>
      <c r="M1188" s="1085"/>
      <c r="N1188" s="1074"/>
      <c r="O1188" s="1048"/>
      <c r="P1188" s="1049"/>
      <c r="Q1188" s="1050"/>
    </row>
    <row r="1189" spans="1:17">
      <c r="A1189" s="590"/>
      <c r="B1189" s="666"/>
      <c r="C1189" s="610"/>
      <c r="D1189" s="592"/>
      <c r="E1189" s="594"/>
      <c r="F1189" s="595"/>
      <c r="K1189" s="705"/>
      <c r="L1189" s="705"/>
      <c r="M1189" s="1085" t="s">
        <v>456</v>
      </c>
      <c r="N1189" s="1074" t="s">
        <v>283</v>
      </c>
      <c r="O1189" s="1048">
        <v>1</v>
      </c>
      <c r="P1189" s="1049">
        <f>Elec_Est!E1562</f>
        <v>165.9</v>
      </c>
      <c r="Q1189" s="1050">
        <f>P1189*O1189</f>
        <v>165.9</v>
      </c>
    </row>
    <row r="1190" spans="1:17" ht="52.8">
      <c r="A1190" s="603" t="s">
        <v>361</v>
      </c>
      <c r="B1190" s="680" t="s">
        <v>449</v>
      </c>
      <c r="C1190" s="682"/>
      <c r="D1190" s="681"/>
      <c r="E1190" s="642"/>
      <c r="F1190" s="643"/>
      <c r="K1190" s="696"/>
      <c r="L1190" s="696"/>
      <c r="M1190" s="703"/>
      <c r="N1190" s="967"/>
      <c r="O1190" s="968"/>
      <c r="P1190" s="969"/>
      <c r="Q1190" s="970"/>
    </row>
    <row r="1191" spans="1:17">
      <c r="A1191" s="603"/>
      <c r="B1191" s="683"/>
      <c r="C1191" s="640"/>
      <c r="D1191" s="681"/>
      <c r="E1191" s="642"/>
      <c r="F1191" s="643"/>
      <c r="K1191" s="696"/>
      <c r="L1191" s="696"/>
      <c r="M1191" s="703"/>
      <c r="N1191" s="967"/>
      <c r="O1191" s="968"/>
      <c r="P1191" s="969"/>
      <c r="Q1191" s="970"/>
    </row>
    <row r="1192" spans="1:17">
      <c r="A1192" s="603" t="s">
        <v>294</v>
      </c>
      <c r="B1192" s="680" t="s">
        <v>406</v>
      </c>
      <c r="C1192" s="640">
        <v>1</v>
      </c>
      <c r="D1192" s="681" t="s">
        <v>283</v>
      </c>
      <c r="E1192" s="642" t="e">
        <f>Elec_Est!#REF!</f>
        <v>#REF!</v>
      </c>
      <c r="F1192" s="643" t="e">
        <f>E1192*C1192</f>
        <v>#REF!</v>
      </c>
      <c r="G1192" s="573">
        <v>3</v>
      </c>
      <c r="K1192" s="696"/>
      <c r="L1192" s="696"/>
      <c r="M1192" s="703"/>
      <c r="N1192" s="967"/>
      <c r="O1192" s="968"/>
      <c r="P1192" s="969"/>
      <c r="Q1192" s="970"/>
    </row>
    <row r="1193" spans="1:17">
      <c r="A1193" s="603"/>
      <c r="B1193" s="680"/>
      <c r="C1193" s="640"/>
      <c r="D1193" s="681"/>
      <c r="E1193" s="642"/>
      <c r="F1193" s="643"/>
      <c r="K1193" s="696"/>
      <c r="L1193" s="696"/>
      <c r="M1193" s="703"/>
      <c r="N1193" s="967"/>
      <c r="O1193" s="968"/>
      <c r="P1193" s="969"/>
      <c r="Q1193" s="970"/>
    </row>
    <row r="1194" spans="1:17">
      <c r="A1194" s="603" t="s">
        <v>339</v>
      </c>
      <c r="B1194" s="680" t="s">
        <v>407</v>
      </c>
      <c r="C1194" s="640">
        <v>1</v>
      </c>
      <c r="D1194" s="681" t="s">
        <v>283</v>
      </c>
      <c r="E1194" s="642" t="e">
        <f>Elec_Est!#REF!</f>
        <v>#REF!</v>
      </c>
      <c r="F1194" s="643" t="e">
        <f>E1194*C1194</f>
        <v>#REF!</v>
      </c>
      <c r="G1194" s="573">
        <v>3</v>
      </c>
      <c r="K1194" s="696"/>
      <c r="L1194" s="696"/>
      <c r="M1194" s="703"/>
      <c r="N1194" s="967"/>
      <c r="O1194" s="968"/>
      <c r="P1194" s="969"/>
      <c r="Q1194" s="970"/>
    </row>
    <row r="1195" spans="1:17">
      <c r="A1195" s="603"/>
      <c r="B1195" s="680"/>
      <c r="C1195" s="640"/>
      <c r="D1195" s="681"/>
      <c r="E1195" s="642"/>
      <c r="F1195" s="643"/>
      <c r="K1195" s="696"/>
      <c r="L1195" s="696"/>
      <c r="M1195" s="703"/>
      <c r="N1195" s="967"/>
      <c r="O1195" s="968"/>
      <c r="P1195" s="969"/>
      <c r="Q1195" s="970"/>
    </row>
    <row r="1196" spans="1:17">
      <c r="A1196" s="603" t="s">
        <v>340</v>
      </c>
      <c r="B1196" s="680" t="s">
        <v>408</v>
      </c>
      <c r="C1196" s="640">
        <v>1</v>
      </c>
      <c r="D1196" s="681" t="s">
        <v>283</v>
      </c>
      <c r="E1196" s="642" t="e">
        <f>Elec_Est!#REF!</f>
        <v>#REF!</v>
      </c>
      <c r="F1196" s="643" t="e">
        <f>E1196*C1196</f>
        <v>#REF!</v>
      </c>
      <c r="G1196" s="573">
        <v>3</v>
      </c>
      <c r="K1196" s="696"/>
      <c r="L1196" s="696"/>
      <c r="M1196" s="703"/>
      <c r="N1196" s="967"/>
      <c r="O1196" s="968"/>
      <c r="P1196" s="969"/>
      <c r="Q1196" s="970"/>
    </row>
    <row r="1197" spans="1:17">
      <c r="A1197" s="603"/>
      <c r="B1197" s="683"/>
      <c r="C1197" s="640"/>
      <c r="D1197" s="681"/>
      <c r="E1197" s="642"/>
      <c r="F1197" s="643"/>
      <c r="K1197" s="696"/>
      <c r="L1197" s="696"/>
      <c r="M1197" s="703"/>
      <c r="N1197" s="967"/>
      <c r="O1197" s="968"/>
      <c r="P1197" s="969"/>
      <c r="Q1197" s="970"/>
    </row>
    <row r="1198" spans="1:17">
      <c r="A1198" s="603" t="s">
        <v>409</v>
      </c>
      <c r="B1198" s="680" t="s">
        <v>410</v>
      </c>
      <c r="C1198" s="640">
        <v>1</v>
      </c>
      <c r="D1198" s="681" t="s">
        <v>283</v>
      </c>
      <c r="E1198" s="642" t="e">
        <f>Elec_Est!#REF!</f>
        <v>#REF!</v>
      </c>
      <c r="F1198" s="643" t="e">
        <f>E1198*C1198</f>
        <v>#REF!</v>
      </c>
      <c r="G1198" s="573">
        <v>3</v>
      </c>
      <c r="K1198" s="696"/>
      <c r="L1198" s="696"/>
      <c r="M1198" s="703"/>
      <c r="N1198" s="967"/>
      <c r="O1198" s="968"/>
      <c r="P1198" s="969"/>
      <c r="Q1198" s="970"/>
    </row>
    <row r="1199" spans="1:17">
      <c r="A1199" s="590"/>
      <c r="B1199" s="678"/>
      <c r="C1199" s="593"/>
      <c r="D1199" s="662"/>
      <c r="E1199" s="594"/>
      <c r="F1199" s="595"/>
      <c r="K1199" s="696"/>
      <c r="L1199" s="696"/>
      <c r="M1199" s="703"/>
      <c r="N1199" s="967"/>
      <c r="O1199" s="968"/>
      <c r="P1199" s="969"/>
      <c r="Q1199" s="970"/>
    </row>
    <row r="1200" spans="1:17">
      <c r="A1200" s="590"/>
      <c r="B1200" s="661"/>
      <c r="C1200" s="593"/>
      <c r="D1200" s="662"/>
      <c r="E1200" s="594"/>
      <c r="F1200" s="595"/>
      <c r="K1200" s="696"/>
      <c r="L1200" s="696"/>
      <c r="M1200" s="703"/>
      <c r="N1200" s="967"/>
      <c r="O1200" s="968"/>
      <c r="P1200" s="969"/>
      <c r="Q1200" s="970"/>
    </row>
    <row r="1201" spans="1:17" ht="26.4">
      <c r="A1201" s="679" t="s">
        <v>363</v>
      </c>
      <c r="B1201" s="680" t="s">
        <v>498</v>
      </c>
      <c r="C1201" s="682"/>
      <c r="D1201" s="681"/>
      <c r="E1201" s="642"/>
      <c r="F1201" s="643"/>
      <c r="K1201" s="696"/>
      <c r="L1201" s="696"/>
      <c r="M1201" s="703"/>
      <c r="N1201" s="967"/>
      <c r="O1201" s="968"/>
      <c r="P1201" s="969"/>
      <c r="Q1201" s="970"/>
    </row>
    <row r="1202" spans="1:17">
      <c r="A1202" s="603"/>
      <c r="B1202" s="683"/>
      <c r="C1202" s="640"/>
      <c r="D1202" s="681"/>
      <c r="E1202" s="642"/>
      <c r="F1202" s="643"/>
      <c r="K1202" s="696"/>
      <c r="L1202" s="696"/>
      <c r="M1202" s="703"/>
      <c r="N1202" s="967"/>
      <c r="O1202" s="968"/>
      <c r="P1202" s="969"/>
      <c r="Q1202" s="970"/>
    </row>
    <row r="1203" spans="1:17">
      <c r="A1203" s="603" t="s">
        <v>294</v>
      </c>
      <c r="B1203" s="680" t="s">
        <v>412</v>
      </c>
      <c r="C1203" s="640">
        <v>1</v>
      </c>
      <c r="D1203" s="681" t="s">
        <v>283</v>
      </c>
      <c r="E1203" s="642" t="e">
        <f>Elec_Est!#REF!</f>
        <v>#REF!</v>
      </c>
      <c r="F1203" s="643" t="e">
        <f>E1203*C1203</f>
        <v>#REF!</v>
      </c>
      <c r="G1203" s="573">
        <v>3</v>
      </c>
      <c r="K1203" s="696"/>
      <c r="L1203" s="696"/>
      <c r="M1203" s="703"/>
      <c r="N1203" s="967"/>
      <c r="O1203" s="968"/>
      <c r="P1203" s="969"/>
      <c r="Q1203" s="970"/>
    </row>
    <row r="1204" spans="1:17">
      <c r="A1204" s="603"/>
      <c r="B1204" s="680"/>
      <c r="C1204" s="640"/>
      <c r="D1204" s="681"/>
      <c r="E1204" s="642"/>
      <c r="F1204" s="643"/>
      <c r="K1204" s="696"/>
      <c r="L1204" s="696"/>
      <c r="M1204" s="703"/>
      <c r="N1204" s="967"/>
      <c r="O1204" s="544"/>
      <c r="P1204" s="969"/>
      <c r="Q1204" s="970"/>
    </row>
    <row r="1205" spans="1:17">
      <c r="A1205" s="603" t="s">
        <v>339</v>
      </c>
      <c r="B1205" s="680" t="s">
        <v>413</v>
      </c>
      <c r="C1205" s="640">
        <v>1</v>
      </c>
      <c r="D1205" s="681" t="s">
        <v>283</v>
      </c>
      <c r="E1205" s="642" t="e">
        <f>Elec_Est!#REF!</f>
        <v>#REF!</v>
      </c>
      <c r="F1205" s="643" t="e">
        <f>E1205*C1205</f>
        <v>#REF!</v>
      </c>
      <c r="G1205" s="573">
        <v>3</v>
      </c>
      <c r="K1205" s="696"/>
      <c r="L1205" s="696"/>
      <c r="M1205" s="703"/>
      <c r="N1205" s="967"/>
      <c r="O1205" s="968"/>
      <c r="P1205" s="969"/>
      <c r="Q1205" s="970"/>
    </row>
    <row r="1206" spans="1:17">
      <c r="A1206" s="603"/>
      <c r="B1206" s="680"/>
      <c r="C1206" s="640"/>
      <c r="D1206" s="681"/>
      <c r="E1206" s="642"/>
      <c r="F1206" s="643"/>
      <c r="K1206" s="696"/>
      <c r="L1206" s="696"/>
      <c r="M1206" s="1080"/>
      <c r="N1206" s="967"/>
      <c r="O1206" s="544"/>
      <c r="P1206" s="969"/>
      <c r="Q1206" s="970"/>
    </row>
    <row r="1207" spans="1:17">
      <c r="A1207" s="603" t="s">
        <v>340</v>
      </c>
      <c r="B1207" s="680" t="s">
        <v>414</v>
      </c>
      <c r="C1207" s="640">
        <v>1</v>
      </c>
      <c r="D1207" s="681" t="s">
        <v>283</v>
      </c>
      <c r="E1207" s="642" t="e">
        <f>Elec_Est!#REF!</f>
        <v>#REF!</v>
      </c>
      <c r="F1207" s="643" t="e">
        <f>E1207*C1207</f>
        <v>#REF!</v>
      </c>
      <c r="G1207" s="573">
        <v>3</v>
      </c>
      <c r="K1207" s="696"/>
      <c r="L1207" s="696"/>
      <c r="M1207" s="1040"/>
      <c r="N1207" s="967"/>
      <c r="O1207" s="1041"/>
      <c r="P1207" s="969"/>
      <c r="Q1207" s="970"/>
    </row>
    <row r="1208" spans="1:17">
      <c r="A1208" s="603"/>
      <c r="B1208" s="683"/>
      <c r="C1208" s="640"/>
      <c r="D1208" s="681"/>
      <c r="E1208" s="642"/>
      <c r="F1208" s="643"/>
      <c r="K1208" s="696"/>
      <c r="L1208" s="696"/>
      <c r="M1208" s="1040"/>
      <c r="N1208" s="967"/>
      <c r="O1208" s="1041"/>
      <c r="P1208" s="969"/>
      <c r="Q1208" s="970"/>
    </row>
    <row r="1209" spans="1:17">
      <c r="A1209" s="603" t="s">
        <v>409</v>
      </c>
      <c r="B1209" s="680" t="s">
        <v>415</v>
      </c>
      <c r="C1209" s="640">
        <v>1</v>
      </c>
      <c r="D1209" s="681" t="s">
        <v>283</v>
      </c>
      <c r="E1209" s="642" t="e">
        <f>Elec_Est!#REF!</f>
        <v>#REF!</v>
      </c>
      <c r="F1209" s="643" t="e">
        <f>E1209*C1209</f>
        <v>#REF!</v>
      </c>
      <c r="G1209" s="573">
        <v>3</v>
      </c>
      <c r="K1209" s="696"/>
      <c r="L1209" s="696"/>
      <c r="M1209" s="1040"/>
      <c r="N1209" s="967"/>
      <c r="O1209" s="1041"/>
      <c r="P1209" s="969"/>
      <c r="Q1209" s="970"/>
    </row>
    <row r="1210" spans="1:17">
      <c r="A1210" s="603"/>
      <c r="B1210" s="680"/>
      <c r="C1210" s="640"/>
      <c r="D1210" s="681"/>
      <c r="E1210" s="642"/>
      <c r="F1210" s="643"/>
      <c r="K1210" s="696"/>
      <c r="L1210" s="696"/>
      <c r="M1210" s="1040"/>
      <c r="N1210" s="967"/>
      <c r="O1210" s="1041"/>
      <c r="P1210" s="969"/>
      <c r="Q1210" s="970"/>
    </row>
    <row r="1211" spans="1:17">
      <c r="A1211" s="603" t="s">
        <v>416</v>
      </c>
      <c r="B1211" s="680" t="s">
        <v>417</v>
      </c>
      <c r="C1211" s="640">
        <v>1</v>
      </c>
      <c r="D1211" s="681" t="s">
        <v>283</v>
      </c>
      <c r="E1211" s="642" t="e">
        <f>Elec_Est!#REF!</f>
        <v>#REF!</v>
      </c>
      <c r="F1211" s="643" t="e">
        <f>E1211*C1211</f>
        <v>#REF!</v>
      </c>
      <c r="G1211" s="573">
        <v>3</v>
      </c>
      <c r="K1211" s="696"/>
      <c r="L1211" s="696"/>
      <c r="M1211" s="1081"/>
      <c r="N1211" s="967"/>
      <c r="O1211" s="1041"/>
      <c r="P1211" s="969"/>
      <c r="Q1211" s="970"/>
    </row>
    <row r="1212" spans="1:17">
      <c r="A1212" s="590"/>
      <c r="B1212" s="651"/>
      <c r="C1212" s="593"/>
      <c r="D1212" s="662"/>
      <c r="E1212" s="594"/>
      <c r="F1212" s="595"/>
      <c r="K1212" s="696"/>
      <c r="L1212" s="696"/>
      <c r="M1212" s="1040"/>
      <c r="N1212" s="967"/>
      <c r="O1212" s="1041"/>
      <c r="P1212" s="969"/>
      <c r="Q1212" s="970"/>
    </row>
    <row r="1213" spans="1:17">
      <c r="A1213" s="590"/>
      <c r="B1213" s="591"/>
      <c r="C1213" s="593"/>
      <c r="D1213" s="592"/>
      <c r="E1213" s="594"/>
      <c r="F1213" s="595"/>
      <c r="K1213" s="696"/>
      <c r="L1213" s="696"/>
      <c r="M1213" s="1040"/>
      <c r="N1213" s="967"/>
      <c r="O1213" s="1041"/>
      <c r="P1213" s="969"/>
      <c r="Q1213" s="970"/>
    </row>
    <row r="1214" spans="1:17" ht="39.6">
      <c r="A1214" s="679" t="s">
        <v>365</v>
      </c>
      <c r="B1214" s="680" t="s">
        <v>451</v>
      </c>
      <c r="C1214" s="682"/>
      <c r="D1214" s="681"/>
      <c r="E1214" s="642"/>
      <c r="F1214" s="643"/>
      <c r="K1214" s="696"/>
      <c r="L1214" s="696"/>
      <c r="M1214" s="1080"/>
      <c r="N1214" s="967"/>
      <c r="O1214" s="544"/>
      <c r="P1214" s="969"/>
      <c r="Q1214" s="970"/>
    </row>
    <row r="1215" spans="1:17">
      <c r="A1215" s="603"/>
      <c r="B1215" s="683"/>
      <c r="C1215" s="640"/>
      <c r="D1215" s="681"/>
      <c r="E1215" s="642"/>
      <c r="F1215" s="643"/>
      <c r="K1215" s="696"/>
      <c r="L1215" s="696"/>
      <c r="M1215" s="1080"/>
      <c r="N1215" s="967"/>
      <c r="O1215" s="1041"/>
      <c r="P1215" s="969"/>
      <c r="Q1215" s="970"/>
    </row>
    <row r="1216" spans="1:17">
      <c r="A1216" s="603" t="s">
        <v>294</v>
      </c>
      <c r="B1216" s="680" t="s">
        <v>452</v>
      </c>
      <c r="C1216" s="640">
        <v>1</v>
      </c>
      <c r="D1216" s="681" t="s">
        <v>283</v>
      </c>
      <c r="E1216" s="642" t="e">
        <f>Elec_Est!#REF!</f>
        <v>#REF!</v>
      </c>
      <c r="F1216" s="643" t="e">
        <f>E1216*C1216</f>
        <v>#REF!</v>
      </c>
      <c r="G1216" s="573">
        <v>3</v>
      </c>
      <c r="K1216" s="696"/>
      <c r="L1216" s="696"/>
      <c r="M1216" s="1080"/>
      <c r="N1216" s="967"/>
      <c r="O1216" s="544"/>
      <c r="P1216" s="969"/>
      <c r="Q1216" s="970"/>
    </row>
    <row r="1217" spans="1:17">
      <c r="A1217" s="603"/>
      <c r="B1217" s="680"/>
      <c r="C1217" s="640"/>
      <c r="D1217" s="681"/>
      <c r="E1217" s="642"/>
      <c r="F1217" s="643"/>
      <c r="K1217" s="696"/>
      <c r="L1217" s="696"/>
      <c r="M1217" s="1080"/>
      <c r="N1217" s="967"/>
      <c r="O1217" s="1041"/>
      <c r="P1217" s="969"/>
      <c r="Q1217" s="970"/>
    </row>
    <row r="1218" spans="1:17">
      <c r="A1218" s="603" t="s">
        <v>339</v>
      </c>
      <c r="B1218" s="680" t="s">
        <v>453</v>
      </c>
      <c r="C1218" s="640">
        <v>1</v>
      </c>
      <c r="D1218" s="681" t="s">
        <v>283</v>
      </c>
      <c r="E1218" s="642" t="e">
        <f>Elec_Est!#REF!</f>
        <v>#REF!</v>
      </c>
      <c r="F1218" s="643" t="e">
        <f>E1218*C1218</f>
        <v>#REF!</v>
      </c>
      <c r="G1218" s="573">
        <v>3</v>
      </c>
      <c r="K1218" s="696"/>
      <c r="L1218" s="696"/>
      <c r="M1218" s="1080"/>
      <c r="N1218" s="967"/>
      <c r="O1218" s="544"/>
      <c r="P1218" s="969"/>
      <c r="Q1218" s="970"/>
    </row>
    <row r="1219" spans="1:17">
      <c r="A1219" s="603"/>
      <c r="B1219" s="680"/>
      <c r="C1219" s="640"/>
      <c r="D1219" s="681"/>
      <c r="E1219" s="642"/>
      <c r="F1219" s="643"/>
      <c r="K1219" s="696"/>
      <c r="L1219" s="696"/>
      <c r="M1219" s="1080"/>
      <c r="N1219" s="967"/>
      <c r="O1219" s="1041"/>
      <c r="P1219" s="969"/>
      <c r="Q1219" s="970"/>
    </row>
    <row r="1220" spans="1:17" ht="15" customHeight="1">
      <c r="A1220" s="603" t="s">
        <v>340</v>
      </c>
      <c r="B1220" s="680" t="s">
        <v>454</v>
      </c>
      <c r="C1220" s="640">
        <v>1</v>
      </c>
      <c r="D1220" s="681" t="s">
        <v>283</v>
      </c>
      <c r="E1220" s="642" t="e">
        <f>Elec_Est!#REF!</f>
        <v>#REF!</v>
      </c>
      <c r="F1220" s="643" t="e">
        <f>E1220*C1220</f>
        <v>#REF!</v>
      </c>
      <c r="G1220" s="573">
        <v>3</v>
      </c>
      <c r="K1220" s="696"/>
      <c r="L1220" s="696"/>
      <c r="M1220" s="1080"/>
      <c r="N1220" s="967"/>
      <c r="O1220" s="544"/>
      <c r="P1220" s="969"/>
      <c r="Q1220" s="970"/>
    </row>
    <row r="1221" spans="1:17" ht="15" customHeight="1">
      <c r="A1221" s="590"/>
      <c r="B1221" s="678"/>
      <c r="C1221" s="593"/>
      <c r="D1221" s="662"/>
      <c r="E1221" s="594"/>
      <c r="F1221" s="595"/>
      <c r="K1221" s="696"/>
      <c r="L1221" s="696"/>
      <c r="M1221" s="1080"/>
      <c r="N1221" s="967"/>
      <c r="O1221" s="1041"/>
      <c r="P1221" s="969"/>
      <c r="Q1221" s="970"/>
    </row>
    <row r="1222" spans="1:17" ht="15" customHeight="1">
      <c r="A1222" s="590"/>
      <c r="B1222" s="678"/>
      <c r="C1222" s="593"/>
      <c r="D1222" s="662"/>
      <c r="E1222" s="594"/>
      <c r="F1222" s="595"/>
      <c r="K1222" s="696"/>
      <c r="L1222" s="696"/>
      <c r="M1222" s="1080"/>
      <c r="N1222" s="967"/>
      <c r="O1222" s="544"/>
      <c r="P1222" s="969"/>
      <c r="Q1222" s="970"/>
    </row>
    <row r="1223" spans="1:17">
      <c r="A1223" s="590"/>
      <c r="B1223" s="661"/>
      <c r="C1223" s="593"/>
      <c r="D1223" s="662"/>
      <c r="E1223" s="594"/>
      <c r="F1223" s="595"/>
      <c r="K1223" s="696"/>
      <c r="L1223" s="696"/>
      <c r="M1223" s="1080"/>
      <c r="N1223" s="967"/>
      <c r="O1223" s="544"/>
      <c r="P1223" s="969"/>
      <c r="Q1223" s="970"/>
    </row>
    <row r="1224" spans="1:17">
      <c r="A1224" s="590"/>
      <c r="B1224" s="678"/>
      <c r="C1224" s="593"/>
      <c r="D1224" s="662"/>
      <c r="E1224" s="594"/>
      <c r="F1224" s="595"/>
      <c r="K1224" s="696"/>
      <c r="L1224" s="696"/>
      <c r="M1224" s="1080"/>
      <c r="N1224" s="967"/>
      <c r="O1224" s="544"/>
      <c r="P1224" s="969"/>
      <c r="Q1224" s="970"/>
    </row>
    <row r="1225" spans="1:17" ht="15" thickBot="1">
      <c r="A1225" s="590"/>
      <c r="B1225" s="661"/>
      <c r="C1225" s="593"/>
      <c r="D1225" s="662"/>
      <c r="E1225" s="594"/>
      <c r="F1225" s="595"/>
      <c r="K1225" s="696"/>
      <c r="L1225" s="696"/>
      <c r="M1225" s="1080"/>
      <c r="N1225" s="967"/>
      <c r="O1225" s="544"/>
      <c r="P1225" s="969"/>
      <c r="Q1225" s="970"/>
    </row>
    <row r="1226" spans="1:17">
      <c r="A1226" s="612"/>
      <c r="B1226" s="613"/>
      <c r="C1226" s="615"/>
      <c r="D1226" s="614"/>
      <c r="E1226" s="616"/>
      <c r="F1226" s="617"/>
      <c r="K1226" s="696"/>
      <c r="L1226" s="696"/>
      <c r="M1226" s="1080"/>
      <c r="N1226" s="967"/>
      <c r="O1226" s="544"/>
      <c r="P1226" s="969"/>
      <c r="Q1226" s="970"/>
    </row>
    <row r="1227" spans="1:17">
      <c r="A1227" s="618" t="s">
        <v>310</v>
      </c>
      <c r="B1227" s="619" t="s">
        <v>289</v>
      </c>
      <c r="C1227" s="621"/>
      <c r="D1227" s="620"/>
      <c r="E1227" s="622"/>
      <c r="F1227" s="623" t="e">
        <f>SUM(F1185:F1225)</f>
        <v>#REF!</v>
      </c>
      <c r="H1227" s="645"/>
      <c r="K1227" s="696"/>
      <c r="L1227" s="696"/>
      <c r="M1227" s="1080"/>
      <c r="N1227" s="967"/>
      <c r="O1227" s="544"/>
      <c r="P1227" s="969"/>
      <c r="Q1227" s="970"/>
    </row>
    <row r="1228" spans="1:17">
      <c r="A1228" s="624"/>
      <c r="B1228" s="625"/>
      <c r="C1228" s="627"/>
      <c r="D1228" s="626"/>
      <c r="E1228" s="628"/>
      <c r="F1228" s="629"/>
      <c r="K1228" s="696"/>
      <c r="L1228" s="696"/>
      <c r="M1228" s="1080"/>
      <c r="N1228" s="967"/>
      <c r="O1228" s="544"/>
      <c r="P1228" s="969"/>
      <c r="Q1228" s="970"/>
    </row>
    <row r="1229" spans="1:17" ht="17.399999999999999">
      <c r="A1229" s="568"/>
      <c r="B1229" s="663"/>
      <c r="C1229" s="570"/>
      <c r="D1229" s="569"/>
      <c r="E1229" s="571"/>
      <c r="F1229" s="572"/>
      <c r="K1229" s="696"/>
      <c r="L1229" s="696"/>
      <c r="M1229" s="1080"/>
      <c r="N1229" s="967"/>
      <c r="O1229" s="544"/>
      <c r="P1229" s="969"/>
      <c r="Q1229" s="970"/>
    </row>
    <row r="1230" spans="1:17">
      <c r="A1230" s="574"/>
      <c r="B1230" s="664"/>
      <c r="C1230" s="576"/>
      <c r="D1230" s="575"/>
      <c r="E1230" s="577"/>
      <c r="F1230" s="578"/>
      <c r="K1230" s="696"/>
      <c r="L1230" s="696"/>
      <c r="M1230" s="1080"/>
      <c r="N1230" s="967"/>
      <c r="O1230" s="544"/>
      <c r="P1230" s="969"/>
      <c r="Q1230" s="970"/>
    </row>
    <row r="1231" spans="1:17">
      <c r="A1231" s="574"/>
      <c r="B1231" s="664"/>
      <c r="C1231" s="576"/>
      <c r="D1231" s="575"/>
      <c r="E1231" s="577"/>
      <c r="F1231" s="578"/>
      <c r="K1231" s="696"/>
      <c r="L1231" s="696"/>
      <c r="M1231" s="1080"/>
      <c r="N1231" s="967"/>
      <c r="O1231" s="544"/>
      <c r="P1231" s="969"/>
      <c r="Q1231" s="970"/>
    </row>
    <row r="1232" spans="1:17">
      <c r="A1232" s="618"/>
      <c r="B1232" s="657"/>
      <c r="C1232" s="581"/>
      <c r="D1232" s="580"/>
      <c r="E1232" s="582"/>
      <c r="F1232" s="583"/>
      <c r="K1232" s="696"/>
      <c r="L1232" s="696"/>
      <c r="M1232" s="1080"/>
      <c r="N1232" s="967"/>
      <c r="O1232" s="544"/>
      <c r="P1232" s="969"/>
      <c r="Q1232" s="970"/>
    </row>
    <row r="1233" spans="1:17" ht="15" thickBot="1">
      <c r="A1233" s="584" t="s">
        <v>276</v>
      </c>
      <c r="B1233" s="585"/>
      <c r="C1233" s="587" t="s">
        <v>277</v>
      </c>
      <c r="D1233" s="586" t="s">
        <v>266</v>
      </c>
      <c r="E1233" s="588" t="s">
        <v>278</v>
      </c>
      <c r="F1233" s="589" t="s">
        <v>267</v>
      </c>
      <c r="K1233" s="696"/>
      <c r="L1233" s="696"/>
      <c r="M1233" s="703"/>
      <c r="N1233" s="967"/>
      <c r="O1233" s="968"/>
      <c r="P1233" s="969"/>
      <c r="Q1233" s="970"/>
    </row>
    <row r="1234" spans="1:17">
      <c r="A1234" s="590"/>
      <c r="B1234" s="591"/>
      <c r="C1234" s="593"/>
      <c r="D1234" s="592"/>
      <c r="E1234" s="594"/>
      <c r="F1234" s="595"/>
      <c r="K1234" s="1014"/>
      <c r="L1234" s="1014"/>
      <c r="M1234" s="1015"/>
      <c r="N1234" s="1016"/>
      <c r="O1234" s="1017"/>
      <c r="P1234" s="1018"/>
      <c r="Q1234" s="1019"/>
    </row>
    <row r="1235" spans="1:17" ht="39.6">
      <c r="A1235" s="679" t="s">
        <v>325</v>
      </c>
      <c r="B1235" s="680" t="s">
        <v>451</v>
      </c>
      <c r="C1235" s="682"/>
      <c r="D1235" s="681"/>
      <c r="E1235" s="642"/>
      <c r="F1235" s="643"/>
      <c r="K1235" s="1020"/>
      <c r="L1235" s="1020"/>
      <c r="M1235" s="1021" t="s">
        <v>289</v>
      </c>
      <c r="N1235" s="1022"/>
      <c r="O1235" s="1023"/>
      <c r="P1235" s="1024"/>
      <c r="Q1235" s="1010">
        <f>SUM(Q1184:Q1233)</f>
        <v>331.8</v>
      </c>
    </row>
    <row r="1236" spans="1:17">
      <c r="A1236" s="603"/>
      <c r="B1236" s="683"/>
      <c r="C1236" s="640"/>
      <c r="D1236" s="681"/>
      <c r="E1236" s="642"/>
      <c r="F1236" s="643"/>
      <c r="K1236" s="1025"/>
      <c r="L1236" s="1025"/>
      <c r="M1236" s="1026"/>
      <c r="N1236" s="1027"/>
      <c r="O1236" s="1028"/>
      <c r="P1236" s="1029"/>
      <c r="Q1236" s="1030"/>
    </row>
    <row r="1237" spans="1:17" ht="17.399999999999999">
      <c r="A1237" s="603" t="s">
        <v>294</v>
      </c>
      <c r="B1237" s="680" t="s">
        <v>455</v>
      </c>
      <c r="C1237" s="640">
        <v>1</v>
      </c>
      <c r="D1237" s="681" t="s">
        <v>283</v>
      </c>
      <c r="E1237" s="642" t="e">
        <f>Elec_Est!#REF!</f>
        <v>#REF!</v>
      </c>
      <c r="F1237" s="643" t="e">
        <f>E1237*C1237</f>
        <v>#REF!</v>
      </c>
      <c r="G1237" s="573">
        <v>3</v>
      </c>
      <c r="K1237" s="980"/>
      <c r="L1237" s="981"/>
      <c r="M1237" s="982"/>
      <c r="N1237" s="982"/>
      <c r="O1237" s="983"/>
      <c r="P1237" s="984"/>
      <c r="Q1237" s="985"/>
    </row>
    <row r="1238" spans="1:17">
      <c r="A1238" s="603"/>
      <c r="B1238" s="680"/>
      <c r="C1238" s="640"/>
      <c r="D1238" s="681"/>
      <c r="E1238" s="642"/>
      <c r="F1238" s="643"/>
      <c r="K1238" s="986"/>
      <c r="L1238" s="987"/>
      <c r="M1238" s="988"/>
      <c r="N1238" s="988"/>
      <c r="O1238" s="989"/>
      <c r="P1238" s="990"/>
      <c r="Q1238" s="991"/>
    </row>
    <row r="1239" spans="1:17">
      <c r="A1239" s="603" t="s">
        <v>339</v>
      </c>
      <c r="B1239" s="680" t="s">
        <v>456</v>
      </c>
      <c r="C1239" s="640">
        <v>1</v>
      </c>
      <c r="D1239" s="681" t="s">
        <v>283</v>
      </c>
      <c r="E1239" s="642" t="e">
        <f>Elec_Est!#REF!</f>
        <v>#REF!</v>
      </c>
      <c r="F1239" s="643" t="e">
        <f>E1239*C1239</f>
        <v>#REF!</v>
      </c>
      <c r="G1239" s="573">
        <v>3</v>
      </c>
      <c r="K1239" s="986"/>
      <c r="L1239" s="987"/>
      <c r="M1239" s="988"/>
      <c r="N1239" s="988"/>
      <c r="O1239" s="989"/>
      <c r="P1239" s="990"/>
      <c r="Q1239" s="991"/>
    </row>
    <row r="1240" spans="1:17">
      <c r="A1240" s="590"/>
      <c r="B1240" s="591"/>
      <c r="C1240" s="593"/>
      <c r="D1240" s="592"/>
      <c r="E1240" s="594"/>
      <c r="F1240" s="595"/>
      <c r="K1240" s="992"/>
      <c r="L1240" s="993"/>
      <c r="M1240" s="543"/>
      <c r="N1240" s="543"/>
      <c r="O1240" s="994"/>
      <c r="P1240" s="995"/>
      <c r="Q1240" s="996"/>
    </row>
    <row r="1241" spans="1:17" ht="15" thickBot="1">
      <c r="A1241" s="590"/>
      <c r="B1241" s="591"/>
      <c r="C1241" s="593"/>
      <c r="D1241" s="592"/>
      <c r="E1241" s="594"/>
      <c r="F1241" s="595"/>
      <c r="K1241" s="997" t="s">
        <v>276</v>
      </c>
      <c r="L1241" s="998" t="s">
        <v>887</v>
      </c>
      <c r="M1241" s="999"/>
      <c r="N1241" s="1000" t="s">
        <v>266</v>
      </c>
      <c r="O1241" s="1001" t="s">
        <v>277</v>
      </c>
      <c r="P1241" s="1002" t="s">
        <v>278</v>
      </c>
      <c r="Q1241" s="1003" t="s">
        <v>267</v>
      </c>
    </row>
    <row r="1242" spans="1:17">
      <c r="A1242" s="590"/>
      <c r="B1242" s="591"/>
      <c r="C1242" s="593"/>
      <c r="D1242" s="592"/>
      <c r="E1242" s="594"/>
      <c r="F1242" s="595"/>
      <c r="K1242" s="696"/>
      <c r="L1242" s="696"/>
      <c r="M1242" s="703"/>
      <c r="N1242" s="967"/>
      <c r="O1242" s="968"/>
      <c r="P1242" s="969"/>
      <c r="Q1242" s="970"/>
    </row>
    <row r="1243" spans="1:17" ht="66">
      <c r="A1243" s="590"/>
      <c r="B1243" s="591"/>
      <c r="C1243" s="593"/>
      <c r="D1243" s="592"/>
      <c r="E1243" s="594"/>
      <c r="F1243" s="595"/>
      <c r="K1243" s="705"/>
      <c r="L1243" s="705"/>
      <c r="M1243" s="1073" t="s">
        <v>499</v>
      </c>
      <c r="N1243" s="1047"/>
      <c r="O1243" s="1048"/>
      <c r="P1243" s="1049"/>
      <c r="Q1243" s="1050"/>
    </row>
    <row r="1244" spans="1:17">
      <c r="A1244" s="590"/>
      <c r="B1244" s="591"/>
      <c r="C1244" s="593"/>
      <c r="D1244" s="592"/>
      <c r="E1244" s="594"/>
      <c r="F1244" s="595"/>
      <c r="K1244" s="705"/>
      <c r="L1244" s="705"/>
      <c r="M1244" s="706"/>
      <c r="N1244" s="1047"/>
      <c r="O1244" s="1048"/>
      <c r="P1244" s="1049"/>
      <c r="Q1244" s="1050"/>
    </row>
    <row r="1245" spans="1:17">
      <c r="A1245" s="590"/>
      <c r="B1245" s="591"/>
      <c r="C1245" s="593"/>
      <c r="D1245" s="592"/>
      <c r="E1245" s="594"/>
      <c r="F1245" s="595"/>
      <c r="K1245" s="705"/>
      <c r="L1245" s="705"/>
      <c r="M1245" s="1051" t="s">
        <v>403</v>
      </c>
      <c r="N1245" s="1047"/>
      <c r="O1245" s="1048"/>
      <c r="P1245" s="1049"/>
      <c r="Q1245" s="1050"/>
    </row>
    <row r="1246" spans="1:17">
      <c r="A1246" s="590"/>
      <c r="B1246" s="591"/>
      <c r="C1246" s="593"/>
      <c r="D1246" s="592"/>
      <c r="E1246" s="594"/>
      <c r="F1246" s="595"/>
      <c r="K1246" s="705"/>
      <c r="L1246" s="705"/>
      <c r="M1246" s="1068"/>
      <c r="N1246" s="1047"/>
      <c r="O1246" s="1072"/>
      <c r="P1246" s="1049"/>
      <c r="Q1246" s="1050"/>
    </row>
    <row r="1247" spans="1:17" ht="39.6">
      <c r="A1247" s="590"/>
      <c r="B1247" s="591"/>
      <c r="C1247" s="593"/>
      <c r="D1247" s="592"/>
      <c r="E1247" s="594"/>
      <c r="F1247" s="595"/>
      <c r="K1247" s="1070">
        <f>K1185+1</f>
        <v>25</v>
      </c>
      <c r="L1247" s="705"/>
      <c r="M1247" s="1071" t="s">
        <v>418</v>
      </c>
      <c r="N1247" s="1047"/>
      <c r="O1247" s="1072"/>
      <c r="P1247" s="1049"/>
      <c r="Q1247" s="1050"/>
    </row>
    <row r="1248" spans="1:17">
      <c r="A1248" s="590"/>
      <c r="B1248" s="591"/>
      <c r="C1248" s="593"/>
      <c r="D1248" s="592"/>
      <c r="E1248" s="594"/>
      <c r="F1248" s="595"/>
      <c r="K1248" s="705"/>
      <c r="L1248" s="705"/>
      <c r="M1248" s="1073"/>
      <c r="N1248" s="1074"/>
      <c r="O1248" s="1048"/>
      <c r="P1248" s="1049"/>
      <c r="Q1248" s="1050"/>
    </row>
    <row r="1249" spans="1:17">
      <c r="A1249" s="590"/>
      <c r="B1249" s="591"/>
      <c r="C1249" s="593"/>
      <c r="D1249" s="592"/>
      <c r="E1249" s="594"/>
      <c r="F1249" s="595"/>
      <c r="K1249" s="705"/>
      <c r="L1249" s="705"/>
      <c r="M1249" s="1073" t="s">
        <v>419</v>
      </c>
      <c r="N1249" s="1074" t="s">
        <v>283</v>
      </c>
      <c r="O1249" s="1048">
        <v>1</v>
      </c>
      <c r="P1249" s="1049">
        <f ca="1">Elec_Est!E1597</f>
        <v>61.84</v>
      </c>
      <c r="Q1249" s="1050">
        <f t="shared" ref="Q1249:Q1267" ca="1" si="0">P1249*O1249</f>
        <v>61.84</v>
      </c>
    </row>
    <row r="1250" spans="1:17">
      <c r="A1250" s="590"/>
      <c r="B1250" s="591"/>
      <c r="C1250" s="593"/>
      <c r="D1250" s="592"/>
      <c r="E1250" s="594"/>
      <c r="F1250" s="595"/>
      <c r="K1250" s="705"/>
      <c r="L1250" s="705"/>
      <c r="M1250" s="1073"/>
      <c r="N1250" s="1074"/>
      <c r="O1250" s="1048"/>
      <c r="P1250" s="1049"/>
      <c r="Q1250" s="1050"/>
    </row>
    <row r="1251" spans="1:17">
      <c r="A1251" s="590"/>
      <c r="B1251" s="591"/>
      <c r="C1251" s="593"/>
      <c r="D1251" s="592"/>
      <c r="E1251" s="594"/>
      <c r="F1251" s="595"/>
      <c r="K1251" s="705"/>
      <c r="L1251" s="705"/>
      <c r="M1251" s="1073" t="s">
        <v>420</v>
      </c>
      <c r="N1251" s="1074" t="s">
        <v>283</v>
      </c>
      <c r="O1251" s="1048">
        <v>1</v>
      </c>
      <c r="P1251" s="1049">
        <f ca="1">Elec_Est!E1604</f>
        <v>61.84</v>
      </c>
      <c r="Q1251" s="1050">
        <f t="shared" ca="1" si="0"/>
        <v>61.84</v>
      </c>
    </row>
    <row r="1252" spans="1:17">
      <c r="A1252" s="590"/>
      <c r="B1252" s="591"/>
      <c r="C1252" s="593"/>
      <c r="D1252" s="592"/>
      <c r="E1252" s="594"/>
      <c r="F1252" s="595"/>
      <c r="K1252" s="705"/>
      <c r="L1252" s="705"/>
      <c r="M1252" s="1073"/>
      <c r="N1252" s="1074"/>
      <c r="O1252" s="1048"/>
      <c r="P1252" s="1049"/>
      <c r="Q1252" s="1050"/>
    </row>
    <row r="1253" spans="1:17">
      <c r="A1253" s="590"/>
      <c r="B1253" s="591"/>
      <c r="C1253" s="593"/>
      <c r="D1253" s="592"/>
      <c r="E1253" s="594"/>
      <c r="F1253" s="595"/>
      <c r="K1253" s="705"/>
      <c r="L1253" s="705"/>
      <c r="M1253" s="1073" t="s">
        <v>421</v>
      </c>
      <c r="N1253" s="1074" t="s">
        <v>283</v>
      </c>
      <c r="O1253" s="1048">
        <v>1</v>
      </c>
      <c r="P1253" s="1049">
        <f ca="1">Elec_Est!E1611</f>
        <v>47.58</v>
      </c>
      <c r="Q1253" s="1050">
        <f t="shared" ca="1" si="0"/>
        <v>47.58</v>
      </c>
    </row>
    <row r="1254" spans="1:17">
      <c r="A1254" s="590"/>
      <c r="B1254" s="591"/>
      <c r="C1254" s="646"/>
      <c r="D1254" s="592"/>
      <c r="E1254" s="594"/>
      <c r="F1254" s="595"/>
      <c r="K1254" s="705"/>
      <c r="L1254" s="705"/>
      <c r="M1254" s="1073"/>
      <c r="N1254" s="1074"/>
      <c r="O1254" s="1048"/>
      <c r="P1254" s="1049"/>
      <c r="Q1254" s="1050"/>
    </row>
    <row r="1255" spans="1:17">
      <c r="A1255" s="590"/>
      <c r="B1255" s="591"/>
      <c r="C1255" s="593"/>
      <c r="D1255" s="592"/>
      <c r="E1255" s="594"/>
      <c r="F1255" s="595"/>
      <c r="K1255" s="705"/>
      <c r="L1255" s="705"/>
      <c r="M1255" s="1073" t="s">
        <v>422</v>
      </c>
      <c r="N1255" s="1074" t="s">
        <v>283</v>
      </c>
      <c r="O1255" s="1048">
        <v>1</v>
      </c>
      <c r="P1255" s="1049">
        <f ca="1">Elec_Est!E1618</f>
        <v>47.58</v>
      </c>
      <c r="Q1255" s="1050">
        <f t="shared" ca="1" si="0"/>
        <v>47.58</v>
      </c>
    </row>
    <row r="1256" spans="1:17">
      <c r="A1256" s="590"/>
      <c r="B1256" s="666"/>
      <c r="C1256" s="646"/>
      <c r="D1256" s="592"/>
      <c r="E1256" s="594"/>
      <c r="F1256" s="595"/>
      <c r="K1256" s="705"/>
      <c r="L1256" s="705"/>
      <c r="M1256" s="1073"/>
      <c r="N1256" s="1074"/>
      <c r="O1256" s="1048"/>
      <c r="P1256" s="1049"/>
      <c r="Q1256" s="1050"/>
    </row>
    <row r="1257" spans="1:17">
      <c r="A1257" s="590"/>
      <c r="B1257" s="609"/>
      <c r="C1257" s="610"/>
      <c r="D1257" s="592"/>
      <c r="E1257" s="594"/>
      <c r="F1257" s="595"/>
      <c r="K1257" s="705"/>
      <c r="L1257" s="705"/>
      <c r="M1257" s="1073" t="s">
        <v>423</v>
      </c>
      <c r="N1257" s="1074" t="s">
        <v>283</v>
      </c>
      <c r="O1257" s="1048">
        <v>1</v>
      </c>
      <c r="P1257" s="1049">
        <f ca="1">Elec_Est!E1625</f>
        <v>61.84</v>
      </c>
      <c r="Q1257" s="1050">
        <f t="shared" ca="1" si="0"/>
        <v>61.84</v>
      </c>
    </row>
    <row r="1258" spans="1:17">
      <c r="A1258" s="590"/>
      <c r="B1258" s="609"/>
      <c r="C1258" s="610"/>
      <c r="D1258" s="592"/>
      <c r="E1258" s="594"/>
      <c r="F1258" s="595"/>
      <c r="K1258" s="705"/>
      <c r="L1258" s="705"/>
      <c r="M1258" s="1073"/>
      <c r="N1258" s="1074"/>
      <c r="O1258" s="1048"/>
      <c r="P1258" s="1049"/>
      <c r="Q1258" s="1050"/>
    </row>
    <row r="1259" spans="1:17">
      <c r="A1259" s="590"/>
      <c r="B1259" s="609"/>
      <c r="C1259" s="610"/>
      <c r="D1259" s="592"/>
      <c r="E1259" s="594"/>
      <c r="F1259" s="595"/>
      <c r="K1259" s="705"/>
      <c r="L1259" s="705"/>
      <c r="M1259" s="1073" t="s">
        <v>425</v>
      </c>
      <c r="N1259" s="1074" t="s">
        <v>283</v>
      </c>
      <c r="O1259" s="1048">
        <v>1</v>
      </c>
      <c r="P1259" s="1049">
        <f ca="1">Elec_Est!E1632</f>
        <v>61.84</v>
      </c>
      <c r="Q1259" s="1050">
        <f t="shared" ca="1" si="0"/>
        <v>61.84</v>
      </c>
    </row>
    <row r="1260" spans="1:17">
      <c r="A1260" s="590"/>
      <c r="B1260" s="609"/>
      <c r="C1260" s="610"/>
      <c r="D1260" s="592"/>
      <c r="E1260" s="594"/>
      <c r="F1260" s="595"/>
      <c r="K1260" s="705"/>
      <c r="L1260" s="705"/>
      <c r="M1260" s="1073"/>
      <c r="N1260" s="1074"/>
      <c r="O1260" s="1048"/>
      <c r="P1260" s="1049"/>
      <c r="Q1260" s="1050"/>
    </row>
    <row r="1261" spans="1:17">
      <c r="A1261" s="590"/>
      <c r="B1261" s="667"/>
      <c r="C1261" s="610"/>
      <c r="D1261" s="592"/>
      <c r="E1261" s="594"/>
      <c r="F1261" s="595"/>
      <c r="K1261" s="705"/>
      <c r="L1261" s="705"/>
      <c r="M1261" s="1073" t="s">
        <v>427</v>
      </c>
      <c r="N1261" s="1074" t="s">
        <v>283</v>
      </c>
      <c r="O1261" s="1048">
        <v>1</v>
      </c>
      <c r="P1261" s="1049">
        <f ca="1">Elec_Est!E1639</f>
        <v>43.84</v>
      </c>
      <c r="Q1261" s="1050">
        <f t="shared" ca="1" si="0"/>
        <v>43.84</v>
      </c>
    </row>
    <row r="1262" spans="1:17">
      <c r="A1262" s="590"/>
      <c r="B1262" s="609"/>
      <c r="C1262" s="610"/>
      <c r="D1262" s="592"/>
      <c r="E1262" s="594"/>
      <c r="F1262" s="595"/>
      <c r="K1262" s="705"/>
      <c r="L1262" s="705"/>
      <c r="M1262" s="1073"/>
      <c r="N1262" s="1074"/>
      <c r="O1262" s="1048"/>
      <c r="P1262" s="1049"/>
      <c r="Q1262" s="1050"/>
    </row>
    <row r="1263" spans="1:17">
      <c r="A1263" s="590"/>
      <c r="B1263" s="609"/>
      <c r="C1263" s="610"/>
      <c r="D1263" s="592"/>
      <c r="E1263" s="594"/>
      <c r="F1263" s="595"/>
      <c r="K1263" s="705"/>
      <c r="L1263" s="705"/>
      <c r="M1263" s="1073" t="s">
        <v>429</v>
      </c>
      <c r="N1263" s="1074" t="s">
        <v>283</v>
      </c>
      <c r="O1263" s="1048">
        <v>1</v>
      </c>
      <c r="P1263" s="1049">
        <f ca="1">Elec_Est!E1646</f>
        <v>43.84</v>
      </c>
      <c r="Q1263" s="1050">
        <f t="shared" ca="1" si="0"/>
        <v>43.84</v>
      </c>
    </row>
    <row r="1264" spans="1:17">
      <c r="A1264" s="590"/>
      <c r="B1264" s="666"/>
      <c r="C1264" s="646"/>
      <c r="D1264" s="592"/>
      <c r="E1264" s="594"/>
      <c r="F1264" s="595"/>
      <c r="K1264" s="705"/>
      <c r="L1264" s="705"/>
      <c r="M1264" s="1073"/>
      <c r="N1264" s="1074"/>
      <c r="O1264" s="1048"/>
      <c r="P1264" s="1049"/>
      <c r="Q1264" s="1050"/>
    </row>
    <row r="1265" spans="1:17">
      <c r="A1265" s="590"/>
      <c r="B1265" s="666"/>
      <c r="C1265" s="610"/>
      <c r="D1265" s="592"/>
      <c r="E1265" s="594"/>
      <c r="F1265" s="595"/>
      <c r="K1265" s="705"/>
      <c r="L1265" s="705"/>
      <c r="M1265" s="1073" t="s">
        <v>431</v>
      </c>
      <c r="N1265" s="1074" t="s">
        <v>283</v>
      </c>
      <c r="O1265" s="1048">
        <v>1</v>
      </c>
      <c r="P1265" s="1049">
        <f ca="1">Elec_Est!E1653</f>
        <v>43.84</v>
      </c>
      <c r="Q1265" s="1050">
        <f t="shared" ca="1" si="0"/>
        <v>43.84</v>
      </c>
    </row>
    <row r="1266" spans="1:17">
      <c r="A1266" s="590"/>
      <c r="B1266" s="666"/>
      <c r="C1266" s="646"/>
      <c r="D1266" s="592"/>
      <c r="E1266" s="594"/>
      <c r="F1266" s="595"/>
      <c r="K1266" s="705"/>
      <c r="L1266" s="705"/>
      <c r="M1266" s="1073"/>
      <c r="N1266" s="1074"/>
      <c r="O1266" s="1048"/>
      <c r="P1266" s="1049"/>
      <c r="Q1266" s="1050"/>
    </row>
    <row r="1267" spans="1:17">
      <c r="A1267" s="590"/>
      <c r="B1267" s="666"/>
      <c r="C1267" s="610"/>
      <c r="D1267" s="592"/>
      <c r="E1267" s="594"/>
      <c r="F1267" s="595"/>
      <c r="K1267" s="705"/>
      <c r="L1267" s="705"/>
      <c r="M1267" s="1073" t="s">
        <v>433</v>
      </c>
      <c r="N1267" s="1074" t="s">
        <v>283</v>
      </c>
      <c r="O1267" s="1048">
        <v>1</v>
      </c>
      <c r="P1267" s="1049">
        <f ca="1">Elec_Est!E1660</f>
        <v>43.84</v>
      </c>
      <c r="Q1267" s="1050">
        <f t="shared" ca="1" si="0"/>
        <v>43.84</v>
      </c>
    </row>
    <row r="1268" spans="1:17">
      <c r="A1268" s="590"/>
      <c r="B1268" s="666"/>
      <c r="C1268" s="646"/>
      <c r="D1268" s="592"/>
      <c r="E1268" s="594"/>
      <c r="F1268" s="595"/>
      <c r="K1268" s="696"/>
      <c r="L1268" s="696"/>
      <c r="M1268" s="1075"/>
      <c r="N1268" s="1076"/>
      <c r="O1268" s="968"/>
      <c r="P1268" s="969"/>
      <c r="Q1268" s="970"/>
    </row>
    <row r="1269" spans="1:17">
      <c r="A1269" s="590"/>
      <c r="B1269" s="666"/>
      <c r="C1269" s="610"/>
      <c r="D1269" s="592"/>
      <c r="E1269" s="594"/>
      <c r="F1269" s="595"/>
      <c r="K1269" s="696"/>
      <c r="L1269" s="696"/>
      <c r="M1269" s="1075"/>
      <c r="N1269" s="1076"/>
      <c r="O1269" s="968"/>
      <c r="P1269" s="969"/>
      <c r="Q1269" s="970"/>
    </row>
    <row r="1270" spans="1:17">
      <c r="A1270" s="590"/>
      <c r="B1270" s="666"/>
      <c r="C1270" s="646"/>
      <c r="D1270" s="592"/>
      <c r="E1270" s="594"/>
      <c r="F1270" s="595"/>
      <c r="K1270" s="696"/>
      <c r="L1270" s="696"/>
      <c r="M1270" s="1075"/>
      <c r="N1270" s="1076"/>
      <c r="O1270" s="968"/>
      <c r="P1270" s="969"/>
      <c r="Q1270" s="970"/>
    </row>
    <row r="1271" spans="1:17">
      <c r="A1271" s="590"/>
      <c r="B1271" s="666"/>
      <c r="C1271" s="610"/>
      <c r="D1271" s="592"/>
      <c r="E1271" s="594"/>
      <c r="F1271" s="595"/>
      <c r="K1271" s="696"/>
      <c r="L1271" s="696"/>
      <c r="M1271" s="1075"/>
      <c r="N1271" s="1076"/>
      <c r="O1271" s="968"/>
      <c r="P1271" s="969"/>
      <c r="Q1271" s="970"/>
    </row>
    <row r="1272" spans="1:17">
      <c r="A1272" s="590"/>
      <c r="B1272" s="666"/>
      <c r="C1272" s="646"/>
      <c r="D1272" s="592"/>
      <c r="E1272" s="594"/>
      <c r="F1272" s="595"/>
      <c r="K1272" s="696"/>
      <c r="L1272" s="696"/>
      <c r="M1272" s="1075"/>
      <c r="N1272" s="1076"/>
      <c r="O1272" s="968"/>
      <c r="P1272" s="969"/>
      <c r="Q1272" s="970"/>
    </row>
    <row r="1273" spans="1:17">
      <c r="A1273" s="590"/>
      <c r="B1273" s="666"/>
      <c r="C1273" s="646"/>
      <c r="D1273" s="592"/>
      <c r="E1273" s="594"/>
      <c r="F1273" s="595"/>
      <c r="K1273" s="696"/>
      <c r="L1273" s="696"/>
      <c r="M1273" s="1075"/>
      <c r="N1273" s="1076"/>
      <c r="O1273" s="968"/>
      <c r="P1273" s="969"/>
      <c r="Q1273" s="970"/>
    </row>
    <row r="1274" spans="1:17">
      <c r="A1274" s="590"/>
      <c r="B1274" s="666"/>
      <c r="C1274" s="646"/>
      <c r="D1274" s="592"/>
      <c r="E1274" s="594"/>
      <c r="F1274" s="595"/>
      <c r="K1274" s="696"/>
      <c r="L1274" s="696"/>
      <c r="M1274" s="1075"/>
      <c r="N1274" s="1076"/>
      <c r="O1274" s="968"/>
      <c r="P1274" s="969"/>
      <c r="Q1274" s="970"/>
    </row>
    <row r="1275" spans="1:17">
      <c r="A1275" s="590"/>
      <c r="B1275" s="666"/>
      <c r="C1275" s="646"/>
      <c r="D1275" s="592"/>
      <c r="E1275" s="594"/>
      <c r="F1275" s="595"/>
      <c r="K1275" s="696"/>
      <c r="L1275" s="696"/>
      <c r="M1275" s="1075"/>
      <c r="N1275" s="1076"/>
      <c r="O1275" s="968"/>
      <c r="P1275" s="969"/>
      <c r="Q1275" s="970"/>
    </row>
    <row r="1276" spans="1:17">
      <c r="A1276" s="590"/>
      <c r="B1276" s="666"/>
      <c r="C1276" s="646"/>
      <c r="D1276" s="592"/>
      <c r="E1276" s="594"/>
      <c r="F1276" s="595"/>
      <c r="K1276" s="696"/>
      <c r="L1276" s="696"/>
      <c r="M1276" s="1075"/>
      <c r="N1276" s="1076"/>
      <c r="O1276" s="968"/>
      <c r="P1276" s="969"/>
      <c r="Q1276" s="970"/>
    </row>
    <row r="1277" spans="1:17">
      <c r="A1277" s="590"/>
      <c r="B1277" s="666"/>
      <c r="C1277" s="646"/>
      <c r="D1277" s="592"/>
      <c r="E1277" s="594"/>
      <c r="F1277" s="595"/>
      <c r="K1277" s="696"/>
      <c r="L1277" s="696"/>
      <c r="M1277" s="1075"/>
      <c r="N1277" s="1076"/>
      <c r="O1277" s="968"/>
      <c r="P1277" s="969"/>
      <c r="Q1277" s="970"/>
    </row>
    <row r="1278" spans="1:17">
      <c r="A1278" s="590"/>
      <c r="B1278" s="666"/>
      <c r="C1278" s="646"/>
      <c r="D1278" s="592"/>
      <c r="E1278" s="594"/>
      <c r="F1278" s="595"/>
      <c r="K1278" s="696"/>
      <c r="L1278" s="696"/>
      <c r="M1278" s="1075"/>
      <c r="N1278" s="1076"/>
      <c r="O1278" s="968"/>
      <c r="P1278" s="969"/>
      <c r="Q1278" s="970"/>
    </row>
    <row r="1279" spans="1:17">
      <c r="A1279" s="590"/>
      <c r="B1279" s="666"/>
      <c r="C1279" s="646"/>
      <c r="D1279" s="592"/>
      <c r="E1279" s="594"/>
      <c r="F1279" s="595"/>
      <c r="K1279" s="696"/>
      <c r="L1279" s="696"/>
      <c r="M1279" s="1075"/>
      <c r="N1279" s="1076"/>
      <c r="O1279" s="968"/>
      <c r="P1279" s="969"/>
      <c r="Q1279" s="970"/>
    </row>
    <row r="1280" spans="1:17">
      <c r="A1280" s="590"/>
      <c r="B1280" s="666"/>
      <c r="C1280" s="646"/>
      <c r="D1280" s="592"/>
      <c r="E1280" s="594"/>
      <c r="F1280" s="595"/>
      <c r="K1280" s="696"/>
      <c r="L1280" s="696"/>
      <c r="M1280" s="1075"/>
      <c r="N1280" s="1076"/>
      <c r="O1280" s="968"/>
      <c r="P1280" s="969"/>
      <c r="Q1280" s="970"/>
    </row>
    <row r="1281" spans="1:17">
      <c r="A1281" s="590"/>
      <c r="B1281" s="666"/>
      <c r="C1281" s="646"/>
      <c r="D1281" s="592"/>
      <c r="E1281" s="594"/>
      <c r="F1281" s="595"/>
      <c r="K1281" s="696"/>
      <c r="L1281" s="696"/>
      <c r="M1281" s="1075"/>
      <c r="N1281" s="1076"/>
      <c r="O1281" s="968"/>
      <c r="P1281" s="969"/>
      <c r="Q1281" s="970"/>
    </row>
    <row r="1282" spans="1:17">
      <c r="A1282" s="590"/>
      <c r="B1282" s="666"/>
      <c r="C1282" s="646"/>
      <c r="D1282" s="592"/>
      <c r="E1282" s="594"/>
      <c r="F1282" s="595"/>
      <c r="K1282" s="696"/>
      <c r="L1282" s="696"/>
      <c r="M1282" s="1075"/>
      <c r="N1282" s="1076"/>
      <c r="O1282" s="968"/>
      <c r="P1282" s="969"/>
      <c r="Q1282" s="970"/>
    </row>
    <row r="1283" spans="1:17" ht="15" thickBot="1">
      <c r="A1283" s="590"/>
      <c r="B1283" s="591"/>
      <c r="C1283" s="593"/>
      <c r="D1283" s="592"/>
      <c r="E1283" s="594"/>
      <c r="F1283" s="595"/>
      <c r="K1283" s="696"/>
      <c r="L1283" s="696"/>
      <c r="M1283" s="1075"/>
      <c r="N1283" s="1076"/>
      <c r="O1283" s="968"/>
      <c r="P1283" s="969"/>
      <c r="Q1283" s="970"/>
    </row>
    <row r="1284" spans="1:17">
      <c r="A1284" s="612"/>
      <c r="B1284" s="613"/>
      <c r="C1284" s="615"/>
      <c r="D1284" s="614"/>
      <c r="E1284" s="616"/>
      <c r="F1284" s="617"/>
      <c r="K1284" s="696"/>
      <c r="L1284" s="696"/>
      <c r="M1284" s="1075"/>
      <c r="N1284" s="1076"/>
      <c r="O1284" s="968"/>
      <c r="P1284" s="969"/>
      <c r="Q1284" s="970"/>
    </row>
    <row r="1285" spans="1:17">
      <c r="A1285" s="618" t="s">
        <v>310</v>
      </c>
      <c r="B1285" s="619" t="s">
        <v>289</v>
      </c>
      <c r="C1285" s="621"/>
      <c r="D1285" s="620"/>
      <c r="E1285" s="622"/>
      <c r="F1285" s="623" t="e">
        <f>SUM(F1234:F1283)</f>
        <v>#REF!</v>
      </c>
      <c r="H1285" s="645"/>
      <c r="K1285" s="696"/>
      <c r="L1285" s="696"/>
      <c r="M1285" s="1075"/>
      <c r="N1285" s="1076"/>
      <c r="O1285" s="968"/>
      <c r="P1285" s="969"/>
      <c r="Q1285" s="970"/>
    </row>
    <row r="1286" spans="1:17">
      <c r="A1286" s="624"/>
      <c r="B1286" s="625"/>
      <c r="C1286" s="627"/>
      <c r="D1286" s="626"/>
      <c r="E1286" s="628"/>
      <c r="F1286" s="629"/>
      <c r="K1286" s="696"/>
      <c r="L1286" s="696"/>
      <c r="M1286" s="1075"/>
      <c r="N1286" s="1076"/>
      <c r="O1286" s="968"/>
      <c r="P1286" s="969"/>
      <c r="Q1286" s="970"/>
    </row>
    <row r="1287" spans="1:17" ht="18" thickBot="1">
      <c r="A1287" s="568"/>
      <c r="B1287" s="569"/>
      <c r="C1287" s="570"/>
      <c r="D1287" s="569"/>
      <c r="E1287" s="571"/>
      <c r="F1287" s="572"/>
      <c r="K1287" s="696"/>
      <c r="L1287" s="696"/>
      <c r="M1287" s="1075"/>
      <c r="N1287" s="1076"/>
      <c r="O1287" s="968"/>
      <c r="P1287" s="969"/>
      <c r="Q1287" s="970"/>
    </row>
    <row r="1288" spans="1:17">
      <c r="A1288" s="574"/>
      <c r="B1288" s="575"/>
      <c r="C1288" s="576"/>
      <c r="D1288" s="575"/>
      <c r="E1288" s="577"/>
      <c r="F1288" s="578"/>
      <c r="K1288" s="1014"/>
      <c r="L1288" s="1014"/>
      <c r="M1288" s="1015"/>
      <c r="N1288" s="1016"/>
      <c r="O1288" s="1017"/>
      <c r="P1288" s="1018"/>
      <c r="Q1288" s="1019"/>
    </row>
    <row r="1289" spans="1:17">
      <c r="A1289" s="574"/>
      <c r="B1289" s="575"/>
      <c r="C1289" s="576"/>
      <c r="D1289" s="575"/>
      <c r="E1289" s="577"/>
      <c r="F1289" s="578"/>
      <c r="K1289" s="1020"/>
      <c r="L1289" s="1020"/>
      <c r="M1289" s="1021" t="s">
        <v>289</v>
      </c>
      <c r="N1289" s="1022"/>
      <c r="O1289" s="1023"/>
      <c r="P1289" s="1024"/>
      <c r="Q1289" s="1010">
        <f ca="1">SUM(Q1247:Q1287)</f>
        <v>517.88000000000011</v>
      </c>
    </row>
    <row r="1290" spans="1:17">
      <c r="A1290" s="579"/>
      <c r="B1290" s="580"/>
      <c r="C1290" s="581"/>
      <c r="D1290" s="580"/>
      <c r="E1290" s="582"/>
      <c r="F1290" s="583"/>
      <c r="K1290" s="1025"/>
      <c r="L1290" s="1025"/>
      <c r="M1290" s="1026"/>
      <c r="N1290" s="1027"/>
      <c r="O1290" s="1028"/>
      <c r="P1290" s="1029"/>
      <c r="Q1290" s="1030"/>
    </row>
    <row r="1291" spans="1:17" ht="18" thickBot="1">
      <c r="A1291" s="584" t="s">
        <v>276</v>
      </c>
      <c r="B1291" s="585"/>
      <c r="C1291" s="587" t="s">
        <v>277</v>
      </c>
      <c r="D1291" s="586" t="s">
        <v>266</v>
      </c>
      <c r="E1291" s="588" t="s">
        <v>278</v>
      </c>
      <c r="F1291" s="589" t="s">
        <v>267</v>
      </c>
      <c r="K1291" s="980"/>
      <c r="L1291" s="981"/>
      <c r="M1291" s="1077"/>
      <c r="N1291" s="982"/>
      <c r="O1291" s="983"/>
      <c r="P1291" s="984"/>
      <c r="Q1291" s="985"/>
    </row>
    <row r="1292" spans="1:17">
      <c r="A1292" s="590"/>
      <c r="B1292" s="591"/>
      <c r="C1292" s="593"/>
      <c r="D1292" s="592"/>
      <c r="E1292" s="594"/>
      <c r="F1292" s="595"/>
      <c r="K1292" s="986"/>
      <c r="L1292" s="987"/>
      <c r="M1292" s="1078"/>
      <c r="N1292" s="988"/>
      <c r="O1292" s="989"/>
      <c r="P1292" s="990"/>
      <c r="Q1292" s="991"/>
    </row>
    <row r="1293" spans="1:17" ht="66">
      <c r="A1293" s="590" t="s">
        <v>279</v>
      </c>
      <c r="B1293" s="661" t="s">
        <v>499</v>
      </c>
      <c r="C1293" s="593"/>
      <c r="D1293" s="592"/>
      <c r="E1293" s="594"/>
      <c r="F1293" s="595"/>
      <c r="K1293" s="986"/>
      <c r="L1293" s="987"/>
      <c r="M1293" s="1078"/>
      <c r="N1293" s="988"/>
      <c r="O1293" s="989"/>
      <c r="P1293" s="990"/>
      <c r="Q1293" s="991"/>
    </row>
    <row r="1294" spans="1:17">
      <c r="A1294" s="590"/>
      <c r="B1294" s="591"/>
      <c r="C1294" s="593"/>
      <c r="D1294" s="592"/>
      <c r="E1294" s="594"/>
      <c r="F1294" s="595"/>
      <c r="K1294" s="1020"/>
      <c r="L1294" s="993"/>
      <c r="M1294" s="959"/>
      <c r="N1294" s="543"/>
      <c r="O1294" s="994"/>
      <c r="P1294" s="995"/>
      <c r="Q1294" s="996"/>
    </row>
    <row r="1295" spans="1:17" ht="15" thickBot="1">
      <c r="A1295" s="590" t="s">
        <v>279</v>
      </c>
      <c r="B1295" s="597" t="s">
        <v>403</v>
      </c>
      <c r="C1295" s="593"/>
      <c r="D1295" s="592"/>
      <c r="E1295" s="594"/>
      <c r="F1295" s="595"/>
      <c r="K1295" s="997" t="s">
        <v>276</v>
      </c>
      <c r="L1295" s="998" t="s">
        <v>887</v>
      </c>
      <c r="M1295" s="999"/>
      <c r="N1295" s="1000" t="s">
        <v>266</v>
      </c>
      <c r="O1295" s="1001" t="s">
        <v>277</v>
      </c>
      <c r="P1295" s="1002" t="s">
        <v>278</v>
      </c>
      <c r="Q1295" s="1003" t="s">
        <v>267</v>
      </c>
    </row>
    <row r="1296" spans="1:17">
      <c r="A1296" s="590"/>
      <c r="B1296" s="666"/>
      <c r="C1296" s="610"/>
      <c r="D1296" s="592"/>
      <c r="E1296" s="594"/>
      <c r="F1296" s="595"/>
      <c r="K1296" s="696"/>
      <c r="L1296" s="696"/>
      <c r="M1296" s="1075"/>
      <c r="N1296" s="1076"/>
      <c r="O1296" s="968"/>
      <c r="P1296" s="969"/>
      <c r="Q1296" s="970"/>
    </row>
    <row r="1297" spans="1:17" ht="52.8">
      <c r="A1297" s="679" t="s">
        <v>326</v>
      </c>
      <c r="B1297" s="650" t="s">
        <v>418</v>
      </c>
      <c r="C1297" s="682"/>
      <c r="D1297" s="641"/>
      <c r="E1297" s="642"/>
      <c r="F1297" s="643"/>
      <c r="K1297" s="1070">
        <f>K1247+1</f>
        <v>26</v>
      </c>
      <c r="L1297" s="705"/>
      <c r="M1297" s="1073" t="s">
        <v>434</v>
      </c>
      <c r="N1297" s="1074"/>
      <c r="O1297" s="1048"/>
      <c r="P1297" s="1049"/>
      <c r="Q1297" s="1050"/>
    </row>
    <row r="1298" spans="1:17">
      <c r="A1298" s="603"/>
      <c r="B1298" s="683"/>
      <c r="C1298" s="640"/>
      <c r="D1298" s="681"/>
      <c r="E1298" s="642"/>
      <c r="F1298" s="643"/>
      <c r="K1298" s="705"/>
      <c r="L1298" s="705"/>
      <c r="M1298" s="1073"/>
      <c r="N1298" s="1074"/>
      <c r="O1298" s="1048"/>
      <c r="P1298" s="1049"/>
      <c r="Q1298" s="1050"/>
    </row>
    <row r="1299" spans="1:17">
      <c r="A1299" s="603" t="s">
        <v>294</v>
      </c>
      <c r="B1299" s="683" t="s">
        <v>419</v>
      </c>
      <c r="C1299" s="640">
        <v>1</v>
      </c>
      <c r="D1299" s="681" t="s">
        <v>283</v>
      </c>
      <c r="E1299" s="642" t="e">
        <f>Elec_Est!#REF!</f>
        <v>#REF!</v>
      </c>
      <c r="F1299" s="643" t="e">
        <f t="shared" ref="F1299:F1317" si="1">E1299*C1299</f>
        <v>#REF!</v>
      </c>
      <c r="K1299" s="705"/>
      <c r="L1299" s="705"/>
      <c r="M1299" s="1073" t="s">
        <v>435</v>
      </c>
      <c r="N1299" s="1074" t="s">
        <v>283</v>
      </c>
      <c r="O1299" s="1048">
        <v>1</v>
      </c>
      <c r="P1299" s="1049">
        <f ca="1">Elec_Est!E1671</f>
        <v>61.84</v>
      </c>
      <c r="Q1299" s="1050">
        <f t="shared" ref="Q1299:Q1309" ca="1" si="2">P1299*O1299</f>
        <v>61.84</v>
      </c>
    </row>
    <row r="1300" spans="1:17">
      <c r="A1300" s="603"/>
      <c r="B1300" s="683"/>
      <c r="C1300" s="640"/>
      <c r="D1300" s="681"/>
      <c r="E1300" s="642"/>
      <c r="F1300" s="643"/>
      <c r="K1300" s="705"/>
      <c r="L1300" s="705"/>
      <c r="M1300" s="1073"/>
      <c r="N1300" s="1074"/>
      <c r="O1300" s="1048"/>
      <c r="P1300" s="1049"/>
      <c r="Q1300" s="1050"/>
    </row>
    <row r="1301" spans="1:17">
      <c r="A1301" s="603" t="s">
        <v>339</v>
      </c>
      <c r="B1301" s="683" t="s">
        <v>420</v>
      </c>
      <c r="C1301" s="640">
        <v>1</v>
      </c>
      <c r="D1301" s="681" t="s">
        <v>283</v>
      </c>
      <c r="E1301" s="642" t="e">
        <f>Elec_Est!#REF!</f>
        <v>#REF!</v>
      </c>
      <c r="F1301" s="643" t="e">
        <f t="shared" si="1"/>
        <v>#REF!</v>
      </c>
      <c r="K1301" s="705"/>
      <c r="L1301" s="705"/>
      <c r="M1301" s="1073" t="s">
        <v>436</v>
      </c>
      <c r="N1301" s="1074" t="s">
        <v>283</v>
      </c>
      <c r="O1301" s="1048">
        <v>1</v>
      </c>
      <c r="P1301" s="1049">
        <f ca="1">Elec_Est!E1692</f>
        <v>61.84</v>
      </c>
      <c r="Q1301" s="1050">
        <f t="shared" ca="1" si="2"/>
        <v>61.84</v>
      </c>
    </row>
    <row r="1302" spans="1:17">
      <c r="A1302" s="603"/>
      <c r="B1302" s="683"/>
      <c r="C1302" s="640"/>
      <c r="D1302" s="681"/>
      <c r="E1302" s="642"/>
      <c r="F1302" s="643"/>
      <c r="K1302" s="705"/>
      <c r="L1302" s="705"/>
      <c r="M1302" s="1073"/>
      <c r="N1302" s="1074"/>
      <c r="O1302" s="1048"/>
      <c r="P1302" s="1049"/>
      <c r="Q1302" s="1050"/>
    </row>
    <row r="1303" spans="1:17">
      <c r="A1303" s="603" t="s">
        <v>340</v>
      </c>
      <c r="B1303" s="683" t="s">
        <v>421</v>
      </c>
      <c r="C1303" s="640">
        <v>1</v>
      </c>
      <c r="D1303" s="681" t="s">
        <v>283</v>
      </c>
      <c r="E1303" s="642" t="e">
        <f>Elec_Est!#REF!</f>
        <v>#REF!</v>
      </c>
      <c r="F1303" s="643" t="e">
        <f t="shared" si="1"/>
        <v>#REF!</v>
      </c>
      <c r="K1303" s="705"/>
      <c r="L1303" s="705"/>
      <c r="M1303" s="1073" t="s">
        <v>437</v>
      </c>
      <c r="N1303" s="1074" t="s">
        <v>283</v>
      </c>
      <c r="O1303" s="1048">
        <v>1</v>
      </c>
      <c r="P1303" s="1049">
        <f ca="1">Elec_Est!E1713</f>
        <v>61.84</v>
      </c>
      <c r="Q1303" s="1050">
        <f t="shared" ca="1" si="2"/>
        <v>61.84</v>
      </c>
    </row>
    <row r="1304" spans="1:17">
      <c r="A1304" s="603"/>
      <c r="B1304" s="683"/>
      <c r="C1304" s="640"/>
      <c r="D1304" s="681"/>
      <c r="E1304" s="642"/>
      <c r="F1304" s="643"/>
      <c r="K1304" s="705"/>
      <c r="L1304" s="705"/>
      <c r="M1304" s="1073"/>
      <c r="N1304" s="1074"/>
      <c r="O1304" s="1048"/>
      <c r="P1304" s="1049"/>
      <c r="Q1304" s="1050"/>
    </row>
    <row r="1305" spans="1:17">
      <c r="A1305" s="603" t="s">
        <v>409</v>
      </c>
      <c r="B1305" s="683" t="s">
        <v>422</v>
      </c>
      <c r="C1305" s="640">
        <v>1</v>
      </c>
      <c r="D1305" s="681" t="s">
        <v>283</v>
      </c>
      <c r="E1305" s="642" t="e">
        <f>Elec_Est!#REF!</f>
        <v>#REF!</v>
      </c>
      <c r="F1305" s="643" t="e">
        <f t="shared" si="1"/>
        <v>#REF!</v>
      </c>
      <c r="K1305" s="705"/>
      <c r="L1305" s="705"/>
      <c r="M1305" s="1073" t="s">
        <v>438</v>
      </c>
      <c r="N1305" s="1074" t="s">
        <v>283</v>
      </c>
      <c r="O1305" s="1048">
        <v>1</v>
      </c>
      <c r="P1305" s="1049">
        <f ca="1">Elec_Est!E1734</f>
        <v>61.84</v>
      </c>
      <c r="Q1305" s="1050">
        <f t="shared" ca="1" si="2"/>
        <v>61.84</v>
      </c>
    </row>
    <row r="1306" spans="1:17">
      <c r="A1306" s="603"/>
      <c r="B1306" s="683"/>
      <c r="C1306" s="640"/>
      <c r="D1306" s="681"/>
      <c r="E1306" s="642"/>
      <c r="F1306" s="643"/>
      <c r="K1306" s="705"/>
      <c r="L1306" s="705"/>
      <c r="M1306" s="1073"/>
      <c r="N1306" s="1074"/>
      <c r="O1306" s="1048"/>
      <c r="P1306" s="1049"/>
      <c r="Q1306" s="1050"/>
    </row>
    <row r="1307" spans="1:17">
      <c r="A1307" s="603" t="s">
        <v>416</v>
      </c>
      <c r="B1307" s="683" t="s">
        <v>423</v>
      </c>
      <c r="C1307" s="640">
        <v>1</v>
      </c>
      <c r="D1307" s="681" t="s">
        <v>283</v>
      </c>
      <c r="E1307" s="642" t="e">
        <f>Elec_Est!#REF!</f>
        <v>#REF!</v>
      </c>
      <c r="F1307" s="643" t="e">
        <f t="shared" si="1"/>
        <v>#REF!</v>
      </c>
      <c r="K1307" s="705"/>
      <c r="L1307" s="705"/>
      <c r="M1307" s="1073" t="s">
        <v>439</v>
      </c>
      <c r="N1307" s="1074" t="s">
        <v>283</v>
      </c>
      <c r="O1307" s="1048">
        <v>1</v>
      </c>
      <c r="P1307" s="1049">
        <f ca="1">Elec_Est!E1755</f>
        <v>43.84</v>
      </c>
      <c r="Q1307" s="1050">
        <f t="shared" ca="1" si="2"/>
        <v>43.84</v>
      </c>
    </row>
    <row r="1308" spans="1:17">
      <c r="A1308" s="603"/>
      <c r="B1308" s="683"/>
      <c r="C1308" s="640"/>
      <c r="D1308" s="681"/>
      <c r="E1308" s="642"/>
      <c r="F1308" s="643"/>
      <c r="K1308" s="705"/>
      <c r="L1308" s="705"/>
      <c r="M1308" s="1073"/>
      <c r="N1308" s="1074"/>
      <c r="O1308" s="1048"/>
      <c r="P1308" s="1049"/>
      <c r="Q1308" s="1050"/>
    </row>
    <row r="1309" spans="1:17">
      <c r="A1309" s="603" t="s">
        <v>424</v>
      </c>
      <c r="B1309" s="683" t="s">
        <v>425</v>
      </c>
      <c r="C1309" s="640">
        <v>1</v>
      </c>
      <c r="D1309" s="681" t="s">
        <v>283</v>
      </c>
      <c r="E1309" s="642" t="e">
        <f>Elec_Est!#REF!</f>
        <v>#REF!</v>
      </c>
      <c r="F1309" s="643" t="e">
        <f t="shared" si="1"/>
        <v>#REF!</v>
      </c>
      <c r="K1309" s="705"/>
      <c r="L1309" s="705"/>
      <c r="M1309" s="1073" t="s">
        <v>440</v>
      </c>
      <c r="N1309" s="1074" t="s">
        <v>283</v>
      </c>
      <c r="O1309" s="1048">
        <v>1</v>
      </c>
      <c r="P1309" s="1049">
        <f ca="1">Elec_Est!E1776</f>
        <v>43.84</v>
      </c>
      <c r="Q1309" s="1050">
        <f t="shared" ca="1" si="2"/>
        <v>43.84</v>
      </c>
    </row>
    <row r="1310" spans="1:17">
      <c r="A1310" s="603"/>
      <c r="B1310" s="683"/>
      <c r="C1310" s="640"/>
      <c r="D1310" s="681"/>
      <c r="E1310" s="642"/>
      <c r="F1310" s="643"/>
      <c r="K1310" s="696"/>
      <c r="L1310" s="696"/>
      <c r="M1310" s="1075"/>
      <c r="N1310" s="1076"/>
      <c r="O1310" s="968"/>
      <c r="P1310" s="969"/>
      <c r="Q1310" s="970"/>
    </row>
    <row r="1311" spans="1:17">
      <c r="A1311" s="603" t="s">
        <v>426</v>
      </c>
      <c r="B1311" s="683" t="s">
        <v>427</v>
      </c>
      <c r="C1311" s="640">
        <v>1</v>
      </c>
      <c r="D1311" s="681" t="s">
        <v>283</v>
      </c>
      <c r="E1311" s="642" t="e">
        <f>Elec_Est!#REF!</f>
        <v>#REF!</v>
      </c>
      <c r="F1311" s="643" t="e">
        <f t="shared" si="1"/>
        <v>#REF!</v>
      </c>
      <c r="K1311" s="696"/>
      <c r="L1311" s="696"/>
      <c r="M1311" s="1075"/>
      <c r="N1311" s="1076"/>
      <c r="O1311" s="968"/>
      <c r="P1311" s="969"/>
      <c r="Q1311" s="970"/>
    </row>
    <row r="1312" spans="1:17">
      <c r="A1312" s="603"/>
      <c r="B1312" s="683"/>
      <c r="C1312" s="640"/>
      <c r="D1312" s="681"/>
      <c r="E1312" s="642"/>
      <c r="F1312" s="643"/>
      <c r="K1312" s="696"/>
      <c r="L1312" s="696"/>
      <c r="M1312" s="1075"/>
      <c r="N1312" s="1076"/>
      <c r="O1312" s="968"/>
      <c r="P1312" s="969"/>
      <c r="Q1312" s="970"/>
    </row>
    <row r="1313" spans="1:17">
      <c r="A1313" s="603" t="s">
        <v>428</v>
      </c>
      <c r="B1313" s="683" t="s">
        <v>429</v>
      </c>
      <c r="C1313" s="640">
        <v>1</v>
      </c>
      <c r="D1313" s="681" t="s">
        <v>283</v>
      </c>
      <c r="E1313" s="642" t="e">
        <f>Elec_Est!#REF!</f>
        <v>#REF!</v>
      </c>
      <c r="F1313" s="643" t="e">
        <f t="shared" si="1"/>
        <v>#REF!</v>
      </c>
      <c r="K1313" s="696"/>
      <c r="L1313" s="696"/>
      <c r="M1313" s="1075"/>
      <c r="N1313" s="1076"/>
      <c r="O1313" s="968"/>
      <c r="P1313" s="969"/>
      <c r="Q1313" s="970"/>
    </row>
    <row r="1314" spans="1:17">
      <c r="A1314" s="603"/>
      <c r="B1314" s="683"/>
      <c r="C1314" s="640"/>
      <c r="D1314" s="681"/>
      <c r="E1314" s="642"/>
      <c r="F1314" s="643"/>
      <c r="K1314" s="696"/>
      <c r="L1314" s="696"/>
      <c r="M1314" s="1040"/>
      <c r="N1314" s="1076"/>
      <c r="O1314" s="544"/>
      <c r="P1314" s="969"/>
      <c r="Q1314" s="970"/>
    </row>
    <row r="1315" spans="1:17">
      <c r="A1315" s="603" t="s">
        <v>430</v>
      </c>
      <c r="B1315" s="683" t="s">
        <v>431</v>
      </c>
      <c r="C1315" s="640">
        <v>1</v>
      </c>
      <c r="D1315" s="681" t="s">
        <v>283</v>
      </c>
      <c r="E1315" s="642" t="e">
        <f>Elec_Est!#REF!</f>
        <v>#REF!</v>
      </c>
      <c r="F1315" s="643" t="e">
        <f t="shared" si="1"/>
        <v>#REF!</v>
      </c>
      <c r="K1315" s="696"/>
      <c r="L1315" s="696"/>
      <c r="M1315" s="1075"/>
      <c r="N1315" s="1076"/>
      <c r="O1315" s="968"/>
      <c r="P1315" s="969"/>
      <c r="Q1315" s="970"/>
    </row>
    <row r="1316" spans="1:17">
      <c r="A1316" s="603"/>
      <c r="B1316" s="683"/>
      <c r="C1316" s="640"/>
      <c r="D1316" s="681"/>
      <c r="E1316" s="642"/>
      <c r="F1316" s="643"/>
      <c r="K1316" s="696"/>
      <c r="L1316" s="696"/>
      <c r="M1316" s="1075"/>
      <c r="N1316" s="1076"/>
      <c r="O1316" s="968"/>
      <c r="P1316" s="969"/>
      <c r="Q1316" s="970"/>
    </row>
    <row r="1317" spans="1:17">
      <c r="A1317" s="603" t="s">
        <v>432</v>
      </c>
      <c r="B1317" s="683" t="s">
        <v>433</v>
      </c>
      <c r="C1317" s="640">
        <v>1</v>
      </c>
      <c r="D1317" s="681" t="s">
        <v>283</v>
      </c>
      <c r="E1317" s="642" t="e">
        <f>Elec_Est!#REF!</f>
        <v>#REF!</v>
      </c>
      <c r="F1317" s="643" t="e">
        <f t="shared" si="1"/>
        <v>#REF!</v>
      </c>
      <c r="K1317" s="696"/>
      <c r="L1317" s="696"/>
      <c r="M1317" s="1075"/>
      <c r="N1317" s="1076"/>
      <c r="O1317" s="968"/>
      <c r="P1317" s="969"/>
      <c r="Q1317" s="970"/>
    </row>
    <row r="1318" spans="1:17">
      <c r="A1318" s="590"/>
      <c r="B1318" s="661"/>
      <c r="C1318" s="593"/>
      <c r="D1318" s="662"/>
      <c r="E1318" s="594"/>
      <c r="F1318" s="595"/>
      <c r="K1318" s="696"/>
      <c r="L1318" s="696"/>
      <c r="M1318" s="1075"/>
      <c r="N1318" s="1076"/>
      <c r="O1318" s="968"/>
      <c r="P1318" s="969"/>
      <c r="Q1318" s="970"/>
    </row>
    <row r="1319" spans="1:17">
      <c r="A1319" s="590"/>
      <c r="B1319" s="661"/>
      <c r="C1319" s="593"/>
      <c r="D1319" s="662"/>
      <c r="E1319" s="594"/>
      <c r="F1319" s="595"/>
      <c r="K1319" s="696"/>
      <c r="L1319" s="696"/>
      <c r="M1319" s="1075"/>
      <c r="N1319" s="1076"/>
      <c r="O1319" s="968"/>
      <c r="P1319" s="969"/>
      <c r="Q1319" s="970"/>
    </row>
    <row r="1320" spans="1:17">
      <c r="A1320" s="590"/>
      <c r="B1320" s="661"/>
      <c r="C1320" s="593"/>
      <c r="D1320" s="662"/>
      <c r="E1320" s="594"/>
      <c r="F1320" s="595"/>
      <c r="K1320" s="696"/>
      <c r="L1320" s="696"/>
      <c r="M1320" s="1075"/>
      <c r="N1320" s="1076"/>
      <c r="O1320" s="968"/>
      <c r="P1320" s="969"/>
      <c r="Q1320" s="970"/>
    </row>
    <row r="1321" spans="1:17">
      <c r="A1321" s="590"/>
      <c r="B1321" s="661"/>
      <c r="C1321" s="593"/>
      <c r="D1321" s="662"/>
      <c r="E1321" s="594"/>
      <c r="F1321" s="595"/>
      <c r="K1321" s="696"/>
      <c r="L1321" s="696"/>
      <c r="M1321" s="1075"/>
      <c r="N1321" s="1076"/>
      <c r="O1321" s="968"/>
      <c r="P1321" s="969"/>
      <c r="Q1321" s="970"/>
    </row>
    <row r="1322" spans="1:17">
      <c r="A1322" s="590"/>
      <c r="B1322" s="661"/>
      <c r="C1322" s="593"/>
      <c r="D1322" s="662"/>
      <c r="E1322" s="594"/>
      <c r="F1322" s="595"/>
      <c r="K1322" s="696"/>
      <c r="L1322" s="696"/>
      <c r="M1322" s="1075"/>
      <c r="N1322" s="1076"/>
      <c r="O1322" s="968"/>
      <c r="P1322" s="969"/>
      <c r="Q1322" s="970"/>
    </row>
    <row r="1323" spans="1:17">
      <c r="A1323" s="590"/>
      <c r="B1323" s="661"/>
      <c r="C1323" s="593"/>
      <c r="D1323" s="662"/>
      <c r="E1323" s="594"/>
      <c r="F1323" s="595"/>
      <c r="K1323" s="696"/>
      <c r="L1323" s="696"/>
      <c r="M1323" s="1075"/>
      <c r="N1323" s="1076"/>
      <c r="O1323" s="968"/>
      <c r="P1323" s="969"/>
      <c r="Q1323" s="970"/>
    </row>
    <row r="1324" spans="1:17">
      <c r="A1324" s="590"/>
      <c r="B1324" s="661"/>
      <c r="C1324" s="593"/>
      <c r="D1324" s="662"/>
      <c r="E1324" s="594"/>
      <c r="F1324" s="595"/>
      <c r="K1324" s="696"/>
      <c r="L1324" s="696"/>
      <c r="M1324" s="1075"/>
      <c r="N1324" s="1076"/>
      <c r="O1324" s="968"/>
      <c r="P1324" s="969"/>
      <c r="Q1324" s="970"/>
    </row>
    <row r="1325" spans="1:17">
      <c r="A1325" s="590"/>
      <c r="B1325" s="661"/>
      <c r="C1325" s="593"/>
      <c r="D1325" s="662"/>
      <c r="E1325" s="594"/>
      <c r="F1325" s="595"/>
      <c r="K1325" s="696"/>
      <c r="L1325" s="696"/>
      <c r="M1325" s="1075"/>
      <c r="N1325" s="1076"/>
      <c r="O1325" s="968"/>
      <c r="P1325" s="969"/>
      <c r="Q1325" s="970"/>
    </row>
    <row r="1326" spans="1:17">
      <c r="A1326" s="590"/>
      <c r="B1326" s="661"/>
      <c r="C1326" s="593"/>
      <c r="D1326" s="662"/>
      <c r="E1326" s="594"/>
      <c r="F1326" s="595"/>
      <c r="K1326" s="696"/>
      <c r="L1326" s="696"/>
      <c r="M1326" s="1075"/>
      <c r="N1326" s="1076"/>
      <c r="O1326" s="968"/>
      <c r="P1326" s="969"/>
      <c r="Q1326" s="970"/>
    </row>
    <row r="1327" spans="1:17">
      <c r="A1327" s="590"/>
      <c r="B1327" s="661"/>
      <c r="C1327" s="593"/>
      <c r="D1327" s="662"/>
      <c r="E1327" s="594"/>
      <c r="F1327" s="595"/>
      <c r="K1327" s="696"/>
      <c r="L1327" s="696"/>
      <c r="M1327" s="1075"/>
      <c r="N1327" s="1076"/>
      <c r="O1327" s="968"/>
      <c r="P1327" s="969"/>
      <c r="Q1327" s="970"/>
    </row>
    <row r="1328" spans="1:17">
      <c r="A1328" s="590"/>
      <c r="B1328" s="661"/>
      <c r="C1328" s="593"/>
      <c r="D1328" s="662"/>
      <c r="E1328" s="594"/>
      <c r="F1328" s="595"/>
      <c r="K1328" s="696"/>
      <c r="L1328" s="696"/>
      <c r="M1328" s="1075"/>
      <c r="N1328" s="1076"/>
      <c r="O1328" s="968"/>
      <c r="P1328" s="969"/>
      <c r="Q1328" s="970"/>
    </row>
    <row r="1329" spans="1:17">
      <c r="A1329" s="590"/>
      <c r="B1329" s="661"/>
      <c r="C1329" s="593"/>
      <c r="D1329" s="662"/>
      <c r="E1329" s="594"/>
      <c r="F1329" s="595"/>
      <c r="K1329" s="696"/>
      <c r="L1329" s="696"/>
      <c r="M1329" s="1075"/>
      <c r="N1329" s="1076"/>
      <c r="O1329" s="968"/>
      <c r="P1329" s="969"/>
      <c r="Q1329" s="970"/>
    </row>
    <row r="1330" spans="1:17">
      <c r="A1330" s="590"/>
      <c r="B1330" s="661"/>
      <c r="C1330" s="593"/>
      <c r="D1330" s="662"/>
      <c r="E1330" s="594"/>
      <c r="F1330" s="595"/>
      <c r="K1330" s="696"/>
      <c r="L1330" s="696"/>
      <c r="M1330" s="1075"/>
      <c r="N1330" s="1076"/>
      <c r="O1330" s="968"/>
      <c r="P1330" s="969"/>
      <c r="Q1330" s="970"/>
    </row>
    <row r="1331" spans="1:17">
      <c r="A1331" s="590"/>
      <c r="B1331" s="661"/>
      <c r="C1331" s="593"/>
      <c r="D1331" s="662"/>
      <c r="E1331" s="594"/>
      <c r="F1331" s="595"/>
      <c r="K1331" s="696"/>
      <c r="L1331" s="696"/>
      <c r="M1331" s="1075"/>
      <c r="N1331" s="1076"/>
      <c r="O1331" s="968"/>
      <c r="P1331" s="969"/>
      <c r="Q1331" s="970"/>
    </row>
    <row r="1332" spans="1:17">
      <c r="A1332" s="590"/>
      <c r="B1332" s="661"/>
      <c r="C1332" s="593"/>
      <c r="D1332" s="662"/>
      <c r="E1332" s="594"/>
      <c r="F1332" s="595"/>
      <c r="K1332" s="696"/>
      <c r="L1332" s="696"/>
      <c r="M1332" s="1075"/>
      <c r="N1332" s="1076"/>
      <c r="O1332" s="968"/>
      <c r="P1332" s="969"/>
      <c r="Q1332" s="970"/>
    </row>
    <row r="1333" spans="1:17">
      <c r="A1333" s="590"/>
      <c r="B1333" s="661"/>
      <c r="C1333" s="593"/>
      <c r="D1333" s="662"/>
      <c r="E1333" s="594"/>
      <c r="F1333" s="595"/>
      <c r="K1333" s="696"/>
      <c r="L1333" s="696"/>
      <c r="M1333" s="1075"/>
      <c r="N1333" s="1076"/>
      <c r="O1333" s="968"/>
      <c r="P1333" s="969"/>
      <c r="Q1333" s="970"/>
    </row>
    <row r="1334" spans="1:17">
      <c r="A1334" s="590"/>
      <c r="B1334" s="661"/>
      <c r="C1334" s="593"/>
      <c r="D1334" s="662"/>
      <c r="E1334" s="594"/>
      <c r="F1334" s="595"/>
      <c r="K1334" s="696"/>
      <c r="L1334" s="696"/>
      <c r="M1334" s="1075"/>
      <c r="N1334" s="1076"/>
      <c r="O1334" s="968"/>
      <c r="P1334" s="969"/>
      <c r="Q1334" s="970"/>
    </row>
    <row r="1335" spans="1:17">
      <c r="A1335" s="590"/>
      <c r="B1335" s="661"/>
      <c r="C1335" s="593"/>
      <c r="D1335" s="662"/>
      <c r="E1335" s="594"/>
      <c r="F1335" s="595"/>
      <c r="K1335" s="696"/>
      <c r="L1335" s="696"/>
      <c r="M1335" s="1075"/>
      <c r="N1335" s="1076"/>
      <c r="O1335" s="968"/>
      <c r="P1335" s="969"/>
      <c r="Q1335" s="970"/>
    </row>
    <row r="1336" spans="1:17">
      <c r="A1336" s="590"/>
      <c r="B1336" s="661"/>
      <c r="C1336" s="593"/>
      <c r="D1336" s="662"/>
      <c r="E1336" s="594"/>
      <c r="F1336" s="595"/>
      <c r="K1336" s="696"/>
      <c r="L1336" s="696"/>
      <c r="M1336" s="1075"/>
      <c r="N1336" s="1076"/>
      <c r="O1336" s="968"/>
      <c r="P1336" s="969"/>
      <c r="Q1336" s="970"/>
    </row>
    <row r="1337" spans="1:17" ht="15" thickBot="1">
      <c r="A1337" s="590"/>
      <c r="B1337" s="661"/>
      <c r="C1337" s="593"/>
      <c r="D1337" s="662"/>
      <c r="E1337" s="594"/>
      <c r="F1337" s="595"/>
      <c r="K1337" s="696"/>
      <c r="L1337" s="696"/>
      <c r="M1337" s="1075"/>
      <c r="N1337" s="1076"/>
      <c r="O1337" s="968"/>
      <c r="P1337" s="969"/>
      <c r="Q1337" s="970"/>
    </row>
    <row r="1338" spans="1:17">
      <c r="A1338" s="612"/>
      <c r="B1338" s="613"/>
      <c r="C1338" s="615"/>
      <c r="D1338" s="614"/>
      <c r="E1338" s="616"/>
      <c r="F1338" s="617"/>
      <c r="K1338" s="696"/>
      <c r="L1338" s="696"/>
      <c r="M1338" s="1075"/>
      <c r="N1338" s="1076"/>
      <c r="O1338" s="968"/>
      <c r="P1338" s="969"/>
      <c r="Q1338" s="970"/>
    </row>
    <row r="1339" spans="1:17">
      <c r="A1339" s="618" t="s">
        <v>310</v>
      </c>
      <c r="B1339" s="619" t="s">
        <v>289</v>
      </c>
      <c r="C1339" s="621"/>
      <c r="D1339" s="620"/>
      <c r="E1339" s="622"/>
      <c r="F1339" s="623" t="e">
        <f>SUM(F1297:F1337)</f>
        <v>#REF!</v>
      </c>
      <c r="H1339" s="645"/>
      <c r="K1339" s="696"/>
      <c r="L1339" s="696"/>
      <c r="M1339" s="1075"/>
      <c r="N1339" s="1076"/>
      <c r="O1339" s="968"/>
      <c r="P1339" s="969"/>
      <c r="Q1339" s="970"/>
    </row>
    <row r="1340" spans="1:17">
      <c r="A1340" s="624"/>
      <c r="B1340" s="625"/>
      <c r="C1340" s="627"/>
      <c r="D1340" s="626"/>
      <c r="E1340" s="628"/>
      <c r="F1340" s="629"/>
      <c r="K1340" s="696"/>
      <c r="L1340" s="696"/>
      <c r="M1340" s="1075"/>
      <c r="N1340" s="1076"/>
      <c r="O1340" s="968"/>
      <c r="P1340" s="969"/>
      <c r="Q1340" s="970"/>
    </row>
    <row r="1341" spans="1:17" ht="17.399999999999999">
      <c r="A1341" s="568"/>
      <c r="B1341" s="663"/>
      <c r="C1341" s="570"/>
      <c r="D1341" s="569"/>
      <c r="E1341" s="571"/>
      <c r="F1341" s="572"/>
      <c r="K1341" s="696"/>
      <c r="L1341" s="696"/>
      <c r="M1341" s="1075"/>
      <c r="N1341" s="1076"/>
      <c r="O1341" s="968"/>
      <c r="P1341" s="969"/>
      <c r="Q1341" s="970"/>
    </row>
    <row r="1342" spans="1:17">
      <c r="A1342" s="574"/>
      <c r="B1342" s="664"/>
      <c r="C1342" s="576"/>
      <c r="D1342" s="575"/>
      <c r="E1342" s="577"/>
      <c r="F1342" s="578"/>
      <c r="K1342" s="696"/>
      <c r="L1342" s="696"/>
      <c r="M1342" s="1075"/>
      <c r="N1342" s="1076"/>
      <c r="O1342" s="968"/>
      <c r="P1342" s="969"/>
      <c r="Q1342" s="970"/>
    </row>
    <row r="1343" spans="1:17">
      <c r="A1343" s="574"/>
      <c r="B1343" s="664"/>
      <c r="C1343" s="576"/>
      <c r="D1343" s="575"/>
      <c r="E1343" s="577"/>
      <c r="F1343" s="578"/>
      <c r="K1343" s="696"/>
      <c r="L1343" s="696"/>
      <c r="M1343" s="1040"/>
      <c r="N1343" s="1076"/>
      <c r="O1343" s="544"/>
      <c r="P1343" s="969"/>
      <c r="Q1343" s="970"/>
    </row>
    <row r="1344" spans="1:17" ht="15" thickBot="1">
      <c r="A1344" s="618"/>
      <c r="B1344" s="657"/>
      <c r="C1344" s="581"/>
      <c r="D1344" s="580"/>
      <c r="E1344" s="582"/>
      <c r="F1344" s="583"/>
      <c r="K1344" s="696"/>
      <c r="L1344" s="696"/>
      <c r="M1344" s="1079"/>
      <c r="N1344" s="1076"/>
      <c r="O1344" s="968"/>
      <c r="P1344" s="969"/>
      <c r="Q1344" s="970"/>
    </row>
    <row r="1345" spans="1:17" ht="15" thickBot="1">
      <c r="A1345" s="584" t="s">
        <v>276</v>
      </c>
      <c r="B1345" s="585"/>
      <c r="C1345" s="587" t="s">
        <v>277</v>
      </c>
      <c r="D1345" s="586" t="s">
        <v>266</v>
      </c>
      <c r="E1345" s="588" t="s">
        <v>278</v>
      </c>
      <c r="F1345" s="589" t="s">
        <v>267</v>
      </c>
      <c r="K1345" s="1014"/>
      <c r="L1345" s="1014"/>
      <c r="M1345" s="1015"/>
      <c r="N1345" s="1016"/>
      <c r="O1345" s="1017"/>
      <c r="P1345" s="1018"/>
      <c r="Q1345" s="1019"/>
    </row>
    <row r="1346" spans="1:17">
      <c r="A1346" s="590"/>
      <c r="B1346" s="661"/>
      <c r="C1346" s="593"/>
      <c r="D1346" s="662"/>
      <c r="E1346" s="594"/>
      <c r="F1346" s="595"/>
      <c r="K1346" s="1020"/>
      <c r="L1346" s="1020"/>
      <c r="M1346" s="1021" t="s">
        <v>289</v>
      </c>
      <c r="N1346" s="1022"/>
      <c r="O1346" s="1023"/>
      <c r="P1346" s="1024"/>
      <c r="Q1346" s="1010">
        <f ca="1">SUM(Q1297:Q1344)</f>
        <v>335.04000000000008</v>
      </c>
    </row>
    <row r="1347" spans="1:17" ht="52.8">
      <c r="A1347" s="679" t="s">
        <v>327</v>
      </c>
      <c r="B1347" s="683" t="s">
        <v>434</v>
      </c>
      <c r="C1347" s="640"/>
      <c r="D1347" s="681"/>
      <c r="E1347" s="642"/>
      <c r="F1347" s="643"/>
      <c r="K1347" s="1025"/>
      <c r="L1347" s="1025"/>
      <c r="M1347" s="1026"/>
      <c r="N1347" s="1027"/>
      <c r="O1347" s="1028"/>
      <c r="P1347" s="1029"/>
      <c r="Q1347" s="1030"/>
    </row>
    <row r="1348" spans="1:17" ht="17.399999999999999">
      <c r="A1348" s="603"/>
      <c r="B1348" s="683"/>
      <c r="C1348" s="640"/>
      <c r="D1348" s="681"/>
      <c r="E1348" s="642"/>
      <c r="F1348" s="643"/>
      <c r="K1348" s="980"/>
      <c r="L1348" s="981"/>
      <c r="M1348" s="1077"/>
      <c r="N1348" s="982"/>
      <c r="O1348" s="983"/>
      <c r="P1348" s="984"/>
      <c r="Q1348" s="985"/>
    </row>
    <row r="1349" spans="1:17">
      <c r="A1349" s="603" t="s">
        <v>294</v>
      </c>
      <c r="B1349" s="683" t="s">
        <v>435</v>
      </c>
      <c r="C1349" s="640">
        <v>1</v>
      </c>
      <c r="D1349" s="681" t="s">
        <v>283</v>
      </c>
      <c r="E1349" s="642" t="e">
        <f>Elec_Est!#REF!</f>
        <v>#REF!</v>
      </c>
      <c r="F1349" s="643" t="e">
        <f t="shared" ref="F1349:F1359" si="3">E1349*C1349</f>
        <v>#REF!</v>
      </c>
      <c r="G1349" s="573">
        <v>3</v>
      </c>
      <c r="K1349" s="986"/>
      <c r="L1349" s="987"/>
      <c r="M1349" s="1078"/>
      <c r="N1349" s="988"/>
      <c r="O1349" s="989"/>
      <c r="P1349" s="990"/>
      <c r="Q1349" s="991"/>
    </row>
    <row r="1350" spans="1:17">
      <c r="A1350" s="603"/>
      <c r="B1350" s="683"/>
      <c r="C1350" s="640"/>
      <c r="D1350" s="681"/>
      <c r="E1350" s="642"/>
      <c r="F1350" s="643"/>
      <c r="K1350" s="986"/>
      <c r="L1350" s="987"/>
      <c r="M1350" s="1078"/>
      <c r="N1350" s="988"/>
      <c r="O1350" s="989"/>
      <c r="P1350" s="990"/>
      <c r="Q1350" s="991"/>
    </row>
    <row r="1351" spans="1:17">
      <c r="A1351" s="603" t="s">
        <v>339</v>
      </c>
      <c r="B1351" s="683" t="s">
        <v>436</v>
      </c>
      <c r="C1351" s="640">
        <v>1</v>
      </c>
      <c r="D1351" s="681" t="s">
        <v>283</v>
      </c>
      <c r="E1351" s="642" t="e">
        <f>Elec_Est!#REF!</f>
        <v>#REF!</v>
      </c>
      <c r="F1351" s="643" t="e">
        <f t="shared" si="3"/>
        <v>#REF!</v>
      </c>
      <c r="G1351" s="573">
        <v>3</v>
      </c>
      <c r="K1351" s="1020"/>
      <c r="L1351" s="993"/>
      <c r="M1351" s="959"/>
      <c r="N1351" s="543"/>
      <c r="O1351" s="994"/>
      <c r="P1351" s="995"/>
      <c r="Q1351" s="996"/>
    </row>
    <row r="1352" spans="1:17" ht="15" thickBot="1">
      <c r="A1352" s="603"/>
      <c r="B1352" s="683"/>
      <c r="C1352" s="640"/>
      <c r="D1352" s="681"/>
      <c r="E1352" s="642"/>
      <c r="F1352" s="643"/>
      <c r="K1352" s="997" t="s">
        <v>276</v>
      </c>
      <c r="L1352" s="998" t="s">
        <v>887</v>
      </c>
      <c r="M1352" s="999"/>
      <c r="N1352" s="1000" t="s">
        <v>266</v>
      </c>
      <c r="O1352" s="1001" t="s">
        <v>277</v>
      </c>
      <c r="P1352" s="1002" t="s">
        <v>278</v>
      </c>
      <c r="Q1352" s="1003" t="s">
        <v>267</v>
      </c>
    </row>
    <row r="1353" spans="1:17">
      <c r="A1353" s="603" t="s">
        <v>340</v>
      </c>
      <c r="B1353" s="683" t="s">
        <v>437</v>
      </c>
      <c r="C1353" s="640">
        <v>1</v>
      </c>
      <c r="D1353" s="681" t="s">
        <v>283</v>
      </c>
      <c r="E1353" s="642" t="e">
        <f>Elec_Est!#REF!</f>
        <v>#REF!</v>
      </c>
      <c r="F1353" s="643" t="e">
        <f t="shared" si="3"/>
        <v>#REF!</v>
      </c>
      <c r="G1353" s="573">
        <v>3</v>
      </c>
      <c r="K1353" s="696"/>
      <c r="L1353" s="696"/>
      <c r="M1353" s="703"/>
      <c r="N1353" s="967"/>
      <c r="O1353" s="968"/>
      <c r="P1353" s="969"/>
      <c r="Q1353" s="970"/>
    </row>
    <row r="1354" spans="1:17" ht="52.8">
      <c r="A1354" s="603"/>
      <c r="B1354" s="683"/>
      <c r="C1354" s="640"/>
      <c r="D1354" s="681"/>
      <c r="E1354" s="642"/>
      <c r="F1354" s="643"/>
      <c r="K1354" s="705">
        <f>K1297+1</f>
        <v>27</v>
      </c>
      <c r="L1354" s="705"/>
      <c r="M1354" s="706" t="s">
        <v>441</v>
      </c>
      <c r="N1354" s="1047"/>
      <c r="O1354" s="1048"/>
      <c r="P1354" s="1049"/>
      <c r="Q1354" s="1050"/>
    </row>
    <row r="1355" spans="1:17">
      <c r="A1355" s="603" t="s">
        <v>409</v>
      </c>
      <c r="B1355" s="683" t="s">
        <v>438</v>
      </c>
      <c r="C1355" s="640">
        <v>1</v>
      </c>
      <c r="D1355" s="681" t="s">
        <v>283</v>
      </c>
      <c r="E1355" s="642" t="e">
        <f>Elec_Est!#REF!</f>
        <v>#REF!</v>
      </c>
      <c r="F1355" s="643" t="e">
        <f t="shared" si="3"/>
        <v>#REF!</v>
      </c>
      <c r="G1355" s="573">
        <v>3</v>
      </c>
      <c r="K1355" s="705"/>
      <c r="L1355" s="705"/>
      <c r="M1355" s="706"/>
      <c r="N1355" s="1047"/>
      <c r="O1355" s="1048"/>
      <c r="P1355" s="1049"/>
      <c r="Q1355" s="1050"/>
    </row>
    <row r="1356" spans="1:17">
      <c r="A1356" s="603"/>
      <c r="B1356" s="683"/>
      <c r="C1356" s="640"/>
      <c r="D1356" s="681"/>
      <c r="E1356" s="642"/>
      <c r="F1356" s="643"/>
      <c r="K1356" s="705"/>
      <c r="L1356" s="705"/>
      <c r="M1356" s="706" t="s">
        <v>442</v>
      </c>
      <c r="N1356" s="1047" t="s">
        <v>283</v>
      </c>
      <c r="O1356" s="1048">
        <v>1</v>
      </c>
      <c r="P1356" s="1049">
        <f ca="1">Elec_Est!E1801</f>
        <v>43.84</v>
      </c>
      <c r="Q1356" s="1050">
        <f t="shared" ref="Q1356:Q1362" ca="1" si="4">P1356*O1356</f>
        <v>43.84</v>
      </c>
    </row>
    <row r="1357" spans="1:17">
      <c r="A1357" s="603" t="s">
        <v>416</v>
      </c>
      <c r="B1357" s="683" t="s">
        <v>439</v>
      </c>
      <c r="C1357" s="640">
        <v>1</v>
      </c>
      <c r="D1357" s="681" t="s">
        <v>283</v>
      </c>
      <c r="E1357" s="642" t="e">
        <f>Elec_Est!#REF!</f>
        <v>#REF!</v>
      </c>
      <c r="F1357" s="643" t="e">
        <f t="shared" si="3"/>
        <v>#REF!</v>
      </c>
      <c r="G1357" s="573">
        <v>3</v>
      </c>
      <c r="K1357" s="705"/>
      <c r="L1357" s="705"/>
      <c r="M1357" s="706"/>
      <c r="N1357" s="1047"/>
      <c r="O1357" s="1048"/>
      <c r="P1357" s="1049"/>
      <c r="Q1357" s="1050"/>
    </row>
    <row r="1358" spans="1:17">
      <c r="A1358" s="603"/>
      <c r="B1358" s="683"/>
      <c r="C1358" s="640"/>
      <c r="D1358" s="681"/>
      <c r="E1358" s="642"/>
      <c r="F1358" s="643"/>
      <c r="K1358" s="705"/>
      <c r="L1358" s="705"/>
      <c r="M1358" s="1073" t="s">
        <v>443</v>
      </c>
      <c r="N1358" s="1047" t="s">
        <v>283</v>
      </c>
      <c r="O1358" s="1048">
        <v>1</v>
      </c>
      <c r="P1358" s="1049">
        <f ca="1">Elec_Est!E1822</f>
        <v>43.84</v>
      </c>
      <c r="Q1358" s="1050">
        <f t="shared" ca="1" si="4"/>
        <v>43.84</v>
      </c>
    </row>
    <row r="1359" spans="1:17">
      <c r="A1359" s="603" t="s">
        <v>424</v>
      </c>
      <c r="B1359" s="683" t="s">
        <v>440</v>
      </c>
      <c r="C1359" s="640">
        <v>1</v>
      </c>
      <c r="D1359" s="681" t="s">
        <v>283</v>
      </c>
      <c r="E1359" s="642" t="e">
        <f>Elec_Est!#REF!</f>
        <v>#REF!</v>
      </c>
      <c r="F1359" s="643" t="e">
        <f t="shared" si="3"/>
        <v>#REF!</v>
      </c>
      <c r="G1359" s="573">
        <v>3</v>
      </c>
      <c r="K1359" s="705"/>
      <c r="L1359" s="705"/>
      <c r="M1359" s="706"/>
      <c r="N1359" s="1047"/>
      <c r="O1359" s="1048"/>
      <c r="P1359" s="1049"/>
      <c r="Q1359" s="1050"/>
    </row>
    <row r="1360" spans="1:17">
      <c r="A1360" s="590"/>
      <c r="B1360" s="661"/>
      <c r="C1360" s="593"/>
      <c r="D1360" s="662"/>
      <c r="E1360" s="594"/>
      <c r="F1360" s="595"/>
      <c r="K1360" s="705"/>
      <c r="L1360" s="705"/>
      <c r="M1360" s="706" t="s">
        <v>444</v>
      </c>
      <c r="N1360" s="1047" t="s">
        <v>283</v>
      </c>
      <c r="O1360" s="1048">
        <v>1</v>
      </c>
      <c r="P1360" s="1049">
        <f ca="1">Elec_Est!E1843</f>
        <v>47.58</v>
      </c>
      <c r="Q1360" s="1050">
        <f t="shared" ca="1" si="4"/>
        <v>47.58</v>
      </c>
    </row>
    <row r="1361" spans="1:17">
      <c r="A1361" s="590"/>
      <c r="B1361" s="661"/>
      <c r="C1361" s="593"/>
      <c r="D1361" s="662"/>
      <c r="E1361" s="594"/>
      <c r="F1361" s="595"/>
      <c r="K1361" s="705"/>
      <c r="L1361" s="705"/>
      <c r="M1361" s="706"/>
      <c r="N1361" s="1047"/>
      <c r="O1361" s="1048"/>
      <c r="P1361" s="1049"/>
      <c r="Q1361" s="1050"/>
    </row>
    <row r="1362" spans="1:17">
      <c r="A1362" s="590"/>
      <c r="B1362" s="661"/>
      <c r="C1362" s="593"/>
      <c r="D1362" s="662"/>
      <c r="E1362" s="594"/>
      <c r="F1362" s="595"/>
      <c r="K1362" s="705"/>
      <c r="L1362" s="705"/>
      <c r="M1362" s="706" t="s">
        <v>445</v>
      </c>
      <c r="N1362" s="1047" t="s">
        <v>283</v>
      </c>
      <c r="O1362" s="1048">
        <v>1</v>
      </c>
      <c r="P1362" s="1049">
        <f ca="1">Elec_Est!E1864</f>
        <v>47.58</v>
      </c>
      <c r="Q1362" s="1050">
        <f t="shared" ca="1" si="4"/>
        <v>47.58</v>
      </c>
    </row>
    <row r="1363" spans="1:17">
      <c r="A1363" s="590"/>
      <c r="B1363" s="661"/>
      <c r="C1363" s="593"/>
      <c r="D1363" s="662"/>
      <c r="E1363" s="594"/>
      <c r="F1363" s="595"/>
      <c r="K1363" s="696"/>
      <c r="L1363" s="696"/>
      <c r="M1363" s="703"/>
      <c r="N1363" s="967"/>
      <c r="O1363" s="968"/>
      <c r="P1363" s="969"/>
      <c r="Q1363" s="970"/>
    </row>
    <row r="1364" spans="1:17">
      <c r="A1364" s="590"/>
      <c r="B1364" s="609"/>
      <c r="C1364" s="646"/>
      <c r="D1364" s="662"/>
      <c r="E1364" s="594"/>
      <c r="F1364" s="595"/>
      <c r="K1364" s="696"/>
      <c r="L1364" s="696"/>
      <c r="M1364" s="703"/>
      <c r="N1364" s="967"/>
      <c r="O1364" s="968"/>
      <c r="P1364" s="969"/>
      <c r="Q1364" s="970"/>
    </row>
    <row r="1365" spans="1:17">
      <c r="A1365" s="590"/>
      <c r="B1365" s="661"/>
      <c r="C1365" s="593"/>
      <c r="D1365" s="662"/>
      <c r="E1365" s="594"/>
      <c r="F1365" s="595"/>
      <c r="K1365" s="696"/>
      <c r="L1365" s="696"/>
      <c r="M1365" s="703"/>
      <c r="N1365" s="967"/>
      <c r="O1365" s="968"/>
      <c r="P1365" s="969"/>
      <c r="Q1365" s="970"/>
    </row>
    <row r="1366" spans="1:17">
      <c r="A1366" s="590"/>
      <c r="B1366" s="661"/>
      <c r="C1366" s="593"/>
      <c r="D1366" s="662"/>
      <c r="E1366" s="594"/>
      <c r="F1366" s="595"/>
      <c r="K1366" s="696"/>
      <c r="L1366" s="696"/>
      <c r="M1366" s="703"/>
      <c r="N1366" s="967"/>
      <c r="O1366" s="968"/>
      <c r="P1366" s="969"/>
      <c r="Q1366" s="970"/>
    </row>
    <row r="1367" spans="1:17">
      <c r="A1367" s="590"/>
      <c r="B1367" s="661"/>
      <c r="C1367" s="593"/>
      <c r="D1367" s="662"/>
      <c r="E1367" s="594"/>
      <c r="F1367" s="595"/>
      <c r="K1367" s="696"/>
      <c r="L1367" s="696"/>
      <c r="M1367" s="703"/>
      <c r="N1367" s="967"/>
      <c r="O1367" s="968"/>
      <c r="P1367" s="969"/>
      <c r="Q1367" s="970"/>
    </row>
    <row r="1368" spans="1:17">
      <c r="A1368" s="590"/>
      <c r="B1368" s="661"/>
      <c r="C1368" s="593"/>
      <c r="D1368" s="662"/>
      <c r="E1368" s="594"/>
      <c r="F1368" s="595"/>
      <c r="K1368" s="696"/>
      <c r="L1368" s="696"/>
      <c r="M1368" s="703"/>
      <c r="N1368" s="967"/>
      <c r="O1368" s="968"/>
      <c r="P1368" s="969"/>
      <c r="Q1368" s="970"/>
    </row>
    <row r="1369" spans="1:17">
      <c r="A1369" s="590"/>
      <c r="B1369" s="661"/>
      <c r="C1369" s="593"/>
      <c r="D1369" s="662"/>
      <c r="E1369" s="594"/>
      <c r="F1369" s="595"/>
      <c r="K1369" s="696"/>
      <c r="L1369" s="696"/>
      <c r="M1369" s="703"/>
      <c r="N1369" s="967"/>
      <c r="O1369" s="968"/>
      <c r="P1369" s="969"/>
      <c r="Q1369" s="970"/>
    </row>
    <row r="1370" spans="1:17">
      <c r="A1370" s="590"/>
      <c r="B1370" s="661"/>
      <c r="C1370" s="593"/>
      <c r="D1370" s="662"/>
      <c r="E1370" s="594"/>
      <c r="F1370" s="595"/>
      <c r="K1370" s="696"/>
      <c r="L1370" s="696"/>
      <c r="M1370" s="703"/>
      <c r="N1370" s="967"/>
      <c r="O1370" s="968"/>
      <c r="P1370" s="969"/>
      <c r="Q1370" s="970"/>
    </row>
    <row r="1371" spans="1:17">
      <c r="A1371" s="590"/>
      <c r="B1371" s="661"/>
      <c r="C1371" s="593"/>
      <c r="D1371" s="662"/>
      <c r="E1371" s="594"/>
      <c r="F1371" s="595"/>
      <c r="K1371" s="696"/>
      <c r="L1371" s="696"/>
      <c r="M1371" s="703"/>
      <c r="N1371" s="967"/>
      <c r="O1371" s="968"/>
      <c r="P1371" s="969"/>
      <c r="Q1371" s="970"/>
    </row>
    <row r="1372" spans="1:17">
      <c r="A1372" s="590"/>
      <c r="B1372" s="661"/>
      <c r="C1372" s="593"/>
      <c r="D1372" s="662"/>
      <c r="E1372" s="594"/>
      <c r="F1372" s="595"/>
      <c r="K1372" s="696"/>
      <c r="L1372" s="696"/>
      <c r="M1372" s="1075"/>
      <c r="N1372" s="967"/>
      <c r="O1372" s="968"/>
      <c r="P1372" s="969"/>
      <c r="Q1372" s="970"/>
    </row>
    <row r="1373" spans="1:17">
      <c r="A1373" s="590"/>
      <c r="B1373" s="661"/>
      <c r="C1373" s="593"/>
      <c r="D1373" s="662"/>
      <c r="E1373" s="594"/>
      <c r="F1373" s="595"/>
      <c r="K1373" s="696"/>
      <c r="L1373" s="696"/>
      <c r="M1373" s="1080"/>
      <c r="N1373" s="967"/>
      <c r="O1373" s="544"/>
      <c r="P1373" s="969"/>
      <c r="Q1373" s="970"/>
    </row>
    <row r="1374" spans="1:17">
      <c r="A1374" s="590"/>
      <c r="B1374" s="661"/>
      <c r="C1374" s="593"/>
      <c r="D1374" s="662"/>
      <c r="E1374" s="594"/>
      <c r="F1374" s="595"/>
      <c r="K1374" s="696"/>
      <c r="L1374" s="696"/>
      <c r="M1374" s="1040"/>
      <c r="N1374" s="967"/>
      <c r="O1374" s="1041"/>
      <c r="P1374" s="969"/>
      <c r="Q1374" s="970"/>
    </row>
    <row r="1375" spans="1:17">
      <c r="A1375" s="590"/>
      <c r="B1375" s="661"/>
      <c r="C1375" s="593"/>
      <c r="D1375" s="662"/>
      <c r="E1375" s="594"/>
      <c r="F1375" s="595"/>
      <c r="K1375" s="696"/>
      <c r="L1375" s="696"/>
      <c r="M1375" s="1040"/>
      <c r="N1375" s="967"/>
      <c r="O1375" s="1041"/>
      <c r="P1375" s="969"/>
      <c r="Q1375" s="970"/>
    </row>
    <row r="1376" spans="1:17">
      <c r="A1376" s="590"/>
      <c r="B1376" s="661"/>
      <c r="C1376" s="593"/>
      <c r="D1376" s="662"/>
      <c r="E1376" s="594"/>
      <c r="F1376" s="595"/>
      <c r="K1376" s="696"/>
      <c r="L1376" s="696"/>
      <c r="M1376" s="1040"/>
      <c r="N1376" s="967"/>
      <c r="O1376" s="1041"/>
      <c r="P1376" s="969"/>
      <c r="Q1376" s="970"/>
    </row>
    <row r="1377" spans="1:17">
      <c r="A1377" s="590"/>
      <c r="B1377" s="661"/>
      <c r="C1377" s="593"/>
      <c r="D1377" s="662"/>
      <c r="E1377" s="594"/>
      <c r="F1377" s="595"/>
      <c r="K1377" s="696"/>
      <c r="L1377" s="696"/>
      <c r="M1377" s="1040"/>
      <c r="N1377" s="967"/>
      <c r="O1377" s="1041"/>
      <c r="P1377" s="969"/>
      <c r="Q1377" s="970"/>
    </row>
    <row r="1378" spans="1:17">
      <c r="A1378" s="590"/>
      <c r="B1378" s="661"/>
      <c r="C1378" s="593"/>
      <c r="D1378" s="662"/>
      <c r="E1378" s="594"/>
      <c r="F1378" s="595"/>
      <c r="K1378" s="696"/>
      <c r="L1378" s="696"/>
      <c r="M1378" s="1081"/>
      <c r="N1378" s="967"/>
      <c r="O1378" s="1041"/>
      <c r="P1378" s="969"/>
      <c r="Q1378" s="970"/>
    </row>
    <row r="1379" spans="1:17">
      <c r="A1379" s="590"/>
      <c r="B1379" s="661"/>
      <c r="C1379" s="593"/>
      <c r="D1379" s="662"/>
      <c r="E1379" s="594"/>
      <c r="F1379" s="595"/>
      <c r="K1379" s="696"/>
      <c r="L1379" s="696"/>
      <c r="M1379" s="1040"/>
      <c r="N1379" s="967"/>
      <c r="O1379" s="1041"/>
      <c r="P1379" s="969"/>
      <c r="Q1379" s="970"/>
    </row>
    <row r="1380" spans="1:17">
      <c r="A1380" s="590"/>
      <c r="B1380" s="661"/>
      <c r="C1380" s="593"/>
      <c r="D1380" s="662"/>
      <c r="E1380" s="594"/>
      <c r="F1380" s="595"/>
      <c r="K1380" s="696"/>
      <c r="L1380" s="696"/>
      <c r="M1380" s="1040"/>
      <c r="N1380" s="967"/>
      <c r="O1380" s="1041"/>
      <c r="P1380" s="969"/>
      <c r="Q1380" s="970"/>
    </row>
    <row r="1381" spans="1:17">
      <c r="A1381" s="590"/>
      <c r="B1381" s="661"/>
      <c r="C1381" s="593"/>
      <c r="D1381" s="662"/>
      <c r="E1381" s="594"/>
      <c r="F1381" s="595"/>
      <c r="K1381" s="696"/>
      <c r="L1381" s="696"/>
      <c r="M1381" s="1080"/>
      <c r="N1381" s="967"/>
      <c r="O1381" s="544"/>
      <c r="P1381" s="969"/>
      <c r="Q1381" s="970"/>
    </row>
    <row r="1382" spans="1:17">
      <c r="A1382" s="590"/>
      <c r="B1382" s="661"/>
      <c r="C1382" s="593"/>
      <c r="D1382" s="662"/>
      <c r="E1382" s="594"/>
      <c r="F1382" s="595"/>
      <c r="K1382" s="696"/>
      <c r="L1382" s="696"/>
      <c r="M1382" s="1080"/>
      <c r="N1382" s="967"/>
      <c r="O1382" s="1041"/>
      <c r="P1382" s="969"/>
      <c r="Q1382" s="970"/>
    </row>
    <row r="1383" spans="1:17">
      <c r="A1383" s="590"/>
      <c r="B1383" s="661"/>
      <c r="C1383" s="593"/>
      <c r="D1383" s="662"/>
      <c r="E1383" s="594"/>
      <c r="F1383" s="595"/>
      <c r="K1383" s="696"/>
      <c r="L1383" s="696"/>
      <c r="M1383" s="1080"/>
      <c r="N1383" s="967"/>
      <c r="O1383" s="544"/>
      <c r="P1383" s="969"/>
      <c r="Q1383" s="970"/>
    </row>
    <row r="1384" spans="1:17">
      <c r="A1384" s="590"/>
      <c r="B1384" s="661"/>
      <c r="C1384" s="593"/>
      <c r="D1384" s="662"/>
      <c r="E1384" s="594"/>
      <c r="F1384" s="595"/>
      <c r="K1384" s="696"/>
      <c r="L1384" s="696"/>
      <c r="M1384" s="1080"/>
      <c r="N1384" s="967"/>
      <c r="O1384" s="1041"/>
      <c r="P1384" s="969"/>
      <c r="Q1384" s="970"/>
    </row>
    <row r="1385" spans="1:17">
      <c r="A1385" s="590"/>
      <c r="B1385" s="661"/>
      <c r="C1385" s="593"/>
      <c r="D1385" s="662"/>
      <c r="E1385" s="594"/>
      <c r="F1385" s="595"/>
      <c r="K1385" s="696"/>
      <c r="L1385" s="696"/>
      <c r="M1385" s="1080"/>
      <c r="N1385" s="967"/>
      <c r="O1385" s="544"/>
      <c r="P1385" s="969"/>
      <c r="Q1385" s="970"/>
    </row>
    <row r="1386" spans="1:17">
      <c r="A1386" s="590"/>
      <c r="B1386" s="661"/>
      <c r="C1386" s="593"/>
      <c r="D1386" s="662"/>
      <c r="E1386" s="594"/>
      <c r="F1386" s="595"/>
      <c r="K1386" s="696"/>
      <c r="L1386" s="696"/>
      <c r="M1386" s="1080"/>
      <c r="N1386" s="967"/>
      <c r="O1386" s="968"/>
      <c r="P1386" s="969"/>
      <c r="Q1386" s="970"/>
    </row>
    <row r="1387" spans="1:17">
      <c r="A1387" s="590"/>
      <c r="B1387" s="661"/>
      <c r="C1387" s="593"/>
      <c r="D1387" s="662"/>
      <c r="E1387" s="594"/>
      <c r="F1387" s="595"/>
      <c r="K1387" s="696"/>
      <c r="L1387" s="696"/>
      <c r="M1387" s="1080"/>
      <c r="N1387" s="967"/>
      <c r="O1387" s="968"/>
      <c r="P1387" s="969"/>
      <c r="Q1387" s="970"/>
    </row>
    <row r="1388" spans="1:17">
      <c r="A1388" s="590"/>
      <c r="B1388" s="661"/>
      <c r="C1388" s="593"/>
      <c r="D1388" s="662"/>
      <c r="E1388" s="594"/>
      <c r="F1388" s="595"/>
      <c r="K1388" s="696"/>
      <c r="L1388" s="696"/>
      <c r="M1388" s="1080"/>
      <c r="N1388" s="967"/>
      <c r="O1388" s="968"/>
      <c r="P1388" s="969"/>
      <c r="Q1388" s="970"/>
    </row>
    <row r="1389" spans="1:17">
      <c r="A1389" s="590"/>
      <c r="B1389" s="661"/>
      <c r="C1389" s="593"/>
      <c r="D1389" s="662"/>
      <c r="E1389" s="594"/>
      <c r="F1389" s="595"/>
      <c r="K1389" s="696"/>
      <c r="L1389" s="696"/>
      <c r="M1389" s="1080"/>
      <c r="N1389" s="967"/>
      <c r="O1389" s="968"/>
      <c r="P1389" s="969"/>
      <c r="Q1389" s="970"/>
    </row>
    <row r="1390" spans="1:17">
      <c r="A1390" s="590"/>
      <c r="B1390" s="661"/>
      <c r="C1390" s="593"/>
      <c r="D1390" s="662"/>
      <c r="E1390" s="594"/>
      <c r="F1390" s="595"/>
      <c r="K1390" s="696"/>
      <c r="L1390" s="696"/>
      <c r="M1390" s="1080"/>
      <c r="N1390" s="967"/>
      <c r="O1390" s="968"/>
      <c r="P1390" s="969"/>
      <c r="Q1390" s="970"/>
    </row>
    <row r="1391" spans="1:17">
      <c r="A1391" s="590"/>
      <c r="B1391" s="661"/>
      <c r="C1391" s="593"/>
      <c r="D1391" s="662"/>
      <c r="E1391" s="594"/>
      <c r="F1391" s="595"/>
      <c r="K1391" s="696"/>
      <c r="L1391" s="696"/>
      <c r="M1391" s="1080"/>
      <c r="N1391" s="967"/>
      <c r="O1391" s="968"/>
      <c r="P1391" s="969"/>
      <c r="Q1391" s="970"/>
    </row>
    <row r="1392" spans="1:17">
      <c r="A1392" s="590"/>
      <c r="B1392" s="661"/>
      <c r="C1392" s="593"/>
      <c r="D1392" s="662"/>
      <c r="E1392" s="594"/>
      <c r="F1392" s="595"/>
      <c r="K1392" s="696"/>
      <c r="L1392" s="696"/>
      <c r="M1392" s="1080"/>
      <c r="N1392" s="967"/>
      <c r="O1392" s="968"/>
      <c r="P1392" s="969"/>
      <c r="Q1392" s="970"/>
    </row>
    <row r="1393" spans="1:17">
      <c r="A1393" s="590"/>
      <c r="B1393" s="609"/>
      <c r="C1393" s="646"/>
      <c r="D1393" s="662"/>
      <c r="E1393" s="594"/>
      <c r="F1393" s="595"/>
      <c r="K1393" s="696"/>
      <c r="L1393" s="696"/>
      <c r="M1393" s="1080"/>
      <c r="N1393" s="967"/>
      <c r="O1393" s="968"/>
      <c r="P1393" s="969"/>
      <c r="Q1393" s="970"/>
    </row>
    <row r="1394" spans="1:17" ht="15" thickBot="1">
      <c r="A1394" s="590"/>
      <c r="B1394" s="665"/>
      <c r="C1394" s="593"/>
      <c r="D1394" s="662"/>
      <c r="E1394" s="594"/>
      <c r="F1394" s="595"/>
      <c r="K1394" s="696"/>
      <c r="L1394" s="696"/>
      <c r="M1394" s="1080"/>
      <c r="N1394" s="967"/>
      <c r="O1394" s="1041"/>
      <c r="P1394" s="969"/>
      <c r="Q1394" s="970"/>
    </row>
    <row r="1395" spans="1:17">
      <c r="A1395" s="612"/>
      <c r="B1395" s="613"/>
      <c r="C1395" s="615"/>
      <c r="D1395" s="614"/>
      <c r="E1395" s="616"/>
      <c r="F1395" s="617"/>
      <c r="K1395" s="696"/>
      <c r="L1395" s="696"/>
      <c r="M1395" s="1080"/>
      <c r="N1395" s="967"/>
      <c r="O1395" s="544"/>
      <c r="P1395" s="969"/>
      <c r="Q1395" s="970"/>
    </row>
    <row r="1396" spans="1:17">
      <c r="A1396" s="618" t="s">
        <v>310</v>
      </c>
      <c r="B1396" s="619" t="s">
        <v>289</v>
      </c>
      <c r="C1396" s="621"/>
      <c r="D1396" s="620"/>
      <c r="E1396" s="622"/>
      <c r="F1396" s="623" t="e">
        <f>SUM(F1347:F1394)</f>
        <v>#REF!</v>
      </c>
      <c r="H1396" s="645"/>
      <c r="K1396" s="696"/>
      <c r="L1396" s="696"/>
      <c r="M1396" s="1080"/>
      <c r="N1396" s="967"/>
      <c r="O1396" s="1041"/>
      <c r="P1396" s="969"/>
      <c r="Q1396" s="970"/>
    </row>
    <row r="1397" spans="1:17">
      <c r="A1397" s="624"/>
      <c r="B1397" s="625"/>
      <c r="C1397" s="627"/>
      <c r="D1397" s="626"/>
      <c r="E1397" s="628"/>
      <c r="F1397" s="629"/>
      <c r="K1397" s="696"/>
      <c r="L1397" s="696"/>
      <c r="M1397" s="1080"/>
      <c r="N1397" s="967"/>
      <c r="O1397" s="544"/>
      <c r="P1397" s="969"/>
      <c r="Q1397" s="970"/>
    </row>
    <row r="1398" spans="1:17" ht="17.399999999999999">
      <c r="A1398" s="568"/>
      <c r="B1398" s="663"/>
      <c r="C1398" s="570"/>
      <c r="D1398" s="569"/>
      <c r="E1398" s="571"/>
      <c r="F1398" s="572"/>
      <c r="K1398" s="696"/>
      <c r="L1398" s="696"/>
      <c r="M1398" s="1080"/>
      <c r="N1398" s="967"/>
      <c r="O1398" s="544"/>
      <c r="P1398" s="969"/>
      <c r="Q1398" s="970"/>
    </row>
    <row r="1399" spans="1:17">
      <c r="A1399" s="574"/>
      <c r="B1399" s="664"/>
      <c r="C1399" s="576"/>
      <c r="D1399" s="575"/>
      <c r="E1399" s="577"/>
      <c r="F1399" s="578"/>
      <c r="K1399" s="696"/>
      <c r="L1399" s="696"/>
      <c r="M1399" s="1080"/>
      <c r="N1399" s="967"/>
      <c r="O1399" s="544"/>
      <c r="P1399" s="969"/>
      <c r="Q1399" s="970"/>
    </row>
    <row r="1400" spans="1:17">
      <c r="A1400" s="574"/>
      <c r="B1400" s="664"/>
      <c r="C1400" s="576"/>
      <c r="D1400" s="575"/>
      <c r="E1400" s="577"/>
      <c r="F1400" s="578"/>
      <c r="K1400" s="696"/>
      <c r="L1400" s="696"/>
      <c r="M1400" s="1080"/>
      <c r="N1400" s="967"/>
      <c r="O1400" s="544"/>
      <c r="P1400" s="969"/>
      <c r="Q1400" s="970"/>
    </row>
    <row r="1401" spans="1:17">
      <c r="A1401" s="618"/>
      <c r="B1401" s="657"/>
      <c r="C1401" s="581"/>
      <c r="D1401" s="580"/>
      <c r="E1401" s="582"/>
      <c r="F1401" s="583"/>
      <c r="K1401" s="696"/>
      <c r="L1401" s="696"/>
      <c r="M1401" s="1080"/>
      <c r="N1401" s="967"/>
      <c r="O1401" s="544"/>
      <c r="P1401" s="969"/>
      <c r="Q1401" s="970"/>
    </row>
    <row r="1402" spans="1:17" ht="15" thickBot="1">
      <c r="A1402" s="584" t="s">
        <v>276</v>
      </c>
      <c r="B1402" s="585"/>
      <c r="C1402" s="587" t="s">
        <v>277</v>
      </c>
      <c r="D1402" s="586" t="s">
        <v>266</v>
      </c>
      <c r="E1402" s="588" t="s">
        <v>278</v>
      </c>
      <c r="F1402" s="589" t="s">
        <v>267</v>
      </c>
      <c r="K1402" s="696"/>
      <c r="L1402" s="696"/>
      <c r="M1402" s="703"/>
      <c r="N1402" s="967"/>
      <c r="O1402" s="968"/>
      <c r="P1402" s="969"/>
      <c r="Q1402" s="970"/>
    </row>
    <row r="1403" spans="1:17">
      <c r="A1403" s="590"/>
      <c r="B1403" s="591"/>
      <c r="C1403" s="593"/>
      <c r="D1403" s="592"/>
      <c r="E1403" s="594"/>
      <c r="F1403" s="595"/>
      <c r="K1403" s="1014"/>
      <c r="L1403" s="1014"/>
      <c r="M1403" s="1015"/>
      <c r="N1403" s="1016"/>
      <c r="O1403" s="1017"/>
      <c r="P1403" s="1018"/>
      <c r="Q1403" s="1019"/>
    </row>
    <row r="1404" spans="1:17" ht="44.4" customHeight="1">
      <c r="A1404" s="603" t="s">
        <v>369</v>
      </c>
      <c r="B1404" s="604" t="s">
        <v>441</v>
      </c>
      <c r="C1404" s="640"/>
      <c r="D1404" s="641"/>
      <c r="E1404" s="642"/>
      <c r="F1404" s="643"/>
      <c r="K1404" s="1020"/>
      <c r="L1404" s="1020"/>
      <c r="M1404" s="1021" t="s">
        <v>289</v>
      </c>
      <c r="N1404" s="1022"/>
      <c r="O1404" s="1023"/>
      <c r="P1404" s="1024"/>
      <c r="Q1404" s="1010">
        <f ca="1">SUM(Q1354:Q1402)</f>
        <v>182.83999999999997</v>
      </c>
    </row>
    <row r="1405" spans="1:17">
      <c r="A1405" s="603"/>
      <c r="B1405" s="604"/>
      <c r="C1405" s="640"/>
      <c r="D1405" s="641"/>
      <c r="E1405" s="642"/>
      <c r="F1405" s="643"/>
      <c r="K1405" s="1025"/>
      <c r="L1405" s="1025"/>
      <c r="M1405" s="1026"/>
      <c r="N1405" s="1027"/>
      <c r="O1405" s="1028"/>
      <c r="P1405" s="1029"/>
      <c r="Q1405" s="1030"/>
    </row>
    <row r="1406" spans="1:17">
      <c r="A1406" s="603" t="s">
        <v>294</v>
      </c>
      <c r="B1406" s="604" t="s">
        <v>442</v>
      </c>
      <c r="C1406" s="640">
        <v>1</v>
      </c>
      <c r="D1406" s="641" t="s">
        <v>283</v>
      </c>
      <c r="E1406" s="642" t="e">
        <f>Elec_Est!#REF!</f>
        <v>#REF!</v>
      </c>
      <c r="F1406" s="643" t="e">
        <f t="shared" ref="F1406:F1412" si="5">E1406*C1406</f>
        <v>#REF!</v>
      </c>
      <c r="G1406" s="573">
        <v>3</v>
      </c>
    </row>
    <row r="1407" spans="1:17">
      <c r="A1407" s="603"/>
      <c r="B1407" s="604"/>
      <c r="C1407" s="640"/>
      <c r="D1407" s="641"/>
      <c r="E1407" s="642"/>
      <c r="F1407" s="643"/>
      <c r="Q1407" s="1086"/>
    </row>
    <row r="1408" spans="1:17">
      <c r="A1408" s="603" t="s">
        <v>339</v>
      </c>
      <c r="B1408" s="683" t="s">
        <v>443</v>
      </c>
      <c r="C1408" s="640">
        <v>1</v>
      </c>
      <c r="D1408" s="641" t="s">
        <v>283</v>
      </c>
      <c r="E1408" s="642" t="e">
        <f>Elec_Est!#REF!</f>
        <v>#REF!</v>
      </c>
      <c r="F1408" s="643" t="e">
        <f t="shared" si="5"/>
        <v>#REF!</v>
      </c>
      <c r="G1408" s="573">
        <v>3</v>
      </c>
    </row>
    <row r="1409" spans="1:7">
      <c r="A1409" s="603"/>
      <c r="B1409" s="604"/>
      <c r="C1409" s="640"/>
      <c r="D1409" s="641"/>
      <c r="E1409" s="642"/>
      <c r="F1409" s="643"/>
    </row>
    <row r="1410" spans="1:7">
      <c r="A1410" s="603" t="s">
        <v>340</v>
      </c>
      <c r="B1410" s="604" t="s">
        <v>444</v>
      </c>
      <c r="C1410" s="640">
        <v>1</v>
      </c>
      <c r="D1410" s="641" t="s">
        <v>283</v>
      </c>
      <c r="E1410" s="642" t="e">
        <f>Elec_Est!#REF!</f>
        <v>#REF!</v>
      </c>
      <c r="F1410" s="643" t="e">
        <f t="shared" si="5"/>
        <v>#REF!</v>
      </c>
      <c r="G1410" s="573">
        <v>3</v>
      </c>
    </row>
    <row r="1411" spans="1:7">
      <c r="A1411" s="603"/>
      <c r="B1411" s="604"/>
      <c r="C1411" s="640"/>
      <c r="D1411" s="641"/>
      <c r="E1411" s="642"/>
      <c r="F1411" s="643"/>
    </row>
    <row r="1412" spans="1:7">
      <c r="A1412" s="603" t="s">
        <v>409</v>
      </c>
      <c r="B1412" s="604" t="s">
        <v>445</v>
      </c>
      <c r="C1412" s="640">
        <v>1</v>
      </c>
      <c r="D1412" s="641" t="s">
        <v>283</v>
      </c>
      <c r="E1412" s="642" t="e">
        <f>Elec_Est!#REF!</f>
        <v>#REF!</v>
      </c>
      <c r="F1412" s="643" t="e">
        <f t="shared" si="5"/>
        <v>#REF!</v>
      </c>
      <c r="G1412" s="573">
        <v>3</v>
      </c>
    </row>
    <row r="1413" spans="1:7">
      <c r="A1413" s="590"/>
      <c r="B1413" s="591"/>
      <c r="C1413" s="593"/>
      <c r="D1413" s="592"/>
      <c r="E1413" s="594"/>
      <c r="F1413" s="595"/>
    </row>
    <row r="1414" spans="1:7">
      <c r="A1414" s="590"/>
      <c r="B1414" s="591"/>
      <c r="C1414" s="593"/>
      <c r="D1414" s="592"/>
      <c r="E1414" s="594"/>
      <c r="F1414" s="595"/>
    </row>
    <row r="1415" spans="1:7">
      <c r="A1415" s="590"/>
      <c r="B1415" s="591"/>
      <c r="C1415" s="593"/>
      <c r="D1415" s="592"/>
      <c r="E1415" s="594"/>
      <c r="F1415" s="595"/>
    </row>
    <row r="1416" spans="1:7">
      <c r="A1416" s="590"/>
      <c r="B1416" s="591"/>
      <c r="C1416" s="593"/>
      <c r="D1416" s="592"/>
      <c r="E1416" s="594"/>
      <c r="F1416" s="595"/>
    </row>
    <row r="1417" spans="1:7">
      <c r="A1417" s="590"/>
      <c r="B1417" s="591"/>
      <c r="C1417" s="593"/>
      <c r="D1417" s="592"/>
      <c r="E1417" s="594"/>
      <c r="F1417" s="595"/>
    </row>
    <row r="1418" spans="1:7">
      <c r="A1418" s="590"/>
      <c r="B1418" s="591"/>
      <c r="C1418" s="593"/>
      <c r="D1418" s="592"/>
      <c r="E1418" s="594"/>
      <c r="F1418" s="595"/>
    </row>
    <row r="1419" spans="1:7">
      <c r="A1419" s="590"/>
      <c r="B1419" s="591"/>
      <c r="C1419" s="593"/>
      <c r="D1419" s="592"/>
      <c r="E1419" s="594"/>
      <c r="F1419" s="595"/>
    </row>
    <row r="1420" spans="1:7">
      <c r="A1420" s="590"/>
      <c r="B1420" s="591"/>
      <c r="C1420" s="593"/>
      <c r="D1420" s="592"/>
      <c r="E1420" s="594"/>
      <c r="F1420" s="595"/>
    </row>
    <row r="1421" spans="1:7">
      <c r="A1421" s="590"/>
      <c r="B1421" s="591"/>
      <c r="C1421" s="593"/>
      <c r="D1421" s="592"/>
      <c r="E1421" s="594"/>
      <c r="F1421" s="595"/>
    </row>
    <row r="1422" spans="1:7">
      <c r="A1422" s="590"/>
      <c r="B1422" s="661"/>
      <c r="C1422" s="593"/>
      <c r="D1422" s="592"/>
      <c r="E1422" s="594"/>
      <c r="F1422" s="595"/>
    </row>
    <row r="1423" spans="1:7">
      <c r="A1423" s="590"/>
      <c r="B1423" s="666"/>
      <c r="C1423" s="646"/>
      <c r="D1423" s="592"/>
      <c r="E1423" s="594"/>
      <c r="F1423" s="595"/>
    </row>
    <row r="1424" spans="1:7">
      <c r="A1424" s="590"/>
      <c r="B1424" s="609"/>
      <c r="C1424" s="610"/>
      <c r="D1424" s="592"/>
      <c r="E1424" s="594"/>
      <c r="F1424" s="595"/>
    </row>
    <row r="1425" spans="1:6">
      <c r="A1425" s="590"/>
      <c r="B1425" s="609"/>
      <c r="C1425" s="610"/>
      <c r="D1425" s="592"/>
      <c r="E1425" s="594"/>
      <c r="F1425" s="595"/>
    </row>
    <row r="1426" spans="1:6">
      <c r="A1426" s="590"/>
      <c r="B1426" s="609"/>
      <c r="C1426" s="610"/>
      <c r="D1426" s="592"/>
      <c r="E1426" s="594"/>
      <c r="F1426" s="595"/>
    </row>
    <row r="1427" spans="1:6">
      <c r="A1427" s="590"/>
      <c r="B1427" s="609"/>
      <c r="C1427" s="610"/>
      <c r="D1427" s="592"/>
      <c r="E1427" s="594"/>
      <c r="F1427" s="595"/>
    </row>
    <row r="1428" spans="1:6">
      <c r="A1428" s="590"/>
      <c r="B1428" s="667"/>
      <c r="C1428" s="610"/>
      <c r="D1428" s="592"/>
      <c r="E1428" s="594"/>
      <c r="F1428" s="595"/>
    </row>
    <row r="1429" spans="1:6">
      <c r="A1429" s="590"/>
      <c r="B1429" s="609"/>
      <c r="C1429" s="610"/>
      <c r="D1429" s="592"/>
      <c r="E1429" s="594"/>
      <c r="F1429" s="595"/>
    </row>
    <row r="1430" spans="1:6">
      <c r="A1430" s="590"/>
      <c r="B1430" s="609"/>
      <c r="C1430" s="610"/>
      <c r="D1430" s="592"/>
      <c r="E1430" s="594"/>
      <c r="F1430" s="595"/>
    </row>
    <row r="1431" spans="1:6">
      <c r="A1431" s="590"/>
      <c r="B1431" s="666"/>
      <c r="C1431" s="646"/>
      <c r="D1431" s="592"/>
      <c r="E1431" s="594"/>
      <c r="F1431" s="595"/>
    </row>
    <row r="1432" spans="1:6">
      <c r="A1432" s="590"/>
      <c r="B1432" s="666"/>
      <c r="C1432" s="610"/>
      <c r="D1432" s="592"/>
      <c r="E1432" s="594"/>
      <c r="F1432" s="595"/>
    </row>
    <row r="1433" spans="1:6">
      <c r="A1433" s="590"/>
      <c r="B1433" s="666"/>
      <c r="C1433" s="646"/>
      <c r="D1433" s="592"/>
      <c r="E1433" s="594"/>
      <c r="F1433" s="595"/>
    </row>
    <row r="1434" spans="1:6">
      <c r="A1434" s="590"/>
      <c r="B1434" s="666"/>
      <c r="C1434" s="610"/>
      <c r="D1434" s="592"/>
      <c r="E1434" s="594"/>
      <c r="F1434" s="595"/>
    </row>
    <row r="1435" spans="1:6">
      <c r="A1435" s="590"/>
      <c r="B1435" s="666"/>
      <c r="C1435" s="646"/>
      <c r="D1435" s="592"/>
      <c r="E1435" s="594"/>
      <c r="F1435" s="595"/>
    </row>
    <row r="1436" spans="1:6">
      <c r="A1436" s="590"/>
      <c r="B1436" s="666"/>
      <c r="C1436" s="593"/>
      <c r="D1436" s="592"/>
      <c r="E1436" s="594"/>
      <c r="F1436" s="595"/>
    </row>
    <row r="1437" spans="1:6">
      <c r="A1437" s="590"/>
      <c r="B1437" s="666"/>
      <c r="C1437" s="593"/>
      <c r="D1437" s="592"/>
      <c r="E1437" s="594"/>
      <c r="F1437" s="595"/>
    </row>
    <row r="1438" spans="1:6">
      <c r="A1438" s="590"/>
      <c r="B1438" s="666"/>
      <c r="C1438" s="593"/>
      <c r="D1438" s="592"/>
      <c r="E1438" s="594"/>
      <c r="F1438" s="595"/>
    </row>
    <row r="1439" spans="1:6">
      <c r="A1439" s="590"/>
      <c r="B1439" s="666"/>
      <c r="C1439" s="593"/>
      <c r="D1439" s="592"/>
      <c r="E1439" s="594"/>
      <c r="F1439" s="595"/>
    </row>
    <row r="1440" spans="1:6">
      <c r="A1440" s="590"/>
      <c r="B1440" s="666"/>
      <c r="C1440" s="593"/>
      <c r="D1440" s="592"/>
      <c r="E1440" s="594"/>
      <c r="F1440" s="595"/>
    </row>
    <row r="1441" spans="1:8">
      <c r="A1441" s="590"/>
      <c r="B1441" s="666"/>
      <c r="C1441" s="593"/>
      <c r="D1441" s="592"/>
      <c r="E1441" s="594"/>
      <c r="F1441" s="595"/>
    </row>
    <row r="1442" spans="1:8">
      <c r="A1442" s="590"/>
      <c r="B1442" s="666"/>
      <c r="C1442" s="593"/>
      <c r="D1442" s="592"/>
      <c r="E1442" s="594"/>
      <c r="F1442" s="595"/>
    </row>
    <row r="1443" spans="1:8">
      <c r="A1443" s="590"/>
      <c r="B1443" s="666"/>
      <c r="C1443" s="593"/>
      <c r="D1443" s="592"/>
      <c r="E1443" s="594"/>
      <c r="F1443" s="595"/>
    </row>
    <row r="1444" spans="1:8">
      <c r="A1444" s="590"/>
      <c r="B1444" s="666"/>
      <c r="C1444" s="610"/>
      <c r="D1444" s="592"/>
      <c r="E1444" s="594"/>
      <c r="F1444" s="595"/>
    </row>
    <row r="1445" spans="1:8">
      <c r="A1445" s="590"/>
      <c r="B1445" s="666"/>
      <c r="C1445" s="646"/>
      <c r="D1445" s="592"/>
      <c r="E1445" s="594"/>
      <c r="F1445" s="595"/>
    </row>
    <row r="1446" spans="1:8">
      <c r="A1446" s="590"/>
      <c r="B1446" s="666"/>
      <c r="C1446" s="610"/>
      <c r="D1446" s="592"/>
      <c r="E1446" s="594"/>
      <c r="F1446" s="595"/>
    </row>
    <row r="1447" spans="1:8">
      <c r="A1447" s="590"/>
      <c r="B1447" s="666"/>
      <c r="C1447" s="646"/>
      <c r="D1447" s="592"/>
      <c r="E1447" s="594"/>
      <c r="F1447" s="595"/>
    </row>
    <row r="1448" spans="1:8">
      <c r="A1448" s="590"/>
      <c r="B1448" s="666"/>
      <c r="C1448" s="646"/>
      <c r="D1448" s="592"/>
      <c r="E1448" s="594"/>
      <c r="F1448" s="595"/>
    </row>
    <row r="1449" spans="1:8">
      <c r="A1449" s="590"/>
      <c r="B1449" s="666"/>
      <c r="C1449" s="646"/>
      <c r="D1449" s="592"/>
      <c r="E1449" s="594"/>
      <c r="F1449" s="595"/>
    </row>
    <row r="1450" spans="1:8">
      <c r="A1450" s="590"/>
      <c r="B1450" s="666"/>
      <c r="C1450" s="646"/>
      <c r="D1450" s="592"/>
      <c r="E1450" s="594"/>
      <c r="F1450" s="595"/>
    </row>
    <row r="1451" spans="1:8" ht="15" thickBot="1">
      <c r="A1451" s="590"/>
      <c r="B1451" s="591"/>
      <c r="C1451" s="593"/>
      <c r="D1451" s="592"/>
      <c r="E1451" s="594"/>
      <c r="F1451" s="595"/>
    </row>
    <row r="1452" spans="1:8">
      <c r="A1452" s="612"/>
      <c r="B1452" s="613"/>
      <c r="C1452" s="615"/>
      <c r="D1452" s="614"/>
      <c r="E1452" s="616"/>
      <c r="F1452" s="617"/>
    </row>
    <row r="1453" spans="1:8">
      <c r="A1453" s="618" t="s">
        <v>310</v>
      </c>
      <c r="B1453" s="619" t="s">
        <v>289</v>
      </c>
      <c r="C1453" s="621"/>
      <c r="D1453" s="620"/>
      <c r="E1453" s="622"/>
      <c r="F1453" s="623" t="e">
        <f>SUM(F1404:F1451)</f>
        <v>#REF!</v>
      </c>
      <c r="H1453" s="645"/>
    </row>
    <row r="1454" spans="1:8">
      <c r="A1454" s="624"/>
      <c r="B1454" s="625"/>
      <c r="C1454" s="627"/>
      <c r="D1454" s="626"/>
      <c r="E1454" s="628"/>
      <c r="F1454" s="629"/>
    </row>
    <row r="1456" spans="1:8">
      <c r="F1456" s="633"/>
    </row>
  </sheetData>
  <autoFilter ref="M1:M1456" xr:uid="{00000000-0001-0000-0B00-000000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98"/>
  <sheetViews>
    <sheetView workbookViewId="0">
      <selection activeCell="P25" sqref="P25"/>
    </sheetView>
  </sheetViews>
  <sheetFormatPr defaultColWidth="8.88671875" defaultRowHeight="14.4"/>
  <cols>
    <col min="1" max="1" width="7.6640625" style="630" customWidth="1"/>
    <col min="2" max="2" width="48.6640625" style="573" customWidth="1"/>
    <col min="3" max="3" width="5.6640625" style="631" customWidth="1"/>
    <col min="4" max="4" width="7.6640625" style="573" customWidth="1"/>
    <col min="5" max="5" width="10.33203125" style="632" customWidth="1"/>
    <col min="6" max="6" width="12.109375" style="632" customWidth="1"/>
    <col min="7" max="7" width="8.88671875" style="573"/>
    <col min="8" max="8" width="10.109375" style="573" bestFit="1" customWidth="1"/>
    <col min="9" max="16384" width="8.88671875" style="573"/>
  </cols>
  <sheetData>
    <row r="1" spans="1:7" ht="17.399999999999999">
      <c r="A1" s="568" t="s">
        <v>273</v>
      </c>
      <c r="B1" s="569"/>
      <c r="C1" s="570"/>
      <c r="D1" s="569"/>
      <c r="E1" s="571"/>
      <c r="F1" s="572"/>
    </row>
    <row r="2" spans="1:7">
      <c r="A2" s="574" t="s">
        <v>500</v>
      </c>
      <c r="B2" s="575"/>
      <c r="C2" s="576"/>
      <c r="D2" s="575"/>
      <c r="E2" s="577"/>
      <c r="F2" s="578"/>
    </row>
    <row r="3" spans="1:7">
      <c r="A3" s="574"/>
      <c r="B3" s="575"/>
      <c r="C3" s="576"/>
      <c r="D3" s="575"/>
      <c r="E3" s="577"/>
      <c r="F3" s="578"/>
    </row>
    <row r="4" spans="1:7">
      <c r="A4" s="579"/>
      <c r="B4" s="580"/>
      <c r="C4" s="581"/>
      <c r="D4" s="580"/>
      <c r="E4" s="582"/>
      <c r="F4" s="583"/>
    </row>
    <row r="5" spans="1:7" ht="15" thickBot="1">
      <c r="A5" s="584" t="s">
        <v>276</v>
      </c>
      <c r="B5" s="585"/>
      <c r="C5" s="587" t="s">
        <v>277</v>
      </c>
      <c r="D5" s="586" t="s">
        <v>266</v>
      </c>
      <c r="E5" s="588" t="s">
        <v>278</v>
      </c>
      <c r="F5" s="589" t="s">
        <v>267</v>
      </c>
    </row>
    <row r="6" spans="1:7">
      <c r="A6" s="590"/>
      <c r="B6" s="591"/>
      <c r="C6" s="593"/>
      <c r="D6" s="592"/>
      <c r="E6" s="594"/>
      <c r="F6" s="595"/>
    </row>
    <row r="7" spans="1:7" ht="104.4" customHeight="1">
      <c r="A7" s="590" t="s">
        <v>279</v>
      </c>
      <c r="B7" s="639" t="s">
        <v>501</v>
      </c>
      <c r="C7" s="593"/>
      <c r="D7" s="592"/>
      <c r="E7" s="594"/>
      <c r="F7" s="595"/>
    </row>
    <row r="8" spans="1:7">
      <c r="A8" s="590"/>
      <c r="B8" s="596"/>
      <c r="C8" s="593"/>
      <c r="D8" s="592"/>
      <c r="E8" s="594"/>
      <c r="F8" s="595"/>
    </row>
    <row r="9" spans="1:7">
      <c r="A9" s="590" t="s">
        <v>279</v>
      </c>
      <c r="B9" s="686" t="s">
        <v>502</v>
      </c>
      <c r="C9" s="593"/>
      <c r="D9" s="592"/>
      <c r="E9" s="594"/>
      <c r="F9" s="595"/>
    </row>
    <row r="10" spans="1:7">
      <c r="A10" s="590"/>
      <c r="B10" s="591"/>
      <c r="C10" s="593"/>
      <c r="D10" s="592"/>
      <c r="E10" s="594"/>
      <c r="F10" s="595"/>
    </row>
    <row r="11" spans="1:7" ht="26.4">
      <c r="A11" s="603">
        <v>1</v>
      </c>
      <c r="B11" s="687" t="s">
        <v>503</v>
      </c>
      <c r="C11" s="640">
        <v>1</v>
      </c>
      <c r="D11" s="641" t="s">
        <v>283</v>
      </c>
      <c r="E11" s="946" t="str">
        <f>Elec_Est!R1903</f>
        <v>Included in PCQ-25-0440</v>
      </c>
      <c r="F11" s="643"/>
      <c r="G11" s="573">
        <v>3</v>
      </c>
    </row>
    <row r="12" spans="1:7">
      <c r="A12" s="590"/>
      <c r="B12" s="591"/>
      <c r="C12" s="593"/>
      <c r="D12" s="592"/>
      <c r="E12" s="594"/>
      <c r="F12" s="595"/>
    </row>
    <row r="13" spans="1:7">
      <c r="A13" s="590" t="s">
        <v>279</v>
      </c>
      <c r="B13" s="686" t="s">
        <v>504</v>
      </c>
      <c r="C13" s="593"/>
      <c r="D13" s="592"/>
      <c r="E13" s="594"/>
      <c r="F13" s="595"/>
    </row>
    <row r="14" spans="1:7">
      <c r="A14" s="590"/>
      <c r="B14" s="591"/>
      <c r="C14" s="593"/>
      <c r="D14" s="592"/>
      <c r="E14" s="594"/>
      <c r="F14" s="595"/>
    </row>
    <row r="15" spans="1:7" ht="26.4">
      <c r="A15" s="603">
        <v>2</v>
      </c>
      <c r="B15" s="687" t="s">
        <v>505</v>
      </c>
      <c r="C15" s="640">
        <v>1</v>
      </c>
      <c r="D15" s="641" t="s">
        <v>283</v>
      </c>
      <c r="E15" s="946" t="str">
        <f>Elec_Est!R1934</f>
        <v>Not existing on site</v>
      </c>
      <c r="F15" s="643"/>
      <c r="G15" s="573">
        <v>3</v>
      </c>
    </row>
    <row r="16" spans="1:7">
      <c r="A16" s="590"/>
      <c r="B16" s="602"/>
      <c r="C16" s="593"/>
      <c r="D16" s="592"/>
      <c r="E16" s="594"/>
      <c r="F16" s="595"/>
    </row>
    <row r="17" spans="1:7">
      <c r="A17" s="590" t="s">
        <v>279</v>
      </c>
      <c r="B17" s="686" t="s">
        <v>506</v>
      </c>
      <c r="C17" s="593"/>
      <c r="D17" s="592"/>
      <c r="E17" s="594"/>
      <c r="F17" s="595"/>
    </row>
    <row r="18" spans="1:7">
      <c r="A18" s="590"/>
      <c r="B18" s="591"/>
      <c r="C18" s="593"/>
      <c r="D18" s="592"/>
      <c r="E18" s="594"/>
      <c r="F18" s="595"/>
    </row>
    <row r="19" spans="1:7" ht="26.4">
      <c r="A19" s="603">
        <v>3</v>
      </c>
      <c r="B19" s="687" t="s">
        <v>507</v>
      </c>
      <c r="C19" s="640">
        <v>1</v>
      </c>
      <c r="D19" s="641" t="s">
        <v>283</v>
      </c>
      <c r="E19" s="946" t="str">
        <f>Elec_Est!R1959</f>
        <v>Included in PCQ-25-0440</v>
      </c>
      <c r="F19" s="643"/>
      <c r="G19" s="573">
        <v>3</v>
      </c>
    </row>
    <row r="20" spans="1:7">
      <c r="A20" s="590"/>
      <c r="B20" s="591"/>
      <c r="C20" s="593"/>
      <c r="D20" s="592"/>
      <c r="E20" s="594"/>
      <c r="F20" s="595"/>
    </row>
    <row r="21" spans="1:7">
      <c r="A21" s="590" t="s">
        <v>279</v>
      </c>
      <c r="B21" s="686" t="s">
        <v>508</v>
      </c>
      <c r="C21" s="593"/>
      <c r="D21" s="592"/>
      <c r="E21" s="594"/>
      <c r="F21" s="595"/>
    </row>
    <row r="22" spans="1:7">
      <c r="A22" s="590"/>
      <c r="B22" s="591"/>
      <c r="C22" s="593"/>
      <c r="D22" s="592"/>
      <c r="E22" s="594"/>
      <c r="F22" s="595"/>
    </row>
    <row r="23" spans="1:7" ht="26.4">
      <c r="A23" s="603">
        <v>4</v>
      </c>
      <c r="B23" s="687" t="s">
        <v>509</v>
      </c>
      <c r="C23" s="640">
        <v>1</v>
      </c>
      <c r="D23" s="641" t="s">
        <v>283</v>
      </c>
      <c r="E23" s="946" t="str">
        <f>Elec_Est!R1990</f>
        <v>Included in PCQ-25-0440</v>
      </c>
      <c r="F23" s="643"/>
      <c r="G23" s="573">
        <v>3</v>
      </c>
    </row>
    <row r="24" spans="1:7">
      <c r="A24" s="590"/>
      <c r="B24" s="591"/>
      <c r="C24" s="593"/>
      <c r="D24" s="592"/>
      <c r="E24" s="594"/>
      <c r="F24" s="595"/>
    </row>
    <row r="25" spans="1:7">
      <c r="A25" s="590" t="s">
        <v>279</v>
      </c>
      <c r="B25" s="686" t="s">
        <v>510</v>
      </c>
      <c r="C25" s="593"/>
      <c r="D25" s="592"/>
      <c r="E25" s="594"/>
      <c r="F25" s="595"/>
    </row>
    <row r="26" spans="1:7">
      <c r="A26" s="590"/>
      <c r="B26" s="591"/>
      <c r="C26" s="593"/>
      <c r="D26" s="592"/>
      <c r="E26" s="594"/>
      <c r="F26" s="595"/>
    </row>
    <row r="27" spans="1:7" ht="26.4">
      <c r="A27" s="603">
        <v>5</v>
      </c>
      <c r="B27" s="687" t="s">
        <v>511</v>
      </c>
      <c r="C27" s="640">
        <v>1</v>
      </c>
      <c r="D27" s="641" t="s">
        <v>283</v>
      </c>
      <c r="E27" s="946" t="str">
        <f>Elec_Est!R2021</f>
        <v>Included in PCQ-25-0440</v>
      </c>
      <c r="F27" s="643"/>
      <c r="G27" s="573">
        <v>3</v>
      </c>
    </row>
    <row r="28" spans="1:7">
      <c r="A28" s="590"/>
      <c r="B28" s="591"/>
      <c r="C28" s="593"/>
      <c r="D28" s="592"/>
      <c r="E28" s="594"/>
      <c r="F28" s="595"/>
    </row>
    <row r="29" spans="1:7">
      <c r="A29" s="590" t="s">
        <v>279</v>
      </c>
      <c r="B29" s="686" t="s">
        <v>512</v>
      </c>
      <c r="C29" s="593"/>
      <c r="D29" s="592"/>
      <c r="E29" s="594"/>
      <c r="F29" s="595"/>
    </row>
    <row r="30" spans="1:7">
      <c r="A30" s="590"/>
      <c r="B30" s="591"/>
      <c r="C30" s="593"/>
      <c r="D30" s="592"/>
      <c r="E30" s="594"/>
      <c r="F30" s="595"/>
    </row>
    <row r="31" spans="1:7" ht="26.4">
      <c r="A31" s="603">
        <v>6</v>
      </c>
      <c r="B31" s="687" t="s">
        <v>513</v>
      </c>
      <c r="C31" s="640">
        <v>1</v>
      </c>
      <c r="D31" s="641" t="s">
        <v>283</v>
      </c>
      <c r="E31" s="946" t="str">
        <f>Elec_Est!R2052</f>
        <v>Included in PCQ-25-0440</v>
      </c>
      <c r="F31" s="643"/>
      <c r="G31" s="573">
        <v>3</v>
      </c>
    </row>
    <row r="32" spans="1:7">
      <c r="A32" s="590"/>
      <c r="B32" s="591"/>
      <c r="C32" s="593"/>
      <c r="D32" s="592"/>
      <c r="E32" s="594"/>
      <c r="F32" s="595"/>
    </row>
    <row r="33" spans="1:8">
      <c r="A33" s="590" t="s">
        <v>279</v>
      </c>
      <c r="B33" s="686" t="s">
        <v>514</v>
      </c>
      <c r="C33" s="593"/>
      <c r="D33" s="592"/>
      <c r="E33" s="594"/>
      <c r="F33" s="595"/>
    </row>
    <row r="34" spans="1:8">
      <c r="A34" s="590"/>
      <c r="B34" s="591"/>
      <c r="C34" s="593"/>
      <c r="D34" s="592"/>
      <c r="E34" s="594"/>
      <c r="F34" s="595"/>
    </row>
    <row r="35" spans="1:8" ht="26.4">
      <c r="A35" s="603">
        <v>7</v>
      </c>
      <c r="B35" s="687" t="s">
        <v>515</v>
      </c>
      <c r="C35" s="640">
        <v>1</v>
      </c>
      <c r="D35" s="641" t="s">
        <v>283</v>
      </c>
      <c r="E35" s="642">
        <f ca="1">Elec_Est!E2083</f>
        <v>5699.05</v>
      </c>
      <c r="F35" s="643">
        <f ca="1">E35*C35</f>
        <v>5699.05</v>
      </c>
      <c r="G35" s="573">
        <v>3</v>
      </c>
    </row>
    <row r="36" spans="1:8">
      <c r="A36" s="590"/>
      <c r="B36" s="591"/>
      <c r="C36" s="593"/>
      <c r="D36" s="592"/>
      <c r="E36" s="594"/>
      <c r="F36" s="595"/>
    </row>
    <row r="37" spans="1:8">
      <c r="A37" s="590" t="s">
        <v>279</v>
      </c>
      <c r="B37" s="686" t="s">
        <v>516</v>
      </c>
      <c r="C37" s="593"/>
      <c r="D37" s="592"/>
      <c r="E37" s="594"/>
      <c r="F37" s="595"/>
    </row>
    <row r="38" spans="1:8">
      <c r="A38" s="590"/>
      <c r="B38" s="591"/>
      <c r="C38" s="593"/>
      <c r="D38" s="592"/>
      <c r="E38" s="594"/>
      <c r="F38" s="595"/>
    </row>
    <row r="39" spans="1:8" ht="26.4">
      <c r="A39" s="603">
        <v>8</v>
      </c>
      <c r="B39" s="687" t="s">
        <v>517</v>
      </c>
      <c r="C39" s="640">
        <v>1</v>
      </c>
      <c r="D39" s="641" t="s">
        <v>283</v>
      </c>
      <c r="E39" s="642" t="str">
        <f>Elec_Est!R2114</f>
        <v>Not existing on site</v>
      </c>
      <c r="F39" s="643"/>
      <c r="G39" s="573">
        <v>3</v>
      </c>
    </row>
    <row r="40" spans="1:8" ht="15" thickBot="1">
      <c r="A40" s="590"/>
      <c r="B40" s="609"/>
      <c r="C40" s="610"/>
      <c r="D40" s="592"/>
      <c r="E40" s="594"/>
      <c r="F40" s="595"/>
    </row>
    <row r="41" spans="1:8">
      <c r="A41" s="612"/>
      <c r="B41" s="613"/>
      <c r="C41" s="615"/>
      <c r="D41" s="614"/>
      <c r="E41" s="616"/>
      <c r="F41" s="617"/>
    </row>
    <row r="42" spans="1:8">
      <c r="A42" s="618" t="s">
        <v>310</v>
      </c>
      <c r="B42" s="619" t="s">
        <v>289</v>
      </c>
      <c r="C42" s="621"/>
      <c r="D42" s="620"/>
      <c r="E42" s="622"/>
      <c r="F42" s="623">
        <f ca="1">SUM(F11:F40)</f>
        <v>5699.05</v>
      </c>
      <c r="H42" s="645"/>
    </row>
    <row r="43" spans="1:8">
      <c r="A43" s="624"/>
      <c r="B43" s="625"/>
      <c r="C43" s="627"/>
      <c r="D43" s="626"/>
      <c r="E43" s="628"/>
      <c r="F43" s="629"/>
    </row>
    <row r="44" spans="1:8" ht="17.399999999999999">
      <c r="A44" s="568"/>
      <c r="B44" s="569"/>
      <c r="C44" s="570"/>
      <c r="D44" s="569"/>
      <c r="E44" s="571"/>
      <c r="F44" s="572"/>
    </row>
    <row r="45" spans="1:8">
      <c r="A45" s="574"/>
      <c r="B45" s="575"/>
      <c r="C45" s="576"/>
      <c r="D45" s="575"/>
      <c r="E45" s="577"/>
      <c r="F45" s="578"/>
    </row>
    <row r="46" spans="1:8">
      <c r="A46" s="579"/>
      <c r="B46" s="580"/>
      <c r="C46" s="581"/>
      <c r="D46" s="580"/>
      <c r="E46" s="582"/>
      <c r="F46" s="583"/>
    </row>
    <row r="47" spans="1:8" ht="15" thickBot="1">
      <c r="A47" s="584" t="s">
        <v>276</v>
      </c>
      <c r="B47" s="585"/>
      <c r="C47" s="587" t="s">
        <v>277</v>
      </c>
      <c r="D47" s="586" t="s">
        <v>266</v>
      </c>
      <c r="E47" s="588" t="s">
        <v>278</v>
      </c>
      <c r="F47" s="589" t="s">
        <v>267</v>
      </c>
    </row>
    <row r="48" spans="1:8">
      <c r="A48" s="634"/>
      <c r="B48" s="635"/>
      <c r="C48" s="636"/>
      <c r="D48" s="637"/>
      <c r="E48" s="638"/>
      <c r="F48" s="623"/>
    </row>
    <row r="49" spans="1:7">
      <c r="A49" s="590" t="s">
        <v>279</v>
      </c>
      <c r="B49" s="686" t="s">
        <v>518</v>
      </c>
      <c r="C49" s="593"/>
      <c r="D49" s="592"/>
      <c r="E49" s="594"/>
      <c r="F49" s="595"/>
    </row>
    <row r="50" spans="1:7">
      <c r="A50" s="590"/>
      <c r="B50" s="591"/>
      <c r="C50" s="593"/>
      <c r="D50" s="592"/>
      <c r="E50" s="594"/>
      <c r="F50" s="595"/>
    </row>
    <row r="51" spans="1:7" ht="26.4">
      <c r="A51" s="603">
        <v>9</v>
      </c>
      <c r="B51" s="687" t="s">
        <v>519</v>
      </c>
      <c r="C51" s="640">
        <v>1</v>
      </c>
      <c r="D51" s="641" t="s">
        <v>283</v>
      </c>
      <c r="E51" s="642">
        <f ca="1">Elec_Est!E2137</f>
        <v>5570.91</v>
      </c>
      <c r="F51" s="643">
        <f ca="1">E51*C51</f>
        <v>5570.91</v>
      </c>
      <c r="G51" s="573">
        <v>3</v>
      </c>
    </row>
    <row r="52" spans="1:7">
      <c r="A52" s="590"/>
      <c r="B52" s="688"/>
      <c r="C52" s="593"/>
      <c r="D52" s="592"/>
      <c r="E52" s="594"/>
      <c r="F52" s="595"/>
    </row>
    <row r="53" spans="1:7">
      <c r="A53" s="634"/>
      <c r="B53" s="635"/>
      <c r="C53" s="636"/>
      <c r="D53" s="637"/>
      <c r="E53" s="638"/>
      <c r="F53" s="623"/>
    </row>
    <row r="54" spans="1:7">
      <c r="A54" s="590" t="s">
        <v>279</v>
      </c>
      <c r="B54" s="686" t="s">
        <v>520</v>
      </c>
      <c r="C54" s="593"/>
      <c r="D54" s="592"/>
      <c r="E54" s="594"/>
      <c r="F54" s="595"/>
    </row>
    <row r="55" spans="1:7">
      <c r="A55" s="590"/>
      <c r="B55" s="591"/>
      <c r="C55" s="593"/>
      <c r="D55" s="592"/>
      <c r="E55" s="594"/>
      <c r="F55" s="595"/>
    </row>
    <row r="56" spans="1:7" ht="26.4">
      <c r="A56" s="603">
        <v>10</v>
      </c>
      <c r="B56" s="687" t="s">
        <v>521</v>
      </c>
      <c r="C56" s="640">
        <v>1</v>
      </c>
      <c r="D56" s="641" t="s">
        <v>283</v>
      </c>
      <c r="E56" s="642">
        <f ca="1">Elec_Est!E2168</f>
        <v>5533.83</v>
      </c>
      <c r="F56" s="643">
        <f ca="1">E56*C56</f>
        <v>5533.83</v>
      </c>
      <c r="G56" s="573">
        <v>3</v>
      </c>
    </row>
    <row r="57" spans="1:7">
      <c r="A57" s="590"/>
      <c r="B57" s="688"/>
      <c r="C57" s="593"/>
      <c r="D57" s="592"/>
      <c r="E57" s="594"/>
      <c r="F57" s="595"/>
    </row>
    <row r="58" spans="1:7">
      <c r="A58" s="590"/>
      <c r="B58" s="688"/>
      <c r="C58" s="593"/>
      <c r="D58" s="592"/>
      <c r="E58" s="594"/>
      <c r="F58" s="595"/>
    </row>
    <row r="59" spans="1:7">
      <c r="A59" s="590" t="s">
        <v>279</v>
      </c>
      <c r="B59" s="686" t="s">
        <v>522</v>
      </c>
      <c r="C59" s="593"/>
      <c r="D59" s="592"/>
      <c r="E59" s="594"/>
      <c r="F59" s="595"/>
    </row>
    <row r="60" spans="1:7">
      <c r="A60" s="590"/>
      <c r="B60" s="591"/>
      <c r="C60" s="593"/>
      <c r="D60" s="592"/>
      <c r="E60" s="594"/>
      <c r="F60" s="595"/>
    </row>
    <row r="61" spans="1:7" ht="26.4">
      <c r="A61" s="603">
        <v>11</v>
      </c>
      <c r="B61" s="687" t="s">
        <v>517</v>
      </c>
      <c r="C61" s="640">
        <v>1</v>
      </c>
      <c r="D61" s="641" t="s">
        <v>283</v>
      </c>
      <c r="E61" s="642">
        <f ca="1">Elec_Est!E2199</f>
        <v>5570.91</v>
      </c>
      <c r="F61" s="643">
        <f ca="1">E61*C61</f>
        <v>5570.91</v>
      </c>
      <c r="G61" s="573">
        <v>3</v>
      </c>
    </row>
    <row r="62" spans="1:7">
      <c r="A62" s="590"/>
      <c r="B62" s="688"/>
      <c r="C62" s="593"/>
      <c r="D62" s="592"/>
      <c r="E62" s="594"/>
      <c r="F62" s="595"/>
    </row>
    <row r="63" spans="1:7">
      <c r="A63" s="590"/>
      <c r="B63" s="591"/>
      <c r="C63" s="593"/>
      <c r="D63" s="592"/>
      <c r="E63" s="594"/>
      <c r="F63" s="595"/>
    </row>
    <row r="64" spans="1:7">
      <c r="A64" s="590" t="s">
        <v>279</v>
      </c>
      <c r="B64" s="686" t="s">
        <v>523</v>
      </c>
      <c r="C64" s="593"/>
      <c r="D64" s="592"/>
      <c r="E64" s="594"/>
      <c r="F64" s="595"/>
    </row>
    <row r="65" spans="1:7">
      <c r="A65" s="590"/>
      <c r="B65" s="591"/>
      <c r="C65" s="593"/>
      <c r="D65" s="592"/>
      <c r="E65" s="594"/>
      <c r="F65" s="595"/>
    </row>
    <row r="66" spans="1:7" ht="26.4">
      <c r="A66" s="603">
        <v>12</v>
      </c>
      <c r="B66" s="687" t="s">
        <v>519</v>
      </c>
      <c r="C66" s="640">
        <v>1</v>
      </c>
      <c r="D66" s="641" t="s">
        <v>283</v>
      </c>
      <c r="E66" s="642">
        <f ca="1">Elec_Est!E2230</f>
        <v>6127.44</v>
      </c>
      <c r="F66" s="643">
        <f ca="1">E66*C66</f>
        <v>6127.44</v>
      </c>
      <c r="G66" s="573">
        <v>3</v>
      </c>
    </row>
    <row r="67" spans="1:7">
      <c r="A67" s="590"/>
      <c r="B67" s="688"/>
      <c r="C67" s="593"/>
      <c r="D67" s="592"/>
      <c r="E67" s="594"/>
      <c r="F67" s="595"/>
    </row>
    <row r="68" spans="1:7">
      <c r="A68" s="590"/>
      <c r="B68" s="591"/>
      <c r="C68" s="593"/>
      <c r="D68" s="592"/>
      <c r="E68" s="594"/>
      <c r="F68" s="595"/>
    </row>
    <row r="69" spans="1:7">
      <c r="A69" s="590" t="s">
        <v>279</v>
      </c>
      <c r="B69" s="686" t="s">
        <v>524</v>
      </c>
      <c r="C69" s="593"/>
      <c r="D69" s="592"/>
      <c r="E69" s="594"/>
      <c r="F69" s="595"/>
    </row>
    <row r="70" spans="1:7">
      <c r="A70" s="590"/>
      <c r="B70" s="591"/>
      <c r="C70" s="593"/>
      <c r="D70" s="592"/>
      <c r="E70" s="594"/>
      <c r="F70" s="595"/>
    </row>
    <row r="71" spans="1:7" ht="26.4">
      <c r="A71" s="603">
        <v>13</v>
      </c>
      <c r="B71" s="687" t="s">
        <v>521</v>
      </c>
      <c r="C71" s="640">
        <v>1</v>
      </c>
      <c r="D71" s="641" t="s">
        <v>283</v>
      </c>
      <c r="E71" s="642">
        <f ca="1">Elec_Est!E2261</f>
        <v>5570.91</v>
      </c>
      <c r="F71" s="643">
        <f ca="1">E71*C71</f>
        <v>5570.91</v>
      </c>
      <c r="G71" s="573">
        <v>3</v>
      </c>
    </row>
    <row r="72" spans="1:7">
      <c r="A72" s="590"/>
      <c r="B72" s="689"/>
      <c r="C72" s="593"/>
      <c r="D72" s="592"/>
      <c r="E72" s="594"/>
      <c r="F72" s="595"/>
    </row>
    <row r="73" spans="1:7">
      <c r="A73" s="590"/>
      <c r="B73" s="609"/>
      <c r="C73" s="610"/>
      <c r="D73" s="592"/>
      <c r="E73" s="594"/>
      <c r="F73" s="595"/>
    </row>
    <row r="74" spans="1:7">
      <c r="A74" s="590" t="s">
        <v>279</v>
      </c>
      <c r="B74" s="686" t="s">
        <v>525</v>
      </c>
      <c r="C74" s="593"/>
      <c r="D74" s="592"/>
      <c r="E74" s="594"/>
      <c r="F74" s="595"/>
    </row>
    <row r="75" spans="1:7">
      <c r="A75" s="590"/>
      <c r="B75" s="686"/>
      <c r="C75" s="593"/>
      <c r="D75" s="592"/>
      <c r="E75" s="594"/>
      <c r="F75" s="595"/>
    </row>
    <row r="76" spans="1:7" ht="26.4">
      <c r="A76" s="603">
        <v>14</v>
      </c>
      <c r="B76" s="687" t="s">
        <v>526</v>
      </c>
      <c r="C76" s="640">
        <v>1</v>
      </c>
      <c r="D76" s="641" t="s">
        <v>283</v>
      </c>
      <c r="E76" s="946" t="str">
        <f>Elec_Est!R2292</f>
        <v>Included in PCQ-25-0440</v>
      </c>
      <c r="F76" s="643"/>
      <c r="G76" s="573">
        <v>3</v>
      </c>
    </row>
    <row r="77" spans="1:7">
      <c r="A77" s="590"/>
      <c r="B77" s="688"/>
      <c r="C77" s="593"/>
      <c r="D77" s="592"/>
      <c r="E77" s="594"/>
      <c r="F77" s="595"/>
    </row>
    <row r="78" spans="1:7">
      <c r="A78" s="590"/>
      <c r="B78" s="602"/>
      <c r="C78" s="593"/>
      <c r="D78" s="592"/>
      <c r="E78" s="594"/>
      <c r="F78" s="595"/>
    </row>
    <row r="79" spans="1:7">
      <c r="A79" s="590" t="s">
        <v>279</v>
      </c>
      <c r="B79" s="686" t="s">
        <v>527</v>
      </c>
      <c r="C79" s="593"/>
      <c r="D79" s="592"/>
      <c r="E79" s="594"/>
      <c r="F79" s="595"/>
    </row>
    <row r="80" spans="1:7">
      <c r="A80" s="590"/>
      <c r="B80" s="686"/>
      <c r="C80" s="593"/>
      <c r="D80" s="592"/>
      <c r="E80" s="594"/>
      <c r="F80" s="595"/>
    </row>
    <row r="81" spans="1:8" ht="26.4">
      <c r="A81" s="603">
        <v>15</v>
      </c>
      <c r="B81" s="687" t="s">
        <v>528</v>
      </c>
      <c r="C81" s="640">
        <v>1</v>
      </c>
      <c r="D81" s="641" t="s">
        <v>283</v>
      </c>
      <c r="E81" s="946" t="str">
        <f>Elec_Est!R2323</f>
        <v>Included in PCQ-25-0440</v>
      </c>
      <c r="F81" s="643"/>
      <c r="G81" s="573">
        <v>3</v>
      </c>
    </row>
    <row r="82" spans="1:8">
      <c r="A82" s="590"/>
      <c r="B82" s="688"/>
      <c r="C82" s="593"/>
      <c r="D82" s="592"/>
      <c r="E82" s="594"/>
      <c r="F82" s="595"/>
    </row>
    <row r="83" spans="1:8">
      <c r="A83" s="590"/>
      <c r="B83" s="591"/>
      <c r="C83" s="593"/>
      <c r="D83" s="592"/>
      <c r="E83" s="594"/>
      <c r="F83" s="595"/>
    </row>
    <row r="84" spans="1:8">
      <c r="A84" s="590" t="s">
        <v>279</v>
      </c>
      <c r="B84" s="686" t="s">
        <v>529</v>
      </c>
      <c r="C84" s="593"/>
      <c r="D84" s="592"/>
      <c r="E84" s="594"/>
      <c r="F84" s="595"/>
    </row>
    <row r="85" spans="1:8">
      <c r="A85" s="590"/>
      <c r="B85" s="591"/>
      <c r="C85" s="593"/>
      <c r="D85" s="592"/>
      <c r="E85" s="594"/>
      <c r="F85" s="595"/>
    </row>
    <row r="86" spans="1:8" ht="26.4">
      <c r="A86" s="603">
        <v>16</v>
      </c>
      <c r="B86" s="687" t="s">
        <v>530</v>
      </c>
      <c r="C86" s="640">
        <v>1</v>
      </c>
      <c r="D86" s="641" t="s">
        <v>283</v>
      </c>
      <c r="E86" s="946" t="str">
        <f>Elec_Est!R2354</f>
        <v>Included in PCQ-25-0440</v>
      </c>
      <c r="F86" s="643"/>
      <c r="G86" s="573">
        <v>3</v>
      </c>
    </row>
    <row r="87" spans="1:8">
      <c r="A87" s="590"/>
      <c r="B87" s="688"/>
      <c r="C87" s="593"/>
      <c r="D87" s="592"/>
      <c r="E87" s="594"/>
      <c r="F87" s="595"/>
    </row>
    <row r="88" spans="1:8">
      <c r="A88" s="590"/>
      <c r="B88" s="591"/>
      <c r="C88" s="593"/>
      <c r="D88" s="592"/>
      <c r="E88" s="594"/>
      <c r="F88" s="595"/>
    </row>
    <row r="89" spans="1:8">
      <c r="A89" s="590" t="s">
        <v>279</v>
      </c>
      <c r="B89" s="686" t="s">
        <v>531</v>
      </c>
      <c r="C89" s="593"/>
      <c r="D89" s="592"/>
      <c r="E89" s="594"/>
      <c r="F89" s="595"/>
    </row>
    <row r="90" spans="1:8">
      <c r="A90" s="590"/>
      <c r="B90" s="591"/>
      <c r="C90" s="593"/>
      <c r="D90" s="592"/>
      <c r="E90" s="594"/>
      <c r="F90" s="595"/>
    </row>
    <row r="91" spans="1:8" ht="27" thickBot="1">
      <c r="A91" s="603">
        <v>17</v>
      </c>
      <c r="B91" s="687" t="s">
        <v>532</v>
      </c>
      <c r="C91" s="640">
        <v>1</v>
      </c>
      <c r="D91" s="641" t="s">
        <v>283</v>
      </c>
      <c r="E91" s="642">
        <f ca="1">Elec_Est!E2385</f>
        <v>5570.91</v>
      </c>
      <c r="F91" s="643">
        <f ca="1">E91*C91</f>
        <v>5570.91</v>
      </c>
      <c r="G91" s="573">
        <v>3</v>
      </c>
    </row>
    <row r="92" spans="1:8">
      <c r="A92" s="612"/>
      <c r="B92" s="613"/>
      <c r="C92" s="615"/>
      <c r="D92" s="614"/>
      <c r="E92" s="616"/>
      <c r="F92" s="617"/>
    </row>
    <row r="93" spans="1:8">
      <c r="A93" s="618" t="s">
        <v>310</v>
      </c>
      <c r="B93" s="619" t="s">
        <v>289</v>
      </c>
      <c r="C93" s="621"/>
      <c r="D93" s="620"/>
      <c r="E93" s="622"/>
      <c r="F93" s="623">
        <f ca="1">SUM(F49:F91)</f>
        <v>33944.910000000003</v>
      </c>
      <c r="H93" s="645"/>
    </row>
    <row r="94" spans="1:8">
      <c r="A94" s="624"/>
      <c r="B94" s="625"/>
      <c r="C94" s="627"/>
      <c r="D94" s="626"/>
      <c r="E94" s="628"/>
      <c r="F94" s="629"/>
    </row>
    <row r="95" spans="1:8" ht="17.399999999999999">
      <c r="A95" s="568"/>
      <c r="B95" s="569"/>
      <c r="C95" s="570"/>
      <c r="D95" s="569"/>
      <c r="E95" s="571"/>
      <c r="F95" s="572"/>
    </row>
    <row r="96" spans="1:8">
      <c r="A96" s="574"/>
      <c r="B96" s="575"/>
      <c r="C96" s="576"/>
      <c r="D96" s="575"/>
      <c r="E96" s="577"/>
      <c r="F96" s="578"/>
    </row>
    <row r="97" spans="1:7">
      <c r="A97" s="574"/>
      <c r="B97" s="575"/>
      <c r="C97" s="576"/>
      <c r="D97" s="575"/>
      <c r="E97" s="577"/>
      <c r="F97" s="578"/>
    </row>
    <row r="98" spans="1:7">
      <c r="A98" s="579"/>
      <c r="B98" s="580"/>
      <c r="C98" s="581"/>
      <c r="D98" s="580"/>
      <c r="E98" s="582"/>
      <c r="F98" s="583"/>
    </row>
    <row r="99" spans="1:7" ht="15" thickBot="1">
      <c r="A99" s="584" t="s">
        <v>276</v>
      </c>
      <c r="B99" s="585"/>
      <c r="C99" s="587" t="s">
        <v>277</v>
      </c>
      <c r="D99" s="586" t="s">
        <v>266</v>
      </c>
      <c r="E99" s="588" t="s">
        <v>278</v>
      </c>
      <c r="F99" s="589" t="s">
        <v>267</v>
      </c>
    </row>
    <row r="100" spans="1:7">
      <c r="A100" s="634"/>
      <c r="B100" s="635"/>
      <c r="C100" s="636"/>
      <c r="D100" s="637"/>
      <c r="E100" s="638"/>
      <c r="F100" s="623"/>
    </row>
    <row r="101" spans="1:7">
      <c r="A101" s="590" t="s">
        <v>279</v>
      </c>
      <c r="B101" s="686" t="s">
        <v>533</v>
      </c>
      <c r="C101" s="593"/>
      <c r="D101" s="592"/>
      <c r="E101" s="594"/>
      <c r="F101" s="595"/>
    </row>
    <row r="102" spans="1:7">
      <c r="A102" s="590"/>
      <c r="B102" s="591"/>
      <c r="C102" s="593"/>
      <c r="D102" s="592"/>
      <c r="E102" s="594"/>
      <c r="F102" s="595"/>
    </row>
    <row r="103" spans="1:7" ht="26.4">
      <c r="A103" s="603">
        <v>18</v>
      </c>
      <c r="B103" s="687" t="s">
        <v>534</v>
      </c>
      <c r="C103" s="640">
        <v>1</v>
      </c>
      <c r="D103" s="641" t="s">
        <v>283</v>
      </c>
      <c r="E103" s="642">
        <f ca="1">Elec_Est!E2416</f>
        <v>5570.91</v>
      </c>
      <c r="F103" s="643">
        <f ca="1">E103*C103</f>
        <v>5570.91</v>
      </c>
      <c r="G103" s="573">
        <v>3</v>
      </c>
    </row>
    <row r="104" spans="1:7">
      <c r="A104" s="590"/>
      <c r="B104" s="688"/>
      <c r="C104" s="593"/>
      <c r="D104" s="592"/>
      <c r="E104" s="594"/>
      <c r="F104" s="595"/>
    </row>
    <row r="105" spans="1:7">
      <c r="A105" s="634"/>
      <c r="B105" s="635"/>
      <c r="C105" s="636"/>
      <c r="D105" s="637"/>
      <c r="E105" s="638"/>
      <c r="F105" s="623"/>
    </row>
    <row r="106" spans="1:7">
      <c r="A106" s="590" t="s">
        <v>279</v>
      </c>
      <c r="B106" s="686" t="s">
        <v>535</v>
      </c>
      <c r="C106" s="593"/>
      <c r="D106" s="592"/>
      <c r="E106" s="594"/>
      <c r="F106" s="595"/>
    </row>
    <row r="107" spans="1:7">
      <c r="A107" s="590"/>
      <c r="B107" s="591"/>
      <c r="C107" s="593"/>
      <c r="D107" s="592"/>
      <c r="E107" s="594"/>
      <c r="F107" s="595"/>
    </row>
    <row r="108" spans="1:7" ht="26.4">
      <c r="A108" s="603">
        <v>19</v>
      </c>
      <c r="B108" s="687" t="s">
        <v>536</v>
      </c>
      <c r="C108" s="640">
        <v>1</v>
      </c>
      <c r="D108" s="641" t="s">
        <v>283</v>
      </c>
      <c r="E108" s="642">
        <f ca="1">Elec_Est!E2447</f>
        <v>5506.83</v>
      </c>
      <c r="F108" s="643">
        <f ca="1">E108*C108</f>
        <v>5506.83</v>
      </c>
      <c r="G108" s="573">
        <v>3</v>
      </c>
    </row>
    <row r="109" spans="1:7">
      <c r="A109" s="590"/>
      <c r="B109" s="688"/>
      <c r="C109" s="593"/>
      <c r="D109" s="592"/>
      <c r="E109" s="594"/>
      <c r="F109" s="595"/>
    </row>
    <row r="110" spans="1:7">
      <c r="A110" s="590"/>
      <c r="B110" s="591"/>
      <c r="C110" s="593"/>
      <c r="D110" s="592"/>
      <c r="E110" s="594"/>
      <c r="F110" s="595"/>
    </row>
    <row r="111" spans="1:7">
      <c r="A111" s="590" t="s">
        <v>279</v>
      </c>
      <c r="B111" s="686" t="s">
        <v>537</v>
      </c>
      <c r="C111" s="593"/>
      <c r="D111" s="592"/>
      <c r="E111" s="594"/>
      <c r="F111" s="595"/>
    </row>
    <row r="112" spans="1:7">
      <c r="A112" s="590"/>
      <c r="B112" s="591"/>
      <c r="C112" s="593"/>
      <c r="D112" s="592"/>
      <c r="E112" s="594"/>
      <c r="F112" s="595"/>
    </row>
    <row r="113" spans="1:7" ht="26.4">
      <c r="A113" s="603">
        <v>20</v>
      </c>
      <c r="B113" s="687" t="s">
        <v>538</v>
      </c>
      <c r="C113" s="640">
        <v>1</v>
      </c>
      <c r="D113" s="641" t="s">
        <v>283</v>
      </c>
      <c r="E113" s="642">
        <f ca="1">Elec_Est!E2478</f>
        <v>5570.91</v>
      </c>
      <c r="F113" s="643">
        <f ca="1">E113*C113</f>
        <v>5570.91</v>
      </c>
      <c r="G113" s="573">
        <v>3</v>
      </c>
    </row>
    <row r="114" spans="1:7">
      <c r="A114" s="590"/>
      <c r="B114" s="688"/>
      <c r="C114" s="593"/>
      <c r="D114" s="592"/>
      <c r="E114" s="594"/>
      <c r="F114" s="595"/>
    </row>
    <row r="115" spans="1:7">
      <c r="A115" s="590"/>
      <c r="B115" s="591"/>
      <c r="C115" s="593"/>
      <c r="D115" s="592"/>
      <c r="E115" s="594"/>
      <c r="F115" s="595"/>
    </row>
    <row r="116" spans="1:7">
      <c r="A116" s="590" t="s">
        <v>279</v>
      </c>
      <c r="B116" s="686" t="s">
        <v>539</v>
      </c>
      <c r="C116" s="593"/>
      <c r="D116" s="592"/>
      <c r="E116" s="594"/>
      <c r="F116" s="595"/>
    </row>
    <row r="117" spans="1:7">
      <c r="A117" s="590"/>
      <c r="B117" s="591"/>
      <c r="C117" s="593"/>
      <c r="D117" s="592"/>
      <c r="E117" s="594"/>
      <c r="F117" s="595"/>
    </row>
    <row r="118" spans="1:7" ht="26.4">
      <c r="A118" s="603">
        <v>21</v>
      </c>
      <c r="B118" s="687" t="s">
        <v>540</v>
      </c>
      <c r="C118" s="640">
        <v>1</v>
      </c>
      <c r="D118" s="641" t="s">
        <v>283</v>
      </c>
      <c r="E118" s="946" t="str">
        <f>Elec_Est!R2509</f>
        <v>Not existing on site</v>
      </c>
      <c r="F118" s="643"/>
      <c r="G118" s="573">
        <v>3</v>
      </c>
    </row>
    <row r="119" spans="1:7">
      <c r="A119" s="590"/>
      <c r="B119" s="688"/>
      <c r="C119" s="593"/>
      <c r="D119" s="592"/>
      <c r="E119" s="594"/>
      <c r="F119" s="595"/>
    </row>
    <row r="120" spans="1:7">
      <c r="A120" s="590"/>
      <c r="B120" s="591"/>
      <c r="C120" s="593"/>
      <c r="D120" s="592"/>
      <c r="E120" s="594"/>
      <c r="F120" s="595"/>
    </row>
    <row r="121" spans="1:7">
      <c r="A121" s="590" t="s">
        <v>279</v>
      </c>
      <c r="B121" s="686" t="s">
        <v>541</v>
      </c>
      <c r="C121" s="593"/>
      <c r="D121" s="592"/>
      <c r="E121" s="594"/>
      <c r="F121" s="595"/>
    </row>
    <row r="122" spans="1:7">
      <c r="A122" s="590"/>
      <c r="B122" s="591"/>
      <c r="C122" s="593"/>
      <c r="D122" s="592"/>
      <c r="E122" s="594"/>
      <c r="F122" s="595"/>
    </row>
    <row r="123" spans="1:7" ht="26.4">
      <c r="A123" s="603">
        <v>22</v>
      </c>
      <c r="B123" s="687" t="s">
        <v>542</v>
      </c>
      <c r="C123" s="640">
        <v>1</v>
      </c>
      <c r="D123" s="641" t="s">
        <v>283</v>
      </c>
      <c r="E123" s="946" t="str">
        <f>Elec_Est!R2534</f>
        <v>Same as AHU 24 - Isaac 10.09.2025</v>
      </c>
      <c r="F123" s="643"/>
      <c r="G123" s="573">
        <v>3</v>
      </c>
    </row>
    <row r="124" spans="1:7">
      <c r="A124" s="590"/>
      <c r="B124" s="689"/>
      <c r="C124" s="593"/>
      <c r="D124" s="592"/>
      <c r="E124" s="594"/>
      <c r="F124" s="595"/>
    </row>
    <row r="125" spans="1:7">
      <c r="A125" s="590"/>
      <c r="B125" s="609"/>
      <c r="C125" s="610"/>
      <c r="D125" s="592"/>
      <c r="E125" s="594"/>
      <c r="F125" s="595"/>
    </row>
    <row r="126" spans="1:7">
      <c r="A126" s="590" t="s">
        <v>279</v>
      </c>
      <c r="B126" s="686" t="s">
        <v>543</v>
      </c>
      <c r="C126" s="593"/>
      <c r="D126" s="592"/>
      <c r="E126" s="594"/>
      <c r="F126" s="595"/>
    </row>
    <row r="127" spans="1:7">
      <c r="A127" s="590"/>
      <c r="B127" s="591"/>
      <c r="C127" s="593"/>
      <c r="D127" s="592"/>
      <c r="E127" s="594"/>
      <c r="F127" s="595"/>
    </row>
    <row r="128" spans="1:7" ht="26.4">
      <c r="A128" s="603">
        <v>23</v>
      </c>
      <c r="B128" s="687" t="s">
        <v>544</v>
      </c>
      <c r="C128" s="640">
        <v>1</v>
      </c>
      <c r="D128" s="641" t="s">
        <v>283</v>
      </c>
      <c r="E128" s="946" t="str">
        <f>Elec_Est!R2567</f>
        <v>Already Awarded</v>
      </c>
      <c r="F128" s="643"/>
      <c r="G128" s="573">
        <v>3</v>
      </c>
    </row>
    <row r="129" spans="1:7">
      <c r="A129" s="590"/>
      <c r="B129" s="688"/>
      <c r="C129" s="593"/>
      <c r="D129" s="592"/>
      <c r="E129" s="594"/>
      <c r="F129" s="595"/>
    </row>
    <row r="130" spans="1:7">
      <c r="A130" s="590"/>
      <c r="B130" s="591"/>
      <c r="C130" s="593"/>
      <c r="D130" s="592"/>
      <c r="E130" s="594"/>
      <c r="F130" s="595"/>
    </row>
    <row r="131" spans="1:7">
      <c r="A131" s="590" t="s">
        <v>279</v>
      </c>
      <c r="B131" s="686" t="s">
        <v>545</v>
      </c>
      <c r="C131" s="593"/>
      <c r="D131" s="592"/>
      <c r="E131" s="594"/>
      <c r="F131" s="595"/>
    </row>
    <row r="132" spans="1:7">
      <c r="A132" s="590"/>
      <c r="B132" s="591"/>
      <c r="C132" s="593"/>
      <c r="D132" s="592"/>
      <c r="E132" s="594"/>
      <c r="F132" s="595"/>
    </row>
    <row r="133" spans="1:7" ht="26.4">
      <c r="A133" s="603">
        <v>24</v>
      </c>
      <c r="B133" s="687" t="s">
        <v>546</v>
      </c>
      <c r="C133" s="640">
        <v>1</v>
      </c>
      <c r="D133" s="641" t="s">
        <v>283</v>
      </c>
      <c r="E133" s="642">
        <f ca="1">Elec_Est!E2592</f>
        <v>5550.86</v>
      </c>
      <c r="F133" s="643">
        <f ca="1">E133*C133</f>
        <v>5550.86</v>
      </c>
      <c r="G133" s="573">
        <v>3</v>
      </c>
    </row>
    <row r="134" spans="1:7">
      <c r="A134" s="590"/>
      <c r="B134" s="689"/>
      <c r="C134" s="593"/>
      <c r="D134" s="592"/>
      <c r="E134" s="594"/>
      <c r="F134" s="595"/>
    </row>
    <row r="135" spans="1:7">
      <c r="A135" s="590"/>
      <c r="B135" s="690"/>
      <c r="C135" s="610"/>
      <c r="D135" s="592"/>
      <c r="E135" s="594"/>
      <c r="F135" s="595"/>
    </row>
    <row r="136" spans="1:7">
      <c r="A136" s="590" t="s">
        <v>279</v>
      </c>
      <c r="B136" s="686" t="s">
        <v>547</v>
      </c>
      <c r="C136" s="593"/>
      <c r="D136" s="592"/>
      <c r="E136" s="594"/>
      <c r="F136" s="595"/>
    </row>
    <row r="137" spans="1:7">
      <c r="A137" s="590"/>
      <c r="B137" s="591"/>
      <c r="C137" s="593"/>
      <c r="D137" s="592"/>
      <c r="E137" s="594"/>
      <c r="F137" s="595"/>
    </row>
    <row r="138" spans="1:7" ht="26.4">
      <c r="A138" s="603">
        <v>25</v>
      </c>
      <c r="B138" s="687" t="s">
        <v>548</v>
      </c>
      <c r="C138" s="640">
        <v>1</v>
      </c>
      <c r="D138" s="641" t="s">
        <v>283</v>
      </c>
      <c r="E138" s="642">
        <f ca="1">Elec_Est!E2623</f>
        <v>5486.79</v>
      </c>
      <c r="F138" s="643">
        <f ca="1">E138*C138</f>
        <v>5486.79</v>
      </c>
      <c r="G138" s="573">
        <v>3</v>
      </c>
    </row>
    <row r="139" spans="1:7">
      <c r="A139" s="590"/>
      <c r="B139" s="688"/>
      <c r="C139" s="593"/>
      <c r="D139" s="592"/>
      <c r="E139" s="594"/>
      <c r="F139" s="595"/>
    </row>
    <row r="140" spans="1:7">
      <c r="A140" s="590"/>
      <c r="B140" s="688"/>
      <c r="C140" s="593"/>
      <c r="D140" s="592"/>
      <c r="E140" s="594"/>
      <c r="F140" s="595"/>
    </row>
    <row r="141" spans="1:7">
      <c r="A141" s="590"/>
      <c r="B141" s="688"/>
      <c r="C141" s="593"/>
      <c r="D141" s="592"/>
      <c r="E141" s="594"/>
      <c r="F141" s="595"/>
    </row>
    <row r="142" spans="1:7">
      <c r="A142" s="590"/>
      <c r="B142" s="688"/>
      <c r="C142" s="593"/>
      <c r="D142" s="592"/>
      <c r="E142" s="594"/>
      <c r="F142" s="595"/>
    </row>
    <row r="143" spans="1:7" ht="15" thickBot="1">
      <c r="A143" s="590"/>
      <c r="B143" s="591"/>
      <c r="C143" s="593"/>
      <c r="D143" s="592"/>
      <c r="E143" s="594"/>
      <c r="F143" s="595"/>
    </row>
    <row r="144" spans="1:7">
      <c r="A144" s="612"/>
      <c r="B144" s="613"/>
      <c r="C144" s="615"/>
      <c r="D144" s="614"/>
      <c r="E144" s="616"/>
      <c r="F144" s="617"/>
    </row>
    <row r="145" spans="1:16">
      <c r="A145" s="618" t="s">
        <v>310</v>
      </c>
      <c r="B145" s="619" t="s">
        <v>289</v>
      </c>
      <c r="C145" s="621"/>
      <c r="D145" s="620"/>
      <c r="E145" s="622"/>
      <c r="F145" s="623">
        <f ca="1">SUM(F102:F143)</f>
        <v>27686.300000000003</v>
      </c>
      <c r="H145" s="645"/>
    </row>
    <row r="146" spans="1:16">
      <c r="A146" s="624"/>
      <c r="B146" s="625"/>
      <c r="C146" s="627"/>
      <c r="D146" s="626"/>
      <c r="E146" s="628"/>
      <c r="F146" s="629"/>
    </row>
    <row r="147" spans="1:16" ht="17.399999999999999">
      <c r="A147" s="568"/>
      <c r="B147" s="569"/>
      <c r="C147" s="570"/>
      <c r="D147" s="569"/>
      <c r="E147" s="571"/>
      <c r="F147" s="572"/>
    </row>
    <row r="148" spans="1:16">
      <c r="A148" s="574"/>
      <c r="B148" s="575"/>
      <c r="C148" s="576"/>
      <c r="D148" s="575"/>
      <c r="E148" s="577"/>
      <c r="F148" s="578"/>
    </row>
    <row r="149" spans="1:16">
      <c r="A149" s="574"/>
      <c r="B149" s="575"/>
      <c r="C149" s="576"/>
      <c r="D149" s="575"/>
      <c r="E149" s="577"/>
      <c r="F149" s="578"/>
    </row>
    <row r="150" spans="1:16">
      <c r="A150" s="579"/>
      <c r="B150" s="580"/>
      <c r="C150" s="581"/>
      <c r="D150" s="580"/>
      <c r="E150" s="582"/>
      <c r="F150" s="583"/>
    </row>
    <row r="151" spans="1:16" ht="15" thickBot="1">
      <c r="A151" s="584" t="s">
        <v>276</v>
      </c>
      <c r="B151" s="585"/>
      <c r="C151" s="587" t="s">
        <v>277</v>
      </c>
      <c r="D151" s="586" t="s">
        <v>266</v>
      </c>
      <c r="E151" s="588" t="s">
        <v>278</v>
      </c>
      <c r="F151" s="589" t="s">
        <v>267</v>
      </c>
    </row>
    <row r="152" spans="1:16">
      <c r="A152" s="634"/>
      <c r="B152" s="635"/>
      <c r="C152" s="636"/>
      <c r="D152" s="637"/>
      <c r="E152" s="638"/>
      <c r="F152" s="623"/>
    </row>
    <row r="153" spans="1:16">
      <c r="A153" s="590" t="s">
        <v>279</v>
      </c>
      <c r="B153" s="686" t="s">
        <v>549</v>
      </c>
      <c r="C153" s="593"/>
      <c r="D153" s="592"/>
      <c r="E153" s="594"/>
      <c r="F153" s="595"/>
    </row>
    <row r="154" spans="1:16">
      <c r="A154" s="590"/>
      <c r="B154" s="591"/>
      <c r="C154" s="593"/>
      <c r="D154" s="592"/>
      <c r="E154" s="594"/>
      <c r="F154" s="595"/>
    </row>
    <row r="155" spans="1:16" ht="26.4">
      <c r="A155" s="603">
        <v>26</v>
      </c>
      <c r="B155" s="687" t="s">
        <v>550</v>
      </c>
      <c r="C155" s="640">
        <v>1</v>
      </c>
      <c r="D155" s="641" t="s">
        <v>283</v>
      </c>
      <c r="E155" s="642">
        <f ca="1">Elec_Est!E2654</f>
        <v>5486.79</v>
      </c>
      <c r="F155" s="643">
        <f ca="1">E155*C155</f>
        <v>5486.79</v>
      </c>
      <c r="G155" s="573">
        <v>3</v>
      </c>
    </row>
    <row r="156" spans="1:16">
      <c r="A156" s="590" t="s">
        <v>151</v>
      </c>
      <c r="B156" s="688"/>
      <c r="C156" s="593"/>
      <c r="D156" s="592"/>
      <c r="E156" s="594"/>
      <c r="F156" s="595"/>
    </row>
    <row r="157" spans="1:16">
      <c r="A157" s="590"/>
      <c r="B157" s="591"/>
      <c r="C157" s="593"/>
      <c r="D157" s="592"/>
      <c r="E157" s="594"/>
      <c r="F157" s="595"/>
    </row>
    <row r="158" spans="1:16" s="669" customFormat="1" ht="13.2">
      <c r="A158" s="590">
        <v>27</v>
      </c>
      <c r="B158" s="609" t="s">
        <v>551</v>
      </c>
      <c r="C158" s="593">
        <v>1</v>
      </c>
      <c r="D158" s="674" t="s">
        <v>287</v>
      </c>
      <c r="E158" s="594"/>
      <c r="F158" s="595">
        <f>E158*C158</f>
        <v>0</v>
      </c>
      <c r="G158" s="580"/>
      <c r="H158" s="580"/>
      <c r="I158" s="580"/>
      <c r="J158" s="580"/>
      <c r="K158" s="580"/>
      <c r="L158" s="580"/>
      <c r="M158" s="580"/>
      <c r="N158" s="580"/>
      <c r="O158" s="580"/>
      <c r="P158" s="580"/>
    </row>
    <row r="159" spans="1:16" s="669" customFormat="1" ht="105.6">
      <c r="A159" s="590" t="s">
        <v>279</v>
      </c>
      <c r="B159" s="691" t="s">
        <v>552</v>
      </c>
      <c r="C159" s="593"/>
      <c r="D159" s="674"/>
      <c r="E159" s="594"/>
      <c r="F159" s="595"/>
      <c r="G159" s="580"/>
      <c r="H159" s="580"/>
      <c r="I159" s="580"/>
      <c r="J159" s="580"/>
      <c r="K159" s="580"/>
      <c r="L159" s="580"/>
      <c r="M159" s="580"/>
      <c r="N159" s="580"/>
      <c r="O159" s="580"/>
      <c r="P159" s="580"/>
    </row>
    <row r="160" spans="1:16">
      <c r="A160" s="590"/>
      <c r="B160" s="691"/>
      <c r="C160" s="593"/>
      <c r="D160" s="592"/>
      <c r="E160" s="594"/>
      <c r="F160" s="595"/>
    </row>
    <row r="161" spans="1:6">
      <c r="A161" s="590"/>
      <c r="B161" s="688"/>
      <c r="C161" s="593"/>
      <c r="D161" s="592"/>
      <c r="E161" s="594"/>
      <c r="F161" s="595"/>
    </row>
    <row r="162" spans="1:6">
      <c r="A162" s="590"/>
      <c r="B162" s="591"/>
      <c r="C162" s="593"/>
      <c r="D162" s="592"/>
      <c r="E162" s="594"/>
      <c r="F162" s="595"/>
    </row>
    <row r="163" spans="1:6">
      <c r="A163" s="590"/>
      <c r="B163" s="686"/>
      <c r="C163" s="593"/>
      <c r="D163" s="592"/>
      <c r="E163" s="594"/>
      <c r="F163" s="595"/>
    </row>
    <row r="164" spans="1:6">
      <c r="A164" s="590"/>
      <c r="B164" s="591"/>
      <c r="C164" s="593"/>
      <c r="D164" s="592"/>
      <c r="E164" s="594"/>
      <c r="F164" s="595"/>
    </row>
    <row r="165" spans="1:6">
      <c r="A165" s="590"/>
      <c r="B165" s="689"/>
      <c r="C165" s="593"/>
      <c r="D165" s="592"/>
      <c r="E165" s="594"/>
      <c r="F165" s="595"/>
    </row>
    <row r="166" spans="1:6">
      <c r="A166" s="590"/>
      <c r="B166" s="688"/>
      <c r="C166" s="593"/>
      <c r="D166" s="592"/>
      <c r="E166" s="594"/>
      <c r="F166" s="595"/>
    </row>
    <row r="167" spans="1:6">
      <c r="A167" s="590"/>
      <c r="B167" s="591"/>
      <c r="C167" s="593"/>
      <c r="D167" s="592"/>
      <c r="E167" s="594"/>
      <c r="F167" s="595"/>
    </row>
    <row r="168" spans="1:6">
      <c r="A168" s="590"/>
      <c r="B168" s="686"/>
      <c r="C168" s="593"/>
      <c r="D168" s="592"/>
      <c r="E168" s="594"/>
      <c r="F168" s="595"/>
    </row>
    <row r="169" spans="1:6">
      <c r="A169" s="590"/>
      <c r="B169" s="591"/>
      <c r="C169" s="593"/>
      <c r="D169" s="592"/>
      <c r="E169" s="594"/>
      <c r="F169" s="595"/>
    </row>
    <row r="170" spans="1:6">
      <c r="A170" s="590"/>
      <c r="B170" s="689"/>
      <c r="C170" s="593"/>
      <c r="D170" s="592"/>
      <c r="E170" s="594"/>
      <c r="F170" s="595"/>
    </row>
    <row r="171" spans="1:6">
      <c r="A171" s="590"/>
      <c r="B171" s="688"/>
      <c r="C171" s="593"/>
      <c r="D171" s="592"/>
      <c r="E171" s="594"/>
      <c r="F171" s="595"/>
    </row>
    <row r="172" spans="1:6">
      <c r="A172" s="590"/>
      <c r="B172" s="591"/>
      <c r="C172" s="593"/>
      <c r="D172" s="592"/>
      <c r="E172" s="594"/>
      <c r="F172" s="595"/>
    </row>
    <row r="173" spans="1:6">
      <c r="A173" s="590"/>
      <c r="B173" s="686"/>
      <c r="C173" s="593"/>
      <c r="D173" s="592"/>
      <c r="E173" s="594"/>
      <c r="F173" s="595"/>
    </row>
    <row r="174" spans="1:6">
      <c r="A174" s="590"/>
      <c r="B174" s="591"/>
      <c r="C174" s="593"/>
      <c r="D174" s="592"/>
      <c r="E174" s="594"/>
      <c r="F174" s="595"/>
    </row>
    <row r="175" spans="1:6">
      <c r="A175" s="590"/>
      <c r="B175" s="689"/>
      <c r="C175" s="593"/>
      <c r="D175" s="592"/>
      <c r="E175" s="594"/>
      <c r="F175" s="595"/>
    </row>
    <row r="176" spans="1:6">
      <c r="A176" s="590"/>
      <c r="B176" s="689"/>
      <c r="C176" s="593"/>
      <c r="D176" s="592"/>
      <c r="E176" s="594"/>
      <c r="F176" s="595"/>
    </row>
    <row r="177" spans="1:6">
      <c r="A177" s="590"/>
      <c r="B177" s="609"/>
      <c r="C177" s="610"/>
      <c r="D177" s="592"/>
      <c r="E177" s="594"/>
      <c r="F177" s="595"/>
    </row>
    <row r="178" spans="1:6">
      <c r="A178" s="590"/>
      <c r="B178" s="686"/>
      <c r="C178" s="593"/>
      <c r="D178" s="592"/>
      <c r="E178" s="594"/>
      <c r="F178" s="595"/>
    </row>
    <row r="179" spans="1:6">
      <c r="A179" s="590"/>
      <c r="B179" s="591"/>
      <c r="C179" s="593"/>
      <c r="D179" s="592"/>
      <c r="E179" s="594"/>
      <c r="F179" s="595"/>
    </row>
    <row r="180" spans="1:6">
      <c r="A180" s="590"/>
      <c r="B180" s="689"/>
      <c r="C180" s="593"/>
      <c r="D180" s="592"/>
      <c r="E180" s="594"/>
      <c r="F180" s="595"/>
    </row>
    <row r="181" spans="1:6">
      <c r="A181" s="590"/>
      <c r="B181" s="688"/>
      <c r="C181" s="593"/>
      <c r="D181" s="592"/>
      <c r="E181" s="594"/>
      <c r="F181" s="595"/>
    </row>
    <row r="182" spans="1:6">
      <c r="A182" s="590"/>
      <c r="B182" s="591"/>
      <c r="C182" s="593"/>
      <c r="D182" s="592"/>
      <c r="E182" s="594"/>
      <c r="F182" s="595"/>
    </row>
    <row r="183" spans="1:6">
      <c r="A183" s="590"/>
      <c r="B183" s="686"/>
      <c r="C183" s="593"/>
      <c r="D183" s="592"/>
      <c r="E183" s="594"/>
      <c r="F183" s="595"/>
    </row>
    <row r="184" spans="1:6">
      <c r="A184" s="590"/>
      <c r="B184" s="686"/>
      <c r="C184" s="593"/>
      <c r="D184" s="592"/>
      <c r="E184" s="594"/>
      <c r="F184" s="595"/>
    </row>
    <row r="185" spans="1:6">
      <c r="A185" s="590"/>
      <c r="B185" s="686"/>
      <c r="C185" s="593"/>
      <c r="D185" s="592"/>
      <c r="E185" s="594"/>
      <c r="F185" s="595"/>
    </row>
    <row r="186" spans="1:6">
      <c r="A186" s="590"/>
      <c r="B186" s="686"/>
      <c r="C186" s="593"/>
      <c r="D186" s="592"/>
      <c r="E186" s="594"/>
      <c r="F186" s="595"/>
    </row>
    <row r="187" spans="1:6">
      <c r="A187" s="590"/>
      <c r="B187" s="591"/>
      <c r="C187" s="593"/>
      <c r="D187" s="592"/>
      <c r="E187" s="594"/>
      <c r="F187" s="595"/>
    </row>
    <row r="188" spans="1:6">
      <c r="A188" s="590"/>
      <c r="B188" s="689"/>
      <c r="C188" s="593"/>
      <c r="D188" s="592"/>
      <c r="E188" s="594"/>
      <c r="F188" s="595"/>
    </row>
    <row r="189" spans="1:6">
      <c r="A189" s="590"/>
      <c r="B189" s="689"/>
      <c r="C189" s="593"/>
      <c r="D189" s="592"/>
      <c r="E189" s="594"/>
      <c r="F189" s="595"/>
    </row>
    <row r="190" spans="1:6">
      <c r="A190" s="590"/>
      <c r="B190" s="689"/>
      <c r="C190" s="593"/>
      <c r="D190" s="592"/>
      <c r="E190" s="594"/>
      <c r="F190" s="595"/>
    </row>
    <row r="191" spans="1:6">
      <c r="A191" s="590"/>
      <c r="B191" s="689"/>
      <c r="C191" s="593"/>
      <c r="D191" s="592"/>
      <c r="E191" s="594"/>
      <c r="F191" s="595"/>
    </row>
    <row r="192" spans="1:6">
      <c r="A192" s="590"/>
      <c r="B192" s="686"/>
      <c r="C192" s="593"/>
      <c r="D192" s="592"/>
      <c r="E192" s="594"/>
      <c r="F192" s="595"/>
    </row>
    <row r="193" spans="1:8">
      <c r="A193" s="590"/>
      <c r="B193" s="686"/>
      <c r="C193" s="593"/>
      <c r="D193" s="592"/>
      <c r="E193" s="594"/>
      <c r="F193" s="595"/>
    </row>
    <row r="194" spans="1:8">
      <c r="A194" s="590"/>
      <c r="B194" s="689"/>
      <c r="C194" s="593"/>
      <c r="D194" s="592"/>
      <c r="E194" s="594"/>
      <c r="F194" s="595"/>
    </row>
    <row r="195" spans="1:8" ht="15" thickBot="1">
      <c r="A195" s="590"/>
      <c r="B195" s="591"/>
      <c r="C195" s="593"/>
      <c r="D195" s="592"/>
      <c r="E195" s="594"/>
      <c r="F195" s="595"/>
    </row>
    <row r="196" spans="1:8">
      <c r="A196" s="612"/>
      <c r="B196" s="613"/>
      <c r="C196" s="615"/>
      <c r="D196" s="614"/>
      <c r="E196" s="616"/>
      <c r="F196" s="617"/>
    </row>
    <row r="197" spans="1:8">
      <c r="A197" s="618" t="s">
        <v>310</v>
      </c>
      <c r="B197" s="619" t="s">
        <v>289</v>
      </c>
      <c r="C197" s="621"/>
      <c r="D197" s="620"/>
      <c r="E197" s="622"/>
      <c r="F197" s="623">
        <f ca="1">SUM(F152:F195)</f>
        <v>5486.79</v>
      </c>
      <c r="H197" s="645"/>
    </row>
    <row r="198" spans="1:8">
      <c r="A198" s="624"/>
      <c r="B198" s="625"/>
      <c r="C198" s="627"/>
      <c r="D198" s="626"/>
      <c r="E198" s="628"/>
      <c r="F198" s="629"/>
    </row>
  </sheetData>
  <autoFilter ref="B1:B198" xr:uid="{00000000-0001-0000-0C00-000000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EE0000"/>
  </sheetPr>
  <dimension ref="A1:P56"/>
  <sheetViews>
    <sheetView topLeftCell="I1" workbookViewId="0">
      <selection activeCell="P32" sqref="P32"/>
    </sheetView>
  </sheetViews>
  <sheetFormatPr defaultColWidth="8.88671875" defaultRowHeight="14.4"/>
  <cols>
    <col min="1" max="1" width="7.6640625" style="630" hidden="1" customWidth="1"/>
    <col min="2" max="2" width="48.6640625" style="573" hidden="1" customWidth="1"/>
    <col min="3" max="3" width="5.6640625" style="631" hidden="1" customWidth="1"/>
    <col min="4" max="4" width="7.6640625" style="573" hidden="1" customWidth="1"/>
    <col min="5" max="5" width="10.33203125" style="632" hidden="1" customWidth="1"/>
    <col min="6" max="6" width="12.109375" style="632" hidden="1" customWidth="1"/>
    <col min="7" max="8" width="0" style="573" hidden="1" customWidth="1"/>
    <col min="9" max="9" width="7.6640625" style="1043" customWidth="1"/>
    <col min="10" max="10" width="2.6640625" style="1043" customWidth="1"/>
    <col min="11" max="11" width="48.6640625" style="702" customWidth="1"/>
    <col min="12" max="12" width="7.6640625" style="702" customWidth="1"/>
    <col min="13" max="13" width="5.6640625" style="1044" customWidth="1"/>
    <col min="14" max="14" width="10.33203125" style="1045" customWidth="1"/>
    <col min="15" max="15" width="12.109375" style="1045" customWidth="1"/>
    <col min="16" max="16384" width="8.88671875" style="573"/>
  </cols>
  <sheetData>
    <row r="1" spans="1:16" ht="17.399999999999999">
      <c r="A1" s="568" t="s">
        <v>273</v>
      </c>
      <c r="B1" s="569"/>
      <c r="C1" s="570"/>
      <c r="D1" s="569"/>
      <c r="E1" s="571"/>
      <c r="F1" s="572"/>
      <c r="I1" s="980" t="s">
        <v>273</v>
      </c>
      <c r="J1" s="981"/>
      <c r="K1" s="982"/>
      <c r="L1" s="982"/>
      <c r="M1" s="983"/>
      <c r="N1" s="984"/>
      <c r="O1" s="985"/>
    </row>
    <row r="2" spans="1:16">
      <c r="A2" s="574" t="s">
        <v>553</v>
      </c>
      <c r="B2" s="668"/>
      <c r="C2" s="576"/>
      <c r="D2" s="575"/>
      <c r="E2" s="577"/>
      <c r="F2" s="578"/>
      <c r="I2" s="986" t="s">
        <v>964</v>
      </c>
      <c r="J2" s="987"/>
      <c r="K2" s="1033"/>
      <c r="L2" s="988"/>
      <c r="M2" s="989"/>
      <c r="N2" s="990"/>
      <c r="O2" s="991"/>
    </row>
    <row r="3" spans="1:16">
      <c r="A3" s="574"/>
      <c r="B3" s="575"/>
      <c r="C3" s="576"/>
      <c r="D3" s="575"/>
      <c r="E3" s="577"/>
      <c r="F3" s="578"/>
      <c r="I3" s="986"/>
      <c r="J3" s="987"/>
      <c r="K3" s="988"/>
      <c r="L3" s="988"/>
      <c r="M3" s="989"/>
      <c r="N3" s="990"/>
      <c r="O3" s="991"/>
    </row>
    <row r="4" spans="1:16">
      <c r="A4" s="579"/>
      <c r="B4" s="580"/>
      <c r="C4" s="581"/>
      <c r="D4" s="580"/>
      <c r="E4" s="582"/>
      <c r="F4" s="583"/>
      <c r="I4" s="992"/>
      <c r="J4" s="993"/>
      <c r="K4" s="543"/>
      <c r="L4" s="543"/>
      <c r="M4" s="994"/>
      <c r="N4" s="995"/>
      <c r="O4" s="996"/>
    </row>
    <row r="5" spans="1:16" ht="15" thickBot="1">
      <c r="A5" s="584" t="s">
        <v>276</v>
      </c>
      <c r="B5" s="585"/>
      <c r="C5" s="587" t="s">
        <v>277</v>
      </c>
      <c r="D5" s="586" t="s">
        <v>266</v>
      </c>
      <c r="E5" s="588" t="s">
        <v>278</v>
      </c>
      <c r="F5" s="589" t="s">
        <v>267</v>
      </c>
      <c r="I5" s="997" t="s">
        <v>276</v>
      </c>
      <c r="J5" s="998" t="s">
        <v>887</v>
      </c>
      <c r="K5" s="999"/>
      <c r="L5" s="1000" t="s">
        <v>266</v>
      </c>
      <c r="M5" s="1001" t="s">
        <v>277</v>
      </c>
      <c r="N5" s="1002" t="s">
        <v>278</v>
      </c>
      <c r="O5" s="1003" t="s">
        <v>267</v>
      </c>
    </row>
    <row r="6" spans="1:16" s="669" customFormat="1" ht="13.2">
      <c r="A6" s="590"/>
      <c r="C6" s="670"/>
      <c r="D6" s="592"/>
      <c r="E6" s="594"/>
      <c r="F6" s="595"/>
      <c r="G6" s="580"/>
      <c r="H6" s="580"/>
      <c r="I6" s="696"/>
      <c r="J6" s="967"/>
      <c r="K6" s="545"/>
      <c r="L6" s="967"/>
      <c r="M6" s="1034"/>
      <c r="N6" s="969"/>
      <c r="O6" s="970"/>
      <c r="P6" s="580"/>
    </row>
    <row r="7" spans="1:16" s="669" customFormat="1" ht="13.2">
      <c r="A7" s="590" t="s">
        <v>279</v>
      </c>
      <c r="B7" s="686" t="s">
        <v>554</v>
      </c>
      <c r="C7" s="599"/>
      <c r="D7" s="671"/>
      <c r="E7" s="600"/>
      <c r="F7" s="601"/>
      <c r="G7" s="580"/>
      <c r="H7" s="580"/>
      <c r="I7" s="696"/>
      <c r="J7" s="967"/>
      <c r="K7" s="1088" t="s">
        <v>559</v>
      </c>
      <c r="L7" s="1089"/>
      <c r="M7" s="699"/>
      <c r="N7" s="700"/>
      <c r="O7" s="701"/>
      <c r="P7" s="580"/>
    </row>
    <row r="8" spans="1:16" s="669" customFormat="1" ht="13.2">
      <c r="A8" s="590"/>
      <c r="B8" s="609"/>
      <c r="C8" s="599"/>
      <c r="D8" s="671"/>
      <c r="E8" s="600"/>
      <c r="F8" s="601"/>
      <c r="G8" s="580"/>
      <c r="H8" s="580"/>
      <c r="I8" s="696"/>
      <c r="J8" s="967"/>
      <c r="K8" s="1040"/>
      <c r="L8" s="1089"/>
      <c r="M8" s="699"/>
      <c r="N8" s="700"/>
      <c r="O8" s="701"/>
      <c r="P8" s="580"/>
    </row>
    <row r="9" spans="1:16" s="669" customFormat="1" ht="39.6">
      <c r="A9" s="590">
        <v>1</v>
      </c>
      <c r="B9" s="692" t="s">
        <v>555</v>
      </c>
      <c r="C9" s="693">
        <v>1</v>
      </c>
      <c r="D9" s="605" t="s">
        <v>283</v>
      </c>
      <c r="E9" s="607" t="e">
        <f>Elec_Est!#REF!</f>
        <v>#REF!</v>
      </c>
      <c r="F9" s="608" t="e">
        <f>E9*C9</f>
        <v>#REF!</v>
      </c>
      <c r="G9" s="580">
        <v>2</v>
      </c>
      <c r="H9" s="580"/>
      <c r="I9" s="705">
        <v>1</v>
      </c>
      <c r="J9" s="1047"/>
      <c r="K9" s="1090" t="s">
        <v>560</v>
      </c>
      <c r="L9" s="707" t="s">
        <v>283</v>
      </c>
      <c r="M9" s="1091">
        <v>1</v>
      </c>
      <c r="N9" s="966">
        <f>Elec_Est!E2691</f>
        <v>126.58</v>
      </c>
      <c r="O9" s="709">
        <f>N9*M9</f>
        <v>126.58</v>
      </c>
      <c r="P9" s="580"/>
    </row>
    <row r="10" spans="1:16" s="669" customFormat="1" ht="13.2">
      <c r="A10" s="590"/>
      <c r="B10" s="688"/>
      <c r="C10" s="694"/>
      <c r="D10" s="598"/>
      <c r="E10" s="600"/>
      <c r="F10" s="601"/>
      <c r="G10" s="580"/>
      <c r="H10" s="580"/>
      <c r="I10" s="696"/>
      <c r="J10" s="967"/>
      <c r="K10" s="1092"/>
      <c r="L10" s="698"/>
      <c r="M10" s="1093"/>
      <c r="N10" s="700"/>
      <c r="O10" s="701"/>
      <c r="P10" s="580"/>
    </row>
    <row r="11" spans="1:16" s="669" customFormat="1" ht="13.2">
      <c r="A11" s="590"/>
      <c r="B11" s="609"/>
      <c r="C11" s="599"/>
      <c r="D11" s="671"/>
      <c r="E11" s="600"/>
      <c r="F11" s="601"/>
      <c r="G11" s="580"/>
      <c r="H11" s="580"/>
      <c r="I11" s="696"/>
      <c r="J11" s="967"/>
      <c r="K11" s="1040"/>
      <c r="L11" s="1089"/>
      <c r="M11" s="699"/>
      <c r="N11" s="700"/>
      <c r="O11" s="701"/>
      <c r="P11" s="580"/>
    </row>
    <row r="12" spans="1:16" s="669" customFormat="1" ht="13.2">
      <c r="A12" s="590" t="s">
        <v>556</v>
      </c>
      <c r="B12" s="688" t="s">
        <v>557</v>
      </c>
      <c r="C12" s="599"/>
      <c r="D12" s="671"/>
      <c r="E12" s="600"/>
      <c r="F12" s="601"/>
      <c r="G12" s="580"/>
      <c r="H12" s="580"/>
      <c r="I12" s="696"/>
      <c r="J12" s="967"/>
      <c r="K12" s="1088" t="s">
        <v>561</v>
      </c>
      <c r="L12" s="1089"/>
      <c r="M12" s="699"/>
      <c r="N12" s="700"/>
      <c r="O12" s="701"/>
      <c r="P12" s="580"/>
    </row>
    <row r="13" spans="1:16" s="669" customFormat="1" ht="13.2">
      <c r="A13" s="590"/>
      <c r="B13" s="609"/>
      <c r="C13" s="599"/>
      <c r="D13" s="671"/>
      <c r="E13" s="600"/>
      <c r="F13" s="601"/>
      <c r="G13" s="580"/>
      <c r="H13" s="580"/>
      <c r="I13" s="696"/>
      <c r="J13" s="967"/>
      <c r="K13" s="1040"/>
      <c r="L13" s="1089"/>
      <c r="M13" s="699"/>
      <c r="N13" s="700"/>
      <c r="O13" s="701"/>
      <c r="P13" s="580"/>
    </row>
    <row r="14" spans="1:16" s="669" customFormat="1" ht="39.6">
      <c r="A14" s="590" t="s">
        <v>294</v>
      </c>
      <c r="B14" s="688" t="s">
        <v>558</v>
      </c>
      <c r="C14" s="694">
        <v>1</v>
      </c>
      <c r="D14" s="598" t="s">
        <v>283</v>
      </c>
      <c r="E14" s="600"/>
      <c r="F14" s="601">
        <f>E14*C14</f>
        <v>0</v>
      </c>
      <c r="G14" s="580"/>
      <c r="H14" s="580"/>
      <c r="I14" s="705">
        <f>I9+1</f>
        <v>2</v>
      </c>
      <c r="J14" s="1047"/>
      <c r="K14" s="1090" t="s">
        <v>562</v>
      </c>
      <c r="L14" s="707" t="s">
        <v>283</v>
      </c>
      <c r="M14" s="1091">
        <v>1</v>
      </c>
      <c r="N14" s="966">
        <f>Elec_Est!E2717</f>
        <v>126.58</v>
      </c>
      <c r="O14" s="709">
        <f>N14*M14</f>
        <v>126.58</v>
      </c>
      <c r="P14" s="580"/>
    </row>
    <row r="15" spans="1:16" s="669" customFormat="1" ht="13.2">
      <c r="A15" s="590"/>
      <c r="B15" s="688"/>
      <c r="C15" s="694"/>
      <c r="D15" s="598"/>
      <c r="E15" s="600"/>
      <c r="F15" s="601"/>
      <c r="G15" s="580"/>
      <c r="H15" s="580"/>
      <c r="I15" s="696"/>
      <c r="J15" s="967"/>
      <c r="K15" s="1040"/>
      <c r="L15" s="1089"/>
      <c r="M15" s="699"/>
      <c r="N15" s="700"/>
      <c r="O15" s="701"/>
      <c r="P15" s="580"/>
    </row>
    <row r="16" spans="1:16" s="669" customFormat="1" ht="12.75" customHeight="1">
      <c r="A16" s="590"/>
      <c r="B16" s="666"/>
      <c r="C16" s="599"/>
      <c r="D16" s="671"/>
      <c r="E16" s="600"/>
      <c r="F16" s="601"/>
      <c r="G16" s="580"/>
      <c r="H16" s="580"/>
      <c r="I16" s="696"/>
      <c r="J16" s="967"/>
      <c r="K16" s="1080"/>
      <c r="L16" s="1089"/>
      <c r="M16" s="699"/>
      <c r="N16" s="700"/>
      <c r="O16" s="701"/>
      <c r="P16" s="580"/>
    </row>
    <row r="17" spans="1:16" s="669" customFormat="1" ht="13.2">
      <c r="A17" s="590" t="s">
        <v>279</v>
      </c>
      <c r="B17" s="686" t="s">
        <v>559</v>
      </c>
      <c r="C17" s="599"/>
      <c r="D17" s="671"/>
      <c r="E17" s="600"/>
      <c r="F17" s="601"/>
      <c r="G17" s="580"/>
      <c r="H17" s="580"/>
      <c r="I17" s="696"/>
      <c r="J17" s="967"/>
      <c r="K17" s="1088" t="s">
        <v>965</v>
      </c>
      <c r="L17" s="1089"/>
      <c r="M17" s="699"/>
      <c r="N17" s="700"/>
      <c r="O17" s="701"/>
      <c r="P17" s="580"/>
    </row>
    <row r="18" spans="1:16" s="669" customFormat="1" ht="13.2">
      <c r="A18" s="590"/>
      <c r="B18" s="609"/>
      <c r="C18" s="599"/>
      <c r="D18" s="671"/>
      <c r="E18" s="600"/>
      <c r="F18" s="601"/>
      <c r="G18" s="580"/>
      <c r="H18" s="580"/>
      <c r="I18" s="696"/>
      <c r="J18" s="967"/>
      <c r="K18" s="703"/>
      <c r="L18" s="698"/>
      <c r="M18" s="1035"/>
      <c r="N18" s="700"/>
      <c r="O18" s="701"/>
      <c r="P18" s="580"/>
    </row>
    <row r="19" spans="1:16" s="669" customFormat="1" ht="52.8">
      <c r="A19" s="603">
        <v>3</v>
      </c>
      <c r="B19" s="692" t="s">
        <v>560</v>
      </c>
      <c r="C19" s="693">
        <v>1</v>
      </c>
      <c r="D19" s="605" t="s">
        <v>283</v>
      </c>
      <c r="E19" s="607" t="e">
        <f>Elec_Est!#REF!</f>
        <v>#REF!</v>
      </c>
      <c r="F19" s="608" t="e">
        <f>E19*C19</f>
        <v>#REF!</v>
      </c>
      <c r="G19" s="580">
        <v>2</v>
      </c>
      <c r="H19" s="580"/>
      <c r="I19" s="705">
        <f>I14+1</f>
        <v>3</v>
      </c>
      <c r="J19" s="1047"/>
      <c r="K19" s="706" t="s">
        <v>966</v>
      </c>
      <c r="L19" s="707" t="s">
        <v>283</v>
      </c>
      <c r="M19" s="1091">
        <v>7</v>
      </c>
      <c r="N19" s="966">
        <f>Elec_Est!E2743</f>
        <v>1198.92</v>
      </c>
      <c r="O19" s="709">
        <f>N19*M19</f>
        <v>8392.44</v>
      </c>
      <c r="P19" s="580"/>
    </row>
    <row r="20" spans="1:16" s="669" customFormat="1" ht="13.2">
      <c r="A20" s="590"/>
      <c r="B20" s="688"/>
      <c r="C20" s="694"/>
      <c r="D20" s="598"/>
      <c r="E20" s="600"/>
      <c r="F20" s="601"/>
      <c r="G20" s="580"/>
      <c r="H20" s="580"/>
      <c r="I20" s="705"/>
      <c r="J20" s="1047"/>
      <c r="K20" s="706"/>
      <c r="L20" s="707"/>
      <c r="M20" s="1094"/>
      <c r="N20" s="966"/>
      <c r="O20" s="709"/>
      <c r="P20" s="580"/>
    </row>
    <row r="21" spans="1:16" s="669" customFormat="1" ht="13.2">
      <c r="A21" s="590"/>
      <c r="B21" s="609"/>
      <c r="C21" s="599"/>
      <c r="D21" s="671"/>
      <c r="E21" s="600"/>
      <c r="F21" s="601"/>
      <c r="G21" s="580"/>
      <c r="H21" s="580"/>
      <c r="I21" s="705"/>
      <c r="J21" s="1047"/>
      <c r="K21" s="706"/>
      <c r="L21" s="707"/>
      <c r="M21" s="1094"/>
      <c r="N21" s="966"/>
      <c r="O21" s="709"/>
      <c r="P21" s="580"/>
    </row>
    <row r="22" spans="1:16" s="669" customFormat="1" ht="79.2">
      <c r="A22" s="590" t="s">
        <v>279</v>
      </c>
      <c r="B22" s="686" t="s">
        <v>561</v>
      </c>
      <c r="C22" s="599"/>
      <c r="D22" s="671"/>
      <c r="E22" s="600"/>
      <c r="F22" s="601"/>
      <c r="G22" s="580"/>
      <c r="H22" s="580"/>
      <c r="I22" s="705">
        <f>I19+1</f>
        <v>4</v>
      </c>
      <c r="J22" s="1047"/>
      <c r="K22" s="706" t="s">
        <v>967</v>
      </c>
      <c r="L22" s="707" t="s">
        <v>459</v>
      </c>
      <c r="M22" s="1094">
        <v>1</v>
      </c>
      <c r="N22" s="966">
        <f>Elec_Est!E2764</f>
        <v>6720.5</v>
      </c>
      <c r="O22" s="709">
        <f>N22*M22</f>
        <v>6720.5</v>
      </c>
      <c r="P22" s="580"/>
    </row>
    <row r="23" spans="1:16" s="669" customFormat="1" ht="52.8">
      <c r="A23" s="590"/>
      <c r="B23" s="609"/>
      <c r="C23" s="599"/>
      <c r="D23" s="671"/>
      <c r="E23" s="600"/>
      <c r="F23" s="601"/>
      <c r="G23" s="580"/>
      <c r="H23" s="580"/>
      <c r="I23" s="705"/>
      <c r="J23" s="1047"/>
      <c r="K23" s="706" t="s">
        <v>968</v>
      </c>
      <c r="L23" s="707"/>
      <c r="M23" s="1094"/>
      <c r="N23" s="966"/>
      <c r="O23" s="709"/>
      <c r="P23" s="580"/>
    </row>
    <row r="24" spans="1:16" s="669" customFormat="1" ht="39.6">
      <c r="A24" s="603">
        <v>4</v>
      </c>
      <c r="B24" s="692" t="s">
        <v>562</v>
      </c>
      <c r="C24" s="693">
        <v>1</v>
      </c>
      <c r="D24" s="605" t="s">
        <v>283</v>
      </c>
      <c r="E24" s="607" t="e">
        <f>Elec_Est!#REF!</f>
        <v>#REF!</v>
      </c>
      <c r="F24" s="608" t="e">
        <f>E24*C24</f>
        <v>#REF!</v>
      </c>
      <c r="G24" s="580">
        <v>2</v>
      </c>
      <c r="H24" s="580"/>
      <c r="I24" s="705"/>
      <c r="J24" s="1047"/>
      <c r="K24" s="706"/>
      <c r="L24" s="707"/>
      <c r="M24" s="1094"/>
      <c r="N24" s="966"/>
      <c r="O24" s="709"/>
      <c r="P24" s="580"/>
    </row>
    <row r="25" spans="1:16" s="669" customFormat="1" ht="13.2">
      <c r="A25" s="590"/>
      <c r="B25" s="609"/>
      <c r="C25" s="599"/>
      <c r="D25" s="671"/>
      <c r="E25" s="600"/>
      <c r="F25" s="601"/>
      <c r="G25" s="580"/>
      <c r="H25" s="580"/>
      <c r="I25" s="696"/>
      <c r="J25" s="967"/>
      <c r="K25" s="703"/>
      <c r="L25" s="698"/>
      <c r="M25" s="1035"/>
      <c r="N25" s="700"/>
      <c r="O25" s="701"/>
      <c r="P25" s="580"/>
    </row>
    <row r="26" spans="1:16" s="669" customFormat="1" ht="13.2">
      <c r="A26" s="590"/>
      <c r="B26" s="591"/>
      <c r="C26" s="695"/>
      <c r="D26" s="598"/>
      <c r="E26" s="600"/>
      <c r="F26" s="601"/>
      <c r="G26" s="580"/>
      <c r="H26" s="580"/>
      <c r="I26" s="696"/>
      <c r="J26" s="967"/>
      <c r="K26" s="703"/>
      <c r="L26" s="698"/>
      <c r="M26" s="1035"/>
      <c r="N26" s="700"/>
      <c r="O26" s="701"/>
      <c r="P26" s="580"/>
    </row>
    <row r="27" spans="1:16" s="669" customFormat="1" ht="13.2">
      <c r="A27" s="590"/>
      <c r="B27" s="591"/>
      <c r="C27" s="695"/>
      <c r="D27" s="598"/>
      <c r="E27" s="600"/>
      <c r="F27" s="601"/>
      <c r="G27" s="580"/>
      <c r="H27" s="580"/>
      <c r="I27" s="696"/>
      <c r="J27" s="967"/>
      <c r="K27" s="703"/>
      <c r="L27" s="698"/>
      <c r="M27" s="1035"/>
      <c r="N27" s="700"/>
      <c r="O27" s="701"/>
      <c r="P27" s="580"/>
    </row>
    <row r="28" spans="1:16" s="669" customFormat="1" ht="13.2">
      <c r="A28" s="590"/>
      <c r="B28" s="591"/>
      <c r="C28" s="695"/>
      <c r="D28" s="598"/>
      <c r="E28" s="600"/>
      <c r="F28" s="601"/>
      <c r="G28" s="580"/>
      <c r="H28" s="580"/>
      <c r="I28" s="696"/>
      <c r="J28" s="967"/>
      <c r="K28" s="703"/>
      <c r="L28" s="698"/>
      <c r="M28" s="1035"/>
      <c r="N28" s="700"/>
      <c r="O28" s="701"/>
      <c r="P28" s="580"/>
    </row>
    <row r="29" spans="1:16" s="669" customFormat="1" ht="13.2">
      <c r="A29" s="590"/>
      <c r="B29" s="591"/>
      <c r="C29" s="695"/>
      <c r="D29" s="598"/>
      <c r="E29" s="600"/>
      <c r="F29" s="601"/>
      <c r="G29" s="580"/>
      <c r="H29" s="580"/>
      <c r="I29" s="696"/>
      <c r="J29" s="967"/>
      <c r="K29" s="703"/>
      <c r="L29" s="1089"/>
      <c r="M29" s="699"/>
      <c r="N29" s="700"/>
      <c r="O29" s="701"/>
      <c r="P29" s="580"/>
    </row>
    <row r="30" spans="1:16" s="669" customFormat="1" ht="13.2">
      <c r="A30" s="590"/>
      <c r="B30" s="591"/>
      <c r="C30" s="695"/>
      <c r="D30" s="598"/>
      <c r="E30" s="600"/>
      <c r="F30" s="601"/>
      <c r="G30" s="580"/>
      <c r="H30" s="580"/>
      <c r="I30" s="696"/>
      <c r="J30" s="967"/>
      <c r="K30" s="703"/>
      <c r="L30" s="698"/>
      <c r="M30" s="1035"/>
      <c r="N30" s="700"/>
      <c r="O30" s="701"/>
      <c r="P30" s="580"/>
    </row>
    <row r="31" spans="1:16" s="669" customFormat="1" ht="13.2">
      <c r="A31" s="590"/>
      <c r="B31" s="591"/>
      <c r="C31" s="695"/>
      <c r="D31" s="598"/>
      <c r="E31" s="600"/>
      <c r="F31" s="601"/>
      <c r="G31" s="580"/>
      <c r="H31" s="580"/>
      <c r="I31" s="696"/>
      <c r="J31" s="967"/>
      <c r="K31" s="703"/>
      <c r="L31" s="698"/>
      <c r="M31" s="1035"/>
      <c r="N31" s="700"/>
      <c r="O31" s="701"/>
      <c r="P31" s="580"/>
    </row>
    <row r="32" spans="1:16" s="669" customFormat="1" ht="13.2">
      <c r="A32" s="590"/>
      <c r="B32" s="591"/>
      <c r="C32" s="695"/>
      <c r="D32" s="598"/>
      <c r="E32" s="600"/>
      <c r="F32" s="601"/>
      <c r="G32" s="580"/>
      <c r="H32" s="580"/>
      <c r="I32" s="696"/>
      <c r="J32" s="967"/>
      <c r="K32" s="703"/>
      <c r="L32" s="698"/>
      <c r="M32" s="1035"/>
      <c r="N32" s="700"/>
      <c r="O32" s="701"/>
      <c r="P32" s="580"/>
    </row>
    <row r="33" spans="1:16" s="669" customFormat="1" ht="13.2">
      <c r="A33" s="590"/>
      <c r="B33" s="591"/>
      <c r="C33" s="695"/>
      <c r="D33" s="598"/>
      <c r="E33" s="600"/>
      <c r="F33" s="601"/>
      <c r="G33" s="580"/>
      <c r="H33" s="580"/>
      <c r="I33" s="696"/>
      <c r="J33" s="967"/>
      <c r="K33" s="703"/>
      <c r="L33" s="698"/>
      <c r="M33" s="1035"/>
      <c r="N33" s="700"/>
      <c r="O33" s="701"/>
      <c r="P33" s="580"/>
    </row>
    <row r="34" spans="1:16" s="669" customFormat="1" ht="13.2">
      <c r="A34" s="590"/>
      <c r="B34" s="591"/>
      <c r="C34" s="695"/>
      <c r="D34" s="598"/>
      <c r="E34" s="600"/>
      <c r="F34" s="601"/>
      <c r="G34" s="580"/>
      <c r="H34" s="580"/>
      <c r="I34" s="696"/>
      <c r="J34" s="967"/>
      <c r="K34" s="703"/>
      <c r="L34" s="698"/>
      <c r="M34" s="1035"/>
      <c r="N34" s="700"/>
      <c r="O34" s="701"/>
      <c r="P34" s="580"/>
    </row>
    <row r="35" spans="1:16" s="669" customFormat="1" ht="13.2">
      <c r="A35" s="590"/>
      <c r="B35" s="591"/>
      <c r="C35" s="695"/>
      <c r="D35" s="598"/>
      <c r="E35" s="600"/>
      <c r="F35" s="601"/>
      <c r="G35" s="580"/>
      <c r="H35" s="580"/>
      <c r="I35" s="696"/>
      <c r="J35" s="967"/>
      <c r="K35" s="703"/>
      <c r="L35" s="698"/>
      <c r="M35" s="1035"/>
      <c r="N35" s="700"/>
      <c r="O35" s="701"/>
      <c r="P35" s="580"/>
    </row>
    <row r="36" spans="1:16" s="669" customFormat="1" ht="13.2">
      <c r="A36" s="590"/>
      <c r="B36" s="591"/>
      <c r="C36" s="695"/>
      <c r="D36" s="598"/>
      <c r="E36" s="600"/>
      <c r="F36" s="601"/>
      <c r="G36" s="580"/>
      <c r="H36" s="580"/>
      <c r="I36" s="696"/>
      <c r="J36" s="967"/>
      <c r="K36" s="703"/>
      <c r="L36" s="698"/>
      <c r="M36" s="1035"/>
      <c r="N36" s="700"/>
      <c r="O36" s="701"/>
      <c r="P36" s="580"/>
    </row>
    <row r="37" spans="1:16" s="669" customFormat="1" ht="13.2">
      <c r="A37" s="590"/>
      <c r="B37" s="591"/>
      <c r="C37" s="599"/>
      <c r="D37" s="671"/>
      <c r="E37" s="600"/>
      <c r="F37" s="601"/>
      <c r="G37" s="580"/>
      <c r="H37" s="580"/>
      <c r="I37" s="696"/>
      <c r="J37" s="967"/>
      <c r="K37" s="703"/>
      <c r="L37" s="698"/>
      <c r="M37" s="1035"/>
      <c r="N37" s="700"/>
      <c r="O37" s="701"/>
      <c r="P37" s="580"/>
    </row>
    <row r="38" spans="1:16" s="669" customFormat="1" ht="13.2">
      <c r="A38" s="590"/>
      <c r="B38" s="591"/>
      <c r="C38" s="695"/>
      <c r="D38" s="598"/>
      <c r="E38" s="600"/>
      <c r="F38" s="601"/>
      <c r="G38" s="580"/>
      <c r="H38" s="580"/>
      <c r="I38" s="696"/>
      <c r="J38" s="967"/>
      <c r="K38" s="703"/>
      <c r="L38" s="698"/>
      <c r="M38" s="1035"/>
      <c r="N38" s="700"/>
      <c r="O38" s="701"/>
      <c r="P38" s="580"/>
    </row>
    <row r="39" spans="1:16" s="669" customFormat="1" ht="13.2">
      <c r="A39" s="590"/>
      <c r="B39" s="591"/>
      <c r="C39" s="695"/>
      <c r="D39" s="598"/>
      <c r="E39" s="600"/>
      <c r="F39" s="601"/>
      <c r="G39" s="580"/>
      <c r="H39" s="580"/>
      <c r="I39" s="696"/>
      <c r="J39" s="967"/>
      <c r="K39" s="703"/>
      <c r="L39" s="967"/>
      <c r="M39" s="1034"/>
      <c r="N39" s="969"/>
      <c r="O39" s="970"/>
      <c r="P39" s="580"/>
    </row>
    <row r="40" spans="1:16" s="669" customFormat="1" ht="13.2">
      <c r="A40" s="590"/>
      <c r="B40" s="591"/>
      <c r="C40" s="695"/>
      <c r="D40" s="598"/>
      <c r="E40" s="600"/>
      <c r="F40" s="601"/>
      <c r="G40" s="580"/>
      <c r="H40" s="580"/>
      <c r="I40" s="696"/>
      <c r="J40" s="967"/>
      <c r="K40" s="703"/>
      <c r="L40" s="967"/>
      <c r="M40" s="1034"/>
      <c r="N40" s="969"/>
      <c r="O40" s="970"/>
      <c r="P40" s="580"/>
    </row>
    <row r="41" spans="1:16" s="669" customFormat="1" ht="13.2">
      <c r="A41" s="590"/>
      <c r="B41" s="591"/>
      <c r="C41" s="695"/>
      <c r="D41" s="598"/>
      <c r="E41" s="600"/>
      <c r="F41" s="601"/>
      <c r="G41" s="580"/>
      <c r="H41" s="580"/>
      <c r="I41" s="696"/>
      <c r="J41" s="967"/>
      <c r="K41" s="703"/>
      <c r="L41" s="967"/>
      <c r="M41" s="1034"/>
      <c r="N41" s="969"/>
      <c r="O41" s="970"/>
      <c r="P41" s="580"/>
    </row>
    <row r="42" spans="1:16" s="669" customFormat="1" ht="13.8" thickBot="1">
      <c r="A42" s="590"/>
      <c r="B42" s="591"/>
      <c r="C42" s="695"/>
      <c r="D42" s="598"/>
      <c r="E42" s="600"/>
      <c r="F42" s="601"/>
      <c r="G42" s="580"/>
      <c r="H42" s="580"/>
      <c r="I42" s="696"/>
      <c r="J42" s="967"/>
      <c r="K42" s="703"/>
      <c r="L42" s="967"/>
      <c r="M42" s="1034"/>
      <c r="N42" s="969"/>
      <c r="O42" s="970"/>
      <c r="P42" s="580"/>
    </row>
    <row r="43" spans="1:16" s="669" customFormat="1" ht="13.2">
      <c r="A43" s="590"/>
      <c r="B43" s="591"/>
      <c r="C43" s="695"/>
      <c r="D43" s="598"/>
      <c r="E43" s="600"/>
      <c r="F43" s="601"/>
      <c r="G43" s="580"/>
      <c r="H43" s="580"/>
      <c r="I43" s="1014"/>
      <c r="J43" s="1036"/>
      <c r="K43" s="1015"/>
      <c r="L43" s="1016"/>
      <c r="M43" s="1037"/>
      <c r="N43" s="1018"/>
      <c r="O43" s="1019"/>
      <c r="P43" s="580"/>
    </row>
    <row r="44" spans="1:16" s="669" customFormat="1" ht="13.2">
      <c r="A44" s="590"/>
      <c r="B44" s="591"/>
      <c r="C44" s="695"/>
      <c r="D44" s="598"/>
      <c r="E44" s="600"/>
      <c r="F44" s="601"/>
      <c r="G44" s="580"/>
      <c r="H44" s="580"/>
      <c r="I44" s="1020"/>
      <c r="J44" s="1038"/>
      <c r="K44" s="1021" t="s">
        <v>289</v>
      </c>
      <c r="L44" s="1022"/>
      <c r="M44" s="546"/>
      <c r="N44" s="1024"/>
      <c r="O44" s="1010">
        <f>SUM(O7:O42)</f>
        <v>15366.1</v>
      </c>
      <c r="P44" s="580"/>
    </row>
    <row r="45" spans="1:16" s="669" customFormat="1" ht="13.2">
      <c r="A45" s="590"/>
      <c r="B45" s="591"/>
      <c r="C45" s="695"/>
      <c r="D45" s="598"/>
      <c r="E45" s="600"/>
      <c r="F45" s="601"/>
      <c r="G45" s="580"/>
      <c r="H45" s="580"/>
      <c r="I45" s="1025"/>
      <c r="J45" s="1039"/>
      <c r="K45" s="1026"/>
      <c r="L45" s="1027"/>
      <c r="M45" s="1027"/>
      <c r="N45" s="1029"/>
      <c r="O45" s="1030"/>
      <c r="P45" s="580"/>
    </row>
    <row r="46" spans="1:16" s="669" customFormat="1" ht="13.2">
      <c r="A46" s="590"/>
      <c r="B46" s="591"/>
      <c r="C46" s="695"/>
      <c r="D46" s="598"/>
      <c r="E46" s="600"/>
      <c r="F46" s="601"/>
      <c r="G46" s="580"/>
      <c r="H46" s="580"/>
      <c r="I46" s="1043"/>
      <c r="J46" s="1043"/>
      <c r="K46" s="702"/>
      <c r="L46" s="702"/>
      <c r="M46" s="1044"/>
      <c r="N46" s="1045"/>
      <c r="O46" s="1045"/>
      <c r="P46" s="580"/>
    </row>
    <row r="47" spans="1:16" s="669" customFormat="1" ht="13.2">
      <c r="A47" s="590"/>
      <c r="B47" s="591"/>
      <c r="C47" s="695"/>
      <c r="D47" s="598"/>
      <c r="E47" s="600"/>
      <c r="F47" s="601"/>
      <c r="G47" s="580"/>
      <c r="H47" s="580"/>
      <c r="I47" s="1043"/>
      <c r="J47" s="1043"/>
      <c r="K47" s="702"/>
      <c r="L47" s="702"/>
      <c r="M47" s="1044"/>
      <c r="N47" s="1045"/>
      <c r="O47" s="1086"/>
      <c r="P47" s="580"/>
    </row>
    <row r="48" spans="1:16" s="669" customFormat="1" ht="13.2">
      <c r="A48" s="590"/>
      <c r="B48" s="591"/>
      <c r="C48" s="670"/>
      <c r="D48" s="592"/>
      <c r="E48" s="594"/>
      <c r="F48" s="595"/>
      <c r="G48" s="580"/>
      <c r="H48" s="580"/>
      <c r="I48" s="1043"/>
      <c r="J48" s="1043"/>
      <c r="K48" s="702"/>
      <c r="L48" s="702"/>
      <c r="M48" s="1044"/>
      <c r="N48" s="1045"/>
      <c r="O48" s="1045"/>
      <c r="P48" s="580"/>
    </row>
    <row r="49" spans="1:16" s="669" customFormat="1" ht="13.2">
      <c r="A49" s="590"/>
      <c r="B49" s="591"/>
      <c r="C49" s="670"/>
      <c r="D49" s="592"/>
      <c r="E49" s="594"/>
      <c r="F49" s="595"/>
      <c r="G49" s="580"/>
      <c r="H49" s="580"/>
      <c r="I49" s="1043"/>
      <c r="J49" s="1043"/>
      <c r="K49" s="702"/>
      <c r="L49" s="702"/>
      <c r="M49" s="1044"/>
      <c r="N49" s="1045"/>
      <c r="O49" s="1045"/>
      <c r="P49" s="580"/>
    </row>
    <row r="50" spans="1:16" s="669" customFormat="1" ht="13.2">
      <c r="A50" s="590"/>
      <c r="B50" s="591"/>
      <c r="C50" s="670"/>
      <c r="D50" s="592"/>
      <c r="E50" s="594"/>
      <c r="F50" s="595"/>
      <c r="G50" s="580"/>
      <c r="H50" s="580"/>
      <c r="I50" s="1043"/>
      <c r="J50" s="1043"/>
      <c r="K50" s="702"/>
      <c r="L50" s="702"/>
      <c r="M50" s="1044"/>
      <c r="N50" s="1045"/>
      <c r="O50" s="1045"/>
      <c r="P50" s="580"/>
    </row>
    <row r="51" spans="1:16" s="669" customFormat="1" ht="13.8" thickBot="1">
      <c r="A51" s="590"/>
      <c r="B51" s="591"/>
      <c r="C51" s="670"/>
      <c r="D51" s="592"/>
      <c r="E51" s="594"/>
      <c r="F51" s="595"/>
      <c r="G51" s="580"/>
      <c r="H51" s="580"/>
      <c r="I51" s="1043"/>
      <c r="J51" s="1043"/>
      <c r="K51" s="702"/>
      <c r="L51" s="702"/>
      <c r="M51" s="1044"/>
      <c r="N51" s="1045"/>
      <c r="O51" s="1045"/>
      <c r="P51" s="580"/>
    </row>
    <row r="52" spans="1:16" s="669" customFormat="1" ht="13.2">
      <c r="A52" s="612"/>
      <c r="B52" s="613"/>
      <c r="C52" s="675"/>
      <c r="D52" s="614"/>
      <c r="E52" s="616"/>
      <c r="F52" s="617"/>
      <c r="G52" s="580"/>
      <c r="H52" s="580"/>
      <c r="I52" s="1043"/>
      <c r="J52" s="1043"/>
      <c r="K52" s="702"/>
      <c r="L52" s="702"/>
      <c r="M52" s="1044"/>
      <c r="N52" s="1045"/>
      <c r="O52" s="1045"/>
      <c r="P52" s="580"/>
    </row>
    <row r="53" spans="1:16" s="669" customFormat="1" ht="13.2">
      <c r="A53" s="618" t="s">
        <v>288</v>
      </c>
      <c r="B53" s="619" t="s">
        <v>289</v>
      </c>
      <c r="C53" s="676"/>
      <c r="D53" s="620"/>
      <c r="E53" s="622"/>
      <c r="F53" s="623" t="e">
        <f>SUM(F7:F51)</f>
        <v>#REF!</v>
      </c>
      <c r="G53" s="580"/>
      <c r="H53" s="580"/>
      <c r="I53" s="1043"/>
      <c r="J53" s="1043"/>
      <c r="K53" s="702"/>
      <c r="L53" s="702"/>
      <c r="M53" s="1044"/>
      <c r="N53" s="1045"/>
      <c r="O53" s="1045"/>
      <c r="P53" s="580"/>
    </row>
    <row r="54" spans="1:16" s="669" customFormat="1" ht="13.2">
      <c r="A54" s="624"/>
      <c r="B54" s="625"/>
      <c r="C54" s="626"/>
      <c r="D54" s="626"/>
      <c r="E54" s="628"/>
      <c r="F54" s="629"/>
      <c r="G54" s="580"/>
      <c r="H54" s="580"/>
      <c r="I54" s="1043"/>
      <c r="J54" s="1043"/>
      <c r="K54" s="702"/>
      <c r="L54" s="702"/>
      <c r="M54" s="1044"/>
      <c r="N54" s="1045"/>
      <c r="O54" s="1045"/>
      <c r="P54" s="580"/>
    </row>
    <row r="56" spans="1:16">
      <c r="F56" s="63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EE0000"/>
  </sheetPr>
  <dimension ref="A1:P58"/>
  <sheetViews>
    <sheetView workbookViewId="0">
      <selection activeCell="Q59" sqref="Q59"/>
    </sheetView>
  </sheetViews>
  <sheetFormatPr defaultColWidth="8.88671875" defaultRowHeight="14.4"/>
  <cols>
    <col min="1" max="1" width="7.6640625" style="630" customWidth="1"/>
    <col min="2" max="2" width="48.6640625" style="573" customWidth="1"/>
    <col min="3" max="3" width="5.6640625" style="631" customWidth="1"/>
    <col min="4" max="4" width="7.6640625" style="573" customWidth="1"/>
    <col min="5" max="5" width="10.33203125" style="632" customWidth="1"/>
    <col min="6" max="6" width="12.109375" style="632" customWidth="1"/>
    <col min="7" max="16384" width="8.88671875" style="573"/>
  </cols>
  <sheetData>
    <row r="1" spans="1:16" ht="17.399999999999999">
      <c r="A1" s="568" t="s">
        <v>273</v>
      </c>
      <c r="B1" s="569"/>
      <c r="C1" s="570"/>
      <c r="D1" s="569"/>
      <c r="E1" s="571"/>
      <c r="F1" s="572"/>
    </row>
    <row r="2" spans="1:16">
      <c r="A2" s="574" t="s">
        <v>563</v>
      </c>
      <c r="B2" s="668"/>
      <c r="C2" s="576"/>
      <c r="D2" s="575"/>
      <c r="E2" s="577"/>
      <c r="F2" s="578"/>
    </row>
    <row r="3" spans="1:16">
      <c r="A3" s="574"/>
      <c r="B3" s="575"/>
      <c r="C3" s="576"/>
      <c r="D3" s="575"/>
      <c r="E3" s="577"/>
      <c r="F3" s="578"/>
    </row>
    <row r="4" spans="1:16">
      <c r="A4" s="579"/>
      <c r="B4" s="580"/>
      <c r="C4" s="581"/>
      <c r="D4" s="580"/>
      <c r="E4" s="582"/>
      <c r="F4" s="583"/>
    </row>
    <row r="5" spans="1:16" ht="15" thickBot="1">
      <c r="A5" s="584" t="s">
        <v>276</v>
      </c>
      <c r="B5" s="585"/>
      <c r="C5" s="587" t="s">
        <v>277</v>
      </c>
      <c r="D5" s="586" t="s">
        <v>266</v>
      </c>
      <c r="E5" s="588" t="s">
        <v>278</v>
      </c>
      <c r="F5" s="589" t="s">
        <v>267</v>
      </c>
    </row>
    <row r="6" spans="1:16" s="669" customFormat="1" ht="13.2">
      <c r="A6" s="590"/>
      <c r="C6" s="670"/>
      <c r="D6" s="592"/>
      <c r="E6" s="594"/>
      <c r="F6" s="595"/>
      <c r="G6" s="580"/>
      <c r="H6" s="580"/>
      <c r="I6" s="580"/>
      <c r="J6" s="580"/>
      <c r="K6" s="580"/>
      <c r="L6" s="580"/>
      <c r="M6" s="580"/>
      <c r="N6" s="580"/>
      <c r="O6" s="580"/>
      <c r="P6" s="580"/>
    </row>
    <row r="7" spans="1:16" s="669" customFormat="1" ht="66">
      <c r="A7" s="603" t="s">
        <v>334</v>
      </c>
      <c r="B7" s="650" t="s">
        <v>564</v>
      </c>
      <c r="C7" s="606"/>
      <c r="D7" s="673"/>
      <c r="E7" s="607"/>
      <c r="F7" s="608"/>
      <c r="G7" s="580"/>
      <c r="H7" s="580"/>
      <c r="I7" s="580"/>
      <c r="J7" s="580"/>
      <c r="K7" s="580"/>
      <c r="L7" s="580"/>
      <c r="M7" s="580"/>
      <c r="N7" s="580"/>
      <c r="O7" s="580"/>
      <c r="P7" s="580"/>
    </row>
    <row r="8" spans="1:16" s="669" customFormat="1" ht="13.2">
      <c r="A8" s="603"/>
      <c r="B8" s="672"/>
      <c r="C8" s="606"/>
      <c r="D8" s="673"/>
      <c r="E8" s="607"/>
      <c r="F8" s="608"/>
      <c r="G8" s="580"/>
      <c r="H8" s="580"/>
      <c r="I8" s="580"/>
      <c r="J8" s="580"/>
      <c r="K8" s="580"/>
      <c r="L8" s="580"/>
      <c r="M8" s="580"/>
      <c r="N8" s="580"/>
      <c r="O8" s="580"/>
      <c r="P8" s="580"/>
    </row>
    <row r="9" spans="1:16" s="669" customFormat="1" ht="13.2">
      <c r="A9" s="603" t="s">
        <v>294</v>
      </c>
      <c r="B9" s="672" t="s">
        <v>565</v>
      </c>
      <c r="C9" s="606">
        <v>1</v>
      </c>
      <c r="D9" s="673" t="s">
        <v>141</v>
      </c>
      <c r="E9" s="607">
        <f>Elec_Est!E2808</f>
        <v>58</v>
      </c>
      <c r="F9" s="608">
        <f>E9*C9</f>
        <v>58</v>
      </c>
      <c r="G9" s="580">
        <v>3</v>
      </c>
      <c r="H9" s="580"/>
      <c r="I9" s="580"/>
      <c r="J9" s="580"/>
      <c r="K9" s="580"/>
      <c r="L9" s="580"/>
      <c r="M9" s="580"/>
      <c r="N9" s="580"/>
      <c r="O9" s="580"/>
      <c r="P9" s="580"/>
    </row>
    <row r="10" spans="1:16" s="669" customFormat="1" ht="13.2">
      <c r="A10" s="590"/>
      <c r="B10" s="609"/>
      <c r="C10" s="599"/>
      <c r="D10" s="671"/>
      <c r="E10" s="600"/>
      <c r="F10" s="601"/>
      <c r="G10" s="580"/>
      <c r="H10" s="580"/>
      <c r="I10" s="580"/>
      <c r="J10" s="580"/>
      <c r="K10" s="580"/>
      <c r="L10" s="580"/>
      <c r="M10" s="580"/>
      <c r="N10" s="580"/>
      <c r="O10" s="580"/>
      <c r="P10" s="580"/>
    </row>
    <row r="11" spans="1:16" s="669" customFormat="1" ht="13.2">
      <c r="A11" s="590"/>
      <c r="B11" s="609"/>
      <c r="C11" s="599"/>
      <c r="D11" s="671"/>
      <c r="E11" s="600"/>
      <c r="F11" s="601"/>
      <c r="G11" s="580"/>
      <c r="H11" s="580"/>
      <c r="I11" s="580"/>
      <c r="J11" s="580"/>
      <c r="K11" s="580"/>
      <c r="L11" s="580"/>
      <c r="M11" s="580"/>
      <c r="N11" s="580"/>
      <c r="O11" s="580"/>
      <c r="P11" s="580"/>
    </row>
    <row r="12" spans="1:16" s="669" customFormat="1" ht="13.2">
      <c r="A12" s="590"/>
      <c r="B12" s="609"/>
      <c r="C12" s="599"/>
      <c r="D12" s="671"/>
      <c r="E12" s="600"/>
      <c r="F12" s="601"/>
      <c r="G12" s="580"/>
      <c r="H12" s="580"/>
      <c r="I12" s="580"/>
      <c r="J12" s="580"/>
      <c r="K12" s="580"/>
      <c r="L12" s="580"/>
      <c r="M12" s="580"/>
      <c r="N12" s="580"/>
      <c r="O12" s="580"/>
      <c r="P12" s="580"/>
    </row>
    <row r="13" spans="1:16" s="669" customFormat="1" ht="13.2">
      <c r="A13" s="590"/>
      <c r="B13" s="609"/>
      <c r="C13" s="599"/>
      <c r="D13" s="671"/>
      <c r="E13" s="600"/>
      <c r="F13" s="601"/>
      <c r="G13" s="580"/>
      <c r="H13" s="580"/>
      <c r="I13" s="580"/>
      <c r="J13" s="580"/>
      <c r="K13" s="580"/>
      <c r="L13" s="580"/>
      <c r="M13" s="580"/>
      <c r="N13" s="580"/>
      <c r="O13" s="580"/>
      <c r="P13" s="580"/>
    </row>
    <row r="14" spans="1:16" s="669" customFormat="1" ht="12.75" customHeight="1">
      <c r="A14" s="590"/>
      <c r="B14" s="666"/>
      <c r="C14" s="599"/>
      <c r="D14" s="671"/>
      <c r="E14" s="600"/>
      <c r="F14" s="601"/>
      <c r="G14" s="580"/>
      <c r="H14" s="580"/>
      <c r="I14" s="580"/>
      <c r="J14" s="580"/>
      <c r="K14" s="580"/>
      <c r="L14" s="580"/>
      <c r="M14" s="580"/>
      <c r="N14" s="580"/>
      <c r="O14" s="580"/>
      <c r="P14" s="580"/>
    </row>
    <row r="15" spans="1:16" s="669" customFormat="1" ht="12.75" customHeight="1">
      <c r="A15" s="590"/>
      <c r="B15" s="666"/>
      <c r="C15" s="599"/>
      <c r="D15" s="671"/>
      <c r="E15" s="600"/>
      <c r="F15" s="601"/>
      <c r="G15" s="580"/>
      <c r="H15" s="580"/>
      <c r="I15" s="580"/>
      <c r="J15" s="580"/>
      <c r="K15" s="580"/>
      <c r="L15" s="580"/>
      <c r="M15" s="580"/>
      <c r="N15" s="580"/>
      <c r="O15" s="580"/>
      <c r="P15" s="580"/>
    </row>
    <row r="16" spans="1:16" s="669" customFormat="1" ht="12.75" customHeight="1">
      <c r="A16" s="590"/>
      <c r="B16" s="666"/>
      <c r="C16" s="599"/>
      <c r="D16" s="671"/>
      <c r="E16" s="600"/>
      <c r="F16" s="601"/>
      <c r="G16" s="580"/>
      <c r="H16" s="580"/>
      <c r="I16" s="580"/>
      <c r="J16" s="580"/>
      <c r="K16" s="580"/>
      <c r="L16" s="580"/>
      <c r="M16" s="580"/>
      <c r="N16" s="580"/>
      <c r="O16" s="580"/>
      <c r="P16" s="580"/>
    </row>
    <row r="17" spans="1:16" s="669" customFormat="1" ht="13.2">
      <c r="A17" s="590"/>
      <c r="B17" s="591"/>
      <c r="C17" s="695"/>
      <c r="D17" s="598"/>
      <c r="E17" s="600"/>
      <c r="F17" s="601"/>
      <c r="G17" s="580"/>
      <c r="H17" s="580"/>
      <c r="I17" s="580"/>
      <c r="J17" s="580"/>
      <c r="K17" s="580"/>
      <c r="L17" s="580"/>
      <c r="M17" s="580"/>
      <c r="N17" s="580"/>
      <c r="O17" s="580"/>
      <c r="P17" s="580"/>
    </row>
    <row r="18" spans="1:16" s="669" customFormat="1" ht="13.2">
      <c r="A18" s="590"/>
      <c r="B18" s="591"/>
      <c r="C18" s="695"/>
      <c r="D18" s="598"/>
      <c r="E18" s="600"/>
      <c r="F18" s="601"/>
      <c r="G18" s="580"/>
      <c r="H18" s="580"/>
      <c r="I18" s="580"/>
      <c r="J18" s="580"/>
      <c r="K18" s="580"/>
      <c r="L18" s="580"/>
      <c r="M18" s="580"/>
      <c r="N18" s="580"/>
      <c r="O18" s="580"/>
      <c r="P18" s="580"/>
    </row>
    <row r="19" spans="1:16" s="669" customFormat="1" ht="13.2">
      <c r="A19" s="590"/>
      <c r="B19" s="591"/>
      <c r="C19" s="695"/>
      <c r="D19" s="598"/>
      <c r="E19" s="600"/>
      <c r="F19" s="601"/>
      <c r="G19" s="580"/>
      <c r="H19" s="580"/>
      <c r="I19" s="580"/>
      <c r="J19" s="580"/>
      <c r="K19" s="580"/>
      <c r="L19" s="580"/>
      <c r="M19" s="580"/>
      <c r="N19" s="580"/>
      <c r="O19" s="580"/>
      <c r="P19" s="580"/>
    </row>
    <row r="20" spans="1:16" s="669" customFormat="1" ht="13.2">
      <c r="A20" s="590"/>
      <c r="B20" s="591"/>
      <c r="C20" s="695"/>
      <c r="D20" s="598"/>
      <c r="E20" s="600"/>
      <c r="F20" s="601"/>
      <c r="G20" s="580"/>
      <c r="H20" s="580"/>
      <c r="I20" s="580"/>
      <c r="J20" s="580"/>
      <c r="K20" s="580"/>
      <c r="L20" s="580"/>
      <c r="M20" s="580"/>
      <c r="N20" s="580"/>
      <c r="O20" s="580"/>
      <c r="P20" s="580"/>
    </row>
    <row r="21" spans="1:16" s="669" customFormat="1" ht="13.2">
      <c r="A21" s="590"/>
      <c r="B21" s="591"/>
      <c r="C21" s="695"/>
      <c r="D21" s="598"/>
      <c r="E21" s="600"/>
      <c r="F21" s="601"/>
      <c r="G21" s="580"/>
      <c r="H21" s="580"/>
      <c r="I21" s="580"/>
      <c r="J21" s="580"/>
      <c r="K21" s="580"/>
      <c r="L21" s="580"/>
      <c r="M21" s="580"/>
      <c r="N21" s="580"/>
      <c r="O21" s="580"/>
      <c r="P21" s="580"/>
    </row>
    <row r="22" spans="1:16" s="669" customFormat="1" ht="13.2">
      <c r="A22" s="590"/>
      <c r="B22" s="591"/>
      <c r="C22" s="695"/>
      <c r="D22" s="598"/>
      <c r="E22" s="600"/>
      <c r="F22" s="601"/>
      <c r="G22" s="580"/>
      <c r="H22" s="580"/>
      <c r="I22" s="580"/>
      <c r="J22" s="580"/>
      <c r="K22" s="580"/>
      <c r="L22" s="580"/>
      <c r="M22" s="580"/>
      <c r="N22" s="580"/>
      <c r="O22" s="580"/>
      <c r="P22" s="580"/>
    </row>
    <row r="23" spans="1:16" s="669" customFormat="1" ht="13.2">
      <c r="A23" s="590"/>
      <c r="B23" s="591"/>
      <c r="C23" s="695"/>
      <c r="D23" s="598"/>
      <c r="E23" s="600"/>
      <c r="F23" s="601"/>
      <c r="G23" s="580"/>
      <c r="H23" s="580"/>
      <c r="I23" s="580"/>
      <c r="J23" s="580"/>
      <c r="K23" s="580"/>
      <c r="L23" s="580"/>
      <c r="M23" s="580"/>
      <c r="N23" s="580"/>
      <c r="O23" s="580"/>
      <c r="P23" s="580"/>
    </row>
    <row r="24" spans="1:16" s="669" customFormat="1" ht="13.2">
      <c r="A24" s="590"/>
      <c r="B24" s="591"/>
      <c r="C24" s="695"/>
      <c r="D24" s="598"/>
      <c r="E24" s="600"/>
      <c r="F24" s="601"/>
      <c r="G24" s="580"/>
      <c r="H24" s="580"/>
      <c r="I24" s="580"/>
      <c r="J24" s="580"/>
      <c r="K24" s="580"/>
      <c r="L24" s="580"/>
      <c r="M24" s="580"/>
      <c r="N24" s="580"/>
      <c r="O24" s="580"/>
      <c r="P24" s="580"/>
    </row>
    <row r="25" spans="1:16" s="669" customFormat="1" ht="13.2">
      <c r="A25" s="590"/>
      <c r="B25" s="591"/>
      <c r="C25" s="695"/>
      <c r="D25" s="598"/>
      <c r="E25" s="600"/>
      <c r="F25" s="601"/>
      <c r="G25" s="580"/>
      <c r="H25" s="580"/>
      <c r="I25" s="580"/>
      <c r="J25" s="580"/>
      <c r="K25" s="580"/>
      <c r="L25" s="580"/>
      <c r="M25" s="580"/>
      <c r="N25" s="580"/>
      <c r="O25" s="580"/>
      <c r="P25" s="580"/>
    </row>
    <row r="26" spans="1:16" s="669" customFormat="1" ht="13.2">
      <c r="A26" s="590"/>
      <c r="B26" s="591"/>
      <c r="C26" s="695"/>
      <c r="D26" s="598"/>
      <c r="E26" s="600"/>
      <c r="F26" s="601"/>
      <c r="G26" s="580"/>
      <c r="H26" s="580"/>
      <c r="I26" s="580"/>
      <c r="J26" s="580"/>
      <c r="K26" s="580"/>
      <c r="L26" s="580"/>
      <c r="M26" s="580"/>
      <c r="N26" s="580"/>
      <c r="O26" s="580"/>
      <c r="P26" s="580"/>
    </row>
    <row r="27" spans="1:16" s="669" customFormat="1" ht="13.2">
      <c r="A27" s="590"/>
      <c r="B27" s="591"/>
      <c r="C27" s="695"/>
      <c r="D27" s="598"/>
      <c r="E27" s="600"/>
      <c r="F27" s="601"/>
      <c r="G27" s="580"/>
      <c r="H27" s="580"/>
      <c r="I27" s="580"/>
      <c r="J27" s="580"/>
      <c r="K27" s="580"/>
      <c r="L27" s="580"/>
      <c r="M27" s="580"/>
      <c r="N27" s="580"/>
      <c r="O27" s="580"/>
      <c r="P27" s="580"/>
    </row>
    <row r="28" spans="1:16" s="669" customFormat="1" ht="13.2">
      <c r="A28" s="590"/>
      <c r="B28" s="591"/>
      <c r="C28" s="695"/>
      <c r="D28" s="598"/>
      <c r="E28" s="600"/>
      <c r="F28" s="601"/>
      <c r="G28" s="580"/>
      <c r="H28" s="580"/>
      <c r="I28" s="580"/>
      <c r="J28" s="580"/>
      <c r="K28" s="580"/>
      <c r="L28" s="580"/>
      <c r="M28" s="580"/>
      <c r="N28" s="580"/>
      <c r="O28" s="580"/>
      <c r="P28" s="580"/>
    </row>
    <row r="29" spans="1:16" s="669" customFormat="1" ht="13.2">
      <c r="A29" s="590"/>
      <c r="B29" s="591"/>
      <c r="C29" s="695"/>
      <c r="D29" s="598"/>
      <c r="E29" s="600"/>
      <c r="F29" s="601"/>
      <c r="G29" s="580"/>
      <c r="H29" s="580"/>
      <c r="I29" s="580"/>
      <c r="J29" s="580"/>
      <c r="K29" s="580"/>
      <c r="L29" s="580"/>
      <c r="M29" s="580"/>
      <c r="N29" s="580"/>
      <c r="O29" s="580"/>
      <c r="P29" s="580"/>
    </row>
    <row r="30" spans="1:16" s="669" customFormat="1" ht="13.2">
      <c r="A30" s="590"/>
      <c r="B30" s="591"/>
      <c r="C30" s="695"/>
      <c r="D30" s="598"/>
      <c r="E30" s="600"/>
      <c r="F30" s="601"/>
      <c r="G30" s="580"/>
      <c r="H30" s="580"/>
      <c r="I30" s="580"/>
      <c r="J30" s="580"/>
      <c r="K30" s="580"/>
      <c r="L30" s="580"/>
      <c r="M30" s="580"/>
      <c r="N30" s="580"/>
      <c r="O30" s="580"/>
      <c r="P30" s="580"/>
    </row>
    <row r="31" spans="1:16" s="669" customFormat="1" ht="13.2">
      <c r="A31" s="590"/>
      <c r="B31" s="591"/>
      <c r="C31" s="695"/>
      <c r="D31" s="598"/>
      <c r="E31" s="600"/>
      <c r="F31" s="601"/>
      <c r="G31" s="580"/>
      <c r="H31" s="580"/>
      <c r="I31" s="580"/>
      <c r="J31" s="580"/>
      <c r="K31" s="580"/>
      <c r="L31" s="580"/>
      <c r="M31" s="580"/>
      <c r="N31" s="580"/>
      <c r="O31" s="580"/>
      <c r="P31" s="580"/>
    </row>
    <row r="32" spans="1:16" s="669" customFormat="1" ht="13.2">
      <c r="A32" s="590"/>
      <c r="B32" s="591"/>
      <c r="C32" s="695"/>
      <c r="D32" s="598"/>
      <c r="E32" s="600"/>
      <c r="F32" s="601"/>
      <c r="G32" s="580"/>
      <c r="H32" s="580"/>
      <c r="I32" s="580"/>
      <c r="J32" s="580"/>
      <c r="K32" s="580"/>
      <c r="L32" s="580"/>
      <c r="M32" s="580"/>
      <c r="N32" s="580"/>
      <c r="O32" s="580"/>
      <c r="P32" s="580"/>
    </row>
    <row r="33" spans="1:16" s="669" customFormat="1" ht="13.2">
      <c r="A33" s="590"/>
      <c r="B33" s="591"/>
      <c r="C33" s="695"/>
      <c r="D33" s="598"/>
      <c r="E33" s="600"/>
      <c r="F33" s="601"/>
      <c r="G33" s="580"/>
      <c r="H33" s="580"/>
      <c r="I33" s="580"/>
      <c r="J33" s="580"/>
      <c r="K33" s="580"/>
      <c r="L33" s="580"/>
      <c r="M33" s="580"/>
      <c r="N33" s="580"/>
      <c r="O33" s="580"/>
      <c r="P33" s="580"/>
    </row>
    <row r="34" spans="1:16" s="669" customFormat="1" ht="13.2">
      <c r="A34" s="590"/>
      <c r="B34" s="591"/>
      <c r="C34" s="599"/>
      <c r="D34" s="671"/>
      <c r="E34" s="600"/>
      <c r="F34" s="601"/>
      <c r="G34" s="580"/>
      <c r="H34" s="580"/>
      <c r="I34" s="580"/>
      <c r="J34" s="580"/>
      <c r="K34" s="580"/>
      <c r="L34" s="580"/>
      <c r="M34" s="580"/>
      <c r="N34" s="580"/>
      <c r="O34" s="580"/>
      <c r="P34" s="580"/>
    </row>
    <row r="35" spans="1:16" s="669" customFormat="1" ht="13.2">
      <c r="A35" s="590"/>
      <c r="B35" s="591"/>
      <c r="C35" s="695"/>
      <c r="D35" s="598"/>
      <c r="E35" s="600"/>
      <c r="F35" s="601"/>
      <c r="G35" s="580"/>
      <c r="H35" s="580"/>
      <c r="I35" s="580"/>
      <c r="J35" s="580"/>
      <c r="K35" s="580"/>
      <c r="L35" s="580"/>
      <c r="M35" s="580"/>
      <c r="N35" s="580"/>
      <c r="O35" s="580"/>
      <c r="P35" s="580"/>
    </row>
    <row r="36" spans="1:16" s="669" customFormat="1" ht="13.2">
      <c r="A36" s="590"/>
      <c r="B36" s="591"/>
      <c r="C36" s="695"/>
      <c r="D36" s="598"/>
      <c r="E36" s="600"/>
      <c r="F36" s="601"/>
      <c r="G36" s="580"/>
      <c r="H36" s="580"/>
      <c r="I36" s="580"/>
      <c r="J36" s="580"/>
      <c r="K36" s="580"/>
      <c r="L36" s="580"/>
      <c r="M36" s="580"/>
      <c r="N36" s="580"/>
      <c r="O36" s="580"/>
      <c r="P36" s="580"/>
    </row>
    <row r="37" spans="1:16" s="669" customFormat="1" ht="13.2">
      <c r="A37" s="590"/>
      <c r="B37" s="591"/>
      <c r="C37" s="695"/>
      <c r="D37" s="598"/>
      <c r="E37" s="600"/>
      <c r="F37" s="601"/>
      <c r="G37" s="580"/>
      <c r="H37" s="580"/>
      <c r="I37" s="580"/>
      <c r="J37" s="580"/>
      <c r="K37" s="580"/>
      <c r="L37" s="580"/>
      <c r="M37" s="580"/>
      <c r="N37" s="580"/>
      <c r="O37" s="580"/>
      <c r="P37" s="580"/>
    </row>
    <row r="38" spans="1:16" s="669" customFormat="1" ht="13.2">
      <c r="A38" s="590"/>
      <c r="B38" s="591"/>
      <c r="C38" s="695"/>
      <c r="D38" s="598"/>
      <c r="E38" s="600"/>
      <c r="F38" s="601"/>
      <c r="G38" s="580"/>
      <c r="H38" s="580"/>
      <c r="I38" s="580"/>
      <c r="J38" s="580"/>
      <c r="K38" s="580"/>
      <c r="L38" s="580"/>
      <c r="M38" s="580"/>
      <c r="N38" s="580"/>
      <c r="O38" s="580"/>
      <c r="P38" s="580"/>
    </row>
    <row r="39" spans="1:16" s="669" customFormat="1" ht="13.2">
      <c r="A39" s="590"/>
      <c r="B39" s="591"/>
      <c r="C39" s="695"/>
      <c r="D39" s="598"/>
      <c r="E39" s="600"/>
      <c r="F39" s="601"/>
      <c r="G39" s="580"/>
      <c r="H39" s="580"/>
      <c r="I39" s="580"/>
      <c r="J39" s="580"/>
      <c r="K39" s="580"/>
      <c r="L39" s="580"/>
      <c r="M39" s="580"/>
      <c r="N39" s="580"/>
      <c r="O39" s="580"/>
      <c r="P39" s="580"/>
    </row>
    <row r="40" spans="1:16" s="669" customFormat="1" ht="13.2">
      <c r="A40" s="590"/>
      <c r="B40" s="591"/>
      <c r="C40" s="695"/>
      <c r="D40" s="598"/>
      <c r="E40" s="600"/>
      <c r="F40" s="601"/>
      <c r="G40" s="580"/>
      <c r="H40" s="580"/>
      <c r="I40" s="580"/>
      <c r="J40" s="580"/>
      <c r="K40" s="580"/>
      <c r="L40" s="580"/>
      <c r="M40" s="580"/>
      <c r="N40" s="580"/>
      <c r="O40" s="580"/>
      <c r="P40" s="580"/>
    </row>
    <row r="41" spans="1:16" s="669" customFormat="1" ht="13.2">
      <c r="A41" s="590"/>
      <c r="B41" s="591"/>
      <c r="C41" s="695"/>
      <c r="D41" s="598"/>
      <c r="E41" s="600"/>
      <c r="F41" s="601"/>
      <c r="G41" s="580"/>
      <c r="H41" s="580"/>
      <c r="I41" s="580"/>
      <c r="J41" s="580"/>
      <c r="K41" s="580"/>
      <c r="L41" s="580"/>
      <c r="M41" s="580"/>
      <c r="N41" s="580"/>
      <c r="O41" s="580"/>
      <c r="P41" s="580"/>
    </row>
    <row r="42" spans="1:16" s="669" customFormat="1" ht="13.2">
      <c r="A42" s="590"/>
      <c r="B42" s="591"/>
      <c r="C42" s="695"/>
      <c r="D42" s="598"/>
      <c r="E42" s="600"/>
      <c r="F42" s="601"/>
      <c r="G42" s="580"/>
      <c r="H42" s="580"/>
      <c r="I42" s="580"/>
      <c r="J42" s="580"/>
      <c r="K42" s="580"/>
      <c r="L42" s="580"/>
      <c r="M42" s="580"/>
      <c r="N42" s="580"/>
      <c r="O42" s="580"/>
      <c r="P42" s="580"/>
    </row>
    <row r="43" spans="1:16" s="669" customFormat="1" ht="13.2">
      <c r="A43" s="590"/>
      <c r="B43" s="591"/>
      <c r="C43" s="695"/>
      <c r="D43" s="598"/>
      <c r="E43" s="600"/>
      <c r="F43" s="601"/>
      <c r="G43" s="580"/>
      <c r="H43" s="580"/>
      <c r="I43" s="580"/>
      <c r="J43" s="580"/>
      <c r="K43" s="580"/>
      <c r="L43" s="580"/>
      <c r="M43" s="580"/>
      <c r="N43" s="580"/>
      <c r="O43" s="580"/>
      <c r="P43" s="580"/>
    </row>
    <row r="44" spans="1:16" s="669" customFormat="1" ht="13.2">
      <c r="A44" s="590"/>
      <c r="B44" s="591"/>
      <c r="C44" s="695"/>
      <c r="D44" s="598"/>
      <c r="E44" s="600"/>
      <c r="F44" s="601"/>
      <c r="G44" s="580"/>
      <c r="H44" s="580"/>
      <c r="I44" s="580"/>
      <c r="J44" s="580"/>
      <c r="K44" s="580"/>
      <c r="L44" s="580"/>
      <c r="M44" s="580"/>
      <c r="N44" s="580"/>
      <c r="O44" s="580"/>
      <c r="P44" s="580"/>
    </row>
    <row r="45" spans="1:16" s="669" customFormat="1" ht="13.2">
      <c r="A45" s="590"/>
      <c r="B45" s="591"/>
      <c r="C45" s="695"/>
      <c r="D45" s="598"/>
      <c r="E45" s="600"/>
      <c r="F45" s="601"/>
      <c r="G45" s="580"/>
      <c r="H45" s="580"/>
      <c r="I45" s="580"/>
      <c r="J45" s="580"/>
      <c r="K45" s="580"/>
      <c r="L45" s="580"/>
      <c r="M45" s="580"/>
      <c r="N45" s="580"/>
      <c r="O45" s="580"/>
      <c r="P45" s="580"/>
    </row>
    <row r="46" spans="1:16" s="669" customFormat="1" ht="13.2">
      <c r="A46" s="590"/>
      <c r="B46" s="591"/>
      <c r="C46" s="695"/>
      <c r="D46" s="598"/>
      <c r="E46" s="600"/>
      <c r="F46" s="601"/>
      <c r="G46" s="580"/>
      <c r="H46" s="580"/>
      <c r="I46" s="580"/>
      <c r="J46" s="580"/>
      <c r="K46" s="580"/>
      <c r="L46" s="580"/>
      <c r="M46" s="580"/>
      <c r="N46" s="580"/>
      <c r="O46" s="580"/>
      <c r="P46" s="580"/>
    </row>
    <row r="47" spans="1:16" s="669" customFormat="1" ht="13.2">
      <c r="A47" s="590"/>
      <c r="B47" s="591"/>
      <c r="C47" s="695"/>
      <c r="D47" s="598"/>
      <c r="E47" s="600"/>
      <c r="F47" s="601"/>
      <c r="G47" s="580"/>
      <c r="H47" s="580"/>
      <c r="I47" s="580"/>
      <c r="J47" s="580"/>
      <c r="K47" s="580"/>
      <c r="L47" s="580"/>
      <c r="M47" s="580"/>
      <c r="N47" s="580"/>
      <c r="O47" s="580"/>
      <c r="P47" s="580"/>
    </row>
    <row r="48" spans="1:16" s="669" customFormat="1" ht="13.2">
      <c r="A48" s="590"/>
      <c r="B48" s="591"/>
      <c r="C48" s="695"/>
      <c r="D48" s="598"/>
      <c r="E48" s="600"/>
      <c r="F48" s="601"/>
      <c r="G48" s="580"/>
      <c r="H48" s="580"/>
      <c r="I48" s="580"/>
      <c r="J48" s="580"/>
      <c r="K48" s="580"/>
      <c r="L48" s="580"/>
      <c r="M48" s="580"/>
      <c r="N48" s="580"/>
      <c r="O48" s="580"/>
      <c r="P48" s="580"/>
    </row>
    <row r="49" spans="1:16" s="669" customFormat="1" ht="13.2">
      <c r="A49" s="590"/>
      <c r="B49" s="591"/>
      <c r="C49" s="670"/>
      <c r="D49" s="592"/>
      <c r="E49" s="594"/>
      <c r="F49" s="595"/>
      <c r="G49" s="580"/>
      <c r="H49" s="580"/>
      <c r="I49" s="580"/>
      <c r="J49" s="580"/>
      <c r="K49" s="580"/>
      <c r="L49" s="580"/>
      <c r="M49" s="580"/>
      <c r="N49" s="580"/>
      <c r="O49" s="580"/>
      <c r="P49" s="580"/>
    </row>
    <row r="50" spans="1:16" s="669" customFormat="1" ht="13.2">
      <c r="A50" s="590"/>
      <c r="B50" s="591"/>
      <c r="C50" s="670"/>
      <c r="D50" s="592"/>
      <c r="E50" s="594"/>
      <c r="F50" s="595"/>
      <c r="G50" s="580"/>
      <c r="H50" s="580"/>
      <c r="I50" s="580"/>
      <c r="J50" s="580"/>
      <c r="K50" s="580"/>
      <c r="L50" s="580"/>
      <c r="M50" s="580"/>
      <c r="N50" s="580"/>
      <c r="O50" s="580"/>
      <c r="P50" s="580"/>
    </row>
    <row r="51" spans="1:16" s="669" customFormat="1" ht="13.2">
      <c r="A51" s="590"/>
      <c r="B51" s="591"/>
      <c r="C51" s="670"/>
      <c r="D51" s="592"/>
      <c r="E51" s="594"/>
      <c r="F51" s="595"/>
      <c r="G51" s="580"/>
      <c r="H51" s="580"/>
      <c r="I51" s="580"/>
      <c r="J51" s="580"/>
      <c r="K51" s="580"/>
      <c r="L51" s="580"/>
      <c r="M51" s="580"/>
      <c r="N51" s="580"/>
      <c r="O51" s="580"/>
      <c r="P51" s="580"/>
    </row>
    <row r="52" spans="1:16" s="669" customFormat="1" ht="13.2">
      <c r="A52" s="590"/>
      <c r="B52" s="591"/>
      <c r="C52" s="670"/>
      <c r="D52" s="592"/>
      <c r="E52" s="594"/>
      <c r="F52" s="595"/>
      <c r="G52" s="580"/>
      <c r="H52" s="580"/>
      <c r="I52" s="580"/>
      <c r="J52" s="580"/>
      <c r="K52" s="580"/>
      <c r="L52" s="580"/>
      <c r="M52" s="580"/>
      <c r="N52" s="580"/>
      <c r="O52" s="580"/>
      <c r="P52" s="580"/>
    </row>
    <row r="53" spans="1:16" s="669" customFormat="1" ht="13.8" thickBot="1">
      <c r="A53" s="590"/>
      <c r="B53" s="591"/>
      <c r="C53" s="670"/>
      <c r="D53" s="592"/>
      <c r="E53" s="594"/>
      <c r="F53" s="595"/>
      <c r="G53" s="580"/>
      <c r="H53" s="580"/>
      <c r="I53" s="580"/>
      <c r="J53" s="580"/>
      <c r="K53" s="580"/>
      <c r="L53" s="580"/>
      <c r="M53" s="580"/>
      <c r="N53" s="580"/>
      <c r="O53" s="580"/>
      <c r="P53" s="580"/>
    </row>
    <row r="54" spans="1:16" s="669" customFormat="1" ht="13.2">
      <c r="A54" s="612"/>
      <c r="B54" s="613"/>
      <c r="C54" s="675"/>
      <c r="D54" s="614"/>
      <c r="E54" s="616"/>
      <c r="F54" s="617"/>
      <c r="G54" s="580"/>
      <c r="H54" s="580"/>
      <c r="I54" s="580"/>
      <c r="J54" s="580"/>
      <c r="K54" s="580"/>
      <c r="L54" s="580"/>
      <c r="M54" s="580"/>
      <c r="N54" s="580"/>
      <c r="O54" s="580"/>
      <c r="P54" s="580"/>
    </row>
    <row r="55" spans="1:16" s="669" customFormat="1" ht="13.2">
      <c r="A55" s="618" t="s">
        <v>288</v>
      </c>
      <c r="B55" s="619" t="s">
        <v>289</v>
      </c>
      <c r="C55" s="676"/>
      <c r="D55" s="620"/>
      <c r="E55" s="622"/>
      <c r="F55" s="623">
        <f>SUM(F7:F53)</f>
        <v>58</v>
      </c>
      <c r="G55" s="580"/>
      <c r="H55" s="580"/>
      <c r="I55" s="580"/>
      <c r="J55" s="580"/>
      <c r="K55" s="580"/>
      <c r="L55" s="580"/>
      <c r="M55" s="580"/>
      <c r="N55" s="580"/>
      <c r="O55" s="580"/>
      <c r="P55" s="580"/>
    </row>
    <row r="56" spans="1:16" s="669" customFormat="1" ht="13.2">
      <c r="A56" s="624"/>
      <c r="B56" s="625"/>
      <c r="C56" s="626"/>
      <c r="D56" s="626"/>
      <c r="E56" s="628"/>
      <c r="F56" s="629"/>
      <c r="G56" s="580"/>
      <c r="H56" s="580"/>
      <c r="I56" s="580"/>
      <c r="J56" s="580"/>
      <c r="K56" s="580"/>
      <c r="L56" s="580"/>
      <c r="M56" s="580"/>
      <c r="N56" s="580"/>
      <c r="O56" s="580"/>
      <c r="P56" s="580"/>
    </row>
    <row r="58" spans="1:16">
      <c r="F58" s="63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6B675-12A3-4AFC-AB1A-6A160053947B}">
  <sheetPr>
    <tabColor rgb="FF00B050"/>
  </sheetPr>
  <dimension ref="A1:P47"/>
  <sheetViews>
    <sheetView workbookViewId="0">
      <selection activeCell="H12" sqref="H12"/>
    </sheetView>
  </sheetViews>
  <sheetFormatPr defaultColWidth="8.88671875" defaultRowHeight="14.4"/>
  <cols>
    <col min="1" max="1" width="7.6640625" style="630" customWidth="1"/>
    <col min="2" max="2" width="48.6640625" style="573" customWidth="1"/>
    <col min="3" max="3" width="5.6640625" style="631" customWidth="1"/>
    <col min="4" max="4" width="7.6640625" style="573" customWidth="1"/>
    <col min="5" max="5" width="10.33203125" style="632" customWidth="1"/>
    <col min="6" max="6" width="12.109375" style="632" customWidth="1"/>
    <col min="7" max="16384" width="8.88671875" style="573"/>
  </cols>
  <sheetData>
    <row r="1" spans="1:16" ht="17.399999999999999" customHeight="1">
      <c r="A1" s="1112" t="s">
        <v>273</v>
      </c>
      <c r="B1" s="1113"/>
      <c r="C1" s="1113"/>
      <c r="D1" s="1113"/>
      <c r="E1" s="1113"/>
      <c r="F1" s="1114"/>
    </row>
    <row r="2" spans="1:16">
      <c r="A2" s="1110" t="s">
        <v>970</v>
      </c>
      <c r="B2" s="1111"/>
      <c r="C2" s="1111"/>
      <c r="D2" s="1111"/>
      <c r="E2" s="1111"/>
      <c r="F2" s="1115"/>
    </row>
    <row r="3" spans="1:16">
      <c r="A3" s="1110"/>
      <c r="B3" s="1111"/>
      <c r="C3" s="1111"/>
      <c r="D3" s="1111"/>
      <c r="E3" s="1111"/>
      <c r="F3" s="1115"/>
    </row>
    <row r="4" spans="1:16">
      <c r="A4" s="579"/>
      <c r="B4" s="580"/>
      <c r="C4" s="581"/>
      <c r="D4" s="580"/>
      <c r="E4" s="582"/>
      <c r="F4" s="583"/>
    </row>
    <row r="5" spans="1:16" ht="15" thickBot="1">
      <c r="A5" s="584" t="s">
        <v>276</v>
      </c>
      <c r="B5" s="585"/>
      <c r="C5" s="587" t="s">
        <v>277</v>
      </c>
      <c r="D5" s="586" t="s">
        <v>266</v>
      </c>
      <c r="E5" s="588" t="s">
        <v>278</v>
      </c>
      <c r="F5" s="589" t="s">
        <v>267</v>
      </c>
    </row>
    <row r="6" spans="1:16" s="669" customFormat="1" ht="13.2">
      <c r="A6" s="590"/>
      <c r="C6" s="670"/>
      <c r="D6" s="592"/>
      <c r="E6" s="594"/>
      <c r="F6" s="595"/>
      <c r="G6" s="580"/>
      <c r="H6" s="580"/>
      <c r="I6" s="580"/>
      <c r="J6" s="580"/>
      <c r="K6" s="580"/>
      <c r="L6" s="580"/>
      <c r="M6" s="580"/>
      <c r="N6" s="580"/>
      <c r="O6" s="580"/>
      <c r="P6" s="580"/>
    </row>
    <row r="7" spans="1:16" s="669" customFormat="1" ht="79.2">
      <c r="A7" s="603">
        <v>1</v>
      </c>
      <c r="B7" s="1104" t="s">
        <v>971</v>
      </c>
      <c r="C7" s="606">
        <v>1</v>
      </c>
      <c r="D7" s="673" t="s">
        <v>287</v>
      </c>
      <c r="E7" s="1161" t="str">
        <f>Elec_Est!Q2842</f>
        <v>Included with electrical quotation</v>
      </c>
      <c r="F7" s="608"/>
      <c r="G7" s="580"/>
      <c r="H7" s="580"/>
      <c r="I7" s="580"/>
      <c r="J7" s="580"/>
      <c r="K7" s="580"/>
      <c r="L7" s="580"/>
      <c r="M7" s="580"/>
      <c r="N7" s="580"/>
      <c r="O7" s="580"/>
      <c r="P7" s="580"/>
    </row>
    <row r="8" spans="1:16" s="669" customFormat="1" ht="13.2">
      <c r="A8" s="590"/>
      <c r="B8" s="666"/>
      <c r="C8" s="599"/>
      <c r="D8" s="671"/>
      <c r="E8" s="600"/>
      <c r="F8" s="601"/>
      <c r="G8" s="580"/>
      <c r="H8" s="580"/>
      <c r="I8" s="580"/>
      <c r="J8" s="580"/>
      <c r="K8" s="580"/>
      <c r="L8" s="580"/>
      <c r="M8" s="580"/>
      <c r="N8" s="580"/>
      <c r="O8" s="580"/>
      <c r="P8" s="580"/>
    </row>
    <row r="9" spans="1:16" s="669" customFormat="1" ht="52.8">
      <c r="A9" s="590"/>
      <c r="B9" s="1105" t="s">
        <v>972</v>
      </c>
      <c r="C9" s="599"/>
      <c r="D9" s="671"/>
      <c r="E9" s="600"/>
      <c r="F9" s="601"/>
      <c r="G9" s="580"/>
      <c r="H9" s="580"/>
      <c r="I9" s="580"/>
      <c r="J9" s="580"/>
      <c r="K9" s="580"/>
      <c r="L9" s="580"/>
      <c r="M9" s="580"/>
      <c r="N9" s="580"/>
      <c r="O9" s="580"/>
      <c r="P9" s="580"/>
    </row>
    <row r="10" spans="1:16" s="669" customFormat="1" ht="13.2">
      <c r="A10" s="590"/>
      <c r="B10" s="1105"/>
      <c r="C10" s="599"/>
      <c r="D10" s="671"/>
      <c r="E10" s="600"/>
      <c r="F10" s="601"/>
      <c r="G10" s="580"/>
      <c r="H10" s="580"/>
      <c r="I10" s="580"/>
      <c r="J10" s="580"/>
      <c r="K10" s="580"/>
      <c r="L10" s="580"/>
      <c r="M10" s="580"/>
      <c r="N10" s="580"/>
      <c r="O10" s="580"/>
      <c r="P10" s="580"/>
    </row>
    <row r="11" spans="1:16" s="669" customFormat="1" ht="13.2">
      <c r="A11" s="590"/>
      <c r="B11" s="609"/>
      <c r="C11" s="599"/>
      <c r="D11" s="671"/>
      <c r="E11" s="600"/>
      <c r="F11" s="601"/>
      <c r="G11" s="580"/>
      <c r="H11" s="580"/>
      <c r="I11" s="580"/>
      <c r="J11" s="580"/>
      <c r="K11" s="580"/>
      <c r="L11" s="580"/>
      <c r="M11" s="580"/>
      <c r="N11" s="580"/>
      <c r="O11" s="580"/>
      <c r="P11" s="580"/>
    </row>
    <row r="12" spans="1:16" s="669" customFormat="1" ht="39.6">
      <c r="A12" s="590">
        <f>A7+1</f>
        <v>2</v>
      </c>
      <c r="B12" s="609" t="s">
        <v>973</v>
      </c>
      <c r="C12" s="599">
        <v>1</v>
      </c>
      <c r="D12" s="671" t="s">
        <v>287</v>
      </c>
      <c r="E12" s="600"/>
      <c r="F12" s="601">
        <f>E12*C12</f>
        <v>0</v>
      </c>
      <c r="G12" s="580"/>
      <c r="H12" s="580"/>
      <c r="I12" s="580"/>
      <c r="J12" s="580"/>
      <c r="K12" s="580"/>
      <c r="L12" s="580"/>
      <c r="M12" s="580"/>
      <c r="N12" s="580"/>
      <c r="O12" s="580"/>
      <c r="P12" s="580"/>
    </row>
    <row r="13" spans="1:16" s="669" customFormat="1" ht="13.2">
      <c r="A13" s="590"/>
      <c r="B13" s="609"/>
      <c r="C13" s="599"/>
      <c r="D13" s="671"/>
      <c r="E13" s="600"/>
      <c r="F13" s="601"/>
      <c r="G13" s="580"/>
      <c r="H13" s="580"/>
      <c r="I13" s="580"/>
      <c r="J13" s="580"/>
      <c r="K13" s="580"/>
      <c r="L13" s="580"/>
      <c r="M13" s="580"/>
      <c r="N13" s="580"/>
      <c r="O13" s="580"/>
      <c r="P13" s="580"/>
    </row>
    <row r="14" spans="1:16" s="669" customFormat="1" ht="13.2">
      <c r="A14" s="590"/>
      <c r="B14" s="609"/>
      <c r="C14" s="599"/>
      <c r="D14" s="671"/>
      <c r="E14" s="600"/>
      <c r="F14" s="601"/>
      <c r="G14" s="580"/>
      <c r="H14" s="580"/>
      <c r="I14" s="580"/>
      <c r="J14" s="580"/>
      <c r="K14" s="580"/>
      <c r="L14" s="580"/>
      <c r="M14" s="580"/>
      <c r="N14" s="580"/>
      <c r="O14" s="580"/>
      <c r="P14" s="580"/>
    </row>
    <row r="15" spans="1:16" s="669" customFormat="1" ht="111" customHeight="1">
      <c r="A15" s="590">
        <f>A12+1</f>
        <v>3</v>
      </c>
      <c r="B15" s="609" t="s">
        <v>974</v>
      </c>
      <c r="C15" s="599">
        <v>1</v>
      </c>
      <c r="D15" s="671" t="s">
        <v>287</v>
      </c>
      <c r="E15" s="600"/>
      <c r="F15" s="601">
        <f>E15*C15</f>
        <v>0</v>
      </c>
      <c r="G15" s="580"/>
      <c r="H15" s="580"/>
      <c r="I15" s="580"/>
      <c r="J15" s="580"/>
      <c r="K15" s="580"/>
      <c r="L15" s="580"/>
      <c r="M15" s="580"/>
      <c r="N15" s="580"/>
      <c r="O15" s="580"/>
      <c r="P15" s="580"/>
    </row>
    <row r="16" spans="1:16" s="669" customFormat="1" ht="12.75" customHeight="1">
      <c r="A16" s="590"/>
      <c r="B16" s="666"/>
      <c r="C16" s="599"/>
      <c r="D16" s="671"/>
      <c r="E16" s="600"/>
      <c r="F16" s="601"/>
      <c r="G16" s="580"/>
      <c r="H16" s="580"/>
      <c r="I16" s="580"/>
      <c r="J16" s="580"/>
      <c r="K16" s="580"/>
      <c r="L16" s="580"/>
      <c r="M16" s="580"/>
      <c r="N16" s="580"/>
      <c r="O16" s="580"/>
      <c r="P16" s="580"/>
    </row>
    <row r="17" spans="1:16" s="669" customFormat="1" ht="12.75" customHeight="1">
      <c r="A17" s="590"/>
      <c r="B17" s="666"/>
      <c r="C17" s="599"/>
      <c r="D17" s="671"/>
      <c r="E17" s="600"/>
      <c r="F17" s="601"/>
      <c r="G17" s="580"/>
      <c r="H17" s="580"/>
      <c r="I17" s="580"/>
      <c r="J17" s="580"/>
      <c r="K17" s="580"/>
      <c r="L17" s="580"/>
      <c r="M17" s="580"/>
      <c r="N17" s="580"/>
      <c r="O17" s="580"/>
      <c r="P17" s="580"/>
    </row>
    <row r="18" spans="1:16" s="669" customFormat="1" ht="12.75" customHeight="1">
      <c r="A18" s="590"/>
      <c r="B18" s="666"/>
      <c r="C18" s="599"/>
      <c r="D18" s="671"/>
      <c r="E18" s="600"/>
      <c r="F18" s="601"/>
      <c r="G18" s="580"/>
      <c r="H18" s="580"/>
      <c r="I18" s="580"/>
      <c r="J18" s="580"/>
      <c r="K18" s="580"/>
      <c r="L18" s="580"/>
      <c r="M18" s="580"/>
      <c r="N18" s="580"/>
      <c r="O18" s="580"/>
      <c r="P18" s="580"/>
    </row>
    <row r="19" spans="1:16" s="669" customFormat="1" ht="13.2">
      <c r="A19" s="590"/>
      <c r="B19" s="591"/>
      <c r="C19" s="695"/>
      <c r="D19" s="598"/>
      <c r="E19" s="600"/>
      <c r="F19" s="601"/>
      <c r="G19" s="580"/>
      <c r="H19" s="580"/>
      <c r="I19" s="580"/>
      <c r="J19" s="580"/>
      <c r="K19" s="580"/>
      <c r="L19" s="580"/>
      <c r="M19" s="580"/>
      <c r="N19" s="580"/>
      <c r="O19" s="580"/>
      <c r="P19" s="580"/>
    </row>
    <row r="20" spans="1:16" s="669" customFormat="1" ht="13.2">
      <c r="A20" s="590"/>
      <c r="B20" s="591"/>
      <c r="C20" s="695"/>
      <c r="D20" s="598"/>
      <c r="E20" s="600"/>
      <c r="F20" s="601"/>
      <c r="G20" s="580"/>
      <c r="H20" s="580"/>
      <c r="I20" s="580"/>
      <c r="J20" s="580"/>
      <c r="K20" s="580"/>
      <c r="L20" s="580"/>
      <c r="M20" s="580"/>
      <c r="N20" s="580"/>
      <c r="O20" s="580"/>
      <c r="P20" s="580"/>
    </row>
    <row r="21" spans="1:16" s="669" customFormat="1" ht="13.2">
      <c r="A21" s="590"/>
      <c r="B21" s="591"/>
      <c r="C21" s="695"/>
      <c r="D21" s="598"/>
      <c r="E21" s="600"/>
      <c r="F21" s="601"/>
      <c r="G21" s="580"/>
      <c r="H21" s="580"/>
      <c r="I21" s="580"/>
      <c r="J21" s="580"/>
      <c r="K21" s="580"/>
      <c r="L21" s="580"/>
      <c r="M21" s="580"/>
      <c r="N21" s="580"/>
      <c r="O21" s="580"/>
      <c r="P21" s="580"/>
    </row>
    <row r="22" spans="1:16" s="669" customFormat="1" ht="13.2">
      <c r="A22" s="590"/>
      <c r="B22" s="591"/>
      <c r="C22" s="695"/>
      <c r="D22" s="598"/>
      <c r="E22" s="600"/>
      <c r="F22" s="601"/>
      <c r="G22" s="580"/>
      <c r="H22" s="580"/>
      <c r="I22" s="580"/>
      <c r="J22" s="580"/>
      <c r="K22" s="580"/>
      <c r="L22" s="580"/>
      <c r="M22" s="580"/>
      <c r="N22" s="580"/>
      <c r="O22" s="580"/>
      <c r="P22" s="580"/>
    </row>
    <row r="23" spans="1:16" s="669" customFormat="1" ht="13.2">
      <c r="A23" s="590"/>
      <c r="B23" s="591"/>
      <c r="C23" s="695"/>
      <c r="D23" s="598"/>
      <c r="E23" s="600"/>
      <c r="F23" s="601"/>
      <c r="G23" s="580"/>
      <c r="H23" s="580"/>
      <c r="I23" s="580"/>
      <c r="J23" s="580"/>
      <c r="K23" s="580"/>
      <c r="L23" s="580"/>
      <c r="M23" s="580"/>
      <c r="N23" s="580"/>
      <c r="O23" s="580"/>
      <c r="P23" s="580"/>
    </row>
    <row r="24" spans="1:16" s="669" customFormat="1" ht="13.2">
      <c r="A24" s="590"/>
      <c r="B24" s="591"/>
      <c r="C24" s="695"/>
      <c r="D24" s="598"/>
      <c r="E24" s="600"/>
      <c r="F24" s="601"/>
      <c r="G24" s="580"/>
      <c r="H24" s="580"/>
      <c r="I24" s="580"/>
      <c r="J24" s="580"/>
      <c r="K24" s="580"/>
      <c r="L24" s="580"/>
      <c r="M24" s="580"/>
      <c r="N24" s="580"/>
      <c r="O24" s="580"/>
      <c r="P24" s="580"/>
    </row>
    <row r="25" spans="1:16" s="669" customFormat="1" ht="13.2">
      <c r="A25" s="590"/>
      <c r="B25" s="591"/>
      <c r="C25" s="695"/>
      <c r="D25" s="598"/>
      <c r="E25" s="600"/>
      <c r="F25" s="601"/>
      <c r="G25" s="580"/>
      <c r="H25" s="580"/>
      <c r="I25" s="580"/>
      <c r="J25" s="580"/>
      <c r="K25" s="580"/>
      <c r="L25" s="580"/>
      <c r="M25" s="580"/>
      <c r="N25" s="580"/>
      <c r="O25" s="580"/>
      <c r="P25" s="580"/>
    </row>
    <row r="26" spans="1:16" s="669" customFormat="1" ht="13.2">
      <c r="A26" s="590"/>
      <c r="B26" s="591"/>
      <c r="C26" s="695"/>
      <c r="D26" s="598"/>
      <c r="E26" s="600"/>
      <c r="F26" s="601"/>
      <c r="G26" s="580"/>
      <c r="H26" s="580"/>
      <c r="I26" s="580"/>
      <c r="J26" s="580"/>
      <c r="K26" s="580"/>
      <c r="L26" s="580"/>
      <c r="M26" s="580"/>
      <c r="N26" s="580"/>
      <c r="O26" s="580"/>
      <c r="P26" s="580"/>
    </row>
    <row r="27" spans="1:16" s="669" customFormat="1" ht="13.2">
      <c r="A27" s="590"/>
      <c r="B27" s="591"/>
      <c r="C27" s="695"/>
      <c r="D27" s="598"/>
      <c r="E27" s="600"/>
      <c r="F27" s="601"/>
      <c r="G27" s="580"/>
      <c r="H27" s="580"/>
      <c r="I27" s="580"/>
      <c r="J27" s="580"/>
      <c r="K27" s="580"/>
      <c r="L27" s="580"/>
      <c r="M27" s="580"/>
      <c r="N27" s="580"/>
      <c r="O27" s="580"/>
      <c r="P27" s="580"/>
    </row>
    <row r="28" spans="1:16" s="669" customFormat="1" ht="13.2">
      <c r="A28" s="590"/>
      <c r="B28" s="591"/>
      <c r="C28" s="695"/>
      <c r="D28" s="598"/>
      <c r="E28" s="600"/>
      <c r="F28" s="601"/>
      <c r="G28" s="580"/>
      <c r="H28" s="580"/>
      <c r="I28" s="580"/>
      <c r="J28" s="580"/>
      <c r="K28" s="580"/>
      <c r="L28" s="580"/>
      <c r="M28" s="580"/>
      <c r="N28" s="580"/>
      <c r="O28" s="580"/>
      <c r="P28" s="580"/>
    </row>
    <row r="29" spans="1:16" s="669" customFormat="1" ht="13.2">
      <c r="A29" s="590"/>
      <c r="B29" s="591"/>
      <c r="C29" s="695"/>
      <c r="D29" s="598"/>
      <c r="E29" s="600"/>
      <c r="F29" s="601"/>
      <c r="G29" s="580"/>
      <c r="H29" s="580"/>
      <c r="I29" s="580"/>
      <c r="J29" s="580"/>
      <c r="K29" s="580"/>
      <c r="L29" s="580"/>
      <c r="M29" s="580"/>
      <c r="N29" s="580"/>
      <c r="O29" s="580"/>
      <c r="P29" s="580"/>
    </row>
    <row r="30" spans="1:16" s="669" customFormat="1" ht="13.2">
      <c r="A30" s="590"/>
      <c r="B30" s="591"/>
      <c r="C30" s="695"/>
      <c r="D30" s="598"/>
      <c r="E30" s="600"/>
      <c r="F30" s="601"/>
      <c r="G30" s="580"/>
      <c r="H30" s="580"/>
      <c r="I30" s="580"/>
      <c r="J30" s="580"/>
      <c r="K30" s="580"/>
      <c r="L30" s="580"/>
      <c r="M30" s="580"/>
      <c r="N30" s="580"/>
      <c r="O30" s="580"/>
      <c r="P30" s="580"/>
    </row>
    <row r="31" spans="1:16" s="669" customFormat="1" ht="13.2">
      <c r="A31" s="590"/>
      <c r="B31" s="591"/>
      <c r="C31" s="695"/>
      <c r="D31" s="598"/>
      <c r="E31" s="600"/>
      <c r="F31" s="601"/>
      <c r="G31" s="580"/>
      <c r="H31" s="580"/>
      <c r="I31" s="580"/>
      <c r="J31" s="580"/>
      <c r="K31" s="580"/>
      <c r="L31" s="580"/>
      <c r="M31" s="580"/>
      <c r="N31" s="580"/>
      <c r="O31" s="580"/>
      <c r="P31" s="580"/>
    </row>
    <row r="32" spans="1:16" s="669" customFormat="1" ht="13.2">
      <c r="A32" s="590"/>
      <c r="B32" s="591"/>
      <c r="C32" s="695"/>
      <c r="D32" s="598"/>
      <c r="E32" s="600"/>
      <c r="F32" s="601"/>
      <c r="G32" s="580"/>
      <c r="H32" s="580"/>
      <c r="I32" s="580"/>
      <c r="J32" s="580"/>
      <c r="K32" s="580"/>
      <c r="L32" s="580"/>
      <c r="M32" s="580"/>
      <c r="N32" s="580"/>
      <c r="O32" s="580"/>
      <c r="P32" s="580"/>
    </row>
    <row r="33" spans="1:16" s="669" customFormat="1" ht="13.2">
      <c r="A33" s="590"/>
      <c r="B33" s="591"/>
      <c r="C33" s="695"/>
      <c r="D33" s="598"/>
      <c r="E33" s="600"/>
      <c r="F33" s="601"/>
      <c r="G33" s="580"/>
      <c r="H33" s="580"/>
      <c r="I33" s="580"/>
      <c r="J33" s="580"/>
      <c r="K33" s="580"/>
      <c r="L33" s="580"/>
      <c r="M33" s="580"/>
      <c r="N33" s="580"/>
      <c r="O33" s="580"/>
      <c r="P33" s="580"/>
    </row>
    <row r="34" spans="1:16" s="669" customFormat="1" ht="13.2">
      <c r="A34" s="590"/>
      <c r="B34" s="591"/>
      <c r="C34" s="599"/>
      <c r="D34" s="671"/>
      <c r="E34" s="600"/>
      <c r="F34" s="601"/>
      <c r="G34" s="580"/>
      <c r="H34" s="580"/>
      <c r="I34" s="580"/>
      <c r="J34" s="580"/>
      <c r="K34" s="580"/>
      <c r="L34" s="580"/>
      <c r="M34" s="580"/>
      <c r="N34" s="580"/>
      <c r="O34" s="580"/>
      <c r="P34" s="580"/>
    </row>
    <row r="35" spans="1:16" s="669" customFormat="1" ht="13.2">
      <c r="A35" s="590"/>
      <c r="B35" s="591"/>
      <c r="C35" s="695"/>
      <c r="D35" s="598"/>
      <c r="E35" s="600"/>
      <c r="F35" s="601"/>
      <c r="G35" s="580"/>
      <c r="H35" s="580"/>
      <c r="I35" s="580"/>
      <c r="J35" s="580"/>
      <c r="K35" s="580"/>
      <c r="L35" s="580"/>
      <c r="M35" s="580"/>
      <c r="N35" s="580"/>
      <c r="O35" s="580"/>
      <c r="P35" s="580"/>
    </row>
    <row r="36" spans="1:16" s="669" customFormat="1" ht="13.2">
      <c r="A36" s="590"/>
      <c r="B36" s="591"/>
      <c r="C36" s="695"/>
      <c r="D36" s="598"/>
      <c r="E36" s="600"/>
      <c r="F36" s="601"/>
      <c r="G36" s="580"/>
      <c r="H36" s="580"/>
      <c r="I36" s="580"/>
      <c r="J36" s="580"/>
      <c r="K36" s="580"/>
      <c r="L36" s="580"/>
      <c r="M36" s="580"/>
      <c r="N36" s="580"/>
      <c r="O36" s="580"/>
      <c r="P36" s="580"/>
    </row>
    <row r="37" spans="1:16" s="669" customFormat="1" ht="13.2">
      <c r="A37" s="590"/>
      <c r="B37" s="591"/>
      <c r="C37" s="670"/>
      <c r="D37" s="592"/>
      <c r="E37" s="594"/>
      <c r="F37" s="595"/>
      <c r="G37" s="580"/>
      <c r="H37" s="580"/>
      <c r="I37" s="580"/>
      <c r="J37" s="580"/>
      <c r="K37" s="580"/>
      <c r="L37" s="580"/>
      <c r="M37" s="580"/>
      <c r="N37" s="580"/>
      <c r="O37" s="580"/>
      <c r="P37" s="580"/>
    </row>
    <row r="38" spans="1:16" s="669" customFormat="1" ht="13.2">
      <c r="A38" s="590"/>
      <c r="B38" s="591"/>
      <c r="C38" s="670"/>
      <c r="D38" s="592"/>
      <c r="E38" s="594"/>
      <c r="F38" s="595"/>
      <c r="G38" s="580"/>
      <c r="H38" s="580"/>
      <c r="I38" s="580"/>
      <c r="J38" s="580"/>
      <c r="K38" s="580"/>
      <c r="L38" s="580"/>
      <c r="M38" s="580"/>
      <c r="N38" s="580"/>
      <c r="O38" s="580"/>
      <c r="P38" s="580"/>
    </row>
    <row r="39" spans="1:16" s="669" customFormat="1" ht="13.2">
      <c r="A39" s="590"/>
      <c r="B39" s="591"/>
      <c r="C39" s="670"/>
      <c r="D39" s="592"/>
      <c r="E39" s="594"/>
      <c r="F39" s="595"/>
      <c r="G39" s="580"/>
      <c r="H39" s="580"/>
      <c r="I39" s="580"/>
      <c r="J39" s="580"/>
      <c r="K39" s="580"/>
      <c r="L39" s="580"/>
      <c r="M39" s="580"/>
      <c r="N39" s="580"/>
      <c r="O39" s="580"/>
      <c r="P39" s="580"/>
    </row>
    <row r="40" spans="1:16" s="669" customFormat="1" ht="13.8" thickBot="1">
      <c r="A40" s="590"/>
      <c r="B40" s="591"/>
      <c r="C40" s="670"/>
      <c r="D40" s="592"/>
      <c r="E40" s="594"/>
      <c r="F40" s="595"/>
      <c r="G40" s="580"/>
      <c r="H40" s="580"/>
      <c r="I40" s="580"/>
      <c r="J40" s="580"/>
      <c r="K40" s="580"/>
      <c r="L40" s="580"/>
      <c r="M40" s="580"/>
      <c r="N40" s="580"/>
      <c r="O40" s="580"/>
      <c r="P40" s="580"/>
    </row>
    <row r="41" spans="1:16" s="669" customFormat="1" ht="13.2">
      <c r="A41" s="612"/>
      <c r="B41" s="613"/>
      <c r="C41" s="675"/>
      <c r="D41" s="614"/>
      <c r="E41" s="616"/>
      <c r="F41" s="617"/>
      <c r="G41" s="580"/>
      <c r="H41" s="580"/>
      <c r="I41" s="580"/>
      <c r="J41" s="580"/>
      <c r="K41" s="580"/>
      <c r="L41" s="580"/>
      <c r="M41" s="580"/>
      <c r="N41" s="580"/>
      <c r="O41" s="580"/>
      <c r="P41" s="580"/>
    </row>
    <row r="42" spans="1:16" s="669" customFormat="1" ht="13.2">
      <c r="A42" s="618" t="s">
        <v>310</v>
      </c>
      <c r="B42" s="619" t="s">
        <v>289</v>
      </c>
      <c r="C42" s="676"/>
      <c r="D42" s="620"/>
      <c r="E42" s="622"/>
      <c r="F42" s="623">
        <f>SUM(F7:F40)</f>
        <v>0</v>
      </c>
      <c r="G42" s="580"/>
      <c r="H42" s="580"/>
      <c r="I42" s="580"/>
      <c r="J42" s="580"/>
      <c r="K42" s="580"/>
      <c r="L42" s="580"/>
      <c r="M42" s="580"/>
      <c r="N42" s="580"/>
      <c r="O42" s="580"/>
      <c r="P42" s="580"/>
    </row>
    <row r="43" spans="1:16" s="669" customFormat="1" ht="13.2">
      <c r="A43" s="624"/>
      <c r="B43" s="625"/>
      <c r="C43" s="626"/>
      <c r="D43" s="626"/>
      <c r="E43" s="628"/>
      <c r="F43" s="629"/>
      <c r="G43" s="580"/>
      <c r="H43" s="580"/>
      <c r="I43" s="580"/>
      <c r="J43" s="580"/>
      <c r="K43" s="580"/>
      <c r="L43" s="580"/>
      <c r="M43" s="580"/>
      <c r="N43" s="580"/>
      <c r="O43" s="580"/>
      <c r="P43" s="580"/>
    </row>
    <row r="45" spans="1:16">
      <c r="F45" s="633"/>
    </row>
    <row r="47" spans="1:16">
      <c r="A47" s="630" t="s">
        <v>151</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97188-8BE0-491F-9FB7-30B06176F65F}">
  <dimension ref="A1:Q59"/>
  <sheetViews>
    <sheetView workbookViewId="0">
      <selection activeCell="C40" sqref="C40"/>
    </sheetView>
  </sheetViews>
  <sheetFormatPr defaultColWidth="8.88671875" defaultRowHeight="14.4"/>
  <cols>
    <col min="1" max="1" width="7.6640625" style="630" customWidth="1"/>
    <col min="2" max="2" width="2.6640625" style="630" customWidth="1"/>
    <col min="3" max="3" width="48.6640625" style="573" customWidth="1"/>
    <col min="4" max="4" width="7.6640625" style="573" customWidth="1"/>
    <col min="5" max="5" width="5.6640625" style="631" customWidth="1"/>
    <col min="6" max="6" width="10.33203125" style="632" customWidth="1"/>
    <col min="7" max="7" width="12.109375" style="632" customWidth="1"/>
    <col min="8" max="16384" width="8.88671875" style="573"/>
  </cols>
  <sheetData>
    <row r="1" spans="1:17" ht="17.399999999999999">
      <c r="A1" s="1109" t="s">
        <v>273</v>
      </c>
      <c r="B1" s="1095"/>
      <c r="C1" s="569"/>
      <c r="D1" s="569"/>
      <c r="E1" s="570"/>
      <c r="F1" s="571"/>
      <c r="G1" s="572"/>
    </row>
    <row r="2" spans="1:17">
      <c r="A2" s="634" t="s">
        <v>975</v>
      </c>
      <c r="B2" s="1096"/>
      <c r="C2" s="668"/>
      <c r="D2" s="575"/>
      <c r="E2" s="576"/>
      <c r="F2" s="577"/>
      <c r="G2" s="578"/>
    </row>
    <row r="3" spans="1:17">
      <c r="A3" s="574"/>
      <c r="B3" s="1096"/>
      <c r="C3" s="575"/>
      <c r="D3" s="575"/>
      <c r="E3" s="576"/>
      <c r="F3" s="577"/>
      <c r="G3" s="578"/>
    </row>
    <row r="4" spans="1:17">
      <c r="A4" s="579"/>
      <c r="B4" s="1097"/>
      <c r="C4" s="580"/>
      <c r="D4" s="580"/>
      <c r="E4" s="581"/>
      <c r="F4" s="582"/>
      <c r="G4" s="583"/>
    </row>
    <row r="5" spans="1:17" ht="15" thickBot="1">
      <c r="A5" s="584" t="s">
        <v>276</v>
      </c>
      <c r="B5" s="1098" t="s">
        <v>887</v>
      </c>
      <c r="C5" s="585"/>
      <c r="D5" s="586" t="s">
        <v>266</v>
      </c>
      <c r="E5" s="587" t="s">
        <v>277</v>
      </c>
      <c r="F5" s="588" t="s">
        <v>278</v>
      </c>
      <c r="G5" s="589" t="s">
        <v>267</v>
      </c>
    </row>
    <row r="6" spans="1:17" s="669" customFormat="1" ht="13.2">
      <c r="A6" s="590"/>
      <c r="B6" s="592"/>
      <c r="D6" s="592"/>
      <c r="E6" s="670"/>
      <c r="F6" s="594"/>
      <c r="G6" s="595"/>
      <c r="H6" s="580"/>
      <c r="I6" s="580"/>
      <c r="J6" s="580"/>
      <c r="K6" s="580"/>
      <c r="L6" s="580"/>
      <c r="M6" s="580"/>
      <c r="N6" s="580"/>
      <c r="O6" s="580"/>
      <c r="P6" s="580"/>
      <c r="Q6" s="580"/>
    </row>
    <row r="7" spans="1:17" s="669" customFormat="1" ht="39.6">
      <c r="A7" s="590">
        <v>1</v>
      </c>
      <c r="B7" s="592"/>
      <c r="C7" s="609" t="s">
        <v>976</v>
      </c>
      <c r="D7" s="671" t="s">
        <v>977</v>
      </c>
      <c r="E7" s="599">
        <v>3</v>
      </c>
      <c r="F7" s="600"/>
      <c r="G7" s="601">
        <f>F7*E7</f>
        <v>0</v>
      </c>
      <c r="H7" s="580"/>
      <c r="I7" s="580"/>
      <c r="J7" s="580"/>
      <c r="K7" s="580"/>
      <c r="L7" s="580"/>
      <c r="M7" s="580"/>
      <c r="N7" s="580"/>
      <c r="O7" s="580"/>
      <c r="P7" s="580"/>
      <c r="Q7" s="580"/>
    </row>
    <row r="8" spans="1:17" s="669" customFormat="1" ht="13.2">
      <c r="A8" s="590"/>
      <c r="B8" s="592"/>
      <c r="C8" s="609"/>
      <c r="D8" s="671"/>
      <c r="E8" s="599"/>
      <c r="F8" s="600"/>
      <c r="G8" s="601"/>
      <c r="H8" s="580"/>
      <c r="I8" s="580"/>
      <c r="J8" s="580"/>
      <c r="K8" s="580"/>
      <c r="L8" s="580"/>
      <c r="M8" s="580"/>
      <c r="N8" s="580"/>
      <c r="O8" s="580"/>
      <c r="P8" s="580"/>
      <c r="Q8" s="580"/>
    </row>
    <row r="9" spans="1:17" s="669" customFormat="1" ht="13.2">
      <c r="A9" s="590"/>
      <c r="B9" s="592"/>
      <c r="C9" s="609"/>
      <c r="D9" s="671"/>
      <c r="E9" s="599"/>
      <c r="F9" s="600"/>
      <c r="G9" s="601"/>
      <c r="H9" s="580"/>
      <c r="I9" s="580"/>
      <c r="J9" s="580"/>
      <c r="K9" s="580"/>
      <c r="L9" s="580"/>
      <c r="M9" s="580"/>
      <c r="N9" s="580"/>
      <c r="O9" s="580"/>
      <c r="P9" s="580"/>
      <c r="Q9" s="580"/>
    </row>
    <row r="10" spans="1:17" s="669" customFormat="1" ht="39.6">
      <c r="A10" s="590">
        <f>A7+1</f>
        <v>2</v>
      </c>
      <c r="B10" s="592"/>
      <c r="C10" s="609" t="s">
        <v>978</v>
      </c>
      <c r="D10" s="671" t="s">
        <v>384</v>
      </c>
      <c r="E10" s="599">
        <v>1</v>
      </c>
      <c r="F10" s="600"/>
      <c r="G10" s="1106" t="s">
        <v>384</v>
      </c>
      <c r="H10" s="580"/>
      <c r="I10" s="580"/>
      <c r="J10" s="580"/>
      <c r="K10" s="580"/>
      <c r="L10" s="580"/>
      <c r="M10" s="580"/>
      <c r="N10" s="580"/>
      <c r="O10" s="580"/>
      <c r="P10" s="580"/>
      <c r="Q10" s="580"/>
    </row>
    <row r="11" spans="1:17" s="669" customFormat="1" ht="13.2">
      <c r="A11" s="590"/>
      <c r="B11" s="592"/>
      <c r="C11" s="609"/>
      <c r="D11" s="671"/>
      <c r="E11" s="599"/>
      <c r="F11" s="1107"/>
      <c r="G11" s="1108"/>
      <c r="H11" s="580"/>
      <c r="I11" s="580"/>
      <c r="J11" s="580"/>
      <c r="K11" s="580"/>
      <c r="L11" s="580"/>
      <c r="M11" s="580"/>
      <c r="N11" s="580"/>
      <c r="O11" s="580"/>
      <c r="P11" s="580"/>
      <c r="Q11" s="580"/>
    </row>
    <row r="12" spans="1:17" s="669" customFormat="1" ht="13.2">
      <c r="A12" s="590"/>
      <c r="B12" s="592"/>
      <c r="C12" s="609"/>
      <c r="D12" s="674"/>
      <c r="E12" s="593"/>
      <c r="F12" s="1099"/>
      <c r="G12" s="1100"/>
      <c r="H12" s="580"/>
      <c r="I12" s="580"/>
      <c r="J12" s="580"/>
      <c r="K12" s="580"/>
      <c r="L12" s="580"/>
      <c r="M12" s="580"/>
      <c r="N12" s="580"/>
      <c r="O12" s="580"/>
      <c r="P12" s="580"/>
      <c r="Q12" s="580"/>
    </row>
    <row r="13" spans="1:17" s="669" customFormat="1" ht="12.75" customHeight="1">
      <c r="A13" s="590"/>
      <c r="B13" s="592"/>
      <c r="C13" s="666"/>
      <c r="D13" s="674"/>
      <c r="E13" s="593"/>
      <c r="F13" s="594"/>
      <c r="G13" s="595"/>
      <c r="H13" s="580"/>
      <c r="I13" s="580"/>
      <c r="J13" s="580"/>
      <c r="K13" s="580"/>
      <c r="L13" s="580"/>
      <c r="M13" s="580"/>
      <c r="N13" s="580"/>
      <c r="O13" s="580"/>
      <c r="P13" s="580"/>
      <c r="Q13" s="580"/>
    </row>
    <row r="14" spans="1:17" s="669" customFormat="1" ht="12.75" customHeight="1">
      <c r="A14" s="590"/>
      <c r="B14" s="592"/>
      <c r="C14" s="666"/>
      <c r="D14" s="674"/>
      <c r="E14" s="593"/>
      <c r="F14" s="594"/>
      <c r="G14" s="595"/>
      <c r="H14" s="580"/>
      <c r="I14" s="580"/>
      <c r="J14" s="580"/>
      <c r="K14" s="580"/>
      <c r="L14" s="580"/>
      <c r="M14" s="580"/>
      <c r="N14" s="580"/>
      <c r="O14" s="580"/>
      <c r="P14" s="580"/>
      <c r="Q14" s="580"/>
    </row>
    <row r="15" spans="1:17" s="669" customFormat="1" ht="12.75" customHeight="1">
      <c r="A15" s="590"/>
      <c r="B15" s="592"/>
      <c r="C15" s="666"/>
      <c r="D15" s="674"/>
      <c r="E15" s="593"/>
      <c r="F15" s="594"/>
      <c r="G15" s="595"/>
      <c r="H15" s="580"/>
      <c r="I15" s="580"/>
      <c r="J15" s="580"/>
      <c r="K15" s="580"/>
      <c r="L15" s="580"/>
      <c r="M15" s="580"/>
      <c r="N15" s="580"/>
      <c r="O15" s="580"/>
      <c r="P15" s="580"/>
      <c r="Q15" s="580"/>
    </row>
    <row r="16" spans="1:17" s="669" customFormat="1" ht="13.2">
      <c r="A16" s="590"/>
      <c r="B16" s="592"/>
      <c r="C16" s="591"/>
      <c r="D16" s="592"/>
      <c r="E16" s="670"/>
      <c r="F16" s="594"/>
      <c r="G16" s="595"/>
      <c r="H16" s="580"/>
      <c r="I16" s="580"/>
      <c r="J16" s="580"/>
      <c r="K16" s="580"/>
      <c r="L16" s="580"/>
      <c r="M16" s="580"/>
      <c r="N16" s="580"/>
      <c r="O16" s="580"/>
      <c r="P16" s="580"/>
      <c r="Q16" s="580"/>
    </row>
    <row r="17" spans="1:17" s="669" customFormat="1" ht="13.2">
      <c r="A17" s="590"/>
      <c r="B17" s="592"/>
      <c r="C17" s="591"/>
      <c r="D17" s="592"/>
      <c r="E17" s="670"/>
      <c r="F17" s="594"/>
      <c r="G17" s="595"/>
      <c r="H17" s="580"/>
      <c r="I17" s="580"/>
      <c r="J17" s="580"/>
      <c r="K17" s="580"/>
      <c r="L17" s="580"/>
      <c r="M17" s="580"/>
      <c r="N17" s="580"/>
      <c r="O17" s="580"/>
      <c r="P17" s="580"/>
      <c r="Q17" s="580"/>
    </row>
    <row r="18" spans="1:17" s="669" customFormat="1" ht="13.2">
      <c r="A18" s="590"/>
      <c r="B18" s="592"/>
      <c r="C18" s="591"/>
      <c r="D18" s="592"/>
      <c r="E18" s="670"/>
      <c r="F18" s="594"/>
      <c r="G18" s="595"/>
      <c r="H18" s="580"/>
      <c r="I18" s="580"/>
      <c r="J18" s="580"/>
      <c r="K18" s="580"/>
      <c r="L18" s="580"/>
      <c r="M18" s="580"/>
      <c r="N18" s="580"/>
      <c r="O18" s="580"/>
      <c r="P18" s="580"/>
      <c r="Q18" s="580"/>
    </row>
    <row r="19" spans="1:17" s="669" customFormat="1" ht="13.2">
      <c r="A19" s="590"/>
      <c r="B19" s="592"/>
      <c r="C19" s="591"/>
      <c r="D19" s="592"/>
      <c r="E19" s="670"/>
      <c r="F19" s="594"/>
      <c r="G19" s="595"/>
      <c r="H19" s="580"/>
      <c r="I19" s="580"/>
      <c r="J19" s="580"/>
      <c r="K19" s="580"/>
      <c r="L19" s="580"/>
      <c r="M19" s="580"/>
      <c r="N19" s="580"/>
      <c r="O19" s="580"/>
      <c r="P19" s="580"/>
      <c r="Q19" s="580"/>
    </row>
    <row r="20" spans="1:17" s="669" customFormat="1" ht="13.2">
      <c r="A20" s="590"/>
      <c r="B20" s="592"/>
      <c r="C20" s="591"/>
      <c r="D20" s="592"/>
      <c r="E20" s="670"/>
      <c r="F20" s="594"/>
      <c r="G20" s="595"/>
      <c r="H20" s="580"/>
      <c r="I20" s="580"/>
      <c r="J20" s="580"/>
      <c r="K20" s="580"/>
      <c r="L20" s="580"/>
      <c r="M20" s="580"/>
      <c r="N20" s="580"/>
      <c r="O20" s="580"/>
      <c r="P20" s="580"/>
      <c r="Q20" s="580"/>
    </row>
    <row r="21" spans="1:17" s="669" customFormat="1" ht="13.2">
      <c r="A21" s="590"/>
      <c r="B21" s="592"/>
      <c r="C21" s="591"/>
      <c r="D21" s="592"/>
      <c r="E21" s="670"/>
      <c r="F21" s="594"/>
      <c r="G21" s="595"/>
      <c r="H21" s="580"/>
      <c r="I21" s="580"/>
      <c r="J21" s="580"/>
      <c r="K21" s="580"/>
      <c r="L21" s="580"/>
      <c r="M21" s="580"/>
      <c r="N21" s="580"/>
      <c r="O21" s="580"/>
      <c r="P21" s="580"/>
      <c r="Q21" s="580"/>
    </row>
    <row r="22" spans="1:17" s="669" customFormat="1" ht="13.2">
      <c r="A22" s="590"/>
      <c r="B22" s="592"/>
      <c r="C22" s="591"/>
      <c r="D22" s="592"/>
      <c r="E22" s="670"/>
      <c r="F22" s="594"/>
      <c r="G22" s="595"/>
      <c r="H22" s="580"/>
      <c r="I22" s="580"/>
      <c r="J22" s="580"/>
      <c r="K22" s="580"/>
      <c r="L22" s="580"/>
      <c r="M22" s="580"/>
      <c r="N22" s="580"/>
      <c r="O22" s="580"/>
      <c r="P22" s="580"/>
      <c r="Q22" s="580"/>
    </row>
    <row r="23" spans="1:17" s="669" customFormat="1" ht="13.2">
      <c r="A23" s="590"/>
      <c r="B23" s="592"/>
      <c r="C23" s="591"/>
      <c r="D23" s="592"/>
      <c r="E23" s="670"/>
      <c r="F23" s="594"/>
      <c r="G23" s="595"/>
      <c r="H23" s="580"/>
      <c r="I23" s="580"/>
      <c r="J23" s="580"/>
      <c r="K23" s="580"/>
      <c r="L23" s="580"/>
      <c r="M23" s="580"/>
      <c r="N23" s="580"/>
      <c r="O23" s="580"/>
      <c r="P23" s="580"/>
      <c r="Q23" s="580"/>
    </row>
    <row r="24" spans="1:17" s="669" customFormat="1" ht="13.2">
      <c r="A24" s="590"/>
      <c r="B24" s="592"/>
      <c r="C24" s="591"/>
      <c r="D24" s="592"/>
      <c r="E24" s="670"/>
      <c r="F24" s="594"/>
      <c r="G24" s="595"/>
      <c r="H24" s="580"/>
      <c r="I24" s="580"/>
      <c r="J24" s="580"/>
      <c r="K24" s="580"/>
      <c r="L24" s="580"/>
      <c r="M24" s="580"/>
      <c r="N24" s="580"/>
      <c r="O24" s="580"/>
      <c r="P24" s="580"/>
      <c r="Q24" s="580"/>
    </row>
    <row r="25" spans="1:17" s="669" customFormat="1" ht="13.2">
      <c r="A25" s="590"/>
      <c r="B25" s="592"/>
      <c r="C25" s="591"/>
      <c r="D25" s="592"/>
      <c r="E25" s="670"/>
      <c r="F25" s="594"/>
      <c r="G25" s="595"/>
      <c r="H25" s="580"/>
      <c r="I25" s="580"/>
      <c r="J25" s="580"/>
      <c r="K25" s="580"/>
      <c r="L25" s="580"/>
      <c r="M25" s="580"/>
      <c r="N25" s="580"/>
      <c r="O25" s="580"/>
      <c r="P25" s="580"/>
      <c r="Q25" s="580"/>
    </row>
    <row r="26" spans="1:17" s="669" customFormat="1" ht="13.2">
      <c r="A26" s="590"/>
      <c r="B26" s="592"/>
      <c r="C26" s="591"/>
      <c r="D26" s="592"/>
      <c r="E26" s="670"/>
      <c r="F26" s="594"/>
      <c r="G26" s="595"/>
      <c r="H26" s="580"/>
      <c r="I26" s="580"/>
      <c r="J26" s="580"/>
      <c r="K26" s="580"/>
      <c r="L26" s="580"/>
      <c r="M26" s="580"/>
      <c r="N26" s="580"/>
      <c r="O26" s="580"/>
      <c r="P26" s="580"/>
      <c r="Q26" s="580"/>
    </row>
    <row r="27" spans="1:17" s="669" customFormat="1" ht="13.2">
      <c r="A27" s="590"/>
      <c r="B27" s="592"/>
      <c r="C27" s="591"/>
      <c r="D27" s="592"/>
      <c r="E27" s="670"/>
      <c r="F27" s="594"/>
      <c r="G27" s="595"/>
      <c r="H27" s="580"/>
      <c r="I27" s="580"/>
      <c r="J27" s="580"/>
      <c r="K27" s="580"/>
      <c r="L27" s="580"/>
      <c r="M27" s="580"/>
      <c r="N27" s="580"/>
      <c r="O27" s="580"/>
      <c r="P27" s="580"/>
      <c r="Q27" s="580"/>
    </row>
    <row r="28" spans="1:17" s="669" customFormat="1" ht="13.2">
      <c r="A28" s="590"/>
      <c r="B28" s="592"/>
      <c r="C28" s="591"/>
      <c r="D28" s="674"/>
      <c r="E28" s="593"/>
      <c r="F28" s="594"/>
      <c r="G28" s="595"/>
      <c r="H28" s="580"/>
      <c r="I28" s="580"/>
      <c r="J28" s="580"/>
      <c r="K28" s="580"/>
      <c r="L28" s="580"/>
      <c r="M28" s="580"/>
      <c r="N28" s="580"/>
      <c r="O28" s="580"/>
      <c r="P28" s="580"/>
      <c r="Q28" s="580"/>
    </row>
    <row r="29" spans="1:17" s="669" customFormat="1" ht="13.2">
      <c r="A29" s="590"/>
      <c r="B29" s="592"/>
      <c r="C29" s="591"/>
      <c r="D29" s="592"/>
      <c r="E29" s="670"/>
      <c r="F29" s="594"/>
      <c r="G29" s="595"/>
      <c r="H29" s="580"/>
      <c r="I29" s="580"/>
      <c r="J29" s="580"/>
      <c r="K29" s="580"/>
      <c r="L29" s="580"/>
      <c r="M29" s="580"/>
      <c r="N29" s="580"/>
      <c r="O29" s="580"/>
      <c r="P29" s="580"/>
      <c r="Q29" s="580"/>
    </row>
    <row r="30" spans="1:17" s="669" customFormat="1" ht="13.2">
      <c r="A30" s="590"/>
      <c r="B30" s="592"/>
      <c r="C30" s="591"/>
      <c r="D30" s="592"/>
      <c r="E30" s="670"/>
      <c r="F30" s="594"/>
      <c r="G30" s="595"/>
      <c r="H30" s="580"/>
      <c r="I30" s="580"/>
      <c r="J30" s="580"/>
      <c r="K30" s="580"/>
      <c r="L30" s="580"/>
      <c r="M30" s="580"/>
      <c r="N30" s="580"/>
      <c r="O30" s="580"/>
      <c r="P30" s="580"/>
      <c r="Q30" s="580"/>
    </row>
    <row r="31" spans="1:17" s="669" customFormat="1" ht="13.2">
      <c r="A31" s="590"/>
      <c r="B31" s="592"/>
      <c r="C31" s="591"/>
      <c r="D31" s="592"/>
      <c r="E31" s="670"/>
      <c r="F31" s="594"/>
      <c r="G31" s="595"/>
      <c r="H31" s="580"/>
      <c r="I31" s="580"/>
      <c r="J31" s="580"/>
      <c r="K31" s="580"/>
      <c r="L31" s="580"/>
      <c r="M31" s="580"/>
      <c r="N31" s="580"/>
      <c r="O31" s="580"/>
      <c r="P31" s="580"/>
      <c r="Q31" s="580"/>
    </row>
    <row r="32" spans="1:17" s="669" customFormat="1" ht="13.2">
      <c r="A32" s="590"/>
      <c r="B32" s="592"/>
      <c r="C32" s="591"/>
      <c r="D32" s="592"/>
      <c r="E32" s="670"/>
      <c r="F32" s="594"/>
      <c r="G32" s="595"/>
      <c r="H32" s="580"/>
      <c r="I32" s="580"/>
      <c r="J32" s="580"/>
      <c r="K32" s="580"/>
      <c r="L32" s="580"/>
      <c r="M32" s="580"/>
      <c r="N32" s="580"/>
      <c r="O32" s="580"/>
      <c r="P32" s="580"/>
      <c r="Q32" s="580"/>
    </row>
    <row r="33" spans="1:17" s="669" customFormat="1" ht="13.2">
      <c r="A33" s="590"/>
      <c r="B33" s="592"/>
      <c r="C33" s="591"/>
      <c r="D33" s="592"/>
      <c r="E33" s="670"/>
      <c r="F33" s="594"/>
      <c r="G33" s="595"/>
      <c r="H33" s="580"/>
      <c r="I33" s="580"/>
      <c r="J33" s="580"/>
      <c r="K33" s="580"/>
      <c r="L33" s="580"/>
      <c r="M33" s="580"/>
      <c r="N33" s="580"/>
      <c r="O33" s="580"/>
      <c r="P33" s="580"/>
      <c r="Q33" s="580"/>
    </row>
    <row r="34" spans="1:17" s="669" customFormat="1" ht="13.2">
      <c r="A34" s="590"/>
      <c r="B34" s="592"/>
      <c r="C34" s="591"/>
      <c r="D34" s="592"/>
      <c r="E34" s="670"/>
      <c r="F34" s="594"/>
      <c r="G34" s="595"/>
      <c r="H34" s="580"/>
      <c r="I34" s="580"/>
      <c r="J34" s="580"/>
      <c r="K34" s="580"/>
      <c r="L34" s="580"/>
      <c r="M34" s="580"/>
      <c r="N34" s="580"/>
      <c r="O34" s="580"/>
      <c r="P34" s="580"/>
      <c r="Q34" s="580"/>
    </row>
    <row r="35" spans="1:17" s="669" customFormat="1" ht="13.2">
      <c r="A35" s="590"/>
      <c r="B35" s="592"/>
      <c r="C35" s="591"/>
      <c r="D35" s="592"/>
      <c r="E35" s="670"/>
      <c r="F35" s="594"/>
      <c r="G35" s="595"/>
      <c r="H35" s="580"/>
      <c r="I35" s="580"/>
      <c r="J35" s="580"/>
      <c r="K35" s="580"/>
      <c r="L35" s="580"/>
      <c r="M35" s="580"/>
      <c r="N35" s="580"/>
      <c r="O35" s="580"/>
      <c r="P35" s="580"/>
      <c r="Q35" s="580"/>
    </row>
    <row r="36" spans="1:17" s="669" customFormat="1" ht="13.2">
      <c r="A36" s="590"/>
      <c r="B36" s="592"/>
      <c r="C36" s="591"/>
      <c r="D36" s="592"/>
      <c r="E36" s="670"/>
      <c r="F36" s="594"/>
      <c r="G36" s="595"/>
      <c r="H36" s="580"/>
      <c r="I36" s="580"/>
      <c r="J36" s="580"/>
      <c r="K36" s="580"/>
      <c r="L36" s="580"/>
      <c r="M36" s="580"/>
      <c r="N36" s="580"/>
      <c r="O36" s="580"/>
      <c r="P36" s="580"/>
      <c r="Q36" s="580"/>
    </row>
    <row r="37" spans="1:17" s="669" customFormat="1" ht="13.2">
      <c r="A37" s="590"/>
      <c r="B37" s="592"/>
      <c r="C37" s="591"/>
      <c r="D37" s="592"/>
      <c r="E37" s="670"/>
      <c r="F37" s="594"/>
      <c r="G37" s="595"/>
      <c r="H37" s="580"/>
      <c r="I37" s="580"/>
      <c r="J37" s="580"/>
      <c r="K37" s="580"/>
      <c r="L37" s="580"/>
      <c r="M37" s="580"/>
      <c r="N37" s="580"/>
      <c r="O37" s="580"/>
      <c r="P37" s="580"/>
      <c r="Q37" s="580"/>
    </row>
    <row r="38" spans="1:17" s="669" customFormat="1" ht="13.2">
      <c r="A38" s="590"/>
      <c r="B38" s="592"/>
      <c r="C38" s="591"/>
      <c r="D38" s="592"/>
      <c r="E38" s="670"/>
      <c r="F38" s="594"/>
      <c r="G38" s="595"/>
      <c r="H38" s="580"/>
      <c r="I38" s="580"/>
      <c r="J38" s="580"/>
      <c r="K38" s="580"/>
      <c r="L38" s="580"/>
      <c r="M38" s="580"/>
      <c r="N38" s="580"/>
      <c r="O38" s="580"/>
      <c r="P38" s="580"/>
      <c r="Q38" s="580"/>
    </row>
    <row r="39" spans="1:17" s="669" customFormat="1" ht="13.2">
      <c r="A39" s="590"/>
      <c r="B39" s="592"/>
      <c r="C39" s="591"/>
      <c r="D39" s="592"/>
      <c r="E39" s="670"/>
      <c r="F39" s="594"/>
      <c r="G39" s="595"/>
      <c r="H39" s="580"/>
      <c r="I39" s="580"/>
      <c r="J39" s="580"/>
      <c r="K39" s="580"/>
      <c r="L39" s="580"/>
      <c r="M39" s="580"/>
      <c r="N39" s="580"/>
      <c r="O39" s="580"/>
      <c r="P39" s="580"/>
      <c r="Q39" s="580"/>
    </row>
    <row r="40" spans="1:17" s="669" customFormat="1" ht="13.2">
      <c r="A40" s="590"/>
      <c r="B40" s="592"/>
      <c r="C40" s="591"/>
      <c r="D40" s="592"/>
      <c r="E40" s="670"/>
      <c r="F40" s="594"/>
      <c r="G40" s="595"/>
      <c r="H40" s="580"/>
      <c r="I40" s="580"/>
      <c r="J40" s="580"/>
      <c r="K40" s="580"/>
      <c r="L40" s="580"/>
      <c r="M40" s="580"/>
      <c r="N40" s="580"/>
      <c r="O40" s="580"/>
      <c r="P40" s="580"/>
      <c r="Q40" s="580"/>
    </row>
    <row r="41" spans="1:17" s="669" customFormat="1" ht="13.2">
      <c r="A41" s="590"/>
      <c r="B41" s="592"/>
      <c r="C41" s="591"/>
      <c r="D41" s="592"/>
      <c r="E41" s="670"/>
      <c r="F41" s="594"/>
      <c r="G41" s="595"/>
      <c r="H41" s="580"/>
      <c r="I41" s="580"/>
      <c r="J41" s="580"/>
      <c r="K41" s="580"/>
      <c r="L41" s="580"/>
      <c r="M41" s="580"/>
      <c r="N41" s="580"/>
      <c r="O41" s="580"/>
      <c r="P41" s="580"/>
      <c r="Q41" s="580"/>
    </row>
    <row r="42" spans="1:17" s="669" customFormat="1" ht="13.2">
      <c r="A42" s="590"/>
      <c r="B42" s="592"/>
      <c r="C42" s="591"/>
      <c r="D42" s="592"/>
      <c r="E42" s="670"/>
      <c r="F42" s="594"/>
      <c r="G42" s="595"/>
      <c r="H42" s="580"/>
      <c r="I42" s="580"/>
      <c r="J42" s="580"/>
      <c r="K42" s="580"/>
      <c r="L42" s="580"/>
      <c r="M42" s="580"/>
      <c r="N42" s="580"/>
      <c r="O42" s="580"/>
      <c r="P42" s="580"/>
      <c r="Q42" s="580"/>
    </row>
    <row r="43" spans="1:17" s="669" customFormat="1" ht="13.2">
      <c r="A43" s="590"/>
      <c r="B43" s="592"/>
      <c r="C43" s="591"/>
      <c r="D43" s="592"/>
      <c r="E43" s="670"/>
      <c r="F43" s="594"/>
      <c r="G43" s="595"/>
      <c r="H43" s="580"/>
      <c r="I43" s="580"/>
      <c r="J43" s="580"/>
      <c r="K43" s="580"/>
      <c r="L43" s="580"/>
      <c r="M43" s="580"/>
      <c r="N43" s="580"/>
      <c r="O43" s="580"/>
      <c r="P43" s="580"/>
      <c r="Q43" s="580"/>
    </row>
    <row r="44" spans="1:17" s="669" customFormat="1" ht="13.2">
      <c r="A44" s="590"/>
      <c r="B44" s="592"/>
      <c r="C44" s="591"/>
      <c r="D44" s="592"/>
      <c r="E44" s="670"/>
      <c r="F44" s="594"/>
      <c r="G44" s="595"/>
      <c r="H44" s="580"/>
      <c r="I44" s="580"/>
      <c r="J44" s="580"/>
      <c r="K44" s="580"/>
      <c r="L44" s="580"/>
      <c r="M44" s="580"/>
      <c r="N44" s="580"/>
      <c r="O44" s="580"/>
      <c r="P44" s="580"/>
      <c r="Q44" s="580"/>
    </row>
    <row r="45" spans="1:17" s="669" customFormat="1" ht="13.2">
      <c r="A45" s="590"/>
      <c r="B45" s="592"/>
      <c r="C45" s="591"/>
      <c r="D45" s="592"/>
      <c r="E45" s="670"/>
      <c r="F45" s="594"/>
      <c r="G45" s="595"/>
      <c r="H45" s="580"/>
      <c r="I45" s="580"/>
      <c r="J45" s="580"/>
      <c r="K45" s="580"/>
      <c r="L45" s="580"/>
      <c r="M45" s="580"/>
      <c r="N45" s="580"/>
      <c r="O45" s="580"/>
      <c r="P45" s="580"/>
      <c r="Q45" s="580"/>
    </row>
    <row r="46" spans="1:17" s="669" customFormat="1" ht="13.2">
      <c r="A46" s="590"/>
      <c r="B46" s="592"/>
      <c r="C46" s="591"/>
      <c r="D46" s="592"/>
      <c r="E46" s="670"/>
      <c r="F46" s="594"/>
      <c r="G46" s="595"/>
      <c r="H46" s="580"/>
      <c r="I46" s="580"/>
      <c r="J46" s="580"/>
      <c r="K46" s="580"/>
      <c r="L46" s="580"/>
      <c r="M46" s="580"/>
      <c r="N46" s="580"/>
      <c r="O46" s="580"/>
      <c r="P46" s="580"/>
      <c r="Q46" s="580"/>
    </row>
    <row r="47" spans="1:17" s="669" customFormat="1" ht="13.2">
      <c r="A47" s="590"/>
      <c r="B47" s="592"/>
      <c r="C47" s="591"/>
      <c r="D47" s="592"/>
      <c r="E47" s="670"/>
      <c r="F47" s="594"/>
      <c r="G47" s="595"/>
      <c r="H47" s="580"/>
      <c r="I47" s="580"/>
      <c r="J47" s="580"/>
      <c r="K47" s="580"/>
      <c r="L47" s="580"/>
      <c r="M47" s="580"/>
      <c r="N47" s="580"/>
      <c r="O47" s="580"/>
      <c r="P47" s="580"/>
      <c r="Q47" s="580"/>
    </row>
    <row r="48" spans="1:17" s="669" customFormat="1" ht="13.2">
      <c r="A48" s="590"/>
      <c r="B48" s="592"/>
      <c r="C48" s="591"/>
      <c r="D48" s="592"/>
      <c r="E48" s="670"/>
      <c r="F48" s="594"/>
      <c r="G48" s="595"/>
      <c r="H48" s="580"/>
      <c r="I48" s="580"/>
      <c r="J48" s="580"/>
      <c r="K48" s="580"/>
      <c r="L48" s="580"/>
      <c r="M48" s="580"/>
      <c r="N48" s="580"/>
      <c r="O48" s="580"/>
      <c r="P48" s="580"/>
      <c r="Q48" s="580"/>
    </row>
    <row r="49" spans="1:17" s="669" customFormat="1" ht="13.2">
      <c r="A49" s="590"/>
      <c r="B49" s="592"/>
      <c r="C49" s="591"/>
      <c r="D49" s="592"/>
      <c r="E49" s="670"/>
      <c r="F49" s="594"/>
      <c r="G49" s="595"/>
      <c r="H49" s="580"/>
      <c r="I49" s="580"/>
      <c r="J49" s="580"/>
      <c r="K49" s="580"/>
      <c r="L49" s="580"/>
      <c r="M49" s="580"/>
      <c r="N49" s="580"/>
      <c r="O49" s="580"/>
      <c r="P49" s="580"/>
      <c r="Q49" s="580"/>
    </row>
    <row r="50" spans="1:17" s="669" customFormat="1" ht="13.2">
      <c r="A50" s="590"/>
      <c r="B50" s="592"/>
      <c r="C50" s="591"/>
      <c r="D50" s="592"/>
      <c r="E50" s="670"/>
      <c r="F50" s="594"/>
      <c r="G50" s="595"/>
      <c r="H50" s="580"/>
      <c r="I50" s="580"/>
      <c r="J50" s="580"/>
      <c r="K50" s="580"/>
      <c r="L50" s="580"/>
      <c r="M50" s="580"/>
      <c r="N50" s="580"/>
      <c r="O50" s="580"/>
      <c r="P50" s="580"/>
      <c r="Q50" s="580"/>
    </row>
    <row r="51" spans="1:17" s="669" customFormat="1" ht="13.2">
      <c r="A51" s="590"/>
      <c r="B51" s="592"/>
      <c r="C51" s="591"/>
      <c r="D51" s="592"/>
      <c r="E51" s="670"/>
      <c r="F51" s="594"/>
      <c r="G51" s="595"/>
      <c r="H51" s="580"/>
      <c r="I51" s="580"/>
      <c r="J51" s="580"/>
      <c r="K51" s="580"/>
      <c r="L51" s="580"/>
      <c r="M51" s="580"/>
      <c r="N51" s="580"/>
      <c r="O51" s="580"/>
      <c r="P51" s="580"/>
      <c r="Q51" s="580"/>
    </row>
    <row r="52" spans="1:17" s="669" customFormat="1" ht="13.2">
      <c r="A52" s="590"/>
      <c r="B52" s="592"/>
      <c r="C52" s="591"/>
      <c r="D52" s="592"/>
      <c r="E52" s="670"/>
      <c r="F52" s="594"/>
      <c r="G52" s="595"/>
      <c r="H52" s="580"/>
      <c r="I52" s="580"/>
      <c r="J52" s="580"/>
      <c r="K52" s="580"/>
      <c r="L52" s="580"/>
      <c r="M52" s="580"/>
      <c r="N52" s="580"/>
      <c r="O52" s="580"/>
      <c r="P52" s="580"/>
      <c r="Q52" s="580"/>
    </row>
    <row r="53" spans="1:17" s="669" customFormat="1" ht="13.8" thickBot="1">
      <c r="A53" s="590"/>
      <c r="B53" s="592"/>
      <c r="C53" s="591"/>
      <c r="D53" s="592"/>
      <c r="E53" s="670"/>
      <c r="F53" s="594"/>
      <c r="G53" s="595"/>
      <c r="H53" s="580"/>
      <c r="I53" s="580"/>
      <c r="J53" s="580"/>
      <c r="K53" s="580"/>
      <c r="L53" s="580"/>
      <c r="M53" s="580"/>
      <c r="N53" s="580"/>
      <c r="O53" s="580"/>
      <c r="P53" s="580"/>
      <c r="Q53" s="580"/>
    </row>
    <row r="54" spans="1:17" s="669" customFormat="1" ht="13.2">
      <c r="A54" s="612"/>
      <c r="B54" s="1101"/>
      <c r="C54" s="613"/>
      <c r="D54" s="614"/>
      <c r="E54" s="675"/>
      <c r="F54" s="616"/>
      <c r="G54" s="617"/>
      <c r="H54" s="580"/>
      <c r="I54" s="580"/>
      <c r="J54" s="580"/>
      <c r="K54" s="580"/>
      <c r="L54" s="580"/>
      <c r="M54" s="580"/>
      <c r="N54" s="580"/>
      <c r="O54" s="580"/>
      <c r="P54" s="580"/>
      <c r="Q54" s="580"/>
    </row>
    <row r="55" spans="1:17" s="669" customFormat="1" ht="13.2">
      <c r="A55" s="618" t="s">
        <v>310</v>
      </c>
      <c r="B55" s="1102"/>
      <c r="C55" s="619" t="s">
        <v>289</v>
      </c>
      <c r="D55" s="620"/>
      <c r="E55" s="676"/>
      <c r="F55" s="622"/>
      <c r="G55" s="623">
        <f>SUM(G7:G53)</f>
        <v>0</v>
      </c>
      <c r="H55" s="580"/>
      <c r="I55" s="580"/>
      <c r="J55" s="580"/>
      <c r="K55" s="580"/>
      <c r="L55" s="580"/>
      <c r="M55" s="580"/>
      <c r="N55" s="580"/>
      <c r="O55" s="580"/>
      <c r="P55" s="580"/>
      <c r="Q55" s="580"/>
    </row>
    <row r="56" spans="1:17" s="669" customFormat="1" ht="13.2">
      <c r="A56" s="624"/>
      <c r="B56" s="1103"/>
      <c r="C56" s="625"/>
      <c r="D56" s="626"/>
      <c r="E56" s="626"/>
      <c r="F56" s="628"/>
      <c r="G56" s="629"/>
      <c r="H56" s="580"/>
      <c r="I56" s="580"/>
      <c r="J56" s="580"/>
      <c r="K56" s="580"/>
      <c r="L56" s="580"/>
      <c r="M56" s="580"/>
      <c r="N56" s="580"/>
      <c r="O56" s="580"/>
      <c r="P56" s="580"/>
      <c r="Q56" s="580"/>
    </row>
    <row r="58" spans="1:17">
      <c r="G58" s="633"/>
    </row>
    <row r="59" spans="1:17">
      <c r="A59" s="630" t="s">
        <v>151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687C7-6EC2-4F7B-B536-23B7E11DFF45}">
  <dimension ref="A1:F2088"/>
  <sheetViews>
    <sheetView zoomScale="80" zoomScaleNormal="80" workbookViewId="0">
      <selection activeCell="I25" sqref="I25"/>
    </sheetView>
  </sheetViews>
  <sheetFormatPr defaultColWidth="8.88671875" defaultRowHeight="13.2"/>
  <cols>
    <col min="1" max="1" width="7.6640625" style="1233" customWidth="1"/>
    <col min="2" max="2" width="48.6640625" style="1234" customWidth="1"/>
    <col min="3" max="3" width="5.6640625" style="1206" customWidth="1"/>
    <col min="4" max="4" width="7.6640625" style="1207" customWidth="1"/>
    <col min="5" max="5" width="10.33203125" style="1208" customWidth="1"/>
    <col min="6" max="6" width="12.109375" style="1208" customWidth="1"/>
    <col min="7" max="16384" width="8.88671875" style="1210"/>
  </cols>
  <sheetData>
    <row r="1" spans="1:6" s="1198" customFormat="1" ht="14.1" customHeight="1">
      <c r="A1" s="1193" t="s">
        <v>273</v>
      </c>
      <c r="B1" s="1194"/>
      <c r="C1" s="1195"/>
      <c r="D1" s="1194"/>
      <c r="E1" s="1196"/>
      <c r="F1" s="1197"/>
    </row>
    <row r="2" spans="1:6" s="1198" customFormat="1" ht="14.1" customHeight="1">
      <c r="A2" s="1199" t="s">
        <v>992</v>
      </c>
      <c r="B2" s="1200"/>
      <c r="C2" s="1201"/>
      <c r="D2" s="1200"/>
      <c r="E2" s="1202"/>
      <c r="F2" s="1203"/>
    </row>
    <row r="3" spans="1:6" ht="14.1" customHeight="1">
      <c r="A3" s="1204"/>
      <c r="B3" s="1205"/>
      <c r="F3" s="1209"/>
    </row>
    <row r="4" spans="1:6" ht="14.1" customHeight="1">
      <c r="A4" s="1211"/>
      <c r="B4" s="1212"/>
      <c r="C4" s="1213"/>
      <c r="D4" s="1214"/>
      <c r="E4" s="1215"/>
      <c r="F4" s="1216"/>
    </row>
    <row r="5" spans="1:6" ht="14.1" customHeight="1" thickBot="1">
      <c r="A5" s="1217" t="s">
        <v>276</v>
      </c>
      <c r="B5" s="1218"/>
      <c r="C5" s="1219" t="s">
        <v>277</v>
      </c>
      <c r="D5" s="1220" t="s">
        <v>266</v>
      </c>
      <c r="E5" s="1221" t="s">
        <v>278</v>
      </c>
      <c r="F5" s="1222" t="s">
        <v>267</v>
      </c>
    </row>
    <row r="6" spans="1:6" ht="14.1" customHeight="1">
      <c r="A6" s="1223"/>
      <c r="B6" s="1224"/>
      <c r="C6" s="1225"/>
      <c r="D6" s="1226"/>
      <c r="E6" s="1227"/>
      <c r="F6" s="1209"/>
    </row>
    <row r="7" spans="1:6" ht="14.1" customHeight="1">
      <c r="A7" s="1228"/>
      <c r="B7" s="1229"/>
      <c r="C7" s="1230"/>
      <c r="D7" s="1231"/>
      <c r="E7" s="1232"/>
      <c r="F7" s="1209"/>
    </row>
    <row r="8" spans="1:6">
      <c r="C8" s="1235"/>
      <c r="D8" s="1236"/>
      <c r="E8" s="1232"/>
      <c r="F8" s="1209"/>
    </row>
    <row r="9" spans="1:6" ht="14.1" customHeight="1">
      <c r="A9" s="1228"/>
      <c r="B9" s="1237"/>
      <c r="C9" s="1230"/>
      <c r="D9" s="1231"/>
      <c r="E9" s="1232"/>
      <c r="F9" s="1209"/>
    </row>
    <row r="10" spans="1:6" ht="14.1" customHeight="1">
      <c r="A10" s="1238">
        <v>1</v>
      </c>
      <c r="B10" s="1239" t="s">
        <v>1115</v>
      </c>
      <c r="C10" s="1230">
        <v>1</v>
      </c>
      <c r="D10" s="1231" t="s">
        <v>287</v>
      </c>
      <c r="E10" s="1240">
        <f>Elec_Est!E2886</f>
        <v>659.9</v>
      </c>
      <c r="F10" s="1241">
        <f>C10*E10</f>
        <v>659.9</v>
      </c>
    </row>
    <row r="11" spans="1:6" ht="14.1" customHeight="1">
      <c r="A11" s="1228"/>
      <c r="B11" s="1242"/>
      <c r="C11" s="1230"/>
      <c r="D11" s="1231"/>
      <c r="E11" s="1232"/>
      <c r="F11" s="1209"/>
    </row>
    <row r="12" spans="1:6" ht="14.1" customHeight="1">
      <c r="A12" s="1228"/>
      <c r="B12" s="1229"/>
      <c r="C12" s="1230"/>
      <c r="D12" s="1231"/>
      <c r="E12" s="1232"/>
      <c r="F12" s="1209"/>
    </row>
    <row r="13" spans="1:6" ht="14.1" customHeight="1">
      <c r="A13" s="1228"/>
      <c r="B13" s="1229"/>
      <c r="C13" s="1230"/>
      <c r="D13" s="1231"/>
      <c r="E13" s="1232"/>
      <c r="F13" s="1209"/>
    </row>
    <row r="14" spans="1:6" ht="14.1" customHeight="1">
      <c r="A14" s="1228"/>
      <c r="B14" s="1229"/>
      <c r="C14" s="1230"/>
      <c r="D14" s="1231"/>
      <c r="E14" s="1232"/>
      <c r="F14" s="1209"/>
    </row>
    <row r="15" spans="1:6" ht="14.1" customHeight="1">
      <c r="A15" s="1228"/>
      <c r="B15" s="1229"/>
      <c r="C15" s="1230"/>
      <c r="D15" s="1231"/>
      <c r="E15" s="1232"/>
      <c r="F15" s="1209"/>
    </row>
    <row r="16" spans="1:6" ht="14.1" customHeight="1">
      <c r="A16" s="1228"/>
      <c r="B16" s="1229"/>
      <c r="C16" s="1230"/>
      <c r="D16" s="1231"/>
      <c r="E16" s="1232"/>
      <c r="F16" s="1209"/>
    </row>
    <row r="17" spans="1:6" ht="14.1" customHeight="1">
      <c r="A17" s="1228"/>
      <c r="B17" s="1229"/>
      <c r="C17" s="1230"/>
      <c r="D17" s="1231"/>
      <c r="E17" s="1232"/>
      <c r="F17" s="1209"/>
    </row>
    <row r="18" spans="1:6" ht="14.1" customHeight="1">
      <c r="A18" s="1228"/>
      <c r="B18" s="1229"/>
      <c r="C18" s="1230"/>
      <c r="D18" s="1231"/>
      <c r="E18" s="1232"/>
      <c r="F18" s="1209"/>
    </row>
    <row r="19" spans="1:6" ht="14.1" customHeight="1">
      <c r="A19" s="1228"/>
      <c r="B19" s="1237"/>
      <c r="C19" s="1230"/>
      <c r="D19" s="1231"/>
      <c r="E19" s="1232"/>
      <c r="F19" s="1209"/>
    </row>
    <row r="20" spans="1:6" ht="14.1" customHeight="1">
      <c r="A20" s="1228"/>
      <c r="B20" s="1229"/>
      <c r="C20" s="1230"/>
      <c r="D20" s="1231"/>
      <c r="E20" s="1232"/>
      <c r="F20" s="1209"/>
    </row>
    <row r="21" spans="1:6" ht="14.1" customHeight="1">
      <c r="A21" s="1228"/>
      <c r="B21" s="1229"/>
      <c r="C21" s="1230"/>
      <c r="D21" s="1231"/>
      <c r="E21" s="1232"/>
      <c r="F21" s="1209"/>
    </row>
    <row r="22" spans="1:6" ht="14.1" customHeight="1">
      <c r="A22" s="1228"/>
      <c r="B22" s="1229"/>
      <c r="C22" s="1230"/>
      <c r="D22" s="1231"/>
      <c r="E22" s="1232"/>
      <c r="F22" s="1209"/>
    </row>
    <row r="23" spans="1:6" ht="14.1" customHeight="1">
      <c r="A23" s="1228"/>
      <c r="B23" s="1229"/>
      <c r="C23" s="1230"/>
      <c r="D23" s="1231"/>
      <c r="E23" s="1232"/>
      <c r="F23" s="1209"/>
    </row>
    <row r="24" spans="1:6" ht="14.1" customHeight="1">
      <c r="A24" s="1228"/>
      <c r="B24" s="1242"/>
      <c r="C24" s="1230"/>
      <c r="D24" s="1231"/>
      <c r="E24" s="1232"/>
      <c r="F24" s="1209"/>
    </row>
    <row r="25" spans="1:6" ht="14.1" customHeight="1">
      <c r="A25" s="1228"/>
      <c r="B25" s="1229"/>
      <c r="C25" s="1230"/>
      <c r="D25" s="1231"/>
      <c r="E25" s="1232"/>
      <c r="F25" s="1209"/>
    </row>
    <row r="26" spans="1:6" ht="14.1" customHeight="1">
      <c r="A26" s="1228"/>
      <c r="B26" s="1229"/>
      <c r="C26" s="1230"/>
      <c r="D26" s="1231"/>
      <c r="E26" s="1232"/>
      <c r="F26" s="1209"/>
    </row>
    <row r="27" spans="1:6" ht="14.1" customHeight="1">
      <c r="A27" s="1228"/>
      <c r="B27" s="1229"/>
      <c r="C27" s="1230"/>
      <c r="D27" s="1231"/>
      <c r="E27" s="1232"/>
      <c r="F27" s="1209"/>
    </row>
    <row r="28" spans="1:6" ht="14.1" customHeight="1">
      <c r="A28" s="1228"/>
      <c r="B28" s="1229"/>
      <c r="C28" s="1230"/>
      <c r="D28" s="1231"/>
      <c r="E28" s="1232"/>
      <c r="F28" s="1209"/>
    </row>
    <row r="29" spans="1:6" ht="14.1" customHeight="1">
      <c r="A29" s="1228"/>
      <c r="B29" s="1229"/>
      <c r="C29" s="1230"/>
      <c r="D29" s="1231"/>
      <c r="E29" s="1232"/>
      <c r="F29" s="1209"/>
    </row>
    <row r="30" spans="1:6" ht="14.1" customHeight="1">
      <c r="A30" s="1228"/>
      <c r="B30" s="1229"/>
      <c r="C30" s="1230"/>
      <c r="D30" s="1231"/>
      <c r="E30" s="1232"/>
      <c r="F30" s="1209"/>
    </row>
    <row r="31" spans="1:6" ht="14.1" customHeight="1">
      <c r="A31" s="1228"/>
      <c r="B31" s="1229"/>
      <c r="C31" s="1230"/>
      <c r="D31" s="1231"/>
      <c r="E31" s="1232"/>
      <c r="F31" s="1209"/>
    </row>
    <row r="32" spans="1:6" ht="14.1" customHeight="1">
      <c r="A32" s="1228"/>
      <c r="B32" s="1237"/>
      <c r="C32" s="1230"/>
      <c r="D32" s="1231"/>
      <c r="E32" s="1232"/>
      <c r="F32" s="1209"/>
    </row>
    <row r="33" spans="1:6" ht="14.1" customHeight="1">
      <c r="A33" s="1228"/>
      <c r="B33" s="1229"/>
      <c r="C33" s="1230"/>
      <c r="D33" s="1231"/>
      <c r="E33" s="1232"/>
      <c r="F33" s="1209"/>
    </row>
    <row r="34" spans="1:6" ht="14.1" customHeight="1">
      <c r="A34" s="1228"/>
      <c r="B34" s="1229"/>
      <c r="C34" s="1230"/>
      <c r="D34" s="1231"/>
      <c r="E34" s="1232"/>
      <c r="F34" s="1209"/>
    </row>
    <row r="35" spans="1:6" ht="14.1" customHeight="1">
      <c r="A35" s="1228"/>
      <c r="B35" s="1229"/>
      <c r="C35" s="1230"/>
      <c r="D35" s="1231"/>
      <c r="E35" s="1232"/>
      <c r="F35" s="1209"/>
    </row>
    <row r="36" spans="1:6" ht="14.1" customHeight="1">
      <c r="A36" s="1228"/>
      <c r="B36" s="1229"/>
      <c r="C36" s="1230"/>
      <c r="D36" s="1231"/>
      <c r="E36" s="1232"/>
      <c r="F36" s="1209"/>
    </row>
    <row r="37" spans="1:6" ht="14.1" customHeight="1">
      <c r="A37" s="1228"/>
      <c r="B37" s="1229"/>
      <c r="C37" s="1230"/>
      <c r="D37" s="1231"/>
      <c r="E37" s="1232"/>
      <c r="F37" s="1209"/>
    </row>
    <row r="38" spans="1:6" ht="14.1" customHeight="1">
      <c r="A38" s="1228"/>
      <c r="B38" s="1229"/>
      <c r="C38" s="1230"/>
      <c r="D38" s="1231"/>
      <c r="E38" s="1232"/>
      <c r="F38" s="1209"/>
    </row>
    <row r="39" spans="1:6" ht="14.1" customHeight="1">
      <c r="A39" s="1228"/>
      <c r="B39" s="1242"/>
      <c r="C39" s="1230"/>
      <c r="D39" s="1231"/>
      <c r="E39" s="1232"/>
      <c r="F39" s="1209"/>
    </row>
    <row r="40" spans="1:6" ht="14.1" customHeight="1">
      <c r="A40" s="1228"/>
      <c r="B40" s="1229"/>
      <c r="C40" s="1230"/>
      <c r="D40" s="1231"/>
      <c r="E40" s="1232"/>
      <c r="F40" s="1209"/>
    </row>
    <row r="41" spans="1:6" ht="14.1" customHeight="1">
      <c r="A41" s="1228"/>
      <c r="B41" s="1229"/>
      <c r="C41" s="1230"/>
      <c r="D41" s="1231"/>
      <c r="E41" s="1232"/>
      <c r="F41" s="1209"/>
    </row>
    <row r="42" spans="1:6" ht="14.1" customHeight="1">
      <c r="A42" s="1228"/>
      <c r="B42" s="1229"/>
      <c r="C42" s="1230"/>
      <c r="D42" s="1231"/>
      <c r="E42" s="1232"/>
      <c r="F42" s="1209"/>
    </row>
    <row r="43" spans="1:6" ht="14.1" customHeight="1">
      <c r="A43" s="1228"/>
      <c r="B43" s="1229"/>
      <c r="C43" s="1230"/>
      <c r="D43" s="1231"/>
      <c r="E43" s="1232"/>
      <c r="F43" s="1209"/>
    </row>
    <row r="44" spans="1:6" ht="14.1" customHeight="1">
      <c r="A44" s="1228"/>
      <c r="B44" s="1229"/>
      <c r="C44" s="1230"/>
      <c r="D44" s="1231"/>
      <c r="E44" s="1232"/>
      <c r="F44" s="1209"/>
    </row>
    <row r="45" spans="1:6" ht="14.1" customHeight="1">
      <c r="A45" s="1228"/>
      <c r="B45" s="1229"/>
      <c r="C45" s="1230"/>
      <c r="D45" s="1231"/>
      <c r="E45" s="1232"/>
      <c r="F45" s="1209"/>
    </row>
    <row r="46" spans="1:6" ht="14.1" customHeight="1">
      <c r="A46" s="1228"/>
      <c r="B46" s="1229"/>
      <c r="C46" s="1230"/>
      <c r="D46" s="1231"/>
      <c r="E46" s="1232"/>
      <c r="F46" s="1209"/>
    </row>
    <row r="47" spans="1:6" ht="14.1" customHeight="1">
      <c r="A47" s="1228"/>
      <c r="B47" s="1237"/>
      <c r="C47" s="1230"/>
      <c r="D47" s="1231"/>
      <c r="E47" s="1232"/>
      <c r="F47" s="1209"/>
    </row>
    <row r="48" spans="1:6" ht="14.1" customHeight="1">
      <c r="A48" s="1228"/>
      <c r="B48" s="1229"/>
      <c r="C48" s="1230"/>
      <c r="D48" s="1231"/>
      <c r="E48" s="1232"/>
      <c r="F48" s="1209"/>
    </row>
    <row r="49" spans="1:6" ht="14.1" customHeight="1">
      <c r="A49" s="1228"/>
      <c r="B49" s="1229"/>
      <c r="C49" s="1230"/>
      <c r="D49" s="1231"/>
      <c r="E49" s="1232"/>
      <c r="F49" s="1209"/>
    </row>
    <row r="50" spans="1:6" ht="14.1" customHeight="1">
      <c r="A50" s="1228"/>
      <c r="B50" s="1229"/>
      <c r="C50" s="1230"/>
      <c r="D50" s="1231"/>
      <c r="E50" s="1232"/>
      <c r="F50" s="1209"/>
    </row>
    <row r="51" spans="1:6" ht="14.1" customHeight="1">
      <c r="A51" s="1228"/>
      <c r="B51" s="1229"/>
      <c r="C51" s="1230"/>
      <c r="D51" s="1231"/>
      <c r="E51" s="1232"/>
      <c r="F51" s="1209"/>
    </row>
    <row r="52" spans="1:6" ht="14.1" customHeight="1">
      <c r="A52" s="1228"/>
      <c r="B52" s="1229"/>
      <c r="C52" s="1230"/>
      <c r="D52" s="1231"/>
      <c r="E52" s="1232"/>
      <c r="F52" s="1209"/>
    </row>
    <row r="53" spans="1:6" ht="14.1" customHeight="1">
      <c r="A53" s="1228"/>
      <c r="B53" s="1229"/>
      <c r="C53" s="1230"/>
      <c r="D53" s="1231"/>
      <c r="E53" s="1232"/>
      <c r="F53" s="1209"/>
    </row>
    <row r="54" spans="1:6" ht="14.1" customHeight="1" thickBot="1">
      <c r="A54" s="1228"/>
      <c r="B54" s="1229"/>
      <c r="C54" s="1230"/>
      <c r="D54" s="1231"/>
      <c r="E54" s="1232"/>
      <c r="F54" s="1209"/>
    </row>
    <row r="55" spans="1:6" ht="14.1" customHeight="1">
      <c r="A55" s="1243"/>
      <c r="B55" s="1244"/>
      <c r="C55" s="1245"/>
      <c r="D55" s="1246"/>
      <c r="E55" s="1247"/>
      <c r="F55" s="1247"/>
    </row>
    <row r="56" spans="1:6" ht="14.1" customHeight="1">
      <c r="A56" s="1248" t="s">
        <v>310</v>
      </c>
      <c r="B56" s="1249" t="s">
        <v>289</v>
      </c>
      <c r="E56" s="1209"/>
      <c r="F56" s="1250">
        <f>SUM(F6:F54)</f>
        <v>659.9</v>
      </c>
    </row>
    <row r="57" spans="1:6" ht="14.1" customHeight="1">
      <c r="A57" s="1251"/>
      <c r="B57" s="1212"/>
      <c r="C57" s="1213"/>
      <c r="D57" s="1214"/>
      <c r="E57" s="1216"/>
      <c r="F57" s="1216"/>
    </row>
    <row r="58" spans="1:6" ht="14.1" customHeight="1"/>
    <row r="59" spans="1:6" ht="14.1" customHeight="1"/>
    <row r="60" spans="1:6" ht="14.1" customHeight="1">
      <c r="A60" s="1233" t="s">
        <v>151</v>
      </c>
    </row>
    <row r="61" spans="1:6" ht="14.1" customHeight="1"/>
    <row r="62" spans="1:6" ht="14.1" customHeight="1"/>
    <row r="63" spans="1:6" ht="14.1" customHeight="1"/>
    <row r="64" spans="1:6" ht="14.1" customHeight="1"/>
    <row r="65" ht="14.1" customHeight="1"/>
    <row r="66" ht="14.1" customHeight="1"/>
    <row r="67" ht="14.1" customHeight="1"/>
    <row r="68" ht="14.1" customHeight="1"/>
    <row r="69" ht="14.1" customHeight="1"/>
    <row r="70" ht="14.1" customHeight="1"/>
    <row r="71" ht="14.1" customHeight="1"/>
    <row r="72" ht="14.1" customHeight="1"/>
    <row r="73" ht="14.1" customHeight="1"/>
    <row r="74" ht="14.1" customHeight="1"/>
    <row r="75" ht="14.1" customHeight="1"/>
    <row r="76" ht="14.1" customHeight="1"/>
    <row r="77" ht="14.1" customHeight="1"/>
    <row r="78" ht="14.1" customHeight="1"/>
    <row r="79" ht="14.1" customHeight="1"/>
    <row r="80" ht="14.1" customHeight="1"/>
    <row r="81" ht="14.1" customHeight="1"/>
    <row r="82" ht="14.1" customHeight="1"/>
    <row r="83" ht="14.1" customHeight="1"/>
    <row r="84" ht="14.1" customHeight="1"/>
    <row r="85" ht="14.1" customHeight="1"/>
    <row r="86" ht="14.1" customHeight="1"/>
    <row r="87" ht="14.1" customHeight="1"/>
    <row r="88" ht="14.1" customHeight="1"/>
    <row r="89" ht="14.1" customHeight="1"/>
    <row r="90" ht="14.1" customHeight="1"/>
    <row r="91" ht="14.1" customHeight="1"/>
    <row r="92" ht="14.1" customHeight="1"/>
    <row r="93" ht="14.1" customHeight="1"/>
    <row r="94" ht="14.1" customHeight="1"/>
    <row r="95" ht="14.1" customHeight="1"/>
    <row r="96" ht="14.1" customHeight="1"/>
    <row r="97" ht="14.1" customHeight="1"/>
    <row r="98" ht="14.1" customHeight="1"/>
    <row r="99" ht="14.1" customHeight="1"/>
    <row r="100" ht="14.1" customHeight="1"/>
    <row r="101" ht="14.1" customHeight="1"/>
    <row r="102" ht="14.1" customHeight="1"/>
    <row r="103" ht="14.1" customHeight="1"/>
    <row r="104" ht="14.1" customHeight="1"/>
    <row r="105" ht="14.1" customHeight="1"/>
    <row r="106" ht="14.1" customHeight="1"/>
    <row r="107" ht="14.1" customHeight="1"/>
    <row r="108" ht="14.1" customHeight="1"/>
    <row r="109" ht="14.1" customHeight="1"/>
    <row r="110" ht="14.1" customHeight="1"/>
    <row r="111" ht="14.1" customHeight="1"/>
    <row r="112" ht="14.1" customHeight="1"/>
    <row r="113" ht="14.1" customHeight="1"/>
    <row r="114" ht="14.1" customHeight="1"/>
    <row r="115" ht="14.1" customHeight="1"/>
    <row r="116" ht="14.1" customHeight="1"/>
    <row r="117" ht="14.1" customHeight="1"/>
    <row r="118" ht="14.1" customHeight="1"/>
    <row r="119" ht="14.1" customHeight="1"/>
    <row r="120" ht="14.1" customHeight="1"/>
    <row r="121" ht="14.1" customHeight="1"/>
    <row r="122" ht="14.1" customHeight="1"/>
    <row r="123" ht="14.1" customHeight="1"/>
    <row r="124" ht="14.1" customHeight="1"/>
    <row r="125" ht="14.1" customHeight="1"/>
    <row r="126" ht="14.1" customHeight="1"/>
    <row r="127" ht="14.1" customHeight="1"/>
    <row r="128" ht="14.1" customHeight="1"/>
    <row r="129" ht="14.1" customHeight="1"/>
    <row r="130" ht="14.1" customHeight="1"/>
    <row r="131" ht="14.1" customHeight="1"/>
    <row r="132" ht="14.1" customHeight="1"/>
    <row r="133" ht="14.1" customHeight="1"/>
    <row r="134" ht="14.1" customHeight="1"/>
    <row r="135" ht="14.1" customHeight="1"/>
    <row r="136" ht="14.1" customHeight="1"/>
    <row r="137" ht="14.1" customHeight="1"/>
    <row r="138" ht="14.1" customHeight="1"/>
    <row r="139" ht="14.1" customHeight="1"/>
    <row r="140" ht="14.1" customHeight="1"/>
    <row r="141" ht="14.1" customHeight="1"/>
    <row r="142" ht="14.1" customHeight="1"/>
    <row r="143" ht="14.1" customHeight="1"/>
    <row r="144" ht="14.1" customHeight="1"/>
    <row r="145" ht="14.1" customHeight="1"/>
    <row r="146" ht="14.1" customHeight="1"/>
    <row r="147" ht="14.1" customHeight="1"/>
    <row r="148" ht="14.1" customHeight="1"/>
    <row r="149" ht="14.1" customHeight="1"/>
    <row r="150" ht="14.1" customHeight="1"/>
    <row r="151" ht="14.1" customHeight="1"/>
    <row r="152" ht="14.1" customHeight="1"/>
    <row r="153" ht="14.1" customHeight="1"/>
    <row r="154" ht="14.1" customHeight="1"/>
    <row r="155" ht="14.1" customHeight="1"/>
    <row r="156" ht="14.1" customHeight="1"/>
    <row r="157" ht="14.1" customHeight="1"/>
    <row r="158" ht="14.1" customHeight="1"/>
    <row r="159" ht="14.1" customHeight="1"/>
    <row r="160" ht="14.1" customHeight="1"/>
    <row r="161" ht="14.1" customHeight="1"/>
    <row r="162" ht="14.1" customHeight="1"/>
    <row r="163" ht="14.1" customHeight="1"/>
    <row r="164" ht="14.1" customHeight="1"/>
    <row r="165" ht="14.1" customHeight="1"/>
    <row r="166" ht="14.1" customHeight="1"/>
    <row r="167" ht="14.1" customHeight="1"/>
    <row r="168" ht="14.1" customHeight="1"/>
    <row r="169" ht="14.1" customHeight="1"/>
    <row r="170" ht="14.1" customHeight="1"/>
    <row r="171" ht="14.1" customHeight="1"/>
    <row r="172" ht="14.1" customHeight="1"/>
    <row r="173" ht="14.1" customHeight="1"/>
    <row r="174" ht="14.1" customHeight="1"/>
    <row r="175" ht="14.1" customHeight="1"/>
    <row r="176" ht="14.1" customHeight="1"/>
    <row r="177" ht="14.1" customHeight="1"/>
    <row r="178" ht="14.1" customHeight="1"/>
    <row r="179" ht="14.1" customHeight="1"/>
    <row r="180" ht="14.1" customHeight="1"/>
    <row r="181" ht="14.1" customHeight="1"/>
    <row r="182" ht="14.1" customHeight="1"/>
    <row r="183" ht="14.1" customHeight="1"/>
    <row r="184" ht="14.1" customHeight="1"/>
    <row r="185" ht="14.1" customHeight="1"/>
    <row r="186" ht="14.1" customHeight="1"/>
    <row r="187" ht="14.1" customHeight="1"/>
    <row r="188" ht="14.1" customHeight="1"/>
    <row r="189" ht="14.1" customHeight="1"/>
    <row r="190" ht="14.1" customHeight="1"/>
    <row r="191" ht="14.1" customHeight="1"/>
    <row r="192" ht="14.1" customHeight="1"/>
    <row r="193" ht="14.1" customHeight="1"/>
    <row r="194" ht="14.1" customHeight="1"/>
    <row r="195" ht="14.1" customHeight="1"/>
    <row r="196" ht="14.1" customHeight="1"/>
    <row r="197" ht="14.1" customHeight="1"/>
    <row r="198" ht="14.1" customHeight="1"/>
    <row r="199" ht="14.1" customHeight="1"/>
    <row r="200" ht="14.1" customHeight="1"/>
    <row r="201" ht="14.1" customHeight="1"/>
    <row r="202" ht="14.1" customHeight="1"/>
    <row r="203" ht="14.1" customHeight="1"/>
    <row r="204" ht="14.1" customHeight="1"/>
    <row r="205" ht="14.1" customHeight="1"/>
    <row r="206" ht="14.1" customHeight="1"/>
    <row r="207" ht="14.1" customHeight="1"/>
    <row r="208" ht="14.1" customHeight="1"/>
    <row r="209" ht="14.1" customHeight="1"/>
    <row r="210" ht="14.1" customHeight="1"/>
    <row r="211" ht="14.1" customHeight="1"/>
    <row r="212" ht="14.1" customHeight="1"/>
    <row r="213" ht="14.1" customHeight="1"/>
    <row r="214" ht="14.1" customHeight="1"/>
    <row r="215" ht="14.1" customHeight="1"/>
    <row r="216" ht="14.1" customHeight="1"/>
    <row r="217" ht="14.1" customHeight="1"/>
    <row r="218" ht="14.1" customHeight="1"/>
    <row r="219" ht="14.1" customHeight="1"/>
    <row r="220" ht="14.1" customHeight="1"/>
    <row r="221" ht="14.1" customHeight="1"/>
    <row r="222" ht="14.1" customHeight="1"/>
    <row r="223" ht="14.1" customHeight="1"/>
    <row r="224" ht="14.1" customHeight="1"/>
    <row r="225" ht="14.1" customHeight="1"/>
    <row r="226" ht="14.1" customHeight="1"/>
    <row r="227" ht="14.1" customHeight="1"/>
    <row r="228" ht="14.1" customHeight="1"/>
    <row r="229" ht="14.1" customHeight="1"/>
    <row r="230" ht="14.1" customHeight="1"/>
    <row r="231" ht="14.1" customHeight="1"/>
    <row r="232" ht="14.1" customHeight="1"/>
    <row r="233" ht="14.1" customHeight="1"/>
    <row r="234" ht="14.1" customHeight="1"/>
    <row r="235" ht="14.1" customHeight="1"/>
    <row r="236" ht="14.1" customHeight="1"/>
    <row r="237" ht="14.1" customHeight="1"/>
    <row r="238" ht="14.1" customHeight="1"/>
    <row r="239" ht="14.1" customHeight="1"/>
    <row r="240" ht="14.1" customHeight="1"/>
    <row r="241" ht="14.1" customHeight="1"/>
    <row r="242" ht="14.1" customHeight="1"/>
    <row r="243" ht="14.1" customHeight="1"/>
    <row r="244" ht="14.1" customHeight="1"/>
    <row r="245" ht="14.1" customHeight="1"/>
    <row r="246" ht="14.1" customHeight="1"/>
    <row r="247" ht="14.1" customHeight="1"/>
    <row r="248" ht="14.1" customHeight="1"/>
    <row r="249" ht="14.1" customHeight="1"/>
    <row r="250" ht="14.1" customHeight="1"/>
    <row r="251" ht="14.1" customHeight="1"/>
    <row r="252" ht="14.1" customHeight="1"/>
    <row r="253" ht="14.1" customHeight="1"/>
    <row r="254" ht="14.1" customHeight="1"/>
    <row r="255" ht="14.1" customHeight="1"/>
    <row r="256" ht="14.1" customHeight="1"/>
    <row r="257" ht="14.1" customHeight="1"/>
    <row r="258" ht="14.1" customHeight="1"/>
    <row r="259" ht="14.1" customHeight="1"/>
    <row r="260" ht="14.1" customHeight="1"/>
    <row r="261" ht="14.1" customHeight="1"/>
    <row r="262" ht="14.1" customHeight="1"/>
    <row r="263" ht="14.1" customHeight="1"/>
    <row r="264" ht="14.1" customHeight="1"/>
    <row r="265" ht="14.1" customHeight="1"/>
    <row r="266" ht="14.1" customHeight="1"/>
    <row r="267" ht="14.1" customHeight="1"/>
    <row r="268" ht="14.1" customHeight="1"/>
    <row r="269" ht="14.1" customHeight="1"/>
    <row r="270" ht="14.1" customHeight="1"/>
    <row r="271" ht="14.1" customHeight="1"/>
    <row r="272" ht="14.1" customHeight="1"/>
    <row r="273" ht="14.1" customHeight="1"/>
    <row r="274" ht="14.1" customHeight="1"/>
    <row r="275" ht="14.1" customHeight="1"/>
    <row r="276" ht="14.1" customHeight="1"/>
    <row r="277" ht="14.1" customHeight="1"/>
    <row r="278" ht="14.1" customHeight="1"/>
    <row r="279" ht="14.1" customHeight="1"/>
    <row r="280" ht="14.1" customHeight="1"/>
    <row r="281" ht="14.1" customHeight="1"/>
    <row r="282" ht="14.1" customHeight="1"/>
    <row r="283" ht="14.1" customHeight="1"/>
    <row r="284" ht="14.1" customHeight="1"/>
    <row r="285" ht="14.1" customHeight="1"/>
    <row r="286" ht="14.1" customHeight="1"/>
    <row r="287" ht="14.1" customHeight="1"/>
    <row r="288" ht="14.1" customHeight="1"/>
    <row r="289" ht="14.1" customHeight="1"/>
    <row r="290" ht="14.1" customHeight="1"/>
    <row r="291" ht="14.1" customHeight="1"/>
    <row r="292" ht="14.1" customHeight="1"/>
    <row r="293" ht="14.1" customHeight="1"/>
    <row r="294" ht="14.1" customHeight="1"/>
    <row r="295" ht="14.1" customHeight="1"/>
    <row r="296" ht="14.1" customHeight="1"/>
    <row r="297" ht="14.1" customHeight="1"/>
    <row r="298" ht="14.1" customHeight="1"/>
    <row r="299" ht="14.1" customHeight="1"/>
    <row r="300" ht="14.1" customHeight="1"/>
    <row r="301" ht="14.1" customHeight="1"/>
    <row r="302" ht="14.1" customHeight="1"/>
    <row r="303" ht="14.1" customHeight="1"/>
    <row r="304" ht="14.1" customHeight="1"/>
    <row r="305" ht="14.1" customHeight="1"/>
    <row r="306" ht="14.1" customHeight="1"/>
    <row r="307" ht="14.1" customHeight="1"/>
    <row r="308" ht="14.1" customHeight="1"/>
    <row r="309" ht="14.1" customHeight="1"/>
    <row r="310" ht="14.1" customHeight="1"/>
    <row r="311" ht="14.1" customHeight="1"/>
    <row r="312" ht="14.1" customHeight="1"/>
    <row r="313" ht="14.1" customHeight="1"/>
    <row r="314" ht="14.1" customHeight="1"/>
    <row r="315" ht="14.1" customHeight="1"/>
    <row r="316" ht="14.1" customHeight="1"/>
    <row r="317" ht="14.1" customHeight="1"/>
    <row r="318" ht="14.1" customHeight="1"/>
    <row r="319" ht="14.1" customHeight="1"/>
    <row r="320" ht="14.1" customHeight="1"/>
    <row r="321" ht="14.1" customHeight="1"/>
    <row r="322" ht="14.1" customHeight="1"/>
    <row r="323" ht="14.1" customHeight="1"/>
    <row r="324" ht="14.1" customHeight="1"/>
    <row r="325" ht="14.1" customHeight="1"/>
    <row r="326" ht="14.1" customHeight="1"/>
    <row r="327" ht="14.1" customHeight="1"/>
    <row r="328" ht="14.1" customHeight="1"/>
    <row r="329" ht="14.1" customHeight="1"/>
    <row r="330" ht="14.1" customHeight="1"/>
    <row r="331" ht="14.1" customHeight="1"/>
    <row r="332" ht="14.1" customHeight="1"/>
    <row r="333" ht="14.1" customHeight="1"/>
    <row r="334" ht="14.1" customHeight="1"/>
    <row r="335" ht="14.1" customHeight="1"/>
    <row r="336" ht="14.1" customHeight="1"/>
    <row r="337" ht="14.1" customHeight="1"/>
    <row r="338" ht="14.1" customHeight="1"/>
    <row r="339" ht="14.1" customHeight="1"/>
    <row r="340" ht="14.1" customHeight="1"/>
    <row r="341" ht="14.1" customHeight="1"/>
    <row r="342" ht="14.1" customHeight="1"/>
    <row r="343" ht="14.1" customHeight="1"/>
    <row r="344" ht="14.1" customHeight="1"/>
    <row r="345" ht="14.1" customHeight="1"/>
    <row r="346" ht="14.1" customHeight="1"/>
    <row r="347" ht="14.1" customHeight="1"/>
    <row r="348" ht="14.1" customHeight="1"/>
    <row r="349" ht="14.1" customHeight="1"/>
    <row r="350" ht="14.1" customHeight="1"/>
    <row r="351" ht="14.1" customHeight="1"/>
    <row r="352" ht="14.1" customHeight="1"/>
    <row r="353" ht="14.1" customHeight="1"/>
    <row r="354" ht="14.1" customHeight="1"/>
    <row r="355" ht="14.1" customHeight="1"/>
    <row r="356" ht="14.1" customHeight="1"/>
    <row r="357" ht="14.1" customHeight="1"/>
    <row r="358" ht="14.1" customHeight="1"/>
    <row r="359" ht="14.1" customHeight="1"/>
    <row r="360" ht="14.1" customHeight="1"/>
    <row r="361" ht="14.1" customHeight="1"/>
    <row r="362" ht="14.1" customHeight="1"/>
    <row r="363" ht="14.1" customHeight="1"/>
    <row r="364" ht="14.1" customHeight="1"/>
    <row r="365" ht="14.1" customHeight="1"/>
    <row r="366" ht="14.1" customHeight="1"/>
    <row r="367" ht="14.1" customHeight="1"/>
    <row r="368" ht="14.1" customHeight="1"/>
    <row r="369" ht="14.1" customHeight="1"/>
    <row r="370" ht="14.1" customHeight="1"/>
    <row r="371" ht="14.1" customHeight="1"/>
    <row r="372" ht="14.1" customHeight="1"/>
    <row r="373" ht="14.1" customHeight="1"/>
    <row r="374" ht="14.1" customHeight="1"/>
    <row r="375" ht="14.1" customHeight="1"/>
    <row r="376" ht="14.1" customHeight="1"/>
    <row r="377" ht="14.1" customHeight="1"/>
    <row r="378" ht="14.1" customHeight="1"/>
    <row r="379" ht="14.1" customHeight="1"/>
    <row r="380" ht="14.1" customHeight="1"/>
    <row r="381" ht="14.1" customHeight="1"/>
    <row r="382" ht="14.1" customHeight="1"/>
    <row r="383" ht="14.1" customHeight="1"/>
    <row r="384" ht="14.1" customHeight="1"/>
    <row r="385" ht="14.1" customHeight="1"/>
    <row r="386" ht="14.1" customHeight="1"/>
    <row r="387" ht="14.1" customHeight="1"/>
    <row r="388" ht="14.1" customHeight="1"/>
    <row r="389" ht="14.1" customHeight="1"/>
    <row r="390" ht="14.1" customHeight="1"/>
    <row r="391" ht="14.1" customHeight="1"/>
    <row r="392" ht="14.1" customHeight="1"/>
    <row r="393" ht="14.1" customHeight="1"/>
    <row r="394" ht="14.1" customHeight="1"/>
    <row r="395" ht="14.1" customHeight="1"/>
    <row r="396" ht="14.1" customHeight="1"/>
    <row r="397" ht="14.1" customHeight="1"/>
    <row r="398" ht="14.1" customHeight="1"/>
    <row r="399" ht="14.1" customHeight="1"/>
    <row r="400" ht="14.1" customHeight="1"/>
    <row r="401" ht="14.1" customHeight="1"/>
    <row r="402" ht="14.1" customHeight="1"/>
    <row r="403" ht="14.1" customHeight="1"/>
    <row r="404" ht="14.1" customHeight="1"/>
    <row r="405" ht="14.1" customHeight="1"/>
    <row r="406" ht="14.1" customHeight="1"/>
    <row r="407" ht="14.1" customHeight="1"/>
    <row r="408" ht="14.1" customHeight="1"/>
    <row r="409" ht="14.1" customHeight="1"/>
    <row r="410" ht="14.1" customHeight="1"/>
    <row r="411" ht="14.1" customHeight="1"/>
    <row r="412" ht="14.1" customHeight="1"/>
    <row r="413" ht="14.1" customHeight="1"/>
    <row r="414" ht="14.1" customHeight="1"/>
    <row r="415" ht="14.1" customHeight="1"/>
    <row r="416" ht="14.1" customHeight="1"/>
    <row r="417" ht="14.1" customHeight="1"/>
    <row r="418" ht="14.1" customHeight="1"/>
    <row r="419" ht="14.1" customHeight="1"/>
    <row r="420" ht="14.1" customHeight="1"/>
    <row r="421" ht="14.1" customHeight="1"/>
    <row r="422" ht="14.1" customHeight="1"/>
    <row r="423" ht="14.1" customHeight="1"/>
    <row r="424" ht="14.1" customHeight="1"/>
    <row r="425" ht="14.1" customHeight="1"/>
    <row r="426" ht="14.1" customHeight="1"/>
    <row r="427" ht="14.1" customHeight="1"/>
    <row r="428" ht="14.1" customHeight="1"/>
    <row r="429" ht="14.1" customHeight="1"/>
    <row r="430" ht="14.1" customHeight="1"/>
    <row r="431" ht="14.1" customHeight="1"/>
    <row r="432" ht="14.1" customHeight="1"/>
    <row r="433" ht="14.1" customHeight="1"/>
    <row r="434" ht="14.1" customHeight="1"/>
    <row r="435" ht="14.1" customHeight="1"/>
    <row r="436" ht="14.1" customHeight="1"/>
    <row r="437" ht="14.1" customHeight="1"/>
    <row r="438" ht="14.1" customHeight="1"/>
    <row r="439" ht="14.1" customHeight="1"/>
    <row r="440" ht="14.1" customHeight="1"/>
    <row r="441" ht="14.1" customHeight="1"/>
    <row r="442" ht="14.1" customHeight="1"/>
    <row r="443" ht="14.1" customHeight="1"/>
    <row r="444" ht="14.1" customHeight="1"/>
    <row r="445" ht="14.1" customHeight="1"/>
    <row r="446" ht="14.1" customHeight="1"/>
    <row r="447" ht="14.1" customHeight="1"/>
    <row r="448" ht="14.1" customHeight="1"/>
    <row r="449" ht="14.1" customHeight="1"/>
    <row r="450" ht="14.1" customHeight="1"/>
    <row r="451" ht="14.1" customHeight="1"/>
    <row r="452" ht="14.1" customHeight="1"/>
    <row r="453" ht="14.1" customHeight="1"/>
    <row r="454" ht="14.1" customHeight="1"/>
    <row r="455" ht="14.1" customHeight="1"/>
    <row r="456" ht="14.1" customHeight="1"/>
    <row r="457" ht="14.1" customHeight="1"/>
    <row r="458" ht="14.1" customHeight="1"/>
    <row r="459" ht="14.1" customHeight="1"/>
    <row r="460" ht="14.1" customHeight="1"/>
    <row r="461" ht="14.1" customHeight="1"/>
    <row r="462" ht="14.1" customHeight="1"/>
    <row r="463" ht="14.1" customHeight="1"/>
    <row r="464" ht="14.1" customHeight="1"/>
    <row r="465" ht="14.1" customHeight="1"/>
    <row r="466" ht="14.1" customHeight="1"/>
    <row r="467" ht="14.1" customHeight="1"/>
    <row r="468" ht="14.1" customHeight="1"/>
    <row r="469" ht="14.1" customHeight="1"/>
    <row r="470" ht="14.1" customHeight="1"/>
    <row r="471" ht="14.1" customHeight="1"/>
    <row r="472" ht="14.1" customHeight="1"/>
    <row r="473" ht="14.1" customHeight="1"/>
    <row r="474" ht="14.1" customHeight="1"/>
    <row r="475" ht="14.1" customHeight="1"/>
    <row r="476" ht="14.1" customHeight="1"/>
    <row r="477" ht="14.1" customHeight="1"/>
    <row r="478" ht="14.1" customHeight="1"/>
    <row r="479" ht="14.1" customHeight="1"/>
    <row r="480" ht="14.1" customHeight="1"/>
    <row r="481" ht="14.1" customHeight="1"/>
    <row r="482" ht="14.1" customHeight="1"/>
    <row r="483" ht="14.1" customHeight="1"/>
    <row r="484" ht="14.1" customHeight="1"/>
    <row r="485" ht="14.1" customHeight="1"/>
    <row r="486" ht="14.1" customHeight="1"/>
    <row r="487" ht="14.1" customHeight="1"/>
    <row r="488" ht="14.1" customHeight="1"/>
    <row r="489" ht="14.1" customHeight="1"/>
    <row r="490" ht="14.1" customHeight="1"/>
    <row r="491" ht="14.1" customHeight="1"/>
    <row r="492" ht="14.1" customHeight="1"/>
    <row r="493" ht="14.1" customHeight="1"/>
    <row r="494" ht="14.1" customHeight="1"/>
    <row r="495" ht="14.1" customHeight="1"/>
    <row r="496" ht="14.1" customHeight="1"/>
    <row r="497" ht="14.1" customHeight="1"/>
    <row r="498" ht="14.1" customHeight="1"/>
    <row r="499" ht="14.1" customHeight="1"/>
    <row r="500" ht="14.1" customHeight="1"/>
    <row r="501" ht="14.1" customHeight="1"/>
    <row r="502" ht="14.1" customHeight="1"/>
    <row r="503" ht="14.1" customHeight="1"/>
    <row r="504" ht="14.1" customHeight="1"/>
    <row r="505" ht="14.1" customHeight="1"/>
    <row r="506" ht="14.1" customHeight="1"/>
    <row r="507" ht="14.1" customHeight="1"/>
    <row r="508" ht="14.1" customHeight="1"/>
    <row r="509" ht="14.1" customHeight="1"/>
    <row r="510" ht="14.1" customHeight="1"/>
    <row r="511" ht="14.1" customHeight="1"/>
    <row r="512" ht="14.1" customHeight="1"/>
    <row r="513" ht="14.1" customHeight="1"/>
    <row r="514" ht="14.1" customHeight="1"/>
    <row r="515" ht="14.1" customHeight="1"/>
    <row r="516" ht="14.1" customHeight="1"/>
    <row r="517" ht="14.1" customHeight="1"/>
    <row r="518" ht="14.1" customHeight="1"/>
    <row r="519" ht="14.1" customHeight="1"/>
    <row r="520" ht="14.1" customHeight="1"/>
    <row r="521" ht="14.1" customHeight="1"/>
    <row r="522" ht="14.1" customHeight="1"/>
    <row r="523" ht="14.1" customHeight="1"/>
    <row r="524" ht="14.1" customHeight="1"/>
    <row r="525" ht="14.1" customHeight="1"/>
    <row r="526" ht="14.1" customHeight="1"/>
    <row r="527" ht="14.1" customHeight="1"/>
    <row r="528" ht="14.1" customHeight="1"/>
    <row r="529" ht="14.1" customHeight="1"/>
    <row r="530" ht="14.1" customHeight="1"/>
    <row r="531" ht="14.1" customHeight="1"/>
    <row r="532" ht="14.1" customHeight="1"/>
    <row r="533" ht="14.1" customHeight="1"/>
    <row r="534" ht="14.1" customHeight="1"/>
    <row r="535" ht="14.1" customHeight="1"/>
    <row r="536" ht="14.1" customHeight="1"/>
    <row r="537" ht="14.1" customHeight="1"/>
    <row r="538" ht="14.1" customHeight="1"/>
    <row r="539" ht="14.1" customHeight="1"/>
    <row r="540" ht="14.1" customHeight="1"/>
    <row r="541" ht="14.1" customHeight="1"/>
    <row r="542" ht="14.1" customHeight="1"/>
    <row r="543" ht="14.1" customHeight="1"/>
    <row r="544" ht="14.1" customHeight="1"/>
    <row r="545" ht="14.1" customHeight="1"/>
    <row r="546" ht="14.1" customHeight="1"/>
    <row r="547" ht="14.1" customHeight="1"/>
    <row r="548" ht="14.1" customHeight="1"/>
    <row r="549" ht="14.1" customHeight="1"/>
    <row r="550" ht="14.1" customHeight="1"/>
    <row r="551" ht="14.1" customHeight="1"/>
    <row r="552" ht="14.1" customHeight="1"/>
    <row r="553" ht="14.1" customHeight="1"/>
    <row r="554" ht="14.1" customHeight="1"/>
    <row r="555" ht="14.1" customHeight="1"/>
    <row r="556" ht="14.1" customHeight="1"/>
    <row r="557" ht="14.1" customHeight="1"/>
    <row r="558" ht="14.1" customHeight="1"/>
    <row r="559" ht="14.1" customHeight="1"/>
    <row r="560" ht="14.1" customHeight="1"/>
    <row r="561" ht="14.1" customHeight="1"/>
    <row r="562" ht="14.1" customHeight="1"/>
    <row r="563" ht="14.1" customHeight="1"/>
    <row r="564" ht="14.1" customHeight="1"/>
    <row r="565" ht="14.1" customHeight="1"/>
    <row r="566" ht="14.1" customHeight="1"/>
    <row r="567" ht="14.1" customHeight="1"/>
    <row r="568" ht="14.1" customHeight="1"/>
    <row r="569" ht="14.1" customHeight="1"/>
    <row r="570" ht="14.1" customHeight="1"/>
    <row r="571" ht="14.1" customHeight="1"/>
    <row r="572" ht="14.1" customHeight="1"/>
    <row r="573" ht="14.1" customHeight="1"/>
    <row r="574" ht="14.1" customHeight="1"/>
    <row r="575" ht="14.1" customHeight="1"/>
    <row r="576" ht="14.1" customHeight="1"/>
    <row r="577" ht="14.1" customHeight="1"/>
    <row r="578" ht="14.1" customHeight="1"/>
    <row r="579" ht="14.1" customHeight="1"/>
    <row r="580" ht="14.1" customHeight="1"/>
    <row r="581" ht="14.1" customHeight="1"/>
    <row r="582" ht="14.1" customHeight="1"/>
    <row r="583" ht="14.1" customHeight="1"/>
    <row r="584" ht="14.1" customHeight="1"/>
    <row r="585" ht="14.1" customHeight="1"/>
    <row r="586" ht="14.1" customHeight="1"/>
    <row r="587" ht="14.1" customHeight="1"/>
    <row r="588" ht="14.1" customHeight="1"/>
    <row r="589" ht="14.1" customHeight="1"/>
    <row r="590" ht="14.1" customHeight="1"/>
    <row r="591" ht="14.1" customHeight="1"/>
    <row r="592" ht="14.1" customHeight="1"/>
    <row r="593" ht="14.1" customHeight="1"/>
    <row r="594" ht="14.1" customHeight="1"/>
    <row r="595" ht="14.1" customHeight="1"/>
    <row r="596" ht="14.1" customHeight="1"/>
    <row r="597" ht="14.1" customHeight="1"/>
    <row r="598" ht="14.1" customHeight="1"/>
    <row r="599" ht="14.1" customHeight="1"/>
    <row r="600" ht="14.1" customHeight="1"/>
    <row r="601" ht="14.1" customHeight="1"/>
    <row r="602" ht="14.1" customHeight="1"/>
    <row r="603" ht="14.1" customHeight="1"/>
    <row r="604" ht="14.1" customHeight="1"/>
    <row r="605" ht="14.1" customHeight="1"/>
    <row r="606" ht="14.1" customHeight="1"/>
    <row r="607" ht="14.1" customHeight="1"/>
    <row r="608" ht="14.1" customHeight="1"/>
    <row r="609" ht="14.1" customHeight="1"/>
    <row r="610" ht="14.1" customHeight="1"/>
    <row r="611" ht="14.1" customHeight="1"/>
    <row r="612" ht="14.1" customHeight="1"/>
    <row r="613" ht="14.1" customHeight="1"/>
    <row r="614" ht="14.1" customHeight="1"/>
    <row r="615" ht="14.1" customHeight="1"/>
    <row r="616" ht="14.1" customHeight="1"/>
    <row r="617" ht="14.1" customHeight="1"/>
    <row r="618" ht="14.1" customHeight="1"/>
    <row r="619" ht="14.1" customHeight="1"/>
    <row r="620" ht="14.1" customHeight="1"/>
    <row r="621" ht="14.1" customHeight="1"/>
    <row r="622" ht="14.1" customHeight="1"/>
    <row r="623" ht="14.1" customHeight="1"/>
    <row r="624" ht="14.1" customHeight="1"/>
    <row r="625" ht="14.1" customHeight="1"/>
    <row r="626" ht="14.1" customHeight="1"/>
    <row r="627" ht="14.1" customHeight="1"/>
    <row r="628" ht="14.1" customHeight="1"/>
    <row r="629" ht="14.1" customHeight="1"/>
    <row r="630" ht="14.1" customHeight="1"/>
    <row r="631" ht="14.1" customHeight="1"/>
    <row r="632" ht="14.1" customHeight="1"/>
    <row r="633" ht="14.1" customHeight="1"/>
    <row r="634" ht="14.1" customHeight="1"/>
    <row r="635" ht="14.1" customHeight="1"/>
    <row r="636" ht="14.1" customHeight="1"/>
    <row r="637" ht="14.1" customHeight="1"/>
    <row r="638" ht="14.1" customHeight="1"/>
    <row r="639" ht="14.1" customHeight="1"/>
    <row r="640" ht="14.1" customHeight="1"/>
    <row r="641" ht="14.1" customHeight="1"/>
    <row r="642" ht="14.1" customHeight="1"/>
    <row r="643" ht="14.1" customHeight="1"/>
    <row r="644" ht="14.1" customHeight="1"/>
    <row r="645" ht="14.1" customHeight="1"/>
    <row r="646" ht="14.1" customHeight="1"/>
    <row r="647" ht="14.1" customHeight="1"/>
    <row r="648" ht="14.1" customHeight="1"/>
    <row r="649" ht="14.1" customHeight="1"/>
    <row r="650" ht="14.1" customHeight="1"/>
    <row r="651" ht="14.1" customHeight="1"/>
    <row r="652" ht="14.1" customHeight="1"/>
    <row r="653" ht="14.1" customHeight="1"/>
    <row r="654" ht="14.1" customHeight="1"/>
    <row r="655" ht="14.1" customHeight="1"/>
    <row r="656" ht="14.1" customHeight="1"/>
    <row r="657" ht="14.1" customHeight="1"/>
    <row r="658" ht="14.1" customHeight="1"/>
    <row r="659" ht="14.1" customHeight="1"/>
    <row r="660" ht="14.1" customHeight="1"/>
    <row r="661" ht="14.1" customHeight="1"/>
    <row r="662" ht="14.1" customHeight="1"/>
    <row r="663" ht="14.1" customHeight="1"/>
    <row r="664" ht="14.1" customHeight="1"/>
    <row r="665" ht="14.1" customHeight="1"/>
    <row r="666" ht="14.1" customHeight="1"/>
    <row r="667" ht="14.1" customHeight="1"/>
    <row r="668" ht="14.1" customHeight="1"/>
    <row r="669" ht="14.1" customHeight="1"/>
    <row r="670" ht="14.1" customHeight="1"/>
    <row r="671" ht="14.1" customHeight="1"/>
    <row r="672" ht="14.1" customHeight="1"/>
    <row r="673" ht="14.1" customHeight="1"/>
    <row r="674" ht="14.1" customHeight="1"/>
    <row r="675" ht="14.1" customHeight="1"/>
    <row r="676" ht="14.1" customHeight="1"/>
    <row r="677" ht="14.1" customHeight="1"/>
    <row r="678" ht="14.1" customHeight="1"/>
    <row r="679" ht="14.1" customHeight="1"/>
    <row r="680" ht="14.1" customHeight="1"/>
    <row r="681" ht="14.1" customHeight="1"/>
    <row r="682" ht="14.1" customHeight="1"/>
    <row r="683" ht="14.1" customHeight="1"/>
    <row r="684" ht="14.1" customHeight="1"/>
    <row r="685" ht="14.1" customHeight="1"/>
    <row r="686" ht="14.1" customHeight="1"/>
    <row r="687" ht="14.1" customHeight="1"/>
    <row r="688" ht="14.1" customHeight="1"/>
    <row r="689" ht="14.1" customHeight="1"/>
    <row r="690" ht="14.1" customHeight="1"/>
    <row r="691" ht="14.1" customHeight="1"/>
    <row r="692" ht="14.1" customHeight="1"/>
    <row r="693" ht="14.1" customHeight="1"/>
    <row r="694" ht="14.1" customHeight="1"/>
    <row r="695" ht="14.1" customHeight="1"/>
    <row r="696" ht="14.1" customHeight="1"/>
    <row r="697" ht="14.1" customHeight="1"/>
    <row r="698" ht="14.1" customHeight="1"/>
    <row r="699" ht="14.1" customHeight="1"/>
    <row r="700" ht="14.1" customHeight="1"/>
    <row r="701" ht="14.1" customHeight="1"/>
    <row r="702" ht="14.1" customHeight="1"/>
    <row r="703" ht="14.1" customHeight="1"/>
    <row r="704" ht="14.1" customHeight="1"/>
    <row r="705" ht="14.1" customHeight="1"/>
    <row r="706" ht="14.1" customHeight="1"/>
    <row r="707" ht="14.1" customHeight="1"/>
    <row r="708" ht="14.1" customHeight="1"/>
    <row r="709" ht="14.1" customHeight="1"/>
    <row r="710" ht="14.1" customHeight="1"/>
    <row r="711" ht="14.1" customHeight="1"/>
    <row r="712" ht="14.1" customHeight="1"/>
    <row r="713" ht="14.1" customHeight="1"/>
    <row r="714" ht="14.1" customHeight="1"/>
    <row r="715" ht="14.1" customHeight="1"/>
    <row r="716" ht="14.1" customHeight="1"/>
    <row r="717" ht="14.1" customHeight="1"/>
    <row r="718" ht="14.1" customHeight="1"/>
    <row r="719" ht="14.1" customHeight="1"/>
    <row r="720" ht="14.1" customHeight="1"/>
    <row r="721" ht="14.1" customHeight="1"/>
    <row r="722" ht="14.1" customHeight="1"/>
    <row r="723" ht="14.1" customHeight="1"/>
    <row r="724" ht="14.1" customHeight="1"/>
    <row r="725" ht="14.1" customHeight="1"/>
    <row r="726" ht="14.1" customHeight="1"/>
    <row r="727" ht="14.1" customHeight="1"/>
    <row r="728" ht="14.1" customHeight="1"/>
    <row r="729" ht="14.1" customHeight="1"/>
    <row r="730" ht="14.1" customHeight="1"/>
    <row r="731" ht="14.1" customHeight="1"/>
    <row r="732" ht="14.1" customHeight="1"/>
    <row r="733" ht="14.1" customHeight="1"/>
    <row r="734" ht="14.1" customHeight="1"/>
    <row r="735" ht="14.1" customHeight="1"/>
    <row r="736" ht="14.1" customHeight="1"/>
    <row r="737" ht="14.1" customHeight="1"/>
    <row r="738" ht="14.1" customHeight="1"/>
    <row r="739" ht="14.1" customHeight="1"/>
    <row r="740" ht="14.1" customHeight="1"/>
    <row r="741" ht="14.1" customHeight="1"/>
    <row r="742" ht="14.1" customHeight="1"/>
    <row r="743" ht="14.1" customHeight="1"/>
    <row r="744" ht="14.1" customHeight="1"/>
    <row r="745" ht="14.1" customHeight="1"/>
    <row r="746" ht="14.1" customHeight="1"/>
    <row r="747" ht="14.1" customHeight="1"/>
    <row r="748" ht="14.1" customHeight="1"/>
    <row r="749" ht="14.1" customHeight="1"/>
    <row r="750" ht="14.1" customHeight="1"/>
    <row r="751" ht="14.1" customHeight="1"/>
    <row r="752" ht="14.1" customHeight="1"/>
    <row r="753" ht="14.1" customHeight="1"/>
    <row r="754" ht="14.1" customHeight="1"/>
    <row r="755" ht="14.1" customHeight="1"/>
    <row r="756" ht="14.1" customHeight="1"/>
    <row r="757" ht="14.1" customHeight="1"/>
    <row r="758" ht="14.1" customHeight="1"/>
    <row r="759" ht="14.1" customHeight="1"/>
    <row r="760" ht="14.1" customHeight="1"/>
    <row r="761" ht="14.1" customHeight="1"/>
    <row r="762" ht="14.1" customHeight="1"/>
    <row r="763" ht="14.1" customHeight="1"/>
    <row r="764" ht="14.1" customHeight="1"/>
    <row r="765" ht="14.1" customHeight="1"/>
    <row r="766" ht="14.1" customHeight="1"/>
    <row r="767" ht="14.1" customHeight="1"/>
    <row r="768" ht="14.1" customHeight="1"/>
    <row r="769" ht="14.1" customHeight="1"/>
    <row r="770" ht="14.1" customHeight="1"/>
    <row r="771" ht="14.1" customHeight="1"/>
    <row r="772" ht="14.1" customHeight="1"/>
    <row r="773" ht="14.1" customHeight="1"/>
    <row r="774" ht="14.1" customHeight="1"/>
    <row r="775" ht="14.1" customHeight="1"/>
    <row r="776" ht="14.1" customHeight="1"/>
    <row r="777" ht="14.1" customHeight="1"/>
    <row r="778" ht="14.1" customHeight="1"/>
    <row r="779" ht="14.1" customHeight="1"/>
    <row r="780" ht="14.1" customHeight="1"/>
    <row r="781" ht="14.1" customHeight="1"/>
    <row r="782" ht="14.1" customHeight="1"/>
    <row r="783" ht="14.1" customHeight="1"/>
    <row r="784" ht="14.1" customHeight="1"/>
    <row r="785" ht="14.1" customHeight="1"/>
    <row r="786" ht="14.1" customHeight="1"/>
    <row r="787" ht="14.1" customHeight="1"/>
    <row r="788" ht="14.1" customHeight="1"/>
    <row r="789" ht="14.1" customHeight="1"/>
    <row r="790" ht="14.1" customHeight="1"/>
    <row r="791" ht="14.1" customHeight="1"/>
    <row r="792" ht="14.1" customHeight="1"/>
    <row r="793" ht="14.1" customHeight="1"/>
    <row r="794" ht="14.1" customHeight="1"/>
    <row r="795" ht="14.1" customHeight="1"/>
    <row r="796" ht="14.1" customHeight="1"/>
    <row r="797" ht="14.1" customHeight="1"/>
    <row r="798" ht="14.1" customHeight="1"/>
    <row r="799" ht="14.1" customHeight="1"/>
    <row r="800" ht="14.1" customHeight="1"/>
    <row r="801" ht="14.1" customHeight="1"/>
    <row r="802" ht="14.1" customHeight="1"/>
    <row r="803" ht="14.1" customHeight="1"/>
    <row r="804" ht="14.1" customHeight="1"/>
    <row r="805" ht="14.1" customHeight="1"/>
    <row r="806" ht="14.1" customHeight="1"/>
    <row r="807" ht="14.1" customHeight="1"/>
    <row r="808" ht="14.1" customHeight="1"/>
    <row r="809" ht="14.1" customHeight="1"/>
    <row r="810" ht="14.1" customHeight="1"/>
    <row r="811" ht="14.1" customHeight="1"/>
    <row r="812" ht="14.1" customHeight="1"/>
    <row r="813" ht="14.1" customHeight="1"/>
    <row r="814" ht="14.1" customHeight="1"/>
    <row r="815" ht="14.1" customHeight="1"/>
    <row r="816" ht="14.1" customHeight="1"/>
    <row r="817" ht="14.1" customHeight="1"/>
    <row r="818" ht="14.1" customHeight="1"/>
    <row r="819" ht="14.1" customHeight="1"/>
    <row r="820" ht="14.1" customHeight="1"/>
    <row r="821" ht="14.1" customHeight="1"/>
    <row r="822" ht="14.1" customHeight="1"/>
    <row r="823" ht="14.1" customHeight="1"/>
    <row r="824" ht="14.1" customHeight="1"/>
    <row r="825" ht="14.1" customHeight="1"/>
    <row r="826" ht="14.1" customHeight="1"/>
    <row r="827" ht="14.1" customHeight="1"/>
    <row r="828" ht="14.1" customHeight="1"/>
    <row r="829" ht="14.1" customHeight="1"/>
    <row r="830" ht="14.1" customHeight="1"/>
    <row r="831" ht="14.1" customHeight="1"/>
    <row r="832" ht="14.1" customHeight="1"/>
    <row r="833" ht="14.1" customHeight="1"/>
    <row r="834" ht="14.1" customHeight="1"/>
    <row r="835" ht="14.1" customHeight="1"/>
    <row r="836" ht="14.1" customHeight="1"/>
    <row r="837" ht="14.1" customHeight="1"/>
    <row r="838" ht="14.1" customHeight="1"/>
    <row r="839" ht="14.1" customHeight="1"/>
    <row r="840" ht="14.1" customHeight="1"/>
    <row r="841" ht="14.1" customHeight="1"/>
    <row r="842" ht="14.1" customHeight="1"/>
    <row r="843" ht="14.1" customHeight="1"/>
    <row r="844" ht="14.1" customHeight="1"/>
    <row r="845" ht="14.1" customHeight="1"/>
    <row r="846" ht="14.1" customHeight="1"/>
    <row r="847" ht="14.1" customHeight="1"/>
    <row r="848" ht="14.1" customHeight="1"/>
    <row r="849" ht="14.1" customHeight="1"/>
    <row r="850" ht="14.1" customHeight="1"/>
    <row r="851" ht="14.1" customHeight="1"/>
    <row r="852" ht="14.1" customHeight="1"/>
    <row r="853" ht="14.1" customHeight="1"/>
    <row r="854" ht="14.1" customHeight="1"/>
    <row r="855" ht="14.1" customHeight="1"/>
    <row r="856" ht="14.1" customHeight="1"/>
    <row r="857" ht="14.1" customHeight="1"/>
    <row r="858" ht="14.1" customHeight="1"/>
    <row r="859" ht="14.1" customHeight="1"/>
    <row r="860" ht="14.1" customHeight="1"/>
    <row r="861" ht="14.1" customHeight="1"/>
    <row r="862" ht="14.1" customHeight="1"/>
    <row r="863" ht="14.1" customHeight="1"/>
    <row r="864" ht="14.1" customHeight="1"/>
    <row r="865" ht="14.1" customHeight="1"/>
    <row r="866" ht="14.1" customHeight="1"/>
    <row r="867" ht="14.1" customHeight="1"/>
    <row r="868" ht="14.1" customHeight="1"/>
    <row r="869" ht="14.1" customHeight="1"/>
    <row r="870" ht="14.1" customHeight="1"/>
    <row r="871" ht="14.1" customHeight="1"/>
    <row r="872" ht="14.1" customHeight="1"/>
    <row r="873" ht="14.1" customHeight="1"/>
    <row r="874" ht="14.1" customHeight="1"/>
    <row r="875" ht="14.1" customHeight="1"/>
    <row r="876" ht="14.1" customHeight="1"/>
    <row r="877" ht="14.1" customHeight="1"/>
    <row r="878" ht="14.1" customHeight="1"/>
    <row r="879" ht="14.1" customHeight="1"/>
    <row r="880" ht="14.1" customHeight="1"/>
    <row r="881" ht="14.1" customHeight="1"/>
    <row r="882" ht="14.1" customHeight="1"/>
    <row r="883" ht="14.1" customHeight="1"/>
    <row r="884" ht="14.1" customHeight="1"/>
    <row r="885" ht="14.1" customHeight="1"/>
    <row r="886" ht="14.1" customHeight="1"/>
    <row r="887" ht="14.1" customHeight="1"/>
    <row r="888" ht="14.1" customHeight="1"/>
    <row r="889" ht="14.1" customHeight="1"/>
    <row r="890" ht="14.1" customHeight="1"/>
    <row r="891" ht="14.1" customHeight="1"/>
    <row r="892" ht="14.1" customHeight="1"/>
    <row r="893" ht="14.1" customHeight="1"/>
    <row r="894" ht="14.1" customHeight="1"/>
    <row r="895" ht="14.1" customHeight="1"/>
    <row r="896" ht="14.1" customHeight="1"/>
    <row r="897" ht="14.1" customHeight="1"/>
    <row r="898" ht="14.1" customHeight="1"/>
    <row r="899" ht="14.1" customHeight="1"/>
    <row r="900" ht="14.1" customHeight="1"/>
    <row r="901" ht="14.1" customHeight="1"/>
    <row r="902" ht="14.1" customHeight="1"/>
    <row r="903" ht="14.1" customHeight="1"/>
    <row r="904" ht="14.1" customHeight="1"/>
    <row r="905" ht="14.1" customHeight="1"/>
    <row r="906" ht="14.1" customHeight="1"/>
    <row r="907" ht="14.1" customHeight="1"/>
    <row r="908" ht="14.1" customHeight="1"/>
    <row r="909" ht="14.1" customHeight="1"/>
    <row r="910" ht="14.1" customHeight="1"/>
    <row r="911" ht="14.1" customHeight="1"/>
    <row r="912" ht="14.1" customHeight="1"/>
    <row r="913" ht="14.1" customHeight="1"/>
    <row r="914" ht="14.1" customHeight="1"/>
    <row r="915" ht="14.1" customHeight="1"/>
    <row r="916" ht="14.1" customHeight="1"/>
    <row r="917" ht="14.1" customHeight="1"/>
    <row r="918" ht="14.1" customHeight="1"/>
    <row r="919" ht="14.1" customHeight="1"/>
    <row r="920" ht="14.1" customHeight="1"/>
    <row r="921" ht="14.1" customHeight="1"/>
    <row r="922" ht="14.1" customHeight="1"/>
    <row r="923" ht="14.1" customHeight="1"/>
    <row r="924" ht="14.1" customHeight="1"/>
    <row r="925" ht="14.1" customHeight="1"/>
    <row r="926" ht="14.1" customHeight="1"/>
    <row r="927" ht="14.1" customHeight="1"/>
    <row r="928" ht="14.1" customHeight="1"/>
    <row r="929" ht="14.1" customHeight="1"/>
    <row r="930" ht="14.1" customHeight="1"/>
    <row r="931" ht="14.1" customHeight="1"/>
    <row r="932" ht="14.1" customHeight="1"/>
    <row r="933" ht="14.1" customHeight="1"/>
    <row r="934" ht="14.1" customHeight="1"/>
    <row r="935" ht="14.1" customHeight="1"/>
    <row r="936" ht="14.1" customHeight="1"/>
    <row r="937" ht="14.1" customHeight="1"/>
    <row r="938" ht="14.1" customHeight="1"/>
    <row r="939" ht="14.1" customHeight="1"/>
    <row r="940" ht="14.1" customHeight="1"/>
    <row r="941" ht="14.1" customHeight="1"/>
    <row r="942" ht="14.1" customHeight="1"/>
    <row r="943" ht="14.1" customHeight="1"/>
    <row r="944" ht="14.1" customHeight="1"/>
    <row r="945" ht="14.1" customHeight="1"/>
    <row r="946" ht="14.1" customHeight="1"/>
    <row r="947" ht="14.1" customHeight="1"/>
    <row r="948" ht="14.1" customHeight="1"/>
    <row r="949" ht="14.1" customHeight="1"/>
    <row r="950" ht="14.1" customHeight="1"/>
    <row r="951" ht="14.1" customHeight="1"/>
    <row r="952" ht="14.1" customHeight="1"/>
    <row r="953" ht="14.1" customHeight="1"/>
    <row r="954" ht="14.1" customHeight="1"/>
    <row r="955" ht="14.1" customHeight="1"/>
    <row r="956" ht="14.1" customHeight="1"/>
    <row r="957" ht="14.1" customHeight="1"/>
    <row r="958" ht="14.1" customHeight="1"/>
    <row r="959" ht="14.1" customHeight="1"/>
    <row r="960" ht="14.1" customHeight="1"/>
    <row r="961" ht="14.1" customHeight="1"/>
    <row r="962" ht="14.1" customHeight="1"/>
    <row r="963" ht="14.1" customHeight="1"/>
    <row r="964" ht="14.1" customHeight="1"/>
    <row r="965" ht="14.1" customHeight="1"/>
    <row r="966" ht="14.1" customHeight="1"/>
    <row r="967" ht="14.1" customHeight="1"/>
    <row r="968" ht="14.1" customHeight="1"/>
    <row r="969" ht="14.1" customHeight="1"/>
    <row r="970" ht="14.1" customHeight="1"/>
    <row r="971" ht="14.1" customHeight="1"/>
    <row r="972" ht="14.1" customHeight="1"/>
    <row r="973" ht="14.1" customHeight="1"/>
    <row r="974" ht="14.1" customHeight="1"/>
    <row r="975" ht="14.1" customHeight="1"/>
    <row r="976" ht="14.1" customHeight="1"/>
    <row r="977" ht="14.1" customHeight="1"/>
    <row r="978" ht="14.1" customHeight="1"/>
    <row r="979" ht="14.1" customHeight="1"/>
    <row r="980" ht="14.1" customHeight="1"/>
    <row r="981" ht="14.1" customHeight="1"/>
    <row r="982" ht="14.1" customHeight="1"/>
    <row r="983" ht="14.1" customHeight="1"/>
    <row r="984" ht="14.1" customHeight="1"/>
    <row r="985" ht="14.1" customHeight="1"/>
    <row r="986" ht="14.1" customHeight="1"/>
    <row r="987" ht="14.1" customHeight="1"/>
    <row r="988" ht="14.1" customHeight="1"/>
    <row r="989" ht="14.1" customHeight="1"/>
    <row r="990" ht="14.1" customHeight="1"/>
    <row r="991" ht="14.1" customHeight="1"/>
    <row r="992" ht="14.1" customHeight="1"/>
    <row r="993" ht="14.1" customHeight="1"/>
    <row r="994" ht="14.1" customHeight="1"/>
    <row r="995" ht="14.1" customHeight="1"/>
    <row r="996" ht="14.1" customHeight="1"/>
    <row r="997" ht="14.1" customHeight="1"/>
    <row r="998" ht="14.1" customHeight="1"/>
    <row r="999" ht="14.1" customHeight="1"/>
    <row r="1000" ht="14.1" customHeight="1"/>
    <row r="1001" ht="14.1" customHeight="1"/>
    <row r="1002" ht="14.1" customHeight="1"/>
    <row r="1003" ht="14.1" customHeight="1"/>
    <row r="1004" ht="14.1" customHeight="1"/>
    <row r="1005" ht="14.1" customHeight="1"/>
    <row r="1006" ht="14.1" customHeight="1"/>
    <row r="1007" ht="14.1" customHeight="1"/>
    <row r="1008" ht="14.1" customHeight="1"/>
    <row r="1009" ht="14.1" customHeight="1"/>
    <row r="1010" ht="14.1" customHeight="1"/>
    <row r="1011" ht="14.1" customHeight="1"/>
    <row r="1012" ht="14.1" customHeight="1"/>
    <row r="1013" ht="14.1" customHeight="1"/>
    <row r="1014" ht="14.1" customHeight="1"/>
    <row r="1015" ht="14.1" customHeight="1"/>
    <row r="1016" ht="14.1" customHeight="1"/>
    <row r="1017" ht="14.1" customHeight="1"/>
    <row r="1018" ht="14.1" customHeight="1"/>
    <row r="1019" ht="14.1" customHeight="1"/>
    <row r="1020" ht="14.1" customHeight="1"/>
    <row r="1021" ht="14.1" customHeight="1"/>
    <row r="1022" ht="14.1" customHeight="1"/>
    <row r="1023" ht="14.1" customHeight="1"/>
    <row r="1024" ht="14.1" customHeight="1"/>
    <row r="1025" ht="14.1" customHeight="1"/>
    <row r="1026" ht="14.1" customHeight="1"/>
    <row r="1027" ht="14.1" customHeight="1"/>
    <row r="1028" ht="14.1" customHeight="1"/>
    <row r="1029" ht="14.1" customHeight="1"/>
    <row r="1030" ht="14.1" customHeight="1"/>
    <row r="1031" ht="14.1" customHeight="1"/>
    <row r="1032" ht="14.1" customHeight="1"/>
    <row r="1033" ht="14.1" customHeight="1"/>
    <row r="1034" ht="14.1" customHeight="1"/>
    <row r="1035" ht="14.1" customHeight="1"/>
    <row r="1036" ht="14.1" customHeight="1"/>
    <row r="1037" ht="14.1" customHeight="1"/>
    <row r="1038" ht="14.1" customHeight="1"/>
    <row r="1039" ht="14.1" customHeight="1"/>
    <row r="1040" ht="14.1" customHeight="1"/>
    <row r="1041" ht="14.1" customHeight="1"/>
    <row r="1042" ht="14.1" customHeight="1"/>
    <row r="1043" ht="14.1" customHeight="1"/>
    <row r="1044" ht="14.1" customHeight="1"/>
    <row r="1045" ht="14.1" customHeight="1"/>
    <row r="1046" ht="14.1" customHeight="1"/>
    <row r="1047" ht="14.1" customHeight="1"/>
    <row r="1048" ht="14.1" customHeight="1"/>
    <row r="1049" ht="14.1" customHeight="1"/>
    <row r="1050" ht="14.1" customHeight="1"/>
    <row r="1051" ht="14.1" customHeight="1"/>
    <row r="1052" ht="14.1" customHeight="1"/>
    <row r="1053" ht="14.1" customHeight="1"/>
    <row r="1054" ht="14.1" customHeight="1"/>
    <row r="1055" ht="14.1" customHeight="1"/>
    <row r="1056" ht="14.1" customHeight="1"/>
    <row r="1057" ht="14.1" customHeight="1"/>
    <row r="1058" ht="14.1" customHeight="1"/>
    <row r="1059" ht="14.1" customHeight="1"/>
    <row r="1060" ht="14.1" customHeight="1"/>
    <row r="1061" ht="14.1" customHeight="1"/>
    <row r="1062" ht="14.1" customHeight="1"/>
    <row r="1063" ht="14.1" customHeight="1"/>
    <row r="1064" ht="14.1" customHeight="1"/>
    <row r="1065" ht="14.1" customHeight="1"/>
    <row r="1066" ht="14.1" customHeight="1"/>
    <row r="1067" ht="14.1" customHeight="1"/>
    <row r="1068" ht="14.1" customHeight="1"/>
    <row r="1069" ht="14.1" customHeight="1"/>
    <row r="1070" ht="14.1" customHeight="1"/>
    <row r="1071" ht="14.1" customHeight="1"/>
    <row r="1072" ht="14.1" customHeight="1"/>
    <row r="1073" ht="14.1" customHeight="1"/>
    <row r="1074" ht="14.1" customHeight="1"/>
    <row r="1075" ht="14.1" customHeight="1"/>
    <row r="1076" ht="14.1" customHeight="1"/>
    <row r="1077" ht="14.1" customHeight="1"/>
    <row r="1078" ht="14.1" customHeight="1"/>
    <row r="1079" ht="14.1" customHeight="1"/>
    <row r="1080" ht="14.1" customHeight="1"/>
    <row r="1081" ht="14.1" customHeight="1"/>
    <row r="1082" ht="14.1" customHeight="1"/>
    <row r="1083" ht="14.1" customHeight="1"/>
    <row r="1084" ht="14.1" customHeight="1"/>
    <row r="1085" ht="14.1" customHeight="1"/>
    <row r="1086" ht="14.1" customHeight="1"/>
    <row r="1087" ht="14.1" customHeight="1"/>
    <row r="1088" ht="14.1" customHeight="1"/>
    <row r="1089" ht="14.1" customHeight="1"/>
    <row r="1090" ht="14.1" customHeight="1"/>
    <row r="1091" ht="14.1" customHeight="1"/>
    <row r="1092" ht="14.1" customHeight="1"/>
    <row r="1093" ht="14.1" customHeight="1"/>
    <row r="1094" ht="14.1" customHeight="1"/>
    <row r="1095" ht="14.1" customHeight="1"/>
    <row r="1096" ht="14.1" customHeight="1"/>
    <row r="1097" ht="14.1" customHeight="1"/>
    <row r="1098" ht="14.1" customHeight="1"/>
    <row r="1099" ht="14.1" customHeight="1"/>
    <row r="1100" ht="14.1" customHeight="1"/>
    <row r="1101" ht="14.1" customHeight="1"/>
    <row r="1102" ht="14.1" customHeight="1"/>
    <row r="1103" ht="14.1" customHeight="1"/>
    <row r="1104" ht="14.1" customHeight="1"/>
    <row r="1105" ht="14.1" customHeight="1"/>
    <row r="1106" ht="14.1" customHeight="1"/>
    <row r="1107" ht="14.1" customHeight="1"/>
    <row r="1108" ht="14.1" customHeight="1"/>
    <row r="1109" ht="14.1" customHeight="1"/>
    <row r="1110" ht="14.1" customHeight="1"/>
    <row r="1111" ht="14.1" customHeight="1"/>
    <row r="1112" ht="14.1" customHeight="1"/>
    <row r="1113" ht="14.1" customHeight="1"/>
    <row r="1114" ht="14.1" customHeight="1"/>
    <row r="1115" ht="14.1" customHeight="1"/>
    <row r="1116" ht="14.1" customHeight="1"/>
    <row r="1117" ht="14.1" customHeight="1"/>
    <row r="1118" ht="14.1" customHeight="1"/>
    <row r="1119" ht="14.1" customHeight="1"/>
    <row r="1120" ht="14.1" customHeight="1"/>
    <row r="1121" ht="14.1" customHeight="1"/>
    <row r="1122" ht="14.1" customHeight="1"/>
    <row r="1123" ht="14.1" customHeight="1"/>
    <row r="1124" ht="14.1" customHeight="1"/>
    <row r="1125" ht="14.1" customHeight="1"/>
    <row r="1126" ht="14.1" customHeight="1"/>
    <row r="1127" ht="14.1" customHeight="1"/>
    <row r="1128" ht="14.1" customHeight="1"/>
    <row r="1129" ht="14.1" customHeight="1"/>
    <row r="1130" ht="14.1" customHeight="1"/>
    <row r="1131" ht="14.1" customHeight="1"/>
    <row r="1132" ht="14.1" customHeight="1"/>
    <row r="1133" ht="14.1" customHeight="1"/>
    <row r="1134" ht="14.1" customHeight="1"/>
    <row r="1135" ht="14.1" customHeight="1"/>
    <row r="1136" ht="14.1" customHeight="1"/>
    <row r="1137" ht="14.1" customHeight="1"/>
    <row r="1138" ht="14.1" customHeight="1"/>
    <row r="1139" ht="14.1" customHeight="1"/>
    <row r="1140" ht="14.1" customHeight="1"/>
    <row r="1141" ht="14.1" customHeight="1"/>
    <row r="1142" ht="14.1" customHeight="1"/>
    <row r="1143" ht="14.1" customHeight="1"/>
    <row r="1144" ht="14.1" customHeight="1"/>
    <row r="1145" ht="14.1" customHeight="1"/>
    <row r="1146" ht="14.1" customHeight="1"/>
    <row r="1147" ht="14.1" customHeight="1"/>
    <row r="1148" ht="14.1" customHeight="1"/>
    <row r="1149" ht="14.1" customHeight="1"/>
    <row r="1150" ht="14.1" customHeight="1"/>
    <row r="1151" ht="14.1" customHeight="1"/>
    <row r="1152" ht="14.1" customHeight="1"/>
    <row r="1153" ht="14.1" customHeight="1"/>
    <row r="1154" ht="14.1" customHeight="1"/>
    <row r="1155" ht="14.1" customHeight="1"/>
    <row r="1156" ht="14.1" customHeight="1"/>
    <row r="1157" ht="14.1" customHeight="1"/>
    <row r="1158" ht="14.1" customHeight="1"/>
    <row r="1159" ht="14.1" customHeight="1"/>
    <row r="1160" ht="14.1" customHeight="1"/>
    <row r="1161" ht="14.1" customHeight="1"/>
    <row r="1162" ht="14.1" customHeight="1"/>
    <row r="1163" ht="14.1" customHeight="1"/>
    <row r="1164" ht="14.1" customHeight="1"/>
    <row r="1165" ht="14.1" customHeight="1"/>
    <row r="1166" ht="14.1" customHeight="1"/>
    <row r="1167" ht="14.1" customHeight="1"/>
    <row r="1168" ht="14.1" customHeight="1"/>
    <row r="1169" ht="14.1" customHeight="1"/>
    <row r="1170" ht="14.1" customHeight="1"/>
    <row r="1171" ht="14.1" customHeight="1"/>
    <row r="1172" ht="14.1" customHeight="1"/>
    <row r="1173" ht="14.1" customHeight="1"/>
    <row r="1174" ht="14.1" customHeight="1"/>
    <row r="1175" ht="14.1" customHeight="1"/>
    <row r="1176" ht="14.1" customHeight="1"/>
    <row r="1177" ht="14.1" customHeight="1"/>
    <row r="1178" ht="14.1" customHeight="1"/>
    <row r="1179" ht="14.1" customHeight="1"/>
    <row r="1180" ht="14.1" customHeight="1"/>
    <row r="1181" ht="14.1" customHeight="1"/>
    <row r="1182" ht="14.1" customHeight="1"/>
    <row r="1183" ht="14.1" customHeight="1"/>
    <row r="1184" ht="14.1" customHeight="1"/>
    <row r="1185" ht="14.1" customHeight="1"/>
    <row r="1186" ht="14.1" customHeight="1"/>
    <row r="1187" ht="14.1" customHeight="1"/>
    <row r="1188" ht="14.1" customHeight="1"/>
    <row r="1189" ht="14.1" customHeight="1"/>
    <row r="1190" ht="14.1" customHeight="1"/>
    <row r="1191" ht="14.1" customHeight="1"/>
    <row r="1192" ht="14.1" customHeight="1"/>
    <row r="1193" ht="14.1" customHeight="1"/>
    <row r="1194" ht="14.1" customHeight="1"/>
    <row r="1195" ht="14.1" customHeight="1"/>
    <row r="1196" ht="14.1" customHeight="1"/>
    <row r="1197" ht="14.1" customHeight="1"/>
    <row r="1198" ht="14.1" customHeight="1"/>
    <row r="1199" ht="14.1" customHeight="1"/>
    <row r="1200" ht="14.1" customHeight="1"/>
    <row r="1201" ht="14.1" customHeight="1"/>
    <row r="1202" ht="14.1" customHeight="1"/>
    <row r="1203" ht="14.1" customHeight="1"/>
    <row r="1204" ht="14.1" customHeight="1"/>
    <row r="1205" ht="14.1" customHeight="1"/>
    <row r="1206" ht="14.1" customHeight="1"/>
    <row r="1207" ht="14.1" customHeight="1"/>
    <row r="1208" ht="14.1" customHeight="1"/>
    <row r="1209" ht="14.1" customHeight="1"/>
    <row r="1210" ht="14.1" customHeight="1"/>
    <row r="1211" ht="14.1" customHeight="1"/>
    <row r="1212" ht="14.1" customHeight="1"/>
    <row r="1213" ht="14.1" customHeight="1"/>
    <row r="1214" ht="14.1" customHeight="1"/>
    <row r="1215" ht="14.1" customHeight="1"/>
    <row r="1216" ht="14.1" customHeight="1"/>
    <row r="1217" ht="14.1" customHeight="1"/>
    <row r="1218" ht="14.1" customHeight="1"/>
    <row r="1219" ht="14.1" customHeight="1"/>
    <row r="1220" ht="14.1" customHeight="1"/>
    <row r="1221" ht="14.1" customHeight="1"/>
    <row r="1222" ht="14.1" customHeight="1"/>
    <row r="1223" ht="14.1" customHeight="1"/>
    <row r="1224" ht="14.1" customHeight="1"/>
    <row r="1225" ht="14.1" customHeight="1"/>
    <row r="1226" ht="14.1" customHeight="1"/>
    <row r="1227" ht="14.1" customHeight="1"/>
    <row r="1228" ht="14.1" customHeight="1"/>
    <row r="1229" ht="14.1" customHeight="1"/>
    <row r="1230" ht="14.1" customHeight="1"/>
    <row r="1231" ht="14.1" customHeight="1"/>
    <row r="1232" ht="14.1" customHeight="1"/>
    <row r="1233" ht="14.1" customHeight="1"/>
    <row r="1234" ht="14.1" customHeight="1"/>
    <row r="1235" ht="14.1" customHeight="1"/>
    <row r="1236" ht="14.1" customHeight="1"/>
    <row r="1237" ht="14.1" customHeight="1"/>
    <row r="1238" ht="14.1" customHeight="1"/>
    <row r="1239" ht="14.1" customHeight="1"/>
    <row r="1240" ht="14.1" customHeight="1"/>
    <row r="1241" ht="14.1" customHeight="1"/>
    <row r="1242" ht="14.1" customHeight="1"/>
    <row r="1243" ht="14.1" customHeight="1"/>
    <row r="1244" ht="14.1" customHeight="1"/>
    <row r="1245" ht="14.1" customHeight="1"/>
    <row r="1246" ht="14.1" customHeight="1"/>
    <row r="1247" ht="14.1" customHeight="1"/>
    <row r="1248" ht="14.1" customHeight="1"/>
    <row r="1249" ht="14.1" customHeight="1"/>
    <row r="1250" ht="14.1" customHeight="1"/>
    <row r="1251" ht="14.1" customHeight="1"/>
    <row r="1252" ht="14.1" customHeight="1"/>
    <row r="1253" ht="14.1" customHeight="1"/>
    <row r="1254" ht="14.1" customHeight="1"/>
    <row r="1255" ht="14.1" customHeight="1"/>
    <row r="1256" ht="14.1" customHeight="1"/>
    <row r="1257" ht="14.1" customHeight="1"/>
    <row r="1258" ht="14.1" customHeight="1"/>
    <row r="1259" ht="14.1" customHeight="1"/>
    <row r="1260" ht="14.1" customHeight="1"/>
    <row r="1261" ht="14.1" customHeight="1"/>
    <row r="1262" ht="14.1" customHeight="1"/>
    <row r="1263" ht="14.1" customHeight="1"/>
    <row r="1264" ht="14.1" customHeight="1"/>
    <row r="1265" ht="14.1" customHeight="1"/>
    <row r="1266" ht="14.1" customHeight="1"/>
    <row r="1267" ht="14.1" customHeight="1"/>
    <row r="1268" ht="14.1" customHeight="1"/>
    <row r="1269" ht="14.1" customHeight="1"/>
    <row r="1270" ht="14.1" customHeight="1"/>
    <row r="1271" ht="14.1" customHeight="1"/>
    <row r="1272" ht="14.1" customHeight="1"/>
    <row r="1273" ht="14.1" customHeight="1"/>
    <row r="1274" ht="14.1" customHeight="1"/>
    <row r="1275" ht="14.1" customHeight="1"/>
    <row r="1276" ht="14.1" customHeight="1"/>
    <row r="1277" ht="14.1" customHeight="1"/>
    <row r="1278" ht="14.1" customHeight="1"/>
    <row r="1279" ht="14.1" customHeight="1"/>
    <row r="1280" ht="14.1" customHeight="1"/>
    <row r="1281" ht="14.1" customHeight="1"/>
    <row r="1282" ht="14.1" customHeight="1"/>
    <row r="1283" ht="14.1" customHeight="1"/>
    <row r="1284" ht="14.1" customHeight="1"/>
    <row r="1285" ht="14.1" customHeight="1"/>
    <row r="1286" ht="14.1" customHeight="1"/>
    <row r="1287" ht="14.1" customHeight="1"/>
    <row r="1288" ht="14.1" customHeight="1"/>
    <row r="1289" ht="14.1" customHeight="1"/>
    <row r="1290" ht="14.1" customHeight="1"/>
    <row r="1291" ht="14.1" customHeight="1"/>
    <row r="1292" ht="14.1" customHeight="1"/>
    <row r="1293" ht="14.1" customHeight="1"/>
    <row r="1294" ht="14.1" customHeight="1"/>
    <row r="1295" ht="14.1" customHeight="1"/>
    <row r="1296" ht="14.1" customHeight="1"/>
    <row r="1297" ht="14.1" customHeight="1"/>
    <row r="1298" ht="14.1" customHeight="1"/>
    <row r="1299" ht="14.1" customHeight="1"/>
    <row r="1300" ht="14.1" customHeight="1"/>
    <row r="1301" ht="14.1" customHeight="1"/>
    <row r="1302" ht="14.1" customHeight="1"/>
    <row r="1303" ht="14.1" customHeight="1"/>
    <row r="1304" ht="14.1" customHeight="1"/>
    <row r="1305" ht="14.1" customHeight="1"/>
    <row r="1306" ht="14.1" customHeight="1"/>
    <row r="1307" ht="14.1" customHeight="1"/>
    <row r="1308" ht="14.1" customHeight="1"/>
    <row r="1309" ht="14.1" customHeight="1"/>
    <row r="1310" ht="14.1" customHeight="1"/>
    <row r="1311" ht="14.1" customHeight="1"/>
    <row r="1312" ht="14.1" customHeight="1"/>
    <row r="1313" ht="14.1" customHeight="1"/>
    <row r="1314" ht="14.1" customHeight="1"/>
    <row r="1315" ht="14.1" customHeight="1"/>
    <row r="1316" ht="14.1" customHeight="1"/>
    <row r="1317" ht="14.1" customHeight="1"/>
    <row r="1318" ht="14.1" customHeight="1"/>
    <row r="1319" ht="14.1" customHeight="1"/>
    <row r="1320" ht="14.1" customHeight="1"/>
    <row r="1321" ht="14.1" customHeight="1"/>
    <row r="1322" ht="14.1" customHeight="1"/>
    <row r="1323" ht="14.1" customHeight="1"/>
    <row r="1324" ht="14.1" customHeight="1"/>
    <row r="1325" ht="14.1" customHeight="1"/>
    <row r="1326" ht="14.1" customHeight="1"/>
    <row r="1327" ht="14.1" customHeight="1"/>
    <row r="1328" ht="14.1" customHeight="1"/>
    <row r="1329" ht="14.1" customHeight="1"/>
    <row r="1330" ht="14.1" customHeight="1"/>
    <row r="1331" ht="14.1" customHeight="1"/>
    <row r="1332" ht="14.1" customHeight="1"/>
    <row r="1333" ht="14.1" customHeight="1"/>
    <row r="1334" ht="14.1" customHeight="1"/>
    <row r="1335" ht="14.1" customHeight="1"/>
    <row r="1336" ht="14.1" customHeight="1"/>
    <row r="1337" ht="14.1" customHeight="1"/>
    <row r="1338" ht="14.1" customHeight="1"/>
    <row r="1339" ht="14.1" customHeight="1"/>
    <row r="1340" ht="14.1" customHeight="1"/>
    <row r="1341" ht="14.1" customHeight="1"/>
    <row r="1342" ht="14.1" customHeight="1"/>
    <row r="1343" ht="14.1" customHeight="1"/>
    <row r="1344" ht="14.1" customHeight="1"/>
    <row r="1345" ht="14.1" customHeight="1"/>
    <row r="1346" ht="14.1" customHeight="1"/>
    <row r="1347" ht="14.1" customHeight="1"/>
    <row r="1348" ht="14.1" customHeight="1"/>
    <row r="1349" ht="14.1" customHeight="1"/>
    <row r="1350" ht="14.1" customHeight="1"/>
    <row r="1351" ht="14.1" customHeight="1"/>
    <row r="1352" ht="14.1" customHeight="1"/>
    <row r="1353" ht="14.1" customHeight="1"/>
    <row r="1354" ht="14.1" customHeight="1"/>
    <row r="1355" ht="14.1" customHeight="1"/>
    <row r="1356" ht="14.1" customHeight="1"/>
    <row r="1357" ht="14.1" customHeight="1"/>
    <row r="1358" ht="14.1" customHeight="1"/>
    <row r="1359" ht="14.1" customHeight="1"/>
    <row r="1360" ht="14.1" customHeight="1"/>
    <row r="1361" ht="14.1" customHeight="1"/>
    <row r="1362" ht="14.1" customHeight="1"/>
    <row r="1363" ht="14.1" customHeight="1"/>
    <row r="1364" ht="14.1" customHeight="1"/>
    <row r="1365" ht="14.1" customHeight="1"/>
    <row r="1366" ht="14.1" customHeight="1"/>
    <row r="1367" ht="14.1" customHeight="1"/>
    <row r="1368" ht="14.1" customHeight="1"/>
    <row r="1369" ht="14.1" customHeight="1"/>
    <row r="1370" ht="14.1" customHeight="1"/>
    <row r="1371" ht="14.1" customHeight="1"/>
    <row r="1372" ht="14.1" customHeight="1"/>
    <row r="1373" ht="14.1" customHeight="1"/>
    <row r="1374" ht="14.1" customHeight="1"/>
    <row r="1375" ht="14.1" customHeight="1"/>
    <row r="1376" ht="14.1" customHeight="1"/>
    <row r="1377" ht="14.1" customHeight="1"/>
    <row r="1378" ht="14.1" customHeight="1"/>
    <row r="1379" ht="14.1" customHeight="1"/>
    <row r="1380" ht="14.1" customHeight="1"/>
    <row r="1381" ht="14.1" customHeight="1"/>
    <row r="1382" ht="14.1" customHeight="1"/>
    <row r="1383" ht="14.1" customHeight="1"/>
    <row r="1384" ht="14.1" customHeight="1"/>
    <row r="1385" ht="14.1" customHeight="1"/>
    <row r="1386" ht="14.1" customHeight="1"/>
    <row r="1387" ht="14.1" customHeight="1"/>
    <row r="1388" ht="14.1" customHeight="1"/>
    <row r="1389" ht="14.1" customHeight="1"/>
    <row r="1390" ht="14.1" customHeight="1"/>
    <row r="1391" ht="14.1" customHeight="1"/>
    <row r="1392" ht="14.1" customHeight="1"/>
    <row r="1393" ht="14.1" customHeight="1"/>
    <row r="1394" ht="14.1" customHeight="1"/>
    <row r="1395" ht="14.1" customHeight="1"/>
    <row r="1396" ht="14.1" customHeight="1"/>
    <row r="1397" ht="14.1" customHeight="1"/>
    <row r="1398" ht="14.1" customHeight="1"/>
    <row r="1399" ht="14.1" customHeight="1"/>
    <row r="1400" ht="14.1" customHeight="1"/>
    <row r="1401" ht="14.1" customHeight="1"/>
    <row r="1402" ht="14.1" customHeight="1"/>
    <row r="1403" ht="14.1" customHeight="1"/>
    <row r="1404" ht="14.1" customHeight="1"/>
    <row r="1405" ht="14.1" customHeight="1"/>
    <row r="1406" ht="14.1" customHeight="1"/>
    <row r="1407" ht="14.1" customHeight="1"/>
    <row r="1408" ht="14.1" customHeight="1"/>
    <row r="1409" ht="14.1" customHeight="1"/>
    <row r="1410" ht="14.1" customHeight="1"/>
    <row r="1411" ht="14.1" customHeight="1"/>
    <row r="1412" ht="14.1" customHeight="1"/>
    <row r="1413" ht="14.1" customHeight="1"/>
    <row r="1414" ht="14.1" customHeight="1"/>
    <row r="1415" ht="14.1" customHeight="1"/>
    <row r="1416" ht="14.1" customHeight="1"/>
    <row r="1417" ht="14.1" customHeight="1"/>
    <row r="1418" ht="14.1" customHeight="1"/>
    <row r="1419" ht="14.1" customHeight="1"/>
    <row r="1420" ht="14.1" customHeight="1"/>
    <row r="1421" ht="14.1" customHeight="1"/>
    <row r="1422" ht="14.1" customHeight="1"/>
    <row r="1423" ht="14.1" customHeight="1"/>
    <row r="1424" ht="14.1" customHeight="1"/>
    <row r="1425" ht="14.1" customHeight="1"/>
    <row r="1426" ht="14.1" customHeight="1"/>
    <row r="1427" ht="14.1" customHeight="1"/>
    <row r="1428" ht="14.1" customHeight="1"/>
    <row r="1429" ht="14.1" customHeight="1"/>
    <row r="1430" ht="14.1" customHeight="1"/>
    <row r="1431" ht="14.1" customHeight="1"/>
    <row r="1432" ht="14.1" customHeight="1"/>
    <row r="1433" ht="14.1" customHeight="1"/>
    <row r="1434" ht="14.1" customHeight="1"/>
    <row r="1435" ht="14.1" customHeight="1"/>
    <row r="1436" ht="14.1" customHeight="1"/>
    <row r="1437" ht="14.1" customHeight="1"/>
    <row r="1438" ht="14.1" customHeight="1"/>
    <row r="1439" ht="14.1" customHeight="1"/>
    <row r="1440" ht="14.1" customHeight="1"/>
    <row r="1441" ht="14.1" customHeight="1"/>
    <row r="1442" ht="14.1" customHeight="1"/>
    <row r="1443" ht="14.1" customHeight="1"/>
    <row r="1444" ht="14.1" customHeight="1"/>
    <row r="1445" ht="14.1" customHeight="1"/>
    <row r="1446" ht="14.1" customHeight="1"/>
    <row r="1447" ht="14.1" customHeight="1"/>
    <row r="1448" ht="14.1" customHeight="1"/>
    <row r="1449" ht="14.1" customHeight="1"/>
    <row r="1450" ht="14.1" customHeight="1"/>
    <row r="1451" ht="14.1" customHeight="1"/>
    <row r="1452" ht="14.1" customHeight="1"/>
    <row r="1453" ht="14.1" customHeight="1"/>
    <row r="1454" ht="14.1" customHeight="1"/>
    <row r="1455" ht="14.1" customHeight="1"/>
    <row r="1456" ht="14.1" customHeight="1"/>
    <row r="1457" ht="14.1" customHeight="1"/>
    <row r="1458" ht="14.1" customHeight="1"/>
    <row r="1459" ht="14.1" customHeight="1"/>
    <row r="1460" ht="14.1" customHeight="1"/>
    <row r="1461" ht="14.1" customHeight="1"/>
    <row r="1462" ht="14.1" customHeight="1"/>
    <row r="1463" ht="14.1" customHeight="1"/>
    <row r="1464" ht="14.1" customHeight="1"/>
    <row r="1465" ht="14.1" customHeight="1"/>
    <row r="1466" ht="14.1" customHeight="1"/>
    <row r="1467" ht="14.1" customHeight="1"/>
    <row r="1468" ht="14.1" customHeight="1"/>
    <row r="1469" ht="14.1" customHeight="1"/>
    <row r="1470" ht="14.1" customHeight="1"/>
    <row r="1471" ht="14.1" customHeight="1"/>
    <row r="1472" ht="14.1" customHeight="1"/>
    <row r="1473" ht="14.1" customHeight="1"/>
    <row r="1474" ht="14.1" customHeight="1"/>
    <row r="1475" ht="14.1" customHeight="1"/>
    <row r="1476" ht="14.1" customHeight="1"/>
    <row r="1477" ht="14.1" customHeight="1"/>
    <row r="1478" ht="14.1" customHeight="1"/>
    <row r="1479" ht="14.1" customHeight="1"/>
    <row r="1480" ht="14.1" customHeight="1"/>
    <row r="1481" ht="14.1" customHeight="1"/>
    <row r="1482" ht="14.1" customHeight="1"/>
    <row r="1483" ht="14.1" customHeight="1"/>
    <row r="1484" ht="14.1" customHeight="1"/>
    <row r="1485" ht="14.1" customHeight="1"/>
    <row r="1486" ht="14.1" customHeight="1"/>
    <row r="1487" ht="14.1" customHeight="1"/>
    <row r="1488" ht="14.1" customHeight="1"/>
    <row r="1489" ht="14.1" customHeight="1"/>
    <row r="1490" ht="14.1" customHeight="1"/>
    <row r="1491" ht="14.1" customHeight="1"/>
    <row r="1492" ht="14.1" customHeight="1"/>
    <row r="1493" ht="14.1" customHeight="1"/>
    <row r="1494" ht="14.1" customHeight="1"/>
    <row r="1495" ht="14.1" customHeight="1"/>
    <row r="1496" ht="14.1" customHeight="1"/>
    <row r="1497" ht="14.1" customHeight="1"/>
    <row r="1498" ht="14.1" customHeight="1"/>
    <row r="1499" ht="14.1" customHeight="1"/>
    <row r="1500" ht="14.1" customHeight="1"/>
    <row r="1501" ht="14.1" customHeight="1"/>
    <row r="1502" ht="14.1" customHeight="1"/>
    <row r="1503" ht="14.1" customHeight="1"/>
    <row r="1504" ht="14.1" customHeight="1"/>
    <row r="1505" ht="14.1" customHeight="1"/>
    <row r="1506" ht="14.1" customHeight="1"/>
    <row r="1507" ht="14.1" customHeight="1"/>
    <row r="1508" ht="14.1" customHeight="1"/>
    <row r="1509" ht="14.1" customHeight="1"/>
    <row r="1510" ht="14.1" customHeight="1"/>
    <row r="1511" ht="14.1" customHeight="1"/>
    <row r="1512" ht="14.1" customHeight="1"/>
    <row r="1513" ht="14.1" customHeight="1"/>
    <row r="1514" ht="14.1" customHeight="1"/>
    <row r="1515" ht="14.1" customHeight="1"/>
    <row r="1516" ht="14.1" customHeight="1"/>
    <row r="1517" ht="14.1" customHeight="1"/>
    <row r="1518" ht="14.1" customHeight="1"/>
    <row r="1519" ht="14.1" customHeight="1"/>
    <row r="1520" ht="14.1" customHeight="1"/>
    <row r="1521" ht="14.1" customHeight="1"/>
    <row r="1522" ht="14.1" customHeight="1"/>
    <row r="1523" ht="14.1" customHeight="1"/>
    <row r="1524" ht="14.1" customHeight="1"/>
    <row r="1525" ht="14.1" customHeight="1"/>
    <row r="1526" ht="14.1" customHeight="1"/>
    <row r="1527" ht="14.1" customHeight="1"/>
    <row r="1528" ht="14.1" customHeight="1"/>
    <row r="1529" ht="14.1" customHeight="1"/>
    <row r="1530" ht="14.1" customHeight="1"/>
    <row r="1531" ht="14.1" customHeight="1"/>
    <row r="1532" ht="14.1" customHeight="1"/>
    <row r="1533" ht="14.1" customHeight="1"/>
    <row r="1534" ht="14.1" customHeight="1"/>
    <row r="1535" ht="14.1" customHeight="1"/>
    <row r="1536" ht="14.1" customHeight="1"/>
    <row r="1537" ht="14.1" customHeight="1"/>
    <row r="1538" ht="14.1" customHeight="1"/>
    <row r="1539" ht="14.1" customHeight="1"/>
    <row r="1540" ht="14.1" customHeight="1"/>
    <row r="1541" ht="14.1" customHeight="1"/>
    <row r="1542" ht="14.1" customHeight="1"/>
    <row r="1543" ht="14.1" customHeight="1"/>
    <row r="1544" ht="14.1" customHeight="1"/>
    <row r="1545" ht="14.1" customHeight="1"/>
    <row r="1546" ht="14.1" customHeight="1"/>
    <row r="1547" ht="14.1" customHeight="1"/>
    <row r="1548" ht="14.1" customHeight="1"/>
    <row r="1549" ht="14.1" customHeight="1"/>
    <row r="1550" ht="14.1" customHeight="1"/>
    <row r="1551" ht="14.1" customHeight="1"/>
    <row r="1552" ht="14.1" customHeight="1"/>
    <row r="1553" ht="14.1" customHeight="1"/>
    <row r="1554" ht="14.1" customHeight="1"/>
    <row r="1555" ht="14.1" customHeight="1"/>
    <row r="1556" ht="14.1" customHeight="1"/>
    <row r="1557" ht="14.1" customHeight="1"/>
    <row r="1558" ht="14.1" customHeight="1"/>
    <row r="1559" ht="14.1" customHeight="1"/>
    <row r="1560" ht="14.1" customHeight="1"/>
    <row r="1561" ht="14.1" customHeight="1"/>
    <row r="1562" ht="14.1" customHeight="1"/>
    <row r="1563" ht="14.1" customHeight="1"/>
    <row r="1564" ht="14.1" customHeight="1"/>
    <row r="1565" ht="14.1" customHeight="1"/>
    <row r="1566" ht="14.1" customHeight="1"/>
    <row r="1567" ht="14.1" customHeight="1"/>
    <row r="1568" ht="14.1" customHeight="1"/>
    <row r="1569" ht="14.1" customHeight="1"/>
    <row r="1570" ht="14.1" customHeight="1"/>
    <row r="1571" ht="14.1" customHeight="1"/>
    <row r="1572" ht="14.1" customHeight="1"/>
    <row r="1573" ht="14.1" customHeight="1"/>
    <row r="1574" ht="14.1" customHeight="1"/>
    <row r="1575" ht="14.1" customHeight="1"/>
    <row r="1576" ht="14.1" customHeight="1"/>
    <row r="1577" ht="14.1" customHeight="1"/>
    <row r="1578" ht="14.1" customHeight="1"/>
    <row r="1579" ht="14.1" customHeight="1"/>
    <row r="1580" ht="14.1" customHeight="1"/>
    <row r="1581" ht="14.1" customHeight="1"/>
    <row r="1582" ht="14.1" customHeight="1"/>
    <row r="1583" ht="14.1" customHeight="1"/>
    <row r="1584" ht="14.1" customHeight="1"/>
    <row r="1585" ht="14.1" customHeight="1"/>
    <row r="1586" ht="14.1" customHeight="1"/>
    <row r="1587" ht="14.1" customHeight="1"/>
    <row r="1588" ht="14.1" customHeight="1"/>
    <row r="1589" ht="14.1" customHeight="1"/>
    <row r="1590" ht="14.1" customHeight="1"/>
    <row r="1591" ht="14.1" customHeight="1"/>
    <row r="1592" ht="14.1" customHeight="1"/>
    <row r="1593" ht="14.1" customHeight="1"/>
    <row r="1594" ht="14.1" customHeight="1"/>
    <row r="1595" ht="14.1" customHeight="1"/>
    <row r="1596" ht="14.1" customHeight="1"/>
    <row r="1597" ht="14.1" customHeight="1"/>
    <row r="1598" ht="14.1" customHeight="1"/>
    <row r="1599" ht="14.1" customHeight="1"/>
    <row r="1600" ht="14.1" customHeight="1"/>
    <row r="1601" ht="14.1" customHeight="1"/>
    <row r="1602" ht="14.1" customHeight="1"/>
    <row r="1603" ht="14.1" customHeight="1"/>
    <row r="1604" ht="14.1" customHeight="1"/>
    <row r="1605" ht="14.1" customHeight="1"/>
    <row r="1606" ht="14.1" customHeight="1"/>
    <row r="1607" ht="14.1" customHeight="1"/>
    <row r="1608" ht="14.1" customHeight="1"/>
    <row r="1609" ht="14.1" customHeight="1"/>
    <row r="1610" ht="14.1" customHeight="1"/>
    <row r="1611" ht="14.1" customHeight="1"/>
    <row r="1612" ht="14.1" customHeight="1"/>
    <row r="1613" ht="14.1" customHeight="1"/>
    <row r="1614" ht="14.1" customHeight="1"/>
    <row r="1615" ht="14.1" customHeight="1"/>
    <row r="1616" ht="14.1" customHeight="1"/>
    <row r="1617" ht="14.1" customHeight="1"/>
    <row r="1618" ht="14.1" customHeight="1"/>
    <row r="1619" ht="14.1" customHeight="1"/>
    <row r="1620" ht="14.1" customHeight="1"/>
    <row r="1621" ht="14.1" customHeight="1"/>
    <row r="1622" ht="14.1" customHeight="1"/>
    <row r="1623" ht="14.1" customHeight="1"/>
    <row r="1624" ht="14.1" customHeight="1"/>
    <row r="1625" ht="14.1" customHeight="1"/>
    <row r="1626" ht="14.1" customHeight="1"/>
    <row r="1627" ht="14.1" customHeight="1"/>
    <row r="1628" ht="14.1" customHeight="1"/>
    <row r="1629" ht="14.1" customHeight="1"/>
    <row r="1630" ht="14.1" customHeight="1"/>
    <row r="1631" ht="14.1" customHeight="1"/>
    <row r="1632" ht="14.1" customHeight="1"/>
    <row r="1633" ht="14.1" customHeight="1"/>
    <row r="1634" ht="14.1" customHeight="1"/>
    <row r="1635" ht="14.1" customHeight="1"/>
    <row r="1636" ht="14.1" customHeight="1"/>
    <row r="1637" ht="14.1" customHeight="1"/>
    <row r="1638" ht="14.1" customHeight="1"/>
    <row r="1639" ht="14.1" customHeight="1"/>
    <row r="1640" ht="14.1" customHeight="1"/>
    <row r="1641" ht="14.1" customHeight="1"/>
    <row r="1642" ht="14.1" customHeight="1"/>
    <row r="1643" ht="14.1" customHeight="1"/>
    <row r="1644" ht="14.1" customHeight="1"/>
    <row r="1645" ht="14.1" customHeight="1"/>
    <row r="1646" ht="14.1" customHeight="1"/>
    <row r="1647" ht="14.1" customHeight="1"/>
    <row r="1648" ht="14.1" customHeight="1"/>
    <row r="1649" ht="14.1" customHeight="1"/>
    <row r="1650" ht="14.1" customHeight="1"/>
    <row r="1651" ht="14.1" customHeight="1"/>
    <row r="1652" ht="14.1" customHeight="1"/>
    <row r="1653" ht="14.1" customHeight="1"/>
    <row r="1654" ht="14.1" customHeight="1"/>
    <row r="1655" ht="14.1" customHeight="1"/>
    <row r="1656" ht="14.1" customHeight="1"/>
    <row r="1657" ht="14.1" customHeight="1"/>
    <row r="1658" ht="14.1" customHeight="1"/>
    <row r="1659" ht="14.1" customHeight="1"/>
    <row r="1660" ht="14.1" customHeight="1"/>
    <row r="1661" ht="14.1" customHeight="1"/>
    <row r="1662" ht="14.1" customHeight="1"/>
    <row r="1663" ht="14.1" customHeight="1"/>
    <row r="1664" ht="14.1" customHeight="1"/>
    <row r="1665" ht="14.1" customHeight="1"/>
    <row r="1666" ht="14.1" customHeight="1"/>
    <row r="1667" ht="14.1" customHeight="1"/>
    <row r="1668" ht="14.1" customHeight="1"/>
    <row r="1669" ht="14.1" customHeight="1"/>
    <row r="1670" ht="14.1" customHeight="1"/>
    <row r="1671" ht="14.1" customHeight="1"/>
    <row r="1672" ht="14.1" customHeight="1"/>
    <row r="1673" ht="14.1" customHeight="1"/>
    <row r="1674" ht="14.1" customHeight="1"/>
    <row r="1675" ht="14.1" customHeight="1"/>
    <row r="1676" ht="14.1" customHeight="1"/>
    <row r="1677" ht="14.1" customHeight="1"/>
    <row r="1678" ht="14.1" customHeight="1"/>
    <row r="1679" ht="14.1" customHeight="1"/>
    <row r="1680" ht="14.1" customHeight="1"/>
    <row r="1681" ht="14.1" customHeight="1"/>
    <row r="1682" ht="14.1" customHeight="1"/>
    <row r="1683" ht="14.1" customHeight="1"/>
    <row r="1684" ht="14.1" customHeight="1"/>
    <row r="1685" ht="14.1" customHeight="1"/>
    <row r="1686" ht="14.1" customHeight="1"/>
    <row r="1687" ht="14.1" customHeight="1"/>
    <row r="1688" ht="14.1" customHeight="1"/>
    <row r="1689" ht="14.1" customHeight="1"/>
    <row r="1690" ht="14.1" customHeight="1"/>
    <row r="1691" ht="14.1" customHeight="1"/>
    <row r="1692" ht="14.1" customHeight="1"/>
    <row r="1693" ht="14.1" customHeight="1"/>
    <row r="1694" ht="14.1" customHeight="1"/>
    <row r="1695" ht="14.1" customHeight="1"/>
    <row r="1696" ht="14.1" customHeight="1"/>
    <row r="1697" ht="14.1" customHeight="1"/>
    <row r="1698" ht="14.1" customHeight="1"/>
    <row r="1699" ht="14.1" customHeight="1"/>
    <row r="1700" ht="14.1" customHeight="1"/>
    <row r="1701" ht="14.1" customHeight="1"/>
    <row r="1702" ht="14.1" customHeight="1"/>
    <row r="1703" ht="14.1" customHeight="1"/>
    <row r="1704" ht="14.1" customHeight="1"/>
    <row r="1705" ht="14.1" customHeight="1"/>
    <row r="1706" ht="14.1" customHeight="1"/>
    <row r="1707" ht="14.1" customHeight="1"/>
    <row r="1708" ht="14.1" customHeight="1"/>
    <row r="1709" ht="14.1" customHeight="1"/>
    <row r="1710" ht="14.1" customHeight="1"/>
    <row r="1711" ht="14.1" customHeight="1"/>
    <row r="1712" ht="14.1" customHeight="1"/>
    <row r="1713" ht="14.1" customHeight="1"/>
    <row r="1714" ht="14.1" customHeight="1"/>
    <row r="1715" ht="14.1" customHeight="1"/>
    <row r="1716" ht="14.1" customHeight="1"/>
    <row r="1717" ht="14.1" customHeight="1"/>
    <row r="1718" ht="14.1" customHeight="1"/>
    <row r="1719" ht="14.1" customHeight="1"/>
    <row r="1720" ht="14.1" customHeight="1"/>
    <row r="1721" ht="14.1" customHeight="1"/>
    <row r="1722" ht="14.1" customHeight="1"/>
    <row r="1723" ht="14.1" customHeight="1"/>
    <row r="1724" ht="14.1" customHeight="1"/>
    <row r="1725" ht="14.1" customHeight="1"/>
    <row r="1726" ht="14.1" customHeight="1"/>
    <row r="1727" ht="14.1" customHeight="1"/>
    <row r="1728" ht="14.1" customHeight="1"/>
    <row r="1729" ht="14.1" customHeight="1"/>
    <row r="1730" ht="14.1" customHeight="1"/>
    <row r="1731" ht="14.1" customHeight="1"/>
    <row r="1732" ht="14.1" customHeight="1"/>
    <row r="1733" ht="14.1" customHeight="1"/>
    <row r="1734" ht="14.1" customHeight="1"/>
    <row r="1735" ht="14.1" customHeight="1"/>
    <row r="1736" ht="14.1" customHeight="1"/>
    <row r="1737" ht="14.1" customHeight="1"/>
    <row r="1738" ht="14.1" customHeight="1"/>
    <row r="1739" ht="14.1" customHeight="1"/>
    <row r="1740" ht="14.1" customHeight="1"/>
    <row r="1741" ht="14.1" customHeight="1"/>
    <row r="1742" ht="14.1" customHeight="1"/>
    <row r="1743" ht="14.1" customHeight="1"/>
    <row r="1744" ht="14.1" customHeight="1"/>
    <row r="1745" ht="14.1" customHeight="1"/>
    <row r="1746" ht="14.1" customHeight="1"/>
    <row r="1747" ht="14.1" customHeight="1"/>
    <row r="1748" ht="14.1" customHeight="1"/>
    <row r="1749" ht="14.1" customHeight="1"/>
    <row r="1750" ht="14.1" customHeight="1"/>
    <row r="1751" ht="14.1" customHeight="1"/>
    <row r="1752" ht="14.1" customHeight="1"/>
    <row r="1753" ht="14.1" customHeight="1"/>
    <row r="1754" ht="14.1" customHeight="1"/>
    <row r="1755" ht="14.1" customHeight="1"/>
    <row r="1756" ht="14.1" customHeight="1"/>
    <row r="1757" ht="14.1" customHeight="1"/>
    <row r="1758" ht="14.1" customHeight="1"/>
    <row r="1759" ht="14.1" customHeight="1"/>
    <row r="1760" ht="14.1" customHeight="1"/>
    <row r="1761" ht="14.1" customHeight="1"/>
    <row r="1762" ht="14.1" customHeight="1"/>
    <row r="1763" ht="14.1" customHeight="1"/>
    <row r="1764" ht="14.1" customHeight="1"/>
    <row r="1765" ht="14.1" customHeight="1"/>
    <row r="1766" ht="14.1" customHeight="1"/>
    <row r="1767" ht="14.1" customHeight="1"/>
    <row r="1768" ht="14.1" customHeight="1"/>
    <row r="1769" ht="14.1" customHeight="1"/>
    <row r="1770" ht="14.1" customHeight="1"/>
    <row r="1771" ht="14.1" customHeight="1"/>
    <row r="1772" ht="14.1" customHeight="1"/>
    <row r="1773" ht="14.1" customHeight="1"/>
    <row r="1774" ht="14.1" customHeight="1"/>
    <row r="1775" ht="14.1" customHeight="1"/>
    <row r="1776" ht="14.1" customHeight="1"/>
    <row r="1777" ht="14.1" customHeight="1"/>
    <row r="1778" ht="14.1" customHeight="1"/>
    <row r="1779" ht="14.1" customHeight="1"/>
    <row r="1780" ht="14.1" customHeight="1"/>
    <row r="1781" ht="14.1" customHeight="1"/>
    <row r="1782" ht="14.1" customHeight="1"/>
    <row r="1783" ht="14.1" customHeight="1"/>
    <row r="1784" ht="14.1" customHeight="1"/>
    <row r="1785" ht="14.1" customHeight="1"/>
    <row r="1786" ht="14.1" customHeight="1"/>
    <row r="1787" ht="14.1" customHeight="1"/>
    <row r="1788" ht="14.1" customHeight="1"/>
    <row r="1789" ht="14.1" customHeight="1"/>
    <row r="1790" ht="14.1" customHeight="1"/>
    <row r="1791" ht="14.1" customHeight="1"/>
    <row r="1792" ht="14.1" customHeight="1"/>
    <row r="1793" ht="14.1" customHeight="1"/>
    <row r="1794" ht="14.1" customHeight="1"/>
    <row r="1795" ht="14.1" customHeight="1"/>
    <row r="1796" ht="14.1" customHeight="1"/>
    <row r="1797" ht="14.1" customHeight="1"/>
    <row r="1798" ht="14.1" customHeight="1"/>
    <row r="1799" ht="14.1" customHeight="1"/>
    <row r="1800" ht="14.1" customHeight="1"/>
    <row r="1801" ht="14.1" customHeight="1"/>
    <row r="1802" ht="14.1" customHeight="1"/>
    <row r="1803" ht="14.1" customHeight="1"/>
    <row r="1804" ht="14.1" customHeight="1"/>
    <row r="1805" ht="14.1" customHeight="1"/>
    <row r="1806" ht="14.1" customHeight="1"/>
    <row r="1807" ht="14.1" customHeight="1"/>
    <row r="1808" ht="14.1" customHeight="1"/>
    <row r="1809" ht="14.1" customHeight="1"/>
    <row r="1810" ht="14.1" customHeight="1"/>
    <row r="1811" ht="14.1" customHeight="1"/>
    <row r="1812" ht="14.1" customHeight="1"/>
    <row r="1813" ht="14.1" customHeight="1"/>
    <row r="1814" ht="14.1" customHeight="1"/>
    <row r="1815" ht="14.1" customHeight="1"/>
    <row r="1816" ht="14.1" customHeight="1"/>
    <row r="1817" ht="14.1" customHeight="1"/>
    <row r="1818" ht="14.1" customHeight="1"/>
    <row r="1819" ht="14.1" customHeight="1"/>
    <row r="1820" ht="14.1" customHeight="1"/>
    <row r="1821" ht="14.1" customHeight="1"/>
    <row r="1822" ht="14.1" customHeight="1"/>
    <row r="1823" ht="14.1" customHeight="1"/>
    <row r="1824" ht="14.1" customHeight="1"/>
    <row r="1825" ht="14.1" customHeight="1"/>
    <row r="1826" ht="14.1" customHeight="1"/>
    <row r="1827" ht="14.1" customHeight="1"/>
    <row r="1828" ht="14.1" customHeight="1"/>
    <row r="1829" ht="14.1" customHeight="1"/>
    <row r="1830" ht="14.1" customHeight="1"/>
    <row r="1831" ht="14.1" customHeight="1"/>
    <row r="1832" ht="14.1" customHeight="1"/>
    <row r="1833" ht="14.1" customHeight="1"/>
    <row r="1834" ht="14.1" customHeight="1"/>
    <row r="1835" ht="14.1" customHeight="1"/>
    <row r="1836" ht="14.1" customHeight="1"/>
    <row r="1837" ht="14.1" customHeight="1"/>
    <row r="1838" ht="14.1" customHeight="1"/>
    <row r="1839" ht="14.1" customHeight="1"/>
    <row r="1840" ht="14.1" customHeight="1"/>
    <row r="1841" ht="14.1" customHeight="1"/>
    <row r="1842" ht="14.1" customHeight="1"/>
    <row r="1843" ht="14.1" customHeight="1"/>
    <row r="1844" ht="14.1" customHeight="1"/>
    <row r="1845" ht="14.1" customHeight="1"/>
    <row r="1846" ht="14.1" customHeight="1"/>
    <row r="1847" ht="14.1" customHeight="1"/>
    <row r="1848" ht="14.1" customHeight="1"/>
    <row r="1849" ht="14.1" customHeight="1"/>
    <row r="1850" ht="14.1" customHeight="1"/>
    <row r="1851" ht="14.1" customHeight="1"/>
    <row r="1852" ht="14.1" customHeight="1"/>
    <row r="1853" ht="14.1" customHeight="1"/>
    <row r="1854" ht="14.1" customHeight="1"/>
    <row r="1855" ht="14.1" customHeight="1"/>
    <row r="1856" ht="14.1" customHeight="1"/>
    <row r="1857" ht="14.1" customHeight="1"/>
    <row r="1858" ht="14.1" customHeight="1"/>
    <row r="1859" ht="14.1" customHeight="1"/>
    <row r="1860" ht="14.1" customHeight="1"/>
    <row r="1861" ht="14.1" customHeight="1"/>
    <row r="1862" ht="14.1" customHeight="1"/>
    <row r="1863" ht="14.1" customHeight="1"/>
    <row r="1864" ht="14.1" customHeight="1"/>
    <row r="1865" ht="14.1" customHeight="1"/>
    <row r="1866" ht="14.1" customHeight="1"/>
    <row r="1867" ht="14.1" customHeight="1"/>
    <row r="1868" ht="14.1" customHeight="1"/>
    <row r="1869" ht="14.1" customHeight="1"/>
    <row r="1870" ht="14.1" customHeight="1"/>
    <row r="1871" ht="14.1" customHeight="1"/>
    <row r="1872" ht="14.1" customHeight="1"/>
    <row r="1873" ht="14.1" customHeight="1"/>
    <row r="1874" ht="14.1" customHeight="1"/>
    <row r="1875" ht="14.1" customHeight="1"/>
    <row r="1876" ht="14.1" customHeight="1"/>
    <row r="1877" ht="14.1" customHeight="1"/>
    <row r="1878" ht="14.1" customHeight="1"/>
    <row r="1879" ht="14.1" customHeight="1"/>
    <row r="1880" ht="14.1" customHeight="1"/>
    <row r="1881" ht="14.1" customHeight="1"/>
    <row r="1882" ht="14.1" customHeight="1"/>
    <row r="1883" ht="14.1" customHeight="1"/>
    <row r="1884" ht="14.1" customHeight="1"/>
    <row r="1885" ht="14.1" customHeight="1"/>
    <row r="1886" ht="14.1" customHeight="1"/>
    <row r="1887" ht="14.1" customHeight="1"/>
    <row r="1888" ht="14.1" customHeight="1"/>
    <row r="1889" ht="14.1" customHeight="1"/>
    <row r="1890" ht="14.1" customHeight="1"/>
    <row r="1891" ht="14.1" customHeight="1"/>
    <row r="1892" ht="14.1" customHeight="1"/>
    <row r="1893" ht="14.1" customHeight="1"/>
    <row r="1894" ht="14.1" customHeight="1"/>
    <row r="1895" ht="14.1" customHeight="1"/>
    <row r="1896" ht="14.1" customHeight="1"/>
    <row r="1897" ht="14.1" customHeight="1"/>
    <row r="1898" ht="14.1" customHeight="1"/>
    <row r="1899" ht="14.1" customHeight="1"/>
    <row r="1900" ht="14.1" customHeight="1"/>
    <row r="1901" ht="14.1" customHeight="1"/>
    <row r="1902" ht="14.1" customHeight="1"/>
    <row r="1903" ht="14.1" customHeight="1"/>
    <row r="1904" ht="14.1" customHeight="1"/>
    <row r="1905" ht="14.1" customHeight="1"/>
    <row r="1906" ht="14.1" customHeight="1"/>
    <row r="1907" ht="14.1" customHeight="1"/>
    <row r="1908" ht="14.1" customHeight="1"/>
    <row r="1909" ht="14.1" customHeight="1"/>
    <row r="1910" ht="14.1" customHeight="1"/>
    <row r="1911" ht="14.1" customHeight="1"/>
    <row r="1912" ht="14.1" customHeight="1"/>
    <row r="1913" ht="14.1" customHeight="1"/>
    <row r="1914" ht="14.1" customHeight="1"/>
    <row r="1915" ht="14.1" customHeight="1"/>
    <row r="1916" ht="14.1" customHeight="1"/>
    <row r="1917" ht="14.1" customHeight="1"/>
    <row r="1918" ht="14.1" customHeight="1"/>
    <row r="1919" ht="14.1" customHeight="1"/>
    <row r="1920" ht="14.1" customHeight="1"/>
    <row r="1921" ht="14.1" customHeight="1"/>
    <row r="1922" ht="14.1" customHeight="1"/>
    <row r="1923" ht="14.1" customHeight="1"/>
    <row r="1924" ht="14.1" customHeight="1"/>
    <row r="1925" ht="14.1" customHeight="1"/>
    <row r="1926" ht="14.1" customHeight="1"/>
    <row r="1927" ht="14.1" customHeight="1"/>
    <row r="1928" ht="14.1" customHeight="1"/>
    <row r="1929" ht="14.1" customHeight="1"/>
    <row r="1930" ht="14.1" customHeight="1"/>
    <row r="1931" ht="14.1" customHeight="1"/>
    <row r="1932" ht="14.1" customHeight="1"/>
    <row r="1933" ht="14.1" customHeight="1"/>
    <row r="1934" ht="14.1" customHeight="1"/>
    <row r="1935" ht="14.1" customHeight="1"/>
    <row r="1936" ht="14.1" customHeight="1"/>
    <row r="1937" ht="14.1" customHeight="1"/>
    <row r="1938" ht="14.1" customHeight="1"/>
    <row r="1939" ht="14.1" customHeight="1"/>
    <row r="1940" ht="14.1" customHeight="1"/>
    <row r="1941" ht="14.1" customHeight="1"/>
    <row r="1942" ht="14.1" customHeight="1"/>
    <row r="1943" ht="14.1" customHeight="1"/>
    <row r="1944" ht="14.1" customHeight="1"/>
    <row r="1945" ht="14.1" customHeight="1"/>
    <row r="1946" ht="14.1" customHeight="1"/>
    <row r="1947" ht="14.1" customHeight="1"/>
    <row r="1948" ht="14.1" customHeight="1"/>
    <row r="1949" ht="14.1" customHeight="1"/>
    <row r="1950" ht="14.1" customHeight="1"/>
    <row r="1951" ht="14.1" customHeight="1"/>
    <row r="1952" ht="14.1" customHeight="1"/>
    <row r="1953" ht="14.1" customHeight="1"/>
    <row r="1954" ht="14.1" customHeight="1"/>
    <row r="1955" ht="14.1" customHeight="1"/>
    <row r="1956" ht="14.1" customHeight="1"/>
    <row r="1957" ht="14.1" customHeight="1"/>
    <row r="1958" ht="14.1" customHeight="1"/>
    <row r="1959" ht="14.1" customHeight="1"/>
    <row r="1960" ht="14.1" customHeight="1"/>
    <row r="1961" ht="14.1" customHeight="1"/>
    <row r="1962" ht="14.1" customHeight="1"/>
    <row r="1963" ht="14.1" customHeight="1"/>
    <row r="1964" ht="14.1" customHeight="1"/>
    <row r="1965" ht="14.1" customHeight="1"/>
    <row r="1966" ht="14.1" customHeight="1"/>
    <row r="1967" ht="14.1" customHeight="1"/>
    <row r="1968" ht="14.1" customHeight="1"/>
    <row r="1969" ht="14.1" customHeight="1"/>
    <row r="1970" ht="14.1" customHeight="1"/>
    <row r="1971" ht="14.1" customHeight="1"/>
    <row r="1972" ht="14.1" customHeight="1"/>
    <row r="1973" ht="14.1" customHeight="1"/>
    <row r="1974" ht="14.1" customHeight="1"/>
    <row r="1975" ht="14.1" customHeight="1"/>
    <row r="1976" ht="14.1" customHeight="1"/>
    <row r="1977" ht="14.1" customHeight="1"/>
    <row r="1978" ht="14.1" customHeight="1"/>
    <row r="1979" ht="14.1" customHeight="1"/>
    <row r="1980" ht="14.1" customHeight="1"/>
    <row r="1981" ht="14.1" customHeight="1"/>
    <row r="1982" ht="14.1" customHeight="1"/>
    <row r="1983" ht="14.1" customHeight="1"/>
    <row r="1984" ht="14.1" customHeight="1"/>
    <row r="1985" ht="14.1" customHeight="1"/>
    <row r="1986" ht="14.1" customHeight="1"/>
    <row r="1987" ht="14.1" customHeight="1"/>
    <row r="1988" ht="14.1" customHeight="1"/>
    <row r="1989" ht="14.1" customHeight="1"/>
    <row r="1990" ht="14.1" customHeight="1"/>
    <row r="1991" ht="14.1" customHeight="1"/>
    <row r="1992" ht="14.1" customHeight="1"/>
    <row r="1993" ht="14.1" customHeight="1"/>
    <row r="1994" ht="14.1" customHeight="1"/>
    <row r="1995" ht="14.1" customHeight="1"/>
    <row r="1996" ht="14.1" customHeight="1"/>
    <row r="1997" ht="14.1" customHeight="1"/>
    <row r="1998" ht="14.1" customHeight="1"/>
    <row r="1999" ht="14.1" customHeight="1"/>
    <row r="2000" ht="14.1" customHeight="1"/>
    <row r="2001" ht="14.1" customHeight="1"/>
    <row r="2002" ht="14.1" customHeight="1"/>
    <row r="2003" ht="14.1" customHeight="1"/>
    <row r="2004" ht="14.1" customHeight="1"/>
    <row r="2005" ht="14.1" customHeight="1"/>
    <row r="2006" ht="14.1" customHeight="1"/>
    <row r="2007" ht="14.1" customHeight="1"/>
    <row r="2008" ht="14.1" customHeight="1"/>
    <row r="2009" ht="14.1" customHeight="1"/>
    <row r="2010" ht="14.1" customHeight="1"/>
    <row r="2011" ht="14.1" customHeight="1"/>
    <row r="2012" ht="14.1" customHeight="1"/>
    <row r="2013" ht="14.1" customHeight="1"/>
    <row r="2014" ht="14.1" customHeight="1"/>
    <row r="2015" ht="14.1" customHeight="1"/>
    <row r="2016" ht="14.1" customHeight="1"/>
    <row r="2017" ht="14.1" customHeight="1"/>
    <row r="2018" ht="14.1" customHeight="1"/>
    <row r="2019" ht="14.1" customHeight="1"/>
    <row r="2020" ht="14.1" customHeight="1"/>
    <row r="2021" ht="14.1" customHeight="1"/>
    <row r="2022" ht="14.1" customHeight="1"/>
    <row r="2023" ht="14.1" customHeight="1"/>
    <row r="2024" ht="14.1" customHeight="1"/>
    <row r="2025" ht="14.1" customHeight="1"/>
    <row r="2026" ht="14.1" customHeight="1"/>
    <row r="2027" ht="14.1" customHeight="1"/>
    <row r="2028" ht="14.1" customHeight="1"/>
    <row r="2029" ht="14.1" customHeight="1"/>
    <row r="2030" ht="14.1" customHeight="1"/>
    <row r="2031" ht="14.1" customHeight="1"/>
    <row r="2032" ht="14.1" customHeight="1"/>
    <row r="2033" ht="14.1" customHeight="1"/>
    <row r="2034" ht="14.1" customHeight="1"/>
    <row r="2035" ht="14.1" customHeight="1"/>
    <row r="2036" ht="14.1" customHeight="1"/>
    <row r="2037" ht="14.1" customHeight="1"/>
    <row r="2038" ht="14.1" customHeight="1"/>
    <row r="2039" ht="14.1" customHeight="1"/>
    <row r="2040" ht="14.1" customHeight="1"/>
    <row r="2041" ht="14.1" customHeight="1"/>
    <row r="2042" ht="14.1" customHeight="1"/>
    <row r="2043" ht="14.1" customHeight="1"/>
    <row r="2044" ht="14.1" customHeight="1"/>
    <row r="2045" ht="14.1" customHeight="1"/>
    <row r="2046" ht="14.1" customHeight="1"/>
    <row r="2047" ht="14.1" customHeight="1"/>
    <row r="2048" ht="14.1" customHeight="1"/>
    <row r="2049" ht="14.1" customHeight="1"/>
    <row r="2050" ht="14.1" customHeight="1"/>
    <row r="2051" ht="14.1" customHeight="1"/>
    <row r="2052" ht="14.1" customHeight="1"/>
    <row r="2053" ht="14.1" customHeight="1"/>
    <row r="2054" ht="14.1" customHeight="1"/>
    <row r="2055" ht="14.1" customHeight="1"/>
    <row r="2056" ht="14.1" customHeight="1"/>
    <row r="2057" ht="14.1" customHeight="1"/>
    <row r="2058" ht="14.1" customHeight="1"/>
    <row r="2059" ht="14.1" customHeight="1"/>
    <row r="2060" ht="14.1" customHeight="1"/>
    <row r="2061" ht="14.1" customHeight="1"/>
    <row r="2062" ht="14.1" customHeight="1"/>
    <row r="2063" ht="14.1" customHeight="1"/>
    <row r="2064" ht="14.1" customHeight="1"/>
    <row r="2065" ht="14.1" customHeight="1"/>
    <row r="2066" ht="14.1" customHeight="1"/>
    <row r="2067" ht="14.1" customHeight="1"/>
    <row r="2068" ht="14.1" customHeight="1"/>
    <row r="2069" ht="14.1" customHeight="1"/>
    <row r="2070" ht="14.1" customHeight="1"/>
    <row r="2071" ht="14.1" customHeight="1"/>
    <row r="2072" ht="14.1" customHeight="1"/>
    <row r="2073" ht="14.1" customHeight="1"/>
    <row r="2074" ht="14.1" customHeight="1"/>
    <row r="2075" ht="14.1" customHeight="1"/>
    <row r="2076" ht="14.1" customHeight="1"/>
    <row r="2077" ht="14.1" customHeight="1"/>
    <row r="2078" ht="14.1" customHeight="1"/>
    <row r="2079" ht="14.1" customHeight="1"/>
    <row r="2080" ht="14.1" customHeight="1"/>
    <row r="2081" ht="14.1" customHeight="1"/>
    <row r="2082" ht="14.1" customHeight="1"/>
    <row r="2083" ht="14.1" customHeight="1"/>
    <row r="2084" ht="14.1" customHeight="1"/>
    <row r="2085" ht="14.1" customHeight="1"/>
    <row r="2086" ht="14.1" customHeight="1"/>
    <row r="2087" ht="14.1" customHeight="1"/>
    <row r="2088" ht="14.1" customHeight="1"/>
  </sheetData>
  <printOptions horizontalCentered="1"/>
  <pageMargins left="0.47244094488188981" right="0.47244094488188981" top="0.59055118110236227" bottom="0.59055118110236227" header="0.19685039370078741" footer="0.19685039370078741"/>
  <pageSetup paperSize="9" firstPageNumber="14" orientation="portrait" useFirstPageNumber="1" r:id="rId1"/>
  <headerFooter>
    <oddHeader>&amp;L&amp;"Arial,Regular"&amp;9Intercontinental Hotel - Retrofit&amp;R&amp;"Arial,Regular"&amp;9 075/24</oddHeader>
    <oddFooter>&amp;L&amp;"Arial,Regular"&amp;8MTS Consulting Ltd
F15/Rev.11&amp;R&amp;P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10DD6-B16B-41CB-9598-5CF37253F4E0}">
  <dimension ref="A1:H103"/>
  <sheetViews>
    <sheetView workbookViewId="0">
      <selection activeCell="E57" sqref="E57"/>
    </sheetView>
  </sheetViews>
  <sheetFormatPr defaultColWidth="9.109375" defaultRowHeight="13.2"/>
  <cols>
    <col min="1" max="1" width="7.6640625" style="1323" customWidth="1"/>
    <col min="2" max="2" width="48.6640625" style="1263" customWidth="1"/>
    <col min="3" max="3" width="5.6640625" style="1324" customWidth="1"/>
    <col min="4" max="4" width="7.6640625" style="1263" customWidth="1"/>
    <col min="5" max="5" width="10.33203125" style="1325" customWidth="1"/>
    <col min="6" max="6" width="12.109375" style="1327" customWidth="1"/>
    <col min="7" max="7" width="9.109375" style="1263"/>
    <col min="8" max="8" width="10.109375" style="1263" bestFit="1" customWidth="1"/>
    <col min="9" max="16384" width="9.109375" style="1263"/>
  </cols>
  <sheetData>
    <row r="1" spans="1:6" ht="17.399999999999999">
      <c r="A1" s="1258" t="s">
        <v>273</v>
      </c>
      <c r="B1" s="1259"/>
      <c r="C1" s="1260"/>
      <c r="D1" s="1259"/>
      <c r="E1" s="1261"/>
      <c r="F1" s="1262"/>
    </row>
    <row r="2" spans="1:6">
      <c r="A2" s="1264" t="s">
        <v>982</v>
      </c>
      <c r="B2" s="1265"/>
      <c r="C2" s="1266"/>
      <c r="D2" s="1265"/>
      <c r="E2" s="1267"/>
      <c r="F2" s="1268"/>
    </row>
    <row r="3" spans="1:6">
      <c r="A3" s="1264"/>
      <c r="B3" s="1265"/>
      <c r="C3" s="1266"/>
      <c r="D3" s="1265"/>
      <c r="E3" s="1267"/>
      <c r="F3" s="1269"/>
    </row>
    <row r="4" spans="1:6">
      <c r="A4" s="1270"/>
      <c r="B4" s="1271"/>
      <c r="C4" s="1272"/>
      <c r="D4" s="1271"/>
      <c r="E4" s="1273"/>
      <c r="F4" s="1269"/>
    </row>
    <row r="5" spans="1:6" ht="13.8" thickBot="1">
      <c r="A5" s="1274" t="s">
        <v>276</v>
      </c>
      <c r="B5" s="1275"/>
      <c r="C5" s="1276" t="s">
        <v>277</v>
      </c>
      <c r="D5" s="1277" t="s">
        <v>266</v>
      </c>
      <c r="E5" s="1278" t="s">
        <v>278</v>
      </c>
      <c r="F5" s="1279" t="s">
        <v>267</v>
      </c>
    </row>
    <row r="6" spans="1:6">
      <c r="A6" s="1280"/>
      <c r="B6" s="1281"/>
      <c r="C6" s="1282"/>
      <c r="D6" s="1283"/>
      <c r="E6" s="1284"/>
      <c r="F6" s="1285"/>
    </row>
    <row r="7" spans="1:6" s="1288" customFormat="1" ht="26.4">
      <c r="A7" s="1286">
        <v>1</v>
      </c>
      <c r="B7" s="1287" t="s">
        <v>1116</v>
      </c>
      <c r="C7" s="1235">
        <v>1</v>
      </c>
      <c r="D7" s="1236" t="s">
        <v>287</v>
      </c>
      <c r="E7" s="1240">
        <f>Elec_Est!E2898</f>
        <v>411.78</v>
      </c>
      <c r="F7" s="1241">
        <f>E7*C7</f>
        <v>411.78</v>
      </c>
    </row>
    <row r="8" spans="1:6" s="1288" customFormat="1">
      <c r="A8" s="1286"/>
      <c r="B8" s="1287"/>
      <c r="C8" s="1235"/>
      <c r="D8" s="1236"/>
      <c r="E8" s="1240"/>
      <c r="F8" s="1241"/>
    </row>
    <row r="9" spans="1:6">
      <c r="A9" s="1286"/>
      <c r="B9" s="1287"/>
      <c r="C9" s="1235"/>
      <c r="D9" s="1236"/>
      <c r="E9" s="1240"/>
      <c r="F9" s="1241"/>
    </row>
    <row r="10" spans="1:6" ht="26.4">
      <c r="A10" s="1286">
        <f>A7+1</f>
        <v>2</v>
      </c>
      <c r="B10" s="1287" t="s">
        <v>1117</v>
      </c>
      <c r="C10" s="1235">
        <v>1</v>
      </c>
      <c r="D10" s="1236" t="s">
        <v>287</v>
      </c>
      <c r="E10" s="1240">
        <f>Elec_Est!E2904</f>
        <v>514.72</v>
      </c>
      <c r="F10" s="1241">
        <f>E10*C10</f>
        <v>514.72</v>
      </c>
    </row>
    <row r="11" spans="1:6">
      <c r="A11" s="1286"/>
      <c r="B11" s="1287"/>
      <c r="C11" s="1235"/>
      <c r="D11" s="1236"/>
      <c r="E11" s="1240"/>
      <c r="F11" s="1241"/>
    </row>
    <row r="12" spans="1:6">
      <c r="A12" s="1286"/>
      <c r="B12" s="1287"/>
      <c r="C12" s="1235"/>
      <c r="D12" s="1236"/>
      <c r="E12" s="1240"/>
      <c r="F12" s="1241"/>
    </row>
    <row r="13" spans="1:6" ht="26.4">
      <c r="A13" s="1286">
        <f>A10+1</f>
        <v>3</v>
      </c>
      <c r="B13" s="1287" t="s">
        <v>1118</v>
      </c>
      <c r="C13" s="1235">
        <v>1</v>
      </c>
      <c r="D13" s="1236" t="s">
        <v>287</v>
      </c>
      <c r="E13" s="1240">
        <f>Elec_Est!E2910</f>
        <v>1029.44</v>
      </c>
      <c r="F13" s="1241">
        <f>E13*C13</f>
        <v>1029.44</v>
      </c>
    </row>
    <row r="14" spans="1:6">
      <c r="A14" s="1286"/>
      <c r="B14" s="1287"/>
      <c r="C14" s="1235"/>
      <c r="D14" s="1236"/>
      <c r="E14" s="1240"/>
      <c r="F14" s="1241"/>
    </row>
    <row r="15" spans="1:6">
      <c r="A15" s="1286"/>
      <c r="B15" s="1287"/>
      <c r="C15" s="1235"/>
      <c r="D15" s="1236"/>
      <c r="E15" s="1240"/>
      <c r="F15" s="1241"/>
    </row>
    <row r="16" spans="1:6" ht="39.6">
      <c r="A16" s="1286">
        <f>A13+1</f>
        <v>4</v>
      </c>
      <c r="B16" s="1287" t="s">
        <v>1120</v>
      </c>
      <c r="C16" s="1235">
        <v>1</v>
      </c>
      <c r="D16" s="1236" t="s">
        <v>287</v>
      </c>
      <c r="E16" s="1240" t="str">
        <f>Elec_Est!Q2916</f>
        <v>Included</v>
      </c>
      <c r="F16" s="1241"/>
    </row>
    <row r="17" spans="1:6">
      <c r="A17" s="1286"/>
      <c r="B17" s="1287"/>
      <c r="C17" s="1235"/>
      <c r="D17" s="1236"/>
      <c r="E17" s="1240"/>
      <c r="F17" s="1241"/>
    </row>
    <row r="18" spans="1:6">
      <c r="A18" s="1286"/>
      <c r="B18" s="1287"/>
      <c r="C18" s="1235"/>
      <c r="D18" s="1236"/>
      <c r="E18" s="1240"/>
      <c r="F18" s="1241"/>
    </row>
    <row r="19" spans="1:6" ht="39.6">
      <c r="A19" s="1286">
        <f>A16+1</f>
        <v>5</v>
      </c>
      <c r="B19" s="1287" t="s">
        <v>1121</v>
      </c>
      <c r="C19" s="1235">
        <v>1</v>
      </c>
      <c r="D19" s="1236" t="s">
        <v>287</v>
      </c>
      <c r="E19" s="1240">
        <f>Elec_Est!E2922</f>
        <v>615.03</v>
      </c>
      <c r="F19" s="1241">
        <f>E19*C19</f>
        <v>615.03</v>
      </c>
    </row>
    <row r="20" spans="1:6">
      <c r="A20" s="1286"/>
      <c r="B20" s="1287"/>
      <c r="C20" s="1235"/>
      <c r="D20" s="1236"/>
      <c r="E20" s="1240"/>
      <c r="F20" s="1241"/>
    </row>
    <row r="21" spans="1:6">
      <c r="A21" s="1286"/>
      <c r="B21" s="1287"/>
      <c r="C21" s="1235"/>
      <c r="D21" s="1236"/>
      <c r="E21" s="1240"/>
      <c r="F21" s="1241"/>
    </row>
    <row r="22" spans="1:6" ht="52.8">
      <c r="A22" s="1286">
        <f>A19+1</f>
        <v>6</v>
      </c>
      <c r="B22" s="1287" t="s">
        <v>1122</v>
      </c>
      <c r="C22" s="1235">
        <v>1</v>
      </c>
      <c r="D22" s="1236" t="s">
        <v>141</v>
      </c>
      <c r="E22" s="1240">
        <f>Elec_Est!E2928</f>
        <v>51.47</v>
      </c>
      <c r="F22" s="1289" t="s">
        <v>1135</v>
      </c>
    </row>
    <row r="23" spans="1:6">
      <c r="A23" s="1286"/>
      <c r="B23" s="1287"/>
      <c r="C23" s="1290"/>
      <c r="D23" s="1291"/>
      <c r="E23" s="1292"/>
      <c r="F23" s="1293"/>
    </row>
    <row r="24" spans="1:6">
      <c r="A24" s="1286"/>
      <c r="B24" s="1287"/>
      <c r="C24" s="1290"/>
      <c r="D24" s="1291"/>
      <c r="E24" s="1292"/>
      <c r="F24" s="1293"/>
    </row>
    <row r="25" spans="1:6" ht="39.6">
      <c r="A25" s="1286">
        <f>A22+1</f>
        <v>7</v>
      </c>
      <c r="B25" s="1287" t="s">
        <v>1136</v>
      </c>
      <c r="C25" s="1235">
        <v>1</v>
      </c>
      <c r="D25" s="1236" t="s">
        <v>287</v>
      </c>
      <c r="E25" s="1240">
        <f>Elec_Est!E2934</f>
        <v>0</v>
      </c>
      <c r="F25" s="1241">
        <f>E25*C25</f>
        <v>0</v>
      </c>
    </row>
    <row r="26" spans="1:6">
      <c r="A26" s="1286"/>
      <c r="B26" s="1239"/>
      <c r="C26" s="1235"/>
      <c r="D26" s="1236"/>
      <c r="E26" s="1240"/>
      <c r="F26" s="1241"/>
    </row>
    <row r="27" spans="1:6">
      <c r="A27" s="1286"/>
      <c r="B27" s="1239"/>
      <c r="C27" s="1230"/>
      <c r="D27" s="1236"/>
      <c r="E27" s="1240"/>
      <c r="F27" s="1241"/>
    </row>
    <row r="28" spans="1:6" ht="68.25" customHeight="1">
      <c r="A28" s="1286">
        <f>A25+1</f>
        <v>8</v>
      </c>
      <c r="B28" s="1239" t="s">
        <v>1124</v>
      </c>
      <c r="C28" s="1235">
        <v>1</v>
      </c>
      <c r="D28" s="1236" t="s">
        <v>287</v>
      </c>
      <c r="E28" s="1240" t="str">
        <f>Elec_Est!Q2948</f>
        <v>Included</v>
      </c>
      <c r="F28" s="1241"/>
    </row>
    <row r="29" spans="1:6">
      <c r="A29" s="1286"/>
      <c r="B29" s="1287"/>
      <c r="C29" s="1290"/>
      <c r="D29" s="1291"/>
      <c r="E29" s="1292"/>
      <c r="F29" s="1293"/>
    </row>
    <row r="30" spans="1:6">
      <c r="A30" s="1286"/>
      <c r="B30" s="1287"/>
      <c r="C30" s="1290"/>
      <c r="D30" s="1291"/>
      <c r="E30" s="1292"/>
      <c r="F30" s="1293"/>
    </row>
    <row r="31" spans="1:6" ht="39.6">
      <c r="A31" s="1286">
        <f>A28+1</f>
        <v>9</v>
      </c>
      <c r="B31" s="1239" t="s">
        <v>1127</v>
      </c>
      <c r="C31" s="1235">
        <v>1</v>
      </c>
      <c r="D31" s="1236" t="s">
        <v>287</v>
      </c>
      <c r="E31" s="1240">
        <f>Elec_Est!E2954</f>
        <v>0</v>
      </c>
      <c r="F31" s="1241">
        <f>E31*C31</f>
        <v>0</v>
      </c>
    </row>
    <row r="32" spans="1:6">
      <c r="A32" s="1286"/>
      <c r="B32" s="1239"/>
      <c r="C32" s="1235"/>
      <c r="D32" s="1236"/>
      <c r="E32" s="1240"/>
      <c r="F32" s="1241"/>
    </row>
    <row r="33" spans="1:8">
      <c r="A33" s="1286"/>
      <c r="B33" s="1294"/>
      <c r="C33" s="1230"/>
      <c r="D33" s="1236"/>
      <c r="E33" s="1240"/>
      <c r="F33" s="1241"/>
    </row>
    <row r="34" spans="1:8" ht="26.4">
      <c r="A34" s="1286">
        <f>A31+1</f>
        <v>10</v>
      </c>
      <c r="B34" s="1287" t="s">
        <v>1128</v>
      </c>
      <c r="C34" s="1235">
        <v>1</v>
      </c>
      <c r="D34" s="1236" t="s">
        <v>287</v>
      </c>
      <c r="E34" s="1240">
        <f>Elec_Est!E2960</f>
        <v>171.57</v>
      </c>
      <c r="F34" s="1241">
        <f>E34*C34</f>
        <v>171.57</v>
      </c>
    </row>
    <row r="35" spans="1:8">
      <c r="A35" s="1286"/>
      <c r="B35" s="1287"/>
      <c r="C35" s="1290"/>
      <c r="D35" s="1291"/>
      <c r="E35" s="1292"/>
      <c r="F35" s="1293"/>
    </row>
    <row r="36" spans="1:8">
      <c r="A36" s="1286"/>
      <c r="B36" s="1287"/>
      <c r="C36" s="1290"/>
      <c r="D36" s="1291"/>
      <c r="E36" s="1292"/>
      <c r="F36" s="1295"/>
    </row>
    <row r="37" spans="1:8">
      <c r="A37" s="1286"/>
      <c r="B37" s="1287"/>
      <c r="C37" s="1290"/>
      <c r="D37" s="1291"/>
      <c r="E37" s="1292"/>
      <c r="F37" s="1295"/>
    </row>
    <row r="38" spans="1:8" ht="13.8" thickBot="1">
      <c r="A38" s="1286"/>
      <c r="B38" s="1296"/>
      <c r="C38" s="1297"/>
      <c r="D38" s="1291"/>
      <c r="E38" s="1292"/>
      <c r="F38" s="1298"/>
    </row>
    <row r="39" spans="1:8">
      <c r="A39" s="1299"/>
      <c r="B39" s="1300"/>
      <c r="C39" s="1301"/>
      <c r="D39" s="1302"/>
      <c r="E39" s="1303"/>
      <c r="F39" s="1304"/>
    </row>
    <row r="40" spans="1:8">
      <c r="A40" s="1305" t="s">
        <v>310</v>
      </c>
      <c r="B40" s="1306" t="s">
        <v>289</v>
      </c>
      <c r="C40" s="1307"/>
      <c r="D40" s="1308"/>
      <c r="E40" s="1309"/>
      <c r="F40" s="1285">
        <f>SUM(F7:F38)</f>
        <v>2742.5400000000004</v>
      </c>
      <c r="H40" s="1310"/>
    </row>
    <row r="41" spans="1:8">
      <c r="A41" s="1311"/>
      <c r="B41" s="1312"/>
      <c r="C41" s="1313"/>
      <c r="D41" s="1314"/>
      <c r="E41" s="1315"/>
      <c r="F41" s="1316"/>
    </row>
    <row r="42" spans="1:8" ht="17.399999999999999">
      <c r="A42" s="1258"/>
      <c r="B42" s="1317"/>
      <c r="C42" s="1260"/>
      <c r="D42" s="1259"/>
      <c r="E42" s="1261"/>
      <c r="F42" s="1318"/>
    </row>
    <row r="43" spans="1:8">
      <c r="A43" s="1264"/>
      <c r="B43" s="1319"/>
      <c r="C43" s="1266"/>
      <c r="D43" s="1265"/>
      <c r="E43" s="1267"/>
      <c r="F43" s="1269"/>
    </row>
    <row r="44" spans="1:8">
      <c r="A44" s="1264"/>
      <c r="B44" s="1319"/>
      <c r="C44" s="1266"/>
      <c r="D44" s="1265"/>
      <c r="E44" s="1267"/>
      <c r="F44" s="1269"/>
    </row>
    <row r="45" spans="1:8">
      <c r="A45" s="1305"/>
      <c r="B45" s="1320"/>
      <c r="C45" s="1272"/>
      <c r="D45" s="1271"/>
      <c r="E45" s="1273"/>
      <c r="F45" s="1269"/>
    </row>
    <row r="46" spans="1:8" ht="13.8" thickBot="1">
      <c r="A46" s="1274" t="s">
        <v>276</v>
      </c>
      <c r="B46" s="1275"/>
      <c r="C46" s="1276" t="s">
        <v>277</v>
      </c>
      <c r="D46" s="1277" t="s">
        <v>266</v>
      </c>
      <c r="E46" s="1278" t="s">
        <v>278</v>
      </c>
      <c r="F46" s="1279" t="s">
        <v>267</v>
      </c>
    </row>
    <row r="47" spans="1:8">
      <c r="A47" s="1280"/>
      <c r="B47" s="1281"/>
      <c r="C47" s="1282"/>
      <c r="D47" s="1283"/>
      <c r="E47" s="1284"/>
      <c r="F47" s="1285"/>
    </row>
    <row r="48" spans="1:8" ht="26.4">
      <c r="A48" s="1286">
        <f>A34+1</f>
        <v>11</v>
      </c>
      <c r="B48" s="1287" t="s">
        <v>1130</v>
      </c>
      <c r="C48" s="1235">
        <v>1</v>
      </c>
      <c r="D48" s="1236" t="s">
        <v>287</v>
      </c>
      <c r="E48" s="1240">
        <f>Elec_Est!E2972</f>
        <v>171.57</v>
      </c>
      <c r="F48" s="1241">
        <f>E48*C48</f>
        <v>171.57</v>
      </c>
    </row>
    <row r="49" spans="1:6">
      <c r="A49" s="1286"/>
      <c r="B49" s="1287"/>
      <c r="C49" s="1235"/>
      <c r="D49" s="1236"/>
      <c r="E49" s="1240"/>
      <c r="F49" s="1241"/>
    </row>
    <row r="50" spans="1:6">
      <c r="A50" s="1286"/>
      <c r="B50" s="1287"/>
      <c r="C50" s="1235"/>
      <c r="D50" s="1236"/>
      <c r="E50" s="1240"/>
      <c r="F50" s="1241"/>
    </row>
    <row r="51" spans="1:6" ht="26.4">
      <c r="A51" s="1286">
        <f>A48+1</f>
        <v>12</v>
      </c>
      <c r="B51" s="1287" t="s">
        <v>1131</v>
      </c>
      <c r="C51" s="1235">
        <v>1</v>
      </c>
      <c r="D51" s="1236" t="s">
        <v>287</v>
      </c>
      <c r="E51" s="1240">
        <f>Elec_Est!E2978</f>
        <v>1055.8399999999999</v>
      </c>
      <c r="F51" s="1241">
        <f>E51*C51</f>
        <v>1055.8399999999999</v>
      </c>
    </row>
    <row r="52" spans="1:6">
      <c r="A52" s="1286"/>
      <c r="B52" s="1287"/>
      <c r="C52" s="1235"/>
      <c r="D52" s="1236"/>
      <c r="E52" s="1240"/>
      <c r="F52" s="1241"/>
    </row>
    <row r="53" spans="1:6">
      <c r="A53" s="1286"/>
      <c r="B53" s="1287"/>
      <c r="C53" s="1235"/>
      <c r="D53" s="1236"/>
      <c r="E53" s="1240"/>
      <c r="F53" s="1241"/>
    </row>
    <row r="54" spans="1:6">
      <c r="A54" s="1286">
        <f>A51+1</f>
        <v>13</v>
      </c>
      <c r="B54" s="1239" t="s">
        <v>1132</v>
      </c>
      <c r="C54" s="1230">
        <v>1</v>
      </c>
      <c r="D54" s="1236" t="s">
        <v>287</v>
      </c>
      <c r="E54" s="1240">
        <f>Elec_Est!E2984</f>
        <v>0</v>
      </c>
      <c r="F54" s="1241">
        <f>E54*C54</f>
        <v>0</v>
      </c>
    </row>
    <row r="55" spans="1:6">
      <c r="A55" s="1286"/>
      <c r="B55" s="1239"/>
      <c r="C55" s="1230"/>
      <c r="D55" s="1236"/>
      <c r="E55" s="1240"/>
      <c r="F55" s="1241"/>
    </row>
    <row r="56" spans="1:6">
      <c r="A56" s="1286"/>
      <c r="B56" s="1239"/>
      <c r="C56" s="1230"/>
      <c r="D56" s="1236"/>
      <c r="E56" s="1240"/>
      <c r="F56" s="1241"/>
    </row>
    <row r="57" spans="1:6" ht="26.4">
      <c r="A57" s="1286">
        <f>A54+1</f>
        <v>14</v>
      </c>
      <c r="B57" s="1239" t="s">
        <v>1134</v>
      </c>
      <c r="C57" s="1230">
        <v>1</v>
      </c>
      <c r="D57" s="1236" t="s">
        <v>287</v>
      </c>
      <c r="E57" s="1240">
        <f>Elec_Est!E2990</f>
        <v>0</v>
      </c>
      <c r="F57" s="1241">
        <f>E57*C57</f>
        <v>0</v>
      </c>
    </row>
    <row r="58" spans="1:6">
      <c r="A58" s="1286"/>
      <c r="B58" s="1239"/>
      <c r="C58" s="1321"/>
      <c r="D58" s="1291"/>
      <c r="E58" s="1292"/>
      <c r="F58" s="1295"/>
    </row>
    <row r="59" spans="1:6">
      <c r="A59" s="1286"/>
      <c r="B59" s="1239"/>
      <c r="C59" s="1321"/>
      <c r="D59" s="1291"/>
      <c r="E59" s="1292"/>
      <c r="F59" s="1295"/>
    </row>
    <row r="60" spans="1:6">
      <c r="A60" s="1286"/>
      <c r="B60" s="1239"/>
      <c r="C60" s="1321"/>
      <c r="D60" s="1291"/>
      <c r="E60" s="1292"/>
      <c r="F60" s="1295"/>
    </row>
    <row r="61" spans="1:6">
      <c r="A61" s="1286"/>
      <c r="B61" s="1239"/>
      <c r="C61" s="1321"/>
      <c r="D61" s="1291"/>
      <c r="E61" s="1292"/>
      <c r="F61" s="1295"/>
    </row>
    <row r="62" spans="1:6">
      <c r="A62" s="1286"/>
      <c r="B62" s="1239"/>
      <c r="C62" s="1321"/>
      <c r="D62" s="1291"/>
      <c r="E62" s="1292"/>
      <c r="F62" s="1295"/>
    </row>
    <row r="63" spans="1:6">
      <c r="A63" s="1286"/>
      <c r="B63" s="1239"/>
      <c r="C63" s="1321"/>
      <c r="D63" s="1291"/>
      <c r="E63" s="1292"/>
      <c r="F63" s="1295"/>
    </row>
    <row r="64" spans="1:6">
      <c r="A64" s="1286"/>
      <c r="B64" s="1239"/>
      <c r="C64" s="1321"/>
      <c r="D64" s="1291"/>
      <c r="E64" s="1292"/>
      <c r="F64" s="1295"/>
    </row>
    <row r="65" spans="1:6">
      <c r="A65" s="1286"/>
      <c r="B65" s="1239"/>
      <c r="C65" s="1321"/>
      <c r="D65" s="1291"/>
      <c r="E65" s="1292"/>
      <c r="F65" s="1295"/>
    </row>
    <row r="66" spans="1:6">
      <c r="A66" s="1286"/>
      <c r="B66" s="1239"/>
      <c r="C66" s="1321"/>
      <c r="D66" s="1291"/>
      <c r="E66" s="1292"/>
      <c r="F66" s="1295"/>
    </row>
    <row r="67" spans="1:6">
      <c r="A67" s="1286"/>
      <c r="B67" s="1239"/>
      <c r="C67" s="1321"/>
      <c r="D67" s="1291"/>
      <c r="E67" s="1292"/>
      <c r="F67" s="1295"/>
    </row>
    <row r="68" spans="1:6">
      <c r="A68" s="1286"/>
      <c r="B68" s="1239"/>
      <c r="C68" s="1321"/>
      <c r="D68" s="1291"/>
      <c r="E68" s="1292"/>
      <c r="F68" s="1295"/>
    </row>
    <row r="69" spans="1:6">
      <c r="A69" s="1286"/>
      <c r="B69" s="1239"/>
      <c r="C69" s="1321"/>
      <c r="D69" s="1291"/>
      <c r="E69" s="1292"/>
      <c r="F69" s="1295"/>
    </row>
    <row r="70" spans="1:6">
      <c r="A70" s="1286"/>
      <c r="B70" s="1239"/>
      <c r="C70" s="1321"/>
      <c r="D70" s="1291"/>
      <c r="E70" s="1292"/>
      <c r="F70" s="1295"/>
    </row>
    <row r="71" spans="1:6">
      <c r="A71" s="1286"/>
      <c r="B71" s="1239"/>
      <c r="C71" s="1321"/>
      <c r="D71" s="1291"/>
      <c r="E71" s="1292"/>
      <c r="F71" s="1295"/>
    </row>
    <row r="72" spans="1:6">
      <c r="A72" s="1286"/>
      <c r="B72" s="1239"/>
      <c r="C72" s="1321"/>
      <c r="D72" s="1291"/>
      <c r="E72" s="1292"/>
      <c r="F72" s="1295"/>
    </row>
    <row r="73" spans="1:6">
      <c r="A73" s="1286"/>
      <c r="B73" s="1239"/>
      <c r="C73" s="1321"/>
      <c r="D73" s="1291"/>
      <c r="E73" s="1292"/>
      <c r="F73" s="1295"/>
    </row>
    <row r="74" spans="1:6">
      <c r="A74" s="1286"/>
      <c r="B74" s="1239"/>
      <c r="C74" s="1321"/>
      <c r="D74" s="1291"/>
      <c r="E74" s="1292"/>
      <c r="F74" s="1295"/>
    </row>
    <row r="75" spans="1:6">
      <c r="A75" s="1286"/>
      <c r="B75" s="1239"/>
      <c r="C75" s="1321"/>
      <c r="D75" s="1291"/>
      <c r="E75" s="1292"/>
      <c r="F75" s="1295"/>
    </row>
    <row r="76" spans="1:6">
      <c r="A76" s="1286"/>
      <c r="B76" s="1239"/>
      <c r="C76" s="1321"/>
      <c r="D76" s="1291"/>
      <c r="E76" s="1292"/>
      <c r="F76" s="1295"/>
    </row>
    <row r="77" spans="1:6">
      <c r="A77" s="1286"/>
      <c r="B77" s="1239"/>
      <c r="C77" s="1321"/>
      <c r="D77" s="1291"/>
      <c r="E77" s="1292"/>
      <c r="F77" s="1295"/>
    </row>
    <row r="78" spans="1:6">
      <c r="A78" s="1286"/>
      <c r="B78" s="1239"/>
      <c r="C78" s="1321"/>
      <c r="D78" s="1291"/>
      <c r="E78" s="1292"/>
      <c r="F78" s="1295"/>
    </row>
    <row r="79" spans="1:6">
      <c r="A79" s="1286"/>
      <c r="B79" s="1239"/>
      <c r="C79" s="1321"/>
      <c r="D79" s="1291"/>
      <c r="E79" s="1292"/>
      <c r="F79" s="1295"/>
    </row>
    <row r="80" spans="1:6">
      <c r="A80" s="1286"/>
      <c r="B80" s="1239"/>
      <c r="C80" s="1321"/>
      <c r="D80" s="1291"/>
      <c r="E80" s="1292"/>
      <c r="F80" s="1295"/>
    </row>
    <row r="81" spans="1:6">
      <c r="A81" s="1286"/>
      <c r="B81" s="1239"/>
      <c r="C81" s="1321"/>
      <c r="D81" s="1291"/>
      <c r="E81" s="1292"/>
      <c r="F81" s="1295"/>
    </row>
    <row r="82" spans="1:6">
      <c r="A82" s="1286"/>
      <c r="B82" s="1239"/>
      <c r="C82" s="1321"/>
      <c r="D82" s="1291"/>
      <c r="E82" s="1292"/>
      <c r="F82" s="1295"/>
    </row>
    <row r="83" spans="1:6">
      <c r="A83" s="1286"/>
      <c r="B83" s="1239"/>
      <c r="C83" s="1321"/>
      <c r="D83" s="1291"/>
      <c r="E83" s="1292"/>
      <c r="F83" s="1295"/>
    </row>
    <row r="84" spans="1:6">
      <c r="A84" s="1286"/>
      <c r="B84" s="1239"/>
      <c r="C84" s="1321"/>
      <c r="D84" s="1291"/>
      <c r="E84" s="1292"/>
      <c r="F84" s="1295"/>
    </row>
    <row r="85" spans="1:6">
      <c r="A85" s="1286"/>
      <c r="B85" s="1239"/>
      <c r="C85" s="1321"/>
      <c r="D85" s="1291"/>
      <c r="E85" s="1292"/>
      <c r="F85" s="1295"/>
    </row>
    <row r="86" spans="1:6">
      <c r="A86" s="1286"/>
      <c r="B86" s="1239"/>
      <c r="C86" s="1321"/>
      <c r="D86" s="1291"/>
      <c r="E86" s="1292"/>
      <c r="F86" s="1295"/>
    </row>
    <row r="87" spans="1:6">
      <c r="A87" s="1286"/>
      <c r="B87" s="1239"/>
      <c r="C87" s="1321"/>
      <c r="D87" s="1291"/>
      <c r="E87" s="1292"/>
      <c r="F87" s="1295"/>
    </row>
    <row r="88" spans="1:6">
      <c r="A88" s="1286"/>
      <c r="B88" s="1239"/>
      <c r="C88" s="1321"/>
      <c r="D88" s="1291"/>
      <c r="E88" s="1292"/>
      <c r="F88" s="1295"/>
    </row>
    <row r="89" spans="1:6">
      <c r="A89" s="1286"/>
      <c r="B89" s="1239"/>
      <c r="C89" s="1321"/>
      <c r="D89" s="1291"/>
      <c r="E89" s="1292"/>
      <c r="F89" s="1295"/>
    </row>
    <row r="90" spans="1:6">
      <c r="A90" s="1286"/>
      <c r="B90" s="1239"/>
      <c r="C90" s="1321"/>
      <c r="D90" s="1291"/>
      <c r="E90" s="1292"/>
      <c r="F90" s="1295"/>
    </row>
    <row r="91" spans="1:6">
      <c r="A91" s="1286"/>
      <c r="B91" s="1239"/>
      <c r="C91" s="1321"/>
      <c r="D91" s="1291"/>
      <c r="E91" s="1292"/>
      <c r="F91" s="1295"/>
    </row>
    <row r="92" spans="1:6">
      <c r="A92" s="1286"/>
      <c r="B92" s="1239"/>
      <c r="C92" s="1321"/>
      <c r="D92" s="1291"/>
      <c r="E92" s="1292"/>
      <c r="F92" s="1295"/>
    </row>
    <row r="93" spans="1:6">
      <c r="A93" s="1286"/>
      <c r="B93" s="1239"/>
      <c r="C93" s="1321"/>
      <c r="D93" s="1291"/>
      <c r="E93" s="1292"/>
      <c r="F93" s="1298"/>
    </row>
    <row r="94" spans="1:6">
      <c r="A94" s="1286"/>
      <c r="B94" s="1239"/>
      <c r="C94" s="1321"/>
      <c r="D94" s="1291"/>
      <c r="E94" s="1292"/>
      <c r="F94" s="1298"/>
    </row>
    <row r="95" spans="1:6" ht="13.8" thickBot="1">
      <c r="A95" s="1286"/>
      <c r="B95" s="1322"/>
      <c r="C95" s="1297"/>
      <c r="D95" s="1291"/>
      <c r="E95" s="1292"/>
      <c r="F95" s="1298"/>
    </row>
    <row r="96" spans="1:6">
      <c r="A96" s="1299"/>
      <c r="B96" s="1300"/>
      <c r="C96" s="1301"/>
      <c r="D96" s="1302"/>
      <c r="E96" s="1303"/>
      <c r="F96" s="1304"/>
    </row>
    <row r="97" spans="1:8">
      <c r="A97" s="1305" t="s">
        <v>310</v>
      </c>
      <c r="B97" s="1306" t="s">
        <v>289</v>
      </c>
      <c r="C97" s="1307"/>
      <c r="D97" s="1308"/>
      <c r="E97" s="1309"/>
      <c r="F97" s="1285">
        <f>SUM(F48:F94)</f>
        <v>1227.4099999999999</v>
      </c>
      <c r="H97" s="1310"/>
    </row>
    <row r="98" spans="1:8">
      <c r="A98" s="1311"/>
      <c r="B98" s="1312"/>
      <c r="C98" s="1313"/>
      <c r="D98" s="1314"/>
      <c r="E98" s="1315"/>
      <c r="F98" s="1316"/>
    </row>
    <row r="100" spans="1:8">
      <c r="F100" s="1326"/>
    </row>
    <row r="103" spans="1:8">
      <c r="A103" s="1323" t="s">
        <v>151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FE520-F0D5-4377-835E-0A1267C4330D}">
  <dimension ref="A1:P48"/>
  <sheetViews>
    <sheetView workbookViewId="0">
      <selection activeCell="J9" sqref="J9"/>
    </sheetView>
  </sheetViews>
  <sheetFormatPr defaultColWidth="8.88671875" defaultRowHeight="13.2"/>
  <cols>
    <col min="1" max="1" width="7.6640625" style="1388" customWidth="1"/>
    <col min="2" max="2" width="48.6640625" style="1337" customWidth="1"/>
    <col min="3" max="3" width="5.6640625" style="1389" customWidth="1"/>
    <col min="4" max="4" width="7.6640625" style="1337" customWidth="1"/>
    <col min="5" max="5" width="10.33203125" style="1390" customWidth="1"/>
    <col min="6" max="6" width="12.109375" style="1390" customWidth="1"/>
    <col min="7" max="16384" width="8.88671875" style="1337"/>
  </cols>
  <sheetData>
    <row r="1" spans="1:16" ht="17.399999999999999">
      <c r="A1" s="1332" t="s">
        <v>273</v>
      </c>
      <c r="B1" s="1333"/>
      <c r="C1" s="1334"/>
      <c r="D1" s="1333"/>
      <c r="E1" s="1335"/>
      <c r="F1" s="1336"/>
    </row>
    <row r="2" spans="1:16">
      <c r="A2" s="1338" t="s">
        <v>970</v>
      </c>
      <c r="B2" s="1339"/>
      <c r="C2" s="1340"/>
      <c r="D2" s="1341"/>
      <c r="E2" s="1342"/>
      <c r="F2" s="1343"/>
    </row>
    <row r="3" spans="1:16">
      <c r="A3" s="1338"/>
      <c r="B3" s="1341"/>
      <c r="C3" s="1340"/>
      <c r="D3" s="1341"/>
      <c r="E3" s="1342"/>
      <c r="F3" s="1343"/>
    </row>
    <row r="4" spans="1:16">
      <c r="A4" s="1344"/>
      <c r="B4" s="1345"/>
      <c r="C4" s="1346"/>
      <c r="D4" s="1345"/>
      <c r="E4" s="1347"/>
      <c r="F4" s="1348"/>
    </row>
    <row r="5" spans="1:16" ht="13.8" thickBot="1">
      <c r="A5" s="1349" t="s">
        <v>276</v>
      </c>
      <c r="B5" s="1350"/>
      <c r="C5" s="1351" t="s">
        <v>277</v>
      </c>
      <c r="D5" s="1352" t="s">
        <v>266</v>
      </c>
      <c r="E5" s="1353" t="s">
        <v>278</v>
      </c>
      <c r="F5" s="1354" t="s">
        <v>267</v>
      </c>
    </row>
    <row r="6" spans="1:16" s="1356" customFormat="1">
      <c r="A6" s="1355"/>
      <c r="C6" s="1357"/>
      <c r="D6" s="1358"/>
      <c r="E6" s="1359"/>
      <c r="F6" s="1360"/>
      <c r="G6" s="1345"/>
      <c r="H6" s="1345"/>
      <c r="I6" s="1345"/>
      <c r="J6" s="1345"/>
      <c r="K6" s="1345"/>
      <c r="L6" s="1345"/>
      <c r="M6" s="1345"/>
      <c r="N6" s="1345"/>
      <c r="O6" s="1345"/>
      <c r="P6" s="1345"/>
    </row>
    <row r="7" spans="1:16" s="1356" customFormat="1" ht="52.8">
      <c r="A7" s="1355">
        <v>1</v>
      </c>
      <c r="B7" s="1361" t="s">
        <v>1149</v>
      </c>
      <c r="C7" s="1362">
        <v>1</v>
      </c>
      <c r="D7" s="1363" t="s">
        <v>287</v>
      </c>
      <c r="E7" s="1364">
        <f>Elec_Est!E3006</f>
        <v>1911.03</v>
      </c>
      <c r="F7" s="1365">
        <f>E7*C7</f>
        <v>1911.03</v>
      </c>
      <c r="G7" s="1345"/>
      <c r="H7" s="1345"/>
      <c r="I7" s="1345"/>
      <c r="J7" s="1345"/>
      <c r="K7" s="1345"/>
      <c r="L7" s="1345"/>
      <c r="M7" s="1345"/>
      <c r="N7" s="1345"/>
      <c r="O7" s="1345"/>
      <c r="P7" s="1345"/>
    </row>
    <row r="8" spans="1:16" s="1356" customFormat="1">
      <c r="A8" s="1355"/>
      <c r="B8" s="1366"/>
      <c r="C8" s="1362"/>
      <c r="D8" s="1363"/>
      <c r="E8" s="1364"/>
      <c r="F8" s="1365"/>
      <c r="G8" s="1345"/>
      <c r="H8" s="1345"/>
      <c r="I8" s="1345"/>
      <c r="J8" s="1345"/>
      <c r="K8" s="1345"/>
      <c r="L8" s="1345"/>
      <c r="M8" s="1345"/>
      <c r="N8" s="1345"/>
      <c r="O8" s="1345"/>
      <c r="P8" s="1345"/>
    </row>
    <row r="9" spans="1:16" s="1356" customFormat="1" ht="52.8">
      <c r="A9" s="1355"/>
      <c r="B9" s="1367" t="s">
        <v>972</v>
      </c>
      <c r="C9" s="1362"/>
      <c r="D9" s="1363"/>
      <c r="E9" s="1364"/>
      <c r="F9" s="1365"/>
      <c r="G9" s="1345"/>
      <c r="H9" s="1345"/>
      <c r="I9" s="1345"/>
      <c r="J9" s="1345"/>
      <c r="K9" s="1345"/>
      <c r="L9" s="1345"/>
      <c r="M9" s="1345"/>
      <c r="N9" s="1345"/>
      <c r="O9" s="1345"/>
      <c r="P9" s="1345"/>
    </row>
    <row r="10" spans="1:16" s="1356" customFormat="1">
      <c r="A10" s="1355"/>
      <c r="B10" s="1367"/>
      <c r="C10" s="1362"/>
      <c r="D10" s="1363"/>
      <c r="E10" s="1364"/>
      <c r="F10" s="1365"/>
      <c r="G10" s="1345"/>
      <c r="H10" s="1345"/>
      <c r="I10" s="1345"/>
      <c r="J10" s="1345"/>
      <c r="K10" s="1345"/>
      <c r="L10" s="1345"/>
      <c r="M10" s="1345"/>
      <c r="N10" s="1345"/>
      <c r="O10" s="1345"/>
      <c r="P10" s="1345"/>
    </row>
    <row r="11" spans="1:16" s="1356" customFormat="1">
      <c r="A11" s="1355"/>
      <c r="B11" s="1361"/>
      <c r="C11" s="1362"/>
      <c r="D11" s="1363"/>
      <c r="E11" s="1364"/>
      <c r="F11" s="1365"/>
      <c r="G11" s="1345"/>
      <c r="H11" s="1345"/>
      <c r="I11" s="1345"/>
      <c r="J11" s="1345"/>
      <c r="K11" s="1345"/>
      <c r="L11" s="1345"/>
      <c r="M11" s="1345"/>
      <c r="N11" s="1345"/>
      <c r="O11" s="1345"/>
      <c r="P11" s="1345"/>
    </row>
    <row r="12" spans="1:16" s="1356" customFormat="1" ht="39.6">
      <c r="A12" s="1355">
        <f>A7+1</f>
        <v>2</v>
      </c>
      <c r="B12" s="1361" t="s">
        <v>973</v>
      </c>
      <c r="C12" s="1362">
        <v>1</v>
      </c>
      <c r="D12" s="1363" t="s">
        <v>287</v>
      </c>
      <c r="E12" s="1364">
        <f>Elec_Est!E3029</f>
        <v>944.57</v>
      </c>
      <c r="F12" s="1365">
        <f>E12*C12</f>
        <v>944.57</v>
      </c>
      <c r="G12" s="1345"/>
      <c r="H12" s="1345"/>
      <c r="I12" s="1345"/>
      <c r="J12" s="1345"/>
      <c r="K12" s="1345"/>
      <c r="L12" s="1345"/>
      <c r="M12" s="1345"/>
      <c r="N12" s="1345"/>
      <c r="O12" s="1345"/>
      <c r="P12" s="1345"/>
    </row>
    <row r="13" spans="1:16" s="1356" customFormat="1">
      <c r="A13" s="1355"/>
      <c r="B13" s="1361"/>
      <c r="C13" s="1362"/>
      <c r="D13" s="1363"/>
      <c r="E13" s="1364"/>
      <c r="F13" s="1365"/>
      <c r="G13" s="1345"/>
      <c r="H13" s="1345"/>
      <c r="I13" s="1345"/>
      <c r="J13" s="1345"/>
      <c r="K13" s="1345"/>
      <c r="L13" s="1345"/>
      <c r="M13" s="1345"/>
      <c r="N13" s="1345"/>
      <c r="O13" s="1345"/>
      <c r="P13" s="1345"/>
    </row>
    <row r="14" spans="1:16" s="1356" customFormat="1">
      <c r="A14" s="1355"/>
      <c r="B14" s="1361"/>
      <c r="C14" s="1362"/>
      <c r="D14" s="1363"/>
      <c r="E14" s="1364"/>
      <c r="F14" s="1365"/>
      <c r="G14" s="1345"/>
      <c r="H14" s="1345"/>
      <c r="I14" s="1345"/>
      <c r="J14" s="1345"/>
      <c r="K14" s="1345"/>
      <c r="L14" s="1345"/>
      <c r="M14" s="1345"/>
      <c r="N14" s="1345"/>
      <c r="O14" s="1345"/>
      <c r="P14" s="1345"/>
    </row>
    <row r="15" spans="1:16" s="1356" customFormat="1" ht="111" customHeight="1">
      <c r="A15" s="1355">
        <f>A12+1</f>
        <v>3</v>
      </c>
      <c r="B15" s="1361" t="s">
        <v>974</v>
      </c>
      <c r="C15" s="1362">
        <v>1</v>
      </c>
      <c r="D15" s="1363" t="s">
        <v>287</v>
      </c>
      <c r="E15" s="1364">
        <f>Elec_Est!E3051</f>
        <v>1949.91</v>
      </c>
      <c r="F15" s="1365">
        <f>E15*C15</f>
        <v>1949.91</v>
      </c>
      <c r="G15" s="1345"/>
      <c r="H15" s="1345"/>
      <c r="I15" s="1345"/>
      <c r="J15" s="1345"/>
      <c r="K15" s="1345"/>
      <c r="L15" s="1345"/>
      <c r="M15" s="1345"/>
      <c r="N15" s="1345"/>
      <c r="O15" s="1345"/>
      <c r="P15" s="1345"/>
    </row>
    <row r="16" spans="1:16" s="1356" customFormat="1" ht="12.75" customHeight="1">
      <c r="A16" s="1355"/>
      <c r="B16" s="1366"/>
      <c r="C16" s="1362"/>
      <c r="D16" s="1363"/>
      <c r="E16" s="1364"/>
      <c r="F16" s="1365"/>
      <c r="G16" s="1345"/>
      <c r="H16" s="1345"/>
      <c r="I16" s="1345"/>
      <c r="J16" s="1345"/>
      <c r="K16" s="1345"/>
      <c r="L16" s="1345"/>
      <c r="M16" s="1345"/>
      <c r="N16" s="1345"/>
      <c r="O16" s="1345"/>
      <c r="P16" s="1345"/>
    </row>
    <row r="17" spans="1:16" s="1356" customFormat="1" ht="12.75" customHeight="1">
      <c r="A17" s="1355"/>
      <c r="B17" s="1366"/>
      <c r="C17" s="1362"/>
      <c r="D17" s="1363"/>
      <c r="E17" s="1364"/>
      <c r="F17" s="1365"/>
      <c r="G17" s="1345"/>
      <c r="H17" s="1345"/>
      <c r="I17" s="1345"/>
      <c r="J17" s="1345"/>
      <c r="K17" s="1345"/>
      <c r="L17" s="1345"/>
      <c r="M17" s="1345"/>
      <c r="N17" s="1345"/>
      <c r="O17" s="1345"/>
      <c r="P17" s="1345"/>
    </row>
    <row r="18" spans="1:16" s="1356" customFormat="1" ht="12.75" customHeight="1">
      <c r="A18" s="1355"/>
      <c r="B18" s="1366"/>
      <c r="C18" s="1362"/>
      <c r="D18" s="1363"/>
      <c r="E18" s="1364"/>
      <c r="F18" s="1365"/>
      <c r="G18" s="1345"/>
      <c r="H18" s="1345"/>
      <c r="I18" s="1345"/>
      <c r="J18" s="1345"/>
      <c r="K18" s="1345"/>
      <c r="L18" s="1345"/>
      <c r="M18" s="1345"/>
      <c r="N18" s="1345"/>
      <c r="O18" s="1345"/>
      <c r="P18" s="1345"/>
    </row>
    <row r="19" spans="1:16" s="1356" customFormat="1">
      <c r="A19" s="1355"/>
      <c r="B19" s="1368"/>
      <c r="C19" s="1369"/>
      <c r="D19" s="1370"/>
      <c r="E19" s="1364"/>
      <c r="F19" s="1365"/>
      <c r="G19" s="1345"/>
      <c r="H19" s="1345"/>
      <c r="I19" s="1345"/>
      <c r="J19" s="1345"/>
      <c r="K19" s="1345"/>
      <c r="L19" s="1345"/>
      <c r="M19" s="1345"/>
      <c r="N19" s="1345"/>
      <c r="O19" s="1345"/>
      <c r="P19" s="1345"/>
    </row>
    <row r="20" spans="1:16" s="1356" customFormat="1">
      <c r="A20" s="1355"/>
      <c r="B20" s="1368"/>
      <c r="C20" s="1369"/>
      <c r="D20" s="1370"/>
      <c r="E20" s="1364"/>
      <c r="F20" s="1365"/>
      <c r="G20" s="1345"/>
      <c r="H20" s="1345"/>
      <c r="I20" s="1345"/>
      <c r="J20" s="1345"/>
      <c r="K20" s="1345"/>
      <c r="L20" s="1345"/>
      <c r="M20" s="1345"/>
      <c r="N20" s="1345"/>
      <c r="O20" s="1345"/>
      <c r="P20" s="1345"/>
    </row>
    <row r="21" spans="1:16" s="1356" customFormat="1">
      <c r="A21" s="1355"/>
      <c r="B21" s="1368"/>
      <c r="C21" s="1369"/>
      <c r="D21" s="1370"/>
      <c r="E21" s="1364"/>
      <c r="F21" s="1365"/>
      <c r="G21" s="1345"/>
      <c r="H21" s="1345"/>
      <c r="I21" s="1345"/>
      <c r="J21" s="1345"/>
      <c r="K21" s="1345"/>
      <c r="L21" s="1345"/>
      <c r="M21" s="1345"/>
      <c r="N21" s="1345"/>
      <c r="O21" s="1345"/>
      <c r="P21" s="1345"/>
    </row>
    <row r="22" spans="1:16" s="1356" customFormat="1">
      <c r="A22" s="1355"/>
      <c r="B22" s="1368"/>
      <c r="C22" s="1369"/>
      <c r="D22" s="1370"/>
      <c r="E22" s="1364"/>
      <c r="F22" s="1365"/>
      <c r="G22" s="1345"/>
      <c r="H22" s="1345"/>
      <c r="I22" s="1345"/>
      <c r="J22" s="1345"/>
      <c r="K22" s="1345"/>
      <c r="L22" s="1345"/>
      <c r="M22" s="1345"/>
      <c r="N22" s="1345"/>
      <c r="O22" s="1345"/>
      <c r="P22" s="1345"/>
    </row>
    <row r="23" spans="1:16" s="1356" customFormat="1">
      <c r="A23" s="1355"/>
      <c r="B23" s="1368"/>
      <c r="C23" s="1369"/>
      <c r="D23" s="1370"/>
      <c r="E23" s="1364"/>
      <c r="F23" s="1365"/>
      <c r="G23" s="1345"/>
      <c r="H23" s="1345"/>
      <c r="I23" s="1345"/>
      <c r="J23" s="1345"/>
      <c r="K23" s="1345"/>
      <c r="L23" s="1345"/>
      <c r="M23" s="1345"/>
      <c r="N23" s="1345"/>
      <c r="O23" s="1345"/>
      <c r="P23" s="1345"/>
    </row>
    <row r="24" spans="1:16" s="1356" customFormat="1">
      <c r="A24" s="1355"/>
      <c r="B24" s="1368"/>
      <c r="C24" s="1369"/>
      <c r="D24" s="1370"/>
      <c r="E24" s="1364"/>
      <c r="F24" s="1365"/>
      <c r="G24" s="1345"/>
      <c r="H24" s="1345"/>
      <c r="I24" s="1345"/>
      <c r="J24" s="1345"/>
      <c r="K24" s="1345"/>
      <c r="L24" s="1345"/>
      <c r="M24" s="1345"/>
      <c r="N24" s="1345"/>
      <c r="O24" s="1345"/>
      <c r="P24" s="1345"/>
    </row>
    <row r="25" spans="1:16" s="1356" customFormat="1">
      <c r="A25" s="1355"/>
      <c r="B25" s="1368"/>
      <c r="C25" s="1369"/>
      <c r="D25" s="1370"/>
      <c r="E25" s="1364"/>
      <c r="F25" s="1365"/>
      <c r="G25" s="1345"/>
      <c r="H25" s="1345"/>
      <c r="I25" s="1345"/>
      <c r="J25" s="1345"/>
      <c r="K25" s="1345"/>
      <c r="L25" s="1345"/>
      <c r="M25" s="1345"/>
      <c r="N25" s="1345"/>
      <c r="O25" s="1345"/>
      <c r="P25" s="1345"/>
    </row>
    <row r="26" spans="1:16" s="1356" customFormat="1">
      <c r="A26" s="1355"/>
      <c r="B26" s="1368"/>
      <c r="C26" s="1369"/>
      <c r="D26" s="1370"/>
      <c r="E26" s="1364"/>
      <c r="F26" s="1365"/>
      <c r="G26" s="1345"/>
      <c r="H26" s="1345"/>
      <c r="I26" s="1345"/>
      <c r="J26" s="1345"/>
      <c r="K26" s="1345"/>
      <c r="L26" s="1345"/>
      <c r="M26" s="1345"/>
      <c r="N26" s="1345"/>
      <c r="O26" s="1345"/>
      <c r="P26" s="1345"/>
    </row>
    <row r="27" spans="1:16" s="1356" customFormat="1">
      <c r="A27" s="1355"/>
      <c r="B27" s="1368"/>
      <c r="C27" s="1369"/>
      <c r="D27" s="1370"/>
      <c r="E27" s="1364"/>
      <c r="F27" s="1365"/>
      <c r="G27" s="1345"/>
      <c r="H27" s="1345"/>
      <c r="I27" s="1345"/>
      <c r="J27" s="1345"/>
      <c r="K27" s="1345"/>
      <c r="L27" s="1345"/>
      <c r="M27" s="1345"/>
      <c r="N27" s="1345"/>
      <c r="O27" s="1345"/>
      <c r="P27" s="1345"/>
    </row>
    <row r="28" spans="1:16" s="1356" customFormat="1">
      <c r="A28" s="1355"/>
      <c r="B28" s="1368"/>
      <c r="C28" s="1369"/>
      <c r="D28" s="1370"/>
      <c r="E28" s="1364"/>
      <c r="F28" s="1365"/>
      <c r="G28" s="1345"/>
      <c r="H28" s="1345"/>
      <c r="I28" s="1345"/>
      <c r="J28" s="1345"/>
      <c r="K28" s="1345"/>
      <c r="L28" s="1345"/>
      <c r="M28" s="1345"/>
      <c r="N28" s="1345"/>
      <c r="O28" s="1345"/>
      <c r="P28" s="1345"/>
    </row>
    <row r="29" spans="1:16" s="1356" customFormat="1">
      <c r="A29" s="1355"/>
      <c r="B29" s="1368"/>
      <c r="C29" s="1369"/>
      <c r="D29" s="1370"/>
      <c r="E29" s="1364"/>
      <c r="F29" s="1365"/>
      <c r="G29" s="1345"/>
      <c r="H29" s="1345"/>
      <c r="I29" s="1345"/>
      <c r="J29" s="1345"/>
      <c r="K29" s="1345"/>
      <c r="L29" s="1345"/>
      <c r="M29" s="1345"/>
      <c r="N29" s="1345"/>
      <c r="O29" s="1345"/>
      <c r="P29" s="1345"/>
    </row>
    <row r="30" spans="1:16" s="1356" customFormat="1">
      <c r="A30" s="1355"/>
      <c r="B30" s="1368"/>
      <c r="C30" s="1369"/>
      <c r="D30" s="1370"/>
      <c r="E30" s="1364"/>
      <c r="F30" s="1365"/>
      <c r="G30" s="1345"/>
      <c r="H30" s="1345"/>
      <c r="I30" s="1345"/>
      <c r="J30" s="1345"/>
      <c r="K30" s="1345"/>
      <c r="L30" s="1345"/>
      <c r="M30" s="1345"/>
      <c r="N30" s="1345"/>
      <c r="O30" s="1345"/>
      <c r="P30" s="1345"/>
    </row>
    <row r="31" spans="1:16" s="1356" customFormat="1">
      <c r="A31" s="1355"/>
      <c r="B31" s="1368"/>
      <c r="C31" s="1369"/>
      <c r="D31" s="1370"/>
      <c r="E31" s="1364"/>
      <c r="F31" s="1365"/>
      <c r="G31" s="1345"/>
      <c r="H31" s="1345"/>
      <c r="I31" s="1345"/>
      <c r="J31" s="1345"/>
      <c r="K31" s="1345"/>
      <c r="L31" s="1345"/>
      <c r="M31" s="1345"/>
      <c r="N31" s="1345"/>
      <c r="O31" s="1345"/>
      <c r="P31" s="1345"/>
    </row>
    <row r="32" spans="1:16" s="1356" customFormat="1">
      <c r="A32" s="1355"/>
      <c r="B32" s="1368"/>
      <c r="C32" s="1369"/>
      <c r="D32" s="1370"/>
      <c r="E32" s="1364"/>
      <c r="F32" s="1365"/>
      <c r="G32" s="1345"/>
      <c r="H32" s="1345"/>
      <c r="I32" s="1345"/>
      <c r="J32" s="1345"/>
      <c r="K32" s="1345"/>
      <c r="L32" s="1345"/>
      <c r="M32" s="1345"/>
      <c r="N32" s="1345"/>
      <c r="O32" s="1345"/>
      <c r="P32" s="1345"/>
    </row>
    <row r="33" spans="1:16" s="1356" customFormat="1">
      <c r="A33" s="1355"/>
      <c r="B33" s="1368"/>
      <c r="C33" s="1369"/>
      <c r="D33" s="1370"/>
      <c r="E33" s="1364"/>
      <c r="F33" s="1365"/>
      <c r="G33" s="1345"/>
      <c r="H33" s="1345"/>
      <c r="I33" s="1345"/>
      <c r="J33" s="1345"/>
      <c r="K33" s="1345"/>
      <c r="L33" s="1345"/>
      <c r="M33" s="1345"/>
      <c r="N33" s="1345"/>
      <c r="O33" s="1345"/>
      <c r="P33" s="1345"/>
    </row>
    <row r="34" spans="1:16" s="1356" customFormat="1">
      <c r="A34" s="1355"/>
      <c r="B34" s="1368"/>
      <c r="C34" s="1369"/>
      <c r="D34" s="1370"/>
      <c r="E34" s="1364"/>
      <c r="F34" s="1365"/>
      <c r="G34" s="1345"/>
      <c r="H34" s="1345"/>
      <c r="I34" s="1345"/>
      <c r="J34" s="1345"/>
      <c r="K34" s="1345"/>
      <c r="L34" s="1345"/>
      <c r="M34" s="1345"/>
      <c r="N34" s="1345"/>
      <c r="O34" s="1345"/>
      <c r="P34" s="1345"/>
    </row>
    <row r="35" spans="1:16" s="1356" customFormat="1">
      <c r="A35" s="1355"/>
      <c r="B35" s="1368"/>
      <c r="C35" s="1369"/>
      <c r="D35" s="1370"/>
      <c r="E35" s="1364"/>
      <c r="F35" s="1365"/>
      <c r="G35" s="1345"/>
      <c r="H35" s="1345"/>
      <c r="I35" s="1345"/>
      <c r="J35" s="1345"/>
      <c r="K35" s="1345"/>
      <c r="L35" s="1345"/>
      <c r="M35" s="1345"/>
      <c r="N35" s="1345"/>
      <c r="O35" s="1345"/>
      <c r="P35" s="1345"/>
    </row>
    <row r="36" spans="1:16" s="1356" customFormat="1">
      <c r="A36" s="1355"/>
      <c r="B36" s="1368"/>
      <c r="C36" s="1362"/>
      <c r="D36" s="1363"/>
      <c r="E36" s="1364"/>
      <c r="F36" s="1365"/>
      <c r="G36" s="1345"/>
      <c r="H36" s="1345"/>
      <c r="I36" s="1345"/>
      <c r="J36" s="1345"/>
      <c r="K36" s="1345"/>
      <c r="L36" s="1345"/>
      <c r="M36" s="1345"/>
      <c r="N36" s="1345"/>
      <c r="O36" s="1345"/>
      <c r="P36" s="1345"/>
    </row>
    <row r="37" spans="1:16" s="1356" customFormat="1">
      <c r="A37" s="1355"/>
      <c r="B37" s="1368"/>
      <c r="C37" s="1369"/>
      <c r="D37" s="1370"/>
      <c r="E37" s="1364"/>
      <c r="F37" s="1365"/>
      <c r="G37" s="1345"/>
      <c r="H37" s="1345"/>
      <c r="I37" s="1345"/>
      <c r="J37" s="1345"/>
      <c r="K37" s="1345"/>
      <c r="L37" s="1345"/>
      <c r="M37" s="1345"/>
      <c r="N37" s="1345"/>
      <c r="O37" s="1345"/>
      <c r="P37" s="1345"/>
    </row>
    <row r="38" spans="1:16" s="1356" customFormat="1">
      <c r="A38" s="1355"/>
      <c r="B38" s="1368"/>
      <c r="C38" s="1369"/>
      <c r="D38" s="1370"/>
      <c r="E38" s="1364"/>
      <c r="F38" s="1365"/>
      <c r="G38" s="1345"/>
      <c r="H38" s="1345"/>
      <c r="I38" s="1345"/>
      <c r="J38" s="1345"/>
      <c r="K38" s="1345"/>
      <c r="L38" s="1345"/>
      <c r="M38" s="1345"/>
      <c r="N38" s="1345"/>
      <c r="O38" s="1345"/>
      <c r="P38" s="1345"/>
    </row>
    <row r="39" spans="1:16" s="1356" customFormat="1">
      <c r="A39" s="1355"/>
      <c r="B39" s="1368"/>
      <c r="C39" s="1357"/>
      <c r="D39" s="1358"/>
      <c r="E39" s="1359"/>
      <c r="F39" s="1360"/>
      <c r="G39" s="1345"/>
      <c r="H39" s="1345"/>
      <c r="I39" s="1345"/>
      <c r="J39" s="1345"/>
      <c r="K39" s="1345"/>
      <c r="L39" s="1345"/>
      <c r="M39" s="1345"/>
      <c r="N39" s="1345"/>
      <c r="O39" s="1345"/>
      <c r="P39" s="1345"/>
    </row>
    <row r="40" spans="1:16" s="1356" customFormat="1">
      <c r="A40" s="1355"/>
      <c r="B40" s="1368"/>
      <c r="C40" s="1357"/>
      <c r="D40" s="1358"/>
      <c r="E40" s="1359"/>
      <c r="F40" s="1360"/>
      <c r="G40" s="1345"/>
      <c r="H40" s="1345"/>
      <c r="I40" s="1345"/>
      <c r="J40" s="1345"/>
      <c r="K40" s="1345"/>
      <c r="L40" s="1345"/>
      <c r="M40" s="1345"/>
      <c r="N40" s="1345"/>
      <c r="O40" s="1345"/>
      <c r="P40" s="1345"/>
    </row>
    <row r="41" spans="1:16" s="1356" customFormat="1">
      <c r="A41" s="1355"/>
      <c r="B41" s="1368"/>
      <c r="C41" s="1357"/>
      <c r="D41" s="1358"/>
      <c r="E41" s="1359"/>
      <c r="F41" s="1360"/>
      <c r="G41" s="1345"/>
      <c r="H41" s="1345"/>
      <c r="I41" s="1345"/>
      <c r="J41" s="1345"/>
      <c r="K41" s="1345"/>
      <c r="L41" s="1345"/>
      <c r="M41" s="1345"/>
      <c r="N41" s="1345"/>
      <c r="O41" s="1345"/>
      <c r="P41" s="1345"/>
    </row>
    <row r="42" spans="1:16" s="1356" customFormat="1" ht="13.8" thickBot="1">
      <c r="A42" s="1355"/>
      <c r="B42" s="1368"/>
      <c r="C42" s="1357"/>
      <c r="D42" s="1358"/>
      <c r="E42" s="1359"/>
      <c r="F42" s="1360"/>
      <c r="G42" s="1345"/>
      <c r="H42" s="1345"/>
      <c r="I42" s="1345"/>
      <c r="J42" s="1345"/>
      <c r="K42" s="1345"/>
      <c r="L42" s="1345"/>
      <c r="M42" s="1345"/>
      <c r="N42" s="1345"/>
      <c r="O42" s="1345"/>
      <c r="P42" s="1345"/>
    </row>
    <row r="43" spans="1:16" s="1356" customFormat="1">
      <c r="A43" s="1371"/>
      <c r="B43" s="1372"/>
      <c r="C43" s="1373"/>
      <c r="D43" s="1374"/>
      <c r="E43" s="1375"/>
      <c r="F43" s="1376"/>
      <c r="G43" s="1345"/>
      <c r="H43" s="1345"/>
      <c r="I43" s="1345"/>
      <c r="J43" s="1345"/>
      <c r="K43" s="1345"/>
      <c r="L43" s="1345"/>
      <c r="M43" s="1345"/>
      <c r="N43" s="1345"/>
      <c r="O43" s="1345"/>
      <c r="P43" s="1345"/>
    </row>
    <row r="44" spans="1:16" s="1356" customFormat="1">
      <c r="A44" s="1377"/>
      <c r="B44" s="1378" t="s">
        <v>289</v>
      </c>
      <c r="C44" s="1379"/>
      <c r="D44" s="1380"/>
      <c r="E44" s="1381"/>
      <c r="F44" s="1382">
        <f>SUM(F7:F42)</f>
        <v>4805.51</v>
      </c>
      <c r="G44" s="1345"/>
      <c r="H44" s="1345"/>
      <c r="I44" s="1345"/>
      <c r="J44" s="1345"/>
      <c r="K44" s="1345"/>
      <c r="L44" s="1345"/>
      <c r="M44" s="1345"/>
      <c r="N44" s="1345"/>
      <c r="O44" s="1345"/>
      <c r="P44" s="1345"/>
    </row>
    <row r="45" spans="1:16" s="1356" customFormat="1">
      <c r="A45" s="1383"/>
      <c r="B45" s="1384"/>
      <c r="C45" s="1385"/>
      <c r="D45" s="1385"/>
      <c r="E45" s="1386"/>
      <c r="F45" s="1387"/>
      <c r="G45" s="1345"/>
      <c r="H45" s="1345"/>
      <c r="I45" s="1345"/>
      <c r="J45" s="1345"/>
      <c r="K45" s="1345"/>
      <c r="L45" s="1345"/>
      <c r="M45" s="1345"/>
      <c r="N45" s="1345"/>
      <c r="O45" s="1345"/>
      <c r="P45" s="1345"/>
    </row>
    <row r="47" spans="1:16">
      <c r="F47" s="1391"/>
    </row>
    <row r="48" spans="1:16">
      <c r="A48" s="1388" t="s">
        <v>151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C5F13-1094-4EC6-901E-D5BFFFE22F2C}">
  <dimension ref="A1:P58"/>
  <sheetViews>
    <sheetView workbookViewId="0">
      <selection activeCell="I12" sqref="I12"/>
    </sheetView>
  </sheetViews>
  <sheetFormatPr defaultColWidth="8.88671875" defaultRowHeight="13.2"/>
  <cols>
    <col min="1" max="1" width="7.6640625" style="1388" customWidth="1"/>
    <col min="2" max="2" width="48.6640625" style="1337" customWidth="1"/>
    <col min="3" max="3" width="5.6640625" style="1389" customWidth="1"/>
    <col min="4" max="4" width="7.6640625" style="1337" customWidth="1"/>
    <col min="5" max="5" width="10.33203125" style="1390" customWidth="1"/>
    <col min="6" max="6" width="12.109375" style="1390" customWidth="1"/>
    <col min="7" max="16384" width="8.88671875" style="1337"/>
  </cols>
  <sheetData>
    <row r="1" spans="1:16" ht="17.399999999999999">
      <c r="A1" s="1332" t="s">
        <v>273</v>
      </c>
      <c r="B1" s="1333"/>
      <c r="C1" s="1334"/>
      <c r="D1" s="1333"/>
      <c r="E1" s="1335"/>
      <c r="F1" s="1336"/>
    </row>
    <row r="2" spans="1:16">
      <c r="A2" s="1338" t="s">
        <v>975</v>
      </c>
      <c r="B2" s="1339"/>
      <c r="C2" s="1340"/>
      <c r="D2" s="1341"/>
      <c r="E2" s="1342"/>
      <c r="F2" s="1343"/>
    </row>
    <row r="3" spans="1:16">
      <c r="A3" s="1338"/>
      <c r="B3" s="1341"/>
      <c r="C3" s="1340"/>
      <c r="D3" s="1341"/>
      <c r="E3" s="1342"/>
      <c r="F3" s="1343"/>
    </row>
    <row r="4" spans="1:16">
      <c r="A4" s="1344"/>
      <c r="B4" s="1345"/>
      <c r="C4" s="1346"/>
      <c r="D4" s="1345"/>
      <c r="E4" s="1347"/>
      <c r="F4" s="1348"/>
    </row>
    <row r="5" spans="1:16" ht="13.8" thickBot="1">
      <c r="A5" s="1349" t="s">
        <v>276</v>
      </c>
      <c r="B5" s="1350"/>
      <c r="C5" s="1351" t="s">
        <v>277</v>
      </c>
      <c r="D5" s="1352" t="s">
        <v>266</v>
      </c>
      <c r="E5" s="1353" t="s">
        <v>278</v>
      </c>
      <c r="F5" s="1354" t="s">
        <v>267</v>
      </c>
    </row>
    <row r="6" spans="1:16" s="1356" customFormat="1">
      <c r="A6" s="1355"/>
      <c r="C6" s="1357"/>
      <c r="D6" s="1358"/>
      <c r="E6" s="1359"/>
      <c r="F6" s="1360"/>
      <c r="G6" s="1345"/>
      <c r="H6" s="1345"/>
      <c r="I6" s="1345"/>
      <c r="J6" s="1345"/>
      <c r="K6" s="1345"/>
      <c r="L6" s="1345"/>
      <c r="M6" s="1345"/>
      <c r="N6" s="1345"/>
      <c r="O6" s="1345"/>
      <c r="P6" s="1345"/>
    </row>
    <row r="7" spans="1:16" s="1356" customFormat="1" ht="39.6">
      <c r="A7" s="1355">
        <v>1</v>
      </c>
      <c r="B7" s="1361" t="s">
        <v>976</v>
      </c>
      <c r="C7" s="1362">
        <v>3</v>
      </c>
      <c r="D7" s="1363" t="s">
        <v>977</v>
      </c>
      <c r="E7" s="1364">
        <f>Elec_Est!E3082</f>
        <v>9864.0400000000009</v>
      </c>
      <c r="F7" s="1365">
        <f>E7*C7</f>
        <v>29592.120000000003</v>
      </c>
      <c r="G7" s="1345"/>
      <c r="H7" s="1345"/>
      <c r="I7" s="1345"/>
      <c r="J7" s="1345"/>
      <c r="K7" s="1345"/>
      <c r="L7" s="1345"/>
      <c r="M7" s="1345"/>
      <c r="N7" s="1345"/>
      <c r="O7" s="1345"/>
      <c r="P7" s="1345"/>
    </row>
    <row r="8" spans="1:16" s="1356" customFormat="1">
      <c r="A8" s="1355"/>
      <c r="B8" s="1361"/>
      <c r="C8" s="1362"/>
      <c r="D8" s="1363"/>
      <c r="E8" s="1364"/>
      <c r="F8" s="1365"/>
      <c r="G8" s="1345"/>
      <c r="H8" s="1345"/>
      <c r="I8" s="1345"/>
      <c r="J8" s="1345"/>
      <c r="K8" s="1345"/>
      <c r="L8" s="1345"/>
      <c r="M8" s="1345"/>
      <c r="N8" s="1345"/>
      <c r="O8" s="1345"/>
      <c r="P8" s="1345"/>
    </row>
    <row r="9" spans="1:16" s="1356" customFormat="1">
      <c r="A9" s="1355"/>
      <c r="B9" s="1361"/>
      <c r="C9" s="1362"/>
      <c r="D9" s="1363"/>
      <c r="E9" s="1364"/>
      <c r="F9" s="1365"/>
      <c r="G9" s="1345"/>
      <c r="H9" s="1345"/>
      <c r="I9" s="1345"/>
      <c r="J9" s="1345"/>
      <c r="K9" s="1345"/>
      <c r="L9" s="1345"/>
      <c r="M9" s="1345"/>
      <c r="N9" s="1345"/>
      <c r="O9" s="1345"/>
      <c r="P9" s="1345"/>
    </row>
    <row r="10" spans="1:16" s="1356" customFormat="1" ht="39.6">
      <c r="A10" s="1355">
        <f>A7+1</f>
        <v>2</v>
      </c>
      <c r="B10" s="1361" t="s">
        <v>978</v>
      </c>
      <c r="C10" s="1362">
        <v>1</v>
      </c>
      <c r="D10" s="1363" t="s">
        <v>384</v>
      </c>
      <c r="E10" s="1364">
        <f>Elec_Est!E3103</f>
        <v>11081.29</v>
      </c>
      <c r="F10" s="1413" t="s">
        <v>384</v>
      </c>
      <c r="G10" s="1345"/>
      <c r="H10" s="1345"/>
      <c r="I10" s="1345"/>
      <c r="J10" s="1345"/>
      <c r="K10" s="1345"/>
      <c r="L10" s="1345"/>
      <c r="M10" s="1345"/>
      <c r="N10" s="1345"/>
      <c r="O10" s="1345"/>
      <c r="P10" s="1345"/>
    </row>
    <row r="11" spans="1:16" s="1356" customFormat="1">
      <c r="A11" s="1355"/>
      <c r="B11" s="1361"/>
      <c r="C11" s="1362"/>
      <c r="D11" s="1363"/>
      <c r="E11" s="1414"/>
      <c r="F11" s="1415"/>
      <c r="G11" s="1345"/>
      <c r="H11" s="1345"/>
      <c r="I11" s="1345"/>
      <c r="J11" s="1345"/>
      <c r="K11" s="1345"/>
      <c r="L11" s="1345"/>
      <c r="M11" s="1345"/>
      <c r="N11" s="1345"/>
      <c r="O11" s="1345"/>
      <c r="P11" s="1345"/>
    </row>
    <row r="12" spans="1:16" s="1356" customFormat="1">
      <c r="A12" s="1355"/>
      <c r="B12" s="1361"/>
      <c r="C12" s="1416"/>
      <c r="D12" s="1417"/>
      <c r="E12" s="1418"/>
      <c r="F12" s="1419"/>
      <c r="G12" s="1345"/>
      <c r="H12" s="1345"/>
      <c r="I12" s="1345"/>
      <c r="J12" s="1345"/>
      <c r="K12" s="1345"/>
      <c r="L12" s="1345"/>
      <c r="M12" s="1345"/>
      <c r="N12" s="1345"/>
      <c r="O12" s="1345"/>
      <c r="P12" s="1345"/>
    </row>
    <row r="13" spans="1:16" s="1356" customFormat="1" ht="12.75" customHeight="1">
      <c r="A13" s="1355"/>
      <c r="B13" s="1366"/>
      <c r="C13" s="1416"/>
      <c r="D13" s="1417"/>
      <c r="E13" s="1359"/>
      <c r="F13" s="1360"/>
      <c r="G13" s="1345"/>
      <c r="H13" s="1345"/>
      <c r="I13" s="1345"/>
      <c r="J13" s="1345"/>
      <c r="K13" s="1345"/>
      <c r="L13" s="1345"/>
      <c r="M13" s="1345"/>
      <c r="N13" s="1345"/>
      <c r="O13" s="1345"/>
      <c r="P13" s="1345"/>
    </row>
    <row r="14" spans="1:16" s="1356" customFormat="1" ht="12.75" customHeight="1">
      <c r="A14" s="1355"/>
      <c r="B14" s="1366"/>
      <c r="C14" s="1416"/>
      <c r="D14" s="1417"/>
      <c r="E14" s="1359"/>
      <c r="F14" s="1360"/>
      <c r="G14" s="1345"/>
      <c r="H14" s="1345"/>
      <c r="I14" s="1345"/>
      <c r="J14" s="1345"/>
      <c r="K14" s="1345"/>
      <c r="L14" s="1345"/>
      <c r="M14" s="1345"/>
      <c r="N14" s="1345"/>
      <c r="O14" s="1345"/>
      <c r="P14" s="1345"/>
    </row>
    <row r="15" spans="1:16" s="1356" customFormat="1" ht="12.75" customHeight="1">
      <c r="A15" s="1355"/>
      <c r="B15" s="1366"/>
      <c r="C15" s="1416"/>
      <c r="D15" s="1417"/>
      <c r="E15" s="1359"/>
      <c r="F15" s="1360"/>
      <c r="G15" s="1345"/>
      <c r="H15" s="1345"/>
      <c r="I15" s="1345"/>
      <c r="J15" s="1345"/>
      <c r="K15" s="1345"/>
      <c r="L15" s="1345"/>
      <c r="M15" s="1345"/>
      <c r="N15" s="1345"/>
      <c r="O15" s="1345"/>
      <c r="P15" s="1345"/>
    </row>
    <row r="16" spans="1:16" s="1356" customFormat="1">
      <c r="A16" s="1355"/>
      <c r="B16" s="1368"/>
      <c r="C16" s="1357"/>
      <c r="D16" s="1358"/>
      <c r="E16" s="1359"/>
      <c r="F16" s="1360"/>
      <c r="G16" s="1345"/>
      <c r="H16" s="1345"/>
      <c r="I16" s="1345"/>
      <c r="J16" s="1345"/>
      <c r="K16" s="1345"/>
      <c r="L16" s="1345"/>
      <c r="M16" s="1345"/>
      <c r="N16" s="1345"/>
      <c r="O16" s="1345"/>
      <c r="P16" s="1345"/>
    </row>
    <row r="17" spans="1:16" s="1356" customFormat="1">
      <c r="A17" s="1355"/>
      <c r="B17" s="1368"/>
      <c r="C17" s="1357"/>
      <c r="D17" s="1358"/>
      <c r="E17" s="1359"/>
      <c r="F17" s="1360"/>
      <c r="G17" s="1345"/>
      <c r="H17" s="1345"/>
      <c r="I17" s="1345"/>
      <c r="J17" s="1345"/>
      <c r="K17" s="1345"/>
      <c r="L17" s="1345"/>
      <c r="M17" s="1345"/>
      <c r="N17" s="1345"/>
      <c r="O17" s="1345"/>
      <c r="P17" s="1345"/>
    </row>
    <row r="18" spans="1:16" s="1356" customFormat="1">
      <c r="A18" s="1355"/>
      <c r="B18" s="1368"/>
      <c r="C18" s="1357"/>
      <c r="D18" s="1358"/>
      <c r="E18" s="1359"/>
      <c r="F18" s="1360"/>
      <c r="G18" s="1345"/>
      <c r="H18" s="1345"/>
      <c r="I18" s="1345"/>
      <c r="J18" s="1345"/>
      <c r="K18" s="1345"/>
      <c r="L18" s="1345"/>
      <c r="M18" s="1345"/>
      <c r="N18" s="1345"/>
      <c r="O18" s="1345"/>
      <c r="P18" s="1345"/>
    </row>
    <row r="19" spans="1:16" s="1356" customFormat="1">
      <c r="A19" s="1355"/>
      <c r="B19" s="1368"/>
      <c r="C19" s="1357"/>
      <c r="D19" s="1358"/>
      <c r="E19" s="1359"/>
      <c r="F19" s="1360"/>
      <c r="G19" s="1345"/>
      <c r="H19" s="1345"/>
      <c r="I19" s="1345"/>
      <c r="J19" s="1345"/>
      <c r="K19" s="1345"/>
      <c r="L19" s="1345"/>
      <c r="M19" s="1345"/>
      <c r="N19" s="1345"/>
      <c r="O19" s="1345"/>
      <c r="P19" s="1345"/>
    </row>
    <row r="20" spans="1:16" s="1356" customFormat="1">
      <c r="A20" s="1355"/>
      <c r="B20" s="1368"/>
      <c r="C20" s="1357"/>
      <c r="D20" s="1358"/>
      <c r="E20" s="1359"/>
      <c r="F20" s="1360"/>
      <c r="G20" s="1345"/>
      <c r="H20" s="1345"/>
      <c r="I20" s="1345"/>
      <c r="J20" s="1345"/>
      <c r="K20" s="1345"/>
      <c r="L20" s="1345"/>
      <c r="M20" s="1345"/>
      <c r="N20" s="1345"/>
      <c r="O20" s="1345"/>
      <c r="P20" s="1345"/>
    </row>
    <row r="21" spans="1:16" s="1356" customFormat="1">
      <c r="A21" s="1355"/>
      <c r="B21" s="1368"/>
      <c r="C21" s="1357"/>
      <c r="D21" s="1358"/>
      <c r="E21" s="1359"/>
      <c r="F21" s="1360"/>
      <c r="G21" s="1345"/>
      <c r="H21" s="1345"/>
      <c r="I21" s="1345"/>
      <c r="J21" s="1345"/>
      <c r="K21" s="1345"/>
      <c r="L21" s="1345"/>
      <c r="M21" s="1345"/>
      <c r="N21" s="1345"/>
      <c r="O21" s="1345"/>
      <c r="P21" s="1345"/>
    </row>
    <row r="22" spans="1:16" s="1356" customFormat="1">
      <c r="A22" s="1355"/>
      <c r="B22" s="1368"/>
      <c r="C22" s="1357"/>
      <c r="D22" s="1358"/>
      <c r="E22" s="1359"/>
      <c r="F22" s="1360"/>
      <c r="G22" s="1345"/>
      <c r="H22" s="1345"/>
      <c r="I22" s="1345"/>
      <c r="J22" s="1345"/>
      <c r="K22" s="1345"/>
      <c r="L22" s="1345"/>
      <c r="M22" s="1345"/>
      <c r="N22" s="1345"/>
      <c r="O22" s="1345"/>
      <c r="P22" s="1345"/>
    </row>
    <row r="23" spans="1:16" s="1356" customFormat="1">
      <c r="A23" s="1355"/>
      <c r="B23" s="1368"/>
      <c r="C23" s="1357"/>
      <c r="D23" s="1358"/>
      <c r="E23" s="1359"/>
      <c r="F23" s="1360"/>
      <c r="G23" s="1345"/>
      <c r="H23" s="1345"/>
      <c r="I23" s="1345"/>
      <c r="J23" s="1345"/>
      <c r="K23" s="1345"/>
      <c r="L23" s="1345"/>
      <c r="M23" s="1345"/>
      <c r="N23" s="1345"/>
      <c r="O23" s="1345"/>
      <c r="P23" s="1345"/>
    </row>
    <row r="24" spans="1:16" s="1356" customFormat="1">
      <c r="A24" s="1355"/>
      <c r="B24" s="1368"/>
      <c r="C24" s="1357"/>
      <c r="D24" s="1358"/>
      <c r="E24" s="1359"/>
      <c r="F24" s="1360"/>
      <c r="G24" s="1345"/>
      <c r="H24" s="1345"/>
      <c r="I24" s="1345"/>
      <c r="J24" s="1345"/>
      <c r="K24" s="1345"/>
      <c r="L24" s="1345"/>
      <c r="M24" s="1345"/>
      <c r="N24" s="1345"/>
      <c r="O24" s="1345"/>
      <c r="P24" s="1345"/>
    </row>
    <row r="25" spans="1:16" s="1356" customFormat="1">
      <c r="A25" s="1355"/>
      <c r="B25" s="1368"/>
      <c r="C25" s="1357"/>
      <c r="D25" s="1358"/>
      <c r="E25" s="1359"/>
      <c r="F25" s="1360"/>
      <c r="G25" s="1345"/>
      <c r="H25" s="1345"/>
      <c r="I25" s="1345"/>
      <c r="J25" s="1345"/>
      <c r="K25" s="1345"/>
      <c r="L25" s="1345"/>
      <c r="M25" s="1345"/>
      <c r="N25" s="1345"/>
      <c r="O25" s="1345"/>
      <c r="P25" s="1345"/>
    </row>
    <row r="26" spans="1:16" s="1356" customFormat="1">
      <c r="A26" s="1355"/>
      <c r="B26" s="1368"/>
      <c r="C26" s="1357"/>
      <c r="D26" s="1358"/>
      <c r="E26" s="1359"/>
      <c r="F26" s="1360"/>
      <c r="G26" s="1345"/>
      <c r="H26" s="1345"/>
      <c r="I26" s="1345"/>
      <c r="J26" s="1345"/>
      <c r="K26" s="1345"/>
      <c r="L26" s="1345"/>
      <c r="M26" s="1345"/>
      <c r="N26" s="1345"/>
      <c r="O26" s="1345"/>
      <c r="P26" s="1345"/>
    </row>
    <row r="27" spans="1:16" s="1356" customFormat="1">
      <c r="A27" s="1355"/>
      <c r="B27" s="1368"/>
      <c r="C27" s="1357"/>
      <c r="D27" s="1358"/>
      <c r="E27" s="1359"/>
      <c r="F27" s="1360"/>
      <c r="G27" s="1345"/>
      <c r="H27" s="1345"/>
      <c r="I27" s="1345"/>
      <c r="J27" s="1345"/>
      <c r="K27" s="1345"/>
      <c r="L27" s="1345"/>
      <c r="M27" s="1345"/>
      <c r="N27" s="1345"/>
      <c r="O27" s="1345"/>
      <c r="P27" s="1345"/>
    </row>
    <row r="28" spans="1:16" s="1356" customFormat="1">
      <c r="A28" s="1355"/>
      <c r="B28" s="1368"/>
      <c r="C28" s="1416"/>
      <c r="D28" s="1417"/>
      <c r="E28" s="1359"/>
      <c r="F28" s="1360"/>
      <c r="G28" s="1345"/>
      <c r="H28" s="1345"/>
      <c r="I28" s="1345"/>
      <c r="J28" s="1345"/>
      <c r="K28" s="1345"/>
      <c r="L28" s="1345"/>
      <c r="M28" s="1345"/>
      <c r="N28" s="1345"/>
      <c r="O28" s="1345"/>
      <c r="P28" s="1345"/>
    </row>
    <row r="29" spans="1:16" s="1356" customFormat="1">
      <c r="A29" s="1355"/>
      <c r="B29" s="1368"/>
      <c r="C29" s="1357"/>
      <c r="D29" s="1358"/>
      <c r="E29" s="1359"/>
      <c r="F29" s="1360"/>
      <c r="G29" s="1345"/>
      <c r="H29" s="1345"/>
      <c r="I29" s="1345"/>
      <c r="J29" s="1345"/>
      <c r="K29" s="1345"/>
      <c r="L29" s="1345"/>
      <c r="M29" s="1345"/>
      <c r="N29" s="1345"/>
      <c r="O29" s="1345"/>
      <c r="P29" s="1345"/>
    </row>
    <row r="30" spans="1:16" s="1356" customFormat="1">
      <c r="A30" s="1355"/>
      <c r="B30" s="1368"/>
      <c r="C30" s="1357"/>
      <c r="D30" s="1358"/>
      <c r="E30" s="1359"/>
      <c r="F30" s="1360"/>
      <c r="G30" s="1345"/>
      <c r="H30" s="1345"/>
      <c r="I30" s="1345"/>
      <c r="J30" s="1345"/>
      <c r="K30" s="1345"/>
      <c r="L30" s="1345"/>
      <c r="M30" s="1345"/>
      <c r="N30" s="1345"/>
      <c r="O30" s="1345"/>
      <c r="P30" s="1345"/>
    </row>
    <row r="31" spans="1:16" s="1356" customFormat="1">
      <c r="A31" s="1355"/>
      <c r="B31" s="1368"/>
      <c r="C31" s="1357"/>
      <c r="D31" s="1358"/>
      <c r="E31" s="1359"/>
      <c r="F31" s="1360"/>
      <c r="G31" s="1345"/>
      <c r="H31" s="1345"/>
      <c r="I31" s="1345"/>
      <c r="J31" s="1345"/>
      <c r="K31" s="1345"/>
      <c r="L31" s="1345"/>
      <c r="M31" s="1345"/>
      <c r="N31" s="1345"/>
      <c r="O31" s="1345"/>
      <c r="P31" s="1345"/>
    </row>
    <row r="32" spans="1:16" s="1356" customFormat="1">
      <c r="A32" s="1355"/>
      <c r="B32" s="1368"/>
      <c r="C32" s="1357"/>
      <c r="D32" s="1358"/>
      <c r="E32" s="1359"/>
      <c r="F32" s="1360"/>
      <c r="G32" s="1345"/>
      <c r="H32" s="1345"/>
      <c r="I32" s="1345"/>
      <c r="J32" s="1345"/>
      <c r="K32" s="1345"/>
      <c r="L32" s="1345"/>
      <c r="M32" s="1345"/>
      <c r="N32" s="1345"/>
      <c r="O32" s="1345"/>
      <c r="P32" s="1345"/>
    </row>
    <row r="33" spans="1:16" s="1356" customFormat="1">
      <c r="A33" s="1355"/>
      <c r="B33" s="1368"/>
      <c r="C33" s="1357"/>
      <c r="D33" s="1358"/>
      <c r="E33" s="1359"/>
      <c r="F33" s="1360"/>
      <c r="G33" s="1345"/>
      <c r="H33" s="1345"/>
      <c r="I33" s="1345"/>
      <c r="J33" s="1345"/>
      <c r="K33" s="1345"/>
      <c r="L33" s="1345"/>
      <c r="M33" s="1345"/>
      <c r="N33" s="1345"/>
      <c r="O33" s="1345"/>
      <c r="P33" s="1345"/>
    </row>
    <row r="34" spans="1:16" s="1356" customFormat="1">
      <c r="A34" s="1355"/>
      <c r="B34" s="1368"/>
      <c r="C34" s="1357"/>
      <c r="D34" s="1358"/>
      <c r="E34" s="1359"/>
      <c r="F34" s="1360"/>
      <c r="G34" s="1345"/>
      <c r="H34" s="1345"/>
      <c r="I34" s="1345"/>
      <c r="J34" s="1345"/>
      <c r="K34" s="1345"/>
      <c r="L34" s="1345"/>
      <c r="M34" s="1345"/>
      <c r="N34" s="1345"/>
      <c r="O34" s="1345"/>
      <c r="P34" s="1345"/>
    </row>
    <row r="35" spans="1:16" s="1356" customFormat="1">
      <c r="A35" s="1355"/>
      <c r="B35" s="1368"/>
      <c r="C35" s="1357"/>
      <c r="D35" s="1358"/>
      <c r="E35" s="1359"/>
      <c r="F35" s="1360"/>
      <c r="G35" s="1345"/>
      <c r="H35" s="1345"/>
      <c r="I35" s="1345"/>
      <c r="J35" s="1345"/>
      <c r="K35" s="1345"/>
      <c r="L35" s="1345"/>
      <c r="M35" s="1345"/>
      <c r="N35" s="1345"/>
      <c r="O35" s="1345"/>
      <c r="P35" s="1345"/>
    </row>
    <row r="36" spans="1:16" s="1356" customFormat="1">
      <c r="A36" s="1355"/>
      <c r="B36" s="1368"/>
      <c r="C36" s="1357"/>
      <c r="D36" s="1358"/>
      <c r="E36" s="1359"/>
      <c r="F36" s="1360"/>
      <c r="G36" s="1345"/>
      <c r="H36" s="1345"/>
      <c r="I36" s="1345"/>
      <c r="J36" s="1345"/>
      <c r="K36" s="1345"/>
      <c r="L36" s="1345"/>
      <c r="M36" s="1345"/>
      <c r="N36" s="1345"/>
      <c r="O36" s="1345"/>
      <c r="P36" s="1345"/>
    </row>
    <row r="37" spans="1:16" s="1356" customFormat="1">
      <c r="A37" s="1355"/>
      <c r="B37" s="1368"/>
      <c r="C37" s="1357"/>
      <c r="D37" s="1358"/>
      <c r="E37" s="1359"/>
      <c r="F37" s="1360"/>
      <c r="G37" s="1345"/>
      <c r="H37" s="1345"/>
      <c r="I37" s="1345"/>
      <c r="J37" s="1345"/>
      <c r="K37" s="1345"/>
      <c r="L37" s="1345"/>
      <c r="M37" s="1345"/>
      <c r="N37" s="1345"/>
      <c r="O37" s="1345"/>
      <c r="P37" s="1345"/>
    </row>
    <row r="38" spans="1:16" s="1356" customFormat="1">
      <c r="A38" s="1355"/>
      <c r="B38" s="1368"/>
      <c r="C38" s="1357"/>
      <c r="D38" s="1358"/>
      <c r="E38" s="1359"/>
      <c r="F38" s="1360"/>
      <c r="G38" s="1345"/>
      <c r="H38" s="1345"/>
      <c r="I38" s="1345"/>
      <c r="J38" s="1345"/>
      <c r="K38" s="1345"/>
      <c r="L38" s="1345"/>
      <c r="M38" s="1345"/>
      <c r="N38" s="1345"/>
      <c r="O38" s="1345"/>
      <c r="P38" s="1345"/>
    </row>
    <row r="39" spans="1:16" s="1356" customFormat="1">
      <c r="A39" s="1355"/>
      <c r="B39" s="1368"/>
      <c r="C39" s="1357"/>
      <c r="D39" s="1358"/>
      <c r="E39" s="1359"/>
      <c r="F39" s="1360"/>
      <c r="G39" s="1345"/>
      <c r="H39" s="1345"/>
      <c r="I39" s="1345"/>
      <c r="J39" s="1345"/>
      <c r="K39" s="1345"/>
      <c r="L39" s="1345"/>
      <c r="M39" s="1345"/>
      <c r="N39" s="1345"/>
      <c r="O39" s="1345"/>
      <c r="P39" s="1345"/>
    </row>
    <row r="40" spans="1:16" s="1356" customFormat="1">
      <c r="A40" s="1355"/>
      <c r="B40" s="1368"/>
      <c r="C40" s="1357"/>
      <c r="D40" s="1358"/>
      <c r="E40" s="1359"/>
      <c r="F40" s="1360"/>
      <c r="G40" s="1345"/>
      <c r="H40" s="1345"/>
      <c r="I40" s="1345"/>
      <c r="J40" s="1345"/>
      <c r="K40" s="1345"/>
      <c r="L40" s="1345"/>
      <c r="M40" s="1345"/>
      <c r="N40" s="1345"/>
      <c r="O40" s="1345"/>
      <c r="P40" s="1345"/>
    </row>
    <row r="41" spans="1:16" s="1356" customFormat="1">
      <c r="A41" s="1355"/>
      <c r="B41" s="1368"/>
      <c r="C41" s="1357"/>
      <c r="D41" s="1358"/>
      <c r="E41" s="1359"/>
      <c r="F41" s="1360"/>
      <c r="G41" s="1345"/>
      <c r="H41" s="1345"/>
      <c r="I41" s="1345"/>
      <c r="J41" s="1345"/>
      <c r="K41" s="1345"/>
      <c r="L41" s="1345"/>
      <c r="M41" s="1345"/>
      <c r="N41" s="1345"/>
      <c r="O41" s="1345"/>
      <c r="P41" s="1345"/>
    </row>
    <row r="42" spans="1:16" s="1356" customFormat="1">
      <c r="A42" s="1355"/>
      <c r="B42" s="1368"/>
      <c r="C42" s="1357"/>
      <c r="D42" s="1358"/>
      <c r="E42" s="1359"/>
      <c r="F42" s="1360"/>
      <c r="G42" s="1345"/>
      <c r="H42" s="1345"/>
      <c r="I42" s="1345"/>
      <c r="J42" s="1345"/>
      <c r="K42" s="1345"/>
      <c r="L42" s="1345"/>
      <c r="M42" s="1345"/>
      <c r="N42" s="1345"/>
      <c r="O42" s="1345"/>
      <c r="P42" s="1345"/>
    </row>
    <row r="43" spans="1:16" s="1356" customFormat="1">
      <c r="A43" s="1355"/>
      <c r="B43" s="1368"/>
      <c r="C43" s="1357"/>
      <c r="D43" s="1358"/>
      <c r="E43" s="1359"/>
      <c r="F43" s="1360"/>
      <c r="G43" s="1345"/>
      <c r="H43" s="1345"/>
      <c r="I43" s="1345"/>
      <c r="J43" s="1345"/>
      <c r="K43" s="1345"/>
      <c r="L43" s="1345"/>
      <c r="M43" s="1345"/>
      <c r="N43" s="1345"/>
      <c r="O43" s="1345"/>
      <c r="P43" s="1345"/>
    </row>
    <row r="44" spans="1:16" s="1356" customFormat="1">
      <c r="A44" s="1355"/>
      <c r="B44" s="1368"/>
      <c r="C44" s="1357"/>
      <c r="D44" s="1358"/>
      <c r="E44" s="1359"/>
      <c r="F44" s="1360"/>
      <c r="G44" s="1345"/>
      <c r="H44" s="1345"/>
      <c r="I44" s="1345"/>
      <c r="J44" s="1345"/>
      <c r="K44" s="1345"/>
      <c r="L44" s="1345"/>
      <c r="M44" s="1345"/>
      <c r="N44" s="1345"/>
      <c r="O44" s="1345"/>
      <c r="P44" s="1345"/>
    </row>
    <row r="45" spans="1:16" s="1356" customFormat="1">
      <c r="A45" s="1355"/>
      <c r="B45" s="1368"/>
      <c r="C45" s="1357"/>
      <c r="D45" s="1358"/>
      <c r="E45" s="1359"/>
      <c r="F45" s="1360"/>
      <c r="G45" s="1345"/>
      <c r="H45" s="1345"/>
      <c r="I45" s="1345"/>
      <c r="J45" s="1345"/>
      <c r="K45" s="1345"/>
      <c r="L45" s="1345"/>
      <c r="M45" s="1345"/>
      <c r="N45" s="1345"/>
      <c r="O45" s="1345"/>
      <c r="P45" s="1345"/>
    </row>
    <row r="46" spans="1:16" s="1356" customFormat="1">
      <c r="A46" s="1355"/>
      <c r="B46" s="1368"/>
      <c r="C46" s="1357"/>
      <c r="D46" s="1358"/>
      <c r="E46" s="1359"/>
      <c r="F46" s="1360"/>
      <c r="G46" s="1345"/>
      <c r="H46" s="1345"/>
      <c r="I46" s="1345"/>
      <c r="J46" s="1345"/>
      <c r="K46" s="1345"/>
      <c r="L46" s="1345"/>
      <c r="M46" s="1345"/>
      <c r="N46" s="1345"/>
      <c r="O46" s="1345"/>
      <c r="P46" s="1345"/>
    </row>
    <row r="47" spans="1:16" s="1356" customFormat="1">
      <c r="A47" s="1355"/>
      <c r="B47" s="1368"/>
      <c r="C47" s="1357"/>
      <c r="D47" s="1358"/>
      <c r="E47" s="1359"/>
      <c r="F47" s="1360"/>
      <c r="G47" s="1345"/>
      <c r="H47" s="1345"/>
      <c r="I47" s="1345"/>
      <c r="J47" s="1345"/>
      <c r="K47" s="1345"/>
      <c r="L47" s="1345"/>
      <c r="M47" s="1345"/>
      <c r="N47" s="1345"/>
      <c r="O47" s="1345"/>
      <c r="P47" s="1345"/>
    </row>
    <row r="48" spans="1:16" s="1356" customFormat="1">
      <c r="A48" s="1355"/>
      <c r="B48" s="1368"/>
      <c r="C48" s="1357"/>
      <c r="D48" s="1358"/>
      <c r="E48" s="1359"/>
      <c r="F48" s="1360"/>
      <c r="G48" s="1345"/>
      <c r="H48" s="1345"/>
      <c r="I48" s="1345"/>
      <c r="J48" s="1345"/>
      <c r="K48" s="1345"/>
      <c r="L48" s="1345"/>
      <c r="M48" s="1345"/>
      <c r="N48" s="1345"/>
      <c r="O48" s="1345"/>
      <c r="P48" s="1345"/>
    </row>
    <row r="49" spans="1:16" s="1356" customFormat="1">
      <c r="A49" s="1355"/>
      <c r="B49" s="1368"/>
      <c r="C49" s="1357"/>
      <c r="D49" s="1358"/>
      <c r="E49" s="1359"/>
      <c r="F49" s="1360"/>
      <c r="G49" s="1345"/>
      <c r="H49" s="1345"/>
      <c r="I49" s="1345"/>
      <c r="J49" s="1345"/>
      <c r="K49" s="1345"/>
      <c r="L49" s="1345"/>
      <c r="M49" s="1345"/>
      <c r="N49" s="1345"/>
      <c r="O49" s="1345"/>
      <c r="P49" s="1345"/>
    </row>
    <row r="50" spans="1:16" s="1356" customFormat="1">
      <c r="A50" s="1355"/>
      <c r="B50" s="1368"/>
      <c r="C50" s="1357"/>
      <c r="D50" s="1358"/>
      <c r="E50" s="1359"/>
      <c r="F50" s="1360"/>
      <c r="G50" s="1345"/>
      <c r="H50" s="1345"/>
      <c r="I50" s="1345"/>
      <c r="J50" s="1345"/>
      <c r="K50" s="1345"/>
      <c r="L50" s="1345"/>
      <c r="M50" s="1345"/>
      <c r="N50" s="1345"/>
      <c r="O50" s="1345"/>
      <c r="P50" s="1345"/>
    </row>
    <row r="51" spans="1:16" s="1356" customFormat="1">
      <c r="A51" s="1355"/>
      <c r="B51" s="1368"/>
      <c r="C51" s="1357"/>
      <c r="D51" s="1358"/>
      <c r="E51" s="1359"/>
      <c r="F51" s="1360"/>
      <c r="G51" s="1345"/>
      <c r="H51" s="1345"/>
      <c r="I51" s="1345"/>
      <c r="J51" s="1345"/>
      <c r="K51" s="1345"/>
      <c r="L51" s="1345"/>
      <c r="M51" s="1345"/>
      <c r="N51" s="1345"/>
      <c r="O51" s="1345"/>
      <c r="P51" s="1345"/>
    </row>
    <row r="52" spans="1:16" s="1356" customFormat="1">
      <c r="A52" s="1355"/>
      <c r="B52" s="1368"/>
      <c r="C52" s="1357"/>
      <c r="D52" s="1358"/>
      <c r="E52" s="1359"/>
      <c r="F52" s="1360"/>
      <c r="G52" s="1345"/>
      <c r="H52" s="1345"/>
      <c r="I52" s="1345"/>
      <c r="J52" s="1345"/>
      <c r="K52" s="1345"/>
      <c r="L52" s="1345"/>
      <c r="M52" s="1345"/>
      <c r="N52" s="1345"/>
      <c r="O52" s="1345"/>
      <c r="P52" s="1345"/>
    </row>
    <row r="53" spans="1:16" s="1356" customFormat="1" ht="13.8" thickBot="1">
      <c r="A53" s="1355"/>
      <c r="B53" s="1368"/>
      <c r="C53" s="1357"/>
      <c r="D53" s="1358"/>
      <c r="E53" s="1359"/>
      <c r="F53" s="1360"/>
      <c r="G53" s="1345"/>
      <c r="H53" s="1345"/>
      <c r="I53" s="1345"/>
      <c r="J53" s="1345"/>
      <c r="K53" s="1345"/>
      <c r="L53" s="1345"/>
      <c r="M53" s="1345"/>
      <c r="N53" s="1345"/>
      <c r="O53" s="1345"/>
      <c r="P53" s="1345"/>
    </row>
    <row r="54" spans="1:16" s="1356" customFormat="1">
      <c r="A54" s="1371"/>
      <c r="B54" s="1372"/>
      <c r="C54" s="1373"/>
      <c r="D54" s="1374"/>
      <c r="E54" s="1375"/>
      <c r="F54" s="1376"/>
      <c r="G54" s="1345"/>
      <c r="H54" s="1345"/>
      <c r="I54" s="1345"/>
      <c r="J54" s="1345"/>
      <c r="K54" s="1345"/>
      <c r="L54" s="1345"/>
      <c r="M54" s="1345"/>
      <c r="N54" s="1345"/>
      <c r="O54" s="1345"/>
      <c r="P54" s="1345"/>
    </row>
    <row r="55" spans="1:16" s="1356" customFormat="1">
      <c r="A55" s="1377"/>
      <c r="B55" s="1378" t="s">
        <v>289</v>
      </c>
      <c r="C55" s="1379"/>
      <c r="D55" s="1380"/>
      <c r="E55" s="1381"/>
      <c r="F55" s="1382">
        <f>SUM(F7:F53)</f>
        <v>29592.120000000003</v>
      </c>
      <c r="G55" s="1345"/>
      <c r="H55" s="1345"/>
      <c r="I55" s="1345"/>
      <c r="J55" s="1345"/>
      <c r="K55" s="1345"/>
      <c r="L55" s="1345"/>
      <c r="M55" s="1345"/>
      <c r="N55" s="1345"/>
      <c r="O55" s="1345"/>
      <c r="P55" s="1345"/>
    </row>
    <row r="56" spans="1:16" s="1356" customFormat="1">
      <c r="A56" s="1383"/>
      <c r="B56" s="1384"/>
      <c r="C56" s="1385"/>
      <c r="D56" s="1385"/>
      <c r="E56" s="1386"/>
      <c r="F56" s="1387"/>
      <c r="G56" s="1345"/>
      <c r="H56" s="1345"/>
      <c r="I56" s="1345"/>
      <c r="J56" s="1345"/>
      <c r="K56" s="1345"/>
      <c r="L56" s="1345"/>
      <c r="M56" s="1345"/>
      <c r="N56" s="1345"/>
      <c r="O56" s="1345"/>
      <c r="P56" s="1345"/>
    </row>
    <row r="58" spans="1:16">
      <c r="A58" s="1388" t="s">
        <v>151</v>
      </c>
      <c r="F58" s="139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vt:i4>
      </vt:variant>
    </vt:vector>
  </HeadingPairs>
  <TitlesOfParts>
    <vt:vector size="23" baseType="lpstr">
      <vt:lpstr>SUMM PG</vt:lpstr>
      <vt:lpstr>Notes</vt:lpstr>
      <vt:lpstr>Quote</vt:lpstr>
      <vt:lpstr>ML_Sum</vt:lpstr>
      <vt:lpstr>Elec_Rates</vt:lpstr>
      <vt:lpstr>Elec_Est</vt:lpstr>
      <vt:lpstr>Chillers_Dismantling_BOQ</vt:lpstr>
      <vt:lpstr>Chillers_New_BOQ</vt:lpstr>
      <vt:lpstr>Boilers_Dismantling_BOQ</vt:lpstr>
      <vt:lpstr>HTHP_New_BOQ</vt:lpstr>
      <vt:lpstr>Pumps_Dismantling_BOQ</vt:lpstr>
      <vt:lpstr>Pumps_New_BOQ</vt:lpstr>
      <vt:lpstr>AHU_Motors_New_BOQ</vt:lpstr>
      <vt:lpstr>EF_BOQ</vt:lpstr>
      <vt:lpstr>AC_Split_Unit_BOQ</vt:lpstr>
      <vt:lpstr>Commissioning_BOQ</vt:lpstr>
      <vt:lpstr>Maintenance_BOQ</vt:lpstr>
      <vt:lpstr>Fire_Barrier_BOQ</vt:lpstr>
      <vt:lpstr>Prelims_BOQ</vt:lpstr>
      <vt:lpstr>Comm_BOQ</vt:lpstr>
      <vt:lpstr>Maint_BOQ</vt:lpstr>
      <vt:lpstr>AREAS</vt:lpstr>
      <vt:lpstr>Elec_Est!Print_Area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Umut Can Kaymak</cp:lastModifiedBy>
  <cp:lastPrinted>2025-07-28T08:24:05Z</cp:lastPrinted>
  <dcterms:created xsi:type="dcterms:W3CDTF">2004-05-27T15:45:27Z</dcterms:created>
  <dcterms:modified xsi:type="dcterms:W3CDTF">2025-09-25T13:34:04Z</dcterms:modified>
  <cp:contentStatus/>
</cp:coreProperties>
</file>