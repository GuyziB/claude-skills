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clnas\bms\1. Estimates\3. Small Jobs\SJ572 - Crane Currency - VSD for AHU-09\1. Estimate\"/>
    </mc:Choice>
  </mc:AlternateContent>
  <xr:revisionPtr revIDLastSave="0" documentId="13_ncr:1_{45FE8061-B9AE-472C-8DDA-ABAEB7FCF044}" xr6:coauthVersionLast="47" xr6:coauthVersionMax="47" xr10:uidLastSave="{00000000-0000-0000-0000-000000000000}"/>
  <bookViews>
    <workbookView xWindow="28680" yWindow="-120" windowWidth="29040" windowHeight="15720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Materials'!$A$3:$P$140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6" i="6" l="1"/>
  <c r="E9" i="5" a="1"/>
  <c r="E9" i="5" s="1"/>
  <c r="D9" i="5" a="1"/>
  <c r="D9" i="5" s="1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E10" i="5" l="1"/>
  <c r="D10" i="5"/>
  <c r="B38" i="8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S16" i="6"/>
  <c r="U16" i="6" s="1"/>
  <c r="P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R12" i="6" s="1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Z9" i="6"/>
  <c r="V9" i="6"/>
  <c r="X9" i="6" s="1"/>
  <c r="S9" i="6"/>
  <c r="P9" i="6"/>
  <c r="O9" i="6"/>
  <c r="M9" i="6"/>
  <c r="K9" i="6"/>
  <c r="B9" i="6"/>
  <c r="D2" i="6"/>
  <c r="AK9" i="6" l="1"/>
  <c r="AN9" i="6" s="1"/>
  <c r="AK14" i="6"/>
  <c r="AN14" i="6" s="1"/>
  <c r="AK58" i="6"/>
  <c r="AN58" i="6" s="1"/>
  <c r="AK70" i="6"/>
  <c r="AN70" i="6" s="1"/>
  <c r="AK123" i="6"/>
  <c r="AN123" i="6" s="1"/>
  <c r="AJ132" i="6"/>
  <c r="AJ56" i="6"/>
  <c r="AM56" i="6" s="1"/>
  <c r="AJ120" i="6"/>
  <c r="AM120" i="6" s="1"/>
  <c r="AJ65" i="6"/>
  <c r="AM65" i="6" s="1"/>
  <c r="AJ129" i="6"/>
  <c r="AM129" i="6" s="1"/>
  <c r="AJ17" i="6"/>
  <c r="AM17" i="6" s="1"/>
  <c r="AJ66" i="6"/>
  <c r="AM66" i="6" s="1"/>
  <c r="AJ130" i="6"/>
  <c r="AM130" i="6" s="1"/>
  <c r="AJ69" i="6"/>
  <c r="AM69" i="6" s="1"/>
  <c r="AJ35" i="6"/>
  <c r="AM35" i="6" s="1"/>
  <c r="AJ99" i="6"/>
  <c r="AM99" i="6" s="1"/>
  <c r="AJ22" i="6"/>
  <c r="AM22" i="6" s="1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J46" i="6"/>
  <c r="AM46" i="6" s="1"/>
  <c r="AJ12" i="6"/>
  <c r="AM12" i="6" s="1"/>
  <c r="AJ76" i="6"/>
  <c r="AM76" i="6" s="1"/>
  <c r="AJ110" i="6"/>
  <c r="AM110" i="6" s="1"/>
  <c r="AM21" i="6"/>
  <c r="AM128" i="6"/>
  <c r="AJ72" i="6"/>
  <c r="AM72" i="6" s="1"/>
  <c r="AJ81" i="6"/>
  <c r="AM81" i="6" s="1"/>
  <c r="AJ86" i="6"/>
  <c r="AM86" i="6" s="1"/>
  <c r="AJ18" i="6"/>
  <c r="AM18" i="6" s="1"/>
  <c r="AJ82" i="6"/>
  <c r="AM82" i="6" s="1"/>
  <c r="AJ124" i="6"/>
  <c r="AM124" i="6" s="1"/>
  <c r="AJ117" i="6"/>
  <c r="AM117" i="6" s="1"/>
  <c r="AJ63" i="6"/>
  <c r="AM63" i="6" s="1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M25" i="6" s="1"/>
  <c r="AJ89" i="6"/>
  <c r="AM89" i="6" s="1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M95" i="6" s="1"/>
  <c r="AJ59" i="6"/>
  <c r="AJ123" i="6"/>
  <c r="AM123" i="6" s="1"/>
  <c r="AJ61" i="6"/>
  <c r="AM61" i="6" s="1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M67" i="6" s="1"/>
  <c r="AJ131" i="6"/>
  <c r="AM131" i="6" s="1"/>
  <c r="AJ77" i="6"/>
  <c r="AM77" i="6" s="1"/>
  <c r="AJ126" i="6"/>
  <c r="AM126" i="6" s="1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M42" i="6" s="1"/>
  <c r="AJ106" i="6"/>
  <c r="AM106" i="6" s="1"/>
  <c r="AJ29" i="6"/>
  <c r="AM29" i="6" s="1"/>
  <c r="AJ54" i="6"/>
  <c r="AM54" i="6" s="1"/>
  <c r="AJ11" i="6"/>
  <c r="AM11" i="6" s="1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119" i="6" s="1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M113" i="6" s="1"/>
  <c r="AJ103" i="6"/>
  <c r="AM103" i="6" s="1"/>
  <c r="AJ50" i="6"/>
  <c r="AM50" i="6" s="1"/>
  <c r="AJ114" i="6"/>
  <c r="AM114" i="6" s="1"/>
  <c r="AJ37" i="6"/>
  <c r="AM37" i="6" s="1"/>
  <c r="AJ70" i="6"/>
  <c r="AM70" i="6" s="1"/>
  <c r="AJ19" i="6"/>
  <c r="AM19" i="6" s="1"/>
  <c r="AJ83" i="6"/>
  <c r="AM83" i="6" s="1"/>
  <c r="AJ108" i="6"/>
  <c r="AM108" i="6" s="1"/>
  <c r="AJ109" i="6"/>
  <c r="AM109" i="6" s="1"/>
  <c r="AJ55" i="6"/>
  <c r="AM55" i="6" s="1"/>
  <c r="AJ52" i="6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J116" i="6"/>
  <c r="AM116" i="6" s="1"/>
  <c r="AJ125" i="6"/>
  <c r="AM125" i="6" s="1"/>
  <c r="AJ87" i="6"/>
  <c r="AM87" i="6" s="1"/>
  <c r="AJ60" i="6"/>
  <c r="AM60" i="6" s="1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K31" i="6"/>
  <c r="AN31" i="6" s="1"/>
  <c r="AK103" i="6"/>
  <c r="AN103" i="6" s="1"/>
  <c r="AK53" i="6"/>
  <c r="AN53" i="6" s="1"/>
  <c r="AK113" i="6"/>
  <c r="AN113" i="6" s="1"/>
  <c r="AK129" i="6"/>
  <c r="AN129" i="6" s="1"/>
  <c r="AM91" i="6"/>
  <c r="U79" i="6"/>
  <c r="AK102" i="6"/>
  <c r="AN102" i="6" s="1"/>
  <c r="AM52" i="6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K81" i="6"/>
  <c r="AN81" i="6" s="1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D110" i="6" s="1"/>
  <c r="AK110" i="6"/>
  <c r="AN110" i="6" s="1"/>
  <c r="AM43" i="6"/>
  <c r="AM107" i="6"/>
  <c r="R43" i="6"/>
  <c r="AK43" i="6"/>
  <c r="AN43" i="6" s="1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D89" i="6" s="1"/>
  <c r="AK99" i="6"/>
  <c r="AN99" i="6" s="1"/>
  <c r="AK106" i="6"/>
  <c r="AN106" i="6" s="1"/>
  <c r="AM59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140" i="6" s="1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AD45" i="6" s="1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D9" i="6"/>
  <c r="AD43" i="6" l="1"/>
  <c r="AC43" i="6" s="1"/>
  <c r="AE43" i="6" s="1"/>
  <c r="AD77" i="6"/>
  <c r="AC77" i="6" s="1"/>
  <c r="AE77" i="6" s="1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52" i="6"/>
  <c r="AR52" i="6" s="1"/>
  <c r="AQ52" i="6" s="1"/>
  <c r="AF31" i="6"/>
  <c r="AR31" i="6" s="1"/>
  <c r="AQ31" i="6" s="1"/>
  <c r="R144" i="6"/>
  <c r="AK144" i="6"/>
  <c r="AD94" i="6"/>
  <c r="D27" i="6"/>
  <c r="D22" i="6"/>
  <c r="D16" i="6"/>
  <c r="D11" i="6"/>
  <c r="D26" i="6"/>
  <c r="D20" i="6"/>
  <c r="D15" i="6"/>
  <c r="D10" i="6"/>
  <c r="D30" i="6"/>
  <c r="D24" i="6"/>
  <c r="D19" i="6"/>
  <c r="D14" i="6"/>
  <c r="D28" i="6"/>
  <c r="D23" i="6"/>
  <c r="D18" i="6"/>
  <c r="D12" i="6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6"/>
  <c r="D25" i="6"/>
  <c r="D21" i="6"/>
  <c r="D17" i="6"/>
  <c r="D13" i="6"/>
  <c r="E151" i="5"/>
  <c r="E150" i="5"/>
  <c r="E149" i="5"/>
  <c r="H142" i="5"/>
  <c r="H9" i="5"/>
  <c r="H144" i="5" s="1"/>
  <c r="D2" i="5"/>
  <c r="AC114" i="6" l="1"/>
  <c r="AE114" i="6" s="1"/>
  <c r="AF77" i="6"/>
  <c r="AR77" i="6" s="1"/>
  <c r="AQ77" i="6" s="1"/>
  <c r="AF138" i="6"/>
  <c r="AR138" i="6" s="1"/>
  <c r="AQ138" i="6" s="1"/>
  <c r="AF120" i="6"/>
  <c r="AR120" i="6" s="1"/>
  <c r="AQ120" i="6" s="1"/>
  <c r="AC128" i="6"/>
  <c r="AE128" i="6" s="1"/>
  <c r="AF96" i="6"/>
  <c r="AR96" i="6" s="1"/>
  <c r="AQ96" i="6" s="1"/>
  <c r="AF43" i="6"/>
  <c r="AR43" i="6" s="1"/>
  <c r="AQ43" i="6" s="1"/>
  <c r="AF126" i="6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I5" i="4"/>
  <c r="K5" i="4" s="1"/>
  <c r="I6" i="4"/>
  <c r="K6" i="4" s="1"/>
  <c r="I7" i="4"/>
  <c r="K7" i="4" s="1"/>
  <c r="I8" i="4"/>
  <c r="K8" i="4" s="1"/>
  <c r="I9" i="4"/>
  <c r="K9" i="4" s="1"/>
  <c r="I10" i="4"/>
  <c r="K10" i="4" s="1"/>
  <c r="I11" i="4"/>
  <c r="K11" i="4" s="1"/>
  <c r="I12" i="4"/>
  <c r="K12" i="4" s="1"/>
  <c r="I13" i="4"/>
  <c r="K13" i="4" s="1"/>
  <c r="I14" i="4"/>
  <c r="K14" i="4" s="1"/>
  <c r="I15" i="4"/>
  <c r="K15" i="4" s="1"/>
  <c r="I16" i="4"/>
  <c r="K16" i="4" s="1"/>
  <c r="I17" i="4"/>
  <c r="K17" i="4" s="1"/>
  <c r="I18" i="4"/>
  <c r="K18" i="4" s="1"/>
  <c r="I19" i="4"/>
  <c r="K19" i="4" s="1"/>
  <c r="I20" i="4"/>
  <c r="K20" i="4" s="1"/>
  <c r="I21" i="4"/>
  <c r="K21" i="4" s="1"/>
  <c r="I22" i="4"/>
  <c r="K22" i="4" s="1"/>
  <c r="I23" i="4"/>
  <c r="K23" i="4" s="1"/>
  <c r="I24" i="4"/>
  <c r="K24" i="4" s="1"/>
  <c r="I25" i="4"/>
  <c r="K25" i="4" s="1"/>
  <c r="I26" i="4"/>
  <c r="K26" i="4" s="1"/>
  <c r="I27" i="4"/>
  <c r="K27" i="4" s="1"/>
  <c r="I28" i="4"/>
  <c r="K28" i="4" s="1"/>
  <c r="I29" i="4"/>
  <c r="K29" i="4" s="1"/>
  <c r="I30" i="4"/>
  <c r="K30" i="4" s="1"/>
  <c r="I31" i="4"/>
  <c r="K31" i="4" s="1"/>
  <c r="I32" i="4"/>
  <c r="K32" i="4" s="1"/>
  <c r="I33" i="4"/>
  <c r="K33" i="4" s="1"/>
  <c r="I34" i="4"/>
  <c r="K34" i="4" s="1"/>
  <c r="I35" i="4"/>
  <c r="K35" i="4" s="1"/>
  <c r="I36" i="4"/>
  <c r="K36" i="4" s="1"/>
  <c r="I37" i="4"/>
  <c r="K37" i="4" s="1"/>
  <c r="I38" i="4"/>
  <c r="K38" i="4" s="1"/>
  <c r="I39" i="4"/>
  <c r="K39" i="4" s="1"/>
  <c r="I40" i="4"/>
  <c r="K40" i="4" s="1"/>
  <c r="I41" i="4"/>
  <c r="K41" i="4" s="1"/>
  <c r="I42" i="4"/>
  <c r="K42" i="4" s="1"/>
  <c r="I43" i="4"/>
  <c r="K43" i="4" s="1"/>
  <c r="I44" i="4"/>
  <c r="K44" i="4" s="1"/>
  <c r="I45" i="4"/>
  <c r="K45" i="4" s="1"/>
  <c r="I46" i="4"/>
  <c r="K46" i="4" s="1"/>
  <c r="I47" i="4"/>
  <c r="K47" i="4" s="1"/>
  <c r="I48" i="4"/>
  <c r="K48" i="4" s="1"/>
  <c r="I49" i="4"/>
  <c r="K49" i="4" s="1"/>
  <c r="I50" i="4"/>
  <c r="K50" i="4" s="1"/>
  <c r="I51" i="4"/>
  <c r="K51" i="4" s="1"/>
  <c r="I52" i="4"/>
  <c r="K52" i="4" s="1"/>
  <c r="I53" i="4"/>
  <c r="K53" i="4" s="1"/>
  <c r="I54" i="4"/>
  <c r="K54" i="4" s="1"/>
  <c r="I55" i="4"/>
  <c r="K55" i="4" s="1"/>
  <c r="I56" i="4"/>
  <c r="K56" i="4" s="1"/>
  <c r="I57" i="4"/>
  <c r="K57" i="4" s="1"/>
  <c r="I58" i="4"/>
  <c r="K58" i="4" s="1"/>
  <c r="I59" i="4"/>
  <c r="K59" i="4" s="1"/>
  <c r="I60" i="4"/>
  <c r="K60" i="4" s="1"/>
  <c r="I61" i="4"/>
  <c r="K61" i="4" s="1"/>
  <c r="I62" i="4"/>
  <c r="K62" i="4" s="1"/>
  <c r="I63" i="4"/>
  <c r="K63" i="4" s="1"/>
  <c r="I64" i="4"/>
  <c r="K64" i="4" s="1"/>
  <c r="I65" i="4"/>
  <c r="K65" i="4" s="1"/>
  <c r="I66" i="4"/>
  <c r="K66" i="4" s="1"/>
  <c r="I67" i="4"/>
  <c r="K67" i="4" s="1"/>
  <c r="I68" i="4"/>
  <c r="K68" i="4" s="1"/>
  <c r="I69" i="4"/>
  <c r="K69" i="4" s="1"/>
  <c r="I70" i="4"/>
  <c r="K70" i="4" s="1"/>
  <c r="I71" i="4"/>
  <c r="K71" i="4" s="1"/>
  <c r="I72" i="4"/>
  <c r="K72" i="4" s="1"/>
  <c r="I73" i="4"/>
  <c r="K73" i="4" s="1"/>
  <c r="I74" i="4"/>
  <c r="K74" i="4" s="1"/>
  <c r="I75" i="4"/>
  <c r="K75" i="4" s="1"/>
  <c r="I76" i="4"/>
  <c r="K76" i="4" s="1"/>
  <c r="I77" i="4"/>
  <c r="K77" i="4" s="1"/>
  <c r="I78" i="4"/>
  <c r="K78" i="4" s="1"/>
  <c r="I79" i="4"/>
  <c r="K79" i="4" s="1"/>
  <c r="I80" i="4"/>
  <c r="K80" i="4" s="1"/>
  <c r="I81" i="4"/>
  <c r="K81" i="4" s="1"/>
  <c r="I82" i="4"/>
  <c r="K82" i="4" s="1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90" i="4"/>
  <c r="K90" i="4" s="1"/>
  <c r="I91" i="4"/>
  <c r="K91" i="4" s="1"/>
  <c r="I92" i="4"/>
  <c r="K92" i="4" s="1"/>
  <c r="I93" i="4"/>
  <c r="K93" i="4" s="1"/>
  <c r="I94" i="4"/>
  <c r="K94" i="4" s="1"/>
  <c r="I95" i="4"/>
  <c r="K95" i="4" s="1"/>
  <c r="I96" i="4"/>
  <c r="K96" i="4" s="1"/>
  <c r="I97" i="4"/>
  <c r="K97" i="4" s="1"/>
  <c r="I98" i="4"/>
  <c r="K98" i="4" s="1"/>
  <c r="I99" i="4"/>
  <c r="K99" i="4" s="1"/>
  <c r="I100" i="4"/>
  <c r="K100" i="4" s="1"/>
  <c r="I101" i="4"/>
  <c r="K101" i="4" s="1"/>
  <c r="I102" i="4"/>
  <c r="K102" i="4" s="1"/>
  <c r="I103" i="4"/>
  <c r="K103" i="4" s="1"/>
  <c r="I104" i="4"/>
  <c r="K104" i="4" s="1"/>
  <c r="I105" i="4"/>
  <c r="K105" i="4" s="1"/>
  <c r="I106" i="4"/>
  <c r="K106" i="4" s="1"/>
  <c r="I107" i="4"/>
  <c r="K107" i="4" s="1"/>
  <c r="I108" i="4"/>
  <c r="K108" i="4" s="1"/>
  <c r="I109" i="4"/>
  <c r="K109" i="4" s="1"/>
  <c r="I110" i="4"/>
  <c r="K110" i="4" s="1"/>
  <c r="I111" i="4"/>
  <c r="K111" i="4" s="1"/>
  <c r="I112" i="4"/>
  <c r="K112" i="4" s="1"/>
  <c r="I113" i="4"/>
  <c r="K113" i="4" s="1"/>
  <c r="I114" i="4"/>
  <c r="K114" i="4" s="1"/>
  <c r="I115" i="4"/>
  <c r="K115" i="4" s="1"/>
  <c r="I116" i="4"/>
  <c r="K116" i="4" s="1"/>
  <c r="I117" i="4"/>
  <c r="K117" i="4" s="1"/>
  <c r="I118" i="4"/>
  <c r="K118" i="4" s="1"/>
  <c r="I119" i="4"/>
  <c r="K119" i="4" s="1"/>
  <c r="I120" i="4"/>
  <c r="K120" i="4" s="1"/>
  <c r="I121" i="4"/>
  <c r="K121" i="4" s="1"/>
  <c r="I122" i="4"/>
  <c r="K122" i="4" s="1"/>
  <c r="I123" i="4"/>
  <c r="K123" i="4" s="1"/>
  <c r="I124" i="4"/>
  <c r="K124" i="4" s="1"/>
  <c r="I125" i="4"/>
  <c r="K125" i="4" s="1"/>
  <c r="I126" i="4"/>
  <c r="K126" i="4" s="1"/>
  <c r="I127" i="4"/>
  <c r="K127" i="4" s="1"/>
  <c r="I128" i="4"/>
  <c r="K128" i="4" s="1"/>
  <c r="I129" i="4"/>
  <c r="K129" i="4" s="1"/>
  <c r="I130" i="4"/>
  <c r="K130" i="4" s="1"/>
  <c r="I131" i="4"/>
  <c r="K131" i="4" s="1"/>
  <c r="I132" i="4"/>
  <c r="K132" i="4" s="1"/>
  <c r="I133" i="4"/>
  <c r="K133" i="4" s="1"/>
  <c r="I134" i="4"/>
  <c r="K134" i="4" s="1"/>
  <c r="I135" i="4"/>
  <c r="K135" i="4" s="1"/>
  <c r="I136" i="4"/>
  <c r="K136" i="4" s="1"/>
  <c r="I137" i="4"/>
  <c r="K137" i="4" s="1"/>
  <c r="I138" i="4"/>
  <c r="K138" i="4" s="1"/>
  <c r="I139" i="4"/>
  <c r="K139" i="4" s="1"/>
  <c r="O138" i="4" l="1"/>
  <c r="O134" i="4"/>
  <c r="O122" i="4"/>
  <c r="O118" i="4"/>
  <c r="O114" i="4"/>
  <c r="O106" i="4"/>
  <c r="O102" i="4"/>
  <c r="O98" i="4"/>
  <c r="O90" i="4"/>
  <c r="O86" i="4"/>
  <c r="O82" i="4"/>
  <c r="O74" i="4"/>
  <c r="O70" i="4"/>
  <c r="O66" i="4"/>
  <c r="O62" i="4"/>
  <c r="O54" i="4"/>
  <c r="O50" i="4"/>
  <c r="O46" i="4"/>
  <c r="O38" i="4"/>
  <c r="O34" i="4"/>
  <c r="O30" i="4"/>
  <c r="O22" i="4"/>
  <c r="O18" i="4"/>
  <c r="O14" i="4"/>
  <c r="O7" i="4"/>
  <c r="O120" i="4"/>
  <c r="O104" i="4"/>
  <c r="O88" i="4"/>
  <c r="O130" i="4"/>
  <c r="O136" i="4"/>
  <c r="O72" i="4"/>
  <c r="O125" i="4"/>
  <c r="O109" i="4"/>
  <c r="O58" i="4"/>
  <c r="O42" i="4"/>
  <c r="O26" i="4"/>
  <c r="O10" i="4"/>
  <c r="O137" i="4"/>
  <c r="O121" i="4"/>
  <c r="O105" i="4"/>
  <c r="O93" i="4"/>
  <c r="O85" i="4"/>
  <c r="O73" i="4"/>
  <c r="O57" i="4"/>
  <c r="O41" i="4"/>
  <c r="O25" i="4"/>
  <c r="O8" i="4"/>
  <c r="O133" i="4"/>
  <c r="O117" i="4"/>
  <c r="O101" i="4"/>
  <c r="O89" i="4"/>
  <c r="O69" i="4"/>
  <c r="O53" i="4"/>
  <c r="O37" i="4"/>
  <c r="O21" i="4"/>
  <c r="O126" i="4"/>
  <c r="O110" i="4"/>
  <c r="O94" i="4"/>
  <c r="O78" i="4"/>
  <c r="O129" i="4"/>
  <c r="O113" i="4"/>
  <c r="O97" i="4"/>
  <c r="O81" i="4"/>
  <c r="O77" i="4"/>
  <c r="O65" i="4"/>
  <c r="O61" i="4"/>
  <c r="O49" i="4"/>
  <c r="O45" i="4"/>
  <c r="O33" i="4"/>
  <c r="O29" i="4"/>
  <c r="O17" i="4"/>
  <c r="O13" i="4"/>
  <c r="O5" i="4"/>
  <c r="O132" i="4"/>
  <c r="O128" i="4"/>
  <c r="O124" i="4"/>
  <c r="O116" i="4"/>
  <c r="O112" i="4"/>
  <c r="O108" i="4"/>
  <c r="O100" i="4"/>
  <c r="O96" i="4"/>
  <c r="O92" i="4"/>
  <c r="O84" i="4"/>
  <c r="O80" i="4"/>
  <c r="O76" i="4"/>
  <c r="O68" i="4"/>
  <c r="O64" i="4"/>
  <c r="O60" i="4"/>
  <c r="O56" i="4"/>
  <c r="O52" i="4"/>
  <c r="O48" i="4"/>
  <c r="O44" i="4"/>
  <c r="O40" i="4"/>
  <c r="O36" i="4"/>
  <c r="O32" i="4"/>
  <c r="O28" i="4"/>
  <c r="O24" i="4"/>
  <c r="O20" i="4"/>
  <c r="O16" i="4"/>
  <c r="O12" i="4"/>
  <c r="O139" i="4"/>
  <c r="O135" i="4"/>
  <c r="O131" i="4"/>
  <c r="O127" i="4"/>
  <c r="O123" i="4"/>
  <c r="O119" i="4"/>
  <c r="O115" i="4"/>
  <c r="O111" i="4"/>
  <c r="O107" i="4"/>
  <c r="O103" i="4"/>
  <c r="O99" i="4"/>
  <c r="O95" i="4"/>
  <c r="O91" i="4"/>
  <c r="O87" i="4"/>
  <c r="O83" i="4"/>
  <c r="O79" i="4"/>
  <c r="O75" i="4"/>
  <c r="O71" i="4"/>
  <c r="O67" i="4"/>
  <c r="O63" i="4"/>
  <c r="O59" i="4"/>
  <c r="O55" i="4"/>
  <c r="O51" i="4"/>
  <c r="O47" i="4"/>
  <c r="O43" i="4"/>
  <c r="O39" i="4"/>
  <c r="O35" i="4"/>
  <c r="O31" i="4"/>
  <c r="O27" i="4"/>
  <c r="O23" i="4"/>
  <c r="O19" i="4"/>
  <c r="O15" i="4"/>
  <c r="O11" i="4"/>
  <c r="O6" i="4"/>
  <c r="O9" i="4"/>
  <c r="S11" i="4" l="1"/>
  <c r="T11" i="4"/>
  <c r="T7" i="4" l="1"/>
  <c r="T81" i="4"/>
  <c r="S7" i="4"/>
  <c r="S81" i="4"/>
  <c r="V11" i="4"/>
  <c r="X11" i="4" s="1"/>
  <c r="T76" i="4"/>
  <c r="S76" i="4"/>
  <c r="S79" i="4"/>
  <c r="T80" i="4"/>
  <c r="T79" i="4"/>
  <c r="S80" i="4"/>
  <c r="W11" i="4" l="1"/>
  <c r="V81" i="4"/>
  <c r="X81" i="4" s="1"/>
  <c r="V7" i="4"/>
  <c r="X7" i="4" s="1"/>
  <c r="V76" i="4"/>
  <c r="V80" i="4"/>
  <c r="V79" i="4"/>
  <c r="W81" i="4" l="1"/>
  <c r="W7" i="4"/>
  <c r="W76" i="4"/>
  <c r="X76" i="4"/>
  <c r="X80" i="4"/>
  <c r="W80" i="4"/>
  <c r="W79" i="4"/>
  <c r="X79" i="4"/>
  <c r="T32" i="4" l="1"/>
  <c r="T36" i="4"/>
  <c r="S36" i="4" l="1"/>
  <c r="S32" i="4"/>
  <c r="S35" i="4"/>
  <c r="T35" i="4"/>
  <c r="T86" i="4"/>
  <c r="S48" i="4"/>
  <c r="T48" i="4"/>
  <c r="S86" i="4"/>
  <c r="S49" i="4"/>
  <c r="T49" i="4"/>
  <c r="S83" i="4"/>
  <c r="T83" i="4"/>
  <c r="T85" i="4"/>
  <c r="S85" i="4"/>
  <c r="S84" i="4"/>
  <c r="T84" i="4"/>
  <c r="V32" i="4" l="1"/>
  <c r="W32" i="4" s="1"/>
  <c r="V35" i="4"/>
  <c r="X35" i="4" s="1"/>
  <c r="V86" i="4"/>
  <c r="X86" i="4" s="1"/>
  <c r="V36" i="4"/>
  <c r="V49" i="4"/>
  <c r="V48" i="4"/>
  <c r="V84" i="4"/>
  <c r="V85" i="4"/>
  <c r="V83" i="4"/>
  <c r="W86" i="4" l="1"/>
  <c r="W35" i="4"/>
  <c r="X32" i="4"/>
  <c r="W49" i="4"/>
  <c r="X49" i="4"/>
  <c r="X36" i="4"/>
  <c r="W36" i="4"/>
  <c r="X48" i="4"/>
  <c r="W48" i="4"/>
  <c r="X83" i="4"/>
  <c r="W83" i="4"/>
  <c r="W85" i="4"/>
  <c r="X85" i="4"/>
  <c r="W84" i="4"/>
  <c r="X84" i="4"/>
  <c r="S37" i="4" l="1"/>
  <c r="T37" i="4"/>
  <c r="T33" i="4"/>
  <c r="S33" i="4"/>
  <c r="S34" i="4"/>
  <c r="T34" i="4"/>
  <c r="T31" i="4"/>
  <c r="S31" i="4"/>
  <c r="S56" i="4" l="1"/>
  <c r="V37" i="4"/>
  <c r="W37" i="4" s="1"/>
  <c r="V31" i="4"/>
  <c r="X31" i="4" s="1"/>
  <c r="V34" i="4"/>
  <c r="X34" i="4" s="1"/>
  <c r="V33" i="4"/>
  <c r="X33" i="4" s="1"/>
  <c r="S13" i="4"/>
  <c r="T13" i="4"/>
  <c r="T57" i="4"/>
  <c r="T56" i="4"/>
  <c r="S57" i="4"/>
  <c r="X37" i="4" l="1"/>
  <c r="W31" i="4"/>
  <c r="W34" i="4"/>
  <c r="W33" i="4"/>
  <c r="V13" i="4"/>
  <c r="W13" i="4" s="1"/>
  <c r="V56" i="4"/>
  <c r="W56" i="4" s="1"/>
  <c r="V57" i="4"/>
  <c r="X13" i="4" l="1"/>
  <c r="X56" i="4"/>
  <c r="X57" i="4"/>
  <c r="W57" i="4"/>
  <c r="S54" i="4" l="1"/>
  <c r="T54" i="4"/>
  <c r="T55" i="4"/>
  <c r="S55" i="4"/>
  <c r="S66" i="4"/>
  <c r="T66" i="4"/>
  <c r="T67" i="4"/>
  <c r="S67" i="4"/>
  <c r="S6" i="4"/>
  <c r="T6" i="4"/>
  <c r="V54" i="4" l="1"/>
  <c r="X54" i="4" s="1"/>
  <c r="V55" i="4"/>
  <c r="V66" i="4"/>
  <c r="X66" i="4" s="1"/>
  <c r="V67" i="4"/>
  <c r="V6" i="4"/>
  <c r="X6" i="4" s="1"/>
  <c r="W6" i="4" l="1"/>
  <c r="W54" i="4"/>
  <c r="W55" i="4"/>
  <c r="X55" i="4"/>
  <c r="W66" i="4"/>
  <c r="X67" i="4"/>
  <c r="W67" i="4"/>
  <c r="T3" i="4" l="1"/>
  <c r="L4" i="4" l="1"/>
  <c r="I4" i="4"/>
  <c r="K4" i="4" s="1"/>
  <c r="S3" i="4"/>
  <c r="G1" i="4"/>
  <c r="S88" i="4" l="1"/>
  <c r="T88" i="4"/>
  <c r="T90" i="4"/>
  <c r="S90" i="4"/>
  <c r="S92" i="4"/>
  <c r="T92" i="4"/>
  <c r="T94" i="4"/>
  <c r="S94" i="4"/>
  <c r="S96" i="4"/>
  <c r="T96" i="4"/>
  <c r="S98" i="4"/>
  <c r="T98" i="4"/>
  <c r="S100" i="4"/>
  <c r="T100" i="4"/>
  <c r="S103" i="4"/>
  <c r="T103" i="4"/>
  <c r="T106" i="4"/>
  <c r="S106" i="4"/>
  <c r="S108" i="4"/>
  <c r="T108" i="4"/>
  <c r="S110" i="4"/>
  <c r="T110" i="4"/>
  <c r="S112" i="4"/>
  <c r="T112" i="4"/>
  <c r="S113" i="4"/>
  <c r="T113" i="4"/>
  <c r="S116" i="4"/>
  <c r="T116" i="4"/>
  <c r="S118" i="4"/>
  <c r="T118" i="4"/>
  <c r="S120" i="4"/>
  <c r="T120" i="4"/>
  <c r="S122" i="4"/>
  <c r="T122" i="4"/>
  <c r="S124" i="4"/>
  <c r="T124" i="4"/>
  <c r="S126" i="4"/>
  <c r="T126" i="4"/>
  <c r="S128" i="4"/>
  <c r="T128" i="4"/>
  <c r="S130" i="4"/>
  <c r="T130" i="4"/>
  <c r="S132" i="4"/>
  <c r="T132" i="4"/>
  <c r="S134" i="4"/>
  <c r="T134" i="4"/>
  <c r="S136" i="4"/>
  <c r="T136" i="4"/>
  <c r="S138" i="4"/>
  <c r="T138" i="4"/>
  <c r="T87" i="4"/>
  <c r="S87" i="4"/>
  <c r="T89" i="4"/>
  <c r="S89" i="4"/>
  <c r="T91" i="4"/>
  <c r="S91" i="4"/>
  <c r="T93" i="4"/>
  <c r="S93" i="4"/>
  <c r="T95" i="4"/>
  <c r="S95" i="4"/>
  <c r="S97" i="4"/>
  <c r="T97" i="4"/>
  <c r="S99" i="4"/>
  <c r="T99" i="4"/>
  <c r="T101" i="4"/>
  <c r="S101" i="4"/>
  <c r="T102" i="4"/>
  <c r="S102" i="4"/>
  <c r="T104" i="4"/>
  <c r="S104" i="4"/>
  <c r="T105" i="4"/>
  <c r="S105" i="4"/>
  <c r="T107" i="4"/>
  <c r="S107" i="4"/>
  <c r="S109" i="4"/>
  <c r="T109" i="4"/>
  <c r="S111" i="4"/>
  <c r="T111" i="4"/>
  <c r="S114" i="4"/>
  <c r="T114" i="4"/>
  <c r="S115" i="4"/>
  <c r="T115" i="4"/>
  <c r="S117" i="4"/>
  <c r="T117" i="4"/>
  <c r="S119" i="4"/>
  <c r="T119" i="4"/>
  <c r="S121" i="4"/>
  <c r="T121" i="4"/>
  <c r="S123" i="4"/>
  <c r="T123" i="4"/>
  <c r="S125" i="4"/>
  <c r="T125" i="4"/>
  <c r="S127" i="4"/>
  <c r="T127" i="4"/>
  <c r="S129" i="4"/>
  <c r="T129" i="4"/>
  <c r="S131" i="4"/>
  <c r="T131" i="4"/>
  <c r="S133" i="4"/>
  <c r="T133" i="4"/>
  <c r="S135" i="4"/>
  <c r="T135" i="4"/>
  <c r="S137" i="4"/>
  <c r="T137" i="4"/>
  <c r="T139" i="4"/>
  <c r="S139" i="4"/>
  <c r="S82" i="4"/>
  <c r="T82" i="4"/>
  <c r="S78" i="4"/>
  <c r="T78" i="4"/>
  <c r="T25" i="4"/>
  <c r="S25" i="4"/>
  <c r="T27" i="4"/>
  <c r="S27" i="4"/>
  <c r="S29" i="4"/>
  <c r="T29" i="4"/>
  <c r="S38" i="4"/>
  <c r="T38" i="4"/>
  <c r="T40" i="4"/>
  <c r="S40" i="4"/>
  <c r="T42" i="4"/>
  <c r="S42" i="4"/>
  <c r="S44" i="4"/>
  <c r="T44" i="4"/>
  <c r="S46" i="4"/>
  <c r="T46" i="4"/>
  <c r="T50" i="4"/>
  <c r="S50" i="4"/>
  <c r="T52" i="4"/>
  <c r="S52" i="4"/>
  <c r="T58" i="4"/>
  <c r="S58" i="4"/>
  <c r="T60" i="4"/>
  <c r="S60" i="4"/>
  <c r="T62" i="4"/>
  <c r="S62" i="4"/>
  <c r="T64" i="4"/>
  <c r="S64" i="4"/>
  <c r="T68" i="4"/>
  <c r="S68" i="4"/>
  <c r="T70" i="4"/>
  <c r="S70" i="4"/>
  <c r="T72" i="4"/>
  <c r="S72" i="4"/>
  <c r="T74" i="4"/>
  <c r="S74" i="4"/>
  <c r="S77" i="4"/>
  <c r="T77" i="4"/>
  <c r="T26" i="4"/>
  <c r="S26" i="4"/>
  <c r="S28" i="4"/>
  <c r="T28" i="4"/>
  <c r="S30" i="4"/>
  <c r="T30" i="4"/>
  <c r="S39" i="4"/>
  <c r="T39" i="4"/>
  <c r="T41" i="4"/>
  <c r="S41" i="4"/>
  <c r="S43" i="4"/>
  <c r="T43" i="4"/>
  <c r="S45" i="4"/>
  <c r="T45" i="4"/>
  <c r="S47" i="4"/>
  <c r="T47" i="4"/>
  <c r="T51" i="4"/>
  <c r="S51" i="4"/>
  <c r="T53" i="4"/>
  <c r="S53" i="4"/>
  <c r="T59" i="4"/>
  <c r="S59" i="4"/>
  <c r="T61" i="4"/>
  <c r="S61" i="4"/>
  <c r="T63" i="4"/>
  <c r="S63" i="4"/>
  <c r="T65" i="4"/>
  <c r="S65" i="4"/>
  <c r="T69" i="4"/>
  <c r="S69" i="4"/>
  <c r="T71" i="4"/>
  <c r="S71" i="4"/>
  <c r="T73" i="4"/>
  <c r="S73" i="4"/>
  <c r="T75" i="4"/>
  <c r="S75" i="4"/>
  <c r="T24" i="4"/>
  <c r="S24" i="4"/>
  <c r="S22" i="4"/>
  <c r="T22" i="4"/>
  <c r="S21" i="4"/>
  <c r="T21" i="4"/>
  <c r="S23" i="4"/>
  <c r="T23" i="4"/>
  <c r="S20" i="4"/>
  <c r="T20" i="4"/>
  <c r="S19" i="4"/>
  <c r="T19" i="4"/>
  <c r="S17" i="4"/>
  <c r="T17" i="4"/>
  <c r="S16" i="4"/>
  <c r="T16" i="4"/>
  <c r="S18" i="4"/>
  <c r="T18" i="4"/>
  <c r="S4" i="4"/>
  <c r="T4" i="4"/>
  <c r="S8" i="4"/>
  <c r="T8" i="4"/>
  <c r="S10" i="4"/>
  <c r="T10" i="4"/>
  <c r="S15" i="4"/>
  <c r="T15" i="4"/>
  <c r="S5" i="4"/>
  <c r="T5" i="4"/>
  <c r="S9" i="4"/>
  <c r="T9" i="4"/>
  <c r="S12" i="4"/>
  <c r="T12" i="4"/>
  <c r="S14" i="4"/>
  <c r="T14" i="4"/>
  <c r="O4" i="4"/>
  <c r="S1" i="4"/>
  <c r="O145" i="4" l="1"/>
  <c r="O144" i="4"/>
  <c r="V14" i="4"/>
  <c r="V139" i="4"/>
  <c r="W139" i="4" s="1"/>
  <c r="V120" i="4"/>
  <c r="X120" i="4" s="1"/>
  <c r="V137" i="4"/>
  <c r="X137" i="4" s="1"/>
  <c r="V128" i="4"/>
  <c r="X128" i="4" s="1"/>
  <c r="V122" i="4"/>
  <c r="W122" i="4" s="1"/>
  <c r="V117" i="4"/>
  <c r="W117" i="4" s="1"/>
  <c r="V112" i="4"/>
  <c r="X112" i="4" s="1"/>
  <c r="V98" i="4"/>
  <c r="X98" i="4" s="1"/>
  <c r="V94" i="4"/>
  <c r="X94" i="4" s="1"/>
  <c r="V72" i="4"/>
  <c r="X72" i="4" s="1"/>
  <c r="V68" i="4"/>
  <c r="W68" i="4" s="1"/>
  <c r="V69" i="4"/>
  <c r="X69" i="4" s="1"/>
  <c r="V53" i="4"/>
  <c r="X53" i="4" s="1"/>
  <c r="V22" i="4"/>
  <c r="W22" i="4" s="1"/>
  <c r="V12" i="4"/>
  <c r="W12" i="4" s="1"/>
  <c r="V138" i="4"/>
  <c r="W138" i="4" s="1"/>
  <c r="V133" i="4"/>
  <c r="X133" i="4" s="1"/>
  <c r="V129" i="4"/>
  <c r="X129" i="4" s="1"/>
  <c r="V126" i="4"/>
  <c r="X126" i="4" s="1"/>
  <c r="V110" i="4"/>
  <c r="X110" i="4" s="1"/>
  <c r="V95" i="4"/>
  <c r="X95" i="4" s="1"/>
  <c r="V87" i="4"/>
  <c r="X87" i="4" s="1"/>
  <c r="V100" i="4"/>
  <c r="W100" i="4" s="1"/>
  <c r="V107" i="4"/>
  <c r="W107" i="4" s="1"/>
  <c r="V74" i="4"/>
  <c r="W74" i="4" s="1"/>
  <c r="V51" i="4"/>
  <c r="W51" i="4" s="1"/>
  <c r="V47" i="4"/>
  <c r="W47" i="4" s="1"/>
  <c r="V29" i="4"/>
  <c r="W29" i="4" s="1"/>
  <c r="V9" i="4"/>
  <c r="X9" i="4" s="1"/>
  <c r="V123" i="4"/>
  <c r="X123" i="4" s="1"/>
  <c r="V121" i="4"/>
  <c r="X121" i="4" s="1"/>
  <c r="V106" i="4"/>
  <c r="X106" i="4" s="1"/>
  <c r="V103" i="4"/>
  <c r="X103" i="4" s="1"/>
  <c r="V96" i="4"/>
  <c r="X96" i="4" s="1"/>
  <c r="V77" i="4"/>
  <c r="X77" i="4" s="1"/>
  <c r="V58" i="4"/>
  <c r="X58" i="4" s="1"/>
  <c r="V30" i="4"/>
  <c r="X30" i="4" s="1"/>
  <c r="V73" i="4"/>
  <c r="X73" i="4" s="1"/>
  <c r="V59" i="4"/>
  <c r="X59" i="4" s="1"/>
  <c r="V27" i="4"/>
  <c r="W27" i="4" s="1"/>
  <c r="V25" i="4"/>
  <c r="X25" i="4" s="1"/>
  <c r="V17" i="4"/>
  <c r="X17" i="4" s="1"/>
  <c r="V10" i="4"/>
  <c r="W10" i="4" s="1"/>
  <c r="V4" i="4"/>
  <c r="X4" i="4" s="1"/>
  <c r="V18" i="4"/>
  <c r="W18" i="4" s="1"/>
  <c r="V45" i="4"/>
  <c r="W45" i="4" s="1"/>
  <c r="V5" i="4"/>
  <c r="X5" i="4" s="1"/>
  <c r="V130" i="4"/>
  <c r="W130" i="4" s="1"/>
  <c r="V116" i="4"/>
  <c r="X116" i="4" s="1"/>
  <c r="V125" i="4"/>
  <c r="X125" i="4" s="1"/>
  <c r="V102" i="4"/>
  <c r="X102" i="4" s="1"/>
  <c r="V99" i="4"/>
  <c r="X99" i="4" s="1"/>
  <c r="V50" i="4"/>
  <c r="X50" i="4" s="1"/>
  <c r="V26" i="4"/>
  <c r="X26" i="4" s="1"/>
  <c r="V78" i="4"/>
  <c r="W78" i="4" s="1"/>
  <c r="V88" i="4"/>
  <c r="X88" i="4" s="1"/>
  <c r="V21" i="4"/>
  <c r="X21" i="4" s="1"/>
  <c r="V105" i="4"/>
  <c r="V127" i="4"/>
  <c r="V109" i="4"/>
  <c r="V91" i="4"/>
  <c r="V136" i="4"/>
  <c r="V23" i="4"/>
  <c r="V71" i="4"/>
  <c r="V131" i="4"/>
  <c r="V124" i="4"/>
  <c r="V111" i="4"/>
  <c r="V104" i="4"/>
  <c r="V119" i="4"/>
  <c r="V90" i="4"/>
  <c r="V70" i="4"/>
  <c r="V52" i="4"/>
  <c r="V38" i="4"/>
  <c r="V39" i="4"/>
  <c r="V108" i="4"/>
  <c r="V24" i="4"/>
  <c r="V61" i="4"/>
  <c r="V63" i="4"/>
  <c r="V8" i="4"/>
  <c r="V15" i="4"/>
  <c r="V65" i="4"/>
  <c r="V46" i="4"/>
  <c r="V16" i="4"/>
  <c r="V43" i="4"/>
  <c r="V40" i="4"/>
  <c r="V132" i="4"/>
  <c r="V135" i="4"/>
  <c r="V115" i="4"/>
  <c r="V28" i="4"/>
  <c r="V118" i="4"/>
  <c r="V93" i="4"/>
  <c r="V97" i="4"/>
  <c r="V114" i="4"/>
  <c r="V44" i="4"/>
  <c r="V92" i="4"/>
  <c r="V42" i="4"/>
  <c r="V113" i="4"/>
  <c r="V134" i="4"/>
  <c r="V101" i="4"/>
  <c r="V62" i="4"/>
  <c r="V89" i="4"/>
  <c r="V75" i="4"/>
  <c r="V64" i="4"/>
  <c r="V82" i="4"/>
  <c r="V60" i="4"/>
  <c r="V41" i="4"/>
  <c r="V19" i="4"/>
  <c r="V20" i="4"/>
  <c r="D1" i="4" l="1"/>
  <c r="O1" i="4"/>
  <c r="D2" i="4"/>
  <c r="O2" i="4"/>
  <c r="W14" i="4"/>
  <c r="X14" i="4"/>
  <c r="X138" i="4"/>
  <c r="W95" i="4"/>
  <c r="W77" i="4"/>
  <c r="X74" i="4"/>
  <c r="W69" i="4"/>
  <c r="W129" i="4"/>
  <c r="X51" i="4"/>
  <c r="X107" i="4"/>
  <c r="W98" i="4"/>
  <c r="W73" i="4"/>
  <c r="W5" i="4"/>
  <c r="X139" i="4"/>
  <c r="W123" i="4"/>
  <c r="W88" i="4"/>
  <c r="W120" i="4"/>
  <c r="W59" i="4"/>
  <c r="X122" i="4"/>
  <c r="W110" i="4"/>
  <c r="X68" i="4"/>
  <c r="X78" i="4"/>
  <c r="W106" i="4"/>
  <c r="W126" i="4"/>
  <c r="X10" i="4"/>
  <c r="W26" i="4"/>
  <c r="X12" i="4"/>
  <c r="W21" i="4"/>
  <c r="W17" i="4"/>
  <c r="W103" i="4"/>
  <c r="W99" i="4"/>
  <c r="W53" i="4"/>
  <c r="W72" i="4"/>
  <c r="W125" i="4"/>
  <c r="X27" i="4"/>
  <c r="W9" i="4"/>
  <c r="W25" i="4"/>
  <c r="X47" i="4"/>
  <c r="X130" i="4"/>
  <c r="W112" i="4"/>
  <c r="X22" i="4"/>
  <c r="W94" i="4"/>
  <c r="X117" i="4"/>
  <c r="X18" i="4"/>
  <c r="W30" i="4"/>
  <c r="W102" i="4"/>
  <c r="W4" i="4"/>
  <c r="W58" i="4"/>
  <c r="W133" i="4"/>
  <c r="W137" i="4"/>
  <c r="X45" i="4"/>
  <c r="W128" i="4"/>
  <c r="W96" i="4"/>
  <c r="W121" i="4"/>
  <c r="X100" i="4"/>
  <c r="W50" i="4"/>
  <c r="W116" i="4"/>
  <c r="X29" i="4"/>
  <c r="W87" i="4"/>
  <c r="X41" i="4"/>
  <c r="W41" i="4"/>
  <c r="X101" i="4"/>
  <c r="W101" i="4"/>
  <c r="X118" i="4"/>
  <c r="W118" i="4"/>
  <c r="W40" i="4"/>
  <c r="X40" i="4"/>
  <c r="W65" i="4"/>
  <c r="X65" i="4"/>
  <c r="X39" i="4"/>
  <c r="W39" i="4"/>
  <c r="X104" i="4"/>
  <c r="W104" i="4"/>
  <c r="X60" i="4"/>
  <c r="W60" i="4"/>
  <c r="X134" i="4"/>
  <c r="W134" i="4"/>
  <c r="X114" i="4"/>
  <c r="W114" i="4"/>
  <c r="W28" i="4"/>
  <c r="X28" i="4"/>
  <c r="W43" i="4"/>
  <c r="X43" i="4"/>
  <c r="W61" i="4"/>
  <c r="X61" i="4"/>
  <c r="X136" i="4"/>
  <c r="W136" i="4"/>
  <c r="X82" i="4"/>
  <c r="W82" i="4"/>
  <c r="X113" i="4"/>
  <c r="W113" i="4"/>
  <c r="W92" i="4"/>
  <c r="X92" i="4"/>
  <c r="X46" i="4"/>
  <c r="W46" i="4"/>
  <c r="W15" i="4"/>
  <c r="X15" i="4"/>
  <c r="X24" i="4"/>
  <c r="W24" i="4"/>
  <c r="W52" i="4"/>
  <c r="X52" i="4"/>
  <c r="W124" i="4"/>
  <c r="X124" i="4"/>
  <c r="W71" i="4"/>
  <c r="X71" i="4"/>
  <c r="X91" i="4"/>
  <c r="W91" i="4"/>
  <c r="W75" i="4"/>
  <c r="X75" i="4"/>
  <c r="X135" i="4"/>
  <c r="W135" i="4"/>
  <c r="X63" i="4"/>
  <c r="W63" i="4"/>
  <c r="W90" i="4"/>
  <c r="X90" i="4"/>
  <c r="X127" i="4"/>
  <c r="W127" i="4"/>
  <c r="W19" i="4"/>
  <c r="X19" i="4"/>
  <c r="X89" i="4"/>
  <c r="W89" i="4"/>
  <c r="W16" i="4"/>
  <c r="X16" i="4"/>
  <c r="X38" i="4"/>
  <c r="W38" i="4"/>
  <c r="W111" i="4"/>
  <c r="X111" i="4"/>
  <c r="W105" i="4"/>
  <c r="X105" i="4"/>
  <c r="W20" i="4"/>
  <c r="X20" i="4"/>
  <c r="W64" i="4"/>
  <c r="X64" i="4"/>
  <c r="X62" i="4"/>
  <c r="W62" i="4"/>
  <c r="X42" i="4"/>
  <c r="W42" i="4"/>
  <c r="X44" i="4"/>
  <c r="W44" i="4"/>
  <c r="X97" i="4"/>
  <c r="W97" i="4"/>
  <c r="X93" i="4"/>
  <c r="W93" i="4"/>
  <c r="W115" i="4"/>
  <c r="X115" i="4"/>
  <c r="W132" i="4"/>
  <c r="X132" i="4"/>
  <c r="W8" i="4"/>
  <c r="X8" i="4"/>
  <c r="X108" i="4"/>
  <c r="W108" i="4"/>
  <c r="X70" i="4"/>
  <c r="W70" i="4"/>
  <c r="W119" i="4"/>
  <c r="X119" i="4"/>
  <c r="X131" i="4"/>
  <c r="W131" i="4"/>
  <c r="X23" i="4"/>
  <c r="W23" i="4"/>
  <c r="W109" i="4"/>
  <c r="X109" i="4"/>
  <c r="X144" i="4" l="1"/>
  <c r="T144" i="4" l="1"/>
  <c r="T145" i="4"/>
  <c r="S144" i="4"/>
  <c r="S145" i="4"/>
  <c r="E9" i="6" l="1"/>
  <c r="E16" i="6"/>
  <c r="AD16" i="6" s="1"/>
  <c r="E23" i="6"/>
  <c r="AD23" i="6" s="1"/>
  <c r="E30" i="6"/>
  <c r="AD30" i="6" s="1"/>
  <c r="E19" i="6"/>
  <c r="AD19" i="6" s="1"/>
  <c r="E27" i="6"/>
  <c r="AD27" i="6" s="1"/>
  <c r="E22" i="6"/>
  <c r="AD22" i="6" s="1"/>
  <c r="E11" i="6"/>
  <c r="AD11" i="6" s="1"/>
  <c r="E18" i="6"/>
  <c r="AD18" i="6" s="1"/>
  <c r="E24" i="6"/>
  <c r="AD24" i="6" s="1"/>
  <c r="E12" i="6"/>
  <c r="AD12" i="6" s="1"/>
  <c r="E14" i="6"/>
  <c r="AD14" i="6" s="1"/>
  <c r="E28" i="6"/>
  <c r="AD28" i="6" s="1"/>
  <c r="E26" i="6"/>
  <c r="AD26" i="6" s="1"/>
  <c r="E29" i="6"/>
  <c r="AD29" i="6" s="1"/>
  <c r="E13" i="6"/>
  <c r="AD13" i="6" s="1"/>
  <c r="E20" i="6"/>
  <c r="AD20" i="6" s="1"/>
  <c r="E25" i="6"/>
  <c r="AD25" i="6" s="1"/>
  <c r="E15" i="6"/>
  <c r="AD15" i="6" s="1"/>
  <c r="E21" i="6"/>
  <c r="AD21" i="6" s="1"/>
  <c r="E10" i="6"/>
  <c r="AD10" i="6" s="1"/>
  <c r="E17" i="6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<sst xmlns="http://schemas.openxmlformats.org/spreadsheetml/2006/main" count="709" uniqueCount="343">
  <si>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</si>
  <si>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</si>
  <si>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</si>
  <si>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</si>
  <si>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</si>
  <si>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</si>
  <si>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</si>
  <si>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</si>
  <si>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</si>
  <si>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</si>
  <si>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</si>
  <si>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</si>
  <si>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</si>
  <si>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</si>
  <si>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</si>
  <si>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</si>
  <si>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</si>
  <si>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</si>
  <si>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</si>
  <si>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</si>
  <si>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</si>
  <si>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</si>
  <si>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</si>
  <si>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</si>
  <si>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</si>
  <si>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</si>
  <si>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</si>
  <si>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</si>
  <si>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</si>
  <si>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</si>
  <si>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</si>
  <si>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</si>
  <si>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</si>
  <si>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</si>
  <si>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</si>
  <si>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</si>
  <si>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</si>
  <si>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</si>
  <si>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</si>
  <si>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</si>
  <si>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</si>
  <si>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</si>
  <si>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</si>
  <si>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</si>
  <si>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</si>
  <si>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</si>
  <si>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</si>
  <si>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E</t>
  </si>
  <si>
    <t>M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</si>
  <si>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</si>
  <si>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</si>
  <si>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</si>
  <si>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</si>
  <si>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</si>
  <si>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</si>
  <si>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</si>
  <si>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</si>
  <si>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</si>
  <si>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</si>
  <si>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</si>
  <si>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</si>
  <si>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</si>
  <si>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</si>
  <si>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</si>
  <si>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</si>
  <si>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</si>
  <si>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</si>
  <si>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</si>
  <si>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b.</t>
  </si>
  <si>
    <t>c.</t>
  </si>
  <si>
    <t>2.</t>
  </si>
  <si>
    <t>d.</t>
  </si>
  <si>
    <t>e.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</si>
  <si>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</si>
  <si>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</si>
  <si>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</si>
  <si>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</si>
  <si>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</si>
  <si>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</si>
  <si>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</si>
  <si>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</si>
  <si>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</si>
  <si>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</si>
  <si>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</si>
  <si>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</si>
  <si>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</si>
  <si>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</si>
  <si>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</si>
  <si>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</si>
  <si>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</si>
  <si>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</si>
  <si>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</si>
  <si>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</si>
  <si>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</si>
  <si>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</si>
  <si>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</si>
  <si>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</si>
  <si>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</si>
  <si>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</si>
  <si>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</si>
  <si>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</si>
  <si>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</si>
  <si>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</si>
  <si>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</si>
  <si>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</si>
  <si>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</si>
  <si>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</si>
  <si>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</si>
  <si>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</si>
  <si>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</si>
  <si>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</si>
  <si>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</si>
  <si>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</si>
  <si>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</si>
  <si>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</si>
  <si>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</si>
  <si>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</si>
  <si>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</si>
  <si>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</si>
  <si>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</si>
  <si>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</si>
  <si>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</si>
  <si>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</si>
  <si>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</si>
  <si>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</si>
  <si>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</si>
  <si>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</si>
  <si>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</si>
  <si>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</si>
  <si>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</si>
  <si>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</si>
  <si>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</si>
  <si>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</si>
  <si>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</si>
  <si>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</si>
  <si>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</si>
  <si>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</si>
  <si>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</si>
  <si>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</si>
  <si>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</si>
  <si>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</si>
  <si>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</si>
  <si>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</si>
  <si>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</si>
  <si>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</si>
  <si>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</si>
  <si>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</si>
  <si>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</si>
  <si>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</si>
  <si>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</si>
  <si>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</si>
  <si>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</si>
  <si>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</si>
  <si>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</si>
  <si>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</si>
  <si>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</si>
  <si>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</si>
  <si>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</si>
  <si>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</si>
  <si>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</si>
  <si>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</si>
  <si>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</si>
  <si>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</si>
  <si>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</si>
  <si>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</si>
  <si>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</si>
  <si>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</si>
  <si>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</si>
  <si>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</si>
  <si>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</si>
  <si>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</si>
  <si>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</si>
  <si>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</si>
  <si>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</si>
  <si>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</si>
  <si>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</si>
  <si>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</si>
  <si>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</si>
  <si>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</si>
  <si>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</si>
  <si>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</si>
  <si>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</si>
  <si>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</si>
  <si>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</si>
  <si>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</si>
  <si>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</si>
  <si>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</si>
  <si>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</si>
  <si>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</si>
  <si>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</si>
  <si>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</si>
  <si>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</si>
  <si>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</si>
  <si>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</si>
  <si>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</si>
  <si>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</si>
  <si>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</si>
  <si>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</si>
  <si>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</si>
  <si>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</si>
  <si>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</si>
  <si>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</si>
  <si>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</si>
  <si>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</si>
  <si>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</si>
  <si>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</si>
  <si>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</si>
  <si>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</si>
  <si>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</si>
  <si>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</si>
  <si>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</si>
  <si>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</si>
  <si>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</si>
  <si>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</si>
  <si>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</si>
  <si>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</si>
  <si>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</si>
  <si>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</si>
  <si>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</si>
  <si>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</si>
  <si>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</si>
  <si>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</si>
  <si>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</si>
  <si>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</si>
  <si>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</si>
  <si>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</si>
  <si>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</si>
  <si>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</si>
  <si>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</si>
  <si>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</si>
  <si>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</si>
  <si>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</si>
  <si>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</si>
  <si>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</si>
  <si>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</si>
  <si>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</si>
  <si>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</si>
  <si>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</si>
  <si>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</si>
  <si>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</si>
  <si>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</si>
  <si>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</si>
  <si>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</si>
  <si>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</si>
  <si>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</si>
  <si>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</si>
  <si>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</si>
  <si>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</si>
  <si>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</si>
  <si>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</si>
  <si>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</si>
  <si>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</si>
  <si>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</si>
  <si>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</si>
  <si>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</si>
  <si>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</si>
  <si>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</si>
  <si>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</si>
  <si>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</si>
  <si>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</si>
  <si>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</si>
  <si>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</si>
  <si>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</si>
  <si>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</si>
  <si>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</si>
  <si>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</si>
  <si>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</si>
  <si>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</si>
  <si>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</si>
  <si>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</si>
  <si>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</si>
  <si>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</si>
  <si>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</si>
  <si>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</si>
  <si>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</si>
  <si>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</si>
  <si>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</si>
  <si>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</si>
  <si>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</si>
  <si>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</si>
  <si>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</si>
  <si>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</si>
  <si>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</si>
  <si>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</si>
  <si>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</si>
  <si>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</si>
  <si>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</si>
  <si>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</si>
  <si>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</si>
  <si>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</si>
  <si>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</si>
  <si>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</si>
  <si>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</si>
  <si>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</si>
  <si>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</si>
  <si>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</si>
  <si>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</si>
  <si>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</si>
  <si>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</si>
  <si>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</si>
  <si>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</si>
  <si>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</si>
  <si>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</si>
  <si>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</si>
  <si>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</si>
  <si>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</si>
  <si>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</si>
  <si>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</si>
  <si>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</si>
  <si>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</si>
  <si>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</si>
  <si>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</si>
  <si>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</si>
  <si>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</si>
  <si>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</si>
  <si>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</si>
  <si>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</si>
  <si>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</si>
  <si>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</si>
  <si>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</si>
  <si>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</si>
  <si>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</si>
  <si>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</si>
  <si>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</si>
  <si>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</si>
  <si>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</si>
  <si>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</si>
  <si>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</si>
  <si>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</si>
  <si>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</si>
  <si>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</si>
  <si>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</si>
  <si>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</si>
  <si>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</si>
  <si>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FUJI</t>
  </si>
  <si>
    <t>FRN15AR1L-4E</t>
  </si>
  <si>
    <t>HVAC (AR1), 3ph 400V, incl. EMC-Filter, DC-reactor and operator panel, IP55, 15kW</t>
  </si>
  <si>
    <t>15kW VSD, IP55</t>
  </si>
  <si>
    <t>Delivery and setting-up of VSD</t>
  </si>
  <si>
    <t>-</t>
  </si>
  <si>
    <t>Labour 
(Selling)</t>
  </si>
  <si>
    <t>TOTAL
(excl.VAT) 
(COST)</t>
  </si>
  <si>
    <t>TOTAL
(Excl. VAT) 
(SELLING)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</si>
</sst>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  <numFmt numFmtId="170" formatCode="#,##0.00\ [$€-1]"/>
  </numFmts>
  <fonts count="4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</font>
    <font>
      <b/>
      <sz val="10"/>
      <name val="Mark Pro Book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5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30" fillId="0" borderId="10" xfId="0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66" fontId="23" fillId="0" borderId="21" xfId="0" applyFont="1" applyBorder="1" applyAlignment="1">
      <alignment vertical="center" wrapText="1"/>
    </xf>
    <xf numFmtId="166" fontId="33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4" fillId="33" borderId="10" xfId="0" applyFont="1" applyFill="1" applyBorder="1"/>
    <xf numFmtId="166" fontId="35" fillId="33" borderId="10" xfId="0" applyFont="1" applyFill="1" applyBorder="1" applyAlignment="1">
      <alignment horizontal="center" vertical="center"/>
    </xf>
    <xf numFmtId="166" fontId="35" fillId="33" borderId="46" xfId="0" applyFont="1" applyFill="1" applyBorder="1" applyAlignment="1">
      <alignment horizontal="center" vertical="center"/>
    </xf>
    <xf numFmtId="166" fontId="36" fillId="32" borderId="10" xfId="0" applyFont="1" applyFill="1" applyBorder="1"/>
    <xf numFmtId="166" fontId="36" fillId="32" borderId="46" xfId="0" applyFont="1" applyFill="1" applyBorder="1"/>
    <xf numFmtId="10" fontId="36" fillId="32" borderId="10" xfId="0" applyNumberFormat="1" applyFont="1" applyFill="1" applyBorder="1"/>
    <xf numFmtId="166" fontId="37" fillId="32" borderId="10" xfId="0" applyFont="1" applyFill="1" applyBorder="1"/>
    <xf numFmtId="166" fontId="38" fillId="32" borderId="10" xfId="0" applyFont="1" applyFill="1" applyBorder="1"/>
    <xf numFmtId="10" fontId="37" fillId="32" borderId="10" xfId="0" applyNumberFormat="1" applyFont="1" applyFill="1" applyBorder="1"/>
    <xf numFmtId="166" fontId="39" fillId="33" borderId="10" xfId="0" applyFont="1" applyFill="1" applyBorder="1"/>
    <xf numFmtId="166" fontId="39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40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40" fillId="34" borderId="0" xfId="0" applyFont="1" applyFill="1" applyAlignment="1">
      <alignment horizontal="right" wrapText="1"/>
    </xf>
    <xf numFmtId="168" fontId="40" fillId="34" borderId="0" xfId="0" applyNumberFormat="1" applyFont="1" applyFill="1" applyAlignment="1">
      <alignment horizontal="right" wrapText="1"/>
    </xf>
    <xf numFmtId="168" fontId="40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2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6" fillId="0" borderId="0" xfId="0" applyFont="1" applyAlignment="1">
      <alignment vertical="center"/>
    </xf>
    <xf numFmtId="166" fontId="45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70" fontId="46" fillId="0" borderId="35" xfId="0" applyNumberFormat="1" applyFont="1" applyBorder="1" applyAlignment="1">
      <alignment horizontal="center" vertical="center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 filterMode="1">
    <pageSetUpPr fitToPage="1"/>
  </sheetPr>
  <dimension ref="A1:AS180"/>
  <sheetViews>
    <sheetView tabSelected="1" zoomScale="115" zoomScaleNormal="115" workbookViewId="0">
      <pane xSplit="4" ySplit="8" topLeftCell="AD9" activePane="bottomRight" state="frozen"/>
      <selection activeCell="D8" sqref="D8"/>
      <selection pane="topRight" activeCell="D8" sqref="D8"/>
      <selection pane="bottomLeft" activeCell="D8" sqref="D8"/>
      <selection pane="bottomRight" activeCell="AM146" sqref="AM146"/>
    </sheetView>
  </sheetViews>
  <sheetFormatPr defaultColWidth="9.109375" defaultRowHeight="14.4"/>
  <cols>
    <col min="1" max="1" width="9.109375" style="201"/>
    <col min="2" max="2" width="3.109375" style="1" customWidth="1"/>
    <col min="3" max="3" width="15.44140625" style="2" hidden="1" customWidth="1"/>
    <col min="4" max="4" width="49.44140625" style="201" bestFit="1" customWidth="1"/>
    <col min="5" max="5" width="15.6640625" style="201" hidden="1" customWidth="1"/>
    <col min="6" max="6" width="7.109375" style="201" hidden="1" customWidth="1"/>
    <col min="7" max="7" width="9.33203125" style="201" hidden="1" customWidth="1"/>
    <col min="8" max="8" width="9.44140625" style="201" hidden="1" customWidth="1"/>
    <col min="9" max="9" width="8.6640625" style="201" hidden="1" customWidth="1"/>
    <col min="10" max="10" width="8.44140625" style="201" hidden="1" customWidth="1"/>
    <col min="11" max="11" width="11.44140625" style="201" hidden="1" customWidth="1"/>
    <col min="12" max="12" width="9.5546875" style="201" hidden="1" customWidth="1"/>
    <col min="13" max="13" width="9.88671875" style="201" hidden="1" customWidth="1"/>
    <col min="14" max="14" width="9.109375" style="201" hidden="1" customWidth="1"/>
    <col min="15" max="15" width="10.33203125" style="201" hidden="1" customWidth="1"/>
    <col min="16" max="16" width="9.109375" style="201" hidden="1" customWidth="1"/>
    <col min="17" max="17" width="8.44140625" style="201" hidden="1" customWidth="1"/>
    <col min="18" max="18" width="12.33203125" style="201" hidden="1" customWidth="1"/>
    <col min="19" max="19" width="9" style="201" hidden="1" customWidth="1"/>
    <col min="20" max="20" width="8.44140625" style="201" hidden="1" customWidth="1"/>
    <col min="21" max="21" width="12" style="201" hidden="1" customWidth="1"/>
    <col min="22" max="22" width="8.6640625" style="201" hidden="1" customWidth="1"/>
    <col min="23" max="23" width="8.44140625" style="201" hidden="1" customWidth="1"/>
    <col min="24" max="24" width="11.6640625" style="201" hidden="1" customWidth="1"/>
    <col min="25" max="25" width="10.109375" style="201" hidden="1" customWidth="1"/>
    <col min="26" max="27" width="11.6640625" style="201" hidden="1" customWidth="1"/>
    <col min="28" max="28" width="6.109375" style="201" hidden="1" customWidth="1"/>
    <col min="29" max="29" width="12.21875" style="201" hidden="1" customWidth="1"/>
    <col min="30" max="30" width="12.21875" style="201" customWidth="1"/>
    <col min="31" max="31" width="13.21875" style="201" hidden="1" customWidth="1"/>
    <col min="32" max="32" width="13.21875" style="201" customWidth="1"/>
    <col min="33" max="33" width="4.88671875" style="201" hidden="1" customWidth="1"/>
    <col min="34" max="34" width="3.109375" style="201" customWidth="1"/>
    <col min="35" max="35" width="17.5546875" style="201" customWidth="1"/>
    <col min="36" max="36" width="16.109375" style="201" customWidth="1"/>
    <col min="37" max="37" width="15.33203125" style="201" customWidth="1"/>
    <col min="38" max="38" width="2.88671875" style="201" customWidth="1"/>
    <col min="39" max="39" width="9.88671875" style="201" customWidth="1"/>
    <col min="40" max="40" width="15.33203125" style="201" hidden="1" customWidth="1"/>
    <col min="41" max="41" width="2.6640625" style="201" customWidth="1"/>
    <col min="42" max="42" width="5.21875" style="201" hidden="1" customWidth="1"/>
    <col min="43" max="43" width="10.21875" style="201" hidden="1" customWidth="1"/>
    <col min="44" max="44" width="10.109375" style="201" customWidth="1"/>
    <col min="45" max="16384" width="9.109375" style="201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 ht="15" thickBot="1">
      <c r="B2" s="202"/>
      <c r="C2" s="203"/>
      <c r="D2" s="204" t="str">
        <f ca="1">MID(CELL("filename"),SEARCH("[",CELL("filename"))+1, SEARCH("]",CELL("filename"))-SEARCH("[",CELL("filename"))-1)</f>
        <v>Crane Currency - VSD for AHU-09 (SJ572 R0.1).xlsx</v>
      </c>
      <c r="E2" s="205"/>
      <c r="F2" s="206"/>
      <c r="G2" s="206"/>
      <c r="H2" s="206"/>
      <c r="I2" s="4"/>
      <c r="J2" s="207"/>
      <c r="K2" s="4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4"/>
      <c r="W2" s="207"/>
      <c r="X2" s="4"/>
      <c r="Y2" s="4"/>
      <c r="Z2" s="4"/>
      <c r="AA2" s="4"/>
      <c r="AB2" s="207"/>
      <c r="AC2" s="207"/>
      <c r="AD2" s="208"/>
      <c r="AE2" s="209"/>
      <c r="AF2" s="208"/>
      <c r="AP2" s="207"/>
    </row>
    <row r="3" spans="2:44" ht="15" hidden="1" thickBot="1">
      <c r="B3" s="210"/>
      <c r="C3" s="211"/>
      <c r="D3" s="5"/>
      <c r="E3" s="212"/>
      <c r="F3" s="212"/>
      <c r="G3" s="212"/>
      <c r="H3" s="212"/>
      <c r="I3" s="118" t="s">
        <v>73</v>
      </c>
      <c r="J3" s="213">
        <v>8</v>
      </c>
      <c r="K3" s="6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6"/>
      <c r="W3" s="214"/>
      <c r="X3" s="6"/>
      <c r="Y3" s="6"/>
      <c r="Z3" s="6"/>
      <c r="AA3" s="6"/>
      <c r="AB3" s="214"/>
      <c r="AC3" s="214"/>
      <c r="AD3" s="215"/>
      <c r="AE3" s="216"/>
      <c r="AF3" s="215"/>
      <c r="AL3" s="201" t="s">
        <v>127</v>
      </c>
      <c r="AM3" s="201">
        <v>43.32</v>
      </c>
      <c r="AN3" s="201">
        <v>41.91</v>
      </c>
    </row>
    <row r="4" spans="2:44" ht="57.6">
      <c r="B4" s="7"/>
      <c r="C4" s="8" t="s">
        <v>37</v>
      </c>
      <c r="D4" s="9" t="s">
        <v>1</v>
      </c>
      <c r="E4" s="9" t="s">
        <v>38</v>
      </c>
      <c r="F4" s="9" t="s">
        <v>49</v>
      </c>
      <c r="G4" s="9" t="s">
        <v>50</v>
      </c>
      <c r="H4" s="9" t="s">
        <v>51</v>
      </c>
      <c r="I4" s="301" t="s">
        <v>52</v>
      </c>
      <c r="J4" s="301"/>
      <c r="K4" s="301"/>
      <c r="L4" s="301" t="s">
        <v>53</v>
      </c>
      <c r="M4" s="301"/>
      <c r="N4" s="301" t="s">
        <v>54</v>
      </c>
      <c r="O4" s="301"/>
      <c r="P4" s="301" t="s">
        <v>55</v>
      </c>
      <c r="Q4" s="301"/>
      <c r="R4" s="301"/>
      <c r="S4" s="301" t="s">
        <v>56</v>
      </c>
      <c r="T4" s="301"/>
      <c r="U4" s="301"/>
      <c r="V4" s="301" t="s">
        <v>57</v>
      </c>
      <c r="W4" s="301"/>
      <c r="X4" s="301"/>
      <c r="Y4" s="301" t="s">
        <v>115</v>
      </c>
      <c r="Z4" s="301"/>
      <c r="AA4" s="124" t="s">
        <v>116</v>
      </c>
      <c r="AB4" s="10" t="s">
        <v>58</v>
      </c>
      <c r="AC4" s="11" t="s">
        <v>59</v>
      </c>
      <c r="AD4" s="12" t="s">
        <v>341</v>
      </c>
      <c r="AE4" s="164" t="s">
        <v>130</v>
      </c>
      <c r="AF4" s="165" t="s">
        <v>342</v>
      </c>
      <c r="AG4" s="13" t="s">
        <v>61</v>
      </c>
      <c r="AI4" s="217" t="s">
        <v>41</v>
      </c>
      <c r="AJ4" s="162" t="s">
        <v>42</v>
      </c>
      <c r="AK4" s="163" t="s">
        <v>117</v>
      </c>
      <c r="AM4" s="162" t="s">
        <v>340</v>
      </c>
      <c r="AN4" s="163" t="s">
        <v>129</v>
      </c>
      <c r="AP4" s="42" t="s">
        <v>58</v>
      </c>
      <c r="AQ4" s="167" t="s">
        <v>131</v>
      </c>
      <c r="AR4" s="166" t="s">
        <v>128</v>
      </c>
    </row>
    <row r="5" spans="2:44" hidden="1">
      <c r="B5" s="218"/>
      <c r="C5" s="219"/>
      <c r="D5" s="220"/>
      <c r="E5" s="15"/>
      <c r="F5" s="15"/>
      <c r="G5" s="15"/>
      <c r="H5" s="15"/>
      <c r="I5" s="221" t="s">
        <v>114</v>
      </c>
      <c r="J5" s="221"/>
      <c r="K5" s="221" t="s">
        <v>63</v>
      </c>
      <c r="L5" s="221" t="s">
        <v>62</v>
      </c>
      <c r="M5" s="221" t="s">
        <v>63</v>
      </c>
      <c r="N5" s="221" t="s">
        <v>62</v>
      </c>
      <c r="O5" s="221" t="s">
        <v>63</v>
      </c>
      <c r="P5" s="221" t="s">
        <v>62</v>
      </c>
      <c r="Q5" s="221"/>
      <c r="R5" s="221" t="s">
        <v>63</v>
      </c>
      <c r="S5" s="221" t="s">
        <v>114</v>
      </c>
      <c r="T5" s="221"/>
      <c r="U5" s="221" t="s">
        <v>63</v>
      </c>
      <c r="V5" s="221" t="s">
        <v>62</v>
      </c>
      <c r="W5" s="221"/>
      <c r="X5" s="221" t="s">
        <v>63</v>
      </c>
      <c r="Y5" s="221" t="s">
        <v>114</v>
      </c>
      <c r="Z5" s="221" t="s">
        <v>63</v>
      </c>
      <c r="AA5" s="221" t="s">
        <v>62</v>
      </c>
      <c r="AB5" s="222"/>
      <c r="AC5" s="222"/>
      <c r="AD5" s="223"/>
      <c r="AE5" s="224"/>
      <c r="AF5" s="225"/>
      <c r="AG5" s="14">
        <v>1.35</v>
      </c>
      <c r="AI5" s="15"/>
      <c r="AJ5" s="226"/>
      <c r="AK5" s="227"/>
      <c r="AM5" s="228"/>
      <c r="AN5" s="227"/>
      <c r="AP5" s="229"/>
      <c r="AQ5" s="230"/>
      <c r="AR5" s="231"/>
    </row>
    <row r="6" spans="2:44" hidden="1">
      <c r="B6" s="232"/>
      <c r="C6" s="233"/>
      <c r="D6" s="15"/>
      <c r="E6" s="15"/>
      <c r="F6" s="16">
        <v>15</v>
      </c>
      <c r="G6" s="16">
        <v>0.5</v>
      </c>
      <c r="H6" s="16">
        <v>5</v>
      </c>
      <c r="I6" s="234"/>
      <c r="J6" s="302" t="s">
        <v>64</v>
      </c>
      <c r="K6" s="235">
        <v>0</v>
      </c>
      <c r="L6" s="15"/>
      <c r="M6" s="235">
        <v>0</v>
      </c>
      <c r="N6" s="15"/>
      <c r="O6" s="235">
        <v>0</v>
      </c>
      <c r="P6" s="15"/>
      <c r="Q6" s="302" t="s">
        <v>64</v>
      </c>
      <c r="R6" s="235">
        <v>0</v>
      </c>
      <c r="S6" s="15"/>
      <c r="T6" s="302" t="s">
        <v>64</v>
      </c>
      <c r="U6" s="235">
        <v>0</v>
      </c>
      <c r="V6" s="234"/>
      <c r="W6" s="302" t="s">
        <v>64</v>
      </c>
      <c r="X6" s="235">
        <v>0</v>
      </c>
      <c r="Y6" s="234"/>
      <c r="Z6" s="235">
        <v>0</v>
      </c>
      <c r="AA6" s="234"/>
      <c r="AB6" s="236"/>
      <c r="AC6" s="236"/>
      <c r="AD6" s="231"/>
      <c r="AE6" s="237"/>
      <c r="AF6" s="238"/>
      <c r="AG6" s="13"/>
      <c r="AI6" s="15"/>
      <c r="AJ6" s="228"/>
      <c r="AK6" s="227"/>
      <c r="AM6" s="228"/>
      <c r="AN6" s="227"/>
      <c r="AP6" s="239"/>
      <c r="AQ6" s="240"/>
      <c r="AR6" s="241"/>
    </row>
    <row r="7" spans="2:44" hidden="1">
      <c r="B7" s="232"/>
      <c r="C7" s="233"/>
      <c r="D7" s="15"/>
      <c r="E7" s="15"/>
      <c r="F7" s="16">
        <v>0.25</v>
      </c>
      <c r="G7" s="16">
        <v>0.25</v>
      </c>
      <c r="H7" s="16">
        <v>1</v>
      </c>
      <c r="I7" s="234"/>
      <c r="J7" s="303"/>
      <c r="K7" s="235"/>
      <c r="L7" s="15"/>
      <c r="M7" s="235"/>
      <c r="N7" s="15"/>
      <c r="O7" s="235"/>
      <c r="P7" s="15"/>
      <c r="Q7" s="303"/>
      <c r="R7" s="235"/>
      <c r="S7" s="15"/>
      <c r="T7" s="303"/>
      <c r="U7" s="235"/>
      <c r="V7" s="234"/>
      <c r="W7" s="303"/>
      <c r="X7" s="235"/>
      <c r="Y7" s="234"/>
      <c r="Z7" s="235"/>
      <c r="AA7" s="234"/>
      <c r="AB7" s="236"/>
      <c r="AC7" s="236"/>
      <c r="AD7" s="231"/>
      <c r="AE7" s="237"/>
      <c r="AF7" s="238"/>
      <c r="AG7" s="13"/>
      <c r="AI7" s="15"/>
      <c r="AJ7" s="228"/>
      <c r="AK7" s="227"/>
      <c r="AM7" s="228"/>
      <c r="AN7" s="227"/>
      <c r="AP7" s="239"/>
      <c r="AQ7" s="240"/>
      <c r="AR7" s="241"/>
    </row>
    <row r="8" spans="2:44" hidden="1">
      <c r="B8" s="242"/>
      <c r="C8" s="233"/>
      <c r="D8" s="243"/>
      <c r="E8" s="15"/>
      <c r="F8" s="15"/>
      <c r="G8" s="16">
        <v>1</v>
      </c>
      <c r="H8" s="234"/>
      <c r="I8" s="234"/>
      <c r="J8" s="304"/>
      <c r="K8" s="235"/>
      <c r="L8" s="15"/>
      <c r="M8" s="235"/>
      <c r="N8" s="15"/>
      <c r="O8" s="235"/>
      <c r="P8" s="15"/>
      <c r="Q8" s="304"/>
      <c r="R8" s="235"/>
      <c r="S8" s="15"/>
      <c r="T8" s="304"/>
      <c r="U8" s="235"/>
      <c r="V8" s="234"/>
      <c r="W8" s="304"/>
      <c r="X8" s="235"/>
      <c r="Y8" s="234"/>
      <c r="Z8" s="235"/>
      <c r="AA8" s="234"/>
      <c r="AB8" s="236"/>
      <c r="AC8" s="236"/>
      <c r="AD8" s="231"/>
      <c r="AE8" s="237"/>
      <c r="AF8" s="238"/>
      <c r="AG8" s="13"/>
      <c r="AI8" s="15"/>
      <c r="AJ8" s="244"/>
      <c r="AK8" s="227"/>
      <c r="AM8" s="228"/>
      <c r="AN8" s="227"/>
      <c r="AP8" s="239"/>
      <c r="AQ8" s="240"/>
      <c r="AR8" s="245"/>
    </row>
    <row r="9" spans="2:44" ht="12" customHeight="1">
      <c r="B9" s="17" t="str">
        <f>'MaterialCosts Summary'!B9</f>
        <v>-</v>
      </c>
      <c r="C9" s="18"/>
      <c r="D9" s="19" t="str">
        <f>'MaterialCosts Summary'!D9</f>
        <v>15kW VSD, IP55</v>
      </c>
      <c r="E9" s="246">
        <f>'MaterialCosts Summary'!E9</f>
        <v>882.45089999999982</v>
      </c>
      <c r="F9" s="247">
        <v>0</v>
      </c>
      <c r="G9" s="247">
        <v>0</v>
      </c>
      <c r="H9" s="247">
        <v>0</v>
      </c>
      <c r="I9" s="248">
        <f>(MAX((F9*$F$6)+(G9*$G$6),$J$3)*J9)</f>
        <v>0</v>
      </c>
      <c r="J9" s="248"/>
      <c r="K9" s="249">
        <f>IF(AND(I9*$K$6&lt;150, I9&lt;&gt;0), (I9*$K$6)+0, I9*$K$6)</f>
        <v>0</v>
      </c>
      <c r="L9" s="248">
        <v>0</v>
      </c>
      <c r="M9" s="249">
        <f t="shared" ref="M9:M72" si="0">L9*$M$6</f>
        <v>0</v>
      </c>
      <c r="N9" s="248">
        <v>0</v>
      </c>
      <c r="O9" s="249">
        <f t="shared" ref="O9:O72" si="1">N9*$O$6</f>
        <v>0</v>
      </c>
      <c r="P9" s="248">
        <f t="shared" ref="P9:P72" si="2">(IF(H9&lt;&gt;0,MAX((G9*$G$8)+(H9*0.1*$H$6)+(H9*0.9*$H$7),24),(G9*$G$8)+(H9*0.1*$H$6)+(H9*0.9*$H$7)))*Q9</f>
        <v>0</v>
      </c>
      <c r="Q9" s="248"/>
      <c r="R9" s="249">
        <f t="shared" ref="R9:R72" si="3">P9*$R$6</f>
        <v>0</v>
      </c>
      <c r="S9" s="248">
        <f t="shared" ref="S9:S72" si="4">G9*$G$6*T9</f>
        <v>0</v>
      </c>
      <c r="T9" s="248"/>
      <c r="U9" s="249">
        <f t="shared" ref="U9:U72" si="5">S9*$U$6</f>
        <v>0</v>
      </c>
      <c r="V9" s="248">
        <f t="shared" ref="V9:V72" si="6">(((G9+H9)*$G$7)+(F9*$F$7))*W9</f>
        <v>0</v>
      </c>
      <c r="W9" s="248"/>
      <c r="X9" s="249">
        <f t="shared" ref="X9:X72" si="7">V9*$X$6</f>
        <v>0</v>
      </c>
      <c r="Y9" s="248">
        <v>0</v>
      </c>
      <c r="Z9" s="249">
        <f t="shared" ref="Z9:Z72" si="8">Y9*$X$6</f>
        <v>0</v>
      </c>
      <c r="AA9" s="248">
        <v>0</v>
      </c>
      <c r="AB9" s="20">
        <v>1</v>
      </c>
      <c r="AC9" s="250">
        <f>AD9/AB9</f>
        <v>882.45089999999982</v>
      </c>
      <c r="AD9" s="251">
        <f>E9+K9+M9+O9+R9+U9+X9+Z9</f>
        <v>882.45089999999982</v>
      </c>
      <c r="AE9" s="252">
        <f>AC9*$AG$5</f>
        <v>1191.3087149999999</v>
      </c>
      <c r="AF9" s="253">
        <f>AD9*$AG$5</f>
        <v>1191.3087149999999</v>
      </c>
      <c r="AG9" s="254"/>
      <c r="AI9" s="153">
        <f>CEILING(0/2, 4)</f>
        <v>0</v>
      </c>
      <c r="AJ9" s="155">
        <v>4</v>
      </c>
      <c r="AK9" s="146">
        <f t="shared" ref="AK9:AK40" si="9">CEILING((L9+N9+P9+V9+AA9), 4)</f>
        <v>0</v>
      </c>
      <c r="AM9" s="159">
        <f t="shared" ref="AM9:AM40" si="10">AJ9*$AM$3</f>
        <v>173.28</v>
      </c>
      <c r="AN9" s="149">
        <f>AK9*$AN$3</f>
        <v>0</v>
      </c>
      <c r="AP9" s="17">
        <f t="shared" ref="AP9:AP40" si="11">AB9</f>
        <v>1</v>
      </c>
      <c r="AQ9" s="168">
        <f>AR9/AP9</f>
        <v>1364.5887149999999</v>
      </c>
      <c r="AR9" s="255">
        <f t="shared" ref="AR9:AR40" si="12">AF9+AM9+AN9</f>
        <v>1364.5887149999999</v>
      </c>
    </row>
    <row r="10" spans="2:44" ht="12" hidden="1" customHeight="1">
      <c r="B10" s="21">
        <f>'MaterialCosts Summary'!B10</f>
        <v>2</v>
      </c>
      <c r="C10" s="22"/>
      <c r="D10" s="23" t="str">
        <f>'MaterialCosts Summary'!D10</f>
        <v>--</v>
      </c>
      <c r="E10" s="256">
        <f>'MaterialCosts Summary'!E10</f>
        <v>0</v>
      </c>
      <c r="F10" s="257">
        <v>0</v>
      </c>
      <c r="G10" s="257">
        <v>0</v>
      </c>
      <c r="H10" s="257">
        <v>0</v>
      </c>
      <c r="I10" s="258">
        <f t="shared" ref="I10:I73" si="13">(MAX((F10*$F$6)+(G10*$G$6),$J$3)*J10)</f>
        <v>0</v>
      </c>
      <c r="J10" s="258"/>
      <c r="K10" s="259">
        <f t="shared" ref="K10:K73" si="14">IF(AND(I10*$K$6&lt;150, I10&lt;&gt;0), (I10*$K$6)+0, I10*$K$6)</f>
        <v>0</v>
      </c>
      <c r="L10" s="258">
        <v>0</v>
      </c>
      <c r="M10" s="259">
        <f t="shared" si="0"/>
        <v>0</v>
      </c>
      <c r="N10" s="258">
        <v>0</v>
      </c>
      <c r="O10" s="259">
        <f t="shared" si="1"/>
        <v>0</v>
      </c>
      <c r="P10" s="258">
        <f t="shared" si="2"/>
        <v>0</v>
      </c>
      <c r="Q10" s="258"/>
      <c r="R10" s="259">
        <f t="shared" si="3"/>
        <v>0</v>
      </c>
      <c r="S10" s="258">
        <f t="shared" si="4"/>
        <v>0</v>
      </c>
      <c r="T10" s="258"/>
      <c r="U10" s="259">
        <f t="shared" si="5"/>
        <v>0</v>
      </c>
      <c r="V10" s="258">
        <f t="shared" si="6"/>
        <v>0</v>
      </c>
      <c r="W10" s="258"/>
      <c r="X10" s="259">
        <f t="shared" si="7"/>
        <v>0</v>
      </c>
      <c r="Y10" s="258">
        <v>0</v>
      </c>
      <c r="Z10" s="259">
        <f t="shared" si="8"/>
        <v>0</v>
      </c>
      <c r="AA10" s="258">
        <v>0</v>
      </c>
      <c r="AB10" s="24">
        <v>1</v>
      </c>
      <c r="AC10" s="260">
        <f t="shared" ref="AC10:AC73" si="15">AD10/AB10</f>
        <v>0</v>
      </c>
      <c r="AD10" s="297">
        <f t="shared" ref="AD10:AD73" si="16">E10+K10+M10+O10+R10+U10+X10+Z10</f>
        <v>0</v>
      </c>
      <c r="AE10" s="261">
        <f t="shared" ref="AE10:AF73" si="17">AC10*$AG$5</f>
        <v>0</v>
      </c>
      <c r="AF10" s="262">
        <f t="shared" si="17"/>
        <v>0</v>
      </c>
      <c r="AG10" s="254"/>
      <c r="AI10" s="153">
        <f t="shared" ref="AI10:AI73" si="18">CEILING(0/2, 4)</f>
        <v>0</v>
      </c>
      <c r="AJ10" s="156">
        <f t="shared" ref="AJ10:AJ73" si="19">CEILING((I10+S10+Y10), 1)</f>
        <v>0</v>
      </c>
      <c r="AK10" s="147">
        <f t="shared" si="9"/>
        <v>0</v>
      </c>
      <c r="AM10" s="160">
        <f t="shared" si="10"/>
        <v>0</v>
      </c>
      <c r="AN10" s="150">
        <f t="shared" ref="AN10:AN73" si="20">AK10*$AN$3</f>
        <v>0</v>
      </c>
      <c r="AP10" s="21">
        <f t="shared" si="11"/>
        <v>1</v>
      </c>
      <c r="AQ10" s="169">
        <f t="shared" ref="AQ10:AQ73" si="21">AR10/AP10</f>
        <v>0</v>
      </c>
      <c r="AR10" s="263">
        <f t="shared" si="12"/>
        <v>0</v>
      </c>
    </row>
    <row r="11" spans="2:44" ht="12" hidden="1" customHeight="1">
      <c r="B11" s="21">
        <f>'MaterialCosts Summary'!B11</f>
        <v>3</v>
      </c>
      <c r="C11" s="22"/>
      <c r="D11" s="23">
        <f>'MaterialCosts Summary'!D11</f>
        <v>0</v>
      </c>
      <c r="E11" s="256">
        <f>'MaterialCosts Summary'!E11</f>
        <v>0</v>
      </c>
      <c r="F11" s="257">
        <v>0</v>
      </c>
      <c r="G11" s="257">
        <v>0</v>
      </c>
      <c r="H11" s="257">
        <v>0</v>
      </c>
      <c r="I11" s="258">
        <f t="shared" si="13"/>
        <v>0</v>
      </c>
      <c r="J11" s="258"/>
      <c r="K11" s="259">
        <f t="shared" si="14"/>
        <v>0</v>
      </c>
      <c r="L11" s="258">
        <v>0</v>
      </c>
      <c r="M11" s="259">
        <f t="shared" si="0"/>
        <v>0</v>
      </c>
      <c r="N11" s="258">
        <v>0</v>
      </c>
      <c r="O11" s="259">
        <f t="shared" si="1"/>
        <v>0</v>
      </c>
      <c r="P11" s="258">
        <f t="shared" si="2"/>
        <v>0</v>
      </c>
      <c r="Q11" s="258"/>
      <c r="R11" s="259">
        <f t="shared" si="3"/>
        <v>0</v>
      </c>
      <c r="S11" s="258">
        <f t="shared" si="4"/>
        <v>0</v>
      </c>
      <c r="T11" s="258"/>
      <c r="U11" s="259">
        <f t="shared" si="5"/>
        <v>0</v>
      </c>
      <c r="V11" s="258">
        <f t="shared" si="6"/>
        <v>0</v>
      </c>
      <c r="W11" s="258"/>
      <c r="X11" s="259">
        <f t="shared" si="7"/>
        <v>0</v>
      </c>
      <c r="Y11" s="258">
        <v>0</v>
      </c>
      <c r="Z11" s="259">
        <f t="shared" si="8"/>
        <v>0</v>
      </c>
      <c r="AA11" s="258">
        <v>0</v>
      </c>
      <c r="AB11" s="24">
        <v>1</v>
      </c>
      <c r="AC11" s="260">
        <f t="shared" si="15"/>
        <v>0</v>
      </c>
      <c r="AD11" s="298">
        <f t="shared" si="16"/>
        <v>0</v>
      </c>
      <c r="AE11" s="261">
        <f t="shared" si="17"/>
        <v>0</v>
      </c>
      <c r="AF11" s="262">
        <f t="shared" si="17"/>
        <v>0</v>
      </c>
      <c r="AG11" s="254"/>
      <c r="AI11" s="153">
        <f t="shared" si="18"/>
        <v>0</v>
      </c>
      <c r="AJ11" s="156">
        <f t="shared" si="19"/>
        <v>0</v>
      </c>
      <c r="AK11" s="147">
        <f t="shared" si="9"/>
        <v>0</v>
      </c>
      <c r="AM11" s="160">
        <f t="shared" si="10"/>
        <v>0</v>
      </c>
      <c r="AN11" s="150">
        <f t="shared" si="20"/>
        <v>0</v>
      </c>
      <c r="AP11" s="21">
        <f t="shared" si="11"/>
        <v>1</v>
      </c>
      <c r="AQ11" s="169">
        <f t="shared" si="21"/>
        <v>0</v>
      </c>
      <c r="AR11" s="263">
        <f t="shared" si="12"/>
        <v>0</v>
      </c>
    </row>
    <row r="12" spans="2:44" ht="12" hidden="1" customHeight="1">
      <c r="B12" s="25">
        <f>'MaterialCosts Summary'!B12</f>
        <v>4</v>
      </c>
      <c r="C12" s="22"/>
      <c r="D12" s="23">
        <f>'MaterialCosts Summary'!D12</f>
        <v>0</v>
      </c>
      <c r="E12" s="256">
        <f>'MaterialCosts Summary'!E12</f>
        <v>0</v>
      </c>
      <c r="F12" s="257">
        <v>0</v>
      </c>
      <c r="G12" s="257">
        <v>0</v>
      </c>
      <c r="H12" s="257">
        <v>0</v>
      </c>
      <c r="I12" s="258">
        <f t="shared" si="13"/>
        <v>0</v>
      </c>
      <c r="J12" s="258"/>
      <c r="K12" s="259">
        <f t="shared" si="14"/>
        <v>0</v>
      </c>
      <c r="L12" s="258">
        <v>0</v>
      </c>
      <c r="M12" s="259">
        <f t="shared" si="0"/>
        <v>0</v>
      </c>
      <c r="N12" s="258">
        <v>0</v>
      </c>
      <c r="O12" s="259">
        <f t="shared" si="1"/>
        <v>0</v>
      </c>
      <c r="P12" s="258">
        <f t="shared" si="2"/>
        <v>0</v>
      </c>
      <c r="Q12" s="258"/>
      <c r="R12" s="259">
        <f t="shared" si="3"/>
        <v>0</v>
      </c>
      <c r="S12" s="258">
        <f t="shared" si="4"/>
        <v>0</v>
      </c>
      <c r="T12" s="258"/>
      <c r="U12" s="259">
        <f t="shared" si="5"/>
        <v>0</v>
      </c>
      <c r="V12" s="258">
        <f t="shared" si="6"/>
        <v>0</v>
      </c>
      <c r="W12" s="258"/>
      <c r="X12" s="259">
        <f t="shared" si="7"/>
        <v>0</v>
      </c>
      <c r="Y12" s="258">
        <v>0</v>
      </c>
      <c r="Z12" s="259">
        <f t="shared" si="8"/>
        <v>0</v>
      </c>
      <c r="AA12" s="258">
        <v>0</v>
      </c>
      <c r="AB12" s="24">
        <v>1</v>
      </c>
      <c r="AC12" s="260">
        <f t="shared" si="15"/>
        <v>0</v>
      </c>
      <c r="AD12" s="299">
        <f t="shared" si="16"/>
        <v>0</v>
      </c>
      <c r="AE12" s="261">
        <f t="shared" si="17"/>
        <v>0</v>
      </c>
      <c r="AF12" s="262">
        <f t="shared" si="17"/>
        <v>0</v>
      </c>
      <c r="AG12" s="254"/>
      <c r="AI12" s="153">
        <f t="shared" si="18"/>
        <v>0</v>
      </c>
      <c r="AJ12" s="156">
        <f t="shared" si="19"/>
        <v>0</v>
      </c>
      <c r="AK12" s="147">
        <f t="shared" si="9"/>
        <v>0</v>
      </c>
      <c r="AM12" s="160">
        <f t="shared" si="10"/>
        <v>0</v>
      </c>
      <c r="AN12" s="150">
        <f t="shared" si="20"/>
        <v>0</v>
      </c>
      <c r="AP12" s="21">
        <f t="shared" si="11"/>
        <v>1</v>
      </c>
      <c r="AQ12" s="169">
        <f t="shared" si="21"/>
        <v>0</v>
      </c>
      <c r="AR12" s="263">
        <f t="shared" si="12"/>
        <v>0</v>
      </c>
    </row>
    <row r="13" spans="2:44" hidden="1">
      <c r="B13" s="21">
        <f>'MaterialCosts Summary'!B13</f>
        <v>5</v>
      </c>
      <c r="C13" s="26"/>
      <c r="D13" s="23">
        <f>'MaterialCosts Summary'!D13</f>
        <v>0</v>
      </c>
      <c r="E13" s="256">
        <f>'MaterialCosts Summary'!E13</f>
        <v>0</v>
      </c>
      <c r="F13" s="257">
        <v>0</v>
      </c>
      <c r="G13" s="257">
        <v>0</v>
      </c>
      <c r="H13" s="257">
        <v>0</v>
      </c>
      <c r="I13" s="258">
        <f t="shared" si="13"/>
        <v>0</v>
      </c>
      <c r="J13" s="258"/>
      <c r="K13" s="259">
        <f t="shared" si="14"/>
        <v>0</v>
      </c>
      <c r="L13" s="258">
        <v>0</v>
      </c>
      <c r="M13" s="259">
        <f t="shared" si="0"/>
        <v>0</v>
      </c>
      <c r="N13" s="258">
        <v>0</v>
      </c>
      <c r="O13" s="259">
        <f t="shared" si="1"/>
        <v>0</v>
      </c>
      <c r="P13" s="258">
        <f t="shared" si="2"/>
        <v>0</v>
      </c>
      <c r="Q13" s="258"/>
      <c r="R13" s="259">
        <f t="shared" si="3"/>
        <v>0</v>
      </c>
      <c r="S13" s="258">
        <f t="shared" si="4"/>
        <v>0</v>
      </c>
      <c r="T13" s="258"/>
      <c r="U13" s="259">
        <f t="shared" si="5"/>
        <v>0</v>
      </c>
      <c r="V13" s="258">
        <f t="shared" si="6"/>
        <v>0</v>
      </c>
      <c r="W13" s="258"/>
      <c r="X13" s="259">
        <f t="shared" si="7"/>
        <v>0</v>
      </c>
      <c r="Y13" s="258">
        <v>0</v>
      </c>
      <c r="Z13" s="259">
        <f t="shared" si="8"/>
        <v>0</v>
      </c>
      <c r="AA13" s="258">
        <v>0</v>
      </c>
      <c r="AB13" s="24">
        <v>1</v>
      </c>
      <c r="AC13" s="260">
        <f t="shared" si="15"/>
        <v>0</v>
      </c>
      <c r="AD13" s="297">
        <f t="shared" si="16"/>
        <v>0</v>
      </c>
      <c r="AE13" s="261">
        <f t="shared" si="17"/>
        <v>0</v>
      </c>
      <c r="AF13" s="262">
        <f t="shared" si="17"/>
        <v>0</v>
      </c>
      <c r="AG13" s="254"/>
      <c r="AI13" s="153">
        <f t="shared" si="18"/>
        <v>0</v>
      </c>
      <c r="AJ13" s="156">
        <f t="shared" si="19"/>
        <v>0</v>
      </c>
      <c r="AK13" s="147">
        <f t="shared" si="9"/>
        <v>0</v>
      </c>
      <c r="AM13" s="160">
        <f t="shared" si="10"/>
        <v>0</v>
      </c>
      <c r="AN13" s="150">
        <f t="shared" si="20"/>
        <v>0</v>
      </c>
      <c r="AP13" s="21">
        <f t="shared" si="11"/>
        <v>1</v>
      </c>
      <c r="AQ13" s="169">
        <f t="shared" si="21"/>
        <v>0</v>
      </c>
      <c r="AR13" s="263">
        <f t="shared" si="12"/>
        <v>0</v>
      </c>
    </row>
    <row r="14" spans="2:44" hidden="1">
      <c r="B14" s="21">
        <f>'MaterialCosts Summary'!B14</f>
        <v>6</v>
      </c>
      <c r="C14" s="26"/>
      <c r="D14" s="23">
        <f>'MaterialCosts Summary'!D14</f>
        <v>0</v>
      </c>
      <c r="E14" s="256">
        <f>'MaterialCosts Summary'!E14</f>
        <v>0</v>
      </c>
      <c r="F14" s="257">
        <v>0</v>
      </c>
      <c r="G14" s="257">
        <v>0</v>
      </c>
      <c r="H14" s="257">
        <v>0</v>
      </c>
      <c r="I14" s="258">
        <f t="shared" si="13"/>
        <v>0</v>
      </c>
      <c r="J14" s="258"/>
      <c r="K14" s="259">
        <f t="shared" si="14"/>
        <v>0</v>
      </c>
      <c r="L14" s="258">
        <v>0</v>
      </c>
      <c r="M14" s="259">
        <f t="shared" si="0"/>
        <v>0</v>
      </c>
      <c r="N14" s="258">
        <v>0</v>
      </c>
      <c r="O14" s="259">
        <f t="shared" si="1"/>
        <v>0</v>
      </c>
      <c r="P14" s="258">
        <f t="shared" si="2"/>
        <v>0</v>
      </c>
      <c r="Q14" s="258"/>
      <c r="R14" s="259">
        <f t="shared" si="3"/>
        <v>0</v>
      </c>
      <c r="S14" s="258">
        <f t="shared" si="4"/>
        <v>0</v>
      </c>
      <c r="T14" s="258"/>
      <c r="U14" s="259">
        <f t="shared" si="5"/>
        <v>0</v>
      </c>
      <c r="V14" s="258">
        <f t="shared" si="6"/>
        <v>0</v>
      </c>
      <c r="W14" s="258"/>
      <c r="X14" s="259">
        <f t="shared" si="7"/>
        <v>0</v>
      </c>
      <c r="Y14" s="258">
        <v>0</v>
      </c>
      <c r="Z14" s="259">
        <f t="shared" si="8"/>
        <v>0</v>
      </c>
      <c r="AA14" s="258">
        <v>0</v>
      </c>
      <c r="AB14" s="24">
        <v>1</v>
      </c>
      <c r="AC14" s="260">
        <f t="shared" si="15"/>
        <v>0</v>
      </c>
      <c r="AD14" s="298">
        <f t="shared" si="16"/>
        <v>0</v>
      </c>
      <c r="AE14" s="261">
        <f t="shared" si="17"/>
        <v>0</v>
      </c>
      <c r="AF14" s="262">
        <f t="shared" si="17"/>
        <v>0</v>
      </c>
      <c r="AG14" s="254"/>
      <c r="AI14" s="153">
        <f t="shared" si="18"/>
        <v>0</v>
      </c>
      <c r="AJ14" s="156">
        <f t="shared" si="19"/>
        <v>0</v>
      </c>
      <c r="AK14" s="147">
        <f t="shared" si="9"/>
        <v>0</v>
      </c>
      <c r="AM14" s="160">
        <f t="shared" si="10"/>
        <v>0</v>
      </c>
      <c r="AN14" s="150">
        <f t="shared" si="20"/>
        <v>0</v>
      </c>
      <c r="AP14" s="21">
        <f t="shared" si="11"/>
        <v>1</v>
      </c>
      <c r="AQ14" s="169">
        <f t="shared" si="21"/>
        <v>0</v>
      </c>
      <c r="AR14" s="263">
        <f t="shared" si="12"/>
        <v>0</v>
      </c>
    </row>
    <row r="15" spans="2:44" hidden="1">
      <c r="B15" s="21">
        <f>'MaterialCosts Summary'!B15</f>
        <v>7</v>
      </c>
      <c r="C15" s="26"/>
      <c r="D15" s="23">
        <f>'MaterialCosts Summary'!D15</f>
        <v>0</v>
      </c>
      <c r="E15" s="256">
        <f>'MaterialCosts Summary'!E15</f>
        <v>0</v>
      </c>
      <c r="F15" s="257">
        <v>0</v>
      </c>
      <c r="G15" s="257">
        <v>0</v>
      </c>
      <c r="H15" s="257">
        <v>0</v>
      </c>
      <c r="I15" s="258">
        <f t="shared" si="13"/>
        <v>0</v>
      </c>
      <c r="J15" s="258"/>
      <c r="K15" s="259">
        <f t="shared" si="14"/>
        <v>0</v>
      </c>
      <c r="L15" s="258">
        <v>0</v>
      </c>
      <c r="M15" s="259">
        <f t="shared" si="0"/>
        <v>0</v>
      </c>
      <c r="N15" s="258">
        <v>0</v>
      </c>
      <c r="O15" s="259">
        <f t="shared" si="1"/>
        <v>0</v>
      </c>
      <c r="P15" s="258">
        <f t="shared" si="2"/>
        <v>0</v>
      </c>
      <c r="Q15" s="258"/>
      <c r="R15" s="259">
        <f t="shared" si="3"/>
        <v>0</v>
      </c>
      <c r="S15" s="258">
        <f t="shared" si="4"/>
        <v>0</v>
      </c>
      <c r="T15" s="258"/>
      <c r="U15" s="259">
        <f t="shared" si="5"/>
        <v>0</v>
      </c>
      <c r="V15" s="258">
        <f t="shared" si="6"/>
        <v>0</v>
      </c>
      <c r="W15" s="258"/>
      <c r="X15" s="259">
        <f t="shared" si="7"/>
        <v>0</v>
      </c>
      <c r="Y15" s="258">
        <v>0</v>
      </c>
      <c r="Z15" s="259">
        <f t="shared" si="8"/>
        <v>0</v>
      </c>
      <c r="AA15" s="258">
        <v>0</v>
      </c>
      <c r="AB15" s="24">
        <v>1</v>
      </c>
      <c r="AC15" s="260">
        <f t="shared" si="15"/>
        <v>0</v>
      </c>
      <c r="AD15" s="299">
        <f t="shared" si="16"/>
        <v>0</v>
      </c>
      <c r="AE15" s="261">
        <f t="shared" si="17"/>
        <v>0</v>
      </c>
      <c r="AF15" s="262">
        <f t="shared" si="17"/>
        <v>0</v>
      </c>
      <c r="AG15" s="254"/>
      <c r="AI15" s="153">
        <f t="shared" si="18"/>
        <v>0</v>
      </c>
      <c r="AJ15" s="156">
        <f t="shared" si="19"/>
        <v>0</v>
      </c>
      <c r="AK15" s="147">
        <f t="shared" si="9"/>
        <v>0</v>
      </c>
      <c r="AM15" s="160">
        <f t="shared" si="10"/>
        <v>0</v>
      </c>
      <c r="AN15" s="150">
        <f t="shared" si="20"/>
        <v>0</v>
      </c>
      <c r="AP15" s="21">
        <f t="shared" si="11"/>
        <v>1</v>
      </c>
      <c r="AQ15" s="169">
        <f t="shared" si="21"/>
        <v>0</v>
      </c>
      <c r="AR15" s="263">
        <f t="shared" si="12"/>
        <v>0</v>
      </c>
    </row>
    <row r="16" spans="2:44" hidden="1">
      <c r="B16" s="21">
        <f>'MaterialCosts Summary'!B16</f>
        <v>8</v>
      </c>
      <c r="C16" s="26"/>
      <c r="D16" s="23">
        <f>'MaterialCosts Summary'!D16</f>
        <v>0</v>
      </c>
      <c r="E16" s="256">
        <f>'MaterialCosts Summary'!E16</f>
        <v>0</v>
      </c>
      <c r="F16" s="257">
        <v>0</v>
      </c>
      <c r="G16" s="257">
        <v>0</v>
      </c>
      <c r="H16" s="257">
        <v>0</v>
      </c>
      <c r="I16" s="258">
        <f t="shared" si="13"/>
        <v>0</v>
      </c>
      <c r="J16" s="258"/>
      <c r="K16" s="259">
        <f t="shared" si="14"/>
        <v>0</v>
      </c>
      <c r="L16" s="258">
        <v>0</v>
      </c>
      <c r="M16" s="259">
        <f t="shared" si="0"/>
        <v>0</v>
      </c>
      <c r="N16" s="258">
        <v>0</v>
      </c>
      <c r="O16" s="259">
        <f t="shared" si="1"/>
        <v>0</v>
      </c>
      <c r="P16" s="258">
        <f t="shared" si="2"/>
        <v>0</v>
      </c>
      <c r="Q16" s="258"/>
      <c r="R16" s="259">
        <f t="shared" si="3"/>
        <v>0</v>
      </c>
      <c r="S16" s="258">
        <f t="shared" si="4"/>
        <v>0</v>
      </c>
      <c r="T16" s="258"/>
      <c r="U16" s="259">
        <f t="shared" si="5"/>
        <v>0</v>
      </c>
      <c r="V16" s="258">
        <f t="shared" si="6"/>
        <v>0</v>
      </c>
      <c r="W16" s="258"/>
      <c r="X16" s="259">
        <f t="shared" si="7"/>
        <v>0</v>
      </c>
      <c r="Y16" s="258">
        <v>0</v>
      </c>
      <c r="Z16" s="259">
        <f t="shared" si="8"/>
        <v>0</v>
      </c>
      <c r="AA16" s="258">
        <v>0</v>
      </c>
      <c r="AB16" s="24">
        <v>1</v>
      </c>
      <c r="AC16" s="260">
        <f t="shared" si="15"/>
        <v>0</v>
      </c>
      <c r="AD16" s="299">
        <f t="shared" si="16"/>
        <v>0</v>
      </c>
      <c r="AE16" s="261">
        <f t="shared" si="17"/>
        <v>0</v>
      </c>
      <c r="AF16" s="262">
        <f t="shared" si="17"/>
        <v>0</v>
      </c>
      <c r="AG16" s="254"/>
      <c r="AI16" s="153">
        <f t="shared" si="18"/>
        <v>0</v>
      </c>
      <c r="AJ16" s="156">
        <f t="shared" si="19"/>
        <v>0</v>
      </c>
      <c r="AK16" s="147">
        <f t="shared" si="9"/>
        <v>0</v>
      </c>
      <c r="AM16" s="160">
        <f t="shared" si="10"/>
        <v>0</v>
      </c>
      <c r="AN16" s="150">
        <f t="shared" si="20"/>
        <v>0</v>
      </c>
      <c r="AP16" s="21">
        <f t="shared" si="11"/>
        <v>1</v>
      </c>
      <c r="AQ16" s="169">
        <f t="shared" si="21"/>
        <v>0</v>
      </c>
      <c r="AR16" s="263">
        <f t="shared" si="12"/>
        <v>0</v>
      </c>
    </row>
    <row r="17" spans="2:44" hidden="1">
      <c r="B17" s="21">
        <f>'MaterialCosts Summary'!B17</f>
        <v>9</v>
      </c>
      <c r="C17" s="26"/>
      <c r="D17" s="23">
        <f>'MaterialCosts Summary'!D17</f>
        <v>0</v>
      </c>
      <c r="E17" s="256">
        <f>'MaterialCosts Summary'!E17</f>
        <v>0</v>
      </c>
      <c r="F17" s="257">
        <v>0</v>
      </c>
      <c r="G17" s="257">
        <v>0</v>
      </c>
      <c r="H17" s="257">
        <v>0</v>
      </c>
      <c r="I17" s="258">
        <f t="shared" si="13"/>
        <v>0</v>
      </c>
      <c r="J17" s="258"/>
      <c r="K17" s="259">
        <f t="shared" si="14"/>
        <v>0</v>
      </c>
      <c r="L17" s="258">
        <v>0</v>
      </c>
      <c r="M17" s="259">
        <f t="shared" si="0"/>
        <v>0</v>
      </c>
      <c r="N17" s="258">
        <v>0</v>
      </c>
      <c r="O17" s="259">
        <f t="shared" si="1"/>
        <v>0</v>
      </c>
      <c r="P17" s="258">
        <f t="shared" si="2"/>
        <v>0</v>
      </c>
      <c r="Q17" s="258"/>
      <c r="R17" s="259">
        <f t="shared" si="3"/>
        <v>0</v>
      </c>
      <c r="S17" s="258">
        <f t="shared" si="4"/>
        <v>0</v>
      </c>
      <c r="T17" s="258"/>
      <c r="U17" s="259">
        <f t="shared" si="5"/>
        <v>0</v>
      </c>
      <c r="V17" s="258">
        <f t="shared" si="6"/>
        <v>0</v>
      </c>
      <c r="W17" s="258"/>
      <c r="X17" s="259">
        <f t="shared" si="7"/>
        <v>0</v>
      </c>
      <c r="Y17" s="258">
        <v>0</v>
      </c>
      <c r="Z17" s="259">
        <f t="shared" si="8"/>
        <v>0</v>
      </c>
      <c r="AA17" s="258">
        <v>0</v>
      </c>
      <c r="AB17" s="24">
        <v>1</v>
      </c>
      <c r="AC17" s="260">
        <f t="shared" si="15"/>
        <v>0</v>
      </c>
      <c r="AD17" s="297">
        <f t="shared" si="16"/>
        <v>0</v>
      </c>
      <c r="AE17" s="261">
        <f t="shared" si="17"/>
        <v>0</v>
      </c>
      <c r="AF17" s="262">
        <f t="shared" si="17"/>
        <v>0</v>
      </c>
      <c r="AG17" s="254"/>
      <c r="AI17" s="153">
        <f t="shared" si="18"/>
        <v>0</v>
      </c>
      <c r="AJ17" s="156">
        <f t="shared" si="19"/>
        <v>0</v>
      </c>
      <c r="AK17" s="147">
        <f t="shared" si="9"/>
        <v>0</v>
      </c>
      <c r="AM17" s="160">
        <f t="shared" si="10"/>
        <v>0</v>
      </c>
      <c r="AN17" s="150">
        <f t="shared" si="20"/>
        <v>0</v>
      </c>
      <c r="AP17" s="21">
        <f t="shared" si="11"/>
        <v>1</v>
      </c>
      <c r="AQ17" s="169">
        <f t="shared" si="21"/>
        <v>0</v>
      </c>
      <c r="AR17" s="263">
        <f t="shared" si="12"/>
        <v>0</v>
      </c>
    </row>
    <row r="18" spans="2:44" hidden="1">
      <c r="B18" s="21">
        <f>'MaterialCosts Summary'!B18</f>
        <v>10</v>
      </c>
      <c r="C18" s="26"/>
      <c r="D18" s="23">
        <f>'MaterialCosts Summary'!D18</f>
        <v>0</v>
      </c>
      <c r="E18" s="256">
        <f>'MaterialCosts Summary'!E18</f>
        <v>0</v>
      </c>
      <c r="F18" s="257">
        <v>0</v>
      </c>
      <c r="G18" s="257">
        <v>0</v>
      </c>
      <c r="H18" s="257">
        <v>0</v>
      </c>
      <c r="I18" s="258">
        <f t="shared" si="13"/>
        <v>0</v>
      </c>
      <c r="J18" s="258"/>
      <c r="K18" s="259">
        <f t="shared" si="14"/>
        <v>0</v>
      </c>
      <c r="L18" s="258">
        <v>0</v>
      </c>
      <c r="M18" s="259">
        <f t="shared" si="0"/>
        <v>0</v>
      </c>
      <c r="N18" s="258">
        <v>0</v>
      </c>
      <c r="O18" s="259">
        <f t="shared" si="1"/>
        <v>0</v>
      </c>
      <c r="P18" s="258">
        <f t="shared" si="2"/>
        <v>0</v>
      </c>
      <c r="Q18" s="258"/>
      <c r="R18" s="259">
        <f t="shared" si="3"/>
        <v>0</v>
      </c>
      <c r="S18" s="258">
        <f t="shared" si="4"/>
        <v>0</v>
      </c>
      <c r="T18" s="258"/>
      <c r="U18" s="259">
        <f t="shared" si="5"/>
        <v>0</v>
      </c>
      <c r="V18" s="258">
        <f t="shared" si="6"/>
        <v>0</v>
      </c>
      <c r="W18" s="258"/>
      <c r="X18" s="259">
        <f t="shared" si="7"/>
        <v>0</v>
      </c>
      <c r="Y18" s="258">
        <v>0</v>
      </c>
      <c r="Z18" s="259">
        <f t="shared" si="8"/>
        <v>0</v>
      </c>
      <c r="AA18" s="258">
        <v>0</v>
      </c>
      <c r="AB18" s="24">
        <v>1</v>
      </c>
      <c r="AC18" s="260">
        <f t="shared" si="15"/>
        <v>0</v>
      </c>
      <c r="AD18" s="298">
        <f t="shared" si="16"/>
        <v>0</v>
      </c>
      <c r="AE18" s="261">
        <f t="shared" si="17"/>
        <v>0</v>
      </c>
      <c r="AF18" s="262">
        <f t="shared" si="17"/>
        <v>0</v>
      </c>
      <c r="AG18" s="254"/>
      <c r="AI18" s="153">
        <f t="shared" si="18"/>
        <v>0</v>
      </c>
      <c r="AJ18" s="156">
        <f t="shared" si="19"/>
        <v>0</v>
      </c>
      <c r="AK18" s="147">
        <f t="shared" si="9"/>
        <v>0</v>
      </c>
      <c r="AM18" s="160">
        <f t="shared" si="10"/>
        <v>0</v>
      </c>
      <c r="AN18" s="150">
        <f t="shared" si="20"/>
        <v>0</v>
      </c>
      <c r="AP18" s="21">
        <f t="shared" si="11"/>
        <v>1</v>
      </c>
      <c r="AQ18" s="169">
        <f t="shared" si="21"/>
        <v>0</v>
      </c>
      <c r="AR18" s="263">
        <f t="shared" si="12"/>
        <v>0</v>
      </c>
    </row>
    <row r="19" spans="2:44" hidden="1">
      <c r="B19" s="21">
        <f>'MaterialCosts Summary'!B19</f>
        <v>11</v>
      </c>
      <c r="C19" s="26"/>
      <c r="D19" s="23">
        <f>'MaterialCosts Summary'!D19</f>
        <v>0</v>
      </c>
      <c r="E19" s="256">
        <f>'MaterialCosts Summary'!E19</f>
        <v>0</v>
      </c>
      <c r="F19" s="257">
        <v>0</v>
      </c>
      <c r="G19" s="257">
        <v>0</v>
      </c>
      <c r="H19" s="257">
        <v>0</v>
      </c>
      <c r="I19" s="258">
        <f t="shared" si="13"/>
        <v>0</v>
      </c>
      <c r="J19" s="258"/>
      <c r="K19" s="259">
        <f t="shared" si="14"/>
        <v>0</v>
      </c>
      <c r="L19" s="258">
        <v>0</v>
      </c>
      <c r="M19" s="259">
        <f t="shared" si="0"/>
        <v>0</v>
      </c>
      <c r="N19" s="258">
        <v>0</v>
      </c>
      <c r="O19" s="259">
        <f t="shared" si="1"/>
        <v>0</v>
      </c>
      <c r="P19" s="258">
        <f t="shared" si="2"/>
        <v>0</v>
      </c>
      <c r="Q19" s="258"/>
      <c r="R19" s="259">
        <f t="shared" si="3"/>
        <v>0</v>
      </c>
      <c r="S19" s="258">
        <f t="shared" si="4"/>
        <v>0</v>
      </c>
      <c r="T19" s="258"/>
      <c r="U19" s="259">
        <f t="shared" si="5"/>
        <v>0</v>
      </c>
      <c r="V19" s="258">
        <f t="shared" si="6"/>
        <v>0</v>
      </c>
      <c r="W19" s="258"/>
      <c r="X19" s="259">
        <f t="shared" si="7"/>
        <v>0</v>
      </c>
      <c r="Y19" s="258">
        <v>0</v>
      </c>
      <c r="Z19" s="259">
        <f t="shared" si="8"/>
        <v>0</v>
      </c>
      <c r="AA19" s="258">
        <v>0</v>
      </c>
      <c r="AB19" s="24">
        <v>1</v>
      </c>
      <c r="AC19" s="260">
        <f t="shared" si="15"/>
        <v>0</v>
      </c>
      <c r="AD19" s="299">
        <f t="shared" si="16"/>
        <v>0</v>
      </c>
      <c r="AE19" s="261">
        <f t="shared" si="17"/>
        <v>0</v>
      </c>
      <c r="AF19" s="262">
        <f t="shared" si="17"/>
        <v>0</v>
      </c>
      <c r="AG19" s="254"/>
      <c r="AI19" s="153">
        <f t="shared" si="18"/>
        <v>0</v>
      </c>
      <c r="AJ19" s="156">
        <f t="shared" si="19"/>
        <v>0</v>
      </c>
      <c r="AK19" s="147">
        <f t="shared" si="9"/>
        <v>0</v>
      </c>
      <c r="AM19" s="160">
        <f t="shared" si="10"/>
        <v>0</v>
      </c>
      <c r="AN19" s="150">
        <f t="shared" si="20"/>
        <v>0</v>
      </c>
      <c r="AP19" s="21">
        <f t="shared" si="11"/>
        <v>1</v>
      </c>
      <c r="AQ19" s="169">
        <f t="shared" si="21"/>
        <v>0</v>
      </c>
      <c r="AR19" s="263">
        <f t="shared" si="12"/>
        <v>0</v>
      </c>
    </row>
    <row r="20" spans="2:44" hidden="1">
      <c r="B20" s="21">
        <f>'MaterialCosts Summary'!B20</f>
        <v>12</v>
      </c>
      <c r="C20" s="26"/>
      <c r="D20" s="23">
        <f>'MaterialCosts Summary'!D20</f>
        <v>0</v>
      </c>
      <c r="E20" s="256">
        <f>'MaterialCosts Summary'!E20</f>
        <v>0</v>
      </c>
      <c r="F20" s="257">
        <v>0</v>
      </c>
      <c r="G20" s="257">
        <v>0</v>
      </c>
      <c r="H20" s="257">
        <v>0</v>
      </c>
      <c r="I20" s="258">
        <f t="shared" si="13"/>
        <v>0</v>
      </c>
      <c r="J20" s="258"/>
      <c r="K20" s="259">
        <f t="shared" si="14"/>
        <v>0</v>
      </c>
      <c r="L20" s="258">
        <v>0</v>
      </c>
      <c r="M20" s="259">
        <f t="shared" si="0"/>
        <v>0</v>
      </c>
      <c r="N20" s="258">
        <v>0</v>
      </c>
      <c r="O20" s="259">
        <f t="shared" si="1"/>
        <v>0</v>
      </c>
      <c r="P20" s="258">
        <f t="shared" si="2"/>
        <v>0</v>
      </c>
      <c r="Q20" s="258"/>
      <c r="R20" s="259">
        <f t="shared" si="3"/>
        <v>0</v>
      </c>
      <c r="S20" s="258">
        <f t="shared" si="4"/>
        <v>0</v>
      </c>
      <c r="T20" s="258"/>
      <c r="U20" s="259">
        <f t="shared" si="5"/>
        <v>0</v>
      </c>
      <c r="V20" s="258">
        <f t="shared" si="6"/>
        <v>0</v>
      </c>
      <c r="W20" s="258"/>
      <c r="X20" s="259">
        <f t="shared" si="7"/>
        <v>0</v>
      </c>
      <c r="Y20" s="258">
        <v>0</v>
      </c>
      <c r="Z20" s="259">
        <f t="shared" si="8"/>
        <v>0</v>
      </c>
      <c r="AA20" s="258">
        <v>0</v>
      </c>
      <c r="AB20" s="24">
        <v>1</v>
      </c>
      <c r="AC20" s="260">
        <f t="shared" si="15"/>
        <v>0</v>
      </c>
      <c r="AD20" s="299">
        <f t="shared" si="16"/>
        <v>0</v>
      </c>
      <c r="AE20" s="261">
        <f t="shared" si="17"/>
        <v>0</v>
      </c>
      <c r="AF20" s="262">
        <f t="shared" si="17"/>
        <v>0</v>
      </c>
      <c r="AG20" s="254"/>
      <c r="AI20" s="153">
        <f t="shared" si="18"/>
        <v>0</v>
      </c>
      <c r="AJ20" s="156">
        <f t="shared" si="19"/>
        <v>0</v>
      </c>
      <c r="AK20" s="147">
        <f t="shared" si="9"/>
        <v>0</v>
      </c>
      <c r="AM20" s="160">
        <f t="shared" si="10"/>
        <v>0</v>
      </c>
      <c r="AN20" s="150">
        <f t="shared" si="20"/>
        <v>0</v>
      </c>
      <c r="AP20" s="21">
        <f t="shared" si="11"/>
        <v>1</v>
      </c>
      <c r="AQ20" s="169">
        <f t="shared" si="21"/>
        <v>0</v>
      </c>
      <c r="AR20" s="263">
        <f t="shared" si="12"/>
        <v>0</v>
      </c>
    </row>
    <row r="21" spans="2:44" ht="12" hidden="1" customHeight="1">
      <c r="B21" s="21">
        <f>'MaterialCosts Summary'!B21</f>
        <v>13</v>
      </c>
      <c r="C21" s="26"/>
      <c r="D21" s="23">
        <f>'MaterialCosts Summary'!D21</f>
        <v>0</v>
      </c>
      <c r="E21" s="256">
        <f>'MaterialCosts Summary'!E21</f>
        <v>0</v>
      </c>
      <c r="F21" s="257">
        <v>0</v>
      </c>
      <c r="G21" s="257">
        <v>0</v>
      </c>
      <c r="H21" s="257">
        <v>0</v>
      </c>
      <c r="I21" s="258">
        <f t="shared" si="13"/>
        <v>0</v>
      </c>
      <c r="J21" s="258"/>
      <c r="K21" s="259">
        <f t="shared" si="14"/>
        <v>0</v>
      </c>
      <c r="L21" s="258">
        <v>0</v>
      </c>
      <c r="M21" s="259">
        <f t="shared" si="0"/>
        <v>0</v>
      </c>
      <c r="N21" s="258">
        <v>0</v>
      </c>
      <c r="O21" s="259">
        <f t="shared" si="1"/>
        <v>0</v>
      </c>
      <c r="P21" s="258">
        <f t="shared" si="2"/>
        <v>0</v>
      </c>
      <c r="Q21" s="258"/>
      <c r="R21" s="259">
        <f t="shared" si="3"/>
        <v>0</v>
      </c>
      <c r="S21" s="258">
        <f t="shared" si="4"/>
        <v>0</v>
      </c>
      <c r="T21" s="258"/>
      <c r="U21" s="259">
        <f t="shared" si="5"/>
        <v>0</v>
      </c>
      <c r="V21" s="258">
        <f t="shared" si="6"/>
        <v>0</v>
      </c>
      <c r="W21" s="258"/>
      <c r="X21" s="259">
        <f t="shared" si="7"/>
        <v>0</v>
      </c>
      <c r="Y21" s="258">
        <v>0</v>
      </c>
      <c r="Z21" s="259">
        <f t="shared" si="8"/>
        <v>0</v>
      </c>
      <c r="AA21" s="258">
        <v>0</v>
      </c>
      <c r="AB21" s="24">
        <v>1</v>
      </c>
      <c r="AC21" s="260">
        <f t="shared" si="15"/>
        <v>0</v>
      </c>
      <c r="AD21" s="297">
        <f t="shared" si="16"/>
        <v>0</v>
      </c>
      <c r="AE21" s="261">
        <f t="shared" si="17"/>
        <v>0</v>
      </c>
      <c r="AF21" s="262">
        <f t="shared" si="17"/>
        <v>0</v>
      </c>
      <c r="AG21" s="254"/>
      <c r="AI21" s="153">
        <f t="shared" si="18"/>
        <v>0</v>
      </c>
      <c r="AJ21" s="156">
        <f t="shared" si="19"/>
        <v>0</v>
      </c>
      <c r="AK21" s="147">
        <f t="shared" si="9"/>
        <v>0</v>
      </c>
      <c r="AM21" s="160">
        <f t="shared" si="10"/>
        <v>0</v>
      </c>
      <c r="AN21" s="150">
        <f t="shared" si="20"/>
        <v>0</v>
      </c>
      <c r="AP21" s="21">
        <f t="shared" si="11"/>
        <v>1</v>
      </c>
      <c r="AQ21" s="169">
        <f t="shared" si="21"/>
        <v>0</v>
      </c>
      <c r="AR21" s="263">
        <f t="shared" si="12"/>
        <v>0</v>
      </c>
    </row>
    <row r="22" spans="2:44" hidden="1">
      <c r="B22" s="21">
        <f>'MaterialCosts Summary'!B22</f>
        <v>14</v>
      </c>
      <c r="C22" s="26"/>
      <c r="D22" s="23">
        <f>'MaterialCosts Summary'!D22</f>
        <v>0</v>
      </c>
      <c r="E22" s="256">
        <f>'MaterialCosts Summary'!E22</f>
        <v>0</v>
      </c>
      <c r="F22" s="257">
        <v>0</v>
      </c>
      <c r="G22" s="257">
        <v>0</v>
      </c>
      <c r="H22" s="257">
        <v>0</v>
      </c>
      <c r="I22" s="258">
        <f t="shared" si="13"/>
        <v>0</v>
      </c>
      <c r="J22" s="258"/>
      <c r="K22" s="259">
        <f t="shared" si="14"/>
        <v>0</v>
      </c>
      <c r="L22" s="258">
        <v>0</v>
      </c>
      <c r="M22" s="259">
        <f t="shared" si="0"/>
        <v>0</v>
      </c>
      <c r="N22" s="258">
        <v>0</v>
      </c>
      <c r="O22" s="259">
        <f t="shared" si="1"/>
        <v>0</v>
      </c>
      <c r="P22" s="258">
        <f t="shared" si="2"/>
        <v>0</v>
      </c>
      <c r="Q22" s="258"/>
      <c r="R22" s="259">
        <f t="shared" si="3"/>
        <v>0</v>
      </c>
      <c r="S22" s="258">
        <f t="shared" si="4"/>
        <v>0</v>
      </c>
      <c r="T22" s="258"/>
      <c r="U22" s="259">
        <f t="shared" si="5"/>
        <v>0</v>
      </c>
      <c r="V22" s="258">
        <f t="shared" si="6"/>
        <v>0</v>
      </c>
      <c r="W22" s="258"/>
      <c r="X22" s="259">
        <f t="shared" si="7"/>
        <v>0</v>
      </c>
      <c r="Y22" s="258">
        <v>0</v>
      </c>
      <c r="Z22" s="259">
        <f t="shared" si="8"/>
        <v>0</v>
      </c>
      <c r="AA22" s="258">
        <v>0</v>
      </c>
      <c r="AB22" s="24">
        <v>1</v>
      </c>
      <c r="AC22" s="260">
        <f t="shared" si="15"/>
        <v>0</v>
      </c>
      <c r="AD22" s="298">
        <f t="shared" si="16"/>
        <v>0</v>
      </c>
      <c r="AE22" s="261">
        <f t="shared" si="17"/>
        <v>0</v>
      </c>
      <c r="AF22" s="262">
        <f t="shared" si="17"/>
        <v>0</v>
      </c>
      <c r="AG22" s="254"/>
      <c r="AI22" s="153">
        <f t="shared" si="18"/>
        <v>0</v>
      </c>
      <c r="AJ22" s="156">
        <f t="shared" si="19"/>
        <v>0</v>
      </c>
      <c r="AK22" s="147">
        <f t="shared" si="9"/>
        <v>0</v>
      </c>
      <c r="AM22" s="160">
        <f t="shared" si="10"/>
        <v>0</v>
      </c>
      <c r="AN22" s="150">
        <f t="shared" si="20"/>
        <v>0</v>
      </c>
      <c r="AP22" s="21">
        <f t="shared" si="11"/>
        <v>1</v>
      </c>
      <c r="AQ22" s="169">
        <f t="shared" si="21"/>
        <v>0</v>
      </c>
      <c r="AR22" s="263">
        <f t="shared" si="12"/>
        <v>0</v>
      </c>
    </row>
    <row r="23" spans="2:44" hidden="1">
      <c r="B23" s="21">
        <f>'MaterialCosts Summary'!B23</f>
        <v>15</v>
      </c>
      <c r="C23" s="26"/>
      <c r="D23" s="23">
        <f>'MaterialCosts Summary'!D23</f>
        <v>0</v>
      </c>
      <c r="E23" s="256">
        <f>'MaterialCosts Summary'!E23</f>
        <v>0</v>
      </c>
      <c r="F23" s="257">
        <v>0</v>
      </c>
      <c r="G23" s="257">
        <v>0</v>
      </c>
      <c r="H23" s="257">
        <v>0</v>
      </c>
      <c r="I23" s="258">
        <f t="shared" si="13"/>
        <v>0</v>
      </c>
      <c r="J23" s="258"/>
      <c r="K23" s="259">
        <f t="shared" si="14"/>
        <v>0</v>
      </c>
      <c r="L23" s="258">
        <v>0</v>
      </c>
      <c r="M23" s="259">
        <f t="shared" si="0"/>
        <v>0</v>
      </c>
      <c r="N23" s="258">
        <v>0</v>
      </c>
      <c r="O23" s="259">
        <f t="shared" si="1"/>
        <v>0</v>
      </c>
      <c r="P23" s="258">
        <f t="shared" si="2"/>
        <v>0</v>
      </c>
      <c r="Q23" s="258"/>
      <c r="R23" s="259">
        <f t="shared" si="3"/>
        <v>0</v>
      </c>
      <c r="S23" s="258">
        <f t="shared" si="4"/>
        <v>0</v>
      </c>
      <c r="T23" s="258"/>
      <c r="U23" s="259">
        <f t="shared" si="5"/>
        <v>0</v>
      </c>
      <c r="V23" s="258">
        <f t="shared" si="6"/>
        <v>0</v>
      </c>
      <c r="W23" s="258"/>
      <c r="X23" s="259">
        <f t="shared" si="7"/>
        <v>0</v>
      </c>
      <c r="Y23" s="258">
        <v>0</v>
      </c>
      <c r="Z23" s="259">
        <f t="shared" si="8"/>
        <v>0</v>
      </c>
      <c r="AA23" s="258">
        <v>0</v>
      </c>
      <c r="AB23" s="24">
        <v>1</v>
      </c>
      <c r="AC23" s="260">
        <f t="shared" si="15"/>
        <v>0</v>
      </c>
      <c r="AD23" s="299">
        <f t="shared" si="16"/>
        <v>0</v>
      </c>
      <c r="AE23" s="261">
        <f t="shared" si="17"/>
        <v>0</v>
      </c>
      <c r="AF23" s="262">
        <f t="shared" si="17"/>
        <v>0</v>
      </c>
      <c r="AG23" s="254"/>
      <c r="AI23" s="153">
        <f t="shared" si="18"/>
        <v>0</v>
      </c>
      <c r="AJ23" s="156">
        <f t="shared" si="19"/>
        <v>0</v>
      </c>
      <c r="AK23" s="147">
        <f t="shared" si="9"/>
        <v>0</v>
      </c>
      <c r="AM23" s="160">
        <f t="shared" si="10"/>
        <v>0</v>
      </c>
      <c r="AN23" s="150">
        <f t="shared" si="20"/>
        <v>0</v>
      </c>
      <c r="AP23" s="21">
        <f t="shared" si="11"/>
        <v>1</v>
      </c>
      <c r="AQ23" s="169">
        <f t="shared" si="21"/>
        <v>0</v>
      </c>
      <c r="AR23" s="263">
        <f t="shared" si="12"/>
        <v>0</v>
      </c>
    </row>
    <row r="24" spans="2:44" hidden="1">
      <c r="B24" s="21">
        <f>'MaterialCosts Summary'!B24</f>
        <v>16</v>
      </c>
      <c r="C24" s="26"/>
      <c r="D24" s="23">
        <f>'MaterialCosts Summary'!D24</f>
        <v>0</v>
      </c>
      <c r="E24" s="256">
        <f>'MaterialCosts Summary'!E24</f>
        <v>0</v>
      </c>
      <c r="F24" s="257">
        <v>0</v>
      </c>
      <c r="G24" s="257">
        <v>0</v>
      </c>
      <c r="H24" s="257">
        <v>0</v>
      </c>
      <c r="I24" s="258">
        <f t="shared" si="13"/>
        <v>0</v>
      </c>
      <c r="J24" s="258"/>
      <c r="K24" s="259">
        <f t="shared" si="14"/>
        <v>0</v>
      </c>
      <c r="L24" s="258">
        <v>0</v>
      </c>
      <c r="M24" s="259">
        <f t="shared" si="0"/>
        <v>0</v>
      </c>
      <c r="N24" s="258">
        <v>0</v>
      </c>
      <c r="O24" s="259">
        <f t="shared" si="1"/>
        <v>0</v>
      </c>
      <c r="P24" s="258">
        <f t="shared" si="2"/>
        <v>0</v>
      </c>
      <c r="Q24" s="258"/>
      <c r="R24" s="259">
        <f t="shared" si="3"/>
        <v>0</v>
      </c>
      <c r="S24" s="258">
        <f t="shared" si="4"/>
        <v>0</v>
      </c>
      <c r="T24" s="258"/>
      <c r="U24" s="259">
        <f t="shared" si="5"/>
        <v>0</v>
      </c>
      <c r="V24" s="258">
        <f t="shared" si="6"/>
        <v>0</v>
      </c>
      <c r="W24" s="258"/>
      <c r="X24" s="259">
        <f t="shared" si="7"/>
        <v>0</v>
      </c>
      <c r="Y24" s="258">
        <v>0</v>
      </c>
      <c r="Z24" s="259">
        <f t="shared" si="8"/>
        <v>0</v>
      </c>
      <c r="AA24" s="258">
        <v>0</v>
      </c>
      <c r="AB24" s="24">
        <v>1</v>
      </c>
      <c r="AC24" s="260">
        <f t="shared" si="15"/>
        <v>0</v>
      </c>
      <c r="AD24" s="299">
        <f t="shared" si="16"/>
        <v>0</v>
      </c>
      <c r="AE24" s="261">
        <f t="shared" si="17"/>
        <v>0</v>
      </c>
      <c r="AF24" s="262">
        <f t="shared" si="17"/>
        <v>0</v>
      </c>
      <c r="AG24" s="254"/>
      <c r="AI24" s="153">
        <f t="shared" si="18"/>
        <v>0</v>
      </c>
      <c r="AJ24" s="156">
        <f t="shared" si="19"/>
        <v>0</v>
      </c>
      <c r="AK24" s="147">
        <f t="shared" si="9"/>
        <v>0</v>
      </c>
      <c r="AM24" s="160">
        <f t="shared" si="10"/>
        <v>0</v>
      </c>
      <c r="AN24" s="150">
        <f t="shared" si="20"/>
        <v>0</v>
      </c>
      <c r="AP24" s="21">
        <f t="shared" si="11"/>
        <v>1</v>
      </c>
      <c r="AQ24" s="169">
        <f t="shared" si="21"/>
        <v>0</v>
      </c>
      <c r="AR24" s="263">
        <f t="shared" si="12"/>
        <v>0</v>
      </c>
    </row>
    <row r="25" spans="2:44" hidden="1">
      <c r="B25" s="21">
        <f>'MaterialCosts Summary'!B25</f>
        <v>17</v>
      </c>
      <c r="C25" s="26"/>
      <c r="D25" s="23">
        <f>'MaterialCosts Summary'!D25</f>
        <v>0</v>
      </c>
      <c r="E25" s="256">
        <f>'MaterialCosts Summary'!E25</f>
        <v>0</v>
      </c>
      <c r="F25" s="257">
        <v>0</v>
      </c>
      <c r="G25" s="257">
        <v>0</v>
      </c>
      <c r="H25" s="257">
        <v>0</v>
      </c>
      <c r="I25" s="258">
        <f t="shared" si="13"/>
        <v>0</v>
      </c>
      <c r="J25" s="258"/>
      <c r="K25" s="259">
        <f t="shared" si="14"/>
        <v>0</v>
      </c>
      <c r="L25" s="258">
        <v>0</v>
      </c>
      <c r="M25" s="259">
        <f t="shared" si="0"/>
        <v>0</v>
      </c>
      <c r="N25" s="258">
        <v>0</v>
      </c>
      <c r="O25" s="259">
        <f t="shared" si="1"/>
        <v>0</v>
      </c>
      <c r="P25" s="258">
        <f t="shared" si="2"/>
        <v>0</v>
      </c>
      <c r="Q25" s="258"/>
      <c r="R25" s="259">
        <f t="shared" si="3"/>
        <v>0</v>
      </c>
      <c r="S25" s="258">
        <f t="shared" si="4"/>
        <v>0</v>
      </c>
      <c r="T25" s="258"/>
      <c r="U25" s="259">
        <f t="shared" si="5"/>
        <v>0</v>
      </c>
      <c r="V25" s="258">
        <f t="shared" si="6"/>
        <v>0</v>
      </c>
      <c r="W25" s="258"/>
      <c r="X25" s="259">
        <f t="shared" si="7"/>
        <v>0</v>
      </c>
      <c r="Y25" s="258">
        <v>0</v>
      </c>
      <c r="Z25" s="259">
        <f t="shared" si="8"/>
        <v>0</v>
      </c>
      <c r="AA25" s="258">
        <v>0</v>
      </c>
      <c r="AB25" s="24">
        <v>1</v>
      </c>
      <c r="AC25" s="260">
        <f t="shared" si="15"/>
        <v>0</v>
      </c>
      <c r="AD25" s="297">
        <f t="shared" si="16"/>
        <v>0</v>
      </c>
      <c r="AE25" s="261">
        <f t="shared" si="17"/>
        <v>0</v>
      </c>
      <c r="AF25" s="262">
        <f t="shared" si="17"/>
        <v>0</v>
      </c>
      <c r="AG25" s="254"/>
      <c r="AI25" s="153">
        <f t="shared" si="18"/>
        <v>0</v>
      </c>
      <c r="AJ25" s="156">
        <f t="shared" si="19"/>
        <v>0</v>
      </c>
      <c r="AK25" s="147">
        <f t="shared" si="9"/>
        <v>0</v>
      </c>
      <c r="AM25" s="160">
        <f t="shared" si="10"/>
        <v>0</v>
      </c>
      <c r="AN25" s="150">
        <f t="shared" si="20"/>
        <v>0</v>
      </c>
      <c r="AP25" s="21">
        <f t="shared" si="11"/>
        <v>1</v>
      </c>
      <c r="AQ25" s="169">
        <f t="shared" si="21"/>
        <v>0</v>
      </c>
      <c r="AR25" s="263">
        <f t="shared" si="12"/>
        <v>0</v>
      </c>
    </row>
    <row r="26" spans="2:44" hidden="1">
      <c r="B26" s="21">
        <f>'MaterialCosts Summary'!B26</f>
        <v>18</v>
      </c>
      <c r="C26" s="26"/>
      <c r="D26" s="23">
        <f>'MaterialCosts Summary'!D26</f>
        <v>0</v>
      </c>
      <c r="E26" s="256">
        <f>'MaterialCosts Summary'!E26</f>
        <v>0</v>
      </c>
      <c r="F26" s="257">
        <v>0</v>
      </c>
      <c r="G26" s="257">
        <v>0</v>
      </c>
      <c r="H26" s="257">
        <v>0</v>
      </c>
      <c r="I26" s="258">
        <f t="shared" si="13"/>
        <v>0</v>
      </c>
      <c r="J26" s="258"/>
      <c r="K26" s="259">
        <f t="shared" si="14"/>
        <v>0</v>
      </c>
      <c r="L26" s="258">
        <v>0</v>
      </c>
      <c r="M26" s="259">
        <f t="shared" si="0"/>
        <v>0</v>
      </c>
      <c r="N26" s="258">
        <v>0</v>
      </c>
      <c r="O26" s="259">
        <f t="shared" si="1"/>
        <v>0</v>
      </c>
      <c r="P26" s="258">
        <f t="shared" si="2"/>
        <v>0</v>
      </c>
      <c r="Q26" s="258"/>
      <c r="R26" s="259">
        <f t="shared" si="3"/>
        <v>0</v>
      </c>
      <c r="S26" s="258">
        <f t="shared" si="4"/>
        <v>0</v>
      </c>
      <c r="T26" s="258"/>
      <c r="U26" s="259">
        <f t="shared" si="5"/>
        <v>0</v>
      </c>
      <c r="V26" s="258">
        <f t="shared" si="6"/>
        <v>0</v>
      </c>
      <c r="W26" s="258"/>
      <c r="X26" s="259">
        <f t="shared" si="7"/>
        <v>0</v>
      </c>
      <c r="Y26" s="258">
        <v>0</v>
      </c>
      <c r="Z26" s="259">
        <f t="shared" si="8"/>
        <v>0</v>
      </c>
      <c r="AA26" s="258">
        <v>0</v>
      </c>
      <c r="AB26" s="24">
        <v>1</v>
      </c>
      <c r="AC26" s="260">
        <f t="shared" si="15"/>
        <v>0</v>
      </c>
      <c r="AD26" s="298">
        <f t="shared" si="16"/>
        <v>0</v>
      </c>
      <c r="AE26" s="261">
        <f t="shared" si="17"/>
        <v>0</v>
      </c>
      <c r="AF26" s="262">
        <f t="shared" si="17"/>
        <v>0</v>
      </c>
      <c r="AG26" s="254"/>
      <c r="AI26" s="153">
        <f t="shared" si="18"/>
        <v>0</v>
      </c>
      <c r="AJ26" s="156">
        <f t="shared" si="19"/>
        <v>0</v>
      </c>
      <c r="AK26" s="147">
        <f t="shared" si="9"/>
        <v>0</v>
      </c>
      <c r="AM26" s="160">
        <f t="shared" si="10"/>
        <v>0</v>
      </c>
      <c r="AN26" s="150">
        <f t="shared" si="20"/>
        <v>0</v>
      </c>
      <c r="AP26" s="21">
        <f t="shared" si="11"/>
        <v>1</v>
      </c>
      <c r="AQ26" s="169">
        <f t="shared" si="21"/>
        <v>0</v>
      </c>
      <c r="AR26" s="263">
        <f t="shared" si="12"/>
        <v>0</v>
      </c>
    </row>
    <row r="27" spans="2:44" hidden="1">
      <c r="B27" s="21">
        <f>'MaterialCosts Summary'!B27</f>
        <v>19</v>
      </c>
      <c r="C27" s="26"/>
      <c r="D27" s="23">
        <f>'MaterialCosts Summary'!D27</f>
        <v>0</v>
      </c>
      <c r="E27" s="256">
        <f>'MaterialCosts Summary'!E27</f>
        <v>0</v>
      </c>
      <c r="F27" s="257">
        <v>0</v>
      </c>
      <c r="G27" s="257">
        <v>0</v>
      </c>
      <c r="H27" s="257">
        <v>0</v>
      </c>
      <c r="I27" s="258">
        <f t="shared" si="13"/>
        <v>0</v>
      </c>
      <c r="J27" s="258"/>
      <c r="K27" s="259">
        <f t="shared" si="14"/>
        <v>0</v>
      </c>
      <c r="L27" s="258">
        <v>0</v>
      </c>
      <c r="M27" s="259">
        <f t="shared" si="0"/>
        <v>0</v>
      </c>
      <c r="N27" s="258">
        <v>0</v>
      </c>
      <c r="O27" s="259">
        <f t="shared" si="1"/>
        <v>0</v>
      </c>
      <c r="P27" s="258">
        <f t="shared" si="2"/>
        <v>0</v>
      </c>
      <c r="Q27" s="258"/>
      <c r="R27" s="259">
        <f t="shared" si="3"/>
        <v>0</v>
      </c>
      <c r="S27" s="258">
        <f t="shared" si="4"/>
        <v>0</v>
      </c>
      <c r="T27" s="258"/>
      <c r="U27" s="259">
        <f t="shared" si="5"/>
        <v>0</v>
      </c>
      <c r="V27" s="258">
        <f t="shared" si="6"/>
        <v>0</v>
      </c>
      <c r="W27" s="258"/>
      <c r="X27" s="259">
        <f t="shared" si="7"/>
        <v>0</v>
      </c>
      <c r="Y27" s="258">
        <v>0</v>
      </c>
      <c r="Z27" s="259">
        <f t="shared" si="8"/>
        <v>0</v>
      </c>
      <c r="AA27" s="258">
        <v>0</v>
      </c>
      <c r="AB27" s="24">
        <v>1</v>
      </c>
      <c r="AC27" s="260">
        <f t="shared" si="15"/>
        <v>0</v>
      </c>
      <c r="AD27" s="299">
        <f t="shared" si="16"/>
        <v>0</v>
      </c>
      <c r="AE27" s="261">
        <f t="shared" si="17"/>
        <v>0</v>
      </c>
      <c r="AF27" s="262">
        <f t="shared" si="17"/>
        <v>0</v>
      </c>
      <c r="AG27" s="254"/>
      <c r="AI27" s="153">
        <f t="shared" si="18"/>
        <v>0</v>
      </c>
      <c r="AJ27" s="156">
        <f t="shared" si="19"/>
        <v>0</v>
      </c>
      <c r="AK27" s="147">
        <f t="shared" si="9"/>
        <v>0</v>
      </c>
      <c r="AM27" s="160">
        <f t="shared" si="10"/>
        <v>0</v>
      </c>
      <c r="AN27" s="150">
        <f t="shared" si="20"/>
        <v>0</v>
      </c>
      <c r="AP27" s="21">
        <f t="shared" si="11"/>
        <v>1</v>
      </c>
      <c r="AQ27" s="169">
        <f t="shared" si="21"/>
        <v>0</v>
      </c>
      <c r="AR27" s="263">
        <f t="shared" si="12"/>
        <v>0</v>
      </c>
    </row>
    <row r="28" spans="2:44" hidden="1">
      <c r="B28" s="21">
        <f>'MaterialCosts Summary'!B28</f>
        <v>20</v>
      </c>
      <c r="C28" s="26"/>
      <c r="D28" s="23">
        <f>'MaterialCosts Summary'!D28</f>
        <v>0</v>
      </c>
      <c r="E28" s="256">
        <f>'MaterialCosts Summary'!E28</f>
        <v>0</v>
      </c>
      <c r="F28" s="257">
        <v>0</v>
      </c>
      <c r="G28" s="257">
        <v>0</v>
      </c>
      <c r="H28" s="257">
        <v>0</v>
      </c>
      <c r="I28" s="258">
        <f t="shared" si="13"/>
        <v>0</v>
      </c>
      <c r="J28" s="258"/>
      <c r="K28" s="259">
        <f t="shared" si="14"/>
        <v>0</v>
      </c>
      <c r="L28" s="258">
        <v>0</v>
      </c>
      <c r="M28" s="259">
        <f t="shared" si="0"/>
        <v>0</v>
      </c>
      <c r="N28" s="258">
        <v>0</v>
      </c>
      <c r="O28" s="259">
        <f t="shared" si="1"/>
        <v>0</v>
      </c>
      <c r="P28" s="258">
        <f t="shared" si="2"/>
        <v>0</v>
      </c>
      <c r="Q28" s="258"/>
      <c r="R28" s="259">
        <f t="shared" si="3"/>
        <v>0</v>
      </c>
      <c r="S28" s="258">
        <f t="shared" si="4"/>
        <v>0</v>
      </c>
      <c r="T28" s="258"/>
      <c r="U28" s="259">
        <f t="shared" si="5"/>
        <v>0</v>
      </c>
      <c r="V28" s="258">
        <f t="shared" si="6"/>
        <v>0</v>
      </c>
      <c r="W28" s="258"/>
      <c r="X28" s="259">
        <f t="shared" si="7"/>
        <v>0</v>
      </c>
      <c r="Y28" s="258">
        <v>0</v>
      </c>
      <c r="Z28" s="259">
        <f t="shared" si="8"/>
        <v>0</v>
      </c>
      <c r="AA28" s="258">
        <v>0</v>
      </c>
      <c r="AB28" s="24">
        <v>1</v>
      </c>
      <c r="AC28" s="260">
        <f t="shared" si="15"/>
        <v>0</v>
      </c>
      <c r="AD28" s="299">
        <f t="shared" si="16"/>
        <v>0</v>
      </c>
      <c r="AE28" s="261">
        <f t="shared" si="17"/>
        <v>0</v>
      </c>
      <c r="AF28" s="262">
        <f t="shared" si="17"/>
        <v>0</v>
      </c>
      <c r="AG28" s="254"/>
      <c r="AI28" s="153">
        <f t="shared" si="18"/>
        <v>0</v>
      </c>
      <c r="AJ28" s="156">
        <f t="shared" si="19"/>
        <v>0</v>
      </c>
      <c r="AK28" s="147">
        <f t="shared" si="9"/>
        <v>0</v>
      </c>
      <c r="AM28" s="160">
        <f t="shared" si="10"/>
        <v>0</v>
      </c>
      <c r="AN28" s="150">
        <f t="shared" si="20"/>
        <v>0</v>
      </c>
      <c r="AP28" s="21">
        <f t="shared" si="11"/>
        <v>1</v>
      </c>
      <c r="AQ28" s="169">
        <f t="shared" si="21"/>
        <v>0</v>
      </c>
      <c r="AR28" s="263">
        <f t="shared" si="12"/>
        <v>0</v>
      </c>
    </row>
    <row r="29" spans="2:44" hidden="1">
      <c r="B29" s="21">
        <f>'MaterialCosts Summary'!B29</f>
        <v>21</v>
      </c>
      <c r="C29" s="26"/>
      <c r="D29" s="23">
        <f>'MaterialCosts Summary'!D29</f>
        <v>0</v>
      </c>
      <c r="E29" s="256">
        <f>'MaterialCosts Summary'!E29</f>
        <v>0</v>
      </c>
      <c r="F29" s="257">
        <v>0</v>
      </c>
      <c r="G29" s="257">
        <v>0</v>
      </c>
      <c r="H29" s="257">
        <v>0</v>
      </c>
      <c r="I29" s="258">
        <f t="shared" si="13"/>
        <v>0</v>
      </c>
      <c r="J29" s="258"/>
      <c r="K29" s="259">
        <f t="shared" si="14"/>
        <v>0</v>
      </c>
      <c r="L29" s="258">
        <v>0</v>
      </c>
      <c r="M29" s="259">
        <f t="shared" si="0"/>
        <v>0</v>
      </c>
      <c r="N29" s="258">
        <v>0</v>
      </c>
      <c r="O29" s="259">
        <f t="shared" si="1"/>
        <v>0</v>
      </c>
      <c r="P29" s="258">
        <f t="shared" si="2"/>
        <v>0</v>
      </c>
      <c r="Q29" s="258"/>
      <c r="R29" s="259">
        <f t="shared" si="3"/>
        <v>0</v>
      </c>
      <c r="S29" s="258">
        <f t="shared" si="4"/>
        <v>0</v>
      </c>
      <c r="T29" s="258"/>
      <c r="U29" s="259">
        <f t="shared" si="5"/>
        <v>0</v>
      </c>
      <c r="V29" s="258">
        <f t="shared" si="6"/>
        <v>0</v>
      </c>
      <c r="W29" s="258"/>
      <c r="X29" s="259">
        <f t="shared" si="7"/>
        <v>0</v>
      </c>
      <c r="Y29" s="264">
        <v>0</v>
      </c>
      <c r="Z29" s="265">
        <f t="shared" si="8"/>
        <v>0</v>
      </c>
      <c r="AA29" s="264">
        <v>0</v>
      </c>
      <c r="AB29" s="24">
        <v>1</v>
      </c>
      <c r="AC29" s="260">
        <f t="shared" si="15"/>
        <v>0</v>
      </c>
      <c r="AD29" s="297">
        <f t="shared" si="16"/>
        <v>0</v>
      </c>
      <c r="AE29" s="261">
        <f t="shared" si="17"/>
        <v>0</v>
      </c>
      <c r="AF29" s="262">
        <f t="shared" si="17"/>
        <v>0</v>
      </c>
      <c r="AG29" s="254"/>
      <c r="AI29" s="153">
        <f t="shared" si="18"/>
        <v>0</v>
      </c>
      <c r="AJ29" s="156">
        <f t="shared" si="19"/>
        <v>0</v>
      </c>
      <c r="AK29" s="147">
        <f t="shared" si="9"/>
        <v>0</v>
      </c>
      <c r="AM29" s="160">
        <f t="shared" si="10"/>
        <v>0</v>
      </c>
      <c r="AN29" s="150">
        <f t="shared" si="20"/>
        <v>0</v>
      </c>
      <c r="AP29" s="21">
        <f t="shared" si="11"/>
        <v>1</v>
      </c>
      <c r="AQ29" s="169">
        <f t="shared" si="21"/>
        <v>0</v>
      </c>
      <c r="AR29" s="263">
        <f t="shared" si="12"/>
        <v>0</v>
      </c>
    </row>
    <row r="30" spans="2:44" hidden="1">
      <c r="B30" s="21">
        <f>'MaterialCosts Summary'!B30</f>
        <v>22</v>
      </c>
      <c r="C30" s="26"/>
      <c r="D30" s="23">
        <f>'MaterialCosts Summary'!D30</f>
        <v>0</v>
      </c>
      <c r="E30" s="256">
        <f>'MaterialCosts Summary'!E30</f>
        <v>0</v>
      </c>
      <c r="F30" s="257">
        <v>0</v>
      </c>
      <c r="G30" s="257">
        <v>0</v>
      </c>
      <c r="H30" s="257">
        <v>0</v>
      </c>
      <c r="I30" s="258">
        <f t="shared" si="13"/>
        <v>0</v>
      </c>
      <c r="J30" s="258"/>
      <c r="K30" s="259">
        <f t="shared" si="14"/>
        <v>0</v>
      </c>
      <c r="L30" s="258">
        <v>0</v>
      </c>
      <c r="M30" s="259">
        <f t="shared" si="0"/>
        <v>0</v>
      </c>
      <c r="N30" s="258">
        <v>0</v>
      </c>
      <c r="O30" s="259">
        <f t="shared" si="1"/>
        <v>0</v>
      </c>
      <c r="P30" s="258">
        <f t="shared" si="2"/>
        <v>0</v>
      </c>
      <c r="Q30" s="258"/>
      <c r="R30" s="259">
        <f t="shared" si="3"/>
        <v>0</v>
      </c>
      <c r="S30" s="258">
        <f t="shared" si="4"/>
        <v>0</v>
      </c>
      <c r="T30" s="258"/>
      <c r="U30" s="259">
        <f t="shared" si="5"/>
        <v>0</v>
      </c>
      <c r="V30" s="258">
        <f t="shared" si="6"/>
        <v>0</v>
      </c>
      <c r="W30" s="258"/>
      <c r="X30" s="259">
        <f t="shared" si="7"/>
        <v>0</v>
      </c>
      <c r="Y30" s="258">
        <v>0</v>
      </c>
      <c r="Z30" s="259">
        <f t="shared" si="8"/>
        <v>0</v>
      </c>
      <c r="AA30" s="258">
        <v>0</v>
      </c>
      <c r="AB30" s="24">
        <v>1</v>
      </c>
      <c r="AC30" s="260">
        <f t="shared" si="15"/>
        <v>0</v>
      </c>
      <c r="AD30" s="298">
        <f t="shared" si="16"/>
        <v>0</v>
      </c>
      <c r="AE30" s="261">
        <f t="shared" si="17"/>
        <v>0</v>
      </c>
      <c r="AF30" s="262">
        <f t="shared" si="17"/>
        <v>0</v>
      </c>
      <c r="AG30" s="254"/>
      <c r="AI30" s="153">
        <f t="shared" si="18"/>
        <v>0</v>
      </c>
      <c r="AJ30" s="156">
        <f t="shared" si="19"/>
        <v>0</v>
      </c>
      <c r="AK30" s="147">
        <f t="shared" si="9"/>
        <v>0</v>
      </c>
      <c r="AM30" s="160">
        <f t="shared" si="10"/>
        <v>0</v>
      </c>
      <c r="AN30" s="150">
        <f t="shared" si="20"/>
        <v>0</v>
      </c>
      <c r="AP30" s="21">
        <f t="shared" si="11"/>
        <v>1</v>
      </c>
      <c r="AQ30" s="169">
        <f t="shared" si="21"/>
        <v>0</v>
      </c>
      <c r="AR30" s="263">
        <f t="shared" si="12"/>
        <v>0</v>
      </c>
    </row>
    <row r="31" spans="2:44" hidden="1">
      <c r="B31" s="21">
        <f>'MaterialCosts Summary'!B31</f>
        <v>23</v>
      </c>
      <c r="C31" s="26"/>
      <c r="D31" s="23">
        <f>'MaterialCosts Summary'!D31</f>
        <v>0</v>
      </c>
      <c r="E31" s="256">
        <f>'MaterialCosts Summary'!E31</f>
        <v>0</v>
      </c>
      <c r="F31" s="257">
        <v>0</v>
      </c>
      <c r="G31" s="257">
        <v>0</v>
      </c>
      <c r="H31" s="257">
        <v>0</v>
      </c>
      <c r="I31" s="258">
        <f t="shared" si="13"/>
        <v>0</v>
      </c>
      <c r="J31" s="258"/>
      <c r="K31" s="259">
        <f t="shared" si="14"/>
        <v>0</v>
      </c>
      <c r="L31" s="258">
        <v>0</v>
      </c>
      <c r="M31" s="259">
        <f t="shared" si="0"/>
        <v>0</v>
      </c>
      <c r="N31" s="258">
        <v>0</v>
      </c>
      <c r="O31" s="259">
        <f t="shared" si="1"/>
        <v>0</v>
      </c>
      <c r="P31" s="258">
        <f t="shared" si="2"/>
        <v>0</v>
      </c>
      <c r="Q31" s="258"/>
      <c r="R31" s="259">
        <f t="shared" si="3"/>
        <v>0</v>
      </c>
      <c r="S31" s="258">
        <f t="shared" si="4"/>
        <v>0</v>
      </c>
      <c r="T31" s="258"/>
      <c r="U31" s="259">
        <f t="shared" si="5"/>
        <v>0</v>
      </c>
      <c r="V31" s="258">
        <f t="shared" si="6"/>
        <v>0</v>
      </c>
      <c r="W31" s="258"/>
      <c r="X31" s="259">
        <f t="shared" si="7"/>
        <v>0</v>
      </c>
      <c r="Y31" s="258">
        <v>0</v>
      </c>
      <c r="Z31" s="259">
        <f t="shared" si="8"/>
        <v>0</v>
      </c>
      <c r="AA31" s="258">
        <v>0</v>
      </c>
      <c r="AB31" s="24">
        <v>1</v>
      </c>
      <c r="AC31" s="260">
        <f t="shared" si="15"/>
        <v>0</v>
      </c>
      <c r="AD31" s="299">
        <f t="shared" si="16"/>
        <v>0</v>
      </c>
      <c r="AE31" s="261">
        <f t="shared" si="17"/>
        <v>0</v>
      </c>
      <c r="AF31" s="262">
        <f t="shared" si="17"/>
        <v>0</v>
      </c>
      <c r="AG31" s="254"/>
      <c r="AI31" s="153">
        <f t="shared" si="18"/>
        <v>0</v>
      </c>
      <c r="AJ31" s="156">
        <f t="shared" si="19"/>
        <v>0</v>
      </c>
      <c r="AK31" s="147">
        <f t="shared" si="9"/>
        <v>0</v>
      </c>
      <c r="AM31" s="160">
        <f t="shared" si="10"/>
        <v>0</v>
      </c>
      <c r="AN31" s="150">
        <f t="shared" si="20"/>
        <v>0</v>
      </c>
      <c r="AP31" s="21">
        <f t="shared" si="11"/>
        <v>1</v>
      </c>
      <c r="AQ31" s="169">
        <f t="shared" si="21"/>
        <v>0</v>
      </c>
      <c r="AR31" s="263">
        <f t="shared" si="12"/>
        <v>0</v>
      </c>
    </row>
    <row r="32" spans="2:44" hidden="1">
      <c r="B32" s="21">
        <f>'MaterialCosts Summary'!B32</f>
        <v>24</v>
      </c>
      <c r="C32" s="26"/>
      <c r="D32" s="23">
        <f>'MaterialCosts Summary'!D32</f>
        <v>0</v>
      </c>
      <c r="E32" s="256">
        <f>'MaterialCosts Summary'!E32</f>
        <v>0</v>
      </c>
      <c r="F32" s="257">
        <v>0</v>
      </c>
      <c r="G32" s="257">
        <v>0</v>
      </c>
      <c r="H32" s="257">
        <v>0</v>
      </c>
      <c r="I32" s="258">
        <f t="shared" si="13"/>
        <v>0</v>
      </c>
      <c r="J32" s="258"/>
      <c r="K32" s="259">
        <f t="shared" si="14"/>
        <v>0</v>
      </c>
      <c r="L32" s="258">
        <v>0</v>
      </c>
      <c r="M32" s="259">
        <f t="shared" si="0"/>
        <v>0</v>
      </c>
      <c r="N32" s="258">
        <v>0</v>
      </c>
      <c r="O32" s="259">
        <f t="shared" si="1"/>
        <v>0</v>
      </c>
      <c r="P32" s="258">
        <f t="shared" si="2"/>
        <v>0</v>
      </c>
      <c r="Q32" s="258"/>
      <c r="R32" s="259">
        <f t="shared" si="3"/>
        <v>0</v>
      </c>
      <c r="S32" s="258">
        <f t="shared" si="4"/>
        <v>0</v>
      </c>
      <c r="T32" s="258"/>
      <c r="U32" s="259">
        <f t="shared" si="5"/>
        <v>0</v>
      </c>
      <c r="V32" s="258">
        <f t="shared" si="6"/>
        <v>0</v>
      </c>
      <c r="W32" s="258"/>
      <c r="X32" s="259">
        <f t="shared" si="7"/>
        <v>0</v>
      </c>
      <c r="Y32" s="258">
        <v>0</v>
      </c>
      <c r="Z32" s="259">
        <f t="shared" si="8"/>
        <v>0</v>
      </c>
      <c r="AA32" s="258">
        <v>0</v>
      </c>
      <c r="AB32" s="24">
        <v>1</v>
      </c>
      <c r="AC32" s="260">
        <f t="shared" si="15"/>
        <v>0</v>
      </c>
      <c r="AD32" s="299">
        <f t="shared" si="16"/>
        <v>0</v>
      </c>
      <c r="AE32" s="261">
        <f t="shared" si="17"/>
        <v>0</v>
      </c>
      <c r="AF32" s="262">
        <f t="shared" si="17"/>
        <v>0</v>
      </c>
      <c r="AG32" s="254"/>
      <c r="AI32" s="153">
        <f t="shared" si="18"/>
        <v>0</v>
      </c>
      <c r="AJ32" s="156">
        <f t="shared" si="19"/>
        <v>0</v>
      </c>
      <c r="AK32" s="147">
        <f t="shared" si="9"/>
        <v>0</v>
      </c>
      <c r="AM32" s="160">
        <f t="shared" si="10"/>
        <v>0</v>
      </c>
      <c r="AN32" s="150">
        <f t="shared" si="20"/>
        <v>0</v>
      </c>
      <c r="AP32" s="21">
        <f t="shared" si="11"/>
        <v>1</v>
      </c>
      <c r="AQ32" s="169">
        <f t="shared" si="21"/>
        <v>0</v>
      </c>
      <c r="AR32" s="263">
        <f t="shared" si="12"/>
        <v>0</v>
      </c>
    </row>
    <row r="33" spans="2:44" hidden="1">
      <c r="B33" s="21">
        <f>'MaterialCosts Summary'!B33</f>
        <v>25</v>
      </c>
      <c r="C33" s="26"/>
      <c r="D33" s="23">
        <f>'MaterialCosts Summary'!D33</f>
        <v>0</v>
      </c>
      <c r="E33" s="256">
        <f>'MaterialCosts Summary'!E33</f>
        <v>0</v>
      </c>
      <c r="F33" s="257">
        <v>0</v>
      </c>
      <c r="G33" s="257">
        <v>0</v>
      </c>
      <c r="H33" s="257">
        <v>0</v>
      </c>
      <c r="I33" s="258">
        <f t="shared" si="13"/>
        <v>0</v>
      </c>
      <c r="J33" s="258"/>
      <c r="K33" s="259">
        <f t="shared" si="14"/>
        <v>0</v>
      </c>
      <c r="L33" s="258">
        <v>0</v>
      </c>
      <c r="M33" s="259">
        <f t="shared" si="0"/>
        <v>0</v>
      </c>
      <c r="N33" s="258">
        <v>0</v>
      </c>
      <c r="O33" s="259">
        <f t="shared" si="1"/>
        <v>0</v>
      </c>
      <c r="P33" s="258">
        <f t="shared" si="2"/>
        <v>0</v>
      </c>
      <c r="Q33" s="258"/>
      <c r="R33" s="259">
        <f t="shared" si="3"/>
        <v>0</v>
      </c>
      <c r="S33" s="258">
        <f t="shared" si="4"/>
        <v>0</v>
      </c>
      <c r="T33" s="258"/>
      <c r="U33" s="259">
        <f t="shared" si="5"/>
        <v>0</v>
      </c>
      <c r="V33" s="258">
        <f t="shared" si="6"/>
        <v>0</v>
      </c>
      <c r="W33" s="258"/>
      <c r="X33" s="259">
        <f t="shared" si="7"/>
        <v>0</v>
      </c>
      <c r="Y33" s="258">
        <v>0</v>
      </c>
      <c r="Z33" s="259">
        <f t="shared" si="8"/>
        <v>0</v>
      </c>
      <c r="AA33" s="258">
        <v>0</v>
      </c>
      <c r="AB33" s="24">
        <v>1</v>
      </c>
      <c r="AC33" s="260">
        <f t="shared" si="15"/>
        <v>0</v>
      </c>
      <c r="AD33" s="297">
        <f t="shared" si="16"/>
        <v>0</v>
      </c>
      <c r="AE33" s="261">
        <f t="shared" si="17"/>
        <v>0</v>
      </c>
      <c r="AF33" s="262">
        <f t="shared" si="17"/>
        <v>0</v>
      </c>
      <c r="AG33" s="254"/>
      <c r="AI33" s="153">
        <f t="shared" si="18"/>
        <v>0</v>
      </c>
      <c r="AJ33" s="156">
        <f t="shared" si="19"/>
        <v>0</v>
      </c>
      <c r="AK33" s="147">
        <f t="shared" si="9"/>
        <v>0</v>
      </c>
      <c r="AM33" s="160">
        <f t="shared" si="10"/>
        <v>0</v>
      </c>
      <c r="AN33" s="150">
        <f t="shared" si="20"/>
        <v>0</v>
      </c>
      <c r="AP33" s="21">
        <f t="shared" si="11"/>
        <v>1</v>
      </c>
      <c r="AQ33" s="169">
        <f t="shared" si="21"/>
        <v>0</v>
      </c>
      <c r="AR33" s="263">
        <f t="shared" si="12"/>
        <v>0</v>
      </c>
    </row>
    <row r="34" spans="2:44" hidden="1">
      <c r="B34" s="21">
        <f>'MaterialCosts Summary'!B34</f>
        <v>26</v>
      </c>
      <c r="C34" s="26"/>
      <c r="D34" s="23">
        <f>'MaterialCosts Summary'!D34</f>
        <v>0</v>
      </c>
      <c r="E34" s="256">
        <f>'MaterialCosts Summary'!E34</f>
        <v>0</v>
      </c>
      <c r="F34" s="257">
        <v>0</v>
      </c>
      <c r="G34" s="257">
        <v>0</v>
      </c>
      <c r="H34" s="257">
        <v>0</v>
      </c>
      <c r="I34" s="258">
        <f t="shared" si="13"/>
        <v>0</v>
      </c>
      <c r="J34" s="258"/>
      <c r="K34" s="259">
        <f t="shared" si="14"/>
        <v>0</v>
      </c>
      <c r="L34" s="258">
        <v>0</v>
      </c>
      <c r="M34" s="259">
        <f t="shared" si="0"/>
        <v>0</v>
      </c>
      <c r="N34" s="258">
        <v>0</v>
      </c>
      <c r="O34" s="259">
        <f t="shared" si="1"/>
        <v>0</v>
      </c>
      <c r="P34" s="258">
        <f t="shared" si="2"/>
        <v>0</v>
      </c>
      <c r="Q34" s="258"/>
      <c r="R34" s="259">
        <f t="shared" si="3"/>
        <v>0</v>
      </c>
      <c r="S34" s="258">
        <f t="shared" si="4"/>
        <v>0</v>
      </c>
      <c r="T34" s="258"/>
      <c r="U34" s="259">
        <f t="shared" si="5"/>
        <v>0</v>
      </c>
      <c r="V34" s="258">
        <f t="shared" si="6"/>
        <v>0</v>
      </c>
      <c r="W34" s="258"/>
      <c r="X34" s="259">
        <f t="shared" si="7"/>
        <v>0</v>
      </c>
      <c r="Y34" s="258">
        <v>0</v>
      </c>
      <c r="Z34" s="259">
        <f t="shared" si="8"/>
        <v>0</v>
      </c>
      <c r="AA34" s="258">
        <v>0</v>
      </c>
      <c r="AB34" s="24">
        <v>1</v>
      </c>
      <c r="AC34" s="260">
        <f t="shared" si="15"/>
        <v>0</v>
      </c>
      <c r="AD34" s="298">
        <f t="shared" si="16"/>
        <v>0</v>
      </c>
      <c r="AE34" s="261">
        <f t="shared" si="17"/>
        <v>0</v>
      </c>
      <c r="AF34" s="262">
        <f t="shared" si="17"/>
        <v>0</v>
      </c>
      <c r="AG34" s="254"/>
      <c r="AI34" s="153">
        <f t="shared" si="18"/>
        <v>0</v>
      </c>
      <c r="AJ34" s="156">
        <f t="shared" si="19"/>
        <v>0</v>
      </c>
      <c r="AK34" s="147">
        <f t="shared" si="9"/>
        <v>0</v>
      </c>
      <c r="AM34" s="160">
        <f t="shared" si="10"/>
        <v>0</v>
      </c>
      <c r="AN34" s="150">
        <f t="shared" si="20"/>
        <v>0</v>
      </c>
      <c r="AP34" s="21">
        <f t="shared" si="11"/>
        <v>1</v>
      </c>
      <c r="AQ34" s="169">
        <f t="shared" si="21"/>
        <v>0</v>
      </c>
      <c r="AR34" s="263">
        <f t="shared" si="12"/>
        <v>0</v>
      </c>
    </row>
    <row r="35" spans="2:44" hidden="1">
      <c r="B35" s="21">
        <f>'MaterialCosts Summary'!B35</f>
        <v>27</v>
      </c>
      <c r="C35" s="26"/>
      <c r="D35" s="23">
        <f>'MaterialCosts Summary'!D35</f>
        <v>0</v>
      </c>
      <c r="E35" s="256">
        <f>'MaterialCosts Summary'!E35</f>
        <v>0</v>
      </c>
      <c r="F35" s="257">
        <v>0</v>
      </c>
      <c r="G35" s="257">
        <v>0</v>
      </c>
      <c r="H35" s="257">
        <v>0</v>
      </c>
      <c r="I35" s="258">
        <f t="shared" si="13"/>
        <v>0</v>
      </c>
      <c r="J35" s="258"/>
      <c r="K35" s="259">
        <f t="shared" si="14"/>
        <v>0</v>
      </c>
      <c r="L35" s="258">
        <v>0</v>
      </c>
      <c r="M35" s="259">
        <f t="shared" si="0"/>
        <v>0</v>
      </c>
      <c r="N35" s="258">
        <v>0</v>
      </c>
      <c r="O35" s="259">
        <f t="shared" si="1"/>
        <v>0</v>
      </c>
      <c r="P35" s="258">
        <f t="shared" si="2"/>
        <v>0</v>
      </c>
      <c r="Q35" s="258"/>
      <c r="R35" s="259">
        <f t="shared" si="3"/>
        <v>0</v>
      </c>
      <c r="S35" s="258">
        <f t="shared" si="4"/>
        <v>0</v>
      </c>
      <c r="T35" s="258"/>
      <c r="U35" s="259">
        <f t="shared" si="5"/>
        <v>0</v>
      </c>
      <c r="V35" s="258">
        <f t="shared" si="6"/>
        <v>0</v>
      </c>
      <c r="W35" s="258"/>
      <c r="X35" s="259">
        <f t="shared" si="7"/>
        <v>0</v>
      </c>
      <c r="Y35" s="258">
        <v>0</v>
      </c>
      <c r="Z35" s="259">
        <f t="shared" si="8"/>
        <v>0</v>
      </c>
      <c r="AA35" s="258">
        <v>0</v>
      </c>
      <c r="AB35" s="24">
        <v>1</v>
      </c>
      <c r="AC35" s="260">
        <f t="shared" si="15"/>
        <v>0</v>
      </c>
      <c r="AD35" s="299">
        <f t="shared" si="16"/>
        <v>0</v>
      </c>
      <c r="AE35" s="261">
        <f t="shared" si="17"/>
        <v>0</v>
      </c>
      <c r="AF35" s="262">
        <f t="shared" si="17"/>
        <v>0</v>
      </c>
      <c r="AG35" s="254"/>
      <c r="AI35" s="153">
        <f t="shared" si="18"/>
        <v>0</v>
      </c>
      <c r="AJ35" s="156">
        <f t="shared" si="19"/>
        <v>0</v>
      </c>
      <c r="AK35" s="147">
        <f t="shared" si="9"/>
        <v>0</v>
      </c>
      <c r="AM35" s="160">
        <f t="shared" si="10"/>
        <v>0</v>
      </c>
      <c r="AN35" s="150">
        <f t="shared" si="20"/>
        <v>0</v>
      </c>
      <c r="AP35" s="21">
        <f t="shared" si="11"/>
        <v>1</v>
      </c>
      <c r="AQ35" s="169">
        <f t="shared" si="21"/>
        <v>0</v>
      </c>
      <c r="AR35" s="263">
        <f t="shared" si="12"/>
        <v>0</v>
      </c>
    </row>
    <row r="36" spans="2:44" hidden="1">
      <c r="B36" s="21">
        <f>'MaterialCosts Summary'!B36</f>
        <v>28</v>
      </c>
      <c r="C36" s="26"/>
      <c r="D36" s="23">
        <f>'MaterialCosts Summary'!D36</f>
        <v>0</v>
      </c>
      <c r="E36" s="256">
        <f>'MaterialCosts Summary'!E36</f>
        <v>0</v>
      </c>
      <c r="F36" s="257">
        <v>0</v>
      </c>
      <c r="G36" s="257">
        <v>0</v>
      </c>
      <c r="H36" s="257">
        <v>0</v>
      </c>
      <c r="I36" s="258">
        <f t="shared" si="13"/>
        <v>0</v>
      </c>
      <c r="J36" s="258"/>
      <c r="K36" s="259">
        <f t="shared" si="14"/>
        <v>0</v>
      </c>
      <c r="L36" s="258">
        <v>0</v>
      </c>
      <c r="M36" s="259">
        <f t="shared" si="0"/>
        <v>0</v>
      </c>
      <c r="N36" s="258">
        <v>0</v>
      </c>
      <c r="O36" s="259">
        <f t="shared" si="1"/>
        <v>0</v>
      </c>
      <c r="P36" s="258">
        <f t="shared" si="2"/>
        <v>0</v>
      </c>
      <c r="Q36" s="258"/>
      <c r="R36" s="259">
        <f t="shared" si="3"/>
        <v>0</v>
      </c>
      <c r="S36" s="258">
        <f t="shared" si="4"/>
        <v>0</v>
      </c>
      <c r="T36" s="258"/>
      <c r="U36" s="259">
        <f t="shared" si="5"/>
        <v>0</v>
      </c>
      <c r="V36" s="258">
        <f t="shared" si="6"/>
        <v>0</v>
      </c>
      <c r="W36" s="258"/>
      <c r="X36" s="259">
        <f t="shared" si="7"/>
        <v>0</v>
      </c>
      <c r="Y36" s="258">
        <v>0</v>
      </c>
      <c r="Z36" s="259">
        <f t="shared" si="8"/>
        <v>0</v>
      </c>
      <c r="AA36" s="258">
        <v>0</v>
      </c>
      <c r="AB36" s="24">
        <v>1</v>
      </c>
      <c r="AC36" s="260">
        <f t="shared" si="15"/>
        <v>0</v>
      </c>
      <c r="AD36" s="299">
        <f t="shared" si="16"/>
        <v>0</v>
      </c>
      <c r="AE36" s="261">
        <f t="shared" si="17"/>
        <v>0</v>
      </c>
      <c r="AF36" s="262">
        <f t="shared" si="17"/>
        <v>0</v>
      </c>
      <c r="AG36" s="254"/>
      <c r="AI36" s="153">
        <f t="shared" si="18"/>
        <v>0</v>
      </c>
      <c r="AJ36" s="156">
        <f t="shared" si="19"/>
        <v>0</v>
      </c>
      <c r="AK36" s="147">
        <f t="shared" si="9"/>
        <v>0</v>
      </c>
      <c r="AM36" s="160">
        <f t="shared" si="10"/>
        <v>0</v>
      </c>
      <c r="AN36" s="150">
        <f t="shared" si="20"/>
        <v>0</v>
      </c>
      <c r="AP36" s="21">
        <f t="shared" si="11"/>
        <v>1</v>
      </c>
      <c r="AQ36" s="169">
        <f t="shared" si="21"/>
        <v>0</v>
      </c>
      <c r="AR36" s="263">
        <f t="shared" si="12"/>
        <v>0</v>
      </c>
    </row>
    <row r="37" spans="2:44" hidden="1">
      <c r="B37" s="21">
        <f>'MaterialCosts Summary'!B37</f>
        <v>29</v>
      </c>
      <c r="C37" s="26"/>
      <c r="D37" s="23">
        <f>'MaterialCosts Summary'!D37</f>
        <v>0</v>
      </c>
      <c r="E37" s="256">
        <f>'MaterialCosts Summary'!E37</f>
        <v>0</v>
      </c>
      <c r="F37" s="257">
        <v>0</v>
      </c>
      <c r="G37" s="257">
        <v>0</v>
      </c>
      <c r="H37" s="257">
        <v>0</v>
      </c>
      <c r="I37" s="258">
        <f t="shared" si="13"/>
        <v>0</v>
      </c>
      <c r="J37" s="258"/>
      <c r="K37" s="259">
        <f t="shared" si="14"/>
        <v>0</v>
      </c>
      <c r="L37" s="258">
        <v>0</v>
      </c>
      <c r="M37" s="259">
        <f t="shared" si="0"/>
        <v>0</v>
      </c>
      <c r="N37" s="258">
        <v>0</v>
      </c>
      <c r="O37" s="259">
        <f t="shared" si="1"/>
        <v>0</v>
      </c>
      <c r="P37" s="258">
        <f t="shared" si="2"/>
        <v>0</v>
      </c>
      <c r="Q37" s="258"/>
      <c r="R37" s="259">
        <f t="shared" si="3"/>
        <v>0</v>
      </c>
      <c r="S37" s="258">
        <f t="shared" si="4"/>
        <v>0</v>
      </c>
      <c r="T37" s="258"/>
      <c r="U37" s="259">
        <f t="shared" si="5"/>
        <v>0</v>
      </c>
      <c r="V37" s="258">
        <f t="shared" si="6"/>
        <v>0</v>
      </c>
      <c r="W37" s="258"/>
      <c r="X37" s="259">
        <f t="shared" si="7"/>
        <v>0</v>
      </c>
      <c r="Y37" s="258">
        <v>0</v>
      </c>
      <c r="Z37" s="259">
        <f t="shared" si="8"/>
        <v>0</v>
      </c>
      <c r="AA37" s="258">
        <v>0</v>
      </c>
      <c r="AB37" s="24">
        <v>1</v>
      </c>
      <c r="AC37" s="260">
        <f t="shared" si="15"/>
        <v>0</v>
      </c>
      <c r="AD37" s="297">
        <f t="shared" si="16"/>
        <v>0</v>
      </c>
      <c r="AE37" s="261">
        <f t="shared" si="17"/>
        <v>0</v>
      </c>
      <c r="AF37" s="262">
        <f t="shared" si="17"/>
        <v>0</v>
      </c>
      <c r="AG37" s="254"/>
      <c r="AI37" s="153">
        <f t="shared" si="18"/>
        <v>0</v>
      </c>
      <c r="AJ37" s="156">
        <f t="shared" si="19"/>
        <v>0</v>
      </c>
      <c r="AK37" s="147">
        <f t="shared" si="9"/>
        <v>0</v>
      </c>
      <c r="AM37" s="160">
        <f t="shared" si="10"/>
        <v>0</v>
      </c>
      <c r="AN37" s="150">
        <f t="shared" si="20"/>
        <v>0</v>
      </c>
      <c r="AP37" s="21">
        <f t="shared" si="11"/>
        <v>1</v>
      </c>
      <c r="AQ37" s="169">
        <f t="shared" si="21"/>
        <v>0</v>
      </c>
      <c r="AR37" s="263">
        <f t="shared" si="12"/>
        <v>0</v>
      </c>
    </row>
    <row r="38" spans="2:44" hidden="1">
      <c r="B38" s="21">
        <f>'MaterialCosts Summary'!B38</f>
        <v>30</v>
      </c>
      <c r="C38" s="26"/>
      <c r="D38" s="23">
        <f>'MaterialCosts Summary'!D38</f>
        <v>0</v>
      </c>
      <c r="E38" s="256">
        <f>'MaterialCosts Summary'!E38</f>
        <v>0</v>
      </c>
      <c r="F38" s="257">
        <v>0</v>
      </c>
      <c r="G38" s="257">
        <v>0</v>
      </c>
      <c r="H38" s="257">
        <v>0</v>
      </c>
      <c r="I38" s="258">
        <f t="shared" si="13"/>
        <v>0</v>
      </c>
      <c r="J38" s="258"/>
      <c r="K38" s="259">
        <f t="shared" si="14"/>
        <v>0</v>
      </c>
      <c r="L38" s="258">
        <v>0</v>
      </c>
      <c r="M38" s="259">
        <f t="shared" si="0"/>
        <v>0</v>
      </c>
      <c r="N38" s="258">
        <v>0</v>
      </c>
      <c r="O38" s="259">
        <f t="shared" si="1"/>
        <v>0</v>
      </c>
      <c r="P38" s="258">
        <f t="shared" si="2"/>
        <v>0</v>
      </c>
      <c r="Q38" s="258"/>
      <c r="R38" s="259">
        <f t="shared" si="3"/>
        <v>0</v>
      </c>
      <c r="S38" s="258">
        <f t="shared" si="4"/>
        <v>0</v>
      </c>
      <c r="T38" s="258"/>
      <c r="U38" s="259">
        <f t="shared" si="5"/>
        <v>0</v>
      </c>
      <c r="V38" s="258">
        <f t="shared" si="6"/>
        <v>0</v>
      </c>
      <c r="W38" s="258"/>
      <c r="X38" s="259">
        <f t="shared" si="7"/>
        <v>0</v>
      </c>
      <c r="Y38" s="258">
        <v>0</v>
      </c>
      <c r="Z38" s="259">
        <f t="shared" si="8"/>
        <v>0</v>
      </c>
      <c r="AA38" s="258">
        <v>0</v>
      </c>
      <c r="AB38" s="24">
        <v>1</v>
      </c>
      <c r="AC38" s="260">
        <f t="shared" si="15"/>
        <v>0</v>
      </c>
      <c r="AD38" s="298">
        <f t="shared" si="16"/>
        <v>0</v>
      </c>
      <c r="AE38" s="261">
        <f t="shared" si="17"/>
        <v>0</v>
      </c>
      <c r="AF38" s="262">
        <f t="shared" si="17"/>
        <v>0</v>
      </c>
      <c r="AG38" s="254"/>
      <c r="AI38" s="153">
        <f t="shared" si="18"/>
        <v>0</v>
      </c>
      <c r="AJ38" s="156">
        <f t="shared" si="19"/>
        <v>0</v>
      </c>
      <c r="AK38" s="147">
        <f t="shared" si="9"/>
        <v>0</v>
      </c>
      <c r="AM38" s="160">
        <f t="shared" si="10"/>
        <v>0</v>
      </c>
      <c r="AN38" s="150">
        <f t="shared" si="20"/>
        <v>0</v>
      </c>
      <c r="AP38" s="21">
        <f t="shared" si="11"/>
        <v>1</v>
      </c>
      <c r="AQ38" s="169">
        <f t="shared" si="21"/>
        <v>0</v>
      </c>
      <c r="AR38" s="263">
        <f t="shared" si="12"/>
        <v>0</v>
      </c>
    </row>
    <row r="39" spans="2:44" hidden="1">
      <c r="B39" s="21">
        <f>'MaterialCosts Summary'!B39</f>
        <v>31</v>
      </c>
      <c r="C39" s="26"/>
      <c r="D39" s="23">
        <f>'MaterialCosts Summary'!D39</f>
        <v>0</v>
      </c>
      <c r="E39" s="256">
        <f>'MaterialCosts Summary'!E39</f>
        <v>0</v>
      </c>
      <c r="F39" s="257">
        <v>0</v>
      </c>
      <c r="G39" s="257">
        <v>0</v>
      </c>
      <c r="H39" s="257">
        <v>0</v>
      </c>
      <c r="I39" s="258">
        <f t="shared" si="13"/>
        <v>0</v>
      </c>
      <c r="J39" s="258"/>
      <c r="K39" s="259">
        <f t="shared" si="14"/>
        <v>0</v>
      </c>
      <c r="L39" s="258">
        <v>0</v>
      </c>
      <c r="M39" s="259">
        <f t="shared" si="0"/>
        <v>0</v>
      </c>
      <c r="N39" s="258">
        <v>0</v>
      </c>
      <c r="O39" s="259">
        <f t="shared" si="1"/>
        <v>0</v>
      </c>
      <c r="P39" s="258">
        <f t="shared" si="2"/>
        <v>0</v>
      </c>
      <c r="Q39" s="258"/>
      <c r="R39" s="259">
        <f t="shared" si="3"/>
        <v>0</v>
      </c>
      <c r="S39" s="258">
        <f t="shared" si="4"/>
        <v>0</v>
      </c>
      <c r="T39" s="258"/>
      <c r="U39" s="259">
        <f t="shared" si="5"/>
        <v>0</v>
      </c>
      <c r="V39" s="258">
        <f t="shared" si="6"/>
        <v>0</v>
      </c>
      <c r="W39" s="258"/>
      <c r="X39" s="259">
        <f t="shared" si="7"/>
        <v>0</v>
      </c>
      <c r="Y39" s="258">
        <v>0</v>
      </c>
      <c r="Z39" s="259">
        <f t="shared" si="8"/>
        <v>0</v>
      </c>
      <c r="AA39" s="258">
        <v>0</v>
      </c>
      <c r="AB39" s="24">
        <v>1</v>
      </c>
      <c r="AC39" s="260">
        <f t="shared" si="15"/>
        <v>0</v>
      </c>
      <c r="AD39" s="299">
        <f t="shared" si="16"/>
        <v>0</v>
      </c>
      <c r="AE39" s="261">
        <f t="shared" si="17"/>
        <v>0</v>
      </c>
      <c r="AF39" s="262">
        <f t="shared" si="17"/>
        <v>0</v>
      </c>
      <c r="AG39" s="254"/>
      <c r="AI39" s="153">
        <f t="shared" si="18"/>
        <v>0</v>
      </c>
      <c r="AJ39" s="156">
        <f t="shared" si="19"/>
        <v>0</v>
      </c>
      <c r="AK39" s="147">
        <f t="shared" si="9"/>
        <v>0</v>
      </c>
      <c r="AM39" s="160">
        <f t="shared" si="10"/>
        <v>0</v>
      </c>
      <c r="AN39" s="150">
        <f t="shared" si="20"/>
        <v>0</v>
      </c>
      <c r="AP39" s="21">
        <f t="shared" si="11"/>
        <v>1</v>
      </c>
      <c r="AQ39" s="169">
        <f t="shared" si="21"/>
        <v>0</v>
      </c>
      <c r="AR39" s="263">
        <f t="shared" si="12"/>
        <v>0</v>
      </c>
    </row>
    <row r="40" spans="2:44" hidden="1">
      <c r="B40" s="21">
        <f>'MaterialCosts Summary'!B40</f>
        <v>32</v>
      </c>
      <c r="C40" s="26"/>
      <c r="D40" s="23">
        <f>'MaterialCosts Summary'!D40</f>
        <v>0</v>
      </c>
      <c r="E40" s="256">
        <f>'MaterialCosts Summary'!E40</f>
        <v>0</v>
      </c>
      <c r="F40" s="257">
        <v>0</v>
      </c>
      <c r="G40" s="257">
        <v>0</v>
      </c>
      <c r="H40" s="257">
        <v>0</v>
      </c>
      <c r="I40" s="258">
        <f t="shared" si="13"/>
        <v>0</v>
      </c>
      <c r="J40" s="258"/>
      <c r="K40" s="259">
        <f t="shared" si="14"/>
        <v>0</v>
      </c>
      <c r="L40" s="258">
        <v>0</v>
      </c>
      <c r="M40" s="259">
        <f t="shared" si="0"/>
        <v>0</v>
      </c>
      <c r="N40" s="258">
        <v>0</v>
      </c>
      <c r="O40" s="259">
        <f t="shared" si="1"/>
        <v>0</v>
      </c>
      <c r="P40" s="258">
        <f t="shared" si="2"/>
        <v>0</v>
      </c>
      <c r="Q40" s="258"/>
      <c r="R40" s="259">
        <f t="shared" si="3"/>
        <v>0</v>
      </c>
      <c r="S40" s="258">
        <f t="shared" si="4"/>
        <v>0</v>
      </c>
      <c r="T40" s="258"/>
      <c r="U40" s="259">
        <f t="shared" si="5"/>
        <v>0</v>
      </c>
      <c r="V40" s="258">
        <f t="shared" si="6"/>
        <v>0</v>
      </c>
      <c r="W40" s="258"/>
      <c r="X40" s="259">
        <f t="shared" si="7"/>
        <v>0</v>
      </c>
      <c r="Y40" s="258">
        <v>0</v>
      </c>
      <c r="Z40" s="259">
        <f t="shared" si="8"/>
        <v>0</v>
      </c>
      <c r="AA40" s="258">
        <v>0</v>
      </c>
      <c r="AB40" s="24">
        <v>1</v>
      </c>
      <c r="AC40" s="260">
        <f t="shared" si="15"/>
        <v>0</v>
      </c>
      <c r="AD40" s="299">
        <f t="shared" si="16"/>
        <v>0</v>
      </c>
      <c r="AE40" s="261">
        <f t="shared" si="17"/>
        <v>0</v>
      </c>
      <c r="AF40" s="262">
        <f t="shared" si="17"/>
        <v>0</v>
      </c>
      <c r="AG40" s="254"/>
      <c r="AI40" s="153">
        <f t="shared" si="18"/>
        <v>0</v>
      </c>
      <c r="AJ40" s="156">
        <f t="shared" si="19"/>
        <v>0</v>
      </c>
      <c r="AK40" s="147">
        <f t="shared" si="9"/>
        <v>0</v>
      </c>
      <c r="AM40" s="160">
        <f t="shared" si="10"/>
        <v>0</v>
      </c>
      <c r="AN40" s="150">
        <f t="shared" si="20"/>
        <v>0</v>
      </c>
      <c r="AP40" s="21">
        <f t="shared" si="11"/>
        <v>1</v>
      </c>
      <c r="AQ40" s="169">
        <f t="shared" si="21"/>
        <v>0</v>
      </c>
      <c r="AR40" s="263">
        <f t="shared" si="12"/>
        <v>0</v>
      </c>
    </row>
    <row r="41" spans="2:44" hidden="1">
      <c r="B41" s="21">
        <f>'MaterialCosts Summary'!B41</f>
        <v>33</v>
      </c>
      <c r="C41" s="26"/>
      <c r="D41" s="23">
        <f>'MaterialCosts Summary'!D41</f>
        <v>0</v>
      </c>
      <c r="E41" s="256">
        <f>'MaterialCosts Summary'!E41</f>
        <v>0</v>
      </c>
      <c r="F41" s="257">
        <v>0</v>
      </c>
      <c r="G41" s="257">
        <v>0</v>
      </c>
      <c r="H41" s="257">
        <v>0</v>
      </c>
      <c r="I41" s="258">
        <f t="shared" si="13"/>
        <v>0</v>
      </c>
      <c r="J41" s="258"/>
      <c r="K41" s="259">
        <f t="shared" si="14"/>
        <v>0</v>
      </c>
      <c r="L41" s="258">
        <v>0</v>
      </c>
      <c r="M41" s="259">
        <f t="shared" si="0"/>
        <v>0</v>
      </c>
      <c r="N41" s="258">
        <v>0</v>
      </c>
      <c r="O41" s="259">
        <f t="shared" si="1"/>
        <v>0</v>
      </c>
      <c r="P41" s="258">
        <f t="shared" si="2"/>
        <v>0</v>
      </c>
      <c r="Q41" s="258"/>
      <c r="R41" s="259">
        <f t="shared" si="3"/>
        <v>0</v>
      </c>
      <c r="S41" s="258">
        <f t="shared" si="4"/>
        <v>0</v>
      </c>
      <c r="T41" s="258"/>
      <c r="U41" s="259">
        <f t="shared" si="5"/>
        <v>0</v>
      </c>
      <c r="V41" s="258">
        <f t="shared" si="6"/>
        <v>0</v>
      </c>
      <c r="W41" s="258"/>
      <c r="X41" s="259">
        <f t="shared" si="7"/>
        <v>0</v>
      </c>
      <c r="Y41" s="258">
        <v>0</v>
      </c>
      <c r="Z41" s="259">
        <f t="shared" si="8"/>
        <v>0</v>
      </c>
      <c r="AA41" s="258">
        <v>0</v>
      </c>
      <c r="AB41" s="24">
        <v>1</v>
      </c>
      <c r="AC41" s="260">
        <f t="shared" si="15"/>
        <v>0</v>
      </c>
      <c r="AD41" s="297">
        <f t="shared" si="16"/>
        <v>0</v>
      </c>
      <c r="AE41" s="261">
        <f t="shared" si="17"/>
        <v>0</v>
      </c>
      <c r="AF41" s="262">
        <f t="shared" si="17"/>
        <v>0</v>
      </c>
      <c r="AG41" s="254"/>
      <c r="AI41" s="153">
        <f t="shared" si="18"/>
        <v>0</v>
      </c>
      <c r="AJ41" s="156">
        <f t="shared" si="19"/>
        <v>0</v>
      </c>
      <c r="AK41" s="147">
        <f t="shared" ref="AK41:AK72" si="22">CEILING((L41+N41+P41+V41+AA41), 4)</f>
        <v>0</v>
      </c>
      <c r="AM41" s="160">
        <f t="shared" ref="AM41:AM72" si="23">AJ41*$AM$3</f>
        <v>0</v>
      </c>
      <c r="AN41" s="150">
        <f t="shared" si="20"/>
        <v>0</v>
      </c>
      <c r="AP41" s="21">
        <f t="shared" ref="AP41:AP72" si="24">AB41</f>
        <v>1</v>
      </c>
      <c r="AQ41" s="169">
        <f t="shared" si="21"/>
        <v>0</v>
      </c>
      <c r="AR41" s="263">
        <f t="shared" ref="AR41:AR72" si="25">AF41+AM41+AN41</f>
        <v>0</v>
      </c>
    </row>
    <row r="42" spans="2:44" hidden="1">
      <c r="B42" s="21">
        <f>'MaterialCosts Summary'!B42</f>
        <v>34</v>
      </c>
      <c r="C42" s="26"/>
      <c r="D42" s="23">
        <f>'MaterialCosts Summary'!D42</f>
        <v>0</v>
      </c>
      <c r="E42" s="256">
        <f>'MaterialCosts Summary'!E42</f>
        <v>0</v>
      </c>
      <c r="F42" s="257">
        <v>0</v>
      </c>
      <c r="G42" s="257">
        <v>0</v>
      </c>
      <c r="H42" s="257">
        <v>0</v>
      </c>
      <c r="I42" s="258">
        <f t="shared" si="13"/>
        <v>0</v>
      </c>
      <c r="J42" s="258"/>
      <c r="K42" s="259">
        <f t="shared" si="14"/>
        <v>0</v>
      </c>
      <c r="L42" s="258">
        <v>0</v>
      </c>
      <c r="M42" s="259">
        <f t="shared" si="0"/>
        <v>0</v>
      </c>
      <c r="N42" s="258">
        <v>0</v>
      </c>
      <c r="O42" s="259">
        <f t="shared" si="1"/>
        <v>0</v>
      </c>
      <c r="P42" s="258">
        <f t="shared" si="2"/>
        <v>0</v>
      </c>
      <c r="Q42" s="258"/>
      <c r="R42" s="259">
        <f t="shared" si="3"/>
        <v>0</v>
      </c>
      <c r="S42" s="258">
        <f t="shared" si="4"/>
        <v>0</v>
      </c>
      <c r="T42" s="258"/>
      <c r="U42" s="259">
        <f t="shared" si="5"/>
        <v>0</v>
      </c>
      <c r="V42" s="258">
        <f t="shared" si="6"/>
        <v>0</v>
      </c>
      <c r="W42" s="258"/>
      <c r="X42" s="259">
        <f t="shared" si="7"/>
        <v>0</v>
      </c>
      <c r="Y42" s="258">
        <v>0</v>
      </c>
      <c r="Z42" s="259">
        <f t="shared" si="8"/>
        <v>0</v>
      </c>
      <c r="AA42" s="258">
        <v>0</v>
      </c>
      <c r="AB42" s="24">
        <v>1</v>
      </c>
      <c r="AC42" s="260">
        <f t="shared" si="15"/>
        <v>0</v>
      </c>
      <c r="AD42" s="298">
        <f t="shared" si="16"/>
        <v>0</v>
      </c>
      <c r="AE42" s="261">
        <f t="shared" si="17"/>
        <v>0</v>
      </c>
      <c r="AF42" s="262">
        <f t="shared" si="17"/>
        <v>0</v>
      </c>
      <c r="AG42" s="254"/>
      <c r="AI42" s="153">
        <f t="shared" si="18"/>
        <v>0</v>
      </c>
      <c r="AJ42" s="156">
        <f t="shared" si="19"/>
        <v>0</v>
      </c>
      <c r="AK42" s="147">
        <f t="shared" si="22"/>
        <v>0</v>
      </c>
      <c r="AM42" s="160">
        <f t="shared" si="23"/>
        <v>0</v>
      </c>
      <c r="AN42" s="150">
        <f t="shared" si="20"/>
        <v>0</v>
      </c>
      <c r="AP42" s="21">
        <f t="shared" si="24"/>
        <v>1</v>
      </c>
      <c r="AQ42" s="169">
        <f t="shared" si="21"/>
        <v>0</v>
      </c>
      <c r="AR42" s="263">
        <f t="shared" si="25"/>
        <v>0</v>
      </c>
    </row>
    <row r="43" spans="2:44" hidden="1">
      <c r="B43" s="21">
        <f>'MaterialCosts Summary'!B43</f>
        <v>35</v>
      </c>
      <c r="C43" s="26"/>
      <c r="D43" s="23">
        <f>'MaterialCosts Summary'!D43</f>
        <v>0</v>
      </c>
      <c r="E43" s="256">
        <f>'MaterialCosts Summary'!E43</f>
        <v>0</v>
      </c>
      <c r="F43" s="257">
        <v>0</v>
      </c>
      <c r="G43" s="257">
        <v>0</v>
      </c>
      <c r="H43" s="257">
        <v>0</v>
      </c>
      <c r="I43" s="258">
        <f t="shared" si="13"/>
        <v>0</v>
      </c>
      <c r="J43" s="258"/>
      <c r="K43" s="259">
        <f t="shared" si="14"/>
        <v>0</v>
      </c>
      <c r="L43" s="258">
        <v>0</v>
      </c>
      <c r="M43" s="259">
        <f t="shared" si="0"/>
        <v>0</v>
      </c>
      <c r="N43" s="258">
        <v>0</v>
      </c>
      <c r="O43" s="259">
        <f t="shared" si="1"/>
        <v>0</v>
      </c>
      <c r="P43" s="258">
        <f t="shared" si="2"/>
        <v>0</v>
      </c>
      <c r="Q43" s="258"/>
      <c r="R43" s="259">
        <f t="shared" si="3"/>
        <v>0</v>
      </c>
      <c r="S43" s="258">
        <f t="shared" si="4"/>
        <v>0</v>
      </c>
      <c r="T43" s="258"/>
      <c r="U43" s="259">
        <f t="shared" si="5"/>
        <v>0</v>
      </c>
      <c r="V43" s="258">
        <f t="shared" si="6"/>
        <v>0</v>
      </c>
      <c r="W43" s="258"/>
      <c r="X43" s="259">
        <f t="shared" si="7"/>
        <v>0</v>
      </c>
      <c r="Y43" s="258">
        <v>0</v>
      </c>
      <c r="Z43" s="259">
        <f t="shared" si="8"/>
        <v>0</v>
      </c>
      <c r="AA43" s="258">
        <v>0</v>
      </c>
      <c r="AB43" s="24">
        <v>1</v>
      </c>
      <c r="AC43" s="260">
        <f t="shared" si="15"/>
        <v>0</v>
      </c>
      <c r="AD43" s="299">
        <f t="shared" si="16"/>
        <v>0</v>
      </c>
      <c r="AE43" s="261">
        <f t="shared" si="17"/>
        <v>0</v>
      </c>
      <c r="AF43" s="262">
        <f t="shared" si="17"/>
        <v>0</v>
      </c>
      <c r="AG43" s="254"/>
      <c r="AI43" s="153">
        <f t="shared" si="18"/>
        <v>0</v>
      </c>
      <c r="AJ43" s="156">
        <f t="shared" si="19"/>
        <v>0</v>
      </c>
      <c r="AK43" s="147">
        <f t="shared" si="22"/>
        <v>0</v>
      </c>
      <c r="AM43" s="160">
        <f t="shared" si="23"/>
        <v>0</v>
      </c>
      <c r="AN43" s="150">
        <f t="shared" si="20"/>
        <v>0</v>
      </c>
      <c r="AP43" s="21">
        <f t="shared" si="24"/>
        <v>1</v>
      </c>
      <c r="AQ43" s="169">
        <f t="shared" si="21"/>
        <v>0</v>
      </c>
      <c r="AR43" s="263">
        <f t="shared" si="25"/>
        <v>0</v>
      </c>
    </row>
    <row r="44" spans="2:44" hidden="1">
      <c r="B44" s="21">
        <f>'MaterialCosts Summary'!B44</f>
        <v>36</v>
      </c>
      <c r="C44" s="26"/>
      <c r="D44" s="23">
        <f>'MaterialCosts Summary'!D44</f>
        <v>0</v>
      </c>
      <c r="E44" s="256">
        <f>'MaterialCosts Summary'!E44</f>
        <v>0</v>
      </c>
      <c r="F44" s="257">
        <v>0</v>
      </c>
      <c r="G44" s="257">
        <v>0</v>
      </c>
      <c r="H44" s="257">
        <v>0</v>
      </c>
      <c r="I44" s="258">
        <f t="shared" si="13"/>
        <v>0</v>
      </c>
      <c r="J44" s="258"/>
      <c r="K44" s="259">
        <f t="shared" si="14"/>
        <v>0</v>
      </c>
      <c r="L44" s="258">
        <v>0</v>
      </c>
      <c r="M44" s="259">
        <f t="shared" si="0"/>
        <v>0</v>
      </c>
      <c r="N44" s="258">
        <v>0</v>
      </c>
      <c r="O44" s="259">
        <f t="shared" si="1"/>
        <v>0</v>
      </c>
      <c r="P44" s="258">
        <f t="shared" si="2"/>
        <v>0</v>
      </c>
      <c r="Q44" s="258"/>
      <c r="R44" s="259">
        <f t="shared" si="3"/>
        <v>0</v>
      </c>
      <c r="S44" s="258">
        <f t="shared" si="4"/>
        <v>0</v>
      </c>
      <c r="T44" s="258"/>
      <c r="U44" s="259">
        <f t="shared" si="5"/>
        <v>0</v>
      </c>
      <c r="V44" s="258">
        <f t="shared" si="6"/>
        <v>0</v>
      </c>
      <c r="W44" s="258"/>
      <c r="X44" s="259">
        <f t="shared" si="7"/>
        <v>0</v>
      </c>
      <c r="Y44" s="258">
        <v>0</v>
      </c>
      <c r="Z44" s="259">
        <f t="shared" si="8"/>
        <v>0</v>
      </c>
      <c r="AA44" s="258">
        <v>0</v>
      </c>
      <c r="AB44" s="24">
        <v>1</v>
      </c>
      <c r="AC44" s="260">
        <f t="shared" si="15"/>
        <v>0</v>
      </c>
      <c r="AD44" s="299">
        <f t="shared" si="16"/>
        <v>0</v>
      </c>
      <c r="AE44" s="261">
        <f t="shared" si="17"/>
        <v>0</v>
      </c>
      <c r="AF44" s="262">
        <f t="shared" si="17"/>
        <v>0</v>
      </c>
      <c r="AG44" s="254"/>
      <c r="AI44" s="153">
        <f t="shared" si="18"/>
        <v>0</v>
      </c>
      <c r="AJ44" s="156">
        <f t="shared" si="19"/>
        <v>0</v>
      </c>
      <c r="AK44" s="147">
        <f t="shared" si="22"/>
        <v>0</v>
      </c>
      <c r="AM44" s="160">
        <f t="shared" si="23"/>
        <v>0</v>
      </c>
      <c r="AN44" s="150">
        <f t="shared" si="20"/>
        <v>0</v>
      </c>
      <c r="AP44" s="21">
        <f t="shared" si="24"/>
        <v>1</v>
      </c>
      <c r="AQ44" s="169">
        <f t="shared" si="21"/>
        <v>0</v>
      </c>
      <c r="AR44" s="263">
        <f t="shared" si="25"/>
        <v>0</v>
      </c>
    </row>
    <row r="45" spans="2:44" hidden="1">
      <c r="B45" s="21">
        <f>'MaterialCosts Summary'!B45</f>
        <v>37</v>
      </c>
      <c r="C45" s="26"/>
      <c r="D45" s="23">
        <f>'MaterialCosts Summary'!D45</f>
        <v>0</v>
      </c>
      <c r="E45" s="256">
        <f>'MaterialCosts Summary'!E45</f>
        <v>0</v>
      </c>
      <c r="F45" s="257">
        <v>0</v>
      </c>
      <c r="G45" s="257">
        <v>0</v>
      </c>
      <c r="H45" s="257">
        <v>0</v>
      </c>
      <c r="I45" s="258">
        <f t="shared" si="13"/>
        <v>0</v>
      </c>
      <c r="J45" s="258"/>
      <c r="K45" s="259">
        <f t="shared" si="14"/>
        <v>0</v>
      </c>
      <c r="L45" s="258">
        <v>0</v>
      </c>
      <c r="M45" s="259">
        <f t="shared" si="0"/>
        <v>0</v>
      </c>
      <c r="N45" s="258">
        <v>0</v>
      </c>
      <c r="O45" s="259">
        <f t="shared" si="1"/>
        <v>0</v>
      </c>
      <c r="P45" s="258">
        <f t="shared" si="2"/>
        <v>0</v>
      </c>
      <c r="Q45" s="258"/>
      <c r="R45" s="259">
        <f t="shared" si="3"/>
        <v>0</v>
      </c>
      <c r="S45" s="258">
        <f t="shared" si="4"/>
        <v>0</v>
      </c>
      <c r="T45" s="258"/>
      <c r="U45" s="259">
        <f t="shared" si="5"/>
        <v>0</v>
      </c>
      <c r="V45" s="258">
        <f t="shared" si="6"/>
        <v>0</v>
      </c>
      <c r="W45" s="258"/>
      <c r="X45" s="259">
        <f t="shared" si="7"/>
        <v>0</v>
      </c>
      <c r="Y45" s="258">
        <v>0</v>
      </c>
      <c r="Z45" s="259">
        <f t="shared" si="8"/>
        <v>0</v>
      </c>
      <c r="AA45" s="258">
        <v>0</v>
      </c>
      <c r="AB45" s="24">
        <v>1</v>
      </c>
      <c r="AC45" s="260">
        <f t="shared" si="15"/>
        <v>0</v>
      </c>
      <c r="AD45" s="297">
        <f t="shared" si="16"/>
        <v>0</v>
      </c>
      <c r="AE45" s="261">
        <f t="shared" si="17"/>
        <v>0</v>
      </c>
      <c r="AF45" s="262">
        <f t="shared" si="17"/>
        <v>0</v>
      </c>
      <c r="AG45" s="254"/>
      <c r="AI45" s="153">
        <f t="shared" si="18"/>
        <v>0</v>
      </c>
      <c r="AJ45" s="156">
        <f t="shared" si="19"/>
        <v>0</v>
      </c>
      <c r="AK45" s="147">
        <f t="shared" si="22"/>
        <v>0</v>
      </c>
      <c r="AM45" s="160">
        <f t="shared" si="23"/>
        <v>0</v>
      </c>
      <c r="AN45" s="150">
        <f t="shared" si="20"/>
        <v>0</v>
      </c>
      <c r="AP45" s="21">
        <f t="shared" si="24"/>
        <v>1</v>
      </c>
      <c r="AQ45" s="169">
        <f t="shared" si="21"/>
        <v>0</v>
      </c>
      <c r="AR45" s="263">
        <f t="shared" si="25"/>
        <v>0</v>
      </c>
    </row>
    <row r="46" spans="2:44" hidden="1">
      <c r="B46" s="21">
        <f>'MaterialCosts Summary'!B46</f>
        <v>38</v>
      </c>
      <c r="C46" s="26"/>
      <c r="D46" s="23">
        <f>'MaterialCosts Summary'!D46</f>
        <v>0</v>
      </c>
      <c r="E46" s="256">
        <f>'MaterialCosts Summary'!E46</f>
        <v>0</v>
      </c>
      <c r="F46" s="257">
        <v>0</v>
      </c>
      <c r="G46" s="257">
        <v>0</v>
      </c>
      <c r="H46" s="257">
        <v>0</v>
      </c>
      <c r="I46" s="258">
        <f t="shared" si="13"/>
        <v>0</v>
      </c>
      <c r="J46" s="258"/>
      <c r="K46" s="259">
        <f t="shared" si="14"/>
        <v>0</v>
      </c>
      <c r="L46" s="258">
        <v>0</v>
      </c>
      <c r="M46" s="259">
        <f t="shared" si="0"/>
        <v>0</v>
      </c>
      <c r="N46" s="258">
        <v>0</v>
      </c>
      <c r="O46" s="259">
        <f t="shared" si="1"/>
        <v>0</v>
      </c>
      <c r="P46" s="258">
        <f t="shared" si="2"/>
        <v>0</v>
      </c>
      <c r="Q46" s="258"/>
      <c r="R46" s="259">
        <f t="shared" si="3"/>
        <v>0</v>
      </c>
      <c r="S46" s="258">
        <f t="shared" si="4"/>
        <v>0</v>
      </c>
      <c r="T46" s="258"/>
      <c r="U46" s="259">
        <f t="shared" si="5"/>
        <v>0</v>
      </c>
      <c r="V46" s="258">
        <f t="shared" si="6"/>
        <v>0</v>
      </c>
      <c r="W46" s="258"/>
      <c r="X46" s="259">
        <f t="shared" si="7"/>
        <v>0</v>
      </c>
      <c r="Y46" s="258">
        <v>0</v>
      </c>
      <c r="Z46" s="259">
        <f t="shared" si="8"/>
        <v>0</v>
      </c>
      <c r="AA46" s="258">
        <v>0</v>
      </c>
      <c r="AB46" s="24">
        <v>1</v>
      </c>
      <c r="AC46" s="260">
        <f t="shared" si="15"/>
        <v>0</v>
      </c>
      <c r="AD46" s="298">
        <f t="shared" si="16"/>
        <v>0</v>
      </c>
      <c r="AE46" s="261">
        <f t="shared" si="17"/>
        <v>0</v>
      </c>
      <c r="AF46" s="262">
        <f t="shared" si="17"/>
        <v>0</v>
      </c>
      <c r="AG46" s="254"/>
      <c r="AI46" s="153">
        <f t="shared" si="18"/>
        <v>0</v>
      </c>
      <c r="AJ46" s="156">
        <f t="shared" si="19"/>
        <v>0</v>
      </c>
      <c r="AK46" s="147">
        <f t="shared" si="22"/>
        <v>0</v>
      </c>
      <c r="AM46" s="160">
        <f t="shared" si="23"/>
        <v>0</v>
      </c>
      <c r="AN46" s="150">
        <f t="shared" si="20"/>
        <v>0</v>
      </c>
      <c r="AP46" s="21">
        <f t="shared" si="24"/>
        <v>1</v>
      </c>
      <c r="AQ46" s="169">
        <f t="shared" si="21"/>
        <v>0</v>
      </c>
      <c r="AR46" s="263">
        <f t="shared" si="25"/>
        <v>0</v>
      </c>
    </row>
    <row r="47" spans="2:44" hidden="1">
      <c r="B47" s="21">
        <f>'MaterialCosts Summary'!B47</f>
        <v>39</v>
      </c>
      <c r="C47" s="26"/>
      <c r="D47" s="23">
        <f>'MaterialCosts Summary'!D47</f>
        <v>0</v>
      </c>
      <c r="E47" s="256">
        <f>'MaterialCosts Summary'!E47</f>
        <v>0</v>
      </c>
      <c r="F47" s="257">
        <v>0</v>
      </c>
      <c r="G47" s="257">
        <v>0</v>
      </c>
      <c r="H47" s="257">
        <v>0</v>
      </c>
      <c r="I47" s="258">
        <f t="shared" si="13"/>
        <v>0</v>
      </c>
      <c r="J47" s="258"/>
      <c r="K47" s="259">
        <f t="shared" si="14"/>
        <v>0</v>
      </c>
      <c r="L47" s="258">
        <v>0</v>
      </c>
      <c r="M47" s="259">
        <f t="shared" si="0"/>
        <v>0</v>
      </c>
      <c r="N47" s="258">
        <v>0</v>
      </c>
      <c r="O47" s="259">
        <f t="shared" si="1"/>
        <v>0</v>
      </c>
      <c r="P47" s="258">
        <f t="shared" si="2"/>
        <v>0</v>
      </c>
      <c r="Q47" s="258"/>
      <c r="R47" s="259">
        <f t="shared" si="3"/>
        <v>0</v>
      </c>
      <c r="S47" s="258">
        <f t="shared" si="4"/>
        <v>0</v>
      </c>
      <c r="T47" s="258"/>
      <c r="U47" s="259">
        <f t="shared" si="5"/>
        <v>0</v>
      </c>
      <c r="V47" s="258">
        <f t="shared" si="6"/>
        <v>0</v>
      </c>
      <c r="W47" s="258"/>
      <c r="X47" s="259">
        <f t="shared" si="7"/>
        <v>0</v>
      </c>
      <c r="Y47" s="258">
        <v>0</v>
      </c>
      <c r="Z47" s="259">
        <f t="shared" si="8"/>
        <v>0</v>
      </c>
      <c r="AA47" s="258">
        <v>0</v>
      </c>
      <c r="AB47" s="24">
        <v>1</v>
      </c>
      <c r="AC47" s="260">
        <f t="shared" si="15"/>
        <v>0</v>
      </c>
      <c r="AD47" s="299">
        <f t="shared" si="16"/>
        <v>0</v>
      </c>
      <c r="AE47" s="261">
        <f t="shared" si="17"/>
        <v>0</v>
      </c>
      <c r="AF47" s="262">
        <f t="shared" si="17"/>
        <v>0</v>
      </c>
      <c r="AG47" s="254"/>
      <c r="AI47" s="153">
        <f t="shared" si="18"/>
        <v>0</v>
      </c>
      <c r="AJ47" s="156">
        <f t="shared" si="19"/>
        <v>0</v>
      </c>
      <c r="AK47" s="147">
        <f t="shared" si="22"/>
        <v>0</v>
      </c>
      <c r="AM47" s="160">
        <f t="shared" si="23"/>
        <v>0</v>
      </c>
      <c r="AN47" s="150">
        <f t="shared" si="20"/>
        <v>0</v>
      </c>
      <c r="AP47" s="21">
        <f t="shared" si="24"/>
        <v>1</v>
      </c>
      <c r="AQ47" s="169">
        <f t="shared" si="21"/>
        <v>0</v>
      </c>
      <c r="AR47" s="263">
        <f t="shared" si="25"/>
        <v>0</v>
      </c>
    </row>
    <row r="48" spans="2:44" hidden="1">
      <c r="B48" s="21">
        <f>'MaterialCosts Summary'!B48</f>
        <v>40</v>
      </c>
      <c r="C48" s="26"/>
      <c r="D48" s="23">
        <f>'MaterialCosts Summary'!D48</f>
        <v>0</v>
      </c>
      <c r="E48" s="256">
        <f>'MaterialCosts Summary'!E48</f>
        <v>0</v>
      </c>
      <c r="F48" s="257">
        <v>0</v>
      </c>
      <c r="G48" s="257">
        <v>0</v>
      </c>
      <c r="H48" s="257">
        <v>0</v>
      </c>
      <c r="I48" s="258">
        <f t="shared" si="13"/>
        <v>0</v>
      </c>
      <c r="J48" s="258"/>
      <c r="K48" s="259">
        <f t="shared" si="14"/>
        <v>0</v>
      </c>
      <c r="L48" s="258">
        <v>0</v>
      </c>
      <c r="M48" s="259">
        <f t="shared" si="0"/>
        <v>0</v>
      </c>
      <c r="N48" s="258">
        <v>0</v>
      </c>
      <c r="O48" s="259">
        <f t="shared" si="1"/>
        <v>0</v>
      </c>
      <c r="P48" s="258">
        <f t="shared" si="2"/>
        <v>0</v>
      </c>
      <c r="Q48" s="258"/>
      <c r="R48" s="259">
        <f t="shared" si="3"/>
        <v>0</v>
      </c>
      <c r="S48" s="258">
        <f t="shared" si="4"/>
        <v>0</v>
      </c>
      <c r="T48" s="258"/>
      <c r="U48" s="259">
        <f t="shared" si="5"/>
        <v>0</v>
      </c>
      <c r="V48" s="258">
        <f t="shared" si="6"/>
        <v>0</v>
      </c>
      <c r="W48" s="258"/>
      <c r="X48" s="259">
        <f t="shared" si="7"/>
        <v>0</v>
      </c>
      <c r="Y48" s="258">
        <v>0</v>
      </c>
      <c r="Z48" s="259">
        <f t="shared" si="8"/>
        <v>0</v>
      </c>
      <c r="AA48" s="258">
        <v>0</v>
      </c>
      <c r="AB48" s="24">
        <v>1</v>
      </c>
      <c r="AC48" s="260">
        <f t="shared" si="15"/>
        <v>0</v>
      </c>
      <c r="AD48" s="299">
        <f t="shared" si="16"/>
        <v>0</v>
      </c>
      <c r="AE48" s="261">
        <f t="shared" si="17"/>
        <v>0</v>
      </c>
      <c r="AF48" s="262">
        <f t="shared" si="17"/>
        <v>0</v>
      </c>
      <c r="AG48" s="254"/>
      <c r="AI48" s="153">
        <f t="shared" si="18"/>
        <v>0</v>
      </c>
      <c r="AJ48" s="156">
        <f t="shared" si="19"/>
        <v>0</v>
      </c>
      <c r="AK48" s="147">
        <f t="shared" si="22"/>
        <v>0</v>
      </c>
      <c r="AM48" s="160">
        <f t="shared" si="23"/>
        <v>0</v>
      </c>
      <c r="AN48" s="150">
        <f t="shared" si="20"/>
        <v>0</v>
      </c>
      <c r="AP48" s="21">
        <f t="shared" si="24"/>
        <v>1</v>
      </c>
      <c r="AQ48" s="169">
        <f t="shared" si="21"/>
        <v>0</v>
      </c>
      <c r="AR48" s="263">
        <f t="shared" si="25"/>
        <v>0</v>
      </c>
    </row>
    <row r="49" spans="2:44" hidden="1">
      <c r="B49" s="21">
        <f>'MaterialCosts Summary'!B49</f>
        <v>41</v>
      </c>
      <c r="C49" s="26"/>
      <c r="D49" s="23">
        <f>'MaterialCosts Summary'!D49</f>
        <v>0</v>
      </c>
      <c r="E49" s="256">
        <f>'MaterialCosts Summary'!E49</f>
        <v>0</v>
      </c>
      <c r="F49" s="257">
        <v>0</v>
      </c>
      <c r="G49" s="257">
        <v>0</v>
      </c>
      <c r="H49" s="257">
        <v>0</v>
      </c>
      <c r="I49" s="258">
        <f t="shared" si="13"/>
        <v>0</v>
      </c>
      <c r="J49" s="258"/>
      <c r="K49" s="259">
        <f t="shared" si="14"/>
        <v>0</v>
      </c>
      <c r="L49" s="258">
        <v>0</v>
      </c>
      <c r="M49" s="259">
        <f t="shared" si="0"/>
        <v>0</v>
      </c>
      <c r="N49" s="258">
        <v>0</v>
      </c>
      <c r="O49" s="259">
        <f t="shared" si="1"/>
        <v>0</v>
      </c>
      <c r="P49" s="258">
        <f t="shared" si="2"/>
        <v>0</v>
      </c>
      <c r="Q49" s="258"/>
      <c r="R49" s="259">
        <f t="shared" si="3"/>
        <v>0</v>
      </c>
      <c r="S49" s="258">
        <f t="shared" si="4"/>
        <v>0</v>
      </c>
      <c r="T49" s="258"/>
      <c r="U49" s="259">
        <f t="shared" si="5"/>
        <v>0</v>
      </c>
      <c r="V49" s="258">
        <f t="shared" si="6"/>
        <v>0</v>
      </c>
      <c r="W49" s="258"/>
      <c r="X49" s="259">
        <f t="shared" si="7"/>
        <v>0</v>
      </c>
      <c r="Y49" s="258">
        <v>0</v>
      </c>
      <c r="Z49" s="259">
        <f t="shared" si="8"/>
        <v>0</v>
      </c>
      <c r="AA49" s="258">
        <v>0</v>
      </c>
      <c r="AB49" s="24">
        <v>1</v>
      </c>
      <c r="AC49" s="260">
        <f t="shared" si="15"/>
        <v>0</v>
      </c>
      <c r="AD49" s="297">
        <f t="shared" si="16"/>
        <v>0</v>
      </c>
      <c r="AE49" s="261">
        <f t="shared" si="17"/>
        <v>0</v>
      </c>
      <c r="AF49" s="262">
        <f t="shared" si="17"/>
        <v>0</v>
      </c>
      <c r="AG49" s="254"/>
      <c r="AI49" s="153">
        <f t="shared" si="18"/>
        <v>0</v>
      </c>
      <c r="AJ49" s="156">
        <f t="shared" si="19"/>
        <v>0</v>
      </c>
      <c r="AK49" s="147">
        <f t="shared" si="22"/>
        <v>0</v>
      </c>
      <c r="AM49" s="160">
        <f t="shared" si="23"/>
        <v>0</v>
      </c>
      <c r="AN49" s="150">
        <f t="shared" si="20"/>
        <v>0</v>
      </c>
      <c r="AP49" s="21">
        <f t="shared" si="24"/>
        <v>1</v>
      </c>
      <c r="AQ49" s="169">
        <f t="shared" si="21"/>
        <v>0</v>
      </c>
      <c r="AR49" s="263">
        <f t="shared" si="25"/>
        <v>0</v>
      </c>
    </row>
    <row r="50" spans="2:44" hidden="1">
      <c r="B50" s="21">
        <f>'MaterialCosts Summary'!B50</f>
        <v>42</v>
      </c>
      <c r="C50" s="26"/>
      <c r="D50" s="23">
        <f>'MaterialCosts Summary'!D50</f>
        <v>0</v>
      </c>
      <c r="E50" s="256">
        <f>'MaterialCosts Summary'!E50</f>
        <v>0</v>
      </c>
      <c r="F50" s="257">
        <v>0</v>
      </c>
      <c r="G50" s="257">
        <v>0</v>
      </c>
      <c r="H50" s="257">
        <v>0</v>
      </c>
      <c r="I50" s="258">
        <f t="shared" si="13"/>
        <v>0</v>
      </c>
      <c r="J50" s="258"/>
      <c r="K50" s="259">
        <f t="shared" si="14"/>
        <v>0</v>
      </c>
      <c r="L50" s="258">
        <v>0</v>
      </c>
      <c r="M50" s="259">
        <f t="shared" si="0"/>
        <v>0</v>
      </c>
      <c r="N50" s="258">
        <v>0</v>
      </c>
      <c r="O50" s="259">
        <f t="shared" si="1"/>
        <v>0</v>
      </c>
      <c r="P50" s="258">
        <f t="shared" si="2"/>
        <v>0</v>
      </c>
      <c r="Q50" s="258"/>
      <c r="R50" s="259">
        <f t="shared" si="3"/>
        <v>0</v>
      </c>
      <c r="S50" s="258">
        <f t="shared" si="4"/>
        <v>0</v>
      </c>
      <c r="T50" s="258"/>
      <c r="U50" s="259">
        <f t="shared" si="5"/>
        <v>0</v>
      </c>
      <c r="V50" s="258">
        <f t="shared" si="6"/>
        <v>0</v>
      </c>
      <c r="W50" s="258"/>
      <c r="X50" s="259">
        <f t="shared" si="7"/>
        <v>0</v>
      </c>
      <c r="Y50" s="258">
        <v>0</v>
      </c>
      <c r="Z50" s="259">
        <f t="shared" si="8"/>
        <v>0</v>
      </c>
      <c r="AA50" s="258">
        <v>0</v>
      </c>
      <c r="AB50" s="24">
        <v>1</v>
      </c>
      <c r="AC50" s="260">
        <f t="shared" si="15"/>
        <v>0</v>
      </c>
      <c r="AD50" s="298">
        <f t="shared" si="16"/>
        <v>0</v>
      </c>
      <c r="AE50" s="261">
        <f t="shared" si="17"/>
        <v>0</v>
      </c>
      <c r="AF50" s="262">
        <f t="shared" si="17"/>
        <v>0</v>
      </c>
      <c r="AG50" s="254"/>
      <c r="AI50" s="153">
        <f t="shared" si="18"/>
        <v>0</v>
      </c>
      <c r="AJ50" s="156">
        <f t="shared" si="19"/>
        <v>0</v>
      </c>
      <c r="AK50" s="147">
        <f t="shared" si="22"/>
        <v>0</v>
      </c>
      <c r="AM50" s="160">
        <f t="shared" si="23"/>
        <v>0</v>
      </c>
      <c r="AN50" s="150">
        <f t="shared" si="20"/>
        <v>0</v>
      </c>
      <c r="AP50" s="21">
        <f t="shared" si="24"/>
        <v>1</v>
      </c>
      <c r="AQ50" s="169">
        <f t="shared" si="21"/>
        <v>0</v>
      </c>
      <c r="AR50" s="263">
        <f t="shared" si="25"/>
        <v>0</v>
      </c>
    </row>
    <row r="51" spans="2:44" hidden="1">
      <c r="B51" s="21">
        <f>'MaterialCosts Summary'!B51</f>
        <v>43</v>
      </c>
      <c r="C51" s="26"/>
      <c r="D51" s="23">
        <f>'MaterialCosts Summary'!D51</f>
        <v>0</v>
      </c>
      <c r="E51" s="256">
        <f>'MaterialCosts Summary'!E51</f>
        <v>0</v>
      </c>
      <c r="F51" s="257">
        <v>0</v>
      </c>
      <c r="G51" s="257">
        <v>0</v>
      </c>
      <c r="H51" s="257">
        <v>0</v>
      </c>
      <c r="I51" s="258">
        <f t="shared" si="13"/>
        <v>0</v>
      </c>
      <c r="J51" s="258"/>
      <c r="K51" s="259">
        <f t="shared" si="14"/>
        <v>0</v>
      </c>
      <c r="L51" s="258">
        <v>0</v>
      </c>
      <c r="M51" s="259">
        <f t="shared" si="0"/>
        <v>0</v>
      </c>
      <c r="N51" s="258">
        <v>0</v>
      </c>
      <c r="O51" s="259">
        <f t="shared" si="1"/>
        <v>0</v>
      </c>
      <c r="P51" s="258">
        <f t="shared" si="2"/>
        <v>0</v>
      </c>
      <c r="Q51" s="258"/>
      <c r="R51" s="259">
        <f t="shared" si="3"/>
        <v>0</v>
      </c>
      <c r="S51" s="258">
        <f t="shared" si="4"/>
        <v>0</v>
      </c>
      <c r="T51" s="258"/>
      <c r="U51" s="259">
        <f t="shared" si="5"/>
        <v>0</v>
      </c>
      <c r="V51" s="258">
        <f t="shared" si="6"/>
        <v>0</v>
      </c>
      <c r="W51" s="258"/>
      <c r="X51" s="259">
        <f t="shared" si="7"/>
        <v>0</v>
      </c>
      <c r="Y51" s="258">
        <v>0</v>
      </c>
      <c r="Z51" s="259">
        <f t="shared" si="8"/>
        <v>0</v>
      </c>
      <c r="AA51" s="258">
        <v>0</v>
      </c>
      <c r="AB51" s="24">
        <v>1</v>
      </c>
      <c r="AC51" s="260">
        <f t="shared" si="15"/>
        <v>0</v>
      </c>
      <c r="AD51" s="299">
        <f t="shared" si="16"/>
        <v>0</v>
      </c>
      <c r="AE51" s="261">
        <f t="shared" si="17"/>
        <v>0</v>
      </c>
      <c r="AF51" s="262">
        <f t="shared" si="17"/>
        <v>0</v>
      </c>
      <c r="AG51" s="254"/>
      <c r="AI51" s="153">
        <f t="shared" si="18"/>
        <v>0</v>
      </c>
      <c r="AJ51" s="156">
        <f t="shared" si="19"/>
        <v>0</v>
      </c>
      <c r="AK51" s="147">
        <f t="shared" si="22"/>
        <v>0</v>
      </c>
      <c r="AM51" s="160">
        <f t="shared" si="23"/>
        <v>0</v>
      </c>
      <c r="AN51" s="150">
        <f t="shared" si="20"/>
        <v>0</v>
      </c>
      <c r="AP51" s="21">
        <f t="shared" si="24"/>
        <v>1</v>
      </c>
      <c r="AQ51" s="169">
        <f t="shared" si="21"/>
        <v>0</v>
      </c>
      <c r="AR51" s="263">
        <f t="shared" si="25"/>
        <v>0</v>
      </c>
    </row>
    <row r="52" spans="2:44" hidden="1">
      <c r="B52" s="21">
        <f>'MaterialCosts Summary'!B52</f>
        <v>44</v>
      </c>
      <c r="C52" s="26"/>
      <c r="D52" s="23">
        <f>'MaterialCosts Summary'!D52</f>
        <v>0</v>
      </c>
      <c r="E52" s="256">
        <f>'MaterialCosts Summary'!E52</f>
        <v>0</v>
      </c>
      <c r="F52" s="257">
        <v>0</v>
      </c>
      <c r="G52" s="257">
        <v>0</v>
      </c>
      <c r="H52" s="257">
        <v>0</v>
      </c>
      <c r="I52" s="258">
        <f t="shared" si="13"/>
        <v>0</v>
      </c>
      <c r="J52" s="258"/>
      <c r="K52" s="259">
        <f t="shared" si="14"/>
        <v>0</v>
      </c>
      <c r="L52" s="258">
        <v>0</v>
      </c>
      <c r="M52" s="259">
        <f t="shared" si="0"/>
        <v>0</v>
      </c>
      <c r="N52" s="258">
        <v>0</v>
      </c>
      <c r="O52" s="259">
        <f t="shared" si="1"/>
        <v>0</v>
      </c>
      <c r="P52" s="258">
        <f t="shared" si="2"/>
        <v>0</v>
      </c>
      <c r="Q52" s="258"/>
      <c r="R52" s="259">
        <f t="shared" si="3"/>
        <v>0</v>
      </c>
      <c r="S52" s="258">
        <f t="shared" si="4"/>
        <v>0</v>
      </c>
      <c r="T52" s="258"/>
      <c r="U52" s="259">
        <f t="shared" si="5"/>
        <v>0</v>
      </c>
      <c r="V52" s="258">
        <f t="shared" si="6"/>
        <v>0</v>
      </c>
      <c r="W52" s="258"/>
      <c r="X52" s="259">
        <f t="shared" si="7"/>
        <v>0</v>
      </c>
      <c r="Y52" s="258">
        <v>0</v>
      </c>
      <c r="Z52" s="259">
        <f t="shared" si="8"/>
        <v>0</v>
      </c>
      <c r="AA52" s="258">
        <v>0</v>
      </c>
      <c r="AB52" s="24">
        <v>1</v>
      </c>
      <c r="AC52" s="260">
        <f t="shared" si="15"/>
        <v>0</v>
      </c>
      <c r="AD52" s="299">
        <f t="shared" si="16"/>
        <v>0</v>
      </c>
      <c r="AE52" s="261">
        <f t="shared" si="17"/>
        <v>0</v>
      </c>
      <c r="AF52" s="262">
        <f t="shared" si="17"/>
        <v>0</v>
      </c>
      <c r="AG52" s="254"/>
      <c r="AI52" s="153">
        <f t="shared" si="18"/>
        <v>0</v>
      </c>
      <c r="AJ52" s="156">
        <f t="shared" si="19"/>
        <v>0</v>
      </c>
      <c r="AK52" s="147">
        <f t="shared" si="22"/>
        <v>0</v>
      </c>
      <c r="AM52" s="160">
        <f t="shared" si="23"/>
        <v>0</v>
      </c>
      <c r="AN52" s="150">
        <f t="shared" si="20"/>
        <v>0</v>
      </c>
      <c r="AP52" s="21">
        <f t="shared" si="24"/>
        <v>1</v>
      </c>
      <c r="AQ52" s="169">
        <f t="shared" si="21"/>
        <v>0</v>
      </c>
      <c r="AR52" s="263">
        <f t="shared" si="25"/>
        <v>0</v>
      </c>
    </row>
    <row r="53" spans="2:44" hidden="1">
      <c r="B53" s="21">
        <f>'MaterialCosts Summary'!B53</f>
        <v>45</v>
      </c>
      <c r="C53" s="26"/>
      <c r="D53" s="23">
        <f>'MaterialCosts Summary'!D53</f>
        <v>0</v>
      </c>
      <c r="E53" s="256">
        <f>'MaterialCosts Summary'!E53</f>
        <v>0</v>
      </c>
      <c r="F53" s="257">
        <v>0</v>
      </c>
      <c r="G53" s="257">
        <v>0</v>
      </c>
      <c r="H53" s="257">
        <v>0</v>
      </c>
      <c r="I53" s="258">
        <f t="shared" si="13"/>
        <v>0</v>
      </c>
      <c r="J53" s="258"/>
      <c r="K53" s="259">
        <f t="shared" si="14"/>
        <v>0</v>
      </c>
      <c r="L53" s="258">
        <v>0</v>
      </c>
      <c r="M53" s="259">
        <f t="shared" si="0"/>
        <v>0</v>
      </c>
      <c r="N53" s="258">
        <v>0</v>
      </c>
      <c r="O53" s="259">
        <f t="shared" si="1"/>
        <v>0</v>
      </c>
      <c r="P53" s="258">
        <f t="shared" si="2"/>
        <v>0</v>
      </c>
      <c r="Q53" s="258"/>
      <c r="R53" s="259">
        <f t="shared" si="3"/>
        <v>0</v>
      </c>
      <c r="S53" s="258">
        <f t="shared" si="4"/>
        <v>0</v>
      </c>
      <c r="T53" s="258"/>
      <c r="U53" s="259">
        <f t="shared" si="5"/>
        <v>0</v>
      </c>
      <c r="V53" s="258">
        <f t="shared" si="6"/>
        <v>0</v>
      </c>
      <c r="W53" s="258"/>
      <c r="X53" s="259">
        <f t="shared" si="7"/>
        <v>0</v>
      </c>
      <c r="Y53" s="258">
        <v>0</v>
      </c>
      <c r="Z53" s="259">
        <f t="shared" si="8"/>
        <v>0</v>
      </c>
      <c r="AA53" s="258">
        <v>0</v>
      </c>
      <c r="AB53" s="24">
        <v>1</v>
      </c>
      <c r="AC53" s="260">
        <f t="shared" si="15"/>
        <v>0</v>
      </c>
      <c r="AD53" s="297">
        <f t="shared" si="16"/>
        <v>0</v>
      </c>
      <c r="AE53" s="261">
        <f t="shared" si="17"/>
        <v>0</v>
      </c>
      <c r="AF53" s="262">
        <f t="shared" si="17"/>
        <v>0</v>
      </c>
      <c r="AG53" s="254"/>
      <c r="AI53" s="153">
        <f t="shared" si="18"/>
        <v>0</v>
      </c>
      <c r="AJ53" s="156">
        <f t="shared" si="19"/>
        <v>0</v>
      </c>
      <c r="AK53" s="147">
        <f t="shared" si="22"/>
        <v>0</v>
      </c>
      <c r="AM53" s="160">
        <f t="shared" si="23"/>
        <v>0</v>
      </c>
      <c r="AN53" s="150">
        <f t="shared" si="20"/>
        <v>0</v>
      </c>
      <c r="AP53" s="21">
        <f t="shared" si="24"/>
        <v>1</v>
      </c>
      <c r="AQ53" s="169">
        <f t="shared" si="21"/>
        <v>0</v>
      </c>
      <c r="AR53" s="263">
        <f t="shared" si="25"/>
        <v>0</v>
      </c>
    </row>
    <row r="54" spans="2:44" hidden="1">
      <c r="B54" s="21">
        <f>'MaterialCosts Summary'!B54</f>
        <v>46</v>
      </c>
      <c r="C54" s="26"/>
      <c r="D54" s="23">
        <f>'MaterialCosts Summary'!D54</f>
        <v>0</v>
      </c>
      <c r="E54" s="256">
        <f>'MaterialCosts Summary'!E54</f>
        <v>0</v>
      </c>
      <c r="F54" s="257">
        <v>0</v>
      </c>
      <c r="G54" s="257">
        <v>0</v>
      </c>
      <c r="H54" s="257">
        <v>0</v>
      </c>
      <c r="I54" s="258">
        <f t="shared" si="13"/>
        <v>0</v>
      </c>
      <c r="J54" s="258"/>
      <c r="K54" s="259">
        <f t="shared" si="14"/>
        <v>0</v>
      </c>
      <c r="L54" s="258">
        <v>0</v>
      </c>
      <c r="M54" s="259">
        <f t="shared" si="0"/>
        <v>0</v>
      </c>
      <c r="N54" s="258">
        <v>0</v>
      </c>
      <c r="O54" s="259">
        <f t="shared" si="1"/>
        <v>0</v>
      </c>
      <c r="P54" s="258">
        <f t="shared" si="2"/>
        <v>0</v>
      </c>
      <c r="Q54" s="258"/>
      <c r="R54" s="259">
        <f t="shared" si="3"/>
        <v>0</v>
      </c>
      <c r="S54" s="258">
        <f t="shared" si="4"/>
        <v>0</v>
      </c>
      <c r="T54" s="258"/>
      <c r="U54" s="259">
        <f t="shared" si="5"/>
        <v>0</v>
      </c>
      <c r="V54" s="258">
        <f t="shared" si="6"/>
        <v>0</v>
      </c>
      <c r="W54" s="258"/>
      <c r="X54" s="259">
        <f t="shared" si="7"/>
        <v>0</v>
      </c>
      <c r="Y54" s="258">
        <v>0</v>
      </c>
      <c r="Z54" s="259">
        <f t="shared" si="8"/>
        <v>0</v>
      </c>
      <c r="AA54" s="258">
        <v>0</v>
      </c>
      <c r="AB54" s="24">
        <v>1</v>
      </c>
      <c r="AC54" s="260">
        <f t="shared" si="15"/>
        <v>0</v>
      </c>
      <c r="AD54" s="298">
        <f t="shared" si="16"/>
        <v>0</v>
      </c>
      <c r="AE54" s="261">
        <f t="shared" si="17"/>
        <v>0</v>
      </c>
      <c r="AF54" s="262">
        <f t="shared" si="17"/>
        <v>0</v>
      </c>
      <c r="AG54" s="254"/>
      <c r="AI54" s="153">
        <f t="shared" si="18"/>
        <v>0</v>
      </c>
      <c r="AJ54" s="156">
        <f t="shared" si="19"/>
        <v>0</v>
      </c>
      <c r="AK54" s="147">
        <f t="shared" si="22"/>
        <v>0</v>
      </c>
      <c r="AM54" s="160">
        <f t="shared" si="23"/>
        <v>0</v>
      </c>
      <c r="AN54" s="150">
        <f t="shared" si="20"/>
        <v>0</v>
      </c>
      <c r="AP54" s="21">
        <f t="shared" si="24"/>
        <v>1</v>
      </c>
      <c r="AQ54" s="169">
        <f t="shared" si="21"/>
        <v>0</v>
      </c>
      <c r="AR54" s="263">
        <f t="shared" si="25"/>
        <v>0</v>
      </c>
    </row>
    <row r="55" spans="2:44" hidden="1">
      <c r="B55" s="21">
        <f>'MaterialCosts Summary'!B55</f>
        <v>47</v>
      </c>
      <c r="C55" s="26"/>
      <c r="D55" s="23">
        <f>'MaterialCosts Summary'!D55</f>
        <v>0</v>
      </c>
      <c r="E55" s="256">
        <f>'MaterialCosts Summary'!E55</f>
        <v>0</v>
      </c>
      <c r="F55" s="257">
        <v>0</v>
      </c>
      <c r="G55" s="257">
        <v>0</v>
      </c>
      <c r="H55" s="257">
        <v>0</v>
      </c>
      <c r="I55" s="258">
        <f t="shared" si="13"/>
        <v>0</v>
      </c>
      <c r="J55" s="258"/>
      <c r="K55" s="259">
        <f t="shared" si="14"/>
        <v>0</v>
      </c>
      <c r="L55" s="258">
        <v>0</v>
      </c>
      <c r="M55" s="259">
        <f t="shared" si="0"/>
        <v>0</v>
      </c>
      <c r="N55" s="258">
        <v>0</v>
      </c>
      <c r="O55" s="259">
        <f t="shared" si="1"/>
        <v>0</v>
      </c>
      <c r="P55" s="258">
        <f t="shared" si="2"/>
        <v>0</v>
      </c>
      <c r="Q55" s="258"/>
      <c r="R55" s="259">
        <f t="shared" si="3"/>
        <v>0</v>
      </c>
      <c r="S55" s="258">
        <f t="shared" si="4"/>
        <v>0</v>
      </c>
      <c r="T55" s="258"/>
      <c r="U55" s="259">
        <f t="shared" si="5"/>
        <v>0</v>
      </c>
      <c r="V55" s="258">
        <f t="shared" si="6"/>
        <v>0</v>
      </c>
      <c r="W55" s="258"/>
      <c r="X55" s="259">
        <f t="shared" si="7"/>
        <v>0</v>
      </c>
      <c r="Y55" s="258">
        <v>0</v>
      </c>
      <c r="Z55" s="259">
        <f t="shared" si="8"/>
        <v>0</v>
      </c>
      <c r="AA55" s="258">
        <v>0</v>
      </c>
      <c r="AB55" s="24">
        <v>1</v>
      </c>
      <c r="AC55" s="260">
        <f t="shared" si="15"/>
        <v>0</v>
      </c>
      <c r="AD55" s="299">
        <f t="shared" si="16"/>
        <v>0</v>
      </c>
      <c r="AE55" s="261">
        <f t="shared" si="17"/>
        <v>0</v>
      </c>
      <c r="AF55" s="262">
        <f t="shared" si="17"/>
        <v>0</v>
      </c>
      <c r="AG55" s="254"/>
      <c r="AI55" s="153">
        <f t="shared" si="18"/>
        <v>0</v>
      </c>
      <c r="AJ55" s="156">
        <f t="shared" si="19"/>
        <v>0</v>
      </c>
      <c r="AK55" s="147">
        <f t="shared" si="22"/>
        <v>0</v>
      </c>
      <c r="AM55" s="160">
        <f t="shared" si="23"/>
        <v>0</v>
      </c>
      <c r="AN55" s="150">
        <f t="shared" si="20"/>
        <v>0</v>
      </c>
      <c r="AP55" s="21">
        <f t="shared" si="24"/>
        <v>1</v>
      </c>
      <c r="AQ55" s="169">
        <f t="shared" si="21"/>
        <v>0</v>
      </c>
      <c r="AR55" s="263">
        <f t="shared" si="25"/>
        <v>0</v>
      </c>
    </row>
    <row r="56" spans="2:44" hidden="1">
      <c r="B56" s="21">
        <f>'MaterialCosts Summary'!B56</f>
        <v>48</v>
      </c>
      <c r="C56" s="26"/>
      <c r="D56" s="23">
        <f>'MaterialCosts Summary'!D56</f>
        <v>0</v>
      </c>
      <c r="E56" s="256">
        <f>'MaterialCosts Summary'!E56</f>
        <v>0</v>
      </c>
      <c r="F56" s="257">
        <v>0</v>
      </c>
      <c r="G56" s="257">
        <v>0</v>
      </c>
      <c r="H56" s="257">
        <v>0</v>
      </c>
      <c r="I56" s="258">
        <f t="shared" si="13"/>
        <v>0</v>
      </c>
      <c r="J56" s="258"/>
      <c r="K56" s="259">
        <f t="shared" si="14"/>
        <v>0</v>
      </c>
      <c r="L56" s="258">
        <v>0</v>
      </c>
      <c r="M56" s="259">
        <f t="shared" si="0"/>
        <v>0</v>
      </c>
      <c r="N56" s="258">
        <v>0</v>
      </c>
      <c r="O56" s="259">
        <f t="shared" si="1"/>
        <v>0</v>
      </c>
      <c r="P56" s="258">
        <f t="shared" si="2"/>
        <v>0</v>
      </c>
      <c r="Q56" s="258"/>
      <c r="R56" s="259">
        <f t="shared" si="3"/>
        <v>0</v>
      </c>
      <c r="S56" s="258">
        <f t="shared" si="4"/>
        <v>0</v>
      </c>
      <c r="T56" s="258"/>
      <c r="U56" s="259">
        <f t="shared" si="5"/>
        <v>0</v>
      </c>
      <c r="V56" s="258">
        <f t="shared" si="6"/>
        <v>0</v>
      </c>
      <c r="W56" s="258"/>
      <c r="X56" s="259">
        <f t="shared" si="7"/>
        <v>0</v>
      </c>
      <c r="Y56" s="258">
        <v>0</v>
      </c>
      <c r="Z56" s="259">
        <f t="shared" si="8"/>
        <v>0</v>
      </c>
      <c r="AA56" s="258">
        <v>0</v>
      </c>
      <c r="AB56" s="24">
        <v>1</v>
      </c>
      <c r="AC56" s="260">
        <f t="shared" si="15"/>
        <v>0</v>
      </c>
      <c r="AD56" s="299">
        <f t="shared" si="16"/>
        <v>0</v>
      </c>
      <c r="AE56" s="261">
        <f t="shared" si="17"/>
        <v>0</v>
      </c>
      <c r="AF56" s="262">
        <f t="shared" si="17"/>
        <v>0</v>
      </c>
      <c r="AG56" s="254"/>
      <c r="AI56" s="153">
        <f t="shared" si="18"/>
        <v>0</v>
      </c>
      <c r="AJ56" s="156">
        <f t="shared" si="19"/>
        <v>0</v>
      </c>
      <c r="AK56" s="147">
        <f t="shared" si="22"/>
        <v>0</v>
      </c>
      <c r="AM56" s="160">
        <f t="shared" si="23"/>
        <v>0</v>
      </c>
      <c r="AN56" s="150">
        <f t="shared" si="20"/>
        <v>0</v>
      </c>
      <c r="AP56" s="21">
        <f t="shared" si="24"/>
        <v>1</v>
      </c>
      <c r="AQ56" s="169">
        <f t="shared" si="21"/>
        <v>0</v>
      </c>
      <c r="AR56" s="263">
        <f t="shared" si="25"/>
        <v>0</v>
      </c>
    </row>
    <row r="57" spans="2:44" hidden="1">
      <c r="B57" s="21">
        <f>'MaterialCosts Summary'!B57</f>
        <v>49</v>
      </c>
      <c r="C57" s="26"/>
      <c r="D57" s="23">
        <f>'MaterialCosts Summary'!D57</f>
        <v>0</v>
      </c>
      <c r="E57" s="256">
        <f>'MaterialCosts Summary'!E57</f>
        <v>0</v>
      </c>
      <c r="F57" s="257">
        <v>0</v>
      </c>
      <c r="G57" s="257">
        <v>0</v>
      </c>
      <c r="H57" s="257">
        <v>0</v>
      </c>
      <c r="I57" s="258">
        <f t="shared" si="13"/>
        <v>0</v>
      </c>
      <c r="J57" s="258"/>
      <c r="K57" s="259">
        <f t="shared" si="14"/>
        <v>0</v>
      </c>
      <c r="L57" s="258">
        <v>0</v>
      </c>
      <c r="M57" s="259">
        <f t="shared" si="0"/>
        <v>0</v>
      </c>
      <c r="N57" s="258">
        <v>0</v>
      </c>
      <c r="O57" s="259">
        <f t="shared" si="1"/>
        <v>0</v>
      </c>
      <c r="P57" s="258">
        <f t="shared" si="2"/>
        <v>0</v>
      </c>
      <c r="Q57" s="258"/>
      <c r="R57" s="259">
        <f t="shared" si="3"/>
        <v>0</v>
      </c>
      <c r="S57" s="258">
        <f t="shared" si="4"/>
        <v>0</v>
      </c>
      <c r="T57" s="258"/>
      <c r="U57" s="259">
        <f t="shared" si="5"/>
        <v>0</v>
      </c>
      <c r="V57" s="258">
        <f t="shared" si="6"/>
        <v>0</v>
      </c>
      <c r="W57" s="258"/>
      <c r="X57" s="259">
        <f t="shared" si="7"/>
        <v>0</v>
      </c>
      <c r="Y57" s="258">
        <v>0</v>
      </c>
      <c r="Z57" s="259">
        <f t="shared" si="8"/>
        <v>0</v>
      </c>
      <c r="AA57" s="258">
        <v>0</v>
      </c>
      <c r="AB57" s="24">
        <v>1</v>
      </c>
      <c r="AC57" s="260">
        <f t="shared" si="15"/>
        <v>0</v>
      </c>
      <c r="AD57" s="297">
        <f t="shared" si="16"/>
        <v>0</v>
      </c>
      <c r="AE57" s="261">
        <f t="shared" si="17"/>
        <v>0</v>
      </c>
      <c r="AF57" s="262">
        <f t="shared" si="17"/>
        <v>0</v>
      </c>
      <c r="AG57" s="254"/>
      <c r="AI57" s="153">
        <f t="shared" si="18"/>
        <v>0</v>
      </c>
      <c r="AJ57" s="156">
        <f t="shared" si="19"/>
        <v>0</v>
      </c>
      <c r="AK57" s="147">
        <f t="shared" si="22"/>
        <v>0</v>
      </c>
      <c r="AM57" s="160">
        <f t="shared" si="23"/>
        <v>0</v>
      </c>
      <c r="AN57" s="150">
        <f t="shared" si="20"/>
        <v>0</v>
      </c>
      <c r="AP57" s="21">
        <f t="shared" si="24"/>
        <v>1</v>
      </c>
      <c r="AQ57" s="169">
        <f t="shared" si="21"/>
        <v>0</v>
      </c>
      <c r="AR57" s="263">
        <f t="shared" si="25"/>
        <v>0</v>
      </c>
    </row>
    <row r="58" spans="2:44" hidden="1">
      <c r="B58" s="21">
        <f>'MaterialCosts Summary'!B58</f>
        <v>50</v>
      </c>
      <c r="C58" s="26"/>
      <c r="D58" s="23">
        <f>'MaterialCosts Summary'!D58</f>
        <v>0</v>
      </c>
      <c r="E58" s="256">
        <f>'MaterialCosts Summary'!E58</f>
        <v>0</v>
      </c>
      <c r="F58" s="257">
        <v>0</v>
      </c>
      <c r="G58" s="257">
        <v>0</v>
      </c>
      <c r="H58" s="257">
        <v>0</v>
      </c>
      <c r="I58" s="258">
        <f t="shared" si="13"/>
        <v>0</v>
      </c>
      <c r="J58" s="258"/>
      <c r="K58" s="259">
        <f t="shared" si="14"/>
        <v>0</v>
      </c>
      <c r="L58" s="258">
        <v>0</v>
      </c>
      <c r="M58" s="259">
        <f t="shared" si="0"/>
        <v>0</v>
      </c>
      <c r="N58" s="258">
        <v>0</v>
      </c>
      <c r="O58" s="259">
        <f t="shared" si="1"/>
        <v>0</v>
      </c>
      <c r="P58" s="258">
        <f t="shared" si="2"/>
        <v>0</v>
      </c>
      <c r="Q58" s="258"/>
      <c r="R58" s="259">
        <f t="shared" si="3"/>
        <v>0</v>
      </c>
      <c r="S58" s="258">
        <f t="shared" si="4"/>
        <v>0</v>
      </c>
      <c r="T58" s="258"/>
      <c r="U58" s="259">
        <f t="shared" si="5"/>
        <v>0</v>
      </c>
      <c r="V58" s="258">
        <f t="shared" si="6"/>
        <v>0</v>
      </c>
      <c r="W58" s="258"/>
      <c r="X58" s="259">
        <f t="shared" si="7"/>
        <v>0</v>
      </c>
      <c r="Y58" s="258">
        <v>0</v>
      </c>
      <c r="Z58" s="259">
        <f t="shared" si="8"/>
        <v>0</v>
      </c>
      <c r="AA58" s="258">
        <v>0</v>
      </c>
      <c r="AB58" s="24">
        <v>1</v>
      </c>
      <c r="AC58" s="260">
        <f t="shared" si="15"/>
        <v>0</v>
      </c>
      <c r="AD58" s="298">
        <f t="shared" si="16"/>
        <v>0</v>
      </c>
      <c r="AE58" s="261">
        <f t="shared" si="17"/>
        <v>0</v>
      </c>
      <c r="AF58" s="262">
        <f t="shared" si="17"/>
        <v>0</v>
      </c>
      <c r="AG58" s="254"/>
      <c r="AI58" s="153">
        <f t="shared" si="18"/>
        <v>0</v>
      </c>
      <c r="AJ58" s="156">
        <f t="shared" si="19"/>
        <v>0</v>
      </c>
      <c r="AK58" s="147">
        <f t="shared" si="22"/>
        <v>0</v>
      </c>
      <c r="AM58" s="160">
        <f t="shared" si="23"/>
        <v>0</v>
      </c>
      <c r="AN58" s="150">
        <f t="shared" si="20"/>
        <v>0</v>
      </c>
      <c r="AP58" s="21">
        <f t="shared" si="24"/>
        <v>1</v>
      </c>
      <c r="AQ58" s="169">
        <f t="shared" si="21"/>
        <v>0</v>
      </c>
      <c r="AR58" s="263">
        <f t="shared" si="25"/>
        <v>0</v>
      </c>
    </row>
    <row r="59" spans="2:44" hidden="1">
      <c r="B59" s="21">
        <f>'MaterialCosts Summary'!B59</f>
        <v>51</v>
      </c>
      <c r="C59" s="26"/>
      <c r="D59" s="23">
        <f>'MaterialCosts Summary'!D59</f>
        <v>0</v>
      </c>
      <c r="E59" s="256">
        <f>'MaterialCosts Summary'!E59</f>
        <v>0</v>
      </c>
      <c r="F59" s="257">
        <v>0</v>
      </c>
      <c r="G59" s="257">
        <v>0</v>
      </c>
      <c r="H59" s="257">
        <v>0</v>
      </c>
      <c r="I59" s="258">
        <f t="shared" si="13"/>
        <v>0</v>
      </c>
      <c r="J59" s="258"/>
      <c r="K59" s="259">
        <f t="shared" si="14"/>
        <v>0</v>
      </c>
      <c r="L59" s="258">
        <v>0</v>
      </c>
      <c r="M59" s="259">
        <f t="shared" si="0"/>
        <v>0</v>
      </c>
      <c r="N59" s="258">
        <v>0</v>
      </c>
      <c r="O59" s="259">
        <f t="shared" si="1"/>
        <v>0</v>
      </c>
      <c r="P59" s="258">
        <f t="shared" si="2"/>
        <v>0</v>
      </c>
      <c r="Q59" s="258"/>
      <c r="R59" s="259">
        <f t="shared" si="3"/>
        <v>0</v>
      </c>
      <c r="S59" s="258">
        <f t="shared" si="4"/>
        <v>0</v>
      </c>
      <c r="T59" s="258"/>
      <c r="U59" s="259">
        <f t="shared" si="5"/>
        <v>0</v>
      </c>
      <c r="V59" s="258">
        <f t="shared" si="6"/>
        <v>0</v>
      </c>
      <c r="W59" s="258"/>
      <c r="X59" s="259">
        <f t="shared" si="7"/>
        <v>0</v>
      </c>
      <c r="Y59" s="258">
        <v>0</v>
      </c>
      <c r="Z59" s="259">
        <f t="shared" si="8"/>
        <v>0</v>
      </c>
      <c r="AA59" s="258">
        <v>0</v>
      </c>
      <c r="AB59" s="24">
        <v>1</v>
      </c>
      <c r="AC59" s="260">
        <f t="shared" si="15"/>
        <v>0</v>
      </c>
      <c r="AD59" s="299">
        <f t="shared" si="16"/>
        <v>0</v>
      </c>
      <c r="AE59" s="261">
        <f t="shared" si="17"/>
        <v>0</v>
      </c>
      <c r="AF59" s="262">
        <f t="shared" si="17"/>
        <v>0</v>
      </c>
      <c r="AG59" s="254"/>
      <c r="AI59" s="153">
        <f t="shared" si="18"/>
        <v>0</v>
      </c>
      <c r="AJ59" s="156">
        <f t="shared" si="19"/>
        <v>0</v>
      </c>
      <c r="AK59" s="147">
        <f t="shared" si="22"/>
        <v>0</v>
      </c>
      <c r="AM59" s="160">
        <f t="shared" si="23"/>
        <v>0</v>
      </c>
      <c r="AN59" s="150">
        <f t="shared" si="20"/>
        <v>0</v>
      </c>
      <c r="AP59" s="21">
        <f t="shared" si="24"/>
        <v>1</v>
      </c>
      <c r="AQ59" s="169">
        <f t="shared" si="21"/>
        <v>0</v>
      </c>
      <c r="AR59" s="263">
        <f t="shared" si="25"/>
        <v>0</v>
      </c>
    </row>
    <row r="60" spans="2:44" hidden="1">
      <c r="B60" s="21">
        <f>'MaterialCosts Summary'!B60</f>
        <v>52</v>
      </c>
      <c r="C60" s="26"/>
      <c r="D60" s="23">
        <f>'MaterialCosts Summary'!D60</f>
        <v>0</v>
      </c>
      <c r="E60" s="256">
        <f>'MaterialCosts Summary'!E60</f>
        <v>0</v>
      </c>
      <c r="F60" s="257">
        <v>0</v>
      </c>
      <c r="G60" s="257">
        <v>0</v>
      </c>
      <c r="H60" s="257">
        <v>0</v>
      </c>
      <c r="I60" s="258">
        <f t="shared" si="13"/>
        <v>0</v>
      </c>
      <c r="J60" s="258"/>
      <c r="K60" s="259">
        <f t="shared" si="14"/>
        <v>0</v>
      </c>
      <c r="L60" s="258">
        <v>0</v>
      </c>
      <c r="M60" s="259">
        <f t="shared" si="0"/>
        <v>0</v>
      </c>
      <c r="N60" s="258">
        <v>0</v>
      </c>
      <c r="O60" s="259">
        <f t="shared" si="1"/>
        <v>0</v>
      </c>
      <c r="P60" s="258">
        <f t="shared" si="2"/>
        <v>0</v>
      </c>
      <c r="Q60" s="258"/>
      <c r="R60" s="259">
        <f t="shared" si="3"/>
        <v>0</v>
      </c>
      <c r="S60" s="258">
        <f t="shared" si="4"/>
        <v>0</v>
      </c>
      <c r="T60" s="258"/>
      <c r="U60" s="259">
        <f t="shared" si="5"/>
        <v>0</v>
      </c>
      <c r="V60" s="258">
        <f t="shared" si="6"/>
        <v>0</v>
      </c>
      <c r="W60" s="258"/>
      <c r="X60" s="259">
        <f t="shared" si="7"/>
        <v>0</v>
      </c>
      <c r="Y60" s="258">
        <v>0</v>
      </c>
      <c r="Z60" s="259">
        <f t="shared" si="8"/>
        <v>0</v>
      </c>
      <c r="AA60" s="258">
        <v>0</v>
      </c>
      <c r="AB60" s="24">
        <v>1</v>
      </c>
      <c r="AC60" s="260">
        <f t="shared" si="15"/>
        <v>0</v>
      </c>
      <c r="AD60" s="299">
        <f t="shared" si="16"/>
        <v>0</v>
      </c>
      <c r="AE60" s="261">
        <f t="shared" si="17"/>
        <v>0</v>
      </c>
      <c r="AF60" s="262">
        <f t="shared" si="17"/>
        <v>0</v>
      </c>
      <c r="AG60" s="254"/>
      <c r="AI60" s="153">
        <f t="shared" si="18"/>
        <v>0</v>
      </c>
      <c r="AJ60" s="156">
        <f t="shared" si="19"/>
        <v>0</v>
      </c>
      <c r="AK60" s="147">
        <f t="shared" si="22"/>
        <v>0</v>
      </c>
      <c r="AM60" s="160">
        <f t="shared" si="23"/>
        <v>0</v>
      </c>
      <c r="AN60" s="150">
        <f t="shared" si="20"/>
        <v>0</v>
      </c>
      <c r="AP60" s="21">
        <f t="shared" si="24"/>
        <v>1</v>
      </c>
      <c r="AQ60" s="169">
        <f t="shared" si="21"/>
        <v>0</v>
      </c>
      <c r="AR60" s="263">
        <f t="shared" si="25"/>
        <v>0</v>
      </c>
    </row>
    <row r="61" spans="2:44" hidden="1">
      <c r="B61" s="21">
        <f>'MaterialCosts Summary'!B61</f>
        <v>53</v>
      </c>
      <c r="C61" s="26"/>
      <c r="D61" s="23">
        <f>'MaterialCosts Summary'!D61</f>
        <v>0</v>
      </c>
      <c r="E61" s="256">
        <f>'MaterialCosts Summary'!E61</f>
        <v>0</v>
      </c>
      <c r="F61" s="257">
        <v>0</v>
      </c>
      <c r="G61" s="257">
        <v>0</v>
      </c>
      <c r="H61" s="257">
        <v>0</v>
      </c>
      <c r="I61" s="258">
        <f t="shared" si="13"/>
        <v>0</v>
      </c>
      <c r="J61" s="258"/>
      <c r="K61" s="259">
        <f t="shared" si="14"/>
        <v>0</v>
      </c>
      <c r="L61" s="258">
        <v>0</v>
      </c>
      <c r="M61" s="259">
        <f t="shared" si="0"/>
        <v>0</v>
      </c>
      <c r="N61" s="258">
        <v>0</v>
      </c>
      <c r="O61" s="259">
        <f t="shared" si="1"/>
        <v>0</v>
      </c>
      <c r="P61" s="258">
        <f t="shared" si="2"/>
        <v>0</v>
      </c>
      <c r="Q61" s="258"/>
      <c r="R61" s="259">
        <f t="shared" si="3"/>
        <v>0</v>
      </c>
      <c r="S61" s="258">
        <f t="shared" si="4"/>
        <v>0</v>
      </c>
      <c r="T61" s="258"/>
      <c r="U61" s="259">
        <f t="shared" si="5"/>
        <v>0</v>
      </c>
      <c r="V61" s="258">
        <f t="shared" si="6"/>
        <v>0</v>
      </c>
      <c r="W61" s="258"/>
      <c r="X61" s="259">
        <f t="shared" si="7"/>
        <v>0</v>
      </c>
      <c r="Y61" s="258">
        <v>0</v>
      </c>
      <c r="Z61" s="259">
        <f t="shared" si="8"/>
        <v>0</v>
      </c>
      <c r="AA61" s="258">
        <v>0</v>
      </c>
      <c r="AB61" s="24">
        <v>1</v>
      </c>
      <c r="AC61" s="260">
        <f t="shared" si="15"/>
        <v>0</v>
      </c>
      <c r="AD61" s="297">
        <f t="shared" si="16"/>
        <v>0</v>
      </c>
      <c r="AE61" s="261">
        <f t="shared" si="17"/>
        <v>0</v>
      </c>
      <c r="AF61" s="262">
        <f t="shared" si="17"/>
        <v>0</v>
      </c>
      <c r="AG61" s="254"/>
      <c r="AI61" s="153">
        <f t="shared" si="18"/>
        <v>0</v>
      </c>
      <c r="AJ61" s="156">
        <f t="shared" si="19"/>
        <v>0</v>
      </c>
      <c r="AK61" s="147">
        <f t="shared" si="22"/>
        <v>0</v>
      </c>
      <c r="AM61" s="160">
        <f t="shared" si="23"/>
        <v>0</v>
      </c>
      <c r="AN61" s="150">
        <f t="shared" si="20"/>
        <v>0</v>
      </c>
      <c r="AP61" s="21">
        <f t="shared" si="24"/>
        <v>1</v>
      </c>
      <c r="AQ61" s="169">
        <f t="shared" si="21"/>
        <v>0</v>
      </c>
      <c r="AR61" s="263">
        <f t="shared" si="25"/>
        <v>0</v>
      </c>
    </row>
    <row r="62" spans="2:44" hidden="1">
      <c r="B62" s="21">
        <f>'MaterialCosts Summary'!B62</f>
        <v>54</v>
      </c>
      <c r="C62" s="26"/>
      <c r="D62" s="23">
        <f>'MaterialCosts Summary'!D62</f>
        <v>0</v>
      </c>
      <c r="E62" s="256">
        <f>'MaterialCosts Summary'!E62</f>
        <v>0</v>
      </c>
      <c r="F62" s="257">
        <v>0</v>
      </c>
      <c r="G62" s="257">
        <v>0</v>
      </c>
      <c r="H62" s="257">
        <v>0</v>
      </c>
      <c r="I62" s="258">
        <f t="shared" si="13"/>
        <v>0</v>
      </c>
      <c r="J62" s="258"/>
      <c r="K62" s="259">
        <f t="shared" si="14"/>
        <v>0</v>
      </c>
      <c r="L62" s="258">
        <v>0</v>
      </c>
      <c r="M62" s="259">
        <f t="shared" si="0"/>
        <v>0</v>
      </c>
      <c r="N62" s="258">
        <v>0</v>
      </c>
      <c r="O62" s="259">
        <f t="shared" si="1"/>
        <v>0</v>
      </c>
      <c r="P62" s="258">
        <f t="shared" si="2"/>
        <v>0</v>
      </c>
      <c r="Q62" s="258"/>
      <c r="R62" s="259">
        <f t="shared" si="3"/>
        <v>0</v>
      </c>
      <c r="S62" s="258">
        <f t="shared" si="4"/>
        <v>0</v>
      </c>
      <c r="T62" s="258"/>
      <c r="U62" s="259">
        <f t="shared" si="5"/>
        <v>0</v>
      </c>
      <c r="V62" s="258">
        <f t="shared" si="6"/>
        <v>0</v>
      </c>
      <c r="W62" s="258"/>
      <c r="X62" s="259">
        <f t="shared" si="7"/>
        <v>0</v>
      </c>
      <c r="Y62" s="258">
        <v>0</v>
      </c>
      <c r="Z62" s="259">
        <f t="shared" si="8"/>
        <v>0</v>
      </c>
      <c r="AA62" s="258">
        <v>0</v>
      </c>
      <c r="AB62" s="24">
        <v>1</v>
      </c>
      <c r="AC62" s="260">
        <f t="shared" si="15"/>
        <v>0</v>
      </c>
      <c r="AD62" s="298">
        <f t="shared" si="16"/>
        <v>0</v>
      </c>
      <c r="AE62" s="261">
        <f t="shared" si="17"/>
        <v>0</v>
      </c>
      <c r="AF62" s="262">
        <f t="shared" si="17"/>
        <v>0</v>
      </c>
      <c r="AG62" s="254"/>
      <c r="AI62" s="153">
        <f t="shared" si="18"/>
        <v>0</v>
      </c>
      <c r="AJ62" s="156">
        <f t="shared" si="19"/>
        <v>0</v>
      </c>
      <c r="AK62" s="147">
        <f t="shared" si="22"/>
        <v>0</v>
      </c>
      <c r="AM62" s="160">
        <f t="shared" si="23"/>
        <v>0</v>
      </c>
      <c r="AN62" s="150">
        <f t="shared" si="20"/>
        <v>0</v>
      </c>
      <c r="AP62" s="21">
        <f t="shared" si="24"/>
        <v>1</v>
      </c>
      <c r="AQ62" s="169">
        <f t="shared" si="21"/>
        <v>0</v>
      </c>
      <c r="AR62" s="263">
        <f t="shared" si="25"/>
        <v>0</v>
      </c>
    </row>
    <row r="63" spans="2:44" hidden="1">
      <c r="B63" s="21">
        <f>'MaterialCosts Summary'!B63</f>
        <v>55</v>
      </c>
      <c r="C63" s="26"/>
      <c r="D63" s="23">
        <f>'MaterialCosts Summary'!D63</f>
        <v>0</v>
      </c>
      <c r="E63" s="256">
        <f>'MaterialCosts Summary'!E63</f>
        <v>0</v>
      </c>
      <c r="F63" s="257">
        <v>0</v>
      </c>
      <c r="G63" s="257">
        <v>0</v>
      </c>
      <c r="H63" s="257">
        <v>0</v>
      </c>
      <c r="I63" s="258">
        <f t="shared" si="13"/>
        <v>0</v>
      </c>
      <c r="J63" s="258"/>
      <c r="K63" s="259">
        <f t="shared" si="14"/>
        <v>0</v>
      </c>
      <c r="L63" s="258">
        <v>0</v>
      </c>
      <c r="M63" s="259">
        <f t="shared" si="0"/>
        <v>0</v>
      </c>
      <c r="N63" s="258">
        <v>0</v>
      </c>
      <c r="O63" s="259">
        <f t="shared" si="1"/>
        <v>0</v>
      </c>
      <c r="P63" s="258">
        <f t="shared" si="2"/>
        <v>0</v>
      </c>
      <c r="Q63" s="258"/>
      <c r="R63" s="259">
        <f t="shared" si="3"/>
        <v>0</v>
      </c>
      <c r="S63" s="258">
        <f t="shared" si="4"/>
        <v>0</v>
      </c>
      <c r="T63" s="258"/>
      <c r="U63" s="259">
        <f t="shared" si="5"/>
        <v>0</v>
      </c>
      <c r="V63" s="258">
        <f t="shared" si="6"/>
        <v>0</v>
      </c>
      <c r="W63" s="258"/>
      <c r="X63" s="259">
        <f t="shared" si="7"/>
        <v>0</v>
      </c>
      <c r="Y63" s="258">
        <v>0</v>
      </c>
      <c r="Z63" s="259">
        <f t="shared" si="8"/>
        <v>0</v>
      </c>
      <c r="AA63" s="258">
        <v>0</v>
      </c>
      <c r="AB63" s="24">
        <v>1</v>
      </c>
      <c r="AC63" s="260">
        <f t="shared" si="15"/>
        <v>0</v>
      </c>
      <c r="AD63" s="299">
        <f t="shared" si="16"/>
        <v>0</v>
      </c>
      <c r="AE63" s="261">
        <f t="shared" si="17"/>
        <v>0</v>
      </c>
      <c r="AF63" s="262">
        <f t="shared" si="17"/>
        <v>0</v>
      </c>
      <c r="AG63" s="254"/>
      <c r="AI63" s="153">
        <f t="shared" si="18"/>
        <v>0</v>
      </c>
      <c r="AJ63" s="156">
        <f t="shared" si="19"/>
        <v>0</v>
      </c>
      <c r="AK63" s="147">
        <f t="shared" si="22"/>
        <v>0</v>
      </c>
      <c r="AM63" s="160">
        <f t="shared" si="23"/>
        <v>0</v>
      </c>
      <c r="AN63" s="150">
        <f t="shared" si="20"/>
        <v>0</v>
      </c>
      <c r="AP63" s="21">
        <f t="shared" si="24"/>
        <v>1</v>
      </c>
      <c r="AQ63" s="169">
        <f t="shared" si="21"/>
        <v>0</v>
      </c>
      <c r="AR63" s="263">
        <f t="shared" si="25"/>
        <v>0</v>
      </c>
    </row>
    <row r="64" spans="2:44" hidden="1">
      <c r="B64" s="21">
        <f>'MaterialCosts Summary'!B64</f>
        <v>56</v>
      </c>
      <c r="C64" s="26"/>
      <c r="D64" s="23">
        <f>'MaterialCosts Summary'!D64</f>
        <v>0</v>
      </c>
      <c r="E64" s="256">
        <f>'MaterialCosts Summary'!E64</f>
        <v>0</v>
      </c>
      <c r="F64" s="257">
        <v>0</v>
      </c>
      <c r="G64" s="257">
        <v>0</v>
      </c>
      <c r="H64" s="257">
        <v>0</v>
      </c>
      <c r="I64" s="258">
        <f t="shared" si="13"/>
        <v>0</v>
      </c>
      <c r="J64" s="258"/>
      <c r="K64" s="259">
        <f t="shared" si="14"/>
        <v>0</v>
      </c>
      <c r="L64" s="258">
        <v>0</v>
      </c>
      <c r="M64" s="259">
        <f t="shared" si="0"/>
        <v>0</v>
      </c>
      <c r="N64" s="258">
        <v>0</v>
      </c>
      <c r="O64" s="259">
        <f t="shared" si="1"/>
        <v>0</v>
      </c>
      <c r="P64" s="258">
        <f t="shared" si="2"/>
        <v>0</v>
      </c>
      <c r="Q64" s="258"/>
      <c r="R64" s="259">
        <f t="shared" si="3"/>
        <v>0</v>
      </c>
      <c r="S64" s="258">
        <f t="shared" si="4"/>
        <v>0</v>
      </c>
      <c r="T64" s="258"/>
      <c r="U64" s="259">
        <f t="shared" si="5"/>
        <v>0</v>
      </c>
      <c r="V64" s="258">
        <f t="shared" si="6"/>
        <v>0</v>
      </c>
      <c r="W64" s="258"/>
      <c r="X64" s="259">
        <f t="shared" si="7"/>
        <v>0</v>
      </c>
      <c r="Y64" s="258">
        <v>0</v>
      </c>
      <c r="Z64" s="259">
        <f t="shared" si="8"/>
        <v>0</v>
      </c>
      <c r="AA64" s="258">
        <v>0</v>
      </c>
      <c r="AB64" s="24">
        <v>1</v>
      </c>
      <c r="AC64" s="260">
        <f t="shared" si="15"/>
        <v>0</v>
      </c>
      <c r="AD64" s="299">
        <f t="shared" si="16"/>
        <v>0</v>
      </c>
      <c r="AE64" s="261">
        <f t="shared" si="17"/>
        <v>0</v>
      </c>
      <c r="AF64" s="262">
        <f t="shared" si="17"/>
        <v>0</v>
      </c>
      <c r="AG64" s="254"/>
      <c r="AI64" s="153">
        <f t="shared" si="18"/>
        <v>0</v>
      </c>
      <c r="AJ64" s="156">
        <f t="shared" si="19"/>
        <v>0</v>
      </c>
      <c r="AK64" s="147">
        <f t="shared" si="22"/>
        <v>0</v>
      </c>
      <c r="AM64" s="160">
        <f t="shared" si="23"/>
        <v>0</v>
      </c>
      <c r="AN64" s="150">
        <f t="shared" si="20"/>
        <v>0</v>
      </c>
      <c r="AP64" s="21">
        <f t="shared" si="24"/>
        <v>1</v>
      </c>
      <c r="AQ64" s="169">
        <f t="shared" si="21"/>
        <v>0</v>
      </c>
      <c r="AR64" s="263">
        <f t="shared" si="25"/>
        <v>0</v>
      </c>
    </row>
    <row r="65" spans="2:44" hidden="1">
      <c r="B65" s="21">
        <f>'MaterialCosts Summary'!B65</f>
        <v>57</v>
      </c>
      <c r="C65" s="26"/>
      <c r="D65" s="23">
        <f>'MaterialCosts Summary'!D65</f>
        <v>0</v>
      </c>
      <c r="E65" s="256">
        <f>'MaterialCosts Summary'!E65</f>
        <v>0</v>
      </c>
      <c r="F65" s="257">
        <v>0</v>
      </c>
      <c r="G65" s="257">
        <v>0</v>
      </c>
      <c r="H65" s="257">
        <v>0</v>
      </c>
      <c r="I65" s="258">
        <f t="shared" si="13"/>
        <v>0</v>
      </c>
      <c r="J65" s="258"/>
      <c r="K65" s="259">
        <f t="shared" si="14"/>
        <v>0</v>
      </c>
      <c r="L65" s="258">
        <v>0</v>
      </c>
      <c r="M65" s="259">
        <f t="shared" si="0"/>
        <v>0</v>
      </c>
      <c r="N65" s="258">
        <v>0</v>
      </c>
      <c r="O65" s="259">
        <f t="shared" si="1"/>
        <v>0</v>
      </c>
      <c r="P65" s="258">
        <f t="shared" si="2"/>
        <v>0</v>
      </c>
      <c r="Q65" s="258"/>
      <c r="R65" s="259">
        <f t="shared" si="3"/>
        <v>0</v>
      </c>
      <c r="S65" s="258">
        <f t="shared" si="4"/>
        <v>0</v>
      </c>
      <c r="T65" s="258"/>
      <c r="U65" s="259">
        <f t="shared" si="5"/>
        <v>0</v>
      </c>
      <c r="V65" s="258">
        <f t="shared" si="6"/>
        <v>0</v>
      </c>
      <c r="W65" s="258"/>
      <c r="X65" s="259">
        <f t="shared" si="7"/>
        <v>0</v>
      </c>
      <c r="Y65" s="258">
        <v>0</v>
      </c>
      <c r="Z65" s="259">
        <f t="shared" si="8"/>
        <v>0</v>
      </c>
      <c r="AA65" s="258">
        <v>0</v>
      </c>
      <c r="AB65" s="24">
        <v>1</v>
      </c>
      <c r="AC65" s="260">
        <f t="shared" si="15"/>
        <v>0</v>
      </c>
      <c r="AD65" s="297">
        <f t="shared" si="16"/>
        <v>0</v>
      </c>
      <c r="AE65" s="261">
        <f t="shared" si="17"/>
        <v>0</v>
      </c>
      <c r="AF65" s="262">
        <f t="shared" si="17"/>
        <v>0</v>
      </c>
      <c r="AG65" s="254"/>
      <c r="AI65" s="153">
        <f t="shared" si="18"/>
        <v>0</v>
      </c>
      <c r="AJ65" s="156">
        <f t="shared" si="19"/>
        <v>0</v>
      </c>
      <c r="AK65" s="147">
        <f t="shared" si="22"/>
        <v>0</v>
      </c>
      <c r="AM65" s="160">
        <f t="shared" si="23"/>
        <v>0</v>
      </c>
      <c r="AN65" s="150">
        <f t="shared" si="20"/>
        <v>0</v>
      </c>
      <c r="AP65" s="21">
        <f t="shared" si="24"/>
        <v>1</v>
      </c>
      <c r="AQ65" s="169">
        <f t="shared" si="21"/>
        <v>0</v>
      </c>
      <c r="AR65" s="263">
        <f t="shared" si="25"/>
        <v>0</v>
      </c>
    </row>
    <row r="66" spans="2:44" hidden="1">
      <c r="B66" s="21">
        <f>'MaterialCosts Summary'!B66</f>
        <v>58</v>
      </c>
      <c r="C66" s="26"/>
      <c r="D66" s="23">
        <f>'MaterialCosts Summary'!D66</f>
        <v>0</v>
      </c>
      <c r="E66" s="256">
        <f>'MaterialCosts Summary'!E66</f>
        <v>0</v>
      </c>
      <c r="F66" s="257">
        <v>0</v>
      </c>
      <c r="G66" s="257">
        <v>0</v>
      </c>
      <c r="H66" s="257">
        <v>0</v>
      </c>
      <c r="I66" s="258">
        <f t="shared" si="13"/>
        <v>0</v>
      </c>
      <c r="J66" s="258"/>
      <c r="K66" s="259">
        <f t="shared" si="14"/>
        <v>0</v>
      </c>
      <c r="L66" s="258">
        <v>0</v>
      </c>
      <c r="M66" s="259">
        <f t="shared" si="0"/>
        <v>0</v>
      </c>
      <c r="N66" s="258">
        <v>0</v>
      </c>
      <c r="O66" s="259">
        <f t="shared" si="1"/>
        <v>0</v>
      </c>
      <c r="P66" s="258">
        <f t="shared" si="2"/>
        <v>0</v>
      </c>
      <c r="Q66" s="258"/>
      <c r="R66" s="259">
        <f t="shared" si="3"/>
        <v>0</v>
      </c>
      <c r="S66" s="258">
        <f t="shared" si="4"/>
        <v>0</v>
      </c>
      <c r="T66" s="258"/>
      <c r="U66" s="259">
        <f t="shared" si="5"/>
        <v>0</v>
      </c>
      <c r="V66" s="258">
        <f t="shared" si="6"/>
        <v>0</v>
      </c>
      <c r="W66" s="258"/>
      <c r="X66" s="259">
        <f t="shared" si="7"/>
        <v>0</v>
      </c>
      <c r="Y66" s="258">
        <v>0</v>
      </c>
      <c r="Z66" s="259">
        <f t="shared" si="8"/>
        <v>0</v>
      </c>
      <c r="AA66" s="258">
        <v>0</v>
      </c>
      <c r="AB66" s="24">
        <v>1</v>
      </c>
      <c r="AC66" s="260">
        <f t="shared" si="15"/>
        <v>0</v>
      </c>
      <c r="AD66" s="298">
        <f t="shared" si="16"/>
        <v>0</v>
      </c>
      <c r="AE66" s="261">
        <f t="shared" si="17"/>
        <v>0</v>
      </c>
      <c r="AF66" s="262">
        <f t="shared" si="17"/>
        <v>0</v>
      </c>
      <c r="AG66" s="254"/>
      <c r="AI66" s="153">
        <f t="shared" si="18"/>
        <v>0</v>
      </c>
      <c r="AJ66" s="156">
        <f t="shared" si="19"/>
        <v>0</v>
      </c>
      <c r="AK66" s="147">
        <f t="shared" si="22"/>
        <v>0</v>
      </c>
      <c r="AM66" s="160">
        <f t="shared" si="23"/>
        <v>0</v>
      </c>
      <c r="AN66" s="150">
        <f t="shared" si="20"/>
        <v>0</v>
      </c>
      <c r="AP66" s="21">
        <f t="shared" si="24"/>
        <v>1</v>
      </c>
      <c r="AQ66" s="169">
        <f t="shared" si="21"/>
        <v>0</v>
      </c>
      <c r="AR66" s="263">
        <f t="shared" si="25"/>
        <v>0</v>
      </c>
    </row>
    <row r="67" spans="2:44" hidden="1">
      <c r="B67" s="21">
        <f>'MaterialCosts Summary'!B67</f>
        <v>59</v>
      </c>
      <c r="C67" s="26"/>
      <c r="D67" s="23">
        <f>'MaterialCosts Summary'!D67</f>
        <v>0</v>
      </c>
      <c r="E67" s="256">
        <f>'MaterialCosts Summary'!E67</f>
        <v>0</v>
      </c>
      <c r="F67" s="257">
        <v>0</v>
      </c>
      <c r="G67" s="257">
        <v>0</v>
      </c>
      <c r="H67" s="257">
        <v>0</v>
      </c>
      <c r="I67" s="258">
        <f t="shared" si="13"/>
        <v>0</v>
      </c>
      <c r="J67" s="258"/>
      <c r="K67" s="259">
        <f t="shared" si="14"/>
        <v>0</v>
      </c>
      <c r="L67" s="258">
        <v>0</v>
      </c>
      <c r="M67" s="259">
        <f t="shared" si="0"/>
        <v>0</v>
      </c>
      <c r="N67" s="258">
        <v>0</v>
      </c>
      <c r="O67" s="259">
        <f t="shared" si="1"/>
        <v>0</v>
      </c>
      <c r="P67" s="258">
        <f t="shared" si="2"/>
        <v>0</v>
      </c>
      <c r="Q67" s="258"/>
      <c r="R67" s="259">
        <f t="shared" si="3"/>
        <v>0</v>
      </c>
      <c r="S67" s="258">
        <f t="shared" si="4"/>
        <v>0</v>
      </c>
      <c r="T67" s="258"/>
      <c r="U67" s="259">
        <f t="shared" si="5"/>
        <v>0</v>
      </c>
      <c r="V67" s="258">
        <f t="shared" si="6"/>
        <v>0</v>
      </c>
      <c r="W67" s="258"/>
      <c r="X67" s="259">
        <f t="shared" si="7"/>
        <v>0</v>
      </c>
      <c r="Y67" s="258">
        <v>0</v>
      </c>
      <c r="Z67" s="259">
        <f t="shared" si="8"/>
        <v>0</v>
      </c>
      <c r="AA67" s="258">
        <v>0</v>
      </c>
      <c r="AB67" s="24">
        <v>1</v>
      </c>
      <c r="AC67" s="260">
        <f t="shared" si="15"/>
        <v>0</v>
      </c>
      <c r="AD67" s="299">
        <f t="shared" si="16"/>
        <v>0</v>
      </c>
      <c r="AE67" s="261">
        <f t="shared" si="17"/>
        <v>0</v>
      </c>
      <c r="AF67" s="262">
        <f t="shared" si="17"/>
        <v>0</v>
      </c>
      <c r="AG67" s="254"/>
      <c r="AI67" s="153">
        <f t="shared" si="18"/>
        <v>0</v>
      </c>
      <c r="AJ67" s="156">
        <f t="shared" si="19"/>
        <v>0</v>
      </c>
      <c r="AK67" s="147">
        <f t="shared" si="22"/>
        <v>0</v>
      </c>
      <c r="AM67" s="160">
        <f t="shared" si="23"/>
        <v>0</v>
      </c>
      <c r="AN67" s="150">
        <f t="shared" si="20"/>
        <v>0</v>
      </c>
      <c r="AP67" s="21">
        <f t="shared" si="24"/>
        <v>1</v>
      </c>
      <c r="AQ67" s="169">
        <f t="shared" si="21"/>
        <v>0</v>
      </c>
      <c r="AR67" s="263">
        <f t="shared" si="25"/>
        <v>0</v>
      </c>
    </row>
    <row r="68" spans="2:44" hidden="1">
      <c r="B68" s="21">
        <f>'MaterialCosts Summary'!B68</f>
        <v>60</v>
      </c>
      <c r="C68" s="26"/>
      <c r="D68" s="23">
        <f>'MaterialCosts Summary'!D68</f>
        <v>0</v>
      </c>
      <c r="E68" s="256">
        <f>'MaterialCosts Summary'!E68</f>
        <v>0</v>
      </c>
      <c r="F68" s="257">
        <v>0</v>
      </c>
      <c r="G68" s="257">
        <v>0</v>
      </c>
      <c r="H68" s="257">
        <v>0</v>
      </c>
      <c r="I68" s="258">
        <f t="shared" si="13"/>
        <v>0</v>
      </c>
      <c r="J68" s="258"/>
      <c r="K68" s="259">
        <f t="shared" si="14"/>
        <v>0</v>
      </c>
      <c r="L68" s="258">
        <v>0</v>
      </c>
      <c r="M68" s="259">
        <f t="shared" si="0"/>
        <v>0</v>
      </c>
      <c r="N68" s="258">
        <v>0</v>
      </c>
      <c r="O68" s="259">
        <f t="shared" si="1"/>
        <v>0</v>
      </c>
      <c r="P68" s="258">
        <f t="shared" si="2"/>
        <v>0</v>
      </c>
      <c r="Q68" s="258"/>
      <c r="R68" s="259">
        <f t="shared" si="3"/>
        <v>0</v>
      </c>
      <c r="S68" s="258">
        <f t="shared" si="4"/>
        <v>0</v>
      </c>
      <c r="T68" s="258"/>
      <c r="U68" s="259">
        <f t="shared" si="5"/>
        <v>0</v>
      </c>
      <c r="V68" s="258">
        <f t="shared" si="6"/>
        <v>0</v>
      </c>
      <c r="W68" s="258"/>
      <c r="X68" s="259">
        <f t="shared" si="7"/>
        <v>0</v>
      </c>
      <c r="Y68" s="258">
        <v>0</v>
      </c>
      <c r="Z68" s="259">
        <f t="shared" si="8"/>
        <v>0</v>
      </c>
      <c r="AA68" s="258">
        <v>0</v>
      </c>
      <c r="AB68" s="24">
        <v>1</v>
      </c>
      <c r="AC68" s="260">
        <f t="shared" si="15"/>
        <v>0</v>
      </c>
      <c r="AD68" s="299">
        <f t="shared" si="16"/>
        <v>0</v>
      </c>
      <c r="AE68" s="261">
        <f t="shared" si="17"/>
        <v>0</v>
      </c>
      <c r="AF68" s="262">
        <f t="shared" si="17"/>
        <v>0</v>
      </c>
      <c r="AG68" s="254"/>
      <c r="AI68" s="153">
        <f t="shared" si="18"/>
        <v>0</v>
      </c>
      <c r="AJ68" s="156">
        <f t="shared" si="19"/>
        <v>0</v>
      </c>
      <c r="AK68" s="147">
        <f t="shared" si="22"/>
        <v>0</v>
      </c>
      <c r="AM68" s="160">
        <f t="shared" si="23"/>
        <v>0</v>
      </c>
      <c r="AN68" s="150">
        <f t="shared" si="20"/>
        <v>0</v>
      </c>
      <c r="AP68" s="21">
        <f t="shared" si="24"/>
        <v>1</v>
      </c>
      <c r="AQ68" s="169">
        <f t="shared" si="21"/>
        <v>0</v>
      </c>
      <c r="AR68" s="263">
        <f t="shared" si="25"/>
        <v>0</v>
      </c>
    </row>
    <row r="69" spans="2:44" hidden="1">
      <c r="B69" s="21">
        <f>'MaterialCosts Summary'!B69</f>
        <v>61</v>
      </c>
      <c r="C69" s="26"/>
      <c r="D69" s="23">
        <f>'MaterialCosts Summary'!D69</f>
        <v>0</v>
      </c>
      <c r="E69" s="256">
        <f>'MaterialCosts Summary'!E69</f>
        <v>0</v>
      </c>
      <c r="F69" s="257">
        <v>0</v>
      </c>
      <c r="G69" s="257">
        <v>0</v>
      </c>
      <c r="H69" s="257">
        <v>0</v>
      </c>
      <c r="I69" s="258">
        <f t="shared" si="13"/>
        <v>0</v>
      </c>
      <c r="J69" s="258"/>
      <c r="K69" s="259">
        <f t="shared" si="14"/>
        <v>0</v>
      </c>
      <c r="L69" s="258">
        <v>0</v>
      </c>
      <c r="M69" s="259">
        <f t="shared" si="0"/>
        <v>0</v>
      </c>
      <c r="N69" s="258">
        <v>0</v>
      </c>
      <c r="O69" s="259">
        <f t="shared" si="1"/>
        <v>0</v>
      </c>
      <c r="P69" s="258">
        <f t="shared" si="2"/>
        <v>0</v>
      </c>
      <c r="Q69" s="258"/>
      <c r="R69" s="259">
        <f t="shared" si="3"/>
        <v>0</v>
      </c>
      <c r="S69" s="258">
        <f t="shared" si="4"/>
        <v>0</v>
      </c>
      <c r="T69" s="258"/>
      <c r="U69" s="259">
        <f t="shared" si="5"/>
        <v>0</v>
      </c>
      <c r="V69" s="258">
        <f t="shared" si="6"/>
        <v>0</v>
      </c>
      <c r="W69" s="258"/>
      <c r="X69" s="259">
        <f t="shared" si="7"/>
        <v>0</v>
      </c>
      <c r="Y69" s="258">
        <v>0</v>
      </c>
      <c r="Z69" s="259">
        <f t="shared" si="8"/>
        <v>0</v>
      </c>
      <c r="AA69" s="258">
        <v>0</v>
      </c>
      <c r="AB69" s="24">
        <v>1</v>
      </c>
      <c r="AC69" s="260">
        <f t="shared" si="15"/>
        <v>0</v>
      </c>
      <c r="AD69" s="297">
        <f t="shared" si="16"/>
        <v>0</v>
      </c>
      <c r="AE69" s="261">
        <f t="shared" si="17"/>
        <v>0</v>
      </c>
      <c r="AF69" s="262">
        <f t="shared" si="17"/>
        <v>0</v>
      </c>
      <c r="AG69" s="254"/>
      <c r="AI69" s="153">
        <f t="shared" si="18"/>
        <v>0</v>
      </c>
      <c r="AJ69" s="156">
        <f t="shared" si="19"/>
        <v>0</v>
      </c>
      <c r="AK69" s="147">
        <f t="shared" si="22"/>
        <v>0</v>
      </c>
      <c r="AM69" s="160">
        <f t="shared" si="23"/>
        <v>0</v>
      </c>
      <c r="AN69" s="150">
        <f t="shared" si="20"/>
        <v>0</v>
      </c>
      <c r="AP69" s="21">
        <f t="shared" si="24"/>
        <v>1</v>
      </c>
      <c r="AQ69" s="169">
        <f t="shared" si="21"/>
        <v>0</v>
      </c>
      <c r="AR69" s="263">
        <f t="shared" si="25"/>
        <v>0</v>
      </c>
    </row>
    <row r="70" spans="2:44" hidden="1">
      <c r="B70" s="21">
        <f>'MaterialCosts Summary'!B70</f>
        <v>62</v>
      </c>
      <c r="C70" s="26"/>
      <c r="D70" s="23">
        <f>'MaterialCosts Summary'!D70</f>
        <v>0</v>
      </c>
      <c r="E70" s="256">
        <f>'MaterialCosts Summary'!E70</f>
        <v>0</v>
      </c>
      <c r="F70" s="257">
        <v>0</v>
      </c>
      <c r="G70" s="257">
        <v>0</v>
      </c>
      <c r="H70" s="257">
        <v>0</v>
      </c>
      <c r="I70" s="258">
        <f t="shared" si="13"/>
        <v>0</v>
      </c>
      <c r="J70" s="258"/>
      <c r="K70" s="259">
        <f t="shared" si="14"/>
        <v>0</v>
      </c>
      <c r="L70" s="258">
        <v>0</v>
      </c>
      <c r="M70" s="259">
        <f t="shared" si="0"/>
        <v>0</v>
      </c>
      <c r="N70" s="258">
        <v>0</v>
      </c>
      <c r="O70" s="259">
        <f t="shared" si="1"/>
        <v>0</v>
      </c>
      <c r="P70" s="258">
        <f t="shared" si="2"/>
        <v>0</v>
      </c>
      <c r="Q70" s="258"/>
      <c r="R70" s="259">
        <f t="shared" si="3"/>
        <v>0</v>
      </c>
      <c r="S70" s="258">
        <f t="shared" si="4"/>
        <v>0</v>
      </c>
      <c r="T70" s="258"/>
      <c r="U70" s="259">
        <f t="shared" si="5"/>
        <v>0</v>
      </c>
      <c r="V70" s="258">
        <f t="shared" si="6"/>
        <v>0</v>
      </c>
      <c r="W70" s="258"/>
      <c r="X70" s="259">
        <f t="shared" si="7"/>
        <v>0</v>
      </c>
      <c r="Y70" s="258">
        <v>0</v>
      </c>
      <c r="Z70" s="259">
        <f t="shared" si="8"/>
        <v>0</v>
      </c>
      <c r="AA70" s="258">
        <v>0</v>
      </c>
      <c r="AB70" s="24">
        <v>1</v>
      </c>
      <c r="AC70" s="260">
        <f t="shared" si="15"/>
        <v>0</v>
      </c>
      <c r="AD70" s="298">
        <f t="shared" si="16"/>
        <v>0</v>
      </c>
      <c r="AE70" s="261">
        <f t="shared" si="17"/>
        <v>0</v>
      </c>
      <c r="AF70" s="262">
        <f t="shared" si="17"/>
        <v>0</v>
      </c>
      <c r="AG70" s="254"/>
      <c r="AI70" s="153">
        <f t="shared" si="18"/>
        <v>0</v>
      </c>
      <c r="AJ70" s="156">
        <f t="shared" si="19"/>
        <v>0</v>
      </c>
      <c r="AK70" s="147">
        <f t="shared" si="22"/>
        <v>0</v>
      </c>
      <c r="AM70" s="160">
        <f t="shared" si="23"/>
        <v>0</v>
      </c>
      <c r="AN70" s="150">
        <f t="shared" si="20"/>
        <v>0</v>
      </c>
      <c r="AP70" s="21">
        <f t="shared" si="24"/>
        <v>1</v>
      </c>
      <c r="AQ70" s="169">
        <f t="shared" si="21"/>
        <v>0</v>
      </c>
      <c r="AR70" s="263">
        <f t="shared" si="25"/>
        <v>0</v>
      </c>
    </row>
    <row r="71" spans="2:44" hidden="1">
      <c r="B71" s="21">
        <f>'MaterialCosts Summary'!B71</f>
        <v>63</v>
      </c>
      <c r="C71" s="26"/>
      <c r="D71" s="23">
        <f>'MaterialCosts Summary'!D71</f>
        <v>0</v>
      </c>
      <c r="E71" s="256">
        <f>'MaterialCosts Summary'!E71</f>
        <v>0</v>
      </c>
      <c r="F71" s="257">
        <v>0</v>
      </c>
      <c r="G71" s="257">
        <v>0</v>
      </c>
      <c r="H71" s="257">
        <v>0</v>
      </c>
      <c r="I71" s="258">
        <f t="shared" si="13"/>
        <v>0</v>
      </c>
      <c r="J71" s="258"/>
      <c r="K71" s="259">
        <f t="shared" si="14"/>
        <v>0</v>
      </c>
      <c r="L71" s="258">
        <v>0</v>
      </c>
      <c r="M71" s="259">
        <f t="shared" si="0"/>
        <v>0</v>
      </c>
      <c r="N71" s="258">
        <v>0</v>
      </c>
      <c r="O71" s="259">
        <f t="shared" si="1"/>
        <v>0</v>
      </c>
      <c r="P71" s="258">
        <f t="shared" si="2"/>
        <v>0</v>
      </c>
      <c r="Q71" s="258"/>
      <c r="R71" s="259">
        <f t="shared" si="3"/>
        <v>0</v>
      </c>
      <c r="S71" s="258">
        <f t="shared" si="4"/>
        <v>0</v>
      </c>
      <c r="T71" s="258"/>
      <c r="U71" s="259">
        <f t="shared" si="5"/>
        <v>0</v>
      </c>
      <c r="V71" s="258">
        <f t="shared" si="6"/>
        <v>0</v>
      </c>
      <c r="W71" s="258"/>
      <c r="X71" s="259">
        <f t="shared" si="7"/>
        <v>0</v>
      </c>
      <c r="Y71" s="258">
        <v>0</v>
      </c>
      <c r="Z71" s="259">
        <f t="shared" si="8"/>
        <v>0</v>
      </c>
      <c r="AA71" s="258">
        <v>0</v>
      </c>
      <c r="AB71" s="24">
        <v>1</v>
      </c>
      <c r="AC71" s="260">
        <f t="shared" si="15"/>
        <v>0</v>
      </c>
      <c r="AD71" s="299">
        <f t="shared" si="16"/>
        <v>0</v>
      </c>
      <c r="AE71" s="261">
        <f t="shared" si="17"/>
        <v>0</v>
      </c>
      <c r="AF71" s="262">
        <f t="shared" si="17"/>
        <v>0</v>
      </c>
      <c r="AG71" s="254"/>
      <c r="AI71" s="153">
        <f t="shared" si="18"/>
        <v>0</v>
      </c>
      <c r="AJ71" s="156">
        <f t="shared" si="19"/>
        <v>0</v>
      </c>
      <c r="AK71" s="147">
        <f t="shared" si="22"/>
        <v>0</v>
      </c>
      <c r="AM71" s="160">
        <f t="shared" si="23"/>
        <v>0</v>
      </c>
      <c r="AN71" s="150">
        <f t="shared" si="20"/>
        <v>0</v>
      </c>
      <c r="AP71" s="21">
        <f t="shared" si="24"/>
        <v>1</v>
      </c>
      <c r="AQ71" s="169">
        <f t="shared" si="21"/>
        <v>0</v>
      </c>
      <c r="AR71" s="263">
        <f t="shared" si="25"/>
        <v>0</v>
      </c>
    </row>
    <row r="72" spans="2:44" hidden="1">
      <c r="B72" s="21">
        <f>'MaterialCosts Summary'!B72</f>
        <v>64</v>
      </c>
      <c r="C72" s="26"/>
      <c r="D72" s="23">
        <f>'MaterialCosts Summary'!D72</f>
        <v>0</v>
      </c>
      <c r="E72" s="256">
        <f>'MaterialCosts Summary'!E72</f>
        <v>0</v>
      </c>
      <c r="F72" s="257">
        <v>0</v>
      </c>
      <c r="G72" s="257">
        <v>0</v>
      </c>
      <c r="H72" s="257">
        <v>0</v>
      </c>
      <c r="I72" s="258">
        <f t="shared" si="13"/>
        <v>0</v>
      </c>
      <c r="J72" s="258"/>
      <c r="K72" s="259">
        <f t="shared" si="14"/>
        <v>0</v>
      </c>
      <c r="L72" s="258">
        <v>0</v>
      </c>
      <c r="M72" s="259">
        <f t="shared" si="0"/>
        <v>0</v>
      </c>
      <c r="N72" s="258">
        <v>0</v>
      </c>
      <c r="O72" s="259">
        <f t="shared" si="1"/>
        <v>0</v>
      </c>
      <c r="P72" s="258">
        <f t="shared" si="2"/>
        <v>0</v>
      </c>
      <c r="Q72" s="258"/>
      <c r="R72" s="259">
        <f t="shared" si="3"/>
        <v>0</v>
      </c>
      <c r="S72" s="258">
        <f t="shared" si="4"/>
        <v>0</v>
      </c>
      <c r="T72" s="258"/>
      <c r="U72" s="259">
        <f t="shared" si="5"/>
        <v>0</v>
      </c>
      <c r="V72" s="258">
        <f t="shared" si="6"/>
        <v>0</v>
      </c>
      <c r="W72" s="258"/>
      <c r="X72" s="259">
        <f t="shared" si="7"/>
        <v>0</v>
      </c>
      <c r="Y72" s="258">
        <v>0</v>
      </c>
      <c r="Z72" s="259">
        <f t="shared" si="8"/>
        <v>0</v>
      </c>
      <c r="AA72" s="258">
        <v>0</v>
      </c>
      <c r="AB72" s="24">
        <v>1</v>
      </c>
      <c r="AC72" s="260">
        <f t="shared" si="15"/>
        <v>0</v>
      </c>
      <c r="AD72" s="299">
        <f t="shared" si="16"/>
        <v>0</v>
      </c>
      <c r="AE72" s="261">
        <f t="shared" si="17"/>
        <v>0</v>
      </c>
      <c r="AF72" s="262">
        <f t="shared" si="17"/>
        <v>0</v>
      </c>
      <c r="AG72" s="254"/>
      <c r="AI72" s="153">
        <f t="shared" si="18"/>
        <v>0</v>
      </c>
      <c r="AJ72" s="156">
        <f t="shared" si="19"/>
        <v>0</v>
      </c>
      <c r="AK72" s="147">
        <f t="shared" si="22"/>
        <v>0</v>
      </c>
      <c r="AM72" s="160">
        <f t="shared" si="23"/>
        <v>0</v>
      </c>
      <c r="AN72" s="150">
        <f t="shared" si="20"/>
        <v>0</v>
      </c>
      <c r="AP72" s="21">
        <f t="shared" si="24"/>
        <v>1</v>
      </c>
      <c r="AQ72" s="169">
        <f t="shared" si="21"/>
        <v>0</v>
      </c>
      <c r="AR72" s="263">
        <f t="shared" si="25"/>
        <v>0</v>
      </c>
    </row>
    <row r="73" spans="2:44" hidden="1">
      <c r="B73" s="21">
        <f>'MaterialCosts Summary'!B73</f>
        <v>65</v>
      </c>
      <c r="C73" s="26"/>
      <c r="D73" s="23">
        <f>'MaterialCosts Summary'!D73</f>
        <v>0</v>
      </c>
      <c r="E73" s="256">
        <f>'MaterialCosts Summary'!E73</f>
        <v>0</v>
      </c>
      <c r="F73" s="257">
        <v>0</v>
      </c>
      <c r="G73" s="257">
        <v>0</v>
      </c>
      <c r="H73" s="257">
        <v>0</v>
      </c>
      <c r="I73" s="258">
        <f t="shared" si="13"/>
        <v>0</v>
      </c>
      <c r="J73" s="258"/>
      <c r="K73" s="259">
        <f t="shared" si="14"/>
        <v>0</v>
      </c>
      <c r="L73" s="258">
        <v>0</v>
      </c>
      <c r="M73" s="259">
        <f t="shared" ref="M73:M136" si="26">L73*$M$6</f>
        <v>0</v>
      </c>
      <c r="N73" s="258">
        <v>0</v>
      </c>
      <c r="O73" s="259">
        <f t="shared" ref="O73:O136" si="27">N73*$O$6</f>
        <v>0</v>
      </c>
      <c r="P73" s="258">
        <f t="shared" ref="P73:P136" si="28">(IF(H73&lt;&gt;0,MAX((G73*$G$8)+(H73*0.1*$H$6)+(H73*0.9*$H$7),24),(G73*$G$8)+(H73*0.1*$H$6)+(H73*0.9*$H$7)))*Q73</f>
        <v>0</v>
      </c>
      <c r="Q73" s="258"/>
      <c r="R73" s="259">
        <f t="shared" ref="R73:R136" si="29">P73*$R$6</f>
        <v>0</v>
      </c>
      <c r="S73" s="258">
        <f t="shared" ref="S73:S136" si="30">G73*$G$6*T73</f>
        <v>0</v>
      </c>
      <c r="T73" s="258"/>
      <c r="U73" s="259">
        <f t="shared" ref="U73:U136" si="31">S73*$U$6</f>
        <v>0</v>
      </c>
      <c r="V73" s="258">
        <f t="shared" ref="V73:V136" si="32">(((G73+H73)*$G$7)+(F73*$F$7))*W73</f>
        <v>0</v>
      </c>
      <c r="W73" s="258"/>
      <c r="X73" s="259">
        <f t="shared" ref="X73:X136" si="33">V73*$X$6</f>
        <v>0</v>
      </c>
      <c r="Y73" s="258">
        <v>0</v>
      </c>
      <c r="Z73" s="259">
        <f t="shared" ref="Z73:Z136" si="34">Y73*$X$6</f>
        <v>0</v>
      </c>
      <c r="AA73" s="258">
        <v>0</v>
      </c>
      <c r="AB73" s="24">
        <v>1</v>
      </c>
      <c r="AC73" s="260">
        <f t="shared" si="15"/>
        <v>0</v>
      </c>
      <c r="AD73" s="297">
        <f t="shared" si="16"/>
        <v>0</v>
      </c>
      <c r="AE73" s="261">
        <f t="shared" si="17"/>
        <v>0</v>
      </c>
      <c r="AF73" s="262">
        <f t="shared" si="17"/>
        <v>0</v>
      </c>
      <c r="AG73" s="254"/>
      <c r="AI73" s="153">
        <f t="shared" si="18"/>
        <v>0</v>
      </c>
      <c r="AJ73" s="156">
        <f t="shared" si="19"/>
        <v>0</v>
      </c>
      <c r="AK73" s="147">
        <f t="shared" ref="AK73:AK104" si="35">CEILING((L73+N73+P73+V73+AA73), 4)</f>
        <v>0</v>
      </c>
      <c r="AM73" s="160">
        <f t="shared" ref="AM73:AM104" si="36">AJ73*$AM$3</f>
        <v>0</v>
      </c>
      <c r="AN73" s="150">
        <f t="shared" si="20"/>
        <v>0</v>
      </c>
      <c r="AP73" s="21">
        <f t="shared" ref="AP73:AP104" si="37">AB73</f>
        <v>1</v>
      </c>
      <c r="AQ73" s="169">
        <f t="shared" si="21"/>
        <v>0</v>
      </c>
      <c r="AR73" s="263">
        <f t="shared" ref="AR73:AR104" si="38">AF73+AM73+AN73</f>
        <v>0</v>
      </c>
    </row>
    <row r="74" spans="2:44" hidden="1">
      <c r="B74" s="21">
        <f>'MaterialCosts Summary'!B74</f>
        <v>66</v>
      </c>
      <c r="C74" s="26"/>
      <c r="D74" s="23">
        <f>'MaterialCosts Summary'!D74</f>
        <v>0</v>
      </c>
      <c r="E74" s="256">
        <f>'MaterialCosts Summary'!E74</f>
        <v>0</v>
      </c>
      <c r="F74" s="257">
        <v>0</v>
      </c>
      <c r="G74" s="257">
        <v>0</v>
      </c>
      <c r="H74" s="257">
        <v>0</v>
      </c>
      <c r="I74" s="258">
        <f t="shared" ref="I74:I137" si="39">(MAX((F74*$F$6)+(G74*$G$6),$J$3)*J74)</f>
        <v>0</v>
      </c>
      <c r="J74" s="258"/>
      <c r="K74" s="259">
        <f t="shared" ref="K74:K137" si="40">IF(AND(I74*$K$6&lt;150, I74&lt;&gt;0), (I74*$K$6)+0, I74*$K$6)</f>
        <v>0</v>
      </c>
      <c r="L74" s="258">
        <v>0</v>
      </c>
      <c r="M74" s="259">
        <f t="shared" si="26"/>
        <v>0</v>
      </c>
      <c r="N74" s="258">
        <v>0</v>
      </c>
      <c r="O74" s="259">
        <f t="shared" si="27"/>
        <v>0</v>
      </c>
      <c r="P74" s="258">
        <f t="shared" si="28"/>
        <v>0</v>
      </c>
      <c r="Q74" s="258"/>
      <c r="R74" s="259">
        <f t="shared" si="29"/>
        <v>0</v>
      </c>
      <c r="S74" s="258">
        <f t="shared" si="30"/>
        <v>0</v>
      </c>
      <c r="T74" s="258"/>
      <c r="U74" s="259">
        <f t="shared" si="31"/>
        <v>0</v>
      </c>
      <c r="V74" s="258">
        <f t="shared" si="32"/>
        <v>0</v>
      </c>
      <c r="W74" s="258"/>
      <c r="X74" s="259">
        <f t="shared" si="33"/>
        <v>0</v>
      </c>
      <c r="Y74" s="258">
        <v>0</v>
      </c>
      <c r="Z74" s="259">
        <f t="shared" si="34"/>
        <v>0</v>
      </c>
      <c r="AA74" s="258">
        <v>0</v>
      </c>
      <c r="AB74" s="24">
        <v>1</v>
      </c>
      <c r="AC74" s="260">
        <f t="shared" ref="AC74:AC137" si="41">AD74/AB74</f>
        <v>0</v>
      </c>
      <c r="AD74" s="298">
        <f t="shared" ref="AD74:AD137" si="42">E74+K74+M74+O74+R74+U74+X74+Z74</f>
        <v>0</v>
      </c>
      <c r="AE74" s="261">
        <f t="shared" ref="AE74:AF137" si="43">AC74*$AG$5</f>
        <v>0</v>
      </c>
      <c r="AF74" s="262">
        <f t="shared" si="43"/>
        <v>0</v>
      </c>
      <c r="AG74" s="254"/>
      <c r="AI74" s="153">
        <f t="shared" ref="AI74:AI137" si="44">CEILING(0/2, 4)</f>
        <v>0</v>
      </c>
      <c r="AJ74" s="156">
        <f t="shared" ref="AJ74:AJ137" si="45">CEILING((I74+S74+Y74), 1)</f>
        <v>0</v>
      </c>
      <c r="AK74" s="147">
        <f t="shared" si="35"/>
        <v>0</v>
      </c>
      <c r="AM74" s="160">
        <f t="shared" si="36"/>
        <v>0</v>
      </c>
      <c r="AN74" s="150">
        <f t="shared" ref="AN74:AN137" si="46">AK74*$AN$3</f>
        <v>0</v>
      </c>
      <c r="AP74" s="21">
        <f t="shared" si="37"/>
        <v>1</v>
      </c>
      <c r="AQ74" s="169">
        <f t="shared" ref="AQ74:AQ137" si="47">AR74/AP74</f>
        <v>0</v>
      </c>
      <c r="AR74" s="263">
        <f t="shared" si="38"/>
        <v>0</v>
      </c>
    </row>
    <row r="75" spans="2:44" hidden="1">
      <c r="B75" s="21">
        <f>'MaterialCosts Summary'!B75</f>
        <v>67</v>
      </c>
      <c r="C75" s="26"/>
      <c r="D75" s="23">
        <f>'MaterialCosts Summary'!D75</f>
        <v>0</v>
      </c>
      <c r="E75" s="256">
        <f>'MaterialCosts Summary'!E75</f>
        <v>0</v>
      </c>
      <c r="F75" s="257">
        <v>0</v>
      </c>
      <c r="G75" s="257">
        <v>0</v>
      </c>
      <c r="H75" s="257">
        <v>0</v>
      </c>
      <c r="I75" s="258">
        <f t="shared" si="39"/>
        <v>0</v>
      </c>
      <c r="J75" s="258"/>
      <c r="K75" s="259">
        <f t="shared" si="40"/>
        <v>0</v>
      </c>
      <c r="L75" s="258">
        <v>0</v>
      </c>
      <c r="M75" s="259">
        <f t="shared" si="26"/>
        <v>0</v>
      </c>
      <c r="N75" s="258">
        <v>0</v>
      </c>
      <c r="O75" s="259">
        <f t="shared" si="27"/>
        <v>0</v>
      </c>
      <c r="P75" s="258">
        <f t="shared" si="28"/>
        <v>0</v>
      </c>
      <c r="Q75" s="258"/>
      <c r="R75" s="259">
        <f t="shared" si="29"/>
        <v>0</v>
      </c>
      <c r="S75" s="258">
        <f t="shared" si="30"/>
        <v>0</v>
      </c>
      <c r="T75" s="258"/>
      <c r="U75" s="259">
        <f t="shared" si="31"/>
        <v>0</v>
      </c>
      <c r="V75" s="258">
        <f t="shared" si="32"/>
        <v>0</v>
      </c>
      <c r="W75" s="258"/>
      <c r="X75" s="259">
        <f t="shared" si="33"/>
        <v>0</v>
      </c>
      <c r="Y75" s="258">
        <v>0</v>
      </c>
      <c r="Z75" s="259">
        <f t="shared" si="34"/>
        <v>0</v>
      </c>
      <c r="AA75" s="258">
        <v>0</v>
      </c>
      <c r="AB75" s="24">
        <v>1</v>
      </c>
      <c r="AC75" s="260">
        <f t="shared" si="41"/>
        <v>0</v>
      </c>
      <c r="AD75" s="299">
        <f t="shared" si="42"/>
        <v>0</v>
      </c>
      <c r="AE75" s="261">
        <f t="shared" si="43"/>
        <v>0</v>
      </c>
      <c r="AF75" s="262">
        <f t="shared" si="43"/>
        <v>0</v>
      </c>
      <c r="AG75" s="254"/>
      <c r="AI75" s="153">
        <f t="shared" si="44"/>
        <v>0</v>
      </c>
      <c r="AJ75" s="156">
        <f t="shared" si="45"/>
        <v>0</v>
      </c>
      <c r="AK75" s="147">
        <f t="shared" si="35"/>
        <v>0</v>
      </c>
      <c r="AM75" s="160">
        <f t="shared" si="36"/>
        <v>0</v>
      </c>
      <c r="AN75" s="150">
        <f t="shared" si="46"/>
        <v>0</v>
      </c>
      <c r="AP75" s="21">
        <f t="shared" si="37"/>
        <v>1</v>
      </c>
      <c r="AQ75" s="169">
        <f t="shared" si="47"/>
        <v>0</v>
      </c>
      <c r="AR75" s="263">
        <f t="shared" si="38"/>
        <v>0</v>
      </c>
    </row>
    <row r="76" spans="2:44" hidden="1">
      <c r="B76" s="21">
        <f>'MaterialCosts Summary'!B76</f>
        <v>68</v>
      </c>
      <c r="C76" s="26"/>
      <c r="D76" s="23">
        <f>'MaterialCosts Summary'!D76</f>
        <v>0</v>
      </c>
      <c r="E76" s="256">
        <f>'MaterialCosts Summary'!E76</f>
        <v>0</v>
      </c>
      <c r="F76" s="257">
        <v>0</v>
      </c>
      <c r="G76" s="257">
        <v>0</v>
      </c>
      <c r="H76" s="257">
        <v>0</v>
      </c>
      <c r="I76" s="258">
        <f t="shared" si="39"/>
        <v>0</v>
      </c>
      <c r="J76" s="258"/>
      <c r="K76" s="259">
        <f t="shared" si="40"/>
        <v>0</v>
      </c>
      <c r="L76" s="258">
        <v>0</v>
      </c>
      <c r="M76" s="259">
        <f t="shared" si="26"/>
        <v>0</v>
      </c>
      <c r="N76" s="258">
        <v>0</v>
      </c>
      <c r="O76" s="259">
        <f t="shared" si="27"/>
        <v>0</v>
      </c>
      <c r="P76" s="258">
        <f t="shared" si="28"/>
        <v>0</v>
      </c>
      <c r="Q76" s="258"/>
      <c r="R76" s="259">
        <f t="shared" si="29"/>
        <v>0</v>
      </c>
      <c r="S76" s="258">
        <f t="shared" si="30"/>
        <v>0</v>
      </c>
      <c r="T76" s="258"/>
      <c r="U76" s="259">
        <f t="shared" si="31"/>
        <v>0</v>
      </c>
      <c r="V76" s="258">
        <f t="shared" si="32"/>
        <v>0</v>
      </c>
      <c r="W76" s="258"/>
      <c r="X76" s="259">
        <f t="shared" si="33"/>
        <v>0</v>
      </c>
      <c r="Y76" s="258">
        <v>0</v>
      </c>
      <c r="Z76" s="259">
        <f t="shared" si="34"/>
        <v>0</v>
      </c>
      <c r="AA76" s="258">
        <v>0</v>
      </c>
      <c r="AB76" s="24">
        <v>1</v>
      </c>
      <c r="AC76" s="260">
        <f t="shared" si="41"/>
        <v>0</v>
      </c>
      <c r="AD76" s="299">
        <f t="shared" si="42"/>
        <v>0</v>
      </c>
      <c r="AE76" s="261">
        <f t="shared" si="43"/>
        <v>0</v>
      </c>
      <c r="AF76" s="262">
        <f t="shared" si="43"/>
        <v>0</v>
      </c>
      <c r="AG76" s="254"/>
      <c r="AI76" s="153">
        <f t="shared" si="44"/>
        <v>0</v>
      </c>
      <c r="AJ76" s="156">
        <f t="shared" si="45"/>
        <v>0</v>
      </c>
      <c r="AK76" s="147">
        <f t="shared" si="35"/>
        <v>0</v>
      </c>
      <c r="AM76" s="160">
        <f t="shared" si="36"/>
        <v>0</v>
      </c>
      <c r="AN76" s="150">
        <f t="shared" si="46"/>
        <v>0</v>
      </c>
      <c r="AP76" s="21">
        <f t="shared" si="37"/>
        <v>1</v>
      </c>
      <c r="AQ76" s="169">
        <f t="shared" si="47"/>
        <v>0</v>
      </c>
      <c r="AR76" s="263">
        <f t="shared" si="38"/>
        <v>0</v>
      </c>
    </row>
    <row r="77" spans="2:44" hidden="1">
      <c r="B77" s="21">
        <f>'MaterialCosts Summary'!B77</f>
        <v>69</v>
      </c>
      <c r="C77" s="26"/>
      <c r="D77" s="23">
        <f>'MaterialCosts Summary'!D77</f>
        <v>0</v>
      </c>
      <c r="E77" s="256">
        <f>'MaterialCosts Summary'!E77</f>
        <v>0</v>
      </c>
      <c r="F77" s="257">
        <v>0</v>
      </c>
      <c r="G77" s="257">
        <v>0</v>
      </c>
      <c r="H77" s="257">
        <v>0</v>
      </c>
      <c r="I77" s="258">
        <f t="shared" si="39"/>
        <v>0</v>
      </c>
      <c r="J77" s="258"/>
      <c r="K77" s="259">
        <f t="shared" si="40"/>
        <v>0</v>
      </c>
      <c r="L77" s="258">
        <v>0</v>
      </c>
      <c r="M77" s="259">
        <f t="shared" si="26"/>
        <v>0</v>
      </c>
      <c r="N77" s="258">
        <v>0</v>
      </c>
      <c r="O77" s="259">
        <f t="shared" si="27"/>
        <v>0</v>
      </c>
      <c r="P77" s="258">
        <f t="shared" si="28"/>
        <v>0</v>
      </c>
      <c r="Q77" s="258"/>
      <c r="R77" s="259">
        <f t="shared" si="29"/>
        <v>0</v>
      </c>
      <c r="S77" s="258">
        <f t="shared" si="30"/>
        <v>0</v>
      </c>
      <c r="T77" s="258"/>
      <c r="U77" s="259">
        <f t="shared" si="31"/>
        <v>0</v>
      </c>
      <c r="V77" s="258">
        <f t="shared" si="32"/>
        <v>0</v>
      </c>
      <c r="W77" s="258"/>
      <c r="X77" s="259">
        <f t="shared" si="33"/>
        <v>0</v>
      </c>
      <c r="Y77" s="258">
        <v>0</v>
      </c>
      <c r="Z77" s="259">
        <f t="shared" si="34"/>
        <v>0</v>
      </c>
      <c r="AA77" s="258">
        <v>0</v>
      </c>
      <c r="AB77" s="24">
        <v>1</v>
      </c>
      <c r="AC77" s="260">
        <f t="shared" si="41"/>
        <v>0</v>
      </c>
      <c r="AD77" s="297">
        <f t="shared" si="42"/>
        <v>0</v>
      </c>
      <c r="AE77" s="261">
        <f t="shared" si="43"/>
        <v>0</v>
      </c>
      <c r="AF77" s="262">
        <f t="shared" si="43"/>
        <v>0</v>
      </c>
      <c r="AG77" s="254"/>
      <c r="AI77" s="153">
        <f t="shared" si="44"/>
        <v>0</v>
      </c>
      <c r="AJ77" s="156">
        <f t="shared" si="45"/>
        <v>0</v>
      </c>
      <c r="AK77" s="147">
        <f t="shared" si="35"/>
        <v>0</v>
      </c>
      <c r="AM77" s="160">
        <f t="shared" si="36"/>
        <v>0</v>
      </c>
      <c r="AN77" s="150">
        <f t="shared" si="46"/>
        <v>0</v>
      </c>
      <c r="AP77" s="21">
        <f t="shared" si="37"/>
        <v>1</v>
      </c>
      <c r="AQ77" s="169">
        <f t="shared" si="47"/>
        <v>0</v>
      </c>
      <c r="AR77" s="263">
        <f t="shared" si="38"/>
        <v>0</v>
      </c>
    </row>
    <row r="78" spans="2:44" hidden="1">
      <c r="B78" s="21">
        <f>'MaterialCosts Summary'!B78</f>
        <v>70</v>
      </c>
      <c r="C78" s="26"/>
      <c r="D78" s="23">
        <f>'MaterialCosts Summary'!D78</f>
        <v>0</v>
      </c>
      <c r="E78" s="256">
        <f>'MaterialCosts Summary'!E78</f>
        <v>0</v>
      </c>
      <c r="F78" s="257">
        <v>0</v>
      </c>
      <c r="G78" s="257">
        <v>0</v>
      </c>
      <c r="H78" s="257">
        <v>0</v>
      </c>
      <c r="I78" s="258">
        <f t="shared" si="39"/>
        <v>0</v>
      </c>
      <c r="J78" s="258"/>
      <c r="K78" s="259">
        <f t="shared" si="40"/>
        <v>0</v>
      </c>
      <c r="L78" s="258">
        <v>0</v>
      </c>
      <c r="M78" s="259">
        <f t="shared" si="26"/>
        <v>0</v>
      </c>
      <c r="N78" s="258">
        <v>0</v>
      </c>
      <c r="O78" s="259">
        <f t="shared" si="27"/>
        <v>0</v>
      </c>
      <c r="P78" s="258">
        <f t="shared" si="28"/>
        <v>0</v>
      </c>
      <c r="Q78" s="258"/>
      <c r="R78" s="259">
        <f t="shared" si="29"/>
        <v>0</v>
      </c>
      <c r="S78" s="258">
        <f t="shared" si="30"/>
        <v>0</v>
      </c>
      <c r="T78" s="258"/>
      <c r="U78" s="259">
        <f t="shared" si="31"/>
        <v>0</v>
      </c>
      <c r="V78" s="258">
        <f t="shared" si="32"/>
        <v>0</v>
      </c>
      <c r="W78" s="258"/>
      <c r="X78" s="259">
        <f t="shared" si="33"/>
        <v>0</v>
      </c>
      <c r="Y78" s="258">
        <v>0</v>
      </c>
      <c r="Z78" s="259">
        <f t="shared" si="34"/>
        <v>0</v>
      </c>
      <c r="AA78" s="258">
        <v>0</v>
      </c>
      <c r="AB78" s="24">
        <v>1</v>
      </c>
      <c r="AC78" s="260">
        <f t="shared" si="41"/>
        <v>0</v>
      </c>
      <c r="AD78" s="298">
        <f t="shared" si="42"/>
        <v>0</v>
      </c>
      <c r="AE78" s="261">
        <f t="shared" si="43"/>
        <v>0</v>
      </c>
      <c r="AF78" s="262">
        <f t="shared" si="43"/>
        <v>0</v>
      </c>
      <c r="AG78" s="254"/>
      <c r="AI78" s="153">
        <f t="shared" si="44"/>
        <v>0</v>
      </c>
      <c r="AJ78" s="156">
        <f t="shared" si="45"/>
        <v>0</v>
      </c>
      <c r="AK78" s="147">
        <f t="shared" si="35"/>
        <v>0</v>
      </c>
      <c r="AM78" s="160">
        <f t="shared" si="36"/>
        <v>0</v>
      </c>
      <c r="AN78" s="150">
        <f t="shared" si="46"/>
        <v>0</v>
      </c>
      <c r="AP78" s="21">
        <f t="shared" si="37"/>
        <v>1</v>
      </c>
      <c r="AQ78" s="169">
        <f t="shared" si="47"/>
        <v>0</v>
      </c>
      <c r="AR78" s="263">
        <f t="shared" si="38"/>
        <v>0</v>
      </c>
    </row>
    <row r="79" spans="2:44" hidden="1">
      <c r="B79" s="21">
        <f>'MaterialCosts Summary'!B79</f>
        <v>71</v>
      </c>
      <c r="C79" s="26"/>
      <c r="D79" s="23">
        <f>'MaterialCosts Summary'!D79</f>
        <v>0</v>
      </c>
      <c r="E79" s="256">
        <f>'MaterialCosts Summary'!E79</f>
        <v>0</v>
      </c>
      <c r="F79" s="257">
        <v>0</v>
      </c>
      <c r="G79" s="257">
        <v>0</v>
      </c>
      <c r="H79" s="257">
        <v>0</v>
      </c>
      <c r="I79" s="258">
        <f t="shared" si="39"/>
        <v>0</v>
      </c>
      <c r="J79" s="258"/>
      <c r="K79" s="259">
        <f t="shared" si="40"/>
        <v>0</v>
      </c>
      <c r="L79" s="258">
        <v>0</v>
      </c>
      <c r="M79" s="259">
        <f t="shared" si="26"/>
        <v>0</v>
      </c>
      <c r="N79" s="258">
        <v>0</v>
      </c>
      <c r="O79" s="259">
        <f t="shared" si="27"/>
        <v>0</v>
      </c>
      <c r="P79" s="258">
        <f t="shared" si="28"/>
        <v>0</v>
      </c>
      <c r="Q79" s="258"/>
      <c r="R79" s="259">
        <f t="shared" si="29"/>
        <v>0</v>
      </c>
      <c r="S79" s="258">
        <f t="shared" si="30"/>
        <v>0</v>
      </c>
      <c r="T79" s="258"/>
      <c r="U79" s="259">
        <f t="shared" si="31"/>
        <v>0</v>
      </c>
      <c r="V79" s="258">
        <f t="shared" si="32"/>
        <v>0</v>
      </c>
      <c r="W79" s="258"/>
      <c r="X79" s="259">
        <f t="shared" si="33"/>
        <v>0</v>
      </c>
      <c r="Y79" s="258">
        <v>0</v>
      </c>
      <c r="Z79" s="259">
        <f t="shared" si="34"/>
        <v>0</v>
      </c>
      <c r="AA79" s="258">
        <v>0</v>
      </c>
      <c r="AB79" s="24">
        <v>1</v>
      </c>
      <c r="AC79" s="260">
        <f t="shared" si="41"/>
        <v>0</v>
      </c>
      <c r="AD79" s="299">
        <f t="shared" si="42"/>
        <v>0</v>
      </c>
      <c r="AE79" s="261">
        <f t="shared" si="43"/>
        <v>0</v>
      </c>
      <c r="AF79" s="262">
        <f t="shared" si="43"/>
        <v>0</v>
      </c>
      <c r="AG79" s="254"/>
      <c r="AI79" s="153">
        <f t="shared" si="44"/>
        <v>0</v>
      </c>
      <c r="AJ79" s="156">
        <f t="shared" si="45"/>
        <v>0</v>
      </c>
      <c r="AK79" s="147">
        <f t="shared" si="35"/>
        <v>0</v>
      </c>
      <c r="AM79" s="160">
        <f t="shared" si="36"/>
        <v>0</v>
      </c>
      <c r="AN79" s="150">
        <f t="shared" si="46"/>
        <v>0</v>
      </c>
      <c r="AP79" s="21">
        <f t="shared" si="37"/>
        <v>1</v>
      </c>
      <c r="AQ79" s="169">
        <f t="shared" si="47"/>
        <v>0</v>
      </c>
      <c r="AR79" s="263">
        <f t="shared" si="38"/>
        <v>0</v>
      </c>
    </row>
    <row r="80" spans="2:44" hidden="1">
      <c r="B80" s="21">
        <f>'MaterialCosts Summary'!B80</f>
        <v>72</v>
      </c>
      <c r="C80" s="26"/>
      <c r="D80" s="23">
        <f>'MaterialCosts Summary'!D80</f>
        <v>0</v>
      </c>
      <c r="E80" s="256">
        <f>'MaterialCosts Summary'!E80</f>
        <v>0</v>
      </c>
      <c r="F80" s="257">
        <v>0</v>
      </c>
      <c r="G80" s="257">
        <v>0</v>
      </c>
      <c r="H80" s="257">
        <v>0</v>
      </c>
      <c r="I80" s="258">
        <f t="shared" si="39"/>
        <v>0</v>
      </c>
      <c r="J80" s="258"/>
      <c r="K80" s="259">
        <f t="shared" si="40"/>
        <v>0</v>
      </c>
      <c r="L80" s="258">
        <v>0</v>
      </c>
      <c r="M80" s="259">
        <f t="shared" si="26"/>
        <v>0</v>
      </c>
      <c r="N80" s="258">
        <v>0</v>
      </c>
      <c r="O80" s="259">
        <f t="shared" si="27"/>
        <v>0</v>
      </c>
      <c r="P80" s="258">
        <f t="shared" si="28"/>
        <v>0</v>
      </c>
      <c r="Q80" s="258"/>
      <c r="R80" s="259">
        <f t="shared" si="29"/>
        <v>0</v>
      </c>
      <c r="S80" s="258">
        <f t="shared" si="30"/>
        <v>0</v>
      </c>
      <c r="T80" s="258"/>
      <c r="U80" s="259">
        <f t="shared" si="31"/>
        <v>0</v>
      </c>
      <c r="V80" s="258">
        <f t="shared" si="32"/>
        <v>0</v>
      </c>
      <c r="W80" s="258"/>
      <c r="X80" s="259">
        <f t="shared" si="33"/>
        <v>0</v>
      </c>
      <c r="Y80" s="258">
        <v>0</v>
      </c>
      <c r="Z80" s="259">
        <f t="shared" si="34"/>
        <v>0</v>
      </c>
      <c r="AA80" s="258">
        <v>0</v>
      </c>
      <c r="AB80" s="24">
        <v>1</v>
      </c>
      <c r="AC80" s="260">
        <f t="shared" si="41"/>
        <v>0</v>
      </c>
      <c r="AD80" s="299">
        <f t="shared" si="42"/>
        <v>0</v>
      </c>
      <c r="AE80" s="261">
        <f t="shared" si="43"/>
        <v>0</v>
      </c>
      <c r="AF80" s="262">
        <f t="shared" si="43"/>
        <v>0</v>
      </c>
      <c r="AG80" s="254"/>
      <c r="AI80" s="153">
        <f t="shared" si="44"/>
        <v>0</v>
      </c>
      <c r="AJ80" s="156">
        <f t="shared" si="45"/>
        <v>0</v>
      </c>
      <c r="AK80" s="147">
        <f t="shared" si="35"/>
        <v>0</v>
      </c>
      <c r="AM80" s="160">
        <f t="shared" si="36"/>
        <v>0</v>
      </c>
      <c r="AN80" s="150">
        <f t="shared" si="46"/>
        <v>0</v>
      </c>
      <c r="AP80" s="21">
        <f t="shared" si="37"/>
        <v>1</v>
      </c>
      <c r="AQ80" s="169">
        <f t="shared" si="47"/>
        <v>0</v>
      </c>
      <c r="AR80" s="263">
        <f t="shared" si="38"/>
        <v>0</v>
      </c>
    </row>
    <row r="81" spans="2:44" hidden="1">
      <c r="B81" s="21">
        <f>'MaterialCosts Summary'!B81</f>
        <v>73</v>
      </c>
      <c r="C81" s="26"/>
      <c r="D81" s="23">
        <f>'MaterialCosts Summary'!D81</f>
        <v>0</v>
      </c>
      <c r="E81" s="256">
        <f>'MaterialCosts Summary'!E81</f>
        <v>0</v>
      </c>
      <c r="F81" s="257">
        <v>0</v>
      </c>
      <c r="G81" s="257">
        <v>0</v>
      </c>
      <c r="H81" s="257">
        <v>0</v>
      </c>
      <c r="I81" s="258">
        <f t="shared" si="39"/>
        <v>0</v>
      </c>
      <c r="J81" s="258"/>
      <c r="K81" s="259">
        <f t="shared" si="40"/>
        <v>0</v>
      </c>
      <c r="L81" s="258">
        <v>0</v>
      </c>
      <c r="M81" s="259">
        <f t="shared" si="26"/>
        <v>0</v>
      </c>
      <c r="N81" s="258">
        <v>0</v>
      </c>
      <c r="O81" s="259">
        <f t="shared" si="27"/>
        <v>0</v>
      </c>
      <c r="P81" s="258">
        <f t="shared" si="28"/>
        <v>0</v>
      </c>
      <c r="Q81" s="258"/>
      <c r="R81" s="259">
        <f t="shared" si="29"/>
        <v>0</v>
      </c>
      <c r="S81" s="258">
        <f t="shared" si="30"/>
        <v>0</v>
      </c>
      <c r="T81" s="258"/>
      <c r="U81" s="259">
        <f t="shared" si="31"/>
        <v>0</v>
      </c>
      <c r="V81" s="258">
        <f t="shared" si="32"/>
        <v>0</v>
      </c>
      <c r="W81" s="258"/>
      <c r="X81" s="259">
        <f t="shared" si="33"/>
        <v>0</v>
      </c>
      <c r="Y81" s="258">
        <v>0</v>
      </c>
      <c r="Z81" s="259">
        <f t="shared" si="34"/>
        <v>0</v>
      </c>
      <c r="AA81" s="258">
        <v>0</v>
      </c>
      <c r="AB81" s="24">
        <v>1</v>
      </c>
      <c r="AC81" s="260">
        <f t="shared" si="41"/>
        <v>0</v>
      </c>
      <c r="AD81" s="297">
        <f t="shared" si="42"/>
        <v>0</v>
      </c>
      <c r="AE81" s="261">
        <f t="shared" si="43"/>
        <v>0</v>
      </c>
      <c r="AF81" s="262">
        <f t="shared" si="43"/>
        <v>0</v>
      </c>
      <c r="AG81" s="254"/>
      <c r="AI81" s="153">
        <f t="shared" si="44"/>
        <v>0</v>
      </c>
      <c r="AJ81" s="156">
        <f t="shared" si="45"/>
        <v>0</v>
      </c>
      <c r="AK81" s="147">
        <f t="shared" si="35"/>
        <v>0</v>
      </c>
      <c r="AM81" s="160">
        <f t="shared" si="36"/>
        <v>0</v>
      </c>
      <c r="AN81" s="150">
        <f t="shared" si="46"/>
        <v>0</v>
      </c>
      <c r="AP81" s="21">
        <f t="shared" si="37"/>
        <v>1</v>
      </c>
      <c r="AQ81" s="169">
        <f t="shared" si="47"/>
        <v>0</v>
      </c>
      <c r="AR81" s="263">
        <f t="shared" si="38"/>
        <v>0</v>
      </c>
    </row>
    <row r="82" spans="2:44" hidden="1">
      <c r="B82" s="21">
        <f>'MaterialCosts Summary'!B82</f>
        <v>74</v>
      </c>
      <c r="C82" s="26"/>
      <c r="D82" s="23">
        <f>'MaterialCosts Summary'!D82</f>
        <v>0</v>
      </c>
      <c r="E82" s="256">
        <f>'MaterialCosts Summary'!E82</f>
        <v>0</v>
      </c>
      <c r="F82" s="257">
        <v>0</v>
      </c>
      <c r="G82" s="257">
        <v>0</v>
      </c>
      <c r="H82" s="257">
        <v>0</v>
      </c>
      <c r="I82" s="258">
        <f t="shared" si="39"/>
        <v>0</v>
      </c>
      <c r="J82" s="258"/>
      <c r="K82" s="259">
        <f t="shared" si="40"/>
        <v>0</v>
      </c>
      <c r="L82" s="258">
        <v>0</v>
      </c>
      <c r="M82" s="259">
        <f t="shared" si="26"/>
        <v>0</v>
      </c>
      <c r="N82" s="258">
        <v>0</v>
      </c>
      <c r="O82" s="259">
        <f t="shared" si="27"/>
        <v>0</v>
      </c>
      <c r="P82" s="258">
        <f t="shared" si="28"/>
        <v>0</v>
      </c>
      <c r="Q82" s="258"/>
      <c r="R82" s="259">
        <f t="shared" si="29"/>
        <v>0</v>
      </c>
      <c r="S82" s="258">
        <f t="shared" si="30"/>
        <v>0</v>
      </c>
      <c r="T82" s="258"/>
      <c r="U82" s="259">
        <f t="shared" si="31"/>
        <v>0</v>
      </c>
      <c r="V82" s="258">
        <f t="shared" si="32"/>
        <v>0</v>
      </c>
      <c r="W82" s="258"/>
      <c r="X82" s="259">
        <f t="shared" si="33"/>
        <v>0</v>
      </c>
      <c r="Y82" s="258">
        <v>0</v>
      </c>
      <c r="Z82" s="259">
        <f t="shared" si="34"/>
        <v>0</v>
      </c>
      <c r="AA82" s="258">
        <v>0</v>
      </c>
      <c r="AB82" s="24">
        <v>1</v>
      </c>
      <c r="AC82" s="260">
        <f t="shared" si="41"/>
        <v>0</v>
      </c>
      <c r="AD82" s="298">
        <f t="shared" si="42"/>
        <v>0</v>
      </c>
      <c r="AE82" s="261">
        <f t="shared" si="43"/>
        <v>0</v>
      </c>
      <c r="AF82" s="262">
        <f t="shared" si="43"/>
        <v>0</v>
      </c>
      <c r="AG82" s="254"/>
      <c r="AI82" s="153">
        <f t="shared" si="44"/>
        <v>0</v>
      </c>
      <c r="AJ82" s="156">
        <f t="shared" si="45"/>
        <v>0</v>
      </c>
      <c r="AK82" s="147">
        <f t="shared" si="35"/>
        <v>0</v>
      </c>
      <c r="AM82" s="160">
        <f t="shared" si="36"/>
        <v>0</v>
      </c>
      <c r="AN82" s="150">
        <f t="shared" si="46"/>
        <v>0</v>
      </c>
      <c r="AP82" s="21">
        <f t="shared" si="37"/>
        <v>1</v>
      </c>
      <c r="AQ82" s="169">
        <f t="shared" si="47"/>
        <v>0</v>
      </c>
      <c r="AR82" s="263">
        <f t="shared" si="38"/>
        <v>0</v>
      </c>
    </row>
    <row r="83" spans="2:44" hidden="1">
      <c r="B83" s="21">
        <f>'MaterialCosts Summary'!B83</f>
        <v>75</v>
      </c>
      <c r="C83" s="26"/>
      <c r="D83" s="23">
        <f>'MaterialCosts Summary'!D83</f>
        <v>0</v>
      </c>
      <c r="E83" s="256">
        <f>'MaterialCosts Summary'!E83</f>
        <v>0</v>
      </c>
      <c r="F83" s="257">
        <v>0</v>
      </c>
      <c r="G83" s="257">
        <v>0</v>
      </c>
      <c r="H83" s="257">
        <v>0</v>
      </c>
      <c r="I83" s="258">
        <f t="shared" si="39"/>
        <v>0</v>
      </c>
      <c r="J83" s="258"/>
      <c r="K83" s="259">
        <f t="shared" si="40"/>
        <v>0</v>
      </c>
      <c r="L83" s="258">
        <v>0</v>
      </c>
      <c r="M83" s="259">
        <f t="shared" si="26"/>
        <v>0</v>
      </c>
      <c r="N83" s="258">
        <v>0</v>
      </c>
      <c r="O83" s="259">
        <f t="shared" si="27"/>
        <v>0</v>
      </c>
      <c r="P83" s="258">
        <f t="shared" si="28"/>
        <v>0</v>
      </c>
      <c r="Q83" s="258"/>
      <c r="R83" s="259">
        <f t="shared" si="29"/>
        <v>0</v>
      </c>
      <c r="S83" s="258">
        <f t="shared" si="30"/>
        <v>0</v>
      </c>
      <c r="T83" s="258"/>
      <c r="U83" s="259">
        <f t="shared" si="31"/>
        <v>0</v>
      </c>
      <c r="V83" s="258">
        <f t="shared" si="32"/>
        <v>0</v>
      </c>
      <c r="W83" s="258"/>
      <c r="X83" s="259">
        <f t="shared" si="33"/>
        <v>0</v>
      </c>
      <c r="Y83" s="258">
        <v>0</v>
      </c>
      <c r="Z83" s="259">
        <f t="shared" si="34"/>
        <v>0</v>
      </c>
      <c r="AA83" s="258">
        <v>0</v>
      </c>
      <c r="AB83" s="24">
        <v>1</v>
      </c>
      <c r="AC83" s="260">
        <f t="shared" si="41"/>
        <v>0</v>
      </c>
      <c r="AD83" s="299">
        <f t="shared" si="42"/>
        <v>0</v>
      </c>
      <c r="AE83" s="261">
        <f t="shared" si="43"/>
        <v>0</v>
      </c>
      <c r="AF83" s="262">
        <f t="shared" si="43"/>
        <v>0</v>
      </c>
      <c r="AG83" s="254"/>
      <c r="AI83" s="153">
        <f t="shared" si="44"/>
        <v>0</v>
      </c>
      <c r="AJ83" s="156">
        <f t="shared" si="45"/>
        <v>0</v>
      </c>
      <c r="AK83" s="147">
        <f t="shared" si="35"/>
        <v>0</v>
      </c>
      <c r="AM83" s="160">
        <f t="shared" si="36"/>
        <v>0</v>
      </c>
      <c r="AN83" s="150">
        <f t="shared" si="46"/>
        <v>0</v>
      </c>
      <c r="AP83" s="21">
        <f t="shared" si="37"/>
        <v>1</v>
      </c>
      <c r="AQ83" s="169">
        <f t="shared" si="47"/>
        <v>0</v>
      </c>
      <c r="AR83" s="263">
        <f t="shared" si="38"/>
        <v>0</v>
      </c>
    </row>
    <row r="84" spans="2:44" hidden="1">
      <c r="B84" s="21">
        <f>'MaterialCosts Summary'!B84</f>
        <v>76</v>
      </c>
      <c r="C84" s="26"/>
      <c r="D84" s="23">
        <f>'MaterialCosts Summary'!D84</f>
        <v>0</v>
      </c>
      <c r="E84" s="256">
        <f>'MaterialCosts Summary'!E84</f>
        <v>0</v>
      </c>
      <c r="F84" s="257">
        <v>0</v>
      </c>
      <c r="G84" s="257">
        <v>0</v>
      </c>
      <c r="H84" s="257">
        <v>0</v>
      </c>
      <c r="I84" s="258">
        <f t="shared" si="39"/>
        <v>0</v>
      </c>
      <c r="J84" s="258"/>
      <c r="K84" s="259">
        <f t="shared" si="40"/>
        <v>0</v>
      </c>
      <c r="L84" s="258">
        <v>0</v>
      </c>
      <c r="M84" s="259">
        <f t="shared" si="26"/>
        <v>0</v>
      </c>
      <c r="N84" s="258">
        <v>0</v>
      </c>
      <c r="O84" s="259">
        <f t="shared" si="27"/>
        <v>0</v>
      </c>
      <c r="P84" s="258">
        <f t="shared" si="28"/>
        <v>0</v>
      </c>
      <c r="Q84" s="258"/>
      <c r="R84" s="259">
        <f t="shared" si="29"/>
        <v>0</v>
      </c>
      <c r="S84" s="258">
        <f t="shared" si="30"/>
        <v>0</v>
      </c>
      <c r="T84" s="258"/>
      <c r="U84" s="259">
        <f t="shared" si="31"/>
        <v>0</v>
      </c>
      <c r="V84" s="258">
        <f t="shared" si="32"/>
        <v>0</v>
      </c>
      <c r="W84" s="258"/>
      <c r="X84" s="259">
        <f t="shared" si="33"/>
        <v>0</v>
      </c>
      <c r="Y84" s="258">
        <v>0</v>
      </c>
      <c r="Z84" s="259">
        <f t="shared" si="34"/>
        <v>0</v>
      </c>
      <c r="AA84" s="258">
        <v>0</v>
      </c>
      <c r="AB84" s="24">
        <v>1</v>
      </c>
      <c r="AC84" s="260">
        <f t="shared" si="41"/>
        <v>0</v>
      </c>
      <c r="AD84" s="299">
        <f t="shared" si="42"/>
        <v>0</v>
      </c>
      <c r="AE84" s="261">
        <f t="shared" si="43"/>
        <v>0</v>
      </c>
      <c r="AF84" s="262">
        <f t="shared" si="43"/>
        <v>0</v>
      </c>
      <c r="AG84" s="254"/>
      <c r="AI84" s="153">
        <f t="shared" si="44"/>
        <v>0</v>
      </c>
      <c r="AJ84" s="156">
        <f t="shared" si="45"/>
        <v>0</v>
      </c>
      <c r="AK84" s="147">
        <f t="shared" si="35"/>
        <v>0</v>
      </c>
      <c r="AM84" s="160">
        <f t="shared" si="36"/>
        <v>0</v>
      </c>
      <c r="AN84" s="150">
        <f t="shared" si="46"/>
        <v>0</v>
      </c>
      <c r="AP84" s="21">
        <f t="shared" si="37"/>
        <v>1</v>
      </c>
      <c r="AQ84" s="169">
        <f t="shared" si="47"/>
        <v>0</v>
      </c>
      <c r="AR84" s="263">
        <f t="shared" si="38"/>
        <v>0</v>
      </c>
    </row>
    <row r="85" spans="2:44" hidden="1">
      <c r="B85" s="21">
        <f>'MaterialCosts Summary'!B85</f>
        <v>77</v>
      </c>
      <c r="C85" s="26"/>
      <c r="D85" s="23">
        <f>'MaterialCosts Summary'!D85</f>
        <v>0</v>
      </c>
      <c r="E85" s="256">
        <f>'MaterialCosts Summary'!E85</f>
        <v>0</v>
      </c>
      <c r="F85" s="257">
        <v>0</v>
      </c>
      <c r="G85" s="257">
        <v>0</v>
      </c>
      <c r="H85" s="257">
        <v>0</v>
      </c>
      <c r="I85" s="258">
        <f t="shared" si="39"/>
        <v>0</v>
      </c>
      <c r="J85" s="258"/>
      <c r="K85" s="259">
        <f t="shared" si="40"/>
        <v>0</v>
      </c>
      <c r="L85" s="258">
        <v>0</v>
      </c>
      <c r="M85" s="259">
        <f t="shared" si="26"/>
        <v>0</v>
      </c>
      <c r="N85" s="258">
        <v>0</v>
      </c>
      <c r="O85" s="259">
        <f t="shared" si="27"/>
        <v>0</v>
      </c>
      <c r="P85" s="258">
        <f t="shared" si="28"/>
        <v>0</v>
      </c>
      <c r="Q85" s="258"/>
      <c r="R85" s="259">
        <f t="shared" si="29"/>
        <v>0</v>
      </c>
      <c r="S85" s="258">
        <f t="shared" si="30"/>
        <v>0</v>
      </c>
      <c r="T85" s="258"/>
      <c r="U85" s="259">
        <f t="shared" si="31"/>
        <v>0</v>
      </c>
      <c r="V85" s="258">
        <f t="shared" si="32"/>
        <v>0</v>
      </c>
      <c r="W85" s="258"/>
      <c r="X85" s="259">
        <f t="shared" si="33"/>
        <v>0</v>
      </c>
      <c r="Y85" s="258">
        <v>0</v>
      </c>
      <c r="Z85" s="259">
        <f t="shared" si="34"/>
        <v>0</v>
      </c>
      <c r="AA85" s="258">
        <v>0</v>
      </c>
      <c r="AB85" s="24">
        <v>1</v>
      </c>
      <c r="AC85" s="260">
        <f t="shared" si="41"/>
        <v>0</v>
      </c>
      <c r="AD85" s="297">
        <f t="shared" si="42"/>
        <v>0</v>
      </c>
      <c r="AE85" s="261">
        <f t="shared" si="43"/>
        <v>0</v>
      </c>
      <c r="AF85" s="262">
        <f t="shared" si="43"/>
        <v>0</v>
      </c>
      <c r="AG85" s="254"/>
      <c r="AI85" s="153">
        <f t="shared" si="44"/>
        <v>0</v>
      </c>
      <c r="AJ85" s="156">
        <f t="shared" si="45"/>
        <v>0</v>
      </c>
      <c r="AK85" s="147">
        <f t="shared" si="35"/>
        <v>0</v>
      </c>
      <c r="AM85" s="160">
        <f t="shared" si="36"/>
        <v>0</v>
      </c>
      <c r="AN85" s="150">
        <f t="shared" si="46"/>
        <v>0</v>
      </c>
      <c r="AP85" s="21">
        <f t="shared" si="37"/>
        <v>1</v>
      </c>
      <c r="AQ85" s="169">
        <f t="shared" si="47"/>
        <v>0</v>
      </c>
      <c r="AR85" s="263">
        <f t="shared" si="38"/>
        <v>0</v>
      </c>
    </row>
    <row r="86" spans="2:44" hidden="1">
      <c r="B86" s="21">
        <f>'MaterialCosts Summary'!B86</f>
        <v>78</v>
      </c>
      <c r="C86" s="26"/>
      <c r="D86" s="23">
        <f>'MaterialCosts Summary'!D86</f>
        <v>0</v>
      </c>
      <c r="E86" s="256">
        <f>'MaterialCosts Summary'!E86</f>
        <v>0</v>
      </c>
      <c r="F86" s="257">
        <v>0</v>
      </c>
      <c r="G86" s="257">
        <v>0</v>
      </c>
      <c r="H86" s="257">
        <v>0</v>
      </c>
      <c r="I86" s="258">
        <f t="shared" si="39"/>
        <v>0</v>
      </c>
      <c r="J86" s="258"/>
      <c r="K86" s="259">
        <f t="shared" si="40"/>
        <v>0</v>
      </c>
      <c r="L86" s="258">
        <v>0</v>
      </c>
      <c r="M86" s="259">
        <f t="shared" si="26"/>
        <v>0</v>
      </c>
      <c r="N86" s="258">
        <v>0</v>
      </c>
      <c r="O86" s="259">
        <f t="shared" si="27"/>
        <v>0</v>
      </c>
      <c r="P86" s="258">
        <f t="shared" si="28"/>
        <v>0</v>
      </c>
      <c r="Q86" s="258"/>
      <c r="R86" s="259">
        <f t="shared" si="29"/>
        <v>0</v>
      </c>
      <c r="S86" s="258">
        <f t="shared" si="30"/>
        <v>0</v>
      </c>
      <c r="T86" s="258"/>
      <c r="U86" s="259">
        <f t="shared" si="31"/>
        <v>0</v>
      </c>
      <c r="V86" s="258">
        <f t="shared" si="32"/>
        <v>0</v>
      </c>
      <c r="W86" s="258"/>
      <c r="X86" s="259">
        <f t="shared" si="33"/>
        <v>0</v>
      </c>
      <c r="Y86" s="258">
        <v>0</v>
      </c>
      <c r="Z86" s="259">
        <f t="shared" si="34"/>
        <v>0</v>
      </c>
      <c r="AA86" s="258">
        <v>0</v>
      </c>
      <c r="AB86" s="24">
        <v>1</v>
      </c>
      <c r="AC86" s="260">
        <f t="shared" si="41"/>
        <v>0</v>
      </c>
      <c r="AD86" s="298">
        <f t="shared" si="42"/>
        <v>0</v>
      </c>
      <c r="AE86" s="261">
        <f t="shared" si="43"/>
        <v>0</v>
      </c>
      <c r="AF86" s="262">
        <f t="shared" si="43"/>
        <v>0</v>
      </c>
      <c r="AG86" s="254"/>
      <c r="AI86" s="153">
        <f t="shared" si="44"/>
        <v>0</v>
      </c>
      <c r="AJ86" s="156">
        <f t="shared" si="45"/>
        <v>0</v>
      </c>
      <c r="AK86" s="147">
        <f t="shared" si="35"/>
        <v>0</v>
      </c>
      <c r="AM86" s="160">
        <f t="shared" si="36"/>
        <v>0</v>
      </c>
      <c r="AN86" s="150">
        <f t="shared" si="46"/>
        <v>0</v>
      </c>
      <c r="AP86" s="21">
        <f t="shared" si="37"/>
        <v>1</v>
      </c>
      <c r="AQ86" s="169">
        <f t="shared" si="47"/>
        <v>0</v>
      </c>
      <c r="AR86" s="263">
        <f t="shared" si="38"/>
        <v>0</v>
      </c>
    </row>
    <row r="87" spans="2:44" hidden="1">
      <c r="B87" s="21">
        <f>'MaterialCosts Summary'!B87</f>
        <v>79</v>
      </c>
      <c r="C87" s="26"/>
      <c r="D87" s="23">
        <f>'MaterialCosts Summary'!D87</f>
        <v>0</v>
      </c>
      <c r="E87" s="256">
        <f>'MaterialCosts Summary'!E87</f>
        <v>0</v>
      </c>
      <c r="F87" s="257">
        <v>0</v>
      </c>
      <c r="G87" s="257">
        <v>0</v>
      </c>
      <c r="H87" s="257">
        <v>0</v>
      </c>
      <c r="I87" s="258">
        <f t="shared" si="39"/>
        <v>0</v>
      </c>
      <c r="J87" s="258"/>
      <c r="K87" s="259">
        <f t="shared" si="40"/>
        <v>0</v>
      </c>
      <c r="L87" s="258">
        <v>0</v>
      </c>
      <c r="M87" s="259">
        <f t="shared" si="26"/>
        <v>0</v>
      </c>
      <c r="N87" s="258">
        <v>0</v>
      </c>
      <c r="O87" s="259">
        <f t="shared" si="27"/>
        <v>0</v>
      </c>
      <c r="P87" s="258">
        <f t="shared" si="28"/>
        <v>0</v>
      </c>
      <c r="Q87" s="258"/>
      <c r="R87" s="259">
        <f t="shared" si="29"/>
        <v>0</v>
      </c>
      <c r="S87" s="258">
        <f t="shared" si="30"/>
        <v>0</v>
      </c>
      <c r="T87" s="258"/>
      <c r="U87" s="259">
        <f t="shared" si="31"/>
        <v>0</v>
      </c>
      <c r="V87" s="258">
        <f t="shared" si="32"/>
        <v>0</v>
      </c>
      <c r="W87" s="258"/>
      <c r="X87" s="259">
        <f t="shared" si="33"/>
        <v>0</v>
      </c>
      <c r="Y87" s="258">
        <v>0</v>
      </c>
      <c r="Z87" s="259">
        <f t="shared" si="34"/>
        <v>0</v>
      </c>
      <c r="AA87" s="258">
        <v>0</v>
      </c>
      <c r="AB87" s="24">
        <v>1</v>
      </c>
      <c r="AC87" s="260">
        <f t="shared" si="41"/>
        <v>0</v>
      </c>
      <c r="AD87" s="299">
        <f t="shared" si="42"/>
        <v>0</v>
      </c>
      <c r="AE87" s="261">
        <f t="shared" si="43"/>
        <v>0</v>
      </c>
      <c r="AF87" s="262">
        <f t="shared" si="43"/>
        <v>0</v>
      </c>
      <c r="AG87" s="254"/>
      <c r="AI87" s="153">
        <f t="shared" si="44"/>
        <v>0</v>
      </c>
      <c r="AJ87" s="156">
        <f t="shared" si="45"/>
        <v>0</v>
      </c>
      <c r="AK87" s="147">
        <f t="shared" si="35"/>
        <v>0</v>
      </c>
      <c r="AM87" s="160">
        <f t="shared" si="36"/>
        <v>0</v>
      </c>
      <c r="AN87" s="150">
        <f t="shared" si="46"/>
        <v>0</v>
      </c>
      <c r="AP87" s="21">
        <f t="shared" si="37"/>
        <v>1</v>
      </c>
      <c r="AQ87" s="169">
        <f t="shared" si="47"/>
        <v>0</v>
      </c>
      <c r="AR87" s="263">
        <f t="shared" si="38"/>
        <v>0</v>
      </c>
    </row>
    <row r="88" spans="2:44" hidden="1">
      <c r="B88" s="21">
        <f>'MaterialCosts Summary'!B88</f>
        <v>80</v>
      </c>
      <c r="C88" s="26"/>
      <c r="D88" s="23">
        <f>'MaterialCosts Summary'!D88</f>
        <v>0</v>
      </c>
      <c r="E88" s="256">
        <f>'MaterialCosts Summary'!E88</f>
        <v>0</v>
      </c>
      <c r="F88" s="257">
        <v>0</v>
      </c>
      <c r="G88" s="257">
        <v>0</v>
      </c>
      <c r="H88" s="257">
        <v>0</v>
      </c>
      <c r="I88" s="258">
        <f t="shared" si="39"/>
        <v>0</v>
      </c>
      <c r="J88" s="258"/>
      <c r="K88" s="259">
        <f t="shared" si="40"/>
        <v>0</v>
      </c>
      <c r="L88" s="258">
        <v>0</v>
      </c>
      <c r="M88" s="259">
        <f t="shared" si="26"/>
        <v>0</v>
      </c>
      <c r="N88" s="258">
        <v>0</v>
      </c>
      <c r="O88" s="259">
        <f t="shared" si="27"/>
        <v>0</v>
      </c>
      <c r="P88" s="258">
        <f t="shared" si="28"/>
        <v>0</v>
      </c>
      <c r="Q88" s="258"/>
      <c r="R88" s="259">
        <f t="shared" si="29"/>
        <v>0</v>
      </c>
      <c r="S88" s="258">
        <f t="shared" si="30"/>
        <v>0</v>
      </c>
      <c r="T88" s="258"/>
      <c r="U88" s="259">
        <f t="shared" si="31"/>
        <v>0</v>
      </c>
      <c r="V88" s="258">
        <f t="shared" si="32"/>
        <v>0</v>
      </c>
      <c r="W88" s="258"/>
      <c r="X88" s="259">
        <f t="shared" si="33"/>
        <v>0</v>
      </c>
      <c r="Y88" s="258">
        <v>0</v>
      </c>
      <c r="Z88" s="259">
        <f t="shared" si="34"/>
        <v>0</v>
      </c>
      <c r="AA88" s="258">
        <v>0</v>
      </c>
      <c r="AB88" s="24">
        <v>1</v>
      </c>
      <c r="AC88" s="260">
        <f t="shared" si="41"/>
        <v>0</v>
      </c>
      <c r="AD88" s="299">
        <f t="shared" si="42"/>
        <v>0</v>
      </c>
      <c r="AE88" s="261">
        <f t="shared" si="43"/>
        <v>0</v>
      </c>
      <c r="AF88" s="262">
        <f t="shared" si="43"/>
        <v>0</v>
      </c>
      <c r="AG88" s="254"/>
      <c r="AI88" s="153">
        <f t="shared" si="44"/>
        <v>0</v>
      </c>
      <c r="AJ88" s="156">
        <f t="shared" si="45"/>
        <v>0</v>
      </c>
      <c r="AK88" s="147">
        <f t="shared" si="35"/>
        <v>0</v>
      </c>
      <c r="AM88" s="160">
        <f t="shared" si="36"/>
        <v>0</v>
      </c>
      <c r="AN88" s="150">
        <f t="shared" si="46"/>
        <v>0</v>
      </c>
      <c r="AP88" s="21">
        <f t="shared" si="37"/>
        <v>1</v>
      </c>
      <c r="AQ88" s="169">
        <f t="shared" si="47"/>
        <v>0</v>
      </c>
      <c r="AR88" s="263">
        <f t="shared" si="38"/>
        <v>0</v>
      </c>
    </row>
    <row r="89" spans="2:44" hidden="1">
      <c r="B89" s="21">
        <f>'MaterialCosts Summary'!B89</f>
        <v>81</v>
      </c>
      <c r="C89" s="26"/>
      <c r="D89" s="23">
        <f>'MaterialCosts Summary'!D89</f>
        <v>0</v>
      </c>
      <c r="E89" s="256">
        <f>'MaterialCosts Summary'!E89</f>
        <v>0</v>
      </c>
      <c r="F89" s="257">
        <v>0</v>
      </c>
      <c r="G89" s="257">
        <v>0</v>
      </c>
      <c r="H89" s="257">
        <v>0</v>
      </c>
      <c r="I89" s="258">
        <f t="shared" si="39"/>
        <v>0</v>
      </c>
      <c r="J89" s="258"/>
      <c r="K89" s="259">
        <f t="shared" si="40"/>
        <v>0</v>
      </c>
      <c r="L89" s="258">
        <v>0</v>
      </c>
      <c r="M89" s="259">
        <f t="shared" si="26"/>
        <v>0</v>
      </c>
      <c r="N89" s="258">
        <v>0</v>
      </c>
      <c r="O89" s="259">
        <f t="shared" si="27"/>
        <v>0</v>
      </c>
      <c r="P89" s="258">
        <f t="shared" si="28"/>
        <v>0</v>
      </c>
      <c r="Q89" s="258"/>
      <c r="R89" s="259">
        <f t="shared" si="29"/>
        <v>0</v>
      </c>
      <c r="S89" s="258">
        <f t="shared" si="30"/>
        <v>0</v>
      </c>
      <c r="T89" s="258"/>
      <c r="U89" s="259">
        <f t="shared" si="31"/>
        <v>0</v>
      </c>
      <c r="V89" s="258">
        <f t="shared" si="32"/>
        <v>0</v>
      </c>
      <c r="W89" s="258"/>
      <c r="X89" s="259">
        <f t="shared" si="33"/>
        <v>0</v>
      </c>
      <c r="Y89" s="258">
        <v>0</v>
      </c>
      <c r="Z89" s="259">
        <f t="shared" si="34"/>
        <v>0</v>
      </c>
      <c r="AA89" s="258">
        <v>0</v>
      </c>
      <c r="AB89" s="24">
        <v>1</v>
      </c>
      <c r="AC89" s="260">
        <f t="shared" si="41"/>
        <v>0</v>
      </c>
      <c r="AD89" s="297">
        <f t="shared" si="42"/>
        <v>0</v>
      </c>
      <c r="AE89" s="261">
        <f t="shared" si="43"/>
        <v>0</v>
      </c>
      <c r="AF89" s="262">
        <f t="shared" si="43"/>
        <v>0</v>
      </c>
      <c r="AG89" s="254"/>
      <c r="AI89" s="153">
        <f t="shared" si="44"/>
        <v>0</v>
      </c>
      <c r="AJ89" s="156">
        <f t="shared" si="45"/>
        <v>0</v>
      </c>
      <c r="AK89" s="147">
        <f t="shared" si="35"/>
        <v>0</v>
      </c>
      <c r="AM89" s="160">
        <f t="shared" si="36"/>
        <v>0</v>
      </c>
      <c r="AN89" s="150">
        <f t="shared" si="46"/>
        <v>0</v>
      </c>
      <c r="AP89" s="21">
        <f t="shared" si="37"/>
        <v>1</v>
      </c>
      <c r="AQ89" s="169">
        <f t="shared" si="47"/>
        <v>0</v>
      </c>
      <c r="AR89" s="263">
        <f t="shared" si="38"/>
        <v>0</v>
      </c>
    </row>
    <row r="90" spans="2:44" hidden="1">
      <c r="B90" s="21">
        <f>'MaterialCosts Summary'!B90</f>
        <v>82</v>
      </c>
      <c r="C90" s="26"/>
      <c r="D90" s="23">
        <f>'MaterialCosts Summary'!D90</f>
        <v>0</v>
      </c>
      <c r="E90" s="256">
        <f>'MaterialCosts Summary'!E90</f>
        <v>0</v>
      </c>
      <c r="F90" s="257">
        <v>0</v>
      </c>
      <c r="G90" s="257">
        <v>0</v>
      </c>
      <c r="H90" s="257">
        <v>0</v>
      </c>
      <c r="I90" s="258">
        <f t="shared" si="39"/>
        <v>0</v>
      </c>
      <c r="J90" s="258"/>
      <c r="K90" s="259">
        <f t="shared" si="40"/>
        <v>0</v>
      </c>
      <c r="L90" s="258">
        <v>0</v>
      </c>
      <c r="M90" s="259">
        <f t="shared" si="26"/>
        <v>0</v>
      </c>
      <c r="N90" s="258">
        <v>0</v>
      </c>
      <c r="O90" s="259">
        <f t="shared" si="27"/>
        <v>0</v>
      </c>
      <c r="P90" s="258">
        <f t="shared" si="28"/>
        <v>0</v>
      </c>
      <c r="Q90" s="258"/>
      <c r="R90" s="259">
        <f t="shared" si="29"/>
        <v>0</v>
      </c>
      <c r="S90" s="258">
        <f t="shared" si="30"/>
        <v>0</v>
      </c>
      <c r="T90" s="258"/>
      <c r="U90" s="259">
        <f t="shared" si="31"/>
        <v>0</v>
      </c>
      <c r="V90" s="258">
        <f t="shared" si="32"/>
        <v>0</v>
      </c>
      <c r="W90" s="258"/>
      <c r="X90" s="259">
        <f t="shared" si="33"/>
        <v>0</v>
      </c>
      <c r="Y90" s="258">
        <v>0</v>
      </c>
      <c r="Z90" s="259">
        <f t="shared" si="34"/>
        <v>0</v>
      </c>
      <c r="AA90" s="258">
        <v>0</v>
      </c>
      <c r="AB90" s="24">
        <v>1</v>
      </c>
      <c r="AC90" s="260">
        <f t="shared" si="41"/>
        <v>0</v>
      </c>
      <c r="AD90" s="298">
        <f t="shared" si="42"/>
        <v>0</v>
      </c>
      <c r="AE90" s="261">
        <f t="shared" si="43"/>
        <v>0</v>
      </c>
      <c r="AF90" s="262">
        <f t="shared" si="43"/>
        <v>0</v>
      </c>
      <c r="AG90" s="254"/>
      <c r="AI90" s="153">
        <f t="shared" si="44"/>
        <v>0</v>
      </c>
      <c r="AJ90" s="156">
        <f t="shared" si="45"/>
        <v>0</v>
      </c>
      <c r="AK90" s="147">
        <f t="shared" si="35"/>
        <v>0</v>
      </c>
      <c r="AM90" s="160">
        <f t="shared" si="36"/>
        <v>0</v>
      </c>
      <c r="AN90" s="150">
        <f t="shared" si="46"/>
        <v>0</v>
      </c>
      <c r="AP90" s="21">
        <f t="shared" si="37"/>
        <v>1</v>
      </c>
      <c r="AQ90" s="169">
        <f t="shared" si="47"/>
        <v>0</v>
      </c>
      <c r="AR90" s="263">
        <f t="shared" si="38"/>
        <v>0</v>
      </c>
    </row>
    <row r="91" spans="2:44" hidden="1">
      <c r="B91" s="21">
        <f>'MaterialCosts Summary'!B91</f>
        <v>83</v>
      </c>
      <c r="C91" s="26"/>
      <c r="D91" s="23">
        <f>'MaterialCosts Summary'!D91</f>
        <v>0</v>
      </c>
      <c r="E91" s="256">
        <f>'MaterialCosts Summary'!E91</f>
        <v>0</v>
      </c>
      <c r="F91" s="257">
        <v>0</v>
      </c>
      <c r="G91" s="257">
        <v>0</v>
      </c>
      <c r="H91" s="257">
        <v>0</v>
      </c>
      <c r="I91" s="258">
        <f t="shared" si="39"/>
        <v>0</v>
      </c>
      <c r="J91" s="258"/>
      <c r="K91" s="259">
        <f t="shared" si="40"/>
        <v>0</v>
      </c>
      <c r="L91" s="258">
        <v>0</v>
      </c>
      <c r="M91" s="259">
        <f t="shared" si="26"/>
        <v>0</v>
      </c>
      <c r="N91" s="258">
        <v>0</v>
      </c>
      <c r="O91" s="259">
        <f t="shared" si="27"/>
        <v>0</v>
      </c>
      <c r="P91" s="258">
        <f t="shared" si="28"/>
        <v>0</v>
      </c>
      <c r="Q91" s="258"/>
      <c r="R91" s="259">
        <f t="shared" si="29"/>
        <v>0</v>
      </c>
      <c r="S91" s="258">
        <f t="shared" si="30"/>
        <v>0</v>
      </c>
      <c r="T91" s="258"/>
      <c r="U91" s="259">
        <f t="shared" si="31"/>
        <v>0</v>
      </c>
      <c r="V91" s="258">
        <f t="shared" si="32"/>
        <v>0</v>
      </c>
      <c r="W91" s="258"/>
      <c r="X91" s="259">
        <f t="shared" si="33"/>
        <v>0</v>
      </c>
      <c r="Y91" s="258">
        <v>0</v>
      </c>
      <c r="Z91" s="259">
        <f t="shared" si="34"/>
        <v>0</v>
      </c>
      <c r="AA91" s="258">
        <v>0</v>
      </c>
      <c r="AB91" s="24">
        <v>1</v>
      </c>
      <c r="AC91" s="260">
        <f t="shared" si="41"/>
        <v>0</v>
      </c>
      <c r="AD91" s="299">
        <f t="shared" si="42"/>
        <v>0</v>
      </c>
      <c r="AE91" s="261">
        <f t="shared" si="43"/>
        <v>0</v>
      </c>
      <c r="AF91" s="262">
        <f t="shared" si="43"/>
        <v>0</v>
      </c>
      <c r="AG91" s="254"/>
      <c r="AI91" s="153">
        <f t="shared" si="44"/>
        <v>0</v>
      </c>
      <c r="AJ91" s="156">
        <f t="shared" si="45"/>
        <v>0</v>
      </c>
      <c r="AK91" s="147">
        <f t="shared" si="35"/>
        <v>0</v>
      </c>
      <c r="AM91" s="160">
        <f t="shared" si="36"/>
        <v>0</v>
      </c>
      <c r="AN91" s="150">
        <f t="shared" si="46"/>
        <v>0</v>
      </c>
      <c r="AP91" s="21">
        <f t="shared" si="37"/>
        <v>1</v>
      </c>
      <c r="AQ91" s="169">
        <f t="shared" si="47"/>
        <v>0</v>
      </c>
      <c r="AR91" s="263">
        <f t="shared" si="38"/>
        <v>0</v>
      </c>
    </row>
    <row r="92" spans="2:44" hidden="1">
      <c r="B92" s="21">
        <f>'MaterialCosts Summary'!B92</f>
        <v>84</v>
      </c>
      <c r="C92" s="26"/>
      <c r="D92" s="23">
        <f>'MaterialCosts Summary'!D92</f>
        <v>0</v>
      </c>
      <c r="E92" s="256">
        <f>'MaterialCosts Summary'!E92</f>
        <v>0</v>
      </c>
      <c r="F92" s="257">
        <v>0</v>
      </c>
      <c r="G92" s="257">
        <v>0</v>
      </c>
      <c r="H92" s="257">
        <v>0</v>
      </c>
      <c r="I92" s="258">
        <f t="shared" si="39"/>
        <v>0</v>
      </c>
      <c r="J92" s="258"/>
      <c r="K92" s="259">
        <f t="shared" si="40"/>
        <v>0</v>
      </c>
      <c r="L92" s="258">
        <v>0</v>
      </c>
      <c r="M92" s="259">
        <f t="shared" si="26"/>
        <v>0</v>
      </c>
      <c r="N92" s="258">
        <v>0</v>
      </c>
      <c r="O92" s="259">
        <f t="shared" si="27"/>
        <v>0</v>
      </c>
      <c r="P92" s="258">
        <f t="shared" si="28"/>
        <v>0</v>
      </c>
      <c r="Q92" s="258"/>
      <c r="R92" s="259">
        <f t="shared" si="29"/>
        <v>0</v>
      </c>
      <c r="S92" s="258">
        <f t="shared" si="30"/>
        <v>0</v>
      </c>
      <c r="T92" s="258"/>
      <c r="U92" s="259">
        <f t="shared" si="31"/>
        <v>0</v>
      </c>
      <c r="V92" s="258">
        <f t="shared" si="32"/>
        <v>0</v>
      </c>
      <c r="W92" s="258"/>
      <c r="X92" s="259">
        <f t="shared" si="33"/>
        <v>0</v>
      </c>
      <c r="Y92" s="258">
        <v>0</v>
      </c>
      <c r="Z92" s="259">
        <f t="shared" si="34"/>
        <v>0</v>
      </c>
      <c r="AA92" s="258">
        <v>0</v>
      </c>
      <c r="AB92" s="24">
        <v>1</v>
      </c>
      <c r="AC92" s="260">
        <f t="shared" si="41"/>
        <v>0</v>
      </c>
      <c r="AD92" s="299">
        <f t="shared" si="42"/>
        <v>0</v>
      </c>
      <c r="AE92" s="261">
        <f t="shared" si="43"/>
        <v>0</v>
      </c>
      <c r="AF92" s="262">
        <f t="shared" si="43"/>
        <v>0</v>
      </c>
      <c r="AG92" s="254"/>
      <c r="AI92" s="153">
        <f t="shared" si="44"/>
        <v>0</v>
      </c>
      <c r="AJ92" s="156">
        <f t="shared" si="45"/>
        <v>0</v>
      </c>
      <c r="AK92" s="147">
        <f t="shared" si="35"/>
        <v>0</v>
      </c>
      <c r="AM92" s="160">
        <f t="shared" si="36"/>
        <v>0</v>
      </c>
      <c r="AN92" s="150">
        <f t="shared" si="46"/>
        <v>0</v>
      </c>
      <c r="AP92" s="21">
        <f t="shared" si="37"/>
        <v>1</v>
      </c>
      <c r="AQ92" s="169">
        <f t="shared" si="47"/>
        <v>0</v>
      </c>
      <c r="AR92" s="263">
        <f t="shared" si="38"/>
        <v>0</v>
      </c>
    </row>
    <row r="93" spans="2:44" hidden="1">
      <c r="B93" s="21">
        <f>'MaterialCosts Summary'!B93</f>
        <v>85</v>
      </c>
      <c r="C93" s="26"/>
      <c r="D93" s="23">
        <f>'MaterialCosts Summary'!D93</f>
        <v>0</v>
      </c>
      <c r="E93" s="256">
        <f>'MaterialCosts Summary'!E93</f>
        <v>0</v>
      </c>
      <c r="F93" s="257">
        <v>0</v>
      </c>
      <c r="G93" s="257">
        <v>0</v>
      </c>
      <c r="H93" s="257">
        <v>0</v>
      </c>
      <c r="I93" s="258">
        <f t="shared" si="39"/>
        <v>0</v>
      </c>
      <c r="J93" s="258"/>
      <c r="K93" s="259">
        <f t="shared" si="40"/>
        <v>0</v>
      </c>
      <c r="L93" s="258">
        <v>0</v>
      </c>
      <c r="M93" s="259">
        <f t="shared" si="26"/>
        <v>0</v>
      </c>
      <c r="N93" s="258">
        <v>0</v>
      </c>
      <c r="O93" s="259">
        <f t="shared" si="27"/>
        <v>0</v>
      </c>
      <c r="P93" s="258">
        <f t="shared" si="28"/>
        <v>0</v>
      </c>
      <c r="Q93" s="258"/>
      <c r="R93" s="259">
        <f t="shared" si="29"/>
        <v>0</v>
      </c>
      <c r="S93" s="258">
        <f t="shared" si="30"/>
        <v>0</v>
      </c>
      <c r="T93" s="258"/>
      <c r="U93" s="259">
        <f t="shared" si="31"/>
        <v>0</v>
      </c>
      <c r="V93" s="258">
        <f t="shared" si="32"/>
        <v>0</v>
      </c>
      <c r="W93" s="258"/>
      <c r="X93" s="259">
        <f t="shared" si="33"/>
        <v>0</v>
      </c>
      <c r="Y93" s="258">
        <v>0</v>
      </c>
      <c r="Z93" s="259">
        <f t="shared" si="34"/>
        <v>0</v>
      </c>
      <c r="AA93" s="258">
        <v>0</v>
      </c>
      <c r="AB93" s="24">
        <v>1</v>
      </c>
      <c r="AC93" s="260">
        <f t="shared" si="41"/>
        <v>0</v>
      </c>
      <c r="AD93" s="297">
        <f t="shared" si="42"/>
        <v>0</v>
      </c>
      <c r="AE93" s="261">
        <f t="shared" si="43"/>
        <v>0</v>
      </c>
      <c r="AF93" s="262">
        <f t="shared" si="43"/>
        <v>0</v>
      </c>
      <c r="AG93" s="254"/>
      <c r="AI93" s="153">
        <f t="shared" si="44"/>
        <v>0</v>
      </c>
      <c r="AJ93" s="156">
        <f t="shared" si="45"/>
        <v>0</v>
      </c>
      <c r="AK93" s="147">
        <f t="shared" si="35"/>
        <v>0</v>
      </c>
      <c r="AM93" s="160">
        <f t="shared" si="36"/>
        <v>0</v>
      </c>
      <c r="AN93" s="150">
        <f t="shared" si="46"/>
        <v>0</v>
      </c>
      <c r="AP93" s="21">
        <f t="shared" si="37"/>
        <v>1</v>
      </c>
      <c r="AQ93" s="169">
        <f t="shared" si="47"/>
        <v>0</v>
      </c>
      <c r="AR93" s="263">
        <f t="shared" si="38"/>
        <v>0</v>
      </c>
    </row>
    <row r="94" spans="2:44" hidden="1">
      <c r="B94" s="21">
        <f>'MaterialCosts Summary'!B94</f>
        <v>86</v>
      </c>
      <c r="C94" s="26"/>
      <c r="D94" s="23">
        <f>'MaterialCosts Summary'!D94</f>
        <v>0</v>
      </c>
      <c r="E94" s="256">
        <f>'MaterialCosts Summary'!E94</f>
        <v>0</v>
      </c>
      <c r="F94" s="257">
        <v>0</v>
      </c>
      <c r="G94" s="257">
        <v>0</v>
      </c>
      <c r="H94" s="257">
        <v>0</v>
      </c>
      <c r="I94" s="258">
        <f t="shared" si="39"/>
        <v>0</v>
      </c>
      <c r="J94" s="258"/>
      <c r="K94" s="259">
        <f t="shared" si="40"/>
        <v>0</v>
      </c>
      <c r="L94" s="258">
        <v>0</v>
      </c>
      <c r="M94" s="259">
        <f t="shared" si="26"/>
        <v>0</v>
      </c>
      <c r="N94" s="258">
        <v>0</v>
      </c>
      <c r="O94" s="259">
        <f t="shared" si="27"/>
        <v>0</v>
      </c>
      <c r="P94" s="258">
        <f t="shared" si="28"/>
        <v>0</v>
      </c>
      <c r="Q94" s="258"/>
      <c r="R94" s="259">
        <f t="shared" si="29"/>
        <v>0</v>
      </c>
      <c r="S94" s="258">
        <f t="shared" si="30"/>
        <v>0</v>
      </c>
      <c r="T94" s="258"/>
      <c r="U94" s="259">
        <f t="shared" si="31"/>
        <v>0</v>
      </c>
      <c r="V94" s="258">
        <f t="shared" si="32"/>
        <v>0</v>
      </c>
      <c r="W94" s="258"/>
      <c r="X94" s="259">
        <f t="shared" si="33"/>
        <v>0</v>
      </c>
      <c r="Y94" s="258">
        <v>0</v>
      </c>
      <c r="Z94" s="259">
        <f t="shared" si="34"/>
        <v>0</v>
      </c>
      <c r="AA94" s="258">
        <v>0</v>
      </c>
      <c r="AB94" s="24">
        <v>1</v>
      </c>
      <c r="AC94" s="260">
        <f t="shared" si="41"/>
        <v>0</v>
      </c>
      <c r="AD94" s="298">
        <f t="shared" si="42"/>
        <v>0</v>
      </c>
      <c r="AE94" s="261">
        <f t="shared" si="43"/>
        <v>0</v>
      </c>
      <c r="AF94" s="262">
        <f t="shared" si="43"/>
        <v>0</v>
      </c>
      <c r="AG94" s="254"/>
      <c r="AI94" s="153">
        <f t="shared" si="44"/>
        <v>0</v>
      </c>
      <c r="AJ94" s="156">
        <f t="shared" si="45"/>
        <v>0</v>
      </c>
      <c r="AK94" s="147">
        <f t="shared" si="35"/>
        <v>0</v>
      </c>
      <c r="AM94" s="160">
        <f t="shared" si="36"/>
        <v>0</v>
      </c>
      <c r="AN94" s="150">
        <f t="shared" si="46"/>
        <v>0</v>
      </c>
      <c r="AP94" s="21">
        <f t="shared" si="37"/>
        <v>1</v>
      </c>
      <c r="AQ94" s="169">
        <f t="shared" si="47"/>
        <v>0</v>
      </c>
      <c r="AR94" s="263">
        <f t="shared" si="38"/>
        <v>0</v>
      </c>
    </row>
    <row r="95" spans="2:44" hidden="1">
      <c r="B95" s="21">
        <f>'MaterialCosts Summary'!B95</f>
        <v>87</v>
      </c>
      <c r="C95" s="26"/>
      <c r="D95" s="23">
        <f>'MaterialCosts Summary'!D95</f>
        <v>0</v>
      </c>
      <c r="E95" s="256">
        <f>'MaterialCosts Summary'!E95</f>
        <v>0</v>
      </c>
      <c r="F95" s="257">
        <v>0</v>
      </c>
      <c r="G95" s="257">
        <v>0</v>
      </c>
      <c r="H95" s="257">
        <v>0</v>
      </c>
      <c r="I95" s="258">
        <f t="shared" si="39"/>
        <v>0</v>
      </c>
      <c r="J95" s="258"/>
      <c r="K95" s="259">
        <f t="shared" si="40"/>
        <v>0</v>
      </c>
      <c r="L95" s="258">
        <v>0</v>
      </c>
      <c r="M95" s="259">
        <f t="shared" si="26"/>
        <v>0</v>
      </c>
      <c r="N95" s="258">
        <v>0</v>
      </c>
      <c r="O95" s="259">
        <f t="shared" si="27"/>
        <v>0</v>
      </c>
      <c r="P95" s="258">
        <f t="shared" si="28"/>
        <v>0</v>
      </c>
      <c r="Q95" s="258"/>
      <c r="R95" s="259">
        <f t="shared" si="29"/>
        <v>0</v>
      </c>
      <c r="S95" s="258">
        <f t="shared" si="30"/>
        <v>0</v>
      </c>
      <c r="T95" s="258"/>
      <c r="U95" s="259">
        <f t="shared" si="31"/>
        <v>0</v>
      </c>
      <c r="V95" s="258">
        <f t="shared" si="32"/>
        <v>0</v>
      </c>
      <c r="W95" s="258"/>
      <c r="X95" s="259">
        <f t="shared" si="33"/>
        <v>0</v>
      </c>
      <c r="Y95" s="258">
        <v>0</v>
      </c>
      <c r="Z95" s="259">
        <f t="shared" si="34"/>
        <v>0</v>
      </c>
      <c r="AA95" s="258">
        <v>0</v>
      </c>
      <c r="AB95" s="24">
        <v>1</v>
      </c>
      <c r="AC95" s="260">
        <f t="shared" si="41"/>
        <v>0</v>
      </c>
      <c r="AD95" s="299">
        <f t="shared" si="42"/>
        <v>0</v>
      </c>
      <c r="AE95" s="261">
        <f t="shared" si="43"/>
        <v>0</v>
      </c>
      <c r="AF95" s="262">
        <f t="shared" si="43"/>
        <v>0</v>
      </c>
      <c r="AG95" s="254"/>
      <c r="AI95" s="153">
        <f t="shared" si="44"/>
        <v>0</v>
      </c>
      <c r="AJ95" s="156">
        <f t="shared" si="45"/>
        <v>0</v>
      </c>
      <c r="AK95" s="147">
        <f t="shared" si="35"/>
        <v>0</v>
      </c>
      <c r="AM95" s="160">
        <f t="shared" si="36"/>
        <v>0</v>
      </c>
      <c r="AN95" s="150">
        <f t="shared" si="46"/>
        <v>0</v>
      </c>
      <c r="AP95" s="21">
        <f t="shared" si="37"/>
        <v>1</v>
      </c>
      <c r="AQ95" s="169">
        <f t="shared" si="47"/>
        <v>0</v>
      </c>
      <c r="AR95" s="263">
        <f t="shared" si="38"/>
        <v>0</v>
      </c>
    </row>
    <row r="96" spans="2:44" hidden="1">
      <c r="B96" s="21">
        <f>'MaterialCosts Summary'!B96</f>
        <v>88</v>
      </c>
      <c r="C96" s="26"/>
      <c r="D96" s="23">
        <f>'MaterialCosts Summary'!D96</f>
        <v>0</v>
      </c>
      <c r="E96" s="256">
        <f>'MaterialCosts Summary'!E96</f>
        <v>0</v>
      </c>
      <c r="F96" s="257">
        <v>0</v>
      </c>
      <c r="G96" s="257">
        <v>0</v>
      </c>
      <c r="H96" s="257">
        <v>0</v>
      </c>
      <c r="I96" s="258">
        <f t="shared" si="39"/>
        <v>0</v>
      </c>
      <c r="J96" s="258"/>
      <c r="K96" s="259">
        <f t="shared" si="40"/>
        <v>0</v>
      </c>
      <c r="L96" s="258">
        <v>0</v>
      </c>
      <c r="M96" s="259">
        <f t="shared" si="26"/>
        <v>0</v>
      </c>
      <c r="N96" s="258">
        <v>0</v>
      </c>
      <c r="O96" s="259">
        <f t="shared" si="27"/>
        <v>0</v>
      </c>
      <c r="P96" s="258">
        <f t="shared" si="28"/>
        <v>0</v>
      </c>
      <c r="Q96" s="258"/>
      <c r="R96" s="259">
        <f t="shared" si="29"/>
        <v>0</v>
      </c>
      <c r="S96" s="258">
        <f t="shared" si="30"/>
        <v>0</v>
      </c>
      <c r="T96" s="258"/>
      <c r="U96" s="259">
        <f t="shared" si="31"/>
        <v>0</v>
      </c>
      <c r="V96" s="258">
        <f t="shared" si="32"/>
        <v>0</v>
      </c>
      <c r="W96" s="258"/>
      <c r="X96" s="259">
        <f t="shared" si="33"/>
        <v>0</v>
      </c>
      <c r="Y96" s="258">
        <v>0</v>
      </c>
      <c r="Z96" s="259">
        <f t="shared" si="34"/>
        <v>0</v>
      </c>
      <c r="AA96" s="258">
        <v>0</v>
      </c>
      <c r="AB96" s="24">
        <v>1</v>
      </c>
      <c r="AC96" s="260">
        <f t="shared" si="41"/>
        <v>0</v>
      </c>
      <c r="AD96" s="299">
        <f t="shared" si="42"/>
        <v>0</v>
      </c>
      <c r="AE96" s="261">
        <f t="shared" si="43"/>
        <v>0</v>
      </c>
      <c r="AF96" s="262">
        <f t="shared" si="43"/>
        <v>0</v>
      </c>
      <c r="AG96" s="254"/>
      <c r="AI96" s="153">
        <f t="shared" si="44"/>
        <v>0</v>
      </c>
      <c r="AJ96" s="156">
        <f t="shared" si="45"/>
        <v>0</v>
      </c>
      <c r="AK96" s="147">
        <f t="shared" si="35"/>
        <v>0</v>
      </c>
      <c r="AM96" s="160">
        <f t="shared" si="36"/>
        <v>0</v>
      </c>
      <c r="AN96" s="150">
        <f t="shared" si="46"/>
        <v>0</v>
      </c>
      <c r="AP96" s="21">
        <f t="shared" si="37"/>
        <v>1</v>
      </c>
      <c r="AQ96" s="169">
        <f t="shared" si="47"/>
        <v>0</v>
      </c>
      <c r="AR96" s="263">
        <f t="shared" si="38"/>
        <v>0</v>
      </c>
    </row>
    <row r="97" spans="2:44" hidden="1">
      <c r="B97" s="21">
        <f>'MaterialCosts Summary'!B97</f>
        <v>89</v>
      </c>
      <c r="C97" s="26"/>
      <c r="D97" s="23">
        <f>'MaterialCosts Summary'!D97</f>
        <v>0</v>
      </c>
      <c r="E97" s="256">
        <f>'MaterialCosts Summary'!E97</f>
        <v>0</v>
      </c>
      <c r="F97" s="257">
        <v>0</v>
      </c>
      <c r="G97" s="257">
        <v>0</v>
      </c>
      <c r="H97" s="257">
        <v>0</v>
      </c>
      <c r="I97" s="258">
        <f t="shared" si="39"/>
        <v>0</v>
      </c>
      <c r="J97" s="258"/>
      <c r="K97" s="259">
        <f t="shared" si="40"/>
        <v>0</v>
      </c>
      <c r="L97" s="258">
        <v>0</v>
      </c>
      <c r="M97" s="259">
        <f t="shared" si="26"/>
        <v>0</v>
      </c>
      <c r="N97" s="258">
        <v>0</v>
      </c>
      <c r="O97" s="259">
        <f t="shared" si="27"/>
        <v>0</v>
      </c>
      <c r="P97" s="258">
        <f t="shared" si="28"/>
        <v>0</v>
      </c>
      <c r="Q97" s="258"/>
      <c r="R97" s="259">
        <f t="shared" si="29"/>
        <v>0</v>
      </c>
      <c r="S97" s="258">
        <f t="shared" si="30"/>
        <v>0</v>
      </c>
      <c r="T97" s="258"/>
      <c r="U97" s="259">
        <f t="shared" si="31"/>
        <v>0</v>
      </c>
      <c r="V97" s="258">
        <f t="shared" si="32"/>
        <v>0</v>
      </c>
      <c r="W97" s="258"/>
      <c r="X97" s="259">
        <f t="shared" si="33"/>
        <v>0</v>
      </c>
      <c r="Y97" s="258">
        <v>0</v>
      </c>
      <c r="Z97" s="259">
        <f t="shared" si="34"/>
        <v>0</v>
      </c>
      <c r="AA97" s="258">
        <v>0</v>
      </c>
      <c r="AB97" s="24">
        <v>1</v>
      </c>
      <c r="AC97" s="260">
        <f t="shared" si="41"/>
        <v>0</v>
      </c>
      <c r="AD97" s="297">
        <f t="shared" si="42"/>
        <v>0</v>
      </c>
      <c r="AE97" s="261">
        <f t="shared" si="43"/>
        <v>0</v>
      </c>
      <c r="AF97" s="262">
        <f t="shared" si="43"/>
        <v>0</v>
      </c>
      <c r="AG97" s="254"/>
      <c r="AI97" s="153">
        <f t="shared" si="44"/>
        <v>0</v>
      </c>
      <c r="AJ97" s="156">
        <f t="shared" si="45"/>
        <v>0</v>
      </c>
      <c r="AK97" s="147">
        <f t="shared" si="35"/>
        <v>0</v>
      </c>
      <c r="AM97" s="160">
        <f t="shared" si="36"/>
        <v>0</v>
      </c>
      <c r="AN97" s="150">
        <f t="shared" si="46"/>
        <v>0</v>
      </c>
      <c r="AP97" s="21">
        <f t="shared" si="37"/>
        <v>1</v>
      </c>
      <c r="AQ97" s="169">
        <f t="shared" si="47"/>
        <v>0</v>
      </c>
      <c r="AR97" s="263">
        <f t="shared" si="38"/>
        <v>0</v>
      </c>
    </row>
    <row r="98" spans="2:44" hidden="1">
      <c r="B98" s="21">
        <f>'MaterialCosts Summary'!B98</f>
        <v>90</v>
      </c>
      <c r="C98" s="26"/>
      <c r="D98" s="23">
        <f>'MaterialCosts Summary'!D98</f>
        <v>0</v>
      </c>
      <c r="E98" s="256">
        <f>'MaterialCosts Summary'!E98</f>
        <v>0</v>
      </c>
      <c r="F98" s="257">
        <v>0</v>
      </c>
      <c r="G98" s="257">
        <v>0</v>
      </c>
      <c r="H98" s="257">
        <v>0</v>
      </c>
      <c r="I98" s="258">
        <f t="shared" si="39"/>
        <v>0</v>
      </c>
      <c r="J98" s="258"/>
      <c r="K98" s="259">
        <f t="shared" si="40"/>
        <v>0</v>
      </c>
      <c r="L98" s="258">
        <v>0</v>
      </c>
      <c r="M98" s="259">
        <f t="shared" si="26"/>
        <v>0</v>
      </c>
      <c r="N98" s="258">
        <v>0</v>
      </c>
      <c r="O98" s="259">
        <f t="shared" si="27"/>
        <v>0</v>
      </c>
      <c r="P98" s="258">
        <f t="shared" si="28"/>
        <v>0</v>
      </c>
      <c r="Q98" s="258"/>
      <c r="R98" s="259">
        <f t="shared" si="29"/>
        <v>0</v>
      </c>
      <c r="S98" s="258">
        <f t="shared" si="30"/>
        <v>0</v>
      </c>
      <c r="T98" s="258"/>
      <c r="U98" s="259">
        <f t="shared" si="31"/>
        <v>0</v>
      </c>
      <c r="V98" s="258">
        <f t="shared" si="32"/>
        <v>0</v>
      </c>
      <c r="W98" s="258"/>
      <c r="X98" s="259">
        <f t="shared" si="33"/>
        <v>0</v>
      </c>
      <c r="Y98" s="258">
        <v>0</v>
      </c>
      <c r="Z98" s="259">
        <f t="shared" si="34"/>
        <v>0</v>
      </c>
      <c r="AA98" s="258">
        <v>0</v>
      </c>
      <c r="AB98" s="24">
        <v>1</v>
      </c>
      <c r="AC98" s="260">
        <f t="shared" si="41"/>
        <v>0</v>
      </c>
      <c r="AD98" s="298">
        <f t="shared" si="42"/>
        <v>0</v>
      </c>
      <c r="AE98" s="261">
        <f t="shared" si="43"/>
        <v>0</v>
      </c>
      <c r="AF98" s="262">
        <f t="shared" si="43"/>
        <v>0</v>
      </c>
      <c r="AG98" s="254"/>
      <c r="AI98" s="153">
        <f t="shared" si="44"/>
        <v>0</v>
      </c>
      <c r="AJ98" s="156">
        <f t="shared" si="45"/>
        <v>0</v>
      </c>
      <c r="AK98" s="147">
        <f t="shared" si="35"/>
        <v>0</v>
      </c>
      <c r="AM98" s="160">
        <f t="shared" si="36"/>
        <v>0</v>
      </c>
      <c r="AN98" s="150">
        <f t="shared" si="46"/>
        <v>0</v>
      </c>
      <c r="AP98" s="21">
        <f t="shared" si="37"/>
        <v>1</v>
      </c>
      <c r="AQ98" s="169">
        <f t="shared" si="47"/>
        <v>0</v>
      </c>
      <c r="AR98" s="263">
        <f t="shared" si="38"/>
        <v>0</v>
      </c>
    </row>
    <row r="99" spans="2:44" hidden="1">
      <c r="B99" s="21">
        <f>'MaterialCosts Summary'!B99</f>
        <v>91</v>
      </c>
      <c r="C99" s="26"/>
      <c r="D99" s="23">
        <f>'MaterialCosts Summary'!D99</f>
        <v>0</v>
      </c>
      <c r="E99" s="256">
        <f>'MaterialCosts Summary'!E99</f>
        <v>0</v>
      </c>
      <c r="F99" s="257">
        <v>0</v>
      </c>
      <c r="G99" s="257">
        <v>0</v>
      </c>
      <c r="H99" s="257">
        <v>0</v>
      </c>
      <c r="I99" s="258">
        <f t="shared" si="39"/>
        <v>0</v>
      </c>
      <c r="J99" s="258"/>
      <c r="K99" s="259">
        <f t="shared" si="40"/>
        <v>0</v>
      </c>
      <c r="L99" s="258">
        <v>0</v>
      </c>
      <c r="M99" s="259">
        <f t="shared" si="26"/>
        <v>0</v>
      </c>
      <c r="N99" s="258">
        <v>0</v>
      </c>
      <c r="O99" s="259">
        <f t="shared" si="27"/>
        <v>0</v>
      </c>
      <c r="P99" s="258">
        <f t="shared" si="28"/>
        <v>0</v>
      </c>
      <c r="Q99" s="258"/>
      <c r="R99" s="259">
        <f t="shared" si="29"/>
        <v>0</v>
      </c>
      <c r="S99" s="258">
        <f t="shared" si="30"/>
        <v>0</v>
      </c>
      <c r="T99" s="258"/>
      <c r="U99" s="259">
        <f t="shared" si="31"/>
        <v>0</v>
      </c>
      <c r="V99" s="258">
        <f t="shared" si="32"/>
        <v>0</v>
      </c>
      <c r="W99" s="258"/>
      <c r="X99" s="259">
        <f t="shared" si="33"/>
        <v>0</v>
      </c>
      <c r="Y99" s="258">
        <v>0</v>
      </c>
      <c r="Z99" s="259">
        <f t="shared" si="34"/>
        <v>0</v>
      </c>
      <c r="AA99" s="258">
        <v>0</v>
      </c>
      <c r="AB99" s="24">
        <v>1</v>
      </c>
      <c r="AC99" s="260">
        <f t="shared" si="41"/>
        <v>0</v>
      </c>
      <c r="AD99" s="299">
        <f t="shared" si="42"/>
        <v>0</v>
      </c>
      <c r="AE99" s="261">
        <f t="shared" si="43"/>
        <v>0</v>
      </c>
      <c r="AF99" s="262">
        <f t="shared" si="43"/>
        <v>0</v>
      </c>
      <c r="AG99" s="254"/>
      <c r="AI99" s="153">
        <f t="shared" si="44"/>
        <v>0</v>
      </c>
      <c r="AJ99" s="156">
        <f t="shared" si="45"/>
        <v>0</v>
      </c>
      <c r="AK99" s="147">
        <f t="shared" si="35"/>
        <v>0</v>
      </c>
      <c r="AM99" s="160">
        <f t="shared" si="36"/>
        <v>0</v>
      </c>
      <c r="AN99" s="150">
        <f t="shared" si="46"/>
        <v>0</v>
      </c>
      <c r="AP99" s="21">
        <f t="shared" si="37"/>
        <v>1</v>
      </c>
      <c r="AQ99" s="169">
        <f t="shared" si="47"/>
        <v>0</v>
      </c>
      <c r="AR99" s="263">
        <f t="shared" si="38"/>
        <v>0</v>
      </c>
    </row>
    <row r="100" spans="2:44" hidden="1">
      <c r="B100" s="21">
        <f>'MaterialCosts Summary'!B100</f>
        <v>92</v>
      </c>
      <c r="C100" s="26"/>
      <c r="D100" s="23">
        <f>'MaterialCosts Summary'!D100</f>
        <v>0</v>
      </c>
      <c r="E100" s="256">
        <f>'MaterialCosts Summary'!E100</f>
        <v>0</v>
      </c>
      <c r="F100" s="257">
        <v>0</v>
      </c>
      <c r="G100" s="257">
        <v>0</v>
      </c>
      <c r="H100" s="257">
        <v>0</v>
      </c>
      <c r="I100" s="258">
        <f t="shared" si="39"/>
        <v>0</v>
      </c>
      <c r="J100" s="258"/>
      <c r="K100" s="259">
        <f t="shared" si="40"/>
        <v>0</v>
      </c>
      <c r="L100" s="258">
        <v>0</v>
      </c>
      <c r="M100" s="259">
        <f t="shared" si="26"/>
        <v>0</v>
      </c>
      <c r="N100" s="258">
        <v>0</v>
      </c>
      <c r="O100" s="259">
        <f t="shared" si="27"/>
        <v>0</v>
      </c>
      <c r="P100" s="258">
        <f t="shared" si="28"/>
        <v>0</v>
      </c>
      <c r="Q100" s="258"/>
      <c r="R100" s="259">
        <f t="shared" si="29"/>
        <v>0</v>
      </c>
      <c r="S100" s="258">
        <f t="shared" si="30"/>
        <v>0</v>
      </c>
      <c r="T100" s="258"/>
      <c r="U100" s="259">
        <f t="shared" si="31"/>
        <v>0</v>
      </c>
      <c r="V100" s="258">
        <f t="shared" si="32"/>
        <v>0</v>
      </c>
      <c r="W100" s="258"/>
      <c r="X100" s="259">
        <f t="shared" si="33"/>
        <v>0</v>
      </c>
      <c r="Y100" s="258">
        <v>0</v>
      </c>
      <c r="Z100" s="259">
        <f t="shared" si="34"/>
        <v>0</v>
      </c>
      <c r="AA100" s="258">
        <v>0</v>
      </c>
      <c r="AB100" s="24">
        <v>1</v>
      </c>
      <c r="AC100" s="260">
        <f t="shared" si="41"/>
        <v>0</v>
      </c>
      <c r="AD100" s="299">
        <f t="shared" si="42"/>
        <v>0</v>
      </c>
      <c r="AE100" s="261">
        <f t="shared" si="43"/>
        <v>0</v>
      </c>
      <c r="AF100" s="262">
        <f t="shared" si="43"/>
        <v>0</v>
      </c>
      <c r="AG100" s="254"/>
      <c r="AI100" s="153">
        <f t="shared" si="44"/>
        <v>0</v>
      </c>
      <c r="AJ100" s="156">
        <f t="shared" si="45"/>
        <v>0</v>
      </c>
      <c r="AK100" s="147">
        <f t="shared" si="35"/>
        <v>0</v>
      </c>
      <c r="AM100" s="160">
        <f t="shared" si="36"/>
        <v>0</v>
      </c>
      <c r="AN100" s="150">
        <f t="shared" si="46"/>
        <v>0</v>
      </c>
      <c r="AP100" s="21">
        <f t="shared" si="37"/>
        <v>1</v>
      </c>
      <c r="AQ100" s="169">
        <f t="shared" si="47"/>
        <v>0</v>
      </c>
      <c r="AR100" s="263">
        <f t="shared" si="38"/>
        <v>0</v>
      </c>
    </row>
    <row r="101" spans="2:44" hidden="1">
      <c r="B101" s="21">
        <f>'MaterialCosts Summary'!B101</f>
        <v>93</v>
      </c>
      <c r="C101" s="26"/>
      <c r="D101" s="23">
        <f>'MaterialCosts Summary'!D101</f>
        <v>0</v>
      </c>
      <c r="E101" s="256">
        <f>'MaterialCosts Summary'!E101</f>
        <v>0</v>
      </c>
      <c r="F101" s="257">
        <v>0</v>
      </c>
      <c r="G101" s="257">
        <v>0</v>
      </c>
      <c r="H101" s="257">
        <v>0</v>
      </c>
      <c r="I101" s="258">
        <f t="shared" si="39"/>
        <v>0</v>
      </c>
      <c r="J101" s="258"/>
      <c r="K101" s="259">
        <f t="shared" si="40"/>
        <v>0</v>
      </c>
      <c r="L101" s="258">
        <v>0</v>
      </c>
      <c r="M101" s="259">
        <f t="shared" si="26"/>
        <v>0</v>
      </c>
      <c r="N101" s="258">
        <v>0</v>
      </c>
      <c r="O101" s="259">
        <f t="shared" si="27"/>
        <v>0</v>
      </c>
      <c r="P101" s="258">
        <f t="shared" si="28"/>
        <v>0</v>
      </c>
      <c r="Q101" s="258"/>
      <c r="R101" s="259">
        <f t="shared" si="29"/>
        <v>0</v>
      </c>
      <c r="S101" s="258">
        <f t="shared" si="30"/>
        <v>0</v>
      </c>
      <c r="T101" s="258"/>
      <c r="U101" s="259">
        <f t="shared" si="31"/>
        <v>0</v>
      </c>
      <c r="V101" s="258">
        <f t="shared" si="32"/>
        <v>0</v>
      </c>
      <c r="W101" s="258"/>
      <c r="X101" s="259">
        <f t="shared" si="33"/>
        <v>0</v>
      </c>
      <c r="Y101" s="258">
        <v>0</v>
      </c>
      <c r="Z101" s="259">
        <f t="shared" si="34"/>
        <v>0</v>
      </c>
      <c r="AA101" s="258">
        <v>0</v>
      </c>
      <c r="AB101" s="24">
        <v>1</v>
      </c>
      <c r="AC101" s="260">
        <f t="shared" si="41"/>
        <v>0</v>
      </c>
      <c r="AD101" s="297">
        <f t="shared" si="42"/>
        <v>0</v>
      </c>
      <c r="AE101" s="261">
        <f t="shared" si="43"/>
        <v>0</v>
      </c>
      <c r="AF101" s="262">
        <f t="shared" si="43"/>
        <v>0</v>
      </c>
      <c r="AG101" s="254"/>
      <c r="AI101" s="153">
        <f t="shared" si="44"/>
        <v>0</v>
      </c>
      <c r="AJ101" s="156">
        <f t="shared" si="45"/>
        <v>0</v>
      </c>
      <c r="AK101" s="147">
        <f t="shared" si="35"/>
        <v>0</v>
      </c>
      <c r="AM101" s="160">
        <f t="shared" si="36"/>
        <v>0</v>
      </c>
      <c r="AN101" s="150">
        <f t="shared" si="46"/>
        <v>0</v>
      </c>
      <c r="AP101" s="21">
        <f t="shared" si="37"/>
        <v>1</v>
      </c>
      <c r="AQ101" s="169">
        <f t="shared" si="47"/>
        <v>0</v>
      </c>
      <c r="AR101" s="263">
        <f t="shared" si="38"/>
        <v>0</v>
      </c>
    </row>
    <row r="102" spans="2:44" hidden="1">
      <c r="B102" s="21">
        <f>'MaterialCosts Summary'!B102</f>
        <v>94</v>
      </c>
      <c r="C102" s="26"/>
      <c r="D102" s="23">
        <f>'MaterialCosts Summary'!D102</f>
        <v>0</v>
      </c>
      <c r="E102" s="256">
        <f>'MaterialCosts Summary'!E102</f>
        <v>0</v>
      </c>
      <c r="F102" s="257">
        <v>0</v>
      </c>
      <c r="G102" s="257">
        <v>0</v>
      </c>
      <c r="H102" s="257">
        <v>0</v>
      </c>
      <c r="I102" s="258">
        <f t="shared" si="39"/>
        <v>0</v>
      </c>
      <c r="J102" s="258"/>
      <c r="K102" s="259">
        <f t="shared" si="40"/>
        <v>0</v>
      </c>
      <c r="L102" s="258">
        <v>0</v>
      </c>
      <c r="M102" s="259">
        <f t="shared" si="26"/>
        <v>0</v>
      </c>
      <c r="N102" s="258">
        <v>0</v>
      </c>
      <c r="O102" s="259">
        <f t="shared" si="27"/>
        <v>0</v>
      </c>
      <c r="P102" s="258">
        <f t="shared" si="28"/>
        <v>0</v>
      </c>
      <c r="Q102" s="258"/>
      <c r="R102" s="259">
        <f t="shared" si="29"/>
        <v>0</v>
      </c>
      <c r="S102" s="258">
        <f t="shared" si="30"/>
        <v>0</v>
      </c>
      <c r="T102" s="258"/>
      <c r="U102" s="259">
        <f t="shared" si="31"/>
        <v>0</v>
      </c>
      <c r="V102" s="258">
        <f t="shared" si="32"/>
        <v>0</v>
      </c>
      <c r="W102" s="258"/>
      <c r="X102" s="259">
        <f t="shared" si="33"/>
        <v>0</v>
      </c>
      <c r="Y102" s="258">
        <v>0</v>
      </c>
      <c r="Z102" s="259">
        <f t="shared" si="34"/>
        <v>0</v>
      </c>
      <c r="AA102" s="258">
        <v>0</v>
      </c>
      <c r="AB102" s="24">
        <v>1</v>
      </c>
      <c r="AC102" s="260">
        <f t="shared" si="41"/>
        <v>0</v>
      </c>
      <c r="AD102" s="298">
        <f t="shared" si="42"/>
        <v>0</v>
      </c>
      <c r="AE102" s="261">
        <f t="shared" si="43"/>
        <v>0</v>
      </c>
      <c r="AF102" s="262">
        <f t="shared" si="43"/>
        <v>0</v>
      </c>
      <c r="AG102" s="254"/>
      <c r="AI102" s="153">
        <f t="shared" si="44"/>
        <v>0</v>
      </c>
      <c r="AJ102" s="156">
        <f t="shared" si="45"/>
        <v>0</v>
      </c>
      <c r="AK102" s="147">
        <f t="shared" si="35"/>
        <v>0</v>
      </c>
      <c r="AM102" s="160">
        <f t="shared" si="36"/>
        <v>0</v>
      </c>
      <c r="AN102" s="150">
        <f t="shared" si="46"/>
        <v>0</v>
      </c>
      <c r="AP102" s="21">
        <f t="shared" si="37"/>
        <v>1</v>
      </c>
      <c r="AQ102" s="169">
        <f t="shared" si="47"/>
        <v>0</v>
      </c>
      <c r="AR102" s="263">
        <f t="shared" si="38"/>
        <v>0</v>
      </c>
    </row>
    <row r="103" spans="2:44" hidden="1">
      <c r="B103" s="21">
        <f>'MaterialCosts Summary'!B103</f>
        <v>95</v>
      </c>
      <c r="C103" s="26"/>
      <c r="D103" s="23">
        <f>'MaterialCosts Summary'!D103</f>
        <v>0</v>
      </c>
      <c r="E103" s="256">
        <f>'MaterialCosts Summary'!E103</f>
        <v>0</v>
      </c>
      <c r="F103" s="257">
        <v>0</v>
      </c>
      <c r="G103" s="257">
        <v>0</v>
      </c>
      <c r="H103" s="257">
        <v>0</v>
      </c>
      <c r="I103" s="258">
        <f t="shared" si="39"/>
        <v>0</v>
      </c>
      <c r="J103" s="258"/>
      <c r="K103" s="259">
        <f t="shared" si="40"/>
        <v>0</v>
      </c>
      <c r="L103" s="258">
        <v>0</v>
      </c>
      <c r="M103" s="259">
        <f t="shared" si="26"/>
        <v>0</v>
      </c>
      <c r="N103" s="258">
        <v>0</v>
      </c>
      <c r="O103" s="259">
        <f t="shared" si="27"/>
        <v>0</v>
      </c>
      <c r="P103" s="258">
        <f t="shared" si="28"/>
        <v>0</v>
      </c>
      <c r="Q103" s="258"/>
      <c r="R103" s="259">
        <f t="shared" si="29"/>
        <v>0</v>
      </c>
      <c r="S103" s="258">
        <f t="shared" si="30"/>
        <v>0</v>
      </c>
      <c r="T103" s="258"/>
      <c r="U103" s="259">
        <f t="shared" si="31"/>
        <v>0</v>
      </c>
      <c r="V103" s="258">
        <f t="shared" si="32"/>
        <v>0</v>
      </c>
      <c r="W103" s="258"/>
      <c r="X103" s="259">
        <f t="shared" si="33"/>
        <v>0</v>
      </c>
      <c r="Y103" s="258">
        <v>0</v>
      </c>
      <c r="Z103" s="259">
        <f t="shared" si="34"/>
        <v>0</v>
      </c>
      <c r="AA103" s="258">
        <v>0</v>
      </c>
      <c r="AB103" s="24">
        <v>1</v>
      </c>
      <c r="AC103" s="260">
        <f t="shared" si="41"/>
        <v>0</v>
      </c>
      <c r="AD103" s="299">
        <f t="shared" si="42"/>
        <v>0</v>
      </c>
      <c r="AE103" s="261">
        <f t="shared" si="43"/>
        <v>0</v>
      </c>
      <c r="AF103" s="262">
        <f t="shared" si="43"/>
        <v>0</v>
      </c>
      <c r="AG103" s="254"/>
      <c r="AI103" s="153">
        <f t="shared" si="44"/>
        <v>0</v>
      </c>
      <c r="AJ103" s="156">
        <f t="shared" si="45"/>
        <v>0</v>
      </c>
      <c r="AK103" s="147">
        <f t="shared" si="35"/>
        <v>0</v>
      </c>
      <c r="AM103" s="160">
        <f t="shared" si="36"/>
        <v>0</v>
      </c>
      <c r="AN103" s="150">
        <f t="shared" si="46"/>
        <v>0</v>
      </c>
      <c r="AP103" s="21">
        <f t="shared" si="37"/>
        <v>1</v>
      </c>
      <c r="AQ103" s="169">
        <f t="shared" si="47"/>
        <v>0</v>
      </c>
      <c r="AR103" s="263">
        <f t="shared" si="38"/>
        <v>0</v>
      </c>
    </row>
    <row r="104" spans="2:44" hidden="1">
      <c r="B104" s="21">
        <f>'MaterialCosts Summary'!B104</f>
        <v>96</v>
      </c>
      <c r="C104" s="26"/>
      <c r="D104" s="23">
        <f>'MaterialCosts Summary'!D104</f>
        <v>0</v>
      </c>
      <c r="E104" s="256">
        <f>'MaterialCosts Summary'!E104</f>
        <v>0</v>
      </c>
      <c r="F104" s="257">
        <v>0</v>
      </c>
      <c r="G104" s="257">
        <v>0</v>
      </c>
      <c r="H104" s="257">
        <v>0</v>
      </c>
      <c r="I104" s="258">
        <f t="shared" si="39"/>
        <v>0</v>
      </c>
      <c r="J104" s="258"/>
      <c r="K104" s="259">
        <f t="shared" si="40"/>
        <v>0</v>
      </c>
      <c r="L104" s="258">
        <v>0</v>
      </c>
      <c r="M104" s="259">
        <f t="shared" si="26"/>
        <v>0</v>
      </c>
      <c r="N104" s="258">
        <v>0</v>
      </c>
      <c r="O104" s="259">
        <f t="shared" si="27"/>
        <v>0</v>
      </c>
      <c r="P104" s="258">
        <f t="shared" si="28"/>
        <v>0</v>
      </c>
      <c r="Q104" s="258"/>
      <c r="R104" s="259">
        <f t="shared" si="29"/>
        <v>0</v>
      </c>
      <c r="S104" s="258">
        <f t="shared" si="30"/>
        <v>0</v>
      </c>
      <c r="T104" s="258"/>
      <c r="U104" s="259">
        <f t="shared" si="31"/>
        <v>0</v>
      </c>
      <c r="V104" s="258">
        <f t="shared" si="32"/>
        <v>0</v>
      </c>
      <c r="W104" s="258"/>
      <c r="X104" s="259">
        <f t="shared" si="33"/>
        <v>0</v>
      </c>
      <c r="Y104" s="258">
        <v>0</v>
      </c>
      <c r="Z104" s="259">
        <f t="shared" si="34"/>
        <v>0</v>
      </c>
      <c r="AA104" s="258">
        <v>0</v>
      </c>
      <c r="AB104" s="24">
        <v>1</v>
      </c>
      <c r="AC104" s="260">
        <f t="shared" si="41"/>
        <v>0</v>
      </c>
      <c r="AD104" s="299">
        <f t="shared" si="42"/>
        <v>0</v>
      </c>
      <c r="AE104" s="261">
        <f t="shared" si="43"/>
        <v>0</v>
      </c>
      <c r="AF104" s="262">
        <f t="shared" si="43"/>
        <v>0</v>
      </c>
      <c r="AG104" s="254"/>
      <c r="AI104" s="153">
        <f t="shared" si="44"/>
        <v>0</v>
      </c>
      <c r="AJ104" s="156">
        <f t="shared" si="45"/>
        <v>0</v>
      </c>
      <c r="AK104" s="147">
        <f t="shared" si="35"/>
        <v>0</v>
      </c>
      <c r="AM104" s="160">
        <f t="shared" si="36"/>
        <v>0</v>
      </c>
      <c r="AN104" s="150">
        <f t="shared" si="46"/>
        <v>0</v>
      </c>
      <c r="AP104" s="21">
        <f t="shared" si="37"/>
        <v>1</v>
      </c>
      <c r="AQ104" s="169">
        <f t="shared" si="47"/>
        <v>0</v>
      </c>
      <c r="AR104" s="263">
        <f t="shared" si="38"/>
        <v>0</v>
      </c>
    </row>
    <row r="105" spans="2:44" hidden="1">
      <c r="B105" s="21">
        <f>'MaterialCosts Summary'!B105</f>
        <v>97</v>
      </c>
      <c r="C105" s="26"/>
      <c r="D105" s="23">
        <f>'MaterialCosts Summary'!D105</f>
        <v>0</v>
      </c>
      <c r="E105" s="256">
        <f>'MaterialCosts Summary'!E105</f>
        <v>0</v>
      </c>
      <c r="F105" s="257">
        <v>0</v>
      </c>
      <c r="G105" s="257">
        <v>0</v>
      </c>
      <c r="H105" s="257">
        <v>0</v>
      </c>
      <c r="I105" s="258">
        <f t="shared" si="39"/>
        <v>0</v>
      </c>
      <c r="J105" s="258"/>
      <c r="K105" s="259">
        <f t="shared" si="40"/>
        <v>0</v>
      </c>
      <c r="L105" s="258">
        <v>0</v>
      </c>
      <c r="M105" s="259">
        <f t="shared" si="26"/>
        <v>0</v>
      </c>
      <c r="N105" s="258">
        <v>0</v>
      </c>
      <c r="O105" s="259">
        <f t="shared" si="27"/>
        <v>0</v>
      </c>
      <c r="P105" s="258">
        <f t="shared" si="28"/>
        <v>0</v>
      </c>
      <c r="Q105" s="258"/>
      <c r="R105" s="259">
        <f t="shared" si="29"/>
        <v>0</v>
      </c>
      <c r="S105" s="258">
        <f t="shared" si="30"/>
        <v>0</v>
      </c>
      <c r="T105" s="258"/>
      <c r="U105" s="259">
        <f t="shared" si="31"/>
        <v>0</v>
      </c>
      <c r="V105" s="258">
        <f t="shared" si="32"/>
        <v>0</v>
      </c>
      <c r="W105" s="258"/>
      <c r="X105" s="259">
        <f t="shared" si="33"/>
        <v>0</v>
      </c>
      <c r="Y105" s="258">
        <v>0</v>
      </c>
      <c r="Z105" s="259">
        <f t="shared" si="34"/>
        <v>0</v>
      </c>
      <c r="AA105" s="258">
        <v>0</v>
      </c>
      <c r="AB105" s="24">
        <v>1</v>
      </c>
      <c r="AC105" s="260">
        <f t="shared" si="41"/>
        <v>0</v>
      </c>
      <c r="AD105" s="297">
        <f t="shared" si="42"/>
        <v>0</v>
      </c>
      <c r="AE105" s="261">
        <f t="shared" si="43"/>
        <v>0</v>
      </c>
      <c r="AF105" s="262">
        <f t="shared" si="43"/>
        <v>0</v>
      </c>
      <c r="AG105" s="254"/>
      <c r="AI105" s="153">
        <f t="shared" si="44"/>
        <v>0</v>
      </c>
      <c r="AJ105" s="156">
        <f t="shared" si="45"/>
        <v>0</v>
      </c>
      <c r="AK105" s="147">
        <f t="shared" ref="AK105:AK141" si="48">CEILING((L105+N105+P105+V105+AA105), 4)</f>
        <v>0</v>
      </c>
      <c r="AM105" s="160">
        <f t="shared" ref="AM105:AM141" si="49">AJ105*$AM$3</f>
        <v>0</v>
      </c>
      <c r="AN105" s="150">
        <f t="shared" si="46"/>
        <v>0</v>
      </c>
      <c r="AP105" s="21">
        <f t="shared" ref="AP105:AP141" si="50">AB105</f>
        <v>1</v>
      </c>
      <c r="AQ105" s="169">
        <f t="shared" si="47"/>
        <v>0</v>
      </c>
      <c r="AR105" s="263">
        <f t="shared" ref="AR105:AR141" si="51">AF105+AM105+AN105</f>
        <v>0</v>
      </c>
    </row>
    <row r="106" spans="2:44" hidden="1">
      <c r="B106" s="21">
        <f>'MaterialCosts Summary'!B106</f>
        <v>98</v>
      </c>
      <c r="C106" s="26"/>
      <c r="D106" s="23">
        <f>'MaterialCosts Summary'!D106</f>
        <v>0</v>
      </c>
      <c r="E106" s="256">
        <f>'MaterialCosts Summary'!E106</f>
        <v>0</v>
      </c>
      <c r="F106" s="257">
        <v>0</v>
      </c>
      <c r="G106" s="257">
        <v>0</v>
      </c>
      <c r="H106" s="257">
        <v>0</v>
      </c>
      <c r="I106" s="258">
        <f t="shared" si="39"/>
        <v>0</v>
      </c>
      <c r="J106" s="258"/>
      <c r="K106" s="259">
        <f t="shared" si="40"/>
        <v>0</v>
      </c>
      <c r="L106" s="258">
        <v>0</v>
      </c>
      <c r="M106" s="259">
        <f t="shared" si="26"/>
        <v>0</v>
      </c>
      <c r="N106" s="258">
        <v>0</v>
      </c>
      <c r="O106" s="259">
        <f t="shared" si="27"/>
        <v>0</v>
      </c>
      <c r="P106" s="258">
        <f t="shared" si="28"/>
        <v>0</v>
      </c>
      <c r="Q106" s="258"/>
      <c r="R106" s="259">
        <f t="shared" si="29"/>
        <v>0</v>
      </c>
      <c r="S106" s="258">
        <f t="shared" si="30"/>
        <v>0</v>
      </c>
      <c r="T106" s="258"/>
      <c r="U106" s="259">
        <f t="shared" si="31"/>
        <v>0</v>
      </c>
      <c r="V106" s="258">
        <f t="shared" si="32"/>
        <v>0</v>
      </c>
      <c r="W106" s="258"/>
      <c r="X106" s="259">
        <f t="shared" si="33"/>
        <v>0</v>
      </c>
      <c r="Y106" s="258">
        <v>0</v>
      </c>
      <c r="Z106" s="259">
        <f t="shared" si="34"/>
        <v>0</v>
      </c>
      <c r="AA106" s="258">
        <v>0</v>
      </c>
      <c r="AB106" s="24">
        <v>1</v>
      </c>
      <c r="AC106" s="260">
        <f t="shared" si="41"/>
        <v>0</v>
      </c>
      <c r="AD106" s="298">
        <f t="shared" si="42"/>
        <v>0</v>
      </c>
      <c r="AE106" s="261">
        <f t="shared" si="43"/>
        <v>0</v>
      </c>
      <c r="AF106" s="262">
        <f t="shared" si="43"/>
        <v>0</v>
      </c>
      <c r="AG106" s="254"/>
      <c r="AI106" s="153">
        <f t="shared" si="44"/>
        <v>0</v>
      </c>
      <c r="AJ106" s="156">
        <f t="shared" si="45"/>
        <v>0</v>
      </c>
      <c r="AK106" s="147">
        <f t="shared" si="48"/>
        <v>0</v>
      </c>
      <c r="AM106" s="160">
        <f t="shared" si="49"/>
        <v>0</v>
      </c>
      <c r="AN106" s="150">
        <f t="shared" si="46"/>
        <v>0</v>
      </c>
      <c r="AP106" s="21">
        <f t="shared" si="50"/>
        <v>1</v>
      </c>
      <c r="AQ106" s="169">
        <f t="shared" si="47"/>
        <v>0</v>
      </c>
      <c r="AR106" s="263">
        <f t="shared" si="51"/>
        <v>0</v>
      </c>
    </row>
    <row r="107" spans="2:44" hidden="1">
      <c r="B107" s="21">
        <f>'MaterialCosts Summary'!B107</f>
        <v>99</v>
      </c>
      <c r="C107" s="26"/>
      <c r="D107" s="23">
        <f>'MaterialCosts Summary'!D107</f>
        <v>0</v>
      </c>
      <c r="E107" s="256">
        <f>'MaterialCosts Summary'!E107</f>
        <v>0</v>
      </c>
      <c r="F107" s="257">
        <v>0</v>
      </c>
      <c r="G107" s="257">
        <v>0</v>
      </c>
      <c r="H107" s="257">
        <v>0</v>
      </c>
      <c r="I107" s="258">
        <f t="shared" si="39"/>
        <v>0</v>
      </c>
      <c r="J107" s="258"/>
      <c r="K107" s="259">
        <f t="shared" si="40"/>
        <v>0</v>
      </c>
      <c r="L107" s="258">
        <v>0</v>
      </c>
      <c r="M107" s="259">
        <f t="shared" si="26"/>
        <v>0</v>
      </c>
      <c r="N107" s="258">
        <v>0</v>
      </c>
      <c r="O107" s="259">
        <f t="shared" si="27"/>
        <v>0</v>
      </c>
      <c r="P107" s="258">
        <f t="shared" si="28"/>
        <v>0</v>
      </c>
      <c r="Q107" s="258"/>
      <c r="R107" s="259">
        <f t="shared" si="29"/>
        <v>0</v>
      </c>
      <c r="S107" s="258">
        <f t="shared" si="30"/>
        <v>0</v>
      </c>
      <c r="T107" s="258"/>
      <c r="U107" s="259">
        <f t="shared" si="31"/>
        <v>0</v>
      </c>
      <c r="V107" s="258">
        <f t="shared" si="32"/>
        <v>0</v>
      </c>
      <c r="W107" s="258"/>
      <c r="X107" s="259">
        <f t="shared" si="33"/>
        <v>0</v>
      </c>
      <c r="Y107" s="258">
        <v>0</v>
      </c>
      <c r="Z107" s="259">
        <f t="shared" si="34"/>
        <v>0</v>
      </c>
      <c r="AA107" s="258">
        <v>0</v>
      </c>
      <c r="AB107" s="24">
        <v>1</v>
      </c>
      <c r="AC107" s="260">
        <f t="shared" si="41"/>
        <v>0</v>
      </c>
      <c r="AD107" s="299">
        <f t="shared" si="42"/>
        <v>0</v>
      </c>
      <c r="AE107" s="261">
        <f t="shared" si="43"/>
        <v>0</v>
      </c>
      <c r="AF107" s="262">
        <f t="shared" si="43"/>
        <v>0</v>
      </c>
      <c r="AG107" s="254"/>
      <c r="AI107" s="153">
        <f t="shared" si="44"/>
        <v>0</v>
      </c>
      <c r="AJ107" s="156">
        <f t="shared" si="45"/>
        <v>0</v>
      </c>
      <c r="AK107" s="147">
        <f t="shared" si="48"/>
        <v>0</v>
      </c>
      <c r="AM107" s="160">
        <f t="shared" si="49"/>
        <v>0</v>
      </c>
      <c r="AN107" s="150">
        <f t="shared" si="46"/>
        <v>0</v>
      </c>
      <c r="AP107" s="21">
        <f t="shared" si="50"/>
        <v>1</v>
      </c>
      <c r="AQ107" s="169">
        <f t="shared" si="47"/>
        <v>0</v>
      </c>
      <c r="AR107" s="263">
        <f t="shared" si="51"/>
        <v>0</v>
      </c>
    </row>
    <row r="108" spans="2:44" hidden="1">
      <c r="B108" s="21">
        <f>'MaterialCosts Summary'!B108</f>
        <v>100</v>
      </c>
      <c r="C108" s="26"/>
      <c r="D108" s="23">
        <f>'MaterialCosts Summary'!D108</f>
        <v>0</v>
      </c>
      <c r="E108" s="256">
        <f>'MaterialCosts Summary'!E108</f>
        <v>0</v>
      </c>
      <c r="F108" s="257">
        <v>0</v>
      </c>
      <c r="G108" s="257">
        <v>0</v>
      </c>
      <c r="H108" s="257">
        <v>0</v>
      </c>
      <c r="I108" s="258">
        <f t="shared" si="39"/>
        <v>0</v>
      </c>
      <c r="J108" s="258"/>
      <c r="K108" s="259">
        <f t="shared" si="40"/>
        <v>0</v>
      </c>
      <c r="L108" s="258">
        <v>0</v>
      </c>
      <c r="M108" s="259">
        <f t="shared" si="26"/>
        <v>0</v>
      </c>
      <c r="N108" s="258">
        <v>0</v>
      </c>
      <c r="O108" s="259">
        <f t="shared" si="27"/>
        <v>0</v>
      </c>
      <c r="P108" s="258">
        <f t="shared" si="28"/>
        <v>0</v>
      </c>
      <c r="Q108" s="258"/>
      <c r="R108" s="259">
        <f t="shared" si="29"/>
        <v>0</v>
      </c>
      <c r="S108" s="258">
        <f t="shared" si="30"/>
        <v>0</v>
      </c>
      <c r="T108" s="258"/>
      <c r="U108" s="259">
        <f t="shared" si="31"/>
        <v>0</v>
      </c>
      <c r="V108" s="258">
        <f t="shared" si="32"/>
        <v>0</v>
      </c>
      <c r="W108" s="258"/>
      <c r="X108" s="259">
        <f t="shared" si="33"/>
        <v>0</v>
      </c>
      <c r="Y108" s="258">
        <v>0</v>
      </c>
      <c r="Z108" s="259">
        <f t="shared" si="34"/>
        <v>0</v>
      </c>
      <c r="AA108" s="258">
        <v>0</v>
      </c>
      <c r="AB108" s="24">
        <v>1</v>
      </c>
      <c r="AC108" s="260">
        <f t="shared" si="41"/>
        <v>0</v>
      </c>
      <c r="AD108" s="299">
        <f t="shared" si="42"/>
        <v>0</v>
      </c>
      <c r="AE108" s="261">
        <f t="shared" si="43"/>
        <v>0</v>
      </c>
      <c r="AF108" s="262">
        <f t="shared" si="43"/>
        <v>0</v>
      </c>
      <c r="AG108" s="254"/>
      <c r="AI108" s="153">
        <f t="shared" si="44"/>
        <v>0</v>
      </c>
      <c r="AJ108" s="156">
        <f t="shared" si="45"/>
        <v>0</v>
      </c>
      <c r="AK108" s="147">
        <f t="shared" si="48"/>
        <v>0</v>
      </c>
      <c r="AM108" s="160">
        <f t="shared" si="49"/>
        <v>0</v>
      </c>
      <c r="AN108" s="150">
        <f t="shared" si="46"/>
        <v>0</v>
      </c>
      <c r="AP108" s="21">
        <f t="shared" si="50"/>
        <v>1</v>
      </c>
      <c r="AQ108" s="169">
        <f t="shared" si="47"/>
        <v>0</v>
      </c>
      <c r="AR108" s="263">
        <f t="shared" si="51"/>
        <v>0</v>
      </c>
    </row>
    <row r="109" spans="2:44" hidden="1">
      <c r="B109" s="21">
        <f>'MaterialCosts Summary'!B109</f>
        <v>101</v>
      </c>
      <c r="C109" s="26"/>
      <c r="D109" s="23">
        <f>'MaterialCosts Summary'!D109</f>
        <v>0</v>
      </c>
      <c r="E109" s="256">
        <f>'MaterialCosts Summary'!E109</f>
        <v>0</v>
      </c>
      <c r="F109" s="257">
        <v>0</v>
      </c>
      <c r="G109" s="257">
        <v>0</v>
      </c>
      <c r="H109" s="257">
        <v>0</v>
      </c>
      <c r="I109" s="258">
        <f t="shared" si="39"/>
        <v>0</v>
      </c>
      <c r="J109" s="258"/>
      <c r="K109" s="259">
        <f t="shared" si="40"/>
        <v>0</v>
      </c>
      <c r="L109" s="258">
        <v>0</v>
      </c>
      <c r="M109" s="259">
        <f t="shared" si="26"/>
        <v>0</v>
      </c>
      <c r="N109" s="258">
        <v>0</v>
      </c>
      <c r="O109" s="259">
        <f t="shared" si="27"/>
        <v>0</v>
      </c>
      <c r="P109" s="258">
        <f t="shared" si="28"/>
        <v>0</v>
      </c>
      <c r="Q109" s="258"/>
      <c r="R109" s="259">
        <f t="shared" si="29"/>
        <v>0</v>
      </c>
      <c r="S109" s="258">
        <f t="shared" si="30"/>
        <v>0</v>
      </c>
      <c r="T109" s="258"/>
      <c r="U109" s="259">
        <f t="shared" si="31"/>
        <v>0</v>
      </c>
      <c r="V109" s="258">
        <f t="shared" si="32"/>
        <v>0</v>
      </c>
      <c r="W109" s="258"/>
      <c r="X109" s="259">
        <f t="shared" si="33"/>
        <v>0</v>
      </c>
      <c r="Y109" s="258">
        <v>0</v>
      </c>
      <c r="Z109" s="259">
        <f t="shared" si="34"/>
        <v>0</v>
      </c>
      <c r="AA109" s="258">
        <v>0</v>
      </c>
      <c r="AB109" s="24">
        <v>1</v>
      </c>
      <c r="AC109" s="260">
        <f t="shared" si="41"/>
        <v>0</v>
      </c>
      <c r="AD109" s="297">
        <f t="shared" si="42"/>
        <v>0</v>
      </c>
      <c r="AE109" s="261">
        <f t="shared" si="43"/>
        <v>0</v>
      </c>
      <c r="AF109" s="262">
        <f t="shared" si="43"/>
        <v>0</v>
      </c>
      <c r="AG109" s="254"/>
      <c r="AI109" s="153">
        <f t="shared" si="44"/>
        <v>0</v>
      </c>
      <c r="AJ109" s="156">
        <f t="shared" si="45"/>
        <v>0</v>
      </c>
      <c r="AK109" s="147">
        <f t="shared" si="48"/>
        <v>0</v>
      </c>
      <c r="AM109" s="160">
        <f t="shared" si="49"/>
        <v>0</v>
      </c>
      <c r="AN109" s="150">
        <f t="shared" si="46"/>
        <v>0</v>
      </c>
      <c r="AP109" s="21">
        <f t="shared" si="50"/>
        <v>1</v>
      </c>
      <c r="AQ109" s="169">
        <f t="shared" si="47"/>
        <v>0</v>
      </c>
      <c r="AR109" s="263">
        <f t="shared" si="51"/>
        <v>0</v>
      </c>
    </row>
    <row r="110" spans="2:44" hidden="1">
      <c r="B110" s="21">
        <f>'MaterialCosts Summary'!B110</f>
        <v>102</v>
      </c>
      <c r="C110" s="26"/>
      <c r="D110" s="23">
        <f>'MaterialCosts Summary'!D110</f>
        <v>0</v>
      </c>
      <c r="E110" s="256">
        <f>'MaterialCosts Summary'!E110</f>
        <v>0</v>
      </c>
      <c r="F110" s="257">
        <v>0</v>
      </c>
      <c r="G110" s="257">
        <v>0</v>
      </c>
      <c r="H110" s="257">
        <v>0</v>
      </c>
      <c r="I110" s="258">
        <f t="shared" si="39"/>
        <v>0</v>
      </c>
      <c r="J110" s="258"/>
      <c r="K110" s="259">
        <f t="shared" si="40"/>
        <v>0</v>
      </c>
      <c r="L110" s="258">
        <v>0</v>
      </c>
      <c r="M110" s="259">
        <f t="shared" si="26"/>
        <v>0</v>
      </c>
      <c r="N110" s="258">
        <v>0</v>
      </c>
      <c r="O110" s="259">
        <f t="shared" si="27"/>
        <v>0</v>
      </c>
      <c r="P110" s="258">
        <f t="shared" si="28"/>
        <v>0</v>
      </c>
      <c r="Q110" s="258"/>
      <c r="R110" s="259">
        <f t="shared" si="29"/>
        <v>0</v>
      </c>
      <c r="S110" s="258">
        <f t="shared" si="30"/>
        <v>0</v>
      </c>
      <c r="T110" s="258"/>
      <c r="U110" s="259">
        <f t="shared" si="31"/>
        <v>0</v>
      </c>
      <c r="V110" s="258">
        <f t="shared" si="32"/>
        <v>0</v>
      </c>
      <c r="W110" s="258"/>
      <c r="X110" s="259">
        <f t="shared" si="33"/>
        <v>0</v>
      </c>
      <c r="Y110" s="258">
        <v>0</v>
      </c>
      <c r="Z110" s="259">
        <f t="shared" si="34"/>
        <v>0</v>
      </c>
      <c r="AA110" s="258">
        <v>0</v>
      </c>
      <c r="AB110" s="24">
        <v>1</v>
      </c>
      <c r="AC110" s="260">
        <f t="shared" si="41"/>
        <v>0</v>
      </c>
      <c r="AD110" s="298">
        <f t="shared" si="42"/>
        <v>0</v>
      </c>
      <c r="AE110" s="261">
        <f t="shared" si="43"/>
        <v>0</v>
      </c>
      <c r="AF110" s="262">
        <f t="shared" si="43"/>
        <v>0</v>
      </c>
      <c r="AG110" s="254"/>
      <c r="AI110" s="153">
        <f t="shared" si="44"/>
        <v>0</v>
      </c>
      <c r="AJ110" s="156">
        <f t="shared" si="45"/>
        <v>0</v>
      </c>
      <c r="AK110" s="147">
        <f t="shared" si="48"/>
        <v>0</v>
      </c>
      <c r="AM110" s="160">
        <f t="shared" si="49"/>
        <v>0</v>
      </c>
      <c r="AN110" s="150">
        <f t="shared" si="46"/>
        <v>0</v>
      </c>
      <c r="AP110" s="21">
        <f t="shared" si="50"/>
        <v>1</v>
      </c>
      <c r="AQ110" s="169">
        <f t="shared" si="47"/>
        <v>0</v>
      </c>
      <c r="AR110" s="263">
        <f t="shared" si="51"/>
        <v>0</v>
      </c>
    </row>
    <row r="111" spans="2:44" hidden="1">
      <c r="B111" s="21">
        <f>'MaterialCosts Summary'!B111</f>
        <v>103</v>
      </c>
      <c r="C111" s="26"/>
      <c r="D111" s="23">
        <f>'MaterialCosts Summary'!D111</f>
        <v>0</v>
      </c>
      <c r="E111" s="256">
        <f>'MaterialCosts Summary'!E111</f>
        <v>0</v>
      </c>
      <c r="F111" s="257">
        <v>0</v>
      </c>
      <c r="G111" s="257">
        <v>0</v>
      </c>
      <c r="H111" s="257">
        <v>0</v>
      </c>
      <c r="I111" s="258">
        <f t="shared" si="39"/>
        <v>0</v>
      </c>
      <c r="J111" s="258"/>
      <c r="K111" s="259">
        <f t="shared" si="40"/>
        <v>0</v>
      </c>
      <c r="L111" s="258">
        <v>0</v>
      </c>
      <c r="M111" s="259">
        <f t="shared" si="26"/>
        <v>0</v>
      </c>
      <c r="N111" s="258">
        <v>0</v>
      </c>
      <c r="O111" s="259">
        <f t="shared" si="27"/>
        <v>0</v>
      </c>
      <c r="P111" s="258">
        <f t="shared" si="28"/>
        <v>0</v>
      </c>
      <c r="Q111" s="258"/>
      <c r="R111" s="259">
        <f t="shared" si="29"/>
        <v>0</v>
      </c>
      <c r="S111" s="258">
        <f t="shared" si="30"/>
        <v>0</v>
      </c>
      <c r="T111" s="258"/>
      <c r="U111" s="259">
        <f t="shared" si="31"/>
        <v>0</v>
      </c>
      <c r="V111" s="258">
        <f t="shared" si="32"/>
        <v>0</v>
      </c>
      <c r="W111" s="258"/>
      <c r="X111" s="259">
        <f t="shared" si="33"/>
        <v>0</v>
      </c>
      <c r="Y111" s="258">
        <v>0</v>
      </c>
      <c r="Z111" s="259">
        <f t="shared" si="34"/>
        <v>0</v>
      </c>
      <c r="AA111" s="258">
        <v>0</v>
      </c>
      <c r="AB111" s="24">
        <v>1</v>
      </c>
      <c r="AC111" s="260">
        <f t="shared" si="41"/>
        <v>0</v>
      </c>
      <c r="AD111" s="299">
        <f t="shared" si="42"/>
        <v>0</v>
      </c>
      <c r="AE111" s="261">
        <f t="shared" si="43"/>
        <v>0</v>
      </c>
      <c r="AF111" s="262">
        <f t="shared" si="43"/>
        <v>0</v>
      </c>
      <c r="AG111" s="254"/>
      <c r="AI111" s="153">
        <f t="shared" si="44"/>
        <v>0</v>
      </c>
      <c r="AJ111" s="156">
        <f t="shared" si="45"/>
        <v>0</v>
      </c>
      <c r="AK111" s="147">
        <f t="shared" si="48"/>
        <v>0</v>
      </c>
      <c r="AM111" s="160">
        <f t="shared" si="49"/>
        <v>0</v>
      </c>
      <c r="AN111" s="150">
        <f t="shared" si="46"/>
        <v>0</v>
      </c>
      <c r="AP111" s="21">
        <f t="shared" si="50"/>
        <v>1</v>
      </c>
      <c r="AQ111" s="169">
        <f t="shared" si="47"/>
        <v>0</v>
      </c>
      <c r="AR111" s="263">
        <f t="shared" si="51"/>
        <v>0</v>
      </c>
    </row>
    <row r="112" spans="2:44" hidden="1">
      <c r="B112" s="21">
        <f>'MaterialCosts Summary'!B112</f>
        <v>104</v>
      </c>
      <c r="C112" s="26"/>
      <c r="D112" s="23">
        <f>'MaterialCosts Summary'!D112</f>
        <v>0</v>
      </c>
      <c r="E112" s="256">
        <f>'MaterialCosts Summary'!E112</f>
        <v>0</v>
      </c>
      <c r="F112" s="257">
        <v>0</v>
      </c>
      <c r="G112" s="257">
        <v>0</v>
      </c>
      <c r="H112" s="257">
        <v>0</v>
      </c>
      <c r="I112" s="258">
        <f t="shared" si="39"/>
        <v>0</v>
      </c>
      <c r="J112" s="258"/>
      <c r="K112" s="259">
        <f t="shared" si="40"/>
        <v>0</v>
      </c>
      <c r="L112" s="258">
        <v>0</v>
      </c>
      <c r="M112" s="259">
        <f t="shared" si="26"/>
        <v>0</v>
      </c>
      <c r="N112" s="258">
        <v>0</v>
      </c>
      <c r="O112" s="259">
        <f t="shared" si="27"/>
        <v>0</v>
      </c>
      <c r="P112" s="258">
        <f t="shared" si="28"/>
        <v>0</v>
      </c>
      <c r="Q112" s="258"/>
      <c r="R112" s="259">
        <f t="shared" si="29"/>
        <v>0</v>
      </c>
      <c r="S112" s="258">
        <f t="shared" si="30"/>
        <v>0</v>
      </c>
      <c r="T112" s="258"/>
      <c r="U112" s="259">
        <f t="shared" si="31"/>
        <v>0</v>
      </c>
      <c r="V112" s="258">
        <f t="shared" si="32"/>
        <v>0</v>
      </c>
      <c r="W112" s="258"/>
      <c r="X112" s="259">
        <f t="shared" si="33"/>
        <v>0</v>
      </c>
      <c r="Y112" s="258">
        <v>0</v>
      </c>
      <c r="Z112" s="259">
        <f t="shared" si="34"/>
        <v>0</v>
      </c>
      <c r="AA112" s="258">
        <v>0</v>
      </c>
      <c r="AB112" s="24">
        <v>1</v>
      </c>
      <c r="AC112" s="260">
        <f t="shared" si="41"/>
        <v>0</v>
      </c>
      <c r="AD112" s="299">
        <f t="shared" si="42"/>
        <v>0</v>
      </c>
      <c r="AE112" s="261">
        <f t="shared" si="43"/>
        <v>0</v>
      </c>
      <c r="AF112" s="262">
        <f t="shared" si="43"/>
        <v>0</v>
      </c>
      <c r="AG112" s="254"/>
      <c r="AI112" s="153">
        <f t="shared" si="44"/>
        <v>0</v>
      </c>
      <c r="AJ112" s="156">
        <f t="shared" si="45"/>
        <v>0</v>
      </c>
      <c r="AK112" s="147">
        <f t="shared" si="48"/>
        <v>0</v>
      </c>
      <c r="AM112" s="160">
        <f t="shared" si="49"/>
        <v>0</v>
      </c>
      <c r="AN112" s="150">
        <f t="shared" si="46"/>
        <v>0</v>
      </c>
      <c r="AP112" s="21">
        <f t="shared" si="50"/>
        <v>1</v>
      </c>
      <c r="AQ112" s="169">
        <f t="shared" si="47"/>
        <v>0</v>
      </c>
      <c r="AR112" s="263">
        <f t="shared" si="51"/>
        <v>0</v>
      </c>
    </row>
    <row r="113" spans="2:44" hidden="1">
      <c r="B113" s="21">
        <f>'MaterialCosts Summary'!B113</f>
        <v>105</v>
      </c>
      <c r="C113" s="26"/>
      <c r="D113" s="23">
        <f>'MaterialCosts Summary'!D113</f>
        <v>0</v>
      </c>
      <c r="E113" s="256">
        <f>'MaterialCosts Summary'!E113</f>
        <v>0</v>
      </c>
      <c r="F113" s="257">
        <v>0</v>
      </c>
      <c r="G113" s="257">
        <v>0</v>
      </c>
      <c r="H113" s="257">
        <v>0</v>
      </c>
      <c r="I113" s="258">
        <f t="shared" si="39"/>
        <v>0</v>
      </c>
      <c r="J113" s="258"/>
      <c r="K113" s="259">
        <f t="shared" si="40"/>
        <v>0</v>
      </c>
      <c r="L113" s="258">
        <v>0</v>
      </c>
      <c r="M113" s="259">
        <f t="shared" si="26"/>
        <v>0</v>
      </c>
      <c r="N113" s="258">
        <v>0</v>
      </c>
      <c r="O113" s="259">
        <f t="shared" si="27"/>
        <v>0</v>
      </c>
      <c r="P113" s="258">
        <f t="shared" si="28"/>
        <v>0</v>
      </c>
      <c r="Q113" s="258"/>
      <c r="R113" s="259">
        <f t="shared" si="29"/>
        <v>0</v>
      </c>
      <c r="S113" s="258">
        <f t="shared" si="30"/>
        <v>0</v>
      </c>
      <c r="T113" s="258"/>
      <c r="U113" s="259">
        <f t="shared" si="31"/>
        <v>0</v>
      </c>
      <c r="V113" s="258">
        <f t="shared" si="32"/>
        <v>0</v>
      </c>
      <c r="W113" s="258"/>
      <c r="X113" s="259">
        <f t="shared" si="33"/>
        <v>0</v>
      </c>
      <c r="Y113" s="258">
        <v>0</v>
      </c>
      <c r="Z113" s="259">
        <f t="shared" si="34"/>
        <v>0</v>
      </c>
      <c r="AA113" s="258">
        <v>0</v>
      </c>
      <c r="AB113" s="24">
        <v>1</v>
      </c>
      <c r="AC113" s="260">
        <f t="shared" si="41"/>
        <v>0</v>
      </c>
      <c r="AD113" s="297">
        <f t="shared" si="42"/>
        <v>0</v>
      </c>
      <c r="AE113" s="261">
        <f t="shared" si="43"/>
        <v>0</v>
      </c>
      <c r="AF113" s="262">
        <f t="shared" si="43"/>
        <v>0</v>
      </c>
      <c r="AG113" s="254"/>
      <c r="AI113" s="153">
        <f t="shared" si="44"/>
        <v>0</v>
      </c>
      <c r="AJ113" s="156">
        <f t="shared" si="45"/>
        <v>0</v>
      </c>
      <c r="AK113" s="147">
        <f t="shared" si="48"/>
        <v>0</v>
      </c>
      <c r="AM113" s="160">
        <f t="shared" si="49"/>
        <v>0</v>
      </c>
      <c r="AN113" s="150">
        <f t="shared" si="46"/>
        <v>0</v>
      </c>
      <c r="AP113" s="21">
        <f t="shared" si="50"/>
        <v>1</v>
      </c>
      <c r="AQ113" s="169">
        <f t="shared" si="47"/>
        <v>0</v>
      </c>
      <c r="AR113" s="263">
        <f t="shared" si="51"/>
        <v>0</v>
      </c>
    </row>
    <row r="114" spans="2:44" hidden="1">
      <c r="B114" s="21">
        <f>'MaterialCosts Summary'!B114</f>
        <v>106</v>
      </c>
      <c r="C114" s="26"/>
      <c r="D114" s="23">
        <f>'MaterialCosts Summary'!D114</f>
        <v>0</v>
      </c>
      <c r="E114" s="256">
        <f>'MaterialCosts Summary'!E114</f>
        <v>0</v>
      </c>
      <c r="F114" s="257">
        <v>0</v>
      </c>
      <c r="G114" s="257">
        <v>0</v>
      </c>
      <c r="H114" s="257">
        <v>0</v>
      </c>
      <c r="I114" s="258">
        <f t="shared" si="39"/>
        <v>0</v>
      </c>
      <c r="J114" s="258"/>
      <c r="K114" s="259">
        <f t="shared" si="40"/>
        <v>0</v>
      </c>
      <c r="L114" s="258">
        <v>0</v>
      </c>
      <c r="M114" s="259">
        <f t="shared" si="26"/>
        <v>0</v>
      </c>
      <c r="N114" s="258">
        <v>0</v>
      </c>
      <c r="O114" s="259">
        <f t="shared" si="27"/>
        <v>0</v>
      </c>
      <c r="P114" s="258">
        <f t="shared" si="28"/>
        <v>0</v>
      </c>
      <c r="Q114" s="258"/>
      <c r="R114" s="259">
        <f t="shared" si="29"/>
        <v>0</v>
      </c>
      <c r="S114" s="258">
        <f t="shared" si="30"/>
        <v>0</v>
      </c>
      <c r="T114" s="258"/>
      <c r="U114" s="259">
        <f t="shared" si="31"/>
        <v>0</v>
      </c>
      <c r="V114" s="258">
        <f t="shared" si="32"/>
        <v>0</v>
      </c>
      <c r="W114" s="258"/>
      <c r="X114" s="259">
        <f t="shared" si="33"/>
        <v>0</v>
      </c>
      <c r="Y114" s="258">
        <v>0</v>
      </c>
      <c r="Z114" s="259">
        <f t="shared" si="34"/>
        <v>0</v>
      </c>
      <c r="AA114" s="258">
        <v>0</v>
      </c>
      <c r="AB114" s="24">
        <v>1</v>
      </c>
      <c r="AC114" s="260">
        <f t="shared" si="41"/>
        <v>0</v>
      </c>
      <c r="AD114" s="298">
        <f t="shared" si="42"/>
        <v>0</v>
      </c>
      <c r="AE114" s="261">
        <f t="shared" si="43"/>
        <v>0</v>
      </c>
      <c r="AF114" s="262">
        <f t="shared" si="43"/>
        <v>0</v>
      </c>
      <c r="AG114" s="254"/>
      <c r="AI114" s="153">
        <f t="shared" si="44"/>
        <v>0</v>
      </c>
      <c r="AJ114" s="156">
        <f t="shared" si="45"/>
        <v>0</v>
      </c>
      <c r="AK114" s="147">
        <f t="shared" si="48"/>
        <v>0</v>
      </c>
      <c r="AM114" s="160">
        <f t="shared" si="49"/>
        <v>0</v>
      </c>
      <c r="AN114" s="150">
        <f t="shared" si="46"/>
        <v>0</v>
      </c>
      <c r="AP114" s="21">
        <f t="shared" si="50"/>
        <v>1</v>
      </c>
      <c r="AQ114" s="169">
        <f t="shared" si="47"/>
        <v>0</v>
      </c>
      <c r="AR114" s="263">
        <f t="shared" si="51"/>
        <v>0</v>
      </c>
    </row>
    <row r="115" spans="2:44" hidden="1">
      <c r="B115" s="21">
        <f>'MaterialCosts Summary'!B115</f>
        <v>107</v>
      </c>
      <c r="C115" s="26"/>
      <c r="D115" s="23">
        <f>'MaterialCosts Summary'!D115</f>
        <v>0</v>
      </c>
      <c r="E115" s="256">
        <f>'MaterialCosts Summary'!E115</f>
        <v>0</v>
      </c>
      <c r="F115" s="257">
        <v>0</v>
      </c>
      <c r="G115" s="257">
        <v>0</v>
      </c>
      <c r="H115" s="257">
        <v>0</v>
      </c>
      <c r="I115" s="258">
        <f t="shared" si="39"/>
        <v>0</v>
      </c>
      <c r="J115" s="258"/>
      <c r="K115" s="259">
        <f t="shared" si="40"/>
        <v>0</v>
      </c>
      <c r="L115" s="258">
        <v>0</v>
      </c>
      <c r="M115" s="259">
        <f t="shared" si="26"/>
        <v>0</v>
      </c>
      <c r="N115" s="258">
        <v>0</v>
      </c>
      <c r="O115" s="259">
        <f t="shared" si="27"/>
        <v>0</v>
      </c>
      <c r="P115" s="258">
        <f t="shared" si="28"/>
        <v>0</v>
      </c>
      <c r="Q115" s="258"/>
      <c r="R115" s="259">
        <f t="shared" si="29"/>
        <v>0</v>
      </c>
      <c r="S115" s="258">
        <f t="shared" si="30"/>
        <v>0</v>
      </c>
      <c r="T115" s="258"/>
      <c r="U115" s="259">
        <f t="shared" si="31"/>
        <v>0</v>
      </c>
      <c r="V115" s="258">
        <f t="shared" si="32"/>
        <v>0</v>
      </c>
      <c r="W115" s="258"/>
      <c r="X115" s="259">
        <f t="shared" si="33"/>
        <v>0</v>
      </c>
      <c r="Y115" s="258">
        <v>0</v>
      </c>
      <c r="Z115" s="259">
        <f t="shared" si="34"/>
        <v>0</v>
      </c>
      <c r="AA115" s="258">
        <v>0</v>
      </c>
      <c r="AB115" s="24">
        <v>1</v>
      </c>
      <c r="AC115" s="260">
        <f t="shared" si="41"/>
        <v>0</v>
      </c>
      <c r="AD115" s="299">
        <f t="shared" si="42"/>
        <v>0</v>
      </c>
      <c r="AE115" s="261">
        <f t="shared" si="43"/>
        <v>0</v>
      </c>
      <c r="AF115" s="262">
        <f t="shared" si="43"/>
        <v>0</v>
      </c>
      <c r="AG115" s="254"/>
      <c r="AI115" s="153">
        <f t="shared" si="44"/>
        <v>0</v>
      </c>
      <c r="AJ115" s="156">
        <f t="shared" si="45"/>
        <v>0</v>
      </c>
      <c r="AK115" s="147">
        <f t="shared" si="48"/>
        <v>0</v>
      </c>
      <c r="AM115" s="160">
        <f t="shared" si="49"/>
        <v>0</v>
      </c>
      <c r="AN115" s="150">
        <f t="shared" si="46"/>
        <v>0</v>
      </c>
      <c r="AP115" s="21">
        <f t="shared" si="50"/>
        <v>1</v>
      </c>
      <c r="AQ115" s="169">
        <f t="shared" si="47"/>
        <v>0</v>
      </c>
      <c r="AR115" s="263">
        <f t="shared" si="51"/>
        <v>0</v>
      </c>
    </row>
    <row r="116" spans="2:44" hidden="1">
      <c r="B116" s="21">
        <f>'MaterialCosts Summary'!B116</f>
        <v>108</v>
      </c>
      <c r="C116" s="26"/>
      <c r="D116" s="23">
        <f>'MaterialCosts Summary'!D116</f>
        <v>0</v>
      </c>
      <c r="E116" s="256">
        <f>'MaterialCosts Summary'!E116</f>
        <v>0</v>
      </c>
      <c r="F116" s="257">
        <v>0</v>
      </c>
      <c r="G116" s="257">
        <v>0</v>
      </c>
      <c r="H116" s="257">
        <v>0</v>
      </c>
      <c r="I116" s="258">
        <f t="shared" si="39"/>
        <v>0</v>
      </c>
      <c r="J116" s="258"/>
      <c r="K116" s="259">
        <f t="shared" si="40"/>
        <v>0</v>
      </c>
      <c r="L116" s="258">
        <v>0</v>
      </c>
      <c r="M116" s="259">
        <f t="shared" si="26"/>
        <v>0</v>
      </c>
      <c r="N116" s="258">
        <v>0</v>
      </c>
      <c r="O116" s="259">
        <f t="shared" si="27"/>
        <v>0</v>
      </c>
      <c r="P116" s="258">
        <f t="shared" si="28"/>
        <v>0</v>
      </c>
      <c r="Q116" s="258"/>
      <c r="R116" s="259">
        <f t="shared" si="29"/>
        <v>0</v>
      </c>
      <c r="S116" s="258">
        <f t="shared" si="30"/>
        <v>0</v>
      </c>
      <c r="T116" s="258"/>
      <c r="U116" s="259">
        <f t="shared" si="31"/>
        <v>0</v>
      </c>
      <c r="V116" s="258">
        <f t="shared" si="32"/>
        <v>0</v>
      </c>
      <c r="W116" s="258"/>
      <c r="X116" s="259">
        <f t="shared" si="33"/>
        <v>0</v>
      </c>
      <c r="Y116" s="258">
        <v>0</v>
      </c>
      <c r="Z116" s="259">
        <f t="shared" si="34"/>
        <v>0</v>
      </c>
      <c r="AA116" s="258">
        <v>0</v>
      </c>
      <c r="AB116" s="24">
        <v>1</v>
      </c>
      <c r="AC116" s="260">
        <f t="shared" si="41"/>
        <v>0</v>
      </c>
      <c r="AD116" s="299">
        <f t="shared" si="42"/>
        <v>0</v>
      </c>
      <c r="AE116" s="261">
        <f t="shared" si="43"/>
        <v>0</v>
      </c>
      <c r="AF116" s="262">
        <f t="shared" si="43"/>
        <v>0</v>
      </c>
      <c r="AG116" s="254"/>
      <c r="AI116" s="153">
        <f t="shared" si="44"/>
        <v>0</v>
      </c>
      <c r="AJ116" s="156">
        <f t="shared" si="45"/>
        <v>0</v>
      </c>
      <c r="AK116" s="147">
        <f t="shared" si="48"/>
        <v>0</v>
      </c>
      <c r="AM116" s="160">
        <f t="shared" si="49"/>
        <v>0</v>
      </c>
      <c r="AN116" s="150">
        <f t="shared" si="46"/>
        <v>0</v>
      </c>
      <c r="AP116" s="21">
        <f t="shared" si="50"/>
        <v>1</v>
      </c>
      <c r="AQ116" s="169">
        <f t="shared" si="47"/>
        <v>0</v>
      </c>
      <c r="AR116" s="263">
        <f t="shared" si="51"/>
        <v>0</v>
      </c>
    </row>
    <row r="117" spans="2:44" hidden="1">
      <c r="B117" s="21">
        <f>'MaterialCosts Summary'!B117</f>
        <v>109</v>
      </c>
      <c r="C117" s="26"/>
      <c r="D117" s="23">
        <f>'MaterialCosts Summary'!D117</f>
        <v>0</v>
      </c>
      <c r="E117" s="256">
        <f>'MaterialCosts Summary'!E117</f>
        <v>0</v>
      </c>
      <c r="F117" s="257">
        <v>0</v>
      </c>
      <c r="G117" s="257">
        <v>0</v>
      </c>
      <c r="H117" s="257">
        <v>0</v>
      </c>
      <c r="I117" s="258">
        <f t="shared" si="39"/>
        <v>0</v>
      </c>
      <c r="J117" s="258"/>
      <c r="K117" s="259">
        <f t="shared" si="40"/>
        <v>0</v>
      </c>
      <c r="L117" s="258">
        <v>0</v>
      </c>
      <c r="M117" s="259">
        <f t="shared" si="26"/>
        <v>0</v>
      </c>
      <c r="N117" s="258">
        <v>0</v>
      </c>
      <c r="O117" s="259">
        <f t="shared" si="27"/>
        <v>0</v>
      </c>
      <c r="P117" s="258">
        <f t="shared" si="28"/>
        <v>0</v>
      </c>
      <c r="Q117" s="258"/>
      <c r="R117" s="259">
        <f t="shared" si="29"/>
        <v>0</v>
      </c>
      <c r="S117" s="258">
        <f t="shared" si="30"/>
        <v>0</v>
      </c>
      <c r="T117" s="258"/>
      <c r="U117" s="259">
        <f t="shared" si="31"/>
        <v>0</v>
      </c>
      <c r="V117" s="258">
        <f t="shared" si="32"/>
        <v>0</v>
      </c>
      <c r="W117" s="258"/>
      <c r="X117" s="259">
        <f t="shared" si="33"/>
        <v>0</v>
      </c>
      <c r="Y117" s="258">
        <v>0</v>
      </c>
      <c r="Z117" s="259">
        <f t="shared" si="34"/>
        <v>0</v>
      </c>
      <c r="AA117" s="258">
        <v>0</v>
      </c>
      <c r="AB117" s="24">
        <v>1</v>
      </c>
      <c r="AC117" s="260">
        <f t="shared" si="41"/>
        <v>0</v>
      </c>
      <c r="AD117" s="297">
        <f t="shared" si="42"/>
        <v>0</v>
      </c>
      <c r="AE117" s="261">
        <f t="shared" si="43"/>
        <v>0</v>
      </c>
      <c r="AF117" s="262">
        <f t="shared" si="43"/>
        <v>0</v>
      </c>
      <c r="AG117" s="254"/>
      <c r="AI117" s="153">
        <f t="shared" si="44"/>
        <v>0</v>
      </c>
      <c r="AJ117" s="156">
        <f t="shared" si="45"/>
        <v>0</v>
      </c>
      <c r="AK117" s="147">
        <f t="shared" si="48"/>
        <v>0</v>
      </c>
      <c r="AM117" s="160">
        <f t="shared" si="49"/>
        <v>0</v>
      </c>
      <c r="AN117" s="150">
        <f t="shared" si="46"/>
        <v>0</v>
      </c>
      <c r="AP117" s="21">
        <f t="shared" si="50"/>
        <v>1</v>
      </c>
      <c r="AQ117" s="169">
        <f t="shared" si="47"/>
        <v>0</v>
      </c>
      <c r="AR117" s="263">
        <f t="shared" si="51"/>
        <v>0</v>
      </c>
    </row>
    <row r="118" spans="2:44" hidden="1">
      <c r="B118" s="21">
        <f>'MaterialCosts Summary'!B118</f>
        <v>110</v>
      </c>
      <c r="C118" s="26"/>
      <c r="D118" s="23">
        <f>'MaterialCosts Summary'!D118</f>
        <v>0</v>
      </c>
      <c r="E118" s="256">
        <f>'MaterialCosts Summary'!E118</f>
        <v>0</v>
      </c>
      <c r="F118" s="257">
        <v>0</v>
      </c>
      <c r="G118" s="257">
        <v>0</v>
      </c>
      <c r="H118" s="257">
        <v>0</v>
      </c>
      <c r="I118" s="258">
        <f t="shared" si="39"/>
        <v>0</v>
      </c>
      <c r="J118" s="258"/>
      <c r="K118" s="259">
        <f t="shared" si="40"/>
        <v>0</v>
      </c>
      <c r="L118" s="258">
        <v>0</v>
      </c>
      <c r="M118" s="259">
        <f t="shared" si="26"/>
        <v>0</v>
      </c>
      <c r="N118" s="258">
        <v>0</v>
      </c>
      <c r="O118" s="259">
        <f t="shared" si="27"/>
        <v>0</v>
      </c>
      <c r="P118" s="258">
        <f t="shared" si="28"/>
        <v>0</v>
      </c>
      <c r="Q118" s="258"/>
      <c r="R118" s="259">
        <f t="shared" si="29"/>
        <v>0</v>
      </c>
      <c r="S118" s="258">
        <f t="shared" si="30"/>
        <v>0</v>
      </c>
      <c r="T118" s="258"/>
      <c r="U118" s="259">
        <f t="shared" si="31"/>
        <v>0</v>
      </c>
      <c r="V118" s="258">
        <f t="shared" si="32"/>
        <v>0</v>
      </c>
      <c r="W118" s="258"/>
      <c r="X118" s="259">
        <f t="shared" si="33"/>
        <v>0</v>
      </c>
      <c r="Y118" s="258">
        <v>0</v>
      </c>
      <c r="Z118" s="259">
        <f t="shared" si="34"/>
        <v>0</v>
      </c>
      <c r="AA118" s="258">
        <v>0</v>
      </c>
      <c r="AB118" s="24">
        <v>1</v>
      </c>
      <c r="AC118" s="260">
        <f t="shared" si="41"/>
        <v>0</v>
      </c>
      <c r="AD118" s="298">
        <f t="shared" si="42"/>
        <v>0</v>
      </c>
      <c r="AE118" s="261">
        <f t="shared" si="43"/>
        <v>0</v>
      </c>
      <c r="AF118" s="262">
        <f t="shared" si="43"/>
        <v>0</v>
      </c>
      <c r="AG118" s="254"/>
      <c r="AI118" s="153">
        <f t="shared" si="44"/>
        <v>0</v>
      </c>
      <c r="AJ118" s="156">
        <f t="shared" si="45"/>
        <v>0</v>
      </c>
      <c r="AK118" s="147">
        <f t="shared" si="48"/>
        <v>0</v>
      </c>
      <c r="AM118" s="160">
        <f t="shared" si="49"/>
        <v>0</v>
      </c>
      <c r="AN118" s="150">
        <f t="shared" si="46"/>
        <v>0</v>
      </c>
      <c r="AP118" s="21">
        <f t="shared" si="50"/>
        <v>1</v>
      </c>
      <c r="AQ118" s="169">
        <f t="shared" si="47"/>
        <v>0</v>
      </c>
      <c r="AR118" s="263">
        <f t="shared" si="51"/>
        <v>0</v>
      </c>
    </row>
    <row r="119" spans="2:44" hidden="1">
      <c r="B119" s="21">
        <f>'MaterialCosts Summary'!B119</f>
        <v>111</v>
      </c>
      <c r="C119" s="26"/>
      <c r="D119" s="23">
        <f>'MaterialCosts Summary'!D119</f>
        <v>0</v>
      </c>
      <c r="E119" s="256">
        <f>'MaterialCosts Summary'!E119</f>
        <v>0</v>
      </c>
      <c r="F119" s="257">
        <v>0</v>
      </c>
      <c r="G119" s="257">
        <v>0</v>
      </c>
      <c r="H119" s="257">
        <v>0</v>
      </c>
      <c r="I119" s="258">
        <f t="shared" si="39"/>
        <v>0</v>
      </c>
      <c r="J119" s="258"/>
      <c r="K119" s="259">
        <f t="shared" si="40"/>
        <v>0</v>
      </c>
      <c r="L119" s="258">
        <v>0</v>
      </c>
      <c r="M119" s="259">
        <f t="shared" si="26"/>
        <v>0</v>
      </c>
      <c r="N119" s="258">
        <v>0</v>
      </c>
      <c r="O119" s="259">
        <f t="shared" si="27"/>
        <v>0</v>
      </c>
      <c r="P119" s="258">
        <f t="shared" si="28"/>
        <v>0</v>
      </c>
      <c r="Q119" s="258"/>
      <c r="R119" s="259">
        <f t="shared" si="29"/>
        <v>0</v>
      </c>
      <c r="S119" s="258">
        <f t="shared" si="30"/>
        <v>0</v>
      </c>
      <c r="T119" s="258"/>
      <c r="U119" s="259">
        <f t="shared" si="31"/>
        <v>0</v>
      </c>
      <c r="V119" s="258">
        <f t="shared" si="32"/>
        <v>0</v>
      </c>
      <c r="W119" s="258"/>
      <c r="X119" s="259">
        <f t="shared" si="33"/>
        <v>0</v>
      </c>
      <c r="Y119" s="258">
        <v>0</v>
      </c>
      <c r="Z119" s="259">
        <f t="shared" si="34"/>
        <v>0</v>
      </c>
      <c r="AA119" s="258">
        <v>0</v>
      </c>
      <c r="AB119" s="24">
        <v>1</v>
      </c>
      <c r="AC119" s="260">
        <f t="shared" si="41"/>
        <v>0</v>
      </c>
      <c r="AD119" s="299">
        <f t="shared" si="42"/>
        <v>0</v>
      </c>
      <c r="AE119" s="261">
        <f t="shared" si="43"/>
        <v>0</v>
      </c>
      <c r="AF119" s="262">
        <f t="shared" si="43"/>
        <v>0</v>
      </c>
      <c r="AG119" s="254"/>
      <c r="AI119" s="153">
        <f t="shared" si="44"/>
        <v>0</v>
      </c>
      <c r="AJ119" s="156">
        <f t="shared" si="45"/>
        <v>0</v>
      </c>
      <c r="AK119" s="147">
        <f t="shared" si="48"/>
        <v>0</v>
      </c>
      <c r="AM119" s="160">
        <f t="shared" si="49"/>
        <v>0</v>
      </c>
      <c r="AN119" s="150">
        <f t="shared" si="46"/>
        <v>0</v>
      </c>
      <c r="AP119" s="21">
        <f t="shared" si="50"/>
        <v>1</v>
      </c>
      <c r="AQ119" s="169">
        <f t="shared" si="47"/>
        <v>0</v>
      </c>
      <c r="AR119" s="263">
        <f t="shared" si="51"/>
        <v>0</v>
      </c>
    </row>
    <row r="120" spans="2:44" hidden="1">
      <c r="B120" s="21">
        <f>'MaterialCosts Summary'!B120</f>
        <v>112</v>
      </c>
      <c r="C120" s="26"/>
      <c r="D120" s="23">
        <f>'MaterialCosts Summary'!D120</f>
        <v>0</v>
      </c>
      <c r="E120" s="256">
        <f>'MaterialCosts Summary'!E120</f>
        <v>0</v>
      </c>
      <c r="F120" s="257">
        <v>0</v>
      </c>
      <c r="G120" s="257">
        <v>0</v>
      </c>
      <c r="H120" s="257">
        <v>0</v>
      </c>
      <c r="I120" s="258">
        <f t="shared" si="39"/>
        <v>0</v>
      </c>
      <c r="J120" s="258"/>
      <c r="K120" s="259">
        <f t="shared" si="40"/>
        <v>0</v>
      </c>
      <c r="L120" s="258">
        <v>0</v>
      </c>
      <c r="M120" s="259">
        <f t="shared" si="26"/>
        <v>0</v>
      </c>
      <c r="N120" s="258">
        <v>0</v>
      </c>
      <c r="O120" s="259">
        <f t="shared" si="27"/>
        <v>0</v>
      </c>
      <c r="P120" s="258">
        <f t="shared" si="28"/>
        <v>0</v>
      </c>
      <c r="Q120" s="258"/>
      <c r="R120" s="259">
        <f t="shared" si="29"/>
        <v>0</v>
      </c>
      <c r="S120" s="258">
        <f t="shared" si="30"/>
        <v>0</v>
      </c>
      <c r="T120" s="258"/>
      <c r="U120" s="259">
        <f t="shared" si="31"/>
        <v>0</v>
      </c>
      <c r="V120" s="258">
        <f t="shared" si="32"/>
        <v>0</v>
      </c>
      <c r="W120" s="258"/>
      <c r="X120" s="259">
        <f t="shared" si="33"/>
        <v>0</v>
      </c>
      <c r="Y120" s="258">
        <v>0</v>
      </c>
      <c r="Z120" s="259">
        <f t="shared" si="34"/>
        <v>0</v>
      </c>
      <c r="AA120" s="258">
        <v>0</v>
      </c>
      <c r="AB120" s="24">
        <v>1</v>
      </c>
      <c r="AC120" s="260">
        <f t="shared" si="41"/>
        <v>0</v>
      </c>
      <c r="AD120" s="299">
        <f t="shared" si="42"/>
        <v>0</v>
      </c>
      <c r="AE120" s="261">
        <f t="shared" si="43"/>
        <v>0</v>
      </c>
      <c r="AF120" s="262">
        <f t="shared" si="43"/>
        <v>0</v>
      </c>
      <c r="AG120" s="254"/>
      <c r="AI120" s="153">
        <f t="shared" si="44"/>
        <v>0</v>
      </c>
      <c r="AJ120" s="156">
        <f t="shared" si="45"/>
        <v>0</v>
      </c>
      <c r="AK120" s="147">
        <f t="shared" si="48"/>
        <v>0</v>
      </c>
      <c r="AM120" s="160">
        <f t="shared" si="49"/>
        <v>0</v>
      </c>
      <c r="AN120" s="150">
        <f t="shared" si="46"/>
        <v>0</v>
      </c>
      <c r="AP120" s="21">
        <f t="shared" si="50"/>
        <v>1</v>
      </c>
      <c r="AQ120" s="169">
        <f t="shared" si="47"/>
        <v>0</v>
      </c>
      <c r="AR120" s="263">
        <f t="shared" si="51"/>
        <v>0</v>
      </c>
    </row>
    <row r="121" spans="2:44" hidden="1">
      <c r="B121" s="21">
        <f>'MaterialCosts Summary'!B121</f>
        <v>113</v>
      </c>
      <c r="C121" s="26"/>
      <c r="D121" s="23">
        <f>'MaterialCosts Summary'!D121</f>
        <v>0</v>
      </c>
      <c r="E121" s="256">
        <f>'MaterialCosts Summary'!E121</f>
        <v>0</v>
      </c>
      <c r="F121" s="257">
        <v>0</v>
      </c>
      <c r="G121" s="257">
        <v>0</v>
      </c>
      <c r="H121" s="257">
        <v>0</v>
      </c>
      <c r="I121" s="258">
        <f t="shared" si="39"/>
        <v>0</v>
      </c>
      <c r="J121" s="258"/>
      <c r="K121" s="259">
        <f t="shared" si="40"/>
        <v>0</v>
      </c>
      <c r="L121" s="258">
        <v>0</v>
      </c>
      <c r="M121" s="259">
        <f t="shared" si="26"/>
        <v>0</v>
      </c>
      <c r="N121" s="258">
        <v>0</v>
      </c>
      <c r="O121" s="259">
        <f t="shared" si="27"/>
        <v>0</v>
      </c>
      <c r="P121" s="258">
        <f t="shared" si="28"/>
        <v>0</v>
      </c>
      <c r="Q121" s="258"/>
      <c r="R121" s="259">
        <f t="shared" si="29"/>
        <v>0</v>
      </c>
      <c r="S121" s="258">
        <f t="shared" si="30"/>
        <v>0</v>
      </c>
      <c r="T121" s="258"/>
      <c r="U121" s="259">
        <f t="shared" si="31"/>
        <v>0</v>
      </c>
      <c r="V121" s="258">
        <f t="shared" si="32"/>
        <v>0</v>
      </c>
      <c r="W121" s="258"/>
      <c r="X121" s="259">
        <f t="shared" si="33"/>
        <v>0</v>
      </c>
      <c r="Y121" s="258">
        <v>0</v>
      </c>
      <c r="Z121" s="259">
        <f t="shared" si="34"/>
        <v>0</v>
      </c>
      <c r="AA121" s="258">
        <v>0</v>
      </c>
      <c r="AB121" s="24">
        <v>1</v>
      </c>
      <c r="AC121" s="260">
        <f t="shared" si="41"/>
        <v>0</v>
      </c>
      <c r="AD121" s="297">
        <f t="shared" si="42"/>
        <v>0</v>
      </c>
      <c r="AE121" s="261">
        <f t="shared" si="43"/>
        <v>0</v>
      </c>
      <c r="AF121" s="262">
        <f t="shared" si="43"/>
        <v>0</v>
      </c>
      <c r="AG121" s="254"/>
      <c r="AI121" s="153">
        <f t="shared" si="44"/>
        <v>0</v>
      </c>
      <c r="AJ121" s="156">
        <f t="shared" si="45"/>
        <v>0</v>
      </c>
      <c r="AK121" s="147">
        <f t="shared" si="48"/>
        <v>0</v>
      </c>
      <c r="AM121" s="160">
        <f t="shared" si="49"/>
        <v>0</v>
      </c>
      <c r="AN121" s="150">
        <f t="shared" si="46"/>
        <v>0</v>
      </c>
      <c r="AP121" s="21">
        <f t="shared" si="50"/>
        <v>1</v>
      </c>
      <c r="AQ121" s="169">
        <f t="shared" si="47"/>
        <v>0</v>
      </c>
      <c r="AR121" s="263">
        <f t="shared" si="51"/>
        <v>0</v>
      </c>
    </row>
    <row r="122" spans="2:44" hidden="1">
      <c r="B122" s="21">
        <f>'MaterialCosts Summary'!B122</f>
        <v>114</v>
      </c>
      <c r="C122" s="26"/>
      <c r="D122" s="23">
        <f>'MaterialCosts Summary'!D122</f>
        <v>0</v>
      </c>
      <c r="E122" s="256">
        <f>'MaterialCosts Summary'!E122</f>
        <v>0</v>
      </c>
      <c r="F122" s="257">
        <v>0</v>
      </c>
      <c r="G122" s="257">
        <v>0</v>
      </c>
      <c r="H122" s="257">
        <v>0</v>
      </c>
      <c r="I122" s="258">
        <f t="shared" si="39"/>
        <v>0</v>
      </c>
      <c r="J122" s="258"/>
      <c r="K122" s="259">
        <f t="shared" si="40"/>
        <v>0</v>
      </c>
      <c r="L122" s="258">
        <v>0</v>
      </c>
      <c r="M122" s="259">
        <f t="shared" si="26"/>
        <v>0</v>
      </c>
      <c r="N122" s="258">
        <v>0</v>
      </c>
      <c r="O122" s="259">
        <f t="shared" si="27"/>
        <v>0</v>
      </c>
      <c r="P122" s="258">
        <f t="shared" si="28"/>
        <v>0</v>
      </c>
      <c r="Q122" s="258"/>
      <c r="R122" s="259">
        <f t="shared" si="29"/>
        <v>0</v>
      </c>
      <c r="S122" s="258">
        <f t="shared" si="30"/>
        <v>0</v>
      </c>
      <c r="T122" s="258"/>
      <c r="U122" s="259">
        <f t="shared" si="31"/>
        <v>0</v>
      </c>
      <c r="V122" s="258">
        <f t="shared" si="32"/>
        <v>0</v>
      </c>
      <c r="W122" s="258"/>
      <c r="X122" s="259">
        <f t="shared" si="33"/>
        <v>0</v>
      </c>
      <c r="Y122" s="258">
        <v>0</v>
      </c>
      <c r="Z122" s="259">
        <f t="shared" si="34"/>
        <v>0</v>
      </c>
      <c r="AA122" s="258">
        <v>0</v>
      </c>
      <c r="AB122" s="24">
        <v>1</v>
      </c>
      <c r="AC122" s="260">
        <f t="shared" si="41"/>
        <v>0</v>
      </c>
      <c r="AD122" s="298">
        <f t="shared" si="42"/>
        <v>0</v>
      </c>
      <c r="AE122" s="261">
        <f t="shared" si="43"/>
        <v>0</v>
      </c>
      <c r="AF122" s="262">
        <f t="shared" si="43"/>
        <v>0</v>
      </c>
      <c r="AG122" s="254"/>
      <c r="AI122" s="153">
        <f t="shared" si="44"/>
        <v>0</v>
      </c>
      <c r="AJ122" s="156">
        <f t="shared" si="45"/>
        <v>0</v>
      </c>
      <c r="AK122" s="147">
        <f t="shared" si="48"/>
        <v>0</v>
      </c>
      <c r="AM122" s="160">
        <f t="shared" si="49"/>
        <v>0</v>
      </c>
      <c r="AN122" s="150">
        <f t="shared" si="46"/>
        <v>0</v>
      </c>
      <c r="AP122" s="21">
        <f t="shared" si="50"/>
        <v>1</v>
      </c>
      <c r="AQ122" s="169">
        <f t="shared" si="47"/>
        <v>0</v>
      </c>
      <c r="AR122" s="263">
        <f t="shared" si="51"/>
        <v>0</v>
      </c>
    </row>
    <row r="123" spans="2:44" hidden="1">
      <c r="B123" s="21">
        <f>'MaterialCosts Summary'!B123</f>
        <v>115</v>
      </c>
      <c r="C123" s="26"/>
      <c r="D123" s="23">
        <f>'MaterialCosts Summary'!D123</f>
        <v>0</v>
      </c>
      <c r="E123" s="256">
        <f>'MaterialCosts Summary'!E123</f>
        <v>0</v>
      </c>
      <c r="F123" s="257">
        <v>0</v>
      </c>
      <c r="G123" s="257">
        <v>0</v>
      </c>
      <c r="H123" s="257">
        <v>0</v>
      </c>
      <c r="I123" s="258">
        <f t="shared" si="39"/>
        <v>0</v>
      </c>
      <c r="J123" s="258"/>
      <c r="K123" s="259">
        <f t="shared" si="40"/>
        <v>0</v>
      </c>
      <c r="L123" s="258">
        <v>0</v>
      </c>
      <c r="M123" s="259">
        <f t="shared" si="26"/>
        <v>0</v>
      </c>
      <c r="N123" s="258">
        <v>0</v>
      </c>
      <c r="O123" s="259">
        <f t="shared" si="27"/>
        <v>0</v>
      </c>
      <c r="P123" s="258">
        <f t="shared" si="28"/>
        <v>0</v>
      </c>
      <c r="Q123" s="258"/>
      <c r="R123" s="259">
        <f t="shared" si="29"/>
        <v>0</v>
      </c>
      <c r="S123" s="258">
        <f t="shared" si="30"/>
        <v>0</v>
      </c>
      <c r="T123" s="258"/>
      <c r="U123" s="259">
        <f t="shared" si="31"/>
        <v>0</v>
      </c>
      <c r="V123" s="258">
        <f t="shared" si="32"/>
        <v>0</v>
      </c>
      <c r="W123" s="258"/>
      <c r="X123" s="259">
        <f t="shared" si="33"/>
        <v>0</v>
      </c>
      <c r="Y123" s="258">
        <v>0</v>
      </c>
      <c r="Z123" s="259">
        <f t="shared" si="34"/>
        <v>0</v>
      </c>
      <c r="AA123" s="258">
        <v>0</v>
      </c>
      <c r="AB123" s="24">
        <v>1</v>
      </c>
      <c r="AC123" s="260">
        <f t="shared" si="41"/>
        <v>0</v>
      </c>
      <c r="AD123" s="299">
        <f t="shared" si="42"/>
        <v>0</v>
      </c>
      <c r="AE123" s="261">
        <f t="shared" si="43"/>
        <v>0</v>
      </c>
      <c r="AF123" s="262">
        <f t="shared" si="43"/>
        <v>0</v>
      </c>
      <c r="AG123" s="254"/>
      <c r="AI123" s="153">
        <f t="shared" si="44"/>
        <v>0</v>
      </c>
      <c r="AJ123" s="156">
        <f t="shared" si="45"/>
        <v>0</v>
      </c>
      <c r="AK123" s="147">
        <f t="shared" si="48"/>
        <v>0</v>
      </c>
      <c r="AM123" s="160">
        <f t="shared" si="49"/>
        <v>0</v>
      </c>
      <c r="AN123" s="150">
        <f t="shared" si="46"/>
        <v>0</v>
      </c>
      <c r="AP123" s="21">
        <f t="shared" si="50"/>
        <v>1</v>
      </c>
      <c r="AQ123" s="169">
        <f t="shared" si="47"/>
        <v>0</v>
      </c>
      <c r="AR123" s="263">
        <f t="shared" si="51"/>
        <v>0</v>
      </c>
    </row>
    <row r="124" spans="2:44" hidden="1">
      <c r="B124" s="21">
        <f>'MaterialCosts Summary'!B124</f>
        <v>116</v>
      </c>
      <c r="C124" s="26"/>
      <c r="D124" s="23">
        <f>'MaterialCosts Summary'!D124</f>
        <v>0</v>
      </c>
      <c r="E124" s="256">
        <f>'MaterialCosts Summary'!E124</f>
        <v>0</v>
      </c>
      <c r="F124" s="257">
        <v>0</v>
      </c>
      <c r="G124" s="257">
        <v>0</v>
      </c>
      <c r="H124" s="257">
        <v>0</v>
      </c>
      <c r="I124" s="258">
        <f t="shared" si="39"/>
        <v>0</v>
      </c>
      <c r="J124" s="258"/>
      <c r="K124" s="259">
        <f t="shared" si="40"/>
        <v>0</v>
      </c>
      <c r="L124" s="258">
        <v>0</v>
      </c>
      <c r="M124" s="259">
        <f t="shared" si="26"/>
        <v>0</v>
      </c>
      <c r="N124" s="258">
        <v>0</v>
      </c>
      <c r="O124" s="259">
        <f t="shared" si="27"/>
        <v>0</v>
      </c>
      <c r="P124" s="258">
        <f t="shared" si="28"/>
        <v>0</v>
      </c>
      <c r="Q124" s="258"/>
      <c r="R124" s="259">
        <f t="shared" si="29"/>
        <v>0</v>
      </c>
      <c r="S124" s="258">
        <f t="shared" si="30"/>
        <v>0</v>
      </c>
      <c r="T124" s="258"/>
      <c r="U124" s="259">
        <f t="shared" si="31"/>
        <v>0</v>
      </c>
      <c r="V124" s="258">
        <f t="shared" si="32"/>
        <v>0</v>
      </c>
      <c r="W124" s="258"/>
      <c r="X124" s="259">
        <f t="shared" si="33"/>
        <v>0</v>
      </c>
      <c r="Y124" s="258">
        <v>0</v>
      </c>
      <c r="Z124" s="259">
        <f t="shared" si="34"/>
        <v>0</v>
      </c>
      <c r="AA124" s="258">
        <v>0</v>
      </c>
      <c r="AB124" s="24">
        <v>1</v>
      </c>
      <c r="AC124" s="260">
        <f t="shared" si="41"/>
        <v>0</v>
      </c>
      <c r="AD124" s="299">
        <f t="shared" si="42"/>
        <v>0</v>
      </c>
      <c r="AE124" s="261">
        <f t="shared" si="43"/>
        <v>0</v>
      </c>
      <c r="AF124" s="262">
        <f t="shared" si="43"/>
        <v>0</v>
      </c>
      <c r="AG124" s="254"/>
      <c r="AI124" s="153">
        <f t="shared" si="44"/>
        <v>0</v>
      </c>
      <c r="AJ124" s="156">
        <f t="shared" si="45"/>
        <v>0</v>
      </c>
      <c r="AK124" s="147">
        <f t="shared" si="48"/>
        <v>0</v>
      </c>
      <c r="AM124" s="160">
        <f t="shared" si="49"/>
        <v>0</v>
      </c>
      <c r="AN124" s="150">
        <f t="shared" si="46"/>
        <v>0</v>
      </c>
      <c r="AP124" s="21">
        <f t="shared" si="50"/>
        <v>1</v>
      </c>
      <c r="AQ124" s="169">
        <f t="shared" si="47"/>
        <v>0</v>
      </c>
      <c r="AR124" s="263">
        <f t="shared" si="51"/>
        <v>0</v>
      </c>
    </row>
    <row r="125" spans="2:44" hidden="1">
      <c r="B125" s="21">
        <f>'MaterialCosts Summary'!B125</f>
        <v>117</v>
      </c>
      <c r="C125" s="26"/>
      <c r="D125" s="23">
        <f>'MaterialCosts Summary'!D125</f>
        <v>0</v>
      </c>
      <c r="E125" s="256">
        <f>'MaterialCosts Summary'!E125</f>
        <v>0</v>
      </c>
      <c r="F125" s="257">
        <v>0</v>
      </c>
      <c r="G125" s="257">
        <v>0</v>
      </c>
      <c r="H125" s="257">
        <v>0</v>
      </c>
      <c r="I125" s="258">
        <f t="shared" si="39"/>
        <v>0</v>
      </c>
      <c r="J125" s="258"/>
      <c r="K125" s="259">
        <f t="shared" si="40"/>
        <v>0</v>
      </c>
      <c r="L125" s="258">
        <v>0</v>
      </c>
      <c r="M125" s="259">
        <f t="shared" si="26"/>
        <v>0</v>
      </c>
      <c r="N125" s="258">
        <v>0</v>
      </c>
      <c r="O125" s="259">
        <f t="shared" si="27"/>
        <v>0</v>
      </c>
      <c r="P125" s="258">
        <f t="shared" si="28"/>
        <v>0</v>
      </c>
      <c r="Q125" s="258"/>
      <c r="R125" s="259">
        <f t="shared" si="29"/>
        <v>0</v>
      </c>
      <c r="S125" s="258">
        <f t="shared" si="30"/>
        <v>0</v>
      </c>
      <c r="T125" s="258"/>
      <c r="U125" s="259">
        <f t="shared" si="31"/>
        <v>0</v>
      </c>
      <c r="V125" s="258">
        <f t="shared" si="32"/>
        <v>0</v>
      </c>
      <c r="W125" s="258"/>
      <c r="X125" s="259">
        <f t="shared" si="33"/>
        <v>0</v>
      </c>
      <c r="Y125" s="258">
        <v>0</v>
      </c>
      <c r="Z125" s="259">
        <f t="shared" si="34"/>
        <v>0</v>
      </c>
      <c r="AA125" s="258">
        <v>0</v>
      </c>
      <c r="AB125" s="24">
        <v>1</v>
      </c>
      <c r="AC125" s="260">
        <f t="shared" si="41"/>
        <v>0</v>
      </c>
      <c r="AD125" s="297">
        <f t="shared" si="42"/>
        <v>0</v>
      </c>
      <c r="AE125" s="261">
        <f t="shared" si="43"/>
        <v>0</v>
      </c>
      <c r="AF125" s="262">
        <f t="shared" si="43"/>
        <v>0</v>
      </c>
      <c r="AG125" s="254"/>
      <c r="AI125" s="153">
        <f t="shared" si="44"/>
        <v>0</v>
      </c>
      <c r="AJ125" s="156">
        <f t="shared" si="45"/>
        <v>0</v>
      </c>
      <c r="AK125" s="147">
        <f t="shared" si="48"/>
        <v>0</v>
      </c>
      <c r="AM125" s="160">
        <f t="shared" si="49"/>
        <v>0</v>
      </c>
      <c r="AN125" s="150">
        <f t="shared" si="46"/>
        <v>0</v>
      </c>
      <c r="AP125" s="21">
        <f t="shared" si="50"/>
        <v>1</v>
      </c>
      <c r="AQ125" s="169">
        <f t="shared" si="47"/>
        <v>0</v>
      </c>
      <c r="AR125" s="263">
        <f t="shared" si="51"/>
        <v>0</v>
      </c>
    </row>
    <row r="126" spans="2:44" hidden="1">
      <c r="B126" s="21">
        <f>'MaterialCosts Summary'!B126</f>
        <v>118</v>
      </c>
      <c r="C126" s="26"/>
      <c r="D126" s="23">
        <f>'MaterialCosts Summary'!D126</f>
        <v>0</v>
      </c>
      <c r="E126" s="256">
        <f>'MaterialCosts Summary'!E126</f>
        <v>0</v>
      </c>
      <c r="F126" s="257">
        <v>0</v>
      </c>
      <c r="G126" s="257">
        <v>0</v>
      </c>
      <c r="H126" s="257">
        <v>0</v>
      </c>
      <c r="I126" s="258">
        <f t="shared" si="39"/>
        <v>0</v>
      </c>
      <c r="J126" s="258"/>
      <c r="K126" s="259">
        <f t="shared" si="40"/>
        <v>0</v>
      </c>
      <c r="L126" s="258">
        <v>0</v>
      </c>
      <c r="M126" s="259">
        <f t="shared" si="26"/>
        <v>0</v>
      </c>
      <c r="N126" s="258">
        <v>0</v>
      </c>
      <c r="O126" s="259">
        <f t="shared" si="27"/>
        <v>0</v>
      </c>
      <c r="P126" s="258">
        <f t="shared" si="28"/>
        <v>0</v>
      </c>
      <c r="Q126" s="258"/>
      <c r="R126" s="259">
        <f t="shared" si="29"/>
        <v>0</v>
      </c>
      <c r="S126" s="258">
        <f t="shared" si="30"/>
        <v>0</v>
      </c>
      <c r="T126" s="258"/>
      <c r="U126" s="259">
        <f t="shared" si="31"/>
        <v>0</v>
      </c>
      <c r="V126" s="258">
        <f t="shared" si="32"/>
        <v>0</v>
      </c>
      <c r="W126" s="258"/>
      <c r="X126" s="259">
        <f t="shared" si="33"/>
        <v>0</v>
      </c>
      <c r="Y126" s="258">
        <v>0</v>
      </c>
      <c r="Z126" s="259">
        <f t="shared" si="34"/>
        <v>0</v>
      </c>
      <c r="AA126" s="258">
        <v>0</v>
      </c>
      <c r="AB126" s="24">
        <v>1</v>
      </c>
      <c r="AC126" s="260">
        <f t="shared" si="41"/>
        <v>0</v>
      </c>
      <c r="AD126" s="298">
        <f t="shared" si="42"/>
        <v>0</v>
      </c>
      <c r="AE126" s="261">
        <f t="shared" si="43"/>
        <v>0</v>
      </c>
      <c r="AF126" s="262">
        <f t="shared" si="43"/>
        <v>0</v>
      </c>
      <c r="AG126" s="254"/>
      <c r="AI126" s="153">
        <f t="shared" si="44"/>
        <v>0</v>
      </c>
      <c r="AJ126" s="156">
        <f t="shared" si="45"/>
        <v>0</v>
      </c>
      <c r="AK126" s="147">
        <f t="shared" si="48"/>
        <v>0</v>
      </c>
      <c r="AM126" s="160">
        <f t="shared" si="49"/>
        <v>0</v>
      </c>
      <c r="AN126" s="150">
        <f t="shared" si="46"/>
        <v>0</v>
      </c>
      <c r="AP126" s="21">
        <f t="shared" si="50"/>
        <v>1</v>
      </c>
      <c r="AQ126" s="169">
        <f t="shared" si="47"/>
        <v>0</v>
      </c>
      <c r="AR126" s="263">
        <f t="shared" si="51"/>
        <v>0</v>
      </c>
    </row>
    <row r="127" spans="2:44" hidden="1">
      <c r="B127" s="21">
        <f>'MaterialCosts Summary'!B127</f>
        <v>119</v>
      </c>
      <c r="C127" s="26"/>
      <c r="D127" s="23">
        <f>'MaterialCosts Summary'!D127</f>
        <v>0</v>
      </c>
      <c r="E127" s="256">
        <f>'MaterialCosts Summary'!E127</f>
        <v>0</v>
      </c>
      <c r="F127" s="257">
        <v>0</v>
      </c>
      <c r="G127" s="257">
        <v>0</v>
      </c>
      <c r="H127" s="257">
        <v>0</v>
      </c>
      <c r="I127" s="258">
        <f t="shared" si="39"/>
        <v>0</v>
      </c>
      <c r="J127" s="258"/>
      <c r="K127" s="259">
        <f t="shared" si="40"/>
        <v>0</v>
      </c>
      <c r="L127" s="258">
        <v>0</v>
      </c>
      <c r="M127" s="259">
        <f t="shared" si="26"/>
        <v>0</v>
      </c>
      <c r="N127" s="258">
        <v>0</v>
      </c>
      <c r="O127" s="259">
        <f t="shared" si="27"/>
        <v>0</v>
      </c>
      <c r="P127" s="258">
        <f t="shared" si="28"/>
        <v>0</v>
      </c>
      <c r="Q127" s="258"/>
      <c r="R127" s="259">
        <f t="shared" si="29"/>
        <v>0</v>
      </c>
      <c r="S127" s="258">
        <f t="shared" si="30"/>
        <v>0</v>
      </c>
      <c r="T127" s="258"/>
      <c r="U127" s="259">
        <f t="shared" si="31"/>
        <v>0</v>
      </c>
      <c r="V127" s="258">
        <f t="shared" si="32"/>
        <v>0</v>
      </c>
      <c r="W127" s="258"/>
      <c r="X127" s="259">
        <f t="shared" si="33"/>
        <v>0</v>
      </c>
      <c r="Y127" s="258">
        <v>0</v>
      </c>
      <c r="Z127" s="259">
        <f t="shared" si="34"/>
        <v>0</v>
      </c>
      <c r="AA127" s="258">
        <v>0</v>
      </c>
      <c r="AB127" s="24">
        <v>1</v>
      </c>
      <c r="AC127" s="260">
        <f t="shared" si="41"/>
        <v>0</v>
      </c>
      <c r="AD127" s="299">
        <f t="shared" si="42"/>
        <v>0</v>
      </c>
      <c r="AE127" s="261">
        <f t="shared" si="43"/>
        <v>0</v>
      </c>
      <c r="AF127" s="262">
        <f t="shared" si="43"/>
        <v>0</v>
      </c>
      <c r="AG127" s="254"/>
      <c r="AI127" s="153">
        <f t="shared" si="44"/>
        <v>0</v>
      </c>
      <c r="AJ127" s="156">
        <f t="shared" si="45"/>
        <v>0</v>
      </c>
      <c r="AK127" s="147">
        <f t="shared" si="48"/>
        <v>0</v>
      </c>
      <c r="AM127" s="160">
        <f t="shared" si="49"/>
        <v>0</v>
      </c>
      <c r="AN127" s="150">
        <f t="shared" si="46"/>
        <v>0</v>
      </c>
      <c r="AP127" s="21">
        <f t="shared" si="50"/>
        <v>1</v>
      </c>
      <c r="AQ127" s="169">
        <f t="shared" si="47"/>
        <v>0</v>
      </c>
      <c r="AR127" s="263">
        <f t="shared" si="51"/>
        <v>0</v>
      </c>
    </row>
    <row r="128" spans="2:44" hidden="1">
      <c r="B128" s="21">
        <f>'MaterialCosts Summary'!B128</f>
        <v>120</v>
      </c>
      <c r="C128" s="26"/>
      <c r="D128" s="23">
        <f>'MaterialCosts Summary'!D128</f>
        <v>0</v>
      </c>
      <c r="E128" s="256">
        <f>'MaterialCosts Summary'!E128</f>
        <v>0</v>
      </c>
      <c r="F128" s="257">
        <v>0</v>
      </c>
      <c r="G128" s="257">
        <v>0</v>
      </c>
      <c r="H128" s="257">
        <v>0</v>
      </c>
      <c r="I128" s="258">
        <f t="shared" si="39"/>
        <v>0</v>
      </c>
      <c r="J128" s="258"/>
      <c r="K128" s="259">
        <f t="shared" si="40"/>
        <v>0</v>
      </c>
      <c r="L128" s="258">
        <v>0</v>
      </c>
      <c r="M128" s="259">
        <f t="shared" si="26"/>
        <v>0</v>
      </c>
      <c r="N128" s="258">
        <v>0</v>
      </c>
      <c r="O128" s="259">
        <f t="shared" si="27"/>
        <v>0</v>
      </c>
      <c r="P128" s="258">
        <f t="shared" si="28"/>
        <v>0</v>
      </c>
      <c r="Q128" s="258"/>
      <c r="R128" s="259">
        <f t="shared" si="29"/>
        <v>0</v>
      </c>
      <c r="S128" s="258">
        <f t="shared" si="30"/>
        <v>0</v>
      </c>
      <c r="T128" s="258"/>
      <c r="U128" s="259">
        <f t="shared" si="31"/>
        <v>0</v>
      </c>
      <c r="V128" s="258">
        <f t="shared" si="32"/>
        <v>0</v>
      </c>
      <c r="W128" s="258"/>
      <c r="X128" s="259">
        <f t="shared" si="33"/>
        <v>0</v>
      </c>
      <c r="Y128" s="258">
        <v>0</v>
      </c>
      <c r="Z128" s="259">
        <f t="shared" si="34"/>
        <v>0</v>
      </c>
      <c r="AA128" s="258">
        <v>0</v>
      </c>
      <c r="AB128" s="24">
        <v>1</v>
      </c>
      <c r="AC128" s="260">
        <f t="shared" si="41"/>
        <v>0</v>
      </c>
      <c r="AD128" s="299">
        <f t="shared" si="42"/>
        <v>0</v>
      </c>
      <c r="AE128" s="261">
        <f t="shared" si="43"/>
        <v>0</v>
      </c>
      <c r="AF128" s="262">
        <f t="shared" si="43"/>
        <v>0</v>
      </c>
      <c r="AG128" s="254"/>
      <c r="AI128" s="153">
        <f t="shared" si="44"/>
        <v>0</v>
      </c>
      <c r="AJ128" s="156">
        <f t="shared" si="45"/>
        <v>0</v>
      </c>
      <c r="AK128" s="147">
        <f t="shared" si="48"/>
        <v>0</v>
      </c>
      <c r="AM128" s="160">
        <f t="shared" si="49"/>
        <v>0</v>
      </c>
      <c r="AN128" s="150">
        <f t="shared" si="46"/>
        <v>0</v>
      </c>
      <c r="AP128" s="21">
        <f t="shared" si="50"/>
        <v>1</v>
      </c>
      <c r="AQ128" s="169">
        <f t="shared" si="47"/>
        <v>0</v>
      </c>
      <c r="AR128" s="263">
        <f t="shared" si="51"/>
        <v>0</v>
      </c>
    </row>
    <row r="129" spans="2:45" hidden="1">
      <c r="B129" s="21">
        <f>'MaterialCosts Summary'!B129</f>
        <v>121</v>
      </c>
      <c r="C129" s="26"/>
      <c r="D129" s="23">
        <f>'MaterialCosts Summary'!D129</f>
        <v>0</v>
      </c>
      <c r="E129" s="256">
        <f>'MaterialCosts Summary'!E129</f>
        <v>0</v>
      </c>
      <c r="F129" s="257">
        <v>0</v>
      </c>
      <c r="G129" s="257">
        <v>0</v>
      </c>
      <c r="H129" s="257">
        <v>0</v>
      </c>
      <c r="I129" s="258">
        <f t="shared" si="39"/>
        <v>0</v>
      </c>
      <c r="J129" s="258"/>
      <c r="K129" s="259">
        <f t="shared" si="40"/>
        <v>0</v>
      </c>
      <c r="L129" s="258">
        <v>0</v>
      </c>
      <c r="M129" s="259">
        <f t="shared" si="26"/>
        <v>0</v>
      </c>
      <c r="N129" s="258">
        <v>0</v>
      </c>
      <c r="O129" s="259">
        <f t="shared" si="27"/>
        <v>0</v>
      </c>
      <c r="P129" s="258">
        <f t="shared" si="28"/>
        <v>0</v>
      </c>
      <c r="Q129" s="258"/>
      <c r="R129" s="259">
        <f t="shared" si="29"/>
        <v>0</v>
      </c>
      <c r="S129" s="258">
        <f t="shared" si="30"/>
        <v>0</v>
      </c>
      <c r="T129" s="258"/>
      <c r="U129" s="259">
        <f t="shared" si="31"/>
        <v>0</v>
      </c>
      <c r="V129" s="258">
        <f t="shared" si="32"/>
        <v>0</v>
      </c>
      <c r="W129" s="258"/>
      <c r="X129" s="259">
        <f t="shared" si="33"/>
        <v>0</v>
      </c>
      <c r="Y129" s="258">
        <v>0</v>
      </c>
      <c r="Z129" s="259">
        <f t="shared" si="34"/>
        <v>0</v>
      </c>
      <c r="AA129" s="258">
        <v>0</v>
      </c>
      <c r="AB129" s="24">
        <v>1</v>
      </c>
      <c r="AC129" s="260">
        <f t="shared" si="41"/>
        <v>0</v>
      </c>
      <c r="AD129" s="297">
        <f t="shared" si="42"/>
        <v>0</v>
      </c>
      <c r="AE129" s="261">
        <f t="shared" si="43"/>
        <v>0</v>
      </c>
      <c r="AF129" s="262">
        <f t="shared" si="43"/>
        <v>0</v>
      </c>
      <c r="AG129" s="254"/>
      <c r="AI129" s="153">
        <f t="shared" si="44"/>
        <v>0</v>
      </c>
      <c r="AJ129" s="156">
        <f t="shared" si="45"/>
        <v>0</v>
      </c>
      <c r="AK129" s="147">
        <f t="shared" si="48"/>
        <v>0</v>
      </c>
      <c r="AM129" s="160">
        <f t="shared" si="49"/>
        <v>0</v>
      </c>
      <c r="AN129" s="150">
        <f t="shared" si="46"/>
        <v>0</v>
      </c>
      <c r="AP129" s="21">
        <f t="shared" si="50"/>
        <v>1</v>
      </c>
      <c r="AQ129" s="169">
        <f t="shared" si="47"/>
        <v>0</v>
      </c>
      <c r="AR129" s="263">
        <f t="shared" si="51"/>
        <v>0</v>
      </c>
    </row>
    <row r="130" spans="2:45" hidden="1">
      <c r="B130" s="21">
        <f>'MaterialCosts Summary'!B130</f>
        <v>122</v>
      </c>
      <c r="C130" s="26"/>
      <c r="D130" s="23">
        <f>'MaterialCosts Summary'!D130</f>
        <v>0</v>
      </c>
      <c r="E130" s="256">
        <f>'MaterialCosts Summary'!E130</f>
        <v>0</v>
      </c>
      <c r="F130" s="257">
        <v>0</v>
      </c>
      <c r="G130" s="257">
        <v>0</v>
      </c>
      <c r="H130" s="257">
        <v>0</v>
      </c>
      <c r="I130" s="258">
        <f t="shared" si="39"/>
        <v>0</v>
      </c>
      <c r="J130" s="258"/>
      <c r="K130" s="259">
        <f t="shared" si="40"/>
        <v>0</v>
      </c>
      <c r="L130" s="258">
        <v>0</v>
      </c>
      <c r="M130" s="259">
        <f t="shared" si="26"/>
        <v>0</v>
      </c>
      <c r="N130" s="258">
        <v>0</v>
      </c>
      <c r="O130" s="259">
        <f t="shared" si="27"/>
        <v>0</v>
      </c>
      <c r="P130" s="258">
        <f t="shared" si="28"/>
        <v>0</v>
      </c>
      <c r="Q130" s="258"/>
      <c r="R130" s="259">
        <f t="shared" si="29"/>
        <v>0</v>
      </c>
      <c r="S130" s="258">
        <f t="shared" si="30"/>
        <v>0</v>
      </c>
      <c r="T130" s="258"/>
      <c r="U130" s="259">
        <f t="shared" si="31"/>
        <v>0</v>
      </c>
      <c r="V130" s="258">
        <f t="shared" si="32"/>
        <v>0</v>
      </c>
      <c r="W130" s="258"/>
      <c r="X130" s="259">
        <f t="shared" si="33"/>
        <v>0</v>
      </c>
      <c r="Y130" s="258">
        <v>0</v>
      </c>
      <c r="Z130" s="259">
        <f t="shared" si="34"/>
        <v>0</v>
      </c>
      <c r="AA130" s="258">
        <v>0</v>
      </c>
      <c r="AB130" s="24">
        <v>1</v>
      </c>
      <c r="AC130" s="260">
        <f t="shared" si="41"/>
        <v>0</v>
      </c>
      <c r="AD130" s="298">
        <f t="shared" si="42"/>
        <v>0</v>
      </c>
      <c r="AE130" s="261">
        <f t="shared" si="43"/>
        <v>0</v>
      </c>
      <c r="AF130" s="262">
        <f t="shared" si="43"/>
        <v>0</v>
      </c>
      <c r="AG130" s="254"/>
      <c r="AI130" s="153">
        <f t="shared" si="44"/>
        <v>0</v>
      </c>
      <c r="AJ130" s="156">
        <f t="shared" si="45"/>
        <v>0</v>
      </c>
      <c r="AK130" s="147">
        <f t="shared" si="48"/>
        <v>0</v>
      </c>
      <c r="AM130" s="160">
        <f t="shared" si="49"/>
        <v>0</v>
      </c>
      <c r="AN130" s="150">
        <f t="shared" si="46"/>
        <v>0</v>
      </c>
      <c r="AP130" s="21">
        <f t="shared" si="50"/>
        <v>1</v>
      </c>
      <c r="AQ130" s="169">
        <f t="shared" si="47"/>
        <v>0</v>
      </c>
      <c r="AR130" s="263">
        <f t="shared" si="51"/>
        <v>0</v>
      </c>
    </row>
    <row r="131" spans="2:45" hidden="1">
      <c r="B131" s="21">
        <f>'MaterialCosts Summary'!B131</f>
        <v>123</v>
      </c>
      <c r="C131" s="26"/>
      <c r="D131" s="23">
        <f>'MaterialCosts Summary'!D131</f>
        <v>0</v>
      </c>
      <c r="E131" s="256">
        <f>'MaterialCosts Summary'!E131</f>
        <v>0</v>
      </c>
      <c r="F131" s="257">
        <v>0</v>
      </c>
      <c r="G131" s="257">
        <v>0</v>
      </c>
      <c r="H131" s="257">
        <v>0</v>
      </c>
      <c r="I131" s="258">
        <f t="shared" si="39"/>
        <v>0</v>
      </c>
      <c r="J131" s="258"/>
      <c r="K131" s="259">
        <f t="shared" si="40"/>
        <v>0</v>
      </c>
      <c r="L131" s="258">
        <v>0</v>
      </c>
      <c r="M131" s="259">
        <f t="shared" si="26"/>
        <v>0</v>
      </c>
      <c r="N131" s="258">
        <v>0</v>
      </c>
      <c r="O131" s="259">
        <f t="shared" si="27"/>
        <v>0</v>
      </c>
      <c r="P131" s="258">
        <f t="shared" si="28"/>
        <v>0</v>
      </c>
      <c r="Q131" s="258"/>
      <c r="R131" s="259">
        <f t="shared" si="29"/>
        <v>0</v>
      </c>
      <c r="S131" s="258">
        <f t="shared" si="30"/>
        <v>0</v>
      </c>
      <c r="T131" s="258"/>
      <c r="U131" s="259">
        <f t="shared" si="31"/>
        <v>0</v>
      </c>
      <c r="V131" s="258">
        <f t="shared" si="32"/>
        <v>0</v>
      </c>
      <c r="W131" s="258"/>
      <c r="X131" s="259">
        <f t="shared" si="33"/>
        <v>0</v>
      </c>
      <c r="Y131" s="258">
        <v>0</v>
      </c>
      <c r="Z131" s="259">
        <f t="shared" si="34"/>
        <v>0</v>
      </c>
      <c r="AA131" s="258">
        <v>0</v>
      </c>
      <c r="AB131" s="24">
        <v>1</v>
      </c>
      <c r="AC131" s="260">
        <f t="shared" si="41"/>
        <v>0</v>
      </c>
      <c r="AD131" s="299">
        <f t="shared" si="42"/>
        <v>0</v>
      </c>
      <c r="AE131" s="261">
        <f t="shared" si="43"/>
        <v>0</v>
      </c>
      <c r="AF131" s="262">
        <f t="shared" si="43"/>
        <v>0</v>
      </c>
      <c r="AG131" s="254"/>
      <c r="AI131" s="153">
        <f t="shared" si="44"/>
        <v>0</v>
      </c>
      <c r="AJ131" s="156">
        <f t="shared" si="45"/>
        <v>0</v>
      </c>
      <c r="AK131" s="147">
        <f t="shared" si="48"/>
        <v>0</v>
      </c>
      <c r="AM131" s="160">
        <f t="shared" si="49"/>
        <v>0</v>
      </c>
      <c r="AN131" s="150">
        <f t="shared" si="46"/>
        <v>0</v>
      </c>
      <c r="AP131" s="21">
        <f t="shared" si="50"/>
        <v>1</v>
      </c>
      <c r="AQ131" s="169">
        <f t="shared" si="47"/>
        <v>0</v>
      </c>
      <c r="AR131" s="263">
        <f t="shared" si="51"/>
        <v>0</v>
      </c>
    </row>
    <row r="132" spans="2:45" hidden="1">
      <c r="B132" s="21">
        <f>'MaterialCosts Summary'!B132</f>
        <v>124</v>
      </c>
      <c r="C132" s="26"/>
      <c r="D132" s="23">
        <f>'MaterialCosts Summary'!D132</f>
        <v>0</v>
      </c>
      <c r="E132" s="256">
        <f>'MaterialCosts Summary'!E132</f>
        <v>0</v>
      </c>
      <c r="F132" s="257">
        <v>0</v>
      </c>
      <c r="G132" s="257">
        <v>0</v>
      </c>
      <c r="H132" s="257">
        <v>0</v>
      </c>
      <c r="I132" s="258">
        <f t="shared" si="39"/>
        <v>0</v>
      </c>
      <c r="J132" s="258"/>
      <c r="K132" s="259">
        <f t="shared" si="40"/>
        <v>0</v>
      </c>
      <c r="L132" s="258">
        <v>0</v>
      </c>
      <c r="M132" s="259">
        <f t="shared" si="26"/>
        <v>0</v>
      </c>
      <c r="N132" s="258">
        <v>0</v>
      </c>
      <c r="O132" s="259">
        <f t="shared" si="27"/>
        <v>0</v>
      </c>
      <c r="P132" s="258">
        <f t="shared" si="28"/>
        <v>0</v>
      </c>
      <c r="Q132" s="258"/>
      <c r="R132" s="259">
        <f t="shared" si="29"/>
        <v>0</v>
      </c>
      <c r="S132" s="258">
        <f t="shared" si="30"/>
        <v>0</v>
      </c>
      <c r="T132" s="258"/>
      <c r="U132" s="259">
        <f t="shared" si="31"/>
        <v>0</v>
      </c>
      <c r="V132" s="258">
        <f t="shared" si="32"/>
        <v>0</v>
      </c>
      <c r="W132" s="258"/>
      <c r="X132" s="259">
        <f t="shared" si="33"/>
        <v>0</v>
      </c>
      <c r="Y132" s="258">
        <v>0</v>
      </c>
      <c r="Z132" s="259">
        <f t="shared" si="34"/>
        <v>0</v>
      </c>
      <c r="AA132" s="258">
        <v>0</v>
      </c>
      <c r="AB132" s="24">
        <v>1</v>
      </c>
      <c r="AC132" s="260">
        <f t="shared" si="41"/>
        <v>0</v>
      </c>
      <c r="AD132" s="299">
        <f t="shared" si="42"/>
        <v>0</v>
      </c>
      <c r="AE132" s="261">
        <f t="shared" si="43"/>
        <v>0</v>
      </c>
      <c r="AF132" s="262">
        <f t="shared" si="43"/>
        <v>0</v>
      </c>
      <c r="AG132" s="254"/>
      <c r="AI132" s="153">
        <f t="shared" si="44"/>
        <v>0</v>
      </c>
      <c r="AJ132" s="156">
        <f t="shared" si="45"/>
        <v>0</v>
      </c>
      <c r="AK132" s="147">
        <f t="shared" si="48"/>
        <v>0</v>
      </c>
      <c r="AM132" s="160">
        <f t="shared" si="49"/>
        <v>0</v>
      </c>
      <c r="AN132" s="150">
        <f t="shared" si="46"/>
        <v>0</v>
      </c>
      <c r="AP132" s="21">
        <f t="shared" si="50"/>
        <v>1</v>
      </c>
      <c r="AQ132" s="169">
        <f t="shared" si="47"/>
        <v>0</v>
      </c>
      <c r="AR132" s="263">
        <f t="shared" si="51"/>
        <v>0</v>
      </c>
    </row>
    <row r="133" spans="2:45" hidden="1">
      <c r="B133" s="21">
        <f>'MaterialCosts Summary'!B133</f>
        <v>125</v>
      </c>
      <c r="C133" s="26"/>
      <c r="D133" s="23">
        <f>'MaterialCosts Summary'!D133</f>
        <v>0</v>
      </c>
      <c r="E133" s="256">
        <f>'MaterialCosts Summary'!E133</f>
        <v>0</v>
      </c>
      <c r="F133" s="257">
        <v>0</v>
      </c>
      <c r="G133" s="257">
        <v>0</v>
      </c>
      <c r="H133" s="257">
        <v>0</v>
      </c>
      <c r="I133" s="258">
        <f t="shared" si="39"/>
        <v>0</v>
      </c>
      <c r="J133" s="258"/>
      <c r="K133" s="259">
        <f t="shared" si="40"/>
        <v>0</v>
      </c>
      <c r="L133" s="258">
        <v>0</v>
      </c>
      <c r="M133" s="259">
        <f t="shared" si="26"/>
        <v>0</v>
      </c>
      <c r="N133" s="258">
        <v>0</v>
      </c>
      <c r="O133" s="259">
        <f t="shared" si="27"/>
        <v>0</v>
      </c>
      <c r="P133" s="258">
        <f t="shared" si="28"/>
        <v>0</v>
      </c>
      <c r="Q133" s="258"/>
      <c r="R133" s="259">
        <f t="shared" si="29"/>
        <v>0</v>
      </c>
      <c r="S133" s="258">
        <f t="shared" si="30"/>
        <v>0</v>
      </c>
      <c r="T133" s="258"/>
      <c r="U133" s="259">
        <f t="shared" si="31"/>
        <v>0</v>
      </c>
      <c r="V133" s="258">
        <f t="shared" si="32"/>
        <v>0</v>
      </c>
      <c r="W133" s="258"/>
      <c r="X133" s="259">
        <f t="shared" si="33"/>
        <v>0</v>
      </c>
      <c r="Y133" s="258">
        <v>0</v>
      </c>
      <c r="Z133" s="259">
        <f t="shared" si="34"/>
        <v>0</v>
      </c>
      <c r="AA133" s="258">
        <v>0</v>
      </c>
      <c r="AB133" s="24">
        <v>1</v>
      </c>
      <c r="AC133" s="260">
        <f t="shared" si="41"/>
        <v>0</v>
      </c>
      <c r="AD133" s="297">
        <f t="shared" si="42"/>
        <v>0</v>
      </c>
      <c r="AE133" s="261">
        <f t="shared" si="43"/>
        <v>0</v>
      </c>
      <c r="AF133" s="262">
        <f t="shared" si="43"/>
        <v>0</v>
      </c>
      <c r="AG133" s="254"/>
      <c r="AI133" s="153">
        <f t="shared" si="44"/>
        <v>0</v>
      </c>
      <c r="AJ133" s="156">
        <f t="shared" si="45"/>
        <v>0</v>
      </c>
      <c r="AK133" s="147">
        <f t="shared" si="48"/>
        <v>0</v>
      </c>
      <c r="AM133" s="160">
        <f t="shared" si="49"/>
        <v>0</v>
      </c>
      <c r="AN133" s="150">
        <f t="shared" si="46"/>
        <v>0</v>
      </c>
      <c r="AP133" s="21">
        <f t="shared" si="50"/>
        <v>1</v>
      </c>
      <c r="AQ133" s="169">
        <f t="shared" si="47"/>
        <v>0</v>
      </c>
      <c r="AR133" s="263">
        <f t="shared" si="51"/>
        <v>0</v>
      </c>
    </row>
    <row r="134" spans="2:45" hidden="1">
      <c r="B134" s="21">
        <f>'MaterialCosts Summary'!B134</f>
        <v>126</v>
      </c>
      <c r="C134" s="26"/>
      <c r="D134" s="23">
        <f>'MaterialCosts Summary'!D134</f>
        <v>0</v>
      </c>
      <c r="E134" s="256">
        <f>'MaterialCosts Summary'!E134</f>
        <v>0</v>
      </c>
      <c r="F134" s="257">
        <v>0</v>
      </c>
      <c r="G134" s="257">
        <v>0</v>
      </c>
      <c r="H134" s="257">
        <v>0</v>
      </c>
      <c r="I134" s="258">
        <f t="shared" si="39"/>
        <v>0</v>
      </c>
      <c r="J134" s="258"/>
      <c r="K134" s="259">
        <f t="shared" si="40"/>
        <v>0</v>
      </c>
      <c r="L134" s="258">
        <v>0</v>
      </c>
      <c r="M134" s="259">
        <f t="shared" si="26"/>
        <v>0</v>
      </c>
      <c r="N134" s="258">
        <v>0</v>
      </c>
      <c r="O134" s="259">
        <f t="shared" si="27"/>
        <v>0</v>
      </c>
      <c r="P134" s="258">
        <f t="shared" si="28"/>
        <v>0</v>
      </c>
      <c r="Q134" s="258"/>
      <c r="R134" s="259">
        <f t="shared" si="29"/>
        <v>0</v>
      </c>
      <c r="S134" s="258">
        <f t="shared" si="30"/>
        <v>0</v>
      </c>
      <c r="T134" s="258"/>
      <c r="U134" s="259">
        <f t="shared" si="31"/>
        <v>0</v>
      </c>
      <c r="V134" s="258">
        <f t="shared" si="32"/>
        <v>0</v>
      </c>
      <c r="W134" s="258"/>
      <c r="X134" s="259">
        <f t="shared" si="33"/>
        <v>0</v>
      </c>
      <c r="Y134" s="258">
        <v>0</v>
      </c>
      <c r="Z134" s="259">
        <f t="shared" si="34"/>
        <v>0</v>
      </c>
      <c r="AA134" s="258">
        <v>0</v>
      </c>
      <c r="AB134" s="24">
        <v>1</v>
      </c>
      <c r="AC134" s="260">
        <f t="shared" si="41"/>
        <v>0</v>
      </c>
      <c r="AD134" s="298">
        <f t="shared" si="42"/>
        <v>0</v>
      </c>
      <c r="AE134" s="261">
        <f t="shared" si="43"/>
        <v>0</v>
      </c>
      <c r="AF134" s="262">
        <f t="shared" si="43"/>
        <v>0</v>
      </c>
      <c r="AG134" s="254"/>
      <c r="AI134" s="153">
        <f t="shared" si="44"/>
        <v>0</v>
      </c>
      <c r="AJ134" s="156">
        <f t="shared" si="45"/>
        <v>0</v>
      </c>
      <c r="AK134" s="147">
        <f t="shared" si="48"/>
        <v>0</v>
      </c>
      <c r="AM134" s="160">
        <f t="shared" si="49"/>
        <v>0</v>
      </c>
      <c r="AN134" s="150">
        <f t="shared" si="46"/>
        <v>0</v>
      </c>
      <c r="AP134" s="21">
        <f t="shared" si="50"/>
        <v>1</v>
      </c>
      <c r="AQ134" s="169">
        <f t="shared" si="47"/>
        <v>0</v>
      </c>
      <c r="AR134" s="263">
        <f t="shared" si="51"/>
        <v>0</v>
      </c>
    </row>
    <row r="135" spans="2:45" hidden="1">
      <c r="B135" s="21">
        <f>'MaterialCosts Summary'!B135</f>
        <v>127</v>
      </c>
      <c r="C135" s="26"/>
      <c r="D135" s="23">
        <f>'MaterialCosts Summary'!D135</f>
        <v>0</v>
      </c>
      <c r="E135" s="256">
        <f>'MaterialCosts Summary'!E135</f>
        <v>0</v>
      </c>
      <c r="F135" s="257">
        <v>0</v>
      </c>
      <c r="G135" s="257">
        <v>0</v>
      </c>
      <c r="H135" s="257">
        <v>0</v>
      </c>
      <c r="I135" s="258">
        <f t="shared" si="39"/>
        <v>0</v>
      </c>
      <c r="J135" s="258"/>
      <c r="K135" s="259">
        <f t="shared" si="40"/>
        <v>0</v>
      </c>
      <c r="L135" s="258">
        <v>0</v>
      </c>
      <c r="M135" s="259">
        <f t="shared" si="26"/>
        <v>0</v>
      </c>
      <c r="N135" s="258">
        <v>0</v>
      </c>
      <c r="O135" s="259">
        <f t="shared" si="27"/>
        <v>0</v>
      </c>
      <c r="P135" s="258">
        <f t="shared" si="28"/>
        <v>0</v>
      </c>
      <c r="Q135" s="258"/>
      <c r="R135" s="259">
        <f t="shared" si="29"/>
        <v>0</v>
      </c>
      <c r="S135" s="258">
        <f t="shared" si="30"/>
        <v>0</v>
      </c>
      <c r="T135" s="258"/>
      <c r="U135" s="259">
        <f t="shared" si="31"/>
        <v>0</v>
      </c>
      <c r="V135" s="258">
        <f t="shared" si="32"/>
        <v>0</v>
      </c>
      <c r="W135" s="258"/>
      <c r="X135" s="259">
        <f t="shared" si="33"/>
        <v>0</v>
      </c>
      <c r="Y135" s="258">
        <v>0</v>
      </c>
      <c r="Z135" s="259">
        <f t="shared" si="34"/>
        <v>0</v>
      </c>
      <c r="AA135" s="258">
        <v>0</v>
      </c>
      <c r="AB135" s="24">
        <v>1</v>
      </c>
      <c r="AC135" s="260">
        <f t="shared" si="41"/>
        <v>0</v>
      </c>
      <c r="AD135" s="299">
        <f t="shared" si="42"/>
        <v>0</v>
      </c>
      <c r="AE135" s="261">
        <f t="shared" si="43"/>
        <v>0</v>
      </c>
      <c r="AF135" s="262">
        <f t="shared" si="43"/>
        <v>0</v>
      </c>
      <c r="AG135" s="254"/>
      <c r="AI135" s="153">
        <f t="shared" si="44"/>
        <v>0</v>
      </c>
      <c r="AJ135" s="156">
        <f t="shared" si="45"/>
        <v>0</v>
      </c>
      <c r="AK135" s="147">
        <f t="shared" si="48"/>
        <v>0</v>
      </c>
      <c r="AM135" s="160">
        <f t="shared" si="49"/>
        <v>0</v>
      </c>
      <c r="AN135" s="150">
        <f t="shared" si="46"/>
        <v>0</v>
      </c>
      <c r="AP135" s="21">
        <f t="shared" si="50"/>
        <v>1</v>
      </c>
      <c r="AQ135" s="169">
        <f t="shared" si="47"/>
        <v>0</v>
      </c>
      <c r="AR135" s="263">
        <f t="shared" si="51"/>
        <v>0</v>
      </c>
    </row>
    <row r="136" spans="2:45" hidden="1">
      <c r="B136" s="21">
        <f>'MaterialCosts Summary'!B136</f>
        <v>128</v>
      </c>
      <c r="C136" s="26"/>
      <c r="D136" s="23">
        <f>'MaterialCosts Summary'!D136</f>
        <v>0</v>
      </c>
      <c r="E136" s="256">
        <f>'MaterialCosts Summary'!E136</f>
        <v>0</v>
      </c>
      <c r="F136" s="257">
        <v>0</v>
      </c>
      <c r="G136" s="257">
        <v>0</v>
      </c>
      <c r="H136" s="257">
        <v>0</v>
      </c>
      <c r="I136" s="258">
        <f t="shared" si="39"/>
        <v>0</v>
      </c>
      <c r="J136" s="258"/>
      <c r="K136" s="259">
        <f t="shared" si="40"/>
        <v>0</v>
      </c>
      <c r="L136" s="258">
        <v>0</v>
      </c>
      <c r="M136" s="259">
        <f t="shared" si="26"/>
        <v>0</v>
      </c>
      <c r="N136" s="258">
        <v>0</v>
      </c>
      <c r="O136" s="259">
        <f t="shared" si="27"/>
        <v>0</v>
      </c>
      <c r="P136" s="258">
        <f t="shared" si="28"/>
        <v>0</v>
      </c>
      <c r="Q136" s="258"/>
      <c r="R136" s="259">
        <f t="shared" si="29"/>
        <v>0</v>
      </c>
      <c r="S136" s="258">
        <f t="shared" si="30"/>
        <v>0</v>
      </c>
      <c r="T136" s="258"/>
      <c r="U136" s="259">
        <f t="shared" si="31"/>
        <v>0</v>
      </c>
      <c r="V136" s="258">
        <f t="shared" si="32"/>
        <v>0</v>
      </c>
      <c r="W136" s="258"/>
      <c r="X136" s="259">
        <f t="shared" si="33"/>
        <v>0</v>
      </c>
      <c r="Y136" s="258">
        <v>0</v>
      </c>
      <c r="Z136" s="259">
        <f t="shared" si="34"/>
        <v>0</v>
      </c>
      <c r="AA136" s="258">
        <v>0</v>
      </c>
      <c r="AB136" s="24">
        <v>1</v>
      </c>
      <c r="AC136" s="260">
        <f t="shared" si="41"/>
        <v>0</v>
      </c>
      <c r="AD136" s="299">
        <f t="shared" si="42"/>
        <v>0</v>
      </c>
      <c r="AE136" s="261">
        <f t="shared" si="43"/>
        <v>0</v>
      </c>
      <c r="AF136" s="262">
        <f t="shared" si="43"/>
        <v>0</v>
      </c>
      <c r="AG136" s="254"/>
      <c r="AI136" s="153">
        <f t="shared" si="44"/>
        <v>0</v>
      </c>
      <c r="AJ136" s="156">
        <f t="shared" si="45"/>
        <v>0</v>
      </c>
      <c r="AK136" s="147">
        <f t="shared" si="48"/>
        <v>0</v>
      </c>
      <c r="AM136" s="160">
        <f t="shared" si="49"/>
        <v>0</v>
      </c>
      <c r="AN136" s="150">
        <f t="shared" si="46"/>
        <v>0</v>
      </c>
      <c r="AP136" s="21">
        <f t="shared" si="50"/>
        <v>1</v>
      </c>
      <c r="AQ136" s="169">
        <f t="shared" si="47"/>
        <v>0</v>
      </c>
      <c r="AR136" s="263">
        <f t="shared" si="51"/>
        <v>0</v>
      </c>
    </row>
    <row r="137" spans="2:45" hidden="1">
      <c r="B137" s="21">
        <f>'MaterialCosts Summary'!B137</f>
        <v>129</v>
      </c>
      <c r="C137" s="26"/>
      <c r="D137" s="23">
        <f>'MaterialCosts Summary'!D137</f>
        <v>0</v>
      </c>
      <c r="E137" s="256">
        <f>'MaterialCosts Summary'!E137</f>
        <v>0</v>
      </c>
      <c r="F137" s="257">
        <v>0</v>
      </c>
      <c r="G137" s="257">
        <v>0</v>
      </c>
      <c r="H137" s="257">
        <v>0</v>
      </c>
      <c r="I137" s="258">
        <f t="shared" si="39"/>
        <v>0</v>
      </c>
      <c r="J137" s="258"/>
      <c r="K137" s="259">
        <f t="shared" si="40"/>
        <v>0</v>
      </c>
      <c r="L137" s="258">
        <v>0</v>
      </c>
      <c r="M137" s="259">
        <f t="shared" ref="M137:M141" si="52">L137*$M$6</f>
        <v>0</v>
      </c>
      <c r="N137" s="258">
        <v>0</v>
      </c>
      <c r="O137" s="259">
        <f t="shared" ref="O137:O141" si="53">N137*$O$6</f>
        <v>0</v>
      </c>
      <c r="P137" s="258">
        <f t="shared" ref="P137:P141" si="54">(IF(H137&lt;&gt;0,MAX((G137*$G$8)+(H137*0.1*$H$6)+(H137*0.9*$H$7),24),(G137*$G$8)+(H137*0.1*$H$6)+(H137*0.9*$H$7)))*Q137</f>
        <v>0</v>
      </c>
      <c r="Q137" s="258"/>
      <c r="R137" s="259">
        <f t="shared" ref="R137:R141" si="55">P137*$R$6</f>
        <v>0</v>
      </c>
      <c r="S137" s="258">
        <f t="shared" ref="S137:S141" si="56">G137*$G$6*T137</f>
        <v>0</v>
      </c>
      <c r="T137" s="258"/>
      <c r="U137" s="259">
        <f t="shared" ref="U137:U141" si="57">S137*$U$6</f>
        <v>0</v>
      </c>
      <c r="V137" s="258">
        <f t="shared" ref="V137:V141" si="58">(((G137+H137)*$G$7)+(F137*$F$7))*W137</f>
        <v>0</v>
      </c>
      <c r="W137" s="258"/>
      <c r="X137" s="259">
        <f t="shared" ref="X137:X141" si="59">V137*$X$6</f>
        <v>0</v>
      </c>
      <c r="Y137" s="258">
        <v>0</v>
      </c>
      <c r="Z137" s="259">
        <f t="shared" ref="Z137:Z141" si="60">Y137*$X$6</f>
        <v>0</v>
      </c>
      <c r="AA137" s="258">
        <v>0</v>
      </c>
      <c r="AB137" s="24">
        <v>1</v>
      </c>
      <c r="AC137" s="260">
        <f t="shared" si="41"/>
        <v>0</v>
      </c>
      <c r="AD137" s="297">
        <f t="shared" si="42"/>
        <v>0</v>
      </c>
      <c r="AE137" s="261">
        <f t="shared" si="43"/>
        <v>0</v>
      </c>
      <c r="AF137" s="262">
        <f t="shared" si="43"/>
        <v>0</v>
      </c>
      <c r="AG137" s="254"/>
      <c r="AI137" s="153">
        <f t="shared" si="44"/>
        <v>0</v>
      </c>
      <c r="AJ137" s="156">
        <f t="shared" si="45"/>
        <v>0</v>
      </c>
      <c r="AK137" s="147">
        <f t="shared" si="48"/>
        <v>0</v>
      </c>
      <c r="AM137" s="160">
        <f t="shared" si="49"/>
        <v>0</v>
      </c>
      <c r="AN137" s="150">
        <f t="shared" si="46"/>
        <v>0</v>
      </c>
      <c r="AP137" s="21">
        <f t="shared" si="50"/>
        <v>1</v>
      </c>
      <c r="AQ137" s="169">
        <f t="shared" si="47"/>
        <v>0</v>
      </c>
      <c r="AR137" s="263">
        <f t="shared" si="51"/>
        <v>0</v>
      </c>
      <c r="AS137" s="254"/>
    </row>
    <row r="138" spans="2:45" hidden="1">
      <c r="B138" s="21">
        <f>'MaterialCosts Summary'!B138</f>
        <v>130</v>
      </c>
      <c r="C138" s="26"/>
      <c r="D138" s="23">
        <f>'MaterialCosts Summary'!D138</f>
        <v>0</v>
      </c>
      <c r="E138" s="256">
        <f>'MaterialCosts Summary'!E138</f>
        <v>0</v>
      </c>
      <c r="F138" s="257">
        <v>0</v>
      </c>
      <c r="G138" s="257">
        <v>0</v>
      </c>
      <c r="H138" s="257">
        <v>0</v>
      </c>
      <c r="I138" s="258">
        <f t="shared" ref="I138:I141" si="61">(MAX((F138*$F$6)+(G138*$G$6),$J$3)*J138)</f>
        <v>0</v>
      </c>
      <c r="J138" s="258"/>
      <c r="K138" s="259">
        <f t="shared" ref="K138:K141" si="62">IF(AND(I138*$K$6&lt;150, I138&lt;&gt;0), (I138*$K$6)+0, I138*$K$6)</f>
        <v>0</v>
      </c>
      <c r="L138" s="258">
        <v>0</v>
      </c>
      <c r="M138" s="259">
        <f t="shared" si="52"/>
        <v>0</v>
      </c>
      <c r="N138" s="258">
        <v>0</v>
      </c>
      <c r="O138" s="259">
        <f t="shared" si="53"/>
        <v>0</v>
      </c>
      <c r="P138" s="258">
        <f t="shared" si="54"/>
        <v>0</v>
      </c>
      <c r="Q138" s="258"/>
      <c r="R138" s="259">
        <f t="shared" si="55"/>
        <v>0</v>
      </c>
      <c r="S138" s="258">
        <f t="shared" si="56"/>
        <v>0</v>
      </c>
      <c r="T138" s="258"/>
      <c r="U138" s="259">
        <f t="shared" si="57"/>
        <v>0</v>
      </c>
      <c r="V138" s="258">
        <f t="shared" si="58"/>
        <v>0</v>
      </c>
      <c r="W138" s="258"/>
      <c r="X138" s="259">
        <f t="shared" si="59"/>
        <v>0</v>
      </c>
      <c r="Y138" s="258">
        <v>0</v>
      </c>
      <c r="Z138" s="259">
        <f t="shared" si="60"/>
        <v>0</v>
      </c>
      <c r="AA138" s="258">
        <v>0</v>
      </c>
      <c r="AB138" s="24">
        <v>1</v>
      </c>
      <c r="AC138" s="260">
        <f t="shared" ref="AC138:AC141" si="63">AD138/AB138</f>
        <v>0</v>
      </c>
      <c r="AD138" s="298">
        <f t="shared" ref="AD138:AD141" si="64">E138+K138+M138+O138+R138+U138+X138+Z138</f>
        <v>0</v>
      </c>
      <c r="AE138" s="261">
        <f t="shared" ref="AE138:AF141" si="65">AC138*$AG$5</f>
        <v>0</v>
      </c>
      <c r="AF138" s="262">
        <f t="shared" si="65"/>
        <v>0</v>
      </c>
      <c r="AG138" s="254"/>
      <c r="AI138" s="153">
        <f t="shared" ref="AI138:AI141" si="66">CEILING(0/2, 4)</f>
        <v>0</v>
      </c>
      <c r="AJ138" s="156">
        <f t="shared" ref="AJ138:AJ141" si="67">CEILING((I138+S138+Y138), 1)</f>
        <v>0</v>
      </c>
      <c r="AK138" s="147">
        <f t="shared" si="48"/>
        <v>0</v>
      </c>
      <c r="AM138" s="160">
        <f t="shared" si="49"/>
        <v>0</v>
      </c>
      <c r="AN138" s="150">
        <f t="shared" ref="AN138:AN141" si="68">AK138*$AN$3</f>
        <v>0</v>
      </c>
      <c r="AP138" s="21">
        <f t="shared" si="50"/>
        <v>1</v>
      </c>
      <c r="AQ138" s="169">
        <f t="shared" ref="AQ138:AQ141" si="69">AR138/AP138</f>
        <v>0</v>
      </c>
      <c r="AR138" s="263">
        <f t="shared" si="51"/>
        <v>0</v>
      </c>
    </row>
    <row r="139" spans="2:45" hidden="1">
      <c r="B139" s="21">
        <f>'MaterialCosts Summary'!B139</f>
        <v>131</v>
      </c>
      <c r="C139" s="26"/>
      <c r="D139" s="23">
        <f>'MaterialCosts Summary'!D139</f>
        <v>0</v>
      </c>
      <c r="E139" s="256">
        <f>'MaterialCosts Summary'!E139</f>
        <v>0</v>
      </c>
      <c r="F139" s="257">
        <v>0</v>
      </c>
      <c r="G139" s="257">
        <v>0</v>
      </c>
      <c r="H139" s="257">
        <v>0</v>
      </c>
      <c r="I139" s="258">
        <f t="shared" si="61"/>
        <v>0</v>
      </c>
      <c r="J139" s="258"/>
      <c r="K139" s="259">
        <f t="shared" si="62"/>
        <v>0</v>
      </c>
      <c r="L139" s="258">
        <v>0</v>
      </c>
      <c r="M139" s="259">
        <f t="shared" si="52"/>
        <v>0</v>
      </c>
      <c r="N139" s="258">
        <v>0</v>
      </c>
      <c r="O139" s="259">
        <f t="shared" si="53"/>
        <v>0</v>
      </c>
      <c r="P139" s="258">
        <f t="shared" si="54"/>
        <v>0</v>
      </c>
      <c r="Q139" s="258"/>
      <c r="R139" s="259">
        <f t="shared" si="55"/>
        <v>0</v>
      </c>
      <c r="S139" s="258">
        <f t="shared" si="56"/>
        <v>0</v>
      </c>
      <c r="T139" s="258"/>
      <c r="U139" s="259">
        <f t="shared" si="57"/>
        <v>0</v>
      </c>
      <c r="V139" s="258">
        <f t="shared" si="58"/>
        <v>0</v>
      </c>
      <c r="W139" s="258"/>
      <c r="X139" s="259">
        <f t="shared" si="59"/>
        <v>0</v>
      </c>
      <c r="Y139" s="258">
        <v>0</v>
      </c>
      <c r="Z139" s="259">
        <f t="shared" si="60"/>
        <v>0</v>
      </c>
      <c r="AA139" s="258">
        <v>0</v>
      </c>
      <c r="AB139" s="24">
        <v>1</v>
      </c>
      <c r="AC139" s="260">
        <f t="shared" si="63"/>
        <v>0</v>
      </c>
      <c r="AD139" s="299">
        <f t="shared" si="64"/>
        <v>0</v>
      </c>
      <c r="AE139" s="261">
        <f t="shared" si="65"/>
        <v>0</v>
      </c>
      <c r="AF139" s="262">
        <f t="shared" si="65"/>
        <v>0</v>
      </c>
      <c r="AG139" s="254"/>
      <c r="AI139" s="153">
        <f t="shared" si="66"/>
        <v>0</v>
      </c>
      <c r="AJ139" s="156">
        <f t="shared" si="67"/>
        <v>0</v>
      </c>
      <c r="AK139" s="147">
        <f t="shared" si="48"/>
        <v>0</v>
      </c>
      <c r="AM139" s="160">
        <f t="shared" si="49"/>
        <v>0</v>
      </c>
      <c r="AN139" s="150">
        <f t="shared" si="68"/>
        <v>0</v>
      </c>
      <c r="AP139" s="21">
        <f t="shared" si="50"/>
        <v>1</v>
      </c>
      <c r="AQ139" s="169">
        <f t="shared" si="69"/>
        <v>0</v>
      </c>
      <c r="AR139" s="263">
        <f t="shared" si="51"/>
        <v>0</v>
      </c>
    </row>
    <row r="140" spans="2:45" hidden="1">
      <c r="B140" s="21">
        <f>'MaterialCosts Summary'!B140</f>
        <v>132</v>
      </c>
      <c r="C140" s="26"/>
      <c r="D140" s="23">
        <f>'MaterialCosts Summary'!D140</f>
        <v>0</v>
      </c>
      <c r="E140" s="256">
        <f>'MaterialCosts Summary'!E140</f>
        <v>0</v>
      </c>
      <c r="F140" s="257">
        <v>0</v>
      </c>
      <c r="G140" s="257">
        <v>0</v>
      </c>
      <c r="H140" s="257">
        <v>0</v>
      </c>
      <c r="I140" s="258">
        <f t="shared" si="61"/>
        <v>0</v>
      </c>
      <c r="J140" s="258"/>
      <c r="K140" s="259">
        <f t="shared" si="62"/>
        <v>0</v>
      </c>
      <c r="L140" s="258">
        <v>0</v>
      </c>
      <c r="M140" s="259">
        <f t="shared" si="52"/>
        <v>0</v>
      </c>
      <c r="N140" s="258">
        <v>0</v>
      </c>
      <c r="O140" s="259">
        <f t="shared" si="53"/>
        <v>0</v>
      </c>
      <c r="P140" s="258">
        <f t="shared" si="54"/>
        <v>0</v>
      </c>
      <c r="Q140" s="258"/>
      <c r="R140" s="259">
        <f t="shared" si="55"/>
        <v>0</v>
      </c>
      <c r="S140" s="258">
        <f t="shared" si="56"/>
        <v>0</v>
      </c>
      <c r="T140" s="258"/>
      <c r="U140" s="259">
        <f t="shared" si="57"/>
        <v>0</v>
      </c>
      <c r="V140" s="258">
        <f t="shared" si="58"/>
        <v>0</v>
      </c>
      <c r="W140" s="258"/>
      <c r="X140" s="259">
        <f t="shared" si="59"/>
        <v>0</v>
      </c>
      <c r="Y140" s="258">
        <v>0</v>
      </c>
      <c r="Z140" s="259">
        <f t="shared" si="60"/>
        <v>0</v>
      </c>
      <c r="AA140" s="258">
        <v>0</v>
      </c>
      <c r="AB140" s="24">
        <v>1</v>
      </c>
      <c r="AC140" s="260">
        <f t="shared" si="63"/>
        <v>0</v>
      </c>
      <c r="AD140" s="299">
        <f t="shared" si="64"/>
        <v>0</v>
      </c>
      <c r="AE140" s="261">
        <f t="shared" si="65"/>
        <v>0</v>
      </c>
      <c r="AF140" s="262">
        <f t="shared" si="65"/>
        <v>0</v>
      </c>
      <c r="AG140" s="254"/>
      <c r="AI140" s="153">
        <f t="shared" si="66"/>
        <v>0</v>
      </c>
      <c r="AJ140" s="156">
        <f t="shared" si="67"/>
        <v>0</v>
      </c>
      <c r="AK140" s="147">
        <f t="shared" si="48"/>
        <v>0</v>
      </c>
      <c r="AM140" s="160">
        <f t="shared" si="49"/>
        <v>0</v>
      </c>
      <c r="AN140" s="150">
        <f t="shared" si="68"/>
        <v>0</v>
      </c>
      <c r="AP140" s="21">
        <f t="shared" si="50"/>
        <v>1</v>
      </c>
      <c r="AQ140" s="169">
        <f t="shared" si="69"/>
        <v>0</v>
      </c>
      <c r="AR140" s="263">
        <f t="shared" si="51"/>
        <v>0</v>
      </c>
    </row>
    <row r="141" spans="2:45" hidden="1">
      <c r="B141" s="21">
        <f>'MaterialCosts Summary'!B141</f>
        <v>133</v>
      </c>
      <c r="C141" s="26"/>
      <c r="D141" s="23">
        <f>'MaterialCosts Summary'!D141</f>
        <v>0</v>
      </c>
      <c r="E141" s="256">
        <f>'MaterialCosts Summary'!E141</f>
        <v>0</v>
      </c>
      <c r="F141" s="257">
        <v>0</v>
      </c>
      <c r="G141" s="257">
        <v>0</v>
      </c>
      <c r="H141" s="257">
        <v>0</v>
      </c>
      <c r="I141" s="258">
        <f t="shared" si="61"/>
        <v>0</v>
      </c>
      <c r="J141" s="258"/>
      <c r="K141" s="259">
        <f t="shared" si="62"/>
        <v>0</v>
      </c>
      <c r="L141" s="258">
        <v>0</v>
      </c>
      <c r="M141" s="259">
        <f t="shared" si="52"/>
        <v>0</v>
      </c>
      <c r="N141" s="258">
        <v>0</v>
      </c>
      <c r="O141" s="259">
        <f t="shared" si="53"/>
        <v>0</v>
      </c>
      <c r="P141" s="258">
        <f t="shared" si="54"/>
        <v>0</v>
      </c>
      <c r="Q141" s="258"/>
      <c r="R141" s="259">
        <f t="shared" si="55"/>
        <v>0</v>
      </c>
      <c r="S141" s="258">
        <f t="shared" si="56"/>
        <v>0</v>
      </c>
      <c r="T141" s="258"/>
      <c r="U141" s="259">
        <f t="shared" si="57"/>
        <v>0</v>
      </c>
      <c r="V141" s="258">
        <f t="shared" si="58"/>
        <v>0</v>
      </c>
      <c r="W141" s="258"/>
      <c r="X141" s="259">
        <f t="shared" si="59"/>
        <v>0</v>
      </c>
      <c r="Y141" s="258">
        <v>0</v>
      </c>
      <c r="Z141" s="259">
        <f t="shared" si="60"/>
        <v>0</v>
      </c>
      <c r="AA141" s="258">
        <v>0</v>
      </c>
      <c r="AB141" s="24">
        <v>1</v>
      </c>
      <c r="AC141" s="260">
        <f t="shared" si="63"/>
        <v>0</v>
      </c>
      <c r="AD141" s="297">
        <f t="shared" si="64"/>
        <v>0</v>
      </c>
      <c r="AE141" s="261">
        <f t="shared" si="65"/>
        <v>0</v>
      </c>
      <c r="AF141" s="262">
        <f t="shared" si="65"/>
        <v>0</v>
      </c>
      <c r="AG141" s="254"/>
      <c r="AI141" s="153">
        <f t="shared" si="66"/>
        <v>0</v>
      </c>
      <c r="AJ141" s="156">
        <f t="shared" si="67"/>
        <v>0</v>
      </c>
      <c r="AK141" s="147">
        <f t="shared" si="48"/>
        <v>0</v>
      </c>
      <c r="AM141" s="160">
        <f t="shared" si="49"/>
        <v>0</v>
      </c>
      <c r="AN141" s="150">
        <f t="shared" si="68"/>
        <v>0</v>
      </c>
      <c r="AP141" s="21">
        <f t="shared" si="50"/>
        <v>1</v>
      </c>
      <c r="AQ141" s="169">
        <f t="shared" si="69"/>
        <v>0</v>
      </c>
      <c r="AR141" s="263">
        <f t="shared" si="51"/>
        <v>0</v>
      </c>
    </row>
    <row r="142" spans="2:45" ht="15" thickBot="1">
      <c r="B142" s="27"/>
      <c r="C142" s="28"/>
      <c r="D142" s="29" t="str">
        <f>'MaterialCosts Summary'!D142</f>
        <v>---</v>
      </c>
      <c r="E142" s="266"/>
      <c r="F142" s="267"/>
      <c r="G142" s="267"/>
      <c r="H142" s="267"/>
      <c r="I142" s="268"/>
      <c r="J142" s="268"/>
      <c r="K142" s="269"/>
      <c r="L142" s="268"/>
      <c r="M142" s="269"/>
      <c r="N142" s="268"/>
      <c r="O142" s="269"/>
      <c r="P142" s="268"/>
      <c r="Q142" s="268"/>
      <c r="R142" s="269"/>
      <c r="S142" s="268"/>
      <c r="T142" s="268"/>
      <c r="U142" s="269"/>
      <c r="V142" s="268"/>
      <c r="W142" s="268"/>
      <c r="X142" s="269"/>
      <c r="Y142" s="268"/>
      <c r="Z142" s="269"/>
      <c r="AA142" s="270"/>
      <c r="AB142" s="271"/>
      <c r="AC142" s="271"/>
      <c r="AD142" s="272"/>
      <c r="AE142" s="273"/>
      <c r="AF142" s="274"/>
      <c r="AG142" s="254"/>
      <c r="AI142" s="154"/>
      <c r="AJ142" s="157"/>
      <c r="AK142" s="148"/>
      <c r="AM142" s="161"/>
      <c r="AN142" s="151"/>
      <c r="AP142" s="273"/>
      <c r="AQ142" s="275"/>
      <c r="AR142" s="276"/>
    </row>
    <row r="143" spans="2:45" ht="15" thickBot="1"/>
    <row r="144" spans="2:45" ht="15" thickBot="1">
      <c r="D144" s="30" t="s">
        <v>60</v>
      </c>
      <c r="E144" s="277">
        <f>SUBTOTAL(9, E9:E142)</f>
        <v>882.45089999999982</v>
      </c>
      <c r="F144" s="277"/>
      <c r="G144" s="277"/>
      <c r="H144" s="277"/>
      <c r="I144" s="278">
        <f t="shared" ref="I144:AF144" si="70">SUBTOTAL(9, I9:I142)</f>
        <v>0</v>
      </c>
      <c r="J144" s="279"/>
      <c r="K144" s="277">
        <f t="shared" si="70"/>
        <v>0</v>
      </c>
      <c r="L144" s="278">
        <f t="shared" si="70"/>
        <v>0</v>
      </c>
      <c r="M144" s="277">
        <f t="shared" si="70"/>
        <v>0</v>
      </c>
      <c r="N144" s="278">
        <f t="shared" si="70"/>
        <v>0</v>
      </c>
      <c r="O144" s="277">
        <f t="shared" si="70"/>
        <v>0</v>
      </c>
      <c r="P144" s="278">
        <f t="shared" si="70"/>
        <v>0</v>
      </c>
      <c r="Q144" s="279"/>
      <c r="R144" s="277">
        <f t="shared" si="70"/>
        <v>0</v>
      </c>
      <c r="S144" s="278">
        <f t="shared" si="70"/>
        <v>0</v>
      </c>
      <c r="T144" s="279"/>
      <c r="U144" s="277">
        <f t="shared" si="70"/>
        <v>0</v>
      </c>
      <c r="V144" s="278">
        <f t="shared" si="70"/>
        <v>0</v>
      </c>
      <c r="W144" s="279"/>
      <c r="X144" s="277">
        <f t="shared" si="70"/>
        <v>0</v>
      </c>
      <c r="Y144" s="278">
        <f t="shared" si="70"/>
        <v>0</v>
      </c>
      <c r="Z144" s="277">
        <f t="shared" si="70"/>
        <v>0</v>
      </c>
      <c r="AA144" s="278">
        <f t="shared" si="70"/>
        <v>0</v>
      </c>
      <c r="AB144" s="280"/>
      <c r="AC144" s="280"/>
      <c r="AD144" s="281">
        <f t="shared" si="70"/>
        <v>882.45089999999982</v>
      </c>
      <c r="AE144" s="282"/>
      <c r="AF144" s="283">
        <f t="shared" si="70"/>
        <v>1191.3087149999999</v>
      </c>
      <c r="AG144" s="284"/>
      <c r="AI144" s="31">
        <f>SUM(AI9:AI142)</f>
        <v>0</v>
      </c>
      <c r="AJ144" s="158">
        <f>SUM(AJ9:AJ142)</f>
        <v>4</v>
      </c>
      <c r="AK144" s="152">
        <f>SUM(AK9:AK142)</f>
        <v>0</v>
      </c>
      <c r="AM144" s="300">
        <f>SUM(AM9:AM142)</f>
        <v>173.28</v>
      </c>
      <c r="AN144" s="32">
        <f>SUM(AN9:AN142)</f>
        <v>0</v>
      </c>
      <c r="AP144" s="280"/>
      <c r="AQ144" s="285"/>
      <c r="AR144" s="286">
        <f>SUM(AR9:AR142)</f>
        <v>1364.5887149999999</v>
      </c>
    </row>
    <row r="145" spans="1:39">
      <c r="O145" s="2"/>
      <c r="R145" s="2"/>
    </row>
    <row r="146" spans="1:39">
      <c r="AM146" s="201">
        <f>AM144/AJ144</f>
        <v>43.32</v>
      </c>
    </row>
    <row r="147" spans="1:39" hidden="1"/>
    <row r="148" spans="1:39" hidden="1">
      <c r="D148" s="287" t="s">
        <v>40</v>
      </c>
      <c r="E148" s="288">
        <f>E144</f>
        <v>882.45089999999982</v>
      </c>
      <c r="F148" s="289"/>
      <c r="G148" s="289"/>
      <c r="H148" s="289"/>
    </row>
    <row r="149" spans="1:39" hidden="1">
      <c r="D149" s="290" t="s">
        <v>41</v>
      </c>
      <c r="E149" s="291">
        <f>ROUNDUP((I144+V144)/2, 0)</f>
        <v>0</v>
      </c>
      <c r="F149" s="292"/>
      <c r="G149" s="292"/>
      <c r="H149" s="292"/>
    </row>
    <row r="150" spans="1:39" hidden="1">
      <c r="D150" s="290" t="s">
        <v>42</v>
      </c>
      <c r="E150" s="291" t="e">
        <f>ROUNDUP((#REF!+S144)/2, 0)</f>
        <v>#REF!</v>
      </c>
      <c r="F150" s="292"/>
      <c r="G150" s="292"/>
      <c r="H150" s="292"/>
    </row>
    <row r="151" spans="1:39" hidden="1">
      <c r="D151" s="290" t="s">
        <v>43</v>
      </c>
      <c r="E151" s="291">
        <f>ROUNDUP((L144+N144+P144)/2, 0)</f>
        <v>0</v>
      </c>
      <c r="F151" s="292"/>
      <c r="G151" s="292"/>
      <c r="H151" s="292"/>
    </row>
    <row r="153" spans="1:39">
      <c r="B153" s="294" t="s">
        <v>65</v>
      </c>
    </row>
    <row r="154" spans="1:39">
      <c r="B154" s="294"/>
    </row>
    <row r="155" spans="1:39">
      <c r="B155" s="295" t="s">
        <v>66</v>
      </c>
      <c r="C155" s="33"/>
      <c r="D155" s="293" t="s">
        <v>333</v>
      </c>
    </row>
    <row r="156" spans="1:39">
      <c r="A156" s="33"/>
      <c r="B156" s="296" t="s">
        <v>67</v>
      </c>
      <c r="C156" s="33"/>
      <c r="D156" s="201" t="s">
        <v>338</v>
      </c>
    </row>
    <row r="157" spans="1:39">
      <c r="A157" s="33"/>
      <c r="B157" s="296" t="s">
        <v>68</v>
      </c>
      <c r="C157" s="33"/>
    </row>
    <row r="158" spans="1:39">
      <c r="A158" s="33"/>
      <c r="B158" s="296" t="s">
        <v>69</v>
      </c>
      <c r="C158" s="33"/>
    </row>
    <row r="159" spans="1:39">
      <c r="A159" s="33"/>
      <c r="B159" s="296"/>
      <c r="C159" s="33"/>
    </row>
    <row r="160" spans="1:39">
      <c r="B160" s="295" t="s">
        <v>70</v>
      </c>
      <c r="C160" s="33"/>
      <c r="D160" s="293" t="s">
        <v>332</v>
      </c>
    </row>
    <row r="161" spans="1:3">
      <c r="A161" s="33"/>
      <c r="B161" s="296" t="s">
        <v>67</v>
      </c>
      <c r="C161" s="33"/>
    </row>
    <row r="162" spans="1:3">
      <c r="A162" s="33"/>
      <c r="B162" s="296" t="s">
        <v>68</v>
      </c>
      <c r="C162" s="33"/>
    </row>
    <row r="163" spans="1:3">
      <c r="A163" s="33"/>
      <c r="B163" s="296" t="s">
        <v>69</v>
      </c>
    </row>
    <row r="164" spans="1:3">
      <c r="A164" s="33"/>
      <c r="B164" s="296" t="s">
        <v>71</v>
      </c>
    </row>
    <row r="165" spans="1:3">
      <c r="B165" s="296" t="s">
        <v>72</v>
      </c>
    </row>
    <row r="166" spans="1:3">
      <c r="A166" s="33"/>
    </row>
    <row r="167" spans="1:3">
      <c r="A167" s="33"/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>
    <filterColumn colId="0">
      <filters>
        <filter val="---"/>
        <filter val="15kW VSD, IP55"/>
      </filters>
    </filterColumn>
  </autoFilter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B10" sqref="B10"/>
    </sheetView>
  </sheetViews>
  <sheetFormatPr defaultColWidth="9.109375" defaultRowHeight="14.4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>
      <c r="B2" s="35"/>
      <c r="C2" s="36"/>
      <c r="D2" s="37" t="str">
        <f ca="1">MID(CELL("filename"),SEARCH("[",CELL("filename"))+1, SEARCH("]",CELL("filename"))-SEARCH("[",CELL("filename"))-1)</f>
        <v>Crane Currency - VSD for AHU-09 (SJ572 R0.1).xlsx</v>
      </c>
      <c r="E2" s="38">
        <f>E144</f>
        <v>882.45089999999982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 t="s">
        <v>339</v>
      </c>
      <c r="C9" s="18"/>
      <c r="D9" s="19" t="str">
        <f t="array" ref="D9:D10">TRANSPOSE('Bill of Materials'!G3:H3)</f>
        <v>15kW VSD, IP55</v>
      </c>
      <c r="E9" s="55">
        <f t="array" ref="E9:E10">TRANSPOSE('Bill of Materials'!S144:T144)</f>
        <v>882.45089999999982</v>
      </c>
      <c r="G9" s="56"/>
      <c r="H9" s="57" t="e">
        <f>#REF!*G9</f>
        <v>#REF!</v>
      </c>
    </row>
    <row r="10" spans="2:8" ht="12" customHeight="1">
      <c r="B10" s="21">
        <v>2</v>
      </c>
      <c r="C10" s="22"/>
      <c r="D10" s="23" t="str">
        <v>--</v>
      </c>
      <c r="E10" s="58">
        <v>0</v>
      </c>
      <c r="G10" s="59"/>
      <c r="H10" s="60"/>
    </row>
    <row r="11" spans="2:8" ht="12" customHeight="1">
      <c r="B11" s="21">
        <v>3</v>
      </c>
      <c r="C11" s="22"/>
      <c r="D11" s="23"/>
      <c r="E11" s="58"/>
      <c r="G11" s="59"/>
      <c r="H11" s="60"/>
    </row>
    <row r="12" spans="2:8" ht="12" customHeight="1">
      <c r="B12" s="21">
        <v>4</v>
      </c>
      <c r="C12" s="22"/>
      <c r="D12" s="23"/>
      <c r="E12" s="58"/>
      <c r="G12" s="59"/>
      <c r="H12" s="60"/>
    </row>
    <row r="13" spans="2:8">
      <c r="B13" s="21">
        <v>5</v>
      </c>
      <c r="C13" s="61"/>
      <c r="D13" s="23"/>
      <c r="E13" s="58"/>
      <c r="G13" s="59"/>
      <c r="H13" s="60"/>
    </row>
    <row r="14" spans="2:8">
      <c r="B14" s="21">
        <v>6</v>
      </c>
      <c r="C14" s="61"/>
      <c r="D14" s="23"/>
      <c r="E14" s="58"/>
      <c r="G14" s="59"/>
      <c r="H14" s="60"/>
    </row>
    <row r="15" spans="2:8">
      <c r="B15" s="21">
        <v>7</v>
      </c>
      <c r="C15" s="61"/>
      <c r="D15" s="23"/>
      <c r="E15" s="58"/>
      <c r="G15" s="59"/>
      <c r="H15" s="60"/>
    </row>
    <row r="16" spans="2:8">
      <c r="B16" s="21">
        <v>8</v>
      </c>
      <c r="C16" s="61"/>
      <c r="D16" s="23"/>
      <c r="E16" s="58"/>
      <c r="G16" s="59"/>
      <c r="H16" s="60"/>
    </row>
    <row r="17" spans="2:8">
      <c r="B17" s="21">
        <v>9</v>
      </c>
      <c r="C17" s="61"/>
      <c r="D17" s="23"/>
      <c r="E17" s="58"/>
      <c r="G17" s="59"/>
      <c r="H17" s="60"/>
    </row>
    <row r="18" spans="2:8">
      <c r="B18" s="21">
        <v>10</v>
      </c>
      <c r="C18" s="61"/>
      <c r="D18" s="23"/>
      <c r="E18" s="58"/>
      <c r="G18" s="59"/>
      <c r="H18" s="60"/>
    </row>
    <row r="19" spans="2:8">
      <c r="B19" s="21">
        <v>11</v>
      </c>
      <c r="C19" s="61"/>
      <c r="D19" s="23"/>
      <c r="E19" s="58"/>
      <c r="G19" s="59"/>
      <c r="H19" s="60"/>
    </row>
    <row r="20" spans="2:8">
      <c r="B20" s="21">
        <v>12</v>
      </c>
      <c r="C20" s="61"/>
      <c r="D20" s="23"/>
      <c r="E20" s="58"/>
      <c r="G20" s="59"/>
      <c r="H20" s="60"/>
    </row>
    <row r="21" spans="2:8" ht="12" customHeight="1">
      <c r="B21" s="21">
        <v>13</v>
      </c>
      <c r="C21" s="61"/>
      <c r="D21" s="23"/>
      <c r="E21" s="58"/>
      <c r="G21" s="59"/>
      <c r="H21" s="60"/>
    </row>
    <row r="22" spans="2:8">
      <c r="B22" s="21">
        <v>14</v>
      </c>
      <c r="C22" s="61"/>
      <c r="D22" s="23"/>
      <c r="E22" s="58"/>
      <c r="G22" s="59"/>
      <c r="H22" s="60"/>
    </row>
    <row r="23" spans="2:8">
      <c r="B23" s="21">
        <v>15</v>
      </c>
      <c r="C23" s="61"/>
      <c r="D23" s="23"/>
      <c r="E23" s="58"/>
      <c r="G23" s="59"/>
      <c r="H23" s="60"/>
    </row>
    <row r="24" spans="2:8">
      <c r="B24" s="21">
        <v>16</v>
      </c>
      <c r="C24" s="61"/>
      <c r="D24" s="23"/>
      <c r="E24" s="58"/>
      <c r="G24" s="59"/>
      <c r="H24" s="60"/>
    </row>
    <row r="25" spans="2:8">
      <c r="B25" s="21">
        <v>17</v>
      </c>
      <c r="C25" s="61"/>
      <c r="D25" s="23"/>
      <c r="E25" s="58"/>
      <c r="G25" s="59"/>
      <c r="H25" s="60"/>
    </row>
    <row r="26" spans="2:8">
      <c r="B26" s="21">
        <v>18</v>
      </c>
      <c r="C26" s="61"/>
      <c r="D26" s="23"/>
      <c r="E26" s="58"/>
      <c r="G26" s="59"/>
      <c r="H26" s="60"/>
    </row>
    <row r="27" spans="2:8">
      <c r="B27" s="21">
        <v>19</v>
      </c>
      <c r="C27" s="61"/>
      <c r="D27" s="23"/>
      <c r="E27" s="58"/>
      <c r="G27" s="59"/>
      <c r="H27" s="60"/>
    </row>
    <row r="28" spans="2:8">
      <c r="B28" s="21">
        <v>20</v>
      </c>
      <c r="C28" s="61"/>
      <c r="D28" s="23"/>
      <c r="E28" s="58"/>
      <c r="G28" s="59"/>
      <c r="H28" s="60"/>
    </row>
    <row r="29" spans="2:8">
      <c r="B29" s="21">
        <v>21</v>
      </c>
      <c r="C29" s="61"/>
      <c r="D29" s="23"/>
      <c r="E29" s="58"/>
      <c r="G29" s="59"/>
      <c r="H29" s="60"/>
    </row>
    <row r="30" spans="2:8">
      <c r="B30" s="21">
        <v>22</v>
      </c>
      <c r="C30" s="61"/>
      <c r="D30" s="23"/>
      <c r="E30" s="58"/>
      <c r="G30" s="59"/>
      <c r="H30" s="60"/>
    </row>
    <row r="31" spans="2:8">
      <c r="B31" s="21">
        <v>23</v>
      </c>
      <c r="C31" s="61"/>
      <c r="D31" s="23"/>
      <c r="E31" s="58"/>
      <c r="G31" s="59"/>
      <c r="H31" s="60"/>
    </row>
    <row r="32" spans="2:8">
      <c r="B32" s="21">
        <v>24</v>
      </c>
      <c r="C32" s="61"/>
      <c r="D32" s="23"/>
      <c r="E32" s="58"/>
      <c r="G32" s="59"/>
      <c r="H32" s="60"/>
    </row>
    <row r="33" spans="2:8">
      <c r="B33" s="21">
        <v>25</v>
      </c>
      <c r="C33" s="61"/>
      <c r="D33" s="23"/>
      <c r="E33" s="58"/>
      <c r="G33" s="59"/>
      <c r="H33" s="60"/>
    </row>
    <row r="34" spans="2:8">
      <c r="B34" s="21">
        <v>26</v>
      </c>
      <c r="C34" s="61"/>
      <c r="D34" s="23"/>
      <c r="E34" s="58"/>
      <c r="G34" s="59"/>
      <c r="H34" s="60"/>
    </row>
    <row r="35" spans="2:8">
      <c r="B35" s="21">
        <v>27</v>
      </c>
      <c r="C35" s="61"/>
      <c r="D35" s="23"/>
      <c r="E35" s="58"/>
      <c r="G35" s="59"/>
      <c r="H35" s="60"/>
    </row>
    <row r="36" spans="2:8">
      <c r="B36" s="21">
        <v>28</v>
      </c>
      <c r="C36" s="61"/>
      <c r="D36" s="23"/>
      <c r="E36" s="58"/>
      <c r="G36" s="59"/>
      <c r="H36" s="60"/>
    </row>
    <row r="37" spans="2:8">
      <c r="B37" s="21">
        <v>29</v>
      </c>
      <c r="C37" s="61"/>
      <c r="D37" s="23"/>
      <c r="E37" s="58"/>
      <c r="G37" s="59"/>
      <c r="H37" s="60"/>
    </row>
    <row r="38" spans="2:8">
      <c r="B38" s="21">
        <v>30</v>
      </c>
      <c r="C38" s="61"/>
      <c r="D38" s="23"/>
      <c r="E38" s="58"/>
      <c r="G38" s="59"/>
      <c r="H38" s="60"/>
    </row>
    <row r="39" spans="2:8">
      <c r="B39" s="21">
        <v>31</v>
      </c>
      <c r="C39" s="61"/>
      <c r="D39" s="23"/>
      <c r="E39" s="58"/>
      <c r="G39" s="59"/>
      <c r="H39" s="60"/>
    </row>
    <row r="40" spans="2:8">
      <c r="B40" s="21">
        <v>32</v>
      </c>
      <c r="C40" s="61"/>
      <c r="D40" s="23"/>
      <c r="E40" s="58"/>
      <c r="G40" s="59"/>
      <c r="H40" s="60"/>
    </row>
    <row r="41" spans="2:8">
      <c r="B41" s="21">
        <v>33</v>
      </c>
      <c r="C41" s="61"/>
      <c r="D41" s="23"/>
      <c r="E41" s="58"/>
      <c r="G41" s="59"/>
      <c r="H41" s="60"/>
    </row>
    <row r="42" spans="2:8">
      <c r="B42" s="21">
        <v>34</v>
      </c>
      <c r="C42" s="61"/>
      <c r="D42" s="23"/>
      <c r="E42" s="58"/>
      <c r="G42" s="59"/>
      <c r="H42" s="60"/>
    </row>
    <row r="43" spans="2:8">
      <c r="B43" s="21">
        <v>35</v>
      </c>
      <c r="C43" s="61"/>
      <c r="D43" s="23"/>
      <c r="E43" s="58"/>
      <c r="G43" s="59"/>
      <c r="H43" s="60"/>
    </row>
    <row r="44" spans="2:8">
      <c r="B44" s="21">
        <v>36</v>
      </c>
      <c r="C44" s="61"/>
      <c r="D44" s="23"/>
      <c r="E44" s="58"/>
      <c r="G44" s="59"/>
      <c r="H44" s="60"/>
    </row>
    <row r="45" spans="2:8">
      <c r="B45" s="21">
        <v>37</v>
      </c>
      <c r="C45" s="61"/>
      <c r="D45" s="23"/>
      <c r="E45" s="58"/>
      <c r="G45" s="59"/>
      <c r="H45" s="60"/>
    </row>
    <row r="46" spans="2:8">
      <c r="B46" s="21">
        <v>38</v>
      </c>
      <c r="C46" s="61"/>
      <c r="D46" s="23"/>
      <c r="E46" s="58"/>
      <c r="G46" s="59"/>
      <c r="H46" s="60"/>
    </row>
    <row r="47" spans="2:8">
      <c r="B47" s="21">
        <v>39</v>
      </c>
      <c r="C47" s="61"/>
      <c r="D47" s="23"/>
      <c r="E47" s="58"/>
      <c r="G47" s="59"/>
      <c r="H47" s="60"/>
    </row>
    <row r="48" spans="2:8">
      <c r="B48" s="21">
        <v>40</v>
      </c>
      <c r="C48" s="61"/>
      <c r="D48" s="23"/>
      <c r="E48" s="58"/>
      <c r="G48" s="59"/>
      <c r="H48" s="60"/>
    </row>
    <row r="49" spans="2:8">
      <c r="B49" s="21">
        <v>41</v>
      </c>
      <c r="C49" s="61"/>
      <c r="D49" s="23"/>
      <c r="E49" s="58"/>
      <c r="G49" s="59"/>
      <c r="H49" s="60"/>
    </row>
    <row r="50" spans="2:8">
      <c r="B50" s="21">
        <v>42</v>
      </c>
      <c r="C50" s="61"/>
      <c r="D50" s="23"/>
      <c r="E50" s="58"/>
      <c r="G50" s="59"/>
      <c r="H50" s="60"/>
    </row>
    <row r="51" spans="2:8">
      <c r="B51" s="21">
        <v>43</v>
      </c>
      <c r="C51" s="61"/>
      <c r="D51" s="23"/>
      <c r="E51" s="58"/>
      <c r="G51" s="59"/>
      <c r="H51" s="60"/>
    </row>
    <row r="52" spans="2:8">
      <c r="B52" s="21">
        <v>44</v>
      </c>
      <c r="C52" s="61"/>
      <c r="D52" s="23"/>
      <c r="E52" s="58"/>
      <c r="G52" s="59"/>
      <c r="H52" s="60"/>
    </row>
    <row r="53" spans="2:8">
      <c r="B53" s="21">
        <v>45</v>
      </c>
      <c r="C53" s="61"/>
      <c r="D53" s="23"/>
      <c r="E53" s="58"/>
      <c r="G53" s="59"/>
      <c r="H53" s="60"/>
    </row>
    <row r="54" spans="2:8">
      <c r="B54" s="21">
        <v>46</v>
      </c>
      <c r="C54" s="61"/>
      <c r="D54" s="23"/>
      <c r="E54" s="58"/>
      <c r="G54" s="59"/>
      <c r="H54" s="60"/>
    </row>
    <row r="55" spans="2:8">
      <c r="B55" s="21">
        <v>47</v>
      </c>
      <c r="C55" s="61"/>
      <c r="D55" s="23"/>
      <c r="E55" s="58"/>
      <c r="G55" s="59"/>
      <c r="H55" s="60"/>
    </row>
    <row r="56" spans="2:8">
      <c r="B56" s="21">
        <v>48</v>
      </c>
      <c r="C56" s="61"/>
      <c r="D56" s="23"/>
      <c r="E56" s="58"/>
      <c r="G56" s="59"/>
      <c r="H56" s="60"/>
    </row>
    <row r="57" spans="2:8">
      <c r="B57" s="21">
        <v>49</v>
      </c>
      <c r="C57" s="61"/>
      <c r="D57" s="23"/>
      <c r="E57" s="58"/>
      <c r="G57" s="59"/>
      <c r="H57" s="60"/>
    </row>
    <row r="58" spans="2:8">
      <c r="B58" s="21">
        <v>50</v>
      </c>
      <c r="C58" s="61"/>
      <c r="D58" s="23"/>
      <c r="E58" s="58"/>
      <c r="G58" s="59"/>
      <c r="H58" s="60"/>
    </row>
    <row r="59" spans="2:8">
      <c r="B59" s="21">
        <v>51</v>
      </c>
      <c r="C59" s="61"/>
      <c r="D59" s="23"/>
      <c r="E59" s="58"/>
      <c r="G59" s="59"/>
      <c r="H59" s="60"/>
    </row>
    <row r="60" spans="2:8">
      <c r="B60" s="21">
        <v>52</v>
      </c>
      <c r="C60" s="61"/>
      <c r="D60" s="23"/>
      <c r="E60" s="58"/>
      <c r="G60" s="59"/>
      <c r="H60" s="60"/>
    </row>
    <row r="61" spans="2:8">
      <c r="B61" s="21">
        <v>53</v>
      </c>
      <c r="C61" s="61"/>
      <c r="D61" s="23"/>
      <c r="E61" s="58"/>
      <c r="G61" s="59"/>
      <c r="H61" s="60"/>
    </row>
    <row r="62" spans="2:8">
      <c r="B62" s="21">
        <v>54</v>
      </c>
      <c r="C62" s="61"/>
      <c r="D62" s="23"/>
      <c r="E62" s="58"/>
      <c r="G62" s="59"/>
      <c r="H62" s="60"/>
    </row>
    <row r="63" spans="2:8">
      <c r="B63" s="21">
        <v>55</v>
      </c>
      <c r="C63" s="61"/>
      <c r="D63" s="23"/>
      <c r="E63" s="58"/>
      <c r="G63" s="59"/>
      <c r="H63" s="60"/>
    </row>
    <row r="64" spans="2:8">
      <c r="B64" s="21">
        <v>56</v>
      </c>
      <c r="C64" s="61"/>
      <c r="D64" s="23"/>
      <c r="E64" s="58"/>
      <c r="G64" s="59"/>
      <c r="H64" s="60"/>
    </row>
    <row r="65" spans="2:8">
      <c r="B65" s="21">
        <v>57</v>
      </c>
      <c r="C65" s="61"/>
      <c r="D65" s="23"/>
      <c r="E65" s="58"/>
      <c r="G65" s="59"/>
      <c r="H65" s="60"/>
    </row>
    <row r="66" spans="2:8">
      <c r="B66" s="21">
        <v>58</v>
      </c>
      <c r="C66" s="61"/>
      <c r="D66" s="23"/>
      <c r="E66" s="58"/>
      <c r="G66" s="59"/>
      <c r="H66" s="60"/>
    </row>
    <row r="67" spans="2:8">
      <c r="B67" s="21">
        <v>59</v>
      </c>
      <c r="C67" s="61"/>
      <c r="D67" s="23"/>
      <c r="E67" s="58"/>
      <c r="G67" s="59"/>
      <c r="H67" s="60"/>
    </row>
    <row r="68" spans="2:8">
      <c r="B68" s="21">
        <v>60</v>
      </c>
      <c r="C68" s="61"/>
      <c r="D68" s="23"/>
      <c r="E68" s="58"/>
      <c r="G68" s="59"/>
      <c r="H68" s="60"/>
    </row>
    <row r="69" spans="2:8">
      <c r="B69" s="21">
        <v>61</v>
      </c>
      <c r="C69" s="61"/>
      <c r="D69" s="23"/>
      <c r="E69" s="58"/>
      <c r="G69" s="59"/>
      <c r="H69" s="60"/>
    </row>
    <row r="70" spans="2:8">
      <c r="B70" s="21">
        <v>62</v>
      </c>
      <c r="C70" s="61"/>
      <c r="D70" s="23"/>
      <c r="E70" s="58"/>
      <c r="G70" s="59"/>
      <c r="H70" s="60"/>
    </row>
    <row r="71" spans="2:8">
      <c r="B71" s="21">
        <v>63</v>
      </c>
      <c r="C71" s="61"/>
      <c r="D71" s="23"/>
      <c r="E71" s="58"/>
      <c r="G71" s="59"/>
      <c r="H71" s="60"/>
    </row>
    <row r="72" spans="2:8">
      <c r="B72" s="21">
        <v>64</v>
      </c>
      <c r="C72" s="61"/>
      <c r="D72" s="23"/>
      <c r="E72" s="58"/>
      <c r="G72" s="59"/>
      <c r="H72" s="60"/>
    </row>
    <row r="73" spans="2:8">
      <c r="B73" s="21">
        <v>65</v>
      </c>
      <c r="C73" s="61"/>
      <c r="D73" s="23"/>
      <c r="E73" s="58"/>
      <c r="G73" s="59"/>
      <c r="H73" s="60"/>
    </row>
    <row r="74" spans="2:8">
      <c r="B74" s="21">
        <v>66</v>
      </c>
      <c r="C74" s="61"/>
      <c r="D74" s="23"/>
      <c r="E74" s="58"/>
      <c r="G74" s="59"/>
      <c r="H74" s="60"/>
    </row>
    <row r="75" spans="2:8">
      <c r="B75" s="21">
        <v>67</v>
      </c>
      <c r="C75" s="61"/>
      <c r="D75" s="23"/>
      <c r="E75" s="58"/>
      <c r="G75" s="59"/>
      <c r="H75" s="60"/>
    </row>
    <row r="76" spans="2:8">
      <c r="B76" s="21">
        <v>68</v>
      </c>
      <c r="C76" s="61"/>
      <c r="D76" s="23"/>
      <c r="E76" s="58"/>
      <c r="G76" s="59"/>
      <c r="H76" s="60"/>
    </row>
    <row r="77" spans="2:8">
      <c r="B77" s="21">
        <v>69</v>
      </c>
      <c r="C77" s="61"/>
      <c r="D77" s="23"/>
      <c r="E77" s="58"/>
      <c r="G77" s="59"/>
      <c r="H77" s="60"/>
    </row>
    <row r="78" spans="2:8">
      <c r="B78" s="21">
        <v>70</v>
      </c>
      <c r="C78" s="61"/>
      <c r="D78" s="23"/>
      <c r="E78" s="58"/>
      <c r="G78" s="59"/>
      <c r="H78" s="60"/>
    </row>
    <row r="79" spans="2:8">
      <c r="B79" s="21">
        <v>71</v>
      </c>
      <c r="C79" s="61"/>
      <c r="D79" s="23"/>
      <c r="E79" s="58"/>
      <c r="G79" s="59"/>
      <c r="H79" s="60"/>
    </row>
    <row r="80" spans="2:8">
      <c r="B80" s="21">
        <v>72</v>
      </c>
      <c r="C80" s="61"/>
      <c r="D80" s="23"/>
      <c r="E80" s="58"/>
      <c r="G80" s="59"/>
      <c r="H80" s="60"/>
    </row>
    <row r="81" spans="2:8">
      <c r="B81" s="21">
        <v>73</v>
      </c>
      <c r="C81" s="61"/>
      <c r="D81" s="23"/>
      <c r="E81" s="58"/>
      <c r="G81" s="59"/>
      <c r="H81" s="60"/>
    </row>
    <row r="82" spans="2:8">
      <c r="B82" s="21">
        <v>74</v>
      </c>
      <c r="C82" s="61"/>
      <c r="D82" s="23"/>
      <c r="E82" s="58"/>
      <c r="G82" s="59"/>
      <c r="H82" s="60"/>
    </row>
    <row r="83" spans="2:8">
      <c r="B83" s="21">
        <v>75</v>
      </c>
      <c r="C83" s="61"/>
      <c r="D83" s="23"/>
      <c r="E83" s="58"/>
      <c r="G83" s="59"/>
      <c r="H83" s="60"/>
    </row>
    <row r="84" spans="2:8">
      <c r="B84" s="21">
        <v>76</v>
      </c>
      <c r="C84" s="61"/>
      <c r="D84" s="23"/>
      <c r="E84" s="58"/>
      <c r="G84" s="59"/>
      <c r="H84" s="60"/>
    </row>
    <row r="85" spans="2:8">
      <c r="B85" s="21">
        <v>77</v>
      </c>
      <c r="C85" s="61"/>
      <c r="D85" s="23"/>
      <c r="E85" s="58"/>
      <c r="G85" s="59"/>
      <c r="H85" s="60"/>
    </row>
    <row r="86" spans="2:8">
      <c r="B86" s="21">
        <v>78</v>
      </c>
      <c r="C86" s="61"/>
      <c r="D86" s="23"/>
      <c r="E86" s="58"/>
      <c r="G86" s="59"/>
      <c r="H86" s="60"/>
    </row>
    <row r="87" spans="2:8">
      <c r="B87" s="21">
        <v>79</v>
      </c>
      <c r="C87" s="61"/>
      <c r="D87" s="23"/>
      <c r="E87" s="58"/>
      <c r="G87" s="59"/>
      <c r="H87" s="60"/>
    </row>
    <row r="88" spans="2:8">
      <c r="B88" s="21">
        <v>80</v>
      </c>
      <c r="C88" s="61"/>
      <c r="D88" s="23"/>
      <c r="E88" s="58"/>
      <c r="G88" s="59"/>
      <c r="H88" s="60"/>
    </row>
    <row r="89" spans="2:8">
      <c r="B89" s="21">
        <v>81</v>
      </c>
      <c r="C89" s="61"/>
      <c r="D89" s="23"/>
      <c r="E89" s="58"/>
      <c r="G89" s="59"/>
      <c r="H89" s="60"/>
    </row>
    <row r="90" spans="2:8">
      <c r="B90" s="21">
        <v>82</v>
      </c>
      <c r="C90" s="61"/>
      <c r="D90" s="23"/>
      <c r="E90" s="58"/>
      <c r="G90" s="59"/>
      <c r="H90" s="60"/>
    </row>
    <row r="91" spans="2:8">
      <c r="B91" s="21">
        <v>83</v>
      </c>
      <c r="C91" s="61"/>
      <c r="D91" s="23"/>
      <c r="E91" s="58"/>
      <c r="G91" s="59"/>
      <c r="H91" s="60"/>
    </row>
    <row r="92" spans="2:8">
      <c r="B92" s="21">
        <v>84</v>
      </c>
      <c r="C92" s="61"/>
      <c r="D92" s="23"/>
      <c r="E92" s="58"/>
      <c r="G92" s="59"/>
      <c r="H92" s="60"/>
    </row>
    <row r="93" spans="2:8">
      <c r="B93" s="21">
        <v>85</v>
      </c>
      <c r="C93" s="61"/>
      <c r="D93" s="23"/>
      <c r="E93" s="58"/>
      <c r="G93" s="59"/>
      <c r="H93" s="60"/>
    </row>
    <row r="94" spans="2:8">
      <c r="B94" s="21">
        <v>86</v>
      </c>
      <c r="C94" s="61"/>
      <c r="D94" s="23"/>
      <c r="E94" s="58"/>
      <c r="G94" s="59"/>
      <c r="H94" s="60"/>
    </row>
    <row r="95" spans="2:8">
      <c r="B95" s="21">
        <v>87</v>
      </c>
      <c r="C95" s="61"/>
      <c r="D95" s="23"/>
      <c r="E95" s="58"/>
      <c r="G95" s="59"/>
      <c r="H95" s="60"/>
    </row>
    <row r="96" spans="2:8">
      <c r="B96" s="21">
        <v>88</v>
      </c>
      <c r="C96" s="61"/>
      <c r="D96" s="23"/>
      <c r="E96" s="58"/>
      <c r="G96" s="59"/>
      <c r="H96" s="60"/>
    </row>
    <row r="97" spans="2:8">
      <c r="B97" s="21">
        <v>89</v>
      </c>
      <c r="C97" s="61"/>
      <c r="D97" s="23"/>
      <c r="E97" s="58"/>
      <c r="G97" s="59"/>
      <c r="H97" s="60"/>
    </row>
    <row r="98" spans="2:8">
      <c r="B98" s="21">
        <v>90</v>
      </c>
      <c r="C98" s="61"/>
      <c r="D98" s="23"/>
      <c r="E98" s="58"/>
      <c r="G98" s="59"/>
      <c r="H98" s="60"/>
    </row>
    <row r="99" spans="2:8">
      <c r="B99" s="21">
        <v>91</v>
      </c>
      <c r="C99" s="61"/>
      <c r="D99" s="23"/>
      <c r="E99" s="58"/>
      <c r="G99" s="59"/>
      <c r="H99" s="60"/>
    </row>
    <row r="100" spans="2:8">
      <c r="B100" s="21">
        <v>92</v>
      </c>
      <c r="C100" s="61"/>
      <c r="D100" s="23"/>
      <c r="E100" s="58"/>
      <c r="G100" s="59"/>
      <c r="H100" s="60"/>
    </row>
    <row r="101" spans="2:8">
      <c r="B101" s="21">
        <v>93</v>
      </c>
      <c r="C101" s="61"/>
      <c r="D101" s="23"/>
      <c r="E101" s="58"/>
      <c r="G101" s="59"/>
      <c r="H101" s="60"/>
    </row>
    <row r="102" spans="2:8">
      <c r="B102" s="21">
        <v>94</v>
      </c>
      <c r="C102" s="61"/>
      <c r="D102" s="23"/>
      <c r="E102" s="58"/>
      <c r="G102" s="59"/>
      <c r="H102" s="60"/>
    </row>
    <row r="103" spans="2:8">
      <c r="B103" s="21">
        <v>95</v>
      </c>
      <c r="C103" s="61"/>
      <c r="D103" s="23"/>
      <c r="E103" s="58"/>
      <c r="G103" s="59"/>
      <c r="H103" s="60"/>
    </row>
    <row r="104" spans="2:8">
      <c r="B104" s="21">
        <v>96</v>
      </c>
      <c r="C104" s="61"/>
      <c r="D104" s="23"/>
      <c r="E104" s="58"/>
      <c r="G104" s="59"/>
      <c r="H104" s="60"/>
    </row>
    <row r="105" spans="2:8">
      <c r="B105" s="21">
        <v>97</v>
      </c>
      <c r="C105" s="61"/>
      <c r="D105" s="23"/>
      <c r="E105" s="58"/>
      <c r="G105" s="59"/>
      <c r="H105" s="60"/>
    </row>
    <row r="106" spans="2:8">
      <c r="B106" s="21">
        <v>98</v>
      </c>
      <c r="C106" s="61"/>
      <c r="D106" s="23"/>
      <c r="E106" s="58"/>
      <c r="G106" s="59"/>
      <c r="H106" s="60"/>
    </row>
    <row r="107" spans="2:8">
      <c r="B107" s="21">
        <v>99</v>
      </c>
      <c r="C107" s="61"/>
      <c r="D107" s="23"/>
      <c r="E107" s="58"/>
      <c r="G107" s="59"/>
      <c r="H107" s="60"/>
    </row>
    <row r="108" spans="2:8">
      <c r="B108" s="21">
        <v>100</v>
      </c>
      <c r="C108" s="61"/>
      <c r="D108" s="23"/>
      <c r="E108" s="58"/>
      <c r="G108" s="59"/>
      <c r="H108" s="60"/>
    </row>
    <row r="109" spans="2:8">
      <c r="B109" s="21">
        <v>101</v>
      </c>
      <c r="C109" s="61"/>
      <c r="D109" s="23"/>
      <c r="E109" s="58"/>
      <c r="G109" s="59"/>
      <c r="H109" s="60"/>
    </row>
    <row r="110" spans="2:8">
      <c r="B110" s="21">
        <v>102</v>
      </c>
      <c r="C110" s="61"/>
      <c r="D110" s="23"/>
      <c r="E110" s="58"/>
      <c r="G110" s="59"/>
      <c r="H110" s="60"/>
    </row>
    <row r="111" spans="2:8">
      <c r="B111" s="21">
        <v>103</v>
      </c>
      <c r="C111" s="61"/>
      <c r="D111" s="23"/>
      <c r="E111" s="58"/>
      <c r="G111" s="59"/>
      <c r="H111" s="60"/>
    </row>
    <row r="112" spans="2:8">
      <c r="B112" s="21">
        <v>104</v>
      </c>
      <c r="C112" s="61"/>
      <c r="D112" s="23"/>
      <c r="E112" s="58"/>
      <c r="G112" s="59"/>
      <c r="H112" s="60"/>
    </row>
    <row r="113" spans="2:8">
      <c r="B113" s="21">
        <v>105</v>
      </c>
      <c r="C113" s="61"/>
      <c r="D113" s="23"/>
      <c r="E113" s="58"/>
      <c r="G113" s="59"/>
      <c r="H113" s="60"/>
    </row>
    <row r="114" spans="2:8">
      <c r="B114" s="21">
        <v>106</v>
      </c>
      <c r="C114" s="61"/>
      <c r="D114" s="23"/>
      <c r="E114" s="58"/>
      <c r="G114" s="59"/>
      <c r="H114" s="60"/>
    </row>
    <row r="115" spans="2:8">
      <c r="B115" s="21">
        <v>107</v>
      </c>
      <c r="C115" s="61"/>
      <c r="D115" s="23"/>
      <c r="E115" s="58"/>
      <c r="G115" s="59"/>
      <c r="H115" s="60"/>
    </row>
    <row r="116" spans="2:8">
      <c r="B116" s="21">
        <v>108</v>
      </c>
      <c r="C116" s="61"/>
      <c r="D116" s="23"/>
      <c r="E116" s="58"/>
      <c r="G116" s="59"/>
      <c r="H116" s="60"/>
    </row>
    <row r="117" spans="2:8">
      <c r="B117" s="21">
        <v>109</v>
      </c>
      <c r="C117" s="61"/>
      <c r="D117" s="23"/>
      <c r="E117" s="58"/>
      <c r="G117" s="59"/>
      <c r="H117" s="60"/>
    </row>
    <row r="118" spans="2:8">
      <c r="B118" s="21">
        <v>110</v>
      </c>
      <c r="C118" s="61"/>
      <c r="D118" s="23"/>
      <c r="E118" s="58"/>
      <c r="G118" s="59"/>
      <c r="H118" s="60"/>
    </row>
    <row r="119" spans="2:8">
      <c r="B119" s="21">
        <v>111</v>
      </c>
      <c r="C119" s="61"/>
      <c r="D119" s="23"/>
      <c r="E119" s="58"/>
      <c r="G119" s="59"/>
      <c r="H119" s="60"/>
    </row>
    <row r="120" spans="2:8">
      <c r="B120" s="21">
        <v>112</v>
      </c>
      <c r="C120" s="61"/>
      <c r="D120" s="23"/>
      <c r="E120" s="58"/>
      <c r="G120" s="59"/>
      <c r="H120" s="60"/>
    </row>
    <row r="121" spans="2:8">
      <c r="B121" s="21">
        <v>113</v>
      </c>
      <c r="C121" s="61"/>
      <c r="D121" s="23"/>
      <c r="E121" s="58"/>
      <c r="G121" s="59"/>
      <c r="H121" s="60"/>
    </row>
    <row r="122" spans="2:8">
      <c r="B122" s="21">
        <v>114</v>
      </c>
      <c r="C122" s="61"/>
      <c r="D122" s="23"/>
      <c r="E122" s="58"/>
      <c r="G122" s="59"/>
      <c r="H122" s="60"/>
    </row>
    <row r="123" spans="2:8">
      <c r="B123" s="21">
        <v>115</v>
      </c>
      <c r="C123" s="61"/>
      <c r="D123" s="23"/>
      <c r="E123" s="58"/>
      <c r="G123" s="59"/>
      <c r="H123" s="60"/>
    </row>
    <row r="124" spans="2:8">
      <c r="B124" s="21">
        <v>116</v>
      </c>
      <c r="C124" s="61"/>
      <c r="D124" s="23"/>
      <c r="E124" s="58"/>
      <c r="G124" s="59"/>
      <c r="H124" s="60"/>
    </row>
    <row r="125" spans="2:8">
      <c r="B125" s="21">
        <v>117</v>
      </c>
      <c r="C125" s="61"/>
      <c r="D125" s="23"/>
      <c r="E125" s="58"/>
      <c r="G125" s="59"/>
      <c r="H125" s="60"/>
    </row>
    <row r="126" spans="2:8">
      <c r="B126" s="21">
        <v>118</v>
      </c>
      <c r="C126" s="61"/>
      <c r="D126" s="23"/>
      <c r="E126" s="58"/>
      <c r="G126" s="59"/>
      <c r="H126" s="60"/>
    </row>
    <row r="127" spans="2:8">
      <c r="B127" s="21">
        <v>119</v>
      </c>
      <c r="C127" s="61"/>
      <c r="D127" s="23"/>
      <c r="E127" s="58"/>
      <c r="G127" s="59"/>
      <c r="H127" s="60"/>
    </row>
    <row r="128" spans="2:8">
      <c r="B128" s="21">
        <v>120</v>
      </c>
      <c r="C128" s="61"/>
      <c r="D128" s="23"/>
      <c r="E128" s="58"/>
      <c r="G128" s="59"/>
      <c r="H128" s="60"/>
    </row>
    <row r="129" spans="2:8">
      <c r="B129" s="21">
        <v>121</v>
      </c>
      <c r="C129" s="61"/>
      <c r="D129" s="23"/>
      <c r="E129" s="58"/>
      <c r="G129" s="59"/>
      <c r="H129" s="60"/>
    </row>
    <row r="130" spans="2:8">
      <c r="B130" s="21">
        <v>122</v>
      </c>
      <c r="C130" s="61"/>
      <c r="D130" s="23"/>
      <c r="E130" s="58"/>
      <c r="G130" s="59"/>
      <c r="H130" s="60"/>
    </row>
    <row r="131" spans="2:8">
      <c r="B131" s="21">
        <v>123</v>
      </c>
      <c r="C131" s="61"/>
      <c r="D131" s="23"/>
      <c r="E131" s="58"/>
      <c r="G131" s="59"/>
      <c r="H131" s="60"/>
    </row>
    <row r="132" spans="2:8">
      <c r="B132" s="21">
        <v>124</v>
      </c>
      <c r="C132" s="61"/>
      <c r="D132" s="23"/>
      <c r="E132" s="58"/>
      <c r="G132" s="59"/>
      <c r="H132" s="60"/>
    </row>
    <row r="133" spans="2:8">
      <c r="B133" s="21">
        <v>125</v>
      </c>
      <c r="C133" s="61"/>
      <c r="D133" s="23"/>
      <c r="E133" s="58"/>
      <c r="G133" s="59"/>
      <c r="H133" s="60"/>
    </row>
    <row r="134" spans="2:8">
      <c r="B134" s="21">
        <v>126</v>
      </c>
      <c r="C134" s="61"/>
      <c r="D134" s="23"/>
      <c r="E134" s="58"/>
      <c r="G134" s="59"/>
      <c r="H134" s="60"/>
    </row>
    <row r="135" spans="2:8">
      <c r="B135" s="21">
        <v>127</v>
      </c>
      <c r="C135" s="61"/>
      <c r="D135" s="23"/>
      <c r="E135" s="58"/>
      <c r="G135" s="59"/>
      <c r="H135" s="60"/>
    </row>
    <row r="136" spans="2:8">
      <c r="B136" s="21">
        <v>128</v>
      </c>
      <c r="C136" s="61"/>
      <c r="D136" s="23"/>
      <c r="E136" s="58"/>
      <c r="G136" s="59"/>
      <c r="H136" s="60"/>
    </row>
    <row r="137" spans="2:8">
      <c r="B137" s="21">
        <v>129</v>
      </c>
      <c r="C137" s="61"/>
      <c r="D137" s="23"/>
      <c r="E137" s="58"/>
      <c r="G137" s="59"/>
      <c r="H137" s="60"/>
    </row>
    <row r="138" spans="2:8">
      <c r="B138" s="21">
        <v>130</v>
      </c>
      <c r="C138" s="61"/>
      <c r="D138" s="23"/>
      <c r="E138" s="58"/>
      <c r="G138" s="59"/>
      <c r="H138" s="60"/>
    </row>
    <row r="139" spans="2:8">
      <c r="B139" s="21">
        <v>131</v>
      </c>
      <c r="C139" s="61"/>
      <c r="D139" s="23"/>
      <c r="E139" s="58"/>
      <c r="G139" s="59"/>
      <c r="H139" s="60"/>
    </row>
    <row r="140" spans="2:8">
      <c r="B140" s="21">
        <v>132</v>
      </c>
      <c r="C140" s="61"/>
      <c r="D140" s="23"/>
      <c r="E140" s="58"/>
      <c r="G140" s="59"/>
      <c r="H140" s="60"/>
    </row>
    <row r="141" spans="2:8">
      <c r="B141" s="21">
        <v>133</v>
      </c>
      <c r="C141" s="61"/>
      <c r="D141" s="23"/>
      <c r="E141" s="58"/>
      <c r="G141" s="59"/>
      <c r="H141" s="60"/>
    </row>
    <row r="142" spans="2:8" ht="15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5" thickBot="1"/>
    <row r="144" spans="2:8" ht="16.2" thickBot="1">
      <c r="D144" s="30" t="s">
        <v>5</v>
      </c>
      <c r="E144" s="66">
        <f>SUM(E9:E142)</f>
        <v>882.45089999999982</v>
      </c>
      <c r="G144" s="67" t="s">
        <v>5</v>
      </c>
      <c r="H144" s="68" t="e">
        <f>SUM(H9:H142)</f>
        <v>#REF!</v>
      </c>
    </row>
    <row r="147" spans="1:5" hidden="1"/>
    <row r="148" spans="1:5" hidden="1">
      <c r="D148" s="69" t="s">
        <v>40</v>
      </c>
      <c r="E148" s="70">
        <f>E144</f>
        <v>882.45089999999982</v>
      </c>
    </row>
    <row r="149" spans="1:5" hidden="1">
      <c r="D149" s="71" t="s">
        <v>41</v>
      </c>
      <c r="E149" s="72" t="e">
        <f>ROUNDUP((#REF!+#REF!)/2, 0)</f>
        <v>#REF!</v>
      </c>
    </row>
    <row r="150" spans="1:5" hidden="1">
      <c r="D150" s="71" t="s">
        <v>42</v>
      </c>
      <c r="E150" s="72" t="e">
        <f>ROUNDUP((#REF!+#REF!)/2, 0)</f>
        <v>#REF!</v>
      </c>
    </row>
    <row r="151" spans="1:5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X275"/>
  <sheetViews>
    <sheetView zoomScale="70" zoomScaleNormal="7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E4" sqref="E4"/>
    </sheetView>
  </sheetViews>
  <sheetFormatPr defaultColWidth="9.109375" defaultRowHeight="14.4"/>
  <cols>
    <col min="1" max="1" width="5.6640625" style="80" customWidth="1"/>
    <col min="2" max="2" width="10.6640625" style="80" customWidth="1"/>
    <col min="3" max="3" width="15.88671875" style="80" customWidth="1"/>
    <col min="4" max="4" width="27" style="113" customWidth="1"/>
    <col min="5" max="5" width="75.109375" style="113" customWidth="1"/>
    <col min="6" max="6" width="14.6640625" style="80" customWidth="1"/>
    <col min="7" max="8" width="5.6640625" style="80" customWidth="1"/>
    <col min="9" max="11" width="9.109375" style="80" customWidth="1"/>
    <col min="12" max="12" width="24.6640625" style="80" customWidth="1"/>
    <col min="13" max="13" width="9.109375" style="80" customWidth="1"/>
    <col min="14" max="14" width="10.88671875" style="80" customWidth="1"/>
    <col min="15" max="15" width="17.88671875" style="80" customWidth="1"/>
    <col min="16" max="16" width="31.88671875" style="80" customWidth="1"/>
    <col min="17" max="17" width="9.109375" style="80" customWidth="1"/>
    <col min="18" max="18" width="23.33203125" style="80" bestFit="1" customWidth="1"/>
    <col min="19" max="19" width="16.109375" style="80" customWidth="1"/>
    <col min="20" max="21" width="9.109375" style="80"/>
    <col min="22" max="22" width="12.6640625" style="80" customWidth="1"/>
    <col min="23" max="16384" width="9.109375" style="80"/>
  </cols>
  <sheetData>
    <row r="1" spans="1:24" ht="18">
      <c r="A1" s="75"/>
      <c r="B1" s="75"/>
      <c r="C1" s="75"/>
      <c r="D1" s="76">
        <f>O144</f>
        <v>882.45089999999982</v>
      </c>
      <c r="E1" s="77"/>
      <c r="F1" s="75"/>
      <c r="G1" s="78">
        <f>COUNTA(G3:H3)+COUNTBLANK(G3:H3)</f>
        <v>2</v>
      </c>
      <c r="H1" s="75"/>
      <c r="I1" s="75"/>
      <c r="J1" s="75"/>
      <c r="K1" s="75"/>
      <c r="L1" s="78"/>
      <c r="M1" s="78"/>
      <c r="N1" s="78"/>
      <c r="O1" s="79">
        <f>O144</f>
        <v>882.45089999999982</v>
      </c>
      <c r="S1" s="80">
        <f>COUNTA(S3:T3)+COUNTBLANK(S3:T3)</f>
        <v>2</v>
      </c>
    </row>
    <row r="2" spans="1:24" ht="18">
      <c r="A2" s="75"/>
      <c r="B2" s="75"/>
      <c r="C2" s="75"/>
      <c r="D2" s="76">
        <f>O145</f>
        <v>882.45089999999982</v>
      </c>
      <c r="E2" s="77"/>
      <c r="F2" s="75"/>
      <c r="G2" s="78"/>
      <c r="H2" s="75"/>
      <c r="I2" s="75"/>
      <c r="J2" s="75"/>
      <c r="K2" s="75"/>
      <c r="L2" s="78"/>
      <c r="M2" s="78"/>
      <c r="N2" s="78"/>
      <c r="O2" s="79">
        <f>O145</f>
        <v>882.45089999999982</v>
      </c>
    </row>
    <row r="3" spans="1:24" ht="122.25" customHeight="1">
      <c r="A3" s="9" t="s">
        <v>46</v>
      </c>
      <c r="B3" s="81" t="s">
        <v>113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337</v>
      </c>
      <c r="H3" s="85" t="s">
        <v>12</v>
      </c>
      <c r="I3" s="86" t="s">
        <v>7</v>
      </c>
      <c r="J3" s="9" t="s">
        <v>8</v>
      </c>
      <c r="K3" s="86" t="s">
        <v>9</v>
      </c>
      <c r="L3" s="87" t="s">
        <v>2</v>
      </c>
      <c r="M3" s="83" t="s">
        <v>11</v>
      </c>
      <c r="N3" s="83" t="s">
        <v>35</v>
      </c>
      <c r="O3" s="86" t="s">
        <v>3</v>
      </c>
      <c r="P3" s="81" t="s">
        <v>6</v>
      </c>
      <c r="S3" s="122" t="str">
        <f>G3</f>
        <v>15kW VSD, IP55</v>
      </c>
      <c r="T3" s="122" t="str">
        <f>H3</f>
        <v>--</v>
      </c>
    </row>
    <row r="4" spans="1:24" ht="28.8">
      <c r="A4" s="88">
        <v>1</v>
      </c>
      <c r="B4" s="88" t="s">
        <v>334</v>
      </c>
      <c r="C4" s="75" t="s">
        <v>99</v>
      </c>
      <c r="D4" s="89" t="s">
        <v>335</v>
      </c>
      <c r="E4" s="90" t="s">
        <v>336</v>
      </c>
      <c r="F4" s="91">
        <v>780.93</v>
      </c>
      <c r="G4" s="92">
        <v>1</v>
      </c>
      <c r="H4" s="93"/>
      <c r="I4" s="94">
        <f t="shared" ref="I4:I35" si="0">SUM(G4:H4)</f>
        <v>1</v>
      </c>
      <c r="J4" s="95">
        <v>1</v>
      </c>
      <c r="K4" s="94">
        <f t="shared" ref="K4:K121" si="1">ROUNDUP(I4*J4, 0)</f>
        <v>1</v>
      </c>
      <c r="L4" s="96">
        <f t="shared" ref="L4:L35" si="2">F4</f>
        <v>780.93</v>
      </c>
      <c r="M4" s="97">
        <v>0</v>
      </c>
      <c r="N4" s="97">
        <v>0.13</v>
      </c>
      <c r="O4" s="98">
        <f t="shared" ref="O4:O116" si="3">((L4*(1+M4))*(1+N4))*K4</f>
        <v>882.45089999999982</v>
      </c>
      <c r="P4" s="75"/>
      <c r="S4" s="123">
        <f t="shared" ref="S4:S35" si="4">(($L4*(1+$M4))*(1+$N4))*G4</f>
        <v>882.45089999999982</v>
      </c>
      <c r="T4" s="123">
        <f t="shared" ref="T4:T35" si="5">(($L4*(1+$M4))*(1+$N4))*H4</f>
        <v>0</v>
      </c>
      <c r="V4" s="120">
        <f t="shared" ref="V4:V35" si="6">SUM(S4:T4)</f>
        <v>882.45089999999982</v>
      </c>
      <c r="W4" s="121" t="b">
        <f t="shared" ref="W4:W35" si="7">EXACT(V4,O4)</f>
        <v>1</v>
      </c>
      <c r="X4" s="120">
        <f t="shared" ref="X4:X35" si="8">V4-O4</f>
        <v>0</v>
      </c>
    </row>
    <row r="5" spans="1:24">
      <c r="A5" s="88">
        <v>2</v>
      </c>
      <c r="B5" s="88"/>
      <c r="C5" s="75"/>
      <c r="D5" s="89"/>
      <c r="E5" s="90"/>
      <c r="F5" s="91"/>
      <c r="G5" s="92"/>
      <c r="H5" s="93"/>
      <c r="I5" s="94">
        <f t="shared" si="0"/>
        <v>0</v>
      </c>
      <c r="J5" s="95">
        <v>1</v>
      </c>
      <c r="K5" s="94">
        <f t="shared" si="1"/>
        <v>0</v>
      </c>
      <c r="L5" s="96">
        <f t="shared" si="2"/>
        <v>0</v>
      </c>
      <c r="M5" s="97">
        <v>0</v>
      </c>
      <c r="N5" s="97">
        <v>0.05</v>
      </c>
      <c r="O5" s="98">
        <f t="shared" si="3"/>
        <v>0</v>
      </c>
      <c r="P5" s="75"/>
      <c r="S5" s="123">
        <f t="shared" si="4"/>
        <v>0</v>
      </c>
      <c r="T5" s="123">
        <f t="shared" si="5"/>
        <v>0</v>
      </c>
      <c r="V5" s="120">
        <f t="shared" si="6"/>
        <v>0</v>
      </c>
      <c r="W5" s="121" t="b">
        <f t="shared" si="7"/>
        <v>1</v>
      </c>
      <c r="X5" s="120">
        <f t="shared" si="8"/>
        <v>0</v>
      </c>
    </row>
    <row r="6" spans="1:24">
      <c r="A6" s="88">
        <v>3</v>
      </c>
      <c r="B6" s="88"/>
      <c r="C6" s="75"/>
      <c r="D6" s="89"/>
      <c r="E6" s="90"/>
      <c r="F6" s="91"/>
      <c r="G6" s="92"/>
      <c r="H6" s="93"/>
      <c r="I6" s="94">
        <f t="shared" si="0"/>
        <v>0</v>
      </c>
      <c r="J6" s="95">
        <v>1</v>
      </c>
      <c r="K6" s="94">
        <f t="shared" si="1"/>
        <v>0</v>
      </c>
      <c r="L6" s="96">
        <f t="shared" si="2"/>
        <v>0</v>
      </c>
      <c r="M6" s="97">
        <v>0</v>
      </c>
      <c r="N6" s="97">
        <v>0.05</v>
      </c>
      <c r="O6" s="98">
        <f t="shared" si="3"/>
        <v>0</v>
      </c>
      <c r="P6" s="75"/>
      <c r="S6" s="123">
        <f t="shared" si="4"/>
        <v>0</v>
      </c>
      <c r="T6" s="123">
        <f t="shared" si="5"/>
        <v>0</v>
      </c>
      <c r="V6" s="120">
        <f t="shared" si="6"/>
        <v>0</v>
      </c>
      <c r="W6" s="121" t="b">
        <f t="shared" si="7"/>
        <v>1</v>
      </c>
      <c r="X6" s="120">
        <f t="shared" si="8"/>
        <v>0</v>
      </c>
    </row>
    <row r="7" spans="1:24">
      <c r="A7" s="88">
        <v>4</v>
      </c>
      <c r="B7" s="88"/>
      <c r="C7" s="75"/>
      <c r="D7" s="89"/>
      <c r="E7" s="90"/>
      <c r="F7" s="91"/>
      <c r="G7" s="92"/>
      <c r="H7" s="93"/>
      <c r="I7" s="94">
        <f t="shared" si="0"/>
        <v>0</v>
      </c>
      <c r="J7" s="95">
        <v>1</v>
      </c>
      <c r="K7" s="94">
        <f t="shared" si="1"/>
        <v>0</v>
      </c>
      <c r="L7" s="96">
        <f t="shared" si="2"/>
        <v>0</v>
      </c>
      <c r="M7" s="97">
        <v>0</v>
      </c>
      <c r="N7" s="97">
        <v>0.05</v>
      </c>
      <c r="O7" s="98">
        <f t="shared" si="3"/>
        <v>0</v>
      </c>
      <c r="P7" s="75"/>
      <c r="S7" s="123">
        <f t="shared" si="4"/>
        <v>0</v>
      </c>
      <c r="T7" s="123">
        <f t="shared" si="5"/>
        <v>0</v>
      </c>
      <c r="V7" s="120">
        <f t="shared" si="6"/>
        <v>0</v>
      </c>
      <c r="W7" s="121" t="b">
        <f t="shared" si="7"/>
        <v>1</v>
      </c>
      <c r="X7" s="120">
        <f t="shared" si="8"/>
        <v>0</v>
      </c>
    </row>
    <row r="8" spans="1:24">
      <c r="A8" s="88">
        <v>5</v>
      </c>
      <c r="B8" s="88"/>
      <c r="C8" s="75"/>
      <c r="D8" s="89"/>
      <c r="E8" s="90"/>
      <c r="F8" s="91"/>
      <c r="G8" s="92"/>
      <c r="H8" s="93"/>
      <c r="I8" s="94">
        <f t="shared" si="0"/>
        <v>0</v>
      </c>
      <c r="J8" s="95">
        <v>1</v>
      </c>
      <c r="K8" s="94">
        <f t="shared" si="1"/>
        <v>0</v>
      </c>
      <c r="L8" s="96">
        <f t="shared" si="2"/>
        <v>0</v>
      </c>
      <c r="M8" s="97">
        <v>0</v>
      </c>
      <c r="N8" s="97">
        <v>0.05</v>
      </c>
      <c r="O8" s="98">
        <f t="shared" si="3"/>
        <v>0</v>
      </c>
      <c r="P8" s="75"/>
      <c r="S8" s="123">
        <f t="shared" si="4"/>
        <v>0</v>
      </c>
      <c r="T8" s="123">
        <f t="shared" si="5"/>
        <v>0</v>
      </c>
      <c r="V8" s="120">
        <f t="shared" si="6"/>
        <v>0</v>
      </c>
      <c r="W8" s="121" t="b">
        <f t="shared" si="7"/>
        <v>1</v>
      </c>
      <c r="X8" s="120">
        <f t="shared" si="8"/>
        <v>0</v>
      </c>
    </row>
    <row r="9" spans="1:24">
      <c r="A9" s="88">
        <v>6</v>
      </c>
      <c r="B9" s="88"/>
      <c r="C9" s="75"/>
      <c r="D9" s="89"/>
      <c r="E9" s="90"/>
      <c r="F9" s="91"/>
      <c r="G9" s="92"/>
      <c r="H9" s="93"/>
      <c r="I9" s="94">
        <f t="shared" si="0"/>
        <v>0</v>
      </c>
      <c r="J9" s="95">
        <v>1</v>
      </c>
      <c r="K9" s="94">
        <f t="shared" si="1"/>
        <v>0</v>
      </c>
      <c r="L9" s="96">
        <f t="shared" si="2"/>
        <v>0</v>
      </c>
      <c r="M9" s="97">
        <v>0</v>
      </c>
      <c r="N9" s="97">
        <v>0.05</v>
      </c>
      <c r="O9" s="98">
        <f t="shared" si="3"/>
        <v>0</v>
      </c>
      <c r="P9" s="75"/>
      <c r="S9" s="123">
        <f t="shared" si="4"/>
        <v>0</v>
      </c>
      <c r="T9" s="123">
        <f t="shared" si="5"/>
        <v>0</v>
      </c>
      <c r="V9" s="120">
        <f t="shared" si="6"/>
        <v>0</v>
      </c>
      <c r="W9" s="121" t="b">
        <f t="shared" si="7"/>
        <v>1</v>
      </c>
      <c r="X9" s="120">
        <f t="shared" si="8"/>
        <v>0</v>
      </c>
    </row>
    <row r="10" spans="1:24">
      <c r="A10" s="88">
        <v>7</v>
      </c>
      <c r="B10" s="88"/>
      <c r="C10" s="75"/>
      <c r="D10" s="89"/>
      <c r="E10" s="90"/>
      <c r="F10" s="91"/>
      <c r="G10" s="92"/>
      <c r="H10" s="93"/>
      <c r="I10" s="94">
        <f t="shared" si="0"/>
        <v>0</v>
      </c>
      <c r="J10" s="95">
        <v>1</v>
      </c>
      <c r="K10" s="94">
        <f t="shared" si="1"/>
        <v>0</v>
      </c>
      <c r="L10" s="96">
        <f t="shared" si="2"/>
        <v>0</v>
      </c>
      <c r="M10" s="97">
        <v>0</v>
      </c>
      <c r="N10" s="97">
        <v>0.05</v>
      </c>
      <c r="O10" s="98">
        <f t="shared" si="3"/>
        <v>0</v>
      </c>
      <c r="P10" s="75"/>
      <c r="S10" s="123">
        <f t="shared" si="4"/>
        <v>0</v>
      </c>
      <c r="T10" s="123">
        <f t="shared" si="5"/>
        <v>0</v>
      </c>
      <c r="V10" s="120">
        <f t="shared" si="6"/>
        <v>0</v>
      </c>
      <c r="W10" s="121" t="b">
        <f t="shared" si="7"/>
        <v>1</v>
      </c>
      <c r="X10" s="120">
        <f t="shared" si="8"/>
        <v>0</v>
      </c>
    </row>
    <row r="11" spans="1:24">
      <c r="A11" s="88">
        <v>8</v>
      </c>
      <c r="B11" s="88"/>
      <c r="C11" s="75"/>
      <c r="D11" s="89"/>
      <c r="E11" s="90"/>
      <c r="F11" s="91"/>
      <c r="G11" s="92"/>
      <c r="H11" s="93"/>
      <c r="I11" s="94">
        <f t="shared" si="0"/>
        <v>0</v>
      </c>
      <c r="J11" s="95">
        <v>1</v>
      </c>
      <c r="K11" s="94">
        <f t="shared" si="1"/>
        <v>0</v>
      </c>
      <c r="L11" s="96">
        <f t="shared" si="2"/>
        <v>0</v>
      </c>
      <c r="M11" s="97">
        <v>0</v>
      </c>
      <c r="N11" s="97">
        <v>0.05</v>
      </c>
      <c r="O11" s="98">
        <f t="shared" si="3"/>
        <v>0</v>
      </c>
      <c r="P11" s="75"/>
      <c r="S11" s="123">
        <f t="shared" si="4"/>
        <v>0</v>
      </c>
      <c r="T11" s="123">
        <f t="shared" si="5"/>
        <v>0</v>
      </c>
      <c r="V11" s="120">
        <f t="shared" si="6"/>
        <v>0</v>
      </c>
      <c r="W11" s="121" t="b">
        <f t="shared" si="7"/>
        <v>1</v>
      </c>
      <c r="X11" s="120">
        <f t="shared" si="8"/>
        <v>0</v>
      </c>
    </row>
    <row r="12" spans="1:24">
      <c r="A12" s="88">
        <v>9</v>
      </c>
      <c r="B12" s="88"/>
      <c r="C12" s="75"/>
      <c r="D12" s="89"/>
      <c r="E12" s="90"/>
      <c r="F12" s="91"/>
      <c r="G12" s="92"/>
      <c r="H12" s="93"/>
      <c r="I12" s="94">
        <f t="shared" si="0"/>
        <v>0</v>
      </c>
      <c r="J12" s="95">
        <v>1</v>
      </c>
      <c r="K12" s="94">
        <f t="shared" si="1"/>
        <v>0</v>
      </c>
      <c r="L12" s="96">
        <f t="shared" si="2"/>
        <v>0</v>
      </c>
      <c r="M12" s="97">
        <v>0</v>
      </c>
      <c r="N12" s="97">
        <v>0.05</v>
      </c>
      <c r="O12" s="98">
        <f t="shared" si="3"/>
        <v>0</v>
      </c>
      <c r="P12" s="75"/>
      <c r="S12" s="123">
        <f t="shared" si="4"/>
        <v>0</v>
      </c>
      <c r="T12" s="123">
        <f t="shared" si="5"/>
        <v>0</v>
      </c>
      <c r="V12" s="120">
        <f t="shared" si="6"/>
        <v>0</v>
      </c>
      <c r="W12" s="121" t="b">
        <f t="shared" si="7"/>
        <v>1</v>
      </c>
      <c r="X12" s="120">
        <f t="shared" si="8"/>
        <v>0</v>
      </c>
    </row>
    <row r="13" spans="1:24">
      <c r="A13" s="88">
        <v>10</v>
      </c>
      <c r="B13" s="88"/>
      <c r="C13" s="75"/>
      <c r="D13" s="89"/>
      <c r="E13" s="90"/>
      <c r="F13" s="91"/>
      <c r="G13" s="92"/>
      <c r="H13" s="93"/>
      <c r="I13" s="94">
        <f t="shared" si="0"/>
        <v>0</v>
      </c>
      <c r="J13" s="95">
        <v>1</v>
      </c>
      <c r="K13" s="94">
        <f t="shared" si="1"/>
        <v>0</v>
      </c>
      <c r="L13" s="96">
        <f t="shared" si="2"/>
        <v>0</v>
      </c>
      <c r="M13" s="97">
        <v>0</v>
      </c>
      <c r="N13" s="97">
        <v>0.05</v>
      </c>
      <c r="O13" s="98">
        <f t="shared" si="3"/>
        <v>0</v>
      </c>
      <c r="P13" s="75"/>
      <c r="S13" s="123">
        <f t="shared" si="4"/>
        <v>0</v>
      </c>
      <c r="T13" s="123">
        <f t="shared" si="5"/>
        <v>0</v>
      </c>
      <c r="V13" s="120">
        <f t="shared" si="6"/>
        <v>0</v>
      </c>
      <c r="W13" s="121" t="b">
        <f t="shared" si="7"/>
        <v>1</v>
      </c>
      <c r="X13" s="120">
        <f t="shared" si="8"/>
        <v>0</v>
      </c>
    </row>
    <row r="14" spans="1:24">
      <c r="A14" s="88">
        <v>11</v>
      </c>
      <c r="B14" s="88"/>
      <c r="C14" s="75"/>
      <c r="D14" s="89"/>
      <c r="E14" s="90"/>
      <c r="F14" s="91"/>
      <c r="G14" s="92"/>
      <c r="H14" s="93"/>
      <c r="I14" s="94">
        <f t="shared" si="0"/>
        <v>0</v>
      </c>
      <c r="J14" s="95">
        <v>1</v>
      </c>
      <c r="K14" s="94">
        <f t="shared" si="1"/>
        <v>0</v>
      </c>
      <c r="L14" s="96">
        <f t="shared" si="2"/>
        <v>0</v>
      </c>
      <c r="M14" s="97">
        <v>0</v>
      </c>
      <c r="N14" s="97">
        <v>0.05</v>
      </c>
      <c r="O14" s="98">
        <f t="shared" si="3"/>
        <v>0</v>
      </c>
      <c r="P14" s="75"/>
      <c r="S14" s="123">
        <f t="shared" si="4"/>
        <v>0</v>
      </c>
      <c r="T14" s="123">
        <f t="shared" si="5"/>
        <v>0</v>
      </c>
      <c r="V14" s="120">
        <f t="shared" si="6"/>
        <v>0</v>
      </c>
      <c r="W14" s="121" t="b">
        <f t="shared" si="7"/>
        <v>1</v>
      </c>
      <c r="X14" s="120">
        <f t="shared" si="8"/>
        <v>0</v>
      </c>
    </row>
    <row r="15" spans="1:24">
      <c r="A15" s="88">
        <v>12</v>
      </c>
      <c r="B15" s="88"/>
      <c r="C15" s="101"/>
      <c r="D15" s="89"/>
      <c r="E15" s="90"/>
      <c r="F15" s="91"/>
      <c r="G15" s="92"/>
      <c r="H15" s="93"/>
      <c r="I15" s="94">
        <f t="shared" si="0"/>
        <v>0</v>
      </c>
      <c r="J15" s="95">
        <v>1</v>
      </c>
      <c r="K15" s="94">
        <f t="shared" si="1"/>
        <v>0</v>
      </c>
      <c r="L15" s="96">
        <f t="shared" si="2"/>
        <v>0</v>
      </c>
      <c r="M15" s="97">
        <v>0</v>
      </c>
      <c r="N15" s="97">
        <v>0.05</v>
      </c>
      <c r="O15" s="98">
        <f t="shared" si="3"/>
        <v>0</v>
      </c>
      <c r="P15" s="75"/>
      <c r="S15" s="123">
        <f t="shared" si="4"/>
        <v>0</v>
      </c>
      <c r="T15" s="123">
        <f t="shared" si="5"/>
        <v>0</v>
      </c>
      <c r="V15" s="120">
        <f t="shared" si="6"/>
        <v>0</v>
      </c>
      <c r="W15" s="121" t="b">
        <f t="shared" si="7"/>
        <v>1</v>
      </c>
      <c r="X15" s="120">
        <f t="shared" si="8"/>
        <v>0</v>
      </c>
    </row>
    <row r="16" spans="1:24">
      <c r="A16" s="88">
        <v>13</v>
      </c>
      <c r="B16" s="88"/>
      <c r="C16" s="75"/>
      <c r="D16" s="89"/>
      <c r="E16" s="90"/>
      <c r="F16" s="91"/>
      <c r="G16" s="102"/>
      <c r="H16" s="93"/>
      <c r="I16" s="94">
        <f t="shared" si="0"/>
        <v>0</v>
      </c>
      <c r="J16" s="95">
        <v>1</v>
      </c>
      <c r="K16" s="94">
        <f t="shared" si="1"/>
        <v>0</v>
      </c>
      <c r="L16" s="96">
        <f t="shared" si="2"/>
        <v>0</v>
      </c>
      <c r="M16" s="97">
        <v>0</v>
      </c>
      <c r="N16" s="97">
        <v>0.05</v>
      </c>
      <c r="O16" s="98">
        <f t="shared" si="3"/>
        <v>0</v>
      </c>
      <c r="P16" s="75"/>
      <c r="S16" s="123">
        <f t="shared" si="4"/>
        <v>0</v>
      </c>
      <c r="T16" s="123">
        <f t="shared" si="5"/>
        <v>0</v>
      </c>
      <c r="V16" s="120">
        <f t="shared" si="6"/>
        <v>0</v>
      </c>
      <c r="W16" s="121" t="b">
        <f t="shared" si="7"/>
        <v>1</v>
      </c>
      <c r="X16" s="120">
        <f t="shared" si="8"/>
        <v>0</v>
      </c>
    </row>
    <row r="17" spans="1:24">
      <c r="A17" s="88">
        <v>14</v>
      </c>
      <c r="B17" s="88"/>
      <c r="C17" s="75"/>
      <c r="D17" s="89"/>
      <c r="E17" s="90"/>
      <c r="F17" s="91"/>
      <c r="G17" s="102"/>
      <c r="H17" s="93"/>
      <c r="I17" s="94">
        <f t="shared" si="0"/>
        <v>0</v>
      </c>
      <c r="J17" s="95">
        <v>1</v>
      </c>
      <c r="K17" s="94">
        <f t="shared" si="1"/>
        <v>0</v>
      </c>
      <c r="L17" s="96">
        <f t="shared" si="2"/>
        <v>0</v>
      </c>
      <c r="M17" s="97">
        <v>0</v>
      </c>
      <c r="N17" s="97">
        <v>0.05</v>
      </c>
      <c r="O17" s="98">
        <f t="shared" si="3"/>
        <v>0</v>
      </c>
      <c r="P17" s="75"/>
      <c r="S17" s="123">
        <f t="shared" si="4"/>
        <v>0</v>
      </c>
      <c r="T17" s="123">
        <f t="shared" si="5"/>
        <v>0</v>
      </c>
      <c r="V17" s="120">
        <f t="shared" si="6"/>
        <v>0</v>
      </c>
      <c r="W17" s="121" t="b">
        <f t="shared" si="7"/>
        <v>1</v>
      </c>
      <c r="X17" s="120">
        <f t="shared" si="8"/>
        <v>0</v>
      </c>
    </row>
    <row r="18" spans="1:24">
      <c r="A18" s="88">
        <v>15</v>
      </c>
      <c r="B18" s="88"/>
      <c r="C18" s="75"/>
      <c r="D18" s="89"/>
      <c r="E18" s="90"/>
      <c r="F18" s="91"/>
      <c r="G18" s="102"/>
      <c r="H18" s="93"/>
      <c r="I18" s="94">
        <f t="shared" si="0"/>
        <v>0</v>
      </c>
      <c r="J18" s="95">
        <v>1</v>
      </c>
      <c r="K18" s="94">
        <f t="shared" si="1"/>
        <v>0</v>
      </c>
      <c r="L18" s="96">
        <f t="shared" si="2"/>
        <v>0</v>
      </c>
      <c r="M18" s="97">
        <v>0</v>
      </c>
      <c r="N18" s="97">
        <v>0.05</v>
      </c>
      <c r="O18" s="98">
        <f t="shared" si="3"/>
        <v>0</v>
      </c>
      <c r="P18" s="75"/>
      <c r="S18" s="123">
        <f t="shared" si="4"/>
        <v>0</v>
      </c>
      <c r="T18" s="123">
        <f t="shared" si="5"/>
        <v>0</v>
      </c>
      <c r="V18" s="120">
        <f t="shared" si="6"/>
        <v>0</v>
      </c>
      <c r="W18" s="121" t="b">
        <f t="shared" si="7"/>
        <v>1</v>
      </c>
      <c r="X18" s="120">
        <f t="shared" si="8"/>
        <v>0</v>
      </c>
    </row>
    <row r="19" spans="1:24">
      <c r="A19" s="88">
        <v>16</v>
      </c>
      <c r="B19" s="88"/>
      <c r="C19" s="75"/>
      <c r="D19" s="89"/>
      <c r="E19" s="90"/>
      <c r="F19" s="91"/>
      <c r="G19" s="102"/>
      <c r="H19" s="93"/>
      <c r="I19" s="94">
        <f t="shared" si="0"/>
        <v>0</v>
      </c>
      <c r="J19" s="95">
        <v>1</v>
      </c>
      <c r="K19" s="94">
        <f t="shared" si="1"/>
        <v>0</v>
      </c>
      <c r="L19" s="96">
        <f t="shared" si="2"/>
        <v>0</v>
      </c>
      <c r="M19" s="97">
        <v>0</v>
      </c>
      <c r="N19" s="97">
        <v>0.05</v>
      </c>
      <c r="O19" s="98">
        <f t="shared" si="3"/>
        <v>0</v>
      </c>
      <c r="P19" s="75"/>
      <c r="S19" s="123">
        <f t="shared" si="4"/>
        <v>0</v>
      </c>
      <c r="T19" s="123">
        <f t="shared" si="5"/>
        <v>0</v>
      </c>
      <c r="V19" s="120">
        <f t="shared" si="6"/>
        <v>0</v>
      </c>
      <c r="W19" s="121" t="b">
        <f t="shared" si="7"/>
        <v>1</v>
      </c>
      <c r="X19" s="120">
        <f t="shared" si="8"/>
        <v>0</v>
      </c>
    </row>
    <row r="20" spans="1:24">
      <c r="A20" s="88">
        <v>17</v>
      </c>
      <c r="B20" s="88"/>
      <c r="C20" s="75"/>
      <c r="D20" s="89"/>
      <c r="E20" s="90"/>
      <c r="F20" s="91"/>
      <c r="G20" s="92"/>
      <c r="H20" s="93"/>
      <c r="I20" s="94">
        <f t="shared" si="0"/>
        <v>0</v>
      </c>
      <c r="J20" s="95">
        <v>1</v>
      </c>
      <c r="K20" s="94">
        <f t="shared" si="1"/>
        <v>0</v>
      </c>
      <c r="L20" s="96">
        <f t="shared" si="2"/>
        <v>0</v>
      </c>
      <c r="M20" s="97">
        <v>0</v>
      </c>
      <c r="N20" s="97">
        <v>0.05</v>
      </c>
      <c r="O20" s="98">
        <f t="shared" si="3"/>
        <v>0</v>
      </c>
      <c r="P20" s="75"/>
      <c r="S20" s="123">
        <f t="shared" si="4"/>
        <v>0</v>
      </c>
      <c r="T20" s="123">
        <f t="shared" si="5"/>
        <v>0</v>
      </c>
      <c r="V20" s="120">
        <f t="shared" si="6"/>
        <v>0</v>
      </c>
      <c r="W20" s="121" t="b">
        <f t="shared" si="7"/>
        <v>1</v>
      </c>
      <c r="X20" s="120">
        <f t="shared" si="8"/>
        <v>0</v>
      </c>
    </row>
    <row r="21" spans="1:24">
      <c r="A21" s="88">
        <v>18</v>
      </c>
      <c r="B21" s="88"/>
      <c r="C21" s="75"/>
      <c r="D21" s="89"/>
      <c r="E21" s="90"/>
      <c r="F21" s="91"/>
      <c r="G21" s="92"/>
      <c r="H21" s="93"/>
      <c r="I21" s="94">
        <f t="shared" si="0"/>
        <v>0</v>
      </c>
      <c r="J21" s="95">
        <v>1</v>
      </c>
      <c r="K21" s="94">
        <f t="shared" si="1"/>
        <v>0</v>
      </c>
      <c r="L21" s="96">
        <f t="shared" si="2"/>
        <v>0</v>
      </c>
      <c r="M21" s="97">
        <v>0</v>
      </c>
      <c r="N21" s="97">
        <v>0.05</v>
      </c>
      <c r="O21" s="98">
        <f t="shared" si="3"/>
        <v>0</v>
      </c>
      <c r="P21" s="75"/>
      <c r="S21" s="123">
        <f t="shared" si="4"/>
        <v>0</v>
      </c>
      <c r="T21" s="123">
        <f t="shared" si="5"/>
        <v>0</v>
      </c>
      <c r="V21" s="120">
        <f t="shared" si="6"/>
        <v>0</v>
      </c>
      <c r="W21" s="121" t="b">
        <f t="shared" si="7"/>
        <v>1</v>
      </c>
      <c r="X21" s="120">
        <f t="shared" si="8"/>
        <v>0</v>
      </c>
    </row>
    <row r="22" spans="1:24">
      <c r="A22" s="88">
        <v>19</v>
      </c>
      <c r="B22" s="88"/>
      <c r="C22" s="75"/>
      <c r="D22" s="89"/>
      <c r="E22" s="90"/>
      <c r="F22" s="91"/>
      <c r="G22" s="92"/>
      <c r="H22" s="93"/>
      <c r="I22" s="94">
        <f t="shared" si="0"/>
        <v>0</v>
      </c>
      <c r="J22" s="95">
        <v>1</v>
      </c>
      <c r="K22" s="94">
        <f t="shared" si="1"/>
        <v>0</v>
      </c>
      <c r="L22" s="96">
        <f t="shared" si="2"/>
        <v>0</v>
      </c>
      <c r="M22" s="97">
        <v>0</v>
      </c>
      <c r="N22" s="97">
        <v>0.05</v>
      </c>
      <c r="O22" s="98">
        <f t="shared" si="3"/>
        <v>0</v>
      </c>
      <c r="P22" s="75"/>
      <c r="S22" s="123">
        <f t="shared" si="4"/>
        <v>0</v>
      </c>
      <c r="T22" s="123">
        <f t="shared" si="5"/>
        <v>0</v>
      </c>
      <c r="V22" s="120">
        <f t="shared" si="6"/>
        <v>0</v>
      </c>
      <c r="W22" s="121" t="b">
        <f t="shared" si="7"/>
        <v>1</v>
      </c>
      <c r="X22" s="120">
        <f t="shared" si="8"/>
        <v>0</v>
      </c>
    </row>
    <row r="23" spans="1:24">
      <c r="A23" s="88">
        <v>20</v>
      </c>
      <c r="B23" s="88"/>
      <c r="C23" s="75"/>
      <c r="D23" s="89"/>
      <c r="E23" s="90"/>
      <c r="F23" s="91"/>
      <c r="G23" s="92"/>
      <c r="H23" s="93"/>
      <c r="I23" s="94">
        <f t="shared" si="0"/>
        <v>0</v>
      </c>
      <c r="J23" s="95">
        <v>1</v>
      </c>
      <c r="K23" s="94">
        <f t="shared" si="1"/>
        <v>0</v>
      </c>
      <c r="L23" s="96">
        <f t="shared" si="2"/>
        <v>0</v>
      </c>
      <c r="M23" s="97">
        <v>0</v>
      </c>
      <c r="N23" s="97">
        <v>0.05</v>
      </c>
      <c r="O23" s="98">
        <f t="shared" si="3"/>
        <v>0</v>
      </c>
      <c r="P23" s="75"/>
      <c r="S23" s="123">
        <f t="shared" si="4"/>
        <v>0</v>
      </c>
      <c r="T23" s="123">
        <f t="shared" si="5"/>
        <v>0</v>
      </c>
      <c r="V23" s="120">
        <f t="shared" si="6"/>
        <v>0</v>
      </c>
      <c r="W23" s="121" t="b">
        <f t="shared" si="7"/>
        <v>1</v>
      </c>
      <c r="X23" s="120">
        <f t="shared" si="8"/>
        <v>0</v>
      </c>
    </row>
    <row r="24" spans="1:24">
      <c r="A24" s="88">
        <v>21</v>
      </c>
      <c r="B24" s="88"/>
      <c r="C24" s="75"/>
      <c r="D24" s="89"/>
      <c r="E24" s="90"/>
      <c r="F24" s="91"/>
      <c r="G24" s="102"/>
      <c r="H24" s="93"/>
      <c r="I24" s="94">
        <f t="shared" si="0"/>
        <v>0</v>
      </c>
      <c r="J24" s="95">
        <v>1</v>
      </c>
      <c r="K24" s="94">
        <f t="shared" si="1"/>
        <v>0</v>
      </c>
      <c r="L24" s="96">
        <f t="shared" si="2"/>
        <v>0</v>
      </c>
      <c r="M24" s="97">
        <v>0</v>
      </c>
      <c r="N24" s="97">
        <v>0.05</v>
      </c>
      <c r="O24" s="98">
        <f t="shared" si="3"/>
        <v>0</v>
      </c>
      <c r="P24" s="75"/>
      <c r="S24" s="123">
        <f t="shared" si="4"/>
        <v>0</v>
      </c>
      <c r="T24" s="123">
        <f t="shared" si="5"/>
        <v>0</v>
      </c>
      <c r="V24" s="120">
        <f t="shared" si="6"/>
        <v>0</v>
      </c>
      <c r="W24" s="121" t="b">
        <f t="shared" si="7"/>
        <v>1</v>
      </c>
      <c r="X24" s="120">
        <f t="shared" si="8"/>
        <v>0</v>
      </c>
    </row>
    <row r="25" spans="1:24">
      <c r="A25" s="88">
        <v>22</v>
      </c>
      <c r="B25" s="88"/>
      <c r="C25" s="75"/>
      <c r="D25" s="89"/>
      <c r="E25" s="90"/>
      <c r="F25" s="91"/>
      <c r="G25" s="92"/>
      <c r="H25" s="93"/>
      <c r="I25" s="94">
        <f t="shared" si="0"/>
        <v>0</v>
      </c>
      <c r="J25" s="95">
        <v>1</v>
      </c>
      <c r="K25" s="94">
        <f t="shared" si="1"/>
        <v>0</v>
      </c>
      <c r="L25" s="96">
        <f t="shared" si="2"/>
        <v>0</v>
      </c>
      <c r="M25" s="97">
        <v>0</v>
      </c>
      <c r="N25" s="97">
        <v>0.05</v>
      </c>
      <c r="O25" s="98">
        <f t="shared" si="3"/>
        <v>0</v>
      </c>
      <c r="P25" s="75"/>
      <c r="S25" s="123">
        <f t="shared" si="4"/>
        <v>0</v>
      </c>
      <c r="T25" s="123">
        <f t="shared" si="5"/>
        <v>0</v>
      </c>
      <c r="V25" s="120">
        <f t="shared" si="6"/>
        <v>0</v>
      </c>
      <c r="W25" s="121" t="b">
        <f t="shared" si="7"/>
        <v>1</v>
      </c>
      <c r="X25" s="120">
        <f t="shared" si="8"/>
        <v>0</v>
      </c>
    </row>
    <row r="26" spans="1:24">
      <c r="A26" s="88">
        <v>23</v>
      </c>
      <c r="B26" s="88"/>
      <c r="C26" s="75"/>
      <c r="D26" s="89"/>
      <c r="E26" s="90"/>
      <c r="F26" s="91"/>
      <c r="G26" s="92"/>
      <c r="H26" s="93"/>
      <c r="I26" s="94">
        <f t="shared" si="0"/>
        <v>0</v>
      </c>
      <c r="J26" s="95">
        <v>1</v>
      </c>
      <c r="K26" s="94">
        <f t="shared" si="1"/>
        <v>0</v>
      </c>
      <c r="L26" s="96">
        <f t="shared" si="2"/>
        <v>0</v>
      </c>
      <c r="M26" s="97">
        <v>0</v>
      </c>
      <c r="N26" s="97">
        <v>0.05</v>
      </c>
      <c r="O26" s="98">
        <f t="shared" si="3"/>
        <v>0</v>
      </c>
      <c r="P26" s="75"/>
      <c r="S26" s="123">
        <f t="shared" si="4"/>
        <v>0</v>
      </c>
      <c r="T26" s="123">
        <f t="shared" si="5"/>
        <v>0</v>
      </c>
      <c r="V26" s="120">
        <f t="shared" si="6"/>
        <v>0</v>
      </c>
      <c r="W26" s="121" t="b">
        <f t="shared" si="7"/>
        <v>1</v>
      </c>
      <c r="X26" s="120">
        <f t="shared" si="8"/>
        <v>0</v>
      </c>
    </row>
    <row r="27" spans="1:24">
      <c r="A27" s="88">
        <v>24</v>
      </c>
      <c r="B27" s="88"/>
      <c r="C27" s="75"/>
      <c r="D27" s="89"/>
      <c r="E27" s="90"/>
      <c r="F27" s="91"/>
      <c r="G27" s="92"/>
      <c r="H27" s="93"/>
      <c r="I27" s="94">
        <f t="shared" si="0"/>
        <v>0</v>
      </c>
      <c r="J27" s="95">
        <v>1</v>
      </c>
      <c r="K27" s="94">
        <f t="shared" si="1"/>
        <v>0</v>
      </c>
      <c r="L27" s="96">
        <f t="shared" si="2"/>
        <v>0</v>
      </c>
      <c r="M27" s="97">
        <v>0</v>
      </c>
      <c r="N27" s="97">
        <v>0.05</v>
      </c>
      <c r="O27" s="98">
        <f t="shared" si="3"/>
        <v>0</v>
      </c>
      <c r="P27" s="75"/>
      <c r="S27" s="123">
        <f t="shared" si="4"/>
        <v>0</v>
      </c>
      <c r="T27" s="123">
        <f t="shared" si="5"/>
        <v>0</v>
      </c>
      <c r="V27" s="120">
        <f t="shared" si="6"/>
        <v>0</v>
      </c>
      <c r="W27" s="121" t="b">
        <f t="shared" si="7"/>
        <v>1</v>
      </c>
      <c r="X27" s="120">
        <f t="shared" si="8"/>
        <v>0</v>
      </c>
    </row>
    <row r="28" spans="1:24">
      <c r="A28" s="88">
        <v>25</v>
      </c>
      <c r="B28" s="88"/>
      <c r="C28" s="75"/>
      <c r="D28" s="89"/>
      <c r="E28" s="90"/>
      <c r="F28" s="91"/>
      <c r="G28" s="92"/>
      <c r="H28" s="93"/>
      <c r="I28" s="94">
        <f t="shared" si="0"/>
        <v>0</v>
      </c>
      <c r="J28" s="95">
        <v>1</v>
      </c>
      <c r="K28" s="94">
        <f t="shared" si="1"/>
        <v>0</v>
      </c>
      <c r="L28" s="96">
        <f t="shared" si="2"/>
        <v>0</v>
      </c>
      <c r="M28" s="97">
        <v>0</v>
      </c>
      <c r="N28" s="97">
        <v>0.05</v>
      </c>
      <c r="O28" s="98">
        <f t="shared" si="3"/>
        <v>0</v>
      </c>
      <c r="P28" s="75"/>
      <c r="S28" s="123">
        <f t="shared" si="4"/>
        <v>0</v>
      </c>
      <c r="T28" s="123">
        <f t="shared" si="5"/>
        <v>0</v>
      </c>
      <c r="V28" s="120">
        <f t="shared" si="6"/>
        <v>0</v>
      </c>
      <c r="W28" s="121" t="b">
        <f t="shared" si="7"/>
        <v>1</v>
      </c>
      <c r="X28" s="120">
        <f t="shared" si="8"/>
        <v>0</v>
      </c>
    </row>
    <row r="29" spans="1:24">
      <c r="A29" s="88">
        <v>26</v>
      </c>
      <c r="B29" s="88"/>
      <c r="C29" s="75"/>
      <c r="D29" s="89"/>
      <c r="E29" s="90"/>
      <c r="F29" s="91"/>
      <c r="G29" s="92"/>
      <c r="H29" s="93"/>
      <c r="I29" s="94">
        <f t="shared" si="0"/>
        <v>0</v>
      </c>
      <c r="J29" s="95">
        <v>1</v>
      </c>
      <c r="K29" s="94">
        <f t="shared" si="1"/>
        <v>0</v>
      </c>
      <c r="L29" s="96">
        <f t="shared" si="2"/>
        <v>0</v>
      </c>
      <c r="M29" s="97">
        <v>0</v>
      </c>
      <c r="N29" s="97">
        <v>0.05</v>
      </c>
      <c r="O29" s="98">
        <f t="shared" si="3"/>
        <v>0</v>
      </c>
      <c r="P29" s="75"/>
      <c r="S29" s="123">
        <f t="shared" si="4"/>
        <v>0</v>
      </c>
      <c r="T29" s="123">
        <f t="shared" si="5"/>
        <v>0</v>
      </c>
      <c r="V29" s="120">
        <f t="shared" si="6"/>
        <v>0</v>
      </c>
      <c r="W29" s="121" t="b">
        <f t="shared" si="7"/>
        <v>1</v>
      </c>
      <c r="X29" s="120">
        <f t="shared" si="8"/>
        <v>0</v>
      </c>
    </row>
    <row r="30" spans="1:24">
      <c r="A30" s="88">
        <v>27</v>
      </c>
      <c r="B30" s="88"/>
      <c r="C30" s="75"/>
      <c r="D30" s="89"/>
      <c r="E30" s="90"/>
      <c r="F30" s="91"/>
      <c r="G30" s="92"/>
      <c r="H30" s="93"/>
      <c r="I30" s="94">
        <f t="shared" si="0"/>
        <v>0</v>
      </c>
      <c r="J30" s="95">
        <v>1</v>
      </c>
      <c r="K30" s="94">
        <f t="shared" si="1"/>
        <v>0</v>
      </c>
      <c r="L30" s="96">
        <f t="shared" si="2"/>
        <v>0</v>
      </c>
      <c r="M30" s="97">
        <v>0</v>
      </c>
      <c r="N30" s="97">
        <v>0.05</v>
      </c>
      <c r="O30" s="98">
        <f t="shared" si="3"/>
        <v>0</v>
      </c>
      <c r="P30" s="75"/>
      <c r="S30" s="123">
        <f t="shared" si="4"/>
        <v>0</v>
      </c>
      <c r="T30" s="123">
        <f t="shared" si="5"/>
        <v>0</v>
      </c>
      <c r="V30" s="120">
        <f t="shared" si="6"/>
        <v>0</v>
      </c>
      <c r="W30" s="121" t="b">
        <f t="shared" si="7"/>
        <v>1</v>
      </c>
      <c r="X30" s="120">
        <f t="shared" si="8"/>
        <v>0</v>
      </c>
    </row>
    <row r="31" spans="1:24">
      <c r="A31" s="88">
        <v>28</v>
      </c>
      <c r="B31" s="88"/>
      <c r="C31" s="75"/>
      <c r="D31" s="89"/>
      <c r="E31" s="90"/>
      <c r="F31" s="91"/>
      <c r="G31" s="92"/>
      <c r="H31" s="93"/>
      <c r="I31" s="94">
        <f t="shared" si="0"/>
        <v>0</v>
      </c>
      <c r="J31" s="95">
        <v>1</v>
      </c>
      <c r="K31" s="94">
        <f t="shared" si="1"/>
        <v>0</v>
      </c>
      <c r="L31" s="96">
        <f t="shared" si="2"/>
        <v>0</v>
      </c>
      <c r="M31" s="97">
        <v>0</v>
      </c>
      <c r="N31" s="97">
        <v>0.05</v>
      </c>
      <c r="O31" s="98">
        <f t="shared" si="3"/>
        <v>0</v>
      </c>
      <c r="P31" s="75"/>
      <c r="S31" s="123">
        <f t="shared" si="4"/>
        <v>0</v>
      </c>
      <c r="T31" s="123">
        <f t="shared" si="5"/>
        <v>0</v>
      </c>
      <c r="V31" s="120">
        <f t="shared" si="6"/>
        <v>0</v>
      </c>
      <c r="W31" s="121" t="b">
        <f t="shared" si="7"/>
        <v>1</v>
      </c>
      <c r="X31" s="120">
        <f t="shared" si="8"/>
        <v>0</v>
      </c>
    </row>
    <row r="32" spans="1:24">
      <c r="A32" s="88">
        <v>29</v>
      </c>
      <c r="B32" s="88"/>
      <c r="C32" s="75"/>
      <c r="D32" s="89"/>
      <c r="E32" s="90"/>
      <c r="F32" s="91"/>
      <c r="G32" s="92"/>
      <c r="H32" s="93"/>
      <c r="I32" s="94">
        <f t="shared" si="0"/>
        <v>0</v>
      </c>
      <c r="J32" s="95">
        <v>1</v>
      </c>
      <c r="K32" s="94">
        <f t="shared" si="1"/>
        <v>0</v>
      </c>
      <c r="L32" s="96">
        <f t="shared" si="2"/>
        <v>0</v>
      </c>
      <c r="M32" s="97">
        <v>0</v>
      </c>
      <c r="N32" s="97">
        <v>0.05</v>
      </c>
      <c r="O32" s="98">
        <f t="shared" si="3"/>
        <v>0</v>
      </c>
      <c r="P32" s="75"/>
      <c r="S32" s="123">
        <f t="shared" si="4"/>
        <v>0</v>
      </c>
      <c r="T32" s="123">
        <f t="shared" si="5"/>
        <v>0</v>
      </c>
      <c r="V32" s="120">
        <f t="shared" si="6"/>
        <v>0</v>
      </c>
      <c r="W32" s="121" t="b">
        <f t="shared" si="7"/>
        <v>1</v>
      </c>
      <c r="X32" s="120">
        <f t="shared" si="8"/>
        <v>0</v>
      </c>
    </row>
    <row r="33" spans="1:24">
      <c r="A33" s="88">
        <v>30</v>
      </c>
      <c r="B33" s="88"/>
      <c r="C33" s="75"/>
      <c r="D33" s="89"/>
      <c r="E33" s="90"/>
      <c r="F33" s="91"/>
      <c r="G33" s="92"/>
      <c r="H33" s="93"/>
      <c r="I33" s="94">
        <f t="shared" si="0"/>
        <v>0</v>
      </c>
      <c r="J33" s="95">
        <v>1</v>
      </c>
      <c r="K33" s="94">
        <f t="shared" si="1"/>
        <v>0</v>
      </c>
      <c r="L33" s="96">
        <f t="shared" si="2"/>
        <v>0</v>
      </c>
      <c r="M33" s="97">
        <v>0</v>
      </c>
      <c r="N33" s="97">
        <v>0.05</v>
      </c>
      <c r="O33" s="98">
        <f t="shared" si="3"/>
        <v>0</v>
      </c>
      <c r="P33" s="75"/>
      <c r="S33" s="123">
        <f t="shared" si="4"/>
        <v>0</v>
      </c>
      <c r="T33" s="123">
        <f t="shared" si="5"/>
        <v>0</v>
      </c>
      <c r="V33" s="120">
        <f t="shared" si="6"/>
        <v>0</v>
      </c>
      <c r="W33" s="121" t="b">
        <f t="shared" si="7"/>
        <v>1</v>
      </c>
      <c r="X33" s="120">
        <f t="shared" si="8"/>
        <v>0</v>
      </c>
    </row>
    <row r="34" spans="1:24">
      <c r="A34" s="88">
        <v>31</v>
      </c>
      <c r="B34" s="88"/>
      <c r="C34" s="75"/>
      <c r="D34" s="89"/>
      <c r="E34" s="90"/>
      <c r="F34" s="91"/>
      <c r="G34" s="92"/>
      <c r="H34" s="93"/>
      <c r="I34" s="94">
        <f t="shared" si="0"/>
        <v>0</v>
      </c>
      <c r="J34" s="95">
        <v>1</v>
      </c>
      <c r="K34" s="94">
        <f t="shared" si="1"/>
        <v>0</v>
      </c>
      <c r="L34" s="96">
        <f t="shared" si="2"/>
        <v>0</v>
      </c>
      <c r="M34" s="97">
        <v>0</v>
      </c>
      <c r="N34" s="97">
        <v>0.05</v>
      </c>
      <c r="O34" s="98">
        <f t="shared" si="3"/>
        <v>0</v>
      </c>
      <c r="P34" s="75"/>
      <c r="S34" s="123">
        <f t="shared" si="4"/>
        <v>0</v>
      </c>
      <c r="T34" s="123">
        <f t="shared" si="5"/>
        <v>0</v>
      </c>
      <c r="V34" s="120">
        <f t="shared" si="6"/>
        <v>0</v>
      </c>
      <c r="W34" s="121" t="b">
        <f t="shared" si="7"/>
        <v>1</v>
      </c>
      <c r="X34" s="120">
        <f t="shared" si="8"/>
        <v>0</v>
      </c>
    </row>
    <row r="35" spans="1:24">
      <c r="A35" s="88">
        <v>32</v>
      </c>
      <c r="B35" s="88"/>
      <c r="C35" s="75"/>
      <c r="D35" s="89"/>
      <c r="E35" s="90"/>
      <c r="F35" s="91"/>
      <c r="G35" s="92"/>
      <c r="H35" s="93"/>
      <c r="I35" s="94">
        <f t="shared" si="0"/>
        <v>0</v>
      </c>
      <c r="J35" s="95">
        <v>1</v>
      </c>
      <c r="K35" s="94">
        <f t="shared" si="1"/>
        <v>0</v>
      </c>
      <c r="L35" s="96">
        <f t="shared" si="2"/>
        <v>0</v>
      </c>
      <c r="M35" s="97">
        <v>0</v>
      </c>
      <c r="N35" s="97">
        <v>0.05</v>
      </c>
      <c r="O35" s="98">
        <f t="shared" si="3"/>
        <v>0</v>
      </c>
      <c r="P35" s="75"/>
      <c r="S35" s="123">
        <f t="shared" si="4"/>
        <v>0</v>
      </c>
      <c r="T35" s="123">
        <f t="shared" si="5"/>
        <v>0</v>
      </c>
      <c r="V35" s="120">
        <f t="shared" si="6"/>
        <v>0</v>
      </c>
      <c r="W35" s="121" t="b">
        <f t="shared" si="7"/>
        <v>1</v>
      </c>
      <c r="X35" s="120">
        <f t="shared" si="8"/>
        <v>0</v>
      </c>
    </row>
    <row r="36" spans="1:24">
      <c r="A36" s="88">
        <v>33</v>
      </c>
      <c r="B36" s="88"/>
      <c r="C36" s="75"/>
      <c r="D36" s="89"/>
      <c r="E36" s="90"/>
      <c r="F36" s="91"/>
      <c r="G36" s="92"/>
      <c r="H36" s="93"/>
      <c r="I36" s="94">
        <f t="shared" ref="I36:I67" si="9">SUM(G36:H36)</f>
        <v>0</v>
      </c>
      <c r="J36" s="95">
        <v>1</v>
      </c>
      <c r="K36" s="94">
        <f t="shared" si="1"/>
        <v>0</v>
      </c>
      <c r="L36" s="96">
        <f t="shared" ref="L36:L67" si="10">F36</f>
        <v>0</v>
      </c>
      <c r="M36" s="97">
        <v>0</v>
      </c>
      <c r="N36" s="97">
        <v>0.05</v>
      </c>
      <c r="O36" s="98">
        <f t="shared" si="3"/>
        <v>0</v>
      </c>
      <c r="P36" s="75"/>
      <c r="S36" s="123">
        <f t="shared" ref="S36:S67" si="11">(($L36*(1+$M36))*(1+$N36))*G36</f>
        <v>0</v>
      </c>
      <c r="T36" s="123">
        <f t="shared" ref="T36:T67" si="12">(($L36*(1+$M36))*(1+$N36))*H36</f>
        <v>0</v>
      </c>
      <c r="V36" s="120">
        <f t="shared" ref="V36:V67" si="13">SUM(S36:T36)</f>
        <v>0</v>
      </c>
      <c r="W36" s="121" t="b">
        <f t="shared" ref="W36:W67" si="14">EXACT(V36,O36)</f>
        <v>1</v>
      </c>
      <c r="X36" s="120">
        <f t="shared" ref="X36:X67" si="15">V36-O36</f>
        <v>0</v>
      </c>
    </row>
    <row r="37" spans="1:24">
      <c r="A37" s="88">
        <v>34</v>
      </c>
      <c r="B37" s="88"/>
      <c r="C37" s="75"/>
      <c r="D37" s="89"/>
      <c r="E37" s="90"/>
      <c r="F37" s="91"/>
      <c r="G37" s="92"/>
      <c r="H37" s="93"/>
      <c r="I37" s="94">
        <f t="shared" si="9"/>
        <v>0</v>
      </c>
      <c r="J37" s="95">
        <v>1</v>
      </c>
      <c r="K37" s="94">
        <f t="shared" si="1"/>
        <v>0</v>
      </c>
      <c r="L37" s="96">
        <f t="shared" si="10"/>
        <v>0</v>
      </c>
      <c r="M37" s="97">
        <v>0</v>
      </c>
      <c r="N37" s="97">
        <v>0.05</v>
      </c>
      <c r="O37" s="98">
        <f t="shared" si="3"/>
        <v>0</v>
      </c>
      <c r="P37" s="75"/>
      <c r="S37" s="123">
        <f t="shared" si="11"/>
        <v>0</v>
      </c>
      <c r="T37" s="123">
        <f t="shared" si="12"/>
        <v>0</v>
      </c>
      <c r="V37" s="120">
        <f t="shared" si="13"/>
        <v>0</v>
      </c>
      <c r="W37" s="121" t="b">
        <f t="shared" si="14"/>
        <v>1</v>
      </c>
      <c r="X37" s="120">
        <f t="shared" si="15"/>
        <v>0</v>
      </c>
    </row>
    <row r="38" spans="1:24">
      <c r="A38" s="88">
        <v>35</v>
      </c>
      <c r="B38" s="88"/>
      <c r="C38" s="75"/>
      <c r="D38" s="89"/>
      <c r="E38" s="90"/>
      <c r="F38" s="91"/>
      <c r="G38" s="103"/>
      <c r="H38" s="93"/>
      <c r="I38" s="94">
        <f t="shared" si="9"/>
        <v>0</v>
      </c>
      <c r="J38" s="95">
        <v>1</v>
      </c>
      <c r="K38" s="94">
        <f t="shared" si="1"/>
        <v>0</v>
      </c>
      <c r="L38" s="96">
        <f t="shared" si="10"/>
        <v>0</v>
      </c>
      <c r="M38" s="97">
        <v>0</v>
      </c>
      <c r="N38" s="97">
        <v>0.05</v>
      </c>
      <c r="O38" s="98">
        <f t="shared" si="3"/>
        <v>0</v>
      </c>
      <c r="P38" s="75"/>
      <c r="S38" s="123">
        <f t="shared" si="11"/>
        <v>0</v>
      </c>
      <c r="T38" s="123">
        <f t="shared" si="12"/>
        <v>0</v>
      </c>
      <c r="V38" s="120">
        <f t="shared" si="13"/>
        <v>0</v>
      </c>
      <c r="W38" s="121" t="b">
        <f t="shared" si="14"/>
        <v>1</v>
      </c>
      <c r="X38" s="120">
        <f t="shared" si="15"/>
        <v>0</v>
      </c>
    </row>
    <row r="39" spans="1:24">
      <c r="A39" s="88">
        <v>36</v>
      </c>
      <c r="B39" s="88"/>
      <c r="C39" s="75"/>
      <c r="D39" s="89"/>
      <c r="E39" s="90"/>
      <c r="F39" s="91"/>
      <c r="G39" s="103"/>
      <c r="H39" s="93"/>
      <c r="I39" s="94">
        <f t="shared" si="9"/>
        <v>0</v>
      </c>
      <c r="J39" s="95">
        <v>1</v>
      </c>
      <c r="K39" s="94">
        <f t="shared" si="1"/>
        <v>0</v>
      </c>
      <c r="L39" s="96">
        <f t="shared" si="10"/>
        <v>0</v>
      </c>
      <c r="M39" s="97">
        <v>0</v>
      </c>
      <c r="N39" s="97">
        <v>0.05</v>
      </c>
      <c r="O39" s="98">
        <f t="shared" si="3"/>
        <v>0</v>
      </c>
      <c r="P39" s="75"/>
      <c r="S39" s="123">
        <f t="shared" si="11"/>
        <v>0</v>
      </c>
      <c r="T39" s="123">
        <f t="shared" si="12"/>
        <v>0</v>
      </c>
      <c r="V39" s="120">
        <f t="shared" si="13"/>
        <v>0</v>
      </c>
      <c r="W39" s="121" t="b">
        <f t="shared" si="14"/>
        <v>1</v>
      </c>
      <c r="X39" s="120">
        <f t="shared" si="15"/>
        <v>0</v>
      </c>
    </row>
    <row r="40" spans="1:24" ht="12.75" customHeight="1">
      <c r="A40" s="88">
        <v>37</v>
      </c>
      <c r="B40" s="88"/>
      <c r="C40" s="75"/>
      <c r="D40" s="89"/>
      <c r="E40" s="90"/>
      <c r="F40" s="91"/>
      <c r="G40" s="103"/>
      <c r="H40" s="93"/>
      <c r="I40" s="94">
        <f t="shared" si="9"/>
        <v>0</v>
      </c>
      <c r="J40" s="95">
        <v>1</v>
      </c>
      <c r="K40" s="94">
        <f t="shared" si="1"/>
        <v>0</v>
      </c>
      <c r="L40" s="96">
        <f t="shared" si="10"/>
        <v>0</v>
      </c>
      <c r="M40" s="97">
        <v>0</v>
      </c>
      <c r="N40" s="97">
        <v>0.05</v>
      </c>
      <c r="O40" s="98">
        <f t="shared" si="3"/>
        <v>0</v>
      </c>
      <c r="P40" s="75"/>
      <c r="S40" s="123">
        <f t="shared" si="11"/>
        <v>0</v>
      </c>
      <c r="T40" s="123">
        <f t="shared" si="12"/>
        <v>0</v>
      </c>
      <c r="V40" s="120">
        <f t="shared" si="13"/>
        <v>0</v>
      </c>
      <c r="W40" s="121" t="b">
        <f t="shared" si="14"/>
        <v>1</v>
      </c>
      <c r="X40" s="120">
        <f t="shared" si="15"/>
        <v>0</v>
      </c>
    </row>
    <row r="41" spans="1:24" ht="12.75" customHeight="1">
      <c r="A41" s="88">
        <v>38</v>
      </c>
      <c r="B41" s="88"/>
      <c r="C41" s="75"/>
      <c r="D41" s="89"/>
      <c r="E41" s="90"/>
      <c r="F41" s="91"/>
      <c r="G41" s="92"/>
      <c r="H41" s="93"/>
      <c r="I41" s="94">
        <f t="shared" si="9"/>
        <v>0</v>
      </c>
      <c r="J41" s="95">
        <v>1</v>
      </c>
      <c r="K41" s="94">
        <f t="shared" si="1"/>
        <v>0</v>
      </c>
      <c r="L41" s="96">
        <f t="shared" si="10"/>
        <v>0</v>
      </c>
      <c r="M41" s="97">
        <v>0</v>
      </c>
      <c r="N41" s="97">
        <v>0.05</v>
      </c>
      <c r="O41" s="98">
        <f t="shared" si="3"/>
        <v>0</v>
      </c>
      <c r="P41" s="75"/>
      <c r="S41" s="123">
        <f t="shared" si="11"/>
        <v>0</v>
      </c>
      <c r="T41" s="123">
        <f t="shared" si="12"/>
        <v>0</v>
      </c>
      <c r="V41" s="120">
        <f t="shared" si="13"/>
        <v>0</v>
      </c>
      <c r="W41" s="121" t="b">
        <f t="shared" si="14"/>
        <v>1</v>
      </c>
      <c r="X41" s="120">
        <f t="shared" si="15"/>
        <v>0</v>
      </c>
    </row>
    <row r="42" spans="1:24" ht="12.75" customHeight="1">
      <c r="A42" s="88">
        <v>39</v>
      </c>
      <c r="B42" s="88"/>
      <c r="C42" s="75"/>
      <c r="D42" s="89"/>
      <c r="E42" s="90"/>
      <c r="F42" s="91"/>
      <c r="G42" s="92"/>
      <c r="H42" s="93"/>
      <c r="I42" s="94">
        <f t="shared" si="9"/>
        <v>0</v>
      </c>
      <c r="J42" s="95">
        <v>1</v>
      </c>
      <c r="K42" s="94">
        <f t="shared" si="1"/>
        <v>0</v>
      </c>
      <c r="L42" s="96">
        <f t="shared" si="10"/>
        <v>0</v>
      </c>
      <c r="M42" s="97">
        <v>0</v>
      </c>
      <c r="N42" s="97">
        <v>0.05</v>
      </c>
      <c r="O42" s="98">
        <f t="shared" si="3"/>
        <v>0</v>
      </c>
      <c r="P42" s="75"/>
      <c r="S42" s="123">
        <f t="shared" si="11"/>
        <v>0</v>
      </c>
      <c r="T42" s="123">
        <f t="shared" si="12"/>
        <v>0</v>
      </c>
      <c r="V42" s="120">
        <f t="shared" si="13"/>
        <v>0</v>
      </c>
      <c r="W42" s="121" t="b">
        <f t="shared" si="14"/>
        <v>1</v>
      </c>
      <c r="X42" s="120">
        <f t="shared" si="15"/>
        <v>0</v>
      </c>
    </row>
    <row r="43" spans="1:24" ht="12.75" customHeight="1">
      <c r="A43" s="88">
        <v>40</v>
      </c>
      <c r="B43" s="88"/>
      <c r="C43" s="75"/>
      <c r="D43" s="89"/>
      <c r="E43" s="90"/>
      <c r="F43" s="91"/>
      <c r="G43" s="92"/>
      <c r="H43" s="93"/>
      <c r="I43" s="94">
        <f t="shared" si="9"/>
        <v>0</v>
      </c>
      <c r="J43" s="95">
        <v>1</v>
      </c>
      <c r="K43" s="94">
        <f t="shared" si="1"/>
        <v>0</v>
      </c>
      <c r="L43" s="96">
        <f t="shared" si="10"/>
        <v>0</v>
      </c>
      <c r="M43" s="97">
        <v>0</v>
      </c>
      <c r="N43" s="97">
        <v>0.05</v>
      </c>
      <c r="O43" s="98">
        <f t="shared" si="3"/>
        <v>0</v>
      </c>
      <c r="P43" s="75"/>
      <c r="S43" s="123">
        <f t="shared" si="11"/>
        <v>0</v>
      </c>
      <c r="T43" s="123">
        <f t="shared" si="12"/>
        <v>0</v>
      </c>
      <c r="V43" s="120">
        <f t="shared" si="13"/>
        <v>0</v>
      </c>
      <c r="W43" s="121" t="b">
        <f t="shared" si="14"/>
        <v>1</v>
      </c>
      <c r="X43" s="120">
        <f t="shared" si="15"/>
        <v>0</v>
      </c>
    </row>
    <row r="44" spans="1:24" ht="12.75" customHeight="1">
      <c r="A44" s="88">
        <v>41</v>
      </c>
      <c r="B44" s="88"/>
      <c r="C44" s="75"/>
      <c r="D44" s="89"/>
      <c r="E44" s="90"/>
      <c r="F44" s="91"/>
      <c r="G44" s="92"/>
      <c r="H44" s="93"/>
      <c r="I44" s="94">
        <f t="shared" si="9"/>
        <v>0</v>
      </c>
      <c r="J44" s="95">
        <v>1</v>
      </c>
      <c r="K44" s="94">
        <f t="shared" si="1"/>
        <v>0</v>
      </c>
      <c r="L44" s="96">
        <f t="shared" si="10"/>
        <v>0</v>
      </c>
      <c r="M44" s="97">
        <v>0</v>
      </c>
      <c r="N44" s="97">
        <v>0.05</v>
      </c>
      <c r="O44" s="98">
        <f t="shared" si="3"/>
        <v>0</v>
      </c>
      <c r="P44" s="75"/>
      <c r="S44" s="123">
        <f t="shared" si="11"/>
        <v>0</v>
      </c>
      <c r="T44" s="123">
        <f t="shared" si="12"/>
        <v>0</v>
      </c>
      <c r="V44" s="120">
        <f t="shared" si="13"/>
        <v>0</v>
      </c>
      <c r="W44" s="121" t="b">
        <f t="shared" si="14"/>
        <v>1</v>
      </c>
      <c r="X44" s="120">
        <f t="shared" si="15"/>
        <v>0</v>
      </c>
    </row>
    <row r="45" spans="1:24" ht="12.75" customHeight="1">
      <c r="A45" s="88">
        <v>42</v>
      </c>
      <c r="B45" s="88"/>
      <c r="C45" s="75"/>
      <c r="D45" s="89"/>
      <c r="E45" s="90"/>
      <c r="F45" s="91"/>
      <c r="G45" s="92"/>
      <c r="H45" s="93"/>
      <c r="I45" s="94">
        <f t="shared" si="9"/>
        <v>0</v>
      </c>
      <c r="J45" s="95">
        <v>1</v>
      </c>
      <c r="K45" s="94">
        <f t="shared" si="1"/>
        <v>0</v>
      </c>
      <c r="L45" s="96">
        <f t="shared" si="10"/>
        <v>0</v>
      </c>
      <c r="M45" s="97">
        <v>0</v>
      </c>
      <c r="N45" s="97">
        <v>0.05</v>
      </c>
      <c r="O45" s="98">
        <f t="shared" si="3"/>
        <v>0</v>
      </c>
      <c r="P45" s="75"/>
      <c r="S45" s="123">
        <f t="shared" si="11"/>
        <v>0</v>
      </c>
      <c r="T45" s="123">
        <f t="shared" si="12"/>
        <v>0</v>
      </c>
      <c r="V45" s="120">
        <f t="shared" si="13"/>
        <v>0</v>
      </c>
      <c r="W45" s="121" t="b">
        <f t="shared" si="14"/>
        <v>1</v>
      </c>
      <c r="X45" s="120">
        <f t="shared" si="15"/>
        <v>0</v>
      </c>
    </row>
    <row r="46" spans="1:24" ht="12.75" customHeight="1">
      <c r="A46" s="88">
        <v>43</v>
      </c>
      <c r="B46" s="88"/>
      <c r="C46" s="75"/>
      <c r="D46" s="89"/>
      <c r="E46" s="90"/>
      <c r="F46" s="91"/>
      <c r="G46" s="92"/>
      <c r="H46" s="93"/>
      <c r="I46" s="94">
        <f t="shared" si="9"/>
        <v>0</v>
      </c>
      <c r="J46" s="95">
        <v>1</v>
      </c>
      <c r="K46" s="94">
        <f t="shared" si="1"/>
        <v>0</v>
      </c>
      <c r="L46" s="96">
        <f t="shared" si="10"/>
        <v>0</v>
      </c>
      <c r="M46" s="97">
        <v>0</v>
      </c>
      <c r="N46" s="97">
        <v>0.05</v>
      </c>
      <c r="O46" s="98">
        <f t="shared" si="3"/>
        <v>0</v>
      </c>
      <c r="P46" s="75"/>
      <c r="S46" s="123">
        <f t="shared" si="11"/>
        <v>0</v>
      </c>
      <c r="T46" s="123">
        <f t="shared" si="12"/>
        <v>0</v>
      </c>
      <c r="V46" s="120">
        <f t="shared" si="13"/>
        <v>0</v>
      </c>
      <c r="W46" s="121" t="b">
        <f t="shared" si="14"/>
        <v>1</v>
      </c>
      <c r="X46" s="120">
        <f t="shared" si="15"/>
        <v>0</v>
      </c>
    </row>
    <row r="47" spans="1:24" ht="12.75" customHeight="1">
      <c r="A47" s="88">
        <v>44</v>
      </c>
      <c r="B47" s="88"/>
      <c r="C47" s="75"/>
      <c r="D47" s="89"/>
      <c r="E47" s="90"/>
      <c r="F47" s="91"/>
      <c r="G47" s="92"/>
      <c r="H47" s="93"/>
      <c r="I47" s="94">
        <f t="shared" si="9"/>
        <v>0</v>
      </c>
      <c r="J47" s="95">
        <v>1</v>
      </c>
      <c r="K47" s="94">
        <f t="shared" si="1"/>
        <v>0</v>
      </c>
      <c r="L47" s="96">
        <f t="shared" si="10"/>
        <v>0</v>
      </c>
      <c r="M47" s="97">
        <v>0</v>
      </c>
      <c r="N47" s="97">
        <v>0.05</v>
      </c>
      <c r="O47" s="98">
        <f t="shared" si="3"/>
        <v>0</v>
      </c>
      <c r="P47" s="75"/>
      <c r="S47" s="123">
        <f t="shared" si="11"/>
        <v>0</v>
      </c>
      <c r="T47" s="123">
        <f t="shared" si="12"/>
        <v>0</v>
      </c>
      <c r="V47" s="120">
        <f t="shared" si="13"/>
        <v>0</v>
      </c>
      <c r="W47" s="121" t="b">
        <f t="shared" si="14"/>
        <v>1</v>
      </c>
      <c r="X47" s="120">
        <f t="shared" si="15"/>
        <v>0</v>
      </c>
    </row>
    <row r="48" spans="1:24" ht="12.75" customHeight="1">
      <c r="A48" s="88">
        <v>45</v>
      </c>
      <c r="B48" s="88"/>
      <c r="C48" s="75"/>
      <c r="D48" s="89"/>
      <c r="E48" s="90"/>
      <c r="F48" s="91"/>
      <c r="G48" s="92"/>
      <c r="H48" s="93"/>
      <c r="I48" s="94">
        <f t="shared" si="9"/>
        <v>0</v>
      </c>
      <c r="J48" s="95">
        <v>1</v>
      </c>
      <c r="K48" s="94">
        <f t="shared" si="1"/>
        <v>0</v>
      </c>
      <c r="L48" s="96">
        <f t="shared" si="10"/>
        <v>0</v>
      </c>
      <c r="M48" s="97">
        <v>0</v>
      </c>
      <c r="N48" s="97">
        <v>0.05</v>
      </c>
      <c r="O48" s="98">
        <f t="shared" si="3"/>
        <v>0</v>
      </c>
      <c r="P48" s="75"/>
      <c r="S48" s="123">
        <f t="shared" si="11"/>
        <v>0</v>
      </c>
      <c r="T48" s="123">
        <f t="shared" si="12"/>
        <v>0</v>
      </c>
      <c r="V48" s="120">
        <f t="shared" si="13"/>
        <v>0</v>
      </c>
      <c r="W48" s="121" t="b">
        <f t="shared" si="14"/>
        <v>1</v>
      </c>
      <c r="X48" s="120">
        <f t="shared" si="15"/>
        <v>0</v>
      </c>
    </row>
    <row r="49" spans="1:24" ht="12.75" customHeight="1">
      <c r="A49" s="88">
        <v>46</v>
      </c>
      <c r="B49" s="88"/>
      <c r="C49" s="75"/>
      <c r="D49" s="89"/>
      <c r="E49" s="90"/>
      <c r="F49" s="91"/>
      <c r="G49" s="92"/>
      <c r="H49" s="93"/>
      <c r="I49" s="94">
        <f t="shared" si="9"/>
        <v>0</v>
      </c>
      <c r="J49" s="95">
        <v>1</v>
      </c>
      <c r="K49" s="94">
        <f t="shared" si="1"/>
        <v>0</v>
      </c>
      <c r="L49" s="96">
        <f t="shared" si="10"/>
        <v>0</v>
      </c>
      <c r="M49" s="97">
        <v>0</v>
      </c>
      <c r="N49" s="97">
        <v>0.05</v>
      </c>
      <c r="O49" s="98">
        <f t="shared" si="3"/>
        <v>0</v>
      </c>
      <c r="P49" s="75"/>
      <c r="S49" s="123">
        <f t="shared" si="11"/>
        <v>0</v>
      </c>
      <c r="T49" s="123">
        <f t="shared" si="12"/>
        <v>0</v>
      </c>
      <c r="V49" s="120">
        <f t="shared" si="13"/>
        <v>0</v>
      </c>
      <c r="W49" s="121" t="b">
        <f t="shared" si="14"/>
        <v>1</v>
      </c>
      <c r="X49" s="120">
        <f t="shared" si="15"/>
        <v>0</v>
      </c>
    </row>
    <row r="50" spans="1:24" ht="12.75" customHeight="1">
      <c r="A50" s="88">
        <v>47</v>
      </c>
      <c r="B50" s="88"/>
      <c r="C50" s="75"/>
      <c r="D50" s="89"/>
      <c r="E50" s="90"/>
      <c r="F50" s="91"/>
      <c r="G50" s="92"/>
      <c r="H50" s="93"/>
      <c r="I50" s="94">
        <f t="shared" si="9"/>
        <v>0</v>
      </c>
      <c r="J50" s="95">
        <v>1</v>
      </c>
      <c r="K50" s="94">
        <f t="shared" si="1"/>
        <v>0</v>
      </c>
      <c r="L50" s="96">
        <f t="shared" si="10"/>
        <v>0</v>
      </c>
      <c r="M50" s="97">
        <v>0</v>
      </c>
      <c r="N50" s="97">
        <v>0.05</v>
      </c>
      <c r="O50" s="98">
        <f t="shared" si="3"/>
        <v>0</v>
      </c>
      <c r="P50" s="75"/>
      <c r="S50" s="123">
        <f t="shared" si="11"/>
        <v>0</v>
      </c>
      <c r="T50" s="123">
        <f t="shared" si="12"/>
        <v>0</v>
      </c>
      <c r="V50" s="120">
        <f t="shared" si="13"/>
        <v>0</v>
      </c>
      <c r="W50" s="121" t="b">
        <f t="shared" si="14"/>
        <v>1</v>
      </c>
      <c r="X50" s="120">
        <f t="shared" si="15"/>
        <v>0</v>
      </c>
    </row>
    <row r="51" spans="1:24" ht="12.75" customHeight="1">
      <c r="A51" s="88">
        <v>48</v>
      </c>
      <c r="B51" s="88"/>
      <c r="C51" s="75"/>
      <c r="D51" s="89"/>
      <c r="E51" s="90"/>
      <c r="F51" s="91"/>
      <c r="G51" s="92"/>
      <c r="H51" s="93"/>
      <c r="I51" s="94">
        <f t="shared" si="9"/>
        <v>0</v>
      </c>
      <c r="J51" s="95">
        <v>1</v>
      </c>
      <c r="K51" s="94">
        <f t="shared" si="1"/>
        <v>0</v>
      </c>
      <c r="L51" s="96">
        <f t="shared" si="10"/>
        <v>0</v>
      </c>
      <c r="M51" s="97">
        <v>0</v>
      </c>
      <c r="N51" s="97">
        <v>0.05</v>
      </c>
      <c r="O51" s="98">
        <f t="shared" si="3"/>
        <v>0</v>
      </c>
      <c r="P51" s="75"/>
      <c r="S51" s="123">
        <f t="shared" si="11"/>
        <v>0</v>
      </c>
      <c r="T51" s="123">
        <f t="shared" si="12"/>
        <v>0</v>
      </c>
      <c r="V51" s="120">
        <f t="shared" si="13"/>
        <v>0</v>
      </c>
      <c r="W51" s="121" t="b">
        <f t="shared" si="14"/>
        <v>1</v>
      </c>
      <c r="X51" s="120">
        <f t="shared" si="15"/>
        <v>0</v>
      </c>
    </row>
    <row r="52" spans="1:24" ht="12.75" customHeight="1">
      <c r="A52" s="88">
        <v>49</v>
      </c>
      <c r="B52" s="88"/>
      <c r="C52" s="75"/>
      <c r="D52" s="89"/>
      <c r="E52" s="90"/>
      <c r="F52" s="91"/>
      <c r="G52" s="92"/>
      <c r="H52" s="93"/>
      <c r="I52" s="94">
        <f t="shared" si="9"/>
        <v>0</v>
      </c>
      <c r="J52" s="95">
        <v>1</v>
      </c>
      <c r="K52" s="94">
        <f t="shared" si="1"/>
        <v>0</v>
      </c>
      <c r="L52" s="96">
        <f t="shared" si="10"/>
        <v>0</v>
      </c>
      <c r="M52" s="97">
        <v>0</v>
      </c>
      <c r="N52" s="97">
        <v>0.05</v>
      </c>
      <c r="O52" s="98">
        <f t="shared" si="3"/>
        <v>0</v>
      </c>
      <c r="P52" s="75"/>
      <c r="S52" s="123">
        <f t="shared" si="11"/>
        <v>0</v>
      </c>
      <c r="T52" s="123">
        <f t="shared" si="12"/>
        <v>0</v>
      </c>
      <c r="V52" s="120">
        <f t="shared" si="13"/>
        <v>0</v>
      </c>
      <c r="W52" s="121" t="b">
        <f t="shared" si="14"/>
        <v>1</v>
      </c>
      <c r="X52" s="120">
        <f t="shared" si="15"/>
        <v>0</v>
      </c>
    </row>
    <row r="53" spans="1:24" ht="12.75" customHeight="1">
      <c r="A53" s="88">
        <v>50</v>
      </c>
      <c r="B53" s="88"/>
      <c r="C53" s="75"/>
      <c r="D53" s="89"/>
      <c r="E53" s="90"/>
      <c r="F53" s="91"/>
      <c r="G53" s="92"/>
      <c r="H53" s="93"/>
      <c r="I53" s="94">
        <f t="shared" si="9"/>
        <v>0</v>
      </c>
      <c r="J53" s="95">
        <v>1</v>
      </c>
      <c r="K53" s="94">
        <f t="shared" si="1"/>
        <v>0</v>
      </c>
      <c r="L53" s="96">
        <f t="shared" si="10"/>
        <v>0</v>
      </c>
      <c r="M53" s="97">
        <v>0</v>
      </c>
      <c r="N53" s="97">
        <v>0.05</v>
      </c>
      <c r="O53" s="98">
        <f t="shared" si="3"/>
        <v>0</v>
      </c>
      <c r="P53" s="75"/>
      <c r="S53" s="123">
        <f t="shared" si="11"/>
        <v>0</v>
      </c>
      <c r="T53" s="123">
        <f t="shared" si="12"/>
        <v>0</v>
      </c>
      <c r="V53" s="120">
        <f t="shared" si="13"/>
        <v>0</v>
      </c>
      <c r="W53" s="121" t="b">
        <f t="shared" si="14"/>
        <v>1</v>
      </c>
      <c r="X53" s="120">
        <f t="shared" si="15"/>
        <v>0</v>
      </c>
    </row>
    <row r="54" spans="1:24" ht="12.75" customHeight="1">
      <c r="A54" s="88">
        <v>51</v>
      </c>
      <c r="B54" s="88"/>
      <c r="C54" s="75"/>
      <c r="D54" s="89"/>
      <c r="E54" s="90"/>
      <c r="F54" s="91"/>
      <c r="G54" s="92"/>
      <c r="H54" s="93"/>
      <c r="I54" s="94">
        <f t="shared" si="9"/>
        <v>0</v>
      </c>
      <c r="J54" s="95">
        <v>1</v>
      </c>
      <c r="K54" s="94">
        <f t="shared" si="1"/>
        <v>0</v>
      </c>
      <c r="L54" s="96">
        <f t="shared" si="10"/>
        <v>0</v>
      </c>
      <c r="M54" s="97">
        <v>0</v>
      </c>
      <c r="N54" s="97">
        <v>0.05</v>
      </c>
      <c r="O54" s="98">
        <f t="shared" si="3"/>
        <v>0</v>
      </c>
      <c r="P54" s="75"/>
      <c r="S54" s="123">
        <f t="shared" si="11"/>
        <v>0</v>
      </c>
      <c r="T54" s="123">
        <f t="shared" si="12"/>
        <v>0</v>
      </c>
      <c r="V54" s="120">
        <f t="shared" si="13"/>
        <v>0</v>
      </c>
      <c r="W54" s="121" t="b">
        <f t="shared" si="14"/>
        <v>1</v>
      </c>
      <c r="X54" s="120">
        <f t="shared" si="15"/>
        <v>0</v>
      </c>
    </row>
    <row r="55" spans="1:24" ht="12.75" customHeight="1">
      <c r="A55" s="88">
        <v>52</v>
      </c>
      <c r="B55" s="88"/>
      <c r="C55" s="75"/>
      <c r="D55" s="89"/>
      <c r="E55" s="90"/>
      <c r="F55" s="91"/>
      <c r="G55" s="92"/>
      <c r="H55" s="93"/>
      <c r="I55" s="94">
        <f t="shared" si="9"/>
        <v>0</v>
      </c>
      <c r="J55" s="95">
        <v>1</v>
      </c>
      <c r="K55" s="94">
        <f t="shared" si="1"/>
        <v>0</v>
      </c>
      <c r="L55" s="96">
        <f t="shared" si="10"/>
        <v>0</v>
      </c>
      <c r="M55" s="97">
        <v>0</v>
      </c>
      <c r="N55" s="97">
        <v>0.05</v>
      </c>
      <c r="O55" s="98">
        <f t="shared" si="3"/>
        <v>0</v>
      </c>
      <c r="P55" s="75"/>
      <c r="S55" s="123">
        <f t="shared" si="11"/>
        <v>0</v>
      </c>
      <c r="T55" s="123">
        <f t="shared" si="12"/>
        <v>0</v>
      </c>
      <c r="V55" s="120">
        <f t="shared" si="13"/>
        <v>0</v>
      </c>
      <c r="W55" s="121" t="b">
        <f t="shared" si="14"/>
        <v>1</v>
      </c>
      <c r="X55" s="120">
        <f t="shared" si="15"/>
        <v>0</v>
      </c>
    </row>
    <row r="56" spans="1:24" ht="12.75" customHeight="1">
      <c r="A56" s="88">
        <v>53</v>
      </c>
      <c r="B56" s="88"/>
      <c r="C56" s="75"/>
      <c r="D56" s="89"/>
      <c r="E56" s="90"/>
      <c r="F56" s="91"/>
      <c r="G56" s="92"/>
      <c r="H56" s="93"/>
      <c r="I56" s="94">
        <f t="shared" si="9"/>
        <v>0</v>
      </c>
      <c r="J56" s="95">
        <v>1</v>
      </c>
      <c r="K56" s="94">
        <f t="shared" si="1"/>
        <v>0</v>
      </c>
      <c r="L56" s="96">
        <f t="shared" si="10"/>
        <v>0</v>
      </c>
      <c r="M56" s="97">
        <v>0</v>
      </c>
      <c r="N56" s="97">
        <v>0.05</v>
      </c>
      <c r="O56" s="98">
        <f t="shared" si="3"/>
        <v>0</v>
      </c>
      <c r="P56" s="75"/>
      <c r="S56" s="123">
        <f t="shared" si="11"/>
        <v>0</v>
      </c>
      <c r="T56" s="123">
        <f t="shared" si="12"/>
        <v>0</v>
      </c>
      <c r="V56" s="120">
        <f t="shared" si="13"/>
        <v>0</v>
      </c>
      <c r="W56" s="121" t="b">
        <f t="shared" si="14"/>
        <v>1</v>
      </c>
      <c r="X56" s="120">
        <f t="shared" si="15"/>
        <v>0</v>
      </c>
    </row>
    <row r="57" spans="1:24" ht="12.75" customHeight="1">
      <c r="A57" s="88">
        <v>54</v>
      </c>
      <c r="B57" s="88"/>
      <c r="C57" s="75"/>
      <c r="D57" s="89"/>
      <c r="E57" s="90"/>
      <c r="F57" s="91"/>
      <c r="G57" s="92"/>
      <c r="H57" s="93"/>
      <c r="I57" s="94">
        <f t="shared" si="9"/>
        <v>0</v>
      </c>
      <c r="J57" s="95">
        <v>1</v>
      </c>
      <c r="K57" s="94">
        <f t="shared" si="1"/>
        <v>0</v>
      </c>
      <c r="L57" s="96">
        <f t="shared" si="10"/>
        <v>0</v>
      </c>
      <c r="M57" s="97">
        <v>0</v>
      </c>
      <c r="N57" s="97">
        <v>0.05</v>
      </c>
      <c r="O57" s="98">
        <f t="shared" si="3"/>
        <v>0</v>
      </c>
      <c r="P57" s="75"/>
      <c r="S57" s="123">
        <f t="shared" si="11"/>
        <v>0</v>
      </c>
      <c r="T57" s="123">
        <f t="shared" si="12"/>
        <v>0</v>
      </c>
      <c r="V57" s="120">
        <f t="shared" si="13"/>
        <v>0</v>
      </c>
      <c r="W57" s="121" t="b">
        <f t="shared" si="14"/>
        <v>1</v>
      </c>
      <c r="X57" s="120">
        <f t="shared" si="15"/>
        <v>0</v>
      </c>
    </row>
    <row r="58" spans="1:24" ht="12.75" customHeight="1">
      <c r="A58" s="88">
        <v>55</v>
      </c>
      <c r="B58" s="88"/>
      <c r="C58" s="75"/>
      <c r="D58" s="89"/>
      <c r="E58" s="90"/>
      <c r="F58" s="91"/>
      <c r="G58" s="92"/>
      <c r="H58" s="93"/>
      <c r="I58" s="94">
        <f t="shared" si="9"/>
        <v>0</v>
      </c>
      <c r="J58" s="95">
        <v>1</v>
      </c>
      <c r="K58" s="94">
        <f t="shared" si="1"/>
        <v>0</v>
      </c>
      <c r="L58" s="96">
        <f t="shared" si="10"/>
        <v>0</v>
      </c>
      <c r="M58" s="97">
        <v>0</v>
      </c>
      <c r="N58" s="97">
        <v>0.05</v>
      </c>
      <c r="O58" s="98">
        <f t="shared" si="3"/>
        <v>0</v>
      </c>
      <c r="P58" s="75"/>
      <c r="S58" s="123">
        <f t="shared" si="11"/>
        <v>0</v>
      </c>
      <c r="T58" s="123">
        <f t="shared" si="12"/>
        <v>0</v>
      </c>
      <c r="V58" s="120">
        <f t="shared" si="13"/>
        <v>0</v>
      </c>
      <c r="W58" s="121" t="b">
        <f t="shared" si="14"/>
        <v>1</v>
      </c>
      <c r="X58" s="120">
        <f t="shared" si="15"/>
        <v>0</v>
      </c>
    </row>
    <row r="59" spans="1:24" ht="12.75" customHeight="1">
      <c r="A59" s="88">
        <v>56</v>
      </c>
      <c r="B59" s="88"/>
      <c r="C59" s="75"/>
      <c r="D59" s="89"/>
      <c r="E59" s="90"/>
      <c r="F59" s="91"/>
      <c r="G59" s="92"/>
      <c r="H59" s="93"/>
      <c r="I59" s="94">
        <f t="shared" si="9"/>
        <v>0</v>
      </c>
      <c r="J59" s="95">
        <v>1</v>
      </c>
      <c r="K59" s="94">
        <f t="shared" si="1"/>
        <v>0</v>
      </c>
      <c r="L59" s="96">
        <f t="shared" si="10"/>
        <v>0</v>
      </c>
      <c r="M59" s="97">
        <v>0</v>
      </c>
      <c r="N59" s="97">
        <v>0.05</v>
      </c>
      <c r="O59" s="98">
        <f t="shared" si="3"/>
        <v>0</v>
      </c>
      <c r="P59" s="75"/>
      <c r="S59" s="123">
        <f t="shared" si="11"/>
        <v>0</v>
      </c>
      <c r="T59" s="123">
        <f t="shared" si="12"/>
        <v>0</v>
      </c>
      <c r="V59" s="120">
        <f t="shared" si="13"/>
        <v>0</v>
      </c>
      <c r="W59" s="121" t="b">
        <f t="shared" si="14"/>
        <v>1</v>
      </c>
      <c r="X59" s="120">
        <f t="shared" si="15"/>
        <v>0</v>
      </c>
    </row>
    <row r="60" spans="1:24" ht="12.75" customHeight="1">
      <c r="A60" s="88">
        <v>57</v>
      </c>
      <c r="B60" s="88"/>
      <c r="C60" s="75"/>
      <c r="D60" s="89"/>
      <c r="E60" s="90"/>
      <c r="F60" s="91"/>
      <c r="G60" s="92"/>
      <c r="H60" s="93"/>
      <c r="I60" s="94">
        <f t="shared" si="9"/>
        <v>0</v>
      </c>
      <c r="J60" s="95">
        <v>1</v>
      </c>
      <c r="K60" s="94">
        <f t="shared" si="1"/>
        <v>0</v>
      </c>
      <c r="L60" s="96">
        <f t="shared" si="10"/>
        <v>0</v>
      </c>
      <c r="M60" s="97">
        <v>0</v>
      </c>
      <c r="N60" s="97">
        <v>0.05</v>
      </c>
      <c r="O60" s="98">
        <f t="shared" si="3"/>
        <v>0</v>
      </c>
      <c r="P60" s="75"/>
      <c r="S60" s="123">
        <f t="shared" si="11"/>
        <v>0</v>
      </c>
      <c r="T60" s="123">
        <f t="shared" si="12"/>
        <v>0</v>
      </c>
      <c r="V60" s="120">
        <f t="shared" si="13"/>
        <v>0</v>
      </c>
      <c r="W60" s="121" t="b">
        <f t="shared" si="14"/>
        <v>1</v>
      </c>
      <c r="X60" s="120">
        <f t="shared" si="15"/>
        <v>0</v>
      </c>
    </row>
    <row r="61" spans="1:24" ht="12.75" customHeight="1">
      <c r="A61" s="88">
        <v>58</v>
      </c>
      <c r="B61" s="88"/>
      <c r="C61" s="75"/>
      <c r="D61" s="89"/>
      <c r="E61" s="90"/>
      <c r="F61" s="91"/>
      <c r="G61" s="92"/>
      <c r="H61" s="93"/>
      <c r="I61" s="94">
        <f t="shared" si="9"/>
        <v>0</v>
      </c>
      <c r="J61" s="95">
        <v>1</v>
      </c>
      <c r="K61" s="94">
        <f t="shared" si="1"/>
        <v>0</v>
      </c>
      <c r="L61" s="96">
        <f t="shared" si="10"/>
        <v>0</v>
      </c>
      <c r="M61" s="97">
        <v>0</v>
      </c>
      <c r="N61" s="97">
        <v>0.05</v>
      </c>
      <c r="O61" s="98">
        <f t="shared" si="3"/>
        <v>0</v>
      </c>
      <c r="P61" s="75"/>
      <c r="S61" s="123">
        <f t="shared" si="11"/>
        <v>0</v>
      </c>
      <c r="T61" s="123">
        <f t="shared" si="12"/>
        <v>0</v>
      </c>
      <c r="V61" s="120">
        <f t="shared" si="13"/>
        <v>0</v>
      </c>
      <c r="W61" s="121" t="b">
        <f t="shared" si="14"/>
        <v>1</v>
      </c>
      <c r="X61" s="120">
        <f t="shared" si="15"/>
        <v>0</v>
      </c>
    </row>
    <row r="62" spans="1:24" ht="12.75" customHeight="1">
      <c r="A62" s="88">
        <v>59</v>
      </c>
      <c r="B62" s="88"/>
      <c r="C62" s="75"/>
      <c r="D62" s="89"/>
      <c r="E62" s="90"/>
      <c r="F62" s="91"/>
      <c r="G62" s="92"/>
      <c r="H62" s="93"/>
      <c r="I62" s="94">
        <f t="shared" si="9"/>
        <v>0</v>
      </c>
      <c r="J62" s="95">
        <v>1</v>
      </c>
      <c r="K62" s="94">
        <f t="shared" si="1"/>
        <v>0</v>
      </c>
      <c r="L62" s="96">
        <f t="shared" si="10"/>
        <v>0</v>
      </c>
      <c r="M62" s="97">
        <v>0</v>
      </c>
      <c r="N62" s="97">
        <v>0.05</v>
      </c>
      <c r="O62" s="98">
        <f t="shared" si="3"/>
        <v>0</v>
      </c>
      <c r="P62" s="75"/>
      <c r="S62" s="123">
        <f t="shared" si="11"/>
        <v>0</v>
      </c>
      <c r="T62" s="123">
        <f t="shared" si="12"/>
        <v>0</v>
      </c>
      <c r="V62" s="120">
        <f t="shared" si="13"/>
        <v>0</v>
      </c>
      <c r="W62" s="121" t="b">
        <f t="shared" si="14"/>
        <v>1</v>
      </c>
      <c r="X62" s="120">
        <f t="shared" si="15"/>
        <v>0</v>
      </c>
    </row>
    <row r="63" spans="1:24" ht="12.75" customHeight="1">
      <c r="A63" s="88">
        <v>60</v>
      </c>
      <c r="B63" s="88"/>
      <c r="C63" s="75"/>
      <c r="D63" s="89"/>
      <c r="E63" s="90"/>
      <c r="F63" s="91"/>
      <c r="G63" s="92"/>
      <c r="H63" s="93"/>
      <c r="I63" s="94">
        <f t="shared" si="9"/>
        <v>0</v>
      </c>
      <c r="J63" s="95">
        <v>1</v>
      </c>
      <c r="K63" s="94">
        <f t="shared" si="1"/>
        <v>0</v>
      </c>
      <c r="L63" s="96">
        <f t="shared" si="10"/>
        <v>0</v>
      </c>
      <c r="M63" s="97">
        <v>0</v>
      </c>
      <c r="N63" s="97">
        <v>0.05</v>
      </c>
      <c r="O63" s="98">
        <f t="shared" si="3"/>
        <v>0</v>
      </c>
      <c r="P63" s="75"/>
      <c r="S63" s="123">
        <f t="shared" si="11"/>
        <v>0</v>
      </c>
      <c r="T63" s="123">
        <f t="shared" si="12"/>
        <v>0</v>
      </c>
      <c r="V63" s="120">
        <f t="shared" si="13"/>
        <v>0</v>
      </c>
      <c r="W63" s="121" t="b">
        <f t="shared" si="14"/>
        <v>1</v>
      </c>
      <c r="X63" s="120">
        <f t="shared" si="15"/>
        <v>0</v>
      </c>
    </row>
    <row r="64" spans="1:24" ht="12.75" customHeight="1">
      <c r="A64" s="88">
        <v>61</v>
      </c>
      <c r="B64" s="88"/>
      <c r="C64" s="75"/>
      <c r="D64" s="89"/>
      <c r="E64" s="90"/>
      <c r="F64" s="91"/>
      <c r="G64" s="92"/>
      <c r="H64" s="93"/>
      <c r="I64" s="94">
        <f t="shared" si="9"/>
        <v>0</v>
      </c>
      <c r="J64" s="95">
        <v>1</v>
      </c>
      <c r="K64" s="94">
        <f t="shared" si="1"/>
        <v>0</v>
      </c>
      <c r="L64" s="96">
        <f t="shared" si="10"/>
        <v>0</v>
      </c>
      <c r="M64" s="97">
        <v>0</v>
      </c>
      <c r="N64" s="97">
        <v>0.05</v>
      </c>
      <c r="O64" s="98">
        <f t="shared" si="3"/>
        <v>0</v>
      </c>
      <c r="P64" s="75"/>
      <c r="S64" s="123">
        <f t="shared" si="11"/>
        <v>0</v>
      </c>
      <c r="T64" s="123">
        <f t="shared" si="12"/>
        <v>0</v>
      </c>
      <c r="V64" s="120">
        <f t="shared" si="13"/>
        <v>0</v>
      </c>
      <c r="W64" s="121" t="b">
        <f t="shared" si="14"/>
        <v>1</v>
      </c>
      <c r="X64" s="120">
        <f t="shared" si="15"/>
        <v>0</v>
      </c>
    </row>
    <row r="65" spans="1:24" ht="12.75" customHeight="1">
      <c r="A65" s="88">
        <v>62</v>
      </c>
      <c r="B65" s="88"/>
      <c r="C65" s="75"/>
      <c r="D65" s="89"/>
      <c r="E65" s="90"/>
      <c r="F65" s="91"/>
      <c r="G65" s="92"/>
      <c r="H65" s="93"/>
      <c r="I65" s="94">
        <f t="shared" si="9"/>
        <v>0</v>
      </c>
      <c r="J65" s="95">
        <v>1</v>
      </c>
      <c r="K65" s="94">
        <f t="shared" si="1"/>
        <v>0</v>
      </c>
      <c r="L65" s="96">
        <f t="shared" si="10"/>
        <v>0</v>
      </c>
      <c r="M65" s="97">
        <v>0</v>
      </c>
      <c r="N65" s="97">
        <v>0.05</v>
      </c>
      <c r="O65" s="98">
        <f t="shared" si="3"/>
        <v>0</v>
      </c>
      <c r="P65" s="75"/>
      <c r="S65" s="123">
        <f t="shared" si="11"/>
        <v>0</v>
      </c>
      <c r="T65" s="123">
        <f t="shared" si="12"/>
        <v>0</v>
      </c>
      <c r="V65" s="120">
        <f t="shared" si="13"/>
        <v>0</v>
      </c>
      <c r="W65" s="121" t="b">
        <f t="shared" si="14"/>
        <v>1</v>
      </c>
      <c r="X65" s="120">
        <f t="shared" si="15"/>
        <v>0</v>
      </c>
    </row>
    <row r="66" spans="1:24" ht="12.75" customHeight="1">
      <c r="A66" s="88">
        <v>63</v>
      </c>
      <c r="B66" s="88"/>
      <c r="C66" s="75"/>
      <c r="D66" s="89"/>
      <c r="E66" s="90"/>
      <c r="F66" s="91"/>
      <c r="G66" s="92"/>
      <c r="H66" s="93"/>
      <c r="I66" s="94">
        <f t="shared" si="9"/>
        <v>0</v>
      </c>
      <c r="J66" s="95">
        <v>1</v>
      </c>
      <c r="K66" s="94">
        <f t="shared" si="1"/>
        <v>0</v>
      </c>
      <c r="L66" s="96">
        <f t="shared" si="10"/>
        <v>0</v>
      </c>
      <c r="M66" s="97">
        <v>0</v>
      </c>
      <c r="N66" s="97">
        <v>0.05</v>
      </c>
      <c r="O66" s="98">
        <f t="shared" si="3"/>
        <v>0</v>
      </c>
      <c r="P66" s="75"/>
      <c r="S66" s="123">
        <f t="shared" si="11"/>
        <v>0</v>
      </c>
      <c r="T66" s="123">
        <f t="shared" si="12"/>
        <v>0</v>
      </c>
      <c r="V66" s="120">
        <f t="shared" si="13"/>
        <v>0</v>
      </c>
      <c r="W66" s="121" t="b">
        <f t="shared" si="14"/>
        <v>1</v>
      </c>
      <c r="X66" s="120">
        <f t="shared" si="15"/>
        <v>0</v>
      </c>
    </row>
    <row r="67" spans="1:24" ht="12.75" customHeight="1">
      <c r="A67" s="88">
        <v>64</v>
      </c>
      <c r="B67" s="88"/>
      <c r="C67" s="75"/>
      <c r="D67" s="89"/>
      <c r="E67" s="90"/>
      <c r="F67" s="91"/>
      <c r="G67" s="92"/>
      <c r="H67" s="93"/>
      <c r="I67" s="94">
        <f t="shared" si="9"/>
        <v>0</v>
      </c>
      <c r="J67" s="95">
        <v>1</v>
      </c>
      <c r="K67" s="94">
        <f t="shared" si="1"/>
        <v>0</v>
      </c>
      <c r="L67" s="96">
        <f t="shared" si="10"/>
        <v>0</v>
      </c>
      <c r="M67" s="97">
        <v>0</v>
      </c>
      <c r="N67" s="97">
        <v>0.05</v>
      </c>
      <c r="O67" s="98">
        <f t="shared" si="3"/>
        <v>0</v>
      </c>
      <c r="P67" s="75"/>
      <c r="S67" s="123">
        <f t="shared" si="11"/>
        <v>0</v>
      </c>
      <c r="T67" s="123">
        <f t="shared" si="12"/>
        <v>0</v>
      </c>
      <c r="V67" s="120">
        <f t="shared" si="13"/>
        <v>0</v>
      </c>
      <c r="W67" s="121" t="b">
        <f t="shared" si="14"/>
        <v>1</v>
      </c>
      <c r="X67" s="120">
        <f t="shared" si="15"/>
        <v>0</v>
      </c>
    </row>
    <row r="68" spans="1:24" ht="12.75" customHeight="1">
      <c r="A68" s="88">
        <v>65</v>
      </c>
      <c r="B68" s="88"/>
      <c r="C68" s="75"/>
      <c r="D68" s="89"/>
      <c r="E68" s="90"/>
      <c r="F68" s="91"/>
      <c r="G68" s="92"/>
      <c r="H68" s="93"/>
      <c r="I68" s="94">
        <f t="shared" ref="I68:I99" si="16">SUM(G68:H68)</f>
        <v>0</v>
      </c>
      <c r="J68" s="95">
        <v>1</v>
      </c>
      <c r="K68" s="94">
        <f t="shared" si="1"/>
        <v>0</v>
      </c>
      <c r="L68" s="96">
        <f t="shared" ref="L68:L99" si="17">F68</f>
        <v>0</v>
      </c>
      <c r="M68" s="97">
        <v>0</v>
      </c>
      <c r="N68" s="97">
        <v>0.05</v>
      </c>
      <c r="O68" s="98">
        <f t="shared" si="3"/>
        <v>0</v>
      </c>
      <c r="P68" s="75"/>
      <c r="S68" s="123">
        <f t="shared" ref="S68:S99" si="18">(($L68*(1+$M68))*(1+$N68))*G68</f>
        <v>0</v>
      </c>
      <c r="T68" s="123">
        <f t="shared" ref="T68:T99" si="19">(($L68*(1+$M68))*(1+$N68))*H68</f>
        <v>0</v>
      </c>
      <c r="V68" s="120">
        <f t="shared" ref="V68:V99" si="20">SUM(S68:T68)</f>
        <v>0</v>
      </c>
      <c r="W68" s="121" t="b">
        <f t="shared" ref="W68:W99" si="21">EXACT(V68,O68)</f>
        <v>1</v>
      </c>
      <c r="X68" s="120">
        <f t="shared" ref="X68:X99" si="22">V68-O68</f>
        <v>0</v>
      </c>
    </row>
    <row r="69" spans="1:24" ht="12.75" customHeight="1">
      <c r="A69" s="88">
        <v>66</v>
      </c>
      <c r="B69" s="88"/>
      <c r="C69" s="75"/>
      <c r="D69" s="89"/>
      <c r="E69" s="90"/>
      <c r="F69" s="91"/>
      <c r="G69" s="102"/>
      <c r="H69" s="93"/>
      <c r="I69" s="94">
        <f t="shared" si="16"/>
        <v>0</v>
      </c>
      <c r="J69" s="95">
        <v>1</v>
      </c>
      <c r="K69" s="94">
        <f t="shared" si="1"/>
        <v>0</v>
      </c>
      <c r="L69" s="96">
        <f t="shared" si="17"/>
        <v>0</v>
      </c>
      <c r="M69" s="97">
        <v>0</v>
      </c>
      <c r="N69" s="97">
        <v>0.05</v>
      </c>
      <c r="O69" s="98">
        <f t="shared" si="3"/>
        <v>0</v>
      </c>
      <c r="P69" s="75"/>
      <c r="S69" s="123">
        <f t="shared" si="18"/>
        <v>0</v>
      </c>
      <c r="T69" s="123">
        <f t="shared" si="19"/>
        <v>0</v>
      </c>
      <c r="V69" s="120">
        <f t="shared" si="20"/>
        <v>0</v>
      </c>
      <c r="W69" s="121" t="b">
        <f t="shared" si="21"/>
        <v>1</v>
      </c>
      <c r="X69" s="120">
        <f t="shared" si="22"/>
        <v>0</v>
      </c>
    </row>
    <row r="70" spans="1:24" ht="12.75" customHeight="1">
      <c r="A70" s="88">
        <v>67</v>
      </c>
      <c r="B70" s="88"/>
      <c r="C70" s="75"/>
      <c r="D70" s="89"/>
      <c r="E70" s="90"/>
      <c r="F70" s="91"/>
      <c r="G70" s="102"/>
      <c r="H70" s="93"/>
      <c r="I70" s="94">
        <f t="shared" si="16"/>
        <v>0</v>
      </c>
      <c r="J70" s="95">
        <v>1</v>
      </c>
      <c r="K70" s="94">
        <f t="shared" si="1"/>
        <v>0</v>
      </c>
      <c r="L70" s="96">
        <f t="shared" si="17"/>
        <v>0</v>
      </c>
      <c r="M70" s="97">
        <v>0</v>
      </c>
      <c r="N70" s="97">
        <v>0.05</v>
      </c>
      <c r="O70" s="98">
        <f t="shared" si="3"/>
        <v>0</v>
      </c>
      <c r="P70" s="75"/>
      <c r="S70" s="123">
        <f t="shared" si="18"/>
        <v>0</v>
      </c>
      <c r="T70" s="123">
        <f t="shared" si="19"/>
        <v>0</v>
      </c>
      <c r="V70" s="120">
        <f t="shared" si="20"/>
        <v>0</v>
      </c>
      <c r="W70" s="121" t="b">
        <f t="shared" si="21"/>
        <v>1</v>
      </c>
      <c r="X70" s="120">
        <f t="shared" si="22"/>
        <v>0</v>
      </c>
    </row>
    <row r="71" spans="1:24" ht="12.75" customHeight="1">
      <c r="A71" s="88">
        <v>68</v>
      </c>
      <c r="B71" s="88"/>
      <c r="C71" s="75"/>
      <c r="D71" s="89"/>
      <c r="E71" s="90"/>
      <c r="F71" s="91"/>
      <c r="G71" s="102"/>
      <c r="H71" s="93"/>
      <c r="I71" s="94">
        <f t="shared" si="16"/>
        <v>0</v>
      </c>
      <c r="J71" s="95">
        <v>1</v>
      </c>
      <c r="K71" s="94">
        <f t="shared" si="1"/>
        <v>0</v>
      </c>
      <c r="L71" s="96">
        <f t="shared" si="17"/>
        <v>0</v>
      </c>
      <c r="M71" s="97">
        <v>0</v>
      </c>
      <c r="N71" s="97">
        <v>0.05</v>
      </c>
      <c r="O71" s="98">
        <f t="shared" si="3"/>
        <v>0</v>
      </c>
      <c r="P71" s="75"/>
      <c r="S71" s="123">
        <f t="shared" si="18"/>
        <v>0</v>
      </c>
      <c r="T71" s="123">
        <f t="shared" si="19"/>
        <v>0</v>
      </c>
      <c r="V71" s="120">
        <f t="shared" si="20"/>
        <v>0</v>
      </c>
      <c r="W71" s="121" t="b">
        <f t="shared" si="21"/>
        <v>1</v>
      </c>
      <c r="X71" s="120">
        <f t="shared" si="22"/>
        <v>0</v>
      </c>
    </row>
    <row r="72" spans="1:24" ht="12.75" customHeight="1">
      <c r="A72" s="88">
        <v>69</v>
      </c>
      <c r="B72" s="88"/>
      <c r="C72" s="75"/>
      <c r="D72" s="89"/>
      <c r="E72" s="90"/>
      <c r="F72" s="91"/>
      <c r="G72" s="102"/>
      <c r="H72" s="93"/>
      <c r="I72" s="94">
        <f t="shared" si="16"/>
        <v>0</v>
      </c>
      <c r="J72" s="95">
        <v>1</v>
      </c>
      <c r="K72" s="94">
        <f t="shared" si="1"/>
        <v>0</v>
      </c>
      <c r="L72" s="96">
        <f t="shared" si="17"/>
        <v>0</v>
      </c>
      <c r="M72" s="97">
        <v>0</v>
      </c>
      <c r="N72" s="97">
        <v>0.05</v>
      </c>
      <c r="O72" s="98">
        <f t="shared" si="3"/>
        <v>0</v>
      </c>
      <c r="P72" s="75"/>
      <c r="S72" s="123">
        <f t="shared" si="18"/>
        <v>0</v>
      </c>
      <c r="T72" s="123">
        <f t="shared" si="19"/>
        <v>0</v>
      </c>
      <c r="V72" s="120">
        <f t="shared" si="20"/>
        <v>0</v>
      </c>
      <c r="W72" s="121" t="b">
        <f t="shared" si="21"/>
        <v>1</v>
      </c>
      <c r="X72" s="120">
        <f t="shared" si="22"/>
        <v>0</v>
      </c>
    </row>
    <row r="73" spans="1:24" ht="12.75" customHeight="1">
      <c r="A73" s="88">
        <v>70</v>
      </c>
      <c r="B73" s="88"/>
      <c r="C73" s="75"/>
      <c r="D73" s="89"/>
      <c r="E73" s="90"/>
      <c r="F73" s="91"/>
      <c r="G73" s="102"/>
      <c r="H73" s="93"/>
      <c r="I73" s="94">
        <f t="shared" si="16"/>
        <v>0</v>
      </c>
      <c r="J73" s="95">
        <v>1</v>
      </c>
      <c r="K73" s="94">
        <f t="shared" si="1"/>
        <v>0</v>
      </c>
      <c r="L73" s="96">
        <f t="shared" si="17"/>
        <v>0</v>
      </c>
      <c r="M73" s="97">
        <v>0</v>
      </c>
      <c r="N73" s="97">
        <v>0.05</v>
      </c>
      <c r="O73" s="98">
        <f t="shared" si="3"/>
        <v>0</v>
      </c>
      <c r="P73" s="75"/>
      <c r="S73" s="123">
        <f t="shared" si="18"/>
        <v>0</v>
      </c>
      <c r="T73" s="123">
        <f t="shared" si="19"/>
        <v>0</v>
      </c>
      <c r="V73" s="120">
        <f t="shared" si="20"/>
        <v>0</v>
      </c>
      <c r="W73" s="121" t="b">
        <f t="shared" si="21"/>
        <v>1</v>
      </c>
      <c r="X73" s="120">
        <f t="shared" si="22"/>
        <v>0</v>
      </c>
    </row>
    <row r="74" spans="1:24" ht="12.75" customHeight="1">
      <c r="A74" s="88">
        <v>71</v>
      </c>
      <c r="B74" s="88"/>
      <c r="C74" s="75"/>
      <c r="D74" s="89"/>
      <c r="E74" s="90"/>
      <c r="F74" s="91"/>
      <c r="G74" s="102"/>
      <c r="H74" s="93"/>
      <c r="I74" s="94">
        <f t="shared" si="16"/>
        <v>0</v>
      </c>
      <c r="J74" s="95">
        <v>1</v>
      </c>
      <c r="K74" s="94">
        <f t="shared" si="1"/>
        <v>0</v>
      </c>
      <c r="L74" s="96">
        <f t="shared" si="17"/>
        <v>0</v>
      </c>
      <c r="M74" s="97">
        <v>0</v>
      </c>
      <c r="N74" s="97">
        <v>0.05</v>
      </c>
      <c r="O74" s="98">
        <f t="shared" si="3"/>
        <v>0</v>
      </c>
      <c r="P74" s="75"/>
      <c r="S74" s="123">
        <f t="shared" si="18"/>
        <v>0</v>
      </c>
      <c r="T74" s="123">
        <f t="shared" si="19"/>
        <v>0</v>
      </c>
      <c r="V74" s="120">
        <f t="shared" si="20"/>
        <v>0</v>
      </c>
      <c r="W74" s="121" t="b">
        <f t="shared" si="21"/>
        <v>1</v>
      </c>
      <c r="X74" s="120">
        <f t="shared" si="22"/>
        <v>0</v>
      </c>
    </row>
    <row r="75" spans="1:24" ht="12.75" customHeight="1">
      <c r="A75" s="88">
        <v>72</v>
      </c>
      <c r="B75" s="88"/>
      <c r="C75" s="75"/>
      <c r="D75" s="89"/>
      <c r="E75" s="90"/>
      <c r="F75" s="91"/>
      <c r="G75" s="102"/>
      <c r="H75" s="93"/>
      <c r="I75" s="94">
        <f t="shared" si="16"/>
        <v>0</v>
      </c>
      <c r="J75" s="95">
        <v>1</v>
      </c>
      <c r="K75" s="94">
        <f t="shared" si="1"/>
        <v>0</v>
      </c>
      <c r="L75" s="96">
        <f t="shared" si="17"/>
        <v>0</v>
      </c>
      <c r="M75" s="97">
        <v>0</v>
      </c>
      <c r="N75" s="97">
        <v>0.05</v>
      </c>
      <c r="O75" s="98">
        <f t="shared" si="3"/>
        <v>0</v>
      </c>
      <c r="P75" s="75"/>
      <c r="S75" s="123">
        <f t="shared" si="18"/>
        <v>0</v>
      </c>
      <c r="T75" s="123">
        <f t="shared" si="19"/>
        <v>0</v>
      </c>
      <c r="V75" s="120">
        <f t="shared" si="20"/>
        <v>0</v>
      </c>
      <c r="W75" s="121" t="b">
        <f t="shared" si="21"/>
        <v>1</v>
      </c>
      <c r="X75" s="120">
        <f t="shared" si="22"/>
        <v>0</v>
      </c>
    </row>
    <row r="76" spans="1:24" ht="12.75" customHeight="1">
      <c r="A76" s="88">
        <v>73</v>
      </c>
      <c r="B76" s="88"/>
      <c r="C76" s="75"/>
      <c r="D76" s="89"/>
      <c r="E76" s="90"/>
      <c r="F76" s="91"/>
      <c r="G76" s="102"/>
      <c r="H76" s="93"/>
      <c r="I76" s="94">
        <f t="shared" si="16"/>
        <v>0</v>
      </c>
      <c r="J76" s="95">
        <v>1</v>
      </c>
      <c r="K76" s="94">
        <f t="shared" si="1"/>
        <v>0</v>
      </c>
      <c r="L76" s="96">
        <f t="shared" si="17"/>
        <v>0</v>
      </c>
      <c r="M76" s="97">
        <v>0</v>
      </c>
      <c r="N76" s="97">
        <v>0.05</v>
      </c>
      <c r="O76" s="98">
        <f t="shared" si="3"/>
        <v>0</v>
      </c>
      <c r="P76" s="75"/>
      <c r="S76" s="123">
        <f t="shared" si="18"/>
        <v>0</v>
      </c>
      <c r="T76" s="123">
        <f t="shared" si="19"/>
        <v>0</v>
      </c>
      <c r="V76" s="120">
        <f t="shared" si="20"/>
        <v>0</v>
      </c>
      <c r="W76" s="121" t="b">
        <f t="shared" si="21"/>
        <v>1</v>
      </c>
      <c r="X76" s="120">
        <f t="shared" si="22"/>
        <v>0</v>
      </c>
    </row>
    <row r="77" spans="1:24" ht="12.75" customHeight="1">
      <c r="A77" s="88">
        <v>74</v>
      </c>
      <c r="B77" s="88"/>
      <c r="C77" s="75"/>
      <c r="D77" s="89"/>
      <c r="E77" s="90"/>
      <c r="F77" s="91"/>
      <c r="G77" s="102"/>
      <c r="H77" s="93"/>
      <c r="I77" s="94">
        <f t="shared" si="16"/>
        <v>0</v>
      </c>
      <c r="J77" s="95">
        <v>1</v>
      </c>
      <c r="K77" s="94">
        <f t="shared" si="1"/>
        <v>0</v>
      </c>
      <c r="L77" s="96">
        <f t="shared" si="17"/>
        <v>0</v>
      </c>
      <c r="M77" s="97">
        <v>0</v>
      </c>
      <c r="N77" s="97">
        <v>0.05</v>
      </c>
      <c r="O77" s="98">
        <f t="shared" si="3"/>
        <v>0</v>
      </c>
      <c r="P77" s="75"/>
      <c r="S77" s="123">
        <f t="shared" si="18"/>
        <v>0</v>
      </c>
      <c r="T77" s="123">
        <f t="shared" si="19"/>
        <v>0</v>
      </c>
      <c r="V77" s="120">
        <f t="shared" si="20"/>
        <v>0</v>
      </c>
      <c r="W77" s="121" t="b">
        <f t="shared" si="21"/>
        <v>1</v>
      </c>
      <c r="X77" s="120">
        <f t="shared" si="22"/>
        <v>0</v>
      </c>
    </row>
    <row r="78" spans="1:24" ht="12.75" customHeight="1">
      <c r="A78" s="88">
        <v>75</v>
      </c>
      <c r="B78" s="88"/>
      <c r="C78" s="75"/>
      <c r="D78" s="89"/>
      <c r="E78" s="90"/>
      <c r="F78" s="91"/>
      <c r="G78" s="104"/>
      <c r="H78" s="93"/>
      <c r="I78" s="94">
        <f t="shared" si="16"/>
        <v>0</v>
      </c>
      <c r="J78" s="95">
        <v>1</v>
      </c>
      <c r="K78" s="94">
        <f t="shared" si="1"/>
        <v>0</v>
      </c>
      <c r="L78" s="96">
        <f t="shared" si="17"/>
        <v>0</v>
      </c>
      <c r="M78" s="97">
        <v>0</v>
      </c>
      <c r="N78" s="97">
        <v>0.05</v>
      </c>
      <c r="O78" s="98">
        <f t="shared" si="3"/>
        <v>0</v>
      </c>
      <c r="P78" s="75"/>
      <c r="S78" s="123">
        <f t="shared" si="18"/>
        <v>0</v>
      </c>
      <c r="T78" s="123">
        <f t="shared" si="19"/>
        <v>0</v>
      </c>
      <c r="V78" s="120">
        <f t="shared" si="20"/>
        <v>0</v>
      </c>
      <c r="W78" s="121" t="b">
        <f t="shared" si="21"/>
        <v>1</v>
      </c>
      <c r="X78" s="120">
        <f t="shared" si="22"/>
        <v>0</v>
      </c>
    </row>
    <row r="79" spans="1:24" ht="12.75" customHeight="1">
      <c r="A79" s="88">
        <v>76</v>
      </c>
      <c r="B79" s="88"/>
      <c r="C79" s="75"/>
      <c r="D79" s="89"/>
      <c r="E79" s="90"/>
      <c r="F79" s="91"/>
      <c r="G79" s="93"/>
      <c r="H79" s="93"/>
      <c r="I79" s="94">
        <f t="shared" si="16"/>
        <v>0</v>
      </c>
      <c r="J79" s="95">
        <v>1</v>
      </c>
      <c r="K79" s="94">
        <f t="shared" si="1"/>
        <v>0</v>
      </c>
      <c r="L79" s="96">
        <f t="shared" si="17"/>
        <v>0</v>
      </c>
      <c r="M79" s="97">
        <v>0</v>
      </c>
      <c r="N79" s="97">
        <v>0.05</v>
      </c>
      <c r="O79" s="98">
        <f t="shared" si="3"/>
        <v>0</v>
      </c>
      <c r="P79" s="75"/>
      <c r="S79" s="123">
        <f t="shared" si="18"/>
        <v>0</v>
      </c>
      <c r="T79" s="123">
        <f t="shared" si="19"/>
        <v>0</v>
      </c>
      <c r="V79" s="120">
        <f t="shared" si="20"/>
        <v>0</v>
      </c>
      <c r="W79" s="121" t="b">
        <f t="shared" si="21"/>
        <v>1</v>
      </c>
      <c r="X79" s="120">
        <f t="shared" si="22"/>
        <v>0</v>
      </c>
    </row>
    <row r="80" spans="1:24" ht="12.75" customHeight="1">
      <c r="A80" s="88">
        <v>77</v>
      </c>
      <c r="B80" s="88"/>
      <c r="C80" s="75"/>
      <c r="D80" s="89"/>
      <c r="E80" s="90"/>
      <c r="F80" s="91"/>
      <c r="G80" s="104"/>
      <c r="H80" s="93"/>
      <c r="I80" s="94">
        <f t="shared" si="16"/>
        <v>0</v>
      </c>
      <c r="J80" s="95">
        <v>1</v>
      </c>
      <c r="K80" s="94">
        <f t="shared" si="1"/>
        <v>0</v>
      </c>
      <c r="L80" s="96">
        <f t="shared" si="17"/>
        <v>0</v>
      </c>
      <c r="M80" s="97">
        <v>0</v>
      </c>
      <c r="N80" s="97">
        <v>0.05</v>
      </c>
      <c r="O80" s="98">
        <f t="shared" si="3"/>
        <v>0</v>
      </c>
      <c r="P80" s="75"/>
      <c r="S80" s="123">
        <f t="shared" si="18"/>
        <v>0</v>
      </c>
      <c r="T80" s="123">
        <f t="shared" si="19"/>
        <v>0</v>
      </c>
      <c r="V80" s="120">
        <f t="shared" si="20"/>
        <v>0</v>
      </c>
      <c r="W80" s="121" t="b">
        <f t="shared" si="21"/>
        <v>1</v>
      </c>
      <c r="X80" s="120">
        <f t="shared" si="22"/>
        <v>0</v>
      </c>
    </row>
    <row r="81" spans="1:24" ht="12.75" customHeight="1">
      <c r="A81" s="88">
        <v>78</v>
      </c>
      <c r="B81" s="88"/>
      <c r="C81" s="75"/>
      <c r="D81" s="89"/>
      <c r="E81" s="90"/>
      <c r="F81" s="91"/>
      <c r="G81" s="92"/>
      <c r="H81" s="93"/>
      <c r="I81" s="94">
        <f t="shared" si="16"/>
        <v>0</v>
      </c>
      <c r="J81" s="95">
        <v>1</v>
      </c>
      <c r="K81" s="94">
        <f t="shared" si="1"/>
        <v>0</v>
      </c>
      <c r="L81" s="96">
        <f t="shared" si="17"/>
        <v>0</v>
      </c>
      <c r="M81" s="97">
        <v>0</v>
      </c>
      <c r="N81" s="97">
        <v>0.05</v>
      </c>
      <c r="O81" s="98">
        <f t="shared" si="3"/>
        <v>0</v>
      </c>
      <c r="P81" s="75"/>
      <c r="S81" s="123">
        <f t="shared" si="18"/>
        <v>0</v>
      </c>
      <c r="T81" s="123">
        <f t="shared" si="19"/>
        <v>0</v>
      </c>
      <c r="V81" s="120">
        <f t="shared" si="20"/>
        <v>0</v>
      </c>
      <c r="W81" s="121" t="b">
        <f t="shared" si="21"/>
        <v>1</v>
      </c>
      <c r="X81" s="120">
        <f t="shared" si="22"/>
        <v>0</v>
      </c>
    </row>
    <row r="82" spans="1:24" ht="12.75" customHeight="1">
      <c r="A82" s="88">
        <v>79</v>
      </c>
      <c r="B82" s="88"/>
      <c r="C82" s="75"/>
      <c r="D82" s="89"/>
      <c r="E82" s="90"/>
      <c r="F82" s="91"/>
      <c r="G82" s="92"/>
      <c r="H82" s="93"/>
      <c r="I82" s="94">
        <f t="shared" si="16"/>
        <v>0</v>
      </c>
      <c r="J82" s="95">
        <v>1</v>
      </c>
      <c r="K82" s="94">
        <f t="shared" si="1"/>
        <v>0</v>
      </c>
      <c r="L82" s="96">
        <f t="shared" si="17"/>
        <v>0</v>
      </c>
      <c r="M82" s="97">
        <v>0</v>
      </c>
      <c r="N82" s="97">
        <v>0.05</v>
      </c>
      <c r="O82" s="98">
        <f t="shared" si="3"/>
        <v>0</v>
      </c>
      <c r="P82" s="75"/>
      <c r="S82" s="123">
        <f t="shared" si="18"/>
        <v>0</v>
      </c>
      <c r="T82" s="123">
        <f t="shared" si="19"/>
        <v>0</v>
      </c>
      <c r="V82" s="120">
        <f t="shared" si="20"/>
        <v>0</v>
      </c>
      <c r="W82" s="121" t="b">
        <f t="shared" si="21"/>
        <v>1</v>
      </c>
      <c r="X82" s="120">
        <f t="shared" si="22"/>
        <v>0</v>
      </c>
    </row>
    <row r="83" spans="1:24" ht="12.75" customHeight="1">
      <c r="A83" s="88">
        <v>80</v>
      </c>
      <c r="B83" s="88"/>
      <c r="C83" s="75"/>
      <c r="D83" s="89"/>
      <c r="E83" s="90"/>
      <c r="F83" s="91"/>
      <c r="G83" s="104"/>
      <c r="H83" s="93"/>
      <c r="I83" s="94">
        <f t="shared" si="16"/>
        <v>0</v>
      </c>
      <c r="J83" s="95">
        <v>1</v>
      </c>
      <c r="K83" s="94">
        <f t="shared" si="1"/>
        <v>0</v>
      </c>
      <c r="L83" s="96">
        <f t="shared" si="17"/>
        <v>0</v>
      </c>
      <c r="M83" s="97">
        <v>0</v>
      </c>
      <c r="N83" s="97">
        <v>0.05</v>
      </c>
      <c r="O83" s="98">
        <f t="shared" si="3"/>
        <v>0</v>
      </c>
      <c r="P83" s="75"/>
      <c r="S83" s="123">
        <f t="shared" si="18"/>
        <v>0</v>
      </c>
      <c r="T83" s="123">
        <f t="shared" si="19"/>
        <v>0</v>
      </c>
      <c r="V83" s="120">
        <f t="shared" si="20"/>
        <v>0</v>
      </c>
      <c r="W83" s="121" t="b">
        <f t="shared" si="21"/>
        <v>1</v>
      </c>
      <c r="X83" s="120">
        <f t="shared" si="22"/>
        <v>0</v>
      </c>
    </row>
    <row r="84" spans="1:24" ht="12.75" customHeight="1">
      <c r="A84" s="88">
        <v>81</v>
      </c>
      <c r="B84" s="88"/>
      <c r="C84" s="75"/>
      <c r="D84" s="89"/>
      <c r="E84" s="90"/>
      <c r="F84" s="91"/>
      <c r="G84" s="93"/>
      <c r="H84" s="93"/>
      <c r="I84" s="94">
        <f t="shared" si="16"/>
        <v>0</v>
      </c>
      <c r="J84" s="95">
        <v>1</v>
      </c>
      <c r="K84" s="94">
        <f t="shared" si="1"/>
        <v>0</v>
      </c>
      <c r="L84" s="96">
        <f t="shared" si="17"/>
        <v>0</v>
      </c>
      <c r="M84" s="97">
        <v>0</v>
      </c>
      <c r="N84" s="97">
        <v>0.05</v>
      </c>
      <c r="O84" s="98">
        <f t="shared" si="3"/>
        <v>0</v>
      </c>
      <c r="P84" s="75"/>
      <c r="S84" s="123">
        <f t="shared" si="18"/>
        <v>0</v>
      </c>
      <c r="T84" s="123">
        <f t="shared" si="19"/>
        <v>0</v>
      </c>
      <c r="V84" s="120">
        <f t="shared" si="20"/>
        <v>0</v>
      </c>
      <c r="W84" s="121" t="b">
        <f t="shared" si="21"/>
        <v>1</v>
      </c>
      <c r="X84" s="120">
        <f t="shared" si="22"/>
        <v>0</v>
      </c>
    </row>
    <row r="85" spans="1:24" ht="12.75" customHeight="1">
      <c r="A85" s="88">
        <v>82</v>
      </c>
      <c r="B85" s="88"/>
      <c r="C85" s="75"/>
      <c r="D85" s="89"/>
      <c r="E85" s="90"/>
      <c r="F85" s="91"/>
      <c r="G85" s="104"/>
      <c r="H85" s="93"/>
      <c r="I85" s="94">
        <f t="shared" si="16"/>
        <v>0</v>
      </c>
      <c r="J85" s="95">
        <v>1</v>
      </c>
      <c r="K85" s="94">
        <f t="shared" si="1"/>
        <v>0</v>
      </c>
      <c r="L85" s="96">
        <f t="shared" si="17"/>
        <v>0</v>
      </c>
      <c r="M85" s="97">
        <v>0</v>
      </c>
      <c r="N85" s="97">
        <v>0.05</v>
      </c>
      <c r="O85" s="98">
        <f t="shared" si="3"/>
        <v>0</v>
      </c>
      <c r="P85" s="75"/>
      <c r="S85" s="123">
        <f t="shared" si="18"/>
        <v>0</v>
      </c>
      <c r="T85" s="123">
        <f t="shared" si="19"/>
        <v>0</v>
      </c>
      <c r="V85" s="120">
        <f t="shared" si="20"/>
        <v>0</v>
      </c>
      <c r="W85" s="121" t="b">
        <f t="shared" si="21"/>
        <v>1</v>
      </c>
      <c r="X85" s="120">
        <f t="shared" si="22"/>
        <v>0</v>
      </c>
    </row>
    <row r="86" spans="1:24" ht="12.75" customHeight="1">
      <c r="A86" s="88">
        <v>83</v>
      </c>
      <c r="B86" s="88"/>
      <c r="C86" s="75"/>
      <c r="D86" s="89"/>
      <c r="E86" s="90"/>
      <c r="F86" s="91"/>
      <c r="G86" s="104"/>
      <c r="H86" s="93"/>
      <c r="I86" s="94">
        <f t="shared" si="16"/>
        <v>0</v>
      </c>
      <c r="J86" s="95">
        <v>1</v>
      </c>
      <c r="K86" s="94">
        <f t="shared" si="1"/>
        <v>0</v>
      </c>
      <c r="L86" s="96">
        <f t="shared" si="17"/>
        <v>0</v>
      </c>
      <c r="M86" s="97">
        <v>0</v>
      </c>
      <c r="N86" s="97">
        <v>0.05</v>
      </c>
      <c r="O86" s="98">
        <f t="shared" si="3"/>
        <v>0</v>
      </c>
      <c r="P86" s="75"/>
      <c r="S86" s="123">
        <f t="shared" si="18"/>
        <v>0</v>
      </c>
      <c r="T86" s="123">
        <f t="shared" si="19"/>
        <v>0</v>
      </c>
      <c r="V86" s="120">
        <f t="shared" si="20"/>
        <v>0</v>
      </c>
      <c r="W86" s="121" t="b">
        <f t="shared" si="21"/>
        <v>1</v>
      </c>
      <c r="X86" s="120">
        <f t="shared" si="22"/>
        <v>0</v>
      </c>
    </row>
    <row r="87" spans="1:24" ht="12.75" customHeight="1">
      <c r="A87" s="88">
        <v>84</v>
      </c>
      <c r="B87" s="88"/>
      <c r="C87" s="75"/>
      <c r="D87" s="89"/>
      <c r="E87" s="90"/>
      <c r="F87" s="91"/>
      <c r="G87" s="104"/>
      <c r="H87" s="93"/>
      <c r="I87" s="94">
        <f t="shared" si="16"/>
        <v>0</v>
      </c>
      <c r="J87" s="95">
        <v>1</v>
      </c>
      <c r="K87" s="94">
        <f t="shared" si="1"/>
        <v>0</v>
      </c>
      <c r="L87" s="96">
        <f t="shared" si="17"/>
        <v>0</v>
      </c>
      <c r="M87" s="97">
        <v>0</v>
      </c>
      <c r="N87" s="97">
        <v>0.05</v>
      </c>
      <c r="O87" s="98">
        <f t="shared" si="3"/>
        <v>0</v>
      </c>
      <c r="P87" s="75"/>
      <c r="S87" s="123">
        <f t="shared" si="18"/>
        <v>0</v>
      </c>
      <c r="T87" s="123">
        <f t="shared" si="19"/>
        <v>0</v>
      </c>
      <c r="V87" s="120">
        <f t="shared" si="20"/>
        <v>0</v>
      </c>
      <c r="W87" s="121" t="b">
        <f t="shared" si="21"/>
        <v>1</v>
      </c>
      <c r="X87" s="120">
        <f t="shared" si="22"/>
        <v>0</v>
      </c>
    </row>
    <row r="88" spans="1:24" ht="12.75" customHeight="1">
      <c r="A88" s="88">
        <v>85</v>
      </c>
      <c r="B88" s="88"/>
      <c r="C88" s="75"/>
      <c r="D88" s="89"/>
      <c r="E88" s="90"/>
      <c r="F88" s="91"/>
      <c r="G88" s="104"/>
      <c r="H88" s="93"/>
      <c r="I88" s="94">
        <f t="shared" si="16"/>
        <v>0</v>
      </c>
      <c r="J88" s="95">
        <v>1</v>
      </c>
      <c r="K88" s="94">
        <f t="shared" si="1"/>
        <v>0</v>
      </c>
      <c r="L88" s="96">
        <f t="shared" si="17"/>
        <v>0</v>
      </c>
      <c r="M88" s="97">
        <v>0</v>
      </c>
      <c r="N88" s="97">
        <v>0.05</v>
      </c>
      <c r="O88" s="98">
        <f t="shared" si="3"/>
        <v>0</v>
      </c>
      <c r="P88" s="75"/>
      <c r="S88" s="123">
        <f t="shared" si="18"/>
        <v>0</v>
      </c>
      <c r="T88" s="123">
        <f t="shared" si="19"/>
        <v>0</v>
      </c>
      <c r="V88" s="120">
        <f t="shared" si="20"/>
        <v>0</v>
      </c>
      <c r="W88" s="121" t="b">
        <f t="shared" si="21"/>
        <v>1</v>
      </c>
      <c r="X88" s="120">
        <f t="shared" si="22"/>
        <v>0</v>
      </c>
    </row>
    <row r="89" spans="1:24" ht="12.75" customHeight="1">
      <c r="A89" s="88">
        <v>86</v>
      </c>
      <c r="B89" s="88"/>
      <c r="C89" s="75"/>
      <c r="D89" s="89"/>
      <c r="E89" s="90"/>
      <c r="F89" s="91"/>
      <c r="G89" s="104"/>
      <c r="H89" s="93"/>
      <c r="I89" s="94">
        <f t="shared" si="16"/>
        <v>0</v>
      </c>
      <c r="J89" s="95">
        <v>1</v>
      </c>
      <c r="K89" s="94">
        <f t="shared" si="1"/>
        <v>0</v>
      </c>
      <c r="L89" s="96">
        <f t="shared" si="17"/>
        <v>0</v>
      </c>
      <c r="M89" s="97">
        <v>0</v>
      </c>
      <c r="N89" s="97">
        <v>0.05</v>
      </c>
      <c r="O89" s="98">
        <f t="shared" si="3"/>
        <v>0</v>
      </c>
      <c r="P89" s="75"/>
      <c r="S89" s="123">
        <f t="shared" si="18"/>
        <v>0</v>
      </c>
      <c r="T89" s="123">
        <f t="shared" si="19"/>
        <v>0</v>
      </c>
      <c r="V89" s="120">
        <f t="shared" si="20"/>
        <v>0</v>
      </c>
      <c r="W89" s="121" t="b">
        <f t="shared" si="21"/>
        <v>1</v>
      </c>
      <c r="X89" s="120">
        <f t="shared" si="22"/>
        <v>0</v>
      </c>
    </row>
    <row r="90" spans="1:24" ht="12.75" customHeight="1">
      <c r="A90" s="88">
        <v>87</v>
      </c>
      <c r="B90" s="88"/>
      <c r="C90" s="75"/>
      <c r="D90" s="89"/>
      <c r="E90" s="90"/>
      <c r="F90" s="91"/>
      <c r="G90" s="104"/>
      <c r="H90" s="93"/>
      <c r="I90" s="94">
        <f t="shared" si="16"/>
        <v>0</v>
      </c>
      <c r="J90" s="95">
        <v>1</v>
      </c>
      <c r="K90" s="94">
        <f t="shared" si="1"/>
        <v>0</v>
      </c>
      <c r="L90" s="96">
        <f t="shared" si="17"/>
        <v>0</v>
      </c>
      <c r="M90" s="97">
        <v>0</v>
      </c>
      <c r="N90" s="97">
        <v>0.05</v>
      </c>
      <c r="O90" s="98">
        <f t="shared" si="3"/>
        <v>0</v>
      </c>
      <c r="P90" s="75"/>
      <c r="S90" s="123">
        <f t="shared" si="18"/>
        <v>0</v>
      </c>
      <c r="T90" s="123">
        <f t="shared" si="19"/>
        <v>0</v>
      </c>
      <c r="V90" s="120">
        <f t="shared" si="20"/>
        <v>0</v>
      </c>
      <c r="W90" s="121" t="b">
        <f t="shared" si="21"/>
        <v>1</v>
      </c>
      <c r="X90" s="120">
        <f t="shared" si="22"/>
        <v>0</v>
      </c>
    </row>
    <row r="91" spans="1:24" ht="12.75" customHeight="1">
      <c r="A91" s="88">
        <v>88</v>
      </c>
      <c r="B91" s="88"/>
      <c r="C91" s="75"/>
      <c r="D91" s="89"/>
      <c r="E91" s="90"/>
      <c r="F91" s="91"/>
      <c r="G91" s="104"/>
      <c r="H91" s="93"/>
      <c r="I91" s="94">
        <f t="shared" si="16"/>
        <v>0</v>
      </c>
      <c r="J91" s="95">
        <v>1</v>
      </c>
      <c r="K91" s="94">
        <f t="shared" si="1"/>
        <v>0</v>
      </c>
      <c r="L91" s="96">
        <f t="shared" si="17"/>
        <v>0</v>
      </c>
      <c r="M91" s="97">
        <v>0</v>
      </c>
      <c r="N91" s="97">
        <v>0.05</v>
      </c>
      <c r="O91" s="98">
        <f t="shared" si="3"/>
        <v>0</v>
      </c>
      <c r="P91" s="75"/>
      <c r="S91" s="123">
        <f t="shared" si="18"/>
        <v>0</v>
      </c>
      <c r="T91" s="123">
        <f t="shared" si="19"/>
        <v>0</v>
      </c>
      <c r="V91" s="120">
        <f t="shared" si="20"/>
        <v>0</v>
      </c>
      <c r="W91" s="121" t="b">
        <f t="shared" si="21"/>
        <v>1</v>
      </c>
      <c r="X91" s="120">
        <f t="shared" si="22"/>
        <v>0</v>
      </c>
    </row>
    <row r="92" spans="1:24">
      <c r="A92" s="88">
        <v>89</v>
      </c>
      <c r="B92" s="88"/>
      <c r="C92" s="75"/>
      <c r="D92" s="89"/>
      <c r="E92" s="90"/>
      <c r="F92" s="91"/>
      <c r="G92" s="104"/>
      <c r="H92" s="93"/>
      <c r="I92" s="94">
        <f t="shared" si="16"/>
        <v>0</v>
      </c>
      <c r="J92" s="95">
        <v>1</v>
      </c>
      <c r="K92" s="94">
        <f t="shared" si="1"/>
        <v>0</v>
      </c>
      <c r="L92" s="96">
        <f t="shared" si="17"/>
        <v>0</v>
      </c>
      <c r="M92" s="97">
        <v>0</v>
      </c>
      <c r="N92" s="97">
        <v>0.05</v>
      </c>
      <c r="O92" s="98">
        <f t="shared" si="3"/>
        <v>0</v>
      </c>
      <c r="P92" s="75"/>
      <c r="S92" s="123">
        <f t="shared" si="18"/>
        <v>0</v>
      </c>
      <c r="T92" s="123">
        <f t="shared" si="19"/>
        <v>0</v>
      </c>
      <c r="V92" s="120">
        <f t="shared" si="20"/>
        <v>0</v>
      </c>
      <c r="W92" s="121" t="b">
        <f t="shared" si="21"/>
        <v>1</v>
      </c>
      <c r="X92" s="120">
        <f t="shared" si="22"/>
        <v>0</v>
      </c>
    </row>
    <row r="93" spans="1:24" ht="12.75" customHeight="1">
      <c r="A93" s="88">
        <v>90</v>
      </c>
      <c r="B93" s="88"/>
      <c r="C93" s="75"/>
      <c r="D93" s="89"/>
      <c r="E93" s="90"/>
      <c r="F93" s="91"/>
      <c r="G93" s="104"/>
      <c r="H93" s="93"/>
      <c r="I93" s="94">
        <f t="shared" si="16"/>
        <v>0</v>
      </c>
      <c r="J93" s="95">
        <v>1</v>
      </c>
      <c r="K93" s="94">
        <f t="shared" si="1"/>
        <v>0</v>
      </c>
      <c r="L93" s="96">
        <f t="shared" si="17"/>
        <v>0</v>
      </c>
      <c r="M93" s="97">
        <v>0</v>
      </c>
      <c r="N93" s="97">
        <v>0.05</v>
      </c>
      <c r="O93" s="98">
        <f t="shared" si="3"/>
        <v>0</v>
      </c>
      <c r="P93" s="75"/>
      <c r="S93" s="123">
        <f t="shared" si="18"/>
        <v>0</v>
      </c>
      <c r="T93" s="123">
        <f t="shared" si="19"/>
        <v>0</v>
      </c>
      <c r="V93" s="120">
        <f t="shared" si="20"/>
        <v>0</v>
      </c>
      <c r="W93" s="121" t="b">
        <f t="shared" si="21"/>
        <v>1</v>
      </c>
      <c r="X93" s="120">
        <f t="shared" si="22"/>
        <v>0</v>
      </c>
    </row>
    <row r="94" spans="1:24" ht="12.75" customHeight="1">
      <c r="A94" s="88">
        <v>91</v>
      </c>
      <c r="B94" s="88"/>
      <c r="C94" s="75"/>
      <c r="D94" s="89"/>
      <c r="E94" s="90"/>
      <c r="F94" s="91"/>
      <c r="G94" s="93"/>
      <c r="H94" s="93"/>
      <c r="I94" s="94">
        <f t="shared" si="16"/>
        <v>0</v>
      </c>
      <c r="J94" s="95">
        <v>1</v>
      </c>
      <c r="K94" s="94">
        <f t="shared" si="1"/>
        <v>0</v>
      </c>
      <c r="L94" s="96">
        <f t="shared" si="17"/>
        <v>0</v>
      </c>
      <c r="M94" s="97">
        <v>0</v>
      </c>
      <c r="N94" s="97">
        <v>0.05</v>
      </c>
      <c r="O94" s="98">
        <f t="shared" si="3"/>
        <v>0</v>
      </c>
      <c r="P94" s="75"/>
      <c r="S94" s="123">
        <f t="shared" si="18"/>
        <v>0</v>
      </c>
      <c r="T94" s="123">
        <f t="shared" si="19"/>
        <v>0</v>
      </c>
      <c r="V94" s="120">
        <f t="shared" si="20"/>
        <v>0</v>
      </c>
      <c r="W94" s="121" t="b">
        <f t="shared" si="21"/>
        <v>1</v>
      </c>
      <c r="X94" s="120">
        <f t="shared" si="22"/>
        <v>0</v>
      </c>
    </row>
    <row r="95" spans="1:24" ht="12.75" customHeight="1">
      <c r="A95" s="88">
        <v>92</v>
      </c>
      <c r="B95" s="88"/>
      <c r="C95" s="75"/>
      <c r="D95" s="89"/>
      <c r="E95" s="90"/>
      <c r="F95" s="91"/>
      <c r="G95" s="93"/>
      <c r="H95" s="93"/>
      <c r="I95" s="94">
        <f t="shared" si="16"/>
        <v>0</v>
      </c>
      <c r="J95" s="95">
        <v>1</v>
      </c>
      <c r="K95" s="94">
        <f t="shared" si="1"/>
        <v>0</v>
      </c>
      <c r="L95" s="96">
        <f t="shared" si="17"/>
        <v>0</v>
      </c>
      <c r="M95" s="97">
        <v>0</v>
      </c>
      <c r="N95" s="97">
        <v>0.05</v>
      </c>
      <c r="O95" s="98">
        <f t="shared" si="3"/>
        <v>0</v>
      </c>
      <c r="P95" s="75"/>
      <c r="S95" s="123">
        <f t="shared" si="18"/>
        <v>0</v>
      </c>
      <c r="T95" s="123">
        <f t="shared" si="19"/>
        <v>0</v>
      </c>
      <c r="V95" s="120">
        <f t="shared" si="20"/>
        <v>0</v>
      </c>
      <c r="W95" s="121" t="b">
        <f t="shared" si="21"/>
        <v>1</v>
      </c>
      <c r="X95" s="120">
        <f t="shared" si="22"/>
        <v>0</v>
      </c>
    </row>
    <row r="96" spans="1:24" ht="12.75" customHeight="1">
      <c r="A96" s="88">
        <v>93</v>
      </c>
      <c r="B96" s="88"/>
      <c r="C96" s="75"/>
      <c r="D96" s="89"/>
      <c r="E96" s="90"/>
      <c r="F96" s="91"/>
      <c r="G96" s="93"/>
      <c r="H96" s="93"/>
      <c r="I96" s="94">
        <f t="shared" si="16"/>
        <v>0</v>
      </c>
      <c r="J96" s="95">
        <v>1</v>
      </c>
      <c r="K96" s="94">
        <f t="shared" si="1"/>
        <v>0</v>
      </c>
      <c r="L96" s="96">
        <f t="shared" si="17"/>
        <v>0</v>
      </c>
      <c r="M96" s="97">
        <v>0</v>
      </c>
      <c r="N96" s="97">
        <v>0.05</v>
      </c>
      <c r="O96" s="98">
        <f t="shared" si="3"/>
        <v>0</v>
      </c>
      <c r="P96" s="75"/>
      <c r="S96" s="123">
        <f t="shared" si="18"/>
        <v>0</v>
      </c>
      <c r="T96" s="123">
        <f t="shared" si="19"/>
        <v>0</v>
      </c>
      <c r="V96" s="120">
        <f t="shared" si="20"/>
        <v>0</v>
      </c>
      <c r="W96" s="121" t="b">
        <f t="shared" si="21"/>
        <v>1</v>
      </c>
      <c r="X96" s="120">
        <f t="shared" si="22"/>
        <v>0</v>
      </c>
    </row>
    <row r="97" spans="1:24" ht="12.75" customHeight="1">
      <c r="A97" s="88">
        <v>94</v>
      </c>
      <c r="B97" s="88"/>
      <c r="C97" s="75"/>
      <c r="D97" s="89"/>
      <c r="E97" s="90"/>
      <c r="F97" s="91"/>
      <c r="G97" s="93"/>
      <c r="H97" s="93"/>
      <c r="I97" s="94">
        <f t="shared" si="16"/>
        <v>0</v>
      </c>
      <c r="J97" s="95">
        <v>1</v>
      </c>
      <c r="K97" s="94">
        <f t="shared" si="1"/>
        <v>0</v>
      </c>
      <c r="L97" s="96">
        <f t="shared" si="17"/>
        <v>0</v>
      </c>
      <c r="M97" s="97">
        <v>0</v>
      </c>
      <c r="N97" s="97">
        <v>0.05</v>
      </c>
      <c r="O97" s="98">
        <f t="shared" si="3"/>
        <v>0</v>
      </c>
      <c r="P97" s="75"/>
      <c r="S97" s="123">
        <f t="shared" si="18"/>
        <v>0</v>
      </c>
      <c r="T97" s="123">
        <f t="shared" si="19"/>
        <v>0</v>
      </c>
      <c r="V97" s="120">
        <f t="shared" si="20"/>
        <v>0</v>
      </c>
      <c r="W97" s="121" t="b">
        <f t="shared" si="21"/>
        <v>1</v>
      </c>
      <c r="X97" s="120">
        <f t="shared" si="22"/>
        <v>0</v>
      </c>
    </row>
    <row r="98" spans="1:24">
      <c r="A98" s="88">
        <v>95</v>
      </c>
      <c r="B98" s="88"/>
      <c r="C98" s="75"/>
      <c r="D98" s="89"/>
      <c r="E98" s="90"/>
      <c r="F98" s="91"/>
      <c r="G98" s="93"/>
      <c r="H98" s="93"/>
      <c r="I98" s="94">
        <f t="shared" si="16"/>
        <v>0</v>
      </c>
      <c r="J98" s="95">
        <v>1</v>
      </c>
      <c r="K98" s="94">
        <f t="shared" si="1"/>
        <v>0</v>
      </c>
      <c r="L98" s="96">
        <f t="shared" si="17"/>
        <v>0</v>
      </c>
      <c r="M98" s="97">
        <v>0</v>
      </c>
      <c r="N98" s="97">
        <v>0.05</v>
      </c>
      <c r="O98" s="98">
        <f t="shared" si="3"/>
        <v>0</v>
      </c>
      <c r="P98" s="75"/>
      <c r="S98" s="123">
        <f t="shared" si="18"/>
        <v>0</v>
      </c>
      <c r="T98" s="123">
        <f t="shared" si="19"/>
        <v>0</v>
      </c>
      <c r="V98" s="120">
        <f t="shared" si="20"/>
        <v>0</v>
      </c>
      <c r="W98" s="121" t="b">
        <f t="shared" si="21"/>
        <v>1</v>
      </c>
      <c r="X98" s="120">
        <f t="shared" si="22"/>
        <v>0</v>
      </c>
    </row>
    <row r="99" spans="1:24" ht="12.75" customHeight="1">
      <c r="A99" s="88">
        <v>96</v>
      </c>
      <c r="B99" s="88"/>
      <c r="C99" s="75"/>
      <c r="D99" s="89"/>
      <c r="E99" s="90"/>
      <c r="F99" s="91"/>
      <c r="G99" s="93"/>
      <c r="H99" s="93"/>
      <c r="I99" s="94">
        <f t="shared" si="16"/>
        <v>0</v>
      </c>
      <c r="J99" s="95">
        <v>1</v>
      </c>
      <c r="K99" s="94">
        <f t="shared" si="1"/>
        <v>0</v>
      </c>
      <c r="L99" s="96">
        <f t="shared" si="17"/>
        <v>0</v>
      </c>
      <c r="M99" s="97">
        <v>0</v>
      </c>
      <c r="N99" s="97">
        <v>0.05</v>
      </c>
      <c r="O99" s="98">
        <f t="shared" si="3"/>
        <v>0</v>
      </c>
      <c r="P99" s="75"/>
      <c r="S99" s="123">
        <f t="shared" si="18"/>
        <v>0</v>
      </c>
      <c r="T99" s="123">
        <f t="shared" si="19"/>
        <v>0</v>
      </c>
      <c r="V99" s="120">
        <f t="shared" si="20"/>
        <v>0</v>
      </c>
      <c r="W99" s="121" t="b">
        <f t="shared" si="21"/>
        <v>1</v>
      </c>
      <c r="X99" s="120">
        <f t="shared" si="22"/>
        <v>0</v>
      </c>
    </row>
    <row r="100" spans="1:24" ht="12.75" customHeight="1">
      <c r="A100" s="88">
        <v>97</v>
      </c>
      <c r="B100" s="88"/>
      <c r="C100" s="75"/>
      <c r="D100" s="89"/>
      <c r="E100" s="90"/>
      <c r="F100" s="91"/>
      <c r="G100" s="93"/>
      <c r="H100" s="93"/>
      <c r="I100" s="94">
        <f t="shared" ref="I100:I131" si="23">SUM(G100:H100)</f>
        <v>0</v>
      </c>
      <c r="J100" s="95">
        <v>1</v>
      </c>
      <c r="K100" s="94">
        <f t="shared" si="1"/>
        <v>0</v>
      </c>
      <c r="L100" s="96">
        <f t="shared" ref="L100:L131" si="24">F100</f>
        <v>0</v>
      </c>
      <c r="M100" s="97">
        <v>0</v>
      </c>
      <c r="N100" s="97">
        <v>0.05</v>
      </c>
      <c r="O100" s="98">
        <f t="shared" si="3"/>
        <v>0</v>
      </c>
      <c r="P100" s="75"/>
      <c r="S100" s="123">
        <f t="shared" ref="S100:S131" si="25">(($L100*(1+$M100))*(1+$N100))*G100</f>
        <v>0</v>
      </c>
      <c r="T100" s="123">
        <f t="shared" ref="T100:T131" si="26">(($L100*(1+$M100))*(1+$N100))*H100</f>
        <v>0</v>
      </c>
      <c r="V100" s="120">
        <f t="shared" ref="V100:V131" si="27">SUM(S100:T100)</f>
        <v>0</v>
      </c>
      <c r="W100" s="121" t="b">
        <f t="shared" ref="W100:W131" si="28">EXACT(V100,O100)</f>
        <v>1</v>
      </c>
      <c r="X100" s="120">
        <f t="shared" ref="X100:X131" si="29">V100-O100</f>
        <v>0</v>
      </c>
    </row>
    <row r="101" spans="1:24" ht="12.75" customHeight="1">
      <c r="A101" s="88">
        <v>98</v>
      </c>
      <c r="B101" s="88"/>
      <c r="C101" s="75"/>
      <c r="D101" s="89"/>
      <c r="E101" s="90"/>
      <c r="F101" s="91"/>
      <c r="G101" s="93"/>
      <c r="H101" s="93"/>
      <c r="I101" s="94">
        <f t="shared" si="23"/>
        <v>0</v>
      </c>
      <c r="J101" s="95">
        <v>1</v>
      </c>
      <c r="K101" s="94">
        <f t="shared" si="1"/>
        <v>0</v>
      </c>
      <c r="L101" s="96">
        <f t="shared" si="24"/>
        <v>0</v>
      </c>
      <c r="M101" s="97">
        <v>0</v>
      </c>
      <c r="N101" s="97">
        <v>0.05</v>
      </c>
      <c r="O101" s="98">
        <f t="shared" si="3"/>
        <v>0</v>
      </c>
      <c r="P101" s="75"/>
      <c r="S101" s="123">
        <f t="shared" si="25"/>
        <v>0</v>
      </c>
      <c r="T101" s="123">
        <f t="shared" si="26"/>
        <v>0</v>
      </c>
      <c r="V101" s="120">
        <f t="shared" si="27"/>
        <v>0</v>
      </c>
      <c r="W101" s="121" t="b">
        <f t="shared" si="28"/>
        <v>1</v>
      </c>
      <c r="X101" s="120">
        <f t="shared" si="29"/>
        <v>0</v>
      </c>
    </row>
    <row r="102" spans="1:24" ht="12.75" customHeight="1">
      <c r="A102" s="88">
        <v>99</v>
      </c>
      <c r="B102" s="105"/>
      <c r="C102" s="106"/>
      <c r="D102" s="89"/>
      <c r="E102" s="90"/>
      <c r="F102" s="91"/>
      <c r="G102" s="93"/>
      <c r="H102" s="93"/>
      <c r="I102" s="94">
        <f t="shared" si="23"/>
        <v>0</v>
      </c>
      <c r="J102" s="95">
        <v>1</v>
      </c>
      <c r="K102" s="94">
        <f t="shared" si="1"/>
        <v>0</v>
      </c>
      <c r="L102" s="96">
        <f t="shared" si="24"/>
        <v>0</v>
      </c>
      <c r="M102" s="97">
        <v>0</v>
      </c>
      <c r="N102" s="97">
        <v>0.05</v>
      </c>
      <c r="O102" s="98">
        <f t="shared" si="3"/>
        <v>0</v>
      </c>
      <c r="P102" s="75"/>
      <c r="S102" s="123">
        <f t="shared" si="25"/>
        <v>0</v>
      </c>
      <c r="T102" s="123">
        <f t="shared" si="26"/>
        <v>0</v>
      </c>
      <c r="V102" s="120">
        <f t="shared" si="27"/>
        <v>0</v>
      </c>
      <c r="W102" s="121" t="b">
        <f t="shared" si="28"/>
        <v>1</v>
      </c>
      <c r="X102" s="120">
        <f t="shared" si="29"/>
        <v>0</v>
      </c>
    </row>
    <row r="103" spans="1:24" ht="12.75" customHeight="1">
      <c r="A103" s="88">
        <v>100</v>
      </c>
      <c r="B103" s="105"/>
      <c r="C103" s="106"/>
      <c r="D103" s="89"/>
      <c r="E103" s="90"/>
      <c r="F103" s="91"/>
      <c r="G103" s="93"/>
      <c r="H103" s="93"/>
      <c r="I103" s="94">
        <f t="shared" si="23"/>
        <v>0</v>
      </c>
      <c r="J103" s="95">
        <v>1</v>
      </c>
      <c r="K103" s="94">
        <f t="shared" si="1"/>
        <v>0</v>
      </c>
      <c r="L103" s="96">
        <f t="shared" si="24"/>
        <v>0</v>
      </c>
      <c r="M103" s="97">
        <v>0</v>
      </c>
      <c r="N103" s="97">
        <v>0.05</v>
      </c>
      <c r="O103" s="98">
        <f t="shared" si="3"/>
        <v>0</v>
      </c>
      <c r="P103" s="75"/>
      <c r="S103" s="123">
        <f t="shared" si="25"/>
        <v>0</v>
      </c>
      <c r="T103" s="123">
        <f t="shared" si="26"/>
        <v>0</v>
      </c>
      <c r="V103" s="120">
        <f t="shared" si="27"/>
        <v>0</v>
      </c>
      <c r="W103" s="121" t="b">
        <f t="shared" si="28"/>
        <v>1</v>
      </c>
      <c r="X103" s="120">
        <f t="shared" si="29"/>
        <v>0</v>
      </c>
    </row>
    <row r="104" spans="1:24" ht="12.75" customHeight="1">
      <c r="A104" s="88">
        <v>101</v>
      </c>
      <c r="B104" s="105"/>
      <c r="C104" s="106"/>
      <c r="D104" s="89"/>
      <c r="E104" s="90"/>
      <c r="F104" s="91"/>
      <c r="G104" s="93"/>
      <c r="H104" s="93"/>
      <c r="I104" s="94">
        <f t="shared" si="23"/>
        <v>0</v>
      </c>
      <c r="J104" s="95">
        <v>1</v>
      </c>
      <c r="K104" s="94">
        <f t="shared" si="1"/>
        <v>0</v>
      </c>
      <c r="L104" s="96">
        <f t="shared" si="24"/>
        <v>0</v>
      </c>
      <c r="M104" s="97">
        <v>0</v>
      </c>
      <c r="N104" s="97">
        <v>0.05</v>
      </c>
      <c r="O104" s="98">
        <f t="shared" si="3"/>
        <v>0</v>
      </c>
      <c r="P104" s="75"/>
      <c r="S104" s="123">
        <f t="shared" si="25"/>
        <v>0</v>
      </c>
      <c r="T104" s="123">
        <f t="shared" si="26"/>
        <v>0</v>
      </c>
      <c r="V104" s="120">
        <f t="shared" si="27"/>
        <v>0</v>
      </c>
      <c r="W104" s="121" t="b">
        <f t="shared" si="28"/>
        <v>1</v>
      </c>
      <c r="X104" s="120">
        <f t="shared" si="29"/>
        <v>0</v>
      </c>
    </row>
    <row r="105" spans="1:24" ht="12.75" customHeight="1">
      <c r="A105" s="88">
        <v>102</v>
      </c>
      <c r="B105" s="105"/>
      <c r="C105" s="106"/>
      <c r="D105" s="89"/>
      <c r="E105" s="90"/>
      <c r="F105" s="91"/>
      <c r="G105" s="93"/>
      <c r="H105" s="93"/>
      <c r="I105" s="94">
        <f t="shared" si="23"/>
        <v>0</v>
      </c>
      <c r="J105" s="95">
        <v>1</v>
      </c>
      <c r="K105" s="94">
        <f t="shared" si="1"/>
        <v>0</v>
      </c>
      <c r="L105" s="96">
        <f t="shared" si="24"/>
        <v>0</v>
      </c>
      <c r="M105" s="97">
        <v>0</v>
      </c>
      <c r="N105" s="97">
        <v>0.05</v>
      </c>
      <c r="O105" s="98">
        <f t="shared" si="3"/>
        <v>0</v>
      </c>
      <c r="P105" s="75"/>
      <c r="S105" s="123">
        <f t="shared" si="25"/>
        <v>0</v>
      </c>
      <c r="T105" s="123">
        <f t="shared" si="26"/>
        <v>0</v>
      </c>
      <c r="V105" s="120">
        <f t="shared" si="27"/>
        <v>0</v>
      </c>
      <c r="W105" s="121" t="b">
        <f t="shared" si="28"/>
        <v>1</v>
      </c>
      <c r="X105" s="120">
        <f t="shared" si="29"/>
        <v>0</v>
      </c>
    </row>
    <row r="106" spans="1:24" ht="12.75" customHeight="1">
      <c r="A106" s="88">
        <v>103</v>
      </c>
      <c r="B106" s="105"/>
      <c r="C106" s="106"/>
      <c r="D106" s="89"/>
      <c r="E106" s="90"/>
      <c r="F106" s="91"/>
      <c r="G106" s="93"/>
      <c r="H106" s="93"/>
      <c r="I106" s="94">
        <f t="shared" si="23"/>
        <v>0</v>
      </c>
      <c r="J106" s="95">
        <v>1</v>
      </c>
      <c r="K106" s="94">
        <f t="shared" si="1"/>
        <v>0</v>
      </c>
      <c r="L106" s="96">
        <f t="shared" si="24"/>
        <v>0</v>
      </c>
      <c r="M106" s="97">
        <v>0</v>
      </c>
      <c r="N106" s="97">
        <v>0.05</v>
      </c>
      <c r="O106" s="98">
        <f t="shared" si="3"/>
        <v>0</v>
      </c>
      <c r="P106" s="75"/>
      <c r="S106" s="123">
        <f t="shared" si="25"/>
        <v>0</v>
      </c>
      <c r="T106" s="123">
        <f t="shared" si="26"/>
        <v>0</v>
      </c>
      <c r="V106" s="120">
        <f t="shared" si="27"/>
        <v>0</v>
      </c>
      <c r="W106" s="121" t="b">
        <f t="shared" si="28"/>
        <v>1</v>
      </c>
      <c r="X106" s="120">
        <f t="shared" si="29"/>
        <v>0</v>
      </c>
    </row>
    <row r="107" spans="1:24" ht="12.75" customHeight="1">
      <c r="A107" s="88">
        <v>104</v>
      </c>
      <c r="B107" s="105"/>
      <c r="C107" s="106"/>
      <c r="D107" s="89"/>
      <c r="E107" s="90"/>
      <c r="F107" s="91"/>
      <c r="G107" s="93"/>
      <c r="H107" s="93"/>
      <c r="I107" s="94">
        <f t="shared" si="23"/>
        <v>0</v>
      </c>
      <c r="J107" s="95">
        <v>1</v>
      </c>
      <c r="K107" s="94">
        <f t="shared" si="1"/>
        <v>0</v>
      </c>
      <c r="L107" s="96">
        <f t="shared" si="24"/>
        <v>0</v>
      </c>
      <c r="M107" s="97">
        <v>0</v>
      </c>
      <c r="N107" s="97">
        <v>0.05</v>
      </c>
      <c r="O107" s="98">
        <f t="shared" si="3"/>
        <v>0</v>
      </c>
      <c r="P107" s="75"/>
      <c r="S107" s="123">
        <f t="shared" si="25"/>
        <v>0</v>
      </c>
      <c r="T107" s="123">
        <f t="shared" si="26"/>
        <v>0</v>
      </c>
      <c r="V107" s="120">
        <f t="shared" si="27"/>
        <v>0</v>
      </c>
      <c r="W107" s="121" t="b">
        <f t="shared" si="28"/>
        <v>1</v>
      </c>
      <c r="X107" s="120">
        <f t="shared" si="29"/>
        <v>0</v>
      </c>
    </row>
    <row r="108" spans="1:24" ht="12.75" customHeight="1">
      <c r="A108" s="88">
        <v>105</v>
      </c>
      <c r="B108" s="105"/>
      <c r="C108" s="106"/>
      <c r="D108" s="89"/>
      <c r="E108" s="90"/>
      <c r="F108" s="91"/>
      <c r="G108" s="93"/>
      <c r="H108" s="93"/>
      <c r="I108" s="94">
        <f t="shared" si="23"/>
        <v>0</v>
      </c>
      <c r="J108" s="95">
        <v>1</v>
      </c>
      <c r="K108" s="94">
        <f t="shared" si="1"/>
        <v>0</v>
      </c>
      <c r="L108" s="96">
        <f t="shared" si="24"/>
        <v>0</v>
      </c>
      <c r="M108" s="97">
        <v>0</v>
      </c>
      <c r="N108" s="97">
        <v>0.05</v>
      </c>
      <c r="O108" s="98">
        <f t="shared" si="3"/>
        <v>0</v>
      </c>
      <c r="P108" s="75"/>
      <c r="S108" s="123">
        <f t="shared" si="25"/>
        <v>0</v>
      </c>
      <c r="T108" s="123">
        <f t="shared" si="26"/>
        <v>0</v>
      </c>
      <c r="V108" s="120">
        <f t="shared" si="27"/>
        <v>0</v>
      </c>
      <c r="W108" s="121" t="b">
        <f t="shared" si="28"/>
        <v>1</v>
      </c>
      <c r="X108" s="120">
        <f t="shared" si="29"/>
        <v>0</v>
      </c>
    </row>
    <row r="109" spans="1:24" ht="12.75" customHeight="1">
      <c r="A109" s="88">
        <v>106</v>
      </c>
      <c r="B109" s="105"/>
      <c r="C109" s="106"/>
      <c r="D109" s="89"/>
      <c r="E109" s="90"/>
      <c r="F109" s="91"/>
      <c r="G109" s="93"/>
      <c r="H109" s="93"/>
      <c r="I109" s="94">
        <f t="shared" si="23"/>
        <v>0</v>
      </c>
      <c r="J109" s="95">
        <v>1</v>
      </c>
      <c r="K109" s="94">
        <f t="shared" si="1"/>
        <v>0</v>
      </c>
      <c r="L109" s="96">
        <f t="shared" si="24"/>
        <v>0</v>
      </c>
      <c r="M109" s="97">
        <v>0</v>
      </c>
      <c r="N109" s="97">
        <v>0.05</v>
      </c>
      <c r="O109" s="98">
        <f t="shared" si="3"/>
        <v>0</v>
      </c>
      <c r="P109" s="75"/>
      <c r="S109" s="123">
        <f t="shared" si="25"/>
        <v>0</v>
      </c>
      <c r="T109" s="123">
        <f t="shared" si="26"/>
        <v>0</v>
      </c>
      <c r="V109" s="120">
        <f t="shared" si="27"/>
        <v>0</v>
      </c>
      <c r="W109" s="121" t="b">
        <f t="shared" si="28"/>
        <v>1</v>
      </c>
      <c r="X109" s="120">
        <f t="shared" si="29"/>
        <v>0</v>
      </c>
    </row>
    <row r="110" spans="1:24" ht="12.75" customHeight="1">
      <c r="A110" s="88">
        <v>107</v>
      </c>
      <c r="B110" s="105"/>
      <c r="C110" s="106"/>
      <c r="D110" s="89"/>
      <c r="E110" s="90"/>
      <c r="F110" s="91"/>
      <c r="G110" s="93"/>
      <c r="H110" s="93"/>
      <c r="I110" s="94">
        <f t="shared" si="23"/>
        <v>0</v>
      </c>
      <c r="J110" s="95">
        <v>1</v>
      </c>
      <c r="K110" s="94">
        <f t="shared" si="1"/>
        <v>0</v>
      </c>
      <c r="L110" s="96">
        <f t="shared" si="24"/>
        <v>0</v>
      </c>
      <c r="M110" s="97">
        <v>0</v>
      </c>
      <c r="N110" s="97">
        <v>0.05</v>
      </c>
      <c r="O110" s="98">
        <f t="shared" si="3"/>
        <v>0</v>
      </c>
      <c r="P110" s="75"/>
      <c r="S110" s="123">
        <f t="shared" si="25"/>
        <v>0</v>
      </c>
      <c r="T110" s="123">
        <f t="shared" si="26"/>
        <v>0</v>
      </c>
      <c r="V110" s="120">
        <f t="shared" si="27"/>
        <v>0</v>
      </c>
      <c r="W110" s="121" t="b">
        <f t="shared" si="28"/>
        <v>1</v>
      </c>
      <c r="X110" s="120">
        <f t="shared" si="29"/>
        <v>0</v>
      </c>
    </row>
    <row r="111" spans="1:24" ht="12.75" customHeight="1">
      <c r="A111" s="88">
        <v>108</v>
      </c>
      <c r="B111" s="105"/>
      <c r="C111" s="106"/>
      <c r="D111" s="89"/>
      <c r="E111" s="90"/>
      <c r="F111" s="91"/>
      <c r="G111" s="93"/>
      <c r="H111" s="93"/>
      <c r="I111" s="94">
        <f t="shared" si="23"/>
        <v>0</v>
      </c>
      <c r="J111" s="95">
        <v>1</v>
      </c>
      <c r="K111" s="94">
        <f t="shared" si="1"/>
        <v>0</v>
      </c>
      <c r="L111" s="96">
        <f t="shared" si="24"/>
        <v>0</v>
      </c>
      <c r="M111" s="97">
        <v>0</v>
      </c>
      <c r="N111" s="97">
        <v>0.05</v>
      </c>
      <c r="O111" s="98">
        <f t="shared" si="3"/>
        <v>0</v>
      </c>
      <c r="P111" s="75"/>
      <c r="S111" s="123">
        <f t="shared" si="25"/>
        <v>0</v>
      </c>
      <c r="T111" s="123">
        <f t="shared" si="26"/>
        <v>0</v>
      </c>
      <c r="V111" s="120">
        <f t="shared" si="27"/>
        <v>0</v>
      </c>
      <c r="W111" s="121" t="b">
        <f t="shared" si="28"/>
        <v>1</v>
      </c>
      <c r="X111" s="120">
        <f t="shared" si="29"/>
        <v>0</v>
      </c>
    </row>
    <row r="112" spans="1:24" ht="12.75" customHeight="1">
      <c r="A112" s="88">
        <v>109</v>
      </c>
      <c r="B112" s="105"/>
      <c r="C112" s="106"/>
      <c r="D112" s="89"/>
      <c r="E112" s="90"/>
      <c r="F112" s="91"/>
      <c r="G112" s="93"/>
      <c r="H112" s="93"/>
      <c r="I112" s="94">
        <f t="shared" si="23"/>
        <v>0</v>
      </c>
      <c r="J112" s="95">
        <v>1</v>
      </c>
      <c r="K112" s="94">
        <f t="shared" si="1"/>
        <v>0</v>
      </c>
      <c r="L112" s="96">
        <f t="shared" si="24"/>
        <v>0</v>
      </c>
      <c r="M112" s="97">
        <v>0</v>
      </c>
      <c r="N112" s="97">
        <v>0.05</v>
      </c>
      <c r="O112" s="98">
        <f t="shared" si="3"/>
        <v>0</v>
      </c>
      <c r="P112" s="75"/>
      <c r="S112" s="123">
        <f t="shared" si="25"/>
        <v>0</v>
      </c>
      <c r="T112" s="123">
        <f t="shared" si="26"/>
        <v>0</v>
      </c>
      <c r="V112" s="120">
        <f t="shared" si="27"/>
        <v>0</v>
      </c>
      <c r="W112" s="121" t="b">
        <f t="shared" si="28"/>
        <v>1</v>
      </c>
      <c r="X112" s="120">
        <f t="shared" si="29"/>
        <v>0</v>
      </c>
    </row>
    <row r="113" spans="1:24" ht="12.75" customHeight="1">
      <c r="A113" s="88">
        <v>110</v>
      </c>
      <c r="B113" s="105"/>
      <c r="C113" s="106"/>
      <c r="D113" s="89"/>
      <c r="E113" s="90"/>
      <c r="F113" s="91"/>
      <c r="G113" s="93"/>
      <c r="H113" s="93"/>
      <c r="I113" s="94">
        <f t="shared" si="23"/>
        <v>0</v>
      </c>
      <c r="J113" s="95">
        <v>1</v>
      </c>
      <c r="K113" s="94">
        <f t="shared" si="1"/>
        <v>0</v>
      </c>
      <c r="L113" s="96">
        <f t="shared" si="24"/>
        <v>0</v>
      </c>
      <c r="M113" s="97">
        <v>0</v>
      </c>
      <c r="N113" s="97">
        <v>0.05</v>
      </c>
      <c r="O113" s="98">
        <f t="shared" si="3"/>
        <v>0</v>
      </c>
      <c r="P113" s="75"/>
      <c r="S113" s="123">
        <f t="shared" si="25"/>
        <v>0</v>
      </c>
      <c r="T113" s="123">
        <f t="shared" si="26"/>
        <v>0</v>
      </c>
      <c r="V113" s="120">
        <f t="shared" si="27"/>
        <v>0</v>
      </c>
      <c r="W113" s="121" t="b">
        <f t="shared" si="28"/>
        <v>1</v>
      </c>
      <c r="X113" s="120">
        <f t="shared" si="29"/>
        <v>0</v>
      </c>
    </row>
    <row r="114" spans="1:24" ht="12.75" customHeight="1">
      <c r="A114" s="88">
        <v>111</v>
      </c>
      <c r="B114" s="105"/>
      <c r="C114" s="106"/>
      <c r="D114" s="89"/>
      <c r="E114" s="90"/>
      <c r="F114" s="91"/>
      <c r="G114" s="93"/>
      <c r="H114" s="93"/>
      <c r="I114" s="94">
        <f t="shared" si="23"/>
        <v>0</v>
      </c>
      <c r="J114" s="95">
        <v>1</v>
      </c>
      <c r="K114" s="94">
        <f t="shared" si="1"/>
        <v>0</v>
      </c>
      <c r="L114" s="96">
        <f t="shared" si="24"/>
        <v>0</v>
      </c>
      <c r="M114" s="97">
        <v>0</v>
      </c>
      <c r="N114" s="97">
        <v>0.05</v>
      </c>
      <c r="O114" s="98">
        <f t="shared" si="3"/>
        <v>0</v>
      </c>
      <c r="P114" s="75"/>
      <c r="S114" s="123">
        <f t="shared" si="25"/>
        <v>0</v>
      </c>
      <c r="T114" s="123">
        <f t="shared" si="26"/>
        <v>0</v>
      </c>
      <c r="V114" s="120">
        <f t="shared" si="27"/>
        <v>0</v>
      </c>
      <c r="W114" s="121" t="b">
        <f t="shared" si="28"/>
        <v>1</v>
      </c>
      <c r="X114" s="120">
        <f t="shared" si="29"/>
        <v>0</v>
      </c>
    </row>
    <row r="115" spans="1:24" ht="12.75" customHeight="1">
      <c r="A115" s="88">
        <v>112</v>
      </c>
      <c r="B115" s="88"/>
      <c r="C115" s="75"/>
      <c r="D115" s="89"/>
      <c r="E115" s="90"/>
      <c r="F115" s="91"/>
      <c r="G115" s="93"/>
      <c r="H115" s="93"/>
      <c r="I115" s="94">
        <f t="shared" si="23"/>
        <v>0</v>
      </c>
      <c r="J115" s="95">
        <v>1</v>
      </c>
      <c r="K115" s="94">
        <f t="shared" si="1"/>
        <v>0</v>
      </c>
      <c r="L115" s="96">
        <f t="shared" si="24"/>
        <v>0</v>
      </c>
      <c r="M115" s="97">
        <v>0</v>
      </c>
      <c r="N115" s="97">
        <v>0.05</v>
      </c>
      <c r="O115" s="98">
        <f t="shared" si="3"/>
        <v>0</v>
      </c>
      <c r="P115" s="75"/>
      <c r="S115" s="123">
        <f t="shared" si="25"/>
        <v>0</v>
      </c>
      <c r="T115" s="123">
        <f t="shared" si="26"/>
        <v>0</v>
      </c>
      <c r="V115" s="120">
        <f t="shared" si="27"/>
        <v>0</v>
      </c>
      <c r="W115" s="121" t="b">
        <f t="shared" si="28"/>
        <v>1</v>
      </c>
      <c r="X115" s="120">
        <f t="shared" si="29"/>
        <v>0</v>
      </c>
    </row>
    <row r="116" spans="1:24" ht="12.75" customHeight="1">
      <c r="A116" s="88">
        <v>113</v>
      </c>
      <c r="B116" s="88"/>
      <c r="C116" s="75"/>
      <c r="D116" s="89"/>
      <c r="E116" s="90"/>
      <c r="F116" s="91"/>
      <c r="G116" s="93"/>
      <c r="H116" s="93"/>
      <c r="I116" s="94">
        <f t="shared" si="23"/>
        <v>0</v>
      </c>
      <c r="J116" s="95">
        <v>1</v>
      </c>
      <c r="K116" s="94">
        <f t="shared" si="1"/>
        <v>0</v>
      </c>
      <c r="L116" s="96">
        <f t="shared" si="24"/>
        <v>0</v>
      </c>
      <c r="M116" s="97">
        <v>0</v>
      </c>
      <c r="N116" s="97">
        <v>0.05</v>
      </c>
      <c r="O116" s="98">
        <f t="shared" si="3"/>
        <v>0</v>
      </c>
      <c r="P116" s="75"/>
      <c r="S116" s="123">
        <f t="shared" si="25"/>
        <v>0</v>
      </c>
      <c r="T116" s="123">
        <f t="shared" si="26"/>
        <v>0</v>
      </c>
      <c r="V116" s="120">
        <f t="shared" si="27"/>
        <v>0</v>
      </c>
      <c r="W116" s="121" t="b">
        <f t="shared" si="28"/>
        <v>1</v>
      </c>
      <c r="X116" s="120">
        <f t="shared" si="29"/>
        <v>0</v>
      </c>
    </row>
    <row r="117" spans="1:24" ht="12.75" customHeight="1">
      <c r="A117" s="88">
        <v>114</v>
      </c>
      <c r="B117" s="88"/>
      <c r="C117" s="75"/>
      <c r="D117" s="89"/>
      <c r="E117" s="90"/>
      <c r="F117" s="91"/>
      <c r="G117" s="93"/>
      <c r="H117" s="93"/>
      <c r="I117" s="94">
        <f t="shared" si="23"/>
        <v>0</v>
      </c>
      <c r="J117" s="95">
        <v>1</v>
      </c>
      <c r="K117" s="94">
        <f t="shared" si="1"/>
        <v>0</v>
      </c>
      <c r="L117" s="96">
        <f t="shared" si="24"/>
        <v>0</v>
      </c>
      <c r="M117" s="97">
        <v>0</v>
      </c>
      <c r="N117" s="97">
        <v>0.05</v>
      </c>
      <c r="O117" s="98">
        <f t="shared" ref="O117:O139" si="30">((L117*(1+M117))*(1+N117))*K117</f>
        <v>0</v>
      </c>
      <c r="P117" s="75"/>
      <c r="S117" s="123">
        <f t="shared" si="25"/>
        <v>0</v>
      </c>
      <c r="T117" s="123">
        <f t="shared" si="26"/>
        <v>0</v>
      </c>
      <c r="V117" s="120">
        <f t="shared" si="27"/>
        <v>0</v>
      </c>
      <c r="W117" s="121" t="b">
        <f t="shared" si="28"/>
        <v>1</v>
      </c>
      <c r="X117" s="120">
        <f t="shared" si="29"/>
        <v>0</v>
      </c>
    </row>
    <row r="118" spans="1:24" ht="12.75" customHeight="1">
      <c r="A118" s="88">
        <v>115</v>
      </c>
      <c r="B118" s="88"/>
      <c r="C118" s="75"/>
      <c r="D118" s="89"/>
      <c r="E118" s="90"/>
      <c r="F118" s="91"/>
      <c r="G118" s="93"/>
      <c r="H118" s="93"/>
      <c r="I118" s="94">
        <f t="shared" si="23"/>
        <v>0</v>
      </c>
      <c r="J118" s="95">
        <v>1</v>
      </c>
      <c r="K118" s="94">
        <f t="shared" si="1"/>
        <v>0</v>
      </c>
      <c r="L118" s="96">
        <f t="shared" si="24"/>
        <v>0</v>
      </c>
      <c r="M118" s="97">
        <v>0</v>
      </c>
      <c r="N118" s="97">
        <v>0.05</v>
      </c>
      <c r="O118" s="98">
        <f t="shared" si="30"/>
        <v>0</v>
      </c>
      <c r="P118" s="75"/>
      <c r="S118" s="123">
        <f t="shared" si="25"/>
        <v>0</v>
      </c>
      <c r="T118" s="123">
        <f t="shared" si="26"/>
        <v>0</v>
      </c>
      <c r="V118" s="120">
        <f t="shared" si="27"/>
        <v>0</v>
      </c>
      <c r="W118" s="121" t="b">
        <f t="shared" si="28"/>
        <v>1</v>
      </c>
      <c r="X118" s="120">
        <f t="shared" si="29"/>
        <v>0</v>
      </c>
    </row>
    <row r="119" spans="1:24" ht="12.75" customHeight="1">
      <c r="A119" s="88">
        <v>116</v>
      </c>
      <c r="B119" s="88"/>
      <c r="C119" s="75"/>
      <c r="D119" s="89"/>
      <c r="E119" s="90"/>
      <c r="F119" s="91"/>
      <c r="G119" s="93"/>
      <c r="H119" s="93"/>
      <c r="I119" s="94">
        <f t="shared" si="23"/>
        <v>0</v>
      </c>
      <c r="J119" s="95">
        <v>1</v>
      </c>
      <c r="K119" s="94">
        <f t="shared" si="1"/>
        <v>0</v>
      </c>
      <c r="L119" s="96">
        <f t="shared" si="24"/>
        <v>0</v>
      </c>
      <c r="M119" s="97">
        <v>0</v>
      </c>
      <c r="N119" s="97">
        <v>0.05</v>
      </c>
      <c r="O119" s="98">
        <f t="shared" si="30"/>
        <v>0</v>
      </c>
      <c r="P119" s="75"/>
      <c r="S119" s="123">
        <f t="shared" si="25"/>
        <v>0</v>
      </c>
      <c r="T119" s="123">
        <f t="shared" si="26"/>
        <v>0</v>
      </c>
      <c r="V119" s="120">
        <f t="shared" si="27"/>
        <v>0</v>
      </c>
      <c r="W119" s="121" t="b">
        <f t="shared" si="28"/>
        <v>1</v>
      </c>
      <c r="X119" s="120">
        <f t="shared" si="29"/>
        <v>0</v>
      </c>
    </row>
    <row r="120" spans="1:24" ht="12.75" customHeight="1">
      <c r="A120" s="88">
        <v>117</v>
      </c>
      <c r="B120" s="88"/>
      <c r="C120" s="75"/>
      <c r="D120" s="89"/>
      <c r="E120" s="90"/>
      <c r="F120" s="91"/>
      <c r="G120" s="93"/>
      <c r="H120" s="93"/>
      <c r="I120" s="94">
        <f t="shared" si="23"/>
        <v>0</v>
      </c>
      <c r="J120" s="95">
        <v>1</v>
      </c>
      <c r="K120" s="94">
        <f t="shared" si="1"/>
        <v>0</v>
      </c>
      <c r="L120" s="96">
        <f t="shared" si="24"/>
        <v>0</v>
      </c>
      <c r="M120" s="97">
        <v>0</v>
      </c>
      <c r="N120" s="97">
        <v>0.05</v>
      </c>
      <c r="O120" s="98">
        <f t="shared" si="30"/>
        <v>0</v>
      </c>
      <c r="P120" s="75"/>
      <c r="S120" s="123">
        <f t="shared" si="25"/>
        <v>0</v>
      </c>
      <c r="T120" s="123">
        <f t="shared" si="26"/>
        <v>0</v>
      </c>
      <c r="V120" s="120">
        <f t="shared" si="27"/>
        <v>0</v>
      </c>
      <c r="W120" s="121" t="b">
        <f t="shared" si="28"/>
        <v>1</v>
      </c>
      <c r="X120" s="120">
        <f t="shared" si="29"/>
        <v>0</v>
      </c>
    </row>
    <row r="121" spans="1:24" ht="12.75" customHeight="1">
      <c r="A121" s="88">
        <v>118</v>
      </c>
      <c r="B121" s="88"/>
      <c r="C121" s="75"/>
      <c r="D121" s="89"/>
      <c r="E121" s="90"/>
      <c r="F121" s="91"/>
      <c r="G121" s="93"/>
      <c r="H121" s="93"/>
      <c r="I121" s="94">
        <f t="shared" si="23"/>
        <v>0</v>
      </c>
      <c r="J121" s="95">
        <v>1</v>
      </c>
      <c r="K121" s="94">
        <f t="shared" si="1"/>
        <v>0</v>
      </c>
      <c r="L121" s="96">
        <f t="shared" si="24"/>
        <v>0</v>
      </c>
      <c r="M121" s="97">
        <v>0</v>
      </c>
      <c r="N121" s="97">
        <v>0.05</v>
      </c>
      <c r="O121" s="98">
        <f t="shared" si="30"/>
        <v>0</v>
      </c>
      <c r="P121" s="75"/>
      <c r="S121" s="123">
        <f t="shared" si="25"/>
        <v>0</v>
      </c>
      <c r="T121" s="123">
        <f t="shared" si="26"/>
        <v>0</v>
      </c>
      <c r="V121" s="120">
        <f t="shared" si="27"/>
        <v>0</v>
      </c>
      <c r="W121" s="121" t="b">
        <f t="shared" si="28"/>
        <v>1</v>
      </c>
      <c r="X121" s="120">
        <f t="shared" si="29"/>
        <v>0</v>
      </c>
    </row>
    <row r="122" spans="1:24" ht="12.75" customHeight="1">
      <c r="A122" s="88">
        <v>119</v>
      </c>
      <c r="B122" s="88"/>
      <c r="C122" s="75"/>
      <c r="D122" s="89"/>
      <c r="E122" s="90"/>
      <c r="F122" s="91"/>
      <c r="G122" s="93"/>
      <c r="H122" s="93"/>
      <c r="I122" s="94">
        <f t="shared" si="23"/>
        <v>0</v>
      </c>
      <c r="J122" s="95">
        <v>1</v>
      </c>
      <c r="K122" s="94">
        <f t="shared" ref="K122:K139" si="31">ROUNDUP(I122*J122, 0)</f>
        <v>0</v>
      </c>
      <c r="L122" s="96">
        <f t="shared" si="24"/>
        <v>0</v>
      </c>
      <c r="M122" s="97">
        <v>0</v>
      </c>
      <c r="N122" s="97">
        <v>0.05</v>
      </c>
      <c r="O122" s="98">
        <f t="shared" si="30"/>
        <v>0</v>
      </c>
      <c r="P122" s="75"/>
      <c r="S122" s="123">
        <f t="shared" si="25"/>
        <v>0</v>
      </c>
      <c r="T122" s="123">
        <f t="shared" si="26"/>
        <v>0</v>
      </c>
      <c r="V122" s="120">
        <f t="shared" si="27"/>
        <v>0</v>
      </c>
      <c r="W122" s="121" t="b">
        <f t="shared" si="28"/>
        <v>1</v>
      </c>
      <c r="X122" s="120">
        <f t="shared" si="29"/>
        <v>0</v>
      </c>
    </row>
    <row r="123" spans="1:24" ht="12.75" customHeight="1">
      <c r="A123" s="88">
        <v>120</v>
      </c>
      <c r="B123" s="88"/>
      <c r="C123" s="75"/>
      <c r="D123" s="89"/>
      <c r="E123" s="90"/>
      <c r="F123" s="91"/>
      <c r="G123" s="93"/>
      <c r="H123" s="93"/>
      <c r="I123" s="94">
        <f t="shared" si="23"/>
        <v>0</v>
      </c>
      <c r="J123" s="95">
        <v>1</v>
      </c>
      <c r="K123" s="94">
        <f t="shared" si="31"/>
        <v>0</v>
      </c>
      <c r="L123" s="96">
        <f t="shared" si="24"/>
        <v>0</v>
      </c>
      <c r="M123" s="97">
        <v>0</v>
      </c>
      <c r="N123" s="97">
        <v>0.05</v>
      </c>
      <c r="O123" s="98">
        <f t="shared" si="30"/>
        <v>0</v>
      </c>
      <c r="P123" s="75"/>
      <c r="S123" s="123">
        <f t="shared" si="25"/>
        <v>0</v>
      </c>
      <c r="T123" s="123">
        <f t="shared" si="26"/>
        <v>0</v>
      </c>
      <c r="V123" s="120">
        <f t="shared" si="27"/>
        <v>0</v>
      </c>
      <c r="W123" s="121" t="b">
        <f t="shared" si="28"/>
        <v>1</v>
      </c>
      <c r="X123" s="120">
        <f t="shared" si="29"/>
        <v>0</v>
      </c>
    </row>
    <row r="124" spans="1:24" ht="15" customHeight="1">
      <c r="A124" s="88">
        <v>121</v>
      </c>
      <c r="B124" s="88"/>
      <c r="C124" s="75"/>
      <c r="D124" s="89"/>
      <c r="E124" s="90"/>
      <c r="F124" s="91"/>
      <c r="G124" s="93"/>
      <c r="H124" s="93"/>
      <c r="I124" s="94">
        <f t="shared" si="23"/>
        <v>0</v>
      </c>
      <c r="J124" s="95">
        <v>1</v>
      </c>
      <c r="K124" s="94">
        <f t="shared" si="31"/>
        <v>0</v>
      </c>
      <c r="L124" s="96">
        <f t="shared" si="24"/>
        <v>0</v>
      </c>
      <c r="M124" s="97">
        <v>0</v>
      </c>
      <c r="N124" s="97">
        <v>0.05</v>
      </c>
      <c r="O124" s="98">
        <f t="shared" si="30"/>
        <v>0</v>
      </c>
      <c r="P124" s="75"/>
      <c r="S124" s="123">
        <f t="shared" si="25"/>
        <v>0</v>
      </c>
      <c r="T124" s="123">
        <f t="shared" si="26"/>
        <v>0</v>
      </c>
      <c r="V124" s="120">
        <f t="shared" si="27"/>
        <v>0</v>
      </c>
      <c r="W124" s="121" t="b">
        <f t="shared" si="28"/>
        <v>1</v>
      </c>
      <c r="X124" s="120">
        <f t="shared" si="29"/>
        <v>0</v>
      </c>
    </row>
    <row r="125" spans="1:24" ht="12.75" customHeight="1">
      <c r="A125" s="88">
        <v>122</v>
      </c>
      <c r="B125" s="88"/>
      <c r="C125" s="75"/>
      <c r="D125" s="89"/>
      <c r="E125" s="90"/>
      <c r="F125" s="91"/>
      <c r="G125" s="93"/>
      <c r="H125" s="93"/>
      <c r="I125" s="94">
        <f t="shared" si="23"/>
        <v>0</v>
      </c>
      <c r="J125" s="95">
        <v>1</v>
      </c>
      <c r="K125" s="94">
        <f t="shared" si="31"/>
        <v>0</v>
      </c>
      <c r="L125" s="96">
        <f t="shared" si="24"/>
        <v>0</v>
      </c>
      <c r="M125" s="97">
        <v>0</v>
      </c>
      <c r="N125" s="97">
        <v>0.05</v>
      </c>
      <c r="O125" s="98">
        <f t="shared" si="30"/>
        <v>0</v>
      </c>
      <c r="P125" s="75"/>
      <c r="S125" s="123">
        <f t="shared" si="25"/>
        <v>0</v>
      </c>
      <c r="T125" s="123">
        <f t="shared" si="26"/>
        <v>0</v>
      </c>
      <c r="V125" s="120">
        <f t="shared" si="27"/>
        <v>0</v>
      </c>
      <c r="W125" s="121" t="b">
        <f t="shared" si="28"/>
        <v>1</v>
      </c>
      <c r="X125" s="120">
        <f t="shared" si="29"/>
        <v>0</v>
      </c>
    </row>
    <row r="126" spans="1:24" ht="12.75" customHeight="1">
      <c r="A126" s="88">
        <v>123</v>
      </c>
      <c r="B126" s="88"/>
      <c r="C126" s="75"/>
      <c r="D126" s="89"/>
      <c r="E126" s="90"/>
      <c r="F126" s="91"/>
      <c r="G126" s="93"/>
      <c r="H126" s="93"/>
      <c r="I126" s="94">
        <f t="shared" si="23"/>
        <v>0</v>
      </c>
      <c r="J126" s="95">
        <v>1</v>
      </c>
      <c r="K126" s="94">
        <f t="shared" si="31"/>
        <v>0</v>
      </c>
      <c r="L126" s="96">
        <f t="shared" si="24"/>
        <v>0</v>
      </c>
      <c r="M126" s="97">
        <v>0</v>
      </c>
      <c r="N126" s="97">
        <v>0.05</v>
      </c>
      <c r="O126" s="98">
        <f t="shared" si="30"/>
        <v>0</v>
      </c>
      <c r="P126" s="75"/>
      <c r="S126" s="123">
        <f t="shared" si="25"/>
        <v>0</v>
      </c>
      <c r="T126" s="123">
        <f t="shared" si="26"/>
        <v>0</v>
      </c>
      <c r="V126" s="120">
        <f t="shared" si="27"/>
        <v>0</v>
      </c>
      <c r="W126" s="121" t="b">
        <f t="shared" si="28"/>
        <v>1</v>
      </c>
      <c r="X126" s="120">
        <f t="shared" si="29"/>
        <v>0</v>
      </c>
    </row>
    <row r="127" spans="1:24" ht="12.75" customHeight="1">
      <c r="A127" s="88">
        <v>124</v>
      </c>
      <c r="B127" s="88"/>
      <c r="C127" s="75"/>
      <c r="D127" s="89"/>
      <c r="E127" s="90"/>
      <c r="F127" s="91"/>
      <c r="G127" s="93"/>
      <c r="H127" s="93"/>
      <c r="I127" s="94">
        <f t="shared" si="23"/>
        <v>0</v>
      </c>
      <c r="J127" s="95">
        <v>1</v>
      </c>
      <c r="K127" s="94">
        <f t="shared" si="31"/>
        <v>0</v>
      </c>
      <c r="L127" s="96">
        <f t="shared" si="24"/>
        <v>0</v>
      </c>
      <c r="M127" s="97">
        <v>0</v>
      </c>
      <c r="N127" s="97">
        <v>0.05</v>
      </c>
      <c r="O127" s="98">
        <f t="shared" si="30"/>
        <v>0</v>
      </c>
      <c r="P127" s="75"/>
      <c r="S127" s="123">
        <f t="shared" si="25"/>
        <v>0</v>
      </c>
      <c r="T127" s="123">
        <f t="shared" si="26"/>
        <v>0</v>
      </c>
      <c r="V127" s="120">
        <f t="shared" si="27"/>
        <v>0</v>
      </c>
      <c r="W127" s="121" t="b">
        <f t="shared" si="28"/>
        <v>1</v>
      </c>
      <c r="X127" s="120">
        <f t="shared" si="29"/>
        <v>0</v>
      </c>
    </row>
    <row r="128" spans="1:24" ht="12.75" customHeight="1">
      <c r="A128" s="88">
        <v>125</v>
      </c>
      <c r="B128" s="88"/>
      <c r="C128" s="75"/>
      <c r="D128" s="89"/>
      <c r="E128" s="90"/>
      <c r="F128" s="91"/>
      <c r="G128" s="93"/>
      <c r="H128" s="93"/>
      <c r="I128" s="94">
        <f t="shared" si="23"/>
        <v>0</v>
      </c>
      <c r="J128" s="95">
        <v>1</v>
      </c>
      <c r="K128" s="94">
        <f t="shared" si="31"/>
        <v>0</v>
      </c>
      <c r="L128" s="96">
        <f t="shared" si="24"/>
        <v>0</v>
      </c>
      <c r="M128" s="97">
        <v>0</v>
      </c>
      <c r="N128" s="97">
        <v>0.05</v>
      </c>
      <c r="O128" s="98">
        <f t="shared" si="30"/>
        <v>0</v>
      </c>
      <c r="P128" s="75"/>
      <c r="S128" s="123">
        <f t="shared" si="25"/>
        <v>0</v>
      </c>
      <c r="T128" s="123">
        <f t="shared" si="26"/>
        <v>0</v>
      </c>
      <c r="V128" s="120">
        <f t="shared" si="27"/>
        <v>0</v>
      </c>
      <c r="W128" s="121" t="b">
        <f t="shared" si="28"/>
        <v>1</v>
      </c>
      <c r="X128" s="120">
        <f t="shared" si="29"/>
        <v>0</v>
      </c>
    </row>
    <row r="129" spans="1:24">
      <c r="A129" s="88">
        <v>126</v>
      </c>
      <c r="B129" s="88"/>
      <c r="C129" s="75"/>
      <c r="D129" s="89"/>
      <c r="E129" s="90"/>
      <c r="F129" s="91"/>
      <c r="G129" s="93"/>
      <c r="H129" s="93"/>
      <c r="I129" s="94">
        <f t="shared" si="23"/>
        <v>0</v>
      </c>
      <c r="J129" s="95">
        <v>1</v>
      </c>
      <c r="K129" s="94">
        <f t="shared" si="31"/>
        <v>0</v>
      </c>
      <c r="L129" s="96">
        <f t="shared" si="24"/>
        <v>0</v>
      </c>
      <c r="M129" s="97">
        <v>0</v>
      </c>
      <c r="N129" s="97">
        <v>0.05</v>
      </c>
      <c r="O129" s="98">
        <f t="shared" si="30"/>
        <v>0</v>
      </c>
      <c r="P129" s="75"/>
      <c r="S129" s="123">
        <f t="shared" si="25"/>
        <v>0</v>
      </c>
      <c r="T129" s="123">
        <f t="shared" si="26"/>
        <v>0</v>
      </c>
      <c r="V129" s="120">
        <f t="shared" si="27"/>
        <v>0</v>
      </c>
      <c r="W129" s="121" t="b">
        <f t="shared" si="28"/>
        <v>1</v>
      </c>
      <c r="X129" s="120">
        <f t="shared" si="29"/>
        <v>0</v>
      </c>
    </row>
    <row r="130" spans="1:24">
      <c r="A130" s="88">
        <v>127</v>
      </c>
      <c r="B130" s="88"/>
      <c r="C130" s="75"/>
      <c r="D130" s="89"/>
      <c r="E130" s="90"/>
      <c r="F130" s="91"/>
      <c r="G130" s="93"/>
      <c r="H130" s="93"/>
      <c r="I130" s="94">
        <f t="shared" si="23"/>
        <v>0</v>
      </c>
      <c r="J130" s="95">
        <v>1</v>
      </c>
      <c r="K130" s="94">
        <f t="shared" si="31"/>
        <v>0</v>
      </c>
      <c r="L130" s="96">
        <f t="shared" si="24"/>
        <v>0</v>
      </c>
      <c r="M130" s="97">
        <v>0</v>
      </c>
      <c r="N130" s="97">
        <v>0.05</v>
      </c>
      <c r="O130" s="98">
        <f t="shared" si="30"/>
        <v>0</v>
      </c>
      <c r="P130" s="75"/>
      <c r="S130" s="123">
        <f t="shared" si="25"/>
        <v>0</v>
      </c>
      <c r="T130" s="123">
        <f t="shared" si="26"/>
        <v>0</v>
      </c>
      <c r="V130" s="120">
        <f t="shared" si="27"/>
        <v>0</v>
      </c>
      <c r="W130" s="121" t="b">
        <f t="shared" si="28"/>
        <v>1</v>
      </c>
      <c r="X130" s="120">
        <f t="shared" si="29"/>
        <v>0</v>
      </c>
    </row>
    <row r="131" spans="1:24">
      <c r="A131" s="88">
        <v>128</v>
      </c>
      <c r="B131" s="88"/>
      <c r="C131" s="75"/>
      <c r="D131" s="89"/>
      <c r="E131" s="90"/>
      <c r="F131" s="91"/>
      <c r="G131" s="93"/>
      <c r="H131" s="93"/>
      <c r="I131" s="94">
        <f t="shared" si="23"/>
        <v>0</v>
      </c>
      <c r="J131" s="95">
        <v>1</v>
      </c>
      <c r="K131" s="94">
        <f t="shared" si="31"/>
        <v>0</v>
      </c>
      <c r="L131" s="96">
        <f t="shared" si="24"/>
        <v>0</v>
      </c>
      <c r="M131" s="97">
        <v>0</v>
      </c>
      <c r="N131" s="97">
        <v>0.05</v>
      </c>
      <c r="O131" s="98">
        <f t="shared" si="30"/>
        <v>0</v>
      </c>
      <c r="P131" s="75"/>
      <c r="S131" s="123">
        <f t="shared" si="25"/>
        <v>0</v>
      </c>
      <c r="T131" s="123">
        <f t="shared" si="26"/>
        <v>0</v>
      </c>
      <c r="V131" s="120">
        <f t="shared" si="27"/>
        <v>0</v>
      </c>
      <c r="W131" s="121" t="b">
        <f t="shared" si="28"/>
        <v>1</v>
      </c>
      <c r="X131" s="120">
        <f t="shared" si="29"/>
        <v>0</v>
      </c>
    </row>
    <row r="132" spans="1:24">
      <c r="A132" s="88">
        <v>129</v>
      </c>
      <c r="B132" s="88"/>
      <c r="C132" s="75"/>
      <c r="D132" s="89"/>
      <c r="E132" s="90"/>
      <c r="F132" s="91"/>
      <c r="G132" s="93"/>
      <c r="H132" s="93"/>
      <c r="I132" s="94">
        <f t="shared" ref="I132:I139" si="32">SUM(G132:H132)</f>
        <v>0</v>
      </c>
      <c r="J132" s="95">
        <v>1</v>
      </c>
      <c r="K132" s="94">
        <f t="shared" si="31"/>
        <v>0</v>
      </c>
      <c r="L132" s="96">
        <f t="shared" ref="L132:L139" si="33">F132</f>
        <v>0</v>
      </c>
      <c r="M132" s="97">
        <v>0</v>
      </c>
      <c r="N132" s="97">
        <v>0.05</v>
      </c>
      <c r="O132" s="98">
        <f t="shared" si="30"/>
        <v>0</v>
      </c>
      <c r="P132" s="75"/>
      <c r="S132" s="123">
        <f t="shared" ref="S132:S139" si="34">(($L132*(1+$M132))*(1+$N132))*G132</f>
        <v>0</v>
      </c>
      <c r="T132" s="123">
        <f t="shared" ref="T132:T139" si="35">(($L132*(1+$M132))*(1+$N132))*H132</f>
        <v>0</v>
      </c>
      <c r="V132" s="120">
        <f t="shared" ref="V132:V139" si="36">SUM(S132:T132)</f>
        <v>0</v>
      </c>
      <c r="W132" s="121" t="b">
        <f t="shared" ref="W132:W139" si="37">EXACT(V132,O132)</f>
        <v>1</v>
      </c>
      <c r="X132" s="120">
        <f t="shared" ref="X132:X139" si="38">V132-O132</f>
        <v>0</v>
      </c>
    </row>
    <row r="133" spans="1:24">
      <c r="A133" s="88">
        <v>130</v>
      </c>
      <c r="B133" s="88"/>
      <c r="C133" s="75"/>
      <c r="D133" s="89"/>
      <c r="E133" s="90"/>
      <c r="F133" s="91"/>
      <c r="G133" s="93"/>
      <c r="H133" s="93"/>
      <c r="I133" s="94">
        <f t="shared" si="32"/>
        <v>0</v>
      </c>
      <c r="J133" s="95">
        <v>1</v>
      </c>
      <c r="K133" s="94">
        <f t="shared" si="31"/>
        <v>0</v>
      </c>
      <c r="L133" s="96">
        <f t="shared" si="33"/>
        <v>0</v>
      </c>
      <c r="M133" s="97">
        <v>0</v>
      </c>
      <c r="N133" s="97">
        <v>0.05</v>
      </c>
      <c r="O133" s="98">
        <f t="shared" si="30"/>
        <v>0</v>
      </c>
      <c r="P133" s="75"/>
      <c r="S133" s="123">
        <f t="shared" si="34"/>
        <v>0</v>
      </c>
      <c r="T133" s="123">
        <f t="shared" si="35"/>
        <v>0</v>
      </c>
      <c r="V133" s="120">
        <f t="shared" si="36"/>
        <v>0</v>
      </c>
      <c r="W133" s="121" t="b">
        <f t="shared" si="37"/>
        <v>1</v>
      </c>
      <c r="X133" s="120">
        <f t="shared" si="38"/>
        <v>0</v>
      </c>
    </row>
    <row r="134" spans="1:24" ht="12.75" customHeight="1">
      <c r="A134" s="88">
        <v>131</v>
      </c>
      <c r="B134" s="88"/>
      <c r="C134" s="75"/>
      <c r="D134" s="89"/>
      <c r="E134" s="90"/>
      <c r="F134" s="91"/>
      <c r="G134" s="93"/>
      <c r="H134" s="93"/>
      <c r="I134" s="94">
        <f t="shared" si="32"/>
        <v>0</v>
      </c>
      <c r="J134" s="95">
        <v>1</v>
      </c>
      <c r="K134" s="94">
        <f t="shared" si="31"/>
        <v>0</v>
      </c>
      <c r="L134" s="96">
        <f t="shared" si="33"/>
        <v>0</v>
      </c>
      <c r="M134" s="97">
        <v>0</v>
      </c>
      <c r="N134" s="97">
        <v>0.05</v>
      </c>
      <c r="O134" s="98">
        <f t="shared" si="30"/>
        <v>0</v>
      </c>
      <c r="P134" s="75"/>
      <c r="S134" s="123">
        <f t="shared" si="34"/>
        <v>0</v>
      </c>
      <c r="T134" s="123">
        <f t="shared" si="35"/>
        <v>0</v>
      </c>
      <c r="V134" s="120">
        <f t="shared" si="36"/>
        <v>0</v>
      </c>
      <c r="W134" s="121" t="b">
        <f t="shared" si="37"/>
        <v>1</v>
      </c>
      <c r="X134" s="120">
        <f t="shared" si="38"/>
        <v>0</v>
      </c>
    </row>
    <row r="135" spans="1:24" ht="12.75" customHeight="1">
      <c r="A135" s="88">
        <v>132</v>
      </c>
      <c r="B135" s="88"/>
      <c r="C135" s="75"/>
      <c r="D135" s="89"/>
      <c r="E135" s="90"/>
      <c r="F135" s="91"/>
      <c r="G135" s="93"/>
      <c r="H135" s="93"/>
      <c r="I135" s="94">
        <f t="shared" si="32"/>
        <v>0</v>
      </c>
      <c r="J135" s="95">
        <v>1</v>
      </c>
      <c r="K135" s="94">
        <f t="shared" si="31"/>
        <v>0</v>
      </c>
      <c r="L135" s="96">
        <f t="shared" si="33"/>
        <v>0</v>
      </c>
      <c r="M135" s="97">
        <v>0</v>
      </c>
      <c r="N135" s="97">
        <v>0.05</v>
      </c>
      <c r="O135" s="98">
        <f t="shared" si="30"/>
        <v>0</v>
      </c>
      <c r="P135" s="75"/>
      <c r="S135" s="123">
        <f t="shared" si="34"/>
        <v>0</v>
      </c>
      <c r="T135" s="123">
        <f t="shared" si="35"/>
        <v>0</v>
      </c>
      <c r="V135" s="120">
        <f t="shared" si="36"/>
        <v>0</v>
      </c>
      <c r="W135" s="121" t="b">
        <f t="shared" si="37"/>
        <v>1</v>
      </c>
      <c r="X135" s="120">
        <f t="shared" si="38"/>
        <v>0</v>
      </c>
    </row>
    <row r="136" spans="1:24" ht="12.75" customHeight="1">
      <c r="A136" s="88">
        <v>133</v>
      </c>
      <c r="B136" s="88"/>
      <c r="C136" s="75"/>
      <c r="D136" s="89"/>
      <c r="E136" s="90"/>
      <c r="F136" s="91"/>
      <c r="G136" s="93"/>
      <c r="H136" s="93"/>
      <c r="I136" s="94">
        <f t="shared" si="32"/>
        <v>0</v>
      </c>
      <c r="J136" s="95">
        <v>1</v>
      </c>
      <c r="K136" s="94">
        <f t="shared" si="31"/>
        <v>0</v>
      </c>
      <c r="L136" s="96">
        <f t="shared" si="33"/>
        <v>0</v>
      </c>
      <c r="M136" s="97">
        <v>0</v>
      </c>
      <c r="N136" s="97">
        <v>0.05</v>
      </c>
      <c r="O136" s="98">
        <f t="shared" si="30"/>
        <v>0</v>
      </c>
      <c r="P136" s="75"/>
      <c r="S136" s="123">
        <f t="shared" si="34"/>
        <v>0</v>
      </c>
      <c r="T136" s="123">
        <f t="shared" si="35"/>
        <v>0</v>
      </c>
      <c r="V136" s="120">
        <f t="shared" si="36"/>
        <v>0</v>
      </c>
      <c r="W136" s="121" t="b">
        <f t="shared" si="37"/>
        <v>1</v>
      </c>
      <c r="X136" s="120">
        <f t="shared" si="38"/>
        <v>0</v>
      </c>
    </row>
    <row r="137" spans="1:24">
      <c r="A137" s="88">
        <v>134</v>
      </c>
      <c r="B137" s="88"/>
      <c r="C137" s="75"/>
      <c r="D137" s="89"/>
      <c r="E137" s="90"/>
      <c r="F137" s="91"/>
      <c r="G137" s="93"/>
      <c r="H137" s="93"/>
      <c r="I137" s="94">
        <f t="shared" si="32"/>
        <v>0</v>
      </c>
      <c r="J137" s="95">
        <v>1</v>
      </c>
      <c r="K137" s="94">
        <f t="shared" si="31"/>
        <v>0</v>
      </c>
      <c r="L137" s="96">
        <f t="shared" si="33"/>
        <v>0</v>
      </c>
      <c r="M137" s="97">
        <v>0</v>
      </c>
      <c r="N137" s="97">
        <v>0.05</v>
      </c>
      <c r="O137" s="98">
        <f t="shared" si="30"/>
        <v>0</v>
      </c>
      <c r="P137" s="75"/>
      <c r="S137" s="123">
        <f t="shared" si="34"/>
        <v>0</v>
      </c>
      <c r="T137" s="123">
        <f t="shared" si="35"/>
        <v>0</v>
      </c>
      <c r="V137" s="120">
        <f t="shared" si="36"/>
        <v>0</v>
      </c>
      <c r="W137" s="121" t="b">
        <f t="shared" si="37"/>
        <v>1</v>
      </c>
      <c r="X137" s="120">
        <f t="shared" si="38"/>
        <v>0</v>
      </c>
    </row>
    <row r="138" spans="1:24">
      <c r="A138" s="88">
        <v>135</v>
      </c>
      <c r="B138" s="88"/>
      <c r="C138" s="75"/>
      <c r="D138" s="89"/>
      <c r="E138" s="90"/>
      <c r="F138" s="91"/>
      <c r="G138" s="93"/>
      <c r="H138" s="93"/>
      <c r="I138" s="94">
        <f t="shared" si="32"/>
        <v>0</v>
      </c>
      <c r="J138" s="95">
        <v>1</v>
      </c>
      <c r="K138" s="94">
        <f t="shared" si="31"/>
        <v>0</v>
      </c>
      <c r="L138" s="96">
        <f t="shared" si="33"/>
        <v>0</v>
      </c>
      <c r="M138" s="97">
        <v>0</v>
      </c>
      <c r="N138" s="97">
        <v>0.05</v>
      </c>
      <c r="O138" s="98">
        <f t="shared" si="30"/>
        <v>0</v>
      </c>
      <c r="P138" s="75"/>
      <c r="S138" s="123">
        <f t="shared" si="34"/>
        <v>0</v>
      </c>
      <c r="T138" s="123">
        <f t="shared" si="35"/>
        <v>0</v>
      </c>
      <c r="V138" s="120">
        <f t="shared" si="36"/>
        <v>0</v>
      </c>
      <c r="W138" s="121" t="b">
        <f t="shared" si="37"/>
        <v>1</v>
      </c>
      <c r="X138" s="120">
        <f t="shared" si="38"/>
        <v>0</v>
      </c>
    </row>
    <row r="139" spans="1:24" ht="12.75" customHeight="1">
      <c r="A139" s="88">
        <v>136</v>
      </c>
      <c r="B139" s="88"/>
      <c r="C139" s="75"/>
      <c r="D139" s="89"/>
      <c r="E139" s="90"/>
      <c r="F139" s="91"/>
      <c r="G139" s="93"/>
      <c r="H139" s="93"/>
      <c r="I139" s="94">
        <f t="shared" si="32"/>
        <v>0</v>
      </c>
      <c r="J139" s="95">
        <v>1</v>
      </c>
      <c r="K139" s="94">
        <f t="shared" si="31"/>
        <v>0</v>
      </c>
      <c r="L139" s="96">
        <f t="shared" si="33"/>
        <v>0</v>
      </c>
      <c r="M139" s="97">
        <v>0</v>
      </c>
      <c r="N139" s="97">
        <v>0.05</v>
      </c>
      <c r="O139" s="98">
        <f t="shared" si="30"/>
        <v>0</v>
      </c>
      <c r="P139" s="75"/>
      <c r="S139" s="123">
        <f t="shared" si="34"/>
        <v>0</v>
      </c>
      <c r="T139" s="123">
        <f t="shared" si="35"/>
        <v>0</v>
      </c>
      <c r="V139" s="120">
        <f t="shared" si="36"/>
        <v>0</v>
      </c>
      <c r="W139" s="121" t="b">
        <f t="shared" si="37"/>
        <v>1</v>
      </c>
      <c r="X139" s="120">
        <f t="shared" si="38"/>
        <v>0</v>
      </c>
    </row>
    <row r="140" spans="1:24" ht="12.75" customHeight="1">
      <c r="A140" s="88"/>
      <c r="B140" s="88"/>
      <c r="C140" s="107" t="s">
        <v>44</v>
      </c>
      <c r="D140" s="89"/>
      <c r="E140" s="90"/>
      <c r="F140" s="91"/>
      <c r="G140" s="93"/>
      <c r="H140" s="93"/>
      <c r="I140" s="94"/>
      <c r="J140" s="95"/>
      <c r="K140" s="94"/>
      <c r="L140" s="96"/>
      <c r="M140" s="97"/>
      <c r="N140" s="97"/>
      <c r="O140" s="98"/>
      <c r="P140" s="75"/>
      <c r="S140" s="99"/>
      <c r="T140" s="99"/>
      <c r="V140" s="100"/>
      <c r="X140" s="100"/>
    </row>
    <row r="141" spans="1:24" ht="12.75" customHeight="1">
      <c r="D141" s="108"/>
      <c r="E141" s="109"/>
      <c r="L141" s="110"/>
      <c r="M141" s="110"/>
      <c r="N141" s="110"/>
      <c r="S141" s="100"/>
      <c r="T141" s="100"/>
      <c r="V141" s="100"/>
      <c r="X141" s="100"/>
    </row>
    <row r="142" spans="1:24">
      <c r="D142" s="108"/>
      <c r="E142" s="111"/>
      <c r="L142" s="110"/>
      <c r="M142" s="110"/>
      <c r="N142" s="110"/>
      <c r="S142" s="100"/>
      <c r="T142" s="100"/>
      <c r="V142" s="100"/>
      <c r="X142" s="100"/>
    </row>
    <row r="143" spans="1:24">
      <c r="D143" s="112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</row>
    <row r="144" spans="1:24" ht="21">
      <c r="L144" s="114" t="s">
        <v>45</v>
      </c>
      <c r="M144" s="114"/>
      <c r="N144" s="114"/>
      <c r="O144" s="115">
        <f>SUBTOTAL(9, O4:O140)</f>
        <v>882.45089999999982</v>
      </c>
      <c r="R144" s="14" t="s">
        <v>45</v>
      </c>
      <c r="S144" s="121">
        <f>SUM(S4:S140)-$X$144</f>
        <v>882.45089999999982</v>
      </c>
      <c r="T144" s="121">
        <f>SUM(T4:T140)-$X$144</f>
        <v>0</v>
      </c>
      <c r="W144" s="13" t="s">
        <v>10</v>
      </c>
      <c r="X144" s="100">
        <f>SUM(X4:X140)/COUNTA(S3:T3)</f>
        <v>0</v>
      </c>
    </row>
    <row r="145" spans="12:20" ht="21">
      <c r="L145" s="114" t="s">
        <v>5</v>
      </c>
      <c r="M145" s="116"/>
      <c r="N145" s="116"/>
      <c r="O145" s="115">
        <f>SUM(O4:O140)</f>
        <v>882.45089999999982</v>
      </c>
      <c r="R145" s="117" t="s">
        <v>5</v>
      </c>
      <c r="S145" s="121">
        <f>SUBTOTAL(9, S4:S140)-$X$144</f>
        <v>882.45089999999982</v>
      </c>
      <c r="T145" s="121">
        <f>SUBTOTAL(9, T4:T140)-$X$144</f>
        <v>0</v>
      </c>
    </row>
    <row r="146" spans="12:20">
      <c r="L146" s="117"/>
      <c r="M146" s="117"/>
      <c r="N146" s="117"/>
    </row>
    <row r="147" spans="12:20">
      <c r="L147" s="117"/>
      <c r="M147" s="117"/>
      <c r="N147" s="117"/>
    </row>
    <row r="148" spans="12:20">
      <c r="L148" s="117"/>
      <c r="M148" s="117"/>
      <c r="N148" s="117"/>
    </row>
    <row r="149" spans="12:20">
      <c r="L149" s="117"/>
      <c r="M149" s="117"/>
      <c r="N149" s="117"/>
    </row>
    <row r="150" spans="12:20">
      <c r="L150" s="117"/>
      <c r="M150" s="117"/>
      <c r="N150" s="117"/>
    </row>
    <row r="151" spans="12:20">
      <c r="L151" s="117"/>
      <c r="M151" s="117"/>
      <c r="N151" s="117"/>
    </row>
    <row r="152" spans="12:20">
      <c r="L152" s="117"/>
      <c r="M152" s="117"/>
      <c r="N152" s="117"/>
    </row>
    <row r="153" spans="12:20">
      <c r="L153" s="117"/>
      <c r="M153" s="117"/>
      <c r="N153" s="117"/>
    </row>
    <row r="154" spans="12:20">
      <c r="L154" s="117"/>
      <c r="M154" s="117"/>
      <c r="N154" s="117"/>
    </row>
    <row r="155" spans="12:20">
      <c r="L155" s="117"/>
      <c r="M155" s="117"/>
      <c r="N155" s="117"/>
    </row>
    <row r="156" spans="12:20">
      <c r="L156" s="117"/>
      <c r="M156" s="117"/>
      <c r="N156" s="117"/>
    </row>
    <row r="157" spans="12:20">
      <c r="L157" s="117"/>
      <c r="M157" s="117"/>
      <c r="N157" s="117"/>
    </row>
    <row r="158" spans="12:20">
      <c r="L158" s="117"/>
      <c r="M158" s="117"/>
      <c r="N158" s="117"/>
    </row>
    <row r="159" spans="12:20">
      <c r="L159" s="117"/>
      <c r="M159" s="117"/>
      <c r="N159" s="117"/>
    </row>
    <row r="160" spans="12:20">
      <c r="L160" s="117"/>
      <c r="M160" s="117"/>
      <c r="N160" s="117"/>
    </row>
    <row r="161" spans="12:14">
      <c r="L161" s="117"/>
      <c r="M161" s="117"/>
      <c r="N161" s="117"/>
    </row>
    <row r="162" spans="12:14">
      <c r="L162" s="117"/>
      <c r="M162" s="117"/>
      <c r="N162" s="117"/>
    </row>
    <row r="163" spans="12:14">
      <c r="L163" s="117"/>
      <c r="M163" s="117"/>
      <c r="N163" s="117"/>
    </row>
    <row r="164" spans="12:14">
      <c r="L164" s="117"/>
      <c r="M164" s="117"/>
      <c r="N164" s="117"/>
    </row>
    <row r="165" spans="12:14">
      <c r="L165" s="117"/>
      <c r="M165" s="117"/>
      <c r="N165" s="117"/>
    </row>
    <row r="166" spans="12:14">
      <c r="L166" s="117"/>
      <c r="M166" s="117"/>
      <c r="N166" s="117"/>
    </row>
    <row r="167" spans="12:14">
      <c r="L167" s="117"/>
      <c r="M167" s="117"/>
      <c r="N167" s="117"/>
    </row>
    <row r="168" spans="12:14">
      <c r="L168" s="117"/>
      <c r="M168" s="117"/>
      <c r="N168" s="117"/>
    </row>
    <row r="169" spans="12:14">
      <c r="L169" s="117"/>
      <c r="M169" s="117"/>
      <c r="N169" s="117"/>
    </row>
    <row r="170" spans="12:14">
      <c r="L170" s="117"/>
      <c r="M170" s="117"/>
      <c r="N170" s="117"/>
    </row>
    <row r="171" spans="12:14">
      <c r="L171" s="117"/>
      <c r="M171" s="117"/>
      <c r="N171" s="117"/>
    </row>
    <row r="172" spans="12:14">
      <c r="L172" s="117"/>
      <c r="M172" s="117"/>
      <c r="N172" s="117"/>
    </row>
    <row r="173" spans="12:14">
      <c r="L173" s="117"/>
      <c r="M173" s="117"/>
      <c r="N173" s="117"/>
    </row>
    <row r="174" spans="12:14">
      <c r="L174" s="117"/>
      <c r="M174" s="117"/>
      <c r="N174" s="117"/>
    </row>
    <row r="175" spans="12:14">
      <c r="L175" s="117"/>
      <c r="M175" s="117"/>
      <c r="N175" s="117"/>
    </row>
    <row r="176" spans="12:14">
      <c r="L176" s="117"/>
      <c r="M176" s="117"/>
      <c r="N176" s="117"/>
    </row>
    <row r="177" spans="12:14">
      <c r="L177" s="117"/>
      <c r="M177" s="117"/>
      <c r="N177" s="117"/>
    </row>
    <row r="178" spans="12:14">
      <c r="L178" s="117"/>
      <c r="M178" s="117"/>
      <c r="N178" s="117"/>
    </row>
    <row r="179" spans="12:14">
      <c r="L179" s="117"/>
      <c r="M179" s="117"/>
      <c r="N179" s="117"/>
    </row>
    <row r="180" spans="12:14">
      <c r="L180" s="117"/>
      <c r="M180" s="117"/>
      <c r="N180" s="117"/>
    </row>
    <row r="181" spans="12:14">
      <c r="L181" s="117"/>
      <c r="M181" s="117"/>
      <c r="N181" s="117"/>
    </row>
    <row r="182" spans="12:14">
      <c r="L182" s="117"/>
      <c r="M182" s="117"/>
      <c r="N182" s="117"/>
    </row>
    <row r="183" spans="12:14">
      <c r="L183" s="117"/>
      <c r="M183" s="117"/>
      <c r="N183" s="117"/>
    </row>
    <row r="184" spans="12:14">
      <c r="L184" s="117"/>
      <c r="M184" s="117"/>
      <c r="N184" s="117"/>
    </row>
    <row r="185" spans="12:14">
      <c r="L185" s="117"/>
      <c r="M185" s="117"/>
      <c r="N185" s="117"/>
    </row>
    <row r="186" spans="12:14">
      <c r="L186" s="117"/>
      <c r="M186" s="117"/>
      <c r="N186" s="117"/>
    </row>
    <row r="187" spans="12:14">
      <c r="L187" s="117"/>
      <c r="M187" s="117"/>
      <c r="N187" s="117"/>
    </row>
    <row r="188" spans="12:14">
      <c r="L188" s="117"/>
      <c r="M188" s="117"/>
      <c r="N188" s="117"/>
    </row>
    <row r="189" spans="12:14">
      <c r="L189" s="117"/>
      <c r="M189" s="117"/>
      <c r="N189" s="117"/>
    </row>
    <row r="190" spans="12:14">
      <c r="L190" s="117"/>
      <c r="M190" s="117"/>
      <c r="N190" s="117"/>
    </row>
    <row r="191" spans="12:14">
      <c r="L191" s="117"/>
      <c r="M191" s="117"/>
      <c r="N191" s="117"/>
    </row>
    <row r="192" spans="12:14">
      <c r="L192" s="117"/>
      <c r="M192" s="117"/>
      <c r="N192" s="117"/>
    </row>
    <row r="193" spans="12:14">
      <c r="L193" s="117"/>
      <c r="M193" s="117"/>
      <c r="N193" s="117"/>
    </row>
    <row r="194" spans="12:14">
      <c r="L194" s="117"/>
      <c r="M194" s="117"/>
      <c r="N194" s="117"/>
    </row>
    <row r="195" spans="12:14">
      <c r="L195" s="117"/>
      <c r="M195" s="117"/>
      <c r="N195" s="117"/>
    </row>
    <row r="196" spans="12:14">
      <c r="L196" s="117"/>
      <c r="M196" s="117"/>
      <c r="N196" s="117"/>
    </row>
    <row r="253" spans="7:7" ht="244.8">
      <c r="G253" s="85" t="s">
        <v>13</v>
      </c>
    </row>
    <row r="254" spans="7:7" ht="115.2">
      <c r="G254" s="85" t="s">
        <v>14</v>
      </c>
    </row>
    <row r="255" spans="7:7" ht="144">
      <c r="G255" s="85" t="s">
        <v>15</v>
      </c>
    </row>
    <row r="256" spans="7:7" ht="129.6">
      <c r="G256" s="85" t="s">
        <v>16</v>
      </c>
    </row>
    <row r="257" spans="7:7" ht="72">
      <c r="G257" s="85" t="s">
        <v>17</v>
      </c>
    </row>
    <row r="258" spans="7:7" ht="86.4">
      <c r="G258" s="85" t="s">
        <v>18</v>
      </c>
    </row>
    <row r="259" spans="7:7" ht="115.2">
      <c r="G259" s="85" t="s">
        <v>19</v>
      </c>
    </row>
    <row r="260" spans="7:7" ht="158.4">
      <c r="G260" s="85" t="s">
        <v>20</v>
      </c>
    </row>
    <row r="261" spans="7:7" ht="144">
      <c r="G261" s="85" t="s">
        <v>21</v>
      </c>
    </row>
    <row r="262" spans="7:7" ht="115.2">
      <c r="G262" s="85" t="s">
        <v>22</v>
      </c>
    </row>
    <row r="263" spans="7:7" ht="100.8">
      <c r="G263" s="85" t="s">
        <v>23</v>
      </c>
    </row>
    <row r="264" spans="7:7" ht="86.4">
      <c r="G264" s="85" t="s">
        <v>24</v>
      </c>
    </row>
    <row r="265" spans="7:7" ht="259.2">
      <c r="G265" s="85" t="s">
        <v>25</v>
      </c>
    </row>
    <row r="266" spans="7:7" ht="115.2">
      <c r="G266" s="85" t="s">
        <v>26</v>
      </c>
    </row>
    <row r="267" spans="7:7" ht="129.6">
      <c r="G267" s="85" t="s">
        <v>27</v>
      </c>
    </row>
    <row r="268" spans="7:7" ht="57.6">
      <c r="G268" s="85" t="s">
        <v>28</v>
      </c>
    </row>
    <row r="269" spans="7:7" ht="115.2">
      <c r="G269" s="85" t="s">
        <v>29</v>
      </c>
    </row>
    <row r="270" spans="7:7" ht="72">
      <c r="G270" s="85" t="s">
        <v>30</v>
      </c>
    </row>
    <row r="271" spans="7:7" ht="158.4">
      <c r="G271" s="85" t="s">
        <v>31</v>
      </c>
    </row>
    <row r="272" spans="7:7" ht="57.6">
      <c r="G272" s="85" t="s">
        <v>32</v>
      </c>
    </row>
    <row r="273" spans="7:7" ht="86.4">
      <c r="G273" s="85" t="s">
        <v>33</v>
      </c>
    </row>
    <row r="274" spans="7:7" ht="129.6">
      <c r="G274" s="85" t="s">
        <v>34</v>
      </c>
    </row>
    <row r="275" spans="7:7">
      <c r="G275" s="85" t="s">
        <v>12</v>
      </c>
    </row>
  </sheetData>
  <autoFilter ref="A3:P140" xr:uid="{5A17C64C-C758-4FB0-A001-27546104379C}"/>
  <conditionalFormatting sqref="D1:D2">
    <cfRule type="expression" dxfId="5" priority="772">
      <formula>$G$1&lt;&gt;$S$1</formula>
    </cfRule>
    <cfRule type="expression" dxfId="4" priority="773">
      <formula>$D$2&lt;&gt;SUM($S$145:$T$145)</formula>
    </cfRule>
    <cfRule type="expression" dxfId="3" priority="774">
      <formula>$D$2=SUM($S$145:$T$145)</formula>
    </cfRule>
  </conditionalFormatting>
  <conditionalFormatting sqref="F4:F140">
    <cfRule type="cellIs" dxfId="2" priority="86" stopIfTrue="1" operator="equal">
      <formula>0</formula>
    </cfRule>
  </conditionalFormatting>
  <conditionalFormatting sqref="L4:L140 O4:O140 L141:O142">
    <cfRule type="cellIs" dxfId="1" priority="269" stopIfTrue="1" operator="equal">
      <formula>0</formula>
    </cfRule>
  </conditionalFormatting>
  <conditionalFormatting sqref="W4:W142">
    <cfRule type="containsText" dxfId="0" priority="3" operator="containsText" text="FALSE">
      <formula>NOT(ISERROR(SEARCH("FALSE",W4)))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4.4"/>
  <cols>
    <col min="1" max="1" width="26.88671875" style="34" customWidth="1"/>
  </cols>
  <sheetData>
    <row r="1" spans="1:1">
      <c r="A1" s="119" t="s">
        <v>105</v>
      </c>
    </row>
    <row r="2" spans="1:1">
      <c r="A2" s="34" t="s">
        <v>74</v>
      </c>
    </row>
    <row r="3" spans="1:1">
      <c r="A3" s="34" t="s">
        <v>75</v>
      </c>
    </row>
    <row r="4" spans="1:1">
      <c r="A4" s="34" t="s">
        <v>76</v>
      </c>
    </row>
    <row r="5" spans="1:1">
      <c r="A5" s="34" t="s">
        <v>77</v>
      </c>
    </row>
    <row r="6" spans="1:1">
      <c r="A6" s="34" t="s">
        <v>78</v>
      </c>
    </row>
    <row r="7" spans="1:1">
      <c r="A7" s="34" t="s">
        <v>79</v>
      </c>
    </row>
    <row r="8" spans="1:1">
      <c r="A8" s="34" t="s">
        <v>80</v>
      </c>
    </row>
    <row r="9" spans="1:1">
      <c r="A9" s="34" t="s">
        <v>81</v>
      </c>
    </row>
    <row r="10" spans="1:1">
      <c r="A10" s="34" t="s">
        <v>82</v>
      </c>
    </row>
    <row r="11" spans="1:1">
      <c r="A11" s="34" t="s">
        <v>83</v>
      </c>
    </row>
    <row r="12" spans="1:1">
      <c r="A12" s="34" t="s">
        <v>84</v>
      </c>
    </row>
    <row r="13" spans="1:1">
      <c r="A13" s="34" t="s">
        <v>85</v>
      </c>
    </row>
    <row r="14" spans="1:1">
      <c r="A14" s="34" t="s">
        <v>107</v>
      </c>
    </row>
    <row r="15" spans="1:1">
      <c r="A15" s="34" t="s">
        <v>86</v>
      </c>
    </row>
    <row r="16" spans="1:1">
      <c r="A16" s="34" t="s">
        <v>108</v>
      </c>
    </row>
    <row r="17" spans="1:1">
      <c r="A17" s="34" t="s">
        <v>109</v>
      </c>
    </row>
    <row r="18" spans="1:1">
      <c r="A18" s="34" t="s">
        <v>87</v>
      </c>
    </row>
    <row r="19" spans="1:1">
      <c r="A19" s="34" t="s">
        <v>88</v>
      </c>
    </row>
    <row r="20" spans="1:1">
      <c r="A20" s="34" t="s">
        <v>89</v>
      </c>
    </row>
    <row r="21" spans="1:1">
      <c r="A21" s="34" t="s">
        <v>90</v>
      </c>
    </row>
    <row r="22" spans="1:1">
      <c r="A22" s="34" t="s">
        <v>91</v>
      </c>
    </row>
    <row r="23" spans="1:1">
      <c r="A23" s="34" t="s">
        <v>92</v>
      </c>
    </row>
    <row r="24" spans="1:1">
      <c r="A24" s="34" t="s">
        <v>93</v>
      </c>
    </row>
    <row r="25" spans="1:1">
      <c r="A25" s="34" t="s">
        <v>110</v>
      </c>
    </row>
    <row r="26" spans="1:1">
      <c r="A26" s="34" t="s">
        <v>94</v>
      </c>
    </row>
    <row r="27" spans="1:1">
      <c r="A27" s="34" t="s">
        <v>95</v>
      </c>
    </row>
    <row r="28" spans="1:1">
      <c r="A28" s="34" t="s">
        <v>111</v>
      </c>
    </row>
    <row r="29" spans="1:1">
      <c r="A29" s="34" t="s">
        <v>96</v>
      </c>
    </row>
    <row r="30" spans="1:1">
      <c r="A30" s="34" t="s">
        <v>97</v>
      </c>
    </row>
    <row r="31" spans="1:1">
      <c r="A31" s="34" t="s">
        <v>98</v>
      </c>
    </row>
    <row r="32" spans="1:1">
      <c r="A32" s="34" t="s">
        <v>99</v>
      </c>
    </row>
    <row r="33" spans="1:1">
      <c r="A33" s="34" t="s">
        <v>100</v>
      </c>
    </row>
    <row r="34" spans="1:1">
      <c r="A34" s="34" t="s">
        <v>106</v>
      </c>
    </row>
    <row r="35" spans="1:1">
      <c r="A35" s="34" t="s">
        <v>101</v>
      </c>
    </row>
    <row r="36" spans="1:1">
      <c r="A36" s="34" t="s">
        <v>102</v>
      </c>
    </row>
    <row r="37" spans="1:1">
      <c r="A37" s="34" t="s">
        <v>103</v>
      </c>
    </row>
    <row r="38" spans="1:1">
      <c r="A38" s="34" t="s">
        <v>112</v>
      </c>
    </row>
    <row r="39" spans="1:1">
      <c r="A39" s="34" t="s">
        <v>104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5"/>
      <c r="B1" s="126" t="s">
        <v>118</v>
      </c>
      <c r="C1" s="127" t="s">
        <v>119</v>
      </c>
      <c r="D1" s="126" t="s">
        <v>120</v>
      </c>
      <c r="E1" s="126" t="s">
        <v>121</v>
      </c>
    </row>
    <row r="2" spans="1:7">
      <c r="A2" s="128" t="s">
        <v>38</v>
      </c>
      <c r="B2" s="128">
        <f>'TotalCosts (Hrs)'!AF144</f>
        <v>1191.3087149999999</v>
      </c>
      <c r="C2" s="129">
        <f>B16+B27</f>
        <v>0</v>
      </c>
      <c r="D2" s="128">
        <f>B2-C2</f>
        <v>1191.3087149999999</v>
      </c>
      <c r="E2" s="130">
        <f>D2/B2</f>
        <v>1</v>
      </c>
    </row>
    <row r="3" spans="1:7">
      <c r="A3" s="128" t="s">
        <v>122</v>
      </c>
      <c r="B3" s="128">
        <f>'TotalCosts (Hrs)'!AJ144*45</f>
        <v>180</v>
      </c>
      <c r="C3" s="129">
        <f>B38*32</f>
        <v>0</v>
      </c>
      <c r="D3" s="128">
        <f t="shared" ref="D3:D4" si="0">B3-C3</f>
        <v>180</v>
      </c>
      <c r="E3" s="130">
        <f>D3/B3</f>
        <v>1</v>
      </c>
    </row>
    <row r="4" spans="1:7" ht="15.6">
      <c r="A4" s="131" t="s">
        <v>5</v>
      </c>
      <c r="B4" s="128">
        <f>SUM(B2:B3)</f>
        <v>1371.3087149999999</v>
      </c>
      <c r="C4" s="129">
        <f>SUM(C2:C3)</f>
        <v>0</v>
      </c>
      <c r="D4" s="132">
        <f t="shared" si="0"/>
        <v>1371.3087149999999</v>
      </c>
      <c r="E4" s="133">
        <f>D4/B4</f>
        <v>1</v>
      </c>
    </row>
    <row r="7" spans="1:7" ht="14.4">
      <c r="A7" s="134" t="s">
        <v>123</v>
      </c>
      <c r="B7" s="134" t="s">
        <v>124</v>
      </c>
      <c r="F7" s="135"/>
      <c r="G7" s="135"/>
    </row>
    <row r="8" spans="1:7" ht="14.4">
      <c r="A8" s="136"/>
      <c r="B8" s="137"/>
      <c r="F8" s="138"/>
      <c r="G8" s="34"/>
    </row>
    <row r="9" spans="1:7" ht="14.4">
      <c r="A9" s="136"/>
      <c r="B9" s="137"/>
      <c r="F9" s="138"/>
      <c r="G9" s="34"/>
    </row>
    <row r="10" spans="1:7" ht="14.4">
      <c r="A10" s="136"/>
      <c r="B10" s="137"/>
      <c r="F10" s="34"/>
      <c r="G10" s="34"/>
    </row>
    <row r="11" spans="1:7" ht="14.4">
      <c r="A11" s="136"/>
      <c r="B11" s="137"/>
      <c r="F11" s="34"/>
      <c r="G11" s="34"/>
    </row>
    <row r="12" spans="1:7" ht="14.4">
      <c r="A12" s="136"/>
      <c r="B12" s="137"/>
      <c r="F12" s="34"/>
      <c r="G12" s="34"/>
    </row>
    <row r="13" spans="1:7" ht="14.4">
      <c r="A13" s="136"/>
      <c r="B13" s="137"/>
      <c r="F13" s="34"/>
      <c r="G13" s="34"/>
    </row>
    <row r="14" spans="1:7" ht="14.4">
      <c r="A14" s="136"/>
      <c r="B14" s="137"/>
      <c r="F14" s="34"/>
      <c r="G14" s="34"/>
    </row>
    <row r="15" spans="1:7" ht="14.4">
      <c r="A15" s="139" t="s">
        <v>44</v>
      </c>
      <c r="B15" s="139" t="s">
        <v>44</v>
      </c>
      <c r="F15" s="140"/>
      <c r="G15" s="140"/>
    </row>
    <row r="16" spans="1:7" ht="14.4">
      <c r="A16" s="141" t="s">
        <v>5</v>
      </c>
      <c r="B16" s="142">
        <f>SUM(B8:B14)</f>
        <v>0</v>
      </c>
      <c r="F16" s="143"/>
      <c r="G16" s="143"/>
    </row>
    <row r="18" spans="1:2" ht="14.4">
      <c r="A18" s="134" t="s">
        <v>125</v>
      </c>
      <c r="B18" s="134" t="s">
        <v>124</v>
      </c>
    </row>
    <row r="19" spans="1:2" ht="14.4">
      <c r="A19" s="136"/>
      <c r="B19" s="137"/>
    </row>
    <row r="20" spans="1:2" ht="14.4">
      <c r="A20" s="136"/>
      <c r="B20" s="137"/>
    </row>
    <row r="21" spans="1:2" ht="14.4">
      <c r="A21" s="137"/>
      <c r="B21" s="137"/>
    </row>
    <row r="22" spans="1:2" ht="14.4">
      <c r="A22" s="137"/>
      <c r="B22" s="137"/>
    </row>
    <row r="23" spans="1:2" ht="14.4">
      <c r="A23" s="137"/>
      <c r="B23" s="137"/>
    </row>
    <row r="24" spans="1:2" ht="14.4">
      <c r="A24" s="137"/>
      <c r="B24" s="137"/>
    </row>
    <row r="25" spans="1:2" ht="14.4">
      <c r="A25" s="137"/>
      <c r="B25" s="137"/>
    </row>
    <row r="26" spans="1:2" ht="14.4">
      <c r="A26" s="139" t="s">
        <v>44</v>
      </c>
      <c r="B26" s="139" t="s">
        <v>44</v>
      </c>
    </row>
    <row r="27" spans="1:2" ht="14.4">
      <c r="A27" s="141" t="s">
        <v>5</v>
      </c>
      <c r="B27" s="142">
        <f>SUM(B19:B25)</f>
        <v>0</v>
      </c>
    </row>
    <row r="29" spans="1:2" ht="14.4">
      <c r="A29" s="134" t="s">
        <v>122</v>
      </c>
      <c r="B29" s="134" t="s">
        <v>126</v>
      </c>
    </row>
    <row r="30" spans="1:2" ht="14.4">
      <c r="A30" s="136"/>
      <c r="B30" s="144"/>
    </row>
    <row r="31" spans="1:2" ht="14.4">
      <c r="A31" s="136"/>
      <c r="B31" s="137"/>
    </row>
    <row r="32" spans="1:2" ht="14.4">
      <c r="A32" s="137"/>
      <c r="B32" s="137"/>
    </row>
    <row r="33" spans="1:2" ht="14.4">
      <c r="A33" s="137"/>
      <c r="B33" s="137"/>
    </row>
    <row r="34" spans="1:2" ht="14.4">
      <c r="A34" s="137"/>
      <c r="B34" s="137"/>
    </row>
    <row r="35" spans="1:2" ht="14.4">
      <c r="A35" s="137"/>
      <c r="B35" s="137"/>
    </row>
    <row r="36" spans="1:2" ht="14.4">
      <c r="A36" s="137"/>
      <c r="B36" s="137"/>
    </row>
    <row r="37" spans="1:2" ht="14.4">
      <c r="A37" s="139" t="s">
        <v>44</v>
      </c>
      <c r="B37" s="139" t="s">
        <v>44</v>
      </c>
    </row>
    <row r="38" spans="1:2" ht="14.4">
      <c r="A38" s="141" t="s">
        <v>5</v>
      </c>
      <c r="B38" s="145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0" customWidth="1"/>
    <col min="4" max="4" width="1.33203125" style="200" customWidth="1"/>
    <col min="5" max="5" width="12" style="189" customWidth="1"/>
    <col min="6" max="6" width="10.6640625" style="196" customWidth="1"/>
    <col min="7" max="7" width="1.33203125" style="196" customWidth="1"/>
    <col min="8" max="8" width="13.6640625" style="189" customWidth="1"/>
    <col min="9" max="9" width="9.5546875" style="190" customWidth="1"/>
    <col min="10" max="10" width="1.33203125" style="190" customWidth="1"/>
    <col min="11" max="11" width="11.33203125" style="189" customWidth="1"/>
    <col min="12" max="12" width="9.109375" style="190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0" t="s">
        <v>132</v>
      </c>
      <c r="B1" s="170" t="s">
        <v>133</v>
      </c>
      <c r="C1" s="171"/>
      <c r="D1" s="172"/>
      <c r="E1" s="173" t="s">
        <v>134</v>
      </c>
      <c r="F1" s="174" t="s">
        <v>135</v>
      </c>
      <c r="G1" s="175"/>
      <c r="H1" s="173" t="s">
        <v>136</v>
      </c>
      <c r="I1" s="174" t="s">
        <v>135</v>
      </c>
      <c r="J1" s="175"/>
      <c r="K1" s="173" t="s">
        <v>136</v>
      </c>
      <c r="L1" s="174" t="s">
        <v>135</v>
      </c>
    </row>
    <row r="2" spans="1:12">
      <c r="A2" s="176" t="s">
        <v>137</v>
      </c>
      <c r="B2" s="176" t="s">
        <v>138</v>
      </c>
      <c r="C2" s="177" t="s">
        <v>47</v>
      </c>
      <c r="D2" s="178"/>
      <c r="E2" s="179" t="s">
        <v>139</v>
      </c>
      <c r="F2" s="180" t="s">
        <v>140</v>
      </c>
      <c r="G2" s="181"/>
      <c r="H2" s="182" t="s">
        <v>141</v>
      </c>
      <c r="I2" s="183">
        <v>7.0000000000000007E-2</v>
      </c>
      <c r="J2" s="184"/>
      <c r="K2" s="182" t="s">
        <v>142</v>
      </c>
      <c r="L2" s="183">
        <v>5.5E-2</v>
      </c>
    </row>
    <row r="3" spans="1:12">
      <c r="A3" s="176" t="s">
        <v>143</v>
      </c>
      <c r="B3" s="176" t="s">
        <v>144</v>
      </c>
      <c r="C3" s="177" t="s">
        <v>47</v>
      </c>
      <c r="D3" s="178"/>
      <c r="E3" s="179"/>
      <c r="F3" s="180"/>
      <c r="G3" s="181"/>
      <c r="H3" s="182" t="s">
        <v>145</v>
      </c>
      <c r="I3" s="183">
        <v>0.05</v>
      </c>
      <c r="J3" s="184"/>
      <c r="K3" s="182" t="s">
        <v>146</v>
      </c>
      <c r="L3" s="183">
        <v>3.5000000000000003E-2</v>
      </c>
    </row>
    <row r="4" spans="1:12">
      <c r="A4" s="185" t="s">
        <v>147</v>
      </c>
      <c r="B4" s="176" t="s">
        <v>138</v>
      </c>
      <c r="C4" s="177" t="s">
        <v>47</v>
      </c>
      <c r="D4" s="178"/>
      <c r="E4" s="179" t="s">
        <v>139</v>
      </c>
      <c r="F4" s="180" t="s">
        <v>140</v>
      </c>
      <c r="G4" s="181"/>
      <c r="H4" s="182" t="s">
        <v>148</v>
      </c>
      <c r="I4" s="183">
        <v>0.1</v>
      </c>
      <c r="J4" s="184"/>
      <c r="K4" s="182" t="s">
        <v>149</v>
      </c>
      <c r="L4" s="186" t="s">
        <v>150</v>
      </c>
    </row>
    <row r="5" spans="1:12">
      <c r="A5" s="185" t="s">
        <v>147</v>
      </c>
      <c r="B5" s="176" t="s">
        <v>138</v>
      </c>
      <c r="C5" s="177" t="s">
        <v>47</v>
      </c>
      <c r="D5" s="178"/>
      <c r="E5" s="182" t="s">
        <v>151</v>
      </c>
      <c r="F5" s="183">
        <v>0.06</v>
      </c>
      <c r="G5" s="184"/>
      <c r="H5" s="182" t="s">
        <v>152</v>
      </c>
      <c r="I5" s="183">
        <v>0.05</v>
      </c>
      <c r="J5" s="184"/>
      <c r="K5" s="182" t="s">
        <v>153</v>
      </c>
      <c r="L5" s="183">
        <v>0.04</v>
      </c>
    </row>
    <row r="6" spans="1:12">
      <c r="A6" s="187" t="s">
        <v>154</v>
      </c>
      <c r="B6" s="176" t="s">
        <v>155</v>
      </c>
      <c r="C6" s="177" t="s">
        <v>47</v>
      </c>
      <c r="D6" s="178"/>
      <c r="E6" s="179" t="s">
        <v>139</v>
      </c>
      <c r="F6" s="180" t="s">
        <v>140</v>
      </c>
      <c r="G6" s="181"/>
      <c r="H6" s="182" t="s">
        <v>148</v>
      </c>
      <c r="I6" s="183">
        <v>0.08</v>
      </c>
      <c r="J6" s="184"/>
      <c r="K6" s="182"/>
      <c r="L6" s="183"/>
    </row>
    <row r="7" spans="1:12">
      <c r="A7" s="187" t="s">
        <v>154</v>
      </c>
      <c r="B7" s="176" t="s">
        <v>155</v>
      </c>
      <c r="C7" s="177" t="s">
        <v>47</v>
      </c>
      <c r="D7" s="178"/>
      <c r="E7" s="179" t="s">
        <v>156</v>
      </c>
      <c r="F7" s="186" t="s">
        <v>157</v>
      </c>
      <c r="G7" s="188"/>
      <c r="H7" s="189" t="s">
        <v>158</v>
      </c>
      <c r="I7" s="190">
        <v>0.05</v>
      </c>
      <c r="J7" s="191"/>
      <c r="K7" s="182" t="s">
        <v>146</v>
      </c>
      <c r="L7" s="183">
        <v>3.5000000000000003E-2</v>
      </c>
    </row>
    <row r="8" spans="1:12">
      <c r="A8" s="176" t="s">
        <v>159</v>
      </c>
      <c r="B8" s="176" t="s">
        <v>160</v>
      </c>
      <c r="C8" s="177" t="s">
        <v>47</v>
      </c>
      <c r="D8" s="178"/>
      <c r="E8" s="179" t="s">
        <v>139</v>
      </c>
      <c r="F8" s="180" t="s">
        <v>140</v>
      </c>
      <c r="G8" s="181"/>
      <c r="H8" s="182" t="s">
        <v>161</v>
      </c>
      <c r="I8" s="183">
        <v>7.0000000000000007E-2</v>
      </c>
      <c r="J8" s="184"/>
      <c r="K8" s="182" t="s">
        <v>142</v>
      </c>
      <c r="L8" s="183">
        <v>5.5E-2</v>
      </c>
    </row>
    <row r="9" spans="1:12">
      <c r="A9" s="176" t="s">
        <v>162</v>
      </c>
      <c r="B9" s="176" t="s">
        <v>144</v>
      </c>
      <c r="C9" s="177" t="s">
        <v>47</v>
      </c>
      <c r="D9" s="178"/>
      <c r="E9" s="192">
        <v>550</v>
      </c>
      <c r="F9" s="192">
        <v>380</v>
      </c>
      <c r="G9" s="181"/>
      <c r="H9" s="193">
        <v>2000</v>
      </c>
      <c r="I9" s="180">
        <v>550</v>
      </c>
      <c r="J9" s="184"/>
      <c r="K9" s="182" t="s">
        <v>146</v>
      </c>
      <c r="L9" s="183">
        <v>0.08</v>
      </c>
    </row>
    <row r="10" spans="1:12">
      <c r="A10" s="176" t="s">
        <v>163</v>
      </c>
      <c r="B10" s="176" t="s">
        <v>164</v>
      </c>
      <c r="C10" s="177" t="s">
        <v>47</v>
      </c>
      <c r="D10" s="178"/>
      <c r="E10" s="179"/>
      <c r="F10" s="180" t="s">
        <v>165</v>
      </c>
      <c r="G10" s="181"/>
      <c r="H10" s="182"/>
      <c r="I10" s="183"/>
      <c r="J10" s="184"/>
      <c r="K10" s="182"/>
      <c r="L10" s="183"/>
    </row>
    <row r="11" spans="1:12">
      <c r="A11" s="176" t="s">
        <v>166</v>
      </c>
      <c r="B11" s="176" t="s">
        <v>164</v>
      </c>
      <c r="C11" s="177" t="s">
        <v>47</v>
      </c>
      <c r="D11" s="178"/>
      <c r="E11" s="179" t="s">
        <v>139</v>
      </c>
      <c r="F11" s="180" t="s">
        <v>167</v>
      </c>
      <c r="G11" s="181"/>
      <c r="H11" s="193" t="s">
        <v>168</v>
      </c>
      <c r="I11" s="183">
        <v>8</v>
      </c>
      <c r="J11" s="184"/>
      <c r="K11" s="182" t="s">
        <v>169</v>
      </c>
      <c r="L11" s="183">
        <v>3.5000000000000003E-2</v>
      </c>
    </row>
    <row r="12" spans="1:12">
      <c r="A12" s="176" t="s">
        <v>170</v>
      </c>
      <c r="B12" s="176" t="s">
        <v>138</v>
      </c>
      <c r="C12" s="177" t="s">
        <v>47</v>
      </c>
      <c r="D12" s="178"/>
      <c r="E12" s="179" t="s">
        <v>139</v>
      </c>
      <c r="F12" s="180" t="s">
        <v>140</v>
      </c>
      <c r="G12" s="181"/>
      <c r="H12" s="182" t="s">
        <v>171</v>
      </c>
      <c r="I12" s="183">
        <v>7.0000000000000007E-2</v>
      </c>
      <c r="J12" s="184"/>
      <c r="K12" s="182" t="s">
        <v>172</v>
      </c>
      <c r="L12" s="183">
        <v>5.5E-2</v>
      </c>
    </row>
    <row r="13" spans="1:12">
      <c r="A13" s="176" t="s">
        <v>173</v>
      </c>
      <c r="B13" s="176" t="s">
        <v>164</v>
      </c>
      <c r="C13" s="177" t="s">
        <v>47</v>
      </c>
      <c r="D13" s="178"/>
      <c r="E13" s="179" t="s">
        <v>139</v>
      </c>
      <c r="F13" s="180" t="s">
        <v>174</v>
      </c>
      <c r="G13" s="181"/>
      <c r="H13" s="182" t="s">
        <v>175</v>
      </c>
      <c r="I13" s="183">
        <v>0.06</v>
      </c>
      <c r="J13" s="184"/>
      <c r="K13" s="182" t="s">
        <v>176</v>
      </c>
      <c r="L13" s="183">
        <v>4.4999999999999998E-2</v>
      </c>
    </row>
    <row r="14" spans="1:12">
      <c r="A14" s="176" t="s">
        <v>177</v>
      </c>
      <c r="B14" s="176" t="s">
        <v>138</v>
      </c>
      <c r="C14" s="177" t="s">
        <v>47</v>
      </c>
      <c r="D14" s="178"/>
      <c r="E14" s="179" t="s">
        <v>139</v>
      </c>
      <c r="F14" s="180" t="s">
        <v>140</v>
      </c>
      <c r="G14" s="181"/>
      <c r="H14" s="182" t="s">
        <v>178</v>
      </c>
      <c r="I14" s="183">
        <v>7.0000000000000007E-2</v>
      </c>
      <c r="J14" s="184"/>
      <c r="K14" s="182" t="s">
        <v>179</v>
      </c>
      <c r="L14" s="183">
        <v>0.05</v>
      </c>
    </row>
    <row r="15" spans="1:12">
      <c r="A15" s="176" t="s">
        <v>180</v>
      </c>
      <c r="B15" s="176" t="s">
        <v>164</v>
      </c>
      <c r="C15" s="177" t="s">
        <v>47</v>
      </c>
      <c r="D15" s="178"/>
      <c r="E15" s="179" t="s">
        <v>181</v>
      </c>
      <c r="F15" s="180" t="s">
        <v>182</v>
      </c>
      <c r="G15" s="181"/>
      <c r="H15" s="182"/>
      <c r="I15" s="183"/>
      <c r="J15" s="184"/>
      <c r="K15" s="182"/>
      <c r="L15" s="183"/>
    </row>
    <row r="16" spans="1:12">
      <c r="A16" s="176" t="s">
        <v>183</v>
      </c>
      <c r="B16" s="176" t="s">
        <v>164</v>
      </c>
      <c r="C16" s="177" t="s">
        <v>47</v>
      </c>
      <c r="D16" s="178"/>
      <c r="E16" s="179" t="s">
        <v>184</v>
      </c>
      <c r="F16" s="180" t="s">
        <v>185</v>
      </c>
      <c r="G16" s="181"/>
      <c r="H16" s="182" t="s">
        <v>186</v>
      </c>
      <c r="I16" s="183">
        <v>0.06</v>
      </c>
      <c r="J16" s="184"/>
      <c r="K16" s="182"/>
      <c r="L16" s="183"/>
    </row>
    <row r="17" spans="1:12">
      <c r="A17" s="176" t="s">
        <v>187</v>
      </c>
      <c r="B17" s="176" t="s">
        <v>164</v>
      </c>
      <c r="C17" s="177" t="s">
        <v>47</v>
      </c>
      <c r="D17" s="178"/>
      <c r="E17" s="179" t="s">
        <v>139</v>
      </c>
      <c r="F17" s="180" t="s">
        <v>174</v>
      </c>
      <c r="G17" s="181"/>
      <c r="H17" s="182" t="s">
        <v>188</v>
      </c>
      <c r="I17" s="183">
        <v>0.06</v>
      </c>
      <c r="J17" s="184"/>
      <c r="K17" s="182" t="s">
        <v>189</v>
      </c>
      <c r="L17" s="183">
        <v>3.5000000000000003E-2</v>
      </c>
    </row>
    <row r="18" spans="1:12">
      <c r="A18" s="176" t="s">
        <v>190</v>
      </c>
      <c r="B18" s="176" t="s">
        <v>144</v>
      </c>
      <c r="C18" s="177" t="s">
        <v>47</v>
      </c>
      <c r="D18" s="178"/>
      <c r="E18" s="179"/>
      <c r="F18" s="180" t="s">
        <v>165</v>
      </c>
      <c r="G18" s="181"/>
      <c r="H18" s="182"/>
      <c r="I18" s="183"/>
      <c r="J18" s="184"/>
      <c r="K18" s="182"/>
      <c r="L18" s="183"/>
    </row>
    <row r="19" spans="1:12">
      <c r="A19" s="176" t="s">
        <v>191</v>
      </c>
      <c r="B19" s="176" t="s">
        <v>164</v>
      </c>
      <c r="C19" s="177" t="s">
        <v>47</v>
      </c>
      <c r="D19" s="178"/>
      <c r="E19" s="179" t="s">
        <v>181</v>
      </c>
      <c r="F19" s="180" t="s">
        <v>192</v>
      </c>
      <c r="G19" s="181"/>
      <c r="H19" s="182" t="s">
        <v>193</v>
      </c>
      <c r="I19" s="183">
        <v>7.0000000000000007E-2</v>
      </c>
      <c r="J19" s="184"/>
      <c r="K19" s="182" t="s">
        <v>179</v>
      </c>
      <c r="L19" s="183">
        <v>0.03</v>
      </c>
    </row>
    <row r="20" spans="1:12">
      <c r="A20" s="176" t="s">
        <v>194</v>
      </c>
      <c r="B20" s="176" t="s">
        <v>144</v>
      </c>
      <c r="C20" s="177" t="s">
        <v>47</v>
      </c>
      <c r="D20" s="178"/>
      <c r="E20" s="179"/>
      <c r="F20" s="180"/>
      <c r="G20" s="181"/>
      <c r="H20" s="182" t="s">
        <v>195</v>
      </c>
      <c r="I20" s="183">
        <v>0.13</v>
      </c>
      <c r="J20" s="184"/>
      <c r="K20" s="182" t="s">
        <v>179</v>
      </c>
      <c r="L20" s="183">
        <v>0.15</v>
      </c>
    </row>
    <row r="21" spans="1:12">
      <c r="A21" s="176" t="s">
        <v>196</v>
      </c>
      <c r="B21" s="176" t="s">
        <v>144</v>
      </c>
      <c r="C21" s="177" t="s">
        <v>47</v>
      </c>
      <c r="D21" s="178"/>
      <c r="E21" s="179"/>
      <c r="F21" s="180"/>
      <c r="G21" s="181"/>
      <c r="H21" s="182"/>
      <c r="I21" s="183"/>
      <c r="J21" s="184"/>
      <c r="K21" s="182" t="s">
        <v>197</v>
      </c>
      <c r="L21" s="183">
        <v>0.04</v>
      </c>
    </row>
    <row r="22" spans="1:12">
      <c r="A22" s="176" t="s">
        <v>198</v>
      </c>
      <c r="B22" s="176" t="s">
        <v>164</v>
      </c>
      <c r="C22" s="177" t="s">
        <v>47</v>
      </c>
      <c r="D22" s="178"/>
      <c r="E22" s="179" t="s">
        <v>139</v>
      </c>
      <c r="F22" s="180" t="s">
        <v>140</v>
      </c>
      <c r="G22" s="181"/>
      <c r="H22" s="182" t="s">
        <v>199</v>
      </c>
      <c r="I22" s="183">
        <v>0.06</v>
      </c>
      <c r="J22" s="184"/>
      <c r="K22" s="182" t="s">
        <v>200</v>
      </c>
      <c r="L22" s="183">
        <v>3.5000000000000003E-2</v>
      </c>
    </row>
    <row r="23" spans="1:12">
      <c r="A23" s="194"/>
      <c r="B23" s="194"/>
      <c r="C23" s="194"/>
      <c r="D23" s="194"/>
      <c r="E23" s="195"/>
    </row>
    <row r="24" spans="1:12" ht="27.75" customHeight="1">
      <c r="A24" s="170" t="s">
        <v>132</v>
      </c>
      <c r="B24" s="170" t="s">
        <v>133</v>
      </c>
      <c r="C24" s="171"/>
      <c r="D24" s="172"/>
      <c r="E24" s="173" t="s">
        <v>134</v>
      </c>
      <c r="F24" s="174" t="s">
        <v>135</v>
      </c>
      <c r="G24" s="175"/>
      <c r="H24" s="173" t="s">
        <v>136</v>
      </c>
      <c r="I24" s="174" t="s">
        <v>135</v>
      </c>
      <c r="J24" s="175"/>
      <c r="K24" s="173" t="s">
        <v>136</v>
      </c>
      <c r="L24" s="174" t="s">
        <v>135</v>
      </c>
    </row>
    <row r="25" spans="1:12">
      <c r="A25" s="176" t="s">
        <v>201</v>
      </c>
      <c r="B25" s="176" t="s">
        <v>202</v>
      </c>
      <c r="C25" s="177" t="s">
        <v>48</v>
      </c>
      <c r="D25" s="178"/>
      <c r="E25" s="179" t="s">
        <v>203</v>
      </c>
      <c r="F25" s="186" t="s">
        <v>157</v>
      </c>
      <c r="G25" s="197"/>
      <c r="H25" s="179" t="s">
        <v>204</v>
      </c>
      <c r="I25" s="183">
        <v>0.05</v>
      </c>
      <c r="J25" s="184"/>
      <c r="K25" s="179" t="s">
        <v>205</v>
      </c>
      <c r="L25" s="183">
        <v>0.04</v>
      </c>
    </row>
    <row r="26" spans="1:12">
      <c r="A26" s="176" t="s">
        <v>206</v>
      </c>
      <c r="B26" s="176" t="s">
        <v>164</v>
      </c>
      <c r="C26" s="177" t="s">
        <v>48</v>
      </c>
      <c r="D26" s="178"/>
      <c r="E26" s="179" t="s">
        <v>181</v>
      </c>
      <c r="F26" s="180" t="s">
        <v>140</v>
      </c>
      <c r="G26" s="181"/>
      <c r="H26" s="182"/>
      <c r="I26" s="183"/>
      <c r="J26" s="184"/>
      <c r="K26" s="182"/>
      <c r="L26" s="183"/>
    </row>
    <row r="27" spans="1:12">
      <c r="A27" s="176" t="s">
        <v>207</v>
      </c>
      <c r="B27" s="176" t="s">
        <v>138</v>
      </c>
      <c r="C27" s="177" t="s">
        <v>48</v>
      </c>
      <c r="D27" s="178"/>
      <c r="E27" s="179" t="s">
        <v>208</v>
      </c>
      <c r="F27" s="186" t="s">
        <v>209</v>
      </c>
      <c r="G27" s="197"/>
      <c r="H27" s="182" t="s">
        <v>210</v>
      </c>
      <c r="I27" s="183">
        <v>7.0000000000000007E-2</v>
      </c>
      <c r="J27" s="184"/>
      <c r="K27" s="182" t="s">
        <v>172</v>
      </c>
      <c r="L27" s="183">
        <v>0.06</v>
      </c>
    </row>
    <row r="28" spans="1:12">
      <c r="A28" s="176" t="s">
        <v>211</v>
      </c>
      <c r="B28" s="176" t="s">
        <v>138</v>
      </c>
      <c r="C28" s="177" t="s">
        <v>48</v>
      </c>
      <c r="D28" s="178"/>
      <c r="E28" s="179" t="s">
        <v>139</v>
      </c>
      <c r="F28" s="180" t="s">
        <v>174</v>
      </c>
      <c r="G28" s="181"/>
      <c r="H28" s="182"/>
      <c r="I28" s="183"/>
      <c r="J28" s="184"/>
      <c r="K28" s="182" t="s">
        <v>212</v>
      </c>
      <c r="L28" s="183">
        <v>4.4999999999999998E-2</v>
      </c>
    </row>
    <row r="29" spans="1:12">
      <c r="A29" s="176" t="s">
        <v>213</v>
      </c>
      <c r="B29" s="176" t="s">
        <v>214</v>
      </c>
      <c r="C29" s="177" t="s">
        <v>48</v>
      </c>
      <c r="D29" s="178"/>
      <c r="E29" s="179" t="s">
        <v>215</v>
      </c>
      <c r="F29" s="186" t="s">
        <v>209</v>
      </c>
      <c r="G29" s="197"/>
      <c r="H29" s="182" t="s">
        <v>216</v>
      </c>
      <c r="I29" s="183">
        <v>0.05</v>
      </c>
      <c r="J29" s="184"/>
      <c r="K29" s="182" t="s">
        <v>179</v>
      </c>
      <c r="L29" s="198" t="s">
        <v>217</v>
      </c>
    </row>
    <row r="30" spans="1:12">
      <c r="A30" s="176" t="s">
        <v>218</v>
      </c>
      <c r="B30" s="176" t="s">
        <v>164</v>
      </c>
      <c r="C30" s="177" t="s">
        <v>48</v>
      </c>
      <c r="D30" s="178"/>
      <c r="E30" s="179" t="s">
        <v>139</v>
      </c>
      <c r="F30" s="186" t="s">
        <v>219</v>
      </c>
      <c r="G30" s="197"/>
      <c r="H30" s="182" t="s">
        <v>220</v>
      </c>
      <c r="I30" s="183">
        <v>0.06</v>
      </c>
      <c r="J30" s="184"/>
      <c r="K30" s="182" t="s">
        <v>176</v>
      </c>
      <c r="L30" s="183">
        <v>0.05</v>
      </c>
    </row>
    <row r="31" spans="1:12">
      <c r="A31" s="176" t="s">
        <v>221</v>
      </c>
      <c r="B31" s="176" t="s">
        <v>222</v>
      </c>
      <c r="C31" s="177" t="s">
        <v>48</v>
      </c>
      <c r="D31" s="178"/>
      <c r="E31" s="179" t="s">
        <v>139</v>
      </c>
      <c r="F31" s="180" t="s">
        <v>174</v>
      </c>
      <c r="G31" s="181"/>
      <c r="H31" s="182" t="s">
        <v>223</v>
      </c>
      <c r="I31" s="183">
        <v>0.08</v>
      </c>
      <c r="J31" s="184"/>
      <c r="K31" s="182" t="s">
        <v>224</v>
      </c>
      <c r="L31" s="183">
        <v>0.06</v>
      </c>
    </row>
    <row r="32" spans="1:12">
      <c r="A32" s="176" t="s">
        <v>225</v>
      </c>
      <c r="B32" s="176" t="s">
        <v>164</v>
      </c>
      <c r="C32" s="177" t="s">
        <v>48</v>
      </c>
      <c r="D32" s="178"/>
      <c r="E32" s="179"/>
      <c r="F32" s="180"/>
      <c r="G32" s="181"/>
      <c r="H32" s="199" t="s">
        <v>226</v>
      </c>
      <c r="I32" s="183" t="s">
        <v>140</v>
      </c>
      <c r="J32" s="184"/>
      <c r="K32" s="182"/>
      <c r="L32" s="183"/>
    </row>
    <row r="33" spans="1:12">
      <c r="A33" s="176" t="s">
        <v>227</v>
      </c>
      <c r="B33" s="176" t="s">
        <v>164</v>
      </c>
      <c r="C33" s="177" t="s">
        <v>48</v>
      </c>
      <c r="D33" s="178"/>
      <c r="E33" s="179" t="s">
        <v>139</v>
      </c>
      <c r="F33" s="180" t="s">
        <v>174</v>
      </c>
      <c r="G33" s="181"/>
      <c r="H33" s="182" t="s">
        <v>228</v>
      </c>
      <c r="I33" s="183">
        <v>0.06</v>
      </c>
      <c r="J33" s="184"/>
      <c r="K33" s="182" t="s">
        <v>176</v>
      </c>
      <c r="L33" s="183">
        <v>0.05</v>
      </c>
    </row>
    <row r="34" spans="1:12">
      <c r="A34" s="176" t="s">
        <v>229</v>
      </c>
      <c r="B34" s="176" t="s">
        <v>230</v>
      </c>
      <c r="C34" s="177" t="s">
        <v>48</v>
      </c>
      <c r="D34" s="178"/>
      <c r="E34" s="179"/>
      <c r="F34" s="180"/>
      <c r="G34" s="181"/>
      <c r="H34" s="182"/>
      <c r="I34" s="183"/>
      <c r="J34" s="184"/>
      <c r="K34" s="182" t="s">
        <v>231</v>
      </c>
      <c r="L34" s="183">
        <v>0.06</v>
      </c>
    </row>
    <row r="35" spans="1:12">
      <c r="A35" s="176" t="s">
        <v>232</v>
      </c>
      <c r="B35" s="176" t="s">
        <v>164</v>
      </c>
      <c r="C35" s="177" t="s">
        <v>48</v>
      </c>
      <c r="D35" s="178"/>
      <c r="E35" s="179" t="s">
        <v>139</v>
      </c>
      <c r="F35" s="180" t="s">
        <v>233</v>
      </c>
      <c r="G35" s="181"/>
      <c r="H35" s="182"/>
      <c r="I35" s="183"/>
      <c r="J35" s="184"/>
      <c r="K35" s="182" t="s">
        <v>205</v>
      </c>
      <c r="L35" s="183">
        <v>4.4999999999999998E-2</v>
      </c>
    </row>
    <row r="36" spans="1:12">
      <c r="A36" s="176" t="s">
        <v>234</v>
      </c>
      <c r="B36" s="176" t="s">
        <v>235</v>
      </c>
      <c r="C36" s="177" t="s">
        <v>48</v>
      </c>
      <c r="D36" s="178"/>
      <c r="E36" s="179"/>
      <c r="F36" s="180"/>
      <c r="G36" s="181"/>
      <c r="H36" s="182"/>
      <c r="I36" s="183"/>
      <c r="J36" s="184"/>
      <c r="K36" s="182" t="s">
        <v>236</v>
      </c>
      <c r="L36" s="183">
        <v>3.5000000000000003E-2</v>
      </c>
    </row>
    <row r="37" spans="1:12">
      <c r="A37" s="176" t="s">
        <v>237</v>
      </c>
      <c r="B37" s="176" t="s">
        <v>238</v>
      </c>
      <c r="C37" s="177" t="s">
        <v>48</v>
      </c>
      <c r="D37" s="178"/>
      <c r="E37" s="179" t="s">
        <v>184</v>
      </c>
      <c r="F37" s="180" t="s">
        <v>140</v>
      </c>
      <c r="G37" s="181"/>
      <c r="H37" s="182" t="s">
        <v>239</v>
      </c>
      <c r="I37" s="183">
        <v>0.06</v>
      </c>
      <c r="J37" s="184"/>
      <c r="K37" s="182" t="s">
        <v>176</v>
      </c>
      <c r="L37" s="183">
        <v>4.4999999999999998E-2</v>
      </c>
    </row>
    <row r="38" spans="1:12">
      <c r="A38" s="176" t="s">
        <v>240</v>
      </c>
      <c r="B38" s="176" t="s">
        <v>164</v>
      </c>
      <c r="C38" s="177" t="s">
        <v>48</v>
      </c>
      <c r="D38" s="178"/>
      <c r="E38" s="179"/>
      <c r="F38" s="180"/>
      <c r="G38" s="181"/>
      <c r="H38" s="182"/>
      <c r="I38" s="183"/>
      <c r="J38" s="184"/>
      <c r="K38" s="182" t="s">
        <v>176</v>
      </c>
      <c r="L38" s="183">
        <v>4.4999999999999998E-2</v>
      </c>
    </row>
    <row r="39" spans="1:12">
      <c r="A39" s="176" t="s">
        <v>241</v>
      </c>
      <c r="B39" s="176" t="s">
        <v>144</v>
      </c>
      <c r="C39" s="177" t="s">
        <v>48</v>
      </c>
      <c r="D39" s="178"/>
      <c r="E39" s="179" t="s">
        <v>139</v>
      </c>
      <c r="F39" s="180" t="s">
        <v>140</v>
      </c>
      <c r="G39" s="181"/>
      <c r="H39" s="182" t="s">
        <v>228</v>
      </c>
      <c r="I39" s="183">
        <v>0.06</v>
      </c>
      <c r="J39" s="184"/>
      <c r="K39" s="182" t="s">
        <v>176</v>
      </c>
      <c r="L39" s="183">
        <v>0.05</v>
      </c>
    </row>
    <row r="40" spans="1:12">
      <c r="A40" s="176" t="s">
        <v>242</v>
      </c>
      <c r="B40" s="176" t="s">
        <v>144</v>
      </c>
      <c r="C40" s="177" t="s">
        <v>48</v>
      </c>
      <c r="D40" s="178"/>
      <c r="E40" s="179"/>
      <c r="F40" s="180"/>
      <c r="G40" s="181"/>
      <c r="H40" s="182" t="s">
        <v>243</v>
      </c>
      <c r="I40" s="183">
        <v>0.05</v>
      </c>
      <c r="J40" s="184"/>
      <c r="K40" s="182" t="s">
        <v>176</v>
      </c>
      <c r="L40" s="183">
        <v>4.4999999999999998E-2</v>
      </c>
    </row>
    <row r="41" spans="1:12">
      <c r="A41" s="176" t="s">
        <v>244</v>
      </c>
      <c r="B41" s="176" t="s">
        <v>138</v>
      </c>
      <c r="C41" s="177" t="s">
        <v>48</v>
      </c>
      <c r="D41" s="178"/>
      <c r="E41" s="179" t="s">
        <v>139</v>
      </c>
      <c r="F41" s="180" t="s">
        <v>140</v>
      </c>
      <c r="G41" s="181"/>
      <c r="H41" s="182" t="s">
        <v>245</v>
      </c>
      <c r="I41" s="183">
        <v>0.1</v>
      </c>
      <c r="J41" s="184"/>
      <c r="K41" s="182" t="s">
        <v>246</v>
      </c>
      <c r="L41" s="183">
        <v>0.06</v>
      </c>
    </row>
    <row r="42" spans="1:12">
      <c r="A42" s="176" t="s">
        <v>247</v>
      </c>
      <c r="B42" s="176" t="s">
        <v>164</v>
      </c>
      <c r="C42" s="177" t="s">
        <v>48</v>
      </c>
      <c r="D42" s="178"/>
      <c r="E42" s="179" t="s">
        <v>139</v>
      </c>
      <c r="F42" s="180" t="s">
        <v>174</v>
      </c>
      <c r="G42" s="181"/>
      <c r="H42" s="182"/>
      <c r="I42" s="183"/>
      <c r="J42" s="184"/>
      <c r="K42" s="182"/>
      <c r="L42" s="183"/>
    </row>
    <row r="43" spans="1:12">
      <c r="A43" s="176" t="s">
        <v>248</v>
      </c>
      <c r="B43" s="176" t="s">
        <v>160</v>
      </c>
      <c r="C43" s="177" t="s">
        <v>48</v>
      </c>
      <c r="D43" s="178"/>
      <c r="E43" s="179" t="s">
        <v>139</v>
      </c>
      <c r="F43" s="180" t="s">
        <v>140</v>
      </c>
      <c r="G43" s="181"/>
      <c r="H43" s="182" t="s">
        <v>199</v>
      </c>
      <c r="I43" s="183">
        <v>7.0000000000000007E-2</v>
      </c>
      <c r="J43" s="184"/>
      <c r="K43" s="182"/>
      <c r="L43" s="183"/>
    </row>
    <row r="44" spans="1:12">
      <c r="A44" s="176" t="s">
        <v>249</v>
      </c>
      <c r="B44" s="176" t="s">
        <v>250</v>
      </c>
      <c r="C44" s="177" t="s">
        <v>48</v>
      </c>
      <c r="D44" s="178"/>
      <c r="E44" s="179" t="s">
        <v>184</v>
      </c>
      <c r="F44" s="180" t="s">
        <v>251</v>
      </c>
      <c r="G44" s="181"/>
      <c r="H44" s="182" t="s">
        <v>239</v>
      </c>
      <c r="I44" s="183">
        <v>0.06</v>
      </c>
      <c r="J44" s="184"/>
      <c r="K44" s="182" t="s">
        <v>176</v>
      </c>
      <c r="L44" s="183">
        <v>0.05</v>
      </c>
    </row>
    <row r="45" spans="1:12">
      <c r="A45" s="176" t="s">
        <v>252</v>
      </c>
      <c r="B45" s="176" t="s">
        <v>138</v>
      </c>
      <c r="C45" s="177" t="s">
        <v>48</v>
      </c>
      <c r="D45" s="178"/>
      <c r="E45" s="179" t="s">
        <v>139</v>
      </c>
      <c r="F45" s="180" t="s">
        <v>140</v>
      </c>
      <c r="G45" s="181"/>
      <c r="H45" s="182" t="s">
        <v>253</v>
      </c>
      <c r="I45" s="183">
        <v>0.09</v>
      </c>
      <c r="J45" s="184"/>
      <c r="K45" s="182" t="s">
        <v>142</v>
      </c>
      <c r="L45" s="183">
        <v>0.06</v>
      </c>
    </row>
    <row r="46" spans="1:12">
      <c r="A46" s="176" t="s">
        <v>254</v>
      </c>
      <c r="B46" s="176" t="s">
        <v>255</v>
      </c>
      <c r="C46" s="177" t="s">
        <v>48</v>
      </c>
      <c r="D46" s="178"/>
      <c r="E46" s="179" t="s">
        <v>139</v>
      </c>
      <c r="F46" s="180" t="s">
        <v>174</v>
      </c>
      <c r="G46" s="181"/>
      <c r="H46" s="182"/>
      <c r="I46" s="183" t="s">
        <v>165</v>
      </c>
      <c r="J46" s="184"/>
      <c r="K46" s="182"/>
      <c r="L46" s="183"/>
    </row>
    <row r="47" spans="1:12">
      <c r="A47" s="176" t="s">
        <v>256</v>
      </c>
      <c r="B47" s="176" t="s">
        <v>144</v>
      </c>
      <c r="C47" s="177" t="s">
        <v>48</v>
      </c>
      <c r="D47" s="178"/>
      <c r="E47" s="179"/>
      <c r="F47" s="180" t="s">
        <v>165</v>
      </c>
      <c r="G47" s="181"/>
      <c r="H47" s="182"/>
      <c r="I47" s="183"/>
      <c r="J47" s="184"/>
      <c r="K47" s="182"/>
      <c r="L47" s="183"/>
    </row>
    <row r="48" spans="1:12">
      <c r="A48" s="176" t="s">
        <v>257</v>
      </c>
      <c r="B48" s="176" t="s">
        <v>160</v>
      </c>
      <c r="C48" s="177" t="s">
        <v>48</v>
      </c>
      <c r="D48" s="178"/>
      <c r="E48" s="179" t="s">
        <v>139</v>
      </c>
      <c r="F48" s="180" t="s">
        <v>140</v>
      </c>
      <c r="G48" s="181"/>
      <c r="H48" s="182" t="s">
        <v>178</v>
      </c>
      <c r="I48" s="183">
        <v>0.1</v>
      </c>
      <c r="J48" s="184"/>
      <c r="K48" s="182" t="s">
        <v>231</v>
      </c>
      <c r="L48" s="183">
        <v>7.0000000000000007E-2</v>
      </c>
    </row>
    <row r="49" spans="1:12">
      <c r="A49" s="176" t="s">
        <v>258</v>
      </c>
      <c r="B49" s="176" t="s">
        <v>202</v>
      </c>
      <c r="C49" s="177" t="s">
        <v>48</v>
      </c>
      <c r="D49" s="178"/>
      <c r="E49" s="179"/>
      <c r="F49" s="180" t="s">
        <v>165</v>
      </c>
      <c r="G49" s="181"/>
      <c r="H49" s="182"/>
      <c r="I49" s="183"/>
      <c r="J49" s="184"/>
      <c r="K49" s="182"/>
      <c r="L49" s="183"/>
    </row>
    <row r="50" spans="1:12">
      <c r="A50" s="176" t="s">
        <v>259</v>
      </c>
      <c r="B50" s="176" t="s">
        <v>260</v>
      </c>
      <c r="C50" s="177" t="s">
        <v>48</v>
      </c>
      <c r="D50" s="178"/>
      <c r="E50" s="179"/>
      <c r="F50" s="180" t="s">
        <v>165</v>
      </c>
      <c r="G50" s="181"/>
      <c r="H50" s="182"/>
      <c r="I50" s="183"/>
      <c r="J50" s="184"/>
      <c r="K50" s="182"/>
      <c r="L50" s="183"/>
    </row>
    <row r="51" spans="1:12">
      <c r="A51" s="176" t="s">
        <v>261</v>
      </c>
      <c r="B51" s="176" t="s">
        <v>160</v>
      </c>
      <c r="C51" s="177" t="s">
        <v>48</v>
      </c>
      <c r="D51" s="178"/>
      <c r="E51" s="179" t="s">
        <v>139</v>
      </c>
      <c r="F51" s="180" t="s">
        <v>140</v>
      </c>
      <c r="G51" s="181"/>
      <c r="H51" s="182" t="s">
        <v>148</v>
      </c>
      <c r="I51" s="183">
        <v>0.1</v>
      </c>
      <c r="J51" s="184"/>
      <c r="K51" s="182"/>
      <c r="L51" s="183"/>
    </row>
    <row r="52" spans="1:12">
      <c r="A52" s="176" t="s">
        <v>262</v>
      </c>
      <c r="B52" s="176" t="s">
        <v>160</v>
      </c>
      <c r="C52" s="177" t="s">
        <v>48</v>
      </c>
      <c r="D52" s="178"/>
      <c r="E52" s="179" t="s">
        <v>181</v>
      </c>
      <c r="F52" s="186" t="s">
        <v>219</v>
      </c>
      <c r="G52" s="197"/>
      <c r="H52" s="182" t="s">
        <v>263</v>
      </c>
      <c r="I52" s="183">
        <v>7.0000000000000007E-2</v>
      </c>
      <c r="J52" s="184"/>
      <c r="K52" s="182" t="s">
        <v>176</v>
      </c>
      <c r="L52" s="183">
        <v>0.05</v>
      </c>
    </row>
    <row r="53" spans="1:12">
      <c r="A53" s="176" t="s">
        <v>264</v>
      </c>
      <c r="B53" s="176" t="s">
        <v>160</v>
      </c>
      <c r="C53" s="177" t="s">
        <v>48</v>
      </c>
      <c r="D53" s="178"/>
      <c r="E53" s="179" t="s">
        <v>139</v>
      </c>
      <c r="F53" s="180" t="s">
        <v>140</v>
      </c>
      <c r="G53" s="181"/>
      <c r="H53" s="182" t="s">
        <v>148</v>
      </c>
      <c r="I53" s="183">
        <v>0.09</v>
      </c>
      <c r="J53" s="184"/>
      <c r="K53" s="182"/>
      <c r="L53" s="183"/>
    </row>
    <row r="54" spans="1:12">
      <c r="A54" s="176" t="s">
        <v>265</v>
      </c>
      <c r="B54" s="176" t="s">
        <v>164</v>
      </c>
      <c r="C54" s="177" t="s">
        <v>48</v>
      </c>
      <c r="D54" s="178"/>
      <c r="E54" s="179" t="s">
        <v>139</v>
      </c>
      <c r="F54" s="180" t="s">
        <v>174</v>
      </c>
      <c r="G54" s="181"/>
      <c r="H54" s="182" t="s">
        <v>266</v>
      </c>
      <c r="I54" s="183">
        <v>0.06</v>
      </c>
      <c r="J54" s="184"/>
      <c r="K54" s="182" t="s">
        <v>205</v>
      </c>
      <c r="L54" s="183">
        <v>4.4999999999999998E-2</v>
      </c>
    </row>
    <row r="55" spans="1:12">
      <c r="A55" s="176" t="s">
        <v>267</v>
      </c>
      <c r="B55" s="176" t="s">
        <v>268</v>
      </c>
      <c r="C55" s="177" t="s">
        <v>48</v>
      </c>
      <c r="D55" s="178"/>
      <c r="E55" s="179" t="s">
        <v>139</v>
      </c>
      <c r="F55" s="180" t="s">
        <v>174</v>
      </c>
      <c r="G55" s="181"/>
      <c r="H55" s="182" t="s">
        <v>245</v>
      </c>
      <c r="I55" s="183">
        <v>0.08</v>
      </c>
      <c r="J55" s="184"/>
      <c r="K55" s="182" t="s">
        <v>246</v>
      </c>
      <c r="L55" s="183">
        <v>0.06</v>
      </c>
    </row>
    <row r="56" spans="1:12">
      <c r="A56" s="176" t="s">
        <v>269</v>
      </c>
      <c r="B56" s="176" t="s">
        <v>164</v>
      </c>
      <c r="C56" s="177" t="s">
        <v>48</v>
      </c>
      <c r="D56" s="178"/>
      <c r="E56" s="179" t="s">
        <v>139</v>
      </c>
      <c r="F56" s="180" t="s">
        <v>233</v>
      </c>
      <c r="G56" s="181"/>
      <c r="H56" s="182" t="s">
        <v>148</v>
      </c>
      <c r="I56" s="183">
        <v>0.08</v>
      </c>
      <c r="J56" s="184"/>
      <c r="K56" s="182"/>
      <c r="L56" s="183"/>
    </row>
    <row r="57" spans="1:12">
      <c r="A57" s="176" t="s">
        <v>270</v>
      </c>
      <c r="B57" s="176" t="s">
        <v>271</v>
      </c>
      <c r="C57" s="177" t="s">
        <v>48</v>
      </c>
      <c r="D57" s="178"/>
      <c r="E57" s="179" t="s">
        <v>139</v>
      </c>
      <c r="F57" s="180" t="s">
        <v>167</v>
      </c>
      <c r="G57" s="181"/>
      <c r="H57" s="182"/>
      <c r="I57" s="183"/>
      <c r="J57" s="184"/>
      <c r="K57" s="182"/>
      <c r="L57" s="183"/>
    </row>
    <row r="58" spans="1:12">
      <c r="A58" s="176" t="s">
        <v>272</v>
      </c>
      <c r="B58" s="176" t="s">
        <v>273</v>
      </c>
      <c r="C58" s="177" t="s">
        <v>48</v>
      </c>
      <c r="D58" s="178"/>
      <c r="E58" s="179" t="s">
        <v>139</v>
      </c>
      <c r="F58" s="180" t="s">
        <v>174</v>
      </c>
      <c r="G58" s="181"/>
      <c r="H58" s="182" t="s">
        <v>148</v>
      </c>
      <c r="I58" s="183">
        <v>0.08</v>
      </c>
      <c r="J58" s="184"/>
      <c r="K58" s="182" t="s">
        <v>176</v>
      </c>
      <c r="L58" s="183">
        <v>4.4999999999999998E-2</v>
      </c>
    </row>
    <row r="59" spans="1:12">
      <c r="A59" s="176" t="s">
        <v>274</v>
      </c>
      <c r="B59" s="176" t="s">
        <v>275</v>
      </c>
      <c r="C59" s="177" t="s">
        <v>48</v>
      </c>
      <c r="D59" s="178"/>
      <c r="E59" s="179" t="s">
        <v>139</v>
      </c>
      <c r="F59" s="180" t="s">
        <v>140</v>
      </c>
      <c r="G59" s="181"/>
      <c r="H59" s="182" t="s">
        <v>253</v>
      </c>
      <c r="I59" s="183">
        <v>0.1</v>
      </c>
      <c r="J59" s="184"/>
      <c r="K59" s="182" t="s">
        <v>176</v>
      </c>
      <c r="L59" s="183">
        <v>0.06</v>
      </c>
    </row>
    <row r="60" spans="1:12">
      <c r="A60" s="176" t="s">
        <v>276</v>
      </c>
      <c r="B60" s="176" t="s">
        <v>268</v>
      </c>
      <c r="C60" s="177" t="s">
        <v>48</v>
      </c>
      <c r="D60" s="178"/>
      <c r="E60" s="179" t="s">
        <v>139</v>
      </c>
      <c r="F60" s="186" t="s">
        <v>277</v>
      </c>
      <c r="G60" s="197"/>
      <c r="H60" s="182" t="s">
        <v>245</v>
      </c>
      <c r="I60" s="183">
        <v>0.08</v>
      </c>
      <c r="J60" s="184"/>
      <c r="K60" s="182" t="s">
        <v>142</v>
      </c>
      <c r="L60" s="183">
        <v>0.05</v>
      </c>
    </row>
    <row r="61" spans="1:12">
      <c r="A61" s="176" t="s">
        <v>278</v>
      </c>
      <c r="B61" s="176" t="s">
        <v>160</v>
      </c>
      <c r="C61" s="177" t="s">
        <v>48</v>
      </c>
      <c r="D61" s="178"/>
      <c r="E61" s="179" t="s">
        <v>184</v>
      </c>
      <c r="F61" s="186" t="s">
        <v>219</v>
      </c>
      <c r="G61" s="197"/>
      <c r="H61" s="182"/>
      <c r="I61" s="183"/>
      <c r="J61" s="184"/>
      <c r="K61" s="182"/>
      <c r="L61" s="183"/>
    </row>
    <row r="62" spans="1:12">
      <c r="A62" s="176" t="s">
        <v>279</v>
      </c>
      <c r="B62" s="176" t="s">
        <v>164</v>
      </c>
      <c r="C62" s="177" t="s">
        <v>48</v>
      </c>
      <c r="D62" s="178"/>
      <c r="E62" s="179" t="s">
        <v>139</v>
      </c>
      <c r="F62" s="180" t="s">
        <v>140</v>
      </c>
      <c r="G62" s="181"/>
      <c r="H62" s="182" t="s">
        <v>199</v>
      </c>
      <c r="I62" s="183">
        <v>0.11</v>
      </c>
      <c r="J62" s="184"/>
      <c r="K62" s="182" t="s">
        <v>280</v>
      </c>
      <c r="L62" s="183">
        <v>0.1</v>
      </c>
    </row>
    <row r="63" spans="1:12">
      <c r="A63" s="176" t="s">
        <v>281</v>
      </c>
      <c r="B63" s="176" t="s">
        <v>138</v>
      </c>
      <c r="C63" s="177" t="s">
        <v>48</v>
      </c>
      <c r="D63" s="178"/>
      <c r="E63" s="179" t="s">
        <v>181</v>
      </c>
      <c r="F63" s="186" t="s">
        <v>282</v>
      </c>
      <c r="G63" s="197"/>
      <c r="H63" s="182"/>
      <c r="I63" s="183"/>
      <c r="J63" s="184"/>
      <c r="K63" s="182"/>
      <c r="L63" s="183"/>
    </row>
    <row r="64" spans="1:12">
      <c r="A64" s="176" t="s">
        <v>283</v>
      </c>
      <c r="B64" s="176" t="s">
        <v>164</v>
      </c>
      <c r="C64" s="177" t="s">
        <v>48</v>
      </c>
      <c r="D64" s="178"/>
      <c r="E64" s="179" t="s">
        <v>139</v>
      </c>
      <c r="F64" s="180" t="s">
        <v>140</v>
      </c>
      <c r="G64" s="181"/>
      <c r="H64" s="182" t="s">
        <v>284</v>
      </c>
      <c r="I64" s="183">
        <v>0.06</v>
      </c>
      <c r="J64" s="184"/>
      <c r="K64" s="182" t="s">
        <v>142</v>
      </c>
      <c r="L64" s="183">
        <v>0.05</v>
      </c>
    </row>
    <row r="65" spans="1:12">
      <c r="A65" s="176" t="s">
        <v>285</v>
      </c>
      <c r="B65" s="176" t="s">
        <v>160</v>
      </c>
      <c r="C65" s="177" t="s">
        <v>48</v>
      </c>
      <c r="D65" s="178"/>
      <c r="E65" s="179" t="s">
        <v>139</v>
      </c>
      <c r="F65" s="180" t="s">
        <v>140</v>
      </c>
      <c r="G65" s="181"/>
      <c r="H65" s="182"/>
      <c r="I65" s="183"/>
      <c r="J65" s="184"/>
      <c r="K65" s="182" t="s">
        <v>286</v>
      </c>
      <c r="L65" s="183">
        <v>7.0000000000000007E-2</v>
      </c>
    </row>
    <row r="66" spans="1:12">
      <c r="A66" s="176" t="s">
        <v>287</v>
      </c>
      <c r="B66" s="176" t="s">
        <v>138</v>
      </c>
      <c r="C66" s="177" t="s">
        <v>48</v>
      </c>
      <c r="D66" s="178"/>
      <c r="E66" s="179" t="s">
        <v>139</v>
      </c>
      <c r="F66" s="180" t="s">
        <v>140</v>
      </c>
      <c r="G66" s="181"/>
      <c r="H66" s="182" t="s">
        <v>284</v>
      </c>
      <c r="I66" s="183">
        <v>0.09</v>
      </c>
      <c r="J66" s="184"/>
      <c r="K66" s="182" t="s">
        <v>142</v>
      </c>
      <c r="L66" s="183">
        <v>0.06</v>
      </c>
    </row>
    <row r="67" spans="1:12">
      <c r="A67" s="176" t="s">
        <v>288</v>
      </c>
      <c r="B67" s="176" t="s">
        <v>164</v>
      </c>
      <c r="C67" s="177" t="s">
        <v>48</v>
      </c>
      <c r="D67" s="178"/>
      <c r="E67" s="179" t="s">
        <v>139</v>
      </c>
      <c r="F67" s="180" t="s">
        <v>174</v>
      </c>
      <c r="G67" s="181"/>
      <c r="H67" s="182" t="s">
        <v>175</v>
      </c>
      <c r="I67" s="183">
        <v>0.06</v>
      </c>
      <c r="J67" s="184"/>
      <c r="K67" s="182" t="s">
        <v>179</v>
      </c>
      <c r="L67" s="183">
        <v>3.5000000000000003E-2</v>
      </c>
    </row>
    <row r="68" spans="1:12">
      <c r="A68" s="176" t="s">
        <v>289</v>
      </c>
      <c r="B68" s="176" t="s">
        <v>164</v>
      </c>
      <c r="C68" s="177" t="s">
        <v>48</v>
      </c>
      <c r="D68" s="178"/>
      <c r="E68" s="179" t="s">
        <v>139</v>
      </c>
      <c r="F68" s="180" t="s">
        <v>140</v>
      </c>
      <c r="G68" s="181"/>
      <c r="H68" s="182" t="s">
        <v>245</v>
      </c>
      <c r="I68" s="183">
        <v>0.08</v>
      </c>
      <c r="J68" s="184"/>
      <c r="K68" s="182" t="s">
        <v>246</v>
      </c>
      <c r="L68" s="183">
        <v>0.06</v>
      </c>
    </row>
    <row r="69" spans="1:12">
      <c r="A69" s="176" t="s">
        <v>290</v>
      </c>
      <c r="B69" s="176" t="s">
        <v>291</v>
      </c>
      <c r="C69" s="177" t="s">
        <v>48</v>
      </c>
      <c r="D69" s="178"/>
      <c r="E69" s="179" t="s">
        <v>139</v>
      </c>
      <c r="F69" s="180" t="s">
        <v>292</v>
      </c>
      <c r="G69" s="181"/>
      <c r="H69" s="182" t="s">
        <v>228</v>
      </c>
      <c r="I69" s="183">
        <v>0.06</v>
      </c>
      <c r="J69" s="184"/>
      <c r="K69" s="182" t="s">
        <v>176</v>
      </c>
      <c r="L69" s="183">
        <v>4.4999999999999998E-2</v>
      </c>
    </row>
    <row r="70" spans="1:12">
      <c r="A70" s="176" t="s">
        <v>293</v>
      </c>
      <c r="B70" s="176" t="s">
        <v>273</v>
      </c>
      <c r="C70" s="177" t="s">
        <v>48</v>
      </c>
      <c r="D70" s="178"/>
      <c r="E70" s="179" t="s">
        <v>139</v>
      </c>
      <c r="F70" s="180" t="s">
        <v>174</v>
      </c>
      <c r="G70" s="181"/>
      <c r="H70" s="182"/>
      <c r="I70" s="183"/>
      <c r="J70" s="184"/>
      <c r="K70" s="182" t="s">
        <v>294</v>
      </c>
      <c r="L70" s="183">
        <v>0.06</v>
      </c>
    </row>
    <row r="71" spans="1:12">
      <c r="A71" s="176" t="s">
        <v>295</v>
      </c>
      <c r="B71" s="176" t="s">
        <v>138</v>
      </c>
      <c r="C71" s="177" t="s">
        <v>48</v>
      </c>
      <c r="D71" s="178"/>
      <c r="E71" s="179" t="s">
        <v>139</v>
      </c>
      <c r="F71" s="180" t="s">
        <v>296</v>
      </c>
      <c r="G71" s="181"/>
      <c r="H71" s="182" t="s">
        <v>284</v>
      </c>
      <c r="I71" s="183">
        <v>7.0000000000000007E-2</v>
      </c>
      <c r="J71" s="184"/>
      <c r="K71" s="182" t="s">
        <v>142</v>
      </c>
      <c r="L71" s="183">
        <v>0.06</v>
      </c>
    </row>
    <row r="72" spans="1:12">
      <c r="A72" s="176" t="s">
        <v>297</v>
      </c>
      <c r="B72" s="176" t="s">
        <v>138</v>
      </c>
      <c r="C72" s="177" t="s">
        <v>48</v>
      </c>
      <c r="D72" s="178"/>
      <c r="E72" s="179" t="s">
        <v>181</v>
      </c>
      <c r="F72" s="180" t="s">
        <v>298</v>
      </c>
      <c r="G72" s="181"/>
      <c r="H72" s="182" t="s">
        <v>156</v>
      </c>
      <c r="I72" s="183">
        <v>0.06</v>
      </c>
      <c r="J72" s="184"/>
      <c r="K72" s="182" t="s">
        <v>231</v>
      </c>
      <c r="L72" s="183">
        <v>0.05</v>
      </c>
    </row>
    <row r="73" spans="1:12">
      <c r="A73" s="176" t="s">
        <v>299</v>
      </c>
      <c r="B73" s="176" t="s">
        <v>138</v>
      </c>
      <c r="C73" s="177" t="s">
        <v>48</v>
      </c>
      <c r="D73" s="178"/>
      <c r="E73" s="179" t="s">
        <v>181</v>
      </c>
      <c r="F73" s="186" t="s">
        <v>282</v>
      </c>
      <c r="G73" s="197"/>
      <c r="H73" s="182"/>
      <c r="I73" s="183"/>
      <c r="J73" s="184"/>
      <c r="K73" s="182" t="s">
        <v>205</v>
      </c>
      <c r="L73" s="183">
        <v>0.05</v>
      </c>
    </row>
    <row r="74" spans="1:12">
      <c r="A74" s="176" t="s">
        <v>300</v>
      </c>
      <c r="B74" s="176" t="s">
        <v>164</v>
      </c>
      <c r="C74" s="177" t="s">
        <v>48</v>
      </c>
      <c r="D74" s="178"/>
      <c r="E74" s="179" t="s">
        <v>139</v>
      </c>
      <c r="F74" s="180" t="s">
        <v>277</v>
      </c>
      <c r="G74" s="181"/>
      <c r="H74" s="182" t="s">
        <v>253</v>
      </c>
      <c r="I74" s="183">
        <v>0.09</v>
      </c>
      <c r="J74" s="184"/>
      <c r="K74" s="182" t="s">
        <v>294</v>
      </c>
      <c r="L74" s="183">
        <v>0.06</v>
      </c>
    </row>
    <row r="75" spans="1:12">
      <c r="A75" s="176" t="s">
        <v>301</v>
      </c>
      <c r="B75" s="176" t="s">
        <v>164</v>
      </c>
      <c r="C75" s="177" t="s">
        <v>48</v>
      </c>
      <c r="D75" s="178"/>
      <c r="E75" s="179" t="s">
        <v>302</v>
      </c>
      <c r="F75" s="180" t="s">
        <v>277</v>
      </c>
      <c r="G75" s="181"/>
      <c r="H75" s="182" t="s">
        <v>303</v>
      </c>
      <c r="I75" s="183">
        <v>0.15</v>
      </c>
      <c r="J75" s="184"/>
      <c r="K75" s="182"/>
      <c r="L75" s="183"/>
    </row>
    <row r="76" spans="1:12">
      <c r="A76" s="176" t="s">
        <v>304</v>
      </c>
      <c r="B76" s="176" t="s">
        <v>138</v>
      </c>
      <c r="C76" s="177" t="s">
        <v>48</v>
      </c>
      <c r="D76" s="178"/>
      <c r="E76" s="179" t="s">
        <v>139</v>
      </c>
      <c r="F76" s="186" t="s">
        <v>305</v>
      </c>
      <c r="G76" s="197"/>
      <c r="H76" s="182"/>
      <c r="I76" s="183"/>
      <c r="J76" s="184"/>
      <c r="K76" s="182" t="s">
        <v>231</v>
      </c>
      <c r="L76" s="183">
        <v>7.0000000000000007E-2</v>
      </c>
    </row>
    <row r="78" spans="1:12" ht="27">
      <c r="A78" s="170" t="s">
        <v>132</v>
      </c>
      <c r="B78" s="170" t="s">
        <v>133</v>
      </c>
      <c r="C78" s="171"/>
      <c r="D78" s="172"/>
      <c r="E78" s="173" t="s">
        <v>134</v>
      </c>
      <c r="F78" s="174" t="s">
        <v>135</v>
      </c>
      <c r="G78" s="175"/>
      <c r="H78" s="173" t="s">
        <v>136</v>
      </c>
      <c r="I78" s="174" t="s">
        <v>135</v>
      </c>
      <c r="J78" s="175"/>
      <c r="K78" s="173" t="s">
        <v>136</v>
      </c>
      <c r="L78" s="174" t="s">
        <v>135</v>
      </c>
    </row>
    <row r="79" spans="1:12">
      <c r="A79" s="176" t="s">
        <v>306</v>
      </c>
      <c r="B79" s="176" t="s">
        <v>164</v>
      </c>
      <c r="C79" s="177" t="s">
        <v>307</v>
      </c>
      <c r="D79" s="178"/>
      <c r="E79" s="182" t="s">
        <v>308</v>
      </c>
      <c r="F79" s="180" t="s">
        <v>140</v>
      </c>
      <c r="G79" s="178"/>
      <c r="H79" s="182" t="s">
        <v>309</v>
      </c>
      <c r="I79" s="183">
        <v>0.04</v>
      </c>
      <c r="J79" s="178"/>
      <c r="K79" s="182" t="s">
        <v>294</v>
      </c>
      <c r="L79" s="183">
        <v>1.4999999999999999E-2</v>
      </c>
    </row>
    <row r="80" spans="1:12">
      <c r="A80" s="176" t="s">
        <v>310</v>
      </c>
      <c r="B80" s="176" t="s">
        <v>311</v>
      </c>
      <c r="C80" s="177" t="s">
        <v>307</v>
      </c>
      <c r="D80" s="178"/>
      <c r="E80" s="182" t="s">
        <v>312</v>
      </c>
      <c r="F80" s="180" t="s">
        <v>313</v>
      </c>
      <c r="G80" s="178"/>
      <c r="H80" s="182" t="s">
        <v>314</v>
      </c>
      <c r="I80" s="180" t="s">
        <v>315</v>
      </c>
      <c r="J80" s="178"/>
      <c r="K80" s="182" t="s">
        <v>316</v>
      </c>
      <c r="L80" s="183">
        <v>2.5000000000000001E-2</v>
      </c>
    </row>
    <row r="81" spans="1:12">
      <c r="A81" s="176" t="s">
        <v>317</v>
      </c>
      <c r="B81" s="176" t="s">
        <v>318</v>
      </c>
      <c r="C81" s="177" t="s">
        <v>307</v>
      </c>
      <c r="D81" s="178"/>
      <c r="E81" s="182" t="s">
        <v>139</v>
      </c>
      <c r="F81" s="180" t="s">
        <v>315</v>
      </c>
      <c r="G81" s="178"/>
      <c r="H81" s="182" t="s">
        <v>319</v>
      </c>
      <c r="I81" s="183">
        <v>0.05</v>
      </c>
      <c r="J81" s="178"/>
      <c r="K81" s="182" t="s">
        <v>172</v>
      </c>
      <c r="L81" s="183">
        <v>0.02</v>
      </c>
    </row>
    <row r="82" spans="1:12">
      <c r="A82" s="176" t="s">
        <v>320</v>
      </c>
      <c r="B82" s="176" t="s">
        <v>318</v>
      </c>
      <c r="C82" s="177" t="s">
        <v>307</v>
      </c>
      <c r="D82" s="178"/>
      <c r="E82" s="182" t="s">
        <v>321</v>
      </c>
      <c r="F82" s="183" t="s">
        <v>322</v>
      </c>
      <c r="G82" s="178"/>
      <c r="H82" s="182" t="s">
        <v>323</v>
      </c>
      <c r="I82" s="183" t="s">
        <v>324</v>
      </c>
      <c r="J82" s="178"/>
      <c r="K82" s="182"/>
      <c r="L82" s="183"/>
    </row>
    <row r="83" spans="1:12">
      <c r="A83" s="176" t="s">
        <v>325</v>
      </c>
      <c r="B83" s="176"/>
      <c r="C83" s="177" t="s">
        <v>307</v>
      </c>
      <c r="D83" s="178"/>
      <c r="E83" s="182"/>
      <c r="F83" s="180"/>
      <c r="G83" s="178"/>
      <c r="H83" s="182"/>
      <c r="I83" s="183"/>
      <c r="J83" s="178"/>
      <c r="K83" s="182" t="s">
        <v>326</v>
      </c>
      <c r="L83" s="183" t="s">
        <v>327</v>
      </c>
    </row>
    <row r="84" spans="1:12">
      <c r="A84" s="176" t="s">
        <v>328</v>
      </c>
      <c r="B84" s="176" t="s">
        <v>164</v>
      </c>
      <c r="C84" s="177" t="s">
        <v>307</v>
      </c>
      <c r="D84" s="178"/>
      <c r="E84" s="182"/>
      <c r="F84" s="180"/>
      <c r="G84" s="178"/>
      <c r="H84" s="182"/>
      <c r="I84" s="183"/>
      <c r="J84" s="178"/>
      <c r="K84" s="182" t="s">
        <v>326</v>
      </c>
      <c r="L84" s="183" t="s">
        <v>327</v>
      </c>
    </row>
    <row r="85" spans="1:12">
      <c r="A85" s="176" t="s">
        <v>329</v>
      </c>
      <c r="B85" s="176" t="s">
        <v>330</v>
      </c>
      <c r="C85" s="177" t="s">
        <v>307</v>
      </c>
      <c r="D85" s="178"/>
      <c r="E85" s="182" t="s">
        <v>139</v>
      </c>
      <c r="F85" s="180" t="s">
        <v>331</v>
      </c>
      <c r="G85" s="178"/>
      <c r="H85" s="182" t="s">
        <v>175</v>
      </c>
      <c r="I85" s="180" t="s">
        <v>192</v>
      </c>
      <c r="J85" s="178"/>
      <c r="K85" s="182"/>
      <c r="L85" s="183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2026-01-05T10:09:47Z</dcterms:modified>
</cp:coreProperties>
</file>