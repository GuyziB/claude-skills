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8e42587b76b10ba/Documents/Visual Code Studio/Claude/BMS-Attribution-Model/projects/quintano/"/>
    </mc:Choice>
  </mc:AlternateContent>
  <xr:revisionPtr revIDLastSave="0" documentId="11_8EC4EEE8AE3C14B2B440A0173D5BDA16E6C87887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ttribution_Log" sheetId="1" r:id="rId1"/>
    <sheet name="Labour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2" l="1"/>
  <c r="C42" i="2"/>
  <c r="C41" i="2"/>
  <c r="C40" i="2"/>
  <c r="C39" i="2"/>
  <c r="C38" i="2"/>
  <c r="C44" i="2" s="1"/>
  <c r="C45" i="2" s="1"/>
  <c r="C37" i="2"/>
  <c r="C36" i="2"/>
  <c r="C35" i="2"/>
  <c r="J32" i="2"/>
  <c r="B32" i="2" s="1"/>
  <c r="I32" i="2"/>
  <c r="H32" i="2"/>
  <c r="G32" i="2"/>
  <c r="F32" i="2"/>
  <c r="E32" i="2"/>
  <c r="D32" i="2"/>
  <c r="C32" i="2"/>
  <c r="J14" i="2"/>
  <c r="B14" i="2" s="1"/>
  <c r="I14" i="2"/>
  <c r="H14" i="2"/>
  <c r="G14" i="2"/>
  <c r="F14" i="2"/>
  <c r="E14" i="2"/>
  <c r="D14" i="2"/>
  <c r="C14" i="2"/>
  <c r="N25" i="1"/>
  <c r="M25" i="1"/>
  <c r="L25" i="1"/>
  <c r="K25" i="1"/>
  <c r="J25" i="1"/>
  <c r="I25" i="1"/>
  <c r="H25" i="1"/>
  <c r="G25" i="1"/>
  <c r="O25" i="1" s="1"/>
</calcChain>
</file>

<file path=xl/sharedStrings.xml><?xml version="1.0" encoding="utf-8"?>
<sst xmlns="http://schemas.openxmlformats.org/spreadsheetml/2006/main" count="201" uniqueCount="106">
  <si>
    <t>PANTA CONTRACTING LIMITED — BMS Attribution Log   |   Quintano Foods   |   v3.1</t>
  </si>
  <si>
    <t>ISELL/ICOST Cluster Scan   |   01 April 2026   |   Includes Labour Hours &amp; P&amp;L   |   All hours are BMS team hours</t>
  </si>
  <si>
    <t>Colour:  Green = BMS cluster rule (512/617)   |   Amber = Manual flag   |   Yellow = Maintenance (outside revenue scope)   |   mu_A/B/C = pricing rate bands — all hours are BMS team hours</t>
  </si>
  <si>
    <t>Log_ID</t>
  </si>
  <si>
    <t>Source_File</t>
  </si>
  <si>
    <t>Excel_Row</t>
  </si>
  <si>
    <t>Item_Number</t>
  </si>
  <si>
    <t>Item_Name</t>
  </si>
  <si>
    <t>BMS_Trigger</t>
  </si>
  <si>
    <t>Sell_Total
(€)</t>
  </si>
  <si>
    <t>Mat_Cost
(€)</t>
  </si>
  <si>
    <t>Total
Lab Hrs</t>
  </si>
  <si>
    <t>mu_A Hrs</t>
  </si>
  <si>
    <t>mu_B Hrs</t>
  </si>
  <si>
    <t>mu_C Hrs</t>
  </si>
  <si>
    <t>Lab_Cost
(€)</t>
  </si>
  <si>
    <t>Gross_Profit
(€)</t>
  </si>
  <si>
    <t>Margin
%</t>
  </si>
  <si>
    <t>Hour
Check</t>
  </si>
  <si>
    <t>E25-0062 (EL)</t>
  </si>
  <si>
    <t>Item: 4.02800000000001</t>
  </si>
  <si>
    <t>Supply, install and connect Control Panel 'CP-B1P' c/w all necessary circuit bre</t>
  </si>
  <si>
    <t>617</t>
  </si>
  <si>
    <t>OK</t>
  </si>
  <si>
    <t>Item: 4.02900000000001</t>
  </si>
  <si>
    <t>Supply, install and connect Control Panel 'CP-CW' c/w all necessary circuit brea</t>
  </si>
  <si>
    <t>Item: 4.31700000000011</t>
  </si>
  <si>
    <t>Supply, install and connect emergency shut-off system c/w power supplies, contro</t>
  </si>
  <si>
    <t>Item: 4.36400000000012</t>
  </si>
  <si>
    <t>Provision for the supply and installation of HDMI points, including the supply o</t>
  </si>
  <si>
    <t>Item: 4.38900000000013</t>
  </si>
  <si>
    <t>Item: 4.46500000000016</t>
  </si>
  <si>
    <t>Item: 4.51100000000017</t>
  </si>
  <si>
    <t>E25-0085 (ELM)</t>
  </si>
  <si>
    <t>Item: 2.006</t>
  </si>
  <si>
    <t>Supply and install differential pressure alarm complete with remote visual and a</t>
  </si>
  <si>
    <t>Item: 2.013</t>
  </si>
  <si>
    <t>Item: 2.025</t>
  </si>
  <si>
    <t>Item: 2.15799999999998</t>
  </si>
  <si>
    <t>Ventilation Control Panel 'VCP-B1U' as per schematic</t>
  </si>
  <si>
    <t>Item: 2.15899999999998</t>
  </si>
  <si>
    <t>Ventilation Control Panel 'VCP-B1L' as per schematic</t>
  </si>
  <si>
    <t>Item: 2.15999999999998</t>
  </si>
  <si>
    <t>Ventilation Control Panel 'VCP-GEN' as per schematic</t>
  </si>
  <si>
    <t>Item: 2.159A</t>
  </si>
  <si>
    <t>Ventilation Control Panel 'VCP-OL0' as per schematic</t>
  </si>
  <si>
    <t>Item: 2.16099999999998</t>
  </si>
  <si>
    <t>Ventilation Control Panel 'VCP-WH', including temperature controller and sensors</t>
  </si>
  <si>
    <t>512,617</t>
  </si>
  <si>
    <t>Item: 2.16199999999998</t>
  </si>
  <si>
    <t>Ventilation Control Panel 'VCP-OL1' as per schematic</t>
  </si>
  <si>
    <t>Item: 2.16299999999998</t>
  </si>
  <si>
    <t>Ventilation Control Panel 'VCP-AB' as per schematic</t>
  </si>
  <si>
    <t>Item: 2.16399999999998</t>
  </si>
  <si>
    <t>Ventilation Control Panel 'VCP-OL2' as per schematic</t>
  </si>
  <si>
    <t>Item: 2.16499999999998</t>
  </si>
  <si>
    <t>Ventilation Control Panel 'VCP-OL3' as per schematic</t>
  </si>
  <si>
    <t>Item: 2.16599999999998</t>
  </si>
  <si>
    <t>Supply, install and connect Automatic Opening Vents Control Panel 
"CP-AOV" as i</t>
  </si>
  <si>
    <t>TOTALS — All BMS Clusters</t>
  </si>
  <si>
    <t>PANTA CONTRACTING LIMITED — BMS Labour Hours &amp; P&amp;L Summary   |   Quintano Foods</t>
  </si>
  <si>
    <t>All hours are BMS team hours — mu_A/B/C are pricing rate bands only   |   01 April 2026</t>
  </si>
  <si>
    <t>IMPORTANT: The BMS department is entitled to the full revenue, hours and profit for all clusters shown. mu_A/B/C indicate which labour rate was used for pricing — they do NOT indicate who performed the work. All work within a BMS cluster is BMS scope.</t>
  </si>
  <si>
    <t xml:space="preserve">  E25-0062 (EL) — EL</t>
  </si>
  <si>
    <t>mu_A = Electrical (cost €27.46/hr, sell €33.81/hr [ML_Sum (matches derived)])  |  mu_B = ELV Installation (NAS Ltd) (cost €27.46/hr, sell €30.99/hr [Derived (sell÷markup)])  |  mu_C = Lightning Protection System (MCE Ltd) (cost €27.46/hr, sell €30.99/hr [Derived (sell÷markup)])</t>
  </si>
  <si>
    <t>Item</t>
  </si>
  <si>
    <t>Item Name</t>
  </si>
  <si>
    <t>Sell Total
(€)</t>
  </si>
  <si>
    <t>Mat Cost
(€)</t>
  </si>
  <si>
    <t>Lab Hrs
Total</t>
  </si>
  <si>
    <t>mu_A
Electrical</t>
  </si>
  <si>
    <t>mu_B
ELV Instal</t>
  </si>
  <si>
    <t xml:space="preserve">mu_C
Lightning </t>
  </si>
  <si>
    <t>Lab Cost
(€)</t>
  </si>
  <si>
    <t>Gross Profit
(€)</t>
  </si>
  <si>
    <t xml:space="preserve">Supply, install and connect Control Panel </t>
  </si>
  <si>
    <t>Supply, install and connect emergency shut</t>
  </si>
  <si>
    <t xml:space="preserve">Provision for the supply and installation </t>
  </si>
  <si>
    <t>SUBTOTAL (in-scope)</t>
  </si>
  <si>
    <t xml:space="preserve">  E25-0085 (ELM) — ELM</t>
  </si>
  <si>
    <t>mu_A = Electrical (cost €27.46/hr, sell €27.46/hr [ML_Sum (matches derived)])  |  mu_B = ECA (cost €27.46/hr, sell €27.46/hr [Derived (sell÷markup)])  |  mu_C = 0 (cost €27.46/hr, sell €27.46/hr [Derived (sell÷markup)])</t>
  </si>
  <si>
    <t>mu_B
ECA</t>
  </si>
  <si>
    <t>mu_C
0</t>
  </si>
  <si>
    <t>Supply and install differential pressure a</t>
  </si>
  <si>
    <t>Ventilation Control Panel 'VCP-B1U' as per</t>
  </si>
  <si>
    <t>Ventilation Control Panel 'VCP-B1L' as per</t>
  </si>
  <si>
    <t>Ventilation Control Panel 'VCP-GEN' as per</t>
  </si>
  <si>
    <t>Ventilation Control Panel 'VCP-OL0' as per</t>
  </si>
  <si>
    <t>Ventilation Control Panel 'VCP-WH', includ</t>
  </si>
  <si>
    <t>Ventilation Control Panel 'VCP-OL1' as per</t>
  </si>
  <si>
    <t xml:space="preserve">Ventilation Control Panel 'VCP-AB' as per </t>
  </si>
  <si>
    <t>Ventilation Control Panel 'VCP-OL2' as per</t>
  </si>
  <si>
    <t>Ventilation Control Panel 'VCP-OL3' as per</t>
  </si>
  <si>
    <t>Supply, install and connect Automatic Open</t>
  </si>
  <si>
    <t xml:space="preserve">  COMBINED BMS P&amp;L — Quintano Foods (excl. Maintenance)</t>
  </si>
  <si>
    <t>Combined Project Revenue</t>
  </si>
  <si>
    <t>BMS Revenue (in-scope)</t>
  </si>
  <si>
    <t>BMS Attribution %</t>
  </si>
  <si>
    <t>BMS Material Cost</t>
  </si>
  <si>
    <t>BMS Labour Hours — Total</t>
  </si>
  <si>
    <t xml:space="preserve">  Electrical (mu_A)</t>
  </si>
  <si>
    <t xml:space="preserve">  ELV Installation (NAS Ltd) (mu_B)</t>
  </si>
  <si>
    <t xml:space="preserve">  Lightning Protection System (MCE Ltd) (mu_C)</t>
  </si>
  <si>
    <t>BMS Labour Cost</t>
  </si>
  <si>
    <t>BMS Gross Profit</t>
  </si>
  <si>
    <t>BMS Gross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</si>
</sst>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rgb="FF7F3F00"/>
      <name val="Arial"/>
    </font>
    <font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9"/>
      <color rgb="FF1F3864"/>
      <name val="Arial"/>
    </font>
    <font>
      <sz val="8"/>
      <color rgb="FF595959"/>
      <name val="Arial"/>
    </font>
    <font>
      <b/>
      <sz val="11"/>
      <color rgb="FFFFFFFF"/>
      <name val="Arial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F5F5F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4" fontId="7" fillId="6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4" fontId="11" fillId="8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4" fontId="7" fillId="9" borderId="1" xfId="0" applyNumberFormat="1" applyFont="1" applyFill="1" applyBorder="1" applyAlignment="1">
      <alignment horizontal="right" vertical="center"/>
    </xf>
    <xf numFmtId="0" fontId="0" fillId="9" borderId="1" xfId="0" applyFill="1" applyBorder="1"/>
    <xf numFmtId="165" fontId="7" fillId="9" borderId="1" xfId="0" applyNumberFormat="1" applyFont="1" applyFill="1" applyBorder="1" applyAlignment="1">
      <alignment horizontal="right" vertical="center"/>
    </xf>
    <xf numFmtId="4" fontId="11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164" fontId="11" fillId="7" borderId="1" xfId="0" applyNumberFormat="1" applyFont="1" applyFill="1" applyBorder="1" applyAlignment="1">
      <alignment horizontal="right" vertical="center"/>
    </xf>
    <xf numFmtId="164" fontId="11" fillId="8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165" fontId="7" fillId="6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P25"/>
  <sheetViews>
    <sheetView showGridLines="0" workbookViewId="0">
      <pane ySplit="4" topLeftCell="A19" activePane="bottomLeft" state="frozen"/>
      <selection pane="bottomLeft" sqref="A1:P1"/>
    </sheetView>
  </sheetViews>
  <sheetFormatPr defaultRowHeight="14.4" x14ac:dyDescent="0.3"/>
  <cols>
    <col min="1" max="1" width="8" customWidth="1"/>
    <col min="2" max="2" width="22" customWidth="1"/>
    <col min="3" max="3" width="9" customWidth="1"/>
    <col min="4" max="4" width="14" customWidth="1"/>
    <col min="5" max="5" width="44" customWidth="1"/>
    <col min="6" max="6" width="14" customWidth="1"/>
    <col min="7" max="8" width="13" customWidth="1"/>
    <col min="9" max="9" width="11" customWidth="1"/>
    <col min="10" max="12" width="10" customWidth="1"/>
    <col min="13" max="13" width="13" customWidth="1"/>
    <col min="14" max="14" width="14" customWidth="1"/>
    <col min="15" max="15" width="9" customWidth="1"/>
    <col min="16" max="16" width="12" customWidth="1"/>
  </cols>
  <sheetData>
    <row r="1" spans="1:16" ht="22.0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22.05" customHeight="1" x14ac:dyDescent="0.3">
      <c r="A2" s="27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3.05" customHeight="1" x14ac:dyDescent="0.3">
      <c r="A3" s="26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ht="40.049999999999997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</row>
    <row r="5" spans="1:16" ht="22.05" customHeight="1" x14ac:dyDescent="0.3">
      <c r="A5" s="2">
        <v>1</v>
      </c>
      <c r="B5" s="3" t="s">
        <v>19</v>
      </c>
      <c r="C5" s="4">
        <v>468</v>
      </c>
      <c r="D5" s="4" t="s">
        <v>20</v>
      </c>
      <c r="E5" s="3" t="s">
        <v>21</v>
      </c>
      <c r="F5" s="4" t="s">
        <v>22</v>
      </c>
      <c r="G5" s="5">
        <v>4516.43</v>
      </c>
      <c r="H5" s="5">
        <v>2832.91</v>
      </c>
      <c r="I5" s="6">
        <v>27.29</v>
      </c>
      <c r="J5" s="6">
        <v>21.888000000000002</v>
      </c>
      <c r="K5" s="6">
        <v>0</v>
      </c>
      <c r="L5" s="6">
        <v>0</v>
      </c>
      <c r="M5" s="5">
        <v>834.97248000000002</v>
      </c>
      <c r="N5" s="5">
        <v>848.54752000000042</v>
      </c>
      <c r="O5" s="7">
        <v>0.18788014427324251</v>
      </c>
      <c r="P5" s="4" t="s">
        <v>23</v>
      </c>
    </row>
    <row r="6" spans="1:16" ht="22.05" customHeight="1" x14ac:dyDescent="0.3">
      <c r="A6" s="2">
        <v>2</v>
      </c>
      <c r="B6" s="3" t="s">
        <v>19</v>
      </c>
      <c r="C6" s="4">
        <v>496</v>
      </c>
      <c r="D6" s="4" t="s">
        <v>24</v>
      </c>
      <c r="E6" s="3" t="s">
        <v>25</v>
      </c>
      <c r="F6" s="4" t="s">
        <v>22</v>
      </c>
      <c r="G6" s="5">
        <v>881.44</v>
      </c>
      <c r="H6" s="5">
        <v>382.2</v>
      </c>
      <c r="I6" s="6">
        <v>12.15</v>
      </c>
      <c r="J6" s="6">
        <v>12.15</v>
      </c>
      <c r="K6" s="6">
        <v>0</v>
      </c>
      <c r="L6" s="6">
        <v>0</v>
      </c>
      <c r="M6" s="5">
        <v>333.63900000000001</v>
      </c>
      <c r="N6" s="5">
        <v>165.60100000000011</v>
      </c>
      <c r="O6" s="7">
        <v>0.18787552187329831</v>
      </c>
      <c r="P6" s="4" t="s">
        <v>23</v>
      </c>
    </row>
    <row r="7" spans="1:16" ht="22.05" customHeight="1" x14ac:dyDescent="0.3">
      <c r="A7" s="2">
        <v>3</v>
      </c>
      <c r="B7" s="3" t="s">
        <v>19</v>
      </c>
      <c r="C7" s="4">
        <v>3167</v>
      </c>
      <c r="D7" s="4" t="s">
        <v>26</v>
      </c>
      <c r="E7" s="3" t="s">
        <v>27</v>
      </c>
      <c r="F7" s="4" t="s">
        <v>22</v>
      </c>
      <c r="G7" s="5">
        <v>2400.14</v>
      </c>
      <c r="H7" s="5">
        <v>1200.1199999999999</v>
      </c>
      <c r="I7" s="6">
        <v>27.28</v>
      </c>
      <c r="J7" s="6">
        <v>27.279</v>
      </c>
      <c r="K7" s="6">
        <v>0</v>
      </c>
      <c r="L7" s="6">
        <v>0</v>
      </c>
      <c r="M7" s="5">
        <v>749.08134000000007</v>
      </c>
      <c r="N7" s="5">
        <v>450.93865999999991</v>
      </c>
      <c r="O7" s="7">
        <v>0.18788014865799491</v>
      </c>
      <c r="P7" s="4" t="s">
        <v>23</v>
      </c>
    </row>
    <row r="8" spans="1:16" ht="22.05" customHeight="1" x14ac:dyDescent="0.3">
      <c r="A8" s="2">
        <v>4</v>
      </c>
      <c r="B8" s="3" t="s">
        <v>19</v>
      </c>
      <c r="C8" s="4">
        <v>3608</v>
      </c>
      <c r="D8" s="4" t="s">
        <v>28</v>
      </c>
      <c r="E8" s="3" t="s">
        <v>29</v>
      </c>
      <c r="F8" s="4" t="s">
        <v>22</v>
      </c>
      <c r="G8" s="5">
        <v>267.02999999999997</v>
      </c>
      <c r="H8" s="5">
        <v>126.9</v>
      </c>
      <c r="I8" s="6">
        <v>3.28</v>
      </c>
      <c r="J8" s="6">
        <v>3.2759999999999998</v>
      </c>
      <c r="K8" s="6">
        <v>0</v>
      </c>
      <c r="L8" s="6">
        <v>0</v>
      </c>
      <c r="M8" s="5">
        <v>89.95895999999999</v>
      </c>
      <c r="N8" s="5">
        <v>50.171039999999977</v>
      </c>
      <c r="O8" s="7">
        <v>0.1878854061341422</v>
      </c>
      <c r="P8" s="4" t="s">
        <v>23</v>
      </c>
    </row>
    <row r="9" spans="1:16" ht="22.05" customHeight="1" x14ac:dyDescent="0.3">
      <c r="A9" s="2">
        <v>5</v>
      </c>
      <c r="B9" s="3" t="s">
        <v>19</v>
      </c>
      <c r="C9" s="4">
        <v>3820</v>
      </c>
      <c r="D9" s="4" t="s">
        <v>30</v>
      </c>
      <c r="E9" s="3" t="s">
        <v>27</v>
      </c>
      <c r="F9" s="4" t="s">
        <v>22</v>
      </c>
      <c r="G9" s="5">
        <v>1116.0999999999999</v>
      </c>
      <c r="H9" s="5">
        <v>624.41999999999996</v>
      </c>
      <c r="I9" s="6">
        <v>10.27</v>
      </c>
      <c r="J9" s="6">
        <v>10.269</v>
      </c>
      <c r="K9" s="6">
        <v>0</v>
      </c>
      <c r="L9" s="6">
        <v>0</v>
      </c>
      <c r="M9" s="5">
        <v>281.98674</v>
      </c>
      <c r="N9" s="5">
        <v>209.69326000000001</v>
      </c>
      <c r="O9" s="7">
        <v>0.18788035122300861</v>
      </c>
      <c r="P9" s="4" t="s">
        <v>23</v>
      </c>
    </row>
    <row r="10" spans="1:16" ht="22.05" customHeight="1" x14ac:dyDescent="0.3">
      <c r="A10" s="2">
        <v>6</v>
      </c>
      <c r="B10" s="3" t="s">
        <v>19</v>
      </c>
      <c r="C10" s="4">
        <v>4515</v>
      </c>
      <c r="D10" s="4" t="s">
        <v>31</v>
      </c>
      <c r="E10" s="3" t="s">
        <v>29</v>
      </c>
      <c r="F10" s="4" t="s">
        <v>22</v>
      </c>
      <c r="G10" s="5">
        <v>267.02999999999997</v>
      </c>
      <c r="H10" s="5">
        <v>126.9</v>
      </c>
      <c r="I10" s="6">
        <v>3.28</v>
      </c>
      <c r="J10" s="6">
        <v>3.2759999999999998</v>
      </c>
      <c r="K10" s="6">
        <v>0</v>
      </c>
      <c r="L10" s="6">
        <v>0</v>
      </c>
      <c r="M10" s="5">
        <v>89.95895999999999</v>
      </c>
      <c r="N10" s="5">
        <v>50.171039999999977</v>
      </c>
      <c r="O10" s="7">
        <v>0.1878854061341422</v>
      </c>
      <c r="P10" s="4" t="s">
        <v>23</v>
      </c>
    </row>
    <row r="11" spans="1:16" ht="22.05" customHeight="1" x14ac:dyDescent="0.3">
      <c r="A11" s="2">
        <v>7</v>
      </c>
      <c r="B11" s="3" t="s">
        <v>19</v>
      </c>
      <c r="C11" s="4">
        <v>4909</v>
      </c>
      <c r="D11" s="4" t="s">
        <v>32</v>
      </c>
      <c r="E11" s="3" t="s">
        <v>29</v>
      </c>
      <c r="F11" s="4" t="s">
        <v>22</v>
      </c>
      <c r="G11" s="5">
        <v>534.05999999999995</v>
      </c>
      <c r="H11" s="5">
        <v>253.8</v>
      </c>
      <c r="I11" s="6">
        <v>6.55</v>
      </c>
      <c r="J11" s="6">
        <v>6.5519999999999996</v>
      </c>
      <c r="K11" s="6">
        <v>0</v>
      </c>
      <c r="L11" s="6">
        <v>0</v>
      </c>
      <c r="M11" s="5">
        <v>179.91792000000001</v>
      </c>
      <c r="N11" s="5">
        <v>100.34208</v>
      </c>
      <c r="O11" s="7">
        <v>0.1878854061341422</v>
      </c>
      <c r="P11" s="4" t="s">
        <v>23</v>
      </c>
    </row>
    <row r="12" spans="1:16" ht="22.05" customHeight="1" x14ac:dyDescent="0.3">
      <c r="A12" s="2">
        <v>8</v>
      </c>
      <c r="B12" s="3" t="s">
        <v>33</v>
      </c>
      <c r="C12" s="4">
        <v>108</v>
      </c>
      <c r="D12" s="4" t="s">
        <v>34</v>
      </c>
      <c r="E12" s="3" t="s">
        <v>35</v>
      </c>
      <c r="F12" s="4" t="s">
        <v>22</v>
      </c>
      <c r="G12" s="5">
        <v>309.67</v>
      </c>
      <c r="H12" s="5">
        <v>114.98</v>
      </c>
      <c r="I12" s="6">
        <v>7.09</v>
      </c>
      <c r="J12" s="6">
        <v>7.09</v>
      </c>
      <c r="K12" s="6">
        <v>0</v>
      </c>
      <c r="L12" s="6">
        <v>0</v>
      </c>
      <c r="M12" s="5">
        <v>194.69139999999999</v>
      </c>
      <c r="N12" s="5">
        <v>-1.400000000018053E-3</v>
      </c>
      <c r="O12" s="7">
        <v>-4.5209416476186053E-6</v>
      </c>
      <c r="P12" s="4" t="s">
        <v>23</v>
      </c>
    </row>
    <row r="13" spans="1:16" ht="22.05" customHeight="1" x14ac:dyDescent="0.3">
      <c r="A13" s="2">
        <v>9</v>
      </c>
      <c r="B13" s="3" t="s">
        <v>33</v>
      </c>
      <c r="C13" s="4">
        <v>264</v>
      </c>
      <c r="D13" s="4" t="s">
        <v>36</v>
      </c>
      <c r="E13" s="3" t="s">
        <v>35</v>
      </c>
      <c r="F13" s="4" t="s">
        <v>22</v>
      </c>
      <c r="G13" s="5">
        <v>366.17</v>
      </c>
      <c r="H13" s="5">
        <v>137.15</v>
      </c>
      <c r="I13" s="6">
        <v>8.34</v>
      </c>
      <c r="J13" s="6">
        <v>8.34</v>
      </c>
      <c r="K13" s="6">
        <v>0</v>
      </c>
      <c r="L13" s="6">
        <v>0</v>
      </c>
      <c r="M13" s="5">
        <v>229.0164</v>
      </c>
      <c r="N13" s="5">
        <v>3.6000000000058212E-3</v>
      </c>
      <c r="O13" s="7">
        <v>9.8314990305208532E-6</v>
      </c>
      <c r="P13" s="4" t="s">
        <v>23</v>
      </c>
    </row>
    <row r="14" spans="1:16" ht="22.05" customHeight="1" x14ac:dyDescent="0.3">
      <c r="A14" s="2">
        <v>10</v>
      </c>
      <c r="B14" s="3" t="s">
        <v>33</v>
      </c>
      <c r="C14" s="4">
        <v>468</v>
      </c>
      <c r="D14" s="4" t="s">
        <v>37</v>
      </c>
      <c r="E14" s="3" t="s">
        <v>35</v>
      </c>
      <c r="F14" s="4" t="s">
        <v>22</v>
      </c>
      <c r="G14" s="5">
        <v>5678.32</v>
      </c>
      <c r="H14" s="5">
        <v>2040.4</v>
      </c>
      <c r="I14" s="6">
        <v>132.47999999999999</v>
      </c>
      <c r="J14" s="6">
        <v>132.47999999999999</v>
      </c>
      <c r="K14" s="6">
        <v>0</v>
      </c>
      <c r="L14" s="6">
        <v>0</v>
      </c>
      <c r="M14" s="5">
        <v>3637.9008000000008</v>
      </c>
      <c r="N14" s="5">
        <v>1.9199999998818381E-2</v>
      </c>
      <c r="O14" s="7">
        <v>3.3812817873628789E-6</v>
      </c>
      <c r="P14" s="4" t="s">
        <v>23</v>
      </c>
    </row>
    <row r="15" spans="1:16" ht="22.05" customHeight="1" x14ac:dyDescent="0.3">
      <c r="A15" s="2">
        <v>11</v>
      </c>
      <c r="B15" s="3" t="s">
        <v>33</v>
      </c>
      <c r="C15" s="4">
        <v>760</v>
      </c>
      <c r="D15" s="4" t="s">
        <v>38</v>
      </c>
      <c r="E15" s="3" t="s">
        <v>39</v>
      </c>
      <c r="F15" s="4" t="s">
        <v>22</v>
      </c>
      <c r="G15" s="5">
        <v>7319</v>
      </c>
      <c r="H15" s="5">
        <v>6294.47</v>
      </c>
      <c r="I15" s="6">
        <v>37.31</v>
      </c>
      <c r="J15" s="6">
        <v>21.31</v>
      </c>
      <c r="K15" s="6">
        <v>16</v>
      </c>
      <c r="L15" s="6">
        <v>0</v>
      </c>
      <c r="M15" s="5">
        <v>1024.5326</v>
      </c>
      <c r="N15" s="5">
        <v>-2.6000000002568409E-3</v>
      </c>
      <c r="O15" s="7">
        <v>-3.5523978689122029E-7</v>
      </c>
      <c r="P15" s="4" t="s">
        <v>23</v>
      </c>
    </row>
    <row r="16" spans="1:16" ht="22.05" customHeight="1" x14ac:dyDescent="0.3">
      <c r="A16" s="2">
        <v>12</v>
      </c>
      <c r="B16" s="3" t="s">
        <v>33</v>
      </c>
      <c r="C16" s="4">
        <v>806</v>
      </c>
      <c r="D16" s="4" t="s">
        <v>40</v>
      </c>
      <c r="E16" s="3" t="s">
        <v>41</v>
      </c>
      <c r="F16" s="4" t="s">
        <v>22</v>
      </c>
      <c r="G16" s="5">
        <v>8060.53</v>
      </c>
      <c r="H16" s="5">
        <v>7036</v>
      </c>
      <c r="I16" s="6">
        <v>37.31</v>
      </c>
      <c r="J16" s="6">
        <v>21.31</v>
      </c>
      <c r="K16" s="6">
        <v>16</v>
      </c>
      <c r="L16" s="6">
        <v>0</v>
      </c>
      <c r="M16" s="5">
        <v>1024.5326</v>
      </c>
      <c r="N16" s="5">
        <v>-2.6000000002568409E-3</v>
      </c>
      <c r="O16" s="7">
        <v>-3.2255943470923642E-7</v>
      </c>
      <c r="P16" s="4" t="s">
        <v>23</v>
      </c>
    </row>
    <row r="17" spans="1:16" ht="22.05" customHeight="1" x14ac:dyDescent="0.3">
      <c r="A17" s="2">
        <v>13</v>
      </c>
      <c r="B17" s="3" t="s">
        <v>33</v>
      </c>
      <c r="C17" s="4">
        <v>845</v>
      </c>
      <c r="D17" s="4" t="s">
        <v>42</v>
      </c>
      <c r="E17" s="3" t="s">
        <v>43</v>
      </c>
      <c r="F17" s="4" t="s">
        <v>22</v>
      </c>
      <c r="G17" s="5">
        <v>2653.76</v>
      </c>
      <c r="H17" s="5">
        <v>2279.48</v>
      </c>
      <c r="I17" s="6">
        <v>13.63</v>
      </c>
      <c r="J17" s="6">
        <v>8.6300000000000008</v>
      </c>
      <c r="K17" s="6">
        <v>5</v>
      </c>
      <c r="L17" s="6">
        <v>0</v>
      </c>
      <c r="M17" s="5">
        <v>374.27980000000002</v>
      </c>
      <c r="N17" s="5">
        <v>2.000000001771696E-4</v>
      </c>
      <c r="O17" s="7">
        <v>7.5364765531611584E-8</v>
      </c>
      <c r="P17" s="4" t="s">
        <v>23</v>
      </c>
    </row>
    <row r="18" spans="1:16" ht="22.05" customHeight="1" x14ac:dyDescent="0.3">
      <c r="A18" s="2">
        <v>14</v>
      </c>
      <c r="B18" s="3" t="s">
        <v>33</v>
      </c>
      <c r="C18" s="4">
        <v>868</v>
      </c>
      <c r="D18" s="4" t="s">
        <v>44</v>
      </c>
      <c r="E18" s="3" t="s">
        <v>45</v>
      </c>
      <c r="F18" s="4" t="s">
        <v>22</v>
      </c>
      <c r="G18" s="5">
        <v>1553.68</v>
      </c>
      <c r="H18" s="5">
        <v>1179.4000000000001</v>
      </c>
      <c r="I18" s="6">
        <v>13.63</v>
      </c>
      <c r="J18" s="6">
        <v>8.6300000000000008</v>
      </c>
      <c r="K18" s="6">
        <v>5</v>
      </c>
      <c r="L18" s="6">
        <v>0</v>
      </c>
      <c r="M18" s="5">
        <v>374.27980000000002</v>
      </c>
      <c r="N18" s="5">
        <v>1.9999999994979589E-4</v>
      </c>
      <c r="O18" s="7">
        <v>1.2872663608323199E-7</v>
      </c>
      <c r="P18" s="4" t="s">
        <v>23</v>
      </c>
    </row>
    <row r="19" spans="1:16" ht="22.05" customHeight="1" x14ac:dyDescent="0.3">
      <c r="A19" s="2">
        <v>15</v>
      </c>
      <c r="B19" s="3" t="s">
        <v>33</v>
      </c>
      <c r="C19" s="4">
        <v>891</v>
      </c>
      <c r="D19" s="4" t="s">
        <v>46</v>
      </c>
      <c r="E19" s="3" t="s">
        <v>47</v>
      </c>
      <c r="F19" s="4" t="s">
        <v>48</v>
      </c>
      <c r="G19" s="5">
        <v>8822.2000000000007</v>
      </c>
      <c r="H19" s="5">
        <v>7284.71</v>
      </c>
      <c r="I19" s="6">
        <v>55.99</v>
      </c>
      <c r="J19" s="6">
        <v>39.99</v>
      </c>
      <c r="K19" s="6">
        <v>16</v>
      </c>
      <c r="L19" s="6">
        <v>0</v>
      </c>
      <c r="M19" s="5">
        <v>1537.4854</v>
      </c>
      <c r="N19" s="5">
        <v>4.6000000006642949E-3</v>
      </c>
      <c r="O19" s="7">
        <v>5.2141189280046862E-7</v>
      </c>
      <c r="P19" s="4" t="s">
        <v>23</v>
      </c>
    </row>
    <row r="20" spans="1:16" ht="22.05" customHeight="1" x14ac:dyDescent="0.3">
      <c r="A20" s="2">
        <v>16</v>
      </c>
      <c r="B20" s="3" t="s">
        <v>33</v>
      </c>
      <c r="C20" s="4">
        <v>938</v>
      </c>
      <c r="D20" s="4" t="s">
        <v>49</v>
      </c>
      <c r="E20" s="3" t="s">
        <v>50</v>
      </c>
      <c r="F20" s="4" t="s">
        <v>22</v>
      </c>
      <c r="G20" s="5">
        <v>1374.75</v>
      </c>
      <c r="H20" s="5">
        <v>1000.47</v>
      </c>
      <c r="I20" s="6">
        <v>13.63</v>
      </c>
      <c r="J20" s="6">
        <v>8.6300000000000008</v>
      </c>
      <c r="K20" s="6">
        <v>5</v>
      </c>
      <c r="L20" s="6">
        <v>0</v>
      </c>
      <c r="M20" s="5">
        <v>374.27980000000002</v>
      </c>
      <c r="N20" s="5">
        <v>1.9999999994979589E-4</v>
      </c>
      <c r="O20" s="7">
        <v>1.4548099650830761E-7</v>
      </c>
      <c r="P20" s="4" t="s">
        <v>23</v>
      </c>
    </row>
    <row r="21" spans="1:16" ht="22.05" customHeight="1" x14ac:dyDescent="0.3">
      <c r="A21" s="2">
        <v>17</v>
      </c>
      <c r="B21" s="3" t="s">
        <v>33</v>
      </c>
      <c r="C21" s="4">
        <v>961</v>
      </c>
      <c r="D21" s="4" t="s">
        <v>51</v>
      </c>
      <c r="E21" s="3" t="s">
        <v>52</v>
      </c>
      <c r="F21" s="4" t="s">
        <v>22</v>
      </c>
      <c r="G21" s="5">
        <v>1521.35</v>
      </c>
      <c r="H21" s="5">
        <v>1147.07</v>
      </c>
      <c r="I21" s="6">
        <v>13.63</v>
      </c>
      <c r="J21" s="6">
        <v>8.6300000000000008</v>
      </c>
      <c r="K21" s="6">
        <v>5</v>
      </c>
      <c r="L21" s="6">
        <v>0</v>
      </c>
      <c r="M21" s="5">
        <v>374.27980000000002</v>
      </c>
      <c r="N21" s="5">
        <v>1.9999999994979589E-4</v>
      </c>
      <c r="O21" s="7">
        <v>1.3146218815512271E-7</v>
      </c>
      <c r="P21" s="4" t="s">
        <v>23</v>
      </c>
    </row>
    <row r="22" spans="1:16" ht="22.05" customHeight="1" x14ac:dyDescent="0.3">
      <c r="A22" s="2">
        <v>18</v>
      </c>
      <c r="B22" s="3" t="s">
        <v>33</v>
      </c>
      <c r="C22" s="4">
        <v>984</v>
      </c>
      <c r="D22" s="4" t="s">
        <v>53</v>
      </c>
      <c r="E22" s="3" t="s">
        <v>54</v>
      </c>
      <c r="F22" s="4" t="s">
        <v>22</v>
      </c>
      <c r="G22" s="5">
        <v>1381.04</v>
      </c>
      <c r="H22" s="5">
        <v>1034.22</v>
      </c>
      <c r="I22" s="6">
        <v>12.63</v>
      </c>
      <c r="J22" s="6">
        <v>7.629999999999999</v>
      </c>
      <c r="K22" s="6">
        <v>5</v>
      </c>
      <c r="L22" s="6">
        <v>0</v>
      </c>
      <c r="M22" s="5">
        <v>346.81979999999999</v>
      </c>
      <c r="N22" s="5">
        <v>1.9999999994979589E-4</v>
      </c>
      <c r="O22" s="7">
        <v>1.4481839769289511E-7</v>
      </c>
      <c r="P22" s="4" t="s">
        <v>23</v>
      </c>
    </row>
    <row r="23" spans="1:16" ht="22.05" customHeight="1" x14ac:dyDescent="0.3">
      <c r="A23" s="2">
        <v>19</v>
      </c>
      <c r="B23" s="3" t="s">
        <v>33</v>
      </c>
      <c r="C23" s="4">
        <v>1007</v>
      </c>
      <c r="D23" s="4" t="s">
        <v>55</v>
      </c>
      <c r="E23" s="3" t="s">
        <v>56</v>
      </c>
      <c r="F23" s="4" t="s">
        <v>22</v>
      </c>
      <c r="G23" s="5">
        <v>1442.25</v>
      </c>
      <c r="H23" s="5">
        <v>1067.97</v>
      </c>
      <c r="I23" s="6">
        <v>13.63</v>
      </c>
      <c r="J23" s="6">
        <v>8.6300000000000008</v>
      </c>
      <c r="K23" s="6">
        <v>5</v>
      </c>
      <c r="L23" s="6">
        <v>0</v>
      </c>
      <c r="M23" s="5">
        <v>374.27980000000002</v>
      </c>
      <c r="N23" s="5">
        <v>1.9999999994979589E-4</v>
      </c>
      <c r="O23" s="7">
        <v>1.386722135203993E-7</v>
      </c>
      <c r="P23" s="4" t="s">
        <v>23</v>
      </c>
    </row>
    <row r="24" spans="1:16" ht="22.05" customHeight="1" x14ac:dyDescent="0.3">
      <c r="A24" s="2">
        <v>20</v>
      </c>
      <c r="B24" s="3" t="s">
        <v>33</v>
      </c>
      <c r="C24" s="4">
        <v>1034</v>
      </c>
      <c r="D24" s="4" t="s">
        <v>57</v>
      </c>
      <c r="E24" s="3" t="s">
        <v>58</v>
      </c>
      <c r="F24" s="4" t="s">
        <v>48</v>
      </c>
      <c r="G24" s="5">
        <v>638.92999999999995</v>
      </c>
      <c r="H24" s="5">
        <v>197.1</v>
      </c>
      <c r="I24" s="6">
        <v>16.09</v>
      </c>
      <c r="J24" s="6">
        <v>16.09</v>
      </c>
      <c r="K24" s="6">
        <v>0</v>
      </c>
      <c r="L24" s="6">
        <v>0</v>
      </c>
      <c r="M24" s="5">
        <v>441.83140000000009</v>
      </c>
      <c r="N24" s="5">
        <v>-1.400000000160162E-3</v>
      </c>
      <c r="O24" s="7">
        <v>-2.1911633514785059E-6</v>
      </c>
      <c r="P24" s="4" t="s">
        <v>23</v>
      </c>
    </row>
    <row r="25" spans="1:16" ht="18" customHeight="1" x14ac:dyDescent="0.3">
      <c r="A25" s="25" t="s">
        <v>59</v>
      </c>
      <c r="B25" s="24"/>
      <c r="C25" s="24"/>
      <c r="D25" s="24"/>
      <c r="E25" s="24"/>
      <c r="F25" s="24"/>
      <c r="G25" s="8">
        <f t="shared" ref="G25:N25" si="0">SUM(G5:G24)</f>
        <v>51103.88</v>
      </c>
      <c r="H25" s="8">
        <f t="shared" si="0"/>
        <v>36360.67</v>
      </c>
      <c r="I25" s="9">
        <f t="shared" si="0"/>
        <v>465.48999999999995</v>
      </c>
      <c r="J25" s="9">
        <f t="shared" si="0"/>
        <v>382.07999999999993</v>
      </c>
      <c r="K25" s="9">
        <f t="shared" si="0"/>
        <v>78</v>
      </c>
      <c r="L25" s="9">
        <f t="shared" si="0"/>
        <v>0</v>
      </c>
      <c r="M25" s="8">
        <f t="shared" si="0"/>
        <v>12867.724800000002</v>
      </c>
      <c r="N25" s="8">
        <f t="shared" si="0"/>
        <v>1875.4851999999989</v>
      </c>
      <c r="O25" s="10">
        <f>IF(G25&gt;0,N25/G25,0)</f>
        <v>3.669946782905719E-2</v>
      </c>
    </row>
  </sheetData>
  <mergeCells count="4">
    <mergeCell ref="A1:P1"/>
    <mergeCell ref="A25:F25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J45"/>
  <sheetViews>
    <sheetView showGridLines="0" tabSelected="1" workbookViewId="0">
      <pane ySplit="3" topLeftCell="A22" activePane="bottomLeft" state="frozen"/>
      <selection pane="bottomLeft" sqref="A1:J1"/>
    </sheetView>
  </sheetViews>
  <sheetFormatPr defaultRowHeight="14.4" x14ac:dyDescent="0.3"/>
  <cols>
    <col min="1" max="1" width="10" customWidth="1"/>
    <col min="2" max="2" width="42" customWidth="1"/>
    <col min="3" max="4" width="13" customWidth="1"/>
    <col min="5" max="5" width="11" customWidth="1"/>
    <col min="6" max="8" width="10" customWidth="1"/>
    <col min="9" max="10" width="13" customWidth="1"/>
  </cols>
  <sheetData>
    <row r="1" spans="1:10" ht="22.05" customHeight="1" x14ac:dyDescent="0.3">
      <c r="A1" s="23" t="s">
        <v>60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2.05" customHeight="1" x14ac:dyDescent="0.3">
      <c r="A2" s="27" t="s">
        <v>61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24" customHeight="1" x14ac:dyDescent="0.3">
      <c r="A3" s="35" t="s">
        <v>62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ht="16.05" customHeight="1" x14ac:dyDescent="0.3">
      <c r="A4" s="31" t="s">
        <v>63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ht="13.05" customHeight="1" x14ac:dyDescent="0.3">
      <c r="A5" s="28" t="s">
        <v>64</v>
      </c>
      <c r="B5" s="24"/>
      <c r="C5" s="24"/>
      <c r="D5" s="24"/>
      <c r="E5" s="24"/>
      <c r="F5" s="24"/>
      <c r="G5" s="24"/>
      <c r="H5" s="24"/>
      <c r="I5" s="24"/>
      <c r="J5" s="24"/>
    </row>
    <row r="6" spans="1:10" ht="36" customHeight="1" x14ac:dyDescent="0.3">
      <c r="A6" s="1" t="s">
        <v>65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71</v>
      </c>
      <c r="H6" s="1" t="s">
        <v>72</v>
      </c>
      <c r="I6" s="1" t="s">
        <v>73</v>
      </c>
      <c r="J6" s="1" t="s">
        <v>74</v>
      </c>
    </row>
    <row r="7" spans="1:10" ht="13.95" customHeight="1" x14ac:dyDescent="0.3">
      <c r="A7" s="2" t="s">
        <v>20</v>
      </c>
      <c r="B7" s="3" t="s">
        <v>75</v>
      </c>
      <c r="C7" s="5">
        <v>4516.43</v>
      </c>
      <c r="D7" s="5">
        <v>2832.91</v>
      </c>
      <c r="E7" s="6">
        <v>27.29</v>
      </c>
      <c r="F7" s="6">
        <v>21.888000000000002</v>
      </c>
      <c r="G7" s="6">
        <v>0</v>
      </c>
      <c r="H7" s="6">
        <v>0</v>
      </c>
      <c r="I7" s="5">
        <v>834.97248000000002</v>
      </c>
      <c r="J7" s="5">
        <v>848.54752000000042</v>
      </c>
    </row>
    <row r="8" spans="1:10" ht="13.95" customHeight="1" x14ac:dyDescent="0.3">
      <c r="A8" s="2" t="s">
        <v>24</v>
      </c>
      <c r="B8" s="3" t="s">
        <v>75</v>
      </c>
      <c r="C8" s="5">
        <v>881.44</v>
      </c>
      <c r="D8" s="5">
        <v>382.2</v>
      </c>
      <c r="E8" s="6">
        <v>12.15</v>
      </c>
      <c r="F8" s="6">
        <v>12.15</v>
      </c>
      <c r="G8" s="6">
        <v>0</v>
      </c>
      <c r="H8" s="6">
        <v>0</v>
      </c>
      <c r="I8" s="5">
        <v>333.63900000000001</v>
      </c>
      <c r="J8" s="5">
        <v>165.60100000000011</v>
      </c>
    </row>
    <row r="9" spans="1:10" ht="13.95" customHeight="1" x14ac:dyDescent="0.3">
      <c r="A9" s="2" t="s">
        <v>26</v>
      </c>
      <c r="B9" s="3" t="s">
        <v>76</v>
      </c>
      <c r="C9" s="5">
        <v>2400.14</v>
      </c>
      <c r="D9" s="5">
        <v>1200.1199999999999</v>
      </c>
      <c r="E9" s="6">
        <v>27.28</v>
      </c>
      <c r="F9" s="6">
        <v>27.279</v>
      </c>
      <c r="G9" s="6">
        <v>0</v>
      </c>
      <c r="H9" s="6">
        <v>0</v>
      </c>
      <c r="I9" s="5">
        <v>749.08134000000007</v>
      </c>
      <c r="J9" s="5">
        <v>450.93865999999991</v>
      </c>
    </row>
    <row r="10" spans="1:10" ht="13.95" customHeight="1" x14ac:dyDescent="0.3">
      <c r="A10" s="2" t="s">
        <v>28</v>
      </c>
      <c r="B10" s="3" t="s">
        <v>77</v>
      </c>
      <c r="C10" s="5">
        <v>267.02999999999997</v>
      </c>
      <c r="D10" s="5">
        <v>126.9</v>
      </c>
      <c r="E10" s="6">
        <v>3.28</v>
      </c>
      <c r="F10" s="6">
        <v>3.2759999999999998</v>
      </c>
      <c r="G10" s="6">
        <v>0</v>
      </c>
      <c r="H10" s="6">
        <v>0</v>
      </c>
      <c r="I10" s="5">
        <v>89.95895999999999</v>
      </c>
      <c r="J10" s="5">
        <v>50.171039999999977</v>
      </c>
    </row>
    <row r="11" spans="1:10" ht="13.95" customHeight="1" x14ac:dyDescent="0.3">
      <c r="A11" s="2" t="s">
        <v>30</v>
      </c>
      <c r="B11" s="3" t="s">
        <v>76</v>
      </c>
      <c r="C11" s="5">
        <v>1116.0999999999999</v>
      </c>
      <c r="D11" s="5">
        <v>624.41999999999996</v>
      </c>
      <c r="E11" s="6">
        <v>10.27</v>
      </c>
      <c r="F11" s="6">
        <v>10.269</v>
      </c>
      <c r="G11" s="6">
        <v>0</v>
      </c>
      <c r="H11" s="6">
        <v>0</v>
      </c>
      <c r="I11" s="5">
        <v>281.98674</v>
      </c>
      <c r="J11" s="5">
        <v>209.69326000000001</v>
      </c>
    </row>
    <row r="12" spans="1:10" ht="13.95" customHeight="1" x14ac:dyDescent="0.3">
      <c r="A12" s="2" t="s">
        <v>31</v>
      </c>
      <c r="B12" s="3" t="s">
        <v>77</v>
      </c>
      <c r="C12" s="5">
        <v>267.02999999999997</v>
      </c>
      <c r="D12" s="5">
        <v>126.9</v>
      </c>
      <c r="E12" s="6">
        <v>3.28</v>
      </c>
      <c r="F12" s="6">
        <v>3.2759999999999998</v>
      </c>
      <c r="G12" s="6">
        <v>0</v>
      </c>
      <c r="H12" s="6">
        <v>0</v>
      </c>
      <c r="I12" s="5">
        <v>89.95895999999999</v>
      </c>
      <c r="J12" s="5">
        <v>50.171039999999977</v>
      </c>
    </row>
    <row r="13" spans="1:10" ht="13.95" customHeight="1" x14ac:dyDescent="0.3">
      <c r="A13" s="2" t="s">
        <v>32</v>
      </c>
      <c r="B13" s="3" t="s">
        <v>77</v>
      </c>
      <c r="C13" s="5">
        <v>534.05999999999995</v>
      </c>
      <c r="D13" s="5">
        <v>253.8</v>
      </c>
      <c r="E13" s="6">
        <v>6.55</v>
      </c>
      <c r="F13" s="6">
        <v>6.5519999999999996</v>
      </c>
      <c r="G13" s="6">
        <v>0</v>
      </c>
      <c r="H13" s="6">
        <v>0</v>
      </c>
      <c r="I13" s="5">
        <v>179.91792000000001</v>
      </c>
      <c r="J13" s="5">
        <v>100.34208</v>
      </c>
    </row>
    <row r="14" spans="1:10" ht="16.05" customHeight="1" x14ac:dyDescent="0.3">
      <c r="A14" s="11" t="s">
        <v>78</v>
      </c>
      <c r="B14" s="11" t="str">
        <f>IF(C14&gt;0,"Margin "&amp;TEXT(J14/C14,"0.0%"),"Margin —")</f>
        <v>Margin 18.8%</v>
      </c>
      <c r="C14" s="8">
        <f t="shared" ref="C14:J14" si="0">SUM(C7:C13)</f>
        <v>9982.23</v>
      </c>
      <c r="D14" s="8">
        <f t="shared" si="0"/>
        <v>5547.2499999999991</v>
      </c>
      <c r="E14" s="9">
        <f t="shared" si="0"/>
        <v>90.1</v>
      </c>
      <c r="F14" s="9">
        <f t="shared" si="0"/>
        <v>84.69</v>
      </c>
      <c r="G14" s="9">
        <f t="shared" si="0"/>
        <v>0</v>
      </c>
      <c r="H14" s="9">
        <f t="shared" si="0"/>
        <v>0</v>
      </c>
      <c r="I14" s="8">
        <f t="shared" si="0"/>
        <v>2559.5153999999998</v>
      </c>
      <c r="J14" s="8">
        <f t="shared" si="0"/>
        <v>1875.4646000000002</v>
      </c>
    </row>
    <row r="16" spans="1:10" ht="16.05" customHeight="1" x14ac:dyDescent="0.3">
      <c r="A16" s="31" t="s">
        <v>79</v>
      </c>
      <c r="B16" s="24"/>
      <c r="C16" s="24"/>
      <c r="D16" s="24"/>
      <c r="E16" s="24"/>
      <c r="F16" s="24"/>
      <c r="G16" s="24"/>
      <c r="H16" s="24"/>
      <c r="I16" s="24"/>
      <c r="J16" s="24"/>
    </row>
    <row r="17" spans="1:10" ht="13.05" customHeight="1" x14ac:dyDescent="0.3">
      <c r="A17" s="28" t="s">
        <v>80</v>
      </c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36" customHeight="1" x14ac:dyDescent="0.3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69</v>
      </c>
      <c r="F18" s="1" t="s">
        <v>70</v>
      </c>
      <c r="G18" s="1" t="s">
        <v>81</v>
      </c>
      <c r="H18" s="1" t="s">
        <v>82</v>
      </c>
      <c r="I18" s="1" t="s">
        <v>73</v>
      </c>
      <c r="J18" s="1" t="s">
        <v>74</v>
      </c>
    </row>
    <row r="19" spans="1:10" ht="13.95" customHeight="1" x14ac:dyDescent="0.3">
      <c r="A19" s="2" t="s">
        <v>34</v>
      </c>
      <c r="B19" s="3" t="s">
        <v>83</v>
      </c>
      <c r="C19" s="5">
        <v>309.67</v>
      </c>
      <c r="D19" s="5">
        <v>114.98</v>
      </c>
      <c r="E19" s="6">
        <v>7.09</v>
      </c>
      <c r="F19" s="6">
        <v>7.09</v>
      </c>
      <c r="G19" s="6">
        <v>0</v>
      </c>
      <c r="H19" s="6">
        <v>0</v>
      </c>
      <c r="I19" s="5">
        <v>194.69139999999999</v>
      </c>
      <c r="J19" s="5">
        <v>-1.400000000018053E-3</v>
      </c>
    </row>
    <row r="20" spans="1:10" ht="13.95" customHeight="1" x14ac:dyDescent="0.3">
      <c r="A20" s="2" t="s">
        <v>36</v>
      </c>
      <c r="B20" s="3" t="s">
        <v>83</v>
      </c>
      <c r="C20" s="5">
        <v>366.17</v>
      </c>
      <c r="D20" s="5">
        <v>137.15</v>
      </c>
      <c r="E20" s="6">
        <v>8.34</v>
      </c>
      <c r="F20" s="6">
        <v>8.34</v>
      </c>
      <c r="G20" s="6">
        <v>0</v>
      </c>
      <c r="H20" s="6">
        <v>0</v>
      </c>
      <c r="I20" s="5">
        <v>229.0164</v>
      </c>
      <c r="J20" s="5">
        <v>3.6000000000058212E-3</v>
      </c>
    </row>
    <row r="21" spans="1:10" ht="13.95" customHeight="1" x14ac:dyDescent="0.3">
      <c r="A21" s="2" t="s">
        <v>37</v>
      </c>
      <c r="B21" s="3" t="s">
        <v>83</v>
      </c>
      <c r="C21" s="5">
        <v>5678.32</v>
      </c>
      <c r="D21" s="5">
        <v>2040.4</v>
      </c>
      <c r="E21" s="6">
        <v>132.47999999999999</v>
      </c>
      <c r="F21" s="6">
        <v>132.47999999999999</v>
      </c>
      <c r="G21" s="6">
        <v>0</v>
      </c>
      <c r="H21" s="6">
        <v>0</v>
      </c>
      <c r="I21" s="5">
        <v>3637.9008000000008</v>
      </c>
      <c r="J21" s="5">
        <v>1.9199999998818381E-2</v>
      </c>
    </row>
    <row r="22" spans="1:10" ht="13.95" customHeight="1" x14ac:dyDescent="0.3">
      <c r="A22" s="2" t="s">
        <v>38</v>
      </c>
      <c r="B22" s="3" t="s">
        <v>84</v>
      </c>
      <c r="C22" s="5">
        <v>7319</v>
      </c>
      <c r="D22" s="5">
        <v>6294.47</v>
      </c>
      <c r="E22" s="6">
        <v>37.31</v>
      </c>
      <c r="F22" s="6">
        <v>21.31</v>
      </c>
      <c r="G22" s="6">
        <v>16</v>
      </c>
      <c r="H22" s="6">
        <v>0</v>
      </c>
      <c r="I22" s="5">
        <v>1024.5326</v>
      </c>
      <c r="J22" s="5">
        <v>-2.6000000002568409E-3</v>
      </c>
    </row>
    <row r="23" spans="1:10" ht="13.95" customHeight="1" x14ac:dyDescent="0.3">
      <c r="A23" s="2" t="s">
        <v>40</v>
      </c>
      <c r="B23" s="3" t="s">
        <v>85</v>
      </c>
      <c r="C23" s="5">
        <v>8060.53</v>
      </c>
      <c r="D23" s="5">
        <v>7036</v>
      </c>
      <c r="E23" s="6">
        <v>37.31</v>
      </c>
      <c r="F23" s="6">
        <v>21.31</v>
      </c>
      <c r="G23" s="6">
        <v>16</v>
      </c>
      <c r="H23" s="6">
        <v>0</v>
      </c>
      <c r="I23" s="5">
        <v>1024.5326</v>
      </c>
      <c r="J23" s="5">
        <v>-2.6000000002568409E-3</v>
      </c>
    </row>
    <row r="24" spans="1:10" ht="13.95" customHeight="1" x14ac:dyDescent="0.3">
      <c r="A24" s="2" t="s">
        <v>42</v>
      </c>
      <c r="B24" s="3" t="s">
        <v>86</v>
      </c>
      <c r="C24" s="5">
        <v>2653.76</v>
      </c>
      <c r="D24" s="5">
        <v>2279.48</v>
      </c>
      <c r="E24" s="6">
        <v>13.63</v>
      </c>
      <c r="F24" s="6">
        <v>8.6300000000000008</v>
      </c>
      <c r="G24" s="6">
        <v>5</v>
      </c>
      <c r="H24" s="6">
        <v>0</v>
      </c>
      <c r="I24" s="5">
        <v>374.27980000000002</v>
      </c>
      <c r="J24" s="5">
        <v>2.000000001771696E-4</v>
      </c>
    </row>
    <row r="25" spans="1:10" ht="13.95" customHeight="1" x14ac:dyDescent="0.3">
      <c r="A25" s="2" t="s">
        <v>44</v>
      </c>
      <c r="B25" s="3" t="s">
        <v>87</v>
      </c>
      <c r="C25" s="5">
        <v>1553.68</v>
      </c>
      <c r="D25" s="5">
        <v>1179.4000000000001</v>
      </c>
      <c r="E25" s="6">
        <v>13.63</v>
      </c>
      <c r="F25" s="6">
        <v>8.6300000000000008</v>
      </c>
      <c r="G25" s="6">
        <v>5</v>
      </c>
      <c r="H25" s="6">
        <v>0</v>
      </c>
      <c r="I25" s="5">
        <v>374.27980000000002</v>
      </c>
      <c r="J25" s="5">
        <v>1.9999999994979589E-4</v>
      </c>
    </row>
    <row r="26" spans="1:10" ht="13.95" customHeight="1" x14ac:dyDescent="0.3">
      <c r="A26" s="2" t="s">
        <v>46</v>
      </c>
      <c r="B26" s="3" t="s">
        <v>88</v>
      </c>
      <c r="C26" s="5">
        <v>8822.2000000000007</v>
      </c>
      <c r="D26" s="5">
        <v>7284.71</v>
      </c>
      <c r="E26" s="6">
        <v>55.99</v>
      </c>
      <c r="F26" s="6">
        <v>39.99</v>
      </c>
      <c r="G26" s="6">
        <v>16</v>
      </c>
      <c r="H26" s="6">
        <v>0</v>
      </c>
      <c r="I26" s="5">
        <v>1537.4854</v>
      </c>
      <c r="J26" s="5">
        <v>4.6000000006642949E-3</v>
      </c>
    </row>
    <row r="27" spans="1:10" ht="13.95" customHeight="1" x14ac:dyDescent="0.3">
      <c r="A27" s="2" t="s">
        <v>49</v>
      </c>
      <c r="B27" s="3" t="s">
        <v>89</v>
      </c>
      <c r="C27" s="5">
        <v>1374.75</v>
      </c>
      <c r="D27" s="5">
        <v>1000.47</v>
      </c>
      <c r="E27" s="6">
        <v>13.63</v>
      </c>
      <c r="F27" s="6">
        <v>8.6300000000000008</v>
      </c>
      <c r="G27" s="6">
        <v>5</v>
      </c>
      <c r="H27" s="6">
        <v>0</v>
      </c>
      <c r="I27" s="5">
        <v>374.27980000000002</v>
      </c>
      <c r="J27" s="5">
        <v>1.9999999994979589E-4</v>
      </c>
    </row>
    <row r="28" spans="1:10" ht="13.95" customHeight="1" x14ac:dyDescent="0.3">
      <c r="A28" s="2" t="s">
        <v>51</v>
      </c>
      <c r="B28" s="3" t="s">
        <v>90</v>
      </c>
      <c r="C28" s="5">
        <v>1521.35</v>
      </c>
      <c r="D28" s="5">
        <v>1147.07</v>
      </c>
      <c r="E28" s="6">
        <v>13.63</v>
      </c>
      <c r="F28" s="6">
        <v>8.6300000000000008</v>
      </c>
      <c r="G28" s="6">
        <v>5</v>
      </c>
      <c r="H28" s="6">
        <v>0</v>
      </c>
      <c r="I28" s="5">
        <v>374.27980000000002</v>
      </c>
      <c r="J28" s="5">
        <v>1.9999999994979589E-4</v>
      </c>
    </row>
    <row r="29" spans="1:10" ht="13.95" customHeight="1" x14ac:dyDescent="0.3">
      <c r="A29" s="2" t="s">
        <v>53</v>
      </c>
      <c r="B29" s="3" t="s">
        <v>91</v>
      </c>
      <c r="C29" s="5">
        <v>1381.04</v>
      </c>
      <c r="D29" s="5">
        <v>1034.22</v>
      </c>
      <c r="E29" s="6">
        <v>12.63</v>
      </c>
      <c r="F29" s="6">
        <v>7.629999999999999</v>
      </c>
      <c r="G29" s="6">
        <v>5</v>
      </c>
      <c r="H29" s="6">
        <v>0</v>
      </c>
      <c r="I29" s="5">
        <v>346.81979999999999</v>
      </c>
      <c r="J29" s="5">
        <v>1.9999999994979589E-4</v>
      </c>
    </row>
    <row r="30" spans="1:10" ht="13.95" customHeight="1" x14ac:dyDescent="0.3">
      <c r="A30" s="2" t="s">
        <v>55</v>
      </c>
      <c r="B30" s="3" t="s">
        <v>92</v>
      </c>
      <c r="C30" s="5">
        <v>1442.25</v>
      </c>
      <c r="D30" s="5">
        <v>1067.97</v>
      </c>
      <c r="E30" s="6">
        <v>13.63</v>
      </c>
      <c r="F30" s="6">
        <v>8.6300000000000008</v>
      </c>
      <c r="G30" s="6">
        <v>5</v>
      </c>
      <c r="H30" s="6">
        <v>0</v>
      </c>
      <c r="I30" s="5">
        <v>374.27980000000002</v>
      </c>
      <c r="J30" s="5">
        <v>1.9999999994979589E-4</v>
      </c>
    </row>
    <row r="31" spans="1:10" ht="13.95" customHeight="1" x14ac:dyDescent="0.3">
      <c r="A31" s="2" t="s">
        <v>57</v>
      </c>
      <c r="B31" s="3" t="s">
        <v>93</v>
      </c>
      <c r="C31" s="5">
        <v>638.92999999999995</v>
      </c>
      <c r="D31" s="5">
        <v>197.1</v>
      </c>
      <c r="E31" s="6">
        <v>16.09</v>
      </c>
      <c r="F31" s="6">
        <v>16.09</v>
      </c>
      <c r="G31" s="6">
        <v>0</v>
      </c>
      <c r="H31" s="6">
        <v>0</v>
      </c>
      <c r="I31" s="5">
        <v>441.83140000000009</v>
      </c>
      <c r="J31" s="5">
        <v>-1.400000000160162E-3</v>
      </c>
    </row>
    <row r="32" spans="1:10" ht="16.05" customHeight="1" x14ac:dyDescent="0.3">
      <c r="A32" s="11" t="s">
        <v>78</v>
      </c>
      <c r="B32" s="11" t="str">
        <f>IF(C32&gt;0,"Margin "&amp;TEXT(J32/C32,"0.0%"),"Margin —")</f>
        <v>Margin 0.0%</v>
      </c>
      <c r="C32" s="8">
        <f t="shared" ref="C32:J32" si="1">SUM(C19:C31)</f>
        <v>41121.65</v>
      </c>
      <c r="D32" s="8">
        <f t="shared" si="1"/>
        <v>30813.420000000002</v>
      </c>
      <c r="E32" s="9">
        <f t="shared" si="1"/>
        <v>375.38999999999993</v>
      </c>
      <c r="F32" s="9">
        <f t="shared" si="1"/>
        <v>297.39</v>
      </c>
      <c r="G32" s="9">
        <f t="shared" si="1"/>
        <v>78</v>
      </c>
      <c r="H32" s="9">
        <f t="shared" si="1"/>
        <v>0</v>
      </c>
      <c r="I32" s="8">
        <f t="shared" si="1"/>
        <v>10308.209400000002</v>
      </c>
      <c r="J32" s="8">
        <f t="shared" si="1"/>
        <v>2.0599999998722748E-2</v>
      </c>
    </row>
    <row r="34" spans="1:10" ht="19.95" customHeight="1" x14ac:dyDescent="0.3">
      <c r="A34" s="33" t="s">
        <v>94</v>
      </c>
      <c r="B34" s="24"/>
      <c r="C34" s="24"/>
      <c r="D34" s="24"/>
      <c r="E34" s="24"/>
      <c r="F34" s="24"/>
      <c r="G34" s="24"/>
      <c r="H34" s="24"/>
      <c r="I34" s="24"/>
      <c r="J34" s="24"/>
    </row>
    <row r="35" spans="1:10" ht="16.05" customHeight="1" x14ac:dyDescent="0.3">
      <c r="A35" s="32" t="s">
        <v>95</v>
      </c>
      <c r="B35" s="24"/>
      <c r="C35" s="12">
        <f>1558239.80999999</f>
        <v>1558239.80999999</v>
      </c>
      <c r="D35" s="13"/>
      <c r="E35" s="13"/>
      <c r="F35" s="13"/>
      <c r="G35" s="13"/>
      <c r="H35" s="13"/>
      <c r="I35" s="13"/>
      <c r="J35" s="13"/>
    </row>
    <row r="36" spans="1:10" ht="16.05" customHeight="1" x14ac:dyDescent="0.3">
      <c r="A36" s="30" t="s">
        <v>96</v>
      </c>
      <c r="B36" s="24"/>
      <c r="C36" s="14">
        <f>C14+C32</f>
        <v>51103.880000000005</v>
      </c>
      <c r="D36" s="15"/>
      <c r="E36" s="15"/>
      <c r="F36" s="15"/>
      <c r="G36" s="15"/>
      <c r="H36" s="15"/>
      <c r="I36" s="15"/>
      <c r="J36" s="15"/>
    </row>
    <row r="37" spans="1:10" ht="16.05" customHeight="1" x14ac:dyDescent="0.3">
      <c r="A37" s="30" t="s">
        <v>97</v>
      </c>
      <c r="B37" s="24"/>
      <c r="C37" s="16">
        <f>IF(C35&gt;0,C36/C35,0)</f>
        <v>3.2795901935017517E-2</v>
      </c>
      <c r="D37" s="15"/>
      <c r="E37" s="15"/>
      <c r="F37" s="15"/>
      <c r="G37" s="15"/>
      <c r="H37" s="15"/>
      <c r="I37" s="15"/>
      <c r="J37" s="15"/>
    </row>
    <row r="38" spans="1:10" ht="16.05" customHeight="1" x14ac:dyDescent="0.3">
      <c r="A38" s="34" t="s">
        <v>98</v>
      </c>
      <c r="B38" s="24"/>
      <c r="C38" s="17">
        <f>D14+D32</f>
        <v>36360.67</v>
      </c>
      <c r="D38" s="18"/>
      <c r="E38" s="18"/>
      <c r="F38" s="18"/>
      <c r="G38" s="18"/>
      <c r="H38" s="18"/>
      <c r="I38" s="18"/>
      <c r="J38" s="18"/>
    </row>
    <row r="39" spans="1:10" ht="16.05" customHeight="1" x14ac:dyDescent="0.3">
      <c r="A39" s="34" t="s">
        <v>99</v>
      </c>
      <c r="B39" s="24"/>
      <c r="C39" s="19">
        <f>E14+E32</f>
        <v>465.4899999999999</v>
      </c>
      <c r="D39" s="18"/>
      <c r="E39" s="18"/>
      <c r="F39" s="18"/>
      <c r="G39" s="18"/>
      <c r="H39" s="18"/>
      <c r="I39" s="18"/>
      <c r="J39" s="18"/>
    </row>
    <row r="40" spans="1:10" ht="16.05" customHeight="1" x14ac:dyDescent="0.3">
      <c r="A40" s="32" t="s">
        <v>100</v>
      </c>
      <c r="B40" s="24"/>
      <c r="C40" s="20">
        <f>F14+F32</f>
        <v>382.08</v>
      </c>
      <c r="D40" s="13"/>
      <c r="E40" s="13"/>
      <c r="F40" s="13"/>
      <c r="G40" s="13"/>
      <c r="H40" s="13"/>
      <c r="I40" s="13"/>
      <c r="J40" s="13"/>
    </row>
    <row r="41" spans="1:10" ht="16.05" customHeight="1" x14ac:dyDescent="0.3">
      <c r="A41" s="32" t="s">
        <v>101</v>
      </c>
      <c r="B41" s="24"/>
      <c r="C41" s="20">
        <f>G14+G32</f>
        <v>78</v>
      </c>
      <c r="D41" s="13"/>
      <c r="E41" s="13"/>
      <c r="F41" s="13"/>
      <c r="G41" s="13"/>
      <c r="H41" s="13"/>
      <c r="I41" s="13"/>
      <c r="J41" s="13"/>
    </row>
    <row r="42" spans="1:10" ht="16.05" customHeight="1" x14ac:dyDescent="0.3">
      <c r="A42" s="32" t="s">
        <v>102</v>
      </c>
      <c r="B42" s="24"/>
      <c r="C42" s="20">
        <f>H14+H32</f>
        <v>0</v>
      </c>
      <c r="D42" s="13"/>
      <c r="E42" s="13"/>
      <c r="F42" s="13"/>
      <c r="G42" s="13"/>
      <c r="H42" s="13"/>
      <c r="I42" s="13"/>
      <c r="J42" s="13"/>
    </row>
    <row r="43" spans="1:10" ht="16.05" customHeight="1" x14ac:dyDescent="0.3">
      <c r="A43" s="34" t="s">
        <v>103</v>
      </c>
      <c r="B43" s="24"/>
      <c r="C43" s="17">
        <f>I14+I32</f>
        <v>12867.724800000002</v>
      </c>
      <c r="D43" s="18"/>
      <c r="E43" s="18"/>
      <c r="F43" s="18"/>
      <c r="G43" s="18"/>
      <c r="H43" s="18"/>
      <c r="I43" s="18"/>
      <c r="J43" s="18"/>
    </row>
    <row r="44" spans="1:10" ht="16.05" customHeight="1" x14ac:dyDescent="0.3">
      <c r="A44" s="29" t="s">
        <v>104</v>
      </c>
      <c r="B44" s="24"/>
      <c r="C44" s="8">
        <f>C36-C38-C43</f>
        <v>1875.4852000000046</v>
      </c>
      <c r="D44" s="21"/>
      <c r="E44" s="21"/>
      <c r="F44" s="21"/>
      <c r="G44" s="21"/>
      <c r="H44" s="21"/>
      <c r="I44" s="21"/>
      <c r="J44" s="21"/>
    </row>
    <row r="45" spans="1:10" ht="16.05" customHeight="1" x14ac:dyDescent="0.3">
      <c r="A45" s="29" t="s">
        <v>105</v>
      </c>
      <c r="B45" s="24"/>
      <c r="C45" s="22">
        <f>IF(C36&gt;0,C44/C36,0)</f>
        <v>3.6699467829057295E-2</v>
      </c>
      <c r="D45" s="21"/>
      <c r="E45" s="21"/>
      <c r="F45" s="21"/>
      <c r="G45" s="21"/>
      <c r="H45" s="21"/>
      <c r="I45" s="21"/>
      <c r="J45" s="21"/>
    </row>
  </sheetData>
  <mergeCells count="19">
    <mergeCell ref="A1:J1"/>
    <mergeCell ref="A42:B42"/>
    <mergeCell ref="A16:J16"/>
    <mergeCell ref="A35:B35"/>
    <mergeCell ref="A38:B38"/>
    <mergeCell ref="A3:J3"/>
    <mergeCell ref="A2:J2"/>
    <mergeCell ref="A39:B39"/>
    <mergeCell ref="A40:B40"/>
    <mergeCell ref="A5:J5"/>
    <mergeCell ref="A17:J17"/>
    <mergeCell ref="A45:B45"/>
    <mergeCell ref="A36:B36"/>
    <mergeCell ref="A4:J4"/>
    <mergeCell ref="A41:B41"/>
    <mergeCell ref="A37:B37"/>
    <mergeCell ref="A34:J34"/>
    <mergeCell ref="A43:B43"/>
    <mergeCell ref="A44:B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Attribution_Log</vt:lpstr>
      <vt:lpstr>Labour_Summary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Baranyay</cp:lastModifiedBy>
  <dcterms:created xsi:type="dcterms:W3CDTF">2026-04-01T10:00:18Z</dcterms:created>
  <dcterms:modified xsi:type="dcterms:W3CDTF">2026-04-01T10:06:57Z</dcterms:modified>
</cp:coreProperties>
</file>