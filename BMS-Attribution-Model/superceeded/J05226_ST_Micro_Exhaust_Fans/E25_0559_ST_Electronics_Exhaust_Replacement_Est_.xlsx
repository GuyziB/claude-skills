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backupFile="1" codeName="ThisWorkbook"/>
  <mc:AlternateContent xmlns:mc="http://schemas.openxmlformats.org/markup-compatibility/2006">
    <mc:Choice Requires="x15">
      <x15ac:absPath xmlns:x15ac="http://schemas.microsoft.com/office/spreadsheetml/2010/11/ac" url="K:\est\ST Microelectronics Malta\Estimates\"/>
    </mc:Choice>
  </mc:AlternateContent>
  <xr:revisionPtr revIDLastSave="0" documentId="13_ncr:1_{221592E1-4B46-44DA-89C4-03FA57AB2FF1}" xr6:coauthVersionLast="47" xr6:coauthVersionMax="47" xr10:uidLastSave="{00000000-0000-0000-0000-000000000000}"/>
  <bookViews>
    <workbookView xWindow="28680" yWindow="-120" windowWidth="29040" windowHeight="15720" activeTab="4" xr2:uid="{C4FBD985-2E2B-47AA-9C90-ADD177DE80E7}"/>
  </bookViews>
  <sheets>
    <sheet name="Notes" sheetId="10" r:id="rId1"/>
    <sheet name="Quote" sheetId="18" r:id="rId2"/>
    <sheet name="ML_Sum" sheetId="1" r:id="rId3"/>
    <sheet name="Elec_Rates" sheetId="11" r:id="rId4"/>
    <sheet name="Elec_Est" sheetId="8" r:id="rId5"/>
    <sheet name="E_BOQ" sheetId="29"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s>
  <definedNames>
    <definedName name="__tab89">'[1]Table 8 &amp; 9'!$B$4:$D$440</definedName>
    <definedName name="_xlnm._FilterDatabase" localSheetId="5" hidden="1">E_BOQ!$E$1:$E$48</definedName>
    <definedName name="_xlnm._FilterDatabase" localSheetId="4" hidden="1">Elec_Est!$G$1:$G$195</definedName>
    <definedName name="_xlnm._FilterDatabase" localSheetId="3" hidden="1">Elec_Rates!$L$1:$L$194</definedName>
    <definedName name="_Key1" hidden="1">#REF!</definedName>
    <definedName name="_N">#REF!</definedName>
    <definedName name="_Order1" hidden="1">255</definedName>
    <definedName name="_Sort" hidden="1">'[2]Estimate Sheet.'!#REF!</definedName>
    <definedName name="_tab89">'[1]Table 8 &amp; 9'!$B$4:$D$440</definedName>
    <definedName name="A">#REF!</definedName>
    <definedName name="aaaa">#REF!</definedName>
    <definedName name="abcd">#REF!</definedName>
    <definedName name="Access_BMS">[3]BMS_Estimate!#REF!</definedName>
    <definedName name="Access_Control">[4]Elec_Est!#REF!</definedName>
    <definedName name="Access_Supply">[3]BMS_Estimate!#REF!</definedName>
    <definedName name="Access_Wiring">[3]BMS_Estimate!#REF!</definedName>
    <definedName name="AddedMat">'[5]Data Upload D'!$E$8:$E$9</definedName>
    <definedName name="ANS">#REF!</definedName>
    <definedName name="AREAS" localSheetId="5">#REF!</definedName>
    <definedName name="AREAS" localSheetId="1">[4]ML_Sum!$X$1:$AD$16</definedName>
    <definedName name="AREAS">ML_Sum!$X$1:$AD$16</definedName>
    <definedName name="ASD">#REF!</definedName>
    <definedName name="B">#REF!</definedName>
    <definedName name="BILL3">[6]LIST!$B$56:$B$114</definedName>
    <definedName name="BILL4">[6]LIST!$B$116:$B$223</definedName>
    <definedName name="BILL5">[6]LIST!$B$225:$B$290</definedName>
    <definedName name="BILL6">[6]LIST!$B$293:$B$357</definedName>
    <definedName name="BILL7">[6]LIST!$B$360:$B$423</definedName>
    <definedName name="Bill9">[6]BoQ_1020!$B$638:$B$702</definedName>
    <definedName name="boq">#REF!</definedName>
    <definedName name="C_">#REF!</definedName>
    <definedName name="CCTV">[4]Elec_Est!#REF!</definedName>
    <definedName name="Cert">[7]Data!$A$1:$H$65536</definedName>
    <definedName name="CHILLERS">Elec_Est!$A$16</definedName>
    <definedName name="CONCRETE">#REF!</definedName>
    <definedName name="Contractor2">'[8]1. Cover Sheet'!$C$11</definedName>
    <definedName name="Data">[4]Elec_Est!#REF!</definedName>
    <definedName name="DATA_5">[9]Data!$A$1:$H$65536</definedName>
    <definedName name="DATA_SYSTEM">#REF!</definedName>
    <definedName name="day_works">#REF!</definedName>
    <definedName name="DAYWORKS">#REF!</definedName>
    <definedName name="Excavation">[10]List!$B$275:$B$307</definedName>
    <definedName name="Excel_BuiltIn__FilterDatabase_1">#REF!</definedName>
    <definedName name="Excel_BuiltIn__FilterDatabase_4">#REF!</definedName>
    <definedName name="Excel_BuiltIn_Print_Area_4">#REF!</definedName>
    <definedName name="Fire_Alarm">[4]Elec_Est!#REF!</definedName>
    <definedName name="FO">[4]Elec_Est!#REF!</definedName>
    <definedName name="ghuk">[11]Data!$A$1:$H$65536</definedName>
    <definedName name="Guard">[4]Elec_Est!#REF!</definedName>
    <definedName name="Intercom">[4]Elec_Est!#REF!</definedName>
    <definedName name="Intruder_Alarm">[4]Elec_Est!#REF!</definedName>
    <definedName name="LEVEL">#REF!</definedName>
    <definedName name="LIGHTNING_PROTECTION">#REF!</definedName>
    <definedName name="list">[12]workings!$K$5:$K$6</definedName>
    <definedName name="LIST2">#REF!</definedName>
    <definedName name="list3">'[13]MoW 1010'!$B$161:$B$183</definedName>
    <definedName name="MASONRY">#REF!</definedName>
    <definedName name="MISCELLANEOUS">#REF!</definedName>
    <definedName name="Persons">[14]Estimate!#REF!</definedName>
    <definedName name="_xlnm.Print_Area" localSheetId="5">E_BOQ!$A$1:$F$48</definedName>
    <definedName name="_xlnm.Print_Area" localSheetId="4">Elec_Est!$A$1:$T$194</definedName>
    <definedName name="Print_Area_MI">#REF!</definedName>
    <definedName name="Pumps">Elec_Est!#REF!</definedName>
    <definedName name="RAMON">#REF!</definedName>
    <definedName name="REINFORCEMENT">#REF!</definedName>
    <definedName name="ROOFING">#REF!</definedName>
    <definedName name="sdgdfg">[15]Data!$A$1:$H$65536</definedName>
    <definedName name="steel">[10]List!$B$161:$B$178</definedName>
    <definedName name="T">#REF!</definedName>
    <definedName name="Traffic_Barriers">[3]BMS_Estimate!#REF!</definedName>
    <definedName name="UNIT">#REF!</definedName>
    <definedName name="unit1">[13]List!$C$2:$C$8</definedName>
    <definedName name="VALUATION">#REF!</definedName>
    <definedName name="WATERPROOFING">#REF!</definedName>
    <definedName name="Z">#REF!</definedName>
    <definedName name="ZON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87" i="8" l="1"/>
  <c r="Q87" i="8"/>
  <c r="D29" i="29" l="1"/>
  <c r="C29" i="29"/>
  <c r="B29" i="29"/>
  <c r="A29" i="29"/>
  <c r="B27" i="29"/>
  <c r="A27" i="29"/>
  <c r="D24" i="29"/>
  <c r="C24" i="29"/>
  <c r="B24" i="29"/>
  <c r="A24" i="29"/>
  <c r="D22" i="29"/>
  <c r="C22" i="29"/>
  <c r="B22" i="29"/>
  <c r="A22" i="29"/>
  <c r="B20" i="29"/>
  <c r="A20" i="29"/>
  <c r="D17" i="29"/>
  <c r="C17" i="29"/>
  <c r="B17" i="29"/>
  <c r="A17" i="29"/>
  <c r="B15" i="29"/>
  <c r="A15" i="29"/>
  <c r="D12" i="29"/>
  <c r="C12" i="29"/>
  <c r="B12" i="29"/>
  <c r="A12" i="29"/>
  <c r="B10" i="29"/>
  <c r="A10" i="29"/>
  <c r="D7" i="29"/>
  <c r="C7" i="29"/>
  <c r="B7" i="29"/>
  <c r="A7" i="29"/>
  <c r="D5" i="29"/>
  <c r="C5" i="29"/>
  <c r="B5" i="29"/>
  <c r="A5" i="29"/>
  <c r="B3" i="29"/>
  <c r="A3" i="29"/>
  <c r="R83" i="8" l="1"/>
  <c r="R82" i="8"/>
  <c r="R81" i="8"/>
  <c r="R87" i="8"/>
  <c r="R88" i="8"/>
  <c r="R84" i="8"/>
  <c r="R80" i="8"/>
  <c r="R85" i="8" l="1"/>
  <c r="R89" i="8"/>
  <c r="R91" i="8"/>
  <c r="AM76" i="8" l="1"/>
  <c r="R53" i="8" l="1"/>
  <c r="R52" i="8"/>
  <c r="R54" i="8" s="1"/>
  <c r="AM50" i="8" s="1"/>
  <c r="R69" i="8"/>
  <c r="R68" i="8"/>
  <c r="R70" i="8" s="1"/>
  <c r="R62" i="8"/>
  <c r="R63" i="8"/>
  <c r="R42" i="8"/>
  <c r="R41" i="8"/>
  <c r="Q34" i="11"/>
  <c r="Q33" i="11"/>
  <c r="Q32" i="11"/>
  <c r="Q31" i="11"/>
  <c r="Q30" i="11"/>
  <c r="Q29" i="11"/>
  <c r="Q28" i="11"/>
  <c r="D48" i="29"/>
  <c r="R40" i="8"/>
  <c r="D22" i="8"/>
  <c r="C22" i="8"/>
  <c r="D24" i="8"/>
  <c r="C24" i="8"/>
  <c r="R43" i="8"/>
  <c r="D193" i="8"/>
  <c r="R122" i="11"/>
  <c r="D23" i="8"/>
  <c r="D21" i="8"/>
  <c r="R44" i="8" l="1"/>
  <c r="AM38" i="8" s="1"/>
  <c r="AM66" i="8"/>
  <c r="R64" i="8"/>
  <c r="AM60" i="8" s="1"/>
  <c r="R43" i="11"/>
  <c r="R94" i="11"/>
  <c r="R83" i="11"/>
  <c r="R72" i="11"/>
  <c r="R61" i="11"/>
  <c r="R51" i="11" l="1"/>
  <c r="D95" i="1" l="1"/>
  <c r="D175" i="1" s="1"/>
  <c r="T3" i="1" l="1"/>
  <c r="D192" i="8" l="1"/>
  <c r="D191" i="8"/>
  <c r="D190" i="8"/>
  <c r="R107" i="11" l="1"/>
  <c r="R38" i="11" l="1"/>
  <c r="R31" i="8" l="1"/>
  <c r="R25" i="8"/>
  <c r="R32" i="8" l="1"/>
  <c r="AM28" i="8" s="1"/>
  <c r="F22" i="18" l="1"/>
  <c r="D7" i="18" l="1"/>
  <c r="D8" i="18"/>
  <c r="D9" i="18"/>
  <c r="D10" i="18"/>
  <c r="D6" i="18"/>
  <c r="A1" i="18" l="1"/>
  <c r="A2" i="18" l="1"/>
  <c r="D5" i="18" s="1"/>
  <c r="S5" i="18"/>
  <c r="F114" i="8" l="1"/>
  <c r="F113" i="8"/>
  <c r="F31" i="1" s="1"/>
  <c r="A31" i="1" s="1"/>
  <c r="F112" i="8"/>
  <c r="F30" i="1" s="1"/>
  <c r="F111" i="8"/>
  <c r="F29" i="1" s="1"/>
  <c r="F110" i="8"/>
  <c r="F28" i="1" s="1"/>
  <c r="A28" i="1" s="1"/>
  <c r="F109" i="8"/>
  <c r="F27" i="1" s="1"/>
  <c r="F108" i="8"/>
  <c r="F26" i="1" s="1"/>
  <c r="T1" i="8"/>
  <c r="T2" i="1"/>
  <c r="T2" i="8" s="1"/>
  <c r="J24" i="1"/>
  <c r="J25" i="1"/>
  <c r="J26" i="1"/>
  <c r="J27" i="1"/>
  <c r="J28" i="1"/>
  <c r="J29" i="1"/>
  <c r="J30" i="1"/>
  <c r="J31" i="1"/>
  <c r="J32" i="1"/>
  <c r="J23" i="1"/>
  <c r="H24" i="1"/>
  <c r="I24" i="1"/>
  <c r="H25" i="1"/>
  <c r="I25" i="1"/>
  <c r="H26" i="1"/>
  <c r="I26" i="1"/>
  <c r="H27" i="1"/>
  <c r="I27" i="1"/>
  <c r="H28" i="1"/>
  <c r="I28" i="1"/>
  <c r="H29" i="1"/>
  <c r="I29" i="1"/>
  <c r="H30" i="1"/>
  <c r="I30" i="1"/>
  <c r="H31" i="1"/>
  <c r="I31" i="1"/>
  <c r="H32" i="1"/>
  <c r="I32" i="1"/>
  <c r="H23" i="1"/>
  <c r="R114" i="8"/>
  <c r="R32" i="1" s="1"/>
  <c r="T114" i="8"/>
  <c r="T32" i="1" s="1"/>
  <c r="T113" i="8"/>
  <c r="R113" i="8"/>
  <c r="R31" i="1" s="1"/>
  <c r="T112" i="8"/>
  <c r="R112" i="8"/>
  <c r="R30" i="1" s="1"/>
  <c r="T111" i="8"/>
  <c r="R111" i="8"/>
  <c r="R29" i="1" s="1"/>
  <c r="T110" i="8"/>
  <c r="R110" i="8"/>
  <c r="R28" i="1" s="1"/>
  <c r="T109" i="8"/>
  <c r="R109" i="8"/>
  <c r="R27" i="1" s="1"/>
  <c r="T108" i="8"/>
  <c r="R108" i="8"/>
  <c r="R26" i="1" s="1"/>
  <c r="R107" i="8"/>
  <c r="R25" i="1" s="1"/>
  <c r="S2" i="8"/>
  <c r="S12" i="11"/>
  <c r="T12" i="11"/>
  <c r="F1" i="11"/>
  <c r="S12" i="8"/>
  <c r="T12" i="8"/>
  <c r="F1" i="8"/>
  <c r="O6" i="1"/>
  <c r="B18" i="1"/>
  <c r="Q1" i="1"/>
  <c r="E36" i="1" s="1"/>
  <c r="C11" i="1"/>
  <c r="G32" i="1" s="1"/>
  <c r="S1" i="1"/>
  <c r="S1" i="11" s="1"/>
  <c r="C2" i="1"/>
  <c r="T13" i="1"/>
  <c r="T1" i="11"/>
  <c r="T122" i="11" s="1"/>
  <c r="B123" i="11" s="1"/>
  <c r="R23" i="11"/>
  <c r="S2" i="11"/>
  <c r="F77" i="1"/>
  <c r="T132" i="11"/>
  <c r="T127" i="8" s="1"/>
  <c r="T110" i="1" s="1"/>
  <c r="S110" i="1" s="1"/>
  <c r="T133" i="11"/>
  <c r="T134" i="11"/>
  <c r="T129" i="8" s="1"/>
  <c r="T112" i="1" s="1"/>
  <c r="S112" i="1" s="1"/>
  <c r="T135" i="11"/>
  <c r="T136" i="11"/>
  <c r="T131" i="8" s="1"/>
  <c r="T114" i="1" s="1"/>
  <c r="S114" i="1" s="1"/>
  <c r="T137" i="11"/>
  <c r="T132" i="8" s="1"/>
  <c r="T115" i="1" s="1"/>
  <c r="S115" i="1" s="1"/>
  <c r="T138" i="11"/>
  <c r="T133" i="8" s="1"/>
  <c r="T116" i="1" s="1"/>
  <c r="S116" i="1" s="1"/>
  <c r="T139" i="11"/>
  <c r="T141" i="11"/>
  <c r="T142" i="11"/>
  <c r="T137" i="8" s="1"/>
  <c r="T120" i="1" s="1"/>
  <c r="S120" i="1" s="1"/>
  <c r="T145" i="11"/>
  <c r="T140" i="8" s="1"/>
  <c r="T123" i="1" s="1"/>
  <c r="S123" i="1" s="1"/>
  <c r="T146" i="11"/>
  <c r="T141" i="8" s="1"/>
  <c r="T124" i="1" s="1"/>
  <c r="S124" i="1" s="1"/>
  <c r="T147" i="11"/>
  <c r="T142" i="8" s="1"/>
  <c r="T125" i="1" s="1"/>
  <c r="S125" i="1" s="1"/>
  <c r="T148" i="11"/>
  <c r="T149" i="11"/>
  <c r="T144" i="8" s="1"/>
  <c r="T127" i="1" s="1"/>
  <c r="S127" i="1" s="1"/>
  <c r="T150" i="11"/>
  <c r="T145" i="8" s="1"/>
  <c r="T128" i="1" s="1"/>
  <c r="S128" i="1" s="1"/>
  <c r="T151" i="11"/>
  <c r="T146" i="8" s="1"/>
  <c r="T129" i="1" s="1"/>
  <c r="S129" i="1" s="1"/>
  <c r="T152" i="11"/>
  <c r="T153" i="11"/>
  <c r="T148" i="8" s="1"/>
  <c r="T131" i="1" s="1"/>
  <c r="S131" i="1" s="1"/>
  <c r="T154" i="11"/>
  <c r="T149" i="8" s="1"/>
  <c r="T155" i="11"/>
  <c r="T150" i="8" s="1"/>
  <c r="T133" i="1" s="1"/>
  <c r="S133" i="1" s="1"/>
  <c r="T156" i="11"/>
  <c r="T151" i="8" s="1"/>
  <c r="T134" i="1" s="1"/>
  <c r="S134" i="1" s="1"/>
  <c r="T158" i="11"/>
  <c r="T153" i="8" s="1"/>
  <c r="T136" i="1" s="1"/>
  <c r="S136" i="1" s="1"/>
  <c r="T159" i="11"/>
  <c r="T154" i="8" s="1"/>
  <c r="T137" i="1" s="1"/>
  <c r="S137" i="1" s="1"/>
  <c r="T160" i="11"/>
  <c r="T155" i="8" s="1"/>
  <c r="T138" i="1" s="1"/>
  <c r="S138" i="1" s="1"/>
  <c r="T161" i="11"/>
  <c r="T156" i="8" s="1"/>
  <c r="T139" i="1" s="1"/>
  <c r="S139" i="1" s="1"/>
  <c r="T162" i="11"/>
  <c r="T157" i="8" s="1"/>
  <c r="T140" i="1" s="1"/>
  <c r="S140" i="1" s="1"/>
  <c r="T163" i="11"/>
  <c r="T158" i="8" s="1"/>
  <c r="T141" i="1" s="1"/>
  <c r="S141" i="1" s="1"/>
  <c r="T164" i="11"/>
  <c r="T159" i="8" s="1"/>
  <c r="T142" i="1" s="1"/>
  <c r="S142" i="1" s="1"/>
  <c r="T165" i="11"/>
  <c r="T160" i="8" s="1"/>
  <c r="T143" i="1" s="1"/>
  <c r="S143" i="1" s="1"/>
  <c r="T166" i="11"/>
  <c r="T161" i="8" s="1"/>
  <c r="T144" i="1" s="1"/>
  <c r="S144" i="1" s="1"/>
  <c r="T167" i="11"/>
  <c r="T162" i="8" s="1"/>
  <c r="T145" i="1" s="1"/>
  <c r="S145" i="1" s="1"/>
  <c r="T168" i="11"/>
  <c r="T163" i="8" s="1"/>
  <c r="T146" i="1" s="1"/>
  <c r="S146" i="1" s="1"/>
  <c r="T169" i="11"/>
  <c r="T164" i="8" s="1"/>
  <c r="T147" i="1" s="1"/>
  <c r="S147" i="1" s="1"/>
  <c r="T170" i="11"/>
  <c r="T165" i="8" s="1"/>
  <c r="T148" i="1" s="1"/>
  <c r="S148" i="1" s="1"/>
  <c r="T171" i="11"/>
  <c r="T166" i="8" s="1"/>
  <c r="T149" i="1" s="1"/>
  <c r="S149" i="1" s="1"/>
  <c r="T172" i="11"/>
  <c r="T167" i="8" s="1"/>
  <c r="T150" i="1" s="1"/>
  <c r="S150" i="1" s="1"/>
  <c r="T173" i="11"/>
  <c r="T168" i="8" s="1"/>
  <c r="T151" i="1" s="1"/>
  <c r="S151" i="1" s="1"/>
  <c r="T174" i="11"/>
  <c r="T169" i="8" s="1"/>
  <c r="T152" i="1" s="1"/>
  <c r="S152" i="1" s="1"/>
  <c r="T175" i="11"/>
  <c r="T170" i="8" s="1"/>
  <c r="T153" i="1" s="1"/>
  <c r="S153" i="1" s="1"/>
  <c r="T176" i="11"/>
  <c r="T171" i="8" s="1"/>
  <c r="T178" i="11"/>
  <c r="T173" i="8" s="1"/>
  <c r="T156" i="1" s="1"/>
  <c r="S156" i="1" s="1"/>
  <c r="T179" i="11"/>
  <c r="T174" i="8" s="1"/>
  <c r="T157" i="1" s="1"/>
  <c r="S157" i="1" s="1"/>
  <c r="T181" i="11"/>
  <c r="T176" i="8" s="1"/>
  <c r="T159" i="1" s="1"/>
  <c r="S159" i="1" s="1"/>
  <c r="T182" i="11"/>
  <c r="T184" i="11"/>
  <c r="T179" i="8" s="1"/>
  <c r="T162" i="1" s="1"/>
  <c r="S162" i="1" s="1"/>
  <c r="T185" i="11"/>
  <c r="T180" i="8" s="1"/>
  <c r="T163" i="1" s="1"/>
  <c r="S163" i="1" s="1"/>
  <c r="T186" i="11"/>
  <c r="T181" i="8" s="1"/>
  <c r="T164" i="1" s="1"/>
  <c r="S164" i="1" s="1"/>
  <c r="R132" i="11"/>
  <c r="R127" i="8" s="1"/>
  <c r="R110" i="1" s="1"/>
  <c r="R133" i="11"/>
  <c r="R128" i="8" s="1"/>
  <c r="R134" i="11"/>
  <c r="R129" i="8" s="1"/>
  <c r="R112" i="1" s="1"/>
  <c r="R135" i="11"/>
  <c r="R130" i="8" s="1"/>
  <c r="R113" i="1" s="1"/>
  <c r="R136" i="11"/>
  <c r="R131" i="8" s="1"/>
  <c r="R114" i="1" s="1"/>
  <c r="R137" i="11"/>
  <c r="R132" i="8" s="1"/>
  <c r="R115" i="1" s="1"/>
  <c r="R138" i="11"/>
  <c r="R133" i="8" s="1"/>
  <c r="R116" i="1" s="1"/>
  <c r="R139" i="11"/>
  <c r="R134" i="8" s="1"/>
  <c r="R117" i="1" s="1"/>
  <c r="R141" i="11"/>
  <c r="R136" i="8" s="1"/>
  <c r="R119" i="1" s="1"/>
  <c r="R142" i="11"/>
  <c r="R137" i="8" s="1"/>
  <c r="R120" i="1" s="1"/>
  <c r="R145" i="11"/>
  <c r="R146" i="11"/>
  <c r="R141" i="8" s="1"/>
  <c r="R124" i="1" s="1"/>
  <c r="R147" i="11"/>
  <c r="R142" i="8" s="1"/>
  <c r="R125" i="1" s="1"/>
  <c r="R148" i="11"/>
  <c r="R143" i="8" s="1"/>
  <c r="R126" i="1" s="1"/>
  <c r="R149" i="11"/>
  <c r="R144" i="8" s="1"/>
  <c r="R127" i="1" s="1"/>
  <c r="R150" i="11"/>
  <c r="R145" i="8" s="1"/>
  <c r="R128" i="1" s="1"/>
  <c r="R151" i="11"/>
  <c r="R146" i="8" s="1"/>
  <c r="R129" i="1" s="1"/>
  <c r="R152" i="11"/>
  <c r="R147" i="8" s="1"/>
  <c r="R130" i="1" s="1"/>
  <c r="R153" i="11"/>
  <c r="R148" i="8" s="1"/>
  <c r="R131" i="1" s="1"/>
  <c r="R154" i="11"/>
  <c r="R149" i="8" s="1"/>
  <c r="R155" i="11"/>
  <c r="R150" i="8" s="1"/>
  <c r="R133" i="1" s="1"/>
  <c r="R156" i="11"/>
  <c r="R151" i="8" s="1"/>
  <c r="R134" i="1" s="1"/>
  <c r="R158" i="11"/>
  <c r="R153" i="8" s="1"/>
  <c r="R136" i="1" s="1"/>
  <c r="R159" i="11"/>
  <c r="R154" i="8" s="1"/>
  <c r="R137" i="1" s="1"/>
  <c r="R160" i="11"/>
  <c r="R155" i="8" s="1"/>
  <c r="R138" i="1" s="1"/>
  <c r="R161" i="11"/>
  <c r="R156" i="8" s="1"/>
  <c r="R139" i="1" s="1"/>
  <c r="R162" i="11"/>
  <c r="R157" i="8" s="1"/>
  <c r="R140" i="1" s="1"/>
  <c r="R163" i="11"/>
  <c r="R158" i="8" s="1"/>
  <c r="R141" i="1" s="1"/>
  <c r="R164" i="11"/>
  <c r="R159" i="8" s="1"/>
  <c r="R142" i="1" s="1"/>
  <c r="R165" i="11"/>
  <c r="R160" i="8" s="1"/>
  <c r="R143" i="1" s="1"/>
  <c r="R166" i="11"/>
  <c r="R161" i="8" s="1"/>
  <c r="R144" i="1" s="1"/>
  <c r="R167" i="11"/>
  <c r="R162" i="8" s="1"/>
  <c r="R145" i="1" s="1"/>
  <c r="R168" i="11"/>
  <c r="R163" i="8" s="1"/>
  <c r="R146" i="1" s="1"/>
  <c r="R169" i="11"/>
  <c r="R164" i="8" s="1"/>
  <c r="R147" i="1" s="1"/>
  <c r="R170" i="11"/>
  <c r="R165" i="8" s="1"/>
  <c r="R148" i="1" s="1"/>
  <c r="R171" i="11"/>
  <c r="R166" i="8" s="1"/>
  <c r="R149" i="1" s="1"/>
  <c r="R172" i="11"/>
  <c r="R167" i="8" s="1"/>
  <c r="R150" i="1" s="1"/>
  <c r="R173" i="11"/>
  <c r="R168" i="8" s="1"/>
  <c r="R151" i="1" s="1"/>
  <c r="R174" i="11"/>
  <c r="R169" i="8" s="1"/>
  <c r="R152" i="1" s="1"/>
  <c r="R175" i="11"/>
  <c r="R170" i="8" s="1"/>
  <c r="R153" i="1" s="1"/>
  <c r="R176" i="11"/>
  <c r="R171" i="8" s="1"/>
  <c r="R154" i="1" s="1"/>
  <c r="R178" i="11"/>
  <c r="R173" i="8" s="1"/>
  <c r="R156" i="1" s="1"/>
  <c r="R179" i="11"/>
  <c r="R174" i="8" s="1"/>
  <c r="R157" i="1" s="1"/>
  <c r="R181" i="11"/>
  <c r="R176" i="8" s="1"/>
  <c r="R159" i="1" s="1"/>
  <c r="R182" i="11"/>
  <c r="R177" i="8" s="1"/>
  <c r="R160" i="1" s="1"/>
  <c r="R184" i="11"/>
  <c r="R179" i="8" s="1"/>
  <c r="R162" i="1" s="1"/>
  <c r="R185" i="11"/>
  <c r="R180" i="8" s="1"/>
  <c r="R163" i="1" s="1"/>
  <c r="R186" i="11"/>
  <c r="R181" i="8" s="1"/>
  <c r="R164" i="1" s="1"/>
  <c r="C3" i="1"/>
  <c r="C3" i="8" s="1"/>
  <c r="C4" i="1"/>
  <c r="G25" i="1" s="1"/>
  <c r="C5" i="1"/>
  <c r="C6" i="1"/>
  <c r="G27" i="1" s="1"/>
  <c r="C7" i="1"/>
  <c r="G28" i="1" s="1"/>
  <c r="C8" i="1"/>
  <c r="G29" i="1" s="1"/>
  <c r="C9" i="1"/>
  <c r="C10" i="1"/>
  <c r="G31" i="1" s="1"/>
  <c r="C12" i="1"/>
  <c r="C12" i="8" s="1"/>
  <c r="Q12" i="11"/>
  <c r="F12" i="11"/>
  <c r="T11" i="11"/>
  <c r="S11" i="11"/>
  <c r="Q11" i="11"/>
  <c r="F11" i="11"/>
  <c r="C11" i="11"/>
  <c r="T10" i="11"/>
  <c r="S10" i="11"/>
  <c r="Q10" i="11"/>
  <c r="O10" i="1"/>
  <c r="O10" i="11" s="1"/>
  <c r="N10" i="1"/>
  <c r="N10" i="11" s="1"/>
  <c r="M10" i="1"/>
  <c r="M10" i="11" s="1"/>
  <c r="L10" i="1"/>
  <c r="L10" i="11" s="1"/>
  <c r="K10" i="1"/>
  <c r="K10" i="11" s="1"/>
  <c r="J10" i="1"/>
  <c r="J10" i="11" s="1"/>
  <c r="F10" i="11"/>
  <c r="T9" i="11"/>
  <c r="S9" i="11"/>
  <c r="Q9" i="11"/>
  <c r="O9" i="11"/>
  <c r="N9" i="1"/>
  <c r="N9" i="11" s="1"/>
  <c r="M9" i="1"/>
  <c r="M9" i="11" s="1"/>
  <c r="L9" i="1"/>
  <c r="L9" i="11" s="1"/>
  <c r="K9" i="1"/>
  <c r="K9" i="11" s="1"/>
  <c r="J9" i="1"/>
  <c r="J9" i="8" s="1"/>
  <c r="F9" i="11"/>
  <c r="D9" i="11"/>
  <c r="T8" i="11"/>
  <c r="S8" i="11"/>
  <c r="Q8" i="11"/>
  <c r="O8" i="11"/>
  <c r="N8" i="1"/>
  <c r="M8" i="1"/>
  <c r="M8" i="11" s="1"/>
  <c r="L8" i="1"/>
  <c r="L8" i="11" s="1"/>
  <c r="K8" i="1"/>
  <c r="K8" i="11" s="1"/>
  <c r="J8" i="1"/>
  <c r="F8" i="11"/>
  <c r="D8" i="11"/>
  <c r="T7" i="11"/>
  <c r="S7" i="11"/>
  <c r="Q7" i="11"/>
  <c r="O7" i="11"/>
  <c r="N7" i="1"/>
  <c r="N7" i="11" s="1"/>
  <c r="M7" i="1"/>
  <c r="M7" i="8" s="1"/>
  <c r="L7" i="1"/>
  <c r="L7" i="11" s="1"/>
  <c r="K7" i="1"/>
  <c r="K7" i="11" s="1"/>
  <c r="J7" i="1"/>
  <c r="J7" i="11" s="1"/>
  <c r="F7" i="11"/>
  <c r="T6" i="11"/>
  <c r="S6" i="11"/>
  <c r="Q6" i="11"/>
  <c r="O6" i="11"/>
  <c r="N6" i="1"/>
  <c r="N6" i="11" s="1"/>
  <c r="M6" i="1"/>
  <c r="M6" i="11" s="1"/>
  <c r="L6" i="1"/>
  <c r="L6" i="11" s="1"/>
  <c r="K6" i="1"/>
  <c r="K6" i="11" s="1"/>
  <c r="J6" i="1"/>
  <c r="J6" i="11" s="1"/>
  <c r="F6" i="11"/>
  <c r="D6" i="11"/>
  <c r="T5" i="11"/>
  <c r="S5" i="11"/>
  <c r="Q5" i="11"/>
  <c r="O5" i="1"/>
  <c r="O5" i="11" s="1"/>
  <c r="N5" i="1"/>
  <c r="N5" i="11" s="1"/>
  <c r="M5" i="1"/>
  <c r="M5" i="11" s="1"/>
  <c r="L5" i="1"/>
  <c r="L5" i="8" s="1"/>
  <c r="K5" i="1"/>
  <c r="K5" i="11" s="1"/>
  <c r="J5" i="1"/>
  <c r="J5" i="11" s="1"/>
  <c r="F5" i="11"/>
  <c r="D5" i="11"/>
  <c r="T4" i="11"/>
  <c r="S4" i="11"/>
  <c r="Q4" i="11"/>
  <c r="O4" i="1"/>
  <c r="O4" i="11" s="1"/>
  <c r="N4" i="1"/>
  <c r="N4" i="11" s="1"/>
  <c r="M4" i="1"/>
  <c r="M4" i="11" s="1"/>
  <c r="L4" i="1"/>
  <c r="L4" i="11" s="1"/>
  <c r="K4" i="1"/>
  <c r="K4" i="11" s="1"/>
  <c r="J4" i="1"/>
  <c r="J4" i="11" s="1"/>
  <c r="F4" i="11"/>
  <c r="D4" i="11"/>
  <c r="T3" i="11"/>
  <c r="S3" i="11"/>
  <c r="Q3" i="11"/>
  <c r="O3" i="1"/>
  <c r="O3" i="11" s="1"/>
  <c r="N3" i="1"/>
  <c r="N3" i="8" s="1"/>
  <c r="M3" i="1"/>
  <c r="M3" i="11" s="1"/>
  <c r="L3" i="1"/>
  <c r="L3" i="11" s="1"/>
  <c r="K3" i="1"/>
  <c r="K3" i="11" s="1"/>
  <c r="J3" i="1"/>
  <c r="J3" i="11" s="1"/>
  <c r="F3" i="11"/>
  <c r="D3" i="11"/>
  <c r="Q2" i="11"/>
  <c r="O2" i="1"/>
  <c r="O2" i="8" s="1"/>
  <c r="N2" i="1"/>
  <c r="N2" i="11" s="1"/>
  <c r="M2" i="1"/>
  <c r="M2" i="8" s="1"/>
  <c r="L2" i="1"/>
  <c r="L2" i="11" s="1"/>
  <c r="K2" i="1"/>
  <c r="K2" i="11" s="1"/>
  <c r="J2" i="1"/>
  <c r="J2" i="11"/>
  <c r="F2" i="11"/>
  <c r="D2" i="11"/>
  <c r="U1" i="11"/>
  <c r="O1" i="1"/>
  <c r="O1" i="11" s="1"/>
  <c r="N1" i="1"/>
  <c r="N1" i="11" s="1"/>
  <c r="M1" i="1"/>
  <c r="M1" i="11" s="1"/>
  <c r="L1" i="1"/>
  <c r="L1" i="11" s="1"/>
  <c r="K1" i="1"/>
  <c r="K1" i="11" s="1"/>
  <c r="J1" i="1"/>
  <c r="J1" i="11" s="1"/>
  <c r="D1" i="11"/>
  <c r="C1" i="11"/>
  <c r="B16" i="1"/>
  <c r="S3" i="8"/>
  <c r="T3" i="8"/>
  <c r="B14" i="1"/>
  <c r="C11" i="8"/>
  <c r="S11" i="8"/>
  <c r="T11" i="8"/>
  <c r="S10" i="8"/>
  <c r="T10" i="8"/>
  <c r="S9" i="8"/>
  <c r="T9" i="8"/>
  <c r="S8" i="8"/>
  <c r="T8" i="8"/>
  <c r="S7" i="8"/>
  <c r="T7" i="8"/>
  <c r="C6" i="8"/>
  <c r="S6" i="8"/>
  <c r="T6" i="8"/>
  <c r="S5" i="8"/>
  <c r="T5" i="8"/>
  <c r="S4" i="8"/>
  <c r="T4" i="8"/>
  <c r="F11" i="8"/>
  <c r="E114" i="8" s="1"/>
  <c r="F10" i="8"/>
  <c r="E113" i="8" s="1"/>
  <c r="F9" i="8"/>
  <c r="E112" i="8" s="1"/>
  <c r="F8" i="8"/>
  <c r="E111" i="8" s="1"/>
  <c r="F7" i="8"/>
  <c r="E110" i="8" s="1"/>
  <c r="F6" i="8"/>
  <c r="E109" i="8" s="1"/>
  <c r="F5" i="8"/>
  <c r="E108" i="8" s="1"/>
  <c r="F4" i="8"/>
  <c r="D24" i="1"/>
  <c r="D25" i="1"/>
  <c r="D26" i="1"/>
  <c r="D27" i="1"/>
  <c r="D28" i="1"/>
  <c r="D29" i="1"/>
  <c r="D30" i="1"/>
  <c r="D31" i="1"/>
  <c r="D32" i="1"/>
  <c r="D23" i="1"/>
  <c r="F3" i="8"/>
  <c r="D86" i="8" s="1"/>
  <c r="F2" i="8"/>
  <c r="D79" i="8" s="1"/>
  <c r="R11" i="1"/>
  <c r="R10" i="1"/>
  <c r="R9" i="1"/>
  <c r="R8" i="1"/>
  <c r="R7" i="1"/>
  <c r="R6" i="1"/>
  <c r="R5" i="1"/>
  <c r="R4" i="1"/>
  <c r="R3" i="1"/>
  <c r="R2" i="1"/>
  <c r="U1" i="8"/>
  <c r="Q2" i="8"/>
  <c r="Q3" i="8"/>
  <c r="Q4" i="8"/>
  <c r="Q5" i="8"/>
  <c r="Q6" i="8"/>
  <c r="Q7" i="8"/>
  <c r="Q8" i="8"/>
  <c r="Q9" i="8"/>
  <c r="Q10" i="8"/>
  <c r="Q11" i="8"/>
  <c r="Q12" i="8"/>
  <c r="D8" i="8"/>
  <c r="D9" i="8"/>
  <c r="D6" i="8"/>
  <c r="D4" i="8"/>
  <c r="D2" i="8"/>
  <c r="F12" i="8"/>
  <c r="C1" i="8"/>
  <c r="D1" i="8"/>
  <c r="J2" i="8"/>
  <c r="M5" i="8"/>
  <c r="K6" i="8"/>
  <c r="O6" i="8"/>
  <c r="O7" i="8"/>
  <c r="O8" i="8"/>
  <c r="O9" i="8"/>
  <c r="O10" i="8"/>
  <c r="S107" i="1"/>
  <c r="D55" i="1"/>
  <c r="D5" i="8"/>
  <c r="V1" i="1" a="1"/>
  <c r="V1" i="1" s="1"/>
  <c r="E64" i="1"/>
  <c r="E103" i="1" s="1"/>
  <c r="D3" i="8"/>
  <c r="A36" i="1"/>
  <c r="E63" i="1"/>
  <c r="E61" i="1"/>
  <c r="E101" i="1" s="1"/>
  <c r="E62" i="1"/>
  <c r="E102" i="1" s="1"/>
  <c r="E60" i="1"/>
  <c r="D51" i="1"/>
  <c r="B193" i="8" l="1"/>
  <c r="B110" i="11" s="1"/>
  <c r="Q110" i="11" s="1"/>
  <c r="A121" i="11" s="1"/>
  <c r="T82" i="8"/>
  <c r="T83" i="8"/>
  <c r="T87" i="8"/>
  <c r="T88" i="8"/>
  <c r="B89" i="8" s="1"/>
  <c r="T80" i="8"/>
  <c r="T84" i="8"/>
  <c r="B85" i="8" s="1"/>
  <c r="T81" i="8"/>
  <c r="AG85" i="8"/>
  <c r="AG89" i="8"/>
  <c r="T53" i="8"/>
  <c r="B54" i="8" s="1"/>
  <c r="T52" i="8"/>
  <c r="T68" i="8"/>
  <c r="T69" i="8"/>
  <c r="B70" i="8" s="1"/>
  <c r="T62" i="8"/>
  <c r="T63" i="8"/>
  <c r="B64" i="8" s="1"/>
  <c r="T40" i="8"/>
  <c r="T42" i="8"/>
  <c r="T41" i="8"/>
  <c r="T43" i="8"/>
  <c r="B44" i="8" s="1"/>
  <c r="T43" i="11"/>
  <c r="T94" i="11"/>
  <c r="T83" i="11"/>
  <c r="T72" i="11"/>
  <c r="T51" i="11"/>
  <c r="T61" i="11"/>
  <c r="L4" i="8"/>
  <c r="J9" i="11"/>
  <c r="Q1" i="8"/>
  <c r="S1" i="8"/>
  <c r="J7" i="8"/>
  <c r="C6" i="11"/>
  <c r="M7" i="11"/>
  <c r="E107" i="8"/>
  <c r="L10" i="8"/>
  <c r="T134" i="8"/>
  <c r="T117" i="1" s="1"/>
  <c r="S117" i="1" s="1"/>
  <c r="E106" i="8"/>
  <c r="E105" i="8"/>
  <c r="T107" i="11"/>
  <c r="T38" i="11"/>
  <c r="B39" i="11" s="1"/>
  <c r="J10" i="8"/>
  <c r="J4" i="8"/>
  <c r="J1" i="8"/>
  <c r="M3" i="8"/>
  <c r="K1" i="8"/>
  <c r="O2" i="11"/>
  <c r="N1" i="8"/>
  <c r="M9" i="8"/>
  <c r="J3" i="8"/>
  <c r="M1" i="8"/>
  <c r="L9" i="8"/>
  <c r="O5" i="8"/>
  <c r="N5" i="8"/>
  <c r="C10" i="8"/>
  <c r="B113" i="8" s="1"/>
  <c r="C10" i="11"/>
  <c r="C12" i="11"/>
  <c r="J5" i="8"/>
  <c r="T25" i="8"/>
  <c r="B26" i="8" s="1"/>
  <c r="T31" i="8"/>
  <c r="B32" i="8" s="1"/>
  <c r="K10" i="8"/>
  <c r="M6" i="8"/>
  <c r="F22" i="1"/>
  <c r="O1" i="8"/>
  <c r="K7" i="8"/>
  <c r="N10" i="8"/>
  <c r="N4" i="8"/>
  <c r="K3" i="8"/>
  <c r="K9" i="8"/>
  <c r="O4" i="8"/>
  <c r="O3" i="8"/>
  <c r="C8" i="8"/>
  <c r="B111" i="8" s="1"/>
  <c r="N9" i="8"/>
  <c r="L7" i="8"/>
  <c r="N2" i="8"/>
  <c r="G24" i="1"/>
  <c r="L6" i="8"/>
  <c r="K2" i="8"/>
  <c r="M10" i="8"/>
  <c r="J6" i="8"/>
  <c r="L3" i="8"/>
  <c r="M2" i="11"/>
  <c r="C4" i="11"/>
  <c r="L5" i="11"/>
  <c r="M4" i="8"/>
  <c r="N3" i="11"/>
  <c r="E22" i="1"/>
  <c r="M8" i="8"/>
  <c r="K4" i="8"/>
  <c r="L8" i="8"/>
  <c r="N6" i="8"/>
  <c r="C7" i="11"/>
  <c r="C8" i="11"/>
  <c r="K5" i="8"/>
  <c r="C4" i="8"/>
  <c r="N7" i="8"/>
  <c r="L2" i="8"/>
  <c r="L1" i="8"/>
  <c r="Q1" i="11"/>
  <c r="I23" i="1"/>
  <c r="T2" i="11"/>
  <c r="AH113" i="8"/>
  <c r="T147" i="8"/>
  <c r="T130" i="1" s="1"/>
  <c r="S130" i="1" s="1"/>
  <c r="AH111" i="8"/>
  <c r="AH107" i="8"/>
  <c r="AH109" i="8"/>
  <c r="T143" i="8"/>
  <c r="T126" i="1" s="1"/>
  <c r="S126" i="1" s="1"/>
  <c r="B109" i="8"/>
  <c r="E28" i="1"/>
  <c r="B28" i="1"/>
  <c r="B114" i="8"/>
  <c r="AH114" i="8"/>
  <c r="AH110" i="8"/>
  <c r="AJ111" i="8"/>
  <c r="F32" i="1"/>
  <c r="AH108" i="8"/>
  <c r="AH112" i="8"/>
  <c r="R132" i="1"/>
  <c r="R140" i="8"/>
  <c r="R111" i="1"/>
  <c r="J8" i="11"/>
  <c r="J8" i="8"/>
  <c r="N8" i="11"/>
  <c r="N8" i="8"/>
  <c r="T154" i="1"/>
  <c r="G30" i="1"/>
  <c r="C9" i="8"/>
  <c r="B112" i="8" s="1"/>
  <c r="C9" i="11"/>
  <c r="G26" i="1"/>
  <c r="C5" i="8"/>
  <c r="B108" i="8" s="1"/>
  <c r="C5" i="11"/>
  <c r="T132" i="1"/>
  <c r="AJ109" i="8"/>
  <c r="T27" i="1"/>
  <c r="AJ113" i="8"/>
  <c r="T31" i="1"/>
  <c r="B27" i="1"/>
  <c r="E27" i="1"/>
  <c r="B30" i="1"/>
  <c r="E30" i="1"/>
  <c r="A30" i="1"/>
  <c r="K8" i="8"/>
  <c r="C3" i="11"/>
  <c r="T23" i="11"/>
  <c r="AJ114" i="8"/>
  <c r="T29" i="1"/>
  <c r="AJ108" i="8"/>
  <c r="T26" i="1"/>
  <c r="AJ110" i="8"/>
  <c r="T28" i="1"/>
  <c r="AJ112" i="8"/>
  <c r="T30" i="1"/>
  <c r="B26" i="1"/>
  <c r="E26" i="1"/>
  <c r="A26" i="1"/>
  <c r="B31" i="1"/>
  <c r="E31" i="1"/>
  <c r="C7" i="8"/>
  <c r="B110" i="8" s="1"/>
  <c r="G23" i="1"/>
  <c r="C2" i="8"/>
  <c r="C2" i="11"/>
  <c r="A27" i="1"/>
  <c r="E29" i="1"/>
  <c r="A29" i="1"/>
  <c r="B29" i="1"/>
  <c r="A112" i="11" l="1"/>
  <c r="A120" i="11"/>
  <c r="A115" i="11"/>
  <c r="A113" i="11"/>
  <c r="A116" i="11"/>
  <c r="A118" i="11"/>
  <c r="A114" i="11"/>
  <c r="A117" i="11"/>
  <c r="A119" i="11"/>
  <c r="T89" i="8"/>
  <c r="E86" i="8" s="1"/>
  <c r="T85" i="8"/>
  <c r="AG76" i="8"/>
  <c r="T64" i="8"/>
  <c r="E60" i="8" s="1"/>
  <c r="E22" i="29" s="1"/>
  <c r="F22" i="29" s="1"/>
  <c r="T54" i="8"/>
  <c r="AN50" i="8" s="1"/>
  <c r="AO50" i="8" s="1"/>
  <c r="T70" i="8"/>
  <c r="AN60" i="8"/>
  <c r="AO60" i="8" s="1"/>
  <c r="T44" i="8"/>
  <c r="B108" i="11"/>
  <c r="T177" i="8"/>
  <c r="T160" i="1" s="1"/>
  <c r="S160" i="1" s="1"/>
  <c r="T128" i="8"/>
  <c r="T111" i="1" s="1"/>
  <c r="S111" i="1" s="1"/>
  <c r="T130" i="8"/>
  <c r="T113" i="1" s="1"/>
  <c r="S113" i="1" s="1"/>
  <c r="B191" i="8"/>
  <c r="B26" i="11" s="1"/>
  <c r="B192" i="8"/>
  <c r="B41" i="11" s="1"/>
  <c r="B190" i="8"/>
  <c r="B19" i="11" s="1"/>
  <c r="Q19" i="11" s="1"/>
  <c r="T136" i="8"/>
  <c r="T119" i="1" s="1"/>
  <c r="S119" i="1" s="1"/>
  <c r="T32" i="8"/>
  <c r="A32" i="1"/>
  <c r="B32" i="1"/>
  <c r="E32" i="1"/>
  <c r="S132" i="1"/>
  <c r="S154" i="1"/>
  <c r="R123" i="1"/>
  <c r="E50" i="8" l="1"/>
  <c r="AH76" i="8"/>
  <c r="T91" i="8"/>
  <c r="E79" i="8"/>
  <c r="AN66" i="8"/>
  <c r="AO66" i="8" s="1"/>
  <c r="E66" i="8"/>
  <c r="E24" i="29" s="1"/>
  <c r="F24" i="29" s="1"/>
  <c r="F60" i="8"/>
  <c r="T60" i="8" s="1"/>
  <c r="AG60" i="8"/>
  <c r="AN38" i="8"/>
  <c r="AO38" i="8" s="1"/>
  <c r="E38" i="8"/>
  <c r="E12" i="29" s="1"/>
  <c r="F12" i="29" s="1"/>
  <c r="T107" i="8"/>
  <c r="Q41" i="11"/>
  <c r="Q26" i="11"/>
  <c r="AN28" i="8"/>
  <c r="AO28" i="8" s="1"/>
  <c r="E28" i="8"/>
  <c r="E7" i="29" s="1"/>
  <c r="F7" i="29" s="1"/>
  <c r="F50" i="8" l="1"/>
  <c r="T50" i="8" s="1"/>
  <c r="E17" i="29"/>
  <c r="F17" i="29" s="1"/>
  <c r="AG50" i="8"/>
  <c r="AI50" i="8" s="1"/>
  <c r="AJ50" i="8" s="1"/>
  <c r="AN76" i="8"/>
  <c r="AO76" i="8" s="1"/>
  <c r="E76" i="8"/>
  <c r="E29" i="29" s="1"/>
  <c r="F29" i="29" s="1"/>
  <c r="F79" i="8"/>
  <c r="F66" i="8"/>
  <c r="T66" i="8" s="1"/>
  <c r="AG66" i="8"/>
  <c r="AH60" i="8"/>
  <c r="AI60" i="8"/>
  <c r="AJ60" i="8" s="1"/>
  <c r="AG38" i="8"/>
  <c r="F38" i="8"/>
  <c r="T38" i="8" s="1"/>
  <c r="A89" i="11"/>
  <c r="A78" i="11"/>
  <c r="A100" i="11"/>
  <c r="A67" i="11"/>
  <c r="A45" i="11"/>
  <c r="A44" i="11"/>
  <c r="R44" i="11" s="1"/>
  <c r="A105" i="11"/>
  <c r="A106" i="11"/>
  <c r="A103" i="11"/>
  <c r="T103" i="11" s="1"/>
  <c r="A104" i="11"/>
  <c r="A101" i="11"/>
  <c r="R101" i="11" s="1"/>
  <c r="A102" i="11"/>
  <c r="A98" i="11"/>
  <c r="R98" i="11" s="1"/>
  <c r="A99" i="11"/>
  <c r="A96" i="11"/>
  <c r="R96" i="11" s="1"/>
  <c r="A97" i="11"/>
  <c r="A93" i="11"/>
  <c r="R93" i="11" s="1"/>
  <c r="A95" i="11"/>
  <c r="A91" i="11"/>
  <c r="R91" i="11" s="1"/>
  <c r="A92" i="11"/>
  <c r="A88" i="11"/>
  <c r="R88" i="11" s="1"/>
  <c r="A90" i="11"/>
  <c r="A86" i="11"/>
  <c r="R86" i="11" s="1"/>
  <c r="A87" i="11"/>
  <c r="A84" i="11"/>
  <c r="R84" i="11" s="1"/>
  <c r="A85" i="11"/>
  <c r="A81" i="11"/>
  <c r="R81" i="11" s="1"/>
  <c r="A82" i="11"/>
  <c r="A79" i="11"/>
  <c r="R79" i="11" s="1"/>
  <c r="A80" i="11"/>
  <c r="A76" i="11"/>
  <c r="R76" i="11" s="1"/>
  <c r="A77" i="11"/>
  <c r="A74" i="11"/>
  <c r="R74" i="11" s="1"/>
  <c r="A75" i="11"/>
  <c r="A71" i="11"/>
  <c r="R71" i="11" s="1"/>
  <c r="A73" i="11"/>
  <c r="A69" i="11"/>
  <c r="R69" i="11" s="1"/>
  <c r="A70" i="11"/>
  <c r="A66" i="11"/>
  <c r="R66" i="11" s="1"/>
  <c r="A68" i="11"/>
  <c r="A64" i="11"/>
  <c r="R64" i="11" s="1"/>
  <c r="A65" i="11"/>
  <c r="A62" i="11"/>
  <c r="R62" i="11" s="1"/>
  <c r="A63" i="11"/>
  <c r="A59" i="11"/>
  <c r="R59" i="11" s="1"/>
  <c r="A60" i="11"/>
  <c r="A57" i="11"/>
  <c r="A58" i="11"/>
  <c r="A55" i="11"/>
  <c r="A56" i="11"/>
  <c r="A53" i="11"/>
  <c r="A54" i="11"/>
  <c r="A50" i="11"/>
  <c r="R50" i="11" s="1"/>
  <c r="A52" i="11"/>
  <c r="A48" i="11"/>
  <c r="R48" i="11" s="1"/>
  <c r="A49" i="11"/>
  <c r="A46" i="11"/>
  <c r="R46" i="11" s="1"/>
  <c r="A47" i="11"/>
  <c r="A32" i="11"/>
  <c r="A35" i="11"/>
  <c r="A36" i="11"/>
  <c r="A29" i="11"/>
  <c r="A31" i="11"/>
  <c r="A30" i="11"/>
  <c r="T30" i="11" s="1"/>
  <c r="A28" i="11"/>
  <c r="A37" i="11"/>
  <c r="AJ107" i="8"/>
  <c r="T25" i="1"/>
  <c r="T180" i="11"/>
  <c r="T175" i="8" s="1"/>
  <c r="T158" i="1" s="1"/>
  <c r="S158" i="1" s="1"/>
  <c r="R180" i="11"/>
  <c r="R175" i="8" s="1"/>
  <c r="R158" i="1" s="1"/>
  <c r="AG28" i="8"/>
  <c r="AI28" i="8" s="1"/>
  <c r="AJ28" i="8" s="1"/>
  <c r="F28" i="8"/>
  <c r="T28" i="8" s="1"/>
  <c r="AH50" i="8" l="1"/>
  <c r="AK50" i="8"/>
  <c r="F76" i="8"/>
  <c r="AI76" i="8"/>
  <c r="AH66" i="8"/>
  <c r="AI66" i="8"/>
  <c r="AJ66" i="8" s="1"/>
  <c r="AK60" i="8"/>
  <c r="AH38" i="8"/>
  <c r="AI38" i="8"/>
  <c r="AJ38" i="8" s="1"/>
  <c r="T115" i="11"/>
  <c r="R115" i="11"/>
  <c r="T119" i="11"/>
  <c r="R119" i="11"/>
  <c r="T114" i="11"/>
  <c r="R114" i="11"/>
  <c r="R113" i="11"/>
  <c r="T113" i="11"/>
  <c r="T118" i="11"/>
  <c r="R118" i="11"/>
  <c r="T120" i="11"/>
  <c r="R120" i="11"/>
  <c r="R112" i="11"/>
  <c r="T112" i="11"/>
  <c r="R121" i="11"/>
  <c r="T121" i="11"/>
  <c r="T117" i="11"/>
  <c r="R117" i="11"/>
  <c r="R116" i="11"/>
  <c r="T116" i="11"/>
  <c r="T78" i="11"/>
  <c r="R78" i="11"/>
  <c r="T67" i="11"/>
  <c r="R67" i="11"/>
  <c r="T89" i="11"/>
  <c r="R89" i="11"/>
  <c r="R100" i="11"/>
  <c r="T100" i="11"/>
  <c r="R103" i="11"/>
  <c r="T101" i="11"/>
  <c r="R104" i="11"/>
  <c r="T104" i="11"/>
  <c r="T98" i="11"/>
  <c r="R102" i="11"/>
  <c r="T102" i="11"/>
  <c r="T93" i="11"/>
  <c r="R99" i="11"/>
  <c r="T99" i="11"/>
  <c r="T96" i="11"/>
  <c r="R97" i="11"/>
  <c r="T97" i="11"/>
  <c r="T91" i="11"/>
  <c r="R95" i="11"/>
  <c r="T95" i="11"/>
  <c r="T88" i="11"/>
  <c r="R92" i="11"/>
  <c r="T92" i="11"/>
  <c r="T86" i="11"/>
  <c r="R90" i="11"/>
  <c r="T90" i="11"/>
  <c r="T84" i="11"/>
  <c r="R87" i="11"/>
  <c r="T87" i="11"/>
  <c r="T81" i="11"/>
  <c r="R85" i="11"/>
  <c r="T85" i="11"/>
  <c r="T79" i="11"/>
  <c r="R82" i="11"/>
  <c r="T82" i="11"/>
  <c r="T76" i="11"/>
  <c r="R80" i="11"/>
  <c r="T80" i="11"/>
  <c r="T74" i="11"/>
  <c r="R77" i="11"/>
  <c r="T77" i="11"/>
  <c r="T71" i="11"/>
  <c r="R75" i="11"/>
  <c r="T75" i="11"/>
  <c r="T69" i="11"/>
  <c r="R73" i="11"/>
  <c r="T73" i="11"/>
  <c r="T66" i="11"/>
  <c r="R70" i="11"/>
  <c r="T70" i="11"/>
  <c r="T64" i="11"/>
  <c r="R68" i="11"/>
  <c r="T68" i="11"/>
  <c r="T62" i="11"/>
  <c r="R65" i="11"/>
  <c r="T65" i="11"/>
  <c r="T59" i="11"/>
  <c r="R63" i="11"/>
  <c r="T63" i="11"/>
  <c r="T50" i="11"/>
  <c r="T48" i="11"/>
  <c r="T46" i="11"/>
  <c r="R49" i="11"/>
  <c r="T49" i="11"/>
  <c r="T44" i="11"/>
  <c r="R47" i="11"/>
  <c r="T47" i="11"/>
  <c r="R45" i="11"/>
  <c r="T45" i="11"/>
  <c r="R32" i="11"/>
  <c r="T32" i="11"/>
  <c r="R34" i="11"/>
  <c r="T34" i="11"/>
  <c r="R33" i="11"/>
  <c r="T33" i="11"/>
  <c r="T58" i="11"/>
  <c r="R58" i="11"/>
  <c r="T53" i="11"/>
  <c r="R53" i="11"/>
  <c r="T56" i="11"/>
  <c r="R56" i="11"/>
  <c r="R55" i="11"/>
  <c r="T55" i="11"/>
  <c r="T52" i="11"/>
  <c r="R52" i="11"/>
  <c r="T60" i="11"/>
  <c r="R60" i="11"/>
  <c r="R54" i="11"/>
  <c r="T54" i="11"/>
  <c r="R57" i="11"/>
  <c r="T57" i="11"/>
  <c r="R30" i="11"/>
  <c r="T37" i="11"/>
  <c r="R37" i="11"/>
  <c r="T106" i="11"/>
  <c r="R106" i="11"/>
  <c r="R177" i="11"/>
  <c r="R172" i="8" s="1"/>
  <c r="R143" i="11"/>
  <c r="R138" i="8" s="1"/>
  <c r="R121" i="1" s="1"/>
  <c r="T177" i="11"/>
  <c r="T172" i="8" s="1"/>
  <c r="R105" i="11"/>
  <c r="T105" i="11"/>
  <c r="R35" i="11"/>
  <c r="T35" i="11"/>
  <c r="R36" i="11"/>
  <c r="T36" i="11"/>
  <c r="R31" i="11"/>
  <c r="T31" i="11"/>
  <c r="T143" i="11"/>
  <c r="T138" i="8" s="1"/>
  <c r="T121" i="1" s="1"/>
  <c r="R28" i="11"/>
  <c r="T28" i="11"/>
  <c r="R29" i="11"/>
  <c r="T29" i="11"/>
  <c r="R140" i="11"/>
  <c r="T140" i="11"/>
  <c r="T24" i="11"/>
  <c r="AH28" i="8"/>
  <c r="AK28" i="8"/>
  <c r="AJ76" i="8" l="1"/>
  <c r="AK76" i="8"/>
  <c r="F86" i="8"/>
  <c r="E78" i="8"/>
  <c r="T76" i="8"/>
  <c r="AK66" i="8"/>
  <c r="AK38" i="8"/>
  <c r="R123" i="11"/>
  <c r="T123" i="11"/>
  <c r="T110" i="11" s="1"/>
  <c r="S121" i="1"/>
  <c r="T183" i="11"/>
  <c r="T191" i="11" s="1"/>
  <c r="T157" i="11"/>
  <c r="T152" i="8" s="1"/>
  <c r="T127" i="11"/>
  <c r="R157" i="11"/>
  <c r="R190" i="11" s="1"/>
  <c r="R108" i="11"/>
  <c r="R131" i="11"/>
  <c r="R126" i="8" s="1"/>
  <c r="R109" i="1" s="1"/>
  <c r="T108" i="11"/>
  <c r="T41" i="11" s="1"/>
  <c r="S24" i="8" s="1"/>
  <c r="T24" i="8" s="1"/>
  <c r="T131" i="11"/>
  <c r="T126" i="8" s="1"/>
  <c r="T109" i="1" s="1"/>
  <c r="R144" i="11"/>
  <c r="T39" i="11"/>
  <c r="T144" i="11"/>
  <c r="T19" i="11"/>
  <c r="T135" i="8"/>
  <c r="T189" i="11"/>
  <c r="R155" i="1"/>
  <c r="T155" i="1"/>
  <c r="R135" i="8"/>
  <c r="R189" i="11"/>
  <c r="E123" i="11" l="1"/>
  <c r="F123" i="11" s="1"/>
  <c r="R110" i="11"/>
  <c r="S109" i="1"/>
  <c r="T178" i="8"/>
  <c r="T186" i="8" s="1"/>
  <c r="F107" i="8"/>
  <c r="B107" i="8" s="1"/>
  <c r="T26" i="11"/>
  <c r="R39" i="11"/>
  <c r="R26" i="11" s="1"/>
  <c r="R152" i="8"/>
  <c r="R185" i="8" s="1"/>
  <c r="T190" i="11"/>
  <c r="T128" i="11"/>
  <c r="E108" i="11"/>
  <c r="F108" i="11" s="1"/>
  <c r="R41" i="11"/>
  <c r="Q24" i="8" s="1"/>
  <c r="R24" i="8" s="1"/>
  <c r="T135" i="1"/>
  <c r="T185" i="8"/>
  <c r="T139" i="8"/>
  <c r="T188" i="11"/>
  <c r="R139" i="8"/>
  <c r="R188" i="11"/>
  <c r="T130" i="11"/>
  <c r="S155" i="1"/>
  <c r="T118" i="1"/>
  <c r="T184" i="8"/>
  <c r="R118" i="1"/>
  <c r="R184" i="8"/>
  <c r="Q22" i="8" l="1"/>
  <c r="R22" i="8" s="1"/>
  <c r="R26" i="8" s="1"/>
  <c r="R94" i="8" s="1"/>
  <c r="S22" i="8"/>
  <c r="T22" i="8" s="1"/>
  <c r="T26" i="8" s="1"/>
  <c r="AN19" i="8" s="1"/>
  <c r="T125" i="8"/>
  <c r="T161" i="1"/>
  <c r="T169" i="1" s="1"/>
  <c r="F25" i="1"/>
  <c r="A25" i="1" s="1"/>
  <c r="E39" i="11"/>
  <c r="F39" i="11" s="1"/>
  <c r="R135" i="1"/>
  <c r="R168" i="1" s="1"/>
  <c r="T192" i="11"/>
  <c r="S135" i="1"/>
  <c r="T168" i="1"/>
  <c r="R122" i="1"/>
  <c r="R166" i="1" s="1"/>
  <c r="R183" i="8"/>
  <c r="T122" i="1"/>
  <c r="T183" i="8"/>
  <c r="T187" i="8" s="1"/>
  <c r="S118" i="1"/>
  <c r="T167" i="1"/>
  <c r="R167" i="1"/>
  <c r="AM19" i="8" l="1"/>
  <c r="AO19" i="8" s="1"/>
  <c r="E19" i="8"/>
  <c r="S161" i="1"/>
  <c r="T165" i="1"/>
  <c r="T37" i="1" s="1"/>
  <c r="E25" i="1"/>
  <c r="B25" i="1"/>
  <c r="R183" i="11"/>
  <c r="R24" i="11"/>
  <c r="R127" i="11"/>
  <c r="T117" i="8"/>
  <c r="R100" i="8"/>
  <c r="S122" i="1"/>
  <c r="T166" i="1"/>
  <c r="T170" i="1" s="1"/>
  <c r="E5" i="29" l="1"/>
  <c r="F5" i="29" s="1"/>
  <c r="F48" i="29" s="1"/>
  <c r="B35" i="1" s="1"/>
  <c r="F19" i="8"/>
  <c r="AG19" i="8"/>
  <c r="S165" i="1"/>
  <c r="E83" i="1"/>
  <c r="R19" i="11"/>
  <c r="E24" i="11"/>
  <c r="F24" i="11" s="1"/>
  <c r="B24" i="11"/>
  <c r="R128" i="11"/>
  <c r="R191" i="11"/>
  <c r="R192" i="11" s="1"/>
  <c r="R178" i="8"/>
  <c r="R130" i="11"/>
  <c r="AJ104" i="8"/>
  <c r="T19" i="8" l="1"/>
  <c r="T94" i="8" s="1"/>
  <c r="F94" i="8"/>
  <c r="AI19" i="8"/>
  <c r="AJ19" i="8" s="1"/>
  <c r="AH19" i="8"/>
  <c r="R161" i="1"/>
  <c r="R186" i="8"/>
  <c r="R187" i="8" s="1"/>
  <c r="R125" i="8"/>
  <c r="AH104" i="8"/>
  <c r="AK104" i="8"/>
  <c r="AK19" i="8" l="1"/>
  <c r="T100" i="8"/>
  <c r="R169" i="1"/>
  <c r="R170" i="1" s="1"/>
  <c r="R165" i="1"/>
  <c r="R117" i="8"/>
  <c r="F100" i="8" l="1"/>
  <c r="B100" i="8" s="1"/>
  <c r="B94" i="8"/>
  <c r="R106" i="8"/>
  <c r="R119" i="8"/>
  <c r="R105" i="8"/>
  <c r="D83" i="1"/>
  <c r="F83" i="1"/>
  <c r="R37" i="1"/>
  <c r="R24" i="1" l="1"/>
  <c r="AH106" i="8"/>
  <c r="AH105" i="8"/>
  <c r="R23" i="1"/>
  <c r="R115" i="8"/>
  <c r="R123" i="8"/>
  <c r="R121" i="8"/>
  <c r="AH115" i="8" l="1"/>
  <c r="AH116" i="8" s="1"/>
  <c r="R35" i="1"/>
  <c r="R39" i="1" s="1"/>
  <c r="F106" i="8"/>
  <c r="T106" i="8"/>
  <c r="F105" i="8"/>
  <c r="F119" i="8"/>
  <c r="AJ106" i="8" l="1"/>
  <c r="T24" i="1"/>
  <c r="F24" i="1"/>
  <c r="B106" i="8"/>
  <c r="F23" i="1"/>
  <c r="F115" i="8"/>
  <c r="T105" i="8"/>
  <c r="T119" i="8"/>
  <c r="B119" i="8" s="1"/>
  <c r="F121" i="8"/>
  <c r="A24" i="1" l="1"/>
  <c r="E24" i="1"/>
  <c r="B24" i="1"/>
  <c r="F123" i="8"/>
  <c r="T23" i="1"/>
  <c r="T35" i="1" s="1"/>
  <c r="AJ105" i="8"/>
  <c r="AJ115" i="8" s="1"/>
  <c r="T115" i="8"/>
  <c r="B105" i="8"/>
  <c r="T123" i="8"/>
  <c r="T121" i="8"/>
  <c r="B121" i="8" s="1"/>
  <c r="C72" i="1"/>
  <c r="E23" i="1"/>
  <c r="F35" i="1"/>
  <c r="T39" i="1" l="1"/>
  <c r="E35" i="1"/>
  <c r="A23" i="1"/>
  <c r="B19" i="1" s="1"/>
  <c r="B23" i="1"/>
  <c r="F72" i="1"/>
  <c r="Q15" i="1"/>
  <c r="AK115" i="8"/>
  <c r="AK116" i="8" s="1"/>
  <c r="AJ116" i="8"/>
  <c r="B123" i="8"/>
  <c r="E22" i="18" l="1"/>
  <c r="Q16" i="1"/>
  <c r="F75" i="1"/>
  <c r="R83" i="1" s="1"/>
  <c r="Q19" i="1" s="1"/>
  <c r="F74" i="1" l="1"/>
  <c r="Q1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Vella</author>
  </authors>
  <commentList>
    <comment ref="C1" authorId="0" shapeId="0" xr:uid="{00000000-0006-0000-0100-000001000000}">
      <text>
        <r>
          <rPr>
            <b/>
            <sz val="8"/>
            <color indexed="81"/>
            <rFont val="Tahoma"/>
            <family val="2"/>
          </rPr>
          <t>Michael Vella:</t>
        </r>
        <r>
          <rPr>
            <sz val="8"/>
            <color indexed="81"/>
            <rFont val="Tahoma"/>
            <family val="2"/>
          </rPr>
          <t xml:space="preserve">
Insert Foreign Currency here (say: 1.55 - $US) and change Q1 accordingly</t>
        </r>
      </text>
    </comment>
    <comment ref="W1" authorId="0" shapeId="0" xr:uid="{00000000-0006-0000-0100-000002000000}">
      <text>
        <r>
          <rPr>
            <b/>
            <sz val="8"/>
            <color indexed="81"/>
            <rFont val="Tahoma"/>
            <family val="2"/>
          </rPr>
          <t>Michael Vella:</t>
        </r>
        <r>
          <rPr>
            <sz val="8"/>
            <color indexed="81"/>
            <rFont val="Tahoma"/>
            <family val="2"/>
          </rPr>
          <t xml:space="preserve">
BOQ      - Use numbers in BOQ column
TDWG   - Use numbers in TDWG column
ACT       - Use numbers in ACT column
DIF_TD - Use (TDWG - BOQ) difference
DIF_A   - Use (ACT - BOQ) difference
</t>
        </r>
      </text>
    </comment>
    <comment ref="R2" authorId="0" shapeId="0" xr:uid="{00000000-0006-0000-0100-000003000000}">
      <text>
        <r>
          <rPr>
            <b/>
            <sz val="8"/>
            <color indexed="81"/>
            <rFont val="Tahoma"/>
            <family val="2"/>
          </rPr>
          <t>Michael Vella:</t>
        </r>
        <r>
          <rPr>
            <sz val="8"/>
            <color indexed="81"/>
            <rFont val="Tahoma"/>
            <family val="2"/>
          </rPr>
          <t xml:space="preserve">
When you want to uplift markups to offset a discount, 
first generate your estimate without any discount and paste the estimate totals as values-only.
Then divide markups by       (1-Dsct%) to get to your original values-only totals.</t>
        </r>
      </text>
    </comment>
    <comment ref="B3" authorId="0" shapeId="0" xr:uid="{00000000-0006-0000-0100-000004000000}">
      <text>
        <r>
          <rPr>
            <b/>
            <sz val="8"/>
            <color indexed="81"/>
            <rFont val="Tahoma"/>
            <family val="2"/>
          </rPr>
          <t>Michael Vella:</t>
        </r>
        <r>
          <rPr>
            <sz val="8"/>
            <color indexed="81"/>
            <rFont val="Tahoma"/>
            <family val="2"/>
          </rPr>
          <t xml:space="preserve">
When job description starts with "Supply only" and the Quote No. is "EL" then the Quote Title in the Quote worksheet will change from PANTA CONTRACTING LTD  to PANTA RETAIL LTD.</t>
        </r>
      </text>
    </comment>
    <comment ref="D7" authorId="0" shapeId="0" xr:uid="{00000000-0006-0000-0100-000005000000}">
      <text>
        <r>
          <rPr>
            <b/>
            <sz val="8"/>
            <color indexed="81"/>
            <rFont val="Tahoma"/>
            <family val="2"/>
          </rPr>
          <t>Michael Vella:</t>
        </r>
        <r>
          <rPr>
            <sz val="8"/>
            <color indexed="81"/>
            <rFont val="Tahoma"/>
            <family val="2"/>
          </rPr>
          <t xml:space="preserve">
Press &lt;CTRL :&gt; to enter the current date.</t>
        </r>
      </text>
    </comment>
    <comment ref="R12" authorId="0" shapeId="0" xr:uid="{00000000-0006-0000-0100-000006000000}">
      <text>
        <r>
          <rPr>
            <b/>
            <sz val="8"/>
            <color indexed="10"/>
            <rFont val="Tahoma"/>
            <family val="2"/>
          </rPr>
          <t>Michael Vella:</t>
        </r>
        <r>
          <rPr>
            <sz val="8"/>
            <color indexed="10"/>
            <rFont val="Tahoma"/>
            <family val="2"/>
          </rPr>
          <t xml:space="preserve">
Enter the markups used  in this cell to make Mario aware eg: (MIXED I,J).
Preferably dedicated markups should be used for the mixed subitems which are not used anywhere else. 
Also the same discount value should then be entered for all three (MIXED, I and J)</t>
        </r>
      </text>
    </comment>
    <comment ref="A33" authorId="0" shapeId="0" xr:uid="{00000000-0006-0000-0100-000007000000}">
      <text>
        <r>
          <rPr>
            <b/>
            <sz val="8"/>
            <color indexed="81"/>
            <rFont val="Tahoma"/>
            <family val="2"/>
          </rPr>
          <t>Michael Vella:</t>
        </r>
        <r>
          <rPr>
            <sz val="8"/>
            <color indexed="81"/>
            <rFont val="Tahoma"/>
            <family val="2"/>
          </rPr>
          <t xml:space="preserve">
Select MIXED if mixed markups are used.
Leave empty if mixed markups are not used.</t>
        </r>
      </text>
    </comment>
    <comment ref="C33" authorId="0" shapeId="0" xr:uid="{00000000-0006-0000-0100-000008000000}">
      <text>
        <r>
          <rPr>
            <b/>
            <sz val="8"/>
            <color indexed="10"/>
            <rFont val="Tahoma"/>
            <family val="2"/>
          </rPr>
          <t>Michael Vella:</t>
        </r>
        <r>
          <rPr>
            <sz val="8"/>
            <color indexed="10"/>
            <rFont val="Tahoma"/>
            <family val="2"/>
          </rPr>
          <t xml:space="preserve">
If a &lt;%Discount on Totals&gt; is required on Mixed Item Blocks you must use dedicated markups (say I and J) for the  SubItems that make up these blocks. These markups must then NOT be used for anything else in this estimate.
Enter the markups used  in this cell to make Mario aware as (MIXED I,J).
Also the same discount value should then be entered for both these markups.</t>
        </r>
      </text>
    </comment>
    <comment ref="R33" authorId="0" shapeId="0" xr:uid="{00000000-0006-0000-0100-000009000000}">
      <text>
        <r>
          <rPr>
            <b/>
            <sz val="8"/>
            <color indexed="10"/>
            <rFont val="Tahoma"/>
            <family val="2"/>
          </rPr>
          <t>Michael Vella:</t>
        </r>
        <r>
          <rPr>
            <sz val="8"/>
            <color indexed="10"/>
            <rFont val="Tahoma"/>
            <family val="2"/>
          </rPr>
          <t xml:space="preserve">
If a &lt;%Discount on Totals&gt; is required on Mixed Item Blocks you must use dedicated markups (say I and J) for the  SubItems that make up these blocks. These markups must then NOT be used for anything else in this estimate.
Enter the markups used  in this cell to make Mario aware as (MIXED I,J).
Also the same discount value should then be entered for both these markups.</t>
        </r>
      </text>
    </comment>
    <comment ref="A37" authorId="0" shapeId="0" xr:uid="{00000000-0006-0000-0100-00000A000000}">
      <text>
        <r>
          <rPr>
            <b/>
            <sz val="8"/>
            <color indexed="81"/>
            <rFont val="Tahoma"/>
            <family val="2"/>
          </rPr>
          <t>Michael Vella:</t>
        </r>
        <r>
          <rPr>
            <sz val="8"/>
            <color indexed="81"/>
            <rFont val="Tahoma"/>
            <family val="2"/>
          </rPr>
          <t xml:space="preserve">
</t>
        </r>
        <r>
          <rPr>
            <sz val="8"/>
            <color indexed="17"/>
            <rFont val="Tahoma"/>
            <family val="2"/>
          </rPr>
          <t xml:space="preserve">Step 1. </t>
        </r>
        <r>
          <rPr>
            <sz val="8"/>
            <color indexed="81"/>
            <rFont val="Tahoma"/>
            <family val="2"/>
          </rPr>
          <t xml:space="preserve">
</t>
        </r>
        <r>
          <rPr>
            <sz val="8"/>
            <color indexed="17"/>
            <rFont val="Tahoma"/>
            <family val="2"/>
          </rPr>
          <t>Enter the Actual Labour Contingency ($T1) used in this cell.</t>
        </r>
      </text>
    </comment>
    <comment ref="S37" authorId="0" shapeId="0" xr:uid="{00000000-0006-0000-0100-00000B000000}">
      <text>
        <r>
          <rPr>
            <b/>
            <sz val="8"/>
            <color indexed="81"/>
            <rFont val="Tahoma"/>
            <family val="2"/>
          </rPr>
          <t>Michael Vella:</t>
        </r>
        <r>
          <rPr>
            <sz val="8"/>
            <color indexed="81"/>
            <rFont val="Tahoma"/>
            <family val="2"/>
          </rPr>
          <t xml:space="preserve">
Cost Code Totals for entry into P.I.T. by Amanda</t>
        </r>
      </text>
    </comment>
    <comment ref="A38" authorId="0" shapeId="0" xr:uid="{00000000-0006-0000-0100-00000C000000}">
      <text>
        <r>
          <rPr>
            <b/>
            <sz val="8"/>
            <color indexed="81"/>
            <rFont val="Tahoma"/>
            <family val="2"/>
          </rPr>
          <t>Michael Vella:</t>
        </r>
        <r>
          <rPr>
            <sz val="8"/>
            <color indexed="81"/>
            <rFont val="Tahoma"/>
            <family val="2"/>
          </rPr>
          <t xml:space="preserve">
</t>
        </r>
        <r>
          <rPr>
            <sz val="8"/>
            <color indexed="17"/>
            <rFont val="Tahoma"/>
            <family val="2"/>
          </rPr>
          <t>Step 2.</t>
        </r>
        <r>
          <rPr>
            <sz val="8"/>
            <color indexed="81"/>
            <rFont val="Tahoma"/>
            <family val="2"/>
          </rPr>
          <t xml:space="preserve">
</t>
        </r>
        <r>
          <rPr>
            <sz val="8"/>
            <color indexed="17"/>
            <rFont val="Tahoma"/>
            <family val="2"/>
          </rPr>
          <t>Paste the Labour PairHours ($T35) as a value with the Labour Contingency set at 1.00 in this cell.</t>
        </r>
      </text>
    </comment>
    <comment ref="A39" authorId="0" shapeId="0" xr:uid="{00000000-0006-0000-0100-00000D000000}">
      <text>
        <r>
          <rPr>
            <b/>
            <sz val="8"/>
            <color indexed="81"/>
            <rFont val="Tahoma"/>
            <family val="2"/>
          </rPr>
          <t>Michael Vella:</t>
        </r>
        <r>
          <rPr>
            <sz val="8"/>
            <color indexed="81"/>
            <rFont val="Tahoma"/>
            <family val="2"/>
          </rPr>
          <t xml:space="preserve">
</t>
        </r>
        <r>
          <rPr>
            <sz val="8"/>
            <color indexed="17"/>
            <rFont val="Tahoma"/>
            <family val="2"/>
          </rPr>
          <t>Step 3.</t>
        </r>
        <r>
          <rPr>
            <sz val="8"/>
            <color indexed="81"/>
            <rFont val="Tahoma"/>
            <family val="2"/>
          </rPr>
          <t xml:space="preserve">
</t>
        </r>
        <r>
          <rPr>
            <sz val="8"/>
            <color indexed="17"/>
            <rFont val="Tahoma"/>
            <family val="2"/>
          </rPr>
          <t>Paste the Labour PairHours  ($T35) as a value with the actual Labour Contingency used in this cell.</t>
        </r>
      </text>
    </comment>
    <comment ref="S39" authorId="0" shapeId="0" xr:uid="{00000000-0006-0000-0100-00000E000000}">
      <text>
        <r>
          <rPr>
            <b/>
            <sz val="8"/>
            <color indexed="81"/>
            <rFont val="Tahoma"/>
            <family val="2"/>
          </rPr>
          <t>Michael Vella:</t>
        </r>
        <r>
          <rPr>
            <sz val="8"/>
            <color indexed="81"/>
            <rFont val="Tahoma"/>
            <family val="2"/>
          </rPr>
          <t xml:space="preserve">
Select &lt;Test for 0.00&gt; and confirm that DiscyT are both 0.00, then make sure that you select PRINT again before printing.</t>
        </r>
      </text>
    </comment>
    <comment ref="D41" authorId="0" shapeId="0" xr:uid="{00000000-0006-0000-0100-00000F000000}">
      <text>
        <r>
          <rPr>
            <b/>
            <sz val="8"/>
            <color indexed="81"/>
            <rFont val="Tahoma"/>
            <family val="2"/>
          </rPr>
          <t>Michael Vella:</t>
        </r>
        <r>
          <rPr>
            <sz val="8"/>
            <color indexed="81"/>
            <rFont val="Tahoma"/>
            <family val="2"/>
          </rPr>
          <t xml:space="preserve">
Press &lt;CTRL :&gt; to enter the current date.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Michael Vella</author>
  </authors>
  <commentList>
    <comment ref="A86" authorId="0" shapeId="0" xr:uid="{AB74E063-EDCA-469F-B449-AF3A3A7AEB3B}">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K104" authorId="0" shapeId="0" xr:uid="{00000000-0006-0000-0400-000001000000}">
      <text>
        <r>
          <rPr>
            <b/>
            <sz val="10"/>
            <color indexed="81"/>
            <rFont val="Tahoma"/>
            <family val="2"/>
          </rPr>
          <t>Michael Vella:</t>
        </r>
        <r>
          <rPr>
            <sz val="10"/>
            <color indexed="81"/>
            <rFont val="Tahoma"/>
            <family val="2"/>
          </rPr>
          <t xml:space="preserve">
This cell should be exactly equal to the MU SUMMARY TOTAL.</t>
        </r>
      </text>
    </comment>
    <comment ref="AH116" authorId="0" shapeId="0" xr:uid="{00000000-0006-0000-0400-000002000000}">
      <text>
        <r>
          <rPr>
            <b/>
            <sz val="10"/>
            <color indexed="81"/>
            <rFont val="Tahoma"/>
            <family val="2"/>
          </rPr>
          <t>Michael Vella:</t>
        </r>
        <r>
          <rPr>
            <sz val="10"/>
            <color indexed="81"/>
            <rFont val="Tahoma"/>
            <family val="2"/>
          </rPr>
          <t xml:space="preserve">
This discrepancy must be small</t>
        </r>
      </text>
    </comment>
    <comment ref="AJ116" authorId="0" shapeId="0" xr:uid="{00000000-0006-0000-0400-000003000000}">
      <text>
        <r>
          <rPr>
            <b/>
            <sz val="10"/>
            <color indexed="81"/>
            <rFont val="Tahoma"/>
            <family val="2"/>
          </rPr>
          <t>Michael Vella:</t>
        </r>
        <r>
          <rPr>
            <sz val="10"/>
            <color indexed="81"/>
            <rFont val="Tahoma"/>
            <family val="2"/>
          </rPr>
          <t xml:space="preserve">
This discrepancy must be small</t>
        </r>
      </text>
    </comment>
    <comment ref="AK116" authorId="0" shapeId="0" xr:uid="{00000000-0006-0000-0400-000004000000}">
      <text>
        <r>
          <rPr>
            <b/>
            <sz val="10"/>
            <color indexed="81"/>
            <rFont val="Tahoma"/>
            <family val="2"/>
          </rPr>
          <t>Michael Vella:</t>
        </r>
        <r>
          <rPr>
            <sz val="10"/>
            <color indexed="81"/>
            <rFont val="Tahoma"/>
            <family val="2"/>
          </rPr>
          <t xml:space="preserve">
This discrepancy must be small</t>
        </r>
      </text>
    </comment>
  </commentList>
</comments>
</file>

<file path=xl/sharedStrings.xml><?xml version="1.0" encoding="utf-8"?>
<sst xmlns="http://schemas.openxmlformats.org/spreadsheetml/2006/main" count="1383" uniqueCount="411">
  <si>
    <t xml:space="preserve">CLIENT: </t>
  </si>
  <si>
    <t>R/Lab Cont</t>
  </si>
  <si>
    <t xml:space="preserve">PROJECT: </t>
  </si>
  <si>
    <t>mu_A</t>
  </si>
  <si>
    <t xml:space="preserve">JOB DESC: </t>
  </si>
  <si>
    <t>mu_B</t>
  </si>
  <si>
    <t xml:space="preserve">QUOTE No: </t>
  </si>
  <si>
    <t>mu_C</t>
  </si>
  <si>
    <t xml:space="preserve">VAT/DUTIES: </t>
  </si>
  <si>
    <t>mu_D</t>
  </si>
  <si>
    <t>mu_E</t>
  </si>
  <si>
    <t xml:space="preserve">SAVED ON: </t>
  </si>
  <si>
    <t>mu_F</t>
  </si>
  <si>
    <t xml:space="preserve">ESTIMATOR: </t>
  </si>
  <si>
    <t>mu_G</t>
  </si>
  <si>
    <t>mu_H</t>
  </si>
  <si>
    <t>mu_I</t>
  </si>
  <si>
    <t>mu_J</t>
  </si>
  <si>
    <t>I_CODE</t>
  </si>
  <si>
    <t>C_CODE</t>
  </si>
  <si>
    <t>MAKE</t>
  </si>
  <si>
    <t>PART_NO</t>
  </si>
  <si>
    <t>MARKUP</t>
  </si>
  <si>
    <t>TYPE</t>
  </si>
  <si>
    <t>LIST_P</t>
  </si>
  <si>
    <t>P_FACT</t>
  </si>
  <si>
    <t>FIX</t>
  </si>
  <si>
    <t>DATE</t>
  </si>
  <si>
    <t>SYSTEMS</t>
  </si>
  <si>
    <t>MU TYPE</t>
  </si>
  <si>
    <t>MAT MU</t>
  </si>
  <si>
    <t>LAB RATE</t>
  </si>
  <si>
    <t>SELLING</t>
  </si>
  <si>
    <t>MATERIAL</t>
  </si>
  <si>
    <t>LABOUR</t>
  </si>
  <si>
    <t>REMARKS:</t>
  </si>
  <si>
    <t>ESTIMATOR:</t>
  </si>
  <si>
    <t>APPROVED BY:</t>
  </si>
  <si>
    <t>SIGNED:</t>
  </si>
  <si>
    <t>DATE APPROVED:</t>
  </si>
  <si>
    <t>PANTA CONTRACTING LTD. - ELECTRICAL DIVISION</t>
  </si>
  <si>
    <t>CONTRACT / VARIATION  INPUT DOCUMENT</t>
  </si>
  <si>
    <t>Copy to:-</t>
  </si>
  <si>
    <t>Client:</t>
  </si>
  <si>
    <t>Project:</t>
  </si>
  <si>
    <t>Job Description:</t>
  </si>
  <si>
    <t>File No:</t>
  </si>
  <si>
    <t>File:-</t>
  </si>
  <si>
    <t>Quote No:</t>
  </si>
  <si>
    <t>Client's Ref:</t>
  </si>
  <si>
    <t>Mat. Cost</t>
  </si>
  <si>
    <t>Total Cost</t>
  </si>
  <si>
    <t>Advanced Payment:</t>
  </si>
  <si>
    <t>Retention:</t>
  </si>
  <si>
    <t>Awarded Date:</t>
  </si>
  <si>
    <t>Estimated Start Date:</t>
  </si>
  <si>
    <t>Estimated Completion Date:</t>
  </si>
  <si>
    <t>.................</t>
  </si>
  <si>
    <t>Date issued:</t>
  </si>
  <si>
    <t>ELECTRICAL AND ELV  CONTRACT / VARIATION BUDGET COST</t>
  </si>
  <si>
    <t xml:space="preserve">   Project:</t>
  </si>
  <si>
    <t>Job Desc:</t>
  </si>
  <si>
    <t>COSTCODE</t>
  </si>
  <si>
    <t xml:space="preserve">Cost </t>
  </si>
  <si>
    <t>Mat.</t>
  </si>
  <si>
    <t>Mat Cost</t>
  </si>
  <si>
    <t>Lab Cost @</t>
  </si>
  <si>
    <t>Labour</t>
  </si>
  <si>
    <t>Code</t>
  </si>
  <si>
    <t>Cont.</t>
  </si>
  <si>
    <t>V:56</t>
  </si>
  <si>
    <t>1(J)</t>
  </si>
  <si>
    <t>cc</t>
  </si>
  <si>
    <t>Erection materials</t>
  </si>
  <si>
    <t>Busbar Trunking</t>
  </si>
  <si>
    <t>Switchgear</t>
  </si>
  <si>
    <t>MCC Equipment</t>
  </si>
  <si>
    <t>BMS Equipment</t>
  </si>
  <si>
    <t>PVC Pipes / Ducts</t>
  </si>
  <si>
    <t>High/medium voltage switchgear</t>
  </si>
  <si>
    <t>Power Transformers</t>
  </si>
  <si>
    <t>Control Panels</t>
  </si>
  <si>
    <t xml:space="preserve">Electrical Single Core Cables </t>
  </si>
  <si>
    <t>11(K)</t>
  </si>
  <si>
    <t xml:space="preserve">Electrical Multicore Cables </t>
  </si>
  <si>
    <t xml:space="preserve">ELV/BMS/Special Cables </t>
  </si>
  <si>
    <t>Cable Accessories</t>
  </si>
  <si>
    <t>Galv. Cable Trays</t>
  </si>
  <si>
    <t>PVC Cable Trays</t>
  </si>
  <si>
    <t>Galv. Cable Basket</t>
  </si>
  <si>
    <t>Galv. Cable Ladder</t>
  </si>
  <si>
    <t>Galv. Cable Trunking</t>
  </si>
  <si>
    <t>Alum. Cable Trunking</t>
  </si>
  <si>
    <t>PVC Cable Trunking</t>
  </si>
  <si>
    <t>21(L)</t>
  </si>
  <si>
    <t>Underfloor Cable Trunking</t>
  </si>
  <si>
    <t>Galv. Conduit</t>
  </si>
  <si>
    <t>PVC Conduit</t>
  </si>
  <si>
    <t>Wiring Accessories</t>
  </si>
  <si>
    <t>Dimming Equipment</t>
  </si>
  <si>
    <t>Fire Alarm Equipment</t>
  </si>
  <si>
    <t>Fire Barriers</t>
  </si>
  <si>
    <t>Security Alarm System</t>
  </si>
  <si>
    <t>Access Control</t>
  </si>
  <si>
    <t>Hotel Electronic Lock</t>
  </si>
  <si>
    <t>31(M)</t>
  </si>
  <si>
    <t>Timing Equipment</t>
  </si>
  <si>
    <t>Public Address</t>
  </si>
  <si>
    <t>Voice Alarm Equipment</t>
  </si>
  <si>
    <t>Lightning / Bonding System</t>
  </si>
  <si>
    <t>T.V System</t>
  </si>
  <si>
    <t>UPS/Voltage Stabilisers</t>
  </si>
  <si>
    <t>Data Network Equipment</t>
  </si>
  <si>
    <t>Light Fittings</t>
  </si>
  <si>
    <t>Generators, AMF Panels</t>
  </si>
  <si>
    <t>41(N)</t>
  </si>
  <si>
    <t>Telephone Equipment</t>
  </si>
  <si>
    <t>Intercom</t>
  </si>
  <si>
    <t>Nurse Call</t>
  </si>
  <si>
    <t>C.C.T.V. Equipment</t>
  </si>
  <si>
    <t>Tools and Instruments</t>
  </si>
  <si>
    <t>Consumbles</t>
  </si>
  <si>
    <t>Drawings/Manuals</t>
  </si>
  <si>
    <t>Spare Parts</t>
  </si>
  <si>
    <t>51(O)</t>
  </si>
  <si>
    <t>Dismantling (Labour Only)</t>
  </si>
  <si>
    <t>Testing &amp; Commissioning</t>
  </si>
  <si>
    <t>Sub-Contracting Works</t>
  </si>
  <si>
    <t>Enemalta Application</t>
  </si>
  <si>
    <t>Crainage and Transportation</t>
  </si>
  <si>
    <t>Provisional Sum</t>
  </si>
  <si>
    <t>Signed for and on behalf of</t>
  </si>
  <si>
    <t>Electrical Division</t>
  </si>
  <si>
    <t>TB</t>
  </si>
  <si>
    <t>t</t>
  </si>
  <si>
    <t xml:space="preserve">Item: </t>
  </si>
  <si>
    <t>Start Typing Header</t>
  </si>
  <si>
    <t>Sell Rate</t>
  </si>
  <si>
    <t>Sell Total</t>
  </si>
  <si>
    <t>IB</t>
  </si>
  <si>
    <t>ISELL</t>
  </si>
  <si>
    <t>ITEM</t>
  </si>
  <si>
    <t>d&gt;</t>
  </si>
  <si>
    <t>ICOST</t>
  </si>
  <si>
    <t>SB!</t>
  </si>
  <si>
    <t xml:space="preserve">MATERIAL SUMMARY </t>
  </si>
  <si>
    <t>MU SUMMARY TOTAL</t>
  </si>
  <si>
    <t>COMP_GT</t>
  </si>
  <si>
    <t>ITEM_GT</t>
  </si>
  <si>
    <t xml:space="preserve">  PAGES  TOTAL</t>
  </si>
  <si>
    <t>PAGE_GT</t>
  </si>
  <si>
    <t>SB</t>
  </si>
  <si>
    <t xml:space="preserve">  SECTIONS TOTAL </t>
  </si>
  <si>
    <t>SECT_GT</t>
  </si>
  <si>
    <t>END!</t>
  </si>
  <si>
    <t>COSTCODE TOTAL</t>
  </si>
  <si>
    <t>Cables accessories</t>
  </si>
  <si>
    <t>Fix 1</t>
  </si>
  <si>
    <t>Fix 2</t>
  </si>
  <si>
    <t>Fix 3</t>
  </si>
  <si>
    <t>Others</t>
  </si>
  <si>
    <t>TOTAL</t>
  </si>
  <si>
    <t>PAGE</t>
  </si>
  <si>
    <t>PAGE SELL</t>
  </si>
  <si>
    <t>PAGE MAT</t>
  </si>
  <si>
    <t>PAGE LAB</t>
  </si>
  <si>
    <t>BOQ ITEMS  TOTAL</t>
  </si>
  <si>
    <t>MATERIAL ITEMS TOTAL</t>
  </si>
  <si>
    <t>Multip</t>
  </si>
  <si>
    <t>RATE</t>
  </si>
  <si>
    <t xml:space="preserve">Based on: </t>
  </si>
  <si>
    <t>&lt;&lt; ==== TOTAL UNITS</t>
  </si>
  <si>
    <t>Sell_A</t>
  </si>
  <si>
    <t>RATE SHEET GRAND TOTAL</t>
  </si>
  <si>
    <t>COMPONENTS</t>
  </si>
  <si>
    <t>COMP_RT</t>
  </si>
  <si>
    <t>RATE SUMS (ITEMS)</t>
  </si>
  <si>
    <t>ITEM_RT</t>
  </si>
  <si>
    <t>RATE TOTALS IN CURRENT SHEET</t>
  </si>
  <si>
    <t xml:space="preserve">   Mech. Cost to us</t>
  </si>
  <si>
    <t>( From CostCode Totals )</t>
  </si>
  <si>
    <t>Totals</t>
  </si>
  <si>
    <t>CLIENT's Ref:</t>
  </si>
  <si>
    <t>TDWG</t>
  </si>
  <si>
    <t>x</t>
  </si>
  <si>
    <t>MULT</t>
  </si>
  <si>
    <t>AREA</t>
  </si>
  <si>
    <t>BOQ</t>
  </si>
  <si>
    <t>ACT</t>
  </si>
  <si>
    <t>DIFF</t>
  </si>
  <si>
    <t>Dated:</t>
  </si>
  <si>
    <t>VAT EXCLUDED.</t>
  </si>
  <si>
    <t>Division</t>
  </si>
  <si>
    <t>Records</t>
  </si>
  <si>
    <t>File</t>
  </si>
  <si>
    <t>INCL</t>
  </si>
  <si>
    <t xml:space="preserve">FILE LOCATION: </t>
  </si>
  <si>
    <t xml:space="preserve">CLIENTs REF: </t>
  </si>
  <si>
    <t xml:space="preserve">Labour Rate - </t>
  </si>
  <si>
    <t>Electrical</t>
  </si>
  <si>
    <t>Contract /Variation (Excl. VAT)</t>
  </si>
  <si>
    <t>DISCOUNTED</t>
  </si>
  <si>
    <t>on Totals</t>
  </si>
  <si>
    <t>% Discnt</t>
  </si>
  <si>
    <t>Markup/LRate</t>
  </si>
  <si>
    <t>%Dsct in BOQ</t>
  </si>
  <si>
    <t>C.C.Totals</t>
  </si>
  <si>
    <t>ItemCode</t>
  </si>
  <si>
    <t>CostCode</t>
  </si>
  <si>
    <t>SET</t>
  </si>
  <si>
    <t>MIXED</t>
  </si>
  <si>
    <t>equal Mus</t>
  </si>
  <si>
    <t>Discy with</t>
  </si>
  <si>
    <t>VAT EXCL.</t>
  </si>
  <si>
    <t>Discy.A-J</t>
  </si>
  <si>
    <t>Discy.L</t>
  </si>
  <si>
    <t>Discy.T &gt;&gt;</t>
  </si>
  <si>
    <t>BOQ RateOnly Items</t>
  </si>
  <si>
    <t>Recon /Lab.Cont &gt;&gt;</t>
  </si>
  <si>
    <t xml:space="preserve">MIXED - X,Y ) </t>
  </si>
  <si>
    <t>MATMU-LABMU</t>
  </si>
  <si>
    <r>
      <t>1)</t>
    </r>
    <r>
      <rPr>
        <sz val="11"/>
        <rFont val="Arial"/>
        <family val="2"/>
      </rPr>
      <t xml:space="preserve"> VAT and Duties as above.</t>
    </r>
  </si>
  <si>
    <r>
      <t>2)</t>
    </r>
    <r>
      <rPr>
        <sz val="11"/>
        <rFont val="Arial"/>
        <family val="2"/>
      </rPr>
      <t xml:space="preserve"> </t>
    </r>
  </si>
  <si>
    <t>Overall Discount</t>
  </si>
  <si>
    <t>Overall Markup (Final Selling Excl.VAT/Total Cost )</t>
  </si>
  <si>
    <t>Average Discount applied in BOQ (Q2-Q12)</t>
  </si>
  <si>
    <t>Average Discount applied on Totals (Q23-Q32)</t>
  </si>
  <si>
    <t>MATERIAL &amp; LABOUR SUMMARY</t>
  </si>
  <si>
    <t xml:space="preserve">ATT: </t>
  </si>
  <si>
    <t>Link to ML_SUM $D1</t>
  </si>
  <si>
    <t>Link to ML_SUM $D2</t>
  </si>
  <si>
    <t>Link to ML_SUM $D3</t>
  </si>
  <si>
    <t>Link to ML_SUM $D4</t>
  </si>
  <si>
    <t>Link to ML_SUM $D5</t>
  </si>
  <si>
    <t>Sell Excl.VAT / Total Cost</t>
  </si>
  <si>
    <t>&lt;2 Phrs @ 1.00</t>
  </si>
  <si>
    <t>&lt;3 Phrs @ Actual</t>
  </si>
  <si>
    <t>&lt;1 Actual LabCont</t>
  </si>
  <si>
    <t>Values Only on :</t>
  </si>
  <si>
    <t>Selling Price (€) :</t>
  </si>
  <si>
    <t>€</t>
  </si>
  <si>
    <t>Pair Hrs.</t>
  </si>
  <si>
    <t>Pair.Hrs</t>
  </si>
  <si>
    <t>Final Sell after Discounts excl.VAT (€):</t>
  </si>
  <si>
    <t>Estim.Sell before Discounts excl.VAT (€):</t>
  </si>
  <si>
    <t>Overall Discount:</t>
  </si>
  <si>
    <t>MAT CONT &gt;&gt;</t>
  </si>
  <si>
    <t>BOQ TOTAL</t>
  </si>
  <si>
    <t xml:space="preserve">VAT: </t>
  </si>
  <si>
    <t xml:space="preserve">LAB. COST: </t>
  </si>
  <si>
    <t>Mechanical for Electrical</t>
  </si>
  <si>
    <t>Ext. Ref:</t>
  </si>
  <si>
    <t xml:space="preserve">INT. QUOT No: </t>
  </si>
  <si>
    <t>U_M_Sell</t>
  </si>
  <si>
    <t>T_M_Sell</t>
  </si>
  <si>
    <t>U_L_Sell</t>
  </si>
  <si>
    <t>T_L_Sell</t>
  </si>
  <si>
    <t>Total_Sell</t>
  </si>
  <si>
    <t>MU</t>
  </si>
  <si>
    <t>LABRATE</t>
  </si>
  <si>
    <t>LABCOST</t>
  </si>
  <si>
    <t>VAT/DISC</t>
  </si>
  <si>
    <t>&lt; for ELM / MEE</t>
  </si>
  <si>
    <t>Mat/Lab=1</t>
  </si>
  <si>
    <t>Tot Mat Cost</t>
  </si>
  <si>
    <t>Tot Lab phr.</t>
  </si>
  <si>
    <t>T_M_Cost</t>
  </si>
  <si>
    <t>T_L_Phr</t>
  </si>
  <si>
    <t xml:space="preserve">LABOUR RATE: </t>
  </si>
  <si>
    <t>Sub-Contracting Installation Elec</t>
  </si>
  <si>
    <t>Mr. K. Micallef</t>
  </si>
  <si>
    <t>Unit Lab phr.</t>
  </si>
  <si>
    <t>m</t>
  </si>
  <si>
    <t>No.</t>
  </si>
  <si>
    <t>Item: 1.01</t>
  </si>
  <si>
    <t>Item: 1.02</t>
  </si>
  <si>
    <t>Discy:</t>
  </si>
  <si>
    <t>No</t>
  </si>
  <si>
    <t>CTT</t>
  </si>
  <si>
    <t>(__)</t>
  </si>
  <si>
    <t>h</t>
  </si>
  <si>
    <t>RATE_AAA</t>
  </si>
  <si>
    <t>Local Rate</t>
  </si>
  <si>
    <t>RTLO_002</t>
  </si>
  <si>
    <t>MISC</t>
  </si>
  <si>
    <t>LS</t>
  </si>
  <si>
    <t>300x50mm Tray</t>
  </si>
  <si>
    <t>TRGV_009</t>
  </si>
  <si>
    <t>300x50mm Tray Coupler</t>
  </si>
  <si>
    <t>Tray Earth Links</t>
  </si>
  <si>
    <t>Tray Coupling Bolts</t>
  </si>
  <si>
    <t>Tray  300mm  Galv.     Cover</t>
  </si>
  <si>
    <t>TRGV_057</t>
  </si>
  <si>
    <t>EMAT_019</t>
  </si>
  <si>
    <t>HIL</t>
  </si>
  <si>
    <t>MS-413m</t>
  </si>
  <si>
    <t>02-018</t>
  </si>
  <si>
    <t>Hilti</t>
  </si>
  <si>
    <t>HLC Sleeve Anchor 10mm  HLC 10x50/15</t>
  </si>
  <si>
    <t>Push Button Hilti M10 MQN-F</t>
  </si>
  <si>
    <t>Wing Nut Hilti  M8 MQM-M8-F</t>
  </si>
  <si>
    <t xml:space="preserve">Hex.Set Screw  M8x25 </t>
  </si>
  <si>
    <t>Tray Washers M8</t>
  </si>
  <si>
    <t>Labour to manufacture and install brackets</t>
  </si>
  <si>
    <t>SECT</t>
  </si>
  <si>
    <t>SECT SELL</t>
  </si>
  <si>
    <t>SECT MAT</t>
  </si>
  <si>
    <t>SECT LAB</t>
  </si>
  <si>
    <t>ST Microelectronics (Malta) Ltd.</t>
  </si>
  <si>
    <t>Tender</t>
  </si>
  <si>
    <t>001# 1c x 240sqmm FG160M1 cables</t>
  </si>
  <si>
    <t>003# Cable Containment Support</t>
  </si>
  <si>
    <t xml:space="preserve"> SUBCONTRACTING WORKS</t>
  </si>
  <si>
    <t>SUBC_001</t>
  </si>
  <si>
    <t>Based on: brackets spaced at metres intervals</t>
  </si>
  <si>
    <t>Labour for connecting up in existing switchboards and Chillers</t>
  </si>
  <si>
    <t>To Install</t>
  </si>
  <si>
    <t>Manufacture</t>
  </si>
  <si>
    <t>Tray  300mm  Galv.     Cover clamp</t>
  </si>
  <si>
    <t xml:space="preserve">PAGE:  </t>
  </si>
  <si>
    <t>TOTAL FOR ADDITIONAL ITEMS</t>
  </si>
  <si>
    <t xml:space="preserve">Not quoted by Legrand </t>
  </si>
  <si>
    <t>NOTES:</t>
  </si>
  <si>
    <t>Umut Kaymak</t>
  </si>
  <si>
    <t>Ms. S. Magri</t>
  </si>
  <si>
    <t>Mr. A. Sciberras</t>
  </si>
  <si>
    <t>A. Sciberras</t>
  </si>
  <si>
    <t>1c x 240sqmm FG160M1 XLPE/LSZH cables from KK2A S/S to Chiller 3 (Quantity 9 cables)</t>
  </si>
  <si>
    <t>15 metres Wall</t>
  </si>
  <si>
    <t>Galv. Nut  8mm M8-F</t>
  </si>
  <si>
    <t>70 metres Ceiling 0.5m height</t>
  </si>
  <si>
    <t>20 metres Riser 0.15m height</t>
  </si>
  <si>
    <t>5 metres Riser</t>
  </si>
  <si>
    <t>Supports - HDG - Switch Room</t>
  </si>
  <si>
    <t>Supports - HDG - Tunnel</t>
  </si>
  <si>
    <t>Supports - HDG - Boiler</t>
  </si>
  <si>
    <t>Supports - HDG - Shaft</t>
  </si>
  <si>
    <t>Supports - HDG - Roof</t>
  </si>
  <si>
    <t>15 metres Ceiling 1.2m height</t>
  </si>
  <si>
    <t>Legrand - ESS</t>
  </si>
  <si>
    <t>FLAT BEND</t>
  </si>
  <si>
    <t>INSIDE RISER BEND</t>
  </si>
  <si>
    <t>TEE</t>
  </si>
  <si>
    <t>CMP</t>
  </si>
  <si>
    <t>AJ</t>
  </si>
  <si>
    <t>Cleveland</t>
  </si>
  <si>
    <t>Crane to carry the materials to the roof</t>
  </si>
  <si>
    <t>Channel MT-40 S OC</t>
  </si>
  <si>
    <t>Channel 40x40 Endcap MT-EC-40/50</t>
  </si>
  <si>
    <t>Channel Base Hilti MT-B-O2-OC</t>
  </si>
  <si>
    <t>Angle Hilti 90deg MT-C-LL1 OC</t>
  </si>
  <si>
    <t>Electrical Supply and Installation</t>
  </si>
  <si>
    <t>25 m Roof excluding the structure</t>
  </si>
  <si>
    <t>new</t>
  </si>
  <si>
    <t>old</t>
  </si>
  <si>
    <t>004# 300mm Without Matterial galvanised steel cable tray complete with cover</t>
  </si>
  <si>
    <t>Cable Tray Supply &amp; Installation</t>
  </si>
  <si>
    <t>Hot diped Galvenized Cable tray 200*50mm complete with brackets with lids</t>
  </si>
  <si>
    <t>Hot Diped galvanized Hilti structures</t>
  </si>
  <si>
    <t>FG16OM16 0,6/1 Kmtr grn lszh 5g16 MMSQ fg160m1 .6/1V</t>
  </si>
  <si>
    <t>200x50mm Tray</t>
  </si>
  <si>
    <t>Tray  200mm  Galv.     Cover</t>
  </si>
  <si>
    <t>Tray  200mm  Galv.     Cover clamp</t>
  </si>
  <si>
    <t>200x50mm Tray Coupler</t>
  </si>
  <si>
    <t>EXTERNAL RISER BEND</t>
  </si>
  <si>
    <t>MT</t>
  </si>
  <si>
    <t>Included in item 1.01</t>
  </si>
  <si>
    <t>CAMC_091</t>
  </si>
  <si>
    <t>16mm2</t>
  </si>
  <si>
    <t>05-006</t>
  </si>
  <si>
    <t xml:space="preserve">KK2 General Exhaust Replacement </t>
  </si>
  <si>
    <t>ITEM NO.</t>
  </si>
  <si>
    <t>DESCRIPTION</t>
  </si>
  <si>
    <t>QTY</t>
  </si>
  <si>
    <t>UNIT</t>
  </si>
  <si>
    <t xml:space="preserve">RATE </t>
  </si>
  <si>
    <t xml:space="preserve">Total - </t>
  </si>
  <si>
    <t>FG16OM5G016</t>
  </si>
  <si>
    <t>Cable Lug  16  mm2</t>
  </si>
  <si>
    <t>CAAC_009</t>
  </si>
  <si>
    <t>Gland Indoor 32  BWL  4*25/35mm2</t>
  </si>
  <si>
    <t>CAAC_044</t>
  </si>
  <si>
    <t>4 circuits</t>
  </si>
  <si>
    <t>Item: 2.01</t>
  </si>
  <si>
    <t>Dismantling the existing Board</t>
  </si>
  <si>
    <t>LABO_001</t>
  </si>
  <si>
    <t>Dismantling the Existing Board</t>
  </si>
  <si>
    <t>Item: 2.02</t>
  </si>
  <si>
    <t>Termination of 3 x 5x16 cable</t>
  </si>
  <si>
    <t>Termination of the Power Cables to Existing MCCs</t>
  </si>
  <si>
    <t>Power Cable Supply, Laying &amp; Wiring</t>
  </si>
  <si>
    <t>n</t>
  </si>
  <si>
    <t>Discrepancy</t>
  </si>
  <si>
    <t>SUBI</t>
  </si>
  <si>
    <t>&gt;&gt;&gt; mu_A material here &gt;&gt;&gt;</t>
  </si>
  <si>
    <t>VRFs Supply and Installation</t>
  </si>
  <si>
    <t>Item: 3.01</t>
  </si>
  <si>
    <t>BMSE_001</t>
  </si>
  <si>
    <t>VRF</t>
  </si>
  <si>
    <t>VRF Installation Only</t>
  </si>
  <si>
    <t>VRF Termination Only</t>
  </si>
  <si>
    <t>002# 200mm galvanised steel cable tray complete with cover</t>
  </si>
  <si>
    <t>Dismantling Existing Distribution Board</t>
  </si>
  <si>
    <t>Terminating the Dismantled cables to existing control panel adjacent to distribution board</t>
  </si>
  <si>
    <t>Cable Termination only</t>
  </si>
  <si>
    <t>Item: 1.03</t>
  </si>
  <si>
    <t>PRINT</t>
  </si>
  <si>
    <t>EL25-0559</t>
  </si>
  <si>
    <t>Termination of the FG16OM16 0,6/1 Kmtr grn lszh 5g16 MMSQ fg160m1 .6/1V Cable to Existing MCCs</t>
  </si>
  <si>
    <t>Controls</t>
  </si>
  <si>
    <t>Supply and Install VRFs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</si>
</sst>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9">
    <numFmt numFmtId="44" formatCode="_-&quot;€&quot;* #,##0.00_-;\-&quot;€&quot;* #,##0.00_-;_-&quot;€&quot;* &quot;-&quot;??_-;_-@_-"/>
    <numFmt numFmtId="43" formatCode="_-* #,##0.00_-;\-* #,##0.00_-;_-* &quot;-&quot;??_-;_-@_-"/>
    <numFmt numFmtId="164" formatCode="_-&quot;£&quot;* #,##0.00_-;\-&quot;£&quot;* #,##0.00_-;_-&quot;£&quot;* &quot;-&quot;??_-;_-@_-"/>
    <numFmt numFmtId="165" formatCode="_(&quot;$&quot;* #,##0.00_);_(&quot;$&quot;* \(#,##0.00\);_(&quot;$&quot;* &quot;-&quot;??_);_(@_)"/>
    <numFmt numFmtId="166" formatCode="0.000"/>
    <numFmt numFmtId="167" formatCode="&quot;Lm &quot;#,##0.00_);[Red]\(&quot;Lm &quot;#,##0.00\)"/>
    <numFmt numFmtId="168" formatCode="\(\ 0.00%\ \)"/>
    <numFmt numFmtId="169" formatCode="&quot;Lm/hr &quot;#,##0.00_);[Red]\(&quot;Lm &quot;#,##0.00\)"/>
    <numFmt numFmtId="170" formatCode="dd/mm/yy;@"/>
    <numFmt numFmtId="171" formatCode="[$€-2]\ #,##0.00"/>
    <numFmt numFmtId="172" formatCode="0.0000"/>
    <numFmt numFmtId="173" formatCode="0.0000000"/>
    <numFmt numFmtId="174" formatCode="#,##0.00_ ;\-#,##0.00\ "/>
    <numFmt numFmtId="175" formatCode="&quot;€/Prhr &quot;#,##0.00_);[Red]\(&quot;Lm &quot;#,##0.00\)"/>
    <numFmt numFmtId="176" formatCode="##,##0.00;[Red]\-#,##0.00"/>
    <numFmt numFmtId="177" formatCode="##,##0.00;[Red]\-#,###"/>
    <numFmt numFmtId="178" formatCode="##,##0.00;[Red]\-##,##0.00"/>
    <numFmt numFmtId="179" formatCode="&quot;€/Prhr &quot;#,##0.000_);[Red]\(&quot;Lm &quot;#,##0.000\)"/>
    <numFmt numFmtId="180" formatCode="#,##0.00_ ;[Red]\-#,##0.00\ "/>
    <numFmt numFmtId="181" formatCode="#,##0.000_ ;\-#,##0.000\ "/>
    <numFmt numFmtId="182" formatCode="[$€-413]\ #,##0.00;[$€-413]\ \-#,##0.00"/>
    <numFmt numFmtId="183" formatCode="_ * #,##0.00_ ;_ * \-#,##0.00_ ;_ * &quot;-&quot;??_ ;_ @_ "/>
    <numFmt numFmtId="184" formatCode="_-* #,##0.00\ &quot;Ft&quot;_-;\-* #,##0.00\ &quot;Ft&quot;_-;_-* &quot;-&quot;??\ &quot;Ft&quot;_-;_-@_-"/>
    <numFmt numFmtId="185" formatCode="_ &quot;R&quot;\ * #,##0.00_ ;_ &quot;R&quot;\ * \-#,##0.00_ ;_ &quot;R&quot;\ * &quot;-&quot;??_ ;_ @_ "/>
    <numFmt numFmtId="186" formatCode="[$-809]General"/>
    <numFmt numFmtId="187" formatCode="#,##0.00&quot; Kc&quot;;[Red]\-#,##0.00&quot; Kc&quot;"/>
    <numFmt numFmtId="188" formatCode="#,##0.00_ ;[Red]\(#,##0.00\)"/>
    <numFmt numFmtId="189" formatCode="###,000"/>
    <numFmt numFmtId="190" formatCode="_-&quot;L.&quot;\ * #,##0_-;\-&quot;L.&quot;\ * #,##0_-;_-&quot;L.&quot;\ * &quot;-&quot;_-;_-@_-"/>
  </numFmts>
  <fonts count="21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Arial"/>
      <family val="2"/>
    </font>
    <font>
      <i/>
      <sz val="10"/>
      <name val="Arial"/>
      <family val="2"/>
    </font>
    <font>
      <b/>
      <i/>
      <sz val="10"/>
      <name val="Arial"/>
      <family val="2"/>
    </font>
    <font>
      <sz val="10"/>
      <name val="Arial"/>
      <family val="2"/>
    </font>
    <font>
      <sz val="9"/>
      <color indexed="24"/>
      <name val="Arial"/>
      <family val="2"/>
    </font>
    <font>
      <b/>
      <sz val="8"/>
      <color indexed="24"/>
      <name val="Arial"/>
      <family val="2"/>
    </font>
    <font>
      <sz val="9"/>
      <name val="Arial"/>
      <family val="2"/>
    </font>
    <font>
      <sz val="10"/>
      <name val="Arial"/>
      <family val="2"/>
    </font>
    <font>
      <sz val="8"/>
      <color indexed="24"/>
      <name val="Arial"/>
      <family val="2"/>
    </font>
    <font>
      <i/>
      <sz val="8"/>
      <color indexed="24"/>
      <name val="Arial"/>
      <family val="2"/>
    </font>
    <font>
      <sz val="10"/>
      <color indexed="24"/>
      <name val="Arial"/>
      <family val="2"/>
    </font>
    <font>
      <sz val="9"/>
      <name val="Arial"/>
      <family val="2"/>
    </font>
    <font>
      <sz val="8"/>
      <name val="Arial"/>
      <family val="2"/>
    </font>
    <font>
      <b/>
      <u/>
      <sz val="9"/>
      <name val="Arial"/>
      <family val="2"/>
    </font>
    <font>
      <b/>
      <sz val="9"/>
      <name val="Arial"/>
      <family val="2"/>
    </font>
    <font>
      <sz val="9"/>
      <color indexed="9"/>
      <name val="Arial"/>
      <family val="2"/>
    </font>
    <font>
      <b/>
      <i/>
      <sz val="8"/>
      <name val="Arial"/>
      <family val="2"/>
    </font>
    <font>
      <sz val="9"/>
      <color indexed="13"/>
      <name val="Arial"/>
      <family val="2"/>
    </font>
    <font>
      <b/>
      <sz val="9"/>
      <name val="Arial"/>
      <family val="2"/>
    </font>
    <font>
      <b/>
      <i/>
      <sz val="11"/>
      <name val="Arial"/>
      <family val="2"/>
    </font>
    <font>
      <b/>
      <sz val="9"/>
      <color indexed="13"/>
      <name val="Arial"/>
      <family val="2"/>
    </font>
    <font>
      <sz val="9"/>
      <color indexed="10"/>
      <name val="Arial"/>
      <family val="2"/>
    </font>
    <font>
      <b/>
      <sz val="10"/>
      <name val="Arial"/>
      <family val="2"/>
    </font>
    <font>
      <sz val="9"/>
      <color indexed="13"/>
      <name val="Arial"/>
      <family val="2"/>
    </font>
    <font>
      <sz val="9"/>
      <color indexed="34"/>
      <name val="Arial"/>
      <family val="2"/>
    </font>
    <font>
      <sz val="10"/>
      <name val="MS Sans Serif"/>
      <family val="2"/>
    </font>
    <font>
      <i/>
      <sz val="8"/>
      <name val="Arial"/>
      <family val="2"/>
    </font>
    <font>
      <b/>
      <u/>
      <sz val="10"/>
      <name val="Arial"/>
      <family val="2"/>
    </font>
    <font>
      <b/>
      <sz val="8"/>
      <name val="Arial"/>
      <family val="2"/>
    </font>
    <font>
      <b/>
      <u/>
      <sz val="8"/>
      <name val="Arial"/>
      <family val="2"/>
    </font>
    <font>
      <sz val="10"/>
      <name val="Courier"/>
      <family val="3"/>
    </font>
    <font>
      <b/>
      <sz val="8"/>
      <name val="Arial"/>
      <family val="2"/>
    </font>
    <font>
      <sz val="8"/>
      <name val="Arial"/>
      <family val="2"/>
    </font>
    <font>
      <sz val="8"/>
      <color indexed="10"/>
      <name val="Arial"/>
      <family val="2"/>
    </font>
    <font>
      <u/>
      <sz val="10"/>
      <name val="Arial"/>
      <family val="2"/>
    </font>
    <font>
      <b/>
      <i/>
      <sz val="7"/>
      <name val="Arial"/>
      <family val="2"/>
    </font>
    <font>
      <i/>
      <sz val="7"/>
      <name val="Arial"/>
      <family val="2"/>
    </font>
    <font>
      <b/>
      <sz val="6"/>
      <name val="Arial"/>
      <family val="2"/>
    </font>
    <font>
      <b/>
      <i/>
      <u/>
      <sz val="10"/>
      <name val="Arial Narrow"/>
      <family val="2"/>
    </font>
    <font>
      <b/>
      <u/>
      <sz val="12"/>
      <name val="Arial"/>
      <family val="2"/>
    </font>
    <font>
      <u/>
      <sz val="9"/>
      <name val="Arial"/>
      <family val="2"/>
    </font>
    <font>
      <sz val="11"/>
      <name val="Arial"/>
      <family val="2"/>
    </font>
    <font>
      <b/>
      <sz val="12"/>
      <name val="Arial"/>
      <family val="2"/>
    </font>
    <font>
      <sz val="12"/>
      <name val="Normal"/>
    </font>
    <font>
      <b/>
      <u/>
      <sz val="10"/>
      <name val="Arial"/>
      <family val="2"/>
    </font>
    <font>
      <sz val="9"/>
      <name val="Normal"/>
    </font>
    <font>
      <b/>
      <u/>
      <sz val="11"/>
      <name val="Arial"/>
      <family val="2"/>
    </font>
    <font>
      <u/>
      <sz val="11"/>
      <name val="Arial"/>
      <family val="2"/>
    </font>
    <font>
      <b/>
      <i/>
      <sz val="12"/>
      <name val="Normal"/>
    </font>
    <font>
      <i/>
      <sz val="10"/>
      <name val="Arial"/>
      <family val="2"/>
    </font>
    <font>
      <b/>
      <sz val="11"/>
      <name val="Arial"/>
      <family val="2"/>
    </font>
    <font>
      <b/>
      <sz val="11"/>
      <name val="Arial"/>
      <family val="2"/>
    </font>
    <font>
      <b/>
      <sz val="9"/>
      <color indexed="50"/>
      <name val="Arial"/>
      <family val="2"/>
    </font>
    <font>
      <i/>
      <sz val="10"/>
      <color indexed="50"/>
      <name val="Arial"/>
      <family val="2"/>
    </font>
    <font>
      <u/>
      <sz val="10"/>
      <color indexed="24"/>
      <name val="Arial"/>
      <family val="2"/>
    </font>
    <font>
      <b/>
      <sz val="10"/>
      <color indexed="24"/>
      <name val="Arial"/>
      <family val="2"/>
    </font>
    <font>
      <b/>
      <sz val="6"/>
      <color indexed="24"/>
      <name val="Arial"/>
      <family val="2"/>
    </font>
    <font>
      <sz val="9"/>
      <color indexed="50"/>
      <name val="Arial"/>
      <family val="2"/>
    </font>
    <font>
      <sz val="8"/>
      <color indexed="48"/>
      <name val="Arial"/>
      <family val="2"/>
    </font>
    <font>
      <sz val="7"/>
      <color indexed="24"/>
      <name val="Arial"/>
      <family val="2"/>
    </font>
    <font>
      <sz val="8"/>
      <color indexed="81"/>
      <name val="Tahoma"/>
      <family val="2"/>
    </font>
    <font>
      <i/>
      <sz val="9"/>
      <name val="Arial"/>
      <family val="2"/>
    </font>
    <font>
      <sz val="10"/>
      <color indexed="9"/>
      <name val="Arial"/>
      <family val="2"/>
    </font>
    <font>
      <i/>
      <sz val="9"/>
      <name val="Arial"/>
      <family val="2"/>
    </font>
    <font>
      <b/>
      <i/>
      <sz val="9"/>
      <name val="Arial"/>
      <family val="2"/>
    </font>
    <font>
      <sz val="11"/>
      <color indexed="50"/>
      <name val="Arial"/>
      <family val="2"/>
    </font>
    <font>
      <sz val="10"/>
      <color indexed="21"/>
      <name val="Arial"/>
      <family val="2"/>
    </font>
    <font>
      <b/>
      <sz val="10"/>
      <color indexed="21"/>
      <name val="Arial"/>
      <family val="2"/>
    </font>
    <font>
      <sz val="12"/>
      <color indexed="19"/>
      <name val="Normal"/>
    </font>
    <font>
      <b/>
      <sz val="12"/>
      <color indexed="19"/>
      <name val="Normal"/>
    </font>
    <font>
      <sz val="10"/>
      <color indexed="19"/>
      <name val="Arial"/>
      <family val="2"/>
    </font>
    <font>
      <b/>
      <sz val="9"/>
      <color indexed="19"/>
      <name val="Arial"/>
      <family val="2"/>
    </font>
    <font>
      <sz val="8"/>
      <name val="Arial Narrow"/>
      <family val="2"/>
    </font>
    <font>
      <b/>
      <sz val="8"/>
      <name val="Arial Narrow"/>
      <family val="2"/>
    </font>
    <font>
      <b/>
      <sz val="8"/>
      <color indexed="12"/>
      <name val="Arial Narrow"/>
      <family val="2"/>
    </font>
    <font>
      <sz val="10"/>
      <color indexed="55"/>
      <name val="Arial"/>
      <family val="2"/>
    </font>
    <font>
      <b/>
      <sz val="9"/>
      <color indexed="56"/>
      <name val="Arial Narrow"/>
      <family val="2"/>
    </font>
    <font>
      <b/>
      <sz val="9"/>
      <color indexed="10"/>
      <name val="Arial Narrow"/>
      <family val="2"/>
    </font>
    <font>
      <sz val="9"/>
      <name val="Arial Narrow"/>
      <family val="2"/>
    </font>
    <font>
      <b/>
      <sz val="8"/>
      <color indexed="81"/>
      <name val="Tahoma"/>
      <family val="2"/>
    </font>
    <font>
      <sz val="10"/>
      <color indexed="60"/>
      <name val="Arial Narrow"/>
      <family val="2"/>
    </font>
    <font>
      <b/>
      <sz val="10"/>
      <color indexed="10"/>
      <name val="Arial"/>
      <family val="2"/>
    </font>
    <font>
      <sz val="10"/>
      <name val="Arial Narrow"/>
      <family val="2"/>
    </font>
    <font>
      <i/>
      <sz val="8"/>
      <name val="Arial Narrow"/>
      <family val="2"/>
    </font>
    <font>
      <u/>
      <sz val="10"/>
      <name val="Arial Narrow"/>
      <family val="2"/>
    </font>
    <font>
      <b/>
      <sz val="9"/>
      <color indexed="53"/>
      <name val="Arial"/>
      <family val="2"/>
    </font>
    <font>
      <sz val="10"/>
      <color indexed="8"/>
      <name val="Arial Narrow"/>
      <family val="2"/>
    </font>
    <font>
      <sz val="8"/>
      <color indexed="23"/>
      <name val="Arial"/>
      <family val="2"/>
    </font>
    <font>
      <sz val="9"/>
      <color indexed="10"/>
      <name val="Arial"/>
      <family val="2"/>
    </font>
    <font>
      <sz val="8"/>
      <color indexed="61"/>
      <name val="Arial Narrow"/>
      <family val="2"/>
    </font>
    <font>
      <sz val="8"/>
      <color indexed="12"/>
      <name val="Arial Narrow"/>
      <family val="2"/>
    </font>
    <font>
      <sz val="8"/>
      <color indexed="10"/>
      <name val="Arial Narrow"/>
      <family val="2"/>
    </font>
    <font>
      <sz val="8"/>
      <color indexed="23"/>
      <name val="Arial Narrow"/>
      <family val="2"/>
    </font>
    <font>
      <sz val="8"/>
      <color indexed="10"/>
      <name val="Arial"/>
      <family val="2"/>
    </font>
    <font>
      <b/>
      <sz val="9"/>
      <color indexed="61"/>
      <name val="Arial"/>
      <family val="2"/>
    </font>
    <font>
      <sz val="8"/>
      <color indexed="61"/>
      <name val="Arial"/>
      <family val="2"/>
    </font>
    <font>
      <sz val="8"/>
      <color indexed="61"/>
      <name val="Arial"/>
      <family val="2"/>
    </font>
    <font>
      <sz val="8"/>
      <color indexed="17"/>
      <name val="Arial"/>
      <family val="2"/>
    </font>
    <font>
      <b/>
      <u/>
      <sz val="14"/>
      <name val="Arial"/>
      <family val="2"/>
    </font>
    <font>
      <b/>
      <sz val="9"/>
      <color indexed="10"/>
      <name val="Arial"/>
      <family val="2"/>
    </font>
    <font>
      <sz val="9"/>
      <color indexed="48"/>
      <name val="Arial"/>
      <family val="2"/>
    </font>
    <font>
      <b/>
      <i/>
      <sz val="10"/>
      <color indexed="24"/>
      <name val="Arial"/>
      <family val="2"/>
    </font>
    <font>
      <b/>
      <sz val="8"/>
      <color indexed="10"/>
      <name val="Tahoma"/>
      <family val="2"/>
    </font>
    <font>
      <sz val="8"/>
      <color indexed="10"/>
      <name val="Tahoma"/>
      <family val="2"/>
    </font>
    <font>
      <sz val="6"/>
      <color indexed="61"/>
      <name val="Arial"/>
      <family val="2"/>
    </font>
    <font>
      <sz val="7"/>
      <color indexed="10"/>
      <name val="Arial"/>
      <family val="2"/>
    </font>
    <font>
      <b/>
      <sz val="10"/>
      <color indexed="21"/>
      <name val="Arial"/>
      <family val="2"/>
    </font>
    <font>
      <b/>
      <sz val="16"/>
      <color indexed="10"/>
      <name val="Arial"/>
      <family val="2"/>
    </font>
    <font>
      <b/>
      <sz val="6"/>
      <name val="Arial Narrow"/>
      <family val="2"/>
    </font>
    <font>
      <sz val="8"/>
      <color indexed="20"/>
      <name val="Arial Narrow"/>
      <family val="2"/>
    </font>
    <font>
      <sz val="8"/>
      <color indexed="23"/>
      <name val="Arial"/>
      <family val="2"/>
    </font>
    <font>
      <b/>
      <sz val="12"/>
      <color indexed="10"/>
      <name val="Arial"/>
      <family val="2"/>
    </font>
    <font>
      <sz val="14"/>
      <color indexed="10"/>
      <name val="Arial"/>
      <family val="2"/>
    </font>
    <font>
      <sz val="6"/>
      <color indexed="23"/>
      <name val="Arial"/>
      <family val="2"/>
    </font>
    <font>
      <sz val="6"/>
      <color indexed="23"/>
      <name val="Arial Narrow"/>
      <family val="2"/>
    </font>
    <font>
      <sz val="8"/>
      <color indexed="17"/>
      <name val="Tahoma"/>
      <family val="2"/>
    </font>
    <font>
      <b/>
      <sz val="16"/>
      <color indexed="17"/>
      <name val="Arial"/>
      <family val="2"/>
    </font>
    <font>
      <b/>
      <u/>
      <sz val="8"/>
      <name val="Arial"/>
      <family val="2"/>
    </font>
    <font>
      <b/>
      <sz val="8"/>
      <color indexed="21"/>
      <name val="Arial"/>
      <family val="2"/>
    </font>
    <font>
      <sz val="8"/>
      <color indexed="21"/>
      <name val="Arial"/>
      <family val="2"/>
    </font>
    <font>
      <sz val="10"/>
      <name val="Arial"/>
      <family val="2"/>
    </font>
    <font>
      <b/>
      <sz val="9"/>
      <color indexed="21"/>
      <name val="Arial"/>
      <family val="2"/>
    </font>
    <font>
      <sz val="9"/>
      <color indexed="63"/>
      <name val="Arial"/>
      <family val="2"/>
    </font>
    <font>
      <b/>
      <sz val="9"/>
      <color indexed="63"/>
      <name val="Arial"/>
      <family val="2"/>
    </font>
    <font>
      <sz val="10"/>
      <color indexed="50"/>
      <name val="Arial"/>
      <family val="2"/>
    </font>
    <font>
      <b/>
      <sz val="10"/>
      <name val="Arial Black"/>
      <family val="2"/>
    </font>
    <font>
      <i/>
      <sz val="9"/>
      <color indexed="63"/>
      <name val="Arial"/>
      <family val="2"/>
    </font>
    <font>
      <i/>
      <sz val="9"/>
      <color indexed="63"/>
      <name val="Arial Narrow"/>
      <family val="2"/>
    </font>
    <font>
      <b/>
      <sz val="12"/>
      <color indexed="17"/>
      <name val="Arial"/>
      <family val="2"/>
    </font>
    <font>
      <b/>
      <sz val="14"/>
      <name val="Arial"/>
      <family val="2"/>
    </font>
    <font>
      <b/>
      <i/>
      <sz val="8"/>
      <color indexed="9"/>
      <name val="Arial"/>
      <family val="2"/>
    </font>
    <font>
      <sz val="9"/>
      <color indexed="9"/>
      <name val="Arial"/>
      <family val="2"/>
    </font>
    <font>
      <u/>
      <sz val="10"/>
      <color indexed="9"/>
      <name val="Arial"/>
      <family val="2"/>
    </font>
    <font>
      <u/>
      <sz val="10"/>
      <name val="Arial"/>
      <family val="2"/>
    </font>
    <font>
      <b/>
      <sz val="14"/>
      <color indexed="17"/>
      <name val="Arial"/>
      <family val="2"/>
    </font>
    <font>
      <b/>
      <sz val="8"/>
      <color indexed="16"/>
      <name val="Arial"/>
      <family val="2"/>
    </font>
    <font>
      <sz val="10"/>
      <color indexed="16"/>
      <name val="Arial"/>
      <family val="2"/>
    </font>
    <font>
      <b/>
      <sz val="11"/>
      <color indexed="16"/>
      <name val="Arial"/>
      <family val="2"/>
    </font>
    <font>
      <b/>
      <i/>
      <sz val="9"/>
      <color indexed="14"/>
      <name val="Arial"/>
      <family val="2"/>
    </font>
    <font>
      <sz val="9"/>
      <color indexed="61"/>
      <name val="Arial"/>
      <family val="2"/>
    </font>
    <font>
      <i/>
      <sz val="8"/>
      <color indexed="23"/>
      <name val="Arial"/>
      <family val="2"/>
    </font>
    <font>
      <i/>
      <sz val="8"/>
      <color indexed="23"/>
      <name val="Arial"/>
      <family val="2"/>
    </font>
    <font>
      <sz val="10"/>
      <color indexed="81"/>
      <name val="Tahoma"/>
      <family val="2"/>
    </font>
    <font>
      <b/>
      <sz val="10"/>
      <color indexed="81"/>
      <name val="Tahoma"/>
      <family val="2"/>
    </font>
    <font>
      <b/>
      <sz val="9"/>
      <color indexed="63"/>
      <name val="Arial Narrow"/>
      <family val="2"/>
    </font>
    <font>
      <sz val="8"/>
      <color rgb="FF000000"/>
      <name val="Tahoma"/>
      <family val="2"/>
    </font>
    <font>
      <sz val="10"/>
      <color rgb="FF000000"/>
      <name val="Arial"/>
      <family val="2"/>
    </font>
    <font>
      <sz val="10"/>
      <color theme="1"/>
      <name val="Arial"/>
      <family val="2"/>
    </font>
    <font>
      <sz val="11"/>
      <color rgb="FF000000"/>
      <name val="Calibri"/>
      <family val="2"/>
      <scheme val="minor"/>
    </font>
    <font>
      <sz val="9"/>
      <name val="MS Sans Serif"/>
    </font>
    <font>
      <b/>
      <sz val="9"/>
      <name val="MS Sans Serif"/>
    </font>
    <font>
      <b/>
      <u/>
      <sz val="9"/>
      <color rgb="FF0070C0"/>
      <name val="Arial"/>
      <family val="2"/>
    </font>
    <font>
      <b/>
      <sz val="9"/>
      <color rgb="FFFF0000"/>
      <name val="Arial"/>
      <family val="2"/>
    </font>
    <font>
      <sz val="10"/>
      <name val="Mark Pro Book"/>
      <family val="2"/>
    </font>
    <font>
      <b/>
      <sz val="10"/>
      <name val="Mark Pro Book"/>
      <family val="2"/>
    </font>
    <font>
      <b/>
      <sz val="10"/>
      <color rgb="FF0070C0"/>
      <name val="Arial"/>
      <family val="2"/>
    </font>
    <font>
      <sz val="9"/>
      <name val="Mark Pro Book"/>
      <family val="2"/>
    </font>
    <font>
      <sz val="11"/>
      <color rgb="FFFF0000"/>
      <name val="Arial"/>
      <family val="2"/>
    </font>
    <font>
      <b/>
      <sz val="22.5"/>
      <name val="Mark Pro Book"/>
      <family val="2"/>
    </font>
    <font>
      <sz val="14"/>
      <name val="Mark Pro Book"/>
      <family val="2"/>
    </font>
    <font>
      <b/>
      <sz val="8"/>
      <name val="Mark Pro Book"/>
      <family val="2"/>
    </font>
    <font>
      <b/>
      <u/>
      <sz val="10"/>
      <name val="Mark Pro Book"/>
      <family val="2"/>
    </font>
    <font>
      <b/>
      <sz val="9"/>
      <name val="Mark Pro Book"/>
      <family val="2"/>
    </font>
    <font>
      <b/>
      <i/>
      <u/>
      <sz val="8"/>
      <name val="Mark Pro Book"/>
      <family val="2"/>
    </font>
    <font>
      <sz val="8"/>
      <color indexed="9"/>
      <name val="Mark Pro Book"/>
      <family val="2"/>
    </font>
    <font>
      <sz val="10"/>
      <color indexed="9"/>
      <name val="Mark Pro Book"/>
      <family val="2"/>
    </font>
    <font>
      <sz val="11"/>
      <color indexed="8"/>
      <name val="Calibri"/>
      <family val="2"/>
    </font>
    <font>
      <sz val="11"/>
      <color indexed="8"/>
      <name val="宋体"/>
      <family val="3"/>
      <charset val="134"/>
    </font>
    <font>
      <sz val="11"/>
      <color indexed="9"/>
      <name val="Calibri"/>
      <family val="2"/>
    </font>
    <font>
      <sz val="11"/>
      <color indexed="20"/>
      <name val="Calibri"/>
      <family val="2"/>
    </font>
    <font>
      <b/>
      <sz val="11"/>
      <color indexed="52"/>
      <name val="Calibri"/>
      <family val="2"/>
    </font>
    <font>
      <b/>
      <sz val="11"/>
      <color indexed="9"/>
      <name val="Calibri"/>
      <family val="2"/>
    </font>
    <font>
      <sz val="11"/>
      <color rgb="FF000000"/>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1"/>
      <color theme="10"/>
      <name val="Calibri"/>
      <family val="2"/>
    </font>
    <font>
      <u/>
      <sz val="9.1999999999999993"/>
      <color indexed="12"/>
      <name val="Arial"/>
      <family val="2"/>
    </font>
    <font>
      <sz val="11"/>
      <color indexed="62"/>
      <name val="Calibri"/>
      <family val="2"/>
    </font>
    <font>
      <sz val="11"/>
      <color indexed="52"/>
      <name val="Calibri"/>
      <family val="2"/>
    </font>
    <font>
      <sz val="10"/>
      <name val="Arial CE"/>
      <charset val="238"/>
    </font>
    <font>
      <sz val="11"/>
      <color indexed="60"/>
      <name val="Calibri"/>
      <family val="2"/>
    </font>
    <font>
      <sz val="8"/>
      <color theme="1"/>
      <name val="Tahoma"/>
      <family val="2"/>
    </font>
    <font>
      <sz val="10"/>
      <name val="AvantGarde"/>
    </font>
    <font>
      <sz val="8"/>
      <color theme="1"/>
      <name val="Arial"/>
      <family val="2"/>
    </font>
    <font>
      <sz val="10"/>
      <color rgb="FF000000"/>
      <name val="Times New Roman"/>
      <family val="1"/>
    </font>
    <font>
      <sz val="10"/>
      <name val="AvantGarde"/>
      <family val="2"/>
    </font>
    <font>
      <sz val="10"/>
      <name val="AvantGarde Bk BT"/>
    </font>
    <font>
      <b/>
      <sz val="11"/>
      <color indexed="63"/>
      <name val="Calibri"/>
      <family val="2"/>
    </font>
    <font>
      <sz val="8"/>
      <color rgb="FF1F497D"/>
      <name val="Verdana"/>
      <family val="2"/>
    </font>
    <font>
      <sz val="9"/>
      <name val="Geneva"/>
      <family val="2"/>
    </font>
    <font>
      <b/>
      <sz val="18"/>
      <color indexed="56"/>
      <name val="Cambria"/>
      <family val="2"/>
    </font>
    <font>
      <b/>
      <sz val="11"/>
      <color indexed="8"/>
      <name val="Calibri"/>
      <family val="2"/>
    </font>
    <font>
      <sz val="11"/>
      <color indexed="10"/>
      <name val="Calibri"/>
      <family val="2"/>
    </font>
    <font>
      <sz val="11"/>
      <color theme="1"/>
      <name val="Calibri"/>
      <family val="3"/>
      <charset val="134"/>
      <scheme val="minor"/>
    </font>
    <font>
      <sz val="11"/>
      <color rgb="FF9C0006"/>
      <name val="Calibri"/>
      <family val="2"/>
    </font>
    <font>
      <sz val="11"/>
      <color rgb="FF006100"/>
      <name val="Calibri"/>
      <family val="2"/>
    </font>
    <font>
      <u/>
      <sz val="10"/>
      <color theme="10"/>
      <name val="Arial"/>
      <family val="2"/>
    </font>
    <font>
      <sz val="11"/>
      <color rgb="FF9C5700"/>
      <name val="Calibri"/>
      <family val="2"/>
    </font>
    <font>
      <sz val="9"/>
      <color theme="1"/>
      <name val="MS Sans Serif"/>
    </font>
    <font>
      <b/>
      <sz val="10"/>
      <color indexed="47"/>
      <name val="Arial"/>
      <family val="2"/>
    </font>
    <font>
      <sz val="10"/>
      <color indexed="10"/>
      <name val="Arial"/>
      <family val="2"/>
    </font>
    <font>
      <b/>
      <sz val="9"/>
      <color indexed="18"/>
      <name val="Arial"/>
      <family val="2"/>
    </font>
    <font>
      <sz val="9"/>
      <color indexed="18"/>
      <name val="Arial"/>
      <family val="2"/>
    </font>
    <font>
      <i/>
      <sz val="8"/>
      <color indexed="10"/>
      <name val="Arial"/>
      <family val="2"/>
    </font>
    <font>
      <i/>
      <sz val="8"/>
      <color indexed="10"/>
      <name val="Arial Narrow"/>
      <family val="2"/>
    </font>
    <font>
      <i/>
      <sz val="8"/>
      <color indexed="55"/>
      <name val="Arial"/>
      <family val="2"/>
    </font>
    <font>
      <sz val="9"/>
      <color indexed="10"/>
      <name val="Arial Narrow"/>
      <family val="2"/>
    </font>
  </fonts>
  <fills count="49">
    <fill>
      <patternFill patternType="none"/>
    </fill>
    <fill>
      <patternFill patternType="gray125"/>
    </fill>
    <fill>
      <patternFill patternType="solid">
        <fgColor indexed="22"/>
        <bgColor indexed="64"/>
      </patternFill>
    </fill>
    <fill>
      <patternFill patternType="solid">
        <fgColor indexed="15"/>
        <bgColor indexed="64"/>
      </patternFill>
    </fill>
    <fill>
      <patternFill patternType="solid">
        <fgColor indexed="26"/>
        <bgColor indexed="64"/>
      </patternFill>
    </fill>
    <fill>
      <patternFill patternType="solid">
        <fgColor indexed="51"/>
        <bgColor indexed="64"/>
      </patternFill>
    </fill>
    <fill>
      <patternFill patternType="solid">
        <fgColor indexed="11"/>
        <bgColor indexed="64"/>
      </patternFill>
    </fill>
    <fill>
      <patternFill patternType="solid">
        <fgColor indexed="13"/>
        <bgColor indexed="64"/>
      </patternFill>
    </fill>
    <fill>
      <patternFill patternType="solid">
        <fgColor indexed="45"/>
        <bgColor indexed="64"/>
      </patternFill>
    </fill>
    <fill>
      <patternFill patternType="solid">
        <fgColor indexed="31"/>
        <bgColor indexed="64"/>
      </patternFill>
    </fill>
    <fill>
      <patternFill patternType="solid">
        <fgColor indexed="29"/>
        <bgColor indexed="64"/>
      </patternFill>
    </fill>
    <fill>
      <patternFill patternType="solid">
        <fgColor indexed="40"/>
        <bgColor indexed="64"/>
      </patternFill>
    </fill>
    <fill>
      <patternFill patternType="solid">
        <fgColor indexed="43"/>
        <bgColor indexed="64"/>
      </patternFill>
    </fill>
    <fill>
      <patternFill patternType="solid">
        <fgColor indexed="35"/>
        <bgColor indexed="64"/>
      </patternFill>
    </fill>
    <fill>
      <patternFill patternType="solid">
        <fgColor indexed="44"/>
        <bgColor indexed="64"/>
      </patternFill>
    </fill>
    <fill>
      <patternFill patternType="solid">
        <fgColor indexed="14"/>
        <bgColor indexed="64"/>
      </patternFill>
    </fill>
    <fill>
      <patternFill patternType="solid">
        <fgColor indexed="47"/>
        <bgColor indexed="64"/>
      </patternFill>
    </fill>
    <fill>
      <patternFill patternType="solid">
        <fgColor indexed="27"/>
        <bgColor indexed="64"/>
      </patternFill>
    </fill>
    <fill>
      <patternFill patternType="solid">
        <fgColor indexed="42"/>
        <bgColor indexed="64"/>
      </patternFill>
    </fill>
    <fill>
      <patternFill patternType="solid">
        <fgColor indexed="1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DBE5F1"/>
        <bgColor rgb="FFFFFFFF"/>
      </patternFill>
    </fill>
    <fill>
      <patternFill patternType="solid">
        <fgColor rgb="FFFF0000"/>
        <bgColor indexed="64"/>
      </patternFill>
    </fill>
    <fill>
      <patternFill patternType="lightUp"/>
    </fill>
    <fill>
      <patternFill patternType="lightGray">
        <bgColor indexed="26"/>
      </patternFill>
    </fill>
  </fills>
  <borders count="93">
    <border>
      <left/>
      <right/>
      <top/>
      <bottom/>
      <diagonal/>
    </border>
    <border>
      <left/>
      <right/>
      <top/>
      <bottom style="double">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style="double">
        <color indexed="64"/>
      </bottom>
      <diagonal/>
    </border>
    <border>
      <left/>
      <right style="thin">
        <color indexed="64"/>
      </right>
      <top/>
      <bottom style="double">
        <color indexed="64"/>
      </bottom>
      <diagonal/>
    </border>
    <border>
      <left/>
      <right/>
      <top style="medium">
        <color indexed="64"/>
      </top>
      <bottom/>
      <diagonal/>
    </border>
    <border>
      <left/>
      <right/>
      <top style="thin">
        <color indexed="64"/>
      </top>
      <bottom style="medium">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style="thin">
        <color indexed="64"/>
      </right>
      <top/>
      <bottom style="double">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top style="double">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dotted">
        <color indexed="64"/>
      </left>
      <right style="dotted">
        <color indexed="64"/>
      </right>
      <top style="dotted">
        <color indexed="64"/>
      </top>
      <bottom/>
      <diagonal/>
    </border>
    <border>
      <left/>
      <right/>
      <top/>
      <bottom style="dotted">
        <color indexed="64"/>
      </bottom>
      <diagonal/>
    </border>
    <border>
      <left/>
      <right/>
      <top/>
      <bottom style="dashed">
        <color indexed="64"/>
      </bottom>
      <diagonal/>
    </border>
    <border>
      <left/>
      <right/>
      <top style="dotted">
        <color indexed="64"/>
      </top>
      <bottom/>
      <diagonal/>
    </border>
    <border>
      <left/>
      <right/>
      <top style="thin">
        <color indexed="64"/>
      </top>
      <bottom style="dashed">
        <color indexed="64"/>
      </bottom>
      <diagonal/>
    </border>
    <border>
      <left style="dotted">
        <color indexed="64"/>
      </left>
      <right style="dotted">
        <color indexed="64"/>
      </right>
      <top style="dotted">
        <color indexed="64"/>
      </top>
      <bottom style="dotted">
        <color indexed="64"/>
      </bottom>
      <diagonal/>
    </border>
  </borders>
  <cellStyleXfs count="17404">
    <xf numFmtId="0" fontId="0" fillId="0" borderId="0"/>
    <xf numFmtId="43" fontId="8" fillId="0" borderId="0" applyFont="0" applyFill="0" applyBorder="0" applyAlignment="0" applyProtection="0"/>
    <xf numFmtId="165" fontId="8" fillId="0" borderId="0" applyFont="0" applyFill="0" applyBorder="0" applyAlignment="0" applyProtection="0"/>
    <xf numFmtId="0" fontId="8" fillId="0" borderId="0"/>
    <xf numFmtId="1" fontId="12" fillId="0" borderId="0"/>
    <xf numFmtId="0" fontId="8" fillId="0" borderId="0"/>
    <xf numFmtId="1" fontId="12" fillId="0" borderId="0"/>
    <xf numFmtId="0" fontId="11" fillId="0" borderId="0"/>
    <xf numFmtId="0" fontId="35" fillId="0" borderId="0"/>
    <xf numFmtId="0" fontId="151" fillId="0" borderId="0"/>
    <xf numFmtId="1" fontId="8" fillId="0" borderId="0"/>
    <xf numFmtId="0" fontId="8" fillId="0" borderId="0"/>
    <xf numFmtId="0" fontId="4" fillId="0" borderId="0"/>
    <xf numFmtId="0" fontId="8" fillId="0" borderId="0"/>
    <xf numFmtId="0" fontId="153" fillId="0" borderId="0"/>
    <xf numFmtId="0" fontId="8" fillId="0" borderId="0"/>
    <xf numFmtId="164" fontId="4" fillId="0" borderId="0" applyFont="0" applyFill="0" applyBorder="0" applyAlignment="0" applyProtection="0"/>
    <xf numFmtId="0" fontId="3" fillId="0" borderId="0"/>
    <xf numFmtId="164" fontId="3" fillId="0" borderId="0" applyFont="0" applyFill="0" applyBorder="0" applyAlignment="0" applyProtection="0"/>
    <xf numFmtId="1" fontId="8" fillId="0" borderId="0"/>
    <xf numFmtId="0" fontId="2" fillId="0" borderId="0"/>
    <xf numFmtId="0" fontId="8" fillId="0" borderId="0"/>
    <xf numFmtId="0" fontId="171" fillId="23" borderId="0" applyNumberFormat="0" applyBorder="0" applyAlignment="0" applyProtection="0"/>
    <xf numFmtId="0" fontId="171" fillId="24" borderId="0" applyNumberFormat="0" applyBorder="0" applyAlignment="0" applyProtection="0"/>
    <xf numFmtId="0" fontId="171" fillId="25" borderId="0" applyNumberFormat="0" applyBorder="0" applyAlignment="0" applyProtection="0"/>
    <xf numFmtId="0" fontId="171" fillId="26" borderId="0" applyNumberFormat="0" applyBorder="0" applyAlignment="0" applyProtection="0"/>
    <xf numFmtId="0" fontId="171" fillId="27" borderId="0" applyNumberFormat="0" applyBorder="0" applyAlignment="0" applyProtection="0"/>
    <xf numFmtId="0" fontId="171" fillId="28" borderId="0" applyNumberFormat="0" applyBorder="0" applyAlignment="0" applyProtection="0"/>
    <xf numFmtId="182" fontId="172" fillId="23" borderId="0" applyNumberFormat="0" applyBorder="0" applyAlignment="0" applyProtection="0">
      <alignment vertical="center"/>
    </xf>
    <xf numFmtId="0" fontId="171" fillId="29" borderId="0" applyNumberFormat="0" applyBorder="0" applyAlignment="0" applyProtection="0"/>
    <xf numFmtId="0" fontId="171" fillId="30" borderId="0" applyNumberFormat="0" applyBorder="0" applyAlignment="0" applyProtection="0"/>
    <xf numFmtId="0" fontId="171" fillId="31" borderId="0" applyNumberFormat="0" applyBorder="0" applyAlignment="0" applyProtection="0"/>
    <xf numFmtId="0" fontId="171" fillId="26" borderId="0" applyNumberFormat="0" applyBorder="0" applyAlignment="0" applyProtection="0"/>
    <xf numFmtId="0" fontId="171" fillId="29" borderId="0" applyNumberFormat="0" applyBorder="0" applyAlignment="0" applyProtection="0"/>
    <xf numFmtId="0" fontId="171" fillId="32" borderId="0" applyNumberFormat="0" applyBorder="0" applyAlignment="0" applyProtection="0"/>
    <xf numFmtId="0" fontId="173" fillId="33" borderId="0" applyNumberFormat="0" applyBorder="0" applyAlignment="0" applyProtection="0"/>
    <xf numFmtId="0" fontId="173" fillId="30" borderId="0" applyNumberFormat="0" applyBorder="0" applyAlignment="0" applyProtection="0"/>
    <xf numFmtId="0" fontId="173" fillId="31" borderId="0" applyNumberFormat="0" applyBorder="0" applyAlignment="0" applyProtection="0"/>
    <xf numFmtId="0" fontId="173" fillId="34" borderId="0" applyNumberFormat="0" applyBorder="0" applyAlignment="0" applyProtection="0"/>
    <xf numFmtId="0" fontId="173" fillId="35" borderId="0" applyNumberFormat="0" applyBorder="0" applyAlignment="0" applyProtection="0"/>
    <xf numFmtId="0" fontId="173" fillId="36" borderId="0" applyNumberFormat="0" applyBorder="0" applyAlignment="0" applyProtection="0"/>
    <xf numFmtId="0" fontId="173" fillId="37" borderId="0" applyNumberFormat="0" applyBorder="0" applyAlignment="0" applyProtection="0"/>
    <xf numFmtId="0" fontId="173" fillId="38" borderId="0" applyNumberFormat="0" applyBorder="0" applyAlignment="0" applyProtection="0"/>
    <xf numFmtId="0" fontId="173" fillId="39" borderId="0" applyNumberFormat="0" applyBorder="0" applyAlignment="0" applyProtection="0"/>
    <xf numFmtId="0" fontId="173" fillId="34" borderId="0" applyNumberFormat="0" applyBorder="0" applyAlignment="0" applyProtection="0"/>
    <xf numFmtId="0" fontId="173" fillId="35" borderId="0" applyNumberFormat="0" applyBorder="0" applyAlignment="0" applyProtection="0"/>
    <xf numFmtId="0" fontId="173" fillId="40" borderId="0" applyNumberFormat="0" applyBorder="0" applyAlignment="0" applyProtection="0"/>
    <xf numFmtId="0" fontId="174" fillId="24" borderId="0" applyNumberFormat="0" applyBorder="0" applyAlignment="0" applyProtection="0"/>
    <xf numFmtId="0" fontId="175" fillId="41" borderId="45" applyNumberFormat="0" applyAlignment="0" applyProtection="0"/>
    <xf numFmtId="0" fontId="176" fillId="42" borderId="46" applyNumberFormat="0" applyAlignment="0" applyProtection="0"/>
    <xf numFmtId="40" fontId="30"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0" fontId="30" fillId="0" borderId="0" applyFont="0" applyFill="0" applyBorder="0" applyAlignment="0" applyProtection="0"/>
    <xf numFmtId="43" fontId="2" fillId="0" borderId="0" applyFont="0" applyFill="0" applyBorder="0" applyAlignment="0" applyProtection="0"/>
    <xf numFmtId="40" fontId="30"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0" fillId="0" borderId="0" applyFont="0" applyFill="0" applyBorder="0" applyAlignment="0" applyProtection="0"/>
    <xf numFmtId="43" fontId="2" fillId="0" borderId="0" applyFont="0" applyFill="0" applyBorder="0" applyAlignment="0" applyProtection="0"/>
    <xf numFmtId="43" fontId="30" fillId="0" borderId="0" applyFont="0" applyFill="0" applyBorder="0" applyAlignment="0" applyProtection="0"/>
    <xf numFmtId="40" fontId="30" fillId="0" borderId="0" applyFont="0" applyFill="0" applyBorder="0" applyAlignment="0" applyProtection="0"/>
    <xf numFmtId="43" fontId="30" fillId="0" borderId="0" applyFont="0" applyFill="0" applyBorder="0" applyAlignment="0" applyProtection="0"/>
    <xf numFmtId="40" fontId="30" fillId="0" borderId="0" applyFont="0" applyFill="0" applyBorder="0" applyAlignment="0" applyProtection="0"/>
    <xf numFmtId="43" fontId="8" fillId="0" borderId="0" applyFont="0" applyFill="0" applyBorder="0" applyAlignment="0" applyProtection="0"/>
    <xf numFmtId="40" fontId="30"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30"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0"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83" fontId="152"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83" fontId="152" fillId="0" borderId="0" applyFont="0" applyFill="0" applyBorder="0" applyAlignment="0" applyProtection="0"/>
    <xf numFmtId="164" fontId="2" fillId="0" borderId="0" applyFont="0" applyFill="0" applyBorder="0" applyAlignment="0" applyProtection="0"/>
    <xf numFmtId="165" fontId="2" fillId="0" borderId="0" applyFont="0" applyFill="0" applyBorder="0" applyAlignment="0" applyProtection="0"/>
    <xf numFmtId="164" fontId="8" fillId="0" borderId="0" applyFont="0" applyFill="0" applyBorder="0" applyAlignment="0" applyProtection="0"/>
    <xf numFmtId="165" fontId="8" fillId="0" borderId="0" applyFont="0" applyFill="0" applyBorder="0" applyAlignment="0" applyProtection="0"/>
    <xf numFmtId="164" fontId="8" fillId="0" borderId="0" applyFont="0" applyFill="0" applyBorder="0" applyAlignment="0" applyProtection="0"/>
    <xf numFmtId="165" fontId="2"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5" fontId="8" fillId="0" borderId="0" applyFont="0" applyFill="0" applyBorder="0" applyAlignment="0" applyProtection="0"/>
    <xf numFmtId="164" fontId="2"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84" fontId="152" fillId="0" borderId="0" applyFont="0" applyFill="0" applyBorder="0" applyAlignment="0" applyProtection="0"/>
    <xf numFmtId="166" fontId="2" fillId="0" borderId="0" applyFont="0" applyFill="0" applyBorder="0" applyAlignment="0" applyProtection="0"/>
    <xf numFmtId="164" fontId="8" fillId="0" borderId="0" applyFont="0" applyFill="0" applyBorder="0" applyAlignment="0" applyProtection="0"/>
    <xf numFmtId="185" fontId="2" fillId="0" borderId="0" applyFont="0" applyFill="0" applyBorder="0" applyAlignment="0" applyProtection="0"/>
    <xf numFmtId="186" fontId="177" fillId="0" borderId="0"/>
    <xf numFmtId="0" fontId="178" fillId="0" borderId="0" applyNumberFormat="0" applyFill="0" applyBorder="0" applyAlignment="0" applyProtection="0"/>
    <xf numFmtId="0" fontId="179" fillId="25" borderId="0" applyNumberFormat="0" applyBorder="0" applyAlignment="0" applyProtection="0"/>
    <xf numFmtId="0" fontId="180" fillId="0" borderId="47" applyNumberFormat="0" applyFill="0" applyAlignment="0" applyProtection="0"/>
    <xf numFmtId="0" fontId="181" fillId="0" borderId="48" applyNumberFormat="0" applyFill="0" applyAlignment="0" applyProtection="0"/>
    <xf numFmtId="0" fontId="182" fillId="0" borderId="49" applyNumberFormat="0" applyFill="0" applyAlignment="0" applyProtection="0"/>
    <xf numFmtId="0" fontId="182" fillId="0" borderId="0" applyNumberFormat="0" applyFill="0" applyBorder="0" applyAlignment="0" applyProtection="0"/>
    <xf numFmtId="0" fontId="183" fillId="0" borderId="0" applyNumberFormat="0" applyFill="0" applyBorder="0" applyAlignment="0" applyProtection="0">
      <alignment vertical="top"/>
      <protection locked="0"/>
    </xf>
    <xf numFmtId="0" fontId="183" fillId="0" borderId="0" applyNumberFormat="0" applyFill="0" applyBorder="0" applyAlignment="0" applyProtection="0">
      <alignment vertical="top"/>
      <protection locked="0"/>
    </xf>
    <xf numFmtId="0" fontId="184" fillId="0" borderId="0" applyNumberFormat="0" applyFill="0" applyBorder="0" applyAlignment="0" applyProtection="0">
      <alignment vertical="top"/>
      <protection locked="0"/>
    </xf>
    <xf numFmtId="0" fontId="185" fillId="28" borderId="45" applyNumberFormat="0" applyAlignment="0" applyProtection="0"/>
    <xf numFmtId="0" fontId="186" fillId="0" borderId="50" applyNumberFormat="0" applyFill="0" applyAlignment="0" applyProtection="0"/>
    <xf numFmtId="187" fontId="187" fillId="0" borderId="0" applyFont="0" applyFill="0" applyBorder="0" applyAlignment="0" applyProtection="0"/>
    <xf numFmtId="0" fontId="188" fillId="43" borderId="0" applyNumberFormat="0" applyBorder="0" applyAlignment="0" applyProtection="0"/>
    <xf numFmtId="0" fontId="8" fillId="0" borderId="0"/>
    <xf numFmtId="0" fontId="8" fillId="0" borderId="0"/>
    <xf numFmtId="0" fontId="8" fillId="0" borderId="0"/>
    <xf numFmtId="0" fontId="2" fillId="0" borderId="0"/>
    <xf numFmtId="0" fontId="8" fillId="0" borderId="0"/>
    <xf numFmtId="0" fontId="2" fillId="0" borderId="0"/>
    <xf numFmtId="0" fontId="8" fillId="0" borderId="0"/>
    <xf numFmtId="0" fontId="152"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52" fillId="0" borderId="0"/>
    <xf numFmtId="0" fontId="189" fillId="0" borderId="0"/>
    <xf numFmtId="0" fontId="190" fillId="0" borderId="0"/>
    <xf numFmtId="0" fontId="8" fillId="0" borderId="0"/>
    <xf numFmtId="0" fontId="8" fillId="0" borderId="0"/>
    <xf numFmtId="0" fontId="190" fillId="0" borderId="0"/>
    <xf numFmtId="0" fontId="8" fillId="0" borderId="0"/>
    <xf numFmtId="0" fontId="2" fillId="0" borderId="0"/>
    <xf numFmtId="0" fontId="8" fillId="0" borderId="0"/>
    <xf numFmtId="0" fontId="8" fillId="0" borderId="0"/>
    <xf numFmtId="0" fontId="8" fillId="0" borderId="0"/>
    <xf numFmtId="0" fontId="8" fillId="0" borderId="0"/>
    <xf numFmtId="0" fontId="191" fillId="0" borderId="0"/>
    <xf numFmtId="0" fontId="30" fillId="0" borderId="0">
      <alignment horizontal="justify" vertical="justify"/>
    </xf>
    <xf numFmtId="0" fontId="8" fillId="0" borderId="0"/>
    <xf numFmtId="0" fontId="191" fillId="0" borderId="0"/>
    <xf numFmtId="0" fontId="152" fillId="0" borderId="0"/>
    <xf numFmtId="0" fontId="2" fillId="0" borderId="0"/>
    <xf numFmtId="0" fontId="2" fillId="0" borderId="0"/>
    <xf numFmtId="0" fontId="30" fillId="0" borderId="0">
      <alignment horizontal="justify" vertical="justify"/>
    </xf>
    <xf numFmtId="0" fontId="8" fillId="0" borderId="0"/>
    <xf numFmtId="0" fontId="2" fillId="0" borderId="0"/>
    <xf numFmtId="0" fontId="152" fillId="0" borderId="0"/>
    <xf numFmtId="0" fontId="8" fillId="0" borderId="0"/>
    <xf numFmtId="0" fontId="8" fillId="0" borderId="0"/>
    <xf numFmtId="0" fontId="152" fillId="0" borderId="0"/>
    <xf numFmtId="0" fontId="152" fillId="0" borderId="0"/>
    <xf numFmtId="0" fontId="192" fillId="0" borderId="0"/>
    <xf numFmtId="0" fontId="192"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5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2"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19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2"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2"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2"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90" fillId="0" borderId="0"/>
    <xf numFmtId="0" fontId="19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90" fillId="0" borderId="0"/>
    <xf numFmtId="0" fontId="190" fillId="0" borderId="0"/>
    <xf numFmtId="0" fontId="2" fillId="0" borderId="0"/>
    <xf numFmtId="0" fontId="19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93" fillId="0" borderId="0"/>
    <xf numFmtId="0" fontId="2" fillId="0" borderId="0"/>
    <xf numFmtId="0" fontId="19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2"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2"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2"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2"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2"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90" fillId="0" borderId="0"/>
    <xf numFmtId="0" fontId="2" fillId="0" borderId="0"/>
    <xf numFmtId="0" fontId="19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8" fillId="0" borderId="0"/>
    <xf numFmtId="0" fontId="8"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8" fillId="0" borderId="0"/>
    <xf numFmtId="0" fontId="8"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8" fillId="0" borderId="0"/>
    <xf numFmtId="0" fontId="8"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8" fillId="0" borderId="0"/>
    <xf numFmtId="0" fontId="8"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52" fillId="0" borderId="0"/>
    <xf numFmtId="0" fontId="8" fillId="0" borderId="0"/>
    <xf numFmtId="0" fontId="8" fillId="0" borderId="0"/>
    <xf numFmtId="0" fontId="8" fillId="0" borderId="0"/>
    <xf numFmtId="0" fontId="8" fillId="0" borderId="0"/>
    <xf numFmtId="0" fontId="8" fillId="0" borderId="0"/>
    <xf numFmtId="188" fontId="8" fillId="0" borderId="0"/>
    <xf numFmtId="0" fontId="8" fillId="0" borderId="0"/>
    <xf numFmtId="188" fontId="8" fillId="0" borderId="0"/>
    <xf numFmtId="0" fontId="153" fillId="0" borderId="0"/>
    <xf numFmtId="0" fontId="8" fillId="0" borderId="0"/>
    <xf numFmtId="0" fontId="8" fillId="0" borderId="0"/>
    <xf numFmtId="0" fontId="8" fillId="0" borderId="0"/>
    <xf numFmtId="0" fontId="30" fillId="0" borderId="0"/>
    <xf numFmtId="0" fontId="8" fillId="0" borderId="0"/>
    <xf numFmtId="0" fontId="30" fillId="0" borderId="0"/>
    <xf numFmtId="0" fontId="8" fillId="0" borderId="0"/>
    <xf numFmtId="0" fontId="30" fillId="0" borderId="0"/>
    <xf numFmtId="0" fontId="8" fillId="0" borderId="0"/>
    <xf numFmtId="0" fontId="2" fillId="0" borderId="0"/>
    <xf numFmtId="0" fontId="8" fillId="0" borderId="0"/>
    <xf numFmtId="0" fontId="2" fillId="0" borderId="0"/>
    <xf numFmtId="0" fontId="8" fillId="0" borderId="0"/>
    <xf numFmtId="0" fontId="2" fillId="0" borderId="0"/>
    <xf numFmtId="0" fontId="8" fillId="0" borderId="0"/>
    <xf numFmtId="0" fontId="8" fillId="0" borderId="0"/>
    <xf numFmtId="0" fontId="2" fillId="0" borderId="0"/>
    <xf numFmtId="0" fontId="153" fillId="0" borderId="0"/>
    <xf numFmtId="0" fontId="8" fillId="0" borderId="0"/>
    <xf numFmtId="0" fontId="8" fillId="0" borderId="0"/>
    <xf numFmtId="0" fontId="194" fillId="0" borderId="0"/>
    <xf numFmtId="0" fontId="8" fillId="0" borderId="0"/>
    <xf numFmtId="0" fontId="2" fillId="0" borderId="0"/>
    <xf numFmtId="0" fontId="8" fillId="0" borderId="0"/>
    <xf numFmtId="0" fontId="2" fillId="0" borderId="0"/>
    <xf numFmtId="0" fontId="8" fillId="0" borderId="0"/>
    <xf numFmtId="0" fontId="8" fillId="0" borderId="0"/>
    <xf numFmtId="0" fontId="8" fillId="0" borderId="0"/>
    <xf numFmtId="0" fontId="192" fillId="0" borderId="0"/>
    <xf numFmtId="0" fontId="8" fillId="0" borderId="0"/>
    <xf numFmtId="0" fontId="192" fillId="0" borderId="0"/>
    <xf numFmtId="0" fontId="8" fillId="0" borderId="0"/>
    <xf numFmtId="0" fontId="192" fillId="0" borderId="0"/>
    <xf numFmtId="0" fontId="8" fillId="0" borderId="0"/>
    <xf numFmtId="0" fontId="8" fillId="0" borderId="0"/>
    <xf numFmtId="0" fontId="192" fillId="0" borderId="0"/>
    <xf numFmtId="0" fontId="8" fillId="0" borderId="0"/>
    <xf numFmtId="0" fontId="8" fillId="0" borderId="0"/>
    <xf numFmtId="0" fontId="8" fillId="0" borderId="0"/>
    <xf numFmtId="0" fontId="8" fillId="0" borderId="0"/>
    <xf numFmtId="0" fontId="8" fillId="0" borderId="0"/>
    <xf numFmtId="0" fontId="192" fillId="0" borderId="0"/>
    <xf numFmtId="0" fontId="8" fillId="0" borderId="0"/>
    <xf numFmtId="0" fontId="8" fillId="0" borderId="0"/>
    <xf numFmtId="0" fontId="192" fillId="0" borderId="0"/>
    <xf numFmtId="0" fontId="2"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94" fillId="0" borderId="0"/>
    <xf numFmtId="0" fontId="8" fillId="0" borderId="0"/>
    <xf numFmtId="0" fontId="190" fillId="0" borderId="0"/>
    <xf numFmtId="0" fontId="193" fillId="0" borderId="0"/>
    <xf numFmtId="0" fontId="8" fillId="0" borderId="0"/>
    <xf numFmtId="0" fontId="8" fillId="0" borderId="0"/>
    <xf numFmtId="0" fontId="152" fillId="0" borderId="0"/>
    <xf numFmtId="0" fontId="2" fillId="0" borderId="0"/>
    <xf numFmtId="0" fontId="152" fillId="0" borderId="0"/>
    <xf numFmtId="0" fontId="15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2" fillId="0" borderId="0"/>
    <xf numFmtId="0" fontId="8" fillId="0" borderId="0"/>
    <xf numFmtId="0" fontId="2" fillId="0" borderId="0"/>
    <xf numFmtId="0" fontId="2" fillId="0" borderId="0"/>
    <xf numFmtId="0" fontId="2" fillId="0" borderId="0"/>
    <xf numFmtId="0" fontId="2" fillId="0" borderId="0"/>
    <xf numFmtId="0" fontId="8" fillId="0" borderId="0"/>
    <xf numFmtId="0" fontId="152" fillId="0" borderId="0"/>
    <xf numFmtId="0" fontId="8" fillId="0" borderId="0"/>
    <xf numFmtId="0" fontId="8" fillId="0" borderId="0"/>
    <xf numFmtId="0" fontId="2" fillId="0" borderId="0"/>
    <xf numFmtId="0" fontId="8" fillId="0" borderId="0"/>
    <xf numFmtId="0" fontId="8" fillId="0" borderId="0"/>
    <xf numFmtId="0" fontId="2" fillId="0" borderId="0"/>
    <xf numFmtId="0" fontId="8" fillId="0" borderId="0"/>
    <xf numFmtId="0" fontId="2" fillId="0" borderId="0"/>
    <xf numFmtId="0" fontId="2" fillId="0" borderId="0"/>
    <xf numFmtId="0" fontId="8" fillId="0" borderId="0"/>
    <xf numFmtId="0" fontId="8" fillId="0" borderId="0"/>
    <xf numFmtId="0" fontId="2" fillId="0" borderId="0"/>
    <xf numFmtId="0" fontId="2" fillId="0" borderId="0"/>
    <xf numFmtId="0" fontId="2" fillId="0" borderId="0"/>
    <xf numFmtId="0" fontId="2" fillId="0" borderId="0"/>
    <xf numFmtId="0" fontId="8" fillId="0" borderId="0"/>
    <xf numFmtId="0" fontId="30" fillId="0" borderId="0">
      <alignment horizontal="justify" vertical="justify"/>
    </xf>
    <xf numFmtId="0" fontId="8" fillId="0" borderId="0"/>
    <xf numFmtId="0" fontId="8" fillId="0" borderId="0"/>
    <xf numFmtId="0" fontId="2" fillId="0" borderId="0"/>
    <xf numFmtId="0" fontId="8" fillId="0" borderId="0"/>
    <xf numFmtId="0" fontId="2" fillId="0" borderId="0"/>
    <xf numFmtId="0" fontId="8" fillId="0" borderId="0"/>
    <xf numFmtId="0" fontId="2" fillId="0" borderId="0"/>
    <xf numFmtId="0" fontId="8" fillId="0" borderId="0"/>
    <xf numFmtId="0" fontId="2" fillId="0" borderId="0"/>
    <xf numFmtId="0" fontId="2" fillId="0" borderId="0"/>
    <xf numFmtId="0" fontId="2" fillId="0" borderId="0"/>
    <xf numFmtId="0" fontId="2" fillId="0" borderId="0"/>
    <xf numFmtId="0" fontId="190" fillId="0" borderId="0"/>
    <xf numFmtId="0" fontId="152" fillId="0" borderId="0"/>
    <xf numFmtId="0" fontId="8" fillId="0" borderId="0"/>
    <xf numFmtId="0" fontId="152" fillId="0" borderId="0"/>
    <xf numFmtId="0" fontId="8" fillId="0" borderId="0"/>
    <xf numFmtId="0" fontId="2" fillId="0" borderId="0"/>
    <xf numFmtId="0" fontId="8" fillId="0" borderId="0"/>
    <xf numFmtId="0" fontId="2" fillId="0" borderId="0"/>
    <xf numFmtId="0" fontId="8" fillId="0" borderId="0"/>
    <xf numFmtId="0" fontId="2" fillId="0" borderId="0"/>
    <xf numFmtId="0" fontId="8" fillId="0" borderId="0"/>
    <xf numFmtId="0" fontId="2" fillId="0" borderId="0"/>
    <xf numFmtId="0" fontId="8" fillId="0" borderId="0"/>
    <xf numFmtId="0" fontId="2" fillId="0" borderId="0"/>
    <xf numFmtId="0" fontId="8" fillId="0" borderId="0"/>
    <xf numFmtId="0" fontId="2" fillId="0" borderId="0"/>
    <xf numFmtId="0" fontId="2" fillId="0" borderId="0"/>
    <xf numFmtId="0" fontId="2" fillId="0" borderId="0"/>
    <xf numFmtId="0" fontId="2" fillId="0" borderId="0"/>
    <xf numFmtId="0" fontId="2" fillId="0" borderId="0"/>
    <xf numFmtId="0" fontId="8" fillId="0" borderId="0"/>
    <xf numFmtId="0" fontId="8" fillId="0" borderId="0"/>
    <xf numFmtId="0" fontId="8" fillId="0" borderId="0"/>
    <xf numFmtId="0" fontId="8" fillId="0" borderId="0"/>
    <xf numFmtId="0" fontId="8" fillId="0" borderId="0"/>
    <xf numFmtId="0" fontId="8" fillId="0" borderId="0"/>
    <xf numFmtId="0" fontId="2" fillId="0" borderId="0"/>
    <xf numFmtId="0" fontId="8" fillId="0" borderId="0"/>
    <xf numFmtId="0" fontId="2" fillId="0" borderId="0"/>
    <xf numFmtId="0" fontId="8" fillId="0" borderId="0"/>
    <xf numFmtId="0" fontId="187" fillId="0" borderId="0"/>
    <xf numFmtId="0" fontId="171" fillId="44" borderId="51" applyNumberFormat="0" applyFont="0" applyAlignment="0" applyProtection="0"/>
    <xf numFmtId="0" fontId="195" fillId="41" borderId="52" applyNumberFormat="0" applyAlignment="0" applyProtection="0"/>
    <xf numFmtId="9" fontId="152" fillId="0" borderId="0" applyFont="0" applyFill="0" applyBorder="0" applyAlignment="0" applyProtection="0"/>
    <xf numFmtId="9" fontId="171" fillId="0" borderId="0" applyFont="0" applyFill="0" applyBorder="0" applyAlignment="0" applyProtection="0"/>
    <xf numFmtId="9" fontId="2" fillId="0" borderId="0" applyFont="0" applyFill="0" applyBorder="0" applyAlignment="0" applyProtection="0"/>
    <xf numFmtId="9" fontId="152" fillId="0" borderId="0" applyFont="0" applyFill="0" applyBorder="0" applyAlignment="0" applyProtection="0"/>
    <xf numFmtId="9" fontId="8" fillId="0" borderId="0" applyFont="0" applyFill="0" applyBorder="0" applyAlignment="0" applyProtection="0"/>
    <xf numFmtId="9" fontId="171" fillId="0" borderId="0" applyFont="0" applyFill="0" applyBorder="0" applyAlignment="0" applyProtection="0"/>
    <xf numFmtId="9" fontId="8" fillId="0" borderId="0" applyFill="0" applyBorder="0" applyAlignment="0" applyProtection="0"/>
    <xf numFmtId="9" fontId="8" fillId="0" borderId="0" applyFill="0" applyBorder="0" applyAlignment="0" applyProtection="0"/>
    <xf numFmtId="189" fontId="196" fillId="45" borderId="53" applyNumberFormat="0" applyAlignment="0" applyProtection="0">
      <alignment horizontal="left" vertical="center" indent="1"/>
    </xf>
    <xf numFmtId="0" fontId="8" fillId="0" borderId="0"/>
    <xf numFmtId="0" fontId="197" fillId="0" borderId="0"/>
    <xf numFmtId="0" fontId="8" fillId="0" borderId="0"/>
    <xf numFmtId="0" fontId="198" fillId="0" borderId="0" applyNumberFormat="0" applyFill="0" applyBorder="0" applyAlignment="0" applyProtection="0"/>
    <xf numFmtId="0" fontId="199" fillId="0" borderId="54" applyNumberFormat="0" applyFill="0" applyAlignment="0" applyProtection="0"/>
    <xf numFmtId="190" fontId="8" fillId="0" borderId="0" applyFont="0" applyFill="0" applyBorder="0" applyAlignment="0" applyProtection="0"/>
    <xf numFmtId="0" fontId="200" fillId="0" borderId="0" applyNumberFormat="0" applyFill="0" applyBorder="0" applyAlignment="0" applyProtection="0"/>
    <xf numFmtId="182" fontId="2" fillId="0" borderId="0"/>
    <xf numFmtId="182" fontId="201" fillId="0" borderId="0">
      <alignment vertical="center"/>
    </xf>
    <xf numFmtId="182" fontId="8" fillId="0" borderId="0"/>
    <xf numFmtId="0" fontId="202" fillId="21" borderId="0" applyNumberFormat="0" applyBorder="0" applyAlignment="0" applyProtection="0"/>
    <xf numFmtId="0" fontId="175" fillId="41" borderId="55" applyNumberFormat="0" applyAlignment="0" applyProtection="0"/>
    <xf numFmtId="0" fontId="175" fillId="41" borderId="55" applyNumberFormat="0" applyAlignment="0" applyProtection="0"/>
    <xf numFmtId="164" fontId="2" fillId="0" borderId="0" applyFont="0" applyFill="0" applyBorder="0" applyAlignment="0" applyProtection="0"/>
    <xf numFmtId="44" fontId="2" fillId="0" borderId="0" applyFont="0" applyFill="0" applyBorder="0" applyAlignment="0" applyProtection="0"/>
    <xf numFmtId="0" fontId="203" fillId="20" borderId="0" applyNumberFormat="0" applyBorder="0" applyAlignment="0" applyProtection="0"/>
    <xf numFmtId="0" fontId="183" fillId="0" borderId="0" applyNumberFormat="0" applyFill="0" applyBorder="0" applyAlignment="0" applyProtection="0">
      <alignment vertical="top"/>
      <protection locked="0"/>
    </xf>
    <xf numFmtId="0" fontId="204" fillId="0" borderId="0" applyNumberFormat="0" applyFill="0" applyBorder="0" applyAlignment="0" applyProtection="0"/>
    <xf numFmtId="0" fontId="185" fillId="28" borderId="55" applyNumberFormat="0" applyAlignment="0" applyProtection="0"/>
    <xf numFmtId="0" fontId="185" fillId="28" borderId="55" applyNumberFormat="0" applyAlignment="0" applyProtection="0"/>
    <xf numFmtId="0" fontId="205" fillId="22" borderId="0" applyNumberFormat="0" applyBorder="0" applyAlignment="0" applyProtection="0"/>
    <xf numFmtId="0" fontId="2" fillId="0" borderId="0"/>
    <xf numFmtId="0" fontId="8" fillId="0" borderId="0"/>
    <xf numFmtId="0" fontId="8" fillId="0" borderId="0"/>
    <xf numFmtId="0" fontId="8" fillId="0" borderId="0"/>
    <xf numFmtId="0" fontId="153" fillId="0" borderId="0"/>
    <xf numFmtId="0" fontId="2" fillId="0" borderId="0"/>
    <xf numFmtId="0" fontId="2" fillId="0" borderId="0"/>
    <xf numFmtId="0" fontId="2" fillId="0" borderId="0"/>
    <xf numFmtId="0" fontId="8" fillId="0" borderId="0"/>
    <xf numFmtId="0" fontId="2" fillId="0" borderId="0"/>
    <xf numFmtId="0" fontId="171" fillId="44" borderId="56" applyNumberFormat="0" applyFont="0" applyAlignment="0" applyProtection="0"/>
    <xf numFmtId="0" fontId="171" fillId="44" borderId="56" applyNumberFormat="0" applyFont="0" applyAlignment="0" applyProtection="0"/>
    <xf numFmtId="0" fontId="195" fillId="41" borderId="57" applyNumberFormat="0" applyAlignment="0" applyProtection="0"/>
    <xf numFmtId="0" fontId="195" fillId="41" borderId="57" applyNumberFormat="0" applyAlignment="0" applyProtection="0"/>
    <xf numFmtId="0" fontId="199" fillId="0" borderId="58" applyNumberFormat="0" applyFill="0" applyAlignment="0" applyProtection="0"/>
    <xf numFmtId="0" fontId="199" fillId="0" borderId="58" applyNumberFormat="0" applyFill="0" applyAlignment="0" applyProtection="0"/>
    <xf numFmtId="0" fontId="185" fillId="28" borderId="71" applyNumberFormat="0" applyAlignment="0" applyProtection="0"/>
    <xf numFmtId="0" fontId="185" fillId="28" borderId="71" applyNumberFormat="0" applyAlignment="0" applyProtection="0"/>
    <xf numFmtId="0" fontId="175" fillId="41" borderId="71" applyNumberFormat="0" applyAlignment="0" applyProtection="0"/>
    <xf numFmtId="0" fontId="175" fillId="41" borderId="71" applyNumberFormat="0" applyAlignment="0" applyProtection="0"/>
    <xf numFmtId="0" fontId="199" fillId="0" borderId="70" applyNumberFormat="0" applyFill="0" applyAlignment="0" applyProtection="0"/>
    <xf numFmtId="0" fontId="175" fillId="41" borderId="59" applyNumberFormat="0" applyAlignment="0" applyProtection="0"/>
    <xf numFmtId="0" fontId="195" fillId="41" borderId="69" applyNumberFormat="0" applyAlignment="0" applyProtection="0"/>
    <xf numFmtId="0" fontId="171" fillId="44" borderId="68" applyNumberFormat="0" applyFont="0" applyAlignment="0" applyProtection="0"/>
    <xf numFmtId="0" fontId="185" fillId="28" borderId="59" applyNumberFormat="0" applyAlignment="0" applyProtection="0"/>
    <xf numFmtId="0" fontId="185" fillId="28" borderId="67" applyNumberFormat="0" applyAlignment="0" applyProtection="0"/>
    <xf numFmtId="0" fontId="175" fillId="41" borderId="67" applyNumberFormat="0" applyAlignment="0" applyProtection="0"/>
    <xf numFmtId="0" fontId="171" fillId="44" borderId="60" applyNumberFormat="0" applyFont="0" applyAlignment="0" applyProtection="0"/>
    <xf numFmtId="0" fontId="195" fillId="41" borderId="61" applyNumberFormat="0" applyAlignment="0" applyProtection="0"/>
    <xf numFmtId="0" fontId="199" fillId="0" borderId="62" applyNumberFormat="0" applyFill="0" applyAlignment="0" applyProtection="0"/>
    <xf numFmtId="0" fontId="175" fillId="41" borderId="63" applyNumberFormat="0" applyAlignment="0" applyProtection="0"/>
    <xf numFmtId="0" fontId="175" fillId="41" borderId="63" applyNumberFormat="0" applyAlignment="0" applyProtection="0"/>
    <xf numFmtId="0" fontId="185" fillId="28" borderId="63" applyNumberFormat="0" applyAlignment="0" applyProtection="0"/>
    <xf numFmtId="0" fontId="185" fillId="28" borderId="63" applyNumberFormat="0" applyAlignment="0" applyProtection="0"/>
    <xf numFmtId="0" fontId="171" fillId="44" borderId="64" applyNumberFormat="0" applyFont="0" applyAlignment="0" applyProtection="0"/>
    <xf numFmtId="0" fontId="171" fillId="44" borderId="64" applyNumberFormat="0" applyFont="0" applyAlignment="0" applyProtection="0"/>
    <xf numFmtId="0" fontId="195" fillId="41" borderId="65" applyNumberFormat="0" applyAlignment="0" applyProtection="0"/>
    <xf numFmtId="0" fontId="195" fillId="41" borderId="65" applyNumberFormat="0" applyAlignment="0" applyProtection="0"/>
    <xf numFmtId="0" fontId="199" fillId="0" borderId="66" applyNumberFormat="0" applyFill="0" applyAlignment="0" applyProtection="0"/>
    <xf numFmtId="0" fontId="199" fillId="0" borderId="66" applyNumberFormat="0" applyFill="0" applyAlignment="0" applyProtection="0"/>
    <xf numFmtId="0" fontId="171" fillId="44" borderId="72" applyNumberFormat="0" applyFont="0" applyAlignment="0" applyProtection="0"/>
    <xf numFmtId="0" fontId="171" fillId="44" borderId="72" applyNumberFormat="0" applyFont="0" applyAlignment="0" applyProtection="0"/>
    <xf numFmtId="0" fontId="195" fillId="41" borderId="73" applyNumberFormat="0" applyAlignment="0" applyProtection="0"/>
    <xf numFmtId="0" fontId="195" fillId="41" borderId="73" applyNumberFormat="0" applyAlignment="0" applyProtection="0"/>
    <xf numFmtId="0" fontId="199" fillId="0" borderId="74" applyNumberFormat="0" applyFill="0" applyAlignment="0" applyProtection="0"/>
    <xf numFmtId="0" fontId="199" fillId="0" borderId="74" applyNumberFormat="0" applyFill="0" applyAlignment="0" applyProtection="0"/>
    <xf numFmtId="0" fontId="1" fillId="0" borderId="0"/>
    <xf numFmtId="0" fontId="175" fillId="41" borderId="75" applyNumberFormat="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6" fontId="1" fillId="0" borderId="0" applyFont="0" applyFill="0" applyBorder="0" applyAlignment="0" applyProtection="0"/>
    <xf numFmtId="185" fontId="1" fillId="0" borderId="0" applyFont="0" applyFill="0" applyBorder="0" applyAlignment="0" applyProtection="0"/>
    <xf numFmtId="0" fontId="185" fillId="28" borderId="75"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1" fillId="44" borderId="76" applyNumberFormat="0" applyFont="0" applyAlignment="0" applyProtection="0"/>
    <xf numFmtId="0" fontId="195" fillId="41" borderId="77" applyNumberFormat="0" applyAlignment="0" applyProtection="0"/>
    <xf numFmtId="9" fontId="1" fillId="0" borderId="0" applyFont="0" applyFill="0" applyBorder="0" applyAlignment="0" applyProtection="0"/>
    <xf numFmtId="0" fontId="199" fillId="0" borderId="78" applyNumberFormat="0" applyFill="0" applyAlignment="0" applyProtection="0"/>
    <xf numFmtId="182" fontId="1" fillId="0" borderId="0"/>
    <xf numFmtId="0" fontId="175" fillId="41" borderId="79" applyNumberFormat="0" applyAlignment="0" applyProtection="0"/>
    <xf numFmtId="0" fontId="175" fillId="41" borderId="79" applyNumberFormat="0" applyAlignment="0" applyProtection="0"/>
    <xf numFmtId="164" fontId="1" fillId="0" borderId="0" applyFont="0" applyFill="0" applyBorder="0" applyAlignment="0" applyProtection="0"/>
    <xf numFmtId="44" fontId="1" fillId="0" borderId="0" applyFont="0" applyFill="0" applyBorder="0" applyAlignment="0" applyProtection="0"/>
    <xf numFmtId="0" fontId="185" fillId="28" borderId="79" applyNumberFormat="0" applyAlignment="0" applyProtection="0"/>
    <xf numFmtId="0" fontId="185" fillId="28" borderId="79" applyNumberFormat="0" applyAlignment="0" applyProtection="0"/>
    <xf numFmtId="0" fontId="1" fillId="0" borderId="0"/>
    <xf numFmtId="0" fontId="1" fillId="0" borderId="0"/>
    <xf numFmtId="0" fontId="1" fillId="0" borderId="0"/>
    <xf numFmtId="0" fontId="1" fillId="0" borderId="0"/>
    <xf numFmtId="0" fontId="1" fillId="0" borderId="0"/>
    <xf numFmtId="0" fontId="171" fillId="44" borderId="80" applyNumberFormat="0" applyFont="0" applyAlignment="0" applyProtection="0"/>
    <xf numFmtId="0" fontId="171" fillId="44" borderId="80" applyNumberFormat="0" applyFont="0" applyAlignment="0" applyProtection="0"/>
    <xf numFmtId="0" fontId="195" fillId="41" borderId="81" applyNumberFormat="0" applyAlignment="0" applyProtection="0"/>
    <xf numFmtId="0" fontId="195" fillId="41" borderId="81" applyNumberFormat="0" applyAlignment="0" applyProtection="0"/>
    <xf numFmtId="0" fontId="199" fillId="0" borderId="82" applyNumberFormat="0" applyFill="0" applyAlignment="0" applyProtection="0"/>
    <xf numFmtId="0" fontId="199" fillId="0" borderId="82" applyNumberFormat="0" applyFill="0" applyAlignment="0" applyProtection="0"/>
  </cellStyleXfs>
  <cellXfs count="856">
    <xf numFmtId="0" fontId="0" fillId="0" borderId="0" xfId="0"/>
    <xf numFmtId="0" fontId="16" fillId="0" borderId="0" xfId="3" applyFont="1"/>
    <xf numFmtId="1" fontId="19" fillId="0" borderId="0" xfId="6" applyFont="1" applyProtection="1">
      <protection locked="0"/>
    </xf>
    <xf numFmtId="0" fontId="8" fillId="0" borderId="0" xfId="3"/>
    <xf numFmtId="1" fontId="16" fillId="0" borderId="0" xfId="6" applyFont="1" applyProtection="1">
      <protection locked="0"/>
    </xf>
    <xf numFmtId="2" fontId="16" fillId="0" borderId="0" xfId="6" applyNumberFormat="1" applyFont="1" applyProtection="1">
      <protection locked="0"/>
    </xf>
    <xf numFmtId="1" fontId="30" fillId="0" borderId="0" xfId="6" applyFont="1" applyAlignment="1" applyProtection="1">
      <alignment horizontal="center"/>
      <protection locked="0"/>
    </xf>
    <xf numFmtId="0" fontId="41" fillId="0" borderId="0" xfId="2" applyNumberFormat="1" applyFont="1" applyFill="1" applyBorder="1" applyAlignment="1" applyProtection="1">
      <alignment horizontal="centerContinuous"/>
      <protection locked="0"/>
    </xf>
    <xf numFmtId="0" fontId="23" fillId="0" borderId="0" xfId="7" applyFont="1" applyAlignment="1" applyProtection="1">
      <alignment horizontal="center"/>
      <protection locked="0"/>
    </xf>
    <xf numFmtId="0" fontId="8" fillId="0" borderId="1" xfId="3" applyBorder="1"/>
    <xf numFmtId="1" fontId="16" fillId="0" borderId="0" xfId="6" applyFont="1" applyAlignment="1" applyProtection="1">
      <alignment horizontal="centerContinuous"/>
      <protection locked="0"/>
    </xf>
    <xf numFmtId="1" fontId="16" fillId="0" borderId="0" xfId="6" applyFont="1" applyAlignment="1" applyProtection="1">
      <alignment horizontal="left"/>
      <protection locked="0"/>
    </xf>
    <xf numFmtId="0" fontId="17" fillId="0" borderId="0" xfId="2" applyNumberFormat="1" applyFont="1" applyBorder="1" applyAlignment="1" applyProtection="1">
      <protection locked="0"/>
    </xf>
    <xf numFmtId="0" fontId="17" fillId="0" borderId="0" xfId="3" applyFont="1" applyAlignment="1" applyProtection="1">
      <alignment horizontal="left"/>
      <protection locked="0"/>
    </xf>
    <xf numFmtId="15" fontId="17" fillId="0" borderId="0" xfId="6" applyNumberFormat="1" applyFont="1" applyAlignment="1" applyProtection="1">
      <alignment horizontal="left"/>
      <protection locked="0"/>
    </xf>
    <xf numFmtId="0" fontId="17" fillId="0" borderId="0" xfId="2" applyNumberFormat="1" applyFont="1" applyFill="1" applyBorder="1" applyAlignment="1" applyProtection="1">
      <alignment horizontal="left"/>
      <protection locked="0"/>
    </xf>
    <xf numFmtId="0" fontId="36" fillId="0" borderId="0" xfId="2" applyNumberFormat="1" applyFont="1" applyBorder="1" applyAlignment="1" applyProtection="1">
      <alignment horizontal="centerContinuous"/>
      <protection locked="0"/>
    </xf>
    <xf numFmtId="0" fontId="13" fillId="2" borderId="2" xfId="3" applyFont="1" applyFill="1" applyBorder="1" applyAlignment="1">
      <alignment horizontal="center"/>
    </xf>
    <xf numFmtId="0" fontId="13" fillId="3" borderId="3" xfId="3" applyFont="1" applyFill="1" applyBorder="1" applyAlignment="1">
      <alignment horizontal="center"/>
    </xf>
    <xf numFmtId="0" fontId="13" fillId="4" borderId="3" xfId="3" applyFont="1" applyFill="1" applyBorder="1" applyAlignment="1">
      <alignment horizontal="center"/>
    </xf>
    <xf numFmtId="0" fontId="63" fillId="5" borderId="3" xfId="3" applyFont="1" applyFill="1" applyBorder="1" applyAlignment="1">
      <alignment horizontal="center"/>
    </xf>
    <xf numFmtId="0" fontId="13" fillId="6" borderId="3" xfId="3" applyFont="1" applyFill="1" applyBorder="1" applyAlignment="1">
      <alignment horizontal="center"/>
    </xf>
    <xf numFmtId="0" fontId="13" fillId="2" borderId="3" xfId="3" applyFont="1" applyFill="1" applyBorder="1" applyAlignment="1">
      <alignment horizontal="center"/>
    </xf>
    <xf numFmtId="0" fontId="13" fillId="7" borderId="3" xfId="3" applyFont="1" applyFill="1" applyBorder="1" applyAlignment="1">
      <alignment horizontal="center"/>
    </xf>
    <xf numFmtId="0" fontId="13" fillId="8" borderId="3" xfId="3" applyFont="1" applyFill="1" applyBorder="1" applyAlignment="1">
      <alignment horizontal="center"/>
    </xf>
    <xf numFmtId="0" fontId="13" fillId="9" borderId="3" xfId="3" applyFont="1" applyFill="1" applyBorder="1" applyAlignment="1">
      <alignment horizontal="center"/>
    </xf>
    <xf numFmtId="0" fontId="13" fillId="10" borderId="3" xfId="3" applyFont="1" applyFill="1" applyBorder="1" applyAlignment="1">
      <alignment horizontal="center"/>
    </xf>
    <xf numFmtId="0" fontId="13" fillId="11" borderId="3" xfId="3" applyFont="1" applyFill="1" applyBorder="1" applyAlignment="1">
      <alignment horizontal="center"/>
    </xf>
    <xf numFmtId="0" fontId="61" fillId="2" borderId="4" xfId="2" applyNumberFormat="1" applyFont="1" applyFill="1" applyBorder="1" applyAlignment="1" applyProtection="1">
      <alignment horizontal="center" vertical="center"/>
    </xf>
    <xf numFmtId="0" fontId="61" fillId="2" borderId="5" xfId="3" applyFont="1" applyFill="1" applyBorder="1" applyAlignment="1">
      <alignment horizontal="center" vertical="center"/>
    </xf>
    <xf numFmtId="0" fontId="61" fillId="2" borderId="6" xfId="0" applyFont="1" applyFill="1" applyBorder="1" applyAlignment="1">
      <alignment horizontal="center" vertical="center"/>
    </xf>
    <xf numFmtId="0" fontId="61" fillId="2" borderId="7" xfId="0" applyFont="1" applyFill="1" applyBorder="1" applyAlignment="1">
      <alignment horizontal="center" vertical="center"/>
    </xf>
    <xf numFmtId="0" fontId="15" fillId="0" borderId="0" xfId="0" applyFont="1" applyProtection="1">
      <protection locked="0"/>
    </xf>
    <xf numFmtId="0" fontId="16" fillId="0" borderId="0" xfId="3" applyFont="1" applyProtection="1">
      <protection locked="0"/>
    </xf>
    <xf numFmtId="0" fontId="8" fillId="0" borderId="0" xfId="3" applyProtection="1">
      <protection locked="0"/>
    </xf>
    <xf numFmtId="1" fontId="16" fillId="0" borderId="0" xfId="3" applyNumberFormat="1" applyFont="1" applyProtection="1">
      <protection locked="0"/>
    </xf>
    <xf numFmtId="0" fontId="0" fillId="0" borderId="0" xfId="0" applyProtection="1">
      <protection locked="0"/>
    </xf>
    <xf numFmtId="0" fontId="18" fillId="0" borderId="0" xfId="3" applyFont="1" applyProtection="1">
      <protection locked="0"/>
    </xf>
    <xf numFmtId="0" fontId="19" fillId="0" borderId="0" xfId="3" applyFont="1" applyAlignment="1" applyProtection="1">
      <alignment horizontal="right"/>
      <protection locked="0"/>
    </xf>
    <xf numFmtId="0" fontId="11" fillId="0" borderId="1" xfId="3" applyFont="1" applyBorder="1" applyProtection="1">
      <protection locked="0"/>
    </xf>
    <xf numFmtId="1" fontId="8" fillId="0" borderId="0" xfId="3" applyNumberFormat="1" applyProtection="1">
      <protection locked="0"/>
    </xf>
    <xf numFmtId="0" fontId="17" fillId="0" borderId="0" xfId="3" applyFont="1" applyAlignment="1" applyProtection="1">
      <alignment horizontal="center"/>
      <protection locked="0"/>
    </xf>
    <xf numFmtId="0" fontId="17" fillId="0" borderId="0" xfId="3" applyFont="1" applyAlignment="1" applyProtection="1">
      <alignment horizontal="right"/>
      <protection locked="0"/>
    </xf>
    <xf numFmtId="2" fontId="19" fillId="0" borderId="0" xfId="6" applyNumberFormat="1" applyFont="1" applyProtection="1">
      <protection locked="0"/>
    </xf>
    <xf numFmtId="1" fontId="16" fillId="0" borderId="0" xfId="6" applyFont="1" applyAlignment="1" applyProtection="1">
      <alignment horizontal="center"/>
      <protection locked="0"/>
    </xf>
    <xf numFmtId="2" fontId="16" fillId="0" borderId="0" xfId="3" applyNumberFormat="1" applyFont="1" applyProtection="1">
      <protection locked="0"/>
    </xf>
    <xf numFmtId="1" fontId="16" fillId="0" borderId="8" xfId="6" applyFont="1" applyBorder="1" applyAlignment="1" applyProtection="1">
      <alignment horizontal="right"/>
      <protection locked="0"/>
    </xf>
    <xf numFmtId="2" fontId="16" fillId="0" borderId="9" xfId="6" applyNumberFormat="1" applyFont="1" applyBorder="1" applyAlignment="1" applyProtection="1">
      <alignment horizontal="left"/>
      <protection locked="0"/>
    </xf>
    <xf numFmtId="1" fontId="16" fillId="0" borderId="1" xfId="6" applyFont="1" applyBorder="1" applyProtection="1">
      <protection locked="0"/>
    </xf>
    <xf numFmtId="2" fontId="16" fillId="0" borderId="1" xfId="6" applyNumberFormat="1" applyFont="1" applyBorder="1" applyProtection="1">
      <protection locked="0"/>
    </xf>
    <xf numFmtId="0" fontId="20" fillId="0" borderId="0" xfId="3" applyFont="1" applyProtection="1">
      <protection locked="0"/>
    </xf>
    <xf numFmtId="0" fontId="19" fillId="0" borderId="11" xfId="3" applyFont="1" applyBorder="1" applyAlignment="1" applyProtection="1">
      <alignment horizontal="center"/>
      <protection locked="0"/>
    </xf>
    <xf numFmtId="166" fontId="16" fillId="0" borderId="0" xfId="6" applyNumberFormat="1" applyFont="1" applyProtection="1">
      <protection locked="0"/>
    </xf>
    <xf numFmtId="0" fontId="16" fillId="0" borderId="1" xfId="3" applyFont="1" applyBorder="1" applyProtection="1">
      <protection locked="0"/>
    </xf>
    <xf numFmtId="2" fontId="16" fillId="0" borderId="1" xfId="3" applyNumberFormat="1" applyFont="1" applyBorder="1" applyProtection="1">
      <protection locked="0"/>
    </xf>
    <xf numFmtId="2" fontId="17" fillId="2" borderId="0" xfId="3" applyNumberFormat="1" applyFont="1" applyFill="1" applyAlignment="1" applyProtection="1">
      <alignment horizontal="center"/>
      <protection locked="0"/>
    </xf>
    <xf numFmtId="0" fontId="21" fillId="0" borderId="0" xfId="3" applyFont="1" applyAlignment="1" applyProtection="1">
      <alignment horizontal="right"/>
      <protection locked="0"/>
    </xf>
    <xf numFmtId="0" fontId="11" fillId="0" borderId="0" xfId="3" applyFont="1" applyProtection="1">
      <protection locked="0"/>
    </xf>
    <xf numFmtId="1" fontId="11" fillId="0" borderId="0" xfId="3" applyNumberFormat="1" applyFont="1" applyProtection="1">
      <protection locked="0"/>
    </xf>
    <xf numFmtId="2" fontId="11" fillId="0" borderId="0" xfId="6" applyNumberFormat="1" applyFont="1" applyAlignment="1" applyProtection="1">
      <alignment horizontal="right"/>
      <protection locked="0"/>
    </xf>
    <xf numFmtId="1" fontId="11" fillId="0" borderId="0" xfId="6" applyFont="1" applyProtection="1">
      <protection locked="0"/>
    </xf>
    <xf numFmtId="2" fontId="11" fillId="0" borderId="0" xfId="6" applyNumberFormat="1" applyFont="1" applyProtection="1">
      <protection locked="0"/>
    </xf>
    <xf numFmtId="166" fontId="11" fillId="0" borderId="0" xfId="6" applyNumberFormat="1" applyFont="1" applyProtection="1">
      <protection locked="0"/>
    </xf>
    <xf numFmtId="2" fontId="11" fillId="0" borderId="0" xfId="3" applyNumberFormat="1" applyFont="1" applyAlignment="1" applyProtection="1">
      <alignment horizontal="right"/>
      <protection locked="0"/>
    </xf>
    <xf numFmtId="0" fontId="11" fillId="0" borderId="0" xfId="3" applyFont="1" applyAlignment="1" applyProtection="1">
      <alignment horizontal="right"/>
      <protection locked="0"/>
    </xf>
    <xf numFmtId="0" fontId="22" fillId="0" borderId="0" xfId="3" applyFont="1" applyProtection="1">
      <protection locked="0"/>
    </xf>
    <xf numFmtId="0" fontId="23" fillId="0" borderId="1" xfId="3" applyFont="1" applyBorder="1" applyAlignment="1" applyProtection="1">
      <alignment horizontal="left"/>
      <protection locked="0"/>
    </xf>
    <xf numFmtId="0" fontId="24" fillId="0" borderId="1" xfId="3" applyFont="1" applyBorder="1" applyAlignment="1" applyProtection="1">
      <alignment horizontal="right"/>
      <protection locked="0"/>
    </xf>
    <xf numFmtId="0" fontId="7" fillId="0" borderId="1" xfId="3" applyFont="1" applyBorder="1" applyProtection="1">
      <protection locked="0"/>
    </xf>
    <xf numFmtId="0" fontId="23" fillId="0" borderId="1" xfId="3" applyFont="1" applyBorder="1" applyAlignment="1" applyProtection="1">
      <alignment horizontal="right"/>
      <protection locked="0"/>
    </xf>
    <xf numFmtId="1" fontId="23" fillId="2" borderId="1" xfId="6" applyFont="1" applyFill="1" applyBorder="1" applyProtection="1">
      <protection locked="0"/>
    </xf>
    <xf numFmtId="2" fontId="23" fillId="2" borderId="1" xfId="6" applyNumberFormat="1" applyFont="1" applyFill="1" applyBorder="1" applyProtection="1">
      <protection locked="0"/>
    </xf>
    <xf numFmtId="2" fontId="23" fillId="2" borderId="1" xfId="3" applyNumberFormat="1" applyFont="1" applyFill="1" applyBorder="1" applyProtection="1">
      <protection locked="0"/>
    </xf>
    <xf numFmtId="0" fontId="25" fillId="2" borderId="1" xfId="3" applyFont="1" applyFill="1" applyBorder="1" applyProtection="1">
      <protection locked="0"/>
    </xf>
    <xf numFmtId="0" fontId="23" fillId="0" borderId="0" xfId="3" applyFont="1" applyAlignment="1" applyProtection="1">
      <alignment horizontal="left"/>
      <protection locked="0"/>
    </xf>
    <xf numFmtId="0" fontId="24" fillId="0" borderId="0" xfId="3" applyFont="1" applyAlignment="1" applyProtection="1">
      <alignment horizontal="right"/>
      <protection locked="0"/>
    </xf>
    <xf numFmtId="0" fontId="7" fillId="0" borderId="0" xfId="3" applyFont="1" applyAlignment="1" applyProtection="1">
      <alignment horizontal="right"/>
      <protection locked="0"/>
    </xf>
    <xf numFmtId="0" fontId="23" fillId="0" borderId="0" xfId="3" applyFont="1" applyAlignment="1" applyProtection="1">
      <alignment horizontal="right"/>
      <protection locked="0"/>
    </xf>
    <xf numFmtId="2" fontId="23" fillId="0" borderId="0" xfId="3" applyNumberFormat="1" applyFont="1" applyProtection="1">
      <protection locked="0"/>
    </xf>
    <xf numFmtId="2" fontId="23" fillId="0" borderId="0" xfId="6" applyNumberFormat="1" applyFont="1" applyProtection="1">
      <protection locked="0"/>
    </xf>
    <xf numFmtId="2" fontId="25" fillId="0" borderId="0" xfId="3" applyNumberFormat="1" applyFont="1" applyProtection="1">
      <protection locked="0"/>
    </xf>
    <xf numFmtId="0" fontId="23" fillId="12" borderId="0" xfId="3" applyFont="1" applyFill="1" applyAlignment="1" applyProtection="1">
      <alignment horizontal="left"/>
      <protection locked="0"/>
    </xf>
    <xf numFmtId="0" fontId="23" fillId="12" borderId="0" xfId="3" applyFont="1" applyFill="1" applyAlignment="1" applyProtection="1">
      <alignment horizontal="right"/>
      <protection locked="0"/>
    </xf>
    <xf numFmtId="0" fontId="19" fillId="0" borderId="0" xfId="3" applyFont="1" applyProtection="1">
      <protection locked="0"/>
    </xf>
    <xf numFmtId="2" fontId="19" fillId="0" borderId="0" xfId="3" applyNumberFormat="1" applyFont="1" applyProtection="1">
      <protection locked="0"/>
    </xf>
    <xf numFmtId="2" fontId="16" fillId="0" borderId="12" xfId="3" applyNumberFormat="1" applyFont="1" applyBorder="1" applyProtection="1">
      <protection locked="0"/>
    </xf>
    <xf numFmtId="0" fontId="19" fillId="12" borderId="0" xfId="3" applyFont="1" applyFill="1" applyAlignment="1" applyProtection="1">
      <alignment horizontal="left"/>
      <protection locked="0"/>
    </xf>
    <xf numFmtId="0" fontId="19" fillId="12" borderId="0" xfId="3" applyFont="1" applyFill="1" applyAlignment="1" applyProtection="1">
      <alignment horizontal="right"/>
      <protection locked="0"/>
    </xf>
    <xf numFmtId="2" fontId="16" fillId="2" borderId="0" xfId="3" applyNumberFormat="1" applyFont="1" applyFill="1" applyAlignment="1" applyProtection="1">
      <alignment horizontal="center"/>
      <protection locked="0"/>
    </xf>
    <xf numFmtId="2" fontId="16" fillId="13" borderId="12" xfId="6" applyNumberFormat="1" applyFont="1" applyFill="1" applyBorder="1" applyProtection="1">
      <protection locked="0"/>
    </xf>
    <xf numFmtId="2" fontId="16" fillId="0" borderId="12" xfId="6" applyNumberFormat="1" applyFont="1" applyBorder="1" applyProtection="1">
      <protection locked="0"/>
    </xf>
    <xf numFmtId="0" fontId="16" fillId="2" borderId="0" xfId="3" applyFont="1" applyFill="1" applyAlignment="1" applyProtection="1">
      <alignment horizontal="center"/>
      <protection locked="0"/>
    </xf>
    <xf numFmtId="1" fontId="27" fillId="0" borderId="0" xfId="6" applyFont="1" applyProtection="1">
      <protection locked="0"/>
    </xf>
    <xf numFmtId="1" fontId="23" fillId="0" borderId="0" xfId="6" applyFont="1" applyAlignment="1" applyProtection="1">
      <alignment horizontal="right"/>
      <protection locked="0"/>
    </xf>
    <xf numFmtId="2" fontId="16" fillId="7" borderId="12" xfId="3" applyNumberFormat="1" applyFont="1" applyFill="1" applyBorder="1" applyProtection="1">
      <protection locked="0"/>
    </xf>
    <xf numFmtId="2" fontId="28" fillId="0" borderId="12" xfId="3" applyNumberFormat="1" applyFont="1" applyBorder="1" applyProtection="1">
      <protection locked="0"/>
    </xf>
    <xf numFmtId="2" fontId="16" fillId="6" borderId="12" xfId="3" applyNumberFormat="1" applyFont="1" applyFill="1" applyBorder="1" applyProtection="1">
      <protection locked="0"/>
    </xf>
    <xf numFmtId="0" fontId="20" fillId="0" borderId="1" xfId="3" applyFont="1" applyBorder="1" applyProtection="1">
      <protection locked="0"/>
    </xf>
    <xf numFmtId="2" fontId="19" fillId="0" borderId="1" xfId="3" applyNumberFormat="1" applyFont="1" applyBorder="1" applyAlignment="1" applyProtection="1">
      <alignment horizontal="right"/>
      <protection locked="0"/>
    </xf>
    <xf numFmtId="0" fontId="11" fillId="0" borderId="13" xfId="0" applyFont="1" applyBorder="1" applyAlignment="1" applyProtection="1">
      <alignment horizontal="right"/>
      <protection locked="0"/>
    </xf>
    <xf numFmtId="0" fontId="7" fillId="0" borderId="13" xfId="0" applyFont="1" applyBorder="1" applyProtection="1">
      <protection locked="0"/>
    </xf>
    <xf numFmtId="0" fontId="23" fillId="0" borderId="13" xfId="0" applyFont="1" applyBorder="1" applyAlignment="1" applyProtection="1">
      <alignment horizontal="right"/>
      <protection locked="0"/>
    </xf>
    <xf numFmtId="0" fontId="0" fillId="0" borderId="13" xfId="0" applyBorder="1" applyProtection="1">
      <protection locked="0"/>
    </xf>
    <xf numFmtId="1" fontId="0" fillId="0" borderId="13" xfId="0" applyNumberFormat="1" applyBorder="1" applyProtection="1">
      <protection locked="0"/>
    </xf>
    <xf numFmtId="0" fontId="5" fillId="0" borderId="13" xfId="0" applyFont="1" applyBorder="1" applyProtection="1">
      <protection locked="0"/>
    </xf>
    <xf numFmtId="2" fontId="5" fillId="2" borderId="14" xfId="0" applyNumberFormat="1" applyFont="1" applyFill="1" applyBorder="1" applyAlignment="1" applyProtection="1">
      <alignment horizontal="right"/>
      <protection locked="0"/>
    </xf>
    <xf numFmtId="166" fontId="5" fillId="2" borderId="14" xfId="0" applyNumberFormat="1" applyFont="1" applyFill="1" applyBorder="1" applyProtection="1">
      <protection locked="0"/>
    </xf>
    <xf numFmtId="0" fontId="11" fillId="0" borderId="0" xfId="0" applyFont="1" applyAlignment="1" applyProtection="1">
      <alignment horizontal="right"/>
      <protection locked="0"/>
    </xf>
    <xf numFmtId="0" fontId="5" fillId="0" borderId="0" xfId="0" applyFont="1" applyAlignment="1" applyProtection="1">
      <alignment horizontal="center"/>
      <protection locked="0"/>
    </xf>
    <xf numFmtId="1" fontId="0" fillId="0" borderId="0" xfId="0" applyNumberFormat="1" applyProtection="1">
      <protection locked="0"/>
    </xf>
    <xf numFmtId="2" fontId="12" fillId="0" borderId="0" xfId="0" applyNumberFormat="1" applyFont="1" applyProtection="1">
      <protection locked="0"/>
    </xf>
    <xf numFmtId="166" fontId="0" fillId="0" borderId="0" xfId="0" applyNumberFormat="1" applyProtection="1">
      <protection locked="0"/>
    </xf>
    <xf numFmtId="0" fontId="16" fillId="0" borderId="0" xfId="0" applyFont="1" applyProtection="1">
      <protection locked="0"/>
    </xf>
    <xf numFmtId="0" fontId="11" fillId="0" borderId="1" xfId="0" applyFont="1" applyBorder="1" applyAlignment="1" applyProtection="1">
      <alignment horizontal="right"/>
      <protection locked="0"/>
    </xf>
    <xf numFmtId="0" fontId="31" fillId="0" borderId="1" xfId="0" applyFont="1" applyBorder="1" applyAlignment="1" applyProtection="1">
      <alignment horizontal="left"/>
      <protection locked="0"/>
    </xf>
    <xf numFmtId="1" fontId="30" fillId="0" borderId="1" xfId="6" applyFont="1" applyBorder="1" applyAlignment="1" applyProtection="1">
      <alignment horizontal="center"/>
      <protection locked="0"/>
    </xf>
    <xf numFmtId="0" fontId="16" fillId="0" borderId="1" xfId="0" applyFont="1" applyBorder="1" applyProtection="1">
      <protection locked="0"/>
    </xf>
    <xf numFmtId="0" fontId="0" fillId="0" borderId="1" xfId="0" applyBorder="1" applyProtection="1">
      <protection locked="0"/>
    </xf>
    <xf numFmtId="0" fontId="5" fillId="0" borderId="1" xfId="0" applyFont="1" applyBorder="1" applyAlignment="1" applyProtection="1">
      <alignment horizontal="center"/>
      <protection locked="0"/>
    </xf>
    <xf numFmtId="1" fontId="0" fillId="0" borderId="1" xfId="0" applyNumberFormat="1" applyBorder="1" applyProtection="1">
      <protection locked="0"/>
    </xf>
    <xf numFmtId="2" fontId="12" fillId="0" borderId="1" xfId="0" applyNumberFormat="1" applyFont="1" applyBorder="1" applyProtection="1">
      <protection locked="0"/>
    </xf>
    <xf numFmtId="166" fontId="0" fillId="0" borderId="1" xfId="0" applyNumberFormat="1" applyBorder="1" applyProtection="1">
      <protection locked="0"/>
    </xf>
    <xf numFmtId="0" fontId="27" fillId="0" borderId="0" xfId="0" applyFont="1" applyAlignment="1" applyProtection="1">
      <alignment horizontal="center"/>
      <protection locked="0"/>
    </xf>
    <xf numFmtId="0" fontId="32" fillId="0" borderId="0" xfId="0" applyFont="1" applyProtection="1">
      <protection locked="0"/>
    </xf>
    <xf numFmtId="0" fontId="27" fillId="0" borderId="0" xfId="0" applyFont="1" applyAlignment="1" applyProtection="1">
      <alignment horizontal="left"/>
      <protection locked="0"/>
    </xf>
    <xf numFmtId="0" fontId="33" fillId="0" borderId="0" xfId="0" applyFont="1" applyAlignment="1" applyProtection="1">
      <alignment horizontal="center"/>
      <protection locked="0"/>
    </xf>
    <xf numFmtId="0" fontId="27" fillId="0" borderId="1" xfId="0" applyFont="1" applyBorder="1" applyAlignment="1" applyProtection="1">
      <alignment horizontal="center"/>
      <protection locked="0"/>
    </xf>
    <xf numFmtId="0" fontId="32" fillId="0" borderId="1" xfId="0" applyFont="1" applyBorder="1" applyProtection="1">
      <protection locked="0"/>
    </xf>
    <xf numFmtId="0" fontId="27" fillId="0" borderId="15" xfId="0" applyFont="1" applyBorder="1" applyAlignment="1" applyProtection="1">
      <alignment horizontal="left"/>
      <protection locked="0"/>
    </xf>
    <xf numFmtId="0" fontId="34" fillId="0" borderId="15" xfId="0" applyFont="1" applyBorder="1" applyAlignment="1" applyProtection="1">
      <alignment horizontal="center"/>
      <protection locked="0"/>
    </xf>
    <xf numFmtId="0" fontId="0" fillId="0" borderId="15" xfId="0" applyBorder="1" applyProtection="1">
      <protection locked="0"/>
    </xf>
    <xf numFmtId="1" fontId="0" fillId="0" borderId="15" xfId="0" applyNumberFormat="1" applyBorder="1" applyProtection="1">
      <protection locked="0"/>
    </xf>
    <xf numFmtId="2" fontId="8" fillId="0" borderId="15" xfId="0" applyNumberFormat="1" applyFont="1" applyBorder="1" applyAlignment="1" applyProtection="1">
      <alignment horizontal="right"/>
      <protection locked="0"/>
    </xf>
    <xf numFmtId="166" fontId="0" fillId="0" borderId="15" xfId="0" applyNumberFormat="1" applyBorder="1" applyProtection="1">
      <protection locked="0"/>
    </xf>
    <xf numFmtId="0" fontId="0" fillId="16" borderId="0" xfId="0" applyFill="1"/>
    <xf numFmtId="2" fontId="16" fillId="2" borderId="0" xfId="3" applyNumberFormat="1" applyFont="1" applyFill="1" applyAlignment="1" applyProtection="1">
      <alignment vertical="top"/>
      <protection locked="0"/>
    </xf>
    <xf numFmtId="2" fontId="19" fillId="14" borderId="3" xfId="6" applyNumberFormat="1" applyFont="1" applyFill="1" applyBorder="1" applyAlignment="1" applyProtection="1">
      <alignment horizontal="center" vertical="top"/>
      <protection locked="0"/>
    </xf>
    <xf numFmtId="1" fontId="16" fillId="0" borderId="0" xfId="6" applyFont="1" applyAlignment="1" applyProtection="1">
      <alignment horizontal="center" vertical="top"/>
      <protection locked="0"/>
    </xf>
    <xf numFmtId="1" fontId="66" fillId="0" borderId="0" xfId="6" applyFont="1" applyAlignment="1" applyProtection="1">
      <alignment horizontal="left" vertical="top"/>
      <protection locked="0"/>
    </xf>
    <xf numFmtId="1" fontId="18" fillId="0" borderId="0" xfId="6" applyFont="1" applyAlignment="1" applyProtection="1">
      <alignment vertical="top"/>
      <protection locked="0"/>
    </xf>
    <xf numFmtId="1" fontId="19" fillId="0" borderId="0" xfId="6" applyFont="1" applyAlignment="1" applyProtection="1">
      <alignment vertical="top"/>
      <protection locked="0"/>
    </xf>
    <xf numFmtId="2" fontId="19" fillId="0" borderId="0" xfId="6" applyNumberFormat="1" applyFont="1" applyAlignment="1" applyProtection="1">
      <alignment vertical="top"/>
      <protection locked="0"/>
    </xf>
    <xf numFmtId="1" fontId="11" fillId="0" borderId="0" xfId="6" applyFont="1" applyAlignment="1" applyProtection="1">
      <alignment horizontal="center" vertical="top"/>
      <protection locked="0"/>
    </xf>
    <xf numFmtId="1" fontId="11" fillId="0" borderId="0" xfId="6" applyFont="1" applyAlignment="1" applyProtection="1">
      <alignment vertical="top"/>
      <protection locked="0"/>
    </xf>
    <xf numFmtId="2" fontId="23" fillId="3" borderId="0" xfId="3" applyNumberFormat="1" applyFont="1" applyFill="1" applyAlignment="1" applyProtection="1">
      <alignment vertical="top"/>
      <protection locked="0"/>
    </xf>
    <xf numFmtId="2" fontId="68" fillId="15" borderId="1" xfId="6" applyNumberFormat="1" applyFont="1" applyFill="1" applyBorder="1" applyAlignment="1">
      <alignment horizontal="center" vertical="top"/>
    </xf>
    <xf numFmtId="2" fontId="16" fillId="0" borderId="0" xfId="6" applyNumberFormat="1" applyFont="1" applyAlignment="1" applyProtection="1">
      <alignment vertical="top"/>
      <protection locked="0"/>
    </xf>
    <xf numFmtId="0" fontId="32" fillId="0" borderId="0" xfId="3" applyFont="1"/>
    <xf numFmtId="1" fontId="8" fillId="0" borderId="0" xfId="3" applyNumberFormat="1"/>
    <xf numFmtId="2" fontId="16" fillId="3" borderId="0" xfId="6" applyNumberFormat="1" applyFont="1" applyFill="1"/>
    <xf numFmtId="2" fontId="16" fillId="17" borderId="0" xfId="6" applyNumberFormat="1" applyFont="1" applyFill="1"/>
    <xf numFmtId="1" fontId="37" fillId="0" borderId="1" xfId="6" applyFont="1" applyBorder="1" applyAlignment="1" applyProtection="1">
      <alignment horizontal="right"/>
      <protection locked="0"/>
    </xf>
    <xf numFmtId="1" fontId="16" fillId="0" borderId="1" xfId="6" applyFont="1" applyBorder="1" applyAlignment="1" applyProtection="1">
      <alignment horizontal="center"/>
      <protection locked="0"/>
    </xf>
    <xf numFmtId="1" fontId="16" fillId="0" borderId="1" xfId="6" applyFont="1" applyBorder="1"/>
    <xf numFmtId="1" fontId="11" fillId="0" borderId="1" xfId="6" applyFont="1" applyBorder="1" applyAlignment="1" applyProtection="1">
      <alignment horizontal="center"/>
      <protection locked="0"/>
    </xf>
    <xf numFmtId="2" fontId="69" fillId="3" borderId="15" xfId="6" applyNumberFormat="1" applyFont="1" applyFill="1" applyBorder="1" applyAlignment="1">
      <alignment horizontal="right"/>
    </xf>
    <xf numFmtId="1" fontId="11" fillId="0" borderId="1" xfId="6" applyFont="1" applyBorder="1" applyAlignment="1" applyProtection="1">
      <alignment horizontal="right"/>
      <protection locked="0"/>
    </xf>
    <xf numFmtId="1" fontId="0" fillId="0" borderId="0" xfId="0" applyNumberFormat="1"/>
    <xf numFmtId="0" fontId="51" fillId="0" borderId="0" xfId="3" applyFont="1" applyProtection="1">
      <protection locked="0"/>
    </xf>
    <xf numFmtId="0" fontId="19" fillId="0" borderId="1" xfId="3" applyFont="1" applyBorder="1" applyAlignment="1">
      <alignment horizontal="center"/>
    </xf>
    <xf numFmtId="0" fontId="19" fillId="0" borderId="1" xfId="3" applyFont="1" applyBorder="1" applyAlignment="1" applyProtection="1">
      <alignment horizontal="right"/>
      <protection locked="0"/>
    </xf>
    <xf numFmtId="1" fontId="16" fillId="0" borderId="0" xfId="3" applyNumberFormat="1" applyFont="1"/>
    <xf numFmtId="0" fontId="19" fillId="0" borderId="0" xfId="3" applyFont="1"/>
    <xf numFmtId="1" fontId="19" fillId="0" borderId="0" xfId="3" applyNumberFormat="1" applyFont="1"/>
    <xf numFmtId="2" fontId="16" fillId="0" borderId="12" xfId="3" applyNumberFormat="1" applyFont="1" applyBorder="1"/>
    <xf numFmtId="0" fontId="16" fillId="0" borderId="12" xfId="3" applyFont="1" applyBorder="1" applyProtection="1">
      <protection locked="0"/>
    </xf>
    <xf numFmtId="2" fontId="16" fillId="13" borderId="12" xfId="6" applyNumberFormat="1" applyFont="1" applyFill="1" applyBorder="1"/>
    <xf numFmtId="1" fontId="16" fillId="0" borderId="12" xfId="6" applyFont="1" applyBorder="1" applyProtection="1">
      <protection locked="0"/>
    </xf>
    <xf numFmtId="1" fontId="8" fillId="0" borderId="1" xfId="3" applyNumberFormat="1" applyBorder="1"/>
    <xf numFmtId="0" fontId="32" fillId="0" borderId="0" xfId="0" applyFont="1"/>
    <xf numFmtId="0" fontId="0" fillId="14" borderId="0" xfId="0" applyFill="1" applyAlignment="1" applyProtection="1">
      <alignment horizontal="center"/>
      <protection locked="0"/>
    </xf>
    <xf numFmtId="0" fontId="79" fillId="7" borderId="0" xfId="0" applyFont="1" applyFill="1" applyAlignment="1" applyProtection="1">
      <alignment horizontal="center"/>
      <protection locked="0"/>
    </xf>
    <xf numFmtId="0" fontId="81" fillId="14" borderId="0" xfId="0" applyFont="1" applyFill="1" applyAlignment="1" applyProtection="1">
      <alignment horizontal="center"/>
      <protection locked="0"/>
    </xf>
    <xf numFmtId="0" fontId="81" fillId="2" borderId="0" xfId="0" applyFont="1" applyFill="1" applyAlignment="1">
      <alignment horizontal="center"/>
    </xf>
    <xf numFmtId="0" fontId="81" fillId="12" borderId="0" xfId="0" applyFont="1" applyFill="1" applyAlignment="1" applyProtection="1">
      <alignment horizontal="center"/>
      <protection locked="0"/>
    </xf>
    <xf numFmtId="0" fontId="82" fillId="0" borderId="0" xfId="0" applyFont="1" applyAlignment="1">
      <alignment horizontal="center"/>
    </xf>
    <xf numFmtId="0" fontId="81" fillId="0" borderId="0" xfId="0" applyFont="1" applyAlignment="1" applyProtection="1">
      <alignment horizontal="center"/>
      <protection locked="0"/>
    </xf>
    <xf numFmtId="0" fontId="36" fillId="0" borderId="13" xfId="2" applyNumberFormat="1" applyFont="1" applyBorder="1" applyAlignment="1" applyProtection="1">
      <alignment horizontal="centerContinuous"/>
      <protection locked="0"/>
    </xf>
    <xf numFmtId="0" fontId="11" fillId="0" borderId="0" xfId="7" applyProtection="1">
      <protection locked="0"/>
    </xf>
    <xf numFmtId="0" fontId="80" fillId="0" borderId="0" xfId="0" applyFont="1" applyProtection="1">
      <protection locked="0"/>
    </xf>
    <xf numFmtId="0" fontId="39" fillId="0" borderId="0" xfId="0" applyFont="1" applyProtection="1">
      <protection locked="0"/>
    </xf>
    <xf numFmtId="0" fontId="12" fillId="0" borderId="0" xfId="0" applyFont="1" applyAlignment="1" applyProtection="1">
      <alignment horizontal="centerContinuous"/>
      <protection locked="0"/>
    </xf>
    <xf numFmtId="0" fontId="0" fillId="0" borderId="0" xfId="0" applyAlignment="1" applyProtection="1">
      <alignment horizontal="left"/>
      <protection locked="0"/>
    </xf>
    <xf numFmtId="0" fontId="41" fillId="0" borderId="0" xfId="3" applyFont="1" applyAlignment="1" applyProtection="1">
      <alignment horizontal="centerContinuous"/>
      <protection locked="0"/>
    </xf>
    <xf numFmtId="0" fontId="40" fillId="0" borderId="0" xfId="0" applyFont="1" applyAlignment="1" applyProtection="1">
      <alignment horizontal="center"/>
      <protection locked="0"/>
    </xf>
    <xf numFmtId="0" fontId="0" fillId="0" borderId="0" xfId="0" applyAlignment="1" applyProtection="1">
      <alignment horizontal="right"/>
      <protection locked="0"/>
    </xf>
    <xf numFmtId="0" fontId="89" fillId="0" borderId="0" xfId="7" applyFont="1" applyAlignment="1" applyProtection="1">
      <alignment horizontal="left"/>
      <protection locked="0"/>
    </xf>
    <xf numFmtId="0" fontId="43" fillId="0" borderId="0" xfId="7" applyFont="1" applyAlignment="1" applyProtection="1">
      <alignment horizontal="centerContinuous"/>
      <protection locked="0"/>
    </xf>
    <xf numFmtId="0" fontId="0" fillId="0" borderId="0" xfId="0" applyAlignment="1" applyProtection="1">
      <alignment horizontal="centerContinuous"/>
      <protection locked="0"/>
    </xf>
    <xf numFmtId="0" fontId="11" fillId="0" borderId="0" xfId="7" applyAlignment="1" applyProtection="1">
      <alignment horizontal="left"/>
      <protection locked="0"/>
    </xf>
    <xf numFmtId="0" fontId="0" fillId="0" borderId="16" xfId="0" applyBorder="1" applyProtection="1">
      <protection locked="0"/>
    </xf>
    <xf numFmtId="0" fontId="32" fillId="0" borderId="0" xfId="7" applyFont="1" applyProtection="1">
      <protection locked="0"/>
    </xf>
    <xf numFmtId="0" fontId="45" fillId="0" borderId="0" xfId="7" applyFont="1" applyAlignment="1" applyProtection="1">
      <alignment horizontal="left"/>
      <protection locked="0"/>
    </xf>
    <xf numFmtId="0" fontId="70" fillId="0" borderId="0" xfId="7" applyFont="1" applyAlignment="1" applyProtection="1">
      <alignment horizontal="right"/>
      <protection locked="0"/>
    </xf>
    <xf numFmtId="2" fontId="62" fillId="0" borderId="0" xfId="1" applyNumberFormat="1" applyFont="1" applyAlignment="1" applyProtection="1">
      <alignment horizontal="right"/>
      <protection locked="0"/>
    </xf>
    <xf numFmtId="0" fontId="46" fillId="0" borderId="0" xfId="8" applyFont="1" applyProtection="1">
      <protection locked="0"/>
    </xf>
    <xf numFmtId="0" fontId="23" fillId="0" borderId="1" xfId="7" applyFont="1" applyBorder="1" applyProtection="1">
      <protection locked="0"/>
    </xf>
    <xf numFmtId="0" fontId="11" fillId="0" borderId="1" xfId="7" applyBorder="1" applyAlignment="1" applyProtection="1">
      <alignment horizontal="left"/>
      <protection locked="0"/>
    </xf>
    <xf numFmtId="0" fontId="11" fillId="0" borderId="1" xfId="7" applyBorder="1" applyProtection="1">
      <protection locked="0"/>
    </xf>
    <xf numFmtId="0" fontId="12" fillId="0" borderId="0" xfId="7" applyFont="1" applyProtection="1">
      <protection locked="0"/>
    </xf>
    <xf numFmtId="0" fontId="11" fillId="0" borderId="13" xfId="7" applyBorder="1" applyProtection="1">
      <protection locked="0"/>
    </xf>
    <xf numFmtId="0" fontId="23" fillId="0" borderId="0" xfId="7" applyFont="1" applyProtection="1">
      <protection locked="0"/>
    </xf>
    <xf numFmtId="0" fontId="5" fillId="0" borderId="0" xfId="7" applyFont="1" applyProtection="1">
      <protection locked="0"/>
    </xf>
    <xf numFmtId="0" fontId="0" fillId="0" borderId="17" xfId="0" applyBorder="1" applyAlignment="1" applyProtection="1">
      <alignment horizontal="left"/>
      <protection locked="0"/>
    </xf>
    <xf numFmtId="0" fontId="6" fillId="0" borderId="18" xfId="0" applyFont="1" applyBorder="1" applyProtection="1">
      <protection locked="0"/>
    </xf>
    <xf numFmtId="0" fontId="27" fillId="0" borderId="0" xfId="8" applyFont="1" applyAlignment="1" applyProtection="1">
      <alignment horizontal="right"/>
      <protection locked="0"/>
    </xf>
    <xf numFmtId="0" fontId="27" fillId="0" borderId="0" xfId="0" applyFont="1" applyAlignment="1" applyProtection="1">
      <alignment horizontal="right"/>
      <protection locked="0"/>
    </xf>
    <xf numFmtId="0" fontId="7" fillId="0" borderId="0" xfId="0" applyFont="1" applyAlignment="1" applyProtection="1">
      <alignment horizontal="right"/>
      <protection locked="0"/>
    </xf>
    <xf numFmtId="0" fontId="16" fillId="12" borderId="0" xfId="0" applyFont="1" applyFill="1" applyProtection="1">
      <protection locked="0"/>
    </xf>
    <xf numFmtId="0" fontId="0" fillId="12" borderId="0" xfId="0" applyFill="1" applyProtection="1">
      <protection locked="0"/>
    </xf>
    <xf numFmtId="0" fontId="6" fillId="0" borderId="0" xfId="0" applyFont="1" applyAlignment="1" applyProtection="1">
      <alignment horizontal="left"/>
      <protection locked="0"/>
    </xf>
    <xf numFmtId="0" fontId="0" fillId="0" borderId="19" xfId="0" applyBorder="1" applyProtection="1">
      <protection locked="0"/>
    </xf>
    <xf numFmtId="0" fontId="0" fillId="0" borderId="20" xfId="0" applyBorder="1" applyAlignment="1" applyProtection="1">
      <alignment horizontal="left"/>
      <protection locked="0"/>
    </xf>
    <xf numFmtId="0" fontId="0" fillId="0" borderId="21" xfId="0" applyBorder="1" applyProtection="1">
      <protection locked="0"/>
    </xf>
    <xf numFmtId="0" fontId="44" fillId="0" borderId="0" xfId="0" applyFont="1" applyAlignment="1" applyProtection="1">
      <alignment horizontal="centerContinuous"/>
      <protection locked="0"/>
    </xf>
    <xf numFmtId="0" fontId="0" fillId="0" borderId="3" xfId="0" applyBorder="1" applyProtection="1">
      <protection locked="0"/>
    </xf>
    <xf numFmtId="0" fontId="32" fillId="0" borderId="0" xfId="0" applyFont="1" applyAlignment="1" applyProtection="1">
      <alignment horizontal="centerContinuous"/>
      <protection locked="0"/>
    </xf>
    <xf numFmtId="0" fontId="71" fillId="0" borderId="0" xfId="0" applyFont="1" applyProtection="1">
      <protection locked="0"/>
    </xf>
    <xf numFmtId="0" fontId="72" fillId="0" borderId="0" xfId="0" applyFont="1" applyProtection="1">
      <protection locked="0"/>
    </xf>
    <xf numFmtId="0" fontId="48" fillId="0" borderId="17" xfId="8" applyFont="1" applyBorder="1" applyAlignment="1" applyProtection="1">
      <alignment horizontal="left"/>
      <protection locked="0"/>
    </xf>
    <xf numFmtId="0" fontId="48" fillId="0" borderId="0" xfId="8" applyFont="1" applyProtection="1">
      <protection locked="0"/>
    </xf>
    <xf numFmtId="0" fontId="90" fillId="0" borderId="0" xfId="0" applyFont="1" applyAlignment="1" applyProtection="1">
      <alignment horizontal="right"/>
      <protection locked="0"/>
    </xf>
    <xf numFmtId="0" fontId="74" fillId="0" borderId="22" xfId="8" applyFont="1" applyBorder="1" applyAlignment="1" applyProtection="1">
      <alignment horizontal="left"/>
      <protection locked="0"/>
    </xf>
    <xf numFmtId="0" fontId="73" fillId="0" borderId="22" xfId="8" applyFont="1" applyBorder="1" applyAlignment="1" applyProtection="1">
      <alignment horizontal="centerContinuous"/>
      <protection locked="0"/>
    </xf>
    <xf numFmtId="0" fontId="73" fillId="0" borderId="22" xfId="8" applyFont="1" applyBorder="1" applyProtection="1">
      <protection locked="0"/>
    </xf>
    <xf numFmtId="0" fontId="75" fillId="0" borderId="22" xfId="0" applyFont="1" applyBorder="1" applyProtection="1">
      <protection locked="0"/>
    </xf>
    <xf numFmtId="0" fontId="75" fillId="0" borderId="0" xfId="0" applyFont="1" applyProtection="1">
      <protection locked="0"/>
    </xf>
    <xf numFmtId="0" fontId="76" fillId="0" borderId="0" xfId="0" applyFont="1" applyAlignment="1" applyProtection="1">
      <alignment horizontal="right"/>
      <protection locked="0"/>
    </xf>
    <xf numFmtId="169" fontId="76" fillId="0" borderId="0" xfId="0" applyNumberFormat="1" applyFont="1" applyAlignment="1" applyProtection="1">
      <alignment horizontal="right"/>
      <protection locked="0"/>
    </xf>
    <xf numFmtId="0" fontId="74" fillId="0" borderId="0" xfId="8" applyFont="1" applyAlignment="1" applyProtection="1">
      <alignment horizontal="left"/>
      <protection locked="0"/>
    </xf>
    <xf numFmtId="0" fontId="73" fillId="0" borderId="0" xfId="8" applyFont="1" applyAlignment="1" applyProtection="1">
      <alignment horizontal="centerContinuous"/>
      <protection locked="0"/>
    </xf>
    <xf numFmtId="0" fontId="73" fillId="0" borderId="0" xfId="8" applyFont="1" applyProtection="1">
      <protection locked="0"/>
    </xf>
    <xf numFmtId="0" fontId="32" fillId="0" borderId="23" xfId="0" applyFont="1" applyBorder="1" applyAlignment="1" applyProtection="1">
      <alignment horizontal="center"/>
      <protection locked="0"/>
    </xf>
    <xf numFmtId="0" fontId="32" fillId="0" borderId="22" xfId="0" applyFont="1" applyBorder="1" applyAlignment="1" applyProtection="1">
      <alignment horizontal="center"/>
      <protection locked="0"/>
    </xf>
    <xf numFmtId="0" fontId="39" fillId="0" borderId="22" xfId="0" applyFont="1" applyBorder="1" applyAlignment="1" applyProtection="1">
      <alignment horizontal="center"/>
      <protection locked="0"/>
    </xf>
    <xf numFmtId="0" fontId="0" fillId="0" borderId="22" xfId="0" applyBorder="1" applyProtection="1">
      <protection locked="0"/>
    </xf>
    <xf numFmtId="0" fontId="0" fillId="0" borderId="24" xfId="0" applyBorder="1" applyProtection="1">
      <protection locked="0"/>
    </xf>
    <xf numFmtId="0" fontId="27" fillId="0" borderId="17" xfId="0" applyFont="1" applyBorder="1" applyAlignment="1" applyProtection="1">
      <alignment horizontal="center"/>
      <protection locked="0"/>
    </xf>
    <xf numFmtId="0" fontId="0" fillId="0" borderId="0" xfId="0" applyAlignment="1" applyProtection="1">
      <alignment horizontal="center"/>
      <protection locked="0"/>
    </xf>
    <xf numFmtId="0" fontId="0" fillId="0" borderId="19" xfId="0" applyBorder="1" applyAlignment="1" applyProtection="1">
      <alignment horizontal="left"/>
      <protection locked="0"/>
    </xf>
    <xf numFmtId="0" fontId="0" fillId="0" borderId="17" xfId="0" applyBorder="1" applyProtection="1">
      <protection locked="0"/>
    </xf>
    <xf numFmtId="167" fontId="0" fillId="0" borderId="19" xfId="0" applyNumberFormat="1" applyBorder="1" applyAlignment="1" applyProtection="1">
      <alignment horizontal="center"/>
      <protection locked="0"/>
    </xf>
    <xf numFmtId="0" fontId="0" fillId="0" borderId="20" xfId="0" applyBorder="1" applyProtection="1">
      <protection locked="0"/>
    </xf>
    <xf numFmtId="0" fontId="48" fillId="0" borderId="13" xfId="8" applyFont="1" applyBorder="1" applyAlignment="1" applyProtection="1">
      <alignment horizontal="centerContinuous"/>
      <protection locked="0"/>
    </xf>
    <xf numFmtId="0" fontId="48" fillId="0" borderId="13" xfId="8" applyFont="1" applyBorder="1" applyProtection="1">
      <protection locked="0"/>
    </xf>
    <xf numFmtId="0" fontId="48" fillId="0" borderId="0" xfId="8" applyFont="1" applyAlignment="1" applyProtection="1">
      <alignment horizontal="centerContinuous"/>
      <protection locked="0"/>
    </xf>
    <xf numFmtId="9" fontId="50" fillId="2" borderId="3" xfId="8" applyNumberFormat="1" applyFont="1" applyFill="1" applyBorder="1" applyAlignment="1" applyProtection="1">
      <alignment horizontal="centerContinuous"/>
      <protection locked="0"/>
    </xf>
    <xf numFmtId="9" fontId="50" fillId="0" borderId="0" xfId="8" applyNumberFormat="1" applyFont="1" applyAlignment="1" applyProtection="1">
      <alignment horizontal="centerContinuous"/>
      <protection locked="0"/>
    </xf>
    <xf numFmtId="0" fontId="50" fillId="2" borderId="3" xfId="8" applyFont="1" applyFill="1" applyBorder="1" applyAlignment="1" applyProtection="1">
      <alignment horizontal="centerContinuous"/>
      <protection locked="0"/>
    </xf>
    <xf numFmtId="15" fontId="50" fillId="2" borderId="3" xfId="8" applyNumberFormat="1" applyFont="1" applyFill="1" applyBorder="1" applyAlignment="1" applyProtection="1">
      <alignment horizontal="centerContinuous"/>
      <protection locked="0"/>
    </xf>
    <xf numFmtId="0" fontId="51" fillId="0" borderId="0" xfId="8" applyFont="1" applyProtection="1">
      <protection locked="0"/>
    </xf>
    <xf numFmtId="0" fontId="52" fillId="0" borderId="0" xfId="8" applyFont="1" applyProtection="1">
      <protection locked="0"/>
    </xf>
    <xf numFmtId="0" fontId="48" fillId="0" borderId="0" xfId="8" applyFont="1" applyAlignment="1" applyProtection="1">
      <alignment horizontal="left"/>
      <protection locked="0"/>
    </xf>
    <xf numFmtId="15" fontId="48" fillId="0" borderId="0" xfId="8" applyNumberFormat="1" applyFont="1" applyAlignment="1" applyProtection="1">
      <alignment horizontal="centerContinuous"/>
      <protection locked="0"/>
    </xf>
    <xf numFmtId="0" fontId="53" fillId="0" borderId="0" xfId="8" applyFont="1" applyAlignment="1" applyProtection="1">
      <alignment horizontal="left"/>
      <protection locked="0"/>
    </xf>
    <xf numFmtId="0" fontId="51" fillId="0" borderId="13" xfId="8" applyFont="1" applyBorder="1" applyProtection="1">
      <protection locked="0"/>
    </xf>
    <xf numFmtId="0" fontId="52" fillId="0" borderId="13" xfId="8" applyFont="1" applyBorder="1" applyProtection="1">
      <protection locked="0"/>
    </xf>
    <xf numFmtId="0" fontId="46" fillId="0" borderId="13" xfId="8" applyFont="1" applyBorder="1" applyProtection="1">
      <protection locked="0"/>
    </xf>
    <xf numFmtId="0" fontId="46" fillId="0" borderId="21" xfId="8" applyFont="1" applyBorder="1" applyProtection="1">
      <protection locked="0"/>
    </xf>
    <xf numFmtId="0" fontId="0" fillId="0" borderId="0" xfId="0" applyAlignment="1" applyProtection="1">
      <alignment vertical="center"/>
      <protection locked="0"/>
    </xf>
    <xf numFmtId="0" fontId="55" fillId="0" borderId="23" xfId="8" applyFont="1" applyBorder="1" applyAlignment="1" applyProtection="1">
      <alignment horizontal="left"/>
      <protection locked="0"/>
    </xf>
    <xf numFmtId="0" fontId="55" fillId="0" borderId="22" xfId="8" applyFont="1" applyBorder="1" applyAlignment="1" applyProtection="1">
      <alignment horizontal="centerContinuous"/>
      <protection locked="0"/>
    </xf>
    <xf numFmtId="0" fontId="0" fillId="0" borderId="22" xfId="0" applyBorder="1" applyAlignment="1" applyProtection="1">
      <alignment horizontal="centerContinuous"/>
      <protection locked="0"/>
    </xf>
    <xf numFmtId="15" fontId="48" fillId="0" borderId="22" xfId="8" applyNumberFormat="1" applyFont="1" applyBorder="1" applyAlignment="1" applyProtection="1">
      <alignment horizontal="centerContinuous"/>
      <protection locked="0"/>
    </xf>
    <xf numFmtId="0" fontId="48" fillId="0" borderId="22" xfId="8" applyFont="1" applyBorder="1" applyAlignment="1" applyProtection="1">
      <alignment horizontal="centerContinuous"/>
      <protection locked="0"/>
    </xf>
    <xf numFmtId="0" fontId="46" fillId="0" borderId="22" xfId="8" applyFont="1" applyBorder="1" applyAlignment="1" applyProtection="1">
      <alignment horizontal="centerContinuous"/>
      <protection locked="0"/>
    </xf>
    <xf numFmtId="0" fontId="52" fillId="0" borderId="22" xfId="8" applyFont="1" applyBorder="1" applyAlignment="1" applyProtection="1">
      <alignment horizontal="centerContinuous"/>
      <protection locked="0"/>
    </xf>
    <xf numFmtId="0" fontId="52" fillId="0" borderId="24" xfId="8" applyFont="1" applyBorder="1" applyAlignment="1" applyProtection="1">
      <alignment horizontal="centerContinuous"/>
      <protection locked="0"/>
    </xf>
    <xf numFmtId="0" fontId="27" fillId="0" borderId="20" xfId="8" applyFont="1" applyBorder="1" applyAlignment="1" applyProtection="1">
      <alignment horizontal="left"/>
      <protection locked="0"/>
    </xf>
    <xf numFmtId="0" fontId="27" fillId="0" borderId="13" xfId="8" applyFont="1" applyBorder="1" applyAlignment="1" applyProtection="1">
      <alignment horizontal="centerContinuous"/>
      <protection locked="0"/>
    </xf>
    <xf numFmtId="0" fontId="0" fillId="0" borderId="13" xfId="0" applyBorder="1" applyAlignment="1" applyProtection="1">
      <alignment horizontal="centerContinuous"/>
      <protection locked="0"/>
    </xf>
    <xf numFmtId="15" fontId="48" fillId="0" borderId="13" xfId="8" applyNumberFormat="1" applyFont="1" applyBorder="1" applyAlignment="1" applyProtection="1">
      <alignment horizontal="centerContinuous"/>
      <protection locked="0"/>
    </xf>
    <xf numFmtId="0" fontId="46" fillId="0" borderId="13" xfId="8" applyFont="1" applyBorder="1" applyAlignment="1" applyProtection="1">
      <alignment horizontal="centerContinuous"/>
      <protection locked="0"/>
    </xf>
    <xf numFmtId="0" fontId="46" fillId="0" borderId="21" xfId="8" applyFont="1" applyBorder="1" applyAlignment="1" applyProtection="1">
      <alignment horizontal="centerContinuous"/>
      <protection locked="0"/>
    </xf>
    <xf numFmtId="0" fontId="27" fillId="0" borderId="17" xfId="8" applyFont="1" applyBorder="1" applyAlignment="1" applyProtection="1">
      <alignment horizontal="left"/>
      <protection locked="0"/>
    </xf>
    <xf numFmtId="0" fontId="27" fillId="0" borderId="0" xfId="8" applyFont="1" applyAlignment="1" applyProtection="1">
      <alignment horizontal="centerContinuous"/>
      <protection locked="0"/>
    </xf>
    <xf numFmtId="0" fontId="55" fillId="0" borderId="0" xfId="8" applyFont="1" applyAlignment="1" applyProtection="1">
      <alignment horizontal="centerContinuous"/>
      <protection locked="0"/>
    </xf>
    <xf numFmtId="0" fontId="46" fillId="0" borderId="0" xfId="8" applyFont="1" applyAlignment="1" applyProtection="1">
      <alignment horizontal="centerContinuous"/>
      <protection locked="0"/>
    </xf>
    <xf numFmtId="0" fontId="46" fillId="0" borderId="19" xfId="8" applyFont="1" applyBorder="1" applyAlignment="1" applyProtection="1">
      <alignment horizontal="centerContinuous"/>
      <protection locked="0"/>
    </xf>
    <xf numFmtId="0" fontId="56" fillId="0" borderId="0" xfId="8" applyFont="1" applyAlignment="1" applyProtection="1">
      <alignment horizontal="right"/>
      <protection locked="0"/>
    </xf>
    <xf numFmtId="0" fontId="56" fillId="0" borderId="17" xfId="8" applyFont="1" applyBorder="1" applyAlignment="1" applyProtection="1">
      <alignment horizontal="left"/>
      <protection locked="0"/>
    </xf>
    <xf numFmtId="0" fontId="56" fillId="0" borderId="0" xfId="8" applyFont="1" applyAlignment="1" applyProtection="1">
      <alignment horizontal="left"/>
      <protection locked="0"/>
    </xf>
    <xf numFmtId="0" fontId="55" fillId="0" borderId="0" xfId="8" applyFont="1" applyAlignment="1" applyProtection="1">
      <alignment horizontal="left"/>
      <protection locked="0"/>
    </xf>
    <xf numFmtId="0" fontId="51" fillId="0" borderId="0" xfId="8" applyFont="1" applyAlignment="1" applyProtection="1">
      <alignment horizontal="left"/>
      <protection locked="0"/>
    </xf>
    <xf numFmtId="0" fontId="6" fillId="0" borderId="19" xfId="0" applyFont="1" applyBorder="1" applyAlignment="1" applyProtection="1">
      <alignment horizontal="right"/>
      <protection locked="0"/>
    </xf>
    <xf numFmtId="0" fontId="0" fillId="0" borderId="23" xfId="0" applyBorder="1" applyAlignment="1" applyProtection="1">
      <alignment horizontal="left"/>
      <protection locked="0"/>
    </xf>
    <xf numFmtId="0" fontId="0" fillId="0" borderId="10" xfId="0" applyBorder="1" applyProtection="1">
      <protection locked="0"/>
    </xf>
    <xf numFmtId="0" fontId="49" fillId="0" borderId="17" xfId="0" applyFont="1" applyBorder="1" applyAlignment="1" applyProtection="1">
      <alignment horizontal="left"/>
      <protection locked="0"/>
    </xf>
    <xf numFmtId="0" fontId="49" fillId="0" borderId="0" xfId="0" applyFont="1" applyProtection="1">
      <protection locked="0"/>
    </xf>
    <xf numFmtId="0" fontId="8" fillId="0" borderId="19" xfId="0" applyFont="1" applyBorder="1" applyAlignment="1" applyProtection="1">
      <alignment horizontal="center"/>
      <protection locked="0"/>
    </xf>
    <xf numFmtId="0" fontId="0" fillId="0" borderId="11" xfId="0" applyBorder="1" applyProtection="1">
      <protection locked="0"/>
    </xf>
    <xf numFmtId="2" fontId="58" fillId="0" borderId="25" xfId="0" applyNumberFormat="1" applyFont="1" applyBorder="1" applyAlignment="1" applyProtection="1">
      <alignment horizontal="center"/>
      <protection locked="0"/>
    </xf>
    <xf numFmtId="0" fontId="16" fillId="0" borderId="13" xfId="0" applyFont="1" applyBorder="1" applyProtection="1">
      <protection locked="0"/>
    </xf>
    <xf numFmtId="0" fontId="5" fillId="0" borderId="13" xfId="0" applyFont="1" applyBorder="1" applyAlignment="1" applyProtection="1">
      <alignment horizontal="center"/>
      <protection locked="0"/>
    </xf>
    <xf numFmtId="0" fontId="8" fillId="0" borderId="13" xfId="3" applyBorder="1" applyProtection="1">
      <protection locked="0"/>
    </xf>
    <xf numFmtId="2" fontId="58" fillId="0" borderId="11" xfId="0" applyNumberFormat="1" applyFont="1" applyBorder="1" applyAlignment="1" applyProtection="1">
      <alignment horizontal="center"/>
      <protection locked="0"/>
    </xf>
    <xf numFmtId="0" fontId="0" fillId="0" borderId="26" xfId="0" applyBorder="1" applyProtection="1">
      <protection locked="0"/>
    </xf>
    <xf numFmtId="0" fontId="6" fillId="0" borderId="1" xfId="0" applyFont="1" applyBorder="1" applyProtection="1">
      <protection locked="0"/>
    </xf>
    <xf numFmtId="0" fontId="6" fillId="0" borderId="15" xfId="0" applyFont="1" applyBorder="1" applyProtection="1">
      <protection locked="0"/>
    </xf>
    <xf numFmtId="0" fontId="8" fillId="0" borderId="1" xfId="3" applyBorder="1" applyProtection="1">
      <protection locked="0"/>
    </xf>
    <xf numFmtId="0" fontId="8" fillId="0" borderId="27" xfId="3" applyBorder="1" applyProtection="1">
      <protection locked="0"/>
    </xf>
    <xf numFmtId="15" fontId="31" fillId="0" borderId="0" xfId="0" applyNumberFormat="1" applyFont="1" applyAlignment="1" applyProtection="1">
      <alignment horizontal="left"/>
      <protection locked="0"/>
    </xf>
    <xf numFmtId="0" fontId="11" fillId="2" borderId="14" xfId="7" applyFill="1" applyBorder="1" applyAlignment="1">
      <alignment horizontal="center"/>
    </xf>
    <xf numFmtId="0" fontId="16" fillId="2" borderId="14" xfId="7" applyFont="1" applyFill="1" applyBorder="1"/>
    <xf numFmtId="0" fontId="11" fillId="0" borderId="0" xfId="7" applyAlignment="1">
      <alignment horizontal="left"/>
    </xf>
    <xf numFmtId="0" fontId="11" fillId="0" borderId="0" xfId="7"/>
    <xf numFmtId="0" fontId="16" fillId="16" borderId="0" xfId="0" applyFont="1" applyFill="1" applyAlignment="1">
      <alignment horizontal="left"/>
    </xf>
    <xf numFmtId="0" fontId="16" fillId="16" borderId="0" xfId="0" applyFont="1" applyFill="1"/>
    <xf numFmtId="0" fontId="8" fillId="16" borderId="0" xfId="0" applyFont="1" applyFill="1"/>
    <xf numFmtId="167" fontId="16" fillId="0" borderId="0" xfId="0" applyNumberFormat="1" applyFont="1"/>
    <xf numFmtId="0" fontId="16" fillId="16" borderId="0" xfId="8" applyFont="1" applyFill="1" applyAlignment="1">
      <alignment horizontal="left"/>
    </xf>
    <xf numFmtId="0" fontId="12" fillId="16" borderId="0" xfId="0" applyFont="1" applyFill="1"/>
    <xf numFmtId="0" fontId="48" fillId="16" borderId="0" xfId="8" applyFont="1" applyFill="1"/>
    <xf numFmtId="1" fontId="57" fillId="2" borderId="3" xfId="6" applyFont="1" applyFill="1" applyBorder="1" applyAlignment="1">
      <alignment horizontal="center"/>
    </xf>
    <xf numFmtId="166" fontId="16" fillId="2" borderId="3" xfId="6" applyNumberFormat="1" applyFont="1" applyFill="1" applyBorder="1" applyAlignment="1">
      <alignment horizontal="center"/>
    </xf>
    <xf numFmtId="0" fontId="0" fillId="0" borderId="13" xfId="0" applyBorder="1"/>
    <xf numFmtId="0" fontId="36" fillId="0" borderId="0" xfId="3" applyFont="1" applyAlignment="1" applyProtection="1">
      <alignment horizontal="left"/>
      <protection locked="0"/>
    </xf>
    <xf numFmtId="0" fontId="14" fillId="16" borderId="18" xfId="0" applyFont="1" applyFill="1" applyBorder="1" applyAlignment="1">
      <alignment horizontal="center"/>
    </xf>
    <xf numFmtId="0" fontId="91" fillId="0" borderId="0" xfId="3" applyFont="1" applyAlignment="1">
      <alignment horizontal="center"/>
    </xf>
    <xf numFmtId="0" fontId="0" fillId="0" borderId="28" xfId="0" applyBorder="1"/>
    <xf numFmtId="43" fontId="0" fillId="0" borderId="0" xfId="1" applyFont="1" applyAlignment="1" applyProtection="1">
      <alignment horizontal="right"/>
      <protection locked="0"/>
    </xf>
    <xf numFmtId="43" fontId="23" fillId="0" borderId="0" xfId="1" applyFont="1" applyFill="1" applyBorder="1" applyProtection="1">
      <protection locked="0"/>
    </xf>
    <xf numFmtId="43" fontId="0" fillId="0" borderId="0" xfId="1" applyFont="1" applyProtection="1">
      <protection locked="0"/>
    </xf>
    <xf numFmtId="43" fontId="8" fillId="0" borderId="0" xfId="1" applyProtection="1">
      <protection locked="0"/>
    </xf>
    <xf numFmtId="43" fontId="16" fillId="18" borderId="9" xfId="1" applyFont="1" applyFill="1" applyBorder="1" applyProtection="1">
      <protection locked="0"/>
    </xf>
    <xf numFmtId="43" fontId="16" fillId="4" borderId="19" xfId="1" applyFont="1" applyFill="1" applyBorder="1" applyAlignment="1" applyProtection="1">
      <alignment horizontal="center"/>
      <protection locked="0"/>
    </xf>
    <xf numFmtId="39" fontId="23" fillId="0" borderId="3" xfId="1" applyNumberFormat="1" applyFont="1" applyFill="1" applyBorder="1" applyAlignment="1" applyProtection="1">
      <alignment horizontal="right"/>
      <protection locked="0"/>
    </xf>
    <xf numFmtId="2" fontId="58" fillId="0" borderId="19" xfId="0" applyNumberFormat="1" applyFont="1" applyBorder="1" applyAlignment="1" applyProtection="1">
      <alignment horizontal="center"/>
      <protection locked="0"/>
    </xf>
    <xf numFmtId="0" fontId="16" fillId="0" borderId="0" xfId="7" applyFont="1" applyAlignment="1" applyProtection="1">
      <alignment horizontal="right"/>
      <protection locked="0"/>
    </xf>
    <xf numFmtId="0" fontId="42" fillId="16" borderId="6" xfId="2" applyNumberFormat="1" applyFont="1" applyFill="1" applyBorder="1" applyAlignment="1" applyProtection="1">
      <alignment horizontal="center" vertical="center"/>
    </xf>
    <xf numFmtId="173" fontId="11" fillId="0" borderId="0" xfId="7" applyNumberFormat="1" applyProtection="1">
      <protection locked="0"/>
    </xf>
    <xf numFmtId="0" fontId="19" fillId="0" borderId="10" xfId="7" applyFont="1" applyBorder="1" applyAlignment="1" applyProtection="1">
      <alignment horizontal="center"/>
      <protection locked="0"/>
    </xf>
    <xf numFmtId="0" fontId="16" fillId="0" borderId="11" xfId="7" applyFont="1" applyBorder="1" applyAlignment="1" applyProtection="1">
      <alignment horizontal="center"/>
      <protection locked="0"/>
    </xf>
    <xf numFmtId="0" fontId="12" fillId="0" borderId="0" xfId="0" applyFont="1" applyAlignment="1" applyProtection="1">
      <alignment horizontal="center"/>
      <protection locked="0"/>
    </xf>
    <xf numFmtId="0" fontId="16" fillId="0" borderId="11" xfId="7" applyFont="1" applyBorder="1" applyAlignment="1" applyProtection="1">
      <alignment horizontal="center" vertical="center"/>
      <protection locked="0"/>
    </xf>
    <xf numFmtId="2" fontId="0" fillId="0" borderId="17" xfId="0" applyNumberFormat="1" applyBorder="1" applyAlignment="1" applyProtection="1">
      <alignment horizontal="center"/>
      <protection locked="0"/>
    </xf>
    <xf numFmtId="2" fontId="86" fillId="0" borderId="17" xfId="0" applyNumberFormat="1" applyFont="1" applyBorder="1" applyAlignment="1" applyProtection="1">
      <alignment horizontal="center"/>
      <protection locked="0"/>
    </xf>
    <xf numFmtId="0" fontId="96" fillId="16" borderId="14" xfId="0" applyFont="1" applyFill="1" applyBorder="1"/>
    <xf numFmtId="0" fontId="96" fillId="16" borderId="16" xfId="0" applyFont="1" applyFill="1" applyBorder="1"/>
    <xf numFmtId="0" fontId="97" fillId="16" borderId="14" xfId="0" applyFont="1" applyFill="1" applyBorder="1"/>
    <xf numFmtId="0" fontId="0" fillId="0" borderId="0" xfId="0" applyAlignment="1">
      <alignment horizontal="center"/>
    </xf>
    <xf numFmtId="0" fontId="100" fillId="0" borderId="10" xfId="0" applyFont="1" applyBorder="1" applyAlignment="1">
      <alignment horizontal="center"/>
    </xf>
    <xf numFmtId="0" fontId="100" fillId="0" borderId="11" xfId="0" applyFont="1" applyBorder="1" applyAlignment="1">
      <alignment horizontal="center"/>
    </xf>
    <xf numFmtId="10" fontId="98" fillId="12" borderId="17" xfId="0" applyNumberFormat="1" applyFont="1" applyFill="1" applyBorder="1" applyAlignment="1" applyProtection="1">
      <alignment horizontal="center"/>
      <protection locked="0"/>
    </xf>
    <xf numFmtId="2" fontId="93" fillId="12" borderId="10" xfId="0" applyNumberFormat="1" applyFont="1" applyFill="1" applyBorder="1" applyAlignment="1" applyProtection="1">
      <alignment horizontal="center"/>
      <protection locked="0"/>
    </xf>
    <xf numFmtId="0" fontId="97" fillId="16" borderId="22" xfId="0" applyFont="1" applyFill="1" applyBorder="1"/>
    <xf numFmtId="0" fontId="96" fillId="16" borderId="22" xfId="0" applyFont="1" applyFill="1" applyBorder="1"/>
    <xf numFmtId="0" fontId="96" fillId="16" borderId="24" xfId="0" applyFont="1" applyFill="1" applyBorder="1"/>
    <xf numFmtId="0" fontId="97" fillId="14" borderId="14" xfId="0" applyFont="1" applyFill="1" applyBorder="1"/>
    <xf numFmtId="0" fontId="94" fillId="14" borderId="14" xfId="0" applyFont="1" applyFill="1" applyBorder="1"/>
    <xf numFmtId="0" fontId="99" fillId="16" borderId="10" xfId="7" applyFont="1" applyFill="1" applyBorder="1" applyAlignment="1" applyProtection="1">
      <alignment horizontal="center"/>
      <protection locked="0"/>
    </xf>
    <xf numFmtId="0" fontId="101" fillId="16" borderId="25" xfId="7" applyFont="1" applyFill="1" applyBorder="1" applyAlignment="1" applyProtection="1">
      <alignment horizontal="center"/>
      <protection locked="0"/>
    </xf>
    <xf numFmtId="0" fontId="44" fillId="0" borderId="0" xfId="7" applyFont="1" applyAlignment="1" applyProtection="1">
      <alignment vertical="top"/>
      <protection locked="0"/>
    </xf>
    <xf numFmtId="10" fontId="98" fillId="12" borderId="25" xfId="0" applyNumberFormat="1" applyFont="1" applyFill="1" applyBorder="1" applyAlignment="1" applyProtection="1">
      <alignment horizontal="center"/>
      <protection locked="0"/>
    </xf>
    <xf numFmtId="172" fontId="0" fillId="0" borderId="0" xfId="0" applyNumberFormat="1"/>
    <xf numFmtId="1" fontId="20" fillId="0" borderId="0" xfId="6" applyFont="1" applyProtection="1">
      <protection locked="0"/>
    </xf>
    <xf numFmtId="0" fontId="26" fillId="12" borderId="0" xfId="3" applyFont="1" applyFill="1" applyProtection="1">
      <protection locked="0"/>
    </xf>
    <xf numFmtId="0" fontId="29" fillId="12" borderId="0" xfId="3" applyFont="1" applyFill="1" applyProtection="1">
      <protection locked="0"/>
    </xf>
    <xf numFmtId="0" fontId="83" fillId="0" borderId="0" xfId="0" applyFont="1"/>
    <xf numFmtId="0" fontId="83" fillId="0" borderId="0" xfId="0" applyFont="1" applyProtection="1">
      <protection locked="0"/>
    </xf>
    <xf numFmtId="0" fontId="8" fillId="0" borderId="0" xfId="7" applyFont="1" applyAlignment="1">
      <alignment horizontal="centerContinuous" vertical="center"/>
    </xf>
    <xf numFmtId="0" fontId="86" fillId="0" borderId="0" xfId="2" applyNumberFormat="1" applyFont="1" applyFill="1" applyBorder="1" applyAlignment="1" applyProtection="1">
      <alignment horizontal="center"/>
    </xf>
    <xf numFmtId="2" fontId="17" fillId="16" borderId="0" xfId="4" applyNumberFormat="1" applyFont="1" applyFill="1" applyAlignment="1">
      <alignment horizontal="center"/>
    </xf>
    <xf numFmtId="1" fontId="17" fillId="16" borderId="0" xfId="4" applyFont="1" applyFill="1" applyAlignment="1">
      <alignment horizontal="center"/>
    </xf>
    <xf numFmtId="49" fontId="17" fillId="16" borderId="0" xfId="4" applyNumberFormat="1" applyFont="1" applyFill="1" applyAlignment="1">
      <alignment horizontal="center"/>
    </xf>
    <xf numFmtId="17" fontId="17" fillId="16" borderId="0" xfId="4" applyNumberFormat="1" applyFont="1" applyFill="1" applyAlignment="1">
      <alignment horizontal="center"/>
    </xf>
    <xf numFmtId="170" fontId="17" fillId="16" borderId="0" xfId="4" applyNumberFormat="1" applyFont="1" applyFill="1" applyAlignment="1">
      <alignment horizontal="center"/>
    </xf>
    <xf numFmtId="0" fontId="92" fillId="2" borderId="24" xfId="7" applyFont="1" applyFill="1" applyBorder="1" applyAlignment="1">
      <alignment horizontal="centerContinuous"/>
    </xf>
    <xf numFmtId="0" fontId="38" fillId="3" borderId="24" xfId="3" applyFont="1" applyFill="1" applyBorder="1" applyAlignment="1">
      <alignment horizontal="left"/>
    </xf>
    <xf numFmtId="0" fontId="38" fillId="4" borderId="19" xfId="3" applyFont="1" applyFill="1" applyBorder="1" applyAlignment="1">
      <alignment horizontal="left"/>
    </xf>
    <xf numFmtId="0" fontId="38" fillId="5" borderId="19" xfId="3" applyFont="1" applyFill="1" applyBorder="1" applyAlignment="1">
      <alignment horizontal="left"/>
    </xf>
    <xf numFmtId="0" fontId="38" fillId="6" borderId="19" xfId="3" applyFont="1" applyFill="1" applyBorder="1" applyAlignment="1">
      <alignment horizontal="left"/>
    </xf>
    <xf numFmtId="0" fontId="38" fillId="2" borderId="19" xfId="3" applyFont="1" applyFill="1" applyBorder="1" applyAlignment="1">
      <alignment horizontal="left"/>
    </xf>
    <xf numFmtId="0" fontId="38" fillId="7" borderId="19" xfId="3" applyFont="1" applyFill="1" applyBorder="1" applyAlignment="1">
      <alignment horizontal="left"/>
    </xf>
    <xf numFmtId="0" fontId="38" fillId="8" borderId="19" xfId="3" applyFont="1" applyFill="1" applyBorder="1" applyAlignment="1">
      <alignment horizontal="left"/>
    </xf>
    <xf numFmtId="0" fontId="38" fillId="9" borderId="19" xfId="3" applyFont="1" applyFill="1" applyBorder="1" applyAlignment="1">
      <alignment horizontal="left"/>
    </xf>
    <xf numFmtId="0" fontId="38" fillId="10" borderId="19" xfId="3" applyFont="1" applyFill="1" applyBorder="1" applyAlignment="1">
      <alignment horizontal="left"/>
    </xf>
    <xf numFmtId="0" fontId="38" fillId="11" borderId="19" xfId="3" applyFont="1" applyFill="1" applyBorder="1" applyAlignment="1">
      <alignment horizontal="left"/>
    </xf>
    <xf numFmtId="38" fontId="14" fillId="2" borderId="18" xfId="0" applyNumberFormat="1" applyFont="1" applyFill="1" applyBorder="1" applyAlignment="1">
      <alignment horizontal="center"/>
    </xf>
    <xf numFmtId="0" fontId="106" fillId="2" borderId="3" xfId="0" applyFont="1" applyFill="1" applyBorder="1" applyAlignment="1">
      <alignment horizontal="center"/>
    </xf>
    <xf numFmtId="1" fontId="30" fillId="0" borderId="13" xfId="6" applyFont="1" applyBorder="1" applyAlignment="1" applyProtection="1">
      <alignment horizontal="left"/>
      <protection locked="0"/>
    </xf>
    <xf numFmtId="0" fontId="0" fillId="2" borderId="0" xfId="0" applyFill="1"/>
    <xf numFmtId="43" fontId="16" fillId="0" borderId="0" xfId="1" applyFont="1" applyFill="1" applyBorder="1" applyAlignment="1" applyProtection="1">
      <alignment horizontal="right"/>
      <protection locked="0"/>
    </xf>
    <xf numFmtId="0" fontId="109" fillId="0" borderId="0" xfId="3" applyFont="1" applyAlignment="1">
      <alignment horizontal="center" vertical="center"/>
    </xf>
    <xf numFmtId="2" fontId="14" fillId="2" borderId="3" xfId="0" applyNumberFormat="1" applyFont="1" applyFill="1" applyBorder="1" applyAlignment="1">
      <alignment horizontal="center"/>
    </xf>
    <xf numFmtId="40" fontId="14" fillId="2" borderId="18" xfId="0" applyNumberFormat="1" applyFont="1" applyFill="1" applyBorder="1" applyAlignment="1">
      <alignment horizontal="center"/>
    </xf>
    <xf numFmtId="40" fontId="13" fillId="2" borderId="2" xfId="3" applyNumberFormat="1" applyFont="1" applyFill="1" applyBorder="1" applyAlignment="1">
      <alignment horizontal="center"/>
    </xf>
    <xf numFmtId="0" fontId="27" fillId="0" borderId="30" xfId="0" applyFont="1" applyBorder="1" applyAlignment="1" applyProtection="1">
      <alignment horizontal="center"/>
      <protection locked="0"/>
    </xf>
    <xf numFmtId="0" fontId="27" fillId="0" borderId="26" xfId="0" applyFont="1" applyBorder="1" applyAlignment="1" applyProtection="1">
      <alignment horizontal="center"/>
      <protection locked="0"/>
    </xf>
    <xf numFmtId="0" fontId="71" fillId="0" borderId="0" xfId="0" applyFont="1" applyAlignment="1" applyProtection="1">
      <alignment horizontal="center"/>
      <protection locked="0"/>
    </xf>
    <xf numFmtId="0" fontId="71" fillId="0" borderId="21" xfId="0" applyFont="1" applyBorder="1" applyAlignment="1" applyProtection="1">
      <alignment horizontal="center"/>
      <protection locked="0"/>
    </xf>
    <xf numFmtId="0" fontId="111" fillId="0" borderId="19" xfId="0" applyFont="1" applyBorder="1" applyAlignment="1" applyProtection="1">
      <alignment horizontal="center"/>
      <protection locked="0"/>
    </xf>
    <xf numFmtId="0" fontId="0" fillId="14" borderId="16" xfId="0" applyFill="1" applyBorder="1"/>
    <xf numFmtId="2" fontId="12" fillId="16" borderId="31" xfId="0" applyNumberFormat="1" applyFont="1" applyFill="1" applyBorder="1"/>
    <xf numFmtId="2" fontId="12" fillId="16" borderId="19" xfId="0" applyNumberFormat="1" applyFont="1" applyFill="1" applyBorder="1"/>
    <xf numFmtId="2" fontId="12" fillId="16" borderId="0" xfId="0" applyNumberFormat="1" applyFont="1" applyFill="1"/>
    <xf numFmtId="2" fontId="8" fillId="18" borderId="15" xfId="0" applyNumberFormat="1" applyFont="1" applyFill="1" applyBorder="1" applyAlignment="1">
      <alignment horizontal="right"/>
    </xf>
    <xf numFmtId="2" fontId="8" fillId="18" borderId="9" xfId="0" applyNumberFormat="1" applyFont="1" applyFill="1" applyBorder="1" applyAlignment="1">
      <alignment horizontal="right"/>
    </xf>
    <xf numFmtId="0" fontId="0" fillId="16" borderId="32" xfId="0" applyFill="1" applyBorder="1" applyAlignment="1">
      <alignment horizontal="left"/>
    </xf>
    <xf numFmtId="0" fontId="5" fillId="16" borderId="0" xfId="0" applyFont="1" applyFill="1" applyAlignment="1">
      <alignment horizontal="center"/>
    </xf>
    <xf numFmtId="0" fontId="17" fillId="0" borderId="0" xfId="3" applyFont="1" applyAlignment="1">
      <alignment horizontal="left"/>
    </xf>
    <xf numFmtId="0" fontId="12" fillId="0" borderId="0" xfId="7" applyFont="1"/>
    <xf numFmtId="0" fontId="23" fillId="0" borderId="0" xfId="7" applyFont="1"/>
    <xf numFmtId="49" fontId="83" fillId="0" borderId="0" xfId="2" applyNumberFormat="1" applyFont="1" applyFill="1" applyBorder="1" applyAlignment="1" applyProtection="1">
      <alignment horizontal="right"/>
      <protection locked="0"/>
    </xf>
    <xf numFmtId="49" fontId="113" fillId="0" borderId="0" xfId="2" applyNumberFormat="1" applyFont="1" applyFill="1" applyBorder="1" applyAlignment="1" applyProtection="1">
      <alignment horizontal="right" vertical="center"/>
    </xf>
    <xf numFmtId="0" fontId="114" fillId="0" borderId="0" xfId="0" applyFont="1" applyAlignment="1">
      <alignment horizontal="right"/>
    </xf>
    <xf numFmtId="0" fontId="97" fillId="2" borderId="3" xfId="7" applyFont="1" applyFill="1" applyBorder="1" applyAlignment="1">
      <alignment horizontal="center"/>
    </xf>
    <xf numFmtId="43" fontId="0" fillId="0" borderId="0" xfId="1" applyFont="1" applyAlignment="1" applyProtection="1">
      <alignment horizontal="right"/>
    </xf>
    <xf numFmtId="0" fontId="110" fillId="16" borderId="11" xfId="3" applyFont="1" applyFill="1" applyBorder="1" applyAlignment="1" applyProtection="1">
      <alignment horizontal="left" vertical="center"/>
      <protection locked="0"/>
    </xf>
    <xf numFmtId="0" fontId="118" fillId="16" borderId="6" xfId="3" applyFont="1" applyFill="1" applyBorder="1" applyAlignment="1">
      <alignment horizontal="center" vertical="center"/>
    </xf>
    <xf numFmtId="0" fontId="119" fillId="16" borderId="3" xfId="2" applyNumberFormat="1" applyFont="1" applyFill="1" applyBorder="1" applyAlignment="1" applyProtection="1">
      <alignment horizontal="center" vertical="center"/>
    </xf>
    <xf numFmtId="0" fontId="32" fillId="0" borderId="0" xfId="7" applyFont="1" applyAlignment="1" applyProtection="1">
      <alignment horizontal="left"/>
      <protection locked="0"/>
    </xf>
    <xf numFmtId="0" fontId="103" fillId="0" borderId="0" xfId="7" applyFont="1" applyAlignment="1">
      <alignment vertical="center"/>
    </xf>
    <xf numFmtId="0" fontId="115" fillId="2" borderId="18" xfId="7" applyFont="1" applyFill="1" applyBorder="1" applyAlignment="1">
      <alignment horizontal="right"/>
    </xf>
    <xf numFmtId="0" fontId="102" fillId="12" borderId="10" xfId="0" applyFont="1" applyFill="1" applyBorder="1" applyAlignment="1" applyProtection="1">
      <alignment horizontal="center"/>
      <protection locked="0"/>
    </xf>
    <xf numFmtId="0" fontId="88" fillId="2" borderId="16" xfId="3" applyFont="1" applyFill="1" applyBorder="1" applyAlignment="1">
      <alignment horizontal="left"/>
    </xf>
    <xf numFmtId="0" fontId="102" fillId="12" borderId="25" xfId="0" applyFont="1" applyFill="1" applyBorder="1" applyAlignment="1" applyProtection="1">
      <alignment horizontal="center"/>
      <protection locked="0"/>
    </xf>
    <xf numFmtId="0" fontId="102" fillId="12" borderId="11" xfId="0" applyFont="1" applyFill="1" applyBorder="1" applyAlignment="1" applyProtection="1">
      <alignment horizontal="center"/>
      <protection locked="0"/>
    </xf>
    <xf numFmtId="0" fontId="78" fillId="0" borderId="0" xfId="3" applyFont="1" applyAlignment="1">
      <alignment horizontal="right"/>
    </xf>
    <xf numFmtId="0" fontId="95" fillId="14" borderId="14" xfId="0" applyFont="1" applyFill="1" applyBorder="1"/>
    <xf numFmtId="0" fontId="95" fillId="14" borderId="16" xfId="0" applyFont="1" applyFill="1" applyBorder="1"/>
    <xf numFmtId="2" fontId="96" fillId="2" borderId="10" xfId="3" applyNumberFormat="1" applyFont="1" applyFill="1" applyBorder="1" applyAlignment="1">
      <alignment horizontal="center"/>
    </xf>
    <xf numFmtId="2" fontId="96" fillId="2" borderId="25" xfId="3" applyNumberFormat="1" applyFont="1" applyFill="1" applyBorder="1" applyAlignment="1">
      <alignment horizontal="center"/>
    </xf>
    <xf numFmtId="2" fontId="96" fillId="2" borderId="11" xfId="3" applyNumberFormat="1" applyFont="1" applyFill="1" applyBorder="1" applyAlignment="1">
      <alignment horizontal="center"/>
    </xf>
    <xf numFmtId="2" fontId="17" fillId="12" borderId="0" xfId="3" applyNumberFormat="1" applyFont="1" applyFill="1" applyAlignment="1">
      <alignment horizontal="center"/>
    </xf>
    <xf numFmtId="0" fontId="77" fillId="12" borderId="3" xfId="3" applyFont="1" applyFill="1" applyBorder="1" applyAlignment="1" applyProtection="1">
      <alignment horizontal="center"/>
      <protection locked="0"/>
    </xf>
    <xf numFmtId="43" fontId="16" fillId="17" borderId="19" xfId="1" applyFont="1" applyFill="1" applyBorder="1" applyAlignment="1" applyProtection="1">
      <alignment horizontal="center"/>
      <protection locked="0"/>
    </xf>
    <xf numFmtId="0" fontId="122" fillId="0" borderId="19" xfId="0" applyFont="1" applyBorder="1" applyAlignment="1" applyProtection="1">
      <alignment horizontal="center"/>
      <protection locked="0"/>
    </xf>
    <xf numFmtId="0" fontId="122" fillId="0" borderId="25" xfId="0" applyFont="1" applyBorder="1" applyAlignment="1" applyProtection="1">
      <alignment horizontal="center"/>
      <protection locked="0"/>
    </xf>
    <xf numFmtId="0" fontId="122" fillId="0" borderId="0" xfId="0" applyFont="1" applyAlignment="1" applyProtection="1">
      <alignment horizontal="center"/>
      <protection locked="0"/>
    </xf>
    <xf numFmtId="0" fontId="17" fillId="0" borderId="0" xfId="0" applyFont="1" applyProtection="1">
      <protection locked="0"/>
    </xf>
    <xf numFmtId="0" fontId="123" fillId="0" borderId="0" xfId="0" applyFont="1" applyAlignment="1" applyProtection="1">
      <alignment horizontal="center"/>
      <protection locked="0"/>
    </xf>
    <xf numFmtId="0" fontId="124" fillId="0" borderId="0" xfId="0" applyFont="1" applyAlignment="1" applyProtection="1">
      <alignment horizontal="center"/>
      <protection locked="0"/>
    </xf>
    <xf numFmtId="0" fontId="97" fillId="16" borderId="5" xfId="7" applyFont="1" applyFill="1" applyBorder="1" applyAlignment="1">
      <alignment horizontal="centerContinuous" vertical="center"/>
    </xf>
    <xf numFmtId="0" fontId="13" fillId="16" borderId="3" xfId="3" applyFont="1" applyFill="1" applyBorder="1" applyAlignment="1">
      <alignment horizontal="center"/>
    </xf>
    <xf numFmtId="0" fontId="39" fillId="16" borderId="4" xfId="0" applyFont="1" applyFill="1" applyBorder="1"/>
    <xf numFmtId="0" fontId="47" fillId="16" borderId="29" xfId="7" applyFont="1" applyFill="1" applyBorder="1" applyAlignment="1">
      <alignment horizontal="left" vertical="center"/>
    </xf>
    <xf numFmtId="0" fontId="0" fillId="16" borderId="29" xfId="0" applyFill="1" applyBorder="1"/>
    <xf numFmtId="0" fontId="104" fillId="16" borderId="29" xfId="7" applyFont="1" applyFill="1" applyBorder="1" applyAlignment="1">
      <alignment horizontal="center"/>
    </xf>
    <xf numFmtId="0" fontId="8" fillId="16" borderId="29" xfId="7" applyFont="1" applyFill="1" applyBorder="1" applyAlignment="1">
      <alignment horizontal="centerContinuous" vertical="center"/>
    </xf>
    <xf numFmtId="0" fontId="8" fillId="16" borderId="33" xfId="7" applyFont="1" applyFill="1" applyBorder="1" applyAlignment="1">
      <alignment horizontal="centerContinuous" vertical="center"/>
    </xf>
    <xf numFmtId="10" fontId="98" fillId="12" borderId="11" xfId="0" applyNumberFormat="1" applyFont="1" applyFill="1" applyBorder="1" applyAlignment="1" applyProtection="1">
      <alignment horizontal="center"/>
      <protection locked="0"/>
    </xf>
    <xf numFmtId="39" fontId="16" fillId="16" borderId="3" xfId="1" applyNumberFormat="1" applyFont="1" applyFill="1" applyBorder="1" applyAlignment="1" applyProtection="1">
      <alignment horizontal="right"/>
    </xf>
    <xf numFmtId="43" fontId="19" fillId="16" borderId="17" xfId="1" applyFont="1" applyFill="1" applyBorder="1" applyAlignment="1" applyProtection="1">
      <alignment horizontal="center"/>
    </xf>
    <xf numFmtId="43" fontId="19" fillId="16" borderId="0" xfId="1" applyFont="1" applyFill="1" applyBorder="1" applyAlignment="1" applyProtection="1">
      <alignment horizontal="center"/>
    </xf>
    <xf numFmtId="43" fontId="16" fillId="16" borderId="0" xfId="1" applyFont="1" applyFill="1" applyBorder="1" applyAlignment="1" applyProtection="1">
      <alignment horizontal="center"/>
    </xf>
    <xf numFmtId="43" fontId="16" fillId="0" borderId="0" xfId="1" applyFont="1" applyBorder="1" applyProtection="1"/>
    <xf numFmtId="174" fontId="19" fillId="16" borderId="0" xfId="1" applyNumberFormat="1" applyFont="1" applyFill="1" applyBorder="1" applyAlignment="1" applyProtection="1">
      <alignment horizontal="center"/>
    </xf>
    <xf numFmtId="0" fontId="125" fillId="0" borderId="0" xfId="0" applyFont="1" applyAlignment="1" applyProtection="1">
      <alignment horizontal="right"/>
      <protection locked="0"/>
    </xf>
    <xf numFmtId="10" fontId="16" fillId="16" borderId="3" xfId="0" applyNumberFormat="1" applyFont="1" applyFill="1" applyBorder="1" applyAlignment="1">
      <alignment horizontal="right" vertical="center"/>
    </xf>
    <xf numFmtId="39" fontId="19" fillId="16" borderId="3" xfId="1" applyNumberFormat="1" applyFont="1" applyFill="1" applyBorder="1" applyAlignment="1" applyProtection="1">
      <alignment horizontal="right"/>
    </xf>
    <xf numFmtId="0" fontId="126" fillId="0" borderId="0" xfId="0" applyFont="1" applyAlignment="1" applyProtection="1">
      <alignment horizontal="right" vertical="top"/>
      <protection locked="0"/>
    </xf>
    <xf numFmtId="10" fontId="127" fillId="16" borderId="18" xfId="7" applyNumberFormat="1" applyFont="1" applyFill="1" applyBorder="1" applyAlignment="1">
      <alignment horizontal="center"/>
    </xf>
    <xf numFmtId="10" fontId="127" fillId="16" borderId="23" xfId="7" applyNumberFormat="1" applyFont="1" applyFill="1" applyBorder="1" applyAlignment="1">
      <alignment horizontal="center"/>
    </xf>
    <xf numFmtId="10" fontId="128" fillId="14" borderId="18" xfId="7" applyNumberFormat="1" applyFont="1" applyFill="1" applyBorder="1" applyAlignment="1">
      <alignment horizontal="center"/>
    </xf>
    <xf numFmtId="2" fontId="128" fillId="14" borderId="18" xfId="7" applyNumberFormat="1" applyFont="1" applyFill="1" applyBorder="1" applyAlignment="1">
      <alignment horizontal="center"/>
    </xf>
    <xf numFmtId="0" fontId="83" fillId="0" borderId="1" xfId="0" applyFont="1" applyBorder="1" applyProtection="1">
      <protection locked="0"/>
    </xf>
    <xf numFmtId="14" fontId="62" fillId="0" borderId="0" xfId="7" applyNumberFormat="1" applyFont="1" applyAlignment="1" applyProtection="1">
      <alignment horizontal="center"/>
      <protection locked="0"/>
    </xf>
    <xf numFmtId="171" fontId="87" fillId="16" borderId="19" xfId="0" applyNumberFormat="1" applyFont="1" applyFill="1" applyBorder="1" applyAlignment="1" applyProtection="1">
      <alignment horizontal="center"/>
      <protection locked="0"/>
    </xf>
    <xf numFmtId="168" fontId="16" fillId="0" borderId="11" xfId="7" applyNumberFormat="1" applyFont="1" applyBorder="1" applyAlignment="1" applyProtection="1">
      <alignment horizontal="center"/>
      <protection locked="0"/>
    </xf>
    <xf numFmtId="39" fontId="131" fillId="0" borderId="16" xfId="1" applyNumberFormat="1" applyFont="1" applyFill="1" applyBorder="1" applyAlignment="1" applyProtection="1">
      <alignment horizontal="right"/>
    </xf>
    <xf numFmtId="39" fontId="131" fillId="0" borderId="18" xfId="1" applyNumberFormat="1" applyFont="1" applyFill="1" applyBorder="1" applyAlignment="1" applyProtection="1">
      <alignment horizontal="right"/>
    </xf>
    <xf numFmtId="0" fontId="132" fillId="0" borderId="14" xfId="7" applyFont="1" applyBorder="1" applyAlignment="1">
      <alignment horizontal="center"/>
    </xf>
    <xf numFmtId="40" fontId="26" fillId="2" borderId="14" xfId="7" applyNumberFormat="1" applyFont="1" applyFill="1" applyBorder="1" applyAlignment="1">
      <alignment horizontal="right"/>
    </xf>
    <xf numFmtId="40" fontId="26" fillId="2" borderId="16" xfId="7" applyNumberFormat="1" applyFont="1" applyFill="1" applyBorder="1" applyAlignment="1">
      <alignment horizontal="right"/>
    </xf>
    <xf numFmtId="14" fontId="62" fillId="0" borderId="0" xfId="7" applyNumberFormat="1" applyFont="1" applyAlignment="1" applyProtection="1">
      <alignment horizontal="right"/>
      <protection locked="0"/>
    </xf>
    <xf numFmtId="0" fontId="129" fillId="0" borderId="0" xfId="0" applyFont="1"/>
    <xf numFmtId="39" fontId="62" fillId="0" borderId="0" xfId="1" applyNumberFormat="1" applyFont="1" applyFill="1" applyBorder="1" applyAlignment="1" applyProtection="1">
      <alignment horizontal="right"/>
      <protection locked="0"/>
    </xf>
    <xf numFmtId="43" fontId="62" fillId="0" borderId="0" xfId="1" applyFont="1" applyFill="1" applyBorder="1" applyAlignment="1" applyProtection="1">
      <alignment horizontal="right"/>
      <protection locked="0"/>
    </xf>
    <xf numFmtId="43" fontId="62" fillId="0" borderId="0" xfId="1" applyFont="1" applyBorder="1" applyAlignment="1" applyProtection="1">
      <alignment horizontal="right"/>
      <protection locked="0"/>
    </xf>
    <xf numFmtId="175" fontId="19" fillId="16" borderId="3" xfId="1" applyNumberFormat="1" applyFont="1" applyFill="1" applyBorder="1" applyAlignment="1" applyProtection="1">
      <alignment horizontal="right"/>
    </xf>
    <xf numFmtId="168" fontId="130" fillId="16" borderId="3" xfId="7" applyNumberFormat="1" applyFont="1" applyFill="1" applyBorder="1" applyAlignment="1">
      <alignment horizontal="center"/>
    </xf>
    <xf numFmtId="0" fontId="16" fillId="0" borderId="1" xfId="3" applyFont="1" applyBorder="1"/>
    <xf numFmtId="0" fontId="118" fillId="16" borderId="25" xfId="0" applyFont="1" applyFill="1" applyBorder="1" applyAlignment="1">
      <alignment horizontal="center" vertical="center"/>
    </xf>
    <xf numFmtId="0" fontId="118" fillId="16" borderId="19" xfId="0" applyFont="1" applyFill="1" applyBorder="1" applyAlignment="1">
      <alignment horizontal="center" vertical="center"/>
    </xf>
    <xf numFmtId="0" fontId="118" fillId="16" borderId="6" xfId="0" applyFont="1" applyFill="1" applyBorder="1" applyAlignment="1">
      <alignment horizontal="right" vertical="center"/>
    </xf>
    <xf numFmtId="0" fontId="38" fillId="11" borderId="11" xfId="3" applyFont="1" applyFill="1" applyBorder="1" applyAlignment="1">
      <alignment horizontal="left"/>
    </xf>
    <xf numFmtId="0" fontId="115" fillId="2" borderId="23" xfId="7" applyFont="1" applyFill="1" applyBorder="1" applyAlignment="1">
      <alignment horizontal="center"/>
    </xf>
    <xf numFmtId="2" fontId="38" fillId="2" borderId="17" xfId="7" applyNumberFormat="1" applyFont="1" applyFill="1" applyBorder="1" applyAlignment="1">
      <alignment horizontal="center"/>
    </xf>
    <xf numFmtId="0" fontId="88" fillId="2" borderId="21" xfId="3" applyFont="1" applyFill="1" applyBorder="1" applyAlignment="1">
      <alignment horizontal="left"/>
    </xf>
    <xf numFmtId="0" fontId="17" fillId="0" borderId="40" xfId="0" applyFont="1" applyBorder="1" applyAlignment="1" applyProtection="1">
      <alignment horizontal="center"/>
      <protection locked="0"/>
    </xf>
    <xf numFmtId="4" fontId="23" fillId="12" borderId="41" xfId="0" applyNumberFormat="1" applyFont="1" applyFill="1" applyBorder="1" applyAlignment="1" applyProtection="1">
      <alignment horizontal="center"/>
      <protection locked="0"/>
    </xf>
    <xf numFmtId="0" fontId="13" fillId="2" borderId="23" xfId="3" applyFont="1" applyFill="1" applyBorder="1" applyAlignment="1">
      <alignment horizontal="center"/>
    </xf>
    <xf numFmtId="0" fontId="0" fillId="0" borderId="3" xfId="0" applyBorder="1" applyAlignment="1" applyProtection="1">
      <alignment horizontal="center"/>
      <protection locked="0"/>
    </xf>
    <xf numFmtId="0" fontId="81" fillId="14" borderId="3" xfId="0" applyFont="1" applyFill="1" applyBorder="1" applyAlignment="1" applyProtection="1">
      <alignment horizontal="center"/>
      <protection locked="0"/>
    </xf>
    <xf numFmtId="0" fontId="81" fillId="12" borderId="3" xfId="0" applyFont="1" applyFill="1" applyBorder="1" applyAlignment="1" applyProtection="1">
      <alignment horizontal="center"/>
      <protection locked="0"/>
    </xf>
    <xf numFmtId="0" fontId="81" fillId="0" borderId="3" xfId="0" applyFont="1" applyBorder="1" applyAlignment="1" applyProtection="1">
      <alignment horizontal="center"/>
      <protection locked="0"/>
    </xf>
    <xf numFmtId="0" fontId="12" fillId="18" borderId="3" xfId="0" applyFont="1" applyFill="1" applyBorder="1" applyProtection="1">
      <protection locked="0"/>
    </xf>
    <xf numFmtId="0" fontId="27" fillId="0" borderId="0" xfId="0" applyFont="1"/>
    <xf numFmtId="0" fontId="134" fillId="0" borderId="0" xfId="0" applyFont="1"/>
    <xf numFmtId="38" fontId="135" fillId="16" borderId="18" xfId="0" applyNumberFormat="1" applyFont="1" applyFill="1" applyBorder="1" applyAlignment="1">
      <alignment horizontal="center"/>
    </xf>
    <xf numFmtId="38" fontId="36" fillId="12" borderId="14" xfId="0" applyNumberFormat="1" applyFont="1" applyFill="1" applyBorder="1" applyAlignment="1" applyProtection="1">
      <alignment horizontal="center"/>
      <protection locked="0"/>
    </xf>
    <xf numFmtId="0" fontId="67" fillId="0" borderId="0" xfId="0" applyFont="1" applyProtection="1">
      <protection locked="0"/>
    </xf>
    <xf numFmtId="0" fontId="136" fillId="0" borderId="0" xfId="7" applyFont="1" applyProtection="1">
      <protection locked="0"/>
    </xf>
    <xf numFmtId="0" fontId="137" fillId="0" borderId="0" xfId="0" applyFont="1" applyProtection="1">
      <protection locked="0"/>
    </xf>
    <xf numFmtId="0" fontId="138" fillId="0" borderId="0" xfId="0" applyFont="1" applyProtection="1">
      <protection locked="0"/>
    </xf>
    <xf numFmtId="0" fontId="55" fillId="0" borderId="0" xfId="0" applyFont="1" applyProtection="1">
      <protection locked="0"/>
    </xf>
    <xf numFmtId="0" fontId="117" fillId="0" borderId="0" xfId="0" applyFont="1" applyAlignment="1">
      <alignment vertical="center"/>
    </xf>
    <xf numFmtId="2" fontId="17" fillId="12" borderId="0" xfId="3" applyNumberFormat="1" applyFont="1" applyFill="1" applyAlignment="1">
      <alignment horizontal="center" vertical="top"/>
    </xf>
    <xf numFmtId="2" fontId="36" fillId="2" borderId="0" xfId="3" applyNumberFormat="1" applyFont="1" applyFill="1" applyAlignment="1" applyProtection="1">
      <alignment horizontal="center" vertical="top"/>
      <protection locked="0"/>
    </xf>
    <xf numFmtId="0" fontId="0" fillId="2" borderId="0" xfId="0" applyFill="1" applyProtection="1">
      <protection locked="0"/>
    </xf>
    <xf numFmtId="0" fontId="54" fillId="0" borderId="0" xfId="0" applyFont="1" applyAlignment="1" applyProtection="1">
      <alignment horizontal="center"/>
      <protection locked="0"/>
    </xf>
    <xf numFmtId="0" fontId="140" fillId="0" borderId="0" xfId="3" applyFont="1" applyAlignment="1">
      <alignment horizontal="right" vertical="top"/>
    </xf>
    <xf numFmtId="0" fontId="140" fillId="0" borderId="0" xfId="7" applyFont="1" applyAlignment="1">
      <alignment horizontal="right"/>
    </xf>
    <xf numFmtId="0" fontId="140" fillId="0" borderId="0" xfId="3" applyFont="1" applyAlignment="1">
      <alignment horizontal="right"/>
    </xf>
    <xf numFmtId="0" fontId="141" fillId="0" borderId="0" xfId="0" applyFont="1" applyAlignment="1" applyProtection="1">
      <alignment horizontal="left"/>
      <protection locked="0"/>
    </xf>
    <xf numFmtId="0" fontId="142" fillId="0" borderId="0" xfId="0" applyFont="1" applyProtection="1">
      <protection locked="0"/>
    </xf>
    <xf numFmtId="2" fontId="17" fillId="16" borderId="6" xfId="0" applyNumberFormat="1" applyFont="1" applyFill="1" applyBorder="1" applyAlignment="1">
      <alignment horizontal="center" vertical="center"/>
    </xf>
    <xf numFmtId="49" fontId="143" fillId="16" borderId="20" xfId="0" applyNumberFormat="1" applyFont="1" applyFill="1" applyBorder="1" applyAlignment="1">
      <alignment horizontal="left"/>
    </xf>
    <xf numFmtId="40" fontId="16" fillId="0" borderId="3" xfId="1" applyNumberFormat="1" applyFont="1" applyFill="1" applyBorder="1" applyAlignment="1" applyProtection="1">
      <alignment horizontal="right"/>
      <protection locked="0"/>
    </xf>
    <xf numFmtId="40" fontId="144" fillId="0" borderId="3" xfId="1" applyNumberFormat="1" applyFont="1" applyFill="1" applyBorder="1" applyAlignment="1" applyProtection="1">
      <alignment horizontal="right"/>
      <protection locked="0"/>
    </xf>
    <xf numFmtId="176" fontId="16" fillId="0" borderId="3" xfId="1" applyNumberFormat="1" applyFont="1" applyFill="1" applyBorder="1" applyAlignment="1" applyProtection="1">
      <alignment horizontal="right"/>
      <protection locked="0"/>
    </xf>
    <xf numFmtId="177" fontId="16" fillId="0" borderId="3" xfId="1" applyNumberFormat="1" applyFont="1" applyFill="1" applyBorder="1" applyAlignment="1" applyProtection="1">
      <alignment horizontal="right"/>
      <protection locked="0"/>
    </xf>
    <xf numFmtId="178" fontId="16" fillId="0" borderId="3" xfId="1" applyNumberFormat="1" applyFont="1" applyFill="1" applyBorder="1" applyAlignment="1" applyProtection="1">
      <alignment horizontal="right"/>
      <protection locked="0"/>
    </xf>
    <xf numFmtId="4" fontId="11" fillId="13" borderId="0" xfId="6" applyNumberFormat="1" applyFont="1" applyFill="1" applyAlignment="1" applyProtection="1">
      <alignment horizontal="right"/>
      <protection locked="0"/>
    </xf>
    <xf numFmtId="4" fontId="11" fillId="4" borderId="0" xfId="3" applyNumberFormat="1" applyFont="1" applyFill="1" applyAlignment="1" applyProtection="1">
      <alignment horizontal="right"/>
      <protection locked="0"/>
    </xf>
    <xf numFmtId="4" fontId="11" fillId="5" borderId="0" xfId="3" applyNumberFormat="1" applyFont="1" applyFill="1" applyAlignment="1" applyProtection="1">
      <alignment horizontal="right"/>
      <protection locked="0"/>
    </xf>
    <xf numFmtId="4" fontId="11" fillId="6" borderId="0" xfId="3" applyNumberFormat="1" applyFont="1" applyFill="1" applyAlignment="1" applyProtection="1">
      <alignment horizontal="right"/>
      <protection locked="0"/>
    </xf>
    <xf numFmtId="4" fontId="11" fillId="2" borderId="0" xfId="3" applyNumberFormat="1" applyFont="1" applyFill="1" applyAlignment="1" applyProtection="1">
      <alignment horizontal="right"/>
      <protection locked="0"/>
    </xf>
    <xf numFmtId="4" fontId="11" fillId="7" borderId="0" xfId="3" applyNumberFormat="1" applyFont="1" applyFill="1" applyAlignment="1" applyProtection="1">
      <alignment horizontal="right"/>
      <protection locked="0"/>
    </xf>
    <xf numFmtId="4" fontId="16" fillId="8" borderId="0" xfId="3" applyNumberFormat="1" applyFont="1" applyFill="1" applyProtection="1">
      <protection locked="0"/>
    </xf>
    <xf numFmtId="4" fontId="23" fillId="2" borderId="1" xfId="3" applyNumberFormat="1" applyFont="1" applyFill="1" applyBorder="1" applyAlignment="1" applyProtection="1">
      <alignment horizontal="right"/>
      <protection locked="0"/>
    </xf>
    <xf numFmtId="4" fontId="16" fillId="13" borderId="12" xfId="6" applyNumberFormat="1" applyFont="1" applyFill="1" applyBorder="1" applyAlignment="1" applyProtection="1">
      <alignment horizontal="right"/>
      <protection locked="0"/>
    </xf>
    <xf numFmtId="4" fontId="16" fillId="7" borderId="12" xfId="3" applyNumberFormat="1" applyFont="1" applyFill="1" applyBorder="1" applyAlignment="1" applyProtection="1">
      <alignment horizontal="right"/>
      <protection locked="0"/>
    </xf>
    <xf numFmtId="4" fontId="16" fillId="6" borderId="12" xfId="3" applyNumberFormat="1" applyFont="1" applyFill="1" applyBorder="1" applyProtection="1">
      <protection locked="0"/>
    </xf>
    <xf numFmtId="4" fontId="19" fillId="3" borderId="8" xfId="3" applyNumberFormat="1" applyFont="1" applyFill="1" applyBorder="1" applyAlignment="1">
      <alignment horizontal="right"/>
    </xf>
    <xf numFmtId="4" fontId="19" fillId="3" borderId="9" xfId="3" applyNumberFormat="1" applyFont="1" applyFill="1" applyBorder="1" applyAlignment="1">
      <alignment horizontal="right"/>
    </xf>
    <xf numFmtId="0" fontId="145" fillId="16" borderId="19" xfId="0" applyFont="1" applyFill="1" applyBorder="1" applyAlignment="1">
      <alignment horizontal="left"/>
    </xf>
    <xf numFmtId="0" fontId="146" fillId="0" borderId="0" xfId="0" applyFont="1" applyAlignment="1" applyProtection="1">
      <alignment horizontal="left"/>
      <protection locked="0"/>
    </xf>
    <xf numFmtId="2" fontId="17" fillId="3" borderId="3" xfId="3" applyNumberFormat="1" applyFont="1" applyFill="1" applyBorder="1" applyAlignment="1" applyProtection="1">
      <alignment horizontal="center"/>
      <protection locked="0"/>
    </xf>
    <xf numFmtId="166" fontId="17" fillId="12" borderId="2" xfId="3" applyNumberFormat="1" applyFont="1" applyFill="1" applyBorder="1" applyAlignment="1" applyProtection="1">
      <alignment horizontal="center"/>
      <protection locked="0"/>
    </xf>
    <xf numFmtId="0" fontId="15" fillId="0" borderId="0" xfId="0" applyFont="1"/>
    <xf numFmtId="0" fontId="10" fillId="0" borderId="0" xfId="7" applyFont="1" applyAlignment="1">
      <alignment horizontal="right"/>
    </xf>
    <xf numFmtId="2" fontId="9" fillId="0" borderId="0" xfId="7" applyNumberFormat="1" applyFont="1"/>
    <xf numFmtId="0" fontId="13" fillId="0" borderId="0" xfId="7" applyFont="1" applyAlignment="1">
      <alignment horizontal="left"/>
    </xf>
    <xf numFmtId="0" fontId="9" fillId="0" borderId="0" xfId="7" applyFont="1" applyAlignment="1">
      <alignment horizontal="centerContinuous" vertical="center"/>
    </xf>
    <xf numFmtId="0" fontId="105" fillId="0" borderId="0" xfId="0" applyFont="1" applyAlignment="1">
      <alignment horizontal="right"/>
    </xf>
    <xf numFmtId="1" fontId="9" fillId="0" borderId="0" xfId="6" applyFont="1" applyAlignment="1">
      <alignment horizontal="center"/>
    </xf>
    <xf numFmtId="0" fontId="9" fillId="0" borderId="0" xfId="7" applyFont="1" applyAlignment="1">
      <alignment horizontal="centerContinuous"/>
    </xf>
    <xf numFmtId="0" fontId="9" fillId="0" borderId="0" xfId="7" applyFont="1"/>
    <xf numFmtId="0" fontId="10" fillId="0" borderId="0" xfId="3" applyFont="1" applyAlignment="1">
      <alignment horizontal="right"/>
    </xf>
    <xf numFmtId="1" fontId="9" fillId="0" borderId="0" xfId="6" applyFont="1"/>
    <xf numFmtId="0" fontId="59" fillId="0" borderId="0" xfId="0" applyFont="1"/>
    <xf numFmtId="0" fontId="13" fillId="0" borderId="0" xfId="2" applyNumberFormat="1" applyFont="1" applyBorder="1" applyAlignment="1" applyProtection="1"/>
    <xf numFmtId="14" fontId="13" fillId="0" borderId="0" xfId="7" applyNumberFormat="1" applyFont="1" applyAlignment="1">
      <alignment horizontal="left"/>
    </xf>
    <xf numFmtId="0" fontId="15" fillId="0" borderId="0" xfId="3" applyFont="1"/>
    <xf numFmtId="0" fontId="15" fillId="0" borderId="0" xfId="0" applyFont="1" applyAlignment="1">
      <alignment horizontal="centerContinuous"/>
    </xf>
    <xf numFmtId="0" fontId="10" fillId="0" borderId="0" xfId="2" applyNumberFormat="1" applyFont="1" applyBorder="1" applyAlignment="1" applyProtection="1">
      <alignment horizontal="centerContinuous"/>
    </xf>
    <xf numFmtId="0" fontId="59" fillId="2" borderId="29" xfId="0" applyFont="1" applyFill="1" applyBorder="1"/>
    <xf numFmtId="0" fontId="15" fillId="2" borderId="29" xfId="0" applyFont="1" applyFill="1" applyBorder="1"/>
    <xf numFmtId="2" fontId="9" fillId="2" borderId="29" xfId="7" applyNumberFormat="1" applyFont="1" applyFill="1" applyBorder="1"/>
    <xf numFmtId="0" fontId="15" fillId="2" borderId="29" xfId="7" applyFont="1" applyFill="1" applyBorder="1" applyAlignment="1">
      <alignment horizontal="centerContinuous" vertical="center"/>
    </xf>
    <xf numFmtId="0" fontId="9" fillId="2" borderId="29" xfId="7" applyFont="1" applyFill="1" applyBorder="1" applyAlignment="1">
      <alignment horizontal="centerContinuous"/>
    </xf>
    <xf numFmtId="0" fontId="60" fillId="2" borderId="29" xfId="2" applyNumberFormat="1" applyFont="1" applyFill="1" applyBorder="1" applyAlignment="1" applyProtection="1">
      <alignment horizontal="center"/>
    </xf>
    <xf numFmtId="0" fontId="64" fillId="2" borderId="29" xfId="2" applyNumberFormat="1" applyFont="1" applyFill="1" applyBorder="1" applyAlignment="1" applyProtection="1">
      <alignment horizontal="centerContinuous"/>
    </xf>
    <xf numFmtId="0" fontId="133" fillId="0" borderId="0" xfId="0" applyFont="1" applyAlignment="1">
      <alignment horizontal="center"/>
    </xf>
    <xf numFmtId="0" fontId="81" fillId="2" borderId="3" xfId="0" applyFont="1" applyFill="1" applyBorder="1" applyAlignment="1" applyProtection="1">
      <alignment horizontal="center"/>
      <protection locked="0"/>
    </xf>
    <xf numFmtId="0" fontId="82" fillId="0" borderId="3" xfId="0" applyFont="1" applyBorder="1" applyAlignment="1" applyProtection="1">
      <alignment horizontal="center"/>
      <protection locked="0"/>
    </xf>
    <xf numFmtId="4" fontId="16" fillId="9" borderId="0" xfId="3" applyNumberFormat="1" applyFont="1" applyFill="1" applyProtection="1">
      <protection locked="0"/>
    </xf>
    <xf numFmtId="4" fontId="16" fillId="10" borderId="0" xfId="3" applyNumberFormat="1" applyFont="1" applyFill="1" applyProtection="1">
      <protection locked="0"/>
    </xf>
    <xf numFmtId="4" fontId="16" fillId="11" borderId="0" xfId="3" applyNumberFormat="1" applyFont="1" applyFill="1" applyProtection="1">
      <protection locked="0"/>
    </xf>
    <xf numFmtId="49" fontId="143" fillId="16" borderId="20" xfId="0" applyNumberFormat="1" applyFont="1" applyFill="1" applyBorder="1" applyAlignment="1" applyProtection="1">
      <alignment horizontal="left"/>
      <protection locked="0"/>
    </xf>
    <xf numFmtId="0" fontId="18" fillId="0" borderId="0" xfId="0" applyFont="1" applyProtection="1">
      <protection locked="0"/>
    </xf>
    <xf numFmtId="0" fontId="11" fillId="0" borderId="0" xfId="0" applyFont="1" applyProtection="1">
      <protection locked="0"/>
    </xf>
    <xf numFmtId="2" fontId="16" fillId="14" borderId="3" xfId="3" applyNumberFormat="1" applyFont="1" applyFill="1" applyBorder="1" applyProtection="1">
      <protection locked="0"/>
    </xf>
    <xf numFmtId="1" fontId="66" fillId="0" borderId="0" xfId="0" applyNumberFormat="1" applyFont="1" applyProtection="1">
      <protection locked="0"/>
    </xf>
    <xf numFmtId="0" fontId="11" fillId="0" borderId="1" xfId="0" applyFont="1" applyBorder="1" applyProtection="1">
      <protection locked="0"/>
    </xf>
    <xf numFmtId="43" fontId="26" fillId="0" borderId="42" xfId="3" applyNumberFormat="1" applyFont="1" applyBorder="1"/>
    <xf numFmtId="43" fontId="19" fillId="0" borderId="1" xfId="1" applyFont="1" applyFill="1" applyBorder="1"/>
    <xf numFmtId="43" fontId="19" fillId="2" borderId="15" xfId="1" applyFont="1" applyFill="1" applyBorder="1"/>
    <xf numFmtId="168" fontId="149" fillId="0" borderId="3" xfId="7" applyNumberFormat="1" applyFont="1" applyBorder="1" applyAlignment="1">
      <alignment horizontal="right"/>
    </xf>
    <xf numFmtId="0" fontId="12" fillId="0" borderId="0" xfId="5" applyFont="1" applyAlignment="1">
      <alignment horizontal="center"/>
    </xf>
    <xf numFmtId="0" fontId="12" fillId="0" borderId="0" xfId="5" applyFont="1" applyAlignment="1" applyProtection="1">
      <alignment horizontal="center"/>
      <protection locked="0"/>
    </xf>
    <xf numFmtId="0" fontId="19" fillId="0" borderId="0" xfId="3" applyFont="1" applyAlignment="1">
      <alignment horizontal="center"/>
    </xf>
    <xf numFmtId="0" fontId="19" fillId="0" borderId="0" xfId="3" applyFont="1" applyAlignment="1">
      <alignment horizontal="left"/>
    </xf>
    <xf numFmtId="1" fontId="23" fillId="2" borderId="1" xfId="6" applyFont="1" applyFill="1" applyBorder="1" applyAlignment="1" applyProtection="1">
      <alignment horizontal="center"/>
      <protection locked="0"/>
    </xf>
    <xf numFmtId="1" fontId="19" fillId="0" borderId="0" xfId="6" applyFont="1" applyAlignment="1" applyProtection="1">
      <alignment horizontal="center" vertical="top"/>
      <protection locked="0"/>
    </xf>
    <xf numFmtId="0" fontId="19" fillId="0" borderId="43" xfId="3" applyFont="1" applyBorder="1" applyAlignment="1">
      <alignment horizontal="center"/>
    </xf>
    <xf numFmtId="0" fontId="16" fillId="0" borderId="0" xfId="3" applyFont="1" applyAlignment="1">
      <alignment horizontal="left"/>
    </xf>
    <xf numFmtId="0" fontId="17" fillId="0" borderId="23" xfId="3" applyFont="1" applyBorder="1" applyAlignment="1">
      <alignment horizontal="right"/>
    </xf>
    <xf numFmtId="0" fontId="17" fillId="0" borderId="22" xfId="3" applyFont="1" applyBorder="1" applyAlignment="1">
      <alignment horizontal="right"/>
    </xf>
    <xf numFmtId="0" fontId="19" fillId="0" borderId="44" xfId="3" applyFont="1" applyBorder="1" applyAlignment="1">
      <alignment horizontal="center"/>
    </xf>
    <xf numFmtId="1" fontId="11" fillId="0" borderId="0" xfId="10" applyFont="1" applyProtection="1">
      <protection locked="0"/>
    </xf>
    <xf numFmtId="1" fontId="19" fillId="0" borderId="0" xfId="10" applyFont="1" applyProtection="1">
      <protection locked="0"/>
    </xf>
    <xf numFmtId="2" fontId="11" fillId="0" borderId="0" xfId="10" applyNumberFormat="1" applyFont="1" applyProtection="1">
      <protection locked="0"/>
    </xf>
    <xf numFmtId="2" fontId="11" fillId="17" borderId="0" xfId="10" applyNumberFormat="1" applyFont="1" applyFill="1"/>
    <xf numFmtId="0" fontId="11" fillId="0" borderId="0" xfId="3" applyFont="1"/>
    <xf numFmtId="0" fontId="17" fillId="0" borderId="0" xfId="3" applyFont="1" applyAlignment="1">
      <alignment horizontal="center"/>
    </xf>
    <xf numFmtId="0" fontId="11" fillId="0" borderId="24" xfId="3" applyFont="1" applyBorder="1" applyAlignment="1">
      <alignment horizontal="right"/>
    </xf>
    <xf numFmtId="1" fontId="19" fillId="0" borderId="3" xfId="10" applyFont="1" applyBorder="1" applyAlignment="1" applyProtection="1">
      <alignment horizontal="center"/>
      <protection locked="0"/>
    </xf>
    <xf numFmtId="0" fontId="5" fillId="0" borderId="3" xfId="0" applyFont="1" applyBorder="1" applyAlignment="1">
      <alignment horizontal="center"/>
    </xf>
    <xf numFmtId="1" fontId="11" fillId="0" borderId="0" xfId="10" applyFont="1" applyAlignment="1" applyProtection="1">
      <alignment horizontal="center"/>
      <protection locked="0"/>
    </xf>
    <xf numFmtId="1" fontId="18" fillId="0" borderId="0" xfId="10" applyFont="1" applyAlignment="1" applyProtection="1">
      <alignment horizontal="left"/>
      <protection locked="0"/>
    </xf>
    <xf numFmtId="4" fontId="19" fillId="3" borderId="18" xfId="3" applyNumberFormat="1" applyFont="1" applyFill="1" applyBorder="1" applyAlignment="1">
      <alignment horizontal="right"/>
    </xf>
    <xf numFmtId="4" fontId="19" fillId="3" borderId="16" xfId="3" applyNumberFormat="1" applyFont="1" applyFill="1" applyBorder="1" applyAlignment="1">
      <alignment horizontal="right"/>
    </xf>
    <xf numFmtId="1" fontId="19" fillId="0" borderId="0" xfId="10" applyFont="1" applyAlignment="1" applyProtection="1">
      <alignment vertical="top"/>
      <protection locked="0"/>
    </xf>
    <xf numFmtId="2" fontId="19" fillId="0" borderId="0" xfId="10" applyNumberFormat="1" applyFont="1" applyProtection="1">
      <protection locked="0"/>
    </xf>
    <xf numFmtId="1" fontId="19" fillId="0" borderId="0" xfId="10" applyFont="1"/>
    <xf numFmtId="2" fontId="11" fillId="3" borderId="3" xfId="3" applyNumberFormat="1" applyFont="1" applyFill="1" applyBorder="1" applyAlignment="1">
      <alignment horizontal="center"/>
    </xf>
    <xf numFmtId="0" fontId="11" fillId="16" borderId="0" xfId="3" applyFont="1" applyFill="1"/>
    <xf numFmtId="4" fontId="17" fillId="3" borderId="3" xfId="3" applyNumberFormat="1" applyFont="1" applyFill="1" applyBorder="1" applyAlignment="1">
      <alignment horizontal="center"/>
    </xf>
    <xf numFmtId="2" fontId="19" fillId="3" borderId="3" xfId="3" applyNumberFormat="1" applyFont="1" applyFill="1" applyBorder="1" applyAlignment="1">
      <alignment horizontal="center"/>
    </xf>
    <xf numFmtId="2" fontId="11" fillId="0" borderId="20" xfId="3" applyNumberFormat="1" applyFont="1" applyBorder="1" applyAlignment="1">
      <alignment horizontal="right"/>
    </xf>
    <xf numFmtId="2" fontId="11" fillId="0" borderId="13" xfId="3" applyNumberFormat="1" applyFont="1" applyBorder="1" applyAlignment="1">
      <alignment horizontal="right"/>
    </xf>
    <xf numFmtId="2" fontId="11" fillId="2" borderId="21" xfId="3" applyNumberFormat="1" applyFont="1" applyFill="1" applyBorder="1" applyAlignment="1">
      <alignment horizontal="right"/>
    </xf>
    <xf numFmtId="2" fontId="11" fillId="13" borderId="0" xfId="10" applyNumberFormat="1" applyFont="1" applyFill="1"/>
    <xf numFmtId="1" fontId="11" fillId="0" borderId="8" xfId="10" applyFont="1" applyBorder="1" applyAlignment="1" applyProtection="1">
      <alignment horizontal="right"/>
      <protection locked="0"/>
    </xf>
    <xf numFmtId="2" fontId="11" fillId="0" borderId="9" xfId="10" applyNumberFormat="1" applyFont="1" applyBorder="1" applyAlignment="1" applyProtection="1">
      <alignment horizontal="left"/>
      <protection locked="0"/>
    </xf>
    <xf numFmtId="1" fontId="11" fillId="0" borderId="1" xfId="10" applyFont="1" applyBorder="1" applyProtection="1">
      <protection locked="0"/>
    </xf>
    <xf numFmtId="1" fontId="19" fillId="0" borderId="1" xfId="10" applyFont="1" applyBorder="1" applyProtection="1">
      <protection locked="0"/>
    </xf>
    <xf numFmtId="2" fontId="11" fillId="0" borderId="1" xfId="10" applyNumberFormat="1" applyFont="1" applyBorder="1" applyProtection="1">
      <protection locked="0"/>
    </xf>
    <xf numFmtId="1" fontId="11" fillId="0" borderId="1" xfId="10" applyFont="1" applyBorder="1"/>
    <xf numFmtId="166" fontId="11" fillId="0" borderId="1" xfId="10" applyNumberFormat="1" applyFont="1" applyBorder="1" applyProtection="1">
      <protection locked="0"/>
    </xf>
    <xf numFmtId="2" fontId="11" fillId="13" borderId="15" xfId="10" applyNumberFormat="1" applyFont="1" applyFill="1" applyBorder="1"/>
    <xf numFmtId="0" fontId="11" fillId="0" borderId="1" xfId="3" applyFont="1" applyBorder="1"/>
    <xf numFmtId="0" fontId="8" fillId="0" borderId="0" xfId="0" applyFont="1"/>
    <xf numFmtId="0" fontId="8" fillId="0" borderId="0" xfId="0" applyFont="1" applyProtection="1">
      <protection locked="0"/>
    </xf>
    <xf numFmtId="179" fontId="85" fillId="12" borderId="3" xfId="0" applyNumberFormat="1" applyFont="1" applyFill="1" applyBorder="1" applyAlignment="1" applyProtection="1">
      <alignment horizontal="center"/>
      <protection locked="0"/>
    </xf>
    <xf numFmtId="166" fontId="11" fillId="0" borderId="0" xfId="10" applyNumberFormat="1" applyFont="1" applyProtection="1">
      <protection locked="0"/>
    </xf>
    <xf numFmtId="1" fontId="11" fillId="0" borderId="0" xfId="3" applyNumberFormat="1" applyFont="1"/>
    <xf numFmtId="2" fontId="11" fillId="0" borderId="10" xfId="10" applyNumberFormat="1" applyFont="1" applyBorder="1" applyAlignment="1" applyProtection="1">
      <alignment horizontal="center"/>
      <protection locked="0"/>
    </xf>
    <xf numFmtId="1" fontId="19" fillId="0" borderId="0" xfId="10" applyFont="1" applyAlignment="1" applyProtection="1">
      <alignment horizontal="left"/>
      <protection locked="0"/>
    </xf>
    <xf numFmtId="171" fontId="17" fillId="0" borderId="0" xfId="3" applyNumberFormat="1" applyFont="1"/>
    <xf numFmtId="4" fontId="11" fillId="7" borderId="0" xfId="3" applyNumberFormat="1" applyFont="1" applyFill="1"/>
    <xf numFmtId="0" fontId="19" fillId="0" borderId="0" xfId="3" applyFont="1" applyAlignment="1">
      <alignment horizontal="right"/>
    </xf>
    <xf numFmtId="2" fontId="11" fillId="0" borderId="1" xfId="3" applyNumberFormat="1" applyFont="1" applyBorder="1"/>
    <xf numFmtId="0" fontId="22" fillId="0" borderId="1" xfId="3" applyFont="1" applyBorder="1" applyProtection="1">
      <protection locked="0"/>
    </xf>
    <xf numFmtId="0" fontId="154" fillId="0" borderId="0" xfId="0" applyFont="1"/>
    <xf numFmtId="0" fontId="154" fillId="16" borderId="0" xfId="0" applyFont="1" applyFill="1"/>
    <xf numFmtId="0" fontId="154" fillId="16" borderId="0" xfId="0" applyFont="1" applyFill="1" applyAlignment="1">
      <alignment horizontal="center"/>
    </xf>
    <xf numFmtId="0" fontId="155" fillId="16" borderId="0" xfId="0" applyFont="1" applyFill="1" applyAlignment="1">
      <alignment horizontal="center"/>
    </xf>
    <xf numFmtId="170" fontId="154" fillId="0" borderId="0" xfId="0" applyNumberFormat="1" applyFont="1"/>
    <xf numFmtId="2" fontId="154" fillId="3" borderId="0" xfId="0" applyNumberFormat="1" applyFont="1" applyFill="1"/>
    <xf numFmtId="2" fontId="154" fillId="0" borderId="0" xfId="0" applyNumberFormat="1" applyFont="1"/>
    <xf numFmtId="2" fontId="154" fillId="17" borderId="0" xfId="0" applyNumberFormat="1" applyFont="1" applyFill="1"/>
    <xf numFmtId="1" fontId="156" fillId="0" borderId="0" xfId="10" applyFont="1" applyAlignment="1" applyProtection="1">
      <alignment horizontal="left"/>
      <protection locked="0"/>
    </xf>
    <xf numFmtId="2" fontId="19" fillId="0" borderId="0" xfId="19" applyNumberFormat="1" applyFont="1" applyProtection="1">
      <protection locked="0"/>
    </xf>
    <xf numFmtId="1" fontId="19" fillId="0" borderId="0" xfId="19" applyFont="1" applyProtection="1">
      <protection locked="0"/>
    </xf>
    <xf numFmtId="1" fontId="19" fillId="2" borderId="0" xfId="19" applyFont="1" applyFill="1" applyProtection="1">
      <protection locked="0"/>
    </xf>
    <xf numFmtId="17" fontId="19" fillId="2" borderId="0" xfId="19" applyNumberFormat="1" applyFont="1" applyFill="1" applyProtection="1">
      <protection locked="0"/>
    </xf>
    <xf numFmtId="1" fontId="19" fillId="0" borderId="0" xfId="19" applyFont="1" applyAlignment="1" applyProtection="1">
      <alignment horizontal="center"/>
      <protection locked="0"/>
    </xf>
    <xf numFmtId="2" fontId="66" fillId="0" borderId="0" xfId="19" applyNumberFormat="1" applyFont="1"/>
    <xf numFmtId="2" fontId="11" fillId="3" borderId="0" xfId="19" applyNumberFormat="1" applyFont="1" applyFill="1"/>
    <xf numFmtId="2" fontId="11" fillId="3" borderId="0" xfId="10" applyNumberFormat="1" applyFont="1" applyFill="1"/>
    <xf numFmtId="1" fontId="11" fillId="0" borderId="0" xfId="19" applyFont="1" applyProtection="1">
      <protection locked="0"/>
    </xf>
    <xf numFmtId="0" fontId="11" fillId="0" borderId="0" xfId="0" applyFont="1"/>
    <xf numFmtId="1" fontId="11" fillId="0" borderId="0" xfId="19" applyFont="1" applyAlignment="1" applyProtection="1">
      <alignment horizontal="right"/>
      <protection locked="0"/>
    </xf>
    <xf numFmtId="2" fontId="11" fillId="0" borderId="0" xfId="19" applyNumberFormat="1" applyFont="1" applyProtection="1">
      <protection locked="0"/>
    </xf>
    <xf numFmtId="1" fontId="66" fillId="0" borderId="0" xfId="19" applyFont="1" applyProtection="1">
      <protection locked="0"/>
    </xf>
    <xf numFmtId="1" fontId="11" fillId="2" borderId="0" xfId="19" applyFont="1" applyFill="1" applyProtection="1">
      <protection locked="0"/>
    </xf>
    <xf numFmtId="17" fontId="11" fillId="2" borderId="0" xfId="19" applyNumberFormat="1" applyFont="1" applyFill="1" applyProtection="1">
      <protection locked="0"/>
    </xf>
    <xf numFmtId="1" fontId="11" fillId="0" borderId="0" xfId="19" applyFont="1" applyAlignment="1" applyProtection="1">
      <alignment horizontal="center"/>
      <protection locked="0"/>
    </xf>
    <xf numFmtId="2" fontId="66" fillId="3" borderId="0" xfId="19" applyNumberFormat="1" applyFont="1" applyFill="1"/>
    <xf numFmtId="0" fontId="157" fillId="0" borderId="0" xfId="3" applyFont="1" applyProtection="1">
      <protection locked="0"/>
    </xf>
    <xf numFmtId="2" fontId="11" fillId="2" borderId="0" xfId="3" applyNumberFormat="1" applyFont="1" applyFill="1" applyAlignment="1" applyProtection="1">
      <alignment vertical="top"/>
      <protection locked="0"/>
    </xf>
    <xf numFmtId="2" fontId="19" fillId="14" borderId="3" xfId="10" applyNumberFormat="1" applyFont="1" applyFill="1" applyBorder="1" applyAlignment="1" applyProtection="1">
      <alignment horizontal="center" vertical="top"/>
      <protection locked="0"/>
    </xf>
    <xf numFmtId="1" fontId="11" fillId="0" borderId="0" xfId="10" applyFont="1" applyAlignment="1" applyProtection="1">
      <alignment horizontal="center" vertical="top"/>
      <protection locked="0"/>
    </xf>
    <xf numFmtId="1" fontId="66" fillId="0" borderId="0" xfId="10" applyFont="1" applyAlignment="1" applyProtection="1">
      <alignment horizontal="left" vertical="top"/>
      <protection locked="0"/>
    </xf>
    <xf numFmtId="1" fontId="18" fillId="0" borderId="0" xfId="10" applyFont="1" applyAlignment="1" applyProtection="1">
      <alignment vertical="top"/>
      <protection locked="0"/>
    </xf>
    <xf numFmtId="2" fontId="19" fillId="0" borderId="0" xfId="10" applyNumberFormat="1" applyFont="1" applyAlignment="1" applyProtection="1">
      <alignment vertical="top"/>
      <protection locked="0"/>
    </xf>
    <xf numFmtId="1" fontId="11" fillId="0" borderId="0" xfId="10" applyFont="1" applyAlignment="1" applyProtection="1">
      <alignment vertical="top"/>
      <protection locked="0"/>
    </xf>
    <xf numFmtId="2" fontId="19" fillId="3" borderId="0" xfId="3" applyNumberFormat="1" applyFont="1" applyFill="1" applyAlignment="1" applyProtection="1">
      <alignment vertical="top"/>
      <protection locked="0"/>
    </xf>
    <xf numFmtId="2" fontId="66" fillId="15" borderId="1" xfId="10" applyNumberFormat="1" applyFont="1" applyFill="1" applyBorder="1" applyAlignment="1">
      <alignment horizontal="right" vertical="top"/>
    </xf>
    <xf numFmtId="2" fontId="11" fillId="0" borderId="0" xfId="10" applyNumberFormat="1" applyFont="1" applyAlignment="1" applyProtection="1">
      <alignment horizontal="right" vertical="top"/>
      <protection locked="0"/>
    </xf>
    <xf numFmtId="1" fontId="17" fillId="0" borderId="1" xfId="10" applyFont="1" applyBorder="1" applyAlignment="1" applyProtection="1">
      <alignment horizontal="right"/>
      <protection locked="0"/>
    </xf>
    <xf numFmtId="1" fontId="11" fillId="0" borderId="1" xfId="10" applyFont="1" applyBorder="1" applyAlignment="1" applyProtection="1">
      <alignment horizontal="center"/>
      <protection locked="0"/>
    </xf>
    <xf numFmtId="2" fontId="69" fillId="3" borderId="15" xfId="10" applyNumberFormat="1" applyFont="1" applyFill="1" applyBorder="1" applyAlignment="1">
      <alignment horizontal="right"/>
    </xf>
    <xf numFmtId="1" fontId="11" fillId="0" borderId="1" xfId="10" applyFont="1" applyBorder="1" applyAlignment="1" applyProtection="1">
      <alignment horizontal="right"/>
      <protection locked="0"/>
    </xf>
    <xf numFmtId="0" fontId="0" fillId="3" borderId="0" xfId="0" applyFill="1"/>
    <xf numFmtId="1" fontId="11" fillId="3" borderId="0" xfId="10" applyFont="1" applyFill="1" applyProtection="1">
      <protection locked="0"/>
    </xf>
    <xf numFmtId="0" fontId="160" fillId="0" borderId="0" xfId="3" applyFont="1"/>
    <xf numFmtId="2" fontId="154" fillId="19" borderId="0" xfId="0" applyNumberFormat="1" applyFont="1" applyFill="1"/>
    <xf numFmtId="0" fontId="18" fillId="0" borderId="0" xfId="3" applyFont="1"/>
    <xf numFmtId="4" fontId="11" fillId="6" borderId="0" xfId="3" applyNumberFormat="1" applyFont="1" applyFill="1"/>
    <xf numFmtId="0" fontId="19" fillId="0" borderId="0" xfId="3" applyFont="1" applyAlignment="1" applyProtection="1">
      <alignment horizontal="center"/>
      <protection locked="0"/>
    </xf>
    <xf numFmtId="0" fontId="161" fillId="0" borderId="0" xfId="3" applyFont="1"/>
    <xf numFmtId="0" fontId="17" fillId="0" borderId="0" xfId="7" applyFont="1" applyProtection="1">
      <protection locked="0"/>
    </xf>
    <xf numFmtId="0" fontId="15" fillId="0" borderId="0" xfId="0" applyFont="1" applyAlignment="1" applyProtection="1">
      <alignment horizontal="center"/>
      <protection locked="0"/>
    </xf>
    <xf numFmtId="0" fontId="9" fillId="0" borderId="0" xfId="7" applyFont="1" applyAlignment="1" applyProtection="1">
      <alignment horizontal="center"/>
      <protection locked="0"/>
    </xf>
    <xf numFmtId="0" fontId="59" fillId="0" borderId="0" xfId="0" applyFont="1" applyAlignment="1" applyProtection="1">
      <alignment horizontal="center"/>
      <protection locked="0"/>
    </xf>
    <xf numFmtId="0" fontId="59" fillId="2" borderId="29" xfId="0" applyFont="1" applyFill="1" applyBorder="1" applyAlignment="1" applyProtection="1">
      <alignment horizontal="center"/>
      <protection locked="0"/>
    </xf>
    <xf numFmtId="0" fontId="16" fillId="0" borderId="0" xfId="3" applyFont="1" applyAlignment="1">
      <alignment horizontal="center"/>
    </xf>
    <xf numFmtId="0" fontId="161" fillId="0" borderId="0" xfId="3" applyFont="1" applyAlignment="1">
      <alignment horizontal="center"/>
    </xf>
    <xf numFmtId="0" fontId="154" fillId="0" borderId="0" xfId="0" applyFont="1" applyAlignment="1">
      <alignment horizontal="center"/>
    </xf>
    <xf numFmtId="0" fontId="11" fillId="0" borderId="0" xfId="3" applyFont="1" applyAlignment="1">
      <alignment horizontal="center"/>
    </xf>
    <xf numFmtId="174" fontId="46" fillId="0" borderId="0" xfId="8" applyNumberFormat="1" applyFont="1" applyProtection="1">
      <protection locked="0"/>
    </xf>
    <xf numFmtId="180" fontId="162" fillId="0" borderId="0" xfId="8" applyNumberFormat="1" applyFont="1" applyProtection="1">
      <protection locked="0"/>
    </xf>
    <xf numFmtId="0" fontId="161" fillId="0" borderId="0" xfId="3" applyFont="1" applyAlignment="1" applyProtection="1">
      <alignment horizontal="left"/>
      <protection locked="0"/>
    </xf>
    <xf numFmtId="0" fontId="161" fillId="0" borderId="0" xfId="3" applyFont="1" applyProtection="1">
      <protection locked="0"/>
    </xf>
    <xf numFmtId="0" fontId="158" fillId="0" borderId="0" xfId="3" applyFont="1" applyProtection="1">
      <protection locked="0"/>
    </xf>
    <xf numFmtId="0" fontId="159" fillId="0" borderId="0" xfId="3" applyFont="1" applyAlignment="1" applyProtection="1">
      <alignment horizontal="right"/>
      <protection locked="0"/>
    </xf>
    <xf numFmtId="0" fontId="158" fillId="0" borderId="0" xfId="11" applyFont="1" applyProtection="1">
      <protection locked="0"/>
    </xf>
    <xf numFmtId="0" fontId="165" fillId="0" borderId="0" xfId="3" applyFont="1" applyAlignment="1" applyProtection="1">
      <alignment horizontal="right"/>
      <protection locked="0"/>
    </xf>
    <xf numFmtId="0" fontId="158" fillId="0" borderId="0" xfId="3" applyFont="1" applyAlignment="1" applyProtection="1">
      <alignment horizontal="left"/>
      <protection locked="0"/>
    </xf>
    <xf numFmtId="0" fontId="158" fillId="0" borderId="13" xfId="3" applyFont="1" applyBorder="1" applyProtection="1">
      <protection locked="0"/>
    </xf>
    <xf numFmtId="0" fontId="158" fillId="0" borderId="13" xfId="11" applyFont="1" applyBorder="1" applyProtection="1">
      <protection locked="0"/>
    </xf>
    <xf numFmtId="0" fontId="161" fillId="0" borderId="13" xfId="3" applyFont="1" applyBorder="1" applyProtection="1">
      <protection locked="0"/>
    </xf>
    <xf numFmtId="0" fontId="159" fillId="0" borderId="0" xfId="11" applyFont="1" applyAlignment="1" applyProtection="1">
      <alignment horizontal="right"/>
      <protection locked="0"/>
    </xf>
    <xf numFmtId="15" fontId="158" fillId="0" borderId="0" xfId="11" applyNumberFormat="1" applyFont="1" applyProtection="1">
      <protection locked="0"/>
    </xf>
    <xf numFmtId="0" fontId="165" fillId="0" borderId="0" xfId="7" applyFont="1" applyAlignment="1" applyProtection="1">
      <alignment horizontal="right"/>
      <protection locked="0"/>
    </xf>
    <xf numFmtId="0" fontId="158" fillId="16" borderId="0" xfId="3" applyFont="1" applyFill="1" applyAlignment="1" applyProtection="1">
      <alignment horizontal="left"/>
      <protection locked="0"/>
    </xf>
    <xf numFmtId="0" fontId="165" fillId="0" borderId="0" xfId="11" applyFont="1" applyAlignment="1" applyProtection="1">
      <alignment horizontal="right"/>
      <protection locked="0"/>
    </xf>
    <xf numFmtId="0" fontId="166" fillId="0" borderId="0" xfId="3" applyFont="1" applyProtection="1">
      <protection locked="0"/>
    </xf>
    <xf numFmtId="0" fontId="166" fillId="0" borderId="0" xfId="3" applyFont="1" applyAlignment="1" applyProtection="1">
      <alignment horizontal="right"/>
      <protection locked="0"/>
    </xf>
    <xf numFmtId="4" fontId="158" fillId="16" borderId="0" xfId="1" applyNumberFormat="1" applyFont="1" applyFill="1" applyBorder="1" applyAlignment="1" applyProtection="1">
      <alignment horizontal="centerContinuous"/>
      <protection locked="0"/>
    </xf>
    <xf numFmtId="0" fontId="167" fillId="0" borderId="13" xfId="7" applyFont="1" applyBorder="1" applyAlignment="1" applyProtection="1">
      <alignment horizontal="left"/>
      <protection locked="0"/>
    </xf>
    <xf numFmtId="0" fontId="167" fillId="0" borderId="0" xfId="7" applyFont="1" applyAlignment="1" applyProtection="1">
      <alignment horizontal="left"/>
      <protection locked="0"/>
    </xf>
    <xf numFmtId="0" fontId="168" fillId="0" borderId="0" xfId="3" applyFont="1" applyAlignment="1" applyProtection="1">
      <alignment horizontal="right"/>
      <protection locked="0"/>
    </xf>
    <xf numFmtId="0" fontId="158" fillId="0" borderId="0" xfId="11" applyFont="1"/>
    <xf numFmtId="0" fontId="159" fillId="0" borderId="0" xfId="3" applyFont="1" applyAlignment="1" applyProtection="1">
      <alignment horizontal="left"/>
      <protection locked="0"/>
    </xf>
    <xf numFmtId="0" fontId="166" fillId="0" borderId="0" xfId="3" applyFont="1" applyAlignment="1" applyProtection="1">
      <alignment horizontal="left"/>
      <protection locked="0"/>
    </xf>
    <xf numFmtId="0" fontId="159" fillId="0" borderId="0" xfId="3" applyFont="1" applyProtection="1">
      <protection locked="0"/>
    </xf>
    <xf numFmtId="0" fontId="158" fillId="0" borderId="0" xfId="3" applyFont="1" applyAlignment="1" applyProtection="1">
      <alignment horizontal="center"/>
      <protection locked="0"/>
    </xf>
    <xf numFmtId="0" fontId="158" fillId="0" borderId="22" xfId="3" applyFont="1" applyBorder="1" applyProtection="1">
      <protection locked="0"/>
    </xf>
    <xf numFmtId="0" fontId="158" fillId="0" borderId="34" xfId="3" applyFont="1" applyBorder="1" applyProtection="1">
      <protection locked="0"/>
    </xf>
    <xf numFmtId="0" fontId="158" fillId="0" borderId="35" xfId="3" applyFont="1" applyBorder="1" applyProtection="1">
      <protection locked="0"/>
    </xf>
    <xf numFmtId="0" fontId="158" fillId="0" borderId="36" xfId="3" applyFont="1" applyBorder="1" applyProtection="1">
      <protection locked="0"/>
    </xf>
    <xf numFmtId="0" fontId="158" fillId="0" borderId="37" xfId="3" applyFont="1" applyBorder="1" applyProtection="1">
      <protection locked="0"/>
    </xf>
    <xf numFmtId="0" fontId="166" fillId="0" borderId="0" xfId="7" applyFont="1" applyAlignment="1" applyProtection="1">
      <alignment horizontal="left" vertical="center"/>
      <protection locked="0"/>
    </xf>
    <xf numFmtId="0" fontId="158" fillId="0" borderId="38" xfId="3" applyFont="1" applyBorder="1" applyProtection="1">
      <protection locked="0"/>
    </xf>
    <xf numFmtId="0" fontId="158" fillId="0" borderId="39" xfId="3" applyFont="1" applyBorder="1" applyProtection="1">
      <protection locked="0"/>
    </xf>
    <xf numFmtId="0" fontId="169" fillId="0" borderId="0" xfId="3" applyFont="1" applyAlignment="1" applyProtection="1">
      <alignment horizontal="left"/>
      <protection locked="0"/>
    </xf>
    <xf numFmtId="0" fontId="170" fillId="0" borderId="0" xfId="3" applyFont="1" applyProtection="1">
      <protection locked="0"/>
    </xf>
    <xf numFmtId="43" fontId="0" fillId="0" borderId="0" xfId="0" applyNumberFormat="1" applyProtection="1">
      <protection locked="0"/>
    </xf>
    <xf numFmtId="181" fontId="0" fillId="0" borderId="0" xfId="0" applyNumberFormat="1"/>
    <xf numFmtId="15" fontId="6" fillId="0" borderId="0" xfId="0" applyNumberFormat="1" applyFont="1" applyAlignment="1" applyProtection="1">
      <alignment horizontal="left"/>
      <protection locked="0"/>
    </xf>
    <xf numFmtId="2" fontId="206" fillId="0" borderId="0" xfId="0" applyNumberFormat="1" applyFont="1"/>
    <xf numFmtId="2" fontId="154" fillId="46" borderId="0" xfId="0" applyNumberFormat="1" applyFont="1" applyFill="1"/>
    <xf numFmtId="2" fontId="5" fillId="0" borderId="84" xfId="139" applyNumberFormat="1" applyFont="1" applyBorder="1" applyAlignment="1">
      <alignment horizontal="center" vertical="top"/>
    </xf>
    <xf numFmtId="0" fontId="5" fillId="0" borderId="84" xfId="139" applyFont="1" applyBorder="1" applyAlignment="1">
      <alignment horizontal="center" vertical="top"/>
    </xf>
    <xf numFmtId="4" fontId="5" fillId="0" borderId="84" xfId="139" applyNumberFormat="1" applyFont="1" applyBorder="1" applyAlignment="1">
      <alignment horizontal="center" vertical="top"/>
    </xf>
    <xf numFmtId="0" fontId="8" fillId="0" borderId="0" xfId="139"/>
    <xf numFmtId="2" fontId="207" fillId="0" borderId="11" xfId="139" applyNumberFormat="1" applyFont="1" applyBorder="1" applyAlignment="1">
      <alignment horizontal="center" vertical="top"/>
    </xf>
    <xf numFmtId="0" fontId="39" fillId="0" borderId="11" xfId="139" applyFont="1" applyBorder="1" applyAlignment="1">
      <alignment horizontal="left" vertical="top" indent="1"/>
    </xf>
    <xf numFmtId="0" fontId="32" fillId="0" borderId="11" xfId="139" applyFont="1" applyBorder="1" applyAlignment="1">
      <alignment horizontal="center" vertical="top"/>
    </xf>
    <xf numFmtId="4" fontId="5" fillId="0" borderId="11" xfId="139" applyNumberFormat="1" applyFont="1" applyBorder="1" applyAlignment="1">
      <alignment horizontal="center" vertical="top"/>
    </xf>
    <xf numFmtId="0" fontId="8" fillId="0" borderId="0" xfId="139" applyAlignment="1">
      <alignment vertical="top"/>
    </xf>
    <xf numFmtId="2" fontId="207" fillId="0" borderId="25" xfId="139" applyNumberFormat="1" applyFont="1" applyBorder="1" applyAlignment="1">
      <alignment horizontal="center" vertical="top" wrapText="1"/>
    </xf>
    <xf numFmtId="0" fontId="32" fillId="0" borderId="25" xfId="139" applyFont="1" applyBorder="1" applyAlignment="1">
      <alignment vertical="top" wrapText="1"/>
    </xf>
    <xf numFmtId="0" fontId="32" fillId="0" borderId="25" xfId="139" applyFont="1" applyBorder="1" applyAlignment="1">
      <alignment horizontal="center" vertical="top"/>
    </xf>
    <xf numFmtId="4" fontId="5" fillId="0" borderId="25" xfId="139" applyNumberFormat="1" applyFont="1" applyBorder="1" applyAlignment="1">
      <alignment horizontal="center" vertical="top"/>
    </xf>
    <xf numFmtId="2" fontId="5" fillId="0" borderId="25" xfId="139" applyNumberFormat="1" applyFont="1" applyBorder="1" applyAlignment="1">
      <alignment horizontal="center" vertical="top" wrapText="1"/>
    </xf>
    <xf numFmtId="1" fontId="5" fillId="0" borderId="25" xfId="139" applyNumberFormat="1" applyFont="1" applyBorder="1" applyAlignment="1">
      <alignment vertical="top" wrapText="1"/>
    </xf>
    <xf numFmtId="1" fontId="8" fillId="0" borderId="25" xfId="139" applyNumberFormat="1" applyBorder="1" applyAlignment="1">
      <alignment horizontal="center" vertical="top"/>
    </xf>
    <xf numFmtId="0" fontId="8" fillId="0" borderId="25" xfId="139" applyBorder="1" applyAlignment="1">
      <alignment horizontal="center" vertical="top"/>
    </xf>
    <xf numFmtId="4" fontId="8" fillId="0" borderId="25" xfId="139" applyNumberFormat="1" applyBorder="1" applyAlignment="1">
      <alignment horizontal="right" vertical="top"/>
    </xf>
    <xf numFmtId="0" fontId="8" fillId="0" borderId="0" xfId="139" applyAlignment="1">
      <alignment horizontal="left" vertical="top"/>
    </xf>
    <xf numFmtId="1" fontId="8" fillId="0" borderId="25" xfId="139" applyNumberFormat="1" applyBorder="1" applyAlignment="1">
      <alignment vertical="top" wrapText="1"/>
    </xf>
    <xf numFmtId="2" fontId="8" fillId="0" borderId="25" xfId="139" applyNumberFormat="1" applyBorder="1" applyAlignment="1">
      <alignment horizontal="center" vertical="top"/>
    </xf>
    <xf numFmtId="0" fontId="8" fillId="0" borderId="0" xfId="139" applyAlignment="1">
      <alignment horizontal="left"/>
    </xf>
    <xf numFmtId="1" fontId="8" fillId="0" borderId="25" xfId="139" applyNumberFormat="1" applyBorder="1" applyAlignment="1">
      <alignment horizontal="left" vertical="top" indent="1"/>
    </xf>
    <xf numFmtId="0" fontId="8" fillId="0" borderId="25" xfId="139" applyBorder="1" applyAlignment="1">
      <alignment horizontal="left" vertical="top" indent="1"/>
    </xf>
    <xf numFmtId="0" fontId="5" fillId="0" borderId="25" xfId="139" applyFont="1" applyBorder="1" applyAlignment="1">
      <alignment horizontal="right" vertical="top" indent="1"/>
    </xf>
    <xf numFmtId="0" fontId="8" fillId="0" borderId="25" xfId="139" applyBorder="1" applyAlignment="1">
      <alignment horizontal="right" vertical="top" indent="1"/>
    </xf>
    <xf numFmtId="2" fontId="8" fillId="0" borderId="11" xfId="139" applyNumberFormat="1" applyBorder="1" applyAlignment="1">
      <alignment horizontal="center" vertical="top"/>
    </xf>
    <xf numFmtId="1" fontId="208" fillId="0" borderId="11" xfId="139" applyNumberFormat="1" applyFont="1" applyBorder="1" applyAlignment="1">
      <alignment horizontal="left" vertical="top" indent="1"/>
    </xf>
    <xf numFmtId="1" fontId="8" fillId="0" borderId="11" xfId="139" applyNumberFormat="1" applyBorder="1" applyAlignment="1">
      <alignment horizontal="center" vertical="top"/>
    </xf>
    <xf numFmtId="4" fontId="8" fillId="0" borderId="11" xfId="139" applyNumberFormat="1" applyBorder="1" applyAlignment="1">
      <alignment horizontal="right" vertical="top"/>
    </xf>
    <xf numFmtId="2" fontId="67" fillId="0" borderId="83" xfId="139" applyNumberFormat="1" applyFont="1" applyBorder="1" applyAlignment="1">
      <alignment horizontal="center" vertical="top"/>
    </xf>
    <xf numFmtId="0" fontId="5" fillId="0" borderId="85" xfId="139" applyFont="1" applyBorder="1" applyAlignment="1">
      <alignment horizontal="right" vertical="top" indent="1"/>
    </xf>
    <xf numFmtId="0" fontId="8" fillId="16" borderId="83" xfId="139" applyFill="1" applyBorder="1" applyAlignment="1">
      <alignment horizontal="center" vertical="top"/>
    </xf>
    <xf numFmtId="0" fontId="5" fillId="16" borderId="86" xfId="139" applyFont="1" applyFill="1" applyBorder="1" applyAlignment="1">
      <alignment horizontal="right" vertical="top"/>
    </xf>
    <xf numFmtId="0" fontId="19" fillId="16" borderId="85" xfId="139" applyFont="1" applyFill="1" applyBorder="1" applyAlignment="1">
      <alignment horizontal="center" vertical="top"/>
    </xf>
    <xf numFmtId="4" fontId="5" fillId="0" borderId="3" xfId="139" applyNumberFormat="1" applyFont="1" applyBorder="1" applyAlignment="1">
      <alignment horizontal="right" vertical="top"/>
    </xf>
    <xf numFmtId="2" fontId="8" fillId="0" borderId="0" xfId="139" applyNumberFormat="1" applyAlignment="1">
      <alignment horizontal="center" vertical="top"/>
    </xf>
    <xf numFmtId="0" fontId="8" fillId="0" borderId="0" xfId="139" applyAlignment="1">
      <alignment horizontal="left" vertical="top" indent="1"/>
    </xf>
    <xf numFmtId="0" fontId="8" fillId="0" borderId="0" xfId="139" applyAlignment="1">
      <alignment horizontal="center" vertical="top"/>
    </xf>
    <xf numFmtId="4" fontId="8" fillId="0" borderId="0" xfId="139" applyNumberFormat="1" applyAlignment="1">
      <alignment vertical="top"/>
    </xf>
    <xf numFmtId="4" fontId="5" fillId="0" borderId="0" xfId="139" applyNumberFormat="1" applyFont="1" applyAlignment="1">
      <alignment vertical="top"/>
    </xf>
    <xf numFmtId="0" fontId="11" fillId="0" borderId="0" xfId="3" applyFont="1" applyAlignment="1" applyProtection="1">
      <alignment horizontal="center"/>
      <protection locked="0"/>
    </xf>
    <xf numFmtId="4" fontId="209" fillId="2" borderId="83" xfId="10" applyNumberFormat="1" applyFont="1" applyFill="1" applyBorder="1" applyAlignment="1">
      <alignment horizontal="right"/>
    </xf>
    <xf numFmtId="4" fontId="209" fillId="2" borderId="85" xfId="10" applyNumberFormat="1" applyFont="1" applyFill="1" applyBorder="1" applyAlignment="1">
      <alignment horizontal="right"/>
    </xf>
    <xf numFmtId="0" fontId="5" fillId="0" borderId="0" xfId="3" applyFont="1"/>
    <xf numFmtId="1" fontId="19" fillId="0" borderId="0" xfId="10" applyFont="1" applyAlignment="1">
      <alignment horizontal="center"/>
    </xf>
    <xf numFmtId="2" fontId="210" fillId="2" borderId="3" xfId="10" applyNumberFormat="1" applyFont="1" applyFill="1" applyBorder="1" applyAlignment="1">
      <alignment horizontal="center"/>
    </xf>
    <xf numFmtId="2" fontId="17" fillId="2" borderId="3" xfId="3" applyNumberFormat="1" applyFont="1" applyFill="1" applyBorder="1" applyAlignment="1" applyProtection="1">
      <alignment horizontal="center"/>
      <protection locked="0"/>
    </xf>
    <xf numFmtId="2" fontId="19" fillId="2" borderId="3" xfId="3" applyNumberFormat="1" applyFont="1" applyFill="1" applyBorder="1" applyAlignment="1" applyProtection="1">
      <alignment horizontal="center"/>
      <protection locked="0"/>
    </xf>
    <xf numFmtId="1" fontId="26" fillId="0" borderId="22" xfId="10" applyFont="1" applyBorder="1" applyAlignment="1" applyProtection="1">
      <alignment vertical="center"/>
      <protection locked="0"/>
    </xf>
    <xf numFmtId="1" fontId="26" fillId="0" borderId="22" xfId="10" applyFont="1" applyBorder="1" applyAlignment="1" applyProtection="1">
      <alignment horizontal="centerContinuous" vertical="center"/>
      <protection locked="0"/>
    </xf>
    <xf numFmtId="1" fontId="18" fillId="0" borderId="0" xfId="10" applyFont="1" applyAlignment="1" applyProtection="1">
      <alignment horizontal="left" vertical="top"/>
      <protection locked="0"/>
    </xf>
    <xf numFmtId="1" fontId="19" fillId="0" borderId="0" xfId="10" applyFont="1" applyAlignment="1" applyProtection="1">
      <alignment horizontal="center"/>
      <protection locked="0"/>
    </xf>
    <xf numFmtId="2" fontId="11" fillId="0" borderId="0" xfId="3" applyNumberFormat="1" applyFont="1" applyProtection="1">
      <protection locked="0"/>
    </xf>
    <xf numFmtId="166" fontId="19" fillId="0" borderId="0" xfId="10" applyNumberFormat="1" applyFont="1" applyProtection="1">
      <protection locked="0"/>
    </xf>
    <xf numFmtId="1" fontId="26" fillId="0" borderId="0" xfId="10" applyFont="1" applyAlignment="1" applyProtection="1">
      <alignment vertical="center"/>
      <protection locked="0"/>
    </xf>
    <xf numFmtId="1" fontId="26" fillId="0" borderId="0" xfId="10" applyFont="1" applyAlignment="1" applyProtection="1">
      <alignment horizontal="centerContinuous" vertical="center"/>
      <protection locked="0"/>
    </xf>
    <xf numFmtId="2" fontId="211" fillId="0" borderId="87" xfId="3" applyNumberFormat="1" applyFont="1" applyBorder="1" applyAlignment="1">
      <alignment horizontal="right"/>
    </xf>
    <xf numFmtId="2" fontId="212" fillId="0" borderId="0" xfId="3" applyNumberFormat="1" applyFont="1" applyAlignment="1">
      <alignment horizontal="left"/>
    </xf>
    <xf numFmtId="1" fontId="11" fillId="0" borderId="88" xfId="10" applyFont="1" applyBorder="1" applyProtection="1">
      <protection locked="0"/>
    </xf>
    <xf numFmtId="2" fontId="11" fillId="0" borderId="88" xfId="10" applyNumberFormat="1" applyFont="1" applyBorder="1" applyProtection="1">
      <protection locked="0"/>
    </xf>
    <xf numFmtId="1" fontId="19" fillId="0" borderId="88" xfId="10" applyFont="1" applyBorder="1" applyAlignment="1">
      <alignment horizontal="center"/>
    </xf>
    <xf numFmtId="1" fontId="19" fillId="0" borderId="88" xfId="10" applyFont="1" applyBorder="1"/>
    <xf numFmtId="2" fontId="11" fillId="0" borderId="89" xfId="10" applyNumberFormat="1" applyFont="1" applyBorder="1" applyProtection="1">
      <protection locked="0"/>
    </xf>
    <xf numFmtId="2" fontId="11" fillId="0" borderId="89" xfId="3" applyNumberFormat="1" applyFont="1" applyBorder="1"/>
    <xf numFmtId="2" fontId="11" fillId="0" borderId="89" xfId="10" applyNumberFormat="1" applyFont="1" applyBorder="1"/>
    <xf numFmtId="0" fontId="11" fillId="47" borderId="83" xfId="3" applyFont="1" applyFill="1" applyBorder="1" applyProtection="1">
      <protection locked="0"/>
    </xf>
    <xf numFmtId="4" fontId="31" fillId="3" borderId="83" xfId="3" applyNumberFormat="1" applyFont="1" applyFill="1" applyBorder="1" applyAlignment="1">
      <alignment horizontal="right"/>
    </xf>
    <xf numFmtId="4" fontId="31" fillId="3" borderId="86" xfId="3" applyNumberFormat="1" applyFont="1" applyFill="1" applyBorder="1" applyAlignment="1">
      <alignment horizontal="right"/>
    </xf>
    <xf numFmtId="4" fontId="31" fillId="3" borderId="85" xfId="3" applyNumberFormat="1" applyFont="1" applyFill="1" applyBorder="1" applyAlignment="1">
      <alignment horizontal="right"/>
    </xf>
    <xf numFmtId="1" fontId="11" fillId="0" borderId="0" xfId="3" applyNumberFormat="1" applyFont="1" applyAlignment="1" applyProtection="1">
      <alignment horizontal="center"/>
      <protection locked="0"/>
    </xf>
    <xf numFmtId="1" fontId="19" fillId="0" borderId="90" xfId="10" applyFont="1" applyBorder="1" applyProtection="1">
      <protection locked="0"/>
    </xf>
    <xf numFmtId="1" fontId="11" fillId="0" borderId="90" xfId="10" applyFont="1" applyBorder="1" applyAlignment="1">
      <alignment horizontal="center"/>
    </xf>
    <xf numFmtId="0" fontId="213" fillId="0" borderId="0" xfId="3" applyFont="1" applyAlignment="1" applyProtection="1">
      <alignment horizontal="left"/>
      <protection locked="0"/>
    </xf>
    <xf numFmtId="17" fontId="11" fillId="0" borderId="0" xfId="3" applyNumberFormat="1" applyFont="1" applyAlignment="1" applyProtection="1">
      <alignment horizontal="center"/>
      <protection locked="0"/>
    </xf>
    <xf numFmtId="2" fontId="11" fillId="0" borderId="0" xfId="3" applyNumberFormat="1" applyFont="1" applyAlignment="1" applyProtection="1">
      <alignment horizontal="center"/>
      <protection locked="0"/>
    </xf>
    <xf numFmtId="2" fontId="11" fillId="3" borderId="0" xfId="3" applyNumberFormat="1" applyFont="1" applyFill="1"/>
    <xf numFmtId="1" fontId="11" fillId="0" borderId="23" xfId="10" applyFont="1" applyBorder="1" applyAlignment="1" applyProtection="1">
      <alignment horizontal="right"/>
      <protection locked="0"/>
    </xf>
    <xf numFmtId="2" fontId="11" fillId="0" borderId="24" xfId="10" applyNumberFormat="1" applyFont="1" applyBorder="1" applyAlignment="1" applyProtection="1">
      <alignment horizontal="left"/>
      <protection locked="0"/>
    </xf>
    <xf numFmtId="166" fontId="11" fillId="0" borderId="88" xfId="10" applyNumberFormat="1" applyFont="1" applyBorder="1" applyProtection="1">
      <protection locked="0"/>
    </xf>
    <xf numFmtId="1" fontId="19" fillId="0" borderId="88" xfId="10" applyFont="1" applyBorder="1" applyProtection="1">
      <protection locked="0"/>
    </xf>
    <xf numFmtId="1" fontId="11" fillId="0" borderId="88" xfId="10" applyFont="1" applyBorder="1" applyAlignment="1">
      <alignment horizontal="center"/>
    </xf>
    <xf numFmtId="166" fontId="11" fillId="0" borderId="89" xfId="10" applyNumberFormat="1" applyFont="1" applyBorder="1" applyProtection="1">
      <protection locked="0"/>
    </xf>
    <xf numFmtId="2" fontId="11" fillId="3" borderId="91" xfId="10" applyNumberFormat="1" applyFont="1" applyFill="1" applyBorder="1"/>
    <xf numFmtId="1" fontId="11" fillId="0" borderId="89" xfId="10" applyFont="1" applyBorder="1" applyProtection="1">
      <protection locked="0"/>
    </xf>
    <xf numFmtId="4" fontId="17" fillId="3" borderId="92" xfId="3" applyNumberFormat="1" applyFont="1" applyFill="1" applyBorder="1"/>
    <xf numFmtId="0" fontId="11" fillId="2" borderId="3" xfId="3" applyFont="1" applyFill="1" applyBorder="1" applyProtection="1">
      <protection locked="0"/>
    </xf>
    <xf numFmtId="4" fontId="96" fillId="4" borderId="83" xfId="3" applyNumberFormat="1" applyFont="1" applyFill="1" applyBorder="1" applyAlignment="1">
      <alignment horizontal="left"/>
    </xf>
    <xf numFmtId="4" fontId="31" fillId="4" borderId="86" xfId="3" applyNumberFormat="1" applyFont="1" applyFill="1" applyBorder="1" applyAlignment="1">
      <alignment horizontal="right"/>
    </xf>
    <xf numFmtId="4" fontId="31" fillId="48" borderId="85" xfId="3" applyNumberFormat="1" applyFont="1" applyFill="1" applyBorder="1" applyAlignment="1">
      <alignment horizontal="right"/>
    </xf>
    <xf numFmtId="2" fontId="11" fillId="0" borderId="0" xfId="10" applyNumberFormat="1" applyFont="1"/>
    <xf numFmtId="1" fontId="11" fillId="0" borderId="83" xfId="10" applyFont="1" applyBorder="1" applyAlignment="1" applyProtection="1">
      <alignment horizontal="right"/>
      <protection locked="0"/>
    </xf>
    <xf numFmtId="2" fontId="11" fillId="0" borderId="85" xfId="10" applyNumberFormat="1" applyFont="1" applyBorder="1" applyAlignment="1" applyProtection="1">
      <alignment horizontal="left"/>
      <protection locked="0"/>
    </xf>
    <xf numFmtId="0" fontId="11" fillId="0" borderId="89" xfId="3" applyFont="1" applyBorder="1"/>
    <xf numFmtId="1" fontId="19" fillId="0" borderId="89" xfId="10" applyFont="1" applyBorder="1" applyProtection="1">
      <protection locked="0"/>
    </xf>
    <xf numFmtId="1" fontId="11" fillId="0" borderId="89" xfId="10" applyFont="1" applyBorder="1" applyAlignment="1">
      <alignment horizontal="center"/>
    </xf>
    <xf numFmtId="4" fontId="17" fillId="4" borderId="92" xfId="3" applyNumberFormat="1" applyFont="1" applyFill="1" applyBorder="1"/>
    <xf numFmtId="1" fontId="96" fillId="2" borderId="22" xfId="10" applyFont="1" applyFill="1" applyBorder="1" applyAlignment="1" applyProtection="1">
      <alignment vertical="center"/>
      <protection locked="0"/>
    </xf>
    <xf numFmtId="0" fontId="11" fillId="2" borderId="0" xfId="3" applyFont="1" applyFill="1"/>
    <xf numFmtId="2" fontId="19" fillId="0" borderId="0" xfId="3" applyNumberFormat="1" applyFont="1" applyAlignment="1">
      <alignment horizontal="right"/>
    </xf>
    <xf numFmtId="1" fontId="11" fillId="0" borderId="0" xfId="10" applyFont="1" applyAlignment="1">
      <alignment horizontal="center"/>
    </xf>
    <xf numFmtId="1" fontId="11" fillId="0" borderId="0" xfId="10" applyFont="1"/>
    <xf numFmtId="1" fontId="214" fillId="2" borderId="1" xfId="10" applyFont="1" applyFill="1" applyBorder="1" applyAlignment="1" applyProtection="1">
      <alignment horizontal="left" vertical="center"/>
      <protection locked="0"/>
    </xf>
    <xf numFmtId="0" fontId="11" fillId="2" borderId="1" xfId="3" applyFont="1" applyFill="1" applyBorder="1"/>
    <xf numFmtId="1" fontId="11" fillId="0" borderId="1" xfId="10" applyFont="1" applyBorder="1" applyAlignment="1">
      <alignment horizontal="center"/>
    </xf>
    <xf numFmtId="2" fontId="25" fillId="2" borderId="15" xfId="10" applyNumberFormat="1" applyFont="1" applyFill="1" applyBorder="1"/>
    <xf numFmtId="0" fontId="163" fillId="0" borderId="0" xfId="3" applyFont="1" applyAlignment="1">
      <alignment horizontal="center"/>
    </xf>
    <xf numFmtId="0" fontId="164" fillId="0" borderId="0" xfId="3" applyFont="1" applyAlignment="1">
      <alignment horizontal="center"/>
    </xf>
    <xf numFmtId="0" fontId="139" fillId="0" borderId="0" xfId="0" applyFont="1" applyAlignment="1">
      <alignment horizontal="center"/>
    </xf>
    <xf numFmtId="0" fontId="17" fillId="0" borderId="17" xfId="0" applyFont="1" applyBorder="1" applyAlignment="1" applyProtection="1">
      <alignment horizontal="center"/>
      <protection locked="0"/>
    </xf>
    <xf numFmtId="0" fontId="17" fillId="0" borderId="0" xfId="0" applyFont="1" applyAlignment="1" applyProtection="1">
      <alignment horizontal="center"/>
      <protection locked="0"/>
    </xf>
    <xf numFmtId="0" fontId="47" fillId="0" borderId="23" xfId="8" applyFont="1" applyBorder="1" applyAlignment="1" applyProtection="1">
      <alignment horizontal="center"/>
      <protection locked="0"/>
    </xf>
    <xf numFmtId="0" fontId="47" fillId="0" borderId="22" xfId="8" applyFont="1" applyBorder="1" applyAlignment="1" applyProtection="1">
      <alignment horizontal="center"/>
      <protection locked="0"/>
    </xf>
    <xf numFmtId="0" fontId="47" fillId="0" borderId="24" xfId="8" applyFont="1" applyBorder="1" applyAlignment="1" applyProtection="1">
      <alignment horizontal="center"/>
      <protection locked="0"/>
    </xf>
    <xf numFmtId="0" fontId="27" fillId="0" borderId="20" xfId="8" applyFont="1" applyBorder="1" applyAlignment="1" applyProtection="1">
      <alignment horizontal="center" vertical="center"/>
      <protection locked="0"/>
    </xf>
    <xf numFmtId="0" fontId="27" fillId="0" borderId="13" xfId="8" applyFont="1" applyBorder="1" applyAlignment="1" applyProtection="1">
      <alignment horizontal="center" vertical="center"/>
      <protection locked="0"/>
    </xf>
    <xf numFmtId="0" fontId="27" fillId="0" borderId="0" xfId="8" applyFont="1" applyAlignment="1" applyProtection="1">
      <alignment horizontal="center" vertical="center"/>
      <protection locked="0"/>
    </xf>
    <xf numFmtId="0" fontId="27" fillId="0" borderId="19" xfId="8" applyFont="1" applyBorder="1" applyAlignment="1" applyProtection="1">
      <alignment horizontal="center" vertical="center"/>
      <protection locked="0"/>
    </xf>
    <xf numFmtId="0" fontId="36" fillId="0" borderId="0" xfId="3" applyFont="1" applyAlignment="1" applyProtection="1">
      <alignment horizontal="left"/>
      <protection locked="0"/>
    </xf>
    <xf numFmtId="0" fontId="55" fillId="0" borderId="0" xfId="8" applyFont="1" applyAlignment="1" applyProtection="1">
      <alignment horizontal="left"/>
      <protection locked="0"/>
    </xf>
    <xf numFmtId="0" fontId="117" fillId="0" borderId="14" xfId="0" applyFont="1" applyBorder="1" applyAlignment="1">
      <alignment horizontal="center" vertical="center"/>
    </xf>
    <xf numFmtId="0" fontId="116" fillId="0" borderId="0" xfId="0" applyFont="1" applyAlignment="1">
      <alignment horizontal="left" vertical="center"/>
    </xf>
    <xf numFmtId="0" fontId="17" fillId="0" borderId="0" xfId="3" applyFont="1" applyAlignment="1" applyProtection="1">
      <alignment horizontal="left" vertical="top" wrapText="1"/>
      <protection locked="0"/>
    </xf>
    <xf numFmtId="0" fontId="37" fillId="0" borderId="0" xfId="3" applyFont="1" applyAlignment="1" applyProtection="1">
      <alignment horizontal="left" vertical="top" wrapText="1"/>
      <protection locked="0"/>
    </xf>
    <xf numFmtId="0" fontId="121" fillId="0" borderId="0" xfId="0" applyFont="1" applyAlignment="1">
      <alignment horizontal="center"/>
    </xf>
    <xf numFmtId="0" fontId="112" fillId="7" borderId="0" xfId="7" applyFont="1" applyFill="1" applyAlignment="1">
      <alignment horizontal="center" vertical="top" wrapText="1"/>
    </xf>
    <xf numFmtId="1" fontId="18" fillId="0" borderId="0" xfId="10" applyFont="1" applyAlignment="1" applyProtection="1">
      <alignment horizontal="left" vertical="top" wrapText="1"/>
      <protection locked="0"/>
    </xf>
    <xf numFmtId="0" fontId="0" fillId="0" borderId="0" xfId="0" applyAlignment="1">
      <alignment vertical="top" wrapText="1"/>
    </xf>
  </cellXfs>
  <cellStyles count="17404">
    <cellStyle name="20% - Accent1 2" xfId="22" xr:uid="{6399DE74-D063-415D-868E-6E55D65A2559}"/>
    <cellStyle name="20% - Accent2 2" xfId="23" xr:uid="{2B45C5A1-F2FD-433C-863A-701AE3B7A0BB}"/>
    <cellStyle name="20% - Accent3 2" xfId="24" xr:uid="{23EA0F19-9A02-4B78-9C1E-2F8178A992F4}"/>
    <cellStyle name="20% - Accent4 2" xfId="25" xr:uid="{1C088AFC-F1F5-4E22-A5D4-811E1E6FEE5B}"/>
    <cellStyle name="20% - Accent5 2" xfId="26" xr:uid="{69A63987-A748-4D8E-AA25-F239BEE37BF0}"/>
    <cellStyle name="20% - Accent6 2" xfId="27" xr:uid="{AD9AFF0F-8D27-419B-9F63-9E0AD6B8B659}"/>
    <cellStyle name="20% - 强调文字颜色 1 2" xfId="28" xr:uid="{28CE5052-845B-4D49-8978-97F3668A53DC}"/>
    <cellStyle name="40% - Accent1 2" xfId="29" xr:uid="{254B5D0C-0568-429C-8ED4-C3AFAE36E818}"/>
    <cellStyle name="40% - Accent2 2" xfId="30" xr:uid="{32E0E312-2949-4949-BA5A-ED170A5913C8}"/>
    <cellStyle name="40% - Accent3 2" xfId="31" xr:uid="{9876AAD0-BA54-488F-B78A-9D874A864E4C}"/>
    <cellStyle name="40% - Accent4 2" xfId="32" xr:uid="{E5D5AD20-1D24-4644-82E2-D09D3E3A4AD5}"/>
    <cellStyle name="40% - Accent5 2" xfId="33" xr:uid="{758548C7-351F-43EC-BDF9-A5E2AFB6A461}"/>
    <cellStyle name="40% - Accent6 2" xfId="34" xr:uid="{50104414-8A44-4E60-BFBE-1F08693AE5A8}"/>
    <cellStyle name="60% - Accent1 2" xfId="35" xr:uid="{E156D5EF-8262-4539-B798-7FDD55634FE9}"/>
    <cellStyle name="60% - Accent2 2" xfId="36" xr:uid="{9E67F533-988B-4CCF-AF56-A27E43F016AA}"/>
    <cellStyle name="60% - Accent3 2" xfId="37" xr:uid="{C18E59E8-9DD4-42B1-9C08-FCF26575175A}"/>
    <cellStyle name="60% - Accent4 2" xfId="38" xr:uid="{34BB0740-6199-484B-8112-BAFA05D4DF29}"/>
    <cellStyle name="60% - Accent5 2" xfId="39" xr:uid="{D7ADF924-43A7-47BA-9606-32951901B836}"/>
    <cellStyle name="60% - Accent6 2" xfId="40" xr:uid="{B46CB968-31DB-4434-BDC2-03EBBAFC5064}"/>
    <cellStyle name="Accent1 2" xfId="41" xr:uid="{DD709B1D-3F7F-4288-A4A5-199CF2398BF5}"/>
    <cellStyle name="Accent2 2" xfId="42" xr:uid="{603031AE-A773-41FF-B98B-2C4F820BD20B}"/>
    <cellStyle name="Accent3 2" xfId="43" xr:uid="{A73410A4-FD9A-4BA7-BD03-CD84A6746D7C}"/>
    <cellStyle name="Accent4 2" xfId="44" xr:uid="{D9A146EE-540D-4F98-9A8B-25B3CD5E3E44}"/>
    <cellStyle name="Accent5 2" xfId="45" xr:uid="{6D71D06D-5920-4860-9708-626962D354FA}"/>
    <cellStyle name="Accent6 2" xfId="46" xr:uid="{A8F0ACB5-7F57-42B6-992E-F17F16841596}"/>
    <cellStyle name="Bad 2" xfId="47" xr:uid="{023C588C-8C3F-470B-8240-48EA265D696D}"/>
    <cellStyle name="Bad 3" xfId="8938" xr:uid="{9ED6740D-CB06-47BF-AA77-90E616AE102A}"/>
    <cellStyle name="Calculation 2" xfId="48" xr:uid="{D2FF0976-3D1B-4056-AD54-7A4188845B01}"/>
    <cellStyle name="Calculation 2 2" xfId="8939" xr:uid="{44C22D77-B498-4522-9395-DC5167A66662}"/>
    <cellStyle name="Calculation 2 2 2" xfId="8979" xr:uid="{9D94E9C5-5849-467A-AC87-67A446CCA8EE}"/>
    <cellStyle name="Calculation 2 2 3" xfId="8968" xr:uid="{B1D69850-26FE-45B5-8532-0B06DA4B61CB}"/>
    <cellStyle name="Calculation 2 2 4" xfId="17387" xr:uid="{02586DD3-44BA-464D-A31C-4E6C326CFABC}"/>
    <cellStyle name="Calculation 2 3" xfId="8940" xr:uid="{6917C63A-419D-43FC-A420-AF9177BAF0E6}"/>
    <cellStyle name="Calculation 2 3 2" xfId="8980" xr:uid="{36C559FD-D0C3-4988-B820-4EB3D8C4AFBB}"/>
    <cellStyle name="Calculation 2 3 3" xfId="8967" xr:uid="{BDCF817A-0744-4C62-9170-565E60F6D187}"/>
    <cellStyle name="Calculation 2 3 4" xfId="17388" xr:uid="{1069E8E5-3620-42AA-8470-7C3088373715}"/>
    <cellStyle name="Calculation 2 4" xfId="8970" xr:uid="{763CF035-D6BD-467C-AA5C-3263B7A43D91}"/>
    <cellStyle name="Calculation 2 5" xfId="8975" xr:uid="{D2A871DC-03F0-4EE3-B309-22B945CD6EA3}"/>
    <cellStyle name="Calculation 2 6" xfId="8996" xr:uid="{E8612959-5349-4CCE-ACF4-E354DCD2BCD3}"/>
    <cellStyle name="Check Cell 2" xfId="49" xr:uid="{B9DBA2BC-EBF9-459B-AAB0-B7AEC67ED610}"/>
    <cellStyle name="Comma" xfId="1" builtinId="3"/>
    <cellStyle name="Comma 2" xfId="50" xr:uid="{A969FF77-8B89-480C-8688-3FA41DE4568A}"/>
    <cellStyle name="Comma 2 2" xfId="51" xr:uid="{6A27E160-00CC-4C9F-918A-85647AB596DF}"/>
    <cellStyle name="Comma 2 2 2" xfId="52" xr:uid="{E5EF51EA-BBE5-4A4F-932D-B4A06FFBB13B}"/>
    <cellStyle name="Comma 2 2 2 2" xfId="53" xr:uid="{124D7A6E-F310-4102-B621-89B2B526A2E7}"/>
    <cellStyle name="Comma 2 2 2 2 2" xfId="8999" xr:uid="{0BF27297-0891-42DA-98DC-76C0C140AAD6}"/>
    <cellStyle name="Comma 2 2 2 3" xfId="54" xr:uid="{65C67540-F09E-4999-BBC2-AC02DB16A05C}"/>
    <cellStyle name="Comma 2 2 2 3 2" xfId="9000" xr:uid="{A2C02EC8-8382-48E7-90FA-D940DDEFBF27}"/>
    <cellStyle name="Comma 2 2 2 4" xfId="55" xr:uid="{B0722D11-6D95-41AF-8A19-6562D43B093C}"/>
    <cellStyle name="Comma 2 2 2 5" xfId="56" xr:uid="{645D39D7-8803-45BD-AC2A-ABE74F849750}"/>
    <cellStyle name="Comma 2 2 2 5 2" xfId="9001" xr:uid="{BC3058BF-6402-4CDD-AB80-9971676B5BFD}"/>
    <cellStyle name="Comma 2 2 2 6" xfId="57" xr:uid="{2A6FBBFA-EE35-4E9C-A6DF-C60496E10278}"/>
    <cellStyle name="Comma 2 2 2 7" xfId="8998" xr:uid="{244E1653-66E1-4648-90B2-08010DD2C0EF}"/>
    <cellStyle name="Comma 2 2 3" xfId="58" xr:uid="{1E049E96-4534-4B2A-A89B-8FA780CEE32B}"/>
    <cellStyle name="Comma 2 2 3 2" xfId="59" xr:uid="{E61B394A-EF3E-4A0C-B892-79A2942B36EE}"/>
    <cellStyle name="Comma 2 2 3 2 2" xfId="9003" xr:uid="{94A5611E-5900-45E4-A1BE-823C29361651}"/>
    <cellStyle name="Comma 2 2 3 3" xfId="60" xr:uid="{497C043D-0CD9-4AB7-B563-2BDC281A90C8}"/>
    <cellStyle name="Comma 2 2 3 3 2" xfId="9004" xr:uid="{AE329C0F-F772-433D-A623-83F9D0CE1FCF}"/>
    <cellStyle name="Comma 2 2 3 4" xfId="61" xr:uid="{AFC94CB3-5569-4108-8C59-B154E20E2C61}"/>
    <cellStyle name="Comma 2 2 3 5" xfId="62" xr:uid="{FC6F20C1-249C-430A-8E3B-60A960CF144C}"/>
    <cellStyle name="Comma 2 2 3 5 2" xfId="9005" xr:uid="{2B8961D9-645D-4B7C-A0BC-60A53B2D1F17}"/>
    <cellStyle name="Comma 2 2 3 6" xfId="63" xr:uid="{3642B5A2-88BE-45F1-8D42-2AFC684A6A17}"/>
    <cellStyle name="Comma 2 2 3 7" xfId="9002" xr:uid="{E652FD1D-33F0-47FA-8C10-BBD1460C0BDA}"/>
    <cellStyle name="Comma 2 2 4" xfId="64" xr:uid="{4A1DA9EE-AC77-4049-8372-67E1D5D2E50B}"/>
    <cellStyle name="Comma 2 2 4 2" xfId="65" xr:uid="{49F4B3B0-DE57-48F3-84B4-77747437D187}"/>
    <cellStyle name="Comma 2 2 4 3" xfId="66" xr:uid="{B309F23B-A7DF-494A-BFF5-A2B856C5E05D}"/>
    <cellStyle name="Comma 2 2 4 4" xfId="67" xr:uid="{CE365BC0-E7CF-49DA-9708-4FAF3AB950A2}"/>
    <cellStyle name="Comma 2 2 4 4 2" xfId="9006" xr:uid="{A2666909-9FDD-4D76-82EA-BB048D596597}"/>
    <cellStyle name="Comma 2 2 4 5" xfId="68" xr:uid="{28F9F850-D0EF-4085-A81F-B769D0BB0AF9}"/>
    <cellStyle name="Comma 2 2 5" xfId="69" xr:uid="{CAE3294E-185C-4841-A755-1A8F265301A6}"/>
    <cellStyle name="Comma 2 2 5 2" xfId="9007" xr:uid="{D0E0B73B-2152-4347-89AC-D1A2EF126159}"/>
    <cellStyle name="Comma 2 2 6" xfId="70" xr:uid="{925E34B4-4FBF-403D-B87E-11E4B83F76E2}"/>
    <cellStyle name="Comma 2 2 6 2" xfId="9008" xr:uid="{07941FE2-B9FA-413A-B2F1-CCC9A42FCAD8}"/>
    <cellStyle name="Comma 2 2 7" xfId="71" xr:uid="{6AE18A5A-FA36-4475-BCF8-53C19F1E167C}"/>
    <cellStyle name="Comma 2 2 8" xfId="8997" xr:uid="{C83DCAF5-E94C-413B-9381-48D471BBEE57}"/>
    <cellStyle name="Comma 2 3" xfId="72" xr:uid="{C105EB17-0D22-44D4-A4F5-098C6AAB2878}"/>
    <cellStyle name="Comma 2 3 2" xfId="73" xr:uid="{60BCE7A1-134E-4A5F-A068-0DB30C7BBBF1}"/>
    <cellStyle name="Comma 2 3 2 2" xfId="9010" xr:uid="{944A29B5-D46B-48E8-993E-13AFCFD6E09D}"/>
    <cellStyle name="Comma 2 3 3" xfId="74" xr:uid="{BA877025-61B1-4534-8B9A-31FF703712D1}"/>
    <cellStyle name="Comma 2 3 4" xfId="9009" xr:uid="{BF3B51D9-5428-4A89-A3F7-399F621ACCBD}"/>
    <cellStyle name="Comma 2 32" xfId="75" xr:uid="{DA1F0B84-908E-4A75-A9F0-2B923F10B4C1}"/>
    <cellStyle name="Comma 2 32 2" xfId="76" xr:uid="{B1ED8AEC-DFCF-4CF0-BC9E-48F0C5BC3021}"/>
    <cellStyle name="Comma 2 32 2 2" xfId="9012" xr:uid="{AAB9A8BF-DC4D-429F-A047-C47A6BC3EA3B}"/>
    <cellStyle name="Comma 2 32 3" xfId="9011" xr:uid="{0528B958-BB47-4EE3-89FF-F33CA81CECDA}"/>
    <cellStyle name="Comma 2 4" xfId="77" xr:uid="{8C153A6C-32E4-4B6F-A111-1F941DA454AE}"/>
    <cellStyle name="Comma 2 4 2" xfId="9013" xr:uid="{E5F5B279-CA01-4FEA-800E-CCD9669005C7}"/>
    <cellStyle name="Comma 3" xfId="78" xr:uid="{65548CB3-5113-4FA1-87BD-FFF4BECBF998}"/>
    <cellStyle name="Comma 3 2" xfId="79" xr:uid="{E44D86B9-6F5B-4D32-860F-16953923BB6A}"/>
    <cellStyle name="Comma 3 2 2" xfId="80" xr:uid="{3C08A94E-24B1-40C8-A760-9E892A6BF34F}"/>
    <cellStyle name="Comma 3 2 2 2" xfId="9016" xr:uid="{AB013999-01C9-40B1-8D00-1899F1C18DEF}"/>
    <cellStyle name="Comma 3 2 3" xfId="81" xr:uid="{A37EE727-1CD9-4822-B201-13F1F28F4546}"/>
    <cellStyle name="Comma 3 2 3 2" xfId="9017" xr:uid="{451A4C06-2107-4058-A0C1-5D3ABFD48AF2}"/>
    <cellStyle name="Comma 3 2 4" xfId="9015" xr:uid="{3B81BE36-3B79-48FC-989E-9721575BF545}"/>
    <cellStyle name="Comma 3 3" xfId="82" xr:uid="{4B8E72FC-A4E9-4C4F-97D1-C5F0D4C2F254}"/>
    <cellStyle name="Comma 3 3 2" xfId="83" xr:uid="{0A81D1B5-8682-45C8-A728-0A1E982CDBD2}"/>
    <cellStyle name="Comma 3 3 2 2" xfId="9019" xr:uid="{1901FB24-65D4-45BD-BC2F-0CD561007C41}"/>
    <cellStyle name="Comma 3 3 3" xfId="84" xr:uid="{D6C9FC33-8BDC-4C7E-955F-CE446F98225A}"/>
    <cellStyle name="Comma 3 3 3 2" xfId="9020" xr:uid="{083CD8F3-5648-4C0D-986D-6291A9E809BB}"/>
    <cellStyle name="Comma 3 3 4" xfId="9018" xr:uid="{BC8A7D6C-A20F-430E-BDD5-68F897926B19}"/>
    <cellStyle name="Comma 3 4" xfId="85" xr:uid="{D4A4552A-A766-4647-A03D-9DC7A57CE1B4}"/>
    <cellStyle name="Comma 3 4 2" xfId="9021" xr:uid="{90E05784-311E-41EA-B3F6-1A6A617E675E}"/>
    <cellStyle name="Comma 3 5" xfId="86" xr:uid="{3E57C508-94CD-45EA-8269-084606488A0E}"/>
    <cellStyle name="Comma 3 6" xfId="9014" xr:uid="{9C698F18-36BA-496D-A40B-E441DA587F05}"/>
    <cellStyle name="Comma 4" xfId="87" xr:uid="{76296B42-92FE-4FBA-A499-5C87A47E4076}"/>
    <cellStyle name="Comma 4 2" xfId="88" xr:uid="{957485A6-5421-4EFB-8740-571995C96A04}"/>
    <cellStyle name="Comma 4 2 2" xfId="89" xr:uid="{365DA699-17FF-4419-B100-9C3B8BB6F14C}"/>
    <cellStyle name="Comma 4 2 2 2" xfId="9024" xr:uid="{BFBA388C-352D-4332-8EE4-F813365845CF}"/>
    <cellStyle name="Comma 4 2 3" xfId="90" xr:uid="{6CD85FE7-024C-4065-A2C3-443E883F598B}"/>
    <cellStyle name="Comma 4 2 3 2" xfId="9025" xr:uid="{97A51BD1-5151-4271-B81E-97386D6F1AEC}"/>
    <cellStyle name="Comma 4 2 4" xfId="9023" xr:uid="{2ACF3C93-C0EF-4836-8023-B4BA347E16F7}"/>
    <cellStyle name="Comma 4 3" xfId="91" xr:uid="{882FAF20-7220-426F-9A76-A87243AB6660}"/>
    <cellStyle name="Comma 4 3 2" xfId="92" xr:uid="{A10B77E5-4F6A-438A-98B4-CDC5F91058B6}"/>
    <cellStyle name="Comma 4 3 2 2" xfId="9027" xr:uid="{F4C56574-8660-475B-96CE-461E2D463ED5}"/>
    <cellStyle name="Comma 4 3 3" xfId="93" xr:uid="{6CEB6743-3369-4D97-BBD2-144703510CF4}"/>
    <cellStyle name="Comma 4 3 3 2" xfId="9028" xr:uid="{27AF9504-FBD0-40BD-8C69-8FD941441F0C}"/>
    <cellStyle name="Comma 4 3 4" xfId="9026" xr:uid="{D5934B55-C3C8-4E59-8538-DEDD35BEC2C1}"/>
    <cellStyle name="Comma 4 4" xfId="94" xr:uid="{D17A7665-49ED-46FF-81E6-4B29588554DE}"/>
    <cellStyle name="Comma 4 4 2" xfId="9029" xr:uid="{B1977547-ED1B-483B-979E-9DD17E1549BE}"/>
    <cellStyle name="Comma 4 5" xfId="95" xr:uid="{76C16F6E-8D7A-4DB8-9243-5AEA109EDCCA}"/>
    <cellStyle name="Comma 4 5 2" xfId="9030" xr:uid="{735482D1-E124-4153-95BD-0443CC374DE8}"/>
    <cellStyle name="Comma 4 6" xfId="9022" xr:uid="{EC33B60F-83C0-40F8-8CD8-2B991DCF86B5}"/>
    <cellStyle name="Comma 5" xfId="96" xr:uid="{316493F1-EA0D-4129-9903-4B927FC83D8A}"/>
    <cellStyle name="Comma 5 2" xfId="97" xr:uid="{B69ED6C1-BDC6-4467-8C8D-4028D3984AF8}"/>
    <cellStyle name="Comma 5 2 2" xfId="9032" xr:uid="{577D35F6-DA58-47E0-938E-B8F13406328B}"/>
    <cellStyle name="Comma 5 3" xfId="98" xr:uid="{CB64DFBE-4D11-45A2-B8FB-00E7B937D111}"/>
    <cellStyle name="Comma 5 3 2" xfId="9033" xr:uid="{F4481C2E-BB22-4F80-817F-2E89D2D58264}"/>
    <cellStyle name="Comma 5 4" xfId="9031" xr:uid="{0C7D1234-8650-4399-9431-5F24423A5084}"/>
    <cellStyle name="Comma 6" xfId="99" xr:uid="{0A5B736B-3ABF-41D8-BE21-FF96E26595C1}"/>
    <cellStyle name="Comma 6 2" xfId="9034" xr:uid="{2029B94A-0D82-4933-964D-742E8E645760}"/>
    <cellStyle name="Comma 7" xfId="100" xr:uid="{524C5331-40E2-47AA-B601-7C727E65052A}"/>
    <cellStyle name="Comma 7 2" xfId="9035" xr:uid="{9DAD44B6-7E5C-40FA-9DF7-3D88464CB749}"/>
    <cellStyle name="Comma 8" xfId="101" xr:uid="{3E5EDB15-C481-4175-BAAA-B9C36617B440}"/>
    <cellStyle name="Currency 2" xfId="16" xr:uid="{F9670E1E-DF58-4BBC-AEFD-81D36C9B5C42}"/>
    <cellStyle name="Currency 2 10" xfId="102" xr:uid="{B011696E-A913-478D-8790-D10CD404ED04}"/>
    <cellStyle name="Currency 2 11" xfId="9036" xr:uid="{742AFBAB-43B9-411C-BB6B-14F85086F2F4}"/>
    <cellStyle name="Currency 2 2" xfId="18" xr:uid="{5121547C-EFF2-429D-9D0A-D670A6887C57}"/>
    <cellStyle name="Currency 2 2 2" xfId="104" xr:uid="{F57C5BDC-23C9-46E6-A27D-B5474B395FAA}"/>
    <cellStyle name="Currency 2 2 3" xfId="105" xr:uid="{5B0976FA-CD86-402C-8074-E1D51DF1827D}"/>
    <cellStyle name="Currency 2 2 4" xfId="106" xr:uid="{88B4457C-B1FC-4222-A515-52A0916DD827}"/>
    <cellStyle name="Currency 2 2 5" xfId="107" xr:uid="{4A8E88CF-44E8-437C-88F8-737B85CEAA22}"/>
    <cellStyle name="Currency 2 2 5 2" xfId="9038" xr:uid="{BFC3FF97-272F-4022-88D3-04B45C0283FB}"/>
    <cellStyle name="Currency 2 2 6" xfId="8941" xr:uid="{9607A18F-4554-4188-9678-7CCE49933E79}"/>
    <cellStyle name="Currency 2 2 6 2" xfId="17389" xr:uid="{FF471A3B-E9F7-41F4-AF6B-7828A8A53D38}"/>
    <cellStyle name="Currency 2 2 7" xfId="103" xr:uid="{F87D4E3B-602B-49F1-A4F0-6A3F61205FB4}"/>
    <cellStyle name="Currency 2 2 8" xfId="9037" xr:uid="{ED793BDE-DB98-4086-AC1F-FE31E359A305}"/>
    <cellStyle name="Currency 2 3" xfId="108" xr:uid="{C08BF69F-5FCA-4DB7-B611-0801D5AD30A9}"/>
    <cellStyle name="Currency 2 3 2" xfId="109" xr:uid="{47292E8B-3F2B-4B16-97B4-67D7379A8E49}"/>
    <cellStyle name="Currency 2 3 3" xfId="110" xr:uid="{29140514-A445-49D2-947D-C77194001231}"/>
    <cellStyle name="Currency 2 4" xfId="111" xr:uid="{E2F3DEE8-517B-43F6-B02A-59D01D066B2E}"/>
    <cellStyle name="Currency 2 4 2" xfId="9039" xr:uid="{A173C5E5-C847-4969-8C25-11959844216A}"/>
    <cellStyle name="Currency 2 5" xfId="112" xr:uid="{B58A4ECB-764B-46B8-A8F7-6C6BB69CCFA0}"/>
    <cellStyle name="Currency 2 5 2" xfId="113" xr:uid="{E59FA3FF-5840-497C-BE7F-11280B6419E7}"/>
    <cellStyle name="Currency 2 5 2 2" xfId="114" xr:uid="{98724D3A-336A-4A59-98D2-03F90733E5DF}"/>
    <cellStyle name="Currency 2 6" xfId="115" xr:uid="{6E3A4D6B-4F09-45F6-89AF-C175987245AF}"/>
    <cellStyle name="Currency 2 6 2" xfId="116" xr:uid="{04B31F48-54BA-4642-9829-2961C5930770}"/>
    <cellStyle name="Currency 2 6 3" xfId="117" xr:uid="{4762756E-AC49-4FF1-B1A4-D4DEA640B048}"/>
    <cellStyle name="Currency 2 6 4" xfId="118" xr:uid="{87A3A6EC-8E08-4424-9769-E284490987D7}"/>
    <cellStyle name="Currency 2 6 5" xfId="119" xr:uid="{DD2C0E51-5609-418B-92E2-B4FD35F14593}"/>
    <cellStyle name="Currency 2 6 5 2" xfId="9040" xr:uid="{F55D13D2-E4AF-4C66-8221-607C9A31A906}"/>
    <cellStyle name="Currency 2 7" xfId="120" xr:uid="{9C217A75-8F0D-4154-8F08-9217B22D18E3}"/>
    <cellStyle name="Currency 2 7 2" xfId="9041" xr:uid="{1C1DCA33-181C-4BEC-A2A6-C5C6E23BE4CD}"/>
    <cellStyle name="Currency 2 8" xfId="121" xr:uid="{9CC4B5F5-CE87-466E-A0EB-72D1EA0CD8C4}"/>
    <cellStyle name="Currency 2 9" xfId="122" xr:uid="{FCC6EF08-35B1-483A-B8AD-630BB0F2C938}"/>
    <cellStyle name="Currency 2 9 2" xfId="9042" xr:uid="{B9F6516C-14E5-4EB7-ACC9-4BD6C039D72A}"/>
    <cellStyle name="Currency 3" xfId="123" xr:uid="{8DAE9265-221C-4BB7-A7F3-46268E006CA6}"/>
    <cellStyle name="Currency 4" xfId="124" xr:uid="{6AB584E6-7212-4B0C-9913-EABD03777626}"/>
    <cellStyle name="Currency 4 2" xfId="9043" xr:uid="{08681268-D0C5-4120-8987-96725A91B344}"/>
    <cellStyle name="Currency 5" xfId="8942" xr:uid="{80E0F296-DBE0-4B3C-A6BC-8A0BD60842B6}"/>
    <cellStyle name="Currency 5 2" xfId="17390" xr:uid="{B69972E1-09CB-40C0-895A-976E41BEFA8F}"/>
    <cellStyle name="Currency_Estimate" xfId="2" xr:uid="{00000000-0005-0000-0000-000001000000}"/>
    <cellStyle name="Excel Built-in Normal" xfId="125" xr:uid="{94EEF0E1-8B19-43EE-8DA3-E78E4B2C18E3}"/>
    <cellStyle name="Explanatory Text 2" xfId="126" xr:uid="{825D6579-C943-4F2F-A6BA-3A97F9FE78DD}"/>
    <cellStyle name="Good 2" xfId="127" xr:uid="{33C65C6C-BF13-4682-A94B-E37DD0895809}"/>
    <cellStyle name="Good 3" xfId="8943" xr:uid="{DEDB7AEA-14C1-45BD-AE2B-C6F8F95F24CE}"/>
    <cellStyle name="Heading 1 2" xfId="128" xr:uid="{DC0292D0-CAF7-4237-A6B4-F468176071F7}"/>
    <cellStyle name="Heading 2 2" xfId="129" xr:uid="{4504DC35-43CE-4A54-ACDF-927985CFAA14}"/>
    <cellStyle name="Heading 3 2" xfId="130" xr:uid="{C06B2BCD-C6F2-4F9C-9EBF-D8ED76398E83}"/>
    <cellStyle name="Heading 4 2" xfId="131" xr:uid="{4EE8602B-E153-4E4D-9793-8F882330D396}"/>
    <cellStyle name="Hyperlink 2" xfId="132" xr:uid="{862A378F-BA55-4BB9-B21C-3AC1801DC21F}"/>
    <cellStyle name="Hyperlink 2 2" xfId="133" xr:uid="{3A8FA349-E09A-43DA-A305-BFD04FC17A1B}"/>
    <cellStyle name="Hyperlink 2 3" xfId="134" xr:uid="{846AA757-594A-4895-AD24-48F711ED9F5F}"/>
    <cellStyle name="Hyperlink 2 4" xfId="8944" xr:uid="{9D5FFA1E-2482-4AE1-9E2F-AB429C0BE82A}"/>
    <cellStyle name="Hyperlink 3" xfId="8945" xr:uid="{130C732B-2330-4AF7-8B3C-A16B5BDBD0BF}"/>
    <cellStyle name="Input 2" xfId="135" xr:uid="{738A0386-AD68-4E2B-A9D1-D987A7F7A4CA}"/>
    <cellStyle name="Input 2 2" xfId="8946" xr:uid="{574DE00E-FDCD-44B7-9484-F02DE9197D9C}"/>
    <cellStyle name="Input 2 2 2" xfId="8981" xr:uid="{95A91D27-0334-4D91-8C88-FAABB70980C9}"/>
    <cellStyle name="Input 2 2 3" xfId="8966" xr:uid="{315192FE-C7AC-4BEC-82E2-197940CC63CD}"/>
    <cellStyle name="Input 2 2 4" xfId="17391" xr:uid="{ED70DA4F-9B2D-4033-9247-877AB69B0234}"/>
    <cellStyle name="Input 2 3" xfId="8947" xr:uid="{5FC87779-7E51-41B0-B1A5-F37940D7C26A}"/>
    <cellStyle name="Input 2 3 2" xfId="8982" xr:uid="{624720BA-986A-46E4-873B-6B3074CA368E}"/>
    <cellStyle name="Input 2 3 3" xfId="8965" xr:uid="{40B6C50A-2D62-4326-AEEB-83D513CA2C03}"/>
    <cellStyle name="Input 2 3 4" xfId="17392" xr:uid="{8B01F537-2DB3-41D8-BA45-6919623FADF6}"/>
    <cellStyle name="Input 2 4" xfId="8973" xr:uid="{C1C23A88-946C-459F-B8AF-7E6EC198A23B}"/>
    <cellStyle name="Input 2 5" xfId="8974" xr:uid="{E9C26F42-667A-4D0E-AC2F-637E05716133}"/>
    <cellStyle name="Input 2 6" xfId="9044" xr:uid="{972413DC-9A87-4F42-AAC0-11F6D45585E9}"/>
    <cellStyle name="Linked Cell 2" xfId="136" xr:uid="{9FF015C0-3E73-423F-AB01-EEA54ED7C02C}"/>
    <cellStyle name="meny_BBITVR96" xfId="137" xr:uid="{257034EA-618C-44D7-AC08-A0F0554BB9EC}"/>
    <cellStyle name="Neutral 2" xfId="138" xr:uid="{9835A7E7-AF5B-47F3-8D00-C4C44AD4106A}"/>
    <cellStyle name="Neutral 3" xfId="8948" xr:uid="{DAF97790-A805-4D96-9686-1F00282C2B27}"/>
    <cellStyle name="Normal" xfId="0" builtinId="0"/>
    <cellStyle name="Normal 10" xfId="139" xr:uid="{37177DA5-F937-47DE-84D8-08BA216C796C}"/>
    <cellStyle name="Normal 10 2" xfId="140" xr:uid="{36051B8A-A92C-4D60-9263-9CC4CAAA6A5A}"/>
    <cellStyle name="Normal 10 2 2" xfId="8949" xr:uid="{CBC04057-7766-4D5B-8F7B-CEFD8565B19D}"/>
    <cellStyle name="Normal 10 2 2 2" xfId="17393" xr:uid="{BAFE6FDA-E9A6-4F44-ACB2-E94D5191A072}"/>
    <cellStyle name="Normal 10 3" xfId="141" xr:uid="{18656A95-2824-4FDC-B22C-CE7E611DD765}"/>
    <cellStyle name="Normal 10 3 2" xfId="142" xr:uid="{0B533121-F304-4866-971E-DDA6EAA79C6E}"/>
    <cellStyle name="Normal 10 3 2 2" xfId="9045" xr:uid="{393652B2-AFE0-40B3-B6D0-54E85037FA0A}"/>
    <cellStyle name="Normal 10 3 3" xfId="143" xr:uid="{D9E7C674-1A55-4070-B29D-918F0D4D4040}"/>
    <cellStyle name="Normal 10 3 4" xfId="144" xr:uid="{9B690127-7176-45D1-BAB1-C4EF07090CDC}"/>
    <cellStyle name="Normal 10 3 4 2" xfId="9046" xr:uid="{86E4855B-388B-40DD-AF3C-FC88A50A0FD4}"/>
    <cellStyle name="Normal 10 4" xfId="145" xr:uid="{796CC8ED-F649-4530-9FD7-5FA12EFCF788}"/>
    <cellStyle name="Normal 10 5" xfId="146" xr:uid="{1717AD29-51DB-4A98-84A7-B71DA08FB52F}"/>
    <cellStyle name="Normal 11" xfId="147" xr:uid="{77228983-EBDB-46D6-8225-C9542105E9F8}"/>
    <cellStyle name="Normal 11 2" xfId="148" xr:uid="{1C6AA957-78BE-4AA3-AABB-94EAF9AB4584}"/>
    <cellStyle name="Normal 11 2 2" xfId="149" xr:uid="{39EC8832-CB87-41B8-AC32-020A4D7D6C23}"/>
    <cellStyle name="Normal 11 2 3" xfId="150" xr:uid="{3AEDC49E-DE5C-4382-82AE-D0B36689D538}"/>
    <cellStyle name="Normal 11 2 4" xfId="151" xr:uid="{7CC52310-44CF-4ED8-BF2D-C5BFBC79B3E2}"/>
    <cellStyle name="Normal 11 3" xfId="152" xr:uid="{4D39347C-9CF9-4AC3-A07E-FF375B5387AA}"/>
    <cellStyle name="Normal 11 4" xfId="153" xr:uid="{1561F632-7E80-4843-BD0A-088A4315996C}"/>
    <cellStyle name="Normal 11 5" xfId="154" xr:uid="{96D44123-D875-4648-BAB2-8C6BE218C921}"/>
    <cellStyle name="Normal 11 6" xfId="155" xr:uid="{0F336821-7768-40C3-83C5-8517388EA4B4}"/>
    <cellStyle name="Normal 116" xfId="156" xr:uid="{73917880-DE0B-4ED4-88CB-8C70F787157C}"/>
    <cellStyle name="Normal 12" xfId="157" xr:uid="{6EB86375-97F1-4E52-9E58-8806BF17975F}"/>
    <cellStyle name="Normal 12 2" xfId="158" xr:uid="{EB8AE814-6A1A-47A8-A120-8F6C2EE900C8}"/>
    <cellStyle name="Normal 12 3" xfId="159" xr:uid="{7DF2CF6E-8514-41A4-B3C0-8BD4D7AD72A3}"/>
    <cellStyle name="Normal 12 4" xfId="160" xr:uid="{E68C2096-5E98-42C5-840A-A12B5854CAD5}"/>
    <cellStyle name="Normal 12 5" xfId="161" xr:uid="{963E1E34-F965-4A8E-B89C-C130DD19719B}"/>
    <cellStyle name="Normal 12 6" xfId="162" xr:uid="{8632A69F-AC65-4E74-BB33-BA747FD8D9E8}"/>
    <cellStyle name="Normal 12 6 2" xfId="9047" xr:uid="{118D5F2F-9F26-4EC1-86D8-FDD49BE24E06}"/>
    <cellStyle name="Normal 123" xfId="163" xr:uid="{4372E630-FBD9-43C5-B539-FDF06C8B2190}"/>
    <cellStyle name="Normal 123 2" xfId="164" xr:uid="{64457BF4-D4FB-4281-87D7-EA4E344DBB8B}"/>
    <cellStyle name="Normal 123 3" xfId="165" xr:uid="{DA3CC7F2-6B28-4B20-BEFC-A4B07D7CEA05}"/>
    <cellStyle name="Normal 123 4" xfId="166" xr:uid="{B178E9F1-744A-4BBD-AEAB-AEFD398C03F4}"/>
    <cellStyle name="Normal 13" xfId="167" xr:uid="{D7FAE941-45DC-485A-A67C-5609C7AC633C}"/>
    <cellStyle name="Normal 13 2" xfId="168" xr:uid="{9B76D12E-A985-4B17-8D9E-57A5C5AA1E6E}"/>
    <cellStyle name="Normal 13 3" xfId="169" xr:uid="{90D64DE7-2FB5-4F53-97E3-C1B14EDD709C}"/>
    <cellStyle name="Normal 13 4" xfId="170" xr:uid="{D504C4DB-3DA2-43CA-8999-D48C872E402F}"/>
    <cellStyle name="Normal 13 5" xfId="171" xr:uid="{F4AB9A08-79BD-48C5-A990-29E3596B2046}"/>
    <cellStyle name="Normal 13 6" xfId="172" xr:uid="{81BD843F-BE3A-40AA-8813-8AB38D545642}"/>
    <cellStyle name="Normal 13 6 2" xfId="9048" xr:uid="{1D37C848-FEF3-40B6-89A9-FCC1159EE854}"/>
    <cellStyle name="Normal 14" xfId="173" xr:uid="{2F1832F8-D4BD-4471-88FD-19C72E28686A}"/>
    <cellStyle name="Normal 14 2" xfId="174" xr:uid="{DCB205D3-CFC8-4216-814C-1F50DB9F301E}"/>
    <cellStyle name="Normal 14 3" xfId="175" xr:uid="{558F03CB-E3F5-45A3-B35B-51382FDE7B27}"/>
    <cellStyle name="Normal 14 4" xfId="176" xr:uid="{1BF12D5D-22C2-4E72-A1BB-3C65C5F32DA1}"/>
    <cellStyle name="Normal 14 4 2" xfId="9050" xr:uid="{7A55D9E2-B351-4A11-8A9F-F213F60FE030}"/>
    <cellStyle name="Normal 14 5" xfId="177" xr:uid="{9E9103C2-027C-4FD0-BAEE-25648958E5C3}"/>
    <cellStyle name="Normal 14 6" xfId="9049" xr:uid="{C038FA00-6EA9-4C24-90BB-DE502C48F683}"/>
    <cellStyle name="Normal 15" xfId="178" xr:uid="{536DB9D1-345E-4587-9CB6-84F03FD7B568}"/>
    <cellStyle name="Normal 15 2" xfId="179" xr:uid="{A53EA5BA-3540-4B2D-B4D3-444765C362BB}"/>
    <cellStyle name="Normal 15 3" xfId="180" xr:uid="{8D2A6B3D-8578-475E-8405-9FE8EC133B00}"/>
    <cellStyle name="Normal 16" xfId="181" xr:uid="{6C9C4B44-8723-40BA-B0CD-205CF5F3E9A9}"/>
    <cellStyle name="Normal 16 2" xfId="182" xr:uid="{6140FDDA-D98F-4258-990A-272675CEBCF7}"/>
    <cellStyle name="Normal 16 2 2" xfId="183" xr:uid="{21DA1803-A4E6-4522-B92C-FA88A315A4D7}"/>
    <cellStyle name="Normal 17" xfId="184" xr:uid="{1DB18EB6-60FC-4BFB-B62A-36636D40240A}"/>
    <cellStyle name="Normal 17 2" xfId="185" xr:uid="{F093FA6A-5BA9-45C5-8294-096C9A6C5C86}"/>
    <cellStyle name="Normal 17 3" xfId="8950" xr:uid="{90DC0409-BBFC-4518-8AC6-5117C05592A6}"/>
    <cellStyle name="Normal 177" xfId="186" xr:uid="{7CC43446-1B1D-4246-8DEE-8A57265CD0CF}"/>
    <cellStyle name="Normal 177 2" xfId="187" xr:uid="{722ABB45-A613-4FFB-8D09-48C712B45325}"/>
    <cellStyle name="Normal 177 3" xfId="188" xr:uid="{21782E19-43D9-44BA-9054-6838CE4BB2B4}"/>
    <cellStyle name="Normal 177 4" xfId="189" xr:uid="{87DCA245-2D08-4872-AF78-6D1FCFBE6040}"/>
    <cellStyle name="Normal 18" xfId="190" xr:uid="{B0D23237-137F-4D4A-9461-BF6C5AF8E601}"/>
    <cellStyle name="Normal 18 2" xfId="8951" xr:uid="{BC75EB67-ABEA-4B4F-91F5-A817D83819DE}"/>
    <cellStyle name="Normal 19" xfId="191" xr:uid="{F1D90CBD-611E-470C-810D-05B43BBD222F}"/>
    <cellStyle name="Normal 2" xfId="9" xr:uid="{00000000-0005-0000-0000-000003000000}"/>
    <cellStyle name="Normal 2 10" xfId="192" xr:uid="{FB65F633-C10E-43A8-A7BC-ABEED9A7B05F}"/>
    <cellStyle name="Normal 2 10 10" xfId="193" xr:uid="{60197E24-8503-441B-BA67-F5AAE1756768}"/>
    <cellStyle name="Normal 2 10 10 2" xfId="194" xr:uid="{0747CD91-44C5-4303-855B-7F44CF79D3BB}"/>
    <cellStyle name="Normal 2 10 10 2 2" xfId="195" xr:uid="{B77DD736-ED89-4607-8EED-1FC405573220}"/>
    <cellStyle name="Normal 2 10 10 2 2 2" xfId="9054" xr:uid="{9AFA9554-8FE1-477E-8E77-680269F83CF0}"/>
    <cellStyle name="Normal 2 10 10 2 3" xfId="196" xr:uid="{60BBFAF5-BB08-45F7-899D-73E66FCB1303}"/>
    <cellStyle name="Normal 2 10 10 2 3 2" xfId="9055" xr:uid="{F1B025EF-0BE0-4C3B-8350-FD2697FEF1A6}"/>
    <cellStyle name="Normal 2 10 10 2 4" xfId="9053" xr:uid="{2BC9FDFF-ACB4-44DD-9A87-974ECF8BDF64}"/>
    <cellStyle name="Normal 2 10 10 3" xfId="197" xr:uid="{8A02115B-0280-4801-8287-04BF4DBF1433}"/>
    <cellStyle name="Normal 2 10 10 3 2" xfId="9056" xr:uid="{F6494C06-895F-466B-ACCC-5FF108337FF0}"/>
    <cellStyle name="Normal 2 10 10 4" xfId="198" xr:uid="{2F3230FC-F81E-4F7D-BADE-533AE078EF71}"/>
    <cellStyle name="Normal 2 10 10 4 2" xfId="9057" xr:uid="{826FDA0C-6A11-48FF-B621-0B83CF637A33}"/>
    <cellStyle name="Normal 2 10 10 5" xfId="9052" xr:uid="{56AF6969-FE0B-410E-B1F5-B8A39CE2AEFA}"/>
    <cellStyle name="Normal 2 10 11" xfId="199" xr:uid="{B9BAF206-461D-4F59-AB36-6F468DBCBAC0}"/>
    <cellStyle name="Normal 2 10 11 2" xfId="200" xr:uid="{E7F9481C-EA0B-41CA-A223-B5959C77B7F3}"/>
    <cellStyle name="Normal 2 10 11 2 2" xfId="201" xr:uid="{B17A1570-8AEA-41B2-BAFE-8FE617E92AFF}"/>
    <cellStyle name="Normal 2 10 11 2 2 2" xfId="9060" xr:uid="{2D95A8E2-1973-4497-B860-1D4065165564}"/>
    <cellStyle name="Normal 2 10 11 2 3" xfId="202" xr:uid="{180A1882-DB9B-4C39-B238-990519861A47}"/>
    <cellStyle name="Normal 2 10 11 2 3 2" xfId="9061" xr:uid="{3D6DF699-D474-41F2-B1FB-ADB01BBAB9F1}"/>
    <cellStyle name="Normal 2 10 11 2 4" xfId="9059" xr:uid="{E58F2DF7-6BC2-4D9E-B86A-0247936E271D}"/>
    <cellStyle name="Normal 2 10 11 3" xfId="203" xr:uid="{A96FC0D7-668E-4917-B3EB-622C361A437D}"/>
    <cellStyle name="Normal 2 10 11 3 2" xfId="9062" xr:uid="{ECB54CBB-348B-445D-83D1-D9BF211880EA}"/>
    <cellStyle name="Normal 2 10 11 4" xfId="204" xr:uid="{AFCE8272-26B3-448E-845C-3C3FFD8A9497}"/>
    <cellStyle name="Normal 2 10 11 4 2" xfId="9063" xr:uid="{A470D354-B28A-4D5B-9EE0-3D22899D6D63}"/>
    <cellStyle name="Normal 2 10 11 5" xfId="9058" xr:uid="{D6525EB5-51CA-4AB0-9430-77B42BB5D8AA}"/>
    <cellStyle name="Normal 2 10 12" xfId="205" xr:uid="{A1BEED63-8448-4190-AAFC-BCC43BBFE95C}"/>
    <cellStyle name="Normal 2 10 12 2" xfId="206" xr:uid="{0DF92D88-0623-4550-BFAD-1DC320068532}"/>
    <cellStyle name="Normal 2 10 12 2 2" xfId="207" xr:uid="{8872E54B-25F5-4E79-85B4-914F03DBF2B2}"/>
    <cellStyle name="Normal 2 10 12 2 2 2" xfId="9066" xr:uid="{FB3BDB53-434C-40BB-B6C1-13E3645FC118}"/>
    <cellStyle name="Normal 2 10 12 2 3" xfId="208" xr:uid="{58075A91-B64E-4367-94A5-0BA9361A14FC}"/>
    <cellStyle name="Normal 2 10 12 2 3 2" xfId="9067" xr:uid="{77A928A7-9EFF-4344-9FD9-BD88EC1101F3}"/>
    <cellStyle name="Normal 2 10 12 2 4" xfId="9065" xr:uid="{6B146DD0-5CA1-42E2-AE54-023E691B9A16}"/>
    <cellStyle name="Normal 2 10 12 3" xfId="209" xr:uid="{2423ECED-5211-46CB-873E-23A3B573970F}"/>
    <cellStyle name="Normal 2 10 12 3 2" xfId="9068" xr:uid="{78DDEFFC-25BB-4CA4-A847-A3BF5CB9FC1A}"/>
    <cellStyle name="Normal 2 10 12 4" xfId="210" xr:uid="{E9193FDB-C11C-4EDD-9072-90DC0A380D0E}"/>
    <cellStyle name="Normal 2 10 12 4 2" xfId="9069" xr:uid="{61891804-E52D-422A-9DEB-CAA8F1B1DA6B}"/>
    <cellStyle name="Normal 2 10 12 5" xfId="9064" xr:uid="{D83C1895-7F97-451D-8DA2-67890966A975}"/>
    <cellStyle name="Normal 2 10 13" xfId="211" xr:uid="{319040AF-38DE-4D68-9D44-B7D66985A226}"/>
    <cellStyle name="Normal 2 10 13 2" xfId="212" xr:uid="{FA416D2A-F56C-4DE9-BFEE-A7F909300693}"/>
    <cellStyle name="Normal 2 10 13 2 2" xfId="213" xr:uid="{43C9489D-84E7-4924-B6BC-E07CA0EE0197}"/>
    <cellStyle name="Normal 2 10 13 2 2 2" xfId="9072" xr:uid="{58389977-2A7D-4FE2-97A9-BFC57B5DFD56}"/>
    <cellStyle name="Normal 2 10 13 2 3" xfId="214" xr:uid="{C5897BA5-87A5-4AA9-B178-1D978C2B809C}"/>
    <cellStyle name="Normal 2 10 13 2 3 2" xfId="9073" xr:uid="{6437D9FE-CC1E-483D-B1B6-519DA7D6E332}"/>
    <cellStyle name="Normal 2 10 13 2 4" xfId="9071" xr:uid="{3D930CD9-1E01-42DD-B5BE-DA3A80ABD811}"/>
    <cellStyle name="Normal 2 10 13 3" xfId="215" xr:uid="{441502CF-1991-4829-B961-1B48B42ECFFD}"/>
    <cellStyle name="Normal 2 10 13 3 2" xfId="9074" xr:uid="{65AA1EC1-60D7-44A8-8C6E-58EE9171D2F1}"/>
    <cellStyle name="Normal 2 10 13 4" xfId="216" xr:uid="{61CA763F-BBEF-4E2E-8BA2-470096038B25}"/>
    <cellStyle name="Normal 2 10 13 4 2" xfId="9075" xr:uid="{E2D89098-87B7-47DF-AFEA-53D9468C35D6}"/>
    <cellStyle name="Normal 2 10 13 5" xfId="9070" xr:uid="{F3D09910-C106-4436-97FE-C9BD3DE0476E}"/>
    <cellStyle name="Normal 2 10 14" xfId="217" xr:uid="{E0E3D18C-D6A7-4013-9C03-A5EFBCE2B627}"/>
    <cellStyle name="Normal 2 10 14 2" xfId="218" xr:uid="{666E9CA5-AF25-409E-996F-3DC21160AB6C}"/>
    <cellStyle name="Normal 2 10 14 2 2" xfId="219" xr:uid="{A56FEC8D-33C0-480A-AF7B-43CEB47518F5}"/>
    <cellStyle name="Normal 2 10 14 2 2 2" xfId="9078" xr:uid="{498BC4DD-3AF8-4847-9CDE-DC3326FA18B9}"/>
    <cellStyle name="Normal 2 10 14 2 3" xfId="220" xr:uid="{1237E660-2E5E-4888-A35D-762B0B0C38D2}"/>
    <cellStyle name="Normal 2 10 14 2 3 2" xfId="9079" xr:uid="{2E2A7AF1-AD71-45D9-8230-33E85AFE74CF}"/>
    <cellStyle name="Normal 2 10 14 2 4" xfId="9077" xr:uid="{99FFA5AF-92B3-41D2-A3E2-A2AD37C72EF0}"/>
    <cellStyle name="Normal 2 10 14 3" xfId="221" xr:uid="{8FF8BF07-8552-454F-8F39-B85D8BAA73BD}"/>
    <cellStyle name="Normal 2 10 14 3 2" xfId="9080" xr:uid="{D5AD2DB6-1C3D-4501-A8D5-74E69D426B01}"/>
    <cellStyle name="Normal 2 10 14 4" xfId="222" xr:uid="{8ED0272E-BFFF-4591-8FC8-7B13DEB1CAE8}"/>
    <cellStyle name="Normal 2 10 14 4 2" xfId="9081" xr:uid="{5AFBE748-0D0C-42D8-8FFF-E3F0F2FAFB24}"/>
    <cellStyle name="Normal 2 10 14 5" xfId="9076" xr:uid="{D4198721-F5D1-451B-82AD-F3D8D43274D6}"/>
    <cellStyle name="Normal 2 10 15" xfId="223" xr:uid="{4D0F141D-C9B5-4D7B-93AA-07BB2B16F06B}"/>
    <cellStyle name="Normal 2 10 15 2" xfId="224" xr:uid="{3D9A3C2E-6230-4B4E-8A7A-960692B7D251}"/>
    <cellStyle name="Normal 2 10 15 2 2" xfId="225" xr:uid="{4CB528B2-A954-4BD8-81FD-914C88A40DAA}"/>
    <cellStyle name="Normal 2 10 15 2 2 2" xfId="9084" xr:uid="{20DB7460-06DA-4CC5-A022-505059C622E0}"/>
    <cellStyle name="Normal 2 10 15 2 3" xfId="226" xr:uid="{982FA23A-6DB0-474F-B487-5120F5470F39}"/>
    <cellStyle name="Normal 2 10 15 2 3 2" xfId="9085" xr:uid="{8EFA94AE-7835-4385-B928-425F09C0E3D1}"/>
    <cellStyle name="Normal 2 10 15 2 4" xfId="9083" xr:uid="{9DC5DCCD-8DB3-4A55-842B-DD735A22D59C}"/>
    <cellStyle name="Normal 2 10 15 3" xfId="227" xr:uid="{1DB704EB-6401-4618-8E18-5C7B1A561813}"/>
    <cellStyle name="Normal 2 10 15 3 2" xfId="9086" xr:uid="{61363C17-85D8-446F-8C02-F32D4CBA85A7}"/>
    <cellStyle name="Normal 2 10 15 4" xfId="228" xr:uid="{C7565F39-4DC6-40A3-BFB7-39FD5D810171}"/>
    <cellStyle name="Normal 2 10 15 4 2" xfId="9087" xr:uid="{D35026F9-FBA8-4F47-B3AC-930863060C39}"/>
    <cellStyle name="Normal 2 10 15 5" xfId="9082" xr:uid="{035D278F-70C9-4106-8DF3-6BB78A79956B}"/>
    <cellStyle name="Normal 2 10 16" xfId="229" xr:uid="{FF056C9F-AB2D-4907-9D59-BA2048274626}"/>
    <cellStyle name="Normal 2 10 16 2" xfId="230" xr:uid="{38EBC878-6A77-4659-A496-5E2D98E72A96}"/>
    <cellStyle name="Normal 2 10 16 2 2" xfId="231" xr:uid="{0432E7F8-C326-4A65-963F-0DEBA9FCDEC5}"/>
    <cellStyle name="Normal 2 10 16 2 2 2" xfId="9090" xr:uid="{7C0FF80A-3340-4C74-92E6-FA4EFD8612B8}"/>
    <cellStyle name="Normal 2 10 16 2 3" xfId="232" xr:uid="{0F62BD6F-81D9-43B6-863B-B7E45F02C1B1}"/>
    <cellStyle name="Normal 2 10 16 2 3 2" xfId="9091" xr:uid="{305E807E-3E4E-46C7-8D29-424DE2DA42F0}"/>
    <cellStyle name="Normal 2 10 16 2 4" xfId="9089" xr:uid="{C24E7DF5-EB4D-468A-B384-119BCE9333AF}"/>
    <cellStyle name="Normal 2 10 16 3" xfId="233" xr:uid="{FB6D1C87-4457-40F4-9709-0EF30BBE1777}"/>
    <cellStyle name="Normal 2 10 16 3 2" xfId="9092" xr:uid="{FE0A40BA-F8DA-4122-8A7B-BF1062AFF6BE}"/>
    <cellStyle name="Normal 2 10 16 4" xfId="234" xr:uid="{C0B2AF14-4CDC-4B32-8817-A1A3E93B5744}"/>
    <cellStyle name="Normal 2 10 16 4 2" xfId="9093" xr:uid="{47768703-09EE-4E1E-AA3F-2B88C77130EB}"/>
    <cellStyle name="Normal 2 10 16 5" xfId="9088" xr:uid="{02B171A0-FBBF-4873-803A-6EDA5274FFFA}"/>
    <cellStyle name="Normal 2 10 17" xfId="235" xr:uid="{01CCBDFC-D95A-4DCF-8DA0-2CE0EC7A5BDB}"/>
    <cellStyle name="Normal 2 10 17 2" xfId="236" xr:uid="{D87D22B1-A20F-46E9-9CE0-B4A92E0BFF38}"/>
    <cellStyle name="Normal 2 10 17 2 2" xfId="237" xr:uid="{E7DFC92A-7DCA-4C78-8CCA-28B3F0F28E72}"/>
    <cellStyle name="Normal 2 10 17 2 2 2" xfId="9096" xr:uid="{6637624E-5DB3-4FAD-984F-0A2E17DA563D}"/>
    <cellStyle name="Normal 2 10 17 2 3" xfId="238" xr:uid="{32218B4B-5EEB-46AC-80BE-2CF3CDAF7455}"/>
    <cellStyle name="Normal 2 10 17 2 3 2" xfId="9097" xr:uid="{08723BB0-C946-4A71-BB5B-B5D748136D55}"/>
    <cellStyle name="Normal 2 10 17 2 4" xfId="9095" xr:uid="{C1433B58-15AE-424B-99E0-A85A49165009}"/>
    <cellStyle name="Normal 2 10 17 3" xfId="239" xr:uid="{81671037-43ED-4B32-A895-32C6440DE5EA}"/>
    <cellStyle name="Normal 2 10 17 3 2" xfId="9098" xr:uid="{F9B9151B-7471-4E43-AE59-CE81C400F527}"/>
    <cellStyle name="Normal 2 10 17 4" xfId="240" xr:uid="{F23FD621-3795-4B6D-BF18-BC289C61F62C}"/>
    <cellStyle name="Normal 2 10 17 4 2" xfId="9099" xr:uid="{FDD9C72E-C0AD-4C7C-84EF-B025488F72E6}"/>
    <cellStyle name="Normal 2 10 17 5" xfId="9094" xr:uid="{9F4C762B-AB66-4F06-AF9C-9B34BC990C1B}"/>
    <cellStyle name="Normal 2 10 18" xfId="241" xr:uid="{9AE3D6F8-4B4E-47B3-BED6-94409C2B1D3F}"/>
    <cellStyle name="Normal 2 10 18 2" xfId="242" xr:uid="{BC87A94F-6F9A-47B6-B80E-9E267D8E4A66}"/>
    <cellStyle name="Normal 2 10 18 2 2" xfId="243" xr:uid="{29A6ECBB-700F-4010-AB46-15B73EF40FC2}"/>
    <cellStyle name="Normal 2 10 18 2 2 2" xfId="9102" xr:uid="{E3B734C7-FC8E-4925-B03D-D83A9E8C1CF7}"/>
    <cellStyle name="Normal 2 10 18 2 3" xfId="244" xr:uid="{931A9FEC-AC4B-47D1-8561-952FC4A02F76}"/>
    <cellStyle name="Normal 2 10 18 2 3 2" xfId="9103" xr:uid="{FDC7A09B-20C9-41EB-A960-50C1EC52DAAF}"/>
    <cellStyle name="Normal 2 10 18 2 4" xfId="9101" xr:uid="{30383385-0E7F-422B-8D33-94D1F23D76E2}"/>
    <cellStyle name="Normal 2 10 18 3" xfId="245" xr:uid="{FD8F531B-E00A-4FA3-ABE8-0147A2CFF9B4}"/>
    <cellStyle name="Normal 2 10 18 3 2" xfId="9104" xr:uid="{8F9F9C1D-AD05-44F2-9257-74D18FF6A365}"/>
    <cellStyle name="Normal 2 10 18 4" xfId="246" xr:uid="{1664404F-7E49-4FC5-B979-7AE8594EA45D}"/>
    <cellStyle name="Normal 2 10 18 4 2" xfId="9105" xr:uid="{5E46A192-BD36-4D3B-953B-50959195AD00}"/>
    <cellStyle name="Normal 2 10 18 5" xfId="9100" xr:uid="{FD06DCA4-C9D0-4A08-B963-6DEDBD8C4040}"/>
    <cellStyle name="Normal 2 10 19" xfId="247" xr:uid="{5A5D45C5-C5BC-40DD-800C-E652932BA82F}"/>
    <cellStyle name="Normal 2 10 19 2" xfId="248" xr:uid="{E9DA5E4A-6B3C-4816-A070-0EE8B9FEFA09}"/>
    <cellStyle name="Normal 2 10 19 2 2" xfId="249" xr:uid="{B908E51C-8F98-4B52-BF4D-A7D4DD895110}"/>
    <cellStyle name="Normal 2 10 19 2 2 2" xfId="9108" xr:uid="{3BED582C-D978-456F-B9E2-54A6E4D6DB5C}"/>
    <cellStyle name="Normal 2 10 19 2 3" xfId="250" xr:uid="{3479F97B-5532-4E54-9D4C-C2EB36D64A6C}"/>
    <cellStyle name="Normal 2 10 19 2 3 2" xfId="9109" xr:uid="{691D8588-6638-4768-B8CB-7690CADD481E}"/>
    <cellStyle name="Normal 2 10 19 2 4" xfId="9107" xr:uid="{CE151E00-095A-4AE1-A3BD-476463B4CF68}"/>
    <cellStyle name="Normal 2 10 19 3" xfId="251" xr:uid="{7C2552DA-874B-4D03-951F-10201CC464FA}"/>
    <cellStyle name="Normal 2 10 19 3 2" xfId="9110" xr:uid="{2CEE0D9E-5D10-457C-AF03-D55560753E37}"/>
    <cellStyle name="Normal 2 10 19 4" xfId="252" xr:uid="{077D2D68-2900-4141-A666-FCB5B0CB9D5E}"/>
    <cellStyle name="Normal 2 10 19 4 2" xfId="9111" xr:uid="{90B39E2C-ECBC-421F-AA02-5E2081DBB738}"/>
    <cellStyle name="Normal 2 10 19 5" xfId="9106" xr:uid="{D2A86848-8D4B-46B9-BCE9-CD489068C204}"/>
    <cellStyle name="Normal 2 10 2" xfId="253" xr:uid="{3FA5B35E-B524-4517-8AAD-2CF925069A73}"/>
    <cellStyle name="Normal 2 10 2 2" xfId="254" xr:uid="{6602F91D-B092-4E90-B3E8-322F0D91841D}"/>
    <cellStyle name="Normal 2 10 2 2 2" xfId="255" xr:uid="{7EC4BB3A-708C-4AA4-AEE1-208969A02ADE}"/>
    <cellStyle name="Normal 2 10 2 2 2 2" xfId="9114" xr:uid="{2CCDB059-44F2-4ED9-AFCA-00F5C697C25B}"/>
    <cellStyle name="Normal 2 10 2 2 3" xfId="256" xr:uid="{04F8DE54-9695-4823-B946-909E3AC71003}"/>
    <cellStyle name="Normal 2 10 2 2 3 2" xfId="9115" xr:uid="{1E98F5D8-DB76-4711-8407-0E4E0587C84A}"/>
    <cellStyle name="Normal 2 10 2 2 4" xfId="9113" xr:uid="{53FB0E45-ACBE-467D-8BFC-F3DC6DC74BF5}"/>
    <cellStyle name="Normal 2 10 2 3" xfId="257" xr:uid="{97EC7A8A-7E87-43E9-B5F8-DB72ED693D75}"/>
    <cellStyle name="Normal 2 10 2 3 2" xfId="9116" xr:uid="{9F1A9987-1852-4D3A-95B2-9AE3F4A44537}"/>
    <cellStyle name="Normal 2 10 2 4" xfId="258" xr:uid="{A757F8CC-13CF-471B-B727-BB336832B7A9}"/>
    <cellStyle name="Normal 2 10 2 4 2" xfId="9117" xr:uid="{D6C9D91C-0AC4-4F11-8642-E4B6E0CB91AE}"/>
    <cellStyle name="Normal 2 10 2 5" xfId="9112" xr:uid="{AC7949BB-BD5C-4C00-8262-6460B7710456}"/>
    <cellStyle name="Normal 2 10 20" xfId="259" xr:uid="{CE27493A-F210-4B0D-8EBF-619BC001590A}"/>
    <cellStyle name="Normal 2 10 20 2" xfId="260" xr:uid="{E1C784A4-FFBA-46C9-B37E-F5231FEBECC0}"/>
    <cellStyle name="Normal 2 10 20 2 2" xfId="261" xr:uid="{8FC1CAC5-2491-4A63-B1B9-37A9AEDDB44C}"/>
    <cellStyle name="Normal 2 10 20 2 2 2" xfId="9120" xr:uid="{33730821-E515-4800-AC15-E0B5F6EA2CFC}"/>
    <cellStyle name="Normal 2 10 20 2 3" xfId="262" xr:uid="{2B99C1EF-662F-42DB-A992-908E47B2A7B4}"/>
    <cellStyle name="Normal 2 10 20 2 3 2" xfId="9121" xr:uid="{DC9855DC-2529-4BBC-B9B5-F998B0FDF98B}"/>
    <cellStyle name="Normal 2 10 20 2 4" xfId="9119" xr:uid="{E6F2F641-B147-4F66-97EE-AC3FDF3F03E0}"/>
    <cellStyle name="Normal 2 10 20 3" xfId="263" xr:uid="{116B678C-BCFD-40FC-A25F-386C259CE764}"/>
    <cellStyle name="Normal 2 10 20 3 2" xfId="9122" xr:uid="{E443E9F7-AE51-4F15-81F1-EE09BB945680}"/>
    <cellStyle name="Normal 2 10 20 4" xfId="264" xr:uid="{925F46E2-3141-4BF0-8D41-D502F1BBB31D}"/>
    <cellStyle name="Normal 2 10 20 4 2" xfId="9123" xr:uid="{9FCC23EC-2426-4CC4-8872-4D6CA83BB952}"/>
    <cellStyle name="Normal 2 10 20 5" xfId="9118" xr:uid="{0BC32954-2BAE-4086-8D10-2FA9256A6998}"/>
    <cellStyle name="Normal 2 10 21" xfId="265" xr:uid="{2F3EEF52-74DA-4CDF-AE93-F6395F21727A}"/>
    <cellStyle name="Normal 2 10 21 2" xfId="266" xr:uid="{907E5F84-A75C-409E-B170-8217A35AD7F3}"/>
    <cellStyle name="Normal 2 10 21 2 2" xfId="267" xr:uid="{B14680FE-222C-4F6F-B8F8-67040B330FF8}"/>
    <cellStyle name="Normal 2 10 21 2 2 2" xfId="9126" xr:uid="{E534230C-9869-4DF7-BE04-F491852F9CA6}"/>
    <cellStyle name="Normal 2 10 21 2 3" xfId="268" xr:uid="{2CCD6077-422B-4416-86C9-6BDDA2BA7081}"/>
    <cellStyle name="Normal 2 10 21 2 3 2" xfId="9127" xr:uid="{F5EE7050-D428-46CF-9179-16B79F1BC91C}"/>
    <cellStyle name="Normal 2 10 21 2 4" xfId="9125" xr:uid="{E9CCC3FE-F9E4-42ED-927C-9AA21B90621C}"/>
    <cellStyle name="Normal 2 10 21 3" xfId="269" xr:uid="{6CD307AE-E7EF-44B9-A5C6-05FD30B58F94}"/>
    <cellStyle name="Normal 2 10 21 3 2" xfId="9128" xr:uid="{1AEE23D0-830E-4A5D-B453-FFA05B916203}"/>
    <cellStyle name="Normal 2 10 21 4" xfId="270" xr:uid="{3559C36E-8F97-473A-A89C-4FD4D9874B17}"/>
    <cellStyle name="Normal 2 10 21 4 2" xfId="9129" xr:uid="{7312457B-770C-4E10-9243-58D3E663AFBA}"/>
    <cellStyle name="Normal 2 10 21 5" xfId="9124" xr:uid="{9528B8DD-04CA-4E31-B6C6-70D8DB504BCA}"/>
    <cellStyle name="Normal 2 10 22" xfId="271" xr:uid="{6C869B3A-F511-4CA8-861A-69CD274AE56F}"/>
    <cellStyle name="Normal 2 10 22 2" xfId="272" xr:uid="{4D48E859-086C-418A-8182-E5071D094376}"/>
    <cellStyle name="Normal 2 10 22 2 2" xfId="273" xr:uid="{F3C124D8-23CF-4C87-98CD-C84E7FFFC9B1}"/>
    <cellStyle name="Normal 2 10 22 2 2 2" xfId="9132" xr:uid="{FB469BCE-66DA-4080-8405-8837FA8D3317}"/>
    <cellStyle name="Normal 2 10 22 2 3" xfId="274" xr:uid="{0B0DDD18-2BC9-4EB6-BED9-5AFE42066AA7}"/>
    <cellStyle name="Normal 2 10 22 2 3 2" xfId="9133" xr:uid="{0740E1BC-6A7B-46DF-952C-4B433C2B2167}"/>
    <cellStyle name="Normal 2 10 22 2 4" xfId="9131" xr:uid="{3BA26873-9D3F-4AB8-97EF-DD7CD3E13D16}"/>
    <cellStyle name="Normal 2 10 22 3" xfId="275" xr:uid="{F59F0B23-E52F-4993-B3B0-E261B18B2599}"/>
    <cellStyle name="Normal 2 10 22 3 2" xfId="9134" xr:uid="{72D6164D-58A7-403C-A936-761D9578ED22}"/>
    <cellStyle name="Normal 2 10 22 4" xfId="276" xr:uid="{40AA0FAD-C008-4F55-847F-C4BBC1620505}"/>
    <cellStyle name="Normal 2 10 22 4 2" xfId="9135" xr:uid="{DAA1301F-B384-4A69-B6A2-D93E04DB2703}"/>
    <cellStyle name="Normal 2 10 22 5" xfId="9130" xr:uid="{F53F1F35-5BED-4972-AA14-675549580F93}"/>
    <cellStyle name="Normal 2 10 23" xfId="277" xr:uid="{0B8C62F7-3335-4075-A63C-20BF9C0A080E}"/>
    <cellStyle name="Normal 2 10 23 2" xfId="278" xr:uid="{69AB0433-B66D-41AB-8BEF-8CEBB239725F}"/>
    <cellStyle name="Normal 2 10 23 2 2" xfId="279" xr:uid="{66AD5A88-2F21-47B3-9C65-FCE696832312}"/>
    <cellStyle name="Normal 2 10 23 2 2 2" xfId="9138" xr:uid="{D4A338A1-0F36-436A-BF80-FD09800FB2CF}"/>
    <cellStyle name="Normal 2 10 23 2 3" xfId="280" xr:uid="{FF650BAF-CA96-40EC-8EC8-161BBADD34FC}"/>
    <cellStyle name="Normal 2 10 23 2 3 2" xfId="9139" xr:uid="{603526D2-AD22-499B-8871-5DF16BDC920A}"/>
    <cellStyle name="Normal 2 10 23 2 4" xfId="9137" xr:uid="{664BDAB4-60CE-45D6-93F5-B92E564EEF2D}"/>
    <cellStyle name="Normal 2 10 23 3" xfId="281" xr:uid="{EE229A29-6506-49B7-B53D-AA8BFF920E60}"/>
    <cellStyle name="Normal 2 10 23 3 2" xfId="9140" xr:uid="{A647FABA-7B0F-4478-A8C6-5298FDFD7C0D}"/>
    <cellStyle name="Normal 2 10 23 4" xfId="282" xr:uid="{4D121EB5-33B3-47C5-B3A8-C76D52F4EA67}"/>
    <cellStyle name="Normal 2 10 23 4 2" xfId="9141" xr:uid="{9DB15571-7482-470B-9E30-A80DF607CBEA}"/>
    <cellStyle name="Normal 2 10 23 5" xfId="9136" xr:uid="{0C54F1CC-366B-42C0-BA85-6B55F9C6470F}"/>
    <cellStyle name="Normal 2 10 24" xfId="283" xr:uid="{EFFA0FBA-A0F0-4E3A-B8DB-C044347355D2}"/>
    <cellStyle name="Normal 2 10 24 2" xfId="284" xr:uid="{B251C12E-8E70-4331-8DAD-60713FE81570}"/>
    <cellStyle name="Normal 2 10 24 2 2" xfId="285" xr:uid="{1443E3C2-C596-40AD-A5A8-29877FE5D69F}"/>
    <cellStyle name="Normal 2 10 24 2 2 2" xfId="9144" xr:uid="{B2D3F744-EF63-49D7-A143-7F920337E859}"/>
    <cellStyle name="Normal 2 10 24 2 3" xfId="286" xr:uid="{3CF56F23-F2F6-47A5-A953-EDAF292E7430}"/>
    <cellStyle name="Normal 2 10 24 2 3 2" xfId="9145" xr:uid="{5BBCE35B-4810-4130-8732-ACA57699FFAE}"/>
    <cellStyle name="Normal 2 10 24 2 4" xfId="9143" xr:uid="{A609F3EA-5813-4444-8587-9650FA3092FE}"/>
    <cellStyle name="Normal 2 10 24 3" xfId="287" xr:uid="{B6BC2D8C-9F06-4D08-A8A8-C6232D0BC88D}"/>
    <cellStyle name="Normal 2 10 24 3 2" xfId="9146" xr:uid="{D110D29A-2641-4012-B693-E1CA3E933B70}"/>
    <cellStyle name="Normal 2 10 24 4" xfId="288" xr:uid="{7933B7D6-28A9-47B8-AEE3-A50920BA55CD}"/>
    <cellStyle name="Normal 2 10 24 4 2" xfId="9147" xr:uid="{9CF9FB17-EC97-42EB-BD90-20BEFA6AC57A}"/>
    <cellStyle name="Normal 2 10 24 5" xfId="9142" xr:uid="{94C89D8D-B1A8-44CC-884E-DA8671A17C13}"/>
    <cellStyle name="Normal 2 10 25" xfId="289" xr:uid="{031265BC-D368-48F5-85D6-50F5E963CC01}"/>
    <cellStyle name="Normal 2 10 25 2" xfId="290" xr:uid="{A33B551C-348F-4464-8582-EC89D3D9C664}"/>
    <cellStyle name="Normal 2 10 25 2 2" xfId="291" xr:uid="{90C4C5A3-1046-45CC-8303-5FDB5B2AE623}"/>
    <cellStyle name="Normal 2 10 25 2 2 2" xfId="9150" xr:uid="{2557958A-615B-494A-B1A6-B0DA303BB97B}"/>
    <cellStyle name="Normal 2 10 25 2 3" xfId="292" xr:uid="{CC84119D-F9B6-49B2-AA2E-548D1C496B4F}"/>
    <cellStyle name="Normal 2 10 25 2 3 2" xfId="9151" xr:uid="{3C17E5B8-6CB2-42CF-9B33-CA319B6C825A}"/>
    <cellStyle name="Normal 2 10 25 2 4" xfId="9149" xr:uid="{27271181-2372-4721-9CC9-39C01D0ECCFA}"/>
    <cellStyle name="Normal 2 10 25 3" xfId="293" xr:uid="{C0FFD233-208D-4B18-A84C-021D8A958152}"/>
    <cellStyle name="Normal 2 10 25 3 2" xfId="9152" xr:uid="{26AD2AC8-5533-4DE3-A043-6F71E19C117E}"/>
    <cellStyle name="Normal 2 10 25 4" xfId="294" xr:uid="{BD3D52F9-B68F-4123-A2D8-E86D1EE14E0E}"/>
    <cellStyle name="Normal 2 10 25 4 2" xfId="9153" xr:uid="{01857EC7-F4CC-4D41-BB25-8BD110F882CB}"/>
    <cellStyle name="Normal 2 10 25 5" xfId="9148" xr:uid="{5F2B9F75-9747-4503-A73F-414B81D1B750}"/>
    <cellStyle name="Normal 2 10 26" xfId="295" xr:uid="{3E408D56-7A9E-4035-BF73-5B2695D52292}"/>
    <cellStyle name="Normal 2 10 26 2" xfId="296" xr:uid="{D6FB1ECC-B188-4A34-8DBC-6A6E17E7C0A5}"/>
    <cellStyle name="Normal 2 10 26 2 2" xfId="297" xr:uid="{EAA8D53C-A16F-442E-93F7-A05024FBBDC6}"/>
    <cellStyle name="Normal 2 10 26 2 2 2" xfId="9156" xr:uid="{87051D71-8E7A-4CF1-A0B1-94256DFDE964}"/>
    <cellStyle name="Normal 2 10 26 2 3" xfId="298" xr:uid="{ED626011-F395-4D57-AFA0-401FBE3B96D6}"/>
    <cellStyle name="Normal 2 10 26 2 3 2" xfId="9157" xr:uid="{32938C0F-4EB2-4B71-8F85-DE00B5B82FE6}"/>
    <cellStyle name="Normal 2 10 26 2 4" xfId="9155" xr:uid="{188CC7E7-81B7-4028-B269-A1FDE32F79AA}"/>
    <cellStyle name="Normal 2 10 26 3" xfId="299" xr:uid="{D776A49E-0EFF-4D79-84A6-E3117F0A2CA0}"/>
    <cellStyle name="Normal 2 10 26 3 2" xfId="9158" xr:uid="{315F61DA-03B6-4922-9078-3C520D237955}"/>
    <cellStyle name="Normal 2 10 26 4" xfId="300" xr:uid="{89D29BA6-DE41-48E2-99FB-B5BF9978CE78}"/>
    <cellStyle name="Normal 2 10 26 4 2" xfId="9159" xr:uid="{35F23F1A-8E50-453D-BD4F-2ADACB32E061}"/>
    <cellStyle name="Normal 2 10 26 5" xfId="9154" xr:uid="{AEF2F024-2347-4663-9924-E14CA58E3E33}"/>
    <cellStyle name="Normal 2 10 27" xfId="301" xr:uid="{B185A813-F303-4031-88BB-FA3143EFE9C2}"/>
    <cellStyle name="Normal 2 10 27 2" xfId="302" xr:uid="{D4859379-8365-493C-BEC2-8424C96473A5}"/>
    <cellStyle name="Normal 2 10 27 2 2" xfId="303" xr:uid="{63F2EB6F-636A-4374-9C1D-3A5F4A106E7C}"/>
    <cellStyle name="Normal 2 10 27 2 2 2" xfId="9162" xr:uid="{865B66CB-7350-4326-AA57-3908D35E2E59}"/>
    <cellStyle name="Normal 2 10 27 2 3" xfId="304" xr:uid="{E162810A-442F-412E-89CC-542683C345C4}"/>
    <cellStyle name="Normal 2 10 27 2 3 2" xfId="9163" xr:uid="{7B3143B6-B2DD-4758-AD9B-20BDEA660351}"/>
    <cellStyle name="Normal 2 10 27 2 4" xfId="9161" xr:uid="{0638230F-C43F-44D5-8FE9-259D652F6DA0}"/>
    <cellStyle name="Normal 2 10 27 3" xfId="305" xr:uid="{3B518D72-F683-4DE7-A630-57955599E9F2}"/>
    <cellStyle name="Normal 2 10 27 3 2" xfId="9164" xr:uid="{D848716F-E06B-4921-AAB8-BC3054B250C8}"/>
    <cellStyle name="Normal 2 10 27 4" xfId="306" xr:uid="{994E76C8-5114-4425-AF68-75A85D263EC6}"/>
    <cellStyle name="Normal 2 10 27 4 2" xfId="9165" xr:uid="{49F48F17-0A38-4D7F-A4A2-76E7FD144AA6}"/>
    <cellStyle name="Normal 2 10 27 5" xfId="9160" xr:uid="{7A2C9B41-F4C6-4EC7-A89A-C45C89677539}"/>
    <cellStyle name="Normal 2 10 28" xfId="307" xr:uid="{E8793309-4A20-45EE-8819-2C3162CC3C9C}"/>
    <cellStyle name="Normal 2 10 28 2" xfId="308" xr:uid="{860EA6F4-4FD2-4281-8440-137B7096E0F8}"/>
    <cellStyle name="Normal 2 10 28 2 2" xfId="309" xr:uid="{9BCD06D0-4ECE-462C-9541-BD2E4FB0A828}"/>
    <cellStyle name="Normal 2 10 28 2 2 2" xfId="9168" xr:uid="{EFFE8B7E-8295-4717-8A13-C02FEA9DB31E}"/>
    <cellStyle name="Normal 2 10 28 2 3" xfId="310" xr:uid="{4379D7DF-0B56-4090-9BC9-C761A1BB5F05}"/>
    <cellStyle name="Normal 2 10 28 2 3 2" xfId="9169" xr:uid="{CB447DE5-76CD-4C6F-B7CB-6ED0991C12A0}"/>
    <cellStyle name="Normal 2 10 28 2 4" xfId="9167" xr:uid="{FB21C0ED-8E25-4143-A91B-5E9FC4CFE773}"/>
    <cellStyle name="Normal 2 10 28 3" xfId="311" xr:uid="{9FE726DA-CB73-4B31-99AD-DE6232375F8F}"/>
    <cellStyle name="Normal 2 10 28 3 2" xfId="9170" xr:uid="{582AF5AD-B5F5-4570-B9CF-07D53A428CBB}"/>
    <cellStyle name="Normal 2 10 28 4" xfId="312" xr:uid="{768A4F8D-6E55-44E4-866F-86EEA86A8087}"/>
    <cellStyle name="Normal 2 10 28 4 2" xfId="9171" xr:uid="{1DAA8156-D4B7-44B1-9E9E-B15085DB89E2}"/>
    <cellStyle name="Normal 2 10 28 5" xfId="9166" xr:uid="{1F58C33E-39B2-4F7A-BB98-4F3A7756F6A1}"/>
    <cellStyle name="Normal 2 10 29" xfId="313" xr:uid="{89DCBE64-4C7D-4AF9-B5E0-98FC053B09D9}"/>
    <cellStyle name="Normal 2 10 29 2" xfId="314" xr:uid="{AB8F91FB-17C6-4317-A4A8-8C351C14DB2E}"/>
    <cellStyle name="Normal 2 10 29 2 2" xfId="315" xr:uid="{B1753B76-BACD-4B24-AEDC-B661573E0622}"/>
    <cellStyle name="Normal 2 10 29 2 2 2" xfId="9174" xr:uid="{11D57AEF-85A3-48B4-A3EE-73AAC9FAFA11}"/>
    <cellStyle name="Normal 2 10 29 2 3" xfId="316" xr:uid="{33B280AC-7B2D-42D7-BF6F-25BFF2336112}"/>
    <cellStyle name="Normal 2 10 29 2 3 2" xfId="9175" xr:uid="{1D47766F-C9E2-42FA-BE0B-7869E6E38F70}"/>
    <cellStyle name="Normal 2 10 29 2 4" xfId="9173" xr:uid="{EC8C30F0-9EF1-4C58-ADE0-E92AE8634044}"/>
    <cellStyle name="Normal 2 10 29 3" xfId="317" xr:uid="{3B2FA5CB-AE54-406A-85B5-69B0BC801F20}"/>
    <cellStyle name="Normal 2 10 29 3 2" xfId="9176" xr:uid="{E111850D-5AFF-4DEA-BE31-FE77A72E7439}"/>
    <cellStyle name="Normal 2 10 29 4" xfId="318" xr:uid="{C18AA200-8D38-4F46-A83E-D15AED36F502}"/>
    <cellStyle name="Normal 2 10 29 4 2" xfId="9177" xr:uid="{A7225649-3807-4F09-BDFD-B5B58BCA2F55}"/>
    <cellStyle name="Normal 2 10 29 5" xfId="9172" xr:uid="{E0CFD4B2-169B-4892-A933-A3BD4E3BBCB2}"/>
    <cellStyle name="Normal 2 10 3" xfId="319" xr:uid="{3E23104D-49FF-488C-8E9A-8415619E7EE7}"/>
    <cellStyle name="Normal 2 10 3 2" xfId="320" xr:uid="{59DCD806-9FCE-480C-B9A6-C300B6D8226B}"/>
    <cellStyle name="Normal 2 10 3 2 2" xfId="321" xr:uid="{0757F201-B59A-4766-8CDE-37EB8C0A22E9}"/>
    <cellStyle name="Normal 2 10 3 2 2 2" xfId="9180" xr:uid="{707857AC-1497-4557-8436-D6C7E5B456EF}"/>
    <cellStyle name="Normal 2 10 3 2 3" xfId="322" xr:uid="{E8DBDEB8-2F58-4E5D-BBE3-C82D72983D19}"/>
    <cellStyle name="Normal 2 10 3 2 3 2" xfId="9181" xr:uid="{364826DD-92A2-4F65-987B-092FD042804B}"/>
    <cellStyle name="Normal 2 10 3 2 4" xfId="9179" xr:uid="{4EE4D7DD-EDE2-40C6-B719-ED82C7D6572A}"/>
    <cellStyle name="Normal 2 10 3 3" xfId="323" xr:uid="{CD3763C7-31E0-4A69-BAE6-3314C617EC6C}"/>
    <cellStyle name="Normal 2 10 3 3 2" xfId="9182" xr:uid="{29E36E1A-6559-45E5-9841-EE5D7A6E36F4}"/>
    <cellStyle name="Normal 2 10 3 4" xfId="324" xr:uid="{F9335161-AD40-47A2-9901-586F234F12F4}"/>
    <cellStyle name="Normal 2 10 3 4 2" xfId="9183" xr:uid="{EE7C9076-5334-4F85-922A-DABFE001E715}"/>
    <cellStyle name="Normal 2 10 3 5" xfId="9178" xr:uid="{28718085-28A2-4452-8401-5E2C03D14D4D}"/>
    <cellStyle name="Normal 2 10 30" xfId="325" xr:uid="{8181049C-3406-455B-AAFB-843B3F414931}"/>
    <cellStyle name="Normal 2 10 30 2" xfId="326" xr:uid="{EC95E422-13BC-4BD9-BD6E-E7EABA34D7CB}"/>
    <cellStyle name="Normal 2 10 30 2 2" xfId="327" xr:uid="{2241E67B-F7C2-4022-BE10-9BD18AF12283}"/>
    <cellStyle name="Normal 2 10 30 2 2 2" xfId="9186" xr:uid="{45A9C728-AAD4-42C3-85B2-241186D83A15}"/>
    <cellStyle name="Normal 2 10 30 2 3" xfId="328" xr:uid="{7740B722-1239-4509-9DF5-D37F2D26B055}"/>
    <cellStyle name="Normal 2 10 30 2 3 2" xfId="9187" xr:uid="{5CE0B14F-CA07-47A3-9052-565E4930F002}"/>
    <cellStyle name="Normal 2 10 30 2 4" xfId="9185" xr:uid="{C767352B-0308-4101-B75F-A4AB6467C8D3}"/>
    <cellStyle name="Normal 2 10 30 3" xfId="329" xr:uid="{696391A0-2A6D-4668-A1A5-C5D18B1B5F1F}"/>
    <cellStyle name="Normal 2 10 30 3 2" xfId="9188" xr:uid="{3680B46B-9B47-446B-94CA-F85AB26ACBEC}"/>
    <cellStyle name="Normal 2 10 30 4" xfId="330" xr:uid="{C04CB9A2-4955-47EE-99EA-1F5F55417944}"/>
    <cellStyle name="Normal 2 10 30 4 2" xfId="9189" xr:uid="{EAC0A63A-DBC8-4FDA-A5B7-A4E083AD4AB9}"/>
    <cellStyle name="Normal 2 10 30 5" xfId="9184" xr:uid="{070FA201-0C0F-463D-9760-3439BD830111}"/>
    <cellStyle name="Normal 2 10 31" xfId="331" xr:uid="{DC1D16AD-5CDE-4594-8FF6-65D0E9898E8A}"/>
    <cellStyle name="Normal 2 10 31 2" xfId="332" xr:uid="{6BBF49EB-7354-478D-A40C-B171D4DF8466}"/>
    <cellStyle name="Normal 2 10 31 2 2" xfId="333" xr:uid="{EFA0D1D3-790E-4596-878D-C1F3DF3507E3}"/>
    <cellStyle name="Normal 2 10 31 2 2 2" xfId="9192" xr:uid="{7A99BDF7-2248-4679-B948-0D0E65F40D8E}"/>
    <cellStyle name="Normal 2 10 31 2 3" xfId="334" xr:uid="{2BB72228-6883-43C6-BA6F-768B8AFE4696}"/>
    <cellStyle name="Normal 2 10 31 2 3 2" xfId="9193" xr:uid="{F33C9B09-3A99-4901-806E-38C3FF0A31E4}"/>
    <cellStyle name="Normal 2 10 31 2 4" xfId="9191" xr:uid="{48E1FEDC-814C-452C-B795-506D9D401B2C}"/>
    <cellStyle name="Normal 2 10 31 3" xfId="335" xr:uid="{348EEBC7-E75A-4A29-A00C-F2486124EFE6}"/>
    <cellStyle name="Normal 2 10 31 3 2" xfId="9194" xr:uid="{5613FE4D-7979-42CD-A758-A3699091017F}"/>
    <cellStyle name="Normal 2 10 31 4" xfId="336" xr:uid="{62F624BE-9D85-4CE6-BE0D-7E93F351A1AA}"/>
    <cellStyle name="Normal 2 10 31 4 2" xfId="9195" xr:uid="{DA886C78-2B72-480F-B538-60E246784A78}"/>
    <cellStyle name="Normal 2 10 31 5" xfId="9190" xr:uid="{A6551EA3-A161-4616-B74F-8C16130558CA}"/>
    <cellStyle name="Normal 2 10 32" xfId="337" xr:uid="{5E276B61-0817-4F10-99B3-389E284B2E43}"/>
    <cellStyle name="Normal 2 10 32 2" xfId="338" xr:uid="{49E7FE5D-191B-4730-8431-F0B9A9DF88A2}"/>
    <cellStyle name="Normal 2 10 32 2 2" xfId="339" xr:uid="{1C7E7CA8-9CB9-4A03-9B4E-FD5BA771D0D5}"/>
    <cellStyle name="Normal 2 10 32 2 2 2" xfId="9198" xr:uid="{CF1746EF-AEC1-4D3A-B961-2575F0277DE8}"/>
    <cellStyle name="Normal 2 10 32 2 3" xfId="340" xr:uid="{700E2DA8-E822-4A79-9180-BB0B9C9A37D7}"/>
    <cellStyle name="Normal 2 10 32 2 3 2" xfId="9199" xr:uid="{CF28D6D5-3CEF-498D-8BF5-B2E62F8949CA}"/>
    <cellStyle name="Normal 2 10 32 2 4" xfId="9197" xr:uid="{93E0AD6E-5694-4F5D-9694-D9EEA9920F3B}"/>
    <cellStyle name="Normal 2 10 32 3" xfId="341" xr:uid="{19FECAF9-5C9F-4858-B366-80F7317E8EB6}"/>
    <cellStyle name="Normal 2 10 32 3 2" xfId="9200" xr:uid="{920B12A2-B0DB-4DD7-BDA6-82B939F3CA13}"/>
    <cellStyle name="Normal 2 10 32 4" xfId="342" xr:uid="{021B8476-C893-48C5-8365-88CFA4D6BB5D}"/>
    <cellStyle name="Normal 2 10 32 4 2" xfId="9201" xr:uid="{3B3F7A4C-00D8-4F17-8058-256FDBAB3C20}"/>
    <cellStyle name="Normal 2 10 32 5" xfId="9196" xr:uid="{19F642F1-552A-40EF-8357-0F9458AD4702}"/>
    <cellStyle name="Normal 2 10 33" xfId="343" xr:uid="{7A258E22-C37A-4779-B30A-1BAB9EEC3F7F}"/>
    <cellStyle name="Normal 2 10 33 2" xfId="344" xr:uid="{CF7D3721-08A6-4A5B-B3D5-300E65B4ADD3}"/>
    <cellStyle name="Normal 2 10 33 2 2" xfId="345" xr:uid="{D6D78763-C321-484B-80A0-1FFF02913F83}"/>
    <cellStyle name="Normal 2 10 33 2 2 2" xfId="9204" xr:uid="{B53DACE8-32AD-405C-8637-5499F2A65A4C}"/>
    <cellStyle name="Normal 2 10 33 2 3" xfId="346" xr:uid="{D9FF9557-509A-4C5E-9DF5-F54F30B07E42}"/>
    <cellStyle name="Normal 2 10 33 2 3 2" xfId="9205" xr:uid="{66DD3F24-2576-45DE-99FB-9EBEDD28CD5B}"/>
    <cellStyle name="Normal 2 10 33 2 4" xfId="9203" xr:uid="{0FC16112-60FC-4D12-B219-AD2622288F15}"/>
    <cellStyle name="Normal 2 10 33 3" xfId="347" xr:uid="{F8A4AA22-29BF-4C99-8069-97C57905BF20}"/>
    <cellStyle name="Normal 2 10 33 3 2" xfId="9206" xr:uid="{982B3D57-DF88-47F5-88FB-2A4619318CA2}"/>
    <cellStyle name="Normal 2 10 33 4" xfId="348" xr:uid="{92938107-D90E-450E-A5BF-E9868A370929}"/>
    <cellStyle name="Normal 2 10 33 4 2" xfId="9207" xr:uid="{C572FDBD-3262-41C9-BA28-23380FBF677E}"/>
    <cellStyle name="Normal 2 10 33 5" xfId="9202" xr:uid="{DC1F70AA-C83B-4A1D-940C-9E9E35B9998C}"/>
    <cellStyle name="Normal 2 10 34" xfId="349" xr:uid="{CA18A83E-D5B0-4640-9048-C125A0507989}"/>
    <cellStyle name="Normal 2 10 34 2" xfId="350" xr:uid="{2916AC58-756D-4019-A3A7-922C314F76AA}"/>
    <cellStyle name="Normal 2 10 34 2 2" xfId="351" xr:uid="{E258CE64-D949-4CAE-BEFA-9A895F3C693E}"/>
    <cellStyle name="Normal 2 10 34 2 2 2" xfId="9210" xr:uid="{072BC031-0680-4312-BCC3-48CBB6C1F59E}"/>
    <cellStyle name="Normal 2 10 34 2 3" xfId="352" xr:uid="{59B2FD2F-F667-405C-A820-64F453918112}"/>
    <cellStyle name="Normal 2 10 34 2 3 2" xfId="9211" xr:uid="{4C9AB9E3-7663-478A-B295-82C26311FBDE}"/>
    <cellStyle name="Normal 2 10 34 2 4" xfId="9209" xr:uid="{B8752D21-9531-4EA4-97AF-9E6F3F99C841}"/>
    <cellStyle name="Normal 2 10 34 3" xfId="353" xr:uid="{75C528ED-33A5-49A1-926D-C964CB02F076}"/>
    <cellStyle name="Normal 2 10 34 3 2" xfId="9212" xr:uid="{063E64E2-7E0C-42A1-A9C1-AC836BE802A5}"/>
    <cellStyle name="Normal 2 10 34 4" xfId="354" xr:uid="{228E81A4-2B48-4A94-92EE-07432082187F}"/>
    <cellStyle name="Normal 2 10 34 4 2" xfId="9213" xr:uid="{FD0FE936-935C-4306-A8B1-F735EAD6EFDF}"/>
    <cellStyle name="Normal 2 10 34 5" xfId="9208" xr:uid="{DC6969A8-5916-4182-B67F-F0490471B631}"/>
    <cellStyle name="Normal 2 10 35" xfId="355" xr:uid="{E9EC2DA0-36B0-4A42-A4FE-0A58ACD122D6}"/>
    <cellStyle name="Normal 2 10 35 2" xfId="356" xr:uid="{8EB01CC1-7C9F-4A1B-B5FC-C6074FDA59D1}"/>
    <cellStyle name="Normal 2 10 35 2 2" xfId="357" xr:uid="{7AC004DF-FA23-4BC7-9E13-8C719ECA45AD}"/>
    <cellStyle name="Normal 2 10 35 2 2 2" xfId="9216" xr:uid="{895791BC-5D6B-4CB6-B49D-7F796860EAB3}"/>
    <cellStyle name="Normal 2 10 35 2 3" xfId="358" xr:uid="{9FA655BB-D516-405C-9415-0EDFF21DAF75}"/>
    <cellStyle name="Normal 2 10 35 2 3 2" xfId="9217" xr:uid="{B6FABA2B-8C2D-428B-9750-E8E82E4CB511}"/>
    <cellStyle name="Normal 2 10 35 2 4" xfId="9215" xr:uid="{AB149FAE-9FE7-42BC-8CB7-5C4A63FFBCE8}"/>
    <cellStyle name="Normal 2 10 35 3" xfId="359" xr:uid="{28BA01A3-E09D-4B9F-B76B-B6193D6DE269}"/>
    <cellStyle name="Normal 2 10 35 3 2" xfId="9218" xr:uid="{F3D8251B-604A-44CD-8AE1-EA2E00E68B1B}"/>
    <cellStyle name="Normal 2 10 35 4" xfId="360" xr:uid="{18B0C680-E2D0-4C28-A2E8-A891F562DA6C}"/>
    <cellStyle name="Normal 2 10 35 4 2" xfId="9219" xr:uid="{7AA04B02-5789-4167-A00B-E16EE8E44A0F}"/>
    <cellStyle name="Normal 2 10 35 5" xfId="9214" xr:uid="{D6ED83F2-3A2C-405A-BAB1-04053C638491}"/>
    <cellStyle name="Normal 2 10 36" xfId="361" xr:uid="{364DEE9D-B7CB-4461-BAB0-32763A4F821C}"/>
    <cellStyle name="Normal 2 10 36 2" xfId="362" xr:uid="{B738BE6D-A2B1-4649-BCE0-4DC385C87BDE}"/>
    <cellStyle name="Normal 2 10 36 2 2" xfId="363" xr:uid="{D5959F45-4283-4DD5-A101-12B2EC0477DE}"/>
    <cellStyle name="Normal 2 10 36 2 2 2" xfId="9222" xr:uid="{8D92FFE5-57F5-488D-A4C6-EFF6E9265EE6}"/>
    <cellStyle name="Normal 2 10 36 2 3" xfId="364" xr:uid="{DE6D48DB-6DDB-430D-900D-7B986A990DD7}"/>
    <cellStyle name="Normal 2 10 36 2 3 2" xfId="9223" xr:uid="{F97468B3-80BD-47B1-9760-379B4ABE6080}"/>
    <cellStyle name="Normal 2 10 36 2 4" xfId="9221" xr:uid="{AFACCE52-525B-4FC4-A902-42B9F19495C6}"/>
    <cellStyle name="Normal 2 10 36 3" xfId="365" xr:uid="{B9CAA427-7B94-4D56-A892-41D2F331E8D6}"/>
    <cellStyle name="Normal 2 10 36 3 2" xfId="9224" xr:uid="{D16B373A-93AA-43C6-A956-A49DC59CCE9B}"/>
    <cellStyle name="Normal 2 10 36 4" xfId="366" xr:uid="{293430E9-2B94-40AE-BE22-12B024898994}"/>
    <cellStyle name="Normal 2 10 36 4 2" xfId="9225" xr:uid="{927027FD-0DAD-4F5B-AF74-342E6105D60C}"/>
    <cellStyle name="Normal 2 10 36 5" xfId="9220" xr:uid="{A1C260A1-8AC3-491D-BA4B-39B16922E8D0}"/>
    <cellStyle name="Normal 2 10 37" xfId="367" xr:uid="{565A8ED7-E868-4191-9680-AAC1613C7999}"/>
    <cellStyle name="Normal 2 10 37 2" xfId="368" xr:uid="{149F6EB6-85E7-4705-B167-38CD46B0B636}"/>
    <cellStyle name="Normal 2 10 37 2 2" xfId="369" xr:uid="{734992FA-6F29-4BC9-81EE-9AE809C0BD04}"/>
    <cellStyle name="Normal 2 10 37 2 2 2" xfId="9228" xr:uid="{3DD9DC1B-98EC-42FD-B0DC-6ADA256B1498}"/>
    <cellStyle name="Normal 2 10 37 2 3" xfId="370" xr:uid="{EA43C327-647D-4741-9DBB-913F7948AD8F}"/>
    <cellStyle name="Normal 2 10 37 2 3 2" xfId="9229" xr:uid="{B2833E07-4F33-4EFF-A70F-76D2AD13CE0F}"/>
    <cellStyle name="Normal 2 10 37 2 4" xfId="9227" xr:uid="{4CD709D2-96B4-4348-9C86-94BC21C28D8A}"/>
    <cellStyle name="Normal 2 10 37 3" xfId="371" xr:uid="{0AF0D12D-5C85-4446-8D44-970DB44E3BFE}"/>
    <cellStyle name="Normal 2 10 37 3 2" xfId="9230" xr:uid="{974863EF-6C1E-4367-B08A-2881A7183F61}"/>
    <cellStyle name="Normal 2 10 37 4" xfId="372" xr:uid="{0947EAC5-8D91-4270-9C46-C6C497B12E14}"/>
    <cellStyle name="Normal 2 10 37 4 2" xfId="9231" xr:uid="{14AA24AD-19DC-49FA-A962-27796A47F84A}"/>
    <cellStyle name="Normal 2 10 37 5" xfId="9226" xr:uid="{48EA8856-D9B2-48FD-AF13-A957D85490CF}"/>
    <cellStyle name="Normal 2 10 38" xfId="373" xr:uid="{89AC9D47-19DF-46BC-A5B1-4B1CC4190544}"/>
    <cellStyle name="Normal 2 10 38 2" xfId="374" xr:uid="{05F33C6B-845D-440F-9A80-B55582AB0406}"/>
    <cellStyle name="Normal 2 10 38 2 2" xfId="375" xr:uid="{409EA280-E8C3-4357-859E-4351629EF9DA}"/>
    <cellStyle name="Normal 2 10 38 2 2 2" xfId="9234" xr:uid="{A8C79D21-8FCF-448D-A1E6-E69B3DC65707}"/>
    <cellStyle name="Normal 2 10 38 2 3" xfId="376" xr:uid="{79F6C3A2-2446-44A2-81AF-DE09C9EDDA84}"/>
    <cellStyle name="Normal 2 10 38 2 3 2" xfId="9235" xr:uid="{DA3E7225-9B7B-42F5-9A59-296612189EB8}"/>
    <cellStyle name="Normal 2 10 38 2 4" xfId="9233" xr:uid="{4C2457D4-209A-43E8-B580-E1925CA49B1B}"/>
    <cellStyle name="Normal 2 10 38 3" xfId="377" xr:uid="{A891B273-CC0B-4FCE-8AE6-3BA7BDF13EFA}"/>
    <cellStyle name="Normal 2 10 38 3 2" xfId="9236" xr:uid="{0BE29FBA-ABE3-4CD2-9890-5C166ED458D4}"/>
    <cellStyle name="Normal 2 10 38 4" xfId="378" xr:uid="{29D6D276-B3F7-451C-BAFB-AF7736A939ED}"/>
    <cellStyle name="Normal 2 10 38 4 2" xfId="9237" xr:uid="{D1CB8700-A15D-4905-A7CB-F5A18F97609B}"/>
    <cellStyle name="Normal 2 10 38 5" xfId="9232" xr:uid="{FF586E25-83D8-4EB5-9598-8F12A66B4CA1}"/>
    <cellStyle name="Normal 2 10 39" xfId="379" xr:uid="{49130560-CA52-4A0C-89B6-24F07560484D}"/>
    <cellStyle name="Normal 2 10 39 2" xfId="380" xr:uid="{D29C09B1-A081-4E4A-AC19-1270D130B8FF}"/>
    <cellStyle name="Normal 2 10 39 2 2" xfId="381" xr:uid="{DA976383-6BEC-41C4-B712-EFB36B969817}"/>
    <cellStyle name="Normal 2 10 39 2 2 2" xfId="9240" xr:uid="{3B1880DB-DBE5-4641-82CD-4902B8E6E4F8}"/>
    <cellStyle name="Normal 2 10 39 2 3" xfId="382" xr:uid="{0853319C-0D4F-481F-80FE-E641431C001E}"/>
    <cellStyle name="Normal 2 10 39 2 3 2" xfId="9241" xr:uid="{B77F7B42-AD7C-4194-AAC1-2B850B4EC55A}"/>
    <cellStyle name="Normal 2 10 39 2 4" xfId="9239" xr:uid="{19ED24B7-8CF2-48EB-84A8-E37D9D00743A}"/>
    <cellStyle name="Normal 2 10 39 3" xfId="383" xr:uid="{40F2DBBE-4C0A-497C-A67C-7DB97D2DB6F8}"/>
    <cellStyle name="Normal 2 10 39 3 2" xfId="9242" xr:uid="{88AE06EA-5349-4E20-9C74-CA59E5664FB9}"/>
    <cellStyle name="Normal 2 10 39 4" xfId="384" xr:uid="{CEB6B8AB-2FCE-4F85-9702-3DDBB2634A4B}"/>
    <cellStyle name="Normal 2 10 39 4 2" xfId="9243" xr:uid="{981AE911-285A-4F92-BD07-51E20CE6AF99}"/>
    <cellStyle name="Normal 2 10 39 5" xfId="9238" xr:uid="{A0546222-310E-4888-BCA5-77B83DF91D30}"/>
    <cellStyle name="Normal 2 10 4" xfId="385" xr:uid="{6C3F9266-3A06-4B5C-A385-9129B244AB83}"/>
    <cellStyle name="Normal 2 10 4 2" xfId="386" xr:uid="{35759F5C-EF56-4457-B6E0-9BC84EAA0FA5}"/>
    <cellStyle name="Normal 2 10 4 2 2" xfId="387" xr:uid="{F49143AA-43CC-4CCA-BFCC-690323B9D5CB}"/>
    <cellStyle name="Normal 2 10 4 2 2 2" xfId="9246" xr:uid="{02E1D60D-4B22-48BB-A4C4-CBF7494F2FDD}"/>
    <cellStyle name="Normal 2 10 4 2 3" xfId="388" xr:uid="{46F82644-A9D7-4337-9FA8-BD1B1D90BB1F}"/>
    <cellStyle name="Normal 2 10 4 2 3 2" xfId="9247" xr:uid="{970D03F2-BBB9-4C0D-8757-B7A48CFA4EB8}"/>
    <cellStyle name="Normal 2 10 4 2 4" xfId="9245" xr:uid="{195F09CE-DB48-4055-B1AA-50DD807BE8E6}"/>
    <cellStyle name="Normal 2 10 4 3" xfId="389" xr:uid="{FCE66C55-FBBA-4581-BA9D-45FB38D46398}"/>
    <cellStyle name="Normal 2 10 4 3 2" xfId="9248" xr:uid="{2E2A724D-0738-4E7D-B643-67AF190E11A9}"/>
    <cellStyle name="Normal 2 10 4 4" xfId="390" xr:uid="{F51DA19D-C263-4C49-BA6E-EA7E70023F72}"/>
    <cellStyle name="Normal 2 10 4 4 2" xfId="9249" xr:uid="{81279EAB-FE1A-41DE-8130-4C1660A02810}"/>
    <cellStyle name="Normal 2 10 4 5" xfId="9244" xr:uid="{CBFA7E56-241E-4A15-8E1F-41B17AFB9222}"/>
    <cellStyle name="Normal 2 10 40" xfId="391" xr:uid="{58AB8ABC-E25C-46CE-BF53-6993791B8E7E}"/>
    <cellStyle name="Normal 2 10 40 2" xfId="392" xr:uid="{EB19C235-2C13-495D-9DE2-511AEE15B615}"/>
    <cellStyle name="Normal 2 10 40 2 2" xfId="393" xr:uid="{B82926E1-480F-4450-A219-979098879130}"/>
    <cellStyle name="Normal 2 10 40 2 2 2" xfId="9252" xr:uid="{C0D7DEB6-E4A3-4AAF-81A5-6F52AABFA901}"/>
    <cellStyle name="Normal 2 10 40 2 3" xfId="394" xr:uid="{2A75D8B9-A33D-467E-B5D1-FA22BA0E0FA6}"/>
    <cellStyle name="Normal 2 10 40 2 3 2" xfId="9253" xr:uid="{9264E5D5-B5AB-4417-A980-E9FC543132AF}"/>
    <cellStyle name="Normal 2 10 40 2 4" xfId="9251" xr:uid="{38921D36-DF2B-4D95-AD63-0C4D36299A5B}"/>
    <cellStyle name="Normal 2 10 40 3" xfId="395" xr:uid="{E241477C-FFE9-4F3B-A357-F165B3CC4DCF}"/>
    <cellStyle name="Normal 2 10 40 3 2" xfId="9254" xr:uid="{B2D47C35-D2D3-4E24-A88B-5B6DE9361A8F}"/>
    <cellStyle name="Normal 2 10 40 4" xfId="396" xr:uid="{2BC4405D-60D9-4D6E-A7BA-338CD4749275}"/>
    <cellStyle name="Normal 2 10 40 4 2" xfId="9255" xr:uid="{E9C70F97-E5B2-4CB2-99AF-38BBA620EC8D}"/>
    <cellStyle name="Normal 2 10 40 5" xfId="9250" xr:uid="{0672150E-E04B-48BF-956F-FC4441989ECD}"/>
    <cellStyle name="Normal 2 10 41" xfId="397" xr:uid="{72A7E92E-05F3-4D00-9C92-D3C0ABB4CE49}"/>
    <cellStyle name="Normal 2 10 41 2" xfId="398" xr:uid="{033A97A4-6416-4D7A-85BF-0A3BA45FFEB7}"/>
    <cellStyle name="Normal 2 10 41 2 2" xfId="399" xr:uid="{08920DEC-2CBF-497C-AF62-5895633439B4}"/>
    <cellStyle name="Normal 2 10 41 2 2 2" xfId="9258" xr:uid="{ED64EADC-615E-43B9-BA34-B5D2209F602E}"/>
    <cellStyle name="Normal 2 10 41 2 3" xfId="400" xr:uid="{ABC818A1-8F3C-417B-B01F-287CC76975E3}"/>
    <cellStyle name="Normal 2 10 41 2 3 2" xfId="9259" xr:uid="{3F1453C5-9F79-4D27-9C8D-7DA47B945228}"/>
    <cellStyle name="Normal 2 10 41 2 4" xfId="9257" xr:uid="{FAA90548-FDA9-4E2C-9812-98DB6F79B846}"/>
    <cellStyle name="Normal 2 10 41 3" xfId="401" xr:uid="{E4EB88DB-72DC-48FE-AD7D-34E8A5E653A8}"/>
    <cellStyle name="Normal 2 10 41 3 2" xfId="9260" xr:uid="{6DAFF5BD-AC69-4F28-A685-BA4A21A5F908}"/>
    <cellStyle name="Normal 2 10 41 4" xfId="402" xr:uid="{D8DBEB7B-83EF-4950-BB11-926BD542A03B}"/>
    <cellStyle name="Normal 2 10 41 4 2" xfId="9261" xr:uid="{457CDA17-7E11-4A8E-B0CA-335E250A51AE}"/>
    <cellStyle name="Normal 2 10 41 5" xfId="9256" xr:uid="{9B4D2D18-53DB-468F-BB09-4EC68F61ECF4}"/>
    <cellStyle name="Normal 2 10 42" xfId="403" xr:uid="{BC479DB6-CCCF-47AE-8735-A10E3F22A899}"/>
    <cellStyle name="Normal 2 10 42 2" xfId="404" xr:uid="{9BC86A26-8B21-4849-9580-F16C42C26A32}"/>
    <cellStyle name="Normal 2 10 42 2 2" xfId="405" xr:uid="{849C5A5F-A38B-454C-A43A-8B2A4A7BB4BA}"/>
    <cellStyle name="Normal 2 10 42 2 2 2" xfId="9264" xr:uid="{4024B116-9C34-4CAF-98A8-40F95548B38B}"/>
    <cellStyle name="Normal 2 10 42 2 3" xfId="406" xr:uid="{97F9A60F-28E9-424F-A5D8-F9ED1AAFAF20}"/>
    <cellStyle name="Normal 2 10 42 2 3 2" xfId="9265" xr:uid="{B0E8205A-90C9-47C0-844F-A2C59B9F7D46}"/>
    <cellStyle name="Normal 2 10 42 2 4" xfId="9263" xr:uid="{EBFB6933-F1DA-4D11-8B94-729E5A1AB783}"/>
    <cellStyle name="Normal 2 10 42 3" xfId="407" xr:uid="{7069C058-1C9C-4B08-B568-BB7CBFC5CCFA}"/>
    <cellStyle name="Normal 2 10 42 3 2" xfId="9266" xr:uid="{20EE84D5-B188-4168-AC39-4BFC7231644F}"/>
    <cellStyle name="Normal 2 10 42 4" xfId="408" xr:uid="{10A85BD5-6941-4F9E-8B99-4A4A47379A41}"/>
    <cellStyle name="Normal 2 10 42 4 2" xfId="9267" xr:uid="{2595FC81-2E78-49D6-86CD-375E45762BD7}"/>
    <cellStyle name="Normal 2 10 42 5" xfId="9262" xr:uid="{68415CF3-DC2E-490A-835C-D53AC1523385}"/>
    <cellStyle name="Normal 2 10 43" xfId="409" xr:uid="{DBCB28EA-0FF5-4DFB-A677-9E13B09E08F0}"/>
    <cellStyle name="Normal 2 10 43 2" xfId="410" xr:uid="{3A52AD05-8B7C-43C4-98DE-FBBF4F8D9488}"/>
    <cellStyle name="Normal 2 10 43 2 2" xfId="411" xr:uid="{FDE17942-99E0-492F-8FA9-0FE2C4C23DC4}"/>
    <cellStyle name="Normal 2 10 43 2 2 2" xfId="9270" xr:uid="{416D427A-2130-4713-8C4E-075070C5F812}"/>
    <cellStyle name="Normal 2 10 43 2 3" xfId="412" xr:uid="{7B2056C8-1904-44A1-8544-41B4A6F0FB6E}"/>
    <cellStyle name="Normal 2 10 43 2 3 2" xfId="9271" xr:uid="{1104DD1E-7AE7-419B-80E7-22DEEC261184}"/>
    <cellStyle name="Normal 2 10 43 2 4" xfId="9269" xr:uid="{249C2A22-B717-4A9F-8B76-B6BEB469C0FE}"/>
    <cellStyle name="Normal 2 10 43 3" xfId="413" xr:uid="{093CFDA8-741D-4E74-ABBB-0F5C084F6B1F}"/>
    <cellStyle name="Normal 2 10 43 3 2" xfId="9272" xr:uid="{C2E1E6B8-A1DE-4D36-B31B-F59D1E3E7C89}"/>
    <cellStyle name="Normal 2 10 43 4" xfId="414" xr:uid="{5D46D8B0-C7DA-465E-9691-454032BEE518}"/>
    <cellStyle name="Normal 2 10 43 4 2" xfId="9273" xr:uid="{0044CCE1-62D1-475D-A890-F3A72A182A21}"/>
    <cellStyle name="Normal 2 10 43 5" xfId="9268" xr:uid="{BA0BDE4D-FAA3-43F9-BD3D-4993B800AEF1}"/>
    <cellStyle name="Normal 2 10 44" xfId="415" xr:uid="{BA39A9AB-2338-4A7F-911A-EB525B67BA0A}"/>
    <cellStyle name="Normal 2 10 44 2" xfId="416" xr:uid="{9758E75C-04A3-489E-8F77-1684E81D6DAE}"/>
    <cellStyle name="Normal 2 10 44 2 2" xfId="9275" xr:uid="{2917DC3D-9100-4BDF-AADE-5DC643940C32}"/>
    <cellStyle name="Normal 2 10 44 3" xfId="417" xr:uid="{E44D4275-E4D7-4AED-ADFE-FD94B3F681F1}"/>
    <cellStyle name="Normal 2 10 44 3 2" xfId="9276" xr:uid="{A9FF3539-DA5C-435A-AE9F-D4262CC669D1}"/>
    <cellStyle name="Normal 2 10 44 4" xfId="9274" xr:uid="{BFE9075C-8897-49F5-B94A-A243773DC015}"/>
    <cellStyle name="Normal 2 10 45" xfId="418" xr:uid="{88B725B9-4B6A-444B-BC44-827C61C0B14F}"/>
    <cellStyle name="Normal 2 10 45 2" xfId="9277" xr:uid="{036C599D-6E5E-4990-9A3C-5994D6022FAE}"/>
    <cellStyle name="Normal 2 10 46" xfId="419" xr:uid="{ED5BDC7D-1B71-416C-921A-48E39F60EC45}"/>
    <cellStyle name="Normal 2 10 46 2" xfId="9278" xr:uid="{F6C1DE41-6AD1-4A6C-ABCF-BA29B6100F1E}"/>
    <cellStyle name="Normal 2 10 47" xfId="9051" xr:uid="{B248CF47-99B8-4A04-8BA9-59736098929F}"/>
    <cellStyle name="Normal 2 10 5" xfId="420" xr:uid="{C35C8523-6E9D-48C5-BF96-DFD99848F252}"/>
    <cellStyle name="Normal 2 10 5 2" xfId="421" xr:uid="{FEFFF9A8-DDA4-4EB3-8271-FD0A226DCF30}"/>
    <cellStyle name="Normal 2 10 5 2 2" xfId="422" xr:uid="{87AD102D-9FC1-4269-8BDC-4C697FBEB3DA}"/>
    <cellStyle name="Normal 2 10 5 2 2 2" xfId="9281" xr:uid="{01864635-227B-416B-AB3A-BE11D808F3E3}"/>
    <cellStyle name="Normal 2 10 5 2 3" xfId="423" xr:uid="{A15D1A6B-124D-4590-8C43-5FAA76E80FC5}"/>
    <cellStyle name="Normal 2 10 5 2 3 2" xfId="9282" xr:uid="{8258B899-D20B-45FA-8002-580A40262FAE}"/>
    <cellStyle name="Normal 2 10 5 2 4" xfId="9280" xr:uid="{FAA8AA17-B805-484D-918E-7EAD0746857E}"/>
    <cellStyle name="Normal 2 10 5 3" xfId="424" xr:uid="{8E96711E-3F9E-461A-B9A1-BDE007439653}"/>
    <cellStyle name="Normal 2 10 5 3 2" xfId="9283" xr:uid="{A12BF73D-1E78-45B4-A144-B9106FC1AB61}"/>
    <cellStyle name="Normal 2 10 5 4" xfId="425" xr:uid="{D4EBC8F2-B95C-4445-85E4-FDC753176CB0}"/>
    <cellStyle name="Normal 2 10 5 4 2" xfId="9284" xr:uid="{5F8C7819-886F-4706-80C1-5B5526FC0CD4}"/>
    <cellStyle name="Normal 2 10 5 5" xfId="9279" xr:uid="{26381C92-8398-4971-A007-0E78D55AA7E1}"/>
    <cellStyle name="Normal 2 10 6" xfId="426" xr:uid="{106835F3-7B98-42C8-943C-D346CCD7CA97}"/>
    <cellStyle name="Normal 2 10 6 2" xfId="427" xr:uid="{6CED7DCD-BAB2-44F6-B3EC-07D0142BAC21}"/>
    <cellStyle name="Normal 2 10 6 2 2" xfId="428" xr:uid="{50C36574-6CA1-4119-BA10-0DA7A77E0C13}"/>
    <cellStyle name="Normal 2 10 6 2 2 2" xfId="9287" xr:uid="{2456B88A-2CDD-4BC6-BEDB-5288CE00C956}"/>
    <cellStyle name="Normal 2 10 6 2 3" xfId="429" xr:uid="{869E24C0-883C-49C7-ADE5-200DC0F36816}"/>
    <cellStyle name="Normal 2 10 6 2 3 2" xfId="9288" xr:uid="{E897C266-7838-47EA-A4BA-A5439AF41D04}"/>
    <cellStyle name="Normal 2 10 6 2 4" xfId="9286" xr:uid="{3764B28C-CEEC-4F18-A451-B2E5C1CB8662}"/>
    <cellStyle name="Normal 2 10 6 3" xfId="430" xr:uid="{7410DC25-9C5B-4D08-B892-A1956F236238}"/>
    <cellStyle name="Normal 2 10 6 3 2" xfId="9289" xr:uid="{CE8C9D54-8C79-451E-8DCB-23E75653A315}"/>
    <cellStyle name="Normal 2 10 6 4" xfId="431" xr:uid="{52CCFE94-761D-47AC-A69A-1569AD9849B6}"/>
    <cellStyle name="Normal 2 10 6 4 2" xfId="9290" xr:uid="{FB587EB0-D951-495F-BE0E-389C4F7CA581}"/>
    <cellStyle name="Normal 2 10 6 5" xfId="9285" xr:uid="{CE1B6D1A-176F-4500-A742-2972C3EA10B9}"/>
    <cellStyle name="Normal 2 10 7" xfId="432" xr:uid="{68CFA913-4403-4E1C-9166-11CEFBE287A9}"/>
    <cellStyle name="Normal 2 10 7 2" xfId="433" xr:uid="{C25270ED-C6D8-43AC-BB66-240C0F9D4D0B}"/>
    <cellStyle name="Normal 2 10 7 2 2" xfId="434" xr:uid="{85BC9994-1A97-4EA4-8981-FA4D6E88206D}"/>
    <cellStyle name="Normal 2 10 7 2 2 2" xfId="9293" xr:uid="{7FEA2E73-DB97-4324-8AF5-34370377E33E}"/>
    <cellStyle name="Normal 2 10 7 2 3" xfId="435" xr:uid="{2FE4BEA2-0004-447F-9A7E-06AEA42CB198}"/>
    <cellStyle name="Normal 2 10 7 2 3 2" xfId="9294" xr:uid="{AA2DD44E-B4FD-4C42-B219-CEF926F0434C}"/>
    <cellStyle name="Normal 2 10 7 2 4" xfId="9292" xr:uid="{23012977-31E6-4751-943B-96F03DFC26DB}"/>
    <cellStyle name="Normal 2 10 7 3" xfId="436" xr:uid="{6301050A-D506-47D6-8AFB-16C46E3C781B}"/>
    <cellStyle name="Normal 2 10 7 3 2" xfId="9295" xr:uid="{187A09C4-B87C-4C41-90ED-0A978B6C2B59}"/>
    <cellStyle name="Normal 2 10 7 4" xfId="437" xr:uid="{2E533B6C-48F0-4AC9-ADDA-3A443928F176}"/>
    <cellStyle name="Normal 2 10 7 4 2" xfId="9296" xr:uid="{E8F33780-2A7A-4357-9463-85774EA1878E}"/>
    <cellStyle name="Normal 2 10 7 5" xfId="9291" xr:uid="{B97C0800-B621-4952-99AF-301F2CB8BA9C}"/>
    <cellStyle name="Normal 2 10 8" xfId="438" xr:uid="{C01B37B4-A82A-4C58-B2E5-CF984EAF44A2}"/>
    <cellStyle name="Normal 2 10 8 2" xfId="439" xr:uid="{2F3D51A3-3F48-4419-B395-04784E0072F4}"/>
    <cellStyle name="Normal 2 10 8 2 2" xfId="440" xr:uid="{C12C2440-6414-4D1D-B327-9D3ECCD71BA0}"/>
    <cellStyle name="Normal 2 10 8 2 2 2" xfId="9299" xr:uid="{D39F41E9-D8C6-48C9-B7F2-46AD09106F62}"/>
    <cellStyle name="Normal 2 10 8 2 3" xfId="441" xr:uid="{D99433EC-0689-4778-BCA9-2A2C0CFA96E2}"/>
    <cellStyle name="Normal 2 10 8 2 3 2" xfId="9300" xr:uid="{1EDD7D85-0E80-41C8-A66D-34433C777BBC}"/>
    <cellStyle name="Normal 2 10 8 2 4" xfId="9298" xr:uid="{263AFCE4-C989-4FE4-ACB2-CB083D27746A}"/>
    <cellStyle name="Normal 2 10 8 3" xfId="442" xr:uid="{BF1FE916-F6E0-4876-BB83-D87CE7234B1B}"/>
    <cellStyle name="Normal 2 10 8 3 2" xfId="9301" xr:uid="{A4903604-B9D7-4821-8FD8-A81E6D0AA00F}"/>
    <cellStyle name="Normal 2 10 8 4" xfId="443" xr:uid="{D991CEF1-3C49-4AED-83F3-1009690F8630}"/>
    <cellStyle name="Normal 2 10 8 4 2" xfId="9302" xr:uid="{15A8E75D-9E8B-436F-AD45-7F48C21E15E3}"/>
    <cellStyle name="Normal 2 10 8 5" xfId="9297" xr:uid="{8E260202-60CB-4BBA-BFA3-56C7167D127A}"/>
    <cellStyle name="Normal 2 10 9" xfId="444" xr:uid="{695A6AF0-F66A-45FF-882E-CBF6FAFEB6A7}"/>
    <cellStyle name="Normal 2 10 9 2" xfId="445" xr:uid="{7C41998A-797D-4949-879D-0D28A6F5127E}"/>
    <cellStyle name="Normal 2 10 9 2 2" xfId="446" xr:uid="{25DE4E77-511C-459E-A6A4-A046EC34A228}"/>
    <cellStyle name="Normal 2 10 9 2 2 2" xfId="9305" xr:uid="{7F3D2863-37DB-46D2-9F24-83FE3BDBF1D2}"/>
    <cellStyle name="Normal 2 10 9 2 3" xfId="447" xr:uid="{3F885D26-0094-48B5-945B-D4D0189145F2}"/>
    <cellStyle name="Normal 2 10 9 2 3 2" xfId="9306" xr:uid="{7E547685-F224-4079-92DC-C9222A136F9B}"/>
    <cellStyle name="Normal 2 10 9 2 4" xfId="9304" xr:uid="{5A5EB221-1268-47F2-A837-597F8B5918E9}"/>
    <cellStyle name="Normal 2 10 9 3" xfId="448" xr:uid="{CF386863-4979-488A-A27D-659E1EC34F95}"/>
    <cellStyle name="Normal 2 10 9 3 2" xfId="9307" xr:uid="{92D810BF-7D12-45DC-8A95-5FCBE4ADC79F}"/>
    <cellStyle name="Normal 2 10 9 4" xfId="449" xr:uid="{B9115DBA-723C-4440-99D2-FC5B8FF6EB54}"/>
    <cellStyle name="Normal 2 10 9 4 2" xfId="9308" xr:uid="{2B89F534-B35F-4504-99D5-5C075AD7463F}"/>
    <cellStyle name="Normal 2 10 9 5" xfId="9303" xr:uid="{99EB074F-2056-4679-8849-DA8A9F2CFE09}"/>
    <cellStyle name="Normal 2 11" xfId="450" xr:uid="{F373EE45-59BD-4178-9DED-0912EB8D11E6}"/>
    <cellStyle name="Normal 2 11 2" xfId="451" xr:uid="{ACF6CC4D-5464-46B0-BD25-8BC97E960814}"/>
    <cellStyle name="Normal 2 11 2 2" xfId="452" xr:uid="{9D95089F-910A-414D-AFF4-CB9FAC6CF426}"/>
    <cellStyle name="Normal 2 11 2 2 2" xfId="9311" xr:uid="{BD2D2C10-1DA2-4F6D-9D8D-996546E10F2C}"/>
    <cellStyle name="Normal 2 11 2 3" xfId="453" xr:uid="{9214EBFB-048C-42C9-A495-71CD0AAAC2BE}"/>
    <cellStyle name="Normal 2 11 2 3 2" xfId="9312" xr:uid="{4C647091-DF3C-4A82-88EF-F88130B13FC4}"/>
    <cellStyle name="Normal 2 11 2 4" xfId="9310" xr:uid="{0847902E-422A-4DE3-928C-6D5A4D2EA2B0}"/>
    <cellStyle name="Normal 2 11 3" xfId="454" xr:uid="{0D9A33C6-9D93-4A4E-8A85-4E78F417DB69}"/>
    <cellStyle name="Normal 2 11 3 2" xfId="9313" xr:uid="{357976EA-4E15-4D90-8812-B1C47A977237}"/>
    <cellStyle name="Normal 2 11 4" xfId="455" xr:uid="{5DA17AF0-1BBB-4FF5-8417-4589AA953091}"/>
    <cellStyle name="Normal 2 11 4 2" xfId="9314" xr:uid="{6BC9C373-796C-4165-98E3-82ECB6937A9E}"/>
    <cellStyle name="Normal 2 11 5" xfId="9309" xr:uid="{111182C9-15A4-498C-9D92-6FAF3EEA5F73}"/>
    <cellStyle name="Normal 2 12" xfId="456" xr:uid="{B2937B05-16A7-4A82-82D3-E48E94D88A21}"/>
    <cellStyle name="Normal 2 12 2" xfId="457" xr:uid="{5E34E4D3-20A3-4271-93BC-8BA70E285C34}"/>
    <cellStyle name="Normal 2 12 2 2" xfId="458" xr:uid="{9F137E45-47F0-4793-BE09-89E7A8D240EA}"/>
    <cellStyle name="Normal 2 12 2 2 2" xfId="9317" xr:uid="{0AD83B88-A1E7-4F53-BC2A-9EEA220FCBE2}"/>
    <cellStyle name="Normal 2 12 2 3" xfId="459" xr:uid="{446E4D8E-40CE-4241-9D6B-0EFC447590B9}"/>
    <cellStyle name="Normal 2 12 2 3 2" xfId="9318" xr:uid="{41C961FF-E8D6-40C5-8422-98109D24D21C}"/>
    <cellStyle name="Normal 2 12 2 4" xfId="9316" xr:uid="{DD28539F-006F-4E71-9BA2-6A0E4D4C3EA6}"/>
    <cellStyle name="Normal 2 12 3" xfId="460" xr:uid="{174B1A7C-C64C-459C-8DA1-E18319748BA0}"/>
    <cellStyle name="Normal 2 12 3 2" xfId="9319" xr:uid="{4162639B-28AD-45AC-937D-EFC7E00C9043}"/>
    <cellStyle name="Normal 2 12 4" xfId="461" xr:uid="{C2CA6670-9F52-4DE0-9028-6E6F5A77C3A3}"/>
    <cellStyle name="Normal 2 12 4 2" xfId="9320" xr:uid="{18DBCE67-4041-4F80-94FA-4E42FBDE7DBD}"/>
    <cellStyle name="Normal 2 12 5" xfId="9315" xr:uid="{69BA31B3-3E55-4C78-BE3F-687AD071E596}"/>
    <cellStyle name="Normal 2 13" xfId="462" xr:uid="{2912C5B8-9581-4050-A878-5DF0FB939DB3}"/>
    <cellStyle name="Normal 2 13 2" xfId="463" xr:uid="{44729006-866B-43A5-87BD-184064620083}"/>
    <cellStyle name="Normal 2 13 2 2" xfId="464" xr:uid="{94AD4A06-8FFD-4D98-AC10-87CB3810FFB1}"/>
    <cellStyle name="Normal 2 13 2 2 2" xfId="9323" xr:uid="{1BB3B48B-CC29-4959-8CE1-58788596EFD2}"/>
    <cellStyle name="Normal 2 13 2 3" xfId="465" xr:uid="{C9C301F1-6876-432E-856C-2C7C83259178}"/>
    <cellStyle name="Normal 2 13 2 3 2" xfId="9324" xr:uid="{8A60D699-5F3B-440D-AA6E-E9DA78905D59}"/>
    <cellStyle name="Normal 2 13 2 4" xfId="9322" xr:uid="{0CB9DD31-ACEB-4A9E-A825-3EE23E33EA60}"/>
    <cellStyle name="Normal 2 13 3" xfId="466" xr:uid="{7432E887-024D-4F1C-A22D-83257467ED2E}"/>
    <cellStyle name="Normal 2 13 3 2" xfId="9325" xr:uid="{691B4B33-5154-4B65-9E42-CE9B87933964}"/>
    <cellStyle name="Normal 2 13 4" xfId="467" xr:uid="{47D0D12A-47BB-42C3-8C91-DAD904B23D85}"/>
    <cellStyle name="Normal 2 13 4 2" xfId="9326" xr:uid="{A2999154-609B-414E-BFD0-AE6E2E3461A3}"/>
    <cellStyle name="Normal 2 13 5" xfId="9321" xr:uid="{B6040743-043C-4CE3-BBFC-E9491F7EB11E}"/>
    <cellStyle name="Normal 2 14" xfId="468" xr:uid="{B92FCCD8-F8E9-43A2-83CE-8FE1556EDB68}"/>
    <cellStyle name="Normal 2 14 2" xfId="469" xr:uid="{7D9CCDD2-E58A-4017-B222-7528DA5DF7F0}"/>
    <cellStyle name="Normal 2 14 2 2" xfId="470" xr:uid="{4C830862-5A03-49BC-AB2E-AE899BDB3A1E}"/>
    <cellStyle name="Normal 2 14 2 2 2" xfId="9329" xr:uid="{166DA933-AC92-4145-AC4B-533A4636DC33}"/>
    <cellStyle name="Normal 2 14 2 3" xfId="471" xr:uid="{CD3D3F8C-631B-4829-A870-391CB089DEBA}"/>
    <cellStyle name="Normal 2 14 2 3 2" xfId="9330" xr:uid="{F1BA70E6-04F5-4DB0-AA8F-771A3460D01D}"/>
    <cellStyle name="Normal 2 14 2 4" xfId="9328" xr:uid="{07CF1320-A9FC-48E9-978B-356CE792EA4A}"/>
    <cellStyle name="Normal 2 14 3" xfId="472" xr:uid="{2156B192-E6CA-4016-AA9B-137DD41FE5AA}"/>
    <cellStyle name="Normal 2 14 3 2" xfId="9331" xr:uid="{8E4373E0-8378-4467-8C6C-CD38064EFEB8}"/>
    <cellStyle name="Normal 2 14 4" xfId="473" xr:uid="{30AEDE6C-DEB5-452C-A816-85128A714A0E}"/>
    <cellStyle name="Normal 2 14 4 2" xfId="9332" xr:uid="{59681AD3-4E05-41A4-BC2E-7215C9D8102A}"/>
    <cellStyle name="Normal 2 14 5" xfId="9327" xr:uid="{14FEF455-0A36-4F8B-9E64-A992D80EAAE0}"/>
    <cellStyle name="Normal 2 15" xfId="474" xr:uid="{E80E04D2-7F33-44E0-BB0A-D5914A806236}"/>
    <cellStyle name="Normal 2 15 2" xfId="475" xr:uid="{305D5BA0-4869-4858-9EFF-38EF4C21B73D}"/>
    <cellStyle name="Normal 2 15 2 2" xfId="476" xr:uid="{F3AF4DA7-75D4-4BCE-99A5-6ADEF2622B42}"/>
    <cellStyle name="Normal 2 15 2 2 2" xfId="9335" xr:uid="{0CE0720E-3ACB-45F7-AC82-C709F05CE174}"/>
    <cellStyle name="Normal 2 15 2 3" xfId="477" xr:uid="{12382A84-FD0D-4EB4-B8F6-0AF81661FA84}"/>
    <cellStyle name="Normal 2 15 2 3 2" xfId="9336" xr:uid="{E77AB89F-431C-4B15-A9D2-BFEC865D9D97}"/>
    <cellStyle name="Normal 2 15 2 4" xfId="9334" xr:uid="{10A33AFF-CD6C-4A3B-887D-0A2A4312B73E}"/>
    <cellStyle name="Normal 2 15 3" xfId="478" xr:uid="{6A56FEBC-903F-4FD4-B5CB-8EA0FC9424D4}"/>
    <cellStyle name="Normal 2 15 3 2" xfId="9337" xr:uid="{C8FCD0FA-4045-475A-964C-90B9B4847406}"/>
    <cellStyle name="Normal 2 15 4" xfId="479" xr:uid="{B79CF892-D895-477B-A4FC-3121FD9A859F}"/>
    <cellStyle name="Normal 2 15 4 2" xfId="9338" xr:uid="{836D79C9-EC5D-4A50-85C4-B72353943353}"/>
    <cellStyle name="Normal 2 15 5" xfId="9333" xr:uid="{6CA36571-D903-4626-ADE8-375F6920528A}"/>
    <cellStyle name="Normal 2 16" xfId="480" xr:uid="{2A785045-FBA8-4AED-AAEF-AE9BBCE77D0C}"/>
    <cellStyle name="Normal 2 16 2" xfId="481" xr:uid="{C4CAF609-742D-4127-AD87-8C55E64482FF}"/>
    <cellStyle name="Normal 2 16 2 2" xfId="482" xr:uid="{43302D5A-2FE4-44F3-B5DF-C2BCE72D80A0}"/>
    <cellStyle name="Normal 2 16 2 2 2" xfId="9341" xr:uid="{9CFFCC89-E675-433E-BC48-294ECA07CAD5}"/>
    <cellStyle name="Normal 2 16 2 3" xfId="483" xr:uid="{2771DA69-DCE7-4923-A486-C657A528D36F}"/>
    <cellStyle name="Normal 2 16 2 3 2" xfId="9342" xr:uid="{C395D68F-AD0B-44BA-B7C8-CE6D501E9C8F}"/>
    <cellStyle name="Normal 2 16 2 4" xfId="9340" xr:uid="{DEE61989-9C69-4746-8096-0D74F3062C6F}"/>
    <cellStyle name="Normal 2 16 3" xfId="484" xr:uid="{6613DB62-755C-407E-A51D-12B871262208}"/>
    <cellStyle name="Normal 2 16 3 2" xfId="9343" xr:uid="{399EB758-8C0F-427F-89D7-640EECF74D92}"/>
    <cellStyle name="Normal 2 16 4" xfId="485" xr:uid="{1C9F4074-5583-4926-B997-FB240FB02904}"/>
    <cellStyle name="Normal 2 16 4 2" xfId="9344" xr:uid="{45E2B1F9-A56C-4D85-BCE8-B935E98FB11E}"/>
    <cellStyle name="Normal 2 16 5" xfId="9339" xr:uid="{CAC4CBC7-2DBE-47AA-914D-D5DA4F7F83F6}"/>
    <cellStyle name="Normal 2 17" xfId="486" xr:uid="{762CDD57-709E-4069-BEBC-008E84491F73}"/>
    <cellStyle name="Normal 2 17 2" xfId="487" xr:uid="{3B63C901-970E-4FDF-9E51-82D6111B6343}"/>
    <cellStyle name="Normal 2 17 2 2" xfId="488" xr:uid="{2A2EAB81-EFEC-4CFB-AEE6-1CF91B280668}"/>
    <cellStyle name="Normal 2 17 2 2 2" xfId="9347" xr:uid="{447B6E0A-4E05-443B-8233-9A9F7D52048D}"/>
    <cellStyle name="Normal 2 17 2 3" xfId="489" xr:uid="{BE97CD94-A207-407A-BC8E-1DB9D7015B60}"/>
    <cellStyle name="Normal 2 17 2 3 2" xfId="9348" xr:uid="{E51BCDC3-95B8-4F00-93CE-1D57DE8C8C69}"/>
    <cellStyle name="Normal 2 17 2 4" xfId="9346" xr:uid="{007CB39A-33F5-4242-95B3-1E322EECF11A}"/>
    <cellStyle name="Normal 2 17 3" xfId="490" xr:uid="{525A8DB5-54EA-462C-BBD9-513806AD5826}"/>
    <cellStyle name="Normal 2 17 3 2" xfId="9349" xr:uid="{C16DAEF0-D5B1-4748-87D7-16D9DD88C306}"/>
    <cellStyle name="Normal 2 17 4" xfId="491" xr:uid="{1DE723C0-766F-4C45-9910-4FE91B7DD337}"/>
    <cellStyle name="Normal 2 17 4 2" xfId="9350" xr:uid="{2FDDFCB6-B47B-49A2-B2F2-1C30AE4E3829}"/>
    <cellStyle name="Normal 2 17 5" xfId="9345" xr:uid="{4CAEE673-10C8-41F4-8A81-A45791D6BA1A}"/>
    <cellStyle name="Normal 2 18" xfId="492" xr:uid="{F7E8D4B7-3F57-48F4-B0CC-629CE19497BA}"/>
    <cellStyle name="Normal 2 18 2" xfId="493" xr:uid="{FEA1A392-6356-44B2-92D9-E74820445CA9}"/>
    <cellStyle name="Normal 2 18 2 2" xfId="494" xr:uid="{5E12472D-D577-4C2C-B84F-3943BC73B8DC}"/>
    <cellStyle name="Normal 2 18 2 2 2" xfId="9353" xr:uid="{82574E64-EA4A-4897-822E-2EEFA5F38F30}"/>
    <cellStyle name="Normal 2 18 2 3" xfId="495" xr:uid="{ADE1E72B-84EE-4EFF-B110-C22D5065589D}"/>
    <cellStyle name="Normal 2 18 2 3 2" xfId="9354" xr:uid="{C9F7298C-BB09-4FB4-8261-2D958DE97F62}"/>
    <cellStyle name="Normal 2 18 2 4" xfId="9352" xr:uid="{205080E5-6C16-464C-9655-7D53F1B0FE9E}"/>
    <cellStyle name="Normal 2 18 3" xfId="496" xr:uid="{4DC620EA-BC5F-47AC-A695-5EC3517C8BBF}"/>
    <cellStyle name="Normal 2 18 3 2" xfId="9355" xr:uid="{CF72D143-E707-413F-B166-E17CFF605295}"/>
    <cellStyle name="Normal 2 18 4" xfId="497" xr:uid="{58BF7AFE-E63A-4AFD-BDEB-6105F7F50D88}"/>
    <cellStyle name="Normal 2 18 4 2" xfId="9356" xr:uid="{DA4BA8B1-A18D-461B-A630-8CBC6D30DFC4}"/>
    <cellStyle name="Normal 2 18 5" xfId="9351" xr:uid="{163D1CA9-482E-4B22-8E49-1B2A66632DFA}"/>
    <cellStyle name="Normal 2 19" xfId="498" xr:uid="{2D88BE56-1007-4813-B586-B3C5108F7134}"/>
    <cellStyle name="Normal 2 19 2" xfId="499" xr:uid="{42FE016F-DEC4-4526-8626-05B65F3E6A31}"/>
    <cellStyle name="Normal 2 19 2 2" xfId="500" xr:uid="{47501533-58AF-4EFF-B037-106D804A8264}"/>
    <cellStyle name="Normal 2 19 2 2 2" xfId="9359" xr:uid="{43DE7F38-B429-489D-A902-F075C5AC882A}"/>
    <cellStyle name="Normal 2 19 2 3" xfId="501" xr:uid="{8054C43C-EF60-467F-81F6-DEDA5B2DFE78}"/>
    <cellStyle name="Normal 2 19 2 3 2" xfId="9360" xr:uid="{94A771B6-1561-4B19-BA4C-FE4B748E6FC2}"/>
    <cellStyle name="Normal 2 19 2 4" xfId="9358" xr:uid="{9760717C-3AE9-4BD2-A51A-6036FDBEE271}"/>
    <cellStyle name="Normal 2 19 3" xfId="502" xr:uid="{F4084CF0-610E-42F9-AEA6-22823FB1D577}"/>
    <cellStyle name="Normal 2 19 3 2" xfId="9361" xr:uid="{2EC47C36-BE46-4FD5-A83F-DB720C6C139F}"/>
    <cellStyle name="Normal 2 19 4" xfId="503" xr:uid="{76E4BCF3-FE26-415A-9E92-ACCC4BE7F0F4}"/>
    <cellStyle name="Normal 2 19 4 2" xfId="9362" xr:uid="{D362FA80-1D45-4DCD-AF79-6293C5EA76C6}"/>
    <cellStyle name="Normal 2 19 5" xfId="9357" xr:uid="{EDE2A8CB-0B66-440A-BEDC-15F791DC9588}"/>
    <cellStyle name="Normal 2 2" xfId="15" xr:uid="{A3FC42A9-8416-4A6B-B05F-C65E14962061}"/>
    <cellStyle name="Normal 2 2 10" xfId="505" xr:uid="{5122DF04-9511-4E7C-A098-B0FAB53BAB05}"/>
    <cellStyle name="Normal 2 2 10 2" xfId="506" xr:uid="{59505325-95D7-4684-B21C-F1E61E4B856F}"/>
    <cellStyle name="Normal 2 2 10 2 2" xfId="507" xr:uid="{046BD412-AF30-40E7-9EEE-928DCBE0BCC7}"/>
    <cellStyle name="Normal 2 2 10 2 2 2" xfId="9366" xr:uid="{6D6A4FD2-AC1D-4DD7-812B-9E5A383E4992}"/>
    <cellStyle name="Normal 2 2 10 2 3" xfId="508" xr:uid="{F420E701-19B5-4E31-8515-AE2B7C7F0D3C}"/>
    <cellStyle name="Normal 2 2 10 2 3 2" xfId="9367" xr:uid="{7D2D1D2D-171A-48F9-BB2A-3090D0FABFDA}"/>
    <cellStyle name="Normal 2 2 10 2 4" xfId="9365" xr:uid="{4E83C759-11C0-4153-BB8E-9682ECAB0AFF}"/>
    <cellStyle name="Normal 2 2 10 3" xfId="509" xr:uid="{01616046-2870-4DFA-A709-2291A1A426BC}"/>
    <cellStyle name="Normal 2 2 10 3 2" xfId="9368" xr:uid="{19F920D0-9C3C-4B83-8F38-E67836CF2034}"/>
    <cellStyle name="Normal 2 2 10 4" xfId="510" xr:uid="{B46C57F8-BB29-446F-BC80-D800BE428DA1}"/>
    <cellStyle name="Normal 2 2 10 4 2" xfId="9369" xr:uid="{B9D1B9D8-68F4-4243-B4BD-BA58905DD92B}"/>
    <cellStyle name="Normal 2 2 10 5" xfId="9364" xr:uid="{5884F53E-0847-42ED-BDB0-A8CF5C4CF14E}"/>
    <cellStyle name="Normal 2 2 11" xfId="511" xr:uid="{A32873D8-7CFC-4E9E-BFEE-7D94F4B94F20}"/>
    <cellStyle name="Normal 2 2 11 2" xfId="512" xr:uid="{FF71E40F-6545-45BA-93B2-A36CFCFEAF1C}"/>
    <cellStyle name="Normal 2 2 11 2 2" xfId="513" xr:uid="{E5D32FA2-6E06-4B96-ACB6-7B5D634496B6}"/>
    <cellStyle name="Normal 2 2 11 2 2 2" xfId="9372" xr:uid="{0EC5866E-19F3-42E9-AE63-8FBFB165C689}"/>
    <cellStyle name="Normal 2 2 11 2 3" xfId="514" xr:uid="{B8D5BC2C-5C83-4457-97B1-F1146822E6FA}"/>
    <cellStyle name="Normal 2 2 11 2 3 2" xfId="9373" xr:uid="{819C88AD-33D9-4DFA-A3E2-9ABFEE0B56F6}"/>
    <cellStyle name="Normal 2 2 11 2 4" xfId="9371" xr:uid="{E479106F-EC60-4D97-9FC0-E8C456529766}"/>
    <cellStyle name="Normal 2 2 11 3" xfId="515" xr:uid="{067400C8-7259-480B-A741-12FF30F54EA3}"/>
    <cellStyle name="Normal 2 2 11 3 2" xfId="9374" xr:uid="{1CDA784C-1BE6-4DE6-8A44-D78B249C1AFC}"/>
    <cellStyle name="Normal 2 2 11 4" xfId="516" xr:uid="{6AD50269-5824-466E-AF4B-FB9757DE1219}"/>
    <cellStyle name="Normal 2 2 11 4 2" xfId="9375" xr:uid="{BF98187C-B043-4553-B2BB-11BD28561DC4}"/>
    <cellStyle name="Normal 2 2 11 5" xfId="9370" xr:uid="{2E5D76EE-8D7F-44AB-B77F-594BC238749E}"/>
    <cellStyle name="Normal 2 2 12" xfId="517" xr:uid="{5E9A451C-48B0-498B-A352-36A5653E82C7}"/>
    <cellStyle name="Normal 2 2 12 2" xfId="518" xr:uid="{62F37502-177D-4B7C-8CBB-99D8EDD175C9}"/>
    <cellStyle name="Normal 2 2 12 2 2" xfId="519" xr:uid="{C71D35A9-8D5E-40B6-8944-E72266B931ED}"/>
    <cellStyle name="Normal 2 2 12 2 2 2" xfId="9378" xr:uid="{8E02335F-2630-4CEB-B040-A5BF15E272E4}"/>
    <cellStyle name="Normal 2 2 12 2 3" xfId="520" xr:uid="{EDA89791-EBA3-4F1A-B4FB-7EBF825001A7}"/>
    <cellStyle name="Normal 2 2 12 2 3 2" xfId="9379" xr:uid="{37EF27ED-91B9-4E4F-A06F-AB1DE3A05598}"/>
    <cellStyle name="Normal 2 2 12 2 4" xfId="9377" xr:uid="{9CE085BE-97FD-4E3B-B033-55BD0DE6463C}"/>
    <cellStyle name="Normal 2 2 12 3" xfId="521" xr:uid="{52FD62C8-755C-439C-86DC-C374C7A9EB4E}"/>
    <cellStyle name="Normal 2 2 12 3 2" xfId="9380" xr:uid="{02D82B34-485D-48BD-A4BA-1F4E39CA1912}"/>
    <cellStyle name="Normal 2 2 12 4" xfId="522" xr:uid="{926C6644-260F-49A7-A624-2BE7CE83CDBB}"/>
    <cellStyle name="Normal 2 2 12 4 2" xfId="9381" xr:uid="{A0F18AA9-71EB-4CF6-A744-51DB81ADB6C2}"/>
    <cellStyle name="Normal 2 2 12 5" xfId="9376" xr:uid="{1C67B757-C87C-42C4-A2F0-6994E8EE1F0B}"/>
    <cellStyle name="Normal 2 2 13" xfId="523" xr:uid="{6FBF512E-C166-457F-9DBC-1D59EA6E9577}"/>
    <cellStyle name="Normal 2 2 13 2" xfId="524" xr:uid="{55D8B16D-10BE-49F9-9DD1-7E0C4095658E}"/>
    <cellStyle name="Normal 2 2 13 2 2" xfId="525" xr:uid="{D9D81D61-C949-4F27-8C71-41DD9DED35BC}"/>
    <cellStyle name="Normal 2 2 13 2 2 2" xfId="9384" xr:uid="{E8BB2C37-96CD-4912-8A84-11DD2DDB91F6}"/>
    <cellStyle name="Normal 2 2 13 2 3" xfId="526" xr:uid="{2A979E0B-DAE3-4F6E-909C-E34A027B82CA}"/>
    <cellStyle name="Normal 2 2 13 2 3 2" xfId="9385" xr:uid="{BE02A35B-DD27-4DBD-ABB7-C41ECA6013F7}"/>
    <cellStyle name="Normal 2 2 13 2 4" xfId="9383" xr:uid="{A58BC708-7BDC-432F-9479-C20073001338}"/>
    <cellStyle name="Normal 2 2 13 3" xfId="527" xr:uid="{E8D608A7-8B0B-47B4-827C-4F7116CEC436}"/>
    <cellStyle name="Normal 2 2 13 3 2" xfId="9386" xr:uid="{A8C20D50-2C63-4BA5-90CC-D725B2E2A595}"/>
    <cellStyle name="Normal 2 2 13 4" xfId="528" xr:uid="{CE4120B5-1171-4E24-9A4F-80FAEFA75A76}"/>
    <cellStyle name="Normal 2 2 13 4 2" xfId="9387" xr:uid="{47EF1FC3-9B71-4ECD-A7A3-09C004344F84}"/>
    <cellStyle name="Normal 2 2 13 5" xfId="9382" xr:uid="{63C4D35A-AE32-4DB9-81CE-FEDF5B6713F7}"/>
    <cellStyle name="Normal 2 2 14" xfId="529" xr:uid="{CA1910A9-EA72-454E-9162-05CB34638332}"/>
    <cellStyle name="Normal 2 2 14 2" xfId="530" xr:uid="{3D2E8A65-A1F7-4ED3-895F-2334B34B692B}"/>
    <cellStyle name="Normal 2 2 14 2 2" xfId="531" xr:uid="{37F44FE6-6D52-471E-B662-7E937AC8C2D8}"/>
    <cellStyle name="Normal 2 2 14 2 2 2" xfId="9390" xr:uid="{E9956300-7002-4E07-9D6D-A2E1628EDB56}"/>
    <cellStyle name="Normal 2 2 14 2 3" xfId="532" xr:uid="{7D5FEA6D-C88F-437A-A9BA-3AF1F7DAEA7A}"/>
    <cellStyle name="Normal 2 2 14 2 3 2" xfId="9391" xr:uid="{847C93F9-4131-4759-B01F-B875B583CBAE}"/>
    <cellStyle name="Normal 2 2 14 2 4" xfId="9389" xr:uid="{F9A731CB-A32F-4ADF-8B81-DF11909EF8F0}"/>
    <cellStyle name="Normal 2 2 14 3" xfId="533" xr:uid="{889D5D3D-5794-41F8-9FC1-9DC979C1C530}"/>
    <cellStyle name="Normal 2 2 14 3 2" xfId="9392" xr:uid="{2CE4E014-B93A-4915-A29C-7524BD859865}"/>
    <cellStyle name="Normal 2 2 14 4" xfId="534" xr:uid="{D749FFE0-35FA-45E5-B9C0-A53B272355CC}"/>
    <cellStyle name="Normal 2 2 14 4 2" xfId="9393" xr:uid="{36B53363-3BC0-4AEE-90DF-3C3CE6D1F10F}"/>
    <cellStyle name="Normal 2 2 14 5" xfId="9388" xr:uid="{97F4A920-BEF0-4F86-984F-765998E706A2}"/>
    <cellStyle name="Normal 2 2 15" xfId="535" xr:uid="{2779AA91-8A18-4BBA-BC5E-8BC8DFF69219}"/>
    <cellStyle name="Normal 2 2 15 2" xfId="536" xr:uid="{7F58DBD3-6C9F-4DD1-912B-C38914F2C35D}"/>
    <cellStyle name="Normal 2 2 15 2 2" xfId="537" xr:uid="{B2CA3B41-F638-4A97-A9F1-404C989EA013}"/>
    <cellStyle name="Normal 2 2 15 2 2 2" xfId="9396" xr:uid="{56ECF421-3B7D-4096-986E-6C9BB2776B9A}"/>
    <cellStyle name="Normal 2 2 15 2 3" xfId="538" xr:uid="{137E2909-797D-4C2B-91E3-193C7A0A1E01}"/>
    <cellStyle name="Normal 2 2 15 2 3 2" xfId="9397" xr:uid="{4552567C-F666-4045-A98B-9ACBC872E568}"/>
    <cellStyle name="Normal 2 2 15 2 4" xfId="9395" xr:uid="{FD5DB00B-1CE1-4241-AB6C-548E628ACDBA}"/>
    <cellStyle name="Normal 2 2 15 3" xfId="539" xr:uid="{E62C9785-0FA8-4EAC-8E2A-924833065548}"/>
    <cellStyle name="Normal 2 2 15 3 2" xfId="9398" xr:uid="{91BA7C1B-AF1D-4461-85D1-4B223F5BEC03}"/>
    <cellStyle name="Normal 2 2 15 4" xfId="540" xr:uid="{B34626BF-21C7-483F-9CB9-45B8F96C79B0}"/>
    <cellStyle name="Normal 2 2 15 4 2" xfId="9399" xr:uid="{BD15615A-F42D-4370-A449-BB32122CC095}"/>
    <cellStyle name="Normal 2 2 15 5" xfId="9394" xr:uid="{C739CC9E-F62C-4036-9DD2-EC2F3CBABC35}"/>
    <cellStyle name="Normal 2 2 16" xfId="541" xr:uid="{840927D1-54F4-4C50-A7DF-4972BD99D167}"/>
    <cellStyle name="Normal 2 2 16 2" xfId="542" xr:uid="{9CB80A7C-C94E-4DF1-8FB3-EDC9CE90B9B8}"/>
    <cellStyle name="Normal 2 2 16 2 2" xfId="543" xr:uid="{E80476BF-84E3-4053-B3E0-D20A11913ECE}"/>
    <cellStyle name="Normal 2 2 16 2 2 2" xfId="9402" xr:uid="{96D48CAE-F4BA-4DF7-A47C-CD2F10DD0BCA}"/>
    <cellStyle name="Normal 2 2 16 2 3" xfId="544" xr:uid="{2B75FB90-1272-41CD-8EE7-4B742D13268D}"/>
    <cellStyle name="Normal 2 2 16 2 3 2" xfId="9403" xr:uid="{23E8FD5F-BD4C-4E7E-8DD3-2B43223E029A}"/>
    <cellStyle name="Normal 2 2 16 2 4" xfId="9401" xr:uid="{403D055A-EF6D-430D-A706-276AD50B2950}"/>
    <cellStyle name="Normal 2 2 16 3" xfId="545" xr:uid="{4942D44C-E6B0-4A39-B54B-F19C08C805D1}"/>
    <cellStyle name="Normal 2 2 16 3 2" xfId="9404" xr:uid="{32E61BFB-15C7-45C0-9486-0F3C74B4B1A0}"/>
    <cellStyle name="Normal 2 2 16 4" xfId="546" xr:uid="{24B6106A-9E93-42F4-9BE2-3460604C1B02}"/>
    <cellStyle name="Normal 2 2 16 4 2" xfId="9405" xr:uid="{62444127-97B9-46D0-869F-DBB575441AC8}"/>
    <cellStyle name="Normal 2 2 16 5" xfId="9400" xr:uid="{3B426BAF-A357-4491-B0E4-21FCFA035FB8}"/>
    <cellStyle name="Normal 2 2 17" xfId="547" xr:uid="{19C666E4-4850-4915-A800-9E63CBD38A56}"/>
    <cellStyle name="Normal 2 2 17 2" xfId="548" xr:uid="{FB973731-0A61-47E0-B521-1A0ABFFBC4E4}"/>
    <cellStyle name="Normal 2 2 17 2 2" xfId="549" xr:uid="{373954D4-3DBE-4556-BC07-A2C191DB8970}"/>
    <cellStyle name="Normal 2 2 17 2 2 2" xfId="9408" xr:uid="{D25BB042-713A-41DB-9108-935A08607A62}"/>
    <cellStyle name="Normal 2 2 17 2 3" xfId="550" xr:uid="{40C9196B-0E3F-49CE-B0DC-C4C6220AA8D3}"/>
    <cellStyle name="Normal 2 2 17 2 3 2" xfId="9409" xr:uid="{4CE16116-3E9C-450A-8F64-4612F0D0DB55}"/>
    <cellStyle name="Normal 2 2 17 2 4" xfId="9407" xr:uid="{9683403E-93E8-4511-9601-07077DAD431C}"/>
    <cellStyle name="Normal 2 2 17 3" xfId="551" xr:uid="{DFC8B143-FD4E-4BA0-A3B5-77C269677152}"/>
    <cellStyle name="Normal 2 2 17 3 2" xfId="9410" xr:uid="{04BB5F96-03EC-411D-993D-5941410A9169}"/>
    <cellStyle name="Normal 2 2 17 4" xfId="552" xr:uid="{01EE1586-C72B-41F2-89DD-4CD2107B5ED7}"/>
    <cellStyle name="Normal 2 2 17 4 2" xfId="9411" xr:uid="{CD9807FE-89E6-4071-9B16-A04D8392D804}"/>
    <cellStyle name="Normal 2 2 17 5" xfId="9406" xr:uid="{1CB64ADC-8A2B-4C70-87E4-CBE3B9090868}"/>
    <cellStyle name="Normal 2 2 18" xfId="553" xr:uid="{283D5790-2BD8-44D7-AEB4-6FC4DE4CFFE0}"/>
    <cellStyle name="Normal 2 2 18 2" xfId="554" xr:uid="{B53E1655-F327-488A-BC4E-B7CDED1CEAFD}"/>
    <cellStyle name="Normal 2 2 18 2 2" xfId="555" xr:uid="{93A0CC57-0487-4D7B-BB4B-20DB1195B47C}"/>
    <cellStyle name="Normal 2 2 18 2 2 2" xfId="9414" xr:uid="{7DBED85E-D186-4CA7-A0EB-AF772BF186B5}"/>
    <cellStyle name="Normal 2 2 18 2 3" xfId="556" xr:uid="{A88F4AD5-FE97-4D54-8587-9FD23B386A46}"/>
    <cellStyle name="Normal 2 2 18 2 3 2" xfId="9415" xr:uid="{6A82DCC1-EEA1-4559-A9EA-E33538AD0685}"/>
    <cellStyle name="Normal 2 2 18 2 4" xfId="9413" xr:uid="{DB7F96AC-E4C6-4B46-97F5-15ECB3AE5FA1}"/>
    <cellStyle name="Normal 2 2 18 3" xfId="557" xr:uid="{D5BD1EAC-FEB2-46C8-A6E5-A881B98D655A}"/>
    <cellStyle name="Normal 2 2 18 3 2" xfId="9416" xr:uid="{1ED9EB13-FAB9-4A63-919E-5010A7688049}"/>
    <cellStyle name="Normal 2 2 18 4" xfId="558" xr:uid="{748E6315-DF50-4666-8997-FA8CA8FA1C61}"/>
    <cellStyle name="Normal 2 2 18 4 2" xfId="9417" xr:uid="{C0FAB5D3-203E-4EC1-A756-B68AC9DF7CB1}"/>
    <cellStyle name="Normal 2 2 18 5" xfId="9412" xr:uid="{73A78F94-687F-42C8-AF2E-9FA3A1016AE0}"/>
    <cellStyle name="Normal 2 2 19" xfId="559" xr:uid="{767BC9B3-01C0-4978-907B-A10D3EAC1C33}"/>
    <cellStyle name="Normal 2 2 19 2" xfId="560" xr:uid="{45D38538-7A8B-4D86-8CAA-CED7ADBBA9E6}"/>
    <cellStyle name="Normal 2 2 19 2 2" xfId="561" xr:uid="{2034F24F-DD69-424C-8E9D-541DD7C19492}"/>
    <cellStyle name="Normal 2 2 19 2 2 2" xfId="9420" xr:uid="{35AC00D4-1E7C-4D29-AB94-BE381222D6D9}"/>
    <cellStyle name="Normal 2 2 19 2 3" xfId="562" xr:uid="{5B39A860-14A9-4D19-BEA0-39F0BAE99A10}"/>
    <cellStyle name="Normal 2 2 19 2 3 2" xfId="9421" xr:uid="{A9F18382-D2BB-4894-B695-54204179392C}"/>
    <cellStyle name="Normal 2 2 19 2 4" xfId="9419" xr:uid="{87128EBB-FE9C-4E4B-9A24-39E7A26CE9A2}"/>
    <cellStyle name="Normal 2 2 19 3" xfId="563" xr:uid="{17C7FEE5-D694-40FE-99FE-97AB28CBD697}"/>
    <cellStyle name="Normal 2 2 19 3 2" xfId="9422" xr:uid="{35D58A09-CCE1-474B-81C8-9487D438AFE4}"/>
    <cellStyle name="Normal 2 2 19 4" xfId="564" xr:uid="{B0FEBCCC-DA8E-495E-AF68-973D98A24C86}"/>
    <cellStyle name="Normal 2 2 19 4 2" xfId="9423" xr:uid="{708295BF-0AB4-4D58-A40F-D72383C62267}"/>
    <cellStyle name="Normal 2 2 19 5" xfId="9418" xr:uid="{4E46748D-229F-4283-A016-548D4D46AF7B}"/>
    <cellStyle name="Normal 2 2 2" xfId="565" xr:uid="{2AAA2088-3F1F-4F0C-8D29-A40287BB542C}"/>
    <cellStyle name="Normal 2 2 2 10" xfId="566" xr:uid="{64703E3D-31DB-43E0-8FB2-2C6A653F7039}"/>
    <cellStyle name="Normal 2 2 2 10 2" xfId="567" xr:uid="{A8C04995-3114-4642-980F-3A92D9DE70A1}"/>
    <cellStyle name="Normal 2 2 2 10 2 2" xfId="568" xr:uid="{F1C3F0A5-5BAD-470A-B4AF-2A3C4953CFC6}"/>
    <cellStyle name="Normal 2 2 2 10 2 2 2" xfId="9427" xr:uid="{61C57B26-F269-4DEB-BB8C-9C4255758C5D}"/>
    <cellStyle name="Normal 2 2 2 10 2 3" xfId="569" xr:uid="{C34F86D8-F913-4D1B-A21D-07225718CAF3}"/>
    <cellStyle name="Normal 2 2 2 10 2 3 2" xfId="9428" xr:uid="{11FBAEA0-D6BD-484E-B789-76B526DAC498}"/>
    <cellStyle name="Normal 2 2 2 10 2 4" xfId="9426" xr:uid="{066D2994-0264-499C-85AD-B054AE0C57ED}"/>
    <cellStyle name="Normal 2 2 2 10 3" xfId="570" xr:uid="{944242A3-8ACA-406A-8D2E-37610FE5EE76}"/>
    <cellStyle name="Normal 2 2 2 10 3 2" xfId="9429" xr:uid="{C5C23AF6-816A-430D-9D83-D0F46CD0420A}"/>
    <cellStyle name="Normal 2 2 2 10 4" xfId="571" xr:uid="{6C132D9F-3B82-4471-B382-73D398DCE4B4}"/>
    <cellStyle name="Normal 2 2 2 10 4 2" xfId="9430" xr:uid="{E76A6147-91F9-4910-85F7-44A77FAFC9E6}"/>
    <cellStyle name="Normal 2 2 2 10 5" xfId="9425" xr:uid="{250AB167-5CD9-4D44-B0C9-9ED5FDE3FEEE}"/>
    <cellStyle name="Normal 2 2 2 11" xfId="572" xr:uid="{CAA25480-C153-4D13-8296-F3164736E4AD}"/>
    <cellStyle name="Normal 2 2 2 11 2" xfId="573" xr:uid="{AB6FA454-F9AB-4F51-80AB-E21ED7D37895}"/>
    <cellStyle name="Normal 2 2 2 11 2 2" xfId="574" xr:uid="{C4011B45-3AFC-47EC-ABF8-66E1405AA969}"/>
    <cellStyle name="Normal 2 2 2 11 2 2 2" xfId="9433" xr:uid="{0C6F0621-095C-43D0-A36D-DADFD9415CF4}"/>
    <cellStyle name="Normal 2 2 2 11 2 3" xfId="575" xr:uid="{BED74F0C-75FB-4BA1-B1A4-4529CAD896D7}"/>
    <cellStyle name="Normal 2 2 2 11 2 3 2" xfId="9434" xr:uid="{3F98D193-673D-4894-B576-D12F47D2D9BF}"/>
    <cellStyle name="Normal 2 2 2 11 2 4" xfId="9432" xr:uid="{FEA7D71F-0FD7-460B-9709-91EE4CF79E92}"/>
    <cellStyle name="Normal 2 2 2 11 3" xfId="576" xr:uid="{B3EB03C7-618A-49B3-BF2B-9DF68E5AD290}"/>
    <cellStyle name="Normal 2 2 2 11 3 2" xfId="9435" xr:uid="{16DCAACA-0954-4BB4-83E5-8C43E8E815D4}"/>
    <cellStyle name="Normal 2 2 2 11 4" xfId="577" xr:uid="{F6C83692-7EAE-43E6-B615-D6C3C0F506F2}"/>
    <cellStyle name="Normal 2 2 2 11 4 2" xfId="9436" xr:uid="{1D51D604-F0D0-4113-AADB-B565F87A0389}"/>
    <cellStyle name="Normal 2 2 2 11 5" xfId="9431" xr:uid="{CF38B06C-B83B-4050-ADD6-3BE9635CDE88}"/>
    <cellStyle name="Normal 2 2 2 12" xfId="578" xr:uid="{C065CF02-2249-43DF-966F-10D3C96EF4DC}"/>
    <cellStyle name="Normal 2 2 2 12 2" xfId="579" xr:uid="{5D88C9D2-3716-486E-B8E5-8594C2C645B5}"/>
    <cellStyle name="Normal 2 2 2 12 2 2" xfId="580" xr:uid="{3EEF0020-7536-4B41-B059-494F6315D116}"/>
    <cellStyle name="Normal 2 2 2 12 2 2 2" xfId="9439" xr:uid="{CCC34430-1576-422A-B3E8-B77E554883B1}"/>
    <cellStyle name="Normal 2 2 2 12 2 3" xfId="581" xr:uid="{1241D812-65FE-4AED-8F17-60124D65C21E}"/>
    <cellStyle name="Normal 2 2 2 12 2 3 2" xfId="9440" xr:uid="{FE102235-720A-4837-AB7B-63692A878F5F}"/>
    <cellStyle name="Normal 2 2 2 12 2 4" xfId="9438" xr:uid="{AA86A865-94DC-4C31-B210-A19A7D2C6846}"/>
    <cellStyle name="Normal 2 2 2 12 3" xfId="582" xr:uid="{0F455B2E-B922-410F-8E5F-B6540A3A1633}"/>
    <cellStyle name="Normal 2 2 2 12 3 2" xfId="9441" xr:uid="{42A5034D-2667-428F-9407-021A8A340914}"/>
    <cellStyle name="Normal 2 2 2 12 4" xfId="583" xr:uid="{3603E5AB-7F04-489B-B582-BDE554EE7ACB}"/>
    <cellStyle name="Normal 2 2 2 12 4 2" xfId="9442" xr:uid="{39D8E7C4-3BAD-485C-8ADC-8E0C1244BDCC}"/>
    <cellStyle name="Normal 2 2 2 12 5" xfId="9437" xr:uid="{A12CDC06-2024-4001-A939-D7A41ED85818}"/>
    <cellStyle name="Normal 2 2 2 13" xfId="584" xr:uid="{414829FE-43F5-4A4D-8D41-D85163C4665B}"/>
    <cellStyle name="Normal 2 2 2 13 2" xfId="585" xr:uid="{A4828A40-0560-4C8E-907F-6385A50986DA}"/>
    <cellStyle name="Normal 2 2 2 13 2 2" xfId="586" xr:uid="{78CDD69E-4374-4A43-8230-519D87942B38}"/>
    <cellStyle name="Normal 2 2 2 13 2 2 2" xfId="9445" xr:uid="{735E142E-D358-4C96-BE6C-0A7B7ED5E57C}"/>
    <cellStyle name="Normal 2 2 2 13 2 3" xfId="587" xr:uid="{1712BFEA-8684-4C50-97C3-528E59914D94}"/>
    <cellStyle name="Normal 2 2 2 13 2 3 2" xfId="9446" xr:uid="{0476106D-E1F4-4404-AE5D-2FC3AE743D3A}"/>
    <cellStyle name="Normal 2 2 2 13 2 4" xfId="9444" xr:uid="{D51C4ADE-CB97-4AB9-B192-558EB6AB0CB9}"/>
    <cellStyle name="Normal 2 2 2 13 3" xfId="588" xr:uid="{A6ABBD84-09EA-4083-A639-CC7D722F025F}"/>
    <cellStyle name="Normal 2 2 2 13 3 2" xfId="9447" xr:uid="{2A11519C-E1B0-4169-A1EE-2D01B6415582}"/>
    <cellStyle name="Normal 2 2 2 13 4" xfId="589" xr:uid="{2A8901D9-905A-46FA-8CD0-DFF6171B675A}"/>
    <cellStyle name="Normal 2 2 2 13 4 2" xfId="9448" xr:uid="{5BEE2F4D-2BDD-419D-AE18-6E9601D6B61A}"/>
    <cellStyle name="Normal 2 2 2 13 5" xfId="9443" xr:uid="{58C7B143-A9E3-485F-A312-7314FBC60854}"/>
    <cellStyle name="Normal 2 2 2 14" xfId="590" xr:uid="{2B73681F-1E19-4CEE-B839-48B77085FD11}"/>
    <cellStyle name="Normal 2 2 2 14 2" xfId="591" xr:uid="{5C04D395-50BB-437C-A1C3-903576BF93C9}"/>
    <cellStyle name="Normal 2 2 2 14 2 2" xfId="592" xr:uid="{3C44688A-EEFC-4211-A7F4-B521C76C0201}"/>
    <cellStyle name="Normal 2 2 2 14 2 2 2" xfId="9451" xr:uid="{0B7D1027-E0AE-4EE9-B395-519C9C63B0EF}"/>
    <cellStyle name="Normal 2 2 2 14 2 3" xfId="593" xr:uid="{607706D7-B678-4B94-B00B-F1B19F181A2B}"/>
    <cellStyle name="Normal 2 2 2 14 2 3 2" xfId="9452" xr:uid="{F598AD83-157A-45F3-82C0-5F91B2DA0481}"/>
    <cellStyle name="Normal 2 2 2 14 2 4" xfId="9450" xr:uid="{3004D1F5-D1CF-4186-AAE6-15BEF3069C11}"/>
    <cellStyle name="Normal 2 2 2 14 3" xfId="594" xr:uid="{D397B797-5B4F-495E-A305-92571BF22209}"/>
    <cellStyle name="Normal 2 2 2 14 3 2" xfId="9453" xr:uid="{D9A958EC-61D7-410D-B1A5-141F02A797CE}"/>
    <cellStyle name="Normal 2 2 2 14 4" xfId="595" xr:uid="{B5C42D63-7B89-4CCA-AABC-4EBD919F4AB5}"/>
    <cellStyle name="Normal 2 2 2 14 4 2" xfId="9454" xr:uid="{83C54E01-0940-43B0-94ED-B705AA41C69B}"/>
    <cellStyle name="Normal 2 2 2 14 5" xfId="9449" xr:uid="{B79FF4D4-CF06-451F-BAF3-66D101D3EC1B}"/>
    <cellStyle name="Normal 2 2 2 15" xfId="596" xr:uid="{7F05FEB5-FE03-4B62-9D25-00814688EB94}"/>
    <cellStyle name="Normal 2 2 2 15 2" xfId="597" xr:uid="{91B3FCFE-458D-4A2A-BC60-1D3D84C0D1D3}"/>
    <cellStyle name="Normal 2 2 2 15 2 2" xfId="598" xr:uid="{26E2F4D4-2FAD-4165-BDF6-7F61648E0A85}"/>
    <cellStyle name="Normal 2 2 2 15 2 2 2" xfId="9457" xr:uid="{96F0E36B-DD33-4765-9AC2-BF58D16AD3EA}"/>
    <cellStyle name="Normal 2 2 2 15 2 3" xfId="599" xr:uid="{EE5EF82A-FD9D-413B-8D47-54EA80FD8260}"/>
    <cellStyle name="Normal 2 2 2 15 2 3 2" xfId="9458" xr:uid="{665E2F9C-BF12-4098-A196-229273DA5B8E}"/>
    <cellStyle name="Normal 2 2 2 15 2 4" xfId="9456" xr:uid="{4281CF47-E9EA-414A-902D-1EC75284456F}"/>
    <cellStyle name="Normal 2 2 2 15 3" xfId="600" xr:uid="{C9501D98-A4F7-4F49-8EB9-DDA95A9F862B}"/>
    <cellStyle name="Normal 2 2 2 15 3 2" xfId="9459" xr:uid="{2E8B3054-4E6C-43A9-891E-7E2B4725FA99}"/>
    <cellStyle name="Normal 2 2 2 15 4" xfId="601" xr:uid="{B981BAD7-730E-4BAC-A197-854859A303C0}"/>
    <cellStyle name="Normal 2 2 2 15 4 2" xfId="9460" xr:uid="{1991F67B-0FC7-49EA-B5F2-9923F0AE6813}"/>
    <cellStyle name="Normal 2 2 2 15 5" xfId="9455" xr:uid="{EB55EE98-496D-4627-A5D1-E1FCE095AF7A}"/>
    <cellStyle name="Normal 2 2 2 16" xfId="602" xr:uid="{2D986224-67A7-4881-8AAF-51972A79F693}"/>
    <cellStyle name="Normal 2 2 2 16 2" xfId="603" xr:uid="{0E34935B-46B6-4E2B-B7BD-CAC229AD6A0D}"/>
    <cellStyle name="Normal 2 2 2 16 2 2" xfId="604" xr:uid="{E13A0AC2-0554-41FE-901D-89C8F9948F82}"/>
    <cellStyle name="Normal 2 2 2 16 2 2 2" xfId="9463" xr:uid="{F8EEA9A2-72DD-46F0-A5A7-E307B41B34E4}"/>
    <cellStyle name="Normal 2 2 2 16 2 3" xfId="605" xr:uid="{E1BFCE01-24F2-4F67-B87F-8CC58754BC3D}"/>
    <cellStyle name="Normal 2 2 2 16 2 3 2" xfId="9464" xr:uid="{B6CE21E1-9C7B-40E1-963D-BDC012C829C5}"/>
    <cellStyle name="Normal 2 2 2 16 2 4" xfId="9462" xr:uid="{BBB13D6F-2086-4913-BC7D-006B407D75C7}"/>
    <cellStyle name="Normal 2 2 2 16 3" xfId="606" xr:uid="{B7067123-FFA5-4A34-B486-52C2EF7E6880}"/>
    <cellStyle name="Normal 2 2 2 16 3 2" xfId="9465" xr:uid="{17CF8A71-368C-4E6D-B6B3-43BA9B689CC7}"/>
    <cellStyle name="Normal 2 2 2 16 4" xfId="607" xr:uid="{4121FBF0-A401-4820-867E-A565B81F1D7E}"/>
    <cellStyle name="Normal 2 2 2 16 4 2" xfId="9466" xr:uid="{4EFC353C-CE08-4236-B706-A41008497D97}"/>
    <cellStyle name="Normal 2 2 2 16 5" xfId="9461" xr:uid="{C40D8656-9CCF-4390-8395-AC1A7579E577}"/>
    <cellStyle name="Normal 2 2 2 17" xfId="608" xr:uid="{3B93779E-B372-4088-AA3A-193AD847C539}"/>
    <cellStyle name="Normal 2 2 2 17 2" xfId="609" xr:uid="{A850ADD8-7ED2-443A-8AB6-5959B609ECBA}"/>
    <cellStyle name="Normal 2 2 2 17 2 2" xfId="610" xr:uid="{310BEBEB-2C6E-466B-BBEE-7F4F246A5F46}"/>
    <cellStyle name="Normal 2 2 2 17 2 2 2" xfId="9469" xr:uid="{D47B5325-C9A1-4B18-AE31-17F13569F73C}"/>
    <cellStyle name="Normal 2 2 2 17 2 3" xfId="611" xr:uid="{D60861BD-47CC-44EC-A207-89902C4D070A}"/>
    <cellStyle name="Normal 2 2 2 17 2 3 2" xfId="9470" xr:uid="{677E219E-35FA-43DA-A1EA-D7FC8BEDEDC2}"/>
    <cellStyle name="Normal 2 2 2 17 2 4" xfId="9468" xr:uid="{872A3C00-CCDD-4EF9-AD4B-368A3C99FE6E}"/>
    <cellStyle name="Normal 2 2 2 17 3" xfId="612" xr:uid="{80252724-6312-4B79-A320-307FC72BECD1}"/>
    <cellStyle name="Normal 2 2 2 17 3 2" xfId="9471" xr:uid="{22972FFD-03D7-44F9-A890-0D872E650F22}"/>
    <cellStyle name="Normal 2 2 2 17 4" xfId="613" xr:uid="{81E73BA7-B889-43A5-AABE-1AA3AE2C6D7B}"/>
    <cellStyle name="Normal 2 2 2 17 4 2" xfId="9472" xr:uid="{5A97D5A0-4E96-4FF6-BB2F-9373CEC388A3}"/>
    <cellStyle name="Normal 2 2 2 17 5" xfId="9467" xr:uid="{46A5726C-17FD-4CFF-A96C-58207837BD1C}"/>
    <cellStyle name="Normal 2 2 2 18" xfId="614" xr:uid="{D4D08772-7D9B-40E7-A560-CC843A022B27}"/>
    <cellStyle name="Normal 2 2 2 18 2" xfId="615" xr:uid="{79294258-4CB5-48F1-80A7-5B9E0AA70945}"/>
    <cellStyle name="Normal 2 2 2 18 2 2" xfId="616" xr:uid="{52AA99AE-01CB-4489-8AB1-248793B2D38A}"/>
    <cellStyle name="Normal 2 2 2 18 2 2 2" xfId="9475" xr:uid="{CC53182B-C7D4-4C16-8A63-65E167993C7E}"/>
    <cellStyle name="Normal 2 2 2 18 2 3" xfId="617" xr:uid="{D73E8FE4-B411-4D12-8256-8E341C1C1FFA}"/>
    <cellStyle name="Normal 2 2 2 18 2 3 2" xfId="9476" xr:uid="{7DAA5BCF-B0E0-4074-94BE-FA27FD11FB17}"/>
    <cellStyle name="Normal 2 2 2 18 2 4" xfId="9474" xr:uid="{54927249-1D25-4B5A-B921-E8B313EC7022}"/>
    <cellStyle name="Normal 2 2 2 18 3" xfId="618" xr:uid="{8B16DC96-6FF8-4E71-A059-C7DA63198765}"/>
    <cellStyle name="Normal 2 2 2 18 3 2" xfId="9477" xr:uid="{86DB09C3-3CD8-4CD0-A812-4309B855BE21}"/>
    <cellStyle name="Normal 2 2 2 18 4" xfId="619" xr:uid="{7EB95BB9-077F-4B0E-8CCE-248C593B78AF}"/>
    <cellStyle name="Normal 2 2 2 18 4 2" xfId="9478" xr:uid="{D1AF3328-6D91-4D3A-9D56-2B8850903603}"/>
    <cellStyle name="Normal 2 2 2 18 5" xfId="9473" xr:uid="{F5D13678-2367-45FE-A99B-3E20CCD2D48A}"/>
    <cellStyle name="Normal 2 2 2 19" xfId="620" xr:uid="{B7DED24B-4B5C-4E75-B5AA-B418EAF39C36}"/>
    <cellStyle name="Normal 2 2 2 19 2" xfId="621" xr:uid="{87BDEBF2-BAD5-41F7-A139-E79878DBF76F}"/>
    <cellStyle name="Normal 2 2 2 19 2 2" xfId="622" xr:uid="{16971228-7658-41A1-A4E8-DCDC0C4E6476}"/>
    <cellStyle name="Normal 2 2 2 19 2 2 2" xfId="9481" xr:uid="{66CA6DE3-42EF-477F-A2C1-82C11ED99B4C}"/>
    <cellStyle name="Normal 2 2 2 19 2 3" xfId="623" xr:uid="{5BB5DE04-199D-4621-B4DC-9874E4F5220F}"/>
    <cellStyle name="Normal 2 2 2 19 2 3 2" xfId="9482" xr:uid="{ED47247B-FC4E-41FF-A52F-1868A6D64176}"/>
    <cellStyle name="Normal 2 2 2 19 2 4" xfId="9480" xr:uid="{5DB4046C-04FC-4C50-B0ED-DFA5263ED3C3}"/>
    <cellStyle name="Normal 2 2 2 19 3" xfId="624" xr:uid="{D1A92A6F-95D1-40C5-89E2-C0106DBF86A1}"/>
    <cellStyle name="Normal 2 2 2 19 3 2" xfId="9483" xr:uid="{22481B5E-ED07-4B3A-833B-2928DAB124CC}"/>
    <cellStyle name="Normal 2 2 2 19 4" xfId="625" xr:uid="{1F25C573-B9BF-4BFD-AF56-71EF08BB9A1A}"/>
    <cellStyle name="Normal 2 2 2 19 4 2" xfId="9484" xr:uid="{3A4391BB-6B1D-471B-AFCD-DFA614D2D7E9}"/>
    <cellStyle name="Normal 2 2 2 19 5" xfId="9479" xr:uid="{B6B879AC-2251-4E2F-AE9B-BF77E6DC9C04}"/>
    <cellStyle name="Normal 2 2 2 2" xfId="626" xr:uid="{D8353A86-C799-48B5-A437-1D5DB2A21CA2}"/>
    <cellStyle name="Normal 2 2 2 2 2" xfId="627" xr:uid="{E70EB1EA-B877-4CA7-84B2-9574D15416D1}"/>
    <cellStyle name="Normal 2 2 2 2 2 2" xfId="628" xr:uid="{2134F055-8976-41C4-AC68-9D43D97B95B6}"/>
    <cellStyle name="Normal 2 2 2 2 2 2 2" xfId="9487" xr:uid="{586A9320-2BF7-48B3-B654-733AC42489E0}"/>
    <cellStyle name="Normal 2 2 2 2 2 3" xfId="629" xr:uid="{AA5ED01B-186E-4190-9B87-510351512D04}"/>
    <cellStyle name="Normal 2 2 2 2 2 3 2" xfId="9488" xr:uid="{BD2959DF-5A8B-4E95-9E0F-D750A3A75DB3}"/>
    <cellStyle name="Normal 2 2 2 2 2 4" xfId="9486" xr:uid="{85ACAA44-2EA0-48B6-B367-75C85AA6F84F}"/>
    <cellStyle name="Normal 2 2 2 2 3" xfId="630" xr:uid="{44F676A1-983F-4C5F-8C76-D8CA218F9BEB}"/>
    <cellStyle name="Normal 2 2 2 2 3 2" xfId="9489" xr:uid="{42A8E712-F0BD-4AD9-B8B1-3EA62C89A211}"/>
    <cellStyle name="Normal 2 2 2 2 4" xfId="631" xr:uid="{8A557C53-8D55-4130-92E1-65EC0CE2DE22}"/>
    <cellStyle name="Normal 2 2 2 2 4 2" xfId="9490" xr:uid="{6FC79EC2-7F3C-462D-8789-9D4BE74E07C3}"/>
    <cellStyle name="Normal 2 2 2 2 5" xfId="632" xr:uid="{B6841465-F648-4B1E-B57F-FCE82D12F98E}"/>
    <cellStyle name="Normal 2 2 2 2 6" xfId="633" xr:uid="{5934C876-C2B5-416C-A5E1-FB464ADE5B1A}"/>
    <cellStyle name="Normal 2 2 2 2 6 2" xfId="9491" xr:uid="{BBDBEF33-7311-4860-B318-97F47E68528A}"/>
    <cellStyle name="Normal 2 2 2 2 7" xfId="634" xr:uid="{C318F9A2-EA30-44E4-A4D4-60CA3D761FC2}"/>
    <cellStyle name="Normal 2 2 2 2 8" xfId="9485" xr:uid="{F05EA93D-0856-4448-881E-8BC99779642A}"/>
    <cellStyle name="Normal 2 2 2 20" xfId="635" xr:uid="{FFB5C013-92C7-4A52-B341-6E4130281EE1}"/>
    <cellStyle name="Normal 2 2 2 20 2" xfId="636" xr:uid="{3B372917-D533-4665-9FAD-988F309EF3DA}"/>
    <cellStyle name="Normal 2 2 2 20 2 2" xfId="637" xr:uid="{A4BD7976-F5BB-434B-96B5-25D7D4958A09}"/>
    <cellStyle name="Normal 2 2 2 20 2 2 2" xfId="9494" xr:uid="{168CBD1F-BFAB-43B2-AC0B-717FF934A13A}"/>
    <cellStyle name="Normal 2 2 2 20 2 3" xfId="638" xr:uid="{4CF0F3C0-DEC5-43D8-A4D6-8F569F9C30F8}"/>
    <cellStyle name="Normal 2 2 2 20 2 3 2" xfId="9495" xr:uid="{6EC588F8-9435-46A1-9E3C-B36AD4B8D933}"/>
    <cellStyle name="Normal 2 2 2 20 2 4" xfId="9493" xr:uid="{A9A1D18D-F51B-41BB-A3F5-EA6380AE39C4}"/>
    <cellStyle name="Normal 2 2 2 20 3" xfId="639" xr:uid="{6758B6B8-68D9-4641-84A6-52C381D56041}"/>
    <cellStyle name="Normal 2 2 2 20 3 2" xfId="9496" xr:uid="{AE0181CD-DD6B-41BE-88A4-D58B677B9D83}"/>
    <cellStyle name="Normal 2 2 2 20 4" xfId="640" xr:uid="{053EDDC1-C8A8-424A-A362-1234EB880E70}"/>
    <cellStyle name="Normal 2 2 2 20 4 2" xfId="9497" xr:uid="{720530A0-B7A3-4AE8-8C71-A00B88C56383}"/>
    <cellStyle name="Normal 2 2 2 20 5" xfId="9492" xr:uid="{AF42DE2C-8709-4624-B9C6-201FF1ABAFBC}"/>
    <cellStyle name="Normal 2 2 2 21" xfId="641" xr:uid="{9BE87B35-5A2B-44EF-B2AA-C5DBA085FC58}"/>
    <cellStyle name="Normal 2 2 2 21 2" xfId="642" xr:uid="{FC8C437F-7571-46A2-A076-290BFD4CEAF0}"/>
    <cellStyle name="Normal 2 2 2 21 2 2" xfId="643" xr:uid="{586241C8-50A7-4280-9B5F-CCB35C1B118B}"/>
    <cellStyle name="Normal 2 2 2 21 2 2 2" xfId="9500" xr:uid="{25D23B74-B39B-423A-990C-58D735DE22AB}"/>
    <cellStyle name="Normal 2 2 2 21 2 3" xfId="644" xr:uid="{79B860EA-95E3-448E-8526-143A2DC3C085}"/>
    <cellStyle name="Normal 2 2 2 21 2 3 2" xfId="9501" xr:uid="{35169BA7-3035-4A24-8030-AC4F8DF24A14}"/>
    <cellStyle name="Normal 2 2 2 21 2 4" xfId="9499" xr:uid="{C796DC2D-5E08-4EF8-8F86-9958979D62D6}"/>
    <cellStyle name="Normal 2 2 2 21 3" xfId="645" xr:uid="{D74BA01A-80B8-45BE-8ACA-4D126633BEF0}"/>
    <cellStyle name="Normal 2 2 2 21 3 2" xfId="9502" xr:uid="{51C64355-E742-4EEB-A84D-4DF4079D1F3A}"/>
    <cellStyle name="Normal 2 2 2 21 4" xfId="646" xr:uid="{EC5D03F9-8F14-4C7F-9F75-A85AA3C5620E}"/>
    <cellStyle name="Normal 2 2 2 21 4 2" xfId="9503" xr:uid="{4456B89C-4D59-4FE6-8676-8DB22943774C}"/>
    <cellStyle name="Normal 2 2 2 21 5" xfId="9498" xr:uid="{2D7B76B9-EC91-42D5-BD9E-22FBC15707B3}"/>
    <cellStyle name="Normal 2 2 2 22" xfId="647" xr:uid="{D306FD29-2925-446E-A1D2-B72A3DF10C69}"/>
    <cellStyle name="Normal 2 2 2 22 2" xfId="648" xr:uid="{3A709258-72F9-4113-B513-A4AAD0649E73}"/>
    <cellStyle name="Normal 2 2 2 22 2 2" xfId="649" xr:uid="{6BEF62A7-70AB-4824-9BF7-F57061817AFE}"/>
    <cellStyle name="Normal 2 2 2 22 2 2 2" xfId="9506" xr:uid="{D80EC498-2444-48B8-A188-1C8C2B74F103}"/>
    <cellStyle name="Normal 2 2 2 22 2 3" xfId="650" xr:uid="{D46BA805-B19B-40F0-BD44-C4E713AE66C4}"/>
    <cellStyle name="Normal 2 2 2 22 2 3 2" xfId="9507" xr:uid="{D0CF82C2-E21C-4C48-B46C-F0D1618712B1}"/>
    <cellStyle name="Normal 2 2 2 22 2 4" xfId="9505" xr:uid="{6DCF62E4-2E26-4343-9463-93B69067822F}"/>
    <cellStyle name="Normal 2 2 2 22 3" xfId="651" xr:uid="{FAB3A407-D42E-4CD8-8F7B-3F727DCF1459}"/>
    <cellStyle name="Normal 2 2 2 22 3 2" xfId="9508" xr:uid="{EA0E6338-8C58-4D7E-9970-6320A6BDD2C4}"/>
    <cellStyle name="Normal 2 2 2 22 4" xfId="652" xr:uid="{C8402F3D-6D3F-493C-8228-625836D9704A}"/>
    <cellStyle name="Normal 2 2 2 22 4 2" xfId="9509" xr:uid="{3B2E83E9-6C14-4104-9E9D-A659C1EFE493}"/>
    <cellStyle name="Normal 2 2 2 22 5" xfId="9504" xr:uid="{D850B9EE-F74E-4E59-A449-753A478A27B6}"/>
    <cellStyle name="Normal 2 2 2 23" xfId="653" xr:uid="{AEC58E27-095D-47CF-B389-9D792DD2CA3E}"/>
    <cellStyle name="Normal 2 2 2 23 2" xfId="654" xr:uid="{F6D14AB9-72F8-4782-AD4A-D442DAA8600C}"/>
    <cellStyle name="Normal 2 2 2 23 2 2" xfId="655" xr:uid="{EA3F034E-D19C-46C4-B7D8-F6EEA40BC54F}"/>
    <cellStyle name="Normal 2 2 2 23 2 2 2" xfId="9512" xr:uid="{CFA61EFD-CF8D-4A99-8925-D15E38BF34B2}"/>
    <cellStyle name="Normal 2 2 2 23 2 3" xfId="656" xr:uid="{48B36ED4-6488-4452-A1EE-2AA0F24F1ACC}"/>
    <cellStyle name="Normal 2 2 2 23 2 3 2" xfId="9513" xr:uid="{B52B2D67-51F7-40E7-A997-109A7B276E2F}"/>
    <cellStyle name="Normal 2 2 2 23 2 4" xfId="9511" xr:uid="{52F42ADC-6A26-4F86-A499-993F6BA5B666}"/>
    <cellStyle name="Normal 2 2 2 23 3" xfId="657" xr:uid="{A987F409-3F56-470A-B30A-BA8777A20073}"/>
    <cellStyle name="Normal 2 2 2 23 3 2" xfId="9514" xr:uid="{1C07FAB7-EC11-4171-9C28-0CC970DFCE4A}"/>
    <cellStyle name="Normal 2 2 2 23 4" xfId="658" xr:uid="{2AF53244-64B7-42CF-B2EC-649AC4558497}"/>
    <cellStyle name="Normal 2 2 2 23 4 2" xfId="9515" xr:uid="{1C0AFBF4-C8FF-4003-9507-F431BE799332}"/>
    <cellStyle name="Normal 2 2 2 23 5" xfId="9510" xr:uid="{21A566BF-98A5-4CD4-924E-800E5840FF1E}"/>
    <cellStyle name="Normal 2 2 2 24" xfId="659" xr:uid="{801E74B2-3309-4774-8CA4-92B97996AC98}"/>
    <cellStyle name="Normal 2 2 2 24 2" xfId="660" xr:uid="{E69EC604-E75C-4761-B00C-75A7AD9F389B}"/>
    <cellStyle name="Normal 2 2 2 24 2 2" xfId="661" xr:uid="{CAA9BAF0-1875-435C-BBC9-6223A70E98D2}"/>
    <cellStyle name="Normal 2 2 2 24 2 2 2" xfId="9518" xr:uid="{D28D6EC0-71A9-4CBE-853B-91A60FD6F83F}"/>
    <cellStyle name="Normal 2 2 2 24 2 3" xfId="662" xr:uid="{8D51CD6A-354A-4315-B73B-FF3DB82A4D7A}"/>
    <cellStyle name="Normal 2 2 2 24 2 3 2" xfId="9519" xr:uid="{3EC059ED-F118-4A21-8A63-4DED8E933E44}"/>
    <cellStyle name="Normal 2 2 2 24 2 4" xfId="9517" xr:uid="{AB6F9346-5C8B-45D8-87FF-E08D1D41A14E}"/>
    <cellStyle name="Normal 2 2 2 24 3" xfId="663" xr:uid="{1C0341CE-AA5B-4AAB-9C2D-B33F71E2F147}"/>
    <cellStyle name="Normal 2 2 2 24 3 2" xfId="9520" xr:uid="{9A1117DC-F40A-4C86-B186-C80FA598038D}"/>
    <cellStyle name="Normal 2 2 2 24 4" xfId="664" xr:uid="{2C367B1A-88DB-47CF-A8E7-22E4C3369F03}"/>
    <cellStyle name="Normal 2 2 2 24 4 2" xfId="9521" xr:uid="{D9C89493-7A60-48C3-A036-54F4AAC93AC8}"/>
    <cellStyle name="Normal 2 2 2 24 5" xfId="9516" xr:uid="{6580951D-83EC-46AE-93AA-8B3F17C118D8}"/>
    <cellStyle name="Normal 2 2 2 25" xfId="665" xr:uid="{3A7E0D44-0C33-4977-85A5-8F627690F43C}"/>
    <cellStyle name="Normal 2 2 2 25 2" xfId="666" xr:uid="{DA7B9FCD-858A-4246-97B8-2A3BB4E528A3}"/>
    <cellStyle name="Normal 2 2 2 25 2 2" xfId="667" xr:uid="{87756D82-4CB7-4483-832F-0C8485A28ADC}"/>
    <cellStyle name="Normal 2 2 2 25 2 2 2" xfId="9524" xr:uid="{F2CE9EFB-09CD-4BD9-B351-741B97AF8C44}"/>
    <cellStyle name="Normal 2 2 2 25 2 3" xfId="668" xr:uid="{50710951-E4A5-414B-9A6F-CE766CC06B70}"/>
    <cellStyle name="Normal 2 2 2 25 2 3 2" xfId="9525" xr:uid="{54456BA6-741B-452E-90BF-0FF6D45C3807}"/>
    <cellStyle name="Normal 2 2 2 25 2 4" xfId="9523" xr:uid="{F9A5928E-E5F3-470C-8925-DC518588DF96}"/>
    <cellStyle name="Normal 2 2 2 25 3" xfId="669" xr:uid="{880318DC-0236-419E-B06E-FC149475147B}"/>
    <cellStyle name="Normal 2 2 2 25 3 2" xfId="9526" xr:uid="{974C337D-8C3C-46DE-8615-B1B2E81F4DC2}"/>
    <cellStyle name="Normal 2 2 2 25 4" xfId="670" xr:uid="{EEDD305F-9800-462C-A70E-BD5B78B2A9EB}"/>
    <cellStyle name="Normal 2 2 2 25 4 2" xfId="9527" xr:uid="{E9197107-3F8A-4103-964E-024745A1F63E}"/>
    <cellStyle name="Normal 2 2 2 25 5" xfId="9522" xr:uid="{ABF8061D-0B8C-46F1-9267-31D3B7E70B7B}"/>
    <cellStyle name="Normal 2 2 2 26" xfId="671" xr:uid="{C312652E-1FE8-46E4-83B9-7C482D00C436}"/>
    <cellStyle name="Normal 2 2 2 26 2" xfId="672" xr:uid="{2C5C88B2-366A-48CD-9E68-94D83424C0F7}"/>
    <cellStyle name="Normal 2 2 2 26 2 2" xfId="673" xr:uid="{B12C9A8D-A832-4B4A-9C53-2BC3590FE26B}"/>
    <cellStyle name="Normal 2 2 2 26 2 2 2" xfId="9530" xr:uid="{AE90130E-C09A-485E-91B5-675C9CC03946}"/>
    <cellStyle name="Normal 2 2 2 26 2 3" xfId="674" xr:uid="{DCDA6876-51AA-42C0-9F5A-0D91AF49040E}"/>
    <cellStyle name="Normal 2 2 2 26 2 3 2" xfId="9531" xr:uid="{B65EF099-D045-40E3-9B53-277884D0B428}"/>
    <cellStyle name="Normal 2 2 2 26 2 4" xfId="9529" xr:uid="{51C58469-18DB-4ADC-9A74-7BBBD487C32A}"/>
    <cellStyle name="Normal 2 2 2 26 3" xfId="675" xr:uid="{2FA81DC5-244B-4A46-9010-0AF73D6E46DB}"/>
    <cellStyle name="Normal 2 2 2 26 3 2" xfId="9532" xr:uid="{311E536D-AC90-4F36-9791-4A692D0AD9FC}"/>
    <cellStyle name="Normal 2 2 2 26 4" xfId="676" xr:uid="{20910B93-F018-40C1-A232-2BD10BB414EE}"/>
    <cellStyle name="Normal 2 2 2 26 4 2" xfId="9533" xr:uid="{DFE7133B-125B-420F-851E-9EBE2B7271C1}"/>
    <cellStyle name="Normal 2 2 2 26 5" xfId="9528" xr:uid="{5388F57E-2C93-4FEB-9239-3DCD5DF600F0}"/>
    <cellStyle name="Normal 2 2 2 27" xfId="677" xr:uid="{46C8E3DE-D6D1-4D52-99D7-B53928C74BA4}"/>
    <cellStyle name="Normal 2 2 2 27 2" xfId="678" xr:uid="{F6C4C64E-4675-47B1-83BA-36581C99BFBD}"/>
    <cellStyle name="Normal 2 2 2 27 2 2" xfId="679" xr:uid="{BDA6DA4D-2866-4E9B-8382-B1F3B7F90871}"/>
    <cellStyle name="Normal 2 2 2 27 2 2 2" xfId="9536" xr:uid="{397B8E56-5A2A-4990-A9B8-0741CFE7D1D6}"/>
    <cellStyle name="Normal 2 2 2 27 2 3" xfId="680" xr:uid="{DAAE1CD5-0419-4F63-A3B7-3505E1BF8727}"/>
    <cellStyle name="Normal 2 2 2 27 2 3 2" xfId="9537" xr:uid="{B86B0948-9D33-49FA-BFE5-57DAB3EADFEC}"/>
    <cellStyle name="Normal 2 2 2 27 2 4" xfId="9535" xr:uid="{0BCD26A9-F965-4C2C-AA73-5779E747E325}"/>
    <cellStyle name="Normal 2 2 2 27 3" xfId="681" xr:uid="{CAD1CC18-8D10-41FE-8F49-E5A5C1A37E3D}"/>
    <cellStyle name="Normal 2 2 2 27 3 2" xfId="9538" xr:uid="{44C1B7AC-C6EA-409A-92D5-9325FEBDF131}"/>
    <cellStyle name="Normal 2 2 2 27 4" xfId="682" xr:uid="{9C952D17-0790-486B-8F18-B9BCE3751602}"/>
    <cellStyle name="Normal 2 2 2 27 4 2" xfId="9539" xr:uid="{9309FE01-2F9C-4CB9-986F-476AA47A5AD7}"/>
    <cellStyle name="Normal 2 2 2 27 5" xfId="9534" xr:uid="{C0ED0D23-02D5-45C6-9CE7-7FFFACB04429}"/>
    <cellStyle name="Normal 2 2 2 28" xfId="683" xr:uid="{3AD8A516-82D6-4CAE-9028-BF82BFF7CB96}"/>
    <cellStyle name="Normal 2 2 2 28 2" xfId="684" xr:uid="{396A3490-F232-41E1-9C31-C4C6D5755100}"/>
    <cellStyle name="Normal 2 2 2 28 2 2" xfId="685" xr:uid="{D6DB7377-A2FA-4358-9E3F-BFD75165F92C}"/>
    <cellStyle name="Normal 2 2 2 28 2 2 2" xfId="9542" xr:uid="{4A994F47-ADBB-404C-844B-069009ED9D46}"/>
    <cellStyle name="Normal 2 2 2 28 2 3" xfId="686" xr:uid="{5CD0D6B5-F5E5-4DFD-AF83-D5D8E176FE9E}"/>
    <cellStyle name="Normal 2 2 2 28 2 3 2" xfId="9543" xr:uid="{E12B4FCB-1FBD-42F2-8857-0AC3809C4003}"/>
    <cellStyle name="Normal 2 2 2 28 2 4" xfId="9541" xr:uid="{88F43599-3B52-4924-9DDB-3F24028CA09F}"/>
    <cellStyle name="Normal 2 2 2 28 3" xfId="687" xr:uid="{8310347F-53B2-4F8A-AEDD-E3724807F15E}"/>
    <cellStyle name="Normal 2 2 2 28 3 2" xfId="9544" xr:uid="{382FF3E0-4232-4D20-A53F-BF142F717D5B}"/>
    <cellStyle name="Normal 2 2 2 28 4" xfId="688" xr:uid="{A298F159-06FA-46B7-A456-A820F55B6793}"/>
    <cellStyle name="Normal 2 2 2 28 4 2" xfId="9545" xr:uid="{3605DCAE-DF6A-4A2B-ADAE-AA39E3E3C0A9}"/>
    <cellStyle name="Normal 2 2 2 28 5" xfId="9540" xr:uid="{F62071DA-DD12-46A9-A909-E7535339E412}"/>
    <cellStyle name="Normal 2 2 2 29" xfId="689" xr:uid="{9C0F428C-1167-4544-8D11-7C4263A6EBF2}"/>
    <cellStyle name="Normal 2 2 2 29 2" xfId="690" xr:uid="{76F05589-E7CC-44CB-8BC1-E4EDCE067579}"/>
    <cellStyle name="Normal 2 2 2 29 2 2" xfId="691" xr:uid="{B72AA7A7-A91E-4ADF-8AD9-818363B4EAD0}"/>
    <cellStyle name="Normal 2 2 2 29 2 2 2" xfId="9548" xr:uid="{C66373A7-1E41-4660-A521-3086DA5EC633}"/>
    <cellStyle name="Normal 2 2 2 29 2 3" xfId="692" xr:uid="{7B259C04-9A94-47E1-A6B2-8ED42BDEFA6F}"/>
    <cellStyle name="Normal 2 2 2 29 2 3 2" xfId="9549" xr:uid="{E1912679-B72B-494B-ABFB-30001A8B1AB6}"/>
    <cellStyle name="Normal 2 2 2 29 2 4" xfId="9547" xr:uid="{F2961EB0-95E8-4E24-B401-ACA789490F1F}"/>
    <cellStyle name="Normal 2 2 2 29 3" xfId="693" xr:uid="{4036FD5A-D98D-47DD-B96E-770005B86B76}"/>
    <cellStyle name="Normal 2 2 2 29 3 2" xfId="9550" xr:uid="{BD3C65B1-86AE-4421-868F-34D4150E461C}"/>
    <cellStyle name="Normal 2 2 2 29 4" xfId="694" xr:uid="{4DED130B-C809-4941-9BC5-8A1275D70401}"/>
    <cellStyle name="Normal 2 2 2 29 4 2" xfId="9551" xr:uid="{89C3EEE8-187B-43F7-9580-FDF27D5F9338}"/>
    <cellStyle name="Normal 2 2 2 29 5" xfId="9546" xr:uid="{D5F09843-15C8-467A-AC2E-CE3499914028}"/>
    <cellStyle name="Normal 2 2 2 3" xfId="695" xr:uid="{B8C51809-D95E-4FF4-80FC-E7F38B8AB200}"/>
    <cellStyle name="Normal 2 2 2 3 2" xfId="696" xr:uid="{4E4A15DF-3789-4E6A-9689-FB2586D19F8C}"/>
    <cellStyle name="Normal 2 2 2 3 2 2" xfId="697" xr:uid="{74C75932-167F-482A-875A-D15985363AF1}"/>
    <cellStyle name="Normal 2 2 2 3 2 2 2" xfId="9554" xr:uid="{CA50D117-9C01-47A2-A9C8-FA8779A2DE4C}"/>
    <cellStyle name="Normal 2 2 2 3 2 3" xfId="698" xr:uid="{144324C1-611F-423E-91A0-29ABF9274824}"/>
    <cellStyle name="Normal 2 2 2 3 2 3 2" xfId="9555" xr:uid="{8215AD49-B4AE-4763-9503-88AF5051F3B9}"/>
    <cellStyle name="Normal 2 2 2 3 2 4" xfId="9553" xr:uid="{0A9AA373-BBEB-42C8-B311-35EC8A3F59B9}"/>
    <cellStyle name="Normal 2 2 2 3 3" xfId="699" xr:uid="{9E307D05-4F0E-49B9-9CDE-EE697D987376}"/>
    <cellStyle name="Normal 2 2 2 3 3 2" xfId="9556" xr:uid="{8FBC9E1D-EEBE-4791-A398-2656C092C2BE}"/>
    <cellStyle name="Normal 2 2 2 3 4" xfId="700" xr:uid="{5E2CCD44-D63B-4ACE-A465-AE7C00C1CDC8}"/>
    <cellStyle name="Normal 2 2 2 3 4 2" xfId="9557" xr:uid="{EC74EB8D-2DAE-4422-8D12-058430D7B43E}"/>
    <cellStyle name="Normal 2 2 2 3 5" xfId="9552" xr:uid="{C1EEE2F8-AA91-42F8-9A87-783D6A50A39A}"/>
    <cellStyle name="Normal 2 2 2 30" xfId="701" xr:uid="{0A9F3F2F-8EEF-486E-B73D-1499F4A04E02}"/>
    <cellStyle name="Normal 2 2 2 30 2" xfId="702" xr:uid="{28C36E6E-4ED5-435A-A684-539B8CBED6A5}"/>
    <cellStyle name="Normal 2 2 2 30 2 2" xfId="703" xr:uid="{50B092B5-08AD-4376-BB7B-C9DA915904BA}"/>
    <cellStyle name="Normal 2 2 2 30 2 2 2" xfId="9560" xr:uid="{9C56F66E-90AA-4D08-8D4E-2878340E5D7D}"/>
    <cellStyle name="Normal 2 2 2 30 2 3" xfId="704" xr:uid="{D7CEBECA-F96C-4824-A8EB-2E001E610A0B}"/>
    <cellStyle name="Normal 2 2 2 30 2 3 2" xfId="9561" xr:uid="{428CE55D-BE42-4950-BFAF-4DD8BFEA0042}"/>
    <cellStyle name="Normal 2 2 2 30 2 4" xfId="9559" xr:uid="{81E39273-7CBF-455B-AFD9-48799AE0A815}"/>
    <cellStyle name="Normal 2 2 2 30 3" xfId="705" xr:uid="{65C802F0-19A7-4CFA-9883-BEACB8F32D53}"/>
    <cellStyle name="Normal 2 2 2 30 3 2" xfId="9562" xr:uid="{4D372042-4D7C-43F4-ACEE-7664E1708A05}"/>
    <cellStyle name="Normal 2 2 2 30 4" xfId="706" xr:uid="{408EE6CB-68FF-485C-AE81-A2C53ACE57E8}"/>
    <cellStyle name="Normal 2 2 2 30 4 2" xfId="9563" xr:uid="{E3A3785A-6A04-4B97-BAF6-11958C25F302}"/>
    <cellStyle name="Normal 2 2 2 30 5" xfId="9558" xr:uid="{8B0EA503-4329-4596-8CA0-988798A71CAE}"/>
    <cellStyle name="Normal 2 2 2 31" xfId="707" xr:uid="{1B2F52FE-2E52-4134-8633-A13A3E37076D}"/>
    <cellStyle name="Normal 2 2 2 31 2" xfId="708" xr:uid="{870CDEE1-8E65-42B8-966F-3BF0EB28FEA1}"/>
    <cellStyle name="Normal 2 2 2 31 2 2" xfId="709" xr:uid="{E7B3734C-232D-44DC-8323-C35719D8C83A}"/>
    <cellStyle name="Normal 2 2 2 31 2 2 2" xfId="9566" xr:uid="{D2E2FF7B-6CF6-4DD6-BD60-B4ECE9220BE1}"/>
    <cellStyle name="Normal 2 2 2 31 2 3" xfId="710" xr:uid="{36501924-2C5A-4EF0-B9C5-A654AEF6D2FF}"/>
    <cellStyle name="Normal 2 2 2 31 2 3 2" xfId="9567" xr:uid="{CA8325A9-ACDE-45DE-B076-B3044F62C755}"/>
    <cellStyle name="Normal 2 2 2 31 2 4" xfId="9565" xr:uid="{8AA84FF8-1F6F-4C15-888A-0ED286D0DE10}"/>
    <cellStyle name="Normal 2 2 2 31 3" xfId="711" xr:uid="{DCC3D543-FE6E-4E73-A7AD-82425E44AA83}"/>
    <cellStyle name="Normal 2 2 2 31 3 2" xfId="9568" xr:uid="{A6E951C3-C375-4D5F-823A-B48E9C71FAA0}"/>
    <cellStyle name="Normal 2 2 2 31 4" xfId="712" xr:uid="{220A4844-D9FE-45DD-85AD-988F46C04419}"/>
    <cellStyle name="Normal 2 2 2 31 4 2" xfId="9569" xr:uid="{2764EE85-5DC5-4952-85C4-EC7179D05178}"/>
    <cellStyle name="Normal 2 2 2 31 5" xfId="9564" xr:uid="{3A8F9850-755D-4BB3-9627-224EB26315CA}"/>
    <cellStyle name="Normal 2 2 2 32" xfId="713" xr:uid="{47C7500D-8836-447F-85E5-0B5D48C072BE}"/>
    <cellStyle name="Normal 2 2 2 32 2" xfId="714" xr:uid="{C59F654D-F7B2-4C45-AB31-1BBCFC08528B}"/>
    <cellStyle name="Normal 2 2 2 32 2 2" xfId="715" xr:uid="{D3458ACD-891E-4491-B7C0-91C07CA3FA49}"/>
    <cellStyle name="Normal 2 2 2 32 2 2 2" xfId="9572" xr:uid="{994C9BA7-FD1B-4CAE-AE57-9B6F76AE134F}"/>
    <cellStyle name="Normal 2 2 2 32 2 3" xfId="716" xr:uid="{4F0BD8E8-489B-4681-9632-4290E1965E65}"/>
    <cellStyle name="Normal 2 2 2 32 2 3 2" xfId="9573" xr:uid="{01FF6A4D-B21B-4CD5-AA29-49DBC69C96CD}"/>
    <cellStyle name="Normal 2 2 2 32 2 4" xfId="9571" xr:uid="{4B787C38-7AC8-4E61-AAA1-DB5CC985477D}"/>
    <cellStyle name="Normal 2 2 2 32 3" xfId="717" xr:uid="{A185EA8F-26F5-420A-B73F-765536B92310}"/>
    <cellStyle name="Normal 2 2 2 32 3 2" xfId="9574" xr:uid="{3789F3DF-391C-421C-9220-C2DC67815180}"/>
    <cellStyle name="Normal 2 2 2 32 4" xfId="718" xr:uid="{EE95F091-9C48-4BF9-9505-2ABA7B5A5B36}"/>
    <cellStyle name="Normal 2 2 2 32 4 2" xfId="9575" xr:uid="{B540DF0A-D8FC-4CAD-9A34-89BB1D0027D8}"/>
    <cellStyle name="Normal 2 2 2 32 5" xfId="9570" xr:uid="{3BC8BEDE-2ED3-497B-BA70-6EFB16C2F8A4}"/>
    <cellStyle name="Normal 2 2 2 33" xfId="719" xr:uid="{05A01D6F-D0F9-420D-8703-7A8E640FE9AC}"/>
    <cellStyle name="Normal 2 2 2 33 2" xfId="720" xr:uid="{B659911F-38D8-48D5-9449-98D0BAA4BA70}"/>
    <cellStyle name="Normal 2 2 2 33 2 2" xfId="721" xr:uid="{FB849743-93C7-4DB1-8FE1-3E4358D380CF}"/>
    <cellStyle name="Normal 2 2 2 33 2 2 2" xfId="9578" xr:uid="{91A08906-BD6A-4B45-8B0C-796DBB0ED4C1}"/>
    <cellStyle name="Normal 2 2 2 33 2 3" xfId="722" xr:uid="{6F5282E2-DB65-4777-A3FB-E9C68C186202}"/>
    <cellStyle name="Normal 2 2 2 33 2 3 2" xfId="9579" xr:uid="{B9F80EE6-AC89-4479-A41B-871B5F72968A}"/>
    <cellStyle name="Normal 2 2 2 33 2 4" xfId="9577" xr:uid="{40EE06A0-F4AD-45B5-92F9-339C4BC37815}"/>
    <cellStyle name="Normal 2 2 2 33 3" xfId="723" xr:uid="{E9A10D91-D869-4296-B654-C56BF3F62300}"/>
    <cellStyle name="Normal 2 2 2 33 3 2" xfId="9580" xr:uid="{FD767045-5A0B-4E2A-B616-2EA29A4848F3}"/>
    <cellStyle name="Normal 2 2 2 33 4" xfId="724" xr:uid="{6EA55502-5BA2-4A9D-8839-C0EB0BF56269}"/>
    <cellStyle name="Normal 2 2 2 33 4 2" xfId="9581" xr:uid="{508744B5-42E5-4DA5-9065-4EE2C82BD68F}"/>
    <cellStyle name="Normal 2 2 2 33 5" xfId="9576" xr:uid="{21C41F1A-D02D-4225-A29B-E1E698D92D21}"/>
    <cellStyle name="Normal 2 2 2 34" xfId="725" xr:uid="{4DAD9213-8E49-49A3-A1A4-10AD719AAB80}"/>
    <cellStyle name="Normal 2 2 2 34 2" xfId="726" xr:uid="{4E93B30E-A06A-456B-B0DE-AC9D704DF8B1}"/>
    <cellStyle name="Normal 2 2 2 34 2 2" xfId="727" xr:uid="{AEC4FA31-2AB6-4CB2-B1FA-25D756F51CDB}"/>
    <cellStyle name="Normal 2 2 2 34 2 2 2" xfId="9584" xr:uid="{2FFACB7B-5D6C-48A9-8529-349FA5BC2483}"/>
    <cellStyle name="Normal 2 2 2 34 2 3" xfId="728" xr:uid="{EA30DB88-53AD-4835-B96A-71DEC6BA85BC}"/>
    <cellStyle name="Normal 2 2 2 34 2 3 2" xfId="9585" xr:uid="{5E34F028-4031-4444-8265-D64D63BC231A}"/>
    <cellStyle name="Normal 2 2 2 34 2 4" xfId="9583" xr:uid="{7C5DB40E-2956-4579-86E9-C66E825B3FD7}"/>
    <cellStyle name="Normal 2 2 2 34 3" xfId="729" xr:uid="{908B0FF4-5B3D-4A13-B7A4-3AE20F8478C0}"/>
    <cellStyle name="Normal 2 2 2 34 3 2" xfId="9586" xr:uid="{EBB80E31-B8E3-4897-88BD-70A4A58348A4}"/>
    <cellStyle name="Normal 2 2 2 34 4" xfId="730" xr:uid="{C1F659E8-F6B4-4ABD-9998-ECA306624FA8}"/>
    <cellStyle name="Normal 2 2 2 34 4 2" xfId="9587" xr:uid="{DC3DE317-4D1E-42A8-9393-21B3A53C696C}"/>
    <cellStyle name="Normal 2 2 2 34 5" xfId="9582" xr:uid="{67CD2015-0467-44B4-8755-ABEEA7A27450}"/>
    <cellStyle name="Normal 2 2 2 35" xfId="731" xr:uid="{69294E41-432B-4A67-96D9-7BE3E22B2295}"/>
    <cellStyle name="Normal 2 2 2 35 2" xfId="732" xr:uid="{D6CA1889-F643-4CBE-A502-154A52A5A7DA}"/>
    <cellStyle name="Normal 2 2 2 35 2 2" xfId="733" xr:uid="{B6DCCA61-8882-47D6-B95B-AF03936D00CD}"/>
    <cellStyle name="Normal 2 2 2 35 2 2 2" xfId="9590" xr:uid="{1BDF8F28-3242-4D3D-82EF-3D7C47EFB8E7}"/>
    <cellStyle name="Normal 2 2 2 35 2 3" xfId="734" xr:uid="{BFD438D3-3D27-41EA-93B9-02EC459D541F}"/>
    <cellStyle name="Normal 2 2 2 35 2 3 2" xfId="9591" xr:uid="{BC6F6434-9275-4CD1-84F0-C36A2FA0D4AE}"/>
    <cellStyle name="Normal 2 2 2 35 2 4" xfId="9589" xr:uid="{2D2DDD92-9A70-4B22-A5F9-BB7A707239DA}"/>
    <cellStyle name="Normal 2 2 2 35 3" xfId="735" xr:uid="{BA5C3479-E85E-4F44-BD0D-B600268E4C3E}"/>
    <cellStyle name="Normal 2 2 2 35 3 2" xfId="9592" xr:uid="{AA3C8DE8-988A-4980-A757-42A261F50F4B}"/>
    <cellStyle name="Normal 2 2 2 35 4" xfId="736" xr:uid="{E6E36199-C450-4189-A78D-704D05601EEB}"/>
    <cellStyle name="Normal 2 2 2 35 4 2" xfId="9593" xr:uid="{CF68E9D2-EFA5-4A24-A2B6-72041DE2782F}"/>
    <cellStyle name="Normal 2 2 2 35 5" xfId="9588" xr:uid="{5950B6C1-30C4-44FA-8E71-F53B024ADA72}"/>
    <cellStyle name="Normal 2 2 2 36" xfId="737" xr:uid="{46FCF88F-FAB2-4D20-83DB-9C152F6A91D6}"/>
    <cellStyle name="Normal 2 2 2 36 2" xfId="738" xr:uid="{B7880F7B-AE21-4AA9-900E-9CD4990B2057}"/>
    <cellStyle name="Normal 2 2 2 36 2 2" xfId="739" xr:uid="{1AE5BC4B-0734-4903-87AC-39C68FC93F1A}"/>
    <cellStyle name="Normal 2 2 2 36 2 2 2" xfId="9596" xr:uid="{7DE5DCB4-855D-426C-862E-3804249669B4}"/>
    <cellStyle name="Normal 2 2 2 36 2 3" xfId="740" xr:uid="{7AFAAFC9-70BA-4111-AA14-4709996C7B83}"/>
    <cellStyle name="Normal 2 2 2 36 2 3 2" xfId="9597" xr:uid="{7A572E5A-46FD-4BC1-999C-D84A65C4AFEA}"/>
    <cellStyle name="Normal 2 2 2 36 2 4" xfId="9595" xr:uid="{823AA706-CB79-46A3-BC48-DAAD02C82D8C}"/>
    <cellStyle name="Normal 2 2 2 36 3" xfId="741" xr:uid="{3655EFA3-4B63-443E-86D3-7B08564AD425}"/>
    <cellStyle name="Normal 2 2 2 36 3 2" xfId="9598" xr:uid="{B2833036-110B-46C3-B5DE-AAFAA630BADF}"/>
    <cellStyle name="Normal 2 2 2 36 4" xfId="742" xr:uid="{A4A5F3E8-457D-4849-BE91-8DB038ABF773}"/>
    <cellStyle name="Normal 2 2 2 36 4 2" xfId="9599" xr:uid="{E025AF0D-B251-4838-92D4-0EEAA22A2948}"/>
    <cellStyle name="Normal 2 2 2 36 5" xfId="9594" xr:uid="{7C07340D-1936-45C7-830C-827953987E41}"/>
    <cellStyle name="Normal 2 2 2 37" xfId="743" xr:uid="{BE5AA465-06D4-4DF9-A74D-EA5E5379BB0C}"/>
    <cellStyle name="Normal 2 2 2 37 2" xfId="744" xr:uid="{A994C654-D885-4F71-9389-35ADC2A31480}"/>
    <cellStyle name="Normal 2 2 2 37 2 2" xfId="745" xr:uid="{1B523E36-E9AB-4412-BE95-D612A5CD8738}"/>
    <cellStyle name="Normal 2 2 2 37 2 2 2" xfId="9602" xr:uid="{4B238394-6858-407C-B9BD-76930896517D}"/>
    <cellStyle name="Normal 2 2 2 37 2 3" xfId="746" xr:uid="{87D49E02-75E6-4628-B976-BC246AAAD75F}"/>
    <cellStyle name="Normal 2 2 2 37 2 3 2" xfId="9603" xr:uid="{4EA6CDC6-EF66-4086-87FE-FFE1CE628A21}"/>
    <cellStyle name="Normal 2 2 2 37 2 4" xfId="9601" xr:uid="{8FBEB3A6-15F6-42A8-AFAA-E95064330BBC}"/>
    <cellStyle name="Normal 2 2 2 37 3" xfId="747" xr:uid="{A9F18EBE-6FA4-44F7-9DD0-02C162F4F5F5}"/>
    <cellStyle name="Normal 2 2 2 37 3 2" xfId="9604" xr:uid="{D97DF02D-5B88-4766-9F17-ADB661F1F568}"/>
    <cellStyle name="Normal 2 2 2 37 4" xfId="748" xr:uid="{59FD322D-DA64-4423-8DBE-1A216F69A5BF}"/>
    <cellStyle name="Normal 2 2 2 37 4 2" xfId="9605" xr:uid="{C7AC402A-52C4-465E-B9FD-69AD8311459A}"/>
    <cellStyle name="Normal 2 2 2 37 5" xfId="9600" xr:uid="{8F440496-5BB8-464B-8D4F-47050941ADA9}"/>
    <cellStyle name="Normal 2 2 2 38" xfId="749" xr:uid="{64503383-56AD-4A94-8AEC-7E7AEBE0EB06}"/>
    <cellStyle name="Normal 2 2 2 38 2" xfId="750" xr:uid="{4919E793-15DB-41E9-85E0-AEA96C7484F3}"/>
    <cellStyle name="Normal 2 2 2 38 2 2" xfId="751" xr:uid="{A4B97AED-EBDB-4EFE-B068-4F4E707FBA98}"/>
    <cellStyle name="Normal 2 2 2 38 2 2 2" xfId="9608" xr:uid="{C35FAC69-D040-414D-80BA-DE85C620DFBC}"/>
    <cellStyle name="Normal 2 2 2 38 2 3" xfId="752" xr:uid="{4454E738-F92C-42FC-9B39-179EC617E0D4}"/>
    <cellStyle name="Normal 2 2 2 38 2 3 2" xfId="9609" xr:uid="{38CF9F22-0547-4087-A7FF-7050A87D675D}"/>
    <cellStyle name="Normal 2 2 2 38 2 4" xfId="9607" xr:uid="{73360F44-74AB-44BA-8E91-BFB45B895662}"/>
    <cellStyle name="Normal 2 2 2 38 3" xfId="753" xr:uid="{BAD0BC22-B4CE-4DF3-8F99-E62A6B40B6D0}"/>
    <cellStyle name="Normal 2 2 2 38 3 2" xfId="9610" xr:uid="{90CCB3FC-4879-43D4-A9B2-0A6BB7F420FB}"/>
    <cellStyle name="Normal 2 2 2 38 4" xfId="754" xr:uid="{23552611-4597-4AF4-9B45-7A5B7A9E575E}"/>
    <cellStyle name="Normal 2 2 2 38 4 2" xfId="9611" xr:uid="{730E79E7-3430-451E-BE56-298A591E8015}"/>
    <cellStyle name="Normal 2 2 2 38 5" xfId="9606" xr:uid="{38574BA2-40D6-43D3-A984-8C11550D5B0E}"/>
    <cellStyle name="Normal 2 2 2 39" xfId="755" xr:uid="{186A4DD3-93F1-40CA-87AE-8665CA6ED3D2}"/>
    <cellStyle name="Normal 2 2 2 39 2" xfId="756" xr:uid="{DFCCA960-B6D4-4812-8FEB-F2AEF5304219}"/>
    <cellStyle name="Normal 2 2 2 39 2 2" xfId="757" xr:uid="{014D4548-E1C3-4CB3-ADCE-7E14AF5F3CF5}"/>
    <cellStyle name="Normal 2 2 2 39 2 2 2" xfId="9614" xr:uid="{1ED43E90-60B3-4670-8B37-3FA1230B7FDC}"/>
    <cellStyle name="Normal 2 2 2 39 2 3" xfId="758" xr:uid="{291E79D6-A162-46AB-87ED-CE505CEC5E09}"/>
    <cellStyle name="Normal 2 2 2 39 2 3 2" xfId="9615" xr:uid="{F1E6F065-AAF0-4012-A85E-8D713D6AB04E}"/>
    <cellStyle name="Normal 2 2 2 39 2 4" xfId="9613" xr:uid="{109F670B-2C5A-442F-8B56-4EE139E6ECF7}"/>
    <cellStyle name="Normal 2 2 2 39 3" xfId="759" xr:uid="{7A21F58A-901A-4940-A039-35A3D6C25A6D}"/>
    <cellStyle name="Normal 2 2 2 39 3 2" xfId="9616" xr:uid="{5B6FF832-3395-49F7-8E8C-77F3CCCF7F25}"/>
    <cellStyle name="Normal 2 2 2 39 4" xfId="760" xr:uid="{060E31E6-7C2D-4727-9EDD-5A484C075BD4}"/>
    <cellStyle name="Normal 2 2 2 39 4 2" xfId="9617" xr:uid="{00265114-ACAE-4D4D-838A-A54312062E2D}"/>
    <cellStyle name="Normal 2 2 2 39 5" xfId="9612" xr:uid="{DF70EEA9-7E4B-46BF-AD35-F8FCEB3B2F7E}"/>
    <cellStyle name="Normal 2 2 2 4" xfId="761" xr:uid="{1CB78642-13D0-4DF9-8741-BF0A5BF5CFB8}"/>
    <cellStyle name="Normal 2 2 2 4 2" xfId="762" xr:uid="{E35198AF-C73A-4073-B564-305FDF490D41}"/>
    <cellStyle name="Normal 2 2 2 4 2 2" xfId="763" xr:uid="{E97ED0E6-91F6-4871-9CD0-52297C874475}"/>
    <cellStyle name="Normal 2 2 2 4 2 2 2" xfId="9620" xr:uid="{82FB687D-7A11-4372-9387-115BFEE0CD20}"/>
    <cellStyle name="Normal 2 2 2 4 2 3" xfId="764" xr:uid="{0CDFEC8B-5933-47A4-9B3A-F324423624A1}"/>
    <cellStyle name="Normal 2 2 2 4 2 3 2" xfId="9621" xr:uid="{C50F98E5-3EFD-4A24-95C1-EA0C8DC884C4}"/>
    <cellStyle name="Normal 2 2 2 4 2 4" xfId="9619" xr:uid="{175C7FE2-0055-4A20-93DC-B484C6834CEC}"/>
    <cellStyle name="Normal 2 2 2 4 3" xfId="765" xr:uid="{BDE79715-A453-455C-BE5A-9FA5208B69D9}"/>
    <cellStyle name="Normal 2 2 2 4 3 2" xfId="9622" xr:uid="{89362DD9-E29C-47E7-9BB1-1F06A9A86A7B}"/>
    <cellStyle name="Normal 2 2 2 4 4" xfId="766" xr:uid="{69EC3CBE-9D60-4738-B362-093E782939E7}"/>
    <cellStyle name="Normal 2 2 2 4 4 2" xfId="9623" xr:uid="{90EEA06F-C87A-4A11-8A97-6CFC11AE35F8}"/>
    <cellStyle name="Normal 2 2 2 4 5" xfId="9618" xr:uid="{45071B48-2D5D-4424-8688-B019DEDF60F4}"/>
    <cellStyle name="Normal 2 2 2 40" xfId="767" xr:uid="{DBC873DB-4BDE-4CDE-BD5A-CEA1D061AEDA}"/>
    <cellStyle name="Normal 2 2 2 40 2" xfId="768" xr:uid="{9F7BE4D8-5C13-4947-B124-ED2FE3DAAE21}"/>
    <cellStyle name="Normal 2 2 2 40 2 2" xfId="769" xr:uid="{02D4184B-789C-4F41-928D-376322853FA5}"/>
    <cellStyle name="Normal 2 2 2 40 2 2 2" xfId="9626" xr:uid="{4A711655-52F7-48F1-9661-1C25DA96CD8A}"/>
    <cellStyle name="Normal 2 2 2 40 2 3" xfId="770" xr:uid="{0C01D52F-1B16-471E-8279-E62AA9C50F81}"/>
    <cellStyle name="Normal 2 2 2 40 2 3 2" xfId="9627" xr:uid="{4B553DC8-1138-4669-8A08-7199CB4C7BAB}"/>
    <cellStyle name="Normal 2 2 2 40 2 4" xfId="9625" xr:uid="{F81AE821-349C-490C-BE18-805BDF41BA30}"/>
    <cellStyle name="Normal 2 2 2 40 3" xfId="771" xr:uid="{1226E446-19C6-4A59-A16A-D6FCFB59922C}"/>
    <cellStyle name="Normal 2 2 2 40 3 2" xfId="9628" xr:uid="{4C40E7A0-E468-47C6-A3EC-FFCE393B4F4B}"/>
    <cellStyle name="Normal 2 2 2 40 4" xfId="772" xr:uid="{27BA5849-7100-4906-8117-3F995A2D35CF}"/>
    <cellStyle name="Normal 2 2 2 40 4 2" xfId="9629" xr:uid="{11285720-F217-4F4F-ABD8-4A976FD8A6D6}"/>
    <cellStyle name="Normal 2 2 2 40 5" xfId="9624" xr:uid="{6EDA8384-84CC-4C36-888F-13687A254429}"/>
    <cellStyle name="Normal 2 2 2 41" xfId="773" xr:uid="{26ABFA4E-0A56-4203-A784-BA7A68A77DAF}"/>
    <cellStyle name="Normal 2 2 2 41 2" xfId="774" xr:uid="{494D236B-9025-4ACC-8F50-F194AB255D26}"/>
    <cellStyle name="Normal 2 2 2 41 2 2" xfId="775" xr:uid="{DFC1768B-B66E-4B97-9C12-D0BCD070D4FE}"/>
    <cellStyle name="Normal 2 2 2 41 2 2 2" xfId="9632" xr:uid="{416E1076-5BFD-4985-86F2-E1989126CC84}"/>
    <cellStyle name="Normal 2 2 2 41 2 3" xfId="776" xr:uid="{C826478E-D7B9-4348-BAB4-DE6643442412}"/>
    <cellStyle name="Normal 2 2 2 41 2 3 2" xfId="9633" xr:uid="{856A2103-DCC2-446B-863E-4794295BC4E6}"/>
    <cellStyle name="Normal 2 2 2 41 2 4" xfId="9631" xr:uid="{C47E9F25-A9DD-4D85-881B-4EB1F32D6015}"/>
    <cellStyle name="Normal 2 2 2 41 3" xfId="777" xr:uid="{9F970C12-9060-4482-972F-886952E277AF}"/>
    <cellStyle name="Normal 2 2 2 41 3 2" xfId="9634" xr:uid="{A3EB3C76-A505-4886-B313-CB266373381A}"/>
    <cellStyle name="Normal 2 2 2 41 4" xfId="778" xr:uid="{72D8E955-A7E7-4B8D-9BC2-9179E99F4CF3}"/>
    <cellStyle name="Normal 2 2 2 41 4 2" xfId="9635" xr:uid="{CA540302-ABAD-4BBB-8CB2-E68F642D4247}"/>
    <cellStyle name="Normal 2 2 2 41 5" xfId="9630" xr:uid="{5210439D-E231-4504-9768-D7783C9B630D}"/>
    <cellStyle name="Normal 2 2 2 42" xfId="779" xr:uid="{CBEDE092-DF82-4FF4-93CA-D206B24CD9E1}"/>
    <cellStyle name="Normal 2 2 2 42 2" xfId="780" xr:uid="{33F5AC0F-EA60-450A-95E2-5D4F9018AB00}"/>
    <cellStyle name="Normal 2 2 2 42 2 2" xfId="781" xr:uid="{BFD3BE27-7FE9-44A3-AC46-7C56492AD62C}"/>
    <cellStyle name="Normal 2 2 2 42 2 2 2" xfId="9638" xr:uid="{35269492-2416-4D1E-B0D5-97DC423DE7C7}"/>
    <cellStyle name="Normal 2 2 2 42 2 3" xfId="782" xr:uid="{C79FEE0E-47FD-493D-A9B3-D2D48889E575}"/>
    <cellStyle name="Normal 2 2 2 42 2 3 2" xfId="9639" xr:uid="{89CC0EBA-4A1D-4FA7-BACB-33BF34E30291}"/>
    <cellStyle name="Normal 2 2 2 42 2 4" xfId="9637" xr:uid="{C8A2C679-1A29-45CA-8857-DF0918B9B9A3}"/>
    <cellStyle name="Normal 2 2 2 42 3" xfId="783" xr:uid="{37B30D27-1FDF-4973-97E7-6F3FC985314B}"/>
    <cellStyle name="Normal 2 2 2 42 3 2" xfId="9640" xr:uid="{6550796E-F65B-4D77-83A9-63050DE35505}"/>
    <cellStyle name="Normal 2 2 2 42 4" xfId="784" xr:uid="{8FB8C294-799C-4473-94D2-C6E72AD432CF}"/>
    <cellStyle name="Normal 2 2 2 42 4 2" xfId="9641" xr:uid="{E14218C6-D40A-4806-9DF5-12731201C1F2}"/>
    <cellStyle name="Normal 2 2 2 42 5" xfId="9636" xr:uid="{1F98C194-CB12-43FF-B499-FC6C5EFE1470}"/>
    <cellStyle name="Normal 2 2 2 43" xfId="785" xr:uid="{8F586196-DFF2-40A5-B60D-EF4A7AE9595B}"/>
    <cellStyle name="Normal 2 2 2 43 2" xfId="786" xr:uid="{0A600CCD-660B-4003-B6A2-544F78A397F5}"/>
    <cellStyle name="Normal 2 2 2 43 2 2" xfId="787" xr:uid="{D93FE081-06A6-4F94-A1DA-BC3137619632}"/>
    <cellStyle name="Normal 2 2 2 43 2 2 2" xfId="9644" xr:uid="{AAE8A3EA-AB02-4FA2-9B2F-7DC3A86F08EB}"/>
    <cellStyle name="Normal 2 2 2 43 2 3" xfId="788" xr:uid="{0A7FB601-851A-4F9F-B1E1-264AF66BBA1A}"/>
    <cellStyle name="Normal 2 2 2 43 2 3 2" xfId="9645" xr:uid="{D8A516A0-8123-4608-9D6D-DB963D6ABBE5}"/>
    <cellStyle name="Normal 2 2 2 43 2 4" xfId="9643" xr:uid="{FBE81F16-3AB8-473D-A074-E4FBE1861C67}"/>
    <cellStyle name="Normal 2 2 2 43 3" xfId="789" xr:uid="{B42E0242-EE1B-48FE-B783-E28BAF32097A}"/>
    <cellStyle name="Normal 2 2 2 43 3 2" xfId="9646" xr:uid="{7B096E76-BE6D-4178-95E4-175BFBA2778D}"/>
    <cellStyle name="Normal 2 2 2 43 4" xfId="790" xr:uid="{562377B0-F269-43DD-B2CE-1FABD98503E8}"/>
    <cellStyle name="Normal 2 2 2 43 4 2" xfId="9647" xr:uid="{212E8584-AC99-445A-AB65-C3E30990A5C2}"/>
    <cellStyle name="Normal 2 2 2 43 5" xfId="9642" xr:uid="{FF45009B-DAC5-48C5-9B00-36C42F2FB80E}"/>
    <cellStyle name="Normal 2 2 2 44" xfId="791" xr:uid="{56E98A6B-AEFF-423B-9ACC-6F76771F7A37}"/>
    <cellStyle name="Normal 2 2 2 44 2" xfId="792" xr:uid="{3F86725E-CC45-4626-8400-C42BD9C8F9BA}"/>
    <cellStyle name="Normal 2 2 2 44 2 2" xfId="9649" xr:uid="{E66BC840-0FE3-460F-AACB-943725B57353}"/>
    <cellStyle name="Normal 2 2 2 44 3" xfId="793" xr:uid="{38823743-E8E3-4512-8CCB-70BB3F07199E}"/>
    <cellStyle name="Normal 2 2 2 44 3 2" xfId="9650" xr:uid="{8509F1EE-7D05-4025-835B-9FA393A23E58}"/>
    <cellStyle name="Normal 2 2 2 44 4" xfId="9648" xr:uid="{0B4794C7-EE4C-4A70-8C8D-50DF2AEAE6F9}"/>
    <cellStyle name="Normal 2 2 2 45" xfId="794" xr:uid="{FE020E53-28BF-4D10-96E2-772A8B00126F}"/>
    <cellStyle name="Normal 2 2 2 45 2" xfId="9651" xr:uid="{F081F1AA-E624-4259-8F5D-FAEB3A52A7F1}"/>
    <cellStyle name="Normal 2 2 2 46" xfId="795" xr:uid="{C016CB97-D1CC-4D06-A243-711530DA8598}"/>
    <cellStyle name="Normal 2 2 2 46 2" xfId="9652" xr:uid="{F0A41F32-3FC3-429E-8DCC-199CE8D5088E}"/>
    <cellStyle name="Normal 2 2 2 47" xfId="796" xr:uid="{F60CBBA9-329D-4B9B-90C9-2827A7A4415F}"/>
    <cellStyle name="Normal 2 2 2 48" xfId="797" xr:uid="{369D194D-C45F-47E5-9BD1-15009DD6FF46}"/>
    <cellStyle name="Normal 2 2 2 49" xfId="798" xr:uid="{5A4D68DB-62E9-4D1D-BFEF-976461142870}"/>
    <cellStyle name="Normal 2 2 2 49 2" xfId="9653" xr:uid="{D5675052-7CE5-495B-A909-D260F8ECB2D5}"/>
    <cellStyle name="Normal 2 2 2 5" xfId="799" xr:uid="{57E8C15F-AF58-4BBA-952D-B11A26F98735}"/>
    <cellStyle name="Normal 2 2 2 5 2" xfId="800" xr:uid="{18943170-3AB1-440E-A6AC-ACE7FE210B07}"/>
    <cellStyle name="Normal 2 2 2 5 2 2" xfId="801" xr:uid="{A4CC5F20-CD30-484A-AD9A-AA7928D06B45}"/>
    <cellStyle name="Normal 2 2 2 5 2 2 2" xfId="9656" xr:uid="{8001B0B5-3CA3-41A7-A4D3-CF9E8D4C76EA}"/>
    <cellStyle name="Normal 2 2 2 5 2 3" xfId="802" xr:uid="{1C03B631-105E-4466-8DE4-41FD001521BF}"/>
    <cellStyle name="Normal 2 2 2 5 2 3 2" xfId="9657" xr:uid="{F3C0CCA8-245C-4DFA-8F2C-91A4641ADCC8}"/>
    <cellStyle name="Normal 2 2 2 5 2 4" xfId="9655" xr:uid="{C7D35F76-DF73-4D23-80B6-57181FBC9786}"/>
    <cellStyle name="Normal 2 2 2 5 3" xfId="803" xr:uid="{AF0CAAC8-4E84-4B4C-B40C-5CB17D9650D2}"/>
    <cellStyle name="Normal 2 2 2 5 3 2" xfId="9658" xr:uid="{CF1304BB-2D5E-4640-B8A5-0B0CF9113B78}"/>
    <cellStyle name="Normal 2 2 2 5 4" xfId="804" xr:uid="{FFF18B67-8B8B-4A2A-885A-BF438BB57E74}"/>
    <cellStyle name="Normal 2 2 2 5 4 2" xfId="9659" xr:uid="{B840E510-D15B-43F6-9960-6925CB8EF455}"/>
    <cellStyle name="Normal 2 2 2 5 5" xfId="9654" xr:uid="{6DFF686A-2F5E-496D-94FC-76A71273293D}"/>
    <cellStyle name="Normal 2 2 2 50" xfId="805" xr:uid="{555838CD-A586-47EC-8708-DB5C2ADB13BD}"/>
    <cellStyle name="Normal 2 2 2 51" xfId="9424" xr:uid="{8F21ACC0-B5AB-4D44-9821-F0893953F94C}"/>
    <cellStyle name="Normal 2 2 2 6" xfId="806" xr:uid="{E24B9E52-60B4-47F2-A83A-88C48FB0F55A}"/>
    <cellStyle name="Normal 2 2 2 6 2" xfId="807" xr:uid="{739DFF57-CF2C-437C-B362-FDE3B60AB42F}"/>
    <cellStyle name="Normal 2 2 2 6 2 2" xfId="808" xr:uid="{650C1BF0-0D3F-4E0B-AEF5-E14B6E660FF5}"/>
    <cellStyle name="Normal 2 2 2 6 2 2 2" xfId="9662" xr:uid="{2031B080-2AA5-4453-B346-F97316A55357}"/>
    <cellStyle name="Normal 2 2 2 6 2 3" xfId="809" xr:uid="{7A6B3BE1-79BB-4123-8AED-408E07610370}"/>
    <cellStyle name="Normal 2 2 2 6 2 3 2" xfId="9663" xr:uid="{DA99A493-17A4-4FAB-A01B-DCD6DB5267C1}"/>
    <cellStyle name="Normal 2 2 2 6 2 4" xfId="9661" xr:uid="{292D1F4B-7A3F-468C-8326-86DC46F3C721}"/>
    <cellStyle name="Normal 2 2 2 6 3" xfId="810" xr:uid="{BEE2514F-D3E7-43EB-89F7-E6C8F55C63FC}"/>
    <cellStyle name="Normal 2 2 2 6 3 2" xfId="9664" xr:uid="{4233D691-2B0A-4543-8430-A2A625907E07}"/>
    <cellStyle name="Normal 2 2 2 6 4" xfId="811" xr:uid="{38A018AC-D1E3-4187-B7A2-55711FB910E7}"/>
    <cellStyle name="Normal 2 2 2 6 4 2" xfId="9665" xr:uid="{E21B955C-74F2-4596-96C4-EED1C322F494}"/>
    <cellStyle name="Normal 2 2 2 6 5" xfId="9660" xr:uid="{1C217CE1-2815-4427-836E-9F6768C69FC2}"/>
    <cellStyle name="Normal 2 2 2 7" xfId="812" xr:uid="{624BCC62-A2FE-4E61-BC4E-7349B3C7AD78}"/>
    <cellStyle name="Normal 2 2 2 7 2" xfId="813" xr:uid="{812E22BD-2EC4-4C77-A94C-9B8D4AC96D2A}"/>
    <cellStyle name="Normal 2 2 2 7 2 2" xfId="814" xr:uid="{AE7CCFAE-9D23-4D0F-97DB-669DA7F75E8E}"/>
    <cellStyle name="Normal 2 2 2 7 2 2 2" xfId="9668" xr:uid="{1729759C-F2F9-42C4-BD99-4CEE4BB6C5F5}"/>
    <cellStyle name="Normal 2 2 2 7 2 3" xfId="815" xr:uid="{235ADAA8-4419-4A83-906C-2DFA9BCBB066}"/>
    <cellStyle name="Normal 2 2 2 7 2 3 2" xfId="9669" xr:uid="{B002FC35-48FE-40FF-A8D0-69B4DCEDDE40}"/>
    <cellStyle name="Normal 2 2 2 7 2 4" xfId="9667" xr:uid="{B78C95BA-DF5D-4B83-B1B2-5DC26DDBE76C}"/>
    <cellStyle name="Normal 2 2 2 7 3" xfId="816" xr:uid="{21B197AB-44C5-4C66-8A19-56C85209D186}"/>
    <cellStyle name="Normal 2 2 2 7 3 2" xfId="9670" xr:uid="{B8DBBB6F-93FF-44EF-9163-04A7155E60F0}"/>
    <cellStyle name="Normal 2 2 2 7 4" xfId="817" xr:uid="{AE5DED19-6B44-4EA2-8CF0-1EAE151B8E08}"/>
    <cellStyle name="Normal 2 2 2 7 4 2" xfId="9671" xr:uid="{ECB099E2-3A30-440D-BE7D-0E5C06D8CBC4}"/>
    <cellStyle name="Normal 2 2 2 7 5" xfId="9666" xr:uid="{F47F70EA-C342-4AFA-8800-4C31BC2F80D1}"/>
    <cellStyle name="Normal 2 2 2 8" xfId="818" xr:uid="{CE5665D7-25DA-48E4-A251-6438605B79D8}"/>
    <cellStyle name="Normal 2 2 2 8 2" xfId="819" xr:uid="{157C5165-B448-4450-ACD5-26686F0438DC}"/>
    <cellStyle name="Normal 2 2 2 8 2 2" xfId="820" xr:uid="{20B447A5-8AA8-44B5-B1B0-D32D3E2733B2}"/>
    <cellStyle name="Normal 2 2 2 8 2 2 2" xfId="9674" xr:uid="{1C8C69EF-C46F-426A-9074-F296F0B0DE1D}"/>
    <cellStyle name="Normal 2 2 2 8 2 3" xfId="821" xr:uid="{6CD3ECD5-E296-4184-96F0-BA23ACC797EC}"/>
    <cellStyle name="Normal 2 2 2 8 2 3 2" xfId="9675" xr:uid="{8560D032-3D59-49FF-AA66-C5157700A15A}"/>
    <cellStyle name="Normal 2 2 2 8 2 4" xfId="9673" xr:uid="{9BA5A99C-45A4-4406-AFC8-D456CDC0E739}"/>
    <cellStyle name="Normal 2 2 2 8 3" xfId="822" xr:uid="{562F194A-3BCF-4BB8-8B56-5B24E519C43C}"/>
    <cellStyle name="Normal 2 2 2 8 3 2" xfId="9676" xr:uid="{DFCA31EB-864C-466B-AA61-EFEE27B2ED41}"/>
    <cellStyle name="Normal 2 2 2 8 4" xfId="823" xr:uid="{38E0AC61-5891-4041-9814-EDAB8C321838}"/>
    <cellStyle name="Normal 2 2 2 8 4 2" xfId="9677" xr:uid="{A28A2A40-9FDE-4B10-B2F9-E7E960072AF0}"/>
    <cellStyle name="Normal 2 2 2 8 5" xfId="9672" xr:uid="{03578B7B-CEE9-4910-9EC4-98042D240CE0}"/>
    <cellStyle name="Normal 2 2 2 9" xfId="824" xr:uid="{EED3D5D2-619D-4773-85A2-F38017DC8778}"/>
    <cellStyle name="Normal 2 2 2 9 2" xfId="825" xr:uid="{E826C91C-6B8E-4FA7-9854-A302961B669F}"/>
    <cellStyle name="Normal 2 2 2 9 2 2" xfId="826" xr:uid="{DD1949B3-8A3A-4161-A9DD-F00140F6DF6E}"/>
    <cellStyle name="Normal 2 2 2 9 2 2 2" xfId="9680" xr:uid="{24C4B4F1-9503-490C-8894-0AB27E82FF84}"/>
    <cellStyle name="Normal 2 2 2 9 2 3" xfId="827" xr:uid="{ABB5C81C-EC39-48C9-87D6-2287758B3939}"/>
    <cellStyle name="Normal 2 2 2 9 2 3 2" xfId="9681" xr:uid="{62D0073C-63BE-4146-9638-0EFDEA945DF1}"/>
    <cellStyle name="Normal 2 2 2 9 2 4" xfId="9679" xr:uid="{7A53A60B-6800-4C33-A5AB-7FA47D706199}"/>
    <cellStyle name="Normal 2 2 2 9 3" xfId="828" xr:uid="{39E076FD-A59C-4B1A-8CDA-D34C28679AEC}"/>
    <cellStyle name="Normal 2 2 2 9 3 2" xfId="9682" xr:uid="{CFCC5390-443B-4985-B81E-18A3E965B61B}"/>
    <cellStyle name="Normal 2 2 2 9 4" xfId="829" xr:uid="{849476FE-DB72-4FD9-A062-3160BCA482AC}"/>
    <cellStyle name="Normal 2 2 2 9 4 2" xfId="9683" xr:uid="{E3DE7943-2D1C-4D1C-BCFD-C10613EAC28C}"/>
    <cellStyle name="Normal 2 2 2 9 5" xfId="9678" xr:uid="{6711E9F2-20A8-416E-881F-21CA51C26773}"/>
    <cellStyle name="Normal 2 2 20" xfId="830" xr:uid="{2D2BF709-A58E-4F19-BD79-416911DA608E}"/>
    <cellStyle name="Normal 2 2 20 2" xfId="831" xr:uid="{B1C0B859-E193-4561-926E-2A3BA2FA2493}"/>
    <cellStyle name="Normal 2 2 20 2 2" xfId="832" xr:uid="{042BF089-59B2-49E5-8D63-EA04F2A57F5D}"/>
    <cellStyle name="Normal 2 2 20 2 2 2" xfId="9686" xr:uid="{A170456E-75B0-4014-8324-5473D6D67399}"/>
    <cellStyle name="Normal 2 2 20 2 3" xfId="833" xr:uid="{B5FC086A-7C63-4100-9DC6-558890B0E91E}"/>
    <cellStyle name="Normal 2 2 20 2 3 2" xfId="9687" xr:uid="{5F6FF4AB-F251-450C-BC97-D3E142040BF0}"/>
    <cellStyle name="Normal 2 2 20 2 4" xfId="9685" xr:uid="{93759578-A769-4D6F-B68D-7AF8ADB226E2}"/>
    <cellStyle name="Normal 2 2 20 3" xfId="834" xr:uid="{59F2E958-3716-4782-A06B-5C9A28925FD4}"/>
    <cellStyle name="Normal 2 2 20 3 2" xfId="9688" xr:uid="{D01200E1-6B15-4D14-A2FB-4ECA604D6B41}"/>
    <cellStyle name="Normal 2 2 20 4" xfId="835" xr:uid="{0B1575E5-858E-4424-9FB0-1B15DFEBDF79}"/>
    <cellStyle name="Normal 2 2 20 4 2" xfId="9689" xr:uid="{2900163A-07B5-4F7E-BD1E-1E8C029818A8}"/>
    <cellStyle name="Normal 2 2 20 5" xfId="9684" xr:uid="{A5CB16E9-8957-4F85-B8FA-44EB001DCF97}"/>
    <cellStyle name="Normal 2 2 21" xfId="836" xr:uid="{C09CF1DA-2D63-4364-A900-88FB23127936}"/>
    <cellStyle name="Normal 2 2 21 2" xfId="837" xr:uid="{0E9D2B26-F042-4C3A-99B2-55537BA873D5}"/>
    <cellStyle name="Normal 2 2 21 2 2" xfId="838" xr:uid="{6BA8B4C6-65CD-4E35-83EA-D38319F80B4D}"/>
    <cellStyle name="Normal 2 2 21 2 2 2" xfId="9692" xr:uid="{AE183159-7E78-452B-994E-AB1AD39F6B40}"/>
    <cellStyle name="Normal 2 2 21 2 3" xfId="839" xr:uid="{2D2F1095-9400-4AF4-9382-227F22C215DE}"/>
    <cellStyle name="Normal 2 2 21 2 3 2" xfId="9693" xr:uid="{FF3BB522-89BA-4ECC-BD82-E33A6A5BF866}"/>
    <cellStyle name="Normal 2 2 21 2 4" xfId="9691" xr:uid="{55C4A914-7A8D-4255-B636-EA9B7C289481}"/>
    <cellStyle name="Normal 2 2 21 3" xfId="840" xr:uid="{3E005032-21A1-43EA-A304-38FBC3AF9E56}"/>
    <cellStyle name="Normal 2 2 21 3 2" xfId="9694" xr:uid="{CD4D627C-B043-480C-AC5B-1D06FB376E45}"/>
    <cellStyle name="Normal 2 2 21 4" xfId="841" xr:uid="{712EEFF8-0297-432E-921D-9EEF9BD696F8}"/>
    <cellStyle name="Normal 2 2 21 4 2" xfId="9695" xr:uid="{DFCBB214-24E5-41B9-B739-96870B5E7FA9}"/>
    <cellStyle name="Normal 2 2 21 5" xfId="9690" xr:uid="{AC89B4CE-A0DA-4130-8E62-D411469293B3}"/>
    <cellStyle name="Normal 2 2 22" xfId="842" xr:uid="{69233F9C-2470-4BE7-8A16-A955A9CA3BDF}"/>
    <cellStyle name="Normal 2 2 22 2" xfId="843" xr:uid="{E2B59239-9BF8-4870-976D-4CE8FFC35AA5}"/>
    <cellStyle name="Normal 2 2 22 2 2" xfId="844" xr:uid="{2F7141E1-DD73-4AA6-8D98-4224065CB364}"/>
    <cellStyle name="Normal 2 2 22 2 2 2" xfId="9698" xr:uid="{086BCC93-F48C-4D4F-B81F-1A3C0C1EA770}"/>
    <cellStyle name="Normal 2 2 22 2 3" xfId="845" xr:uid="{A2B4C0D1-6092-432D-8227-9E67BE75413D}"/>
    <cellStyle name="Normal 2 2 22 2 3 2" xfId="9699" xr:uid="{7EC96E05-C786-49D1-A191-3814554C4821}"/>
    <cellStyle name="Normal 2 2 22 2 4" xfId="9697" xr:uid="{C6FFAA5B-7759-4B93-92BB-2CB3579326C6}"/>
    <cellStyle name="Normal 2 2 22 3" xfId="846" xr:uid="{E308D00F-8D44-4EA4-8E99-FC961432A60B}"/>
    <cellStyle name="Normal 2 2 22 3 2" xfId="9700" xr:uid="{6F772DEC-65C7-4026-AA89-FF8EA0CE313F}"/>
    <cellStyle name="Normal 2 2 22 4" xfId="847" xr:uid="{9EBE0A84-D792-4A2E-97D2-4B458F26AF1B}"/>
    <cellStyle name="Normal 2 2 22 4 2" xfId="9701" xr:uid="{F5AA8476-0BCB-42E3-A85A-C3E30C7924BC}"/>
    <cellStyle name="Normal 2 2 22 5" xfId="9696" xr:uid="{BFCDF1D9-55BA-4A83-A2F9-3E557C10ADD2}"/>
    <cellStyle name="Normal 2 2 23" xfId="848" xr:uid="{A0CD8D59-E0BC-46A7-A7A4-17372DE2B205}"/>
    <cellStyle name="Normal 2 2 23 2" xfId="849" xr:uid="{FB180C6F-E6C8-49FC-B15C-190BA85EADF3}"/>
    <cellStyle name="Normal 2 2 23 2 2" xfId="850" xr:uid="{89574B84-4DCD-444B-B8B0-1FE2338DB1C4}"/>
    <cellStyle name="Normal 2 2 23 2 2 2" xfId="9704" xr:uid="{FE84A1B7-AF23-4D1E-BAC2-1BD62A9BE5EC}"/>
    <cellStyle name="Normal 2 2 23 2 3" xfId="851" xr:uid="{386687C9-9B10-4FD1-BEEC-3A10688BC81D}"/>
    <cellStyle name="Normal 2 2 23 2 3 2" xfId="9705" xr:uid="{5AF7B478-8CD9-4973-94D9-44EE0831F2E9}"/>
    <cellStyle name="Normal 2 2 23 2 4" xfId="9703" xr:uid="{2ADF470B-6C73-4DFF-848E-16DFC6DE9338}"/>
    <cellStyle name="Normal 2 2 23 3" xfId="852" xr:uid="{D728337B-211B-4B5D-84FA-94A8C490C822}"/>
    <cellStyle name="Normal 2 2 23 3 2" xfId="9706" xr:uid="{7EDF24D4-3927-49E0-98A8-668632C587BC}"/>
    <cellStyle name="Normal 2 2 23 4" xfId="853" xr:uid="{EC90F3F7-EC6C-4E8A-838F-E90EB0EEA051}"/>
    <cellStyle name="Normal 2 2 23 4 2" xfId="9707" xr:uid="{39C07704-8906-4ECA-A52E-2694B657AC96}"/>
    <cellStyle name="Normal 2 2 23 5" xfId="9702" xr:uid="{134B6475-FB60-40B9-BAB2-BE1070078F71}"/>
    <cellStyle name="Normal 2 2 24" xfId="854" xr:uid="{3B23B6A9-B4C8-419D-9AF6-BF923B946488}"/>
    <cellStyle name="Normal 2 2 24 2" xfId="855" xr:uid="{5347DF35-4E99-4E59-92C0-BDA445186879}"/>
    <cellStyle name="Normal 2 2 24 2 2" xfId="856" xr:uid="{0983A2E0-9E3A-4687-AE7F-10B43CE9DF67}"/>
    <cellStyle name="Normal 2 2 24 2 2 2" xfId="9710" xr:uid="{AECB43C3-1AF5-44BE-8D3E-FA10D5472EF3}"/>
    <cellStyle name="Normal 2 2 24 2 3" xfId="857" xr:uid="{7F1F87AC-38E2-4C2A-BE1D-053305D38953}"/>
    <cellStyle name="Normal 2 2 24 2 3 2" xfId="9711" xr:uid="{E49BC9E5-A831-4FCD-9229-E155013EE2BE}"/>
    <cellStyle name="Normal 2 2 24 2 4" xfId="9709" xr:uid="{4AA68CC6-CC35-45C4-B44C-283F3CA1DBBC}"/>
    <cellStyle name="Normal 2 2 24 3" xfId="858" xr:uid="{A9D141D0-BF03-43FA-AAA3-BB08E2B7F7F7}"/>
    <cellStyle name="Normal 2 2 24 3 2" xfId="9712" xr:uid="{1BFB6BFE-ABA9-45D0-A4CF-1D149EFBC9CF}"/>
    <cellStyle name="Normal 2 2 24 4" xfId="859" xr:uid="{939905C1-F3F7-4699-8695-AC3BA263CDE4}"/>
    <cellStyle name="Normal 2 2 24 4 2" xfId="9713" xr:uid="{F4F37BEE-57AB-4EFC-82F9-2059EE9818AC}"/>
    <cellStyle name="Normal 2 2 24 5" xfId="9708" xr:uid="{0B59FFC5-06EE-48DD-A088-5340938C556C}"/>
    <cellStyle name="Normal 2 2 25" xfId="860" xr:uid="{978CEA8A-B5B0-432F-880B-46FF42FF82B1}"/>
    <cellStyle name="Normal 2 2 25 2" xfId="861" xr:uid="{8BFEE908-CC1F-4C40-93B2-3926B058A54C}"/>
    <cellStyle name="Normal 2 2 25 2 2" xfId="862" xr:uid="{22158A03-5715-4FFA-BF66-DCD5F0478F3A}"/>
    <cellStyle name="Normal 2 2 25 2 2 2" xfId="9716" xr:uid="{549F2A74-EEAA-47E2-AC93-DA3C07F1BD7A}"/>
    <cellStyle name="Normal 2 2 25 2 3" xfId="863" xr:uid="{C010114D-BA97-41F3-9A9A-D66FA036E4B8}"/>
    <cellStyle name="Normal 2 2 25 2 3 2" xfId="9717" xr:uid="{7D5113FA-7DA8-4CE2-9724-4A73C08BE354}"/>
    <cellStyle name="Normal 2 2 25 2 4" xfId="9715" xr:uid="{D4733793-3352-47CC-9A0E-4E873E5A0C43}"/>
    <cellStyle name="Normal 2 2 25 3" xfId="864" xr:uid="{3213B2FB-4B88-47C5-8051-37FA5B5BDBD7}"/>
    <cellStyle name="Normal 2 2 25 3 2" xfId="9718" xr:uid="{B32BB4D6-CE8E-479F-92E8-6D7975B21FB6}"/>
    <cellStyle name="Normal 2 2 25 4" xfId="865" xr:uid="{AA833E0E-D5AD-45D6-8110-73D4FDFA32EA}"/>
    <cellStyle name="Normal 2 2 25 4 2" xfId="9719" xr:uid="{F304B69E-C051-42B5-A5BB-8C098CD49B61}"/>
    <cellStyle name="Normal 2 2 25 5" xfId="9714" xr:uid="{F54B959B-2BD9-4B46-B838-22529303BEC9}"/>
    <cellStyle name="Normal 2 2 26" xfId="866" xr:uid="{412DA8A5-6064-4342-A9E0-AC24EF0956E1}"/>
    <cellStyle name="Normal 2 2 26 2" xfId="867" xr:uid="{DBB79EC3-B5F8-451E-95B4-4C31DC91CE88}"/>
    <cellStyle name="Normal 2 2 26 2 2" xfId="868" xr:uid="{2398B68A-BEA0-4358-B278-E1AFFAAE67BC}"/>
    <cellStyle name="Normal 2 2 26 2 2 2" xfId="9722" xr:uid="{CA5CB623-0142-47A3-9149-3ED0563FE083}"/>
    <cellStyle name="Normal 2 2 26 2 3" xfId="869" xr:uid="{3CB939DD-06DD-49F1-BD68-EB7C22C5DE67}"/>
    <cellStyle name="Normal 2 2 26 2 3 2" xfId="9723" xr:uid="{5997CF7E-5908-4F40-88EC-F038354D90D5}"/>
    <cellStyle name="Normal 2 2 26 2 4" xfId="9721" xr:uid="{FF7FDD93-D19A-422D-8F88-F4BC0DCA4956}"/>
    <cellStyle name="Normal 2 2 26 3" xfId="870" xr:uid="{8C6E1897-CCA2-4B2B-B15E-3DA60FD03FDC}"/>
    <cellStyle name="Normal 2 2 26 3 2" xfId="9724" xr:uid="{AE9599F8-4F88-43B3-8FC9-1BF54F79A950}"/>
    <cellStyle name="Normal 2 2 26 4" xfId="871" xr:uid="{B2E5BDB4-A2B0-4500-A8BF-44828E2FF76B}"/>
    <cellStyle name="Normal 2 2 26 4 2" xfId="9725" xr:uid="{E0450890-B080-4C31-9553-BA7A54A2AF68}"/>
    <cellStyle name="Normal 2 2 26 5" xfId="9720" xr:uid="{97EA2D0C-FFED-4A22-B683-BECB0A8D30C5}"/>
    <cellStyle name="Normal 2 2 27" xfId="872" xr:uid="{EC83E6B2-1354-4E35-A41F-1AA0BEF56204}"/>
    <cellStyle name="Normal 2 2 27 2" xfId="873" xr:uid="{C15C2FFF-C2B8-496D-8803-C255E26B0B2D}"/>
    <cellStyle name="Normal 2 2 27 2 2" xfId="874" xr:uid="{38864B73-F0AB-47D4-977C-7D44BEF184A6}"/>
    <cellStyle name="Normal 2 2 27 2 2 2" xfId="9728" xr:uid="{AD94DDAF-B3B5-4D2C-AB6C-8242FCC6005C}"/>
    <cellStyle name="Normal 2 2 27 2 3" xfId="875" xr:uid="{A84CDB9A-3BF4-464A-B753-1C290251A1DD}"/>
    <cellStyle name="Normal 2 2 27 2 3 2" xfId="9729" xr:uid="{B284265B-4208-4194-9BBB-46BE76380700}"/>
    <cellStyle name="Normal 2 2 27 2 4" xfId="9727" xr:uid="{497FAB8C-7E6C-424F-AEED-E485031E0D48}"/>
    <cellStyle name="Normal 2 2 27 3" xfId="876" xr:uid="{0B96A475-DABC-43B6-AD98-5C14CB9085EC}"/>
    <cellStyle name="Normal 2 2 27 3 2" xfId="9730" xr:uid="{59245D00-E39A-4250-9240-80AE1CC1B031}"/>
    <cellStyle name="Normal 2 2 27 4" xfId="877" xr:uid="{7F8360F5-6FCF-47C9-9147-896F74AA0D6B}"/>
    <cellStyle name="Normal 2 2 27 4 2" xfId="9731" xr:uid="{82DF9A80-1B1F-42D3-AD62-123C5592A145}"/>
    <cellStyle name="Normal 2 2 27 5" xfId="9726" xr:uid="{E46DADF7-FE72-42AF-8419-C3720655F78A}"/>
    <cellStyle name="Normal 2 2 28" xfId="878" xr:uid="{8BEA61DD-47B7-4BEC-83AE-1CA1B93DCD3F}"/>
    <cellStyle name="Normal 2 2 28 2" xfId="879" xr:uid="{77C6071E-DAB7-490C-9887-FD4CC68F6A99}"/>
    <cellStyle name="Normal 2 2 28 2 2" xfId="880" xr:uid="{9AB6DAB8-A72C-4DCD-A459-0B618C5A55D8}"/>
    <cellStyle name="Normal 2 2 28 2 2 2" xfId="9734" xr:uid="{5F67D58F-375B-4A7D-BE6C-A6AB5617973B}"/>
    <cellStyle name="Normal 2 2 28 2 3" xfId="881" xr:uid="{C51CC161-0E5E-4561-A3E1-0D268F6845B5}"/>
    <cellStyle name="Normal 2 2 28 2 3 2" xfId="9735" xr:uid="{FA1BB85D-FEB3-4F72-8BF0-6DFFEF37F62D}"/>
    <cellStyle name="Normal 2 2 28 2 4" xfId="9733" xr:uid="{E4F0D6AB-B239-4905-BFA6-4CC6C9424D75}"/>
    <cellStyle name="Normal 2 2 28 3" xfId="882" xr:uid="{971804DE-DEBF-4B38-8F40-B3937FB2092D}"/>
    <cellStyle name="Normal 2 2 28 3 2" xfId="9736" xr:uid="{5946E9DD-22EC-4EAD-9B83-2C46768CDDA3}"/>
    <cellStyle name="Normal 2 2 28 4" xfId="883" xr:uid="{4C035B9A-6EB5-429F-B25B-71CFAED3D4C7}"/>
    <cellStyle name="Normal 2 2 28 4 2" xfId="9737" xr:uid="{67F9045E-6A11-4A88-8773-9CB7D5E6A643}"/>
    <cellStyle name="Normal 2 2 28 5" xfId="9732" xr:uid="{409DA3AE-3440-4422-B424-6AF9CF751719}"/>
    <cellStyle name="Normal 2 2 29" xfId="884" xr:uid="{020A852D-820B-40E3-9291-19E40BB4CCA0}"/>
    <cellStyle name="Normal 2 2 29 2" xfId="885" xr:uid="{F454FBEE-51D7-4688-8436-52EA2A5B6C0F}"/>
    <cellStyle name="Normal 2 2 29 2 2" xfId="886" xr:uid="{0CD3926C-6C23-4BC7-A657-8225BA2165C4}"/>
    <cellStyle name="Normal 2 2 29 2 2 2" xfId="9740" xr:uid="{A9415D2C-7B2D-4DFD-A653-DACB97CF15E3}"/>
    <cellStyle name="Normal 2 2 29 2 3" xfId="887" xr:uid="{0F48F111-9918-48AA-851A-F5E5CD1F1491}"/>
    <cellStyle name="Normal 2 2 29 2 3 2" xfId="9741" xr:uid="{F1709389-AF4D-48BD-B4F0-234089A09A58}"/>
    <cellStyle name="Normal 2 2 29 2 4" xfId="9739" xr:uid="{01992811-4D15-413F-A215-967173383AB3}"/>
    <cellStyle name="Normal 2 2 29 3" xfId="888" xr:uid="{D8A60DED-C034-402D-B018-1F398EAE0F3D}"/>
    <cellStyle name="Normal 2 2 29 3 2" xfId="9742" xr:uid="{8159AC34-113F-4D07-A1A7-B282313CE611}"/>
    <cellStyle name="Normal 2 2 29 4" xfId="889" xr:uid="{23AF6DE0-E068-4DAD-BF8E-A618E48FCA09}"/>
    <cellStyle name="Normal 2 2 29 4 2" xfId="9743" xr:uid="{CF37B385-53DA-4891-B1B8-AB35AF911235}"/>
    <cellStyle name="Normal 2 2 29 5" xfId="9738" xr:uid="{96B4421B-AEC7-451E-A576-FB7636CED7BF}"/>
    <cellStyle name="Normal 2 2 3" xfId="890" xr:uid="{DC0A73B1-5AC3-4B69-9F06-9851C02A48E7}"/>
    <cellStyle name="Normal 2 2 3 10" xfId="891" xr:uid="{433DE69B-39C0-4566-A992-5DCA81472BEE}"/>
    <cellStyle name="Normal 2 2 3 10 2" xfId="892" xr:uid="{C8C623D3-7236-43F2-BA1A-137010659BB0}"/>
    <cellStyle name="Normal 2 2 3 10 2 2" xfId="893" xr:uid="{6CB0777C-3664-4CF7-9EBF-0EA3C1BD2AC2}"/>
    <cellStyle name="Normal 2 2 3 10 2 2 2" xfId="9747" xr:uid="{AA7D4E06-C127-4BCD-A959-26121A0028F6}"/>
    <cellStyle name="Normal 2 2 3 10 2 3" xfId="894" xr:uid="{234FF536-C403-416B-935A-7DB37234C305}"/>
    <cellStyle name="Normal 2 2 3 10 2 3 2" xfId="9748" xr:uid="{252E1C97-F902-4EFF-BE39-DD99E41D838D}"/>
    <cellStyle name="Normal 2 2 3 10 2 4" xfId="9746" xr:uid="{C93E7808-F792-4CF7-A795-58A14FE6F2AC}"/>
    <cellStyle name="Normal 2 2 3 10 3" xfId="895" xr:uid="{F36CFAFE-4E93-43F0-825B-82E407117B7D}"/>
    <cellStyle name="Normal 2 2 3 10 3 2" xfId="9749" xr:uid="{4C112F6F-2633-4706-947F-FBA925D40AFC}"/>
    <cellStyle name="Normal 2 2 3 10 4" xfId="896" xr:uid="{FC9FC460-552D-4C81-8D02-5C0151EF1073}"/>
    <cellStyle name="Normal 2 2 3 10 4 2" xfId="9750" xr:uid="{5A5838F4-78FB-40E3-BCFF-49B3CBDF08A9}"/>
    <cellStyle name="Normal 2 2 3 10 5" xfId="9745" xr:uid="{4968062D-F030-44A4-B594-E405213E2E8D}"/>
    <cellStyle name="Normal 2 2 3 11" xfId="897" xr:uid="{7B0104E0-679A-444F-88E9-56F86FB00DBA}"/>
    <cellStyle name="Normal 2 2 3 11 2" xfId="898" xr:uid="{89876394-0F99-46EC-AF52-BDAB83E2A6CC}"/>
    <cellStyle name="Normal 2 2 3 11 2 2" xfId="899" xr:uid="{2C83F6BE-8561-4BFA-94CA-4BEEDAF67C3D}"/>
    <cellStyle name="Normal 2 2 3 11 2 2 2" xfId="9753" xr:uid="{5625C548-0094-44EC-BF78-1ADA410224CB}"/>
    <cellStyle name="Normal 2 2 3 11 2 3" xfId="900" xr:uid="{F8EEEB73-C002-4E55-8821-4845C1D5EEAC}"/>
    <cellStyle name="Normal 2 2 3 11 2 3 2" xfId="9754" xr:uid="{8B4A99F4-31B8-4196-9452-3DA13A30C2BA}"/>
    <cellStyle name="Normal 2 2 3 11 2 4" xfId="9752" xr:uid="{5FE2A141-75FF-490D-BB17-51435A10C405}"/>
    <cellStyle name="Normal 2 2 3 11 3" xfId="901" xr:uid="{BB89E1F4-826C-400D-AD4E-B93BBD8327F7}"/>
    <cellStyle name="Normal 2 2 3 11 3 2" xfId="9755" xr:uid="{F2B3CF1D-1E42-4EAE-9737-6D2FCB521876}"/>
    <cellStyle name="Normal 2 2 3 11 4" xfId="902" xr:uid="{E434B15C-B248-4898-B96B-E822D797B803}"/>
    <cellStyle name="Normal 2 2 3 11 4 2" xfId="9756" xr:uid="{1C2DAC94-97C6-4A81-B363-67C3089CFDFF}"/>
    <cellStyle name="Normal 2 2 3 11 5" xfId="9751" xr:uid="{3B1CC291-9247-4489-AE96-5E0C16D526D6}"/>
    <cellStyle name="Normal 2 2 3 12" xfId="903" xr:uid="{C7CF1588-8A0F-4B4F-A582-80EAC3AD26BD}"/>
    <cellStyle name="Normal 2 2 3 12 2" xfId="904" xr:uid="{DF24B2F5-33F2-4C84-82F2-5FB187AB2770}"/>
    <cellStyle name="Normal 2 2 3 12 2 2" xfId="905" xr:uid="{E6B127DA-5AA7-461D-8150-44D70CE84171}"/>
    <cellStyle name="Normal 2 2 3 12 2 2 2" xfId="9759" xr:uid="{85E2F8DB-0CC4-4A50-AFF0-6A888A6C2180}"/>
    <cellStyle name="Normal 2 2 3 12 2 3" xfId="906" xr:uid="{B1336A4C-FDBD-4D8F-A004-CC0B8BFA7248}"/>
    <cellStyle name="Normal 2 2 3 12 2 3 2" xfId="9760" xr:uid="{9FE2E5E4-55B5-4DCD-AC5A-0AF077B5D1C5}"/>
    <cellStyle name="Normal 2 2 3 12 2 4" xfId="9758" xr:uid="{A865489D-D6A6-4216-B1A7-78A92584A58C}"/>
    <cellStyle name="Normal 2 2 3 12 3" xfId="907" xr:uid="{D4579E5D-4793-4E89-8CB0-F2CF922044E4}"/>
    <cellStyle name="Normal 2 2 3 12 3 2" xfId="9761" xr:uid="{1F7BD918-D6DE-4ABC-A70E-0647F596F8CB}"/>
    <cellStyle name="Normal 2 2 3 12 4" xfId="908" xr:uid="{73EB9F4B-FF3B-4327-8EAF-89A465E2B5F1}"/>
    <cellStyle name="Normal 2 2 3 12 4 2" xfId="9762" xr:uid="{21EF1452-D4C3-462C-9E89-9CF7D91130EA}"/>
    <cellStyle name="Normal 2 2 3 12 5" xfId="9757" xr:uid="{349F4950-B15F-4755-8CAD-DCAA9384BA1C}"/>
    <cellStyle name="Normal 2 2 3 13" xfId="909" xr:uid="{F5368EB4-AA3F-4942-B762-0527C5038AFC}"/>
    <cellStyle name="Normal 2 2 3 13 2" xfId="910" xr:uid="{05BBBD8E-300B-4C88-8333-76F76E2860EE}"/>
    <cellStyle name="Normal 2 2 3 13 2 2" xfId="911" xr:uid="{0DDCAEF1-711C-4742-9049-1D32159D7349}"/>
    <cellStyle name="Normal 2 2 3 13 2 2 2" xfId="9765" xr:uid="{B0ADC682-FEF2-4F19-B379-37006D1086E9}"/>
    <cellStyle name="Normal 2 2 3 13 2 3" xfId="912" xr:uid="{803E0B5E-ABE5-4F98-AD0C-9CDE6665C731}"/>
    <cellStyle name="Normal 2 2 3 13 2 3 2" xfId="9766" xr:uid="{C16DE191-9752-4522-A31D-F1555CFB8057}"/>
    <cellStyle name="Normal 2 2 3 13 2 4" xfId="9764" xr:uid="{700AECE3-1833-4B50-870B-6117ABE9F452}"/>
    <cellStyle name="Normal 2 2 3 13 3" xfId="913" xr:uid="{23CD29F4-A917-4F04-A814-EED4F8281AB7}"/>
    <cellStyle name="Normal 2 2 3 13 3 2" xfId="9767" xr:uid="{63DBC5B0-F6AF-471E-B020-DA41488F4836}"/>
    <cellStyle name="Normal 2 2 3 13 4" xfId="914" xr:uid="{B3F31B8A-24FA-4CB7-82EE-D774D52E07C4}"/>
    <cellStyle name="Normal 2 2 3 13 4 2" xfId="9768" xr:uid="{24153C36-D5FE-4B3D-AE97-31597ED5DC2A}"/>
    <cellStyle name="Normal 2 2 3 13 5" xfId="9763" xr:uid="{EFB79AE0-967D-40E7-A027-7D5EE312C958}"/>
    <cellStyle name="Normal 2 2 3 14" xfId="915" xr:uid="{CD617BD5-A8AA-4FD9-9F98-FD9C5B6AC9F3}"/>
    <cellStyle name="Normal 2 2 3 14 2" xfId="916" xr:uid="{2AC60F39-779D-4DC6-AA7D-6154A46EC6AB}"/>
    <cellStyle name="Normal 2 2 3 14 2 2" xfId="917" xr:uid="{7F365945-840F-42DC-A034-E7EE1F273681}"/>
    <cellStyle name="Normal 2 2 3 14 2 2 2" xfId="9771" xr:uid="{F8D78CB5-135C-45F3-94A1-D28C1779AC50}"/>
    <cellStyle name="Normal 2 2 3 14 2 3" xfId="918" xr:uid="{95D675E4-180E-4394-85BC-3739A97E3532}"/>
    <cellStyle name="Normal 2 2 3 14 2 3 2" xfId="9772" xr:uid="{157F65BF-8272-4E07-BC4F-9760FC74AC93}"/>
    <cellStyle name="Normal 2 2 3 14 2 4" xfId="9770" xr:uid="{16A679A9-2898-43AA-9ADA-AE9554505B88}"/>
    <cellStyle name="Normal 2 2 3 14 3" xfId="919" xr:uid="{46BDB030-AC75-4E9A-BCBB-999901FE817E}"/>
    <cellStyle name="Normal 2 2 3 14 3 2" xfId="9773" xr:uid="{41AAC8D1-03D1-4FF6-BC51-DF1A651BD2AF}"/>
    <cellStyle name="Normal 2 2 3 14 4" xfId="920" xr:uid="{2899858B-CF9A-4D68-BABC-D8F3D83B9567}"/>
    <cellStyle name="Normal 2 2 3 14 4 2" xfId="9774" xr:uid="{3F70B533-F742-4D88-8799-A702E5E74E65}"/>
    <cellStyle name="Normal 2 2 3 14 5" xfId="9769" xr:uid="{436717AD-D129-4FF6-AB9F-05FDD7D799AB}"/>
    <cellStyle name="Normal 2 2 3 15" xfId="921" xr:uid="{427021FA-6496-4DC8-8C44-336347C5E265}"/>
    <cellStyle name="Normal 2 2 3 15 2" xfId="922" xr:uid="{C5D346B6-2460-493A-ADC8-930399C44890}"/>
    <cellStyle name="Normal 2 2 3 15 2 2" xfId="923" xr:uid="{CB275DC1-70B2-4799-9314-E8C296072263}"/>
    <cellStyle name="Normal 2 2 3 15 2 2 2" xfId="9777" xr:uid="{344011B0-B130-4136-91AD-C2F7FE84ADF3}"/>
    <cellStyle name="Normal 2 2 3 15 2 3" xfId="924" xr:uid="{03DD9E8D-425A-4643-9D9D-1E8180C38112}"/>
    <cellStyle name="Normal 2 2 3 15 2 3 2" xfId="9778" xr:uid="{0FA033CF-0973-4837-91D0-04837C255A6B}"/>
    <cellStyle name="Normal 2 2 3 15 2 4" xfId="9776" xr:uid="{EF456DD9-7BDC-4921-8124-4200EFBADF2C}"/>
    <cellStyle name="Normal 2 2 3 15 3" xfId="925" xr:uid="{E9CAAA8D-4CF0-48F7-A771-8F3AFC52CC36}"/>
    <cellStyle name="Normal 2 2 3 15 3 2" xfId="9779" xr:uid="{1ECD1B27-5A08-4FAD-A23A-FEF02CE846D8}"/>
    <cellStyle name="Normal 2 2 3 15 4" xfId="926" xr:uid="{DF131261-43C9-40E8-A689-36AC2818EA91}"/>
    <cellStyle name="Normal 2 2 3 15 4 2" xfId="9780" xr:uid="{600539B4-99A4-43F8-A6DB-18B778406B25}"/>
    <cellStyle name="Normal 2 2 3 15 5" xfId="9775" xr:uid="{AA43328D-F6E0-4865-8167-8539C2F84B26}"/>
    <cellStyle name="Normal 2 2 3 16" xfId="927" xr:uid="{C9CACC16-1E64-4CEA-9679-E79EBCA6011A}"/>
    <cellStyle name="Normal 2 2 3 16 2" xfId="928" xr:uid="{88BA58CB-9609-4561-873B-77626A1DB096}"/>
    <cellStyle name="Normal 2 2 3 16 2 2" xfId="929" xr:uid="{12C3BFD3-5B5A-4875-8873-4751E273E687}"/>
    <cellStyle name="Normal 2 2 3 16 2 2 2" xfId="9783" xr:uid="{191B067D-23EA-4838-8E77-D076D1809D80}"/>
    <cellStyle name="Normal 2 2 3 16 2 3" xfId="930" xr:uid="{227D591F-84B6-439A-B20A-770320C6F1BF}"/>
    <cellStyle name="Normal 2 2 3 16 2 3 2" xfId="9784" xr:uid="{A93AABE7-07E1-4AD2-9990-7847AAE11B71}"/>
    <cellStyle name="Normal 2 2 3 16 2 4" xfId="9782" xr:uid="{53257C55-AE9B-4E58-B443-1A9990969B99}"/>
    <cellStyle name="Normal 2 2 3 16 3" xfId="931" xr:uid="{2C9FE955-B007-427F-8B40-30B0A6844771}"/>
    <cellStyle name="Normal 2 2 3 16 3 2" xfId="9785" xr:uid="{5CED133A-17D2-41FD-8B19-008A42605867}"/>
    <cellStyle name="Normal 2 2 3 16 4" xfId="932" xr:uid="{5EC1491E-5103-469D-B1D5-40576F71BDCC}"/>
    <cellStyle name="Normal 2 2 3 16 4 2" xfId="9786" xr:uid="{0A21BD9F-F568-4E51-A9AA-0643DD670630}"/>
    <cellStyle name="Normal 2 2 3 16 5" xfId="9781" xr:uid="{987F326E-B03E-4A18-8D6D-41E2CB876C1E}"/>
    <cellStyle name="Normal 2 2 3 17" xfId="933" xr:uid="{780BB5EC-2E1D-4038-BD98-7FB2DAC54F21}"/>
    <cellStyle name="Normal 2 2 3 17 2" xfId="934" xr:uid="{A76D2B99-ED50-4BE1-9435-322E0F216286}"/>
    <cellStyle name="Normal 2 2 3 17 2 2" xfId="935" xr:uid="{FA64A7C7-346D-4BB3-B95F-7FF84023FF59}"/>
    <cellStyle name="Normal 2 2 3 17 2 2 2" xfId="9789" xr:uid="{88B870B1-2758-48A3-B0EF-87010BBD516F}"/>
    <cellStyle name="Normal 2 2 3 17 2 3" xfId="936" xr:uid="{A9451F77-7F7D-49DF-B5B2-8F1567E3ABF9}"/>
    <cellStyle name="Normal 2 2 3 17 2 3 2" xfId="9790" xr:uid="{96A032B4-DD4B-4936-A6B6-8ABAE8CCE498}"/>
    <cellStyle name="Normal 2 2 3 17 2 4" xfId="9788" xr:uid="{746FD210-47D8-42E3-BFD1-8C34B5325E31}"/>
    <cellStyle name="Normal 2 2 3 17 3" xfId="937" xr:uid="{714A2AF9-84C7-4B0C-ADAE-A95495283687}"/>
    <cellStyle name="Normal 2 2 3 17 3 2" xfId="9791" xr:uid="{AF6956C8-CE0A-4B15-AAF0-D512B3162459}"/>
    <cellStyle name="Normal 2 2 3 17 4" xfId="938" xr:uid="{AAF1E56B-1DEE-42FD-BBF4-9A521DB6A0D9}"/>
    <cellStyle name="Normal 2 2 3 17 4 2" xfId="9792" xr:uid="{14784A91-F0DC-410E-9FC7-F636C75EBE6D}"/>
    <cellStyle name="Normal 2 2 3 17 5" xfId="9787" xr:uid="{2A5DE1B6-5D74-454A-A195-207D76CB0705}"/>
    <cellStyle name="Normal 2 2 3 18" xfId="939" xr:uid="{4242C147-9A33-4860-8212-C5A8F37A4B1E}"/>
    <cellStyle name="Normal 2 2 3 18 2" xfId="940" xr:uid="{F9AF3E5D-9639-440F-A31E-2C2C01D69E46}"/>
    <cellStyle name="Normal 2 2 3 18 2 2" xfId="941" xr:uid="{294C4B79-24DE-4923-AC2D-0789D41A9C3F}"/>
    <cellStyle name="Normal 2 2 3 18 2 2 2" xfId="9795" xr:uid="{1E1C201E-507C-48DF-964E-FAB0457EA293}"/>
    <cellStyle name="Normal 2 2 3 18 2 3" xfId="942" xr:uid="{18682486-F19D-4CFD-BE88-09E5A5871902}"/>
    <cellStyle name="Normal 2 2 3 18 2 3 2" xfId="9796" xr:uid="{A95DAC9E-DF45-42DE-9054-F4D1C42195CD}"/>
    <cellStyle name="Normal 2 2 3 18 2 4" xfId="9794" xr:uid="{9145C08F-50AA-42E7-99D9-79C7BDCC2BF1}"/>
    <cellStyle name="Normal 2 2 3 18 3" xfId="943" xr:uid="{FF0D9DFF-65E7-4FA5-A3F5-AF41777B3084}"/>
    <cellStyle name="Normal 2 2 3 18 3 2" xfId="9797" xr:uid="{F77856BD-FA69-42CC-8BEB-CDA0B8F85A68}"/>
    <cellStyle name="Normal 2 2 3 18 4" xfId="944" xr:uid="{2B22363A-BDD9-4D09-8C63-5CEB1F8AE565}"/>
    <cellStyle name="Normal 2 2 3 18 4 2" xfId="9798" xr:uid="{5564A73C-53A8-477E-812B-01DC02AAF445}"/>
    <cellStyle name="Normal 2 2 3 18 5" xfId="9793" xr:uid="{0077CB15-2FD9-464D-951E-4BF1DC983514}"/>
    <cellStyle name="Normal 2 2 3 19" xfId="945" xr:uid="{6A75D4B1-EA14-4059-876B-06EC1FB2EBD9}"/>
    <cellStyle name="Normal 2 2 3 19 2" xfId="946" xr:uid="{D6F9D375-C1F7-499F-91EF-5306FE47DB14}"/>
    <cellStyle name="Normal 2 2 3 19 2 2" xfId="947" xr:uid="{4CB39F6E-7F25-431D-AD4E-DED709B94EB1}"/>
    <cellStyle name="Normal 2 2 3 19 2 2 2" xfId="9801" xr:uid="{83FB3D47-A0DB-464B-9113-C5F1EF30CCD9}"/>
    <cellStyle name="Normal 2 2 3 19 2 3" xfId="948" xr:uid="{C9C40C3B-575D-46E9-95F8-A4CD9F08DF96}"/>
    <cellStyle name="Normal 2 2 3 19 2 3 2" xfId="9802" xr:uid="{390EDEAD-ACF8-44EE-94CC-A167C35AA767}"/>
    <cellStyle name="Normal 2 2 3 19 2 4" xfId="9800" xr:uid="{ACC8AF98-9675-4BD7-9C47-8870FDE5233D}"/>
    <cellStyle name="Normal 2 2 3 19 3" xfId="949" xr:uid="{FBB681A2-052B-47B2-BC6A-3E10C834A835}"/>
    <cellStyle name="Normal 2 2 3 19 3 2" xfId="9803" xr:uid="{3715A642-7C0F-4194-B14C-8D184B81A790}"/>
    <cellStyle name="Normal 2 2 3 19 4" xfId="950" xr:uid="{884E6CE2-C6B5-47F7-BB01-65D451373DE3}"/>
    <cellStyle name="Normal 2 2 3 19 4 2" xfId="9804" xr:uid="{8F55BFAB-24CE-46AD-BD46-B8F3A642D425}"/>
    <cellStyle name="Normal 2 2 3 19 5" xfId="9799" xr:uid="{2DF18350-0514-4581-B01A-8ECAA8EE1E3B}"/>
    <cellStyle name="Normal 2 2 3 2" xfId="951" xr:uid="{FC0EE6D1-086F-4F07-AADB-49CE95E26EE2}"/>
    <cellStyle name="Normal 2 2 3 2 2" xfId="952" xr:uid="{2894CB67-7BB4-414D-AF07-7ABE4FA9A845}"/>
    <cellStyle name="Normal 2 2 3 2 2 2" xfId="953" xr:uid="{99666403-3D07-4794-B689-4B430A15FE40}"/>
    <cellStyle name="Normal 2 2 3 2 2 2 2" xfId="9807" xr:uid="{DF00BAED-A960-4741-BBC6-0550EF61B3FB}"/>
    <cellStyle name="Normal 2 2 3 2 2 3" xfId="954" xr:uid="{789CC225-97D7-424B-AA80-A45CD236E7A8}"/>
    <cellStyle name="Normal 2 2 3 2 2 3 2" xfId="9808" xr:uid="{E4F38DB7-933B-4D02-BC7B-6BE4822009FB}"/>
    <cellStyle name="Normal 2 2 3 2 2 4" xfId="9806" xr:uid="{3467F268-5D87-4700-AC1C-D4D2941864DD}"/>
    <cellStyle name="Normal 2 2 3 2 3" xfId="955" xr:uid="{38EF794C-F4C0-446F-8B76-F0DFE57C3D14}"/>
    <cellStyle name="Normal 2 2 3 2 3 2" xfId="9809" xr:uid="{B775F30E-2041-4858-B802-314A5EC01276}"/>
    <cellStyle name="Normal 2 2 3 2 4" xfId="956" xr:uid="{D4ACE03E-49FD-453C-B6CD-1DDCFAADF686}"/>
    <cellStyle name="Normal 2 2 3 2 4 2" xfId="9810" xr:uid="{87AB5935-BCD0-4C2F-AC98-3140D5AC017D}"/>
    <cellStyle name="Normal 2 2 3 2 5" xfId="957" xr:uid="{92DD6CBB-A02D-44F4-8A5E-FB3250553B8B}"/>
    <cellStyle name="Normal 2 2 3 2 6" xfId="958" xr:uid="{1F3F7AB2-5293-43E7-A926-350343A92F7D}"/>
    <cellStyle name="Normal 2 2 3 2 6 2" xfId="9811" xr:uid="{887F0346-37F5-4BBE-91A0-1D59F32615E8}"/>
    <cellStyle name="Normal 2 2 3 2 7" xfId="959" xr:uid="{5AAD7958-E10F-46C7-8EB9-4E2F9D342076}"/>
    <cellStyle name="Normal 2 2 3 2 8" xfId="9805" xr:uid="{9AF36652-C285-41F7-881D-769620E763B1}"/>
    <cellStyle name="Normal 2 2 3 20" xfId="960" xr:uid="{B4728107-929D-4881-9F7D-FBB851EE8142}"/>
    <cellStyle name="Normal 2 2 3 20 2" xfId="961" xr:uid="{1C4432E9-D222-4A1A-A8C7-3E1F28CBADDD}"/>
    <cellStyle name="Normal 2 2 3 20 2 2" xfId="962" xr:uid="{4CF12F02-386C-441A-9E97-51B44AD43659}"/>
    <cellStyle name="Normal 2 2 3 20 2 2 2" xfId="9814" xr:uid="{2D62E2BA-50D6-41C2-8952-594BE6B2E714}"/>
    <cellStyle name="Normal 2 2 3 20 2 3" xfId="963" xr:uid="{C6558227-FF13-41F0-BC62-F82DF44371FD}"/>
    <cellStyle name="Normal 2 2 3 20 2 3 2" xfId="9815" xr:uid="{CE29F92E-E523-4F4D-B738-80D29E136E99}"/>
    <cellStyle name="Normal 2 2 3 20 2 4" xfId="9813" xr:uid="{5C72829D-984C-4F64-B99C-03BEC7FED1AA}"/>
    <cellStyle name="Normal 2 2 3 20 3" xfId="964" xr:uid="{A77289E7-6DEF-433F-81A2-C2A4D38DC00D}"/>
    <cellStyle name="Normal 2 2 3 20 3 2" xfId="9816" xr:uid="{1CDCEC29-88E6-4BC9-BC3A-9F2F07499132}"/>
    <cellStyle name="Normal 2 2 3 20 4" xfId="965" xr:uid="{5220151B-CA40-4B64-9FA6-EA4902787997}"/>
    <cellStyle name="Normal 2 2 3 20 4 2" xfId="9817" xr:uid="{14D8EF3F-44D2-4C9C-8CA3-C1FB9DC1C153}"/>
    <cellStyle name="Normal 2 2 3 20 5" xfId="9812" xr:uid="{2420ED0A-56F6-43A7-BFEC-23695A8A35ED}"/>
    <cellStyle name="Normal 2 2 3 21" xfId="966" xr:uid="{56CC9795-E409-419A-B232-5B49945E5521}"/>
    <cellStyle name="Normal 2 2 3 21 2" xfId="967" xr:uid="{D49CA016-E758-4F87-A9BC-E49E14D2A9CD}"/>
    <cellStyle name="Normal 2 2 3 21 2 2" xfId="968" xr:uid="{969C7898-D5B3-4024-8CF4-4A02EC9B11B1}"/>
    <cellStyle name="Normal 2 2 3 21 2 2 2" xfId="9820" xr:uid="{B56F327B-0634-4102-9465-44C3DBBFCE73}"/>
    <cellStyle name="Normal 2 2 3 21 2 3" xfId="969" xr:uid="{8CA33000-82B3-4C63-A8F8-A9731DEAAAC6}"/>
    <cellStyle name="Normal 2 2 3 21 2 3 2" xfId="9821" xr:uid="{20B17718-DBAB-44DE-AE2A-3C34AD971A11}"/>
    <cellStyle name="Normal 2 2 3 21 2 4" xfId="9819" xr:uid="{98EB14CB-C045-46F9-B929-73F345375754}"/>
    <cellStyle name="Normal 2 2 3 21 3" xfId="970" xr:uid="{4D50FF72-5B86-45B5-B74D-CD14201EFB6D}"/>
    <cellStyle name="Normal 2 2 3 21 3 2" xfId="9822" xr:uid="{9AC2BF28-8E1C-46C7-8669-E7A312BBF79C}"/>
    <cellStyle name="Normal 2 2 3 21 4" xfId="971" xr:uid="{3AB1FDE9-290B-44E5-9666-9047F35C5F12}"/>
    <cellStyle name="Normal 2 2 3 21 4 2" xfId="9823" xr:uid="{F7245421-83BC-4C0B-944A-BC62658683AD}"/>
    <cellStyle name="Normal 2 2 3 21 5" xfId="9818" xr:uid="{6AB3EC82-0EC6-41B1-B537-3811FCA13025}"/>
    <cellStyle name="Normal 2 2 3 22" xfId="972" xr:uid="{5E2C47F4-2CAC-4DCC-AA11-291939A31033}"/>
    <cellStyle name="Normal 2 2 3 22 2" xfId="973" xr:uid="{CE5F08CE-2A96-4295-88CD-070591DFAC26}"/>
    <cellStyle name="Normal 2 2 3 22 2 2" xfId="974" xr:uid="{6356B2E7-55DC-4E6F-93AA-5DCE39B24C8A}"/>
    <cellStyle name="Normal 2 2 3 22 2 2 2" xfId="9826" xr:uid="{A0FE5ACD-96E5-4AA5-A230-E86D34306713}"/>
    <cellStyle name="Normal 2 2 3 22 2 3" xfId="975" xr:uid="{8EDD5055-3578-4568-95E9-B732555D797B}"/>
    <cellStyle name="Normal 2 2 3 22 2 3 2" xfId="9827" xr:uid="{4B56E346-5FC8-41E4-878E-FE1CDD69D3D5}"/>
    <cellStyle name="Normal 2 2 3 22 2 4" xfId="9825" xr:uid="{DFFA82E9-176F-4F5B-90E7-BF583C7CD195}"/>
    <cellStyle name="Normal 2 2 3 22 3" xfId="976" xr:uid="{3D457EF8-94F1-4396-B157-8C5877A00C85}"/>
    <cellStyle name="Normal 2 2 3 22 3 2" xfId="9828" xr:uid="{80C8F92A-0A2B-45E6-A39B-624C6ACE98B9}"/>
    <cellStyle name="Normal 2 2 3 22 4" xfId="977" xr:uid="{C2AD5CA2-4AC3-4BF8-A408-519D86EDFC67}"/>
    <cellStyle name="Normal 2 2 3 22 4 2" xfId="9829" xr:uid="{F5214835-910D-416A-ADD8-4E768B2CFABB}"/>
    <cellStyle name="Normal 2 2 3 22 5" xfId="9824" xr:uid="{1B656572-2827-403F-B377-A184037AE8A4}"/>
    <cellStyle name="Normal 2 2 3 23" xfId="978" xr:uid="{A082A4B8-4FB3-47EA-B988-4E2EE8BE3DDC}"/>
    <cellStyle name="Normal 2 2 3 23 2" xfId="979" xr:uid="{7E232D72-A561-4E13-8773-CABFCD6B4F6A}"/>
    <cellStyle name="Normal 2 2 3 23 2 2" xfId="980" xr:uid="{0554133E-E1EF-4577-BB05-D5C250CF58C5}"/>
    <cellStyle name="Normal 2 2 3 23 2 2 2" xfId="9832" xr:uid="{36836332-3F90-4BD1-ADF8-C977FC8D60C9}"/>
    <cellStyle name="Normal 2 2 3 23 2 3" xfId="981" xr:uid="{AEB60132-1970-42F9-9AFE-7A49C620BD1C}"/>
    <cellStyle name="Normal 2 2 3 23 2 3 2" xfId="9833" xr:uid="{3371F593-F932-4BA3-9BF0-0A1B86C39A9E}"/>
    <cellStyle name="Normal 2 2 3 23 2 4" xfId="9831" xr:uid="{6B2D7E55-6AA1-4DE6-896A-3ADD55FB3026}"/>
    <cellStyle name="Normal 2 2 3 23 3" xfId="982" xr:uid="{EAF9B5C9-418F-4ECA-9EEF-41F33D5A6442}"/>
    <cellStyle name="Normal 2 2 3 23 3 2" xfId="9834" xr:uid="{B248FB15-78DB-4F46-9804-FFB78F63974A}"/>
    <cellStyle name="Normal 2 2 3 23 4" xfId="983" xr:uid="{2204BBC4-C17C-48ED-84C0-86CAD70D03F1}"/>
    <cellStyle name="Normal 2 2 3 23 4 2" xfId="9835" xr:uid="{56C44918-CFE9-4E91-8444-5A26B23B41AA}"/>
    <cellStyle name="Normal 2 2 3 23 5" xfId="9830" xr:uid="{315D96DC-59E0-4AE3-BBD6-E60E17FF5E08}"/>
    <cellStyle name="Normal 2 2 3 24" xfId="984" xr:uid="{1BC9AC5F-6372-4824-A611-F3E16C484B05}"/>
    <cellStyle name="Normal 2 2 3 24 2" xfId="985" xr:uid="{ECBE3E7A-46FC-4E55-B915-020D1E0BCC22}"/>
    <cellStyle name="Normal 2 2 3 24 2 2" xfId="986" xr:uid="{900563E2-265B-4819-8C21-E7B42D7D84B8}"/>
    <cellStyle name="Normal 2 2 3 24 2 2 2" xfId="9838" xr:uid="{CAFD6BA6-6E7B-47BF-AC10-9178B1939357}"/>
    <cellStyle name="Normal 2 2 3 24 2 3" xfId="987" xr:uid="{8B77626E-AF8D-4061-8994-27C8A8406DFB}"/>
    <cellStyle name="Normal 2 2 3 24 2 3 2" xfId="9839" xr:uid="{91A3A35B-4942-4C70-8466-FA6C41772800}"/>
    <cellStyle name="Normal 2 2 3 24 2 4" xfId="9837" xr:uid="{3DE838AC-0224-4F9C-8ED2-7802C50F7662}"/>
    <cellStyle name="Normal 2 2 3 24 3" xfId="988" xr:uid="{D501390D-C11A-4B37-8DA7-AD23BCD856A8}"/>
    <cellStyle name="Normal 2 2 3 24 3 2" xfId="9840" xr:uid="{6E3A7A23-DC05-4354-AA87-80E942F6FF49}"/>
    <cellStyle name="Normal 2 2 3 24 4" xfId="989" xr:uid="{4402C59F-3F37-422E-AFD1-985D76431E44}"/>
    <cellStyle name="Normal 2 2 3 24 4 2" xfId="9841" xr:uid="{4AA66DC5-9A82-4E49-8655-5A6B4F60397A}"/>
    <cellStyle name="Normal 2 2 3 24 5" xfId="9836" xr:uid="{B628969D-EEC4-4A9B-A5D5-80A4AE4B0DE8}"/>
    <cellStyle name="Normal 2 2 3 25" xfId="990" xr:uid="{9C2F4BC3-9ED8-42DC-A9DE-6FA460B2F188}"/>
    <cellStyle name="Normal 2 2 3 25 2" xfId="991" xr:uid="{80056843-0B00-4979-BFD5-50BE435F76FA}"/>
    <cellStyle name="Normal 2 2 3 25 2 2" xfId="992" xr:uid="{2CAF7333-B1F4-41B5-9088-342AE8658AF7}"/>
    <cellStyle name="Normal 2 2 3 25 2 2 2" xfId="9844" xr:uid="{7C0DE80E-F13C-424E-B957-757DCB634B99}"/>
    <cellStyle name="Normal 2 2 3 25 2 3" xfId="993" xr:uid="{0EAFC0C6-3EEE-4514-88F2-90E5F6928FEC}"/>
    <cellStyle name="Normal 2 2 3 25 2 3 2" xfId="9845" xr:uid="{407FFD9D-9547-4001-9AC5-059612B5F2DE}"/>
    <cellStyle name="Normal 2 2 3 25 2 4" xfId="9843" xr:uid="{2734A844-7D7C-4077-90CE-9544EF302ACF}"/>
    <cellStyle name="Normal 2 2 3 25 3" xfId="994" xr:uid="{A0EA5D87-D44A-40ED-A922-665EDE7972E9}"/>
    <cellStyle name="Normal 2 2 3 25 3 2" xfId="9846" xr:uid="{6331A29D-4582-48AD-8E72-AFFFEF3A3075}"/>
    <cellStyle name="Normal 2 2 3 25 4" xfId="995" xr:uid="{23FEACEC-987A-4DEF-A372-808A976C0F39}"/>
    <cellStyle name="Normal 2 2 3 25 4 2" xfId="9847" xr:uid="{AC26A752-9463-4CF5-A381-D1E2DD9E392C}"/>
    <cellStyle name="Normal 2 2 3 25 5" xfId="9842" xr:uid="{8A9F0FBB-067D-4F3B-A3FB-6C18DA372D9E}"/>
    <cellStyle name="Normal 2 2 3 26" xfId="996" xr:uid="{368FF207-F6CC-43A2-A3F7-506566AA4083}"/>
    <cellStyle name="Normal 2 2 3 26 2" xfId="997" xr:uid="{71D057C3-4D78-4C4D-9FC2-ED4681649943}"/>
    <cellStyle name="Normal 2 2 3 26 2 2" xfId="998" xr:uid="{1361B442-8540-42A4-93F4-79920963D604}"/>
    <cellStyle name="Normal 2 2 3 26 2 2 2" xfId="9850" xr:uid="{9AFE1E16-C4FD-47DD-9FED-AF8E5ADBA458}"/>
    <cellStyle name="Normal 2 2 3 26 2 3" xfId="999" xr:uid="{5E0E5FC0-B4FA-4ACC-8DE7-FB37EFFF0E35}"/>
    <cellStyle name="Normal 2 2 3 26 2 3 2" xfId="9851" xr:uid="{F611CC8B-316A-444D-9D2C-AE1AC8FC4842}"/>
    <cellStyle name="Normal 2 2 3 26 2 4" xfId="9849" xr:uid="{46BF3B45-C260-47ED-A478-C2C77A0CBAFA}"/>
    <cellStyle name="Normal 2 2 3 26 3" xfId="1000" xr:uid="{DF35273A-6C55-44CE-907F-6DE5877C54C3}"/>
    <cellStyle name="Normal 2 2 3 26 3 2" xfId="9852" xr:uid="{F0DA868E-A9DE-48C8-B5C8-544F45D27CA7}"/>
    <cellStyle name="Normal 2 2 3 26 4" xfId="1001" xr:uid="{8F3EB5CB-F1C0-4E4C-ACB7-E57665FF499A}"/>
    <cellStyle name="Normal 2 2 3 26 4 2" xfId="9853" xr:uid="{4F1FE3EC-3B73-45DF-B27E-71EB8F59C6FD}"/>
    <cellStyle name="Normal 2 2 3 26 5" xfId="9848" xr:uid="{4325B906-F924-402E-8A16-7238EDB05788}"/>
    <cellStyle name="Normal 2 2 3 27" xfId="1002" xr:uid="{C22B11A4-52D9-4797-9BF2-90E8D6ED3FD0}"/>
    <cellStyle name="Normal 2 2 3 27 2" xfId="1003" xr:uid="{8A450C09-4026-4A9E-B207-C7018E72F254}"/>
    <cellStyle name="Normal 2 2 3 27 2 2" xfId="1004" xr:uid="{8270731A-B617-49C4-9DDE-DB223A709424}"/>
    <cellStyle name="Normal 2 2 3 27 2 2 2" xfId="9856" xr:uid="{A8854D98-1BE9-41CA-9AB0-D81C20A5DA57}"/>
    <cellStyle name="Normal 2 2 3 27 2 3" xfId="1005" xr:uid="{7E2FE23F-0663-4FA6-810C-72827A642C49}"/>
    <cellStyle name="Normal 2 2 3 27 2 3 2" xfId="9857" xr:uid="{61AEA006-0444-4A1F-A055-38DD292A933B}"/>
    <cellStyle name="Normal 2 2 3 27 2 4" xfId="9855" xr:uid="{E8B98772-2887-4E5A-B7A3-5EA62F660FE8}"/>
    <cellStyle name="Normal 2 2 3 27 3" xfId="1006" xr:uid="{100137F5-68B1-4947-A351-65BE2C45F54B}"/>
    <cellStyle name="Normal 2 2 3 27 3 2" xfId="9858" xr:uid="{94F55664-3755-484E-AB21-FBEFEA398054}"/>
    <cellStyle name="Normal 2 2 3 27 4" xfId="1007" xr:uid="{F9AACCAD-1BC5-4C6E-A5C6-0514D08EFE19}"/>
    <cellStyle name="Normal 2 2 3 27 4 2" xfId="9859" xr:uid="{0FE15682-9942-4296-AB60-7B741118EBF0}"/>
    <cellStyle name="Normal 2 2 3 27 5" xfId="9854" xr:uid="{03F6160C-FD94-4C1D-9E2C-D27501CEA6A8}"/>
    <cellStyle name="Normal 2 2 3 28" xfId="1008" xr:uid="{3EC9A449-E2F6-457C-B56F-7AB7F8AFBAD6}"/>
    <cellStyle name="Normal 2 2 3 28 2" xfId="1009" xr:uid="{920F2426-A708-41C0-9265-64805A7C367F}"/>
    <cellStyle name="Normal 2 2 3 28 2 2" xfId="1010" xr:uid="{1CF7128B-488E-4F45-8C8E-7D934157B13E}"/>
    <cellStyle name="Normal 2 2 3 28 2 2 2" xfId="9862" xr:uid="{0D6B956E-C8D3-4621-8212-A2767D5A7D48}"/>
    <cellStyle name="Normal 2 2 3 28 2 3" xfId="1011" xr:uid="{CA693960-5E84-4249-84DE-6BF2016BD4AB}"/>
    <cellStyle name="Normal 2 2 3 28 2 3 2" xfId="9863" xr:uid="{FEDFA01E-89D7-47D8-A268-B2B6144A7B01}"/>
    <cellStyle name="Normal 2 2 3 28 2 4" xfId="9861" xr:uid="{F9A84832-B94E-45D5-B46F-343FE1002042}"/>
    <cellStyle name="Normal 2 2 3 28 3" xfId="1012" xr:uid="{06C2DECE-0C0B-4392-AECE-0B4857F09F18}"/>
    <cellStyle name="Normal 2 2 3 28 3 2" xfId="9864" xr:uid="{A9009DF3-A7DD-4B48-8438-A2FD911C865E}"/>
    <cellStyle name="Normal 2 2 3 28 4" xfId="1013" xr:uid="{62708375-6627-4DEB-8D85-5EFA2D511ADF}"/>
    <cellStyle name="Normal 2 2 3 28 4 2" xfId="9865" xr:uid="{AE77D597-7096-4842-985A-89E77C4EC863}"/>
    <cellStyle name="Normal 2 2 3 28 5" xfId="9860" xr:uid="{BC601C1A-A8C6-4AE0-9030-EF0645F0810B}"/>
    <cellStyle name="Normal 2 2 3 29" xfId="1014" xr:uid="{4F53B7D6-83BF-48EF-85C9-957D1454C253}"/>
    <cellStyle name="Normal 2 2 3 29 2" xfId="1015" xr:uid="{89295EA0-ED5A-49D4-8BCA-49B769143507}"/>
    <cellStyle name="Normal 2 2 3 29 2 2" xfId="1016" xr:uid="{9A5BAD7A-B1F5-493E-AD3D-6B0F9EF3903F}"/>
    <cellStyle name="Normal 2 2 3 29 2 2 2" xfId="9868" xr:uid="{3A1C0581-E420-4B8C-8446-E54271FADC49}"/>
    <cellStyle name="Normal 2 2 3 29 2 3" xfId="1017" xr:uid="{F53D4AE9-D21C-49B8-81EF-8FE57B9C8C44}"/>
    <cellStyle name="Normal 2 2 3 29 2 3 2" xfId="9869" xr:uid="{E43022CD-1347-41D4-B746-B6064D5FA2AA}"/>
    <cellStyle name="Normal 2 2 3 29 2 4" xfId="9867" xr:uid="{9F964875-3271-4A3A-BD44-3AB342957A4F}"/>
    <cellStyle name="Normal 2 2 3 29 3" xfId="1018" xr:uid="{496D75EF-1E7F-442A-A26A-72744A5F4D4D}"/>
    <cellStyle name="Normal 2 2 3 29 3 2" xfId="9870" xr:uid="{22E2D393-226E-4478-9907-A985AB586338}"/>
    <cellStyle name="Normal 2 2 3 29 4" xfId="1019" xr:uid="{6F1B6CC9-CBC2-4298-86AC-C124EBB5F3E3}"/>
    <cellStyle name="Normal 2 2 3 29 4 2" xfId="9871" xr:uid="{A3A913A5-C6E7-48CA-B0BD-BEDEBA639B62}"/>
    <cellStyle name="Normal 2 2 3 29 5" xfId="9866" xr:uid="{A97831C2-FE5F-47A8-9980-BDA373349817}"/>
    <cellStyle name="Normal 2 2 3 3" xfId="1020" xr:uid="{8C855132-C80E-44EA-AA88-3DDE86F09B0A}"/>
    <cellStyle name="Normal 2 2 3 3 2" xfId="1021" xr:uid="{7668DF06-2D87-450C-A67D-23F97BEDE8EB}"/>
    <cellStyle name="Normal 2 2 3 3 2 2" xfId="1022" xr:uid="{ABECEF28-0D82-4619-82A7-DC6943504324}"/>
    <cellStyle name="Normal 2 2 3 3 2 2 2" xfId="9874" xr:uid="{6A200AA4-D3DA-4A4E-90C8-AB82A5130BD9}"/>
    <cellStyle name="Normal 2 2 3 3 2 3" xfId="1023" xr:uid="{A86C3A9D-1FAD-4161-ADC7-2705045D89E3}"/>
    <cellStyle name="Normal 2 2 3 3 2 3 2" xfId="9875" xr:uid="{7B627F62-401C-4CD5-8DB6-746C7254D483}"/>
    <cellStyle name="Normal 2 2 3 3 2 4" xfId="9873" xr:uid="{5DF610EF-F040-4474-9865-2AFF7DCA09C6}"/>
    <cellStyle name="Normal 2 2 3 3 3" xfId="1024" xr:uid="{C5DCC3AE-0D73-4774-835F-4CDC6B6D5C61}"/>
    <cellStyle name="Normal 2 2 3 3 3 2" xfId="9876" xr:uid="{8B40535B-BFD0-4F42-8F01-144D87F74019}"/>
    <cellStyle name="Normal 2 2 3 3 4" xfId="1025" xr:uid="{CA1F35F5-86FF-4812-9DD3-71062376E16E}"/>
    <cellStyle name="Normal 2 2 3 3 4 2" xfId="9877" xr:uid="{A976B3F8-4B59-42ED-899A-C60AD8A2D8F2}"/>
    <cellStyle name="Normal 2 2 3 3 5" xfId="9872" xr:uid="{85EC6406-5962-4F1D-A1A8-9166A1575C6C}"/>
    <cellStyle name="Normal 2 2 3 30" xfId="1026" xr:uid="{EF16E499-F445-4739-BDB8-E89A6F202CE7}"/>
    <cellStyle name="Normal 2 2 3 30 2" xfId="1027" xr:uid="{8E2002CB-B3B7-41C1-BEF7-1A1F2CFCA703}"/>
    <cellStyle name="Normal 2 2 3 30 2 2" xfId="1028" xr:uid="{BEA646E1-E211-4E97-A48B-A22C60CDCBD2}"/>
    <cellStyle name="Normal 2 2 3 30 2 2 2" xfId="9880" xr:uid="{81F7EC46-1575-4965-B17A-385520912E5D}"/>
    <cellStyle name="Normal 2 2 3 30 2 3" xfId="1029" xr:uid="{A2BE26D9-40E7-41B8-874C-63C4B70F3C45}"/>
    <cellStyle name="Normal 2 2 3 30 2 3 2" xfId="9881" xr:uid="{41559C78-83C1-46DA-A00D-5778E138E71E}"/>
    <cellStyle name="Normal 2 2 3 30 2 4" xfId="9879" xr:uid="{50A17F6F-DB05-4D0E-B460-70DF94CDC005}"/>
    <cellStyle name="Normal 2 2 3 30 3" xfId="1030" xr:uid="{E31B4E78-C437-4D97-B3E3-AC8FE127DAA6}"/>
    <cellStyle name="Normal 2 2 3 30 3 2" xfId="9882" xr:uid="{F9990C4F-7ED6-45EC-8F29-570B2CC3E3ED}"/>
    <cellStyle name="Normal 2 2 3 30 4" xfId="1031" xr:uid="{A5986D21-59F0-4EE2-8879-AE3F331CC47B}"/>
    <cellStyle name="Normal 2 2 3 30 4 2" xfId="9883" xr:uid="{6C730FAE-CCEC-4C73-976E-CA723911F95E}"/>
    <cellStyle name="Normal 2 2 3 30 5" xfId="9878" xr:uid="{1BEC487C-1866-46EB-8DF3-19AE91E4D7FC}"/>
    <cellStyle name="Normal 2 2 3 31" xfId="1032" xr:uid="{FEC6EA28-0B14-495F-A013-35CE6AD7F2FB}"/>
    <cellStyle name="Normal 2 2 3 31 2" xfId="1033" xr:uid="{C6D652F2-2FC0-4B78-9C72-8A4225E46F51}"/>
    <cellStyle name="Normal 2 2 3 31 2 2" xfId="1034" xr:uid="{92243657-4A1F-408D-8D1A-DAEDC74B2119}"/>
    <cellStyle name="Normal 2 2 3 31 2 2 2" xfId="9886" xr:uid="{DF7F20C5-621C-491D-9471-FFE4B4B5B73D}"/>
    <cellStyle name="Normal 2 2 3 31 2 3" xfId="1035" xr:uid="{E941DF6B-C446-4890-AF32-E1B690890BCA}"/>
    <cellStyle name="Normal 2 2 3 31 2 3 2" xfId="9887" xr:uid="{4CB0003C-D935-4E42-A10B-C8E4CAA2EC02}"/>
    <cellStyle name="Normal 2 2 3 31 2 4" xfId="9885" xr:uid="{E1DAD648-F1FD-4BBA-A245-A4F5DC3612B6}"/>
    <cellStyle name="Normal 2 2 3 31 3" xfId="1036" xr:uid="{646357E1-8560-41A2-904B-3F8434D19345}"/>
    <cellStyle name="Normal 2 2 3 31 3 2" xfId="9888" xr:uid="{4BA1EE29-B209-4C6C-BA90-2DD9709BB993}"/>
    <cellStyle name="Normal 2 2 3 31 4" xfId="1037" xr:uid="{304C16E8-7F8D-487B-A383-4A229E4B96FD}"/>
    <cellStyle name="Normal 2 2 3 31 4 2" xfId="9889" xr:uid="{EC6807A6-4052-40E7-9FB2-2CA19EF404BC}"/>
    <cellStyle name="Normal 2 2 3 31 5" xfId="9884" xr:uid="{1064F2BA-0E88-47CC-8F8F-060A543F7D21}"/>
    <cellStyle name="Normal 2 2 3 32" xfId="1038" xr:uid="{14FDEE2F-D422-4FF5-A863-9315DC1E9E38}"/>
    <cellStyle name="Normal 2 2 3 32 2" xfId="1039" xr:uid="{F5C39620-EC31-4EB9-BD72-4CF2A81EF327}"/>
    <cellStyle name="Normal 2 2 3 32 2 2" xfId="1040" xr:uid="{33822847-50FD-4A32-B836-B2F8075D785A}"/>
    <cellStyle name="Normal 2 2 3 32 2 2 2" xfId="9892" xr:uid="{799CD31D-4B01-455D-8CFD-0EAB95DB7FF7}"/>
    <cellStyle name="Normal 2 2 3 32 2 3" xfId="1041" xr:uid="{C9A8384D-3715-4754-9EE0-B8CCD3056072}"/>
    <cellStyle name="Normal 2 2 3 32 2 3 2" xfId="9893" xr:uid="{C56737B8-BF62-4D9D-B70C-A0EEC07E8BC0}"/>
    <cellStyle name="Normal 2 2 3 32 2 4" xfId="9891" xr:uid="{4FB0F6A4-D00A-4A0C-A743-DA1FC1E04A13}"/>
    <cellStyle name="Normal 2 2 3 32 3" xfId="1042" xr:uid="{9953E87D-2FAE-4B91-8D4E-1F15C8D92FA4}"/>
    <cellStyle name="Normal 2 2 3 32 3 2" xfId="9894" xr:uid="{E2B47462-A07B-4181-A03C-72108E779265}"/>
    <cellStyle name="Normal 2 2 3 32 4" xfId="1043" xr:uid="{17789303-3A1B-40A9-AF28-F0635A4524D2}"/>
    <cellStyle name="Normal 2 2 3 32 4 2" xfId="9895" xr:uid="{B57FEE5E-F42E-46E2-AA99-C34BBEA9881A}"/>
    <cellStyle name="Normal 2 2 3 32 5" xfId="9890" xr:uid="{3F497B02-33BC-48F2-8097-DF65C555B0BC}"/>
    <cellStyle name="Normal 2 2 3 33" xfId="1044" xr:uid="{226E3C35-E2AB-48D8-81C0-BAF9B4E0AB3C}"/>
    <cellStyle name="Normal 2 2 3 33 2" xfId="1045" xr:uid="{B53B0E32-E74B-4347-B9C0-53E615B7E655}"/>
    <cellStyle name="Normal 2 2 3 33 2 2" xfId="1046" xr:uid="{1E694D44-0961-4733-B062-AE3F062F2ECC}"/>
    <cellStyle name="Normal 2 2 3 33 2 2 2" xfId="9898" xr:uid="{89D9E041-9286-42E6-AD8E-A94CF154A679}"/>
    <cellStyle name="Normal 2 2 3 33 2 3" xfId="1047" xr:uid="{A2BBA7A4-0E77-4805-A574-017C7E3C06E2}"/>
    <cellStyle name="Normal 2 2 3 33 2 3 2" xfId="9899" xr:uid="{26E07DD7-CE37-44BA-9AC1-7BF1FD3DBB1D}"/>
    <cellStyle name="Normal 2 2 3 33 2 4" xfId="9897" xr:uid="{997A94E6-AC29-4935-AB36-EB525E50BFDF}"/>
    <cellStyle name="Normal 2 2 3 33 3" xfId="1048" xr:uid="{F5675EDA-0AA3-4BE7-AAA3-6191C02827CF}"/>
    <cellStyle name="Normal 2 2 3 33 3 2" xfId="9900" xr:uid="{BE5E25C8-6A38-4467-9A0D-2057A38ACDC2}"/>
    <cellStyle name="Normal 2 2 3 33 4" xfId="1049" xr:uid="{4D15986F-762A-4A2C-86D9-83D78B5E235E}"/>
    <cellStyle name="Normal 2 2 3 33 4 2" xfId="9901" xr:uid="{ADBF5C23-3E8E-4031-8E19-51BF64E62FBD}"/>
    <cellStyle name="Normal 2 2 3 33 5" xfId="9896" xr:uid="{E98B4FE9-CECD-4AC2-AE54-2DE4D1C7C03D}"/>
    <cellStyle name="Normal 2 2 3 34" xfId="1050" xr:uid="{6A7D9A39-4E12-4D3F-9DC5-7BC5EE8E3023}"/>
    <cellStyle name="Normal 2 2 3 34 2" xfId="1051" xr:uid="{6437CDBA-A72F-46DA-87C7-7DE1D6DDD062}"/>
    <cellStyle name="Normal 2 2 3 34 2 2" xfId="1052" xr:uid="{A6993701-8426-48F7-8684-76A22589A12B}"/>
    <cellStyle name="Normal 2 2 3 34 2 2 2" xfId="9904" xr:uid="{3977CB74-FC3A-4B11-8EED-CC6630A5498A}"/>
    <cellStyle name="Normal 2 2 3 34 2 3" xfId="1053" xr:uid="{F16288F4-9B08-42C9-9A2A-C3A7555F3A97}"/>
    <cellStyle name="Normal 2 2 3 34 2 3 2" xfId="9905" xr:uid="{1A5F1F30-74A4-4EF1-8B1A-F84E05CE25ED}"/>
    <cellStyle name="Normal 2 2 3 34 2 4" xfId="9903" xr:uid="{C793B168-516B-49CB-83F8-1A2A9CA7F5AC}"/>
    <cellStyle name="Normal 2 2 3 34 3" xfId="1054" xr:uid="{E94E03D4-C3AB-41A3-AB08-304217F1B813}"/>
    <cellStyle name="Normal 2 2 3 34 3 2" xfId="9906" xr:uid="{658B7BCA-7B0B-4763-8018-24C7A60B7FEE}"/>
    <cellStyle name="Normal 2 2 3 34 4" xfId="1055" xr:uid="{D2C66B38-F507-4DAC-A8CC-2B98EB236DCA}"/>
    <cellStyle name="Normal 2 2 3 34 4 2" xfId="9907" xr:uid="{54A4B4BC-82CF-4619-96E7-4694BFE2BB42}"/>
    <cellStyle name="Normal 2 2 3 34 5" xfId="9902" xr:uid="{67A71E2D-D875-4929-9D16-E2DD3D3F7825}"/>
    <cellStyle name="Normal 2 2 3 35" xfId="1056" xr:uid="{8A8C930E-368D-457E-8B30-0396AA88987E}"/>
    <cellStyle name="Normal 2 2 3 35 2" xfId="1057" xr:uid="{EC6CBDAF-6259-4C43-BA58-C4FFD68F27E5}"/>
    <cellStyle name="Normal 2 2 3 35 2 2" xfId="1058" xr:uid="{4F699106-DF7D-454E-B6B7-AF38FBBA6D2B}"/>
    <cellStyle name="Normal 2 2 3 35 2 2 2" xfId="9910" xr:uid="{F57BFA16-8B3B-477D-A38F-625F7ADDC71D}"/>
    <cellStyle name="Normal 2 2 3 35 2 3" xfId="1059" xr:uid="{5CC10DF1-3002-4C3A-B727-0C488E520E85}"/>
    <cellStyle name="Normal 2 2 3 35 2 3 2" xfId="9911" xr:uid="{2B142331-1DE8-4316-8E54-2C8E93F3A03C}"/>
    <cellStyle name="Normal 2 2 3 35 2 4" xfId="9909" xr:uid="{51EA1969-004E-407C-80A8-5A80A9335F32}"/>
    <cellStyle name="Normal 2 2 3 35 3" xfId="1060" xr:uid="{C14AD4D7-A376-4E44-8BEF-7BAB510FA62A}"/>
    <cellStyle name="Normal 2 2 3 35 3 2" xfId="9912" xr:uid="{F9993BBD-8B51-4503-8FE8-4BD56AABFCE9}"/>
    <cellStyle name="Normal 2 2 3 35 4" xfId="1061" xr:uid="{77064E30-28E5-48D8-9578-205DE0C86C18}"/>
    <cellStyle name="Normal 2 2 3 35 4 2" xfId="9913" xr:uid="{1A3987E8-AF1C-45E1-A502-999C7C1BE933}"/>
    <cellStyle name="Normal 2 2 3 35 5" xfId="9908" xr:uid="{A9283810-CD0A-4334-8DF4-A5C1CB446302}"/>
    <cellStyle name="Normal 2 2 3 36" xfId="1062" xr:uid="{DFEDBE73-6DF2-4498-8513-44F1849FA13C}"/>
    <cellStyle name="Normal 2 2 3 36 2" xfId="1063" xr:uid="{8ACAA2AF-99DB-432B-9E3A-96B80A807F22}"/>
    <cellStyle name="Normal 2 2 3 36 2 2" xfId="1064" xr:uid="{9C1996BD-8CAF-4752-8317-11122F44C78E}"/>
    <cellStyle name="Normal 2 2 3 36 2 2 2" xfId="9916" xr:uid="{B0DCACF7-47EA-47F1-96C7-A464247CB0DD}"/>
    <cellStyle name="Normal 2 2 3 36 2 3" xfId="1065" xr:uid="{8221A338-570B-4EAD-B01A-EECF0A07322B}"/>
    <cellStyle name="Normal 2 2 3 36 2 3 2" xfId="9917" xr:uid="{F2D7FAC6-E19C-4EC2-B8FA-CE0B5E3ED53C}"/>
    <cellStyle name="Normal 2 2 3 36 2 4" xfId="9915" xr:uid="{AB9A0ECA-571E-47C7-9156-448CD89CB75C}"/>
    <cellStyle name="Normal 2 2 3 36 3" xfId="1066" xr:uid="{16ABDD78-304D-49A6-99D8-755C591E2A48}"/>
    <cellStyle name="Normal 2 2 3 36 3 2" xfId="9918" xr:uid="{ADFF03AD-2639-4617-A6F2-21862F0CE7A5}"/>
    <cellStyle name="Normal 2 2 3 36 4" xfId="1067" xr:uid="{0357B0FC-625D-48DC-85D7-1B4C662B92FB}"/>
    <cellStyle name="Normal 2 2 3 36 4 2" xfId="9919" xr:uid="{A9266134-3527-4D28-BEBD-811AF1E474B3}"/>
    <cellStyle name="Normal 2 2 3 36 5" xfId="9914" xr:uid="{95417CB0-F445-40CE-AABF-A2ABFEB7B442}"/>
    <cellStyle name="Normal 2 2 3 37" xfId="1068" xr:uid="{69B553F5-8505-41D3-A2DA-34C8ACBFF337}"/>
    <cellStyle name="Normal 2 2 3 37 2" xfId="1069" xr:uid="{CC82DC32-684B-4148-8AC9-E7644D4C0A1F}"/>
    <cellStyle name="Normal 2 2 3 37 2 2" xfId="1070" xr:uid="{B1A828F6-7CCD-4FD1-82D6-E12A9F77AD25}"/>
    <cellStyle name="Normal 2 2 3 37 2 2 2" xfId="9922" xr:uid="{121B6516-7DD9-461A-9FB6-51DD59B300AC}"/>
    <cellStyle name="Normal 2 2 3 37 2 3" xfId="1071" xr:uid="{EBAA291B-9698-4D3A-A098-6FA6772518FE}"/>
    <cellStyle name="Normal 2 2 3 37 2 3 2" xfId="9923" xr:uid="{07B010A4-BE2D-4546-99E3-7F6000AC0651}"/>
    <cellStyle name="Normal 2 2 3 37 2 4" xfId="9921" xr:uid="{E826A39F-1C61-4C86-A23D-6CFA8B82A301}"/>
    <cellStyle name="Normal 2 2 3 37 3" xfId="1072" xr:uid="{8704366C-6DC1-414F-9715-D133BC295F09}"/>
    <cellStyle name="Normal 2 2 3 37 3 2" xfId="9924" xr:uid="{DBE0E9C1-EFAD-4465-B47A-AC7F34F82B4B}"/>
    <cellStyle name="Normal 2 2 3 37 4" xfId="1073" xr:uid="{7304CFC9-C210-4733-A828-6E0BDF79980F}"/>
    <cellStyle name="Normal 2 2 3 37 4 2" xfId="9925" xr:uid="{BF306E48-E2FC-4675-BF93-8C8F2F3B7148}"/>
    <cellStyle name="Normal 2 2 3 37 5" xfId="9920" xr:uid="{0ED7ECCB-2431-42FD-8925-76AE639DBD14}"/>
    <cellStyle name="Normal 2 2 3 38" xfId="1074" xr:uid="{911BF373-51AB-4E47-8F8F-C4D2CCBC42AF}"/>
    <cellStyle name="Normal 2 2 3 38 2" xfId="1075" xr:uid="{E8D9F81B-53D6-4FF0-AAE8-82199A956F18}"/>
    <cellStyle name="Normal 2 2 3 38 2 2" xfId="1076" xr:uid="{52FE0B8F-1201-4159-8D7D-6DD6429401A5}"/>
    <cellStyle name="Normal 2 2 3 38 2 2 2" xfId="9928" xr:uid="{8C4D9913-B8BF-406F-B60A-518010395615}"/>
    <cellStyle name="Normal 2 2 3 38 2 3" xfId="1077" xr:uid="{A48B299B-1ACB-414C-8399-55352B902771}"/>
    <cellStyle name="Normal 2 2 3 38 2 3 2" xfId="9929" xr:uid="{B09138AA-772B-47C1-80CF-70DDA756755D}"/>
    <cellStyle name="Normal 2 2 3 38 2 4" xfId="9927" xr:uid="{4EB96B4B-4931-4EED-847B-0674F1CB3850}"/>
    <cellStyle name="Normal 2 2 3 38 3" xfId="1078" xr:uid="{2FC80F67-8DFA-45E1-A620-B7D4ED84C8D6}"/>
    <cellStyle name="Normal 2 2 3 38 3 2" xfId="9930" xr:uid="{E54848DF-A821-4C1C-84E0-7FF347CE7302}"/>
    <cellStyle name="Normal 2 2 3 38 4" xfId="1079" xr:uid="{FA5C72F8-1A15-44F1-BB1D-9FBDF64727C6}"/>
    <cellStyle name="Normal 2 2 3 38 4 2" xfId="9931" xr:uid="{342C6C31-5BF5-4EF6-967B-21ECE9526DAF}"/>
    <cellStyle name="Normal 2 2 3 38 5" xfId="9926" xr:uid="{5DBC69B3-BCFF-4743-93D4-56302864CF44}"/>
    <cellStyle name="Normal 2 2 3 39" xfId="1080" xr:uid="{3353D02C-06DD-49B8-A678-2D0E6E927B35}"/>
    <cellStyle name="Normal 2 2 3 39 2" xfId="1081" xr:uid="{6DB38ED0-DF24-4DC7-9F93-E4A02504C761}"/>
    <cellStyle name="Normal 2 2 3 39 2 2" xfId="1082" xr:uid="{40B267C1-EC6F-4F52-BEB0-2507C66226AD}"/>
    <cellStyle name="Normal 2 2 3 39 2 2 2" xfId="9934" xr:uid="{DF04A0C2-CF87-400D-94FE-421B96312DBA}"/>
    <cellStyle name="Normal 2 2 3 39 2 3" xfId="1083" xr:uid="{BBE08D53-2996-4AA5-8CA3-2E8F13B9132E}"/>
    <cellStyle name="Normal 2 2 3 39 2 3 2" xfId="9935" xr:uid="{283E4927-4A58-4E32-9915-79D0948D1F35}"/>
    <cellStyle name="Normal 2 2 3 39 2 4" xfId="9933" xr:uid="{C4E357D7-AECC-46FD-A709-24986D0574A5}"/>
    <cellStyle name="Normal 2 2 3 39 3" xfId="1084" xr:uid="{23221271-B45B-446A-83F4-9B507B4478EE}"/>
    <cellStyle name="Normal 2 2 3 39 3 2" xfId="9936" xr:uid="{38ED7EBF-5AD3-4D65-B5BB-B36B2D812A67}"/>
    <cellStyle name="Normal 2 2 3 39 4" xfId="1085" xr:uid="{AA4AD669-9FF7-43C5-B4EA-4C68859C9255}"/>
    <cellStyle name="Normal 2 2 3 39 4 2" xfId="9937" xr:uid="{C2AF5DCE-295D-43E6-9EF5-792C5A1503BE}"/>
    <cellStyle name="Normal 2 2 3 39 5" xfId="9932" xr:uid="{2F675630-AAF2-4D9D-A8FD-5A20B82E25C8}"/>
    <cellStyle name="Normal 2 2 3 4" xfId="1086" xr:uid="{E477ECEE-4B1C-4416-BA5A-CA36DC7BD1E3}"/>
    <cellStyle name="Normal 2 2 3 4 2" xfId="1087" xr:uid="{279943CF-EDB7-4E5A-BC8D-CC7ED2D66FFB}"/>
    <cellStyle name="Normal 2 2 3 4 2 2" xfId="1088" xr:uid="{2B2F99FC-F848-4E7A-8DF1-13361B2BB986}"/>
    <cellStyle name="Normal 2 2 3 4 2 2 2" xfId="9940" xr:uid="{79191E00-8C48-48D4-AE0F-7316A395EE8A}"/>
    <cellStyle name="Normal 2 2 3 4 2 3" xfId="1089" xr:uid="{3A681E06-8FCC-409A-B141-1871E2D90659}"/>
    <cellStyle name="Normal 2 2 3 4 2 3 2" xfId="9941" xr:uid="{A0816072-4F78-433A-8D1E-2BFB3C7DD028}"/>
    <cellStyle name="Normal 2 2 3 4 2 4" xfId="9939" xr:uid="{D1B64B49-197D-45A5-B99D-4EA6C5C9AD86}"/>
    <cellStyle name="Normal 2 2 3 4 3" xfId="1090" xr:uid="{EEB93CD6-48E3-4747-9D22-11BAE6B8E173}"/>
    <cellStyle name="Normal 2 2 3 4 3 2" xfId="9942" xr:uid="{4A00B4D5-0EF8-47B0-8FF2-91FB23295047}"/>
    <cellStyle name="Normal 2 2 3 4 4" xfId="1091" xr:uid="{B4BBC3E0-EF7E-457A-AFB8-06667F58E479}"/>
    <cellStyle name="Normal 2 2 3 4 4 2" xfId="9943" xr:uid="{31EA1C2F-5E30-4E29-95A9-5EEB9AAEC6BE}"/>
    <cellStyle name="Normal 2 2 3 4 5" xfId="9938" xr:uid="{21FC758F-B8D8-44B6-8109-2EDF2024D681}"/>
    <cellStyle name="Normal 2 2 3 40" xfId="1092" xr:uid="{2D07E6BB-C7BC-4913-8205-B9CFC936EE3C}"/>
    <cellStyle name="Normal 2 2 3 40 2" xfId="1093" xr:uid="{24559517-0CA6-4B04-9530-D0CEAB144C00}"/>
    <cellStyle name="Normal 2 2 3 40 2 2" xfId="1094" xr:uid="{8A3A48A5-394F-47AE-9DCF-C21A30D45FCB}"/>
    <cellStyle name="Normal 2 2 3 40 2 2 2" xfId="9946" xr:uid="{BDFDEED3-12B3-4553-999A-3C8F6AC2F3D2}"/>
    <cellStyle name="Normal 2 2 3 40 2 3" xfId="1095" xr:uid="{5209D959-2FB1-4D19-B9AD-8D58437383A8}"/>
    <cellStyle name="Normal 2 2 3 40 2 3 2" xfId="9947" xr:uid="{A33F171E-FA93-4B34-96D5-9691E0E35362}"/>
    <cellStyle name="Normal 2 2 3 40 2 4" xfId="9945" xr:uid="{74813522-0F4C-4798-AE29-969C832A35D2}"/>
    <cellStyle name="Normal 2 2 3 40 3" xfId="1096" xr:uid="{5371D3A6-91DD-4AAE-9506-56D53DACA15D}"/>
    <cellStyle name="Normal 2 2 3 40 3 2" xfId="9948" xr:uid="{73E3F102-5AF9-45EB-82E1-C2D6D8820F78}"/>
    <cellStyle name="Normal 2 2 3 40 4" xfId="1097" xr:uid="{1A7E8028-24E5-4043-860C-AC88CBB31B4A}"/>
    <cellStyle name="Normal 2 2 3 40 4 2" xfId="9949" xr:uid="{5ABF86D6-C279-42E5-9B18-E17D3496DF30}"/>
    <cellStyle name="Normal 2 2 3 40 5" xfId="9944" xr:uid="{0912DAF6-6F06-4E19-B452-C969FB854C2E}"/>
    <cellStyle name="Normal 2 2 3 41" xfId="1098" xr:uid="{2433A11A-1EBE-4E49-B157-546942E84AFD}"/>
    <cellStyle name="Normal 2 2 3 41 2" xfId="1099" xr:uid="{DD675C56-9ABE-4E12-AA6B-6C9DBB40B155}"/>
    <cellStyle name="Normal 2 2 3 41 2 2" xfId="1100" xr:uid="{21150047-2FD1-47CC-BF9D-3A049DAD3712}"/>
    <cellStyle name="Normal 2 2 3 41 2 2 2" xfId="9952" xr:uid="{BA653905-14B7-4CCC-A8FB-D7664BE9ACE0}"/>
    <cellStyle name="Normal 2 2 3 41 2 3" xfId="1101" xr:uid="{766A598D-6101-4279-8C02-41A10D5C546A}"/>
    <cellStyle name="Normal 2 2 3 41 2 3 2" xfId="9953" xr:uid="{30D8AE51-CFC5-43D3-B1E7-EB503CEBB8BB}"/>
    <cellStyle name="Normal 2 2 3 41 2 4" xfId="9951" xr:uid="{2D56E507-F72B-4CC6-9A65-F42B5240C850}"/>
    <cellStyle name="Normal 2 2 3 41 3" xfId="1102" xr:uid="{EF0D8E7D-E452-40B5-AC57-AC804209B478}"/>
    <cellStyle name="Normal 2 2 3 41 3 2" xfId="9954" xr:uid="{09889A03-DD85-4C23-8CD4-7BC372988A77}"/>
    <cellStyle name="Normal 2 2 3 41 4" xfId="1103" xr:uid="{1D67AF9D-38E9-4448-96D8-9CD8E48C3819}"/>
    <cellStyle name="Normal 2 2 3 41 4 2" xfId="9955" xr:uid="{0BAA8148-8409-4061-8E80-5DB1850F4ACC}"/>
    <cellStyle name="Normal 2 2 3 41 5" xfId="9950" xr:uid="{EF1D4FBD-39F5-4C9B-9D99-369AA303BB6C}"/>
    <cellStyle name="Normal 2 2 3 42" xfId="1104" xr:uid="{DF64FD6F-EAA7-4725-9653-B5D590404A08}"/>
    <cellStyle name="Normal 2 2 3 42 2" xfId="1105" xr:uid="{873C8D3A-8985-45A2-AED3-4786A4CBDBCB}"/>
    <cellStyle name="Normal 2 2 3 42 2 2" xfId="1106" xr:uid="{84E30849-605E-4E2B-BC74-612E9EAB05C5}"/>
    <cellStyle name="Normal 2 2 3 42 2 2 2" xfId="9958" xr:uid="{C9327D44-C6D4-4637-B83E-B0451A797534}"/>
    <cellStyle name="Normal 2 2 3 42 2 3" xfId="1107" xr:uid="{D8283E9F-4753-454A-9D34-FF2818F90B1F}"/>
    <cellStyle name="Normal 2 2 3 42 2 3 2" xfId="9959" xr:uid="{2967A34D-0E5F-4FE6-B1AD-CC96B7928C5A}"/>
    <cellStyle name="Normal 2 2 3 42 2 4" xfId="9957" xr:uid="{B8C501E0-E09F-4A4F-8EAB-54D970CE411E}"/>
    <cellStyle name="Normal 2 2 3 42 3" xfId="1108" xr:uid="{D1459D4F-5484-4FB1-AD2C-E213DE808CE0}"/>
    <cellStyle name="Normal 2 2 3 42 3 2" xfId="9960" xr:uid="{5AFEF6D2-6DC0-45A6-983F-2F39B7519C69}"/>
    <cellStyle name="Normal 2 2 3 42 4" xfId="1109" xr:uid="{3C5229A2-A52C-4C57-B0EE-48FB4FF39F8A}"/>
    <cellStyle name="Normal 2 2 3 42 4 2" xfId="9961" xr:uid="{EAB2CAC2-A9C2-40C9-B6B7-CE3E86F52DC2}"/>
    <cellStyle name="Normal 2 2 3 42 5" xfId="9956" xr:uid="{D0502BDD-DAF5-493F-9788-46DA6AA27F86}"/>
    <cellStyle name="Normal 2 2 3 43" xfId="1110" xr:uid="{F26CD796-A67D-493B-9EF4-C19B2867AA61}"/>
    <cellStyle name="Normal 2 2 3 43 2" xfId="1111" xr:uid="{024D3911-0197-4FC5-B656-96B8E615B6A9}"/>
    <cellStyle name="Normal 2 2 3 43 2 2" xfId="1112" xr:uid="{4C432944-ECA2-4938-9761-3BC63D3AA12B}"/>
    <cellStyle name="Normal 2 2 3 43 2 2 2" xfId="9964" xr:uid="{1A0BD175-5A9E-4BB0-8788-0F41231483AB}"/>
    <cellStyle name="Normal 2 2 3 43 2 3" xfId="1113" xr:uid="{EF2FB80D-BF5E-4D87-B720-89214BDA2806}"/>
    <cellStyle name="Normal 2 2 3 43 2 3 2" xfId="9965" xr:uid="{5B52EE4C-96CB-4A44-B186-3285A3B2F939}"/>
    <cellStyle name="Normal 2 2 3 43 2 4" xfId="9963" xr:uid="{F5B97D7B-3651-441E-905C-5A88345197DC}"/>
    <cellStyle name="Normal 2 2 3 43 3" xfId="1114" xr:uid="{1A312DDE-0137-4F02-8F4A-8C1FF8F53EE5}"/>
    <cellStyle name="Normal 2 2 3 43 3 2" xfId="9966" xr:uid="{AC47F038-6362-4F3F-9906-C7A8F3A3146C}"/>
    <cellStyle name="Normal 2 2 3 43 4" xfId="1115" xr:uid="{FCF0B95D-157B-4AA5-ACE6-E209C9B0CDB4}"/>
    <cellStyle name="Normal 2 2 3 43 4 2" xfId="9967" xr:uid="{8E849993-D2B4-415A-B614-1BCC7C87037D}"/>
    <cellStyle name="Normal 2 2 3 43 5" xfId="9962" xr:uid="{2D014E3C-C7FC-487B-B0E3-EA7C50AC586C}"/>
    <cellStyle name="Normal 2 2 3 44" xfId="1116" xr:uid="{B751A2C7-4C0A-4DB9-82C5-7048DEB50574}"/>
    <cellStyle name="Normal 2 2 3 44 2" xfId="1117" xr:uid="{BF1F3001-037B-4931-B1D9-B1B5DC2A3715}"/>
    <cellStyle name="Normal 2 2 3 44 2 2" xfId="9969" xr:uid="{9318015E-B1A3-48B0-ACAC-3D8F48910C68}"/>
    <cellStyle name="Normal 2 2 3 44 3" xfId="1118" xr:uid="{48B9CE57-D288-4822-92E8-FE7C6AA04709}"/>
    <cellStyle name="Normal 2 2 3 44 3 2" xfId="9970" xr:uid="{E354E598-D9FF-4F20-BF08-53A185949FFB}"/>
    <cellStyle name="Normal 2 2 3 44 4" xfId="9968" xr:uid="{00C9BFCE-B200-4E32-AA08-E20167D094CC}"/>
    <cellStyle name="Normal 2 2 3 45" xfId="1119" xr:uid="{C9365750-1C58-40EA-9E81-9C6738245D51}"/>
    <cellStyle name="Normal 2 2 3 45 2" xfId="9971" xr:uid="{B1A07477-ABB6-4B81-832C-3A914CC0F90F}"/>
    <cellStyle name="Normal 2 2 3 46" xfId="1120" xr:uid="{EA5CABC5-5A93-4CF1-8A30-DDD10202DDEA}"/>
    <cellStyle name="Normal 2 2 3 46 2" xfId="9972" xr:uid="{06720802-76B8-4DAD-B443-0A7E9D769474}"/>
    <cellStyle name="Normal 2 2 3 47" xfId="1121" xr:uid="{B16D25F5-91A2-401B-BD73-4A4E8EB29F16}"/>
    <cellStyle name="Normal 2 2 3 48" xfId="1122" xr:uid="{C5F96977-CDBB-40A4-A210-9ED5F8C1E671}"/>
    <cellStyle name="Normal 2 2 3 48 2" xfId="9973" xr:uid="{7CF94559-D352-42DD-9B43-6DE00A7BD3CE}"/>
    <cellStyle name="Normal 2 2 3 49" xfId="1123" xr:uid="{BE80FEDE-1431-4FE9-AE95-85E0A62FECE5}"/>
    <cellStyle name="Normal 2 2 3 5" xfId="1124" xr:uid="{F319B19A-91D7-49DB-98E6-49307AE20ACE}"/>
    <cellStyle name="Normal 2 2 3 5 2" xfId="1125" xr:uid="{18B95767-23E8-4B4C-915A-424F7486CAB3}"/>
    <cellStyle name="Normal 2 2 3 5 2 2" xfId="1126" xr:uid="{1C9E8F09-8A70-4E4C-B44E-E487FD9F1FA0}"/>
    <cellStyle name="Normal 2 2 3 5 2 2 2" xfId="9976" xr:uid="{FF1C2FAB-EDF9-40EB-9C66-1F3802334C8A}"/>
    <cellStyle name="Normal 2 2 3 5 2 3" xfId="1127" xr:uid="{0723EFEE-5A1A-4F31-A35F-CF34360DD48B}"/>
    <cellStyle name="Normal 2 2 3 5 2 3 2" xfId="9977" xr:uid="{35C7AD67-4FF8-4678-BC97-66E3D7137537}"/>
    <cellStyle name="Normal 2 2 3 5 2 4" xfId="9975" xr:uid="{2F095EEF-042A-43EA-9ECA-632765E75B26}"/>
    <cellStyle name="Normal 2 2 3 5 3" xfId="1128" xr:uid="{84B03B7F-2FDE-4150-BF7E-C6A474800CF9}"/>
    <cellStyle name="Normal 2 2 3 5 3 2" xfId="9978" xr:uid="{78D43DEA-A952-4CDD-A807-727E3DA0B923}"/>
    <cellStyle name="Normal 2 2 3 5 4" xfId="1129" xr:uid="{750D7F5A-FFC9-4061-ACAF-CD22EF96467F}"/>
    <cellStyle name="Normal 2 2 3 5 4 2" xfId="9979" xr:uid="{C031E281-D1BA-42BD-8C2F-F606356C4932}"/>
    <cellStyle name="Normal 2 2 3 5 5" xfId="9974" xr:uid="{7F0F2178-084A-43AA-889A-0B6BF9489E8D}"/>
    <cellStyle name="Normal 2 2 3 50" xfId="9744" xr:uid="{673C3575-DC43-48CA-B3A5-65263D0D9452}"/>
    <cellStyle name="Normal 2 2 3 6" xfId="1130" xr:uid="{6CAD3548-000B-456B-9622-67676BE20ECC}"/>
    <cellStyle name="Normal 2 2 3 6 2" xfId="1131" xr:uid="{18E63B71-1B87-4B90-9086-5C960DFD150C}"/>
    <cellStyle name="Normal 2 2 3 6 2 2" xfId="1132" xr:uid="{6A75EC33-A6DE-4B8E-B0BD-703A93921164}"/>
    <cellStyle name="Normal 2 2 3 6 2 2 2" xfId="9982" xr:uid="{4E68BED8-DBFA-450F-9CFB-E596AF9F1226}"/>
    <cellStyle name="Normal 2 2 3 6 2 3" xfId="1133" xr:uid="{480D90EF-121B-4E98-9E9F-286961BFF74B}"/>
    <cellStyle name="Normal 2 2 3 6 2 3 2" xfId="9983" xr:uid="{89A6E395-EFD1-4BE5-A6F7-EDC47844B674}"/>
    <cellStyle name="Normal 2 2 3 6 2 4" xfId="9981" xr:uid="{09074269-B4EB-4382-9503-F44BF9914B77}"/>
    <cellStyle name="Normal 2 2 3 6 3" xfId="1134" xr:uid="{D763775F-FDE7-4A9D-A5C2-267C25D77248}"/>
    <cellStyle name="Normal 2 2 3 6 3 2" xfId="9984" xr:uid="{B966605B-8925-4152-9A37-E9B79072CC2C}"/>
    <cellStyle name="Normal 2 2 3 6 4" xfId="1135" xr:uid="{EC775614-19EA-4AE0-BFCD-245452BFF1F6}"/>
    <cellStyle name="Normal 2 2 3 6 4 2" xfId="9985" xr:uid="{8E5FD534-8E74-4867-993C-1FA7224003EC}"/>
    <cellStyle name="Normal 2 2 3 6 5" xfId="9980" xr:uid="{AE61AAF8-22AB-4752-82BF-4136D68524ED}"/>
    <cellStyle name="Normal 2 2 3 7" xfId="1136" xr:uid="{13943D64-746B-4121-B5AD-F5D7D4D41D50}"/>
    <cellStyle name="Normal 2 2 3 7 2" xfId="1137" xr:uid="{C99A21C2-8477-4E2F-BAE0-3037C1675DE6}"/>
    <cellStyle name="Normal 2 2 3 7 2 2" xfId="1138" xr:uid="{DB879B79-8069-47A4-9258-A23A04560CC5}"/>
    <cellStyle name="Normal 2 2 3 7 2 2 2" xfId="9988" xr:uid="{02B56FBB-20F2-46D0-93AD-F29A4F934741}"/>
    <cellStyle name="Normal 2 2 3 7 2 3" xfId="1139" xr:uid="{556ACC8E-8378-4842-B475-C2AB945342B4}"/>
    <cellStyle name="Normal 2 2 3 7 2 3 2" xfId="9989" xr:uid="{85244650-D2F3-48EC-ADDC-871A13AFFF69}"/>
    <cellStyle name="Normal 2 2 3 7 2 4" xfId="9987" xr:uid="{583B8241-C745-483A-AC29-BC975A89F84A}"/>
    <cellStyle name="Normal 2 2 3 7 3" xfId="1140" xr:uid="{B5BE3524-C08F-43FC-9973-BBEFF198F8B1}"/>
    <cellStyle name="Normal 2 2 3 7 3 2" xfId="9990" xr:uid="{CB027CE9-EBE3-4B0F-BDEB-D3C90750DDC5}"/>
    <cellStyle name="Normal 2 2 3 7 4" xfId="1141" xr:uid="{7FD52279-0F2D-43F3-ABA1-B977F3A7F9B9}"/>
    <cellStyle name="Normal 2 2 3 7 4 2" xfId="9991" xr:uid="{7681C34A-B3A8-4723-B459-43805DF4F58A}"/>
    <cellStyle name="Normal 2 2 3 7 5" xfId="9986" xr:uid="{D1652DAD-0872-47D6-8822-DFE92DDBA684}"/>
    <cellStyle name="Normal 2 2 3 8" xfId="1142" xr:uid="{FDF4147A-6BF3-48B0-8A11-3BE433D050D3}"/>
    <cellStyle name="Normal 2 2 3 8 2" xfId="1143" xr:uid="{308CC7BC-F2E5-4379-8B59-D047649679E0}"/>
    <cellStyle name="Normal 2 2 3 8 2 2" xfId="1144" xr:uid="{99C3B004-859C-483C-96F7-1447D5A0F956}"/>
    <cellStyle name="Normal 2 2 3 8 2 2 2" xfId="9994" xr:uid="{87186CD1-80D8-4960-B168-BA378F06B1E9}"/>
    <cellStyle name="Normal 2 2 3 8 2 3" xfId="1145" xr:uid="{63ECBAD1-70D1-4BF7-9813-8E55C3908CC2}"/>
    <cellStyle name="Normal 2 2 3 8 2 3 2" xfId="9995" xr:uid="{0385532A-EB0A-4A6D-8F69-5FB48A7225A5}"/>
    <cellStyle name="Normal 2 2 3 8 2 4" xfId="9993" xr:uid="{59513539-8BFD-4304-B780-F9F1799A03E1}"/>
    <cellStyle name="Normal 2 2 3 8 3" xfId="1146" xr:uid="{91690FA1-9D86-4E9C-A12A-83F224672927}"/>
    <cellStyle name="Normal 2 2 3 8 3 2" xfId="9996" xr:uid="{29CF232C-4665-4B6E-80F7-78A376AAA6A2}"/>
    <cellStyle name="Normal 2 2 3 8 4" xfId="1147" xr:uid="{48381989-C05B-496C-8F45-3925202595DC}"/>
    <cellStyle name="Normal 2 2 3 8 4 2" xfId="9997" xr:uid="{BF8C95DA-FEA5-48B3-A81A-A2341FFB7151}"/>
    <cellStyle name="Normal 2 2 3 8 5" xfId="9992" xr:uid="{5F645CC1-78F7-436C-8B5D-12E3B5FAF221}"/>
    <cellStyle name="Normal 2 2 3 9" xfId="1148" xr:uid="{95BEF4F7-4709-486B-9101-C923C6753424}"/>
    <cellStyle name="Normal 2 2 3 9 2" xfId="1149" xr:uid="{16D59E7E-90AB-433D-BD1B-875FBBD3F4B4}"/>
    <cellStyle name="Normal 2 2 3 9 2 2" xfId="1150" xr:uid="{C74E3C29-6538-4E9F-ABC4-30A1095EEE3A}"/>
    <cellStyle name="Normal 2 2 3 9 2 2 2" xfId="10000" xr:uid="{DE5BBBAA-187B-4C1B-99FC-A92E6FBB5C1B}"/>
    <cellStyle name="Normal 2 2 3 9 2 3" xfId="1151" xr:uid="{8B3005B6-0AEC-4719-816A-F4A1C329B9B3}"/>
    <cellStyle name="Normal 2 2 3 9 2 3 2" xfId="10001" xr:uid="{6CC1EE06-C54A-4969-B61C-0E36BC522A4B}"/>
    <cellStyle name="Normal 2 2 3 9 2 4" xfId="9999" xr:uid="{EFD990A9-D2B2-4F85-A0C6-132008FA1D02}"/>
    <cellStyle name="Normal 2 2 3 9 3" xfId="1152" xr:uid="{D6DF5A1D-E372-447D-8AA9-DA4FAC354F62}"/>
    <cellStyle name="Normal 2 2 3 9 3 2" xfId="10002" xr:uid="{18755235-7743-4768-9A20-886075D82EB7}"/>
    <cellStyle name="Normal 2 2 3 9 4" xfId="1153" xr:uid="{CF5892E1-1B0B-4BBA-80DC-80F02936998E}"/>
    <cellStyle name="Normal 2 2 3 9 4 2" xfId="10003" xr:uid="{2A9DC183-F3FC-4E7C-8050-0D496847CC73}"/>
    <cellStyle name="Normal 2 2 3 9 5" xfId="9998" xr:uid="{16736999-C9A9-4A98-8583-D3679C6FBD2E}"/>
    <cellStyle name="Normal 2 2 30" xfId="1154" xr:uid="{C17236EE-49B1-439B-9B69-FCD6C95BE273}"/>
    <cellStyle name="Normal 2 2 30 2" xfId="1155" xr:uid="{D6374591-BCF9-43EB-8C78-DA5BCFC1DC14}"/>
    <cellStyle name="Normal 2 2 30 2 2" xfId="1156" xr:uid="{B5017791-9989-46DA-B085-4CE027DFF3C5}"/>
    <cellStyle name="Normal 2 2 30 2 2 2" xfId="10006" xr:uid="{4547A108-C3EC-48BA-81CF-D03D54756CCE}"/>
    <cellStyle name="Normal 2 2 30 2 3" xfId="1157" xr:uid="{0BB2A069-E7DD-492B-99A6-B5A29EA04541}"/>
    <cellStyle name="Normal 2 2 30 2 3 2" xfId="10007" xr:uid="{E5E80B8E-E2BE-4F27-B113-163CC9987CC0}"/>
    <cellStyle name="Normal 2 2 30 2 4" xfId="10005" xr:uid="{B60E7160-117E-46A9-9DD7-CD3C4976FBAC}"/>
    <cellStyle name="Normal 2 2 30 3" xfId="1158" xr:uid="{A577CAB8-BCC4-4F02-8ABA-E391404C5B6F}"/>
    <cellStyle name="Normal 2 2 30 3 2" xfId="10008" xr:uid="{936D25F3-A23E-424E-991F-A31D812B8430}"/>
    <cellStyle name="Normal 2 2 30 4" xfId="1159" xr:uid="{541598A3-D266-49AC-B968-00B67A1F64A8}"/>
    <cellStyle name="Normal 2 2 30 4 2" xfId="10009" xr:uid="{6271DA64-17C6-4FD9-AF81-1AFF2CD384F2}"/>
    <cellStyle name="Normal 2 2 30 5" xfId="10004" xr:uid="{D6606E60-21E7-44EE-B785-F25B5A5D6705}"/>
    <cellStyle name="Normal 2 2 31" xfId="1160" xr:uid="{B1CA5B2C-334A-402E-AA61-6B121D533C36}"/>
    <cellStyle name="Normal 2 2 31 2" xfId="1161" xr:uid="{58E8C808-9377-4E10-B983-7E4A9B479B24}"/>
    <cellStyle name="Normal 2 2 31 2 2" xfId="1162" xr:uid="{5B852145-24CD-4519-9F4C-89B80945DFBB}"/>
    <cellStyle name="Normal 2 2 31 2 2 2" xfId="10012" xr:uid="{77C95499-0714-406C-9BB9-D52B826F899D}"/>
    <cellStyle name="Normal 2 2 31 2 3" xfId="1163" xr:uid="{9D9C784F-DA94-4B9B-A101-490B6496504E}"/>
    <cellStyle name="Normal 2 2 31 2 3 2" xfId="10013" xr:uid="{B916A0D8-433F-4A6E-8282-065262EE5894}"/>
    <cellStyle name="Normal 2 2 31 2 4" xfId="10011" xr:uid="{026F761D-4B43-40C0-BD16-C08EE0CBBD70}"/>
    <cellStyle name="Normal 2 2 31 3" xfId="1164" xr:uid="{31FA62EA-FB35-43B3-AC9B-AB72F27F0808}"/>
    <cellStyle name="Normal 2 2 31 3 2" xfId="10014" xr:uid="{A62297B5-A77E-4FDF-8F42-A196C02B5C93}"/>
    <cellStyle name="Normal 2 2 31 4" xfId="1165" xr:uid="{16827BDD-FB07-4D00-BC26-543CEBA1B830}"/>
    <cellStyle name="Normal 2 2 31 4 2" xfId="10015" xr:uid="{4EEC0F6F-2249-4E5C-A2C4-FD4CAFCEB96D}"/>
    <cellStyle name="Normal 2 2 31 5" xfId="10010" xr:uid="{7CCA87EB-8D2E-4085-B2EE-9BB0C604D781}"/>
    <cellStyle name="Normal 2 2 32" xfId="1166" xr:uid="{90CFB2A0-7816-46A5-B991-CC6870C35D82}"/>
    <cellStyle name="Normal 2 2 32 2" xfId="1167" xr:uid="{1494570A-648D-4B16-8DC3-9FD80730098F}"/>
    <cellStyle name="Normal 2 2 32 2 2" xfId="1168" xr:uid="{75A67146-7065-47DF-874B-6EF40940731F}"/>
    <cellStyle name="Normal 2 2 32 2 2 2" xfId="10018" xr:uid="{C133450E-B756-42EA-9C15-3A15B405C5E5}"/>
    <cellStyle name="Normal 2 2 32 2 3" xfId="1169" xr:uid="{6E06F6CA-A160-4DC9-8861-9331FEE79E3C}"/>
    <cellStyle name="Normal 2 2 32 2 3 2" xfId="10019" xr:uid="{5E0D9A65-2147-44E5-B68A-A5F243EE0D71}"/>
    <cellStyle name="Normal 2 2 32 2 4" xfId="10017" xr:uid="{4037BE65-3771-40C9-9872-106AC0379915}"/>
    <cellStyle name="Normal 2 2 32 3" xfId="1170" xr:uid="{F4C4014C-35B4-46E0-8814-B2268FAE115C}"/>
    <cellStyle name="Normal 2 2 32 3 2" xfId="10020" xr:uid="{4AB435AE-C8A0-4087-8415-75E30DB885FC}"/>
    <cellStyle name="Normal 2 2 32 4" xfId="1171" xr:uid="{E398B66E-8121-48B8-A166-F2790AF89B5C}"/>
    <cellStyle name="Normal 2 2 32 4 2" xfId="10021" xr:uid="{0468CACB-973C-4AB0-A8CA-9E2620A2F905}"/>
    <cellStyle name="Normal 2 2 32 5" xfId="10016" xr:uid="{C98DBB77-602B-4CEC-B559-C125DE2749C6}"/>
    <cellStyle name="Normal 2 2 33" xfId="1172" xr:uid="{FB9BC7DB-C7A1-4B60-A078-A52E0E911B98}"/>
    <cellStyle name="Normal 2 2 33 2" xfId="1173" xr:uid="{029ABCDD-142A-4EEC-A95B-F70BEED43A6A}"/>
    <cellStyle name="Normal 2 2 33 2 2" xfId="1174" xr:uid="{C7EE356C-84C2-4BF1-B2B5-0F3BC7A74D71}"/>
    <cellStyle name="Normal 2 2 33 2 2 2" xfId="10024" xr:uid="{FD66BEEB-D6AD-4C0F-8936-1A86285EBC9E}"/>
    <cellStyle name="Normal 2 2 33 2 3" xfId="1175" xr:uid="{C3B1FEA0-4BFB-40CE-8F30-B8E4134EBE36}"/>
    <cellStyle name="Normal 2 2 33 2 3 2" xfId="10025" xr:uid="{EA9F4C4C-4C44-4CF3-9918-54A90981E5DC}"/>
    <cellStyle name="Normal 2 2 33 2 4" xfId="10023" xr:uid="{21B632B5-4A30-4009-B11D-87D3F5C08081}"/>
    <cellStyle name="Normal 2 2 33 3" xfId="1176" xr:uid="{BA26C9EA-751B-4923-9022-E51083CDCBFC}"/>
    <cellStyle name="Normal 2 2 33 3 2" xfId="10026" xr:uid="{C76E550F-BA3C-4BAB-A028-0C363E22FC0F}"/>
    <cellStyle name="Normal 2 2 33 4" xfId="1177" xr:uid="{4905B01E-67D7-4FC3-9FAB-F1670971E3BE}"/>
    <cellStyle name="Normal 2 2 33 4 2" xfId="10027" xr:uid="{97B896FA-3F17-4D83-A060-DC6E83AEABD7}"/>
    <cellStyle name="Normal 2 2 33 5" xfId="10022" xr:uid="{0F6B38A7-C73D-4293-9E53-0BE9A192DBDC}"/>
    <cellStyle name="Normal 2 2 34" xfId="1178" xr:uid="{329415CD-9598-4962-B85F-46A2632AE4E3}"/>
    <cellStyle name="Normal 2 2 34 2" xfId="1179" xr:uid="{AAF491BC-8CE7-402A-9914-D168A91D10A4}"/>
    <cellStyle name="Normal 2 2 34 2 2" xfId="1180" xr:uid="{4102E99E-C160-4B03-AE3A-038BFBA6BD08}"/>
    <cellStyle name="Normal 2 2 34 2 2 2" xfId="10030" xr:uid="{7AF978D9-0464-4F1A-961F-340736965DE3}"/>
    <cellStyle name="Normal 2 2 34 2 3" xfId="1181" xr:uid="{4820047C-6FF6-4943-8FE6-C5F897FD5CB5}"/>
    <cellStyle name="Normal 2 2 34 2 3 2" xfId="10031" xr:uid="{9671A408-7818-423F-BC5C-B6F74879FC2A}"/>
    <cellStyle name="Normal 2 2 34 2 4" xfId="10029" xr:uid="{FDCAA04A-5657-4CC6-A064-F585A38C2522}"/>
    <cellStyle name="Normal 2 2 34 3" xfId="1182" xr:uid="{6B102265-D26A-4AD3-8457-7FE81F60341C}"/>
    <cellStyle name="Normal 2 2 34 3 2" xfId="10032" xr:uid="{16B29780-6688-48D4-A120-6E54767445FD}"/>
    <cellStyle name="Normal 2 2 34 4" xfId="1183" xr:uid="{D5F05A46-6F6D-413A-BCAE-695A7FC1898D}"/>
    <cellStyle name="Normal 2 2 34 4 2" xfId="10033" xr:uid="{F4E62B2E-E058-4251-84C1-667882CA645D}"/>
    <cellStyle name="Normal 2 2 34 5" xfId="10028" xr:uid="{E7A7FE73-9D62-45E6-B8EA-0DC5B9D89FE5}"/>
    <cellStyle name="Normal 2 2 35" xfId="1184" xr:uid="{26950182-BB8D-4E14-B7DE-3FF30199E5C4}"/>
    <cellStyle name="Normal 2 2 35 2" xfId="1185" xr:uid="{2A5DF9B3-8593-4CD1-BA9A-052C445E663A}"/>
    <cellStyle name="Normal 2 2 35 2 2" xfId="1186" xr:uid="{78722AAB-1FB5-439F-BB76-A79F47D5AF8B}"/>
    <cellStyle name="Normal 2 2 35 2 2 2" xfId="10036" xr:uid="{B4988078-3926-4208-A4EF-D3FDBCD8B8B7}"/>
    <cellStyle name="Normal 2 2 35 2 3" xfId="1187" xr:uid="{E2718870-5818-4EF8-8511-2D18A804CC87}"/>
    <cellStyle name="Normal 2 2 35 2 3 2" xfId="10037" xr:uid="{5EAE8B8D-E1DC-4506-8B0F-ED9BB49984CB}"/>
    <cellStyle name="Normal 2 2 35 2 4" xfId="10035" xr:uid="{5277F280-5F8F-483A-A248-E07A9494A150}"/>
    <cellStyle name="Normal 2 2 35 3" xfId="1188" xr:uid="{D3E718E0-832A-4CB6-AD8E-74210A7D26C5}"/>
    <cellStyle name="Normal 2 2 35 3 2" xfId="10038" xr:uid="{7B00F94A-3A49-45E1-AFBD-E6627E802DA3}"/>
    <cellStyle name="Normal 2 2 35 4" xfId="1189" xr:uid="{D3C70B75-0F7E-4092-AB12-D2A110CCC002}"/>
    <cellStyle name="Normal 2 2 35 4 2" xfId="10039" xr:uid="{A34700C9-672A-4FD6-A79F-A67FDC6EF64E}"/>
    <cellStyle name="Normal 2 2 35 5" xfId="10034" xr:uid="{58321218-FE3E-451C-B736-FE2F24D2946D}"/>
    <cellStyle name="Normal 2 2 36" xfId="1190" xr:uid="{6580AD4C-7845-47DB-BC0F-6CE45A938E79}"/>
    <cellStyle name="Normal 2 2 36 2" xfId="1191" xr:uid="{5B715ED5-35A7-4C33-9572-AF845671A419}"/>
    <cellStyle name="Normal 2 2 36 2 2" xfId="1192" xr:uid="{9D7D5DF6-1E31-49BA-A078-86D1F95D33A1}"/>
    <cellStyle name="Normal 2 2 36 2 2 2" xfId="10042" xr:uid="{0B06E5AC-9E25-49CC-A0D3-710D9A151FD2}"/>
    <cellStyle name="Normal 2 2 36 2 3" xfId="1193" xr:uid="{C00911D2-7250-401A-A98B-E426DC51C1CC}"/>
    <cellStyle name="Normal 2 2 36 2 3 2" xfId="10043" xr:uid="{98B81750-DBC9-437F-9792-C6C8EEDB517D}"/>
    <cellStyle name="Normal 2 2 36 2 4" xfId="10041" xr:uid="{1C2F4F58-40E8-43AB-BC5E-15B3C5C5A5BE}"/>
    <cellStyle name="Normal 2 2 36 3" xfId="1194" xr:uid="{DB7C2057-3C99-4307-A310-9EB10523B503}"/>
    <cellStyle name="Normal 2 2 36 3 2" xfId="10044" xr:uid="{F3FE2F9E-19E3-4D95-A057-779A525F8FFB}"/>
    <cellStyle name="Normal 2 2 36 4" xfId="1195" xr:uid="{D6813346-7858-4BF7-9FB6-98F4731A85B2}"/>
    <cellStyle name="Normal 2 2 36 4 2" xfId="10045" xr:uid="{6DBAA05E-AEB0-4DF3-89ED-B6518781E624}"/>
    <cellStyle name="Normal 2 2 36 5" xfId="10040" xr:uid="{C46081F0-FE1B-4580-9FC4-5FF5FAC389C7}"/>
    <cellStyle name="Normal 2 2 37" xfId="1196" xr:uid="{DCE9E459-26A4-4AF0-B118-31149F582E33}"/>
    <cellStyle name="Normal 2 2 37 2" xfId="1197" xr:uid="{332A577A-C999-4025-BFA4-DA6B865E6333}"/>
    <cellStyle name="Normal 2 2 37 2 2" xfId="1198" xr:uid="{E99658C5-C846-41B9-8BAC-95462B3E3FA5}"/>
    <cellStyle name="Normal 2 2 37 2 2 2" xfId="10048" xr:uid="{50B71860-DC92-4600-9F22-A21F1200F853}"/>
    <cellStyle name="Normal 2 2 37 2 3" xfId="1199" xr:uid="{4ACDB837-831C-420C-B88E-8FAED07D702E}"/>
    <cellStyle name="Normal 2 2 37 2 3 2" xfId="10049" xr:uid="{06C4CE20-834D-4036-8DF9-87294ECA94CD}"/>
    <cellStyle name="Normal 2 2 37 2 4" xfId="10047" xr:uid="{62662F6B-A42C-48BB-8485-6FABFC8E0311}"/>
    <cellStyle name="Normal 2 2 37 3" xfId="1200" xr:uid="{78107477-18E3-4E87-85B5-4F75848D8C00}"/>
    <cellStyle name="Normal 2 2 37 3 2" xfId="10050" xr:uid="{F6A8C745-EC9D-4971-A9E6-08F1A251BE8D}"/>
    <cellStyle name="Normal 2 2 37 4" xfId="1201" xr:uid="{1C3B3B7C-D4CF-4A21-9924-1DFA58FB5242}"/>
    <cellStyle name="Normal 2 2 37 4 2" xfId="10051" xr:uid="{4EFA013A-5B44-493B-BD57-5C4C8927E6DE}"/>
    <cellStyle name="Normal 2 2 37 5" xfId="10046" xr:uid="{F01F6157-1880-4B45-BC63-53E5A1B91D96}"/>
    <cellStyle name="Normal 2 2 38" xfId="1202" xr:uid="{89C6852E-5AC6-447C-A874-75F93A7E101F}"/>
    <cellStyle name="Normal 2 2 38 2" xfId="1203" xr:uid="{DFD70012-13DF-4D56-9415-0E2B7573F203}"/>
    <cellStyle name="Normal 2 2 38 2 2" xfId="1204" xr:uid="{8AE180C7-D26E-4266-BE51-A97A3A464609}"/>
    <cellStyle name="Normal 2 2 38 2 2 2" xfId="10054" xr:uid="{077773A1-2B93-4D74-BAB6-BD30A2FDD122}"/>
    <cellStyle name="Normal 2 2 38 2 3" xfId="1205" xr:uid="{B6ECC919-3B12-453E-8013-B28C18923AC2}"/>
    <cellStyle name="Normal 2 2 38 2 3 2" xfId="10055" xr:uid="{B9F36D33-852C-4A18-81DD-841D87420E79}"/>
    <cellStyle name="Normal 2 2 38 2 4" xfId="10053" xr:uid="{A126E723-06E9-40AC-BE37-759F86CC7FF9}"/>
    <cellStyle name="Normal 2 2 38 3" xfId="1206" xr:uid="{00DC826D-36DC-4ADC-946B-CAB82EB12772}"/>
    <cellStyle name="Normal 2 2 38 3 2" xfId="10056" xr:uid="{5549443D-E2F5-46DD-B2E2-933A2BDC525D}"/>
    <cellStyle name="Normal 2 2 38 4" xfId="1207" xr:uid="{E0F71F67-E29D-4553-8D90-E15465E72161}"/>
    <cellStyle name="Normal 2 2 38 4 2" xfId="10057" xr:uid="{55F92246-3778-431A-886A-F437E659E00A}"/>
    <cellStyle name="Normal 2 2 38 5" xfId="10052" xr:uid="{10745EF6-3C8C-4245-8422-1C5119627276}"/>
    <cellStyle name="Normal 2 2 39" xfId="1208" xr:uid="{5C8A9A99-D68A-4595-B307-0AD0759E960B}"/>
    <cellStyle name="Normal 2 2 39 2" xfId="1209" xr:uid="{DEF8FEAB-A406-4350-B74F-C9A56F368EB2}"/>
    <cellStyle name="Normal 2 2 39 2 2" xfId="1210" xr:uid="{B2CA08B1-2F91-4076-822A-2A5910A1A02A}"/>
    <cellStyle name="Normal 2 2 39 2 2 2" xfId="10060" xr:uid="{F8FF0349-0DA8-42B8-A05A-895200778336}"/>
    <cellStyle name="Normal 2 2 39 2 3" xfId="1211" xr:uid="{B64B4DF6-037D-4B16-AFB1-AC74203D1E18}"/>
    <cellStyle name="Normal 2 2 39 2 3 2" xfId="10061" xr:uid="{E0541093-3C22-40D2-883F-D1C99A063696}"/>
    <cellStyle name="Normal 2 2 39 2 4" xfId="10059" xr:uid="{1C2F983F-0135-4419-B58F-38D8B5C0C6FA}"/>
    <cellStyle name="Normal 2 2 39 3" xfId="1212" xr:uid="{52337CE0-4140-438E-93A9-7FA0CA9050D8}"/>
    <cellStyle name="Normal 2 2 39 3 2" xfId="10062" xr:uid="{01CD2CFE-51C0-4644-A410-6DCA9729D04B}"/>
    <cellStyle name="Normal 2 2 39 4" xfId="1213" xr:uid="{5348E2ED-74A5-4382-9FBA-61DCAB4EE7DF}"/>
    <cellStyle name="Normal 2 2 39 4 2" xfId="10063" xr:uid="{3DD1C284-C335-422B-8B43-2E6685E21F40}"/>
    <cellStyle name="Normal 2 2 39 5" xfId="10058" xr:uid="{368248F1-C31C-47F5-9CB1-7D297A011682}"/>
    <cellStyle name="Normal 2 2 4" xfId="1214" xr:uid="{98152E22-D61E-44FB-ADC6-B6E6386ECA26}"/>
    <cellStyle name="Normal 2 2 4 10" xfId="1215" xr:uid="{5E12BF1A-073D-4178-9651-6657B50CD787}"/>
    <cellStyle name="Normal 2 2 4 10 2" xfId="1216" xr:uid="{646340BD-8B7E-4C8E-BBE6-47E8F789CF07}"/>
    <cellStyle name="Normal 2 2 4 10 2 2" xfId="1217" xr:uid="{ABC6132D-3DD1-45E2-99A3-BB76CAD5518B}"/>
    <cellStyle name="Normal 2 2 4 10 2 2 2" xfId="10067" xr:uid="{59F6DD1D-92DA-4B5C-A168-3493A67A63B5}"/>
    <cellStyle name="Normal 2 2 4 10 2 3" xfId="1218" xr:uid="{37A5B297-8BFD-4B16-8002-0AC7379C1EA3}"/>
    <cellStyle name="Normal 2 2 4 10 2 3 2" xfId="10068" xr:uid="{6A5E1A10-EB4B-4C2B-826B-59F09A05A295}"/>
    <cellStyle name="Normal 2 2 4 10 2 4" xfId="10066" xr:uid="{91484C42-A827-498D-A1C1-7FB0A8219E01}"/>
    <cellStyle name="Normal 2 2 4 10 3" xfId="1219" xr:uid="{71FA87E7-1305-421B-98E9-C2EEFAE685C5}"/>
    <cellStyle name="Normal 2 2 4 10 3 2" xfId="10069" xr:uid="{7216C319-F38D-43FE-AA91-71A3179F3494}"/>
    <cellStyle name="Normal 2 2 4 10 4" xfId="1220" xr:uid="{4691555B-D907-4372-9950-DD7E06D32850}"/>
    <cellStyle name="Normal 2 2 4 10 4 2" xfId="10070" xr:uid="{2EB67E93-D84B-46BF-83B1-E80B2F93AD00}"/>
    <cellStyle name="Normal 2 2 4 10 5" xfId="10065" xr:uid="{4CBBEA5F-FFCE-4272-A846-BD21DC158A6D}"/>
    <cellStyle name="Normal 2 2 4 11" xfId="1221" xr:uid="{22775182-69E6-4754-AC6C-0A771D534EEC}"/>
    <cellStyle name="Normal 2 2 4 11 2" xfId="1222" xr:uid="{EE78107D-6339-4315-9678-622875E02B6D}"/>
    <cellStyle name="Normal 2 2 4 11 2 2" xfId="1223" xr:uid="{EEB39BF0-0AC2-4444-BBD5-35F64F4B83EE}"/>
    <cellStyle name="Normal 2 2 4 11 2 2 2" xfId="10073" xr:uid="{A2D12008-A0EB-4DF0-A3CF-7A8E884C3340}"/>
    <cellStyle name="Normal 2 2 4 11 2 3" xfId="1224" xr:uid="{B37F15E3-F775-49EA-BCA7-EDF239FE412D}"/>
    <cellStyle name="Normal 2 2 4 11 2 3 2" xfId="10074" xr:uid="{077B61B2-DEC3-4D15-9848-91C71D328498}"/>
    <cellStyle name="Normal 2 2 4 11 2 4" xfId="10072" xr:uid="{280C63C6-F4C5-4A15-B049-E080B6EB871F}"/>
    <cellStyle name="Normal 2 2 4 11 3" xfId="1225" xr:uid="{72C75EED-D283-4FEB-9FA6-D1D86AC56C09}"/>
    <cellStyle name="Normal 2 2 4 11 3 2" xfId="10075" xr:uid="{D150E222-453B-4E7A-90AE-6883B2A474B3}"/>
    <cellStyle name="Normal 2 2 4 11 4" xfId="1226" xr:uid="{CD74DA1D-FEE3-44A0-9AFF-30C5BDC41BD0}"/>
    <cellStyle name="Normal 2 2 4 11 4 2" xfId="10076" xr:uid="{C67D8BF7-28C7-4A82-BB05-F8B5FB9E0F57}"/>
    <cellStyle name="Normal 2 2 4 11 5" xfId="10071" xr:uid="{1761860E-33B7-4690-9C24-A73BC4AB573C}"/>
    <cellStyle name="Normal 2 2 4 12" xfId="1227" xr:uid="{107E6B9B-2F15-4EF8-8DFB-85B05ADDC03F}"/>
    <cellStyle name="Normal 2 2 4 12 2" xfId="1228" xr:uid="{39F2F66D-E968-4004-87C7-FC1F7B3CECBC}"/>
    <cellStyle name="Normal 2 2 4 12 2 2" xfId="1229" xr:uid="{3440E7CA-B2F8-4A04-95FC-810F79EE0859}"/>
    <cellStyle name="Normal 2 2 4 12 2 2 2" xfId="10079" xr:uid="{72AD718E-09DA-4923-9CBC-9DC5950D0FB1}"/>
    <cellStyle name="Normal 2 2 4 12 2 3" xfId="1230" xr:uid="{ACE12C00-F906-4B7F-A9C2-1FC804E2B68F}"/>
    <cellStyle name="Normal 2 2 4 12 2 3 2" xfId="10080" xr:uid="{8C68BB82-434C-4F4D-8760-1C67A9648072}"/>
    <cellStyle name="Normal 2 2 4 12 2 4" xfId="10078" xr:uid="{E1EAE6B9-BCE8-4696-8A22-475015EF73C7}"/>
    <cellStyle name="Normal 2 2 4 12 3" xfId="1231" xr:uid="{FFA9D11D-E12F-4154-A2CB-4FAC23BD0D4D}"/>
    <cellStyle name="Normal 2 2 4 12 3 2" xfId="10081" xr:uid="{EE004F26-9BC0-47E8-A78F-0AB33CBF5058}"/>
    <cellStyle name="Normal 2 2 4 12 4" xfId="1232" xr:uid="{C39BCE19-07B1-490A-AACA-7769964D644F}"/>
    <cellStyle name="Normal 2 2 4 12 4 2" xfId="10082" xr:uid="{C41C263A-EA0A-4650-B2F5-338C0309E0CB}"/>
    <cellStyle name="Normal 2 2 4 12 5" xfId="10077" xr:uid="{F4FB8778-7058-4981-9946-7D3FDB52B878}"/>
    <cellStyle name="Normal 2 2 4 13" xfId="1233" xr:uid="{D1B7CC91-E62D-4076-BBC9-E7539408EC90}"/>
    <cellStyle name="Normal 2 2 4 13 2" xfId="1234" xr:uid="{C033EA4E-6F4E-4AF3-AC1C-A742785A0735}"/>
    <cellStyle name="Normal 2 2 4 13 2 2" xfId="1235" xr:uid="{92FE8F4A-8601-45A4-83EF-2E039E0773D5}"/>
    <cellStyle name="Normal 2 2 4 13 2 2 2" xfId="10085" xr:uid="{CED78F8F-6487-4983-A5A8-60ABDA18D48F}"/>
    <cellStyle name="Normal 2 2 4 13 2 3" xfId="1236" xr:uid="{469E0981-2855-44D4-965D-1CE29D2013A5}"/>
    <cellStyle name="Normal 2 2 4 13 2 3 2" xfId="10086" xr:uid="{005744DA-A667-453A-AE01-4D50287B80AA}"/>
    <cellStyle name="Normal 2 2 4 13 2 4" xfId="10084" xr:uid="{7472894A-D226-40CC-BEDC-EF8EAEE0FF11}"/>
    <cellStyle name="Normal 2 2 4 13 3" xfId="1237" xr:uid="{338D4E6B-157C-407C-87B6-2C00D48B85B3}"/>
    <cellStyle name="Normal 2 2 4 13 3 2" xfId="10087" xr:uid="{AF92BF76-74DC-467F-840F-021E68DFF191}"/>
    <cellStyle name="Normal 2 2 4 13 4" xfId="1238" xr:uid="{AAEDB13A-85EB-4A58-9E9E-12EC13D2561E}"/>
    <cellStyle name="Normal 2 2 4 13 4 2" xfId="10088" xr:uid="{A18F1E1E-6B7A-432C-9F87-6CB493AAC84C}"/>
    <cellStyle name="Normal 2 2 4 13 5" xfId="10083" xr:uid="{A6E2DCE2-3E22-492F-93AF-0A6247E185C4}"/>
    <cellStyle name="Normal 2 2 4 14" xfId="1239" xr:uid="{16538C0B-A3CB-42D2-AF1D-3CB361874D9D}"/>
    <cellStyle name="Normal 2 2 4 14 2" xfId="1240" xr:uid="{239B002C-BAF5-43B6-8F96-C2073BF0F0A9}"/>
    <cellStyle name="Normal 2 2 4 14 2 2" xfId="1241" xr:uid="{72E41D45-2510-47AA-B12E-5A9D9513C956}"/>
    <cellStyle name="Normal 2 2 4 14 2 2 2" xfId="10091" xr:uid="{C3D4C190-6343-403D-B0EA-04B21BD34E97}"/>
    <cellStyle name="Normal 2 2 4 14 2 3" xfId="1242" xr:uid="{D3D560AC-1658-454F-8EF2-FB97A2006305}"/>
    <cellStyle name="Normal 2 2 4 14 2 3 2" xfId="10092" xr:uid="{6649C310-FF34-44CB-A668-DBAE1BCA915B}"/>
    <cellStyle name="Normal 2 2 4 14 2 4" xfId="10090" xr:uid="{842093D0-5C39-41C2-BC3A-8995D7019867}"/>
    <cellStyle name="Normal 2 2 4 14 3" xfId="1243" xr:uid="{3C3B5C12-7BE8-44A4-A335-376F1A8CC7BD}"/>
    <cellStyle name="Normal 2 2 4 14 3 2" xfId="10093" xr:uid="{7FFAA7BA-6416-47B1-9325-44B16CFE2554}"/>
    <cellStyle name="Normal 2 2 4 14 4" xfId="1244" xr:uid="{68680478-4CA6-41C0-8C97-5E51FF8D772C}"/>
    <cellStyle name="Normal 2 2 4 14 4 2" xfId="10094" xr:uid="{D40A453C-725D-4EC7-85A0-A59D4E3CEE07}"/>
    <cellStyle name="Normal 2 2 4 14 5" xfId="10089" xr:uid="{61FD8F4E-74E9-469F-85D5-C4D275053A82}"/>
    <cellStyle name="Normal 2 2 4 15" xfId="1245" xr:uid="{735810EC-BC13-45D6-AEAA-ED172DF37B38}"/>
    <cellStyle name="Normal 2 2 4 15 2" xfId="1246" xr:uid="{EF905FC6-E36E-45B8-A940-44FF126ADB29}"/>
    <cellStyle name="Normal 2 2 4 15 2 2" xfId="1247" xr:uid="{22D3777A-137F-4743-867F-10EA314D3AC1}"/>
    <cellStyle name="Normal 2 2 4 15 2 2 2" xfId="10097" xr:uid="{7CE45701-5DDD-4621-8BE1-784613D2451C}"/>
    <cellStyle name="Normal 2 2 4 15 2 3" xfId="1248" xr:uid="{6E0D3FFE-F620-4544-AB3D-EF91D2B6A7E1}"/>
    <cellStyle name="Normal 2 2 4 15 2 3 2" xfId="10098" xr:uid="{B25253F1-44D2-44D4-B29A-D0F4CACED6EE}"/>
    <cellStyle name="Normal 2 2 4 15 2 4" xfId="10096" xr:uid="{BCFD84B4-6F11-4DE7-9C9E-9F87E40C69EB}"/>
    <cellStyle name="Normal 2 2 4 15 3" xfId="1249" xr:uid="{35C59470-FAD6-4846-BE3C-D8DC683AC733}"/>
    <cellStyle name="Normal 2 2 4 15 3 2" xfId="10099" xr:uid="{77A1D066-D713-46AD-8A29-96CA63870D59}"/>
    <cellStyle name="Normal 2 2 4 15 4" xfId="1250" xr:uid="{1E1E4C44-C86C-46EB-8D74-01AE90CD91BA}"/>
    <cellStyle name="Normal 2 2 4 15 4 2" xfId="10100" xr:uid="{1B1B58C1-40DD-4F46-AA67-4FC22A2C6472}"/>
    <cellStyle name="Normal 2 2 4 15 5" xfId="10095" xr:uid="{2B36D682-6FE6-4ABB-9B58-38A4820779E0}"/>
    <cellStyle name="Normal 2 2 4 16" xfId="1251" xr:uid="{14DD2A2A-F78F-4733-A35C-D3CD77C3BAE2}"/>
    <cellStyle name="Normal 2 2 4 16 2" xfId="1252" xr:uid="{AEC1BC5C-EF86-4A11-9A12-05B182710804}"/>
    <cellStyle name="Normal 2 2 4 16 2 2" xfId="1253" xr:uid="{D748EA2C-4D82-433B-93F0-450C216BC964}"/>
    <cellStyle name="Normal 2 2 4 16 2 2 2" xfId="10103" xr:uid="{CDCD85CD-70C6-4204-B8F3-49FF8B2D0388}"/>
    <cellStyle name="Normal 2 2 4 16 2 3" xfId="1254" xr:uid="{3C2C2580-0FAA-4F90-8519-A987E352FB9B}"/>
    <cellStyle name="Normal 2 2 4 16 2 3 2" xfId="10104" xr:uid="{3F1AD998-DACD-4BA1-9A35-738ECC328953}"/>
    <cellStyle name="Normal 2 2 4 16 2 4" xfId="10102" xr:uid="{6CF8A88F-8066-4645-87DE-080564531090}"/>
    <cellStyle name="Normal 2 2 4 16 3" xfId="1255" xr:uid="{5007C3A2-83D3-46F4-A1DA-52F6BECBAE04}"/>
    <cellStyle name="Normal 2 2 4 16 3 2" xfId="10105" xr:uid="{D36D277A-AE11-4CFB-8527-DE1D9A4DF979}"/>
    <cellStyle name="Normal 2 2 4 16 4" xfId="1256" xr:uid="{DBAA0735-F863-4D39-857F-DEFD988B4A64}"/>
    <cellStyle name="Normal 2 2 4 16 4 2" xfId="10106" xr:uid="{0A00F35B-D807-417E-934C-180D4FC45401}"/>
    <cellStyle name="Normal 2 2 4 16 5" xfId="10101" xr:uid="{3D5F32E1-483F-40C8-8743-23FD4C8B5029}"/>
    <cellStyle name="Normal 2 2 4 17" xfId="1257" xr:uid="{F05A04CB-4DDF-4D70-8903-7AE717BAD2E4}"/>
    <cellStyle name="Normal 2 2 4 17 2" xfId="1258" xr:uid="{2E7D7AF4-ED6A-449B-B114-C7B85CC036F8}"/>
    <cellStyle name="Normal 2 2 4 17 2 2" xfId="1259" xr:uid="{D7377FD3-1DE8-4FBC-9D26-377D3D5DB9D6}"/>
    <cellStyle name="Normal 2 2 4 17 2 2 2" xfId="10109" xr:uid="{6F5FDD99-9642-4C17-930A-D81461668F26}"/>
    <cellStyle name="Normal 2 2 4 17 2 3" xfId="1260" xr:uid="{021C7EC5-340A-4F85-AEF9-9943015F6E9C}"/>
    <cellStyle name="Normal 2 2 4 17 2 3 2" xfId="10110" xr:uid="{4D531AF1-2985-44E6-8C46-B0FE5995CF01}"/>
    <cellStyle name="Normal 2 2 4 17 2 4" xfId="10108" xr:uid="{58AB45B6-C8D8-4118-9E4D-2226A5CAF685}"/>
    <cellStyle name="Normal 2 2 4 17 3" xfId="1261" xr:uid="{9F3B2B6B-1DA0-4336-803C-7E07B550B683}"/>
    <cellStyle name="Normal 2 2 4 17 3 2" xfId="10111" xr:uid="{BF0576D4-4602-4CCD-A6EC-6D48E0B76136}"/>
    <cellStyle name="Normal 2 2 4 17 4" xfId="1262" xr:uid="{FEE9A46C-A012-4DE3-B490-58772EA0411E}"/>
    <cellStyle name="Normal 2 2 4 17 4 2" xfId="10112" xr:uid="{20B470B5-4CC5-4C43-BFC8-79300895901B}"/>
    <cellStyle name="Normal 2 2 4 17 5" xfId="10107" xr:uid="{50328864-482F-406D-A3DB-598DD977E87B}"/>
    <cellStyle name="Normal 2 2 4 18" xfId="1263" xr:uid="{BFB9BFAF-5520-4611-A7DC-68FA004169FB}"/>
    <cellStyle name="Normal 2 2 4 18 2" xfId="1264" xr:uid="{3DB8DCB5-4CCA-4CE6-87E3-7BA457D2003B}"/>
    <cellStyle name="Normal 2 2 4 18 2 2" xfId="1265" xr:uid="{F2973072-D295-4597-A75C-B27416619542}"/>
    <cellStyle name="Normal 2 2 4 18 2 2 2" xfId="10115" xr:uid="{4A6C2BCD-6A50-43D7-838F-C1D53A488387}"/>
    <cellStyle name="Normal 2 2 4 18 2 3" xfId="1266" xr:uid="{7D577EDE-F539-4640-8F7E-E0621D3F17E1}"/>
    <cellStyle name="Normal 2 2 4 18 2 3 2" xfId="10116" xr:uid="{ED137680-5CF2-4763-9875-9C882D77E3B9}"/>
    <cellStyle name="Normal 2 2 4 18 2 4" xfId="10114" xr:uid="{3B8293B2-5FD6-4433-B514-3079F5ABA0E5}"/>
    <cellStyle name="Normal 2 2 4 18 3" xfId="1267" xr:uid="{CD4F1128-3D21-4D2C-ACE6-CADFAE0B320E}"/>
    <cellStyle name="Normal 2 2 4 18 3 2" xfId="10117" xr:uid="{8EDC6B28-195C-46D5-B4FE-22FC9F676EE6}"/>
    <cellStyle name="Normal 2 2 4 18 4" xfId="1268" xr:uid="{2547AF9A-168C-4E3A-AF2D-774B89403702}"/>
    <cellStyle name="Normal 2 2 4 18 4 2" xfId="10118" xr:uid="{0202E349-6120-49C9-8FBE-18AB3C57C461}"/>
    <cellStyle name="Normal 2 2 4 18 5" xfId="10113" xr:uid="{72113E3A-ECD7-416A-A6BE-C0B239DBC842}"/>
    <cellStyle name="Normal 2 2 4 19" xfId="1269" xr:uid="{2DAD6E89-E309-4D5E-AE6A-DE134425C671}"/>
    <cellStyle name="Normal 2 2 4 19 2" xfId="1270" xr:uid="{1B8200D9-292B-4E81-B45A-1D26257E9FAF}"/>
    <cellStyle name="Normal 2 2 4 19 2 2" xfId="1271" xr:uid="{EDF072F2-54DB-42E1-9BC7-075A0D4D49E6}"/>
    <cellStyle name="Normal 2 2 4 19 2 2 2" xfId="10121" xr:uid="{8F98B09E-33F3-4D14-B4E6-EA0753F2EF15}"/>
    <cellStyle name="Normal 2 2 4 19 2 3" xfId="1272" xr:uid="{900E444C-74A7-46CB-9431-401CACE60DD2}"/>
    <cellStyle name="Normal 2 2 4 19 2 3 2" xfId="10122" xr:uid="{6FFBCF06-74E5-4CE6-B996-4EE40CD7BAF1}"/>
    <cellStyle name="Normal 2 2 4 19 2 4" xfId="10120" xr:uid="{2B64D0BF-7CFF-49FE-92D2-D7572972283C}"/>
    <cellStyle name="Normal 2 2 4 19 3" xfId="1273" xr:uid="{56F016C5-C316-465E-A56C-F9A0A954E962}"/>
    <cellStyle name="Normal 2 2 4 19 3 2" xfId="10123" xr:uid="{6474E865-AFB8-4D3C-8448-BB9F67864F1F}"/>
    <cellStyle name="Normal 2 2 4 19 4" xfId="1274" xr:uid="{E893685C-25CE-4EA9-8112-B3F6429B6AE7}"/>
    <cellStyle name="Normal 2 2 4 19 4 2" xfId="10124" xr:uid="{56ACFDFB-1329-4230-8D7A-A199A943A3D8}"/>
    <cellStyle name="Normal 2 2 4 19 5" xfId="10119" xr:uid="{7D248C35-3AAA-44D4-B8C8-774120A965C0}"/>
    <cellStyle name="Normal 2 2 4 2" xfId="1275" xr:uid="{9181E6AC-7ADB-4898-A92E-9E12DF4B8F59}"/>
    <cellStyle name="Normal 2 2 4 2 2" xfId="1276" xr:uid="{43661172-4F33-4141-ABA7-A6AB74004091}"/>
    <cellStyle name="Normal 2 2 4 2 2 2" xfId="1277" xr:uid="{2922D99E-DF4D-4577-A408-CA547BA4D563}"/>
    <cellStyle name="Normal 2 2 4 2 2 2 2" xfId="10127" xr:uid="{B3ECFB0F-DAE6-46EA-B004-85C48A6244E8}"/>
    <cellStyle name="Normal 2 2 4 2 2 3" xfId="1278" xr:uid="{89F951BD-D6C1-431B-A230-96F7F53E36C9}"/>
    <cellStyle name="Normal 2 2 4 2 2 3 2" xfId="10128" xr:uid="{8566C02C-19F8-4B19-A0D9-FF9926E58FC7}"/>
    <cellStyle name="Normal 2 2 4 2 2 4" xfId="10126" xr:uid="{7CF68DD1-CEE5-4E7D-9A29-3E77B605A09D}"/>
    <cellStyle name="Normal 2 2 4 2 3" xfId="1279" xr:uid="{1C1933CF-A858-4BEB-B8D8-E3255D970D61}"/>
    <cellStyle name="Normal 2 2 4 2 3 2" xfId="10129" xr:uid="{D894DDB1-41DC-4CB9-B592-87CF8ACD379C}"/>
    <cellStyle name="Normal 2 2 4 2 4" xfId="1280" xr:uid="{4EA279E8-E09F-4AE3-A347-44A60C2C625E}"/>
    <cellStyle name="Normal 2 2 4 2 4 2" xfId="10130" xr:uid="{8AE2E06B-7854-4870-98E5-A338F4F05A9B}"/>
    <cellStyle name="Normal 2 2 4 2 5" xfId="10125" xr:uid="{20B7051D-955E-4B4A-A259-474ADF89EA09}"/>
    <cellStyle name="Normal 2 2 4 20" xfId="1281" xr:uid="{7ADE3B00-3F37-4032-88D9-6AE9586B9912}"/>
    <cellStyle name="Normal 2 2 4 20 2" xfId="1282" xr:uid="{844FFE6A-69E8-4E8A-840B-7951CBCB0CC8}"/>
    <cellStyle name="Normal 2 2 4 20 2 2" xfId="1283" xr:uid="{E1744F96-F049-4335-986B-87D04EFB87F4}"/>
    <cellStyle name="Normal 2 2 4 20 2 2 2" xfId="10133" xr:uid="{1067AE34-882A-419C-B183-8F5A339FBE98}"/>
    <cellStyle name="Normal 2 2 4 20 2 3" xfId="1284" xr:uid="{5B516410-0F11-4769-9F21-AB814A1F73C9}"/>
    <cellStyle name="Normal 2 2 4 20 2 3 2" xfId="10134" xr:uid="{6C578140-F0E7-4D48-BB76-8E14D7242E17}"/>
    <cellStyle name="Normal 2 2 4 20 2 4" xfId="10132" xr:uid="{D3190CD2-8595-4202-9D3F-D4BF1728C3E1}"/>
    <cellStyle name="Normal 2 2 4 20 3" xfId="1285" xr:uid="{01AB1234-A11F-46C5-938E-41ED9C1A2378}"/>
    <cellStyle name="Normal 2 2 4 20 3 2" xfId="10135" xr:uid="{72F31843-FCBB-4952-A144-E0F48894289C}"/>
    <cellStyle name="Normal 2 2 4 20 4" xfId="1286" xr:uid="{C3B830D6-34D1-4F33-A006-E5E6D040F541}"/>
    <cellStyle name="Normal 2 2 4 20 4 2" xfId="10136" xr:uid="{85A59D45-C2FF-462C-A754-86A09D0CEE2A}"/>
    <cellStyle name="Normal 2 2 4 20 5" xfId="10131" xr:uid="{82E07785-9B96-47F3-81D1-E6C67803E11F}"/>
    <cellStyle name="Normal 2 2 4 21" xfId="1287" xr:uid="{203D69E9-0F4F-4439-98C7-6E6BB9BD3044}"/>
    <cellStyle name="Normal 2 2 4 21 2" xfId="1288" xr:uid="{AF18F113-931D-4522-8DC8-6CFA05059FEF}"/>
    <cellStyle name="Normal 2 2 4 21 2 2" xfId="1289" xr:uid="{45A18642-F352-404D-B282-4D4428A46FE7}"/>
    <cellStyle name="Normal 2 2 4 21 2 2 2" xfId="10139" xr:uid="{F148FD6E-66FE-46A2-B19D-7016270B8F20}"/>
    <cellStyle name="Normal 2 2 4 21 2 3" xfId="1290" xr:uid="{EA2E8E1B-2E3C-4C39-87CA-B0EF97C7D32F}"/>
    <cellStyle name="Normal 2 2 4 21 2 3 2" xfId="10140" xr:uid="{D6D531D2-C151-4B2B-89B8-66399A5D40EF}"/>
    <cellStyle name="Normal 2 2 4 21 2 4" xfId="10138" xr:uid="{82BEAD3B-A69F-4C23-A416-2908BB8528A2}"/>
    <cellStyle name="Normal 2 2 4 21 3" xfId="1291" xr:uid="{ED89D0F6-9DFF-4747-BDB3-62706C9C5426}"/>
    <cellStyle name="Normal 2 2 4 21 3 2" xfId="10141" xr:uid="{F37293B2-609D-46E5-B86A-5CE9ABFFD8C4}"/>
    <cellStyle name="Normal 2 2 4 21 4" xfId="1292" xr:uid="{DA32751D-211D-4EC8-886E-FC66A5FB2461}"/>
    <cellStyle name="Normal 2 2 4 21 4 2" xfId="10142" xr:uid="{11B29B2E-2B53-44E8-90D0-426D366E1B9C}"/>
    <cellStyle name="Normal 2 2 4 21 5" xfId="10137" xr:uid="{E2A68C26-538C-42EE-A296-B4E6F1E0899F}"/>
    <cellStyle name="Normal 2 2 4 22" xfId="1293" xr:uid="{5DE7AAC7-0817-4E51-8FEC-56A1DADC95A9}"/>
    <cellStyle name="Normal 2 2 4 22 2" xfId="1294" xr:uid="{43383BC5-15D4-4D4A-B2DA-439D202ED8F2}"/>
    <cellStyle name="Normal 2 2 4 22 2 2" xfId="1295" xr:uid="{0BF0B0DA-8426-478C-95DF-C6E0A122B41D}"/>
    <cellStyle name="Normal 2 2 4 22 2 2 2" xfId="10145" xr:uid="{FE4E261D-9D3D-460F-A954-775CA47CE4CB}"/>
    <cellStyle name="Normal 2 2 4 22 2 3" xfId="1296" xr:uid="{5CF212B1-8729-485F-AABD-DC01D9E13469}"/>
    <cellStyle name="Normal 2 2 4 22 2 3 2" xfId="10146" xr:uid="{4FB2AE62-2532-4F85-A3D6-DFA6CF82FD8F}"/>
    <cellStyle name="Normal 2 2 4 22 2 4" xfId="10144" xr:uid="{4696066A-5A13-420D-95ED-F5645012C970}"/>
    <cellStyle name="Normal 2 2 4 22 3" xfId="1297" xr:uid="{4EBAF95F-07BE-4D44-91F0-F1557AAD6C62}"/>
    <cellStyle name="Normal 2 2 4 22 3 2" xfId="10147" xr:uid="{ABA5A570-C27C-4994-B9BC-E7D91EE93504}"/>
    <cellStyle name="Normal 2 2 4 22 4" xfId="1298" xr:uid="{6592D435-2F5B-46AB-935F-4BAD24213DFD}"/>
    <cellStyle name="Normal 2 2 4 22 4 2" xfId="10148" xr:uid="{A2531320-7019-46D4-8983-3F0CD0B3CC0E}"/>
    <cellStyle name="Normal 2 2 4 22 5" xfId="10143" xr:uid="{5CAA200E-EEAB-4E7B-913F-938D3AE89217}"/>
    <cellStyle name="Normal 2 2 4 23" xfId="1299" xr:uid="{93C9DAE9-5B41-49D5-AEF8-F8F0269FC97E}"/>
    <cellStyle name="Normal 2 2 4 23 2" xfId="1300" xr:uid="{C7BBAB78-8C2E-4436-9D1F-19B495309964}"/>
    <cellStyle name="Normal 2 2 4 23 2 2" xfId="1301" xr:uid="{A4CB7D91-085D-4599-BA7E-F2F5A7231C5C}"/>
    <cellStyle name="Normal 2 2 4 23 2 2 2" xfId="10151" xr:uid="{7B931933-6053-463D-8371-8FEC3CAD7913}"/>
    <cellStyle name="Normal 2 2 4 23 2 3" xfId="1302" xr:uid="{4C522696-4043-47C7-A997-F9967359C5C1}"/>
    <cellStyle name="Normal 2 2 4 23 2 3 2" xfId="10152" xr:uid="{9191B4D3-043C-43F8-83B4-4EC44FC01A7F}"/>
    <cellStyle name="Normal 2 2 4 23 2 4" xfId="10150" xr:uid="{7ECA5E6B-A9C5-407A-BC12-56628C3DB241}"/>
    <cellStyle name="Normal 2 2 4 23 3" xfId="1303" xr:uid="{71019902-2CA7-411E-9AC6-BD89F0265A73}"/>
    <cellStyle name="Normal 2 2 4 23 3 2" xfId="10153" xr:uid="{53495396-906C-440D-B8A9-EB90A46E6927}"/>
    <cellStyle name="Normal 2 2 4 23 4" xfId="1304" xr:uid="{7A32A54A-5F32-408F-9E1E-14B0FFA580B1}"/>
    <cellStyle name="Normal 2 2 4 23 4 2" xfId="10154" xr:uid="{B5CE8EDD-3E27-4948-B694-1D438EDDD467}"/>
    <cellStyle name="Normal 2 2 4 23 5" xfId="10149" xr:uid="{F4D84603-60CD-42A3-AFD2-114602755F93}"/>
    <cellStyle name="Normal 2 2 4 24" xfId="1305" xr:uid="{30DEAC1F-F741-4EA8-83BA-832DEE164B1F}"/>
    <cellStyle name="Normal 2 2 4 24 2" xfId="1306" xr:uid="{EBD38283-18D3-439E-98FD-06CFBF65E065}"/>
    <cellStyle name="Normal 2 2 4 24 2 2" xfId="1307" xr:uid="{C1D90B6F-7385-40B3-913C-249CC176894B}"/>
    <cellStyle name="Normal 2 2 4 24 2 2 2" xfId="10157" xr:uid="{A1AB4AFC-0504-46FF-B3D7-B0F0B0347ED4}"/>
    <cellStyle name="Normal 2 2 4 24 2 3" xfId="1308" xr:uid="{C673376F-D20A-4622-9719-C959AF56B389}"/>
    <cellStyle name="Normal 2 2 4 24 2 3 2" xfId="10158" xr:uid="{85A73500-F7D4-43A5-A520-FD80A96857AA}"/>
    <cellStyle name="Normal 2 2 4 24 2 4" xfId="10156" xr:uid="{A9A089FC-D2EC-41D9-88CF-30734C0712DF}"/>
    <cellStyle name="Normal 2 2 4 24 3" xfId="1309" xr:uid="{34BD6BA9-6111-4C17-BD00-81976D12B6DD}"/>
    <cellStyle name="Normal 2 2 4 24 3 2" xfId="10159" xr:uid="{D341EC63-CF6A-4A9D-A044-7DB9E9F1B2D0}"/>
    <cellStyle name="Normal 2 2 4 24 4" xfId="1310" xr:uid="{B8C34CF7-F22B-4EC7-BE4A-0B445BBBD7D8}"/>
    <cellStyle name="Normal 2 2 4 24 4 2" xfId="10160" xr:uid="{CF704B06-4F31-4214-9824-EDCDC8C895F9}"/>
    <cellStyle name="Normal 2 2 4 24 5" xfId="10155" xr:uid="{73849AB9-3A5B-461A-9506-EB713B33677E}"/>
    <cellStyle name="Normal 2 2 4 25" xfId="1311" xr:uid="{7CE6D232-B778-4D3E-958F-CFFE0A647C29}"/>
    <cellStyle name="Normal 2 2 4 25 2" xfId="1312" xr:uid="{8828368F-1155-4E06-B8BC-24CFE4AEC5DC}"/>
    <cellStyle name="Normal 2 2 4 25 2 2" xfId="1313" xr:uid="{25B74C31-FDA4-4B17-A3E5-204A7497CB8A}"/>
    <cellStyle name="Normal 2 2 4 25 2 2 2" xfId="10163" xr:uid="{5E9F7392-C5BE-4742-B29F-057DC1ECF18C}"/>
    <cellStyle name="Normal 2 2 4 25 2 3" xfId="1314" xr:uid="{E25A56E2-31C9-48BB-AC83-E163EAF4D8D9}"/>
    <cellStyle name="Normal 2 2 4 25 2 3 2" xfId="10164" xr:uid="{E60AE054-BC54-4259-AEBA-F84ACD5BFF7C}"/>
    <cellStyle name="Normal 2 2 4 25 2 4" xfId="10162" xr:uid="{FFD0C63D-7A96-43AB-89CE-1096BBC7AC7B}"/>
    <cellStyle name="Normal 2 2 4 25 3" xfId="1315" xr:uid="{9B28A8A4-6A10-41C6-8444-9B953C71CBB3}"/>
    <cellStyle name="Normal 2 2 4 25 3 2" xfId="10165" xr:uid="{F4E8B372-256C-4C6F-AFDE-7F95E98B3B8F}"/>
    <cellStyle name="Normal 2 2 4 25 4" xfId="1316" xr:uid="{B6A9CD71-1E26-4478-9465-C530A4916DA2}"/>
    <cellStyle name="Normal 2 2 4 25 4 2" xfId="10166" xr:uid="{1D2C403E-A7DD-416B-906D-D542E71D7AB3}"/>
    <cellStyle name="Normal 2 2 4 25 5" xfId="10161" xr:uid="{17C1512C-98F3-414C-896C-D3C7C793CB1C}"/>
    <cellStyle name="Normal 2 2 4 26" xfId="1317" xr:uid="{EB5458FD-7CD3-4BF6-84F3-5C64520BCC69}"/>
    <cellStyle name="Normal 2 2 4 26 2" xfId="1318" xr:uid="{9C495706-314B-4076-B9FA-A0AA47DC2E48}"/>
    <cellStyle name="Normal 2 2 4 26 2 2" xfId="1319" xr:uid="{26775DC2-8030-4CE4-A696-58C72E1B28EC}"/>
    <cellStyle name="Normal 2 2 4 26 2 2 2" xfId="10169" xr:uid="{71EB9F13-9F64-4E87-B219-911DAD0A82A2}"/>
    <cellStyle name="Normal 2 2 4 26 2 3" xfId="1320" xr:uid="{D0C5F93D-AA2B-43F5-BC7E-951FD301EFF8}"/>
    <cellStyle name="Normal 2 2 4 26 2 3 2" xfId="10170" xr:uid="{2C742520-8001-46EF-BAC5-33BF63CE95C5}"/>
    <cellStyle name="Normal 2 2 4 26 2 4" xfId="10168" xr:uid="{45BFE83C-2C83-440A-A19F-4AB27FF581C9}"/>
    <cellStyle name="Normal 2 2 4 26 3" xfId="1321" xr:uid="{79CD6BAC-647C-467B-B97D-691C6D674AF7}"/>
    <cellStyle name="Normal 2 2 4 26 3 2" xfId="10171" xr:uid="{FE4080C5-0EEA-4A63-AD91-FD2DEE5DF897}"/>
    <cellStyle name="Normal 2 2 4 26 4" xfId="1322" xr:uid="{4B7B2078-C92A-4B99-B7B2-191CB06C56B8}"/>
    <cellStyle name="Normal 2 2 4 26 4 2" xfId="10172" xr:uid="{69F4C94D-09DC-4E68-B449-BA94404451DD}"/>
    <cellStyle name="Normal 2 2 4 26 5" xfId="10167" xr:uid="{D754BE02-6AE5-4226-8C3B-8965A5A54F79}"/>
    <cellStyle name="Normal 2 2 4 27" xfId="1323" xr:uid="{1E52BE61-56D9-4650-BF62-05C32F6185F2}"/>
    <cellStyle name="Normal 2 2 4 27 2" xfId="1324" xr:uid="{B066DFAD-BD0C-4E86-8297-C919D7BBD21A}"/>
    <cellStyle name="Normal 2 2 4 27 2 2" xfId="1325" xr:uid="{5785D1D3-3079-41C2-95C6-4602A0803144}"/>
    <cellStyle name="Normal 2 2 4 27 2 2 2" xfId="10175" xr:uid="{BF1B2D13-27F7-446E-A758-FB9C5AD689B4}"/>
    <cellStyle name="Normal 2 2 4 27 2 3" xfId="1326" xr:uid="{176C0B6F-0462-4C1F-9B42-29B1D0C85580}"/>
    <cellStyle name="Normal 2 2 4 27 2 3 2" xfId="10176" xr:uid="{0B4DE644-1098-4144-9732-652A22757190}"/>
    <cellStyle name="Normal 2 2 4 27 2 4" xfId="10174" xr:uid="{FE36DFBF-5F74-4DF2-B0D3-505B1BA83591}"/>
    <cellStyle name="Normal 2 2 4 27 3" xfId="1327" xr:uid="{47D1B2ED-852D-472D-9CF3-92A34E38E338}"/>
    <cellStyle name="Normal 2 2 4 27 3 2" xfId="10177" xr:uid="{36BC0FC2-17C2-4D34-8467-0FBC67DEC188}"/>
    <cellStyle name="Normal 2 2 4 27 4" xfId="1328" xr:uid="{818E136E-EA8F-488C-B9C9-95703BF77319}"/>
    <cellStyle name="Normal 2 2 4 27 4 2" xfId="10178" xr:uid="{D8DD9997-EC9C-49E4-9F65-FAB73C46457A}"/>
    <cellStyle name="Normal 2 2 4 27 5" xfId="10173" xr:uid="{7AC15409-3CB9-49C5-9A96-451ECD51DB50}"/>
    <cellStyle name="Normal 2 2 4 28" xfId="1329" xr:uid="{0DA8BF79-4A12-410F-9A48-3A7C1FF1295B}"/>
    <cellStyle name="Normal 2 2 4 28 2" xfId="1330" xr:uid="{2E230051-29C5-4E09-B5E9-8063234F352E}"/>
    <cellStyle name="Normal 2 2 4 28 2 2" xfId="1331" xr:uid="{B09500AA-4F9A-4A2F-9E5D-292312986298}"/>
    <cellStyle name="Normal 2 2 4 28 2 2 2" xfId="10181" xr:uid="{A3F1935B-494D-4B92-B833-6DFA179A8E07}"/>
    <cellStyle name="Normal 2 2 4 28 2 3" xfId="1332" xr:uid="{2D286DEA-0C5A-4117-BF2D-90BAA88B873D}"/>
    <cellStyle name="Normal 2 2 4 28 2 3 2" xfId="10182" xr:uid="{2B26BDCC-9E59-4D20-BAA1-636ADF6B3B2D}"/>
    <cellStyle name="Normal 2 2 4 28 2 4" xfId="10180" xr:uid="{FD3C4191-0CFE-42C9-BE5C-EE42AC67C439}"/>
    <cellStyle name="Normal 2 2 4 28 3" xfId="1333" xr:uid="{F2D07011-7FDC-4352-86FC-94B32D3790F3}"/>
    <cellStyle name="Normal 2 2 4 28 3 2" xfId="10183" xr:uid="{23597386-86BF-48BC-A275-5957BA981247}"/>
    <cellStyle name="Normal 2 2 4 28 4" xfId="1334" xr:uid="{48A351C9-E0DC-4B14-B945-9C597BF99D4F}"/>
    <cellStyle name="Normal 2 2 4 28 4 2" xfId="10184" xr:uid="{7BEA4911-1B64-4D41-9448-BDF8EBB14AF1}"/>
    <cellStyle name="Normal 2 2 4 28 5" xfId="10179" xr:uid="{0A0B03F3-E0E8-45A9-8E52-36E3DD71B677}"/>
    <cellStyle name="Normal 2 2 4 29" xfId="1335" xr:uid="{E02DABAE-DCD8-4644-8749-4706D4DB028E}"/>
    <cellStyle name="Normal 2 2 4 29 2" xfId="1336" xr:uid="{C40C7FDE-C957-4E28-9115-0186C1B8A4A1}"/>
    <cellStyle name="Normal 2 2 4 29 2 2" xfId="1337" xr:uid="{0DB0F426-011B-40BC-AD5D-59463166B259}"/>
    <cellStyle name="Normal 2 2 4 29 2 2 2" xfId="10187" xr:uid="{AA06A6FB-0A2D-4E9B-8985-94C66C60AB2C}"/>
    <cellStyle name="Normal 2 2 4 29 2 3" xfId="1338" xr:uid="{D5D83DF9-B4B2-4235-95E7-EA633DCF2DA6}"/>
    <cellStyle name="Normal 2 2 4 29 2 3 2" xfId="10188" xr:uid="{FF2B3049-35A3-4408-9CEE-0494422CD301}"/>
    <cellStyle name="Normal 2 2 4 29 2 4" xfId="10186" xr:uid="{A629B958-7115-4DEB-A253-B07E71B9C211}"/>
    <cellStyle name="Normal 2 2 4 29 3" xfId="1339" xr:uid="{73E236F2-073F-4D0F-A8A6-C2E233F34C2D}"/>
    <cellStyle name="Normal 2 2 4 29 3 2" xfId="10189" xr:uid="{799C5CCB-C70A-46CA-BE50-4AE6DC7F6E46}"/>
    <cellStyle name="Normal 2 2 4 29 4" xfId="1340" xr:uid="{DC7B0C41-3A2B-451E-BC1E-B032301B75E2}"/>
    <cellStyle name="Normal 2 2 4 29 4 2" xfId="10190" xr:uid="{E7A81670-E96E-44E6-AB9C-F2D4C6F5DBCA}"/>
    <cellStyle name="Normal 2 2 4 29 5" xfId="10185" xr:uid="{9D1E0F45-5E0D-45E1-A1D6-F383437CE563}"/>
    <cellStyle name="Normal 2 2 4 3" xfId="1341" xr:uid="{EB5ABEE6-08D3-49A7-944D-EFFDBA824FAF}"/>
    <cellStyle name="Normal 2 2 4 3 2" xfId="1342" xr:uid="{9D7D64E2-3C3B-479E-9B6F-87533FD45126}"/>
    <cellStyle name="Normal 2 2 4 3 2 2" xfId="1343" xr:uid="{8DEA279C-976A-4093-84B5-3319569C0417}"/>
    <cellStyle name="Normal 2 2 4 3 2 2 2" xfId="10193" xr:uid="{6E8478B7-A44D-4480-A3F0-36422D6C75BD}"/>
    <cellStyle name="Normal 2 2 4 3 2 3" xfId="1344" xr:uid="{61091B6A-428A-4078-8BBB-6E0C02C4794B}"/>
    <cellStyle name="Normal 2 2 4 3 2 3 2" xfId="10194" xr:uid="{3CC1561C-161D-4F07-B354-93A83B52FA75}"/>
    <cellStyle name="Normal 2 2 4 3 2 4" xfId="10192" xr:uid="{5439E41C-702C-4FA2-B2D4-2259E5E2C69E}"/>
    <cellStyle name="Normal 2 2 4 3 3" xfId="1345" xr:uid="{3F8DE822-70BF-4B14-82B4-EEA5B0CE38A4}"/>
    <cellStyle name="Normal 2 2 4 3 3 2" xfId="10195" xr:uid="{F29F35C0-7EA6-4D75-B9DD-49BC95ED8DF3}"/>
    <cellStyle name="Normal 2 2 4 3 4" xfId="1346" xr:uid="{4B68F90E-8075-4040-AA22-7E0B6F24FA4F}"/>
    <cellStyle name="Normal 2 2 4 3 4 2" xfId="10196" xr:uid="{E2E2F84A-7F45-47C1-8A85-EBFB6A7CBD71}"/>
    <cellStyle name="Normal 2 2 4 3 5" xfId="10191" xr:uid="{691DCC4A-4282-43C8-9627-2519B22B6059}"/>
    <cellStyle name="Normal 2 2 4 30" xfId="1347" xr:uid="{27A45BBC-4D7B-4446-8B53-B2BEB8195BB7}"/>
    <cellStyle name="Normal 2 2 4 30 2" xfId="1348" xr:uid="{E2288AC1-A43A-4792-865F-4B217D2D3E29}"/>
    <cellStyle name="Normal 2 2 4 30 2 2" xfId="1349" xr:uid="{E7575720-454B-4FA0-A20E-55F965A5527A}"/>
    <cellStyle name="Normal 2 2 4 30 2 2 2" xfId="10199" xr:uid="{B9CAF935-1C95-4739-AC87-F48AC46E8C28}"/>
    <cellStyle name="Normal 2 2 4 30 2 3" xfId="1350" xr:uid="{0CC38BA1-772D-4087-B358-6C2EEAD02A40}"/>
    <cellStyle name="Normal 2 2 4 30 2 3 2" xfId="10200" xr:uid="{22591B1B-176B-4564-B3ED-EC64DD7F9862}"/>
    <cellStyle name="Normal 2 2 4 30 2 4" xfId="10198" xr:uid="{AF12CA5E-597E-4716-A447-A17A11BBEFEB}"/>
    <cellStyle name="Normal 2 2 4 30 3" xfId="1351" xr:uid="{C3E94036-B6E4-46E5-BCDA-67958EAB0FF5}"/>
    <cellStyle name="Normal 2 2 4 30 3 2" xfId="10201" xr:uid="{3D5608AB-123C-472A-A42F-EF10E2CDECCE}"/>
    <cellStyle name="Normal 2 2 4 30 4" xfId="1352" xr:uid="{81F85B00-3346-4FF2-8963-D78A772699A2}"/>
    <cellStyle name="Normal 2 2 4 30 4 2" xfId="10202" xr:uid="{F70488C7-D8C1-424A-BA8F-6832AD66D2A4}"/>
    <cellStyle name="Normal 2 2 4 30 5" xfId="10197" xr:uid="{3630D60C-2E0E-4CF2-AC8C-BEB65B56A6E5}"/>
    <cellStyle name="Normal 2 2 4 31" xfId="1353" xr:uid="{50DA772D-EB11-46F9-829C-43014BC97B14}"/>
    <cellStyle name="Normal 2 2 4 31 2" xfId="1354" xr:uid="{C69EBC07-A853-449B-9A22-2A1DE74BB72A}"/>
    <cellStyle name="Normal 2 2 4 31 2 2" xfId="1355" xr:uid="{63A260F7-8575-41C2-8C12-AE39D4B518B4}"/>
    <cellStyle name="Normal 2 2 4 31 2 2 2" xfId="10205" xr:uid="{0389C000-1704-4D34-89ED-88A781AB7F14}"/>
    <cellStyle name="Normal 2 2 4 31 2 3" xfId="1356" xr:uid="{8D54EB34-84C7-4214-AEB4-232FA2D058AB}"/>
    <cellStyle name="Normal 2 2 4 31 2 3 2" xfId="10206" xr:uid="{BAF182E6-5846-43CB-8E53-D547380A94AC}"/>
    <cellStyle name="Normal 2 2 4 31 2 4" xfId="10204" xr:uid="{EE305970-D119-4996-AC05-5528B0672FF1}"/>
    <cellStyle name="Normal 2 2 4 31 3" xfId="1357" xr:uid="{36904BE6-E89B-4AC5-A5C3-D81DCB8D83DA}"/>
    <cellStyle name="Normal 2 2 4 31 3 2" xfId="10207" xr:uid="{9DB49415-34AF-4672-A7D1-3A4D906671A0}"/>
    <cellStyle name="Normal 2 2 4 31 4" xfId="1358" xr:uid="{B49C7EC4-1850-4CF5-B1C5-98C0DAD22A87}"/>
    <cellStyle name="Normal 2 2 4 31 4 2" xfId="10208" xr:uid="{71D75064-B788-4CD0-827E-4D27D24FA020}"/>
    <cellStyle name="Normal 2 2 4 31 5" xfId="10203" xr:uid="{9DACBA35-F988-4FA1-B08E-0922EA0FA2D7}"/>
    <cellStyle name="Normal 2 2 4 32" xfId="1359" xr:uid="{C39C8B4F-E047-4B81-9459-386902837378}"/>
    <cellStyle name="Normal 2 2 4 32 2" xfId="1360" xr:uid="{7183BF6E-96B0-479B-9724-53A6A660A4F1}"/>
    <cellStyle name="Normal 2 2 4 32 2 2" xfId="1361" xr:uid="{DD6E094D-C108-428B-BF98-566DB0B33848}"/>
    <cellStyle name="Normal 2 2 4 32 2 2 2" xfId="10211" xr:uid="{A41FAEAC-3AD9-4CC6-8E24-6334264579D0}"/>
    <cellStyle name="Normal 2 2 4 32 2 3" xfId="1362" xr:uid="{49080D0B-A7C5-4A4C-8E33-7AB89AE8AC03}"/>
    <cellStyle name="Normal 2 2 4 32 2 3 2" xfId="10212" xr:uid="{9E4123DA-ECA5-4C36-BEFB-856FA09DBCDF}"/>
    <cellStyle name="Normal 2 2 4 32 2 4" xfId="10210" xr:uid="{9AC59E71-9809-4201-8169-5782A4FAA3E8}"/>
    <cellStyle name="Normal 2 2 4 32 3" xfId="1363" xr:uid="{9A61C641-7416-4039-A9EC-3C485C08F14F}"/>
    <cellStyle name="Normal 2 2 4 32 3 2" xfId="10213" xr:uid="{AF1D5242-B415-423F-9920-32A671BA40A8}"/>
    <cellStyle name="Normal 2 2 4 32 4" xfId="1364" xr:uid="{D4289EA1-8183-44EF-B8AF-F06D76652FA3}"/>
    <cellStyle name="Normal 2 2 4 32 4 2" xfId="10214" xr:uid="{7FBCF4D7-72F0-4837-8515-738ABEBE81E9}"/>
    <cellStyle name="Normal 2 2 4 32 5" xfId="10209" xr:uid="{DE8B971E-8311-4344-B802-CAFA8E7D9046}"/>
    <cellStyle name="Normal 2 2 4 33" xfId="1365" xr:uid="{67C529D5-B673-48BF-A8C7-58BB2484C431}"/>
    <cellStyle name="Normal 2 2 4 33 2" xfId="1366" xr:uid="{40289F53-52FD-4C86-8813-72217046BA42}"/>
    <cellStyle name="Normal 2 2 4 33 2 2" xfId="1367" xr:uid="{6B58F2F6-EA0F-4A71-9166-F974D19A98AF}"/>
    <cellStyle name="Normal 2 2 4 33 2 2 2" xfId="10217" xr:uid="{4A60C1DA-BCAE-4375-A22A-D3FC683B6D59}"/>
    <cellStyle name="Normal 2 2 4 33 2 3" xfId="1368" xr:uid="{CD4B6684-DC74-42B0-A7D5-E1944116445C}"/>
    <cellStyle name="Normal 2 2 4 33 2 3 2" xfId="10218" xr:uid="{64A16CC0-141D-412A-925E-A2AA2B521E5B}"/>
    <cellStyle name="Normal 2 2 4 33 2 4" xfId="10216" xr:uid="{9D4CBDF7-C51C-4E63-93EB-1103473BA4C1}"/>
    <cellStyle name="Normal 2 2 4 33 3" xfId="1369" xr:uid="{855D6434-6F97-48AD-A78E-BA4F0187582F}"/>
    <cellStyle name="Normal 2 2 4 33 3 2" xfId="10219" xr:uid="{FE1469A9-951E-40E7-B219-57AE982A242C}"/>
    <cellStyle name="Normal 2 2 4 33 4" xfId="1370" xr:uid="{7B0BDA1F-4E5A-4900-B43D-3493791B750D}"/>
    <cellStyle name="Normal 2 2 4 33 4 2" xfId="10220" xr:uid="{0329C405-04C0-4FE9-9AB8-3F5EAB1734A1}"/>
    <cellStyle name="Normal 2 2 4 33 5" xfId="10215" xr:uid="{D9D0F63B-DBDE-482D-8098-368E317D6224}"/>
    <cellStyle name="Normal 2 2 4 34" xfId="1371" xr:uid="{DCD879EC-8735-4215-90A6-577054B4D842}"/>
    <cellStyle name="Normal 2 2 4 34 2" xfId="1372" xr:uid="{D56A3D37-2296-4FCF-9741-72F2EAB2CC90}"/>
    <cellStyle name="Normal 2 2 4 34 2 2" xfId="1373" xr:uid="{B03392F0-B775-4113-9618-8009484F5290}"/>
    <cellStyle name="Normal 2 2 4 34 2 2 2" xfId="10223" xr:uid="{BD7617A6-CD69-4529-9063-B1B61F0DC15A}"/>
    <cellStyle name="Normal 2 2 4 34 2 3" xfId="1374" xr:uid="{8AADDC77-CFD8-4062-82F6-CCA8349A3BC3}"/>
    <cellStyle name="Normal 2 2 4 34 2 3 2" xfId="10224" xr:uid="{685E247B-F6E6-41A7-A324-0F98A4098D04}"/>
    <cellStyle name="Normal 2 2 4 34 2 4" xfId="10222" xr:uid="{B6C2B581-4013-4276-8E77-427501FFE5F4}"/>
    <cellStyle name="Normal 2 2 4 34 3" xfId="1375" xr:uid="{7F6DE414-305E-4E82-BC68-F809B17017B8}"/>
    <cellStyle name="Normal 2 2 4 34 3 2" xfId="10225" xr:uid="{B6C2CC97-8158-47CA-BD5A-61419360A047}"/>
    <cellStyle name="Normal 2 2 4 34 4" xfId="1376" xr:uid="{C2480283-C922-435B-B1E7-E1E62BDD796E}"/>
    <cellStyle name="Normal 2 2 4 34 4 2" xfId="10226" xr:uid="{512E2A63-5A24-4DF1-98AF-07CD079419BC}"/>
    <cellStyle name="Normal 2 2 4 34 5" xfId="10221" xr:uid="{289B5A0D-C65D-4B04-9351-BFD0EBAA8A88}"/>
    <cellStyle name="Normal 2 2 4 35" xfId="1377" xr:uid="{F7040E1F-B177-4165-8ED8-869D5E0FE272}"/>
    <cellStyle name="Normal 2 2 4 35 2" xfId="1378" xr:uid="{8E933300-06B1-4FD6-9C0B-7A20E5E5C7F5}"/>
    <cellStyle name="Normal 2 2 4 35 2 2" xfId="1379" xr:uid="{D1B3F608-614D-49AE-BF5F-F517D9A52D66}"/>
    <cellStyle name="Normal 2 2 4 35 2 2 2" xfId="10229" xr:uid="{2934EFE5-05C4-469E-AF0E-7B0FE8DB47D9}"/>
    <cellStyle name="Normal 2 2 4 35 2 3" xfId="1380" xr:uid="{68ECF016-7A28-4F92-A7AD-E87CACEEF2C5}"/>
    <cellStyle name="Normal 2 2 4 35 2 3 2" xfId="10230" xr:uid="{9FA0AB22-2EAF-4065-94F8-647F0BEC9BF7}"/>
    <cellStyle name="Normal 2 2 4 35 2 4" xfId="10228" xr:uid="{D35DB084-9686-4BF7-9FC4-2F0F071AA2C7}"/>
    <cellStyle name="Normal 2 2 4 35 3" xfId="1381" xr:uid="{266A680A-7152-4356-8A54-C408CADA56B9}"/>
    <cellStyle name="Normal 2 2 4 35 3 2" xfId="10231" xr:uid="{F5D644E1-089A-4C23-B42C-800CB0DBE969}"/>
    <cellStyle name="Normal 2 2 4 35 4" xfId="1382" xr:uid="{4F0F2297-D4A3-48F1-9168-EEA1EAFDBDF9}"/>
    <cellStyle name="Normal 2 2 4 35 4 2" xfId="10232" xr:uid="{BEDB02B9-AB78-496E-A94F-3A63F5E7C0D7}"/>
    <cellStyle name="Normal 2 2 4 35 5" xfId="10227" xr:uid="{A375ED92-0992-40A5-A7AE-66EE2D16D360}"/>
    <cellStyle name="Normal 2 2 4 36" xfId="1383" xr:uid="{4A8C28AE-3D69-40BF-9619-0752E8CE2601}"/>
    <cellStyle name="Normal 2 2 4 36 2" xfId="1384" xr:uid="{B46D5EFD-4B6B-443D-B4AC-3F1EF2E98589}"/>
    <cellStyle name="Normal 2 2 4 36 2 2" xfId="1385" xr:uid="{50F85C90-A254-4EB8-8A61-0A2AFED9F4C6}"/>
    <cellStyle name="Normal 2 2 4 36 2 2 2" xfId="10235" xr:uid="{673C5047-9480-4A05-9C85-B057234847DC}"/>
    <cellStyle name="Normal 2 2 4 36 2 3" xfId="1386" xr:uid="{8F8DF5D8-27B5-464C-BF37-262DE7D464D7}"/>
    <cellStyle name="Normal 2 2 4 36 2 3 2" xfId="10236" xr:uid="{0DBC109A-6B6E-4A6E-A5D9-062A3057394E}"/>
    <cellStyle name="Normal 2 2 4 36 2 4" xfId="10234" xr:uid="{38C2C107-8514-4BCC-A5D6-055B322B7EA0}"/>
    <cellStyle name="Normal 2 2 4 36 3" xfId="1387" xr:uid="{12731C2A-F2A0-45EE-A7D5-87E0D1201B5B}"/>
    <cellStyle name="Normal 2 2 4 36 3 2" xfId="10237" xr:uid="{0A38B0AC-0BD2-45E1-B671-060B791FEA19}"/>
    <cellStyle name="Normal 2 2 4 36 4" xfId="1388" xr:uid="{82AD58A5-1D4C-42DB-8E89-EDCC98400CAC}"/>
    <cellStyle name="Normal 2 2 4 36 4 2" xfId="10238" xr:uid="{D6277DE7-D8FB-4034-B44C-5429B7031F71}"/>
    <cellStyle name="Normal 2 2 4 36 5" xfId="10233" xr:uid="{7D9A71D8-E2F8-4B7D-A849-C31664D9AA26}"/>
    <cellStyle name="Normal 2 2 4 37" xfId="1389" xr:uid="{D5AB292C-E6A6-4EC5-B8CB-19C1571D6413}"/>
    <cellStyle name="Normal 2 2 4 37 2" xfId="1390" xr:uid="{724BAE27-2F62-4C9C-8A8E-5B0C5D768866}"/>
    <cellStyle name="Normal 2 2 4 37 2 2" xfId="1391" xr:uid="{144895A1-960B-4C70-801F-B044A5C7D1D1}"/>
    <cellStyle name="Normal 2 2 4 37 2 2 2" xfId="10241" xr:uid="{1D07FAAC-4F4C-477C-8465-C8C17A24DD6E}"/>
    <cellStyle name="Normal 2 2 4 37 2 3" xfId="1392" xr:uid="{C6EA89A1-A711-4273-8974-84EBBF37301F}"/>
    <cellStyle name="Normal 2 2 4 37 2 3 2" xfId="10242" xr:uid="{5B4D9FB9-53C2-424C-A2DE-0008CE4AC8DF}"/>
    <cellStyle name="Normal 2 2 4 37 2 4" xfId="10240" xr:uid="{6C7F2316-F314-436C-BB1E-3876267D3107}"/>
    <cellStyle name="Normal 2 2 4 37 3" xfId="1393" xr:uid="{23DF64BA-9D77-486C-9CCA-525A43F083AB}"/>
    <cellStyle name="Normal 2 2 4 37 3 2" xfId="10243" xr:uid="{DBDCED3B-5BED-4C5D-BD7F-03B0E9CD62B3}"/>
    <cellStyle name="Normal 2 2 4 37 4" xfId="1394" xr:uid="{4F4B90EF-2316-4895-A557-ED2C0B6B40A4}"/>
    <cellStyle name="Normal 2 2 4 37 4 2" xfId="10244" xr:uid="{0929B012-DE5C-426F-BA79-89810F5AAF26}"/>
    <cellStyle name="Normal 2 2 4 37 5" xfId="10239" xr:uid="{D258C8E0-56B7-4EE1-AF42-20D794894ECE}"/>
    <cellStyle name="Normal 2 2 4 38" xfId="1395" xr:uid="{FD0698FB-54A1-418F-81FC-1A187EEA98B5}"/>
    <cellStyle name="Normal 2 2 4 38 2" xfId="1396" xr:uid="{E7DD81FB-7465-4241-A505-3A8B88228EFF}"/>
    <cellStyle name="Normal 2 2 4 38 2 2" xfId="1397" xr:uid="{4095F79B-3414-4874-B856-56B33727AD27}"/>
    <cellStyle name="Normal 2 2 4 38 2 2 2" xfId="10247" xr:uid="{B93809D3-B6C2-4187-8AD4-C73B40DD422D}"/>
    <cellStyle name="Normal 2 2 4 38 2 3" xfId="1398" xr:uid="{AA1C1C4B-4868-42C0-9DBD-4160ED28CC35}"/>
    <cellStyle name="Normal 2 2 4 38 2 3 2" xfId="10248" xr:uid="{00236C87-160E-4D57-9993-7167352CE545}"/>
    <cellStyle name="Normal 2 2 4 38 2 4" xfId="10246" xr:uid="{2E004470-1DCA-41C1-9548-31E6A0429528}"/>
    <cellStyle name="Normal 2 2 4 38 3" xfId="1399" xr:uid="{CF446D4D-E82D-4D1B-89A6-1D7E28513263}"/>
    <cellStyle name="Normal 2 2 4 38 3 2" xfId="10249" xr:uid="{39F533F4-5B6C-44B0-8267-4837CC6BB359}"/>
    <cellStyle name="Normal 2 2 4 38 4" xfId="1400" xr:uid="{E967DA25-5827-49DE-900E-E5D57C3711FD}"/>
    <cellStyle name="Normal 2 2 4 38 4 2" xfId="10250" xr:uid="{786CC3E8-143D-4891-83C8-8D2D24C20CAE}"/>
    <cellStyle name="Normal 2 2 4 38 5" xfId="10245" xr:uid="{1D11FBD6-9411-4C2D-8AA1-5138375E4DDF}"/>
    <cellStyle name="Normal 2 2 4 39" xfId="1401" xr:uid="{D65FB741-A403-44F1-B76B-6FED18936930}"/>
    <cellStyle name="Normal 2 2 4 39 2" xfId="1402" xr:uid="{32AD3059-2C33-4F15-B3C5-8627EF8CF0E0}"/>
    <cellStyle name="Normal 2 2 4 39 2 2" xfId="1403" xr:uid="{05960EC9-704E-4B16-81F6-A7F4DDA18AA2}"/>
    <cellStyle name="Normal 2 2 4 39 2 2 2" xfId="10253" xr:uid="{8A4DF45D-8306-44C7-B800-7F33E1E26C74}"/>
    <cellStyle name="Normal 2 2 4 39 2 3" xfId="1404" xr:uid="{4FF70A4F-2CC6-43C9-AD24-2B1FB9DFC40E}"/>
    <cellStyle name="Normal 2 2 4 39 2 3 2" xfId="10254" xr:uid="{5C19EB56-8BD6-4B1D-9317-D973D87E0C40}"/>
    <cellStyle name="Normal 2 2 4 39 2 4" xfId="10252" xr:uid="{8FDF012F-87AB-4CE6-95F3-8E693947E8CB}"/>
    <cellStyle name="Normal 2 2 4 39 3" xfId="1405" xr:uid="{A894F4E7-38F2-442C-9345-0BF59C8FF715}"/>
    <cellStyle name="Normal 2 2 4 39 3 2" xfId="10255" xr:uid="{B91DD720-9A42-4189-8112-79418C3685B8}"/>
    <cellStyle name="Normal 2 2 4 39 4" xfId="1406" xr:uid="{69F209F4-54D6-466D-BD78-6BE6BCD37C27}"/>
    <cellStyle name="Normal 2 2 4 39 4 2" xfId="10256" xr:uid="{854260DD-B784-47F0-9ABD-F28C9647098F}"/>
    <cellStyle name="Normal 2 2 4 39 5" xfId="10251" xr:uid="{6C5CBEE2-07ED-4CB6-A2C2-8016D7963326}"/>
    <cellStyle name="Normal 2 2 4 4" xfId="1407" xr:uid="{42B7F35B-E833-4EF0-BAE3-045017D6EDCD}"/>
    <cellStyle name="Normal 2 2 4 4 2" xfId="1408" xr:uid="{E0E17DC0-619E-4DF9-B6A7-77E0C9D172C6}"/>
    <cellStyle name="Normal 2 2 4 4 2 2" xfId="1409" xr:uid="{EAAA3409-2B79-47F5-8D96-BBFFB97EE896}"/>
    <cellStyle name="Normal 2 2 4 4 2 2 2" xfId="10259" xr:uid="{3FCACE51-BB69-46E4-A0CB-7C9E815861F2}"/>
    <cellStyle name="Normal 2 2 4 4 2 3" xfId="1410" xr:uid="{5DCB1A6F-A0AF-4611-A1A0-6F45799D6014}"/>
    <cellStyle name="Normal 2 2 4 4 2 3 2" xfId="10260" xr:uid="{AE069467-53F6-40AA-AE19-191B094F9A16}"/>
    <cellStyle name="Normal 2 2 4 4 2 4" xfId="10258" xr:uid="{104870C1-43E2-48EF-883F-CE9639B53C2B}"/>
    <cellStyle name="Normal 2 2 4 4 3" xfId="1411" xr:uid="{802A731D-5728-4D62-B02F-7052695764E9}"/>
    <cellStyle name="Normal 2 2 4 4 3 2" xfId="10261" xr:uid="{131FA4E5-56CA-4D5C-9023-D85E072C9775}"/>
    <cellStyle name="Normal 2 2 4 4 4" xfId="1412" xr:uid="{4AA85656-7081-4224-8367-7A550DC2635A}"/>
    <cellStyle name="Normal 2 2 4 4 4 2" xfId="10262" xr:uid="{524704AE-21B0-43A0-97B7-83AC21B06FC3}"/>
    <cellStyle name="Normal 2 2 4 4 5" xfId="10257" xr:uid="{66D5FCF1-5A30-4356-9808-15AEC79B9D33}"/>
    <cellStyle name="Normal 2 2 4 40" xfId="1413" xr:uid="{F1B4059F-9469-4381-8A8A-9745739470FA}"/>
    <cellStyle name="Normal 2 2 4 40 2" xfId="1414" xr:uid="{A093FBC8-2993-4F5F-91DE-B92146DBC165}"/>
    <cellStyle name="Normal 2 2 4 40 2 2" xfId="1415" xr:uid="{2401D030-E583-41BE-8EFB-4F8749BC64DC}"/>
    <cellStyle name="Normal 2 2 4 40 2 2 2" xfId="10265" xr:uid="{745D7B8E-0078-49FE-A9D2-D80A60FF4DAB}"/>
    <cellStyle name="Normal 2 2 4 40 2 3" xfId="1416" xr:uid="{5DC0DC7B-8B10-4A0F-A6CA-BAF761FE849E}"/>
    <cellStyle name="Normal 2 2 4 40 2 3 2" xfId="10266" xr:uid="{7BEBCD66-3506-4463-A9B2-2F7FE01171A2}"/>
    <cellStyle name="Normal 2 2 4 40 2 4" xfId="10264" xr:uid="{6D8663AD-2C91-427D-A223-984C7EFE9970}"/>
    <cellStyle name="Normal 2 2 4 40 3" xfId="1417" xr:uid="{E3F2D01F-CD84-4C6F-B69B-45FF8CDED5F1}"/>
    <cellStyle name="Normal 2 2 4 40 3 2" xfId="10267" xr:uid="{1C43A07F-7AEC-49CB-A13C-EA45511728AA}"/>
    <cellStyle name="Normal 2 2 4 40 4" xfId="1418" xr:uid="{F470E06C-1AFE-4DE6-B57F-8DF6BF26BF47}"/>
    <cellStyle name="Normal 2 2 4 40 4 2" xfId="10268" xr:uid="{5A35C446-CE46-4D0F-85BE-5263C562D77A}"/>
    <cellStyle name="Normal 2 2 4 40 5" xfId="10263" xr:uid="{1B4AC75E-A048-4100-A522-615B553142E6}"/>
    <cellStyle name="Normal 2 2 4 41" xfId="1419" xr:uid="{8762AB5F-7338-438D-AEA9-6791F793B385}"/>
    <cellStyle name="Normal 2 2 4 41 2" xfId="1420" xr:uid="{A7AC8AE5-7A44-428B-9352-4E0B9BC72CD9}"/>
    <cellStyle name="Normal 2 2 4 41 2 2" xfId="1421" xr:uid="{10C5D890-FB9C-452D-B314-AD326A9E415D}"/>
    <cellStyle name="Normal 2 2 4 41 2 2 2" xfId="10271" xr:uid="{E8B2846B-EE80-484F-ABB1-A77FC4BA2A2D}"/>
    <cellStyle name="Normal 2 2 4 41 2 3" xfId="1422" xr:uid="{ABC3238C-BAD3-4C0E-AC85-4B4AE22844D6}"/>
    <cellStyle name="Normal 2 2 4 41 2 3 2" xfId="10272" xr:uid="{A89AA432-7F22-4649-94FB-7CC90E7791F0}"/>
    <cellStyle name="Normal 2 2 4 41 2 4" xfId="10270" xr:uid="{F8F5F7FE-C001-417D-8B32-87A1F793695B}"/>
    <cellStyle name="Normal 2 2 4 41 3" xfId="1423" xr:uid="{4FCEBA10-16EE-4FFC-8E76-1C319F8DFC18}"/>
    <cellStyle name="Normal 2 2 4 41 3 2" xfId="10273" xr:uid="{9220C4D0-E8AA-46A8-918D-B2E0171EE238}"/>
    <cellStyle name="Normal 2 2 4 41 4" xfId="1424" xr:uid="{1D2FA024-4B28-4C87-AC89-3BF1C89B886A}"/>
    <cellStyle name="Normal 2 2 4 41 4 2" xfId="10274" xr:uid="{C89BA62A-548B-43F9-B1F3-4A5D9FD93230}"/>
    <cellStyle name="Normal 2 2 4 41 5" xfId="10269" xr:uid="{CE41475D-1DFD-42ED-880B-CFCDF6711105}"/>
    <cellStyle name="Normal 2 2 4 42" xfId="1425" xr:uid="{FB463CD4-4DAF-4B32-94F7-94E43E75BE12}"/>
    <cellStyle name="Normal 2 2 4 42 2" xfId="1426" xr:uid="{D8FC1265-FC3B-4963-BB8A-D6E6D02A11BA}"/>
    <cellStyle name="Normal 2 2 4 42 2 2" xfId="1427" xr:uid="{F58D27A1-BCEF-403A-BC1C-A64249C69A7A}"/>
    <cellStyle name="Normal 2 2 4 42 2 2 2" xfId="10277" xr:uid="{DBA6DBA7-4937-4EBF-A0A3-5AE9E5B95C88}"/>
    <cellStyle name="Normal 2 2 4 42 2 3" xfId="1428" xr:uid="{F8B3F844-7C6E-469E-B1E9-14F84684FEB6}"/>
    <cellStyle name="Normal 2 2 4 42 2 3 2" xfId="10278" xr:uid="{76DF479A-2875-4F26-B9CA-C35A3D4E0DB8}"/>
    <cellStyle name="Normal 2 2 4 42 2 4" xfId="10276" xr:uid="{28AF1B1D-2C49-4B74-BBBC-15010CB1FAE3}"/>
    <cellStyle name="Normal 2 2 4 42 3" xfId="1429" xr:uid="{12574723-B663-41C9-A957-508054FBA64D}"/>
    <cellStyle name="Normal 2 2 4 42 3 2" xfId="10279" xr:uid="{8619CEED-5215-4316-82E8-3D67224BA184}"/>
    <cellStyle name="Normal 2 2 4 42 4" xfId="1430" xr:uid="{E76E2222-6EAE-4B8D-8456-DAA055CC5AB1}"/>
    <cellStyle name="Normal 2 2 4 42 4 2" xfId="10280" xr:uid="{E7A5EB46-5DC3-452E-961C-0DA077DC8841}"/>
    <cellStyle name="Normal 2 2 4 42 5" xfId="10275" xr:uid="{17E39476-C74E-4E05-AE11-058935ED7B7B}"/>
    <cellStyle name="Normal 2 2 4 43" xfId="1431" xr:uid="{66BAE80E-84A6-4BC5-B890-3EBDCDD229C3}"/>
    <cellStyle name="Normal 2 2 4 43 2" xfId="1432" xr:uid="{55095A04-CA03-4C7A-B8B9-136931CA342D}"/>
    <cellStyle name="Normal 2 2 4 43 2 2" xfId="1433" xr:uid="{0CC6B506-B1F3-4A18-844C-93D835F48DF5}"/>
    <cellStyle name="Normal 2 2 4 43 2 2 2" xfId="10283" xr:uid="{F87D458A-2AB7-4852-B805-8B6DF0915F0A}"/>
    <cellStyle name="Normal 2 2 4 43 2 3" xfId="1434" xr:uid="{7074A021-5053-4AA9-9AF1-A950B3B312BB}"/>
    <cellStyle name="Normal 2 2 4 43 2 3 2" xfId="10284" xr:uid="{0EE36675-667A-46FE-BF0C-4F0AEDE4737A}"/>
    <cellStyle name="Normal 2 2 4 43 2 4" xfId="10282" xr:uid="{41B31908-D429-4625-926D-3C86B8421B68}"/>
    <cellStyle name="Normal 2 2 4 43 3" xfId="1435" xr:uid="{BF98E79D-7822-4C10-9796-37861799283F}"/>
    <cellStyle name="Normal 2 2 4 43 3 2" xfId="10285" xr:uid="{A835AA44-6ADF-41C5-B6DC-E4CE488D20DD}"/>
    <cellStyle name="Normal 2 2 4 43 4" xfId="1436" xr:uid="{594A0511-5266-4E18-8409-ECD87329485B}"/>
    <cellStyle name="Normal 2 2 4 43 4 2" xfId="10286" xr:uid="{583CD690-E1E7-4406-8F97-4BBE452727DF}"/>
    <cellStyle name="Normal 2 2 4 43 5" xfId="10281" xr:uid="{E0427961-4155-4DF2-9EF0-250B610A42B1}"/>
    <cellStyle name="Normal 2 2 4 44" xfId="1437" xr:uid="{72ADF565-3B73-49B5-84D2-F74747C89E6B}"/>
    <cellStyle name="Normal 2 2 4 44 2" xfId="1438" xr:uid="{D0F7D981-4137-4AC9-B70C-6FBA30D7F281}"/>
    <cellStyle name="Normal 2 2 4 44 2 2" xfId="10288" xr:uid="{DF763D45-ABC7-4CD8-A9AB-71E065983914}"/>
    <cellStyle name="Normal 2 2 4 44 3" xfId="1439" xr:uid="{007E37F1-60D1-4BAF-ADB9-98277530E11A}"/>
    <cellStyle name="Normal 2 2 4 44 3 2" xfId="10289" xr:uid="{2FB851E7-197C-43B1-8D9B-6BE63D962AF2}"/>
    <cellStyle name="Normal 2 2 4 44 4" xfId="10287" xr:uid="{EBDB7806-0F58-45C4-AF64-D9C91AF356ED}"/>
    <cellStyle name="Normal 2 2 4 45" xfId="1440" xr:uid="{B9472DC4-B5EC-4286-89A6-A2F850E1A411}"/>
    <cellStyle name="Normal 2 2 4 45 2" xfId="10290" xr:uid="{2DDF23F8-0A06-4194-959E-58535FE8C7DF}"/>
    <cellStyle name="Normal 2 2 4 46" xfId="1441" xr:uid="{07E8EFA1-67DF-4B65-B66B-B68A9EF4D0B0}"/>
    <cellStyle name="Normal 2 2 4 46 2" xfId="10291" xr:uid="{C1B62A4B-3947-4214-B9D3-33440256DAFB}"/>
    <cellStyle name="Normal 2 2 4 47" xfId="1442" xr:uid="{3D19F346-B85B-4389-BA27-FB07914BF21B}"/>
    <cellStyle name="Normal 2 2 4 48" xfId="1443" xr:uid="{0549E97B-B6FE-45C8-B684-71402C0A22FF}"/>
    <cellStyle name="Normal 2 2 4 48 2" xfId="10292" xr:uid="{3130AF5D-31EA-45E8-926A-01C7B566A5C4}"/>
    <cellStyle name="Normal 2 2 4 49" xfId="1444" xr:uid="{DDC6A539-3F2F-4E44-8E78-874E90D1D6F0}"/>
    <cellStyle name="Normal 2 2 4 5" xfId="1445" xr:uid="{2982927D-346C-43A5-A8E4-317A12D5AE16}"/>
    <cellStyle name="Normal 2 2 4 5 2" xfId="1446" xr:uid="{0216AAD1-C19B-4DE4-9977-E50CB1D6BF9D}"/>
    <cellStyle name="Normal 2 2 4 5 2 2" xfId="1447" xr:uid="{8C58066E-6CAC-4B17-8CE5-D714621F38F9}"/>
    <cellStyle name="Normal 2 2 4 5 2 2 2" xfId="10295" xr:uid="{629170F6-65D6-4DE7-8E1B-2B7F5F5D7E15}"/>
    <cellStyle name="Normal 2 2 4 5 2 3" xfId="1448" xr:uid="{A5357CEE-B0F0-4933-81CA-CD95467BEF93}"/>
    <cellStyle name="Normal 2 2 4 5 2 3 2" xfId="10296" xr:uid="{F7B636FF-719E-4E6D-B0E8-E9337DCA6F09}"/>
    <cellStyle name="Normal 2 2 4 5 2 4" xfId="10294" xr:uid="{F50A4966-9FD2-4309-B0AE-94FCC7425F36}"/>
    <cellStyle name="Normal 2 2 4 5 3" xfId="1449" xr:uid="{B4FFE302-1014-473D-8B8D-85198ADA5D5D}"/>
    <cellStyle name="Normal 2 2 4 5 3 2" xfId="10297" xr:uid="{52AD240D-912B-4487-A3BE-A0EE827A2D39}"/>
    <cellStyle name="Normal 2 2 4 5 4" xfId="1450" xr:uid="{D7F855BA-ECE8-44C6-AAE4-A9B8F43D40C8}"/>
    <cellStyle name="Normal 2 2 4 5 4 2" xfId="10298" xr:uid="{2A20042E-4C63-4E2D-ACB0-0EF8CCA03647}"/>
    <cellStyle name="Normal 2 2 4 5 5" xfId="10293" xr:uid="{2BAB0A80-F28B-4C92-8419-4D9D8D511DC4}"/>
    <cellStyle name="Normal 2 2 4 50" xfId="10064" xr:uid="{79175ADB-D4B1-453A-B134-0064C23CE752}"/>
    <cellStyle name="Normal 2 2 4 6" xfId="1451" xr:uid="{0D2663B1-A0B1-489F-A603-98F18B6E6982}"/>
    <cellStyle name="Normal 2 2 4 6 2" xfId="1452" xr:uid="{71602E1A-2B37-4B41-BC9D-3A0566ADA060}"/>
    <cellStyle name="Normal 2 2 4 6 2 2" xfId="1453" xr:uid="{F9E38B11-0B72-4757-B687-A53BAC156FFE}"/>
    <cellStyle name="Normal 2 2 4 6 2 2 2" xfId="10301" xr:uid="{70ABBA0C-A5FA-47E5-A7B3-7FD8490AE3B0}"/>
    <cellStyle name="Normal 2 2 4 6 2 3" xfId="1454" xr:uid="{B61D3E21-813F-42FB-8755-1547C57EF50E}"/>
    <cellStyle name="Normal 2 2 4 6 2 3 2" xfId="10302" xr:uid="{AAB97085-5698-419C-BED9-108841A59CA8}"/>
    <cellStyle name="Normal 2 2 4 6 2 4" xfId="10300" xr:uid="{23B58886-72F6-439A-A3B2-C7B45A0AC313}"/>
    <cellStyle name="Normal 2 2 4 6 3" xfId="1455" xr:uid="{E724E3C5-E366-46ED-9F5B-3AA5D07430A2}"/>
    <cellStyle name="Normal 2 2 4 6 3 2" xfId="10303" xr:uid="{9C86615F-0D19-4709-AD77-FFA4F43ECD6B}"/>
    <cellStyle name="Normal 2 2 4 6 4" xfId="1456" xr:uid="{FB91B7DC-6FCC-43C5-97E7-E5A0EC50A113}"/>
    <cellStyle name="Normal 2 2 4 6 4 2" xfId="10304" xr:uid="{B1BAA04A-61E3-47BD-9965-BA598919B9CE}"/>
    <cellStyle name="Normal 2 2 4 6 5" xfId="10299" xr:uid="{53BFE7BD-DFFF-478A-B53B-DAB626B6C8BB}"/>
    <cellStyle name="Normal 2 2 4 7" xfId="1457" xr:uid="{EECD5566-4F4F-4569-8A5F-2DCBC2237218}"/>
    <cellStyle name="Normal 2 2 4 7 2" xfId="1458" xr:uid="{9505A79C-4F89-4819-9694-CCCDD9282DD4}"/>
    <cellStyle name="Normal 2 2 4 7 2 2" xfId="1459" xr:uid="{F2CB0DF1-8582-4208-8843-F6041EA21AA2}"/>
    <cellStyle name="Normal 2 2 4 7 2 2 2" xfId="10307" xr:uid="{02C10656-2216-4CB1-A75A-6885A52CCCC5}"/>
    <cellStyle name="Normal 2 2 4 7 2 3" xfId="1460" xr:uid="{338FCD0D-0F0D-406D-98EE-9AFE42A22226}"/>
    <cellStyle name="Normal 2 2 4 7 2 3 2" xfId="10308" xr:uid="{0AA75EF8-B72D-47D1-BB20-D23D162EB96E}"/>
    <cellStyle name="Normal 2 2 4 7 2 4" xfId="10306" xr:uid="{6E5970B2-D01B-411C-82FB-25FFD9245036}"/>
    <cellStyle name="Normal 2 2 4 7 3" xfId="1461" xr:uid="{163D1056-5D75-466B-98BF-295A13E677F8}"/>
    <cellStyle name="Normal 2 2 4 7 3 2" xfId="10309" xr:uid="{034A7953-77D7-4397-A82A-594B64FC767F}"/>
    <cellStyle name="Normal 2 2 4 7 4" xfId="1462" xr:uid="{F40FCAE4-6BC8-4C24-9CFE-4DA4BDA43C11}"/>
    <cellStyle name="Normal 2 2 4 7 4 2" xfId="10310" xr:uid="{5D6B3D13-9F98-4A34-A82E-9CBF5F3F5074}"/>
    <cellStyle name="Normal 2 2 4 7 5" xfId="10305" xr:uid="{3712BA1B-0BF7-4284-B015-2F3DC4513B42}"/>
    <cellStyle name="Normal 2 2 4 8" xfId="1463" xr:uid="{5ECB58D6-FAD0-4AE2-9E4D-77AB590EC6BA}"/>
    <cellStyle name="Normal 2 2 4 8 2" xfId="1464" xr:uid="{CD1B405F-21DD-47F0-A1E2-BD7FF7521935}"/>
    <cellStyle name="Normal 2 2 4 8 2 2" xfId="1465" xr:uid="{999351D0-A0B1-4B70-9358-5CFD029E1EC9}"/>
    <cellStyle name="Normal 2 2 4 8 2 2 2" xfId="10313" xr:uid="{EA3FE0B1-DFF8-4DF0-9A85-1A9A9198A6F4}"/>
    <cellStyle name="Normal 2 2 4 8 2 3" xfId="1466" xr:uid="{C1779FFC-B1C1-4122-B651-1DCA73188309}"/>
    <cellStyle name="Normal 2 2 4 8 2 3 2" xfId="10314" xr:uid="{09DC37DE-C056-4005-B7BB-0D90F0A2535A}"/>
    <cellStyle name="Normal 2 2 4 8 2 4" xfId="10312" xr:uid="{6661ABF2-689A-422D-A370-DC7ADF5614A6}"/>
    <cellStyle name="Normal 2 2 4 8 3" xfId="1467" xr:uid="{6C914CA3-0A97-4BBC-87AE-1186D5B8DC92}"/>
    <cellStyle name="Normal 2 2 4 8 3 2" xfId="10315" xr:uid="{AF0B8917-37C6-4D4F-9832-CA89113C30D7}"/>
    <cellStyle name="Normal 2 2 4 8 4" xfId="1468" xr:uid="{04F25752-2866-454F-AB7F-26BE1EC36451}"/>
    <cellStyle name="Normal 2 2 4 8 4 2" xfId="10316" xr:uid="{66D57D55-85F2-4733-9FC8-24F1E3FD3576}"/>
    <cellStyle name="Normal 2 2 4 8 5" xfId="10311" xr:uid="{B3954B68-FFF1-429B-8563-A6D1235FBC11}"/>
    <cellStyle name="Normal 2 2 4 9" xfId="1469" xr:uid="{59BE299F-7651-45D2-8CA3-6E3AEEF85D8E}"/>
    <cellStyle name="Normal 2 2 4 9 2" xfId="1470" xr:uid="{744CAE39-E1E6-4353-B091-6AE0F6BF299D}"/>
    <cellStyle name="Normal 2 2 4 9 2 2" xfId="1471" xr:uid="{544B4832-7D3F-41BA-974A-8869010A2A93}"/>
    <cellStyle name="Normal 2 2 4 9 2 2 2" xfId="10319" xr:uid="{12BA56CC-A180-48A3-92D7-BCBFF5A25C5C}"/>
    <cellStyle name="Normal 2 2 4 9 2 3" xfId="1472" xr:uid="{F1AFCDDA-4738-43F8-91BC-7BE9FDA5FC29}"/>
    <cellStyle name="Normal 2 2 4 9 2 3 2" xfId="10320" xr:uid="{1B0959CA-2699-4BCA-B9AB-D6E12B672675}"/>
    <cellStyle name="Normal 2 2 4 9 2 4" xfId="10318" xr:uid="{1B3F5B46-8D0C-4581-936B-15B417D47E22}"/>
    <cellStyle name="Normal 2 2 4 9 3" xfId="1473" xr:uid="{F715D816-5360-4151-9AEF-485EE163140A}"/>
    <cellStyle name="Normal 2 2 4 9 3 2" xfId="10321" xr:uid="{3ACF6F98-263C-414A-9436-5F6323A18672}"/>
    <cellStyle name="Normal 2 2 4 9 4" xfId="1474" xr:uid="{6B1F17F5-B302-4B82-A445-9E5270A56AE5}"/>
    <cellStyle name="Normal 2 2 4 9 4 2" xfId="10322" xr:uid="{EE91BE02-F4B5-43EA-AA3D-8199C2FCD161}"/>
    <cellStyle name="Normal 2 2 4 9 5" xfId="10317" xr:uid="{CC2BB798-1144-4BCC-A3FC-2C964F275F4B}"/>
    <cellStyle name="Normal 2 2 40" xfId="1475" xr:uid="{70FCBF36-286C-4748-95E8-A50CAF4F8F71}"/>
    <cellStyle name="Normal 2 2 40 2" xfId="1476" xr:uid="{99CB288D-F924-493D-9FCE-133BB9EDB37D}"/>
    <cellStyle name="Normal 2 2 40 2 2" xfId="1477" xr:uid="{2814C17E-D527-479F-AD98-87A043768294}"/>
    <cellStyle name="Normal 2 2 40 2 2 2" xfId="10325" xr:uid="{13097654-97F2-47BD-BA17-8C4D21D52905}"/>
    <cellStyle name="Normal 2 2 40 2 3" xfId="1478" xr:uid="{918229D5-6FB7-4395-A77A-15335CA4B1A4}"/>
    <cellStyle name="Normal 2 2 40 2 3 2" xfId="10326" xr:uid="{BBC2045C-DB91-44AC-930C-347D7CB2C07E}"/>
    <cellStyle name="Normal 2 2 40 2 4" xfId="10324" xr:uid="{0599D53E-5E12-4518-993C-BF502C57AABA}"/>
    <cellStyle name="Normal 2 2 40 3" xfId="1479" xr:uid="{AE2CDDA7-1DAD-4F05-8101-0A1BDE530C08}"/>
    <cellStyle name="Normal 2 2 40 3 2" xfId="10327" xr:uid="{5905285C-BF7F-4A23-B2B5-A890DB802C0E}"/>
    <cellStyle name="Normal 2 2 40 4" xfId="1480" xr:uid="{36F108A5-4DFE-4001-A462-509870B4BC40}"/>
    <cellStyle name="Normal 2 2 40 4 2" xfId="10328" xr:uid="{6E8B81D7-6AC4-4764-87EA-DA193448107D}"/>
    <cellStyle name="Normal 2 2 40 5" xfId="10323" xr:uid="{D31EF0CF-C2BB-4D37-A97E-AA6E0993EFD4}"/>
    <cellStyle name="Normal 2 2 41" xfId="1481" xr:uid="{95451493-E944-4FB4-9344-69CB132DFA77}"/>
    <cellStyle name="Normal 2 2 41 2" xfId="1482" xr:uid="{E6EB31D8-5546-4E13-9F4F-4960FFBE0B14}"/>
    <cellStyle name="Normal 2 2 41 2 2" xfId="1483" xr:uid="{F7AE1C26-BEB8-44AF-A285-932C8130CB92}"/>
    <cellStyle name="Normal 2 2 41 2 2 2" xfId="10331" xr:uid="{EB565430-9293-4FB8-9080-14E507A5B770}"/>
    <cellStyle name="Normal 2 2 41 2 3" xfId="1484" xr:uid="{EB5E0C30-D472-476C-86F4-D87963F43340}"/>
    <cellStyle name="Normal 2 2 41 2 3 2" xfId="10332" xr:uid="{F561441E-C364-41BA-B6C8-AC112B6DE17C}"/>
    <cellStyle name="Normal 2 2 41 2 4" xfId="10330" xr:uid="{C69D176F-A7F0-45AB-8A12-3C0037688AF6}"/>
    <cellStyle name="Normal 2 2 41 3" xfId="1485" xr:uid="{18B8BE96-D116-489F-A75C-54A27DBD3C73}"/>
    <cellStyle name="Normal 2 2 41 3 2" xfId="10333" xr:uid="{DDBC4BBB-DE46-445E-B721-C68564F7FDA8}"/>
    <cellStyle name="Normal 2 2 41 4" xfId="1486" xr:uid="{63A04ED5-15F2-42C6-A3AC-5DE99D298D31}"/>
    <cellStyle name="Normal 2 2 41 4 2" xfId="10334" xr:uid="{AB07C542-6412-46B1-B7E7-4300910696F9}"/>
    <cellStyle name="Normal 2 2 41 5" xfId="10329" xr:uid="{E1B78B1B-5580-4EDD-8BEC-B08DD723DDDF}"/>
    <cellStyle name="Normal 2 2 42" xfId="1487" xr:uid="{6CF993AF-F230-466A-B50A-216CB360A4B5}"/>
    <cellStyle name="Normal 2 2 42 2" xfId="1488" xr:uid="{613C83B5-9B97-4BB2-B288-32C07F781218}"/>
    <cellStyle name="Normal 2 2 42 2 2" xfId="1489" xr:uid="{343B1FA9-015E-4E09-BA74-1EE3F1E8C571}"/>
    <cellStyle name="Normal 2 2 42 2 2 2" xfId="10337" xr:uid="{DBF2D221-E5B7-4D42-94D0-A893119F9DB4}"/>
    <cellStyle name="Normal 2 2 42 2 3" xfId="1490" xr:uid="{CCB02925-D46B-42DF-A97A-208263A5649F}"/>
    <cellStyle name="Normal 2 2 42 2 3 2" xfId="10338" xr:uid="{6C5138EE-99CC-46A6-9036-3D61C0291D8C}"/>
    <cellStyle name="Normal 2 2 42 2 4" xfId="10336" xr:uid="{C1FDA0BA-F27D-41B6-BB50-B5AFC838DC85}"/>
    <cellStyle name="Normal 2 2 42 3" xfId="1491" xr:uid="{7DB6C0C9-7E6C-477C-8220-304B12BFCC16}"/>
    <cellStyle name="Normal 2 2 42 3 2" xfId="10339" xr:uid="{C1943AFF-2D11-4759-A047-CF6F80B73780}"/>
    <cellStyle name="Normal 2 2 42 4" xfId="1492" xr:uid="{9F2AF95A-0952-4BF5-8E05-8BECE0415C6E}"/>
    <cellStyle name="Normal 2 2 42 4 2" xfId="10340" xr:uid="{21BFBEAD-8D9E-490C-9A8E-E51785E02499}"/>
    <cellStyle name="Normal 2 2 42 5" xfId="10335" xr:uid="{951CE11E-68B2-40CC-B235-77DFED7B5CDE}"/>
    <cellStyle name="Normal 2 2 43" xfId="1493" xr:uid="{A01E438F-54C1-460F-A470-147976F7046C}"/>
    <cellStyle name="Normal 2 2 43 2" xfId="1494" xr:uid="{4EE0C37B-D157-46D4-B7F2-7F7F5F99AF30}"/>
    <cellStyle name="Normal 2 2 43 2 2" xfId="1495" xr:uid="{F227622B-FD57-4564-8DEC-E81A91244A3B}"/>
    <cellStyle name="Normal 2 2 43 2 2 2" xfId="10343" xr:uid="{59099E35-9380-4DAA-B029-AC2FE88AD128}"/>
    <cellStyle name="Normal 2 2 43 2 3" xfId="1496" xr:uid="{CCA2B432-47B1-4E2E-8E7F-A0BD3CCD1151}"/>
    <cellStyle name="Normal 2 2 43 2 3 2" xfId="10344" xr:uid="{B156F964-BB46-4E36-9A84-6657C4AC61A6}"/>
    <cellStyle name="Normal 2 2 43 2 4" xfId="10342" xr:uid="{15562A2C-4513-4BE6-AC6D-D2CE3C4433A5}"/>
    <cellStyle name="Normal 2 2 43 3" xfId="1497" xr:uid="{FA72EEEA-6A4C-4F0F-A665-3699B8A355B6}"/>
    <cellStyle name="Normal 2 2 43 3 2" xfId="10345" xr:uid="{CED25C00-7778-4829-9925-6EC311DB5128}"/>
    <cellStyle name="Normal 2 2 43 4" xfId="1498" xr:uid="{B872BA02-B4A2-4DFC-9E6F-D48728B17736}"/>
    <cellStyle name="Normal 2 2 43 4 2" xfId="10346" xr:uid="{2F19D926-1019-499B-9C97-7489A17B7E24}"/>
    <cellStyle name="Normal 2 2 43 5" xfId="10341" xr:uid="{EA706A10-27E7-45E3-B355-40DF7EA2D5FD}"/>
    <cellStyle name="Normal 2 2 44" xfId="1499" xr:uid="{A0ECE95D-A820-49A1-B528-7FB266C432B6}"/>
    <cellStyle name="Normal 2 2 44 2" xfId="1500" xr:uid="{3D6C51D0-D0D1-4059-A2C6-846BB67F06BE}"/>
    <cellStyle name="Normal 2 2 44 2 2" xfId="1501" xr:uid="{6FADE721-1040-470B-8619-8BCD240F3C8B}"/>
    <cellStyle name="Normal 2 2 44 2 2 2" xfId="10349" xr:uid="{082DDF40-8B22-409F-858A-CA6A12DBA67A}"/>
    <cellStyle name="Normal 2 2 44 2 3" xfId="1502" xr:uid="{13DAFC88-A721-453F-A2AA-B2BE00827532}"/>
    <cellStyle name="Normal 2 2 44 2 3 2" xfId="10350" xr:uid="{DE1B8484-02AE-4004-BB7E-B183D1CFABE9}"/>
    <cellStyle name="Normal 2 2 44 2 4" xfId="10348" xr:uid="{D62CEA83-A8BA-45E7-8799-D072C6F80A98}"/>
    <cellStyle name="Normal 2 2 44 3" xfId="1503" xr:uid="{58E1063F-7A91-4B38-868C-04330516F180}"/>
    <cellStyle name="Normal 2 2 44 3 2" xfId="10351" xr:uid="{410D8BBE-6331-4B92-BCF5-E412582C6130}"/>
    <cellStyle name="Normal 2 2 44 4" xfId="1504" xr:uid="{A86B4836-81F0-46BD-ACD7-528C017924A8}"/>
    <cellStyle name="Normal 2 2 44 4 2" xfId="10352" xr:uid="{B4BD263F-C70F-4BDA-B184-137F97880F02}"/>
    <cellStyle name="Normal 2 2 44 5" xfId="10347" xr:uid="{E7EA046F-68C9-4260-AD1B-55F840305DF0}"/>
    <cellStyle name="Normal 2 2 45" xfId="1505" xr:uid="{E467A042-3E8B-4E4D-9021-2B6093074630}"/>
    <cellStyle name="Normal 2 2 45 2" xfId="1506" xr:uid="{13500E1C-2FE1-460D-9E9F-4CAAFD4C5C62}"/>
    <cellStyle name="Normal 2 2 45 2 2" xfId="1507" xr:uid="{49055931-FACC-46DC-AC38-AA4EA722A037}"/>
    <cellStyle name="Normal 2 2 45 2 2 2" xfId="10355" xr:uid="{BC3A1B75-57E6-467B-AECB-EC451061FB6D}"/>
    <cellStyle name="Normal 2 2 45 2 3" xfId="1508" xr:uid="{62B224E3-181A-4DDE-95A5-9F575F43F9D7}"/>
    <cellStyle name="Normal 2 2 45 2 3 2" xfId="10356" xr:uid="{3B00C272-13E0-4476-A43D-42212D9599FF}"/>
    <cellStyle name="Normal 2 2 45 2 4" xfId="10354" xr:uid="{2B5ADC0A-D8FF-4B02-9ED0-049E58EA2473}"/>
    <cellStyle name="Normal 2 2 45 3" xfId="1509" xr:uid="{A7DFDDA4-FEB2-4CC7-9BC8-63DB941C81B9}"/>
    <cellStyle name="Normal 2 2 45 3 2" xfId="10357" xr:uid="{6A9DAAAA-EAEE-4089-9124-933CF839A57E}"/>
    <cellStyle name="Normal 2 2 45 4" xfId="1510" xr:uid="{1C29D4BE-1D2D-4DE4-A1A7-990B10BEA6AD}"/>
    <cellStyle name="Normal 2 2 45 4 2" xfId="10358" xr:uid="{A5F5E80E-431A-4C6A-AFED-D745D2ECF4F8}"/>
    <cellStyle name="Normal 2 2 45 5" xfId="10353" xr:uid="{30D880DA-419C-4D31-A25E-92A4C921A26C}"/>
    <cellStyle name="Normal 2 2 46" xfId="1511" xr:uid="{89FE012B-7EBA-443A-B6D4-8A07710981D5}"/>
    <cellStyle name="Normal 2 2 46 2" xfId="1512" xr:uid="{4C894C14-2507-4513-A4AD-88031AAF7328}"/>
    <cellStyle name="Normal 2 2 46 2 2" xfId="1513" xr:uid="{D3110348-D963-4DEF-A435-19EAC3EF212C}"/>
    <cellStyle name="Normal 2 2 46 2 2 2" xfId="10361" xr:uid="{5026C575-0555-46AF-B7C0-24C2FC63A89D}"/>
    <cellStyle name="Normal 2 2 46 2 3" xfId="1514" xr:uid="{52864BA0-5D37-48E6-8D40-E8AD20D51CDD}"/>
    <cellStyle name="Normal 2 2 46 2 3 2" xfId="10362" xr:uid="{9D6AE170-9177-4C0F-8227-B074B852F9A7}"/>
    <cellStyle name="Normal 2 2 46 2 4" xfId="10360" xr:uid="{2D745892-CC81-48D5-B462-CAD963FA75B8}"/>
    <cellStyle name="Normal 2 2 46 3" xfId="1515" xr:uid="{8092D4E7-CAC7-481B-8F5B-9A4CCEC7E812}"/>
    <cellStyle name="Normal 2 2 46 3 2" xfId="10363" xr:uid="{75BE4926-E695-40E3-8503-62C990ACE7C5}"/>
    <cellStyle name="Normal 2 2 46 4" xfId="1516" xr:uid="{57661F64-0AB6-40B1-8619-9F588D105689}"/>
    <cellStyle name="Normal 2 2 46 4 2" xfId="10364" xr:uid="{4055B539-E5C6-4D46-8D87-6E64D74C95ED}"/>
    <cellStyle name="Normal 2 2 46 5" xfId="10359" xr:uid="{4115BDCB-E3A4-4B49-8F85-C4FF210F5EBC}"/>
    <cellStyle name="Normal 2 2 47" xfId="1517" xr:uid="{E787F594-B4B9-4966-80A7-869D4C235348}"/>
    <cellStyle name="Normal 2 2 47 2" xfId="1518" xr:uid="{00E249DD-C8A3-4C5C-A53D-BDF8BB3332FB}"/>
    <cellStyle name="Normal 2 2 47 2 2" xfId="1519" xr:uid="{2346A0A7-C099-4877-925D-29271627FCA8}"/>
    <cellStyle name="Normal 2 2 47 2 2 2" xfId="10367" xr:uid="{D21BDB32-DE2B-4A01-80A4-B9D9891FC63D}"/>
    <cellStyle name="Normal 2 2 47 2 3" xfId="1520" xr:uid="{A8F07CC5-7635-4B13-9CDD-3053BF2E2CCB}"/>
    <cellStyle name="Normal 2 2 47 2 3 2" xfId="10368" xr:uid="{D0B81257-ADEA-4FDA-9903-83B61CD71DEA}"/>
    <cellStyle name="Normal 2 2 47 2 4" xfId="10366" xr:uid="{5916268C-6947-4CCC-A900-D26197AEECBF}"/>
    <cellStyle name="Normal 2 2 47 3" xfId="1521" xr:uid="{5E324C1F-9F80-4597-8E0F-6D1E97EA7352}"/>
    <cellStyle name="Normal 2 2 47 3 2" xfId="10369" xr:uid="{D580F900-C28A-4CD1-8FC9-4BF4E9E99F51}"/>
    <cellStyle name="Normal 2 2 47 4" xfId="1522" xr:uid="{D1A77A11-740D-437D-9D62-89D43D60A2E8}"/>
    <cellStyle name="Normal 2 2 47 4 2" xfId="10370" xr:uid="{D6EFD0C5-6FF0-4A61-BBE8-5435AF84A834}"/>
    <cellStyle name="Normal 2 2 47 5" xfId="10365" xr:uid="{C769C73B-1BD2-4384-BBE7-3665B966DD0B}"/>
    <cellStyle name="Normal 2 2 48" xfId="1523" xr:uid="{C3D709CE-0D0A-49AD-8857-665FB019BD55}"/>
    <cellStyle name="Normal 2 2 48 2" xfId="1524" xr:uid="{D3B8C783-7874-4574-AC62-2CB1B5BCC878}"/>
    <cellStyle name="Normal 2 2 48 2 2" xfId="1525" xr:uid="{E530E3EC-EA00-472E-8D79-46AB79604786}"/>
    <cellStyle name="Normal 2 2 48 2 2 2" xfId="10373" xr:uid="{20C30FE0-977E-487D-976B-728E8FBC3091}"/>
    <cellStyle name="Normal 2 2 48 2 3" xfId="1526" xr:uid="{AC167CE0-A810-460D-B724-7B1180675C28}"/>
    <cellStyle name="Normal 2 2 48 2 3 2" xfId="10374" xr:uid="{50FE642C-6023-4228-85A8-2106C72AECCB}"/>
    <cellStyle name="Normal 2 2 48 2 4" xfId="10372" xr:uid="{15C0577F-310C-4F21-95A7-E765AD213EFE}"/>
    <cellStyle name="Normal 2 2 48 3" xfId="1527" xr:uid="{2EA30E62-2B4C-4E2F-A5BE-F3085FC67240}"/>
    <cellStyle name="Normal 2 2 48 3 2" xfId="10375" xr:uid="{2CBA91E7-60C9-438D-BEF5-6E6A594B33BA}"/>
    <cellStyle name="Normal 2 2 48 4" xfId="1528" xr:uid="{B2790A1C-42E6-4561-AF9E-122A4307F76C}"/>
    <cellStyle name="Normal 2 2 48 4 2" xfId="10376" xr:uid="{17BC3805-3C7D-44D2-965A-F3077DFB6842}"/>
    <cellStyle name="Normal 2 2 48 5" xfId="10371" xr:uid="{6C3825D3-65BF-493B-B222-5B035A15F669}"/>
    <cellStyle name="Normal 2 2 49" xfId="1529" xr:uid="{DC225E65-1418-4729-9866-33623EB45446}"/>
    <cellStyle name="Normal 2 2 49 2" xfId="1530" xr:uid="{B67EEE43-BA11-40C0-BA55-D395E5194BC9}"/>
    <cellStyle name="Normal 2 2 49 2 2" xfId="1531" xr:uid="{F4401BAF-59ED-4AA3-967D-334864177081}"/>
    <cellStyle name="Normal 2 2 49 2 2 2" xfId="10379" xr:uid="{70EA72F6-053E-4A6B-84F8-7EBF102603C1}"/>
    <cellStyle name="Normal 2 2 49 2 3" xfId="1532" xr:uid="{44D9C633-1DB5-4BD7-858C-BBA4DF64089F}"/>
    <cellStyle name="Normal 2 2 49 2 3 2" xfId="10380" xr:uid="{8C591DAE-2CE1-4B0A-9F63-B425BD6EEDCC}"/>
    <cellStyle name="Normal 2 2 49 2 4" xfId="10378" xr:uid="{2D228F34-0281-4C63-B781-7E2FE4A59BA9}"/>
    <cellStyle name="Normal 2 2 49 3" xfId="1533" xr:uid="{4D7355CA-040C-4866-9540-1243BC9738FA}"/>
    <cellStyle name="Normal 2 2 49 3 2" xfId="10381" xr:uid="{9D805310-A25E-4020-BBBA-321697E83E90}"/>
    <cellStyle name="Normal 2 2 49 4" xfId="1534" xr:uid="{1D70BB8B-D372-420F-A0EF-8531DB2D2703}"/>
    <cellStyle name="Normal 2 2 49 4 2" xfId="10382" xr:uid="{89DFD1B2-87A8-47D7-83AA-BF00843F74FC}"/>
    <cellStyle name="Normal 2 2 49 5" xfId="10377" xr:uid="{ECA71CA7-E94B-454C-ACBF-3A5C99545BDD}"/>
    <cellStyle name="Normal 2 2 5" xfId="1535" xr:uid="{4BB106B6-D4CE-4394-B293-A1D1531BAF27}"/>
    <cellStyle name="Normal 2 2 5 10" xfId="1536" xr:uid="{3BBD3C56-118A-4EA2-861D-01DF7AFC46AB}"/>
    <cellStyle name="Normal 2 2 5 10 2" xfId="1537" xr:uid="{BAE1A4EA-36C6-4CD0-9833-8CA265FEAD00}"/>
    <cellStyle name="Normal 2 2 5 10 2 2" xfId="1538" xr:uid="{66379A58-C9AA-4FD5-BC1B-ABAC4B07EB87}"/>
    <cellStyle name="Normal 2 2 5 10 2 2 2" xfId="10386" xr:uid="{8614F4AA-51D5-4E5B-ACE0-CE4FD22A974C}"/>
    <cellStyle name="Normal 2 2 5 10 2 3" xfId="1539" xr:uid="{7850085B-2188-438A-8734-BD512901EAF6}"/>
    <cellStyle name="Normal 2 2 5 10 2 3 2" xfId="10387" xr:uid="{CC20B941-676C-4851-BF06-7E1B23EBC78A}"/>
    <cellStyle name="Normal 2 2 5 10 2 4" xfId="10385" xr:uid="{821527D9-A7B2-482E-AF87-AFA8007455C1}"/>
    <cellStyle name="Normal 2 2 5 10 3" xfId="1540" xr:uid="{2CC88DBD-A111-4880-A3A8-3BC288667C55}"/>
    <cellStyle name="Normal 2 2 5 10 3 2" xfId="10388" xr:uid="{E7EEB3EF-E386-42BD-9DCC-CE349FBF6A42}"/>
    <cellStyle name="Normal 2 2 5 10 4" xfId="1541" xr:uid="{31F005AC-AD7E-4F9E-9451-948B79518B38}"/>
    <cellStyle name="Normal 2 2 5 10 4 2" xfId="10389" xr:uid="{22C2B1E7-EB56-4E7E-9D12-81B9B63A522F}"/>
    <cellStyle name="Normal 2 2 5 10 5" xfId="10384" xr:uid="{F2C6142B-20FA-4630-AFA6-B3D2221EE39A}"/>
    <cellStyle name="Normal 2 2 5 11" xfId="1542" xr:uid="{AA71ABBE-BD55-4756-88A6-E7FF2F08B9E3}"/>
    <cellStyle name="Normal 2 2 5 11 2" xfId="1543" xr:uid="{0E2EEF8E-27DC-41DB-9A45-A402FB9371BD}"/>
    <cellStyle name="Normal 2 2 5 11 2 2" xfId="1544" xr:uid="{7D096F0A-5BB8-4B69-9082-B332392316F4}"/>
    <cellStyle name="Normal 2 2 5 11 2 2 2" xfId="10392" xr:uid="{814C89DD-8596-4A07-B84C-DD114686A67E}"/>
    <cellStyle name="Normal 2 2 5 11 2 3" xfId="1545" xr:uid="{97ADE20A-76ED-4E89-A6EA-CAB0AB3394B2}"/>
    <cellStyle name="Normal 2 2 5 11 2 3 2" xfId="10393" xr:uid="{676295A0-96FC-4DF0-87D9-C2F8E21B4403}"/>
    <cellStyle name="Normal 2 2 5 11 2 4" xfId="10391" xr:uid="{ABF630D2-42F3-42C5-B801-43B363B91A72}"/>
    <cellStyle name="Normal 2 2 5 11 3" xfId="1546" xr:uid="{7DB5B337-FE06-4CE9-B5CC-4689B63A5442}"/>
    <cellStyle name="Normal 2 2 5 11 3 2" xfId="10394" xr:uid="{54041322-F591-4AFA-9939-F0A445D9228B}"/>
    <cellStyle name="Normal 2 2 5 11 4" xfId="1547" xr:uid="{8770CEB5-A02C-4D39-A0FE-334DDA420F04}"/>
    <cellStyle name="Normal 2 2 5 11 4 2" xfId="10395" xr:uid="{9C891B1C-C913-43C3-877A-628E53F7DA4A}"/>
    <cellStyle name="Normal 2 2 5 11 5" xfId="10390" xr:uid="{236C2DDE-3578-43D3-B92D-CE3188DC1CF6}"/>
    <cellStyle name="Normal 2 2 5 12" xfId="1548" xr:uid="{A159EFA5-9FDC-44D9-BCD9-4D7E5A6495E5}"/>
    <cellStyle name="Normal 2 2 5 12 2" xfId="1549" xr:uid="{F3C1543E-34F4-4CDC-B9A5-04AC4F9DD0C1}"/>
    <cellStyle name="Normal 2 2 5 12 2 2" xfId="1550" xr:uid="{F4C8AFEE-EE3F-45AE-B7EB-37CDD9FFAFBF}"/>
    <cellStyle name="Normal 2 2 5 12 2 2 2" xfId="10398" xr:uid="{5B1AE32E-2B6D-4B82-B93C-3D933E36EFEC}"/>
    <cellStyle name="Normal 2 2 5 12 2 3" xfId="1551" xr:uid="{6558B55D-AF9C-4535-97DA-4E6F36479710}"/>
    <cellStyle name="Normal 2 2 5 12 2 3 2" xfId="10399" xr:uid="{583D52CD-7C11-4118-AFAD-AC89D0E6950B}"/>
    <cellStyle name="Normal 2 2 5 12 2 4" xfId="10397" xr:uid="{C8AD1A47-CFEF-4FA0-8124-608D832E3E49}"/>
    <cellStyle name="Normal 2 2 5 12 3" xfId="1552" xr:uid="{F516DEBF-27EC-4976-A9C7-AD1797509B8F}"/>
    <cellStyle name="Normal 2 2 5 12 3 2" xfId="10400" xr:uid="{48B82219-E7EC-4BCA-BCC6-B7309B1002A0}"/>
    <cellStyle name="Normal 2 2 5 12 4" xfId="1553" xr:uid="{F2AE6515-4FE3-4B14-BB76-9AD0C66A596D}"/>
    <cellStyle name="Normal 2 2 5 12 4 2" xfId="10401" xr:uid="{ACEADC21-6420-4256-95A0-7A29C4548890}"/>
    <cellStyle name="Normal 2 2 5 12 5" xfId="10396" xr:uid="{ED54DFC9-C5BF-48E4-93FA-83DBC1560DDE}"/>
    <cellStyle name="Normal 2 2 5 13" xfId="1554" xr:uid="{5DE206EE-DFCD-4A22-95F8-6A414FFD3D53}"/>
    <cellStyle name="Normal 2 2 5 13 2" xfId="1555" xr:uid="{99DAFB4E-1196-442C-B01D-F7796044E355}"/>
    <cellStyle name="Normal 2 2 5 13 2 2" xfId="1556" xr:uid="{CFE8E113-868E-438B-BFC5-BB82B9B42BDE}"/>
    <cellStyle name="Normal 2 2 5 13 2 2 2" xfId="10404" xr:uid="{30C6BF9A-CAAA-425C-B358-F5D4AE2695C2}"/>
    <cellStyle name="Normal 2 2 5 13 2 3" xfId="1557" xr:uid="{DDECBEB6-97CC-4091-A722-314B774DC66F}"/>
    <cellStyle name="Normal 2 2 5 13 2 3 2" xfId="10405" xr:uid="{743EE26F-6668-4B61-92CA-14CCA093076C}"/>
    <cellStyle name="Normal 2 2 5 13 2 4" xfId="10403" xr:uid="{4B9A8335-A660-4EDA-BABB-56FBB05FB0E6}"/>
    <cellStyle name="Normal 2 2 5 13 3" xfId="1558" xr:uid="{BD52FF9C-7B64-4302-83A2-7D982081256F}"/>
    <cellStyle name="Normal 2 2 5 13 3 2" xfId="10406" xr:uid="{D3261CF4-ADD4-46E9-96E9-C386327F2449}"/>
    <cellStyle name="Normal 2 2 5 13 4" xfId="1559" xr:uid="{AAE34608-CA82-484E-BCB3-A6177E0920EA}"/>
    <cellStyle name="Normal 2 2 5 13 4 2" xfId="10407" xr:uid="{04450F80-AB62-4FEF-A321-FC57C5C0D58A}"/>
    <cellStyle name="Normal 2 2 5 13 5" xfId="10402" xr:uid="{528C8746-C2F3-48DF-BD83-B93F8CE27040}"/>
    <cellStyle name="Normal 2 2 5 14" xfId="1560" xr:uid="{4CEFDE4C-199B-40B4-984A-E06C4A626EEF}"/>
    <cellStyle name="Normal 2 2 5 14 2" xfId="1561" xr:uid="{AF889901-1FC7-470C-92F7-3EC38CD7B62D}"/>
    <cellStyle name="Normal 2 2 5 14 2 2" xfId="1562" xr:uid="{CCD6CBE0-EE21-4106-B3CC-7C7C21239B4B}"/>
    <cellStyle name="Normal 2 2 5 14 2 2 2" xfId="10410" xr:uid="{54493287-B6AB-4DC0-A09A-653D35F1C3DB}"/>
    <cellStyle name="Normal 2 2 5 14 2 3" xfId="1563" xr:uid="{747D8D46-3D5A-4D47-B86F-9E80D286E184}"/>
    <cellStyle name="Normal 2 2 5 14 2 3 2" xfId="10411" xr:uid="{F31C64B7-959E-448C-8616-B3AA47EEC21A}"/>
    <cellStyle name="Normal 2 2 5 14 2 4" xfId="10409" xr:uid="{3003CA9B-A02A-4651-AA2E-8180112AB4B9}"/>
    <cellStyle name="Normal 2 2 5 14 3" xfId="1564" xr:uid="{6BD0BCF7-5ABC-421F-B7D2-4D50E127D37D}"/>
    <cellStyle name="Normal 2 2 5 14 3 2" xfId="10412" xr:uid="{C5FA6FFD-4AF3-4F97-99A5-4ECFD5FDC05E}"/>
    <cellStyle name="Normal 2 2 5 14 4" xfId="1565" xr:uid="{C9F56723-BB01-4E9A-A31E-859AA7F34E12}"/>
    <cellStyle name="Normal 2 2 5 14 4 2" xfId="10413" xr:uid="{BFC74694-DD5F-4DBE-9028-3820D5BE2F39}"/>
    <cellStyle name="Normal 2 2 5 14 5" xfId="10408" xr:uid="{7F271087-E2F5-4AFF-BB8C-2381D5874522}"/>
    <cellStyle name="Normal 2 2 5 15" xfId="1566" xr:uid="{064BE580-AC42-4498-A09E-C534EFA03C87}"/>
    <cellStyle name="Normal 2 2 5 15 2" xfId="1567" xr:uid="{E0AFC9F4-9389-4B40-839D-661E5724A42B}"/>
    <cellStyle name="Normal 2 2 5 15 2 2" xfId="1568" xr:uid="{F6B476F8-9107-4D23-AD2F-0A22F19EEB84}"/>
    <cellStyle name="Normal 2 2 5 15 2 2 2" xfId="10416" xr:uid="{EE28D7A1-9FAE-4358-91D4-507881E4088B}"/>
    <cellStyle name="Normal 2 2 5 15 2 3" xfId="1569" xr:uid="{A60E3AE9-7104-42A7-9835-B31C68832156}"/>
    <cellStyle name="Normal 2 2 5 15 2 3 2" xfId="10417" xr:uid="{EC988E14-0DDF-4A33-8037-511D3800CAA7}"/>
    <cellStyle name="Normal 2 2 5 15 2 4" xfId="10415" xr:uid="{0517F7CA-1D70-4B64-8BCC-4F150CCCAA33}"/>
    <cellStyle name="Normal 2 2 5 15 3" xfId="1570" xr:uid="{E70F9D2B-2380-499A-ABC9-88D05B7F0A71}"/>
    <cellStyle name="Normal 2 2 5 15 3 2" xfId="10418" xr:uid="{BA607F61-7591-49DF-B706-31B46EEE29C5}"/>
    <cellStyle name="Normal 2 2 5 15 4" xfId="1571" xr:uid="{506DCF1D-A77E-4A14-816C-7AF925FF9A4B}"/>
    <cellStyle name="Normal 2 2 5 15 4 2" xfId="10419" xr:uid="{15BBA5D8-C0AA-4B74-8326-D3A6BF6B952F}"/>
    <cellStyle name="Normal 2 2 5 15 5" xfId="10414" xr:uid="{9E8EE937-17F2-4FCD-BD50-DE543A238AE6}"/>
    <cellStyle name="Normal 2 2 5 16" xfId="1572" xr:uid="{CD4ACAD1-1447-4A01-872B-CA39B166F238}"/>
    <cellStyle name="Normal 2 2 5 16 2" xfId="1573" xr:uid="{780AFF87-076E-4D6B-A660-D7A41EDBD46E}"/>
    <cellStyle name="Normal 2 2 5 16 2 2" xfId="1574" xr:uid="{9732F1E4-F67C-458D-9BE9-15EA7B35A0AE}"/>
    <cellStyle name="Normal 2 2 5 16 2 2 2" xfId="10422" xr:uid="{461DE6E2-EF77-4670-8190-4A0EB10CFF53}"/>
    <cellStyle name="Normal 2 2 5 16 2 3" xfId="1575" xr:uid="{D49536C8-A9E0-44AA-AF51-A8851B4C15AF}"/>
    <cellStyle name="Normal 2 2 5 16 2 3 2" xfId="10423" xr:uid="{B71BF38D-83C0-4405-A7CB-1FD15FF952AD}"/>
    <cellStyle name="Normal 2 2 5 16 2 4" xfId="10421" xr:uid="{6D8F8E61-33BC-4926-B97C-07345A4DDAAD}"/>
    <cellStyle name="Normal 2 2 5 16 3" xfId="1576" xr:uid="{B25730BC-5079-476A-A977-DA74F9FD3D35}"/>
    <cellStyle name="Normal 2 2 5 16 3 2" xfId="10424" xr:uid="{C035AB74-9C4D-40C3-B8D5-EBAA2B2AC655}"/>
    <cellStyle name="Normal 2 2 5 16 4" xfId="1577" xr:uid="{4520A66C-2BC6-4332-8DCF-15527B303E1E}"/>
    <cellStyle name="Normal 2 2 5 16 4 2" xfId="10425" xr:uid="{26D3FC64-0DD0-4E85-8FD1-0071B71DBBEB}"/>
    <cellStyle name="Normal 2 2 5 16 5" xfId="10420" xr:uid="{425C98B0-E5BE-4BF1-BF60-D9C66C63B6D2}"/>
    <cellStyle name="Normal 2 2 5 17" xfId="1578" xr:uid="{17DD5CD5-221A-48C5-8112-73190FBD5C75}"/>
    <cellStyle name="Normal 2 2 5 17 2" xfId="1579" xr:uid="{F57D80EB-082B-4E47-B2EA-C84C7F09179C}"/>
    <cellStyle name="Normal 2 2 5 17 2 2" xfId="1580" xr:uid="{08C40B1F-DAC6-487A-8F9C-33D27C63AD10}"/>
    <cellStyle name="Normal 2 2 5 17 2 2 2" xfId="10428" xr:uid="{7E6D615E-3754-48B7-9227-48D4B41A60A0}"/>
    <cellStyle name="Normal 2 2 5 17 2 3" xfId="1581" xr:uid="{2BADEEFF-8871-44A3-8C64-7D988D0FD1B5}"/>
    <cellStyle name="Normal 2 2 5 17 2 3 2" xfId="10429" xr:uid="{45DA0646-E67B-4E95-9EAA-0D597667B146}"/>
    <cellStyle name="Normal 2 2 5 17 2 4" xfId="10427" xr:uid="{81EF646E-6636-4D58-9EC8-1915F6B01D7A}"/>
    <cellStyle name="Normal 2 2 5 17 3" xfId="1582" xr:uid="{C0BF88E8-EE1D-47F7-8BB3-3265D0CFF3AC}"/>
    <cellStyle name="Normal 2 2 5 17 3 2" xfId="10430" xr:uid="{C98565E9-95A1-4325-9C5F-48C54B7D97C4}"/>
    <cellStyle name="Normal 2 2 5 17 4" xfId="1583" xr:uid="{BBB7AC25-AC69-433A-9B1E-553AB9A1FD9D}"/>
    <cellStyle name="Normal 2 2 5 17 4 2" xfId="10431" xr:uid="{D5CEB1C1-04A4-4076-90CD-960ED34FFA47}"/>
    <cellStyle name="Normal 2 2 5 17 5" xfId="10426" xr:uid="{70A53B4A-8049-48D4-82D9-E5E0BD86DC1C}"/>
    <cellStyle name="Normal 2 2 5 18" xfId="1584" xr:uid="{38ADF254-A31C-4E7D-B788-E677DDA076A4}"/>
    <cellStyle name="Normal 2 2 5 18 2" xfId="1585" xr:uid="{96B26244-1338-49E6-B4E3-759AAB860E9F}"/>
    <cellStyle name="Normal 2 2 5 18 2 2" xfId="1586" xr:uid="{6191C842-CA2C-44DD-B4E2-F5483DAEA172}"/>
    <cellStyle name="Normal 2 2 5 18 2 2 2" xfId="10434" xr:uid="{C1A472C7-564F-40CA-9310-3763587CDD60}"/>
    <cellStyle name="Normal 2 2 5 18 2 3" xfId="1587" xr:uid="{2BD9502C-43D5-457E-B15E-7F8421CEF16F}"/>
    <cellStyle name="Normal 2 2 5 18 2 3 2" xfId="10435" xr:uid="{BDEF1EFF-5753-48F3-819F-FF4DB64D79EB}"/>
    <cellStyle name="Normal 2 2 5 18 2 4" xfId="10433" xr:uid="{7C41D412-079D-4AD5-B6EF-F94FFBBC1F33}"/>
    <cellStyle name="Normal 2 2 5 18 3" xfId="1588" xr:uid="{FED5286C-8A6D-4896-94F8-7D318E0C7A25}"/>
    <cellStyle name="Normal 2 2 5 18 3 2" xfId="10436" xr:uid="{146128F2-321A-4816-BA47-DFC81F330604}"/>
    <cellStyle name="Normal 2 2 5 18 4" xfId="1589" xr:uid="{3AB3744C-276C-4460-B351-D20860C4F142}"/>
    <cellStyle name="Normal 2 2 5 18 4 2" xfId="10437" xr:uid="{4689AF6E-C6D9-493F-A3FE-DAFB55304982}"/>
    <cellStyle name="Normal 2 2 5 18 5" xfId="10432" xr:uid="{2BF924EE-3BFA-4EBB-B58D-6AA04236CECD}"/>
    <cellStyle name="Normal 2 2 5 19" xfId="1590" xr:uid="{48EB69FE-BFC6-425C-AD27-9D57C14C943F}"/>
    <cellStyle name="Normal 2 2 5 19 2" xfId="1591" xr:uid="{8A8DFC9E-D486-48F8-8E4C-96D359AFBB5A}"/>
    <cellStyle name="Normal 2 2 5 19 2 2" xfId="1592" xr:uid="{B352145C-2765-447D-A611-EED703A5DC19}"/>
    <cellStyle name="Normal 2 2 5 19 2 2 2" xfId="10440" xr:uid="{913B67C8-4D72-4957-8F37-3707162E4229}"/>
    <cellStyle name="Normal 2 2 5 19 2 3" xfId="1593" xr:uid="{8B69DE49-6DF1-4A7B-986E-31042D20D125}"/>
    <cellStyle name="Normal 2 2 5 19 2 3 2" xfId="10441" xr:uid="{6C734DC1-F1F0-4DC2-B9BF-DADA58A05204}"/>
    <cellStyle name="Normal 2 2 5 19 2 4" xfId="10439" xr:uid="{C7BD0F9C-E559-435B-ABFE-39D86B8591C9}"/>
    <cellStyle name="Normal 2 2 5 19 3" xfId="1594" xr:uid="{ED7C3E80-ECDA-4137-933D-109EF7D25277}"/>
    <cellStyle name="Normal 2 2 5 19 3 2" xfId="10442" xr:uid="{7FF536A8-E1BC-41DB-8831-FA52DB3338BE}"/>
    <cellStyle name="Normal 2 2 5 19 4" xfId="1595" xr:uid="{65A2CBDA-FEAC-4037-964A-DE18C07722DD}"/>
    <cellStyle name="Normal 2 2 5 19 4 2" xfId="10443" xr:uid="{AA06D62C-43AC-4807-8A11-BFCB8C8FBBD3}"/>
    <cellStyle name="Normal 2 2 5 19 5" xfId="10438" xr:uid="{499C2814-8DCD-42F5-B7FA-973E68D84FD0}"/>
    <cellStyle name="Normal 2 2 5 2" xfId="1596" xr:uid="{3C432BEC-8A74-46B1-BBA3-E1F1A0353D81}"/>
    <cellStyle name="Normal 2 2 5 2 2" xfId="1597" xr:uid="{66530E2D-6D09-461A-A059-F87781D7890F}"/>
    <cellStyle name="Normal 2 2 5 2 2 2" xfId="1598" xr:uid="{4E453161-0F20-4218-A0F6-9A77C13FE2CD}"/>
    <cellStyle name="Normal 2 2 5 2 2 2 2" xfId="10446" xr:uid="{4504D955-DD47-4A0A-968E-292C3AB14FBC}"/>
    <cellStyle name="Normal 2 2 5 2 2 3" xfId="1599" xr:uid="{177607F2-2CCD-4A83-86F3-07255BBD359A}"/>
    <cellStyle name="Normal 2 2 5 2 2 3 2" xfId="10447" xr:uid="{1D4EE8E9-549A-4F9F-91DD-97427BFF2420}"/>
    <cellStyle name="Normal 2 2 5 2 2 4" xfId="10445" xr:uid="{C8AE4B1D-BFCE-47BE-986A-040A81B7B958}"/>
    <cellStyle name="Normal 2 2 5 2 3" xfId="1600" xr:uid="{FD98E51A-9B39-445E-8BB5-FD0C779BE18B}"/>
    <cellStyle name="Normal 2 2 5 2 3 2" xfId="10448" xr:uid="{ABA04BEB-C620-4FCA-974E-D67E77BC06CA}"/>
    <cellStyle name="Normal 2 2 5 2 4" xfId="1601" xr:uid="{295ED8AA-AE06-46D1-B910-F9BAF7286768}"/>
    <cellStyle name="Normal 2 2 5 2 4 2" xfId="10449" xr:uid="{D6E3C4D2-71FF-4679-982D-24581C47F492}"/>
    <cellStyle name="Normal 2 2 5 2 5" xfId="10444" xr:uid="{C809E87F-86AF-482A-8D0C-CB713C641A45}"/>
    <cellStyle name="Normal 2 2 5 20" xfId="1602" xr:uid="{4F237316-40CD-4000-A230-7E652718E51F}"/>
    <cellStyle name="Normal 2 2 5 20 2" xfId="1603" xr:uid="{EFFF3889-909F-4BFE-994F-78CBE5E9B6B6}"/>
    <cellStyle name="Normal 2 2 5 20 2 2" xfId="1604" xr:uid="{B583E1F8-5502-4575-BC2A-4177DCFB631A}"/>
    <cellStyle name="Normal 2 2 5 20 2 2 2" xfId="10452" xr:uid="{35AF5CB7-1B03-4402-8FA0-B0DDA00F24A1}"/>
    <cellStyle name="Normal 2 2 5 20 2 3" xfId="1605" xr:uid="{B6F599AE-6C12-4575-B1DA-D98121E9907B}"/>
    <cellStyle name="Normal 2 2 5 20 2 3 2" xfId="10453" xr:uid="{7E867591-FC0C-417E-B76F-74E3D4F10863}"/>
    <cellStyle name="Normal 2 2 5 20 2 4" xfId="10451" xr:uid="{44BE6146-FA93-4130-8E1C-9FDE18E4E378}"/>
    <cellStyle name="Normal 2 2 5 20 3" xfId="1606" xr:uid="{0BD90E67-4E22-4EAE-A4CF-B1B6B2422344}"/>
    <cellStyle name="Normal 2 2 5 20 3 2" xfId="10454" xr:uid="{CAA5863A-5DB1-4EE9-8E00-43A6162917BD}"/>
    <cellStyle name="Normal 2 2 5 20 4" xfId="1607" xr:uid="{5569C67C-6642-49B8-B8D3-1F5C02B1DF4F}"/>
    <cellStyle name="Normal 2 2 5 20 4 2" xfId="10455" xr:uid="{0F523763-E4C5-4E30-95D3-8A68A1D5233C}"/>
    <cellStyle name="Normal 2 2 5 20 5" xfId="10450" xr:uid="{D3535454-2935-45DC-8EBC-12CC1153D728}"/>
    <cellStyle name="Normal 2 2 5 21" xfId="1608" xr:uid="{11E089E0-3B31-4F84-B62B-42C1CC5D85AF}"/>
    <cellStyle name="Normal 2 2 5 21 2" xfId="1609" xr:uid="{DDC8CA78-13AE-4FDF-A3EB-C5A0E2B9F691}"/>
    <cellStyle name="Normal 2 2 5 21 2 2" xfId="1610" xr:uid="{6DF1B316-4014-4395-BD18-1E2879ADD79B}"/>
    <cellStyle name="Normal 2 2 5 21 2 2 2" xfId="10458" xr:uid="{8BBC357B-2E92-49F2-BD67-998CB46FD105}"/>
    <cellStyle name="Normal 2 2 5 21 2 3" xfId="1611" xr:uid="{6C6DFF5F-D346-4147-8BF0-B029E4CB1307}"/>
    <cellStyle name="Normal 2 2 5 21 2 3 2" xfId="10459" xr:uid="{4029083E-9CC1-44FB-BAB4-2606D253D80A}"/>
    <cellStyle name="Normal 2 2 5 21 2 4" xfId="10457" xr:uid="{4054B439-E42F-47B3-AC39-9426BD716679}"/>
    <cellStyle name="Normal 2 2 5 21 3" xfId="1612" xr:uid="{557936F4-5522-40F0-B014-B642B5B481C5}"/>
    <cellStyle name="Normal 2 2 5 21 3 2" xfId="10460" xr:uid="{BD366993-5415-4EB2-8307-BE329C4A6CDB}"/>
    <cellStyle name="Normal 2 2 5 21 4" xfId="1613" xr:uid="{5D720CE3-5A05-47BD-AD5E-40A33FC1AD0A}"/>
    <cellStyle name="Normal 2 2 5 21 4 2" xfId="10461" xr:uid="{BBD83AEF-209E-4B74-8B85-D99FFC023629}"/>
    <cellStyle name="Normal 2 2 5 21 5" xfId="10456" xr:uid="{457FEAF6-8212-41ED-9D70-AAB58E515F01}"/>
    <cellStyle name="Normal 2 2 5 22" xfId="1614" xr:uid="{63BC2254-79BE-4E92-AD9A-4E938E15A4DC}"/>
    <cellStyle name="Normal 2 2 5 22 2" xfId="1615" xr:uid="{AF0CDFFD-571A-434F-9932-8A730C1BDF51}"/>
    <cellStyle name="Normal 2 2 5 22 2 2" xfId="1616" xr:uid="{D426D066-3679-4E61-84B0-4F5164046327}"/>
    <cellStyle name="Normal 2 2 5 22 2 2 2" xfId="10464" xr:uid="{1DA69F79-2FD9-459E-85D9-730772DD9CA7}"/>
    <cellStyle name="Normal 2 2 5 22 2 3" xfId="1617" xr:uid="{8287E327-B192-4BE2-A776-D028695F5C4A}"/>
    <cellStyle name="Normal 2 2 5 22 2 3 2" xfId="10465" xr:uid="{0FB57CB6-B3E4-46D9-BB4B-9D45F861BF0F}"/>
    <cellStyle name="Normal 2 2 5 22 2 4" xfId="10463" xr:uid="{67326C2C-E844-4E46-8B9C-A417395347F4}"/>
    <cellStyle name="Normal 2 2 5 22 3" xfId="1618" xr:uid="{F0020197-7D58-43FF-A90C-8621FD23C80D}"/>
    <cellStyle name="Normal 2 2 5 22 3 2" xfId="10466" xr:uid="{D1545DA7-4226-4742-835B-B44E2EE35E94}"/>
    <cellStyle name="Normal 2 2 5 22 4" xfId="1619" xr:uid="{E0425DC0-2A2E-4549-A79C-4302C7A12BCB}"/>
    <cellStyle name="Normal 2 2 5 22 4 2" xfId="10467" xr:uid="{FD4B0AFE-52B9-4C6C-8A66-38CAE8F2267C}"/>
    <cellStyle name="Normal 2 2 5 22 5" xfId="10462" xr:uid="{37FA0E8F-E669-4A6E-A80B-4A1A4B607035}"/>
    <cellStyle name="Normal 2 2 5 23" xfId="1620" xr:uid="{00787CB7-E81A-4E92-8C6F-FC63B5892829}"/>
    <cellStyle name="Normal 2 2 5 23 2" xfId="1621" xr:uid="{D36804A1-2386-41FF-940C-7D81A4B201F7}"/>
    <cellStyle name="Normal 2 2 5 23 2 2" xfId="1622" xr:uid="{9F2210CE-4107-40E6-9717-6ED0687EA883}"/>
    <cellStyle name="Normal 2 2 5 23 2 2 2" xfId="10470" xr:uid="{727F06B1-6AA4-4179-AB8B-3DB1B56CA3E8}"/>
    <cellStyle name="Normal 2 2 5 23 2 3" xfId="1623" xr:uid="{49EF1C2E-709E-4BD4-8B65-A5C6C2576642}"/>
    <cellStyle name="Normal 2 2 5 23 2 3 2" xfId="10471" xr:uid="{56DBA47B-8FBB-4F32-9D9B-1AA1DC332293}"/>
    <cellStyle name="Normal 2 2 5 23 2 4" xfId="10469" xr:uid="{25967D8E-F3F9-4A2F-9B2D-9F620D5F72A1}"/>
    <cellStyle name="Normal 2 2 5 23 3" xfId="1624" xr:uid="{FA43D0F1-AE6C-4144-B8E5-E7C1673D9F1E}"/>
    <cellStyle name="Normal 2 2 5 23 3 2" xfId="10472" xr:uid="{9C737CBC-616B-4877-9513-F58FE293B74C}"/>
    <cellStyle name="Normal 2 2 5 23 4" xfId="1625" xr:uid="{1D654140-539A-472C-A836-30BDF2CA9C71}"/>
    <cellStyle name="Normal 2 2 5 23 4 2" xfId="10473" xr:uid="{050211A9-6A97-4825-9135-FC949E3919DC}"/>
    <cellStyle name="Normal 2 2 5 23 5" xfId="10468" xr:uid="{5F5AFA3F-7707-4780-B684-0DE40E6BC084}"/>
    <cellStyle name="Normal 2 2 5 24" xfId="1626" xr:uid="{D0553979-A2ED-4937-9345-893895945EF2}"/>
    <cellStyle name="Normal 2 2 5 24 2" xfId="1627" xr:uid="{BA5DDE10-5DDA-491B-8CE3-2BAA1CE4B3AA}"/>
    <cellStyle name="Normal 2 2 5 24 2 2" xfId="1628" xr:uid="{7CFCF560-C0A5-4186-B083-2907C40F5438}"/>
    <cellStyle name="Normal 2 2 5 24 2 2 2" xfId="10476" xr:uid="{3731CA9C-FBD2-4644-9EE6-2ADAA25CD442}"/>
    <cellStyle name="Normal 2 2 5 24 2 3" xfId="1629" xr:uid="{278C925B-46D7-4FBF-AB9C-657286164C05}"/>
    <cellStyle name="Normal 2 2 5 24 2 3 2" xfId="10477" xr:uid="{B9BABCCB-C9B0-4756-B0E1-0C8526D83CC1}"/>
    <cellStyle name="Normal 2 2 5 24 2 4" xfId="10475" xr:uid="{829CC4F0-E6A7-4D68-BAEA-F280381BC03D}"/>
    <cellStyle name="Normal 2 2 5 24 3" xfId="1630" xr:uid="{897E334D-1CA5-4124-BC8E-0D75B77DA598}"/>
    <cellStyle name="Normal 2 2 5 24 3 2" xfId="10478" xr:uid="{38FBBD55-2DED-46AB-9914-67917D86EC78}"/>
    <cellStyle name="Normal 2 2 5 24 4" xfId="1631" xr:uid="{ADEC4CF7-4D4C-4052-BAD5-87D5917CA0ED}"/>
    <cellStyle name="Normal 2 2 5 24 4 2" xfId="10479" xr:uid="{DF5A1AD4-D263-42D6-9D57-D1B3DBD2D510}"/>
    <cellStyle name="Normal 2 2 5 24 5" xfId="10474" xr:uid="{8B94D1E3-1239-4EBE-BC60-250E7ABF4808}"/>
    <cellStyle name="Normal 2 2 5 25" xfId="1632" xr:uid="{A082380D-9D35-4C0E-B1DB-BAE40719DFAE}"/>
    <cellStyle name="Normal 2 2 5 25 2" xfId="1633" xr:uid="{FD19F8DB-4F4B-46C6-8E3C-8EEEAC06C3D2}"/>
    <cellStyle name="Normal 2 2 5 25 2 2" xfId="1634" xr:uid="{97A7D821-EB93-40C8-81CB-ED3561F5F2D1}"/>
    <cellStyle name="Normal 2 2 5 25 2 2 2" xfId="10482" xr:uid="{EC975E40-6709-4090-8807-4AB5487A492C}"/>
    <cellStyle name="Normal 2 2 5 25 2 3" xfId="1635" xr:uid="{C9D49F08-F660-4841-B000-4D932EF2F3CA}"/>
    <cellStyle name="Normal 2 2 5 25 2 3 2" xfId="10483" xr:uid="{C3D72744-9E30-4066-88AD-5B557299B13B}"/>
    <cellStyle name="Normal 2 2 5 25 2 4" xfId="10481" xr:uid="{87EB3DA8-A4A1-47CD-9625-DC3BDE066B30}"/>
    <cellStyle name="Normal 2 2 5 25 3" xfId="1636" xr:uid="{7151054C-A52E-40F7-9F5C-792225BFEFAC}"/>
    <cellStyle name="Normal 2 2 5 25 3 2" xfId="10484" xr:uid="{9A8C7ECD-4D34-4DD0-907A-FE995308B7E9}"/>
    <cellStyle name="Normal 2 2 5 25 4" xfId="1637" xr:uid="{EC44D4FA-A337-4680-8573-0658EDFB456D}"/>
    <cellStyle name="Normal 2 2 5 25 4 2" xfId="10485" xr:uid="{5340DBC1-6D8D-4923-849F-0290F33D4AD2}"/>
    <cellStyle name="Normal 2 2 5 25 5" xfId="10480" xr:uid="{54C53664-8B24-4B50-9940-C28819B7F6AA}"/>
    <cellStyle name="Normal 2 2 5 26" xfId="1638" xr:uid="{4AB6D7A0-5BDB-4D1C-B43D-151D240635FB}"/>
    <cellStyle name="Normal 2 2 5 26 2" xfId="1639" xr:uid="{DBD9064D-6633-49C9-BA14-E5E6E52CF349}"/>
    <cellStyle name="Normal 2 2 5 26 2 2" xfId="1640" xr:uid="{7466DFDF-33DB-4951-9B3B-046B20334759}"/>
    <cellStyle name="Normal 2 2 5 26 2 2 2" xfId="10488" xr:uid="{A1528205-CC59-454A-A4E3-E6F483876656}"/>
    <cellStyle name="Normal 2 2 5 26 2 3" xfId="1641" xr:uid="{81E70C13-C247-4BAA-A8DC-75811477EFAA}"/>
    <cellStyle name="Normal 2 2 5 26 2 3 2" xfId="10489" xr:uid="{55F06F64-4933-4761-AAAC-2220FC39E950}"/>
    <cellStyle name="Normal 2 2 5 26 2 4" xfId="10487" xr:uid="{195E26A1-54B4-4BF8-91A8-D7C7D9DDD646}"/>
    <cellStyle name="Normal 2 2 5 26 3" xfId="1642" xr:uid="{CF34A6A2-F69D-4C40-AAA9-57C297CD4415}"/>
    <cellStyle name="Normal 2 2 5 26 3 2" xfId="10490" xr:uid="{A2A49A4C-D64E-4728-BCD3-77AE6F0E62D4}"/>
    <cellStyle name="Normal 2 2 5 26 4" xfId="1643" xr:uid="{6D84164C-6AF6-4980-9BDB-53C075C16FD9}"/>
    <cellStyle name="Normal 2 2 5 26 4 2" xfId="10491" xr:uid="{5139A4F2-FCA9-4EC9-B125-36B3D0006D94}"/>
    <cellStyle name="Normal 2 2 5 26 5" xfId="10486" xr:uid="{F258724F-E80C-47C3-8158-42A6DE39885D}"/>
    <cellStyle name="Normal 2 2 5 27" xfId="1644" xr:uid="{07B20B59-22F6-4A9E-BFCB-2E029A2332E2}"/>
    <cellStyle name="Normal 2 2 5 27 2" xfId="1645" xr:uid="{A47C3CC1-E867-4D12-B824-B887E562300F}"/>
    <cellStyle name="Normal 2 2 5 27 2 2" xfId="1646" xr:uid="{7C097FE5-3C26-4457-911D-00A613EB756B}"/>
    <cellStyle name="Normal 2 2 5 27 2 2 2" xfId="10494" xr:uid="{C7348E64-522A-4139-B48E-68C055E349F1}"/>
    <cellStyle name="Normal 2 2 5 27 2 3" xfId="1647" xr:uid="{9271F24A-A81B-4C26-A2A7-E29094CCD267}"/>
    <cellStyle name="Normal 2 2 5 27 2 3 2" xfId="10495" xr:uid="{C002C2BF-23E1-430F-B454-23D15EB36E63}"/>
    <cellStyle name="Normal 2 2 5 27 2 4" xfId="10493" xr:uid="{5BC42412-3679-4797-8F87-BE07FA6A2155}"/>
    <cellStyle name="Normal 2 2 5 27 3" xfId="1648" xr:uid="{A8EB4995-EACC-4846-A6BD-1CC4D4CA87B3}"/>
    <cellStyle name="Normal 2 2 5 27 3 2" xfId="10496" xr:uid="{D48C67A0-049D-4BDF-87B5-6C65C134DD67}"/>
    <cellStyle name="Normal 2 2 5 27 4" xfId="1649" xr:uid="{2FBB6699-6555-462E-9A83-E9184DA0B31C}"/>
    <cellStyle name="Normal 2 2 5 27 4 2" xfId="10497" xr:uid="{9509A297-1353-45DA-8C32-B47F4C84E395}"/>
    <cellStyle name="Normal 2 2 5 27 5" xfId="10492" xr:uid="{0BFFA762-3A92-4BF8-971A-73BD4D947EC2}"/>
    <cellStyle name="Normal 2 2 5 28" xfId="1650" xr:uid="{01520C47-7296-4BBC-AFD2-0146C3AB2DFA}"/>
    <cellStyle name="Normal 2 2 5 28 2" xfId="1651" xr:uid="{A19F1B31-6915-4A66-83E0-82B31B4F1576}"/>
    <cellStyle name="Normal 2 2 5 28 2 2" xfId="1652" xr:uid="{ED06D592-5A5F-4810-AD76-28AF5F65FFFE}"/>
    <cellStyle name="Normal 2 2 5 28 2 2 2" xfId="10500" xr:uid="{3D2CFF61-A745-4626-B6E2-BDBA3BDAB747}"/>
    <cellStyle name="Normal 2 2 5 28 2 3" xfId="1653" xr:uid="{47872070-8971-42E7-92DF-A29C8ECE0DFE}"/>
    <cellStyle name="Normal 2 2 5 28 2 3 2" xfId="10501" xr:uid="{C5E84BF0-99F2-4027-AE8E-B3C5F246CB32}"/>
    <cellStyle name="Normal 2 2 5 28 2 4" xfId="10499" xr:uid="{3E258FD5-80E5-474B-95E2-371FF0B5454E}"/>
    <cellStyle name="Normal 2 2 5 28 3" xfId="1654" xr:uid="{71AF39D1-B6EF-4CC5-8960-D76193C29522}"/>
    <cellStyle name="Normal 2 2 5 28 3 2" xfId="10502" xr:uid="{F7D88D0E-FEBE-47F7-AC51-E36B48EDD21A}"/>
    <cellStyle name="Normal 2 2 5 28 4" xfId="1655" xr:uid="{5A8392CC-725B-4E7D-8CBC-04B750D5E967}"/>
    <cellStyle name="Normal 2 2 5 28 4 2" xfId="10503" xr:uid="{14AC4916-411A-4AD4-A150-5DA5EF73D739}"/>
    <cellStyle name="Normal 2 2 5 28 5" xfId="10498" xr:uid="{2C622A69-7A7E-4DB5-8636-995E4EDD8DF2}"/>
    <cellStyle name="Normal 2 2 5 29" xfId="1656" xr:uid="{9625180A-9891-4EE6-A078-4535A3A885CB}"/>
    <cellStyle name="Normal 2 2 5 29 2" xfId="1657" xr:uid="{A141301B-FACF-4E48-9FF0-A6BE83B6054B}"/>
    <cellStyle name="Normal 2 2 5 29 2 2" xfId="1658" xr:uid="{B725AC55-AE35-4FD9-B647-22224C6136ED}"/>
    <cellStyle name="Normal 2 2 5 29 2 2 2" xfId="10506" xr:uid="{D1523CC1-505D-4915-9693-D1A0AE7786C4}"/>
    <cellStyle name="Normal 2 2 5 29 2 3" xfId="1659" xr:uid="{A150A476-41E3-40D7-9B0C-6DB82C822C45}"/>
    <cellStyle name="Normal 2 2 5 29 2 3 2" xfId="10507" xr:uid="{FDC14E29-AF4C-45F3-8A97-12E8B327A127}"/>
    <cellStyle name="Normal 2 2 5 29 2 4" xfId="10505" xr:uid="{CFDE1905-C2E8-42E3-99F8-44E5BF7DF4A3}"/>
    <cellStyle name="Normal 2 2 5 29 3" xfId="1660" xr:uid="{80ED39E9-709C-43DB-98F0-775CD895F1A5}"/>
    <cellStyle name="Normal 2 2 5 29 3 2" xfId="10508" xr:uid="{9EAAC13F-6D97-4D71-9A16-C453E3F0963F}"/>
    <cellStyle name="Normal 2 2 5 29 4" xfId="1661" xr:uid="{875889FF-19C6-41FE-8718-13BCBEC3AC00}"/>
    <cellStyle name="Normal 2 2 5 29 4 2" xfId="10509" xr:uid="{62EECB47-9D27-42E7-A55A-ADABF32722F9}"/>
    <cellStyle name="Normal 2 2 5 29 5" xfId="10504" xr:uid="{74083D7F-4D57-4E4D-8730-E3AA526F1201}"/>
    <cellStyle name="Normal 2 2 5 3" xfId="1662" xr:uid="{74090FEC-BBB4-4DC9-A803-232191B30F10}"/>
    <cellStyle name="Normal 2 2 5 3 2" xfId="1663" xr:uid="{BA09E0E8-D971-4E98-84BC-4BA9CCA8D74E}"/>
    <cellStyle name="Normal 2 2 5 3 2 2" xfId="1664" xr:uid="{E5C5B422-6FAC-4729-896A-C438889A173D}"/>
    <cellStyle name="Normal 2 2 5 3 2 2 2" xfId="10512" xr:uid="{82CE21C3-0A08-431A-9D41-973721D8CA92}"/>
    <cellStyle name="Normal 2 2 5 3 2 3" xfId="1665" xr:uid="{020BF58E-3983-448F-AD26-EE85EF4EC570}"/>
    <cellStyle name="Normal 2 2 5 3 2 3 2" xfId="10513" xr:uid="{F004B44D-DB2E-435D-BF2D-EF957A5930BF}"/>
    <cellStyle name="Normal 2 2 5 3 2 4" xfId="10511" xr:uid="{635FA2DE-4920-43DE-97E3-7E3EFEF825DE}"/>
    <cellStyle name="Normal 2 2 5 3 3" xfId="1666" xr:uid="{AC232A28-9479-4820-9346-9DAD788D9A40}"/>
    <cellStyle name="Normal 2 2 5 3 3 2" xfId="10514" xr:uid="{1D7B3642-7F4E-4B59-94B5-9D8201549796}"/>
    <cellStyle name="Normal 2 2 5 3 4" xfId="1667" xr:uid="{C0A089ED-6072-434B-864D-1C45C3BE60C1}"/>
    <cellStyle name="Normal 2 2 5 3 4 2" xfId="10515" xr:uid="{26D04053-E3CD-404D-B5D2-3F06632CE745}"/>
    <cellStyle name="Normal 2 2 5 3 5" xfId="10510" xr:uid="{C5D743F9-411F-49E2-8B48-D910D575CB9F}"/>
    <cellStyle name="Normal 2 2 5 30" xfId="1668" xr:uid="{C5691E67-E602-47BE-A2A0-4A1CC4B16950}"/>
    <cellStyle name="Normal 2 2 5 30 2" xfId="1669" xr:uid="{7F5D40D7-F19B-4C28-86DF-ED9160CF0F3A}"/>
    <cellStyle name="Normal 2 2 5 30 2 2" xfId="1670" xr:uid="{2BF078DD-0907-42EA-9F3F-285AAD9CF7E9}"/>
    <cellStyle name="Normal 2 2 5 30 2 2 2" xfId="10518" xr:uid="{70C4FC12-A842-49EF-9574-6DA87AFD9BFA}"/>
    <cellStyle name="Normal 2 2 5 30 2 3" xfId="1671" xr:uid="{C452BABB-91EA-4772-8911-10FF3B419FAB}"/>
    <cellStyle name="Normal 2 2 5 30 2 3 2" xfId="10519" xr:uid="{2093BAAB-C4D8-429F-B102-296645DA48ED}"/>
    <cellStyle name="Normal 2 2 5 30 2 4" xfId="10517" xr:uid="{7711116E-B23A-43C8-876F-443D7B2D3CF7}"/>
    <cellStyle name="Normal 2 2 5 30 3" xfId="1672" xr:uid="{35346846-2FB9-47BA-9A87-50B7C530616F}"/>
    <cellStyle name="Normal 2 2 5 30 3 2" xfId="10520" xr:uid="{D389432E-5D31-4B8C-A0B7-5239A1F328DD}"/>
    <cellStyle name="Normal 2 2 5 30 4" xfId="1673" xr:uid="{C6912F5A-24E4-4323-B19B-81A9F112FC4B}"/>
    <cellStyle name="Normal 2 2 5 30 4 2" xfId="10521" xr:uid="{7F9F4F37-EE6A-405A-8AE4-4AF5380A6B57}"/>
    <cellStyle name="Normal 2 2 5 30 5" xfId="10516" xr:uid="{097A4665-748F-4D26-A173-856D6135045B}"/>
    <cellStyle name="Normal 2 2 5 31" xfId="1674" xr:uid="{3C852799-110C-484E-A2E2-D0C4BAB5ABB3}"/>
    <cellStyle name="Normal 2 2 5 31 2" xfId="1675" xr:uid="{430E75C3-C72C-47F8-AF54-E6B316B5AF1B}"/>
    <cellStyle name="Normal 2 2 5 31 2 2" xfId="1676" xr:uid="{A2374D0D-44E4-4C8B-B9EF-0321ED654DD8}"/>
    <cellStyle name="Normal 2 2 5 31 2 2 2" xfId="10524" xr:uid="{959E8E53-B057-4763-9DA4-E4F6C43BB6D6}"/>
    <cellStyle name="Normal 2 2 5 31 2 3" xfId="1677" xr:uid="{18EF1D8F-1121-4E58-9264-3AD513A59C03}"/>
    <cellStyle name="Normal 2 2 5 31 2 3 2" xfId="10525" xr:uid="{4AC28CD2-6CA6-40F0-A31A-B5F13F87063F}"/>
    <cellStyle name="Normal 2 2 5 31 2 4" xfId="10523" xr:uid="{36A408C9-74B1-47DB-B92E-A012F8AC7D7A}"/>
    <cellStyle name="Normal 2 2 5 31 3" xfId="1678" xr:uid="{B44CFD30-7C17-4CF0-819D-8773F5AE40AC}"/>
    <cellStyle name="Normal 2 2 5 31 3 2" xfId="10526" xr:uid="{ABA4AC19-4A03-403E-803A-AB38C8913FED}"/>
    <cellStyle name="Normal 2 2 5 31 4" xfId="1679" xr:uid="{E6EF61DE-0D46-4DD5-BC88-B26C29367168}"/>
    <cellStyle name="Normal 2 2 5 31 4 2" xfId="10527" xr:uid="{8D92DE46-10F0-495B-965A-4F332E895887}"/>
    <cellStyle name="Normal 2 2 5 31 5" xfId="10522" xr:uid="{B9000303-0D46-433F-83E4-E8654E71D65B}"/>
    <cellStyle name="Normal 2 2 5 32" xfId="1680" xr:uid="{4BAA10FE-4608-4E74-9338-09153600EFC0}"/>
    <cellStyle name="Normal 2 2 5 32 2" xfId="1681" xr:uid="{A218C0B3-FD1E-43A3-82F8-C16634BAA321}"/>
    <cellStyle name="Normal 2 2 5 32 2 2" xfId="1682" xr:uid="{6F9E9BEB-922A-4376-9722-1FAD3596C274}"/>
    <cellStyle name="Normal 2 2 5 32 2 2 2" xfId="10530" xr:uid="{017A74DF-1CBA-46E5-8B65-B4B9650584EE}"/>
    <cellStyle name="Normal 2 2 5 32 2 3" xfId="1683" xr:uid="{775EA02D-F380-4476-BBB3-9A41F0732382}"/>
    <cellStyle name="Normal 2 2 5 32 2 3 2" xfId="10531" xr:uid="{74D9703F-5BFB-4077-B988-DD08B7F96DF5}"/>
    <cellStyle name="Normal 2 2 5 32 2 4" xfId="10529" xr:uid="{B1C7B0C7-8B56-4A48-B6D4-0DC3A18A9918}"/>
    <cellStyle name="Normal 2 2 5 32 3" xfId="1684" xr:uid="{295224CE-D27C-4C7F-AAB1-7A2117F3A6A8}"/>
    <cellStyle name="Normal 2 2 5 32 3 2" xfId="10532" xr:uid="{5C9AA8F4-9C26-419A-ADD9-4281FE1872B4}"/>
    <cellStyle name="Normal 2 2 5 32 4" xfId="1685" xr:uid="{9593C730-8C00-4C06-943E-E5996E5F0CE6}"/>
    <cellStyle name="Normal 2 2 5 32 4 2" xfId="10533" xr:uid="{AB58E89D-B0CD-4198-9E75-E202D2C30BEB}"/>
    <cellStyle name="Normal 2 2 5 32 5" xfId="10528" xr:uid="{738560D4-3A7E-44F1-80D3-BDB8C7FC6E09}"/>
    <cellStyle name="Normal 2 2 5 33" xfId="1686" xr:uid="{CEBCE45C-31CB-4B53-809C-C4FBD717832D}"/>
    <cellStyle name="Normal 2 2 5 33 2" xfId="1687" xr:uid="{89DF5FDE-0C3C-4582-95C3-38C3DC015EAF}"/>
    <cellStyle name="Normal 2 2 5 33 2 2" xfId="1688" xr:uid="{ED054460-26AF-4BB1-9C13-BA716F7FD9BC}"/>
    <cellStyle name="Normal 2 2 5 33 2 2 2" xfId="10536" xr:uid="{72940AF7-FFC0-4729-8A65-BBEFA83EBD86}"/>
    <cellStyle name="Normal 2 2 5 33 2 3" xfId="1689" xr:uid="{97C47B0A-D9C4-4E23-BA1F-504CCEE9841B}"/>
    <cellStyle name="Normal 2 2 5 33 2 3 2" xfId="10537" xr:uid="{D818CFB1-FCB8-41AD-99D2-56EED1F9E340}"/>
    <cellStyle name="Normal 2 2 5 33 2 4" xfId="10535" xr:uid="{AF39D3BE-C4E0-4BE5-A8B8-714D4C8C1EF9}"/>
    <cellStyle name="Normal 2 2 5 33 3" xfId="1690" xr:uid="{0CF4579C-C6E6-4DA8-A43A-FE220FE54608}"/>
    <cellStyle name="Normal 2 2 5 33 3 2" xfId="10538" xr:uid="{48824686-19D0-4EEB-9CC5-5AA95E4FBE9B}"/>
    <cellStyle name="Normal 2 2 5 33 4" xfId="1691" xr:uid="{EC600B1B-6AC2-427E-9CD8-E15FAB73B2FE}"/>
    <cellStyle name="Normal 2 2 5 33 4 2" xfId="10539" xr:uid="{BA891155-395F-45E1-9802-56BAC9A9CE49}"/>
    <cellStyle name="Normal 2 2 5 33 5" xfId="10534" xr:uid="{49352B10-92AE-467A-84FE-FA0BEE84CD18}"/>
    <cellStyle name="Normal 2 2 5 34" xfId="1692" xr:uid="{1A680A21-44B7-49EC-BBD9-71B5E6880A03}"/>
    <cellStyle name="Normal 2 2 5 34 2" xfId="1693" xr:uid="{0EBEF014-6C18-443C-8578-71EFFE957D1D}"/>
    <cellStyle name="Normal 2 2 5 34 2 2" xfId="1694" xr:uid="{152DCA69-5A92-40D4-A0B1-1EDBE1F8077E}"/>
    <cellStyle name="Normal 2 2 5 34 2 2 2" xfId="10542" xr:uid="{3F306444-E088-49D6-9CED-5031023142F1}"/>
    <cellStyle name="Normal 2 2 5 34 2 3" xfId="1695" xr:uid="{DDB5D662-BEA7-452B-89EC-25763CEB1D64}"/>
    <cellStyle name="Normal 2 2 5 34 2 3 2" xfId="10543" xr:uid="{6DAA82BA-113B-477A-94AE-953783D76E28}"/>
    <cellStyle name="Normal 2 2 5 34 2 4" xfId="10541" xr:uid="{388BF2EE-BEBA-4325-9DA2-FD3004CD8FE1}"/>
    <cellStyle name="Normal 2 2 5 34 3" xfId="1696" xr:uid="{6B1674F4-9C81-47D7-9146-AA0AFA5EE37A}"/>
    <cellStyle name="Normal 2 2 5 34 3 2" xfId="10544" xr:uid="{6EC27C9C-A817-43F7-845E-07D53214E623}"/>
    <cellStyle name="Normal 2 2 5 34 4" xfId="1697" xr:uid="{85F8034F-6E56-4F55-8010-62E06067AD4A}"/>
    <cellStyle name="Normal 2 2 5 34 4 2" xfId="10545" xr:uid="{79016BA2-F8C5-4129-A887-A3D09CF90ECF}"/>
    <cellStyle name="Normal 2 2 5 34 5" xfId="10540" xr:uid="{28052662-9B77-4B52-81E7-57D890819B7C}"/>
    <cellStyle name="Normal 2 2 5 35" xfId="1698" xr:uid="{A9F76742-0AF0-49EE-A402-544FD1F4CBD3}"/>
    <cellStyle name="Normal 2 2 5 35 2" xfId="1699" xr:uid="{6FCB25A1-2C63-4AD4-952E-BB60412D4E1E}"/>
    <cellStyle name="Normal 2 2 5 35 2 2" xfId="1700" xr:uid="{C9C3FAA1-D144-46DD-BE9B-869608DEEE63}"/>
    <cellStyle name="Normal 2 2 5 35 2 2 2" xfId="10548" xr:uid="{061B648A-39A6-47CB-9DC3-F67D1664CAF9}"/>
    <cellStyle name="Normal 2 2 5 35 2 3" xfId="1701" xr:uid="{55B019BE-297F-4A3C-8C5B-616F16B26DF0}"/>
    <cellStyle name="Normal 2 2 5 35 2 3 2" xfId="10549" xr:uid="{294C1324-00D0-48C6-8DE8-FBB0F5882BA8}"/>
    <cellStyle name="Normal 2 2 5 35 2 4" xfId="10547" xr:uid="{505AF344-A202-4B77-A804-C7D649EAE0C8}"/>
    <cellStyle name="Normal 2 2 5 35 3" xfId="1702" xr:uid="{A4FF70C2-AA7C-4904-B4BD-96558994032C}"/>
    <cellStyle name="Normal 2 2 5 35 3 2" xfId="10550" xr:uid="{EDDDFCDA-748A-4CBF-9672-95ED5A2D384B}"/>
    <cellStyle name="Normal 2 2 5 35 4" xfId="1703" xr:uid="{A47DD60D-04C1-4989-97DD-6B8F3768E4E8}"/>
    <cellStyle name="Normal 2 2 5 35 4 2" xfId="10551" xr:uid="{8A5A2245-E3E1-453C-BEAA-C69D80D6B8B0}"/>
    <cellStyle name="Normal 2 2 5 35 5" xfId="10546" xr:uid="{723BBF12-BFF8-460D-AC5A-FD34C21B4A96}"/>
    <cellStyle name="Normal 2 2 5 36" xfId="1704" xr:uid="{DA17C40E-EDC9-42BA-8ABD-1003D52E99FC}"/>
    <cellStyle name="Normal 2 2 5 36 2" xfId="1705" xr:uid="{38E70EC2-F730-4FF0-9762-ABA20961301B}"/>
    <cellStyle name="Normal 2 2 5 36 2 2" xfId="1706" xr:uid="{50022992-2E2B-4826-AE79-46D62A097BDF}"/>
    <cellStyle name="Normal 2 2 5 36 2 2 2" xfId="10554" xr:uid="{0D148239-75EF-443A-A580-FC232B87E7BC}"/>
    <cellStyle name="Normal 2 2 5 36 2 3" xfId="1707" xr:uid="{990524A3-2414-4C68-8F7F-0A74EAEFEA30}"/>
    <cellStyle name="Normal 2 2 5 36 2 3 2" xfId="10555" xr:uid="{FABA0795-9852-4E8D-A89F-E369758A7DE1}"/>
    <cellStyle name="Normal 2 2 5 36 2 4" xfId="10553" xr:uid="{1C111E5C-3BCD-4C39-9C09-C4F844E7CC5C}"/>
    <cellStyle name="Normal 2 2 5 36 3" xfId="1708" xr:uid="{30551596-34AA-4BCC-B5CA-77FFA0B5CD2A}"/>
    <cellStyle name="Normal 2 2 5 36 3 2" xfId="10556" xr:uid="{9F2E7A01-D72D-4144-8A70-22207A133947}"/>
    <cellStyle name="Normal 2 2 5 36 4" xfId="1709" xr:uid="{B4101840-0F48-43CD-8B12-DD8024974A45}"/>
    <cellStyle name="Normal 2 2 5 36 4 2" xfId="10557" xr:uid="{2A7F0B2E-1B5A-4B5C-9394-123853319945}"/>
    <cellStyle name="Normal 2 2 5 36 5" xfId="10552" xr:uid="{031BB828-7696-466A-8944-E3F77B6D6866}"/>
    <cellStyle name="Normal 2 2 5 37" xfId="1710" xr:uid="{5E6CBA15-F8CB-4ECD-85EA-EFEB8A08F69C}"/>
    <cellStyle name="Normal 2 2 5 37 2" xfId="1711" xr:uid="{9F42EB8A-7B07-4651-9336-4DAE32F2F441}"/>
    <cellStyle name="Normal 2 2 5 37 2 2" xfId="1712" xr:uid="{4C26CBE1-424A-4BC2-90D6-76A7F275475F}"/>
    <cellStyle name="Normal 2 2 5 37 2 2 2" xfId="10560" xr:uid="{0CBC013C-2B90-48B7-85E1-835E4E85F7FD}"/>
    <cellStyle name="Normal 2 2 5 37 2 3" xfId="1713" xr:uid="{9FED6F42-8819-437D-89D3-0911075527AA}"/>
    <cellStyle name="Normal 2 2 5 37 2 3 2" xfId="10561" xr:uid="{751BF0A8-FE52-4FDE-BA53-DF62CBF17F0E}"/>
    <cellStyle name="Normal 2 2 5 37 2 4" xfId="10559" xr:uid="{CD7DF088-1F27-454B-AE7A-2807987A6243}"/>
    <cellStyle name="Normal 2 2 5 37 3" xfId="1714" xr:uid="{BABA95E0-BDB6-4DF1-850B-86730FD20C14}"/>
    <cellStyle name="Normal 2 2 5 37 3 2" xfId="10562" xr:uid="{4B259AF4-5CD9-4C37-A856-F21BB7FD7A64}"/>
    <cellStyle name="Normal 2 2 5 37 4" xfId="1715" xr:uid="{DDEDA157-254F-4C8B-99FA-E192B9E19A5E}"/>
    <cellStyle name="Normal 2 2 5 37 4 2" xfId="10563" xr:uid="{3CD6A7B6-0CB0-4390-BF5E-300AD2675740}"/>
    <cellStyle name="Normal 2 2 5 37 5" xfId="10558" xr:uid="{8BD2450A-7AE3-4D4B-B3F7-F246EFEE98E0}"/>
    <cellStyle name="Normal 2 2 5 38" xfId="1716" xr:uid="{3DA9BE24-A3D5-477D-8601-EB873978C249}"/>
    <cellStyle name="Normal 2 2 5 38 2" xfId="1717" xr:uid="{A0DBCC4C-54C0-4C78-960F-1FE8EFBE6F3E}"/>
    <cellStyle name="Normal 2 2 5 38 2 2" xfId="1718" xr:uid="{BCA9B7C1-5569-4F27-9304-4BE6B18DAF8F}"/>
    <cellStyle name="Normal 2 2 5 38 2 2 2" xfId="10566" xr:uid="{570D269E-F706-4E57-B300-A126D1924A1E}"/>
    <cellStyle name="Normal 2 2 5 38 2 3" xfId="1719" xr:uid="{58D73C7A-3EB8-480E-9034-EE381735EBF0}"/>
    <cellStyle name="Normal 2 2 5 38 2 3 2" xfId="10567" xr:uid="{5A4BBBA8-C4EC-4B32-9375-EF02C09D3B21}"/>
    <cellStyle name="Normal 2 2 5 38 2 4" xfId="10565" xr:uid="{C163C481-E4D9-4FED-8BA2-86E57519F61B}"/>
    <cellStyle name="Normal 2 2 5 38 3" xfId="1720" xr:uid="{E76BEE59-6B07-497E-A4E3-50C8911C1E2D}"/>
    <cellStyle name="Normal 2 2 5 38 3 2" xfId="10568" xr:uid="{CDB8DBCC-BE05-4AF2-B6C5-F55C7FB86528}"/>
    <cellStyle name="Normal 2 2 5 38 4" xfId="1721" xr:uid="{87F20950-3BA8-4843-B385-7605A6C02B53}"/>
    <cellStyle name="Normal 2 2 5 38 4 2" xfId="10569" xr:uid="{66BE3736-39AD-4A96-A7C3-C03EF6CFD4AF}"/>
    <cellStyle name="Normal 2 2 5 38 5" xfId="10564" xr:uid="{E4531994-882A-49A4-99E4-317AD8274422}"/>
    <cellStyle name="Normal 2 2 5 39" xfId="1722" xr:uid="{562CBF89-1A07-4104-BE98-E13388ABBEB6}"/>
    <cellStyle name="Normal 2 2 5 39 2" xfId="1723" xr:uid="{E59AAC2F-3BE2-42B4-8660-74A5D77C9CFB}"/>
    <cellStyle name="Normal 2 2 5 39 2 2" xfId="1724" xr:uid="{D27EEE8C-12F3-4CF3-92AE-31F60B3FA73C}"/>
    <cellStyle name="Normal 2 2 5 39 2 2 2" xfId="10572" xr:uid="{359E3481-D695-453D-A3E6-E85E0AEB5553}"/>
    <cellStyle name="Normal 2 2 5 39 2 3" xfId="1725" xr:uid="{DDBB9D26-319D-4564-A6F2-E12F23A7C6CD}"/>
    <cellStyle name="Normal 2 2 5 39 2 3 2" xfId="10573" xr:uid="{5BB82250-B117-4AB6-B5B7-1CA8406DBE9B}"/>
    <cellStyle name="Normal 2 2 5 39 2 4" xfId="10571" xr:uid="{186E9E1D-49E6-4440-B1BF-3D67C755A028}"/>
    <cellStyle name="Normal 2 2 5 39 3" xfId="1726" xr:uid="{B58E7122-0C83-4DC5-8A21-E03E129909E7}"/>
    <cellStyle name="Normal 2 2 5 39 3 2" xfId="10574" xr:uid="{9306A931-7D89-49B9-B3E9-19F0492FF38D}"/>
    <cellStyle name="Normal 2 2 5 39 4" xfId="1727" xr:uid="{912BFB49-FB51-4B4E-A42E-A765B7754CA3}"/>
    <cellStyle name="Normal 2 2 5 39 4 2" xfId="10575" xr:uid="{57A6E62D-7FEF-4EE7-8BFE-5BD97A829891}"/>
    <cellStyle name="Normal 2 2 5 39 5" xfId="10570" xr:uid="{B60A6146-58FF-4E06-9DE1-E283236FF730}"/>
    <cellStyle name="Normal 2 2 5 4" xfId="1728" xr:uid="{868DE573-FE66-4208-BC3B-201E2040D8A1}"/>
    <cellStyle name="Normal 2 2 5 4 2" xfId="1729" xr:uid="{2155C04F-5618-4E41-B76D-D83278D2DBD4}"/>
    <cellStyle name="Normal 2 2 5 4 2 2" xfId="1730" xr:uid="{AFAA2FF2-5B76-4BE2-9D1E-23A1F0544041}"/>
    <cellStyle name="Normal 2 2 5 4 2 2 2" xfId="10578" xr:uid="{32162F4B-4DA0-4EFD-8B0A-F40C56938CE1}"/>
    <cellStyle name="Normal 2 2 5 4 2 3" xfId="1731" xr:uid="{C2338C78-E5C1-4545-BADE-D96473F6DC04}"/>
    <cellStyle name="Normal 2 2 5 4 2 3 2" xfId="10579" xr:uid="{B2B07AFC-1E17-40EC-B8D1-EBEFC7167405}"/>
    <cellStyle name="Normal 2 2 5 4 2 4" xfId="10577" xr:uid="{30A16F7F-4693-4748-9B99-147EE78B16F9}"/>
    <cellStyle name="Normal 2 2 5 4 3" xfId="1732" xr:uid="{189E0C99-D6D0-40E1-89CC-96E52E9F94D0}"/>
    <cellStyle name="Normal 2 2 5 4 3 2" xfId="10580" xr:uid="{5EAAD272-4A7A-433D-BA4D-F2E4499CED6A}"/>
    <cellStyle name="Normal 2 2 5 4 4" xfId="1733" xr:uid="{692C40EE-EF9C-442F-B27F-5B78E82D496B}"/>
    <cellStyle name="Normal 2 2 5 4 4 2" xfId="10581" xr:uid="{773F2D7C-3A07-4D68-974C-990E90C34697}"/>
    <cellStyle name="Normal 2 2 5 4 5" xfId="10576" xr:uid="{9D41D8F9-6266-4006-88AD-E5841CA14EF4}"/>
    <cellStyle name="Normal 2 2 5 40" xfId="1734" xr:uid="{41791CAC-3315-40BE-9654-F2DC4EF1BA14}"/>
    <cellStyle name="Normal 2 2 5 40 2" xfId="1735" xr:uid="{1CE39FF3-4967-4023-8471-1408E37174A4}"/>
    <cellStyle name="Normal 2 2 5 40 2 2" xfId="1736" xr:uid="{8BD500C9-F60A-4569-A507-BE28ED2851A6}"/>
    <cellStyle name="Normal 2 2 5 40 2 2 2" xfId="10584" xr:uid="{272A9456-75EC-4427-8861-F0E121AD8652}"/>
    <cellStyle name="Normal 2 2 5 40 2 3" xfId="1737" xr:uid="{45900AE8-A50B-4E02-8AD2-E2BC25402986}"/>
    <cellStyle name="Normal 2 2 5 40 2 3 2" xfId="10585" xr:uid="{816A269A-283B-4E38-BCF4-1115E9337ECE}"/>
    <cellStyle name="Normal 2 2 5 40 2 4" xfId="10583" xr:uid="{599809E6-49FB-480A-AEEB-CF0CFF9284F7}"/>
    <cellStyle name="Normal 2 2 5 40 3" xfId="1738" xr:uid="{C20E327A-4FCC-4E0A-8E63-58C7EA4447EC}"/>
    <cellStyle name="Normal 2 2 5 40 3 2" xfId="10586" xr:uid="{7637D42C-2501-4FD1-9F6D-9C8E0A322F5E}"/>
    <cellStyle name="Normal 2 2 5 40 4" xfId="1739" xr:uid="{3C81D8BB-4DE8-497F-9A86-765E6161E32B}"/>
    <cellStyle name="Normal 2 2 5 40 4 2" xfId="10587" xr:uid="{834DF715-F152-4006-B1AF-53CCD2E6E7B5}"/>
    <cellStyle name="Normal 2 2 5 40 5" xfId="10582" xr:uid="{F754A43D-4195-4BE9-98B2-62816210120D}"/>
    <cellStyle name="Normal 2 2 5 41" xfId="1740" xr:uid="{8AA87D24-1291-4006-B926-C764550CF00E}"/>
    <cellStyle name="Normal 2 2 5 41 2" xfId="1741" xr:uid="{BB210625-7400-4DF4-A02D-A118ED4A0223}"/>
    <cellStyle name="Normal 2 2 5 41 2 2" xfId="1742" xr:uid="{B21705CB-F657-4E9E-BF4D-57E00533B35B}"/>
    <cellStyle name="Normal 2 2 5 41 2 2 2" xfId="10590" xr:uid="{CC5968E5-17CD-4674-8F6B-04813FA7BCEA}"/>
    <cellStyle name="Normal 2 2 5 41 2 3" xfId="1743" xr:uid="{783D99D8-3354-4C23-813F-DB9FF01DB72F}"/>
    <cellStyle name="Normal 2 2 5 41 2 3 2" xfId="10591" xr:uid="{99E07558-51DE-4F0B-BC3E-249C1163FC4D}"/>
    <cellStyle name="Normal 2 2 5 41 2 4" xfId="10589" xr:uid="{3099CD41-9266-4DF1-BD9C-6EC8B74BD82E}"/>
    <cellStyle name="Normal 2 2 5 41 3" xfId="1744" xr:uid="{1B5BB524-D3CB-4601-94DE-C87987D0A951}"/>
    <cellStyle name="Normal 2 2 5 41 3 2" xfId="10592" xr:uid="{495DE656-FAB5-444C-A18C-E07772502C2E}"/>
    <cellStyle name="Normal 2 2 5 41 4" xfId="1745" xr:uid="{6EDF3AC5-D37C-42E2-AEBD-9B0DC69F901B}"/>
    <cellStyle name="Normal 2 2 5 41 4 2" xfId="10593" xr:uid="{C26B17F2-739E-4584-AF0C-59DD7D0BD7C2}"/>
    <cellStyle name="Normal 2 2 5 41 5" xfId="10588" xr:uid="{3B93D03C-7A29-4140-9FF0-D5C7B50EEBB2}"/>
    <cellStyle name="Normal 2 2 5 42" xfId="1746" xr:uid="{3DB3A072-1981-4F1A-B1C6-547ED0ED178D}"/>
    <cellStyle name="Normal 2 2 5 42 2" xfId="1747" xr:uid="{D4D5F0D9-22C0-4145-926D-D467033A048B}"/>
    <cellStyle name="Normal 2 2 5 42 2 2" xfId="1748" xr:uid="{20CB7BCC-C556-42F7-9C30-D8C5C5CC416D}"/>
    <cellStyle name="Normal 2 2 5 42 2 2 2" xfId="10596" xr:uid="{6D15F4F3-2477-4065-9E59-609909501087}"/>
    <cellStyle name="Normal 2 2 5 42 2 3" xfId="1749" xr:uid="{2ABBD9F8-79EB-451B-994C-CD60E3DA9533}"/>
    <cellStyle name="Normal 2 2 5 42 2 3 2" xfId="10597" xr:uid="{4D3507AB-3907-4982-B100-20A0252A318A}"/>
    <cellStyle name="Normal 2 2 5 42 2 4" xfId="10595" xr:uid="{3EA6A017-C895-4D39-9598-D0D0B9C5932D}"/>
    <cellStyle name="Normal 2 2 5 42 3" xfId="1750" xr:uid="{F3BD134F-2C3A-4C57-9125-EBDF36FF67AC}"/>
    <cellStyle name="Normal 2 2 5 42 3 2" xfId="10598" xr:uid="{863FF1A9-32D0-4373-AE64-A574ACF3318C}"/>
    <cellStyle name="Normal 2 2 5 42 4" xfId="1751" xr:uid="{23F8DEC4-C5AF-4549-80AD-AE93C5F7E771}"/>
    <cellStyle name="Normal 2 2 5 42 4 2" xfId="10599" xr:uid="{5941DDE5-0EF1-4A82-B7B1-897F591B9A69}"/>
    <cellStyle name="Normal 2 2 5 42 5" xfId="10594" xr:uid="{B8DB7C3F-A43E-4422-80A5-9F1492C1DBCE}"/>
    <cellStyle name="Normal 2 2 5 43" xfId="1752" xr:uid="{EFB595D3-9804-40F7-A5AD-36E3D0B5310B}"/>
    <cellStyle name="Normal 2 2 5 43 2" xfId="1753" xr:uid="{14ADCBA9-D7B8-4897-8A9D-F5FFB31C8127}"/>
    <cellStyle name="Normal 2 2 5 43 2 2" xfId="1754" xr:uid="{D5CFDEAB-EFA1-4F5D-B673-599ACA2D70D3}"/>
    <cellStyle name="Normal 2 2 5 43 2 2 2" xfId="10602" xr:uid="{D86D335B-2B67-437C-80BD-2F2F0CD34E5C}"/>
    <cellStyle name="Normal 2 2 5 43 2 3" xfId="1755" xr:uid="{FAF079BB-B726-4FC4-B255-B1C5D287B176}"/>
    <cellStyle name="Normal 2 2 5 43 2 3 2" xfId="10603" xr:uid="{F82DB6CB-1DDE-4E09-BB8B-E525C89F05A3}"/>
    <cellStyle name="Normal 2 2 5 43 2 4" xfId="10601" xr:uid="{D67813B1-84D3-47F0-9FD2-3CE239C8EFC9}"/>
    <cellStyle name="Normal 2 2 5 43 3" xfId="1756" xr:uid="{88ABC99B-E963-46D3-B14C-0DFFE151817D}"/>
    <cellStyle name="Normal 2 2 5 43 3 2" xfId="10604" xr:uid="{F76026D1-6E1F-4757-9E54-0DDB79CF2E36}"/>
    <cellStyle name="Normal 2 2 5 43 4" xfId="1757" xr:uid="{3E3E5E9F-B866-4EF3-817F-AB7A63618C58}"/>
    <cellStyle name="Normal 2 2 5 43 4 2" xfId="10605" xr:uid="{96AD16D2-D82D-456E-9228-F1D7DD8A4D9F}"/>
    <cellStyle name="Normal 2 2 5 43 5" xfId="10600" xr:uid="{5E25F59C-E551-4E02-8C33-DC2FAB275B77}"/>
    <cellStyle name="Normal 2 2 5 44" xfId="1758" xr:uid="{CFA5A00E-2A35-44E1-B53E-ADFC25393B5A}"/>
    <cellStyle name="Normal 2 2 5 44 2" xfId="1759" xr:uid="{0B0E6970-DBAE-4BD2-AEBD-E925D08F5775}"/>
    <cellStyle name="Normal 2 2 5 44 2 2" xfId="10607" xr:uid="{7EEF394A-8A6A-4C3C-BBF2-31A08C6F94FF}"/>
    <cellStyle name="Normal 2 2 5 44 3" xfId="1760" xr:uid="{D872D81F-3E15-4A54-82A6-255F21F5BB90}"/>
    <cellStyle name="Normal 2 2 5 44 3 2" xfId="10608" xr:uid="{82739C53-2DC7-4371-93B2-6CC004FC4651}"/>
    <cellStyle name="Normal 2 2 5 44 4" xfId="10606" xr:uid="{C0476597-CC6A-4050-BD65-8E4A94556DBC}"/>
    <cellStyle name="Normal 2 2 5 45" xfId="1761" xr:uid="{ECB25F21-55E8-46CA-A995-E8325CB4B1F9}"/>
    <cellStyle name="Normal 2 2 5 45 2" xfId="10609" xr:uid="{3D0CB0A1-2508-401C-8FB8-28A4EE3E095D}"/>
    <cellStyle name="Normal 2 2 5 46" xfId="1762" xr:uid="{AD62FCF8-6FBC-454A-A11F-40DBE769708F}"/>
    <cellStyle name="Normal 2 2 5 46 2" xfId="10610" xr:uid="{5D797196-CABC-4107-90F8-D559BB7E0C5B}"/>
    <cellStyle name="Normal 2 2 5 47" xfId="10383" xr:uid="{B84E66DF-2743-4D00-AD64-661DFBE302AF}"/>
    <cellStyle name="Normal 2 2 5 5" xfId="1763" xr:uid="{8C27D01A-F87A-416E-90E0-D5FDBC89FE1B}"/>
    <cellStyle name="Normal 2 2 5 5 2" xfId="1764" xr:uid="{ED409ABD-25A3-4F52-8B56-2D7A8274AC8C}"/>
    <cellStyle name="Normal 2 2 5 5 2 2" xfId="1765" xr:uid="{343B17AB-1D48-45C4-AFDD-3C0890C5DC72}"/>
    <cellStyle name="Normal 2 2 5 5 2 2 2" xfId="10613" xr:uid="{6027E53D-6B34-4B1F-A06A-4A4BE7D97EB5}"/>
    <cellStyle name="Normal 2 2 5 5 2 3" xfId="1766" xr:uid="{F9B81DFD-D0D1-4C46-8ADB-114BAAFA3236}"/>
    <cellStyle name="Normal 2 2 5 5 2 3 2" xfId="10614" xr:uid="{6E07EEA5-DB50-4E8C-8303-211E7C19C70D}"/>
    <cellStyle name="Normal 2 2 5 5 2 4" xfId="10612" xr:uid="{2902FE20-8931-439E-B5EC-9A13DFFA4C65}"/>
    <cellStyle name="Normal 2 2 5 5 3" xfId="1767" xr:uid="{BACB522D-CA74-4C68-9124-A21287DF102A}"/>
    <cellStyle name="Normal 2 2 5 5 3 2" xfId="10615" xr:uid="{A6D24ADB-9F9A-41EF-B9FF-8205BBC97B13}"/>
    <cellStyle name="Normal 2 2 5 5 4" xfId="1768" xr:uid="{93224287-2D9B-440E-B6F7-1D6BFB30B544}"/>
    <cellStyle name="Normal 2 2 5 5 4 2" xfId="10616" xr:uid="{EED18161-5949-4AA3-9621-49FA80FCB9D2}"/>
    <cellStyle name="Normal 2 2 5 5 5" xfId="10611" xr:uid="{EC0BFC4C-D70C-4A41-AB13-B457F87576B7}"/>
    <cellStyle name="Normal 2 2 5 6" xfId="1769" xr:uid="{DD6ED809-3AAD-4F7A-89D2-6D4B911DF910}"/>
    <cellStyle name="Normal 2 2 5 6 2" xfId="1770" xr:uid="{B57EA791-7C8B-49CE-B113-F617BEBF4E64}"/>
    <cellStyle name="Normal 2 2 5 6 2 2" xfId="1771" xr:uid="{7010EFC5-63FC-4F9D-A87A-E51CC626DFA0}"/>
    <cellStyle name="Normal 2 2 5 6 2 2 2" xfId="10619" xr:uid="{34D08545-71B2-4459-A3D0-AA91484BA644}"/>
    <cellStyle name="Normal 2 2 5 6 2 3" xfId="1772" xr:uid="{AD1F6B58-45F9-4D0C-A8FD-EC902790EF54}"/>
    <cellStyle name="Normal 2 2 5 6 2 3 2" xfId="10620" xr:uid="{CACCC7D3-AC0B-4F16-A6F4-6AA59735D6DF}"/>
    <cellStyle name="Normal 2 2 5 6 2 4" xfId="10618" xr:uid="{A1B51E8B-8514-4806-BA41-CD893CDEA01D}"/>
    <cellStyle name="Normal 2 2 5 6 3" xfId="1773" xr:uid="{DE4E05F6-069F-49BA-91C1-F926A4E5DCA4}"/>
    <cellStyle name="Normal 2 2 5 6 3 2" xfId="10621" xr:uid="{5CB3BB95-075E-4C99-A6AC-120DDA909EB2}"/>
    <cellStyle name="Normal 2 2 5 6 4" xfId="1774" xr:uid="{44D8B15D-0EDC-4AA6-A3FC-FCD0EDDA1135}"/>
    <cellStyle name="Normal 2 2 5 6 4 2" xfId="10622" xr:uid="{7E3B70F0-022E-46D1-A5B2-809F4F1B51DC}"/>
    <cellStyle name="Normal 2 2 5 6 5" xfId="10617" xr:uid="{500A32DF-D12D-4113-A65C-FE9B4ACC6EC0}"/>
    <cellStyle name="Normal 2 2 5 7" xfId="1775" xr:uid="{470FCF84-4305-4F90-87EA-3CAD1722661D}"/>
    <cellStyle name="Normal 2 2 5 7 2" xfId="1776" xr:uid="{1E7D199F-8177-4918-A38B-AE66DE6BE7E4}"/>
    <cellStyle name="Normal 2 2 5 7 2 2" xfId="1777" xr:uid="{1696EA6C-E05B-402B-98CE-5AA226051519}"/>
    <cellStyle name="Normal 2 2 5 7 2 2 2" xfId="10625" xr:uid="{117EDDC2-EFF6-46BB-BE2B-0E596E8A67F7}"/>
    <cellStyle name="Normal 2 2 5 7 2 3" xfId="1778" xr:uid="{A492FD9D-8E3F-4FEA-A513-9E2F4185CC97}"/>
    <cellStyle name="Normal 2 2 5 7 2 3 2" xfId="10626" xr:uid="{556763B9-7006-4DF9-9103-5ECF6708D1B5}"/>
    <cellStyle name="Normal 2 2 5 7 2 4" xfId="10624" xr:uid="{C5F86599-6618-401E-9967-6127DB730297}"/>
    <cellStyle name="Normal 2 2 5 7 3" xfId="1779" xr:uid="{3EDF4458-6C33-4499-8F05-AE56B20193AE}"/>
    <cellStyle name="Normal 2 2 5 7 3 2" xfId="10627" xr:uid="{6B6D7062-A394-4F38-8545-7606DB29CBA8}"/>
    <cellStyle name="Normal 2 2 5 7 4" xfId="1780" xr:uid="{EFB5ED3D-578C-44A4-9436-3F2C3021C79D}"/>
    <cellStyle name="Normal 2 2 5 7 4 2" xfId="10628" xr:uid="{01665CCC-59E0-4020-8B64-9391C2A4EF8A}"/>
    <cellStyle name="Normal 2 2 5 7 5" xfId="10623" xr:uid="{447EE865-5AFA-47E5-9C44-ADF28A7B3C99}"/>
    <cellStyle name="Normal 2 2 5 8" xfId="1781" xr:uid="{83D703B2-C98E-4367-8231-AB7EF69BAF8B}"/>
    <cellStyle name="Normal 2 2 5 8 2" xfId="1782" xr:uid="{0C76AC29-064F-48D7-9D9E-9FCD9ECF4E37}"/>
    <cellStyle name="Normal 2 2 5 8 2 2" xfId="1783" xr:uid="{4E16CAC4-E121-4A36-9A06-22BA86EF5316}"/>
    <cellStyle name="Normal 2 2 5 8 2 2 2" xfId="10631" xr:uid="{039B6F69-ABBC-4A86-AA27-12A6979750D2}"/>
    <cellStyle name="Normal 2 2 5 8 2 3" xfId="1784" xr:uid="{932617BB-BA91-438E-8D04-0AA938942FFC}"/>
    <cellStyle name="Normal 2 2 5 8 2 3 2" xfId="10632" xr:uid="{C978968A-B1BD-443F-A767-F441985812B4}"/>
    <cellStyle name="Normal 2 2 5 8 2 4" xfId="10630" xr:uid="{A08549D6-9EE2-45F8-8D01-0B95FB1BBEF3}"/>
    <cellStyle name="Normal 2 2 5 8 3" xfId="1785" xr:uid="{F90C8F0A-B9C2-4BA8-B69B-9D0F42558AFC}"/>
    <cellStyle name="Normal 2 2 5 8 3 2" xfId="10633" xr:uid="{819315F6-CAF0-411E-A954-3E85ACA5B6E8}"/>
    <cellStyle name="Normal 2 2 5 8 4" xfId="1786" xr:uid="{2415C0B5-0A9B-441D-8CFD-CD22B401A536}"/>
    <cellStyle name="Normal 2 2 5 8 4 2" xfId="10634" xr:uid="{227683C9-B8C1-4BAE-8100-92B1D6F2C9A7}"/>
    <cellStyle name="Normal 2 2 5 8 5" xfId="10629" xr:uid="{CF62084B-BE13-46C9-9C7D-F183F30D6FAF}"/>
    <cellStyle name="Normal 2 2 5 9" xfId="1787" xr:uid="{84818A7F-0EFD-4FB5-88AB-13E066550D40}"/>
    <cellStyle name="Normal 2 2 5 9 2" xfId="1788" xr:uid="{16342DB0-F702-42D2-9CFB-08B621D34AAF}"/>
    <cellStyle name="Normal 2 2 5 9 2 2" xfId="1789" xr:uid="{50969DA7-BBE7-450E-B6AA-613E539BDA30}"/>
    <cellStyle name="Normal 2 2 5 9 2 2 2" xfId="10637" xr:uid="{7DCE163E-5083-44EA-BEFA-F8D5FF40A81B}"/>
    <cellStyle name="Normal 2 2 5 9 2 3" xfId="1790" xr:uid="{35123FF2-72EE-4A1C-A485-05F93610B023}"/>
    <cellStyle name="Normal 2 2 5 9 2 3 2" xfId="10638" xr:uid="{5F8D24F3-22B3-4F5F-8B1F-851A4944C00B}"/>
    <cellStyle name="Normal 2 2 5 9 2 4" xfId="10636" xr:uid="{FA399F25-B0F5-4C3F-8531-DD467802D9D3}"/>
    <cellStyle name="Normal 2 2 5 9 3" xfId="1791" xr:uid="{26032A7B-FF07-4B7F-A8F5-E32AA723F654}"/>
    <cellStyle name="Normal 2 2 5 9 3 2" xfId="10639" xr:uid="{0F85BD39-CB1C-4B77-A8A3-655C6AC0D1A8}"/>
    <cellStyle name="Normal 2 2 5 9 4" xfId="1792" xr:uid="{8A838E57-40EA-437E-858F-C81A28D34CF8}"/>
    <cellStyle name="Normal 2 2 5 9 4 2" xfId="10640" xr:uid="{D1803937-A154-4602-BC4D-F5F0454F6832}"/>
    <cellStyle name="Normal 2 2 5 9 5" xfId="10635" xr:uid="{6D2893D1-651C-4D8A-9480-BF61BD6C143C}"/>
    <cellStyle name="Normal 2 2 50" xfId="1793" xr:uid="{47421B6E-63C2-4A61-ACD3-84B4266EE8AC}"/>
    <cellStyle name="Normal 2 2 50 2" xfId="1794" xr:uid="{09FDF8F9-1EB7-48E6-824C-26F72643CCE2}"/>
    <cellStyle name="Normal 2 2 50 2 2" xfId="1795" xr:uid="{34E51986-535F-41C7-87D2-FBA483470517}"/>
    <cellStyle name="Normal 2 2 50 2 2 2" xfId="10643" xr:uid="{4BE09994-9ED6-4E4D-9C2D-7DA9FA878B9B}"/>
    <cellStyle name="Normal 2 2 50 2 3" xfId="1796" xr:uid="{60941BB9-C739-495B-B2F6-C47CE080FDEB}"/>
    <cellStyle name="Normal 2 2 50 2 3 2" xfId="10644" xr:uid="{140C779B-2CF0-41B5-B9D4-3633F5E4E1AD}"/>
    <cellStyle name="Normal 2 2 50 2 4" xfId="10642" xr:uid="{CCABDFED-9EE3-4891-BC38-AC8D7FFB6CB9}"/>
    <cellStyle name="Normal 2 2 50 3" xfId="1797" xr:uid="{C6682351-A53C-4C13-AEA0-3D9C37FBB540}"/>
    <cellStyle name="Normal 2 2 50 3 2" xfId="10645" xr:uid="{6E44C927-0080-478F-ABBC-A8A3B76BCCEB}"/>
    <cellStyle name="Normal 2 2 50 4" xfId="1798" xr:uid="{0F504E0F-8F0E-458A-B32A-00285733AED9}"/>
    <cellStyle name="Normal 2 2 50 4 2" xfId="10646" xr:uid="{77785FAC-C7AB-4EF8-8D93-186BCE49047C}"/>
    <cellStyle name="Normal 2 2 50 5" xfId="10641" xr:uid="{84F10EB0-C466-46C3-B245-EADECA320A31}"/>
    <cellStyle name="Normal 2 2 51" xfId="1799" xr:uid="{0488F351-9A65-4BFA-98E9-8B9980A9D817}"/>
    <cellStyle name="Normal 2 2 51 2" xfId="1800" xr:uid="{0A76FAF5-CB2D-4F0E-A4B9-543B669693B0}"/>
    <cellStyle name="Normal 2 2 51 2 2" xfId="1801" xr:uid="{3D1944F1-4275-412A-9E74-6734EB32F1F5}"/>
    <cellStyle name="Normal 2 2 51 2 2 2" xfId="10649" xr:uid="{ECB1714E-D8BA-458D-B430-A7369B7A4070}"/>
    <cellStyle name="Normal 2 2 51 2 3" xfId="1802" xr:uid="{24FC37AE-E8CA-469F-BE91-C7DF6C06F720}"/>
    <cellStyle name="Normal 2 2 51 2 3 2" xfId="10650" xr:uid="{93A3897E-7946-4952-B693-F1D8C1A72853}"/>
    <cellStyle name="Normal 2 2 51 2 4" xfId="10648" xr:uid="{40D61113-F2C8-4154-80F2-B61017A4296F}"/>
    <cellStyle name="Normal 2 2 51 3" xfId="1803" xr:uid="{49A3BC88-B50A-42B2-B743-D9C80C94C7B5}"/>
    <cellStyle name="Normal 2 2 51 3 2" xfId="10651" xr:uid="{5EAD631C-BDF3-4955-903E-FB8CA3D867EF}"/>
    <cellStyle name="Normal 2 2 51 4" xfId="1804" xr:uid="{BA5C6DE0-BF30-4EA4-AA25-FC8F17C67E07}"/>
    <cellStyle name="Normal 2 2 51 4 2" xfId="10652" xr:uid="{A65EECAB-02F5-42D5-8C1E-5DAF97B7AB7C}"/>
    <cellStyle name="Normal 2 2 51 5" xfId="10647" xr:uid="{3FDC6CDC-AE2F-46F7-A24D-204685E021C8}"/>
    <cellStyle name="Normal 2 2 52" xfId="1805" xr:uid="{B04022DC-A78E-45A7-8B0F-22405485042F}"/>
    <cellStyle name="Normal 2 2 52 2" xfId="1806" xr:uid="{C6F01B1D-6811-43E6-8264-C56ADE3EBA82}"/>
    <cellStyle name="Normal 2 2 52 2 2" xfId="1807" xr:uid="{F6BD20C5-1968-434A-AB81-CFB9F46357F4}"/>
    <cellStyle name="Normal 2 2 52 2 2 2" xfId="10655" xr:uid="{84D56A7C-A243-4F27-9F6C-2FB9A1B285C3}"/>
    <cellStyle name="Normal 2 2 52 2 3" xfId="1808" xr:uid="{B0489D9D-E596-47C5-A783-C41A4CD2FD47}"/>
    <cellStyle name="Normal 2 2 52 2 3 2" xfId="10656" xr:uid="{E4F53B16-4CB9-433A-A3BB-0CEA3E5C5F35}"/>
    <cellStyle name="Normal 2 2 52 2 4" xfId="10654" xr:uid="{908B5998-0092-462F-91CA-48ECFD7A9867}"/>
    <cellStyle name="Normal 2 2 52 3" xfId="1809" xr:uid="{A7A79A9C-2CC6-42DD-B98F-921C11DD59BE}"/>
    <cellStyle name="Normal 2 2 52 3 2" xfId="10657" xr:uid="{7207DCDD-C213-41D3-8024-1F88D7148D77}"/>
    <cellStyle name="Normal 2 2 52 4" xfId="1810" xr:uid="{5389362E-20E9-4436-9F52-3AAF100D7194}"/>
    <cellStyle name="Normal 2 2 52 4 2" xfId="10658" xr:uid="{95575AC3-C49A-4916-A279-BFEB55BB8FB1}"/>
    <cellStyle name="Normal 2 2 52 5" xfId="10653" xr:uid="{C59EAE15-8C55-4387-A72C-D60F4D91C9D9}"/>
    <cellStyle name="Normal 2 2 53" xfId="1811" xr:uid="{7587B179-F43A-4DD4-998B-CC2F8ABE758B}"/>
    <cellStyle name="Normal 2 2 53 2" xfId="1812" xr:uid="{887FA0A1-1811-407C-87AD-4BB35D7905DF}"/>
    <cellStyle name="Normal 2 2 53 2 2" xfId="1813" xr:uid="{B6BD0632-7996-4347-BC7A-91FB2FD3CB91}"/>
    <cellStyle name="Normal 2 2 53 2 2 2" xfId="10661" xr:uid="{59ACD969-CC80-4C85-9AEC-45E4997B777E}"/>
    <cellStyle name="Normal 2 2 53 2 3" xfId="1814" xr:uid="{02322A36-D339-451C-A4DD-1E54B5289FB6}"/>
    <cellStyle name="Normal 2 2 53 2 3 2" xfId="10662" xr:uid="{984F3E19-A7A1-4444-BA59-5BA99BAF4B40}"/>
    <cellStyle name="Normal 2 2 53 2 4" xfId="10660" xr:uid="{515C7869-EC98-4681-96D5-DFE04EC8FC24}"/>
    <cellStyle name="Normal 2 2 53 3" xfId="1815" xr:uid="{86585B8C-6471-4ABF-AD69-66FB4531DC88}"/>
    <cellStyle name="Normal 2 2 53 3 2" xfId="10663" xr:uid="{FDA489DD-9253-499E-9DFC-E166D32713DD}"/>
    <cellStyle name="Normal 2 2 53 4" xfId="1816" xr:uid="{807ADD55-3683-4A56-9409-839C931730AE}"/>
    <cellStyle name="Normal 2 2 53 4 2" xfId="10664" xr:uid="{77259CEB-BA60-4165-B350-A889B12EA613}"/>
    <cellStyle name="Normal 2 2 53 5" xfId="10659" xr:uid="{204A4B03-6B09-4F5E-A53C-BED39D37631A}"/>
    <cellStyle name="Normal 2 2 54" xfId="1817" xr:uid="{4FFE71FE-8CE3-40E9-A661-E1EA6C196E64}"/>
    <cellStyle name="Normal 2 2 54 2" xfId="1818" xr:uid="{71EE2095-A01E-4323-8E4C-D04E23A2FE3E}"/>
    <cellStyle name="Normal 2 2 54 2 2" xfId="1819" xr:uid="{0102D822-3D70-46E0-B906-54354E0EC125}"/>
    <cellStyle name="Normal 2 2 54 2 2 2" xfId="10667" xr:uid="{47328A04-910D-4546-9B8F-429E69E38839}"/>
    <cellStyle name="Normal 2 2 54 2 3" xfId="1820" xr:uid="{ACA0A8E8-FD17-4CA2-99DC-C6757CB12F3E}"/>
    <cellStyle name="Normal 2 2 54 2 3 2" xfId="10668" xr:uid="{2ACA1D03-CB6E-4A69-A6DB-05B9A47A0670}"/>
    <cellStyle name="Normal 2 2 54 2 4" xfId="10666" xr:uid="{967F3EE1-2AFA-42D9-BBC0-36DF40731E40}"/>
    <cellStyle name="Normal 2 2 54 3" xfId="1821" xr:uid="{68C7A18C-D06A-46A9-86A7-E846DBDEE37B}"/>
    <cellStyle name="Normal 2 2 54 3 2" xfId="10669" xr:uid="{00D0571E-5E8C-49F2-A699-1BD44FC93349}"/>
    <cellStyle name="Normal 2 2 54 4" xfId="1822" xr:uid="{55A1B256-001B-457A-8931-D2B33525749D}"/>
    <cellStyle name="Normal 2 2 54 4 2" xfId="10670" xr:uid="{666F4816-64FA-4F66-9CC4-4F2BC2B03CA6}"/>
    <cellStyle name="Normal 2 2 54 5" xfId="10665" xr:uid="{DD71945F-F4AD-482E-91A5-8F95C96DD1DD}"/>
    <cellStyle name="Normal 2 2 55" xfId="1823" xr:uid="{8E41EEE6-70DD-4BAA-AFD1-05051B6E59CB}"/>
    <cellStyle name="Normal 2 2 55 2" xfId="1824" xr:uid="{9FE6D8DF-C3E5-4FB9-853B-FB4DF1858595}"/>
    <cellStyle name="Normal 2 2 55 2 2" xfId="1825" xr:uid="{206F379C-A683-41AE-9A32-688283496B5D}"/>
    <cellStyle name="Normal 2 2 55 2 2 2" xfId="10673" xr:uid="{8391F570-4C80-4711-A488-C4D6F3F83C18}"/>
    <cellStyle name="Normal 2 2 55 2 3" xfId="1826" xr:uid="{72196C76-A056-49A1-B24E-7CC1A6312E18}"/>
    <cellStyle name="Normal 2 2 55 2 3 2" xfId="10674" xr:uid="{1DB529A6-D301-4B78-91C9-E7980B465C46}"/>
    <cellStyle name="Normal 2 2 55 2 4" xfId="10672" xr:uid="{492FFEAD-39CD-4A3C-BEE8-3D76A29B9F03}"/>
    <cellStyle name="Normal 2 2 55 3" xfId="1827" xr:uid="{C4B81128-9D70-486C-9C40-85C5E1B01B66}"/>
    <cellStyle name="Normal 2 2 55 3 2" xfId="10675" xr:uid="{F9E91127-6127-41A4-B475-EEE43389C619}"/>
    <cellStyle name="Normal 2 2 55 4" xfId="1828" xr:uid="{A0F26BDD-0C07-4283-9DF2-D1365733031A}"/>
    <cellStyle name="Normal 2 2 55 4 2" xfId="10676" xr:uid="{A434EAA7-1420-451C-89B4-3CF85F16322D}"/>
    <cellStyle name="Normal 2 2 55 5" xfId="10671" xr:uid="{F2B84F4E-0DFD-4B5A-8AF8-0826C03EA3BF}"/>
    <cellStyle name="Normal 2 2 56" xfId="1829" xr:uid="{92DAA5CD-ABD3-4114-B124-91F35689270E}"/>
    <cellStyle name="Normal 2 2 56 2" xfId="1830" xr:uid="{B14882AC-EA7C-4C4D-A61A-2ACE50E82FF4}"/>
    <cellStyle name="Normal 2 2 56 2 2" xfId="1831" xr:uid="{A8D6D824-0388-48C5-9E8B-5E246648A050}"/>
    <cellStyle name="Normal 2 2 56 2 2 2" xfId="10679" xr:uid="{31C4E03F-A381-4703-9512-FE2547C52913}"/>
    <cellStyle name="Normal 2 2 56 2 3" xfId="1832" xr:uid="{7854C5F6-8C9F-4A1F-B8D0-7E7C80F8B3A9}"/>
    <cellStyle name="Normal 2 2 56 2 3 2" xfId="10680" xr:uid="{11A38448-8FD2-4FB3-8526-31C64FE1307D}"/>
    <cellStyle name="Normal 2 2 56 2 4" xfId="10678" xr:uid="{317B395A-2D6F-4FE8-9E44-656B242C6049}"/>
    <cellStyle name="Normal 2 2 56 3" xfId="1833" xr:uid="{7556EBF3-358C-4A87-B748-AD163EDD8FB4}"/>
    <cellStyle name="Normal 2 2 56 3 2" xfId="10681" xr:uid="{BC8CD907-69BC-46D6-8A05-085A7DE8F0B9}"/>
    <cellStyle name="Normal 2 2 56 4" xfId="1834" xr:uid="{FECBA8CD-D4AF-4E9E-88A4-6B65F1ABF63F}"/>
    <cellStyle name="Normal 2 2 56 4 2" xfId="10682" xr:uid="{5C3F232B-4673-4677-A0FF-3658B0CB1550}"/>
    <cellStyle name="Normal 2 2 56 5" xfId="10677" xr:uid="{771C7E74-605F-4905-B61C-5D89C2AAE8A1}"/>
    <cellStyle name="Normal 2 2 57" xfId="1835" xr:uid="{E2C81AC0-806B-4104-9728-30EABC9C125F}"/>
    <cellStyle name="Normal 2 2 57 2" xfId="1836" xr:uid="{22EEC464-D8EA-43EE-913D-10A19753690D}"/>
    <cellStyle name="Normal 2 2 57 2 2" xfId="1837" xr:uid="{C877CA39-7C58-40E9-A999-78EE251B898B}"/>
    <cellStyle name="Normal 2 2 57 2 2 2" xfId="10685" xr:uid="{9DBBC448-3145-4BC2-B92C-B6D8E05304DF}"/>
    <cellStyle name="Normal 2 2 57 2 3" xfId="1838" xr:uid="{0226DF3B-79C2-4437-B2DF-2E05972A910C}"/>
    <cellStyle name="Normal 2 2 57 2 3 2" xfId="10686" xr:uid="{39CB1D7C-37C8-4955-B459-B7645A57F3F7}"/>
    <cellStyle name="Normal 2 2 57 2 4" xfId="10684" xr:uid="{9EE3C2B6-7F2A-4581-8EDE-34F25AA63E6F}"/>
    <cellStyle name="Normal 2 2 57 3" xfId="1839" xr:uid="{9C0205BD-B9E8-4949-AA8D-23944F141007}"/>
    <cellStyle name="Normal 2 2 57 3 2" xfId="10687" xr:uid="{C5694E7B-221C-48DF-9326-7B8F28DB166E}"/>
    <cellStyle name="Normal 2 2 57 4" xfId="1840" xr:uid="{0BD49A2D-7BAB-4AC4-8B35-ABAE9C7BDB77}"/>
    <cellStyle name="Normal 2 2 57 4 2" xfId="10688" xr:uid="{725881A8-98E3-46D6-B4D5-C72FF3445665}"/>
    <cellStyle name="Normal 2 2 57 5" xfId="10683" xr:uid="{5241C225-2294-4A53-8557-3888AB0CE5F2}"/>
    <cellStyle name="Normal 2 2 58" xfId="1841" xr:uid="{672AC17F-F54D-4D74-B111-BEB10029CC19}"/>
    <cellStyle name="Normal 2 2 58 2" xfId="1842" xr:uid="{8BC13A59-FCC2-4DA8-82E0-7B1260B7E267}"/>
    <cellStyle name="Normal 2 2 58 2 2" xfId="1843" xr:uid="{A726DABF-9883-4804-9AC4-4DA67DB69362}"/>
    <cellStyle name="Normal 2 2 58 2 2 2" xfId="10691" xr:uid="{C78E7248-3232-4B9D-9B9F-B220E1248407}"/>
    <cellStyle name="Normal 2 2 58 2 3" xfId="1844" xr:uid="{ED07D388-0519-4A44-BE35-1BA056C51D81}"/>
    <cellStyle name="Normal 2 2 58 2 3 2" xfId="10692" xr:uid="{87224D6D-08A4-40D0-BF50-BDD0FB2F71AD}"/>
    <cellStyle name="Normal 2 2 58 2 4" xfId="10690" xr:uid="{8AC6A1A3-AFEA-481E-9E29-C8F08F0A0B36}"/>
    <cellStyle name="Normal 2 2 58 3" xfId="1845" xr:uid="{8651317F-BF41-40E6-99EA-73BE8501F6E9}"/>
    <cellStyle name="Normal 2 2 58 3 2" xfId="10693" xr:uid="{F97A1079-D480-4C02-9C64-036810A2D8C1}"/>
    <cellStyle name="Normal 2 2 58 4" xfId="1846" xr:uid="{E8E0AA99-E7D8-479B-B8D5-73624627626A}"/>
    <cellStyle name="Normal 2 2 58 4 2" xfId="10694" xr:uid="{F0DDCF93-D998-43F8-A5B4-668171E71880}"/>
    <cellStyle name="Normal 2 2 58 5" xfId="10689" xr:uid="{D707E2F5-CD8F-4DD9-A11B-E72E396FABB4}"/>
    <cellStyle name="Normal 2 2 59" xfId="1847" xr:uid="{6756A829-6CCB-4D90-A145-A5A5B9D70760}"/>
    <cellStyle name="Normal 2 2 59 2" xfId="1848" xr:uid="{F26F67C5-45B0-4209-BCA7-7F809984C25C}"/>
    <cellStyle name="Normal 2 2 59 2 2" xfId="1849" xr:uid="{F5FA4E68-BE6A-45A1-8713-3DBD1B32AD9A}"/>
    <cellStyle name="Normal 2 2 59 2 2 2" xfId="10697" xr:uid="{40F6B2B3-3CE7-4819-A386-F4C69B7FC93E}"/>
    <cellStyle name="Normal 2 2 59 2 3" xfId="1850" xr:uid="{8B97FA16-8925-4A2F-8C41-33EB454CF3EE}"/>
    <cellStyle name="Normal 2 2 59 2 3 2" xfId="10698" xr:uid="{134562AD-CD02-4054-9B7F-6423D2A013AE}"/>
    <cellStyle name="Normal 2 2 59 2 4" xfId="10696" xr:uid="{D3FA0015-A5DF-4391-87EA-3FBB02858D1E}"/>
    <cellStyle name="Normal 2 2 59 3" xfId="1851" xr:uid="{C834CE33-9486-484E-B571-9ED7574BFB30}"/>
    <cellStyle name="Normal 2 2 59 3 2" xfId="10699" xr:uid="{520FA87D-DD83-48F8-B4E3-682340BF2BB8}"/>
    <cellStyle name="Normal 2 2 59 4" xfId="1852" xr:uid="{E4F3A879-1CF1-4FBD-9471-97FCC1B46415}"/>
    <cellStyle name="Normal 2 2 59 4 2" xfId="10700" xr:uid="{C30A6FFB-1008-4027-94D9-02DF96857491}"/>
    <cellStyle name="Normal 2 2 59 5" xfId="10695" xr:uid="{769F57E1-4F26-4861-8CE9-BA6EB41171C6}"/>
    <cellStyle name="Normal 2 2 6" xfId="1853" xr:uid="{14E26D18-F556-476F-B7AC-44FCB2B74FA6}"/>
    <cellStyle name="Normal 2 2 6 2" xfId="1854" xr:uid="{FEFC4A08-BBD6-4D76-A428-68CADC0761A0}"/>
    <cellStyle name="Normal 2 2 6 2 2" xfId="1855" xr:uid="{26BBA7ED-477B-4507-8087-04512E124CB4}"/>
    <cellStyle name="Normal 2 2 6 2 2 2" xfId="10703" xr:uid="{49FB5852-5B8E-4156-97E4-07517412A817}"/>
    <cellStyle name="Normal 2 2 6 2 3" xfId="1856" xr:uid="{E7939E42-C62E-4F55-B99F-484420DBD488}"/>
    <cellStyle name="Normal 2 2 6 2 3 2" xfId="10704" xr:uid="{248A796D-98CC-4B37-91FC-15F4A3DE0AAE}"/>
    <cellStyle name="Normal 2 2 6 2 4" xfId="10702" xr:uid="{4D868E01-BC9E-4E90-A84A-627F266A428A}"/>
    <cellStyle name="Normal 2 2 6 3" xfId="1857" xr:uid="{82B96109-AEBA-42E0-8F05-1587CF01C18E}"/>
    <cellStyle name="Normal 2 2 6 3 2" xfId="10705" xr:uid="{1C25EF05-C7DB-4FAB-A0E3-491BF6B61822}"/>
    <cellStyle name="Normal 2 2 6 4" xfId="1858" xr:uid="{2A8617BF-D3B7-4C9E-BF80-9D871BFBE5F6}"/>
    <cellStyle name="Normal 2 2 6 4 2" xfId="10706" xr:uid="{1BFCD3D5-B0B9-4514-8192-9EC8765C24B1}"/>
    <cellStyle name="Normal 2 2 6 5" xfId="10701" xr:uid="{7791C845-79C7-49A5-938F-42D3E8D7B5C6}"/>
    <cellStyle name="Normal 2 2 60" xfId="1859" xr:uid="{C43DC8C2-B0F5-4F0E-AB9A-A85D016740D2}"/>
    <cellStyle name="Normal 2 2 60 2" xfId="1860" xr:uid="{9E293633-267F-4A11-BC1F-4AAFB1DAB9D0}"/>
    <cellStyle name="Normal 2 2 60 2 2" xfId="1861" xr:uid="{F606094C-F5A4-49CB-8841-6B11458921F1}"/>
    <cellStyle name="Normal 2 2 60 2 2 2" xfId="10709" xr:uid="{76EB516F-85FA-4F6F-9691-D3FC02272022}"/>
    <cellStyle name="Normal 2 2 60 2 3" xfId="1862" xr:uid="{674B8B45-1EBE-45B9-AD46-B42F02086A15}"/>
    <cellStyle name="Normal 2 2 60 2 3 2" xfId="10710" xr:uid="{31EC1B9C-D817-4377-B786-D75DEB2ECA91}"/>
    <cellStyle name="Normal 2 2 60 2 4" xfId="10708" xr:uid="{142BD776-CE03-4965-ACD3-F64E7F30844B}"/>
    <cellStyle name="Normal 2 2 60 3" xfId="1863" xr:uid="{2F17EFF6-396C-4F00-B680-082029C3919D}"/>
    <cellStyle name="Normal 2 2 60 3 2" xfId="10711" xr:uid="{3555E4EF-09A9-4C62-830E-A84619CDCEDB}"/>
    <cellStyle name="Normal 2 2 60 4" xfId="1864" xr:uid="{DB0A13A2-E91E-4FE7-832A-984FA1D9461C}"/>
    <cellStyle name="Normal 2 2 60 4 2" xfId="10712" xr:uid="{E105C2E1-073C-465C-ABBF-335FDF51AAB1}"/>
    <cellStyle name="Normal 2 2 60 5" xfId="10707" xr:uid="{6ABF2CBD-3B0C-483D-831A-5CE8CF843330}"/>
    <cellStyle name="Normal 2 2 61" xfId="1865" xr:uid="{64E6E9A4-8FDA-4060-8DF1-5842A2B3632F}"/>
    <cellStyle name="Normal 2 2 61 2" xfId="1866" xr:uid="{C8526415-B057-474F-9565-72588764C1F0}"/>
    <cellStyle name="Normal 2 2 61 2 2" xfId="10714" xr:uid="{5A7F7F4D-80A2-4EB8-9FD7-AEECFB5045B7}"/>
    <cellStyle name="Normal 2 2 61 3" xfId="1867" xr:uid="{84512A8A-AA98-4C42-B885-C09E0E86CDBC}"/>
    <cellStyle name="Normal 2 2 61 3 2" xfId="10715" xr:uid="{28BA26CB-35B8-43C2-AF46-6D4F8A4731E2}"/>
    <cellStyle name="Normal 2 2 61 4" xfId="10713" xr:uid="{6BEA0CD6-26D6-4E11-964E-F31043029097}"/>
    <cellStyle name="Normal 2 2 62" xfId="1868" xr:uid="{8E802734-D341-4332-95C0-5701A47B61E8}"/>
    <cellStyle name="Normal 2 2 62 2" xfId="10716" xr:uid="{F2B02B36-B274-4596-A13C-DE49408A145A}"/>
    <cellStyle name="Normal 2 2 63" xfId="1869" xr:uid="{41903531-BD70-46B7-955D-10D4F5D153E6}"/>
    <cellStyle name="Normal 2 2 63 2" xfId="10717" xr:uid="{A576830A-1B4B-4D2E-9892-6F1637B1B2BC}"/>
    <cellStyle name="Normal 2 2 64" xfId="1870" xr:uid="{E15A416B-64B5-4EF6-80FF-3D13FD7AE0BE}"/>
    <cellStyle name="Normal 2 2 65" xfId="504" xr:uid="{CEBE11B4-5FD5-4D3C-BD95-6432E63225E3}"/>
    <cellStyle name="Normal 2 2 66" xfId="9363" xr:uid="{5E06DBB8-0CAE-439F-8442-78878BF76897}"/>
    <cellStyle name="Normal 2 2 7" xfId="1871" xr:uid="{6982B912-9036-4E65-A92F-3C015BBBB65C}"/>
    <cellStyle name="Normal 2 2 7 2" xfId="1872" xr:uid="{63D798DC-8DBF-4DD1-917D-68FF90305477}"/>
    <cellStyle name="Normal 2 2 7 2 2" xfId="1873" xr:uid="{8479DF58-219F-4E3F-8DF1-C78BA349966B}"/>
    <cellStyle name="Normal 2 2 7 2 2 2" xfId="10720" xr:uid="{B4748AED-8EDD-47FC-AA11-6F8885503022}"/>
    <cellStyle name="Normal 2 2 7 2 3" xfId="1874" xr:uid="{DC75E7D1-60C0-48EC-8C72-A130CBDD1712}"/>
    <cellStyle name="Normal 2 2 7 2 3 2" xfId="10721" xr:uid="{90BD9002-53C5-4C46-AC4D-078EFF6CD80F}"/>
    <cellStyle name="Normal 2 2 7 2 4" xfId="10719" xr:uid="{725332B5-9128-4A68-9C50-60EB547FABCC}"/>
    <cellStyle name="Normal 2 2 7 3" xfId="1875" xr:uid="{9620B3C5-9F02-4031-8E92-CE3D67890354}"/>
    <cellStyle name="Normal 2 2 7 3 2" xfId="10722" xr:uid="{EB2CAB5E-7874-4132-9E0F-8345BD3B5E66}"/>
    <cellStyle name="Normal 2 2 7 4" xfId="1876" xr:uid="{4FA9087C-6B91-44C5-81F4-6E91C707BDF6}"/>
    <cellStyle name="Normal 2 2 7 4 2" xfId="10723" xr:uid="{B5E4215D-8B31-4EEE-8AB0-E2B5A35C71FE}"/>
    <cellStyle name="Normal 2 2 7 5" xfId="10718" xr:uid="{8B92F3C3-2107-4C0C-84CF-655468CC785D}"/>
    <cellStyle name="Normal 2 2 8" xfId="1877" xr:uid="{1C6DC7E8-4656-4C0D-ACD5-AB3ADF78B845}"/>
    <cellStyle name="Normal 2 2 8 2" xfId="1878" xr:uid="{FB2CC9BE-51C7-48BD-B96B-1ECCEF5BA22E}"/>
    <cellStyle name="Normal 2 2 8 2 2" xfId="1879" xr:uid="{E1B8D9FD-F9B2-43AD-BF4E-00B3D8EF6F4E}"/>
    <cellStyle name="Normal 2 2 8 2 2 2" xfId="10726" xr:uid="{BD61CE75-F4F9-4B4B-A0A7-774398219DD0}"/>
    <cellStyle name="Normal 2 2 8 2 3" xfId="1880" xr:uid="{B9D1F633-56D5-41F6-9C8C-A818B8FC1765}"/>
    <cellStyle name="Normal 2 2 8 2 3 2" xfId="10727" xr:uid="{D22CACFA-4760-4BD8-A246-B7600C3535F1}"/>
    <cellStyle name="Normal 2 2 8 2 4" xfId="10725" xr:uid="{CE10E7AF-EA02-4966-9717-162FF6277AE3}"/>
    <cellStyle name="Normal 2 2 8 3" xfId="1881" xr:uid="{57F3C94A-E6D5-4226-BE1F-18D29D1266C5}"/>
    <cellStyle name="Normal 2 2 8 3 2" xfId="10728" xr:uid="{93A65C4E-1E25-4CAC-BB1A-E7A1FCF3805E}"/>
    <cellStyle name="Normal 2 2 8 4" xfId="1882" xr:uid="{C53D4DFD-2992-45FB-B0D3-B70C2B296B11}"/>
    <cellStyle name="Normal 2 2 8 4 2" xfId="10729" xr:uid="{66A47B92-2939-4C69-98B0-CC680FC3163C}"/>
    <cellStyle name="Normal 2 2 8 5" xfId="10724" xr:uid="{D85A103E-98B2-47DF-B383-502D1307044B}"/>
    <cellStyle name="Normal 2 2 9" xfId="1883" xr:uid="{814FF854-4149-4FD0-8ECF-6D92051C700D}"/>
    <cellStyle name="Normal 2 2 9 2" xfId="1884" xr:uid="{2DFD2F54-E3C1-432C-8D03-99E764AB0AAA}"/>
    <cellStyle name="Normal 2 2 9 2 2" xfId="1885" xr:uid="{183CBB24-E090-4BF2-BEF0-9BAC783A9B19}"/>
    <cellStyle name="Normal 2 2 9 2 2 2" xfId="10732" xr:uid="{45FB91F6-3528-4CDF-98CC-6A8B1C63B71F}"/>
    <cellStyle name="Normal 2 2 9 2 3" xfId="1886" xr:uid="{0EB844F1-D6DD-462F-BECE-53AB4B2CCCE8}"/>
    <cellStyle name="Normal 2 2 9 2 3 2" xfId="10733" xr:uid="{48539167-4809-4CB1-88B5-F9692699F948}"/>
    <cellStyle name="Normal 2 2 9 2 4" xfId="10731" xr:uid="{9A2FD491-444E-495E-8C4B-D57C1440E338}"/>
    <cellStyle name="Normal 2 2 9 3" xfId="1887" xr:uid="{43EDB155-9169-4E10-ACFA-AAF9740ED515}"/>
    <cellStyle name="Normal 2 2 9 3 2" xfId="10734" xr:uid="{C09E1BF2-A966-4AD0-A75A-3DEE58ED956A}"/>
    <cellStyle name="Normal 2 2 9 4" xfId="1888" xr:uid="{4A155674-9FA7-41DF-8EB9-E4C0A4CC458B}"/>
    <cellStyle name="Normal 2 2 9 4 2" xfId="10735" xr:uid="{BAA88ACF-7ED7-431B-87D9-9876D0F9BC69}"/>
    <cellStyle name="Normal 2 2 9 5" xfId="10730" xr:uid="{E58A0299-57CE-44B7-98EC-5F19392F6A9C}"/>
    <cellStyle name="Normal 2 20" xfId="1889" xr:uid="{98F7A1E8-4712-4CCC-BCF2-CFA52B21A4B0}"/>
    <cellStyle name="Normal 2 20 2" xfId="1890" xr:uid="{422ECE38-A83F-4834-A346-EEB0A8084C38}"/>
    <cellStyle name="Normal 2 20 2 2" xfId="1891" xr:uid="{63489911-6196-45F4-A88E-6BCB7658228F}"/>
    <cellStyle name="Normal 2 20 2 2 2" xfId="10738" xr:uid="{692F582A-90CC-45D1-9749-64B861D2E8B7}"/>
    <cellStyle name="Normal 2 20 2 3" xfId="1892" xr:uid="{91D6C822-3193-494A-BF9C-A3C8A17EA827}"/>
    <cellStyle name="Normal 2 20 2 3 2" xfId="10739" xr:uid="{120EC62B-DF06-45BB-A488-6C31076AD827}"/>
    <cellStyle name="Normal 2 20 2 4" xfId="10737" xr:uid="{88726010-D310-40DF-9FBF-B514943D0FB0}"/>
    <cellStyle name="Normal 2 20 3" xfId="1893" xr:uid="{B4E85C7F-FEEB-4E03-8774-53E860150DEA}"/>
    <cellStyle name="Normal 2 20 3 2" xfId="10740" xr:uid="{14D0D99C-2BE1-44A4-91E7-AF5F76F51AC6}"/>
    <cellStyle name="Normal 2 20 4" xfId="1894" xr:uid="{98D641DB-3700-4921-8833-0F41F03AF4A4}"/>
    <cellStyle name="Normal 2 20 4 2" xfId="10741" xr:uid="{149DE1A5-D018-4CAF-A069-99D7891F8B95}"/>
    <cellStyle name="Normal 2 20 5" xfId="10736" xr:uid="{701CFA7F-C45A-4631-9D4C-939C8B664F4E}"/>
    <cellStyle name="Normal 2 21" xfId="1895" xr:uid="{54AA6619-EB25-4D03-A73C-3FF06C1C7958}"/>
    <cellStyle name="Normal 2 21 2" xfId="1896" xr:uid="{B2E3C5AF-963F-48A1-B0F2-958F3F4B8DBC}"/>
    <cellStyle name="Normal 2 21 2 2" xfId="1897" xr:uid="{419B60EE-E61E-49BF-9FC2-D2DC3595BCDD}"/>
    <cellStyle name="Normal 2 21 2 2 2" xfId="10744" xr:uid="{D58760B9-F312-4B1D-98E3-5B187BE4FDCB}"/>
    <cellStyle name="Normal 2 21 2 3" xfId="1898" xr:uid="{7C42017A-A776-493A-8ECE-5265036261D7}"/>
    <cellStyle name="Normal 2 21 2 3 2" xfId="10745" xr:uid="{5D935741-4BA6-4323-B75C-F75AAEB7EA2E}"/>
    <cellStyle name="Normal 2 21 2 4" xfId="10743" xr:uid="{7BA3F981-3A9F-4AEB-A5BB-02622C53C032}"/>
    <cellStyle name="Normal 2 21 3" xfId="1899" xr:uid="{76F8C346-9FB3-47C1-9E06-87BAACECCA8F}"/>
    <cellStyle name="Normal 2 21 3 2" xfId="10746" xr:uid="{71088872-95EA-42A1-9EC4-4CF9C02CB374}"/>
    <cellStyle name="Normal 2 21 4" xfId="1900" xr:uid="{E2C7FAC8-2269-449F-9847-98C09B89644D}"/>
    <cellStyle name="Normal 2 21 4 2" xfId="10747" xr:uid="{420F92FC-995D-46C3-9275-8B38FE80D460}"/>
    <cellStyle name="Normal 2 21 5" xfId="10742" xr:uid="{8AB5D6BF-1381-4F75-85C9-E9143A09EB5E}"/>
    <cellStyle name="Normal 2 22" xfId="1901" xr:uid="{B630897C-71FB-4EB7-A69D-2AF42F2C1292}"/>
    <cellStyle name="Normal 2 22 2" xfId="1902" xr:uid="{68283243-9923-4E0B-856F-6421CFEB6A69}"/>
    <cellStyle name="Normal 2 22 2 2" xfId="1903" xr:uid="{D59F4181-5FC7-4956-824C-2B62C4AAA002}"/>
    <cellStyle name="Normal 2 22 2 2 2" xfId="10750" xr:uid="{781F4489-9A31-4B54-AE29-C58668BC06C2}"/>
    <cellStyle name="Normal 2 22 2 3" xfId="1904" xr:uid="{59EF64AF-AFAE-46A1-BC13-0C625505F865}"/>
    <cellStyle name="Normal 2 22 2 3 2" xfId="10751" xr:uid="{8176CF6A-CCAD-4286-A4AA-38B1A0B74BE8}"/>
    <cellStyle name="Normal 2 22 2 4" xfId="10749" xr:uid="{AFD73583-7BDA-40C7-89DE-DA911B0E5368}"/>
    <cellStyle name="Normal 2 22 3" xfId="1905" xr:uid="{1F927535-689B-4981-80BB-F012BF416240}"/>
    <cellStyle name="Normal 2 22 3 2" xfId="10752" xr:uid="{604ADAF0-7DE7-4E94-982D-440943B893C3}"/>
    <cellStyle name="Normal 2 22 4" xfId="1906" xr:uid="{7C07897C-F9B1-4758-953C-CA57A6FCA573}"/>
    <cellStyle name="Normal 2 22 4 2" xfId="10753" xr:uid="{D14CBBF8-AC0B-4ACF-8F81-BC03E4660A4F}"/>
    <cellStyle name="Normal 2 22 5" xfId="10748" xr:uid="{37A44E70-E806-4574-91EF-EEF5F28CE94C}"/>
    <cellStyle name="Normal 2 23" xfId="1907" xr:uid="{5E82707F-A555-42CF-8736-6F89606E5098}"/>
    <cellStyle name="Normal 2 23 2" xfId="1908" xr:uid="{52632AD1-B5AC-4359-B84C-ED6B346033A3}"/>
    <cellStyle name="Normal 2 23 2 2" xfId="1909" xr:uid="{DCA5F161-AB78-4D7C-A56A-AC5ECF2FF874}"/>
    <cellStyle name="Normal 2 23 2 2 2" xfId="10756" xr:uid="{E48190CF-1909-40B4-953D-E349224B2068}"/>
    <cellStyle name="Normal 2 23 2 3" xfId="1910" xr:uid="{3FCC8F9B-94FE-4742-B9D6-2256F23D1BD2}"/>
    <cellStyle name="Normal 2 23 2 3 2" xfId="10757" xr:uid="{DE447C05-53A0-4FCB-AD33-1B1C44D506A9}"/>
    <cellStyle name="Normal 2 23 2 4" xfId="10755" xr:uid="{64E9AACE-7BAA-4979-9005-0212D1DDFA3E}"/>
    <cellStyle name="Normal 2 23 3" xfId="1911" xr:uid="{2078B845-C3E1-49DA-8DF1-94C69AA528CE}"/>
    <cellStyle name="Normal 2 23 3 2" xfId="10758" xr:uid="{149020F5-1590-433B-816D-E7380248033A}"/>
    <cellStyle name="Normal 2 23 4" xfId="1912" xr:uid="{569B8C48-90AF-4A91-9679-F9A972475410}"/>
    <cellStyle name="Normal 2 23 4 2" xfId="10759" xr:uid="{D1A65E98-FCAB-41C2-B725-C36064F1F487}"/>
    <cellStyle name="Normal 2 23 5" xfId="10754" xr:uid="{4D03BC03-5530-499D-9958-B511C4335B33}"/>
    <cellStyle name="Normal 2 24" xfId="1913" xr:uid="{10E1DCCC-C023-4019-974F-A02669BFC756}"/>
    <cellStyle name="Normal 2 24 2" xfId="1914" xr:uid="{5E39CC91-088F-49AF-980E-3C1B0257868D}"/>
    <cellStyle name="Normal 2 24 2 2" xfId="1915" xr:uid="{DA88382F-0754-47E9-8E64-D9DA46E3D2B2}"/>
    <cellStyle name="Normal 2 24 2 2 2" xfId="10762" xr:uid="{304F155F-0BA9-4E87-AD4E-E65AC763633A}"/>
    <cellStyle name="Normal 2 24 2 3" xfId="1916" xr:uid="{46CB9A9C-939C-4438-936E-B2843D46D6F8}"/>
    <cellStyle name="Normal 2 24 2 3 2" xfId="10763" xr:uid="{7FF01DC2-2573-431D-A0CF-D4146119A45C}"/>
    <cellStyle name="Normal 2 24 2 4" xfId="10761" xr:uid="{81BC0CB3-0465-45EC-8F80-D367C1A1097A}"/>
    <cellStyle name="Normal 2 24 3" xfId="1917" xr:uid="{8B029220-6C4E-44C1-9D8C-70363B1FD166}"/>
    <cellStyle name="Normal 2 24 3 2" xfId="10764" xr:uid="{6DBBE64C-3836-4A1F-9A44-860213447D4A}"/>
    <cellStyle name="Normal 2 24 4" xfId="1918" xr:uid="{6CAD8530-0DC1-4F22-9226-3CDEDB759BAE}"/>
    <cellStyle name="Normal 2 24 4 2" xfId="10765" xr:uid="{F35F12EA-0734-4C6E-B3D4-3E1E0D7DEDD0}"/>
    <cellStyle name="Normal 2 24 5" xfId="10760" xr:uid="{AEB1689C-0692-4CEE-B076-65541C175A54}"/>
    <cellStyle name="Normal 2 25" xfId="1919" xr:uid="{A74C886E-3829-4E34-94AE-180F0FE1B80F}"/>
    <cellStyle name="Normal 2 25 2" xfId="1920" xr:uid="{9179B26D-6922-499D-A9AC-D5B17AF279A0}"/>
    <cellStyle name="Normal 2 25 2 2" xfId="1921" xr:uid="{078CD6E3-51C8-4C4B-AA0C-1E4746F39653}"/>
    <cellStyle name="Normal 2 25 2 2 2" xfId="10768" xr:uid="{11E56808-6D2E-42DF-896A-6AA8EBD58E3D}"/>
    <cellStyle name="Normal 2 25 2 3" xfId="1922" xr:uid="{67D84145-A7D5-4F30-AB56-46C7D62C0A2D}"/>
    <cellStyle name="Normal 2 25 2 3 2" xfId="10769" xr:uid="{1085C9B7-05D3-45B6-B302-D2249742AB55}"/>
    <cellStyle name="Normal 2 25 2 4" xfId="10767" xr:uid="{72682F21-D10C-4312-B0FD-2CB8DAB296CF}"/>
    <cellStyle name="Normal 2 25 3" xfId="1923" xr:uid="{06938B25-24D2-401C-8958-F4E302C0E4F4}"/>
    <cellStyle name="Normal 2 25 3 2" xfId="10770" xr:uid="{059843A9-021A-435B-A584-3F4E881E7717}"/>
    <cellStyle name="Normal 2 25 4" xfId="1924" xr:uid="{E776291B-36CF-4266-976B-835684CEE755}"/>
    <cellStyle name="Normal 2 25 4 2" xfId="10771" xr:uid="{05119B38-9DDD-4B02-A636-00D12898652E}"/>
    <cellStyle name="Normal 2 25 5" xfId="10766" xr:uid="{45B48BA2-5C70-4403-9836-EC643699EE39}"/>
    <cellStyle name="Normal 2 26" xfId="1925" xr:uid="{8A12D7E2-AFFD-4486-947A-1EC8E1E35BE0}"/>
    <cellStyle name="Normal 2 26 2" xfId="1926" xr:uid="{8A1AF5C2-1E6C-4C27-85DF-AC483CFE45E0}"/>
    <cellStyle name="Normal 2 26 2 2" xfId="1927" xr:uid="{7A8A74C4-4E1F-4501-8622-8F8DDCA1788F}"/>
    <cellStyle name="Normal 2 26 2 2 2" xfId="10774" xr:uid="{EB27097F-28C1-4B18-88C6-6AB0200D0F74}"/>
    <cellStyle name="Normal 2 26 2 3" xfId="1928" xr:uid="{45D8DF95-BC9C-463C-A4F2-2738BCEDB8FC}"/>
    <cellStyle name="Normal 2 26 2 3 2" xfId="10775" xr:uid="{6E042A4E-6F25-4659-866C-277CB38FB385}"/>
    <cellStyle name="Normal 2 26 2 4" xfId="10773" xr:uid="{1F3EF7E7-B0D4-453A-B902-FD7A26ACA175}"/>
    <cellStyle name="Normal 2 26 3" xfId="1929" xr:uid="{C1CA07C1-78FC-4A48-8EAC-0A2A78745D1E}"/>
    <cellStyle name="Normal 2 26 3 2" xfId="10776" xr:uid="{FF61E432-5D54-47F4-83F4-178D6CB3D9BC}"/>
    <cellStyle name="Normal 2 26 4" xfId="1930" xr:uid="{4FD162F1-922A-44A0-8DDD-070A2BD6A401}"/>
    <cellStyle name="Normal 2 26 4 2" xfId="10777" xr:uid="{F6D87653-FA93-42B1-8DF4-B2A0A719600A}"/>
    <cellStyle name="Normal 2 26 5" xfId="10772" xr:uid="{ABD40166-90FB-483B-9961-2CE6874A43B7}"/>
    <cellStyle name="Normal 2 27" xfId="1931" xr:uid="{1EF33F32-BC03-48E0-A348-6DA9D3225B09}"/>
    <cellStyle name="Normal 2 27 2" xfId="1932" xr:uid="{17C774D3-56C0-430C-B10C-759508D81474}"/>
    <cellStyle name="Normal 2 27 2 2" xfId="1933" xr:uid="{92637F55-C0C7-4343-91A7-E8845245ACE1}"/>
    <cellStyle name="Normal 2 27 2 2 2" xfId="10780" xr:uid="{59049050-400A-42F2-814F-9AC737E5E337}"/>
    <cellStyle name="Normal 2 27 2 3" xfId="1934" xr:uid="{5DEACB60-F418-41C0-BFC9-03FCF050F386}"/>
    <cellStyle name="Normal 2 27 2 3 2" xfId="10781" xr:uid="{5FBA9DA5-2379-43B8-B7C2-2D351592C26C}"/>
    <cellStyle name="Normal 2 27 2 4" xfId="10779" xr:uid="{CC6AE340-E1B1-440C-BD40-A4304AAC6E30}"/>
    <cellStyle name="Normal 2 27 3" xfId="1935" xr:uid="{0C3EEEC7-6409-40CE-909D-66998582D580}"/>
    <cellStyle name="Normal 2 27 3 2" xfId="10782" xr:uid="{11786481-C5F0-4A53-A8A7-51E3D7BC02D7}"/>
    <cellStyle name="Normal 2 27 4" xfId="1936" xr:uid="{D04B4AF7-4935-4605-92E5-5FB71DCABFBE}"/>
    <cellStyle name="Normal 2 27 4 2" xfId="10783" xr:uid="{2EECBDB1-6E1B-4D86-8F92-5AD28753EE19}"/>
    <cellStyle name="Normal 2 27 5" xfId="10778" xr:uid="{C5D5DBED-0513-4318-84A7-ED101B65AD12}"/>
    <cellStyle name="Normal 2 28" xfId="1937" xr:uid="{9D184FBF-F103-446C-82EF-CC8CC709DC91}"/>
    <cellStyle name="Normal 2 28 2" xfId="1938" xr:uid="{241F3215-2C2C-4134-B452-87C2D650623D}"/>
    <cellStyle name="Normal 2 28 2 2" xfId="1939" xr:uid="{1D324375-DF1A-42E9-8444-7F41F541C2BA}"/>
    <cellStyle name="Normal 2 28 2 2 2" xfId="10786" xr:uid="{3D29F3C4-CD84-446F-A9C0-F208818E4C7D}"/>
    <cellStyle name="Normal 2 28 2 3" xfId="1940" xr:uid="{E6803326-A23F-438F-8332-7417FF5A178E}"/>
    <cellStyle name="Normal 2 28 2 3 2" xfId="10787" xr:uid="{3B967F35-9CAE-4645-9C39-A4853C7A105E}"/>
    <cellStyle name="Normal 2 28 2 4" xfId="10785" xr:uid="{7F728CE6-2E57-40E4-ABF9-8FAA1B357DA2}"/>
    <cellStyle name="Normal 2 28 3" xfId="1941" xr:uid="{40ADB900-6F8D-4718-B704-E3F735D69C6B}"/>
    <cellStyle name="Normal 2 28 3 2" xfId="10788" xr:uid="{A8CD8095-FF9F-4232-95A2-7937DB3FBE18}"/>
    <cellStyle name="Normal 2 28 4" xfId="1942" xr:uid="{3FF5E580-C30B-4E42-A6F9-7EF3046E1C1A}"/>
    <cellStyle name="Normal 2 28 4 2" xfId="10789" xr:uid="{2DF06F0C-1C9E-4DBB-BCFB-CAF625C48C5B}"/>
    <cellStyle name="Normal 2 28 5" xfId="10784" xr:uid="{82451C40-C5B2-40BE-A22A-784EF24FA01F}"/>
    <cellStyle name="Normal 2 29" xfId="1943" xr:uid="{81F8A3AD-7F5F-45C0-B7FB-310EC77C82A4}"/>
    <cellStyle name="Normal 2 29 2" xfId="1944" xr:uid="{EFDCF4B7-2EB2-46C9-86E2-63D65A60EADC}"/>
    <cellStyle name="Normal 2 29 2 2" xfId="1945" xr:uid="{FB3EE65D-EB3D-4862-8A04-2A62174B2CB4}"/>
    <cellStyle name="Normal 2 29 2 2 2" xfId="10792" xr:uid="{026E7835-E128-4573-B829-BD4FB7966594}"/>
    <cellStyle name="Normal 2 29 2 3" xfId="1946" xr:uid="{6355295F-A9D9-46A8-AA06-2F35ED64546B}"/>
    <cellStyle name="Normal 2 29 2 3 2" xfId="10793" xr:uid="{A34350F3-2E6B-4DDA-A501-726815C46421}"/>
    <cellStyle name="Normal 2 29 2 4" xfId="10791" xr:uid="{DD785061-AFE2-401D-9282-76AE02436E0D}"/>
    <cellStyle name="Normal 2 29 3" xfId="1947" xr:uid="{520B40AF-0F3C-4642-AF7B-6D24F5D440A4}"/>
    <cellStyle name="Normal 2 29 3 2" xfId="10794" xr:uid="{0FDC9C43-AA51-4028-AD1A-C32840B98EF5}"/>
    <cellStyle name="Normal 2 29 4" xfId="1948" xr:uid="{77797C1B-172E-4475-A808-A4CDB04BEA65}"/>
    <cellStyle name="Normal 2 29 4 2" xfId="10795" xr:uid="{73CB6E18-E778-447F-9CE3-09702509DF29}"/>
    <cellStyle name="Normal 2 29 5" xfId="10790" xr:uid="{C5DC0BBA-6BDB-498A-BEF4-7789E50395BC}"/>
    <cellStyle name="Normal 2 3" xfId="1949" xr:uid="{B650296A-AD19-42CA-8A76-1F92BCBB29B6}"/>
    <cellStyle name="Normal 2 3 10" xfId="1950" xr:uid="{208D8FC7-2EF7-417D-967A-AE92BC4EE05E}"/>
    <cellStyle name="Normal 2 3 10 2" xfId="1951" xr:uid="{7810573C-5ABA-4E46-BBC0-1757BBD337AB}"/>
    <cellStyle name="Normal 2 3 10 2 2" xfId="1952" xr:uid="{9F3D7B0D-F1A6-4001-830B-943416D371E7}"/>
    <cellStyle name="Normal 2 3 10 2 2 2" xfId="10799" xr:uid="{28E7E65D-1561-45F8-A208-8BE4AEA20575}"/>
    <cellStyle name="Normal 2 3 10 2 3" xfId="1953" xr:uid="{51C0111E-1B93-4652-B41E-01515175420E}"/>
    <cellStyle name="Normal 2 3 10 2 3 2" xfId="10800" xr:uid="{DBC16F49-B4FA-49E4-9F3F-51F58C803385}"/>
    <cellStyle name="Normal 2 3 10 2 4" xfId="10798" xr:uid="{ADDC6ED0-3D02-44DF-8D2D-491AFAC51FD6}"/>
    <cellStyle name="Normal 2 3 10 3" xfId="1954" xr:uid="{AC073139-0F6F-499F-8D0C-848DC9070035}"/>
    <cellStyle name="Normal 2 3 10 3 2" xfId="10801" xr:uid="{09E2E1CB-C8C7-4C8D-87FE-4680B9D8B894}"/>
    <cellStyle name="Normal 2 3 10 4" xfId="1955" xr:uid="{9CFC15F9-71F2-4E5C-A077-0991F28440F8}"/>
    <cellStyle name="Normal 2 3 10 4 2" xfId="10802" xr:uid="{FD2728A2-7124-4C1C-835E-BC94E788B1ED}"/>
    <cellStyle name="Normal 2 3 10 5" xfId="10797" xr:uid="{3C8D2D23-9D10-41F4-BA4F-660595E043F3}"/>
    <cellStyle name="Normal 2 3 11" xfId="1956" xr:uid="{6A6CB712-92A1-4824-9811-07C89EA5FD54}"/>
    <cellStyle name="Normal 2 3 11 2" xfId="1957" xr:uid="{532D71A3-A2E6-4D41-A553-27AF91AEB77D}"/>
    <cellStyle name="Normal 2 3 11 2 2" xfId="1958" xr:uid="{302D2E69-AAA2-4351-961A-51207127E41E}"/>
    <cellStyle name="Normal 2 3 11 2 2 2" xfId="10805" xr:uid="{ADD041D0-AA83-43CF-A3A5-C994F7F9DD40}"/>
    <cellStyle name="Normal 2 3 11 2 3" xfId="1959" xr:uid="{ED30942C-75DA-4F1F-B96A-7851D288748B}"/>
    <cellStyle name="Normal 2 3 11 2 3 2" xfId="10806" xr:uid="{06CD7ED6-81CE-46CC-BC14-1116E7AE8ACD}"/>
    <cellStyle name="Normal 2 3 11 2 4" xfId="10804" xr:uid="{9F4FB0CD-7865-4FC2-A38B-31225A46D063}"/>
    <cellStyle name="Normal 2 3 11 3" xfId="1960" xr:uid="{D9DDCBF4-10C4-4DE0-80E5-658DD0848E75}"/>
    <cellStyle name="Normal 2 3 11 3 2" xfId="10807" xr:uid="{7C50356B-6ED3-4AAE-B334-C1B93D7B2518}"/>
    <cellStyle name="Normal 2 3 11 4" xfId="1961" xr:uid="{6A841920-ADA5-4497-9099-D612B0FF712B}"/>
    <cellStyle name="Normal 2 3 11 4 2" xfId="10808" xr:uid="{8D9BF1DB-AC59-4ACA-BAF9-D06111F3E827}"/>
    <cellStyle name="Normal 2 3 11 5" xfId="10803" xr:uid="{DAEB4E2C-0F0A-472E-AA8D-24297F389DA7}"/>
    <cellStyle name="Normal 2 3 12" xfId="1962" xr:uid="{F71C2515-8463-4A6F-9955-26323B4AAF87}"/>
    <cellStyle name="Normal 2 3 12 2" xfId="1963" xr:uid="{5235EA4C-6DAD-48AF-8585-E0DBAB76F965}"/>
    <cellStyle name="Normal 2 3 12 2 2" xfId="1964" xr:uid="{70A28C4C-5B6B-4FC8-A3F0-64182F565CE0}"/>
    <cellStyle name="Normal 2 3 12 2 2 2" xfId="10811" xr:uid="{DCC8508E-E6D2-4557-A92A-25384AB3A9F7}"/>
    <cellStyle name="Normal 2 3 12 2 3" xfId="1965" xr:uid="{CBC94972-CA95-4F40-B488-A4D5B816137B}"/>
    <cellStyle name="Normal 2 3 12 2 3 2" xfId="10812" xr:uid="{753657CD-0844-43CB-9FC6-902E5C88208A}"/>
    <cellStyle name="Normal 2 3 12 2 4" xfId="10810" xr:uid="{3851254E-4656-476F-9DE0-85911D845B89}"/>
    <cellStyle name="Normal 2 3 12 3" xfId="1966" xr:uid="{A78705E6-66B9-4F92-BA09-A229A7C07FB4}"/>
    <cellStyle name="Normal 2 3 12 3 2" xfId="10813" xr:uid="{1CE745A4-F154-4230-908F-CAC50CA241F6}"/>
    <cellStyle name="Normal 2 3 12 4" xfId="1967" xr:uid="{8CCC8856-A66C-4B29-8B13-504D1C678CBC}"/>
    <cellStyle name="Normal 2 3 12 4 2" xfId="10814" xr:uid="{3DFDEB8F-20E2-4B96-82B2-72799A4C8994}"/>
    <cellStyle name="Normal 2 3 12 5" xfId="10809" xr:uid="{C9D66E57-D9E7-41DE-AD5C-DF21CE5B5375}"/>
    <cellStyle name="Normal 2 3 13" xfId="1968" xr:uid="{A48AD740-95A5-4631-A560-C4EB153F8285}"/>
    <cellStyle name="Normal 2 3 13 2" xfId="1969" xr:uid="{79343432-D399-401D-8B85-589815A76A87}"/>
    <cellStyle name="Normal 2 3 13 2 2" xfId="1970" xr:uid="{B45E58E6-C0E8-4067-8C4F-87B7DCA5A88F}"/>
    <cellStyle name="Normal 2 3 13 2 2 2" xfId="10817" xr:uid="{C97A47F0-DBEC-4662-9022-995E9DDC50CC}"/>
    <cellStyle name="Normal 2 3 13 2 3" xfId="1971" xr:uid="{B7547003-9D8C-457A-AD44-5219714057E1}"/>
    <cellStyle name="Normal 2 3 13 2 3 2" xfId="10818" xr:uid="{E7A93B29-2A69-4E81-8E3C-D23751A2D36D}"/>
    <cellStyle name="Normal 2 3 13 2 4" xfId="10816" xr:uid="{8B189091-80D1-410A-9ABE-C12318E7C3D4}"/>
    <cellStyle name="Normal 2 3 13 3" xfId="1972" xr:uid="{80A2D5B5-9137-4917-AAAF-57A1E9EE9097}"/>
    <cellStyle name="Normal 2 3 13 3 2" xfId="10819" xr:uid="{76781262-03F2-48C9-9323-9668DD70469F}"/>
    <cellStyle name="Normal 2 3 13 4" xfId="1973" xr:uid="{26752462-A5FF-49B5-8F5D-E26E466795FF}"/>
    <cellStyle name="Normal 2 3 13 4 2" xfId="10820" xr:uid="{579349EB-5B41-4A96-8F06-471022B54424}"/>
    <cellStyle name="Normal 2 3 13 5" xfId="10815" xr:uid="{9DE44CB0-6A2F-42B1-87A1-DDBF34DB9182}"/>
    <cellStyle name="Normal 2 3 14" xfId="1974" xr:uid="{E8413342-AA37-46AE-B181-AF34422CBAF5}"/>
    <cellStyle name="Normal 2 3 14 2" xfId="1975" xr:uid="{A873F119-7EA7-4C5A-BD0A-2C880A04DCAA}"/>
    <cellStyle name="Normal 2 3 14 2 2" xfId="1976" xr:uid="{DF42A459-7F71-4A3F-B5C7-FB894244564B}"/>
    <cellStyle name="Normal 2 3 14 2 2 2" xfId="10823" xr:uid="{391718AC-E927-4DE6-848D-25EF80929801}"/>
    <cellStyle name="Normal 2 3 14 2 3" xfId="1977" xr:uid="{D4EACB7D-81FE-4201-9903-50516080BCB6}"/>
    <cellStyle name="Normal 2 3 14 2 3 2" xfId="10824" xr:uid="{F086C96B-3774-4190-936D-E47CCD54DB34}"/>
    <cellStyle name="Normal 2 3 14 2 4" xfId="10822" xr:uid="{02C8BE25-ADC2-4413-B5FF-8BF034FDFBB4}"/>
    <cellStyle name="Normal 2 3 14 3" xfId="1978" xr:uid="{D9AC33F4-5958-40FB-A377-7378F057C1A3}"/>
    <cellStyle name="Normal 2 3 14 3 2" xfId="10825" xr:uid="{E2FAA6B1-B6B3-4B33-ACA8-57E5D0D4C92D}"/>
    <cellStyle name="Normal 2 3 14 4" xfId="1979" xr:uid="{26611A23-CF2A-48AC-BBA8-FE8A8414337F}"/>
    <cellStyle name="Normal 2 3 14 4 2" xfId="10826" xr:uid="{6E99B1FC-8A8D-463B-8FD0-B3CC8887F406}"/>
    <cellStyle name="Normal 2 3 14 5" xfId="10821" xr:uid="{6E1C078E-9F4C-470B-A96C-627D6B4B38A3}"/>
    <cellStyle name="Normal 2 3 15" xfId="1980" xr:uid="{4D876384-DA9A-405B-831A-08EAE6F8BAE6}"/>
    <cellStyle name="Normal 2 3 15 2" xfId="1981" xr:uid="{F68444A4-E131-44E2-BB93-07E10A971756}"/>
    <cellStyle name="Normal 2 3 15 2 2" xfId="1982" xr:uid="{E3EF9C7E-56C1-41FE-A26F-0848FC9F682E}"/>
    <cellStyle name="Normal 2 3 15 2 2 2" xfId="10829" xr:uid="{7D5C5F35-BF24-442E-8C78-937B8E38B1FE}"/>
    <cellStyle name="Normal 2 3 15 2 3" xfId="1983" xr:uid="{C6A81EC3-C7D7-400B-A269-961507A5D4E8}"/>
    <cellStyle name="Normal 2 3 15 2 3 2" xfId="10830" xr:uid="{0873BEBF-FF26-464A-9B9F-6ED697A39E8F}"/>
    <cellStyle name="Normal 2 3 15 2 4" xfId="10828" xr:uid="{DDD836BB-52CC-4DB2-A87D-6AE710B8DF2A}"/>
    <cellStyle name="Normal 2 3 15 3" xfId="1984" xr:uid="{9C1797B6-805C-48B5-9972-582A288DB9A4}"/>
    <cellStyle name="Normal 2 3 15 3 2" xfId="10831" xr:uid="{7DE191B7-6E45-45B0-9AB4-50A79C32EFAA}"/>
    <cellStyle name="Normal 2 3 15 4" xfId="1985" xr:uid="{C3EDFA5B-9D6A-4F01-B47D-49ACA7F62833}"/>
    <cellStyle name="Normal 2 3 15 4 2" xfId="10832" xr:uid="{AD85190D-5AA2-4038-B861-37249AF28CB4}"/>
    <cellStyle name="Normal 2 3 15 5" xfId="10827" xr:uid="{83FC3B72-9806-4DEC-9A8D-9BF9C34F319E}"/>
    <cellStyle name="Normal 2 3 16" xfId="1986" xr:uid="{2806ECBF-66ED-461B-8547-45430C48B702}"/>
    <cellStyle name="Normal 2 3 16 2" xfId="1987" xr:uid="{CD02E7AB-3DA7-4799-9636-A5902D08BEC8}"/>
    <cellStyle name="Normal 2 3 16 2 2" xfId="1988" xr:uid="{1BA3E35A-7457-4A65-B1B7-C423F16D1222}"/>
    <cellStyle name="Normal 2 3 16 2 2 2" xfId="10835" xr:uid="{D324B777-153B-44FB-922D-48C87E960B39}"/>
    <cellStyle name="Normal 2 3 16 2 3" xfId="1989" xr:uid="{94831C4B-6C6D-4950-AE5A-EBEA3190C70B}"/>
    <cellStyle name="Normal 2 3 16 2 3 2" xfId="10836" xr:uid="{CC287AB5-5F1E-423C-B8F0-64A62D9D7832}"/>
    <cellStyle name="Normal 2 3 16 2 4" xfId="10834" xr:uid="{92A6A301-9CD2-4210-8A10-3A7DD68ABD07}"/>
    <cellStyle name="Normal 2 3 16 3" xfId="1990" xr:uid="{3BD032F9-E7CD-470F-B8CE-ABE994A5840D}"/>
    <cellStyle name="Normal 2 3 16 3 2" xfId="10837" xr:uid="{EAF89E70-36FA-4EF6-8600-A784404F4859}"/>
    <cellStyle name="Normal 2 3 16 4" xfId="1991" xr:uid="{C50D3F8E-E3B9-4C18-80E3-CCC6878C99F8}"/>
    <cellStyle name="Normal 2 3 16 4 2" xfId="10838" xr:uid="{A8E8944C-8759-4268-9283-E1D541B07578}"/>
    <cellStyle name="Normal 2 3 16 5" xfId="10833" xr:uid="{1464DCD2-2A17-4ABD-9F90-679A57115BFA}"/>
    <cellStyle name="Normal 2 3 17" xfId="1992" xr:uid="{00E6E293-C295-443C-8E1B-5AA938FD4356}"/>
    <cellStyle name="Normal 2 3 17 2" xfId="1993" xr:uid="{CF0E3268-CDA5-43C8-ABC7-CA15C93FA9E6}"/>
    <cellStyle name="Normal 2 3 17 2 2" xfId="1994" xr:uid="{A64B4191-874D-4621-AFFB-42449E353C72}"/>
    <cellStyle name="Normal 2 3 17 2 2 2" xfId="10841" xr:uid="{1579CBAD-C9CC-465B-AEDB-0458C877306C}"/>
    <cellStyle name="Normal 2 3 17 2 3" xfId="1995" xr:uid="{3DEF954C-11D0-4A74-9383-38804C7F763C}"/>
    <cellStyle name="Normal 2 3 17 2 3 2" xfId="10842" xr:uid="{E25C8A42-0584-4EB2-8096-7CBB0ADCC727}"/>
    <cellStyle name="Normal 2 3 17 2 4" xfId="10840" xr:uid="{F850B05B-3CDC-4E46-8748-090BEE88E5BF}"/>
    <cellStyle name="Normal 2 3 17 3" xfId="1996" xr:uid="{90B63C93-9334-4B0B-B8E1-03C8876ECE4D}"/>
    <cellStyle name="Normal 2 3 17 3 2" xfId="10843" xr:uid="{10E8D810-E76A-4948-815D-8AE7B82DD6B3}"/>
    <cellStyle name="Normal 2 3 17 4" xfId="1997" xr:uid="{BBDD00D9-2D17-4185-B006-F2C13DCA5F64}"/>
    <cellStyle name="Normal 2 3 17 4 2" xfId="10844" xr:uid="{1158427D-7E52-48F5-8D48-D6BD8A4884E2}"/>
    <cellStyle name="Normal 2 3 17 5" xfId="10839" xr:uid="{4DE82937-8762-4B52-94AE-613C6F2811C3}"/>
    <cellStyle name="Normal 2 3 18" xfId="1998" xr:uid="{2691048E-63FE-4491-9361-EEA40E40734D}"/>
    <cellStyle name="Normal 2 3 18 2" xfId="1999" xr:uid="{7F72BE5C-8DA9-451C-BB05-C5A0408B0948}"/>
    <cellStyle name="Normal 2 3 18 2 2" xfId="2000" xr:uid="{ADCA4197-53E0-46BD-A624-452087DAE169}"/>
    <cellStyle name="Normal 2 3 18 2 2 2" xfId="10847" xr:uid="{283E26F7-E0C8-49F2-9B8A-CD87961FFD3A}"/>
    <cellStyle name="Normal 2 3 18 2 3" xfId="2001" xr:uid="{D3703851-3B3C-4340-BA5D-400E86ABFBF1}"/>
    <cellStyle name="Normal 2 3 18 2 3 2" xfId="10848" xr:uid="{3E16FB95-7FFD-4516-99F1-7BDC3F5CA2C9}"/>
    <cellStyle name="Normal 2 3 18 2 4" xfId="10846" xr:uid="{3523E19C-DB94-4A1A-A2F4-31D4AB8EE0E5}"/>
    <cellStyle name="Normal 2 3 18 3" xfId="2002" xr:uid="{C041653D-759E-480E-BD68-60A543C0750C}"/>
    <cellStyle name="Normal 2 3 18 3 2" xfId="10849" xr:uid="{BB483416-69D2-4665-B078-E76C66CB3776}"/>
    <cellStyle name="Normal 2 3 18 4" xfId="2003" xr:uid="{5A1847B3-6CF8-4DB6-B79F-FACD244A5BBF}"/>
    <cellStyle name="Normal 2 3 18 4 2" xfId="10850" xr:uid="{386DD4D6-AA90-4628-BAF9-5D1C48F14D2E}"/>
    <cellStyle name="Normal 2 3 18 5" xfId="10845" xr:uid="{6EB965C3-D53A-456C-A501-3A23F9BA07AE}"/>
    <cellStyle name="Normal 2 3 19" xfId="2004" xr:uid="{B8027734-1D14-4B6E-828E-97ACF622219C}"/>
    <cellStyle name="Normal 2 3 19 2" xfId="2005" xr:uid="{AA279305-504C-402E-844F-A9707D62CDBC}"/>
    <cellStyle name="Normal 2 3 19 2 2" xfId="2006" xr:uid="{9354C48C-3BC4-48AC-B44F-937AB4A667CC}"/>
    <cellStyle name="Normal 2 3 19 2 2 2" xfId="10853" xr:uid="{0CA3D07F-7343-4E61-9542-E3F76AF1431F}"/>
    <cellStyle name="Normal 2 3 19 2 3" xfId="2007" xr:uid="{F671C498-352D-4B14-93ED-781C7BA007F8}"/>
    <cellStyle name="Normal 2 3 19 2 3 2" xfId="10854" xr:uid="{FC8A7042-7F1F-4955-BDC6-70DE07B9E665}"/>
    <cellStyle name="Normal 2 3 19 2 4" xfId="10852" xr:uid="{1DF37E75-7687-4160-A4AF-B3FF46755969}"/>
    <cellStyle name="Normal 2 3 19 3" xfId="2008" xr:uid="{70F7D3D6-B865-407B-9B62-5D80C9F18F1E}"/>
    <cellStyle name="Normal 2 3 19 3 2" xfId="10855" xr:uid="{DA62CF70-0730-47B5-8FD5-58DED80AAD21}"/>
    <cellStyle name="Normal 2 3 19 4" xfId="2009" xr:uid="{CAA68A8E-48E0-4578-9D94-DE12559CBB30}"/>
    <cellStyle name="Normal 2 3 19 4 2" xfId="10856" xr:uid="{30355661-BF2A-4A35-8191-986AB81E3FF2}"/>
    <cellStyle name="Normal 2 3 19 5" xfId="10851" xr:uid="{F693E187-65B2-4F0E-8858-C7C8908F0CF8}"/>
    <cellStyle name="Normal 2 3 2" xfId="2010" xr:uid="{91450560-01A3-4313-8E0C-CCAE322DB110}"/>
    <cellStyle name="Normal 2 3 2 10" xfId="2011" xr:uid="{FE00E643-F46C-4747-A3C6-26E1E19BF64B}"/>
    <cellStyle name="Normal 2 3 2 10 2" xfId="2012" xr:uid="{90429ECE-0FD3-4259-91B6-5521504D9D50}"/>
    <cellStyle name="Normal 2 3 2 10 2 2" xfId="2013" xr:uid="{49C5EB70-70BA-4FA1-878D-40740825B07E}"/>
    <cellStyle name="Normal 2 3 2 10 2 2 2" xfId="10860" xr:uid="{3FEEA001-690F-46CA-AB32-FDA522112AD7}"/>
    <cellStyle name="Normal 2 3 2 10 2 3" xfId="2014" xr:uid="{F3B10A77-92F7-4202-8865-F5270F18928A}"/>
    <cellStyle name="Normal 2 3 2 10 2 3 2" xfId="10861" xr:uid="{BCCA0022-7705-4247-A778-EAE35D1BF76B}"/>
    <cellStyle name="Normal 2 3 2 10 2 4" xfId="10859" xr:uid="{6846E807-A1B7-421E-9810-9529702EAE6F}"/>
    <cellStyle name="Normal 2 3 2 10 3" xfId="2015" xr:uid="{A846BD36-07AD-4D75-B3D5-930D4C570106}"/>
    <cellStyle name="Normal 2 3 2 10 3 2" xfId="10862" xr:uid="{13C17FED-CB13-4641-8E27-2A9F5F8D878E}"/>
    <cellStyle name="Normal 2 3 2 10 4" xfId="2016" xr:uid="{82F116A7-63A3-4C28-8E9B-3422D2179F36}"/>
    <cellStyle name="Normal 2 3 2 10 4 2" xfId="10863" xr:uid="{4D1BFC5A-EC72-40DB-8EFC-6F94EEDE2442}"/>
    <cellStyle name="Normal 2 3 2 10 5" xfId="10858" xr:uid="{E5C86BB8-C10B-4B34-9DC1-9ACE16F32B5B}"/>
    <cellStyle name="Normal 2 3 2 11" xfId="2017" xr:uid="{3C8161C6-909F-4475-B718-055CBB8BB4F3}"/>
    <cellStyle name="Normal 2 3 2 11 2" xfId="2018" xr:uid="{6954DF9A-3442-4869-B8A0-7A4C71E416E2}"/>
    <cellStyle name="Normal 2 3 2 11 2 2" xfId="2019" xr:uid="{76DC9E4D-A18D-4D9E-ABCD-7182A2606497}"/>
    <cellStyle name="Normal 2 3 2 11 2 2 2" xfId="10866" xr:uid="{3B465DB1-825C-416A-8561-EDB5D7BBC4B0}"/>
    <cellStyle name="Normal 2 3 2 11 2 3" xfId="2020" xr:uid="{F904D395-61B7-4365-AF90-D115A4E564FE}"/>
    <cellStyle name="Normal 2 3 2 11 2 3 2" xfId="10867" xr:uid="{4732D624-69AC-4108-BA01-AF0B64E7418F}"/>
    <cellStyle name="Normal 2 3 2 11 2 4" xfId="10865" xr:uid="{AAEA135F-EA1E-4642-830A-8F27ACDC4D36}"/>
    <cellStyle name="Normal 2 3 2 11 3" xfId="2021" xr:uid="{3618C5D6-E3A1-4E99-AD23-2A2EB1251F74}"/>
    <cellStyle name="Normal 2 3 2 11 3 2" xfId="10868" xr:uid="{AE553E15-A012-4B2F-AE4C-1D5CABD9983F}"/>
    <cellStyle name="Normal 2 3 2 11 4" xfId="2022" xr:uid="{5BDA0649-CB3A-4772-9495-C031E24C65DA}"/>
    <cellStyle name="Normal 2 3 2 11 4 2" xfId="10869" xr:uid="{FF0A50FD-6F4B-4E4F-AEF0-0982955A12A3}"/>
    <cellStyle name="Normal 2 3 2 11 5" xfId="10864" xr:uid="{FC716266-5014-4E19-8B45-B29D94EEDD75}"/>
    <cellStyle name="Normal 2 3 2 12" xfId="2023" xr:uid="{262E7C54-1AC6-412C-9DF1-A5A0173CFE65}"/>
    <cellStyle name="Normal 2 3 2 12 2" xfId="2024" xr:uid="{562E718C-084F-4B3A-B61F-6C1F6D43EB72}"/>
    <cellStyle name="Normal 2 3 2 12 2 2" xfId="2025" xr:uid="{BE56A9C8-B122-4EFD-B5B2-3810D0E223F9}"/>
    <cellStyle name="Normal 2 3 2 12 2 2 2" xfId="10872" xr:uid="{4671B06B-502C-47DF-91F7-91C488EC5BB9}"/>
    <cellStyle name="Normal 2 3 2 12 2 3" xfId="2026" xr:uid="{EC5DD806-5F08-4EDA-BFC4-C30BD861DB37}"/>
    <cellStyle name="Normal 2 3 2 12 2 3 2" xfId="10873" xr:uid="{D11F9EF3-DBC5-4D36-BFE1-1D776BC1B098}"/>
    <cellStyle name="Normal 2 3 2 12 2 4" xfId="10871" xr:uid="{0C5AE5DE-441C-4BD9-8845-3D37F35CD089}"/>
    <cellStyle name="Normal 2 3 2 12 3" xfId="2027" xr:uid="{543FDB27-C6EE-461A-89A4-C614FCE91554}"/>
    <cellStyle name="Normal 2 3 2 12 3 2" xfId="10874" xr:uid="{A8213106-7E8D-4F18-B5B9-637A527EDEF4}"/>
    <cellStyle name="Normal 2 3 2 12 4" xfId="2028" xr:uid="{204EB995-A8CC-44CC-A246-FD700018245C}"/>
    <cellStyle name="Normal 2 3 2 12 4 2" xfId="10875" xr:uid="{AACCF6E3-9C7C-46BC-A43B-276E7459AD04}"/>
    <cellStyle name="Normal 2 3 2 12 5" xfId="10870" xr:uid="{7E4AD339-6AA2-47A9-9711-0FD99EEA7266}"/>
    <cellStyle name="Normal 2 3 2 13" xfId="2029" xr:uid="{F82366FD-E6B1-488C-90AB-E181A1938F36}"/>
    <cellStyle name="Normal 2 3 2 13 2" xfId="2030" xr:uid="{C8C65BC2-07BC-4D33-9BE7-6158A407FFCC}"/>
    <cellStyle name="Normal 2 3 2 13 2 2" xfId="2031" xr:uid="{5A24D672-75DC-49B5-946A-63D40A5638A3}"/>
    <cellStyle name="Normal 2 3 2 13 2 2 2" xfId="10878" xr:uid="{84E5ACDC-B2EE-4B83-8E19-B769F63FE20E}"/>
    <cellStyle name="Normal 2 3 2 13 2 3" xfId="2032" xr:uid="{A1B880E5-1F37-434A-A0DA-B68B32D2FB88}"/>
    <cellStyle name="Normal 2 3 2 13 2 3 2" xfId="10879" xr:uid="{F85CCA89-F817-4A75-9163-2A6DABE30182}"/>
    <cellStyle name="Normal 2 3 2 13 2 4" xfId="10877" xr:uid="{8528C83C-EA29-44DA-A16B-7E34E679D3B3}"/>
    <cellStyle name="Normal 2 3 2 13 3" xfId="2033" xr:uid="{E7F1F564-FA82-4171-BE18-D5F6228F8D6F}"/>
    <cellStyle name="Normal 2 3 2 13 3 2" xfId="10880" xr:uid="{32AC8AF0-C7A8-49B4-B665-39890AD34C3D}"/>
    <cellStyle name="Normal 2 3 2 13 4" xfId="2034" xr:uid="{16E520BA-6C65-42EB-847A-7C9C569581D6}"/>
    <cellStyle name="Normal 2 3 2 13 4 2" xfId="10881" xr:uid="{36275D7C-AE15-40BD-B4CE-3E09B407AC58}"/>
    <cellStyle name="Normal 2 3 2 13 5" xfId="10876" xr:uid="{E08EF667-3AF8-4223-924D-2ECB5CE03BB9}"/>
    <cellStyle name="Normal 2 3 2 14" xfId="2035" xr:uid="{EF67697F-0EC6-4C60-B8F1-515D29051146}"/>
    <cellStyle name="Normal 2 3 2 14 2" xfId="2036" xr:uid="{B8DC80AB-0230-4869-AA97-25018DB2764A}"/>
    <cellStyle name="Normal 2 3 2 14 2 2" xfId="2037" xr:uid="{F490DEA2-7F50-4C33-957B-1318147085AE}"/>
    <cellStyle name="Normal 2 3 2 14 2 2 2" xfId="10884" xr:uid="{CA6E7304-D25A-4830-B10A-84CBD18BB990}"/>
    <cellStyle name="Normal 2 3 2 14 2 3" xfId="2038" xr:uid="{154B6330-BD31-4F7F-B86F-F9B19057E411}"/>
    <cellStyle name="Normal 2 3 2 14 2 3 2" xfId="10885" xr:uid="{B6880E82-61D6-4974-9F30-2333F9C16C3C}"/>
    <cellStyle name="Normal 2 3 2 14 2 4" xfId="10883" xr:uid="{DC0A896D-B0FE-45EE-A550-EEBB5A159817}"/>
    <cellStyle name="Normal 2 3 2 14 3" xfId="2039" xr:uid="{9371B0EF-E36F-49F4-AE83-A5423BF1B689}"/>
    <cellStyle name="Normal 2 3 2 14 3 2" xfId="10886" xr:uid="{8848EB23-907D-4F9A-A7E7-9E90F5EB1954}"/>
    <cellStyle name="Normal 2 3 2 14 4" xfId="2040" xr:uid="{EA52DDF0-1F09-4934-82B3-4C28B3769FD5}"/>
    <cellStyle name="Normal 2 3 2 14 4 2" xfId="10887" xr:uid="{24209037-7AA0-414A-83AC-5EF7C7A6C97C}"/>
    <cellStyle name="Normal 2 3 2 14 5" xfId="10882" xr:uid="{1990C0C9-9BAA-4F1A-B2D7-B24F9038AB02}"/>
    <cellStyle name="Normal 2 3 2 15" xfId="2041" xr:uid="{CDBA4C44-7F12-4CAC-BAD6-C5152A05052D}"/>
    <cellStyle name="Normal 2 3 2 15 2" xfId="2042" xr:uid="{3A233631-C999-414D-80DC-2B9D3CCC8404}"/>
    <cellStyle name="Normal 2 3 2 15 2 2" xfId="2043" xr:uid="{538FB573-40FE-4D16-B092-C2737C867CC0}"/>
    <cellStyle name="Normal 2 3 2 15 2 2 2" xfId="10890" xr:uid="{5A97B014-BB23-4CFD-B858-4DBACB0DD5ED}"/>
    <cellStyle name="Normal 2 3 2 15 2 3" xfId="2044" xr:uid="{85E49652-7050-4ABC-B7F2-039259AE988E}"/>
    <cellStyle name="Normal 2 3 2 15 2 3 2" xfId="10891" xr:uid="{23CE2FE7-5D4B-4BA4-AE56-EC291AE05720}"/>
    <cellStyle name="Normal 2 3 2 15 2 4" xfId="10889" xr:uid="{3C87BA81-F097-4109-8919-32EA78C507B8}"/>
    <cellStyle name="Normal 2 3 2 15 3" xfId="2045" xr:uid="{537F9167-167A-432A-B42F-C0387A138D63}"/>
    <cellStyle name="Normal 2 3 2 15 3 2" xfId="10892" xr:uid="{1402787D-A6B3-41C3-BC32-D5515470DFBC}"/>
    <cellStyle name="Normal 2 3 2 15 4" xfId="2046" xr:uid="{99EA468B-F05A-4A04-9232-9B50C29A8283}"/>
    <cellStyle name="Normal 2 3 2 15 4 2" xfId="10893" xr:uid="{9994DA68-17EF-493F-A469-20F39D3A5413}"/>
    <cellStyle name="Normal 2 3 2 15 5" xfId="10888" xr:uid="{2EA6767B-33E5-498C-B9CF-CCE462BC74B4}"/>
    <cellStyle name="Normal 2 3 2 16" xfId="2047" xr:uid="{B5CCD772-1B32-419A-85F7-2EE567ED36E2}"/>
    <cellStyle name="Normal 2 3 2 16 2" xfId="2048" xr:uid="{7CD32172-10F3-4DC3-968F-5CEF000EB5A2}"/>
    <cellStyle name="Normal 2 3 2 16 2 2" xfId="2049" xr:uid="{EC183058-9AB8-4B74-9387-85FAAAEEE19F}"/>
    <cellStyle name="Normal 2 3 2 16 2 2 2" xfId="10896" xr:uid="{37359573-B0B0-4D7B-A45A-0FDD3B2D6C4C}"/>
    <cellStyle name="Normal 2 3 2 16 2 3" xfId="2050" xr:uid="{9CDBCD74-3FE8-4771-B30D-B95CF2416D61}"/>
    <cellStyle name="Normal 2 3 2 16 2 3 2" xfId="10897" xr:uid="{6130B13F-9DF8-40C7-B2A1-C68CA95746D2}"/>
    <cellStyle name="Normal 2 3 2 16 2 4" xfId="10895" xr:uid="{C82E57B1-C6A2-489E-A8E3-325D480662C2}"/>
    <cellStyle name="Normal 2 3 2 16 3" xfId="2051" xr:uid="{17C5DEF4-0B5A-4405-8711-8E31D4488F0A}"/>
    <cellStyle name="Normal 2 3 2 16 3 2" xfId="10898" xr:uid="{ADA4AE7D-4A91-4F4B-B4D4-633579F97D91}"/>
    <cellStyle name="Normal 2 3 2 16 4" xfId="2052" xr:uid="{A0D4545C-B6F8-426C-A526-B3C05991B2F7}"/>
    <cellStyle name="Normal 2 3 2 16 4 2" xfId="10899" xr:uid="{419DEDD1-D1E7-4406-BE93-96F360F02DE4}"/>
    <cellStyle name="Normal 2 3 2 16 5" xfId="10894" xr:uid="{85FFE284-29CF-492E-9286-ED703F5061E8}"/>
    <cellStyle name="Normal 2 3 2 17" xfId="2053" xr:uid="{AA504123-36EE-4672-ACA9-09CD63F14FEF}"/>
    <cellStyle name="Normal 2 3 2 17 2" xfId="2054" xr:uid="{1B00D3A5-11B7-4C91-98A6-B3EB6CA632E7}"/>
    <cellStyle name="Normal 2 3 2 17 2 2" xfId="2055" xr:uid="{640188B3-EBF7-4904-8C0B-DFF007DD2B03}"/>
    <cellStyle name="Normal 2 3 2 17 2 2 2" xfId="10902" xr:uid="{FA438950-656D-4A83-B3F2-F551110E4C1B}"/>
    <cellStyle name="Normal 2 3 2 17 2 3" xfId="2056" xr:uid="{9AD440D7-8FDA-496D-9901-D4EEE546FD9E}"/>
    <cellStyle name="Normal 2 3 2 17 2 3 2" xfId="10903" xr:uid="{EF9EB40A-F72D-4945-B845-CE2DEEFC4C5E}"/>
    <cellStyle name="Normal 2 3 2 17 2 4" xfId="10901" xr:uid="{D9A5DB99-5E45-4E06-B4E0-10DB4EFB314F}"/>
    <cellStyle name="Normal 2 3 2 17 3" xfId="2057" xr:uid="{F593329B-4073-4F67-80AC-C340F58973FE}"/>
    <cellStyle name="Normal 2 3 2 17 3 2" xfId="10904" xr:uid="{F673A785-B157-4E43-AF17-CD93A5FBFA8D}"/>
    <cellStyle name="Normal 2 3 2 17 4" xfId="2058" xr:uid="{2D28E375-A3B2-4849-BF34-643BB854C2DF}"/>
    <cellStyle name="Normal 2 3 2 17 4 2" xfId="10905" xr:uid="{10278262-5F16-4CE2-BFEB-D68EBBF2D305}"/>
    <cellStyle name="Normal 2 3 2 17 5" xfId="10900" xr:uid="{2A88A527-89C4-4EA7-8D04-CEF09A601A86}"/>
    <cellStyle name="Normal 2 3 2 18" xfId="2059" xr:uid="{8B8D77EE-95E9-4315-879B-9DDEEC56DCCD}"/>
    <cellStyle name="Normal 2 3 2 18 2" xfId="2060" xr:uid="{A6FDD0F7-6699-464A-9F61-432519EB13DC}"/>
    <cellStyle name="Normal 2 3 2 18 2 2" xfId="2061" xr:uid="{6FF9FB00-276E-481D-98DA-4D28BC595D0C}"/>
    <cellStyle name="Normal 2 3 2 18 2 2 2" xfId="10908" xr:uid="{8E4F1EF5-42E8-499D-B6AC-F7249011D98C}"/>
    <cellStyle name="Normal 2 3 2 18 2 3" xfId="2062" xr:uid="{8E63233A-85DE-4E1F-9EAE-F69FBFB977C9}"/>
    <cellStyle name="Normal 2 3 2 18 2 3 2" xfId="10909" xr:uid="{A3062549-4C17-413B-9F2C-8768DD2B4E38}"/>
    <cellStyle name="Normal 2 3 2 18 2 4" xfId="10907" xr:uid="{8AE07E80-E9C8-4897-AB69-425D42FA3438}"/>
    <cellStyle name="Normal 2 3 2 18 3" xfId="2063" xr:uid="{9B7293F9-6B32-45C1-8AD6-5B76B6E076C5}"/>
    <cellStyle name="Normal 2 3 2 18 3 2" xfId="10910" xr:uid="{1C9131C9-00E1-4C18-976E-618F63D676EF}"/>
    <cellStyle name="Normal 2 3 2 18 4" xfId="2064" xr:uid="{29A1FAAA-250D-401B-9972-27825C8243A4}"/>
    <cellStyle name="Normal 2 3 2 18 4 2" xfId="10911" xr:uid="{A910F938-DD7C-4DBE-96C8-7FB0A3566015}"/>
    <cellStyle name="Normal 2 3 2 18 5" xfId="10906" xr:uid="{CC1A7C96-D48C-455F-B0EF-B664D3B89FC1}"/>
    <cellStyle name="Normal 2 3 2 19" xfId="2065" xr:uid="{B3EA8ACA-051F-4F2F-B62C-0ED7CC9B8082}"/>
    <cellStyle name="Normal 2 3 2 19 2" xfId="2066" xr:uid="{E5D9BB66-7DB0-48AA-B22F-EC6642894B87}"/>
    <cellStyle name="Normal 2 3 2 19 2 2" xfId="2067" xr:uid="{182AF4B1-8154-4F2B-9906-062509C8913A}"/>
    <cellStyle name="Normal 2 3 2 19 2 2 2" xfId="10914" xr:uid="{8B4F11E9-A2B3-4097-B2DD-3FDBFC06E853}"/>
    <cellStyle name="Normal 2 3 2 19 2 3" xfId="2068" xr:uid="{353251BB-2FA2-44E9-9444-CEEF51F6171B}"/>
    <cellStyle name="Normal 2 3 2 19 2 3 2" xfId="10915" xr:uid="{EF61EB92-5A73-4965-A5F0-82C0E13B1301}"/>
    <cellStyle name="Normal 2 3 2 19 2 4" xfId="10913" xr:uid="{38DD33DB-762A-4E73-BE69-91859864FB5F}"/>
    <cellStyle name="Normal 2 3 2 19 3" xfId="2069" xr:uid="{1284050F-A958-4D9C-9F51-D6AC9793464A}"/>
    <cellStyle name="Normal 2 3 2 19 3 2" xfId="10916" xr:uid="{3B4BD7A7-B057-4D8A-A5C8-ECD0976FA60E}"/>
    <cellStyle name="Normal 2 3 2 19 4" xfId="2070" xr:uid="{41080E28-F9D3-4D8D-B7B2-A9C364BC7C3E}"/>
    <cellStyle name="Normal 2 3 2 19 4 2" xfId="10917" xr:uid="{DC3C4B71-A6AF-4C7B-BA13-D0F64112553F}"/>
    <cellStyle name="Normal 2 3 2 19 5" xfId="10912" xr:uid="{151E65C5-2C11-48B5-AF32-0A673ACDD13E}"/>
    <cellStyle name="Normal 2 3 2 2" xfId="2071" xr:uid="{D7A338F5-442D-47A0-AEDF-038DD995ECA5}"/>
    <cellStyle name="Normal 2 3 2 2 2" xfId="2072" xr:uid="{DC410E40-5517-44DA-B7C0-26F6B5E17A36}"/>
    <cellStyle name="Normal 2 3 2 2 2 2" xfId="2073" xr:uid="{E2191377-CDF8-4BD2-9646-BCEA4C3B63B4}"/>
    <cellStyle name="Normal 2 3 2 2 2 2 2" xfId="10920" xr:uid="{EFB02899-4138-4738-91D3-804A554FB46A}"/>
    <cellStyle name="Normal 2 3 2 2 2 3" xfId="2074" xr:uid="{45320771-47E7-4792-8519-2C075BC09614}"/>
    <cellStyle name="Normal 2 3 2 2 2 3 2" xfId="10921" xr:uid="{6229CB3B-6EF8-4D7B-87F9-660891661960}"/>
    <cellStyle name="Normal 2 3 2 2 2 4" xfId="10919" xr:uid="{95AC1DC1-5CAF-42EF-BB03-C458CFC6CCB3}"/>
    <cellStyle name="Normal 2 3 2 2 3" xfId="2075" xr:uid="{4FDC06B1-0E4B-4A8A-9D6F-2D19945EB6AC}"/>
    <cellStyle name="Normal 2 3 2 2 3 2" xfId="10922" xr:uid="{FA4995DF-439B-4585-9BF5-CA0B0C385CD9}"/>
    <cellStyle name="Normal 2 3 2 2 4" xfId="2076" xr:uid="{36ECB60E-3BDC-4E89-91AD-231643569BF9}"/>
    <cellStyle name="Normal 2 3 2 2 4 2" xfId="10923" xr:uid="{947B2E7E-8211-48AE-AE0E-BB88643CB9A3}"/>
    <cellStyle name="Normal 2 3 2 2 5" xfId="10918" xr:uid="{0B3D6BA6-B201-49F1-9544-7692A6A70288}"/>
    <cellStyle name="Normal 2 3 2 20" xfId="2077" xr:uid="{7AB63534-BB10-46C3-874C-CBA6963BFE02}"/>
    <cellStyle name="Normal 2 3 2 20 2" xfId="2078" xr:uid="{E969145C-C10D-4D88-AFB0-563C47C38F55}"/>
    <cellStyle name="Normal 2 3 2 20 2 2" xfId="2079" xr:uid="{7153D9CA-A8C4-4AB6-8DC5-898D13E27D82}"/>
    <cellStyle name="Normal 2 3 2 20 2 2 2" xfId="10926" xr:uid="{CF593073-2C7B-47D3-97E2-06D06D394BF2}"/>
    <cellStyle name="Normal 2 3 2 20 2 3" xfId="2080" xr:uid="{90D39707-27D9-4E6C-BE51-44C0873B7754}"/>
    <cellStyle name="Normal 2 3 2 20 2 3 2" xfId="10927" xr:uid="{E92475A8-925A-4A5A-92E2-B8B5437D7F65}"/>
    <cellStyle name="Normal 2 3 2 20 2 4" xfId="10925" xr:uid="{30DC763E-092A-4A3B-A41A-5AC3E5A199BA}"/>
    <cellStyle name="Normal 2 3 2 20 3" xfId="2081" xr:uid="{682E1551-C199-4AE7-A6E3-DBF55A64316F}"/>
    <cellStyle name="Normal 2 3 2 20 3 2" xfId="10928" xr:uid="{6CA4C9D1-B3AB-4906-966D-ADA92D05BAAB}"/>
    <cellStyle name="Normal 2 3 2 20 4" xfId="2082" xr:uid="{F16E07A4-B4F5-44CA-9469-B443AD292E69}"/>
    <cellStyle name="Normal 2 3 2 20 4 2" xfId="10929" xr:uid="{A10CE5EB-F050-4FEC-A9E1-59E9B9055DE6}"/>
    <cellStyle name="Normal 2 3 2 20 5" xfId="10924" xr:uid="{65F9ECC6-705D-4D77-930F-97AA0E2629D5}"/>
    <cellStyle name="Normal 2 3 2 21" xfId="2083" xr:uid="{1229BE20-CF60-43F9-9C12-286A9DC15C41}"/>
    <cellStyle name="Normal 2 3 2 21 2" xfId="2084" xr:uid="{BB93B85E-4A39-42D6-A0BB-5774A55BD28A}"/>
    <cellStyle name="Normal 2 3 2 21 2 2" xfId="2085" xr:uid="{EEBE8DA0-4241-44B3-92F3-F91C3B791A3A}"/>
    <cellStyle name="Normal 2 3 2 21 2 2 2" xfId="10932" xr:uid="{2043518F-383E-46D2-AAA3-9A47615E7015}"/>
    <cellStyle name="Normal 2 3 2 21 2 3" xfId="2086" xr:uid="{FF724C4F-58A4-43D9-A03B-F0B0AF933208}"/>
    <cellStyle name="Normal 2 3 2 21 2 3 2" xfId="10933" xr:uid="{CEE8FB31-9C9B-4629-BF40-D5D1E700F8B7}"/>
    <cellStyle name="Normal 2 3 2 21 2 4" xfId="10931" xr:uid="{723AE492-A76C-4C69-A6AB-528C983464E9}"/>
    <cellStyle name="Normal 2 3 2 21 3" xfId="2087" xr:uid="{D8FAF761-4C63-45A5-897E-BA2ECDD7F7AF}"/>
    <cellStyle name="Normal 2 3 2 21 3 2" xfId="10934" xr:uid="{1C6DACDF-34C5-44EC-B1C3-78D63E0FC516}"/>
    <cellStyle name="Normal 2 3 2 21 4" xfId="2088" xr:uid="{1B77A8B3-B5CE-4A5A-936E-B65DD1A7670A}"/>
    <cellStyle name="Normal 2 3 2 21 4 2" xfId="10935" xr:uid="{3CDA52B1-C4D5-4173-9F2E-DA3A4BDF6D68}"/>
    <cellStyle name="Normal 2 3 2 21 5" xfId="10930" xr:uid="{3A4DDA4B-6F9E-4812-A6DA-1FB4C017DC5E}"/>
    <cellStyle name="Normal 2 3 2 22" xfId="2089" xr:uid="{F091E5B6-6097-453E-BAE9-5EE827361DC1}"/>
    <cellStyle name="Normal 2 3 2 22 2" xfId="2090" xr:uid="{B1002751-376A-463C-A768-7126A318602F}"/>
    <cellStyle name="Normal 2 3 2 22 2 2" xfId="2091" xr:uid="{F0C0F870-0841-4DF1-8BCC-13450FCD09C5}"/>
    <cellStyle name="Normal 2 3 2 22 2 2 2" xfId="10938" xr:uid="{E8827486-F008-4FDB-BC50-9E9DC0AB3F44}"/>
    <cellStyle name="Normal 2 3 2 22 2 3" xfId="2092" xr:uid="{DF187E48-57FC-477B-91E2-0D58C4825503}"/>
    <cellStyle name="Normal 2 3 2 22 2 3 2" xfId="10939" xr:uid="{6F747F20-E18F-4094-9EC9-9634670BC8E5}"/>
    <cellStyle name="Normal 2 3 2 22 2 4" xfId="10937" xr:uid="{486F6D29-A15D-43E5-836A-8CC52CF57623}"/>
    <cellStyle name="Normal 2 3 2 22 3" xfId="2093" xr:uid="{E08967B6-3E50-4DD2-AE45-C0544061820E}"/>
    <cellStyle name="Normal 2 3 2 22 3 2" xfId="10940" xr:uid="{C9C7EE5F-BFE5-4841-9354-AD1A503B7121}"/>
    <cellStyle name="Normal 2 3 2 22 4" xfId="2094" xr:uid="{996A9680-A32C-43AF-AA59-21EF6C623BFE}"/>
    <cellStyle name="Normal 2 3 2 22 4 2" xfId="10941" xr:uid="{3B35A67F-FFB9-4E9F-8CE0-C7DF9AF4291B}"/>
    <cellStyle name="Normal 2 3 2 22 5" xfId="10936" xr:uid="{F51526BC-A64E-4334-86C6-18EBF374EBC4}"/>
    <cellStyle name="Normal 2 3 2 23" xfId="2095" xr:uid="{1B8B5816-7D86-46F7-80BE-0B3B561879E5}"/>
    <cellStyle name="Normal 2 3 2 23 2" xfId="2096" xr:uid="{9DDB8E3E-FB3A-4BAF-81CA-03BFCF99E666}"/>
    <cellStyle name="Normal 2 3 2 23 2 2" xfId="2097" xr:uid="{BA444E57-EDAE-4F33-A0BF-12906E47C7A0}"/>
    <cellStyle name="Normal 2 3 2 23 2 2 2" xfId="10944" xr:uid="{4438B9D4-045E-40EB-A15A-AD8DA08C111A}"/>
    <cellStyle name="Normal 2 3 2 23 2 3" xfId="2098" xr:uid="{FCA8F86B-8279-4937-82EB-22FCB3356CD3}"/>
    <cellStyle name="Normal 2 3 2 23 2 3 2" xfId="10945" xr:uid="{0FE8C46C-3FE1-4307-8046-D05A4A2F0CC5}"/>
    <cellStyle name="Normal 2 3 2 23 2 4" xfId="10943" xr:uid="{2E331673-49BE-4ECF-B818-7D5B895981E6}"/>
    <cellStyle name="Normal 2 3 2 23 3" xfId="2099" xr:uid="{2D334647-ED78-432C-B979-235C3FEF268D}"/>
    <cellStyle name="Normal 2 3 2 23 3 2" xfId="10946" xr:uid="{784640F4-06D6-4CDA-933F-213CCCA7114D}"/>
    <cellStyle name="Normal 2 3 2 23 4" xfId="2100" xr:uid="{0B9E4592-200C-4D43-BE99-1B535032E8AC}"/>
    <cellStyle name="Normal 2 3 2 23 4 2" xfId="10947" xr:uid="{D34A853D-0D26-41D4-8EEE-E1092F52A330}"/>
    <cellStyle name="Normal 2 3 2 23 5" xfId="10942" xr:uid="{5E89DD4A-750B-4A82-A316-58EBBACA4D9C}"/>
    <cellStyle name="Normal 2 3 2 24" xfId="2101" xr:uid="{803B5578-CFCE-431E-BF5D-6FE225992022}"/>
    <cellStyle name="Normal 2 3 2 24 2" xfId="2102" xr:uid="{25579E90-1C3E-4002-9335-84323C202400}"/>
    <cellStyle name="Normal 2 3 2 24 2 2" xfId="2103" xr:uid="{2294000A-F7DA-4AF4-8D9A-C212F73E090A}"/>
    <cellStyle name="Normal 2 3 2 24 2 2 2" xfId="10950" xr:uid="{6755A52B-9D2B-46C6-93D9-FBDF55B1189D}"/>
    <cellStyle name="Normal 2 3 2 24 2 3" xfId="2104" xr:uid="{E6435F98-2CD8-421C-A88D-CDE690308599}"/>
    <cellStyle name="Normal 2 3 2 24 2 3 2" xfId="10951" xr:uid="{2CCDCDF8-D4D0-428C-B3E2-C5A172368D89}"/>
    <cellStyle name="Normal 2 3 2 24 2 4" xfId="10949" xr:uid="{9BCF84C4-1156-4536-A86A-4407E5E83DF7}"/>
    <cellStyle name="Normal 2 3 2 24 3" xfId="2105" xr:uid="{A11A552D-8D29-4DB9-9049-0EB88566A0FD}"/>
    <cellStyle name="Normal 2 3 2 24 3 2" xfId="10952" xr:uid="{4B6E3485-65ED-4237-91B9-3B0F9AA8D2CD}"/>
    <cellStyle name="Normal 2 3 2 24 4" xfId="2106" xr:uid="{39B78441-7877-401D-A495-3EC3D154E231}"/>
    <cellStyle name="Normal 2 3 2 24 4 2" xfId="10953" xr:uid="{D5FB9C30-F93D-46F4-A517-004161A9F091}"/>
    <cellStyle name="Normal 2 3 2 24 5" xfId="10948" xr:uid="{CF03827E-5B3D-455D-9F95-836CC3847C8E}"/>
    <cellStyle name="Normal 2 3 2 25" xfId="2107" xr:uid="{53EBEBFB-E61A-4C26-92C1-C34CE15364C8}"/>
    <cellStyle name="Normal 2 3 2 25 2" xfId="2108" xr:uid="{CA449BB9-02D9-41D6-97A6-F98E325AAA3D}"/>
    <cellStyle name="Normal 2 3 2 25 2 2" xfId="2109" xr:uid="{638EAE00-475F-4A41-BA3C-B36208E5E007}"/>
    <cellStyle name="Normal 2 3 2 25 2 2 2" xfId="10956" xr:uid="{A6EFB828-E4E8-4AAA-BE0C-3816812D1C79}"/>
    <cellStyle name="Normal 2 3 2 25 2 3" xfId="2110" xr:uid="{8331B87D-5B50-44B1-87D9-0567AF13F05A}"/>
    <cellStyle name="Normal 2 3 2 25 2 3 2" xfId="10957" xr:uid="{419D7E22-3E69-4885-895A-5097947DE32D}"/>
    <cellStyle name="Normal 2 3 2 25 2 4" xfId="10955" xr:uid="{66AB8194-98CA-476F-A397-63F21E56083C}"/>
    <cellStyle name="Normal 2 3 2 25 3" xfId="2111" xr:uid="{9B374BCE-8E7E-45B7-9736-3C3CFAF8D701}"/>
    <cellStyle name="Normal 2 3 2 25 3 2" xfId="10958" xr:uid="{F238E5BA-6F1C-4935-A8BC-9D484B1A584D}"/>
    <cellStyle name="Normal 2 3 2 25 4" xfId="2112" xr:uid="{7AA7D855-8D93-4D2A-B86E-D65633D0DBBB}"/>
    <cellStyle name="Normal 2 3 2 25 4 2" xfId="10959" xr:uid="{19202502-F433-420D-A61F-7A9C76043F1C}"/>
    <cellStyle name="Normal 2 3 2 25 5" xfId="10954" xr:uid="{51444AA0-2028-467F-A38B-DCA1C22A8412}"/>
    <cellStyle name="Normal 2 3 2 26" xfId="2113" xr:uid="{947480FB-34B0-4376-A53D-CC7990B28B1E}"/>
    <cellStyle name="Normal 2 3 2 26 2" xfId="2114" xr:uid="{0382D3A6-8373-41E1-8526-7E3886833067}"/>
    <cellStyle name="Normal 2 3 2 26 2 2" xfId="2115" xr:uid="{1FEB3DB5-FCFD-45F1-A2E2-0CB915ACA442}"/>
    <cellStyle name="Normal 2 3 2 26 2 2 2" xfId="10962" xr:uid="{DB911764-69D5-4598-82E0-8DD9DA3EC3EE}"/>
    <cellStyle name="Normal 2 3 2 26 2 3" xfId="2116" xr:uid="{4BACBE86-70FC-48D7-A9B2-577DFC5CF044}"/>
    <cellStyle name="Normal 2 3 2 26 2 3 2" xfId="10963" xr:uid="{4073E1F4-AC2C-4E00-AC27-EF3889C49075}"/>
    <cellStyle name="Normal 2 3 2 26 2 4" xfId="10961" xr:uid="{B2D425D7-8C59-4FF9-A615-9D6F44C86342}"/>
    <cellStyle name="Normal 2 3 2 26 3" xfId="2117" xr:uid="{69C855C4-90B2-40F0-8763-5067FCF12616}"/>
    <cellStyle name="Normal 2 3 2 26 3 2" xfId="10964" xr:uid="{EF5C5DAE-42FB-4331-AF40-E3A27536CF98}"/>
    <cellStyle name="Normal 2 3 2 26 4" xfId="2118" xr:uid="{5FE31AEB-DC64-494F-9DFC-F533E57DC83E}"/>
    <cellStyle name="Normal 2 3 2 26 4 2" xfId="10965" xr:uid="{B7F1FDE3-73F3-487B-A6AC-7721FB1B9AD9}"/>
    <cellStyle name="Normal 2 3 2 26 5" xfId="10960" xr:uid="{A8AA64B0-55E3-4335-84EB-78AAE0E8051C}"/>
    <cellStyle name="Normal 2 3 2 27" xfId="2119" xr:uid="{7482BE5D-9CF7-4847-8795-7EF2294530C0}"/>
    <cellStyle name="Normal 2 3 2 27 2" xfId="2120" xr:uid="{C9B8C3C5-93B7-4875-8F8E-082747147F31}"/>
    <cellStyle name="Normal 2 3 2 27 2 2" xfId="2121" xr:uid="{FA57F1A5-E810-4EC0-B03F-EFEF44802888}"/>
    <cellStyle name="Normal 2 3 2 27 2 2 2" xfId="10968" xr:uid="{F4800310-32BF-49C4-814A-5E3D53C30815}"/>
    <cellStyle name="Normal 2 3 2 27 2 3" xfId="2122" xr:uid="{AFE8161E-70E1-4718-9E98-F1DA6BA2F95F}"/>
    <cellStyle name="Normal 2 3 2 27 2 3 2" xfId="10969" xr:uid="{2E6E3443-AA50-4FCC-9F04-5CE00C01C746}"/>
    <cellStyle name="Normal 2 3 2 27 2 4" xfId="10967" xr:uid="{CAFBF008-3D61-47AD-B5D2-AD57D5A2143B}"/>
    <cellStyle name="Normal 2 3 2 27 3" xfId="2123" xr:uid="{6EBC437B-BA84-49C7-920E-3F31A65DAD1C}"/>
    <cellStyle name="Normal 2 3 2 27 3 2" xfId="10970" xr:uid="{C8849082-2B34-4A2E-B847-33C7381CC404}"/>
    <cellStyle name="Normal 2 3 2 27 4" xfId="2124" xr:uid="{965A465A-5BBC-4BD5-980E-255F4C062CC8}"/>
    <cellStyle name="Normal 2 3 2 27 4 2" xfId="10971" xr:uid="{1B8D5B20-84AB-4E34-921E-73AA3AFAE15F}"/>
    <cellStyle name="Normal 2 3 2 27 5" xfId="10966" xr:uid="{DEE1190D-A506-472F-A450-E8D4E9DAB78B}"/>
    <cellStyle name="Normal 2 3 2 28" xfId="2125" xr:uid="{CD3B5EC1-2C2F-4458-A081-1FE0B6F8C1FC}"/>
    <cellStyle name="Normal 2 3 2 28 2" xfId="2126" xr:uid="{27354E36-2897-4841-ACD4-0D4B93229303}"/>
    <cellStyle name="Normal 2 3 2 28 2 2" xfId="2127" xr:uid="{78D9506C-B3D8-4FC9-92AA-E4B45E6825F1}"/>
    <cellStyle name="Normal 2 3 2 28 2 2 2" xfId="10974" xr:uid="{44A491CA-0146-4CB2-8902-FDB307476C65}"/>
    <cellStyle name="Normal 2 3 2 28 2 3" xfId="2128" xr:uid="{86EE1C88-CED3-4D1E-B073-E15DDC610B97}"/>
    <cellStyle name="Normal 2 3 2 28 2 3 2" xfId="10975" xr:uid="{A0173E91-4FAB-471E-A447-FF0FCE9A47BD}"/>
    <cellStyle name="Normal 2 3 2 28 2 4" xfId="10973" xr:uid="{BE56E816-FB2B-4B09-83B8-3F9FB52F9779}"/>
    <cellStyle name="Normal 2 3 2 28 3" xfId="2129" xr:uid="{67F05650-DE41-484E-86E9-72EF8AF962D9}"/>
    <cellStyle name="Normal 2 3 2 28 3 2" xfId="10976" xr:uid="{5F488255-E1B2-4F29-B069-09DBD3A95360}"/>
    <cellStyle name="Normal 2 3 2 28 4" xfId="2130" xr:uid="{46E7A529-0152-4A74-9925-65C570E14AD3}"/>
    <cellStyle name="Normal 2 3 2 28 4 2" xfId="10977" xr:uid="{26303C0D-CBFD-4D7E-9947-999433647341}"/>
    <cellStyle name="Normal 2 3 2 28 5" xfId="10972" xr:uid="{BFAD4922-BF43-4605-8698-5B0EDB89941F}"/>
    <cellStyle name="Normal 2 3 2 29" xfId="2131" xr:uid="{728F4E19-67C3-43D8-938B-02F70A2476AE}"/>
    <cellStyle name="Normal 2 3 2 29 2" xfId="2132" xr:uid="{9FA94E41-CA95-4B6C-9B09-83BCF3B5072A}"/>
    <cellStyle name="Normal 2 3 2 29 2 2" xfId="2133" xr:uid="{437CAC50-F36E-4A55-A99B-701C2B0AB994}"/>
    <cellStyle name="Normal 2 3 2 29 2 2 2" xfId="10980" xr:uid="{10CBC24D-6917-4548-97AC-96E1364DF148}"/>
    <cellStyle name="Normal 2 3 2 29 2 3" xfId="2134" xr:uid="{34D2EACE-E832-4FB5-BCA7-45D2A8F1CC22}"/>
    <cellStyle name="Normal 2 3 2 29 2 3 2" xfId="10981" xr:uid="{B69FF2C7-1AEE-4A8B-AC0C-A9ECD904F92D}"/>
    <cellStyle name="Normal 2 3 2 29 2 4" xfId="10979" xr:uid="{B49A6518-6933-4CBD-904D-A6C0FE77FEFA}"/>
    <cellStyle name="Normal 2 3 2 29 3" xfId="2135" xr:uid="{D739406E-F2D4-45FE-BDDD-726E5D31562D}"/>
    <cellStyle name="Normal 2 3 2 29 3 2" xfId="10982" xr:uid="{77A56A25-21CE-496C-AC71-A88190D54C1C}"/>
    <cellStyle name="Normal 2 3 2 29 4" xfId="2136" xr:uid="{090CC83E-C2D0-4D31-B1B2-15E75079437A}"/>
    <cellStyle name="Normal 2 3 2 29 4 2" xfId="10983" xr:uid="{01473E32-F3EB-4461-884C-7D319064B8CF}"/>
    <cellStyle name="Normal 2 3 2 29 5" xfId="10978" xr:uid="{616607D4-A7CD-4906-B378-DFDC02F842C5}"/>
    <cellStyle name="Normal 2 3 2 3" xfId="2137" xr:uid="{923AE627-9B0C-4376-890C-33D178AFDFCF}"/>
    <cellStyle name="Normal 2 3 2 3 2" xfId="2138" xr:uid="{6291647F-3658-4B5B-81C2-CE138DF41FD2}"/>
    <cellStyle name="Normal 2 3 2 3 2 2" xfId="2139" xr:uid="{B6214D6E-9F39-4D6F-A505-91261A06243C}"/>
    <cellStyle name="Normal 2 3 2 3 2 2 2" xfId="10986" xr:uid="{3B5F4BD2-724E-42AE-A44E-68CA949A1DE8}"/>
    <cellStyle name="Normal 2 3 2 3 2 3" xfId="2140" xr:uid="{78117F95-23F0-4720-9D00-BC758DBCC4DE}"/>
    <cellStyle name="Normal 2 3 2 3 2 3 2" xfId="10987" xr:uid="{96BC7985-21B4-4242-AC04-89F06D8FCF70}"/>
    <cellStyle name="Normal 2 3 2 3 2 4" xfId="10985" xr:uid="{0BBCBF44-B47E-4253-AF37-907E57ABFB18}"/>
    <cellStyle name="Normal 2 3 2 3 3" xfId="2141" xr:uid="{A66DDAD6-F3FE-4AFB-A51F-CBD8B79C39B3}"/>
    <cellStyle name="Normal 2 3 2 3 3 2" xfId="10988" xr:uid="{D0E1E4C2-2320-461A-8460-B55A95ABA707}"/>
    <cellStyle name="Normal 2 3 2 3 4" xfId="2142" xr:uid="{C3B4EC8A-BFB3-4AD8-957A-545410B0B267}"/>
    <cellStyle name="Normal 2 3 2 3 4 2" xfId="10989" xr:uid="{3FDE9AF4-AFA8-4B8D-AFA6-86DF20B081E9}"/>
    <cellStyle name="Normal 2 3 2 3 5" xfId="10984" xr:uid="{6AB42916-C635-481D-974B-8F5540EED585}"/>
    <cellStyle name="Normal 2 3 2 30" xfId="2143" xr:uid="{CF51257D-5388-4C79-A173-DBEE1D66230C}"/>
    <cellStyle name="Normal 2 3 2 30 2" xfId="2144" xr:uid="{F80CF808-D828-4E92-843E-5A9DE10966D7}"/>
    <cellStyle name="Normal 2 3 2 30 2 2" xfId="2145" xr:uid="{441DB8B0-9C29-4A92-9BA0-770A5D4BDF81}"/>
    <cellStyle name="Normal 2 3 2 30 2 2 2" xfId="10992" xr:uid="{DF59605E-FEAC-4719-BD53-9EFB080E653C}"/>
    <cellStyle name="Normal 2 3 2 30 2 3" xfId="2146" xr:uid="{C902789D-F295-436D-9B90-456D636B4718}"/>
    <cellStyle name="Normal 2 3 2 30 2 3 2" xfId="10993" xr:uid="{03912918-0C94-42C0-87C0-8723F059B15B}"/>
    <cellStyle name="Normal 2 3 2 30 2 4" xfId="10991" xr:uid="{CF7D0A37-C145-4857-883D-E26047868F66}"/>
    <cellStyle name="Normal 2 3 2 30 3" xfId="2147" xr:uid="{EE1AD5B3-A86B-48A5-BF71-861D8DC7305F}"/>
    <cellStyle name="Normal 2 3 2 30 3 2" xfId="10994" xr:uid="{210F3F6D-4A13-46DC-AC4D-D7A92B0B12D5}"/>
    <cellStyle name="Normal 2 3 2 30 4" xfId="2148" xr:uid="{741FB7A8-4602-490E-B3D0-39E73D48AB34}"/>
    <cellStyle name="Normal 2 3 2 30 4 2" xfId="10995" xr:uid="{FD32E03D-E930-4CA8-B8D3-7D878BC71DB2}"/>
    <cellStyle name="Normal 2 3 2 30 5" xfId="10990" xr:uid="{E4659E37-97DF-4CFE-AC9B-BE42F05D71E8}"/>
    <cellStyle name="Normal 2 3 2 31" xfId="2149" xr:uid="{3042107D-202B-4D0F-B58A-878D316992B2}"/>
    <cellStyle name="Normal 2 3 2 31 2" xfId="2150" xr:uid="{2A2E3A8B-5AFD-45D1-9F26-3F6363BD6E91}"/>
    <cellStyle name="Normal 2 3 2 31 2 2" xfId="2151" xr:uid="{ADC598B0-8520-42CB-8D73-65840283FF33}"/>
    <cellStyle name="Normal 2 3 2 31 2 2 2" xfId="10998" xr:uid="{E19FE749-5036-48CB-96BD-8877A240D6A1}"/>
    <cellStyle name="Normal 2 3 2 31 2 3" xfId="2152" xr:uid="{515C1782-E088-4467-B367-69B6C0F9FB18}"/>
    <cellStyle name="Normal 2 3 2 31 2 3 2" xfId="10999" xr:uid="{A822F3B6-124D-4EA4-8CC9-7B71D7F7536D}"/>
    <cellStyle name="Normal 2 3 2 31 2 4" xfId="10997" xr:uid="{B133E2D5-AF42-47A4-8E61-EE0854BDE232}"/>
    <cellStyle name="Normal 2 3 2 31 3" xfId="2153" xr:uid="{58FC67D3-F4D8-436A-803F-8F4496968DF7}"/>
    <cellStyle name="Normal 2 3 2 31 3 2" xfId="11000" xr:uid="{3A05B411-B31C-4ED2-A95B-35293926958E}"/>
    <cellStyle name="Normal 2 3 2 31 4" xfId="2154" xr:uid="{87E75AB5-6075-43CE-BAD3-5439F51F97AA}"/>
    <cellStyle name="Normal 2 3 2 31 4 2" xfId="11001" xr:uid="{80E5D75C-72D5-473C-AE35-D3E59ACCC0F5}"/>
    <cellStyle name="Normal 2 3 2 31 5" xfId="10996" xr:uid="{2E4BE854-B372-44CC-9AF4-667556E85D44}"/>
    <cellStyle name="Normal 2 3 2 32" xfId="2155" xr:uid="{0C976C87-CA3A-445D-B6A9-D1D3D6ECFDEA}"/>
    <cellStyle name="Normal 2 3 2 32 2" xfId="2156" xr:uid="{10F27A35-1C92-4092-B635-2DD708CB55BB}"/>
    <cellStyle name="Normal 2 3 2 32 2 2" xfId="2157" xr:uid="{31024D28-C379-44F6-B4B0-E3C202A3BBFF}"/>
    <cellStyle name="Normal 2 3 2 32 2 2 2" xfId="11004" xr:uid="{6C8C1A59-37FB-481C-9656-EDBFC8B933BC}"/>
    <cellStyle name="Normal 2 3 2 32 2 3" xfId="2158" xr:uid="{D7903F03-23C1-4A29-9E01-DA7ECB10FB31}"/>
    <cellStyle name="Normal 2 3 2 32 2 3 2" xfId="11005" xr:uid="{7D93066F-E294-4043-A089-0488E0243C8D}"/>
    <cellStyle name="Normal 2 3 2 32 2 4" xfId="11003" xr:uid="{731A08EA-5E10-4F72-BB24-262B30C10319}"/>
    <cellStyle name="Normal 2 3 2 32 3" xfId="2159" xr:uid="{4232A357-E904-4EDA-8C82-C35B0A8BFF5B}"/>
    <cellStyle name="Normal 2 3 2 32 3 2" xfId="11006" xr:uid="{7D94B564-72FF-4EE7-A308-E2C9209B94BF}"/>
    <cellStyle name="Normal 2 3 2 32 4" xfId="2160" xr:uid="{2ECA59E3-426E-4BCF-8FF3-1B8A9B15A1F0}"/>
    <cellStyle name="Normal 2 3 2 32 4 2" xfId="11007" xr:uid="{50C98B74-2CC6-429F-90D7-086BA75D2C2B}"/>
    <cellStyle name="Normal 2 3 2 32 5" xfId="11002" xr:uid="{AC272CD9-BBE7-48EB-A5CD-29591E606064}"/>
    <cellStyle name="Normal 2 3 2 33" xfId="2161" xr:uid="{F0FEED0E-14AE-46DA-90E1-880C9B6CDA91}"/>
    <cellStyle name="Normal 2 3 2 33 2" xfId="2162" xr:uid="{16F2C3DC-D590-4DF9-8F88-C5AE883F8803}"/>
    <cellStyle name="Normal 2 3 2 33 2 2" xfId="2163" xr:uid="{05BC7F1A-2DFD-4BC2-87DE-14E85A313C3B}"/>
    <cellStyle name="Normal 2 3 2 33 2 2 2" xfId="11010" xr:uid="{B49B9460-A53B-4547-A1EE-E1DAF6878609}"/>
    <cellStyle name="Normal 2 3 2 33 2 3" xfId="2164" xr:uid="{8D9ACBEA-616A-4CFC-8E39-3BEDC7017AD0}"/>
    <cellStyle name="Normal 2 3 2 33 2 3 2" xfId="11011" xr:uid="{23DBBFC0-29EE-4D5D-A778-E415BAC9D544}"/>
    <cellStyle name="Normal 2 3 2 33 2 4" xfId="11009" xr:uid="{38352F89-DDA6-4765-A887-03F95467C79B}"/>
    <cellStyle name="Normal 2 3 2 33 3" xfId="2165" xr:uid="{7AB81E6D-7AD0-4ED2-A9AC-B95B5D1BD324}"/>
    <cellStyle name="Normal 2 3 2 33 3 2" xfId="11012" xr:uid="{47590454-6BE3-4B36-87AF-0589A6C38994}"/>
    <cellStyle name="Normal 2 3 2 33 4" xfId="2166" xr:uid="{697D83F2-0F6F-4CE2-9EE7-028EE7662978}"/>
    <cellStyle name="Normal 2 3 2 33 4 2" xfId="11013" xr:uid="{366E4749-B478-4280-BA31-46DADE6C0531}"/>
    <cellStyle name="Normal 2 3 2 33 5" xfId="11008" xr:uid="{30A07CB6-577F-4B3D-83D1-3D92B59278E8}"/>
    <cellStyle name="Normal 2 3 2 34" xfId="2167" xr:uid="{E19CE636-5DBB-4401-949C-848CA21761CE}"/>
    <cellStyle name="Normal 2 3 2 34 2" xfId="2168" xr:uid="{E811312E-0E91-4DE2-A0C6-31FB33CFD442}"/>
    <cellStyle name="Normal 2 3 2 34 2 2" xfId="2169" xr:uid="{C41052CC-578B-4B42-AAAA-95A407FC1C0B}"/>
    <cellStyle name="Normal 2 3 2 34 2 2 2" xfId="11016" xr:uid="{6E7EA3EE-D39F-48E2-82C1-362A12C6B207}"/>
    <cellStyle name="Normal 2 3 2 34 2 3" xfId="2170" xr:uid="{CCA5185A-DBCC-48A8-9DF3-44FCB803B834}"/>
    <cellStyle name="Normal 2 3 2 34 2 3 2" xfId="11017" xr:uid="{15521DBB-BE31-4B73-8B91-276B30B559AC}"/>
    <cellStyle name="Normal 2 3 2 34 2 4" xfId="11015" xr:uid="{B8182C86-E05C-4CAD-9CC5-9125E57F4C9B}"/>
    <cellStyle name="Normal 2 3 2 34 3" xfId="2171" xr:uid="{DF26182D-2F8C-4B53-9B20-3B18ECA7EC46}"/>
    <cellStyle name="Normal 2 3 2 34 3 2" xfId="11018" xr:uid="{B6ACCD70-D096-46C6-A8FE-6536CDE0326D}"/>
    <cellStyle name="Normal 2 3 2 34 4" xfId="2172" xr:uid="{F9DBBAD1-D0C2-47AF-84E9-8758CBA56B0A}"/>
    <cellStyle name="Normal 2 3 2 34 4 2" xfId="11019" xr:uid="{2849F9FD-C412-439F-B36E-1838FA57B30A}"/>
    <cellStyle name="Normal 2 3 2 34 5" xfId="11014" xr:uid="{0FAC3304-95CF-407E-A845-2D85BB87AC0A}"/>
    <cellStyle name="Normal 2 3 2 35" xfId="2173" xr:uid="{DFD97912-1651-4482-AAC5-EFFA254E132E}"/>
    <cellStyle name="Normal 2 3 2 35 2" xfId="2174" xr:uid="{2B7536C7-269D-4D1D-9C24-5F6028C077F1}"/>
    <cellStyle name="Normal 2 3 2 35 2 2" xfId="2175" xr:uid="{C49957C4-7090-43BB-A409-356588349BDE}"/>
    <cellStyle name="Normal 2 3 2 35 2 2 2" xfId="11022" xr:uid="{E9569D65-5737-45F3-9736-D934289A6602}"/>
    <cellStyle name="Normal 2 3 2 35 2 3" xfId="2176" xr:uid="{0FC114CA-716B-4689-8373-31FE55CF3118}"/>
    <cellStyle name="Normal 2 3 2 35 2 3 2" xfId="11023" xr:uid="{1637818A-43C4-4E57-8952-5A7D25CA67E9}"/>
    <cellStyle name="Normal 2 3 2 35 2 4" xfId="11021" xr:uid="{044BBB26-78AE-411C-B26C-76C95623C38D}"/>
    <cellStyle name="Normal 2 3 2 35 3" xfId="2177" xr:uid="{065167A8-422C-485E-B4A8-484D61DD4311}"/>
    <cellStyle name="Normal 2 3 2 35 3 2" xfId="11024" xr:uid="{50B017A1-666D-40BB-AE67-B8C11F552BC3}"/>
    <cellStyle name="Normal 2 3 2 35 4" xfId="2178" xr:uid="{C04E1EEA-587B-4E91-A6D6-A9953E32E710}"/>
    <cellStyle name="Normal 2 3 2 35 4 2" xfId="11025" xr:uid="{7FE05FBD-8015-40A0-A8B7-C0BDA7202D25}"/>
    <cellStyle name="Normal 2 3 2 35 5" xfId="11020" xr:uid="{5BC52B1E-B9E5-4824-8160-D11F841F0E03}"/>
    <cellStyle name="Normal 2 3 2 36" xfId="2179" xr:uid="{39315141-9A7F-4175-9853-6C2627DFEFA8}"/>
    <cellStyle name="Normal 2 3 2 36 2" xfId="2180" xr:uid="{65E8A0C0-F344-4090-9716-2EBEB6C9B8EC}"/>
    <cellStyle name="Normal 2 3 2 36 2 2" xfId="2181" xr:uid="{834EDB9D-DC24-4269-9F55-40906081EDF4}"/>
    <cellStyle name="Normal 2 3 2 36 2 2 2" xfId="11028" xr:uid="{BCB3B825-6202-46EC-B167-83F87F23E88B}"/>
    <cellStyle name="Normal 2 3 2 36 2 3" xfId="2182" xr:uid="{91F3A3E8-1040-493B-8FF5-525B5CB8E6CF}"/>
    <cellStyle name="Normal 2 3 2 36 2 3 2" xfId="11029" xr:uid="{5FB81A63-FDC2-4166-937A-97CA246A52A0}"/>
    <cellStyle name="Normal 2 3 2 36 2 4" xfId="11027" xr:uid="{88DA5D59-0A9D-40A6-99E6-548F0CBA1680}"/>
    <cellStyle name="Normal 2 3 2 36 3" xfId="2183" xr:uid="{B20C2C1D-9FD8-4381-8F1E-7929B89AB226}"/>
    <cellStyle name="Normal 2 3 2 36 3 2" xfId="11030" xr:uid="{373B7BA3-EF69-4FDF-8A64-6850626F2DD6}"/>
    <cellStyle name="Normal 2 3 2 36 4" xfId="2184" xr:uid="{B0457131-633E-433E-9D02-68457AF7FE10}"/>
    <cellStyle name="Normal 2 3 2 36 4 2" xfId="11031" xr:uid="{9673DEE4-7B3E-4E8B-826B-279799ADA865}"/>
    <cellStyle name="Normal 2 3 2 36 5" xfId="11026" xr:uid="{9B74C4EE-4793-484C-8250-BBDC88D0312F}"/>
    <cellStyle name="Normal 2 3 2 37" xfId="2185" xr:uid="{3D9DBC3D-F16F-4EA1-A9CF-47B56DE3566C}"/>
    <cellStyle name="Normal 2 3 2 37 2" xfId="2186" xr:uid="{46715071-486D-4434-9E83-C3214D474B51}"/>
    <cellStyle name="Normal 2 3 2 37 2 2" xfId="2187" xr:uid="{6B8A13BF-080A-46AF-B0EB-659D112AB552}"/>
    <cellStyle name="Normal 2 3 2 37 2 2 2" xfId="11034" xr:uid="{4161CB05-422A-42C2-890D-E83BA92692B1}"/>
    <cellStyle name="Normal 2 3 2 37 2 3" xfId="2188" xr:uid="{95484C1E-1604-41C7-9A3D-EC89218ABA92}"/>
    <cellStyle name="Normal 2 3 2 37 2 3 2" xfId="11035" xr:uid="{D63FDDF8-2750-4071-8AA4-9B07A3D5E5F5}"/>
    <cellStyle name="Normal 2 3 2 37 2 4" xfId="11033" xr:uid="{F70A8264-FF89-410D-B5D2-76354A1E38A5}"/>
    <cellStyle name="Normal 2 3 2 37 3" xfId="2189" xr:uid="{99C84DBB-4ECC-468C-BD48-01BCC0F6BD42}"/>
    <cellStyle name="Normal 2 3 2 37 3 2" xfId="11036" xr:uid="{66AE5E64-1ADF-4600-A04C-05482EA0C2CA}"/>
    <cellStyle name="Normal 2 3 2 37 4" xfId="2190" xr:uid="{CBD1AC21-87FD-4D01-86FA-CCF08A9E755B}"/>
    <cellStyle name="Normal 2 3 2 37 4 2" xfId="11037" xr:uid="{40331330-B4A1-4699-8B85-1059A782DA10}"/>
    <cellStyle name="Normal 2 3 2 37 5" xfId="11032" xr:uid="{C1F1D59B-A81A-46F0-9E72-8DDCB317B705}"/>
    <cellStyle name="Normal 2 3 2 38" xfId="2191" xr:uid="{F4A65E79-2780-4B9B-88F0-DA66F0A1894F}"/>
    <cellStyle name="Normal 2 3 2 38 2" xfId="2192" xr:uid="{F0FA398E-892E-48A8-A238-93C5A1C8E0A3}"/>
    <cellStyle name="Normal 2 3 2 38 2 2" xfId="2193" xr:uid="{CED23A5D-B775-45C4-915D-14F960B562DD}"/>
    <cellStyle name="Normal 2 3 2 38 2 2 2" xfId="11040" xr:uid="{FF9EC124-25D5-4E46-869D-176CDA5DE552}"/>
    <cellStyle name="Normal 2 3 2 38 2 3" xfId="2194" xr:uid="{193452E1-4919-4BCB-AC90-0E151E5601ED}"/>
    <cellStyle name="Normal 2 3 2 38 2 3 2" xfId="11041" xr:uid="{3C1C4164-4E8E-4A99-AEEE-E019D1F72F70}"/>
    <cellStyle name="Normal 2 3 2 38 2 4" xfId="11039" xr:uid="{133D4E0F-F1B6-43B2-9002-F4BADB0E5CD3}"/>
    <cellStyle name="Normal 2 3 2 38 3" xfId="2195" xr:uid="{A610E5D7-BDE7-47B3-8830-A4F6AAC344F5}"/>
    <cellStyle name="Normal 2 3 2 38 3 2" xfId="11042" xr:uid="{BBEC61A0-76EA-4FC9-B18D-3886133AE630}"/>
    <cellStyle name="Normal 2 3 2 38 4" xfId="2196" xr:uid="{32266E6E-6364-41AE-871F-3940AFBCF59A}"/>
    <cellStyle name="Normal 2 3 2 38 4 2" xfId="11043" xr:uid="{55453051-5200-444D-8B56-A6B9FAB87511}"/>
    <cellStyle name="Normal 2 3 2 38 5" xfId="11038" xr:uid="{D84C564D-BC61-47CF-B2F9-3303B0BBF6C0}"/>
    <cellStyle name="Normal 2 3 2 39" xfId="2197" xr:uid="{174DA8FF-8BD7-4C35-BAAD-31DDCE84EE70}"/>
    <cellStyle name="Normal 2 3 2 39 2" xfId="2198" xr:uid="{193EF3B9-2098-472F-95D7-EA347ACD56BF}"/>
    <cellStyle name="Normal 2 3 2 39 2 2" xfId="2199" xr:uid="{0F22085C-E4E5-4AD2-879F-62DE34C0F9FE}"/>
    <cellStyle name="Normal 2 3 2 39 2 2 2" xfId="11046" xr:uid="{BB410659-900F-4D3C-8424-74471B8FC9B5}"/>
    <cellStyle name="Normal 2 3 2 39 2 3" xfId="2200" xr:uid="{4B6E4CE2-EA96-4DDC-9E67-BAC787D1FF1C}"/>
    <cellStyle name="Normal 2 3 2 39 2 3 2" xfId="11047" xr:uid="{236B12BE-20F8-4E94-9A35-C4178C35ABC5}"/>
    <cellStyle name="Normal 2 3 2 39 2 4" xfId="11045" xr:uid="{41BE918D-8E87-4CF4-A554-01894372915C}"/>
    <cellStyle name="Normal 2 3 2 39 3" xfId="2201" xr:uid="{FC256FAB-0D0D-446B-BFDC-0073D849D236}"/>
    <cellStyle name="Normal 2 3 2 39 3 2" xfId="11048" xr:uid="{5EA5BFA5-F55A-407D-B50A-7A3C11935056}"/>
    <cellStyle name="Normal 2 3 2 39 4" xfId="2202" xr:uid="{C0DA03E3-B70A-4737-BCB2-8AF18A3D7614}"/>
    <cellStyle name="Normal 2 3 2 39 4 2" xfId="11049" xr:uid="{E80A29DE-5699-49CB-8AC6-265DA42B0FC9}"/>
    <cellStyle name="Normal 2 3 2 39 5" xfId="11044" xr:uid="{C99C2DC1-EF10-43A2-BC6F-C6C16A45AF95}"/>
    <cellStyle name="Normal 2 3 2 4" xfId="2203" xr:uid="{66C07CCD-6D85-4801-9607-BFEE8E3E33E8}"/>
    <cellStyle name="Normal 2 3 2 4 2" xfId="2204" xr:uid="{A9E9049B-3B21-4FF9-8F21-BECEF9D9470F}"/>
    <cellStyle name="Normal 2 3 2 4 2 2" xfId="2205" xr:uid="{B45C8ED9-CF5E-406C-98C1-9AD45B53FD23}"/>
    <cellStyle name="Normal 2 3 2 4 2 2 2" xfId="11052" xr:uid="{171D58A5-2915-42E5-B2D1-7CEFB5A4632F}"/>
    <cellStyle name="Normal 2 3 2 4 2 3" xfId="2206" xr:uid="{44987F70-D841-4035-8B50-3841232E1F16}"/>
    <cellStyle name="Normal 2 3 2 4 2 3 2" xfId="11053" xr:uid="{D3D54747-4315-4FB9-8D46-B82A244B50E2}"/>
    <cellStyle name="Normal 2 3 2 4 2 4" xfId="11051" xr:uid="{F8A5A46F-52C9-4212-AEDB-5E5399F4068B}"/>
    <cellStyle name="Normal 2 3 2 4 3" xfId="2207" xr:uid="{93676161-D45F-4EFB-84E0-616F38AF3112}"/>
    <cellStyle name="Normal 2 3 2 4 3 2" xfId="11054" xr:uid="{E688B202-00BD-41DB-91D4-3CBC659C44AB}"/>
    <cellStyle name="Normal 2 3 2 4 4" xfId="2208" xr:uid="{306925CC-1CBF-488B-88C0-A640974B3F59}"/>
    <cellStyle name="Normal 2 3 2 4 4 2" xfId="11055" xr:uid="{7D18EFEC-3BAC-4E13-9515-4DBB4D1F3829}"/>
    <cellStyle name="Normal 2 3 2 4 5" xfId="11050" xr:uid="{F0331DDC-1F3A-4DAB-A6F0-BE0522E40D27}"/>
    <cellStyle name="Normal 2 3 2 40" xfId="2209" xr:uid="{D6A25D10-F2C7-4B0F-8DFB-2EBE79016495}"/>
    <cellStyle name="Normal 2 3 2 40 2" xfId="2210" xr:uid="{FDCC5E19-6B33-415B-9462-E7FF5C535BF8}"/>
    <cellStyle name="Normal 2 3 2 40 2 2" xfId="2211" xr:uid="{9B8416D5-37E4-4E57-BE50-F2F86F7BC5CD}"/>
    <cellStyle name="Normal 2 3 2 40 2 2 2" xfId="11058" xr:uid="{27C79F9F-0350-44C7-BF5C-F32D01B6A363}"/>
    <cellStyle name="Normal 2 3 2 40 2 3" xfId="2212" xr:uid="{1583440E-D031-41CA-88CB-F5B8AD791951}"/>
    <cellStyle name="Normal 2 3 2 40 2 3 2" xfId="11059" xr:uid="{6986D769-04CC-4899-AD25-B264AF11881B}"/>
    <cellStyle name="Normal 2 3 2 40 2 4" xfId="11057" xr:uid="{AB4D5B68-6832-40E1-AD57-D3C9CA41318E}"/>
    <cellStyle name="Normal 2 3 2 40 3" xfId="2213" xr:uid="{405744CD-1435-44DA-BFED-3C18FF9EC922}"/>
    <cellStyle name="Normal 2 3 2 40 3 2" xfId="11060" xr:uid="{3BB3C6EE-9D8E-4582-BB0B-84D18CE8F57B}"/>
    <cellStyle name="Normal 2 3 2 40 4" xfId="2214" xr:uid="{9FCA6C82-4B76-4A28-AEE3-84C226C7ECE1}"/>
    <cellStyle name="Normal 2 3 2 40 4 2" xfId="11061" xr:uid="{DBD4D8E3-EBDD-45F7-B297-9AAAD951AC8B}"/>
    <cellStyle name="Normal 2 3 2 40 5" xfId="11056" xr:uid="{A2A34EC8-203D-48B1-8648-4347F26C7B65}"/>
    <cellStyle name="Normal 2 3 2 41" xfId="2215" xr:uid="{49AAE3FA-1313-4C5A-9A73-BE65C2EB6418}"/>
    <cellStyle name="Normal 2 3 2 41 2" xfId="2216" xr:uid="{E25CF4F7-57F3-48F5-93D8-B9CA1B04E058}"/>
    <cellStyle name="Normal 2 3 2 41 2 2" xfId="2217" xr:uid="{CC31019B-FA45-4F83-BAA5-B52D207F30BA}"/>
    <cellStyle name="Normal 2 3 2 41 2 2 2" xfId="11064" xr:uid="{3B8E6ECF-A440-46A4-BB51-F34BAB21B13A}"/>
    <cellStyle name="Normal 2 3 2 41 2 3" xfId="2218" xr:uid="{BC10A9D2-C7B5-4E30-8B9E-F4EB745B66D7}"/>
    <cellStyle name="Normal 2 3 2 41 2 3 2" xfId="11065" xr:uid="{4F8A2D3B-E9FA-4217-8D19-13D00C66E133}"/>
    <cellStyle name="Normal 2 3 2 41 2 4" xfId="11063" xr:uid="{BE736A82-1C06-4B64-91F5-9B20E56BEEB2}"/>
    <cellStyle name="Normal 2 3 2 41 3" xfId="2219" xr:uid="{DE695584-D321-49EB-B39D-7C27337D91BC}"/>
    <cellStyle name="Normal 2 3 2 41 3 2" xfId="11066" xr:uid="{3B28D6B9-986E-4383-B797-2073EE85FF9E}"/>
    <cellStyle name="Normal 2 3 2 41 4" xfId="2220" xr:uid="{16ACC166-0FE3-4E8D-A753-9B0B03073C3D}"/>
    <cellStyle name="Normal 2 3 2 41 4 2" xfId="11067" xr:uid="{8F63E8F5-786E-4025-9EA5-6D42EC6FC0F7}"/>
    <cellStyle name="Normal 2 3 2 41 5" xfId="11062" xr:uid="{015B0FCD-9C3A-4123-8437-8EF257F62ED8}"/>
    <cellStyle name="Normal 2 3 2 42" xfId="2221" xr:uid="{FEDF839D-BFA7-4DA7-8506-096B348833EE}"/>
    <cellStyle name="Normal 2 3 2 42 2" xfId="2222" xr:uid="{09ECC7CD-D959-459E-A8CA-BD2D64611CFE}"/>
    <cellStyle name="Normal 2 3 2 42 2 2" xfId="2223" xr:uid="{906459F6-CA9C-431D-8ADB-AB7A6A7FB809}"/>
    <cellStyle name="Normal 2 3 2 42 2 2 2" xfId="11070" xr:uid="{C7F0B150-B37E-4906-BC6D-261C21AA315B}"/>
    <cellStyle name="Normal 2 3 2 42 2 3" xfId="2224" xr:uid="{13494CC8-926E-4AAC-A641-E6482F4234D4}"/>
    <cellStyle name="Normal 2 3 2 42 2 3 2" xfId="11071" xr:uid="{C233436D-4843-429A-8219-CD50FE5F15EE}"/>
    <cellStyle name="Normal 2 3 2 42 2 4" xfId="11069" xr:uid="{BFB3A8FA-4AEB-4849-BA60-44D0E5E3FE0F}"/>
    <cellStyle name="Normal 2 3 2 42 3" xfId="2225" xr:uid="{0C86C803-23A2-4908-B932-32E991AD3153}"/>
    <cellStyle name="Normal 2 3 2 42 3 2" xfId="11072" xr:uid="{6ECE4E64-A418-442B-A8A5-A2A5E1A83C5D}"/>
    <cellStyle name="Normal 2 3 2 42 4" xfId="2226" xr:uid="{288F334E-18A2-496E-83C2-E04EC572F8EA}"/>
    <cellStyle name="Normal 2 3 2 42 4 2" xfId="11073" xr:uid="{83953E28-630D-4FFA-AF69-94F68F743C08}"/>
    <cellStyle name="Normal 2 3 2 42 5" xfId="11068" xr:uid="{80796DF6-31AB-4D1C-964C-FDCA38E81DD0}"/>
    <cellStyle name="Normal 2 3 2 43" xfId="2227" xr:uid="{E44837DD-0E2C-471E-B26D-D0800979664F}"/>
    <cellStyle name="Normal 2 3 2 43 2" xfId="2228" xr:uid="{75974752-5027-4956-8E68-E3ABC189CF23}"/>
    <cellStyle name="Normal 2 3 2 43 2 2" xfId="2229" xr:uid="{DAF319D0-7F9A-4154-865B-3189644A1420}"/>
    <cellStyle name="Normal 2 3 2 43 2 2 2" xfId="11076" xr:uid="{31A8FC2A-EFEC-4ED1-93A4-E21F31E11D97}"/>
    <cellStyle name="Normal 2 3 2 43 2 3" xfId="2230" xr:uid="{2571A48E-436D-4C2D-A20B-1250ADF9C6D2}"/>
    <cellStyle name="Normal 2 3 2 43 2 3 2" xfId="11077" xr:uid="{D348789F-E921-4A61-8820-46C92CA83F76}"/>
    <cellStyle name="Normal 2 3 2 43 2 4" xfId="11075" xr:uid="{A9EA2689-73E7-4D7D-B86C-3056E882BBD7}"/>
    <cellStyle name="Normal 2 3 2 43 3" xfId="2231" xr:uid="{9217ACB4-24A7-42F1-929D-4E8FACBA6418}"/>
    <cellStyle name="Normal 2 3 2 43 3 2" xfId="11078" xr:uid="{B8E281D5-2A94-4458-A68D-2CE3EAC79661}"/>
    <cellStyle name="Normal 2 3 2 43 4" xfId="2232" xr:uid="{BCC10087-3BF1-43A5-8DBB-AA01D6D196F1}"/>
    <cellStyle name="Normal 2 3 2 43 4 2" xfId="11079" xr:uid="{BDACA1C8-113E-4EC8-B2D6-830A63E8427B}"/>
    <cellStyle name="Normal 2 3 2 43 5" xfId="11074" xr:uid="{18287E7B-C6D2-408E-8F57-F8ABBCA5061B}"/>
    <cellStyle name="Normal 2 3 2 44" xfId="2233" xr:uid="{73EFCD49-E52C-4A4B-857B-7D6A38ED1A02}"/>
    <cellStyle name="Normal 2 3 2 44 2" xfId="2234" xr:uid="{8F97D7C0-8A61-4535-B966-9369D72317AE}"/>
    <cellStyle name="Normal 2 3 2 44 2 2" xfId="11081" xr:uid="{1CD5FF2B-A2D5-4EDE-A4E0-20D7328B0D5D}"/>
    <cellStyle name="Normal 2 3 2 44 3" xfId="2235" xr:uid="{E23B9DA0-CE37-4108-AF5D-7AC2271C525D}"/>
    <cellStyle name="Normal 2 3 2 44 3 2" xfId="11082" xr:uid="{48763849-4251-4495-8D1A-024791B31FF2}"/>
    <cellStyle name="Normal 2 3 2 44 4" xfId="11080" xr:uid="{85814CBB-1E5D-4356-A002-01278387FAFF}"/>
    <cellStyle name="Normal 2 3 2 45" xfId="2236" xr:uid="{D6315E49-37B9-46BB-A599-EB8C98554BF3}"/>
    <cellStyle name="Normal 2 3 2 45 2" xfId="11083" xr:uid="{A9600078-A5FE-4922-B5A7-3A7D227BFD12}"/>
    <cellStyle name="Normal 2 3 2 46" xfId="2237" xr:uid="{9F610576-BC3B-4B0E-ACDB-14F7899F7DE5}"/>
    <cellStyle name="Normal 2 3 2 46 2" xfId="11084" xr:uid="{25A9CCAE-DC67-4547-824F-A7E935680764}"/>
    <cellStyle name="Normal 2 3 2 47" xfId="10857" xr:uid="{85DC0E25-F40F-49A7-B421-D30D06811941}"/>
    <cellStyle name="Normal 2 3 2 5" xfId="2238" xr:uid="{6A65CB0B-24F6-44D9-934F-1D6B37FC5D9D}"/>
    <cellStyle name="Normal 2 3 2 5 2" xfId="2239" xr:uid="{1DDFB218-2A9B-46A2-BC6E-73E65EAC384E}"/>
    <cellStyle name="Normal 2 3 2 5 2 2" xfId="2240" xr:uid="{34749115-BBF8-4246-8EF7-9A39CD540CD2}"/>
    <cellStyle name="Normal 2 3 2 5 2 2 2" xfId="11087" xr:uid="{794DF8C4-5517-4041-B18B-FF5467150D4C}"/>
    <cellStyle name="Normal 2 3 2 5 2 3" xfId="2241" xr:uid="{91722B65-A800-4683-A384-ED50D2BD7405}"/>
    <cellStyle name="Normal 2 3 2 5 2 3 2" xfId="11088" xr:uid="{254FED05-7C51-4C1F-9D73-01066F0355BD}"/>
    <cellStyle name="Normal 2 3 2 5 2 4" xfId="11086" xr:uid="{69F12581-48D7-4EAD-A957-6A554B6F2172}"/>
    <cellStyle name="Normal 2 3 2 5 3" xfId="2242" xr:uid="{A4CD6130-1359-446F-BB83-BFE7FE384392}"/>
    <cellStyle name="Normal 2 3 2 5 3 2" xfId="11089" xr:uid="{7A439A07-9801-414D-AAD6-6EF351FDC740}"/>
    <cellStyle name="Normal 2 3 2 5 4" xfId="2243" xr:uid="{3EAB140E-C3A5-448B-AF5F-15AC7A6F8A83}"/>
    <cellStyle name="Normal 2 3 2 5 4 2" xfId="11090" xr:uid="{613EBF8E-1C29-488C-B1EB-DD04C9B304A8}"/>
    <cellStyle name="Normal 2 3 2 5 5" xfId="11085" xr:uid="{55FE4B03-49E5-438E-B67F-21783A8DB904}"/>
    <cellStyle name="Normal 2 3 2 6" xfId="2244" xr:uid="{BACA78BC-2423-4A5E-BE73-36143BBEF04D}"/>
    <cellStyle name="Normal 2 3 2 6 2" xfId="2245" xr:uid="{F96C4961-EBDC-4B83-A964-1D6547E74477}"/>
    <cellStyle name="Normal 2 3 2 6 2 2" xfId="2246" xr:uid="{E6D806C7-8F64-472B-BEC9-B12BBED21126}"/>
    <cellStyle name="Normal 2 3 2 6 2 2 2" xfId="11093" xr:uid="{31248943-A0D2-43FA-8557-800C400FDD29}"/>
    <cellStyle name="Normal 2 3 2 6 2 3" xfId="2247" xr:uid="{74254358-046C-4920-BA7A-4B7B2B3A4B28}"/>
    <cellStyle name="Normal 2 3 2 6 2 3 2" xfId="11094" xr:uid="{B6982CAB-E4FD-49B6-B757-EBA04CB540E8}"/>
    <cellStyle name="Normal 2 3 2 6 2 4" xfId="11092" xr:uid="{E1865036-7ADB-4B00-A4F2-6B6DD83FE3F4}"/>
    <cellStyle name="Normal 2 3 2 6 3" xfId="2248" xr:uid="{74FDEF40-7834-4392-8C27-852DF67F5655}"/>
    <cellStyle name="Normal 2 3 2 6 3 2" xfId="11095" xr:uid="{F5674E7B-C1CA-4862-AA24-EE5BA50DEB66}"/>
    <cellStyle name="Normal 2 3 2 6 4" xfId="2249" xr:uid="{4579F898-F494-46E2-8490-A496B4F0A23C}"/>
    <cellStyle name="Normal 2 3 2 6 4 2" xfId="11096" xr:uid="{E5379FED-468E-421A-ADA6-D567AD909FC1}"/>
    <cellStyle name="Normal 2 3 2 6 5" xfId="11091" xr:uid="{7DB35C07-C674-4498-A8D6-19BB1820E3A3}"/>
    <cellStyle name="Normal 2 3 2 7" xfId="2250" xr:uid="{C266517F-EA13-4B44-AC07-DD346AFCDD4C}"/>
    <cellStyle name="Normal 2 3 2 7 2" xfId="2251" xr:uid="{2E7DB8F8-1ECD-4E0E-AB61-829B3EDD062F}"/>
    <cellStyle name="Normal 2 3 2 7 2 2" xfId="2252" xr:uid="{E7FC46A9-B779-487D-8B89-2E464A9E316C}"/>
    <cellStyle name="Normal 2 3 2 7 2 2 2" xfId="11099" xr:uid="{C1119B82-BE5C-49C6-B27C-1CE7595B6C99}"/>
    <cellStyle name="Normal 2 3 2 7 2 3" xfId="2253" xr:uid="{21CE8D4A-ADB1-4148-833E-3292BC59E58F}"/>
    <cellStyle name="Normal 2 3 2 7 2 3 2" xfId="11100" xr:uid="{89FFDF53-8DCE-4BE6-8CB8-F1B4A5147E88}"/>
    <cellStyle name="Normal 2 3 2 7 2 4" xfId="11098" xr:uid="{DFE3E9F3-9490-48A8-96C3-BDDC76F5F03A}"/>
    <cellStyle name="Normal 2 3 2 7 3" xfId="2254" xr:uid="{CE9D6C93-837F-404E-9966-8A2F0019002A}"/>
    <cellStyle name="Normal 2 3 2 7 3 2" xfId="11101" xr:uid="{B7D4BC43-754C-4A70-874C-0121F45E91DC}"/>
    <cellStyle name="Normal 2 3 2 7 4" xfId="2255" xr:uid="{211C71C9-F43F-4759-9793-2FC4F9118D37}"/>
    <cellStyle name="Normal 2 3 2 7 4 2" xfId="11102" xr:uid="{D9BC397A-2D5A-4052-846D-8D8E38B62721}"/>
    <cellStyle name="Normal 2 3 2 7 5" xfId="11097" xr:uid="{1ABE265B-3D51-4170-9CDF-7A887FEAB454}"/>
    <cellStyle name="Normal 2 3 2 8" xfId="2256" xr:uid="{D729E47B-B0B1-4EB7-BB9A-1126DF239C51}"/>
    <cellStyle name="Normal 2 3 2 8 2" xfId="2257" xr:uid="{3A674182-F30F-4EA7-B4EE-6E676BA3E6F2}"/>
    <cellStyle name="Normal 2 3 2 8 2 2" xfId="2258" xr:uid="{7156112E-B2A9-4E1F-B68B-380BA22C92EF}"/>
    <cellStyle name="Normal 2 3 2 8 2 2 2" xfId="11105" xr:uid="{66431732-AFD0-4C62-869B-285170864176}"/>
    <cellStyle name="Normal 2 3 2 8 2 3" xfId="2259" xr:uid="{5FCCC5FA-A7E1-4CEB-B168-426923FA6473}"/>
    <cellStyle name="Normal 2 3 2 8 2 3 2" xfId="11106" xr:uid="{A79C3FAA-D339-4465-A055-78FCC304008A}"/>
    <cellStyle name="Normal 2 3 2 8 2 4" xfId="11104" xr:uid="{05C822B6-347D-416C-BE7D-FF4CD56F89FC}"/>
    <cellStyle name="Normal 2 3 2 8 3" xfId="2260" xr:uid="{3389D299-E1AA-42EA-9CB7-700AF42652A4}"/>
    <cellStyle name="Normal 2 3 2 8 3 2" xfId="11107" xr:uid="{C55D3B54-EA87-45B2-8927-A5D24F31DE7C}"/>
    <cellStyle name="Normal 2 3 2 8 4" xfId="2261" xr:uid="{EE2D2E50-8531-479F-9844-3B6557A73417}"/>
    <cellStyle name="Normal 2 3 2 8 4 2" xfId="11108" xr:uid="{3CBC3BC3-1F3F-4251-9597-14A448EA33B0}"/>
    <cellStyle name="Normal 2 3 2 8 5" xfId="11103" xr:uid="{9A4340A8-1B7E-4041-803F-2CC4ED816859}"/>
    <cellStyle name="Normal 2 3 2 9" xfId="2262" xr:uid="{40BD725B-5450-4C23-A4A7-3D939A89723E}"/>
    <cellStyle name="Normal 2 3 2 9 2" xfId="2263" xr:uid="{1C3235A2-4AE7-47D1-8456-BD93453361D6}"/>
    <cellStyle name="Normal 2 3 2 9 2 2" xfId="2264" xr:uid="{43E0BDD5-0D1D-4E8D-9255-29514E850BCA}"/>
    <cellStyle name="Normal 2 3 2 9 2 2 2" xfId="11111" xr:uid="{0F8B8258-C608-460A-AD1B-4EF2137752DC}"/>
    <cellStyle name="Normal 2 3 2 9 2 3" xfId="2265" xr:uid="{A9BE3CF1-65FD-4087-9806-55AA8867B50E}"/>
    <cellStyle name="Normal 2 3 2 9 2 3 2" xfId="11112" xr:uid="{54B29278-D584-4182-B3D3-223AC299BF5C}"/>
    <cellStyle name="Normal 2 3 2 9 2 4" xfId="11110" xr:uid="{29766BDA-CBB1-43DE-AAD4-2AEDDCD38DF5}"/>
    <cellStyle name="Normal 2 3 2 9 3" xfId="2266" xr:uid="{AF248C59-298F-4743-BC35-A0339F930E43}"/>
    <cellStyle name="Normal 2 3 2 9 3 2" xfId="11113" xr:uid="{2A1FE51B-40C2-4BFC-B7B0-0F2C2521EB2F}"/>
    <cellStyle name="Normal 2 3 2 9 4" xfId="2267" xr:uid="{82AFF455-F76F-4D14-8D36-A78E7B6194D3}"/>
    <cellStyle name="Normal 2 3 2 9 4 2" xfId="11114" xr:uid="{52F973DE-9481-41FF-9DCC-4987EBD18890}"/>
    <cellStyle name="Normal 2 3 2 9 5" xfId="11109" xr:uid="{9111E022-665F-4C4B-B5D8-E2DD2C208A8E}"/>
    <cellStyle name="Normal 2 3 20" xfId="2268" xr:uid="{AE79D693-BFC0-46DC-BE48-49E5A2350E70}"/>
    <cellStyle name="Normal 2 3 20 2" xfId="2269" xr:uid="{BB41D5F5-8BF4-4833-8EA8-B20FB8A94F66}"/>
    <cellStyle name="Normal 2 3 20 2 2" xfId="2270" xr:uid="{AF000605-7B70-4F7D-A870-32D5EE185EC0}"/>
    <cellStyle name="Normal 2 3 20 2 2 2" xfId="11117" xr:uid="{FB9E934D-EDA0-4D80-AA40-8420E8EE61D7}"/>
    <cellStyle name="Normal 2 3 20 2 3" xfId="2271" xr:uid="{4DAEDACA-B051-4D46-ADE3-8677FE1F1BD4}"/>
    <cellStyle name="Normal 2 3 20 2 3 2" xfId="11118" xr:uid="{B8E077F0-2848-4244-B5A5-97D63D01764C}"/>
    <cellStyle name="Normal 2 3 20 2 4" xfId="11116" xr:uid="{A70B596E-6754-4E59-A345-E502A7393E8F}"/>
    <cellStyle name="Normal 2 3 20 3" xfId="2272" xr:uid="{EFDE7411-B864-4732-9822-A847792B8A64}"/>
    <cellStyle name="Normal 2 3 20 3 2" xfId="11119" xr:uid="{1C459F23-FCC0-4111-BFBD-350D9563A2C9}"/>
    <cellStyle name="Normal 2 3 20 4" xfId="2273" xr:uid="{15899AA0-C564-4C88-8F26-95677AC0DCA7}"/>
    <cellStyle name="Normal 2 3 20 4 2" xfId="11120" xr:uid="{4040E4E9-1496-4F12-9F78-CBE368486DCB}"/>
    <cellStyle name="Normal 2 3 20 5" xfId="11115" xr:uid="{87848449-5540-467B-AAAF-A3802B776A72}"/>
    <cellStyle name="Normal 2 3 21" xfId="2274" xr:uid="{2DA46C93-5138-4865-8505-03ABE57D78F7}"/>
    <cellStyle name="Normal 2 3 21 2" xfId="2275" xr:uid="{7D813715-C63A-473C-82F8-4364D1829632}"/>
    <cellStyle name="Normal 2 3 21 2 2" xfId="2276" xr:uid="{9B3B8B49-F407-4DCE-897B-A260EEAA67BC}"/>
    <cellStyle name="Normal 2 3 21 2 2 2" xfId="11123" xr:uid="{957FFAD2-1756-4823-B482-0D06625E16AE}"/>
    <cellStyle name="Normal 2 3 21 2 3" xfId="2277" xr:uid="{FE180045-EB62-45BC-9F01-557215ED8B5A}"/>
    <cellStyle name="Normal 2 3 21 2 3 2" xfId="11124" xr:uid="{FED30F5B-91B8-4D01-91D8-C8760701FCA0}"/>
    <cellStyle name="Normal 2 3 21 2 4" xfId="11122" xr:uid="{233FF265-87DA-479B-93BB-484D9631ECFB}"/>
    <cellStyle name="Normal 2 3 21 3" xfId="2278" xr:uid="{29C206FA-72CF-4534-8EEE-E69A0099C657}"/>
    <cellStyle name="Normal 2 3 21 3 2" xfId="11125" xr:uid="{EE570F82-F147-4312-8612-CA102385080B}"/>
    <cellStyle name="Normal 2 3 21 4" xfId="2279" xr:uid="{883810BD-D60C-4CA7-823C-67E310FD43FB}"/>
    <cellStyle name="Normal 2 3 21 4 2" xfId="11126" xr:uid="{DADC52B8-5D84-4D30-8A25-8FA825F2BEDC}"/>
    <cellStyle name="Normal 2 3 21 5" xfId="11121" xr:uid="{59105A48-0C90-4C3D-AFF9-278375F897CC}"/>
    <cellStyle name="Normal 2 3 22" xfId="2280" xr:uid="{2B3F4897-C5B2-4C3B-BBAA-1B7DB0A474FD}"/>
    <cellStyle name="Normal 2 3 22 2" xfId="2281" xr:uid="{B2808FC9-2FE6-48A2-9D01-21C43D62011C}"/>
    <cellStyle name="Normal 2 3 22 2 2" xfId="2282" xr:uid="{CE66E3AD-C7FE-427A-8D50-372EBB319F99}"/>
    <cellStyle name="Normal 2 3 22 2 2 2" xfId="11129" xr:uid="{2EA62078-659C-42B6-BA79-A408D22D8582}"/>
    <cellStyle name="Normal 2 3 22 2 3" xfId="2283" xr:uid="{8B9CFA45-A1F3-4D72-8826-CB2603578663}"/>
    <cellStyle name="Normal 2 3 22 2 3 2" xfId="11130" xr:uid="{A15C00AD-E7F6-49D2-8072-6D38317ABFCC}"/>
    <cellStyle name="Normal 2 3 22 2 4" xfId="11128" xr:uid="{5057ACD6-A159-40CF-B78C-2798C8E12377}"/>
    <cellStyle name="Normal 2 3 22 3" xfId="2284" xr:uid="{7724FCB5-61A0-4646-972D-0ED42F4EF2A7}"/>
    <cellStyle name="Normal 2 3 22 3 2" xfId="11131" xr:uid="{5A6E8D30-7841-4B06-996B-AC9406F0883E}"/>
    <cellStyle name="Normal 2 3 22 4" xfId="2285" xr:uid="{5ACCE0A3-3CCE-436B-BE39-05E1BFFB944B}"/>
    <cellStyle name="Normal 2 3 22 4 2" xfId="11132" xr:uid="{2F85842E-1E17-4B37-9BA9-9AA5E030CE71}"/>
    <cellStyle name="Normal 2 3 22 5" xfId="11127" xr:uid="{65C8D266-339B-429B-9462-0D73D1F9F7DA}"/>
    <cellStyle name="Normal 2 3 23" xfId="2286" xr:uid="{5215AAE3-FDF3-4CC6-BB5B-4DCC2E731BDA}"/>
    <cellStyle name="Normal 2 3 23 2" xfId="2287" xr:uid="{3AE109FF-F6B7-42C0-8A6F-A35003AC68A2}"/>
    <cellStyle name="Normal 2 3 23 2 2" xfId="2288" xr:uid="{9E09453E-E20E-4E2C-B843-2F923F23FA4E}"/>
    <cellStyle name="Normal 2 3 23 2 2 2" xfId="11135" xr:uid="{FA018FCB-CE61-4AEC-8346-462EBF595642}"/>
    <cellStyle name="Normal 2 3 23 2 3" xfId="2289" xr:uid="{AB6861AF-DCAF-4B6B-8894-F421FCD15379}"/>
    <cellStyle name="Normal 2 3 23 2 3 2" xfId="11136" xr:uid="{1407EBF6-2232-4EDC-946A-613F32811405}"/>
    <cellStyle name="Normal 2 3 23 2 4" xfId="11134" xr:uid="{C0BC94D9-8917-4CF2-BE09-1562E6E8F797}"/>
    <cellStyle name="Normal 2 3 23 3" xfId="2290" xr:uid="{2A12D8DB-F97A-41E8-B8F7-2EA909D49860}"/>
    <cellStyle name="Normal 2 3 23 3 2" xfId="11137" xr:uid="{5EFEE758-202B-433B-98B4-B6BDE4C40C1C}"/>
    <cellStyle name="Normal 2 3 23 4" xfId="2291" xr:uid="{8876852D-7D0D-4085-9555-DA36C32DBAE9}"/>
    <cellStyle name="Normal 2 3 23 4 2" xfId="11138" xr:uid="{3FFDAC12-71B3-434B-9321-6323B68E9BEC}"/>
    <cellStyle name="Normal 2 3 23 5" xfId="11133" xr:uid="{1CAE0071-01BC-41DB-9C7F-2D053BDF31F9}"/>
    <cellStyle name="Normal 2 3 24" xfId="2292" xr:uid="{7CA09030-AE14-43DD-BDF2-B5141C329C07}"/>
    <cellStyle name="Normal 2 3 24 2" xfId="2293" xr:uid="{52B8140D-C8C3-41ED-84C5-DE5B2F79AF1A}"/>
    <cellStyle name="Normal 2 3 24 2 2" xfId="2294" xr:uid="{74EBEF7E-964E-4128-B6FB-81049DAA886C}"/>
    <cellStyle name="Normal 2 3 24 2 2 2" xfId="11141" xr:uid="{978B9236-15ED-4216-8CD0-B1395B213A80}"/>
    <cellStyle name="Normal 2 3 24 2 3" xfId="2295" xr:uid="{D897A4F8-F5B1-436C-86B1-1212F8ED297B}"/>
    <cellStyle name="Normal 2 3 24 2 3 2" xfId="11142" xr:uid="{A019D113-5C35-4284-B1A3-3438E695C6DC}"/>
    <cellStyle name="Normal 2 3 24 2 4" xfId="11140" xr:uid="{764231E8-BC6A-44AF-B5D1-9FEAC4EAB590}"/>
    <cellStyle name="Normal 2 3 24 3" xfId="2296" xr:uid="{700600DF-A1E7-4275-B892-2D316883FE82}"/>
    <cellStyle name="Normal 2 3 24 3 2" xfId="11143" xr:uid="{E0D5D595-73F3-4442-882C-BC33F3CA87D2}"/>
    <cellStyle name="Normal 2 3 24 4" xfId="2297" xr:uid="{50005365-07BB-4483-91A2-72F5DC116C87}"/>
    <cellStyle name="Normal 2 3 24 4 2" xfId="11144" xr:uid="{C548A69F-E7BD-4D3A-A464-4952A1E8C7CD}"/>
    <cellStyle name="Normal 2 3 24 5" xfId="11139" xr:uid="{75BBBF7C-175A-4261-87F1-DFD8C5BC56A7}"/>
    <cellStyle name="Normal 2 3 25" xfId="2298" xr:uid="{2876DB59-31B5-415C-923C-74E6DAC91477}"/>
    <cellStyle name="Normal 2 3 25 2" xfId="2299" xr:uid="{38762393-4482-4610-93F3-68B4F567DE4D}"/>
    <cellStyle name="Normal 2 3 25 2 2" xfId="2300" xr:uid="{694AD0F6-A024-4EB9-9953-BD87AE46A34D}"/>
    <cellStyle name="Normal 2 3 25 2 2 2" xfId="11147" xr:uid="{F1318644-7A7D-4CAF-BC5C-283A68C6BB3C}"/>
    <cellStyle name="Normal 2 3 25 2 3" xfId="2301" xr:uid="{A3FC5CAF-169B-47EC-9961-169CBBBB84D8}"/>
    <cellStyle name="Normal 2 3 25 2 3 2" xfId="11148" xr:uid="{1FB3F51C-D4F8-4137-ADEA-D9C811F3AEC4}"/>
    <cellStyle name="Normal 2 3 25 2 4" xfId="11146" xr:uid="{E4F8CD82-5C20-48E7-82C8-E5406F5AC747}"/>
    <cellStyle name="Normal 2 3 25 3" xfId="2302" xr:uid="{AEEA1444-646B-4C43-BAA0-E681BB7E5B0A}"/>
    <cellStyle name="Normal 2 3 25 3 2" xfId="11149" xr:uid="{2B0DD17B-1EF1-451E-90BC-16BA6740AE1C}"/>
    <cellStyle name="Normal 2 3 25 4" xfId="2303" xr:uid="{EB2978A9-8600-473F-A8B3-396540F39CFA}"/>
    <cellStyle name="Normal 2 3 25 4 2" xfId="11150" xr:uid="{83974E8F-1100-4DC4-A28C-1F690D16F012}"/>
    <cellStyle name="Normal 2 3 25 5" xfId="11145" xr:uid="{AF572C0B-A19E-437F-9663-C9CA3B3F5EE9}"/>
    <cellStyle name="Normal 2 3 26" xfId="2304" xr:uid="{7FF0862E-26D6-40CD-B342-E0A98AB51604}"/>
    <cellStyle name="Normal 2 3 26 2" xfId="2305" xr:uid="{524CB28E-D5C1-482D-A564-86DF59683650}"/>
    <cellStyle name="Normal 2 3 26 2 2" xfId="2306" xr:uid="{58D988A5-A8AA-4D9F-BFB3-A1F9D208BED2}"/>
    <cellStyle name="Normal 2 3 26 2 2 2" xfId="11153" xr:uid="{AAFEDB87-2949-4344-A7D5-8417E3DD3E8D}"/>
    <cellStyle name="Normal 2 3 26 2 3" xfId="2307" xr:uid="{53AAD7E6-26D7-4275-905C-D1FA33035101}"/>
    <cellStyle name="Normal 2 3 26 2 3 2" xfId="11154" xr:uid="{60E6A6C7-9667-41B3-AD91-28650423233F}"/>
    <cellStyle name="Normal 2 3 26 2 4" xfId="11152" xr:uid="{3180580B-D780-4AC0-9D1D-745EC9042D10}"/>
    <cellStyle name="Normal 2 3 26 3" xfId="2308" xr:uid="{9675C73E-663B-4C4A-A169-D75AD4F084E9}"/>
    <cellStyle name="Normal 2 3 26 3 2" xfId="11155" xr:uid="{9C636F2E-D614-4B71-A56A-92A0C174E64B}"/>
    <cellStyle name="Normal 2 3 26 4" xfId="2309" xr:uid="{94A03BAC-F460-420D-AA5B-7B58842FD857}"/>
    <cellStyle name="Normal 2 3 26 4 2" xfId="11156" xr:uid="{E3C29CF3-9447-40A9-8DC9-499B11E6D924}"/>
    <cellStyle name="Normal 2 3 26 5" xfId="11151" xr:uid="{1E2B2800-E849-4CEA-A95F-1590A87C00F6}"/>
    <cellStyle name="Normal 2 3 27" xfId="2310" xr:uid="{380395A9-E147-428C-8660-57E112C6B5D3}"/>
    <cellStyle name="Normal 2 3 27 2" xfId="2311" xr:uid="{637B44BF-A954-470F-AB33-40488FC23171}"/>
    <cellStyle name="Normal 2 3 27 2 2" xfId="2312" xr:uid="{5254C0C4-F2D6-44A8-A126-210BC4A5BBF1}"/>
    <cellStyle name="Normal 2 3 27 2 2 2" xfId="11159" xr:uid="{E3FB4EBB-C07E-4AAB-8862-398567547117}"/>
    <cellStyle name="Normal 2 3 27 2 3" xfId="2313" xr:uid="{2BEA9517-E73F-44CD-981E-E6E1C086CF30}"/>
    <cellStyle name="Normal 2 3 27 2 3 2" xfId="11160" xr:uid="{50A8EE20-C035-4FAE-8ECE-FFB75D78EC01}"/>
    <cellStyle name="Normal 2 3 27 2 4" xfId="11158" xr:uid="{6C7A0DB7-8DD9-4523-B0AB-ED397AD10E1B}"/>
    <cellStyle name="Normal 2 3 27 3" xfId="2314" xr:uid="{466FE6F9-F370-48FE-88DE-92270B30A25B}"/>
    <cellStyle name="Normal 2 3 27 3 2" xfId="11161" xr:uid="{F4D53D85-F5BD-4908-882A-10CBCCCD4DF6}"/>
    <cellStyle name="Normal 2 3 27 4" xfId="2315" xr:uid="{B70D2358-561E-4C0B-BCF4-7850B410E419}"/>
    <cellStyle name="Normal 2 3 27 4 2" xfId="11162" xr:uid="{653BFBE4-F376-4158-B458-D42FDDDE4629}"/>
    <cellStyle name="Normal 2 3 27 5" xfId="11157" xr:uid="{3417EFC0-31B1-49DF-9E90-1117F3D720FC}"/>
    <cellStyle name="Normal 2 3 28" xfId="2316" xr:uid="{F4473F9B-C151-4759-A284-6B8FBA1BD1B5}"/>
    <cellStyle name="Normal 2 3 28 2" xfId="2317" xr:uid="{10B63569-8170-4927-9078-B4D1B0F3AB16}"/>
    <cellStyle name="Normal 2 3 28 2 2" xfId="2318" xr:uid="{AA08589F-7009-4E62-9FA4-083F122D0674}"/>
    <cellStyle name="Normal 2 3 28 2 2 2" xfId="11165" xr:uid="{84AB33BD-7398-4BA9-8C80-797BE689D6C3}"/>
    <cellStyle name="Normal 2 3 28 2 3" xfId="2319" xr:uid="{47CEE6E4-E050-4D63-B85A-9529BCD51A22}"/>
    <cellStyle name="Normal 2 3 28 2 3 2" xfId="11166" xr:uid="{42F3DEB9-4566-4F71-8D04-03F7F893C2B3}"/>
    <cellStyle name="Normal 2 3 28 2 4" xfId="11164" xr:uid="{E49221C9-6C85-47F7-BA34-52262676B31A}"/>
    <cellStyle name="Normal 2 3 28 3" xfId="2320" xr:uid="{ECB3BC63-F8CD-45F8-92F9-67978C3EF340}"/>
    <cellStyle name="Normal 2 3 28 3 2" xfId="11167" xr:uid="{B826FB5A-54EF-40BC-92CF-58E73BE6EE5F}"/>
    <cellStyle name="Normal 2 3 28 4" xfId="2321" xr:uid="{2A010DDA-5E09-48E6-B571-DC7962BC7D57}"/>
    <cellStyle name="Normal 2 3 28 4 2" xfId="11168" xr:uid="{FDE94A9D-8104-45B3-ACEA-DFD8F8434502}"/>
    <cellStyle name="Normal 2 3 28 5" xfId="11163" xr:uid="{B3E4C1AA-6938-4EAC-8940-70A74F6F54F2}"/>
    <cellStyle name="Normal 2 3 29" xfId="2322" xr:uid="{1BAC5D41-AE7D-4577-9A36-CB3966E1BE52}"/>
    <cellStyle name="Normal 2 3 29 2" xfId="2323" xr:uid="{291E858C-E912-43C8-BD21-3797825D6A32}"/>
    <cellStyle name="Normal 2 3 29 2 2" xfId="2324" xr:uid="{CDE86DC3-F14F-4258-9436-1FB6FBA4FC40}"/>
    <cellStyle name="Normal 2 3 29 2 2 2" xfId="11171" xr:uid="{1FEEB211-5843-4104-917C-029A3586BD90}"/>
    <cellStyle name="Normal 2 3 29 2 3" xfId="2325" xr:uid="{D7F505A8-19ED-41B3-83B7-BE1EA33DC49A}"/>
    <cellStyle name="Normal 2 3 29 2 3 2" xfId="11172" xr:uid="{043207B2-4AA1-4826-AC0F-EDB00801E36F}"/>
    <cellStyle name="Normal 2 3 29 2 4" xfId="11170" xr:uid="{2E35DBA2-E960-4EC9-924E-A5A92256D733}"/>
    <cellStyle name="Normal 2 3 29 3" xfId="2326" xr:uid="{5D191605-A817-41D8-9887-3634BB2BF026}"/>
    <cellStyle name="Normal 2 3 29 3 2" xfId="11173" xr:uid="{447759BC-5580-44F5-B2B4-95D54312CF07}"/>
    <cellStyle name="Normal 2 3 29 4" xfId="2327" xr:uid="{89E35ACF-FC15-4AD3-B57D-90DF7C8C1525}"/>
    <cellStyle name="Normal 2 3 29 4 2" xfId="11174" xr:uid="{BDE533F2-97EE-4F4F-BF36-26EE218858CC}"/>
    <cellStyle name="Normal 2 3 29 5" xfId="11169" xr:uid="{3C3C21C8-728C-48DB-AADB-41D8A8360E9C}"/>
    <cellStyle name="Normal 2 3 3" xfId="2328" xr:uid="{CF716D64-CE05-4A64-A120-9059D5F486E4}"/>
    <cellStyle name="Normal 2 3 3 10" xfId="2329" xr:uid="{1EB783F7-64D3-4F75-9B9F-B4FFC1B0136F}"/>
    <cellStyle name="Normal 2 3 3 10 2" xfId="2330" xr:uid="{E54174DA-ED85-42B0-B7C3-0471753FF325}"/>
    <cellStyle name="Normal 2 3 3 10 2 2" xfId="2331" xr:uid="{17EC4B1E-89B8-40BB-AE1D-BAC1F4E47257}"/>
    <cellStyle name="Normal 2 3 3 10 2 2 2" xfId="11178" xr:uid="{E2E3F587-C765-4A80-9758-0956B4DADA67}"/>
    <cellStyle name="Normal 2 3 3 10 2 3" xfId="2332" xr:uid="{8A9ACFAB-8C66-4B0E-A9DA-4CA51FF7EF44}"/>
    <cellStyle name="Normal 2 3 3 10 2 3 2" xfId="11179" xr:uid="{114D91FC-277F-468E-A6BE-90A9D709FD15}"/>
    <cellStyle name="Normal 2 3 3 10 2 4" xfId="11177" xr:uid="{2D196059-B846-4BE6-B987-EAC2E8B7FF47}"/>
    <cellStyle name="Normal 2 3 3 10 3" xfId="2333" xr:uid="{D3868ED5-0F28-4AB4-95F2-9F45B385F3CB}"/>
    <cellStyle name="Normal 2 3 3 10 3 2" xfId="11180" xr:uid="{7D510058-04C7-411B-9A46-66FB9B20E45B}"/>
    <cellStyle name="Normal 2 3 3 10 4" xfId="2334" xr:uid="{3CF44F6B-62C6-43BB-A04F-DD0EBE90A55E}"/>
    <cellStyle name="Normal 2 3 3 10 4 2" xfId="11181" xr:uid="{0E0763BB-BF7B-45B6-8191-157E8655C034}"/>
    <cellStyle name="Normal 2 3 3 10 5" xfId="11176" xr:uid="{37F81D75-C696-4638-BF7A-824EE2A40E41}"/>
    <cellStyle name="Normal 2 3 3 11" xfId="2335" xr:uid="{14C39F59-B3E0-45C3-A753-6F445BBBA2AA}"/>
    <cellStyle name="Normal 2 3 3 11 2" xfId="2336" xr:uid="{88E45563-D49D-46DA-B2DA-A3C04E8CF1A0}"/>
    <cellStyle name="Normal 2 3 3 11 2 2" xfId="2337" xr:uid="{3AE13DFC-91EC-4812-A5E7-C854A2F5B2C9}"/>
    <cellStyle name="Normal 2 3 3 11 2 2 2" xfId="11184" xr:uid="{5B085F92-6254-429B-9860-E8350BC4058A}"/>
    <cellStyle name="Normal 2 3 3 11 2 3" xfId="2338" xr:uid="{57757CEB-2B60-45CD-AA3B-D04C427AD0A7}"/>
    <cellStyle name="Normal 2 3 3 11 2 3 2" xfId="11185" xr:uid="{16FE858B-03B1-4B45-B964-3B3541F83A44}"/>
    <cellStyle name="Normal 2 3 3 11 2 4" xfId="11183" xr:uid="{85DB9BB0-7BDA-4F36-8211-0F80878B4382}"/>
    <cellStyle name="Normal 2 3 3 11 3" xfId="2339" xr:uid="{FE3FF3CB-FCDC-4A06-BBE9-9EA9BC49F3C1}"/>
    <cellStyle name="Normal 2 3 3 11 3 2" xfId="11186" xr:uid="{9ED030DA-881B-47C6-8CF0-FD93790F8866}"/>
    <cellStyle name="Normal 2 3 3 11 4" xfId="2340" xr:uid="{B376323C-5AF2-4349-BFEB-516A27740EFD}"/>
    <cellStyle name="Normal 2 3 3 11 4 2" xfId="11187" xr:uid="{E6DED60F-DD2F-43C2-8339-71EFF8EF00BE}"/>
    <cellStyle name="Normal 2 3 3 11 5" xfId="11182" xr:uid="{4B737684-9B06-4B8E-8480-99F873C1166E}"/>
    <cellStyle name="Normal 2 3 3 12" xfId="2341" xr:uid="{5D558893-91B3-4DD6-BDDB-111AC7D4F514}"/>
    <cellStyle name="Normal 2 3 3 12 2" xfId="2342" xr:uid="{0B1FE9C4-49A7-4A3F-9B1E-F6BF621FD3A9}"/>
    <cellStyle name="Normal 2 3 3 12 2 2" xfId="2343" xr:uid="{08BE63C3-06BC-4322-AE89-F9673DC395DD}"/>
    <cellStyle name="Normal 2 3 3 12 2 2 2" xfId="11190" xr:uid="{760C80A1-E636-46CB-876B-EAA295087829}"/>
    <cellStyle name="Normal 2 3 3 12 2 3" xfId="2344" xr:uid="{15483F6A-0CB4-4A2B-8B78-AD0879FCFE99}"/>
    <cellStyle name="Normal 2 3 3 12 2 3 2" xfId="11191" xr:uid="{92FF1DA8-5FBF-4957-8791-145AEB8DFF40}"/>
    <cellStyle name="Normal 2 3 3 12 2 4" xfId="11189" xr:uid="{7E0867C8-D3E2-450C-949C-E61DB4B50913}"/>
    <cellStyle name="Normal 2 3 3 12 3" xfId="2345" xr:uid="{78223B3A-BD17-4CCA-B103-70E7F67F4FF7}"/>
    <cellStyle name="Normal 2 3 3 12 3 2" xfId="11192" xr:uid="{E19DE212-AD00-40C5-A47E-5EBF5F17BD3E}"/>
    <cellStyle name="Normal 2 3 3 12 4" xfId="2346" xr:uid="{70712864-3950-4E8C-985B-7181DA421016}"/>
    <cellStyle name="Normal 2 3 3 12 4 2" xfId="11193" xr:uid="{9CBCCF2C-804F-4B99-AF24-2D55DFE2C8A9}"/>
    <cellStyle name="Normal 2 3 3 12 5" xfId="11188" xr:uid="{BBB88774-C21A-4EB9-96BD-37D0A3AB5210}"/>
    <cellStyle name="Normal 2 3 3 13" xfId="2347" xr:uid="{19DEC0A5-524C-4E10-9990-CFABD98B5D09}"/>
    <cellStyle name="Normal 2 3 3 13 2" xfId="2348" xr:uid="{518FEF9B-8EE8-4654-89C0-E55F2836A02D}"/>
    <cellStyle name="Normal 2 3 3 13 2 2" xfId="2349" xr:uid="{1577F7C5-09DF-465E-BFC2-D62A692829F3}"/>
    <cellStyle name="Normal 2 3 3 13 2 2 2" xfId="11196" xr:uid="{596E433F-3078-43FA-8DC9-D0D90CF8C41F}"/>
    <cellStyle name="Normal 2 3 3 13 2 3" xfId="2350" xr:uid="{11B83B37-24A3-40AE-AE41-22B5EFB96B55}"/>
    <cellStyle name="Normal 2 3 3 13 2 3 2" xfId="11197" xr:uid="{6BE8223E-1EC3-46FE-9E5D-570C7FB3B5AD}"/>
    <cellStyle name="Normal 2 3 3 13 2 4" xfId="11195" xr:uid="{0747E5C5-DBF0-4054-94FB-D2A87E3D459C}"/>
    <cellStyle name="Normal 2 3 3 13 3" xfId="2351" xr:uid="{17FB59E8-B465-41D5-B1D0-23B850ABD1F8}"/>
    <cellStyle name="Normal 2 3 3 13 3 2" xfId="11198" xr:uid="{26A8A134-6ED1-4541-B6E3-8C0698731DD3}"/>
    <cellStyle name="Normal 2 3 3 13 4" xfId="2352" xr:uid="{7DD061C0-25C1-49B0-9E4B-822F851E5C84}"/>
    <cellStyle name="Normal 2 3 3 13 4 2" xfId="11199" xr:uid="{814C82FE-A00E-449B-88CB-90459E4C5351}"/>
    <cellStyle name="Normal 2 3 3 13 5" xfId="11194" xr:uid="{549CCB0F-9A96-4E79-9569-A617EB07A915}"/>
    <cellStyle name="Normal 2 3 3 14" xfId="2353" xr:uid="{76547D4F-2E19-4E9F-9872-90143C138120}"/>
    <cellStyle name="Normal 2 3 3 14 2" xfId="2354" xr:uid="{A0ECE533-2196-4BC9-B2C4-6835819F4A64}"/>
    <cellStyle name="Normal 2 3 3 14 2 2" xfId="2355" xr:uid="{E5F7F797-060A-46BC-89BE-2A414E66BE16}"/>
    <cellStyle name="Normal 2 3 3 14 2 2 2" xfId="11202" xr:uid="{81CC610E-7FA8-4EAA-817F-4B76E375CB4E}"/>
    <cellStyle name="Normal 2 3 3 14 2 3" xfId="2356" xr:uid="{951DC24F-860B-4113-8B4E-DBE9224CE154}"/>
    <cellStyle name="Normal 2 3 3 14 2 3 2" xfId="11203" xr:uid="{FF94BA3E-B45F-45D0-8B26-FB3A223D5B76}"/>
    <cellStyle name="Normal 2 3 3 14 2 4" xfId="11201" xr:uid="{B47E11DF-408A-4AC9-B329-B6622BBBA0A0}"/>
    <cellStyle name="Normal 2 3 3 14 3" xfId="2357" xr:uid="{BD4ADA3C-C917-4F2D-B20C-29FEB0DB0C70}"/>
    <cellStyle name="Normal 2 3 3 14 3 2" xfId="11204" xr:uid="{5E3FE19B-E018-4295-AA13-AD8C3936D4EE}"/>
    <cellStyle name="Normal 2 3 3 14 4" xfId="2358" xr:uid="{E964A840-8EE0-44AB-BBDB-3924E671517B}"/>
    <cellStyle name="Normal 2 3 3 14 4 2" xfId="11205" xr:uid="{1E9284B6-8790-4D3E-9829-52476FC0D91C}"/>
    <cellStyle name="Normal 2 3 3 14 5" xfId="11200" xr:uid="{A93EB512-D8E3-4E2A-8154-914839FBC715}"/>
    <cellStyle name="Normal 2 3 3 15" xfId="2359" xr:uid="{619F8421-4D22-48F7-BBFA-1E356DAE9579}"/>
    <cellStyle name="Normal 2 3 3 15 2" xfId="2360" xr:uid="{0067E56F-7D63-402B-BE36-7FE06F982529}"/>
    <cellStyle name="Normal 2 3 3 15 2 2" xfId="2361" xr:uid="{945A6507-7E60-4144-95F0-2036A2B9D43C}"/>
    <cellStyle name="Normal 2 3 3 15 2 2 2" xfId="11208" xr:uid="{6847E893-325F-4209-81BA-449E9E194531}"/>
    <cellStyle name="Normal 2 3 3 15 2 3" xfId="2362" xr:uid="{5B35A47D-56E0-45BF-AD2D-B067EE820685}"/>
    <cellStyle name="Normal 2 3 3 15 2 3 2" xfId="11209" xr:uid="{496B2CEB-56C9-4C00-AD42-6FB259DC052D}"/>
    <cellStyle name="Normal 2 3 3 15 2 4" xfId="11207" xr:uid="{F90FD61E-DE5B-42D2-96B4-7FBA1E7D8F2B}"/>
    <cellStyle name="Normal 2 3 3 15 3" xfId="2363" xr:uid="{D50A2E46-AFDE-4AB6-891A-2E4BC9D15A39}"/>
    <cellStyle name="Normal 2 3 3 15 3 2" xfId="11210" xr:uid="{97DCCB96-00FE-4D81-B86D-E0D7430B10C2}"/>
    <cellStyle name="Normal 2 3 3 15 4" xfId="2364" xr:uid="{E28867AC-8836-45A1-9DE3-EC9D94339A18}"/>
    <cellStyle name="Normal 2 3 3 15 4 2" xfId="11211" xr:uid="{CC7F5C01-55CE-425C-988B-AF8B728AEF5D}"/>
    <cellStyle name="Normal 2 3 3 15 5" xfId="11206" xr:uid="{3DF4F710-3860-44D9-8F48-B68536C22904}"/>
    <cellStyle name="Normal 2 3 3 16" xfId="2365" xr:uid="{9D5F6974-7BA9-49AB-83E1-C32C466D7ED9}"/>
    <cellStyle name="Normal 2 3 3 16 2" xfId="2366" xr:uid="{83314939-0953-4777-A00A-16939F159D8D}"/>
    <cellStyle name="Normal 2 3 3 16 2 2" xfId="2367" xr:uid="{06A6DC22-7367-4101-8D6D-05EB951A3521}"/>
    <cellStyle name="Normal 2 3 3 16 2 2 2" xfId="11214" xr:uid="{ED4443B4-FB9E-474B-BB10-02762D4DA6A6}"/>
    <cellStyle name="Normal 2 3 3 16 2 3" xfId="2368" xr:uid="{7DD8B679-850D-4A49-9566-1D2924C3CD29}"/>
    <cellStyle name="Normal 2 3 3 16 2 3 2" xfId="11215" xr:uid="{7D84DA8D-EE1D-4A06-B2DE-6294E31C74AD}"/>
    <cellStyle name="Normal 2 3 3 16 2 4" xfId="11213" xr:uid="{E4CC1E20-F527-485A-BACE-1B42359C3631}"/>
    <cellStyle name="Normal 2 3 3 16 3" xfId="2369" xr:uid="{33818DED-945C-48A5-9BAF-CE64072EFA6E}"/>
    <cellStyle name="Normal 2 3 3 16 3 2" xfId="11216" xr:uid="{77AFB121-80F0-4758-AD6F-EFD56545EFC6}"/>
    <cellStyle name="Normal 2 3 3 16 4" xfId="2370" xr:uid="{EF6D2DE8-277D-4DC8-B2ED-BA2DC49FD7D0}"/>
    <cellStyle name="Normal 2 3 3 16 4 2" xfId="11217" xr:uid="{178EE5C1-368E-48F0-AF6B-E22AD7E4863C}"/>
    <cellStyle name="Normal 2 3 3 16 5" xfId="11212" xr:uid="{C23C5C4F-A7B4-431B-B045-4936835B4E81}"/>
    <cellStyle name="Normal 2 3 3 17" xfId="2371" xr:uid="{FFAC6684-5C45-4DC6-8906-5B9986FFAE90}"/>
    <cellStyle name="Normal 2 3 3 17 2" xfId="2372" xr:uid="{8E0521D1-21C2-4C0A-87B2-A9AAE782BB87}"/>
    <cellStyle name="Normal 2 3 3 17 2 2" xfId="2373" xr:uid="{E0969BA5-32CA-4EE0-AC2F-CD470CE52334}"/>
    <cellStyle name="Normal 2 3 3 17 2 2 2" xfId="11220" xr:uid="{FE13CF36-AAA2-4244-8E35-6F34B137E9D4}"/>
    <cellStyle name="Normal 2 3 3 17 2 3" xfId="2374" xr:uid="{71113ED0-60C1-46C7-9581-B880C805FC98}"/>
    <cellStyle name="Normal 2 3 3 17 2 3 2" xfId="11221" xr:uid="{835FC303-3E30-4974-9FC9-2047ED20F4B1}"/>
    <cellStyle name="Normal 2 3 3 17 2 4" xfId="11219" xr:uid="{63FC56D3-CE33-4990-938C-BF8858379211}"/>
    <cellStyle name="Normal 2 3 3 17 3" xfId="2375" xr:uid="{8D1559D3-5F26-4529-893A-EA00FB035440}"/>
    <cellStyle name="Normal 2 3 3 17 3 2" xfId="11222" xr:uid="{71052ECC-8718-4867-8D2A-521E0F8C3CBB}"/>
    <cellStyle name="Normal 2 3 3 17 4" xfId="2376" xr:uid="{5AA551CC-6B63-4F82-8D92-3E35909E80AC}"/>
    <cellStyle name="Normal 2 3 3 17 4 2" xfId="11223" xr:uid="{785AD142-F8F5-459D-BE46-51DA67AEBFCF}"/>
    <cellStyle name="Normal 2 3 3 17 5" xfId="11218" xr:uid="{3E61641E-1110-46C5-8455-E8DA67022D09}"/>
    <cellStyle name="Normal 2 3 3 18" xfId="2377" xr:uid="{CFF791EB-8971-4340-A40C-3CCAEF036051}"/>
    <cellStyle name="Normal 2 3 3 18 2" xfId="2378" xr:uid="{5E082E0B-FF68-4592-9B49-AEC47FC1EADB}"/>
    <cellStyle name="Normal 2 3 3 18 2 2" xfId="2379" xr:uid="{8567ED14-E8FE-4DEC-9C6B-BA69D585A9AD}"/>
    <cellStyle name="Normal 2 3 3 18 2 2 2" xfId="11226" xr:uid="{F41526B6-857F-487A-AEB7-8DB5B0FD5263}"/>
    <cellStyle name="Normal 2 3 3 18 2 3" xfId="2380" xr:uid="{39CB31B2-D34E-438F-B349-F998CDB68A48}"/>
    <cellStyle name="Normal 2 3 3 18 2 3 2" xfId="11227" xr:uid="{2134BABC-4C3E-464A-BBFC-7F59975C6724}"/>
    <cellStyle name="Normal 2 3 3 18 2 4" xfId="11225" xr:uid="{00B7059A-0638-4BE2-A516-12A4C0DD2739}"/>
    <cellStyle name="Normal 2 3 3 18 3" xfId="2381" xr:uid="{FF32A131-A0D9-48C0-AE50-75C097534B55}"/>
    <cellStyle name="Normal 2 3 3 18 3 2" xfId="11228" xr:uid="{963777F3-568B-4135-958B-4AE0790B49D1}"/>
    <cellStyle name="Normal 2 3 3 18 4" xfId="2382" xr:uid="{0944265A-2A73-45A6-A5EC-C4431595FD1F}"/>
    <cellStyle name="Normal 2 3 3 18 4 2" xfId="11229" xr:uid="{1EBE9CA6-6AE4-4BFB-ADAB-7D8420CE4224}"/>
    <cellStyle name="Normal 2 3 3 18 5" xfId="11224" xr:uid="{725F17F2-23D4-4E89-B7AF-ABE15FCCBE9C}"/>
    <cellStyle name="Normal 2 3 3 19" xfId="2383" xr:uid="{B0440D2A-04C7-49C7-BEAF-4D707CECA9DB}"/>
    <cellStyle name="Normal 2 3 3 19 2" xfId="2384" xr:uid="{3754C481-732A-4256-8CC8-B324098ACA5D}"/>
    <cellStyle name="Normal 2 3 3 19 2 2" xfId="2385" xr:uid="{09FFC391-36F1-47A9-8C49-7F672AAFDB33}"/>
    <cellStyle name="Normal 2 3 3 19 2 2 2" xfId="11232" xr:uid="{C6D394DC-6764-4480-B094-079862928107}"/>
    <cellStyle name="Normal 2 3 3 19 2 3" xfId="2386" xr:uid="{9D0AB44F-D733-4ED4-9948-D59EFDFB36A4}"/>
    <cellStyle name="Normal 2 3 3 19 2 3 2" xfId="11233" xr:uid="{2CC56338-0C77-4300-9B11-989BA1E5A4A9}"/>
    <cellStyle name="Normal 2 3 3 19 2 4" xfId="11231" xr:uid="{EA6EDFA0-4726-4A42-B596-38FB75F4C5C0}"/>
    <cellStyle name="Normal 2 3 3 19 3" xfId="2387" xr:uid="{3E592DE7-EBCF-4C1A-B047-E3BA5C3F09F1}"/>
    <cellStyle name="Normal 2 3 3 19 3 2" xfId="11234" xr:uid="{84F9F290-3CC5-4F7C-AA3B-F93107E86726}"/>
    <cellStyle name="Normal 2 3 3 19 4" xfId="2388" xr:uid="{80391F14-439A-4731-A82B-80D374B112A8}"/>
    <cellStyle name="Normal 2 3 3 19 4 2" xfId="11235" xr:uid="{25905960-54EA-48AD-9D96-DC1299FE9248}"/>
    <cellStyle name="Normal 2 3 3 19 5" xfId="11230" xr:uid="{F89A92A8-9F69-44AA-AD42-68806340A062}"/>
    <cellStyle name="Normal 2 3 3 2" xfId="2389" xr:uid="{0AAB615D-FE82-4B11-B1E3-F7ABFBA59C98}"/>
    <cellStyle name="Normal 2 3 3 2 2" xfId="2390" xr:uid="{47F8D3CE-690E-4D4F-99FD-5C2C44B7A0F1}"/>
    <cellStyle name="Normal 2 3 3 2 2 2" xfId="2391" xr:uid="{93191F80-B12E-4878-8D08-E18BBDA0F0E3}"/>
    <cellStyle name="Normal 2 3 3 2 2 2 2" xfId="11238" xr:uid="{0316D6C8-3B7A-46FE-95C0-699AD659A7C0}"/>
    <cellStyle name="Normal 2 3 3 2 2 3" xfId="2392" xr:uid="{E4F8DA9F-5BC5-4DA5-A0D3-8FB45E805A19}"/>
    <cellStyle name="Normal 2 3 3 2 2 3 2" xfId="11239" xr:uid="{0B52024E-2676-455E-AEC8-4146B7CDA9D1}"/>
    <cellStyle name="Normal 2 3 3 2 2 4" xfId="11237" xr:uid="{A47FE360-5872-4F4C-9C89-0F817A8E8FB9}"/>
    <cellStyle name="Normal 2 3 3 2 3" xfId="2393" xr:uid="{35CEA2D7-03BF-4FC8-8480-7A0DF4C80429}"/>
    <cellStyle name="Normal 2 3 3 2 3 2" xfId="11240" xr:uid="{0A87D25D-FE8B-48F2-85CC-CBB1C3E9633E}"/>
    <cellStyle name="Normal 2 3 3 2 4" xfId="2394" xr:uid="{74574D96-9C7D-43AD-AF80-655FBCD79D4B}"/>
    <cellStyle name="Normal 2 3 3 2 4 2" xfId="11241" xr:uid="{56F5D695-ED79-4377-A3B6-44FDCB1EE3B5}"/>
    <cellStyle name="Normal 2 3 3 2 5" xfId="11236" xr:uid="{D2D9ADC6-4F89-4E71-9DE9-A783E84C4C73}"/>
    <cellStyle name="Normal 2 3 3 20" xfId="2395" xr:uid="{E11A5CCB-F564-48CB-8F0E-6F37C1F2CC59}"/>
    <cellStyle name="Normal 2 3 3 20 2" xfId="2396" xr:uid="{5365933D-07C5-4B18-B1F5-DC7841935972}"/>
    <cellStyle name="Normal 2 3 3 20 2 2" xfId="2397" xr:uid="{2F160BE9-0BE2-466D-85EC-8F1077E41F64}"/>
    <cellStyle name="Normal 2 3 3 20 2 2 2" xfId="11244" xr:uid="{ACBF9B8A-C5E3-43F6-AED8-EF3F4D519542}"/>
    <cellStyle name="Normal 2 3 3 20 2 3" xfId="2398" xr:uid="{9480EEC6-8524-4F4B-A34A-E00C2A69F3B4}"/>
    <cellStyle name="Normal 2 3 3 20 2 3 2" xfId="11245" xr:uid="{46FB937B-FEA5-423E-A16F-CF9CAB975D23}"/>
    <cellStyle name="Normal 2 3 3 20 2 4" xfId="11243" xr:uid="{0F9FCF84-F2A7-4C9F-9656-E954BF930454}"/>
    <cellStyle name="Normal 2 3 3 20 3" xfId="2399" xr:uid="{DEF3ACCD-6738-4901-AB07-F12728788D33}"/>
    <cellStyle name="Normal 2 3 3 20 3 2" xfId="11246" xr:uid="{A5E3EE08-A968-4C32-BE24-C5C5C6FECED7}"/>
    <cellStyle name="Normal 2 3 3 20 4" xfId="2400" xr:uid="{2AC712C4-E87F-4769-BB27-2965E873A930}"/>
    <cellStyle name="Normal 2 3 3 20 4 2" xfId="11247" xr:uid="{B1F6ED86-6ECA-464E-B999-13336CF30F9F}"/>
    <cellStyle name="Normal 2 3 3 20 5" xfId="11242" xr:uid="{70C38AAC-C660-4118-A059-61A387A22620}"/>
    <cellStyle name="Normal 2 3 3 21" xfId="2401" xr:uid="{E39B8AEC-7CD5-45E3-8BCA-A3CF32786CE8}"/>
    <cellStyle name="Normal 2 3 3 21 2" xfId="2402" xr:uid="{638D5F9A-2488-4C1F-A519-2379995FCD37}"/>
    <cellStyle name="Normal 2 3 3 21 2 2" xfId="2403" xr:uid="{2064C14D-E8D6-4111-A7DF-00D60EBF7907}"/>
    <cellStyle name="Normal 2 3 3 21 2 2 2" xfId="11250" xr:uid="{2DF9153E-C5A6-4DE6-B581-05EA6EE86419}"/>
    <cellStyle name="Normal 2 3 3 21 2 3" xfId="2404" xr:uid="{F98318FB-7191-43F6-86C8-FEB245E06055}"/>
    <cellStyle name="Normal 2 3 3 21 2 3 2" xfId="11251" xr:uid="{B25AF7E0-C559-4A4C-A91A-B8D6C4E93DDC}"/>
    <cellStyle name="Normal 2 3 3 21 2 4" xfId="11249" xr:uid="{8C0591AB-A88F-4A82-B4F4-15011B7050C9}"/>
    <cellStyle name="Normal 2 3 3 21 3" xfId="2405" xr:uid="{09F66433-7B1D-4B4D-8920-04CADD6C21BE}"/>
    <cellStyle name="Normal 2 3 3 21 3 2" xfId="11252" xr:uid="{EE6F8A71-F1A8-4972-894D-66B19FDD7870}"/>
    <cellStyle name="Normal 2 3 3 21 4" xfId="2406" xr:uid="{DBA944CC-50C2-4F94-BEBD-7EAF0931D0BB}"/>
    <cellStyle name="Normal 2 3 3 21 4 2" xfId="11253" xr:uid="{94532A0C-C386-4DC5-B417-2BD23FAD5265}"/>
    <cellStyle name="Normal 2 3 3 21 5" xfId="11248" xr:uid="{FD11675D-5092-49A8-8C8B-AF0DA74B28AD}"/>
    <cellStyle name="Normal 2 3 3 22" xfId="2407" xr:uid="{C3B0E4BD-09FA-4D56-A418-12B4A1CF6507}"/>
    <cellStyle name="Normal 2 3 3 22 2" xfId="2408" xr:uid="{0BB7134F-0937-49A9-98C1-93710D9D6A7D}"/>
    <cellStyle name="Normal 2 3 3 22 2 2" xfId="2409" xr:uid="{35D4CCE2-F745-43D8-ABDB-559285FA7F99}"/>
    <cellStyle name="Normal 2 3 3 22 2 2 2" xfId="11256" xr:uid="{E20D20FD-9190-4B85-AB9D-AFC5DC962ED0}"/>
    <cellStyle name="Normal 2 3 3 22 2 3" xfId="2410" xr:uid="{9AC1F9D8-775F-4F29-9CDE-58EE7F920D9F}"/>
    <cellStyle name="Normal 2 3 3 22 2 3 2" xfId="11257" xr:uid="{E4C6933C-A4F6-482D-80D4-5454851C5355}"/>
    <cellStyle name="Normal 2 3 3 22 2 4" xfId="11255" xr:uid="{E7C9FE8E-EC92-4CF2-A35A-5C3CAA64D9E2}"/>
    <cellStyle name="Normal 2 3 3 22 3" xfId="2411" xr:uid="{8DD0EC38-1CC2-4AAE-A78B-ED8D17AECB7F}"/>
    <cellStyle name="Normal 2 3 3 22 3 2" xfId="11258" xr:uid="{BDAB7B73-2F19-4A80-A92E-8D689666E1C7}"/>
    <cellStyle name="Normal 2 3 3 22 4" xfId="2412" xr:uid="{065A1AFB-760B-4D56-80BE-02097BE29943}"/>
    <cellStyle name="Normal 2 3 3 22 4 2" xfId="11259" xr:uid="{E128FA38-3B82-42D7-94FB-F2D86D269C7E}"/>
    <cellStyle name="Normal 2 3 3 22 5" xfId="11254" xr:uid="{79C4A52E-A37B-4387-B6CE-1908DC1C165F}"/>
    <cellStyle name="Normal 2 3 3 23" xfId="2413" xr:uid="{C1C07BE3-EA61-4277-9AD8-B0BE05BF9074}"/>
    <cellStyle name="Normal 2 3 3 23 2" xfId="2414" xr:uid="{03C86A38-91B7-49DE-9FFE-CA04166D33E5}"/>
    <cellStyle name="Normal 2 3 3 23 2 2" xfId="2415" xr:uid="{FFB71600-7D84-426E-809D-F4BDB3AC8FE4}"/>
    <cellStyle name="Normal 2 3 3 23 2 2 2" xfId="11262" xr:uid="{58085A88-411B-4BDD-833E-783D461ACFE1}"/>
    <cellStyle name="Normal 2 3 3 23 2 3" xfId="2416" xr:uid="{703098F5-3554-4725-B84E-51412AB9F0AE}"/>
    <cellStyle name="Normal 2 3 3 23 2 3 2" xfId="11263" xr:uid="{1BCDB76D-EEC7-474D-ABCC-468E5EF4AA37}"/>
    <cellStyle name="Normal 2 3 3 23 2 4" xfId="11261" xr:uid="{D0A6650C-C846-4A46-82DD-94CC2DC59468}"/>
    <cellStyle name="Normal 2 3 3 23 3" xfId="2417" xr:uid="{C3084B95-7925-4DB4-A929-C3BAA92E5833}"/>
    <cellStyle name="Normal 2 3 3 23 3 2" xfId="11264" xr:uid="{F578AEDE-A41D-4892-8EA6-28B4BA11FFC1}"/>
    <cellStyle name="Normal 2 3 3 23 4" xfId="2418" xr:uid="{80EE80C0-7AA3-4B67-A5A3-139A4377E54C}"/>
    <cellStyle name="Normal 2 3 3 23 4 2" xfId="11265" xr:uid="{394D3DB7-EBDC-4DDD-BF51-45F1D278E59E}"/>
    <cellStyle name="Normal 2 3 3 23 5" xfId="11260" xr:uid="{3B86D2F1-C930-4F5B-A1AA-327E07501976}"/>
    <cellStyle name="Normal 2 3 3 24" xfId="2419" xr:uid="{7F4F0323-18F3-4783-8CBD-047A2200F6F7}"/>
    <cellStyle name="Normal 2 3 3 24 2" xfId="2420" xr:uid="{F82AE6D3-C5EC-418A-9243-00078DB195F2}"/>
    <cellStyle name="Normal 2 3 3 24 2 2" xfId="2421" xr:uid="{B5CA3ABF-1149-4B93-971E-68E7E471A24F}"/>
    <cellStyle name="Normal 2 3 3 24 2 2 2" xfId="11268" xr:uid="{2197353C-9F81-4881-881E-EEA71758EBA6}"/>
    <cellStyle name="Normal 2 3 3 24 2 3" xfId="2422" xr:uid="{EA2E5F39-B92A-404C-A872-82D0E3260199}"/>
    <cellStyle name="Normal 2 3 3 24 2 3 2" xfId="11269" xr:uid="{9C1AECEA-83FB-4E98-BEDE-BF94C41FE9ED}"/>
    <cellStyle name="Normal 2 3 3 24 2 4" xfId="11267" xr:uid="{1601AC34-CA49-4F91-90DE-60B0FD98C465}"/>
    <cellStyle name="Normal 2 3 3 24 3" xfId="2423" xr:uid="{1CFCD21A-84F3-49BA-8DA7-ED3D90996351}"/>
    <cellStyle name="Normal 2 3 3 24 3 2" xfId="11270" xr:uid="{36E0DA7C-32C9-4447-9E46-A9D6B3DE88FE}"/>
    <cellStyle name="Normal 2 3 3 24 4" xfId="2424" xr:uid="{CDC644C8-4CFF-47A5-90F0-A441759D83FC}"/>
    <cellStyle name="Normal 2 3 3 24 4 2" xfId="11271" xr:uid="{07678D8E-A890-4008-BFEC-1285829CFF56}"/>
    <cellStyle name="Normal 2 3 3 24 5" xfId="11266" xr:uid="{416C9F7A-093F-461A-AB23-6B400EA68A0A}"/>
    <cellStyle name="Normal 2 3 3 25" xfId="2425" xr:uid="{3B96BF2F-736F-4190-862C-429CB74F28FB}"/>
    <cellStyle name="Normal 2 3 3 25 2" xfId="2426" xr:uid="{0E81D2C3-24DE-43A0-A977-C4BD3678CBEE}"/>
    <cellStyle name="Normal 2 3 3 25 2 2" xfId="2427" xr:uid="{BAE3B77B-7822-4C9C-9BA5-9DBCA8131710}"/>
    <cellStyle name="Normal 2 3 3 25 2 2 2" xfId="11274" xr:uid="{936023C2-3BE6-4B8D-B3B8-D6B9751423A4}"/>
    <cellStyle name="Normal 2 3 3 25 2 3" xfId="2428" xr:uid="{8D7EF8F0-0C7B-490B-9195-4E4FE606F44F}"/>
    <cellStyle name="Normal 2 3 3 25 2 3 2" xfId="11275" xr:uid="{CCA68061-EB24-47EB-876C-0956EA8E49EC}"/>
    <cellStyle name="Normal 2 3 3 25 2 4" xfId="11273" xr:uid="{63411431-2576-4C57-AC5B-36AAB42D5A36}"/>
    <cellStyle name="Normal 2 3 3 25 3" xfId="2429" xr:uid="{F4BB2324-AFAA-4524-BCE9-D6ACFA90965B}"/>
    <cellStyle name="Normal 2 3 3 25 3 2" xfId="11276" xr:uid="{52625794-F83A-47A3-A059-DCD9F6F1524A}"/>
    <cellStyle name="Normal 2 3 3 25 4" xfId="2430" xr:uid="{D10AC1E1-1B67-4309-9B8A-8BD1CCD0B040}"/>
    <cellStyle name="Normal 2 3 3 25 4 2" xfId="11277" xr:uid="{BDD12DBA-5F3E-4889-AF2E-E6B0D55E5C65}"/>
    <cellStyle name="Normal 2 3 3 25 5" xfId="11272" xr:uid="{CAD0F9D7-4B58-4DF5-9850-D9457426531C}"/>
    <cellStyle name="Normal 2 3 3 26" xfId="2431" xr:uid="{FA073A0F-A3B4-46B2-9D30-852F2506686D}"/>
    <cellStyle name="Normal 2 3 3 26 2" xfId="2432" xr:uid="{7B48EC35-6B8F-427E-8256-4B1C475CB2BE}"/>
    <cellStyle name="Normal 2 3 3 26 2 2" xfId="2433" xr:uid="{3F40D051-C5EA-4388-BB89-5F92EAEA9750}"/>
    <cellStyle name="Normal 2 3 3 26 2 2 2" xfId="11280" xr:uid="{6BF090CF-45D9-40AF-AD01-DEFA4180001E}"/>
    <cellStyle name="Normal 2 3 3 26 2 3" xfId="2434" xr:uid="{D14563B7-6D2D-4362-8A85-63CF7B9F8D99}"/>
    <cellStyle name="Normal 2 3 3 26 2 3 2" xfId="11281" xr:uid="{EC3577C0-38D6-4CC5-AF62-1DF90F9A8E48}"/>
    <cellStyle name="Normal 2 3 3 26 2 4" xfId="11279" xr:uid="{DD356310-1A68-4259-9EFC-3BF36E564028}"/>
    <cellStyle name="Normal 2 3 3 26 3" xfId="2435" xr:uid="{DAB101AE-EF03-4A77-AFF8-216DE3EAC0E7}"/>
    <cellStyle name="Normal 2 3 3 26 3 2" xfId="11282" xr:uid="{D9ABBC00-8E08-4EC4-99C5-9E2A8991F43C}"/>
    <cellStyle name="Normal 2 3 3 26 4" xfId="2436" xr:uid="{03F3A74E-71F4-4CF5-B367-5A6CE53A01AB}"/>
    <cellStyle name="Normal 2 3 3 26 4 2" xfId="11283" xr:uid="{D123741A-EFE5-4FDE-845B-D3424283714F}"/>
    <cellStyle name="Normal 2 3 3 26 5" xfId="11278" xr:uid="{87A1A293-527F-40E1-8120-70CA3EEFBB46}"/>
    <cellStyle name="Normal 2 3 3 27" xfId="2437" xr:uid="{A2F8862C-2172-4793-8DCE-AF6B3E52320E}"/>
    <cellStyle name="Normal 2 3 3 27 2" xfId="2438" xr:uid="{9B990A8A-1B1A-4A9C-84EF-0B2AE563FBD9}"/>
    <cellStyle name="Normal 2 3 3 27 2 2" xfId="2439" xr:uid="{4A67139D-2E91-4ACB-B6A8-83BBA5864ACE}"/>
    <cellStyle name="Normal 2 3 3 27 2 2 2" xfId="11286" xr:uid="{EEDAFB27-18F0-4AA6-AE84-73BA7915F478}"/>
    <cellStyle name="Normal 2 3 3 27 2 3" xfId="2440" xr:uid="{1987B2F7-60F9-45EF-BA8B-3D12256E9E7B}"/>
    <cellStyle name="Normal 2 3 3 27 2 3 2" xfId="11287" xr:uid="{26CCCF58-25A6-40FE-9AEF-5DFFFE48B3FF}"/>
    <cellStyle name="Normal 2 3 3 27 2 4" xfId="11285" xr:uid="{DF669FD2-3D53-4F30-9222-1A0DE66E483E}"/>
    <cellStyle name="Normal 2 3 3 27 3" xfId="2441" xr:uid="{BB14CF32-2AB9-4D4A-900F-2C17B084FAAE}"/>
    <cellStyle name="Normal 2 3 3 27 3 2" xfId="11288" xr:uid="{467A61F9-A9AA-414D-8C5C-6F710A09F210}"/>
    <cellStyle name="Normal 2 3 3 27 4" xfId="2442" xr:uid="{C67F790B-C479-41C4-9A7F-8C83E881E6FD}"/>
    <cellStyle name="Normal 2 3 3 27 4 2" xfId="11289" xr:uid="{EAEAC3B0-580F-4D55-8472-72D03FC19F84}"/>
    <cellStyle name="Normal 2 3 3 27 5" xfId="11284" xr:uid="{98A1FFBE-A9B9-4678-B96B-5B039FA773BC}"/>
    <cellStyle name="Normal 2 3 3 28" xfId="2443" xr:uid="{79F4B87C-D5C3-4E51-8215-2052CE7D73CF}"/>
    <cellStyle name="Normal 2 3 3 28 2" xfId="2444" xr:uid="{16523EAE-5C45-41E8-96C4-5C933F5C4BBA}"/>
    <cellStyle name="Normal 2 3 3 28 2 2" xfId="2445" xr:uid="{C083B24E-8577-41A7-A808-A6816A1F2A9D}"/>
    <cellStyle name="Normal 2 3 3 28 2 2 2" xfId="11292" xr:uid="{CC2BBF18-9608-41C1-8361-7FBDC69ADE9D}"/>
    <cellStyle name="Normal 2 3 3 28 2 3" xfId="2446" xr:uid="{C7396C62-B533-4802-A0A1-6B7361BE5FA7}"/>
    <cellStyle name="Normal 2 3 3 28 2 3 2" xfId="11293" xr:uid="{068DB431-93D7-4AC2-8C4E-5F2352D1DB13}"/>
    <cellStyle name="Normal 2 3 3 28 2 4" xfId="11291" xr:uid="{4871EAF7-D8B6-495D-BFFB-8BFE85EF471C}"/>
    <cellStyle name="Normal 2 3 3 28 3" xfId="2447" xr:uid="{A014E44A-28AA-42F6-8DF5-CFF17FD4FC17}"/>
    <cellStyle name="Normal 2 3 3 28 3 2" xfId="11294" xr:uid="{2F62C6B4-4D8A-4FBE-99C5-C902C4DC0F61}"/>
    <cellStyle name="Normal 2 3 3 28 4" xfId="2448" xr:uid="{824A6B4A-6110-419A-8FE4-B39D4BA804F5}"/>
    <cellStyle name="Normal 2 3 3 28 4 2" xfId="11295" xr:uid="{D4D31E38-B1F0-43DE-9D0B-B2D172F9A6DD}"/>
    <cellStyle name="Normal 2 3 3 28 5" xfId="11290" xr:uid="{D6EA5707-30F3-4726-81C6-8770D36F0950}"/>
    <cellStyle name="Normal 2 3 3 29" xfId="2449" xr:uid="{947DE2E9-359E-4534-9B9F-8D3D5941BD55}"/>
    <cellStyle name="Normal 2 3 3 29 2" xfId="2450" xr:uid="{4BB15077-DA31-4FCB-A272-F23CA848D00C}"/>
    <cellStyle name="Normal 2 3 3 29 2 2" xfId="2451" xr:uid="{35E7ABF4-3ECA-4108-BEE3-912B32B292D4}"/>
    <cellStyle name="Normal 2 3 3 29 2 2 2" xfId="11298" xr:uid="{A02DE42D-DAC4-490F-865E-8D975EB4F5F2}"/>
    <cellStyle name="Normal 2 3 3 29 2 3" xfId="2452" xr:uid="{A91B646B-D1A5-4668-B633-9B1DCECD2A23}"/>
    <cellStyle name="Normal 2 3 3 29 2 3 2" xfId="11299" xr:uid="{21DCA3D2-CFB0-4D8C-9BEB-89DE2E5AC5ED}"/>
    <cellStyle name="Normal 2 3 3 29 2 4" xfId="11297" xr:uid="{87ED35FC-9CB9-46CF-874D-29BBE7F5780C}"/>
    <cellStyle name="Normal 2 3 3 29 3" xfId="2453" xr:uid="{B75A67F0-85CB-472C-A274-AC6D8A5E8DD8}"/>
    <cellStyle name="Normal 2 3 3 29 3 2" xfId="11300" xr:uid="{FB9492B7-33EF-44D7-93FA-FA9D519B121D}"/>
    <cellStyle name="Normal 2 3 3 29 4" xfId="2454" xr:uid="{495F0EF8-DB81-425D-BCE9-85F4B6D3FAB0}"/>
    <cellStyle name="Normal 2 3 3 29 4 2" xfId="11301" xr:uid="{417FC32E-A31E-4534-8347-FF5CF2E58DE6}"/>
    <cellStyle name="Normal 2 3 3 29 5" xfId="11296" xr:uid="{0C26497A-6B76-447C-95A7-40E437E39480}"/>
    <cellStyle name="Normal 2 3 3 3" xfId="2455" xr:uid="{7ED063CF-4565-4794-B506-E5369ADCFFE2}"/>
    <cellStyle name="Normal 2 3 3 3 2" xfId="2456" xr:uid="{ACBD1BEE-AAA7-4878-9C46-A2E315771840}"/>
    <cellStyle name="Normal 2 3 3 3 2 2" xfId="2457" xr:uid="{A621FA35-FA59-4EE2-9E9B-DDA797349D3F}"/>
    <cellStyle name="Normal 2 3 3 3 2 2 2" xfId="11304" xr:uid="{60A163D9-80BC-4AD9-836D-F5558D8F1D0E}"/>
    <cellStyle name="Normal 2 3 3 3 2 3" xfId="2458" xr:uid="{0A7078B0-96C5-4A08-83C1-13B7D7BB8A0D}"/>
    <cellStyle name="Normal 2 3 3 3 2 3 2" xfId="11305" xr:uid="{019983A3-8209-4F41-A669-CFF71F6767D3}"/>
    <cellStyle name="Normal 2 3 3 3 2 4" xfId="11303" xr:uid="{D77CD4D8-6C96-4835-AC39-2804389B7C52}"/>
    <cellStyle name="Normal 2 3 3 3 3" xfId="2459" xr:uid="{366EF54C-E983-4F1C-B7D0-4E07AFE872FB}"/>
    <cellStyle name="Normal 2 3 3 3 3 2" xfId="11306" xr:uid="{F8A1BE88-2ECF-437D-B2BC-010F3684BD0E}"/>
    <cellStyle name="Normal 2 3 3 3 4" xfId="2460" xr:uid="{8B36BD07-8837-46EE-B002-92BEAED019C4}"/>
    <cellStyle name="Normal 2 3 3 3 4 2" xfId="11307" xr:uid="{A50A5515-8532-4E9D-9031-877F2A9879EB}"/>
    <cellStyle name="Normal 2 3 3 3 5" xfId="11302" xr:uid="{EC166770-73A5-454D-B619-F84F930CE46E}"/>
    <cellStyle name="Normal 2 3 3 30" xfId="2461" xr:uid="{0B87396F-0F39-4715-A39D-403D6476AA3B}"/>
    <cellStyle name="Normal 2 3 3 30 2" xfId="2462" xr:uid="{F51DA0D9-D86B-46A8-9DC7-F48E159125C7}"/>
    <cellStyle name="Normal 2 3 3 30 2 2" xfId="2463" xr:uid="{2979DC38-D6FD-45C3-BCA0-CEAA5AB25308}"/>
    <cellStyle name="Normal 2 3 3 30 2 2 2" xfId="11310" xr:uid="{7CC33F29-0464-47BD-BB4A-D1459A8CEF13}"/>
    <cellStyle name="Normal 2 3 3 30 2 3" xfId="2464" xr:uid="{C92008FB-9D61-48B0-83E0-5F6130FC9B96}"/>
    <cellStyle name="Normal 2 3 3 30 2 3 2" xfId="11311" xr:uid="{44B9B617-E4A7-45C9-B69F-7B3830824760}"/>
    <cellStyle name="Normal 2 3 3 30 2 4" xfId="11309" xr:uid="{7594E9F6-2FE0-410B-8370-44A512B6B65D}"/>
    <cellStyle name="Normal 2 3 3 30 3" xfId="2465" xr:uid="{2A359B94-69CC-46C7-AD35-56A57C1662E9}"/>
    <cellStyle name="Normal 2 3 3 30 3 2" xfId="11312" xr:uid="{1AE14FD4-5348-4521-9E6B-2C22BAE33D3E}"/>
    <cellStyle name="Normal 2 3 3 30 4" xfId="2466" xr:uid="{9E6EAB2B-8CA9-48F8-B951-94B213D50EFA}"/>
    <cellStyle name="Normal 2 3 3 30 4 2" xfId="11313" xr:uid="{2528C332-E411-4BBF-A8F9-681C071F03E2}"/>
    <cellStyle name="Normal 2 3 3 30 5" xfId="11308" xr:uid="{35B94EE4-BF25-48A3-A455-D87A5BE24C00}"/>
    <cellStyle name="Normal 2 3 3 31" xfId="2467" xr:uid="{D70957DD-D17B-42F7-ADF1-C9072D4FF40D}"/>
    <cellStyle name="Normal 2 3 3 31 2" xfId="2468" xr:uid="{5F840C56-3761-4531-8145-8FB71177EBB4}"/>
    <cellStyle name="Normal 2 3 3 31 2 2" xfId="2469" xr:uid="{BEF184ED-6109-460A-BCF7-86BF65EE51A5}"/>
    <cellStyle name="Normal 2 3 3 31 2 2 2" xfId="11316" xr:uid="{C6CF301E-9DCF-4EFF-9396-FA9579BFDD05}"/>
    <cellStyle name="Normal 2 3 3 31 2 3" xfId="2470" xr:uid="{557BE6A4-1131-4FAE-BD77-25D4A0015286}"/>
    <cellStyle name="Normal 2 3 3 31 2 3 2" xfId="11317" xr:uid="{C503B5BC-4053-4639-9CAE-FE3FC678F163}"/>
    <cellStyle name="Normal 2 3 3 31 2 4" xfId="11315" xr:uid="{3B55A9F3-A659-405B-9CA6-E9CADB6D7986}"/>
    <cellStyle name="Normal 2 3 3 31 3" xfId="2471" xr:uid="{B3213B73-05D9-420B-A2D9-4CE431893D1C}"/>
    <cellStyle name="Normal 2 3 3 31 3 2" xfId="11318" xr:uid="{7BAED776-44C5-44D0-9F61-59B1323FC7EF}"/>
    <cellStyle name="Normal 2 3 3 31 4" xfId="2472" xr:uid="{A5997BBF-288C-47A4-B147-D47C614FC2AE}"/>
    <cellStyle name="Normal 2 3 3 31 4 2" xfId="11319" xr:uid="{B4C5DEBB-F979-4EAE-A0AE-57093639FEA6}"/>
    <cellStyle name="Normal 2 3 3 31 5" xfId="11314" xr:uid="{8B3F691A-C5FE-4AD7-B13D-283254DFF306}"/>
    <cellStyle name="Normal 2 3 3 32" xfId="2473" xr:uid="{3A917052-5665-4974-B1BA-8DAE2D5D985A}"/>
    <cellStyle name="Normal 2 3 3 32 2" xfId="2474" xr:uid="{9065ABB7-4843-40CA-921C-445BCCC266FF}"/>
    <cellStyle name="Normal 2 3 3 32 2 2" xfId="2475" xr:uid="{CC918160-7D9B-42B4-878B-CB6154243AC9}"/>
    <cellStyle name="Normal 2 3 3 32 2 2 2" xfId="11322" xr:uid="{EC61B5C7-8889-48E6-BC56-C88166118F59}"/>
    <cellStyle name="Normal 2 3 3 32 2 3" xfId="2476" xr:uid="{B992D5F9-99C8-4998-9787-273664FE4EAE}"/>
    <cellStyle name="Normal 2 3 3 32 2 3 2" xfId="11323" xr:uid="{3C743820-5E3E-485A-A3DC-7B9B135C2D80}"/>
    <cellStyle name="Normal 2 3 3 32 2 4" xfId="11321" xr:uid="{1134D857-58F2-48C0-B333-615878CC9699}"/>
    <cellStyle name="Normal 2 3 3 32 3" xfId="2477" xr:uid="{BE2EE017-D697-4793-B92C-233E552E1314}"/>
    <cellStyle name="Normal 2 3 3 32 3 2" xfId="11324" xr:uid="{D6F0A4C3-C951-471F-BFE3-FB5ECD61ED14}"/>
    <cellStyle name="Normal 2 3 3 32 4" xfId="2478" xr:uid="{CDBD537A-59D9-4703-B2E6-CA06F3A3228A}"/>
    <cellStyle name="Normal 2 3 3 32 4 2" xfId="11325" xr:uid="{C02B968B-B7FC-4B58-B5C4-0535D15007F6}"/>
    <cellStyle name="Normal 2 3 3 32 5" xfId="11320" xr:uid="{0D4D5244-7DC8-4E7F-B0E9-E544F65B889C}"/>
    <cellStyle name="Normal 2 3 3 33" xfId="2479" xr:uid="{D46CD3D5-A29A-48DB-B123-5C7AD4056D4B}"/>
    <cellStyle name="Normal 2 3 3 33 2" xfId="2480" xr:uid="{8B38713B-8545-436E-8803-D34E133C2962}"/>
    <cellStyle name="Normal 2 3 3 33 2 2" xfId="2481" xr:uid="{3693896B-55D6-4BAE-883F-A6AFBE13D2C0}"/>
    <cellStyle name="Normal 2 3 3 33 2 2 2" xfId="11328" xr:uid="{0252A111-5402-41F9-8598-BC487C2FE410}"/>
    <cellStyle name="Normal 2 3 3 33 2 3" xfId="2482" xr:uid="{BA39985A-9DE6-4223-913F-DAEE7565828D}"/>
    <cellStyle name="Normal 2 3 3 33 2 3 2" xfId="11329" xr:uid="{202C70C1-C33B-4BF9-8800-A52CD8AD3261}"/>
    <cellStyle name="Normal 2 3 3 33 2 4" xfId="11327" xr:uid="{D1611D18-DE75-4741-987D-4323420AB416}"/>
    <cellStyle name="Normal 2 3 3 33 3" xfId="2483" xr:uid="{F1232FC7-BF6A-4CE1-AD86-7F9234C1D107}"/>
    <cellStyle name="Normal 2 3 3 33 3 2" xfId="11330" xr:uid="{D2953F29-BD84-4F6B-BCCB-0005173692F2}"/>
    <cellStyle name="Normal 2 3 3 33 4" xfId="2484" xr:uid="{9D198810-7193-4FAC-B41A-10381BDF288A}"/>
    <cellStyle name="Normal 2 3 3 33 4 2" xfId="11331" xr:uid="{F59398AD-7E73-46DC-8EF8-2466B3D77C91}"/>
    <cellStyle name="Normal 2 3 3 33 5" xfId="11326" xr:uid="{1B23A00F-8992-41D0-AB9D-10B4FCE55485}"/>
    <cellStyle name="Normal 2 3 3 34" xfId="2485" xr:uid="{77BD118F-FCF6-4D3B-ACD9-4EE8CAAFC92E}"/>
    <cellStyle name="Normal 2 3 3 34 2" xfId="2486" xr:uid="{5D03EA70-3662-4F6B-B50B-19C7C338BEBF}"/>
    <cellStyle name="Normal 2 3 3 34 2 2" xfId="2487" xr:uid="{9166A266-7C8E-4119-89A8-28B43BB00D8E}"/>
    <cellStyle name="Normal 2 3 3 34 2 2 2" xfId="11334" xr:uid="{BCABE696-A26B-4DF1-8548-D37AE9C42CF6}"/>
    <cellStyle name="Normal 2 3 3 34 2 3" xfId="2488" xr:uid="{878DB54E-7595-4963-9B14-3D9B5958D6C0}"/>
    <cellStyle name="Normal 2 3 3 34 2 3 2" xfId="11335" xr:uid="{E3D1F496-BE28-45FD-B23B-7CCD8D38E8D9}"/>
    <cellStyle name="Normal 2 3 3 34 2 4" xfId="11333" xr:uid="{AB89C3B5-7BFE-4145-95CF-5CBA45C87F1A}"/>
    <cellStyle name="Normal 2 3 3 34 3" xfId="2489" xr:uid="{39AFD2F2-57CA-4230-B126-E5571AD9BCF0}"/>
    <cellStyle name="Normal 2 3 3 34 3 2" xfId="11336" xr:uid="{C09BFEE0-7709-431C-8B2F-3CF1B3BAD2E6}"/>
    <cellStyle name="Normal 2 3 3 34 4" xfId="2490" xr:uid="{D0DB1282-258F-43EA-B36F-25AFCC3A53A4}"/>
    <cellStyle name="Normal 2 3 3 34 4 2" xfId="11337" xr:uid="{174D1E96-71E8-45CA-B8EC-66E574831BE1}"/>
    <cellStyle name="Normal 2 3 3 34 5" xfId="11332" xr:uid="{32E78406-3ED0-4779-B58C-721CC9DEC84E}"/>
    <cellStyle name="Normal 2 3 3 35" xfId="2491" xr:uid="{38AE2942-B2F5-4854-8C96-817435BBC73E}"/>
    <cellStyle name="Normal 2 3 3 35 2" xfId="2492" xr:uid="{0762343B-620C-4642-9F3D-27A144B04258}"/>
    <cellStyle name="Normal 2 3 3 35 2 2" xfId="2493" xr:uid="{4C2FB563-D028-48B4-9862-D5F0774BF959}"/>
    <cellStyle name="Normal 2 3 3 35 2 2 2" xfId="11340" xr:uid="{28E300B3-3070-4214-BFB7-AF092736D89F}"/>
    <cellStyle name="Normal 2 3 3 35 2 3" xfId="2494" xr:uid="{CA11E755-8095-4F54-8CBA-844158C6BA2D}"/>
    <cellStyle name="Normal 2 3 3 35 2 3 2" xfId="11341" xr:uid="{0CADE9E4-CC34-4E47-98C3-BC135DC766A9}"/>
    <cellStyle name="Normal 2 3 3 35 2 4" xfId="11339" xr:uid="{FA1FB9DD-F2A9-4B6F-80B7-F43CE55078DC}"/>
    <cellStyle name="Normal 2 3 3 35 3" xfId="2495" xr:uid="{7B001DEB-4557-44F3-AE9D-6C166AFD0F96}"/>
    <cellStyle name="Normal 2 3 3 35 3 2" xfId="11342" xr:uid="{A2BFA788-BFF0-4181-8CDF-346E0BE6DD7C}"/>
    <cellStyle name="Normal 2 3 3 35 4" xfId="2496" xr:uid="{38A0087F-693D-4CB9-A092-C0FA701066B6}"/>
    <cellStyle name="Normal 2 3 3 35 4 2" xfId="11343" xr:uid="{A59F6314-2514-4BCD-8A7A-68C9C5E4430D}"/>
    <cellStyle name="Normal 2 3 3 35 5" xfId="11338" xr:uid="{03F016B8-A7D3-4F90-ADA5-522DFC3873B0}"/>
    <cellStyle name="Normal 2 3 3 36" xfId="2497" xr:uid="{987ECDDC-920E-4E2C-A940-EB0A31C72ED0}"/>
    <cellStyle name="Normal 2 3 3 36 2" xfId="2498" xr:uid="{9A4474C3-8489-430F-A630-74CAE8ACD685}"/>
    <cellStyle name="Normal 2 3 3 36 2 2" xfId="2499" xr:uid="{5A2ECFB6-DCE5-4BE6-8236-31C3C25BE11D}"/>
    <cellStyle name="Normal 2 3 3 36 2 2 2" xfId="11346" xr:uid="{2163524A-88DC-4D11-AC4B-39715C4FC4A1}"/>
    <cellStyle name="Normal 2 3 3 36 2 3" xfId="2500" xr:uid="{0CA602B9-FF84-48D5-AACE-7BED89D0B43C}"/>
    <cellStyle name="Normal 2 3 3 36 2 3 2" xfId="11347" xr:uid="{5E0B341E-8C6B-435C-A2EE-5116D9AE6046}"/>
    <cellStyle name="Normal 2 3 3 36 2 4" xfId="11345" xr:uid="{32B0CC13-9BCC-4748-A3FC-A2F7C00A5800}"/>
    <cellStyle name="Normal 2 3 3 36 3" xfId="2501" xr:uid="{03A6E8EC-AC08-4E90-ADEB-FACFFD13D9D1}"/>
    <cellStyle name="Normal 2 3 3 36 3 2" xfId="11348" xr:uid="{7C622068-BFD7-4C2E-B901-BA11CFBAB39C}"/>
    <cellStyle name="Normal 2 3 3 36 4" xfId="2502" xr:uid="{2DDDC2CC-BBD1-418A-B4C6-5DBF5B22F063}"/>
    <cellStyle name="Normal 2 3 3 36 4 2" xfId="11349" xr:uid="{F5CCD129-DF43-4606-B1A0-D22743165DAE}"/>
    <cellStyle name="Normal 2 3 3 36 5" xfId="11344" xr:uid="{BEA1A2A6-4667-4923-8DF9-5A3BE1F22B1A}"/>
    <cellStyle name="Normal 2 3 3 37" xfId="2503" xr:uid="{1D46EF2C-BDC2-43E4-8E5A-EEE6D76EF103}"/>
    <cellStyle name="Normal 2 3 3 37 2" xfId="2504" xr:uid="{2E5DC8FC-76C0-4F9C-9599-7365FAB5B8F1}"/>
    <cellStyle name="Normal 2 3 3 37 2 2" xfId="2505" xr:uid="{23AF7BA5-7488-418C-B0E9-0746F739C942}"/>
    <cellStyle name="Normal 2 3 3 37 2 2 2" xfId="11352" xr:uid="{44B80BAA-600E-4DEF-A2C3-434EFE385C91}"/>
    <cellStyle name="Normal 2 3 3 37 2 3" xfId="2506" xr:uid="{A03459A3-E4ED-4915-9B8C-C20E332B868D}"/>
    <cellStyle name="Normal 2 3 3 37 2 3 2" xfId="11353" xr:uid="{617838A3-F247-44B7-8109-766DAA369BAE}"/>
    <cellStyle name="Normal 2 3 3 37 2 4" xfId="11351" xr:uid="{3903BE1F-246E-4255-BA65-A4C46F4035F9}"/>
    <cellStyle name="Normal 2 3 3 37 3" xfId="2507" xr:uid="{FDEB641B-00DA-4F6A-ABA1-0842A394E1C9}"/>
    <cellStyle name="Normal 2 3 3 37 3 2" xfId="11354" xr:uid="{1CBAE00B-F0DD-4BD9-B71C-52C305D5E1B1}"/>
    <cellStyle name="Normal 2 3 3 37 4" xfId="2508" xr:uid="{CF3086AC-9FDF-4894-A913-CFBF62E135FD}"/>
    <cellStyle name="Normal 2 3 3 37 4 2" xfId="11355" xr:uid="{6038B98B-1E31-4080-BB84-1C5024B027E3}"/>
    <cellStyle name="Normal 2 3 3 37 5" xfId="11350" xr:uid="{0EFD9D2C-AFF7-44DD-BE6C-758F5E66C9D5}"/>
    <cellStyle name="Normal 2 3 3 38" xfId="2509" xr:uid="{AF835B1E-398F-4E85-9205-07703E7B11ED}"/>
    <cellStyle name="Normal 2 3 3 38 2" xfId="2510" xr:uid="{AF83D126-0DDD-48F3-B934-1D347BA1FC02}"/>
    <cellStyle name="Normal 2 3 3 38 2 2" xfId="2511" xr:uid="{2C946473-5E2F-4B95-8A83-33BFCAAA4D34}"/>
    <cellStyle name="Normal 2 3 3 38 2 2 2" xfId="11358" xr:uid="{9EF569D8-E150-46BF-8CA7-0146C00112A9}"/>
    <cellStyle name="Normal 2 3 3 38 2 3" xfId="2512" xr:uid="{CC621D67-5CA8-4D95-9E77-62C585952F83}"/>
    <cellStyle name="Normal 2 3 3 38 2 3 2" xfId="11359" xr:uid="{5630B198-C100-422E-B5A3-7B1909C39DB7}"/>
    <cellStyle name="Normal 2 3 3 38 2 4" xfId="11357" xr:uid="{C05FD29F-5947-4314-B777-676CFCEBA17B}"/>
    <cellStyle name="Normal 2 3 3 38 3" xfId="2513" xr:uid="{869FD760-34B9-43ED-AF75-4FF980CC663E}"/>
    <cellStyle name="Normal 2 3 3 38 3 2" xfId="11360" xr:uid="{143CF72D-4B36-4D1C-B364-297094FD27A1}"/>
    <cellStyle name="Normal 2 3 3 38 4" xfId="2514" xr:uid="{2B46AD19-B246-408E-88F5-E9C216BECA08}"/>
    <cellStyle name="Normal 2 3 3 38 4 2" xfId="11361" xr:uid="{0BF276AC-96CD-44C9-9AAC-B58DCAB2288E}"/>
    <cellStyle name="Normal 2 3 3 38 5" xfId="11356" xr:uid="{E946CAB8-B893-47C6-8EDC-C2CC0E205D1E}"/>
    <cellStyle name="Normal 2 3 3 39" xfId="2515" xr:uid="{621C44FB-36D7-4E20-B634-CC822559B2D4}"/>
    <cellStyle name="Normal 2 3 3 39 2" xfId="2516" xr:uid="{6388E5A0-5875-4CB7-B13B-CEF5531C1FEA}"/>
    <cellStyle name="Normal 2 3 3 39 2 2" xfId="2517" xr:uid="{54645182-A495-4E81-81E4-D354B757CD97}"/>
    <cellStyle name="Normal 2 3 3 39 2 2 2" xfId="11364" xr:uid="{4B26AC24-93CF-49DC-B42D-02C8FE7EBBAB}"/>
    <cellStyle name="Normal 2 3 3 39 2 3" xfId="2518" xr:uid="{C1BDB19E-BA8D-4F0A-AB0E-E43DDB504BC2}"/>
    <cellStyle name="Normal 2 3 3 39 2 3 2" xfId="11365" xr:uid="{262AF182-0C80-4950-A74C-962593206D73}"/>
    <cellStyle name="Normal 2 3 3 39 2 4" xfId="11363" xr:uid="{0DE5B875-EB17-4393-87B8-939BD448BDFD}"/>
    <cellStyle name="Normal 2 3 3 39 3" xfId="2519" xr:uid="{8E3B29BA-D46E-419A-85E4-D53E97D43261}"/>
    <cellStyle name="Normal 2 3 3 39 3 2" xfId="11366" xr:uid="{94A66B73-D99D-43BE-B639-32D72A658352}"/>
    <cellStyle name="Normal 2 3 3 39 4" xfId="2520" xr:uid="{9D663B4E-EE18-4CBC-8AE0-50A314FCC15F}"/>
    <cellStyle name="Normal 2 3 3 39 4 2" xfId="11367" xr:uid="{66FCA739-47BF-41CA-9023-4DF86D092743}"/>
    <cellStyle name="Normal 2 3 3 39 5" xfId="11362" xr:uid="{53B3C607-0003-4D90-8452-A6E477866630}"/>
    <cellStyle name="Normal 2 3 3 4" xfId="2521" xr:uid="{32FF7383-B1BF-4493-9802-3C506F7AB57F}"/>
    <cellStyle name="Normal 2 3 3 4 2" xfId="2522" xr:uid="{81578B0E-5E5B-4810-BF12-27C09279ED1D}"/>
    <cellStyle name="Normal 2 3 3 4 2 2" xfId="2523" xr:uid="{5DAEFECB-1E42-44BA-94CA-5888489D8FD7}"/>
    <cellStyle name="Normal 2 3 3 4 2 2 2" xfId="11370" xr:uid="{32F30549-C405-483C-9A16-63D000D8E1B6}"/>
    <cellStyle name="Normal 2 3 3 4 2 3" xfId="2524" xr:uid="{F524B2D0-867A-4CE0-80D5-643AE402A403}"/>
    <cellStyle name="Normal 2 3 3 4 2 3 2" xfId="11371" xr:uid="{F80EF9FD-132D-4FCC-BFAA-90C93D7B5974}"/>
    <cellStyle name="Normal 2 3 3 4 2 4" xfId="11369" xr:uid="{7D537571-7771-4882-89FA-1E6CF0FEDD12}"/>
    <cellStyle name="Normal 2 3 3 4 3" xfId="2525" xr:uid="{E2A4A93A-0FF6-4B6B-A70A-48638949CE3E}"/>
    <cellStyle name="Normal 2 3 3 4 3 2" xfId="11372" xr:uid="{4A9A6B6F-7F5F-40CF-968B-B997FDCB7AF4}"/>
    <cellStyle name="Normal 2 3 3 4 4" xfId="2526" xr:uid="{03A4D6FE-DC3E-4D9E-A283-4316C391EF2D}"/>
    <cellStyle name="Normal 2 3 3 4 4 2" xfId="11373" xr:uid="{ADF39453-34F9-4910-8436-E4C38E2766D7}"/>
    <cellStyle name="Normal 2 3 3 4 5" xfId="11368" xr:uid="{1B5991ED-5D26-4DD7-9C05-744DBCAF8A44}"/>
    <cellStyle name="Normal 2 3 3 40" xfId="2527" xr:uid="{53A8183C-8E13-416D-BCC9-22E8380B3E9A}"/>
    <cellStyle name="Normal 2 3 3 40 2" xfId="2528" xr:uid="{E507218E-BD4F-4F6D-84EE-39B19587DE15}"/>
    <cellStyle name="Normal 2 3 3 40 2 2" xfId="2529" xr:uid="{CE109427-640D-42CE-94BF-8ADCA214F56C}"/>
    <cellStyle name="Normal 2 3 3 40 2 2 2" xfId="11376" xr:uid="{C81E7A5C-C08F-4513-A2C9-9B4BB3BD130E}"/>
    <cellStyle name="Normal 2 3 3 40 2 3" xfId="2530" xr:uid="{1E9D3E58-11EF-410E-90AB-3D7B29DE3B5A}"/>
    <cellStyle name="Normal 2 3 3 40 2 3 2" xfId="11377" xr:uid="{EC8407C4-407E-4FE3-9732-FEEBBF7B4239}"/>
    <cellStyle name="Normal 2 3 3 40 2 4" xfId="11375" xr:uid="{A69D95D2-BFD2-4F75-8EED-2916F8F3F7AB}"/>
    <cellStyle name="Normal 2 3 3 40 3" xfId="2531" xr:uid="{C8009D16-4FFD-4391-B65F-F171522276D5}"/>
    <cellStyle name="Normal 2 3 3 40 3 2" xfId="11378" xr:uid="{127BCAB5-77D6-44B7-AD1D-C85EEFE124F2}"/>
    <cellStyle name="Normal 2 3 3 40 4" xfId="2532" xr:uid="{C12921E8-B253-4E62-9EF0-48513E19C421}"/>
    <cellStyle name="Normal 2 3 3 40 4 2" xfId="11379" xr:uid="{A3A675A7-B254-44C2-A9C6-695E5CE42027}"/>
    <cellStyle name="Normal 2 3 3 40 5" xfId="11374" xr:uid="{91BBD000-1FDE-4076-85A3-211DC1CD9838}"/>
    <cellStyle name="Normal 2 3 3 41" xfId="2533" xr:uid="{7C1F0F56-BDC7-4964-8F68-7CD878A4704D}"/>
    <cellStyle name="Normal 2 3 3 41 2" xfId="2534" xr:uid="{2027FB1B-C624-4932-9309-E4528F9ED55B}"/>
    <cellStyle name="Normal 2 3 3 41 2 2" xfId="2535" xr:uid="{D219BE2E-D78E-4DBA-A202-B761C36750C6}"/>
    <cellStyle name="Normal 2 3 3 41 2 2 2" xfId="11382" xr:uid="{C206E839-C849-43EA-B7B6-5BBF69759DAA}"/>
    <cellStyle name="Normal 2 3 3 41 2 3" xfId="2536" xr:uid="{4F01FCB8-4701-4197-B40E-0A0846D72768}"/>
    <cellStyle name="Normal 2 3 3 41 2 3 2" xfId="11383" xr:uid="{A10EC886-36A0-4A9C-8C99-D4030665F762}"/>
    <cellStyle name="Normal 2 3 3 41 2 4" xfId="11381" xr:uid="{28B47265-1303-419F-8986-FAFC68CAD8FD}"/>
    <cellStyle name="Normal 2 3 3 41 3" xfId="2537" xr:uid="{8821F186-4DA4-4114-8F35-A64CEF359E4D}"/>
    <cellStyle name="Normal 2 3 3 41 3 2" xfId="11384" xr:uid="{B1C59D7C-4AAC-403F-91C6-5ED3530F3CE4}"/>
    <cellStyle name="Normal 2 3 3 41 4" xfId="2538" xr:uid="{DCE0C9BA-7791-471F-AC70-69BAF60E1048}"/>
    <cellStyle name="Normal 2 3 3 41 4 2" xfId="11385" xr:uid="{2CD907C7-8998-4B2A-9265-90C85BC68AEA}"/>
    <cellStyle name="Normal 2 3 3 41 5" xfId="11380" xr:uid="{2A0BD460-225E-4AAC-BAF3-31DF31A0AE78}"/>
    <cellStyle name="Normal 2 3 3 42" xfId="2539" xr:uid="{D208F157-3BA4-44BA-9FBE-05C6C8487528}"/>
    <cellStyle name="Normal 2 3 3 42 2" xfId="2540" xr:uid="{7C1EDC92-AB2B-4785-9D08-F74E02F4A4C1}"/>
    <cellStyle name="Normal 2 3 3 42 2 2" xfId="2541" xr:uid="{1C97E3C3-B22A-4546-B11C-F05E521D4636}"/>
    <cellStyle name="Normal 2 3 3 42 2 2 2" xfId="11388" xr:uid="{7AB7C6C4-D258-4FE8-A65F-E6B252F14451}"/>
    <cellStyle name="Normal 2 3 3 42 2 3" xfId="2542" xr:uid="{D604B38B-065E-41B3-B38B-E2A419C0B022}"/>
    <cellStyle name="Normal 2 3 3 42 2 3 2" xfId="11389" xr:uid="{274C2856-3248-4865-92B2-697DD659EFA1}"/>
    <cellStyle name="Normal 2 3 3 42 2 4" xfId="11387" xr:uid="{FA8CFD8B-B73B-49CF-B91D-CC81E061EFD8}"/>
    <cellStyle name="Normal 2 3 3 42 3" xfId="2543" xr:uid="{A215B193-86A8-430F-8AA9-3B7642E70D92}"/>
    <cellStyle name="Normal 2 3 3 42 3 2" xfId="11390" xr:uid="{4FBF6F78-B145-472C-8D6A-CF82D4D120F8}"/>
    <cellStyle name="Normal 2 3 3 42 4" xfId="2544" xr:uid="{236B4F9B-76F5-48E2-A569-092FD117913E}"/>
    <cellStyle name="Normal 2 3 3 42 4 2" xfId="11391" xr:uid="{55B7FC6B-4F4C-4E3E-ACF8-C3B7317458F7}"/>
    <cellStyle name="Normal 2 3 3 42 5" xfId="11386" xr:uid="{311FE211-1282-46B1-9F46-AF9A029106CA}"/>
    <cellStyle name="Normal 2 3 3 43" xfId="2545" xr:uid="{F5C0A80A-1318-472B-9E18-E472C653E906}"/>
    <cellStyle name="Normal 2 3 3 43 2" xfId="2546" xr:uid="{13CFADC8-F175-46E6-9448-E9B0DB8F9FD5}"/>
    <cellStyle name="Normal 2 3 3 43 2 2" xfId="2547" xr:uid="{5FDE159B-CA04-4E17-9641-44C18D95EF33}"/>
    <cellStyle name="Normal 2 3 3 43 2 2 2" xfId="11394" xr:uid="{1C461B37-CCEE-46FA-B2C3-BF48BF548EB6}"/>
    <cellStyle name="Normal 2 3 3 43 2 3" xfId="2548" xr:uid="{2E4F513E-498C-4286-BE60-66EC9E0FB068}"/>
    <cellStyle name="Normal 2 3 3 43 2 3 2" xfId="11395" xr:uid="{09C391A6-0615-4299-BBB3-4CFD96F2048A}"/>
    <cellStyle name="Normal 2 3 3 43 2 4" xfId="11393" xr:uid="{F223D825-7B3F-468D-BEF1-ABE1E657A7D8}"/>
    <cellStyle name="Normal 2 3 3 43 3" xfId="2549" xr:uid="{1A9D1D08-F7FB-47F9-9423-3EE3393B83EB}"/>
    <cellStyle name="Normal 2 3 3 43 3 2" xfId="11396" xr:uid="{790D79A1-CFC1-4C7B-98AF-B0FC9D73CFA5}"/>
    <cellStyle name="Normal 2 3 3 43 4" xfId="2550" xr:uid="{3A964A80-5CB1-4EA7-BF7B-79E8A1D5A54D}"/>
    <cellStyle name="Normal 2 3 3 43 4 2" xfId="11397" xr:uid="{CED6C97D-D39B-42F1-B5BD-76EB597C7B44}"/>
    <cellStyle name="Normal 2 3 3 43 5" xfId="11392" xr:uid="{9E3C4BF6-F995-4B5E-9B64-013C82DFDB88}"/>
    <cellStyle name="Normal 2 3 3 44" xfId="2551" xr:uid="{F605D96B-1B89-4572-8EC3-0CB46C61C3AE}"/>
    <cellStyle name="Normal 2 3 3 44 2" xfId="2552" xr:uid="{09C0C908-03E0-4F66-823E-DC73EFD333CF}"/>
    <cellStyle name="Normal 2 3 3 44 2 2" xfId="11399" xr:uid="{ACE4EE07-0A65-4C00-A539-6F7512C76BF1}"/>
    <cellStyle name="Normal 2 3 3 44 3" xfId="2553" xr:uid="{BACDF546-368E-4003-A590-25A9CD0BE4DA}"/>
    <cellStyle name="Normal 2 3 3 44 3 2" xfId="11400" xr:uid="{F2A9CC7A-F558-41CF-A2C0-2CDFA8E40A35}"/>
    <cellStyle name="Normal 2 3 3 44 4" xfId="11398" xr:uid="{2D2D5D39-C600-444F-88D4-ECC854979EAB}"/>
    <cellStyle name="Normal 2 3 3 45" xfId="2554" xr:uid="{82CF4907-A74D-48E5-B64E-CEF8253E10B7}"/>
    <cellStyle name="Normal 2 3 3 45 2" xfId="11401" xr:uid="{F12E89B3-80A5-4E72-95CE-8EE025616D7A}"/>
    <cellStyle name="Normal 2 3 3 46" xfId="2555" xr:uid="{4B51314F-9873-434B-87E0-01E0390A757C}"/>
    <cellStyle name="Normal 2 3 3 46 2" xfId="11402" xr:uid="{D8E9B546-5192-4272-9D1B-70768109A868}"/>
    <cellStyle name="Normal 2 3 3 47" xfId="2556" xr:uid="{8ED13AF9-BDA6-4FE4-ABAF-9DD98A6F8F7A}"/>
    <cellStyle name="Normal 2 3 3 48" xfId="2557" xr:uid="{3ADDA4E3-175E-4309-8F40-43274DF83DAF}"/>
    <cellStyle name="Normal 2 3 3 49" xfId="11175" xr:uid="{C3E134A3-6697-45EF-8BAC-9A7CF1A4F754}"/>
    <cellStyle name="Normal 2 3 3 5" xfId="2558" xr:uid="{FAE2F8A7-CE84-4AD8-9BAD-8E7821234EC9}"/>
    <cellStyle name="Normal 2 3 3 5 2" xfId="2559" xr:uid="{1C964A41-CEAE-4FC1-BB18-75091BC124B3}"/>
    <cellStyle name="Normal 2 3 3 5 2 2" xfId="2560" xr:uid="{A2F26BA5-C2CA-43DB-A4FD-0A6E0D3BED04}"/>
    <cellStyle name="Normal 2 3 3 5 2 2 2" xfId="11405" xr:uid="{0873DF01-BA26-45A1-8F67-725462817715}"/>
    <cellStyle name="Normal 2 3 3 5 2 3" xfId="2561" xr:uid="{B5625405-E1C0-4B3C-9D4B-B68A86F42CCE}"/>
    <cellStyle name="Normal 2 3 3 5 2 3 2" xfId="11406" xr:uid="{3E802670-593C-4824-9C33-6456B6E6579B}"/>
    <cellStyle name="Normal 2 3 3 5 2 4" xfId="11404" xr:uid="{305885E1-BE47-4D9E-AACB-B3509808DCE3}"/>
    <cellStyle name="Normal 2 3 3 5 3" xfId="2562" xr:uid="{EB81EB5D-DFFE-428E-B986-91E53C9D6C5A}"/>
    <cellStyle name="Normal 2 3 3 5 3 2" xfId="11407" xr:uid="{6E100737-A86F-4ABC-BA7E-4B3725B92E78}"/>
    <cellStyle name="Normal 2 3 3 5 4" xfId="2563" xr:uid="{4880B2CE-62B3-493D-8AC2-ADD93460A6C3}"/>
    <cellStyle name="Normal 2 3 3 5 4 2" xfId="11408" xr:uid="{C1080FEA-6884-46B1-80DD-4559D8C0F5EB}"/>
    <cellStyle name="Normal 2 3 3 5 5" xfId="11403" xr:uid="{ED93DCEA-3243-4776-B3C2-D9683396DF44}"/>
    <cellStyle name="Normal 2 3 3 6" xfId="2564" xr:uid="{47F0CF7A-AF44-4B66-971C-513B909F2FD5}"/>
    <cellStyle name="Normal 2 3 3 6 2" xfId="2565" xr:uid="{653D6C02-EA76-48A4-B2D5-E7AEAB7E5779}"/>
    <cellStyle name="Normal 2 3 3 6 2 2" xfId="2566" xr:uid="{E18EC3E8-5FCC-47F8-BF8B-B1F2FE7A78C2}"/>
    <cellStyle name="Normal 2 3 3 6 2 2 2" xfId="11411" xr:uid="{E2D729D7-9237-403F-98A6-C7793535D606}"/>
    <cellStyle name="Normal 2 3 3 6 2 3" xfId="2567" xr:uid="{CC1C771B-AED9-4D84-A5D4-DE378EF28E90}"/>
    <cellStyle name="Normal 2 3 3 6 2 3 2" xfId="11412" xr:uid="{73FCFDE4-41F2-41C3-8BFF-4EE244658CF4}"/>
    <cellStyle name="Normal 2 3 3 6 2 4" xfId="11410" xr:uid="{EDE5953C-03B5-4DB5-9133-057A007A77E7}"/>
    <cellStyle name="Normal 2 3 3 6 3" xfId="2568" xr:uid="{50AAEB78-99B7-4F11-A2E6-523CDCEE264B}"/>
    <cellStyle name="Normal 2 3 3 6 3 2" xfId="11413" xr:uid="{9510BCDD-CD26-4882-A212-53D76E136FC3}"/>
    <cellStyle name="Normal 2 3 3 6 4" xfId="2569" xr:uid="{F97303B7-65ED-491C-A14F-4BA9331D8192}"/>
    <cellStyle name="Normal 2 3 3 6 4 2" xfId="11414" xr:uid="{CE16F9E1-4489-4545-AC15-D7F32B47ABD4}"/>
    <cellStyle name="Normal 2 3 3 6 5" xfId="11409" xr:uid="{415DB777-8257-4E92-A723-FE649C390F45}"/>
    <cellStyle name="Normal 2 3 3 7" xfId="2570" xr:uid="{6ECB8B2B-696A-4B11-9E5B-D61097B94926}"/>
    <cellStyle name="Normal 2 3 3 7 2" xfId="2571" xr:uid="{DDCFCF38-D0D5-4C06-8254-97D2AF086947}"/>
    <cellStyle name="Normal 2 3 3 7 2 2" xfId="2572" xr:uid="{F57748EB-B549-4B07-A85F-77E0D3D1D3C0}"/>
    <cellStyle name="Normal 2 3 3 7 2 2 2" xfId="11417" xr:uid="{63FCF313-8F3E-4D2E-B465-FF3B6554779B}"/>
    <cellStyle name="Normal 2 3 3 7 2 3" xfId="2573" xr:uid="{3B5B89AB-8F4F-4211-ADED-54B72268A5A2}"/>
    <cellStyle name="Normal 2 3 3 7 2 3 2" xfId="11418" xr:uid="{1855E167-41B1-46B6-9C33-E63462596170}"/>
    <cellStyle name="Normal 2 3 3 7 2 4" xfId="11416" xr:uid="{69D57478-F817-4120-B1F6-B3A1FF74F3C9}"/>
    <cellStyle name="Normal 2 3 3 7 3" xfId="2574" xr:uid="{A9525A22-F1C3-4FDC-8AC1-B5F52D0CBEF3}"/>
    <cellStyle name="Normal 2 3 3 7 3 2" xfId="11419" xr:uid="{B13EC913-D5F4-4E8D-8D10-EA087A881C21}"/>
    <cellStyle name="Normal 2 3 3 7 4" xfId="2575" xr:uid="{700E593F-1329-4DFE-97A8-1421676805FC}"/>
    <cellStyle name="Normal 2 3 3 7 4 2" xfId="11420" xr:uid="{2E62C604-7A7A-492C-9AF0-69C7772CB9A3}"/>
    <cellStyle name="Normal 2 3 3 7 5" xfId="11415" xr:uid="{757BD260-30FF-490F-B267-3CF4DE89AED3}"/>
    <cellStyle name="Normal 2 3 3 8" xfId="2576" xr:uid="{65DD7247-112F-4339-974C-A5DDD802165D}"/>
    <cellStyle name="Normal 2 3 3 8 2" xfId="2577" xr:uid="{8A428B37-BAB6-470F-A37D-559F759D0F60}"/>
    <cellStyle name="Normal 2 3 3 8 2 2" xfId="2578" xr:uid="{BC331625-3FD9-4F57-908B-86AE8C90ACD0}"/>
    <cellStyle name="Normal 2 3 3 8 2 2 2" xfId="11423" xr:uid="{611C2247-6486-4A23-B33F-EB04494858C7}"/>
    <cellStyle name="Normal 2 3 3 8 2 3" xfId="2579" xr:uid="{526533D0-A351-4E53-A3E5-2563CA5CDF68}"/>
    <cellStyle name="Normal 2 3 3 8 2 3 2" xfId="11424" xr:uid="{50A2E831-4E8B-4451-B594-25C610D85C84}"/>
    <cellStyle name="Normal 2 3 3 8 2 4" xfId="11422" xr:uid="{E8A09115-ACC3-49DA-B150-8C317A861609}"/>
    <cellStyle name="Normal 2 3 3 8 3" xfId="2580" xr:uid="{F5FE99FE-F310-47AB-8710-B65AAE7356C0}"/>
    <cellStyle name="Normal 2 3 3 8 3 2" xfId="11425" xr:uid="{07C2B5F1-527D-481C-9DF1-113390C352B0}"/>
    <cellStyle name="Normal 2 3 3 8 4" xfId="2581" xr:uid="{8BF34A2B-727E-47A7-A20D-9BF802886015}"/>
    <cellStyle name="Normal 2 3 3 8 4 2" xfId="11426" xr:uid="{70A1AD45-FADA-4590-A9E1-1E7AE11E27D0}"/>
    <cellStyle name="Normal 2 3 3 8 5" xfId="11421" xr:uid="{0E7BADE0-C841-430C-ACE8-583C55AFA786}"/>
    <cellStyle name="Normal 2 3 3 9" xfId="2582" xr:uid="{A3031F2F-1BB6-4167-9DCE-0C469F03879B}"/>
    <cellStyle name="Normal 2 3 3 9 2" xfId="2583" xr:uid="{ED19293A-A776-476B-8186-81F535B9EED5}"/>
    <cellStyle name="Normal 2 3 3 9 2 2" xfId="2584" xr:uid="{F13EED94-3BE1-4756-A632-FE2FCFDCD902}"/>
    <cellStyle name="Normal 2 3 3 9 2 2 2" xfId="11429" xr:uid="{2D3B05DB-FA36-4FB2-A39E-1B204D507883}"/>
    <cellStyle name="Normal 2 3 3 9 2 3" xfId="2585" xr:uid="{A6124CAC-4296-4029-B82F-F3D13127884F}"/>
    <cellStyle name="Normal 2 3 3 9 2 3 2" xfId="11430" xr:uid="{B7B8955D-29B5-4FFE-BD19-EF241693AAC6}"/>
    <cellStyle name="Normal 2 3 3 9 2 4" xfId="11428" xr:uid="{76B7C5F5-4807-49A5-BAEB-5CA0AD0CEE40}"/>
    <cellStyle name="Normal 2 3 3 9 3" xfId="2586" xr:uid="{B6872F2E-9402-4E43-B95C-59FB761158F4}"/>
    <cellStyle name="Normal 2 3 3 9 3 2" xfId="11431" xr:uid="{321137E8-91F4-46F4-8122-6229DDB04689}"/>
    <cellStyle name="Normal 2 3 3 9 4" xfId="2587" xr:uid="{823D5A52-A1E4-4221-BBBA-C0A85B29D7A9}"/>
    <cellStyle name="Normal 2 3 3 9 4 2" xfId="11432" xr:uid="{F7040AC8-80F2-4BFE-8E9B-0BB0225881D0}"/>
    <cellStyle name="Normal 2 3 3 9 5" xfId="11427" xr:uid="{62D0C9FC-D93F-458D-AF3A-42C9B574C7A1}"/>
    <cellStyle name="Normal 2 3 30" xfId="2588" xr:uid="{678B4A23-2EC6-41E7-AF89-D4C60EC43ED0}"/>
    <cellStyle name="Normal 2 3 30 2" xfId="2589" xr:uid="{79A2E677-302D-468D-8957-9DE26B9AD336}"/>
    <cellStyle name="Normal 2 3 30 2 2" xfId="2590" xr:uid="{F29D6C3D-90D3-4338-8DE2-321905886245}"/>
    <cellStyle name="Normal 2 3 30 2 2 2" xfId="11435" xr:uid="{9256C58F-9BB8-4C2A-9D11-939B2B94DAE4}"/>
    <cellStyle name="Normal 2 3 30 2 3" xfId="2591" xr:uid="{A1DC6D46-256C-480C-9079-21A9FE0D278E}"/>
    <cellStyle name="Normal 2 3 30 2 3 2" xfId="11436" xr:uid="{DA37BE4A-42C1-4029-8955-DC0FC93907DB}"/>
    <cellStyle name="Normal 2 3 30 2 4" xfId="11434" xr:uid="{DC373747-D0C0-4CF1-97F8-C9A8A6DA7D08}"/>
    <cellStyle name="Normal 2 3 30 3" xfId="2592" xr:uid="{A1AD0022-BC60-459B-AF52-4964D2B0B893}"/>
    <cellStyle name="Normal 2 3 30 3 2" xfId="11437" xr:uid="{5F3E3468-054E-4B11-9372-67B72430B3EE}"/>
    <cellStyle name="Normal 2 3 30 4" xfId="2593" xr:uid="{AD5F9CC2-9CE6-4547-B4A4-D69C60FBC793}"/>
    <cellStyle name="Normal 2 3 30 4 2" xfId="11438" xr:uid="{A4D6F852-443C-46CE-92F2-A6CD6E30E161}"/>
    <cellStyle name="Normal 2 3 30 5" xfId="11433" xr:uid="{0A001A2E-3FE1-4F53-89E0-6D24903C7549}"/>
    <cellStyle name="Normal 2 3 31" xfId="2594" xr:uid="{449E0897-1C56-4927-B60F-916474AD57B2}"/>
    <cellStyle name="Normal 2 3 31 2" xfId="2595" xr:uid="{48BCC1A7-580D-4658-8145-16279912A28A}"/>
    <cellStyle name="Normal 2 3 31 2 2" xfId="2596" xr:uid="{82DDCD79-E81C-42EB-A73D-8CBC9CBE7C0C}"/>
    <cellStyle name="Normal 2 3 31 2 2 2" xfId="11441" xr:uid="{A6711005-7206-4DDD-94B5-33EE306F7D97}"/>
    <cellStyle name="Normal 2 3 31 2 3" xfId="2597" xr:uid="{ACE9D715-70D8-47E1-84B5-1751322E3353}"/>
    <cellStyle name="Normal 2 3 31 2 3 2" xfId="11442" xr:uid="{5EE134D9-EB49-4DBF-8C06-4F1AB3786A64}"/>
    <cellStyle name="Normal 2 3 31 2 4" xfId="11440" xr:uid="{7A3D20A6-E540-45C0-A9EF-A185E4CF7AE0}"/>
    <cellStyle name="Normal 2 3 31 3" xfId="2598" xr:uid="{BDCA675F-DC87-48FF-B2D2-C5C616B8CDE7}"/>
    <cellStyle name="Normal 2 3 31 3 2" xfId="11443" xr:uid="{D986D0F4-DE46-4E66-9622-6F6C1FD1FAD3}"/>
    <cellStyle name="Normal 2 3 31 4" xfId="2599" xr:uid="{7FEB6FD5-7EB1-42D7-B67B-F0F0317BCB66}"/>
    <cellStyle name="Normal 2 3 31 4 2" xfId="11444" xr:uid="{A3239A4A-AD65-4FEE-8D60-B29A3E335EA3}"/>
    <cellStyle name="Normal 2 3 31 5" xfId="11439" xr:uid="{0DE3B0AA-9823-4D1D-B02D-CF454560903D}"/>
    <cellStyle name="Normal 2 3 32" xfId="2600" xr:uid="{13D6E8BB-8FDF-4A59-A6A2-9B1CE48FC20C}"/>
    <cellStyle name="Normal 2 3 32 2" xfId="2601" xr:uid="{B20A6463-3D50-4564-8325-53C80F85320A}"/>
    <cellStyle name="Normal 2 3 32 2 2" xfId="2602" xr:uid="{61F65FC0-B8FD-4297-A3DC-F3AEFC970636}"/>
    <cellStyle name="Normal 2 3 32 2 2 2" xfId="11447" xr:uid="{187A2AE4-5B13-4B93-A29B-202FBC055450}"/>
    <cellStyle name="Normal 2 3 32 2 3" xfId="2603" xr:uid="{E28157CA-3A2B-4E5C-A07A-64333309CA0F}"/>
    <cellStyle name="Normal 2 3 32 2 3 2" xfId="11448" xr:uid="{9E3892A1-2FA3-400F-A6C2-47985AD988AC}"/>
    <cellStyle name="Normal 2 3 32 2 4" xfId="11446" xr:uid="{3319F1CA-4ABB-48F4-B960-8EF341537E0A}"/>
    <cellStyle name="Normal 2 3 32 3" xfId="2604" xr:uid="{735C000E-DE57-4D28-9480-16E1433A83FE}"/>
    <cellStyle name="Normal 2 3 32 3 2" xfId="11449" xr:uid="{B8A2FA6E-9397-41E0-B189-CF6C9A07FEA7}"/>
    <cellStyle name="Normal 2 3 32 4" xfId="2605" xr:uid="{8BB295CB-95C4-497F-9D98-FBF28996D446}"/>
    <cellStyle name="Normal 2 3 32 4 2" xfId="11450" xr:uid="{99706086-D920-42C8-AB3B-746FD54A1F76}"/>
    <cellStyle name="Normal 2 3 32 5" xfId="11445" xr:uid="{8A95A522-977F-4D0A-A767-AF65DE09EDC4}"/>
    <cellStyle name="Normal 2 3 33" xfId="2606" xr:uid="{7FEBE44E-8479-4847-A8D3-C3EBC6113ED0}"/>
    <cellStyle name="Normal 2 3 33 2" xfId="2607" xr:uid="{2A0568BF-ABFD-4CF0-897E-5F12C3AB56CF}"/>
    <cellStyle name="Normal 2 3 33 2 2" xfId="2608" xr:uid="{3F0B7FAF-7089-4204-B345-87A9E11E94EF}"/>
    <cellStyle name="Normal 2 3 33 2 2 2" xfId="11453" xr:uid="{DF65DBD6-DE7D-42B7-AC26-20FAFD063B83}"/>
    <cellStyle name="Normal 2 3 33 2 3" xfId="2609" xr:uid="{B542647E-AF79-482F-8035-E9F60733D8DF}"/>
    <cellStyle name="Normal 2 3 33 2 3 2" xfId="11454" xr:uid="{196B22E2-FF5F-464F-84EC-DC58D3A8ECCA}"/>
    <cellStyle name="Normal 2 3 33 2 4" xfId="11452" xr:uid="{F9E92A64-4CBF-40B5-AEDF-7DEF6AAFC55D}"/>
    <cellStyle name="Normal 2 3 33 3" xfId="2610" xr:uid="{147CE43F-A20F-45E7-AAA5-BDE00320206A}"/>
    <cellStyle name="Normal 2 3 33 3 2" xfId="11455" xr:uid="{75D1AEC7-A756-4184-B4F1-F632F7859480}"/>
    <cellStyle name="Normal 2 3 33 4" xfId="2611" xr:uid="{3FBEE85A-75F4-4651-96E4-12FC972273A2}"/>
    <cellStyle name="Normal 2 3 33 4 2" xfId="11456" xr:uid="{C0A7A522-4C75-452D-9ED4-11E8C595293D}"/>
    <cellStyle name="Normal 2 3 33 5" xfId="11451" xr:uid="{095C934D-2579-4EEE-8089-BF4AEE083295}"/>
    <cellStyle name="Normal 2 3 34" xfId="2612" xr:uid="{F5A9F584-C0E3-44AC-97B7-D099EEFAED71}"/>
    <cellStyle name="Normal 2 3 34 2" xfId="2613" xr:uid="{4095B810-C51F-4C61-8DA8-5AD3F4D6BE7D}"/>
    <cellStyle name="Normal 2 3 34 2 2" xfId="2614" xr:uid="{301944C8-FDAA-4A4B-B0F3-D8B75559590E}"/>
    <cellStyle name="Normal 2 3 34 2 2 2" xfId="11459" xr:uid="{B1071D92-753F-48C6-AB71-C90EBE115CBF}"/>
    <cellStyle name="Normal 2 3 34 2 3" xfId="2615" xr:uid="{A40DEBC7-9029-4645-8F91-7695D1E4BA20}"/>
    <cellStyle name="Normal 2 3 34 2 3 2" xfId="11460" xr:uid="{6906A449-A729-4F11-BD51-C73F1A3B56F2}"/>
    <cellStyle name="Normal 2 3 34 2 4" xfId="11458" xr:uid="{B751DCBE-8715-4BA7-B3CB-91740F71E8EF}"/>
    <cellStyle name="Normal 2 3 34 3" xfId="2616" xr:uid="{0EFD59D3-9EC3-49B7-90C1-6DC0195222A0}"/>
    <cellStyle name="Normal 2 3 34 3 2" xfId="11461" xr:uid="{37AF4EB8-488D-47F5-8C18-5DCA16F51A78}"/>
    <cellStyle name="Normal 2 3 34 4" xfId="2617" xr:uid="{7D4C71D3-CC4A-42E7-BA90-A05A0DE9D711}"/>
    <cellStyle name="Normal 2 3 34 4 2" xfId="11462" xr:uid="{62844D15-A4BA-41EB-8EC1-4686F7C51C29}"/>
    <cellStyle name="Normal 2 3 34 5" xfId="11457" xr:uid="{E632E933-FB03-4A3D-BFD0-843312CF3381}"/>
    <cellStyle name="Normal 2 3 35" xfId="2618" xr:uid="{99CD8B44-265E-4222-9D23-DC85B544F144}"/>
    <cellStyle name="Normal 2 3 35 2" xfId="2619" xr:uid="{7AA1C360-0AED-4461-B9D8-535748705720}"/>
    <cellStyle name="Normal 2 3 35 2 2" xfId="2620" xr:uid="{5B008E00-BADD-401F-BD14-C2EA0334E953}"/>
    <cellStyle name="Normal 2 3 35 2 2 2" xfId="11465" xr:uid="{1D06A3D4-5966-44E4-A719-5DD04C28E57C}"/>
    <cellStyle name="Normal 2 3 35 2 3" xfId="2621" xr:uid="{015B541C-D3BA-41D4-9687-D85AC56B3917}"/>
    <cellStyle name="Normal 2 3 35 2 3 2" xfId="11466" xr:uid="{82B69A21-1B2F-472B-B243-449CF5A117E8}"/>
    <cellStyle name="Normal 2 3 35 2 4" xfId="11464" xr:uid="{85FF9F09-94E3-4E6C-A8C2-5735C13393E4}"/>
    <cellStyle name="Normal 2 3 35 3" xfId="2622" xr:uid="{807D8BFC-673D-4BA1-ADC5-01F905EFBE2F}"/>
    <cellStyle name="Normal 2 3 35 3 2" xfId="11467" xr:uid="{6B8E074C-474A-4E35-900C-814FA2212C90}"/>
    <cellStyle name="Normal 2 3 35 4" xfId="2623" xr:uid="{785C5F67-F718-4CDD-B70E-40661B97BE45}"/>
    <cellStyle name="Normal 2 3 35 4 2" xfId="11468" xr:uid="{3A57CD9A-E0BF-4FF4-AC6D-5E1C938BDFD1}"/>
    <cellStyle name="Normal 2 3 35 5" xfId="11463" xr:uid="{F87FA1FE-F453-4C3A-82E9-9E7C9FB39334}"/>
    <cellStyle name="Normal 2 3 36" xfId="2624" xr:uid="{15AE4430-47F6-42F8-8221-0C703652E720}"/>
    <cellStyle name="Normal 2 3 36 2" xfId="2625" xr:uid="{5A11854C-6D16-4884-BBB0-B0594E6888A2}"/>
    <cellStyle name="Normal 2 3 36 2 2" xfId="2626" xr:uid="{1EB83A15-CB62-4B15-ADD3-8B94779B1C10}"/>
    <cellStyle name="Normal 2 3 36 2 2 2" xfId="11471" xr:uid="{85B555BA-4260-484A-8E62-36205A5A3341}"/>
    <cellStyle name="Normal 2 3 36 2 3" xfId="2627" xr:uid="{31197C56-396F-4716-A36B-C99017B9B158}"/>
    <cellStyle name="Normal 2 3 36 2 3 2" xfId="11472" xr:uid="{AB55CFD9-9B59-4EB6-AD09-6A5C7992009B}"/>
    <cellStyle name="Normal 2 3 36 2 4" xfId="11470" xr:uid="{020F83A4-F220-4C27-B809-A9462D942619}"/>
    <cellStyle name="Normal 2 3 36 3" xfId="2628" xr:uid="{76F6CE01-2BA0-4B9C-AB4A-7B715978A66D}"/>
    <cellStyle name="Normal 2 3 36 3 2" xfId="11473" xr:uid="{5CBD0D16-E4CF-4D90-BEB0-BE34DC815EC0}"/>
    <cellStyle name="Normal 2 3 36 4" xfId="2629" xr:uid="{1544D0BA-0538-4E23-8ED3-76889E53A549}"/>
    <cellStyle name="Normal 2 3 36 4 2" xfId="11474" xr:uid="{5A2A41BB-4386-4A15-83D0-FC46F6E1DEDC}"/>
    <cellStyle name="Normal 2 3 36 5" xfId="11469" xr:uid="{69AE1FBB-9690-490C-8428-124657527C87}"/>
    <cellStyle name="Normal 2 3 37" xfId="2630" xr:uid="{27A1E3A9-3D7E-45F3-AA57-FCC35C539CB4}"/>
    <cellStyle name="Normal 2 3 37 2" xfId="2631" xr:uid="{940061BC-868F-48BF-9984-28173E793601}"/>
    <cellStyle name="Normal 2 3 37 2 2" xfId="2632" xr:uid="{85FE7C4D-6C93-4B16-B008-00F48FE2521F}"/>
    <cellStyle name="Normal 2 3 37 2 2 2" xfId="11477" xr:uid="{46C818AE-0A42-4D90-BC4E-2437357484B1}"/>
    <cellStyle name="Normal 2 3 37 2 3" xfId="2633" xr:uid="{1B7786EA-AA61-4A10-A23D-555958356A0F}"/>
    <cellStyle name="Normal 2 3 37 2 3 2" xfId="11478" xr:uid="{39297447-97B0-489B-B2ED-58091DDA4523}"/>
    <cellStyle name="Normal 2 3 37 2 4" xfId="11476" xr:uid="{9E53BBD0-1578-43E7-BE1A-96575458379C}"/>
    <cellStyle name="Normal 2 3 37 3" xfId="2634" xr:uid="{729554EF-CABD-49AF-B7BD-0AAEC981793C}"/>
    <cellStyle name="Normal 2 3 37 3 2" xfId="11479" xr:uid="{4DB8D5B5-693B-4E03-B33A-72530963EB10}"/>
    <cellStyle name="Normal 2 3 37 4" xfId="2635" xr:uid="{D8AE9A03-DDFB-40E9-BF96-FC1736313F21}"/>
    <cellStyle name="Normal 2 3 37 4 2" xfId="11480" xr:uid="{9821CC05-35E7-46D1-9A00-C3C22AF16FBD}"/>
    <cellStyle name="Normal 2 3 37 5" xfId="11475" xr:uid="{470A1BB5-3DAC-43BB-93AC-AD3D2C21B725}"/>
    <cellStyle name="Normal 2 3 38" xfId="2636" xr:uid="{7B102A7A-62DB-411A-8C6C-AA58C1127DDD}"/>
    <cellStyle name="Normal 2 3 38 2" xfId="2637" xr:uid="{54F78A88-6E88-451F-9F26-E9F33C2C9154}"/>
    <cellStyle name="Normal 2 3 38 2 2" xfId="2638" xr:uid="{B6954296-3C72-4F1A-9232-43ADC571408E}"/>
    <cellStyle name="Normal 2 3 38 2 2 2" xfId="11483" xr:uid="{2F3FE90D-B908-4881-8342-ECE9D32EA5AF}"/>
    <cellStyle name="Normal 2 3 38 2 3" xfId="2639" xr:uid="{5059F092-850D-404A-983B-6617BC32C360}"/>
    <cellStyle name="Normal 2 3 38 2 3 2" xfId="11484" xr:uid="{7FCCDF5B-05B1-471A-B624-A7BB1973FDE3}"/>
    <cellStyle name="Normal 2 3 38 2 4" xfId="11482" xr:uid="{71FA7C4B-C562-4D1F-9310-62C4DCD1EC35}"/>
    <cellStyle name="Normal 2 3 38 3" xfId="2640" xr:uid="{3B26CDFF-4B36-45F8-B672-6A3075AA4075}"/>
    <cellStyle name="Normal 2 3 38 3 2" xfId="11485" xr:uid="{28857FD7-432A-4E1F-A5EA-FE3FED727AAB}"/>
    <cellStyle name="Normal 2 3 38 4" xfId="2641" xr:uid="{289B57FC-A2B8-4A7F-A393-4C40D393F6DB}"/>
    <cellStyle name="Normal 2 3 38 4 2" xfId="11486" xr:uid="{2DF2634F-20B2-454F-8AF5-2EBC47E807DB}"/>
    <cellStyle name="Normal 2 3 38 5" xfId="11481" xr:uid="{15AAE20B-0675-43B4-8379-EBDF3EF333AF}"/>
    <cellStyle name="Normal 2 3 39" xfId="2642" xr:uid="{9E571239-4420-47BD-85E9-2019FB1597DC}"/>
    <cellStyle name="Normal 2 3 39 2" xfId="2643" xr:uid="{B32FCE27-032C-4347-9DC4-22EB85C78C34}"/>
    <cellStyle name="Normal 2 3 39 2 2" xfId="2644" xr:uid="{8425536B-D1D0-4952-AB01-BC362CCFEB17}"/>
    <cellStyle name="Normal 2 3 39 2 2 2" xfId="11489" xr:uid="{8CDF6512-9E98-4ECE-98F9-6380EF8195B4}"/>
    <cellStyle name="Normal 2 3 39 2 3" xfId="2645" xr:uid="{30D2FA79-913E-4752-B162-7100EA0F9CD8}"/>
    <cellStyle name="Normal 2 3 39 2 3 2" xfId="11490" xr:uid="{6513C983-5DD3-4441-A65D-98295519B8F1}"/>
    <cellStyle name="Normal 2 3 39 2 4" xfId="11488" xr:uid="{D05F39FA-04F3-4296-B2BE-AAB63EE1051D}"/>
    <cellStyle name="Normal 2 3 39 3" xfId="2646" xr:uid="{5A586D81-29E2-4F25-839E-F3BA805EFD27}"/>
    <cellStyle name="Normal 2 3 39 3 2" xfId="11491" xr:uid="{B4F05E4E-CD87-4E0A-93E7-B504481072AB}"/>
    <cellStyle name="Normal 2 3 39 4" xfId="2647" xr:uid="{84154589-1522-446F-907F-25F8A6012DAC}"/>
    <cellStyle name="Normal 2 3 39 4 2" xfId="11492" xr:uid="{D5FCAFBE-0F42-4C40-B19A-415B737DDBF7}"/>
    <cellStyle name="Normal 2 3 39 5" xfId="11487" xr:uid="{BA9F7324-E22A-4FD3-A607-49140F5B3E75}"/>
    <cellStyle name="Normal 2 3 4" xfId="2648" xr:uid="{1D5D1ECA-A7A5-43DE-9AC5-3699EBA5D171}"/>
    <cellStyle name="Normal 2 3 4 10" xfId="2649" xr:uid="{02FB0FD9-5788-4198-A0AB-68C248537F24}"/>
    <cellStyle name="Normal 2 3 4 10 2" xfId="2650" xr:uid="{51A3AC10-BADA-49D9-9B42-6A696FF98F14}"/>
    <cellStyle name="Normal 2 3 4 10 2 2" xfId="2651" xr:uid="{5A9FFF2B-B364-4262-8AAD-CD46DF04D6B2}"/>
    <cellStyle name="Normal 2 3 4 10 2 2 2" xfId="11496" xr:uid="{B56EE2D0-9709-4E70-899F-8E89A1539845}"/>
    <cellStyle name="Normal 2 3 4 10 2 3" xfId="2652" xr:uid="{6EF9DE7C-7FCF-4861-B3EB-66C48A8D11A9}"/>
    <cellStyle name="Normal 2 3 4 10 2 3 2" xfId="11497" xr:uid="{F41CF3BF-AFEE-4964-BFE6-718A703E39B7}"/>
    <cellStyle name="Normal 2 3 4 10 2 4" xfId="11495" xr:uid="{553A31D3-DDCB-471F-A0A2-0AD284D9A41A}"/>
    <cellStyle name="Normal 2 3 4 10 3" xfId="2653" xr:uid="{4EBC635D-152F-49EC-814D-52B59F7148BA}"/>
    <cellStyle name="Normal 2 3 4 10 3 2" xfId="11498" xr:uid="{5F431B54-332D-4362-A3F9-572675DFA3C1}"/>
    <cellStyle name="Normal 2 3 4 10 4" xfId="2654" xr:uid="{F8C3EFA1-D103-4B34-9622-0D2609867099}"/>
    <cellStyle name="Normal 2 3 4 10 4 2" xfId="11499" xr:uid="{042A0219-1511-42BF-B855-BBD922F65163}"/>
    <cellStyle name="Normal 2 3 4 10 5" xfId="11494" xr:uid="{FED814E4-6739-4CC1-BE57-DB45B74104FE}"/>
    <cellStyle name="Normal 2 3 4 11" xfId="2655" xr:uid="{8191E03F-8DF6-4770-B7F3-668F9BBEC7BF}"/>
    <cellStyle name="Normal 2 3 4 11 2" xfId="2656" xr:uid="{1FA8804F-B0EB-4A13-89E7-E56B8C079F1F}"/>
    <cellStyle name="Normal 2 3 4 11 2 2" xfId="2657" xr:uid="{39484C3B-7863-44A1-9875-EE6A2D967860}"/>
    <cellStyle name="Normal 2 3 4 11 2 2 2" xfId="11502" xr:uid="{BAB902BE-B11C-4757-BADA-3B917F10B974}"/>
    <cellStyle name="Normal 2 3 4 11 2 3" xfId="2658" xr:uid="{90FB947B-D9F5-49E2-B84E-9002425D3A98}"/>
    <cellStyle name="Normal 2 3 4 11 2 3 2" xfId="11503" xr:uid="{2D25B9F5-52CA-41E7-8144-B381E4FF44AB}"/>
    <cellStyle name="Normal 2 3 4 11 2 4" xfId="11501" xr:uid="{29B0957D-32CA-43B9-852B-622F8C6F24E1}"/>
    <cellStyle name="Normal 2 3 4 11 3" xfId="2659" xr:uid="{6DBE6499-4919-4E04-B69E-5BE1C5FA3B68}"/>
    <cellStyle name="Normal 2 3 4 11 3 2" xfId="11504" xr:uid="{71D78D67-EF43-46E7-9350-C31D0D34C35E}"/>
    <cellStyle name="Normal 2 3 4 11 4" xfId="2660" xr:uid="{EB8C1B68-75D8-4960-A7A9-441194491C0F}"/>
    <cellStyle name="Normal 2 3 4 11 4 2" xfId="11505" xr:uid="{0EE9ECF3-1D20-45F0-B5C0-9F14809A64C5}"/>
    <cellStyle name="Normal 2 3 4 11 5" xfId="11500" xr:uid="{7137FA6C-327A-42ED-9BCE-2CCE61E72FBF}"/>
    <cellStyle name="Normal 2 3 4 12" xfId="2661" xr:uid="{2C0762D5-B023-441B-B0BE-200C2D301F7E}"/>
    <cellStyle name="Normal 2 3 4 12 2" xfId="2662" xr:uid="{B6736A2E-65F1-4835-9286-D96BE7FE488A}"/>
    <cellStyle name="Normal 2 3 4 12 2 2" xfId="2663" xr:uid="{C207C594-DFBC-4FFB-8E6B-B1BA950BA632}"/>
    <cellStyle name="Normal 2 3 4 12 2 2 2" xfId="11508" xr:uid="{B94D4114-8BCC-4814-BD7D-21FE9E2AA609}"/>
    <cellStyle name="Normal 2 3 4 12 2 3" xfId="2664" xr:uid="{C888D177-063C-407B-865D-E33385A6522E}"/>
    <cellStyle name="Normal 2 3 4 12 2 3 2" xfId="11509" xr:uid="{8FBE65A6-F93E-4391-A2CC-E21AEFEEC5E1}"/>
    <cellStyle name="Normal 2 3 4 12 2 4" xfId="11507" xr:uid="{180C9F33-1E4A-471A-8AA6-F5EA6E76923B}"/>
    <cellStyle name="Normal 2 3 4 12 3" xfId="2665" xr:uid="{CAECC568-E9F7-4812-B82D-1981F17A2BC7}"/>
    <cellStyle name="Normal 2 3 4 12 3 2" xfId="11510" xr:uid="{A772F333-198A-4A2E-ADC2-4196AE6F317E}"/>
    <cellStyle name="Normal 2 3 4 12 4" xfId="2666" xr:uid="{16B764BA-D7DA-45EE-8151-84B48E543832}"/>
    <cellStyle name="Normal 2 3 4 12 4 2" xfId="11511" xr:uid="{82BA6673-A8CA-4939-86C5-9057ADABCEEC}"/>
    <cellStyle name="Normal 2 3 4 12 5" xfId="11506" xr:uid="{533CAC9F-60C3-45E4-B58C-C16D2A83FA71}"/>
    <cellStyle name="Normal 2 3 4 13" xfId="2667" xr:uid="{D40EB8D9-7671-4B54-B071-6AE5BBC65D39}"/>
    <cellStyle name="Normal 2 3 4 13 2" xfId="2668" xr:uid="{B147750A-EAED-4FC9-8FD2-C69AD1D9499D}"/>
    <cellStyle name="Normal 2 3 4 13 2 2" xfId="2669" xr:uid="{44472D1F-91DB-4A0C-833C-14C464C6755D}"/>
    <cellStyle name="Normal 2 3 4 13 2 2 2" xfId="11514" xr:uid="{E788B53B-AAA8-4E64-AAD8-9227D5CFB383}"/>
    <cellStyle name="Normal 2 3 4 13 2 3" xfId="2670" xr:uid="{AB5B0B3E-DB14-40BF-9460-779A02906C2D}"/>
    <cellStyle name="Normal 2 3 4 13 2 3 2" xfId="11515" xr:uid="{B386D6FE-3F1E-4A10-B98C-96446DB8E9E6}"/>
    <cellStyle name="Normal 2 3 4 13 2 4" xfId="11513" xr:uid="{AA69340E-B7BB-40CA-A37A-A3225657190D}"/>
    <cellStyle name="Normal 2 3 4 13 3" xfId="2671" xr:uid="{6FAE417D-9260-48B5-8C4D-8A9C6E55EC72}"/>
    <cellStyle name="Normal 2 3 4 13 3 2" xfId="11516" xr:uid="{BDECB31A-9398-4208-A58F-7B494226C1C6}"/>
    <cellStyle name="Normal 2 3 4 13 4" xfId="2672" xr:uid="{51FE7898-359D-4AD3-8D30-8483D3D4403A}"/>
    <cellStyle name="Normal 2 3 4 13 4 2" xfId="11517" xr:uid="{410FFF7E-E3F2-436A-8DEA-6B07A5543583}"/>
    <cellStyle name="Normal 2 3 4 13 5" xfId="11512" xr:uid="{26502D70-5EF5-4836-AE19-F2E19DC831C7}"/>
    <cellStyle name="Normal 2 3 4 14" xfId="2673" xr:uid="{CB1AC822-43E6-4B66-9D17-4593C353D298}"/>
    <cellStyle name="Normal 2 3 4 14 2" xfId="2674" xr:uid="{2AE27233-C0C7-4CCB-AA85-A2C5908E731C}"/>
    <cellStyle name="Normal 2 3 4 14 2 2" xfId="2675" xr:uid="{0C933D86-D84F-4ED4-95BD-053FA7835FC4}"/>
    <cellStyle name="Normal 2 3 4 14 2 2 2" xfId="11520" xr:uid="{4F88667D-A1C3-4946-BEC2-A804552140B2}"/>
    <cellStyle name="Normal 2 3 4 14 2 3" xfId="2676" xr:uid="{11860371-8EF5-4642-9F22-4DB5D46F1940}"/>
    <cellStyle name="Normal 2 3 4 14 2 3 2" xfId="11521" xr:uid="{7DA9D5C5-543C-4E62-8EB3-2387A1DC7BB5}"/>
    <cellStyle name="Normal 2 3 4 14 2 4" xfId="11519" xr:uid="{85E0CFCF-3E42-438D-ABDA-0004FC4BD24B}"/>
    <cellStyle name="Normal 2 3 4 14 3" xfId="2677" xr:uid="{AA54C8C8-08F5-42CB-8242-F80B2D29AE7C}"/>
    <cellStyle name="Normal 2 3 4 14 3 2" xfId="11522" xr:uid="{C33371D3-0C0C-4226-8D8E-8B1EC446BCCD}"/>
    <cellStyle name="Normal 2 3 4 14 4" xfId="2678" xr:uid="{4AB03FA1-154B-4AB6-9768-A6D5F320C404}"/>
    <cellStyle name="Normal 2 3 4 14 4 2" xfId="11523" xr:uid="{2E8569C4-D1A6-48AE-BFE9-13B3FD4A3C8D}"/>
    <cellStyle name="Normal 2 3 4 14 5" xfId="11518" xr:uid="{819FB41B-180C-4016-BC3E-B97DDF0ECBE8}"/>
    <cellStyle name="Normal 2 3 4 15" xfId="2679" xr:uid="{FFB2AE4A-4AE2-4BD8-8D86-3900E506BD0D}"/>
    <cellStyle name="Normal 2 3 4 15 2" xfId="2680" xr:uid="{904EF11E-AD20-4980-8599-088573661D43}"/>
    <cellStyle name="Normal 2 3 4 15 2 2" xfId="2681" xr:uid="{B50B41C2-DBA2-46EC-978F-216FFB70FB82}"/>
    <cellStyle name="Normal 2 3 4 15 2 2 2" xfId="11526" xr:uid="{2B4F2958-4977-4B95-9034-626C580D4718}"/>
    <cellStyle name="Normal 2 3 4 15 2 3" xfId="2682" xr:uid="{7EA2E05A-0504-41CE-AB2B-6CB3343668C4}"/>
    <cellStyle name="Normal 2 3 4 15 2 3 2" xfId="11527" xr:uid="{4BA18E1A-C4B4-4F49-961A-BB48A74B9465}"/>
    <cellStyle name="Normal 2 3 4 15 2 4" xfId="11525" xr:uid="{0C92A8AF-688D-4461-8ECA-268DA8EBE36B}"/>
    <cellStyle name="Normal 2 3 4 15 3" xfId="2683" xr:uid="{484989C9-9143-4FEE-8ECF-34459970EDFC}"/>
    <cellStyle name="Normal 2 3 4 15 3 2" xfId="11528" xr:uid="{4B89ED63-3963-4A11-AAE4-A0170F15C879}"/>
    <cellStyle name="Normal 2 3 4 15 4" xfId="2684" xr:uid="{ADEDA43C-289A-458E-AC0E-D4152C209DF5}"/>
    <cellStyle name="Normal 2 3 4 15 4 2" xfId="11529" xr:uid="{A5281D4C-E89D-4391-A4E2-04D21149AF02}"/>
    <cellStyle name="Normal 2 3 4 15 5" xfId="11524" xr:uid="{4A3B3060-90A8-4127-8401-C3EB95091220}"/>
    <cellStyle name="Normal 2 3 4 16" xfId="2685" xr:uid="{9FECBC6D-248C-4443-B197-BF544FBA5D50}"/>
    <cellStyle name="Normal 2 3 4 16 2" xfId="2686" xr:uid="{FAE52D18-2B51-4F91-B42D-1F394FDD8886}"/>
    <cellStyle name="Normal 2 3 4 16 2 2" xfId="2687" xr:uid="{259FB798-DA53-4606-B750-1B0A7A35ACB9}"/>
    <cellStyle name="Normal 2 3 4 16 2 2 2" xfId="11532" xr:uid="{371E0217-22B4-4712-A6A8-CDF8B8A3FF4F}"/>
    <cellStyle name="Normal 2 3 4 16 2 3" xfId="2688" xr:uid="{996B79EF-FE7C-4658-8370-E59092041270}"/>
    <cellStyle name="Normal 2 3 4 16 2 3 2" xfId="11533" xr:uid="{19850342-3249-40D1-82B9-9C1884E5360D}"/>
    <cellStyle name="Normal 2 3 4 16 2 4" xfId="11531" xr:uid="{54E5B853-430E-4AE5-B368-FCDE8227AE8C}"/>
    <cellStyle name="Normal 2 3 4 16 3" xfId="2689" xr:uid="{C2BE99EE-2B9D-4FF7-A9E2-FD1EB66B2EC6}"/>
    <cellStyle name="Normal 2 3 4 16 3 2" xfId="11534" xr:uid="{8532E9F6-699A-4D4D-AC19-1923B1D86ECE}"/>
    <cellStyle name="Normal 2 3 4 16 4" xfId="2690" xr:uid="{6555EDE9-7FC7-458E-9C01-236393B7BDE6}"/>
    <cellStyle name="Normal 2 3 4 16 4 2" xfId="11535" xr:uid="{E898EA3C-CDD8-4BCC-AFA4-6E4D8BA4C915}"/>
    <cellStyle name="Normal 2 3 4 16 5" xfId="11530" xr:uid="{460DCFD8-1362-4610-B0C1-9224AAB19FC0}"/>
    <cellStyle name="Normal 2 3 4 17" xfId="2691" xr:uid="{5B5926E3-5029-4380-A2F6-5DD46ED2A610}"/>
    <cellStyle name="Normal 2 3 4 17 2" xfId="2692" xr:uid="{3F9C1CE3-A77A-4517-8B47-968756F3AD67}"/>
    <cellStyle name="Normal 2 3 4 17 2 2" xfId="2693" xr:uid="{78441FC1-3C1B-4217-938A-9925AD5C8C80}"/>
    <cellStyle name="Normal 2 3 4 17 2 2 2" xfId="11538" xr:uid="{7C9DE38B-19A9-4B55-A47E-5713D729A0EB}"/>
    <cellStyle name="Normal 2 3 4 17 2 3" xfId="2694" xr:uid="{A62E1FE2-20D5-452A-8172-A7A9966E3901}"/>
    <cellStyle name="Normal 2 3 4 17 2 3 2" xfId="11539" xr:uid="{9739EE89-160B-4875-BD8B-E726D9543AC6}"/>
    <cellStyle name="Normal 2 3 4 17 2 4" xfId="11537" xr:uid="{BF8F72C8-907B-4C28-A0FA-F0AA1C33B8C5}"/>
    <cellStyle name="Normal 2 3 4 17 3" xfId="2695" xr:uid="{D1A160D8-A4DA-412C-8B7F-67A876E25E2F}"/>
    <cellStyle name="Normal 2 3 4 17 3 2" xfId="11540" xr:uid="{66F51E9D-747D-4F39-A3E3-20D3FEB7587C}"/>
    <cellStyle name="Normal 2 3 4 17 4" xfId="2696" xr:uid="{F4D5D886-77A4-4683-BDD1-ADF4E799D94A}"/>
    <cellStyle name="Normal 2 3 4 17 4 2" xfId="11541" xr:uid="{C97EDE1B-E6FE-4F73-A637-4858A8E5CCE8}"/>
    <cellStyle name="Normal 2 3 4 17 5" xfId="11536" xr:uid="{CD4D61A6-A514-456A-9BE9-429E002D1EDF}"/>
    <cellStyle name="Normal 2 3 4 18" xfId="2697" xr:uid="{8662B10B-DB61-48A9-B3F4-E533085CB833}"/>
    <cellStyle name="Normal 2 3 4 18 2" xfId="2698" xr:uid="{4F320C69-948C-4647-8015-BB3328CBC013}"/>
    <cellStyle name="Normal 2 3 4 18 2 2" xfId="2699" xr:uid="{4D512FD2-627D-412B-BF55-F71DC9E2B67B}"/>
    <cellStyle name="Normal 2 3 4 18 2 2 2" xfId="11544" xr:uid="{A47951E3-E12F-4231-8F1E-8D0760CD80FD}"/>
    <cellStyle name="Normal 2 3 4 18 2 3" xfId="2700" xr:uid="{F29233C7-E1EC-40EE-B82E-53340DE81C97}"/>
    <cellStyle name="Normal 2 3 4 18 2 3 2" xfId="11545" xr:uid="{7E103C1A-5607-48CF-B6C7-3007BB9518C5}"/>
    <cellStyle name="Normal 2 3 4 18 2 4" xfId="11543" xr:uid="{25A74CFF-8C4F-4626-977F-3A946DAE717F}"/>
    <cellStyle name="Normal 2 3 4 18 3" xfId="2701" xr:uid="{90609C06-B9FA-4844-98D6-4A7264243B69}"/>
    <cellStyle name="Normal 2 3 4 18 3 2" xfId="11546" xr:uid="{36D0692A-59C9-44E3-BD10-895A3052E385}"/>
    <cellStyle name="Normal 2 3 4 18 4" xfId="2702" xr:uid="{57DA2FD5-4D43-4211-9544-D3AFC214880F}"/>
    <cellStyle name="Normal 2 3 4 18 4 2" xfId="11547" xr:uid="{E171E275-B40D-4A41-84E7-59A780D86356}"/>
    <cellStyle name="Normal 2 3 4 18 5" xfId="11542" xr:uid="{3843B8DF-2022-4C61-9B5B-600188A40551}"/>
    <cellStyle name="Normal 2 3 4 19" xfId="2703" xr:uid="{E227460F-4DEB-4918-A383-8C153031EB46}"/>
    <cellStyle name="Normal 2 3 4 19 2" xfId="2704" xr:uid="{DFB1D55C-11F7-466F-985D-AD80D0D4A531}"/>
    <cellStyle name="Normal 2 3 4 19 2 2" xfId="2705" xr:uid="{6D466A5F-2139-4279-8319-4B89E74F3AD7}"/>
    <cellStyle name="Normal 2 3 4 19 2 2 2" xfId="11550" xr:uid="{2CFAF29F-247A-49DA-8EFB-3B77BAC61D86}"/>
    <cellStyle name="Normal 2 3 4 19 2 3" xfId="2706" xr:uid="{00093029-0448-4DB3-9B9A-066CC16955CE}"/>
    <cellStyle name="Normal 2 3 4 19 2 3 2" xfId="11551" xr:uid="{B84FF9CE-5118-4B7C-8ED8-4D84736C2CCF}"/>
    <cellStyle name="Normal 2 3 4 19 2 4" xfId="11549" xr:uid="{C434FDAB-0C70-4623-B9B2-CB15D0E2BBA8}"/>
    <cellStyle name="Normal 2 3 4 19 3" xfId="2707" xr:uid="{EE254EF3-E2B6-41AF-9ECC-23B966B67157}"/>
    <cellStyle name="Normal 2 3 4 19 3 2" xfId="11552" xr:uid="{E72972C3-C2E7-412C-9107-580AA290CD9B}"/>
    <cellStyle name="Normal 2 3 4 19 4" xfId="2708" xr:uid="{93B948AC-C12C-4276-83A5-2CCDB0860A0F}"/>
    <cellStyle name="Normal 2 3 4 19 4 2" xfId="11553" xr:uid="{84B47C67-E1AC-4937-AB84-072DCC6FCDBB}"/>
    <cellStyle name="Normal 2 3 4 19 5" xfId="11548" xr:uid="{5159D309-3CA6-4830-8821-54F195541A13}"/>
    <cellStyle name="Normal 2 3 4 2" xfId="2709" xr:uid="{02DD5CBF-9C79-470F-8F12-ED4197C36448}"/>
    <cellStyle name="Normal 2 3 4 2 2" xfId="2710" xr:uid="{8853D9D2-3EC8-429E-B0F7-5753C4CAEA0F}"/>
    <cellStyle name="Normal 2 3 4 2 2 2" xfId="2711" xr:uid="{8818486C-BF22-44AC-AEAF-81B2733CECE6}"/>
    <cellStyle name="Normal 2 3 4 2 2 2 2" xfId="11556" xr:uid="{F7B970AA-6466-4F18-B763-2244BC1AAE41}"/>
    <cellStyle name="Normal 2 3 4 2 2 3" xfId="2712" xr:uid="{DA1F153A-9CBC-4CF8-9B8C-6D82D22A4F6A}"/>
    <cellStyle name="Normal 2 3 4 2 2 3 2" xfId="11557" xr:uid="{39FDF537-E28B-4510-8208-398B1CF1EA49}"/>
    <cellStyle name="Normal 2 3 4 2 2 4" xfId="11555" xr:uid="{B34D4739-18C5-437C-9E47-B7DC8A209CC8}"/>
    <cellStyle name="Normal 2 3 4 2 3" xfId="2713" xr:uid="{BEF48B23-3149-44C6-B1E3-2D997CB86F47}"/>
    <cellStyle name="Normal 2 3 4 2 3 2" xfId="11558" xr:uid="{A87AB355-C6C0-4F11-8C08-5AEC2A95FAE0}"/>
    <cellStyle name="Normal 2 3 4 2 4" xfId="2714" xr:uid="{DC78D501-9152-4676-BD52-25DD9DBDA9B1}"/>
    <cellStyle name="Normal 2 3 4 2 4 2" xfId="11559" xr:uid="{F2829998-CB3A-4DE6-8139-2E9877FAEB7A}"/>
    <cellStyle name="Normal 2 3 4 2 5" xfId="11554" xr:uid="{AC1908FA-E71F-4423-BE10-C7829D3EA096}"/>
    <cellStyle name="Normal 2 3 4 20" xfId="2715" xr:uid="{57F45B75-88CA-4340-870D-6272A5CA3928}"/>
    <cellStyle name="Normal 2 3 4 20 2" xfId="2716" xr:uid="{294E8FCF-F6D0-4A6E-AD5B-A1637F9BAEFC}"/>
    <cellStyle name="Normal 2 3 4 20 2 2" xfId="2717" xr:uid="{0E01CAF5-9C50-4D46-8D6E-2064652987CD}"/>
    <cellStyle name="Normal 2 3 4 20 2 2 2" xfId="11562" xr:uid="{8200BC93-6C04-4473-ADB3-769D4E27573C}"/>
    <cellStyle name="Normal 2 3 4 20 2 3" xfId="2718" xr:uid="{1E473993-A6ED-4201-A7C3-9EB05AF66DFF}"/>
    <cellStyle name="Normal 2 3 4 20 2 3 2" xfId="11563" xr:uid="{46ECA02D-2628-49D1-A616-99D50E917BB4}"/>
    <cellStyle name="Normal 2 3 4 20 2 4" xfId="11561" xr:uid="{5A87CA21-9595-42F3-8D87-5DC5E66A6904}"/>
    <cellStyle name="Normal 2 3 4 20 3" xfId="2719" xr:uid="{D6D83343-5B0C-463E-8E97-AA4564281A14}"/>
    <cellStyle name="Normal 2 3 4 20 3 2" xfId="11564" xr:uid="{EEABD461-DB24-475D-8D41-D40831469EE6}"/>
    <cellStyle name="Normal 2 3 4 20 4" xfId="2720" xr:uid="{9C2DD984-0DCC-4EFC-9F72-A147EA540B24}"/>
    <cellStyle name="Normal 2 3 4 20 4 2" xfId="11565" xr:uid="{3DE7B86C-1783-441B-BCEC-C1B4363EAB8F}"/>
    <cellStyle name="Normal 2 3 4 20 5" xfId="11560" xr:uid="{64E0CF0C-96F2-47DC-99E2-F208853D3141}"/>
    <cellStyle name="Normal 2 3 4 21" xfId="2721" xr:uid="{0A840010-FC40-4F42-8343-F6875439E34D}"/>
    <cellStyle name="Normal 2 3 4 21 2" xfId="2722" xr:uid="{05583C78-4BC9-4E50-855F-E9403F61A332}"/>
    <cellStyle name="Normal 2 3 4 21 2 2" xfId="2723" xr:uid="{1A474FDD-7678-4E95-B727-984192540820}"/>
    <cellStyle name="Normal 2 3 4 21 2 2 2" xfId="11568" xr:uid="{376980FF-A03B-4F3A-BCB4-D14D2E38F46A}"/>
    <cellStyle name="Normal 2 3 4 21 2 3" xfId="2724" xr:uid="{4CA3F337-48DC-4E5B-8F8A-E5271295F617}"/>
    <cellStyle name="Normal 2 3 4 21 2 3 2" xfId="11569" xr:uid="{5B02E243-88A4-401D-A0AE-E8815C487561}"/>
    <cellStyle name="Normal 2 3 4 21 2 4" xfId="11567" xr:uid="{89448227-18BC-4505-9C51-4C2BA005E87B}"/>
    <cellStyle name="Normal 2 3 4 21 3" xfId="2725" xr:uid="{8931E051-D369-4840-B718-47F099D26F82}"/>
    <cellStyle name="Normal 2 3 4 21 3 2" xfId="11570" xr:uid="{457991CE-2A87-4FC0-81A6-420097DA430E}"/>
    <cellStyle name="Normal 2 3 4 21 4" xfId="2726" xr:uid="{BE5BECCF-A3BC-4729-9D6D-1AF1D46212AD}"/>
    <cellStyle name="Normal 2 3 4 21 4 2" xfId="11571" xr:uid="{B330C8AF-0A4B-4A12-B719-0C29AAD09F2C}"/>
    <cellStyle name="Normal 2 3 4 21 5" xfId="11566" xr:uid="{759C0B26-DF0D-4792-B36A-FF2ADD228377}"/>
    <cellStyle name="Normal 2 3 4 22" xfId="2727" xr:uid="{169D6B44-A196-4DCE-8957-88BA0E3D5EBD}"/>
    <cellStyle name="Normal 2 3 4 22 2" xfId="2728" xr:uid="{7BABBCAF-0BDA-4567-8711-421A076F390E}"/>
    <cellStyle name="Normal 2 3 4 22 2 2" xfId="2729" xr:uid="{BBBB9E41-B52C-4151-A820-D9C49036A600}"/>
    <cellStyle name="Normal 2 3 4 22 2 2 2" xfId="11574" xr:uid="{3DF7943C-D598-4A09-9998-D82D4576663F}"/>
    <cellStyle name="Normal 2 3 4 22 2 3" xfId="2730" xr:uid="{840D4482-6945-41BE-A3CF-D0851C03E4D4}"/>
    <cellStyle name="Normal 2 3 4 22 2 3 2" xfId="11575" xr:uid="{FEF5255B-3A53-4525-9B21-CD164132685A}"/>
    <cellStyle name="Normal 2 3 4 22 2 4" xfId="11573" xr:uid="{4A9AE6C3-04C2-4920-8023-0B68828437E9}"/>
    <cellStyle name="Normal 2 3 4 22 3" xfId="2731" xr:uid="{259CE1CD-3DC2-4893-ABB3-D4F6A07338B6}"/>
    <cellStyle name="Normal 2 3 4 22 3 2" xfId="11576" xr:uid="{6B420637-C89F-46E3-A1AE-0B6B9BBA05A8}"/>
    <cellStyle name="Normal 2 3 4 22 4" xfId="2732" xr:uid="{29992AAB-5E41-4D0A-AC8D-CD6B431BAC8C}"/>
    <cellStyle name="Normal 2 3 4 22 4 2" xfId="11577" xr:uid="{AECF4FE1-FA98-4F91-9E0C-F5D2F8E7B8F1}"/>
    <cellStyle name="Normal 2 3 4 22 5" xfId="11572" xr:uid="{42A82388-2179-40FF-9C4A-5A8D19E9A424}"/>
    <cellStyle name="Normal 2 3 4 23" xfId="2733" xr:uid="{A8FE5DD4-BA39-4D10-944E-BD41A0BCBF57}"/>
    <cellStyle name="Normal 2 3 4 23 2" xfId="2734" xr:uid="{6F4E67AE-9102-4ED5-8BB6-FB1B28067231}"/>
    <cellStyle name="Normal 2 3 4 23 2 2" xfId="2735" xr:uid="{9D281237-B573-42B8-9732-5D15E63DB718}"/>
    <cellStyle name="Normal 2 3 4 23 2 2 2" xfId="11580" xr:uid="{0A624F04-690D-4166-849F-AF6CDB0839B4}"/>
    <cellStyle name="Normal 2 3 4 23 2 3" xfId="2736" xr:uid="{0DB1B45C-5B6C-41D5-815D-1F7CCF48D23D}"/>
    <cellStyle name="Normal 2 3 4 23 2 3 2" xfId="11581" xr:uid="{C12EEAD8-40ED-40F3-B36F-D4A12C88CE46}"/>
    <cellStyle name="Normal 2 3 4 23 2 4" xfId="11579" xr:uid="{007F97A5-AFC3-46A0-8E03-3226C270BC2C}"/>
    <cellStyle name="Normal 2 3 4 23 3" xfId="2737" xr:uid="{EF4116C9-CAF1-4833-B977-35E3AC2B70A3}"/>
    <cellStyle name="Normal 2 3 4 23 3 2" xfId="11582" xr:uid="{E090E448-BFFB-4BCA-ADC5-4B85BBD1D417}"/>
    <cellStyle name="Normal 2 3 4 23 4" xfId="2738" xr:uid="{FC39D984-2CBF-4390-AADA-2ACDC1B4AEDD}"/>
    <cellStyle name="Normal 2 3 4 23 4 2" xfId="11583" xr:uid="{880C12C0-5468-4D2F-A567-8E26E4FA605D}"/>
    <cellStyle name="Normal 2 3 4 23 5" xfId="11578" xr:uid="{AFA12273-2269-4ECC-B5E3-611336170B29}"/>
    <cellStyle name="Normal 2 3 4 24" xfId="2739" xr:uid="{E9A5B28F-0FD2-482F-8D94-A380614DF081}"/>
    <cellStyle name="Normal 2 3 4 24 2" xfId="2740" xr:uid="{D3857054-7879-4F0C-A152-FAF8DF38A5C6}"/>
    <cellStyle name="Normal 2 3 4 24 2 2" xfId="2741" xr:uid="{14E1916C-A5BC-4F89-9A19-D296EC7FD357}"/>
    <cellStyle name="Normal 2 3 4 24 2 2 2" xfId="11586" xr:uid="{1DEE9C9B-D4CB-4DAB-81E6-059CCD74744C}"/>
    <cellStyle name="Normal 2 3 4 24 2 3" xfId="2742" xr:uid="{04BCBA62-DF73-448C-9F84-ADF2475423C1}"/>
    <cellStyle name="Normal 2 3 4 24 2 3 2" xfId="11587" xr:uid="{E54E01EE-155C-47D4-AC84-D858CEABFD46}"/>
    <cellStyle name="Normal 2 3 4 24 2 4" xfId="11585" xr:uid="{993EA389-6E96-45EE-898E-9CDD1E25E443}"/>
    <cellStyle name="Normal 2 3 4 24 3" xfId="2743" xr:uid="{92108B66-2604-46E7-93C7-6D116A323488}"/>
    <cellStyle name="Normal 2 3 4 24 3 2" xfId="11588" xr:uid="{8DB70E8A-2A58-4420-80C2-4F29C0FF64B6}"/>
    <cellStyle name="Normal 2 3 4 24 4" xfId="2744" xr:uid="{5438301B-3040-4D9F-A886-FBB3412E74CA}"/>
    <cellStyle name="Normal 2 3 4 24 4 2" xfId="11589" xr:uid="{E70A7757-B76C-4643-BD72-60DA2AF22610}"/>
    <cellStyle name="Normal 2 3 4 24 5" xfId="11584" xr:uid="{BA1E5FD5-9A86-420E-8F7A-096D04A06682}"/>
    <cellStyle name="Normal 2 3 4 25" xfId="2745" xr:uid="{8C7ECE6C-EA9D-453E-9B18-3258F6AD454D}"/>
    <cellStyle name="Normal 2 3 4 25 2" xfId="2746" xr:uid="{904B3251-D01E-422C-A4D9-92BEB9863269}"/>
    <cellStyle name="Normal 2 3 4 25 2 2" xfId="2747" xr:uid="{42CD73D6-C918-4CE1-AFC8-F2FFBADFBE2F}"/>
    <cellStyle name="Normal 2 3 4 25 2 2 2" xfId="11592" xr:uid="{7268C58A-071E-4E98-973A-7CED555D76BD}"/>
    <cellStyle name="Normal 2 3 4 25 2 3" xfId="2748" xr:uid="{770E6AFB-7A57-4A3F-BF7F-47C52FB01A21}"/>
    <cellStyle name="Normal 2 3 4 25 2 3 2" xfId="11593" xr:uid="{29ACA35F-A806-417E-9F3C-FBE89BF42B6F}"/>
    <cellStyle name="Normal 2 3 4 25 2 4" xfId="11591" xr:uid="{16389C1B-F227-48E4-9C66-0051400D7AE8}"/>
    <cellStyle name="Normal 2 3 4 25 3" xfId="2749" xr:uid="{E1A074DD-40BC-4DA4-8139-ADB2DDB825B5}"/>
    <cellStyle name="Normal 2 3 4 25 3 2" xfId="11594" xr:uid="{547D3D40-701B-4B82-B450-50F142EC6FC8}"/>
    <cellStyle name="Normal 2 3 4 25 4" xfId="2750" xr:uid="{795A0482-2FF0-47DD-9029-317D1410BCDC}"/>
    <cellStyle name="Normal 2 3 4 25 4 2" xfId="11595" xr:uid="{29DA0A62-64B4-4123-871E-CE700BA2460C}"/>
    <cellStyle name="Normal 2 3 4 25 5" xfId="11590" xr:uid="{8C39DFAC-8C2E-4566-A2BA-41CA5A22989C}"/>
    <cellStyle name="Normal 2 3 4 26" xfId="2751" xr:uid="{09BB3440-EEB9-48B0-B3B8-0FF9CB1A3AFA}"/>
    <cellStyle name="Normal 2 3 4 26 2" xfId="2752" xr:uid="{8DB0E0A8-A96B-4852-8FE4-F3BE5C9C0188}"/>
    <cellStyle name="Normal 2 3 4 26 2 2" xfId="2753" xr:uid="{2D196324-E510-4D9B-9745-1F8D6189C2EA}"/>
    <cellStyle name="Normal 2 3 4 26 2 2 2" xfId="11598" xr:uid="{0E936645-B46A-42D7-B520-03B23C963810}"/>
    <cellStyle name="Normal 2 3 4 26 2 3" xfId="2754" xr:uid="{730EF174-4932-41F8-9786-DFF64AE03006}"/>
    <cellStyle name="Normal 2 3 4 26 2 3 2" xfId="11599" xr:uid="{A081F972-C365-465C-AEC5-4CEEA35D4FF4}"/>
    <cellStyle name="Normal 2 3 4 26 2 4" xfId="11597" xr:uid="{9365E4E9-9547-490A-94EF-44FE37614C43}"/>
    <cellStyle name="Normal 2 3 4 26 3" xfId="2755" xr:uid="{8D354108-E1AE-4E42-AEE3-FA0908845218}"/>
    <cellStyle name="Normal 2 3 4 26 3 2" xfId="11600" xr:uid="{5996D021-2A94-4D3A-BF36-1DB154707B7B}"/>
    <cellStyle name="Normal 2 3 4 26 4" xfId="2756" xr:uid="{68AC84C5-53AD-4166-8E8B-2F8D6192D697}"/>
    <cellStyle name="Normal 2 3 4 26 4 2" xfId="11601" xr:uid="{1C8279E9-CB4A-4420-94F2-7D5620B6781F}"/>
    <cellStyle name="Normal 2 3 4 26 5" xfId="11596" xr:uid="{4BF34030-C666-4246-82A8-CC00DECC353A}"/>
    <cellStyle name="Normal 2 3 4 27" xfId="2757" xr:uid="{C36C47FD-366E-46FA-95CF-90922AE01FDA}"/>
    <cellStyle name="Normal 2 3 4 27 2" xfId="2758" xr:uid="{9B6FBAB4-401F-4698-91DC-6925932BABCB}"/>
    <cellStyle name="Normal 2 3 4 27 2 2" xfId="2759" xr:uid="{4C6AB177-E19B-404F-BCE3-9391344C36EC}"/>
    <cellStyle name="Normal 2 3 4 27 2 2 2" xfId="11604" xr:uid="{304ABEA5-7098-42B0-84F5-57F4FD3417C6}"/>
    <cellStyle name="Normal 2 3 4 27 2 3" xfId="2760" xr:uid="{D5061CB2-1D38-4623-B35E-EFD0B712DF0F}"/>
    <cellStyle name="Normal 2 3 4 27 2 3 2" xfId="11605" xr:uid="{448CDB42-61C8-4BB7-89AF-B7B01A2527F9}"/>
    <cellStyle name="Normal 2 3 4 27 2 4" xfId="11603" xr:uid="{5978C083-7042-40E3-B5A1-8C5C92313E20}"/>
    <cellStyle name="Normal 2 3 4 27 3" xfId="2761" xr:uid="{BA8C8691-5C76-46A4-9052-FC7001778E48}"/>
    <cellStyle name="Normal 2 3 4 27 3 2" xfId="11606" xr:uid="{02637B1C-BFCB-4258-8DCE-84679C0ABB7F}"/>
    <cellStyle name="Normal 2 3 4 27 4" xfId="2762" xr:uid="{D5DC37C0-84C4-40B4-AC14-62A55E927077}"/>
    <cellStyle name="Normal 2 3 4 27 4 2" xfId="11607" xr:uid="{D41C51BF-AB4F-40D3-AC4A-E926C65915B2}"/>
    <cellStyle name="Normal 2 3 4 27 5" xfId="11602" xr:uid="{7B4B48F7-0EE1-46A5-9453-02BDD45B22E7}"/>
    <cellStyle name="Normal 2 3 4 28" xfId="2763" xr:uid="{1C137249-B0A9-4C2F-AA62-2A497F6B51FE}"/>
    <cellStyle name="Normal 2 3 4 28 2" xfId="2764" xr:uid="{7B3D464B-1A90-426F-B38B-0358AEB0A04E}"/>
    <cellStyle name="Normal 2 3 4 28 2 2" xfId="2765" xr:uid="{7F3EDCE2-5A65-4640-8918-D8FAA2B48327}"/>
    <cellStyle name="Normal 2 3 4 28 2 2 2" xfId="11610" xr:uid="{3E37F4D8-4CAA-4795-AB60-28317D7ACE7E}"/>
    <cellStyle name="Normal 2 3 4 28 2 3" xfId="2766" xr:uid="{17F61F6F-9410-4102-B792-AB590BBAFF5D}"/>
    <cellStyle name="Normal 2 3 4 28 2 3 2" xfId="11611" xr:uid="{C160858B-D3CB-4148-B696-39A136008008}"/>
    <cellStyle name="Normal 2 3 4 28 2 4" xfId="11609" xr:uid="{4D14019F-D046-488B-8E1E-6C4A10F5BD60}"/>
    <cellStyle name="Normal 2 3 4 28 3" xfId="2767" xr:uid="{1B6FD7ED-0E12-48FB-8B9A-30621CE3D449}"/>
    <cellStyle name="Normal 2 3 4 28 3 2" xfId="11612" xr:uid="{4231F934-D695-46C5-A1FA-DA06A1911705}"/>
    <cellStyle name="Normal 2 3 4 28 4" xfId="2768" xr:uid="{DFEE32AF-EF33-435E-87A2-CD8291A90FAC}"/>
    <cellStyle name="Normal 2 3 4 28 4 2" xfId="11613" xr:uid="{99480AEA-B497-469E-9761-79415628817C}"/>
    <cellStyle name="Normal 2 3 4 28 5" xfId="11608" xr:uid="{5E2263CA-ABE8-4DD0-842D-22E5C82F0516}"/>
    <cellStyle name="Normal 2 3 4 29" xfId="2769" xr:uid="{16101F24-5442-4F2B-8881-0BC4956968B5}"/>
    <cellStyle name="Normal 2 3 4 29 2" xfId="2770" xr:uid="{4F759BA5-980F-47E9-A24B-2D98E50308C8}"/>
    <cellStyle name="Normal 2 3 4 29 2 2" xfId="2771" xr:uid="{FFA8CC13-9247-4BA4-9F50-FC39329FCF38}"/>
    <cellStyle name="Normal 2 3 4 29 2 2 2" xfId="11616" xr:uid="{A8CEE1EA-D5E5-4A80-85BD-B5CF570D819A}"/>
    <cellStyle name="Normal 2 3 4 29 2 3" xfId="2772" xr:uid="{DE0B4101-2083-4AB4-A549-36DF5284DB32}"/>
    <cellStyle name="Normal 2 3 4 29 2 3 2" xfId="11617" xr:uid="{E866873E-3520-4204-B46C-C3EFD608771D}"/>
    <cellStyle name="Normal 2 3 4 29 2 4" xfId="11615" xr:uid="{A45B4CAA-8486-4B0C-8FDF-A7DA210BA5CE}"/>
    <cellStyle name="Normal 2 3 4 29 3" xfId="2773" xr:uid="{226972A0-AE19-49A8-8C4A-F8FA2B8091DD}"/>
    <cellStyle name="Normal 2 3 4 29 3 2" xfId="11618" xr:uid="{425E08CB-11CF-471A-9BD4-4E766E675209}"/>
    <cellStyle name="Normal 2 3 4 29 4" xfId="2774" xr:uid="{8B22547C-089C-4427-8454-0C6FB88BD390}"/>
    <cellStyle name="Normal 2 3 4 29 4 2" xfId="11619" xr:uid="{25AA6D65-1D23-4C22-9E75-C22D30304BBA}"/>
    <cellStyle name="Normal 2 3 4 29 5" xfId="11614" xr:uid="{BA569946-3B58-4ACA-862E-C69FC12A8858}"/>
    <cellStyle name="Normal 2 3 4 3" xfId="2775" xr:uid="{E317E662-3786-4862-BD03-7E6652A0F062}"/>
    <cellStyle name="Normal 2 3 4 3 2" xfId="2776" xr:uid="{6FA5FE8E-1382-4723-BB1D-6524B5B2EFF0}"/>
    <cellStyle name="Normal 2 3 4 3 2 2" xfId="2777" xr:uid="{913EEEE3-9CAF-4E96-9737-5C8097C8E1FC}"/>
    <cellStyle name="Normal 2 3 4 3 2 2 2" xfId="11622" xr:uid="{11D5DA53-608E-4A6F-80BD-3982475EB484}"/>
    <cellStyle name="Normal 2 3 4 3 2 3" xfId="2778" xr:uid="{0747D9F5-FF84-4013-BC1A-A1291E1D2E21}"/>
    <cellStyle name="Normal 2 3 4 3 2 3 2" xfId="11623" xr:uid="{96BAEFEA-DAB4-437C-9D46-ADD5A38D98AD}"/>
    <cellStyle name="Normal 2 3 4 3 2 4" xfId="11621" xr:uid="{F65684BD-AF8A-4F01-AC62-5A568ED3AD05}"/>
    <cellStyle name="Normal 2 3 4 3 3" xfId="2779" xr:uid="{6CE7006D-1CD3-4B6E-BB4C-881805960248}"/>
    <cellStyle name="Normal 2 3 4 3 3 2" xfId="11624" xr:uid="{DA2279A0-6B7D-4593-A544-D1C31423BF84}"/>
    <cellStyle name="Normal 2 3 4 3 4" xfId="2780" xr:uid="{4B68AE97-9B21-47AC-9B32-60BF057FAEE5}"/>
    <cellStyle name="Normal 2 3 4 3 4 2" xfId="11625" xr:uid="{2FA11256-9CFE-4229-9D39-4A9B34732ACC}"/>
    <cellStyle name="Normal 2 3 4 3 5" xfId="11620" xr:uid="{4F6D0CFF-825E-4EAA-B9A3-BCC214BB5BDC}"/>
    <cellStyle name="Normal 2 3 4 30" xfId="2781" xr:uid="{D4E94F68-00E7-48E2-A427-8F8A9E89DB4B}"/>
    <cellStyle name="Normal 2 3 4 30 2" xfId="2782" xr:uid="{08709FB8-3DB5-4EAA-B4E5-76B0AFAC940F}"/>
    <cellStyle name="Normal 2 3 4 30 2 2" xfId="2783" xr:uid="{2B10515A-5087-4453-8E2F-5BF8D04E4320}"/>
    <cellStyle name="Normal 2 3 4 30 2 2 2" xfId="11628" xr:uid="{BC41284D-23F3-447D-8F98-0F10F5F8E108}"/>
    <cellStyle name="Normal 2 3 4 30 2 3" xfId="2784" xr:uid="{0A82C118-7A1C-442F-B825-9CEFBB7F4439}"/>
    <cellStyle name="Normal 2 3 4 30 2 3 2" xfId="11629" xr:uid="{93B50A91-3150-4DEA-980A-9F24EB1B2608}"/>
    <cellStyle name="Normal 2 3 4 30 2 4" xfId="11627" xr:uid="{76559A7D-8C15-4AA8-909F-B777D53B3AFE}"/>
    <cellStyle name="Normal 2 3 4 30 3" xfId="2785" xr:uid="{B2C33518-E411-495B-A3A6-C6F986AE95B0}"/>
    <cellStyle name="Normal 2 3 4 30 3 2" xfId="11630" xr:uid="{08E55F49-519B-4A80-9BAB-F76510179B44}"/>
    <cellStyle name="Normal 2 3 4 30 4" xfId="2786" xr:uid="{2E908F2B-535E-4473-90A9-B5D046A16AD7}"/>
    <cellStyle name="Normal 2 3 4 30 4 2" xfId="11631" xr:uid="{217C03CE-8B2E-4F58-87A6-A8991358D274}"/>
    <cellStyle name="Normal 2 3 4 30 5" xfId="11626" xr:uid="{F6969EAC-44DA-4003-BFB2-FEC1AC8E2B2B}"/>
    <cellStyle name="Normal 2 3 4 31" xfId="2787" xr:uid="{2EBF5AAA-7931-43FA-BC54-354F07517FCF}"/>
    <cellStyle name="Normal 2 3 4 31 2" xfId="2788" xr:uid="{C6B6814C-2D1B-4CF5-8FFD-1E3FF6C50524}"/>
    <cellStyle name="Normal 2 3 4 31 2 2" xfId="2789" xr:uid="{73D61B18-9F3C-4235-9923-FA216A40E727}"/>
    <cellStyle name="Normal 2 3 4 31 2 2 2" xfId="11634" xr:uid="{CC9979DC-D0EB-4A39-8A09-42F37F96E2AC}"/>
    <cellStyle name="Normal 2 3 4 31 2 3" xfId="2790" xr:uid="{4DB36E73-36B0-4478-9E63-61552DA36C2A}"/>
    <cellStyle name="Normal 2 3 4 31 2 3 2" xfId="11635" xr:uid="{468A5C26-E5C7-47FD-A449-1FDAD7D7D44B}"/>
    <cellStyle name="Normal 2 3 4 31 2 4" xfId="11633" xr:uid="{61D6F343-5AE9-4F1F-B636-718BA85826D0}"/>
    <cellStyle name="Normal 2 3 4 31 3" xfId="2791" xr:uid="{872EC3ED-71E0-4352-A7A8-3DEAC68AC55E}"/>
    <cellStyle name="Normal 2 3 4 31 3 2" xfId="11636" xr:uid="{54453758-CF13-4591-BE0F-122F30D0BB43}"/>
    <cellStyle name="Normal 2 3 4 31 4" xfId="2792" xr:uid="{592A5CE8-F546-4B21-A0BD-A0B8A264767D}"/>
    <cellStyle name="Normal 2 3 4 31 4 2" xfId="11637" xr:uid="{03D62BDC-2C96-4B32-B4D6-4234747D3760}"/>
    <cellStyle name="Normal 2 3 4 31 5" xfId="11632" xr:uid="{20F08C73-F0AA-4568-80C9-CD80ECE5AF2E}"/>
    <cellStyle name="Normal 2 3 4 32" xfId="2793" xr:uid="{A304B596-B2EE-40A0-97AC-21ED28D9D6C6}"/>
    <cellStyle name="Normal 2 3 4 32 2" xfId="2794" xr:uid="{B632AF90-A52C-4449-AF1C-94DFD694F7AC}"/>
    <cellStyle name="Normal 2 3 4 32 2 2" xfId="2795" xr:uid="{95A09879-B0D8-47FB-893A-52BE44FC2562}"/>
    <cellStyle name="Normal 2 3 4 32 2 2 2" xfId="11640" xr:uid="{33F9804C-A63C-4282-99B2-2F3F9D514715}"/>
    <cellStyle name="Normal 2 3 4 32 2 3" xfId="2796" xr:uid="{18758034-85F6-400D-BDB2-547099C02E61}"/>
    <cellStyle name="Normal 2 3 4 32 2 3 2" xfId="11641" xr:uid="{332CAD70-5978-46DB-A011-1E523226E5AB}"/>
    <cellStyle name="Normal 2 3 4 32 2 4" xfId="11639" xr:uid="{C3550854-24EB-4576-B27E-DD800D53C077}"/>
    <cellStyle name="Normal 2 3 4 32 3" xfId="2797" xr:uid="{296D8D8C-7589-498D-B817-70E8F29A3864}"/>
    <cellStyle name="Normal 2 3 4 32 3 2" xfId="11642" xr:uid="{D3001F04-6B12-45EE-B4AE-48A82577E8D4}"/>
    <cellStyle name="Normal 2 3 4 32 4" xfId="2798" xr:uid="{C8AD275C-3D61-48C2-BBFF-26FE41F4631E}"/>
    <cellStyle name="Normal 2 3 4 32 4 2" xfId="11643" xr:uid="{64EB2269-490D-48AF-AB94-51391FB3E9E9}"/>
    <cellStyle name="Normal 2 3 4 32 5" xfId="11638" xr:uid="{3F97DB9C-A037-463A-9E4E-3DE7FAA0EDC9}"/>
    <cellStyle name="Normal 2 3 4 33" xfId="2799" xr:uid="{CBA49C28-A42D-4A59-9C86-C4C936852DFD}"/>
    <cellStyle name="Normal 2 3 4 33 2" xfId="2800" xr:uid="{D93D989F-0136-4D66-9C0A-FFF9F6FFE63E}"/>
    <cellStyle name="Normal 2 3 4 33 2 2" xfId="2801" xr:uid="{CC429254-DB0D-4E84-97F6-04FB993A9A98}"/>
    <cellStyle name="Normal 2 3 4 33 2 2 2" xfId="11646" xr:uid="{B751CB7F-9B79-4D83-8416-FECD6448DCC8}"/>
    <cellStyle name="Normal 2 3 4 33 2 3" xfId="2802" xr:uid="{C34CCD01-99C9-49EB-9B52-33BEAA589CF9}"/>
    <cellStyle name="Normal 2 3 4 33 2 3 2" xfId="11647" xr:uid="{6EFF8B08-987F-4C07-8080-5F15B89C9730}"/>
    <cellStyle name="Normal 2 3 4 33 2 4" xfId="11645" xr:uid="{FC8AABD9-83A6-4ECF-AC4A-26C31204A9BC}"/>
    <cellStyle name="Normal 2 3 4 33 3" xfId="2803" xr:uid="{D3E98BAA-107C-45B9-9119-4257DCAD078A}"/>
    <cellStyle name="Normal 2 3 4 33 3 2" xfId="11648" xr:uid="{F2A87EF2-6F71-4F59-B89F-AFC8A9B8CCC2}"/>
    <cellStyle name="Normal 2 3 4 33 4" xfId="2804" xr:uid="{0A2471F1-D8CE-4C3F-9398-BE338725FEF2}"/>
    <cellStyle name="Normal 2 3 4 33 4 2" xfId="11649" xr:uid="{A16D6D8C-3EC8-4AD7-A622-52E6CCD16F91}"/>
    <cellStyle name="Normal 2 3 4 33 5" xfId="11644" xr:uid="{9FDB1F7D-F79E-4DF6-8FE1-292F1B842248}"/>
    <cellStyle name="Normal 2 3 4 34" xfId="2805" xr:uid="{656ED061-DC5D-474A-905F-705E35245878}"/>
    <cellStyle name="Normal 2 3 4 34 2" xfId="2806" xr:uid="{B03625B0-8A01-421F-B2B6-8B120D5264A8}"/>
    <cellStyle name="Normal 2 3 4 34 2 2" xfId="2807" xr:uid="{5071B7BD-3686-491D-817F-2ED668233D72}"/>
    <cellStyle name="Normal 2 3 4 34 2 2 2" xfId="11652" xr:uid="{535D9B6E-0C64-4DBC-B416-45259CCA6C50}"/>
    <cellStyle name="Normal 2 3 4 34 2 3" xfId="2808" xr:uid="{65B9EAE7-6054-40D2-B48C-578B038A4AF3}"/>
    <cellStyle name="Normal 2 3 4 34 2 3 2" xfId="11653" xr:uid="{E0E78739-D418-4580-86C3-0258DE162FD4}"/>
    <cellStyle name="Normal 2 3 4 34 2 4" xfId="11651" xr:uid="{FE3F64F1-CF4B-41DA-8267-CA7494F8E70D}"/>
    <cellStyle name="Normal 2 3 4 34 3" xfId="2809" xr:uid="{A755BB96-5AA8-4C2D-AF85-1048043FFBE3}"/>
    <cellStyle name="Normal 2 3 4 34 3 2" xfId="11654" xr:uid="{F0A878C4-C10E-4010-A24C-C711B90BFB0E}"/>
    <cellStyle name="Normal 2 3 4 34 4" xfId="2810" xr:uid="{32B8C44E-27B1-421A-9F31-619E1BEA2BF9}"/>
    <cellStyle name="Normal 2 3 4 34 4 2" xfId="11655" xr:uid="{1904EB37-F80F-4401-81B4-CC3D40D4C1D2}"/>
    <cellStyle name="Normal 2 3 4 34 5" xfId="11650" xr:uid="{9D75250F-63C1-468A-AC26-59CC2C9F390C}"/>
    <cellStyle name="Normal 2 3 4 35" xfId="2811" xr:uid="{C02E08EE-1CC5-48CC-8C15-23847D363DAE}"/>
    <cellStyle name="Normal 2 3 4 35 2" xfId="2812" xr:uid="{FAA370A6-3241-4F22-B300-0A8BF9D68D48}"/>
    <cellStyle name="Normal 2 3 4 35 2 2" xfId="2813" xr:uid="{4EC7E7FD-8941-4A17-AF1D-E15E1E589794}"/>
    <cellStyle name="Normal 2 3 4 35 2 2 2" xfId="11658" xr:uid="{3EA6B5B7-BBBA-46A0-983B-B5E564A7DBC9}"/>
    <cellStyle name="Normal 2 3 4 35 2 3" xfId="2814" xr:uid="{F2610624-A311-4C32-BA70-4DEA725CF7F5}"/>
    <cellStyle name="Normal 2 3 4 35 2 3 2" xfId="11659" xr:uid="{22AFAC18-5786-4FC4-B3F8-751F9CA51CF8}"/>
    <cellStyle name="Normal 2 3 4 35 2 4" xfId="11657" xr:uid="{6D5B757F-05B8-4AD3-B93C-424C40CD1321}"/>
    <cellStyle name="Normal 2 3 4 35 3" xfId="2815" xr:uid="{667EC22A-BA73-438B-A22B-7EE4CDCF5B53}"/>
    <cellStyle name="Normal 2 3 4 35 3 2" xfId="11660" xr:uid="{0158876F-487B-4CF5-92F7-A54FBFDA6BFD}"/>
    <cellStyle name="Normal 2 3 4 35 4" xfId="2816" xr:uid="{F9538A2F-0062-4206-A442-09B36804204D}"/>
    <cellStyle name="Normal 2 3 4 35 4 2" xfId="11661" xr:uid="{5CCC6863-351F-4C17-9F1D-C78E01C30AF3}"/>
    <cellStyle name="Normal 2 3 4 35 5" xfId="11656" xr:uid="{FF7AC66F-D496-42C0-9AC9-14C425EBE3D2}"/>
    <cellStyle name="Normal 2 3 4 36" xfId="2817" xr:uid="{F13B89B0-5380-4B0B-BB41-ED091B56530F}"/>
    <cellStyle name="Normal 2 3 4 36 2" xfId="2818" xr:uid="{D0D1EB7A-BD5F-47B9-AB32-1830332B067E}"/>
    <cellStyle name="Normal 2 3 4 36 2 2" xfId="2819" xr:uid="{0BBE1DF8-680E-46DF-8E63-9876D2B651A8}"/>
    <cellStyle name="Normal 2 3 4 36 2 2 2" xfId="11664" xr:uid="{BED9FB60-91F0-4021-9B3B-FD5006A377FA}"/>
    <cellStyle name="Normal 2 3 4 36 2 3" xfId="2820" xr:uid="{51BD1526-9FFE-4A7B-9827-EA08BCE47C53}"/>
    <cellStyle name="Normal 2 3 4 36 2 3 2" xfId="11665" xr:uid="{E353D892-D69A-4E75-85B9-C46950A417FF}"/>
    <cellStyle name="Normal 2 3 4 36 2 4" xfId="11663" xr:uid="{8838CAB3-488D-4DE1-BFBE-C3DAF0C40F14}"/>
    <cellStyle name="Normal 2 3 4 36 3" xfId="2821" xr:uid="{E6BC73E9-BAA5-4335-B33A-403F7B793EBF}"/>
    <cellStyle name="Normal 2 3 4 36 3 2" xfId="11666" xr:uid="{FF5C7ED6-DDF4-4D63-96F4-5D10F6164DBD}"/>
    <cellStyle name="Normal 2 3 4 36 4" xfId="2822" xr:uid="{D3CC0B60-E597-4608-91C8-EB8301A1002C}"/>
    <cellStyle name="Normal 2 3 4 36 4 2" xfId="11667" xr:uid="{E24D1CA0-84BD-4D5F-813B-A3530B7310FA}"/>
    <cellStyle name="Normal 2 3 4 36 5" xfId="11662" xr:uid="{3327C554-0B2D-4FE8-81CA-216842089BA9}"/>
    <cellStyle name="Normal 2 3 4 37" xfId="2823" xr:uid="{DD391EDD-B635-421A-98BA-BD2B7B7AAC5F}"/>
    <cellStyle name="Normal 2 3 4 37 2" xfId="2824" xr:uid="{06C5C75B-5445-4112-BB1C-146B3B4DDA76}"/>
    <cellStyle name="Normal 2 3 4 37 2 2" xfId="2825" xr:uid="{CF64E77F-9491-43CD-A52E-9D490162DBB3}"/>
    <cellStyle name="Normal 2 3 4 37 2 2 2" xfId="11670" xr:uid="{BBDC1F27-276E-4BC6-B383-86DF7BBEA523}"/>
    <cellStyle name="Normal 2 3 4 37 2 3" xfId="2826" xr:uid="{B8BAECDF-88D9-4120-9775-834D14A8D239}"/>
    <cellStyle name="Normal 2 3 4 37 2 3 2" xfId="11671" xr:uid="{66B8F353-9E9D-4E9E-A595-7B738A952D16}"/>
    <cellStyle name="Normal 2 3 4 37 2 4" xfId="11669" xr:uid="{CCCD92D1-1161-4A36-A3E1-D9234EFBE9A5}"/>
    <cellStyle name="Normal 2 3 4 37 3" xfId="2827" xr:uid="{799703A4-9DA3-456F-8B12-6511D7CC1C54}"/>
    <cellStyle name="Normal 2 3 4 37 3 2" xfId="11672" xr:uid="{E41F6111-DA3E-4C07-A4F4-584259C7C44D}"/>
    <cellStyle name="Normal 2 3 4 37 4" xfId="2828" xr:uid="{6C6EF53C-6D00-4321-9157-9A70F5B58CBC}"/>
    <cellStyle name="Normal 2 3 4 37 4 2" xfId="11673" xr:uid="{423BD733-EC3C-4CCB-9B4F-2B9AB96913EA}"/>
    <cellStyle name="Normal 2 3 4 37 5" xfId="11668" xr:uid="{33C83F27-C874-469E-AE4A-C7B239EFD399}"/>
    <cellStyle name="Normal 2 3 4 38" xfId="2829" xr:uid="{ABB3C73A-7B51-4E4E-888E-04F0D68CF246}"/>
    <cellStyle name="Normal 2 3 4 38 2" xfId="2830" xr:uid="{ADB0571D-EFB3-49AA-BC91-64DD719FD629}"/>
    <cellStyle name="Normal 2 3 4 38 2 2" xfId="2831" xr:uid="{86D065C1-18C4-4F1D-836B-3486465F486F}"/>
    <cellStyle name="Normal 2 3 4 38 2 2 2" xfId="11676" xr:uid="{7F3E78E0-D269-4B40-94DB-41A56184511B}"/>
    <cellStyle name="Normal 2 3 4 38 2 3" xfId="2832" xr:uid="{E61C486F-1F96-4179-B4E3-38A949443CC5}"/>
    <cellStyle name="Normal 2 3 4 38 2 3 2" xfId="11677" xr:uid="{9A21B914-B199-4998-9270-F9E244A2C76C}"/>
    <cellStyle name="Normal 2 3 4 38 2 4" xfId="11675" xr:uid="{541F63FD-FACA-4E1A-997A-31FC6F73105B}"/>
    <cellStyle name="Normal 2 3 4 38 3" xfId="2833" xr:uid="{7E30EDB6-55F0-4543-9148-A781072E3C6F}"/>
    <cellStyle name="Normal 2 3 4 38 3 2" xfId="11678" xr:uid="{40E978A1-F9EC-4948-BF7C-AC075B5F234E}"/>
    <cellStyle name="Normal 2 3 4 38 4" xfId="2834" xr:uid="{475A2E59-BEBF-4262-BF89-467BE31C29FC}"/>
    <cellStyle name="Normal 2 3 4 38 4 2" xfId="11679" xr:uid="{E965AFB8-6FE4-44AB-9823-0A3199757B48}"/>
    <cellStyle name="Normal 2 3 4 38 5" xfId="11674" xr:uid="{272FB34D-3C84-4EA6-8D4E-3F46CE174C99}"/>
    <cellStyle name="Normal 2 3 4 39" xfId="2835" xr:uid="{D778E18E-74B1-4BCA-9958-BDCFE430A896}"/>
    <cellStyle name="Normal 2 3 4 39 2" xfId="2836" xr:uid="{D48A1D9D-C5F0-4322-89F2-C1522E57ECC0}"/>
    <cellStyle name="Normal 2 3 4 39 2 2" xfId="2837" xr:uid="{DCD6D75B-8608-448F-B3A5-698D10C19358}"/>
    <cellStyle name="Normal 2 3 4 39 2 2 2" xfId="11682" xr:uid="{92E66B54-B0B5-4438-8AD0-843BC3FE8440}"/>
    <cellStyle name="Normal 2 3 4 39 2 3" xfId="2838" xr:uid="{92AA13C4-8D38-4E21-8F24-445DAFBDE44C}"/>
    <cellStyle name="Normal 2 3 4 39 2 3 2" xfId="11683" xr:uid="{C3017E4B-5F2B-421E-9694-19B90DCF8C27}"/>
    <cellStyle name="Normal 2 3 4 39 2 4" xfId="11681" xr:uid="{3EC995B0-EE67-42F7-98B9-F3E5E196F590}"/>
    <cellStyle name="Normal 2 3 4 39 3" xfId="2839" xr:uid="{93CC2821-099C-42EB-84C0-A15F566B994A}"/>
    <cellStyle name="Normal 2 3 4 39 3 2" xfId="11684" xr:uid="{09BE00B8-CACA-4A53-B037-9B776AB03F08}"/>
    <cellStyle name="Normal 2 3 4 39 4" xfId="2840" xr:uid="{50E61B2F-2227-40C3-A221-14292878DF92}"/>
    <cellStyle name="Normal 2 3 4 39 4 2" xfId="11685" xr:uid="{E2EAAEA7-8E04-4139-84E8-1F1AA8C36621}"/>
    <cellStyle name="Normal 2 3 4 39 5" xfId="11680" xr:uid="{7A960CBB-20F0-4C69-B4D3-03AC8AE21C9B}"/>
    <cellStyle name="Normal 2 3 4 4" xfId="2841" xr:uid="{A8DACC05-A053-4E5D-984C-EC4E228ACDCB}"/>
    <cellStyle name="Normal 2 3 4 4 2" xfId="2842" xr:uid="{C154A7B3-B016-4462-A3A0-30468BB820B2}"/>
    <cellStyle name="Normal 2 3 4 4 2 2" xfId="2843" xr:uid="{1B18B694-114E-48A0-B99C-1529F5ADD569}"/>
    <cellStyle name="Normal 2 3 4 4 2 2 2" xfId="11688" xr:uid="{35A1BCE0-384D-4C48-A11A-A73416DC8329}"/>
    <cellStyle name="Normal 2 3 4 4 2 3" xfId="2844" xr:uid="{B4E0CB2F-C3FF-4647-92FC-4FF8765AE412}"/>
    <cellStyle name="Normal 2 3 4 4 2 3 2" xfId="11689" xr:uid="{6A5AD1FA-6E1B-4095-BD78-1E73AFD9270F}"/>
    <cellStyle name="Normal 2 3 4 4 2 4" xfId="11687" xr:uid="{FCA63FCD-D905-4477-97EF-6800B40EE7AA}"/>
    <cellStyle name="Normal 2 3 4 4 3" xfId="2845" xr:uid="{2370D932-ACF2-4B29-87E1-7707AFD988AC}"/>
    <cellStyle name="Normal 2 3 4 4 3 2" xfId="11690" xr:uid="{017171B1-5CFD-4D09-8655-140FC19EF1E5}"/>
    <cellStyle name="Normal 2 3 4 4 4" xfId="2846" xr:uid="{5FF6642E-A154-49D6-97F9-FE005EE535B5}"/>
    <cellStyle name="Normal 2 3 4 4 4 2" xfId="11691" xr:uid="{00C4B1C2-9B19-4CCC-A5B1-66D9B84E0D47}"/>
    <cellStyle name="Normal 2 3 4 4 5" xfId="11686" xr:uid="{DD71228A-018C-4B0F-9F6B-A9D81E9DF22F}"/>
    <cellStyle name="Normal 2 3 4 40" xfId="2847" xr:uid="{A171A4EF-8A9F-4594-92F3-460BD37A9EF2}"/>
    <cellStyle name="Normal 2 3 4 40 2" xfId="2848" xr:uid="{E276BE81-9A3D-4FE8-9760-D6A4CC6DDC7F}"/>
    <cellStyle name="Normal 2 3 4 40 2 2" xfId="2849" xr:uid="{60FE043F-A00C-4EBF-9302-1493CC66A72F}"/>
    <cellStyle name="Normal 2 3 4 40 2 2 2" xfId="11694" xr:uid="{F18D5BC8-0611-4170-833E-11E723AA5FEB}"/>
    <cellStyle name="Normal 2 3 4 40 2 3" xfId="2850" xr:uid="{4E83FA5C-3C10-48FD-B995-C8B50A6629CE}"/>
    <cellStyle name="Normal 2 3 4 40 2 3 2" xfId="11695" xr:uid="{4E0D3BA4-D4B4-44E3-BA41-564108B5D939}"/>
    <cellStyle name="Normal 2 3 4 40 2 4" xfId="11693" xr:uid="{6C03E91B-DA71-4EA4-A8A3-B65141D41964}"/>
    <cellStyle name="Normal 2 3 4 40 3" xfId="2851" xr:uid="{D9636A91-4D98-480A-A7BF-6414B0437012}"/>
    <cellStyle name="Normal 2 3 4 40 3 2" xfId="11696" xr:uid="{658C89FE-DEFE-4F99-8C85-AD5F2139DAB8}"/>
    <cellStyle name="Normal 2 3 4 40 4" xfId="2852" xr:uid="{441BEF23-0E5D-4F91-A7CF-3EE52F04F18B}"/>
    <cellStyle name="Normal 2 3 4 40 4 2" xfId="11697" xr:uid="{720F40E8-AA17-486E-887D-CFB904913AE7}"/>
    <cellStyle name="Normal 2 3 4 40 5" xfId="11692" xr:uid="{EBDA916C-0FD0-430F-897C-87EE2F79E883}"/>
    <cellStyle name="Normal 2 3 4 41" xfId="2853" xr:uid="{21E5D34D-B3DA-407B-A24D-D2B4E0CC62F2}"/>
    <cellStyle name="Normal 2 3 4 41 2" xfId="2854" xr:uid="{3E22AEFD-308A-429B-BA42-C62D8C0B718A}"/>
    <cellStyle name="Normal 2 3 4 41 2 2" xfId="2855" xr:uid="{018B13C4-220A-4CC4-BDAB-0E3BD498038E}"/>
    <cellStyle name="Normal 2 3 4 41 2 2 2" xfId="11700" xr:uid="{B17E675D-8363-496D-AE43-87EB1EDC4626}"/>
    <cellStyle name="Normal 2 3 4 41 2 3" xfId="2856" xr:uid="{DACBAA7D-8610-4C32-90DF-AD387B3FCCE9}"/>
    <cellStyle name="Normal 2 3 4 41 2 3 2" xfId="11701" xr:uid="{588857CA-656E-444E-BD85-5E92D321568D}"/>
    <cellStyle name="Normal 2 3 4 41 2 4" xfId="11699" xr:uid="{FD72FF0B-5767-4979-8D61-9AB919ABB1F5}"/>
    <cellStyle name="Normal 2 3 4 41 3" xfId="2857" xr:uid="{DE271EF1-BBC5-4284-8828-F2DF040F8221}"/>
    <cellStyle name="Normal 2 3 4 41 3 2" xfId="11702" xr:uid="{D78F01FB-B384-40BE-B78B-178E51BBABE0}"/>
    <cellStyle name="Normal 2 3 4 41 4" xfId="2858" xr:uid="{79437657-7904-4E43-B742-C9A2658CD7A3}"/>
    <cellStyle name="Normal 2 3 4 41 4 2" xfId="11703" xr:uid="{0127D8E9-1C0C-4FCA-B6B5-667D97522BF8}"/>
    <cellStyle name="Normal 2 3 4 41 5" xfId="11698" xr:uid="{ABC7BA1E-7196-4077-86F2-D16CAABB40DC}"/>
    <cellStyle name="Normal 2 3 4 42" xfId="2859" xr:uid="{22360F40-1E78-4751-BC5F-6279ABFA3D3D}"/>
    <cellStyle name="Normal 2 3 4 42 2" xfId="2860" xr:uid="{314EA4D8-C801-45FA-81BE-045DE5D648AF}"/>
    <cellStyle name="Normal 2 3 4 42 2 2" xfId="2861" xr:uid="{F0C62DB2-8B61-46BC-B243-771D2E387FC5}"/>
    <cellStyle name="Normal 2 3 4 42 2 2 2" xfId="11706" xr:uid="{62EE6941-FB0D-46F1-B221-4073834C11E9}"/>
    <cellStyle name="Normal 2 3 4 42 2 3" xfId="2862" xr:uid="{8BDEE862-9288-45ED-8F13-BF43E962ED6D}"/>
    <cellStyle name="Normal 2 3 4 42 2 3 2" xfId="11707" xr:uid="{75051E3E-40F1-46B0-A8FA-32DC4F7A6C16}"/>
    <cellStyle name="Normal 2 3 4 42 2 4" xfId="11705" xr:uid="{ACB2F320-528D-4860-88DA-EBCA2CC3FE0B}"/>
    <cellStyle name="Normal 2 3 4 42 3" xfId="2863" xr:uid="{B9EEAA3F-5335-498A-A2D2-04D3636D70B5}"/>
    <cellStyle name="Normal 2 3 4 42 3 2" xfId="11708" xr:uid="{809EC19E-6D66-4809-969F-25D30DBCFE14}"/>
    <cellStyle name="Normal 2 3 4 42 4" xfId="2864" xr:uid="{18BC37B4-0E09-4C36-828A-87FABDCDD9BB}"/>
    <cellStyle name="Normal 2 3 4 42 4 2" xfId="11709" xr:uid="{1FCD4845-EC42-400D-8B69-CDD4CD21FAFD}"/>
    <cellStyle name="Normal 2 3 4 42 5" xfId="11704" xr:uid="{F930DE5D-325D-4270-A900-1C48C13C3358}"/>
    <cellStyle name="Normal 2 3 4 43" xfId="2865" xr:uid="{12F6D010-D391-42E4-A72A-E15BE4A7A16A}"/>
    <cellStyle name="Normal 2 3 4 43 2" xfId="2866" xr:uid="{37EA213D-63BE-4BBE-A603-89BF59F90C36}"/>
    <cellStyle name="Normal 2 3 4 43 2 2" xfId="2867" xr:uid="{5068E48A-E68E-4306-A941-3EC0BB4C5DF2}"/>
    <cellStyle name="Normal 2 3 4 43 2 2 2" xfId="11712" xr:uid="{AA442739-BC32-4797-8680-E52B4058771B}"/>
    <cellStyle name="Normal 2 3 4 43 2 3" xfId="2868" xr:uid="{8CA64526-FF5F-407C-9E1F-5FCDA373311C}"/>
    <cellStyle name="Normal 2 3 4 43 2 3 2" xfId="11713" xr:uid="{168901F1-D132-494C-A041-51579531943F}"/>
    <cellStyle name="Normal 2 3 4 43 2 4" xfId="11711" xr:uid="{3B0BF87F-D610-439E-A8A7-49288AF5CCB7}"/>
    <cellStyle name="Normal 2 3 4 43 3" xfId="2869" xr:uid="{58043268-FDD1-4F8E-B751-AB12C04A2361}"/>
    <cellStyle name="Normal 2 3 4 43 3 2" xfId="11714" xr:uid="{3BCC01DA-53C9-4E12-87AE-343B36D98492}"/>
    <cellStyle name="Normal 2 3 4 43 4" xfId="2870" xr:uid="{7DD14DBD-9126-447D-BC45-F6F62E8CE71A}"/>
    <cellStyle name="Normal 2 3 4 43 4 2" xfId="11715" xr:uid="{365DCCC7-2633-4636-97AC-8BC8F74C3BB9}"/>
    <cellStyle name="Normal 2 3 4 43 5" xfId="11710" xr:uid="{3A60A3DD-E6C5-4C80-BBD8-A2A589167DE7}"/>
    <cellStyle name="Normal 2 3 4 44" xfId="2871" xr:uid="{22529015-350F-4BC4-9C73-140D3ABD75C4}"/>
    <cellStyle name="Normal 2 3 4 44 2" xfId="2872" xr:uid="{F4243005-E5FB-4EAB-9CA6-E32D56E03BD3}"/>
    <cellStyle name="Normal 2 3 4 44 2 2" xfId="11717" xr:uid="{F942B563-406E-45D4-A540-4A5B94338685}"/>
    <cellStyle name="Normal 2 3 4 44 3" xfId="2873" xr:uid="{8EDD675C-DB58-4F90-8123-936B1D59010F}"/>
    <cellStyle name="Normal 2 3 4 44 3 2" xfId="11718" xr:uid="{4077ED64-0910-4893-9BC0-2276CFD6EB8F}"/>
    <cellStyle name="Normal 2 3 4 44 4" xfId="11716" xr:uid="{9F105917-AF97-4450-9B57-E042AA8D420B}"/>
    <cellStyle name="Normal 2 3 4 45" xfId="2874" xr:uid="{D6858958-9F23-49BE-B9B1-40744055DDA1}"/>
    <cellStyle name="Normal 2 3 4 45 2" xfId="11719" xr:uid="{01356781-A147-4B08-9540-CD510B4F252A}"/>
    <cellStyle name="Normal 2 3 4 46" xfId="2875" xr:uid="{6BF13549-3C2A-4CD1-A1A6-FF2E98647431}"/>
    <cellStyle name="Normal 2 3 4 46 2" xfId="11720" xr:uid="{2867E4BD-06D5-45C6-9CE4-8117FA7E8D08}"/>
    <cellStyle name="Normal 2 3 4 47" xfId="2876" xr:uid="{158E3FE9-35F6-41B3-9521-A91BE9751778}"/>
    <cellStyle name="Normal 2 3 4 48" xfId="2877" xr:uid="{A6BD8F08-EB70-4874-AADA-4058003FF050}"/>
    <cellStyle name="Normal 2 3 4 49" xfId="11493" xr:uid="{45705ECA-5D58-4074-AC30-42D17B1311F1}"/>
    <cellStyle name="Normal 2 3 4 5" xfId="2878" xr:uid="{F3E1E969-3A1E-441E-912A-52C8BF3AEAD5}"/>
    <cellStyle name="Normal 2 3 4 5 2" xfId="2879" xr:uid="{0316799B-7A07-4486-8302-C8C44BCA2F81}"/>
    <cellStyle name="Normal 2 3 4 5 2 2" xfId="2880" xr:uid="{9F2819DF-6AFA-4EDD-B941-C75233DB4006}"/>
    <cellStyle name="Normal 2 3 4 5 2 2 2" xfId="11723" xr:uid="{E5147CE7-79B2-43D7-848B-72A3C0EA2D87}"/>
    <cellStyle name="Normal 2 3 4 5 2 3" xfId="2881" xr:uid="{ED205F2C-7F91-4677-9B61-6A8FD1C68690}"/>
    <cellStyle name="Normal 2 3 4 5 2 3 2" xfId="11724" xr:uid="{3E919354-EFC7-4F14-9776-EFF6916706B2}"/>
    <cellStyle name="Normal 2 3 4 5 2 4" xfId="11722" xr:uid="{C8873C61-D821-4D71-BD6D-EFFD01756F0E}"/>
    <cellStyle name="Normal 2 3 4 5 3" xfId="2882" xr:uid="{93E7B391-6912-46CB-BDBD-BCDB0B06D6E4}"/>
    <cellStyle name="Normal 2 3 4 5 3 2" xfId="11725" xr:uid="{6580C5FE-BA3F-426D-AF66-88FD82DF3962}"/>
    <cellStyle name="Normal 2 3 4 5 4" xfId="2883" xr:uid="{F41424EC-04CE-4F52-AAFC-C4A4F0C3CC31}"/>
    <cellStyle name="Normal 2 3 4 5 4 2" xfId="11726" xr:uid="{E9BA6FC5-C4D3-43D0-AC45-63C497AFFA58}"/>
    <cellStyle name="Normal 2 3 4 5 5" xfId="11721" xr:uid="{C31AFAF9-DD83-426A-B84E-9DEDB2273D5E}"/>
    <cellStyle name="Normal 2 3 4 6" xfId="2884" xr:uid="{0B75FA8F-4EC6-4C59-899F-E9CF29628C49}"/>
    <cellStyle name="Normal 2 3 4 6 2" xfId="2885" xr:uid="{16982D94-8315-4DF2-849F-4EA723DFC4F8}"/>
    <cellStyle name="Normal 2 3 4 6 2 2" xfId="2886" xr:uid="{AA1EEB70-D3FD-4CED-A5B7-DF2506740731}"/>
    <cellStyle name="Normal 2 3 4 6 2 2 2" xfId="11729" xr:uid="{D57A8461-661F-4229-AB83-49C0DEE61C83}"/>
    <cellStyle name="Normal 2 3 4 6 2 3" xfId="2887" xr:uid="{1F5D155E-ED3B-4824-B35D-5B4EA4BE8C2F}"/>
    <cellStyle name="Normal 2 3 4 6 2 3 2" xfId="11730" xr:uid="{56B06933-42A3-4827-907E-2E7CB13699A6}"/>
    <cellStyle name="Normal 2 3 4 6 2 4" xfId="11728" xr:uid="{DD381189-0802-4E1D-B789-5F26820B4E1C}"/>
    <cellStyle name="Normal 2 3 4 6 3" xfId="2888" xr:uid="{D520BD8F-E573-4DCA-A06A-1AFDF5CFF551}"/>
    <cellStyle name="Normal 2 3 4 6 3 2" xfId="11731" xr:uid="{483053A7-8371-41D2-8F5C-37A5E27FCDBB}"/>
    <cellStyle name="Normal 2 3 4 6 4" xfId="2889" xr:uid="{E9E68B0F-F897-4CF1-8FFC-4406755BC48B}"/>
    <cellStyle name="Normal 2 3 4 6 4 2" xfId="11732" xr:uid="{2A1AEAD9-EE94-4D46-86F7-B95C9A1802BE}"/>
    <cellStyle name="Normal 2 3 4 6 5" xfId="11727" xr:uid="{228397FC-DFC3-4CCC-A89B-2E7F64CD289E}"/>
    <cellStyle name="Normal 2 3 4 7" xfId="2890" xr:uid="{39FFDFD2-0BAE-451A-BA88-97F7DE238818}"/>
    <cellStyle name="Normal 2 3 4 7 2" xfId="2891" xr:uid="{4EB4258D-1A81-417C-BCB0-C2CBFBA52D2D}"/>
    <cellStyle name="Normal 2 3 4 7 2 2" xfId="2892" xr:uid="{F1612E10-1D99-4B3A-BD20-4E0826B8DB5A}"/>
    <cellStyle name="Normal 2 3 4 7 2 2 2" xfId="11735" xr:uid="{351178AA-1920-4F9C-838C-C6629FC10FB8}"/>
    <cellStyle name="Normal 2 3 4 7 2 3" xfId="2893" xr:uid="{239C2ED6-8898-4BE9-A1A1-5E68FF059BD5}"/>
    <cellStyle name="Normal 2 3 4 7 2 3 2" xfId="11736" xr:uid="{F13AD14A-F07F-4F4E-B7CC-67B062CEA4E3}"/>
    <cellStyle name="Normal 2 3 4 7 2 4" xfId="11734" xr:uid="{E08FFB1A-9676-41F1-9425-F810575E5928}"/>
    <cellStyle name="Normal 2 3 4 7 3" xfId="2894" xr:uid="{B1C0029D-9B48-4344-9739-0FA81A66DE63}"/>
    <cellStyle name="Normal 2 3 4 7 3 2" xfId="11737" xr:uid="{D19F7FFD-0274-418B-B2BB-BE2FA38E44FA}"/>
    <cellStyle name="Normal 2 3 4 7 4" xfId="2895" xr:uid="{BAA4DD1D-7452-4DAE-AEF1-01E9D31371A6}"/>
    <cellStyle name="Normal 2 3 4 7 4 2" xfId="11738" xr:uid="{82A1616B-D006-4A7E-8DC4-C405E0F75A59}"/>
    <cellStyle name="Normal 2 3 4 7 5" xfId="11733" xr:uid="{281200EF-EB17-4D70-87A3-9EE11BF6CC13}"/>
    <cellStyle name="Normal 2 3 4 8" xfId="2896" xr:uid="{E6739858-034F-4694-9DFA-9627765B5355}"/>
    <cellStyle name="Normal 2 3 4 8 2" xfId="2897" xr:uid="{45474BEF-ECAF-41B0-B7DC-CD0C988EA6CF}"/>
    <cellStyle name="Normal 2 3 4 8 2 2" xfId="2898" xr:uid="{11DA51EF-6684-44A5-8F1D-810A198FB813}"/>
    <cellStyle name="Normal 2 3 4 8 2 2 2" xfId="11741" xr:uid="{5B5D97DE-CEA4-4634-B3E7-E0AEC759DE9B}"/>
    <cellStyle name="Normal 2 3 4 8 2 3" xfId="2899" xr:uid="{4212C7B1-FC16-4EEA-B308-38521971DA87}"/>
    <cellStyle name="Normal 2 3 4 8 2 3 2" xfId="11742" xr:uid="{1AD4DB57-9703-4397-BA0A-977CA6D6D27D}"/>
    <cellStyle name="Normal 2 3 4 8 2 4" xfId="11740" xr:uid="{62D9C3C5-A71C-4A01-80F6-63FA79219FB3}"/>
    <cellStyle name="Normal 2 3 4 8 3" xfId="2900" xr:uid="{C79EE657-6666-4149-BBAB-CE08C4D27EEA}"/>
    <cellStyle name="Normal 2 3 4 8 3 2" xfId="11743" xr:uid="{213896D5-D06F-4CAC-AF0E-2444D1C8C6A5}"/>
    <cellStyle name="Normal 2 3 4 8 4" xfId="2901" xr:uid="{92C0A396-0610-4E39-9F51-2C6A4257CE44}"/>
    <cellStyle name="Normal 2 3 4 8 4 2" xfId="11744" xr:uid="{166023B2-E3C0-446F-9828-4C81E4BF355D}"/>
    <cellStyle name="Normal 2 3 4 8 5" xfId="11739" xr:uid="{76154C68-0873-4079-BFC6-29628DF21BA9}"/>
    <cellStyle name="Normal 2 3 4 9" xfId="2902" xr:uid="{3619AAE8-FECB-4906-92E8-60C0CDAF8A0C}"/>
    <cellStyle name="Normal 2 3 4 9 2" xfId="2903" xr:uid="{F02D84D4-ECCA-41F1-8E6D-E78590C41E38}"/>
    <cellStyle name="Normal 2 3 4 9 2 2" xfId="2904" xr:uid="{41F2A20F-56DE-426A-8345-793BD46757CB}"/>
    <cellStyle name="Normal 2 3 4 9 2 2 2" xfId="11747" xr:uid="{2885ED01-0A66-43F1-B6F5-737F05AE1E58}"/>
    <cellStyle name="Normal 2 3 4 9 2 3" xfId="2905" xr:uid="{122A53EF-F107-454E-8C9C-F22D65D1D19F}"/>
    <cellStyle name="Normal 2 3 4 9 2 3 2" xfId="11748" xr:uid="{17B9C0AB-69BB-4C22-9A6E-DA5FF97F8587}"/>
    <cellStyle name="Normal 2 3 4 9 2 4" xfId="11746" xr:uid="{5A8F0AA9-99E4-4A0A-A0A5-858B17FE47CA}"/>
    <cellStyle name="Normal 2 3 4 9 3" xfId="2906" xr:uid="{DD68B6DA-6984-4A2A-8501-60A29E8D5023}"/>
    <cellStyle name="Normal 2 3 4 9 3 2" xfId="11749" xr:uid="{543BA7D9-9C10-45DA-8D35-25CEF27D7DAD}"/>
    <cellStyle name="Normal 2 3 4 9 4" xfId="2907" xr:uid="{26AB7966-556E-4194-890C-AF79F4AC2631}"/>
    <cellStyle name="Normal 2 3 4 9 4 2" xfId="11750" xr:uid="{351F23C8-6FE7-4EF8-91A5-38D8A7BF5FF5}"/>
    <cellStyle name="Normal 2 3 4 9 5" xfId="11745" xr:uid="{86D520D3-0339-4F2A-88FA-73CD87C8B0EB}"/>
    <cellStyle name="Normal 2 3 40" xfId="2908" xr:uid="{240458F9-40F2-4D50-AA8D-C54888BA73CF}"/>
    <cellStyle name="Normal 2 3 40 2" xfId="2909" xr:uid="{77E6D3E3-0ACC-4A81-A679-0C9AD24EA740}"/>
    <cellStyle name="Normal 2 3 40 2 2" xfId="2910" xr:uid="{4C614C17-795F-4868-96B0-7018B82BC532}"/>
    <cellStyle name="Normal 2 3 40 2 2 2" xfId="11753" xr:uid="{03C8C6C4-C485-4BE1-AC1E-FBD01BBD6231}"/>
    <cellStyle name="Normal 2 3 40 2 3" xfId="2911" xr:uid="{D312AF55-1DF4-4C21-9C9C-1EE0F248473A}"/>
    <cellStyle name="Normal 2 3 40 2 3 2" xfId="11754" xr:uid="{AA84C61B-C0A1-455F-B4EE-0CE75149BF98}"/>
    <cellStyle name="Normal 2 3 40 2 4" xfId="11752" xr:uid="{D6D2B797-7600-4B22-A023-F7C76B90CDA2}"/>
    <cellStyle name="Normal 2 3 40 3" xfId="2912" xr:uid="{0DA63F25-66BD-411D-BEA2-0455252D3901}"/>
    <cellStyle name="Normal 2 3 40 3 2" xfId="11755" xr:uid="{66E32A9F-9C3A-405A-8AE1-F0866F72B23F}"/>
    <cellStyle name="Normal 2 3 40 4" xfId="2913" xr:uid="{ECE146AF-241C-408F-B471-57FFAA8CA801}"/>
    <cellStyle name="Normal 2 3 40 4 2" xfId="11756" xr:uid="{2F8FE523-D130-4E73-9541-AB96A561E6B6}"/>
    <cellStyle name="Normal 2 3 40 5" xfId="11751" xr:uid="{772733E2-AB45-4057-8147-DB1D51391417}"/>
    <cellStyle name="Normal 2 3 41" xfId="2914" xr:uid="{3FC29BD8-B6FC-47ED-BF07-B06E856FFFED}"/>
    <cellStyle name="Normal 2 3 41 2" xfId="2915" xr:uid="{F0269342-29F1-4885-9065-AB9157EA3F57}"/>
    <cellStyle name="Normal 2 3 41 2 2" xfId="2916" xr:uid="{667A4A19-1269-4F3C-8C5E-B1A5460064D4}"/>
    <cellStyle name="Normal 2 3 41 2 2 2" xfId="11759" xr:uid="{DE50A187-C7C8-4503-8028-8B74921AB953}"/>
    <cellStyle name="Normal 2 3 41 2 3" xfId="2917" xr:uid="{AF389788-211F-418D-81CA-AEC8D381414F}"/>
    <cellStyle name="Normal 2 3 41 2 3 2" xfId="11760" xr:uid="{4C2455FA-1BBC-4E50-A0CE-EE7781A997E7}"/>
    <cellStyle name="Normal 2 3 41 2 4" xfId="11758" xr:uid="{E957C676-6488-47B3-A173-4C1F52E6D1A6}"/>
    <cellStyle name="Normal 2 3 41 3" xfId="2918" xr:uid="{F488A67D-6465-4E6D-B0FC-F2D1AA0418CC}"/>
    <cellStyle name="Normal 2 3 41 3 2" xfId="11761" xr:uid="{F62528D4-A818-4DE7-A5E8-4DA23512B53E}"/>
    <cellStyle name="Normal 2 3 41 4" xfId="2919" xr:uid="{DBDDCB0B-9C9C-4721-A561-FC0F7F20D7BA}"/>
    <cellStyle name="Normal 2 3 41 4 2" xfId="11762" xr:uid="{00F57D3B-1DE1-435C-9F72-AA921B6A6626}"/>
    <cellStyle name="Normal 2 3 41 5" xfId="11757" xr:uid="{CDC5C9F3-2DB1-4BFD-AA9D-C275F1EDDC9A}"/>
    <cellStyle name="Normal 2 3 42" xfId="2920" xr:uid="{F3EEA137-A02C-43DD-BE91-86BC92A3F82C}"/>
    <cellStyle name="Normal 2 3 42 2" xfId="2921" xr:uid="{B2AD8E86-23D8-4CA4-A95B-4A2FCA4E6F92}"/>
    <cellStyle name="Normal 2 3 42 2 2" xfId="2922" xr:uid="{ADB65948-16AF-4C58-8EAA-498D60F363BA}"/>
    <cellStyle name="Normal 2 3 42 2 2 2" xfId="11765" xr:uid="{27CEDF1E-3B9C-48B2-AAC7-BD2D0416B615}"/>
    <cellStyle name="Normal 2 3 42 2 3" xfId="2923" xr:uid="{FD2E6F01-1780-4876-83B9-4BB22F614507}"/>
    <cellStyle name="Normal 2 3 42 2 3 2" xfId="11766" xr:uid="{091FA6D7-6D61-4D4D-95B4-8D2FCB97386C}"/>
    <cellStyle name="Normal 2 3 42 2 4" xfId="11764" xr:uid="{81053E7E-2154-4AF7-AEF9-FCFD0A6280B1}"/>
    <cellStyle name="Normal 2 3 42 3" xfId="2924" xr:uid="{3CEC324C-A1B9-4A89-937A-2B33FDE78D92}"/>
    <cellStyle name="Normal 2 3 42 3 2" xfId="11767" xr:uid="{40814210-87D3-426D-A66E-17DBE9A23210}"/>
    <cellStyle name="Normal 2 3 42 4" xfId="2925" xr:uid="{5819B43A-5050-4F3F-93CA-CECA1FD79E2A}"/>
    <cellStyle name="Normal 2 3 42 4 2" xfId="11768" xr:uid="{2C497570-A12B-40CA-A90D-B43471036288}"/>
    <cellStyle name="Normal 2 3 42 5" xfId="11763" xr:uid="{0DC266A4-3C1C-4A2D-8C7B-02A48366A247}"/>
    <cellStyle name="Normal 2 3 43" xfId="2926" xr:uid="{1A6CA37B-7C0C-4D82-B6B9-66A29111DBEB}"/>
    <cellStyle name="Normal 2 3 43 2" xfId="2927" xr:uid="{4C9C86E5-B663-4037-B5A3-D1C096B8C363}"/>
    <cellStyle name="Normal 2 3 43 2 2" xfId="2928" xr:uid="{BF1A2CF6-F7B1-41A6-8798-D83D95446D72}"/>
    <cellStyle name="Normal 2 3 43 2 2 2" xfId="11771" xr:uid="{0EDFA8B4-C988-47A8-8DB5-79E3BB3FBBD1}"/>
    <cellStyle name="Normal 2 3 43 2 3" xfId="2929" xr:uid="{D23ACA7C-A9AC-4003-92F5-655B9E4ADF27}"/>
    <cellStyle name="Normal 2 3 43 2 3 2" xfId="11772" xr:uid="{09D4ADC3-8781-4E13-8AA1-27DC9B1F8C47}"/>
    <cellStyle name="Normal 2 3 43 2 4" xfId="11770" xr:uid="{8E7C7AD3-39E5-4B1E-B133-47E8DFE5DF89}"/>
    <cellStyle name="Normal 2 3 43 3" xfId="2930" xr:uid="{8B7ED7F8-4574-4D7F-AAB9-D10629EF13C9}"/>
    <cellStyle name="Normal 2 3 43 3 2" xfId="11773" xr:uid="{32447EE2-D335-4122-B3BD-CF12D8C6D60F}"/>
    <cellStyle name="Normal 2 3 43 4" xfId="2931" xr:uid="{81BC4C44-8878-47DD-A6FB-A1F43B4C578F}"/>
    <cellStyle name="Normal 2 3 43 4 2" xfId="11774" xr:uid="{CF2BEC29-C711-494B-8527-1052164CA241}"/>
    <cellStyle name="Normal 2 3 43 5" xfId="11769" xr:uid="{943C464D-C6B7-42CB-AF8E-BBCE39438EF4}"/>
    <cellStyle name="Normal 2 3 44" xfId="2932" xr:uid="{99F8F914-27E4-49A5-B80E-ED2CEA019DCF}"/>
    <cellStyle name="Normal 2 3 44 2" xfId="2933" xr:uid="{FCE0E390-A36A-4EB6-B8CB-8366AD20DB6D}"/>
    <cellStyle name="Normal 2 3 44 2 2" xfId="2934" xr:uid="{EDAAC7D9-0C49-4F26-9B93-0312A337FAE3}"/>
    <cellStyle name="Normal 2 3 44 2 2 2" xfId="11777" xr:uid="{0848727F-B41C-43F3-B740-86BF1E1454AB}"/>
    <cellStyle name="Normal 2 3 44 2 3" xfId="2935" xr:uid="{4307DBE4-D3C7-4EB4-847B-412EF3659292}"/>
    <cellStyle name="Normal 2 3 44 2 3 2" xfId="11778" xr:uid="{D4E156BC-5058-4457-B2F0-DDF6963C3F7A}"/>
    <cellStyle name="Normal 2 3 44 2 4" xfId="11776" xr:uid="{8F589253-5B5E-46D5-8250-63C03E3D11E1}"/>
    <cellStyle name="Normal 2 3 44 3" xfId="2936" xr:uid="{10EAC2FE-F181-4414-A9A3-D350473B4382}"/>
    <cellStyle name="Normal 2 3 44 3 2" xfId="11779" xr:uid="{B7406237-CB96-4550-A463-547F058F393A}"/>
    <cellStyle name="Normal 2 3 44 4" xfId="2937" xr:uid="{51569768-EF10-4F6A-A347-4630CBD7BABA}"/>
    <cellStyle name="Normal 2 3 44 4 2" xfId="11780" xr:uid="{15E18DC8-4176-4928-A9A6-722925B5C4D1}"/>
    <cellStyle name="Normal 2 3 44 5" xfId="11775" xr:uid="{45CE44F8-A7B4-443E-973F-FCCEB8FB5AF2}"/>
    <cellStyle name="Normal 2 3 45" xfId="2938" xr:uid="{56FE3F5D-D59B-4B52-BA12-6B3EA04D217D}"/>
    <cellStyle name="Normal 2 3 45 2" xfId="2939" xr:uid="{08D68365-88AB-45E0-A168-C71CD7B93B6C}"/>
    <cellStyle name="Normal 2 3 45 2 2" xfId="2940" xr:uid="{819424B9-34A7-445E-96EC-F934076BE480}"/>
    <cellStyle name="Normal 2 3 45 2 2 2" xfId="11783" xr:uid="{2D3C99C4-86A7-42D2-A14F-67E8227A1683}"/>
    <cellStyle name="Normal 2 3 45 2 3" xfId="2941" xr:uid="{D84D50C1-DE2B-4D2D-BB63-7DFCE38A7748}"/>
    <cellStyle name="Normal 2 3 45 2 3 2" xfId="11784" xr:uid="{6A5608F9-70B1-47C3-A47F-BA72304B03B9}"/>
    <cellStyle name="Normal 2 3 45 2 4" xfId="11782" xr:uid="{EEF546A9-6AD5-4B22-89B2-525574ECE0CE}"/>
    <cellStyle name="Normal 2 3 45 3" xfId="2942" xr:uid="{75CC53A6-0A3C-409A-9D9C-5CE44DB44BFC}"/>
    <cellStyle name="Normal 2 3 45 3 2" xfId="11785" xr:uid="{03E492C5-8B08-41CC-BAD5-BB97045E66A2}"/>
    <cellStyle name="Normal 2 3 45 4" xfId="2943" xr:uid="{A1E42FA5-1B9B-4304-B0B2-EBE990A78047}"/>
    <cellStyle name="Normal 2 3 45 4 2" xfId="11786" xr:uid="{524CC8F4-EA67-4C72-8A0E-1695DE414559}"/>
    <cellStyle name="Normal 2 3 45 5" xfId="11781" xr:uid="{D5CD43F1-551F-4868-A597-5EB7FA072BFE}"/>
    <cellStyle name="Normal 2 3 46" xfId="2944" xr:uid="{AB16C09E-7B6A-43F1-9EF1-EFF5F02F7384}"/>
    <cellStyle name="Normal 2 3 46 2" xfId="2945" xr:uid="{988FBA09-8AF7-4C9D-BBBC-6237BE05EB18}"/>
    <cellStyle name="Normal 2 3 46 2 2" xfId="2946" xr:uid="{4D1F2A8C-C6AD-486C-9EC5-0D5500812A8C}"/>
    <cellStyle name="Normal 2 3 46 2 2 2" xfId="11789" xr:uid="{F81BB0FE-3E22-4D6E-91C9-9FA917148E9B}"/>
    <cellStyle name="Normal 2 3 46 2 3" xfId="2947" xr:uid="{6B03FC47-F64B-4140-97A5-41ABEFB3AC6C}"/>
    <cellStyle name="Normal 2 3 46 2 3 2" xfId="11790" xr:uid="{BA0E492A-05CF-4A3F-9CF4-AD4E87F7EE8D}"/>
    <cellStyle name="Normal 2 3 46 2 4" xfId="11788" xr:uid="{A3147A84-AF59-4BE8-87BF-1C3CAD1B6A7D}"/>
    <cellStyle name="Normal 2 3 46 3" xfId="2948" xr:uid="{B961D62D-F9A4-4A5E-AD11-C2FC94004DA7}"/>
    <cellStyle name="Normal 2 3 46 3 2" xfId="11791" xr:uid="{5A7F7FFA-C51B-4646-9F8A-4FCE5C34019E}"/>
    <cellStyle name="Normal 2 3 46 4" xfId="2949" xr:uid="{067B03F1-4DEA-497E-9412-A8CADA18F7B0}"/>
    <cellStyle name="Normal 2 3 46 4 2" xfId="11792" xr:uid="{DB8E7F43-BD49-4F33-AEE1-5108DBE5F8D4}"/>
    <cellStyle name="Normal 2 3 46 5" xfId="11787" xr:uid="{3E9874D5-437A-4B09-9253-D9A9F3979756}"/>
    <cellStyle name="Normal 2 3 47" xfId="2950" xr:uid="{24E81245-9CEC-467C-8CA6-E4CE3D983733}"/>
    <cellStyle name="Normal 2 3 47 2" xfId="2951" xr:uid="{C6B1CCF2-4445-48E7-8018-20FF31557370}"/>
    <cellStyle name="Normal 2 3 47 2 2" xfId="2952" xr:uid="{42611C86-A1C4-4E53-B493-4729C22AAE25}"/>
    <cellStyle name="Normal 2 3 47 2 2 2" xfId="11795" xr:uid="{671F969A-F446-494D-883D-5DCD5C935DCD}"/>
    <cellStyle name="Normal 2 3 47 2 3" xfId="2953" xr:uid="{29CB5B56-E4B0-4715-9E1C-E303DF3475F1}"/>
    <cellStyle name="Normal 2 3 47 2 3 2" xfId="11796" xr:uid="{5565F38D-64E2-42A0-B091-532CDB6FA4AA}"/>
    <cellStyle name="Normal 2 3 47 2 4" xfId="11794" xr:uid="{0AE40935-A1C8-4AC7-B0DD-9EBA124DEF48}"/>
    <cellStyle name="Normal 2 3 47 3" xfId="2954" xr:uid="{36821666-B214-4545-AC54-161C4EC47731}"/>
    <cellStyle name="Normal 2 3 47 3 2" xfId="11797" xr:uid="{86BB5E70-03D3-479C-BCCF-A9661C1DFC0E}"/>
    <cellStyle name="Normal 2 3 47 4" xfId="2955" xr:uid="{5BD51653-8E40-4E59-944D-511975193C78}"/>
    <cellStyle name="Normal 2 3 47 4 2" xfId="11798" xr:uid="{35C9B8BA-C0E5-493A-AB4D-F9965C988039}"/>
    <cellStyle name="Normal 2 3 47 5" xfId="11793" xr:uid="{64BCE41C-4F95-4476-9594-1F47E27AE201}"/>
    <cellStyle name="Normal 2 3 48" xfId="2956" xr:uid="{CAA20717-CC3D-4A26-95B1-1E2451165447}"/>
    <cellStyle name="Normal 2 3 48 2" xfId="2957" xr:uid="{62A6B045-7833-4BEF-A477-37310A937A45}"/>
    <cellStyle name="Normal 2 3 48 2 2" xfId="2958" xr:uid="{1252A5AA-16A6-475D-901C-18DBEFD70F00}"/>
    <cellStyle name="Normal 2 3 48 2 2 2" xfId="11801" xr:uid="{82875CE7-E52D-4B63-B3FD-03DFD4B30740}"/>
    <cellStyle name="Normal 2 3 48 2 3" xfId="2959" xr:uid="{B67C0B6F-7598-4692-B883-D372B0E53678}"/>
    <cellStyle name="Normal 2 3 48 2 3 2" xfId="11802" xr:uid="{D7340E42-138F-4237-9317-995311445A6E}"/>
    <cellStyle name="Normal 2 3 48 2 4" xfId="11800" xr:uid="{B4D23CA8-51DC-47A3-9FB0-223FB6F27ED8}"/>
    <cellStyle name="Normal 2 3 48 3" xfId="2960" xr:uid="{07BCCEB7-371E-4559-AB04-D38897CD82CD}"/>
    <cellStyle name="Normal 2 3 48 3 2" xfId="11803" xr:uid="{CA55EAA6-95D4-4C95-A24C-05D75AC3866F}"/>
    <cellStyle name="Normal 2 3 48 4" xfId="2961" xr:uid="{898C8DCB-8A45-4319-8A93-9F02E4972B6A}"/>
    <cellStyle name="Normal 2 3 48 4 2" xfId="11804" xr:uid="{2CDFCA94-4E3E-4973-8FBE-87BE38D165D9}"/>
    <cellStyle name="Normal 2 3 48 5" xfId="11799" xr:uid="{A31DB343-E247-4CE2-BED8-82E5C53D829F}"/>
    <cellStyle name="Normal 2 3 49" xfId="2962" xr:uid="{B338E6C5-9D87-490E-B171-0CAE94FB3EEE}"/>
    <cellStyle name="Normal 2 3 49 2" xfId="2963" xr:uid="{A6DE79C5-AC00-40A5-9D01-2FBF5C7874BD}"/>
    <cellStyle name="Normal 2 3 49 2 2" xfId="2964" xr:uid="{A63F6160-3653-4625-94CE-249BC86473CB}"/>
    <cellStyle name="Normal 2 3 49 2 2 2" xfId="11807" xr:uid="{9CAA3F1C-0E8C-4F17-899D-E8556D464BEF}"/>
    <cellStyle name="Normal 2 3 49 2 3" xfId="2965" xr:uid="{8E9A9FD9-464D-472A-AC19-AB16548B8ACE}"/>
    <cellStyle name="Normal 2 3 49 2 3 2" xfId="11808" xr:uid="{A5DAAC32-9155-41F4-96A8-B71142761033}"/>
    <cellStyle name="Normal 2 3 49 2 4" xfId="11806" xr:uid="{847EF182-6642-455B-B4B0-94CDFB8B72F4}"/>
    <cellStyle name="Normal 2 3 49 3" xfId="2966" xr:uid="{8C10B9CE-E0EC-437B-8390-643EB468C66A}"/>
    <cellStyle name="Normal 2 3 49 3 2" xfId="11809" xr:uid="{AD661E22-D973-42E4-B301-68BDA99E234F}"/>
    <cellStyle name="Normal 2 3 49 4" xfId="2967" xr:uid="{1EE0313C-C2E0-43C0-94F1-EDCE2397747B}"/>
    <cellStyle name="Normal 2 3 49 4 2" xfId="11810" xr:uid="{F0F0CCF1-D330-4CA7-AF48-BCE48F135F57}"/>
    <cellStyle name="Normal 2 3 49 5" xfId="11805" xr:uid="{831E3AD0-C618-4E55-92E4-9B19FBBA1A65}"/>
    <cellStyle name="Normal 2 3 5" xfId="2968" xr:uid="{A1A2AEF1-17BD-4AC4-B655-A8C5F08BB1F2}"/>
    <cellStyle name="Normal 2 3 5 10" xfId="2969" xr:uid="{2DA27578-DA45-490A-A1CA-D0A1AB0F0CFA}"/>
    <cellStyle name="Normal 2 3 5 10 2" xfId="2970" xr:uid="{D6AE8356-A39D-4AA8-89B5-09EAC6A880BC}"/>
    <cellStyle name="Normal 2 3 5 10 2 2" xfId="2971" xr:uid="{0C8A3A28-87C0-43A3-8527-EE376740A08C}"/>
    <cellStyle name="Normal 2 3 5 10 2 2 2" xfId="11814" xr:uid="{591BB8E6-ED65-4CB0-BBA6-FD941A6E720C}"/>
    <cellStyle name="Normal 2 3 5 10 2 3" xfId="2972" xr:uid="{D1D34D37-3B87-42F1-B40A-D99E7A05792E}"/>
    <cellStyle name="Normal 2 3 5 10 2 3 2" xfId="11815" xr:uid="{469F6A2A-DA7C-48D9-82E4-9DBB47086C73}"/>
    <cellStyle name="Normal 2 3 5 10 2 4" xfId="11813" xr:uid="{F291504B-E4FE-42B0-88FA-F4990094C74E}"/>
    <cellStyle name="Normal 2 3 5 10 3" xfId="2973" xr:uid="{7F7523C8-0A53-4986-811A-0545AAC09C34}"/>
    <cellStyle name="Normal 2 3 5 10 3 2" xfId="11816" xr:uid="{9847CEEC-6BF1-4BC3-850B-3047DE9F78D7}"/>
    <cellStyle name="Normal 2 3 5 10 4" xfId="2974" xr:uid="{E6E0B5CE-B814-4C4C-AC34-FB84DD8B89BC}"/>
    <cellStyle name="Normal 2 3 5 10 4 2" xfId="11817" xr:uid="{1B054FC2-7BFA-4E53-811A-A9F6AF514F6C}"/>
    <cellStyle name="Normal 2 3 5 10 5" xfId="11812" xr:uid="{38992831-F124-4338-B2FC-2F4A5FEFC5CD}"/>
    <cellStyle name="Normal 2 3 5 11" xfId="2975" xr:uid="{98E1B3B1-6B34-4B76-B15D-09E79A8F6FD2}"/>
    <cellStyle name="Normal 2 3 5 11 2" xfId="2976" xr:uid="{41A12C09-BBDC-4ED1-B8CE-A5F51F3B4206}"/>
    <cellStyle name="Normal 2 3 5 11 2 2" xfId="2977" xr:uid="{9AAAB3D3-603B-446B-BD5C-2339EAC76841}"/>
    <cellStyle name="Normal 2 3 5 11 2 2 2" xfId="11820" xr:uid="{19E4E09A-B42C-4D26-8D77-7526C4E45579}"/>
    <cellStyle name="Normal 2 3 5 11 2 3" xfId="2978" xr:uid="{81F52A00-AD24-470A-AE6A-B94C860C5130}"/>
    <cellStyle name="Normal 2 3 5 11 2 3 2" xfId="11821" xr:uid="{B336744E-608B-4BF4-BC7C-5407284D4F25}"/>
    <cellStyle name="Normal 2 3 5 11 2 4" xfId="11819" xr:uid="{0FDB290D-1A2B-48A3-9769-A67F4E1F6671}"/>
    <cellStyle name="Normal 2 3 5 11 3" xfId="2979" xr:uid="{74025981-5BDD-4984-A8B0-ACF90D22DB92}"/>
    <cellStyle name="Normal 2 3 5 11 3 2" xfId="11822" xr:uid="{34765144-4682-420B-A8AC-4D6DE9395B57}"/>
    <cellStyle name="Normal 2 3 5 11 4" xfId="2980" xr:uid="{D0831C60-5FD5-4ED0-AB31-8DB58CD13AAF}"/>
    <cellStyle name="Normal 2 3 5 11 4 2" xfId="11823" xr:uid="{CE427DCC-33EB-4902-A6E4-84B80D233E52}"/>
    <cellStyle name="Normal 2 3 5 11 5" xfId="11818" xr:uid="{03A3A14F-C09E-4F92-BA14-2EE47E6D6380}"/>
    <cellStyle name="Normal 2 3 5 12" xfId="2981" xr:uid="{4F488A63-4F20-45F8-A359-1C9F9F5F7300}"/>
    <cellStyle name="Normal 2 3 5 12 2" xfId="2982" xr:uid="{99145171-6A8D-4AF5-ACE5-94993EEABDF7}"/>
    <cellStyle name="Normal 2 3 5 12 2 2" xfId="2983" xr:uid="{5BF57A5C-F20B-4A62-8FFD-68C9CEFE0D95}"/>
    <cellStyle name="Normal 2 3 5 12 2 2 2" xfId="11826" xr:uid="{106DCDC5-9D49-4B31-9096-8E03A29F50D3}"/>
    <cellStyle name="Normal 2 3 5 12 2 3" xfId="2984" xr:uid="{CF553A13-E647-4374-BE92-4529D98542F2}"/>
    <cellStyle name="Normal 2 3 5 12 2 3 2" xfId="11827" xr:uid="{14F648CA-3FE0-4940-9D05-25FC8D28071F}"/>
    <cellStyle name="Normal 2 3 5 12 2 4" xfId="11825" xr:uid="{8E18CB9E-C9F4-42DC-9557-5E00C9E55862}"/>
    <cellStyle name="Normal 2 3 5 12 3" xfId="2985" xr:uid="{FC295992-5699-4C2E-BFD3-6E51D645FACE}"/>
    <cellStyle name="Normal 2 3 5 12 3 2" xfId="11828" xr:uid="{B99AAAD7-2A83-48B9-B4CC-32896DA1B802}"/>
    <cellStyle name="Normal 2 3 5 12 4" xfId="2986" xr:uid="{E3A375A9-79FD-4732-B20C-5F25907D1F06}"/>
    <cellStyle name="Normal 2 3 5 12 4 2" xfId="11829" xr:uid="{7C9034E9-66B6-4007-90C6-AA90F66644EB}"/>
    <cellStyle name="Normal 2 3 5 12 5" xfId="11824" xr:uid="{74C3A1E4-365F-4DC9-92FF-711EE0FDFC12}"/>
    <cellStyle name="Normal 2 3 5 13" xfId="2987" xr:uid="{D531C082-E85D-49DF-B98A-89D0B2D478A5}"/>
    <cellStyle name="Normal 2 3 5 13 2" xfId="2988" xr:uid="{D46D6EA8-247B-4446-A16E-CB5CA3E58DE0}"/>
    <cellStyle name="Normal 2 3 5 13 2 2" xfId="2989" xr:uid="{72379A02-1138-4B0C-BCA1-6994EA6EE422}"/>
    <cellStyle name="Normal 2 3 5 13 2 2 2" xfId="11832" xr:uid="{FF4CC491-8750-41F7-88C2-DB9B47AE5F1B}"/>
    <cellStyle name="Normal 2 3 5 13 2 3" xfId="2990" xr:uid="{41E20072-B6E2-4160-92E9-9CFA44F40FFD}"/>
    <cellStyle name="Normal 2 3 5 13 2 3 2" xfId="11833" xr:uid="{653176C9-73A2-4B91-A04A-10AE0ADAB217}"/>
    <cellStyle name="Normal 2 3 5 13 2 4" xfId="11831" xr:uid="{5BA792B4-F258-4156-976F-7AD4DC6D14BC}"/>
    <cellStyle name="Normal 2 3 5 13 3" xfId="2991" xr:uid="{6378CC74-01B5-49F0-9189-DF162FDEA0B7}"/>
    <cellStyle name="Normal 2 3 5 13 3 2" xfId="11834" xr:uid="{828308ED-25D4-40FE-A954-99D3D0A5B4B8}"/>
    <cellStyle name="Normal 2 3 5 13 4" xfId="2992" xr:uid="{3078BFA0-1E82-4F17-BBBF-6159C13819BC}"/>
    <cellStyle name="Normal 2 3 5 13 4 2" xfId="11835" xr:uid="{AAC3051C-D1E2-415B-9B4A-99B574496124}"/>
    <cellStyle name="Normal 2 3 5 13 5" xfId="11830" xr:uid="{FBEBEB9D-BB4A-4778-A505-06499CE4F08E}"/>
    <cellStyle name="Normal 2 3 5 14" xfId="2993" xr:uid="{6CB75294-15A1-46BF-ADA0-17DB8D0F26B9}"/>
    <cellStyle name="Normal 2 3 5 14 2" xfId="2994" xr:uid="{89253BD8-A0EB-4744-B1A7-DCAB99EE28E2}"/>
    <cellStyle name="Normal 2 3 5 14 2 2" xfId="2995" xr:uid="{C5F45657-8616-4361-B06B-F5FE8F18B3D6}"/>
    <cellStyle name="Normal 2 3 5 14 2 2 2" xfId="11838" xr:uid="{74E357C8-E32F-4A72-8DBD-EC59A942D57F}"/>
    <cellStyle name="Normal 2 3 5 14 2 3" xfId="2996" xr:uid="{F3A26857-8030-4A54-B63A-3F5BB817CA7F}"/>
    <cellStyle name="Normal 2 3 5 14 2 3 2" xfId="11839" xr:uid="{D3290834-5C9E-4570-959E-27A972310FCA}"/>
    <cellStyle name="Normal 2 3 5 14 2 4" xfId="11837" xr:uid="{89530AC3-F6E2-4CE8-8E93-70FE1CB43CA0}"/>
    <cellStyle name="Normal 2 3 5 14 3" xfId="2997" xr:uid="{897AB385-37C8-4ED9-86F1-92A586DD39D0}"/>
    <cellStyle name="Normal 2 3 5 14 3 2" xfId="11840" xr:uid="{A1C8FA42-32BA-45D1-897E-0C3A8A25E71D}"/>
    <cellStyle name="Normal 2 3 5 14 4" xfId="2998" xr:uid="{8388247E-39A2-43EB-A85D-1E44B034AC8F}"/>
    <cellStyle name="Normal 2 3 5 14 4 2" xfId="11841" xr:uid="{1D3E38F1-7B81-469A-BEF0-ACDF2A8D1FDA}"/>
    <cellStyle name="Normal 2 3 5 14 5" xfId="11836" xr:uid="{A32ACF46-325E-470F-B2E8-A6B1CF95D6F0}"/>
    <cellStyle name="Normal 2 3 5 15" xfId="2999" xr:uid="{028272CB-18E4-499F-B4AB-66D9C52BB3D3}"/>
    <cellStyle name="Normal 2 3 5 15 2" xfId="3000" xr:uid="{088F1916-72A9-42CE-A457-C443751C2884}"/>
    <cellStyle name="Normal 2 3 5 15 2 2" xfId="3001" xr:uid="{30CCF5CF-1DE3-4B69-9CA1-C87C05A283B2}"/>
    <cellStyle name="Normal 2 3 5 15 2 2 2" xfId="11844" xr:uid="{1AD9B239-5AD5-4246-ABA1-6E0BCB0007A5}"/>
    <cellStyle name="Normal 2 3 5 15 2 3" xfId="3002" xr:uid="{E86B3831-FD92-4C69-B52B-473709804C29}"/>
    <cellStyle name="Normal 2 3 5 15 2 3 2" xfId="11845" xr:uid="{666953A3-65D0-4AA4-8A3D-ED4A6F1C1960}"/>
    <cellStyle name="Normal 2 3 5 15 2 4" xfId="11843" xr:uid="{A1330678-9944-4EF2-920D-CAB00F42661B}"/>
    <cellStyle name="Normal 2 3 5 15 3" xfId="3003" xr:uid="{B2B4C499-D9B6-4928-A241-B08DCFAA4805}"/>
    <cellStyle name="Normal 2 3 5 15 3 2" xfId="11846" xr:uid="{7956A8E9-6E16-42B7-847C-38B147453821}"/>
    <cellStyle name="Normal 2 3 5 15 4" xfId="3004" xr:uid="{770A34E2-C3C7-4EB9-B7F9-8104DE56037D}"/>
    <cellStyle name="Normal 2 3 5 15 4 2" xfId="11847" xr:uid="{3342A124-B637-4C7E-9B98-69EEF0665499}"/>
    <cellStyle name="Normal 2 3 5 15 5" xfId="11842" xr:uid="{6A4F5A0C-D17D-4DAC-9E76-23023E7960A2}"/>
    <cellStyle name="Normal 2 3 5 16" xfId="3005" xr:uid="{604F8549-2BD9-493C-8FE2-D4215D46733A}"/>
    <cellStyle name="Normal 2 3 5 16 2" xfId="3006" xr:uid="{70509F2E-7EEB-4B4E-B55C-398D3F6874FB}"/>
    <cellStyle name="Normal 2 3 5 16 2 2" xfId="3007" xr:uid="{54A5F032-CCB3-4080-89FD-A72AF54732AE}"/>
    <cellStyle name="Normal 2 3 5 16 2 2 2" xfId="11850" xr:uid="{D0ECD1B1-C54F-4178-9A1D-EE73181D4382}"/>
    <cellStyle name="Normal 2 3 5 16 2 3" xfId="3008" xr:uid="{B5349617-AA50-4D23-AFAC-605E810892F9}"/>
    <cellStyle name="Normal 2 3 5 16 2 3 2" xfId="11851" xr:uid="{265DB0B1-EB66-420F-ADBA-21DAECEEE6AC}"/>
    <cellStyle name="Normal 2 3 5 16 2 4" xfId="11849" xr:uid="{A3D1B389-E9D2-4DE5-8A00-CF61B509D1A6}"/>
    <cellStyle name="Normal 2 3 5 16 3" xfId="3009" xr:uid="{297470AF-5B38-4832-B225-9FA923AAD9C9}"/>
    <cellStyle name="Normal 2 3 5 16 3 2" xfId="11852" xr:uid="{7C3AE42A-9E73-46A8-BAE1-7D29FD18E5EF}"/>
    <cellStyle name="Normal 2 3 5 16 4" xfId="3010" xr:uid="{83495386-9059-441E-B7A2-77E3C151834C}"/>
    <cellStyle name="Normal 2 3 5 16 4 2" xfId="11853" xr:uid="{70BF26FC-9DC5-4CCE-9603-96D5E8BAB060}"/>
    <cellStyle name="Normal 2 3 5 16 5" xfId="11848" xr:uid="{EEEBFB56-3ED3-4067-859A-6DAA3061FB17}"/>
    <cellStyle name="Normal 2 3 5 17" xfId="3011" xr:uid="{1C51F6B7-22D6-4319-AE29-5E1710200A33}"/>
    <cellStyle name="Normal 2 3 5 17 2" xfId="3012" xr:uid="{DDCF9495-D135-4FBF-8D7C-AE30F7756459}"/>
    <cellStyle name="Normal 2 3 5 17 2 2" xfId="3013" xr:uid="{AF3612CC-DF87-4B18-A9D5-36CCF261F653}"/>
    <cellStyle name="Normal 2 3 5 17 2 2 2" xfId="11856" xr:uid="{84211CA4-A97C-4111-ABCD-D92E9E748E95}"/>
    <cellStyle name="Normal 2 3 5 17 2 3" xfId="3014" xr:uid="{855B3F1B-5E2C-449C-92EF-2B61F89DF248}"/>
    <cellStyle name="Normal 2 3 5 17 2 3 2" xfId="11857" xr:uid="{9805FCC7-5B18-42BE-AA78-480424CC5FF2}"/>
    <cellStyle name="Normal 2 3 5 17 2 4" xfId="11855" xr:uid="{6003E1CD-C985-4AD3-A594-F4F3C109BBC2}"/>
    <cellStyle name="Normal 2 3 5 17 3" xfId="3015" xr:uid="{0D5BB798-F864-467F-8862-F63E8598A95A}"/>
    <cellStyle name="Normal 2 3 5 17 3 2" xfId="11858" xr:uid="{93307CE9-6146-4637-976C-94863CD32A0C}"/>
    <cellStyle name="Normal 2 3 5 17 4" xfId="3016" xr:uid="{77D141BA-3FDA-4108-98DD-7143B7546B8B}"/>
    <cellStyle name="Normal 2 3 5 17 4 2" xfId="11859" xr:uid="{6023FF7E-2027-4A06-A1E0-1AB09C6F5EF5}"/>
    <cellStyle name="Normal 2 3 5 17 5" xfId="11854" xr:uid="{FD173CE7-DAA2-4FC5-8A0A-ECB819B33A04}"/>
    <cellStyle name="Normal 2 3 5 18" xfId="3017" xr:uid="{5704A0E6-6B3B-4488-A4F7-B08E6AA65158}"/>
    <cellStyle name="Normal 2 3 5 18 2" xfId="3018" xr:uid="{4631BFB3-3B8D-4A44-B994-7EE7B321B446}"/>
    <cellStyle name="Normal 2 3 5 18 2 2" xfId="3019" xr:uid="{FBEF5269-9AE8-432A-B762-9F5386E9FAB7}"/>
    <cellStyle name="Normal 2 3 5 18 2 2 2" xfId="11862" xr:uid="{F905B4F1-881D-4CD1-A8B2-570BA4DA5C66}"/>
    <cellStyle name="Normal 2 3 5 18 2 3" xfId="3020" xr:uid="{09538B7D-6603-4D7D-A10E-5EFD002BA312}"/>
    <cellStyle name="Normal 2 3 5 18 2 3 2" xfId="11863" xr:uid="{F5A88C33-C01F-4ECA-8F43-85565A9CF153}"/>
    <cellStyle name="Normal 2 3 5 18 2 4" xfId="11861" xr:uid="{E73626D4-624F-48DE-B14B-C2708FAEB159}"/>
    <cellStyle name="Normal 2 3 5 18 3" xfId="3021" xr:uid="{875C099C-F472-42B8-B4C2-D777529193EB}"/>
    <cellStyle name="Normal 2 3 5 18 3 2" xfId="11864" xr:uid="{185198CE-114B-4D2E-9BFF-636A81977E75}"/>
    <cellStyle name="Normal 2 3 5 18 4" xfId="3022" xr:uid="{D33A5AF2-A30B-48D7-A3D1-2DFD92F1EC2B}"/>
    <cellStyle name="Normal 2 3 5 18 4 2" xfId="11865" xr:uid="{D3867FDA-DFB3-42A3-835A-8FDA911245E7}"/>
    <cellStyle name="Normal 2 3 5 18 5" xfId="11860" xr:uid="{59D9E1B9-36C9-4AAE-BEEF-0E47BCC3B565}"/>
    <cellStyle name="Normal 2 3 5 19" xfId="3023" xr:uid="{A7F49A16-FA60-4D3C-B638-B458AB9DA7FC}"/>
    <cellStyle name="Normal 2 3 5 19 2" xfId="3024" xr:uid="{393515A5-893A-4DF0-9CFF-AC383508E394}"/>
    <cellStyle name="Normal 2 3 5 19 2 2" xfId="3025" xr:uid="{D702615D-2F24-43E1-9D36-6F5397768DF8}"/>
    <cellStyle name="Normal 2 3 5 19 2 2 2" xfId="11868" xr:uid="{9B3F8CD8-6D05-4DC3-96AD-2438DEF2658E}"/>
    <cellStyle name="Normal 2 3 5 19 2 3" xfId="3026" xr:uid="{CF9EBC3B-5C2E-414C-A55D-2E8BB12983A2}"/>
    <cellStyle name="Normal 2 3 5 19 2 3 2" xfId="11869" xr:uid="{491F9194-75BF-448B-ACF4-B410A07B78F5}"/>
    <cellStyle name="Normal 2 3 5 19 2 4" xfId="11867" xr:uid="{739025EA-51EB-4212-986A-763F35EA606F}"/>
    <cellStyle name="Normal 2 3 5 19 3" xfId="3027" xr:uid="{B0E437F0-FA2C-4BC3-8CFC-6E67AF1BD247}"/>
    <cellStyle name="Normal 2 3 5 19 3 2" xfId="11870" xr:uid="{52AAF710-0E5A-4A80-96F1-DC51C8F255C8}"/>
    <cellStyle name="Normal 2 3 5 19 4" xfId="3028" xr:uid="{288332FC-E3C5-4892-A0D4-F1A8EEAD0A1F}"/>
    <cellStyle name="Normal 2 3 5 19 4 2" xfId="11871" xr:uid="{EF72E658-9BC7-404F-AC40-C21D3A43495F}"/>
    <cellStyle name="Normal 2 3 5 19 5" xfId="11866" xr:uid="{3E35D948-C973-49DD-8B73-B103E4117A93}"/>
    <cellStyle name="Normal 2 3 5 2" xfId="3029" xr:uid="{6DCE08FA-0D76-4348-BD9F-D82A8B862DEC}"/>
    <cellStyle name="Normal 2 3 5 2 2" xfId="3030" xr:uid="{CF4A022B-40CD-492D-ACF0-E9CAC5035F6A}"/>
    <cellStyle name="Normal 2 3 5 2 2 2" xfId="3031" xr:uid="{F870255E-E774-4834-A362-96EB0B66AE05}"/>
    <cellStyle name="Normal 2 3 5 2 2 2 2" xfId="11874" xr:uid="{0C862413-01D3-480D-9EF8-37CDC9BE75C4}"/>
    <cellStyle name="Normal 2 3 5 2 2 3" xfId="3032" xr:uid="{16A1E333-A41C-4CAD-819E-AE42412E8F96}"/>
    <cellStyle name="Normal 2 3 5 2 2 3 2" xfId="11875" xr:uid="{77438BBC-140C-481E-9A20-42EA1D133938}"/>
    <cellStyle name="Normal 2 3 5 2 2 4" xfId="11873" xr:uid="{8CE08D9D-46EC-4FEA-8958-509BE3093212}"/>
    <cellStyle name="Normal 2 3 5 2 3" xfId="3033" xr:uid="{3FC6BD77-9E52-4807-B5B8-D924598CE59A}"/>
    <cellStyle name="Normal 2 3 5 2 3 2" xfId="11876" xr:uid="{7DE4A26B-B711-4F72-A678-0D446A520744}"/>
    <cellStyle name="Normal 2 3 5 2 4" xfId="3034" xr:uid="{91C74C55-6EFA-4A53-8325-32FB4A761C7F}"/>
    <cellStyle name="Normal 2 3 5 2 4 2" xfId="11877" xr:uid="{9D62561F-52C8-4B4A-BA32-EB86D9A9A2F1}"/>
    <cellStyle name="Normal 2 3 5 2 5" xfId="11872" xr:uid="{C08D3437-E50E-4FAB-9FF9-3C57B394B281}"/>
    <cellStyle name="Normal 2 3 5 20" xfId="3035" xr:uid="{938BB891-63ED-4280-8587-C2705C6D84EC}"/>
    <cellStyle name="Normal 2 3 5 20 2" xfId="3036" xr:uid="{B245F7A3-BDB5-45FE-8D6F-16316D6EA331}"/>
    <cellStyle name="Normal 2 3 5 20 2 2" xfId="3037" xr:uid="{1BB156F9-0A0B-46B1-9AC7-A81BADF97668}"/>
    <cellStyle name="Normal 2 3 5 20 2 2 2" xfId="11880" xr:uid="{7BF2F8C1-9A43-40D6-A465-75B78018148C}"/>
    <cellStyle name="Normal 2 3 5 20 2 3" xfId="3038" xr:uid="{F8E020CA-E051-4E23-908F-30DB663321CE}"/>
    <cellStyle name="Normal 2 3 5 20 2 3 2" xfId="11881" xr:uid="{45E72169-FBED-492B-88A5-99063B6C71B4}"/>
    <cellStyle name="Normal 2 3 5 20 2 4" xfId="11879" xr:uid="{3CF3993A-C18B-4A6F-8DFE-E0EB0ACBA1EC}"/>
    <cellStyle name="Normal 2 3 5 20 3" xfId="3039" xr:uid="{BE683D2F-9B39-458B-8765-9B7EEE2EC3C6}"/>
    <cellStyle name="Normal 2 3 5 20 3 2" xfId="11882" xr:uid="{656E7213-FD3C-45BB-A6B0-0EA07222D877}"/>
    <cellStyle name="Normal 2 3 5 20 4" xfId="3040" xr:uid="{0289C69B-D6C3-42F6-AF68-369843DC1E46}"/>
    <cellStyle name="Normal 2 3 5 20 4 2" xfId="11883" xr:uid="{F2A6DAE8-5165-4260-91A3-74B21C1FCF80}"/>
    <cellStyle name="Normal 2 3 5 20 5" xfId="11878" xr:uid="{28B55FF6-766C-4C0D-B10E-89F5474CD1AB}"/>
    <cellStyle name="Normal 2 3 5 21" xfId="3041" xr:uid="{59E01A6F-42CF-4455-AA90-7E45063FA61B}"/>
    <cellStyle name="Normal 2 3 5 21 2" xfId="3042" xr:uid="{E089498A-C070-42B3-B160-06639A984D1C}"/>
    <cellStyle name="Normal 2 3 5 21 2 2" xfId="3043" xr:uid="{88A6E3F2-2F9E-40CF-9105-9AAA42FE03AA}"/>
    <cellStyle name="Normal 2 3 5 21 2 2 2" xfId="11886" xr:uid="{66FA35E5-33E3-4C2E-84CE-50F6C4589C60}"/>
    <cellStyle name="Normal 2 3 5 21 2 3" xfId="3044" xr:uid="{06C13C60-CB50-4A06-96C9-7F16E12DF17F}"/>
    <cellStyle name="Normal 2 3 5 21 2 3 2" xfId="11887" xr:uid="{FF4006FD-A221-4B27-BF00-FCA46EB8662B}"/>
    <cellStyle name="Normal 2 3 5 21 2 4" xfId="11885" xr:uid="{7CD48BF1-5BA6-4087-8FF6-2D0903B35642}"/>
    <cellStyle name="Normal 2 3 5 21 3" xfId="3045" xr:uid="{35E34834-A22C-479E-B05A-4054FAE659BE}"/>
    <cellStyle name="Normal 2 3 5 21 3 2" xfId="11888" xr:uid="{61FA3AB5-867D-4B0B-8E90-1F1680C0C75A}"/>
    <cellStyle name="Normal 2 3 5 21 4" xfId="3046" xr:uid="{476FCDC9-A711-442B-AAA9-AF708FE6BC1E}"/>
    <cellStyle name="Normal 2 3 5 21 4 2" xfId="11889" xr:uid="{82908560-C9AB-4395-84C6-0DB7190A19BF}"/>
    <cellStyle name="Normal 2 3 5 21 5" xfId="11884" xr:uid="{3F35E7C9-438E-441C-89A7-E2CCC189317B}"/>
    <cellStyle name="Normal 2 3 5 22" xfId="3047" xr:uid="{1547E416-08BC-4A79-9F1F-11B89AF570C1}"/>
    <cellStyle name="Normal 2 3 5 22 2" xfId="3048" xr:uid="{128FCE77-6DF4-4C86-A26B-6A4CC0ADEF99}"/>
    <cellStyle name="Normal 2 3 5 22 2 2" xfId="3049" xr:uid="{5D99D558-6119-42ED-B3F8-09088FAE8C75}"/>
    <cellStyle name="Normal 2 3 5 22 2 2 2" xfId="11892" xr:uid="{EDF525AF-D91C-4F4B-AF5A-8CB8D8489F4F}"/>
    <cellStyle name="Normal 2 3 5 22 2 3" xfId="3050" xr:uid="{4755FC25-1115-4299-AA32-3CA24E82A48D}"/>
    <cellStyle name="Normal 2 3 5 22 2 3 2" xfId="11893" xr:uid="{D4D0D3DB-758B-4593-BD95-CEA0E4D60A68}"/>
    <cellStyle name="Normal 2 3 5 22 2 4" xfId="11891" xr:uid="{90C9B895-C48C-478E-BB6A-45AC0BECCE6F}"/>
    <cellStyle name="Normal 2 3 5 22 3" xfId="3051" xr:uid="{07F20ACA-6E78-4AC0-88E8-644AAEB7E1A7}"/>
    <cellStyle name="Normal 2 3 5 22 3 2" xfId="11894" xr:uid="{B8B19B3A-5933-43C1-9EF3-E66C64A5399B}"/>
    <cellStyle name="Normal 2 3 5 22 4" xfId="3052" xr:uid="{3FE3317E-B419-4B68-B33A-18D43E19FAA6}"/>
    <cellStyle name="Normal 2 3 5 22 4 2" xfId="11895" xr:uid="{4E5FEB46-CD83-47C5-BE23-3D12A04EE91E}"/>
    <cellStyle name="Normal 2 3 5 22 5" xfId="11890" xr:uid="{B8C062B9-781F-4160-8B7E-2232346D20A0}"/>
    <cellStyle name="Normal 2 3 5 23" xfId="3053" xr:uid="{7A8DC735-80E8-42E6-95A7-7FBFC9CE60B0}"/>
    <cellStyle name="Normal 2 3 5 23 2" xfId="3054" xr:uid="{3E1A5DDE-BE43-4FCA-A47A-9C97975C1EC7}"/>
    <cellStyle name="Normal 2 3 5 23 2 2" xfId="3055" xr:uid="{49D088F7-C380-4AA5-8F44-7B6A60EBA04B}"/>
    <cellStyle name="Normal 2 3 5 23 2 2 2" xfId="11898" xr:uid="{E019DBBF-065A-40E4-81EF-A9DA69E30665}"/>
    <cellStyle name="Normal 2 3 5 23 2 3" xfId="3056" xr:uid="{857E381A-899C-485F-9554-F512D98E8656}"/>
    <cellStyle name="Normal 2 3 5 23 2 3 2" xfId="11899" xr:uid="{1AE31CB5-FF1B-42E9-91B5-0BB60D08F6C5}"/>
    <cellStyle name="Normal 2 3 5 23 2 4" xfId="11897" xr:uid="{2B401E30-6557-4BA5-A61C-3BFB477C449F}"/>
    <cellStyle name="Normal 2 3 5 23 3" xfId="3057" xr:uid="{A727C020-ED65-4A0A-8713-A1F8FA6F2D8B}"/>
    <cellStyle name="Normal 2 3 5 23 3 2" xfId="11900" xr:uid="{9CD137BF-9F59-4A94-BA76-49779A1D1D25}"/>
    <cellStyle name="Normal 2 3 5 23 4" xfId="3058" xr:uid="{18559CF2-A180-42E1-B46F-B406C4513701}"/>
    <cellStyle name="Normal 2 3 5 23 4 2" xfId="11901" xr:uid="{4E53C6EA-8650-41EF-A70C-DFB127C6509C}"/>
    <cellStyle name="Normal 2 3 5 23 5" xfId="11896" xr:uid="{F011CD5F-FCC4-4C5E-9F0E-D857059D9357}"/>
    <cellStyle name="Normal 2 3 5 24" xfId="3059" xr:uid="{614FA370-3F8B-40DA-953C-E50534A991D2}"/>
    <cellStyle name="Normal 2 3 5 24 2" xfId="3060" xr:uid="{CF67ECEE-B372-428A-BD05-2128626A7DBA}"/>
    <cellStyle name="Normal 2 3 5 24 2 2" xfId="3061" xr:uid="{A26E9E36-EB32-4B72-827A-F822526FE7D4}"/>
    <cellStyle name="Normal 2 3 5 24 2 2 2" xfId="11904" xr:uid="{E005E301-9BD8-4674-91D3-26D49DC3303B}"/>
    <cellStyle name="Normal 2 3 5 24 2 3" xfId="3062" xr:uid="{03C59580-2EA2-4FE4-835C-2F783B20BA4B}"/>
    <cellStyle name="Normal 2 3 5 24 2 3 2" xfId="11905" xr:uid="{03F9D238-7266-4FB0-B81B-79939B736F84}"/>
    <cellStyle name="Normal 2 3 5 24 2 4" xfId="11903" xr:uid="{A06D22EA-6B2F-439D-9BF1-C65814D17955}"/>
    <cellStyle name="Normal 2 3 5 24 3" xfId="3063" xr:uid="{0EB92EDF-BF35-4A28-9DEB-CB711B5854C0}"/>
    <cellStyle name="Normal 2 3 5 24 3 2" xfId="11906" xr:uid="{5DAED3A4-85A6-4556-B52C-5AC8C0BD221D}"/>
    <cellStyle name="Normal 2 3 5 24 4" xfId="3064" xr:uid="{5D3FDA29-C57C-4FB7-90BB-27C97F68895D}"/>
    <cellStyle name="Normal 2 3 5 24 4 2" xfId="11907" xr:uid="{DEAADC47-111C-4B7C-BE7E-EE7276FC7055}"/>
    <cellStyle name="Normal 2 3 5 24 5" xfId="11902" xr:uid="{924C83EB-3C90-401E-BD82-77D7B327A7DA}"/>
    <cellStyle name="Normal 2 3 5 25" xfId="3065" xr:uid="{93DA8141-0CC8-4BE4-BF3D-08FC6E1EA2B5}"/>
    <cellStyle name="Normal 2 3 5 25 2" xfId="3066" xr:uid="{192ECDC6-6E5D-4960-ADFD-FE6DAA241426}"/>
    <cellStyle name="Normal 2 3 5 25 2 2" xfId="3067" xr:uid="{E8062951-5166-4083-AF80-DA52096EB39B}"/>
    <cellStyle name="Normal 2 3 5 25 2 2 2" xfId="11910" xr:uid="{0038C6C2-2D5B-49E7-917A-F0F6793B3083}"/>
    <cellStyle name="Normal 2 3 5 25 2 3" xfId="3068" xr:uid="{EF2FE6BB-DDC3-4EE1-B430-27835D2A2D33}"/>
    <cellStyle name="Normal 2 3 5 25 2 3 2" xfId="11911" xr:uid="{044F8200-9A0B-4983-A0A9-A34FDEB095D8}"/>
    <cellStyle name="Normal 2 3 5 25 2 4" xfId="11909" xr:uid="{7850B564-C263-4359-B820-A7CFAD2DC199}"/>
    <cellStyle name="Normal 2 3 5 25 3" xfId="3069" xr:uid="{7A81FE7E-1A90-4E6F-8390-FB2E0D93E4D2}"/>
    <cellStyle name="Normal 2 3 5 25 3 2" xfId="11912" xr:uid="{424F41F9-F4C8-4795-A558-BA49DF5B2A2E}"/>
    <cellStyle name="Normal 2 3 5 25 4" xfId="3070" xr:uid="{23B57ED9-C1D5-42E0-A1D0-2E1CA7B5E002}"/>
    <cellStyle name="Normal 2 3 5 25 4 2" xfId="11913" xr:uid="{AA131791-D608-4CC4-9310-80A82CDE4470}"/>
    <cellStyle name="Normal 2 3 5 25 5" xfId="11908" xr:uid="{5E8B9220-3693-4714-9BD9-8012614E90BE}"/>
    <cellStyle name="Normal 2 3 5 26" xfId="3071" xr:uid="{CDD6CE65-D37B-4EB0-BE52-56B0794F8659}"/>
    <cellStyle name="Normal 2 3 5 26 2" xfId="3072" xr:uid="{84624315-55A7-4320-A5C8-27DA54DC2C05}"/>
    <cellStyle name="Normal 2 3 5 26 2 2" xfId="3073" xr:uid="{20F1BF3B-37EB-481F-B264-B794070093D9}"/>
    <cellStyle name="Normal 2 3 5 26 2 2 2" xfId="11916" xr:uid="{FBBCCB15-FA8E-440F-8EBB-71498D38A971}"/>
    <cellStyle name="Normal 2 3 5 26 2 3" xfId="3074" xr:uid="{8E330F33-3710-4206-9AF8-4CD1D90C987A}"/>
    <cellStyle name="Normal 2 3 5 26 2 3 2" xfId="11917" xr:uid="{AEC26924-6257-42EB-865D-747EE7B4A6FC}"/>
    <cellStyle name="Normal 2 3 5 26 2 4" xfId="11915" xr:uid="{A3FC91EA-5B2D-4B3F-8E79-E7F06647B01E}"/>
    <cellStyle name="Normal 2 3 5 26 3" xfId="3075" xr:uid="{82F7358D-958A-455D-B2BA-68E306EB58F4}"/>
    <cellStyle name="Normal 2 3 5 26 3 2" xfId="11918" xr:uid="{4F6C81DB-F292-4065-8EAA-1D7186BE89B8}"/>
    <cellStyle name="Normal 2 3 5 26 4" xfId="3076" xr:uid="{29E70A91-B50B-4F85-844F-6C48C4E31680}"/>
    <cellStyle name="Normal 2 3 5 26 4 2" xfId="11919" xr:uid="{68A696CD-8161-45B8-8C5E-46EE66E59D94}"/>
    <cellStyle name="Normal 2 3 5 26 5" xfId="11914" xr:uid="{98CCD460-B885-4CED-8CA7-31E3AB2BCF22}"/>
    <cellStyle name="Normal 2 3 5 27" xfId="3077" xr:uid="{6E782B92-D7CF-40B7-A22B-0AF0A7091847}"/>
    <cellStyle name="Normal 2 3 5 27 2" xfId="3078" xr:uid="{3CD2B0C8-AFEA-49C9-8F2C-1B2E5789A95C}"/>
    <cellStyle name="Normal 2 3 5 27 2 2" xfId="3079" xr:uid="{02E43AFD-7DAE-4ED4-B910-92D549861F54}"/>
    <cellStyle name="Normal 2 3 5 27 2 2 2" xfId="11922" xr:uid="{6F47F0FA-6B0A-45BB-8E5E-5C6EB7F364B9}"/>
    <cellStyle name="Normal 2 3 5 27 2 3" xfId="3080" xr:uid="{F3E72FE4-9235-48BB-9C37-7AB5F658F529}"/>
    <cellStyle name="Normal 2 3 5 27 2 3 2" xfId="11923" xr:uid="{C7DB74C9-A31E-479D-8651-841D74B71CAB}"/>
    <cellStyle name="Normal 2 3 5 27 2 4" xfId="11921" xr:uid="{8B8276DC-DACD-478B-8EBB-4561F27B54D2}"/>
    <cellStyle name="Normal 2 3 5 27 3" xfId="3081" xr:uid="{763A4D80-4B9D-4A78-AAB1-E714555CDDE8}"/>
    <cellStyle name="Normal 2 3 5 27 3 2" xfId="11924" xr:uid="{AF7DA578-48A7-4968-AD9A-0087C714F1D2}"/>
    <cellStyle name="Normal 2 3 5 27 4" xfId="3082" xr:uid="{3B115EAD-E08A-413A-BA06-49B515A3D9C1}"/>
    <cellStyle name="Normal 2 3 5 27 4 2" xfId="11925" xr:uid="{C77EE4C4-C341-41FC-A374-C8216B9CDB09}"/>
    <cellStyle name="Normal 2 3 5 27 5" xfId="11920" xr:uid="{A4C81D85-2EF9-4010-B70E-92ED3E3BEF32}"/>
    <cellStyle name="Normal 2 3 5 28" xfId="3083" xr:uid="{4728F2F5-5069-4AFB-ACF7-38AF4BB95EE0}"/>
    <cellStyle name="Normal 2 3 5 28 2" xfId="3084" xr:uid="{1BB17D27-D679-405D-A8D0-0FE0BAB61B63}"/>
    <cellStyle name="Normal 2 3 5 28 2 2" xfId="3085" xr:uid="{499E109C-2DE2-45ED-AE90-0FB91614E8B0}"/>
    <cellStyle name="Normal 2 3 5 28 2 2 2" xfId="11928" xr:uid="{EA24F9D8-1A3F-4039-A986-367EBC11D2B2}"/>
    <cellStyle name="Normal 2 3 5 28 2 3" xfId="3086" xr:uid="{68C85D6A-13E2-4D1F-9AA1-075AD2113A6B}"/>
    <cellStyle name="Normal 2 3 5 28 2 3 2" xfId="11929" xr:uid="{7B6F5F74-F460-4CC7-BC8E-10FDA848DBB9}"/>
    <cellStyle name="Normal 2 3 5 28 2 4" xfId="11927" xr:uid="{C1B68C09-D574-4A47-B2F7-51B76DBB457E}"/>
    <cellStyle name="Normal 2 3 5 28 3" xfId="3087" xr:uid="{4D51F500-2E35-4BFB-BFA3-D976372775CA}"/>
    <cellStyle name="Normal 2 3 5 28 3 2" xfId="11930" xr:uid="{8749C7F8-4731-450A-AD2F-CF65D099DE1B}"/>
    <cellStyle name="Normal 2 3 5 28 4" xfId="3088" xr:uid="{D4FBAF1C-2DD1-41F3-B2B4-8B8735447F47}"/>
    <cellStyle name="Normal 2 3 5 28 4 2" xfId="11931" xr:uid="{A475814D-E2E1-4712-A87A-1A01D1D109AA}"/>
    <cellStyle name="Normal 2 3 5 28 5" xfId="11926" xr:uid="{A553138E-1985-4294-BF21-EFB08789181F}"/>
    <cellStyle name="Normal 2 3 5 29" xfId="3089" xr:uid="{F013C861-908A-46EB-AB7E-04E44AF9E1F4}"/>
    <cellStyle name="Normal 2 3 5 29 2" xfId="3090" xr:uid="{BA39C04D-3AEB-4C0D-8DD8-3CF07D037DB5}"/>
    <cellStyle name="Normal 2 3 5 29 2 2" xfId="3091" xr:uid="{9C1BBA41-F36E-44F0-ADE9-4295DF6B4EDC}"/>
    <cellStyle name="Normal 2 3 5 29 2 2 2" xfId="11934" xr:uid="{2C2577DB-AC39-4838-85B2-E11505D20DDA}"/>
    <cellStyle name="Normal 2 3 5 29 2 3" xfId="3092" xr:uid="{AFB84848-6FF9-46A0-9F29-14C69A111D95}"/>
    <cellStyle name="Normal 2 3 5 29 2 3 2" xfId="11935" xr:uid="{8F45698D-1C7D-43CE-A731-80B8FC9F8524}"/>
    <cellStyle name="Normal 2 3 5 29 2 4" xfId="11933" xr:uid="{DFB056CB-A1F7-4986-8213-303138498CE4}"/>
    <cellStyle name="Normal 2 3 5 29 3" xfId="3093" xr:uid="{A247F6D8-0B02-426F-9F37-2734306759F2}"/>
    <cellStyle name="Normal 2 3 5 29 3 2" xfId="11936" xr:uid="{72BAD324-D107-48E5-892A-2F6DDD7182DD}"/>
    <cellStyle name="Normal 2 3 5 29 4" xfId="3094" xr:uid="{CB40F8E8-301D-4194-B3FB-02CC8BE2DA76}"/>
    <cellStyle name="Normal 2 3 5 29 4 2" xfId="11937" xr:uid="{F1EA4A61-861A-407B-B730-9CE4A3DD31A0}"/>
    <cellStyle name="Normal 2 3 5 29 5" xfId="11932" xr:uid="{7150B08E-8673-4E70-A09F-D938624EC3D6}"/>
    <cellStyle name="Normal 2 3 5 3" xfId="3095" xr:uid="{84800601-AD32-4396-B05B-699170070664}"/>
    <cellStyle name="Normal 2 3 5 3 2" xfId="3096" xr:uid="{E4C1750F-3B7D-449D-B83F-8B0268AE416E}"/>
    <cellStyle name="Normal 2 3 5 3 2 2" xfId="3097" xr:uid="{84AA7002-5F24-44F0-ACE4-4BFD4AA27AE4}"/>
    <cellStyle name="Normal 2 3 5 3 2 2 2" xfId="11940" xr:uid="{7ED2CAE8-8BDC-49A0-B3AE-1EC846E46D89}"/>
    <cellStyle name="Normal 2 3 5 3 2 3" xfId="3098" xr:uid="{EB1A4E60-4F41-4772-840E-8D100B2B79B0}"/>
    <cellStyle name="Normal 2 3 5 3 2 3 2" xfId="11941" xr:uid="{CC795013-AA97-4775-9FA0-63DF76A981BF}"/>
    <cellStyle name="Normal 2 3 5 3 2 4" xfId="11939" xr:uid="{CC98C970-2CD9-4D77-A005-AB18620F841F}"/>
    <cellStyle name="Normal 2 3 5 3 3" xfId="3099" xr:uid="{3CFEBE3C-6A10-4E99-8FFB-8297B92CD9FD}"/>
    <cellStyle name="Normal 2 3 5 3 3 2" xfId="11942" xr:uid="{70FE499D-F113-4485-AAE0-A996C843E2B2}"/>
    <cellStyle name="Normal 2 3 5 3 4" xfId="3100" xr:uid="{31ECA8A7-483E-4243-A696-178AC5AE128D}"/>
    <cellStyle name="Normal 2 3 5 3 4 2" xfId="11943" xr:uid="{7BBA47FD-0168-407E-9EA4-648434AE4677}"/>
    <cellStyle name="Normal 2 3 5 3 5" xfId="11938" xr:uid="{594E85E8-8B9C-45AC-AC5C-49D6A16940F6}"/>
    <cellStyle name="Normal 2 3 5 30" xfId="3101" xr:uid="{36772B03-D927-445E-8968-08306052A990}"/>
    <cellStyle name="Normal 2 3 5 30 2" xfId="3102" xr:uid="{7B933FA2-2D1B-4B97-9EBC-3B479B1DE6EF}"/>
    <cellStyle name="Normal 2 3 5 30 2 2" xfId="3103" xr:uid="{C8A31C38-4756-4B68-B463-0E71ED434E88}"/>
    <cellStyle name="Normal 2 3 5 30 2 2 2" xfId="11946" xr:uid="{16053F7B-BE22-40EF-A2B6-507136277939}"/>
    <cellStyle name="Normal 2 3 5 30 2 3" xfId="3104" xr:uid="{08A959FD-29BB-4B07-B128-628F84275570}"/>
    <cellStyle name="Normal 2 3 5 30 2 3 2" xfId="11947" xr:uid="{221E5660-5698-4F6F-B897-99DE3DCA437C}"/>
    <cellStyle name="Normal 2 3 5 30 2 4" xfId="11945" xr:uid="{6A5C0D0F-EB4A-4FD1-9CAC-22DD0D50A52E}"/>
    <cellStyle name="Normal 2 3 5 30 3" xfId="3105" xr:uid="{64A22D16-2F70-4B56-82F1-893B908B62F8}"/>
    <cellStyle name="Normal 2 3 5 30 3 2" xfId="11948" xr:uid="{DB065371-4A7F-4322-A529-7ACD791D65A8}"/>
    <cellStyle name="Normal 2 3 5 30 4" xfId="3106" xr:uid="{0BEA2075-C3F1-49F2-9302-194CEF972630}"/>
    <cellStyle name="Normal 2 3 5 30 4 2" xfId="11949" xr:uid="{96939C4F-F985-4749-865A-F325DC3E8111}"/>
    <cellStyle name="Normal 2 3 5 30 5" xfId="11944" xr:uid="{EE67550C-20BB-46DB-AA25-4FE21F17BF15}"/>
    <cellStyle name="Normal 2 3 5 31" xfId="3107" xr:uid="{6D420461-19CA-42A8-8CEB-68A66D1C440B}"/>
    <cellStyle name="Normal 2 3 5 31 2" xfId="3108" xr:uid="{1DFA91E6-9A5F-426C-BF1B-868F0B613B20}"/>
    <cellStyle name="Normal 2 3 5 31 2 2" xfId="3109" xr:uid="{68C1B31D-643A-474F-987F-AD2F85734B45}"/>
    <cellStyle name="Normal 2 3 5 31 2 2 2" xfId="11952" xr:uid="{E3A02005-4E60-4ABF-AC23-2A9E5C087350}"/>
    <cellStyle name="Normal 2 3 5 31 2 3" xfId="3110" xr:uid="{76FB8227-0CD6-4823-8E6D-959445A7B193}"/>
    <cellStyle name="Normal 2 3 5 31 2 3 2" xfId="11953" xr:uid="{EA350F87-706F-4292-915B-217CE58B60CF}"/>
    <cellStyle name="Normal 2 3 5 31 2 4" xfId="11951" xr:uid="{8AE3D4ED-8398-42AD-973B-25803566A98A}"/>
    <cellStyle name="Normal 2 3 5 31 3" xfId="3111" xr:uid="{D24954D5-7D30-4DE1-BA0D-668B5DAF3F3C}"/>
    <cellStyle name="Normal 2 3 5 31 3 2" xfId="11954" xr:uid="{5620F971-A58C-4B48-9ACC-1FD1A9E5E9EC}"/>
    <cellStyle name="Normal 2 3 5 31 4" xfId="3112" xr:uid="{955EB431-8588-4B40-AFEF-ED2846DC8DE8}"/>
    <cellStyle name="Normal 2 3 5 31 4 2" xfId="11955" xr:uid="{1DF650AA-EE03-4F1C-816B-EFDA5B591332}"/>
    <cellStyle name="Normal 2 3 5 31 5" xfId="11950" xr:uid="{34591C79-FBB4-4EA9-9D08-B2E7B3E1CCEE}"/>
    <cellStyle name="Normal 2 3 5 32" xfId="3113" xr:uid="{2EDC9B11-F42C-4B3E-9CC4-B9D219849534}"/>
    <cellStyle name="Normal 2 3 5 32 2" xfId="3114" xr:uid="{779C95FA-9F57-4715-A974-94494DEE1663}"/>
    <cellStyle name="Normal 2 3 5 32 2 2" xfId="3115" xr:uid="{CAF19DD2-8665-421A-8389-FF6F5D62BD82}"/>
    <cellStyle name="Normal 2 3 5 32 2 2 2" xfId="11958" xr:uid="{7C762365-227B-41C0-A6AF-C2531C6A677D}"/>
    <cellStyle name="Normal 2 3 5 32 2 3" xfId="3116" xr:uid="{966FB0A2-3B80-440A-A4AE-EB216DD39295}"/>
    <cellStyle name="Normal 2 3 5 32 2 3 2" xfId="11959" xr:uid="{88B4C029-88FC-4110-BC83-6770CAE285A6}"/>
    <cellStyle name="Normal 2 3 5 32 2 4" xfId="11957" xr:uid="{A3BE3918-C4E8-4769-B32D-C3B4DA4D864D}"/>
    <cellStyle name="Normal 2 3 5 32 3" xfId="3117" xr:uid="{1DBEDEFD-896B-4783-A8B2-0CD53129B0D5}"/>
    <cellStyle name="Normal 2 3 5 32 3 2" xfId="11960" xr:uid="{1748E20A-618A-4F65-9290-696FE5D3214F}"/>
    <cellStyle name="Normal 2 3 5 32 4" xfId="3118" xr:uid="{07BA24DD-C247-42FA-976A-4EDA3DAFA24B}"/>
    <cellStyle name="Normal 2 3 5 32 4 2" xfId="11961" xr:uid="{A6EC1A2E-7F31-4951-B44F-1F1832A759D8}"/>
    <cellStyle name="Normal 2 3 5 32 5" xfId="11956" xr:uid="{F2439D42-9061-48CA-958E-E8F7601B553B}"/>
    <cellStyle name="Normal 2 3 5 33" xfId="3119" xr:uid="{C938A245-A2BD-4986-8029-3E6417491827}"/>
    <cellStyle name="Normal 2 3 5 33 2" xfId="3120" xr:uid="{7A47B56B-4995-4A4F-B02A-EDA43ADD112C}"/>
    <cellStyle name="Normal 2 3 5 33 2 2" xfId="3121" xr:uid="{0AC2502A-7B5F-4F1F-A340-6FA3D4C50429}"/>
    <cellStyle name="Normal 2 3 5 33 2 2 2" xfId="11964" xr:uid="{CF0462F1-6259-4E9D-A929-99B71E57C0B9}"/>
    <cellStyle name="Normal 2 3 5 33 2 3" xfId="3122" xr:uid="{2AF09C43-12C4-4855-9226-0A1FA9A088C8}"/>
    <cellStyle name="Normal 2 3 5 33 2 3 2" xfId="11965" xr:uid="{C6E37953-C115-4AA7-97BB-8AE8F712D986}"/>
    <cellStyle name="Normal 2 3 5 33 2 4" xfId="11963" xr:uid="{3C7E7D12-0B27-4BA0-A4F1-9746ED109F7E}"/>
    <cellStyle name="Normal 2 3 5 33 3" xfId="3123" xr:uid="{F5236B08-949E-4205-B798-EA81D3243EF2}"/>
    <cellStyle name="Normal 2 3 5 33 3 2" xfId="11966" xr:uid="{179B3FE7-CA06-4ABE-BCE0-A93E76054836}"/>
    <cellStyle name="Normal 2 3 5 33 4" xfId="3124" xr:uid="{655D5BB6-DCC2-4B7F-8E88-AD01F23493E1}"/>
    <cellStyle name="Normal 2 3 5 33 4 2" xfId="11967" xr:uid="{81892C1D-3A5D-4644-9812-FB5F7402AFFD}"/>
    <cellStyle name="Normal 2 3 5 33 5" xfId="11962" xr:uid="{1FB932F8-654E-4FC7-B5F9-5DBFEB87230E}"/>
    <cellStyle name="Normal 2 3 5 34" xfId="3125" xr:uid="{02E2DA2F-8DC3-4B23-9F0B-861FC832EE57}"/>
    <cellStyle name="Normal 2 3 5 34 2" xfId="3126" xr:uid="{49AAFBC7-153E-49AE-B715-0F115E643F76}"/>
    <cellStyle name="Normal 2 3 5 34 2 2" xfId="3127" xr:uid="{46C26572-FF40-43A0-A255-EAE042D0A3E7}"/>
    <cellStyle name="Normal 2 3 5 34 2 2 2" xfId="11970" xr:uid="{AE08E888-1DC1-4557-96AB-3A4F1577953F}"/>
    <cellStyle name="Normal 2 3 5 34 2 3" xfId="3128" xr:uid="{AC06A706-4B9E-46EF-9097-FAE5A6F08D76}"/>
    <cellStyle name="Normal 2 3 5 34 2 3 2" xfId="11971" xr:uid="{93C4E346-8162-4854-9BDA-779FF5339BB3}"/>
    <cellStyle name="Normal 2 3 5 34 2 4" xfId="11969" xr:uid="{2C6D2020-A750-40EA-9130-B976AF19162F}"/>
    <cellStyle name="Normal 2 3 5 34 3" xfId="3129" xr:uid="{C7803830-7721-4C80-9269-DE4E49FC5C37}"/>
    <cellStyle name="Normal 2 3 5 34 3 2" xfId="11972" xr:uid="{B441150A-C0C9-4C83-B750-FE3A1A71BE7E}"/>
    <cellStyle name="Normal 2 3 5 34 4" xfId="3130" xr:uid="{3BD8BDD8-5D23-45B0-994E-99D9812218F1}"/>
    <cellStyle name="Normal 2 3 5 34 4 2" xfId="11973" xr:uid="{CD396825-FE6B-41F3-947E-DC8884CEA296}"/>
    <cellStyle name="Normal 2 3 5 34 5" xfId="11968" xr:uid="{647DC3C9-EE29-4634-9102-94ABD60B322D}"/>
    <cellStyle name="Normal 2 3 5 35" xfId="3131" xr:uid="{50D2E8E0-E8B8-498A-9851-13288DF6F151}"/>
    <cellStyle name="Normal 2 3 5 35 2" xfId="3132" xr:uid="{56DA5A5A-4209-4CF9-B66C-99C00A7E9022}"/>
    <cellStyle name="Normal 2 3 5 35 2 2" xfId="3133" xr:uid="{975068CC-5DC9-4FD9-80D6-6B042C5509AC}"/>
    <cellStyle name="Normal 2 3 5 35 2 2 2" xfId="11976" xr:uid="{EA825413-4DC4-4A20-A08F-0FF5AC03B7A6}"/>
    <cellStyle name="Normal 2 3 5 35 2 3" xfId="3134" xr:uid="{620420AC-81FC-459C-BE64-B6968BED9F9C}"/>
    <cellStyle name="Normal 2 3 5 35 2 3 2" xfId="11977" xr:uid="{57E9A1AB-4FBC-4C67-8D94-FEE9BBE3E8D9}"/>
    <cellStyle name="Normal 2 3 5 35 2 4" xfId="11975" xr:uid="{55641268-9B66-42A7-AB15-9A0662B4E8AC}"/>
    <cellStyle name="Normal 2 3 5 35 3" xfId="3135" xr:uid="{FDB518D9-3428-46FF-A4C3-7E6F34A3532E}"/>
    <cellStyle name="Normal 2 3 5 35 3 2" xfId="11978" xr:uid="{ADE2BE1B-9961-47F7-97D2-2CC55F061742}"/>
    <cellStyle name="Normal 2 3 5 35 4" xfId="3136" xr:uid="{BD5CB577-4374-4DA4-B25B-EFC2968B0315}"/>
    <cellStyle name="Normal 2 3 5 35 4 2" xfId="11979" xr:uid="{67904F49-41EC-4CE2-B231-1DB0F890661C}"/>
    <cellStyle name="Normal 2 3 5 35 5" xfId="11974" xr:uid="{058EA39E-B0AF-4BE9-B8B3-BF8CCE628905}"/>
    <cellStyle name="Normal 2 3 5 36" xfId="3137" xr:uid="{31123239-2DBD-488F-918C-EE842145EC0F}"/>
    <cellStyle name="Normal 2 3 5 36 2" xfId="3138" xr:uid="{9793797A-0412-4C85-A131-1E462F263457}"/>
    <cellStyle name="Normal 2 3 5 36 2 2" xfId="3139" xr:uid="{BAE1BACF-FE43-44EB-A2C1-6BBA798C28E5}"/>
    <cellStyle name="Normal 2 3 5 36 2 2 2" xfId="11982" xr:uid="{4A3D23E9-0BFB-4932-9ABF-A51FA8CF2BCC}"/>
    <cellStyle name="Normal 2 3 5 36 2 3" xfId="3140" xr:uid="{8098FA4F-D58C-4E6B-910D-F6CC3CAD40FE}"/>
    <cellStyle name="Normal 2 3 5 36 2 3 2" xfId="11983" xr:uid="{E45CCFCF-49A9-47AB-BE0F-BCF407CB0D27}"/>
    <cellStyle name="Normal 2 3 5 36 2 4" xfId="11981" xr:uid="{63D02CF3-6BE9-4877-8766-D59C8187E61C}"/>
    <cellStyle name="Normal 2 3 5 36 3" xfId="3141" xr:uid="{9A5CBC5D-9B82-4BDC-B1B4-61D76A379959}"/>
    <cellStyle name="Normal 2 3 5 36 3 2" xfId="11984" xr:uid="{CA5F0028-EC99-4723-A25C-C483B0F4E9BC}"/>
    <cellStyle name="Normal 2 3 5 36 4" xfId="3142" xr:uid="{287F7BE6-3C6A-41D5-8A6F-3BB486D2006A}"/>
    <cellStyle name="Normal 2 3 5 36 4 2" xfId="11985" xr:uid="{5CFBE8D9-754B-44E2-9D38-47101E357A8D}"/>
    <cellStyle name="Normal 2 3 5 36 5" xfId="11980" xr:uid="{AC26049E-BA09-41EC-93E8-BF0F8ADE0BB2}"/>
    <cellStyle name="Normal 2 3 5 37" xfId="3143" xr:uid="{5AB5FB9D-5613-4D87-9ECD-43205B1EE361}"/>
    <cellStyle name="Normal 2 3 5 37 2" xfId="3144" xr:uid="{B2FA0BF5-2C43-4EFE-8212-DC1CFDC949A0}"/>
    <cellStyle name="Normal 2 3 5 37 2 2" xfId="3145" xr:uid="{8AE1500C-B0B9-4939-A092-6742D11F4C26}"/>
    <cellStyle name="Normal 2 3 5 37 2 2 2" xfId="11988" xr:uid="{86D9FF4B-4967-45E7-BA63-F25BA2FFA74E}"/>
    <cellStyle name="Normal 2 3 5 37 2 3" xfId="3146" xr:uid="{5E483425-8C95-48DC-BCB7-47FD31F85AB2}"/>
    <cellStyle name="Normal 2 3 5 37 2 3 2" xfId="11989" xr:uid="{6AEADF68-1F8B-4FC9-B766-9324A0F80DE5}"/>
    <cellStyle name="Normal 2 3 5 37 2 4" xfId="11987" xr:uid="{F6EC24AE-D26A-41A1-B208-15031EEF8463}"/>
    <cellStyle name="Normal 2 3 5 37 3" xfId="3147" xr:uid="{A04FC044-C4C5-4E8B-A6BE-134045811715}"/>
    <cellStyle name="Normal 2 3 5 37 3 2" xfId="11990" xr:uid="{8EF8726E-C4FA-4083-9584-9431BCA772E6}"/>
    <cellStyle name="Normal 2 3 5 37 4" xfId="3148" xr:uid="{0F0E5453-7F72-4F03-99FF-6AB20050DE83}"/>
    <cellStyle name="Normal 2 3 5 37 4 2" xfId="11991" xr:uid="{C52DB4FB-7844-4471-A595-C8B0E7E23480}"/>
    <cellStyle name="Normal 2 3 5 37 5" xfId="11986" xr:uid="{AE34DC88-34A7-4863-87E8-F8BF7F2012D6}"/>
    <cellStyle name="Normal 2 3 5 38" xfId="3149" xr:uid="{27990031-FEF1-4668-8CD4-4BC504294E39}"/>
    <cellStyle name="Normal 2 3 5 38 2" xfId="3150" xr:uid="{C2612368-C0AA-45A9-A1C5-396006B7C641}"/>
    <cellStyle name="Normal 2 3 5 38 2 2" xfId="3151" xr:uid="{5EE5DB1F-E848-4039-A7E8-D2CDB4E2850F}"/>
    <cellStyle name="Normal 2 3 5 38 2 2 2" xfId="11994" xr:uid="{CAEB2D72-23CE-4A3A-A7B9-37F26BEFD359}"/>
    <cellStyle name="Normal 2 3 5 38 2 3" xfId="3152" xr:uid="{A41A882F-3C04-46BA-9882-507DDB4F93F6}"/>
    <cellStyle name="Normal 2 3 5 38 2 3 2" xfId="11995" xr:uid="{50486430-2626-4CFE-8F8D-34B9DA757414}"/>
    <cellStyle name="Normal 2 3 5 38 2 4" xfId="11993" xr:uid="{5C2E6F5A-DEEC-4C47-B38E-B7AACC7EF549}"/>
    <cellStyle name="Normal 2 3 5 38 3" xfId="3153" xr:uid="{AA39A3A8-7BBF-4540-A59D-110244A2C9C1}"/>
    <cellStyle name="Normal 2 3 5 38 3 2" xfId="11996" xr:uid="{4BC81588-F7B7-47D5-A98C-0690CD3BBE3E}"/>
    <cellStyle name="Normal 2 3 5 38 4" xfId="3154" xr:uid="{8BCCB91D-FE63-4F12-A084-59E7D0D38724}"/>
    <cellStyle name="Normal 2 3 5 38 4 2" xfId="11997" xr:uid="{E2713C7A-9282-46D0-9241-7B9C4C97B07E}"/>
    <cellStyle name="Normal 2 3 5 38 5" xfId="11992" xr:uid="{5EE81F9E-A4CE-453E-91C9-246728A9D463}"/>
    <cellStyle name="Normal 2 3 5 39" xfId="3155" xr:uid="{984CC14C-D088-4497-B1F3-DB40334D4A15}"/>
    <cellStyle name="Normal 2 3 5 39 2" xfId="3156" xr:uid="{6F561A98-4BA2-4146-9DF1-8A59877062AD}"/>
    <cellStyle name="Normal 2 3 5 39 2 2" xfId="3157" xr:uid="{EC296858-8767-4AF6-920D-9D37F97EEBBD}"/>
    <cellStyle name="Normal 2 3 5 39 2 2 2" xfId="12000" xr:uid="{47E53E20-EC64-48B2-87FB-4EDF9D6FFE51}"/>
    <cellStyle name="Normal 2 3 5 39 2 3" xfId="3158" xr:uid="{EE5FF92C-FDE2-4067-A2C9-E6F1828C8B5C}"/>
    <cellStyle name="Normal 2 3 5 39 2 3 2" xfId="12001" xr:uid="{EA2E55E3-0CE6-4925-AC7D-4D1140CCD09F}"/>
    <cellStyle name="Normal 2 3 5 39 2 4" xfId="11999" xr:uid="{F7538001-D246-4DE9-9824-0CBE9AC2EA45}"/>
    <cellStyle name="Normal 2 3 5 39 3" xfId="3159" xr:uid="{902DDD9E-B324-4BE3-8A8E-9654C3368581}"/>
    <cellStyle name="Normal 2 3 5 39 3 2" xfId="12002" xr:uid="{8C45E909-87C4-4A44-8DEB-E9D2BE4355F7}"/>
    <cellStyle name="Normal 2 3 5 39 4" xfId="3160" xr:uid="{A26433E7-C496-43D7-AF7B-6D02391D14FA}"/>
    <cellStyle name="Normal 2 3 5 39 4 2" xfId="12003" xr:uid="{2D111DD4-1767-4FCF-9A8B-5C7D1D3CDD7D}"/>
    <cellStyle name="Normal 2 3 5 39 5" xfId="11998" xr:uid="{FC460E71-A49D-48A0-8738-6168FEB348C8}"/>
    <cellStyle name="Normal 2 3 5 4" xfId="3161" xr:uid="{2F78BA79-CF9E-4C0C-ACCA-60C33189BD9A}"/>
    <cellStyle name="Normal 2 3 5 4 2" xfId="3162" xr:uid="{66D67F16-6AA9-47A6-BF74-D0D029A3044F}"/>
    <cellStyle name="Normal 2 3 5 4 2 2" xfId="3163" xr:uid="{D8751AE8-48F6-4328-B411-8153796456AE}"/>
    <cellStyle name="Normal 2 3 5 4 2 2 2" xfId="12006" xr:uid="{EDF59B34-B673-44A3-A11A-236FB9516CA8}"/>
    <cellStyle name="Normal 2 3 5 4 2 3" xfId="3164" xr:uid="{2D58E66B-62EC-4F7E-94FE-B3377EE37834}"/>
    <cellStyle name="Normal 2 3 5 4 2 3 2" xfId="12007" xr:uid="{DC029ED4-76DA-4D00-B4F9-1F980953A005}"/>
    <cellStyle name="Normal 2 3 5 4 2 4" xfId="12005" xr:uid="{9238AA59-A1E7-4DCA-B1C9-EFAA419CC8D1}"/>
    <cellStyle name="Normal 2 3 5 4 3" xfId="3165" xr:uid="{537BA5B0-4D15-4A56-91D4-7F68EB1F11A5}"/>
    <cellStyle name="Normal 2 3 5 4 3 2" xfId="12008" xr:uid="{F4BEADA4-1F0B-41FB-8CFB-84FD0C78741B}"/>
    <cellStyle name="Normal 2 3 5 4 4" xfId="3166" xr:uid="{B59FE97C-E973-4D06-8258-8394A4F4B090}"/>
    <cellStyle name="Normal 2 3 5 4 4 2" xfId="12009" xr:uid="{9A8BFD26-824D-4371-8368-BB4155FA1F96}"/>
    <cellStyle name="Normal 2 3 5 4 5" xfId="12004" xr:uid="{E6C8E8E0-DE89-46CB-9DBD-D03F9CB254FF}"/>
    <cellStyle name="Normal 2 3 5 40" xfId="3167" xr:uid="{7E57424C-81A2-4B0A-A600-9B0AD0DB6360}"/>
    <cellStyle name="Normal 2 3 5 40 2" xfId="3168" xr:uid="{376BA7A7-2E1C-4240-B62D-B08952808BEE}"/>
    <cellStyle name="Normal 2 3 5 40 2 2" xfId="3169" xr:uid="{46F0F627-A903-4F3D-B9AE-AF7187616FC8}"/>
    <cellStyle name="Normal 2 3 5 40 2 2 2" xfId="12012" xr:uid="{166182BD-DD18-4A96-A0C9-8184BC24D234}"/>
    <cellStyle name="Normal 2 3 5 40 2 3" xfId="3170" xr:uid="{7E9EBFF0-BF86-4018-BBC0-05C23561343F}"/>
    <cellStyle name="Normal 2 3 5 40 2 3 2" xfId="12013" xr:uid="{BE5A97AC-1AA9-4F12-88CF-721819397EB7}"/>
    <cellStyle name="Normal 2 3 5 40 2 4" xfId="12011" xr:uid="{9B46634B-BC18-43A4-8842-B2FE4B780202}"/>
    <cellStyle name="Normal 2 3 5 40 3" xfId="3171" xr:uid="{F04A03C3-2B9A-466D-AAD2-72C507C7D8FD}"/>
    <cellStyle name="Normal 2 3 5 40 3 2" xfId="12014" xr:uid="{E73E99B5-F2F7-4718-AAD2-58E06D4D1310}"/>
    <cellStyle name="Normal 2 3 5 40 4" xfId="3172" xr:uid="{11A7BF2F-D344-4954-9CD4-599191DA5926}"/>
    <cellStyle name="Normal 2 3 5 40 4 2" xfId="12015" xr:uid="{EDEC9F68-BFF2-4CD6-9DB3-DA5715A97416}"/>
    <cellStyle name="Normal 2 3 5 40 5" xfId="12010" xr:uid="{69F833E1-852F-4CC3-AD2E-1BBD9CA2072A}"/>
    <cellStyle name="Normal 2 3 5 41" xfId="3173" xr:uid="{24A3A79F-9D70-4A42-8871-AE9DE30B64E1}"/>
    <cellStyle name="Normal 2 3 5 41 2" xfId="3174" xr:uid="{792A76D7-811D-4FFA-A82E-366D56CC6E7A}"/>
    <cellStyle name="Normal 2 3 5 41 2 2" xfId="3175" xr:uid="{1E2CC585-6408-4DAC-A3B1-B11323FE3C24}"/>
    <cellStyle name="Normal 2 3 5 41 2 2 2" xfId="12018" xr:uid="{9DAC346A-F56D-415F-BE8C-06081A212F37}"/>
    <cellStyle name="Normal 2 3 5 41 2 3" xfId="3176" xr:uid="{E1453146-7610-41AC-8884-3202CF339AD3}"/>
    <cellStyle name="Normal 2 3 5 41 2 3 2" xfId="12019" xr:uid="{98E50202-CFDB-487C-8E92-2B50F5650108}"/>
    <cellStyle name="Normal 2 3 5 41 2 4" xfId="12017" xr:uid="{92CD8A7C-6DA3-43CB-AEC9-7922B33E54DD}"/>
    <cellStyle name="Normal 2 3 5 41 3" xfId="3177" xr:uid="{3A847C4C-AC25-445D-9890-97CBE3F17BEC}"/>
    <cellStyle name="Normal 2 3 5 41 3 2" xfId="12020" xr:uid="{DE2744E9-D763-4BBC-B427-91DF1DE08D74}"/>
    <cellStyle name="Normal 2 3 5 41 4" xfId="3178" xr:uid="{BB18DD56-6D9C-4D08-8DE5-9E995E404D68}"/>
    <cellStyle name="Normal 2 3 5 41 4 2" xfId="12021" xr:uid="{B668E6DB-CFAB-4725-9DBD-2A8D5B0335AA}"/>
    <cellStyle name="Normal 2 3 5 41 5" xfId="12016" xr:uid="{366EEE40-722B-4091-856F-DCD37F8022EB}"/>
    <cellStyle name="Normal 2 3 5 42" xfId="3179" xr:uid="{D8067E75-2F69-4133-ADD4-E047549C45B9}"/>
    <cellStyle name="Normal 2 3 5 42 2" xfId="3180" xr:uid="{98DB9755-544C-43BA-954D-CFAE456D4839}"/>
    <cellStyle name="Normal 2 3 5 42 2 2" xfId="3181" xr:uid="{CAC798E9-1411-4990-AF70-E67EA95FE319}"/>
    <cellStyle name="Normal 2 3 5 42 2 2 2" xfId="12024" xr:uid="{1206FEF7-0E1D-4986-AED2-0F83808B6DA8}"/>
    <cellStyle name="Normal 2 3 5 42 2 3" xfId="3182" xr:uid="{B935EC8B-60DA-468F-A147-B74B9E961D75}"/>
    <cellStyle name="Normal 2 3 5 42 2 3 2" xfId="12025" xr:uid="{015A795B-F62F-4F81-8CA6-184287B2B7BD}"/>
    <cellStyle name="Normal 2 3 5 42 2 4" xfId="12023" xr:uid="{DEC77E14-3B73-4265-9E7D-BA7CF0E21EBE}"/>
    <cellStyle name="Normal 2 3 5 42 3" xfId="3183" xr:uid="{A4FE038B-DA4E-4421-A8F5-940BBBAC10FC}"/>
    <cellStyle name="Normal 2 3 5 42 3 2" xfId="12026" xr:uid="{4C0E13C9-BE07-4EA9-84A9-CCCF6346FF1A}"/>
    <cellStyle name="Normal 2 3 5 42 4" xfId="3184" xr:uid="{F98E7F1D-D99D-44C6-AEEC-99E51ACE1AF2}"/>
    <cellStyle name="Normal 2 3 5 42 4 2" xfId="12027" xr:uid="{B8A99A07-6081-4DAB-BF19-C56DB9707267}"/>
    <cellStyle name="Normal 2 3 5 42 5" xfId="12022" xr:uid="{5B2B0BFE-09E6-4907-956B-6AEDDBFFE5A2}"/>
    <cellStyle name="Normal 2 3 5 43" xfId="3185" xr:uid="{6502AB55-33D7-4006-9BF0-51FDCEB81F94}"/>
    <cellStyle name="Normal 2 3 5 43 2" xfId="3186" xr:uid="{0A89DBE2-DB28-4C81-846D-B6D8BC70BBCB}"/>
    <cellStyle name="Normal 2 3 5 43 2 2" xfId="3187" xr:uid="{78452CE6-A88F-40D2-8097-C205AC55727A}"/>
    <cellStyle name="Normal 2 3 5 43 2 2 2" xfId="12030" xr:uid="{C14D9796-2EF1-4A87-AA63-787E68DE6E75}"/>
    <cellStyle name="Normal 2 3 5 43 2 3" xfId="3188" xr:uid="{2DC8AA6F-2669-4AA5-B567-778F04C78739}"/>
    <cellStyle name="Normal 2 3 5 43 2 3 2" xfId="12031" xr:uid="{A27D5660-464E-4BE3-BC81-11EEA127FB45}"/>
    <cellStyle name="Normal 2 3 5 43 2 4" xfId="12029" xr:uid="{7AC0CB1A-7CFD-4636-83D3-2A5FD9E29D9A}"/>
    <cellStyle name="Normal 2 3 5 43 3" xfId="3189" xr:uid="{FF92375F-599A-49AE-8ACA-198279E87202}"/>
    <cellStyle name="Normal 2 3 5 43 3 2" xfId="12032" xr:uid="{A7DE7DAA-7DE6-4731-8491-F02992B9E502}"/>
    <cellStyle name="Normal 2 3 5 43 4" xfId="3190" xr:uid="{05B7B660-B1C5-4A9E-A875-35FF4CC608BC}"/>
    <cellStyle name="Normal 2 3 5 43 4 2" xfId="12033" xr:uid="{AC3A2E9C-5C8F-4BE4-B333-D366BB8985C2}"/>
    <cellStyle name="Normal 2 3 5 43 5" xfId="12028" xr:uid="{C3AEF722-BC2A-49A5-B478-BB0C55D3D78A}"/>
    <cellStyle name="Normal 2 3 5 44" xfId="3191" xr:uid="{B210EE17-AC9D-4562-9912-84D116C57052}"/>
    <cellStyle name="Normal 2 3 5 44 2" xfId="3192" xr:uid="{D23130D7-DD99-4016-8805-7ED120776DAE}"/>
    <cellStyle name="Normal 2 3 5 44 2 2" xfId="12035" xr:uid="{CA323D2A-BD6A-4AC7-A54F-9AF19E541E78}"/>
    <cellStyle name="Normal 2 3 5 44 3" xfId="3193" xr:uid="{E288B043-AE3A-4A0B-A2D5-D8941864230D}"/>
    <cellStyle name="Normal 2 3 5 44 3 2" xfId="12036" xr:uid="{5CCC3B71-32E0-426F-8276-F679A3C53DA5}"/>
    <cellStyle name="Normal 2 3 5 44 4" xfId="12034" xr:uid="{422366D9-5305-4710-A397-EF74F01F6D2C}"/>
    <cellStyle name="Normal 2 3 5 45" xfId="3194" xr:uid="{D5926FA6-424A-43B3-B11F-D1791E59B61D}"/>
    <cellStyle name="Normal 2 3 5 45 2" xfId="12037" xr:uid="{F3E4AE07-1F6D-49D2-8999-ECDA7ACB62FE}"/>
    <cellStyle name="Normal 2 3 5 46" xfId="3195" xr:uid="{2DBD44E5-5BF1-4EAC-9190-3EE42B403001}"/>
    <cellStyle name="Normal 2 3 5 46 2" xfId="12038" xr:uid="{CCA0A321-899D-4779-8887-14633543A967}"/>
    <cellStyle name="Normal 2 3 5 47" xfId="11811" xr:uid="{76AE91BF-A354-4AED-AEB7-E58B90782090}"/>
    <cellStyle name="Normal 2 3 5 5" xfId="3196" xr:uid="{710108A2-B926-4939-A7D9-E8688D6E5A54}"/>
    <cellStyle name="Normal 2 3 5 5 2" xfId="3197" xr:uid="{D64D4925-7F19-484A-9D78-5184C2D5932E}"/>
    <cellStyle name="Normal 2 3 5 5 2 2" xfId="3198" xr:uid="{982DB585-9CED-423F-AE83-A4CFAEEC4877}"/>
    <cellStyle name="Normal 2 3 5 5 2 2 2" xfId="12041" xr:uid="{4DFDFB0E-4D8E-42A2-8063-594A17647950}"/>
    <cellStyle name="Normal 2 3 5 5 2 3" xfId="3199" xr:uid="{97D218CC-BFA8-4621-A48F-E8AA0DECBFAC}"/>
    <cellStyle name="Normal 2 3 5 5 2 3 2" xfId="12042" xr:uid="{3961EDB1-89D5-4105-A900-82115E90F3F1}"/>
    <cellStyle name="Normal 2 3 5 5 2 4" xfId="12040" xr:uid="{B88E8817-CB09-492E-9988-573014E4AAB6}"/>
    <cellStyle name="Normal 2 3 5 5 3" xfId="3200" xr:uid="{AC389EC7-2161-445E-8CF6-57E27F10D500}"/>
    <cellStyle name="Normal 2 3 5 5 3 2" xfId="12043" xr:uid="{6383BD3A-19A6-47E9-9BD8-E6B8C699646C}"/>
    <cellStyle name="Normal 2 3 5 5 4" xfId="3201" xr:uid="{1A63A9FE-C768-4DD7-843E-6D288ED623B0}"/>
    <cellStyle name="Normal 2 3 5 5 4 2" xfId="12044" xr:uid="{EC785CF5-7519-4C5B-93CC-B9FD0126B91A}"/>
    <cellStyle name="Normal 2 3 5 5 5" xfId="12039" xr:uid="{AAC9482E-465A-4E54-8955-47F10D19F583}"/>
    <cellStyle name="Normal 2 3 5 6" xfId="3202" xr:uid="{F1861613-76F0-4491-929E-90D3ADA7ABD9}"/>
    <cellStyle name="Normal 2 3 5 6 2" xfId="3203" xr:uid="{AAE56A29-5D21-4597-AC1E-D5743A916F8A}"/>
    <cellStyle name="Normal 2 3 5 6 2 2" xfId="3204" xr:uid="{AC6E92A5-35AE-4F4F-85B7-4849C958A822}"/>
    <cellStyle name="Normal 2 3 5 6 2 2 2" xfId="12047" xr:uid="{F6E1953F-A3C0-46DC-9A0A-71A0485F583D}"/>
    <cellStyle name="Normal 2 3 5 6 2 3" xfId="3205" xr:uid="{3E94E41C-993B-44CC-AAE1-C9FE13AFF71B}"/>
    <cellStyle name="Normal 2 3 5 6 2 3 2" xfId="12048" xr:uid="{CB0B0D6A-DC97-4F1E-A7B7-D2E5B6929BFE}"/>
    <cellStyle name="Normal 2 3 5 6 2 4" xfId="12046" xr:uid="{8D25A019-481E-482A-AD3B-D51473C50353}"/>
    <cellStyle name="Normal 2 3 5 6 3" xfId="3206" xr:uid="{4519CD05-C6C2-4727-ABE5-A59B547E4A02}"/>
    <cellStyle name="Normal 2 3 5 6 3 2" xfId="12049" xr:uid="{5CC6E188-6834-4D5C-858B-ED6A7567CF90}"/>
    <cellStyle name="Normal 2 3 5 6 4" xfId="3207" xr:uid="{3FB25E3E-AB5E-4D0C-AAB2-0254257E06E5}"/>
    <cellStyle name="Normal 2 3 5 6 4 2" xfId="12050" xr:uid="{CA2A8CF6-0052-4D14-B91C-F288D1744A5F}"/>
    <cellStyle name="Normal 2 3 5 6 5" xfId="12045" xr:uid="{A4BC3F3B-9322-486E-AB4C-355F9C97918E}"/>
    <cellStyle name="Normal 2 3 5 7" xfId="3208" xr:uid="{BF266274-F581-488D-B2B3-96F5B5FA1479}"/>
    <cellStyle name="Normal 2 3 5 7 2" xfId="3209" xr:uid="{653AFB3F-7749-4B49-A55C-14FA88E2A3B8}"/>
    <cellStyle name="Normal 2 3 5 7 2 2" xfId="3210" xr:uid="{DD02326B-9E70-4531-B33D-AF2996FC1861}"/>
    <cellStyle name="Normal 2 3 5 7 2 2 2" xfId="12053" xr:uid="{C3162803-DB4F-4731-ADE7-67574E471DCD}"/>
    <cellStyle name="Normal 2 3 5 7 2 3" xfId="3211" xr:uid="{706B69FA-90DB-43E1-9A97-441D1B5B933F}"/>
    <cellStyle name="Normal 2 3 5 7 2 3 2" xfId="12054" xr:uid="{04A23C80-79CB-43DC-ADF4-5B05182F1DC5}"/>
    <cellStyle name="Normal 2 3 5 7 2 4" xfId="12052" xr:uid="{58DF41A2-4EC2-41DE-84A8-A7B309466525}"/>
    <cellStyle name="Normal 2 3 5 7 3" xfId="3212" xr:uid="{4B995B47-996A-43C9-877C-83F145C61EDB}"/>
    <cellStyle name="Normal 2 3 5 7 3 2" xfId="12055" xr:uid="{48E592E6-0BED-4F7F-8171-3E10C0C35644}"/>
    <cellStyle name="Normal 2 3 5 7 4" xfId="3213" xr:uid="{8773A84D-1E91-41E8-AC68-B4622A2F13FC}"/>
    <cellStyle name="Normal 2 3 5 7 4 2" xfId="12056" xr:uid="{90B01788-A49B-4BB0-A8DC-25167968131E}"/>
    <cellStyle name="Normal 2 3 5 7 5" xfId="12051" xr:uid="{1F0B6486-968C-4885-8884-06245212CDC1}"/>
    <cellStyle name="Normal 2 3 5 8" xfId="3214" xr:uid="{972AB3E2-91E8-4860-98B1-7A3434099E4E}"/>
    <cellStyle name="Normal 2 3 5 8 2" xfId="3215" xr:uid="{7D8A63C5-5706-433A-A6BD-3A08DF96216C}"/>
    <cellStyle name="Normal 2 3 5 8 2 2" xfId="3216" xr:uid="{5DA839F7-D918-4F17-AAB7-D64AC1FD6249}"/>
    <cellStyle name="Normal 2 3 5 8 2 2 2" xfId="12059" xr:uid="{AEEBD28A-C2B3-440B-88A7-5149B77FE8A8}"/>
    <cellStyle name="Normal 2 3 5 8 2 3" xfId="3217" xr:uid="{2D16F0CE-7900-4CDC-B66C-D7F625CD1685}"/>
    <cellStyle name="Normal 2 3 5 8 2 3 2" xfId="12060" xr:uid="{0BD36374-207A-44E2-9425-274DA4DB4FD5}"/>
    <cellStyle name="Normal 2 3 5 8 2 4" xfId="12058" xr:uid="{6AA0FCCF-F1F1-4A3C-A456-6966030742B5}"/>
    <cellStyle name="Normal 2 3 5 8 3" xfId="3218" xr:uid="{2DB0D1B8-E04D-4BBD-9A40-EC4B8A81142E}"/>
    <cellStyle name="Normal 2 3 5 8 3 2" xfId="12061" xr:uid="{FCD4B8C4-7B96-4C1B-B557-35B7F383533E}"/>
    <cellStyle name="Normal 2 3 5 8 4" xfId="3219" xr:uid="{C25A56D8-6881-48CB-B85D-489C68B13F65}"/>
    <cellStyle name="Normal 2 3 5 8 4 2" xfId="12062" xr:uid="{D767C9AB-2FE5-41C1-AFE9-AF7BA5E3266B}"/>
    <cellStyle name="Normal 2 3 5 8 5" xfId="12057" xr:uid="{E4E9FBD0-DC66-4485-BD85-C06F55865D12}"/>
    <cellStyle name="Normal 2 3 5 9" xfId="3220" xr:uid="{E8790F0E-0FFD-4D9B-91FD-AA39B118CE8A}"/>
    <cellStyle name="Normal 2 3 5 9 2" xfId="3221" xr:uid="{C08F0A3A-F859-480E-BCEE-5D025B0A0ED9}"/>
    <cellStyle name="Normal 2 3 5 9 2 2" xfId="3222" xr:uid="{61D37595-B3A5-4C7E-8C82-377F46124FCF}"/>
    <cellStyle name="Normal 2 3 5 9 2 2 2" xfId="12065" xr:uid="{AD210D40-2297-4A34-A915-888F042FF460}"/>
    <cellStyle name="Normal 2 3 5 9 2 3" xfId="3223" xr:uid="{5D50FD36-60FA-4F42-A149-E9FB8E1D9EB4}"/>
    <cellStyle name="Normal 2 3 5 9 2 3 2" xfId="12066" xr:uid="{3BCC277E-FA10-41F8-A8E4-2629FFDAB4B0}"/>
    <cellStyle name="Normal 2 3 5 9 2 4" xfId="12064" xr:uid="{7A46EFCB-92DE-4A72-9507-6A9865802A5D}"/>
    <cellStyle name="Normal 2 3 5 9 3" xfId="3224" xr:uid="{7F96B79D-4684-49CA-87AB-B18D4FE64D95}"/>
    <cellStyle name="Normal 2 3 5 9 3 2" xfId="12067" xr:uid="{4164A63E-967E-42EA-BF00-D5963C8D89C2}"/>
    <cellStyle name="Normal 2 3 5 9 4" xfId="3225" xr:uid="{5CA093BA-4CBF-4EA0-A127-C57B18804C49}"/>
    <cellStyle name="Normal 2 3 5 9 4 2" xfId="12068" xr:uid="{B102EB91-D2B9-4410-8C95-6C55B7EF54F9}"/>
    <cellStyle name="Normal 2 3 5 9 5" xfId="12063" xr:uid="{D41E995A-7053-4A34-ACA4-3565324974AF}"/>
    <cellStyle name="Normal 2 3 50" xfId="3226" xr:uid="{26228BB2-DD32-4CAD-93C2-7AF033D28B7C}"/>
    <cellStyle name="Normal 2 3 50 2" xfId="3227" xr:uid="{8D6C046F-89ED-4C3B-B4B0-6585BF512D9A}"/>
    <cellStyle name="Normal 2 3 50 2 2" xfId="3228" xr:uid="{3D933D62-59A7-43DC-99CC-F25E9C9FECEB}"/>
    <cellStyle name="Normal 2 3 50 2 2 2" xfId="12071" xr:uid="{29CCE50B-C61C-4EF7-9A6C-57DC0D43BBD2}"/>
    <cellStyle name="Normal 2 3 50 2 3" xfId="3229" xr:uid="{65BD7BAA-9F91-4885-B152-B65E95EF3E41}"/>
    <cellStyle name="Normal 2 3 50 2 3 2" xfId="12072" xr:uid="{32588A1A-451C-43AD-A6D1-1292D469AC56}"/>
    <cellStyle name="Normal 2 3 50 2 4" xfId="12070" xr:uid="{51278C55-5130-40C5-AB58-15CA11FCC279}"/>
    <cellStyle name="Normal 2 3 50 3" xfId="3230" xr:uid="{70A925FD-13F4-430B-870D-AB57541ECF44}"/>
    <cellStyle name="Normal 2 3 50 3 2" xfId="12073" xr:uid="{6D380F12-757F-4423-98B2-9FC6E8007253}"/>
    <cellStyle name="Normal 2 3 50 4" xfId="3231" xr:uid="{1E8F8793-581A-4B65-B958-33D872239B4E}"/>
    <cellStyle name="Normal 2 3 50 4 2" xfId="12074" xr:uid="{48FFFEC9-655C-418C-9C05-1854DCF31F16}"/>
    <cellStyle name="Normal 2 3 50 5" xfId="12069" xr:uid="{FA523660-7CBE-40CF-81E5-62EDF72277C9}"/>
    <cellStyle name="Normal 2 3 51" xfId="3232" xr:uid="{A4724E83-175B-4F94-80DB-A9331E9F2875}"/>
    <cellStyle name="Normal 2 3 51 2" xfId="3233" xr:uid="{F7FC125C-AC9A-4000-90C9-170D549B7F3C}"/>
    <cellStyle name="Normal 2 3 51 2 2" xfId="3234" xr:uid="{5C6486FA-0D9F-4E2B-9A6D-E3F35F1840D0}"/>
    <cellStyle name="Normal 2 3 51 2 2 2" xfId="12077" xr:uid="{8EAC0647-CF36-4553-91D5-B8C5D59CB78C}"/>
    <cellStyle name="Normal 2 3 51 2 3" xfId="3235" xr:uid="{2FC1260F-74A5-494E-9C1E-413EAD5292AD}"/>
    <cellStyle name="Normal 2 3 51 2 3 2" xfId="12078" xr:uid="{3EE9A999-161E-4E90-B219-395CADDDE9C1}"/>
    <cellStyle name="Normal 2 3 51 2 4" xfId="12076" xr:uid="{9B24A8FC-2A77-445B-8674-D79296814E0C}"/>
    <cellStyle name="Normal 2 3 51 3" xfId="3236" xr:uid="{E36E95B0-8CEA-4485-8486-49B64E748863}"/>
    <cellStyle name="Normal 2 3 51 3 2" xfId="12079" xr:uid="{FD3173B9-0129-452B-90E0-877736DF4167}"/>
    <cellStyle name="Normal 2 3 51 4" xfId="3237" xr:uid="{BC6F6990-4104-474B-86B6-E12234B51657}"/>
    <cellStyle name="Normal 2 3 51 4 2" xfId="12080" xr:uid="{A8134ABB-8501-4B19-88BE-9BE1A3238D22}"/>
    <cellStyle name="Normal 2 3 51 5" xfId="12075" xr:uid="{1F06222B-4F34-4FF3-ADC1-0CE381D4CEF6}"/>
    <cellStyle name="Normal 2 3 52" xfId="3238" xr:uid="{5924A9BA-31D3-44E8-B8EF-935487050A30}"/>
    <cellStyle name="Normal 2 3 52 2" xfId="3239" xr:uid="{DA9B9CA2-76E0-420F-A891-953A77CE8CBB}"/>
    <cellStyle name="Normal 2 3 52 2 2" xfId="3240" xr:uid="{41A7746C-87B0-40CF-B30D-7133D08A8B66}"/>
    <cellStyle name="Normal 2 3 52 2 2 2" xfId="12083" xr:uid="{1023A0DB-6B97-42A6-99D0-09CBCD869B1F}"/>
    <cellStyle name="Normal 2 3 52 2 3" xfId="3241" xr:uid="{07642C2F-F8AC-4A3A-A0AF-22DE9E3205FC}"/>
    <cellStyle name="Normal 2 3 52 2 3 2" xfId="12084" xr:uid="{05E92BA7-549C-4CC6-ACA0-8422B382DBD8}"/>
    <cellStyle name="Normal 2 3 52 2 4" xfId="12082" xr:uid="{5DB72781-FCE4-40E8-AC92-31B0B6FCC1FE}"/>
    <cellStyle name="Normal 2 3 52 3" xfId="3242" xr:uid="{D283F1F3-C694-4213-AAFC-1D32AB905745}"/>
    <cellStyle name="Normal 2 3 52 3 2" xfId="12085" xr:uid="{0F4AD96C-FB2E-435D-9E6F-9C68565A1337}"/>
    <cellStyle name="Normal 2 3 52 4" xfId="3243" xr:uid="{6748CB47-B9F0-46F2-B636-4DA8001E8E04}"/>
    <cellStyle name="Normal 2 3 52 4 2" xfId="12086" xr:uid="{7CCC0497-9416-40CD-B6E1-7EEA476C7FC6}"/>
    <cellStyle name="Normal 2 3 52 5" xfId="12081" xr:uid="{A9144CC2-6563-4D4B-887F-4D4D53E68E43}"/>
    <cellStyle name="Normal 2 3 53" xfId="3244" xr:uid="{FA70F0B4-C35A-469A-9368-7AAE88EEC8AC}"/>
    <cellStyle name="Normal 2 3 53 2" xfId="3245" xr:uid="{42A5A2CA-E65A-44A1-89C9-916F61E580F9}"/>
    <cellStyle name="Normal 2 3 53 2 2" xfId="3246" xr:uid="{C1785836-383A-4DDB-A69C-27FD5553F62D}"/>
    <cellStyle name="Normal 2 3 53 2 2 2" xfId="12089" xr:uid="{AD34FCBC-2327-4243-8F02-70E98FCEEBC6}"/>
    <cellStyle name="Normal 2 3 53 2 3" xfId="3247" xr:uid="{286F31B8-E30B-46A2-B8EC-7407175B2074}"/>
    <cellStyle name="Normal 2 3 53 2 3 2" xfId="12090" xr:uid="{BFFE4D5A-4468-48C3-A531-15F7E2A0F79C}"/>
    <cellStyle name="Normal 2 3 53 2 4" xfId="12088" xr:uid="{DF87809F-DDF2-4924-AE7C-9618A4C5A886}"/>
    <cellStyle name="Normal 2 3 53 3" xfId="3248" xr:uid="{6B5338A0-8861-4C7F-898E-952174C8575B}"/>
    <cellStyle name="Normal 2 3 53 3 2" xfId="12091" xr:uid="{316A36CE-D3B4-4DF1-BD07-0869DFCD2CF6}"/>
    <cellStyle name="Normal 2 3 53 4" xfId="3249" xr:uid="{33B1F466-8D1A-43BE-B9F6-1C18C25ED454}"/>
    <cellStyle name="Normal 2 3 53 4 2" xfId="12092" xr:uid="{4C3EF6F5-F759-45B8-B1AD-D00CFF4E5864}"/>
    <cellStyle name="Normal 2 3 53 5" xfId="12087" xr:uid="{DC1E79CD-52D1-4899-9C91-D2F9CB92795A}"/>
    <cellStyle name="Normal 2 3 54" xfId="3250" xr:uid="{4BCBEC55-E148-44C0-BC7E-99860E00E676}"/>
    <cellStyle name="Normal 2 3 54 2" xfId="3251" xr:uid="{2A3C09BF-1E08-494E-8C2D-8FC1C6F32C16}"/>
    <cellStyle name="Normal 2 3 54 2 2" xfId="3252" xr:uid="{A5A9DA3E-3382-4719-9E38-68F26CDE8AB1}"/>
    <cellStyle name="Normal 2 3 54 2 2 2" xfId="12095" xr:uid="{FCAA7850-6D3B-4E4C-8AB2-631F7C162007}"/>
    <cellStyle name="Normal 2 3 54 2 3" xfId="3253" xr:uid="{50F1F605-CE9E-41EC-804C-A52F8970E755}"/>
    <cellStyle name="Normal 2 3 54 2 3 2" xfId="12096" xr:uid="{20517AC8-1EDA-40CB-882B-236EB8C51CDB}"/>
    <cellStyle name="Normal 2 3 54 2 4" xfId="12094" xr:uid="{796E36B3-1ED2-4844-8435-DECA0E8224E3}"/>
    <cellStyle name="Normal 2 3 54 3" xfId="3254" xr:uid="{9CE878E3-ADA6-41D1-8861-B50E6281106A}"/>
    <cellStyle name="Normal 2 3 54 3 2" xfId="12097" xr:uid="{8C47EE27-923A-445D-8C82-33D8DBE8A787}"/>
    <cellStyle name="Normal 2 3 54 4" xfId="3255" xr:uid="{6131CCE4-6FCD-4144-B4FD-5DE0B8D6EBD8}"/>
    <cellStyle name="Normal 2 3 54 4 2" xfId="12098" xr:uid="{A86C494E-2922-4B80-BF84-4D43B8723A19}"/>
    <cellStyle name="Normal 2 3 54 5" xfId="12093" xr:uid="{A145CAAC-4CA5-438E-9E5F-3A756C933231}"/>
    <cellStyle name="Normal 2 3 55" xfId="3256" xr:uid="{9453CF0E-329D-413A-858A-24D7FF9A0C21}"/>
    <cellStyle name="Normal 2 3 55 2" xfId="3257" xr:uid="{0215FC4C-BC11-4999-936C-81238738BEED}"/>
    <cellStyle name="Normal 2 3 55 2 2" xfId="3258" xr:uid="{D0206FDC-0FA6-4F75-9885-DD348DD9AA2A}"/>
    <cellStyle name="Normal 2 3 55 2 2 2" xfId="12101" xr:uid="{CD210416-73FE-4252-B597-45656C44EE34}"/>
    <cellStyle name="Normal 2 3 55 2 3" xfId="3259" xr:uid="{A561A644-621C-4EEF-A159-F9BAB3A75DB3}"/>
    <cellStyle name="Normal 2 3 55 2 3 2" xfId="12102" xr:uid="{8CBAD883-100B-40FA-A6FE-B88E0274308A}"/>
    <cellStyle name="Normal 2 3 55 2 4" xfId="12100" xr:uid="{D1E7C58F-EECA-40D5-A958-80B6C619E955}"/>
    <cellStyle name="Normal 2 3 55 3" xfId="3260" xr:uid="{2F5931AC-0A42-452C-AFDA-D31F6C98385E}"/>
    <cellStyle name="Normal 2 3 55 3 2" xfId="12103" xr:uid="{39D571AE-6ADA-432E-8BC9-62D2C2ECFA04}"/>
    <cellStyle name="Normal 2 3 55 4" xfId="3261" xr:uid="{1C33C756-ACB8-496E-8419-164009BCEBE8}"/>
    <cellStyle name="Normal 2 3 55 4 2" xfId="12104" xr:uid="{6206AF13-9DF3-410C-AD43-330E3B5AAC21}"/>
    <cellStyle name="Normal 2 3 55 5" xfId="12099" xr:uid="{42BC26C5-4AFF-44AC-93ED-9608E81D2F1C}"/>
    <cellStyle name="Normal 2 3 56" xfId="3262" xr:uid="{ABF8902B-AE6E-4306-B075-BB1775DC050D}"/>
    <cellStyle name="Normal 2 3 56 2" xfId="3263" xr:uid="{409CCAF7-8C43-40BA-98FC-4412D90233D6}"/>
    <cellStyle name="Normal 2 3 56 2 2" xfId="3264" xr:uid="{926A975F-4C03-4E4C-ABFD-DE72214C8995}"/>
    <cellStyle name="Normal 2 3 56 2 2 2" xfId="12107" xr:uid="{A53327D2-337E-4F98-804D-1E12A81AA071}"/>
    <cellStyle name="Normal 2 3 56 2 3" xfId="3265" xr:uid="{0567698D-5A16-488C-B2FE-4DC58CA76264}"/>
    <cellStyle name="Normal 2 3 56 2 3 2" xfId="12108" xr:uid="{238E39C4-A919-45FD-89DF-52E9E80C46FE}"/>
    <cellStyle name="Normal 2 3 56 2 4" xfId="12106" xr:uid="{CB9DE862-67A6-4B84-A8D8-92E4A9946BBC}"/>
    <cellStyle name="Normal 2 3 56 3" xfId="3266" xr:uid="{E3262448-C8E9-4B35-AC15-86A76EFCFB12}"/>
    <cellStyle name="Normal 2 3 56 3 2" xfId="12109" xr:uid="{7B4A258B-82C1-4B3E-912C-9268D54CB363}"/>
    <cellStyle name="Normal 2 3 56 4" xfId="3267" xr:uid="{25A7C07C-5F33-4597-8B15-0136E3BFB870}"/>
    <cellStyle name="Normal 2 3 56 4 2" xfId="12110" xr:uid="{C6795748-6393-4D3C-88C9-5FC737B2822E}"/>
    <cellStyle name="Normal 2 3 56 5" xfId="12105" xr:uid="{5D815990-56D4-4FB8-8AF2-63BE0E212A72}"/>
    <cellStyle name="Normal 2 3 57" xfId="3268" xr:uid="{0BA387AD-C146-404E-AB8A-8F453A45BF02}"/>
    <cellStyle name="Normal 2 3 57 2" xfId="3269" xr:uid="{3328BD66-1AE1-474E-B40C-E4AC3A88F231}"/>
    <cellStyle name="Normal 2 3 57 2 2" xfId="3270" xr:uid="{10CDECFC-8EA1-4446-A25F-7C832DF12102}"/>
    <cellStyle name="Normal 2 3 57 2 2 2" xfId="12113" xr:uid="{5EF19C27-EBDA-4DB5-B8D2-5FDE4F435F49}"/>
    <cellStyle name="Normal 2 3 57 2 3" xfId="3271" xr:uid="{F68D91BF-2627-4B0C-85B3-70F9185C0ECD}"/>
    <cellStyle name="Normal 2 3 57 2 3 2" xfId="12114" xr:uid="{895BF028-7F2B-4DCD-8351-1F2282445EA6}"/>
    <cellStyle name="Normal 2 3 57 2 4" xfId="12112" xr:uid="{F625DD41-2834-4FED-AEA5-8A00B9C42433}"/>
    <cellStyle name="Normal 2 3 57 3" xfId="3272" xr:uid="{B8CE99CD-314B-421E-A20A-7721BFABF699}"/>
    <cellStyle name="Normal 2 3 57 3 2" xfId="12115" xr:uid="{974DAD49-9520-416C-B238-584484B4E6F7}"/>
    <cellStyle name="Normal 2 3 57 4" xfId="3273" xr:uid="{D7C48368-54C6-49BF-A980-D4CDBBF4387D}"/>
    <cellStyle name="Normal 2 3 57 4 2" xfId="12116" xr:uid="{4921993D-DDDA-400B-8B6D-AA61B2128ECA}"/>
    <cellStyle name="Normal 2 3 57 5" xfId="12111" xr:uid="{E008DAD6-8A5B-4FD8-A09E-C01A06C36047}"/>
    <cellStyle name="Normal 2 3 58" xfId="3274" xr:uid="{C10008E9-1972-48A9-83BF-FEC908B2997A}"/>
    <cellStyle name="Normal 2 3 58 2" xfId="3275" xr:uid="{384EC018-9458-420E-B339-CD0EFB2C9EF7}"/>
    <cellStyle name="Normal 2 3 58 2 2" xfId="3276" xr:uid="{880FEFDB-216B-442E-8556-CD6B9AF70581}"/>
    <cellStyle name="Normal 2 3 58 2 2 2" xfId="12119" xr:uid="{BA89E132-4222-4C00-BE3A-A6E0513ADE71}"/>
    <cellStyle name="Normal 2 3 58 2 3" xfId="3277" xr:uid="{CAFD3525-7DF2-4289-8B04-77EE8EBEA4EC}"/>
    <cellStyle name="Normal 2 3 58 2 3 2" xfId="12120" xr:uid="{B0ACCC62-F011-46F3-A232-20EB4E55C67C}"/>
    <cellStyle name="Normal 2 3 58 2 4" xfId="12118" xr:uid="{A5B8F168-E998-4373-9D6C-B3F5A97E537A}"/>
    <cellStyle name="Normal 2 3 58 3" xfId="3278" xr:uid="{D00777E8-D845-45DF-A4E7-A6935A2F79E6}"/>
    <cellStyle name="Normal 2 3 58 3 2" xfId="12121" xr:uid="{A78F2641-E10B-446E-B1AF-24851776242E}"/>
    <cellStyle name="Normal 2 3 58 4" xfId="3279" xr:uid="{ECFA9887-5704-4B98-AF24-53BF9A144262}"/>
    <cellStyle name="Normal 2 3 58 4 2" xfId="12122" xr:uid="{43741C15-CE45-4C0D-BD03-DD03C9886EA0}"/>
    <cellStyle name="Normal 2 3 58 5" xfId="12117" xr:uid="{DDC63EFA-CEE1-4295-8E17-FBF2FB37137F}"/>
    <cellStyle name="Normal 2 3 59" xfId="3280" xr:uid="{DD82953C-CAAC-41FD-9268-D0776EB04D34}"/>
    <cellStyle name="Normal 2 3 59 2" xfId="3281" xr:uid="{3954D4C0-F3D1-4F69-BF91-6B179945FE98}"/>
    <cellStyle name="Normal 2 3 59 2 2" xfId="3282" xr:uid="{654DE16F-5405-47D4-9E32-A98FED0F242A}"/>
    <cellStyle name="Normal 2 3 59 2 2 2" xfId="12125" xr:uid="{8CC459AE-20C5-4BAF-B329-8A7EE3089DCB}"/>
    <cellStyle name="Normal 2 3 59 2 3" xfId="3283" xr:uid="{ECB76990-BCDA-4D2D-A838-0B6BC2C65C9B}"/>
    <cellStyle name="Normal 2 3 59 2 3 2" xfId="12126" xr:uid="{D34BC020-9B7C-41F2-833E-BF8AA121E8A1}"/>
    <cellStyle name="Normal 2 3 59 2 4" xfId="12124" xr:uid="{E175A90F-48C8-444F-BC95-C4D6AEB1A95F}"/>
    <cellStyle name="Normal 2 3 59 3" xfId="3284" xr:uid="{69047933-872F-44FD-BC32-65F78CA7F01A}"/>
    <cellStyle name="Normal 2 3 59 3 2" xfId="12127" xr:uid="{C91C2131-EC62-410E-9EA2-FF8A08382568}"/>
    <cellStyle name="Normal 2 3 59 4" xfId="3285" xr:uid="{FAB7AEC3-96AB-4277-BBCB-2078C55A7B43}"/>
    <cellStyle name="Normal 2 3 59 4 2" xfId="12128" xr:uid="{E230CA2D-E4ED-468F-A543-5CD5D1D149B3}"/>
    <cellStyle name="Normal 2 3 59 5" xfId="12123" xr:uid="{126220B7-226D-4181-8987-DD94E5275A9F}"/>
    <cellStyle name="Normal 2 3 6" xfId="3286" xr:uid="{77CAAEA0-1B9C-4354-8A9E-C2A2F47EF5B1}"/>
    <cellStyle name="Normal 2 3 6 2" xfId="3287" xr:uid="{FFD0E64D-6636-4549-8FF4-F0E6D2DB0DD8}"/>
    <cellStyle name="Normal 2 3 6 2 2" xfId="3288" xr:uid="{8D5B407E-FD8E-4EE6-ACE3-71F4B33DBBB0}"/>
    <cellStyle name="Normal 2 3 6 2 2 2" xfId="12131" xr:uid="{D6764A73-B9C4-4163-9542-4DF89CB1F0A6}"/>
    <cellStyle name="Normal 2 3 6 2 3" xfId="3289" xr:uid="{0E448075-F7F1-4A45-87FF-BD706B72DEE5}"/>
    <cellStyle name="Normal 2 3 6 2 3 2" xfId="12132" xr:uid="{8DDFA183-9C98-4693-9DBC-1A144E3A11EA}"/>
    <cellStyle name="Normal 2 3 6 2 4" xfId="12130" xr:uid="{C1E9D88C-6770-4188-82BC-96349EF20A78}"/>
    <cellStyle name="Normal 2 3 6 3" xfId="3290" xr:uid="{7AABB04B-CC2D-45DD-B3E1-783C31844788}"/>
    <cellStyle name="Normal 2 3 6 3 2" xfId="12133" xr:uid="{DB203E5A-012A-4646-8161-7095452F7354}"/>
    <cellStyle name="Normal 2 3 6 4" xfId="3291" xr:uid="{C7389750-FB85-4443-AF8C-F374A8CE0195}"/>
    <cellStyle name="Normal 2 3 6 4 2" xfId="12134" xr:uid="{D9B6CD0D-1582-43F8-9070-2ACC0C6A2A74}"/>
    <cellStyle name="Normal 2 3 6 5" xfId="12129" xr:uid="{A133E968-CEDA-4901-B185-F1F18234178D}"/>
    <cellStyle name="Normal 2 3 60" xfId="3292" xr:uid="{73EC634C-F2BA-4900-A388-5D80CA2386B3}"/>
    <cellStyle name="Normal 2 3 60 2" xfId="3293" xr:uid="{0F6FEC65-7430-4A35-A723-39736491C405}"/>
    <cellStyle name="Normal 2 3 60 2 2" xfId="3294" xr:uid="{679633AA-23CE-4CF9-8E0E-3E01F6590729}"/>
    <cellStyle name="Normal 2 3 60 2 2 2" xfId="12137" xr:uid="{2BAA4FA3-68A7-462E-B81D-4060EC1082CF}"/>
    <cellStyle name="Normal 2 3 60 2 3" xfId="3295" xr:uid="{9763B386-F083-404F-A144-1858ED56284B}"/>
    <cellStyle name="Normal 2 3 60 2 3 2" xfId="12138" xr:uid="{E3104652-26DF-4E08-950F-1B86E9AE73A1}"/>
    <cellStyle name="Normal 2 3 60 2 4" xfId="12136" xr:uid="{015AD46A-5F43-4900-B8A9-CFEA21713FA8}"/>
    <cellStyle name="Normal 2 3 60 3" xfId="3296" xr:uid="{5884D8C1-A5FA-4C41-BD16-3D65064B2526}"/>
    <cellStyle name="Normal 2 3 60 3 2" xfId="12139" xr:uid="{6CCC2DDA-722B-4B61-B24A-5595799448A6}"/>
    <cellStyle name="Normal 2 3 60 4" xfId="3297" xr:uid="{2CC8E6AF-C1BC-4FDA-9980-D7DC955C2C0B}"/>
    <cellStyle name="Normal 2 3 60 4 2" xfId="12140" xr:uid="{9B7034AE-D93E-4E85-88FB-C2EF8DDD892E}"/>
    <cellStyle name="Normal 2 3 60 5" xfId="12135" xr:uid="{4E7FD7D1-5FCB-4B59-B692-BC347D336913}"/>
    <cellStyle name="Normal 2 3 61" xfId="3298" xr:uid="{FC48CB78-59FF-4AAD-9EF2-111D58BA1ABE}"/>
    <cellStyle name="Normal 2 3 61 2" xfId="3299" xr:uid="{F3405D8E-AC6D-4B2F-9103-B8F61B781581}"/>
    <cellStyle name="Normal 2 3 61 2 2" xfId="12142" xr:uid="{7E433A38-5EC4-458B-88A8-C6245FF479DA}"/>
    <cellStyle name="Normal 2 3 61 3" xfId="3300" xr:uid="{EB23FD5C-3D12-46BE-9D96-EE064D577AD8}"/>
    <cellStyle name="Normal 2 3 61 3 2" xfId="12143" xr:uid="{58EFB528-72BE-4BDE-B63D-E046A8F558AE}"/>
    <cellStyle name="Normal 2 3 61 4" xfId="12141" xr:uid="{4241E52D-443F-4503-847E-04EBC14AD149}"/>
    <cellStyle name="Normal 2 3 62" xfId="3301" xr:uid="{652B39A6-58AC-40A3-B3A6-EADC9DF309AC}"/>
    <cellStyle name="Normal 2 3 62 2" xfId="12144" xr:uid="{9BEBF306-0F60-4878-9EB4-B4B19B8586E7}"/>
    <cellStyle name="Normal 2 3 63" xfId="3302" xr:uid="{281210E2-1A68-494E-BC7A-B03A1157D709}"/>
    <cellStyle name="Normal 2 3 63 2" xfId="12145" xr:uid="{70BF0CB9-2E31-4FAA-83CC-A9845E607025}"/>
    <cellStyle name="Normal 2 3 64" xfId="3303" xr:uid="{B2DEBFD6-3286-44A4-8B67-E704758876A8}"/>
    <cellStyle name="Normal 2 3 65" xfId="3304" xr:uid="{2986BA9E-11CA-4EEC-A8CA-D8EB2AE569F0}"/>
    <cellStyle name="Normal 2 3 65 2" xfId="3305" xr:uid="{DB5835C9-36B0-4CD1-941A-6F3D25A70C85}"/>
    <cellStyle name="Normal 2 3 65 2 2" xfId="12146" xr:uid="{19926A46-6FEA-42F2-B513-561864FDE1B1}"/>
    <cellStyle name="Normal 2 3 65 3" xfId="3306" xr:uid="{28E6F24B-61B6-4662-B4AA-A2C78EB033B9}"/>
    <cellStyle name="Normal 2 3 66" xfId="10796" xr:uid="{FD4991BC-219B-4190-8BC5-EA38B9D55A17}"/>
    <cellStyle name="Normal 2 3 7" xfId="3307" xr:uid="{AEE7D51F-7C48-4ACB-82D8-759886F03027}"/>
    <cellStyle name="Normal 2 3 7 2" xfId="3308" xr:uid="{BE06753C-FD7D-4DA5-8BD0-D0EFFA2CF2FE}"/>
    <cellStyle name="Normal 2 3 7 2 2" xfId="3309" xr:uid="{088E25B8-CB5F-4F8C-8D41-A34B06608320}"/>
    <cellStyle name="Normal 2 3 7 2 2 2" xfId="12149" xr:uid="{7D28AA5E-7D76-49DB-9809-3F7F26ABB615}"/>
    <cellStyle name="Normal 2 3 7 2 3" xfId="3310" xr:uid="{F2FC2B3A-2DC0-4632-9D82-255CB42DBDCF}"/>
    <cellStyle name="Normal 2 3 7 2 3 2" xfId="12150" xr:uid="{43C3C761-59BF-40A8-99DA-A0BC36AA25C5}"/>
    <cellStyle name="Normal 2 3 7 2 4" xfId="12148" xr:uid="{970B6440-080E-4044-8931-B138C242D404}"/>
    <cellStyle name="Normal 2 3 7 3" xfId="3311" xr:uid="{A191A6B0-8199-4461-9050-806BC0FAB47F}"/>
    <cellStyle name="Normal 2 3 7 3 2" xfId="12151" xr:uid="{4A6515F3-9C47-40FC-82B2-98ABE9F4D6E6}"/>
    <cellStyle name="Normal 2 3 7 4" xfId="3312" xr:uid="{823A1759-A7D5-494D-B360-23B42C3D44FF}"/>
    <cellStyle name="Normal 2 3 7 4 2" xfId="12152" xr:uid="{A48B1528-FE8D-44D0-97E4-F04FD527EC1B}"/>
    <cellStyle name="Normal 2 3 7 5" xfId="12147" xr:uid="{099011F6-7DF8-47E1-9F14-DB090812A719}"/>
    <cellStyle name="Normal 2 3 8" xfId="3313" xr:uid="{B4C35ED0-E166-4A25-8A7E-8E7E293F052E}"/>
    <cellStyle name="Normal 2 3 8 2" xfId="3314" xr:uid="{BCA5C566-4936-4B58-9DE5-0557A90F9DB8}"/>
    <cellStyle name="Normal 2 3 8 2 2" xfId="3315" xr:uid="{934E6D72-3B5E-4095-A951-61776C29055B}"/>
    <cellStyle name="Normal 2 3 8 2 2 2" xfId="12155" xr:uid="{9C7118C0-E1BE-4072-8790-C8BCF685F688}"/>
    <cellStyle name="Normal 2 3 8 2 3" xfId="3316" xr:uid="{7408416A-6A2F-4859-B12C-A2BE273B7557}"/>
    <cellStyle name="Normal 2 3 8 2 3 2" xfId="12156" xr:uid="{87D37B2F-584D-4A61-AB09-D16884F849D7}"/>
    <cellStyle name="Normal 2 3 8 2 4" xfId="12154" xr:uid="{F0930AC6-05C7-4306-BA8B-28A9114887C6}"/>
    <cellStyle name="Normal 2 3 8 3" xfId="3317" xr:uid="{A3895C9E-38DB-4D65-8221-54FC7070DE71}"/>
    <cellStyle name="Normal 2 3 8 3 2" xfId="12157" xr:uid="{B2BF50E8-3560-4B20-88C3-D42AC8322108}"/>
    <cellStyle name="Normal 2 3 8 4" xfId="3318" xr:uid="{27F91C3C-8E99-4565-A4D1-BDEF6D3992D1}"/>
    <cellStyle name="Normal 2 3 8 4 2" xfId="12158" xr:uid="{5096223D-10A2-4E10-B314-E7F0E9A8F7E3}"/>
    <cellStyle name="Normal 2 3 8 5" xfId="3319" xr:uid="{58B4F23A-FA8B-414C-83B9-AC4CA24CAA4F}"/>
    <cellStyle name="Normal 2 3 8 6" xfId="3320" xr:uid="{BBCCD95B-CE56-4106-A45C-1B36EC4B391C}"/>
    <cellStyle name="Normal 2 3 8 6 2" xfId="12159" xr:uid="{156E95A0-E002-4D21-88AE-E352E12CC473}"/>
    <cellStyle name="Normal 2 3 8 7" xfId="3321" xr:uid="{FF00D344-83E2-4761-9A22-2DE3843786AD}"/>
    <cellStyle name="Normal 2 3 8 8" xfId="12153" xr:uid="{2962635B-F325-46E6-93FE-61FF09AA25B4}"/>
    <cellStyle name="Normal 2 3 9" xfId="3322" xr:uid="{913C6374-7F0B-4D43-870F-84A5FE80413F}"/>
    <cellStyle name="Normal 2 3 9 2" xfId="3323" xr:uid="{1FC1C2CA-A5DC-43F0-AA42-B1BCE71E9A75}"/>
    <cellStyle name="Normal 2 3 9 2 2" xfId="3324" xr:uid="{37FE905B-C69E-4F4C-887A-F3E4F70B074E}"/>
    <cellStyle name="Normal 2 3 9 2 2 2" xfId="12162" xr:uid="{376891A7-BA32-4D03-A0A0-CB4DFDE30F57}"/>
    <cellStyle name="Normal 2 3 9 2 3" xfId="3325" xr:uid="{DB32888F-134D-4C3A-87E1-C04F223BED17}"/>
    <cellStyle name="Normal 2 3 9 2 3 2" xfId="12163" xr:uid="{3FFA0556-4E86-426E-B2CF-02D873AE1C49}"/>
    <cellStyle name="Normal 2 3 9 2 4" xfId="12161" xr:uid="{1EA32C47-2590-4DDF-A750-52DFE4A566CF}"/>
    <cellStyle name="Normal 2 3 9 3" xfId="3326" xr:uid="{A8BD288B-1D9A-4F03-8AFE-1EC8F9178035}"/>
    <cellStyle name="Normal 2 3 9 3 2" xfId="12164" xr:uid="{F223B0EE-D9D0-489E-A2C3-19BE98F276EF}"/>
    <cellStyle name="Normal 2 3 9 4" xfId="3327" xr:uid="{DC9ABDA6-3E62-48F6-A4E6-768EA498310A}"/>
    <cellStyle name="Normal 2 3 9 4 2" xfId="12165" xr:uid="{2954B0E4-321C-495B-AA9B-E7D6FA04C439}"/>
    <cellStyle name="Normal 2 3 9 5" xfId="12160" xr:uid="{074C7BEB-7AE3-44C2-A232-AC19E34EE918}"/>
    <cellStyle name="Normal 2 30" xfId="3328" xr:uid="{EDB1C0A7-25E0-43E3-8CE4-835F6D7199A8}"/>
    <cellStyle name="Normal 2 30 2" xfId="3329" xr:uid="{36909422-F73E-4688-BC9B-70E71700E18B}"/>
    <cellStyle name="Normal 2 30 2 2" xfId="3330" xr:uid="{90714BF1-6C30-4A95-A35F-3D0007F6DF9D}"/>
    <cellStyle name="Normal 2 30 2 2 2" xfId="12168" xr:uid="{C0C34C8F-64CE-43F1-9F11-CE8304F6E459}"/>
    <cellStyle name="Normal 2 30 2 3" xfId="3331" xr:uid="{7B370857-9362-49F8-9A1B-2061231A6FFA}"/>
    <cellStyle name="Normal 2 30 2 3 2" xfId="12169" xr:uid="{DDE65B29-F148-455A-9976-36FE3A169829}"/>
    <cellStyle name="Normal 2 30 2 4" xfId="12167" xr:uid="{014595A9-2CFC-4ACD-9076-89A0450F5E42}"/>
    <cellStyle name="Normal 2 30 3" xfId="3332" xr:uid="{1777F6C1-01FC-44D5-9F93-FD4A54E9A1EB}"/>
    <cellStyle name="Normal 2 30 3 2" xfId="12170" xr:uid="{4C749007-13AB-45AB-AF21-F1DA2F347B22}"/>
    <cellStyle name="Normal 2 30 4" xfId="3333" xr:uid="{F53D64DC-0A87-446E-B984-4B5E2993ED8E}"/>
    <cellStyle name="Normal 2 30 4 2" xfId="12171" xr:uid="{1EB049DD-4D3B-49E6-99D0-6D42D32FBDCE}"/>
    <cellStyle name="Normal 2 30 5" xfId="12166" xr:uid="{EE9DC94B-4FEF-4B9A-BF6C-8E109121D2B9}"/>
    <cellStyle name="Normal 2 31" xfId="3334" xr:uid="{6F3DFC5B-81B0-4841-86D6-06C057E51B47}"/>
    <cellStyle name="Normal 2 31 2" xfId="3335" xr:uid="{C349AF98-2581-4CC3-BB58-715B8E3561BA}"/>
    <cellStyle name="Normal 2 31 2 2" xfId="3336" xr:uid="{CC37CC0F-DA2B-4951-BE9C-0FC4545C5F27}"/>
    <cellStyle name="Normal 2 31 2 2 2" xfId="12174" xr:uid="{E59644F7-417F-4904-8AB5-F268F6C0849E}"/>
    <cellStyle name="Normal 2 31 2 3" xfId="3337" xr:uid="{C2D526D8-4F5A-4681-888D-49ACA7D6092D}"/>
    <cellStyle name="Normal 2 31 2 3 2" xfId="12175" xr:uid="{E15B989D-E4D4-416B-BAF0-E5F96F645A58}"/>
    <cellStyle name="Normal 2 31 2 4" xfId="12173" xr:uid="{812D47AF-1320-4E12-865E-C373A79C2BEC}"/>
    <cellStyle name="Normal 2 31 3" xfId="3338" xr:uid="{2A67C983-1A30-455C-9FA2-77E1E6010EF9}"/>
    <cellStyle name="Normal 2 31 3 2" xfId="12176" xr:uid="{9CC9A229-BDFE-4604-8CB1-DE9EBACC90F0}"/>
    <cellStyle name="Normal 2 31 4" xfId="3339" xr:uid="{10CD20AF-51F4-4278-9A09-262503BAF398}"/>
    <cellStyle name="Normal 2 31 4 2" xfId="12177" xr:uid="{4E6E6694-DC45-44B8-817A-F254E2462018}"/>
    <cellStyle name="Normal 2 31 5" xfId="12172" xr:uid="{4C271E47-8CF2-4D8A-B172-12BEF648838B}"/>
    <cellStyle name="Normal 2 32" xfId="3340" xr:uid="{918376AF-05CF-4F0A-8B46-29942F41C41E}"/>
    <cellStyle name="Normal 2 32 2" xfId="3341" xr:uid="{B1E2EBB9-E1F0-4584-971F-D4A11C6FC9D9}"/>
    <cellStyle name="Normal 2 32 2 2" xfId="3342" xr:uid="{ADC43F72-C03F-4012-B11C-63F224FD10A1}"/>
    <cellStyle name="Normal 2 32 2 2 2" xfId="12180" xr:uid="{67F0FCAE-5008-474C-AF4A-4A287D88D78E}"/>
    <cellStyle name="Normal 2 32 2 3" xfId="3343" xr:uid="{966ADE95-B093-40A6-B267-CA24A36B33FE}"/>
    <cellStyle name="Normal 2 32 2 3 2" xfId="12181" xr:uid="{2B70D8CE-4397-492F-B938-84CB6B7FDB9E}"/>
    <cellStyle name="Normal 2 32 2 4" xfId="12179" xr:uid="{A558D2C9-F298-4678-AC87-916BE4AD52B3}"/>
    <cellStyle name="Normal 2 32 3" xfId="3344" xr:uid="{D07F7223-92EF-4695-80D5-5C7A0B363E9C}"/>
    <cellStyle name="Normal 2 32 3 2" xfId="12182" xr:uid="{2DF284E0-8599-4E6E-AEA3-AC542F88EDBB}"/>
    <cellStyle name="Normal 2 32 4" xfId="3345" xr:uid="{737DF497-03B4-4E69-8671-F82C6AB98FC2}"/>
    <cellStyle name="Normal 2 32 4 2" xfId="12183" xr:uid="{BB862F42-725C-43A9-B80D-B119F0B49876}"/>
    <cellStyle name="Normal 2 32 5" xfId="12178" xr:uid="{A67E5586-7343-46A5-9486-5E1AA9F415C7}"/>
    <cellStyle name="Normal 2 33" xfId="3346" xr:uid="{AB446BE7-9B11-4569-877F-B1CD6617BB06}"/>
    <cellStyle name="Normal 2 33 2" xfId="3347" xr:uid="{69AE6C28-B69B-48C5-8957-F30E377152B8}"/>
    <cellStyle name="Normal 2 33 2 2" xfId="3348" xr:uid="{8BBFD867-CD55-49E5-BF41-535584E75F86}"/>
    <cellStyle name="Normal 2 33 2 2 2" xfId="12186" xr:uid="{BFB04366-A5B0-4484-B640-CA332B183D7C}"/>
    <cellStyle name="Normal 2 33 2 3" xfId="3349" xr:uid="{E9A1758A-8ECF-4EAA-8141-4CF2E7A819C8}"/>
    <cellStyle name="Normal 2 33 2 3 2" xfId="12187" xr:uid="{EA574A55-6EDD-432A-BE22-D954AC72B68F}"/>
    <cellStyle name="Normal 2 33 2 4" xfId="12185" xr:uid="{A020493C-3AE3-4D2A-9FA5-F7D67101A80D}"/>
    <cellStyle name="Normal 2 33 3" xfId="3350" xr:uid="{7558C6A7-6794-46C8-850C-964970B1DFDE}"/>
    <cellStyle name="Normal 2 33 3 2" xfId="12188" xr:uid="{BF981549-813F-4AE0-9D05-DA9712C8E4CD}"/>
    <cellStyle name="Normal 2 33 4" xfId="3351" xr:uid="{06A18CE7-CA54-46EA-AC13-98F8DF071D20}"/>
    <cellStyle name="Normal 2 33 4 2" xfId="12189" xr:uid="{5B1787EF-2779-44B9-A61D-4D0E962A75D3}"/>
    <cellStyle name="Normal 2 33 5" xfId="12184" xr:uid="{ECF9EFBF-143D-41A5-81BA-3B98621C2597}"/>
    <cellStyle name="Normal 2 34" xfId="3352" xr:uid="{404C83E5-EFFE-41DF-8E67-A6FAE0DA8796}"/>
    <cellStyle name="Normal 2 34 2" xfId="3353" xr:uid="{B8258A88-C64A-422A-BE61-7CA692438846}"/>
    <cellStyle name="Normal 2 34 2 2" xfId="3354" xr:uid="{D667F3D7-F759-429C-8999-6787334863DE}"/>
    <cellStyle name="Normal 2 34 2 2 2" xfId="12192" xr:uid="{49C1B2AE-169B-410B-B9D2-2782F54282FF}"/>
    <cellStyle name="Normal 2 34 2 3" xfId="3355" xr:uid="{F7074AF9-A2DC-4A11-9C74-6439BAA4E4CC}"/>
    <cellStyle name="Normal 2 34 2 3 2" xfId="12193" xr:uid="{F0795976-181A-44AF-BDE8-210269CD18B8}"/>
    <cellStyle name="Normal 2 34 2 4" xfId="12191" xr:uid="{0FC3951F-96C3-4314-B4D0-05F4AEFC201F}"/>
    <cellStyle name="Normal 2 34 3" xfId="3356" xr:uid="{AFA6B6D9-10BD-480C-A44C-A3066F7C3B1C}"/>
    <cellStyle name="Normal 2 34 3 2" xfId="12194" xr:uid="{2EF92991-F675-460B-9B06-2381A7C35D93}"/>
    <cellStyle name="Normal 2 34 4" xfId="3357" xr:uid="{AB8EE6DA-CBE0-4E54-996A-F6046F5ECA4F}"/>
    <cellStyle name="Normal 2 34 4 2" xfId="12195" xr:uid="{E5E2C078-A406-4F12-B15E-00B2569B050F}"/>
    <cellStyle name="Normal 2 34 5" xfId="12190" xr:uid="{A593F016-7DCF-4C57-905F-6565381A63EA}"/>
    <cellStyle name="Normal 2 35" xfId="3358" xr:uid="{6A621C7E-8A79-410E-9A61-876856D1F7C7}"/>
    <cellStyle name="Normal 2 35 2" xfId="3359" xr:uid="{AFF9F9A6-64CB-4C57-8A43-50EECA9E123E}"/>
    <cellStyle name="Normal 2 35 2 2" xfId="3360" xr:uid="{0746CB67-A83D-4912-ACE1-113CEB60242D}"/>
    <cellStyle name="Normal 2 35 2 2 2" xfId="12198" xr:uid="{A63DECFD-F5B5-4BCF-96FF-E9068B9B4722}"/>
    <cellStyle name="Normal 2 35 2 3" xfId="3361" xr:uid="{AAA00E7D-B647-40B1-94F2-75888D614F03}"/>
    <cellStyle name="Normal 2 35 2 3 2" xfId="12199" xr:uid="{9C7C6332-7675-479B-9B6B-DFF322D1919A}"/>
    <cellStyle name="Normal 2 35 2 4" xfId="12197" xr:uid="{077DA49C-7946-429B-918A-C69A0F199D6F}"/>
    <cellStyle name="Normal 2 35 3" xfId="3362" xr:uid="{FB805AEB-0564-4FF1-A036-895CC5F01AC8}"/>
    <cellStyle name="Normal 2 35 3 2" xfId="12200" xr:uid="{D8BE8B39-7EF4-4B6E-8D1D-2616ADE9B3F6}"/>
    <cellStyle name="Normal 2 35 4" xfId="3363" xr:uid="{BE79B103-DB04-4282-9036-B461C0EC56D0}"/>
    <cellStyle name="Normal 2 35 4 2" xfId="12201" xr:uid="{ADFA3077-1AC4-490F-B2CE-ECF9B8A712B9}"/>
    <cellStyle name="Normal 2 35 5" xfId="12196" xr:uid="{0B983F24-3160-4FBE-BCB9-E123BA378DAE}"/>
    <cellStyle name="Normal 2 36" xfId="3364" xr:uid="{ED8D3D65-0875-4064-920E-C585F60B069B}"/>
    <cellStyle name="Normal 2 36 2" xfId="3365" xr:uid="{EEA881C5-B016-4165-A517-F7DE76176141}"/>
    <cellStyle name="Normal 2 36 2 2" xfId="3366" xr:uid="{4E2EE004-EDCE-4972-A827-D4988F151701}"/>
    <cellStyle name="Normal 2 36 2 2 2" xfId="12204" xr:uid="{48CAA364-2E61-4ADD-BDCB-B23AFD8AC502}"/>
    <cellStyle name="Normal 2 36 2 3" xfId="3367" xr:uid="{6583B3CF-4D53-4272-9B54-9DB297B16A25}"/>
    <cellStyle name="Normal 2 36 2 3 2" xfId="12205" xr:uid="{5593EE21-A3F2-4DCD-8878-89CE90475975}"/>
    <cellStyle name="Normal 2 36 2 4" xfId="12203" xr:uid="{39DD8B1C-CE21-4271-8294-5299D45D77D3}"/>
    <cellStyle name="Normal 2 36 3" xfId="3368" xr:uid="{CCF741E1-787A-4422-B3D7-73FE22A9E8AC}"/>
    <cellStyle name="Normal 2 36 3 2" xfId="12206" xr:uid="{8960CC12-406D-4D59-B9C2-34D8FA2B5047}"/>
    <cellStyle name="Normal 2 36 4" xfId="3369" xr:uid="{ECD6A988-B521-461E-919E-4324A850A4D1}"/>
    <cellStyle name="Normal 2 36 4 2" xfId="12207" xr:uid="{95D2F97F-3431-4F65-98E5-4F2208C14450}"/>
    <cellStyle name="Normal 2 36 5" xfId="12202" xr:uid="{0652576D-4BBD-476F-8199-E1A04067955A}"/>
    <cellStyle name="Normal 2 37" xfId="3370" xr:uid="{688013EE-BD85-418D-8E8C-98F65C400A52}"/>
    <cellStyle name="Normal 2 37 2" xfId="3371" xr:uid="{D0C04FAF-4E18-4680-83EE-7E712EA6D2A0}"/>
    <cellStyle name="Normal 2 37 2 2" xfId="3372" xr:uid="{5C56A88A-37B9-4F62-856F-FA19E2A28E8F}"/>
    <cellStyle name="Normal 2 37 2 2 2" xfId="12210" xr:uid="{64268E45-FE40-4B19-8C09-2F6CFC228194}"/>
    <cellStyle name="Normal 2 37 2 3" xfId="3373" xr:uid="{AA7CA17F-C2D5-4B50-AE80-5DAA616A6403}"/>
    <cellStyle name="Normal 2 37 2 3 2" xfId="12211" xr:uid="{5E1CF0FD-162D-4C41-ACA8-A975A74ED9F2}"/>
    <cellStyle name="Normal 2 37 2 4" xfId="12209" xr:uid="{E8E16E1B-ED9B-4D00-B4D5-CB6F2326E501}"/>
    <cellStyle name="Normal 2 37 3" xfId="3374" xr:uid="{311353F0-36E2-4675-8EFF-8C0C1209F46A}"/>
    <cellStyle name="Normal 2 37 3 2" xfId="12212" xr:uid="{7051652B-E3A5-4811-AB88-B0C154F14CFC}"/>
    <cellStyle name="Normal 2 37 4" xfId="3375" xr:uid="{D1B9A413-1DDF-4FC1-B4F3-9E6F07982348}"/>
    <cellStyle name="Normal 2 37 4 2" xfId="12213" xr:uid="{877AABFF-DE39-4CBB-8087-C82E7098D3EF}"/>
    <cellStyle name="Normal 2 37 5" xfId="12208" xr:uid="{7A05E847-5F87-4F06-AF6D-0CD0EBE2D371}"/>
    <cellStyle name="Normal 2 38" xfId="3376" xr:uid="{44DBE3A9-FEE6-4DB3-81AD-D388340551A3}"/>
    <cellStyle name="Normal 2 38 2" xfId="3377" xr:uid="{09DC8807-ADE6-4015-B093-C783D129454F}"/>
    <cellStyle name="Normal 2 38 2 2" xfId="3378" xr:uid="{D71809CF-DBEA-4F16-AB2B-9D1BA8EB5D21}"/>
    <cellStyle name="Normal 2 38 2 2 2" xfId="12216" xr:uid="{F5A1483F-32CA-4018-8955-1BBDD30254F2}"/>
    <cellStyle name="Normal 2 38 2 3" xfId="3379" xr:uid="{C8BC9F68-3C2C-43F2-82D3-8DC1863D7257}"/>
    <cellStyle name="Normal 2 38 2 3 2" xfId="12217" xr:uid="{DF928188-89F7-4CF8-9091-7DEFEE234AB2}"/>
    <cellStyle name="Normal 2 38 2 4" xfId="12215" xr:uid="{B3593F60-0F4A-4293-AEEA-F3AA22A45D30}"/>
    <cellStyle name="Normal 2 38 3" xfId="3380" xr:uid="{D0F279FF-AE1A-4ED4-A0B6-6CE9F34B648F}"/>
    <cellStyle name="Normal 2 38 3 2" xfId="12218" xr:uid="{7738D4DC-D0A6-451E-9406-8F4695A8AE18}"/>
    <cellStyle name="Normal 2 38 4" xfId="3381" xr:uid="{D3FA1F5A-CF7F-42C0-BF15-B7D7ADB97CC7}"/>
    <cellStyle name="Normal 2 38 4 2" xfId="12219" xr:uid="{8CB44FED-F72D-4E54-A23A-585767BA886D}"/>
    <cellStyle name="Normal 2 38 5" xfId="12214" xr:uid="{E22D228E-73E4-4047-97E6-C04EE8D7D4D2}"/>
    <cellStyle name="Normal 2 39" xfId="3382" xr:uid="{E30BCF1B-F028-494B-A914-38F0CFD573DB}"/>
    <cellStyle name="Normal 2 39 2" xfId="3383" xr:uid="{890EBD63-C7FE-478C-B20F-676B519084DE}"/>
    <cellStyle name="Normal 2 39 2 2" xfId="3384" xr:uid="{FD2E53EF-589C-42F7-ADFB-9605DAE77F16}"/>
    <cellStyle name="Normal 2 39 2 2 2" xfId="12222" xr:uid="{ECE87B77-2142-4A17-BD6B-F0E61CF56A50}"/>
    <cellStyle name="Normal 2 39 2 3" xfId="3385" xr:uid="{7111ECE9-7304-4753-8F48-68BF80C6719D}"/>
    <cellStyle name="Normal 2 39 2 3 2" xfId="12223" xr:uid="{DCD0AF4D-D8B0-4E0F-98FC-5AD649C2549E}"/>
    <cellStyle name="Normal 2 39 2 4" xfId="12221" xr:uid="{AA828883-623E-4B91-86BA-7DA8A2035B98}"/>
    <cellStyle name="Normal 2 39 3" xfId="3386" xr:uid="{096A3284-D9E3-4356-B1D1-3700534FEAB0}"/>
    <cellStyle name="Normal 2 39 3 2" xfId="12224" xr:uid="{4D8F21B1-2CE6-48D2-94C1-02A740901867}"/>
    <cellStyle name="Normal 2 39 4" xfId="3387" xr:uid="{488DBC7E-9795-43D5-9271-774F2F4558CB}"/>
    <cellStyle name="Normal 2 39 4 2" xfId="12225" xr:uid="{ACE005CE-CA55-4F81-BEDB-EDD59ADAD400}"/>
    <cellStyle name="Normal 2 39 5" xfId="12220" xr:uid="{3496A454-FC09-4D80-9D44-1A51EBB4CCA9}"/>
    <cellStyle name="Normal 2 4" xfId="3388" xr:uid="{37CF28F1-912D-49F1-AABC-B3E8CAF03D48}"/>
    <cellStyle name="Normal 2 4 10" xfId="3389" xr:uid="{23506E7A-18F2-466B-9765-75F38E105058}"/>
    <cellStyle name="Normal 2 4 10 2" xfId="3390" xr:uid="{7F268165-D707-44C0-B5DE-A4AC85B519F7}"/>
    <cellStyle name="Normal 2 4 10 2 2" xfId="3391" xr:uid="{570C7AFF-B721-48AC-8267-B460D816A542}"/>
    <cellStyle name="Normal 2 4 10 2 2 2" xfId="12229" xr:uid="{DCC52FC7-1324-4938-A14E-4E112283FB7F}"/>
    <cellStyle name="Normal 2 4 10 2 3" xfId="3392" xr:uid="{516C1B63-7252-402B-8F2D-0712B2D78F2D}"/>
    <cellStyle name="Normal 2 4 10 2 3 2" xfId="12230" xr:uid="{B4EAE135-1303-43D4-8B37-124BEA2A4154}"/>
    <cellStyle name="Normal 2 4 10 2 4" xfId="12228" xr:uid="{970C4A7C-1D90-4E85-9143-212E8E5B30BA}"/>
    <cellStyle name="Normal 2 4 10 3" xfId="3393" xr:uid="{07CDFAAA-9A40-42CB-A642-8BC0072A8C5A}"/>
    <cellStyle name="Normal 2 4 10 3 2" xfId="12231" xr:uid="{795D5939-B2B7-4251-9FBD-8E96F236AA51}"/>
    <cellStyle name="Normal 2 4 10 4" xfId="3394" xr:uid="{A67B7EDF-A54D-4B84-A5B0-548B8677C32A}"/>
    <cellStyle name="Normal 2 4 10 4 2" xfId="12232" xr:uid="{346B7D3C-97DF-48B0-9079-91C60C389F22}"/>
    <cellStyle name="Normal 2 4 10 5" xfId="12227" xr:uid="{D9AC58C9-213E-41FE-8DBE-F3ACAC3D4F89}"/>
    <cellStyle name="Normal 2 4 11" xfId="3395" xr:uid="{80F31B38-18E8-4AA7-8A46-D1325B0D676B}"/>
    <cellStyle name="Normal 2 4 11 2" xfId="3396" xr:uid="{CC23E9DA-B43C-4E69-B807-AA18F0BF5A6E}"/>
    <cellStyle name="Normal 2 4 11 2 2" xfId="3397" xr:uid="{C005E0F3-C724-4227-B791-65EF6F34A30E}"/>
    <cellStyle name="Normal 2 4 11 2 2 2" xfId="12235" xr:uid="{778DCE7D-D0E3-4DC2-8AD9-7B185DC34CA4}"/>
    <cellStyle name="Normal 2 4 11 2 3" xfId="3398" xr:uid="{7D58EA90-15B7-4B18-818C-26948EBCC1E1}"/>
    <cellStyle name="Normal 2 4 11 2 3 2" xfId="12236" xr:uid="{A436BDD3-A145-47C1-89E4-7875718E9F51}"/>
    <cellStyle name="Normal 2 4 11 2 4" xfId="12234" xr:uid="{7030296C-0BD5-4D91-AB14-058B6BE1787D}"/>
    <cellStyle name="Normal 2 4 11 3" xfId="3399" xr:uid="{50A185D8-2364-40EC-BF58-0B72CE64726B}"/>
    <cellStyle name="Normal 2 4 11 3 2" xfId="12237" xr:uid="{5E86271C-A6BA-46DC-A7DE-CD08CEDEBE6C}"/>
    <cellStyle name="Normal 2 4 11 4" xfId="3400" xr:uid="{BBA79D35-EB0E-4A13-8FB7-F9A4A06B02BF}"/>
    <cellStyle name="Normal 2 4 11 4 2" xfId="12238" xr:uid="{C8B22CAF-581A-4245-BEAE-8FD6B9214B0D}"/>
    <cellStyle name="Normal 2 4 11 5" xfId="12233" xr:uid="{A2E7DCD8-507B-4C50-A631-F27ADF6B01DE}"/>
    <cellStyle name="Normal 2 4 12" xfId="3401" xr:uid="{FB67AE57-93F0-4946-873D-BCA8BC30A7ED}"/>
    <cellStyle name="Normal 2 4 12 2" xfId="3402" xr:uid="{D0C0715C-3803-4F31-8706-5AD5457A2B1B}"/>
    <cellStyle name="Normal 2 4 12 2 2" xfId="3403" xr:uid="{34592F92-CDF1-4979-834F-A5EBD1FC8FD4}"/>
    <cellStyle name="Normal 2 4 12 2 2 2" xfId="12241" xr:uid="{77633D22-7449-4F89-9108-B84F7A8A3A66}"/>
    <cellStyle name="Normal 2 4 12 2 3" xfId="3404" xr:uid="{01494DFB-A63D-459A-A07B-49B55D1B7C81}"/>
    <cellStyle name="Normal 2 4 12 2 3 2" xfId="12242" xr:uid="{C7AFDB79-DBCF-4D9D-AC75-DBCF20EA6AED}"/>
    <cellStyle name="Normal 2 4 12 2 4" xfId="12240" xr:uid="{79711F1D-2778-4C1D-BDB4-DFF14BB000AC}"/>
    <cellStyle name="Normal 2 4 12 3" xfId="3405" xr:uid="{1B3603E6-DB8E-4AA4-B1BF-026C1805FCFA}"/>
    <cellStyle name="Normal 2 4 12 3 2" xfId="12243" xr:uid="{BE3EC795-BA35-4969-A3C0-A503C10AB54F}"/>
    <cellStyle name="Normal 2 4 12 4" xfId="3406" xr:uid="{A19C55F9-DBD2-4DD2-B89A-19BA9832EE60}"/>
    <cellStyle name="Normal 2 4 12 4 2" xfId="12244" xr:uid="{DEE25A56-1C83-4C69-8168-CF6C39D7ABFA}"/>
    <cellStyle name="Normal 2 4 12 5" xfId="12239" xr:uid="{B9E88815-144B-439D-80D3-DFE37D6F0ABD}"/>
    <cellStyle name="Normal 2 4 13" xfId="3407" xr:uid="{6A306535-AC3F-4118-8E3F-E398BFC0B336}"/>
    <cellStyle name="Normal 2 4 13 2" xfId="3408" xr:uid="{A4C3B464-A8C7-43D6-8153-F7C9646E52B1}"/>
    <cellStyle name="Normal 2 4 13 2 2" xfId="3409" xr:uid="{73A1AF96-5939-449B-8F39-FBA9F77C3A76}"/>
    <cellStyle name="Normal 2 4 13 2 2 2" xfId="12247" xr:uid="{DAC2CC45-1DF4-4561-AA2B-2A76076DCBD2}"/>
    <cellStyle name="Normal 2 4 13 2 3" xfId="3410" xr:uid="{3758129A-FFEB-42A2-8C55-4C7F17D2922C}"/>
    <cellStyle name="Normal 2 4 13 2 3 2" xfId="12248" xr:uid="{D80852F1-9744-4038-A900-C162A788C6BD}"/>
    <cellStyle name="Normal 2 4 13 2 4" xfId="12246" xr:uid="{058AC12A-F37B-44EE-99D6-50A76D65B434}"/>
    <cellStyle name="Normal 2 4 13 3" xfId="3411" xr:uid="{F7F279E8-A1CE-4C9D-8EAE-9589836E16D9}"/>
    <cellStyle name="Normal 2 4 13 3 2" xfId="12249" xr:uid="{5C2CE09A-B75E-427E-B81A-C9723700AD2C}"/>
    <cellStyle name="Normal 2 4 13 4" xfId="3412" xr:uid="{065C7798-A781-4355-BA16-45DE3E6B74EB}"/>
    <cellStyle name="Normal 2 4 13 4 2" xfId="12250" xr:uid="{1F7F428B-5CFE-4E48-A4DB-66C191FC64BD}"/>
    <cellStyle name="Normal 2 4 13 5" xfId="12245" xr:uid="{5D17F39C-C318-46D3-8962-762FD99C3BF6}"/>
    <cellStyle name="Normal 2 4 14" xfId="3413" xr:uid="{41A72ACC-B3A8-4799-988C-60206A7A6281}"/>
    <cellStyle name="Normal 2 4 14 2" xfId="3414" xr:uid="{9E723A4C-0652-45EA-ADAF-D9481E7785ED}"/>
    <cellStyle name="Normal 2 4 14 2 2" xfId="3415" xr:uid="{80D9F7E4-A420-4365-BDF7-A6BF5D2FC173}"/>
    <cellStyle name="Normal 2 4 14 2 2 2" xfId="12253" xr:uid="{4B3E7DAC-71E8-4CDB-B89D-DC080777A42F}"/>
    <cellStyle name="Normal 2 4 14 2 3" xfId="3416" xr:uid="{977B7B95-9960-4FA6-85A0-B8184A443407}"/>
    <cellStyle name="Normal 2 4 14 2 3 2" xfId="12254" xr:uid="{71295778-D2B4-4103-9A6D-69D09A7E9156}"/>
    <cellStyle name="Normal 2 4 14 2 4" xfId="12252" xr:uid="{A100C6D5-2B7C-443F-AA12-89AB1CC80361}"/>
    <cellStyle name="Normal 2 4 14 3" xfId="3417" xr:uid="{46A0F952-C6DB-44F0-B9FD-156D0A28CD69}"/>
    <cellStyle name="Normal 2 4 14 3 2" xfId="12255" xr:uid="{3B56414D-F5E5-4E96-B163-1DC5650C9514}"/>
    <cellStyle name="Normal 2 4 14 4" xfId="3418" xr:uid="{FC71F4C8-BEEC-492E-BFA8-0812C251F852}"/>
    <cellStyle name="Normal 2 4 14 4 2" xfId="12256" xr:uid="{BD9304BF-0573-4069-B739-BCE134C6D652}"/>
    <cellStyle name="Normal 2 4 14 5" xfId="12251" xr:uid="{9AA30FFC-53F8-4E55-95B0-C14E19AAB4E1}"/>
    <cellStyle name="Normal 2 4 15" xfId="3419" xr:uid="{4D11132F-4E83-4B05-9541-18832092B9B0}"/>
    <cellStyle name="Normal 2 4 15 2" xfId="3420" xr:uid="{D6ABD913-3DFB-4E87-9476-37D1D01CE78A}"/>
    <cellStyle name="Normal 2 4 15 2 2" xfId="3421" xr:uid="{00557B81-C3F2-46FC-9FC1-CD3163E94296}"/>
    <cellStyle name="Normal 2 4 15 2 2 2" xfId="12259" xr:uid="{E9A007F3-E47B-4730-8475-F7E4D5E96004}"/>
    <cellStyle name="Normal 2 4 15 2 3" xfId="3422" xr:uid="{0AE42233-598D-4669-B51B-A9240BB6A082}"/>
    <cellStyle name="Normal 2 4 15 2 3 2" xfId="12260" xr:uid="{DDEF16CF-6AA5-4242-86C7-EDB835984103}"/>
    <cellStyle name="Normal 2 4 15 2 4" xfId="12258" xr:uid="{35667DD0-0F3E-4A0B-9F12-C2593AC7FFD4}"/>
    <cellStyle name="Normal 2 4 15 3" xfId="3423" xr:uid="{614A5BDF-50E2-4745-B395-C5B8B82BAF79}"/>
    <cellStyle name="Normal 2 4 15 3 2" xfId="12261" xr:uid="{7D6B9C24-8B6A-4B88-A838-1A3235D3EFA4}"/>
    <cellStyle name="Normal 2 4 15 4" xfId="3424" xr:uid="{10D1D12A-FD61-48E9-8BA7-D57EBD722645}"/>
    <cellStyle name="Normal 2 4 15 4 2" xfId="12262" xr:uid="{9B5B4BBB-BAF9-453A-BC45-44A843AB0E0C}"/>
    <cellStyle name="Normal 2 4 15 5" xfId="12257" xr:uid="{B8A2873C-AA00-4DF4-80DA-7213F5AC4825}"/>
    <cellStyle name="Normal 2 4 16" xfId="3425" xr:uid="{4B364E5D-3F2B-4B94-86B9-B477A6E808BA}"/>
    <cellStyle name="Normal 2 4 16 2" xfId="3426" xr:uid="{8B4F091B-5FDD-43D2-A089-3446563B39DD}"/>
    <cellStyle name="Normal 2 4 16 2 2" xfId="3427" xr:uid="{B9B8089A-AD08-4101-A3E6-A098DC11D6A1}"/>
    <cellStyle name="Normal 2 4 16 2 2 2" xfId="12265" xr:uid="{54AF29F2-82BA-4A77-A850-60BE6C49CCD0}"/>
    <cellStyle name="Normal 2 4 16 2 3" xfId="3428" xr:uid="{863B1B84-77CD-4396-A015-9560CA1CE12D}"/>
    <cellStyle name="Normal 2 4 16 2 3 2" xfId="12266" xr:uid="{733E27D4-BC13-4912-81CA-C91B31BF70BC}"/>
    <cellStyle name="Normal 2 4 16 2 4" xfId="12264" xr:uid="{5DA638EC-D7F7-4831-A176-226BFB48002A}"/>
    <cellStyle name="Normal 2 4 16 3" xfId="3429" xr:uid="{0D7863B6-4F99-4678-A251-44E793CEBD33}"/>
    <cellStyle name="Normal 2 4 16 3 2" xfId="12267" xr:uid="{6719570C-7EA1-4691-A61E-29E6137F41BC}"/>
    <cellStyle name="Normal 2 4 16 4" xfId="3430" xr:uid="{D27D1A6B-6ABA-4E9C-9BB0-33958D25E70E}"/>
    <cellStyle name="Normal 2 4 16 4 2" xfId="12268" xr:uid="{31033494-B479-4CA6-989F-68BDA8E049D2}"/>
    <cellStyle name="Normal 2 4 16 5" xfId="12263" xr:uid="{DCCE6420-4C8D-4F4F-BAC3-E04F7CECEF5F}"/>
    <cellStyle name="Normal 2 4 17" xfId="3431" xr:uid="{C4D5595A-3AE0-4C07-8F9C-090BF52BE28E}"/>
    <cellStyle name="Normal 2 4 17 2" xfId="3432" xr:uid="{8A5A1C0F-E730-4523-8EA6-F666180E6B30}"/>
    <cellStyle name="Normal 2 4 17 2 2" xfId="3433" xr:uid="{21DEF0A5-D8C0-4C64-AEFD-8A904210D9F8}"/>
    <cellStyle name="Normal 2 4 17 2 2 2" xfId="12271" xr:uid="{1318F04E-6921-4931-BD88-D30C9F67E1CE}"/>
    <cellStyle name="Normal 2 4 17 2 3" xfId="3434" xr:uid="{51AE2F2B-9F9A-4D11-920B-3F774E79F8DB}"/>
    <cellStyle name="Normal 2 4 17 2 3 2" xfId="12272" xr:uid="{CC1E4F38-3ACB-472F-A37A-25982F11253E}"/>
    <cellStyle name="Normal 2 4 17 2 4" xfId="12270" xr:uid="{A996F7C5-96C0-4EE1-9526-2A319E668CE3}"/>
    <cellStyle name="Normal 2 4 17 3" xfId="3435" xr:uid="{2CF2B493-4D7C-4746-B33E-6312152062BF}"/>
    <cellStyle name="Normal 2 4 17 3 2" xfId="12273" xr:uid="{4C714BDD-8552-46B3-9E9D-C0DE98E86448}"/>
    <cellStyle name="Normal 2 4 17 4" xfId="3436" xr:uid="{210F4850-A524-42B8-93BF-473D36C2F86C}"/>
    <cellStyle name="Normal 2 4 17 4 2" xfId="12274" xr:uid="{C1212C08-7456-488A-89B0-DCFEA6105A1B}"/>
    <cellStyle name="Normal 2 4 17 5" xfId="12269" xr:uid="{71DF24C5-AA56-4CDD-819F-9E696CFC58CF}"/>
    <cellStyle name="Normal 2 4 18" xfId="3437" xr:uid="{8C87BB6C-296F-4935-9C10-1E1D5480A832}"/>
    <cellStyle name="Normal 2 4 18 2" xfId="3438" xr:uid="{6532FA1D-A45E-42F9-A54D-8C765E1917FF}"/>
    <cellStyle name="Normal 2 4 18 2 2" xfId="3439" xr:uid="{1C520F32-A66A-4B1D-B364-C78A94D680E5}"/>
    <cellStyle name="Normal 2 4 18 2 2 2" xfId="12277" xr:uid="{829753B9-DB27-49DD-AB9F-DB491D827326}"/>
    <cellStyle name="Normal 2 4 18 2 3" xfId="3440" xr:uid="{31021B04-AEF4-4033-824D-AA18242E85B7}"/>
    <cellStyle name="Normal 2 4 18 2 3 2" xfId="12278" xr:uid="{5061777C-5C45-409F-8541-F165AA6E5F2D}"/>
    <cellStyle name="Normal 2 4 18 2 4" xfId="12276" xr:uid="{FDB8CD4C-6D2C-406F-B3A7-166D0EE1FC0B}"/>
    <cellStyle name="Normal 2 4 18 3" xfId="3441" xr:uid="{8B1CD9C5-D7AB-4466-8A0E-261BF6F5ECAD}"/>
    <cellStyle name="Normal 2 4 18 3 2" xfId="12279" xr:uid="{B4DC3396-E1F5-44B5-98AD-EC4522D73E58}"/>
    <cellStyle name="Normal 2 4 18 4" xfId="3442" xr:uid="{AE497D61-5CFB-48FB-804F-AEF9603B60A9}"/>
    <cellStyle name="Normal 2 4 18 4 2" xfId="12280" xr:uid="{69CD431C-EE3D-4736-BFB2-67E145D764BE}"/>
    <cellStyle name="Normal 2 4 18 5" xfId="12275" xr:uid="{9FE4BE0A-299A-4E27-95E7-E34318A17CE4}"/>
    <cellStyle name="Normal 2 4 19" xfId="3443" xr:uid="{7C758F66-32AF-47CB-AB84-7D7F879BEBF1}"/>
    <cellStyle name="Normal 2 4 19 2" xfId="3444" xr:uid="{D989EBBA-1AE8-40A3-B286-EB4EE554F3AB}"/>
    <cellStyle name="Normal 2 4 19 2 2" xfId="3445" xr:uid="{AD2D967A-C669-488E-B90D-DF220427D18A}"/>
    <cellStyle name="Normal 2 4 19 2 2 2" xfId="12283" xr:uid="{F9B22D4E-E5A1-4578-9672-DACF58E4B456}"/>
    <cellStyle name="Normal 2 4 19 2 3" xfId="3446" xr:uid="{558AD250-5072-4078-BC61-03104F3DA00F}"/>
    <cellStyle name="Normal 2 4 19 2 3 2" xfId="12284" xr:uid="{373C850E-8D4F-47DD-BC7D-201B37F65413}"/>
    <cellStyle name="Normal 2 4 19 2 4" xfId="12282" xr:uid="{8FE881E9-FA67-4B19-96A9-C7D160741FF1}"/>
    <cellStyle name="Normal 2 4 19 3" xfId="3447" xr:uid="{0119F1D1-6B35-4F6B-957B-B8AF7B884D49}"/>
    <cellStyle name="Normal 2 4 19 3 2" xfId="12285" xr:uid="{99710915-29CE-45DB-BB07-83BE39B80B1A}"/>
    <cellStyle name="Normal 2 4 19 4" xfId="3448" xr:uid="{7EFF9136-87D9-46E5-B58B-62034EE66561}"/>
    <cellStyle name="Normal 2 4 19 4 2" xfId="12286" xr:uid="{FE9B7964-DF30-487B-90B2-526B7FEE6734}"/>
    <cellStyle name="Normal 2 4 19 5" xfId="12281" xr:uid="{22752A9A-DC34-42EC-B763-910A99CE490F}"/>
    <cellStyle name="Normal 2 4 2" xfId="3449" xr:uid="{D157BCE3-7C5F-4DB7-8A5F-6C290BA00C5A}"/>
    <cellStyle name="Normal 2 4 2 10" xfId="3450" xr:uid="{D7DD15A3-B937-43B0-998F-2D16F72E16FA}"/>
    <cellStyle name="Normal 2 4 2 10 2" xfId="3451" xr:uid="{5FD7E464-8965-4788-B6DE-047AEF6DA0D5}"/>
    <cellStyle name="Normal 2 4 2 10 2 2" xfId="3452" xr:uid="{D13E39E4-24E1-4E0D-9D2E-2B5EFE511C41}"/>
    <cellStyle name="Normal 2 4 2 10 2 2 2" xfId="12290" xr:uid="{90828BBE-EB46-4668-8881-8E5133C51C7B}"/>
    <cellStyle name="Normal 2 4 2 10 2 3" xfId="3453" xr:uid="{6F9D4727-7833-4E06-8F04-86F48B96A102}"/>
    <cellStyle name="Normal 2 4 2 10 2 3 2" xfId="12291" xr:uid="{0678D694-6D54-4A06-A83A-31B2F40022DC}"/>
    <cellStyle name="Normal 2 4 2 10 2 4" xfId="12289" xr:uid="{E45AB257-6785-4CC9-9255-E4AD1AD119FD}"/>
    <cellStyle name="Normal 2 4 2 10 3" xfId="3454" xr:uid="{F41BF361-81A3-4047-96B0-15A58E136D26}"/>
    <cellStyle name="Normal 2 4 2 10 3 2" xfId="12292" xr:uid="{39FAF918-4FE8-44A2-A4D3-09AD25A7E3E4}"/>
    <cellStyle name="Normal 2 4 2 10 4" xfId="3455" xr:uid="{14B031E2-0D95-4340-AD33-C7254D5474C8}"/>
    <cellStyle name="Normal 2 4 2 10 4 2" xfId="12293" xr:uid="{D6B5E78D-B5A0-41CD-8003-CDD9E594388A}"/>
    <cellStyle name="Normal 2 4 2 10 5" xfId="12288" xr:uid="{A55042EA-7490-4ADC-8E8A-B73A79854A67}"/>
    <cellStyle name="Normal 2 4 2 11" xfId="3456" xr:uid="{B6CFF179-0FFA-4903-B87E-0B724BC6CA47}"/>
    <cellStyle name="Normal 2 4 2 11 2" xfId="3457" xr:uid="{18B72C0C-5A49-4BB5-98D2-33CE0CDDB1E7}"/>
    <cellStyle name="Normal 2 4 2 11 2 2" xfId="3458" xr:uid="{FF8F6083-0F71-4EFE-887D-050A9FD2A93E}"/>
    <cellStyle name="Normal 2 4 2 11 2 2 2" xfId="12296" xr:uid="{7D524280-9FBB-4FE0-8076-A2759293566D}"/>
    <cellStyle name="Normal 2 4 2 11 2 3" xfId="3459" xr:uid="{A10245E0-1F63-4AF9-B3C7-8DDBF916EA82}"/>
    <cellStyle name="Normal 2 4 2 11 2 3 2" xfId="12297" xr:uid="{1DC9DD64-27AE-4C64-BDF5-95973E1F6C5E}"/>
    <cellStyle name="Normal 2 4 2 11 2 4" xfId="12295" xr:uid="{58234EA5-09C4-44DF-9A98-2779A99E98E5}"/>
    <cellStyle name="Normal 2 4 2 11 3" xfId="3460" xr:uid="{56B859C2-5F9D-4AB0-AF42-B3EB9A64FFB8}"/>
    <cellStyle name="Normal 2 4 2 11 3 2" xfId="12298" xr:uid="{3E0CBB44-F33B-43B3-A18D-388451EE10A7}"/>
    <cellStyle name="Normal 2 4 2 11 4" xfId="3461" xr:uid="{B7D0E835-ED8E-4EC3-8C2A-1391CDF15F7C}"/>
    <cellStyle name="Normal 2 4 2 11 4 2" xfId="12299" xr:uid="{1366543A-4C77-4D15-A267-BBF97ED2BC2B}"/>
    <cellStyle name="Normal 2 4 2 11 5" xfId="12294" xr:uid="{36331D10-D54B-4309-A97E-80D6EE4145E7}"/>
    <cellStyle name="Normal 2 4 2 12" xfId="3462" xr:uid="{54FD97DE-FBBB-4A5D-92D6-A36E305DA01A}"/>
    <cellStyle name="Normal 2 4 2 12 2" xfId="3463" xr:uid="{9A70C37B-2432-4E14-AB7C-8A3020309798}"/>
    <cellStyle name="Normal 2 4 2 12 2 2" xfId="3464" xr:uid="{A519F004-95C3-4057-96F6-8A240AA50548}"/>
    <cellStyle name="Normal 2 4 2 12 2 2 2" xfId="12302" xr:uid="{667DFE4D-F40F-46DF-8433-5AED401465B2}"/>
    <cellStyle name="Normal 2 4 2 12 2 3" xfId="3465" xr:uid="{3D5D4A63-1665-4C38-A99C-F1610C97860D}"/>
    <cellStyle name="Normal 2 4 2 12 2 3 2" xfId="12303" xr:uid="{9E878E69-916A-4D13-85B4-A69994EC4C5C}"/>
    <cellStyle name="Normal 2 4 2 12 2 4" xfId="12301" xr:uid="{E074372C-81B3-4402-A5E1-6A1491FAF686}"/>
    <cellStyle name="Normal 2 4 2 12 3" xfId="3466" xr:uid="{6E078658-06E8-4E8D-B16B-BE005A06622B}"/>
    <cellStyle name="Normal 2 4 2 12 3 2" xfId="12304" xr:uid="{C6287F02-D577-4BE1-B1FF-2CE5E88810A6}"/>
    <cellStyle name="Normal 2 4 2 12 4" xfId="3467" xr:uid="{402D3F7F-561F-41D9-955C-69176E3DC55C}"/>
    <cellStyle name="Normal 2 4 2 12 4 2" xfId="12305" xr:uid="{E77EBB46-B976-47B3-B372-1F70CE1D7B3F}"/>
    <cellStyle name="Normal 2 4 2 12 5" xfId="12300" xr:uid="{7F6D902D-6401-444E-8169-35943744CCF1}"/>
    <cellStyle name="Normal 2 4 2 13" xfId="3468" xr:uid="{4E0DE835-7103-4891-B96E-FC9F0DECCB25}"/>
    <cellStyle name="Normal 2 4 2 13 2" xfId="3469" xr:uid="{B9D1C5C4-C98D-46F5-82DD-EAFD5029FB37}"/>
    <cellStyle name="Normal 2 4 2 13 2 2" xfId="3470" xr:uid="{B9C18456-A927-42B4-8B24-BF50D266D55A}"/>
    <cellStyle name="Normal 2 4 2 13 2 2 2" xfId="12308" xr:uid="{8D9F8C9F-A8C7-4D2F-8DCD-FFE732B26818}"/>
    <cellStyle name="Normal 2 4 2 13 2 3" xfId="3471" xr:uid="{1D8C5539-EF93-4825-8BFB-83553FBD5AEE}"/>
    <cellStyle name="Normal 2 4 2 13 2 3 2" xfId="12309" xr:uid="{462D7C38-DCDE-487D-97A8-1866AEE9E0B1}"/>
    <cellStyle name="Normal 2 4 2 13 2 4" xfId="12307" xr:uid="{2934C3DC-C872-405E-B872-F56D68C65803}"/>
    <cellStyle name="Normal 2 4 2 13 3" xfId="3472" xr:uid="{6A98CFCC-0511-4EC2-80C2-BB6613439BF5}"/>
    <cellStyle name="Normal 2 4 2 13 3 2" xfId="12310" xr:uid="{338E6206-80D7-4478-BB0E-250447A65F47}"/>
    <cellStyle name="Normal 2 4 2 13 4" xfId="3473" xr:uid="{40B8F124-BFF5-4636-AB9C-3A5D9B804851}"/>
    <cellStyle name="Normal 2 4 2 13 4 2" xfId="12311" xr:uid="{8DF525F6-7363-46D7-BF37-D87735DE1F0C}"/>
    <cellStyle name="Normal 2 4 2 13 5" xfId="12306" xr:uid="{0464D117-153B-46C1-87A0-C471DD592D10}"/>
    <cellStyle name="Normal 2 4 2 14" xfId="3474" xr:uid="{F1D5844C-E2EE-4FB9-94DB-2BB2F09FFACB}"/>
    <cellStyle name="Normal 2 4 2 14 2" xfId="3475" xr:uid="{0C6E78E8-1DA9-4434-A1E1-B71378DD2489}"/>
    <cellStyle name="Normal 2 4 2 14 2 2" xfId="3476" xr:uid="{41799AAC-2272-4D39-A5A8-30B363E0E36C}"/>
    <cellStyle name="Normal 2 4 2 14 2 2 2" xfId="12314" xr:uid="{AEAA83CD-506B-401D-8D31-DF82AEBD186F}"/>
    <cellStyle name="Normal 2 4 2 14 2 3" xfId="3477" xr:uid="{529FC739-522C-4DA1-97AB-AA18A49E4B55}"/>
    <cellStyle name="Normal 2 4 2 14 2 3 2" xfId="12315" xr:uid="{74ABE95A-64C6-4FC7-9EE1-0E2F02D4ACE1}"/>
    <cellStyle name="Normal 2 4 2 14 2 4" xfId="12313" xr:uid="{AD359E87-FDCD-4A26-A985-C497E1533307}"/>
    <cellStyle name="Normal 2 4 2 14 3" xfId="3478" xr:uid="{82F96E37-A0BE-4189-8B36-2CE174FA6D4A}"/>
    <cellStyle name="Normal 2 4 2 14 3 2" xfId="12316" xr:uid="{99D28D97-F04F-4592-B5BF-13E702B225E5}"/>
    <cellStyle name="Normal 2 4 2 14 4" xfId="3479" xr:uid="{BEF94CB0-13F3-4B45-92CC-D923BDBBCD77}"/>
    <cellStyle name="Normal 2 4 2 14 4 2" xfId="12317" xr:uid="{58A7C6A5-56D9-485F-8019-E5AAB7E44FCE}"/>
    <cellStyle name="Normal 2 4 2 14 5" xfId="12312" xr:uid="{8F47327A-1816-4A6D-81F9-92B991A41965}"/>
    <cellStyle name="Normal 2 4 2 15" xfId="3480" xr:uid="{C1ECA452-B827-4EF1-A20C-0A0D7A6EC53F}"/>
    <cellStyle name="Normal 2 4 2 15 2" xfId="3481" xr:uid="{E73CBCB9-B6CB-4FEF-92CB-12C44A6722B2}"/>
    <cellStyle name="Normal 2 4 2 15 2 2" xfId="3482" xr:uid="{9571F012-60B5-4EA0-8F5E-A759CD911431}"/>
    <cellStyle name="Normal 2 4 2 15 2 2 2" xfId="12320" xr:uid="{70AD0AD4-B04F-4C5E-8440-B0F6D58F3FF9}"/>
    <cellStyle name="Normal 2 4 2 15 2 3" xfId="3483" xr:uid="{59FC68BD-6E65-4A0B-8D39-2AFAFD836A94}"/>
    <cellStyle name="Normal 2 4 2 15 2 3 2" xfId="12321" xr:uid="{2CDFEBCF-5287-4A55-8DBA-A7634E99C9E2}"/>
    <cellStyle name="Normal 2 4 2 15 2 4" xfId="12319" xr:uid="{9D202C09-F167-4D88-80E8-EE51B4A3D3FC}"/>
    <cellStyle name="Normal 2 4 2 15 3" xfId="3484" xr:uid="{5E9CA005-6A96-4E56-A1F2-0E51D76397CA}"/>
    <cellStyle name="Normal 2 4 2 15 3 2" xfId="12322" xr:uid="{A7BFD828-976C-48D9-94CE-2BB586A09A7E}"/>
    <cellStyle name="Normal 2 4 2 15 4" xfId="3485" xr:uid="{7692EB98-85D1-4A1C-8DF4-77391C510286}"/>
    <cellStyle name="Normal 2 4 2 15 4 2" xfId="12323" xr:uid="{2A52F908-755B-4C08-83F7-D25CF12815D5}"/>
    <cellStyle name="Normal 2 4 2 15 5" xfId="12318" xr:uid="{A494BA2F-6CF4-45D2-BD52-6202B21FD57A}"/>
    <cellStyle name="Normal 2 4 2 16" xfId="3486" xr:uid="{2233BCFA-FF24-4FEF-BE42-467FD72911E2}"/>
    <cellStyle name="Normal 2 4 2 16 2" xfId="3487" xr:uid="{247133FE-FCB9-4589-A7F3-A8C7CD99CB5D}"/>
    <cellStyle name="Normal 2 4 2 16 2 2" xfId="3488" xr:uid="{3EAF0E05-C311-4102-A38E-13B55967C243}"/>
    <cellStyle name="Normal 2 4 2 16 2 2 2" xfId="12326" xr:uid="{622F3DD4-F272-4173-9420-477CCB8A5ACA}"/>
    <cellStyle name="Normal 2 4 2 16 2 3" xfId="3489" xr:uid="{90DB426B-F15F-4065-B6B2-54911A55E0D2}"/>
    <cellStyle name="Normal 2 4 2 16 2 3 2" xfId="12327" xr:uid="{EA7382E4-434B-47FB-A16F-61F0F8136E48}"/>
    <cellStyle name="Normal 2 4 2 16 2 4" xfId="12325" xr:uid="{4AFFF606-8AEC-493B-BAE0-C954221FF166}"/>
    <cellStyle name="Normal 2 4 2 16 3" xfId="3490" xr:uid="{5C7C6CCC-0BB6-4509-8286-F3885672A13F}"/>
    <cellStyle name="Normal 2 4 2 16 3 2" xfId="12328" xr:uid="{95879C3B-3C50-4F7E-B87A-9596BC0CDBCF}"/>
    <cellStyle name="Normal 2 4 2 16 4" xfId="3491" xr:uid="{66C1B882-C3FD-486F-B34C-75B1FA777FC3}"/>
    <cellStyle name="Normal 2 4 2 16 4 2" xfId="12329" xr:uid="{8EA51062-4D7E-422F-ADB4-B7D586C701EC}"/>
    <cellStyle name="Normal 2 4 2 16 5" xfId="12324" xr:uid="{9D224210-26D5-4971-8FA7-A3346CDE02C3}"/>
    <cellStyle name="Normal 2 4 2 17" xfId="3492" xr:uid="{4C560E2D-286B-4E01-A9ED-06567F786F4C}"/>
    <cellStyle name="Normal 2 4 2 17 2" xfId="3493" xr:uid="{1B78D0CA-8809-4419-B934-C6BCFB482244}"/>
    <cellStyle name="Normal 2 4 2 17 2 2" xfId="3494" xr:uid="{81224C94-387F-42BE-A484-1030B45B10CB}"/>
    <cellStyle name="Normal 2 4 2 17 2 2 2" xfId="12332" xr:uid="{EAE44FCE-1A86-4726-96E9-375FF0829861}"/>
    <cellStyle name="Normal 2 4 2 17 2 3" xfId="3495" xr:uid="{05CCDB88-266A-43C8-B1F0-6B1F70E00134}"/>
    <cellStyle name="Normal 2 4 2 17 2 3 2" xfId="12333" xr:uid="{F7E145CF-B887-4B12-A72F-DFFBFD4CD0EA}"/>
    <cellStyle name="Normal 2 4 2 17 2 4" xfId="12331" xr:uid="{DEBE3445-2484-4694-AC20-50D7FFB2A847}"/>
    <cellStyle name="Normal 2 4 2 17 3" xfId="3496" xr:uid="{903C01B7-3486-49A6-812C-A81BFDFEBBA6}"/>
    <cellStyle name="Normal 2 4 2 17 3 2" xfId="12334" xr:uid="{E5B66661-6FF3-4C0E-B4A5-EBB1EE76F3B9}"/>
    <cellStyle name="Normal 2 4 2 17 4" xfId="3497" xr:uid="{C10DE8E6-98DE-4F76-9110-B013BEE9781E}"/>
    <cellStyle name="Normal 2 4 2 17 4 2" xfId="12335" xr:uid="{6C1D26D9-9E31-4AD6-9192-48D114B459B8}"/>
    <cellStyle name="Normal 2 4 2 17 5" xfId="12330" xr:uid="{A4092E8A-A7E1-4694-9913-875B9312BC5B}"/>
    <cellStyle name="Normal 2 4 2 18" xfId="3498" xr:uid="{3AEBBF18-4E48-40B1-B0D7-CA09004EFCB5}"/>
    <cellStyle name="Normal 2 4 2 18 2" xfId="3499" xr:uid="{44E5F8D6-1B76-43C8-A9FF-611CB9DACEF3}"/>
    <cellStyle name="Normal 2 4 2 18 2 2" xfId="3500" xr:uid="{5BE4167B-5422-47E9-BAE0-A46725387966}"/>
    <cellStyle name="Normal 2 4 2 18 2 2 2" xfId="12338" xr:uid="{777C2FD6-DCA0-41C0-9967-46CD966DA598}"/>
    <cellStyle name="Normal 2 4 2 18 2 3" xfId="3501" xr:uid="{43C5507D-94AB-4E6E-908C-D01862CCD162}"/>
    <cellStyle name="Normal 2 4 2 18 2 3 2" xfId="12339" xr:uid="{34FDE556-E6C8-4550-B00B-4B9C44C827AF}"/>
    <cellStyle name="Normal 2 4 2 18 2 4" xfId="12337" xr:uid="{00ACD2FD-DA86-4232-B7D2-8FB0731FF61B}"/>
    <cellStyle name="Normal 2 4 2 18 3" xfId="3502" xr:uid="{26E6DA1A-5796-4271-BEEF-7E38288CD7D9}"/>
    <cellStyle name="Normal 2 4 2 18 3 2" xfId="12340" xr:uid="{F507EE0B-A378-4E62-9F7B-ED6B3EAA935F}"/>
    <cellStyle name="Normal 2 4 2 18 4" xfId="3503" xr:uid="{349B0B21-1E47-4FEB-8213-EE14AA969838}"/>
    <cellStyle name="Normal 2 4 2 18 4 2" xfId="12341" xr:uid="{CC416838-9FEF-4076-A029-A3AB6203C387}"/>
    <cellStyle name="Normal 2 4 2 18 5" xfId="12336" xr:uid="{865E2855-5753-4C5E-8602-4B02A59C6DCF}"/>
    <cellStyle name="Normal 2 4 2 19" xfId="3504" xr:uid="{4E515B9E-2AF5-4067-AE1A-0DA6E96F7377}"/>
    <cellStyle name="Normal 2 4 2 19 2" xfId="3505" xr:uid="{90FFCFBD-C032-4A98-A7DC-DFF064665428}"/>
    <cellStyle name="Normal 2 4 2 19 2 2" xfId="3506" xr:uid="{5A86F140-E3A3-4C12-89C6-A2F579E44188}"/>
    <cellStyle name="Normal 2 4 2 19 2 2 2" xfId="12344" xr:uid="{77E12696-674A-440E-A8B0-F7689C819A8F}"/>
    <cellStyle name="Normal 2 4 2 19 2 3" xfId="3507" xr:uid="{D1BA8DC1-A3E5-4FEB-9461-C43EA881B2AD}"/>
    <cellStyle name="Normal 2 4 2 19 2 3 2" xfId="12345" xr:uid="{92AEA8FE-FBDB-4A32-9BA1-929C7DE37371}"/>
    <cellStyle name="Normal 2 4 2 19 2 4" xfId="12343" xr:uid="{1BF45C12-D6FE-4740-B1E1-20B855FE7F01}"/>
    <cellStyle name="Normal 2 4 2 19 3" xfId="3508" xr:uid="{D3C45937-9814-4491-8948-84506AB1F21F}"/>
    <cellStyle name="Normal 2 4 2 19 3 2" xfId="12346" xr:uid="{15FA1BBB-85A2-4834-9F7B-86F75D8833E5}"/>
    <cellStyle name="Normal 2 4 2 19 4" xfId="3509" xr:uid="{40D838AD-B479-4427-BC30-19ED6C215864}"/>
    <cellStyle name="Normal 2 4 2 19 4 2" xfId="12347" xr:uid="{AC66F576-BD18-4E61-B168-2131ABB7F997}"/>
    <cellStyle name="Normal 2 4 2 19 5" xfId="12342" xr:uid="{9D062FF2-1B7E-4B26-915B-F105F93A51C7}"/>
    <cellStyle name="Normal 2 4 2 2" xfId="3510" xr:uid="{E067BDB8-7017-476A-9593-C513F978862D}"/>
    <cellStyle name="Normal 2 4 2 2 2" xfId="3511" xr:uid="{AD3061D9-0994-4660-A757-BEECA0DF3C3B}"/>
    <cellStyle name="Normal 2 4 2 2 2 2" xfId="3512" xr:uid="{AB0223FE-F00E-4E5A-A76C-6EBF4F6684FD}"/>
    <cellStyle name="Normal 2 4 2 2 2 2 2" xfId="12350" xr:uid="{0F7BD989-B6AA-488A-91C4-7154ED1058E3}"/>
    <cellStyle name="Normal 2 4 2 2 2 3" xfId="3513" xr:uid="{56CC8915-9942-46F1-B90A-9889F42C48F4}"/>
    <cellStyle name="Normal 2 4 2 2 2 3 2" xfId="12351" xr:uid="{9D3532ED-5D29-40FA-ACAA-C80E7618D34C}"/>
    <cellStyle name="Normal 2 4 2 2 2 4" xfId="12349" xr:uid="{C0130C72-5433-429C-82EB-6F1131691B3F}"/>
    <cellStyle name="Normal 2 4 2 2 3" xfId="3514" xr:uid="{FEBDC981-106F-4BF8-9DA4-7CC142399CA5}"/>
    <cellStyle name="Normal 2 4 2 2 3 2" xfId="12352" xr:uid="{028BBD11-2DB8-4B3C-9DCA-147D450FE517}"/>
    <cellStyle name="Normal 2 4 2 2 4" xfId="3515" xr:uid="{96C53DBA-0756-40A7-92A0-6BD1640B8643}"/>
    <cellStyle name="Normal 2 4 2 2 4 2" xfId="12353" xr:uid="{FB63B093-2C00-487D-AD55-38633A5B031B}"/>
    <cellStyle name="Normal 2 4 2 2 5" xfId="3516" xr:uid="{CA1C64C1-7BE4-43A5-BBA7-444B987FB13B}"/>
    <cellStyle name="Normal 2 4 2 2 6" xfId="3517" xr:uid="{FA694F3F-7C5B-403F-8246-3035C82BBC3D}"/>
    <cellStyle name="Normal 2 4 2 2 6 2" xfId="12354" xr:uid="{7F71A4FD-C190-491A-85DE-FFD05BDEEA51}"/>
    <cellStyle name="Normal 2 4 2 2 7" xfId="3518" xr:uid="{00D51DCA-BCE8-4FDA-A6AE-B49EA5DCCDCD}"/>
    <cellStyle name="Normal 2 4 2 2 8" xfId="12348" xr:uid="{DF3A9047-86B7-4644-B5E9-CA48D91414CB}"/>
    <cellStyle name="Normal 2 4 2 20" xfId="3519" xr:uid="{D540E7FC-30D4-496D-AE92-3CA4B5B9C36D}"/>
    <cellStyle name="Normal 2 4 2 20 2" xfId="3520" xr:uid="{C557A6E6-EC27-4FB3-80AA-558DCD71AF02}"/>
    <cellStyle name="Normal 2 4 2 20 2 2" xfId="3521" xr:uid="{7DEB2390-AB1E-40AC-9570-31CFD7319078}"/>
    <cellStyle name="Normal 2 4 2 20 2 2 2" xfId="12357" xr:uid="{ACB1B36D-2DE3-4F37-9786-11F3138493E8}"/>
    <cellStyle name="Normal 2 4 2 20 2 3" xfId="3522" xr:uid="{42632678-C937-42B4-84A0-87465040B5F8}"/>
    <cellStyle name="Normal 2 4 2 20 2 3 2" xfId="12358" xr:uid="{793ADE77-17F2-419A-A397-40BC600F7671}"/>
    <cellStyle name="Normal 2 4 2 20 2 4" xfId="12356" xr:uid="{378AFC0E-2683-4FDB-9A0C-745FA45B51B6}"/>
    <cellStyle name="Normal 2 4 2 20 3" xfId="3523" xr:uid="{E2FD7161-ABB7-4247-9D1B-AD12EA43E621}"/>
    <cellStyle name="Normal 2 4 2 20 3 2" xfId="12359" xr:uid="{5810B771-CC7A-4181-B994-FE922EF2BF13}"/>
    <cellStyle name="Normal 2 4 2 20 4" xfId="3524" xr:uid="{8504F6EC-7920-4B3F-ACEF-3BA7F828346E}"/>
    <cellStyle name="Normal 2 4 2 20 4 2" xfId="12360" xr:uid="{E9D0B631-C4E6-4514-8214-84A186EB3EEA}"/>
    <cellStyle name="Normal 2 4 2 20 5" xfId="12355" xr:uid="{AB153C18-8A3F-45A6-8EF7-06FE705D1B02}"/>
    <cellStyle name="Normal 2 4 2 21" xfId="3525" xr:uid="{5A768423-0EB5-4B18-87F1-942E48F70766}"/>
    <cellStyle name="Normal 2 4 2 21 2" xfId="3526" xr:uid="{486A14A1-DEEB-4747-BFF8-ECE93C2C0776}"/>
    <cellStyle name="Normal 2 4 2 21 2 2" xfId="3527" xr:uid="{EDF86EA4-1666-47D4-99A0-79418A2FE467}"/>
    <cellStyle name="Normal 2 4 2 21 2 2 2" xfId="12363" xr:uid="{3659A6A2-5DF5-4283-B0F7-846AAAE6A134}"/>
    <cellStyle name="Normal 2 4 2 21 2 3" xfId="3528" xr:uid="{56A3809D-691F-452F-BCF6-E9D427CF93DD}"/>
    <cellStyle name="Normal 2 4 2 21 2 3 2" xfId="12364" xr:uid="{64863397-064C-4295-8784-D256FF8164B9}"/>
    <cellStyle name="Normal 2 4 2 21 2 4" xfId="12362" xr:uid="{404E4D8B-21AD-451E-9279-26CA20F9496F}"/>
    <cellStyle name="Normal 2 4 2 21 3" xfId="3529" xr:uid="{163C63AD-417B-4811-94BC-2250D15518A7}"/>
    <cellStyle name="Normal 2 4 2 21 3 2" xfId="12365" xr:uid="{3F161648-866D-442E-93E0-17692AD385C1}"/>
    <cellStyle name="Normal 2 4 2 21 4" xfId="3530" xr:uid="{41FCBD21-F5D8-4501-A710-F66D38731DFA}"/>
    <cellStyle name="Normal 2 4 2 21 4 2" xfId="12366" xr:uid="{5E07B5B6-8231-4BF3-8104-8712DDF0844E}"/>
    <cellStyle name="Normal 2 4 2 21 5" xfId="12361" xr:uid="{13198D06-44B5-4DBE-B20B-D8A89E3B7689}"/>
    <cellStyle name="Normal 2 4 2 22" xfId="3531" xr:uid="{C44F7D9A-F60E-46F2-8736-41B530E17A4E}"/>
    <cellStyle name="Normal 2 4 2 22 2" xfId="3532" xr:uid="{2B08F91E-845D-4F5F-B5FB-C1E770C84305}"/>
    <cellStyle name="Normal 2 4 2 22 2 2" xfId="3533" xr:uid="{3F7C38C5-3E9F-47C6-855C-5E9BB5E87F59}"/>
    <cellStyle name="Normal 2 4 2 22 2 2 2" xfId="12369" xr:uid="{8C3A8BB9-E798-483E-90F4-2E29F26BE17F}"/>
    <cellStyle name="Normal 2 4 2 22 2 3" xfId="3534" xr:uid="{D809C1CF-AC44-4249-950D-558482F14475}"/>
    <cellStyle name="Normal 2 4 2 22 2 3 2" xfId="12370" xr:uid="{D8A947C1-8432-4AAE-BC54-6DDCE21D91CB}"/>
    <cellStyle name="Normal 2 4 2 22 2 4" xfId="12368" xr:uid="{1B930CAA-0FF4-44E7-9542-66CDADFBE00E}"/>
    <cellStyle name="Normal 2 4 2 22 3" xfId="3535" xr:uid="{3279A845-F7D7-4E3F-8C83-3149E4426ADA}"/>
    <cellStyle name="Normal 2 4 2 22 3 2" xfId="12371" xr:uid="{45FACDF9-6878-44B3-86E0-50978F74C0A1}"/>
    <cellStyle name="Normal 2 4 2 22 4" xfId="3536" xr:uid="{9A4C995E-A3C5-4F70-ACBC-E97045AFC671}"/>
    <cellStyle name="Normal 2 4 2 22 4 2" xfId="12372" xr:uid="{EB14BAE8-3660-478B-AFFA-BA0473AF9CBA}"/>
    <cellStyle name="Normal 2 4 2 22 5" xfId="12367" xr:uid="{24E12945-0F49-477B-B53B-23EF44C5AA75}"/>
    <cellStyle name="Normal 2 4 2 23" xfId="3537" xr:uid="{ED5A6517-194C-4F09-A0E7-E24C3BC6932C}"/>
    <cellStyle name="Normal 2 4 2 23 2" xfId="3538" xr:uid="{01659A05-3B3A-43F5-A85B-BFA4065D6CBE}"/>
    <cellStyle name="Normal 2 4 2 23 2 2" xfId="3539" xr:uid="{37C83C2D-411E-4173-A767-FACDE228D6AF}"/>
    <cellStyle name="Normal 2 4 2 23 2 2 2" xfId="12375" xr:uid="{15C6E1D9-4E4D-44E8-A743-40FA103445CC}"/>
    <cellStyle name="Normal 2 4 2 23 2 3" xfId="3540" xr:uid="{F064FCF7-6304-4F86-AEAD-7386A5C709FF}"/>
    <cellStyle name="Normal 2 4 2 23 2 3 2" xfId="12376" xr:uid="{AB56D596-55AC-4FCF-8B13-C9E0D9766E31}"/>
    <cellStyle name="Normal 2 4 2 23 2 4" xfId="12374" xr:uid="{D31E237D-8AAC-4A24-B0F0-ECB2D4EACAEB}"/>
    <cellStyle name="Normal 2 4 2 23 3" xfId="3541" xr:uid="{4779A502-15FE-412C-A317-F38128196087}"/>
    <cellStyle name="Normal 2 4 2 23 3 2" xfId="12377" xr:uid="{29F76F5F-82B9-4798-9A3F-052C3713ECCD}"/>
    <cellStyle name="Normal 2 4 2 23 4" xfId="3542" xr:uid="{64942115-0FED-42B1-B9CE-6D6C3F8A93A6}"/>
    <cellStyle name="Normal 2 4 2 23 4 2" xfId="12378" xr:uid="{6CA39D7F-76CF-4A41-A5EA-F3BAE0C4236C}"/>
    <cellStyle name="Normal 2 4 2 23 5" xfId="12373" xr:uid="{0C3169A4-FCE8-441D-BDD3-D6D73C01C37A}"/>
    <cellStyle name="Normal 2 4 2 24" xfId="3543" xr:uid="{7D5A1EDC-6E58-4EB1-B7E9-E6F7201AA51E}"/>
    <cellStyle name="Normal 2 4 2 24 2" xfId="3544" xr:uid="{CD879906-440B-4377-A51C-2A923394329D}"/>
    <cellStyle name="Normal 2 4 2 24 2 2" xfId="3545" xr:uid="{FA34E8E5-8728-4DC4-A953-7A58F8401C91}"/>
    <cellStyle name="Normal 2 4 2 24 2 2 2" xfId="12381" xr:uid="{E5866AD4-1D37-4F5E-A00D-B62630B02FC7}"/>
    <cellStyle name="Normal 2 4 2 24 2 3" xfId="3546" xr:uid="{8DC9DA39-3DFF-4257-B114-27B492B43519}"/>
    <cellStyle name="Normal 2 4 2 24 2 3 2" xfId="12382" xr:uid="{40C906BD-5E4A-423C-93AB-BBD59E2A4BE7}"/>
    <cellStyle name="Normal 2 4 2 24 2 4" xfId="12380" xr:uid="{5E1DAF1F-D17C-491A-B5EA-FD11BAFC4F6C}"/>
    <cellStyle name="Normal 2 4 2 24 3" xfId="3547" xr:uid="{D1039EB4-48A7-4AAD-9090-CA266273BE2B}"/>
    <cellStyle name="Normal 2 4 2 24 3 2" xfId="12383" xr:uid="{2AF15BB1-796C-4899-AF7B-7BF8867DD8CC}"/>
    <cellStyle name="Normal 2 4 2 24 4" xfId="3548" xr:uid="{2B850642-A289-4D47-9111-B9B8E030ADBC}"/>
    <cellStyle name="Normal 2 4 2 24 4 2" xfId="12384" xr:uid="{3CCE541E-C1EF-4FA0-B850-9103580114B3}"/>
    <cellStyle name="Normal 2 4 2 24 5" xfId="12379" xr:uid="{98BAD404-945B-4E6A-83E0-12A4519F9D4C}"/>
    <cellStyle name="Normal 2 4 2 25" xfId="3549" xr:uid="{C7E29AE5-77AA-4C0F-A1DA-270450766C74}"/>
    <cellStyle name="Normal 2 4 2 25 2" xfId="3550" xr:uid="{36878524-D5E1-4B11-9D2D-AC4141484F1E}"/>
    <cellStyle name="Normal 2 4 2 25 2 2" xfId="3551" xr:uid="{E13D0F0C-F705-4387-831D-1046D96295EB}"/>
    <cellStyle name="Normal 2 4 2 25 2 2 2" xfId="12387" xr:uid="{7B76E8D5-8DB3-4295-BA72-F20983CBAF8C}"/>
    <cellStyle name="Normal 2 4 2 25 2 3" xfId="3552" xr:uid="{6DACBEDC-E650-486F-8AE7-2B23C251723A}"/>
    <cellStyle name="Normal 2 4 2 25 2 3 2" xfId="12388" xr:uid="{20DE6D0C-6EEB-47CC-8569-AB72F84E833A}"/>
    <cellStyle name="Normal 2 4 2 25 2 4" xfId="12386" xr:uid="{11DA8879-980F-4B06-BD36-136049FDA3ED}"/>
    <cellStyle name="Normal 2 4 2 25 3" xfId="3553" xr:uid="{61BE3C54-7E17-4218-B340-213D7B73062D}"/>
    <cellStyle name="Normal 2 4 2 25 3 2" xfId="12389" xr:uid="{8206E4D4-3C2B-4B2D-BFFB-6853C3819840}"/>
    <cellStyle name="Normal 2 4 2 25 4" xfId="3554" xr:uid="{CE077731-609B-4C09-8BCF-9214E4B81314}"/>
    <cellStyle name="Normal 2 4 2 25 4 2" xfId="12390" xr:uid="{D545375C-FB7D-43BF-BAE5-FFCBC41234AB}"/>
    <cellStyle name="Normal 2 4 2 25 5" xfId="12385" xr:uid="{9CAECE7E-2403-4F44-8EF0-9AD9EE5ED986}"/>
    <cellStyle name="Normal 2 4 2 26" xfId="3555" xr:uid="{C099F19F-6249-4151-8270-5EDAE8A662FA}"/>
    <cellStyle name="Normal 2 4 2 26 2" xfId="3556" xr:uid="{1B6607AE-A5D0-4FFE-B7BE-0F51E5FF6A45}"/>
    <cellStyle name="Normal 2 4 2 26 2 2" xfId="3557" xr:uid="{DEE04996-E190-4084-B928-B7D6E796A19C}"/>
    <cellStyle name="Normal 2 4 2 26 2 2 2" xfId="12393" xr:uid="{CF7C2AAB-3BC3-41DF-B8C9-9803D9A57823}"/>
    <cellStyle name="Normal 2 4 2 26 2 3" xfId="3558" xr:uid="{3F50B6E7-C00C-4C4E-AB18-1C007246CDAA}"/>
    <cellStyle name="Normal 2 4 2 26 2 3 2" xfId="12394" xr:uid="{3CBC99DC-AE5E-4ACE-ABEE-7145E1AA5FC8}"/>
    <cellStyle name="Normal 2 4 2 26 2 4" xfId="12392" xr:uid="{5A2C8FBF-A8FA-42E1-945B-3E070B776CBF}"/>
    <cellStyle name="Normal 2 4 2 26 3" xfId="3559" xr:uid="{5E61FB2B-139F-4610-8149-FF1E7818DE9D}"/>
    <cellStyle name="Normal 2 4 2 26 3 2" xfId="12395" xr:uid="{7B753BFD-2A64-4CB6-AAF5-353578A584E9}"/>
    <cellStyle name="Normal 2 4 2 26 4" xfId="3560" xr:uid="{795EE6A0-E918-4E3A-944B-FAA9E4197EA3}"/>
    <cellStyle name="Normal 2 4 2 26 4 2" xfId="12396" xr:uid="{6836A8E0-5D9D-4C18-B323-F6470F8FA26F}"/>
    <cellStyle name="Normal 2 4 2 26 5" xfId="12391" xr:uid="{9D3DB4E1-BE33-48A2-B91E-E6A5DEC61841}"/>
    <cellStyle name="Normal 2 4 2 27" xfId="3561" xr:uid="{BBFB2ECC-025A-4324-BB84-86B381D064CA}"/>
    <cellStyle name="Normal 2 4 2 27 2" xfId="3562" xr:uid="{C5D8A060-E534-42CE-AF8C-7DF75FEA787C}"/>
    <cellStyle name="Normal 2 4 2 27 2 2" xfId="3563" xr:uid="{5CCF6FEB-8CF9-469A-9D4A-9330158D5D72}"/>
    <cellStyle name="Normal 2 4 2 27 2 2 2" xfId="12399" xr:uid="{A72B34C3-E812-4BC2-A8AB-026656E9186D}"/>
    <cellStyle name="Normal 2 4 2 27 2 3" xfId="3564" xr:uid="{8F70092C-8697-4352-956F-0CABC3727CD0}"/>
    <cellStyle name="Normal 2 4 2 27 2 3 2" xfId="12400" xr:uid="{1D6060E9-A70F-4257-A4AA-6D888DA58CE5}"/>
    <cellStyle name="Normal 2 4 2 27 2 4" xfId="12398" xr:uid="{530AEEEA-924F-4DA2-8BAC-8CA4429CB874}"/>
    <cellStyle name="Normal 2 4 2 27 3" xfId="3565" xr:uid="{05B13272-E862-4A3F-87D5-CD0E0D2A113E}"/>
    <cellStyle name="Normal 2 4 2 27 3 2" xfId="12401" xr:uid="{1536B9C5-4F72-40CE-8790-75CC7CCBBE73}"/>
    <cellStyle name="Normal 2 4 2 27 4" xfId="3566" xr:uid="{FB161C3A-EDD9-4A31-9811-277D3B011C28}"/>
    <cellStyle name="Normal 2 4 2 27 4 2" xfId="12402" xr:uid="{0E50200B-F7EC-4CF9-AD29-065C42A8921F}"/>
    <cellStyle name="Normal 2 4 2 27 5" xfId="12397" xr:uid="{713A65B9-416B-4279-9955-40BE94C39024}"/>
    <cellStyle name="Normal 2 4 2 28" xfId="3567" xr:uid="{3A1AB6DA-5737-4D8B-AB7A-D9572F8431B8}"/>
    <cellStyle name="Normal 2 4 2 28 2" xfId="3568" xr:uid="{2BCEAB0D-B983-47BF-BA35-6AFF66961926}"/>
    <cellStyle name="Normal 2 4 2 28 2 2" xfId="3569" xr:uid="{331BEC8E-2066-4156-B09B-3BEF4BFAA35A}"/>
    <cellStyle name="Normal 2 4 2 28 2 2 2" xfId="12405" xr:uid="{8073A3F8-7387-42F7-AC07-0094E95296CD}"/>
    <cellStyle name="Normal 2 4 2 28 2 3" xfId="3570" xr:uid="{F3F5B115-CD62-4082-B864-5830EFD9B537}"/>
    <cellStyle name="Normal 2 4 2 28 2 3 2" xfId="12406" xr:uid="{9B2FED52-B8C3-482B-A507-75A708E3F5E3}"/>
    <cellStyle name="Normal 2 4 2 28 2 4" xfId="12404" xr:uid="{8D4AAC21-6248-43C6-8831-A7116B90B64B}"/>
    <cellStyle name="Normal 2 4 2 28 3" xfId="3571" xr:uid="{7B3B685B-D928-419B-86DB-6E006C53F1E5}"/>
    <cellStyle name="Normal 2 4 2 28 3 2" xfId="12407" xr:uid="{1B7E0876-5E47-4E4B-8C9D-307123FE410B}"/>
    <cellStyle name="Normal 2 4 2 28 4" xfId="3572" xr:uid="{9A951496-5CF2-42E0-AEEC-F2E864538F01}"/>
    <cellStyle name="Normal 2 4 2 28 4 2" xfId="12408" xr:uid="{C132F2D2-8EF6-4900-B8AA-174A850DFF98}"/>
    <cellStyle name="Normal 2 4 2 28 5" xfId="12403" xr:uid="{41966474-D208-4848-ACF5-70FE89F57070}"/>
    <cellStyle name="Normal 2 4 2 29" xfId="3573" xr:uid="{0E3DFDAE-4E43-451A-A849-FD80929B4332}"/>
    <cellStyle name="Normal 2 4 2 29 2" xfId="3574" xr:uid="{FDEF8E71-C5C7-4854-99F5-910339F519AD}"/>
    <cellStyle name="Normal 2 4 2 29 2 2" xfId="3575" xr:uid="{1CCB7670-5A3A-463F-B422-7433B993D577}"/>
    <cellStyle name="Normal 2 4 2 29 2 2 2" xfId="12411" xr:uid="{AE810C38-06F9-4E17-90B2-1601CF73DD46}"/>
    <cellStyle name="Normal 2 4 2 29 2 3" xfId="3576" xr:uid="{29FD767B-452C-472A-AF77-8E06F6F1FC3B}"/>
    <cellStyle name="Normal 2 4 2 29 2 3 2" xfId="12412" xr:uid="{43EB2EB0-3259-4530-BE3A-5CE34A91D724}"/>
    <cellStyle name="Normal 2 4 2 29 2 4" xfId="12410" xr:uid="{B74738AD-3E95-449B-9B74-01F80D96576F}"/>
    <cellStyle name="Normal 2 4 2 29 3" xfId="3577" xr:uid="{CF7A265E-B897-4738-8CE7-D37AF04A4273}"/>
    <cellStyle name="Normal 2 4 2 29 3 2" xfId="12413" xr:uid="{98FF31D5-0816-4283-872D-82DFFE279003}"/>
    <cellStyle name="Normal 2 4 2 29 4" xfId="3578" xr:uid="{04E914DF-CB21-4B10-BD49-A966E167B2A4}"/>
    <cellStyle name="Normal 2 4 2 29 4 2" xfId="12414" xr:uid="{B14DF805-4988-4F54-85CF-1F79F90830B6}"/>
    <cellStyle name="Normal 2 4 2 29 5" xfId="12409" xr:uid="{52E83406-1FF1-40FB-AEAF-824419B90B43}"/>
    <cellStyle name="Normal 2 4 2 3" xfId="3579" xr:uid="{433C1670-F713-428A-8074-B43FC637507E}"/>
    <cellStyle name="Normal 2 4 2 3 2" xfId="3580" xr:uid="{A812D2DE-7E57-448D-851F-C4294060D22D}"/>
    <cellStyle name="Normal 2 4 2 3 2 2" xfId="3581" xr:uid="{C809C736-DC02-4371-AB0C-44D93AC3F285}"/>
    <cellStyle name="Normal 2 4 2 3 2 2 2" xfId="12417" xr:uid="{F058A084-8C9C-4CE2-B1C8-433002BB9687}"/>
    <cellStyle name="Normal 2 4 2 3 2 3" xfId="3582" xr:uid="{4D0A53A3-C920-4AD0-AE2A-78B69468F3E3}"/>
    <cellStyle name="Normal 2 4 2 3 2 3 2" xfId="12418" xr:uid="{4B0A49EB-79F9-4B3C-B21E-857672147B5A}"/>
    <cellStyle name="Normal 2 4 2 3 2 4" xfId="12416" xr:uid="{DD896486-D627-4689-859D-08613DB62AED}"/>
    <cellStyle name="Normal 2 4 2 3 3" xfId="3583" xr:uid="{970727F9-5EBB-48F9-BCCB-C6ED0245E198}"/>
    <cellStyle name="Normal 2 4 2 3 3 2" xfId="12419" xr:uid="{85919C39-4BB9-4E93-BE56-8F36D453F92C}"/>
    <cellStyle name="Normal 2 4 2 3 4" xfId="3584" xr:uid="{B2EC67CA-81A0-473B-85E8-E928F8EF0C8E}"/>
    <cellStyle name="Normal 2 4 2 3 4 2" xfId="12420" xr:uid="{8E5E14B7-7777-4D96-8AC6-609BB6F645A9}"/>
    <cellStyle name="Normal 2 4 2 3 5" xfId="12415" xr:uid="{B6749945-A72F-4424-ABC6-B7FDA4830725}"/>
    <cellStyle name="Normal 2 4 2 30" xfId="3585" xr:uid="{3C618E0C-A633-41A1-9954-037B6E2CEBFD}"/>
    <cellStyle name="Normal 2 4 2 30 2" xfId="3586" xr:uid="{BB57D5B4-12EC-445C-A4F4-D83A1F8A3577}"/>
    <cellStyle name="Normal 2 4 2 30 2 2" xfId="3587" xr:uid="{FB1DD237-C319-4363-B5AE-EBDD3A8C44A0}"/>
    <cellStyle name="Normal 2 4 2 30 2 2 2" xfId="12423" xr:uid="{A943EE3B-0BD7-425C-AF3E-3411671B8805}"/>
    <cellStyle name="Normal 2 4 2 30 2 3" xfId="3588" xr:uid="{23F92CF3-2BED-4CBC-9146-F6738D3E4569}"/>
    <cellStyle name="Normal 2 4 2 30 2 3 2" xfId="12424" xr:uid="{94EB9B89-A2AD-4070-BAFA-10DAE385FD46}"/>
    <cellStyle name="Normal 2 4 2 30 2 4" xfId="12422" xr:uid="{DF0A6CFC-9131-4241-B5C6-457D78B2F534}"/>
    <cellStyle name="Normal 2 4 2 30 3" xfId="3589" xr:uid="{6370E673-EF4E-44BE-B2CC-4AFBCD6F5F7B}"/>
    <cellStyle name="Normal 2 4 2 30 3 2" xfId="12425" xr:uid="{F25DB98B-8562-4449-A894-E0EBCEFFC6AF}"/>
    <cellStyle name="Normal 2 4 2 30 4" xfId="3590" xr:uid="{EFE38150-56F6-4A99-A8F2-13E5620C2A97}"/>
    <cellStyle name="Normal 2 4 2 30 4 2" xfId="12426" xr:uid="{797B823C-A655-43BF-A94A-C0705DB23B08}"/>
    <cellStyle name="Normal 2 4 2 30 5" xfId="12421" xr:uid="{08CCC4D5-97AA-491E-8996-C5327285EB27}"/>
    <cellStyle name="Normal 2 4 2 31" xfId="3591" xr:uid="{C8A0159B-77F4-4624-ABDB-B0645215FF4A}"/>
    <cellStyle name="Normal 2 4 2 31 2" xfId="3592" xr:uid="{1A7656E0-71BB-412F-9CF8-D0CB4FC5DFA9}"/>
    <cellStyle name="Normal 2 4 2 31 2 2" xfId="3593" xr:uid="{A68340BD-BA0F-4B8D-972B-90E068272B28}"/>
    <cellStyle name="Normal 2 4 2 31 2 2 2" xfId="12429" xr:uid="{9EEE61CA-76DB-4130-B2BA-501BB8F2A813}"/>
    <cellStyle name="Normal 2 4 2 31 2 3" xfId="3594" xr:uid="{E34B45B0-C410-4A26-A06F-6B0EC737A71F}"/>
    <cellStyle name="Normal 2 4 2 31 2 3 2" xfId="12430" xr:uid="{8B09B0CF-1EC5-4977-866B-A4DA12D2FB7B}"/>
    <cellStyle name="Normal 2 4 2 31 2 4" xfId="12428" xr:uid="{7C71F8DB-F540-42DF-9A02-56C3366F696B}"/>
    <cellStyle name="Normal 2 4 2 31 3" xfId="3595" xr:uid="{0C6F8441-F258-4CB6-9EBC-CF1A6324FF8F}"/>
    <cellStyle name="Normal 2 4 2 31 3 2" xfId="12431" xr:uid="{0F43F003-1ABF-4AC1-9098-7044496DA7D6}"/>
    <cellStyle name="Normal 2 4 2 31 4" xfId="3596" xr:uid="{2C417375-5DD1-4449-9E0A-0DF6CE80B8BD}"/>
    <cellStyle name="Normal 2 4 2 31 4 2" xfId="12432" xr:uid="{D7507C25-3AF8-458C-A933-DDE24B86C4FA}"/>
    <cellStyle name="Normal 2 4 2 31 5" xfId="12427" xr:uid="{3998194B-5FD4-4DF7-B8BA-C0AAB470154F}"/>
    <cellStyle name="Normal 2 4 2 32" xfId="3597" xr:uid="{C008CA1A-4CDB-46C1-A480-1A65633DE099}"/>
    <cellStyle name="Normal 2 4 2 32 2" xfId="3598" xr:uid="{F0A5B46C-EF82-4E2D-9A1D-B6657555B681}"/>
    <cellStyle name="Normal 2 4 2 32 2 2" xfId="3599" xr:uid="{A94A1973-012C-4C0C-A3D9-745B957C7DF7}"/>
    <cellStyle name="Normal 2 4 2 32 2 2 2" xfId="12435" xr:uid="{2A00D7EA-95C1-4987-A79C-8181B1005509}"/>
    <cellStyle name="Normal 2 4 2 32 2 3" xfId="3600" xr:uid="{0DDC0C06-5690-4EB5-8C19-50737898231F}"/>
    <cellStyle name="Normal 2 4 2 32 2 3 2" xfId="12436" xr:uid="{5F4424AF-14F3-41FB-82A8-15BFFA937D2F}"/>
    <cellStyle name="Normal 2 4 2 32 2 4" xfId="12434" xr:uid="{D7E144AA-5812-49B2-824F-D76A9836B11D}"/>
    <cellStyle name="Normal 2 4 2 32 3" xfId="3601" xr:uid="{49ADEFE1-837C-4E86-92FA-462452E71208}"/>
    <cellStyle name="Normal 2 4 2 32 3 2" xfId="12437" xr:uid="{7F3E96F2-DB3B-422D-801B-0568680FC754}"/>
    <cellStyle name="Normal 2 4 2 32 4" xfId="3602" xr:uid="{6FA11B54-8893-4DC4-BF53-46FF48EED58F}"/>
    <cellStyle name="Normal 2 4 2 32 4 2" xfId="12438" xr:uid="{A7253A68-57EB-48EF-A0E7-4753B114A12A}"/>
    <cellStyle name="Normal 2 4 2 32 5" xfId="12433" xr:uid="{5305658C-93EC-4FAA-9570-6883AAF98BC3}"/>
    <cellStyle name="Normal 2 4 2 33" xfId="3603" xr:uid="{D9ECC9C0-A2A6-4DC7-824B-E592D4FBB9A5}"/>
    <cellStyle name="Normal 2 4 2 33 2" xfId="3604" xr:uid="{FC42F5E5-B7FC-44AC-8CB0-46021EF2AD17}"/>
    <cellStyle name="Normal 2 4 2 33 2 2" xfId="3605" xr:uid="{71A52AB4-F8C7-4F91-99FB-BB7E02443F5C}"/>
    <cellStyle name="Normal 2 4 2 33 2 2 2" xfId="12441" xr:uid="{23867646-BF88-4A92-81B9-EBEC1781C6C9}"/>
    <cellStyle name="Normal 2 4 2 33 2 3" xfId="3606" xr:uid="{7EAE2C58-CABB-4B1B-9997-19B20DFDE8C0}"/>
    <cellStyle name="Normal 2 4 2 33 2 3 2" xfId="12442" xr:uid="{8997EDF7-B31D-4DDC-AF83-039C51EEE62C}"/>
    <cellStyle name="Normal 2 4 2 33 2 4" xfId="12440" xr:uid="{58A4DF9E-4ED5-4F3E-BD4F-446F7A8EAFA5}"/>
    <cellStyle name="Normal 2 4 2 33 3" xfId="3607" xr:uid="{EE235B00-CDDB-4740-83C3-480E55EB223E}"/>
    <cellStyle name="Normal 2 4 2 33 3 2" xfId="12443" xr:uid="{46F2ACCF-46AE-4DA4-8AD5-489C28123258}"/>
    <cellStyle name="Normal 2 4 2 33 4" xfId="3608" xr:uid="{196E8326-07BD-4E6A-8BAA-7B25FFCFAB9F}"/>
    <cellStyle name="Normal 2 4 2 33 4 2" xfId="12444" xr:uid="{87ABCC82-CEC7-4122-889F-53F83F93EDAA}"/>
    <cellStyle name="Normal 2 4 2 33 5" xfId="12439" xr:uid="{7A853852-C48E-4E46-80DF-5EE5AD8B5622}"/>
    <cellStyle name="Normal 2 4 2 34" xfId="3609" xr:uid="{64616944-F62E-4B96-8A9E-CE99F2BEC891}"/>
    <cellStyle name="Normal 2 4 2 34 2" xfId="3610" xr:uid="{548AE942-1897-4502-A046-830CE01E7DA8}"/>
    <cellStyle name="Normal 2 4 2 34 2 2" xfId="3611" xr:uid="{D98451A0-7395-435E-98E1-1F5CC42BE269}"/>
    <cellStyle name="Normal 2 4 2 34 2 2 2" xfId="12447" xr:uid="{69DD3A49-2573-470A-B74F-E1B226D72B7A}"/>
    <cellStyle name="Normal 2 4 2 34 2 3" xfId="3612" xr:uid="{9FDB73CC-EDDB-4C26-8FD7-B91197B7F13A}"/>
    <cellStyle name="Normal 2 4 2 34 2 3 2" xfId="12448" xr:uid="{28849AE3-55E3-4B56-B8EF-18C531251975}"/>
    <cellStyle name="Normal 2 4 2 34 2 4" xfId="12446" xr:uid="{888D0214-2B31-4DE3-B377-A7DC6E4006D4}"/>
    <cellStyle name="Normal 2 4 2 34 3" xfId="3613" xr:uid="{3E179347-7CBD-49D8-AC3B-9506E9D136A2}"/>
    <cellStyle name="Normal 2 4 2 34 3 2" xfId="12449" xr:uid="{A4B2AD97-DF16-44FE-95F6-EAECA5AEE560}"/>
    <cellStyle name="Normal 2 4 2 34 4" xfId="3614" xr:uid="{A19807AB-C1D4-4B9D-B514-EB6AB8F4B78E}"/>
    <cellStyle name="Normal 2 4 2 34 4 2" xfId="12450" xr:uid="{70BD539A-3CDD-4346-B124-335518196039}"/>
    <cellStyle name="Normal 2 4 2 34 5" xfId="12445" xr:uid="{11D5EDE2-F0B8-4A66-AEE4-6A94491A7C67}"/>
    <cellStyle name="Normal 2 4 2 35" xfId="3615" xr:uid="{D0C5A8A7-4D93-4869-91A7-0401028B0577}"/>
    <cellStyle name="Normal 2 4 2 35 2" xfId="3616" xr:uid="{6DDEA350-220A-4361-B51A-4F9BF4F20337}"/>
    <cellStyle name="Normal 2 4 2 35 2 2" xfId="3617" xr:uid="{2E93EBAC-DD8F-4A99-9CF0-DB2972AECFD3}"/>
    <cellStyle name="Normal 2 4 2 35 2 2 2" xfId="12453" xr:uid="{1A514DA0-2AC5-4281-B944-6F8F36C64124}"/>
    <cellStyle name="Normal 2 4 2 35 2 3" xfId="3618" xr:uid="{C056FEE5-2CE1-41D6-AFA2-FC86BEA08EE0}"/>
    <cellStyle name="Normal 2 4 2 35 2 3 2" xfId="12454" xr:uid="{4EF42208-7F2F-42FF-8D57-5EB95EB03C19}"/>
    <cellStyle name="Normal 2 4 2 35 2 4" xfId="12452" xr:uid="{DFF8B63A-4C0A-47C2-AD62-E3DB84F7DF8E}"/>
    <cellStyle name="Normal 2 4 2 35 3" xfId="3619" xr:uid="{0F1ACAD0-2F05-4497-87D5-9232BA8242F3}"/>
    <cellStyle name="Normal 2 4 2 35 3 2" xfId="12455" xr:uid="{B33A4A24-4727-4DDF-952F-188D251D0D53}"/>
    <cellStyle name="Normal 2 4 2 35 4" xfId="3620" xr:uid="{3F11B443-176B-43AB-BE0E-32C1B6457946}"/>
    <cellStyle name="Normal 2 4 2 35 4 2" xfId="12456" xr:uid="{E5D611FB-0E93-44BC-B143-05FEAE3C3E96}"/>
    <cellStyle name="Normal 2 4 2 35 5" xfId="12451" xr:uid="{5A648802-3150-4D1D-A320-879A4FDA9E47}"/>
    <cellStyle name="Normal 2 4 2 36" xfId="3621" xr:uid="{AD118695-25B0-4BF7-94AB-B70846277405}"/>
    <cellStyle name="Normal 2 4 2 36 2" xfId="3622" xr:uid="{99015182-A826-4551-A50E-2E343F141456}"/>
    <cellStyle name="Normal 2 4 2 36 2 2" xfId="3623" xr:uid="{F78CF7F2-6435-4525-8312-56ADB72773AF}"/>
    <cellStyle name="Normal 2 4 2 36 2 2 2" xfId="12459" xr:uid="{65180023-3E6E-4D71-A0B0-A72261053A0D}"/>
    <cellStyle name="Normal 2 4 2 36 2 3" xfId="3624" xr:uid="{92391B4A-FE5A-4541-97E3-F7D2C65EA8C3}"/>
    <cellStyle name="Normal 2 4 2 36 2 3 2" xfId="12460" xr:uid="{D1236251-DC5D-40FC-AABC-88A4878F1C2B}"/>
    <cellStyle name="Normal 2 4 2 36 2 4" xfId="12458" xr:uid="{96463D41-8C35-45B0-9735-B1C88FAAFE4C}"/>
    <cellStyle name="Normal 2 4 2 36 3" xfId="3625" xr:uid="{8C1467C3-65C1-488B-B69C-EE8B57F7D12A}"/>
    <cellStyle name="Normal 2 4 2 36 3 2" xfId="12461" xr:uid="{4B04594D-8AA8-4E29-B25B-D86DF645DF68}"/>
    <cellStyle name="Normal 2 4 2 36 4" xfId="3626" xr:uid="{C5AB4AE3-D350-4D3C-B046-137D89054A70}"/>
    <cellStyle name="Normal 2 4 2 36 4 2" xfId="12462" xr:uid="{AAA05F8E-7EEE-43F3-8D4B-796DA24241EA}"/>
    <cellStyle name="Normal 2 4 2 36 5" xfId="12457" xr:uid="{CE508065-FEE4-490C-98DD-91A559790199}"/>
    <cellStyle name="Normal 2 4 2 37" xfId="3627" xr:uid="{32CF8E7C-6FDE-433D-86A9-FF3AAEFBAC85}"/>
    <cellStyle name="Normal 2 4 2 37 2" xfId="3628" xr:uid="{18F5456B-6BE2-4E76-BA73-286DB22D5296}"/>
    <cellStyle name="Normal 2 4 2 37 2 2" xfId="3629" xr:uid="{361B3585-7BA4-491D-AA38-015A039A8E58}"/>
    <cellStyle name="Normal 2 4 2 37 2 2 2" xfId="12465" xr:uid="{94513E5B-A500-4A63-8A98-A4F3704B5BB6}"/>
    <cellStyle name="Normal 2 4 2 37 2 3" xfId="3630" xr:uid="{27C7F885-0954-42CC-80E7-1D516012F446}"/>
    <cellStyle name="Normal 2 4 2 37 2 3 2" xfId="12466" xr:uid="{6AF77760-5FE2-4A67-9E43-4182CE605646}"/>
    <cellStyle name="Normal 2 4 2 37 2 4" xfId="12464" xr:uid="{34776782-29DB-4B9A-95A7-AE6B5AEB502D}"/>
    <cellStyle name="Normal 2 4 2 37 3" xfId="3631" xr:uid="{729ECD67-32B5-440E-BB4E-5A7E99614D69}"/>
    <cellStyle name="Normal 2 4 2 37 3 2" xfId="12467" xr:uid="{CBDFF5E1-9E17-4797-BAC3-49714C9833AD}"/>
    <cellStyle name="Normal 2 4 2 37 4" xfId="3632" xr:uid="{4A9E61A4-55B9-4BDB-AE4D-F40BD5AD7C71}"/>
    <cellStyle name="Normal 2 4 2 37 4 2" xfId="12468" xr:uid="{9A7CAE81-AAAF-4D5D-B2A3-9A4F729E03E0}"/>
    <cellStyle name="Normal 2 4 2 37 5" xfId="12463" xr:uid="{03DE4035-E6FF-4140-AB79-A1C26FA320F9}"/>
    <cellStyle name="Normal 2 4 2 38" xfId="3633" xr:uid="{08D51470-0F17-4B25-831C-63591703F9E4}"/>
    <cellStyle name="Normal 2 4 2 38 2" xfId="3634" xr:uid="{50FF4EEA-3F1A-486A-8D43-8F4F89D9C37E}"/>
    <cellStyle name="Normal 2 4 2 38 2 2" xfId="3635" xr:uid="{67C5690C-0F1C-4970-8980-32E471E993D9}"/>
    <cellStyle name="Normal 2 4 2 38 2 2 2" xfId="12471" xr:uid="{E561DAAB-2934-4365-94FE-AB74962760D4}"/>
    <cellStyle name="Normal 2 4 2 38 2 3" xfId="3636" xr:uid="{9C1E098E-AA39-4A22-A482-EABFA7D57FC0}"/>
    <cellStyle name="Normal 2 4 2 38 2 3 2" xfId="12472" xr:uid="{9B10AD38-E975-4F0A-92EE-18CA6AA79984}"/>
    <cellStyle name="Normal 2 4 2 38 2 4" xfId="12470" xr:uid="{1D978178-CC03-4A29-9A18-B43F5672FF1D}"/>
    <cellStyle name="Normal 2 4 2 38 3" xfId="3637" xr:uid="{2D4803B0-47DF-437E-989D-953BE76C4B9A}"/>
    <cellStyle name="Normal 2 4 2 38 3 2" xfId="12473" xr:uid="{751716D7-56CF-431A-A85F-39A6388E45AC}"/>
    <cellStyle name="Normal 2 4 2 38 4" xfId="3638" xr:uid="{70584517-9B40-40F7-A7F0-552462D544AF}"/>
    <cellStyle name="Normal 2 4 2 38 4 2" xfId="12474" xr:uid="{6D73A4C6-00A3-4F27-B447-77DCA3F5248F}"/>
    <cellStyle name="Normal 2 4 2 38 5" xfId="12469" xr:uid="{1B3B8576-4DB4-47DF-8A97-F2744E722294}"/>
    <cellStyle name="Normal 2 4 2 39" xfId="3639" xr:uid="{286BF2E3-2871-440D-A8A3-AB57BDD9AFDC}"/>
    <cellStyle name="Normal 2 4 2 39 2" xfId="3640" xr:uid="{7BE59946-2437-4592-9A84-14F6568E9BFB}"/>
    <cellStyle name="Normal 2 4 2 39 2 2" xfId="3641" xr:uid="{AB30CC17-6C13-425A-828E-2C588245F5D8}"/>
    <cellStyle name="Normal 2 4 2 39 2 2 2" xfId="12477" xr:uid="{5DEA2740-0907-45AB-9DAE-479E7CDF1E53}"/>
    <cellStyle name="Normal 2 4 2 39 2 3" xfId="3642" xr:uid="{5F3F5D53-3D7C-4552-B4A1-E36A91F555CE}"/>
    <cellStyle name="Normal 2 4 2 39 2 3 2" xfId="12478" xr:uid="{89A90DC1-E6E4-4DD2-B99E-FDA701898F99}"/>
    <cellStyle name="Normal 2 4 2 39 2 4" xfId="12476" xr:uid="{C220A891-6FF0-4A89-8C61-E256CD96B42A}"/>
    <cellStyle name="Normal 2 4 2 39 3" xfId="3643" xr:uid="{DD15ACFA-9DC9-4B79-995E-CBCAC83CD41D}"/>
    <cellStyle name="Normal 2 4 2 39 3 2" xfId="12479" xr:uid="{92A6563F-3AD7-4E84-93B4-96B43654030C}"/>
    <cellStyle name="Normal 2 4 2 39 4" xfId="3644" xr:uid="{0E54197A-73CE-430B-9C60-6D57076F72B1}"/>
    <cellStyle name="Normal 2 4 2 39 4 2" xfId="12480" xr:uid="{80714C66-BD4A-4838-BF4B-B992365F6438}"/>
    <cellStyle name="Normal 2 4 2 39 5" xfId="12475" xr:uid="{CA04DB05-D9A8-4F99-96AD-8D7CF33A4FC4}"/>
    <cellStyle name="Normal 2 4 2 4" xfId="3645" xr:uid="{E7F78553-D990-4CAB-8C5E-A5204F541188}"/>
    <cellStyle name="Normal 2 4 2 4 2" xfId="3646" xr:uid="{CB37967F-060B-4555-9360-E25CF864D982}"/>
    <cellStyle name="Normal 2 4 2 4 2 2" xfId="3647" xr:uid="{77956337-CD92-4BA5-A6E9-49F22DCD79E2}"/>
    <cellStyle name="Normal 2 4 2 4 2 2 2" xfId="12483" xr:uid="{A88F97C2-D037-453E-AC2B-FE583CC833F0}"/>
    <cellStyle name="Normal 2 4 2 4 2 3" xfId="3648" xr:uid="{776BBB9D-A38E-4F0C-BB65-6807516DEAF5}"/>
    <cellStyle name="Normal 2 4 2 4 2 3 2" xfId="12484" xr:uid="{DF140851-EDE8-44AC-B798-0E7608E03040}"/>
    <cellStyle name="Normal 2 4 2 4 2 4" xfId="12482" xr:uid="{E5906DBF-0543-4D37-AA3D-8B027A511F97}"/>
    <cellStyle name="Normal 2 4 2 4 3" xfId="3649" xr:uid="{9DC79D6D-BD2C-4080-ACFE-9DC731BBB5F6}"/>
    <cellStyle name="Normal 2 4 2 4 3 2" xfId="12485" xr:uid="{3028EA7B-3B46-408C-9DA3-4B8BD6F08DAF}"/>
    <cellStyle name="Normal 2 4 2 4 4" xfId="3650" xr:uid="{21885728-DBB3-4C41-8F00-0A030B0580F1}"/>
    <cellStyle name="Normal 2 4 2 4 4 2" xfId="12486" xr:uid="{44DCD7AB-E8DA-4A7F-A41F-048E5FED4842}"/>
    <cellStyle name="Normal 2 4 2 4 5" xfId="12481" xr:uid="{9BFBFEE4-8659-4787-96AF-92B2A40F3F00}"/>
    <cellStyle name="Normal 2 4 2 40" xfId="3651" xr:uid="{F3E6FD4C-8D12-461D-A620-14BF6B937216}"/>
    <cellStyle name="Normal 2 4 2 40 2" xfId="3652" xr:uid="{E1FC679B-F002-4732-A294-8790645D0223}"/>
    <cellStyle name="Normal 2 4 2 40 2 2" xfId="3653" xr:uid="{75AE135C-4FD4-4069-A79B-6092DDFC5FF8}"/>
    <cellStyle name="Normal 2 4 2 40 2 2 2" xfId="12489" xr:uid="{12BB6FB4-A817-435F-A1FC-AF4847C70C82}"/>
    <cellStyle name="Normal 2 4 2 40 2 3" xfId="3654" xr:uid="{DF2E23E5-97D7-417A-950D-0392D7B17A77}"/>
    <cellStyle name="Normal 2 4 2 40 2 3 2" xfId="12490" xr:uid="{04B7A867-4892-405E-8662-EF77E70FECD4}"/>
    <cellStyle name="Normal 2 4 2 40 2 4" xfId="12488" xr:uid="{06D8E728-1EBE-42B2-A55F-862322092291}"/>
    <cellStyle name="Normal 2 4 2 40 3" xfId="3655" xr:uid="{1C6EADBB-F83E-4098-A907-BDF730A58271}"/>
    <cellStyle name="Normal 2 4 2 40 3 2" xfId="12491" xr:uid="{F282A138-A26F-4137-90E7-DD04C96718FC}"/>
    <cellStyle name="Normal 2 4 2 40 4" xfId="3656" xr:uid="{569C1724-712A-4ED8-B2DE-D85A572A8CFF}"/>
    <cellStyle name="Normal 2 4 2 40 4 2" xfId="12492" xr:uid="{BA51C0DA-5C6B-4C9C-BFD8-E7068BDAE279}"/>
    <cellStyle name="Normal 2 4 2 40 5" xfId="12487" xr:uid="{9C22F042-1E21-4284-9097-4F5742C93006}"/>
    <cellStyle name="Normal 2 4 2 41" xfId="3657" xr:uid="{EF08E6BB-A80F-4494-80BA-26AA27F727C0}"/>
    <cellStyle name="Normal 2 4 2 41 2" xfId="3658" xr:uid="{087B4D9F-0090-4A74-8771-DAD4B7DC6AE5}"/>
    <cellStyle name="Normal 2 4 2 41 2 2" xfId="3659" xr:uid="{AF454094-6D86-4FD0-9503-F224C7D20C8B}"/>
    <cellStyle name="Normal 2 4 2 41 2 2 2" xfId="12495" xr:uid="{FB159B43-95D2-4AE8-8FA7-AD13A5211C3F}"/>
    <cellStyle name="Normal 2 4 2 41 2 3" xfId="3660" xr:uid="{F889857C-816F-42B4-8BA5-6F16D3F2ABAD}"/>
    <cellStyle name="Normal 2 4 2 41 2 3 2" xfId="12496" xr:uid="{306E8E14-B751-49F2-B637-F9AE1CE59CAF}"/>
    <cellStyle name="Normal 2 4 2 41 2 4" xfId="12494" xr:uid="{8A39A6FE-C5D4-434A-A328-275B776EC5E7}"/>
    <cellStyle name="Normal 2 4 2 41 3" xfId="3661" xr:uid="{A38FFBA1-0B47-4F4C-9017-01519B231416}"/>
    <cellStyle name="Normal 2 4 2 41 3 2" xfId="12497" xr:uid="{40668F92-651B-49D0-8D38-D54CE3A02457}"/>
    <cellStyle name="Normal 2 4 2 41 4" xfId="3662" xr:uid="{114631A1-35B0-4613-9020-A700EF6B796D}"/>
    <cellStyle name="Normal 2 4 2 41 4 2" xfId="12498" xr:uid="{3FED69D2-B5F3-4B68-9A01-501DFAB9544F}"/>
    <cellStyle name="Normal 2 4 2 41 5" xfId="12493" xr:uid="{024955CD-B3A5-4821-A6B2-D3B7715830DA}"/>
    <cellStyle name="Normal 2 4 2 42" xfId="3663" xr:uid="{DC128F25-B816-4965-933D-86E90BA95A3E}"/>
    <cellStyle name="Normal 2 4 2 42 2" xfId="3664" xr:uid="{EF04507C-4347-4523-9BA6-85A115921383}"/>
    <cellStyle name="Normal 2 4 2 42 2 2" xfId="3665" xr:uid="{85D3B94D-FD9B-413B-88E9-D643218575D7}"/>
    <cellStyle name="Normal 2 4 2 42 2 2 2" xfId="12501" xr:uid="{ABD27ED5-B855-46DC-9FAD-5512910BF3ED}"/>
    <cellStyle name="Normal 2 4 2 42 2 3" xfId="3666" xr:uid="{084CA94E-C802-422B-A645-F0CDCA336819}"/>
    <cellStyle name="Normal 2 4 2 42 2 3 2" xfId="12502" xr:uid="{E3796FA8-89C8-4082-8BCA-348D89BEEDAC}"/>
    <cellStyle name="Normal 2 4 2 42 2 4" xfId="12500" xr:uid="{0742FF5A-0156-461C-8801-0E9A6C15E116}"/>
    <cellStyle name="Normal 2 4 2 42 3" xfId="3667" xr:uid="{9A5A091E-E79A-475B-B128-3079C4CEED65}"/>
    <cellStyle name="Normal 2 4 2 42 3 2" xfId="12503" xr:uid="{3D21CF4E-BAE7-4954-8F1E-679AD8F90B36}"/>
    <cellStyle name="Normal 2 4 2 42 4" xfId="3668" xr:uid="{7B2B1C0E-5AD7-4B6E-8F29-FC49C41E5BFD}"/>
    <cellStyle name="Normal 2 4 2 42 4 2" xfId="12504" xr:uid="{A6F1CF47-8FC1-4B2D-A622-20565E1C0C7D}"/>
    <cellStyle name="Normal 2 4 2 42 5" xfId="12499" xr:uid="{C6466280-2150-470F-8222-8EFC00F37684}"/>
    <cellStyle name="Normal 2 4 2 43" xfId="3669" xr:uid="{EB980056-F94A-4258-A3E4-C42C41344CA0}"/>
    <cellStyle name="Normal 2 4 2 43 2" xfId="3670" xr:uid="{FB14206D-4B4C-48B4-84D0-C2984BD6E7B2}"/>
    <cellStyle name="Normal 2 4 2 43 2 2" xfId="3671" xr:uid="{D450EC70-0EEB-44DE-ABFB-F6DBADCE4350}"/>
    <cellStyle name="Normal 2 4 2 43 2 2 2" xfId="12507" xr:uid="{7D73B761-5F8D-4DCD-ADEA-8EBC35764DCA}"/>
    <cellStyle name="Normal 2 4 2 43 2 3" xfId="3672" xr:uid="{A51AEBF0-5398-4EBA-9A04-ECCEFF87987F}"/>
    <cellStyle name="Normal 2 4 2 43 2 3 2" xfId="12508" xr:uid="{784FA4C0-4B9E-4823-B82B-AAE5D14413F6}"/>
    <cellStyle name="Normal 2 4 2 43 2 4" xfId="12506" xr:uid="{740E2196-B952-40D1-B06F-5159A6C501DF}"/>
    <cellStyle name="Normal 2 4 2 43 3" xfId="3673" xr:uid="{1C748BD4-5D50-4A8F-9C9F-6D41B0969190}"/>
    <cellStyle name="Normal 2 4 2 43 3 2" xfId="12509" xr:uid="{733BEE4C-303D-4684-910A-50B284A4C1D1}"/>
    <cellStyle name="Normal 2 4 2 43 4" xfId="3674" xr:uid="{FA999A6E-E98E-49EE-9C22-C38746EAD87A}"/>
    <cellStyle name="Normal 2 4 2 43 4 2" xfId="12510" xr:uid="{503939D8-33DA-4AD5-94A8-645EBD72BFD5}"/>
    <cellStyle name="Normal 2 4 2 43 5" xfId="12505" xr:uid="{730EA01E-B805-4583-B305-D3C49FF7469C}"/>
    <cellStyle name="Normal 2 4 2 44" xfId="3675" xr:uid="{D8574D65-2084-4F2A-86DA-26BA4C753785}"/>
    <cellStyle name="Normal 2 4 2 44 2" xfId="3676" xr:uid="{3BFFA2C2-70FA-492A-92C7-6D37092DDEF0}"/>
    <cellStyle name="Normal 2 4 2 44 2 2" xfId="12512" xr:uid="{CA06782F-A407-4E6A-9B34-29F09BEF775B}"/>
    <cellStyle name="Normal 2 4 2 44 3" xfId="3677" xr:uid="{FB64CDB8-FE4D-4606-83A4-77D4DBC978FC}"/>
    <cellStyle name="Normal 2 4 2 44 3 2" xfId="12513" xr:uid="{41A16734-0141-4471-9243-117874658DA1}"/>
    <cellStyle name="Normal 2 4 2 44 4" xfId="12511" xr:uid="{9BD6EF68-7DD3-419E-895F-3C4B7BCCD7E8}"/>
    <cellStyle name="Normal 2 4 2 45" xfId="3678" xr:uid="{EB933709-D1DF-40D4-875F-0ABD57BE227D}"/>
    <cellStyle name="Normal 2 4 2 45 2" xfId="12514" xr:uid="{C267513C-95F7-41CF-ABC4-3249A973D823}"/>
    <cellStyle name="Normal 2 4 2 46" xfId="3679" xr:uid="{BA398595-7C94-428B-AEF8-F306717F6577}"/>
    <cellStyle name="Normal 2 4 2 46 2" xfId="12515" xr:uid="{CF429758-B100-4647-9E99-950D608243F4}"/>
    <cellStyle name="Normal 2 4 2 47" xfId="3680" xr:uid="{3EB72BBC-5BA2-4CBF-9CCD-2618B0C25FE8}"/>
    <cellStyle name="Normal 2 4 2 48" xfId="3681" xr:uid="{87C1F208-3408-4676-B7A7-6D129FC45516}"/>
    <cellStyle name="Normal 2 4 2 48 2" xfId="12516" xr:uid="{8879A223-3B6C-4468-B075-FA6FB1D39950}"/>
    <cellStyle name="Normal 2 4 2 49" xfId="3682" xr:uid="{6109506A-86C6-4042-B7E4-BE47BAD5AB3C}"/>
    <cellStyle name="Normal 2 4 2 5" xfId="3683" xr:uid="{25BA0CE0-7939-428F-9860-713852209533}"/>
    <cellStyle name="Normal 2 4 2 5 2" xfId="3684" xr:uid="{4E6C5AEE-48FB-43B9-AC59-FB0B36F7775D}"/>
    <cellStyle name="Normal 2 4 2 5 2 2" xfId="3685" xr:uid="{F87411E9-30B2-41E1-BE42-A29D5B8F9C9B}"/>
    <cellStyle name="Normal 2 4 2 5 2 2 2" xfId="12519" xr:uid="{B8D85958-F86E-4E1F-8E76-762829964BD7}"/>
    <cellStyle name="Normal 2 4 2 5 2 3" xfId="3686" xr:uid="{AE04245A-B182-498F-9C9F-01571D4C67BA}"/>
    <cellStyle name="Normal 2 4 2 5 2 3 2" xfId="12520" xr:uid="{DFF95741-B433-4A68-8F34-5A3D432DAFF0}"/>
    <cellStyle name="Normal 2 4 2 5 2 4" xfId="12518" xr:uid="{57D595AB-13F9-41E0-B41B-EE79A2FAA5FF}"/>
    <cellStyle name="Normal 2 4 2 5 3" xfId="3687" xr:uid="{E3854FC9-795E-4946-BF98-5CA23ECF26A2}"/>
    <cellStyle name="Normal 2 4 2 5 3 2" xfId="12521" xr:uid="{73B7135F-255E-4682-ADC3-C641920B031D}"/>
    <cellStyle name="Normal 2 4 2 5 4" xfId="3688" xr:uid="{947B5532-148A-4FB4-93DE-5951EB5F50D7}"/>
    <cellStyle name="Normal 2 4 2 5 4 2" xfId="12522" xr:uid="{7DDF0E6C-D852-468C-ADCF-84831F44BBD6}"/>
    <cellStyle name="Normal 2 4 2 5 5" xfId="12517" xr:uid="{DBC5A9CF-2EA5-49E5-8C3D-A1A8AA93009A}"/>
    <cellStyle name="Normal 2 4 2 50" xfId="12287" xr:uid="{4D794A4C-5E4F-47DC-A40E-C62448F5D2FD}"/>
    <cellStyle name="Normal 2 4 2 6" xfId="3689" xr:uid="{F70C611B-5807-4E63-A5F0-76FA6506006A}"/>
    <cellStyle name="Normal 2 4 2 6 2" xfId="3690" xr:uid="{5D3B686C-F7EB-4960-9436-D7BC389C0CC2}"/>
    <cellStyle name="Normal 2 4 2 6 2 2" xfId="3691" xr:uid="{7F20CB86-8067-4AC9-BDC8-8976E1B98440}"/>
    <cellStyle name="Normal 2 4 2 6 2 2 2" xfId="12525" xr:uid="{E6D14F44-9015-4ABB-94FE-8E822C488D70}"/>
    <cellStyle name="Normal 2 4 2 6 2 3" xfId="3692" xr:uid="{0BA721D8-8FF2-4F22-842E-3E3B618705CB}"/>
    <cellStyle name="Normal 2 4 2 6 2 3 2" xfId="12526" xr:uid="{125B8595-8E2E-4D36-A1A3-0A0524CBF387}"/>
    <cellStyle name="Normal 2 4 2 6 2 4" xfId="12524" xr:uid="{40B69A68-1C26-4962-9461-84F82054C929}"/>
    <cellStyle name="Normal 2 4 2 6 3" xfId="3693" xr:uid="{F70329E9-D6CF-40D9-A9F3-2687DEB54EE6}"/>
    <cellStyle name="Normal 2 4 2 6 3 2" xfId="12527" xr:uid="{1CC56FAE-FDB3-48CE-B74C-4A44C3E2E725}"/>
    <cellStyle name="Normal 2 4 2 6 4" xfId="3694" xr:uid="{2FC631C5-BD32-49CE-A740-789C18D588B3}"/>
    <cellStyle name="Normal 2 4 2 6 4 2" xfId="12528" xr:uid="{FBAC1DB6-4611-454E-855A-4D39F0A52466}"/>
    <cellStyle name="Normal 2 4 2 6 5" xfId="12523" xr:uid="{F8DB04E1-778A-4F16-83D0-8213FAA3E1CB}"/>
    <cellStyle name="Normal 2 4 2 7" xfId="3695" xr:uid="{422EE60A-9529-492D-B57B-F81DD09715A8}"/>
    <cellStyle name="Normal 2 4 2 7 2" xfId="3696" xr:uid="{F0D29350-B6A1-415E-A70B-17D0A014B2CA}"/>
    <cellStyle name="Normal 2 4 2 7 2 2" xfId="3697" xr:uid="{52ABD8FB-C952-428C-A0A4-F31AF7796BB3}"/>
    <cellStyle name="Normal 2 4 2 7 2 2 2" xfId="12531" xr:uid="{4E8213E2-FAAC-49EC-9496-F20963F225E8}"/>
    <cellStyle name="Normal 2 4 2 7 2 3" xfId="3698" xr:uid="{E6CBCCA9-305D-408E-84EA-A0FED9F8173E}"/>
    <cellStyle name="Normal 2 4 2 7 2 3 2" xfId="12532" xr:uid="{F75F3282-F69C-4CE4-9D14-21AD14FA3CA3}"/>
    <cellStyle name="Normal 2 4 2 7 2 4" xfId="12530" xr:uid="{5DD8AB26-6E6E-4CC1-83F7-9E417663F574}"/>
    <cellStyle name="Normal 2 4 2 7 3" xfId="3699" xr:uid="{8ACD4320-2212-436E-8BB3-C44C424ED03D}"/>
    <cellStyle name="Normal 2 4 2 7 3 2" xfId="12533" xr:uid="{87E8EC7D-A296-4CB7-BB0D-F6B83B33D421}"/>
    <cellStyle name="Normal 2 4 2 7 4" xfId="3700" xr:uid="{DF4459C6-4692-4F76-BB4F-785BCBD4CCD6}"/>
    <cellStyle name="Normal 2 4 2 7 4 2" xfId="12534" xr:uid="{71A11973-A85F-44BA-A286-1D2F833B882F}"/>
    <cellStyle name="Normal 2 4 2 7 5" xfId="12529" xr:uid="{8891BEB0-9837-46D8-905D-8D5C833F7F61}"/>
    <cellStyle name="Normal 2 4 2 8" xfId="3701" xr:uid="{D229D6CC-D57F-4C3A-8FEF-857EF99D0AE1}"/>
    <cellStyle name="Normal 2 4 2 8 2" xfId="3702" xr:uid="{AA8789E5-1520-4156-AF53-D42591E0822D}"/>
    <cellStyle name="Normal 2 4 2 8 2 2" xfId="3703" xr:uid="{D5BB3A47-7339-435B-A962-1C5B7AD5182D}"/>
    <cellStyle name="Normal 2 4 2 8 2 2 2" xfId="12537" xr:uid="{49DFFA48-4981-4A26-A85F-7CB6EE940F99}"/>
    <cellStyle name="Normal 2 4 2 8 2 3" xfId="3704" xr:uid="{18E01E24-F09C-4898-9B0F-8F99EAE466D2}"/>
    <cellStyle name="Normal 2 4 2 8 2 3 2" xfId="12538" xr:uid="{17678ABC-3F3F-41E3-B850-D0557CC7022F}"/>
    <cellStyle name="Normal 2 4 2 8 2 4" xfId="12536" xr:uid="{3911959B-FA5B-4060-8B5C-393D9712875C}"/>
    <cellStyle name="Normal 2 4 2 8 3" xfId="3705" xr:uid="{ACC8C86B-7F15-4A1A-A8A3-5D5779C8DEF9}"/>
    <cellStyle name="Normal 2 4 2 8 3 2" xfId="12539" xr:uid="{385781D7-1A67-4428-954D-66D8D68C3612}"/>
    <cellStyle name="Normal 2 4 2 8 4" xfId="3706" xr:uid="{4BBE9AF8-B2B1-466F-B1C4-5F353B981231}"/>
    <cellStyle name="Normal 2 4 2 8 4 2" xfId="12540" xr:uid="{095446BB-D7E2-4A22-9444-FC3E05CE918B}"/>
    <cellStyle name="Normal 2 4 2 8 5" xfId="12535" xr:uid="{8819BE3C-7567-470E-8319-8CF3BE6B1AD4}"/>
    <cellStyle name="Normal 2 4 2 9" xfId="3707" xr:uid="{D638AF29-4A25-450A-84B4-246557157E57}"/>
    <cellStyle name="Normal 2 4 2 9 2" xfId="3708" xr:uid="{6824C972-5FA9-4BBB-8F71-AABE0C0C1E3B}"/>
    <cellStyle name="Normal 2 4 2 9 2 2" xfId="3709" xr:uid="{5E2A21ED-7088-4FDE-AA7F-267F23C163BE}"/>
    <cellStyle name="Normal 2 4 2 9 2 2 2" xfId="12543" xr:uid="{6D9D5D83-597B-43EE-8664-4E767A75EB0F}"/>
    <cellStyle name="Normal 2 4 2 9 2 3" xfId="3710" xr:uid="{976A437E-48B5-4BB3-9508-E4AAAE6DBB60}"/>
    <cellStyle name="Normal 2 4 2 9 2 3 2" xfId="12544" xr:uid="{92746C2D-3FAE-4294-B77D-EDC70E23B18A}"/>
    <cellStyle name="Normal 2 4 2 9 2 4" xfId="12542" xr:uid="{92492564-B667-4A5C-8BC6-B54BACE2CC46}"/>
    <cellStyle name="Normal 2 4 2 9 3" xfId="3711" xr:uid="{2175EDAD-3BC3-49F5-B844-329F16383FF1}"/>
    <cellStyle name="Normal 2 4 2 9 3 2" xfId="12545" xr:uid="{E620F037-B480-4E89-A47F-D726155792BC}"/>
    <cellStyle name="Normal 2 4 2 9 4" xfId="3712" xr:uid="{A3279180-E663-4EB6-A6B9-952E190B570B}"/>
    <cellStyle name="Normal 2 4 2 9 4 2" xfId="12546" xr:uid="{97AD2B10-96E2-4956-AEB4-468FCD0472A0}"/>
    <cellStyle name="Normal 2 4 2 9 5" xfId="12541" xr:uid="{609422CD-0086-402F-A0AC-495837303C0D}"/>
    <cellStyle name="Normal 2 4 20" xfId="3713" xr:uid="{C745E0A4-3E3F-4828-9F2F-08EA6206958A}"/>
    <cellStyle name="Normal 2 4 20 2" xfId="3714" xr:uid="{AB873E5E-8E62-4CDC-897C-6090AF67FF75}"/>
    <cellStyle name="Normal 2 4 20 2 2" xfId="3715" xr:uid="{4A0847EA-A786-41E8-A9A1-277048A71FE2}"/>
    <cellStyle name="Normal 2 4 20 2 2 2" xfId="12549" xr:uid="{FE783109-9722-49D9-8B1C-C0C2EE894846}"/>
    <cellStyle name="Normal 2 4 20 2 3" xfId="3716" xr:uid="{67F730DE-0563-4586-9E7A-0A135965D02A}"/>
    <cellStyle name="Normal 2 4 20 2 3 2" xfId="12550" xr:uid="{2377BABE-1C47-4A22-AC71-1D90620B43D6}"/>
    <cellStyle name="Normal 2 4 20 2 4" xfId="12548" xr:uid="{A77E9369-5EC4-4DD3-B1CA-266E13E4B454}"/>
    <cellStyle name="Normal 2 4 20 3" xfId="3717" xr:uid="{D1A66CF0-DFC3-4063-967B-0C42500E9F68}"/>
    <cellStyle name="Normal 2 4 20 3 2" xfId="12551" xr:uid="{718447A8-836A-4248-A57C-9FE1EC792DD2}"/>
    <cellStyle name="Normal 2 4 20 4" xfId="3718" xr:uid="{C3E2B0D4-2B48-4E09-AC1C-33EC2A7BA6BE}"/>
    <cellStyle name="Normal 2 4 20 4 2" xfId="12552" xr:uid="{ECF802B8-1A3E-4EA6-B749-3885E21CBE1D}"/>
    <cellStyle name="Normal 2 4 20 5" xfId="12547" xr:uid="{0FA394F0-0150-480F-9632-2646F41CA02B}"/>
    <cellStyle name="Normal 2 4 21" xfId="3719" xr:uid="{450870E3-D7A2-428F-9053-1DDEC1D08E24}"/>
    <cellStyle name="Normal 2 4 21 2" xfId="3720" xr:uid="{7C812439-D29A-426A-82D2-A98463F7D35A}"/>
    <cellStyle name="Normal 2 4 21 2 2" xfId="3721" xr:uid="{785EF403-90BD-4582-931B-2A308968C557}"/>
    <cellStyle name="Normal 2 4 21 2 2 2" xfId="12555" xr:uid="{A7AA7748-21F8-4685-A9DD-0EC10EA61FBA}"/>
    <cellStyle name="Normal 2 4 21 2 3" xfId="3722" xr:uid="{B52E9536-D304-45A6-AB05-BAFEF39554DC}"/>
    <cellStyle name="Normal 2 4 21 2 3 2" xfId="12556" xr:uid="{8CBB5287-F16C-49AA-AC79-12E2A9E917FA}"/>
    <cellStyle name="Normal 2 4 21 2 4" xfId="12554" xr:uid="{94453813-AAFC-4048-9017-6B2A08301B49}"/>
    <cellStyle name="Normal 2 4 21 3" xfId="3723" xr:uid="{18647747-F5C7-453A-A74B-9B7C86A9AAF8}"/>
    <cellStyle name="Normal 2 4 21 3 2" xfId="12557" xr:uid="{A899856E-1E2D-4F68-8FC4-D95AB8D4222A}"/>
    <cellStyle name="Normal 2 4 21 4" xfId="3724" xr:uid="{46366F0F-4B87-40B3-8946-8673DABBDD26}"/>
    <cellStyle name="Normal 2 4 21 4 2" xfId="12558" xr:uid="{83B58984-BC57-4BBF-A65D-739491DD3961}"/>
    <cellStyle name="Normal 2 4 21 5" xfId="12553" xr:uid="{72B3DC97-D9CA-4E48-BF5E-FEF8C884A430}"/>
    <cellStyle name="Normal 2 4 22" xfId="3725" xr:uid="{DD05F183-6280-46C3-9FEF-8B1E188B8D99}"/>
    <cellStyle name="Normal 2 4 22 2" xfId="3726" xr:uid="{C44F16C5-B795-44DD-8BD4-0F65778C7D43}"/>
    <cellStyle name="Normal 2 4 22 2 2" xfId="3727" xr:uid="{0F4BBED1-0311-48D8-9799-6EEDDB4E36C7}"/>
    <cellStyle name="Normal 2 4 22 2 2 2" xfId="12561" xr:uid="{85228A28-0116-4A77-B3B8-14ABF9195F70}"/>
    <cellStyle name="Normal 2 4 22 2 3" xfId="3728" xr:uid="{E938AE5E-B1A8-4264-A429-9E6DDF5A055A}"/>
    <cellStyle name="Normal 2 4 22 2 3 2" xfId="12562" xr:uid="{A2B10DEF-16C2-4B9C-8F50-A7DD44534422}"/>
    <cellStyle name="Normal 2 4 22 2 4" xfId="12560" xr:uid="{91B1051E-7D6E-4B78-8E1E-78EAF5F743B5}"/>
    <cellStyle name="Normal 2 4 22 3" xfId="3729" xr:uid="{44D7AC95-A6F0-41FE-AB69-4C146C5C5BA6}"/>
    <cellStyle name="Normal 2 4 22 3 2" xfId="12563" xr:uid="{1F0FD412-7873-4ACC-8D50-A28CF6E48F27}"/>
    <cellStyle name="Normal 2 4 22 4" xfId="3730" xr:uid="{82087224-D44F-44ED-ABB6-A940DD020AED}"/>
    <cellStyle name="Normal 2 4 22 4 2" xfId="12564" xr:uid="{887EE486-977B-478B-BBAE-56C06DB6CFD8}"/>
    <cellStyle name="Normal 2 4 22 5" xfId="12559" xr:uid="{61F55DEB-32A2-4BBE-A54A-33BAB7AECC82}"/>
    <cellStyle name="Normal 2 4 23" xfId="3731" xr:uid="{786E3043-B618-4B3C-BB26-CC1BD01EEDFB}"/>
    <cellStyle name="Normal 2 4 23 2" xfId="3732" xr:uid="{63B5FEAF-8EBB-4E5E-8970-546FA4BAE1E6}"/>
    <cellStyle name="Normal 2 4 23 2 2" xfId="3733" xr:uid="{83A585A9-0A6F-4903-9104-AB58C2062007}"/>
    <cellStyle name="Normal 2 4 23 2 2 2" xfId="12567" xr:uid="{59760AD4-5385-4B72-8E8E-61FB87672709}"/>
    <cellStyle name="Normal 2 4 23 2 3" xfId="3734" xr:uid="{96331D82-B728-4B44-99DB-9C4037AE302B}"/>
    <cellStyle name="Normal 2 4 23 2 3 2" xfId="12568" xr:uid="{A3DB9BF8-2B91-481C-9143-4F7A7E13AF6A}"/>
    <cellStyle name="Normal 2 4 23 2 4" xfId="12566" xr:uid="{28E22EC3-9067-48BF-A08A-D62E7204E643}"/>
    <cellStyle name="Normal 2 4 23 3" xfId="3735" xr:uid="{1B680D95-6AAB-4F8E-A38B-65B482D4EF49}"/>
    <cellStyle name="Normal 2 4 23 3 2" xfId="12569" xr:uid="{8E9AC1BA-E9D9-48D8-9FFD-59B39E596885}"/>
    <cellStyle name="Normal 2 4 23 4" xfId="3736" xr:uid="{E70D85C0-6B4F-4640-8000-5A64D0C85608}"/>
    <cellStyle name="Normal 2 4 23 4 2" xfId="12570" xr:uid="{D9CBDA52-544D-4EFE-8DA7-D9093D275950}"/>
    <cellStyle name="Normal 2 4 23 5" xfId="12565" xr:uid="{FCA6F699-7E78-4CD8-9963-F9D3117BA446}"/>
    <cellStyle name="Normal 2 4 24" xfId="3737" xr:uid="{D7D7A6E0-8632-4357-AB6F-50099690A3ED}"/>
    <cellStyle name="Normal 2 4 24 2" xfId="3738" xr:uid="{26BF6CBC-E281-4869-98BE-2E9FF29F4804}"/>
    <cellStyle name="Normal 2 4 24 2 2" xfId="3739" xr:uid="{0DFCEAB2-C5E6-4A92-B3CE-638407529C93}"/>
    <cellStyle name="Normal 2 4 24 2 2 2" xfId="12573" xr:uid="{4E37E8B4-FE59-4FA2-8A8A-160922F25D96}"/>
    <cellStyle name="Normal 2 4 24 2 3" xfId="3740" xr:uid="{7CC8FB47-D638-4F38-8F7E-506F466D29D7}"/>
    <cellStyle name="Normal 2 4 24 2 3 2" xfId="12574" xr:uid="{9A37E82E-F939-45A7-8A49-47B0A50D3556}"/>
    <cellStyle name="Normal 2 4 24 2 4" xfId="12572" xr:uid="{FCB04590-A8DD-4C99-8BB2-32C0793F7CD4}"/>
    <cellStyle name="Normal 2 4 24 3" xfId="3741" xr:uid="{4C9C5138-B3A5-4361-8262-9061F749FEFA}"/>
    <cellStyle name="Normal 2 4 24 3 2" xfId="12575" xr:uid="{27A52C44-53B0-4EF1-AFAC-B8CCC580E13C}"/>
    <cellStyle name="Normal 2 4 24 4" xfId="3742" xr:uid="{4C3E3AD9-AC25-4C64-A6DB-DEB0499F9FF9}"/>
    <cellStyle name="Normal 2 4 24 4 2" xfId="12576" xr:uid="{038EF66E-0EDD-4B65-9CA8-A760E3282FC1}"/>
    <cellStyle name="Normal 2 4 24 5" xfId="12571" xr:uid="{BA229B69-CAF2-4452-9201-C0E6D82A52E3}"/>
    <cellStyle name="Normal 2 4 25" xfId="3743" xr:uid="{CA67D9B0-5279-4850-AEDF-61622DE0AE68}"/>
    <cellStyle name="Normal 2 4 25 2" xfId="3744" xr:uid="{E535AFB3-8A16-4634-8013-FD3CDFECB64D}"/>
    <cellStyle name="Normal 2 4 25 2 2" xfId="3745" xr:uid="{95911A5D-18BD-4FC4-9858-FAD6FE50B999}"/>
    <cellStyle name="Normal 2 4 25 2 2 2" xfId="12579" xr:uid="{F49B8BB6-B824-441C-9417-F0E4EE40FA89}"/>
    <cellStyle name="Normal 2 4 25 2 3" xfId="3746" xr:uid="{4C58F27E-8D0E-4A35-8A9D-164C474F7BF8}"/>
    <cellStyle name="Normal 2 4 25 2 3 2" xfId="12580" xr:uid="{DB1A7914-0986-4CE9-ACE5-936F7B072E6F}"/>
    <cellStyle name="Normal 2 4 25 2 4" xfId="12578" xr:uid="{AEF70656-064E-43C2-AC1F-9CB2D0BF775F}"/>
    <cellStyle name="Normal 2 4 25 3" xfId="3747" xr:uid="{D6F933B6-0195-4CF8-91CC-187C7D4315BA}"/>
    <cellStyle name="Normal 2 4 25 3 2" xfId="12581" xr:uid="{574339F3-579B-4E53-BDD4-4FB7B74659F5}"/>
    <cellStyle name="Normal 2 4 25 4" xfId="3748" xr:uid="{C68DFDCA-25E8-4FEE-97F4-5605C6DFD714}"/>
    <cellStyle name="Normal 2 4 25 4 2" xfId="12582" xr:uid="{58DA27EE-DD4D-4C8A-919F-9EC741E551D2}"/>
    <cellStyle name="Normal 2 4 25 5" xfId="12577" xr:uid="{41363554-3BAC-42FB-9789-B8CD7EFEF748}"/>
    <cellStyle name="Normal 2 4 26" xfId="3749" xr:uid="{E29EBFEC-7854-4FE2-8FB3-529FE6ED0B77}"/>
    <cellStyle name="Normal 2 4 26 2" xfId="3750" xr:uid="{74BDD484-7216-41F4-94A4-5EE0DA52ABDD}"/>
    <cellStyle name="Normal 2 4 26 2 2" xfId="3751" xr:uid="{B440E81F-AE51-4400-B2A4-E1D1B8F7ED4E}"/>
    <cellStyle name="Normal 2 4 26 2 2 2" xfId="12585" xr:uid="{8D0BE862-B257-4334-B76C-729FFDA357CC}"/>
    <cellStyle name="Normal 2 4 26 2 3" xfId="3752" xr:uid="{3C958F56-90EF-45A8-91AE-E9ABEAD6FDE8}"/>
    <cellStyle name="Normal 2 4 26 2 3 2" xfId="12586" xr:uid="{99EEBF02-1C9D-4BAF-B2E5-67CA2A5869ED}"/>
    <cellStyle name="Normal 2 4 26 2 4" xfId="12584" xr:uid="{1E1B9A98-5B57-4F31-A1CD-CA38D4539E11}"/>
    <cellStyle name="Normal 2 4 26 3" xfId="3753" xr:uid="{F9429CC5-D623-4969-ACE7-E9787D439725}"/>
    <cellStyle name="Normal 2 4 26 3 2" xfId="12587" xr:uid="{89FA90AD-AA2E-4860-B16A-9FCD3EC74163}"/>
    <cellStyle name="Normal 2 4 26 4" xfId="3754" xr:uid="{A24241DA-F9DB-4DA7-AA98-493522C5CF84}"/>
    <cellStyle name="Normal 2 4 26 4 2" xfId="12588" xr:uid="{E9B05F43-D6AF-4D16-9401-ADA08B367B75}"/>
    <cellStyle name="Normal 2 4 26 5" xfId="12583" xr:uid="{5913E75E-37EF-4C6C-80CF-728A729217F1}"/>
    <cellStyle name="Normal 2 4 27" xfId="3755" xr:uid="{91CFAE3F-A1AE-4E13-BCC9-93CA0BD97119}"/>
    <cellStyle name="Normal 2 4 27 2" xfId="3756" xr:uid="{5385DB34-7BEB-4807-BC1F-A15A346D6A6F}"/>
    <cellStyle name="Normal 2 4 27 2 2" xfId="3757" xr:uid="{C8FA8D46-2D68-408A-B872-C588E85F6D14}"/>
    <cellStyle name="Normal 2 4 27 2 2 2" xfId="12591" xr:uid="{54AAF1BC-586A-434C-B1AC-E2A4EDF73E72}"/>
    <cellStyle name="Normal 2 4 27 2 3" xfId="3758" xr:uid="{612BB08C-3508-4560-AD64-37B2E319BD0D}"/>
    <cellStyle name="Normal 2 4 27 2 3 2" xfId="12592" xr:uid="{D9810578-F6DE-421A-8F9B-482F62CB7EB1}"/>
    <cellStyle name="Normal 2 4 27 2 4" xfId="12590" xr:uid="{24D76BA1-AA69-4C86-921C-62B836A59FBE}"/>
    <cellStyle name="Normal 2 4 27 3" xfId="3759" xr:uid="{985C4C31-CDA0-40FE-905D-B53A011170F8}"/>
    <cellStyle name="Normal 2 4 27 3 2" xfId="12593" xr:uid="{8607C982-A81C-4327-B6C8-40A28291F449}"/>
    <cellStyle name="Normal 2 4 27 4" xfId="3760" xr:uid="{6824AE36-2BAD-48A5-AB39-7A48C83D1E2C}"/>
    <cellStyle name="Normal 2 4 27 4 2" xfId="12594" xr:uid="{465DF048-4E03-4663-BD2F-19875B6A975B}"/>
    <cellStyle name="Normal 2 4 27 5" xfId="12589" xr:uid="{6A51B8C6-D17D-4E0A-B235-9F6DACA4BB5E}"/>
    <cellStyle name="Normal 2 4 28" xfId="3761" xr:uid="{0B8FC0F8-29D8-47A5-9085-FACB48E2DD2C}"/>
    <cellStyle name="Normal 2 4 28 2" xfId="3762" xr:uid="{E1CCFF07-3B38-4C43-915A-9E21C7160250}"/>
    <cellStyle name="Normal 2 4 28 2 2" xfId="3763" xr:uid="{F8A282EE-B119-4439-96F9-6CB51065EC51}"/>
    <cellStyle name="Normal 2 4 28 2 2 2" xfId="12597" xr:uid="{DB3FDB97-99E3-4327-83F0-072C425F0880}"/>
    <cellStyle name="Normal 2 4 28 2 3" xfId="3764" xr:uid="{AB81B3FC-44B5-4D7E-8E75-76CEC145393B}"/>
    <cellStyle name="Normal 2 4 28 2 3 2" xfId="12598" xr:uid="{DE4BD030-28DE-4391-A98D-E87EE5DB8B9D}"/>
    <cellStyle name="Normal 2 4 28 2 4" xfId="12596" xr:uid="{6630BFE3-37F5-4DFF-9377-2C1840748900}"/>
    <cellStyle name="Normal 2 4 28 3" xfId="3765" xr:uid="{B4F4AC0F-566D-463E-849A-BA9346864408}"/>
    <cellStyle name="Normal 2 4 28 3 2" xfId="12599" xr:uid="{1D8E1F11-FB82-4C57-A320-E8313BE41161}"/>
    <cellStyle name="Normal 2 4 28 4" xfId="3766" xr:uid="{052D63E3-EAE3-466C-8AAF-D15ADDEC7B77}"/>
    <cellStyle name="Normal 2 4 28 4 2" xfId="12600" xr:uid="{8E1F4278-412F-40EF-8EB7-57DCC1CAED3D}"/>
    <cellStyle name="Normal 2 4 28 5" xfId="12595" xr:uid="{412E11E8-0186-4C72-A8FB-08BA26AFF477}"/>
    <cellStyle name="Normal 2 4 29" xfId="3767" xr:uid="{8AB11621-862F-40B5-9156-412BF3B7A4A7}"/>
    <cellStyle name="Normal 2 4 29 2" xfId="3768" xr:uid="{27538EA2-3198-4DD7-AB46-23189A468322}"/>
    <cellStyle name="Normal 2 4 29 2 2" xfId="3769" xr:uid="{A0E4D306-11F4-41BA-A8BF-419DCC300D3E}"/>
    <cellStyle name="Normal 2 4 29 2 2 2" xfId="12603" xr:uid="{CB82B47B-926F-44FC-8134-4D5E634380A7}"/>
    <cellStyle name="Normal 2 4 29 2 3" xfId="3770" xr:uid="{4BA14052-D47B-47A6-9907-D798841E4F1F}"/>
    <cellStyle name="Normal 2 4 29 2 3 2" xfId="12604" xr:uid="{2814D0F6-CEB7-42B9-8A38-68FC99C65C2F}"/>
    <cellStyle name="Normal 2 4 29 2 4" xfId="12602" xr:uid="{020786F2-689B-4296-80DA-F5A4553F5FF9}"/>
    <cellStyle name="Normal 2 4 29 3" xfId="3771" xr:uid="{C93BEFF0-493E-4001-9C5B-D402232A8A9C}"/>
    <cellStyle name="Normal 2 4 29 3 2" xfId="12605" xr:uid="{7AB27783-C045-4B0A-A1D6-88490C12FFDF}"/>
    <cellStyle name="Normal 2 4 29 4" xfId="3772" xr:uid="{2A5E3BF2-A1C2-445E-B278-A39FEA5172A8}"/>
    <cellStyle name="Normal 2 4 29 4 2" xfId="12606" xr:uid="{37AC728D-F8FA-4062-AB98-647647539A27}"/>
    <cellStyle name="Normal 2 4 29 5" xfId="12601" xr:uid="{68419E98-E5A3-4332-894F-465221F48AB5}"/>
    <cellStyle name="Normal 2 4 3" xfId="3773" xr:uid="{7BF37448-C75E-4D75-A296-14C47E96B0B3}"/>
    <cellStyle name="Normal 2 4 3 10" xfId="3774" xr:uid="{F0FD6A59-AA33-4AE4-9CE8-2612094E8895}"/>
    <cellStyle name="Normal 2 4 3 10 2" xfId="3775" xr:uid="{6F8ED203-E196-4326-A588-0202E41B4E15}"/>
    <cellStyle name="Normal 2 4 3 10 2 2" xfId="3776" xr:uid="{B4907A5E-B640-4455-948E-426D7810C875}"/>
    <cellStyle name="Normal 2 4 3 10 2 2 2" xfId="12610" xr:uid="{6E031A66-833C-4F37-A8DD-17438C9B4739}"/>
    <cellStyle name="Normal 2 4 3 10 2 3" xfId="3777" xr:uid="{75EFF079-720F-4A81-BC58-C36EB1C1EB98}"/>
    <cellStyle name="Normal 2 4 3 10 2 3 2" xfId="12611" xr:uid="{90F4F33C-A5D3-4293-9597-B22935E4CAC4}"/>
    <cellStyle name="Normal 2 4 3 10 2 4" xfId="12609" xr:uid="{D756532B-329D-434B-9C59-64BC4B885760}"/>
    <cellStyle name="Normal 2 4 3 10 3" xfId="3778" xr:uid="{4FDDC1FC-8603-43DE-B631-BDD080A0CF30}"/>
    <cellStyle name="Normal 2 4 3 10 3 2" xfId="12612" xr:uid="{F8B38D99-51AC-40AF-9FEB-086CD1BE0E37}"/>
    <cellStyle name="Normal 2 4 3 10 4" xfId="3779" xr:uid="{50B4E4EA-F422-4253-8837-6F070A3C7B98}"/>
    <cellStyle name="Normal 2 4 3 10 4 2" xfId="12613" xr:uid="{4799D436-DC14-4196-896F-CF674E27AE02}"/>
    <cellStyle name="Normal 2 4 3 10 5" xfId="12608" xr:uid="{9C5B0C12-2F8F-4337-AAF3-E575B337631B}"/>
    <cellStyle name="Normal 2 4 3 11" xfId="3780" xr:uid="{FA726B64-F8FA-4A7C-BB33-7EC0946F854D}"/>
    <cellStyle name="Normal 2 4 3 11 2" xfId="3781" xr:uid="{BF350423-8BA8-469C-A531-5E19A4AAFAEC}"/>
    <cellStyle name="Normal 2 4 3 11 2 2" xfId="3782" xr:uid="{D5C61567-99FD-4A47-B27A-EAA9CF591528}"/>
    <cellStyle name="Normal 2 4 3 11 2 2 2" xfId="12616" xr:uid="{149BA5B1-6D18-4A26-894F-5BCC7075BA2F}"/>
    <cellStyle name="Normal 2 4 3 11 2 3" xfId="3783" xr:uid="{3BB3C802-6219-4352-A005-35EA9FCFB5A8}"/>
    <cellStyle name="Normal 2 4 3 11 2 3 2" xfId="12617" xr:uid="{B541C872-EA23-4C9C-A167-1C92068C734C}"/>
    <cellStyle name="Normal 2 4 3 11 2 4" xfId="12615" xr:uid="{1279893B-CF0F-4424-9290-6985293147FB}"/>
    <cellStyle name="Normal 2 4 3 11 3" xfId="3784" xr:uid="{DB490B2E-1FFB-4CDE-BD6B-986984630CD6}"/>
    <cellStyle name="Normal 2 4 3 11 3 2" xfId="12618" xr:uid="{856D89D9-C50C-4D4D-9037-FB1C6AAF716B}"/>
    <cellStyle name="Normal 2 4 3 11 4" xfId="3785" xr:uid="{DCC087A9-BD3B-43BD-BC93-7B6070553375}"/>
    <cellStyle name="Normal 2 4 3 11 4 2" xfId="12619" xr:uid="{39FE834C-62D9-4398-AAA6-CDE9FA09BCC8}"/>
    <cellStyle name="Normal 2 4 3 11 5" xfId="12614" xr:uid="{53AF0879-86B9-436B-8B54-1B3F9CDB6F88}"/>
    <cellStyle name="Normal 2 4 3 12" xfId="3786" xr:uid="{BD726BD5-FCFF-45F2-93B3-F00242FB89D1}"/>
    <cellStyle name="Normal 2 4 3 12 2" xfId="3787" xr:uid="{9FFE4EF8-3A05-465C-8284-D7904AE85ED9}"/>
    <cellStyle name="Normal 2 4 3 12 2 2" xfId="3788" xr:uid="{80F58F0A-BE5E-48F0-BE1E-15A28FDA709B}"/>
    <cellStyle name="Normal 2 4 3 12 2 2 2" xfId="12622" xr:uid="{B1D0957C-5CEE-4CEE-B715-1A605BE5CC03}"/>
    <cellStyle name="Normal 2 4 3 12 2 3" xfId="3789" xr:uid="{B5051717-DAFC-408F-A79B-957B2652BAA7}"/>
    <cellStyle name="Normal 2 4 3 12 2 3 2" xfId="12623" xr:uid="{98FFF7CF-339E-4C1D-A0AA-436B6835E0EC}"/>
    <cellStyle name="Normal 2 4 3 12 2 4" xfId="12621" xr:uid="{08FEE404-37EA-4F89-B93F-B17886D0215C}"/>
    <cellStyle name="Normal 2 4 3 12 3" xfId="3790" xr:uid="{86243E21-D782-4014-9BA9-556A4CE405B5}"/>
    <cellStyle name="Normal 2 4 3 12 3 2" xfId="12624" xr:uid="{EC2A8868-ECF8-4D0B-A1F1-AD08DE1936DC}"/>
    <cellStyle name="Normal 2 4 3 12 4" xfId="3791" xr:uid="{6D2F00FB-3EF2-4424-A173-85A854DDCD2A}"/>
    <cellStyle name="Normal 2 4 3 12 4 2" xfId="12625" xr:uid="{005057E5-F46F-4FCA-BF3B-03D903B4A0A5}"/>
    <cellStyle name="Normal 2 4 3 12 5" xfId="12620" xr:uid="{687C639A-7A5E-4D99-97D8-C2E8F4D3F1AE}"/>
    <cellStyle name="Normal 2 4 3 13" xfId="3792" xr:uid="{52D5B6D6-EE3A-45E5-A0C1-362177CC9144}"/>
    <cellStyle name="Normal 2 4 3 13 2" xfId="3793" xr:uid="{09E3F8E6-273D-48F0-95A3-74F337979318}"/>
    <cellStyle name="Normal 2 4 3 13 2 2" xfId="3794" xr:uid="{9E40DF3B-556A-4BC3-848D-417C2DB2DE6D}"/>
    <cellStyle name="Normal 2 4 3 13 2 2 2" xfId="12628" xr:uid="{1AC73417-D354-40F2-9960-671ABF6BD9F5}"/>
    <cellStyle name="Normal 2 4 3 13 2 3" xfId="3795" xr:uid="{02114BB4-896B-4C30-A6EA-BA6215E71C25}"/>
    <cellStyle name="Normal 2 4 3 13 2 3 2" xfId="12629" xr:uid="{1F1FAD58-39DE-49C2-A7CC-68FD2630C8D5}"/>
    <cellStyle name="Normal 2 4 3 13 2 4" xfId="12627" xr:uid="{BE1C1241-7D48-4D86-8FC6-F44303A88547}"/>
    <cellStyle name="Normal 2 4 3 13 3" xfId="3796" xr:uid="{959E0409-F72D-4B75-B9FC-9A0043312B02}"/>
    <cellStyle name="Normal 2 4 3 13 3 2" xfId="12630" xr:uid="{0023E147-7454-4BF7-9244-F7F09B41E10B}"/>
    <cellStyle name="Normal 2 4 3 13 4" xfId="3797" xr:uid="{4E03E578-5AD6-41EB-AF52-9814E8F07C04}"/>
    <cellStyle name="Normal 2 4 3 13 4 2" xfId="12631" xr:uid="{5BE88671-251A-4379-9BD9-57F1E2740C4C}"/>
    <cellStyle name="Normal 2 4 3 13 5" xfId="12626" xr:uid="{447EDE71-4185-42C1-96C6-EE0621975673}"/>
    <cellStyle name="Normal 2 4 3 14" xfId="3798" xr:uid="{35B380C6-45E2-4043-85A0-5022B6785D38}"/>
    <cellStyle name="Normal 2 4 3 14 2" xfId="3799" xr:uid="{622B73EC-0A9D-421C-9582-82F8E3D7B4FE}"/>
    <cellStyle name="Normal 2 4 3 14 2 2" xfId="3800" xr:uid="{82E7E3DA-3FB1-4332-9676-DBB09AFA2A5B}"/>
    <cellStyle name="Normal 2 4 3 14 2 2 2" xfId="12634" xr:uid="{6DB1B1E9-141E-4D27-9197-48C4EA72DEA3}"/>
    <cellStyle name="Normal 2 4 3 14 2 3" xfId="3801" xr:uid="{EA6FAF39-C68B-4312-B713-F6255D43FA7C}"/>
    <cellStyle name="Normal 2 4 3 14 2 3 2" xfId="12635" xr:uid="{C6018338-C9E9-47E0-A92B-E6A20909383E}"/>
    <cellStyle name="Normal 2 4 3 14 2 4" xfId="12633" xr:uid="{16C5B4A5-4DD2-4B16-81E8-7B2A2B26B507}"/>
    <cellStyle name="Normal 2 4 3 14 3" xfId="3802" xr:uid="{8E6BD1DB-1947-441B-9CA6-C9290F36BC80}"/>
    <cellStyle name="Normal 2 4 3 14 3 2" xfId="12636" xr:uid="{62EF199E-5E1F-4839-8739-2EA9D72425A1}"/>
    <cellStyle name="Normal 2 4 3 14 4" xfId="3803" xr:uid="{FE387D10-CF9B-429C-8A37-170DFB55B7D2}"/>
    <cellStyle name="Normal 2 4 3 14 4 2" xfId="12637" xr:uid="{EF51D52F-0120-41F1-9D71-59905B7D190E}"/>
    <cellStyle name="Normal 2 4 3 14 5" xfId="12632" xr:uid="{74941668-8391-41F5-ADAF-6363FD67B996}"/>
    <cellStyle name="Normal 2 4 3 15" xfId="3804" xr:uid="{289FA83D-F03F-4E31-8212-4470D8E4C304}"/>
    <cellStyle name="Normal 2 4 3 15 2" xfId="3805" xr:uid="{604677BC-3F70-4AF1-8888-3BE8EEFDE297}"/>
    <cellStyle name="Normal 2 4 3 15 2 2" xfId="3806" xr:uid="{69F90DD5-319F-4A2F-B650-9C57D5CC39C1}"/>
    <cellStyle name="Normal 2 4 3 15 2 2 2" xfId="12640" xr:uid="{7C8F3FA6-455C-4648-A89B-A664BF2909FE}"/>
    <cellStyle name="Normal 2 4 3 15 2 3" xfId="3807" xr:uid="{27F1447E-2193-4078-9E93-48C4F69E60E7}"/>
    <cellStyle name="Normal 2 4 3 15 2 3 2" xfId="12641" xr:uid="{9931CD3D-C622-45C8-82D1-B8FF0EF00B05}"/>
    <cellStyle name="Normal 2 4 3 15 2 4" xfId="12639" xr:uid="{C544D3E5-E00E-4EA3-8B3D-EA9B31E1BAB7}"/>
    <cellStyle name="Normal 2 4 3 15 3" xfId="3808" xr:uid="{40041670-F96D-4C41-AE4C-33E45E5014FC}"/>
    <cellStyle name="Normal 2 4 3 15 3 2" xfId="12642" xr:uid="{B6C6CAB1-C1E6-42A1-9A3C-617979F63439}"/>
    <cellStyle name="Normal 2 4 3 15 4" xfId="3809" xr:uid="{69736C3E-A060-46A5-BA54-2E7B228CC37C}"/>
    <cellStyle name="Normal 2 4 3 15 4 2" xfId="12643" xr:uid="{1A75C253-80F5-48AB-8750-949D8966BCE2}"/>
    <cellStyle name="Normal 2 4 3 15 5" xfId="12638" xr:uid="{9414BFCF-B28A-4ED3-B75E-D572B9CAC998}"/>
    <cellStyle name="Normal 2 4 3 16" xfId="3810" xr:uid="{F846BB4F-93BE-4876-A418-E6F95D9D82F3}"/>
    <cellStyle name="Normal 2 4 3 16 2" xfId="3811" xr:uid="{723CC177-31EB-472F-B315-39144FF6230A}"/>
    <cellStyle name="Normal 2 4 3 16 2 2" xfId="3812" xr:uid="{BE8C46F8-EE12-471B-ADD1-8297436B863C}"/>
    <cellStyle name="Normal 2 4 3 16 2 2 2" xfId="12646" xr:uid="{BB195362-A327-4CD3-AF3C-55E92F8349D2}"/>
    <cellStyle name="Normal 2 4 3 16 2 3" xfId="3813" xr:uid="{A36CA374-EE4A-43A9-93A4-9CE07F02103A}"/>
    <cellStyle name="Normal 2 4 3 16 2 3 2" xfId="12647" xr:uid="{5261F09A-8554-4301-B68A-10D1945FB4D2}"/>
    <cellStyle name="Normal 2 4 3 16 2 4" xfId="12645" xr:uid="{1BFBA9F2-59AE-42F4-899C-725836435C1E}"/>
    <cellStyle name="Normal 2 4 3 16 3" xfId="3814" xr:uid="{978A5CBA-D69F-4DDE-ADE3-08ACE61D63D2}"/>
    <cellStyle name="Normal 2 4 3 16 3 2" xfId="12648" xr:uid="{017BC947-9C07-4EEB-AE48-C03DA9465A70}"/>
    <cellStyle name="Normal 2 4 3 16 4" xfId="3815" xr:uid="{1B173EBA-6F24-42FB-8F60-CD7EF846EFF0}"/>
    <cellStyle name="Normal 2 4 3 16 4 2" xfId="12649" xr:uid="{90F8FD7B-8605-42E2-97F5-F7DB5CB69157}"/>
    <cellStyle name="Normal 2 4 3 16 5" xfId="12644" xr:uid="{CA1CB945-EC7F-46E1-949B-3E0909D78120}"/>
    <cellStyle name="Normal 2 4 3 17" xfId="3816" xr:uid="{003A2CA8-97B4-43B5-8338-AFA2D2E4D466}"/>
    <cellStyle name="Normal 2 4 3 17 2" xfId="3817" xr:uid="{20255839-B267-4496-B003-955CB71926E1}"/>
    <cellStyle name="Normal 2 4 3 17 2 2" xfId="3818" xr:uid="{270334C6-247B-4B16-B55F-0DF5815D83B6}"/>
    <cellStyle name="Normal 2 4 3 17 2 2 2" xfId="12652" xr:uid="{984752E0-46E9-45F6-9F22-B2445056C91D}"/>
    <cellStyle name="Normal 2 4 3 17 2 3" xfId="3819" xr:uid="{7C5AFEA1-CE53-4ADE-909F-28175BC79B9A}"/>
    <cellStyle name="Normal 2 4 3 17 2 3 2" xfId="12653" xr:uid="{EAA96017-FED3-40EB-B5C7-94AE7BAB8C88}"/>
    <cellStyle name="Normal 2 4 3 17 2 4" xfId="12651" xr:uid="{5193666A-EDF3-4832-AE12-7D48B25F7ECF}"/>
    <cellStyle name="Normal 2 4 3 17 3" xfId="3820" xr:uid="{C7E59330-615F-4AAD-86F2-AF8FEEB6DD5A}"/>
    <cellStyle name="Normal 2 4 3 17 3 2" xfId="12654" xr:uid="{64BB969D-C232-4994-BBBE-E55B83684142}"/>
    <cellStyle name="Normal 2 4 3 17 4" xfId="3821" xr:uid="{EFAB24D6-6B3B-4BEB-A771-83142034C1E1}"/>
    <cellStyle name="Normal 2 4 3 17 4 2" xfId="12655" xr:uid="{D43B1826-5696-4F3F-9686-77FD3B8B3B81}"/>
    <cellStyle name="Normal 2 4 3 17 5" xfId="12650" xr:uid="{DF309161-43D2-4A26-A980-F8FA81B7AEE2}"/>
    <cellStyle name="Normal 2 4 3 18" xfId="3822" xr:uid="{771D4E45-C467-46D9-9937-B2C773B18482}"/>
    <cellStyle name="Normal 2 4 3 18 2" xfId="3823" xr:uid="{477FA569-4F07-479E-A9BD-0D4B96CFB398}"/>
    <cellStyle name="Normal 2 4 3 18 2 2" xfId="3824" xr:uid="{CA88030D-A171-4F72-8828-000EE5B94A03}"/>
    <cellStyle name="Normal 2 4 3 18 2 2 2" xfId="12658" xr:uid="{BB93A41C-F84A-45D4-BDA9-DA2D80A74B86}"/>
    <cellStyle name="Normal 2 4 3 18 2 3" xfId="3825" xr:uid="{0966A188-84B8-4D68-80AD-3773D3D0B4FE}"/>
    <cellStyle name="Normal 2 4 3 18 2 3 2" xfId="12659" xr:uid="{4F1E9B4D-DACC-4021-8542-5C46F074F0D1}"/>
    <cellStyle name="Normal 2 4 3 18 2 4" xfId="12657" xr:uid="{3B80B51B-4092-4252-8668-1BE7E6815EA4}"/>
    <cellStyle name="Normal 2 4 3 18 3" xfId="3826" xr:uid="{703FB0EE-5B7B-47A7-A0CE-13D2A154BFF3}"/>
    <cellStyle name="Normal 2 4 3 18 3 2" xfId="12660" xr:uid="{B863ECB0-FDF7-42B5-BA10-E09BA75DCC20}"/>
    <cellStyle name="Normal 2 4 3 18 4" xfId="3827" xr:uid="{F71C763C-AB70-4FAB-86EC-4A788157B6D0}"/>
    <cellStyle name="Normal 2 4 3 18 4 2" xfId="12661" xr:uid="{F9A00606-EA7A-47E7-8F11-459B4927A7FE}"/>
    <cellStyle name="Normal 2 4 3 18 5" xfId="12656" xr:uid="{EDF93CD7-B31D-44C7-B075-B53DDA4A4D56}"/>
    <cellStyle name="Normal 2 4 3 19" xfId="3828" xr:uid="{08F11078-1494-405C-850D-997427CB0477}"/>
    <cellStyle name="Normal 2 4 3 19 2" xfId="3829" xr:uid="{27E6D3EE-E2DF-46E6-BA37-83B0CE3BC452}"/>
    <cellStyle name="Normal 2 4 3 19 2 2" xfId="3830" xr:uid="{EFDE338C-B106-4A1A-817D-D6067DAB8C1F}"/>
    <cellStyle name="Normal 2 4 3 19 2 2 2" xfId="12664" xr:uid="{E67BA796-29F2-4E6D-86F3-40F5DE999DFA}"/>
    <cellStyle name="Normal 2 4 3 19 2 3" xfId="3831" xr:uid="{F2AD6CC8-87D5-40BE-A0F2-22F952FD11D9}"/>
    <cellStyle name="Normal 2 4 3 19 2 3 2" xfId="12665" xr:uid="{1C516A2C-D27A-4CAA-9C10-569F71511A94}"/>
    <cellStyle name="Normal 2 4 3 19 2 4" xfId="12663" xr:uid="{AAA9F879-3214-44C1-9D0F-61985D1AD1CF}"/>
    <cellStyle name="Normal 2 4 3 19 3" xfId="3832" xr:uid="{D8A3A238-EA32-434D-B6AA-EF583651C67F}"/>
    <cellStyle name="Normal 2 4 3 19 3 2" xfId="12666" xr:uid="{993CAA01-594F-4C12-8AFB-9808F28E285D}"/>
    <cellStyle name="Normal 2 4 3 19 4" xfId="3833" xr:uid="{D3689CA3-A87A-4D67-AB89-5F4215B64E9E}"/>
    <cellStyle name="Normal 2 4 3 19 4 2" xfId="12667" xr:uid="{2344838B-4C83-47DB-B503-646AF55972BD}"/>
    <cellStyle name="Normal 2 4 3 19 5" xfId="12662" xr:uid="{C4AA36A3-CC5B-4D69-95EB-9DEB0EDC1FBC}"/>
    <cellStyle name="Normal 2 4 3 2" xfId="3834" xr:uid="{DD48383A-5D58-4AB7-8B2C-E838CBA4B5E3}"/>
    <cellStyle name="Normal 2 4 3 2 2" xfId="3835" xr:uid="{024AD30D-3256-4837-AD20-2EEC305D96A8}"/>
    <cellStyle name="Normal 2 4 3 2 2 2" xfId="3836" xr:uid="{DFC39491-305F-44EF-84F2-4AEE8BB130FF}"/>
    <cellStyle name="Normal 2 4 3 2 2 2 2" xfId="12670" xr:uid="{B378EC42-CE11-4E15-9AA0-ACBCB5CB41C5}"/>
    <cellStyle name="Normal 2 4 3 2 2 3" xfId="3837" xr:uid="{04957EB5-8144-4E21-9255-25296D27BB79}"/>
    <cellStyle name="Normal 2 4 3 2 2 3 2" xfId="12671" xr:uid="{2E7DEC4D-8434-4895-A2CE-BA7D4610E35D}"/>
    <cellStyle name="Normal 2 4 3 2 2 4" xfId="12669" xr:uid="{A90D85F6-A7AB-4228-8471-85D7CF219FFC}"/>
    <cellStyle name="Normal 2 4 3 2 3" xfId="3838" xr:uid="{DDFA5E42-6F9B-4E7A-AA78-8E5E844F6A5D}"/>
    <cellStyle name="Normal 2 4 3 2 3 2" xfId="12672" xr:uid="{05A6578E-EB2C-4C12-9101-666D44FD7599}"/>
    <cellStyle name="Normal 2 4 3 2 4" xfId="3839" xr:uid="{5EFDD369-CFC6-4839-B4DC-A80AF2E96274}"/>
    <cellStyle name="Normal 2 4 3 2 4 2" xfId="12673" xr:uid="{CC91B0BE-C8A6-46A0-A495-96D25AE47B7A}"/>
    <cellStyle name="Normal 2 4 3 2 5" xfId="12668" xr:uid="{A55DC9AC-55AC-455C-B6EA-9268DDBEE281}"/>
    <cellStyle name="Normal 2 4 3 20" xfId="3840" xr:uid="{2B644492-60A3-4A61-A2D4-CAE83672A3BD}"/>
    <cellStyle name="Normal 2 4 3 20 2" xfId="3841" xr:uid="{22CC7428-5888-4063-852A-558C26415C3A}"/>
    <cellStyle name="Normal 2 4 3 20 2 2" xfId="3842" xr:uid="{68ADFFDD-6AAB-4D1E-B60C-F6C74763BEBB}"/>
    <cellStyle name="Normal 2 4 3 20 2 2 2" xfId="12676" xr:uid="{249BE580-09C3-4C6E-801D-24A26A696D41}"/>
    <cellStyle name="Normal 2 4 3 20 2 3" xfId="3843" xr:uid="{4B218548-DB0F-4D07-A77A-8151C7129D16}"/>
    <cellStyle name="Normal 2 4 3 20 2 3 2" xfId="12677" xr:uid="{1C44CE49-8129-4450-AD68-E757828FF4C2}"/>
    <cellStyle name="Normal 2 4 3 20 2 4" xfId="12675" xr:uid="{497D7CB5-2E74-4287-B228-B7C4DCDF6534}"/>
    <cellStyle name="Normal 2 4 3 20 3" xfId="3844" xr:uid="{900153D2-0D68-4CFE-B26F-028300EEF510}"/>
    <cellStyle name="Normal 2 4 3 20 3 2" xfId="12678" xr:uid="{39F8737A-74BD-4C5C-8526-5A189C834016}"/>
    <cellStyle name="Normal 2 4 3 20 4" xfId="3845" xr:uid="{6E98CE63-165D-4C31-8EB2-71946E64D89B}"/>
    <cellStyle name="Normal 2 4 3 20 4 2" xfId="12679" xr:uid="{20DC30EC-5968-4600-854B-5A1EFA3C107B}"/>
    <cellStyle name="Normal 2 4 3 20 5" xfId="12674" xr:uid="{3C4A4BC2-16AE-4BE2-ADE2-A3872E588FB3}"/>
    <cellStyle name="Normal 2 4 3 21" xfId="3846" xr:uid="{43E0DBEB-595C-4805-82E0-C38E9EF1D960}"/>
    <cellStyle name="Normal 2 4 3 21 2" xfId="3847" xr:uid="{6EA32C6D-BA1B-4423-8AE7-623244DD3F1A}"/>
    <cellStyle name="Normal 2 4 3 21 2 2" xfId="3848" xr:uid="{301C0757-576C-4001-A23A-D328F39EE605}"/>
    <cellStyle name="Normal 2 4 3 21 2 2 2" xfId="12682" xr:uid="{B9D4855C-EFE3-4410-AD6F-5DF67AABEE35}"/>
    <cellStyle name="Normal 2 4 3 21 2 3" xfId="3849" xr:uid="{27148CB4-7A2D-4682-986F-06ED0F6BC276}"/>
    <cellStyle name="Normal 2 4 3 21 2 3 2" xfId="12683" xr:uid="{A83F6957-DC94-4E8A-9E8B-9FD1291EE0DA}"/>
    <cellStyle name="Normal 2 4 3 21 2 4" xfId="12681" xr:uid="{DFB15D54-5953-435B-9399-EAAE99749301}"/>
    <cellStyle name="Normal 2 4 3 21 3" xfId="3850" xr:uid="{E484B877-25C6-4BFB-9999-25542121577A}"/>
    <cellStyle name="Normal 2 4 3 21 3 2" xfId="12684" xr:uid="{37C83364-459B-4AD0-85B4-B3DABF10A3EA}"/>
    <cellStyle name="Normal 2 4 3 21 4" xfId="3851" xr:uid="{B7C20B1D-81E6-4EE4-92A0-54CC4C157AD6}"/>
    <cellStyle name="Normal 2 4 3 21 4 2" xfId="12685" xr:uid="{93C40DC1-D4DB-480C-A92E-5DEC55CF046D}"/>
    <cellStyle name="Normal 2 4 3 21 5" xfId="12680" xr:uid="{C45AA1EB-C69D-4EBC-914A-3AB3B1B1E249}"/>
    <cellStyle name="Normal 2 4 3 22" xfId="3852" xr:uid="{C6908AE4-21A6-4C44-8EB4-436A843BBCB6}"/>
    <cellStyle name="Normal 2 4 3 22 2" xfId="3853" xr:uid="{5B1562D3-B075-4C82-9826-4E29BA9E29FE}"/>
    <cellStyle name="Normal 2 4 3 22 2 2" xfId="3854" xr:uid="{347E07CD-D450-43CF-931E-0A6EDA8D004F}"/>
    <cellStyle name="Normal 2 4 3 22 2 2 2" xfId="12688" xr:uid="{18884EF5-03BD-4200-B381-13374171F0A1}"/>
    <cellStyle name="Normal 2 4 3 22 2 3" xfId="3855" xr:uid="{1EC690C0-6912-417F-A6CD-AFE62CC3209B}"/>
    <cellStyle name="Normal 2 4 3 22 2 3 2" xfId="12689" xr:uid="{E262BB5E-F080-4DEB-8116-0B98DA32D65D}"/>
    <cellStyle name="Normal 2 4 3 22 2 4" xfId="12687" xr:uid="{5BB19C52-7E32-476E-93DD-4F38E0AD246E}"/>
    <cellStyle name="Normal 2 4 3 22 3" xfId="3856" xr:uid="{C851EAD5-6CA1-4584-8430-BC99BB2BF095}"/>
    <cellStyle name="Normal 2 4 3 22 3 2" xfId="12690" xr:uid="{2DA642CA-5CB8-4AC9-A63D-28B8B128FFFE}"/>
    <cellStyle name="Normal 2 4 3 22 4" xfId="3857" xr:uid="{BC911FC6-37A6-4BC9-9A94-64D9CEB43A94}"/>
    <cellStyle name="Normal 2 4 3 22 4 2" xfId="12691" xr:uid="{00E2EBD9-8BA6-4FFB-B982-7033E32039F5}"/>
    <cellStyle name="Normal 2 4 3 22 5" xfId="12686" xr:uid="{5E7078EB-DCDD-4D8A-9073-B1CB48E19134}"/>
    <cellStyle name="Normal 2 4 3 23" xfId="3858" xr:uid="{6F952794-5382-4B62-928A-6220E14D9A82}"/>
    <cellStyle name="Normal 2 4 3 23 2" xfId="3859" xr:uid="{05F01616-36B9-4F09-9732-FC9787332A7A}"/>
    <cellStyle name="Normal 2 4 3 23 2 2" xfId="3860" xr:uid="{4C71D38B-4903-43E8-9976-0B0DD75EC2A4}"/>
    <cellStyle name="Normal 2 4 3 23 2 2 2" xfId="12694" xr:uid="{4BCDD77B-E19C-4934-B6E2-809B15B6F28E}"/>
    <cellStyle name="Normal 2 4 3 23 2 3" xfId="3861" xr:uid="{C37FE967-3568-49E0-A1C7-E6D12B4FC224}"/>
    <cellStyle name="Normal 2 4 3 23 2 3 2" xfId="12695" xr:uid="{2B13EBE8-6FE9-43DF-8C0C-F5A9EE7C0202}"/>
    <cellStyle name="Normal 2 4 3 23 2 4" xfId="12693" xr:uid="{8F6C9ADF-A268-4C98-A870-02FFDE36527C}"/>
    <cellStyle name="Normal 2 4 3 23 3" xfId="3862" xr:uid="{7ED3F294-BC8D-4483-AF69-8003266DD24D}"/>
    <cellStyle name="Normal 2 4 3 23 3 2" xfId="12696" xr:uid="{FC6F7E45-186C-4DF6-9D18-4A1F4355F210}"/>
    <cellStyle name="Normal 2 4 3 23 4" xfId="3863" xr:uid="{3FAA9199-13C8-41DC-9A0E-0CAC7250ECB8}"/>
    <cellStyle name="Normal 2 4 3 23 4 2" xfId="12697" xr:uid="{24ED27A2-AC7A-4926-8176-88266DEBBBC1}"/>
    <cellStyle name="Normal 2 4 3 23 5" xfId="12692" xr:uid="{56971421-7B64-4406-AB04-E9172E77A4A1}"/>
    <cellStyle name="Normal 2 4 3 24" xfId="3864" xr:uid="{3164FAE1-6848-42F1-89A5-DE07E2468A70}"/>
    <cellStyle name="Normal 2 4 3 24 2" xfId="3865" xr:uid="{DFE44BA3-3FCE-4CC8-9B0C-B67DE9BDB218}"/>
    <cellStyle name="Normal 2 4 3 24 2 2" xfId="3866" xr:uid="{B8AB7A0A-1AC2-4AAC-8696-580C4B9DC5EC}"/>
    <cellStyle name="Normal 2 4 3 24 2 2 2" xfId="12700" xr:uid="{38A8D2A6-A9C6-4CFA-BEFE-25E063A235DB}"/>
    <cellStyle name="Normal 2 4 3 24 2 3" xfId="3867" xr:uid="{115F074F-D155-4DE7-AAEA-8F132154F4EA}"/>
    <cellStyle name="Normal 2 4 3 24 2 3 2" xfId="12701" xr:uid="{4FE9422E-2F53-41EB-BE4D-939FA1FDB15E}"/>
    <cellStyle name="Normal 2 4 3 24 2 4" xfId="12699" xr:uid="{7C113F5B-623F-47E4-95EE-FBD64BD6F026}"/>
    <cellStyle name="Normal 2 4 3 24 3" xfId="3868" xr:uid="{D0E9C128-325C-44C3-B71D-D6394CFD57DD}"/>
    <cellStyle name="Normal 2 4 3 24 3 2" xfId="12702" xr:uid="{6CE595D8-4530-4231-83BF-0F08A5BCC264}"/>
    <cellStyle name="Normal 2 4 3 24 4" xfId="3869" xr:uid="{60DC6A5F-B400-4762-A8A8-D441FC9C285F}"/>
    <cellStyle name="Normal 2 4 3 24 4 2" xfId="12703" xr:uid="{5F38BC87-30DD-43F2-BF91-E34E46ED5802}"/>
    <cellStyle name="Normal 2 4 3 24 5" xfId="12698" xr:uid="{3EBF7709-5C8A-4E16-9E3C-A4C9D2293381}"/>
    <cellStyle name="Normal 2 4 3 25" xfId="3870" xr:uid="{C42ED5D9-8C14-4BBC-BE87-FA340E826A69}"/>
    <cellStyle name="Normal 2 4 3 25 2" xfId="3871" xr:uid="{EF18D4BE-79FF-4DAA-B555-5AD22E9DDBCB}"/>
    <cellStyle name="Normal 2 4 3 25 2 2" xfId="3872" xr:uid="{B8596455-9F7D-479B-9D5F-6C733044DE1D}"/>
    <cellStyle name="Normal 2 4 3 25 2 2 2" xfId="12706" xr:uid="{2EE05DAD-27A5-42AD-9C19-0750082AE847}"/>
    <cellStyle name="Normal 2 4 3 25 2 3" xfId="3873" xr:uid="{7E9B9185-4F53-4B25-984C-D1278B218205}"/>
    <cellStyle name="Normal 2 4 3 25 2 3 2" xfId="12707" xr:uid="{BAF08DF9-7139-43AF-93B1-59D14999055F}"/>
    <cellStyle name="Normal 2 4 3 25 2 4" xfId="12705" xr:uid="{381C05D8-FB28-4A89-9C8C-91DD225EF3DA}"/>
    <cellStyle name="Normal 2 4 3 25 3" xfId="3874" xr:uid="{AD0B34CB-78A1-4CA3-80ED-B6DD107C3891}"/>
    <cellStyle name="Normal 2 4 3 25 3 2" xfId="12708" xr:uid="{60F15C87-57E0-4B96-9762-4F8E2297B2F3}"/>
    <cellStyle name="Normal 2 4 3 25 4" xfId="3875" xr:uid="{83340811-39A2-446E-8ED4-C7DE4CB2F249}"/>
    <cellStyle name="Normal 2 4 3 25 4 2" xfId="12709" xr:uid="{A61F9EE8-1C20-424D-ACAE-A2E8D3F47FC3}"/>
    <cellStyle name="Normal 2 4 3 25 5" xfId="12704" xr:uid="{AF343236-2A12-49E2-B796-4BC6A4BB9421}"/>
    <cellStyle name="Normal 2 4 3 26" xfId="3876" xr:uid="{3E6E7F14-500E-430D-8ECA-3267C2B2A3DB}"/>
    <cellStyle name="Normal 2 4 3 26 2" xfId="3877" xr:uid="{B369423B-AA37-4883-8C1D-5EBB393BF7BA}"/>
    <cellStyle name="Normal 2 4 3 26 2 2" xfId="3878" xr:uid="{F617951C-3861-4099-A967-58C99B1607C7}"/>
    <cellStyle name="Normal 2 4 3 26 2 2 2" xfId="12712" xr:uid="{8E3CA3F3-D1BD-40DF-B215-40C9F167D3F6}"/>
    <cellStyle name="Normal 2 4 3 26 2 3" xfId="3879" xr:uid="{F9B6EA90-BB6B-4BAC-BEC7-65F870CCABC6}"/>
    <cellStyle name="Normal 2 4 3 26 2 3 2" xfId="12713" xr:uid="{5D30200A-F8F5-4672-B54F-0E7A5440CA4F}"/>
    <cellStyle name="Normal 2 4 3 26 2 4" xfId="12711" xr:uid="{97122031-6D81-445F-BA27-BB3606994C6B}"/>
    <cellStyle name="Normal 2 4 3 26 3" xfId="3880" xr:uid="{A7DE20C8-7369-454E-9B54-DC214C93D964}"/>
    <cellStyle name="Normal 2 4 3 26 3 2" xfId="12714" xr:uid="{7DBA8053-CD12-4E2C-9D43-63E020D973C9}"/>
    <cellStyle name="Normal 2 4 3 26 4" xfId="3881" xr:uid="{B87CBB9B-69D3-4BC8-A7B2-14C64A41444D}"/>
    <cellStyle name="Normal 2 4 3 26 4 2" xfId="12715" xr:uid="{F031E082-FE05-4059-AED5-260D84EF5420}"/>
    <cellStyle name="Normal 2 4 3 26 5" xfId="12710" xr:uid="{76FEEACD-2961-4747-9BDC-51CC0EDD1D16}"/>
    <cellStyle name="Normal 2 4 3 27" xfId="3882" xr:uid="{C70E039B-0E68-49FA-8124-E695A8230716}"/>
    <cellStyle name="Normal 2 4 3 27 2" xfId="3883" xr:uid="{FD3D1D02-80F1-4572-9E7C-DDCF12CEF8F4}"/>
    <cellStyle name="Normal 2 4 3 27 2 2" xfId="3884" xr:uid="{7C9313BA-1EDA-4DEE-8AC5-DB9D43AE1A71}"/>
    <cellStyle name="Normal 2 4 3 27 2 2 2" xfId="12718" xr:uid="{7A2F6462-D3DC-4F50-B625-5857F89DCBC2}"/>
    <cellStyle name="Normal 2 4 3 27 2 3" xfId="3885" xr:uid="{9143F50F-84DF-42F8-BED8-834EA9CA9A75}"/>
    <cellStyle name="Normal 2 4 3 27 2 3 2" xfId="12719" xr:uid="{CA887658-472E-44CD-B6EE-BB1EB55F0C61}"/>
    <cellStyle name="Normal 2 4 3 27 2 4" xfId="12717" xr:uid="{F4D09B86-F73D-499F-A67A-D925BFC6880F}"/>
    <cellStyle name="Normal 2 4 3 27 3" xfId="3886" xr:uid="{C128E5A9-7B75-4929-8750-276099DF66A0}"/>
    <cellStyle name="Normal 2 4 3 27 3 2" xfId="12720" xr:uid="{993EBC6A-B883-4A45-863D-A875A7B3CFCB}"/>
    <cellStyle name="Normal 2 4 3 27 4" xfId="3887" xr:uid="{E7528AF0-E2DC-4572-BFB8-16083312C396}"/>
    <cellStyle name="Normal 2 4 3 27 4 2" xfId="12721" xr:uid="{1E4AFA1F-CA67-4E54-B1EA-9C4F374DE442}"/>
    <cellStyle name="Normal 2 4 3 27 5" xfId="12716" xr:uid="{C6596BA4-EBA2-4C87-9101-5A72410F18A5}"/>
    <cellStyle name="Normal 2 4 3 28" xfId="3888" xr:uid="{D7E30354-C2B3-40DD-AE13-B1DA77130489}"/>
    <cellStyle name="Normal 2 4 3 28 2" xfId="3889" xr:uid="{4665B7E5-01CB-4B8A-879D-CB9BB0C1560E}"/>
    <cellStyle name="Normal 2 4 3 28 2 2" xfId="3890" xr:uid="{30661C76-584A-4A5C-B7A4-0E5EBC67A0E4}"/>
    <cellStyle name="Normal 2 4 3 28 2 2 2" xfId="12724" xr:uid="{7A648EA0-EF7B-4900-B0C3-BB1D94799546}"/>
    <cellStyle name="Normal 2 4 3 28 2 3" xfId="3891" xr:uid="{3B17BEFF-B3EA-421B-93F8-7E8DA679FCED}"/>
    <cellStyle name="Normal 2 4 3 28 2 3 2" xfId="12725" xr:uid="{31BB92DD-6219-4863-8200-9B3E921F67D1}"/>
    <cellStyle name="Normal 2 4 3 28 2 4" xfId="12723" xr:uid="{54337F9B-7AA1-4249-B525-FBBBDB774AE9}"/>
    <cellStyle name="Normal 2 4 3 28 3" xfId="3892" xr:uid="{6C7BF1DD-A913-43F7-B80D-362F33E56FBB}"/>
    <cellStyle name="Normal 2 4 3 28 3 2" xfId="12726" xr:uid="{8173AC2B-258F-4E08-B2B2-F540E88C774F}"/>
    <cellStyle name="Normal 2 4 3 28 4" xfId="3893" xr:uid="{31C02F4F-A2B6-4082-A6E3-DAE87428F65F}"/>
    <cellStyle name="Normal 2 4 3 28 4 2" xfId="12727" xr:uid="{B626ED05-234F-4201-B559-FA3187CD15DE}"/>
    <cellStyle name="Normal 2 4 3 28 5" xfId="12722" xr:uid="{B33AEEEE-520B-4E6F-B4CE-50DBB1F98038}"/>
    <cellStyle name="Normal 2 4 3 29" xfId="3894" xr:uid="{59DC65C9-C9A0-419D-AD13-1191D2B1DFE1}"/>
    <cellStyle name="Normal 2 4 3 29 2" xfId="3895" xr:uid="{B323AEE9-ED71-4FA0-B44E-5E978C8FC271}"/>
    <cellStyle name="Normal 2 4 3 29 2 2" xfId="3896" xr:uid="{FAB44508-B429-422C-833A-5AE06088E4E8}"/>
    <cellStyle name="Normal 2 4 3 29 2 2 2" xfId="12730" xr:uid="{BDC3D238-626A-46EA-80C8-E8A722C5B4ED}"/>
    <cellStyle name="Normal 2 4 3 29 2 3" xfId="3897" xr:uid="{BBA83CD2-EAA6-4DB3-ADA5-BA24E1AA7FB8}"/>
    <cellStyle name="Normal 2 4 3 29 2 3 2" xfId="12731" xr:uid="{4D4BDD22-A9C0-45B3-8D81-63A8875B5D3F}"/>
    <cellStyle name="Normal 2 4 3 29 2 4" xfId="12729" xr:uid="{B206DEDA-34A2-4FFC-8BAA-35DD4B48C15A}"/>
    <cellStyle name="Normal 2 4 3 29 3" xfId="3898" xr:uid="{364CDC0F-92A3-49FF-9A35-4CE403EEDE07}"/>
    <cellStyle name="Normal 2 4 3 29 3 2" xfId="12732" xr:uid="{61513BEC-1E9C-4951-86CC-5F08AC339B11}"/>
    <cellStyle name="Normal 2 4 3 29 4" xfId="3899" xr:uid="{32D16482-CFCA-434A-B526-51B62169C2A8}"/>
    <cellStyle name="Normal 2 4 3 29 4 2" xfId="12733" xr:uid="{1CB3BCE0-3677-4635-9129-5BE7C41F8641}"/>
    <cellStyle name="Normal 2 4 3 29 5" xfId="12728" xr:uid="{BB69A9D4-99D5-4A51-A06F-AFFD6E9E86CD}"/>
    <cellStyle name="Normal 2 4 3 3" xfId="3900" xr:uid="{03BEDAF9-8BFB-4458-A8B6-173FCCFDF38A}"/>
    <cellStyle name="Normal 2 4 3 3 2" xfId="3901" xr:uid="{010172C2-D947-436E-BBE9-0F40838B23B3}"/>
    <cellStyle name="Normal 2 4 3 3 2 2" xfId="3902" xr:uid="{70C584E9-1D00-488C-8E84-A8C8B668BBF0}"/>
    <cellStyle name="Normal 2 4 3 3 2 2 2" xfId="12736" xr:uid="{312AFC6F-69EE-4B14-80F8-2693F14D63CD}"/>
    <cellStyle name="Normal 2 4 3 3 2 3" xfId="3903" xr:uid="{08FBE1DD-76D4-44EC-AAAB-B4E03E2B23CE}"/>
    <cellStyle name="Normal 2 4 3 3 2 3 2" xfId="12737" xr:uid="{8B30CB10-B24B-43C2-AFE8-5AF013800FC6}"/>
    <cellStyle name="Normal 2 4 3 3 2 4" xfId="12735" xr:uid="{D5815927-F773-4946-AD2C-24EC3AE8BBB3}"/>
    <cellStyle name="Normal 2 4 3 3 3" xfId="3904" xr:uid="{07CFA022-20D0-4BA2-9E7A-4D3457061B9E}"/>
    <cellStyle name="Normal 2 4 3 3 3 2" xfId="12738" xr:uid="{5DA66A94-978B-451B-ABE1-5489A7C597E0}"/>
    <cellStyle name="Normal 2 4 3 3 4" xfId="3905" xr:uid="{30B222FD-A195-4D7A-B741-539BD5A7B94C}"/>
    <cellStyle name="Normal 2 4 3 3 4 2" xfId="12739" xr:uid="{D11360AD-06E7-47E3-A960-6A69ACDD3D94}"/>
    <cellStyle name="Normal 2 4 3 3 5" xfId="12734" xr:uid="{220C3A07-04FE-4164-8D0B-5B84007EB2F3}"/>
    <cellStyle name="Normal 2 4 3 30" xfId="3906" xr:uid="{C7DECE5E-24C5-4EA9-B5AB-40731B2F53D8}"/>
    <cellStyle name="Normal 2 4 3 30 2" xfId="3907" xr:uid="{4E352FBC-EF73-41BB-B24E-D6F1F5080A45}"/>
    <cellStyle name="Normal 2 4 3 30 2 2" xfId="3908" xr:uid="{7964FAA8-2E8F-4724-8CFF-02FEBD592A49}"/>
    <cellStyle name="Normal 2 4 3 30 2 2 2" xfId="12742" xr:uid="{CBFB42BB-F581-45B9-A801-423023DBE1DF}"/>
    <cellStyle name="Normal 2 4 3 30 2 3" xfId="3909" xr:uid="{9E0151E9-58B6-4835-83B3-8FCC3C3EC2BE}"/>
    <cellStyle name="Normal 2 4 3 30 2 3 2" xfId="12743" xr:uid="{BF79A374-B8B2-4521-BA8B-A9452C0CA720}"/>
    <cellStyle name="Normal 2 4 3 30 2 4" xfId="12741" xr:uid="{F3A4B8AE-8655-4F78-AC7A-E836B008B371}"/>
    <cellStyle name="Normal 2 4 3 30 3" xfId="3910" xr:uid="{8042E365-FEA2-4D0B-A6C0-CC5CACCBEBAB}"/>
    <cellStyle name="Normal 2 4 3 30 3 2" xfId="12744" xr:uid="{B20442CD-BEE2-4898-B958-64E6C56D5DB0}"/>
    <cellStyle name="Normal 2 4 3 30 4" xfId="3911" xr:uid="{C2A7C3CC-3C0A-490B-AB36-ACF1DF3D34BE}"/>
    <cellStyle name="Normal 2 4 3 30 4 2" xfId="12745" xr:uid="{78E3A89D-7864-427B-8EF5-3BD439507207}"/>
    <cellStyle name="Normal 2 4 3 30 5" xfId="12740" xr:uid="{8453A3B1-3641-4FF3-90EB-42F14777E22A}"/>
    <cellStyle name="Normal 2 4 3 31" xfId="3912" xr:uid="{B2E12BC8-3AB4-465F-B122-D8AC5B38FA62}"/>
    <cellStyle name="Normal 2 4 3 31 2" xfId="3913" xr:uid="{59330FFE-5456-4C74-865A-1B69ABF1B6B9}"/>
    <cellStyle name="Normal 2 4 3 31 2 2" xfId="3914" xr:uid="{583ABC42-4128-4F2F-BC06-B26C0C49B718}"/>
    <cellStyle name="Normal 2 4 3 31 2 2 2" xfId="12748" xr:uid="{E2F917E2-6D89-4A57-8798-3BCD7109A7B9}"/>
    <cellStyle name="Normal 2 4 3 31 2 3" xfId="3915" xr:uid="{269CCEC9-B556-41C0-BF35-240711ECC755}"/>
    <cellStyle name="Normal 2 4 3 31 2 3 2" xfId="12749" xr:uid="{90F13A4A-C943-4A20-815D-99961FE1B69C}"/>
    <cellStyle name="Normal 2 4 3 31 2 4" xfId="12747" xr:uid="{2CC68065-2B6B-40F7-BC15-F5A07360E43D}"/>
    <cellStyle name="Normal 2 4 3 31 3" xfId="3916" xr:uid="{7E9EB5B2-E108-4CC3-ACA6-114BCD4EF2B8}"/>
    <cellStyle name="Normal 2 4 3 31 3 2" xfId="12750" xr:uid="{B46ADC50-34DE-4554-BE59-06D4140492D8}"/>
    <cellStyle name="Normal 2 4 3 31 4" xfId="3917" xr:uid="{7A000655-BC9E-4710-91F8-24C1E1A4389E}"/>
    <cellStyle name="Normal 2 4 3 31 4 2" xfId="12751" xr:uid="{387B4C79-5F77-4BD7-9E1D-771453AA3CA3}"/>
    <cellStyle name="Normal 2 4 3 31 5" xfId="12746" xr:uid="{1A525E11-934E-4B8D-BAED-4273B4990B0B}"/>
    <cellStyle name="Normal 2 4 3 32" xfId="3918" xr:uid="{B76DD525-C59C-46E2-8DB1-12D2D5B98397}"/>
    <cellStyle name="Normal 2 4 3 32 2" xfId="3919" xr:uid="{F6AB340E-8DA6-4A71-ABC4-459A5776FFA0}"/>
    <cellStyle name="Normal 2 4 3 32 2 2" xfId="3920" xr:uid="{8A94A8D3-EA52-40ED-85D6-60687A33DA60}"/>
    <cellStyle name="Normal 2 4 3 32 2 2 2" xfId="12754" xr:uid="{0425C9C3-EE96-4996-A2CB-A539A7410A4B}"/>
    <cellStyle name="Normal 2 4 3 32 2 3" xfId="3921" xr:uid="{94C76C88-65A8-48C2-A31D-F37789C24321}"/>
    <cellStyle name="Normal 2 4 3 32 2 3 2" xfId="12755" xr:uid="{5FB1DAD8-D57B-4816-BD90-60787F67386D}"/>
    <cellStyle name="Normal 2 4 3 32 2 4" xfId="12753" xr:uid="{FD61114D-4F48-45A4-A5DB-3FDED160B8EF}"/>
    <cellStyle name="Normal 2 4 3 32 3" xfId="3922" xr:uid="{05ADF2B2-51BE-451D-AAB4-116E5B8D53A8}"/>
    <cellStyle name="Normal 2 4 3 32 3 2" xfId="12756" xr:uid="{02F5A55C-2D64-44D0-A64A-3BEED4885D68}"/>
    <cellStyle name="Normal 2 4 3 32 4" xfId="3923" xr:uid="{61173518-46E0-443A-912B-BDA6D3DA6871}"/>
    <cellStyle name="Normal 2 4 3 32 4 2" xfId="12757" xr:uid="{C2EF35F2-E8BF-4510-99BE-CB50479A47B5}"/>
    <cellStyle name="Normal 2 4 3 32 5" xfId="12752" xr:uid="{28DE49C3-FF0C-43FD-AA1D-CB8A305776B7}"/>
    <cellStyle name="Normal 2 4 3 33" xfId="3924" xr:uid="{7C9BDFA9-0C10-49BE-8F41-6EAAFE1097EA}"/>
    <cellStyle name="Normal 2 4 3 33 2" xfId="3925" xr:uid="{A0ADAFEA-26E7-457F-ADA8-42388C89C83D}"/>
    <cellStyle name="Normal 2 4 3 33 2 2" xfId="3926" xr:uid="{CD7CC36E-7EDD-4983-A556-C39DC1C688E8}"/>
    <cellStyle name="Normal 2 4 3 33 2 2 2" xfId="12760" xr:uid="{C7EF5B05-0377-4E39-BCEB-9D216A65EC3E}"/>
    <cellStyle name="Normal 2 4 3 33 2 3" xfId="3927" xr:uid="{76703512-2776-4446-AAEE-9D7AB705A655}"/>
    <cellStyle name="Normal 2 4 3 33 2 3 2" xfId="12761" xr:uid="{0921DF52-1CE3-40C1-B38E-70E956A368B8}"/>
    <cellStyle name="Normal 2 4 3 33 2 4" xfId="12759" xr:uid="{0A777ABC-F0D7-4A9B-BAA2-84D976FF1DEA}"/>
    <cellStyle name="Normal 2 4 3 33 3" xfId="3928" xr:uid="{44B5F30C-6164-479A-A312-8AF34272D83D}"/>
    <cellStyle name="Normal 2 4 3 33 3 2" xfId="12762" xr:uid="{0066168F-E7E0-4357-8BC2-A76077A1892A}"/>
    <cellStyle name="Normal 2 4 3 33 4" xfId="3929" xr:uid="{0376F393-1311-44D3-8BCE-1C8D7B5AC77E}"/>
    <cellStyle name="Normal 2 4 3 33 4 2" xfId="12763" xr:uid="{8A4F18FC-38C6-47C4-A187-AF1739168348}"/>
    <cellStyle name="Normal 2 4 3 33 5" xfId="12758" xr:uid="{3FF94509-0F6C-4CE9-A7B8-53C52EC45963}"/>
    <cellStyle name="Normal 2 4 3 34" xfId="3930" xr:uid="{5B4314A9-A846-429C-BD2E-724A253019A9}"/>
    <cellStyle name="Normal 2 4 3 34 2" xfId="3931" xr:uid="{A78146CD-A60D-47C6-B5F5-E0C12D2D6E64}"/>
    <cellStyle name="Normal 2 4 3 34 2 2" xfId="3932" xr:uid="{32132C18-5CF7-40AE-B21A-B59F2D3D56A8}"/>
    <cellStyle name="Normal 2 4 3 34 2 2 2" xfId="12766" xr:uid="{B4CB6107-3BAA-44D2-8C30-2B2E9C65B002}"/>
    <cellStyle name="Normal 2 4 3 34 2 3" xfId="3933" xr:uid="{2E81A672-FA5F-4986-8477-FE9073C42586}"/>
    <cellStyle name="Normal 2 4 3 34 2 3 2" xfId="12767" xr:uid="{59436190-88C9-414A-80A0-0E1260F8EB6A}"/>
    <cellStyle name="Normal 2 4 3 34 2 4" xfId="12765" xr:uid="{AE3CA5E9-8962-4F21-B044-F6799FF91B11}"/>
    <cellStyle name="Normal 2 4 3 34 3" xfId="3934" xr:uid="{FDCB4A69-744C-432C-8B3D-078895FD042F}"/>
    <cellStyle name="Normal 2 4 3 34 3 2" xfId="12768" xr:uid="{8307AC48-B0F6-4D33-A27E-C5206DA34195}"/>
    <cellStyle name="Normal 2 4 3 34 4" xfId="3935" xr:uid="{A542EC81-C6CB-4392-9D6D-EFF8EEC611AA}"/>
    <cellStyle name="Normal 2 4 3 34 4 2" xfId="12769" xr:uid="{D81AB205-3C9F-4AD9-8793-DD84A4A35B3A}"/>
    <cellStyle name="Normal 2 4 3 34 5" xfId="12764" xr:uid="{B09B8604-2C65-45B9-8FEE-5C149BA2C47F}"/>
    <cellStyle name="Normal 2 4 3 35" xfId="3936" xr:uid="{189BDEDF-2381-4FB4-802A-B92A2BF5D026}"/>
    <cellStyle name="Normal 2 4 3 35 2" xfId="3937" xr:uid="{B6282C4C-C062-48C7-8B6A-AE4DC56B5FBB}"/>
    <cellStyle name="Normal 2 4 3 35 2 2" xfId="3938" xr:uid="{F178D4C0-C99C-44A2-A565-AFBCFAB3810E}"/>
    <cellStyle name="Normal 2 4 3 35 2 2 2" xfId="12772" xr:uid="{653DFA2E-6B2E-4415-938A-7DBECC7B3B2B}"/>
    <cellStyle name="Normal 2 4 3 35 2 3" xfId="3939" xr:uid="{A2CA8197-0200-47B6-8798-55756A9862FA}"/>
    <cellStyle name="Normal 2 4 3 35 2 3 2" xfId="12773" xr:uid="{F643BCE4-E695-4FB5-892F-E2B19624A87E}"/>
    <cellStyle name="Normal 2 4 3 35 2 4" xfId="12771" xr:uid="{11A45A30-0A85-4360-BC60-9F1B3C36243C}"/>
    <cellStyle name="Normal 2 4 3 35 3" xfId="3940" xr:uid="{77AE6B30-A1FA-4E2A-A7BC-46B81D33F9C5}"/>
    <cellStyle name="Normal 2 4 3 35 3 2" xfId="12774" xr:uid="{DB2CC04A-17BB-444E-9D09-4210F0AE66FE}"/>
    <cellStyle name="Normal 2 4 3 35 4" xfId="3941" xr:uid="{1F4A7F7D-386B-4AA6-AAA8-961E1263EED7}"/>
    <cellStyle name="Normal 2 4 3 35 4 2" xfId="12775" xr:uid="{D8D89AA7-57B8-4F69-9E46-07DEB1FAEC36}"/>
    <cellStyle name="Normal 2 4 3 35 5" xfId="12770" xr:uid="{C45061BB-40AE-4550-A23C-C87FF15E38F4}"/>
    <cellStyle name="Normal 2 4 3 36" xfId="3942" xr:uid="{41AF676B-B779-4891-ACA6-84050EFCFA09}"/>
    <cellStyle name="Normal 2 4 3 36 2" xfId="3943" xr:uid="{94D9138F-6452-4F40-8971-69826E3DBFB0}"/>
    <cellStyle name="Normal 2 4 3 36 2 2" xfId="3944" xr:uid="{A2275B75-79D1-4658-B349-2FEE24FBBC98}"/>
    <cellStyle name="Normal 2 4 3 36 2 2 2" xfId="12778" xr:uid="{1F3FD465-B8F9-4A96-91CB-DF7AFF2D9EB0}"/>
    <cellStyle name="Normal 2 4 3 36 2 3" xfId="3945" xr:uid="{6A4DCF71-A9FC-410D-9A54-A7C132641D33}"/>
    <cellStyle name="Normal 2 4 3 36 2 3 2" xfId="12779" xr:uid="{256967BF-486A-4EF0-A2B5-1419B52D9D83}"/>
    <cellStyle name="Normal 2 4 3 36 2 4" xfId="12777" xr:uid="{9F8341F8-E1E1-47CC-A87A-749019EE2875}"/>
    <cellStyle name="Normal 2 4 3 36 3" xfId="3946" xr:uid="{42EFB02B-0BCA-49D6-B08A-431EB4031832}"/>
    <cellStyle name="Normal 2 4 3 36 3 2" xfId="12780" xr:uid="{ABDB6446-F7FE-4A71-89EA-B31CA1169C40}"/>
    <cellStyle name="Normal 2 4 3 36 4" xfId="3947" xr:uid="{EBF49E18-670B-4350-9923-6AC895F498DA}"/>
    <cellStyle name="Normal 2 4 3 36 4 2" xfId="12781" xr:uid="{8722CC99-E1F8-4981-A12F-4C41CD7ECEDB}"/>
    <cellStyle name="Normal 2 4 3 36 5" xfId="12776" xr:uid="{D3FEFDDE-2CBE-4C55-80AA-A6DF7EE763CE}"/>
    <cellStyle name="Normal 2 4 3 37" xfId="3948" xr:uid="{100CA398-4F2B-477D-B0A4-055AE08B6CC1}"/>
    <cellStyle name="Normal 2 4 3 37 2" xfId="3949" xr:uid="{3DCF575D-0D05-4B0D-8173-FD20C2ADC4B3}"/>
    <cellStyle name="Normal 2 4 3 37 2 2" xfId="3950" xr:uid="{642D86AB-99A4-496B-97D6-9E982FC51471}"/>
    <cellStyle name="Normal 2 4 3 37 2 2 2" xfId="12784" xr:uid="{3A661D05-AE30-4B08-8F29-F86A79DBFA3E}"/>
    <cellStyle name="Normal 2 4 3 37 2 3" xfId="3951" xr:uid="{37B8A024-7C93-499B-B32E-1CC8123B8299}"/>
    <cellStyle name="Normal 2 4 3 37 2 3 2" xfId="12785" xr:uid="{03743847-5750-41F0-B487-44F83E27DFE0}"/>
    <cellStyle name="Normal 2 4 3 37 2 4" xfId="12783" xr:uid="{6781ECDE-7F5C-4D66-BB64-A06EF128BC2F}"/>
    <cellStyle name="Normal 2 4 3 37 3" xfId="3952" xr:uid="{D74C3681-F3E5-4DAB-97BE-49DD8E65DEBA}"/>
    <cellStyle name="Normal 2 4 3 37 3 2" xfId="12786" xr:uid="{E156C306-9D2E-477E-A858-6E4CDBD8FAFB}"/>
    <cellStyle name="Normal 2 4 3 37 4" xfId="3953" xr:uid="{0C05E4E3-B6FA-4413-AEC9-A4304C2E4968}"/>
    <cellStyle name="Normal 2 4 3 37 4 2" xfId="12787" xr:uid="{B529EC81-DD61-4240-ADB8-0F588D4FE398}"/>
    <cellStyle name="Normal 2 4 3 37 5" xfId="12782" xr:uid="{42F1A8E8-F0D1-4D0C-BBF6-1A6711B9861E}"/>
    <cellStyle name="Normal 2 4 3 38" xfId="3954" xr:uid="{94A8A952-4960-4418-BF05-8B5F4D67766D}"/>
    <cellStyle name="Normal 2 4 3 38 2" xfId="3955" xr:uid="{14D4A050-FEC5-4088-8174-9F4A78C9AEC8}"/>
    <cellStyle name="Normal 2 4 3 38 2 2" xfId="3956" xr:uid="{F7A0960B-3060-48E7-A5E4-D43DC8BBC86D}"/>
    <cellStyle name="Normal 2 4 3 38 2 2 2" xfId="12790" xr:uid="{16A906AD-B5CE-4867-B323-1E9C4F9CDC86}"/>
    <cellStyle name="Normal 2 4 3 38 2 3" xfId="3957" xr:uid="{45DDF9B1-0EA8-465E-B1B0-88D429A7C4AD}"/>
    <cellStyle name="Normal 2 4 3 38 2 3 2" xfId="12791" xr:uid="{AC0FBE8E-2048-43A1-9D43-C19ECBE1F448}"/>
    <cellStyle name="Normal 2 4 3 38 2 4" xfId="12789" xr:uid="{23646239-10A2-43A5-8903-8F75947FF88D}"/>
    <cellStyle name="Normal 2 4 3 38 3" xfId="3958" xr:uid="{B0A4871B-492B-4A30-9BE3-3977DCA707C4}"/>
    <cellStyle name="Normal 2 4 3 38 3 2" xfId="12792" xr:uid="{7EEE0A39-E2BC-40CF-B076-BF9CBC41C506}"/>
    <cellStyle name="Normal 2 4 3 38 4" xfId="3959" xr:uid="{0C9FE287-D19A-420F-BB7B-39F77AD2166B}"/>
    <cellStyle name="Normal 2 4 3 38 4 2" xfId="12793" xr:uid="{E5E4CC91-4ADA-4EA6-9D31-42A6067BD52F}"/>
    <cellStyle name="Normal 2 4 3 38 5" xfId="12788" xr:uid="{FC7CE000-CF34-42FF-A3A3-04DFFB6C5D02}"/>
    <cellStyle name="Normal 2 4 3 39" xfId="3960" xr:uid="{11F4B298-E2DE-419B-BFA2-819F68B396B5}"/>
    <cellStyle name="Normal 2 4 3 39 2" xfId="3961" xr:uid="{BEB169C6-F8AB-4067-AE9B-849CD4DC6E46}"/>
    <cellStyle name="Normal 2 4 3 39 2 2" xfId="3962" xr:uid="{EB0C2BF7-0E0C-4F91-A03A-97A7D16E244E}"/>
    <cellStyle name="Normal 2 4 3 39 2 2 2" xfId="12796" xr:uid="{0DB647EB-1B5E-4A4C-BFB0-1EDC5FAE0CA8}"/>
    <cellStyle name="Normal 2 4 3 39 2 3" xfId="3963" xr:uid="{72EBC9D5-6DF5-46D7-AEA9-85B73A78C1AF}"/>
    <cellStyle name="Normal 2 4 3 39 2 3 2" xfId="12797" xr:uid="{59FC946B-34F5-44AC-AD3E-6C60685FB1A9}"/>
    <cellStyle name="Normal 2 4 3 39 2 4" xfId="12795" xr:uid="{E06002C5-9571-47D9-8F4D-728265DDF5C6}"/>
    <cellStyle name="Normal 2 4 3 39 3" xfId="3964" xr:uid="{5DBA52B3-CD0D-486B-83F1-6B0471EBC721}"/>
    <cellStyle name="Normal 2 4 3 39 3 2" xfId="12798" xr:uid="{4E81F34F-151F-4FB7-A966-5BE36575F5DF}"/>
    <cellStyle name="Normal 2 4 3 39 4" xfId="3965" xr:uid="{3AFD2154-80AD-46D2-A8A3-87DA6759EA72}"/>
    <cellStyle name="Normal 2 4 3 39 4 2" xfId="12799" xr:uid="{CD64A899-0C0C-46BC-9D71-34112A57134F}"/>
    <cellStyle name="Normal 2 4 3 39 5" xfId="12794" xr:uid="{F62F98AA-395A-4750-B879-235A7C6922F9}"/>
    <cellStyle name="Normal 2 4 3 4" xfId="3966" xr:uid="{5124D21C-0583-4B19-A717-0D4D1AB50C85}"/>
    <cellStyle name="Normal 2 4 3 4 2" xfId="3967" xr:uid="{25417B9B-DAB6-44F4-A1F0-A24FF47B1486}"/>
    <cellStyle name="Normal 2 4 3 4 2 2" xfId="3968" xr:uid="{200D8880-FB2F-4C83-BBBD-4A4041BC0BE2}"/>
    <cellStyle name="Normal 2 4 3 4 2 2 2" xfId="12802" xr:uid="{FC09869E-3478-4B67-84B2-452D02CB9319}"/>
    <cellStyle name="Normal 2 4 3 4 2 3" xfId="3969" xr:uid="{280840CC-D3B3-4657-882D-65FD93D94F17}"/>
    <cellStyle name="Normal 2 4 3 4 2 3 2" xfId="12803" xr:uid="{885006E4-2B80-4B4D-A06F-4A6E0B3A828E}"/>
    <cellStyle name="Normal 2 4 3 4 2 4" xfId="12801" xr:uid="{674351EF-203D-4A1F-8800-44B25198DF75}"/>
    <cellStyle name="Normal 2 4 3 4 3" xfId="3970" xr:uid="{4D97F858-9305-42A2-902A-CBAAB5D7EC48}"/>
    <cellStyle name="Normal 2 4 3 4 3 2" xfId="12804" xr:uid="{0CEA371F-A226-446C-B0F4-F303DA8B1B10}"/>
    <cellStyle name="Normal 2 4 3 4 4" xfId="3971" xr:uid="{873ACF79-BA63-48DB-9B08-B43F8A0F608D}"/>
    <cellStyle name="Normal 2 4 3 4 4 2" xfId="12805" xr:uid="{6A14BE7B-E3C2-4F45-987F-68F8E3117D82}"/>
    <cellStyle name="Normal 2 4 3 4 5" xfId="12800" xr:uid="{D21AD8D0-A642-40A7-A3AD-15180BB74520}"/>
    <cellStyle name="Normal 2 4 3 40" xfId="3972" xr:uid="{39BDDEBC-05A8-4A98-A549-79C270656F91}"/>
    <cellStyle name="Normal 2 4 3 40 2" xfId="3973" xr:uid="{2F86B988-039E-41E6-8C06-1A920028F682}"/>
    <cellStyle name="Normal 2 4 3 40 2 2" xfId="3974" xr:uid="{190E7CA7-27EC-48AC-8E99-94EF760D1BA5}"/>
    <cellStyle name="Normal 2 4 3 40 2 2 2" xfId="12808" xr:uid="{F77036FA-0061-41AB-98DC-A3C0E21C92F0}"/>
    <cellStyle name="Normal 2 4 3 40 2 3" xfId="3975" xr:uid="{F4D31E2A-6FAA-4BB2-8469-640320281159}"/>
    <cellStyle name="Normal 2 4 3 40 2 3 2" xfId="12809" xr:uid="{8725B6EA-AD17-4F82-9935-7D68CCD30A71}"/>
    <cellStyle name="Normal 2 4 3 40 2 4" xfId="12807" xr:uid="{B361A8D3-C9ED-4AFB-B6AA-548C7F68EC6B}"/>
    <cellStyle name="Normal 2 4 3 40 3" xfId="3976" xr:uid="{1FAA7351-09B0-4075-8242-D4D06ADC93FE}"/>
    <cellStyle name="Normal 2 4 3 40 3 2" xfId="12810" xr:uid="{CAF4AE91-8652-4478-B080-B8D2FFF32388}"/>
    <cellStyle name="Normal 2 4 3 40 4" xfId="3977" xr:uid="{DB911311-4FF5-4822-BCCA-C54294BF9287}"/>
    <cellStyle name="Normal 2 4 3 40 4 2" xfId="12811" xr:uid="{8DC5FF36-B73F-4F53-8BC8-AE57EE838FD1}"/>
    <cellStyle name="Normal 2 4 3 40 5" xfId="12806" xr:uid="{1DE472CB-B93E-4661-88A1-069FA0014B3F}"/>
    <cellStyle name="Normal 2 4 3 41" xfId="3978" xr:uid="{ACF23CA2-0DE3-4A97-B521-39E38AA071F2}"/>
    <cellStyle name="Normal 2 4 3 41 2" xfId="3979" xr:uid="{AD0AC7C0-F924-4544-ABFD-DB97B1A390E6}"/>
    <cellStyle name="Normal 2 4 3 41 2 2" xfId="3980" xr:uid="{DDB91401-68B0-49D3-9F0D-C84E16C95E52}"/>
    <cellStyle name="Normal 2 4 3 41 2 2 2" xfId="12814" xr:uid="{198D2793-4E7A-470F-A395-CCCAED6DED26}"/>
    <cellStyle name="Normal 2 4 3 41 2 3" xfId="3981" xr:uid="{41C49D83-EBA0-4714-9852-989F34CB1C61}"/>
    <cellStyle name="Normal 2 4 3 41 2 3 2" xfId="12815" xr:uid="{1AA2B238-F8AA-410B-894F-F7280FA4C102}"/>
    <cellStyle name="Normal 2 4 3 41 2 4" xfId="12813" xr:uid="{8DD1E1EF-5DAD-4CDA-9338-94A5EB057FD1}"/>
    <cellStyle name="Normal 2 4 3 41 3" xfId="3982" xr:uid="{3488CE9E-4D8C-4CDE-A886-B8008EA4CF10}"/>
    <cellStyle name="Normal 2 4 3 41 3 2" xfId="12816" xr:uid="{B4CFF69E-022E-49B9-A0CC-049D9BB413C9}"/>
    <cellStyle name="Normal 2 4 3 41 4" xfId="3983" xr:uid="{5454ED4B-0A0F-4660-8C5C-639D8047AAA7}"/>
    <cellStyle name="Normal 2 4 3 41 4 2" xfId="12817" xr:uid="{0DEF2A1B-7A7A-4D79-BB72-FE89CAF71D60}"/>
    <cellStyle name="Normal 2 4 3 41 5" xfId="12812" xr:uid="{2912FE3F-86F8-4DAB-B297-B70C82B6936A}"/>
    <cellStyle name="Normal 2 4 3 42" xfId="3984" xr:uid="{4E47AAF1-3686-4C96-9F90-9C5F65BFAB6B}"/>
    <cellStyle name="Normal 2 4 3 42 2" xfId="3985" xr:uid="{77C3CD44-81D7-4295-9A31-6C9BE4D492D7}"/>
    <cellStyle name="Normal 2 4 3 42 2 2" xfId="3986" xr:uid="{DEB485B0-E2E1-46A0-A3F7-F8FC95CD01A2}"/>
    <cellStyle name="Normal 2 4 3 42 2 2 2" xfId="12820" xr:uid="{A33CAD02-3844-4724-9161-35FD7F45F8E7}"/>
    <cellStyle name="Normal 2 4 3 42 2 3" xfId="3987" xr:uid="{808E9B16-6B49-41DA-941E-D8CBD4B54FE4}"/>
    <cellStyle name="Normal 2 4 3 42 2 3 2" xfId="12821" xr:uid="{4AD5E8BC-AB2E-43C1-9E1A-D5DB62CCF7A2}"/>
    <cellStyle name="Normal 2 4 3 42 2 4" xfId="12819" xr:uid="{B3601513-DB6B-4977-B6D7-7D5FD85FF5FC}"/>
    <cellStyle name="Normal 2 4 3 42 3" xfId="3988" xr:uid="{F72E312A-6F56-404A-8FE6-7F5915E94592}"/>
    <cellStyle name="Normal 2 4 3 42 3 2" xfId="12822" xr:uid="{16A80589-3600-4CD6-AFEC-F620D15434B6}"/>
    <cellStyle name="Normal 2 4 3 42 4" xfId="3989" xr:uid="{3409791F-21EA-446E-A648-41BBDA623F68}"/>
    <cellStyle name="Normal 2 4 3 42 4 2" xfId="12823" xr:uid="{336C8D1A-6317-4690-A07E-D5DD07293699}"/>
    <cellStyle name="Normal 2 4 3 42 5" xfId="12818" xr:uid="{068B1D26-C938-48C5-A5A2-799EC2DE04D4}"/>
    <cellStyle name="Normal 2 4 3 43" xfId="3990" xr:uid="{335C634B-CEB8-42EE-B5BA-8F7916D39C3D}"/>
    <cellStyle name="Normal 2 4 3 43 2" xfId="3991" xr:uid="{387B9397-5224-4C56-9E6B-E8A056C8E822}"/>
    <cellStyle name="Normal 2 4 3 43 2 2" xfId="3992" xr:uid="{0665D52B-B866-4391-B45D-324E02D8932D}"/>
    <cellStyle name="Normal 2 4 3 43 2 2 2" xfId="12826" xr:uid="{488659A5-2266-4A18-AC91-B57EA9762646}"/>
    <cellStyle name="Normal 2 4 3 43 2 3" xfId="3993" xr:uid="{5333AA04-CCF3-4148-BDFD-10EA90FC205A}"/>
    <cellStyle name="Normal 2 4 3 43 2 3 2" xfId="12827" xr:uid="{4457A130-A2A4-46EF-B289-E4D37408578A}"/>
    <cellStyle name="Normal 2 4 3 43 2 4" xfId="12825" xr:uid="{7B1E1150-797B-4C15-9D9C-02E3D99B81CB}"/>
    <cellStyle name="Normal 2 4 3 43 3" xfId="3994" xr:uid="{416FC034-D9C8-40F2-95A6-2BED957D0B93}"/>
    <cellStyle name="Normal 2 4 3 43 3 2" xfId="12828" xr:uid="{0D8C2FEF-8E8F-403E-8AA0-5B09D54EB053}"/>
    <cellStyle name="Normal 2 4 3 43 4" xfId="3995" xr:uid="{76F6ED1B-15AA-4CE3-9A2C-AB351654012A}"/>
    <cellStyle name="Normal 2 4 3 43 4 2" xfId="12829" xr:uid="{059D5706-26A2-4BFD-94E8-EA8C4A620207}"/>
    <cellStyle name="Normal 2 4 3 43 5" xfId="12824" xr:uid="{602C66CC-5673-4803-A9D8-7CD0FC82A3BF}"/>
    <cellStyle name="Normal 2 4 3 44" xfId="3996" xr:uid="{3BF54560-9E8A-4E4D-9C64-3870FCEF4FBE}"/>
    <cellStyle name="Normal 2 4 3 44 2" xfId="3997" xr:uid="{D2EFD823-B09B-4219-AA27-F9A653307660}"/>
    <cellStyle name="Normal 2 4 3 44 2 2" xfId="12831" xr:uid="{B88D8049-B490-4BFA-AF89-93260DC0C037}"/>
    <cellStyle name="Normal 2 4 3 44 3" xfId="3998" xr:uid="{6AD2C9DB-B5B8-4734-BE3D-187D32F375C1}"/>
    <cellStyle name="Normal 2 4 3 44 3 2" xfId="12832" xr:uid="{3935AE38-250B-4F08-9B53-6EE97C5B54AF}"/>
    <cellStyle name="Normal 2 4 3 44 4" xfId="12830" xr:uid="{CDB5510E-7EEF-4DDE-8202-91DE77171599}"/>
    <cellStyle name="Normal 2 4 3 45" xfId="3999" xr:uid="{EBDA343B-713B-45AA-B815-E2B3A62AFDB4}"/>
    <cellStyle name="Normal 2 4 3 45 2" xfId="12833" xr:uid="{1E377AEC-E354-438B-AC20-EF62E958B061}"/>
    <cellStyle name="Normal 2 4 3 46" xfId="4000" xr:uid="{D14EFA3F-3BA3-4252-B5AA-F11F5B53AB3D}"/>
    <cellStyle name="Normal 2 4 3 46 2" xfId="12834" xr:uid="{7EC7965A-7BCC-48F2-A3CF-7C23F89CD970}"/>
    <cellStyle name="Normal 2 4 3 47" xfId="4001" xr:uid="{D7B88571-23F1-48B2-8B83-24B50042BD42}"/>
    <cellStyle name="Normal 2 4 3 48" xfId="4002" xr:uid="{14F36B97-43BC-41C0-98A4-BC613395F72D}"/>
    <cellStyle name="Normal 2 4 3 48 2" xfId="12835" xr:uid="{66047D49-2A12-48EC-B2D0-B6ED0B30D313}"/>
    <cellStyle name="Normal 2 4 3 49" xfId="4003" xr:uid="{444B8509-92CF-410F-8DDD-F6D53E4D9730}"/>
    <cellStyle name="Normal 2 4 3 5" xfId="4004" xr:uid="{9CCB61E5-68C4-4806-B220-41FA57AECD0C}"/>
    <cellStyle name="Normal 2 4 3 5 2" xfId="4005" xr:uid="{B0A39BE3-203D-4AFC-A626-59036CF32EC9}"/>
    <cellStyle name="Normal 2 4 3 5 2 2" xfId="4006" xr:uid="{D55D6BF6-CE0B-4C7D-8332-02D23EC34999}"/>
    <cellStyle name="Normal 2 4 3 5 2 2 2" xfId="12838" xr:uid="{B0B788FF-C319-4A13-8EB4-C52538A018E7}"/>
    <cellStyle name="Normal 2 4 3 5 2 3" xfId="4007" xr:uid="{44D50969-DF7C-4594-BFA5-025E5D5B24D2}"/>
    <cellStyle name="Normal 2 4 3 5 2 3 2" xfId="12839" xr:uid="{9E2F914C-71D7-4CFE-B121-FC28113DDB17}"/>
    <cellStyle name="Normal 2 4 3 5 2 4" xfId="12837" xr:uid="{BE15A9F8-E74F-4428-B3F4-FE0926EDE839}"/>
    <cellStyle name="Normal 2 4 3 5 3" xfId="4008" xr:uid="{BCB05A2D-C0DE-4B5C-9E20-D2E46B7A7925}"/>
    <cellStyle name="Normal 2 4 3 5 3 2" xfId="12840" xr:uid="{404BAB7A-7BED-4C3D-A5F1-AFBA07E91253}"/>
    <cellStyle name="Normal 2 4 3 5 4" xfId="4009" xr:uid="{EEBE126E-7559-4C89-8CC2-2E3085264F0A}"/>
    <cellStyle name="Normal 2 4 3 5 4 2" xfId="12841" xr:uid="{C57955D0-BBDD-45BF-B778-F7D47AC3DEB3}"/>
    <cellStyle name="Normal 2 4 3 5 5" xfId="12836" xr:uid="{95655B21-B802-4B80-9F2D-052BA23065B7}"/>
    <cellStyle name="Normal 2 4 3 50" xfId="12607" xr:uid="{267CAD32-B18C-4B54-AB16-67837B72BC09}"/>
    <cellStyle name="Normal 2 4 3 6" xfId="4010" xr:uid="{D2FAE7CE-D397-442D-A755-8E5CC04B798C}"/>
    <cellStyle name="Normal 2 4 3 6 2" xfId="4011" xr:uid="{FFB14393-8ACD-4309-9F42-CDD90764EE9E}"/>
    <cellStyle name="Normal 2 4 3 6 2 2" xfId="4012" xr:uid="{644C597E-5E34-40BB-AC28-D9BA19E37CED}"/>
    <cellStyle name="Normal 2 4 3 6 2 2 2" xfId="12844" xr:uid="{FB2E0F72-FF20-41C4-AD50-645FABD329C4}"/>
    <cellStyle name="Normal 2 4 3 6 2 3" xfId="4013" xr:uid="{D4E55705-AA3F-40CE-B613-477F6628E811}"/>
    <cellStyle name="Normal 2 4 3 6 2 3 2" xfId="12845" xr:uid="{7A03EE68-7AB2-4D21-A532-B77CE7BC03A2}"/>
    <cellStyle name="Normal 2 4 3 6 2 4" xfId="12843" xr:uid="{C6F2EE11-6BA3-4826-8CF5-F8C68680704F}"/>
    <cellStyle name="Normal 2 4 3 6 3" xfId="4014" xr:uid="{392C1DD2-C67D-4099-9972-FB8C286678EC}"/>
    <cellStyle name="Normal 2 4 3 6 3 2" xfId="12846" xr:uid="{E46519DF-45BF-4DBB-A2CA-A6588E7F8656}"/>
    <cellStyle name="Normal 2 4 3 6 4" xfId="4015" xr:uid="{C78FD14C-F9B5-4C76-B4E8-467D0AB323E5}"/>
    <cellStyle name="Normal 2 4 3 6 4 2" xfId="12847" xr:uid="{2D97AB45-1913-44A7-B827-2F8ABF56924E}"/>
    <cellStyle name="Normal 2 4 3 6 5" xfId="12842" xr:uid="{FD601C19-17C4-4B0A-8C97-B71F6239EC33}"/>
    <cellStyle name="Normal 2 4 3 7" xfId="4016" xr:uid="{87F9BBF8-1F3D-47D8-9C26-BB493889978F}"/>
    <cellStyle name="Normal 2 4 3 7 2" xfId="4017" xr:uid="{3996C822-9E83-49B3-9582-72C47431FAE9}"/>
    <cellStyle name="Normal 2 4 3 7 2 2" xfId="4018" xr:uid="{21A30BAA-8C55-4CC0-8121-063A835579A3}"/>
    <cellStyle name="Normal 2 4 3 7 2 2 2" xfId="12850" xr:uid="{4DB04C64-163C-47C1-8584-06673438029A}"/>
    <cellStyle name="Normal 2 4 3 7 2 3" xfId="4019" xr:uid="{2FD95CDA-54F1-431A-B625-9CA814F61149}"/>
    <cellStyle name="Normal 2 4 3 7 2 3 2" xfId="12851" xr:uid="{6B44CE53-7726-4E00-B60C-296460172A34}"/>
    <cellStyle name="Normal 2 4 3 7 2 4" xfId="12849" xr:uid="{71FF0767-AC73-45A9-AE89-49196C88EF34}"/>
    <cellStyle name="Normal 2 4 3 7 3" xfId="4020" xr:uid="{9CC0109D-28EE-4D09-924C-24842968D7A7}"/>
    <cellStyle name="Normal 2 4 3 7 3 2" xfId="12852" xr:uid="{EFC112E7-2137-4B70-92D6-884B8A5230FE}"/>
    <cellStyle name="Normal 2 4 3 7 4" xfId="4021" xr:uid="{D64B6B7C-105B-451C-BA76-7DFD8A1CEEAB}"/>
    <cellStyle name="Normal 2 4 3 7 4 2" xfId="12853" xr:uid="{E83964BF-53C1-41DC-885B-1B8D09A8AEBE}"/>
    <cellStyle name="Normal 2 4 3 7 5" xfId="12848" xr:uid="{9C37AFCF-2F5B-4B21-87D5-6403A603E15F}"/>
    <cellStyle name="Normal 2 4 3 8" xfId="4022" xr:uid="{25378E8A-E14B-48C8-9B93-CD543830565F}"/>
    <cellStyle name="Normal 2 4 3 8 2" xfId="4023" xr:uid="{4413880D-E3D7-4F59-9870-AF49E19D6CDE}"/>
    <cellStyle name="Normal 2 4 3 8 2 2" xfId="4024" xr:uid="{710AD14B-AD95-428D-AC17-42A670B175CB}"/>
    <cellStyle name="Normal 2 4 3 8 2 2 2" xfId="12856" xr:uid="{E76034E8-44E4-4AA5-809C-26DA45EE66A9}"/>
    <cellStyle name="Normal 2 4 3 8 2 3" xfId="4025" xr:uid="{7CCBED9A-F6B0-4674-9004-3D410CF6450E}"/>
    <cellStyle name="Normal 2 4 3 8 2 3 2" xfId="12857" xr:uid="{6BE6C3CA-CF59-42F1-919E-3D82FE7368C9}"/>
    <cellStyle name="Normal 2 4 3 8 2 4" xfId="12855" xr:uid="{4226067C-79DB-4382-AC2E-F65F10621C67}"/>
    <cellStyle name="Normal 2 4 3 8 3" xfId="4026" xr:uid="{BECC3D2B-0982-436A-B264-D02BFB0B8DBB}"/>
    <cellStyle name="Normal 2 4 3 8 3 2" xfId="12858" xr:uid="{960765A7-C4BB-40A4-897A-191126BCC248}"/>
    <cellStyle name="Normal 2 4 3 8 4" xfId="4027" xr:uid="{22CA8BE5-7DC4-4115-8CAF-53FCB99DF91C}"/>
    <cellStyle name="Normal 2 4 3 8 4 2" xfId="12859" xr:uid="{4385F9C4-1ACA-4862-89A6-64A2B9A56E0D}"/>
    <cellStyle name="Normal 2 4 3 8 5" xfId="12854" xr:uid="{44AB77BD-319B-41F0-8904-9CF577E2FD33}"/>
    <cellStyle name="Normal 2 4 3 9" xfId="4028" xr:uid="{59C706CF-A1D2-4D48-8932-8C8FE7E51129}"/>
    <cellStyle name="Normal 2 4 3 9 2" xfId="4029" xr:uid="{03723A7E-8E70-4C37-AC08-055E3849F3FD}"/>
    <cellStyle name="Normal 2 4 3 9 2 2" xfId="4030" xr:uid="{51BB69FC-FE1F-410C-BA70-EF6B1AA6DB9B}"/>
    <cellStyle name="Normal 2 4 3 9 2 2 2" xfId="12862" xr:uid="{42F32E87-568E-4AB1-B9DD-0791C918712D}"/>
    <cellStyle name="Normal 2 4 3 9 2 3" xfId="4031" xr:uid="{16E5D08E-58D1-433C-A5FF-62CA197BB3AD}"/>
    <cellStyle name="Normal 2 4 3 9 2 3 2" xfId="12863" xr:uid="{BCCF2AAA-EF4E-47C1-8B1A-FC4C98F9F48A}"/>
    <cellStyle name="Normal 2 4 3 9 2 4" xfId="12861" xr:uid="{CAA0A1A8-38A3-4B2A-A1BB-4F8FA2217421}"/>
    <cellStyle name="Normal 2 4 3 9 3" xfId="4032" xr:uid="{502A412F-2A2D-4CC9-A8BF-4F9ABEE645E7}"/>
    <cellStyle name="Normal 2 4 3 9 3 2" xfId="12864" xr:uid="{472BE974-2D19-440D-A062-0E1EB0FFEEF7}"/>
    <cellStyle name="Normal 2 4 3 9 4" xfId="4033" xr:uid="{9E232A7B-C632-4504-8DD2-F207BC04F40D}"/>
    <cellStyle name="Normal 2 4 3 9 4 2" xfId="12865" xr:uid="{1FBB4A79-4B68-481A-9702-36D3148131BF}"/>
    <cellStyle name="Normal 2 4 3 9 5" xfId="12860" xr:uid="{9BF87D09-60D5-453E-BE91-8DD6A1132B49}"/>
    <cellStyle name="Normal 2 4 30" xfId="4034" xr:uid="{9DC68080-C980-4FFF-A598-707107B00247}"/>
    <cellStyle name="Normal 2 4 30 2" xfId="4035" xr:uid="{03E2BB4E-4C5F-4271-84BA-FE4C672BE1BA}"/>
    <cellStyle name="Normal 2 4 30 2 2" xfId="4036" xr:uid="{7DB4C311-362E-4441-8610-5A49CDA0CC9C}"/>
    <cellStyle name="Normal 2 4 30 2 2 2" xfId="12868" xr:uid="{2CFF3BA8-66F7-470D-8082-D789EBDE3C42}"/>
    <cellStyle name="Normal 2 4 30 2 3" xfId="4037" xr:uid="{30146FBB-B463-4AF2-BAB5-31F563C16F91}"/>
    <cellStyle name="Normal 2 4 30 2 3 2" xfId="12869" xr:uid="{FFEB9BDB-90A8-4EC4-8BF1-EDC100A0F32D}"/>
    <cellStyle name="Normal 2 4 30 2 4" xfId="12867" xr:uid="{D76874CE-48A6-43FF-A6F3-CB93C65D9CE0}"/>
    <cellStyle name="Normal 2 4 30 3" xfId="4038" xr:uid="{035FE74C-6522-4EA2-A7C0-CBD9318F525B}"/>
    <cellStyle name="Normal 2 4 30 3 2" xfId="12870" xr:uid="{DA1B95D1-DF5A-42F6-8A1A-2DAB6265B63A}"/>
    <cellStyle name="Normal 2 4 30 4" xfId="4039" xr:uid="{BF0ADA17-24DB-4051-93C1-9E33EB364EC6}"/>
    <cellStyle name="Normal 2 4 30 4 2" xfId="12871" xr:uid="{F34E0BA7-D827-40AF-ADBF-64F3470F5F86}"/>
    <cellStyle name="Normal 2 4 30 5" xfId="12866" xr:uid="{C0B9DA84-C5F3-47B7-8317-1560EB4900F2}"/>
    <cellStyle name="Normal 2 4 31" xfId="4040" xr:uid="{B124B8D2-BBEE-4A47-A3A1-CC78515EA276}"/>
    <cellStyle name="Normal 2 4 31 2" xfId="4041" xr:uid="{A1D0BD53-8CE3-4568-862E-F3428677BFD3}"/>
    <cellStyle name="Normal 2 4 31 2 2" xfId="4042" xr:uid="{2C26F039-7237-4BD4-AB29-F10BD99192FE}"/>
    <cellStyle name="Normal 2 4 31 2 2 2" xfId="12874" xr:uid="{CE01A0E6-2863-4591-AEE9-E77B7AA4E445}"/>
    <cellStyle name="Normal 2 4 31 2 3" xfId="4043" xr:uid="{FFB79C71-5AB9-4184-9A05-C7166307584F}"/>
    <cellStyle name="Normal 2 4 31 2 3 2" xfId="12875" xr:uid="{31BD95C0-5445-4BEA-ACBC-C8D659DA07A0}"/>
    <cellStyle name="Normal 2 4 31 2 4" xfId="12873" xr:uid="{3140B049-78E7-498E-8BFD-BEB216B29C2D}"/>
    <cellStyle name="Normal 2 4 31 3" xfId="4044" xr:uid="{F75CE63A-59BB-4DFA-9E56-A0CDA8E99D4E}"/>
    <cellStyle name="Normal 2 4 31 3 2" xfId="12876" xr:uid="{0079A246-7C7E-4B53-B843-3C832016AF15}"/>
    <cellStyle name="Normal 2 4 31 4" xfId="4045" xr:uid="{7198472B-1F23-423F-86E7-AE44E6367F18}"/>
    <cellStyle name="Normal 2 4 31 4 2" xfId="12877" xr:uid="{225EF706-F52B-4285-973F-D18205799CCF}"/>
    <cellStyle name="Normal 2 4 31 5" xfId="12872" xr:uid="{17BD3D4E-C1F6-4729-A337-80AF9C4B577D}"/>
    <cellStyle name="Normal 2 4 32" xfId="4046" xr:uid="{1655885D-6575-4A02-A19E-36D52A5ADE7D}"/>
    <cellStyle name="Normal 2 4 32 2" xfId="4047" xr:uid="{E6495613-20B6-4FED-AF8D-4BAC9F8843E4}"/>
    <cellStyle name="Normal 2 4 32 2 2" xfId="4048" xr:uid="{CB8F7505-CDF1-4383-AB4A-625C00A9D895}"/>
    <cellStyle name="Normal 2 4 32 2 2 2" xfId="12880" xr:uid="{D6F0868B-5FA9-46A6-A5F6-60582484EBDC}"/>
    <cellStyle name="Normal 2 4 32 2 3" xfId="4049" xr:uid="{B801E315-6019-4583-85D2-30851E626200}"/>
    <cellStyle name="Normal 2 4 32 2 3 2" xfId="12881" xr:uid="{5A635DD3-7A97-47A6-BD97-C299DC7BD8B6}"/>
    <cellStyle name="Normal 2 4 32 2 4" xfId="12879" xr:uid="{F54F3109-83BA-4A45-9858-5449949A8C8E}"/>
    <cellStyle name="Normal 2 4 32 3" xfId="4050" xr:uid="{B30D9573-BB10-4563-B2FD-E60BE37EB3B9}"/>
    <cellStyle name="Normal 2 4 32 3 2" xfId="12882" xr:uid="{8BE47A23-26BE-40D1-AFB9-E110423576CE}"/>
    <cellStyle name="Normal 2 4 32 4" xfId="4051" xr:uid="{2AA369B6-E9FE-45F4-9322-7E7D074F07D7}"/>
    <cellStyle name="Normal 2 4 32 4 2" xfId="12883" xr:uid="{03863E52-005B-4794-918D-573212D64E07}"/>
    <cellStyle name="Normal 2 4 32 5" xfId="12878" xr:uid="{C3CD5D3C-A065-4EC0-8219-0A4DE414FEEF}"/>
    <cellStyle name="Normal 2 4 33" xfId="4052" xr:uid="{3250B9F7-A05E-4873-BE83-4234E6092763}"/>
    <cellStyle name="Normal 2 4 33 2" xfId="4053" xr:uid="{5E353F01-F1E4-4050-9FD2-BD83E82C6163}"/>
    <cellStyle name="Normal 2 4 33 2 2" xfId="4054" xr:uid="{E39090FF-8C35-4087-931C-CF22627D742C}"/>
    <cellStyle name="Normal 2 4 33 2 2 2" xfId="12886" xr:uid="{4B885A06-FB1A-4DD6-8D31-7AC6D8900FBB}"/>
    <cellStyle name="Normal 2 4 33 2 3" xfId="4055" xr:uid="{8C4F2240-CDDA-4F0A-836F-6F5C5C88B2A7}"/>
    <cellStyle name="Normal 2 4 33 2 3 2" xfId="12887" xr:uid="{0C09F431-9092-41E7-8198-FFB53F14DF0B}"/>
    <cellStyle name="Normal 2 4 33 2 4" xfId="12885" xr:uid="{B13B1C8F-C988-4EB2-AAB9-D06E596683E6}"/>
    <cellStyle name="Normal 2 4 33 3" xfId="4056" xr:uid="{1D323120-9BF3-4EB6-8204-1544FFF6C42B}"/>
    <cellStyle name="Normal 2 4 33 3 2" xfId="12888" xr:uid="{7055E1AB-6ADE-4BFE-A47B-90E037FDBD5A}"/>
    <cellStyle name="Normal 2 4 33 4" xfId="4057" xr:uid="{41FBB1D7-3975-42AA-945D-37938D92F20F}"/>
    <cellStyle name="Normal 2 4 33 4 2" xfId="12889" xr:uid="{405C4B28-14D8-41B1-A76B-CF4BAB28DCE5}"/>
    <cellStyle name="Normal 2 4 33 5" xfId="12884" xr:uid="{8B54081F-30E7-4811-A729-8774AA62559F}"/>
    <cellStyle name="Normal 2 4 34" xfId="4058" xr:uid="{7C76DF5A-7406-4A2A-9C17-6838F479ACD9}"/>
    <cellStyle name="Normal 2 4 34 2" xfId="4059" xr:uid="{834DCE50-B3BD-43FE-9F85-F1456D7F73D2}"/>
    <cellStyle name="Normal 2 4 34 2 2" xfId="4060" xr:uid="{1D1F02D5-4A96-4D1E-9598-97C238C71C79}"/>
    <cellStyle name="Normal 2 4 34 2 2 2" xfId="12892" xr:uid="{77001537-5282-4CA5-9037-A946762011FA}"/>
    <cellStyle name="Normal 2 4 34 2 3" xfId="4061" xr:uid="{AB326973-F7DA-455A-A749-37F53B5CAC53}"/>
    <cellStyle name="Normal 2 4 34 2 3 2" xfId="12893" xr:uid="{700C4A97-8DDE-4F6E-8125-4FA65FB9CC37}"/>
    <cellStyle name="Normal 2 4 34 2 4" xfId="12891" xr:uid="{AA716D62-6E26-498F-805A-0C6C1414CEC1}"/>
    <cellStyle name="Normal 2 4 34 3" xfId="4062" xr:uid="{5B81129F-6FBF-44EE-8E81-A6A36926755C}"/>
    <cellStyle name="Normal 2 4 34 3 2" xfId="12894" xr:uid="{B7791139-3FCD-4ED7-8660-C396E1B9444E}"/>
    <cellStyle name="Normal 2 4 34 4" xfId="4063" xr:uid="{D4113599-8B7F-4A5F-A1F1-4F5C6DD9D1BB}"/>
    <cellStyle name="Normal 2 4 34 4 2" xfId="12895" xr:uid="{7B26403B-42A1-4728-89C9-B079F1C1A340}"/>
    <cellStyle name="Normal 2 4 34 5" xfId="12890" xr:uid="{3139B08C-AF93-471A-A39B-F8A55EE820E6}"/>
    <cellStyle name="Normal 2 4 35" xfId="4064" xr:uid="{DBC20870-8D3D-45D2-8864-D5BE9E9738F8}"/>
    <cellStyle name="Normal 2 4 35 2" xfId="4065" xr:uid="{C4501386-F4D9-4050-A85F-4D15FCF120C5}"/>
    <cellStyle name="Normal 2 4 35 2 2" xfId="4066" xr:uid="{01CECE1F-F627-4DAF-9BFD-3A293AD71CC4}"/>
    <cellStyle name="Normal 2 4 35 2 2 2" xfId="12898" xr:uid="{CCC8C85A-331C-42D6-98AF-43CC35E49C28}"/>
    <cellStyle name="Normal 2 4 35 2 3" xfId="4067" xr:uid="{4872770D-257F-49B8-8816-F1F1EB814AE4}"/>
    <cellStyle name="Normal 2 4 35 2 3 2" xfId="12899" xr:uid="{F1AFB6D5-C232-409A-8A98-F9F953ED71FC}"/>
    <cellStyle name="Normal 2 4 35 2 4" xfId="12897" xr:uid="{FC2B5AE7-18DF-4371-8CB3-DF5813090006}"/>
    <cellStyle name="Normal 2 4 35 3" xfId="4068" xr:uid="{49B2B770-B3B1-4200-B60F-9C4676EC1FB6}"/>
    <cellStyle name="Normal 2 4 35 3 2" xfId="12900" xr:uid="{B26DB196-7ED9-4707-B5E2-E7F3294DBAAB}"/>
    <cellStyle name="Normal 2 4 35 4" xfId="4069" xr:uid="{5ABD0A03-4F05-4A27-A07F-DCF052376433}"/>
    <cellStyle name="Normal 2 4 35 4 2" xfId="12901" xr:uid="{DD878073-7E4F-41ED-A872-3BB5E24ED8AA}"/>
    <cellStyle name="Normal 2 4 35 5" xfId="12896" xr:uid="{2F261AD7-47DB-49BD-B0F9-55B09DAA5BEC}"/>
    <cellStyle name="Normal 2 4 36" xfId="4070" xr:uid="{98DDE72B-9CF7-452D-A64A-5E0CC0AAAC7F}"/>
    <cellStyle name="Normal 2 4 36 2" xfId="4071" xr:uid="{C1209FCF-48C0-45D4-BDF8-9C817D6E6B3C}"/>
    <cellStyle name="Normal 2 4 36 2 2" xfId="4072" xr:uid="{1DE218B5-28EA-4878-8CEE-9581A8C3EF96}"/>
    <cellStyle name="Normal 2 4 36 2 2 2" xfId="12904" xr:uid="{F10D1E70-1356-4D7A-92A5-76580ED1BD4F}"/>
    <cellStyle name="Normal 2 4 36 2 3" xfId="4073" xr:uid="{6C73ED70-35EC-4484-A29A-C55B438416A3}"/>
    <cellStyle name="Normal 2 4 36 2 3 2" xfId="12905" xr:uid="{41BB5EE8-73E2-43D9-9A36-F3351F3B57ED}"/>
    <cellStyle name="Normal 2 4 36 2 4" xfId="12903" xr:uid="{F1C02ECE-AE46-4648-928B-E4C0D412B1B4}"/>
    <cellStyle name="Normal 2 4 36 3" xfId="4074" xr:uid="{7A43E3D7-9E6E-43DC-8518-FECEE2042EAC}"/>
    <cellStyle name="Normal 2 4 36 3 2" xfId="12906" xr:uid="{D98CDB13-A699-4CA0-B3CC-0DE7D568802B}"/>
    <cellStyle name="Normal 2 4 36 4" xfId="4075" xr:uid="{5B4C03C6-E13D-4DEA-A31E-75CAD4EEF67D}"/>
    <cellStyle name="Normal 2 4 36 4 2" xfId="12907" xr:uid="{7035F947-0CBA-47ED-8AA5-9DF7C6BA5075}"/>
    <cellStyle name="Normal 2 4 36 5" xfId="12902" xr:uid="{A7D1935C-35DA-4F04-B70E-D8ECD4ED27C4}"/>
    <cellStyle name="Normal 2 4 37" xfId="4076" xr:uid="{3E198492-5EBE-497E-8FA6-B6BC92FAC230}"/>
    <cellStyle name="Normal 2 4 37 2" xfId="4077" xr:uid="{E2303E77-2308-4D4D-8A2F-A19BFC18F998}"/>
    <cellStyle name="Normal 2 4 37 2 2" xfId="4078" xr:uid="{DF176441-1438-48BE-8395-8328E98C44F1}"/>
    <cellStyle name="Normal 2 4 37 2 2 2" xfId="12910" xr:uid="{960F08FA-3B5A-4A6D-887F-382189EDF283}"/>
    <cellStyle name="Normal 2 4 37 2 3" xfId="4079" xr:uid="{F7D69D70-648F-4222-970C-8B08ED9E03C6}"/>
    <cellStyle name="Normal 2 4 37 2 3 2" xfId="12911" xr:uid="{37C19011-F038-472D-9377-A6826B8B0F09}"/>
    <cellStyle name="Normal 2 4 37 2 4" xfId="12909" xr:uid="{4D29063E-8129-4FD6-9F42-571707968726}"/>
    <cellStyle name="Normal 2 4 37 3" xfId="4080" xr:uid="{6B7F3B9F-2882-44F9-B030-10DCACEE3886}"/>
    <cellStyle name="Normal 2 4 37 3 2" xfId="12912" xr:uid="{B4272C10-77A4-4E6C-90F2-65049165ED15}"/>
    <cellStyle name="Normal 2 4 37 4" xfId="4081" xr:uid="{792ACFA6-3B16-44A8-AF0D-528A5A3739E9}"/>
    <cellStyle name="Normal 2 4 37 4 2" xfId="12913" xr:uid="{9E5F877B-6D7D-4556-BDBC-984FE85019FD}"/>
    <cellStyle name="Normal 2 4 37 5" xfId="12908" xr:uid="{7220D3D3-77FF-4BF2-91E2-AF11AECC8A1C}"/>
    <cellStyle name="Normal 2 4 38" xfId="4082" xr:uid="{60EF1939-207D-4902-96E9-3DA8B816CAE2}"/>
    <cellStyle name="Normal 2 4 38 2" xfId="4083" xr:uid="{A6C36AFD-1A46-450E-B5CC-16BE39F05E5A}"/>
    <cellStyle name="Normal 2 4 38 2 2" xfId="4084" xr:uid="{2488ED79-844B-4020-BD9F-DACE482BDD24}"/>
    <cellStyle name="Normal 2 4 38 2 2 2" xfId="12916" xr:uid="{3622A03A-EEA2-43B2-9A91-F0937583DBEC}"/>
    <cellStyle name="Normal 2 4 38 2 3" xfId="4085" xr:uid="{ABAD495D-62C1-4FF7-976B-66CC2199EB05}"/>
    <cellStyle name="Normal 2 4 38 2 3 2" xfId="12917" xr:uid="{B4250957-EAE8-4DE2-A0E1-C4953F392D3B}"/>
    <cellStyle name="Normal 2 4 38 2 4" xfId="12915" xr:uid="{2E6F2B3B-1D4D-456B-88EE-864C764A1946}"/>
    <cellStyle name="Normal 2 4 38 3" xfId="4086" xr:uid="{5BFE33A4-6CCC-4228-98E8-091E080301B7}"/>
    <cellStyle name="Normal 2 4 38 3 2" xfId="12918" xr:uid="{8568D9A6-AEB8-45E5-8EE0-73ABFA185610}"/>
    <cellStyle name="Normal 2 4 38 4" xfId="4087" xr:uid="{45DA1895-D976-4813-A993-7E1918F11819}"/>
    <cellStyle name="Normal 2 4 38 4 2" xfId="12919" xr:uid="{CC387381-A294-4EE2-B2C9-7E1E2ADB1FD9}"/>
    <cellStyle name="Normal 2 4 38 5" xfId="12914" xr:uid="{6263BDEB-BBC1-44A1-B09A-87590FE5BCB9}"/>
    <cellStyle name="Normal 2 4 39" xfId="4088" xr:uid="{4D05BB5B-F41B-4383-AC8A-C9CE5ECD490F}"/>
    <cellStyle name="Normal 2 4 39 2" xfId="4089" xr:uid="{69E9A173-E2B0-4AFE-BF83-464C3B56C620}"/>
    <cellStyle name="Normal 2 4 39 2 2" xfId="4090" xr:uid="{A39F1969-9520-4CB1-BDE0-E5F6A12DB9B4}"/>
    <cellStyle name="Normal 2 4 39 2 2 2" xfId="12922" xr:uid="{452B2546-F1A5-46A8-85CA-A4F2A1DCE26F}"/>
    <cellStyle name="Normal 2 4 39 2 3" xfId="4091" xr:uid="{049A7ED3-F65B-4A13-AED1-1D82158A0C1C}"/>
    <cellStyle name="Normal 2 4 39 2 3 2" xfId="12923" xr:uid="{CD607464-FECE-4013-AE77-EF31841D722B}"/>
    <cellStyle name="Normal 2 4 39 2 4" xfId="12921" xr:uid="{874FCCAE-5A6E-4924-B204-58B65B372504}"/>
    <cellStyle name="Normal 2 4 39 3" xfId="4092" xr:uid="{0725C274-86FD-4381-8D01-97135E8A8776}"/>
    <cellStyle name="Normal 2 4 39 3 2" xfId="12924" xr:uid="{BEA6F594-0F4B-4D01-BE4A-3F220DF4EA24}"/>
    <cellStyle name="Normal 2 4 39 4" xfId="4093" xr:uid="{B7B6D95C-916A-4F2A-8E7F-0C6899A6D7F2}"/>
    <cellStyle name="Normal 2 4 39 4 2" xfId="12925" xr:uid="{BBA0C588-1825-4C6E-BBD1-289DA369E1FC}"/>
    <cellStyle name="Normal 2 4 39 5" xfId="12920" xr:uid="{783855E5-3D1E-45AE-BE16-89220813A465}"/>
    <cellStyle name="Normal 2 4 4" xfId="4094" xr:uid="{8DF8CBB8-A780-423E-85D0-823B73568680}"/>
    <cellStyle name="Normal 2 4 4 10" xfId="4095" xr:uid="{FEF5DAB6-6E28-4946-AA48-EFB4B5CF11F0}"/>
    <cellStyle name="Normal 2 4 4 10 2" xfId="4096" xr:uid="{E11E3605-9D21-4825-BDAC-428FDA2D1DC2}"/>
    <cellStyle name="Normal 2 4 4 10 2 2" xfId="4097" xr:uid="{7F796E58-E2B7-444A-A667-A44105686C12}"/>
    <cellStyle name="Normal 2 4 4 10 2 2 2" xfId="12929" xr:uid="{67BF7FA1-E4A5-45C5-AC49-498235318CAA}"/>
    <cellStyle name="Normal 2 4 4 10 2 3" xfId="4098" xr:uid="{496031C1-1DEF-4887-A2D1-781EB402C8D5}"/>
    <cellStyle name="Normal 2 4 4 10 2 3 2" xfId="12930" xr:uid="{F71CEEBD-CED5-4320-85D6-55672C61D5A9}"/>
    <cellStyle name="Normal 2 4 4 10 2 4" xfId="12928" xr:uid="{FBC3B454-2A70-4D00-8569-A0973FB84491}"/>
    <cellStyle name="Normal 2 4 4 10 3" xfId="4099" xr:uid="{CE23CC9B-9420-4D86-99F5-2132ADAA9D2F}"/>
    <cellStyle name="Normal 2 4 4 10 3 2" xfId="12931" xr:uid="{6CCE6718-149F-4F69-A626-0BC03E82B96C}"/>
    <cellStyle name="Normal 2 4 4 10 4" xfId="4100" xr:uid="{720E1173-42A3-4485-BA6C-0ED49164C739}"/>
    <cellStyle name="Normal 2 4 4 10 4 2" xfId="12932" xr:uid="{BB5FE033-44CA-46B1-9884-63287B85C7F1}"/>
    <cellStyle name="Normal 2 4 4 10 5" xfId="12927" xr:uid="{570A80E1-970D-4599-9CE7-1CA5EB836F37}"/>
    <cellStyle name="Normal 2 4 4 11" xfId="4101" xr:uid="{21030AEC-17CB-4068-BEC3-82158F4A0F6E}"/>
    <cellStyle name="Normal 2 4 4 11 2" xfId="4102" xr:uid="{742703CF-5C9A-4073-BFE0-3E86A7D9744C}"/>
    <cellStyle name="Normal 2 4 4 11 2 2" xfId="4103" xr:uid="{3345A3F2-3644-48C4-B5E4-85A9016A4561}"/>
    <cellStyle name="Normal 2 4 4 11 2 2 2" xfId="12935" xr:uid="{B59BFC1D-E0EC-4550-8CD0-05F294A218FF}"/>
    <cellStyle name="Normal 2 4 4 11 2 3" xfId="4104" xr:uid="{6BAA9169-E154-4AF8-B9D6-907E16AF7CE5}"/>
    <cellStyle name="Normal 2 4 4 11 2 3 2" xfId="12936" xr:uid="{BD9C1899-5823-4D08-91EF-7A6055B1BDD7}"/>
    <cellStyle name="Normal 2 4 4 11 2 4" xfId="12934" xr:uid="{CBF5DF93-B0F4-4F05-A4CF-B1EE61AA0CF7}"/>
    <cellStyle name="Normal 2 4 4 11 3" xfId="4105" xr:uid="{BA781651-2815-4AA4-8A20-72E12229036D}"/>
    <cellStyle name="Normal 2 4 4 11 3 2" xfId="12937" xr:uid="{911F4C40-D715-45B3-806A-7BBFB587E4EB}"/>
    <cellStyle name="Normal 2 4 4 11 4" xfId="4106" xr:uid="{FB269806-1ADD-4B4D-9329-936BB18A271B}"/>
    <cellStyle name="Normal 2 4 4 11 4 2" xfId="12938" xr:uid="{D1B343FE-967F-4B40-9D79-25E570590C93}"/>
    <cellStyle name="Normal 2 4 4 11 5" xfId="12933" xr:uid="{E267A4BE-7DC3-41B1-9E33-BD6E6B4BE418}"/>
    <cellStyle name="Normal 2 4 4 12" xfId="4107" xr:uid="{9E2CF605-5504-4CDA-90DF-3D06F7756B1C}"/>
    <cellStyle name="Normal 2 4 4 12 2" xfId="4108" xr:uid="{56C8CBC5-F9BC-4A2B-8037-F17A8510A8E1}"/>
    <cellStyle name="Normal 2 4 4 12 2 2" xfId="4109" xr:uid="{BEBD4C8A-7C66-4702-A382-7B63E2AEE326}"/>
    <cellStyle name="Normal 2 4 4 12 2 2 2" xfId="12941" xr:uid="{8466C601-5C46-4F1C-8004-6E404B59F53D}"/>
    <cellStyle name="Normal 2 4 4 12 2 3" xfId="4110" xr:uid="{B54079AE-FB18-412B-BD11-CE4B46C04167}"/>
    <cellStyle name="Normal 2 4 4 12 2 3 2" xfId="12942" xr:uid="{E570DF02-CC85-4CFC-80A3-56437C9ED6B8}"/>
    <cellStyle name="Normal 2 4 4 12 2 4" xfId="12940" xr:uid="{1E909345-7AA0-4540-87AB-1A8696DFD8C9}"/>
    <cellStyle name="Normal 2 4 4 12 3" xfId="4111" xr:uid="{4B569C09-3150-48A7-8C35-6A948CC7E0DC}"/>
    <cellStyle name="Normal 2 4 4 12 3 2" xfId="12943" xr:uid="{6C4379AE-321B-4B54-959C-434DBB2F99B0}"/>
    <cellStyle name="Normal 2 4 4 12 4" xfId="4112" xr:uid="{74D72190-BD2B-491F-8DA4-266D2032CDC9}"/>
    <cellStyle name="Normal 2 4 4 12 4 2" xfId="12944" xr:uid="{18C1C948-09ED-436F-A6E6-708A458D4083}"/>
    <cellStyle name="Normal 2 4 4 12 5" xfId="12939" xr:uid="{22DCBD95-7B46-4F2A-933D-9469CAC6916A}"/>
    <cellStyle name="Normal 2 4 4 13" xfId="4113" xr:uid="{C02B77AC-9098-4A50-B3AA-DCD69A026DBB}"/>
    <cellStyle name="Normal 2 4 4 13 2" xfId="4114" xr:uid="{A539A53A-AD53-4885-91E7-6618B31F4594}"/>
    <cellStyle name="Normal 2 4 4 13 2 2" xfId="4115" xr:uid="{4DD2AFB1-A56A-4B93-B90E-C2CFC5C04ED0}"/>
    <cellStyle name="Normal 2 4 4 13 2 2 2" xfId="12947" xr:uid="{16090A11-7F45-4BC4-BE6D-61B1970C487D}"/>
    <cellStyle name="Normal 2 4 4 13 2 3" xfId="4116" xr:uid="{455D3D92-64F2-44CE-A088-491B7AF6C6D7}"/>
    <cellStyle name="Normal 2 4 4 13 2 3 2" xfId="12948" xr:uid="{21D91D8C-2817-419D-8B59-DF323649919E}"/>
    <cellStyle name="Normal 2 4 4 13 2 4" xfId="12946" xr:uid="{3B895846-15DC-4991-A455-437C5797E329}"/>
    <cellStyle name="Normal 2 4 4 13 3" xfId="4117" xr:uid="{59666EBF-7ECF-4A4D-85FB-1B200E470AC8}"/>
    <cellStyle name="Normal 2 4 4 13 3 2" xfId="12949" xr:uid="{6A550F10-20F9-4E67-86A1-FD7B89490CC2}"/>
    <cellStyle name="Normal 2 4 4 13 4" xfId="4118" xr:uid="{FD3D41B2-57F4-4E64-8946-59019A7AAA50}"/>
    <cellStyle name="Normal 2 4 4 13 4 2" xfId="12950" xr:uid="{FBF6ADBB-F4A6-4C5D-95B0-CA7BF5AFB9EB}"/>
    <cellStyle name="Normal 2 4 4 13 5" xfId="12945" xr:uid="{69F719BE-DBB0-46D2-A783-EA2F84FA4AE3}"/>
    <cellStyle name="Normal 2 4 4 14" xfId="4119" xr:uid="{89EB7633-F3F6-4440-82B3-FB69951938F2}"/>
    <cellStyle name="Normal 2 4 4 14 2" xfId="4120" xr:uid="{2CC35962-D2BA-48D2-AC42-7B82BB9610FC}"/>
    <cellStyle name="Normal 2 4 4 14 2 2" xfId="4121" xr:uid="{FF51B6F6-0DA3-400B-8580-733BE9F282E9}"/>
    <cellStyle name="Normal 2 4 4 14 2 2 2" xfId="12953" xr:uid="{4AFB96F6-2005-4603-9C2D-A83C0185CF50}"/>
    <cellStyle name="Normal 2 4 4 14 2 3" xfId="4122" xr:uid="{5EFCBF08-8CDA-42DC-8B3A-C0D33469C815}"/>
    <cellStyle name="Normal 2 4 4 14 2 3 2" xfId="12954" xr:uid="{AD6444C1-439E-46C6-9CFE-E75A439856AD}"/>
    <cellStyle name="Normal 2 4 4 14 2 4" xfId="12952" xr:uid="{C3BB04EB-85B2-4BD2-A593-38858E266C87}"/>
    <cellStyle name="Normal 2 4 4 14 3" xfId="4123" xr:uid="{3EEC20AB-9124-47F8-ADCB-7D9262F10862}"/>
    <cellStyle name="Normal 2 4 4 14 3 2" xfId="12955" xr:uid="{C795CE0F-FD8E-46D2-93F0-8948423C4BAC}"/>
    <cellStyle name="Normal 2 4 4 14 4" xfId="4124" xr:uid="{5FB024FC-AF4C-427A-968A-A867D1C3D95F}"/>
    <cellStyle name="Normal 2 4 4 14 4 2" xfId="12956" xr:uid="{5BA617CB-0ADF-443F-8754-4BA3106434A0}"/>
    <cellStyle name="Normal 2 4 4 14 5" xfId="12951" xr:uid="{F6FA6CCB-BC34-4B51-8662-7B1F6AC30D4E}"/>
    <cellStyle name="Normal 2 4 4 15" xfId="4125" xr:uid="{759D5B2C-4D2B-457F-8AC8-67E5E03269DB}"/>
    <cellStyle name="Normal 2 4 4 15 2" xfId="4126" xr:uid="{AFC694B1-CE43-4392-A6DC-D6BF278E24A2}"/>
    <cellStyle name="Normal 2 4 4 15 2 2" xfId="4127" xr:uid="{14D1DD6E-D853-450A-AAAC-7AC7991C9BFE}"/>
    <cellStyle name="Normal 2 4 4 15 2 2 2" xfId="12959" xr:uid="{AF790071-C924-45AD-AB1C-E16E81F18924}"/>
    <cellStyle name="Normal 2 4 4 15 2 3" xfId="4128" xr:uid="{CF827B93-F821-4C3F-834D-A32D9E7A55CC}"/>
    <cellStyle name="Normal 2 4 4 15 2 3 2" xfId="12960" xr:uid="{B5DBEAA5-F0C3-4876-BDAB-B04E16D43263}"/>
    <cellStyle name="Normal 2 4 4 15 2 4" xfId="12958" xr:uid="{49BAD882-85F6-472C-8618-9ADD4F94888F}"/>
    <cellStyle name="Normal 2 4 4 15 3" xfId="4129" xr:uid="{FE5E9937-EE54-40A0-9A33-ED8FB3185BD9}"/>
    <cellStyle name="Normal 2 4 4 15 3 2" xfId="12961" xr:uid="{404C4BC0-68DA-44F9-A966-2DE1DE999109}"/>
    <cellStyle name="Normal 2 4 4 15 4" xfId="4130" xr:uid="{56B9A2F9-CF59-4770-AAD4-4B154B63054B}"/>
    <cellStyle name="Normal 2 4 4 15 4 2" xfId="12962" xr:uid="{B5D11394-9880-4C3C-8DC2-096E3492FF01}"/>
    <cellStyle name="Normal 2 4 4 15 5" xfId="12957" xr:uid="{E1687375-9DBD-4EB6-97D8-DC12DF3F79F3}"/>
    <cellStyle name="Normal 2 4 4 16" xfId="4131" xr:uid="{1268A4B9-1C90-4227-8499-784966725191}"/>
    <cellStyle name="Normal 2 4 4 16 2" xfId="4132" xr:uid="{95E617C6-C2E0-47FA-AB9F-D42925B9D8D9}"/>
    <cellStyle name="Normal 2 4 4 16 2 2" xfId="4133" xr:uid="{BF1D2F09-1098-4BEA-A173-D48CA4AA2331}"/>
    <cellStyle name="Normal 2 4 4 16 2 2 2" xfId="12965" xr:uid="{EB7DC4F2-079E-4389-9266-BCED5BE4663F}"/>
    <cellStyle name="Normal 2 4 4 16 2 3" xfId="4134" xr:uid="{42174D57-E530-4558-A668-4EB89D285C3B}"/>
    <cellStyle name="Normal 2 4 4 16 2 3 2" xfId="12966" xr:uid="{CD3BEB17-5A64-408F-A30D-401FB6B1E3A5}"/>
    <cellStyle name="Normal 2 4 4 16 2 4" xfId="12964" xr:uid="{C0023E14-223E-4806-A39C-1937844A1A37}"/>
    <cellStyle name="Normal 2 4 4 16 3" xfId="4135" xr:uid="{6389986E-6A87-4FA5-A0F4-07FFC02B9A67}"/>
    <cellStyle name="Normal 2 4 4 16 3 2" xfId="12967" xr:uid="{17A194CD-A634-4514-8C0F-F0D363446A3A}"/>
    <cellStyle name="Normal 2 4 4 16 4" xfId="4136" xr:uid="{33704008-5538-472D-84AD-E91063AB1DC7}"/>
    <cellStyle name="Normal 2 4 4 16 4 2" xfId="12968" xr:uid="{35CA8464-9E24-45F3-8F3C-C3739DFF5A82}"/>
    <cellStyle name="Normal 2 4 4 16 5" xfId="12963" xr:uid="{4423CE7C-5420-4E61-94C8-E00E89343F17}"/>
    <cellStyle name="Normal 2 4 4 17" xfId="4137" xr:uid="{DC170389-C503-4929-A16E-413056DE4482}"/>
    <cellStyle name="Normal 2 4 4 17 2" xfId="4138" xr:uid="{B10D1EC0-869D-487C-9BC9-19EACF5C019D}"/>
    <cellStyle name="Normal 2 4 4 17 2 2" xfId="4139" xr:uid="{D974EDD8-075E-42E2-B12F-A6B1479CC7C5}"/>
    <cellStyle name="Normal 2 4 4 17 2 2 2" xfId="12971" xr:uid="{D2F3D005-3331-44DA-853C-A9074B98D0A3}"/>
    <cellStyle name="Normal 2 4 4 17 2 3" xfId="4140" xr:uid="{AB273E19-BD3E-44AC-84BC-F63FBDD94AAE}"/>
    <cellStyle name="Normal 2 4 4 17 2 3 2" xfId="12972" xr:uid="{8E0992CD-3A1D-471D-B6A0-7BC22934B0B8}"/>
    <cellStyle name="Normal 2 4 4 17 2 4" xfId="12970" xr:uid="{AFBA6D5F-F175-4583-AF5F-C1255BD7D1E1}"/>
    <cellStyle name="Normal 2 4 4 17 3" xfId="4141" xr:uid="{DD57AC6F-65DA-4500-AA7C-16E7D4631529}"/>
    <cellStyle name="Normal 2 4 4 17 3 2" xfId="12973" xr:uid="{CF2A18A5-6398-4983-B04A-61755616D94A}"/>
    <cellStyle name="Normal 2 4 4 17 4" xfId="4142" xr:uid="{0E7FB342-1488-468F-8F2E-B12ACCEA00C0}"/>
    <cellStyle name="Normal 2 4 4 17 4 2" xfId="12974" xr:uid="{D3D023FF-FA74-41D4-AE41-30D55D860C68}"/>
    <cellStyle name="Normal 2 4 4 17 5" xfId="12969" xr:uid="{134CF356-5013-45D0-AF65-8FEDF925652C}"/>
    <cellStyle name="Normal 2 4 4 18" xfId="4143" xr:uid="{37D78390-C9F7-4EA3-9131-6EEBDC6C3257}"/>
    <cellStyle name="Normal 2 4 4 18 2" xfId="4144" xr:uid="{0CB015C7-B357-45B5-922B-8B66C38309D9}"/>
    <cellStyle name="Normal 2 4 4 18 2 2" xfId="4145" xr:uid="{82DFFE7E-98EE-4D1B-890D-8ADFA074621E}"/>
    <cellStyle name="Normal 2 4 4 18 2 2 2" xfId="12977" xr:uid="{885B0E14-0DB0-481F-9B47-C4CB5E3ECA72}"/>
    <cellStyle name="Normal 2 4 4 18 2 3" xfId="4146" xr:uid="{85714B27-65BF-46B3-8E6D-6C8F68B98398}"/>
    <cellStyle name="Normal 2 4 4 18 2 3 2" xfId="12978" xr:uid="{2A412DFC-7907-4B55-87BF-6748671F309A}"/>
    <cellStyle name="Normal 2 4 4 18 2 4" xfId="12976" xr:uid="{D9D71B7B-432D-411F-9864-8DB5744D96AA}"/>
    <cellStyle name="Normal 2 4 4 18 3" xfId="4147" xr:uid="{DB9293DF-1D52-4276-A2D0-66AFC122A164}"/>
    <cellStyle name="Normal 2 4 4 18 3 2" xfId="12979" xr:uid="{5EEFA0F4-31E7-4374-82A9-B44D891BF570}"/>
    <cellStyle name="Normal 2 4 4 18 4" xfId="4148" xr:uid="{A36759D2-1968-40F8-8B27-A294DD8C59F7}"/>
    <cellStyle name="Normal 2 4 4 18 4 2" xfId="12980" xr:uid="{B68984DF-0B29-43C4-A64D-022657C80540}"/>
    <cellStyle name="Normal 2 4 4 18 5" xfId="12975" xr:uid="{0B1A1175-8678-41DD-9797-2EB9EE157372}"/>
    <cellStyle name="Normal 2 4 4 19" xfId="4149" xr:uid="{B462CF21-6A0C-49CF-ADA9-FCD653011C7C}"/>
    <cellStyle name="Normal 2 4 4 19 2" xfId="4150" xr:uid="{B107DF60-A322-4005-84FE-62BD0BC399F1}"/>
    <cellStyle name="Normal 2 4 4 19 2 2" xfId="4151" xr:uid="{D5129D00-B1B7-43EC-9404-CE7540F58CA0}"/>
    <cellStyle name="Normal 2 4 4 19 2 2 2" xfId="12983" xr:uid="{EDC3F7E1-7AF0-43FB-BCB9-6038F475CE68}"/>
    <cellStyle name="Normal 2 4 4 19 2 3" xfId="4152" xr:uid="{717053BD-FABD-4F8E-A5C7-140C7D25289C}"/>
    <cellStyle name="Normal 2 4 4 19 2 3 2" xfId="12984" xr:uid="{311DCB99-6AB9-4E85-8968-C14FA5619050}"/>
    <cellStyle name="Normal 2 4 4 19 2 4" xfId="12982" xr:uid="{391415AD-9AE1-4EDE-9895-F9963BF0BF24}"/>
    <cellStyle name="Normal 2 4 4 19 3" xfId="4153" xr:uid="{DE762667-5033-4642-993D-2B8438813006}"/>
    <cellStyle name="Normal 2 4 4 19 3 2" xfId="12985" xr:uid="{1F6A20AB-0619-451D-A7CC-FDCC782FF69A}"/>
    <cellStyle name="Normal 2 4 4 19 4" xfId="4154" xr:uid="{ACB0CA61-AEEB-4C43-8A27-EEA67CBF6B59}"/>
    <cellStyle name="Normal 2 4 4 19 4 2" xfId="12986" xr:uid="{E5DDA7B7-66AD-4FDA-8460-8873BB9F5388}"/>
    <cellStyle name="Normal 2 4 4 19 5" xfId="12981" xr:uid="{4793CCD3-40C1-414A-8CBD-1B6E2EEF10B1}"/>
    <cellStyle name="Normal 2 4 4 2" xfId="4155" xr:uid="{0C192AEA-54A9-48A4-99D8-AA2CBBA1510C}"/>
    <cellStyle name="Normal 2 4 4 2 2" xfId="4156" xr:uid="{408CDD04-568A-4ADE-942B-A479DFCF9441}"/>
    <cellStyle name="Normal 2 4 4 2 2 2" xfId="4157" xr:uid="{AD552EF9-F721-4801-800A-9D2B00C03E97}"/>
    <cellStyle name="Normal 2 4 4 2 2 2 2" xfId="12989" xr:uid="{7B0655EB-961B-46DF-94DB-BF4CE71E251A}"/>
    <cellStyle name="Normal 2 4 4 2 2 3" xfId="4158" xr:uid="{5144DD53-7550-4CE9-BC05-E9892C5F40F1}"/>
    <cellStyle name="Normal 2 4 4 2 2 3 2" xfId="12990" xr:uid="{A1166757-0A92-42B3-BA7B-944808C8FCCF}"/>
    <cellStyle name="Normal 2 4 4 2 2 4" xfId="12988" xr:uid="{7066CBAF-FA09-4B7E-91EF-3A9D0521917D}"/>
    <cellStyle name="Normal 2 4 4 2 3" xfId="4159" xr:uid="{C9E6C9F6-726F-4A99-B4E4-49FC35B3A952}"/>
    <cellStyle name="Normal 2 4 4 2 3 2" xfId="12991" xr:uid="{BDB85224-91DB-4F84-A1C8-FB6F68AE2BF2}"/>
    <cellStyle name="Normal 2 4 4 2 4" xfId="4160" xr:uid="{0C401B28-6005-4B84-8C07-82A28250E361}"/>
    <cellStyle name="Normal 2 4 4 2 4 2" xfId="12992" xr:uid="{53E478DE-7AC9-4498-BD04-A2751EE99FA0}"/>
    <cellStyle name="Normal 2 4 4 2 5" xfId="12987" xr:uid="{A01DEB26-065B-4D84-9362-0A2179025C64}"/>
    <cellStyle name="Normal 2 4 4 20" xfId="4161" xr:uid="{5FA46A80-5568-4CBD-B2FE-1CC418B120A3}"/>
    <cellStyle name="Normal 2 4 4 20 2" xfId="4162" xr:uid="{6350139B-EF92-4BFB-A8D1-E3571CB76E9F}"/>
    <cellStyle name="Normal 2 4 4 20 2 2" xfId="4163" xr:uid="{1906D913-A208-45EF-A6D7-606E7EFAB858}"/>
    <cellStyle name="Normal 2 4 4 20 2 2 2" xfId="12995" xr:uid="{8A7E9F2C-5A6F-4792-A420-6646D8F3E34E}"/>
    <cellStyle name="Normal 2 4 4 20 2 3" xfId="4164" xr:uid="{D1744DBD-2400-4076-BA78-7E3A31C7607F}"/>
    <cellStyle name="Normal 2 4 4 20 2 3 2" xfId="12996" xr:uid="{4552C129-9276-4AAA-ADC0-07940B549569}"/>
    <cellStyle name="Normal 2 4 4 20 2 4" xfId="12994" xr:uid="{AFBDEBE4-0B86-4FC5-BE31-978CA4AD7A28}"/>
    <cellStyle name="Normal 2 4 4 20 3" xfId="4165" xr:uid="{C94F4C8A-1398-4DFF-AEEB-7F9F4107A605}"/>
    <cellStyle name="Normal 2 4 4 20 3 2" xfId="12997" xr:uid="{80167B0E-8485-4346-8AF9-38E179F422A8}"/>
    <cellStyle name="Normal 2 4 4 20 4" xfId="4166" xr:uid="{8975AD87-8855-4441-9B8F-960E1536C2FF}"/>
    <cellStyle name="Normal 2 4 4 20 4 2" xfId="12998" xr:uid="{03FFB82B-E041-415B-9868-7AD0DE7E19BD}"/>
    <cellStyle name="Normal 2 4 4 20 5" xfId="12993" xr:uid="{691A20EE-DBDC-4159-8A51-7F8376324223}"/>
    <cellStyle name="Normal 2 4 4 21" xfId="4167" xr:uid="{D8925C17-9852-48CD-A961-3414F30514E5}"/>
    <cellStyle name="Normal 2 4 4 21 2" xfId="4168" xr:uid="{F7B4A963-73D7-4698-AFB4-DD4F5F5E0448}"/>
    <cellStyle name="Normal 2 4 4 21 2 2" xfId="4169" xr:uid="{55CB971C-FD89-4FAB-B206-748BC5805DFE}"/>
    <cellStyle name="Normal 2 4 4 21 2 2 2" xfId="13001" xr:uid="{AB449E0D-BEE7-4072-83BD-779E730C6976}"/>
    <cellStyle name="Normal 2 4 4 21 2 3" xfId="4170" xr:uid="{65839693-FD9E-4C81-A2F9-F0FF5CC204E5}"/>
    <cellStyle name="Normal 2 4 4 21 2 3 2" xfId="13002" xr:uid="{63474726-9B86-4B0B-A9F9-EDEFE46D566C}"/>
    <cellStyle name="Normal 2 4 4 21 2 4" xfId="13000" xr:uid="{6B4246B2-F49D-4ED9-965E-58670F6B7644}"/>
    <cellStyle name="Normal 2 4 4 21 3" xfId="4171" xr:uid="{D96F4607-469A-46AA-8A57-FECC95DD004E}"/>
    <cellStyle name="Normal 2 4 4 21 3 2" xfId="13003" xr:uid="{8A26ACE3-1BF6-4829-A38E-E52708D6C3C8}"/>
    <cellStyle name="Normal 2 4 4 21 4" xfId="4172" xr:uid="{B50FE900-4316-4ED1-ABB2-848F9DD84AD7}"/>
    <cellStyle name="Normal 2 4 4 21 4 2" xfId="13004" xr:uid="{9CCED479-69F9-4929-8D06-D12A430F1CB5}"/>
    <cellStyle name="Normal 2 4 4 21 5" xfId="12999" xr:uid="{FE072D98-3BED-46DC-BE47-4E582599114E}"/>
    <cellStyle name="Normal 2 4 4 22" xfId="4173" xr:uid="{86D47D40-C29A-4744-871D-58FD062144BA}"/>
    <cellStyle name="Normal 2 4 4 22 2" xfId="4174" xr:uid="{2EEE234C-08AC-4680-8AD9-BB6D15193D1F}"/>
    <cellStyle name="Normal 2 4 4 22 2 2" xfId="4175" xr:uid="{BEDD2C5E-1846-4411-9FCC-0AA92C91C377}"/>
    <cellStyle name="Normal 2 4 4 22 2 2 2" xfId="13007" xr:uid="{20BE960D-C312-4604-A7B7-4AF557406FD0}"/>
    <cellStyle name="Normal 2 4 4 22 2 3" xfId="4176" xr:uid="{4294B1CD-5AED-4F02-B97F-7B0E6283754A}"/>
    <cellStyle name="Normal 2 4 4 22 2 3 2" xfId="13008" xr:uid="{6F0A5369-50D6-4C9D-9C49-4C9E0B815E09}"/>
    <cellStyle name="Normal 2 4 4 22 2 4" xfId="13006" xr:uid="{0ED317E2-A1AE-476C-8911-0B88A0799027}"/>
    <cellStyle name="Normal 2 4 4 22 3" xfId="4177" xr:uid="{EE19E084-59E6-4DC1-AF29-98E3DBEF2963}"/>
    <cellStyle name="Normal 2 4 4 22 3 2" xfId="13009" xr:uid="{B48189FA-0946-410A-87F6-CC542C7865FF}"/>
    <cellStyle name="Normal 2 4 4 22 4" xfId="4178" xr:uid="{B552DE38-82EB-48BB-9A48-EBCCB8A485E3}"/>
    <cellStyle name="Normal 2 4 4 22 4 2" xfId="13010" xr:uid="{24630C4A-7B1A-4FD4-AA60-494694B6826D}"/>
    <cellStyle name="Normal 2 4 4 22 5" xfId="13005" xr:uid="{EA848B1C-D2ED-4A67-8C78-90B536A0AA81}"/>
    <cellStyle name="Normal 2 4 4 23" xfId="4179" xr:uid="{1589AA3D-5C69-4354-B5E7-FA2CB5EBE8AB}"/>
    <cellStyle name="Normal 2 4 4 23 2" xfId="4180" xr:uid="{938F9C84-0231-4F9E-9801-4CFB2F5C3F85}"/>
    <cellStyle name="Normal 2 4 4 23 2 2" xfId="4181" xr:uid="{302909E0-58AA-448D-9BDC-F9A1A1A90CE7}"/>
    <cellStyle name="Normal 2 4 4 23 2 2 2" xfId="13013" xr:uid="{2D4255F0-A815-4EFA-AA35-DC3D2E0EAD1A}"/>
    <cellStyle name="Normal 2 4 4 23 2 3" xfId="4182" xr:uid="{78109078-C963-4609-B7E4-417BE6D5464A}"/>
    <cellStyle name="Normal 2 4 4 23 2 3 2" xfId="13014" xr:uid="{374B932F-9FB5-496E-A4B3-C9B2751E5687}"/>
    <cellStyle name="Normal 2 4 4 23 2 4" xfId="13012" xr:uid="{5B2BF48E-D1F3-48FF-BCE3-41AC33804886}"/>
    <cellStyle name="Normal 2 4 4 23 3" xfId="4183" xr:uid="{ED56B572-DF05-4A43-9B42-06B9092979C2}"/>
    <cellStyle name="Normal 2 4 4 23 3 2" xfId="13015" xr:uid="{DA44F629-0F66-46FB-9052-EFE0CF3A85A5}"/>
    <cellStyle name="Normal 2 4 4 23 4" xfId="4184" xr:uid="{76963B73-5D44-43BC-82EB-AF9919F8D5A1}"/>
    <cellStyle name="Normal 2 4 4 23 4 2" xfId="13016" xr:uid="{7E287B4B-B088-4247-804C-F0674CF5772D}"/>
    <cellStyle name="Normal 2 4 4 23 5" xfId="13011" xr:uid="{388BA095-F610-4BCA-8C7A-E2D21871717E}"/>
    <cellStyle name="Normal 2 4 4 24" xfId="4185" xr:uid="{71ECBBAD-42DB-4B1D-8408-DB44EB265E8F}"/>
    <cellStyle name="Normal 2 4 4 24 2" xfId="4186" xr:uid="{90FACC05-E73E-4893-910C-FBAE8431C35B}"/>
    <cellStyle name="Normal 2 4 4 24 2 2" xfId="4187" xr:uid="{3545A5E5-384F-4C99-B274-7EE3F8EF2C6C}"/>
    <cellStyle name="Normal 2 4 4 24 2 2 2" xfId="13019" xr:uid="{709A04B4-E0CD-42C2-9DDC-6B4A539CC81F}"/>
    <cellStyle name="Normal 2 4 4 24 2 3" xfId="4188" xr:uid="{8DA9CEC5-1AA4-4B0D-8AFE-3736CDA65760}"/>
    <cellStyle name="Normal 2 4 4 24 2 3 2" xfId="13020" xr:uid="{42F6848B-ADA2-4C16-8466-EBEA8C2B086C}"/>
    <cellStyle name="Normal 2 4 4 24 2 4" xfId="13018" xr:uid="{095BB71E-B1AA-4C64-AFA7-91DB92AF6D8F}"/>
    <cellStyle name="Normal 2 4 4 24 3" xfId="4189" xr:uid="{530CAC4F-560D-4920-82CC-194606DD2668}"/>
    <cellStyle name="Normal 2 4 4 24 3 2" xfId="13021" xr:uid="{F865EB02-C304-4669-B48F-79D547505E1E}"/>
    <cellStyle name="Normal 2 4 4 24 4" xfId="4190" xr:uid="{F8429BDA-B777-4984-92B8-C6F24C360912}"/>
    <cellStyle name="Normal 2 4 4 24 4 2" xfId="13022" xr:uid="{A8376BF3-556F-4DCB-B8F5-CFBC6B6E2D36}"/>
    <cellStyle name="Normal 2 4 4 24 5" xfId="13017" xr:uid="{2170A6BE-82F5-49DE-A419-F55A4FA77936}"/>
    <cellStyle name="Normal 2 4 4 25" xfId="4191" xr:uid="{5C22815C-FDAC-48D1-846A-7EC719A13182}"/>
    <cellStyle name="Normal 2 4 4 25 2" xfId="4192" xr:uid="{72D817B7-C0FE-4AFE-9470-84B2AF603540}"/>
    <cellStyle name="Normal 2 4 4 25 2 2" xfId="4193" xr:uid="{960B98EA-3493-43B5-A05D-1D2EAAEA8373}"/>
    <cellStyle name="Normal 2 4 4 25 2 2 2" xfId="13025" xr:uid="{51CB15B5-E0BC-4B82-9B62-604371C4BB2B}"/>
    <cellStyle name="Normal 2 4 4 25 2 3" xfId="4194" xr:uid="{8430D8B4-B206-4CB2-AA4C-3A1D65E4C924}"/>
    <cellStyle name="Normal 2 4 4 25 2 3 2" xfId="13026" xr:uid="{E77FDFA3-8955-4411-A229-A2D54859A876}"/>
    <cellStyle name="Normal 2 4 4 25 2 4" xfId="13024" xr:uid="{A6871C23-4A07-496D-9EF2-EC4DAAA87E89}"/>
    <cellStyle name="Normal 2 4 4 25 3" xfId="4195" xr:uid="{8E2E3229-1B50-4BEC-8B90-5C65FF9F13AD}"/>
    <cellStyle name="Normal 2 4 4 25 3 2" xfId="13027" xr:uid="{E9A442F0-89F9-420C-8432-1E99BD1313DB}"/>
    <cellStyle name="Normal 2 4 4 25 4" xfId="4196" xr:uid="{9CD9C1FD-A4FF-4697-AE5B-022C2416E64C}"/>
    <cellStyle name="Normal 2 4 4 25 4 2" xfId="13028" xr:uid="{91BB3B03-F0DE-4052-87BE-0292EF3C9CDB}"/>
    <cellStyle name="Normal 2 4 4 25 5" xfId="13023" xr:uid="{94DD5E68-BF26-433E-A44E-EC2B562F62D8}"/>
    <cellStyle name="Normal 2 4 4 26" xfId="4197" xr:uid="{30CF9DE0-DE01-405B-8943-B5FF6FBB7DC1}"/>
    <cellStyle name="Normal 2 4 4 26 2" xfId="4198" xr:uid="{F2BF5A34-3533-4E88-BA6F-9FFAA6D1C29F}"/>
    <cellStyle name="Normal 2 4 4 26 2 2" xfId="4199" xr:uid="{E8D4609A-36D9-40EC-9C9A-ADB37C6C0FDF}"/>
    <cellStyle name="Normal 2 4 4 26 2 2 2" xfId="13031" xr:uid="{C6551A4C-4C91-4A78-B315-847793B906AD}"/>
    <cellStyle name="Normal 2 4 4 26 2 3" xfId="4200" xr:uid="{27DC8C86-93BC-4FA0-B553-27114D7ECA20}"/>
    <cellStyle name="Normal 2 4 4 26 2 3 2" xfId="13032" xr:uid="{89DABC29-9083-49C2-8B1C-6F38C1CC3D7C}"/>
    <cellStyle name="Normal 2 4 4 26 2 4" xfId="13030" xr:uid="{2FB58284-DC9E-48C9-B280-A318B2BF7876}"/>
    <cellStyle name="Normal 2 4 4 26 3" xfId="4201" xr:uid="{DB8EA3F4-CD1C-4D7F-BF6D-EA14F061B65F}"/>
    <cellStyle name="Normal 2 4 4 26 3 2" xfId="13033" xr:uid="{3CAC403B-E22D-44A2-8A19-62D493124216}"/>
    <cellStyle name="Normal 2 4 4 26 4" xfId="4202" xr:uid="{9E7CB2ED-7780-49FD-A963-16C52E95F77B}"/>
    <cellStyle name="Normal 2 4 4 26 4 2" xfId="13034" xr:uid="{CB1C147A-95D7-4CF7-B6DD-36B38BAF48B9}"/>
    <cellStyle name="Normal 2 4 4 26 5" xfId="13029" xr:uid="{39F298A2-0BC8-459A-8E3C-0C57D26B4D7D}"/>
    <cellStyle name="Normal 2 4 4 27" xfId="4203" xr:uid="{B14929C1-15AB-4A73-9ECF-B0590DE58E1E}"/>
    <cellStyle name="Normal 2 4 4 27 2" xfId="4204" xr:uid="{B25BFFF1-E331-4CC9-899E-670CC2EE0D01}"/>
    <cellStyle name="Normal 2 4 4 27 2 2" xfId="4205" xr:uid="{06A9C1F7-93AE-4C12-989A-CC080217E8E6}"/>
    <cellStyle name="Normal 2 4 4 27 2 2 2" xfId="13037" xr:uid="{C98D638F-C7A4-43BD-8AEC-4EB28209D337}"/>
    <cellStyle name="Normal 2 4 4 27 2 3" xfId="4206" xr:uid="{C73C813A-7F41-48A0-A6A6-B6EEA23F85A8}"/>
    <cellStyle name="Normal 2 4 4 27 2 3 2" xfId="13038" xr:uid="{67039025-44EC-4BF3-A74D-4B7C006C91C2}"/>
    <cellStyle name="Normal 2 4 4 27 2 4" xfId="13036" xr:uid="{25F2DBF5-4319-45BB-A424-CF2ACE42D499}"/>
    <cellStyle name="Normal 2 4 4 27 3" xfId="4207" xr:uid="{35C1063B-B33C-4BF9-AB2E-7100777086E1}"/>
    <cellStyle name="Normal 2 4 4 27 3 2" xfId="13039" xr:uid="{FE74A7B1-333F-4454-B9A0-A7FCD83A4022}"/>
    <cellStyle name="Normal 2 4 4 27 4" xfId="4208" xr:uid="{1299FA47-1B64-4022-885E-744EF561C32E}"/>
    <cellStyle name="Normal 2 4 4 27 4 2" xfId="13040" xr:uid="{967C89D8-A7C4-4CF7-B834-F2525FCFB9EF}"/>
    <cellStyle name="Normal 2 4 4 27 5" xfId="13035" xr:uid="{7ABA3088-D794-4299-85FE-F8C30B398FB6}"/>
    <cellStyle name="Normal 2 4 4 28" xfId="4209" xr:uid="{21215028-11EC-49F8-8E02-44018C8D41DB}"/>
    <cellStyle name="Normal 2 4 4 28 2" xfId="4210" xr:uid="{E2BB95EE-BF02-4DD9-A252-867714D21544}"/>
    <cellStyle name="Normal 2 4 4 28 2 2" xfId="4211" xr:uid="{9DAF5FE5-4BA7-4BCE-952A-17B3E90A2F93}"/>
    <cellStyle name="Normal 2 4 4 28 2 2 2" xfId="13043" xr:uid="{B0536552-858E-4453-8D8B-33C1CD8498E5}"/>
    <cellStyle name="Normal 2 4 4 28 2 3" xfId="4212" xr:uid="{BE1A693F-FBB8-4FAB-B1D1-DCD0B465EFD0}"/>
    <cellStyle name="Normal 2 4 4 28 2 3 2" xfId="13044" xr:uid="{21E3D12D-1F00-49A3-9E7E-76A027413130}"/>
    <cellStyle name="Normal 2 4 4 28 2 4" xfId="13042" xr:uid="{6895FE5A-98EC-4D8D-AF95-5A875014DD8E}"/>
    <cellStyle name="Normal 2 4 4 28 3" xfId="4213" xr:uid="{229D5FB7-A47C-4AD1-BEEF-6958D921E6DD}"/>
    <cellStyle name="Normal 2 4 4 28 3 2" xfId="13045" xr:uid="{F9037378-F270-4E2E-9CEA-63A4A54B4FDB}"/>
    <cellStyle name="Normal 2 4 4 28 4" xfId="4214" xr:uid="{4878EC16-F52A-4F60-AB6E-8D3A95D39E12}"/>
    <cellStyle name="Normal 2 4 4 28 4 2" xfId="13046" xr:uid="{194566A4-F9F8-4426-A060-0D40E48DC42C}"/>
    <cellStyle name="Normal 2 4 4 28 5" xfId="13041" xr:uid="{629C3866-5CE9-4E1D-A203-8E66D87EA1BC}"/>
    <cellStyle name="Normal 2 4 4 29" xfId="4215" xr:uid="{E283F72B-3727-4EAB-863A-08464029A0C8}"/>
    <cellStyle name="Normal 2 4 4 29 2" xfId="4216" xr:uid="{8BEA0E9F-3E88-405B-8676-5B0951EB1AAE}"/>
    <cellStyle name="Normal 2 4 4 29 2 2" xfId="4217" xr:uid="{07C1F925-1BD3-4DBD-8B4D-50C78092AB3D}"/>
    <cellStyle name="Normal 2 4 4 29 2 2 2" xfId="13049" xr:uid="{5E5853EF-F59F-4515-8A38-1122155C70EC}"/>
    <cellStyle name="Normal 2 4 4 29 2 3" xfId="4218" xr:uid="{52F3DFC8-9818-44FB-AC56-C6210DA951E6}"/>
    <cellStyle name="Normal 2 4 4 29 2 3 2" xfId="13050" xr:uid="{FC236DB5-3DE8-482E-86FD-4E659E676F39}"/>
    <cellStyle name="Normal 2 4 4 29 2 4" xfId="13048" xr:uid="{6573E4BF-6A8C-434D-B4DF-CB9A36CC7A37}"/>
    <cellStyle name="Normal 2 4 4 29 3" xfId="4219" xr:uid="{E7C186FD-C188-4E8C-B55D-CAB2D55783F4}"/>
    <cellStyle name="Normal 2 4 4 29 3 2" xfId="13051" xr:uid="{179AA522-6DE7-4F11-823B-E35A82C4EECA}"/>
    <cellStyle name="Normal 2 4 4 29 4" xfId="4220" xr:uid="{D51AB090-5BD3-4117-A590-FFBC71AFC57A}"/>
    <cellStyle name="Normal 2 4 4 29 4 2" xfId="13052" xr:uid="{AB77EDBC-58EB-4AE2-9584-3E8A71C61BE7}"/>
    <cellStyle name="Normal 2 4 4 29 5" xfId="13047" xr:uid="{3CEF99F9-9347-4FA6-A94B-BE9A4B7C0A2F}"/>
    <cellStyle name="Normal 2 4 4 3" xfId="4221" xr:uid="{758E6BE7-6223-425A-86C7-15C870F0A4DA}"/>
    <cellStyle name="Normal 2 4 4 3 2" xfId="4222" xr:uid="{4AFEBF74-EA48-4E5A-92AE-487C190EF5D9}"/>
    <cellStyle name="Normal 2 4 4 3 2 2" xfId="4223" xr:uid="{05D779A6-504C-485D-9C8D-5A5E2A892488}"/>
    <cellStyle name="Normal 2 4 4 3 2 2 2" xfId="13055" xr:uid="{25990D88-D0A6-4551-B607-D661E8BFBD4C}"/>
    <cellStyle name="Normal 2 4 4 3 2 3" xfId="4224" xr:uid="{0F3BACC1-764B-43EB-BDDD-6C7962D3F5B3}"/>
    <cellStyle name="Normal 2 4 4 3 2 3 2" xfId="13056" xr:uid="{FA7EB788-1477-41A2-9D97-2F26813B1EDD}"/>
    <cellStyle name="Normal 2 4 4 3 2 4" xfId="13054" xr:uid="{9D0F6D45-9D0F-4802-9194-A59A616A9C09}"/>
    <cellStyle name="Normal 2 4 4 3 3" xfId="4225" xr:uid="{142CD344-1E54-42D1-A4AE-55BBCCE22F86}"/>
    <cellStyle name="Normal 2 4 4 3 3 2" xfId="13057" xr:uid="{A71FA31F-2176-4415-9205-169C46D07377}"/>
    <cellStyle name="Normal 2 4 4 3 4" xfId="4226" xr:uid="{D18A69D8-F41A-44C1-BCF7-7B03CFD0C3A3}"/>
    <cellStyle name="Normal 2 4 4 3 4 2" xfId="13058" xr:uid="{C7E15B65-E21B-419A-A6AB-6CB915C433B6}"/>
    <cellStyle name="Normal 2 4 4 3 5" xfId="13053" xr:uid="{7FDE6F62-459F-4000-A71B-16651FDC7959}"/>
    <cellStyle name="Normal 2 4 4 30" xfId="4227" xr:uid="{D1A16F3E-44C0-4940-B643-D51D97793B9A}"/>
    <cellStyle name="Normal 2 4 4 30 2" xfId="4228" xr:uid="{4BFB9327-3E5B-4D36-BFF2-48DA37AC0269}"/>
    <cellStyle name="Normal 2 4 4 30 2 2" xfId="4229" xr:uid="{38777175-B0D6-44CA-B1A7-A71B70368B07}"/>
    <cellStyle name="Normal 2 4 4 30 2 2 2" xfId="13061" xr:uid="{E8290F71-871B-4098-A90A-7F9850F95A83}"/>
    <cellStyle name="Normal 2 4 4 30 2 3" xfId="4230" xr:uid="{F0A7600F-2B5B-4CE6-B359-2ECC5E365FA0}"/>
    <cellStyle name="Normal 2 4 4 30 2 3 2" xfId="13062" xr:uid="{9A8BD506-A848-4211-A99D-A906E933213F}"/>
    <cellStyle name="Normal 2 4 4 30 2 4" xfId="13060" xr:uid="{B7FF6DC0-E8B6-404C-AD3A-C8E56873F7B3}"/>
    <cellStyle name="Normal 2 4 4 30 3" xfId="4231" xr:uid="{39F161D2-F911-43D7-913B-C8891A308D29}"/>
    <cellStyle name="Normal 2 4 4 30 3 2" xfId="13063" xr:uid="{17A9CEBF-9A90-40D8-886F-04831AB4C06E}"/>
    <cellStyle name="Normal 2 4 4 30 4" xfId="4232" xr:uid="{2F6CDE8E-5397-4FED-9BDD-22E2A9C66CFF}"/>
    <cellStyle name="Normal 2 4 4 30 4 2" xfId="13064" xr:uid="{E1BA7EF6-D6ED-4DA6-A994-51B8FF9DE54D}"/>
    <cellStyle name="Normal 2 4 4 30 5" xfId="13059" xr:uid="{E759D29F-94DB-4AF3-9459-6C19464FD405}"/>
    <cellStyle name="Normal 2 4 4 31" xfId="4233" xr:uid="{DD9B2A5C-78DF-491D-B15D-F1A634BD9A94}"/>
    <cellStyle name="Normal 2 4 4 31 2" xfId="4234" xr:uid="{99DB6C0E-DBF4-4DCB-8E9B-71A0043E6506}"/>
    <cellStyle name="Normal 2 4 4 31 2 2" xfId="4235" xr:uid="{63E6778A-F511-4446-8485-20974E8724AE}"/>
    <cellStyle name="Normal 2 4 4 31 2 2 2" xfId="13067" xr:uid="{E80E9A31-DB69-47B6-B0EC-E19539475039}"/>
    <cellStyle name="Normal 2 4 4 31 2 3" xfId="4236" xr:uid="{9BFC68FB-46AE-4532-A92B-7BBD17245EAE}"/>
    <cellStyle name="Normal 2 4 4 31 2 3 2" xfId="13068" xr:uid="{B6BA7633-ACD7-4D0B-AFC6-854169763ED1}"/>
    <cellStyle name="Normal 2 4 4 31 2 4" xfId="13066" xr:uid="{92E31785-CDE7-4E9D-831E-385988E116FC}"/>
    <cellStyle name="Normal 2 4 4 31 3" xfId="4237" xr:uid="{B58CBFAF-B35A-4B31-B8FD-469CB8109B71}"/>
    <cellStyle name="Normal 2 4 4 31 3 2" xfId="13069" xr:uid="{053AE905-04E0-4906-A695-0E63E32E0B68}"/>
    <cellStyle name="Normal 2 4 4 31 4" xfId="4238" xr:uid="{9AED50AC-6E64-4A28-8AD6-6D0CCB81FEFA}"/>
    <cellStyle name="Normal 2 4 4 31 4 2" xfId="13070" xr:uid="{6FA672C2-6621-4A2E-AC7E-786DDFE8AADF}"/>
    <cellStyle name="Normal 2 4 4 31 5" xfId="13065" xr:uid="{E0E27AA3-8189-4B62-A74E-618138564AE2}"/>
    <cellStyle name="Normal 2 4 4 32" xfId="4239" xr:uid="{65A2A247-6DD6-46A5-B6AE-8C3DFD7B64F7}"/>
    <cellStyle name="Normal 2 4 4 32 2" xfId="4240" xr:uid="{EEDF2940-FEC5-4722-A0ED-18715DD3D4C2}"/>
    <cellStyle name="Normal 2 4 4 32 2 2" xfId="4241" xr:uid="{611DCDAB-AE1C-43AB-979E-8584D917803A}"/>
    <cellStyle name="Normal 2 4 4 32 2 2 2" xfId="13073" xr:uid="{C027B0A4-8D17-4D29-87D4-8B180B26451B}"/>
    <cellStyle name="Normal 2 4 4 32 2 3" xfId="4242" xr:uid="{6B83E2FD-A523-4C71-800E-5CDA0488C7E7}"/>
    <cellStyle name="Normal 2 4 4 32 2 3 2" xfId="13074" xr:uid="{AB458E78-B7CE-4FC3-BCF8-E45AFF917DB4}"/>
    <cellStyle name="Normal 2 4 4 32 2 4" xfId="13072" xr:uid="{FA6EA145-06EA-4634-911E-A4EB615741B9}"/>
    <cellStyle name="Normal 2 4 4 32 3" xfId="4243" xr:uid="{3AAF4477-10DA-4442-864C-C1FCF6D8B541}"/>
    <cellStyle name="Normal 2 4 4 32 3 2" xfId="13075" xr:uid="{01D76616-99BA-427F-A651-D7B606823F78}"/>
    <cellStyle name="Normal 2 4 4 32 4" xfId="4244" xr:uid="{EBE5AC72-C8A0-4520-8E5B-18DC75A93942}"/>
    <cellStyle name="Normal 2 4 4 32 4 2" xfId="13076" xr:uid="{C9593023-6AB5-40A2-97BF-2FD752BB5CC3}"/>
    <cellStyle name="Normal 2 4 4 32 5" xfId="13071" xr:uid="{136DEF8F-CC58-45AB-86A9-71C507300057}"/>
    <cellStyle name="Normal 2 4 4 33" xfId="4245" xr:uid="{2513BFFE-8DD2-4B0C-9491-543E70EF05DC}"/>
    <cellStyle name="Normal 2 4 4 33 2" xfId="4246" xr:uid="{7C658C72-6AD6-4410-85A6-DDBD8E71800A}"/>
    <cellStyle name="Normal 2 4 4 33 2 2" xfId="4247" xr:uid="{88A60290-D941-463E-94CA-CBE0E3FD29E2}"/>
    <cellStyle name="Normal 2 4 4 33 2 2 2" xfId="13079" xr:uid="{8E2A52C5-616F-4B3E-A3F0-0CE196FF44F3}"/>
    <cellStyle name="Normal 2 4 4 33 2 3" xfId="4248" xr:uid="{582A5D8C-2C72-4360-8782-926806925EC2}"/>
    <cellStyle name="Normal 2 4 4 33 2 3 2" xfId="13080" xr:uid="{BC042348-8736-4BB3-94C0-61A90B1D7A3A}"/>
    <cellStyle name="Normal 2 4 4 33 2 4" xfId="13078" xr:uid="{79A6165A-B11C-4C6E-98B6-E26FD8CE68AC}"/>
    <cellStyle name="Normal 2 4 4 33 3" xfId="4249" xr:uid="{C5851541-C5AB-4C11-9739-328EB76E2E63}"/>
    <cellStyle name="Normal 2 4 4 33 3 2" xfId="13081" xr:uid="{AB7A5CAA-30E6-4D70-B8F9-4CE82EB4332E}"/>
    <cellStyle name="Normal 2 4 4 33 4" xfId="4250" xr:uid="{9C94019A-AC0C-4BD7-95D8-DE1F0DD61845}"/>
    <cellStyle name="Normal 2 4 4 33 4 2" xfId="13082" xr:uid="{2E4F4656-3753-4FC7-A6C3-8BEAA58949FD}"/>
    <cellStyle name="Normal 2 4 4 33 5" xfId="13077" xr:uid="{66F87A12-8582-4B63-BFC3-AF8AD76A624D}"/>
    <cellStyle name="Normal 2 4 4 34" xfId="4251" xr:uid="{C2A2613B-C218-4E18-9975-B89B046B8C19}"/>
    <cellStyle name="Normal 2 4 4 34 2" xfId="4252" xr:uid="{DFFCCEE3-5903-409B-A3A5-1E212CD32D09}"/>
    <cellStyle name="Normal 2 4 4 34 2 2" xfId="4253" xr:uid="{BFB888A0-A162-4122-A057-B961250A4EED}"/>
    <cellStyle name="Normal 2 4 4 34 2 2 2" xfId="13085" xr:uid="{AA2768EF-020A-4907-8C42-F3E6212312D5}"/>
    <cellStyle name="Normal 2 4 4 34 2 3" xfId="4254" xr:uid="{2594EF34-7CEC-4723-92EC-826887C109BB}"/>
    <cellStyle name="Normal 2 4 4 34 2 3 2" xfId="13086" xr:uid="{1C400E35-5030-4E80-B77F-3F23DE8BCE63}"/>
    <cellStyle name="Normal 2 4 4 34 2 4" xfId="13084" xr:uid="{990C4CD1-BDAD-41F2-8A5F-EE3E246EA004}"/>
    <cellStyle name="Normal 2 4 4 34 3" xfId="4255" xr:uid="{F9200E1A-F78E-4400-ADEE-457E46290385}"/>
    <cellStyle name="Normal 2 4 4 34 3 2" xfId="13087" xr:uid="{5A827DE8-8685-4097-9C81-2D662DE40C51}"/>
    <cellStyle name="Normal 2 4 4 34 4" xfId="4256" xr:uid="{0DAD97D0-991B-4484-AFE9-888C1826AC2D}"/>
    <cellStyle name="Normal 2 4 4 34 4 2" xfId="13088" xr:uid="{7B561547-CBD6-4860-9029-098A60630A27}"/>
    <cellStyle name="Normal 2 4 4 34 5" xfId="13083" xr:uid="{F4D4E079-68F0-472D-8894-A0E3A3BFED42}"/>
    <cellStyle name="Normal 2 4 4 35" xfId="4257" xr:uid="{2424B98E-81B7-4103-B236-8C958DBE647E}"/>
    <cellStyle name="Normal 2 4 4 35 2" xfId="4258" xr:uid="{31911E4D-40A5-4A77-AF4A-977144167ABA}"/>
    <cellStyle name="Normal 2 4 4 35 2 2" xfId="4259" xr:uid="{B0C786C2-FB8D-4701-B9A9-818CF867419C}"/>
    <cellStyle name="Normal 2 4 4 35 2 2 2" xfId="13091" xr:uid="{E523B4E3-0B69-44E3-B3BD-A94AB0FA6738}"/>
    <cellStyle name="Normal 2 4 4 35 2 3" xfId="4260" xr:uid="{8492D821-95F6-4AE5-BAB7-3743869E637B}"/>
    <cellStyle name="Normal 2 4 4 35 2 3 2" xfId="13092" xr:uid="{5F788232-F5B6-4A47-8CD4-DFE55C637E84}"/>
    <cellStyle name="Normal 2 4 4 35 2 4" xfId="13090" xr:uid="{483205CD-FC4C-4163-A1F9-DC5218A26036}"/>
    <cellStyle name="Normal 2 4 4 35 3" xfId="4261" xr:uid="{E8C79C78-0AE3-442C-8F86-2E6739382920}"/>
    <cellStyle name="Normal 2 4 4 35 3 2" xfId="13093" xr:uid="{8E584A4D-1FD0-416C-85F5-E509F9A4A6F9}"/>
    <cellStyle name="Normal 2 4 4 35 4" xfId="4262" xr:uid="{FC5CB92F-D822-4766-985D-880BEA278A75}"/>
    <cellStyle name="Normal 2 4 4 35 4 2" xfId="13094" xr:uid="{7C19E505-5832-4CAF-A3F2-D81EED91A745}"/>
    <cellStyle name="Normal 2 4 4 35 5" xfId="13089" xr:uid="{66F9DE40-3A3E-4C25-9BD6-A89EC074120E}"/>
    <cellStyle name="Normal 2 4 4 36" xfId="4263" xr:uid="{C18DE2B3-0BD7-4BA7-B161-C2DC0D0FB78D}"/>
    <cellStyle name="Normal 2 4 4 36 2" xfId="4264" xr:uid="{1ED82986-901E-4DB1-A6CE-5BF47FAC0631}"/>
    <cellStyle name="Normal 2 4 4 36 2 2" xfId="4265" xr:uid="{BCC75846-6C1A-49E2-BCF4-2D23587FF36B}"/>
    <cellStyle name="Normal 2 4 4 36 2 2 2" xfId="13097" xr:uid="{DE79C4F1-A45E-4178-9EBB-C88ED839EBCE}"/>
    <cellStyle name="Normal 2 4 4 36 2 3" xfId="4266" xr:uid="{6C8C90DB-C9D4-4F22-A3F1-1BE25CB91D5A}"/>
    <cellStyle name="Normal 2 4 4 36 2 3 2" xfId="13098" xr:uid="{5C50732C-7298-4610-90FC-3F99DB157511}"/>
    <cellStyle name="Normal 2 4 4 36 2 4" xfId="13096" xr:uid="{6AF08BC0-64F9-420B-B749-CC9B82E94149}"/>
    <cellStyle name="Normal 2 4 4 36 3" xfId="4267" xr:uid="{4201DAC6-F671-4B23-B204-CD4F1D915171}"/>
    <cellStyle name="Normal 2 4 4 36 3 2" xfId="13099" xr:uid="{F2C070AF-16E5-406B-80DE-C0175FAEC88B}"/>
    <cellStyle name="Normal 2 4 4 36 4" xfId="4268" xr:uid="{86A15D21-6769-46B8-BE60-913A5C1F35A6}"/>
    <cellStyle name="Normal 2 4 4 36 4 2" xfId="13100" xr:uid="{90BD5C90-F623-441B-BA59-8371077DC18D}"/>
    <cellStyle name="Normal 2 4 4 36 5" xfId="13095" xr:uid="{A6DCA658-C690-414A-AE2D-8709BBBCA624}"/>
    <cellStyle name="Normal 2 4 4 37" xfId="4269" xr:uid="{E0C0987A-F232-43EE-AB9B-F642FFAC91F6}"/>
    <cellStyle name="Normal 2 4 4 37 2" xfId="4270" xr:uid="{B507DA09-5C76-409C-AED6-5BAAA72C4710}"/>
    <cellStyle name="Normal 2 4 4 37 2 2" xfId="4271" xr:uid="{E064AB03-8F02-49E3-9153-66FE9C50AA3E}"/>
    <cellStyle name="Normal 2 4 4 37 2 2 2" xfId="13103" xr:uid="{D6F3E97F-2017-466D-A177-8B0BAED15AB2}"/>
    <cellStyle name="Normal 2 4 4 37 2 3" xfId="4272" xr:uid="{F7E16008-59AC-40D3-9B4B-25063714C679}"/>
    <cellStyle name="Normal 2 4 4 37 2 3 2" xfId="13104" xr:uid="{D53F20A9-3D9C-4A9F-9BD2-3E866391C6A3}"/>
    <cellStyle name="Normal 2 4 4 37 2 4" xfId="13102" xr:uid="{14A63FA9-1D2F-4399-8168-92FF91BFA75F}"/>
    <cellStyle name="Normal 2 4 4 37 3" xfId="4273" xr:uid="{46D457C9-E2F5-43D6-9740-34D719CD2ED8}"/>
    <cellStyle name="Normal 2 4 4 37 3 2" xfId="13105" xr:uid="{1D847569-DB3F-481F-8B0C-129AE3486A2D}"/>
    <cellStyle name="Normal 2 4 4 37 4" xfId="4274" xr:uid="{DF9B6190-F69D-4504-8D92-F4723DE67F96}"/>
    <cellStyle name="Normal 2 4 4 37 4 2" xfId="13106" xr:uid="{D6F4E7D3-C657-45C3-B82E-1B96AE1D7E6F}"/>
    <cellStyle name="Normal 2 4 4 37 5" xfId="13101" xr:uid="{0D8DFD97-6065-4FF3-A1E4-15E89BDF0F49}"/>
    <cellStyle name="Normal 2 4 4 38" xfId="4275" xr:uid="{0B9BF2DD-C472-4A53-82A0-D6D3A1500B06}"/>
    <cellStyle name="Normal 2 4 4 38 2" xfId="4276" xr:uid="{6991FFBB-87DB-417C-9D16-5637E1DFE64B}"/>
    <cellStyle name="Normal 2 4 4 38 2 2" xfId="4277" xr:uid="{FEC3051D-F27F-4417-8E61-17A13EBDCC61}"/>
    <cellStyle name="Normal 2 4 4 38 2 2 2" xfId="13109" xr:uid="{AB20D6E0-54CE-4D23-B8C6-3940775AF4AC}"/>
    <cellStyle name="Normal 2 4 4 38 2 3" xfId="4278" xr:uid="{156D3293-E74B-4135-A50A-EAE5FF3154CA}"/>
    <cellStyle name="Normal 2 4 4 38 2 3 2" xfId="13110" xr:uid="{BD9CDD9B-7AAA-4896-9783-02F428A03776}"/>
    <cellStyle name="Normal 2 4 4 38 2 4" xfId="13108" xr:uid="{4CA8C183-AA1D-4B37-B514-FDDB41AF44A4}"/>
    <cellStyle name="Normal 2 4 4 38 3" xfId="4279" xr:uid="{8B52CF96-1865-4585-A104-F022D166C06F}"/>
    <cellStyle name="Normal 2 4 4 38 3 2" xfId="13111" xr:uid="{B0643751-1304-463B-B584-8B6BF0E3D356}"/>
    <cellStyle name="Normal 2 4 4 38 4" xfId="4280" xr:uid="{46BB0034-362C-4997-8629-ECC2684E8804}"/>
    <cellStyle name="Normal 2 4 4 38 4 2" xfId="13112" xr:uid="{B46FB32E-8FD5-4F30-89ED-15B93AB9201B}"/>
    <cellStyle name="Normal 2 4 4 38 5" xfId="13107" xr:uid="{408ADF6F-30DD-4D1F-9FA9-0EBB9B84511B}"/>
    <cellStyle name="Normal 2 4 4 39" xfId="4281" xr:uid="{51766C79-BE44-4E97-A1BE-AC8918C82C1E}"/>
    <cellStyle name="Normal 2 4 4 39 2" xfId="4282" xr:uid="{26A39DB6-EE11-4586-9CB5-1F4F2EA95930}"/>
    <cellStyle name="Normal 2 4 4 39 2 2" xfId="4283" xr:uid="{6B75DF4C-A995-456E-93A5-0391FFF86297}"/>
    <cellStyle name="Normal 2 4 4 39 2 2 2" xfId="13115" xr:uid="{2B257B42-F91D-44FF-9C34-ED056E138A95}"/>
    <cellStyle name="Normal 2 4 4 39 2 3" xfId="4284" xr:uid="{FCBC3986-88E1-409D-9C5E-224DBC201F55}"/>
    <cellStyle name="Normal 2 4 4 39 2 3 2" xfId="13116" xr:uid="{F179D3C3-814F-445E-836A-81E10672309E}"/>
    <cellStyle name="Normal 2 4 4 39 2 4" xfId="13114" xr:uid="{39E8E71A-7CF5-4B02-A873-8F2835E25E99}"/>
    <cellStyle name="Normal 2 4 4 39 3" xfId="4285" xr:uid="{6ACE2CDA-268A-4AEC-9D93-B10004276926}"/>
    <cellStyle name="Normal 2 4 4 39 3 2" xfId="13117" xr:uid="{BAAAF816-DDBF-451B-8A90-80BC19BD72F8}"/>
    <cellStyle name="Normal 2 4 4 39 4" xfId="4286" xr:uid="{0EE54320-7FF7-4D05-8E07-B8BF2600ADF6}"/>
    <cellStyle name="Normal 2 4 4 39 4 2" xfId="13118" xr:uid="{96880135-FD73-4E62-AE20-A6968A13CEA2}"/>
    <cellStyle name="Normal 2 4 4 39 5" xfId="13113" xr:uid="{0658924D-97C2-4C26-8E5B-FD99F273821F}"/>
    <cellStyle name="Normal 2 4 4 4" xfId="4287" xr:uid="{693B362E-636E-4762-8DD8-ECC669FBB727}"/>
    <cellStyle name="Normal 2 4 4 4 2" xfId="4288" xr:uid="{C61DC95E-3A85-4F73-A5EB-DF0AED784E77}"/>
    <cellStyle name="Normal 2 4 4 4 2 2" xfId="4289" xr:uid="{82A7B728-E539-4382-9DDF-248AF59C9DD2}"/>
    <cellStyle name="Normal 2 4 4 4 2 2 2" xfId="13121" xr:uid="{FBF48FCA-3AF3-422A-BE2F-6CFE76007273}"/>
    <cellStyle name="Normal 2 4 4 4 2 3" xfId="4290" xr:uid="{2755D1F1-A229-4F70-B6AB-8B17CFBEC80B}"/>
    <cellStyle name="Normal 2 4 4 4 2 3 2" xfId="13122" xr:uid="{CE0E4072-3F4E-45D7-AB05-14936E31AE87}"/>
    <cellStyle name="Normal 2 4 4 4 2 4" xfId="13120" xr:uid="{08B40372-57B6-456F-89A8-F0435E98FF45}"/>
    <cellStyle name="Normal 2 4 4 4 3" xfId="4291" xr:uid="{B231D0F2-8C73-49FE-8536-0631CCDDCDC4}"/>
    <cellStyle name="Normal 2 4 4 4 3 2" xfId="13123" xr:uid="{4F4A4845-2216-483D-886C-94169100DAF8}"/>
    <cellStyle name="Normal 2 4 4 4 4" xfId="4292" xr:uid="{6CF46FCC-EFF9-40FE-BAD9-AB2999DE2819}"/>
    <cellStyle name="Normal 2 4 4 4 4 2" xfId="13124" xr:uid="{A4C46702-BB64-48EE-BB67-4F665A29EB80}"/>
    <cellStyle name="Normal 2 4 4 4 5" xfId="13119" xr:uid="{F6F60166-7D68-4C3D-8EFB-B797ACFF3519}"/>
    <cellStyle name="Normal 2 4 4 40" xfId="4293" xr:uid="{CF00E3E3-DA1E-47B5-B7D9-4F1F817FB2F1}"/>
    <cellStyle name="Normal 2 4 4 40 2" xfId="4294" xr:uid="{D848F508-33C7-4082-9FAB-EC3F8BB11012}"/>
    <cellStyle name="Normal 2 4 4 40 2 2" xfId="4295" xr:uid="{64DFD169-23B2-483D-9A85-CBDCDECD79DC}"/>
    <cellStyle name="Normal 2 4 4 40 2 2 2" xfId="13127" xr:uid="{63520CCE-6B49-4DF9-8A89-9A5A3170B16E}"/>
    <cellStyle name="Normal 2 4 4 40 2 3" xfId="4296" xr:uid="{2F968401-C2BA-4D13-A6DC-FCE22864764A}"/>
    <cellStyle name="Normal 2 4 4 40 2 3 2" xfId="13128" xr:uid="{031FEE3E-9409-4F0A-AA8C-DD32DD3C3705}"/>
    <cellStyle name="Normal 2 4 4 40 2 4" xfId="13126" xr:uid="{7FA2E24E-B651-4E79-8A77-8766F19E403D}"/>
    <cellStyle name="Normal 2 4 4 40 3" xfId="4297" xr:uid="{54AEB820-A903-4AC4-B312-B13F37CE0AFC}"/>
    <cellStyle name="Normal 2 4 4 40 3 2" xfId="13129" xr:uid="{779D721B-48B8-4716-A909-AD284EA898B1}"/>
    <cellStyle name="Normal 2 4 4 40 4" xfId="4298" xr:uid="{4FD01960-4F93-426D-B341-65381F8F2C94}"/>
    <cellStyle name="Normal 2 4 4 40 4 2" xfId="13130" xr:uid="{C37CC4BD-C52B-40BA-BE61-3905764E6C07}"/>
    <cellStyle name="Normal 2 4 4 40 5" xfId="13125" xr:uid="{7B6BC259-D20D-47B8-8F24-131FE182F1F4}"/>
    <cellStyle name="Normal 2 4 4 41" xfId="4299" xr:uid="{AA8EE941-A281-444D-A4A2-BB9E924C6F68}"/>
    <cellStyle name="Normal 2 4 4 41 2" xfId="4300" xr:uid="{8D196BD9-EC57-4465-A141-BEEDEE4CB0EC}"/>
    <cellStyle name="Normal 2 4 4 41 2 2" xfId="4301" xr:uid="{BDCAF810-A796-452F-B914-F8821F4E5EDE}"/>
    <cellStyle name="Normal 2 4 4 41 2 2 2" xfId="13133" xr:uid="{009D60F4-5FBC-4424-981D-D3AE031C5379}"/>
    <cellStyle name="Normal 2 4 4 41 2 3" xfId="4302" xr:uid="{0E6C3411-3CDC-4A6B-9529-07D6B91C2E32}"/>
    <cellStyle name="Normal 2 4 4 41 2 3 2" xfId="13134" xr:uid="{E24319B5-7BE6-4C53-A9DC-DC9F81B93267}"/>
    <cellStyle name="Normal 2 4 4 41 2 4" xfId="13132" xr:uid="{33B67461-ED5F-48C3-B763-C45C1FC60B78}"/>
    <cellStyle name="Normal 2 4 4 41 3" xfId="4303" xr:uid="{941896E5-7A97-4051-8593-35A13A346420}"/>
    <cellStyle name="Normal 2 4 4 41 3 2" xfId="13135" xr:uid="{4CC4E4B5-1CF2-4432-9E8D-1424B4084D3C}"/>
    <cellStyle name="Normal 2 4 4 41 4" xfId="4304" xr:uid="{3C0FB959-904E-4873-92F9-9CC2287B925D}"/>
    <cellStyle name="Normal 2 4 4 41 4 2" xfId="13136" xr:uid="{44D00F8E-9F84-4D94-A5DE-726C77F0890E}"/>
    <cellStyle name="Normal 2 4 4 41 5" xfId="13131" xr:uid="{D0133CAF-2296-48AC-B1A0-C03C8128BC30}"/>
    <cellStyle name="Normal 2 4 4 42" xfId="4305" xr:uid="{60CCC0BC-6E16-4D6F-977E-9843B05E1567}"/>
    <cellStyle name="Normal 2 4 4 42 2" xfId="4306" xr:uid="{466EFF6B-689A-496E-9890-E8C7AB7E943F}"/>
    <cellStyle name="Normal 2 4 4 42 2 2" xfId="4307" xr:uid="{A9C2D9EA-F58C-482C-BE79-D94BB7A24CEE}"/>
    <cellStyle name="Normal 2 4 4 42 2 2 2" xfId="13139" xr:uid="{3A8E218B-B398-4D30-AE6D-18D2060390CE}"/>
    <cellStyle name="Normal 2 4 4 42 2 3" xfId="4308" xr:uid="{3507F00E-DEDE-4C1B-BDB7-40790A6B54C1}"/>
    <cellStyle name="Normal 2 4 4 42 2 3 2" xfId="13140" xr:uid="{6C1F9ED2-885D-44E1-AFCB-BA7B2A01C354}"/>
    <cellStyle name="Normal 2 4 4 42 2 4" xfId="13138" xr:uid="{0BB296C2-676E-493F-AFFC-3537904CA963}"/>
    <cellStyle name="Normal 2 4 4 42 3" xfId="4309" xr:uid="{B1A10CA0-B994-4120-BAA3-9267C6E11B81}"/>
    <cellStyle name="Normal 2 4 4 42 3 2" xfId="13141" xr:uid="{BA62458D-0B17-40FF-9295-7FAE0FEDFB55}"/>
    <cellStyle name="Normal 2 4 4 42 4" xfId="4310" xr:uid="{923CC8FE-438C-45AD-B3A8-416EDBC385DE}"/>
    <cellStyle name="Normal 2 4 4 42 4 2" xfId="13142" xr:uid="{D1FC1A59-2528-49BD-B8D9-73C6FF5F5D14}"/>
    <cellStyle name="Normal 2 4 4 42 5" xfId="13137" xr:uid="{ED1A7A1C-CF8D-4674-A8EC-8907D84AA20C}"/>
    <cellStyle name="Normal 2 4 4 43" xfId="4311" xr:uid="{8E197DEA-0FA5-4581-973F-0FE048B4339D}"/>
    <cellStyle name="Normal 2 4 4 43 2" xfId="4312" xr:uid="{3C1B4C2F-5511-442C-A606-4C653CA5DBB7}"/>
    <cellStyle name="Normal 2 4 4 43 2 2" xfId="4313" xr:uid="{B910D71F-C808-4A19-9E2B-1FAACEB94C01}"/>
    <cellStyle name="Normal 2 4 4 43 2 2 2" xfId="13145" xr:uid="{C1196ED0-64BB-4BB8-8DBC-8B6A5DAE4C5C}"/>
    <cellStyle name="Normal 2 4 4 43 2 3" xfId="4314" xr:uid="{1238E6C4-95E6-4847-ADE3-C2B36B5FD8D2}"/>
    <cellStyle name="Normal 2 4 4 43 2 3 2" xfId="13146" xr:uid="{EF2873CC-09E2-4E6D-B508-EAADF3869058}"/>
    <cellStyle name="Normal 2 4 4 43 2 4" xfId="13144" xr:uid="{AD0C44A5-585B-49A9-B64C-8F81A86AE98F}"/>
    <cellStyle name="Normal 2 4 4 43 3" xfId="4315" xr:uid="{C524E067-5707-4C78-BBA3-4EADB13A9CD7}"/>
    <cellStyle name="Normal 2 4 4 43 3 2" xfId="13147" xr:uid="{B5ED8B18-4D39-4B7F-B1FF-3B5DE3961D89}"/>
    <cellStyle name="Normal 2 4 4 43 4" xfId="4316" xr:uid="{995C1ED2-1BF3-4D61-B98A-9354C1EE46AD}"/>
    <cellStyle name="Normal 2 4 4 43 4 2" xfId="13148" xr:uid="{75608402-74EE-433B-8264-EE08D8887542}"/>
    <cellStyle name="Normal 2 4 4 43 5" xfId="13143" xr:uid="{8D62EFE2-9D9A-4067-B69C-199E8BB6331F}"/>
    <cellStyle name="Normal 2 4 4 44" xfId="4317" xr:uid="{DF77AEC0-2EA8-40BB-AB90-7B57AA0EC58A}"/>
    <cellStyle name="Normal 2 4 4 44 2" xfId="4318" xr:uid="{4D81BF44-0F14-41CA-8BE4-E66DB6CA4BF6}"/>
    <cellStyle name="Normal 2 4 4 44 2 2" xfId="13150" xr:uid="{D342AE17-A1BC-45E4-A9B2-6C259E979338}"/>
    <cellStyle name="Normal 2 4 4 44 3" xfId="4319" xr:uid="{796E15EE-F062-4CED-A1C7-2FA68CE9EAE2}"/>
    <cellStyle name="Normal 2 4 4 44 3 2" xfId="13151" xr:uid="{2C4D1CB0-6675-4858-8C18-5B7B43557592}"/>
    <cellStyle name="Normal 2 4 4 44 4" xfId="13149" xr:uid="{D26761B2-1A24-4155-B56D-7D0DDE151845}"/>
    <cellStyle name="Normal 2 4 4 45" xfId="4320" xr:uid="{0AD81558-7AC5-472A-B1EB-3D520CBCA211}"/>
    <cellStyle name="Normal 2 4 4 45 2" xfId="13152" xr:uid="{85279FBC-029C-4DCA-A313-6092940DA9ED}"/>
    <cellStyle name="Normal 2 4 4 46" xfId="4321" xr:uid="{1AE66F03-9337-4E07-AB9D-CA11B6612A2F}"/>
    <cellStyle name="Normal 2 4 4 46 2" xfId="13153" xr:uid="{326B48B6-002D-42FB-9156-9D60BC7A44FA}"/>
    <cellStyle name="Normal 2 4 4 47" xfId="12926" xr:uid="{1B8611EC-94FA-4D13-AB79-3EF169E933B8}"/>
    <cellStyle name="Normal 2 4 4 5" xfId="4322" xr:uid="{74A85BC5-7A61-4145-AB4F-F31F01BDAC40}"/>
    <cellStyle name="Normal 2 4 4 5 2" xfId="4323" xr:uid="{1FCF6086-B9FC-4FDD-A033-DC40343C0A10}"/>
    <cellStyle name="Normal 2 4 4 5 2 2" xfId="4324" xr:uid="{7D0E6F27-4FEA-4137-BE31-3EEE8C4B10AC}"/>
    <cellStyle name="Normal 2 4 4 5 2 2 2" xfId="13156" xr:uid="{137321B9-D6CA-4455-BA29-18A3F089A445}"/>
    <cellStyle name="Normal 2 4 4 5 2 3" xfId="4325" xr:uid="{44E4775C-BF91-40A0-A92F-7D46E9810F57}"/>
    <cellStyle name="Normal 2 4 4 5 2 3 2" xfId="13157" xr:uid="{81752EA8-E547-46C0-85A8-1C5C15CC0CF6}"/>
    <cellStyle name="Normal 2 4 4 5 2 4" xfId="13155" xr:uid="{BDD0B7D4-1166-4A67-B1CA-760B1963A515}"/>
    <cellStyle name="Normal 2 4 4 5 3" xfId="4326" xr:uid="{35D94F82-48AA-4AA9-A117-7ACDBF97EF80}"/>
    <cellStyle name="Normal 2 4 4 5 3 2" xfId="13158" xr:uid="{6C29696E-8BCD-44D5-9FEB-4F1D333A90C7}"/>
    <cellStyle name="Normal 2 4 4 5 4" xfId="4327" xr:uid="{57840E9A-C5A0-4A34-8A90-F0A3692AB053}"/>
    <cellStyle name="Normal 2 4 4 5 4 2" xfId="13159" xr:uid="{D44E4441-0B77-429E-B9A3-DFEF9519D414}"/>
    <cellStyle name="Normal 2 4 4 5 5" xfId="13154" xr:uid="{CF12DC70-45EE-4761-86CF-0344646AE252}"/>
    <cellStyle name="Normal 2 4 4 6" xfId="4328" xr:uid="{C36DCC47-07DB-4EDE-B1C0-7E1566562354}"/>
    <cellStyle name="Normal 2 4 4 6 2" xfId="4329" xr:uid="{C55CCED7-6925-46E1-A3A9-1D3FEB3BBB22}"/>
    <cellStyle name="Normal 2 4 4 6 2 2" xfId="4330" xr:uid="{147EDEF7-6E85-4330-A2C3-44D15995E933}"/>
    <cellStyle name="Normal 2 4 4 6 2 2 2" xfId="13162" xr:uid="{EBCB367D-1DDA-4DFC-8E87-6D0FF219C835}"/>
    <cellStyle name="Normal 2 4 4 6 2 3" xfId="4331" xr:uid="{BB8DC9C6-4F5B-4EA8-BE0A-D119F34E4C30}"/>
    <cellStyle name="Normal 2 4 4 6 2 3 2" xfId="13163" xr:uid="{E5265B5E-F283-4D91-B057-3635F10FE31F}"/>
    <cellStyle name="Normal 2 4 4 6 2 4" xfId="13161" xr:uid="{9FB3BF03-BB26-4DF7-BEA8-B3BD0D964178}"/>
    <cellStyle name="Normal 2 4 4 6 3" xfId="4332" xr:uid="{F772868C-0A18-42DA-A6E6-77EADF274C54}"/>
    <cellStyle name="Normal 2 4 4 6 3 2" xfId="13164" xr:uid="{C601B7CE-4C9A-4AFF-BA9E-CE28388FC818}"/>
    <cellStyle name="Normal 2 4 4 6 4" xfId="4333" xr:uid="{FFCB506C-059F-4033-9455-8694EC9D055A}"/>
    <cellStyle name="Normal 2 4 4 6 4 2" xfId="13165" xr:uid="{31366466-BD31-469A-9BD9-061CD5D843B4}"/>
    <cellStyle name="Normal 2 4 4 6 5" xfId="13160" xr:uid="{FCEEA7E4-D3BE-4BD6-929B-8D82C470AAA2}"/>
    <cellStyle name="Normal 2 4 4 7" xfId="4334" xr:uid="{5ECCE362-6A0B-43AC-B130-0E7D4928EF71}"/>
    <cellStyle name="Normal 2 4 4 7 2" xfId="4335" xr:uid="{CC9F73A8-207D-47FA-8563-951B9335A1CE}"/>
    <cellStyle name="Normal 2 4 4 7 2 2" xfId="4336" xr:uid="{98C124BB-B9FF-4130-B9FB-0B0BB5D3CDF4}"/>
    <cellStyle name="Normal 2 4 4 7 2 2 2" xfId="13168" xr:uid="{CE317128-0726-4D35-B8F1-89BFAEB304F6}"/>
    <cellStyle name="Normal 2 4 4 7 2 3" xfId="4337" xr:uid="{302B67C6-CAA4-46BD-9F09-C4FC8A959117}"/>
    <cellStyle name="Normal 2 4 4 7 2 3 2" xfId="13169" xr:uid="{FE4382B8-51F4-4923-B2B0-18343BB0E40B}"/>
    <cellStyle name="Normal 2 4 4 7 2 4" xfId="13167" xr:uid="{BADD7310-2F9F-447C-AB75-58BB11A4506B}"/>
    <cellStyle name="Normal 2 4 4 7 3" xfId="4338" xr:uid="{6E945DE6-0273-4DA9-B663-3DBCFDA1C339}"/>
    <cellStyle name="Normal 2 4 4 7 3 2" xfId="13170" xr:uid="{76D72805-29A0-4AAA-8927-9ECA712338D5}"/>
    <cellStyle name="Normal 2 4 4 7 4" xfId="4339" xr:uid="{2416DACF-2CBB-43FE-BB8D-4D5854CA2FEA}"/>
    <cellStyle name="Normal 2 4 4 7 4 2" xfId="13171" xr:uid="{D54DD885-C5B8-46DD-AD32-132D7722CC5C}"/>
    <cellStyle name="Normal 2 4 4 7 5" xfId="13166" xr:uid="{0032FD94-C4C0-40BA-8F2A-9DA5ADDB5D7B}"/>
    <cellStyle name="Normal 2 4 4 8" xfId="4340" xr:uid="{6482B5EC-40FE-4F28-A765-1FCD56FCF7E8}"/>
    <cellStyle name="Normal 2 4 4 8 2" xfId="4341" xr:uid="{05283333-C2E9-4CFB-B22F-F0D5A3613F1B}"/>
    <cellStyle name="Normal 2 4 4 8 2 2" xfId="4342" xr:uid="{527AE44B-AE38-4056-BD95-0279E51CB94E}"/>
    <cellStyle name="Normal 2 4 4 8 2 2 2" xfId="13174" xr:uid="{0675F80C-CF01-4C66-9AA8-EA5A757B6AC1}"/>
    <cellStyle name="Normal 2 4 4 8 2 3" xfId="4343" xr:uid="{791E74AF-83ED-45D6-9B9A-DCA4A8D57346}"/>
    <cellStyle name="Normal 2 4 4 8 2 3 2" xfId="13175" xr:uid="{17DD32C3-4835-47C4-942F-B9D568467F35}"/>
    <cellStyle name="Normal 2 4 4 8 2 4" xfId="13173" xr:uid="{CBA8EC4C-46B1-48DE-B3E1-EFAC883CD858}"/>
    <cellStyle name="Normal 2 4 4 8 3" xfId="4344" xr:uid="{0F4DBE7F-7401-4595-815E-729963ADC3E7}"/>
    <cellStyle name="Normal 2 4 4 8 3 2" xfId="13176" xr:uid="{F826F446-EA57-4ADD-A325-27B96B52A51F}"/>
    <cellStyle name="Normal 2 4 4 8 4" xfId="4345" xr:uid="{1A61073E-C038-4208-AD7D-428E844030C5}"/>
    <cellStyle name="Normal 2 4 4 8 4 2" xfId="13177" xr:uid="{7EFD4AD8-EAAE-40F5-BFC8-B81475BAFADF}"/>
    <cellStyle name="Normal 2 4 4 8 5" xfId="13172" xr:uid="{D6DE2B59-7B6C-4DF4-80B0-F6D087386503}"/>
    <cellStyle name="Normal 2 4 4 9" xfId="4346" xr:uid="{41F2BBBB-7572-4D44-964C-072980E365D2}"/>
    <cellStyle name="Normal 2 4 4 9 2" xfId="4347" xr:uid="{CF0CAD3D-610D-4C55-86EF-5A138DD0FA0C}"/>
    <cellStyle name="Normal 2 4 4 9 2 2" xfId="4348" xr:uid="{475B5483-BC68-460A-BD0E-166AAE4B4306}"/>
    <cellStyle name="Normal 2 4 4 9 2 2 2" xfId="13180" xr:uid="{7462F8EB-B2FA-49D8-8C7F-763B9EDC4F3D}"/>
    <cellStyle name="Normal 2 4 4 9 2 3" xfId="4349" xr:uid="{BEF6726D-32DD-4539-8355-28BD1196A950}"/>
    <cellStyle name="Normal 2 4 4 9 2 3 2" xfId="13181" xr:uid="{3F64C3CB-206E-422B-81F8-D5B27DD6D8A5}"/>
    <cellStyle name="Normal 2 4 4 9 2 4" xfId="13179" xr:uid="{A0705485-5E77-4C3A-8575-7635B9757955}"/>
    <cellStyle name="Normal 2 4 4 9 3" xfId="4350" xr:uid="{B65BE8D5-57E4-4096-A2DE-C51AF128E7CA}"/>
    <cellStyle name="Normal 2 4 4 9 3 2" xfId="13182" xr:uid="{FABFF5A7-4752-4FC5-B0AB-B848AE1D1DAC}"/>
    <cellStyle name="Normal 2 4 4 9 4" xfId="4351" xr:uid="{D3045D1F-E6F6-4004-97BE-A002FB782191}"/>
    <cellStyle name="Normal 2 4 4 9 4 2" xfId="13183" xr:uid="{9DAB3FE4-FA2C-40FF-B876-D42B118CADBF}"/>
    <cellStyle name="Normal 2 4 4 9 5" xfId="13178" xr:uid="{94224B68-DF99-4CE1-87BC-830CCF17306B}"/>
    <cellStyle name="Normal 2 4 40" xfId="4352" xr:uid="{2737F9D7-AFC7-47FA-8479-732EAA6A8C17}"/>
    <cellStyle name="Normal 2 4 40 2" xfId="4353" xr:uid="{DCF678DD-F65C-4D18-A9A2-401F9D973573}"/>
    <cellStyle name="Normal 2 4 40 2 2" xfId="4354" xr:uid="{B89ED369-A1BC-4566-A088-7B5A942042F7}"/>
    <cellStyle name="Normal 2 4 40 2 2 2" xfId="13186" xr:uid="{CE4E59AA-A2D1-4B2C-97E7-36D3344056F0}"/>
    <cellStyle name="Normal 2 4 40 2 3" xfId="4355" xr:uid="{020D93B9-654E-44D4-B7D3-2F35E4F5967C}"/>
    <cellStyle name="Normal 2 4 40 2 3 2" xfId="13187" xr:uid="{BCD0C33C-B427-42A1-8710-B943DBA5EDF3}"/>
    <cellStyle name="Normal 2 4 40 2 4" xfId="13185" xr:uid="{04004E47-E509-47BE-B682-5C9839E84A1E}"/>
    <cellStyle name="Normal 2 4 40 3" xfId="4356" xr:uid="{5A5AA994-C23C-44A0-BC2E-2059ABB7AB25}"/>
    <cellStyle name="Normal 2 4 40 3 2" xfId="13188" xr:uid="{D7A8BDEC-730C-4A5A-8ADD-06A554705E39}"/>
    <cellStyle name="Normal 2 4 40 4" xfId="4357" xr:uid="{44B121D9-A203-4F28-A5A6-E5254B7B21D7}"/>
    <cellStyle name="Normal 2 4 40 4 2" xfId="13189" xr:uid="{77CBD52B-C579-47F7-B5E6-1973B8B7D466}"/>
    <cellStyle name="Normal 2 4 40 5" xfId="13184" xr:uid="{217352EE-8B56-4B6D-9D71-F379C16B7AC1}"/>
    <cellStyle name="Normal 2 4 41" xfId="4358" xr:uid="{941C1CEF-B525-4749-82F6-AF36F6BFD020}"/>
    <cellStyle name="Normal 2 4 41 2" xfId="4359" xr:uid="{73BB2307-B4F9-41C7-89DC-2E83D28B2EA3}"/>
    <cellStyle name="Normal 2 4 41 2 2" xfId="4360" xr:uid="{B48CFB9A-287C-4EA0-85AB-F427DCED8041}"/>
    <cellStyle name="Normal 2 4 41 2 2 2" xfId="13192" xr:uid="{A36D5340-E6ED-46A0-A45D-6C0D34ACEBE3}"/>
    <cellStyle name="Normal 2 4 41 2 3" xfId="4361" xr:uid="{0A29AC53-6265-4226-A534-23A963B1E5CA}"/>
    <cellStyle name="Normal 2 4 41 2 3 2" xfId="13193" xr:uid="{3F3605A2-3203-437D-994D-BE0BC4CF3D05}"/>
    <cellStyle name="Normal 2 4 41 2 4" xfId="13191" xr:uid="{D3699791-E170-4A9B-B0ED-3526A003298C}"/>
    <cellStyle name="Normal 2 4 41 3" xfId="4362" xr:uid="{BD675E41-023F-4538-BE7B-AD372E308037}"/>
    <cellStyle name="Normal 2 4 41 3 2" xfId="13194" xr:uid="{970A089A-A2C8-4096-AE93-ABE89A576E73}"/>
    <cellStyle name="Normal 2 4 41 4" xfId="4363" xr:uid="{6E8B6B97-BCAD-4224-884F-3A103D4D5657}"/>
    <cellStyle name="Normal 2 4 41 4 2" xfId="13195" xr:uid="{AB4FB550-4086-4E29-A05B-45E5B2BAED9D}"/>
    <cellStyle name="Normal 2 4 41 5" xfId="13190" xr:uid="{B479B336-92FB-47D6-B198-D6A7F5AB7390}"/>
    <cellStyle name="Normal 2 4 42" xfId="4364" xr:uid="{CF1E6117-1BC7-40FF-BE48-312F2A2656E6}"/>
    <cellStyle name="Normal 2 4 42 2" xfId="4365" xr:uid="{3D7F896B-AB82-4137-A4F8-234104FDBE6F}"/>
    <cellStyle name="Normal 2 4 42 2 2" xfId="4366" xr:uid="{5E4122D3-7BF7-4BA2-9C4A-045730C96548}"/>
    <cellStyle name="Normal 2 4 42 2 2 2" xfId="13198" xr:uid="{8513815F-371E-46F9-948B-2F751E996959}"/>
    <cellStyle name="Normal 2 4 42 2 3" xfId="4367" xr:uid="{E6897BF9-01BC-46D1-AB03-26A60797A32B}"/>
    <cellStyle name="Normal 2 4 42 2 3 2" xfId="13199" xr:uid="{A4F07A97-84CD-404F-8F74-E3A836FF6772}"/>
    <cellStyle name="Normal 2 4 42 2 4" xfId="13197" xr:uid="{201C359B-E2D5-43FB-86EF-3A465AEC0757}"/>
    <cellStyle name="Normal 2 4 42 3" xfId="4368" xr:uid="{592B8C0B-4096-4519-8527-86479389BD4E}"/>
    <cellStyle name="Normal 2 4 42 3 2" xfId="13200" xr:uid="{A8E7D27B-05EA-4864-9738-1DCA6200C975}"/>
    <cellStyle name="Normal 2 4 42 4" xfId="4369" xr:uid="{1ACF8FD1-4712-45B0-AB07-84E4946EBB4F}"/>
    <cellStyle name="Normal 2 4 42 4 2" xfId="13201" xr:uid="{DEE0F0F2-AFE4-4571-8164-C51CD56AC231}"/>
    <cellStyle name="Normal 2 4 42 5" xfId="13196" xr:uid="{4025A70E-8745-475E-9E29-F7F49AA7C62F}"/>
    <cellStyle name="Normal 2 4 43" xfId="4370" xr:uid="{9D4E240C-CC43-41D3-BD7E-B2B072D1F6EF}"/>
    <cellStyle name="Normal 2 4 43 2" xfId="4371" xr:uid="{D136CA5E-5EEF-4AF9-9305-74AC2A2E903B}"/>
    <cellStyle name="Normal 2 4 43 2 2" xfId="4372" xr:uid="{DD4BBC41-BE6F-4782-B855-D4677DDAE362}"/>
    <cellStyle name="Normal 2 4 43 2 2 2" xfId="13204" xr:uid="{09887EC3-B57E-459F-82AB-62787BA6143A}"/>
    <cellStyle name="Normal 2 4 43 2 3" xfId="4373" xr:uid="{C3A3A4C6-135B-41C7-9333-C7EA7FCBC5B5}"/>
    <cellStyle name="Normal 2 4 43 2 3 2" xfId="13205" xr:uid="{C5306389-8230-44DF-AB86-9128D2050648}"/>
    <cellStyle name="Normal 2 4 43 2 4" xfId="13203" xr:uid="{800163F3-0BF0-41CA-BD6C-513B1D0D781B}"/>
    <cellStyle name="Normal 2 4 43 3" xfId="4374" xr:uid="{8C8A6618-0D11-41F2-BBD0-844318157016}"/>
    <cellStyle name="Normal 2 4 43 3 2" xfId="13206" xr:uid="{AF8936AD-DB52-4A81-A256-5D9945C3D13D}"/>
    <cellStyle name="Normal 2 4 43 4" xfId="4375" xr:uid="{D1A62B22-AAEA-4832-83D1-08564F16D92A}"/>
    <cellStyle name="Normal 2 4 43 4 2" xfId="13207" xr:uid="{E31742E8-EBB1-4251-B023-6195833B6B79}"/>
    <cellStyle name="Normal 2 4 43 5" xfId="13202" xr:uid="{D56335FE-7DB8-48A8-82D1-3DE6FBB568C9}"/>
    <cellStyle name="Normal 2 4 44" xfId="4376" xr:uid="{CE11A490-28F8-4FB9-A852-3A5E122843E0}"/>
    <cellStyle name="Normal 2 4 44 2" xfId="4377" xr:uid="{F7C64012-BE41-4EF7-B4B8-136A9DDC1245}"/>
    <cellStyle name="Normal 2 4 44 2 2" xfId="4378" xr:uid="{4C140D0C-94C7-42B9-87C1-CD117AF87161}"/>
    <cellStyle name="Normal 2 4 44 2 2 2" xfId="13210" xr:uid="{BFEF07F5-BC29-42FB-A508-CE98170F87E2}"/>
    <cellStyle name="Normal 2 4 44 2 3" xfId="4379" xr:uid="{E71E8BE9-2CDE-4A66-A43A-756AE7C9F41D}"/>
    <cellStyle name="Normal 2 4 44 2 3 2" xfId="13211" xr:uid="{E9C7A0EB-6152-435A-B4E0-3276B7A650C7}"/>
    <cellStyle name="Normal 2 4 44 2 4" xfId="13209" xr:uid="{3C96855A-C3AB-43BA-A4A7-B29CFD787AF9}"/>
    <cellStyle name="Normal 2 4 44 3" xfId="4380" xr:uid="{BF8F1453-EE1F-438A-970C-97AB3FBDF7CA}"/>
    <cellStyle name="Normal 2 4 44 3 2" xfId="13212" xr:uid="{55AD7544-0FB4-4BFD-8B25-BB01FFA74562}"/>
    <cellStyle name="Normal 2 4 44 4" xfId="4381" xr:uid="{AA990ED0-AA51-495D-A31B-66E633477F4F}"/>
    <cellStyle name="Normal 2 4 44 4 2" xfId="13213" xr:uid="{D774A27D-D309-4F8E-8C4D-FC4574730A89}"/>
    <cellStyle name="Normal 2 4 44 5" xfId="13208" xr:uid="{30EE33E4-69F8-4214-B2BC-9F401C564D00}"/>
    <cellStyle name="Normal 2 4 45" xfId="4382" xr:uid="{6069594E-C02D-4D3F-87EA-96FC33249F5F}"/>
    <cellStyle name="Normal 2 4 45 2" xfId="4383" xr:uid="{E7411362-C7B6-4A85-9629-FAADDD76EAE9}"/>
    <cellStyle name="Normal 2 4 45 2 2" xfId="4384" xr:uid="{D08169E2-3046-4FD2-B2B8-91A8841A3B94}"/>
    <cellStyle name="Normal 2 4 45 2 2 2" xfId="13216" xr:uid="{78500AAF-0102-4F66-8142-3E31C6FE443E}"/>
    <cellStyle name="Normal 2 4 45 2 3" xfId="4385" xr:uid="{C1B43646-8CA4-47A2-A7A9-FEA3CA9BBEA9}"/>
    <cellStyle name="Normal 2 4 45 2 3 2" xfId="13217" xr:uid="{14DE1A6E-C10F-43C7-9579-E52721665DD6}"/>
    <cellStyle name="Normal 2 4 45 2 4" xfId="13215" xr:uid="{48FAD20E-466F-475E-BBEC-EC1E259D2D7D}"/>
    <cellStyle name="Normal 2 4 45 3" xfId="4386" xr:uid="{BBB45D38-5016-4B78-9920-EB39FA137C71}"/>
    <cellStyle name="Normal 2 4 45 3 2" xfId="13218" xr:uid="{59BD80A6-5818-404D-86B4-7B9BBE346F24}"/>
    <cellStyle name="Normal 2 4 45 4" xfId="4387" xr:uid="{A8F1C0F1-B621-432D-8BD8-A06685EA97DB}"/>
    <cellStyle name="Normal 2 4 45 4 2" xfId="13219" xr:uid="{C276D98D-2F01-4E4F-910E-7DF4C7EA1689}"/>
    <cellStyle name="Normal 2 4 45 5" xfId="13214" xr:uid="{1A6CDE1B-C4DD-463F-A4DE-5C775A4B47F1}"/>
    <cellStyle name="Normal 2 4 46" xfId="4388" xr:uid="{AA29F3FA-C3BE-4384-9631-655472D06D46}"/>
    <cellStyle name="Normal 2 4 46 2" xfId="4389" xr:uid="{A96C67B0-6D38-4B11-8E85-CDD47C1905BB}"/>
    <cellStyle name="Normal 2 4 46 2 2" xfId="4390" xr:uid="{8690FD88-E3E0-447B-9770-0A1AD943C362}"/>
    <cellStyle name="Normal 2 4 46 2 2 2" xfId="13222" xr:uid="{0495F8AA-73D1-4DAE-81D9-F7DC58DC2B09}"/>
    <cellStyle name="Normal 2 4 46 2 3" xfId="4391" xr:uid="{22E20EF4-B166-46BA-9071-5FDBE8C9AADF}"/>
    <cellStyle name="Normal 2 4 46 2 3 2" xfId="13223" xr:uid="{3E6E3D08-F368-43C8-B316-B6E03861C7B2}"/>
    <cellStyle name="Normal 2 4 46 2 4" xfId="13221" xr:uid="{11DEE42C-EB79-4716-ADFD-6C75C0E3D252}"/>
    <cellStyle name="Normal 2 4 46 3" xfId="4392" xr:uid="{F2C7A858-6274-44F5-B105-B99432954201}"/>
    <cellStyle name="Normal 2 4 46 3 2" xfId="13224" xr:uid="{D1E6331E-2BDE-4F93-A8FE-5C8B7A5882F3}"/>
    <cellStyle name="Normal 2 4 46 4" xfId="4393" xr:uid="{D07B0C52-10B9-4FA1-81FB-8C0B2BB259AB}"/>
    <cellStyle name="Normal 2 4 46 4 2" xfId="13225" xr:uid="{32C532F7-B80A-4754-A2B9-C695A77F14E8}"/>
    <cellStyle name="Normal 2 4 46 5" xfId="13220" xr:uid="{01461968-CC59-4AEE-B91D-6713B287652C}"/>
    <cellStyle name="Normal 2 4 47" xfId="4394" xr:uid="{82A8C7DA-7260-4DC2-A12E-AE435647FC34}"/>
    <cellStyle name="Normal 2 4 47 2" xfId="4395" xr:uid="{5FF34518-648B-4C5D-A76A-B6A4B9DBB104}"/>
    <cellStyle name="Normal 2 4 47 2 2" xfId="4396" xr:uid="{598BF29F-9C82-4396-AAE7-C0814A1CA2DC}"/>
    <cellStyle name="Normal 2 4 47 2 2 2" xfId="13228" xr:uid="{C7E0E5FF-E5A5-4ECF-A6D9-08E57EC9370F}"/>
    <cellStyle name="Normal 2 4 47 2 3" xfId="4397" xr:uid="{40E53596-CFF5-4F47-AB86-C1309E57CB43}"/>
    <cellStyle name="Normal 2 4 47 2 3 2" xfId="13229" xr:uid="{DEC65D55-691C-46F2-990C-DE57A84CBD3B}"/>
    <cellStyle name="Normal 2 4 47 2 4" xfId="13227" xr:uid="{6A3F26A3-9348-4308-B7C3-148FA7F16278}"/>
    <cellStyle name="Normal 2 4 47 3" xfId="4398" xr:uid="{C7E863E8-0365-4288-BF6A-E7FE3F1784CC}"/>
    <cellStyle name="Normal 2 4 47 3 2" xfId="13230" xr:uid="{A2C034F9-E888-4247-A686-77A5B7543E87}"/>
    <cellStyle name="Normal 2 4 47 4" xfId="4399" xr:uid="{FA907EB3-BA11-4D6A-808D-8440626EFCB0}"/>
    <cellStyle name="Normal 2 4 47 4 2" xfId="13231" xr:uid="{4B545F5E-8592-4CCA-97A6-450DCD35181B}"/>
    <cellStyle name="Normal 2 4 47 5" xfId="13226" xr:uid="{7D3F8C45-7440-4E1C-BFDB-5D09FC9498B8}"/>
    <cellStyle name="Normal 2 4 48" xfId="4400" xr:uid="{09EE129F-619A-4280-81FC-68E8B99A70D3}"/>
    <cellStyle name="Normal 2 4 48 2" xfId="4401" xr:uid="{56D8EC39-7DF0-40F9-A6C2-D94D2E010736}"/>
    <cellStyle name="Normal 2 4 48 2 2" xfId="4402" xr:uid="{DB067683-0954-405B-A0C5-16CDB031E7CA}"/>
    <cellStyle name="Normal 2 4 48 2 2 2" xfId="13234" xr:uid="{4F2EEC9D-3563-45BB-8979-85EB0AE609E9}"/>
    <cellStyle name="Normal 2 4 48 2 3" xfId="4403" xr:uid="{CF0C6121-477E-4910-A727-DEEED40A52E6}"/>
    <cellStyle name="Normal 2 4 48 2 3 2" xfId="13235" xr:uid="{3A7133AF-5DB4-48E8-ADE0-D21C9CF343B9}"/>
    <cellStyle name="Normal 2 4 48 2 4" xfId="13233" xr:uid="{5B060CA4-9E81-4FF0-B389-CF6F0A613C5A}"/>
    <cellStyle name="Normal 2 4 48 3" xfId="4404" xr:uid="{32C4354C-10D4-4681-A047-EFD8AA3B3F9C}"/>
    <cellStyle name="Normal 2 4 48 3 2" xfId="13236" xr:uid="{03BD9348-CB8C-493E-BE67-18516F028BF8}"/>
    <cellStyle name="Normal 2 4 48 4" xfId="4405" xr:uid="{34258B3C-DBF0-4353-9ED1-0662E50E43A2}"/>
    <cellStyle name="Normal 2 4 48 4 2" xfId="13237" xr:uid="{8EA6E67E-565A-47D4-96A6-FB79D429FC42}"/>
    <cellStyle name="Normal 2 4 48 5" xfId="13232" xr:uid="{E9FDC26A-5197-4299-B319-56DC76405745}"/>
    <cellStyle name="Normal 2 4 49" xfId="4406" xr:uid="{53EEE062-431A-4820-AF92-3EC640FEA135}"/>
    <cellStyle name="Normal 2 4 49 2" xfId="4407" xr:uid="{925E48C1-50DB-44B4-8D1F-64B3DAC1C137}"/>
    <cellStyle name="Normal 2 4 49 2 2" xfId="4408" xr:uid="{E6CCC073-3BB7-4FFE-B2E4-FFDFB54D021C}"/>
    <cellStyle name="Normal 2 4 49 2 2 2" xfId="13240" xr:uid="{4167372F-831F-4087-A899-72DE4741F340}"/>
    <cellStyle name="Normal 2 4 49 2 3" xfId="4409" xr:uid="{D0AC136B-7F17-46E8-A85E-17F07491607B}"/>
    <cellStyle name="Normal 2 4 49 2 3 2" xfId="13241" xr:uid="{D6E215B1-9DE5-45EB-9BAE-1C5541F7217F}"/>
    <cellStyle name="Normal 2 4 49 2 4" xfId="13239" xr:uid="{716D948E-626D-4D62-BF99-38B41910BC6B}"/>
    <cellStyle name="Normal 2 4 49 3" xfId="4410" xr:uid="{7483B9BF-B06A-4451-80E0-08D5D2E333A3}"/>
    <cellStyle name="Normal 2 4 49 3 2" xfId="13242" xr:uid="{2F6996E6-A73E-45F7-840A-A6C36D3D9BED}"/>
    <cellStyle name="Normal 2 4 49 4" xfId="4411" xr:uid="{50795844-BEC4-41ED-866F-E44BDC870727}"/>
    <cellStyle name="Normal 2 4 49 4 2" xfId="13243" xr:uid="{2E93EC9A-93D6-48B4-9898-5CC7D884EA9C}"/>
    <cellStyle name="Normal 2 4 49 5" xfId="13238" xr:uid="{1DD78463-F658-4978-9C0D-6AC7537C4670}"/>
    <cellStyle name="Normal 2 4 5" xfId="4412" xr:uid="{F21347B9-FF92-4303-9960-1A18FF6D8540}"/>
    <cellStyle name="Normal 2 4 5 10" xfId="4413" xr:uid="{68EC6A15-31C4-42F4-BF8D-F60D80553CAD}"/>
    <cellStyle name="Normal 2 4 5 10 2" xfId="4414" xr:uid="{D3E1A85C-F475-4A37-B928-80A6A5596418}"/>
    <cellStyle name="Normal 2 4 5 10 2 2" xfId="4415" xr:uid="{AC05EABB-CF96-4442-AF83-924C0A3225D2}"/>
    <cellStyle name="Normal 2 4 5 10 2 2 2" xfId="13247" xr:uid="{FA5066FD-AA16-412A-A6A3-965093DB7206}"/>
    <cellStyle name="Normal 2 4 5 10 2 3" xfId="4416" xr:uid="{57A3258A-4F11-483B-8AEC-05D15759B207}"/>
    <cellStyle name="Normal 2 4 5 10 2 3 2" xfId="13248" xr:uid="{05B9AD12-D052-42BE-A8D7-399AACA31F02}"/>
    <cellStyle name="Normal 2 4 5 10 2 4" xfId="13246" xr:uid="{A8D22FAB-AA3F-4D8C-AE83-BCE68ADD7CAF}"/>
    <cellStyle name="Normal 2 4 5 10 3" xfId="4417" xr:uid="{869EAF98-8FCA-493A-98CC-E8CECDD7A436}"/>
    <cellStyle name="Normal 2 4 5 10 3 2" xfId="13249" xr:uid="{018E62B9-25E4-46E7-9D53-876D97870431}"/>
    <cellStyle name="Normal 2 4 5 10 4" xfId="4418" xr:uid="{E8532091-4E0A-4E34-84B1-44AC8D1D64CB}"/>
    <cellStyle name="Normal 2 4 5 10 4 2" xfId="13250" xr:uid="{626D29BB-BF15-4C63-9233-2B228047E83A}"/>
    <cellStyle name="Normal 2 4 5 10 5" xfId="13245" xr:uid="{395D5749-3EF2-48D6-9608-8A3DCCFE6EE4}"/>
    <cellStyle name="Normal 2 4 5 11" xfId="4419" xr:uid="{4E175FA6-6ABA-48C8-8446-57D80C383B8A}"/>
    <cellStyle name="Normal 2 4 5 11 2" xfId="4420" xr:uid="{BB2F0C44-8155-407B-8CD7-FE7D49DF0473}"/>
    <cellStyle name="Normal 2 4 5 11 2 2" xfId="4421" xr:uid="{8FD1AC2D-2314-44CF-B6FC-A89F8426F661}"/>
    <cellStyle name="Normal 2 4 5 11 2 2 2" xfId="13253" xr:uid="{BB765A8D-67D9-4BC0-9D0C-4EC79AF2CD51}"/>
    <cellStyle name="Normal 2 4 5 11 2 3" xfId="4422" xr:uid="{F8845C96-0F7D-4A21-B849-2E89F1F6239C}"/>
    <cellStyle name="Normal 2 4 5 11 2 3 2" xfId="13254" xr:uid="{7BC74D74-D8BE-4185-B31A-65D8745A5B79}"/>
    <cellStyle name="Normal 2 4 5 11 2 4" xfId="13252" xr:uid="{EBFB6175-371F-496D-83A2-21229A5C309E}"/>
    <cellStyle name="Normal 2 4 5 11 3" xfId="4423" xr:uid="{D6762186-0BA1-43C7-AAD0-9AA5B4CB97C3}"/>
    <cellStyle name="Normal 2 4 5 11 3 2" xfId="13255" xr:uid="{941C7287-E9DC-40D8-9D41-9962D1F501F5}"/>
    <cellStyle name="Normal 2 4 5 11 4" xfId="4424" xr:uid="{D0D995AE-4F08-4470-9049-573B3BDF1263}"/>
    <cellStyle name="Normal 2 4 5 11 4 2" xfId="13256" xr:uid="{82A9E470-104E-431C-9C6A-2C0CD521F3B0}"/>
    <cellStyle name="Normal 2 4 5 11 5" xfId="13251" xr:uid="{0B62C2A8-5A57-47CB-9F2A-EDB4162AA2D9}"/>
    <cellStyle name="Normal 2 4 5 12" xfId="4425" xr:uid="{D8E77838-39FA-4FC6-9B54-258568270F14}"/>
    <cellStyle name="Normal 2 4 5 12 2" xfId="4426" xr:uid="{ECABF712-8FAE-46C8-81EA-A5DDBB2EE0FD}"/>
    <cellStyle name="Normal 2 4 5 12 2 2" xfId="4427" xr:uid="{A786B2C6-3D80-46E5-AC8C-B5B7ACC52AAD}"/>
    <cellStyle name="Normal 2 4 5 12 2 2 2" xfId="13259" xr:uid="{6B959105-A60B-4468-A6AB-BC67CD9CE5ED}"/>
    <cellStyle name="Normal 2 4 5 12 2 3" xfId="4428" xr:uid="{DC0526A8-A471-43E3-83FE-F3929F65F2FC}"/>
    <cellStyle name="Normal 2 4 5 12 2 3 2" xfId="13260" xr:uid="{A1300DAF-1C10-4C9D-A893-964190CD03F0}"/>
    <cellStyle name="Normal 2 4 5 12 2 4" xfId="13258" xr:uid="{A5687FB8-22E0-4E13-BDB0-03EEB3639BBD}"/>
    <cellStyle name="Normal 2 4 5 12 3" xfId="4429" xr:uid="{99FCA0D3-0C9A-46FA-A0F7-54B916EBA827}"/>
    <cellStyle name="Normal 2 4 5 12 3 2" xfId="13261" xr:uid="{A2B216D9-E8D0-4C34-8D66-8B5C9DE4DC35}"/>
    <cellStyle name="Normal 2 4 5 12 4" xfId="4430" xr:uid="{553689D5-96C7-406B-A659-48EC284356E0}"/>
    <cellStyle name="Normal 2 4 5 12 4 2" xfId="13262" xr:uid="{A8070966-8C44-4CD4-B410-AB3BD9B431CD}"/>
    <cellStyle name="Normal 2 4 5 12 5" xfId="13257" xr:uid="{D843BD47-44D2-4E2C-8421-FCDA2FC37596}"/>
    <cellStyle name="Normal 2 4 5 13" xfId="4431" xr:uid="{51CD3B04-9C16-4AA1-AE42-0B801A2F885A}"/>
    <cellStyle name="Normal 2 4 5 13 2" xfId="4432" xr:uid="{8F1E57CC-77FC-4791-8D7B-591347D2BBA1}"/>
    <cellStyle name="Normal 2 4 5 13 2 2" xfId="4433" xr:uid="{1388639E-F86F-4317-95A2-686A647D9EC6}"/>
    <cellStyle name="Normal 2 4 5 13 2 2 2" xfId="13265" xr:uid="{89C84670-9D1C-47D8-A3E8-81903C49505F}"/>
    <cellStyle name="Normal 2 4 5 13 2 3" xfId="4434" xr:uid="{51249C51-CF0B-4A2F-A1C8-2B922E3AFD18}"/>
    <cellStyle name="Normal 2 4 5 13 2 3 2" xfId="13266" xr:uid="{D8F2E952-FE7A-4566-86C1-D6B263CFC444}"/>
    <cellStyle name="Normal 2 4 5 13 2 4" xfId="13264" xr:uid="{E54C8277-49F8-4BE2-BCE7-246163453BEE}"/>
    <cellStyle name="Normal 2 4 5 13 3" xfId="4435" xr:uid="{14A7BFFC-26E7-407E-AA5D-BC3A10586DD9}"/>
    <cellStyle name="Normal 2 4 5 13 3 2" xfId="13267" xr:uid="{97F28A18-2861-4CD5-8D32-E14B16267E4B}"/>
    <cellStyle name="Normal 2 4 5 13 4" xfId="4436" xr:uid="{D37313E7-D817-47D7-9840-35B3F5A2C14E}"/>
    <cellStyle name="Normal 2 4 5 13 4 2" xfId="13268" xr:uid="{1B1109CB-17F3-40A6-B48C-FF071516846E}"/>
    <cellStyle name="Normal 2 4 5 13 5" xfId="13263" xr:uid="{02F9D6F1-02B8-44A9-8D04-8127861CC320}"/>
    <cellStyle name="Normal 2 4 5 14" xfId="4437" xr:uid="{92DC0147-1F8B-4870-BD75-B8E8DBBDEBBC}"/>
    <cellStyle name="Normal 2 4 5 14 2" xfId="4438" xr:uid="{0CDBD70C-ACBC-4D2F-8123-C88C2A3A83E3}"/>
    <cellStyle name="Normal 2 4 5 14 2 2" xfId="4439" xr:uid="{82EE3A1A-046A-42BA-91D6-53B29547BC81}"/>
    <cellStyle name="Normal 2 4 5 14 2 2 2" xfId="13271" xr:uid="{B8D41366-57DF-4607-B857-7BEC7AF9EDAC}"/>
    <cellStyle name="Normal 2 4 5 14 2 3" xfId="4440" xr:uid="{05464385-B96C-4BC2-AB1B-3C9563381133}"/>
    <cellStyle name="Normal 2 4 5 14 2 3 2" xfId="13272" xr:uid="{24E0048D-9201-472A-B919-852045C5577F}"/>
    <cellStyle name="Normal 2 4 5 14 2 4" xfId="13270" xr:uid="{12E985EF-08F8-46A9-99AF-6D81E9A35A91}"/>
    <cellStyle name="Normal 2 4 5 14 3" xfId="4441" xr:uid="{9D94402D-5494-46A5-B5A6-1FD5A01C8D6C}"/>
    <cellStyle name="Normal 2 4 5 14 3 2" xfId="13273" xr:uid="{06C4E54E-D3C9-4A95-B65B-6E1D8B5B0DA1}"/>
    <cellStyle name="Normal 2 4 5 14 4" xfId="4442" xr:uid="{F6310D7D-DF05-4803-AFF4-3F4E83EDDCA1}"/>
    <cellStyle name="Normal 2 4 5 14 4 2" xfId="13274" xr:uid="{EFD092F5-8E71-4724-90B6-A0E9FAB8A781}"/>
    <cellStyle name="Normal 2 4 5 14 5" xfId="13269" xr:uid="{076BC3DF-5198-412E-9216-3C8CB0EC8FEA}"/>
    <cellStyle name="Normal 2 4 5 15" xfId="4443" xr:uid="{FDFFBC32-EB5C-4242-95D7-8E882D659F16}"/>
    <cellStyle name="Normal 2 4 5 15 2" xfId="4444" xr:uid="{68F8066C-1ABB-4DEE-8DD3-89B777A1846C}"/>
    <cellStyle name="Normal 2 4 5 15 2 2" xfId="4445" xr:uid="{FEA6422E-0647-4A92-BEEA-F8F7FF18202F}"/>
    <cellStyle name="Normal 2 4 5 15 2 2 2" xfId="13277" xr:uid="{CC5A50A2-F459-43F8-859C-2AEF0EDCBEA8}"/>
    <cellStyle name="Normal 2 4 5 15 2 3" xfId="4446" xr:uid="{D12D5A5B-2669-482E-806F-344EE7E73D85}"/>
    <cellStyle name="Normal 2 4 5 15 2 3 2" xfId="13278" xr:uid="{0E914B10-AC20-4D6D-898B-1E90BBFEA4F2}"/>
    <cellStyle name="Normal 2 4 5 15 2 4" xfId="13276" xr:uid="{C90C2505-0385-435B-AE6B-D9B274DA200B}"/>
    <cellStyle name="Normal 2 4 5 15 3" xfId="4447" xr:uid="{B032D8DF-3DD7-407B-962E-87A4758763F5}"/>
    <cellStyle name="Normal 2 4 5 15 3 2" xfId="13279" xr:uid="{891DAB1A-8CF0-4428-AAF3-4ED646BE7DCC}"/>
    <cellStyle name="Normal 2 4 5 15 4" xfId="4448" xr:uid="{CA019561-8139-4FE8-BED5-E324358A0431}"/>
    <cellStyle name="Normal 2 4 5 15 4 2" xfId="13280" xr:uid="{EDDC72CB-5019-48A5-A480-7CF22EA999BF}"/>
    <cellStyle name="Normal 2 4 5 15 5" xfId="13275" xr:uid="{45F5E921-F334-4A79-9BE4-1BDD06EAB6F2}"/>
    <cellStyle name="Normal 2 4 5 16" xfId="4449" xr:uid="{AF223D1A-C558-49AD-9384-D9D62181548B}"/>
    <cellStyle name="Normal 2 4 5 16 2" xfId="4450" xr:uid="{AAD87048-7EF4-4609-B7CB-3D86C94DD21E}"/>
    <cellStyle name="Normal 2 4 5 16 2 2" xfId="4451" xr:uid="{229635B9-EAE5-4D8D-BABE-69AF5A1FA1F4}"/>
    <cellStyle name="Normal 2 4 5 16 2 2 2" xfId="13283" xr:uid="{0FFA55B7-E99A-4830-9744-1DE455950FCA}"/>
    <cellStyle name="Normal 2 4 5 16 2 3" xfId="4452" xr:uid="{51F44B5F-F8E2-46F7-9132-B8CB44B96712}"/>
    <cellStyle name="Normal 2 4 5 16 2 3 2" xfId="13284" xr:uid="{C2F8C7EA-A805-426C-943A-EEA14D1F2009}"/>
    <cellStyle name="Normal 2 4 5 16 2 4" xfId="13282" xr:uid="{5734C316-1B96-48B4-B305-39FF58F162CF}"/>
    <cellStyle name="Normal 2 4 5 16 3" xfId="4453" xr:uid="{42FA8A34-E82B-4533-9570-2D381981CF35}"/>
    <cellStyle name="Normal 2 4 5 16 3 2" xfId="13285" xr:uid="{7C122639-2D48-45BC-9883-0C3030904657}"/>
    <cellStyle name="Normal 2 4 5 16 4" xfId="4454" xr:uid="{9CAC1731-3A06-467F-8D69-2C4A5715AD6E}"/>
    <cellStyle name="Normal 2 4 5 16 4 2" xfId="13286" xr:uid="{43286131-FF79-4D07-97B1-9F3DEEE6D251}"/>
    <cellStyle name="Normal 2 4 5 16 5" xfId="13281" xr:uid="{93128002-B60D-4310-876F-6C81DAC1A26A}"/>
    <cellStyle name="Normal 2 4 5 17" xfId="4455" xr:uid="{6B1EFE08-3ADF-4B84-BAB4-036D20F2D845}"/>
    <cellStyle name="Normal 2 4 5 17 2" xfId="4456" xr:uid="{EA700801-B073-4820-95DB-BAAF580F1CF0}"/>
    <cellStyle name="Normal 2 4 5 17 2 2" xfId="4457" xr:uid="{05D52038-5029-4EAD-9041-8F515855CCBD}"/>
    <cellStyle name="Normal 2 4 5 17 2 2 2" xfId="13289" xr:uid="{6C668B27-EA66-4A8B-A009-280ADB2C0829}"/>
    <cellStyle name="Normal 2 4 5 17 2 3" xfId="4458" xr:uid="{53D44735-CED8-4F0A-830D-C276F2E4E026}"/>
    <cellStyle name="Normal 2 4 5 17 2 3 2" xfId="13290" xr:uid="{593E910A-9196-4829-AB31-73507A82CF04}"/>
    <cellStyle name="Normal 2 4 5 17 2 4" xfId="13288" xr:uid="{93530C1F-84A9-4CCD-9F9B-B46614570ADF}"/>
    <cellStyle name="Normal 2 4 5 17 3" xfId="4459" xr:uid="{F8BED52D-7444-466F-B0FB-EC4798E1EACC}"/>
    <cellStyle name="Normal 2 4 5 17 3 2" xfId="13291" xr:uid="{D645D774-581F-4A57-93F2-4CC8D1503374}"/>
    <cellStyle name="Normal 2 4 5 17 4" xfId="4460" xr:uid="{1F5AA217-924E-490E-A8E4-BFD0258466BD}"/>
    <cellStyle name="Normal 2 4 5 17 4 2" xfId="13292" xr:uid="{FCEB51DA-B0EE-4E19-A287-57171F064BB9}"/>
    <cellStyle name="Normal 2 4 5 17 5" xfId="13287" xr:uid="{C9805FBA-D3CC-4C99-881D-F3963281701A}"/>
    <cellStyle name="Normal 2 4 5 18" xfId="4461" xr:uid="{EEBED28D-B6D3-4179-89BE-DFDFF3E8C092}"/>
    <cellStyle name="Normal 2 4 5 18 2" xfId="4462" xr:uid="{7049B8D9-9E96-44C8-AE60-C929EDA141EE}"/>
    <cellStyle name="Normal 2 4 5 18 2 2" xfId="4463" xr:uid="{BDCEE337-B63E-4339-8510-20787F03D6FD}"/>
    <cellStyle name="Normal 2 4 5 18 2 2 2" xfId="13295" xr:uid="{63F6FAF3-2897-49A8-9BAE-824345A99856}"/>
    <cellStyle name="Normal 2 4 5 18 2 3" xfId="4464" xr:uid="{7F9BE5BD-BC94-43EF-9070-E650068DF686}"/>
    <cellStyle name="Normal 2 4 5 18 2 3 2" xfId="13296" xr:uid="{61B3B5E3-82AC-40D5-BF6B-C13351FBBF2B}"/>
    <cellStyle name="Normal 2 4 5 18 2 4" xfId="13294" xr:uid="{40687507-8BEC-4522-A789-221B4C3E6178}"/>
    <cellStyle name="Normal 2 4 5 18 3" xfId="4465" xr:uid="{4571ED49-3CE8-4961-9A86-CB0BF1639DD7}"/>
    <cellStyle name="Normal 2 4 5 18 3 2" xfId="13297" xr:uid="{5568BCDC-633F-4683-98BE-6EB24329F762}"/>
    <cellStyle name="Normal 2 4 5 18 4" xfId="4466" xr:uid="{E212F824-03DF-4118-A3E5-499F4C9F9577}"/>
    <cellStyle name="Normal 2 4 5 18 4 2" xfId="13298" xr:uid="{CC9DF648-5421-4BAE-AF5B-AB4E029ACF18}"/>
    <cellStyle name="Normal 2 4 5 18 5" xfId="13293" xr:uid="{54E54DA2-17E1-40A0-8CE4-B9D49AC21910}"/>
    <cellStyle name="Normal 2 4 5 19" xfId="4467" xr:uid="{8DA166F1-63F8-48FE-BA57-170243961C84}"/>
    <cellStyle name="Normal 2 4 5 19 2" xfId="4468" xr:uid="{DC6D3F97-6E6D-4EC9-8E58-B0E86DB1A5FF}"/>
    <cellStyle name="Normal 2 4 5 19 2 2" xfId="4469" xr:uid="{AB6AD545-A3A0-4D6B-ACA7-765EE126574F}"/>
    <cellStyle name="Normal 2 4 5 19 2 2 2" xfId="13301" xr:uid="{8FB3D369-07BA-49FF-8E52-4D8682C1A77B}"/>
    <cellStyle name="Normal 2 4 5 19 2 3" xfId="4470" xr:uid="{F58E2DDD-334C-46FF-956B-06E9909B77D4}"/>
    <cellStyle name="Normal 2 4 5 19 2 3 2" xfId="13302" xr:uid="{9F6D14C6-62EB-41CD-88A3-9B32E333EE8B}"/>
    <cellStyle name="Normal 2 4 5 19 2 4" xfId="13300" xr:uid="{3CBEE0AC-9465-4F27-A173-18378E3699F7}"/>
    <cellStyle name="Normal 2 4 5 19 3" xfId="4471" xr:uid="{F4148758-1C71-4D6B-BDD3-BA949F4DDF6A}"/>
    <cellStyle name="Normal 2 4 5 19 3 2" xfId="13303" xr:uid="{F72CB903-6731-4A64-8872-6D0124F99064}"/>
    <cellStyle name="Normal 2 4 5 19 4" xfId="4472" xr:uid="{825FAA31-FE48-48B1-A84B-4B6AB0D95A2C}"/>
    <cellStyle name="Normal 2 4 5 19 4 2" xfId="13304" xr:uid="{8092C903-5031-4E34-9A43-8BFCE800CF7F}"/>
    <cellStyle name="Normal 2 4 5 19 5" xfId="13299" xr:uid="{6561D21A-9A6C-430E-B46F-DF7C6106742B}"/>
    <cellStyle name="Normal 2 4 5 2" xfId="4473" xr:uid="{A2C313B4-6126-4A34-BD99-AD233BCC5961}"/>
    <cellStyle name="Normal 2 4 5 2 2" xfId="4474" xr:uid="{18496CC6-AB7A-42CB-913E-4BB3BC97E765}"/>
    <cellStyle name="Normal 2 4 5 2 2 2" xfId="4475" xr:uid="{7A98DF36-8873-4537-A647-0401C86346A1}"/>
    <cellStyle name="Normal 2 4 5 2 2 2 2" xfId="13307" xr:uid="{ACBD11B6-D409-40F3-984E-11CE30747FA4}"/>
    <cellStyle name="Normal 2 4 5 2 2 3" xfId="4476" xr:uid="{1715A80E-D7D6-4D59-BEC9-821B36F51725}"/>
    <cellStyle name="Normal 2 4 5 2 2 3 2" xfId="13308" xr:uid="{F1C5066D-3B03-4684-A052-79A7D9FB796F}"/>
    <cellStyle name="Normal 2 4 5 2 2 4" xfId="13306" xr:uid="{96ABA5D3-4C23-4888-B886-7ADC4BDD4D5E}"/>
    <cellStyle name="Normal 2 4 5 2 3" xfId="4477" xr:uid="{D0650A14-EBCB-4AA7-A86B-BBA945B403DC}"/>
    <cellStyle name="Normal 2 4 5 2 3 2" xfId="13309" xr:uid="{05706711-4AFB-4011-80AB-9320946C418A}"/>
    <cellStyle name="Normal 2 4 5 2 4" xfId="4478" xr:uid="{BA617078-194B-42E4-BBB4-0D76D2E4AA58}"/>
    <cellStyle name="Normal 2 4 5 2 4 2" xfId="13310" xr:uid="{7A6CBFCF-3CFC-4B1B-AE12-CFE53D9CE583}"/>
    <cellStyle name="Normal 2 4 5 2 5" xfId="13305" xr:uid="{63CFECF8-9A51-430B-9480-E4C792F1D1C9}"/>
    <cellStyle name="Normal 2 4 5 20" xfId="4479" xr:uid="{CF21420D-24B1-4EB3-95E6-F6BB8CF93F72}"/>
    <cellStyle name="Normal 2 4 5 20 2" xfId="4480" xr:uid="{CED01317-4519-4928-BF3B-8E9930C63732}"/>
    <cellStyle name="Normal 2 4 5 20 2 2" xfId="4481" xr:uid="{80F62491-1360-4973-AEB9-E972956E5A5D}"/>
    <cellStyle name="Normal 2 4 5 20 2 2 2" xfId="13313" xr:uid="{66DC93D8-7F8E-4A72-A08F-C5CA303798E9}"/>
    <cellStyle name="Normal 2 4 5 20 2 3" xfId="4482" xr:uid="{0CCD3C50-CA5B-4886-84DF-CC5CBA31AEBD}"/>
    <cellStyle name="Normal 2 4 5 20 2 3 2" xfId="13314" xr:uid="{AC88A974-34CB-4B93-B325-B35BA13A7C40}"/>
    <cellStyle name="Normal 2 4 5 20 2 4" xfId="13312" xr:uid="{283E4734-F54D-4663-9ACD-CCCB4D1E39F1}"/>
    <cellStyle name="Normal 2 4 5 20 3" xfId="4483" xr:uid="{33AD9C77-E316-43E7-898D-65078C8AA0C0}"/>
    <cellStyle name="Normal 2 4 5 20 3 2" xfId="13315" xr:uid="{E18969EE-48E4-4827-B70C-ACD1441FA3E6}"/>
    <cellStyle name="Normal 2 4 5 20 4" xfId="4484" xr:uid="{9B0B8A7A-477C-4B9D-9A83-4F26E5116C4D}"/>
    <cellStyle name="Normal 2 4 5 20 4 2" xfId="13316" xr:uid="{111CB8F9-C89F-487B-B241-B9147844FE70}"/>
    <cellStyle name="Normal 2 4 5 20 5" xfId="13311" xr:uid="{4B33E0B2-4572-4E98-94E8-874DB4DFE3B4}"/>
    <cellStyle name="Normal 2 4 5 21" xfId="4485" xr:uid="{BC24252D-D731-4110-848E-4959AB6AE20D}"/>
    <cellStyle name="Normal 2 4 5 21 2" xfId="4486" xr:uid="{C8E6BD5F-C331-4026-A37B-1B9081D58396}"/>
    <cellStyle name="Normal 2 4 5 21 2 2" xfId="4487" xr:uid="{D908774A-A22D-4EF6-ABCD-460892CDD378}"/>
    <cellStyle name="Normal 2 4 5 21 2 2 2" xfId="13319" xr:uid="{75C32AE9-C484-448D-9E9E-5AF0D71B47B6}"/>
    <cellStyle name="Normal 2 4 5 21 2 3" xfId="4488" xr:uid="{8A6B0374-6CDC-4467-B78C-21A66DBBBB09}"/>
    <cellStyle name="Normal 2 4 5 21 2 3 2" xfId="13320" xr:uid="{B54BFAF7-7F5F-4BA5-B447-E17E17238141}"/>
    <cellStyle name="Normal 2 4 5 21 2 4" xfId="13318" xr:uid="{DE1501DE-A4F2-464D-BB10-AC327A331DAF}"/>
    <cellStyle name="Normal 2 4 5 21 3" xfId="4489" xr:uid="{7B9D6859-B594-4F53-8017-4D05126EF587}"/>
    <cellStyle name="Normal 2 4 5 21 3 2" xfId="13321" xr:uid="{00739EBA-B203-49D2-BE57-3848566F4C8A}"/>
    <cellStyle name="Normal 2 4 5 21 4" xfId="4490" xr:uid="{47227525-F8F2-41D7-9275-5A65417642F5}"/>
    <cellStyle name="Normal 2 4 5 21 4 2" xfId="13322" xr:uid="{0CF40411-22A7-42A6-B449-342F7A05AF26}"/>
    <cellStyle name="Normal 2 4 5 21 5" xfId="13317" xr:uid="{08970877-83E0-4A14-B73A-59477B304476}"/>
    <cellStyle name="Normal 2 4 5 22" xfId="4491" xr:uid="{FA254830-65FF-4110-96FF-575F2337559C}"/>
    <cellStyle name="Normal 2 4 5 22 2" xfId="4492" xr:uid="{C4D24965-720D-41BD-9FC6-897A0B481FE6}"/>
    <cellStyle name="Normal 2 4 5 22 2 2" xfId="4493" xr:uid="{5A453E18-E4C4-4064-902B-0AA05FC6801D}"/>
    <cellStyle name="Normal 2 4 5 22 2 2 2" xfId="13325" xr:uid="{29C255FA-1762-420A-93FC-519865630EC1}"/>
    <cellStyle name="Normal 2 4 5 22 2 3" xfId="4494" xr:uid="{50530AB2-E8EF-425A-B2DC-1474B864FC87}"/>
    <cellStyle name="Normal 2 4 5 22 2 3 2" xfId="13326" xr:uid="{0F82F8E0-B97C-4680-B0D9-911B53F5F047}"/>
    <cellStyle name="Normal 2 4 5 22 2 4" xfId="13324" xr:uid="{3903D6E9-790D-4AA3-AAD7-B02DFBDA4DFB}"/>
    <cellStyle name="Normal 2 4 5 22 3" xfId="4495" xr:uid="{211E241D-3B51-4D37-9740-D10465800D1A}"/>
    <cellStyle name="Normal 2 4 5 22 3 2" xfId="13327" xr:uid="{5F7D8F86-D365-4290-B39B-D24CAA06BA71}"/>
    <cellStyle name="Normal 2 4 5 22 4" xfId="4496" xr:uid="{D4312F9A-D2E3-452D-B8D9-C8B9BE311BCC}"/>
    <cellStyle name="Normal 2 4 5 22 4 2" xfId="13328" xr:uid="{42A9732C-0625-4A4B-98C4-963DB4DE505F}"/>
    <cellStyle name="Normal 2 4 5 22 5" xfId="13323" xr:uid="{C2DDD06F-6067-4780-B028-839C14F841A4}"/>
    <cellStyle name="Normal 2 4 5 23" xfId="4497" xr:uid="{2A5675E6-70BC-4616-8948-0A16B05CB4CC}"/>
    <cellStyle name="Normal 2 4 5 23 2" xfId="4498" xr:uid="{E6831493-FCE6-4362-BFD9-F8301AD53C84}"/>
    <cellStyle name="Normal 2 4 5 23 2 2" xfId="4499" xr:uid="{D49E80FF-D73D-4B4F-9CA5-1CD8FD9CA56E}"/>
    <cellStyle name="Normal 2 4 5 23 2 2 2" xfId="13331" xr:uid="{E9926B9D-1426-4BC3-B67F-4D4FA7E1656A}"/>
    <cellStyle name="Normal 2 4 5 23 2 3" xfId="4500" xr:uid="{CCBAE7E9-ECCE-4869-BB1F-62E98144CE0B}"/>
    <cellStyle name="Normal 2 4 5 23 2 3 2" xfId="13332" xr:uid="{D94FF5CA-6341-431D-8D0C-042E6AD77551}"/>
    <cellStyle name="Normal 2 4 5 23 2 4" xfId="13330" xr:uid="{2B6ECFC0-F51A-4C52-A204-2D899994653A}"/>
    <cellStyle name="Normal 2 4 5 23 3" xfId="4501" xr:uid="{CDEBA341-B334-4DFC-8287-40793C52FCB9}"/>
    <cellStyle name="Normal 2 4 5 23 3 2" xfId="13333" xr:uid="{296FF825-8DE2-4F22-B801-C44EF27601AC}"/>
    <cellStyle name="Normal 2 4 5 23 4" xfId="4502" xr:uid="{0BF896F7-1665-4983-8B7A-FE8CE451B1E8}"/>
    <cellStyle name="Normal 2 4 5 23 4 2" xfId="13334" xr:uid="{B997A03D-88FE-4819-A296-A9196EF2D0CE}"/>
    <cellStyle name="Normal 2 4 5 23 5" xfId="13329" xr:uid="{71E87F18-07D9-4570-AC55-49C31B845061}"/>
    <cellStyle name="Normal 2 4 5 24" xfId="4503" xr:uid="{A0C8166E-26FE-46CE-9C34-3AB68B54504A}"/>
    <cellStyle name="Normal 2 4 5 24 2" xfId="4504" xr:uid="{7AF0563B-8B69-44A4-8188-06E70EEB4C63}"/>
    <cellStyle name="Normal 2 4 5 24 2 2" xfId="4505" xr:uid="{1CF5A5AB-9E13-407D-89B4-D47CAC3F37F3}"/>
    <cellStyle name="Normal 2 4 5 24 2 2 2" xfId="13337" xr:uid="{7D34359B-B7DF-47AE-AB27-15E35D3A55A6}"/>
    <cellStyle name="Normal 2 4 5 24 2 3" xfId="4506" xr:uid="{1C179DD9-15D6-4DAE-A306-F2F14C759166}"/>
    <cellStyle name="Normal 2 4 5 24 2 3 2" xfId="13338" xr:uid="{B87209C3-46EE-4860-87EE-414C89F1EAC9}"/>
    <cellStyle name="Normal 2 4 5 24 2 4" xfId="13336" xr:uid="{0E21D742-BF75-4B16-BE28-286FED03591E}"/>
    <cellStyle name="Normal 2 4 5 24 3" xfId="4507" xr:uid="{595EF088-44A5-44EF-95AA-DF837B92BE48}"/>
    <cellStyle name="Normal 2 4 5 24 3 2" xfId="13339" xr:uid="{89E4DE51-3646-4167-9ABA-1E503E3C7F2C}"/>
    <cellStyle name="Normal 2 4 5 24 4" xfId="4508" xr:uid="{AE8673D9-3CE4-408C-A543-44B0672AA5ED}"/>
    <cellStyle name="Normal 2 4 5 24 4 2" xfId="13340" xr:uid="{049CA625-8682-4020-91BD-8B68F94A7CCF}"/>
    <cellStyle name="Normal 2 4 5 24 5" xfId="13335" xr:uid="{590EE1BC-3ECF-4D98-A05B-513E2771528C}"/>
    <cellStyle name="Normal 2 4 5 25" xfId="4509" xr:uid="{D54D32E3-4707-43E5-863B-238A81FBEC8C}"/>
    <cellStyle name="Normal 2 4 5 25 2" xfId="4510" xr:uid="{99E51BBE-BB1B-4889-B6B3-8B4C6F6C38E7}"/>
    <cellStyle name="Normal 2 4 5 25 2 2" xfId="4511" xr:uid="{A599EFF0-C549-48BD-97B1-D01E38DC27DA}"/>
    <cellStyle name="Normal 2 4 5 25 2 2 2" xfId="13343" xr:uid="{19DC3D3F-ED02-43BE-B756-EAF23DFCCB9F}"/>
    <cellStyle name="Normal 2 4 5 25 2 3" xfId="4512" xr:uid="{69D02595-CA9A-4CCB-A8BB-39D9341146E1}"/>
    <cellStyle name="Normal 2 4 5 25 2 3 2" xfId="13344" xr:uid="{21E514D1-BCC4-4A2F-9AB3-C48C5E9B9849}"/>
    <cellStyle name="Normal 2 4 5 25 2 4" xfId="13342" xr:uid="{4734BB3B-A20E-4B21-A620-F3A6FC6FD80F}"/>
    <cellStyle name="Normal 2 4 5 25 3" xfId="4513" xr:uid="{CE83247F-C8BE-4248-A147-E1AB04A8E36B}"/>
    <cellStyle name="Normal 2 4 5 25 3 2" xfId="13345" xr:uid="{1C508521-13E7-4DCE-AA57-6D38AE1EC46E}"/>
    <cellStyle name="Normal 2 4 5 25 4" xfId="4514" xr:uid="{E6EDCCEC-A1B4-4C99-AD82-A19B529D28F6}"/>
    <cellStyle name="Normal 2 4 5 25 4 2" xfId="13346" xr:uid="{C5D43D59-2E0D-4F95-B6A8-125E2E4A57C2}"/>
    <cellStyle name="Normal 2 4 5 25 5" xfId="13341" xr:uid="{A922C4A7-D333-4AE2-9A1B-B8F8499A5758}"/>
    <cellStyle name="Normal 2 4 5 26" xfId="4515" xr:uid="{E8C13A8F-98A9-46FA-AC97-6D52BE7F59C1}"/>
    <cellStyle name="Normal 2 4 5 26 2" xfId="4516" xr:uid="{8185BDB1-C1AB-453D-822E-13548FFA1296}"/>
    <cellStyle name="Normal 2 4 5 26 2 2" xfId="4517" xr:uid="{08F34EBB-4CE2-4A9C-8127-44ABF0FB5EC1}"/>
    <cellStyle name="Normal 2 4 5 26 2 2 2" xfId="13349" xr:uid="{95279C05-8C1E-4C8C-82E7-4417C91C5B51}"/>
    <cellStyle name="Normal 2 4 5 26 2 3" xfId="4518" xr:uid="{245B1597-57BD-4506-B731-40F9FEC3C5E6}"/>
    <cellStyle name="Normal 2 4 5 26 2 3 2" xfId="13350" xr:uid="{97B60855-9087-4762-BBA3-DCF2D8DD09ED}"/>
    <cellStyle name="Normal 2 4 5 26 2 4" xfId="13348" xr:uid="{F6E5957C-9B9A-4B0F-8F22-C0A5B7B7E610}"/>
    <cellStyle name="Normal 2 4 5 26 3" xfId="4519" xr:uid="{7E6626FB-A58A-4C95-8147-1DA0272450A6}"/>
    <cellStyle name="Normal 2 4 5 26 3 2" xfId="13351" xr:uid="{0E160C4A-5190-4799-AC58-5B1ECF085667}"/>
    <cellStyle name="Normal 2 4 5 26 4" xfId="4520" xr:uid="{CEABF976-9D62-4DAD-996A-31A377D71656}"/>
    <cellStyle name="Normal 2 4 5 26 4 2" xfId="13352" xr:uid="{BDFD8E85-2A3B-431A-BC98-89C60072F6B7}"/>
    <cellStyle name="Normal 2 4 5 26 5" xfId="13347" xr:uid="{286FCD44-F5FD-4182-910B-B7E3EB5A0A6D}"/>
    <cellStyle name="Normal 2 4 5 27" xfId="4521" xr:uid="{5B8A47F7-F1A4-4550-8E85-76A36FC54682}"/>
    <cellStyle name="Normal 2 4 5 27 2" xfId="4522" xr:uid="{993DAAF7-0DC0-46E4-8495-A292922C2CBE}"/>
    <cellStyle name="Normal 2 4 5 27 2 2" xfId="4523" xr:uid="{605C2A2D-B038-4A64-AFCB-FB6B7AEF729E}"/>
    <cellStyle name="Normal 2 4 5 27 2 2 2" xfId="13355" xr:uid="{4575EE2F-686E-493B-99A1-ACC817528853}"/>
    <cellStyle name="Normal 2 4 5 27 2 3" xfId="4524" xr:uid="{5CDD48A2-FBF8-4CF0-9ED0-8A79F19E954D}"/>
    <cellStyle name="Normal 2 4 5 27 2 3 2" xfId="13356" xr:uid="{83DB5855-0589-49DF-B371-A703569307EA}"/>
    <cellStyle name="Normal 2 4 5 27 2 4" xfId="13354" xr:uid="{B76764B5-4A43-404A-B560-19C4E8458A4D}"/>
    <cellStyle name="Normal 2 4 5 27 3" xfId="4525" xr:uid="{1C3D74A3-0AA0-4772-AE8E-A94AF1E401C7}"/>
    <cellStyle name="Normal 2 4 5 27 3 2" xfId="13357" xr:uid="{A50653BC-6166-40D6-8AAE-6603AB8674A0}"/>
    <cellStyle name="Normal 2 4 5 27 4" xfId="4526" xr:uid="{2A868D83-7E16-4383-BB79-70CAB38CFE2A}"/>
    <cellStyle name="Normal 2 4 5 27 4 2" xfId="13358" xr:uid="{419A3BEC-FF8D-4250-96CC-901C567BF1C0}"/>
    <cellStyle name="Normal 2 4 5 27 5" xfId="13353" xr:uid="{7507FBF7-2313-45D2-84DE-0AF2E66209F4}"/>
    <cellStyle name="Normal 2 4 5 28" xfId="4527" xr:uid="{E66C5BE7-2FC9-4DD3-A705-526502C2DE1C}"/>
    <cellStyle name="Normal 2 4 5 28 2" xfId="4528" xr:uid="{3EFD7791-3CE0-4BF1-A04D-EB101EA5E335}"/>
    <cellStyle name="Normal 2 4 5 28 2 2" xfId="4529" xr:uid="{CD98A34A-6BBA-4914-910B-D979065901D2}"/>
    <cellStyle name="Normal 2 4 5 28 2 2 2" xfId="13361" xr:uid="{96F2A3DC-C623-45BF-B023-20D6ED050FEF}"/>
    <cellStyle name="Normal 2 4 5 28 2 3" xfId="4530" xr:uid="{90948B09-9692-431D-B66D-382A055D8F43}"/>
    <cellStyle name="Normal 2 4 5 28 2 3 2" xfId="13362" xr:uid="{3410C2C0-2131-49CE-9BF2-7A9BAAD6967F}"/>
    <cellStyle name="Normal 2 4 5 28 2 4" xfId="13360" xr:uid="{D322A69E-EB8B-4B05-A8B4-B5822CDDE286}"/>
    <cellStyle name="Normal 2 4 5 28 3" xfId="4531" xr:uid="{78FE658C-0755-4A6D-ABBF-6B51453090A2}"/>
    <cellStyle name="Normal 2 4 5 28 3 2" xfId="13363" xr:uid="{6C1915BB-7C6B-43BB-AD49-8CFF4743975E}"/>
    <cellStyle name="Normal 2 4 5 28 4" xfId="4532" xr:uid="{09762A13-17B6-4527-95D6-FD3E96E35788}"/>
    <cellStyle name="Normal 2 4 5 28 4 2" xfId="13364" xr:uid="{4D316368-6726-43E3-B732-E63BCD41D1FC}"/>
    <cellStyle name="Normal 2 4 5 28 5" xfId="13359" xr:uid="{8C11329A-7A44-4AAB-85A7-D2A35DEE499F}"/>
    <cellStyle name="Normal 2 4 5 29" xfId="4533" xr:uid="{585A63F5-4B29-4391-A88E-7BBCB1D107AD}"/>
    <cellStyle name="Normal 2 4 5 29 2" xfId="4534" xr:uid="{53B89A7D-3EE7-4480-981E-80B1F82281E9}"/>
    <cellStyle name="Normal 2 4 5 29 2 2" xfId="4535" xr:uid="{5F66BE86-7D47-4C16-B9D6-100B7B4716E8}"/>
    <cellStyle name="Normal 2 4 5 29 2 2 2" xfId="13367" xr:uid="{ECAC9619-F0AF-4997-8849-A49B1F724DCA}"/>
    <cellStyle name="Normal 2 4 5 29 2 3" xfId="4536" xr:uid="{B85600FF-0B41-4007-B53B-FD59979ED240}"/>
    <cellStyle name="Normal 2 4 5 29 2 3 2" xfId="13368" xr:uid="{74E78B7A-76C7-4715-BE60-8757A445E0EE}"/>
    <cellStyle name="Normal 2 4 5 29 2 4" xfId="13366" xr:uid="{5180C115-C7F4-4FE3-8418-8F838A7D5B75}"/>
    <cellStyle name="Normal 2 4 5 29 3" xfId="4537" xr:uid="{82D354E8-2EE1-47D7-A63F-533140FF02C3}"/>
    <cellStyle name="Normal 2 4 5 29 3 2" xfId="13369" xr:uid="{54529F6E-2EC5-40DB-B578-92CD64DE1BF4}"/>
    <cellStyle name="Normal 2 4 5 29 4" xfId="4538" xr:uid="{7AE16378-10C8-471C-9044-C708B301D2B3}"/>
    <cellStyle name="Normal 2 4 5 29 4 2" xfId="13370" xr:uid="{F850B656-4C72-4889-AD03-C78D21741E5E}"/>
    <cellStyle name="Normal 2 4 5 29 5" xfId="13365" xr:uid="{3D98E945-8FA4-4167-845F-49395D87B0E5}"/>
    <cellStyle name="Normal 2 4 5 3" xfId="4539" xr:uid="{05C8638C-266D-4E07-ABEE-F6143A8FDB5B}"/>
    <cellStyle name="Normal 2 4 5 3 2" xfId="4540" xr:uid="{76FE8FCC-CA4C-4167-8915-1F3179FA9325}"/>
    <cellStyle name="Normal 2 4 5 3 2 2" xfId="4541" xr:uid="{FD37697F-D16D-4767-8D94-359F121332C4}"/>
    <cellStyle name="Normal 2 4 5 3 2 2 2" xfId="13373" xr:uid="{A1A5D3CB-A64C-4185-A931-264EF52D7898}"/>
    <cellStyle name="Normal 2 4 5 3 2 3" xfId="4542" xr:uid="{9EB2E7E0-D3B4-482A-BCB4-94899D7A46DA}"/>
    <cellStyle name="Normal 2 4 5 3 2 3 2" xfId="13374" xr:uid="{1898B4A8-92C0-4709-9181-C2AA32FCC06F}"/>
    <cellStyle name="Normal 2 4 5 3 2 4" xfId="13372" xr:uid="{7467B2DE-D25E-4682-8F12-A199E8CEEC43}"/>
    <cellStyle name="Normal 2 4 5 3 3" xfId="4543" xr:uid="{075342B4-5C6F-40CA-9BC6-D32D142C2F9F}"/>
    <cellStyle name="Normal 2 4 5 3 3 2" xfId="13375" xr:uid="{0542AFD1-2D1D-4AD1-BE86-438675894867}"/>
    <cellStyle name="Normal 2 4 5 3 4" xfId="4544" xr:uid="{BB61F00A-BBAD-493E-9AF5-86B0AA8BDB0B}"/>
    <cellStyle name="Normal 2 4 5 3 4 2" xfId="13376" xr:uid="{7D0069B3-9E51-4180-B782-B97D376A9271}"/>
    <cellStyle name="Normal 2 4 5 3 5" xfId="13371" xr:uid="{8D804AFF-94C9-4587-BA98-E33FDCD04C44}"/>
    <cellStyle name="Normal 2 4 5 30" xfId="4545" xr:uid="{0644A99E-7EC9-4192-A75B-2760E8633746}"/>
    <cellStyle name="Normal 2 4 5 30 2" xfId="4546" xr:uid="{2867A301-B80D-4B41-8968-4820FC859B21}"/>
    <cellStyle name="Normal 2 4 5 30 2 2" xfId="4547" xr:uid="{AC312EA5-CAD2-484D-982B-84452B7B6F6C}"/>
    <cellStyle name="Normal 2 4 5 30 2 2 2" xfId="13379" xr:uid="{5EDB3B3E-1B83-45FD-820E-2780EC7F9A4D}"/>
    <cellStyle name="Normal 2 4 5 30 2 3" xfId="4548" xr:uid="{31BD0BED-DDE7-4451-AB48-1EAF57AFCC79}"/>
    <cellStyle name="Normal 2 4 5 30 2 3 2" xfId="13380" xr:uid="{847D6B4C-0098-4405-9D8C-035A053E0AEF}"/>
    <cellStyle name="Normal 2 4 5 30 2 4" xfId="13378" xr:uid="{0D17E654-C7B6-43D5-B79F-5F60CD9007E5}"/>
    <cellStyle name="Normal 2 4 5 30 3" xfId="4549" xr:uid="{E6C185B7-F475-4B40-9996-E379B6CF0177}"/>
    <cellStyle name="Normal 2 4 5 30 3 2" xfId="13381" xr:uid="{E64FF701-52E9-4660-9212-2149A7D7DA78}"/>
    <cellStyle name="Normal 2 4 5 30 4" xfId="4550" xr:uid="{07634939-0D70-4337-966A-D0C96AA1725E}"/>
    <cellStyle name="Normal 2 4 5 30 4 2" xfId="13382" xr:uid="{340AE61C-1B87-45E2-8670-6C0302A7785F}"/>
    <cellStyle name="Normal 2 4 5 30 5" xfId="13377" xr:uid="{F4926F47-CE92-4175-A467-05CBF3836E1B}"/>
    <cellStyle name="Normal 2 4 5 31" xfId="4551" xr:uid="{EEED862C-D83C-404D-BF7D-F4DC839CDF1C}"/>
    <cellStyle name="Normal 2 4 5 31 2" xfId="4552" xr:uid="{49FC8165-0E79-4587-9C47-CA94FCDDD906}"/>
    <cellStyle name="Normal 2 4 5 31 2 2" xfId="4553" xr:uid="{A4EF0AD4-F199-4442-9D9F-82778EBEFD9F}"/>
    <cellStyle name="Normal 2 4 5 31 2 2 2" xfId="13385" xr:uid="{378E75AC-C38F-4B2F-AD42-982FDD5ED091}"/>
    <cellStyle name="Normal 2 4 5 31 2 3" xfId="4554" xr:uid="{E09043BC-1337-4D00-88D5-125D735CB295}"/>
    <cellStyle name="Normal 2 4 5 31 2 3 2" xfId="13386" xr:uid="{5BFE54D2-CB9A-406B-9D30-3D9632C07062}"/>
    <cellStyle name="Normal 2 4 5 31 2 4" xfId="13384" xr:uid="{FC8883DA-5A62-4CF9-97BD-FB0A5D284781}"/>
    <cellStyle name="Normal 2 4 5 31 3" xfId="4555" xr:uid="{657CEB3F-A55F-49C3-88EA-199130AF21DE}"/>
    <cellStyle name="Normal 2 4 5 31 3 2" xfId="13387" xr:uid="{969F2CEC-201A-40CA-BE44-6EC9BDEB7631}"/>
    <cellStyle name="Normal 2 4 5 31 4" xfId="4556" xr:uid="{008F2CB1-3F05-42A1-B82C-98F111088BCF}"/>
    <cellStyle name="Normal 2 4 5 31 4 2" xfId="13388" xr:uid="{086E60F6-EE01-40A1-8B3E-8860CEBCD035}"/>
    <cellStyle name="Normal 2 4 5 31 5" xfId="13383" xr:uid="{17E19B53-F2A1-4B62-A6AE-6E1080FDAEF4}"/>
    <cellStyle name="Normal 2 4 5 32" xfId="4557" xr:uid="{83B2C3D1-CB7E-4FD1-8638-32B8F55E2666}"/>
    <cellStyle name="Normal 2 4 5 32 2" xfId="4558" xr:uid="{584A2A11-65FE-464A-B748-5FE19043CDD0}"/>
    <cellStyle name="Normal 2 4 5 32 2 2" xfId="4559" xr:uid="{DAAFAA88-ACE8-473B-A741-75CD774B780B}"/>
    <cellStyle name="Normal 2 4 5 32 2 2 2" xfId="13391" xr:uid="{1FDB2250-15AA-4319-9685-468BF25D22BC}"/>
    <cellStyle name="Normal 2 4 5 32 2 3" xfId="4560" xr:uid="{299B6D14-EF90-4EF1-8A12-F645C95C6692}"/>
    <cellStyle name="Normal 2 4 5 32 2 3 2" xfId="13392" xr:uid="{870A85D7-BB6E-4CAD-8397-D6048F39F444}"/>
    <cellStyle name="Normal 2 4 5 32 2 4" xfId="13390" xr:uid="{EAC0F089-9B4F-4B35-BCA9-FBE2EA3EF68B}"/>
    <cellStyle name="Normal 2 4 5 32 3" xfId="4561" xr:uid="{B2C42804-4ADA-430C-B1F6-E66053B25077}"/>
    <cellStyle name="Normal 2 4 5 32 3 2" xfId="13393" xr:uid="{10F04121-9BEB-497D-9475-3E252B204037}"/>
    <cellStyle name="Normal 2 4 5 32 4" xfId="4562" xr:uid="{D24C04E4-8FB7-4190-9739-59550781DA9A}"/>
    <cellStyle name="Normal 2 4 5 32 4 2" xfId="13394" xr:uid="{A730384F-FCAF-438A-AB59-FF72EC2B4F42}"/>
    <cellStyle name="Normal 2 4 5 32 5" xfId="13389" xr:uid="{6817C9EF-DDE1-4B70-A3BD-230F0CF8D00F}"/>
    <cellStyle name="Normal 2 4 5 33" xfId="4563" xr:uid="{B9B9C11E-361F-4C98-A95D-C60739520A87}"/>
    <cellStyle name="Normal 2 4 5 33 2" xfId="4564" xr:uid="{4DE8DABF-9137-46A9-8796-3BB1BDAD2297}"/>
    <cellStyle name="Normal 2 4 5 33 2 2" xfId="4565" xr:uid="{5EF48C8E-C0E8-4250-89F8-28E9950552FB}"/>
    <cellStyle name="Normal 2 4 5 33 2 2 2" xfId="13397" xr:uid="{B451592C-CAE8-41DF-AB90-8C31E00BD6C1}"/>
    <cellStyle name="Normal 2 4 5 33 2 3" xfId="4566" xr:uid="{A3449854-8DD8-42DA-AF2C-DF195A753F01}"/>
    <cellStyle name="Normal 2 4 5 33 2 3 2" xfId="13398" xr:uid="{ECDDE06A-21D7-42A8-BB24-A5466177923C}"/>
    <cellStyle name="Normal 2 4 5 33 2 4" xfId="13396" xr:uid="{F071BA3F-8747-473F-9153-0BB7797F64FA}"/>
    <cellStyle name="Normal 2 4 5 33 3" xfId="4567" xr:uid="{8471A3B4-A331-4E50-90B5-AB431C0D94EA}"/>
    <cellStyle name="Normal 2 4 5 33 3 2" xfId="13399" xr:uid="{ED13EB52-DF6E-44AE-B1A2-153650F7D700}"/>
    <cellStyle name="Normal 2 4 5 33 4" xfId="4568" xr:uid="{17D65463-7AED-487E-BC76-EE1E80EB2B95}"/>
    <cellStyle name="Normal 2 4 5 33 4 2" xfId="13400" xr:uid="{87E719D1-E3ED-44A1-AFE0-5BD24573E09C}"/>
    <cellStyle name="Normal 2 4 5 33 5" xfId="13395" xr:uid="{C813B06A-8F59-4F8E-A107-92FA25AFBE05}"/>
    <cellStyle name="Normal 2 4 5 34" xfId="4569" xr:uid="{821FBAED-9C52-499F-AF08-6D1F739767D6}"/>
    <cellStyle name="Normal 2 4 5 34 2" xfId="4570" xr:uid="{F1CBD513-D850-414E-95B8-1F2797D33A4D}"/>
    <cellStyle name="Normal 2 4 5 34 2 2" xfId="4571" xr:uid="{C9D81206-DD0B-4008-B6EF-EAC8C09C7F29}"/>
    <cellStyle name="Normal 2 4 5 34 2 2 2" xfId="13403" xr:uid="{330BE5A1-DBC1-41C2-9A08-55343C9C189C}"/>
    <cellStyle name="Normal 2 4 5 34 2 3" xfId="4572" xr:uid="{BB62AFB7-17D8-4F71-99D1-4E37A14DB8A9}"/>
    <cellStyle name="Normal 2 4 5 34 2 3 2" xfId="13404" xr:uid="{C1AA370E-05BD-4178-9FFB-6CEDDFFA92FC}"/>
    <cellStyle name="Normal 2 4 5 34 2 4" xfId="13402" xr:uid="{14F3FC13-11A3-4A12-9F1E-B89EE261CC21}"/>
    <cellStyle name="Normal 2 4 5 34 3" xfId="4573" xr:uid="{FEA80CEA-CAAC-47A6-8B3C-D598AC1A1C3C}"/>
    <cellStyle name="Normal 2 4 5 34 3 2" xfId="13405" xr:uid="{0B3C504F-D490-4A6D-8325-211BDF411510}"/>
    <cellStyle name="Normal 2 4 5 34 4" xfId="4574" xr:uid="{92BA5D21-1346-4D00-ACA7-E91A707DB7DB}"/>
    <cellStyle name="Normal 2 4 5 34 4 2" xfId="13406" xr:uid="{4888D340-815D-402B-BB48-195C9D4E2669}"/>
    <cellStyle name="Normal 2 4 5 34 5" xfId="13401" xr:uid="{78C8F03A-F0B3-4AF0-A97D-040453EA05C3}"/>
    <cellStyle name="Normal 2 4 5 35" xfId="4575" xr:uid="{342B0A62-0B0D-4C5B-82FF-61678D10A71B}"/>
    <cellStyle name="Normal 2 4 5 35 2" xfId="4576" xr:uid="{A02A50B2-43E7-48A3-B92B-8224D2737018}"/>
    <cellStyle name="Normal 2 4 5 35 2 2" xfId="4577" xr:uid="{0C69818B-C3A2-4E66-8A0E-B10E2D4939F3}"/>
    <cellStyle name="Normal 2 4 5 35 2 2 2" xfId="13409" xr:uid="{272AD5A1-89C2-43BB-A57C-FB7E72E6DA32}"/>
    <cellStyle name="Normal 2 4 5 35 2 3" xfId="4578" xr:uid="{F1B66498-F087-46FA-AC28-073C7DC89FF4}"/>
    <cellStyle name="Normal 2 4 5 35 2 3 2" xfId="13410" xr:uid="{F53D8E24-B815-4DBA-8265-9B5FE8286D0F}"/>
    <cellStyle name="Normal 2 4 5 35 2 4" xfId="13408" xr:uid="{4F23C208-387A-49E9-A2D1-9EFB3DF9B78D}"/>
    <cellStyle name="Normal 2 4 5 35 3" xfId="4579" xr:uid="{4B8C539B-651E-4E4D-BC80-0AE89EBFA129}"/>
    <cellStyle name="Normal 2 4 5 35 3 2" xfId="13411" xr:uid="{F4C32C93-1390-4C98-B2BF-72D34AAF0101}"/>
    <cellStyle name="Normal 2 4 5 35 4" xfId="4580" xr:uid="{30153606-58B8-4A30-982E-5186AE0A5958}"/>
    <cellStyle name="Normal 2 4 5 35 4 2" xfId="13412" xr:uid="{9B99D7A9-2E15-4ECF-A01B-7C8E1DA1AF18}"/>
    <cellStyle name="Normal 2 4 5 35 5" xfId="13407" xr:uid="{90A282DE-5A53-4EA0-A980-82A8B5669A7A}"/>
    <cellStyle name="Normal 2 4 5 36" xfId="4581" xr:uid="{2A2E6480-5E06-431A-8536-682F6CDF5810}"/>
    <cellStyle name="Normal 2 4 5 36 2" xfId="4582" xr:uid="{A84C339B-BF06-416D-9C04-A8C1B91FD2FF}"/>
    <cellStyle name="Normal 2 4 5 36 2 2" xfId="4583" xr:uid="{B400CA86-BCCE-453E-A72F-59575CB14D9A}"/>
    <cellStyle name="Normal 2 4 5 36 2 2 2" xfId="13415" xr:uid="{FB4D7542-F100-4440-B74F-7DD1C05016E0}"/>
    <cellStyle name="Normal 2 4 5 36 2 3" xfId="4584" xr:uid="{803A8640-5A93-4631-AE7E-1DF96EBF103E}"/>
    <cellStyle name="Normal 2 4 5 36 2 3 2" xfId="13416" xr:uid="{CDB3D689-7985-453A-9F97-9FA0BE23BECF}"/>
    <cellStyle name="Normal 2 4 5 36 2 4" xfId="13414" xr:uid="{F52F2682-BA5C-4C88-999C-A90BC9F4524D}"/>
    <cellStyle name="Normal 2 4 5 36 3" xfId="4585" xr:uid="{53D0EAAB-0BAC-4467-9AD3-BCACFDB19AEC}"/>
    <cellStyle name="Normal 2 4 5 36 3 2" xfId="13417" xr:uid="{AF28CB37-D2B1-4480-9B2A-2F62EFC36400}"/>
    <cellStyle name="Normal 2 4 5 36 4" xfId="4586" xr:uid="{0B8749A2-8C5F-4273-997E-0D13BDF2CA69}"/>
    <cellStyle name="Normal 2 4 5 36 4 2" xfId="13418" xr:uid="{C7F723C3-64E0-4E16-A871-E798221ED90F}"/>
    <cellStyle name="Normal 2 4 5 36 5" xfId="13413" xr:uid="{41D0F43F-35EA-49E2-A458-BA86A7E4E826}"/>
    <cellStyle name="Normal 2 4 5 37" xfId="4587" xr:uid="{DA54C45E-8B04-42B1-901D-6756E616FEE6}"/>
    <cellStyle name="Normal 2 4 5 37 2" xfId="4588" xr:uid="{64AAA201-6374-4FFB-B5E8-A7179DDAE08D}"/>
    <cellStyle name="Normal 2 4 5 37 2 2" xfId="4589" xr:uid="{019C0775-EFA7-4A3C-90BB-63C08C71C1D1}"/>
    <cellStyle name="Normal 2 4 5 37 2 2 2" xfId="13421" xr:uid="{E65EE7FA-6ACB-4326-8CF4-C3FEE6F83766}"/>
    <cellStyle name="Normal 2 4 5 37 2 3" xfId="4590" xr:uid="{7FFF51C1-0E15-4840-9C97-B9903EF96368}"/>
    <cellStyle name="Normal 2 4 5 37 2 3 2" xfId="13422" xr:uid="{56A025B0-2B16-4323-8F7B-F0344105C441}"/>
    <cellStyle name="Normal 2 4 5 37 2 4" xfId="13420" xr:uid="{438A9EB7-FC0E-46EE-8D86-99D2F0262392}"/>
    <cellStyle name="Normal 2 4 5 37 3" xfId="4591" xr:uid="{BFA1F3B1-1BF9-4C43-BD47-90D27051EB71}"/>
    <cellStyle name="Normal 2 4 5 37 3 2" xfId="13423" xr:uid="{6A2E3886-6FC1-4E96-8538-BCED59BBCB9C}"/>
    <cellStyle name="Normal 2 4 5 37 4" xfId="4592" xr:uid="{C4A0BE4B-589E-44E7-AE0C-B174EBE31229}"/>
    <cellStyle name="Normal 2 4 5 37 4 2" xfId="13424" xr:uid="{394F9519-AACF-4684-9D09-7EBFDF987154}"/>
    <cellStyle name="Normal 2 4 5 37 5" xfId="13419" xr:uid="{7BCBF791-AE61-4AF2-BCF7-557098AD46CB}"/>
    <cellStyle name="Normal 2 4 5 38" xfId="4593" xr:uid="{A36F937D-E4F3-4D03-B74A-E938DC661808}"/>
    <cellStyle name="Normal 2 4 5 38 2" xfId="4594" xr:uid="{30C6FA0B-3FFC-4526-889F-62A5787794B6}"/>
    <cellStyle name="Normal 2 4 5 38 2 2" xfId="4595" xr:uid="{0013BC91-8663-4907-9FF7-477371AB32C1}"/>
    <cellStyle name="Normal 2 4 5 38 2 2 2" xfId="13427" xr:uid="{BA09EEAA-2E15-47D2-A64F-712C6D215C40}"/>
    <cellStyle name="Normal 2 4 5 38 2 3" xfId="4596" xr:uid="{2DEE39C4-DC73-43B9-B78E-0CE2F1C4414B}"/>
    <cellStyle name="Normal 2 4 5 38 2 3 2" xfId="13428" xr:uid="{1E8AF3DE-EAD9-41D8-998F-56E34C1B910A}"/>
    <cellStyle name="Normal 2 4 5 38 2 4" xfId="13426" xr:uid="{3A46ECFD-B83F-4299-8223-B819DFA140BC}"/>
    <cellStyle name="Normal 2 4 5 38 3" xfId="4597" xr:uid="{D821DD0B-3939-4376-9404-D1F8D71A2D5B}"/>
    <cellStyle name="Normal 2 4 5 38 3 2" xfId="13429" xr:uid="{6355D28E-9133-4F5F-82D1-D0343BF2F5DC}"/>
    <cellStyle name="Normal 2 4 5 38 4" xfId="4598" xr:uid="{2B852F44-31C6-4EE3-B23E-48941D6BC054}"/>
    <cellStyle name="Normal 2 4 5 38 4 2" xfId="13430" xr:uid="{417365A1-1CFC-48A2-80BF-6AAF915565DC}"/>
    <cellStyle name="Normal 2 4 5 38 5" xfId="13425" xr:uid="{4E7701E2-2D42-4BFF-8B54-39FD7D07E030}"/>
    <cellStyle name="Normal 2 4 5 39" xfId="4599" xr:uid="{82FA4256-C99B-4F5A-9CCF-D0780B1B027A}"/>
    <cellStyle name="Normal 2 4 5 39 2" xfId="4600" xr:uid="{5692B8F1-8260-4F62-A9AE-5D17BC06E79D}"/>
    <cellStyle name="Normal 2 4 5 39 2 2" xfId="4601" xr:uid="{117726CF-D54D-4754-95C9-08C4273764B8}"/>
    <cellStyle name="Normal 2 4 5 39 2 2 2" xfId="13433" xr:uid="{87BA2C4B-451D-418A-B8F4-968FE69AA241}"/>
    <cellStyle name="Normal 2 4 5 39 2 3" xfId="4602" xr:uid="{310FB024-D974-431D-A943-EA632EE01AEF}"/>
    <cellStyle name="Normal 2 4 5 39 2 3 2" xfId="13434" xr:uid="{FEA5332A-5A82-412E-9957-14E0BB41AA53}"/>
    <cellStyle name="Normal 2 4 5 39 2 4" xfId="13432" xr:uid="{E478B9AB-C7CE-4398-B172-272142541993}"/>
    <cellStyle name="Normal 2 4 5 39 3" xfId="4603" xr:uid="{6738A04A-644A-4BDE-951D-1D47225610D3}"/>
    <cellStyle name="Normal 2 4 5 39 3 2" xfId="13435" xr:uid="{8B920937-B2D2-4431-A8B7-B3FCDAAF1EF4}"/>
    <cellStyle name="Normal 2 4 5 39 4" xfId="4604" xr:uid="{9265C7F1-B9AD-4CD4-B53E-239C9AE2A332}"/>
    <cellStyle name="Normal 2 4 5 39 4 2" xfId="13436" xr:uid="{10229263-9B09-435E-822B-09674DAD70B6}"/>
    <cellStyle name="Normal 2 4 5 39 5" xfId="13431" xr:uid="{A9C18AD2-A75F-4432-8126-170F14ED05C3}"/>
    <cellStyle name="Normal 2 4 5 4" xfId="4605" xr:uid="{B85DD56F-BE33-4EA4-A252-32B9E84660E0}"/>
    <cellStyle name="Normal 2 4 5 4 2" xfId="4606" xr:uid="{5E894603-5858-484D-9572-1762BB39DBD3}"/>
    <cellStyle name="Normal 2 4 5 4 2 2" xfId="4607" xr:uid="{4C4ED47E-DA72-40F9-8317-9E3DF33F3814}"/>
    <cellStyle name="Normal 2 4 5 4 2 2 2" xfId="13439" xr:uid="{242D8C65-CA05-45AA-A108-CF26328F2801}"/>
    <cellStyle name="Normal 2 4 5 4 2 3" xfId="4608" xr:uid="{A06F7FAF-4616-4796-A4EF-2313B25E789D}"/>
    <cellStyle name="Normal 2 4 5 4 2 3 2" xfId="13440" xr:uid="{5926E8FC-C5E9-4261-BC5E-C0E36766E18A}"/>
    <cellStyle name="Normal 2 4 5 4 2 4" xfId="13438" xr:uid="{118AC8FD-C37C-432F-83FF-662C4F6B180E}"/>
    <cellStyle name="Normal 2 4 5 4 3" xfId="4609" xr:uid="{961F5139-4C91-41BD-A657-5C8EAD742BE8}"/>
    <cellStyle name="Normal 2 4 5 4 3 2" xfId="13441" xr:uid="{81DCCDFB-A4E1-4699-8DA3-E6B36014A86B}"/>
    <cellStyle name="Normal 2 4 5 4 4" xfId="4610" xr:uid="{7AD5BDCD-0D23-4409-A6CB-43796AA462B9}"/>
    <cellStyle name="Normal 2 4 5 4 4 2" xfId="13442" xr:uid="{923C895D-3090-4210-9FC9-CEE2CB32F6E5}"/>
    <cellStyle name="Normal 2 4 5 4 5" xfId="13437" xr:uid="{5C85A43D-045C-4829-BBE0-F8BFACA7C7A3}"/>
    <cellStyle name="Normal 2 4 5 40" xfId="4611" xr:uid="{2DCDA152-9752-4954-B83F-5BAD48445F64}"/>
    <cellStyle name="Normal 2 4 5 40 2" xfId="4612" xr:uid="{39257990-F8C4-4D39-B46C-3F546296791F}"/>
    <cellStyle name="Normal 2 4 5 40 2 2" xfId="4613" xr:uid="{00B95AB0-397C-498F-B813-33D6387CB3E2}"/>
    <cellStyle name="Normal 2 4 5 40 2 2 2" xfId="13445" xr:uid="{34C7FF96-A826-4E8C-B1D5-2566DD79AC77}"/>
    <cellStyle name="Normal 2 4 5 40 2 3" xfId="4614" xr:uid="{8E580A0C-5890-4C78-9BEE-3F6C1F0E4AE3}"/>
    <cellStyle name="Normal 2 4 5 40 2 3 2" xfId="13446" xr:uid="{E2848804-F4DE-4E3B-9B1A-02FABBA5B26B}"/>
    <cellStyle name="Normal 2 4 5 40 2 4" xfId="13444" xr:uid="{DDCDB777-5762-462F-9985-05889031E779}"/>
    <cellStyle name="Normal 2 4 5 40 3" xfId="4615" xr:uid="{CFC72365-5EFD-4A14-AB3E-721F8039F5CF}"/>
    <cellStyle name="Normal 2 4 5 40 3 2" xfId="13447" xr:uid="{CEAA94D8-3FAE-4292-B145-35F61C6E2CCD}"/>
    <cellStyle name="Normal 2 4 5 40 4" xfId="4616" xr:uid="{5A72201F-BC0D-4017-A9CD-882E641E4F8C}"/>
    <cellStyle name="Normal 2 4 5 40 4 2" xfId="13448" xr:uid="{5BA93902-4F98-4ACB-8AC3-044A9F038F64}"/>
    <cellStyle name="Normal 2 4 5 40 5" xfId="13443" xr:uid="{A0D4A779-01E0-4239-A9E7-1893866F1ECA}"/>
    <cellStyle name="Normal 2 4 5 41" xfId="4617" xr:uid="{CF104D95-16A3-4C12-A6AE-4183551AD778}"/>
    <cellStyle name="Normal 2 4 5 41 2" xfId="4618" xr:uid="{7C653E3A-9FD3-486A-917D-1FC31BD77910}"/>
    <cellStyle name="Normal 2 4 5 41 2 2" xfId="4619" xr:uid="{91C3F641-90DC-463D-910B-C28B513F2C6E}"/>
    <cellStyle name="Normal 2 4 5 41 2 2 2" xfId="13451" xr:uid="{659722EF-67AD-4B8B-8B17-70F5066C4187}"/>
    <cellStyle name="Normal 2 4 5 41 2 3" xfId="4620" xr:uid="{0344C183-A566-4020-BE51-D5E4F33BCDA4}"/>
    <cellStyle name="Normal 2 4 5 41 2 3 2" xfId="13452" xr:uid="{349EBDB8-253A-4B46-A3C4-37A3685CDD6E}"/>
    <cellStyle name="Normal 2 4 5 41 2 4" xfId="13450" xr:uid="{DC910785-C94C-48FA-9B7A-069753D6843E}"/>
    <cellStyle name="Normal 2 4 5 41 3" xfId="4621" xr:uid="{EE4363C5-3218-484C-8CC4-AC2F7F05D6BA}"/>
    <cellStyle name="Normal 2 4 5 41 3 2" xfId="13453" xr:uid="{9AE5B46D-6233-41E9-8152-BF6E31DF5C04}"/>
    <cellStyle name="Normal 2 4 5 41 4" xfId="4622" xr:uid="{76090619-6967-46CB-B0BD-972CE750C6B4}"/>
    <cellStyle name="Normal 2 4 5 41 4 2" xfId="13454" xr:uid="{9535DEEE-247D-4698-A744-AC2997A93E0A}"/>
    <cellStyle name="Normal 2 4 5 41 5" xfId="13449" xr:uid="{8BCEB133-953C-4B00-BDF5-3E99AFFB1A8B}"/>
    <cellStyle name="Normal 2 4 5 42" xfId="4623" xr:uid="{AA338713-30F8-450C-A708-0AE6FCA4D971}"/>
    <cellStyle name="Normal 2 4 5 42 2" xfId="4624" xr:uid="{E72F0ECB-35A2-40E4-8109-162FC0190401}"/>
    <cellStyle name="Normal 2 4 5 42 2 2" xfId="4625" xr:uid="{80BBBEE4-9C33-473D-8610-0A6D7C00313F}"/>
    <cellStyle name="Normal 2 4 5 42 2 2 2" xfId="13457" xr:uid="{18AD23B1-0CB0-48B8-B444-4C8D7D525EB8}"/>
    <cellStyle name="Normal 2 4 5 42 2 3" xfId="4626" xr:uid="{0A3E9B57-B66D-455B-A71B-BC2361881F22}"/>
    <cellStyle name="Normal 2 4 5 42 2 3 2" xfId="13458" xr:uid="{A9C33916-18F8-4CE3-9AE6-23B74DD6004F}"/>
    <cellStyle name="Normal 2 4 5 42 2 4" xfId="13456" xr:uid="{8D776FF1-E8A3-49D2-842C-F0C6DA48B55D}"/>
    <cellStyle name="Normal 2 4 5 42 3" xfId="4627" xr:uid="{1EBFB65E-E4E0-429E-90D9-488BD581127E}"/>
    <cellStyle name="Normal 2 4 5 42 3 2" xfId="13459" xr:uid="{9A6EE375-45B5-4842-AF88-3043B75A03A0}"/>
    <cellStyle name="Normal 2 4 5 42 4" xfId="4628" xr:uid="{BC6AB2E8-3BFD-41ED-B976-D97C6980CBF8}"/>
    <cellStyle name="Normal 2 4 5 42 4 2" xfId="13460" xr:uid="{740F629E-05E1-41C5-8282-DADA55F1E78F}"/>
    <cellStyle name="Normal 2 4 5 42 5" xfId="13455" xr:uid="{C975B6F8-0810-4E00-9136-CCAA0BF4FC0F}"/>
    <cellStyle name="Normal 2 4 5 43" xfId="4629" xr:uid="{5CDA3C9B-A7DB-47E6-826F-1B75EFA86508}"/>
    <cellStyle name="Normal 2 4 5 43 2" xfId="4630" xr:uid="{61176ED1-F350-4B9C-BF8F-4EE789F1F748}"/>
    <cellStyle name="Normal 2 4 5 43 2 2" xfId="4631" xr:uid="{5200A240-9667-48C3-AD7E-F9588D164280}"/>
    <cellStyle name="Normal 2 4 5 43 2 2 2" xfId="13463" xr:uid="{E35A11ED-A1A8-4EDF-9057-B87C58D21A4E}"/>
    <cellStyle name="Normal 2 4 5 43 2 3" xfId="4632" xr:uid="{66ABB116-5B65-47F4-BBE8-62D772C80293}"/>
    <cellStyle name="Normal 2 4 5 43 2 3 2" xfId="13464" xr:uid="{67203CA2-41D2-45EF-9E65-99C504E41808}"/>
    <cellStyle name="Normal 2 4 5 43 2 4" xfId="13462" xr:uid="{EE0E3205-8040-45DD-B3BC-77A2DDA0A023}"/>
    <cellStyle name="Normal 2 4 5 43 3" xfId="4633" xr:uid="{A85E2E90-1022-497F-B155-1CCA79BB7290}"/>
    <cellStyle name="Normal 2 4 5 43 3 2" xfId="13465" xr:uid="{9E2BFC2A-8DC5-4BBD-AB5F-24D69121337C}"/>
    <cellStyle name="Normal 2 4 5 43 4" xfId="4634" xr:uid="{AF026078-3CB8-40AA-B052-4E30C5DE007D}"/>
    <cellStyle name="Normal 2 4 5 43 4 2" xfId="13466" xr:uid="{DB1ACD08-A48D-4C85-BD0A-32D980DBD474}"/>
    <cellStyle name="Normal 2 4 5 43 5" xfId="13461" xr:uid="{52D267A6-AE43-4CDE-99B6-515B58DCCD78}"/>
    <cellStyle name="Normal 2 4 5 44" xfId="4635" xr:uid="{25C0D624-C868-4C1B-82E2-7A24C000F9A8}"/>
    <cellStyle name="Normal 2 4 5 44 2" xfId="4636" xr:uid="{BA06CFFA-763A-4E23-8057-EDE9481CA588}"/>
    <cellStyle name="Normal 2 4 5 44 2 2" xfId="13468" xr:uid="{5486F4A6-F52B-498C-A784-E408206B8C98}"/>
    <cellStyle name="Normal 2 4 5 44 3" xfId="4637" xr:uid="{3114B85C-CC9B-4332-9211-632D1119D4EF}"/>
    <cellStyle name="Normal 2 4 5 44 3 2" xfId="13469" xr:uid="{B94D7B77-63E4-4424-9E97-79FB6D7F8CBF}"/>
    <cellStyle name="Normal 2 4 5 44 4" xfId="13467" xr:uid="{832A81D2-4EE8-44C3-8BA1-F815D63EBE00}"/>
    <cellStyle name="Normal 2 4 5 45" xfId="4638" xr:uid="{C2048507-E69C-489C-9460-A82644FD9E3E}"/>
    <cellStyle name="Normal 2 4 5 45 2" xfId="13470" xr:uid="{FF2144E5-9BD0-4699-86C1-330AC9E9548E}"/>
    <cellStyle name="Normal 2 4 5 46" xfId="4639" xr:uid="{5E31E173-AE80-4126-986E-3C2F70EA5CB8}"/>
    <cellStyle name="Normal 2 4 5 46 2" xfId="13471" xr:uid="{CA8ADF61-CE97-452F-AAD5-49EA471FC6E7}"/>
    <cellStyle name="Normal 2 4 5 47" xfId="13244" xr:uid="{F01944E4-32B8-4DA8-8FEF-7BA394C04332}"/>
    <cellStyle name="Normal 2 4 5 5" xfId="4640" xr:uid="{83B07A83-1D4E-4384-ADEB-0B3C84D2BC66}"/>
    <cellStyle name="Normal 2 4 5 5 2" xfId="4641" xr:uid="{FD5B1A6C-EF1B-45F9-A681-4DE65CE0520B}"/>
    <cellStyle name="Normal 2 4 5 5 2 2" xfId="4642" xr:uid="{0E28970E-714D-44F9-A38A-6DCC633B4D0D}"/>
    <cellStyle name="Normal 2 4 5 5 2 2 2" xfId="13474" xr:uid="{1442F094-5D68-4F3A-966E-8B83DD03AD8F}"/>
    <cellStyle name="Normal 2 4 5 5 2 3" xfId="4643" xr:uid="{37A952B2-E209-4065-9C46-F5986760D2FA}"/>
    <cellStyle name="Normal 2 4 5 5 2 3 2" xfId="13475" xr:uid="{70E4B4AD-496C-4DED-B4E4-7447C1D3272F}"/>
    <cellStyle name="Normal 2 4 5 5 2 4" xfId="13473" xr:uid="{491BBD8A-0D31-4371-AB5E-822E9A4C50AA}"/>
    <cellStyle name="Normal 2 4 5 5 3" xfId="4644" xr:uid="{30B4885E-0125-444D-9B11-8B7B1B6EB732}"/>
    <cellStyle name="Normal 2 4 5 5 3 2" xfId="13476" xr:uid="{4D0231E7-E775-4BE4-8F84-AEECF2F7FE41}"/>
    <cellStyle name="Normal 2 4 5 5 4" xfId="4645" xr:uid="{29A85877-13DC-474A-96EB-113CED71A72D}"/>
    <cellStyle name="Normal 2 4 5 5 4 2" xfId="13477" xr:uid="{D5A9ACCC-816F-4717-8E8A-571DB13B451B}"/>
    <cellStyle name="Normal 2 4 5 5 5" xfId="13472" xr:uid="{7069E79F-5120-4C8B-A94E-12D4789BE7ED}"/>
    <cellStyle name="Normal 2 4 5 6" xfId="4646" xr:uid="{76E9839F-AD8C-4D51-B170-4D859F6B4A68}"/>
    <cellStyle name="Normal 2 4 5 6 2" xfId="4647" xr:uid="{FD9F1194-B2FD-40E8-99E6-AC3F7EFAE997}"/>
    <cellStyle name="Normal 2 4 5 6 2 2" xfId="4648" xr:uid="{FDA46058-FED8-45D1-855E-1F4214269545}"/>
    <cellStyle name="Normal 2 4 5 6 2 2 2" xfId="13480" xr:uid="{37D4E742-7BAE-43E9-B3AA-FB3C3969D934}"/>
    <cellStyle name="Normal 2 4 5 6 2 3" xfId="4649" xr:uid="{1D25C43C-1876-4921-92EA-C6AEBBAC7B98}"/>
    <cellStyle name="Normal 2 4 5 6 2 3 2" xfId="13481" xr:uid="{456F7F19-E49C-44B5-97A3-821C42F5926B}"/>
    <cellStyle name="Normal 2 4 5 6 2 4" xfId="13479" xr:uid="{07ADCA4D-75D3-484E-A14C-14DB63682C17}"/>
    <cellStyle name="Normal 2 4 5 6 3" xfId="4650" xr:uid="{22360AC9-2F85-4B8A-B944-09FEBC2D3C4F}"/>
    <cellStyle name="Normal 2 4 5 6 3 2" xfId="13482" xr:uid="{4E371E73-95D7-4815-A6A6-59E9378FD1CD}"/>
    <cellStyle name="Normal 2 4 5 6 4" xfId="4651" xr:uid="{B928431D-FBDF-48B8-BF7A-08465A7504D3}"/>
    <cellStyle name="Normal 2 4 5 6 4 2" xfId="13483" xr:uid="{4376A9CE-9028-4558-86B4-0B488938A4E0}"/>
    <cellStyle name="Normal 2 4 5 6 5" xfId="13478" xr:uid="{BBED0EF8-708F-4B2D-916A-6AC1BF3DD827}"/>
    <cellStyle name="Normal 2 4 5 7" xfId="4652" xr:uid="{BD365822-6BBE-4368-9DED-81A42FB132B2}"/>
    <cellStyle name="Normal 2 4 5 7 2" xfId="4653" xr:uid="{7EA0F9CB-4ACA-47C1-91C5-952B8F77714C}"/>
    <cellStyle name="Normal 2 4 5 7 2 2" xfId="4654" xr:uid="{992A7ECF-91F2-4EBB-9E90-ADA5DA1B790E}"/>
    <cellStyle name="Normal 2 4 5 7 2 2 2" xfId="13486" xr:uid="{5867983F-7571-4568-B281-FBB9CB0C11BE}"/>
    <cellStyle name="Normal 2 4 5 7 2 3" xfId="4655" xr:uid="{52203762-F742-47EE-9897-44703E041511}"/>
    <cellStyle name="Normal 2 4 5 7 2 3 2" xfId="13487" xr:uid="{10936BC9-0320-4451-9B8E-69E6D5A434C0}"/>
    <cellStyle name="Normal 2 4 5 7 2 4" xfId="13485" xr:uid="{D93EC8AE-DA1A-4B8D-91FB-A0FDFDA69F2B}"/>
    <cellStyle name="Normal 2 4 5 7 3" xfId="4656" xr:uid="{1895187F-1895-46EF-AFA1-D020120CC006}"/>
    <cellStyle name="Normal 2 4 5 7 3 2" xfId="13488" xr:uid="{FEBBC63E-FE8A-46A8-B141-519E14E0D0A1}"/>
    <cellStyle name="Normal 2 4 5 7 4" xfId="4657" xr:uid="{E7DA0672-2485-4D3D-8274-29CC2118072F}"/>
    <cellStyle name="Normal 2 4 5 7 4 2" xfId="13489" xr:uid="{5D01E8FC-BD4A-40D2-A139-0B30EBADC4B2}"/>
    <cellStyle name="Normal 2 4 5 7 5" xfId="13484" xr:uid="{1B5BBFFE-25FF-40DD-82E2-1ECDAB30269C}"/>
    <cellStyle name="Normal 2 4 5 8" xfId="4658" xr:uid="{95DA771A-5949-4EFC-85B8-A58D6F0329A3}"/>
    <cellStyle name="Normal 2 4 5 8 2" xfId="4659" xr:uid="{797013BF-353C-46FD-A125-0597E38B3CF3}"/>
    <cellStyle name="Normal 2 4 5 8 2 2" xfId="4660" xr:uid="{842AA774-AF58-4A4C-AFF0-54818D28A8BC}"/>
    <cellStyle name="Normal 2 4 5 8 2 2 2" xfId="13492" xr:uid="{5AF1DE60-75B6-427F-9F2A-0F71CFBFAEE1}"/>
    <cellStyle name="Normal 2 4 5 8 2 3" xfId="4661" xr:uid="{39218ED4-1184-427B-B143-7D971D05FC76}"/>
    <cellStyle name="Normal 2 4 5 8 2 3 2" xfId="13493" xr:uid="{9FC18D49-53E9-438B-B118-A6558DA3158C}"/>
    <cellStyle name="Normal 2 4 5 8 2 4" xfId="13491" xr:uid="{715242F6-AFE4-4471-AC97-CED0D8848945}"/>
    <cellStyle name="Normal 2 4 5 8 3" xfId="4662" xr:uid="{E279B096-70D5-4D6B-98E7-EE82B92B3DEE}"/>
    <cellStyle name="Normal 2 4 5 8 3 2" xfId="13494" xr:uid="{D3587B3E-A520-44B3-AAC8-7E5CB07CD29B}"/>
    <cellStyle name="Normal 2 4 5 8 4" xfId="4663" xr:uid="{E182EBAB-96E8-4DB2-98D7-60B4A422BFB7}"/>
    <cellStyle name="Normal 2 4 5 8 4 2" xfId="13495" xr:uid="{1EFAA454-87BE-4B02-9807-3C6574A9E9E6}"/>
    <cellStyle name="Normal 2 4 5 8 5" xfId="13490" xr:uid="{D284D1C1-E0D4-4DA8-968F-4B15EE17422A}"/>
    <cellStyle name="Normal 2 4 5 9" xfId="4664" xr:uid="{3016ADC8-69D5-47CE-83FE-600CA0C509A5}"/>
    <cellStyle name="Normal 2 4 5 9 2" xfId="4665" xr:uid="{0E376150-19A0-48B4-A394-6BCB3BA9A498}"/>
    <cellStyle name="Normal 2 4 5 9 2 2" xfId="4666" xr:uid="{9959A317-CC39-4FC4-B949-8551BAC8444F}"/>
    <cellStyle name="Normal 2 4 5 9 2 2 2" xfId="13498" xr:uid="{FA7A3E5F-A875-4EFF-B88B-5B2CC83A8F42}"/>
    <cellStyle name="Normal 2 4 5 9 2 3" xfId="4667" xr:uid="{6BB462EE-256F-4C53-81B6-C966BF3A6DD1}"/>
    <cellStyle name="Normal 2 4 5 9 2 3 2" xfId="13499" xr:uid="{163B37C4-CA7C-4D1F-99A7-970DDD01BCCE}"/>
    <cellStyle name="Normal 2 4 5 9 2 4" xfId="13497" xr:uid="{1A4CC592-5533-4893-831C-6AF8400CB603}"/>
    <cellStyle name="Normal 2 4 5 9 3" xfId="4668" xr:uid="{C206731A-904B-4F00-B039-ABDF0ECCF1A8}"/>
    <cellStyle name="Normal 2 4 5 9 3 2" xfId="13500" xr:uid="{5F257750-479A-4EFC-93B5-E04D7FDB1CD7}"/>
    <cellStyle name="Normal 2 4 5 9 4" xfId="4669" xr:uid="{B32438C6-2154-4E93-B303-4ABC0D7EE419}"/>
    <cellStyle name="Normal 2 4 5 9 4 2" xfId="13501" xr:uid="{325AF36F-3F83-4097-9E33-D5BCDB50532E}"/>
    <cellStyle name="Normal 2 4 5 9 5" xfId="13496" xr:uid="{9B45F8AB-9459-4E31-B1C2-9092DA58F2C1}"/>
    <cellStyle name="Normal 2 4 50" xfId="4670" xr:uid="{AB2079C3-F852-4905-9872-F31EF234A07F}"/>
    <cellStyle name="Normal 2 4 50 2" xfId="4671" xr:uid="{D9C420D6-00D4-474F-8CAD-ECDA260C573D}"/>
    <cellStyle name="Normal 2 4 50 2 2" xfId="4672" xr:uid="{2A1008F5-DE94-4060-B8AB-A90F72F0D11D}"/>
    <cellStyle name="Normal 2 4 50 2 2 2" xfId="13504" xr:uid="{1910BEF9-C6DA-4A34-B0A2-69E197A0E3E7}"/>
    <cellStyle name="Normal 2 4 50 2 3" xfId="4673" xr:uid="{551629EA-2E22-421C-B90E-5B5A0E50158E}"/>
    <cellStyle name="Normal 2 4 50 2 3 2" xfId="13505" xr:uid="{133C3A12-2DD8-47EA-A3A2-37B72971762F}"/>
    <cellStyle name="Normal 2 4 50 2 4" xfId="13503" xr:uid="{EB716474-0FA1-43F2-BEFF-C280A55273F2}"/>
    <cellStyle name="Normal 2 4 50 3" xfId="4674" xr:uid="{580A16F3-43BB-4676-B9B4-C6A3DE9DC926}"/>
    <cellStyle name="Normal 2 4 50 3 2" xfId="13506" xr:uid="{C0A0156B-A46F-435D-BF0C-0DE6A4CC46BB}"/>
    <cellStyle name="Normal 2 4 50 4" xfId="4675" xr:uid="{31E803C1-E765-469A-AB11-4E4BB15E936F}"/>
    <cellStyle name="Normal 2 4 50 4 2" xfId="13507" xr:uid="{065256B7-ACD9-42E3-99BF-124F60C3F859}"/>
    <cellStyle name="Normal 2 4 50 5" xfId="13502" xr:uid="{4AC1CC3A-FBE0-4453-A468-8240C4A8A0B5}"/>
    <cellStyle name="Normal 2 4 51" xfId="4676" xr:uid="{32B96B81-8CB7-4647-82FE-3D1C489DEE1E}"/>
    <cellStyle name="Normal 2 4 51 2" xfId="4677" xr:uid="{0D810323-693E-473D-829D-E72491BD83D8}"/>
    <cellStyle name="Normal 2 4 51 2 2" xfId="4678" xr:uid="{DFDF4401-BF87-4D7B-9AA4-519527F2DFE3}"/>
    <cellStyle name="Normal 2 4 51 2 2 2" xfId="13510" xr:uid="{B8A60213-F001-4F8C-A80D-B67FDF2AEA47}"/>
    <cellStyle name="Normal 2 4 51 2 3" xfId="4679" xr:uid="{5A66258A-B893-49B9-8BE1-194220A074F3}"/>
    <cellStyle name="Normal 2 4 51 2 3 2" xfId="13511" xr:uid="{CD26BD8B-425C-4944-B24D-04D5B11B11B9}"/>
    <cellStyle name="Normal 2 4 51 2 4" xfId="13509" xr:uid="{950913B3-C5E8-4B6F-9000-F0C82BFDC452}"/>
    <cellStyle name="Normal 2 4 51 3" xfId="4680" xr:uid="{2B708896-A4F6-40E2-B58A-34EAAB48A4BC}"/>
    <cellStyle name="Normal 2 4 51 3 2" xfId="13512" xr:uid="{C1288F26-1C5D-434F-AA59-C2C914F7CE8B}"/>
    <cellStyle name="Normal 2 4 51 4" xfId="4681" xr:uid="{8C14221D-8CF8-4B75-81B6-0C5AF5C96EA9}"/>
    <cellStyle name="Normal 2 4 51 4 2" xfId="13513" xr:uid="{75C670E9-8076-481B-97DB-4E29797024A6}"/>
    <cellStyle name="Normal 2 4 51 5" xfId="13508" xr:uid="{4CE5D907-9B15-4007-8240-CF0590615B8D}"/>
    <cellStyle name="Normal 2 4 52" xfId="4682" xr:uid="{DAA6E27E-0B6D-4A78-885F-6C350F467FD5}"/>
    <cellStyle name="Normal 2 4 52 2" xfId="4683" xr:uid="{1B0F9434-BEBB-4B6E-90A2-4FE72A8C8269}"/>
    <cellStyle name="Normal 2 4 52 2 2" xfId="4684" xr:uid="{08AB0BAA-496A-4F71-A55D-FED409F52EAA}"/>
    <cellStyle name="Normal 2 4 52 2 2 2" xfId="13516" xr:uid="{BD384413-C56B-4CFB-8EDA-F9B5F9784986}"/>
    <cellStyle name="Normal 2 4 52 2 3" xfId="4685" xr:uid="{9EE5EE59-FD0E-41CC-9034-9F6AA9DA6198}"/>
    <cellStyle name="Normal 2 4 52 2 3 2" xfId="13517" xr:uid="{61C9C307-2649-467D-9F08-A4D94A5709FD}"/>
    <cellStyle name="Normal 2 4 52 2 4" xfId="13515" xr:uid="{6B74BC9D-C949-48A0-A38A-F1D9CE442A38}"/>
    <cellStyle name="Normal 2 4 52 3" xfId="4686" xr:uid="{0F3CB882-3AD1-46DD-81ED-5C1C6B2B1411}"/>
    <cellStyle name="Normal 2 4 52 3 2" xfId="13518" xr:uid="{791DFD3E-B6EF-4ED4-ADEE-B285CEBFFA1C}"/>
    <cellStyle name="Normal 2 4 52 4" xfId="4687" xr:uid="{71D988F8-0DF9-4BA9-B133-C3CBFE90DFC2}"/>
    <cellStyle name="Normal 2 4 52 4 2" xfId="13519" xr:uid="{B0A41E84-6163-40ED-BCAC-3F1588218313}"/>
    <cellStyle name="Normal 2 4 52 5" xfId="13514" xr:uid="{DBA41F0B-3115-4B31-972E-E4FB1BF2E071}"/>
    <cellStyle name="Normal 2 4 53" xfId="4688" xr:uid="{91FAD30A-B64F-466F-A33B-54FA7017C045}"/>
    <cellStyle name="Normal 2 4 53 2" xfId="4689" xr:uid="{7C76DF99-0873-4E8F-8376-E35A06EFB05F}"/>
    <cellStyle name="Normal 2 4 53 2 2" xfId="4690" xr:uid="{1B50AFB4-8F5B-405A-ADEC-F69788E38EC2}"/>
    <cellStyle name="Normal 2 4 53 2 2 2" xfId="13522" xr:uid="{AE0E506B-2C29-4E89-AA6A-A2662D8EDC93}"/>
    <cellStyle name="Normal 2 4 53 2 3" xfId="4691" xr:uid="{38E38B6E-242A-4052-8D52-D53319B167CC}"/>
    <cellStyle name="Normal 2 4 53 2 3 2" xfId="13523" xr:uid="{C0C78B07-6A96-4DE4-9581-3EFCE03CB855}"/>
    <cellStyle name="Normal 2 4 53 2 4" xfId="13521" xr:uid="{AA350810-7C14-4162-AEFC-11514CFF7983}"/>
    <cellStyle name="Normal 2 4 53 3" xfId="4692" xr:uid="{34D8FDB4-FF30-437B-8C06-E392B2F02FF0}"/>
    <cellStyle name="Normal 2 4 53 3 2" xfId="13524" xr:uid="{80ADFD58-854C-462C-B2E9-6B86053EBAB9}"/>
    <cellStyle name="Normal 2 4 53 4" xfId="4693" xr:uid="{DFB199AC-600A-4116-B03F-0B279B98C166}"/>
    <cellStyle name="Normal 2 4 53 4 2" xfId="13525" xr:uid="{B4C77C0A-CF23-4143-B7F0-671455A8324A}"/>
    <cellStyle name="Normal 2 4 53 5" xfId="13520" xr:uid="{A21443C4-FD37-45D6-AE53-39CF01281187}"/>
    <cellStyle name="Normal 2 4 54" xfId="4694" xr:uid="{ADD783E1-1A22-450E-8501-1BF6CE282591}"/>
    <cellStyle name="Normal 2 4 54 2" xfId="4695" xr:uid="{5AAD64D5-289E-459F-A580-69D36958FBD1}"/>
    <cellStyle name="Normal 2 4 54 2 2" xfId="4696" xr:uid="{77152DB3-A554-4946-8FFB-BAC2ECEF2030}"/>
    <cellStyle name="Normal 2 4 54 2 2 2" xfId="13528" xr:uid="{B7AA1FF3-EBDB-45ED-B8D3-BCB563DC920B}"/>
    <cellStyle name="Normal 2 4 54 2 3" xfId="4697" xr:uid="{787A87DD-04FA-47C1-87B4-D7CEDCD3AEEF}"/>
    <cellStyle name="Normal 2 4 54 2 3 2" xfId="13529" xr:uid="{4F837AE1-4A37-44C4-830B-CB1FF212CF53}"/>
    <cellStyle name="Normal 2 4 54 2 4" xfId="13527" xr:uid="{3A5EB40A-89E8-4151-A6F2-114122DE88C6}"/>
    <cellStyle name="Normal 2 4 54 3" xfId="4698" xr:uid="{9BB2991B-9CE2-4C86-A939-D2EB1CB470B9}"/>
    <cellStyle name="Normal 2 4 54 3 2" xfId="13530" xr:uid="{80645DEB-95A5-4332-BF00-1683602324A5}"/>
    <cellStyle name="Normal 2 4 54 4" xfId="4699" xr:uid="{8ACA8A5A-34FF-4883-8350-B206D9E546CB}"/>
    <cellStyle name="Normal 2 4 54 4 2" xfId="13531" xr:uid="{4DC8D46B-C53A-4174-A363-B94AEC441DBE}"/>
    <cellStyle name="Normal 2 4 54 5" xfId="13526" xr:uid="{8FD4E4E5-A6D0-4135-8162-87E426B0C85A}"/>
    <cellStyle name="Normal 2 4 55" xfId="4700" xr:uid="{C561A595-25B3-4E3B-8C8A-8069F21C93C2}"/>
    <cellStyle name="Normal 2 4 55 2" xfId="4701" xr:uid="{657B5B48-2C6B-4DE9-A67C-FAD2F0D5F16E}"/>
    <cellStyle name="Normal 2 4 55 2 2" xfId="4702" xr:uid="{C5996B06-04C3-49D0-97AD-02AFF93D3638}"/>
    <cellStyle name="Normal 2 4 55 2 2 2" xfId="13534" xr:uid="{D044BBF2-0E64-471D-8B33-1F3371ADCD90}"/>
    <cellStyle name="Normal 2 4 55 2 3" xfId="4703" xr:uid="{F8068194-98D0-4E4C-AB01-58D5056AC1DA}"/>
    <cellStyle name="Normal 2 4 55 2 3 2" xfId="13535" xr:uid="{D0DA4711-8257-4B6C-9B48-CBEF12DE35E8}"/>
    <cellStyle name="Normal 2 4 55 2 4" xfId="13533" xr:uid="{1285E0DF-9922-401E-9690-6E38D314629B}"/>
    <cellStyle name="Normal 2 4 55 3" xfId="4704" xr:uid="{AB389C00-9A6B-4B58-BE55-CF127AD7C824}"/>
    <cellStyle name="Normal 2 4 55 3 2" xfId="13536" xr:uid="{B17E5BA7-D463-436A-8118-70C6CE7CF77D}"/>
    <cellStyle name="Normal 2 4 55 4" xfId="4705" xr:uid="{398D1542-5F43-40EB-817F-548A392C1742}"/>
    <cellStyle name="Normal 2 4 55 4 2" xfId="13537" xr:uid="{4A3E617B-1D14-4BC1-BB27-948F5558C40B}"/>
    <cellStyle name="Normal 2 4 55 5" xfId="13532" xr:uid="{E1134CB9-9BA9-447E-AC78-74D9E2C2EAC3}"/>
    <cellStyle name="Normal 2 4 56" xfId="4706" xr:uid="{11DE38ED-4A5C-4064-AFDE-91169C171998}"/>
    <cellStyle name="Normal 2 4 56 2" xfId="4707" xr:uid="{E81C7734-FF94-4B3F-92B8-D336992B9A10}"/>
    <cellStyle name="Normal 2 4 56 2 2" xfId="4708" xr:uid="{8C6B419C-1A98-4F80-8378-0728EDB24EA8}"/>
    <cellStyle name="Normal 2 4 56 2 2 2" xfId="13540" xr:uid="{D5632242-A5E4-4836-841A-22C2ED727885}"/>
    <cellStyle name="Normal 2 4 56 2 3" xfId="4709" xr:uid="{260E12D8-5952-46F2-B409-F4BE238D89ED}"/>
    <cellStyle name="Normal 2 4 56 2 3 2" xfId="13541" xr:uid="{03481E79-8B2D-4FC5-B459-10BA7A8A1A70}"/>
    <cellStyle name="Normal 2 4 56 2 4" xfId="13539" xr:uid="{31AD066D-4A01-41D2-A630-54B5DC1243D8}"/>
    <cellStyle name="Normal 2 4 56 3" xfId="4710" xr:uid="{4F51F42E-835B-4D3F-9179-F4AA02BE360B}"/>
    <cellStyle name="Normal 2 4 56 3 2" xfId="13542" xr:uid="{0DBE92A0-1177-4F6D-B8B9-A0B191FF5BC2}"/>
    <cellStyle name="Normal 2 4 56 4" xfId="4711" xr:uid="{9D654EB3-8A70-4C3E-BF78-9F2F57E7646C}"/>
    <cellStyle name="Normal 2 4 56 4 2" xfId="13543" xr:uid="{94A6C639-5E76-47DB-8792-54E4DEA6E637}"/>
    <cellStyle name="Normal 2 4 56 5" xfId="13538" xr:uid="{6B26CAB8-9602-4825-B05E-04A1E9021BA9}"/>
    <cellStyle name="Normal 2 4 57" xfId="4712" xr:uid="{5E5B3D6D-9A60-487A-B028-6D6BCD7BDE88}"/>
    <cellStyle name="Normal 2 4 57 2" xfId="4713" xr:uid="{85A98A52-0EF2-4F34-8BBA-080871604DB9}"/>
    <cellStyle name="Normal 2 4 57 2 2" xfId="4714" xr:uid="{0A6B8969-F468-4A85-B0BE-0BEEA9EF968C}"/>
    <cellStyle name="Normal 2 4 57 2 2 2" xfId="13546" xr:uid="{F88FEBF0-3025-40D5-8ED1-2ABB4B992F20}"/>
    <cellStyle name="Normal 2 4 57 2 3" xfId="4715" xr:uid="{D4D48858-DBCA-4FF7-9FC5-343B19E70B3E}"/>
    <cellStyle name="Normal 2 4 57 2 3 2" xfId="13547" xr:uid="{B19F22F0-0258-4017-BF83-02771ED2FADD}"/>
    <cellStyle name="Normal 2 4 57 2 4" xfId="13545" xr:uid="{FD5085E7-E456-429B-9A45-4FEB47BFB8E6}"/>
    <cellStyle name="Normal 2 4 57 3" xfId="4716" xr:uid="{05373668-64D2-40D9-B9E6-C35BCC0E9969}"/>
    <cellStyle name="Normal 2 4 57 3 2" xfId="13548" xr:uid="{C2E36AE1-0EC8-4A81-BEB5-1035B5FFD99C}"/>
    <cellStyle name="Normal 2 4 57 4" xfId="4717" xr:uid="{AAC39C7F-DBEE-43F2-BED1-0B2091BCA541}"/>
    <cellStyle name="Normal 2 4 57 4 2" xfId="13549" xr:uid="{1A211C29-96D1-48A7-8D73-7109151BC59F}"/>
    <cellStyle name="Normal 2 4 57 5" xfId="13544" xr:uid="{336CE582-1FA4-4425-866B-F5C057040750}"/>
    <cellStyle name="Normal 2 4 58" xfId="4718" xr:uid="{BE04AEEF-3503-4932-BAF9-8592088871F8}"/>
    <cellStyle name="Normal 2 4 58 2" xfId="4719" xr:uid="{273EDAEB-2F75-4A5B-B1F5-F55400079B84}"/>
    <cellStyle name="Normal 2 4 58 2 2" xfId="4720" xr:uid="{9D8A4830-7A28-402C-8679-DB2A9E3BD4F5}"/>
    <cellStyle name="Normal 2 4 58 2 2 2" xfId="13552" xr:uid="{39BC531A-A1A3-40D6-832A-CCAA9BE7E5EC}"/>
    <cellStyle name="Normal 2 4 58 2 3" xfId="4721" xr:uid="{4BE29F4D-478F-407C-A855-B5759A9A0013}"/>
    <cellStyle name="Normal 2 4 58 2 3 2" xfId="13553" xr:uid="{CB2F3420-DE28-4771-A96C-3BBAE5FF0AA4}"/>
    <cellStyle name="Normal 2 4 58 2 4" xfId="13551" xr:uid="{65F3105C-0CFB-40AF-9B5C-A117ED1BA48B}"/>
    <cellStyle name="Normal 2 4 58 3" xfId="4722" xr:uid="{815CD2BB-8C05-4888-B129-01F0B8015908}"/>
    <cellStyle name="Normal 2 4 58 3 2" xfId="13554" xr:uid="{CCAD3587-F08B-4A94-AB35-6F3F089E7656}"/>
    <cellStyle name="Normal 2 4 58 4" xfId="4723" xr:uid="{BE8DA469-215F-45E4-A1DB-238B00607D7C}"/>
    <cellStyle name="Normal 2 4 58 4 2" xfId="13555" xr:uid="{B80ACB1B-37EC-460C-A03D-BF94E9D2C0CF}"/>
    <cellStyle name="Normal 2 4 58 5" xfId="13550" xr:uid="{9D7D352C-96CF-444C-930B-2E82269880E1}"/>
    <cellStyle name="Normal 2 4 59" xfId="4724" xr:uid="{9A7FD7B1-863D-4560-99AC-234038B41488}"/>
    <cellStyle name="Normal 2 4 59 2" xfId="4725" xr:uid="{83ECF0F7-49A3-4791-8D87-1FD7DB42BBF4}"/>
    <cellStyle name="Normal 2 4 59 2 2" xfId="4726" xr:uid="{BB1B49C9-9773-4863-AFF4-B4E242573C7A}"/>
    <cellStyle name="Normal 2 4 59 2 2 2" xfId="13558" xr:uid="{9BA5EA19-5AA8-4BFF-A748-3715CA855626}"/>
    <cellStyle name="Normal 2 4 59 2 3" xfId="4727" xr:uid="{731D654F-856C-4A19-A9B6-FCD76D750178}"/>
    <cellStyle name="Normal 2 4 59 2 3 2" xfId="13559" xr:uid="{24EA9066-00B7-4D38-B450-E9A808D1F73B}"/>
    <cellStyle name="Normal 2 4 59 2 4" xfId="13557" xr:uid="{DCAE31C9-6D59-452D-8D87-ECF0F3EB7F99}"/>
    <cellStyle name="Normal 2 4 59 3" xfId="4728" xr:uid="{94B56273-0B0B-4D13-B9B2-EEF8CA971218}"/>
    <cellStyle name="Normal 2 4 59 3 2" xfId="13560" xr:uid="{BA7AE492-5EDC-4C5D-A531-A097F09C02D6}"/>
    <cellStyle name="Normal 2 4 59 4" xfId="4729" xr:uid="{ED69F1AF-C16F-4C37-8FA1-1572CF10677D}"/>
    <cellStyle name="Normal 2 4 59 4 2" xfId="13561" xr:uid="{08C69634-58BB-42B6-9851-AD8009ADEF7E}"/>
    <cellStyle name="Normal 2 4 59 5" xfId="13556" xr:uid="{005BE40E-ED6A-44D6-87BE-A7C3F8E02529}"/>
    <cellStyle name="Normal 2 4 6" xfId="4730" xr:uid="{4E840908-F31E-4C94-82A1-7695D98476BC}"/>
    <cellStyle name="Normal 2 4 6 2" xfId="4731" xr:uid="{AB721161-0A6B-4671-93AC-B0AADC599F02}"/>
    <cellStyle name="Normal 2 4 6 2 2" xfId="4732" xr:uid="{5AA40624-BB7B-48F6-A43B-B781E28DF05F}"/>
    <cellStyle name="Normal 2 4 6 2 2 2" xfId="13564" xr:uid="{02086B38-6F6D-431C-9BF1-D58224A8FC53}"/>
    <cellStyle name="Normal 2 4 6 2 3" xfId="4733" xr:uid="{F2ED43EF-0E3D-4DED-8D91-6FE4DAA0999D}"/>
    <cellStyle name="Normal 2 4 6 2 3 2" xfId="13565" xr:uid="{E99FC1C2-E3FE-4248-B613-44D112F32D94}"/>
    <cellStyle name="Normal 2 4 6 2 4" xfId="13563" xr:uid="{69521675-A249-40C5-AC09-D75FD89A5957}"/>
    <cellStyle name="Normal 2 4 6 3" xfId="4734" xr:uid="{61C52AEB-B479-4570-90F2-9EC7B0530145}"/>
    <cellStyle name="Normal 2 4 6 3 2" xfId="13566" xr:uid="{207D1667-B7DC-49CF-860D-7BDF813866D0}"/>
    <cellStyle name="Normal 2 4 6 4" xfId="4735" xr:uid="{6F522135-10FF-4F8B-8EC9-BDFD6C474E3F}"/>
    <cellStyle name="Normal 2 4 6 4 2" xfId="13567" xr:uid="{47BD3314-F8B1-4FE1-A5BD-6C2722862056}"/>
    <cellStyle name="Normal 2 4 6 5" xfId="13562" xr:uid="{A13D74E4-415F-4B9B-93F5-7C5B5D317831}"/>
    <cellStyle name="Normal 2 4 60" xfId="4736" xr:uid="{DB37C75B-4035-42C3-BE00-36BBCA670FD1}"/>
    <cellStyle name="Normal 2 4 60 2" xfId="4737" xr:uid="{3FCBB49B-F8C4-47DC-AA37-D15B7C7B9832}"/>
    <cellStyle name="Normal 2 4 60 2 2" xfId="4738" xr:uid="{3091C131-B085-461F-AD3A-04286770A797}"/>
    <cellStyle name="Normal 2 4 60 2 2 2" xfId="13570" xr:uid="{0DE32E6E-0945-4B1E-8E28-0BA64915CA88}"/>
    <cellStyle name="Normal 2 4 60 2 3" xfId="4739" xr:uid="{498D1F9B-0CF9-44C5-BAEC-BFDF205E3478}"/>
    <cellStyle name="Normal 2 4 60 2 3 2" xfId="13571" xr:uid="{B23C0649-B2DF-45AD-BF8B-E63C33A137AD}"/>
    <cellStyle name="Normal 2 4 60 2 4" xfId="13569" xr:uid="{79252887-DDBD-4B15-AAB4-BCBC31D9A28C}"/>
    <cellStyle name="Normal 2 4 60 3" xfId="4740" xr:uid="{2107EFF5-0A74-4770-B650-51433D6FF771}"/>
    <cellStyle name="Normal 2 4 60 3 2" xfId="13572" xr:uid="{45849977-5F98-4183-AD4B-07ADDCE04861}"/>
    <cellStyle name="Normal 2 4 60 4" xfId="4741" xr:uid="{13EC6A53-3898-467C-A6A6-41671BA82E6E}"/>
    <cellStyle name="Normal 2 4 60 4 2" xfId="13573" xr:uid="{135CBE05-9100-4F8F-BC72-19C92BDEAEAE}"/>
    <cellStyle name="Normal 2 4 60 5" xfId="13568" xr:uid="{4F27CAD4-B996-430A-B718-D1D5C86E42CD}"/>
    <cellStyle name="Normal 2 4 61" xfId="4742" xr:uid="{DD39AB54-2BFD-46D4-81D7-E2068B0B97F2}"/>
    <cellStyle name="Normal 2 4 61 2" xfId="4743" xr:uid="{CFD8303A-F66D-4306-BFBC-CECB648475FA}"/>
    <cellStyle name="Normal 2 4 61 2 2" xfId="13575" xr:uid="{08DBBF7A-01D0-4F02-91C0-3D67D5B1DAB3}"/>
    <cellStyle name="Normal 2 4 61 3" xfId="4744" xr:uid="{741F910C-34B6-4099-8FEC-1F17097A8189}"/>
    <cellStyle name="Normal 2 4 61 3 2" xfId="13576" xr:uid="{F8B87E7A-8201-4DE0-8190-99B4728B6D9F}"/>
    <cellStyle name="Normal 2 4 61 4" xfId="13574" xr:uid="{81D92033-8FE6-462A-AF92-57B000EB16AE}"/>
    <cellStyle name="Normal 2 4 62" xfId="4745" xr:uid="{80525FB6-00DE-4218-B368-DB2428CD6E7D}"/>
    <cellStyle name="Normal 2 4 62 2" xfId="13577" xr:uid="{E62690D9-5F27-4549-8BC4-4E3DA2FD8736}"/>
    <cellStyle name="Normal 2 4 63" xfId="4746" xr:uid="{61631A19-C1DE-4792-AB09-69C63943F383}"/>
    <cellStyle name="Normal 2 4 63 2" xfId="13578" xr:uid="{D1D86591-3167-4ADF-8309-5B80351D22E3}"/>
    <cellStyle name="Normal 2 4 64" xfId="4747" xr:uid="{6556842D-BE29-4F49-B755-C7D7B6EEF771}"/>
    <cellStyle name="Normal 2 4 65" xfId="4748" xr:uid="{2D943059-0376-49B9-91E2-DE8F0641EE91}"/>
    <cellStyle name="Normal 2 4 65 2" xfId="13579" xr:uid="{B7083686-D163-4017-83E7-845DA11BDD63}"/>
    <cellStyle name="Normal 2 4 66" xfId="4749" xr:uid="{47333B7B-B2AE-41A7-A60D-11FAA36EE092}"/>
    <cellStyle name="Normal 2 4 67" xfId="12226" xr:uid="{21468B9A-E466-4DDB-9D88-F43E0ACC9E92}"/>
    <cellStyle name="Normal 2 4 7" xfId="4750" xr:uid="{D344F193-A44E-4CA1-81B1-C2B7B12DEE14}"/>
    <cellStyle name="Normal 2 4 7 2" xfId="4751" xr:uid="{507D9F68-938A-4620-ABF1-D5F17E874928}"/>
    <cellStyle name="Normal 2 4 7 2 2" xfId="4752" xr:uid="{6D9916C0-57B1-4322-A11E-D7A4B818B5B9}"/>
    <cellStyle name="Normal 2 4 7 2 2 2" xfId="13582" xr:uid="{8A371845-7253-4978-99A6-39E775B057D1}"/>
    <cellStyle name="Normal 2 4 7 2 3" xfId="4753" xr:uid="{A8139A22-EF72-473F-8035-3E8393080552}"/>
    <cellStyle name="Normal 2 4 7 2 3 2" xfId="13583" xr:uid="{2525D59B-E267-412F-9165-02C27CF67096}"/>
    <cellStyle name="Normal 2 4 7 2 4" xfId="13581" xr:uid="{089EE2C6-4C3D-438B-93BD-F3208EC21313}"/>
    <cellStyle name="Normal 2 4 7 3" xfId="4754" xr:uid="{140097D9-391A-41E2-9464-B311856B5FD3}"/>
    <cellStyle name="Normal 2 4 7 3 2" xfId="13584" xr:uid="{7CE71915-F4C0-42D6-9B42-E74FFE3FA8D3}"/>
    <cellStyle name="Normal 2 4 7 4" xfId="4755" xr:uid="{C37F774B-6CF0-4AAF-B3E4-686A4EFFBB00}"/>
    <cellStyle name="Normal 2 4 7 4 2" xfId="13585" xr:uid="{BEAB8134-03A1-4EEC-99D4-E8EA034990F6}"/>
    <cellStyle name="Normal 2 4 7 5" xfId="13580" xr:uid="{DA1E864E-92C8-42C3-A08D-E212B8FA1D4C}"/>
    <cellStyle name="Normal 2 4 8" xfId="4756" xr:uid="{48CB0AA6-0AF2-4DC8-B847-E4EFD1DA5442}"/>
    <cellStyle name="Normal 2 4 8 2" xfId="4757" xr:uid="{7983099A-BD58-4BCD-A494-A519DD23CA1F}"/>
    <cellStyle name="Normal 2 4 8 2 2" xfId="4758" xr:uid="{471A6301-3DE2-429E-90D6-14E431FA35F2}"/>
    <cellStyle name="Normal 2 4 8 2 2 2" xfId="13588" xr:uid="{2F131654-676A-410D-993B-2B9E4C9065BB}"/>
    <cellStyle name="Normal 2 4 8 2 3" xfId="4759" xr:uid="{AEF0F2E6-ABD8-4451-B500-43FF5F7CA634}"/>
    <cellStyle name="Normal 2 4 8 2 3 2" xfId="13589" xr:uid="{B2EDFEDB-3044-4743-A51E-99DC541F3A8D}"/>
    <cellStyle name="Normal 2 4 8 2 4" xfId="13587" xr:uid="{7EC2ACC2-CFB6-405D-A1F0-FE594937807E}"/>
    <cellStyle name="Normal 2 4 8 3" xfId="4760" xr:uid="{652A14F8-B862-4176-B7ED-EA0629275A20}"/>
    <cellStyle name="Normal 2 4 8 3 2" xfId="13590" xr:uid="{F6C98243-40DA-4F09-BF09-C84F7F727896}"/>
    <cellStyle name="Normal 2 4 8 4" xfId="4761" xr:uid="{CDF72E97-98FE-439F-BEEF-34BC3205DF20}"/>
    <cellStyle name="Normal 2 4 8 4 2" xfId="13591" xr:uid="{6F9C56B0-3987-47CC-83B6-F42637E11EA9}"/>
    <cellStyle name="Normal 2 4 8 5" xfId="13586" xr:uid="{3FB03CF5-54D1-48D6-95F1-D32D4AD86C26}"/>
    <cellStyle name="Normal 2 4 9" xfId="4762" xr:uid="{93EC3011-22A2-4BD2-8660-CE928FB173B5}"/>
    <cellStyle name="Normal 2 4 9 2" xfId="4763" xr:uid="{93F6EA75-9009-4917-B91D-882FBDC6090F}"/>
    <cellStyle name="Normal 2 4 9 2 2" xfId="4764" xr:uid="{3A136E27-6406-4C1A-AFC4-3D50BB67EDBD}"/>
    <cellStyle name="Normal 2 4 9 2 2 2" xfId="13594" xr:uid="{0D1A439C-3499-49CB-939D-93E77299705C}"/>
    <cellStyle name="Normal 2 4 9 2 3" xfId="4765" xr:uid="{A64C54C3-DFD9-4D7F-8606-A0470D2792DA}"/>
    <cellStyle name="Normal 2 4 9 2 3 2" xfId="13595" xr:uid="{330E40AF-77EC-432B-B393-076407C6C219}"/>
    <cellStyle name="Normal 2 4 9 2 4" xfId="13593" xr:uid="{CCF90608-61BD-4D72-BA93-BA0848C54173}"/>
    <cellStyle name="Normal 2 4 9 3" xfId="4766" xr:uid="{20D440F2-A15B-426E-801F-003C586B3B17}"/>
    <cellStyle name="Normal 2 4 9 3 2" xfId="13596" xr:uid="{8D0796F6-BAEA-4B11-8C3A-2A0A259C7D07}"/>
    <cellStyle name="Normal 2 4 9 4" xfId="4767" xr:uid="{9558B8FA-52A8-459B-809E-953D6C4D2846}"/>
    <cellStyle name="Normal 2 4 9 4 2" xfId="13597" xr:uid="{AD4155C6-FC59-474A-BD18-5567BF52DB40}"/>
    <cellStyle name="Normal 2 4 9 5" xfId="13592" xr:uid="{887091A8-229B-47D6-8CD6-5AE558EF4B13}"/>
    <cellStyle name="Normal 2 40" xfId="4768" xr:uid="{29A97F0A-7129-49B4-A979-736FABEA2FA7}"/>
    <cellStyle name="Normal 2 40 2" xfId="4769" xr:uid="{1C9A595D-4D13-4E5A-893E-0AFD1DD84F9D}"/>
    <cellStyle name="Normal 2 40 2 2" xfId="4770" xr:uid="{1A6BB3A4-AAC1-4FB4-A1C5-77900ED415DA}"/>
    <cellStyle name="Normal 2 40 2 2 2" xfId="13600" xr:uid="{3F7EB7B7-8231-49BB-8209-A988202876C0}"/>
    <cellStyle name="Normal 2 40 2 3" xfId="4771" xr:uid="{319517B3-94C9-496E-BB43-E54E37FB8914}"/>
    <cellStyle name="Normal 2 40 2 3 2" xfId="13601" xr:uid="{4BEBE841-CEEA-4FFA-B36F-F775400FE196}"/>
    <cellStyle name="Normal 2 40 2 4" xfId="13599" xr:uid="{B1ADADDD-AA00-4886-9119-E71FF370A94F}"/>
    <cellStyle name="Normal 2 40 3" xfId="4772" xr:uid="{FC9FC533-B8D9-4048-ABBB-AA40B6D7929E}"/>
    <cellStyle name="Normal 2 40 3 2" xfId="13602" xr:uid="{90249C6C-7487-4EDA-B71F-22D693153B84}"/>
    <cellStyle name="Normal 2 40 4" xfId="4773" xr:uid="{2EB278BE-2154-4D91-8D51-DADFA1B4E455}"/>
    <cellStyle name="Normal 2 40 4 2" xfId="13603" xr:uid="{43DB1AAA-DEC2-4D8A-BB44-E9B82EE662BF}"/>
    <cellStyle name="Normal 2 40 5" xfId="13598" xr:uid="{CD84B2FB-837A-4B57-911B-CD1AA7526099}"/>
    <cellStyle name="Normal 2 41" xfId="4774" xr:uid="{2E12F1CB-63AE-4793-87A6-6189D38EC6F6}"/>
    <cellStyle name="Normal 2 41 2" xfId="4775" xr:uid="{208E0487-6B88-4C6C-AED0-EBBD509D1C7F}"/>
    <cellStyle name="Normal 2 41 2 2" xfId="4776" xr:uid="{8A140377-6D0B-4956-A332-EBBB19DA1E8F}"/>
    <cellStyle name="Normal 2 41 2 2 2" xfId="13606" xr:uid="{A1BDA578-C31C-40E5-8721-245146B7D4E9}"/>
    <cellStyle name="Normal 2 41 2 3" xfId="4777" xr:uid="{7B22EA70-1DB7-4E22-9030-25D562FEF9DC}"/>
    <cellStyle name="Normal 2 41 2 3 2" xfId="13607" xr:uid="{F3FF00CA-EC5F-4346-A54A-4D303B019AF4}"/>
    <cellStyle name="Normal 2 41 2 4" xfId="13605" xr:uid="{B96D2907-4AF7-4932-800E-C0B3C5E64158}"/>
    <cellStyle name="Normal 2 41 3" xfId="4778" xr:uid="{B04C1F14-CA9A-4C83-9289-D501860FFAB5}"/>
    <cellStyle name="Normal 2 41 3 2" xfId="13608" xr:uid="{82F4A828-65F4-4244-A41B-B17F9C20DA14}"/>
    <cellStyle name="Normal 2 41 4" xfId="4779" xr:uid="{9FBD0FA6-6056-4244-826F-C95B24551EC8}"/>
    <cellStyle name="Normal 2 41 4 2" xfId="13609" xr:uid="{7693AE6B-CFC7-4433-8414-3D2F7C151610}"/>
    <cellStyle name="Normal 2 41 5" xfId="13604" xr:uid="{AD886CE9-FDC3-4DE5-B905-66D1FCD26CA6}"/>
    <cellStyle name="Normal 2 42" xfId="4780" xr:uid="{FEA6836E-6AC3-4F3B-92B4-11811D8029A3}"/>
    <cellStyle name="Normal 2 42 2" xfId="4781" xr:uid="{8E70A90E-11FB-45D3-944C-0948C566836A}"/>
    <cellStyle name="Normal 2 42 2 2" xfId="4782" xr:uid="{BFC448C7-E56A-4650-847B-92586188CBAD}"/>
    <cellStyle name="Normal 2 42 2 2 2" xfId="13612" xr:uid="{A14F2907-87F5-4688-B515-4DC657D298C8}"/>
    <cellStyle name="Normal 2 42 2 3" xfId="4783" xr:uid="{D59FFA51-21A5-44ED-B744-B1807EDDCE88}"/>
    <cellStyle name="Normal 2 42 2 3 2" xfId="13613" xr:uid="{7993F164-6E1D-4B87-9C96-8BD241474A0F}"/>
    <cellStyle name="Normal 2 42 2 4" xfId="13611" xr:uid="{1EDC46FD-9F6B-4CAC-B1B4-DD70030D928F}"/>
    <cellStyle name="Normal 2 42 3" xfId="4784" xr:uid="{9359ADEB-5C9B-4F06-A991-8B7343A878E2}"/>
    <cellStyle name="Normal 2 42 3 2" xfId="13614" xr:uid="{3E625587-7108-41AC-9F3A-C714D3FFD55C}"/>
    <cellStyle name="Normal 2 42 4" xfId="4785" xr:uid="{B50C2DDD-BCE5-44BA-BC8C-EBA3FA1976AD}"/>
    <cellStyle name="Normal 2 42 4 2" xfId="13615" xr:uid="{ECA5A947-8C98-4623-9BE8-264D87111997}"/>
    <cellStyle name="Normal 2 42 5" xfId="13610" xr:uid="{3A10359C-FB35-40B5-974C-01106BBBB84B}"/>
    <cellStyle name="Normal 2 43" xfId="4786" xr:uid="{7750321D-B3EB-4671-8253-B6BA10990788}"/>
    <cellStyle name="Normal 2 43 2" xfId="4787" xr:uid="{972BCEF9-05E8-4235-BDED-4D84925F74FD}"/>
    <cellStyle name="Normal 2 43 2 2" xfId="4788" xr:uid="{17B782CD-E97C-4819-8182-DC0E42CD028F}"/>
    <cellStyle name="Normal 2 43 2 2 2" xfId="13618" xr:uid="{031319D4-BF3F-45AE-B111-EAB269CB6C9B}"/>
    <cellStyle name="Normal 2 43 2 3" xfId="4789" xr:uid="{B5C654D8-B713-43B7-84D0-21239639F3F3}"/>
    <cellStyle name="Normal 2 43 2 3 2" xfId="13619" xr:uid="{6EFC365D-E123-41C1-AB40-FAC885DFC13C}"/>
    <cellStyle name="Normal 2 43 2 4" xfId="13617" xr:uid="{C42220D9-9DD6-44DD-80CA-557D135EF80E}"/>
    <cellStyle name="Normal 2 43 3" xfId="4790" xr:uid="{5B72600D-D1DD-4A0E-9F15-FA845236AD04}"/>
    <cellStyle name="Normal 2 43 3 2" xfId="13620" xr:uid="{4E881756-D75D-4F12-861C-DAEB0B80865F}"/>
    <cellStyle name="Normal 2 43 4" xfId="4791" xr:uid="{0BCA0469-F5D5-471D-B685-E19E6B878DC7}"/>
    <cellStyle name="Normal 2 43 4 2" xfId="13621" xr:uid="{9CD7BD52-E13D-42F8-9C7D-F6163E1A1479}"/>
    <cellStyle name="Normal 2 43 5" xfId="13616" xr:uid="{1765BB3A-15B0-48BA-92A0-E86E2AA704C0}"/>
    <cellStyle name="Normal 2 44" xfId="4792" xr:uid="{37687E20-7356-4CC3-BE28-B3F6E7B760C6}"/>
    <cellStyle name="Normal 2 44 2" xfId="4793" xr:uid="{A522A350-73EB-42B6-8BCC-7EBB57342ED3}"/>
    <cellStyle name="Normal 2 44 2 2" xfId="4794" xr:uid="{36346FA4-347E-471C-AE8F-5D01006E6613}"/>
    <cellStyle name="Normal 2 44 2 2 2" xfId="13624" xr:uid="{C495A918-4F0A-4BAE-881A-4DB78518F71D}"/>
    <cellStyle name="Normal 2 44 2 3" xfId="4795" xr:uid="{DB4B5C63-6273-4B06-8473-EF2E6C3BE22D}"/>
    <cellStyle name="Normal 2 44 2 3 2" xfId="13625" xr:uid="{A44EABED-0FE2-4330-BF47-2BC0B54D5FA6}"/>
    <cellStyle name="Normal 2 44 2 4" xfId="13623" xr:uid="{FE4D8028-087E-42C1-9376-593DDAAEC79A}"/>
    <cellStyle name="Normal 2 44 3" xfId="4796" xr:uid="{69000909-DD03-4912-8305-7B094E9ABBEB}"/>
    <cellStyle name="Normal 2 44 3 2" xfId="13626" xr:uid="{BF73851D-95A3-4A18-9849-5B7BED15FB5B}"/>
    <cellStyle name="Normal 2 44 4" xfId="4797" xr:uid="{98277ED9-01F4-49E0-8BB6-BEB1E9250C65}"/>
    <cellStyle name="Normal 2 44 4 2" xfId="13627" xr:uid="{25CD129A-FC03-4601-A387-AE818C979E58}"/>
    <cellStyle name="Normal 2 44 5" xfId="13622" xr:uid="{4AE1AF7C-F599-41B1-B5AC-6E59CE0E69AC}"/>
    <cellStyle name="Normal 2 45" xfId="4798" xr:uid="{E1422F9D-F596-4588-89A4-CBA305D2365B}"/>
    <cellStyle name="Normal 2 45 2" xfId="4799" xr:uid="{453B15B3-B19E-47F3-898B-697CD2719FF4}"/>
    <cellStyle name="Normal 2 45 2 2" xfId="4800" xr:uid="{C114FA72-B80C-47B7-8EA3-4DF4BEDC042C}"/>
    <cellStyle name="Normal 2 45 2 2 2" xfId="13630" xr:uid="{5088A69D-FAD7-4A00-9A76-98D7AFB2DC49}"/>
    <cellStyle name="Normal 2 45 2 3" xfId="4801" xr:uid="{46C03C05-35DA-4DF1-8F38-6B08B03C65ED}"/>
    <cellStyle name="Normal 2 45 2 3 2" xfId="13631" xr:uid="{E6D23FA5-8891-42AC-82F4-B6AAEA18637A}"/>
    <cellStyle name="Normal 2 45 2 4" xfId="13629" xr:uid="{EE07D2A1-087F-4A57-9BDB-92A61537D5A3}"/>
    <cellStyle name="Normal 2 45 3" xfId="4802" xr:uid="{9F73AAFF-A84A-4BAD-A674-312AD8AE2FC9}"/>
    <cellStyle name="Normal 2 45 3 2" xfId="13632" xr:uid="{864CC228-7167-4C6F-B2E6-AD001D008E4B}"/>
    <cellStyle name="Normal 2 45 4" xfId="4803" xr:uid="{DD44441E-496E-44D4-832D-AD3975E7CFF0}"/>
    <cellStyle name="Normal 2 45 4 2" xfId="13633" xr:uid="{13201C5B-12E8-40AA-9959-7EB3EF2420A5}"/>
    <cellStyle name="Normal 2 45 5" xfId="13628" xr:uid="{BB3AD182-9564-4DD0-9E17-90199B2C9BCF}"/>
    <cellStyle name="Normal 2 46" xfId="4804" xr:uid="{56346279-CC3B-4DB7-A843-34BAE909D2A3}"/>
    <cellStyle name="Normal 2 46 2" xfId="4805" xr:uid="{DC3C1C9A-BC29-47EE-80F1-54D05D9AD884}"/>
    <cellStyle name="Normal 2 46 2 2" xfId="4806" xr:uid="{24C38E05-E380-4352-897D-202FC74EF5E7}"/>
    <cellStyle name="Normal 2 46 2 2 2" xfId="13636" xr:uid="{BAE23E4E-26A3-4FAA-A838-594DCA72AEA7}"/>
    <cellStyle name="Normal 2 46 2 3" xfId="4807" xr:uid="{59FC8878-1DEF-4300-B037-30B3B913C3C0}"/>
    <cellStyle name="Normal 2 46 2 3 2" xfId="13637" xr:uid="{FFE1C1ED-D5FD-465C-8799-BC4C3CBA2AF2}"/>
    <cellStyle name="Normal 2 46 2 4" xfId="13635" xr:uid="{1D59D70E-311D-43EE-AC43-CD56FBD83DDE}"/>
    <cellStyle name="Normal 2 46 3" xfId="4808" xr:uid="{2D993948-3678-4CA3-B9B1-96E617D9D40F}"/>
    <cellStyle name="Normal 2 46 3 2" xfId="13638" xr:uid="{70AFAA26-4ABB-4950-B0AD-C39BC021BB33}"/>
    <cellStyle name="Normal 2 46 4" xfId="4809" xr:uid="{876DD65E-7D8F-4795-BDDC-7EC17B7F125D}"/>
    <cellStyle name="Normal 2 46 4 2" xfId="13639" xr:uid="{98F29F1A-9812-4430-9153-9702DDBD92A5}"/>
    <cellStyle name="Normal 2 46 5" xfId="13634" xr:uid="{4A54755A-04D0-45F4-A6AE-0913D2B8E771}"/>
    <cellStyle name="Normal 2 47" xfId="4810" xr:uid="{BF6AC086-47FF-4039-9151-FA398F9097F9}"/>
    <cellStyle name="Normal 2 47 2" xfId="4811" xr:uid="{3A162133-3E6B-4B8F-B370-74215F8BEA1A}"/>
    <cellStyle name="Normal 2 47 2 2" xfId="4812" xr:uid="{C19D0E8E-DF72-4862-971C-D8CC485BB680}"/>
    <cellStyle name="Normal 2 47 2 2 2" xfId="13642" xr:uid="{82A5A985-2BF9-4E15-B96A-F756A774DCD3}"/>
    <cellStyle name="Normal 2 47 2 3" xfId="4813" xr:uid="{5DA98E2C-F1AC-4A33-BA7A-A038C7C4A7DB}"/>
    <cellStyle name="Normal 2 47 2 3 2" xfId="13643" xr:uid="{CB436CD3-02EA-4AAF-92E8-9C4CE096F971}"/>
    <cellStyle name="Normal 2 47 2 4" xfId="13641" xr:uid="{B0D03FC2-883E-45FF-851E-4F78C37A042B}"/>
    <cellStyle name="Normal 2 47 3" xfId="4814" xr:uid="{BAE2561A-AF05-40FF-85FE-2708523E76B8}"/>
    <cellStyle name="Normal 2 47 3 2" xfId="13644" xr:uid="{0BB73500-FDAB-4F83-82EA-45CEF2577F85}"/>
    <cellStyle name="Normal 2 47 4" xfId="4815" xr:uid="{B46AD5E2-F6D2-43D1-9F2C-CA8F7A624998}"/>
    <cellStyle name="Normal 2 47 4 2" xfId="13645" xr:uid="{F94F95FF-F85F-4E1C-A70B-9F9CBE2ABE26}"/>
    <cellStyle name="Normal 2 47 5" xfId="13640" xr:uid="{DA98F6D2-6A09-490A-9111-DA088A21EBA2}"/>
    <cellStyle name="Normal 2 48" xfId="4816" xr:uid="{3D66DE96-8BD9-4FC0-94E7-6A3BFE2B0874}"/>
    <cellStyle name="Normal 2 48 2" xfId="4817" xr:uid="{AD718EE1-B131-4CE5-9E32-924F107E4CD5}"/>
    <cellStyle name="Normal 2 48 2 2" xfId="4818" xr:uid="{97AB12C6-7349-4083-B4BE-9DFC328488F5}"/>
    <cellStyle name="Normal 2 48 2 2 2" xfId="13648" xr:uid="{E8069D69-0AA9-4D8E-8DF8-56B196420422}"/>
    <cellStyle name="Normal 2 48 2 3" xfId="4819" xr:uid="{5152EF93-D755-42C7-B006-9B92635FE392}"/>
    <cellStyle name="Normal 2 48 2 3 2" xfId="13649" xr:uid="{3316BE5C-3B96-4E3E-900E-2C6D3C3A45C5}"/>
    <cellStyle name="Normal 2 48 2 4" xfId="13647" xr:uid="{C9E027C1-210F-424B-A147-2EAB46DE1BB3}"/>
    <cellStyle name="Normal 2 48 3" xfId="4820" xr:uid="{B7AE8A33-0918-43C8-8E1A-9DD7A0491A74}"/>
    <cellStyle name="Normal 2 48 3 2" xfId="13650" xr:uid="{ED106B2A-03B9-49F1-A460-76C88483D329}"/>
    <cellStyle name="Normal 2 48 4" xfId="4821" xr:uid="{1E48B00E-DDE0-4E8F-81D7-0CA63CC95835}"/>
    <cellStyle name="Normal 2 48 4 2" xfId="13651" xr:uid="{1ADF7F3D-563C-4175-B11D-751381BCFA4C}"/>
    <cellStyle name="Normal 2 48 5" xfId="13646" xr:uid="{0560E120-0067-4DC9-A990-36524F604900}"/>
    <cellStyle name="Normal 2 49" xfId="4822" xr:uid="{6A63FB4C-A34A-4DCF-BD4D-BE4E8A3D75CE}"/>
    <cellStyle name="Normal 2 49 2" xfId="4823" xr:uid="{061FC58C-DF12-4760-8064-1FF892FFBDC0}"/>
    <cellStyle name="Normal 2 49 2 2" xfId="4824" xr:uid="{01F05CC0-08A4-417A-B95F-4EC98AF65AD5}"/>
    <cellStyle name="Normal 2 49 2 2 2" xfId="13654" xr:uid="{1BCE319F-B5C8-4FEC-A157-77497BA9DEED}"/>
    <cellStyle name="Normal 2 49 2 3" xfId="4825" xr:uid="{8BB794AF-8603-44E4-88C7-DC0D846B5CC0}"/>
    <cellStyle name="Normal 2 49 2 3 2" xfId="13655" xr:uid="{65126799-039E-4CCE-A733-BA9F9813957B}"/>
    <cellStyle name="Normal 2 49 2 4" xfId="13653" xr:uid="{1E7EDCB0-B2BA-404A-82CE-9EE56CB9CAB8}"/>
    <cellStyle name="Normal 2 49 3" xfId="4826" xr:uid="{714AC786-1D37-4742-9DD6-AAA7267B0FC3}"/>
    <cellStyle name="Normal 2 49 3 2" xfId="13656" xr:uid="{F227C0D2-831C-42D4-AF48-88E5DD1C078D}"/>
    <cellStyle name="Normal 2 49 4" xfId="4827" xr:uid="{00ACE846-7138-4F21-A0DE-D2155D750218}"/>
    <cellStyle name="Normal 2 49 4 2" xfId="13657" xr:uid="{22B4DFA7-E614-4879-83FD-DBFB443BF12B}"/>
    <cellStyle name="Normal 2 49 5" xfId="13652" xr:uid="{BADEE54A-B21E-4CD8-B6DE-B2311988139D}"/>
    <cellStyle name="Normal 2 5" xfId="4828" xr:uid="{B22154B0-C3BE-4CAA-9D28-FAE2A8AEC2BA}"/>
    <cellStyle name="Normal 2 5 10" xfId="4829" xr:uid="{35B4D224-6891-47F8-A95A-4CBBB860938F}"/>
    <cellStyle name="Normal 2 5 10 2" xfId="4830" xr:uid="{735462DC-EE87-454D-A943-F69DD95C5729}"/>
    <cellStyle name="Normal 2 5 10 2 2" xfId="4831" xr:uid="{5350D42E-00DD-4A4F-B3AC-F6CCBFFCDE89}"/>
    <cellStyle name="Normal 2 5 10 2 2 2" xfId="13661" xr:uid="{2256FF06-379D-419C-86A3-AD7C75200478}"/>
    <cellStyle name="Normal 2 5 10 2 3" xfId="4832" xr:uid="{0F868E13-810A-4A27-A3FF-F0618374376C}"/>
    <cellStyle name="Normal 2 5 10 2 3 2" xfId="13662" xr:uid="{12E84CF8-1AC5-4C1D-A5EE-6C6943CE42AA}"/>
    <cellStyle name="Normal 2 5 10 2 4" xfId="13660" xr:uid="{032A2A6C-5C10-4A6F-9A44-2D75A9F0F3F6}"/>
    <cellStyle name="Normal 2 5 10 3" xfId="4833" xr:uid="{BBE62689-6CDE-46AE-B5F2-64157F59466C}"/>
    <cellStyle name="Normal 2 5 10 3 2" xfId="13663" xr:uid="{FB53F9A2-3B60-4FBD-9D82-BEAACEB43C2A}"/>
    <cellStyle name="Normal 2 5 10 4" xfId="4834" xr:uid="{2D5FB83F-12C8-467C-ACB1-E8AF1EE8AC7E}"/>
    <cellStyle name="Normal 2 5 10 4 2" xfId="13664" xr:uid="{F1BEADDA-EC86-4A7D-9B63-8BBF2E6CE5B2}"/>
    <cellStyle name="Normal 2 5 10 5" xfId="13659" xr:uid="{6B4AB796-B84C-41DB-A84A-BC771092041B}"/>
    <cellStyle name="Normal 2 5 11" xfId="4835" xr:uid="{7A4F916C-1FA6-4B00-9482-D33622C4A893}"/>
    <cellStyle name="Normal 2 5 11 2" xfId="4836" xr:uid="{AC5EF7E2-D349-4307-8C2C-450C09ADDEEA}"/>
    <cellStyle name="Normal 2 5 11 2 2" xfId="4837" xr:uid="{A8D4E4A1-EAAF-4512-9CD1-17657940098F}"/>
    <cellStyle name="Normal 2 5 11 2 2 2" xfId="13667" xr:uid="{21915593-EE1A-4BB1-BAFD-466414B6F2D2}"/>
    <cellStyle name="Normal 2 5 11 2 3" xfId="4838" xr:uid="{BE1F1224-56E9-423B-BCE3-A1A2132FCDBF}"/>
    <cellStyle name="Normal 2 5 11 2 3 2" xfId="13668" xr:uid="{E692F4F9-E1E3-4D3A-9162-3E7B666684E1}"/>
    <cellStyle name="Normal 2 5 11 2 4" xfId="13666" xr:uid="{CA160258-8F93-4530-9C55-9D1DA2310323}"/>
    <cellStyle name="Normal 2 5 11 3" xfId="4839" xr:uid="{195C11EB-BB0C-4AF5-B83A-18D1FE228C82}"/>
    <cellStyle name="Normal 2 5 11 3 2" xfId="13669" xr:uid="{6CD0308B-0EA2-4FC9-90B1-303D8837217C}"/>
    <cellStyle name="Normal 2 5 11 4" xfId="4840" xr:uid="{4532B309-E1ED-4ED8-92D0-509B3FBAE621}"/>
    <cellStyle name="Normal 2 5 11 4 2" xfId="13670" xr:uid="{74CA3EF5-6004-4D6D-BD78-BA219BBACAEF}"/>
    <cellStyle name="Normal 2 5 11 5" xfId="13665" xr:uid="{AD84A2B3-23A0-4674-91A7-7B2542209FF0}"/>
    <cellStyle name="Normal 2 5 12" xfId="4841" xr:uid="{437A7749-57F3-4085-93F1-A7DFC2B30CA0}"/>
    <cellStyle name="Normal 2 5 12 2" xfId="4842" xr:uid="{91060D7D-B24C-47C1-8584-358566BEF1C8}"/>
    <cellStyle name="Normal 2 5 12 2 2" xfId="4843" xr:uid="{02578A65-48FC-4B3D-AFD3-7A28D223ED6A}"/>
    <cellStyle name="Normal 2 5 12 2 2 2" xfId="13673" xr:uid="{27DB8F00-AD28-463C-BE9A-C18121813E24}"/>
    <cellStyle name="Normal 2 5 12 2 3" xfId="4844" xr:uid="{AC3C521A-4E09-4871-96D0-8B17068E5618}"/>
    <cellStyle name="Normal 2 5 12 2 3 2" xfId="13674" xr:uid="{DC8FBCAA-D06B-47D9-BB96-968CBDC01033}"/>
    <cellStyle name="Normal 2 5 12 2 4" xfId="13672" xr:uid="{7A59C48D-F8F2-41B4-8A81-5484951A4F4D}"/>
    <cellStyle name="Normal 2 5 12 3" xfId="4845" xr:uid="{6EBA235D-E1FB-40ED-A55D-8521AB0DED5E}"/>
    <cellStyle name="Normal 2 5 12 3 2" xfId="13675" xr:uid="{66DD80BD-6CB9-4E6F-843C-BA8803545884}"/>
    <cellStyle name="Normal 2 5 12 4" xfId="4846" xr:uid="{B35FBD92-9453-48C3-8D37-71F09845C4D6}"/>
    <cellStyle name="Normal 2 5 12 4 2" xfId="13676" xr:uid="{8372FAAD-8B35-4DCC-BFF5-E8F587EC62EF}"/>
    <cellStyle name="Normal 2 5 12 5" xfId="13671" xr:uid="{1BCB6518-BFF7-4C7A-95E7-1EE28106A6A8}"/>
    <cellStyle name="Normal 2 5 13" xfId="4847" xr:uid="{FC7D4BB0-299E-4555-9D6B-5E5790C45AC6}"/>
    <cellStyle name="Normal 2 5 13 2" xfId="4848" xr:uid="{3F844F29-61C6-41D4-80C7-1F3D0D601A66}"/>
    <cellStyle name="Normal 2 5 13 2 2" xfId="4849" xr:uid="{D8F1290A-6F64-4463-86A6-83D17B3E1796}"/>
    <cellStyle name="Normal 2 5 13 2 2 2" xfId="13679" xr:uid="{C07BA04D-C00B-4C87-91EA-4A619A6759B1}"/>
    <cellStyle name="Normal 2 5 13 2 3" xfId="4850" xr:uid="{1BAC9872-C3A9-4FF1-87DD-DB3D30F9E384}"/>
    <cellStyle name="Normal 2 5 13 2 3 2" xfId="13680" xr:uid="{7D6D6D06-565F-49CB-B04B-3098EBFCAB5C}"/>
    <cellStyle name="Normal 2 5 13 2 4" xfId="13678" xr:uid="{5BE8F9FA-65D0-4B4E-92AD-6E4662E27068}"/>
    <cellStyle name="Normal 2 5 13 3" xfId="4851" xr:uid="{4AF249F6-4FDA-4FB7-96ED-4A5C64DEE1EA}"/>
    <cellStyle name="Normal 2 5 13 3 2" xfId="13681" xr:uid="{93527D7A-4446-403E-858F-4FC93AFBA150}"/>
    <cellStyle name="Normal 2 5 13 4" xfId="4852" xr:uid="{3CE012D6-31ED-4630-B81D-37DB8B4AD78E}"/>
    <cellStyle name="Normal 2 5 13 4 2" xfId="13682" xr:uid="{92EB375D-4D92-4863-A7FD-CC714C3A6783}"/>
    <cellStyle name="Normal 2 5 13 5" xfId="13677" xr:uid="{C5FF42C3-9BDE-4D18-9B82-5ED0B4511C66}"/>
    <cellStyle name="Normal 2 5 14" xfId="4853" xr:uid="{ED71207A-FBCC-4998-8591-57D0C98E76EA}"/>
    <cellStyle name="Normal 2 5 14 2" xfId="4854" xr:uid="{28D35ABD-EC92-4DF2-9F8C-BDE1530AB7EE}"/>
    <cellStyle name="Normal 2 5 14 2 2" xfId="4855" xr:uid="{3A7F5972-347A-4142-918A-BB38002F128C}"/>
    <cellStyle name="Normal 2 5 14 2 2 2" xfId="13685" xr:uid="{ADD692A3-90D6-4D26-AF56-25AC749ADD0B}"/>
    <cellStyle name="Normal 2 5 14 2 3" xfId="4856" xr:uid="{F377B74A-6D54-4FA7-BAD1-2C3E9810856C}"/>
    <cellStyle name="Normal 2 5 14 2 3 2" xfId="13686" xr:uid="{CA6AB271-DFC9-4756-B2DF-0718AA498A5A}"/>
    <cellStyle name="Normal 2 5 14 2 4" xfId="13684" xr:uid="{28B5949A-874A-4FD5-9957-3B6076708380}"/>
    <cellStyle name="Normal 2 5 14 3" xfId="4857" xr:uid="{80FBCD61-58C9-470E-93D8-531E72050CEF}"/>
    <cellStyle name="Normal 2 5 14 3 2" xfId="13687" xr:uid="{0A4C8B31-2B88-4FDF-BF6E-C118CFA38905}"/>
    <cellStyle name="Normal 2 5 14 4" xfId="4858" xr:uid="{FA7C9F07-3193-453A-B48A-FA8BFD687B89}"/>
    <cellStyle name="Normal 2 5 14 4 2" xfId="13688" xr:uid="{22D03A35-200B-4C7B-95C0-399F305E7128}"/>
    <cellStyle name="Normal 2 5 14 5" xfId="13683" xr:uid="{FF015D15-02F7-423C-91A0-4CD75864447B}"/>
    <cellStyle name="Normal 2 5 15" xfId="4859" xr:uid="{9D78DE27-D019-47F9-B8D7-5D9219F97EB2}"/>
    <cellStyle name="Normal 2 5 15 2" xfId="4860" xr:uid="{696367D8-98FB-4173-9A51-46C141337F11}"/>
    <cellStyle name="Normal 2 5 15 2 2" xfId="4861" xr:uid="{9E0B49B8-E95F-4DF6-A5EC-1D65349E94CA}"/>
    <cellStyle name="Normal 2 5 15 2 2 2" xfId="13691" xr:uid="{4FF870B1-8E38-419E-B16C-7A2920865490}"/>
    <cellStyle name="Normal 2 5 15 2 3" xfId="4862" xr:uid="{7C850C12-04DE-4537-AE70-22B31A9BE4C5}"/>
    <cellStyle name="Normal 2 5 15 2 3 2" xfId="13692" xr:uid="{9E349B32-C5F4-4CEA-8F44-4172B88E804B}"/>
    <cellStyle name="Normal 2 5 15 2 4" xfId="13690" xr:uid="{95B86DC3-2818-4BA6-AE6B-53DFCE63A1B4}"/>
    <cellStyle name="Normal 2 5 15 3" xfId="4863" xr:uid="{4B36B267-AF9B-4138-8FD9-8CFC6194C4E3}"/>
    <cellStyle name="Normal 2 5 15 3 2" xfId="13693" xr:uid="{BE9547B6-13CD-46AC-86F6-33D6D72059A7}"/>
    <cellStyle name="Normal 2 5 15 4" xfId="4864" xr:uid="{C9CA82A3-95CA-4232-AB5E-59459C5C09A5}"/>
    <cellStyle name="Normal 2 5 15 4 2" xfId="13694" xr:uid="{8B377CF2-5155-4F5A-88C4-95DD22A08560}"/>
    <cellStyle name="Normal 2 5 15 5" xfId="13689" xr:uid="{BC5DF98C-5E0A-4CBC-96B4-B63A48EB4965}"/>
    <cellStyle name="Normal 2 5 16" xfId="4865" xr:uid="{BAB6B652-5F76-4B39-BEB3-F7D123A1ED50}"/>
    <cellStyle name="Normal 2 5 16 2" xfId="4866" xr:uid="{0C252CBA-1AF7-49F5-A94F-856786D5D636}"/>
    <cellStyle name="Normal 2 5 16 2 2" xfId="4867" xr:uid="{2C0E25D6-2B41-4FBF-93A7-FCDB2818B8F6}"/>
    <cellStyle name="Normal 2 5 16 2 2 2" xfId="13697" xr:uid="{7ED9A934-9331-4C01-AAF2-5D6E6C429B49}"/>
    <cellStyle name="Normal 2 5 16 2 3" xfId="4868" xr:uid="{0F93A271-14FF-48C3-AFF1-C224A9564DB2}"/>
    <cellStyle name="Normal 2 5 16 2 3 2" xfId="13698" xr:uid="{F808BB99-9877-41A3-BAF0-E95394B7AF45}"/>
    <cellStyle name="Normal 2 5 16 2 4" xfId="13696" xr:uid="{FE4DA091-99F2-4F1C-93AD-93B690C60C33}"/>
    <cellStyle name="Normal 2 5 16 3" xfId="4869" xr:uid="{D59043C3-6746-4451-A9E0-586192243613}"/>
    <cellStyle name="Normal 2 5 16 3 2" xfId="13699" xr:uid="{08981FD8-9F81-4323-A5F2-63D3AA9D9041}"/>
    <cellStyle name="Normal 2 5 16 4" xfId="4870" xr:uid="{D20A9807-460A-49C8-B724-F12CFF49C973}"/>
    <cellStyle name="Normal 2 5 16 4 2" xfId="13700" xr:uid="{4625F734-0CB4-4D41-9BAF-53BAAC0B88A3}"/>
    <cellStyle name="Normal 2 5 16 5" xfId="13695" xr:uid="{3231B5E2-8337-4DD9-8351-FE340E140667}"/>
    <cellStyle name="Normal 2 5 17" xfId="4871" xr:uid="{1F6321EC-0B56-45E5-AC0B-C8F575CFFBE7}"/>
    <cellStyle name="Normal 2 5 17 2" xfId="4872" xr:uid="{8D37AE03-8D5F-403E-97FE-32E77B654772}"/>
    <cellStyle name="Normal 2 5 17 2 2" xfId="4873" xr:uid="{BE0E69A4-D15F-4C47-BE5C-6576CA5C95BA}"/>
    <cellStyle name="Normal 2 5 17 2 2 2" xfId="13703" xr:uid="{A8B24148-1583-4259-ABCC-3E0FBF9CAF71}"/>
    <cellStyle name="Normal 2 5 17 2 3" xfId="4874" xr:uid="{18D3079C-1054-4ACD-8977-1B2BE5B3FC4F}"/>
    <cellStyle name="Normal 2 5 17 2 3 2" xfId="13704" xr:uid="{7365CF32-EF76-428E-9BDD-EF1D2D18C786}"/>
    <cellStyle name="Normal 2 5 17 2 4" xfId="13702" xr:uid="{1FD79D48-0899-4EBF-97CA-1AC9F740ABFF}"/>
    <cellStyle name="Normal 2 5 17 3" xfId="4875" xr:uid="{355684A9-6F87-4C4F-A556-5940F388E610}"/>
    <cellStyle name="Normal 2 5 17 3 2" xfId="13705" xr:uid="{9501D27B-7ED2-40C2-BF75-00E3C9F4DD10}"/>
    <cellStyle name="Normal 2 5 17 4" xfId="4876" xr:uid="{BEC51257-C008-4451-B27C-632A2342F703}"/>
    <cellStyle name="Normal 2 5 17 4 2" xfId="13706" xr:uid="{C477C866-78DF-4A39-B259-FD67C3AD4F3C}"/>
    <cellStyle name="Normal 2 5 17 5" xfId="13701" xr:uid="{882AE3A9-AF77-4B21-B29E-B200C983BD64}"/>
    <cellStyle name="Normal 2 5 18" xfId="4877" xr:uid="{75313EE0-6B2F-48B2-B537-1F38AC516933}"/>
    <cellStyle name="Normal 2 5 18 2" xfId="4878" xr:uid="{543CDED7-729A-4D44-A3D2-DF405F07BFDB}"/>
    <cellStyle name="Normal 2 5 18 2 2" xfId="4879" xr:uid="{3AA4597D-C801-48FD-B726-336DB5B47B51}"/>
    <cellStyle name="Normal 2 5 18 2 2 2" xfId="13709" xr:uid="{5402F980-CF13-4286-92E0-56DF50E7EDE1}"/>
    <cellStyle name="Normal 2 5 18 2 3" xfId="4880" xr:uid="{85C16BD9-31AB-42B7-AF15-5DFCFF8F57D6}"/>
    <cellStyle name="Normal 2 5 18 2 3 2" xfId="13710" xr:uid="{0F79DF7D-6DDA-4677-BDF2-31878976BB55}"/>
    <cellStyle name="Normal 2 5 18 2 4" xfId="13708" xr:uid="{592C52C5-FCB4-4515-B660-8B0915753661}"/>
    <cellStyle name="Normal 2 5 18 3" xfId="4881" xr:uid="{5C0E9F75-5106-46F2-B10D-9D11B968EEE3}"/>
    <cellStyle name="Normal 2 5 18 3 2" xfId="13711" xr:uid="{CE092099-8B7F-4D33-A730-E835E12467C3}"/>
    <cellStyle name="Normal 2 5 18 4" xfId="4882" xr:uid="{692ACC76-C1B2-4FF8-8AC0-AD3C987F41A8}"/>
    <cellStyle name="Normal 2 5 18 4 2" xfId="13712" xr:uid="{37B77B9F-32C8-43D4-9392-A6CBE8C77A83}"/>
    <cellStyle name="Normal 2 5 18 5" xfId="13707" xr:uid="{41FB9F04-D2CD-41A6-B575-49AAC8A7CBB8}"/>
    <cellStyle name="Normal 2 5 19" xfId="4883" xr:uid="{1F5E0666-F0BC-4A9D-BB7F-9A574088795E}"/>
    <cellStyle name="Normal 2 5 19 2" xfId="4884" xr:uid="{19BB9E53-BC9A-421E-AECE-3AA601501BD1}"/>
    <cellStyle name="Normal 2 5 19 2 2" xfId="4885" xr:uid="{E90E0C8F-84FD-419E-9740-0ED4494A8E45}"/>
    <cellStyle name="Normal 2 5 19 2 2 2" xfId="13715" xr:uid="{BAE2180F-2858-474A-AF47-519FFB839121}"/>
    <cellStyle name="Normal 2 5 19 2 3" xfId="4886" xr:uid="{132D99A0-F10B-49B9-BB67-103B47F3FDBA}"/>
    <cellStyle name="Normal 2 5 19 2 3 2" xfId="13716" xr:uid="{E4A8F0AD-9592-4F51-A2A0-E207962247A4}"/>
    <cellStyle name="Normal 2 5 19 2 4" xfId="13714" xr:uid="{F9610698-7CDD-4C9B-8BBE-4B8635771B76}"/>
    <cellStyle name="Normal 2 5 19 3" xfId="4887" xr:uid="{37B7CF8D-D82D-449B-814C-98085961EAFB}"/>
    <cellStyle name="Normal 2 5 19 3 2" xfId="13717" xr:uid="{3EC2161D-89E8-4093-A315-A4B7FB80D779}"/>
    <cellStyle name="Normal 2 5 19 4" xfId="4888" xr:uid="{0F588C8C-ADFA-4984-9549-66F5B8DEC22C}"/>
    <cellStyle name="Normal 2 5 19 4 2" xfId="13718" xr:uid="{CC5FE6E7-BC8B-4DDB-84C6-FA372F32FC98}"/>
    <cellStyle name="Normal 2 5 19 5" xfId="13713" xr:uid="{C7EDB7A0-5D87-4872-A18D-F7F767FF1AD1}"/>
    <cellStyle name="Normal 2 5 2" xfId="4889" xr:uid="{8FCD68A3-895A-42D3-A7FE-750E92E78FA1}"/>
    <cellStyle name="Normal 2 5 2 10" xfId="4890" xr:uid="{25607CDA-E869-4916-8ED9-139E23357314}"/>
    <cellStyle name="Normal 2 5 2 10 2" xfId="4891" xr:uid="{106E019C-D4B2-4D65-BF36-F6BE97A07407}"/>
    <cellStyle name="Normal 2 5 2 10 2 2" xfId="4892" xr:uid="{0028C54E-FF7F-4C67-BBEA-942BDB0BCEF8}"/>
    <cellStyle name="Normal 2 5 2 10 2 2 2" xfId="13722" xr:uid="{246AA8A5-AC33-4871-8B54-841F9E445B8C}"/>
    <cellStyle name="Normal 2 5 2 10 2 3" xfId="4893" xr:uid="{F113A1DB-9D2A-49F1-9F66-8CF879D0B9DA}"/>
    <cellStyle name="Normal 2 5 2 10 2 3 2" xfId="13723" xr:uid="{8C79A368-9C3C-4241-A179-4DC8481B4324}"/>
    <cellStyle name="Normal 2 5 2 10 2 4" xfId="13721" xr:uid="{302BAD09-CA2F-4486-A6A7-9695B943B96B}"/>
    <cellStyle name="Normal 2 5 2 10 3" xfId="4894" xr:uid="{A8E6B24D-28E1-4A41-B3AC-19A17C4882B9}"/>
    <cellStyle name="Normal 2 5 2 10 3 2" xfId="13724" xr:uid="{B07F089A-9537-4DDC-B2BA-58936E30EB5F}"/>
    <cellStyle name="Normal 2 5 2 10 4" xfId="4895" xr:uid="{85A05E05-6B14-40E6-A5B1-13F5DA4FE486}"/>
    <cellStyle name="Normal 2 5 2 10 4 2" xfId="13725" xr:uid="{2D5DB3BA-2677-414B-AB57-B527318890A1}"/>
    <cellStyle name="Normal 2 5 2 10 5" xfId="13720" xr:uid="{756010EC-B179-4198-86C4-F39613157D48}"/>
    <cellStyle name="Normal 2 5 2 11" xfId="4896" xr:uid="{69414075-8BF1-4A24-9DD0-E14A86DA2269}"/>
    <cellStyle name="Normal 2 5 2 11 2" xfId="4897" xr:uid="{CD3D279B-EB2A-4632-B51B-EB27DDC99477}"/>
    <cellStyle name="Normal 2 5 2 11 2 2" xfId="4898" xr:uid="{205CCA8A-A388-481A-A07E-636BB9243813}"/>
    <cellStyle name="Normal 2 5 2 11 2 2 2" xfId="13728" xr:uid="{454AE300-5F66-464E-BF1B-A10B9CF200C7}"/>
    <cellStyle name="Normal 2 5 2 11 2 3" xfId="4899" xr:uid="{206A5397-7893-43B4-9A24-C4B9974BBC3D}"/>
    <cellStyle name="Normal 2 5 2 11 2 3 2" xfId="13729" xr:uid="{3626A821-2F75-4BC9-B0C8-08B747469662}"/>
    <cellStyle name="Normal 2 5 2 11 2 4" xfId="13727" xr:uid="{F11105C5-5396-4BBA-B6C0-8327C7F36E3F}"/>
    <cellStyle name="Normal 2 5 2 11 3" xfId="4900" xr:uid="{826A7BBA-3B9A-4793-AAD8-0D461ACFB627}"/>
    <cellStyle name="Normal 2 5 2 11 3 2" xfId="13730" xr:uid="{EC245578-4F7A-49C9-AE8D-FCFBC1DFBBA2}"/>
    <cellStyle name="Normal 2 5 2 11 4" xfId="4901" xr:uid="{3116B8DC-34C6-4892-82AA-D7EA449CD6D3}"/>
    <cellStyle name="Normal 2 5 2 11 4 2" xfId="13731" xr:uid="{09797523-BE0B-4920-A4F5-FC1080191872}"/>
    <cellStyle name="Normal 2 5 2 11 5" xfId="13726" xr:uid="{BD5A9BB8-0163-47D7-BC1E-B55F083342CC}"/>
    <cellStyle name="Normal 2 5 2 12" xfId="4902" xr:uid="{881DE99E-CB5E-40B1-BFBA-7773FA9A1C0E}"/>
    <cellStyle name="Normal 2 5 2 12 2" xfId="4903" xr:uid="{9627AE2D-7897-4764-B886-E38BE7AB4AB0}"/>
    <cellStyle name="Normal 2 5 2 12 2 2" xfId="4904" xr:uid="{2A9376F2-B2DB-43AD-B18C-03CDA9DFB3BB}"/>
    <cellStyle name="Normal 2 5 2 12 2 2 2" xfId="13734" xr:uid="{131E8236-0B7A-425E-A2F8-1B378EF8096C}"/>
    <cellStyle name="Normal 2 5 2 12 2 3" xfId="4905" xr:uid="{4711661D-CE78-40A3-AE0B-3FF11E4AB1E8}"/>
    <cellStyle name="Normal 2 5 2 12 2 3 2" xfId="13735" xr:uid="{BB209AEC-F1E6-4F88-ADE8-7BAC278E85EB}"/>
    <cellStyle name="Normal 2 5 2 12 2 4" xfId="13733" xr:uid="{0B44F70E-03A9-4665-B951-01367E7449AE}"/>
    <cellStyle name="Normal 2 5 2 12 3" xfId="4906" xr:uid="{68538AF0-C835-4141-92D0-A901D745474A}"/>
    <cellStyle name="Normal 2 5 2 12 3 2" xfId="13736" xr:uid="{566691D7-3386-4826-91CD-A685814F28B0}"/>
    <cellStyle name="Normal 2 5 2 12 4" xfId="4907" xr:uid="{550B26ED-B78E-4ECF-86EB-1E7EC33D472C}"/>
    <cellStyle name="Normal 2 5 2 12 4 2" xfId="13737" xr:uid="{A46B44B3-2B86-49E9-81BA-6052CC1C9068}"/>
    <cellStyle name="Normal 2 5 2 12 5" xfId="13732" xr:uid="{708A0C5E-E81C-4830-B3B2-D567AB6521B7}"/>
    <cellStyle name="Normal 2 5 2 13" xfId="4908" xr:uid="{B060FDBE-29FD-4E1C-972C-1DEDC82325C2}"/>
    <cellStyle name="Normal 2 5 2 13 2" xfId="4909" xr:uid="{AAACC35B-7492-4E2C-AB25-AD2F9113EEBE}"/>
    <cellStyle name="Normal 2 5 2 13 2 2" xfId="4910" xr:uid="{0CC9CF3F-1B97-47D0-9187-DDD7A76756B6}"/>
    <cellStyle name="Normal 2 5 2 13 2 2 2" xfId="13740" xr:uid="{D30D7D22-E3D3-4B0F-A1E2-1E8B06ECD4AF}"/>
    <cellStyle name="Normal 2 5 2 13 2 3" xfId="4911" xr:uid="{803DAE75-0D0A-42B1-927A-2C9FB7C19C2D}"/>
    <cellStyle name="Normal 2 5 2 13 2 3 2" xfId="13741" xr:uid="{735537F6-1235-4F79-9DDD-66A0BE60A5C2}"/>
    <cellStyle name="Normal 2 5 2 13 2 4" xfId="13739" xr:uid="{7BA4312A-DF01-4557-A323-82A6C6BB43C2}"/>
    <cellStyle name="Normal 2 5 2 13 3" xfId="4912" xr:uid="{0D9F32E1-C6A4-4345-813D-496C4C353266}"/>
    <cellStyle name="Normal 2 5 2 13 3 2" xfId="13742" xr:uid="{5ADBE735-D26C-4FCA-8838-DB175295D2C7}"/>
    <cellStyle name="Normal 2 5 2 13 4" xfId="4913" xr:uid="{FB2C7919-B568-4E47-810C-570FBE1F97CA}"/>
    <cellStyle name="Normal 2 5 2 13 4 2" xfId="13743" xr:uid="{BB748BC0-F0EF-4376-BD32-66D8FDDCA792}"/>
    <cellStyle name="Normal 2 5 2 13 5" xfId="13738" xr:uid="{39CC722E-70B5-4D8E-83A1-D6DB0CDEBC4C}"/>
    <cellStyle name="Normal 2 5 2 14" xfId="4914" xr:uid="{ECD6A2E2-81F9-4592-8230-61568EC81A83}"/>
    <cellStyle name="Normal 2 5 2 14 2" xfId="4915" xr:uid="{1015C7FA-968B-42B8-9BEB-F9901C7070D1}"/>
    <cellStyle name="Normal 2 5 2 14 2 2" xfId="4916" xr:uid="{A596642B-6AE9-44BC-BBB3-EC39B08B216F}"/>
    <cellStyle name="Normal 2 5 2 14 2 2 2" xfId="13746" xr:uid="{F470CFA3-5310-4494-86B3-185E23BBEA10}"/>
    <cellStyle name="Normal 2 5 2 14 2 3" xfId="4917" xr:uid="{2C97AB2C-34D6-4FAF-A13F-B2BCCAACA4EC}"/>
    <cellStyle name="Normal 2 5 2 14 2 3 2" xfId="13747" xr:uid="{083F6F46-9FE5-4290-B053-C2F31AD65CB7}"/>
    <cellStyle name="Normal 2 5 2 14 2 4" xfId="13745" xr:uid="{8B384867-BE9D-4015-A7C6-B9053116E79E}"/>
    <cellStyle name="Normal 2 5 2 14 3" xfId="4918" xr:uid="{79315774-5C44-4193-929A-7A39BF552420}"/>
    <cellStyle name="Normal 2 5 2 14 3 2" xfId="13748" xr:uid="{F7DF07D3-2483-411A-81BE-BD5306C43181}"/>
    <cellStyle name="Normal 2 5 2 14 4" xfId="4919" xr:uid="{3C80848F-8B92-4818-B856-2F9CBABF0443}"/>
    <cellStyle name="Normal 2 5 2 14 4 2" xfId="13749" xr:uid="{777511C7-56B4-4E65-AA6E-1162687CCA41}"/>
    <cellStyle name="Normal 2 5 2 14 5" xfId="13744" xr:uid="{20B523F4-FCB7-4FAE-9C35-5C837F4C6B1E}"/>
    <cellStyle name="Normal 2 5 2 15" xfId="4920" xr:uid="{AABD1108-15E6-4F9E-964F-E686091EBEE2}"/>
    <cellStyle name="Normal 2 5 2 15 2" xfId="4921" xr:uid="{FBB055BB-9467-4E39-BD3F-FF7AC380D17F}"/>
    <cellStyle name="Normal 2 5 2 15 2 2" xfId="4922" xr:uid="{8E03E4F2-6A86-4592-967E-BE83721B90CC}"/>
    <cellStyle name="Normal 2 5 2 15 2 2 2" xfId="13752" xr:uid="{A09231A7-13E9-4D4D-ACA3-1B9C98148E82}"/>
    <cellStyle name="Normal 2 5 2 15 2 3" xfId="4923" xr:uid="{05B46715-A042-4DEB-AE04-E382061E8D33}"/>
    <cellStyle name="Normal 2 5 2 15 2 3 2" xfId="13753" xr:uid="{1278B697-ADF3-47A5-B727-A99EE0CB1147}"/>
    <cellStyle name="Normal 2 5 2 15 2 4" xfId="13751" xr:uid="{E246D85B-4615-4743-BAB8-D85A7EF6D376}"/>
    <cellStyle name="Normal 2 5 2 15 3" xfId="4924" xr:uid="{A687E506-05AF-42DD-A123-1F1E4C726709}"/>
    <cellStyle name="Normal 2 5 2 15 3 2" xfId="13754" xr:uid="{B2328BD9-E66F-47F6-BA8D-A009D7C65C0F}"/>
    <cellStyle name="Normal 2 5 2 15 4" xfId="4925" xr:uid="{EAD1DC7A-74EE-4510-BFF8-F39F543BCF9F}"/>
    <cellStyle name="Normal 2 5 2 15 4 2" xfId="13755" xr:uid="{DB41A4DE-D8FC-441F-9DCE-71EA135D624F}"/>
    <cellStyle name="Normal 2 5 2 15 5" xfId="13750" xr:uid="{622BB8BA-5565-49C0-B57C-C1D74401B048}"/>
    <cellStyle name="Normal 2 5 2 16" xfId="4926" xr:uid="{8E9D4E37-7F97-4818-B8E0-DB45CED33E6A}"/>
    <cellStyle name="Normal 2 5 2 16 2" xfId="4927" xr:uid="{349B3731-6197-4745-B4E7-D06DC46870A5}"/>
    <cellStyle name="Normal 2 5 2 16 2 2" xfId="4928" xr:uid="{F277A969-CB73-4DC4-91E6-316A7F4121D2}"/>
    <cellStyle name="Normal 2 5 2 16 2 2 2" xfId="13758" xr:uid="{6ECB91FF-10DD-4804-AD6A-221586BA3D7B}"/>
    <cellStyle name="Normal 2 5 2 16 2 3" xfId="4929" xr:uid="{4AE09AC7-1698-4D91-B3AC-F237BA8EC986}"/>
    <cellStyle name="Normal 2 5 2 16 2 3 2" xfId="13759" xr:uid="{6AC524B2-DB1D-4B4C-86C7-1B363A2A179E}"/>
    <cellStyle name="Normal 2 5 2 16 2 4" xfId="13757" xr:uid="{1F71CB14-D4F5-4399-82DD-27C095797569}"/>
    <cellStyle name="Normal 2 5 2 16 3" xfId="4930" xr:uid="{A6581F0F-CA27-4EAE-B3D7-10B2E6056EAD}"/>
    <cellStyle name="Normal 2 5 2 16 3 2" xfId="13760" xr:uid="{8C5F79DD-97AE-4D03-AFFD-062BBB8CAC05}"/>
    <cellStyle name="Normal 2 5 2 16 4" xfId="4931" xr:uid="{6A343B69-8310-4416-A0ED-0BA2D4775EAA}"/>
    <cellStyle name="Normal 2 5 2 16 4 2" xfId="13761" xr:uid="{F22F17D8-B9DF-41F1-BD49-FF2A06412D17}"/>
    <cellStyle name="Normal 2 5 2 16 5" xfId="13756" xr:uid="{339286DD-2332-43E1-9881-2D02A2EAF32B}"/>
    <cellStyle name="Normal 2 5 2 17" xfId="4932" xr:uid="{82740F07-92F5-462D-B69A-9B93D7CFF400}"/>
    <cellStyle name="Normal 2 5 2 17 2" xfId="4933" xr:uid="{CB9C1BD6-C7FC-4151-9C47-0E9939DCD5A9}"/>
    <cellStyle name="Normal 2 5 2 17 2 2" xfId="4934" xr:uid="{EBF82046-685E-4AC5-A7EE-F0FD6A83BEA1}"/>
    <cellStyle name="Normal 2 5 2 17 2 2 2" xfId="13764" xr:uid="{57794398-52F6-488C-995F-D9641D328A06}"/>
    <cellStyle name="Normal 2 5 2 17 2 3" xfId="4935" xr:uid="{C3C5078A-D650-4BB3-8FED-F2C6F4D6ACDE}"/>
    <cellStyle name="Normal 2 5 2 17 2 3 2" xfId="13765" xr:uid="{D1C3E902-DBAC-4B8E-9F15-1315B5D73B4C}"/>
    <cellStyle name="Normal 2 5 2 17 2 4" xfId="13763" xr:uid="{F158518B-13AE-414A-9A3A-95BDBE4BEF8B}"/>
    <cellStyle name="Normal 2 5 2 17 3" xfId="4936" xr:uid="{9871D01B-F104-43AE-9B49-A35F1C7AA93F}"/>
    <cellStyle name="Normal 2 5 2 17 3 2" xfId="13766" xr:uid="{51D3A2CD-106B-4969-A603-E374433B5767}"/>
    <cellStyle name="Normal 2 5 2 17 4" xfId="4937" xr:uid="{9779A6CF-5421-4672-8EE9-E1FE60BDD910}"/>
    <cellStyle name="Normal 2 5 2 17 4 2" xfId="13767" xr:uid="{1DEDE5BA-979D-4B90-938E-BB938992C523}"/>
    <cellStyle name="Normal 2 5 2 17 5" xfId="13762" xr:uid="{22C171EA-B0BD-49B5-B814-4146D0189BD7}"/>
    <cellStyle name="Normal 2 5 2 18" xfId="4938" xr:uid="{09B06680-025F-4554-9BE5-A7CE9E6B44D5}"/>
    <cellStyle name="Normal 2 5 2 18 2" xfId="4939" xr:uid="{B7EDB373-1EEA-4569-81C0-65433CB7063F}"/>
    <cellStyle name="Normal 2 5 2 18 2 2" xfId="4940" xr:uid="{E5B81E9A-766D-4455-B706-E18252862108}"/>
    <cellStyle name="Normal 2 5 2 18 2 2 2" xfId="13770" xr:uid="{E4F573C0-7FC7-4CFB-9679-217EA18AFCAC}"/>
    <cellStyle name="Normal 2 5 2 18 2 3" xfId="4941" xr:uid="{61F1DB68-783E-4C33-8358-ABC28A891859}"/>
    <cellStyle name="Normal 2 5 2 18 2 3 2" xfId="13771" xr:uid="{9F1DE111-44B1-47E3-AED6-378D32D96356}"/>
    <cellStyle name="Normal 2 5 2 18 2 4" xfId="13769" xr:uid="{7D46F21E-E3C1-409A-AE62-7D805FFF031C}"/>
    <cellStyle name="Normal 2 5 2 18 3" xfId="4942" xr:uid="{5024061A-6F66-4A72-B5DF-D74B14C9F080}"/>
    <cellStyle name="Normal 2 5 2 18 3 2" xfId="13772" xr:uid="{C01406A4-A9E0-4D75-892B-EF8839843666}"/>
    <cellStyle name="Normal 2 5 2 18 4" xfId="4943" xr:uid="{F5E49D47-E1D9-4A95-B38D-68C7EF00C77B}"/>
    <cellStyle name="Normal 2 5 2 18 4 2" xfId="13773" xr:uid="{E1B7E782-E245-4B43-A149-48316144AC43}"/>
    <cellStyle name="Normal 2 5 2 18 5" xfId="13768" xr:uid="{BE3B1515-15A6-40CD-BFDD-4CC1ABA9387F}"/>
    <cellStyle name="Normal 2 5 2 19" xfId="4944" xr:uid="{29004D3B-1AD5-466E-BCA2-BB4E51B0718D}"/>
    <cellStyle name="Normal 2 5 2 19 2" xfId="4945" xr:uid="{67FD5DE7-C58E-4E62-8DE4-3A7DB169642A}"/>
    <cellStyle name="Normal 2 5 2 19 2 2" xfId="4946" xr:uid="{0D38DAAA-7408-45A6-9D9E-4B95F750170E}"/>
    <cellStyle name="Normal 2 5 2 19 2 2 2" xfId="13776" xr:uid="{79B165CC-A16B-480A-8DB7-337D2FA9A2F7}"/>
    <cellStyle name="Normal 2 5 2 19 2 3" xfId="4947" xr:uid="{38A00945-66F4-46E5-836B-0F5A5EEC8717}"/>
    <cellStyle name="Normal 2 5 2 19 2 3 2" xfId="13777" xr:uid="{5195E816-E0E5-40B9-BDB4-5C663CAC7AAA}"/>
    <cellStyle name="Normal 2 5 2 19 2 4" xfId="13775" xr:uid="{1698588F-A19A-4682-9743-383B90433B14}"/>
    <cellStyle name="Normal 2 5 2 19 3" xfId="4948" xr:uid="{70AA1F11-82F5-49F1-907B-8B1BD546A6C4}"/>
    <cellStyle name="Normal 2 5 2 19 3 2" xfId="13778" xr:uid="{F8E843D5-DE41-43D7-94A6-D55BC6AD94BA}"/>
    <cellStyle name="Normal 2 5 2 19 4" xfId="4949" xr:uid="{498BDA41-82B0-4477-9C86-3E51C3D0760F}"/>
    <cellStyle name="Normal 2 5 2 19 4 2" xfId="13779" xr:uid="{5B63960F-D4E0-4D3A-AD5B-D59812B8798D}"/>
    <cellStyle name="Normal 2 5 2 19 5" xfId="13774" xr:uid="{A3721616-736C-4A70-A0D7-9CEAB28F373B}"/>
    <cellStyle name="Normal 2 5 2 2" xfId="4950" xr:uid="{DDF6EE07-EECF-4B2D-8D57-0DF39A82C8C4}"/>
    <cellStyle name="Normal 2 5 2 2 2" xfId="4951" xr:uid="{9FD01D59-572E-4129-B08B-DAAA5C3CE982}"/>
    <cellStyle name="Normal 2 5 2 2 2 2" xfId="4952" xr:uid="{728F051C-658C-4D23-8B18-594EE445F095}"/>
    <cellStyle name="Normal 2 5 2 2 2 2 2" xfId="13782" xr:uid="{A4E53529-CAD2-489E-8CF5-12066AE7433A}"/>
    <cellStyle name="Normal 2 5 2 2 2 3" xfId="4953" xr:uid="{A6E6EE01-CBF4-491E-90A1-8B55655F7EDA}"/>
    <cellStyle name="Normal 2 5 2 2 2 3 2" xfId="13783" xr:uid="{DDC9F63A-8589-4706-A7FC-D0B44EE0FBED}"/>
    <cellStyle name="Normal 2 5 2 2 2 4" xfId="13781" xr:uid="{CFF6C130-D86B-4766-906A-708A8EB4B360}"/>
    <cellStyle name="Normal 2 5 2 2 3" xfId="4954" xr:uid="{FFE73C05-E889-4437-B47A-B09F321356CF}"/>
    <cellStyle name="Normal 2 5 2 2 3 2" xfId="13784" xr:uid="{004CAB89-5A1F-4C33-8595-791723A5E078}"/>
    <cellStyle name="Normal 2 5 2 2 4" xfId="4955" xr:uid="{8B0D709D-07AE-4FBC-B441-9316DE5204BB}"/>
    <cellStyle name="Normal 2 5 2 2 4 2" xfId="13785" xr:uid="{A24449EB-9968-4912-B5AC-BD12743FA900}"/>
    <cellStyle name="Normal 2 5 2 2 5" xfId="13780" xr:uid="{0D191F17-5BC8-48BE-BB23-A05A23FDB8F2}"/>
    <cellStyle name="Normal 2 5 2 20" xfId="4956" xr:uid="{63C5996E-1A24-4BE2-928B-6EB9298830E5}"/>
    <cellStyle name="Normal 2 5 2 20 2" xfId="4957" xr:uid="{40703A1B-3AAA-4929-AA06-0EFB98237443}"/>
    <cellStyle name="Normal 2 5 2 20 2 2" xfId="4958" xr:uid="{37BCDDF0-7EA7-49F7-8DB6-4470619A2F45}"/>
    <cellStyle name="Normal 2 5 2 20 2 2 2" xfId="13788" xr:uid="{B16A54F5-0BD7-4788-822D-89A2812AA9EC}"/>
    <cellStyle name="Normal 2 5 2 20 2 3" xfId="4959" xr:uid="{287A4A43-8A13-4FEB-8A6B-F95E6E227619}"/>
    <cellStyle name="Normal 2 5 2 20 2 3 2" xfId="13789" xr:uid="{22379E8C-F34B-4402-A8FE-5D78C8EC5D2E}"/>
    <cellStyle name="Normal 2 5 2 20 2 4" xfId="13787" xr:uid="{BE527803-76CF-4C02-991D-8555322548FC}"/>
    <cellStyle name="Normal 2 5 2 20 3" xfId="4960" xr:uid="{DFD72B7C-823F-489F-A550-F1C35996B6DE}"/>
    <cellStyle name="Normal 2 5 2 20 3 2" xfId="13790" xr:uid="{0B87860F-BA4E-4E7E-8CD8-C8D3DADAC912}"/>
    <cellStyle name="Normal 2 5 2 20 4" xfId="4961" xr:uid="{13826FAD-07CF-4104-9412-7ACB1E58B1AD}"/>
    <cellStyle name="Normal 2 5 2 20 4 2" xfId="13791" xr:uid="{AC321B2B-7BF7-4063-A6A3-A0AF297901B8}"/>
    <cellStyle name="Normal 2 5 2 20 5" xfId="13786" xr:uid="{D121EAB9-310E-4C67-8B68-8F6A96E15816}"/>
    <cellStyle name="Normal 2 5 2 21" xfId="4962" xr:uid="{F6C2E727-F2B9-4DDF-8AAB-5E25C7C62470}"/>
    <cellStyle name="Normal 2 5 2 21 2" xfId="4963" xr:uid="{39C56145-9818-479C-8244-4AE38F61A686}"/>
    <cellStyle name="Normal 2 5 2 21 2 2" xfId="4964" xr:uid="{3E5F454D-2C63-47D2-B3AA-F1B395CDD5D8}"/>
    <cellStyle name="Normal 2 5 2 21 2 2 2" xfId="13794" xr:uid="{DA57F07F-9F44-4983-A10A-CA440BCD7F43}"/>
    <cellStyle name="Normal 2 5 2 21 2 3" xfId="4965" xr:uid="{A7011059-92B7-4CD0-9355-A1C6BBA77D67}"/>
    <cellStyle name="Normal 2 5 2 21 2 3 2" xfId="13795" xr:uid="{E3045EAC-A1DA-41EC-9CF5-9B6A252203FD}"/>
    <cellStyle name="Normal 2 5 2 21 2 4" xfId="13793" xr:uid="{D76E40EF-08F9-4B69-9879-CA97869CE184}"/>
    <cellStyle name="Normal 2 5 2 21 3" xfId="4966" xr:uid="{34D0F878-7D5A-4E5D-B73B-873D3D3D024B}"/>
    <cellStyle name="Normal 2 5 2 21 3 2" xfId="13796" xr:uid="{4101F2F0-883D-4E41-B1D8-C10DEE89004A}"/>
    <cellStyle name="Normal 2 5 2 21 4" xfId="4967" xr:uid="{40CCF58B-FAA8-4C4A-A95F-C396A82B6539}"/>
    <cellStyle name="Normal 2 5 2 21 4 2" xfId="13797" xr:uid="{50B317EB-B991-4CF2-AC9E-AA8DCBAD3E11}"/>
    <cellStyle name="Normal 2 5 2 21 5" xfId="13792" xr:uid="{B76EC397-53C8-4612-89D3-85D698E2AE0D}"/>
    <cellStyle name="Normal 2 5 2 22" xfId="4968" xr:uid="{7D345778-40B5-424C-A1CD-D751EA260CC3}"/>
    <cellStyle name="Normal 2 5 2 22 2" xfId="4969" xr:uid="{5ED314D6-195D-4123-8B82-C3F23487E7BB}"/>
    <cellStyle name="Normal 2 5 2 22 2 2" xfId="4970" xr:uid="{8AD2C450-3BEC-4E4A-8E57-043954C1F928}"/>
    <cellStyle name="Normal 2 5 2 22 2 2 2" xfId="13800" xr:uid="{2DC38E5E-C665-4C3E-A4D9-E1F8F84E5FA8}"/>
    <cellStyle name="Normal 2 5 2 22 2 3" xfId="4971" xr:uid="{9DB9939C-4F9B-4691-88E5-50E077CF2E47}"/>
    <cellStyle name="Normal 2 5 2 22 2 3 2" xfId="13801" xr:uid="{9C71E7EF-608F-4213-A915-264C301EA674}"/>
    <cellStyle name="Normal 2 5 2 22 2 4" xfId="13799" xr:uid="{A909BF01-BE4C-404E-9CE6-91FBD9841765}"/>
    <cellStyle name="Normal 2 5 2 22 3" xfId="4972" xr:uid="{CD6FE703-49EE-491A-A2E1-37F399D25EF5}"/>
    <cellStyle name="Normal 2 5 2 22 3 2" xfId="13802" xr:uid="{96315268-9C88-4CCE-95FA-0CB605A90D1B}"/>
    <cellStyle name="Normal 2 5 2 22 4" xfId="4973" xr:uid="{08060126-73AE-45DA-9F12-8F543236975A}"/>
    <cellStyle name="Normal 2 5 2 22 4 2" xfId="13803" xr:uid="{7993FCF1-2D06-45DD-BE04-487BE1720993}"/>
    <cellStyle name="Normal 2 5 2 22 5" xfId="13798" xr:uid="{B4E05C18-0CAD-48C5-81FF-A72432A72209}"/>
    <cellStyle name="Normal 2 5 2 23" xfId="4974" xr:uid="{DEBDC971-0E38-465E-A27E-FF0C4E6B3A10}"/>
    <cellStyle name="Normal 2 5 2 23 2" xfId="4975" xr:uid="{0AD68EFE-F5A3-4865-B83B-4DBB1CAB064F}"/>
    <cellStyle name="Normal 2 5 2 23 2 2" xfId="4976" xr:uid="{1E9178F5-50AD-4113-8939-FA3DEE2E1ADB}"/>
    <cellStyle name="Normal 2 5 2 23 2 2 2" xfId="13806" xr:uid="{737962CB-B352-4BC6-8E32-E5DBA0679F06}"/>
    <cellStyle name="Normal 2 5 2 23 2 3" xfId="4977" xr:uid="{96C20837-FF74-4314-BA32-AB22E93CBBAB}"/>
    <cellStyle name="Normal 2 5 2 23 2 3 2" xfId="13807" xr:uid="{25BF98D5-B0A3-4844-B16C-F16ED8C8B748}"/>
    <cellStyle name="Normal 2 5 2 23 2 4" xfId="13805" xr:uid="{92E6CCE6-44B0-453A-B69B-153B60228695}"/>
    <cellStyle name="Normal 2 5 2 23 3" xfId="4978" xr:uid="{A851AE38-127D-4E71-A7C1-761118914BFE}"/>
    <cellStyle name="Normal 2 5 2 23 3 2" xfId="13808" xr:uid="{045D6158-6D85-4E6C-BA00-C6C4555F0B67}"/>
    <cellStyle name="Normal 2 5 2 23 4" xfId="4979" xr:uid="{EAB27201-4C8B-4A3C-8102-1F1BF1F0C1A4}"/>
    <cellStyle name="Normal 2 5 2 23 4 2" xfId="13809" xr:uid="{E2AD46E3-C566-48BE-A42F-0ADB51FFF170}"/>
    <cellStyle name="Normal 2 5 2 23 5" xfId="13804" xr:uid="{329EB728-E428-452F-9DD1-E677E551E9BF}"/>
    <cellStyle name="Normal 2 5 2 24" xfId="4980" xr:uid="{A8A19A0D-6CCE-46EB-A04B-66BF6862C73D}"/>
    <cellStyle name="Normal 2 5 2 24 2" xfId="4981" xr:uid="{91C5F9B7-46C4-4012-BDE8-5D7D5B3C1E62}"/>
    <cellStyle name="Normal 2 5 2 24 2 2" xfId="4982" xr:uid="{0A402019-D98E-4A4C-AABE-4B6632E8EF11}"/>
    <cellStyle name="Normal 2 5 2 24 2 2 2" xfId="13812" xr:uid="{D741D3F9-DD55-43C9-A6D6-696505626068}"/>
    <cellStyle name="Normal 2 5 2 24 2 3" xfId="4983" xr:uid="{52E457BD-DE13-48AD-9888-5CF88B62F032}"/>
    <cellStyle name="Normal 2 5 2 24 2 3 2" xfId="13813" xr:uid="{8777C0A0-7F17-4B2B-8B1B-DF9907B2FECD}"/>
    <cellStyle name="Normal 2 5 2 24 2 4" xfId="13811" xr:uid="{2A03DA80-54C9-4DE8-9BB7-8A77AF38BAEE}"/>
    <cellStyle name="Normal 2 5 2 24 3" xfId="4984" xr:uid="{A66B8586-2FF1-42D3-B557-CB43C2256B93}"/>
    <cellStyle name="Normal 2 5 2 24 3 2" xfId="13814" xr:uid="{B537761A-6966-43F5-BDF0-BB8FE1A5AE2F}"/>
    <cellStyle name="Normal 2 5 2 24 4" xfId="4985" xr:uid="{9206DD0D-BE77-49DD-8FD3-FB6F58A3A900}"/>
    <cellStyle name="Normal 2 5 2 24 4 2" xfId="13815" xr:uid="{9A24CEB7-935C-496D-B372-3B903DB7FA88}"/>
    <cellStyle name="Normal 2 5 2 24 5" xfId="13810" xr:uid="{DDDEB685-6E95-4D09-BBD9-57BED1DE5FAC}"/>
    <cellStyle name="Normal 2 5 2 25" xfId="4986" xr:uid="{E87311C6-2649-49E6-9E80-8CC74ADE5A56}"/>
    <cellStyle name="Normal 2 5 2 25 2" xfId="4987" xr:uid="{F5FAE1C5-0FF9-4EB1-A9EA-6274DB2B776D}"/>
    <cellStyle name="Normal 2 5 2 25 2 2" xfId="4988" xr:uid="{A52607F7-57A9-4683-8083-4874D37CFBC6}"/>
    <cellStyle name="Normal 2 5 2 25 2 2 2" xfId="13818" xr:uid="{27DA4E09-DED6-4629-A469-9C210D5D913B}"/>
    <cellStyle name="Normal 2 5 2 25 2 3" xfId="4989" xr:uid="{2BA0A0E3-5157-45D1-A15C-16CE2B39655A}"/>
    <cellStyle name="Normal 2 5 2 25 2 3 2" xfId="13819" xr:uid="{5DCFBB8D-3412-4BDA-B73C-F2C650F4A064}"/>
    <cellStyle name="Normal 2 5 2 25 2 4" xfId="13817" xr:uid="{B1D87590-676F-4902-B406-727F2ACF754E}"/>
    <cellStyle name="Normal 2 5 2 25 3" xfId="4990" xr:uid="{93871F2F-3B28-4C78-9601-8BFAEBB954EC}"/>
    <cellStyle name="Normal 2 5 2 25 3 2" xfId="13820" xr:uid="{31D60F10-7507-4D06-BD3B-B200FBF5D203}"/>
    <cellStyle name="Normal 2 5 2 25 4" xfId="4991" xr:uid="{23816613-2946-4ACC-BDA8-9DA4EEA1F8C7}"/>
    <cellStyle name="Normal 2 5 2 25 4 2" xfId="13821" xr:uid="{1D2A4428-8A65-458F-A83B-283EB3A0FF8C}"/>
    <cellStyle name="Normal 2 5 2 25 5" xfId="13816" xr:uid="{662A4157-D104-4605-BCB6-692CFCAB7D74}"/>
    <cellStyle name="Normal 2 5 2 26" xfId="4992" xr:uid="{64A81982-E882-41AF-B88A-CFC82CA1FD8A}"/>
    <cellStyle name="Normal 2 5 2 26 2" xfId="4993" xr:uid="{E1559720-7584-4E9A-9C23-284A16F92159}"/>
    <cellStyle name="Normal 2 5 2 26 2 2" xfId="4994" xr:uid="{855F07FE-9FE7-4B98-B2A4-648CAF6D504D}"/>
    <cellStyle name="Normal 2 5 2 26 2 2 2" xfId="13824" xr:uid="{2DB5C598-7106-4D9A-8E93-B39FD39C6D5B}"/>
    <cellStyle name="Normal 2 5 2 26 2 3" xfId="4995" xr:uid="{C028E3FE-A8FB-4AF3-AA7E-26E8B4CC03EC}"/>
    <cellStyle name="Normal 2 5 2 26 2 3 2" xfId="13825" xr:uid="{CF668EE2-E751-4A65-9D71-13C8D8504783}"/>
    <cellStyle name="Normal 2 5 2 26 2 4" xfId="13823" xr:uid="{5052BABD-D685-4E66-9E79-A30F32870A4C}"/>
    <cellStyle name="Normal 2 5 2 26 3" xfId="4996" xr:uid="{93346AE5-2CE5-4ACE-94AB-C615DEBF07E5}"/>
    <cellStyle name="Normal 2 5 2 26 3 2" xfId="13826" xr:uid="{8DAEA303-FFB2-42E7-960F-8A3021DE7DB3}"/>
    <cellStyle name="Normal 2 5 2 26 4" xfId="4997" xr:uid="{3D7221CA-446B-4127-85B2-12A98EAA4C38}"/>
    <cellStyle name="Normal 2 5 2 26 4 2" xfId="13827" xr:uid="{63D1BAE3-AACD-46C8-9913-A62B402FCDB7}"/>
    <cellStyle name="Normal 2 5 2 26 5" xfId="13822" xr:uid="{E5FEC1B5-D9B5-4B24-AEEF-3CCCA8178594}"/>
    <cellStyle name="Normal 2 5 2 27" xfId="4998" xr:uid="{A7811891-32EE-4907-BF5E-6C8E48D1DC7D}"/>
    <cellStyle name="Normal 2 5 2 27 2" xfId="4999" xr:uid="{1ED0A455-63B3-4211-BDAA-63C3878E0E9D}"/>
    <cellStyle name="Normal 2 5 2 27 2 2" xfId="5000" xr:uid="{5D8C64BF-F338-41EC-A6E7-840CDEC5E084}"/>
    <cellStyle name="Normal 2 5 2 27 2 2 2" xfId="13830" xr:uid="{F2BC86E2-3027-437F-BBE0-0DC3466759E5}"/>
    <cellStyle name="Normal 2 5 2 27 2 3" xfId="5001" xr:uid="{4ECB26AC-4DAE-4A9B-BB94-15278D2AF435}"/>
    <cellStyle name="Normal 2 5 2 27 2 3 2" xfId="13831" xr:uid="{59FBA039-1AA3-461C-BA57-499829FDC268}"/>
    <cellStyle name="Normal 2 5 2 27 2 4" xfId="13829" xr:uid="{C5E08187-C86F-4D00-BE18-F88ADC4EC8AE}"/>
    <cellStyle name="Normal 2 5 2 27 3" xfId="5002" xr:uid="{C082716E-2D0E-4226-BD56-52AA8B0E5A01}"/>
    <cellStyle name="Normal 2 5 2 27 3 2" xfId="13832" xr:uid="{8E065247-7A53-4593-B4F1-68D090F5F3A9}"/>
    <cellStyle name="Normal 2 5 2 27 4" xfId="5003" xr:uid="{303F10DE-834C-4F0E-88EB-C25085C6E160}"/>
    <cellStyle name="Normal 2 5 2 27 4 2" xfId="13833" xr:uid="{F65E94C3-F067-41EC-A944-A4F309B2D16A}"/>
    <cellStyle name="Normal 2 5 2 27 5" xfId="13828" xr:uid="{1FED8241-AC2C-4396-95FF-DCC22F4D98B2}"/>
    <cellStyle name="Normal 2 5 2 28" xfId="5004" xr:uid="{0BF2EB8D-E06A-4C1F-BE32-A3362EBE7C6E}"/>
    <cellStyle name="Normal 2 5 2 28 2" xfId="5005" xr:uid="{817CB600-57C0-48CF-9363-FAAD30D2DE42}"/>
    <cellStyle name="Normal 2 5 2 28 2 2" xfId="5006" xr:uid="{61A83050-22B7-4BC0-93D5-10BDDE0463C6}"/>
    <cellStyle name="Normal 2 5 2 28 2 2 2" xfId="13836" xr:uid="{7C332C0A-5636-476C-B8FF-81F67FB697D3}"/>
    <cellStyle name="Normal 2 5 2 28 2 3" xfId="5007" xr:uid="{AE30E744-4298-49AF-A176-7B3BDE96072A}"/>
    <cellStyle name="Normal 2 5 2 28 2 3 2" xfId="13837" xr:uid="{A0217D22-26F8-4FD7-B477-290FB33966A5}"/>
    <cellStyle name="Normal 2 5 2 28 2 4" xfId="13835" xr:uid="{A6C22CC5-9F63-4C50-A80C-6C8E0CFF2E25}"/>
    <cellStyle name="Normal 2 5 2 28 3" xfId="5008" xr:uid="{FF6C6FD9-ED8E-4F4D-BDC5-ABD759EEF2B9}"/>
    <cellStyle name="Normal 2 5 2 28 3 2" xfId="13838" xr:uid="{F2AF2019-C1B2-4125-B007-EA304A53C58A}"/>
    <cellStyle name="Normal 2 5 2 28 4" xfId="5009" xr:uid="{A55C8DCE-3ED1-4EDC-8A5E-1DF9F3BB8708}"/>
    <cellStyle name="Normal 2 5 2 28 4 2" xfId="13839" xr:uid="{A5732B82-ABBB-4A87-8479-6B8F72341355}"/>
    <cellStyle name="Normal 2 5 2 28 5" xfId="13834" xr:uid="{4E4CDD4C-5F04-46C2-8F4A-FF037B7E5062}"/>
    <cellStyle name="Normal 2 5 2 29" xfId="5010" xr:uid="{AF6DE6DF-536E-4E28-A603-C42536A18E64}"/>
    <cellStyle name="Normal 2 5 2 29 2" xfId="5011" xr:uid="{B1B6E03F-63AF-4BC3-ACD9-D0A08D9642CE}"/>
    <cellStyle name="Normal 2 5 2 29 2 2" xfId="5012" xr:uid="{5034B082-FD79-42A3-9A78-85755E7F34BD}"/>
    <cellStyle name="Normal 2 5 2 29 2 2 2" xfId="13842" xr:uid="{E43719D9-BC00-43ED-8F50-F84C85DE8367}"/>
    <cellStyle name="Normal 2 5 2 29 2 3" xfId="5013" xr:uid="{439F5753-9D4D-49B7-AF6C-2BFC7FB43247}"/>
    <cellStyle name="Normal 2 5 2 29 2 3 2" xfId="13843" xr:uid="{16FFF66F-F6A7-4E5C-9F3B-9E1AD753BA97}"/>
    <cellStyle name="Normal 2 5 2 29 2 4" xfId="13841" xr:uid="{9848C844-5EA5-4F9E-B3FA-046523F38C97}"/>
    <cellStyle name="Normal 2 5 2 29 3" xfId="5014" xr:uid="{B1688B6E-0B91-4E4D-B014-46DC92C84C00}"/>
    <cellStyle name="Normal 2 5 2 29 3 2" xfId="13844" xr:uid="{9E38A9CA-FD68-4301-9BE9-799ABA679E8A}"/>
    <cellStyle name="Normal 2 5 2 29 4" xfId="5015" xr:uid="{C099D2EC-1F68-4379-98DB-6780713C8D4E}"/>
    <cellStyle name="Normal 2 5 2 29 4 2" xfId="13845" xr:uid="{7A65D111-5E70-4C00-B6BC-A812F59C6C17}"/>
    <cellStyle name="Normal 2 5 2 29 5" xfId="13840" xr:uid="{F52C9737-9FDC-45F7-B8BE-931A510F7600}"/>
    <cellStyle name="Normal 2 5 2 3" xfId="5016" xr:uid="{DCC2BBEE-927C-4B2F-B57E-8BD86224BB75}"/>
    <cellStyle name="Normal 2 5 2 3 2" xfId="5017" xr:uid="{AC22CB1B-DC33-4F0E-8EB6-93C1317A2681}"/>
    <cellStyle name="Normal 2 5 2 3 2 2" xfId="5018" xr:uid="{8E91E67E-183A-4C60-B652-B0CE6AE7B2A2}"/>
    <cellStyle name="Normal 2 5 2 3 2 2 2" xfId="13848" xr:uid="{8D9427F5-698F-4A66-92ED-02EAAC663C73}"/>
    <cellStyle name="Normal 2 5 2 3 2 3" xfId="5019" xr:uid="{B7E01D0C-C4F1-4A8A-A4CD-CA011AC35430}"/>
    <cellStyle name="Normal 2 5 2 3 2 3 2" xfId="13849" xr:uid="{177F9FF6-AB40-4EE4-ADD9-109DBB41AE4D}"/>
    <cellStyle name="Normal 2 5 2 3 2 4" xfId="13847" xr:uid="{FE361153-EFAF-4DFB-B043-41DFFCB4B443}"/>
    <cellStyle name="Normal 2 5 2 3 3" xfId="5020" xr:uid="{317A5EE1-F8FF-4A4E-AF34-59876DBE0744}"/>
    <cellStyle name="Normal 2 5 2 3 3 2" xfId="13850" xr:uid="{962490D7-01A0-45B3-BE0C-2C03D856B3D4}"/>
    <cellStyle name="Normal 2 5 2 3 4" xfId="5021" xr:uid="{A8F23E4A-1C29-4635-B9D3-3C72AC58885D}"/>
    <cellStyle name="Normal 2 5 2 3 4 2" xfId="13851" xr:uid="{B652C2A9-12B1-4E33-A524-3BAE89DCD919}"/>
    <cellStyle name="Normal 2 5 2 3 5" xfId="13846" xr:uid="{E54E7293-99E8-48A7-AB0B-8DD87C534D6E}"/>
    <cellStyle name="Normal 2 5 2 30" xfId="5022" xr:uid="{4BA84E66-CC13-48FE-9D68-2793015780B4}"/>
    <cellStyle name="Normal 2 5 2 30 2" xfId="5023" xr:uid="{263346AC-9FC7-4B73-8BD2-3F9C80EBFBAE}"/>
    <cellStyle name="Normal 2 5 2 30 2 2" xfId="5024" xr:uid="{2016F2E9-8C23-4F59-BEB5-049DD2646BBE}"/>
    <cellStyle name="Normal 2 5 2 30 2 2 2" xfId="13854" xr:uid="{36FE071A-FC61-4ACE-8818-0CE7E5EA5BAE}"/>
    <cellStyle name="Normal 2 5 2 30 2 3" xfId="5025" xr:uid="{BD8F824F-D43F-4C33-A86F-4398591D3D8D}"/>
    <cellStyle name="Normal 2 5 2 30 2 3 2" xfId="13855" xr:uid="{25A6D32C-DC55-4AE7-9712-E833EBA91B17}"/>
    <cellStyle name="Normal 2 5 2 30 2 4" xfId="13853" xr:uid="{0AC794C0-F07B-4D59-A0C4-EA8DF94CCE89}"/>
    <cellStyle name="Normal 2 5 2 30 3" xfId="5026" xr:uid="{938A68A2-A0DE-4F7E-8C25-E89D11CADBD1}"/>
    <cellStyle name="Normal 2 5 2 30 3 2" xfId="13856" xr:uid="{1BAB6487-93AE-4675-9D15-7A36B041ACDB}"/>
    <cellStyle name="Normal 2 5 2 30 4" xfId="5027" xr:uid="{A0CB6D5A-62DB-4F2C-822A-D405A488FC89}"/>
    <cellStyle name="Normal 2 5 2 30 4 2" xfId="13857" xr:uid="{7121CADE-B785-4163-B169-CAEE10F74A69}"/>
    <cellStyle name="Normal 2 5 2 30 5" xfId="13852" xr:uid="{F58A3767-074C-4FB6-B65E-27ECEA7637A5}"/>
    <cellStyle name="Normal 2 5 2 31" xfId="5028" xr:uid="{E1F798F0-6409-4D54-8916-13E15282ED6E}"/>
    <cellStyle name="Normal 2 5 2 31 2" xfId="5029" xr:uid="{A2DFAD19-3564-4C39-89A0-40FAD9086F85}"/>
    <cellStyle name="Normal 2 5 2 31 2 2" xfId="5030" xr:uid="{10CD62DB-5652-4687-B5DC-04AE8E7CEA57}"/>
    <cellStyle name="Normal 2 5 2 31 2 2 2" xfId="13860" xr:uid="{A9805FE3-54B1-4830-8F36-288945CC36A4}"/>
    <cellStyle name="Normal 2 5 2 31 2 3" xfId="5031" xr:uid="{D8CE4E3F-659F-4AE7-8CAF-A8F769176BD4}"/>
    <cellStyle name="Normal 2 5 2 31 2 3 2" xfId="13861" xr:uid="{A267647C-5A5C-4844-A144-B98B3C9FE011}"/>
    <cellStyle name="Normal 2 5 2 31 2 4" xfId="13859" xr:uid="{585E5F16-F265-47E3-AF3C-5293D2351C80}"/>
    <cellStyle name="Normal 2 5 2 31 3" xfId="5032" xr:uid="{5FE7441E-F4E9-443C-8E39-CEB7101B119D}"/>
    <cellStyle name="Normal 2 5 2 31 3 2" xfId="13862" xr:uid="{5732F4E8-D193-434E-96F9-79B2D6976E66}"/>
    <cellStyle name="Normal 2 5 2 31 4" xfId="5033" xr:uid="{2636C805-357C-4BAD-9934-4A0B1C0DB6BF}"/>
    <cellStyle name="Normal 2 5 2 31 4 2" xfId="13863" xr:uid="{48B8738E-A069-4D3F-9177-E5EE539F8B6B}"/>
    <cellStyle name="Normal 2 5 2 31 5" xfId="13858" xr:uid="{7C322E20-C3EC-4F42-B47E-0DAC884733F9}"/>
    <cellStyle name="Normal 2 5 2 32" xfId="5034" xr:uid="{970F02AF-2ADB-4032-B078-7FAD0CB8ACB4}"/>
    <cellStyle name="Normal 2 5 2 32 2" xfId="5035" xr:uid="{89BB6AD8-A703-43EE-BA82-771B263421D8}"/>
    <cellStyle name="Normal 2 5 2 32 2 2" xfId="5036" xr:uid="{45DC342C-573E-46C5-BA3F-96C72F433676}"/>
    <cellStyle name="Normal 2 5 2 32 2 2 2" xfId="13866" xr:uid="{3EDA1622-B0E8-4019-B35D-875C4B90FB55}"/>
    <cellStyle name="Normal 2 5 2 32 2 3" xfId="5037" xr:uid="{33333726-B2DA-44B3-8CE6-895F426EEBAF}"/>
    <cellStyle name="Normal 2 5 2 32 2 3 2" xfId="13867" xr:uid="{5E9F73B0-A6E4-4FC8-A5B8-0A55EAF2FDD2}"/>
    <cellStyle name="Normal 2 5 2 32 2 4" xfId="13865" xr:uid="{33903727-1D63-4F93-8357-9C750AAA053B}"/>
    <cellStyle name="Normal 2 5 2 32 3" xfId="5038" xr:uid="{69EF83AB-9F20-4189-8A0B-84A45FC92C89}"/>
    <cellStyle name="Normal 2 5 2 32 3 2" xfId="13868" xr:uid="{C31F4A9D-78DC-4442-896A-8D283030FCB4}"/>
    <cellStyle name="Normal 2 5 2 32 4" xfId="5039" xr:uid="{57BD5C76-7C19-437C-BC85-059E991BC2DD}"/>
    <cellStyle name="Normal 2 5 2 32 4 2" xfId="13869" xr:uid="{8466E441-E85B-4158-A98D-0FAA445C6658}"/>
    <cellStyle name="Normal 2 5 2 32 5" xfId="13864" xr:uid="{3AF5488F-1EE9-45ED-97C4-A9A46E9996D7}"/>
    <cellStyle name="Normal 2 5 2 33" xfId="5040" xr:uid="{B316B5E2-F0C8-4716-BA6C-338127134245}"/>
    <cellStyle name="Normal 2 5 2 33 2" xfId="5041" xr:uid="{E16F866A-43FF-4975-9679-009594BBCFB9}"/>
    <cellStyle name="Normal 2 5 2 33 2 2" xfId="5042" xr:uid="{9AD90787-0CBC-408A-A111-6E23193CD812}"/>
    <cellStyle name="Normal 2 5 2 33 2 2 2" xfId="13872" xr:uid="{C08CAD6E-8EEA-4A7B-938A-18B8231C03BA}"/>
    <cellStyle name="Normal 2 5 2 33 2 3" xfId="5043" xr:uid="{6D3E971B-6C32-4FC9-A801-47E3EFB654A1}"/>
    <cellStyle name="Normal 2 5 2 33 2 3 2" xfId="13873" xr:uid="{A961C24E-84B9-4C20-A988-3A465CD0523D}"/>
    <cellStyle name="Normal 2 5 2 33 2 4" xfId="13871" xr:uid="{19BA5B9A-931F-4970-B9F3-666E8892DFCB}"/>
    <cellStyle name="Normal 2 5 2 33 3" xfId="5044" xr:uid="{14A058EE-E927-461D-9E8E-9C14F4955F88}"/>
    <cellStyle name="Normal 2 5 2 33 3 2" xfId="13874" xr:uid="{E220E4C5-FAD3-47CD-A68B-158FD08D6645}"/>
    <cellStyle name="Normal 2 5 2 33 4" xfId="5045" xr:uid="{0BFA784F-9AFA-4C08-A228-AD1FEC741831}"/>
    <cellStyle name="Normal 2 5 2 33 4 2" xfId="13875" xr:uid="{488D7B96-5821-4F92-90BA-1245BA57D0EE}"/>
    <cellStyle name="Normal 2 5 2 33 5" xfId="13870" xr:uid="{B5917355-3F37-4A97-8070-33EC1849F478}"/>
    <cellStyle name="Normal 2 5 2 34" xfId="5046" xr:uid="{9D40AE13-0C23-443B-9298-52BD17D151CF}"/>
    <cellStyle name="Normal 2 5 2 34 2" xfId="5047" xr:uid="{BF5274AF-7FDA-44A0-83C7-415D26A7E5AF}"/>
    <cellStyle name="Normal 2 5 2 34 2 2" xfId="5048" xr:uid="{6474F318-35A0-4A0A-9108-43B345F9402C}"/>
    <cellStyle name="Normal 2 5 2 34 2 2 2" xfId="13878" xr:uid="{99140075-D375-4178-A8D4-AFF08CB544CC}"/>
    <cellStyle name="Normal 2 5 2 34 2 3" xfId="5049" xr:uid="{E30D00D1-C0BB-42F7-A503-A859107F886F}"/>
    <cellStyle name="Normal 2 5 2 34 2 3 2" xfId="13879" xr:uid="{61B9C0D0-6198-4FF6-A53A-D20C754B3F4D}"/>
    <cellStyle name="Normal 2 5 2 34 2 4" xfId="13877" xr:uid="{CFC69355-B979-4768-BE92-E614BF02AEA6}"/>
    <cellStyle name="Normal 2 5 2 34 3" xfId="5050" xr:uid="{A129CE36-750F-4C73-9E1A-79FE4230B113}"/>
    <cellStyle name="Normal 2 5 2 34 3 2" xfId="13880" xr:uid="{88C07200-0CD9-44A7-A93B-A262EFEF99E6}"/>
    <cellStyle name="Normal 2 5 2 34 4" xfId="5051" xr:uid="{A939A3F6-EB66-45C4-8C8F-41BDC2371A52}"/>
    <cellStyle name="Normal 2 5 2 34 4 2" xfId="13881" xr:uid="{36551A5C-5266-4BC3-9383-A6BC72D437A8}"/>
    <cellStyle name="Normal 2 5 2 34 5" xfId="13876" xr:uid="{5E48CCFE-01D9-4342-BE24-BFC027D4D96A}"/>
    <cellStyle name="Normal 2 5 2 35" xfId="5052" xr:uid="{23980A1B-A0D5-40C6-9580-7972DAE9BD17}"/>
    <cellStyle name="Normal 2 5 2 35 2" xfId="5053" xr:uid="{9F6007EF-3693-4ECF-8056-5C44F6CB7EC4}"/>
    <cellStyle name="Normal 2 5 2 35 2 2" xfId="5054" xr:uid="{A62A3283-2B44-417B-84D4-1A6194BB1A6F}"/>
    <cellStyle name="Normal 2 5 2 35 2 2 2" xfId="13884" xr:uid="{05F66C0F-D565-40AF-A406-202D55E558DB}"/>
    <cellStyle name="Normal 2 5 2 35 2 3" xfId="5055" xr:uid="{4DCB8899-7707-4AAC-8E89-B5CDDA9C14A4}"/>
    <cellStyle name="Normal 2 5 2 35 2 3 2" xfId="13885" xr:uid="{F28C385B-530B-4B5F-A817-FB0A638744FA}"/>
    <cellStyle name="Normal 2 5 2 35 2 4" xfId="13883" xr:uid="{78D0166E-62A8-45D4-8C51-9FAD28DDB5C3}"/>
    <cellStyle name="Normal 2 5 2 35 3" xfId="5056" xr:uid="{7EA19A05-16F0-40A8-98C1-82177B528A7C}"/>
    <cellStyle name="Normal 2 5 2 35 3 2" xfId="13886" xr:uid="{EE58D73F-B602-4CC4-8021-CB8221347590}"/>
    <cellStyle name="Normal 2 5 2 35 4" xfId="5057" xr:uid="{B21AA8B2-AAA2-4A24-8F4D-E740E55CE2F4}"/>
    <cellStyle name="Normal 2 5 2 35 4 2" xfId="13887" xr:uid="{F87E2E4D-465A-403C-A4E3-560025C7FA6F}"/>
    <cellStyle name="Normal 2 5 2 35 5" xfId="13882" xr:uid="{36CCE747-88EF-4AA9-8957-625E68674F78}"/>
    <cellStyle name="Normal 2 5 2 36" xfId="5058" xr:uid="{09F11681-ADAE-461D-B985-EA2970286D96}"/>
    <cellStyle name="Normal 2 5 2 36 2" xfId="5059" xr:uid="{2B2B7CC9-F714-431C-9E19-1FD359881482}"/>
    <cellStyle name="Normal 2 5 2 36 2 2" xfId="5060" xr:uid="{71E5B50D-E06A-41AB-8027-8DB122210F0F}"/>
    <cellStyle name="Normal 2 5 2 36 2 2 2" xfId="13890" xr:uid="{08DD3398-8FF3-4D60-BF13-9C03ECBB2705}"/>
    <cellStyle name="Normal 2 5 2 36 2 3" xfId="5061" xr:uid="{8355D0D1-0F51-494F-B2A4-B3E6A549D85A}"/>
    <cellStyle name="Normal 2 5 2 36 2 3 2" xfId="13891" xr:uid="{BFD41E4A-E222-4613-AE52-450E0E8A3B36}"/>
    <cellStyle name="Normal 2 5 2 36 2 4" xfId="13889" xr:uid="{A6321719-D38C-41FC-88EA-F1EBD215808C}"/>
    <cellStyle name="Normal 2 5 2 36 3" xfId="5062" xr:uid="{A6797911-8051-45BB-9C87-FC400314DB2F}"/>
    <cellStyle name="Normal 2 5 2 36 3 2" xfId="13892" xr:uid="{0A9DA84E-7E48-4565-BA27-32A097DB9FDF}"/>
    <cellStyle name="Normal 2 5 2 36 4" xfId="5063" xr:uid="{E924BE78-E17A-442C-B581-9B408B3D0472}"/>
    <cellStyle name="Normal 2 5 2 36 4 2" xfId="13893" xr:uid="{DEAB726F-467E-484C-939D-0C43ED55EAD7}"/>
    <cellStyle name="Normal 2 5 2 36 5" xfId="13888" xr:uid="{B6D81A6E-8359-42AB-9185-9A6FA84C69C0}"/>
    <cellStyle name="Normal 2 5 2 37" xfId="5064" xr:uid="{74967C27-C113-44BD-93FE-9A0BA4F3CD0D}"/>
    <cellStyle name="Normal 2 5 2 37 2" xfId="5065" xr:uid="{4D0DCA78-70C4-4753-BC6C-4BC88BF99310}"/>
    <cellStyle name="Normal 2 5 2 37 2 2" xfId="5066" xr:uid="{C903261C-B563-4805-A2BC-B7DD731C8491}"/>
    <cellStyle name="Normal 2 5 2 37 2 2 2" xfId="13896" xr:uid="{40F941CA-4BE4-4BC5-BF67-AB5313997745}"/>
    <cellStyle name="Normal 2 5 2 37 2 3" xfId="5067" xr:uid="{ABFC5E00-A870-44AA-8247-434EC3B97D29}"/>
    <cellStyle name="Normal 2 5 2 37 2 3 2" xfId="13897" xr:uid="{42C8FFBA-4287-4F24-BC86-741C24F6BCFD}"/>
    <cellStyle name="Normal 2 5 2 37 2 4" xfId="13895" xr:uid="{38C6523C-EC4B-4232-B410-540A1CE1E07B}"/>
    <cellStyle name="Normal 2 5 2 37 3" xfId="5068" xr:uid="{9FB501A2-38BF-488B-8270-B4629993C297}"/>
    <cellStyle name="Normal 2 5 2 37 3 2" xfId="13898" xr:uid="{7A04AD5F-830A-4584-93EE-BD0DBA58F287}"/>
    <cellStyle name="Normal 2 5 2 37 4" xfId="5069" xr:uid="{5DF6AD42-4549-425E-8A92-BBB1DF027EA9}"/>
    <cellStyle name="Normal 2 5 2 37 4 2" xfId="13899" xr:uid="{320D734E-09B7-4811-8315-D7BDAE449E0F}"/>
    <cellStyle name="Normal 2 5 2 37 5" xfId="13894" xr:uid="{DD5DA422-874D-436F-BEF6-28FF2F2C1D32}"/>
    <cellStyle name="Normal 2 5 2 38" xfId="5070" xr:uid="{6090A374-1235-45AD-8968-3AF48FDCD8E8}"/>
    <cellStyle name="Normal 2 5 2 38 2" xfId="5071" xr:uid="{8B3207F9-1610-4860-8BAB-59F32C4A82F7}"/>
    <cellStyle name="Normal 2 5 2 38 2 2" xfId="5072" xr:uid="{62C21603-2CA5-4EB0-AF55-9907154F8183}"/>
    <cellStyle name="Normal 2 5 2 38 2 2 2" xfId="13902" xr:uid="{B1329826-9A56-4BAF-911F-9C3C7B67553A}"/>
    <cellStyle name="Normal 2 5 2 38 2 3" xfId="5073" xr:uid="{1C85AF70-1580-403C-B7A9-8A67316BF683}"/>
    <cellStyle name="Normal 2 5 2 38 2 3 2" xfId="13903" xr:uid="{C5766651-AE18-4D65-B0F3-C1480BF82284}"/>
    <cellStyle name="Normal 2 5 2 38 2 4" xfId="13901" xr:uid="{83DA4405-37FC-4600-8577-DD0293E67BCF}"/>
    <cellStyle name="Normal 2 5 2 38 3" xfId="5074" xr:uid="{22EF19F2-0C51-4BD3-A399-DCA63752FF2F}"/>
    <cellStyle name="Normal 2 5 2 38 3 2" xfId="13904" xr:uid="{C9A8B7D6-EE6F-4944-A2BD-12F77AB37649}"/>
    <cellStyle name="Normal 2 5 2 38 4" xfId="5075" xr:uid="{4A703B34-BE25-4948-BAA9-D527F7269015}"/>
    <cellStyle name="Normal 2 5 2 38 4 2" xfId="13905" xr:uid="{1C93A258-BA5A-4139-A1DF-7B3A9757E963}"/>
    <cellStyle name="Normal 2 5 2 38 5" xfId="13900" xr:uid="{3D2392F5-25AF-479D-BFE7-91F5EB0CE7F0}"/>
    <cellStyle name="Normal 2 5 2 39" xfId="5076" xr:uid="{DED75F31-15FF-4608-81E3-33125DE5B1C3}"/>
    <cellStyle name="Normal 2 5 2 39 2" xfId="5077" xr:uid="{0D0DAE8A-B3B1-4EF5-8CE9-C9327C1B8A78}"/>
    <cellStyle name="Normal 2 5 2 39 2 2" xfId="5078" xr:uid="{F05CD678-B153-48C3-A6CA-5282026887BC}"/>
    <cellStyle name="Normal 2 5 2 39 2 2 2" xfId="13908" xr:uid="{15ACDC0F-B55A-47B5-97C7-0E8900CE1D62}"/>
    <cellStyle name="Normal 2 5 2 39 2 3" xfId="5079" xr:uid="{9A4AF0D1-9A57-44F0-ABD8-548AE707A71C}"/>
    <cellStyle name="Normal 2 5 2 39 2 3 2" xfId="13909" xr:uid="{7A5E7352-4599-4366-8DBB-920357A14B07}"/>
    <cellStyle name="Normal 2 5 2 39 2 4" xfId="13907" xr:uid="{D8261F53-F930-4F30-A595-81E2928A4B60}"/>
    <cellStyle name="Normal 2 5 2 39 3" xfId="5080" xr:uid="{EF0F1D7A-BB20-45C5-A297-5FB26DCCA4E5}"/>
    <cellStyle name="Normal 2 5 2 39 3 2" xfId="13910" xr:uid="{1DE74485-F25E-428C-9809-50AE0F5ECCF1}"/>
    <cellStyle name="Normal 2 5 2 39 4" xfId="5081" xr:uid="{5DB4A3FB-8D81-4AEE-800F-9754CBE8CEAA}"/>
    <cellStyle name="Normal 2 5 2 39 4 2" xfId="13911" xr:uid="{FF4F2BB7-A65A-4F3E-91AA-580C6B5D50E4}"/>
    <cellStyle name="Normal 2 5 2 39 5" xfId="13906" xr:uid="{67E81E8D-65C5-4B0C-8CB3-C09598D67828}"/>
    <cellStyle name="Normal 2 5 2 4" xfId="5082" xr:uid="{86B9607D-A461-4CEB-B27C-89CD1E5BC0EA}"/>
    <cellStyle name="Normal 2 5 2 4 2" xfId="5083" xr:uid="{EBE67A09-2C41-4BA0-B80E-F5EB78689B82}"/>
    <cellStyle name="Normal 2 5 2 4 2 2" xfId="5084" xr:uid="{1F94063C-5692-439D-808F-93E8BD3CED50}"/>
    <cellStyle name="Normal 2 5 2 4 2 2 2" xfId="13914" xr:uid="{AEEF5621-6BA1-46B3-80D0-6DD3FA50A8CD}"/>
    <cellStyle name="Normal 2 5 2 4 2 3" xfId="5085" xr:uid="{E91898DE-BAE1-40C2-9BFC-958F6401A235}"/>
    <cellStyle name="Normal 2 5 2 4 2 3 2" xfId="13915" xr:uid="{C5B1B501-62EB-4FF8-B039-613F511424B6}"/>
    <cellStyle name="Normal 2 5 2 4 2 4" xfId="13913" xr:uid="{C9E5AD4E-F3C8-4352-BE6A-2F6C0D014353}"/>
    <cellStyle name="Normal 2 5 2 4 3" xfId="5086" xr:uid="{BBA45D95-707A-4B68-A420-94926447C92E}"/>
    <cellStyle name="Normal 2 5 2 4 3 2" xfId="13916" xr:uid="{B555A4D4-3A87-4E97-9976-11D3BCBD4290}"/>
    <cellStyle name="Normal 2 5 2 4 4" xfId="5087" xr:uid="{97497800-684B-40E1-9273-67609D1645B0}"/>
    <cellStyle name="Normal 2 5 2 4 4 2" xfId="13917" xr:uid="{2FC7C197-D8F7-46C4-83DE-923DDB40D0FB}"/>
    <cellStyle name="Normal 2 5 2 4 5" xfId="13912" xr:uid="{FD443F45-7340-47C3-BE0A-F7E2492DF50C}"/>
    <cellStyle name="Normal 2 5 2 40" xfId="5088" xr:uid="{A1F305D0-3A51-4B96-8B92-43D8C271993F}"/>
    <cellStyle name="Normal 2 5 2 40 2" xfId="5089" xr:uid="{F577DC93-B691-46B3-8C94-B17C8F41A6A8}"/>
    <cellStyle name="Normal 2 5 2 40 2 2" xfId="5090" xr:uid="{1FB88DC2-D901-4A12-BFA4-120C3CCD9FCA}"/>
    <cellStyle name="Normal 2 5 2 40 2 2 2" xfId="13920" xr:uid="{E7FEA05E-4C53-4EB6-83C4-4AFB01A2A6A7}"/>
    <cellStyle name="Normal 2 5 2 40 2 3" xfId="5091" xr:uid="{121F2963-195F-47F4-8F22-5F9B51C1C2A5}"/>
    <cellStyle name="Normal 2 5 2 40 2 3 2" xfId="13921" xr:uid="{308E813A-CCCD-4411-A155-8061B51E139D}"/>
    <cellStyle name="Normal 2 5 2 40 2 4" xfId="13919" xr:uid="{EE732C09-9A47-48F3-9E12-C074ABFB4C8A}"/>
    <cellStyle name="Normal 2 5 2 40 3" xfId="5092" xr:uid="{E1B58EB4-DF7A-4981-AE65-4DFC1DA567BC}"/>
    <cellStyle name="Normal 2 5 2 40 3 2" xfId="13922" xr:uid="{ABA6EEAD-7E2E-40EF-8E90-8BD705A15008}"/>
    <cellStyle name="Normal 2 5 2 40 4" xfId="5093" xr:uid="{AC213A53-4B7E-4797-A533-2157EAB94591}"/>
    <cellStyle name="Normal 2 5 2 40 4 2" xfId="13923" xr:uid="{BB566815-A29A-4A26-8E6C-BA8C5A19A6FF}"/>
    <cellStyle name="Normal 2 5 2 40 5" xfId="13918" xr:uid="{61979A07-7A92-48F5-A5B5-A2A5BBF83CF1}"/>
    <cellStyle name="Normal 2 5 2 41" xfId="5094" xr:uid="{0B3D67CF-F434-48D3-B3CC-1D14E3352074}"/>
    <cellStyle name="Normal 2 5 2 41 2" xfId="5095" xr:uid="{B00E17A9-52C6-47D0-BE7D-882E9CBE9DBF}"/>
    <cellStyle name="Normal 2 5 2 41 2 2" xfId="5096" xr:uid="{3BB1FBA9-383C-4F24-A831-49303FCFF6B8}"/>
    <cellStyle name="Normal 2 5 2 41 2 2 2" xfId="13926" xr:uid="{ACFE82C0-CE48-4DAE-BEB9-ACDAF82E6B4A}"/>
    <cellStyle name="Normal 2 5 2 41 2 3" xfId="5097" xr:uid="{162ACFCC-E1F8-4A14-9369-BBEA55FA62F9}"/>
    <cellStyle name="Normal 2 5 2 41 2 3 2" xfId="13927" xr:uid="{0FC21111-8C96-4605-929D-F2C52E898770}"/>
    <cellStyle name="Normal 2 5 2 41 2 4" xfId="13925" xr:uid="{61F8BD6F-6AC1-4C65-A771-204ADE0E6721}"/>
    <cellStyle name="Normal 2 5 2 41 3" xfId="5098" xr:uid="{FFA1E932-75A0-456C-8EB2-E6AA130F3F01}"/>
    <cellStyle name="Normal 2 5 2 41 3 2" xfId="13928" xr:uid="{E5A116E9-D896-4598-B036-5A3B2E24184F}"/>
    <cellStyle name="Normal 2 5 2 41 4" xfId="5099" xr:uid="{40F6307C-FC3F-41A5-AA66-F35224B18535}"/>
    <cellStyle name="Normal 2 5 2 41 4 2" xfId="13929" xr:uid="{3321917E-3B9F-456D-9C8D-AE635C8A38B1}"/>
    <cellStyle name="Normal 2 5 2 41 5" xfId="13924" xr:uid="{520BD4BB-A326-4BF0-8067-5BFAAC161357}"/>
    <cellStyle name="Normal 2 5 2 42" xfId="5100" xr:uid="{52D4DF61-C4DF-43D7-A414-DC0B42A3688F}"/>
    <cellStyle name="Normal 2 5 2 42 2" xfId="5101" xr:uid="{399C6467-D5E9-45D1-9AA0-6A5DC4072923}"/>
    <cellStyle name="Normal 2 5 2 42 2 2" xfId="5102" xr:uid="{B11C3922-4ED4-4A96-BCF8-C1F99986E340}"/>
    <cellStyle name="Normal 2 5 2 42 2 2 2" xfId="13932" xr:uid="{C19210B9-184F-4922-B062-19CB4427BDDB}"/>
    <cellStyle name="Normal 2 5 2 42 2 3" xfId="5103" xr:uid="{94FDFAAC-5729-4142-99F0-0F3CFC6D5809}"/>
    <cellStyle name="Normal 2 5 2 42 2 3 2" xfId="13933" xr:uid="{61DD0A75-43FF-4323-A3C7-14C626119F0D}"/>
    <cellStyle name="Normal 2 5 2 42 2 4" xfId="13931" xr:uid="{65FF507D-D27E-4FDA-A55C-956232F770A6}"/>
    <cellStyle name="Normal 2 5 2 42 3" xfId="5104" xr:uid="{3682052A-ADE8-4651-85C6-257093B841E9}"/>
    <cellStyle name="Normal 2 5 2 42 3 2" xfId="13934" xr:uid="{D2422BBC-53EF-4302-8B18-8C017BE3DC30}"/>
    <cellStyle name="Normal 2 5 2 42 4" xfId="5105" xr:uid="{5064983D-41AA-4A64-92B8-4F96D2ECA6EF}"/>
    <cellStyle name="Normal 2 5 2 42 4 2" xfId="13935" xr:uid="{D8252945-7DD4-4D6F-9F40-0B60712C0C4E}"/>
    <cellStyle name="Normal 2 5 2 42 5" xfId="13930" xr:uid="{27E9CA49-FF87-4099-B2BA-09190F10E6CA}"/>
    <cellStyle name="Normal 2 5 2 43" xfId="5106" xr:uid="{7D8174A4-06B9-4BE6-A092-17D4E6AE72E0}"/>
    <cellStyle name="Normal 2 5 2 43 2" xfId="5107" xr:uid="{2A30EFF5-22EA-42BE-AF72-91AA44092EC9}"/>
    <cellStyle name="Normal 2 5 2 43 2 2" xfId="5108" xr:uid="{45336F4F-01FD-43B3-BAF1-77DFE0A06211}"/>
    <cellStyle name="Normal 2 5 2 43 2 2 2" xfId="13938" xr:uid="{86A1E7F2-92A5-4520-9A16-C3812B756954}"/>
    <cellStyle name="Normal 2 5 2 43 2 3" xfId="5109" xr:uid="{3DDA2B4B-F37A-43C5-9D5A-783F9648FC3B}"/>
    <cellStyle name="Normal 2 5 2 43 2 3 2" xfId="13939" xr:uid="{274D048B-F578-4D9C-B760-98CE49E74456}"/>
    <cellStyle name="Normal 2 5 2 43 2 4" xfId="13937" xr:uid="{F9A11F3F-6A1B-400A-B05F-31EAED5CE61B}"/>
    <cellStyle name="Normal 2 5 2 43 3" xfId="5110" xr:uid="{1A76BCB8-C45C-4044-AB1F-DA903FD49F55}"/>
    <cellStyle name="Normal 2 5 2 43 3 2" xfId="13940" xr:uid="{DEF07229-F5BF-45A0-BA05-0DCB15B756AE}"/>
    <cellStyle name="Normal 2 5 2 43 4" xfId="5111" xr:uid="{0E82EFC2-06A5-4F69-A665-DED82D160F0A}"/>
    <cellStyle name="Normal 2 5 2 43 4 2" xfId="13941" xr:uid="{A3BFC67A-FC95-4519-862A-83B8EBD44F01}"/>
    <cellStyle name="Normal 2 5 2 43 5" xfId="13936" xr:uid="{D363DDCB-8972-49B5-810C-88DA11B1B169}"/>
    <cellStyle name="Normal 2 5 2 44" xfId="5112" xr:uid="{DD7B5FFC-341B-40BC-8C8A-E007543B3968}"/>
    <cellStyle name="Normal 2 5 2 44 2" xfId="5113" xr:uid="{868170DE-6E48-48AB-BF1B-EB5F0A9C9443}"/>
    <cellStyle name="Normal 2 5 2 44 2 2" xfId="13943" xr:uid="{D10CB93C-B66B-4264-AB34-FE6EDF16BA90}"/>
    <cellStyle name="Normal 2 5 2 44 3" xfId="5114" xr:uid="{D4FFA7B3-7363-46D8-806D-788CBB333572}"/>
    <cellStyle name="Normal 2 5 2 44 3 2" xfId="13944" xr:uid="{AB1E6E47-EB29-4C26-9A17-ADF2F539C731}"/>
    <cellStyle name="Normal 2 5 2 44 4" xfId="13942" xr:uid="{60026AC4-1E98-46E4-9F1F-7C6A044C74F3}"/>
    <cellStyle name="Normal 2 5 2 45" xfId="5115" xr:uid="{A8799D7E-2B17-4D21-93E4-AB4BA260BA45}"/>
    <cellStyle name="Normal 2 5 2 45 2" xfId="13945" xr:uid="{3BC7D915-18A7-4124-89B2-0A0562976FBB}"/>
    <cellStyle name="Normal 2 5 2 46" xfId="5116" xr:uid="{ADC17CE0-BB2B-48D3-BAB1-1D7BECFE313E}"/>
    <cellStyle name="Normal 2 5 2 46 2" xfId="13946" xr:uid="{E9E0B93D-DD6D-4AE7-BC92-B8D791FA67EF}"/>
    <cellStyle name="Normal 2 5 2 47" xfId="13719" xr:uid="{105BB5A9-DD71-43F8-9DA2-0AAF51E095DE}"/>
    <cellStyle name="Normal 2 5 2 5" xfId="5117" xr:uid="{6EAA770F-A76D-4506-93D8-39BB01D5B89C}"/>
    <cellStyle name="Normal 2 5 2 5 2" xfId="5118" xr:uid="{6CBFD637-0DFE-4FA7-BA33-3556CF612E44}"/>
    <cellStyle name="Normal 2 5 2 5 2 2" xfId="5119" xr:uid="{B1F00B0C-B3FE-45FC-A1F6-ACADE2386596}"/>
    <cellStyle name="Normal 2 5 2 5 2 2 2" xfId="13949" xr:uid="{D7184D65-BAD6-4E7A-910C-B5BE8C24A832}"/>
    <cellStyle name="Normal 2 5 2 5 2 3" xfId="5120" xr:uid="{1CEB8772-17EC-4A72-93C9-2D47C4BDEEB7}"/>
    <cellStyle name="Normal 2 5 2 5 2 3 2" xfId="13950" xr:uid="{FABB7363-B4D4-4435-A720-789E111F32E5}"/>
    <cellStyle name="Normal 2 5 2 5 2 4" xfId="13948" xr:uid="{A0D02BED-EBDA-4916-851A-83BD1EE731EB}"/>
    <cellStyle name="Normal 2 5 2 5 3" xfId="5121" xr:uid="{938B1694-F4FF-4788-AD53-3481B5BF6AFB}"/>
    <cellStyle name="Normal 2 5 2 5 3 2" xfId="13951" xr:uid="{BE3C9003-B95D-43BE-B7E5-AB36262791AD}"/>
    <cellStyle name="Normal 2 5 2 5 4" xfId="5122" xr:uid="{1DE6FD35-6E80-4AAC-B2ED-7AC23EF4193A}"/>
    <cellStyle name="Normal 2 5 2 5 4 2" xfId="13952" xr:uid="{0E79A8E7-28DA-40F5-B6B5-6E1D68B98882}"/>
    <cellStyle name="Normal 2 5 2 5 5" xfId="13947" xr:uid="{333A11BD-D594-44F9-92DA-3F5E67C27600}"/>
    <cellStyle name="Normal 2 5 2 6" xfId="5123" xr:uid="{DC9B78C1-685C-4421-8697-5DC762C72D2B}"/>
    <cellStyle name="Normal 2 5 2 6 2" xfId="5124" xr:uid="{C6D8FBE5-D18F-4895-A655-3C5DFEF38527}"/>
    <cellStyle name="Normal 2 5 2 6 2 2" xfId="5125" xr:uid="{BD836A39-98B2-476E-8970-F908C3F19188}"/>
    <cellStyle name="Normal 2 5 2 6 2 2 2" xfId="13955" xr:uid="{FE6EE57C-3CAF-43FF-9A32-3D9D8DD217A2}"/>
    <cellStyle name="Normal 2 5 2 6 2 3" xfId="5126" xr:uid="{05A47494-2B5C-4BA9-8229-33D579735789}"/>
    <cellStyle name="Normal 2 5 2 6 2 3 2" xfId="13956" xr:uid="{0CFF7B4A-982D-4A30-BF8B-DBC2A6EF31EF}"/>
    <cellStyle name="Normal 2 5 2 6 2 4" xfId="13954" xr:uid="{06F82647-81DA-420F-9F26-1EF47A021D73}"/>
    <cellStyle name="Normal 2 5 2 6 3" xfId="5127" xr:uid="{DA3FF612-2402-4044-B661-F53FE2315916}"/>
    <cellStyle name="Normal 2 5 2 6 3 2" xfId="13957" xr:uid="{5376638C-0345-40CD-B034-2DAC3AE73272}"/>
    <cellStyle name="Normal 2 5 2 6 4" xfId="5128" xr:uid="{49C64224-1DDF-4367-8E67-175DACF547FC}"/>
    <cellStyle name="Normal 2 5 2 6 4 2" xfId="13958" xr:uid="{D1CAAE30-C393-4E10-BDE6-CFB8468AF8BF}"/>
    <cellStyle name="Normal 2 5 2 6 5" xfId="13953" xr:uid="{A135EC1E-0527-45EA-8EA8-C0EEE528755C}"/>
    <cellStyle name="Normal 2 5 2 7" xfId="5129" xr:uid="{87DBBC61-742E-431D-9848-B04FB74AA63C}"/>
    <cellStyle name="Normal 2 5 2 7 2" xfId="5130" xr:uid="{4634BF44-1243-47EE-ACC7-424C191BC832}"/>
    <cellStyle name="Normal 2 5 2 7 2 2" xfId="5131" xr:uid="{67F9C4DF-5C6B-41BD-84CE-40027DE88526}"/>
    <cellStyle name="Normal 2 5 2 7 2 2 2" xfId="13961" xr:uid="{F7BB00D7-4CE1-4164-8E16-9C83A9A9AD4E}"/>
    <cellStyle name="Normal 2 5 2 7 2 3" xfId="5132" xr:uid="{77B74CB0-26A6-4C9D-911F-874CACBCA224}"/>
    <cellStyle name="Normal 2 5 2 7 2 3 2" xfId="13962" xr:uid="{5FC6D198-4ABD-4EC7-B816-74BF491BAC4B}"/>
    <cellStyle name="Normal 2 5 2 7 2 4" xfId="13960" xr:uid="{92C611C4-679A-4E92-9890-9BEC8A5F5AC5}"/>
    <cellStyle name="Normal 2 5 2 7 3" xfId="5133" xr:uid="{1BE9AEE5-342A-4AB1-AAA4-BE342515C4F4}"/>
    <cellStyle name="Normal 2 5 2 7 3 2" xfId="13963" xr:uid="{E86A8B60-D93F-4550-AB78-EE52292E600A}"/>
    <cellStyle name="Normal 2 5 2 7 4" xfId="5134" xr:uid="{3B19A8C2-F054-4CE7-9064-C4AFC0ECBFB3}"/>
    <cellStyle name="Normal 2 5 2 7 4 2" xfId="13964" xr:uid="{995E40F6-5779-4F52-BC98-85E11A1EB770}"/>
    <cellStyle name="Normal 2 5 2 7 5" xfId="13959" xr:uid="{731BAD81-7565-4037-B643-AEF335FFC4D7}"/>
    <cellStyle name="Normal 2 5 2 8" xfId="5135" xr:uid="{C70ADAEF-CF2C-4215-AD75-F8A0EB3FE93E}"/>
    <cellStyle name="Normal 2 5 2 8 2" xfId="5136" xr:uid="{9A98599C-58D3-41E2-ADDF-5EFC50AC7260}"/>
    <cellStyle name="Normal 2 5 2 8 2 2" xfId="5137" xr:uid="{B331DC68-298B-4E09-B9E2-9CA5316328BB}"/>
    <cellStyle name="Normal 2 5 2 8 2 2 2" xfId="13967" xr:uid="{1A0AD712-56B3-405D-BB51-2E72C6FF2D02}"/>
    <cellStyle name="Normal 2 5 2 8 2 3" xfId="5138" xr:uid="{F442515D-722D-4CC7-B82D-DD841C3C2AC5}"/>
    <cellStyle name="Normal 2 5 2 8 2 3 2" xfId="13968" xr:uid="{3485B204-283D-4C84-82B2-E5BDE3452FBC}"/>
    <cellStyle name="Normal 2 5 2 8 2 4" xfId="13966" xr:uid="{30DE9B75-EA7E-4C9B-94B6-44598FF537AD}"/>
    <cellStyle name="Normal 2 5 2 8 3" xfId="5139" xr:uid="{39359B6E-ED18-4E73-BFE8-EBEED1183625}"/>
    <cellStyle name="Normal 2 5 2 8 3 2" xfId="13969" xr:uid="{89FA611F-1E43-4500-B806-549058DB3AF0}"/>
    <cellStyle name="Normal 2 5 2 8 4" xfId="5140" xr:uid="{D591B460-1BC6-4FE4-BF20-A917E1C4582D}"/>
    <cellStyle name="Normal 2 5 2 8 4 2" xfId="13970" xr:uid="{33A25994-3A9E-4EF2-8BFE-3E0AEED07BE6}"/>
    <cellStyle name="Normal 2 5 2 8 5" xfId="13965" xr:uid="{78FA8AF6-9FAC-4D04-BE18-46A56C81472F}"/>
    <cellStyle name="Normal 2 5 2 9" xfId="5141" xr:uid="{D5CAF604-13E9-4B26-B903-1E0FC5FE3704}"/>
    <cellStyle name="Normal 2 5 2 9 2" xfId="5142" xr:uid="{7AC5DC36-869A-413A-85E7-EF53B183AA35}"/>
    <cellStyle name="Normal 2 5 2 9 2 2" xfId="5143" xr:uid="{197FFD22-3783-435B-AD0B-65EBA9CCBA3F}"/>
    <cellStyle name="Normal 2 5 2 9 2 2 2" xfId="13973" xr:uid="{F746ADCC-3BED-4F9D-ACC0-F098CDA9F54C}"/>
    <cellStyle name="Normal 2 5 2 9 2 3" xfId="5144" xr:uid="{34B1A9C7-86D2-4454-967F-22425D6A688E}"/>
    <cellStyle name="Normal 2 5 2 9 2 3 2" xfId="13974" xr:uid="{7E5F7B11-55E0-4867-8F64-55C4AAA7FE4A}"/>
    <cellStyle name="Normal 2 5 2 9 2 4" xfId="13972" xr:uid="{515A8627-D2FA-4594-93AF-17CFD495B671}"/>
    <cellStyle name="Normal 2 5 2 9 3" xfId="5145" xr:uid="{FEBE52B5-01B8-4D13-BAF3-5DDDAE6A56F1}"/>
    <cellStyle name="Normal 2 5 2 9 3 2" xfId="13975" xr:uid="{A08696F0-0207-4330-8CDF-00F82FC5E486}"/>
    <cellStyle name="Normal 2 5 2 9 4" xfId="5146" xr:uid="{7F0E9309-6C38-417E-B25C-4133A18B6E1A}"/>
    <cellStyle name="Normal 2 5 2 9 4 2" xfId="13976" xr:uid="{B47CA509-6F16-49FE-9220-C38206A1442B}"/>
    <cellStyle name="Normal 2 5 2 9 5" xfId="13971" xr:uid="{EFD5231A-AE74-4C3D-9FF4-B156C9BAC73B}"/>
    <cellStyle name="Normal 2 5 20" xfId="5147" xr:uid="{E3B32901-7B11-4CA0-B0EE-52BAADEE315E}"/>
    <cellStyle name="Normal 2 5 20 2" xfId="5148" xr:uid="{D1FEA24D-72FD-4857-BDFD-F1091F2A5C33}"/>
    <cellStyle name="Normal 2 5 20 2 2" xfId="5149" xr:uid="{E114B1AC-96E5-42F7-9BC6-05EAC8F0B224}"/>
    <cellStyle name="Normal 2 5 20 2 2 2" xfId="13979" xr:uid="{B7D8BF0C-55AF-4BFD-83DD-F7968FDD5852}"/>
    <cellStyle name="Normal 2 5 20 2 3" xfId="5150" xr:uid="{2DEA1AFE-4EA6-4045-AA78-2BE2E8831062}"/>
    <cellStyle name="Normal 2 5 20 2 3 2" xfId="13980" xr:uid="{8FB1530C-93E3-4271-8F08-6B27CA1B8922}"/>
    <cellStyle name="Normal 2 5 20 2 4" xfId="13978" xr:uid="{94FDEB2B-A37E-4782-9183-A1A98C6BC4FD}"/>
    <cellStyle name="Normal 2 5 20 3" xfId="5151" xr:uid="{6C6C8127-5BC6-4CA5-8564-08A2B394112F}"/>
    <cellStyle name="Normal 2 5 20 3 2" xfId="13981" xr:uid="{2E1EF0C0-C3BD-4B18-ABDA-77A401E8C8B4}"/>
    <cellStyle name="Normal 2 5 20 4" xfId="5152" xr:uid="{EDE8B254-710F-4C8A-B1C0-864CEB2E004E}"/>
    <cellStyle name="Normal 2 5 20 4 2" xfId="13982" xr:uid="{FC95DFC4-BD39-4367-9889-29C9835B0E65}"/>
    <cellStyle name="Normal 2 5 20 5" xfId="13977" xr:uid="{291C9539-EB16-416F-AA2B-543211F76A0F}"/>
    <cellStyle name="Normal 2 5 21" xfId="5153" xr:uid="{CA7D346D-9FF9-412D-BD79-A71380BEF4D6}"/>
    <cellStyle name="Normal 2 5 21 2" xfId="5154" xr:uid="{9084BAA3-3AB5-419F-B4FE-F1C5F97AB129}"/>
    <cellStyle name="Normal 2 5 21 2 2" xfId="5155" xr:uid="{88B590BE-D21F-423F-B39B-84CFF2DE1B62}"/>
    <cellStyle name="Normal 2 5 21 2 2 2" xfId="13985" xr:uid="{0EB71515-8A10-4DE5-8222-05AFAD744831}"/>
    <cellStyle name="Normal 2 5 21 2 3" xfId="5156" xr:uid="{889B7157-8AAE-4508-A978-A497DD9963BA}"/>
    <cellStyle name="Normal 2 5 21 2 3 2" xfId="13986" xr:uid="{0CFA5758-45D8-4A03-AE5C-CACCC2703F32}"/>
    <cellStyle name="Normal 2 5 21 2 4" xfId="13984" xr:uid="{9D058C92-7DE7-4232-BD45-0385A58B8A8A}"/>
    <cellStyle name="Normal 2 5 21 3" xfId="5157" xr:uid="{21F84C37-B21D-4C4C-B520-9AD8DA2955D6}"/>
    <cellStyle name="Normal 2 5 21 3 2" xfId="13987" xr:uid="{FE7994D2-FE26-4D83-B65D-E3117BF8483C}"/>
    <cellStyle name="Normal 2 5 21 4" xfId="5158" xr:uid="{A7983DF4-704B-432A-B0FA-A3DE79F034CD}"/>
    <cellStyle name="Normal 2 5 21 4 2" xfId="13988" xr:uid="{22BB1CB9-5350-422B-A6F8-11B821406757}"/>
    <cellStyle name="Normal 2 5 21 5" xfId="13983" xr:uid="{74B4E2DE-3CA4-4B96-B4BA-C29196E35ABF}"/>
    <cellStyle name="Normal 2 5 22" xfId="5159" xr:uid="{EA388388-9417-4DAE-9EF5-8A088E8BC51C}"/>
    <cellStyle name="Normal 2 5 22 2" xfId="5160" xr:uid="{B5E08023-0C8A-425F-A8C9-877AD36DD568}"/>
    <cellStyle name="Normal 2 5 22 2 2" xfId="5161" xr:uid="{6A9C85C1-A766-4877-B058-26838570A606}"/>
    <cellStyle name="Normal 2 5 22 2 2 2" xfId="13991" xr:uid="{82970C59-51B8-4656-9782-01CFC7E1466A}"/>
    <cellStyle name="Normal 2 5 22 2 3" xfId="5162" xr:uid="{DE5BF3D7-C37C-404F-AD24-6ECBB5C88C16}"/>
    <cellStyle name="Normal 2 5 22 2 3 2" xfId="13992" xr:uid="{3558AA2B-2E7F-4BC1-BA34-3A2D80E6B921}"/>
    <cellStyle name="Normal 2 5 22 2 4" xfId="13990" xr:uid="{B4CF3575-8F7F-49E9-9C20-83B6B7CC7461}"/>
    <cellStyle name="Normal 2 5 22 3" xfId="5163" xr:uid="{02B030CF-7002-4EC1-81BC-B3AD9302F8FB}"/>
    <cellStyle name="Normal 2 5 22 3 2" xfId="13993" xr:uid="{D43948EE-6FBD-4BF5-B334-CBFC6FB74BEE}"/>
    <cellStyle name="Normal 2 5 22 4" xfId="5164" xr:uid="{33C9D247-C7B2-4229-9836-75B41F8E08ED}"/>
    <cellStyle name="Normal 2 5 22 4 2" xfId="13994" xr:uid="{D53EB4EC-CB77-4F1D-AD17-6B19B6237D02}"/>
    <cellStyle name="Normal 2 5 22 5" xfId="13989" xr:uid="{83321535-7C8B-4F12-A6B9-83A73F563CB3}"/>
    <cellStyle name="Normal 2 5 23" xfId="5165" xr:uid="{DD8A33FB-CDDB-4E87-A136-0A5D679BA3C8}"/>
    <cellStyle name="Normal 2 5 23 2" xfId="5166" xr:uid="{F1BC10C1-DA7F-47A7-8DF2-317D22F7E00E}"/>
    <cellStyle name="Normal 2 5 23 2 2" xfId="5167" xr:uid="{2FD581C9-A42C-463B-B424-E6D0B5189FB2}"/>
    <cellStyle name="Normal 2 5 23 2 2 2" xfId="13997" xr:uid="{7E22CDC1-1C9B-4286-AE35-58B9DF64DA1C}"/>
    <cellStyle name="Normal 2 5 23 2 3" xfId="5168" xr:uid="{0104D402-90AC-4ABB-BD4E-E1E4087372BD}"/>
    <cellStyle name="Normal 2 5 23 2 3 2" xfId="13998" xr:uid="{96AC2BE6-2607-4A52-86A2-6C1E84C7BE92}"/>
    <cellStyle name="Normal 2 5 23 2 4" xfId="13996" xr:uid="{8ECDDDE2-EFC1-4B1B-B99D-F38183EEB5A7}"/>
    <cellStyle name="Normal 2 5 23 3" xfId="5169" xr:uid="{35B88CF7-1072-4C05-BF64-F7E9835B6070}"/>
    <cellStyle name="Normal 2 5 23 3 2" xfId="13999" xr:uid="{7F15D56E-DFBC-4EC5-9593-1803C7D27BE5}"/>
    <cellStyle name="Normal 2 5 23 4" xfId="5170" xr:uid="{CAD96250-B61F-4A14-9CA0-BAF4FCF70C62}"/>
    <cellStyle name="Normal 2 5 23 4 2" xfId="14000" xr:uid="{98DCBE49-BD2E-442B-A72E-E9FA41A8592B}"/>
    <cellStyle name="Normal 2 5 23 5" xfId="13995" xr:uid="{0626F2C9-9AEA-4254-B312-673063DFD358}"/>
    <cellStyle name="Normal 2 5 24" xfId="5171" xr:uid="{C65A050C-6D02-4926-BCF1-90AE9DBC9F31}"/>
    <cellStyle name="Normal 2 5 24 2" xfId="5172" xr:uid="{E8A36E09-3811-4C90-8524-79104BACE24C}"/>
    <cellStyle name="Normal 2 5 24 2 2" xfId="5173" xr:uid="{EC68DDD8-FF2B-4A2C-AE8C-45B7CC68B33A}"/>
    <cellStyle name="Normal 2 5 24 2 2 2" xfId="14003" xr:uid="{96D39BA4-3AC7-4B71-A19B-C5AEA797FD67}"/>
    <cellStyle name="Normal 2 5 24 2 3" xfId="5174" xr:uid="{0A6CA5A4-B068-4B6D-8336-445E4CDEB28A}"/>
    <cellStyle name="Normal 2 5 24 2 3 2" xfId="14004" xr:uid="{99C190EC-6909-4E5A-B344-DAE70D8573EF}"/>
    <cellStyle name="Normal 2 5 24 2 4" xfId="14002" xr:uid="{3B29E078-C31C-46CF-8994-3016778AB7E2}"/>
    <cellStyle name="Normal 2 5 24 3" xfId="5175" xr:uid="{1B3EC3BF-7870-47BD-A527-74BEE0E10152}"/>
    <cellStyle name="Normal 2 5 24 3 2" xfId="14005" xr:uid="{D50A1C90-C309-42DE-8EFA-057914FCC480}"/>
    <cellStyle name="Normal 2 5 24 4" xfId="5176" xr:uid="{339873A8-E024-4A83-A174-5CAEFBBF1D52}"/>
    <cellStyle name="Normal 2 5 24 4 2" xfId="14006" xr:uid="{F3EF847C-351D-46FC-BE5F-985246AFEA36}"/>
    <cellStyle name="Normal 2 5 24 5" xfId="14001" xr:uid="{4AFF5ACD-F94D-4E0D-91FC-20391876D684}"/>
    <cellStyle name="Normal 2 5 25" xfId="5177" xr:uid="{F5E0FB90-F6F9-4615-8FA2-F9C34F4EDB0B}"/>
    <cellStyle name="Normal 2 5 25 2" xfId="5178" xr:uid="{04CF964D-EC8D-435E-9BC1-4647F492C3D5}"/>
    <cellStyle name="Normal 2 5 25 2 2" xfId="5179" xr:uid="{5BEADB5B-830E-412A-A190-8EF92DB94699}"/>
    <cellStyle name="Normal 2 5 25 2 2 2" xfId="14009" xr:uid="{131575AA-0546-44F0-8CB3-5130DAF6BA84}"/>
    <cellStyle name="Normal 2 5 25 2 3" xfId="5180" xr:uid="{595B884A-7ADD-4A3B-9C09-616C0F641AA0}"/>
    <cellStyle name="Normal 2 5 25 2 3 2" xfId="14010" xr:uid="{FD41B3C0-CDEC-4381-8CA2-8AD9264C77DA}"/>
    <cellStyle name="Normal 2 5 25 2 4" xfId="14008" xr:uid="{2C4FA0CB-36D6-4194-8136-44EA53DF6BEC}"/>
    <cellStyle name="Normal 2 5 25 3" xfId="5181" xr:uid="{F2F9AED6-87D0-4921-993E-2D6ADF6468E5}"/>
    <cellStyle name="Normal 2 5 25 3 2" xfId="14011" xr:uid="{BE0BD89F-21AB-4337-8296-41124662976F}"/>
    <cellStyle name="Normal 2 5 25 4" xfId="5182" xr:uid="{9EA3EF45-62C0-4914-9259-015FCA4C5C78}"/>
    <cellStyle name="Normal 2 5 25 4 2" xfId="14012" xr:uid="{322CD062-498C-4DA2-B129-BF94F0194489}"/>
    <cellStyle name="Normal 2 5 25 5" xfId="14007" xr:uid="{7698B3E4-4BFC-4C68-90DD-FCD70B007979}"/>
    <cellStyle name="Normal 2 5 26" xfId="5183" xr:uid="{CA9CEA96-9C9F-4302-BD11-1CA4BDA5F189}"/>
    <cellStyle name="Normal 2 5 26 2" xfId="5184" xr:uid="{CC3112B2-07A7-404F-9A0B-1ACB3A620B96}"/>
    <cellStyle name="Normal 2 5 26 2 2" xfId="5185" xr:uid="{24A83976-D28C-4442-8FBA-D512D9C9A11E}"/>
    <cellStyle name="Normal 2 5 26 2 2 2" xfId="14015" xr:uid="{35C1C387-7B10-4871-88E1-29910EA87479}"/>
    <cellStyle name="Normal 2 5 26 2 3" xfId="5186" xr:uid="{611E4822-7492-49D6-82B0-D5F854916650}"/>
    <cellStyle name="Normal 2 5 26 2 3 2" xfId="14016" xr:uid="{722FD8F3-73B3-4E79-BBD7-A3CB7B90EB0E}"/>
    <cellStyle name="Normal 2 5 26 2 4" xfId="14014" xr:uid="{4E4A7630-77EE-4666-9C7B-7354E787F857}"/>
    <cellStyle name="Normal 2 5 26 3" xfId="5187" xr:uid="{E2943E8C-93AF-45E9-832A-0A0242A46D3B}"/>
    <cellStyle name="Normal 2 5 26 3 2" xfId="14017" xr:uid="{45E135A9-A8A4-464F-8BF3-4EA0B1077339}"/>
    <cellStyle name="Normal 2 5 26 4" xfId="5188" xr:uid="{3A7F8F11-106B-405C-9B24-E78F10259E26}"/>
    <cellStyle name="Normal 2 5 26 4 2" xfId="14018" xr:uid="{B9E57B26-BBA5-4E6E-BC88-0217C2188ACC}"/>
    <cellStyle name="Normal 2 5 26 5" xfId="14013" xr:uid="{F6EE885E-47C9-4727-9C0D-0832AAA8FF77}"/>
    <cellStyle name="Normal 2 5 27" xfId="5189" xr:uid="{183D423D-BB28-49E5-8192-EE1BD600E734}"/>
    <cellStyle name="Normal 2 5 27 2" xfId="5190" xr:uid="{06E6E518-B647-4BCE-98AF-AA529E46FD8F}"/>
    <cellStyle name="Normal 2 5 27 2 2" xfId="5191" xr:uid="{83F517D8-8FA1-4991-81D2-41C8FBA2DFAE}"/>
    <cellStyle name="Normal 2 5 27 2 2 2" xfId="14021" xr:uid="{AF4A2D3A-0573-4636-8CC5-137E469BCEFB}"/>
    <cellStyle name="Normal 2 5 27 2 3" xfId="5192" xr:uid="{D43C6E15-B47F-4D17-9D7D-654EF6F48E16}"/>
    <cellStyle name="Normal 2 5 27 2 3 2" xfId="14022" xr:uid="{72B2C87F-5D0E-4C6E-A00A-56295F6EAB19}"/>
    <cellStyle name="Normal 2 5 27 2 4" xfId="14020" xr:uid="{B39EFE28-FCCB-472B-9B99-C832FB3A4B66}"/>
    <cellStyle name="Normal 2 5 27 3" xfId="5193" xr:uid="{99F16798-404C-46FE-900A-7EB79EB66393}"/>
    <cellStyle name="Normal 2 5 27 3 2" xfId="14023" xr:uid="{3C7DA15B-AD25-4635-B8FA-D873D16321A5}"/>
    <cellStyle name="Normal 2 5 27 4" xfId="5194" xr:uid="{E08AFAF6-A574-4764-952C-3A747C4A4E50}"/>
    <cellStyle name="Normal 2 5 27 4 2" xfId="14024" xr:uid="{D6C953FA-C453-48DA-B372-D804A7D584D0}"/>
    <cellStyle name="Normal 2 5 27 5" xfId="14019" xr:uid="{F74BA76D-A515-4A08-91F3-7AC49C8F607A}"/>
    <cellStyle name="Normal 2 5 28" xfId="5195" xr:uid="{F1488F7C-E89E-475B-9827-97C417E0B4AE}"/>
    <cellStyle name="Normal 2 5 28 2" xfId="5196" xr:uid="{9F55F387-8FB1-405E-8AB1-C3C6E286A273}"/>
    <cellStyle name="Normal 2 5 28 2 2" xfId="5197" xr:uid="{A1689D3B-BBF3-4B77-AE82-BEAD2655076A}"/>
    <cellStyle name="Normal 2 5 28 2 2 2" xfId="14027" xr:uid="{7AF76548-8504-4617-9CF5-6FDE7776B9D6}"/>
    <cellStyle name="Normal 2 5 28 2 3" xfId="5198" xr:uid="{B12AB171-2FB2-4E05-8466-E09177BCF69A}"/>
    <cellStyle name="Normal 2 5 28 2 3 2" xfId="14028" xr:uid="{F22E1221-E660-4FFD-9792-DC10713F3BFF}"/>
    <cellStyle name="Normal 2 5 28 2 4" xfId="14026" xr:uid="{C0152DB8-04F9-4408-9F29-04E5E03984FE}"/>
    <cellStyle name="Normal 2 5 28 3" xfId="5199" xr:uid="{9E55DBD5-2DAB-46A4-8B8A-62509558B191}"/>
    <cellStyle name="Normal 2 5 28 3 2" xfId="14029" xr:uid="{24D6428A-E1FA-4ACE-889F-E94A1C19E628}"/>
    <cellStyle name="Normal 2 5 28 4" xfId="5200" xr:uid="{3E2D61FD-E79E-4300-B694-42A7FED4F9DF}"/>
    <cellStyle name="Normal 2 5 28 4 2" xfId="14030" xr:uid="{706142FB-606D-4866-810C-0C9A89857EFB}"/>
    <cellStyle name="Normal 2 5 28 5" xfId="14025" xr:uid="{B323FF8F-1840-4886-9AFB-B91EB4ABF1C4}"/>
    <cellStyle name="Normal 2 5 29" xfId="5201" xr:uid="{4D683A54-1FBD-412B-80C0-3AC8FF715D39}"/>
    <cellStyle name="Normal 2 5 29 2" xfId="5202" xr:uid="{59EC2098-E365-4BF6-9AA4-69A1EA946BBA}"/>
    <cellStyle name="Normal 2 5 29 2 2" xfId="5203" xr:uid="{A1E829AD-EDB2-4DEB-8616-5BCDA9B85072}"/>
    <cellStyle name="Normal 2 5 29 2 2 2" xfId="14033" xr:uid="{99FEC6AF-EDAF-47FD-9723-4936A6DF5CDA}"/>
    <cellStyle name="Normal 2 5 29 2 3" xfId="5204" xr:uid="{CCD7E5DA-5969-41D6-8FD4-6B53F86BD5BC}"/>
    <cellStyle name="Normal 2 5 29 2 3 2" xfId="14034" xr:uid="{241E36A1-387C-47D5-8F4D-A4B787FFCF0A}"/>
    <cellStyle name="Normal 2 5 29 2 4" xfId="14032" xr:uid="{DBB04CD6-398A-4669-84EB-58FF4F1EBDC8}"/>
    <cellStyle name="Normal 2 5 29 3" xfId="5205" xr:uid="{C8B96A81-5C0C-45BF-BA0C-3A14D1827674}"/>
    <cellStyle name="Normal 2 5 29 3 2" xfId="14035" xr:uid="{85EFC20F-F63C-4107-906A-5DC5C4F43E6E}"/>
    <cellStyle name="Normal 2 5 29 4" xfId="5206" xr:uid="{DF8A5459-FF78-4B02-9079-C26EA92EE461}"/>
    <cellStyle name="Normal 2 5 29 4 2" xfId="14036" xr:uid="{D4C3BE09-9CC6-468F-9A6C-61D5B130A967}"/>
    <cellStyle name="Normal 2 5 29 5" xfId="14031" xr:uid="{6CF3AF84-37B3-43B9-8EA5-AAE5E09BDDD2}"/>
    <cellStyle name="Normal 2 5 3" xfId="5207" xr:uid="{BE33C9C1-E1BA-490E-97E6-D99D35496DC8}"/>
    <cellStyle name="Normal 2 5 3 10" xfId="5208" xr:uid="{5D1151E7-EAA1-4B82-8CF0-8CE86074DCB5}"/>
    <cellStyle name="Normal 2 5 3 10 2" xfId="5209" xr:uid="{B5886114-7C1E-4670-BCA5-2968884E6354}"/>
    <cellStyle name="Normal 2 5 3 10 2 2" xfId="5210" xr:uid="{BC4874D7-6B69-4766-8BC0-A727614F21C1}"/>
    <cellStyle name="Normal 2 5 3 10 2 2 2" xfId="14040" xr:uid="{B4D6CE78-273C-45D4-81D7-CB178639AB8A}"/>
    <cellStyle name="Normal 2 5 3 10 2 3" xfId="5211" xr:uid="{481BE0E4-AC70-450B-91C8-61C315D20ED7}"/>
    <cellStyle name="Normal 2 5 3 10 2 3 2" xfId="14041" xr:uid="{185F6D7B-2B9E-45EC-B20E-322ADB5E8974}"/>
    <cellStyle name="Normal 2 5 3 10 2 4" xfId="14039" xr:uid="{FCECF4DF-1E26-490C-AFB2-68F4D0DD9C7B}"/>
    <cellStyle name="Normal 2 5 3 10 3" xfId="5212" xr:uid="{A36A9D55-E1DD-4CA0-958E-3A3B6BD23C19}"/>
    <cellStyle name="Normal 2 5 3 10 3 2" xfId="14042" xr:uid="{F1B7E645-FA14-44FF-B33D-488B0BE8B8A1}"/>
    <cellStyle name="Normal 2 5 3 10 4" xfId="5213" xr:uid="{46E0BCB8-AEB5-414C-9B14-7128C2A6582E}"/>
    <cellStyle name="Normal 2 5 3 10 4 2" xfId="14043" xr:uid="{389ABD4A-BB92-4B3B-8DD7-AF905AB43EC5}"/>
    <cellStyle name="Normal 2 5 3 10 5" xfId="14038" xr:uid="{62893739-80AE-43E8-8FC9-978DEECDC676}"/>
    <cellStyle name="Normal 2 5 3 11" xfId="5214" xr:uid="{A8D95F86-C586-43AE-9B86-E503355AD159}"/>
    <cellStyle name="Normal 2 5 3 11 2" xfId="5215" xr:uid="{26F18DF5-32A8-41E6-84E5-3C6EB073C396}"/>
    <cellStyle name="Normal 2 5 3 11 2 2" xfId="5216" xr:uid="{DE5DE019-351B-4BE8-A888-0AE60C5719FB}"/>
    <cellStyle name="Normal 2 5 3 11 2 2 2" xfId="14046" xr:uid="{53C237F5-356E-4D58-96DD-A54B5B734B53}"/>
    <cellStyle name="Normal 2 5 3 11 2 3" xfId="5217" xr:uid="{A8E5C5B8-F3F4-4CE2-A669-CF2F5EC93DCC}"/>
    <cellStyle name="Normal 2 5 3 11 2 3 2" xfId="14047" xr:uid="{84D9A553-DA2D-4DD6-B324-4152729F38A7}"/>
    <cellStyle name="Normal 2 5 3 11 2 4" xfId="14045" xr:uid="{395D0826-AB5B-4C16-B04C-52031002130C}"/>
    <cellStyle name="Normal 2 5 3 11 3" xfId="5218" xr:uid="{E626AA57-F9A0-4092-8122-7F5B71C1B72B}"/>
    <cellStyle name="Normal 2 5 3 11 3 2" xfId="14048" xr:uid="{C27C19DB-A6B8-47D7-AD27-BEA82691DE79}"/>
    <cellStyle name="Normal 2 5 3 11 4" xfId="5219" xr:uid="{4D906C36-3B5B-4DFA-A4DD-FC6E1B95C069}"/>
    <cellStyle name="Normal 2 5 3 11 4 2" xfId="14049" xr:uid="{5A62E11B-E380-4904-ADA4-4BA098CA90CD}"/>
    <cellStyle name="Normal 2 5 3 11 5" xfId="14044" xr:uid="{BDC4B30C-D3DF-438D-B984-8BA9E0215A28}"/>
    <cellStyle name="Normal 2 5 3 12" xfId="5220" xr:uid="{AEA2E6DF-EE0D-45F9-BD58-CC6AC7B5990C}"/>
    <cellStyle name="Normal 2 5 3 12 2" xfId="5221" xr:uid="{98E65557-311D-46C6-9CEF-D11042862D1F}"/>
    <cellStyle name="Normal 2 5 3 12 2 2" xfId="5222" xr:uid="{AA01CA8D-1CBE-4F37-95DE-B5B530AA5B62}"/>
    <cellStyle name="Normal 2 5 3 12 2 2 2" xfId="14052" xr:uid="{4FD072FA-2770-4AA4-8E25-931345288E5C}"/>
    <cellStyle name="Normal 2 5 3 12 2 3" xfId="5223" xr:uid="{A802983D-67B4-4C02-A54B-1D87653A5D09}"/>
    <cellStyle name="Normal 2 5 3 12 2 3 2" xfId="14053" xr:uid="{5BF0FB11-0B41-46B4-83C9-59E7EEACCB38}"/>
    <cellStyle name="Normal 2 5 3 12 2 4" xfId="14051" xr:uid="{8F77D680-11AF-4F82-8BA2-B6C7CCEF4775}"/>
    <cellStyle name="Normal 2 5 3 12 3" xfId="5224" xr:uid="{12F1A020-A08C-433C-8633-BE7E5CE4A2F8}"/>
    <cellStyle name="Normal 2 5 3 12 3 2" xfId="14054" xr:uid="{357103B6-BA9A-4ED6-847A-68BB7184C99B}"/>
    <cellStyle name="Normal 2 5 3 12 4" xfId="5225" xr:uid="{55C90C14-056E-4F15-85B5-3EA58F3D9AB4}"/>
    <cellStyle name="Normal 2 5 3 12 4 2" xfId="14055" xr:uid="{A3B9CF69-4EAC-4813-B722-C09DE110BD90}"/>
    <cellStyle name="Normal 2 5 3 12 5" xfId="14050" xr:uid="{69338129-D227-401A-A866-AAC1213DB947}"/>
    <cellStyle name="Normal 2 5 3 13" xfId="5226" xr:uid="{6CA4D0AD-676E-4256-B09C-59A7AB1CBE82}"/>
    <cellStyle name="Normal 2 5 3 13 2" xfId="5227" xr:uid="{086144A4-48CC-44E0-B400-A0BFC1DC5BA6}"/>
    <cellStyle name="Normal 2 5 3 13 2 2" xfId="5228" xr:uid="{17120498-87CE-4821-A4D0-F1C7C9B30304}"/>
    <cellStyle name="Normal 2 5 3 13 2 2 2" xfId="14058" xr:uid="{2E1081BF-E0ED-45DE-A750-6F87B28B42DC}"/>
    <cellStyle name="Normal 2 5 3 13 2 3" xfId="5229" xr:uid="{B379F622-CF7D-44DA-848B-F417A6C53AB8}"/>
    <cellStyle name="Normal 2 5 3 13 2 3 2" xfId="14059" xr:uid="{1A84EB21-66D1-40A1-8F59-2E4B68C92A02}"/>
    <cellStyle name="Normal 2 5 3 13 2 4" xfId="14057" xr:uid="{B72E27F3-3FE6-4D10-B24D-907BB698B5F8}"/>
    <cellStyle name="Normal 2 5 3 13 3" xfId="5230" xr:uid="{AA2360C7-667A-44EB-98F7-15C912BA9126}"/>
    <cellStyle name="Normal 2 5 3 13 3 2" xfId="14060" xr:uid="{626BD30F-AD18-41CE-B5B4-7C1A3D5D3362}"/>
    <cellStyle name="Normal 2 5 3 13 4" xfId="5231" xr:uid="{903A55CC-DEBA-45A7-B642-79766D74689B}"/>
    <cellStyle name="Normal 2 5 3 13 4 2" xfId="14061" xr:uid="{3925A5C1-FF05-470F-A753-0D8944E2F61C}"/>
    <cellStyle name="Normal 2 5 3 13 5" xfId="14056" xr:uid="{7B5EC973-0006-449A-8982-DFEF32971978}"/>
    <cellStyle name="Normal 2 5 3 14" xfId="5232" xr:uid="{EA22D0EA-8530-4718-8099-5557D7C4DB5C}"/>
    <cellStyle name="Normal 2 5 3 14 2" xfId="5233" xr:uid="{F0595AD1-AF56-45AA-8EBE-EBFF6C82B5A1}"/>
    <cellStyle name="Normal 2 5 3 14 2 2" xfId="5234" xr:uid="{087E3F41-B007-49F2-8F22-C391E8F7AFDC}"/>
    <cellStyle name="Normal 2 5 3 14 2 2 2" xfId="14064" xr:uid="{4A268F51-EE8A-4D77-A7B4-F955F87D4367}"/>
    <cellStyle name="Normal 2 5 3 14 2 3" xfId="5235" xr:uid="{9754096E-5911-4BE6-A41B-522750097598}"/>
    <cellStyle name="Normal 2 5 3 14 2 3 2" xfId="14065" xr:uid="{C1060782-A678-4EDF-BC30-4D1CF1D9F7E6}"/>
    <cellStyle name="Normal 2 5 3 14 2 4" xfId="14063" xr:uid="{7F2D6B9D-EAEC-47A4-8D7A-DF252C1ACFE1}"/>
    <cellStyle name="Normal 2 5 3 14 3" xfId="5236" xr:uid="{37541285-54E7-409E-80CC-E0FCB4D29A54}"/>
    <cellStyle name="Normal 2 5 3 14 3 2" xfId="14066" xr:uid="{61098775-0986-41C7-9541-E617E8A899A2}"/>
    <cellStyle name="Normal 2 5 3 14 4" xfId="5237" xr:uid="{BB7F29BD-E89A-4089-904C-CBA62475E75F}"/>
    <cellStyle name="Normal 2 5 3 14 4 2" xfId="14067" xr:uid="{D4F45AB3-9E51-44EA-ACB0-558A29DD132F}"/>
    <cellStyle name="Normal 2 5 3 14 5" xfId="14062" xr:uid="{7F30FCF8-6AB9-497D-B444-1C5615C00EBE}"/>
    <cellStyle name="Normal 2 5 3 15" xfId="5238" xr:uid="{519FEBBB-44E1-43B2-8E97-F2421489EE60}"/>
    <cellStyle name="Normal 2 5 3 15 2" xfId="5239" xr:uid="{F36C5582-2159-45A9-B624-C4E41C195F30}"/>
    <cellStyle name="Normal 2 5 3 15 2 2" xfId="5240" xr:uid="{C0E92114-8688-49AC-887B-73D72E0D71F6}"/>
    <cellStyle name="Normal 2 5 3 15 2 2 2" xfId="14070" xr:uid="{8FA38E59-6884-498E-9BBC-8A4F1E257872}"/>
    <cellStyle name="Normal 2 5 3 15 2 3" xfId="5241" xr:uid="{4411D2A6-EAC7-4911-A624-481EE0FA4E90}"/>
    <cellStyle name="Normal 2 5 3 15 2 3 2" xfId="14071" xr:uid="{F360BEBC-ECAB-45AB-8EE5-1C5DF4A77B7F}"/>
    <cellStyle name="Normal 2 5 3 15 2 4" xfId="14069" xr:uid="{DD19F0E1-CC7F-4204-8B43-E1C7B471D931}"/>
    <cellStyle name="Normal 2 5 3 15 3" xfId="5242" xr:uid="{CEE3BF5A-47CC-4E22-9A56-0528A7A62A68}"/>
    <cellStyle name="Normal 2 5 3 15 3 2" xfId="14072" xr:uid="{F26771C6-7CA4-4CB0-94AA-7CAEA6E5C9C2}"/>
    <cellStyle name="Normal 2 5 3 15 4" xfId="5243" xr:uid="{950221BC-ED1E-49C5-A12F-D093EF5D4303}"/>
    <cellStyle name="Normal 2 5 3 15 4 2" xfId="14073" xr:uid="{BEE1C715-85D5-4F53-B885-55D8224933A3}"/>
    <cellStyle name="Normal 2 5 3 15 5" xfId="14068" xr:uid="{F19EBC3C-839D-48F9-B01E-20A578558827}"/>
    <cellStyle name="Normal 2 5 3 16" xfId="5244" xr:uid="{57E66A47-83DC-4290-AB83-6A5613594491}"/>
    <cellStyle name="Normal 2 5 3 16 2" xfId="5245" xr:uid="{CF77F757-2469-477E-80D6-96AA04E559A9}"/>
    <cellStyle name="Normal 2 5 3 16 2 2" xfId="5246" xr:uid="{BB1C5326-FB17-4D50-A5B0-4E40E960FA1A}"/>
    <cellStyle name="Normal 2 5 3 16 2 2 2" xfId="14076" xr:uid="{1490542D-2EB8-4395-AB35-BF6BFE3D692D}"/>
    <cellStyle name="Normal 2 5 3 16 2 3" xfId="5247" xr:uid="{E257570D-E276-4ADB-9756-A7FC5CD42969}"/>
    <cellStyle name="Normal 2 5 3 16 2 3 2" xfId="14077" xr:uid="{68794E51-90F9-431D-A0DA-1A8522A0FF57}"/>
    <cellStyle name="Normal 2 5 3 16 2 4" xfId="14075" xr:uid="{C045237D-B002-4450-8E53-864B2981EAAD}"/>
    <cellStyle name="Normal 2 5 3 16 3" xfId="5248" xr:uid="{F45439CA-3826-4CE2-BEF8-5AD1E95C03CB}"/>
    <cellStyle name="Normal 2 5 3 16 3 2" xfId="14078" xr:uid="{17D61955-B959-4834-84B1-79145FE62999}"/>
    <cellStyle name="Normal 2 5 3 16 4" xfId="5249" xr:uid="{42DE33E0-5395-4C15-AA58-45A1998FB5EB}"/>
    <cellStyle name="Normal 2 5 3 16 4 2" xfId="14079" xr:uid="{A7B9305E-B313-4BAB-A4CF-BDC595FC5B7B}"/>
    <cellStyle name="Normal 2 5 3 16 5" xfId="14074" xr:uid="{0A72743D-4228-41B6-A0C5-229A0E6ED6A0}"/>
    <cellStyle name="Normal 2 5 3 17" xfId="5250" xr:uid="{F6822B01-BD88-4D49-9030-45A9E9C40C04}"/>
    <cellStyle name="Normal 2 5 3 17 2" xfId="5251" xr:uid="{EF0BCD1F-A5D5-439F-B0C9-E707A1705B9D}"/>
    <cellStyle name="Normal 2 5 3 17 2 2" xfId="5252" xr:uid="{DB048774-AE18-4711-8C34-91E1B41BA5BB}"/>
    <cellStyle name="Normal 2 5 3 17 2 2 2" xfId="14082" xr:uid="{607CB624-D768-4B47-88C2-14699C4FDE83}"/>
    <cellStyle name="Normal 2 5 3 17 2 3" xfId="5253" xr:uid="{027CF1C5-95B3-46D0-9F7B-50C5FFBC0B1C}"/>
    <cellStyle name="Normal 2 5 3 17 2 3 2" xfId="14083" xr:uid="{F4A3BF87-4F69-480F-BD58-EE52BAE67212}"/>
    <cellStyle name="Normal 2 5 3 17 2 4" xfId="14081" xr:uid="{6E186690-BB25-4227-8253-64451A88067A}"/>
    <cellStyle name="Normal 2 5 3 17 3" xfId="5254" xr:uid="{ADBB51A0-0901-48E2-ADFC-0FA279396CF0}"/>
    <cellStyle name="Normal 2 5 3 17 3 2" xfId="14084" xr:uid="{CD46464D-C524-4A7C-AD9E-3E1729A50590}"/>
    <cellStyle name="Normal 2 5 3 17 4" xfId="5255" xr:uid="{952B87B3-7802-41B7-810B-C43F41164EF4}"/>
    <cellStyle name="Normal 2 5 3 17 4 2" xfId="14085" xr:uid="{D496F516-160E-4767-973D-490BEB3C031C}"/>
    <cellStyle name="Normal 2 5 3 17 5" xfId="14080" xr:uid="{E779524A-FD41-4DE5-A3B0-C26627E50C27}"/>
    <cellStyle name="Normal 2 5 3 18" xfId="5256" xr:uid="{D984C2EB-FD64-4F7D-9F87-459E6FF6F895}"/>
    <cellStyle name="Normal 2 5 3 18 2" xfId="5257" xr:uid="{C1E55F49-9B54-482C-8318-19A117F970BC}"/>
    <cellStyle name="Normal 2 5 3 18 2 2" xfId="5258" xr:uid="{52DC3DFB-9E76-4E9F-ACC3-8BB37CBDB015}"/>
    <cellStyle name="Normal 2 5 3 18 2 2 2" xfId="14088" xr:uid="{0AA161AB-74ED-4E82-82F2-A214B64DCF54}"/>
    <cellStyle name="Normal 2 5 3 18 2 3" xfId="5259" xr:uid="{F96AEE18-135F-4E04-9C70-33C744F28618}"/>
    <cellStyle name="Normal 2 5 3 18 2 3 2" xfId="14089" xr:uid="{3EF96BB5-1995-46B8-B101-D12D0BAC876E}"/>
    <cellStyle name="Normal 2 5 3 18 2 4" xfId="14087" xr:uid="{550BE391-4BE4-4B28-8C2F-6A4F003ED8AF}"/>
    <cellStyle name="Normal 2 5 3 18 3" xfId="5260" xr:uid="{89DF0CB7-F5E9-4304-B009-4D207C32E056}"/>
    <cellStyle name="Normal 2 5 3 18 3 2" xfId="14090" xr:uid="{E38FF9CB-CA39-4594-9685-AD18C44BAC0B}"/>
    <cellStyle name="Normal 2 5 3 18 4" xfId="5261" xr:uid="{8EB48EF1-D600-45E1-8798-F7A4A0DE6F23}"/>
    <cellStyle name="Normal 2 5 3 18 4 2" xfId="14091" xr:uid="{C3372952-5407-4786-ADF9-A75682A67EB6}"/>
    <cellStyle name="Normal 2 5 3 18 5" xfId="14086" xr:uid="{83A3B2EA-1C15-4492-9FB6-85E20C9DC2C0}"/>
    <cellStyle name="Normal 2 5 3 19" xfId="5262" xr:uid="{BE5246AB-05A7-426D-A59E-B13372D86FD8}"/>
    <cellStyle name="Normal 2 5 3 19 2" xfId="5263" xr:uid="{0573EECA-5CB0-4FFF-B8CD-A4479D101A8B}"/>
    <cellStyle name="Normal 2 5 3 19 2 2" xfId="5264" xr:uid="{496B9770-57D2-4EA9-9838-DD684D1CE88C}"/>
    <cellStyle name="Normal 2 5 3 19 2 2 2" xfId="14094" xr:uid="{86870F82-5FD4-4A46-A273-5BA288BAA5EC}"/>
    <cellStyle name="Normal 2 5 3 19 2 3" xfId="5265" xr:uid="{720A692D-AC2B-4DA2-AD70-784E191D19D5}"/>
    <cellStyle name="Normal 2 5 3 19 2 3 2" xfId="14095" xr:uid="{D2818345-2C77-4A1C-91C3-78FEC2382F36}"/>
    <cellStyle name="Normal 2 5 3 19 2 4" xfId="14093" xr:uid="{C0AD7ED9-3434-4F11-A5C2-C6C29AB18AB2}"/>
    <cellStyle name="Normal 2 5 3 19 3" xfId="5266" xr:uid="{73C31713-4567-4944-AE32-B42E668E115C}"/>
    <cellStyle name="Normal 2 5 3 19 3 2" xfId="14096" xr:uid="{E51B48C7-3399-4F0D-B349-2A73E2ACFF99}"/>
    <cellStyle name="Normal 2 5 3 19 4" xfId="5267" xr:uid="{E82235E1-E32C-4C0E-9CEC-EBB63E22FBB6}"/>
    <cellStyle name="Normal 2 5 3 19 4 2" xfId="14097" xr:uid="{6B05E015-D46B-4BAA-9E2C-F7285A2ECC83}"/>
    <cellStyle name="Normal 2 5 3 19 5" xfId="14092" xr:uid="{793F060A-71C0-40C8-8EA5-61B6A8498706}"/>
    <cellStyle name="Normal 2 5 3 2" xfId="5268" xr:uid="{68B15C25-8949-4907-AD28-30906AEA69D9}"/>
    <cellStyle name="Normal 2 5 3 2 2" xfId="5269" xr:uid="{2C0404FA-CF5F-46E3-9847-59BAB84C5239}"/>
    <cellStyle name="Normal 2 5 3 2 2 2" xfId="5270" xr:uid="{632B907C-98F3-4082-9829-C4A453E95010}"/>
    <cellStyle name="Normal 2 5 3 2 2 2 2" xfId="14100" xr:uid="{11E092C9-2C41-4AAC-8545-6F252793D0A8}"/>
    <cellStyle name="Normal 2 5 3 2 2 3" xfId="5271" xr:uid="{7145A339-BB54-492B-B84B-AD2F682CA9F5}"/>
    <cellStyle name="Normal 2 5 3 2 2 3 2" xfId="14101" xr:uid="{CACBCBF5-E9D2-430D-8595-06B8CB46E962}"/>
    <cellStyle name="Normal 2 5 3 2 2 4" xfId="14099" xr:uid="{93FA4D2F-4340-448D-A53A-6C4B5F2690D7}"/>
    <cellStyle name="Normal 2 5 3 2 3" xfId="5272" xr:uid="{C6325E62-2604-46EB-8E21-400047377CBF}"/>
    <cellStyle name="Normal 2 5 3 2 3 2" xfId="14102" xr:uid="{23AE79C5-7480-4261-BA55-988AAA66022C}"/>
    <cellStyle name="Normal 2 5 3 2 4" xfId="5273" xr:uid="{485BB2BF-E0B3-4C57-A934-96D511EA1FC5}"/>
    <cellStyle name="Normal 2 5 3 2 4 2" xfId="14103" xr:uid="{27EC69CF-4858-41BE-B8D7-B1460B9E2869}"/>
    <cellStyle name="Normal 2 5 3 2 5" xfId="14098" xr:uid="{90638B0A-1D8B-482B-B3A6-090949C7BB8C}"/>
    <cellStyle name="Normal 2 5 3 20" xfId="5274" xr:uid="{11629C62-D771-4BB8-8463-BF27A4FA1459}"/>
    <cellStyle name="Normal 2 5 3 20 2" xfId="5275" xr:uid="{B485AFE4-029C-4A7F-A80D-CAE74149B880}"/>
    <cellStyle name="Normal 2 5 3 20 2 2" xfId="5276" xr:uid="{5E319CB5-F48B-483A-BA61-7D8D965CE44C}"/>
    <cellStyle name="Normal 2 5 3 20 2 2 2" xfId="14106" xr:uid="{DE9AE45C-8235-451A-B1C4-5B099F056B66}"/>
    <cellStyle name="Normal 2 5 3 20 2 3" xfId="5277" xr:uid="{96B9620B-6AFD-43E7-93AC-088582ED7BC2}"/>
    <cellStyle name="Normal 2 5 3 20 2 3 2" xfId="14107" xr:uid="{3E3DEF20-5F20-4EF9-9F33-7AE18C1EE616}"/>
    <cellStyle name="Normal 2 5 3 20 2 4" xfId="14105" xr:uid="{69CE0672-0836-484D-93F7-F90664FB75ED}"/>
    <cellStyle name="Normal 2 5 3 20 3" xfId="5278" xr:uid="{08591903-FDBE-4C84-AB84-53B1D17CF11D}"/>
    <cellStyle name="Normal 2 5 3 20 3 2" xfId="14108" xr:uid="{A8326AFF-2526-4FCD-A944-C5266F555076}"/>
    <cellStyle name="Normal 2 5 3 20 4" xfId="5279" xr:uid="{B9B9C42B-BA9A-4F2A-A8E3-351131E2EFF5}"/>
    <cellStyle name="Normal 2 5 3 20 4 2" xfId="14109" xr:uid="{FA9DCEE2-F3B0-47D3-B618-0AC25AFE668F}"/>
    <cellStyle name="Normal 2 5 3 20 5" xfId="14104" xr:uid="{C101ED10-6DED-418D-866E-5C098E2E56CB}"/>
    <cellStyle name="Normal 2 5 3 21" xfId="5280" xr:uid="{CA508E15-33E8-4AAA-B6A4-9A046D1943AA}"/>
    <cellStyle name="Normal 2 5 3 21 2" xfId="5281" xr:uid="{05177941-7E54-4DD9-B567-ACBA94BBBC3A}"/>
    <cellStyle name="Normal 2 5 3 21 2 2" xfId="5282" xr:uid="{40F49094-F801-438A-9CD3-EEDDBB0FA390}"/>
    <cellStyle name="Normal 2 5 3 21 2 2 2" xfId="14112" xr:uid="{318F27EC-5636-4AA4-AB36-F7E20A2844D8}"/>
    <cellStyle name="Normal 2 5 3 21 2 3" xfId="5283" xr:uid="{131F761C-1B90-4880-8139-BB0FABB3DDAF}"/>
    <cellStyle name="Normal 2 5 3 21 2 3 2" xfId="14113" xr:uid="{7D439AA4-B072-4CFC-8E44-E3B6E4AB0ED3}"/>
    <cellStyle name="Normal 2 5 3 21 2 4" xfId="14111" xr:uid="{2A29492F-33DC-4177-BB8B-BEB1957FF2FC}"/>
    <cellStyle name="Normal 2 5 3 21 3" xfId="5284" xr:uid="{384DFB37-671A-4A5A-BEC9-86F735552D09}"/>
    <cellStyle name="Normal 2 5 3 21 3 2" xfId="14114" xr:uid="{A77CEBCB-D96A-40C4-A301-16F88EF7C2B6}"/>
    <cellStyle name="Normal 2 5 3 21 4" xfId="5285" xr:uid="{D09F80D0-864E-4AB6-8278-57737BAC703D}"/>
    <cellStyle name="Normal 2 5 3 21 4 2" xfId="14115" xr:uid="{31AA05C7-5B15-4E56-8A58-3868F778EC46}"/>
    <cellStyle name="Normal 2 5 3 21 5" xfId="14110" xr:uid="{BBA84A77-21F4-4771-A3BD-0A72C09DF294}"/>
    <cellStyle name="Normal 2 5 3 22" xfId="5286" xr:uid="{77EFF733-E82E-4E8C-A0FC-83CCC1084B00}"/>
    <cellStyle name="Normal 2 5 3 22 2" xfId="5287" xr:uid="{5E416D34-06E0-48CC-8B28-B27F68BFCEFD}"/>
    <cellStyle name="Normal 2 5 3 22 2 2" xfId="5288" xr:uid="{06F4E772-7F6A-49C7-8700-42AEBCC1E05C}"/>
    <cellStyle name="Normal 2 5 3 22 2 2 2" xfId="14118" xr:uid="{0331A5BB-6681-40D6-A07D-E7656AC6144E}"/>
    <cellStyle name="Normal 2 5 3 22 2 3" xfId="5289" xr:uid="{C0866986-A683-459D-B614-42D3A1ADB699}"/>
    <cellStyle name="Normal 2 5 3 22 2 3 2" xfId="14119" xr:uid="{F61D5339-F985-4C31-8714-1D926C6E8294}"/>
    <cellStyle name="Normal 2 5 3 22 2 4" xfId="14117" xr:uid="{2663BDAB-C0BD-45E1-A982-758FC1077A81}"/>
    <cellStyle name="Normal 2 5 3 22 3" xfId="5290" xr:uid="{D1940641-2703-474F-B0FF-347B9104E31C}"/>
    <cellStyle name="Normal 2 5 3 22 3 2" xfId="14120" xr:uid="{6594F9E6-0D3D-43C3-9A10-A585707B33A5}"/>
    <cellStyle name="Normal 2 5 3 22 4" xfId="5291" xr:uid="{EC314180-2B88-465D-8B76-FF1A08EAE57D}"/>
    <cellStyle name="Normal 2 5 3 22 4 2" xfId="14121" xr:uid="{612E0DDC-7C7C-477E-8346-713987F69AA0}"/>
    <cellStyle name="Normal 2 5 3 22 5" xfId="14116" xr:uid="{DACE956D-1A8D-4C57-9EBF-6AF11A020242}"/>
    <cellStyle name="Normal 2 5 3 23" xfId="5292" xr:uid="{0B533693-BA07-4A55-9F21-A29463ECA35F}"/>
    <cellStyle name="Normal 2 5 3 23 2" xfId="5293" xr:uid="{11DC120B-3B00-4FA8-9B5F-68411AC9B9AB}"/>
    <cellStyle name="Normal 2 5 3 23 2 2" xfId="5294" xr:uid="{5DD6EFD8-1E0A-4502-AD80-981C6E2EE54E}"/>
    <cellStyle name="Normal 2 5 3 23 2 2 2" xfId="14124" xr:uid="{C2CDC40A-0852-45D3-AA17-F590E3D38C10}"/>
    <cellStyle name="Normal 2 5 3 23 2 3" xfId="5295" xr:uid="{5382F6D7-0786-4E00-97A2-6B24C15F3D13}"/>
    <cellStyle name="Normal 2 5 3 23 2 3 2" xfId="14125" xr:uid="{87D94C51-9E71-4027-BFD9-5730243F8869}"/>
    <cellStyle name="Normal 2 5 3 23 2 4" xfId="14123" xr:uid="{5584D552-49C8-4697-B06B-39500B84AB12}"/>
    <cellStyle name="Normal 2 5 3 23 3" xfId="5296" xr:uid="{EF8D6BAD-B910-49B6-BAE7-72E7A25C5DCA}"/>
    <cellStyle name="Normal 2 5 3 23 3 2" xfId="14126" xr:uid="{D9FDC942-FCC6-42BC-B18E-1DFAD91F1FB2}"/>
    <cellStyle name="Normal 2 5 3 23 4" xfId="5297" xr:uid="{03799A20-C7DD-4985-8738-BDBD0DF38C9C}"/>
    <cellStyle name="Normal 2 5 3 23 4 2" xfId="14127" xr:uid="{349026B8-112C-4CD4-92EC-3E711ED79EDC}"/>
    <cellStyle name="Normal 2 5 3 23 5" xfId="14122" xr:uid="{753C7DDF-A502-414C-B236-ABD7573D89FA}"/>
    <cellStyle name="Normal 2 5 3 24" xfId="5298" xr:uid="{6876AD3D-9148-49DD-B2C7-72EDF626E5E1}"/>
    <cellStyle name="Normal 2 5 3 24 2" xfId="5299" xr:uid="{82BC0142-DF1E-4773-B00D-F64796A4A25C}"/>
    <cellStyle name="Normal 2 5 3 24 2 2" xfId="5300" xr:uid="{D3AC1EBE-4F8F-4F87-9B04-C7B3421578D3}"/>
    <cellStyle name="Normal 2 5 3 24 2 2 2" xfId="14130" xr:uid="{19E6557E-A5CB-441F-B960-3F859B92F841}"/>
    <cellStyle name="Normal 2 5 3 24 2 3" xfId="5301" xr:uid="{CB40BF4D-2CCB-4F60-BCD3-23BD37E9DDBA}"/>
    <cellStyle name="Normal 2 5 3 24 2 3 2" xfId="14131" xr:uid="{64F4889A-C30A-4F8D-A472-787F806ADBC5}"/>
    <cellStyle name="Normal 2 5 3 24 2 4" xfId="14129" xr:uid="{F9C051CC-F835-48F6-9120-A12F4B038FEB}"/>
    <cellStyle name="Normal 2 5 3 24 3" xfId="5302" xr:uid="{5A973307-0DE3-4AAF-A821-AC8D3CA19745}"/>
    <cellStyle name="Normal 2 5 3 24 3 2" xfId="14132" xr:uid="{330B8A9F-76E4-4866-9212-8494AEEC64AA}"/>
    <cellStyle name="Normal 2 5 3 24 4" xfId="5303" xr:uid="{49FC8D15-257F-422A-884B-2BD1CB62732E}"/>
    <cellStyle name="Normal 2 5 3 24 4 2" xfId="14133" xr:uid="{8342A4A4-2B79-443D-B295-D599F0CD9463}"/>
    <cellStyle name="Normal 2 5 3 24 5" xfId="14128" xr:uid="{99C3C8DD-1942-43D4-A31B-EAE27987D369}"/>
    <cellStyle name="Normal 2 5 3 25" xfId="5304" xr:uid="{61228808-CD33-4FB5-80F3-94E8F878187E}"/>
    <cellStyle name="Normal 2 5 3 25 2" xfId="5305" xr:uid="{210B796C-0B21-471F-A579-AF09FCED46A0}"/>
    <cellStyle name="Normal 2 5 3 25 2 2" xfId="5306" xr:uid="{4F0E5CEF-DA14-48A3-AE98-E039084892AB}"/>
    <cellStyle name="Normal 2 5 3 25 2 2 2" xfId="14136" xr:uid="{306E7585-E610-4514-80C7-2FE245A02B0D}"/>
    <cellStyle name="Normal 2 5 3 25 2 3" xfId="5307" xr:uid="{ECC6523E-F78F-4BCB-B8B8-1DF19E691311}"/>
    <cellStyle name="Normal 2 5 3 25 2 3 2" xfId="14137" xr:uid="{698871D7-1A0B-48ED-9EB5-CE4BB92F4D87}"/>
    <cellStyle name="Normal 2 5 3 25 2 4" xfId="14135" xr:uid="{E7B51C01-5FA9-40EC-892D-AE9C31C7F915}"/>
    <cellStyle name="Normal 2 5 3 25 3" xfId="5308" xr:uid="{FEEFFABC-36DC-430E-A509-3B81B1975141}"/>
    <cellStyle name="Normal 2 5 3 25 3 2" xfId="14138" xr:uid="{7BD12C4E-AF69-4620-BF7E-7D80A9C4FC79}"/>
    <cellStyle name="Normal 2 5 3 25 4" xfId="5309" xr:uid="{0D338D48-1816-4E4F-9AA5-34524EFF2D2F}"/>
    <cellStyle name="Normal 2 5 3 25 4 2" xfId="14139" xr:uid="{F159CA7D-A94D-49EE-A835-0DBBF6535F9A}"/>
    <cellStyle name="Normal 2 5 3 25 5" xfId="14134" xr:uid="{E534DDDA-469B-4745-8A3D-93F9D7ADFF73}"/>
    <cellStyle name="Normal 2 5 3 26" xfId="5310" xr:uid="{DDBA2C6F-E5E6-4790-B253-824C95C4017D}"/>
    <cellStyle name="Normal 2 5 3 26 2" xfId="5311" xr:uid="{D9D7A2A2-77ED-4C28-8884-2A30B37D5F8C}"/>
    <cellStyle name="Normal 2 5 3 26 2 2" xfId="5312" xr:uid="{04FB9CFD-448E-494D-8000-6CEC0BF7A4FB}"/>
    <cellStyle name="Normal 2 5 3 26 2 2 2" xfId="14142" xr:uid="{815E991D-732E-449F-BBF6-FA83B7D7977C}"/>
    <cellStyle name="Normal 2 5 3 26 2 3" xfId="5313" xr:uid="{557D7A31-0ED6-433A-9C6F-7535BB78308A}"/>
    <cellStyle name="Normal 2 5 3 26 2 3 2" xfId="14143" xr:uid="{65E4FA31-62E6-4A77-A707-909908021639}"/>
    <cellStyle name="Normal 2 5 3 26 2 4" xfId="14141" xr:uid="{A0E2408C-4346-435A-85A0-5BC6566CB008}"/>
    <cellStyle name="Normal 2 5 3 26 3" xfId="5314" xr:uid="{FE76B898-2BD8-4498-8030-F5FACDCD57DC}"/>
    <cellStyle name="Normal 2 5 3 26 3 2" xfId="14144" xr:uid="{FC76A055-6B0D-474F-87A7-FF84C6E466F1}"/>
    <cellStyle name="Normal 2 5 3 26 4" xfId="5315" xr:uid="{F8AB3A87-2DD1-42A3-AF18-EE5F56C115B6}"/>
    <cellStyle name="Normal 2 5 3 26 4 2" xfId="14145" xr:uid="{F993438D-99F4-44A5-8F3C-E85AE03ED625}"/>
    <cellStyle name="Normal 2 5 3 26 5" xfId="14140" xr:uid="{1026851B-1A91-4C10-B102-D949119FBD4E}"/>
    <cellStyle name="Normal 2 5 3 27" xfId="5316" xr:uid="{5075700C-2C42-46E7-8D8A-6842882388B8}"/>
    <cellStyle name="Normal 2 5 3 27 2" xfId="5317" xr:uid="{C4E48632-B07B-47C6-8F75-B97AF2D864F6}"/>
    <cellStyle name="Normal 2 5 3 27 2 2" xfId="5318" xr:uid="{054DA693-40A9-45CC-8BC7-D2EB621B3322}"/>
    <cellStyle name="Normal 2 5 3 27 2 2 2" xfId="14148" xr:uid="{B4BFAEAE-C5F6-48FF-8E5A-330A8AA40E03}"/>
    <cellStyle name="Normal 2 5 3 27 2 3" xfId="5319" xr:uid="{08BE3338-1B86-4EB0-8ED9-68F6638F790F}"/>
    <cellStyle name="Normal 2 5 3 27 2 3 2" xfId="14149" xr:uid="{D4BBDE11-FC6D-4F7D-96FC-101578FBA082}"/>
    <cellStyle name="Normal 2 5 3 27 2 4" xfId="14147" xr:uid="{049549F1-71B4-495F-B61D-4C7B1CD9BA83}"/>
    <cellStyle name="Normal 2 5 3 27 3" xfId="5320" xr:uid="{485442C2-7956-4EDE-AC29-49A9E5EA6C08}"/>
    <cellStyle name="Normal 2 5 3 27 3 2" xfId="14150" xr:uid="{FCB99369-B0A9-4F11-AB42-AEEFD15E8165}"/>
    <cellStyle name="Normal 2 5 3 27 4" xfId="5321" xr:uid="{DD8B1CA9-45AE-4F4C-8097-533B853DB1D9}"/>
    <cellStyle name="Normal 2 5 3 27 4 2" xfId="14151" xr:uid="{21076653-DCB8-422F-BC0D-46627E023FC8}"/>
    <cellStyle name="Normal 2 5 3 27 5" xfId="14146" xr:uid="{8C0447E6-4639-44DB-B30A-6FF1FF073FA8}"/>
    <cellStyle name="Normal 2 5 3 28" xfId="5322" xr:uid="{37A1A182-D764-40CA-BAFA-5E84A5D40898}"/>
    <cellStyle name="Normal 2 5 3 28 2" xfId="5323" xr:uid="{701D46AB-13E6-41F1-BF24-EAE4C2E8BE69}"/>
    <cellStyle name="Normal 2 5 3 28 2 2" xfId="5324" xr:uid="{CB32B8DF-FB99-4A2C-A3F4-DB3BE9A442A7}"/>
    <cellStyle name="Normal 2 5 3 28 2 2 2" xfId="14154" xr:uid="{C9E7B7BA-0990-43B3-8996-C37D88D47FEC}"/>
    <cellStyle name="Normal 2 5 3 28 2 3" xfId="5325" xr:uid="{28DF316E-56A3-447B-90C5-30A1BB112422}"/>
    <cellStyle name="Normal 2 5 3 28 2 3 2" xfId="14155" xr:uid="{1FFFE383-D621-43DB-95CF-2F51EA8A4C79}"/>
    <cellStyle name="Normal 2 5 3 28 2 4" xfId="14153" xr:uid="{533E8EDB-473F-45F9-850C-51B1B0E6A65A}"/>
    <cellStyle name="Normal 2 5 3 28 3" xfId="5326" xr:uid="{B90CA18F-5753-420B-BD64-C6B88DD597D3}"/>
    <cellStyle name="Normal 2 5 3 28 3 2" xfId="14156" xr:uid="{5D3EF1B4-D8E6-4ACC-9AC7-30A142B5DCE9}"/>
    <cellStyle name="Normal 2 5 3 28 4" xfId="5327" xr:uid="{54780F2B-74D6-4D6E-A8D4-1C1F67B0DDCD}"/>
    <cellStyle name="Normal 2 5 3 28 4 2" xfId="14157" xr:uid="{D4C4BAE3-E117-4894-8553-BDF642A1565E}"/>
    <cellStyle name="Normal 2 5 3 28 5" xfId="14152" xr:uid="{DA87EE32-BB84-49AE-8268-E719FC3FA06E}"/>
    <cellStyle name="Normal 2 5 3 29" xfId="5328" xr:uid="{DB567DDF-A811-4344-B4DF-6F428D63B105}"/>
    <cellStyle name="Normal 2 5 3 29 2" xfId="5329" xr:uid="{687D9B2B-4E79-44A8-B816-67A1588C62B3}"/>
    <cellStyle name="Normal 2 5 3 29 2 2" xfId="5330" xr:uid="{9674C481-B5CD-48B0-A182-A19E8103EABE}"/>
    <cellStyle name="Normal 2 5 3 29 2 2 2" xfId="14160" xr:uid="{63029A1A-D038-43BF-B470-672D4C26381A}"/>
    <cellStyle name="Normal 2 5 3 29 2 3" xfId="5331" xr:uid="{D5D6F7CD-B4B0-4117-AD57-1AFD06A7B925}"/>
    <cellStyle name="Normal 2 5 3 29 2 3 2" xfId="14161" xr:uid="{812703D3-B00E-4DEE-90CB-6C2099450022}"/>
    <cellStyle name="Normal 2 5 3 29 2 4" xfId="14159" xr:uid="{CC7090B2-7306-4AD9-BD1E-A4C9B4B27792}"/>
    <cellStyle name="Normal 2 5 3 29 3" xfId="5332" xr:uid="{DDACD462-6F89-451E-8C95-326A7AA22CC6}"/>
    <cellStyle name="Normal 2 5 3 29 3 2" xfId="14162" xr:uid="{AC4B7656-7E79-4187-A9D4-6E578A573D0A}"/>
    <cellStyle name="Normal 2 5 3 29 4" xfId="5333" xr:uid="{4432C10E-1A17-454F-B3C2-D0C9B8D0A968}"/>
    <cellStyle name="Normal 2 5 3 29 4 2" xfId="14163" xr:uid="{35726A3B-3397-4D64-AB84-8FEE1E8715F4}"/>
    <cellStyle name="Normal 2 5 3 29 5" xfId="14158" xr:uid="{F5A9E75C-753D-41C9-9793-CF98F105F336}"/>
    <cellStyle name="Normal 2 5 3 3" xfId="5334" xr:uid="{5F1118D8-3033-44AD-81F4-008EBA2F79FE}"/>
    <cellStyle name="Normal 2 5 3 3 2" xfId="5335" xr:uid="{D9B68AF3-73E6-40D7-B103-6C145370A818}"/>
    <cellStyle name="Normal 2 5 3 3 2 2" xfId="5336" xr:uid="{43C00714-2F5B-4F89-9368-7521CB56C5CB}"/>
    <cellStyle name="Normal 2 5 3 3 2 2 2" xfId="14166" xr:uid="{1723D624-3551-436D-A0C5-2012C342D336}"/>
    <cellStyle name="Normal 2 5 3 3 2 3" xfId="5337" xr:uid="{2FF19DC1-68C2-4111-8EAC-4EBC25AE3BE2}"/>
    <cellStyle name="Normal 2 5 3 3 2 3 2" xfId="14167" xr:uid="{C94D9505-D021-4884-A795-06736867AEAC}"/>
    <cellStyle name="Normal 2 5 3 3 2 4" xfId="14165" xr:uid="{CDE8F36C-3D0F-407D-ADC2-84CEC061E009}"/>
    <cellStyle name="Normal 2 5 3 3 3" xfId="5338" xr:uid="{2D34C2D6-9958-4825-A6B9-78A21DF87EA8}"/>
    <cellStyle name="Normal 2 5 3 3 3 2" xfId="14168" xr:uid="{3D0FC543-2948-49CB-93A0-73429C9D4E5D}"/>
    <cellStyle name="Normal 2 5 3 3 4" xfId="5339" xr:uid="{235E0558-023D-460B-97BD-5F4D60898977}"/>
    <cellStyle name="Normal 2 5 3 3 4 2" xfId="14169" xr:uid="{04EC2D24-2044-41D3-A644-8E492B2B8A96}"/>
    <cellStyle name="Normal 2 5 3 3 5" xfId="14164" xr:uid="{3268365F-FD40-43C2-A25C-F685C974CC82}"/>
    <cellStyle name="Normal 2 5 3 30" xfId="5340" xr:uid="{FC0C95C1-55C1-48F5-A28E-B94A93D02A2E}"/>
    <cellStyle name="Normal 2 5 3 30 2" xfId="5341" xr:uid="{B7CCFE0D-0FFB-4E61-ABE7-C75580F6CA49}"/>
    <cellStyle name="Normal 2 5 3 30 2 2" xfId="5342" xr:uid="{CA78AFD7-126B-4F1D-A7FA-7B28D37CC022}"/>
    <cellStyle name="Normal 2 5 3 30 2 2 2" xfId="14172" xr:uid="{CE3F7CF0-E904-4219-983D-724B419621CF}"/>
    <cellStyle name="Normal 2 5 3 30 2 3" xfId="5343" xr:uid="{460C8B28-C416-4F1D-99BF-7090810EF417}"/>
    <cellStyle name="Normal 2 5 3 30 2 3 2" xfId="14173" xr:uid="{45891A32-2904-4F4B-BA3D-12304946914F}"/>
    <cellStyle name="Normal 2 5 3 30 2 4" xfId="14171" xr:uid="{4DD65DCF-0854-4BC1-BACF-E226546EE08A}"/>
    <cellStyle name="Normal 2 5 3 30 3" xfId="5344" xr:uid="{D1B9D0A2-FFE9-496F-8544-D2205F1A181E}"/>
    <cellStyle name="Normal 2 5 3 30 3 2" xfId="14174" xr:uid="{D3C65BAF-BB60-4BB7-843A-E45AC34F0D1D}"/>
    <cellStyle name="Normal 2 5 3 30 4" xfId="5345" xr:uid="{00436DC9-DCA6-48D3-B35E-08C1520D93DD}"/>
    <cellStyle name="Normal 2 5 3 30 4 2" xfId="14175" xr:uid="{7FEE9BC1-CA19-4858-8C73-BA1CA8F15F7A}"/>
    <cellStyle name="Normal 2 5 3 30 5" xfId="14170" xr:uid="{2A9BE8B8-60F0-49D3-96E6-2FC61C0E7B09}"/>
    <cellStyle name="Normal 2 5 3 31" xfId="5346" xr:uid="{88FDAC11-0A5F-4D55-9730-E568F1E61552}"/>
    <cellStyle name="Normal 2 5 3 31 2" xfId="5347" xr:uid="{A01E4BF2-FA51-44DB-A5D5-2C03E7D30999}"/>
    <cellStyle name="Normal 2 5 3 31 2 2" xfId="5348" xr:uid="{85CE71B4-4874-40E0-9027-85E4A1072942}"/>
    <cellStyle name="Normal 2 5 3 31 2 2 2" xfId="14178" xr:uid="{23F18818-ADD4-40CF-B8AA-286D317C32CF}"/>
    <cellStyle name="Normal 2 5 3 31 2 3" xfId="5349" xr:uid="{DA76C4B9-E881-4983-849E-82750B593DB2}"/>
    <cellStyle name="Normal 2 5 3 31 2 3 2" xfId="14179" xr:uid="{3E43FAC6-A657-4A92-8DF0-483F5DC89C89}"/>
    <cellStyle name="Normal 2 5 3 31 2 4" xfId="14177" xr:uid="{0046BB66-5708-49A2-98E9-F9865A4CFCF5}"/>
    <cellStyle name="Normal 2 5 3 31 3" xfId="5350" xr:uid="{6B757FD6-A5AA-49CA-9EF9-AB9B8B15DA2F}"/>
    <cellStyle name="Normal 2 5 3 31 3 2" xfId="14180" xr:uid="{9F1489AA-B784-40FC-8C75-13379FFAE29D}"/>
    <cellStyle name="Normal 2 5 3 31 4" xfId="5351" xr:uid="{39479214-80A4-49AB-8AE8-41AD262F9B15}"/>
    <cellStyle name="Normal 2 5 3 31 4 2" xfId="14181" xr:uid="{B7D1C285-6B68-426D-A07D-596D94D4722D}"/>
    <cellStyle name="Normal 2 5 3 31 5" xfId="14176" xr:uid="{CDD8FCF6-596B-4C90-BB75-587BB4887418}"/>
    <cellStyle name="Normal 2 5 3 32" xfId="5352" xr:uid="{0093F85D-2348-4579-BFFA-529986865A2B}"/>
    <cellStyle name="Normal 2 5 3 32 2" xfId="5353" xr:uid="{6B0328AE-23F1-4AE6-A1BE-5A0FBCCC450E}"/>
    <cellStyle name="Normal 2 5 3 32 2 2" xfId="5354" xr:uid="{4029A64E-5FC5-4A51-AF27-FD006E0526D6}"/>
    <cellStyle name="Normal 2 5 3 32 2 2 2" xfId="14184" xr:uid="{9DA430E4-1851-4F1B-A1D3-EBC1A75BF834}"/>
    <cellStyle name="Normal 2 5 3 32 2 3" xfId="5355" xr:uid="{D724D561-309C-4D56-8FA9-9F7BBA909EAB}"/>
    <cellStyle name="Normal 2 5 3 32 2 3 2" xfId="14185" xr:uid="{9D1B7B34-F67F-43E8-9979-78F6E364E950}"/>
    <cellStyle name="Normal 2 5 3 32 2 4" xfId="14183" xr:uid="{F8F66C5C-C70C-45A2-83DF-1776436F207C}"/>
    <cellStyle name="Normal 2 5 3 32 3" xfId="5356" xr:uid="{171A8E45-5D96-41BA-BDB6-447E1176DE1B}"/>
    <cellStyle name="Normal 2 5 3 32 3 2" xfId="14186" xr:uid="{41283DBE-D254-43C5-A81A-298A0D348233}"/>
    <cellStyle name="Normal 2 5 3 32 4" xfId="5357" xr:uid="{AD6B101E-AC03-48F2-992D-7BE260695DE6}"/>
    <cellStyle name="Normal 2 5 3 32 4 2" xfId="14187" xr:uid="{5B406C0F-0A19-47AE-9FEC-FCEA5F935BEE}"/>
    <cellStyle name="Normal 2 5 3 32 5" xfId="14182" xr:uid="{3C2F5614-2005-4C75-A8AE-2A1930DA9C7C}"/>
    <cellStyle name="Normal 2 5 3 33" xfId="5358" xr:uid="{02F20702-1176-4F7E-BDA7-EAB0D57E6348}"/>
    <cellStyle name="Normal 2 5 3 33 2" xfId="5359" xr:uid="{BD0B5042-ED7A-45E9-83BC-8454A707A3DF}"/>
    <cellStyle name="Normal 2 5 3 33 2 2" xfId="5360" xr:uid="{6105046F-86C4-40EB-B4B4-6B6E6656D801}"/>
    <cellStyle name="Normal 2 5 3 33 2 2 2" xfId="14190" xr:uid="{576658DB-B309-40E6-A804-FED1CA70D664}"/>
    <cellStyle name="Normal 2 5 3 33 2 3" xfId="5361" xr:uid="{512F89BA-A978-416C-94D0-227E0F57C8B9}"/>
    <cellStyle name="Normal 2 5 3 33 2 3 2" xfId="14191" xr:uid="{FC91C614-1360-45C1-8B78-61C5EEE2C5A8}"/>
    <cellStyle name="Normal 2 5 3 33 2 4" xfId="14189" xr:uid="{B00F4B66-8131-4626-8C71-6F11B5317841}"/>
    <cellStyle name="Normal 2 5 3 33 3" xfId="5362" xr:uid="{7264D225-390F-4669-A415-598ED2E29CBE}"/>
    <cellStyle name="Normal 2 5 3 33 3 2" xfId="14192" xr:uid="{9293303E-FC37-4FC0-9582-FFDDA46A677B}"/>
    <cellStyle name="Normal 2 5 3 33 4" xfId="5363" xr:uid="{060A753F-8D5A-456B-9644-23387D965F99}"/>
    <cellStyle name="Normal 2 5 3 33 4 2" xfId="14193" xr:uid="{35E13E19-89ED-41BF-9B4B-24BC63B321D0}"/>
    <cellStyle name="Normal 2 5 3 33 5" xfId="14188" xr:uid="{7863BC24-B218-4D74-98CD-19582B03BD4A}"/>
    <cellStyle name="Normal 2 5 3 34" xfId="5364" xr:uid="{0EB69C55-7F03-4EBE-9B41-286B4275930D}"/>
    <cellStyle name="Normal 2 5 3 34 2" xfId="5365" xr:uid="{36E87C19-338C-44D9-9400-B83295588100}"/>
    <cellStyle name="Normal 2 5 3 34 2 2" xfId="5366" xr:uid="{A4C326B6-59DE-49B9-9B12-9AA436F6524D}"/>
    <cellStyle name="Normal 2 5 3 34 2 2 2" xfId="14196" xr:uid="{E032F5D2-C1A6-4F7C-9D4A-2B80CFA22646}"/>
    <cellStyle name="Normal 2 5 3 34 2 3" xfId="5367" xr:uid="{2D419153-A864-4ADE-B2CE-399391156A1D}"/>
    <cellStyle name="Normal 2 5 3 34 2 3 2" xfId="14197" xr:uid="{35E87F28-8799-4B7F-AF02-B6FB2040160A}"/>
    <cellStyle name="Normal 2 5 3 34 2 4" xfId="14195" xr:uid="{5ED57946-D22D-4032-BBDC-F690D7F6BC4C}"/>
    <cellStyle name="Normal 2 5 3 34 3" xfId="5368" xr:uid="{B8C6CF62-61CE-4F41-889B-0612DF61594A}"/>
    <cellStyle name="Normal 2 5 3 34 3 2" xfId="14198" xr:uid="{D59B1372-552E-4179-A8A9-1E1B42841542}"/>
    <cellStyle name="Normal 2 5 3 34 4" xfId="5369" xr:uid="{A3F0998C-E2C4-4F30-990F-CA73712B7DB2}"/>
    <cellStyle name="Normal 2 5 3 34 4 2" xfId="14199" xr:uid="{5FA50D1A-7E35-4491-A21D-61F532BA059D}"/>
    <cellStyle name="Normal 2 5 3 34 5" xfId="14194" xr:uid="{EE0D45A6-3160-4712-B99E-9D94C6CCD8AF}"/>
    <cellStyle name="Normal 2 5 3 35" xfId="5370" xr:uid="{3F85DEDC-F70D-46FF-8A63-F12CC053412E}"/>
    <cellStyle name="Normal 2 5 3 35 2" xfId="5371" xr:uid="{61BC18F7-C3D4-480C-B8A7-579B0B91BC29}"/>
    <cellStyle name="Normal 2 5 3 35 2 2" xfId="5372" xr:uid="{8B97F36F-29E1-43BF-9B75-8187682C4B30}"/>
    <cellStyle name="Normal 2 5 3 35 2 2 2" xfId="14202" xr:uid="{A3448887-7F76-4E37-9849-0553C171B322}"/>
    <cellStyle name="Normal 2 5 3 35 2 3" xfId="5373" xr:uid="{399D8917-69ED-4404-AC37-F55A88941CAC}"/>
    <cellStyle name="Normal 2 5 3 35 2 3 2" xfId="14203" xr:uid="{6375A679-AB3B-4127-8D16-538BED2C66E6}"/>
    <cellStyle name="Normal 2 5 3 35 2 4" xfId="14201" xr:uid="{499C2F8A-69D3-4740-9397-82AFCA72412E}"/>
    <cellStyle name="Normal 2 5 3 35 3" xfId="5374" xr:uid="{3D9C0ABA-2B83-4145-B4A7-7198A79FF6E3}"/>
    <cellStyle name="Normal 2 5 3 35 3 2" xfId="14204" xr:uid="{C1EE4A83-183D-4C83-B697-294C8E47F01C}"/>
    <cellStyle name="Normal 2 5 3 35 4" xfId="5375" xr:uid="{D8FD72B0-A52D-45B5-AB8F-4353EF517375}"/>
    <cellStyle name="Normal 2 5 3 35 4 2" xfId="14205" xr:uid="{2230C13E-539E-452E-9CDA-551849EFB7B9}"/>
    <cellStyle name="Normal 2 5 3 35 5" xfId="14200" xr:uid="{C33CDB65-7249-4D86-9374-F5E94E3AEE24}"/>
    <cellStyle name="Normal 2 5 3 36" xfId="5376" xr:uid="{8E8226BD-095E-45E5-ABA4-A57842FAB003}"/>
    <cellStyle name="Normal 2 5 3 36 2" xfId="5377" xr:uid="{8531A935-45F5-43DE-B696-8F2C667703CE}"/>
    <cellStyle name="Normal 2 5 3 36 2 2" xfId="5378" xr:uid="{A62DA804-27B2-452D-9C36-8E3E8DC8A1FE}"/>
    <cellStyle name="Normal 2 5 3 36 2 2 2" xfId="14208" xr:uid="{0F841963-C23B-4374-826F-DADC62A0C05F}"/>
    <cellStyle name="Normal 2 5 3 36 2 3" xfId="5379" xr:uid="{2A428BBA-4E86-47B5-809C-D53B8DAEA930}"/>
    <cellStyle name="Normal 2 5 3 36 2 3 2" xfId="14209" xr:uid="{8DC248FD-FD72-4CCB-9AD1-E9A3CDDE0DBA}"/>
    <cellStyle name="Normal 2 5 3 36 2 4" xfId="14207" xr:uid="{678A0D4E-DC60-42AD-B890-FE09298FE6BD}"/>
    <cellStyle name="Normal 2 5 3 36 3" xfId="5380" xr:uid="{244A5946-DDAA-456F-8116-52858B051DF8}"/>
    <cellStyle name="Normal 2 5 3 36 3 2" xfId="14210" xr:uid="{851B930E-EC62-4A6C-BFB2-E45B2AB0A9D8}"/>
    <cellStyle name="Normal 2 5 3 36 4" xfId="5381" xr:uid="{4BB76A10-4D33-4FDE-8E96-966F370F3A4E}"/>
    <cellStyle name="Normal 2 5 3 36 4 2" xfId="14211" xr:uid="{5BF58D24-116D-490A-8A1B-F1DB33952080}"/>
    <cellStyle name="Normal 2 5 3 36 5" xfId="14206" xr:uid="{5E0FEFC0-4E31-461E-9F76-C7DF10E9997B}"/>
    <cellStyle name="Normal 2 5 3 37" xfId="5382" xr:uid="{BBE67D49-EE44-4911-9E51-7B20671DF67D}"/>
    <cellStyle name="Normal 2 5 3 37 2" xfId="5383" xr:uid="{D3856445-5C3A-4702-88E6-00B328B8F813}"/>
    <cellStyle name="Normal 2 5 3 37 2 2" xfId="5384" xr:uid="{99E48F32-FD11-49B8-B1C5-3295CDC8AF47}"/>
    <cellStyle name="Normal 2 5 3 37 2 2 2" xfId="14214" xr:uid="{39ECF927-B206-4548-85D1-E061A8F04916}"/>
    <cellStyle name="Normal 2 5 3 37 2 3" xfId="5385" xr:uid="{7C412B72-1BA7-4622-8230-97FAAE5047AC}"/>
    <cellStyle name="Normal 2 5 3 37 2 3 2" xfId="14215" xr:uid="{52514311-75E4-4587-8416-7F849850ECF9}"/>
    <cellStyle name="Normal 2 5 3 37 2 4" xfId="14213" xr:uid="{3B0DEFA5-0BAC-4C1E-AEFB-56A32184FA68}"/>
    <cellStyle name="Normal 2 5 3 37 3" xfId="5386" xr:uid="{FD3167C7-2940-4192-8CC0-CCD1AD046309}"/>
    <cellStyle name="Normal 2 5 3 37 3 2" xfId="14216" xr:uid="{36F47D01-F68A-493C-AB9E-21E254F20F45}"/>
    <cellStyle name="Normal 2 5 3 37 4" xfId="5387" xr:uid="{530C5CA3-2B23-40C2-ABFA-C63856CA3BE7}"/>
    <cellStyle name="Normal 2 5 3 37 4 2" xfId="14217" xr:uid="{D6069C7A-8EC9-47B3-8DA6-C588AD8B4724}"/>
    <cellStyle name="Normal 2 5 3 37 5" xfId="14212" xr:uid="{A42AD094-8A81-4BA2-92BC-5923B8C4EC93}"/>
    <cellStyle name="Normal 2 5 3 38" xfId="5388" xr:uid="{B1734676-F00B-47B1-BD87-362CE350D12C}"/>
    <cellStyle name="Normal 2 5 3 38 2" xfId="5389" xr:uid="{FFAC9615-5DE2-42DC-80B1-EA19C6957024}"/>
    <cellStyle name="Normal 2 5 3 38 2 2" xfId="5390" xr:uid="{210803AB-1FA5-4138-8C9F-01468CDF62C1}"/>
    <cellStyle name="Normal 2 5 3 38 2 2 2" xfId="14220" xr:uid="{2A875A2D-E81D-4876-9FF2-02D8754D21B9}"/>
    <cellStyle name="Normal 2 5 3 38 2 3" xfId="5391" xr:uid="{D468A237-86CE-40BE-8C7A-FB7252512A00}"/>
    <cellStyle name="Normal 2 5 3 38 2 3 2" xfId="14221" xr:uid="{9D9818D0-67E3-4FC8-832F-81330040A9B8}"/>
    <cellStyle name="Normal 2 5 3 38 2 4" xfId="14219" xr:uid="{1A199BA9-9449-44FF-9137-0E16AAE7B902}"/>
    <cellStyle name="Normal 2 5 3 38 3" xfId="5392" xr:uid="{5C9ACA94-7219-4E02-B96A-889B2FAB13B3}"/>
    <cellStyle name="Normal 2 5 3 38 3 2" xfId="14222" xr:uid="{726432FD-5B60-4012-ACF6-58E4B8C95331}"/>
    <cellStyle name="Normal 2 5 3 38 4" xfId="5393" xr:uid="{A414B6B2-6DB7-405C-B551-CD22F577BE17}"/>
    <cellStyle name="Normal 2 5 3 38 4 2" xfId="14223" xr:uid="{5889A42F-E194-443F-B0E5-055BE34F2290}"/>
    <cellStyle name="Normal 2 5 3 38 5" xfId="14218" xr:uid="{CE6BEF1B-0739-42B5-9DAC-B582151C524C}"/>
    <cellStyle name="Normal 2 5 3 39" xfId="5394" xr:uid="{38F399F4-D9F8-4D55-B135-0E15A13156F2}"/>
    <cellStyle name="Normal 2 5 3 39 2" xfId="5395" xr:uid="{44F2C0BF-7824-4F0E-B314-6B427B5F4D14}"/>
    <cellStyle name="Normal 2 5 3 39 2 2" xfId="5396" xr:uid="{18A34287-6C86-4489-A656-6C7516C0FCED}"/>
    <cellStyle name="Normal 2 5 3 39 2 2 2" xfId="14226" xr:uid="{4472DE7E-C218-42FC-9E59-209111446E6D}"/>
    <cellStyle name="Normal 2 5 3 39 2 3" xfId="5397" xr:uid="{BF606476-C9EE-48CD-ACA3-C22C023E60FB}"/>
    <cellStyle name="Normal 2 5 3 39 2 3 2" xfId="14227" xr:uid="{D977E641-89BC-43B8-89EA-27977AB3C483}"/>
    <cellStyle name="Normal 2 5 3 39 2 4" xfId="14225" xr:uid="{D1F19665-86DE-4768-BF6E-66FDA4F5BB1B}"/>
    <cellStyle name="Normal 2 5 3 39 3" xfId="5398" xr:uid="{6F90668D-FAEA-493E-991D-F35DB747E57A}"/>
    <cellStyle name="Normal 2 5 3 39 3 2" xfId="14228" xr:uid="{1E95F988-5189-4434-8FE7-5378BA1AD433}"/>
    <cellStyle name="Normal 2 5 3 39 4" xfId="5399" xr:uid="{ABEEA94A-6D0A-4DE2-B817-36C8473CE900}"/>
    <cellStyle name="Normal 2 5 3 39 4 2" xfId="14229" xr:uid="{ACA52CDE-48E5-4B9B-A368-A136A32C130B}"/>
    <cellStyle name="Normal 2 5 3 39 5" xfId="14224" xr:uid="{2DA6E692-7862-4C27-A015-858CED8B644A}"/>
    <cellStyle name="Normal 2 5 3 4" xfId="5400" xr:uid="{E941CE67-CBBC-4CCB-BA45-857B218A9DFF}"/>
    <cellStyle name="Normal 2 5 3 4 2" xfId="5401" xr:uid="{7255F4CD-FEEB-4B7B-85DD-E01180292D25}"/>
    <cellStyle name="Normal 2 5 3 4 2 2" xfId="5402" xr:uid="{EC0DB982-CB5C-4CB6-A058-413A07BC3008}"/>
    <cellStyle name="Normal 2 5 3 4 2 2 2" xfId="14232" xr:uid="{494B43DF-5756-4C73-91EB-98F623390EFA}"/>
    <cellStyle name="Normal 2 5 3 4 2 3" xfId="5403" xr:uid="{6EB45297-3541-450C-9F6F-DD47391834DA}"/>
    <cellStyle name="Normal 2 5 3 4 2 3 2" xfId="14233" xr:uid="{83F8CBBB-E3E4-4007-BD5A-87304E56446E}"/>
    <cellStyle name="Normal 2 5 3 4 2 4" xfId="14231" xr:uid="{FBBC5260-4834-4A35-A561-8DBE56992655}"/>
    <cellStyle name="Normal 2 5 3 4 3" xfId="5404" xr:uid="{16694C91-9C2A-408B-AAE0-1D13C3C900B7}"/>
    <cellStyle name="Normal 2 5 3 4 3 2" xfId="14234" xr:uid="{F26C36FB-77B0-42C4-B300-E99B44EC092E}"/>
    <cellStyle name="Normal 2 5 3 4 4" xfId="5405" xr:uid="{49E02F2D-2FF8-4085-BB13-1EFEC78E544E}"/>
    <cellStyle name="Normal 2 5 3 4 4 2" xfId="14235" xr:uid="{252A6AEB-9C4E-410F-A694-9ECA6E7B9F1B}"/>
    <cellStyle name="Normal 2 5 3 4 5" xfId="14230" xr:uid="{C49408D6-9BA3-4D2A-B296-FD5DF31E7AE3}"/>
    <cellStyle name="Normal 2 5 3 40" xfId="5406" xr:uid="{DE851E71-4CAD-4D04-B238-667C9B26EA1D}"/>
    <cellStyle name="Normal 2 5 3 40 2" xfId="5407" xr:uid="{AAA9CC25-BCA5-45E5-BC22-992AAFCD07BA}"/>
    <cellStyle name="Normal 2 5 3 40 2 2" xfId="5408" xr:uid="{191C85FB-9557-4256-8B33-5D4F4A3BC812}"/>
    <cellStyle name="Normal 2 5 3 40 2 2 2" xfId="14238" xr:uid="{2F739F2C-FCC9-4911-BF7B-A21C265E0CCC}"/>
    <cellStyle name="Normal 2 5 3 40 2 3" xfId="5409" xr:uid="{1305514B-7CAF-4523-99C3-BA89C7E6C0E8}"/>
    <cellStyle name="Normal 2 5 3 40 2 3 2" xfId="14239" xr:uid="{E7C733F6-C81D-4EB6-B884-AB70DDB4E5BC}"/>
    <cellStyle name="Normal 2 5 3 40 2 4" xfId="14237" xr:uid="{03CF65BA-FEDA-4A22-A17B-E8429C7ADB84}"/>
    <cellStyle name="Normal 2 5 3 40 3" xfId="5410" xr:uid="{ECFE1858-0DE0-465D-8AE3-D5BCE806FE90}"/>
    <cellStyle name="Normal 2 5 3 40 3 2" xfId="14240" xr:uid="{71424B8B-49C4-4DC5-A8DB-D6D4BF6E47ED}"/>
    <cellStyle name="Normal 2 5 3 40 4" xfId="5411" xr:uid="{68CDCFAD-667C-4841-BDDE-DEF007F414F6}"/>
    <cellStyle name="Normal 2 5 3 40 4 2" xfId="14241" xr:uid="{CBAC7942-D349-40FD-A8E5-0808008C38EE}"/>
    <cellStyle name="Normal 2 5 3 40 5" xfId="14236" xr:uid="{DE4731E5-973C-4281-A521-18AD1A4CA7F0}"/>
    <cellStyle name="Normal 2 5 3 41" xfId="5412" xr:uid="{EBA0668D-D3C2-4BA9-8876-FBDD1BF5E2A8}"/>
    <cellStyle name="Normal 2 5 3 41 2" xfId="5413" xr:uid="{831D41FD-5077-4D43-9F84-2C352F99D485}"/>
    <cellStyle name="Normal 2 5 3 41 2 2" xfId="5414" xr:uid="{CE985C9E-A7F3-481B-B847-CA94EAEE453F}"/>
    <cellStyle name="Normal 2 5 3 41 2 2 2" xfId="14244" xr:uid="{214193BD-B63E-4CC8-A982-B59D16CCE297}"/>
    <cellStyle name="Normal 2 5 3 41 2 3" xfId="5415" xr:uid="{876E4579-8AA3-477A-88F0-1DA42CF127CF}"/>
    <cellStyle name="Normal 2 5 3 41 2 3 2" xfId="14245" xr:uid="{693AC961-6CCA-4DC1-858E-B052BCE6438F}"/>
    <cellStyle name="Normal 2 5 3 41 2 4" xfId="14243" xr:uid="{DBE6F5D8-4F2C-4C1A-A89C-4616CE4C46BA}"/>
    <cellStyle name="Normal 2 5 3 41 3" xfId="5416" xr:uid="{6999A980-6F02-45C8-AB18-06D56C40C49B}"/>
    <cellStyle name="Normal 2 5 3 41 3 2" xfId="14246" xr:uid="{740F8878-F8F2-4DC7-A88B-00AEE072872B}"/>
    <cellStyle name="Normal 2 5 3 41 4" xfId="5417" xr:uid="{83585949-50A4-439D-B523-502C7B14D644}"/>
    <cellStyle name="Normal 2 5 3 41 4 2" xfId="14247" xr:uid="{46EEE416-665C-47C1-9F13-B8298D329208}"/>
    <cellStyle name="Normal 2 5 3 41 5" xfId="14242" xr:uid="{A4EE2D0C-5C10-4E9D-9789-316B006AFD1D}"/>
    <cellStyle name="Normal 2 5 3 42" xfId="5418" xr:uid="{CB90EECE-FFD0-4E3D-9030-EA578F68D219}"/>
    <cellStyle name="Normal 2 5 3 42 2" xfId="5419" xr:uid="{9EB33930-113C-4EEB-9F21-B96A71E61918}"/>
    <cellStyle name="Normal 2 5 3 42 2 2" xfId="5420" xr:uid="{9E0384BA-3308-4D30-A9DC-7F57BCA41A59}"/>
    <cellStyle name="Normal 2 5 3 42 2 2 2" xfId="14250" xr:uid="{E06C41A6-F01D-4A14-8288-9408FA41E8F8}"/>
    <cellStyle name="Normal 2 5 3 42 2 3" xfId="5421" xr:uid="{EAD4BD55-30B3-48A2-8631-B581A934C54D}"/>
    <cellStyle name="Normal 2 5 3 42 2 3 2" xfId="14251" xr:uid="{05517BE1-935C-4083-A265-4DE2466838B9}"/>
    <cellStyle name="Normal 2 5 3 42 2 4" xfId="14249" xr:uid="{1A057601-E80C-4578-96E6-8CC632FEDB2B}"/>
    <cellStyle name="Normal 2 5 3 42 3" xfId="5422" xr:uid="{5167CBAF-5FB8-4D39-93AF-FA6941C462BA}"/>
    <cellStyle name="Normal 2 5 3 42 3 2" xfId="14252" xr:uid="{468345AF-2122-4DEE-9D97-962D2BF4C818}"/>
    <cellStyle name="Normal 2 5 3 42 4" xfId="5423" xr:uid="{FBB52A43-A7E0-44AA-8A8E-713DD98702AB}"/>
    <cellStyle name="Normal 2 5 3 42 4 2" xfId="14253" xr:uid="{813121E6-4732-4913-B4AD-E06C961AEA31}"/>
    <cellStyle name="Normal 2 5 3 42 5" xfId="14248" xr:uid="{7C7C381E-DAE2-4E18-9795-2256170F407A}"/>
    <cellStyle name="Normal 2 5 3 43" xfId="5424" xr:uid="{069731E6-E8CE-4313-BEE3-03C9238EDC48}"/>
    <cellStyle name="Normal 2 5 3 43 2" xfId="5425" xr:uid="{7F259A1E-8E7D-4739-ABC9-28B828B554F6}"/>
    <cellStyle name="Normal 2 5 3 43 2 2" xfId="5426" xr:uid="{A92D0041-F43D-47CC-B0E6-8B9EF743D363}"/>
    <cellStyle name="Normal 2 5 3 43 2 2 2" xfId="14256" xr:uid="{CCBA3299-24F6-4350-B096-EDDB2682477E}"/>
    <cellStyle name="Normal 2 5 3 43 2 3" xfId="5427" xr:uid="{6CF11E93-B07A-408F-83BE-4672EAEDCC08}"/>
    <cellStyle name="Normal 2 5 3 43 2 3 2" xfId="14257" xr:uid="{467027D5-776C-4BBD-B112-90EDF2013D02}"/>
    <cellStyle name="Normal 2 5 3 43 2 4" xfId="14255" xr:uid="{3C1BC0BD-6001-4C26-82BB-AD5D5B51B61D}"/>
    <cellStyle name="Normal 2 5 3 43 3" xfId="5428" xr:uid="{99880C27-54C3-4C7A-83C6-3FD5DD2A0725}"/>
    <cellStyle name="Normal 2 5 3 43 3 2" xfId="14258" xr:uid="{6A820123-8372-47C8-8E62-4C9E0188E34E}"/>
    <cellStyle name="Normal 2 5 3 43 4" xfId="5429" xr:uid="{BB74980B-4E33-4ED4-9A02-A485046A9E12}"/>
    <cellStyle name="Normal 2 5 3 43 4 2" xfId="14259" xr:uid="{E3E5020A-C965-46DB-AEB2-F17B7C5C6A21}"/>
    <cellStyle name="Normal 2 5 3 43 5" xfId="14254" xr:uid="{C0927270-EB51-4F5C-98F2-12309D959FCF}"/>
    <cellStyle name="Normal 2 5 3 44" xfId="5430" xr:uid="{E94C697D-4B4C-4FE5-970C-C2FEB21A6475}"/>
    <cellStyle name="Normal 2 5 3 44 2" xfId="5431" xr:uid="{5CBE8570-0F1D-463D-AF34-A6ED221E4221}"/>
    <cellStyle name="Normal 2 5 3 44 2 2" xfId="14261" xr:uid="{A1DB8E0D-CD25-4299-BB70-8C4033C7458E}"/>
    <cellStyle name="Normal 2 5 3 44 3" xfId="5432" xr:uid="{D50C11A8-4C15-45E1-83FD-94DBED904DD7}"/>
    <cellStyle name="Normal 2 5 3 44 3 2" xfId="14262" xr:uid="{1E63C09A-4AC7-4A32-BA79-1F391001A31C}"/>
    <cellStyle name="Normal 2 5 3 44 4" xfId="14260" xr:uid="{E8AAC77F-0719-4E7F-98EB-1101B245BB85}"/>
    <cellStyle name="Normal 2 5 3 45" xfId="5433" xr:uid="{A1B02C3B-AE14-4F9E-9499-F192A07036E5}"/>
    <cellStyle name="Normal 2 5 3 45 2" xfId="14263" xr:uid="{C034BC03-D6E8-47D6-A5F0-28954C1CCDFC}"/>
    <cellStyle name="Normal 2 5 3 46" xfId="5434" xr:uid="{D821710D-975B-49EC-A7B9-4550CF8E3B52}"/>
    <cellStyle name="Normal 2 5 3 46 2" xfId="14264" xr:uid="{CA29EB5C-0C79-418A-B0A4-B79BDBD447BB}"/>
    <cellStyle name="Normal 2 5 3 47" xfId="14037" xr:uid="{74CFA089-B95B-43FC-84DF-E09ACE7035A1}"/>
    <cellStyle name="Normal 2 5 3 5" xfId="5435" xr:uid="{633FA41D-20A1-4D97-BB67-6EBA83C6DB11}"/>
    <cellStyle name="Normal 2 5 3 5 2" xfId="5436" xr:uid="{3F5DBAD6-BDDE-437D-AEEC-5617EE246247}"/>
    <cellStyle name="Normal 2 5 3 5 2 2" xfId="5437" xr:uid="{8387D4A6-D07D-4652-B0EA-36567262C6AA}"/>
    <cellStyle name="Normal 2 5 3 5 2 2 2" xfId="14267" xr:uid="{E1C912CF-C1CA-4009-B571-BC8988236D58}"/>
    <cellStyle name="Normal 2 5 3 5 2 3" xfId="5438" xr:uid="{96262030-4E83-4C07-8880-825E90117115}"/>
    <cellStyle name="Normal 2 5 3 5 2 3 2" xfId="14268" xr:uid="{1DF0A062-A04D-4707-9F18-012B7EED7FCE}"/>
    <cellStyle name="Normal 2 5 3 5 2 4" xfId="14266" xr:uid="{B15FB2F8-2E17-4028-B06F-736E26ACA912}"/>
    <cellStyle name="Normal 2 5 3 5 3" xfId="5439" xr:uid="{A3A904AA-7967-47F8-85F5-DB65E33CFB34}"/>
    <cellStyle name="Normal 2 5 3 5 3 2" xfId="14269" xr:uid="{C575EDA1-88F3-4755-923E-FEC3920C4B5F}"/>
    <cellStyle name="Normal 2 5 3 5 4" xfId="5440" xr:uid="{1997D3FB-C2ED-4B81-BE0F-F3919E27E585}"/>
    <cellStyle name="Normal 2 5 3 5 4 2" xfId="14270" xr:uid="{353946CE-D768-4406-AC43-8F06CE3237EE}"/>
    <cellStyle name="Normal 2 5 3 5 5" xfId="14265" xr:uid="{389F3893-5506-4F46-AB6A-8E09F08DB962}"/>
    <cellStyle name="Normal 2 5 3 6" xfId="5441" xr:uid="{B0EA59A0-A18E-475C-8CD6-792917E1FEC2}"/>
    <cellStyle name="Normal 2 5 3 6 2" xfId="5442" xr:uid="{5B4CCBE8-054A-43D3-B6F5-1ACC3B3C2397}"/>
    <cellStyle name="Normal 2 5 3 6 2 2" xfId="5443" xr:uid="{E99AB0B1-9D1C-421A-B78A-D779DE71F8C3}"/>
    <cellStyle name="Normal 2 5 3 6 2 2 2" xfId="14273" xr:uid="{2C2C9E9A-E76E-4F42-970E-BC34F58A7F6E}"/>
    <cellStyle name="Normal 2 5 3 6 2 3" xfId="5444" xr:uid="{A33D196B-56A0-42AD-BF61-0BF5C2523512}"/>
    <cellStyle name="Normal 2 5 3 6 2 3 2" xfId="14274" xr:uid="{015BD72E-639A-4228-A579-B6DB189D0F4C}"/>
    <cellStyle name="Normal 2 5 3 6 2 4" xfId="14272" xr:uid="{902C19B4-3364-4B6E-8B5D-BD7E2F5FAB4F}"/>
    <cellStyle name="Normal 2 5 3 6 3" xfId="5445" xr:uid="{5B52B544-675A-4BF1-A95A-EC161CA139FF}"/>
    <cellStyle name="Normal 2 5 3 6 3 2" xfId="14275" xr:uid="{AAC78741-5F11-4E4E-9C48-369B9B9C7EB3}"/>
    <cellStyle name="Normal 2 5 3 6 4" xfId="5446" xr:uid="{22A56521-FB19-49F5-B2C2-457A32039658}"/>
    <cellStyle name="Normal 2 5 3 6 4 2" xfId="14276" xr:uid="{153ABE2D-BF71-4F8A-921A-EC397240B07C}"/>
    <cellStyle name="Normal 2 5 3 6 5" xfId="14271" xr:uid="{FF52306A-12C6-4D7C-BA30-8C16ECF2B1B2}"/>
    <cellStyle name="Normal 2 5 3 7" xfId="5447" xr:uid="{95A4B424-B6AC-490F-9566-84A720DE32EF}"/>
    <cellStyle name="Normal 2 5 3 7 2" xfId="5448" xr:uid="{B1DAD320-B9BF-4284-9C51-B36830B0E0EA}"/>
    <cellStyle name="Normal 2 5 3 7 2 2" xfId="5449" xr:uid="{F9A653FA-1CAA-495C-A40F-9023C66992D9}"/>
    <cellStyle name="Normal 2 5 3 7 2 2 2" xfId="14279" xr:uid="{BD5BA105-486A-4218-8A04-60626C278095}"/>
    <cellStyle name="Normal 2 5 3 7 2 3" xfId="5450" xr:uid="{FB490C14-5B6B-4374-8F6B-329C098CB901}"/>
    <cellStyle name="Normal 2 5 3 7 2 3 2" xfId="14280" xr:uid="{FF0E7107-585B-47D2-AEE8-D3BC5FA3383A}"/>
    <cellStyle name="Normal 2 5 3 7 2 4" xfId="14278" xr:uid="{F25B7DBE-893E-4CFD-B72A-ACA90997CE54}"/>
    <cellStyle name="Normal 2 5 3 7 3" xfId="5451" xr:uid="{EC8ACCC8-BA1D-4453-807F-399CA847A6DF}"/>
    <cellStyle name="Normal 2 5 3 7 3 2" xfId="14281" xr:uid="{13A7EFDF-FC64-4ADB-83F9-59E6112A890C}"/>
    <cellStyle name="Normal 2 5 3 7 4" xfId="5452" xr:uid="{B6520760-7D85-43BA-B0D4-DA2265A7F280}"/>
    <cellStyle name="Normal 2 5 3 7 4 2" xfId="14282" xr:uid="{1DB0D3AE-DFB0-46F2-8ADC-1374AC79E9A1}"/>
    <cellStyle name="Normal 2 5 3 7 5" xfId="14277" xr:uid="{C84526D4-9074-4DC0-A1C5-43CF467FA4FC}"/>
    <cellStyle name="Normal 2 5 3 8" xfId="5453" xr:uid="{225FB2BD-DB86-4DAC-85B4-65FD76C0BDC3}"/>
    <cellStyle name="Normal 2 5 3 8 2" xfId="5454" xr:uid="{031075C9-5AF8-426A-9637-6750D0534775}"/>
    <cellStyle name="Normal 2 5 3 8 2 2" xfId="5455" xr:uid="{962CA7CC-9650-40D5-AA93-CC0D22C44940}"/>
    <cellStyle name="Normal 2 5 3 8 2 2 2" xfId="14285" xr:uid="{C78A5FB1-D3CC-4398-9681-B7543F8F95DE}"/>
    <cellStyle name="Normal 2 5 3 8 2 3" xfId="5456" xr:uid="{A12629AB-35DB-4C47-A60B-B388A7E1AE22}"/>
    <cellStyle name="Normal 2 5 3 8 2 3 2" xfId="14286" xr:uid="{626ACFB2-9F4B-4341-8ABC-3D827663BBD8}"/>
    <cellStyle name="Normal 2 5 3 8 2 4" xfId="14284" xr:uid="{B8326387-5D4D-4ABD-871C-EFC8D1CA7C15}"/>
    <cellStyle name="Normal 2 5 3 8 3" xfId="5457" xr:uid="{4F268FEA-C553-4033-9506-16FA6E52F9E6}"/>
    <cellStyle name="Normal 2 5 3 8 3 2" xfId="14287" xr:uid="{E36A7811-BF35-4A4C-811D-E12F15DD891A}"/>
    <cellStyle name="Normal 2 5 3 8 4" xfId="5458" xr:uid="{1783E40B-BD35-490C-A2C4-6836393130FD}"/>
    <cellStyle name="Normal 2 5 3 8 4 2" xfId="14288" xr:uid="{C651B6A6-4E98-4299-BD73-E55117629496}"/>
    <cellStyle name="Normal 2 5 3 8 5" xfId="14283" xr:uid="{171C39B4-6057-4A0B-BD83-82FDF0043F02}"/>
    <cellStyle name="Normal 2 5 3 9" xfId="5459" xr:uid="{EB9FD9EB-A45E-4700-989A-B3BD3BF33DDA}"/>
    <cellStyle name="Normal 2 5 3 9 2" xfId="5460" xr:uid="{151EADF0-F872-4840-BBA6-7B5B94E1A96B}"/>
    <cellStyle name="Normal 2 5 3 9 2 2" xfId="5461" xr:uid="{BF8A1B67-B5D7-498E-A147-8DD204E4480F}"/>
    <cellStyle name="Normal 2 5 3 9 2 2 2" xfId="14291" xr:uid="{E20397AF-53DF-47D0-BAFB-5F4B5D9BE023}"/>
    <cellStyle name="Normal 2 5 3 9 2 3" xfId="5462" xr:uid="{EB831E51-B4C3-4A1C-8F22-791CFBAFEFF1}"/>
    <cellStyle name="Normal 2 5 3 9 2 3 2" xfId="14292" xr:uid="{B3B14FE7-C1A2-4063-9FDC-DB970B2C50DA}"/>
    <cellStyle name="Normal 2 5 3 9 2 4" xfId="14290" xr:uid="{80B8C1F1-71F1-47A4-BC50-850FF558FB3A}"/>
    <cellStyle name="Normal 2 5 3 9 3" xfId="5463" xr:uid="{21B4A274-E762-40DD-BDC5-7568E2145560}"/>
    <cellStyle name="Normal 2 5 3 9 3 2" xfId="14293" xr:uid="{EFD8D951-E4BB-4411-9185-20D1B444FEF0}"/>
    <cellStyle name="Normal 2 5 3 9 4" xfId="5464" xr:uid="{52860ED9-4980-4004-A622-2C35D8664D72}"/>
    <cellStyle name="Normal 2 5 3 9 4 2" xfId="14294" xr:uid="{3918F07C-3D35-4C2F-9C83-E4FA59A28EFE}"/>
    <cellStyle name="Normal 2 5 3 9 5" xfId="14289" xr:uid="{6977F3E5-6072-4E7E-8B28-1450A9E5B9D7}"/>
    <cellStyle name="Normal 2 5 30" xfId="5465" xr:uid="{A16D8C5A-BAC7-4E00-84A6-21A9CFAF6C9D}"/>
    <cellStyle name="Normal 2 5 30 2" xfId="5466" xr:uid="{31F02096-E201-45CB-ABE2-089673E8C376}"/>
    <cellStyle name="Normal 2 5 30 2 2" xfId="5467" xr:uid="{3F91949E-6DFB-469B-A638-7FE653A0E923}"/>
    <cellStyle name="Normal 2 5 30 2 2 2" xfId="14297" xr:uid="{9A4D70B9-43DD-4EA8-9F8F-AEE343C771E5}"/>
    <cellStyle name="Normal 2 5 30 2 3" xfId="5468" xr:uid="{9D1FB8B6-730B-450B-8312-F215A3B5021D}"/>
    <cellStyle name="Normal 2 5 30 2 3 2" xfId="14298" xr:uid="{281D2590-0934-40D9-AE5D-6721787E7FDF}"/>
    <cellStyle name="Normal 2 5 30 2 4" xfId="14296" xr:uid="{254AE68F-D753-4B90-820B-37B02FAF5945}"/>
    <cellStyle name="Normal 2 5 30 3" xfId="5469" xr:uid="{E7C3476E-CE1D-4C7C-86C4-7C19160A5B21}"/>
    <cellStyle name="Normal 2 5 30 3 2" xfId="14299" xr:uid="{07E5B901-1EA3-4432-9A1C-C19751F517FE}"/>
    <cellStyle name="Normal 2 5 30 4" xfId="5470" xr:uid="{3D094FB0-3276-43D7-B0EA-2A410E9534DC}"/>
    <cellStyle name="Normal 2 5 30 4 2" xfId="14300" xr:uid="{8CB11AE8-AA1C-4356-A7D1-7C32CEDAE1D6}"/>
    <cellStyle name="Normal 2 5 30 5" xfId="14295" xr:uid="{4D7C899D-1EC1-40CD-93C6-A825071C727D}"/>
    <cellStyle name="Normal 2 5 31" xfId="5471" xr:uid="{44E754EF-F518-43A4-B24B-0B4B7BD2DE4B}"/>
    <cellStyle name="Normal 2 5 31 2" xfId="5472" xr:uid="{8150A5D9-D3D6-45D5-855F-FE1F58EBEF37}"/>
    <cellStyle name="Normal 2 5 31 2 2" xfId="5473" xr:uid="{E3AE6BCD-57E5-47E4-9110-65EC6A7C8B0F}"/>
    <cellStyle name="Normal 2 5 31 2 2 2" xfId="14303" xr:uid="{6F38AB7F-03B9-47E4-B084-0B60FA7FE15F}"/>
    <cellStyle name="Normal 2 5 31 2 3" xfId="5474" xr:uid="{3A79A407-6945-4370-A1D7-8DFDCA125A7D}"/>
    <cellStyle name="Normal 2 5 31 2 3 2" xfId="14304" xr:uid="{85614622-1066-4BAF-B309-1FE25AAD5EF9}"/>
    <cellStyle name="Normal 2 5 31 2 4" xfId="14302" xr:uid="{F17B277F-A3E5-4E8C-BAD3-F5D392D837B8}"/>
    <cellStyle name="Normal 2 5 31 3" xfId="5475" xr:uid="{B9BD3E96-7F20-40AE-B8ED-7C42F6EE156E}"/>
    <cellStyle name="Normal 2 5 31 3 2" xfId="14305" xr:uid="{D1376C30-9665-4FF5-AAB8-243D85EF4A94}"/>
    <cellStyle name="Normal 2 5 31 4" xfId="5476" xr:uid="{CBC92A69-678B-4746-AE2D-6F9EB66BB359}"/>
    <cellStyle name="Normal 2 5 31 4 2" xfId="14306" xr:uid="{CF1C01BD-4D94-4C4C-B848-E640C86601D8}"/>
    <cellStyle name="Normal 2 5 31 5" xfId="14301" xr:uid="{811B9B1C-E8EE-44DC-BEA7-ED063A947E05}"/>
    <cellStyle name="Normal 2 5 32" xfId="5477" xr:uid="{80BB65DB-2CB8-40E7-BDDA-F0C0EF74EF64}"/>
    <cellStyle name="Normal 2 5 32 2" xfId="5478" xr:uid="{3A423EAA-751E-4AE7-8E7E-3A086AFE90ED}"/>
    <cellStyle name="Normal 2 5 32 2 2" xfId="5479" xr:uid="{DD38C9AD-0598-47C0-9FA4-694296E3888B}"/>
    <cellStyle name="Normal 2 5 32 2 2 2" xfId="14309" xr:uid="{DBB926EA-7616-4B04-9B31-7AF71A36B880}"/>
    <cellStyle name="Normal 2 5 32 2 3" xfId="5480" xr:uid="{F65E1CA7-A799-4757-97DF-799A0CA3A800}"/>
    <cellStyle name="Normal 2 5 32 2 3 2" xfId="14310" xr:uid="{913CA702-2687-48A5-A7FB-CE9C8684A16E}"/>
    <cellStyle name="Normal 2 5 32 2 4" xfId="14308" xr:uid="{0C99F331-7AD8-4521-80DD-01305B23B9F8}"/>
    <cellStyle name="Normal 2 5 32 3" xfId="5481" xr:uid="{D0E4107B-1B2F-480F-AE75-209632F5E2EE}"/>
    <cellStyle name="Normal 2 5 32 3 2" xfId="14311" xr:uid="{8F8A7853-5AD4-4FE0-809A-CFB15888363A}"/>
    <cellStyle name="Normal 2 5 32 4" xfId="5482" xr:uid="{78C51D52-0434-4519-B5C4-3B6972208C21}"/>
    <cellStyle name="Normal 2 5 32 4 2" xfId="14312" xr:uid="{B1C5462E-65E9-46CC-966E-41A7038AB5FA}"/>
    <cellStyle name="Normal 2 5 32 5" xfId="14307" xr:uid="{52CF11D2-336E-409C-8977-B558159F3069}"/>
    <cellStyle name="Normal 2 5 33" xfId="5483" xr:uid="{97A346D6-1E30-4F97-AA90-9EAEBB3268CE}"/>
    <cellStyle name="Normal 2 5 33 2" xfId="5484" xr:uid="{9270B519-AAA4-4473-BE41-B36F98951E36}"/>
    <cellStyle name="Normal 2 5 33 2 2" xfId="5485" xr:uid="{A9DBA583-1AB6-4202-8E6B-D9D47E0A755F}"/>
    <cellStyle name="Normal 2 5 33 2 2 2" xfId="14315" xr:uid="{D99F105A-7E44-46DD-8049-A93951E657A6}"/>
    <cellStyle name="Normal 2 5 33 2 3" xfId="5486" xr:uid="{6756471F-B760-4F85-B45C-DC7779485437}"/>
    <cellStyle name="Normal 2 5 33 2 3 2" xfId="14316" xr:uid="{D63A25FD-43D3-455D-8AD5-82F104D4A401}"/>
    <cellStyle name="Normal 2 5 33 2 4" xfId="14314" xr:uid="{617ECC77-D143-47B1-8687-C7597FC9303A}"/>
    <cellStyle name="Normal 2 5 33 3" xfId="5487" xr:uid="{7B3170AE-289B-43DA-8DF6-63742105296E}"/>
    <cellStyle name="Normal 2 5 33 3 2" xfId="14317" xr:uid="{DF855850-04D4-4C58-9C8B-ECB64CB46217}"/>
    <cellStyle name="Normal 2 5 33 4" xfId="5488" xr:uid="{3329EAA1-CF99-4307-A14A-37EE8F23037D}"/>
    <cellStyle name="Normal 2 5 33 4 2" xfId="14318" xr:uid="{2DAE6794-0FED-493E-9898-06587D4D042E}"/>
    <cellStyle name="Normal 2 5 33 5" xfId="14313" xr:uid="{A2C7AADD-AACC-4E19-864C-7F27F0FEA321}"/>
    <cellStyle name="Normal 2 5 34" xfId="5489" xr:uid="{909DBC74-815F-4ED6-B75D-E0EA2F2DF2CF}"/>
    <cellStyle name="Normal 2 5 34 2" xfId="5490" xr:uid="{F29589AA-AC9E-475C-953E-59FFF35B914D}"/>
    <cellStyle name="Normal 2 5 34 2 2" xfId="5491" xr:uid="{19967F7D-ECE6-49A3-8477-7EF522DE5BA4}"/>
    <cellStyle name="Normal 2 5 34 2 2 2" xfId="14321" xr:uid="{79560E8D-2B26-4278-A62C-52F0C16AC3D7}"/>
    <cellStyle name="Normal 2 5 34 2 3" xfId="5492" xr:uid="{2DEFBEE4-51BF-4A69-B849-2D0B958AB91E}"/>
    <cellStyle name="Normal 2 5 34 2 3 2" xfId="14322" xr:uid="{3AE3E532-C3CA-4586-9641-AA48B5236080}"/>
    <cellStyle name="Normal 2 5 34 2 4" xfId="14320" xr:uid="{88001383-F9C3-4398-9A32-E7B5744E81F6}"/>
    <cellStyle name="Normal 2 5 34 3" xfId="5493" xr:uid="{C0BF25BE-38C7-451D-B1BD-DA86385A1F60}"/>
    <cellStyle name="Normal 2 5 34 3 2" xfId="14323" xr:uid="{DCA22A63-B848-4F05-AD65-36C86892C0CC}"/>
    <cellStyle name="Normal 2 5 34 4" xfId="5494" xr:uid="{332C677C-0BF7-427C-A122-AEA05280731A}"/>
    <cellStyle name="Normal 2 5 34 4 2" xfId="14324" xr:uid="{6D7467EC-DF87-41CD-A5B0-D4E4B7B6FCA5}"/>
    <cellStyle name="Normal 2 5 34 5" xfId="14319" xr:uid="{163812FF-825A-4B19-8AFC-BE6480E76217}"/>
    <cellStyle name="Normal 2 5 35" xfId="5495" xr:uid="{5C994700-0DD9-4A3A-AAB0-D667DA68AE43}"/>
    <cellStyle name="Normal 2 5 35 2" xfId="5496" xr:uid="{DBF39969-1CC1-44E0-8B1D-3538A2684CCD}"/>
    <cellStyle name="Normal 2 5 35 2 2" xfId="5497" xr:uid="{07B854DD-0557-490D-914C-AB117E249561}"/>
    <cellStyle name="Normal 2 5 35 2 2 2" xfId="14327" xr:uid="{35E12008-5F30-4C65-9D75-5448A47A11B8}"/>
    <cellStyle name="Normal 2 5 35 2 3" xfId="5498" xr:uid="{BFDD7BF6-92C6-4C55-831B-FAB96B604D4C}"/>
    <cellStyle name="Normal 2 5 35 2 3 2" xfId="14328" xr:uid="{64264B18-8F7F-45F8-8A9D-34B92CB9254F}"/>
    <cellStyle name="Normal 2 5 35 2 4" xfId="14326" xr:uid="{6E0308FB-467C-42A0-9DCD-99CF77625939}"/>
    <cellStyle name="Normal 2 5 35 3" xfId="5499" xr:uid="{66AD9DE0-6E14-4AF0-9EE2-D1692300296B}"/>
    <cellStyle name="Normal 2 5 35 3 2" xfId="14329" xr:uid="{11A84B71-CB06-404F-AD13-5A14B5BE8B76}"/>
    <cellStyle name="Normal 2 5 35 4" xfId="5500" xr:uid="{3FBD7592-42FE-4B3C-9CD2-93079A7BED5E}"/>
    <cellStyle name="Normal 2 5 35 4 2" xfId="14330" xr:uid="{3F7A252A-3F93-4E50-A58B-25501C5C72B1}"/>
    <cellStyle name="Normal 2 5 35 5" xfId="14325" xr:uid="{E4C4F01E-4832-4D8B-AA99-F8CD592A273D}"/>
    <cellStyle name="Normal 2 5 36" xfId="5501" xr:uid="{78F3039B-4B8B-43D1-B316-B7796BD95B32}"/>
    <cellStyle name="Normal 2 5 36 2" xfId="5502" xr:uid="{57B6727B-92DD-436F-8B0D-9DD5720ED509}"/>
    <cellStyle name="Normal 2 5 36 2 2" xfId="5503" xr:uid="{E8331BB4-C807-4185-B0B0-07E2E9BE6D96}"/>
    <cellStyle name="Normal 2 5 36 2 2 2" xfId="14333" xr:uid="{F01B61DC-E151-4AB3-BFE4-C7B0E5112199}"/>
    <cellStyle name="Normal 2 5 36 2 3" xfId="5504" xr:uid="{D8E91336-2ABB-46F1-9C62-20B1377C5537}"/>
    <cellStyle name="Normal 2 5 36 2 3 2" xfId="14334" xr:uid="{7A328038-36D0-4582-A9C0-6B4591BCCB65}"/>
    <cellStyle name="Normal 2 5 36 2 4" xfId="14332" xr:uid="{50D936D0-A447-4796-B10F-454E507CE639}"/>
    <cellStyle name="Normal 2 5 36 3" xfId="5505" xr:uid="{EC9A9F43-CD93-46C9-B765-8532874395D8}"/>
    <cellStyle name="Normal 2 5 36 3 2" xfId="14335" xr:uid="{7E369EFF-CFB0-4508-BF04-C31D35837CFF}"/>
    <cellStyle name="Normal 2 5 36 4" xfId="5506" xr:uid="{CDB2A08A-7390-4D70-98D4-C08289F63D53}"/>
    <cellStyle name="Normal 2 5 36 4 2" xfId="14336" xr:uid="{0087DC1A-39E0-4B06-B844-351D12136509}"/>
    <cellStyle name="Normal 2 5 36 5" xfId="14331" xr:uid="{05119889-9FDF-4E5A-9E2D-D0D2746FCED7}"/>
    <cellStyle name="Normal 2 5 37" xfId="5507" xr:uid="{08ECEC70-0751-46B1-802C-9FCA8090250B}"/>
    <cellStyle name="Normal 2 5 37 2" xfId="5508" xr:uid="{D396817A-2C9A-4CB8-8EB6-FBC53B62A76B}"/>
    <cellStyle name="Normal 2 5 37 2 2" xfId="5509" xr:uid="{1AF5D5DC-891E-4E84-873F-4ED46E07B729}"/>
    <cellStyle name="Normal 2 5 37 2 2 2" xfId="14339" xr:uid="{8A0559C9-92C0-4F5E-8227-28AA0BE12137}"/>
    <cellStyle name="Normal 2 5 37 2 3" xfId="5510" xr:uid="{AF4F1F4F-FB89-4F78-A307-51F0156946EE}"/>
    <cellStyle name="Normal 2 5 37 2 3 2" xfId="14340" xr:uid="{45C57A88-0FA3-4D73-80CF-13F46E877167}"/>
    <cellStyle name="Normal 2 5 37 2 4" xfId="14338" xr:uid="{68E0072F-3719-4E47-A837-FC44F2A0A2CC}"/>
    <cellStyle name="Normal 2 5 37 3" xfId="5511" xr:uid="{E7260EBD-7353-4750-9A5E-93A66827FB26}"/>
    <cellStyle name="Normal 2 5 37 3 2" xfId="14341" xr:uid="{AC807C22-50D0-4C2A-943D-D98816C511B9}"/>
    <cellStyle name="Normal 2 5 37 4" xfId="5512" xr:uid="{2A5D89C6-A739-4E82-A4D4-8BB2E14146EE}"/>
    <cellStyle name="Normal 2 5 37 4 2" xfId="14342" xr:uid="{0F847C26-A0AB-4E8C-8039-095659D7B594}"/>
    <cellStyle name="Normal 2 5 37 5" xfId="14337" xr:uid="{B63FD930-34ED-45B1-B9D9-33BF8AE24A0F}"/>
    <cellStyle name="Normal 2 5 38" xfId="5513" xr:uid="{64FA17A8-633B-42DB-A42C-710436C3F58D}"/>
    <cellStyle name="Normal 2 5 38 2" xfId="5514" xr:uid="{7D04DFA0-79D1-4371-8FC5-945ED9C861EA}"/>
    <cellStyle name="Normal 2 5 38 2 2" xfId="5515" xr:uid="{81878540-7101-4844-994D-778C27303427}"/>
    <cellStyle name="Normal 2 5 38 2 2 2" xfId="14345" xr:uid="{003CC60F-6F15-4810-9437-01A6ABDA13EB}"/>
    <cellStyle name="Normal 2 5 38 2 3" xfId="5516" xr:uid="{FED5CD47-272A-4BC4-B758-0C5B0AB8074D}"/>
    <cellStyle name="Normal 2 5 38 2 3 2" xfId="14346" xr:uid="{92336B3F-72B2-40A9-915A-E84D4ED05436}"/>
    <cellStyle name="Normal 2 5 38 2 4" xfId="14344" xr:uid="{33659732-BC37-4279-8139-38346AE94B08}"/>
    <cellStyle name="Normal 2 5 38 3" xfId="5517" xr:uid="{F0D956D7-C5A3-4FD0-861B-09057CEDB92C}"/>
    <cellStyle name="Normal 2 5 38 3 2" xfId="14347" xr:uid="{0C91BB1B-2197-4150-8A98-B1E4DC0F2593}"/>
    <cellStyle name="Normal 2 5 38 4" xfId="5518" xr:uid="{24A49CC4-1628-4E21-8643-ACDAD553EB73}"/>
    <cellStyle name="Normal 2 5 38 4 2" xfId="14348" xr:uid="{7F9E752E-F29D-451B-80EB-C692D4904B01}"/>
    <cellStyle name="Normal 2 5 38 5" xfId="14343" xr:uid="{F9355565-F100-4DCB-A6F5-E244913876BE}"/>
    <cellStyle name="Normal 2 5 39" xfId="5519" xr:uid="{E1F3692F-76AA-47E2-9D15-83EAD3092746}"/>
    <cellStyle name="Normal 2 5 39 2" xfId="5520" xr:uid="{1340449E-55FC-4087-AD5B-E6D634543C12}"/>
    <cellStyle name="Normal 2 5 39 2 2" xfId="5521" xr:uid="{6F83A61A-AEFF-4C4F-9C08-7CF93352E22F}"/>
    <cellStyle name="Normal 2 5 39 2 2 2" xfId="14351" xr:uid="{3749CC5F-109E-4DAA-8B78-4DD8B8C49C98}"/>
    <cellStyle name="Normal 2 5 39 2 3" xfId="5522" xr:uid="{67ECDDEA-1051-4A38-97C7-B78B9EB026A3}"/>
    <cellStyle name="Normal 2 5 39 2 3 2" xfId="14352" xr:uid="{90F8935E-881C-4F14-BBAB-67EF789AED9E}"/>
    <cellStyle name="Normal 2 5 39 2 4" xfId="14350" xr:uid="{755B3BC7-F3BB-4882-99B3-10BA9B0AC854}"/>
    <cellStyle name="Normal 2 5 39 3" xfId="5523" xr:uid="{1D4E0928-5453-4DD0-BADF-154F71AC058E}"/>
    <cellStyle name="Normal 2 5 39 3 2" xfId="14353" xr:uid="{ED96BEA2-1B62-4147-ACF8-5761AA0901E3}"/>
    <cellStyle name="Normal 2 5 39 4" xfId="5524" xr:uid="{BCAA6FAA-3BEA-4441-B416-09305D364E3D}"/>
    <cellStyle name="Normal 2 5 39 4 2" xfId="14354" xr:uid="{A534FE1D-411A-472E-A446-5725EBF9E365}"/>
    <cellStyle name="Normal 2 5 39 5" xfId="14349" xr:uid="{13F95154-6045-4013-9D86-4E762F683259}"/>
    <cellStyle name="Normal 2 5 4" xfId="5525" xr:uid="{DECB908F-695F-4EC1-9C87-91687A26A0C0}"/>
    <cellStyle name="Normal 2 5 4 10" xfId="5526" xr:uid="{EE3FBCC5-D5BB-4138-9937-3277C5265671}"/>
    <cellStyle name="Normal 2 5 4 10 2" xfId="5527" xr:uid="{9B6AF83E-B252-4EBD-BED4-445466CA2071}"/>
    <cellStyle name="Normal 2 5 4 10 2 2" xfId="5528" xr:uid="{38D8D8A2-9679-4E43-9CBB-83898F8C8246}"/>
    <cellStyle name="Normal 2 5 4 10 2 2 2" xfId="14358" xr:uid="{988B1F77-741E-497A-8645-805D946DE9FD}"/>
    <cellStyle name="Normal 2 5 4 10 2 3" xfId="5529" xr:uid="{D81C0A5D-5F84-4821-A03A-F3D36C4D5DDB}"/>
    <cellStyle name="Normal 2 5 4 10 2 3 2" xfId="14359" xr:uid="{B6D48632-9F11-4E84-A860-53927A91A911}"/>
    <cellStyle name="Normal 2 5 4 10 2 4" xfId="14357" xr:uid="{7A1FB14E-73E6-41F1-9E33-750E9E540079}"/>
    <cellStyle name="Normal 2 5 4 10 3" xfId="5530" xr:uid="{1F1CD3A3-F402-496D-B4A6-2869CA322789}"/>
    <cellStyle name="Normal 2 5 4 10 3 2" xfId="14360" xr:uid="{1AC4898B-5EA4-4BC6-B20B-42F01207A5A8}"/>
    <cellStyle name="Normal 2 5 4 10 4" xfId="5531" xr:uid="{6C94936B-208B-4D57-8F14-975FFD5A3FB3}"/>
    <cellStyle name="Normal 2 5 4 10 4 2" xfId="14361" xr:uid="{C4A671FE-B125-482D-BDA4-415C03F36521}"/>
    <cellStyle name="Normal 2 5 4 10 5" xfId="14356" xr:uid="{AF8D82A7-121D-4310-B29E-777EE0AB7182}"/>
    <cellStyle name="Normal 2 5 4 11" xfId="5532" xr:uid="{0A8DB077-9331-476F-BE71-60564083D0CB}"/>
    <cellStyle name="Normal 2 5 4 11 2" xfId="5533" xr:uid="{69FF9C0E-2168-47ED-B013-0F970B1268E0}"/>
    <cellStyle name="Normal 2 5 4 11 2 2" xfId="5534" xr:uid="{20C44E6F-D2CE-4E52-BC3A-F62C263C2581}"/>
    <cellStyle name="Normal 2 5 4 11 2 2 2" xfId="14364" xr:uid="{FC271B7E-CE73-4C99-871E-9D8B94644049}"/>
    <cellStyle name="Normal 2 5 4 11 2 3" xfId="5535" xr:uid="{1E43C1ED-2906-4E42-9658-DCDF967CC093}"/>
    <cellStyle name="Normal 2 5 4 11 2 3 2" xfId="14365" xr:uid="{D49A66F1-5FC4-4D19-9744-3580DBBACCA1}"/>
    <cellStyle name="Normal 2 5 4 11 2 4" xfId="14363" xr:uid="{5E5580F7-C24B-4101-B799-213FF959E955}"/>
    <cellStyle name="Normal 2 5 4 11 3" xfId="5536" xr:uid="{FA53A7AE-2AC2-4A1A-BD34-19A2D446EAC8}"/>
    <cellStyle name="Normal 2 5 4 11 3 2" xfId="14366" xr:uid="{6952D576-5F69-4EE6-ADCA-30560D3D9E28}"/>
    <cellStyle name="Normal 2 5 4 11 4" xfId="5537" xr:uid="{C05AC77C-DAAE-4D2F-954F-B043D2479CF7}"/>
    <cellStyle name="Normal 2 5 4 11 4 2" xfId="14367" xr:uid="{7FF00A8D-E40A-4245-B0E2-D75D43110744}"/>
    <cellStyle name="Normal 2 5 4 11 5" xfId="14362" xr:uid="{841371F9-E41B-401C-A519-8C994C494E19}"/>
    <cellStyle name="Normal 2 5 4 12" xfId="5538" xr:uid="{802F91F7-3E64-4178-923C-2A316CC1D117}"/>
    <cellStyle name="Normal 2 5 4 12 2" xfId="5539" xr:uid="{BC284C75-FF2A-4EC6-AB8A-4B2E0DB4D580}"/>
    <cellStyle name="Normal 2 5 4 12 2 2" xfId="5540" xr:uid="{05470B4A-46D2-4E8D-B8B0-922D9825B2F1}"/>
    <cellStyle name="Normal 2 5 4 12 2 2 2" xfId="14370" xr:uid="{0BE38FE8-E52E-4EF2-B0CE-78BD5BB4A46F}"/>
    <cellStyle name="Normal 2 5 4 12 2 3" xfId="5541" xr:uid="{0A1D0C02-135A-484F-A4CE-6087C56CED38}"/>
    <cellStyle name="Normal 2 5 4 12 2 3 2" xfId="14371" xr:uid="{041940E2-2A2A-4626-9263-3EF2D879A774}"/>
    <cellStyle name="Normal 2 5 4 12 2 4" xfId="14369" xr:uid="{D6863BAC-776F-4B60-866A-F0D59B885AA7}"/>
    <cellStyle name="Normal 2 5 4 12 3" xfId="5542" xr:uid="{9B1306E9-352C-4A60-A06B-FE84D98734EC}"/>
    <cellStyle name="Normal 2 5 4 12 3 2" xfId="14372" xr:uid="{87F372A1-DEDE-4A51-B5F6-573A4717BBD4}"/>
    <cellStyle name="Normal 2 5 4 12 4" xfId="5543" xr:uid="{9FD985C2-6692-4201-B1B8-1472C541D5F7}"/>
    <cellStyle name="Normal 2 5 4 12 4 2" xfId="14373" xr:uid="{8F574FF8-7965-4627-AB10-3420C3607E46}"/>
    <cellStyle name="Normal 2 5 4 12 5" xfId="14368" xr:uid="{E6B2D45A-214A-4FBF-9EAE-F31A89D9BD8A}"/>
    <cellStyle name="Normal 2 5 4 13" xfId="5544" xr:uid="{399290DC-064D-42EB-B6F5-625EAEB56A42}"/>
    <cellStyle name="Normal 2 5 4 13 2" xfId="5545" xr:uid="{86FB15AC-5D10-4538-8919-454851C04A86}"/>
    <cellStyle name="Normal 2 5 4 13 2 2" xfId="5546" xr:uid="{ABA91EBB-E137-4EE7-A592-6D47F0A9FD0B}"/>
    <cellStyle name="Normal 2 5 4 13 2 2 2" xfId="14376" xr:uid="{8DA32E7F-71CE-4F04-A617-BA4C1188B428}"/>
    <cellStyle name="Normal 2 5 4 13 2 3" xfId="5547" xr:uid="{28CF1022-4315-4C33-83F5-DCB36184BF3E}"/>
    <cellStyle name="Normal 2 5 4 13 2 3 2" xfId="14377" xr:uid="{052B0324-22D1-4D69-A5DA-4430E35A066E}"/>
    <cellStyle name="Normal 2 5 4 13 2 4" xfId="14375" xr:uid="{5F1D6E0C-5B57-400D-8AF8-7FBE59799998}"/>
    <cellStyle name="Normal 2 5 4 13 3" xfId="5548" xr:uid="{04B398B2-8BF3-4674-94D2-C4A5720B813F}"/>
    <cellStyle name="Normal 2 5 4 13 3 2" xfId="14378" xr:uid="{2449EB74-963E-4995-B1CA-CD476A68977D}"/>
    <cellStyle name="Normal 2 5 4 13 4" xfId="5549" xr:uid="{E8AF12E8-CA6E-4243-AB74-7FCFC177A9F0}"/>
    <cellStyle name="Normal 2 5 4 13 4 2" xfId="14379" xr:uid="{C1965F2E-7B17-422E-8C6D-610884B795FA}"/>
    <cellStyle name="Normal 2 5 4 13 5" xfId="14374" xr:uid="{1E13C4B4-3930-4E18-8C07-C28289ED4EB1}"/>
    <cellStyle name="Normal 2 5 4 14" xfId="5550" xr:uid="{74F8351C-DD78-40C2-91F0-50F1DEB7FCB3}"/>
    <cellStyle name="Normal 2 5 4 14 2" xfId="5551" xr:uid="{2F0C7C36-9AD6-43EE-954B-5CCDC2747E77}"/>
    <cellStyle name="Normal 2 5 4 14 2 2" xfId="5552" xr:uid="{0933D4C8-C7EC-47F0-B413-4F69912A31AE}"/>
    <cellStyle name="Normal 2 5 4 14 2 2 2" xfId="14382" xr:uid="{AA63B4AA-B65F-417D-BD67-204F08F6C360}"/>
    <cellStyle name="Normal 2 5 4 14 2 3" xfId="5553" xr:uid="{AD54377B-FCF5-48E6-9BDD-5E212E8D2C80}"/>
    <cellStyle name="Normal 2 5 4 14 2 3 2" xfId="14383" xr:uid="{D540E593-1ECC-4A14-A5E8-AC254A1CCB5F}"/>
    <cellStyle name="Normal 2 5 4 14 2 4" xfId="14381" xr:uid="{BB5FBF00-D465-453F-9290-9F477CB62720}"/>
    <cellStyle name="Normal 2 5 4 14 3" xfId="5554" xr:uid="{77B426BD-C953-4762-8358-B00E0322E942}"/>
    <cellStyle name="Normal 2 5 4 14 3 2" xfId="14384" xr:uid="{AD05FC37-C1AA-4EDC-852D-CACA5953A61F}"/>
    <cellStyle name="Normal 2 5 4 14 4" xfId="5555" xr:uid="{5F915660-3C31-427B-9B0D-83BBB5BB4375}"/>
    <cellStyle name="Normal 2 5 4 14 4 2" xfId="14385" xr:uid="{6D7AD05D-F885-448F-82BB-03244E5E8BEE}"/>
    <cellStyle name="Normal 2 5 4 14 5" xfId="14380" xr:uid="{613D5EC1-4639-4C31-88A6-FD18DB1399DB}"/>
    <cellStyle name="Normal 2 5 4 15" xfId="5556" xr:uid="{AA6D9903-7CD4-47E6-92D2-DE10091BD348}"/>
    <cellStyle name="Normal 2 5 4 15 2" xfId="5557" xr:uid="{ECC476E1-2D11-41B7-9936-15A355B4EBCD}"/>
    <cellStyle name="Normal 2 5 4 15 2 2" xfId="5558" xr:uid="{19ABD3FD-A1BB-4378-8D1E-4712C2531ACB}"/>
    <cellStyle name="Normal 2 5 4 15 2 2 2" xfId="14388" xr:uid="{BCB7D52F-DA83-4F3E-B6AE-6B74F06570F7}"/>
    <cellStyle name="Normal 2 5 4 15 2 3" xfId="5559" xr:uid="{75E1D613-F4BD-4536-A117-8E153E94B878}"/>
    <cellStyle name="Normal 2 5 4 15 2 3 2" xfId="14389" xr:uid="{444785EC-8F95-4133-936C-D9B3FE6928E6}"/>
    <cellStyle name="Normal 2 5 4 15 2 4" xfId="14387" xr:uid="{646FE7E4-BADA-411C-850C-CD6698E4C326}"/>
    <cellStyle name="Normal 2 5 4 15 3" xfId="5560" xr:uid="{EB0ECCFD-A2CC-4C6E-9515-4965763B090D}"/>
    <cellStyle name="Normal 2 5 4 15 3 2" xfId="14390" xr:uid="{A8470C59-75AC-45E2-AE6D-63FF2F936935}"/>
    <cellStyle name="Normal 2 5 4 15 4" xfId="5561" xr:uid="{A6F1E66F-69A6-484B-B06C-AE52B69AC3BD}"/>
    <cellStyle name="Normal 2 5 4 15 4 2" xfId="14391" xr:uid="{8984DFD1-3C0B-4F81-A9D3-D8C1A9A9C56B}"/>
    <cellStyle name="Normal 2 5 4 15 5" xfId="14386" xr:uid="{3BCA7038-66BE-4257-88D8-906D0427F1B5}"/>
    <cellStyle name="Normal 2 5 4 16" xfId="5562" xr:uid="{CDFBB44C-CD9A-4809-9379-C709026AB125}"/>
    <cellStyle name="Normal 2 5 4 16 2" xfId="5563" xr:uid="{C8E84686-4515-47F3-871E-16BF128B8B3F}"/>
    <cellStyle name="Normal 2 5 4 16 2 2" xfId="5564" xr:uid="{F4518340-2BF1-4E55-B968-401298ABE3EE}"/>
    <cellStyle name="Normal 2 5 4 16 2 2 2" xfId="14394" xr:uid="{E2154192-0D1D-4EBE-AD2D-D028BD7949B6}"/>
    <cellStyle name="Normal 2 5 4 16 2 3" xfId="5565" xr:uid="{7C5814FE-D9C8-4AF3-8F43-0443DD018626}"/>
    <cellStyle name="Normal 2 5 4 16 2 3 2" xfId="14395" xr:uid="{6DCDB59E-A349-40F8-9933-CB1BE0369FBA}"/>
    <cellStyle name="Normal 2 5 4 16 2 4" xfId="14393" xr:uid="{53FC8619-E237-4E20-B261-EA2C52722D90}"/>
    <cellStyle name="Normal 2 5 4 16 3" xfId="5566" xr:uid="{61F72452-EB07-4A13-A6F5-DCBBA2F58D12}"/>
    <cellStyle name="Normal 2 5 4 16 3 2" xfId="14396" xr:uid="{6198973C-3712-4564-8D9C-2F19B556FB9B}"/>
    <cellStyle name="Normal 2 5 4 16 4" xfId="5567" xr:uid="{6AD18301-94AF-4234-9F3B-235FF967AD9B}"/>
    <cellStyle name="Normal 2 5 4 16 4 2" xfId="14397" xr:uid="{80876ED5-7F81-4BF5-AC18-CDA5408CC7EE}"/>
    <cellStyle name="Normal 2 5 4 16 5" xfId="14392" xr:uid="{7C54CA66-6461-4FEC-AE39-AB7D8AC50789}"/>
    <cellStyle name="Normal 2 5 4 17" xfId="5568" xr:uid="{39D57410-3EB0-41ED-A8C4-5B095D08790E}"/>
    <cellStyle name="Normal 2 5 4 17 2" xfId="5569" xr:uid="{4923B5D8-7F71-421E-8BE9-34ECAA8B7255}"/>
    <cellStyle name="Normal 2 5 4 17 2 2" xfId="5570" xr:uid="{5448C5BD-4700-499D-B618-8E834B865674}"/>
    <cellStyle name="Normal 2 5 4 17 2 2 2" xfId="14400" xr:uid="{1325FE73-947F-454B-B077-2D51598859E6}"/>
    <cellStyle name="Normal 2 5 4 17 2 3" xfId="5571" xr:uid="{E9C4096C-052D-46CE-B52B-4FD559477BEA}"/>
    <cellStyle name="Normal 2 5 4 17 2 3 2" xfId="14401" xr:uid="{8C5A0ECC-2729-4306-A1FD-0713DB298A4C}"/>
    <cellStyle name="Normal 2 5 4 17 2 4" xfId="14399" xr:uid="{996971D5-855B-47FD-93A5-1A593AC8308A}"/>
    <cellStyle name="Normal 2 5 4 17 3" xfId="5572" xr:uid="{7CA0F50D-FD79-4C00-90FF-2D2F3021CE12}"/>
    <cellStyle name="Normal 2 5 4 17 3 2" xfId="14402" xr:uid="{A9E3B72B-DAFF-4786-95A0-DB5D03DD6EC0}"/>
    <cellStyle name="Normal 2 5 4 17 4" xfId="5573" xr:uid="{0E42C698-AE27-4F57-8A6E-BF388F54570F}"/>
    <cellStyle name="Normal 2 5 4 17 4 2" xfId="14403" xr:uid="{6C2AA72A-4229-4F49-ABF0-3ABA0F3BB224}"/>
    <cellStyle name="Normal 2 5 4 17 5" xfId="14398" xr:uid="{D54B2F79-9B6D-466A-8539-4982DEBE43E8}"/>
    <cellStyle name="Normal 2 5 4 18" xfId="5574" xr:uid="{0A669E8E-C0E9-455E-AF4A-8DE71F28F2B6}"/>
    <cellStyle name="Normal 2 5 4 18 2" xfId="5575" xr:uid="{2C392DCF-8C4E-4E5E-BAE2-97391516BDF0}"/>
    <cellStyle name="Normal 2 5 4 18 2 2" xfId="5576" xr:uid="{CA042232-5FE8-4516-98F0-F78E1D3B7E4D}"/>
    <cellStyle name="Normal 2 5 4 18 2 2 2" xfId="14406" xr:uid="{26B63DF3-6813-4270-8595-9559B08F2E73}"/>
    <cellStyle name="Normal 2 5 4 18 2 3" xfId="5577" xr:uid="{186F7967-5658-4D67-9FF5-84EA653BCB33}"/>
    <cellStyle name="Normal 2 5 4 18 2 3 2" xfId="14407" xr:uid="{34C8C96A-133E-40FE-A6E4-7E846AA6423F}"/>
    <cellStyle name="Normal 2 5 4 18 2 4" xfId="14405" xr:uid="{88AED3F6-1C35-4F2E-9985-DB9CDCB9A63D}"/>
    <cellStyle name="Normal 2 5 4 18 3" xfId="5578" xr:uid="{766D13ED-31A1-4898-A507-01EA2665B8BF}"/>
    <cellStyle name="Normal 2 5 4 18 3 2" xfId="14408" xr:uid="{AFABFBBE-3960-461A-8C4F-CC48724E754E}"/>
    <cellStyle name="Normal 2 5 4 18 4" xfId="5579" xr:uid="{742AB05A-7AD3-4DE1-88C4-3E4CA8296ADC}"/>
    <cellStyle name="Normal 2 5 4 18 4 2" xfId="14409" xr:uid="{E8A1505E-51D4-4B9F-9515-466B1A855176}"/>
    <cellStyle name="Normal 2 5 4 18 5" xfId="14404" xr:uid="{13081849-B140-4D07-9C40-A08AEEDC3564}"/>
    <cellStyle name="Normal 2 5 4 19" xfId="5580" xr:uid="{EA50CCC6-321B-4BFD-87B3-7B46471B3138}"/>
    <cellStyle name="Normal 2 5 4 19 2" xfId="5581" xr:uid="{14CA730C-4AF5-46E9-8920-804D5D6222C2}"/>
    <cellStyle name="Normal 2 5 4 19 2 2" xfId="5582" xr:uid="{AF5CD0AC-1269-4DA5-BA48-C9A7B41C4AA8}"/>
    <cellStyle name="Normal 2 5 4 19 2 2 2" xfId="14412" xr:uid="{F29020DD-3D1D-4324-9351-D7CF73AB3F82}"/>
    <cellStyle name="Normal 2 5 4 19 2 3" xfId="5583" xr:uid="{3A43F199-2C3D-458B-87DD-C0B5C0701DE4}"/>
    <cellStyle name="Normal 2 5 4 19 2 3 2" xfId="14413" xr:uid="{60F83B48-E295-45E4-A2C8-8DB0B18D7F13}"/>
    <cellStyle name="Normal 2 5 4 19 2 4" xfId="14411" xr:uid="{66F9A38D-1C39-43B5-909D-2927A4B0FAA9}"/>
    <cellStyle name="Normal 2 5 4 19 3" xfId="5584" xr:uid="{EAEAA07A-35B7-4419-AA22-BE5C02949C5B}"/>
    <cellStyle name="Normal 2 5 4 19 3 2" xfId="14414" xr:uid="{3644D02D-A3FC-42DB-98A2-5C23A802DA85}"/>
    <cellStyle name="Normal 2 5 4 19 4" xfId="5585" xr:uid="{21E16767-E823-4E1D-93D0-E64009C7CB4F}"/>
    <cellStyle name="Normal 2 5 4 19 4 2" xfId="14415" xr:uid="{465B58B3-5AE4-498A-9C54-0B9CE53131B4}"/>
    <cellStyle name="Normal 2 5 4 19 5" xfId="14410" xr:uid="{3CEA1131-96F8-46FF-9396-7200E22E7D6C}"/>
    <cellStyle name="Normal 2 5 4 2" xfId="5586" xr:uid="{5F30D058-C4E0-4B46-B8FF-E196CCCC0AC5}"/>
    <cellStyle name="Normal 2 5 4 2 2" xfId="5587" xr:uid="{D2717E8A-24F9-4E69-94BC-42B63B434705}"/>
    <cellStyle name="Normal 2 5 4 2 2 2" xfId="5588" xr:uid="{FBA8E020-1B6D-40B0-9B99-E120A8DAA1A0}"/>
    <cellStyle name="Normal 2 5 4 2 2 2 2" xfId="14418" xr:uid="{26BBCF42-AA31-41AD-AE65-20FA8D807F02}"/>
    <cellStyle name="Normal 2 5 4 2 2 3" xfId="5589" xr:uid="{AA0E2F72-EEC0-4C7D-8FF1-A170073EFF38}"/>
    <cellStyle name="Normal 2 5 4 2 2 3 2" xfId="14419" xr:uid="{8C457F88-3F61-44A3-91C1-1F883752EA4D}"/>
    <cellStyle name="Normal 2 5 4 2 2 4" xfId="14417" xr:uid="{5388E826-B58F-4E20-A047-47AB9877EDB8}"/>
    <cellStyle name="Normal 2 5 4 2 3" xfId="5590" xr:uid="{505079F7-D1AE-4C7C-98A9-D817D0F492C5}"/>
    <cellStyle name="Normal 2 5 4 2 3 2" xfId="14420" xr:uid="{74A2B47C-4AC3-412E-8E48-B603630D4EED}"/>
    <cellStyle name="Normal 2 5 4 2 4" xfId="5591" xr:uid="{AB8C3EBA-C6B9-4FFF-A5D1-342915B4F024}"/>
    <cellStyle name="Normal 2 5 4 2 4 2" xfId="14421" xr:uid="{C07CA66D-BBE0-40DC-8DC7-5AAD18A894A2}"/>
    <cellStyle name="Normal 2 5 4 2 5" xfId="14416" xr:uid="{F600B263-C4E7-4B1C-8A0F-1A6F18CF2F16}"/>
    <cellStyle name="Normal 2 5 4 20" xfId="5592" xr:uid="{1C7FE80F-52BA-42BE-8344-CB2E932911EF}"/>
    <cellStyle name="Normal 2 5 4 20 2" xfId="5593" xr:uid="{5E54600B-D1F9-4F8C-9CF1-C456EF2E4374}"/>
    <cellStyle name="Normal 2 5 4 20 2 2" xfId="5594" xr:uid="{BFF353D8-A01B-4468-A4A5-92F362FC0391}"/>
    <cellStyle name="Normal 2 5 4 20 2 2 2" xfId="14424" xr:uid="{9E6C41CE-B1BB-498F-9B81-CD019A94E329}"/>
    <cellStyle name="Normal 2 5 4 20 2 3" xfId="5595" xr:uid="{722C9D25-E8E6-4EBB-AFF4-63C2E584AC7C}"/>
    <cellStyle name="Normal 2 5 4 20 2 3 2" xfId="14425" xr:uid="{ADD977BB-709C-4F5C-A50A-C430D5C75B0E}"/>
    <cellStyle name="Normal 2 5 4 20 2 4" xfId="14423" xr:uid="{6FDE9D92-84AA-4D0E-AE43-143E5830437C}"/>
    <cellStyle name="Normal 2 5 4 20 3" xfId="5596" xr:uid="{7FB92F97-C0DC-47A3-B6C5-C7716E2AF539}"/>
    <cellStyle name="Normal 2 5 4 20 3 2" xfId="14426" xr:uid="{636949EA-4012-4404-9607-59CFB0AFBF17}"/>
    <cellStyle name="Normal 2 5 4 20 4" xfId="5597" xr:uid="{180C6473-A473-48AC-A5D9-4D29F9128C8A}"/>
    <cellStyle name="Normal 2 5 4 20 4 2" xfId="14427" xr:uid="{83E9EACA-D744-4E85-AFD0-1E1F3DC386B4}"/>
    <cellStyle name="Normal 2 5 4 20 5" xfId="14422" xr:uid="{E84BBDF9-00D8-4044-9D37-520DB107ECED}"/>
    <cellStyle name="Normal 2 5 4 21" xfId="5598" xr:uid="{578E2F9D-C4EE-4B50-AFF8-D4AD3AE9004E}"/>
    <cellStyle name="Normal 2 5 4 21 2" xfId="5599" xr:uid="{C4B5DE41-F886-42A3-B2EE-1CE32C342BE2}"/>
    <cellStyle name="Normal 2 5 4 21 2 2" xfId="5600" xr:uid="{9F631552-B429-42E2-B30B-66C0AC4F8D75}"/>
    <cellStyle name="Normal 2 5 4 21 2 2 2" xfId="14430" xr:uid="{15C61774-A609-4C13-B186-06E42F2E8AAC}"/>
    <cellStyle name="Normal 2 5 4 21 2 3" xfId="5601" xr:uid="{95E0060B-4EE3-44D0-822B-96D20BCA2F8D}"/>
    <cellStyle name="Normal 2 5 4 21 2 3 2" xfId="14431" xr:uid="{3934D538-99D1-4CF3-A30B-340818202C4E}"/>
    <cellStyle name="Normal 2 5 4 21 2 4" xfId="14429" xr:uid="{B894763B-2F07-4308-9FE2-9A6D6849BAE0}"/>
    <cellStyle name="Normal 2 5 4 21 3" xfId="5602" xr:uid="{72C28F99-FD96-4FF3-94EE-3D8679DC82D0}"/>
    <cellStyle name="Normal 2 5 4 21 3 2" xfId="14432" xr:uid="{6E59762D-0004-4608-9008-E4BAE618E0D3}"/>
    <cellStyle name="Normal 2 5 4 21 4" xfId="5603" xr:uid="{34FC2D47-51E9-4887-B27B-2F5EA223E274}"/>
    <cellStyle name="Normal 2 5 4 21 4 2" xfId="14433" xr:uid="{1276E735-D8C2-421C-BA4D-64935AC4F921}"/>
    <cellStyle name="Normal 2 5 4 21 5" xfId="14428" xr:uid="{43C663F3-6875-4F77-BEC5-8BE052F7443E}"/>
    <cellStyle name="Normal 2 5 4 22" xfId="5604" xr:uid="{55F6486D-87C2-486E-ABD5-4BD28F13CF20}"/>
    <cellStyle name="Normal 2 5 4 22 2" xfId="5605" xr:uid="{6CAC9F0F-F67E-42BD-B07E-C39A3780F439}"/>
    <cellStyle name="Normal 2 5 4 22 2 2" xfId="5606" xr:uid="{5660C4DC-6E33-4B17-9B5A-ABEFED2C4BA0}"/>
    <cellStyle name="Normal 2 5 4 22 2 2 2" xfId="14436" xr:uid="{203798B8-AA19-416A-BF84-D508235EC39A}"/>
    <cellStyle name="Normal 2 5 4 22 2 3" xfId="5607" xr:uid="{159D44BE-AF47-452C-8462-C2FDB0D79E5B}"/>
    <cellStyle name="Normal 2 5 4 22 2 3 2" xfId="14437" xr:uid="{72091C4C-D077-479A-B556-44F4672B5DC3}"/>
    <cellStyle name="Normal 2 5 4 22 2 4" xfId="14435" xr:uid="{C9EA238F-4CF9-4454-A67A-60E984DD2344}"/>
    <cellStyle name="Normal 2 5 4 22 3" xfId="5608" xr:uid="{CA41548B-058F-4314-8A59-4CADA06042AD}"/>
    <cellStyle name="Normal 2 5 4 22 3 2" xfId="14438" xr:uid="{7755F7E6-104A-41EB-A095-92D06579BFC1}"/>
    <cellStyle name="Normal 2 5 4 22 4" xfId="5609" xr:uid="{7D592611-0A60-4B4D-B2CE-A1166107CFA9}"/>
    <cellStyle name="Normal 2 5 4 22 4 2" xfId="14439" xr:uid="{89B05F14-5420-43DE-B1F8-DE52E4CB9A43}"/>
    <cellStyle name="Normal 2 5 4 22 5" xfId="14434" xr:uid="{198E527D-9968-4901-AA59-0217884622F8}"/>
    <cellStyle name="Normal 2 5 4 23" xfId="5610" xr:uid="{77A61F93-9CE0-4456-89BB-0C25546DFC80}"/>
    <cellStyle name="Normal 2 5 4 23 2" xfId="5611" xr:uid="{CA934CB7-984B-4059-A424-7954D13B33B0}"/>
    <cellStyle name="Normal 2 5 4 23 2 2" xfId="5612" xr:uid="{3BA22929-4F7C-4E7F-859E-D76382715F1F}"/>
    <cellStyle name="Normal 2 5 4 23 2 2 2" xfId="14442" xr:uid="{1899922D-D9F7-4645-B00B-1DCAF9CDA744}"/>
    <cellStyle name="Normal 2 5 4 23 2 3" xfId="5613" xr:uid="{BB05223A-2845-4930-85CC-B817C7411AE1}"/>
    <cellStyle name="Normal 2 5 4 23 2 3 2" xfId="14443" xr:uid="{58C088E8-486D-4AE4-9A26-8925C3C980C8}"/>
    <cellStyle name="Normal 2 5 4 23 2 4" xfId="14441" xr:uid="{80B6EC82-BFA6-4A61-85B2-8CEDBCF509E1}"/>
    <cellStyle name="Normal 2 5 4 23 3" xfId="5614" xr:uid="{53BC69E1-0C40-4075-8D7B-B9EB15CF44EF}"/>
    <cellStyle name="Normal 2 5 4 23 3 2" xfId="14444" xr:uid="{69DD5323-5312-4EB7-82A8-A1470A3C19AF}"/>
    <cellStyle name="Normal 2 5 4 23 4" xfId="5615" xr:uid="{BCDFC0FD-9085-4574-A0A1-7F476A8AE74A}"/>
    <cellStyle name="Normal 2 5 4 23 4 2" xfId="14445" xr:uid="{B84078EB-34A2-4533-93A3-258F53E6E599}"/>
    <cellStyle name="Normal 2 5 4 23 5" xfId="14440" xr:uid="{FF3B9498-2A87-449B-8E0B-0CFFFFA9C8AE}"/>
    <cellStyle name="Normal 2 5 4 24" xfId="5616" xr:uid="{A3253165-61E8-4B6F-B32B-FB3A25E6AEEF}"/>
    <cellStyle name="Normal 2 5 4 24 2" xfId="5617" xr:uid="{EC0D7F00-F99D-47E6-8856-23931BDC3443}"/>
    <cellStyle name="Normal 2 5 4 24 2 2" xfId="5618" xr:uid="{1643DF11-220A-4359-9040-9E3EC945855B}"/>
    <cellStyle name="Normal 2 5 4 24 2 2 2" xfId="14448" xr:uid="{FAACE43C-91F8-4ACF-BF8B-6F593E2E94BC}"/>
    <cellStyle name="Normal 2 5 4 24 2 3" xfId="5619" xr:uid="{6A8D36F8-CB82-4745-A709-B849142F8233}"/>
    <cellStyle name="Normal 2 5 4 24 2 3 2" xfId="14449" xr:uid="{AA06A488-1768-44E1-AEC8-B4A3598DBB78}"/>
    <cellStyle name="Normal 2 5 4 24 2 4" xfId="14447" xr:uid="{E2A86A1E-F6C0-4C8E-A6DE-1CF6B6C2FDE6}"/>
    <cellStyle name="Normal 2 5 4 24 3" xfId="5620" xr:uid="{D06A5489-E8B8-4755-83BD-E4A8D98B05DA}"/>
    <cellStyle name="Normal 2 5 4 24 3 2" xfId="14450" xr:uid="{F946B933-D3AE-4233-9943-5F8D5A1FD267}"/>
    <cellStyle name="Normal 2 5 4 24 4" xfId="5621" xr:uid="{B3A4A677-E558-4C22-9BA2-1DCD47699A17}"/>
    <cellStyle name="Normal 2 5 4 24 4 2" xfId="14451" xr:uid="{027DE117-31BC-4E32-8D20-284A86790ABF}"/>
    <cellStyle name="Normal 2 5 4 24 5" xfId="14446" xr:uid="{27C36169-A35B-44F8-8C65-3C6ED4B73789}"/>
    <cellStyle name="Normal 2 5 4 25" xfId="5622" xr:uid="{C40A05F2-57D3-492B-8F40-EDA82A1F1BB3}"/>
    <cellStyle name="Normal 2 5 4 25 2" xfId="5623" xr:uid="{1BF57D7A-66BA-4DEF-8417-8E17559CC34E}"/>
    <cellStyle name="Normal 2 5 4 25 2 2" xfId="5624" xr:uid="{08B61074-8010-41F6-85C0-82253F7EA006}"/>
    <cellStyle name="Normal 2 5 4 25 2 2 2" xfId="14454" xr:uid="{BD244DBE-9640-4370-BCD9-3E110FB62F64}"/>
    <cellStyle name="Normal 2 5 4 25 2 3" xfId="5625" xr:uid="{7E89C49C-97EB-43E7-B8F6-8197E5A40226}"/>
    <cellStyle name="Normal 2 5 4 25 2 3 2" xfId="14455" xr:uid="{1BD2DC8F-E14B-4809-983C-8FDE5ED1B5BA}"/>
    <cellStyle name="Normal 2 5 4 25 2 4" xfId="14453" xr:uid="{08E4A92B-098F-4476-BCE0-39C5D57A9CFE}"/>
    <cellStyle name="Normal 2 5 4 25 3" xfId="5626" xr:uid="{BDC0F9BA-473E-48FC-AF5E-8E571EF63CCC}"/>
    <cellStyle name="Normal 2 5 4 25 3 2" xfId="14456" xr:uid="{1FD67237-B869-4C9E-90C0-AC37B98842F9}"/>
    <cellStyle name="Normal 2 5 4 25 4" xfId="5627" xr:uid="{7474041F-65F6-4C60-9083-3D4B2B4CCA3E}"/>
    <cellStyle name="Normal 2 5 4 25 4 2" xfId="14457" xr:uid="{492256FF-BD13-4685-96F6-E329F95259D2}"/>
    <cellStyle name="Normal 2 5 4 25 5" xfId="14452" xr:uid="{F54648EF-2CDB-4D62-BFA5-18AEDF7D54CA}"/>
    <cellStyle name="Normal 2 5 4 26" xfId="5628" xr:uid="{37E52BD7-8501-4CE6-8F0B-BF65FA4289F1}"/>
    <cellStyle name="Normal 2 5 4 26 2" xfId="5629" xr:uid="{DB02D3D3-605E-4DEB-B06B-F41A70799458}"/>
    <cellStyle name="Normal 2 5 4 26 2 2" xfId="5630" xr:uid="{9DDFF2C9-2512-44EF-A732-2DADC9945BC2}"/>
    <cellStyle name="Normal 2 5 4 26 2 2 2" xfId="14460" xr:uid="{C57842A5-68D0-41D6-A49B-680010F7088F}"/>
    <cellStyle name="Normal 2 5 4 26 2 3" xfId="5631" xr:uid="{4704B3A6-791F-4014-9EF0-6BB324742CD7}"/>
    <cellStyle name="Normal 2 5 4 26 2 3 2" xfId="14461" xr:uid="{BD364B28-59BA-4853-830C-91DE58A7FB5A}"/>
    <cellStyle name="Normal 2 5 4 26 2 4" xfId="14459" xr:uid="{BB737AC1-07FD-4B2B-98FD-CCF24D3ACE62}"/>
    <cellStyle name="Normal 2 5 4 26 3" xfId="5632" xr:uid="{5221FFB9-86A1-4AFB-BB83-C0E2A86A4221}"/>
    <cellStyle name="Normal 2 5 4 26 3 2" xfId="14462" xr:uid="{E1722A8A-3E9C-44BD-ABC5-004F1380D050}"/>
    <cellStyle name="Normal 2 5 4 26 4" xfId="5633" xr:uid="{98D92EA5-9798-45FB-8912-87B1B1933395}"/>
    <cellStyle name="Normal 2 5 4 26 4 2" xfId="14463" xr:uid="{69EA637A-BBCB-4072-A2DA-B73764170EAA}"/>
    <cellStyle name="Normal 2 5 4 26 5" xfId="14458" xr:uid="{11CA5CA3-9906-4F44-8F3B-C23611A649A5}"/>
    <cellStyle name="Normal 2 5 4 27" xfId="5634" xr:uid="{7A08D129-3CF7-4912-A436-B65E2B993399}"/>
    <cellStyle name="Normal 2 5 4 27 2" xfId="5635" xr:uid="{E822C895-17D6-405E-9764-BC5DA8F54504}"/>
    <cellStyle name="Normal 2 5 4 27 2 2" xfId="5636" xr:uid="{DAB342D1-AB10-477C-A4E9-3289A7CEF34D}"/>
    <cellStyle name="Normal 2 5 4 27 2 2 2" xfId="14466" xr:uid="{6EC39E63-5986-4360-BC90-E730105A8740}"/>
    <cellStyle name="Normal 2 5 4 27 2 3" xfId="5637" xr:uid="{622B2017-1DD7-43D9-9C98-6BECAC9C1F37}"/>
    <cellStyle name="Normal 2 5 4 27 2 3 2" xfId="14467" xr:uid="{56AE7253-E821-4F73-9F15-435E24D9E0C7}"/>
    <cellStyle name="Normal 2 5 4 27 2 4" xfId="14465" xr:uid="{688B3B52-2D54-4A3C-931E-7B499719AB7D}"/>
    <cellStyle name="Normal 2 5 4 27 3" xfId="5638" xr:uid="{36AFCFDB-07C2-4808-80F7-DDD906935EF6}"/>
    <cellStyle name="Normal 2 5 4 27 3 2" xfId="14468" xr:uid="{35F5CB60-7FBB-4BE6-ABDC-E5BDC07D05DA}"/>
    <cellStyle name="Normal 2 5 4 27 4" xfId="5639" xr:uid="{30F10E4B-52FD-48C3-BEEC-5EBFA7277134}"/>
    <cellStyle name="Normal 2 5 4 27 4 2" xfId="14469" xr:uid="{9409DF2A-9248-4272-B126-6C9ADE9D6FD0}"/>
    <cellStyle name="Normal 2 5 4 27 5" xfId="14464" xr:uid="{A496EEF0-475A-4B79-AF9D-B163020E03C0}"/>
    <cellStyle name="Normal 2 5 4 28" xfId="5640" xr:uid="{1EB87F83-3A0D-4C40-9D6F-94D82EDCBB63}"/>
    <cellStyle name="Normal 2 5 4 28 2" xfId="5641" xr:uid="{871DEA2E-6BE4-4278-A570-7EE79F3E521C}"/>
    <cellStyle name="Normal 2 5 4 28 2 2" xfId="5642" xr:uid="{A26F32FC-9CB3-4B54-BB6A-80F5CAF84BA0}"/>
    <cellStyle name="Normal 2 5 4 28 2 2 2" xfId="14472" xr:uid="{1E203D2E-1606-4009-83F4-528CA2B4DEA0}"/>
    <cellStyle name="Normal 2 5 4 28 2 3" xfId="5643" xr:uid="{5B417807-0899-4FF6-A234-5CFD985543AC}"/>
    <cellStyle name="Normal 2 5 4 28 2 3 2" xfId="14473" xr:uid="{2289C90E-00BA-4007-830F-9222C54F3215}"/>
    <cellStyle name="Normal 2 5 4 28 2 4" xfId="14471" xr:uid="{CCE3F6EE-2750-40E3-BA8A-53A3C4D41377}"/>
    <cellStyle name="Normal 2 5 4 28 3" xfId="5644" xr:uid="{0CA6090F-02F5-4049-945C-6C4708F43768}"/>
    <cellStyle name="Normal 2 5 4 28 3 2" xfId="14474" xr:uid="{AA25064E-6C11-4467-8E5D-20309EFA349D}"/>
    <cellStyle name="Normal 2 5 4 28 4" xfId="5645" xr:uid="{529B6230-B82C-4DBB-AB75-BE3608C9AA45}"/>
    <cellStyle name="Normal 2 5 4 28 4 2" xfId="14475" xr:uid="{63722084-8343-4203-841A-54A1E1FB1F31}"/>
    <cellStyle name="Normal 2 5 4 28 5" xfId="14470" xr:uid="{9863C23B-910F-4654-A879-A8814B6ECFE2}"/>
    <cellStyle name="Normal 2 5 4 29" xfId="5646" xr:uid="{F2A7FAB8-599D-4F60-B391-A217A4C8B484}"/>
    <cellStyle name="Normal 2 5 4 29 2" xfId="5647" xr:uid="{DC53D78C-3C31-4AE0-93DB-4A9DEBA5B715}"/>
    <cellStyle name="Normal 2 5 4 29 2 2" xfId="5648" xr:uid="{F21E2E3B-145A-44F2-9692-14277FF81ACC}"/>
    <cellStyle name="Normal 2 5 4 29 2 2 2" xfId="14478" xr:uid="{E0B0CAE7-89DA-430D-9D61-64046585BBB0}"/>
    <cellStyle name="Normal 2 5 4 29 2 3" xfId="5649" xr:uid="{7F86CAD3-E3EE-43A5-80F0-222EB6EA37D3}"/>
    <cellStyle name="Normal 2 5 4 29 2 3 2" xfId="14479" xr:uid="{1DF3EA63-56E4-4E4B-8DE5-9731A8C559F9}"/>
    <cellStyle name="Normal 2 5 4 29 2 4" xfId="14477" xr:uid="{E21A0CB4-5655-4C1E-B0A6-80B650A55603}"/>
    <cellStyle name="Normal 2 5 4 29 3" xfId="5650" xr:uid="{67F92F78-625D-4E98-B998-490EC6854760}"/>
    <cellStyle name="Normal 2 5 4 29 3 2" xfId="14480" xr:uid="{F05D5B68-5430-4453-8D50-5AB5C777624C}"/>
    <cellStyle name="Normal 2 5 4 29 4" xfId="5651" xr:uid="{6AE7A927-16B1-47A9-9314-70134B6AA9AC}"/>
    <cellStyle name="Normal 2 5 4 29 4 2" xfId="14481" xr:uid="{D2BDBFF6-40A4-4550-981F-53B341CE6249}"/>
    <cellStyle name="Normal 2 5 4 29 5" xfId="14476" xr:uid="{468CF994-C27B-4076-886B-70B695D28DFB}"/>
    <cellStyle name="Normal 2 5 4 3" xfId="5652" xr:uid="{3A718DEF-4AD0-4F9F-AB5B-42F98ACCD38A}"/>
    <cellStyle name="Normal 2 5 4 3 2" xfId="5653" xr:uid="{688079D6-8ED4-4EE7-A695-23A2948DAB34}"/>
    <cellStyle name="Normal 2 5 4 3 2 2" xfId="5654" xr:uid="{1838BDBE-8485-45E7-8F22-A8FC72129A45}"/>
    <cellStyle name="Normal 2 5 4 3 2 2 2" xfId="14484" xr:uid="{82FA8D11-7FAF-4F7E-B10E-E1467CEE8275}"/>
    <cellStyle name="Normal 2 5 4 3 2 3" xfId="5655" xr:uid="{250E629A-0D89-4EF2-B11B-7CF7F139637E}"/>
    <cellStyle name="Normal 2 5 4 3 2 3 2" xfId="14485" xr:uid="{6E2020A8-858A-41B1-BF61-1AF8BE61C8A1}"/>
    <cellStyle name="Normal 2 5 4 3 2 4" xfId="14483" xr:uid="{DCCF36C9-AF1D-46D9-9FA3-FC3EB26017E7}"/>
    <cellStyle name="Normal 2 5 4 3 3" xfId="5656" xr:uid="{5A189F63-D321-45ED-8C0E-3542C018FB45}"/>
    <cellStyle name="Normal 2 5 4 3 3 2" xfId="14486" xr:uid="{B3C02083-4A26-460A-B41F-33841969E262}"/>
    <cellStyle name="Normal 2 5 4 3 4" xfId="5657" xr:uid="{F1ADBFED-BEBA-4CEC-BD88-B2C186E0E03F}"/>
    <cellStyle name="Normal 2 5 4 3 4 2" xfId="14487" xr:uid="{CC2BF90D-1A61-4DCC-AABC-D4A118A1EA1F}"/>
    <cellStyle name="Normal 2 5 4 3 5" xfId="14482" xr:uid="{56CBF313-E34E-4785-9C84-24ADFFD7667F}"/>
    <cellStyle name="Normal 2 5 4 30" xfId="5658" xr:uid="{FA70D9A8-D37C-4DD3-93E8-38DDC6A43A54}"/>
    <cellStyle name="Normal 2 5 4 30 2" xfId="5659" xr:uid="{93C92AE1-A762-479F-83B9-D09E648AEB1A}"/>
    <cellStyle name="Normal 2 5 4 30 2 2" xfId="5660" xr:uid="{1B668A52-68EC-408B-A58F-C2E775105037}"/>
    <cellStyle name="Normal 2 5 4 30 2 2 2" xfId="14490" xr:uid="{E7347FB3-3CC3-455D-AEB6-6FB78CFBDBC4}"/>
    <cellStyle name="Normal 2 5 4 30 2 3" xfId="5661" xr:uid="{0D47BB64-5EC0-4443-8735-F45998B2FA76}"/>
    <cellStyle name="Normal 2 5 4 30 2 3 2" xfId="14491" xr:uid="{03DDFB4C-8D53-4FA3-8692-B643512146CF}"/>
    <cellStyle name="Normal 2 5 4 30 2 4" xfId="14489" xr:uid="{673D9FE4-C726-40B8-8AE8-14DC2EFFA4EE}"/>
    <cellStyle name="Normal 2 5 4 30 3" xfId="5662" xr:uid="{505D91CD-73D5-4896-94DB-0132D9F9124C}"/>
    <cellStyle name="Normal 2 5 4 30 3 2" xfId="14492" xr:uid="{A10C3FBB-8E14-41C6-B186-0A41543F2320}"/>
    <cellStyle name="Normal 2 5 4 30 4" xfId="5663" xr:uid="{04463D26-E80F-4219-9224-C15A52B26A8E}"/>
    <cellStyle name="Normal 2 5 4 30 4 2" xfId="14493" xr:uid="{EDB5CD21-E251-4F71-8272-66EF590D8025}"/>
    <cellStyle name="Normal 2 5 4 30 5" xfId="14488" xr:uid="{96E37EE1-046E-401A-AF40-235A27A9D95F}"/>
    <cellStyle name="Normal 2 5 4 31" xfId="5664" xr:uid="{79C40671-67DF-4110-8287-3B2B5BF08FE4}"/>
    <cellStyle name="Normal 2 5 4 31 2" xfId="5665" xr:uid="{9CEA5096-E5A4-49F4-9E76-7959B3610835}"/>
    <cellStyle name="Normal 2 5 4 31 2 2" xfId="5666" xr:uid="{B5D669DB-EF65-40FA-A988-98E5FD85E843}"/>
    <cellStyle name="Normal 2 5 4 31 2 2 2" xfId="14496" xr:uid="{6BC4E225-CD0D-4AB9-BD16-E3A395CF9B0B}"/>
    <cellStyle name="Normal 2 5 4 31 2 3" xfId="5667" xr:uid="{6C40A79A-C165-400F-86A0-6F82EA08A7A5}"/>
    <cellStyle name="Normal 2 5 4 31 2 3 2" xfId="14497" xr:uid="{3FD7C85E-187D-4A12-966E-8D8544A1857E}"/>
    <cellStyle name="Normal 2 5 4 31 2 4" xfId="14495" xr:uid="{8D79DCE4-E994-4BEA-9EDD-783655D663D0}"/>
    <cellStyle name="Normal 2 5 4 31 3" xfId="5668" xr:uid="{ABB1621B-DB6F-4D24-856B-3B0A2DBD04E5}"/>
    <cellStyle name="Normal 2 5 4 31 3 2" xfId="14498" xr:uid="{0163D559-E39D-44E1-85DD-0B97C8AADD53}"/>
    <cellStyle name="Normal 2 5 4 31 4" xfId="5669" xr:uid="{F32A711F-FAEA-43F1-AA38-E91A4A95D334}"/>
    <cellStyle name="Normal 2 5 4 31 4 2" xfId="14499" xr:uid="{D21D5403-68BA-47FE-914D-6540DEA19BF6}"/>
    <cellStyle name="Normal 2 5 4 31 5" xfId="14494" xr:uid="{04F8C33A-74C6-43C7-9BBA-7EC2F6E49826}"/>
    <cellStyle name="Normal 2 5 4 32" xfId="5670" xr:uid="{8A588F2D-C368-4355-8980-9D6A9B221434}"/>
    <cellStyle name="Normal 2 5 4 32 2" xfId="5671" xr:uid="{EB4D2147-2804-455A-85C5-1F2B771E744D}"/>
    <cellStyle name="Normal 2 5 4 32 2 2" xfId="5672" xr:uid="{927A6E1F-D89A-4D83-B1CF-F7B9142ABA06}"/>
    <cellStyle name="Normal 2 5 4 32 2 2 2" xfId="14502" xr:uid="{88142E49-36C5-49E2-8F91-B3BB5E71876A}"/>
    <cellStyle name="Normal 2 5 4 32 2 3" xfId="5673" xr:uid="{ABD3A836-CCE3-4EB1-A516-05E7A6771D3D}"/>
    <cellStyle name="Normal 2 5 4 32 2 3 2" xfId="14503" xr:uid="{184FC863-EF79-410A-A13F-83C8DF835A2D}"/>
    <cellStyle name="Normal 2 5 4 32 2 4" xfId="14501" xr:uid="{EB83E2E1-FAC4-460C-972C-0B5BF48FB676}"/>
    <cellStyle name="Normal 2 5 4 32 3" xfId="5674" xr:uid="{D1B19834-E776-43CE-851A-36F58081664F}"/>
    <cellStyle name="Normal 2 5 4 32 3 2" xfId="14504" xr:uid="{13654039-B4E9-4D84-936F-9957A615E0C5}"/>
    <cellStyle name="Normal 2 5 4 32 4" xfId="5675" xr:uid="{49708C63-F700-40F2-8F0E-4941813C4C39}"/>
    <cellStyle name="Normal 2 5 4 32 4 2" xfId="14505" xr:uid="{A947E73B-4410-4A5A-8626-2E2C0388D845}"/>
    <cellStyle name="Normal 2 5 4 32 5" xfId="14500" xr:uid="{EE7D12D8-1612-4295-B03A-491600621DE9}"/>
    <cellStyle name="Normal 2 5 4 33" xfId="5676" xr:uid="{7DE44598-2CC9-4A9B-9A77-225766814670}"/>
    <cellStyle name="Normal 2 5 4 33 2" xfId="5677" xr:uid="{8584A987-B242-44B0-92E9-B943EB104B48}"/>
    <cellStyle name="Normal 2 5 4 33 2 2" xfId="5678" xr:uid="{CC97F565-1965-44A8-894E-626AE3EEF2B6}"/>
    <cellStyle name="Normal 2 5 4 33 2 2 2" xfId="14508" xr:uid="{829EBE8E-2C6B-49BB-9825-E63AAD2FB38F}"/>
    <cellStyle name="Normal 2 5 4 33 2 3" xfId="5679" xr:uid="{F849A2D3-16F0-4CC7-A843-298D1FDB4468}"/>
    <cellStyle name="Normal 2 5 4 33 2 3 2" xfId="14509" xr:uid="{1FC9AA9A-204B-4EBF-A7EF-914DF60BB8E2}"/>
    <cellStyle name="Normal 2 5 4 33 2 4" xfId="14507" xr:uid="{8CC12C47-D75F-4244-B94F-F3E2C2D5CD14}"/>
    <cellStyle name="Normal 2 5 4 33 3" xfId="5680" xr:uid="{715DEF5A-C3D5-40EF-AB82-B7291CEEEBA7}"/>
    <cellStyle name="Normal 2 5 4 33 3 2" xfId="14510" xr:uid="{F1F60F04-8B96-449D-B31F-3DCFF959D458}"/>
    <cellStyle name="Normal 2 5 4 33 4" xfId="5681" xr:uid="{E717CCEF-1D41-4717-AD1C-148B341F33EB}"/>
    <cellStyle name="Normal 2 5 4 33 4 2" xfId="14511" xr:uid="{BA693615-946C-4237-A17B-BB4132BDE92D}"/>
    <cellStyle name="Normal 2 5 4 33 5" xfId="14506" xr:uid="{EFC7E4BB-4A58-430E-9DBE-C897E7BFC301}"/>
    <cellStyle name="Normal 2 5 4 34" xfId="5682" xr:uid="{F08655FC-A10C-498C-8756-3022782EDEFB}"/>
    <cellStyle name="Normal 2 5 4 34 2" xfId="5683" xr:uid="{14C1AEC9-4F85-4FD9-890C-3C50ECAEA2AF}"/>
    <cellStyle name="Normal 2 5 4 34 2 2" xfId="5684" xr:uid="{D71C4E85-D237-4741-A055-0BA387A460AD}"/>
    <cellStyle name="Normal 2 5 4 34 2 2 2" xfId="14514" xr:uid="{B9BE1DA1-1145-4BFD-BC90-5C3150768B26}"/>
    <cellStyle name="Normal 2 5 4 34 2 3" xfId="5685" xr:uid="{752BAC0F-E338-46D4-9CE3-CB60CE28C88A}"/>
    <cellStyle name="Normal 2 5 4 34 2 3 2" xfId="14515" xr:uid="{07DA4676-78B6-44E9-A789-5D1490352AF6}"/>
    <cellStyle name="Normal 2 5 4 34 2 4" xfId="14513" xr:uid="{D32FD5BA-D4BD-4639-9459-F6C4DF09D5DA}"/>
    <cellStyle name="Normal 2 5 4 34 3" xfId="5686" xr:uid="{03541FD5-C9D5-41CC-9196-18DC6EE33C18}"/>
    <cellStyle name="Normal 2 5 4 34 3 2" xfId="14516" xr:uid="{9CDE3158-F9D2-4AC3-B558-F9F570110599}"/>
    <cellStyle name="Normal 2 5 4 34 4" xfId="5687" xr:uid="{F7669458-DB4E-44FB-94C7-5F1ED94A2D18}"/>
    <cellStyle name="Normal 2 5 4 34 4 2" xfId="14517" xr:uid="{90602886-1575-4298-A158-3A6B91391163}"/>
    <cellStyle name="Normal 2 5 4 34 5" xfId="14512" xr:uid="{29DCD499-E7FA-45AF-AA30-D230858B1B9E}"/>
    <cellStyle name="Normal 2 5 4 35" xfId="5688" xr:uid="{A7AA459F-F717-476B-BB09-B0AF16253260}"/>
    <cellStyle name="Normal 2 5 4 35 2" xfId="5689" xr:uid="{4660B95A-3F21-4750-B79A-E9612CE77AE1}"/>
    <cellStyle name="Normal 2 5 4 35 2 2" xfId="5690" xr:uid="{4686F914-8F05-45B9-98EF-0C87FDD7BCE5}"/>
    <cellStyle name="Normal 2 5 4 35 2 2 2" xfId="14520" xr:uid="{DB6C0C1B-5104-4A7B-AB27-2D0F3D80655B}"/>
    <cellStyle name="Normal 2 5 4 35 2 3" xfId="5691" xr:uid="{65F979BE-BFB5-4FD7-BD20-2108A0E7E609}"/>
    <cellStyle name="Normal 2 5 4 35 2 3 2" xfId="14521" xr:uid="{3C67725D-5D18-4A68-A190-25CD2FBAE4E6}"/>
    <cellStyle name="Normal 2 5 4 35 2 4" xfId="14519" xr:uid="{CAD991E1-8A11-4920-AE5B-A9C8B5FC744B}"/>
    <cellStyle name="Normal 2 5 4 35 3" xfId="5692" xr:uid="{855FBBE8-A856-449A-9478-531AA8A18790}"/>
    <cellStyle name="Normal 2 5 4 35 3 2" xfId="14522" xr:uid="{982D9838-4014-4376-A4F2-728B5C2B5DE9}"/>
    <cellStyle name="Normal 2 5 4 35 4" xfId="5693" xr:uid="{41E49B0E-EAF4-41F2-8CDB-4B4BFEE39CBB}"/>
    <cellStyle name="Normal 2 5 4 35 4 2" xfId="14523" xr:uid="{81094DB7-ADA9-4962-8D1A-1FD3EA523C61}"/>
    <cellStyle name="Normal 2 5 4 35 5" xfId="14518" xr:uid="{29687F90-E9DC-4C6F-8866-60F797560AD6}"/>
    <cellStyle name="Normal 2 5 4 36" xfId="5694" xr:uid="{5FB2D9EB-49DD-4B59-9DAE-4FDB7DB4F3AD}"/>
    <cellStyle name="Normal 2 5 4 36 2" xfId="5695" xr:uid="{B3E06536-1962-4C7A-A5C6-09AD348076FF}"/>
    <cellStyle name="Normal 2 5 4 36 2 2" xfId="5696" xr:uid="{342F6DF7-C543-42DB-BAA5-464A19C42DD2}"/>
    <cellStyle name="Normal 2 5 4 36 2 2 2" xfId="14526" xr:uid="{CEF9CA4C-ECC4-4CEE-BB64-DB679357A554}"/>
    <cellStyle name="Normal 2 5 4 36 2 3" xfId="5697" xr:uid="{A705F4EE-2FD7-4963-832F-0C1047A8DB13}"/>
    <cellStyle name="Normal 2 5 4 36 2 3 2" xfId="14527" xr:uid="{02542792-EE4B-46AA-A8AA-DF65C1818A17}"/>
    <cellStyle name="Normal 2 5 4 36 2 4" xfId="14525" xr:uid="{0282A84C-FF3C-4A14-8DDB-FCB6E3F7FF56}"/>
    <cellStyle name="Normal 2 5 4 36 3" xfId="5698" xr:uid="{25897EE2-EB38-4B44-BCC1-6C07E1A47EE2}"/>
    <cellStyle name="Normal 2 5 4 36 3 2" xfId="14528" xr:uid="{137291EE-BE68-42C2-BEAC-F07D338A519B}"/>
    <cellStyle name="Normal 2 5 4 36 4" xfId="5699" xr:uid="{AFFBA177-05CC-42A1-81DB-113AE4856820}"/>
    <cellStyle name="Normal 2 5 4 36 4 2" xfId="14529" xr:uid="{D3AA7509-5B12-4717-8311-2659B4ED7146}"/>
    <cellStyle name="Normal 2 5 4 36 5" xfId="14524" xr:uid="{EC6D17EC-98F2-455A-9E54-D1F4B791A724}"/>
    <cellStyle name="Normal 2 5 4 37" xfId="5700" xr:uid="{C67C9252-33B3-4EE2-B649-2C8118B451DA}"/>
    <cellStyle name="Normal 2 5 4 37 2" xfId="5701" xr:uid="{49C8F511-5D7E-4834-97D5-CCA176511581}"/>
    <cellStyle name="Normal 2 5 4 37 2 2" xfId="5702" xr:uid="{4364084E-9C30-4CBA-80AA-7483371F93C3}"/>
    <cellStyle name="Normal 2 5 4 37 2 2 2" xfId="14532" xr:uid="{8C62FC3C-33D2-454B-B1B4-B9CCCBC95C96}"/>
    <cellStyle name="Normal 2 5 4 37 2 3" xfId="5703" xr:uid="{A9877E3D-70BE-49CD-A6C4-484CBA41EAA4}"/>
    <cellStyle name="Normal 2 5 4 37 2 3 2" xfId="14533" xr:uid="{699584D5-26E4-42CB-B30B-6F21B0A201B0}"/>
    <cellStyle name="Normal 2 5 4 37 2 4" xfId="14531" xr:uid="{001D8455-4896-4ECB-AC4F-750CFC61F8C5}"/>
    <cellStyle name="Normal 2 5 4 37 3" xfId="5704" xr:uid="{272420A0-D34A-4068-8BFF-DF3341401F02}"/>
    <cellStyle name="Normal 2 5 4 37 3 2" xfId="14534" xr:uid="{98140760-1BA9-4F7C-9BCE-797AD876465A}"/>
    <cellStyle name="Normal 2 5 4 37 4" xfId="5705" xr:uid="{D4C4D9F7-6CC4-41E2-B767-D094BBEBB843}"/>
    <cellStyle name="Normal 2 5 4 37 4 2" xfId="14535" xr:uid="{09EB25B7-EC79-4BF1-8C14-B7689813503C}"/>
    <cellStyle name="Normal 2 5 4 37 5" xfId="14530" xr:uid="{720E510D-70F4-4F80-9BEB-B4E229309D7F}"/>
    <cellStyle name="Normal 2 5 4 38" xfId="5706" xr:uid="{C996AE3A-5FF2-43F2-B019-C3DA9E961A59}"/>
    <cellStyle name="Normal 2 5 4 38 2" xfId="5707" xr:uid="{656E5DA8-366E-4B1D-ADE9-8CC79B08C7F5}"/>
    <cellStyle name="Normal 2 5 4 38 2 2" xfId="5708" xr:uid="{73F092EB-8A4C-41C8-9ADF-FEEDEC624734}"/>
    <cellStyle name="Normal 2 5 4 38 2 2 2" xfId="14538" xr:uid="{A50FD766-3309-49C7-82AB-D2F421F68AD7}"/>
    <cellStyle name="Normal 2 5 4 38 2 3" xfId="5709" xr:uid="{0ADA1D6F-A961-49D9-AB05-BC7B28E04ABE}"/>
    <cellStyle name="Normal 2 5 4 38 2 3 2" xfId="14539" xr:uid="{948D2095-F6F6-42C3-9CF1-453E094DAB70}"/>
    <cellStyle name="Normal 2 5 4 38 2 4" xfId="14537" xr:uid="{71540A20-B970-4997-A169-A995B70E5CF0}"/>
    <cellStyle name="Normal 2 5 4 38 3" xfId="5710" xr:uid="{8FC3EF66-AD18-4DE8-87EF-BCB1A9558194}"/>
    <cellStyle name="Normal 2 5 4 38 3 2" xfId="14540" xr:uid="{F2CED671-AAFC-4100-8B5F-80C7D4152E12}"/>
    <cellStyle name="Normal 2 5 4 38 4" xfId="5711" xr:uid="{957882BF-BADC-41C2-86FE-EE534B23AB5B}"/>
    <cellStyle name="Normal 2 5 4 38 4 2" xfId="14541" xr:uid="{5060B17C-EAEC-4C19-BB83-6DE76384C134}"/>
    <cellStyle name="Normal 2 5 4 38 5" xfId="14536" xr:uid="{1EAEF41C-2391-4EFB-ADB7-1BC758133648}"/>
    <cellStyle name="Normal 2 5 4 39" xfId="5712" xr:uid="{BB7B9DF8-A99E-4C8A-A4FB-3C09A0E9BE49}"/>
    <cellStyle name="Normal 2 5 4 39 2" xfId="5713" xr:uid="{7B184ACF-1AF5-449B-BFCD-E0FEB2DE2EBD}"/>
    <cellStyle name="Normal 2 5 4 39 2 2" xfId="5714" xr:uid="{08A28EE7-8043-47DC-B871-289847568161}"/>
    <cellStyle name="Normal 2 5 4 39 2 2 2" xfId="14544" xr:uid="{87FC5E14-A4D6-40F2-858E-DDF8B25FB649}"/>
    <cellStyle name="Normal 2 5 4 39 2 3" xfId="5715" xr:uid="{B35140EE-3976-4E52-B37C-D653E51ABFD1}"/>
    <cellStyle name="Normal 2 5 4 39 2 3 2" xfId="14545" xr:uid="{B89ED8D7-9450-4B08-87C3-87423541E38A}"/>
    <cellStyle name="Normal 2 5 4 39 2 4" xfId="14543" xr:uid="{F3D5AE6E-7F5E-4FC7-B84E-0299A6AE4F08}"/>
    <cellStyle name="Normal 2 5 4 39 3" xfId="5716" xr:uid="{DCCDAD82-86BF-4647-94BB-5F98BFF04AD6}"/>
    <cellStyle name="Normal 2 5 4 39 3 2" xfId="14546" xr:uid="{39C05794-6438-46C4-AA84-A34CFFCBF540}"/>
    <cellStyle name="Normal 2 5 4 39 4" xfId="5717" xr:uid="{AED8193C-DF1E-4062-825D-573CD596D8B7}"/>
    <cellStyle name="Normal 2 5 4 39 4 2" xfId="14547" xr:uid="{F42FBEDD-797B-4483-8AAB-97E5BF7E5D63}"/>
    <cellStyle name="Normal 2 5 4 39 5" xfId="14542" xr:uid="{822793FF-1DA2-48FC-9197-3C26C538E6B6}"/>
    <cellStyle name="Normal 2 5 4 4" xfId="5718" xr:uid="{D8C5A548-8504-441F-8F5D-D44F13F28CD6}"/>
    <cellStyle name="Normal 2 5 4 4 2" xfId="5719" xr:uid="{B125135B-C843-4834-AEE8-7401D3ED23DB}"/>
    <cellStyle name="Normal 2 5 4 4 2 2" xfId="5720" xr:uid="{68EB95AB-B60E-40CC-84D8-1E72090B255A}"/>
    <cellStyle name="Normal 2 5 4 4 2 2 2" xfId="14550" xr:uid="{7A49CB3E-39F9-48B2-91BE-4864A27C5927}"/>
    <cellStyle name="Normal 2 5 4 4 2 3" xfId="5721" xr:uid="{72FD1702-DEA8-46AF-B7A1-3403D5AE896B}"/>
    <cellStyle name="Normal 2 5 4 4 2 3 2" xfId="14551" xr:uid="{8124B302-76FA-4C3E-BC3B-7B85250CE32C}"/>
    <cellStyle name="Normal 2 5 4 4 2 4" xfId="14549" xr:uid="{719AA83D-AE89-4A7D-8C16-16DC55D8A0AC}"/>
    <cellStyle name="Normal 2 5 4 4 3" xfId="5722" xr:uid="{BC75BF27-C1D0-4641-B865-CE8841B87E63}"/>
    <cellStyle name="Normal 2 5 4 4 3 2" xfId="14552" xr:uid="{A68D7C38-5639-44E8-92E6-A725CEF6EF4B}"/>
    <cellStyle name="Normal 2 5 4 4 4" xfId="5723" xr:uid="{6CB486DC-9583-41CE-8ABD-C119A84FB16C}"/>
    <cellStyle name="Normal 2 5 4 4 4 2" xfId="14553" xr:uid="{23FD47A1-D867-4282-85B8-9C362693A298}"/>
    <cellStyle name="Normal 2 5 4 4 5" xfId="14548" xr:uid="{D9C7C1C0-84DD-4237-A91D-422BC0A92AB8}"/>
    <cellStyle name="Normal 2 5 4 40" xfId="5724" xr:uid="{81E8E5FF-39EC-467A-8035-0676722EB25C}"/>
    <cellStyle name="Normal 2 5 4 40 2" xfId="5725" xr:uid="{C55B3401-E760-46C1-8DF5-4E75404BDB12}"/>
    <cellStyle name="Normal 2 5 4 40 2 2" xfId="5726" xr:uid="{ED868441-4132-42A6-871C-C4B181C1AFFB}"/>
    <cellStyle name="Normal 2 5 4 40 2 2 2" xfId="14556" xr:uid="{BF3FB16F-6B46-4FD9-B191-7EC64C80FBC3}"/>
    <cellStyle name="Normal 2 5 4 40 2 3" xfId="5727" xr:uid="{90C0FB0C-A5D2-4E30-B55A-B2E563FD6ED8}"/>
    <cellStyle name="Normal 2 5 4 40 2 3 2" xfId="14557" xr:uid="{E852E8B3-E604-4723-B4F7-0FDDB4FC0DD4}"/>
    <cellStyle name="Normal 2 5 4 40 2 4" xfId="14555" xr:uid="{AFB3364C-7574-45A5-BD5E-79A374495463}"/>
    <cellStyle name="Normal 2 5 4 40 3" xfId="5728" xr:uid="{56F11A7F-9751-4096-BBF7-812ADE996CE2}"/>
    <cellStyle name="Normal 2 5 4 40 3 2" xfId="14558" xr:uid="{73FCDD3B-9314-4091-9EBC-454F63589ECC}"/>
    <cellStyle name="Normal 2 5 4 40 4" xfId="5729" xr:uid="{682A5D8D-6659-4581-AF37-D5A0CAA5C6E3}"/>
    <cellStyle name="Normal 2 5 4 40 4 2" xfId="14559" xr:uid="{B1A450A3-C033-4D24-8339-DF9BDB3F85A4}"/>
    <cellStyle name="Normal 2 5 4 40 5" xfId="14554" xr:uid="{E33805F3-A20A-466A-81EC-9E0946143605}"/>
    <cellStyle name="Normal 2 5 4 41" xfId="5730" xr:uid="{D7587804-A010-469C-ADEE-1380A342C0D7}"/>
    <cellStyle name="Normal 2 5 4 41 2" xfId="5731" xr:uid="{E4712330-104D-41EB-BECF-ABCF3F1D1C32}"/>
    <cellStyle name="Normal 2 5 4 41 2 2" xfId="5732" xr:uid="{1220729C-300A-4CF1-B1D0-7EF716BFF83A}"/>
    <cellStyle name="Normal 2 5 4 41 2 2 2" xfId="14562" xr:uid="{32888E64-ED27-49BD-B52E-A2A39B21021F}"/>
    <cellStyle name="Normal 2 5 4 41 2 3" xfId="5733" xr:uid="{F4297C20-E728-433B-81E0-14C022196FCB}"/>
    <cellStyle name="Normal 2 5 4 41 2 3 2" xfId="14563" xr:uid="{015191E4-BEE2-412F-883E-BBE7D6205431}"/>
    <cellStyle name="Normal 2 5 4 41 2 4" xfId="14561" xr:uid="{226766B0-BD0A-495C-AB8D-804880A654D6}"/>
    <cellStyle name="Normal 2 5 4 41 3" xfId="5734" xr:uid="{41F31F26-2069-40E2-87A8-228D333AFBC7}"/>
    <cellStyle name="Normal 2 5 4 41 3 2" xfId="14564" xr:uid="{DA6913BE-CFFD-435E-BAD5-F01D5F84724C}"/>
    <cellStyle name="Normal 2 5 4 41 4" xfId="5735" xr:uid="{9E3A8D85-BC61-481C-98DB-B25D3871F757}"/>
    <cellStyle name="Normal 2 5 4 41 4 2" xfId="14565" xr:uid="{740622B5-31A8-4F49-91DE-3FEB1678F2B7}"/>
    <cellStyle name="Normal 2 5 4 41 5" xfId="14560" xr:uid="{09ADF0F9-186C-414B-8DC0-A834EAB4FF82}"/>
    <cellStyle name="Normal 2 5 4 42" xfId="5736" xr:uid="{2805CDD4-15B3-4780-A7DE-C28966B54855}"/>
    <cellStyle name="Normal 2 5 4 42 2" xfId="5737" xr:uid="{2CE7FE2A-95A7-4211-86D6-3BD302594901}"/>
    <cellStyle name="Normal 2 5 4 42 2 2" xfId="5738" xr:uid="{8ABF347F-1AD6-4C64-9BB2-2F3775E2CBF5}"/>
    <cellStyle name="Normal 2 5 4 42 2 2 2" xfId="14568" xr:uid="{93436FAA-E615-4753-99EC-C967AB7B884D}"/>
    <cellStyle name="Normal 2 5 4 42 2 3" xfId="5739" xr:uid="{3A9F4C8A-E34D-4942-9434-C59AF89611B0}"/>
    <cellStyle name="Normal 2 5 4 42 2 3 2" xfId="14569" xr:uid="{243E8FDD-282B-4148-BB31-16CF945F1BFD}"/>
    <cellStyle name="Normal 2 5 4 42 2 4" xfId="14567" xr:uid="{A04982B7-A921-4DB3-A659-11EDEA07743F}"/>
    <cellStyle name="Normal 2 5 4 42 3" xfId="5740" xr:uid="{4433227C-218F-4F77-806A-B4E95D832F9E}"/>
    <cellStyle name="Normal 2 5 4 42 3 2" xfId="14570" xr:uid="{D823C86A-7A2D-4560-9389-AE95F87B3FE1}"/>
    <cellStyle name="Normal 2 5 4 42 4" xfId="5741" xr:uid="{531FA9E4-757A-48BD-9864-42A39DB429A4}"/>
    <cellStyle name="Normal 2 5 4 42 4 2" xfId="14571" xr:uid="{F15F9C81-5345-4BD4-89AF-F035D57CCFC3}"/>
    <cellStyle name="Normal 2 5 4 42 5" xfId="14566" xr:uid="{096ED9B5-9B4E-4A69-B7E3-BA0075C5E93C}"/>
    <cellStyle name="Normal 2 5 4 43" xfId="5742" xr:uid="{E261DC5C-5A64-460A-843E-AA2FE69B4D75}"/>
    <cellStyle name="Normal 2 5 4 43 2" xfId="5743" xr:uid="{80815A22-4DFE-4C4F-8FFA-2ACF9EC4786A}"/>
    <cellStyle name="Normal 2 5 4 43 2 2" xfId="5744" xr:uid="{B23AB1B5-FD40-42CC-A9A3-641296BF6983}"/>
    <cellStyle name="Normal 2 5 4 43 2 2 2" xfId="14574" xr:uid="{032F2CCD-2F50-4497-BFBD-81BC0B6CC2F7}"/>
    <cellStyle name="Normal 2 5 4 43 2 3" xfId="5745" xr:uid="{83E9D1B4-1BA8-4DA0-A31B-BBB2C591CB47}"/>
    <cellStyle name="Normal 2 5 4 43 2 3 2" xfId="14575" xr:uid="{F902FF90-393B-4D35-9592-5CFD04471590}"/>
    <cellStyle name="Normal 2 5 4 43 2 4" xfId="14573" xr:uid="{366120A8-B0C5-4251-A7A4-02F52F3ABC8C}"/>
    <cellStyle name="Normal 2 5 4 43 3" xfId="5746" xr:uid="{32FE3EF2-06AF-4AD7-AF8E-32EB6C491025}"/>
    <cellStyle name="Normal 2 5 4 43 3 2" xfId="14576" xr:uid="{A14131E4-449E-4D55-88C0-DA5B8F51B236}"/>
    <cellStyle name="Normal 2 5 4 43 4" xfId="5747" xr:uid="{D3C38570-94FD-4B21-AC61-1929EB5080C4}"/>
    <cellStyle name="Normal 2 5 4 43 4 2" xfId="14577" xr:uid="{97D2B24C-C38F-4E7F-9D00-9FAA0595A202}"/>
    <cellStyle name="Normal 2 5 4 43 5" xfId="14572" xr:uid="{3D72B766-7982-4E4D-A20A-5633AC311EEC}"/>
    <cellStyle name="Normal 2 5 4 44" xfId="5748" xr:uid="{5DA8F657-AEB0-407A-8DDC-4B58C58CF722}"/>
    <cellStyle name="Normal 2 5 4 44 2" xfId="5749" xr:uid="{87DE36BC-2481-4B8B-9220-A5199531A2BA}"/>
    <cellStyle name="Normal 2 5 4 44 2 2" xfId="14579" xr:uid="{6FB1D910-F3B4-465E-A8AA-99852F653949}"/>
    <cellStyle name="Normal 2 5 4 44 3" xfId="5750" xr:uid="{A34D066B-5972-4BBB-B229-F577B46463F6}"/>
    <cellStyle name="Normal 2 5 4 44 3 2" xfId="14580" xr:uid="{F9DD63F0-0585-4F40-8B71-BE3549BEB15E}"/>
    <cellStyle name="Normal 2 5 4 44 4" xfId="14578" xr:uid="{8C62D36C-9F64-4031-9280-F7C831530C55}"/>
    <cellStyle name="Normal 2 5 4 45" xfId="5751" xr:uid="{5BFFF22A-EB46-445E-82EA-6D25C9B0DA92}"/>
    <cellStyle name="Normal 2 5 4 45 2" xfId="14581" xr:uid="{E02A3A74-D40C-4BE5-A0D7-AD03C5BE6685}"/>
    <cellStyle name="Normal 2 5 4 46" xfId="5752" xr:uid="{E9521538-98B8-4ED7-B9DD-E342E4F74B8E}"/>
    <cellStyle name="Normal 2 5 4 46 2" xfId="14582" xr:uid="{9055B88B-2B08-489F-9A0F-5D9945E36ACB}"/>
    <cellStyle name="Normal 2 5 4 47" xfId="14355" xr:uid="{732FA14C-5E0E-49C2-AD87-461E31DF4D35}"/>
    <cellStyle name="Normal 2 5 4 5" xfId="5753" xr:uid="{9E04BC9E-6826-4FA2-BCF1-F57EF8FEFE2F}"/>
    <cellStyle name="Normal 2 5 4 5 2" xfId="5754" xr:uid="{797DD172-EBF0-461C-966D-94F87B88CCB6}"/>
    <cellStyle name="Normal 2 5 4 5 2 2" xfId="5755" xr:uid="{EE744BD9-5A22-4DFB-8DEC-441FD1A11634}"/>
    <cellStyle name="Normal 2 5 4 5 2 2 2" xfId="14585" xr:uid="{4EC240BA-D2DA-453C-A9D7-D7BE6156DFE7}"/>
    <cellStyle name="Normal 2 5 4 5 2 3" xfId="5756" xr:uid="{A22C040A-203F-4967-832C-4E41689A9D1B}"/>
    <cellStyle name="Normal 2 5 4 5 2 3 2" xfId="14586" xr:uid="{DC4149DF-F4EF-4BE8-8141-13C8F60B65A5}"/>
    <cellStyle name="Normal 2 5 4 5 2 4" xfId="14584" xr:uid="{020129EC-B8C3-4916-A929-D85AD2580947}"/>
    <cellStyle name="Normal 2 5 4 5 3" xfId="5757" xr:uid="{F7767ABA-72D6-4324-9CE9-8AE3CCF520FD}"/>
    <cellStyle name="Normal 2 5 4 5 3 2" xfId="14587" xr:uid="{16DE8965-6BD3-49F0-9FA7-F8CBCA15FE63}"/>
    <cellStyle name="Normal 2 5 4 5 4" xfId="5758" xr:uid="{0088CAB6-4917-49C4-8F6A-A4B94A2EE079}"/>
    <cellStyle name="Normal 2 5 4 5 4 2" xfId="14588" xr:uid="{E31EB179-5D1D-410C-AC6B-0AA3125CEFE4}"/>
    <cellStyle name="Normal 2 5 4 5 5" xfId="14583" xr:uid="{8D448D02-D5FD-47ED-AE30-A4C82271DE18}"/>
    <cellStyle name="Normal 2 5 4 6" xfId="5759" xr:uid="{2BF2C51C-5C93-4526-889C-8E99AABAD781}"/>
    <cellStyle name="Normal 2 5 4 6 2" xfId="5760" xr:uid="{22309B0F-E9B9-49F7-BB8A-ACC754475531}"/>
    <cellStyle name="Normal 2 5 4 6 2 2" xfId="5761" xr:uid="{5792DA8D-26B2-4EEA-8D94-4F23843BE3CD}"/>
    <cellStyle name="Normal 2 5 4 6 2 2 2" xfId="14591" xr:uid="{8E810EEA-B67E-40A5-A020-A0FC658C61F9}"/>
    <cellStyle name="Normal 2 5 4 6 2 3" xfId="5762" xr:uid="{D09494BE-3292-4E0C-A9E9-BC03647F4CCA}"/>
    <cellStyle name="Normal 2 5 4 6 2 3 2" xfId="14592" xr:uid="{FF6C3EF5-E782-4B9B-A2FC-0494C7D4BCB0}"/>
    <cellStyle name="Normal 2 5 4 6 2 4" xfId="14590" xr:uid="{67F9E602-A3B3-4462-8421-E887243BFA5A}"/>
    <cellStyle name="Normal 2 5 4 6 3" xfId="5763" xr:uid="{38EE9819-3864-4117-990B-E3BFCF6B83F6}"/>
    <cellStyle name="Normal 2 5 4 6 3 2" xfId="14593" xr:uid="{4A2F104F-67BA-4EBD-A8C3-F312323F2591}"/>
    <cellStyle name="Normal 2 5 4 6 4" xfId="5764" xr:uid="{C249D292-23A1-4B7A-97AD-1D0F7DDDBC3C}"/>
    <cellStyle name="Normal 2 5 4 6 4 2" xfId="14594" xr:uid="{99B0DD5F-3ADC-49A0-8373-FD0FF7438D6A}"/>
    <cellStyle name="Normal 2 5 4 6 5" xfId="14589" xr:uid="{57344347-A543-4288-9AFE-79CDAE8D1217}"/>
    <cellStyle name="Normal 2 5 4 7" xfId="5765" xr:uid="{4C8CA2CD-92F4-4B39-BCE7-F18A8E969546}"/>
    <cellStyle name="Normal 2 5 4 7 2" xfId="5766" xr:uid="{6759F97B-6054-4757-B845-C734E696F6AA}"/>
    <cellStyle name="Normal 2 5 4 7 2 2" xfId="5767" xr:uid="{78549C9A-D6F9-47F3-9016-A8A812F753FC}"/>
    <cellStyle name="Normal 2 5 4 7 2 2 2" xfId="14597" xr:uid="{D5F62290-2301-478B-90E5-75FEC0E56E56}"/>
    <cellStyle name="Normal 2 5 4 7 2 3" xfId="5768" xr:uid="{27F69ADA-0B8B-430B-945E-C19F05194A6C}"/>
    <cellStyle name="Normal 2 5 4 7 2 3 2" xfId="14598" xr:uid="{3F7D0ED2-A5DA-483A-A0C9-A900707F159D}"/>
    <cellStyle name="Normal 2 5 4 7 2 4" xfId="14596" xr:uid="{29080AC2-A100-46D5-9E8E-35CBA67C99EC}"/>
    <cellStyle name="Normal 2 5 4 7 3" xfId="5769" xr:uid="{DDAA15AB-E487-4257-AE93-D6AE84CB5F0C}"/>
    <cellStyle name="Normal 2 5 4 7 3 2" xfId="14599" xr:uid="{A3721A97-CED3-42D7-BC91-AD8226DA6F6C}"/>
    <cellStyle name="Normal 2 5 4 7 4" xfId="5770" xr:uid="{870A1618-8561-4F4C-B479-AD90CA210532}"/>
    <cellStyle name="Normal 2 5 4 7 4 2" xfId="14600" xr:uid="{22B544B1-BC20-4746-8C95-CA1D1C22A51A}"/>
    <cellStyle name="Normal 2 5 4 7 5" xfId="14595" xr:uid="{9C0012F4-0C84-44D8-A563-9A09B39CD15B}"/>
    <cellStyle name="Normal 2 5 4 8" xfId="5771" xr:uid="{3B81F6CB-6B26-42F5-90C4-05DEA7330325}"/>
    <cellStyle name="Normal 2 5 4 8 2" xfId="5772" xr:uid="{FDBE681F-E533-424D-8464-42BEEE38B65C}"/>
    <cellStyle name="Normal 2 5 4 8 2 2" xfId="5773" xr:uid="{DF5B5E7D-B888-4623-A999-AEE71D67C3A8}"/>
    <cellStyle name="Normal 2 5 4 8 2 2 2" xfId="14603" xr:uid="{2FB1A98F-AA47-4514-981F-604A36B6ABA1}"/>
    <cellStyle name="Normal 2 5 4 8 2 3" xfId="5774" xr:uid="{571C0C74-5910-45C9-A9C2-0C4BA9A5E2CF}"/>
    <cellStyle name="Normal 2 5 4 8 2 3 2" xfId="14604" xr:uid="{6F20DD61-A57F-4CED-8602-AF6D9C678AE9}"/>
    <cellStyle name="Normal 2 5 4 8 2 4" xfId="14602" xr:uid="{90794D08-11B3-4CC1-8ACA-D7FE96A5CE0C}"/>
    <cellStyle name="Normal 2 5 4 8 3" xfId="5775" xr:uid="{D2E84082-E81C-40C3-9B21-0FA54A27CE5A}"/>
    <cellStyle name="Normal 2 5 4 8 3 2" xfId="14605" xr:uid="{D260370F-ABF8-49D2-B928-7C78813E8C97}"/>
    <cellStyle name="Normal 2 5 4 8 4" xfId="5776" xr:uid="{7D37716C-4714-4EC9-B0B6-5E93F514B855}"/>
    <cellStyle name="Normal 2 5 4 8 4 2" xfId="14606" xr:uid="{726DDB7D-D27E-4107-B61F-23080AB0F5ED}"/>
    <cellStyle name="Normal 2 5 4 8 5" xfId="14601" xr:uid="{92DCB007-58B7-453C-9A3C-F9A8F602C7E2}"/>
    <cellStyle name="Normal 2 5 4 9" xfId="5777" xr:uid="{2F715578-C0FA-4384-B88F-68018EA1B779}"/>
    <cellStyle name="Normal 2 5 4 9 2" xfId="5778" xr:uid="{B52BF42F-AE48-482A-B7CD-A78870A6F90C}"/>
    <cellStyle name="Normal 2 5 4 9 2 2" xfId="5779" xr:uid="{7B4C12F1-D8A3-40C1-BF34-C8964A96893D}"/>
    <cellStyle name="Normal 2 5 4 9 2 2 2" xfId="14609" xr:uid="{7600EEE6-1D84-4D19-9698-DC9F5F024C03}"/>
    <cellStyle name="Normal 2 5 4 9 2 3" xfId="5780" xr:uid="{D4EC61DF-099A-4294-8D12-184F9E5FBDDE}"/>
    <cellStyle name="Normal 2 5 4 9 2 3 2" xfId="14610" xr:uid="{D4C556D5-653E-4569-AE99-71A525D31F40}"/>
    <cellStyle name="Normal 2 5 4 9 2 4" xfId="14608" xr:uid="{05C80285-5F29-478F-8AFC-5C34A45144AE}"/>
    <cellStyle name="Normal 2 5 4 9 3" xfId="5781" xr:uid="{1BE28996-C543-478C-9AC1-F68197EFEF1D}"/>
    <cellStyle name="Normal 2 5 4 9 3 2" xfId="14611" xr:uid="{84025B1D-A256-4D6C-9125-C76002D8110E}"/>
    <cellStyle name="Normal 2 5 4 9 4" xfId="5782" xr:uid="{E73101F5-3111-46C9-BEC9-F4AAAA3FCFAD}"/>
    <cellStyle name="Normal 2 5 4 9 4 2" xfId="14612" xr:uid="{54E0FE11-CAF3-4FC7-80CA-3853B3153725}"/>
    <cellStyle name="Normal 2 5 4 9 5" xfId="14607" xr:uid="{8C9382CE-8A8F-457D-B8D4-BB5DC843E2F0}"/>
    <cellStyle name="Normal 2 5 40" xfId="5783" xr:uid="{AA5AC28B-329B-42C8-9F70-4E108BDA8B75}"/>
    <cellStyle name="Normal 2 5 40 2" xfId="5784" xr:uid="{FFF8B4D4-F19C-4552-AE26-FAEAE1AD71F6}"/>
    <cellStyle name="Normal 2 5 40 2 2" xfId="5785" xr:uid="{B152FA71-DC70-41BE-8657-F41EC52E789A}"/>
    <cellStyle name="Normal 2 5 40 2 2 2" xfId="14615" xr:uid="{59A162D5-A128-4AC2-9C6A-FC8598ED67B8}"/>
    <cellStyle name="Normal 2 5 40 2 3" xfId="5786" xr:uid="{354854FB-058A-4996-B1EE-D88CA0752D3C}"/>
    <cellStyle name="Normal 2 5 40 2 3 2" xfId="14616" xr:uid="{6BE07EB9-B3FE-48EC-92BF-B67E07228427}"/>
    <cellStyle name="Normal 2 5 40 2 4" xfId="14614" xr:uid="{F4531C6F-43A7-4F07-8FB4-B0FBD7FFF4A4}"/>
    <cellStyle name="Normal 2 5 40 3" xfId="5787" xr:uid="{AAA4E9A7-F9D4-40D8-8688-C599B2DF7C5F}"/>
    <cellStyle name="Normal 2 5 40 3 2" xfId="14617" xr:uid="{7DE71535-51A6-4EFF-A048-C4B9B2CB0CD2}"/>
    <cellStyle name="Normal 2 5 40 4" xfId="5788" xr:uid="{38717083-EF18-4803-81F0-1EEB7F4F6D82}"/>
    <cellStyle name="Normal 2 5 40 4 2" xfId="14618" xr:uid="{2F9B17DF-2892-408F-A875-10E21BBFEF87}"/>
    <cellStyle name="Normal 2 5 40 5" xfId="14613" xr:uid="{10367767-159A-431B-9F03-CAEE9360660B}"/>
    <cellStyle name="Normal 2 5 41" xfId="5789" xr:uid="{60FC5395-38CB-492F-B9DE-4911861C0339}"/>
    <cellStyle name="Normal 2 5 41 2" xfId="5790" xr:uid="{CFEC31FC-4DF7-4D4C-A40B-44350D7D2D95}"/>
    <cellStyle name="Normal 2 5 41 2 2" xfId="5791" xr:uid="{0185B3C6-1857-4DE3-B697-BFE7492ECCB8}"/>
    <cellStyle name="Normal 2 5 41 2 2 2" xfId="14621" xr:uid="{5527C213-5A2E-445A-B126-E5E128491CBE}"/>
    <cellStyle name="Normal 2 5 41 2 3" xfId="5792" xr:uid="{BFBA8F7C-C331-4030-AF2D-D5A45D4D5B8D}"/>
    <cellStyle name="Normal 2 5 41 2 3 2" xfId="14622" xr:uid="{9F47F812-1350-44F4-9349-865007613655}"/>
    <cellStyle name="Normal 2 5 41 2 4" xfId="14620" xr:uid="{DBB58797-EB1F-4313-B964-4F08CABB1B55}"/>
    <cellStyle name="Normal 2 5 41 3" xfId="5793" xr:uid="{D90D8E4B-0AA0-4E7E-87A1-52DCDAB10134}"/>
    <cellStyle name="Normal 2 5 41 3 2" xfId="14623" xr:uid="{98A093BD-12ED-4D16-A7D3-F7094F5747B8}"/>
    <cellStyle name="Normal 2 5 41 4" xfId="5794" xr:uid="{78B7D8F5-78BA-4605-B541-6DD763411546}"/>
    <cellStyle name="Normal 2 5 41 4 2" xfId="14624" xr:uid="{C894BDBD-EE0B-48A8-A168-CE1DBC618038}"/>
    <cellStyle name="Normal 2 5 41 5" xfId="14619" xr:uid="{30A46670-72A9-4074-9858-C103160CDCF5}"/>
    <cellStyle name="Normal 2 5 42" xfId="5795" xr:uid="{6EA06127-3EF2-4D5C-AA4E-29E3B359853A}"/>
    <cellStyle name="Normal 2 5 42 2" xfId="5796" xr:uid="{3299729C-E7C3-4979-B2AD-60D58B2F3289}"/>
    <cellStyle name="Normal 2 5 42 2 2" xfId="5797" xr:uid="{0C533819-A781-4296-9D36-42B3D9056179}"/>
    <cellStyle name="Normal 2 5 42 2 2 2" xfId="14627" xr:uid="{AA5F2AAA-D65C-44C1-BD90-38720D61E672}"/>
    <cellStyle name="Normal 2 5 42 2 3" xfId="5798" xr:uid="{71ADC3AA-48E2-49F6-88DB-0701614E16A8}"/>
    <cellStyle name="Normal 2 5 42 2 3 2" xfId="14628" xr:uid="{FD2A3B7B-6294-4270-B3CC-63AAE75BD770}"/>
    <cellStyle name="Normal 2 5 42 2 4" xfId="14626" xr:uid="{4A53FF62-F770-4ACE-B7CD-F80A5451EA82}"/>
    <cellStyle name="Normal 2 5 42 3" xfId="5799" xr:uid="{25C8C455-8088-4184-BD85-5A3EF7A0593B}"/>
    <cellStyle name="Normal 2 5 42 3 2" xfId="14629" xr:uid="{75DB7BB2-30C8-48F9-B32C-FDBBED8C3104}"/>
    <cellStyle name="Normal 2 5 42 4" xfId="5800" xr:uid="{E6633063-8DF8-4B0F-95C9-18D958789A6C}"/>
    <cellStyle name="Normal 2 5 42 4 2" xfId="14630" xr:uid="{3F8C9408-2864-45EB-B446-776663BD97CC}"/>
    <cellStyle name="Normal 2 5 42 5" xfId="14625" xr:uid="{C9784520-CE3B-49AF-BE4B-49667E96D71D}"/>
    <cellStyle name="Normal 2 5 43" xfId="5801" xr:uid="{E61A343F-1957-451F-810A-03F1D7D29571}"/>
    <cellStyle name="Normal 2 5 43 2" xfId="5802" xr:uid="{0DA2907A-6962-4062-B890-CE766162EACD}"/>
    <cellStyle name="Normal 2 5 43 2 2" xfId="5803" xr:uid="{D18694F8-8764-43EA-958C-83E8D9A3B913}"/>
    <cellStyle name="Normal 2 5 43 2 2 2" xfId="14633" xr:uid="{DC941E6B-92C5-4F6C-8035-FBE62E3876B1}"/>
    <cellStyle name="Normal 2 5 43 2 3" xfId="5804" xr:uid="{F749A486-5D61-4C5E-B9A5-D3C1CB61764D}"/>
    <cellStyle name="Normal 2 5 43 2 3 2" xfId="14634" xr:uid="{C92B7946-10B7-4C01-8C82-8C6C88A3F2A8}"/>
    <cellStyle name="Normal 2 5 43 2 4" xfId="14632" xr:uid="{0F8B9E7D-5D8C-41B7-9370-3ACF62CCDBBE}"/>
    <cellStyle name="Normal 2 5 43 3" xfId="5805" xr:uid="{E469E38C-92AE-4308-BB2D-7472F0B97F28}"/>
    <cellStyle name="Normal 2 5 43 3 2" xfId="14635" xr:uid="{47C32C27-6B64-4F1E-A765-42E65B5D2D19}"/>
    <cellStyle name="Normal 2 5 43 4" xfId="5806" xr:uid="{7BE98AB6-4628-4103-A2DB-1D77F0758448}"/>
    <cellStyle name="Normal 2 5 43 4 2" xfId="14636" xr:uid="{194AA94E-7D9B-4D17-9859-B6C2E19B88E8}"/>
    <cellStyle name="Normal 2 5 43 5" xfId="14631" xr:uid="{282923C8-2E6B-4374-8606-F2AF46DEF514}"/>
    <cellStyle name="Normal 2 5 44" xfId="5807" xr:uid="{B9BAF3B6-6F5D-4141-B40E-EA67862707AB}"/>
    <cellStyle name="Normal 2 5 44 2" xfId="5808" xr:uid="{7DF46421-98CA-4BE5-84FB-B10E1E54A2AC}"/>
    <cellStyle name="Normal 2 5 44 2 2" xfId="5809" xr:uid="{2892470A-4BF1-4D9E-9D85-2426519FBD22}"/>
    <cellStyle name="Normal 2 5 44 2 2 2" xfId="14639" xr:uid="{6FFB4814-33E3-41FB-BBA7-6BEC72B16C81}"/>
    <cellStyle name="Normal 2 5 44 2 3" xfId="5810" xr:uid="{FB181F8B-4FC0-4619-8B1F-5FEDF48F7189}"/>
    <cellStyle name="Normal 2 5 44 2 3 2" xfId="14640" xr:uid="{01D88CAF-EA7E-4CD7-84A5-572F515FAC30}"/>
    <cellStyle name="Normal 2 5 44 2 4" xfId="14638" xr:uid="{96E666A3-E9E0-4DB0-83FA-BB67C875E2FC}"/>
    <cellStyle name="Normal 2 5 44 3" xfId="5811" xr:uid="{CBD56CAA-942F-4AC2-8655-F93B14949539}"/>
    <cellStyle name="Normal 2 5 44 3 2" xfId="14641" xr:uid="{653AF331-A3A3-4064-83A5-CC62E2F05DFA}"/>
    <cellStyle name="Normal 2 5 44 4" xfId="5812" xr:uid="{4F0C2985-A250-400C-A70D-91DA8381A1F4}"/>
    <cellStyle name="Normal 2 5 44 4 2" xfId="14642" xr:uid="{11F412A1-D81D-4549-ADBB-979800858FBF}"/>
    <cellStyle name="Normal 2 5 44 5" xfId="14637" xr:uid="{2579A63D-A255-4D83-9CE2-9185F4A013BC}"/>
    <cellStyle name="Normal 2 5 45" xfId="5813" xr:uid="{D3FD01E0-B4CD-465C-8687-BFD006AC7A20}"/>
    <cellStyle name="Normal 2 5 45 2" xfId="5814" xr:uid="{83626931-86AA-44C0-AB68-3B74C267B15E}"/>
    <cellStyle name="Normal 2 5 45 2 2" xfId="5815" xr:uid="{493BDB94-B152-4792-9148-8E048DA500C0}"/>
    <cellStyle name="Normal 2 5 45 2 2 2" xfId="14645" xr:uid="{0ABFD09B-6B3B-4E1E-88C8-72CA7742B239}"/>
    <cellStyle name="Normal 2 5 45 2 3" xfId="5816" xr:uid="{C371E3D1-31F0-4D58-B397-B109D228C6C5}"/>
    <cellStyle name="Normal 2 5 45 2 3 2" xfId="14646" xr:uid="{9ABC9CC9-FC8E-4591-BC8A-48F5A37D4B26}"/>
    <cellStyle name="Normal 2 5 45 2 4" xfId="14644" xr:uid="{24A317FF-3FCA-48A7-A3F7-16626D14E958}"/>
    <cellStyle name="Normal 2 5 45 3" xfId="5817" xr:uid="{1B428D27-84B2-4073-A0F0-B46D3367818D}"/>
    <cellStyle name="Normal 2 5 45 3 2" xfId="14647" xr:uid="{D788C860-B372-4051-9CCF-0A0BAC65C518}"/>
    <cellStyle name="Normal 2 5 45 4" xfId="5818" xr:uid="{77695E4A-2235-491D-9992-87F1352A8D36}"/>
    <cellStyle name="Normal 2 5 45 4 2" xfId="14648" xr:uid="{A746D375-3DEB-44FB-B559-3A785C7BAEBF}"/>
    <cellStyle name="Normal 2 5 45 5" xfId="14643" xr:uid="{38E4FA90-D9FC-488E-9B95-321147DCCB68}"/>
    <cellStyle name="Normal 2 5 46" xfId="5819" xr:uid="{2EBC1D03-E3B5-4838-A2B5-A16E4D649EEA}"/>
    <cellStyle name="Normal 2 5 46 2" xfId="5820" xr:uid="{DA7E6C96-5B92-43F3-8B51-F29EB87BCD88}"/>
    <cellStyle name="Normal 2 5 46 2 2" xfId="5821" xr:uid="{8ACA0811-2509-4B2F-B60A-ABF89246B946}"/>
    <cellStyle name="Normal 2 5 46 2 2 2" xfId="14651" xr:uid="{F473BEF6-DDFC-4213-9109-37EAFAC5565F}"/>
    <cellStyle name="Normal 2 5 46 2 3" xfId="5822" xr:uid="{DF47C065-925D-46BF-8D1B-77FED5F5F592}"/>
    <cellStyle name="Normal 2 5 46 2 3 2" xfId="14652" xr:uid="{81B80865-BF03-47EB-9F26-C9D4A0023B0B}"/>
    <cellStyle name="Normal 2 5 46 2 4" xfId="14650" xr:uid="{58FC3883-B1D1-4F0F-871B-A1B3D67C1C60}"/>
    <cellStyle name="Normal 2 5 46 3" xfId="5823" xr:uid="{3C9CB92E-8C06-4B93-8F4D-DFDA71CE64C8}"/>
    <cellStyle name="Normal 2 5 46 3 2" xfId="14653" xr:uid="{2E7C0766-B025-4E5A-820F-AB5212E234B3}"/>
    <cellStyle name="Normal 2 5 46 4" xfId="5824" xr:uid="{366B8DAF-CFC9-47A6-8E7C-C7B802A48B45}"/>
    <cellStyle name="Normal 2 5 46 4 2" xfId="14654" xr:uid="{3BB0CC14-BB37-4F6E-B595-0BF878845CF6}"/>
    <cellStyle name="Normal 2 5 46 5" xfId="14649" xr:uid="{E50788EB-12C2-4E7D-9F63-342366AC466F}"/>
    <cellStyle name="Normal 2 5 47" xfId="5825" xr:uid="{26814B98-C61F-41E6-B91A-41D2B18C85AD}"/>
    <cellStyle name="Normal 2 5 47 2" xfId="5826" xr:uid="{D5AA783B-3D19-468D-86AB-2D733628BFCF}"/>
    <cellStyle name="Normal 2 5 47 2 2" xfId="5827" xr:uid="{AE2E8A1D-74F7-48EC-A1F2-5390FF14B00E}"/>
    <cellStyle name="Normal 2 5 47 2 2 2" xfId="14657" xr:uid="{248DF5AF-14A6-469E-9C8A-C654CA000105}"/>
    <cellStyle name="Normal 2 5 47 2 3" xfId="5828" xr:uid="{96224B0A-D502-432E-A86A-E65260F19992}"/>
    <cellStyle name="Normal 2 5 47 2 3 2" xfId="14658" xr:uid="{FCB795A5-F698-4926-96CD-2EFD227C51EA}"/>
    <cellStyle name="Normal 2 5 47 2 4" xfId="14656" xr:uid="{E06B881B-452C-4F33-ACD4-1BAF1320292C}"/>
    <cellStyle name="Normal 2 5 47 3" xfId="5829" xr:uid="{9B3DC845-94CE-4171-A013-FD0CCB7BD325}"/>
    <cellStyle name="Normal 2 5 47 3 2" xfId="14659" xr:uid="{1D11A710-8ACE-41FF-AB37-A7506DAAF785}"/>
    <cellStyle name="Normal 2 5 47 4" xfId="5830" xr:uid="{933F1F4E-758E-4B5D-8016-EBF3E34E0383}"/>
    <cellStyle name="Normal 2 5 47 4 2" xfId="14660" xr:uid="{BB415EC3-F3D7-43A8-9E30-A07F725C6174}"/>
    <cellStyle name="Normal 2 5 47 5" xfId="14655" xr:uid="{C6BEA7A9-A678-484A-8A03-A93400F873C8}"/>
    <cellStyle name="Normal 2 5 48" xfId="5831" xr:uid="{DDF27535-0BEE-4DE3-9216-356446CF3C14}"/>
    <cellStyle name="Normal 2 5 48 2" xfId="5832" xr:uid="{FB5AA97F-D8DA-4D29-A0F6-B7F05A29728A}"/>
    <cellStyle name="Normal 2 5 48 2 2" xfId="5833" xr:uid="{5EB4A00D-DBF3-4DDC-A1C5-A6D46608D559}"/>
    <cellStyle name="Normal 2 5 48 2 2 2" xfId="14663" xr:uid="{1CD1C89E-CC2D-460C-838E-6691A9D382AF}"/>
    <cellStyle name="Normal 2 5 48 2 3" xfId="5834" xr:uid="{2121DA9E-1576-4A31-9F54-42BD3C095D5B}"/>
    <cellStyle name="Normal 2 5 48 2 3 2" xfId="14664" xr:uid="{96A409EA-60AD-4F3B-8D7D-B5C307231460}"/>
    <cellStyle name="Normal 2 5 48 2 4" xfId="14662" xr:uid="{9FBA8791-9232-43CE-8295-5F45E6FE786C}"/>
    <cellStyle name="Normal 2 5 48 3" xfId="5835" xr:uid="{358114D6-871F-418A-8C54-C91CCBD4DCFE}"/>
    <cellStyle name="Normal 2 5 48 3 2" xfId="14665" xr:uid="{848612ED-7F0F-4956-91C3-F2392B64E64B}"/>
    <cellStyle name="Normal 2 5 48 4" xfId="5836" xr:uid="{231DE67B-80DD-45F6-9DD7-8D8F58B8FAAF}"/>
    <cellStyle name="Normal 2 5 48 4 2" xfId="14666" xr:uid="{AFD586DC-1247-47F4-9401-E63FD1619E20}"/>
    <cellStyle name="Normal 2 5 48 5" xfId="14661" xr:uid="{F77AEE45-2B1F-4AAE-9C5A-A43239EC58A4}"/>
    <cellStyle name="Normal 2 5 49" xfId="5837" xr:uid="{03CE051A-02BD-4219-A2F8-82B153F65412}"/>
    <cellStyle name="Normal 2 5 49 2" xfId="5838" xr:uid="{AB2E7557-2FF3-4ADD-B16E-E6AE28F33471}"/>
    <cellStyle name="Normal 2 5 49 2 2" xfId="5839" xr:uid="{5580EC16-1AF4-4472-ACA3-872ADCDDFAB6}"/>
    <cellStyle name="Normal 2 5 49 2 2 2" xfId="14669" xr:uid="{ABF8D5DA-CB47-4041-AB23-0537593DE0FF}"/>
    <cellStyle name="Normal 2 5 49 2 3" xfId="5840" xr:uid="{71D91E09-8065-406A-B413-3D60DE019B9D}"/>
    <cellStyle name="Normal 2 5 49 2 3 2" xfId="14670" xr:uid="{40364DE2-8AF6-478D-BAEB-FD299F0FC815}"/>
    <cellStyle name="Normal 2 5 49 2 4" xfId="14668" xr:uid="{EED5013C-B6CB-4EA3-810E-D5F06F9F9424}"/>
    <cellStyle name="Normal 2 5 49 3" xfId="5841" xr:uid="{98FDD053-E1AD-480F-8755-7148048089E2}"/>
    <cellStyle name="Normal 2 5 49 3 2" xfId="14671" xr:uid="{319D9AE9-DB0D-475F-87D0-B625EC7CFEEB}"/>
    <cellStyle name="Normal 2 5 49 4" xfId="5842" xr:uid="{ECBB0C43-5CF8-486A-BF20-F39C8B64C182}"/>
    <cellStyle name="Normal 2 5 49 4 2" xfId="14672" xr:uid="{9547BA30-05F3-4F3C-BF64-D4DF3AA84629}"/>
    <cellStyle name="Normal 2 5 49 5" xfId="14667" xr:uid="{F9574C95-93BE-48B6-8087-943113DB8E4A}"/>
    <cellStyle name="Normal 2 5 5" xfId="5843" xr:uid="{C0968599-EEFB-4A24-941D-75EE769091CF}"/>
    <cellStyle name="Normal 2 5 5 10" xfId="5844" xr:uid="{007C312C-EF9D-47E0-B957-3A00A4F4C4D8}"/>
    <cellStyle name="Normal 2 5 5 10 2" xfId="5845" xr:uid="{6AFDF66C-D413-4414-95F4-F1BB2910647D}"/>
    <cellStyle name="Normal 2 5 5 10 2 2" xfId="5846" xr:uid="{0BD8AD6E-6E04-4C58-8D61-76326ECB4B39}"/>
    <cellStyle name="Normal 2 5 5 10 2 2 2" xfId="14676" xr:uid="{0B28A3EF-1FAE-47AD-B537-294D02FF65FD}"/>
    <cellStyle name="Normal 2 5 5 10 2 3" xfId="5847" xr:uid="{8C5D4672-BE0B-44F3-897B-79C5E50AF511}"/>
    <cellStyle name="Normal 2 5 5 10 2 3 2" xfId="14677" xr:uid="{2DD7698A-6F89-4D43-B232-80D023AF39B8}"/>
    <cellStyle name="Normal 2 5 5 10 2 4" xfId="14675" xr:uid="{B4C91343-0392-42D1-9C30-212273A21BC4}"/>
    <cellStyle name="Normal 2 5 5 10 3" xfId="5848" xr:uid="{18485D54-3040-4E4C-85B1-BCB67884D0A4}"/>
    <cellStyle name="Normal 2 5 5 10 3 2" xfId="14678" xr:uid="{B4E146C2-F558-42B4-B7B6-2C9A6960AE88}"/>
    <cellStyle name="Normal 2 5 5 10 4" xfId="5849" xr:uid="{C7A35511-60E1-4A99-81AC-EF945AA3B461}"/>
    <cellStyle name="Normal 2 5 5 10 4 2" xfId="14679" xr:uid="{3ADB64E3-0CE9-4F1D-B902-418B72812E8A}"/>
    <cellStyle name="Normal 2 5 5 10 5" xfId="14674" xr:uid="{DBC9437C-D68D-46DF-9283-DD2BE1AB4D60}"/>
    <cellStyle name="Normal 2 5 5 11" xfId="5850" xr:uid="{2365E89A-1D74-4444-9E57-03174F165780}"/>
    <cellStyle name="Normal 2 5 5 11 2" xfId="5851" xr:uid="{5EF10E3A-26AC-4B4D-A2A9-D20D9DFF3C13}"/>
    <cellStyle name="Normal 2 5 5 11 2 2" xfId="5852" xr:uid="{5EA20EED-9687-470B-B704-BB4CA4E83E27}"/>
    <cellStyle name="Normal 2 5 5 11 2 2 2" xfId="14682" xr:uid="{7717BEDF-ED89-43E8-8269-301B2C2B0BB2}"/>
    <cellStyle name="Normal 2 5 5 11 2 3" xfId="5853" xr:uid="{15CACD46-D09A-4FB0-A571-354C961A7F23}"/>
    <cellStyle name="Normal 2 5 5 11 2 3 2" xfId="14683" xr:uid="{3ADDD6E6-3BF1-4CEC-8E4A-1A9465D54379}"/>
    <cellStyle name="Normal 2 5 5 11 2 4" xfId="14681" xr:uid="{79837201-D958-4256-B187-4B15ECB40F8C}"/>
    <cellStyle name="Normal 2 5 5 11 3" xfId="5854" xr:uid="{5F206E9B-B4C6-4760-924C-F61D6F96D5A3}"/>
    <cellStyle name="Normal 2 5 5 11 3 2" xfId="14684" xr:uid="{79A05A9E-EE90-4683-8B3D-654AE2DC6F0E}"/>
    <cellStyle name="Normal 2 5 5 11 4" xfId="5855" xr:uid="{73FD2D72-1A48-4A2C-B4CC-29DF1AA96358}"/>
    <cellStyle name="Normal 2 5 5 11 4 2" xfId="14685" xr:uid="{DC82BEC8-F09B-4B4C-BB63-5022A48D53CD}"/>
    <cellStyle name="Normal 2 5 5 11 5" xfId="14680" xr:uid="{CFE05E9C-013B-4A80-9E81-10A4F03766C9}"/>
    <cellStyle name="Normal 2 5 5 12" xfId="5856" xr:uid="{1941AA6F-DF57-4A94-9939-9B2DFF90330B}"/>
    <cellStyle name="Normal 2 5 5 12 2" xfId="5857" xr:uid="{75FE69DB-2976-4F86-AC42-3E72F6E6B19D}"/>
    <cellStyle name="Normal 2 5 5 12 2 2" xfId="5858" xr:uid="{CAC547D1-6FA3-4D13-B3CB-631F404A3885}"/>
    <cellStyle name="Normal 2 5 5 12 2 2 2" xfId="14688" xr:uid="{304AC706-D33F-4827-BDD8-0F06C1C3ED69}"/>
    <cellStyle name="Normal 2 5 5 12 2 3" xfId="5859" xr:uid="{DC7C4229-23B5-423E-B017-19B3009502B9}"/>
    <cellStyle name="Normal 2 5 5 12 2 3 2" xfId="14689" xr:uid="{EC42CEE2-3246-49CD-A423-4D32240F9E53}"/>
    <cellStyle name="Normal 2 5 5 12 2 4" xfId="14687" xr:uid="{5286EE6E-9AA6-472B-8879-25AAB23A9B30}"/>
    <cellStyle name="Normal 2 5 5 12 3" xfId="5860" xr:uid="{4EB0FE40-14DC-4710-B7B4-C32F7CA17D94}"/>
    <cellStyle name="Normal 2 5 5 12 3 2" xfId="14690" xr:uid="{945AB3AE-C782-457C-A63F-C4A6F40CEE50}"/>
    <cellStyle name="Normal 2 5 5 12 4" xfId="5861" xr:uid="{6A733014-6ABA-4C5A-B5EC-49D6B7D7135B}"/>
    <cellStyle name="Normal 2 5 5 12 4 2" xfId="14691" xr:uid="{F33A850F-F144-42C3-954B-DF1A39E0F63C}"/>
    <cellStyle name="Normal 2 5 5 12 5" xfId="14686" xr:uid="{4ABA8EEE-637A-4B1E-A2E5-D5622ADB9A62}"/>
    <cellStyle name="Normal 2 5 5 13" xfId="5862" xr:uid="{E9A161CD-ADA3-4AD4-8771-58C365705503}"/>
    <cellStyle name="Normal 2 5 5 13 2" xfId="5863" xr:uid="{10C901E5-0819-483A-A418-9B5938041E94}"/>
    <cellStyle name="Normal 2 5 5 13 2 2" xfId="5864" xr:uid="{FAC8B3BC-FB2D-4CFF-AA93-6A9672BA8291}"/>
    <cellStyle name="Normal 2 5 5 13 2 2 2" xfId="14694" xr:uid="{06BF0C6E-9E6D-42F0-93DD-C4596E2A9D97}"/>
    <cellStyle name="Normal 2 5 5 13 2 3" xfId="5865" xr:uid="{13F69DC4-5DBC-49D0-A3ED-C89C504413AA}"/>
    <cellStyle name="Normal 2 5 5 13 2 3 2" xfId="14695" xr:uid="{C0F2F702-B85D-4098-A36D-07D07B1978B5}"/>
    <cellStyle name="Normal 2 5 5 13 2 4" xfId="14693" xr:uid="{ABFC9668-1365-4963-B1AC-C10DA28935A9}"/>
    <cellStyle name="Normal 2 5 5 13 3" xfId="5866" xr:uid="{E197F27E-BA3E-4DC3-98FF-5DCAB1F32D7B}"/>
    <cellStyle name="Normal 2 5 5 13 3 2" xfId="14696" xr:uid="{66987585-1776-462B-89D8-36261876ABB5}"/>
    <cellStyle name="Normal 2 5 5 13 4" xfId="5867" xr:uid="{E0C68D18-AEC6-4380-8CD7-083A32F8EDF5}"/>
    <cellStyle name="Normal 2 5 5 13 4 2" xfId="14697" xr:uid="{7DBD0E23-9267-47B9-873A-D89D8F27D5B2}"/>
    <cellStyle name="Normal 2 5 5 13 5" xfId="14692" xr:uid="{F39AA065-CD6A-4B40-9244-A171C1E56AA3}"/>
    <cellStyle name="Normal 2 5 5 14" xfId="5868" xr:uid="{FB34B050-008E-452B-B8A5-CEDF3E9D706B}"/>
    <cellStyle name="Normal 2 5 5 14 2" xfId="5869" xr:uid="{06B97DF6-0E10-4778-927B-2C3AEA49E927}"/>
    <cellStyle name="Normal 2 5 5 14 2 2" xfId="5870" xr:uid="{FFDEE52B-764E-43A3-BB3D-29C23BC91F92}"/>
    <cellStyle name="Normal 2 5 5 14 2 2 2" xfId="14700" xr:uid="{1E129059-D08F-4907-87FA-422C41714E6B}"/>
    <cellStyle name="Normal 2 5 5 14 2 3" xfId="5871" xr:uid="{E20F5CD6-598E-4209-909E-07FA242C8B35}"/>
    <cellStyle name="Normal 2 5 5 14 2 3 2" xfId="14701" xr:uid="{A4E07455-1922-4C2A-AA0E-110D1C183A68}"/>
    <cellStyle name="Normal 2 5 5 14 2 4" xfId="14699" xr:uid="{652AF3DE-2A32-4ADB-A5A7-087CDC33407E}"/>
    <cellStyle name="Normal 2 5 5 14 3" xfId="5872" xr:uid="{D1E4BB06-4CF7-408E-9104-D650CA9B2AB6}"/>
    <cellStyle name="Normal 2 5 5 14 3 2" xfId="14702" xr:uid="{E85200F6-F60D-427B-BF8D-DCE60F49A1F1}"/>
    <cellStyle name="Normal 2 5 5 14 4" xfId="5873" xr:uid="{4B6C56BE-9FF3-41A2-9266-4E418DE4836C}"/>
    <cellStyle name="Normal 2 5 5 14 4 2" xfId="14703" xr:uid="{F3A81AAF-FDFD-4E09-8B4A-31E0029DB227}"/>
    <cellStyle name="Normal 2 5 5 14 5" xfId="14698" xr:uid="{360FC613-3955-4510-BB95-87AA74FCD7FD}"/>
    <cellStyle name="Normal 2 5 5 15" xfId="5874" xr:uid="{57323AF0-7680-4772-A896-17A5D458778D}"/>
    <cellStyle name="Normal 2 5 5 15 2" xfId="5875" xr:uid="{5F0ED57D-E58D-49FB-83CF-671BE94B9169}"/>
    <cellStyle name="Normal 2 5 5 15 2 2" xfId="5876" xr:uid="{09AB14BA-A600-4962-A5E4-B5D77BCE6A0C}"/>
    <cellStyle name="Normal 2 5 5 15 2 2 2" xfId="14706" xr:uid="{9B7AAA7A-4AC0-4426-A3BA-AE98C6870112}"/>
    <cellStyle name="Normal 2 5 5 15 2 3" xfId="5877" xr:uid="{4C201159-F713-4FCF-940A-8A7E873F3A77}"/>
    <cellStyle name="Normal 2 5 5 15 2 3 2" xfId="14707" xr:uid="{0F6F831A-FA13-4CDA-86D1-93ECC3552C55}"/>
    <cellStyle name="Normal 2 5 5 15 2 4" xfId="14705" xr:uid="{5E9C1D99-1DDA-4FBF-8475-F136AD350057}"/>
    <cellStyle name="Normal 2 5 5 15 3" xfId="5878" xr:uid="{534669B1-7670-4DC2-B31C-B66D9476D955}"/>
    <cellStyle name="Normal 2 5 5 15 3 2" xfId="14708" xr:uid="{728C04D5-795F-4A5C-9BE6-A1E66C27000A}"/>
    <cellStyle name="Normal 2 5 5 15 4" xfId="5879" xr:uid="{26C809C7-BAE6-46EC-8523-43674EE2F08F}"/>
    <cellStyle name="Normal 2 5 5 15 4 2" xfId="14709" xr:uid="{46A293D1-DA4E-4CB3-BAA2-F50E4ABF2948}"/>
    <cellStyle name="Normal 2 5 5 15 5" xfId="14704" xr:uid="{8C072749-2981-45D7-9D0A-4FB51987B498}"/>
    <cellStyle name="Normal 2 5 5 16" xfId="5880" xr:uid="{A1FDAFB5-0D02-4796-AF47-035A28F2C2D9}"/>
    <cellStyle name="Normal 2 5 5 16 2" xfId="5881" xr:uid="{3B0641B6-13B7-43EE-9535-081D524020AC}"/>
    <cellStyle name="Normal 2 5 5 16 2 2" xfId="5882" xr:uid="{DB72F8A1-5DCB-4959-A497-7301E37FAEC2}"/>
    <cellStyle name="Normal 2 5 5 16 2 2 2" xfId="14712" xr:uid="{612CB2FF-8310-4681-B968-47B7E1BA40EB}"/>
    <cellStyle name="Normal 2 5 5 16 2 3" xfId="5883" xr:uid="{E8567F74-CA88-4361-937D-E13B994757F7}"/>
    <cellStyle name="Normal 2 5 5 16 2 3 2" xfId="14713" xr:uid="{7267A3A6-0B07-43FD-9561-CC2E65AD6E2C}"/>
    <cellStyle name="Normal 2 5 5 16 2 4" xfId="14711" xr:uid="{6DD1B3C5-4CC1-430A-85E9-A29A8038A1C1}"/>
    <cellStyle name="Normal 2 5 5 16 3" xfId="5884" xr:uid="{24719CD7-6EE9-40DE-953B-65E85143B021}"/>
    <cellStyle name="Normal 2 5 5 16 3 2" xfId="14714" xr:uid="{CB901D03-72F8-4CB3-AF0D-38A3E15379D1}"/>
    <cellStyle name="Normal 2 5 5 16 4" xfId="5885" xr:uid="{394F6F7C-9F08-4DA3-A53F-A30DEA2D1760}"/>
    <cellStyle name="Normal 2 5 5 16 4 2" xfId="14715" xr:uid="{97E733E2-CBE4-40B8-8D20-E599B1803A78}"/>
    <cellStyle name="Normal 2 5 5 16 5" xfId="14710" xr:uid="{8FD9F4DF-5806-4F11-BFA3-C4A5CDB38B07}"/>
    <cellStyle name="Normal 2 5 5 17" xfId="5886" xr:uid="{720062B2-B918-4D0B-BDAD-085D3B0CC2B7}"/>
    <cellStyle name="Normal 2 5 5 17 2" xfId="5887" xr:uid="{F6BB0C48-3FA6-47C6-9F17-07643F0D5F48}"/>
    <cellStyle name="Normal 2 5 5 17 2 2" xfId="5888" xr:uid="{9A21B454-E620-464A-BA9D-2B2824BE88AA}"/>
    <cellStyle name="Normal 2 5 5 17 2 2 2" xfId="14718" xr:uid="{E9727A9E-23E0-47EC-B1D4-7C0697AA050E}"/>
    <cellStyle name="Normal 2 5 5 17 2 3" xfId="5889" xr:uid="{0E40D87C-6164-47F9-A4AE-2520BAA19050}"/>
    <cellStyle name="Normal 2 5 5 17 2 3 2" xfId="14719" xr:uid="{A3B0E920-67DC-492A-A2C2-741E31D28663}"/>
    <cellStyle name="Normal 2 5 5 17 2 4" xfId="14717" xr:uid="{62B91A4E-2E7F-48C3-8715-6D7F3C231EE2}"/>
    <cellStyle name="Normal 2 5 5 17 3" xfId="5890" xr:uid="{0921E10B-71D4-4044-88DB-B0A8CD06352C}"/>
    <cellStyle name="Normal 2 5 5 17 3 2" xfId="14720" xr:uid="{FC904B94-B643-4DD3-844D-34E00A762EE3}"/>
    <cellStyle name="Normal 2 5 5 17 4" xfId="5891" xr:uid="{ED401911-AC06-4D78-AA5B-0066FDD1A3F1}"/>
    <cellStyle name="Normal 2 5 5 17 4 2" xfId="14721" xr:uid="{E95C0737-5F00-4E5A-878E-E77B307ED125}"/>
    <cellStyle name="Normal 2 5 5 17 5" xfId="14716" xr:uid="{39B3F73F-BF4A-4463-8954-AC58435C4091}"/>
    <cellStyle name="Normal 2 5 5 18" xfId="5892" xr:uid="{D98EDD64-5B83-442D-B656-4E4CF25F79CB}"/>
    <cellStyle name="Normal 2 5 5 18 2" xfId="5893" xr:uid="{6DBAE51E-917B-4AE6-80E3-AD3137BFAF44}"/>
    <cellStyle name="Normal 2 5 5 18 2 2" xfId="5894" xr:uid="{8F278411-1880-4426-99B7-ED0C76EE2B39}"/>
    <cellStyle name="Normal 2 5 5 18 2 2 2" xfId="14724" xr:uid="{50F7183A-8750-4DCD-AA0D-8112D0496209}"/>
    <cellStyle name="Normal 2 5 5 18 2 3" xfId="5895" xr:uid="{49F637E4-C9ED-4D6A-877F-8899BE46A805}"/>
    <cellStyle name="Normal 2 5 5 18 2 3 2" xfId="14725" xr:uid="{B2B46313-5FFC-4CB2-AFCC-EFF92D15B3B5}"/>
    <cellStyle name="Normal 2 5 5 18 2 4" xfId="14723" xr:uid="{D9ED0A2C-F705-4318-8EB2-0426C5EDF562}"/>
    <cellStyle name="Normal 2 5 5 18 3" xfId="5896" xr:uid="{FCD345F9-7876-473A-A028-94AD20115D82}"/>
    <cellStyle name="Normal 2 5 5 18 3 2" xfId="14726" xr:uid="{AB444F85-54D1-42F6-90CA-A5AC5E07155C}"/>
    <cellStyle name="Normal 2 5 5 18 4" xfId="5897" xr:uid="{AD146FB7-8567-41CF-8BC3-B2DEDF5FA2E3}"/>
    <cellStyle name="Normal 2 5 5 18 4 2" xfId="14727" xr:uid="{4BAB6DE2-8306-4F10-800E-3A9CF14DD401}"/>
    <cellStyle name="Normal 2 5 5 18 5" xfId="14722" xr:uid="{8800EF36-29E0-4346-8905-03307E4D1DA1}"/>
    <cellStyle name="Normal 2 5 5 19" xfId="5898" xr:uid="{D53328FE-D881-4D57-9A76-E9D0349D237F}"/>
    <cellStyle name="Normal 2 5 5 19 2" xfId="5899" xr:uid="{20CD806B-D388-4347-9E09-207BAA4CD12C}"/>
    <cellStyle name="Normal 2 5 5 19 2 2" xfId="5900" xr:uid="{A6AEB8F7-A616-4A70-B70C-4247804BBF45}"/>
    <cellStyle name="Normal 2 5 5 19 2 2 2" xfId="14730" xr:uid="{9D2C04A4-809D-4DFB-A3A3-EA2F9123E680}"/>
    <cellStyle name="Normal 2 5 5 19 2 3" xfId="5901" xr:uid="{A1944505-6F42-4576-A235-8503B2EAA667}"/>
    <cellStyle name="Normal 2 5 5 19 2 3 2" xfId="14731" xr:uid="{4F26A168-F0DB-4E25-8666-87443555CD02}"/>
    <cellStyle name="Normal 2 5 5 19 2 4" xfId="14729" xr:uid="{4DB91D75-CFCD-4B6D-98E0-88A4AEEFFDD5}"/>
    <cellStyle name="Normal 2 5 5 19 3" xfId="5902" xr:uid="{1DBFC9DC-8D51-4BF7-9B8D-BAA507430323}"/>
    <cellStyle name="Normal 2 5 5 19 3 2" xfId="14732" xr:uid="{5A37A6D7-DFB8-4814-822F-25B4F4D2FA7B}"/>
    <cellStyle name="Normal 2 5 5 19 4" xfId="5903" xr:uid="{69AEB1A8-069D-4CF7-97E6-18F9CB891A81}"/>
    <cellStyle name="Normal 2 5 5 19 4 2" xfId="14733" xr:uid="{AD2C4C64-883D-413C-8F97-18B0C7961DC5}"/>
    <cellStyle name="Normal 2 5 5 19 5" xfId="14728" xr:uid="{199E9D60-50F1-4211-9DAD-EF1461F81BFE}"/>
    <cellStyle name="Normal 2 5 5 2" xfId="5904" xr:uid="{7BCF9A05-E238-4F91-AECE-5D32A35C8843}"/>
    <cellStyle name="Normal 2 5 5 2 2" xfId="5905" xr:uid="{F16C7BB5-3121-410B-8E61-07177A9D9D36}"/>
    <cellStyle name="Normal 2 5 5 2 2 2" xfId="5906" xr:uid="{939968DD-086C-46E3-8891-A652A66E3C3F}"/>
    <cellStyle name="Normal 2 5 5 2 2 2 2" xfId="14736" xr:uid="{E00A57A3-E514-41AD-9623-C00BC8A6AA5B}"/>
    <cellStyle name="Normal 2 5 5 2 2 3" xfId="5907" xr:uid="{C8F307D3-1AA1-4751-9B02-BA9E0EDB1901}"/>
    <cellStyle name="Normal 2 5 5 2 2 3 2" xfId="14737" xr:uid="{96B20831-670E-4962-B813-C5572D36740B}"/>
    <cellStyle name="Normal 2 5 5 2 2 4" xfId="14735" xr:uid="{96F5AC06-794D-4610-AF9F-7C1AD9AAEF59}"/>
    <cellStyle name="Normal 2 5 5 2 3" xfId="5908" xr:uid="{5142578A-3416-49CF-BB84-E282BDD58A11}"/>
    <cellStyle name="Normal 2 5 5 2 3 2" xfId="14738" xr:uid="{F8A70CC9-AF47-456A-A566-7F0F5D4CDFC1}"/>
    <cellStyle name="Normal 2 5 5 2 4" xfId="5909" xr:uid="{F3868860-C213-4861-BD7F-5329E96F1E35}"/>
    <cellStyle name="Normal 2 5 5 2 4 2" xfId="14739" xr:uid="{E5016E5B-6E44-48D3-BD0C-CD48A89D8B81}"/>
    <cellStyle name="Normal 2 5 5 2 5" xfId="14734" xr:uid="{D5FB4A3C-663D-4BD6-B2EF-117D97D7B3AD}"/>
    <cellStyle name="Normal 2 5 5 20" xfId="5910" xr:uid="{77E1C247-367E-4FC3-8977-50AE287B05B3}"/>
    <cellStyle name="Normal 2 5 5 20 2" xfId="5911" xr:uid="{BE874C0C-CC3B-4D91-8ADA-FAE50419D491}"/>
    <cellStyle name="Normal 2 5 5 20 2 2" xfId="5912" xr:uid="{88CB8B33-CBC7-47AC-A40F-E6957E03CC1B}"/>
    <cellStyle name="Normal 2 5 5 20 2 2 2" xfId="14742" xr:uid="{F7366372-961D-491C-AE66-28D08502563F}"/>
    <cellStyle name="Normal 2 5 5 20 2 3" xfId="5913" xr:uid="{33989749-C186-4E97-A9EB-1603EC08B256}"/>
    <cellStyle name="Normal 2 5 5 20 2 3 2" xfId="14743" xr:uid="{35293193-5660-48F5-B61F-EC128172E936}"/>
    <cellStyle name="Normal 2 5 5 20 2 4" xfId="14741" xr:uid="{D9C2C2E1-CCF2-4675-8423-DC3700F3A6DB}"/>
    <cellStyle name="Normal 2 5 5 20 3" xfId="5914" xr:uid="{93A50BDA-75AB-4EC3-A60D-3C0E74DF3B7E}"/>
    <cellStyle name="Normal 2 5 5 20 3 2" xfId="14744" xr:uid="{62F11EBA-827D-4C4F-B4F8-C1B8D8EE8540}"/>
    <cellStyle name="Normal 2 5 5 20 4" xfId="5915" xr:uid="{39DCA1C6-5834-4C05-88DE-F7ACE6C26A4C}"/>
    <cellStyle name="Normal 2 5 5 20 4 2" xfId="14745" xr:uid="{12E78BA9-61DD-495B-B6F8-36F5789C6633}"/>
    <cellStyle name="Normal 2 5 5 20 5" xfId="14740" xr:uid="{A124D0CA-AD83-4C3F-8297-53E826772CF0}"/>
    <cellStyle name="Normal 2 5 5 21" xfId="5916" xr:uid="{9D8E3115-78FE-4329-9090-D3C1891492A6}"/>
    <cellStyle name="Normal 2 5 5 21 2" xfId="5917" xr:uid="{48B75C0F-0FC3-4EDE-BEFA-4D9D5984B834}"/>
    <cellStyle name="Normal 2 5 5 21 2 2" xfId="5918" xr:uid="{4C67FB8F-68E9-43E6-816D-BB7347CFFC09}"/>
    <cellStyle name="Normal 2 5 5 21 2 2 2" xfId="14748" xr:uid="{C093C336-AC47-4D7F-954B-BFA6F91B2279}"/>
    <cellStyle name="Normal 2 5 5 21 2 3" xfId="5919" xr:uid="{7FCE1ABA-3A4A-4E8C-9181-104791AA3745}"/>
    <cellStyle name="Normal 2 5 5 21 2 3 2" xfId="14749" xr:uid="{FF8AE6C2-23FC-43D4-BCB5-D52362F8E93D}"/>
    <cellStyle name="Normal 2 5 5 21 2 4" xfId="14747" xr:uid="{13F6213A-92F1-4106-BBBA-053B0828239A}"/>
    <cellStyle name="Normal 2 5 5 21 3" xfId="5920" xr:uid="{2594F82C-16C6-4F1C-8369-0EB78BF7FFB4}"/>
    <cellStyle name="Normal 2 5 5 21 3 2" xfId="14750" xr:uid="{A745018C-C737-4C10-8FA6-6ED688563BDA}"/>
    <cellStyle name="Normal 2 5 5 21 4" xfId="5921" xr:uid="{46A48D40-9DA6-46E8-B71A-6A1243290674}"/>
    <cellStyle name="Normal 2 5 5 21 4 2" xfId="14751" xr:uid="{3380C435-4FFE-4942-9163-6278DE8FCC06}"/>
    <cellStyle name="Normal 2 5 5 21 5" xfId="14746" xr:uid="{3954C830-771A-43A9-B652-AF1CC0A5FA2B}"/>
    <cellStyle name="Normal 2 5 5 22" xfId="5922" xr:uid="{F831BD32-ABCB-4694-B6CA-9943CFD5B68C}"/>
    <cellStyle name="Normal 2 5 5 22 2" xfId="5923" xr:uid="{69F85C91-A984-443D-A39A-A1861A324BD4}"/>
    <cellStyle name="Normal 2 5 5 22 2 2" xfId="5924" xr:uid="{79DB2CD8-A91F-43E3-AE4B-778A99274A06}"/>
    <cellStyle name="Normal 2 5 5 22 2 2 2" xfId="14754" xr:uid="{20C8B1D1-B7B4-487C-A38F-30432CAEC1F9}"/>
    <cellStyle name="Normal 2 5 5 22 2 3" xfId="5925" xr:uid="{E8528590-8BB1-4AA4-A9B1-2702EDDE557D}"/>
    <cellStyle name="Normal 2 5 5 22 2 3 2" xfId="14755" xr:uid="{15407DF2-D570-441A-A84B-BA6BEFF28225}"/>
    <cellStyle name="Normal 2 5 5 22 2 4" xfId="14753" xr:uid="{DFD95E0B-9756-4371-A884-426EF810C940}"/>
    <cellStyle name="Normal 2 5 5 22 3" xfId="5926" xr:uid="{4AA93D49-327E-4F4D-AC08-037E866E7F36}"/>
    <cellStyle name="Normal 2 5 5 22 3 2" xfId="14756" xr:uid="{8A2C50BD-4159-4E91-BAE3-B780F65F1C80}"/>
    <cellStyle name="Normal 2 5 5 22 4" xfId="5927" xr:uid="{C00BCD42-7D06-46B8-A12A-0F84BDB86E08}"/>
    <cellStyle name="Normal 2 5 5 22 4 2" xfId="14757" xr:uid="{B2D41AA4-8B38-4E76-8DBB-3A077B2341B8}"/>
    <cellStyle name="Normal 2 5 5 22 5" xfId="14752" xr:uid="{942D0165-8A32-4137-B077-2672ADC7165E}"/>
    <cellStyle name="Normal 2 5 5 23" xfId="5928" xr:uid="{91F70334-97D0-4CAB-8F01-D36F7393252F}"/>
    <cellStyle name="Normal 2 5 5 23 2" xfId="5929" xr:uid="{8EC36356-F441-4AA4-B7BA-4F4722F22B33}"/>
    <cellStyle name="Normal 2 5 5 23 2 2" xfId="5930" xr:uid="{76C6F743-F75F-483C-B805-5840E31A785C}"/>
    <cellStyle name="Normal 2 5 5 23 2 2 2" xfId="14760" xr:uid="{4BFAD0B6-DABC-4729-A09A-C3263971C2CC}"/>
    <cellStyle name="Normal 2 5 5 23 2 3" xfId="5931" xr:uid="{5532D595-1798-41BE-B8F1-59C7B9814A2E}"/>
    <cellStyle name="Normal 2 5 5 23 2 3 2" xfId="14761" xr:uid="{8D6633F5-3470-42A2-B4BB-1CC472C8AF4E}"/>
    <cellStyle name="Normal 2 5 5 23 2 4" xfId="14759" xr:uid="{36A7B7CA-9F65-4A4A-8915-45C806A0D397}"/>
    <cellStyle name="Normal 2 5 5 23 3" xfId="5932" xr:uid="{47203DE5-779D-4458-98CD-8E920B3763E9}"/>
    <cellStyle name="Normal 2 5 5 23 3 2" xfId="14762" xr:uid="{0D5C48B6-B038-4F70-A0C7-F0E5342489A3}"/>
    <cellStyle name="Normal 2 5 5 23 4" xfId="5933" xr:uid="{069E66E8-97ED-4151-B804-1F1DBA583768}"/>
    <cellStyle name="Normal 2 5 5 23 4 2" xfId="14763" xr:uid="{623A16A0-9B1F-459F-9ED5-FEA8AA8B6F8A}"/>
    <cellStyle name="Normal 2 5 5 23 5" xfId="14758" xr:uid="{FA77033B-E09A-46F6-AF63-FDBEF63DD6F1}"/>
    <cellStyle name="Normal 2 5 5 24" xfId="5934" xr:uid="{3A2C418C-D1B1-45BF-964B-C6FE8785F226}"/>
    <cellStyle name="Normal 2 5 5 24 2" xfId="5935" xr:uid="{0FB13410-78D2-4A5C-924E-B532EAE8F08A}"/>
    <cellStyle name="Normal 2 5 5 24 2 2" xfId="5936" xr:uid="{AE1BFB50-62E2-411A-AFF7-3568E3507E39}"/>
    <cellStyle name="Normal 2 5 5 24 2 2 2" xfId="14766" xr:uid="{99F3563C-33AC-4AB4-A785-C447DD458B98}"/>
    <cellStyle name="Normal 2 5 5 24 2 3" xfId="5937" xr:uid="{B26F19C0-3567-4D88-948E-D7902C8E6603}"/>
    <cellStyle name="Normal 2 5 5 24 2 3 2" xfId="14767" xr:uid="{45DE31EF-95DB-463E-89EB-C7BB3EE7CA24}"/>
    <cellStyle name="Normal 2 5 5 24 2 4" xfId="14765" xr:uid="{8D2EBAB4-F35C-43C4-9819-91184B6A1F61}"/>
    <cellStyle name="Normal 2 5 5 24 3" xfId="5938" xr:uid="{BDD8732B-79C9-407E-AB8A-99D1767795E1}"/>
    <cellStyle name="Normal 2 5 5 24 3 2" xfId="14768" xr:uid="{05B6B4BA-8528-485E-8C4F-C07493BACD3D}"/>
    <cellStyle name="Normal 2 5 5 24 4" xfId="5939" xr:uid="{EAE668DC-F2BE-4D28-AD9A-EA2234D111A0}"/>
    <cellStyle name="Normal 2 5 5 24 4 2" xfId="14769" xr:uid="{9E431B59-106B-4CDA-94D0-4BA032B94B4E}"/>
    <cellStyle name="Normal 2 5 5 24 5" xfId="14764" xr:uid="{D701DFE6-4B5D-42C8-ACC3-0DE1A80772AC}"/>
    <cellStyle name="Normal 2 5 5 25" xfId="5940" xr:uid="{553D1BF0-24F0-486B-9913-4E49D85DE4A9}"/>
    <cellStyle name="Normal 2 5 5 25 2" xfId="5941" xr:uid="{CD613280-1915-4B0F-9D4D-B30F44EC8554}"/>
    <cellStyle name="Normal 2 5 5 25 2 2" xfId="5942" xr:uid="{1E43AF6C-ACD5-4983-90D8-52CF90DB46E7}"/>
    <cellStyle name="Normal 2 5 5 25 2 2 2" xfId="14772" xr:uid="{DB72B825-A943-4DD2-B909-05CF1AB224C4}"/>
    <cellStyle name="Normal 2 5 5 25 2 3" xfId="5943" xr:uid="{1FA34C1A-6C0C-4320-9F8F-7237BC008462}"/>
    <cellStyle name="Normal 2 5 5 25 2 3 2" xfId="14773" xr:uid="{FFAC124E-CAEC-48E0-BC96-10AF089BE25F}"/>
    <cellStyle name="Normal 2 5 5 25 2 4" xfId="14771" xr:uid="{78336FFA-52F6-441A-A5CD-91116594C3A1}"/>
    <cellStyle name="Normal 2 5 5 25 3" xfId="5944" xr:uid="{FED6ADFB-BE7F-4265-B7B8-48B63BB03764}"/>
    <cellStyle name="Normal 2 5 5 25 3 2" xfId="14774" xr:uid="{DA69EC43-DEBA-422E-B3FD-0B6593E0DBF8}"/>
    <cellStyle name="Normal 2 5 5 25 4" xfId="5945" xr:uid="{FDF41B38-DBF4-44F1-A8D4-6EE2D998F737}"/>
    <cellStyle name="Normal 2 5 5 25 4 2" xfId="14775" xr:uid="{34D5C8BF-1236-4415-A1B8-13BBD4737856}"/>
    <cellStyle name="Normal 2 5 5 25 5" xfId="14770" xr:uid="{D738521F-21E4-4A02-B902-2C723A5FA824}"/>
    <cellStyle name="Normal 2 5 5 26" xfId="5946" xr:uid="{68D97888-DECC-483F-BD60-EC7B55F9F31F}"/>
    <cellStyle name="Normal 2 5 5 26 2" xfId="5947" xr:uid="{DF8E090D-4FDB-4E7D-B963-ADCB1D5F20B3}"/>
    <cellStyle name="Normal 2 5 5 26 2 2" xfId="5948" xr:uid="{63FA909E-7D19-4428-B628-EB70810DF30A}"/>
    <cellStyle name="Normal 2 5 5 26 2 2 2" xfId="14778" xr:uid="{9A81F8A1-FFCC-4F7F-AA79-FA64D13A5BA3}"/>
    <cellStyle name="Normal 2 5 5 26 2 3" xfId="5949" xr:uid="{66D98091-B7CA-4AE2-A968-65AB3D851E47}"/>
    <cellStyle name="Normal 2 5 5 26 2 3 2" xfId="14779" xr:uid="{04A5708A-5987-4A07-B479-78482A69693A}"/>
    <cellStyle name="Normal 2 5 5 26 2 4" xfId="14777" xr:uid="{82358827-CC9A-4B1B-B6E7-32874576ADC4}"/>
    <cellStyle name="Normal 2 5 5 26 3" xfId="5950" xr:uid="{48D22933-5193-446E-9E08-BDD5152C350F}"/>
    <cellStyle name="Normal 2 5 5 26 3 2" xfId="14780" xr:uid="{E95365B4-7483-441E-89FB-F3C5615D5132}"/>
    <cellStyle name="Normal 2 5 5 26 4" xfId="5951" xr:uid="{8CC5F9ED-D770-4BDD-BC05-F55413C5ED31}"/>
    <cellStyle name="Normal 2 5 5 26 4 2" xfId="14781" xr:uid="{D59E01EF-7BC5-4911-9802-8B2E9690849F}"/>
    <cellStyle name="Normal 2 5 5 26 5" xfId="14776" xr:uid="{872039B8-B52C-49AA-9C16-3438DEE6B8C0}"/>
    <cellStyle name="Normal 2 5 5 27" xfId="5952" xr:uid="{409CA5FA-867E-4C29-9AF1-11751BDA55C6}"/>
    <cellStyle name="Normal 2 5 5 27 2" xfId="5953" xr:uid="{640BEADD-47F6-45DE-B354-4E3C6EF661D7}"/>
    <cellStyle name="Normal 2 5 5 27 2 2" xfId="5954" xr:uid="{F7A45367-665F-4280-A3C1-C82B25A95E80}"/>
    <cellStyle name="Normal 2 5 5 27 2 2 2" xfId="14784" xr:uid="{762C71B7-42D6-42A7-B0DA-823DDD8DE271}"/>
    <cellStyle name="Normal 2 5 5 27 2 3" xfId="5955" xr:uid="{6B7DCFD3-9199-49EA-8F97-C36417D87724}"/>
    <cellStyle name="Normal 2 5 5 27 2 3 2" xfId="14785" xr:uid="{ABC9956B-F37A-4B19-9D65-5044E213CF1A}"/>
    <cellStyle name="Normal 2 5 5 27 2 4" xfId="14783" xr:uid="{1DFFC30A-88B9-4C39-A690-E303DACCA7C6}"/>
    <cellStyle name="Normal 2 5 5 27 3" xfId="5956" xr:uid="{20657B6D-C42B-4D74-8E36-8C1C95D48E16}"/>
    <cellStyle name="Normal 2 5 5 27 3 2" xfId="14786" xr:uid="{03902A91-B668-4425-B055-EA8BD66C9BA9}"/>
    <cellStyle name="Normal 2 5 5 27 4" xfId="5957" xr:uid="{031837E0-4823-4076-AA49-089B1041752B}"/>
    <cellStyle name="Normal 2 5 5 27 4 2" xfId="14787" xr:uid="{25AB1A24-1EA3-4D31-A441-3ACC95897255}"/>
    <cellStyle name="Normal 2 5 5 27 5" xfId="14782" xr:uid="{D84104EA-CFF1-4D50-8C58-4FA33B6A5BE7}"/>
    <cellStyle name="Normal 2 5 5 28" xfId="5958" xr:uid="{A2E70BA5-F03D-4B54-B7CE-138E7AE38CAA}"/>
    <cellStyle name="Normal 2 5 5 28 2" xfId="5959" xr:uid="{94607286-DC90-428D-85AC-73980B73C31E}"/>
    <cellStyle name="Normal 2 5 5 28 2 2" xfId="5960" xr:uid="{99B9C75A-B381-4FC1-84FB-4C4C6AC455CD}"/>
    <cellStyle name="Normal 2 5 5 28 2 2 2" xfId="14790" xr:uid="{3BA27A61-B82F-4A6C-951D-EBA38062B836}"/>
    <cellStyle name="Normal 2 5 5 28 2 3" xfId="5961" xr:uid="{63F686CC-4B46-47DF-811A-86888DA94A11}"/>
    <cellStyle name="Normal 2 5 5 28 2 3 2" xfId="14791" xr:uid="{FDBE88E8-3082-49FF-99FF-8A3DE718D719}"/>
    <cellStyle name="Normal 2 5 5 28 2 4" xfId="14789" xr:uid="{2E13D512-472A-4EED-85B2-445D358A3C77}"/>
    <cellStyle name="Normal 2 5 5 28 3" xfId="5962" xr:uid="{372D528B-BC03-4B0B-AA91-292B1946712A}"/>
    <cellStyle name="Normal 2 5 5 28 3 2" xfId="14792" xr:uid="{848E7420-0C3F-4E52-BCD2-534028E9E45D}"/>
    <cellStyle name="Normal 2 5 5 28 4" xfId="5963" xr:uid="{6F42DE78-2DF3-4512-9B81-DA81E24743FC}"/>
    <cellStyle name="Normal 2 5 5 28 4 2" xfId="14793" xr:uid="{856532AE-0B45-4AA0-8CD5-1F3FA48C46C4}"/>
    <cellStyle name="Normal 2 5 5 28 5" xfId="14788" xr:uid="{60EDE440-5BC0-4795-A097-122F71105B6A}"/>
    <cellStyle name="Normal 2 5 5 29" xfId="5964" xr:uid="{E6826D03-19BB-4990-B55D-96E433A47784}"/>
    <cellStyle name="Normal 2 5 5 29 2" xfId="5965" xr:uid="{F2F346B7-A0B2-4E87-8E67-CB340DB93AFA}"/>
    <cellStyle name="Normal 2 5 5 29 2 2" xfId="5966" xr:uid="{B03D7713-040E-4A1D-8506-43D83F7AACB7}"/>
    <cellStyle name="Normal 2 5 5 29 2 2 2" xfId="14796" xr:uid="{17BAEF51-1F8A-4548-B8D1-A00828785045}"/>
    <cellStyle name="Normal 2 5 5 29 2 3" xfId="5967" xr:uid="{DE794F50-868A-4355-81AE-6065852BEE15}"/>
    <cellStyle name="Normal 2 5 5 29 2 3 2" xfId="14797" xr:uid="{F1229A78-D795-4171-AE41-1BED2DFE3192}"/>
    <cellStyle name="Normal 2 5 5 29 2 4" xfId="14795" xr:uid="{AAFC9A0E-5B1D-43AC-9819-34B63249B522}"/>
    <cellStyle name="Normal 2 5 5 29 3" xfId="5968" xr:uid="{93552579-8EB3-41D6-B7F7-291D74CE39CC}"/>
    <cellStyle name="Normal 2 5 5 29 3 2" xfId="14798" xr:uid="{F1F68FAA-9DAB-48E1-BDA5-8FD35D142AD9}"/>
    <cellStyle name="Normal 2 5 5 29 4" xfId="5969" xr:uid="{A77D46CF-F92C-4FA2-A373-225CE997A66C}"/>
    <cellStyle name="Normal 2 5 5 29 4 2" xfId="14799" xr:uid="{38CD78F1-BA24-497B-96CA-6B4321532AD5}"/>
    <cellStyle name="Normal 2 5 5 29 5" xfId="14794" xr:uid="{719B3F1E-9CA9-4C29-AD5C-41ACF1C4A47A}"/>
    <cellStyle name="Normal 2 5 5 3" xfId="5970" xr:uid="{BB5CAE02-F0A0-40EA-994B-6523C1313D95}"/>
    <cellStyle name="Normal 2 5 5 3 2" xfId="5971" xr:uid="{AF425F88-1A0A-4F83-8AE3-520DC08B710F}"/>
    <cellStyle name="Normal 2 5 5 3 2 2" xfId="5972" xr:uid="{8DDB4B72-FAEA-412B-83EE-228BF38F012A}"/>
    <cellStyle name="Normal 2 5 5 3 2 2 2" xfId="14802" xr:uid="{5FECF5CD-E6B8-4DA1-885D-6A72D458B630}"/>
    <cellStyle name="Normal 2 5 5 3 2 3" xfId="5973" xr:uid="{26AEA3CE-C720-421D-BD10-5278E51A14F7}"/>
    <cellStyle name="Normal 2 5 5 3 2 3 2" xfId="14803" xr:uid="{12A54757-D825-42F6-936D-4DD847EEF13F}"/>
    <cellStyle name="Normal 2 5 5 3 2 4" xfId="14801" xr:uid="{C64BCBC4-E4E2-4216-B2EB-569A3E7C5863}"/>
    <cellStyle name="Normal 2 5 5 3 3" xfId="5974" xr:uid="{6465EA4C-F1AA-4415-8ACC-185407EF8A12}"/>
    <cellStyle name="Normal 2 5 5 3 3 2" xfId="14804" xr:uid="{5763FF91-D31D-4709-8D7D-6E7815658A7B}"/>
    <cellStyle name="Normal 2 5 5 3 4" xfId="5975" xr:uid="{B0DC16D4-34B4-43B8-935C-9D8C992BC56F}"/>
    <cellStyle name="Normal 2 5 5 3 4 2" xfId="14805" xr:uid="{167D6EB9-68D3-49BE-BE96-ACC02A8642FA}"/>
    <cellStyle name="Normal 2 5 5 3 5" xfId="14800" xr:uid="{C37B92FD-2D88-400F-972D-D918578CA046}"/>
    <cellStyle name="Normal 2 5 5 30" xfId="5976" xr:uid="{B8E70C51-CDC3-466B-B811-EF2BFD4350B6}"/>
    <cellStyle name="Normal 2 5 5 30 2" xfId="5977" xr:uid="{52DD8B4D-73ED-4328-B509-CA0087D6794C}"/>
    <cellStyle name="Normal 2 5 5 30 2 2" xfId="5978" xr:uid="{100764A6-289E-4A6B-9DB6-AB7278207096}"/>
    <cellStyle name="Normal 2 5 5 30 2 2 2" xfId="14808" xr:uid="{ACBBE409-290B-463E-B76E-857306E7E799}"/>
    <cellStyle name="Normal 2 5 5 30 2 3" xfId="5979" xr:uid="{8B3A7FEF-D550-4109-B240-104937698DC6}"/>
    <cellStyle name="Normal 2 5 5 30 2 3 2" xfId="14809" xr:uid="{13FD24B9-E00E-4397-9C7E-A5988CF591EA}"/>
    <cellStyle name="Normal 2 5 5 30 2 4" xfId="14807" xr:uid="{EE418DB0-5825-428E-9175-C1DFEEB16CDB}"/>
    <cellStyle name="Normal 2 5 5 30 3" xfId="5980" xr:uid="{112A1FBA-BC28-4B60-AB68-E72542AD14D4}"/>
    <cellStyle name="Normal 2 5 5 30 3 2" xfId="14810" xr:uid="{C9BD8647-8419-4DA4-A15B-A7B625E3D316}"/>
    <cellStyle name="Normal 2 5 5 30 4" xfId="5981" xr:uid="{2C4FBF24-F715-4412-AF69-EBCCDB6B3FD5}"/>
    <cellStyle name="Normal 2 5 5 30 4 2" xfId="14811" xr:uid="{2910BB9B-ED86-42B2-A681-C750CA131E14}"/>
    <cellStyle name="Normal 2 5 5 30 5" xfId="14806" xr:uid="{E107892C-B9C7-4718-B84D-5B08C8D037CE}"/>
    <cellStyle name="Normal 2 5 5 31" xfId="5982" xr:uid="{2B267D05-5438-4D98-B0EB-4601BFFBD2B8}"/>
    <cellStyle name="Normal 2 5 5 31 2" xfId="5983" xr:uid="{5552E063-E639-4480-88D5-DCCF4DCB1ADF}"/>
    <cellStyle name="Normal 2 5 5 31 2 2" xfId="5984" xr:uid="{48CA34F6-A50A-4476-82A0-35E410097E94}"/>
    <cellStyle name="Normal 2 5 5 31 2 2 2" xfId="14814" xr:uid="{ECF4DBD4-4FCD-4E24-AB7A-BC3B90DC68D2}"/>
    <cellStyle name="Normal 2 5 5 31 2 3" xfId="5985" xr:uid="{F1A3AD13-095C-433D-B717-7614DC4F4258}"/>
    <cellStyle name="Normal 2 5 5 31 2 3 2" xfId="14815" xr:uid="{0765BAC2-BCFA-490C-AFC8-269A03B99816}"/>
    <cellStyle name="Normal 2 5 5 31 2 4" xfId="14813" xr:uid="{4977FF34-3C33-4B63-A3DF-9D9AB1C2DFA7}"/>
    <cellStyle name="Normal 2 5 5 31 3" xfId="5986" xr:uid="{92C8D58B-BDF3-4AF3-8494-93E02EE3F10D}"/>
    <cellStyle name="Normal 2 5 5 31 3 2" xfId="14816" xr:uid="{F57475FA-6FAF-47B2-9159-2ABEF21B02B4}"/>
    <cellStyle name="Normal 2 5 5 31 4" xfId="5987" xr:uid="{2C8A4297-8E6F-4F5A-B341-D6DB3AC09332}"/>
    <cellStyle name="Normal 2 5 5 31 4 2" xfId="14817" xr:uid="{952AD20A-0787-4E37-8FD7-5F500A319039}"/>
    <cellStyle name="Normal 2 5 5 31 5" xfId="14812" xr:uid="{7937F6BA-6CAF-43AD-9A0A-11740EC9F811}"/>
    <cellStyle name="Normal 2 5 5 32" xfId="5988" xr:uid="{12FFDAE5-AECF-4926-B25F-24A14AC87837}"/>
    <cellStyle name="Normal 2 5 5 32 2" xfId="5989" xr:uid="{5C63DC03-4378-47EC-88AD-2F551BCBBB3B}"/>
    <cellStyle name="Normal 2 5 5 32 2 2" xfId="5990" xr:uid="{FBE7E813-47E7-4BD0-8014-D09742F9093D}"/>
    <cellStyle name="Normal 2 5 5 32 2 2 2" xfId="14820" xr:uid="{97D8FA52-91B0-4BA2-8717-074DEBB8D4C3}"/>
    <cellStyle name="Normal 2 5 5 32 2 3" xfId="5991" xr:uid="{C0285691-837D-418F-A93D-82F4740562B6}"/>
    <cellStyle name="Normal 2 5 5 32 2 3 2" xfId="14821" xr:uid="{DDFBF167-FC52-43BD-AD64-769344DC3A90}"/>
    <cellStyle name="Normal 2 5 5 32 2 4" xfId="14819" xr:uid="{39EA9420-EAB7-463F-A317-F8C1A4B33CAF}"/>
    <cellStyle name="Normal 2 5 5 32 3" xfId="5992" xr:uid="{CBB7EB39-A49C-42DF-BE3D-D56C2A675D16}"/>
    <cellStyle name="Normal 2 5 5 32 3 2" xfId="14822" xr:uid="{1E4FB11F-03A1-4F47-8F28-C5530C2114D1}"/>
    <cellStyle name="Normal 2 5 5 32 4" xfId="5993" xr:uid="{83B54889-7E65-4769-AE30-5D2CECF2E384}"/>
    <cellStyle name="Normal 2 5 5 32 4 2" xfId="14823" xr:uid="{C12AE140-7FD0-4994-92F1-017AD10F04CE}"/>
    <cellStyle name="Normal 2 5 5 32 5" xfId="14818" xr:uid="{5F03E0B7-D0C7-417E-804C-B07643BB9FCD}"/>
    <cellStyle name="Normal 2 5 5 33" xfId="5994" xr:uid="{B9EE559F-3866-402E-8EBB-730C65CAFEC6}"/>
    <cellStyle name="Normal 2 5 5 33 2" xfId="5995" xr:uid="{D2BE0410-A3C0-4981-82BE-BB6360616E01}"/>
    <cellStyle name="Normal 2 5 5 33 2 2" xfId="5996" xr:uid="{D6B32155-0C61-4E19-BC19-7D9E570A7936}"/>
    <cellStyle name="Normal 2 5 5 33 2 2 2" xfId="14826" xr:uid="{8E705852-289E-47D1-99D9-15641C8AE510}"/>
    <cellStyle name="Normal 2 5 5 33 2 3" xfId="5997" xr:uid="{3AA7EA60-C9FF-43F8-A3EA-004E219566B4}"/>
    <cellStyle name="Normal 2 5 5 33 2 3 2" xfId="14827" xr:uid="{D1C7C8A8-6490-4ECE-BD30-15CFBEBE64CB}"/>
    <cellStyle name="Normal 2 5 5 33 2 4" xfId="14825" xr:uid="{F913F991-BF19-40EB-936E-21C53180282D}"/>
    <cellStyle name="Normal 2 5 5 33 3" xfId="5998" xr:uid="{5CBE88D8-B6C9-4C59-9EF7-E53D096678DA}"/>
    <cellStyle name="Normal 2 5 5 33 3 2" xfId="14828" xr:uid="{88C739D2-C6AB-4325-BD33-553C951B2BA8}"/>
    <cellStyle name="Normal 2 5 5 33 4" xfId="5999" xr:uid="{FEF23804-BE0D-4011-902E-A27D2F5B6F91}"/>
    <cellStyle name="Normal 2 5 5 33 4 2" xfId="14829" xr:uid="{FFA04834-DCAC-4F24-9A8C-07CAC89CE7D9}"/>
    <cellStyle name="Normal 2 5 5 33 5" xfId="14824" xr:uid="{5C48274D-E3F6-4787-976D-4FFFC3FDD010}"/>
    <cellStyle name="Normal 2 5 5 34" xfId="6000" xr:uid="{FE43FC0A-6E68-41D9-9EE5-C02E6EE344EB}"/>
    <cellStyle name="Normal 2 5 5 34 2" xfId="6001" xr:uid="{DF42202D-71F6-40E0-88B5-72065AA28B21}"/>
    <cellStyle name="Normal 2 5 5 34 2 2" xfId="6002" xr:uid="{DDBE951A-46C8-4B69-BEFB-028AE8093390}"/>
    <cellStyle name="Normal 2 5 5 34 2 2 2" xfId="14832" xr:uid="{2933A1A3-5877-4DA7-9A74-59CAB62DB168}"/>
    <cellStyle name="Normal 2 5 5 34 2 3" xfId="6003" xr:uid="{F9354D3C-E6CD-4A3A-A286-DC374AB2BCB5}"/>
    <cellStyle name="Normal 2 5 5 34 2 3 2" xfId="14833" xr:uid="{C15CD652-18AC-46B4-B507-89F1D220D765}"/>
    <cellStyle name="Normal 2 5 5 34 2 4" xfId="14831" xr:uid="{339E0B4D-371E-4C3B-9CCD-BE7F7BEC9049}"/>
    <cellStyle name="Normal 2 5 5 34 3" xfId="6004" xr:uid="{EBF76B0B-6AB4-48FE-8130-05EF3DCD0C2A}"/>
    <cellStyle name="Normal 2 5 5 34 3 2" xfId="14834" xr:uid="{4D2273FC-DB54-42BE-A16A-682E29D70BA2}"/>
    <cellStyle name="Normal 2 5 5 34 4" xfId="6005" xr:uid="{F0BBF9A6-16D0-4CA5-9B73-6EFA65404AD8}"/>
    <cellStyle name="Normal 2 5 5 34 4 2" xfId="14835" xr:uid="{73C97367-8B2A-4994-8B3E-4B30AE4BBF10}"/>
    <cellStyle name="Normal 2 5 5 34 5" xfId="14830" xr:uid="{80E40F67-6968-4881-AB83-89FAFE0B7239}"/>
    <cellStyle name="Normal 2 5 5 35" xfId="6006" xr:uid="{65F380C0-DE1A-432F-980A-61F59778EC52}"/>
    <cellStyle name="Normal 2 5 5 35 2" xfId="6007" xr:uid="{5C0AFBB1-2211-4541-A255-29AA8C692E14}"/>
    <cellStyle name="Normal 2 5 5 35 2 2" xfId="6008" xr:uid="{2BF8B0F0-B800-4970-90CD-F907432E64FC}"/>
    <cellStyle name="Normal 2 5 5 35 2 2 2" xfId="14838" xr:uid="{D84F5117-8279-41C4-958F-117332C1CBFF}"/>
    <cellStyle name="Normal 2 5 5 35 2 3" xfId="6009" xr:uid="{E66420C8-36FD-40F3-A4D1-2D98D250F732}"/>
    <cellStyle name="Normal 2 5 5 35 2 3 2" xfId="14839" xr:uid="{61A8263B-41FA-4E0A-B503-C24681B72C72}"/>
    <cellStyle name="Normal 2 5 5 35 2 4" xfId="14837" xr:uid="{5ECE866E-DE8F-4E37-BA7A-17224E9DB564}"/>
    <cellStyle name="Normal 2 5 5 35 3" xfId="6010" xr:uid="{068A1F4F-C954-4D94-BDDB-0BEFE785F0AD}"/>
    <cellStyle name="Normal 2 5 5 35 3 2" xfId="14840" xr:uid="{8B88C281-50D0-4FBD-8191-FD4396FAB46E}"/>
    <cellStyle name="Normal 2 5 5 35 4" xfId="6011" xr:uid="{2AA33C62-6CFB-4E4C-A1B6-4A1860C9C2C1}"/>
    <cellStyle name="Normal 2 5 5 35 4 2" xfId="14841" xr:uid="{A5B923C0-6A42-4742-A24A-9E148C7F41A1}"/>
    <cellStyle name="Normal 2 5 5 35 5" xfId="14836" xr:uid="{E0DD1299-A727-400A-BBC6-0CA20363C265}"/>
    <cellStyle name="Normal 2 5 5 36" xfId="6012" xr:uid="{E06F80CA-BF75-4AC9-ACAD-CBA6F8FE5BAA}"/>
    <cellStyle name="Normal 2 5 5 36 2" xfId="6013" xr:uid="{4079B20F-7740-44A5-B262-5290443AC3EE}"/>
    <cellStyle name="Normal 2 5 5 36 2 2" xfId="6014" xr:uid="{17E02C45-1CF6-41BE-BAEA-FC67E1293110}"/>
    <cellStyle name="Normal 2 5 5 36 2 2 2" xfId="14844" xr:uid="{2E7882CF-0380-4C2B-896B-FF20C1091A7C}"/>
    <cellStyle name="Normal 2 5 5 36 2 3" xfId="6015" xr:uid="{84967AD9-8912-4777-8A11-BB0385F16848}"/>
    <cellStyle name="Normal 2 5 5 36 2 3 2" xfId="14845" xr:uid="{026EE8FB-DA43-4254-98D2-3A97B0602C73}"/>
    <cellStyle name="Normal 2 5 5 36 2 4" xfId="14843" xr:uid="{C06051D3-433A-4923-A6BC-6DE4A9818C81}"/>
    <cellStyle name="Normal 2 5 5 36 3" xfId="6016" xr:uid="{A19A4806-3E1A-4F9C-87E0-F9D88D77CBEC}"/>
    <cellStyle name="Normal 2 5 5 36 3 2" xfId="14846" xr:uid="{D3ADCA80-BAD9-479C-9D52-31E998F3A782}"/>
    <cellStyle name="Normal 2 5 5 36 4" xfId="6017" xr:uid="{689FF5F4-AA1B-4754-9271-8A5D8A6918DE}"/>
    <cellStyle name="Normal 2 5 5 36 4 2" xfId="14847" xr:uid="{DEF5C35E-6662-4CEB-AD46-D3D9916E425A}"/>
    <cellStyle name="Normal 2 5 5 36 5" xfId="14842" xr:uid="{F0C72704-125F-4EA6-AD23-4DA213580470}"/>
    <cellStyle name="Normal 2 5 5 37" xfId="6018" xr:uid="{54C4177B-DB48-476D-970B-0A48853E9202}"/>
    <cellStyle name="Normal 2 5 5 37 2" xfId="6019" xr:uid="{B5EC08E0-2698-49CB-971F-B48D47B790E9}"/>
    <cellStyle name="Normal 2 5 5 37 2 2" xfId="6020" xr:uid="{A8218331-20E2-4638-9C76-9EF3C4A4AD8C}"/>
    <cellStyle name="Normal 2 5 5 37 2 2 2" xfId="14850" xr:uid="{59587C26-7F76-4836-9ED5-EB71B3D0B945}"/>
    <cellStyle name="Normal 2 5 5 37 2 3" xfId="6021" xr:uid="{F20DE4D1-97C5-424A-A9D1-F20077E20F76}"/>
    <cellStyle name="Normal 2 5 5 37 2 3 2" xfId="14851" xr:uid="{AA08FAF7-78B1-4460-A71F-2E29F7696A47}"/>
    <cellStyle name="Normal 2 5 5 37 2 4" xfId="14849" xr:uid="{BE487B14-B3DB-41BE-84AF-3B362E05E0D4}"/>
    <cellStyle name="Normal 2 5 5 37 3" xfId="6022" xr:uid="{48451736-BAC9-4D99-8294-3E5263B1AD14}"/>
    <cellStyle name="Normal 2 5 5 37 3 2" xfId="14852" xr:uid="{DA397D7A-D6A7-46B9-BCBB-154526A8B00E}"/>
    <cellStyle name="Normal 2 5 5 37 4" xfId="6023" xr:uid="{42921BC1-E713-4476-978F-BF5DAB7A5BC3}"/>
    <cellStyle name="Normal 2 5 5 37 4 2" xfId="14853" xr:uid="{8E47362B-9F2B-4DDB-8F9F-5161605FBF33}"/>
    <cellStyle name="Normal 2 5 5 37 5" xfId="14848" xr:uid="{DFB23911-6A04-4DCE-A726-783E1AACB722}"/>
    <cellStyle name="Normal 2 5 5 38" xfId="6024" xr:uid="{00B4FD70-A9CC-4251-92D2-8BDE39C6C886}"/>
    <cellStyle name="Normal 2 5 5 38 2" xfId="6025" xr:uid="{CA0BEC7B-FEC9-4B9C-BFD4-708792526ED1}"/>
    <cellStyle name="Normal 2 5 5 38 2 2" xfId="6026" xr:uid="{78D3DA13-69AA-47A1-B1B1-5F560A03CE94}"/>
    <cellStyle name="Normal 2 5 5 38 2 2 2" xfId="14856" xr:uid="{6FE39AF0-AC8E-4ECD-9CE3-40EF4284AECF}"/>
    <cellStyle name="Normal 2 5 5 38 2 3" xfId="6027" xr:uid="{015249B7-5FD5-4884-B304-00DB9980F1B8}"/>
    <cellStyle name="Normal 2 5 5 38 2 3 2" xfId="14857" xr:uid="{EE00DBE7-5036-4D1C-9AF3-05A1C5AE249B}"/>
    <cellStyle name="Normal 2 5 5 38 2 4" xfId="14855" xr:uid="{6F14943E-7AA7-4B71-B7E5-E9B8D29E1FC4}"/>
    <cellStyle name="Normal 2 5 5 38 3" xfId="6028" xr:uid="{2CCAC4AA-3568-42EF-ADD5-B6E2B3348EBB}"/>
    <cellStyle name="Normal 2 5 5 38 3 2" xfId="14858" xr:uid="{37BADD2D-C859-4FB4-ACD7-D4B9C422ED21}"/>
    <cellStyle name="Normal 2 5 5 38 4" xfId="6029" xr:uid="{2965E845-F9E5-417D-AE2C-507D4AF196AD}"/>
    <cellStyle name="Normal 2 5 5 38 4 2" xfId="14859" xr:uid="{B4F8787D-BC01-4CB8-97A1-505EA09B9CB7}"/>
    <cellStyle name="Normal 2 5 5 38 5" xfId="14854" xr:uid="{E7C2C40A-9DF1-4C78-9A2C-F1D7D343A8F9}"/>
    <cellStyle name="Normal 2 5 5 39" xfId="6030" xr:uid="{9EFC2BE0-2972-47BA-87AF-661558A04B27}"/>
    <cellStyle name="Normal 2 5 5 39 2" xfId="6031" xr:uid="{03C959B3-73B7-4EFF-BA3F-CD54FB1E6E4A}"/>
    <cellStyle name="Normal 2 5 5 39 2 2" xfId="6032" xr:uid="{9B82DA3C-45CD-44F4-BBDE-9E71B7896479}"/>
    <cellStyle name="Normal 2 5 5 39 2 2 2" xfId="14862" xr:uid="{0E1620BB-FB08-4E64-9F22-A53FEE252854}"/>
    <cellStyle name="Normal 2 5 5 39 2 3" xfId="6033" xr:uid="{7B52F26E-8175-4AD0-A83F-D3E38FD8A93A}"/>
    <cellStyle name="Normal 2 5 5 39 2 3 2" xfId="14863" xr:uid="{3A8F33C0-032B-42D6-87B6-C190AB2B8CE4}"/>
    <cellStyle name="Normal 2 5 5 39 2 4" xfId="14861" xr:uid="{2FAC01ED-53F5-4EC1-9031-1721DCB21762}"/>
    <cellStyle name="Normal 2 5 5 39 3" xfId="6034" xr:uid="{45EC7F77-1E67-4665-A7F4-EA5EC6101D44}"/>
    <cellStyle name="Normal 2 5 5 39 3 2" xfId="14864" xr:uid="{DF39F757-27BF-461D-8DD8-02817CA69666}"/>
    <cellStyle name="Normal 2 5 5 39 4" xfId="6035" xr:uid="{D54E870F-7226-43A2-8454-6836187AA32B}"/>
    <cellStyle name="Normal 2 5 5 39 4 2" xfId="14865" xr:uid="{EC1D7092-0065-4DD4-9C4D-D616DB2A5301}"/>
    <cellStyle name="Normal 2 5 5 39 5" xfId="14860" xr:uid="{3144265B-02A2-45A2-B883-8F3CF7E93F7E}"/>
    <cellStyle name="Normal 2 5 5 4" xfId="6036" xr:uid="{63F4E962-6E3A-41D4-AF25-FCBB73EC6B51}"/>
    <cellStyle name="Normal 2 5 5 4 2" xfId="6037" xr:uid="{E05E05F6-9E89-46D7-A7C4-6F9C083D9B85}"/>
    <cellStyle name="Normal 2 5 5 4 2 2" xfId="6038" xr:uid="{6638D25B-BBB2-436B-A5F1-529470CB63EB}"/>
    <cellStyle name="Normal 2 5 5 4 2 2 2" xfId="14868" xr:uid="{B2C4E782-898A-4F22-93A0-A45886F46EA1}"/>
    <cellStyle name="Normal 2 5 5 4 2 3" xfId="6039" xr:uid="{985AD219-9A4E-4481-B405-CACD576D5F7C}"/>
    <cellStyle name="Normal 2 5 5 4 2 3 2" xfId="14869" xr:uid="{969D36D3-BB7F-4981-97A0-98A889F689AA}"/>
    <cellStyle name="Normal 2 5 5 4 2 4" xfId="14867" xr:uid="{0FE6B38F-CAFA-459A-A5A6-7AB5175C1D9F}"/>
    <cellStyle name="Normal 2 5 5 4 3" xfId="6040" xr:uid="{770AF707-9931-43AA-BB05-548196693190}"/>
    <cellStyle name="Normal 2 5 5 4 3 2" xfId="14870" xr:uid="{9DDA6ED0-CB0A-4A28-8C78-1D367A81BF5F}"/>
    <cellStyle name="Normal 2 5 5 4 4" xfId="6041" xr:uid="{86B1F344-C273-4A39-914A-069C425791F0}"/>
    <cellStyle name="Normal 2 5 5 4 4 2" xfId="14871" xr:uid="{C0F0391B-1058-4070-B28E-D0C799BE310B}"/>
    <cellStyle name="Normal 2 5 5 4 5" xfId="14866" xr:uid="{15D3BD06-8F7F-45B6-913A-31FF1A4A67CB}"/>
    <cellStyle name="Normal 2 5 5 40" xfId="6042" xr:uid="{371DE44C-FD94-48DB-A063-B5D88D7C672C}"/>
    <cellStyle name="Normal 2 5 5 40 2" xfId="6043" xr:uid="{4541FAE5-C6F7-4F99-ACCA-07270E5D80D9}"/>
    <cellStyle name="Normal 2 5 5 40 2 2" xfId="6044" xr:uid="{4A0E0800-41D1-44D1-B0F7-2D0BACD013C4}"/>
    <cellStyle name="Normal 2 5 5 40 2 2 2" xfId="14874" xr:uid="{43F5A5DB-6FCB-4773-BA12-4DA29978C2CB}"/>
    <cellStyle name="Normal 2 5 5 40 2 3" xfId="6045" xr:uid="{5BFA5EE2-5321-4BC8-B418-0C387948206D}"/>
    <cellStyle name="Normal 2 5 5 40 2 3 2" xfId="14875" xr:uid="{BEFD125A-FD4E-4370-BBCF-05EFCFA4B0A1}"/>
    <cellStyle name="Normal 2 5 5 40 2 4" xfId="14873" xr:uid="{A82BEDCC-7678-41DC-9381-FD9A38596805}"/>
    <cellStyle name="Normal 2 5 5 40 3" xfId="6046" xr:uid="{D670516F-0577-42FA-9C7B-2E337DB76FD2}"/>
    <cellStyle name="Normal 2 5 5 40 3 2" xfId="14876" xr:uid="{5EE5E8DC-23B4-4073-99BA-01318BF655D5}"/>
    <cellStyle name="Normal 2 5 5 40 4" xfId="6047" xr:uid="{A25C6F2C-E9B8-4C70-8B40-D32A1E4FDDAE}"/>
    <cellStyle name="Normal 2 5 5 40 4 2" xfId="14877" xr:uid="{50548CFE-D45A-48A6-9E34-630FB35DC765}"/>
    <cellStyle name="Normal 2 5 5 40 5" xfId="14872" xr:uid="{B23B7C59-A7BE-4307-A78C-238570E0587F}"/>
    <cellStyle name="Normal 2 5 5 41" xfId="6048" xr:uid="{44FC1C58-1293-4CCB-BE79-61230D2F9961}"/>
    <cellStyle name="Normal 2 5 5 41 2" xfId="6049" xr:uid="{778C6A92-3607-4A6A-9AC0-62E13603B986}"/>
    <cellStyle name="Normal 2 5 5 41 2 2" xfId="6050" xr:uid="{D86F753B-36F6-4B3B-B4A2-81FCB2AABF1E}"/>
    <cellStyle name="Normal 2 5 5 41 2 2 2" xfId="14880" xr:uid="{56B16411-FD28-46FA-94C8-B07B0A719430}"/>
    <cellStyle name="Normal 2 5 5 41 2 3" xfId="6051" xr:uid="{B23CDD23-A2C4-41E2-94A2-3AA1F9A98A3F}"/>
    <cellStyle name="Normal 2 5 5 41 2 3 2" xfId="14881" xr:uid="{CEA6BB02-D327-4D25-B1A3-65E730342C7D}"/>
    <cellStyle name="Normal 2 5 5 41 2 4" xfId="14879" xr:uid="{87BB6F6F-CE5D-4EC0-870D-2931A8EEB2A2}"/>
    <cellStyle name="Normal 2 5 5 41 3" xfId="6052" xr:uid="{E6B66675-B480-472C-958E-E0120A02B267}"/>
    <cellStyle name="Normal 2 5 5 41 3 2" xfId="14882" xr:uid="{9ABC3805-8DEA-44BB-84DD-B6F29C648193}"/>
    <cellStyle name="Normal 2 5 5 41 4" xfId="6053" xr:uid="{6AE2E48E-322E-4FD1-B6D8-1C5559161F68}"/>
    <cellStyle name="Normal 2 5 5 41 4 2" xfId="14883" xr:uid="{68A33CF5-AD31-4D1A-8C07-F56FA0582A4D}"/>
    <cellStyle name="Normal 2 5 5 41 5" xfId="14878" xr:uid="{BDC7FBEF-0979-426A-B8EA-C2ED9DA2DD6F}"/>
    <cellStyle name="Normal 2 5 5 42" xfId="6054" xr:uid="{D1D7F155-7F4F-451E-9A37-B43D4A3C0EE7}"/>
    <cellStyle name="Normal 2 5 5 42 2" xfId="6055" xr:uid="{C16E727F-864B-4F7B-827E-7DF2A7C655A2}"/>
    <cellStyle name="Normal 2 5 5 42 2 2" xfId="6056" xr:uid="{E1C870F4-0C18-4500-BAAC-FC6D109535F9}"/>
    <cellStyle name="Normal 2 5 5 42 2 2 2" xfId="14886" xr:uid="{4B1878D0-BF9D-439A-99D4-091D3781EAB1}"/>
    <cellStyle name="Normal 2 5 5 42 2 3" xfId="6057" xr:uid="{7344305B-DD79-4479-9974-4CC3DA6C2D8E}"/>
    <cellStyle name="Normal 2 5 5 42 2 3 2" xfId="14887" xr:uid="{0E31F7EB-4990-4B33-A308-3405FD092432}"/>
    <cellStyle name="Normal 2 5 5 42 2 4" xfId="14885" xr:uid="{AB43F2EC-1D6D-4FCA-918E-43FD09135641}"/>
    <cellStyle name="Normal 2 5 5 42 3" xfId="6058" xr:uid="{42AC873D-2BF0-4CF4-8E87-5232FFBB25A0}"/>
    <cellStyle name="Normal 2 5 5 42 3 2" xfId="14888" xr:uid="{FBE1AE31-3F44-4F04-8428-207A52354C33}"/>
    <cellStyle name="Normal 2 5 5 42 4" xfId="6059" xr:uid="{2C198C15-2D67-44F9-ADD6-822D6ADE5BE7}"/>
    <cellStyle name="Normal 2 5 5 42 4 2" xfId="14889" xr:uid="{5D34CF15-56C9-47BD-9514-611AC5496012}"/>
    <cellStyle name="Normal 2 5 5 42 5" xfId="14884" xr:uid="{2038B391-75B5-434C-92FE-18FB6514F5FC}"/>
    <cellStyle name="Normal 2 5 5 43" xfId="6060" xr:uid="{5791BF7C-F9F5-4DD6-9E27-E98E0EC48E7B}"/>
    <cellStyle name="Normal 2 5 5 43 2" xfId="6061" xr:uid="{A634536A-A422-4BD8-8025-FC1E39E25DAA}"/>
    <cellStyle name="Normal 2 5 5 43 2 2" xfId="6062" xr:uid="{D1446A33-0D87-4544-B4AE-A009F9434CA9}"/>
    <cellStyle name="Normal 2 5 5 43 2 2 2" xfId="14892" xr:uid="{AFE21D2B-CE7B-462D-9F7F-245B5EF92CF5}"/>
    <cellStyle name="Normal 2 5 5 43 2 3" xfId="6063" xr:uid="{4BB63C29-67BF-4B0B-8CC6-0DDFBA5AB6C3}"/>
    <cellStyle name="Normal 2 5 5 43 2 3 2" xfId="14893" xr:uid="{48EBE25F-984E-4D7B-A77D-A253BC4B8E69}"/>
    <cellStyle name="Normal 2 5 5 43 2 4" xfId="14891" xr:uid="{2DDC8F75-C54E-4DCA-BA0B-B6D700F43B1F}"/>
    <cellStyle name="Normal 2 5 5 43 3" xfId="6064" xr:uid="{3269DB92-5332-4F43-8488-175296627EE6}"/>
    <cellStyle name="Normal 2 5 5 43 3 2" xfId="14894" xr:uid="{4A5160B1-A0EB-430B-8AE9-39DA2EB5D62F}"/>
    <cellStyle name="Normal 2 5 5 43 4" xfId="6065" xr:uid="{BAFC9FF5-2972-428D-B2FA-BFA62092F7F5}"/>
    <cellStyle name="Normal 2 5 5 43 4 2" xfId="14895" xr:uid="{1E0144C0-B130-41A1-B688-458799417290}"/>
    <cellStyle name="Normal 2 5 5 43 5" xfId="14890" xr:uid="{C47A6432-0F81-496A-A055-504D84149E52}"/>
    <cellStyle name="Normal 2 5 5 44" xfId="6066" xr:uid="{8964CB1E-9A04-4E19-B4A7-54143B66798D}"/>
    <cellStyle name="Normal 2 5 5 44 2" xfId="6067" xr:uid="{A3DAF8A8-C04D-48C9-BA01-F6C785FA29E7}"/>
    <cellStyle name="Normal 2 5 5 44 2 2" xfId="14897" xr:uid="{8369BB83-BC40-4006-B524-8AE1CE13DBCE}"/>
    <cellStyle name="Normal 2 5 5 44 3" xfId="6068" xr:uid="{97EB4705-4694-4A5E-B3B8-29B3B837C5E5}"/>
    <cellStyle name="Normal 2 5 5 44 3 2" xfId="14898" xr:uid="{4B6F9B4C-EE8A-41A4-A3FE-3AF929CDDFF2}"/>
    <cellStyle name="Normal 2 5 5 44 4" xfId="14896" xr:uid="{9320605E-B692-40C4-8938-6384196312F7}"/>
    <cellStyle name="Normal 2 5 5 45" xfId="6069" xr:uid="{9DE2B643-975D-43F4-9034-F9C3B3F7BF71}"/>
    <cellStyle name="Normal 2 5 5 45 2" xfId="14899" xr:uid="{50D9191B-8DA8-420B-911D-25A23A05391A}"/>
    <cellStyle name="Normal 2 5 5 46" xfId="6070" xr:uid="{96E2BF1A-F2C6-4407-A929-8441F5E3CC1E}"/>
    <cellStyle name="Normal 2 5 5 46 2" xfId="14900" xr:uid="{482631DD-68B3-4AA5-AA1B-AFBA890AA7AD}"/>
    <cellStyle name="Normal 2 5 5 47" xfId="14673" xr:uid="{6A90BC79-4755-42EA-BF3F-DE1A3FEA6651}"/>
    <cellStyle name="Normal 2 5 5 5" xfId="6071" xr:uid="{1A4C8D75-3367-4583-87E2-27F822DCF5D5}"/>
    <cellStyle name="Normal 2 5 5 5 2" xfId="6072" xr:uid="{0239D096-584B-45B7-8154-6A6E01A6D5F5}"/>
    <cellStyle name="Normal 2 5 5 5 2 2" xfId="6073" xr:uid="{C3975038-9DC3-4D99-BA07-ADB8B00822D3}"/>
    <cellStyle name="Normal 2 5 5 5 2 2 2" xfId="14903" xr:uid="{F2990557-8B25-414D-96C3-134DCB253A9C}"/>
    <cellStyle name="Normal 2 5 5 5 2 3" xfId="6074" xr:uid="{A3D91AC7-1731-4C59-B4F6-6BEFAB1F41DD}"/>
    <cellStyle name="Normal 2 5 5 5 2 3 2" xfId="14904" xr:uid="{FD0A6E0B-35F6-48DB-A8EA-D816892915F7}"/>
    <cellStyle name="Normal 2 5 5 5 2 4" xfId="14902" xr:uid="{359C5F8C-00AD-4236-AB21-F2F0D5EBFED8}"/>
    <cellStyle name="Normal 2 5 5 5 3" xfId="6075" xr:uid="{B34B5F66-C41A-4740-858E-0251D9D36F05}"/>
    <cellStyle name="Normal 2 5 5 5 3 2" xfId="14905" xr:uid="{456E43BC-8026-480E-89C2-76263EE6CB14}"/>
    <cellStyle name="Normal 2 5 5 5 4" xfId="6076" xr:uid="{F86B71A8-DDB2-4F8E-9C0A-ACFE8AA573F5}"/>
    <cellStyle name="Normal 2 5 5 5 4 2" xfId="14906" xr:uid="{2FA9EB1E-B501-45F5-8734-5C5AC2FECFCD}"/>
    <cellStyle name="Normal 2 5 5 5 5" xfId="14901" xr:uid="{7279E969-FA5B-4417-B112-729B47AFDBA2}"/>
    <cellStyle name="Normal 2 5 5 6" xfId="6077" xr:uid="{8ABEF98E-FAD7-49D9-9DF4-6EF1CFDF8840}"/>
    <cellStyle name="Normal 2 5 5 6 2" xfId="6078" xr:uid="{66DC955E-3D2B-405E-88D8-0466D61C5F8B}"/>
    <cellStyle name="Normal 2 5 5 6 2 2" xfId="6079" xr:uid="{E2FCF8C6-F9D2-4EE1-AE74-FA29EEA55C9C}"/>
    <cellStyle name="Normal 2 5 5 6 2 2 2" xfId="14909" xr:uid="{351E0BDF-21BE-4737-B41C-0F17AFD474B0}"/>
    <cellStyle name="Normal 2 5 5 6 2 3" xfId="6080" xr:uid="{1CC7212E-0DE6-4EA2-9024-1FBE413FDE14}"/>
    <cellStyle name="Normal 2 5 5 6 2 3 2" xfId="14910" xr:uid="{1FE5AD94-AC07-4433-ACF4-B0FDD1759444}"/>
    <cellStyle name="Normal 2 5 5 6 2 4" xfId="14908" xr:uid="{03E8FEEF-F8FA-43D9-B003-FC1B35C53062}"/>
    <cellStyle name="Normal 2 5 5 6 3" xfId="6081" xr:uid="{B99E0060-475E-4241-9502-1F91B72A38B6}"/>
    <cellStyle name="Normal 2 5 5 6 3 2" xfId="14911" xr:uid="{6EBECD24-85CB-4B37-BABD-DCACAE36B033}"/>
    <cellStyle name="Normal 2 5 5 6 4" xfId="6082" xr:uid="{805BE07C-5E7A-46D7-A0D6-45D2E91EA299}"/>
    <cellStyle name="Normal 2 5 5 6 4 2" xfId="14912" xr:uid="{065432DE-D567-4FA8-B6C3-FDF21B2C7047}"/>
    <cellStyle name="Normal 2 5 5 6 5" xfId="14907" xr:uid="{64C80C88-4B9F-4C5E-8034-40620E852198}"/>
    <cellStyle name="Normal 2 5 5 7" xfId="6083" xr:uid="{DC444518-0489-4B23-AC33-829A43B0629A}"/>
    <cellStyle name="Normal 2 5 5 7 2" xfId="6084" xr:uid="{84444DB6-600D-404C-9444-CC5854117AF8}"/>
    <cellStyle name="Normal 2 5 5 7 2 2" xfId="6085" xr:uid="{5A6999E2-9DFC-4667-8F1E-DB7E724E60A6}"/>
    <cellStyle name="Normal 2 5 5 7 2 2 2" xfId="14915" xr:uid="{9B9A6B21-6886-4B0B-86E9-83C94936F770}"/>
    <cellStyle name="Normal 2 5 5 7 2 3" xfId="6086" xr:uid="{C8F964D6-4041-4451-B674-34A36FC93920}"/>
    <cellStyle name="Normal 2 5 5 7 2 3 2" xfId="14916" xr:uid="{15A29247-7B38-4B73-81E5-36F1776F04F6}"/>
    <cellStyle name="Normal 2 5 5 7 2 4" xfId="14914" xr:uid="{C1024469-1E57-4881-A89D-11C82EB887A0}"/>
    <cellStyle name="Normal 2 5 5 7 3" xfId="6087" xr:uid="{4E8F408B-0961-43F7-A448-50408EDB53A4}"/>
    <cellStyle name="Normal 2 5 5 7 3 2" xfId="14917" xr:uid="{D8B60E69-FCF3-4A2D-B236-5F0575CAEFFC}"/>
    <cellStyle name="Normal 2 5 5 7 4" xfId="6088" xr:uid="{684A5A1C-B6E9-40E5-BA0E-7962F7813065}"/>
    <cellStyle name="Normal 2 5 5 7 4 2" xfId="14918" xr:uid="{8B00396B-13E4-4112-A758-0E1B5730A29A}"/>
    <cellStyle name="Normal 2 5 5 7 5" xfId="14913" xr:uid="{5072899C-1C7E-43D4-854F-48586768D54D}"/>
    <cellStyle name="Normal 2 5 5 8" xfId="6089" xr:uid="{E1D4F4CC-44BA-4343-9475-EC32845D5A9C}"/>
    <cellStyle name="Normal 2 5 5 8 2" xfId="6090" xr:uid="{DE0632A3-B7B9-4885-8ADD-556C3B511584}"/>
    <cellStyle name="Normal 2 5 5 8 2 2" xfId="6091" xr:uid="{0E0E368E-AB00-42ED-8F4F-F4E0D6B476E0}"/>
    <cellStyle name="Normal 2 5 5 8 2 2 2" xfId="14921" xr:uid="{DBD407DC-279F-413D-93BA-25612AA7E9EC}"/>
    <cellStyle name="Normal 2 5 5 8 2 3" xfId="6092" xr:uid="{B6F1CB3C-BCFC-434C-B934-00438323FEF5}"/>
    <cellStyle name="Normal 2 5 5 8 2 3 2" xfId="14922" xr:uid="{EFA85ECB-C8F6-4DDC-8F82-403BCEB8D951}"/>
    <cellStyle name="Normal 2 5 5 8 2 4" xfId="14920" xr:uid="{73B1A6A3-8462-431B-81A7-4C453C5F9AB0}"/>
    <cellStyle name="Normal 2 5 5 8 3" xfId="6093" xr:uid="{0A4B5A4B-8473-4B60-AA09-D4F0E7DA2F72}"/>
    <cellStyle name="Normal 2 5 5 8 3 2" xfId="14923" xr:uid="{8294AA2D-8379-4210-931C-5F7188E7A997}"/>
    <cellStyle name="Normal 2 5 5 8 4" xfId="6094" xr:uid="{E0EEDEDE-E8C0-4CE7-BCB5-9DD9B4C9B7C8}"/>
    <cellStyle name="Normal 2 5 5 8 4 2" xfId="14924" xr:uid="{22087862-6B78-4EC0-98CA-055577753589}"/>
    <cellStyle name="Normal 2 5 5 8 5" xfId="14919" xr:uid="{339A94AA-B212-4311-8BFA-574AADF5B7FC}"/>
    <cellStyle name="Normal 2 5 5 9" xfId="6095" xr:uid="{FFD61304-C45E-48E9-BDF4-7CED2375A455}"/>
    <cellStyle name="Normal 2 5 5 9 2" xfId="6096" xr:uid="{B8FDB44E-8656-42C8-9DE9-7B93F1F289C3}"/>
    <cellStyle name="Normal 2 5 5 9 2 2" xfId="6097" xr:uid="{8F65F55C-7BBB-4554-8FD1-E6C77116D569}"/>
    <cellStyle name="Normal 2 5 5 9 2 2 2" xfId="14927" xr:uid="{41EBA0F6-D788-4473-BD85-A93E7F55F9B0}"/>
    <cellStyle name="Normal 2 5 5 9 2 3" xfId="6098" xr:uid="{8EBE3805-B7B8-4FD6-813C-2FDB905051F3}"/>
    <cellStyle name="Normal 2 5 5 9 2 3 2" xfId="14928" xr:uid="{17B03E21-E3D9-4045-8FB0-19A53646CB4E}"/>
    <cellStyle name="Normal 2 5 5 9 2 4" xfId="14926" xr:uid="{1DDAA317-DBA2-4EE8-B99C-6EB83C62800C}"/>
    <cellStyle name="Normal 2 5 5 9 3" xfId="6099" xr:uid="{81CF1825-27C3-4AD3-AF31-4A8145936332}"/>
    <cellStyle name="Normal 2 5 5 9 3 2" xfId="14929" xr:uid="{5FA43CE1-7241-469B-B9E1-1989F7448ECF}"/>
    <cellStyle name="Normal 2 5 5 9 4" xfId="6100" xr:uid="{DB984D68-C938-491C-9D16-DBC65223DDF5}"/>
    <cellStyle name="Normal 2 5 5 9 4 2" xfId="14930" xr:uid="{FCF84C20-F252-4DBE-93AF-6A350561C03B}"/>
    <cellStyle name="Normal 2 5 5 9 5" xfId="14925" xr:uid="{847ED9E7-5C1E-4E66-A081-18B606DC9382}"/>
    <cellStyle name="Normal 2 5 50" xfId="6101" xr:uid="{27962B2C-6106-4761-AF3D-2AC84EE5E5BE}"/>
    <cellStyle name="Normal 2 5 50 2" xfId="6102" xr:uid="{0653B0BC-A302-4481-A64F-CD1E098D1BBE}"/>
    <cellStyle name="Normal 2 5 50 2 2" xfId="6103" xr:uid="{4C1DFF5D-3AC8-4EB5-904B-535AE76797A6}"/>
    <cellStyle name="Normal 2 5 50 2 2 2" xfId="14933" xr:uid="{189F7EE9-8A0D-443E-803B-4F5396AA654F}"/>
    <cellStyle name="Normal 2 5 50 2 3" xfId="6104" xr:uid="{A85C8C70-7C92-4AB9-8AEC-BDFF9652E520}"/>
    <cellStyle name="Normal 2 5 50 2 3 2" xfId="14934" xr:uid="{E30BB89A-C22D-4DF0-B692-D05324131C9B}"/>
    <cellStyle name="Normal 2 5 50 2 4" xfId="14932" xr:uid="{F4CE1E8F-DF26-476F-86F3-1008A8FBEC08}"/>
    <cellStyle name="Normal 2 5 50 3" xfId="6105" xr:uid="{0E2F7894-9426-4030-AA0F-0937BB689833}"/>
    <cellStyle name="Normal 2 5 50 3 2" xfId="14935" xr:uid="{D3E0859A-F022-4AF3-819E-E89D0B0465F9}"/>
    <cellStyle name="Normal 2 5 50 4" xfId="6106" xr:uid="{B000BF8E-9E53-45B9-93E3-07C9C8E00B7C}"/>
    <cellStyle name="Normal 2 5 50 4 2" xfId="14936" xr:uid="{288E9DB9-A4BC-4B71-B57E-3DAC2EB334E2}"/>
    <cellStyle name="Normal 2 5 50 5" xfId="14931" xr:uid="{7EC87509-3D41-4A1C-9CB6-A8E09D3D82D5}"/>
    <cellStyle name="Normal 2 5 51" xfId="6107" xr:uid="{06BA3101-CD78-454C-AE66-71AA1CEA05C7}"/>
    <cellStyle name="Normal 2 5 51 2" xfId="6108" xr:uid="{2CD0FF4D-E299-49BB-98C3-6F89F5CA56C0}"/>
    <cellStyle name="Normal 2 5 51 2 2" xfId="6109" xr:uid="{1D8AE226-47A2-4116-8F06-7DE681B10D6C}"/>
    <cellStyle name="Normal 2 5 51 2 2 2" xfId="14939" xr:uid="{32076ADE-FD0F-440D-98B2-4FED163545C2}"/>
    <cellStyle name="Normal 2 5 51 2 3" xfId="6110" xr:uid="{106593B3-AED6-4A27-A8C2-0F301AFE82F8}"/>
    <cellStyle name="Normal 2 5 51 2 3 2" xfId="14940" xr:uid="{F755BFD3-65C7-423B-B9AC-0CD06E43234D}"/>
    <cellStyle name="Normal 2 5 51 2 4" xfId="14938" xr:uid="{92C58B8F-28EF-403A-B984-8940E8D8A2DF}"/>
    <cellStyle name="Normal 2 5 51 3" xfId="6111" xr:uid="{1F039769-3A37-4707-9A1D-ED0940487554}"/>
    <cellStyle name="Normal 2 5 51 3 2" xfId="14941" xr:uid="{327F54DD-B4AD-4428-ABAB-9DDA88FCBA03}"/>
    <cellStyle name="Normal 2 5 51 4" xfId="6112" xr:uid="{B28E5947-652D-4A16-BC45-801769D22B8F}"/>
    <cellStyle name="Normal 2 5 51 4 2" xfId="14942" xr:uid="{B22609BE-7EF2-499A-8B05-55C9A1E77627}"/>
    <cellStyle name="Normal 2 5 51 5" xfId="14937" xr:uid="{393BA341-E184-4515-A37D-7F465E0CCB6C}"/>
    <cellStyle name="Normal 2 5 52" xfId="6113" xr:uid="{17FF64C2-5A8E-4B94-9077-9FA6D0684461}"/>
    <cellStyle name="Normal 2 5 52 2" xfId="6114" xr:uid="{7AA415A8-31BD-4E76-BDDC-838A05BA56C8}"/>
    <cellStyle name="Normal 2 5 52 2 2" xfId="6115" xr:uid="{8DB25314-3712-4007-A651-2A6D9DBA50D9}"/>
    <cellStyle name="Normal 2 5 52 2 2 2" xfId="14945" xr:uid="{974A7D6F-EB56-41A2-B082-AEE96ACB2783}"/>
    <cellStyle name="Normal 2 5 52 2 3" xfId="6116" xr:uid="{B72939A1-31B0-4A45-9BAF-A3AAC75FB597}"/>
    <cellStyle name="Normal 2 5 52 2 3 2" xfId="14946" xr:uid="{4688B74B-EF71-4030-B37D-080E92198BB1}"/>
    <cellStyle name="Normal 2 5 52 2 4" xfId="14944" xr:uid="{152E521C-AD3C-46B8-9D3D-8768FC80E633}"/>
    <cellStyle name="Normal 2 5 52 3" xfId="6117" xr:uid="{523B69CF-56BA-4946-B50F-088F76F0999D}"/>
    <cellStyle name="Normal 2 5 52 3 2" xfId="14947" xr:uid="{D85066E9-CBCE-4A8D-BF27-CC00707D4D05}"/>
    <cellStyle name="Normal 2 5 52 4" xfId="6118" xr:uid="{3BCE0B7B-875A-45D8-99DB-8F2BBC7050F1}"/>
    <cellStyle name="Normal 2 5 52 4 2" xfId="14948" xr:uid="{26B7AC86-D1D1-445A-AB17-287DCA95671D}"/>
    <cellStyle name="Normal 2 5 52 5" xfId="14943" xr:uid="{3331543D-718A-49BF-8D53-07DC11C1F2C1}"/>
    <cellStyle name="Normal 2 5 53" xfId="6119" xr:uid="{B1B5F90B-DCA5-4EA6-91BE-C14D2AAAC1BB}"/>
    <cellStyle name="Normal 2 5 53 2" xfId="6120" xr:uid="{E4392900-3DDC-4601-ABEB-D9071A1DBED2}"/>
    <cellStyle name="Normal 2 5 53 2 2" xfId="6121" xr:uid="{A83AC148-E756-4419-ABEB-FE8D3DA6FCE1}"/>
    <cellStyle name="Normal 2 5 53 2 2 2" xfId="14951" xr:uid="{865FC845-B1B6-4A65-8310-0A18B1FB5E44}"/>
    <cellStyle name="Normal 2 5 53 2 3" xfId="6122" xr:uid="{31C48EFE-0729-4404-A9B0-DFE35DEE2F0D}"/>
    <cellStyle name="Normal 2 5 53 2 3 2" xfId="14952" xr:uid="{4C155CBB-17DD-432A-8897-731E14ED7F54}"/>
    <cellStyle name="Normal 2 5 53 2 4" xfId="14950" xr:uid="{4715FF4D-841E-4EEE-969E-7ADEB9BED610}"/>
    <cellStyle name="Normal 2 5 53 3" xfId="6123" xr:uid="{BCB85AA1-B1B6-4F95-8858-40760BE566F2}"/>
    <cellStyle name="Normal 2 5 53 3 2" xfId="14953" xr:uid="{B48281C5-F627-4340-A45C-85253AA04441}"/>
    <cellStyle name="Normal 2 5 53 4" xfId="6124" xr:uid="{B7415DD3-559C-4EB8-AD40-AACC884BEA99}"/>
    <cellStyle name="Normal 2 5 53 4 2" xfId="14954" xr:uid="{E8F394FA-84E7-4A06-8DE4-9E62147C54F5}"/>
    <cellStyle name="Normal 2 5 53 5" xfId="14949" xr:uid="{57CD36B0-19C6-4BA8-B747-E2B6E403FD78}"/>
    <cellStyle name="Normal 2 5 54" xfId="6125" xr:uid="{1E76190B-BC0B-4E62-AF45-7F73837D346C}"/>
    <cellStyle name="Normal 2 5 54 2" xfId="6126" xr:uid="{B5EEA048-1984-46B4-B8DD-9C5EE59AF4E4}"/>
    <cellStyle name="Normal 2 5 54 2 2" xfId="6127" xr:uid="{D66B1321-BF02-4722-A01B-AC65817E9C37}"/>
    <cellStyle name="Normal 2 5 54 2 2 2" xfId="14957" xr:uid="{33FF2296-9E45-47AC-855D-E3285B78C6CA}"/>
    <cellStyle name="Normal 2 5 54 2 3" xfId="6128" xr:uid="{D643BF15-6B24-47F1-996B-1B905BBB185D}"/>
    <cellStyle name="Normal 2 5 54 2 3 2" xfId="14958" xr:uid="{D811EBF1-E53F-4D0F-B74A-3D1983B59E33}"/>
    <cellStyle name="Normal 2 5 54 2 4" xfId="14956" xr:uid="{654EA054-5943-4F22-9B01-B217EF67A677}"/>
    <cellStyle name="Normal 2 5 54 3" xfId="6129" xr:uid="{71DAE38A-3CD2-42AB-95E8-176EF166D464}"/>
    <cellStyle name="Normal 2 5 54 3 2" xfId="14959" xr:uid="{4048B694-A641-4A32-8182-7A2BF68DC06D}"/>
    <cellStyle name="Normal 2 5 54 4" xfId="6130" xr:uid="{8127FE74-757C-442C-BD03-EE083AC05275}"/>
    <cellStyle name="Normal 2 5 54 4 2" xfId="14960" xr:uid="{934A79EB-B6CB-426F-929C-6E59F313648C}"/>
    <cellStyle name="Normal 2 5 54 5" xfId="14955" xr:uid="{30379074-183C-46C8-AE52-D43721D4BB37}"/>
    <cellStyle name="Normal 2 5 55" xfId="6131" xr:uid="{DF84BD2B-4F0D-482F-93E0-DF6EBD0401A9}"/>
    <cellStyle name="Normal 2 5 55 2" xfId="6132" xr:uid="{9FBE7B0A-F3AE-49AD-AA4E-2DEFB66F01E9}"/>
    <cellStyle name="Normal 2 5 55 2 2" xfId="6133" xr:uid="{3F6E553F-2538-4D24-9523-573955880898}"/>
    <cellStyle name="Normal 2 5 55 2 2 2" xfId="14963" xr:uid="{33870710-1B94-4D46-9B78-4676E7ADB95F}"/>
    <cellStyle name="Normal 2 5 55 2 3" xfId="6134" xr:uid="{FF63949A-7425-425B-ACB8-19D2C06796E4}"/>
    <cellStyle name="Normal 2 5 55 2 3 2" xfId="14964" xr:uid="{E4C3DDA9-7132-44AB-8B08-49008023D0A1}"/>
    <cellStyle name="Normal 2 5 55 2 4" xfId="14962" xr:uid="{20C78332-1D3A-4A5C-80CF-6CCB9E94E30A}"/>
    <cellStyle name="Normal 2 5 55 3" xfId="6135" xr:uid="{DFA2BA77-E4F3-4421-9878-7CDF650A7CAF}"/>
    <cellStyle name="Normal 2 5 55 3 2" xfId="14965" xr:uid="{437D0885-DCB2-4E10-AE09-8AEB284BC09B}"/>
    <cellStyle name="Normal 2 5 55 4" xfId="6136" xr:uid="{EBB77C69-DB7B-4455-AC63-74F51C5E23C8}"/>
    <cellStyle name="Normal 2 5 55 4 2" xfId="14966" xr:uid="{B7E7E3AB-D2C0-47B1-ACCE-F88C923AD74E}"/>
    <cellStyle name="Normal 2 5 55 5" xfId="14961" xr:uid="{FEB1E702-8143-4893-A0DD-6598FAFCCED8}"/>
    <cellStyle name="Normal 2 5 56" xfId="6137" xr:uid="{CDF81051-7761-4E38-B7AF-0A653BB41DF8}"/>
    <cellStyle name="Normal 2 5 56 2" xfId="6138" xr:uid="{59095062-6CD2-4763-A573-B20E3239AF1F}"/>
    <cellStyle name="Normal 2 5 56 2 2" xfId="6139" xr:uid="{F40EDDFC-BD26-4BBB-8D50-AD9E28EA0E6B}"/>
    <cellStyle name="Normal 2 5 56 2 2 2" xfId="14969" xr:uid="{FDFCC711-D803-46CE-8229-F3964CA6CFB5}"/>
    <cellStyle name="Normal 2 5 56 2 3" xfId="6140" xr:uid="{4D5D8A18-A23A-422E-B271-FF37AE8E8322}"/>
    <cellStyle name="Normal 2 5 56 2 3 2" xfId="14970" xr:uid="{522E4FF9-D162-43D5-8D26-DBF8EE1071BD}"/>
    <cellStyle name="Normal 2 5 56 2 4" xfId="14968" xr:uid="{7231931D-562B-489E-B287-5CC083BF458B}"/>
    <cellStyle name="Normal 2 5 56 3" xfId="6141" xr:uid="{83F370C0-4404-4E86-9A1C-978D6B67B4C0}"/>
    <cellStyle name="Normal 2 5 56 3 2" xfId="14971" xr:uid="{EEC59C40-284E-48E5-8944-DC9BFA122864}"/>
    <cellStyle name="Normal 2 5 56 4" xfId="6142" xr:uid="{433204F6-5BAD-4ECD-94B4-6AC77CA8349B}"/>
    <cellStyle name="Normal 2 5 56 4 2" xfId="14972" xr:uid="{0C4EF6FB-5F32-4E8C-ACF5-D5CA9D8A8CC9}"/>
    <cellStyle name="Normal 2 5 56 5" xfId="14967" xr:uid="{7C435927-364B-4805-9535-653C1504E494}"/>
    <cellStyle name="Normal 2 5 57" xfId="6143" xr:uid="{6F3E5E58-6D33-4CD4-98A8-D45B7E0F0A42}"/>
    <cellStyle name="Normal 2 5 57 2" xfId="6144" xr:uid="{6D9C6C53-974A-4793-9551-B740CA04275E}"/>
    <cellStyle name="Normal 2 5 57 2 2" xfId="6145" xr:uid="{94CD31CB-89F9-4AB6-8326-4235C81DDB03}"/>
    <cellStyle name="Normal 2 5 57 2 2 2" xfId="14975" xr:uid="{BEB4F893-66D0-4CB3-9184-339ED4AEFBAA}"/>
    <cellStyle name="Normal 2 5 57 2 3" xfId="6146" xr:uid="{9D20E3B2-4D3D-4678-AD29-78E48E2C10E4}"/>
    <cellStyle name="Normal 2 5 57 2 3 2" xfId="14976" xr:uid="{1CB6EAFD-8FD3-4301-A56A-AB7882F22904}"/>
    <cellStyle name="Normal 2 5 57 2 4" xfId="14974" xr:uid="{1D3C49CA-B6C0-400A-996F-18BFB7B7E539}"/>
    <cellStyle name="Normal 2 5 57 3" xfId="6147" xr:uid="{49D9AE03-0215-47FC-9B7A-BBF4EECE0E53}"/>
    <cellStyle name="Normal 2 5 57 3 2" xfId="14977" xr:uid="{67536408-5AD1-43ED-9B63-20152DCD5ED1}"/>
    <cellStyle name="Normal 2 5 57 4" xfId="6148" xr:uid="{840E53B7-F7DB-486D-A383-F5433D68A368}"/>
    <cellStyle name="Normal 2 5 57 4 2" xfId="14978" xr:uid="{0F741089-7A9A-4C21-837A-CE2091F9717C}"/>
    <cellStyle name="Normal 2 5 57 5" xfId="14973" xr:uid="{074214D7-5C61-4A67-979D-DD1E9A0EB7B6}"/>
    <cellStyle name="Normal 2 5 58" xfId="6149" xr:uid="{A405B724-A910-4B2B-99E5-829BE0E74742}"/>
    <cellStyle name="Normal 2 5 58 2" xfId="6150" xr:uid="{28448778-C361-4514-8A6F-31F985BE275B}"/>
    <cellStyle name="Normal 2 5 58 2 2" xfId="6151" xr:uid="{6825ED59-6CEA-4F73-8428-5FEDD67BE234}"/>
    <cellStyle name="Normal 2 5 58 2 2 2" xfId="14981" xr:uid="{D712ECC8-F6F2-4B2B-817D-6C6B2E34F990}"/>
    <cellStyle name="Normal 2 5 58 2 3" xfId="6152" xr:uid="{D448802B-708B-4AF4-86DF-27184992669B}"/>
    <cellStyle name="Normal 2 5 58 2 3 2" xfId="14982" xr:uid="{891B8B61-927A-467E-912A-98EF92FC5C2C}"/>
    <cellStyle name="Normal 2 5 58 2 4" xfId="14980" xr:uid="{48C70038-5B1D-4754-AC13-240D05822D93}"/>
    <cellStyle name="Normal 2 5 58 3" xfId="6153" xr:uid="{BC880118-63A1-47CE-8A64-BE447574EC73}"/>
    <cellStyle name="Normal 2 5 58 3 2" xfId="14983" xr:uid="{0B1E2293-2600-4571-8D2F-78789650CDC6}"/>
    <cellStyle name="Normal 2 5 58 4" xfId="6154" xr:uid="{A9801059-93C4-4CCC-B4DE-34B394BEF47F}"/>
    <cellStyle name="Normal 2 5 58 4 2" xfId="14984" xr:uid="{A0BA4956-35E9-4EF4-8293-6E2767453C8C}"/>
    <cellStyle name="Normal 2 5 58 5" xfId="14979" xr:uid="{89435C6A-1812-4C6B-B08C-C724D456706C}"/>
    <cellStyle name="Normal 2 5 59" xfId="6155" xr:uid="{C82C4685-646D-48D3-B4CB-129396074040}"/>
    <cellStyle name="Normal 2 5 59 2" xfId="6156" xr:uid="{F46DD909-AA6B-4625-A164-885BCDBF830F}"/>
    <cellStyle name="Normal 2 5 59 2 2" xfId="6157" xr:uid="{1E03F44E-A515-496F-B0EA-3A86F2847A8A}"/>
    <cellStyle name="Normal 2 5 59 2 2 2" xfId="14987" xr:uid="{954EED23-54A4-4053-98AF-CE0CF2467A8A}"/>
    <cellStyle name="Normal 2 5 59 2 3" xfId="6158" xr:uid="{AD566504-8439-4764-ABF3-5CF5C0D2906B}"/>
    <cellStyle name="Normal 2 5 59 2 3 2" xfId="14988" xr:uid="{232EDE83-C3C7-4B68-939F-10A38AFC57F3}"/>
    <cellStyle name="Normal 2 5 59 2 4" xfId="14986" xr:uid="{A5FB12EB-854E-425A-8E49-D91E3A4750F1}"/>
    <cellStyle name="Normal 2 5 59 3" xfId="6159" xr:uid="{88390536-EFB4-4841-9758-2124A46909DF}"/>
    <cellStyle name="Normal 2 5 59 3 2" xfId="14989" xr:uid="{83913BB3-CD2D-4292-A408-DD66892F111A}"/>
    <cellStyle name="Normal 2 5 59 4" xfId="6160" xr:uid="{6713BB45-D2C3-46CF-A999-CFA547B2D037}"/>
    <cellStyle name="Normal 2 5 59 4 2" xfId="14990" xr:uid="{34C20D45-B9E4-4CB4-B739-FF5CAB1D58CD}"/>
    <cellStyle name="Normal 2 5 59 5" xfId="14985" xr:uid="{81CB7101-1930-4107-9052-AA3BA5E3F50F}"/>
    <cellStyle name="Normal 2 5 6" xfId="6161" xr:uid="{620DDA6E-D998-415E-B44D-AD0D852F45F5}"/>
    <cellStyle name="Normal 2 5 6 2" xfId="6162" xr:uid="{81D511F7-D327-49AE-A9DD-8245B2BEDE96}"/>
    <cellStyle name="Normal 2 5 6 2 2" xfId="6163" xr:uid="{69C583F7-A6D2-4C72-8020-7B1356FDCB31}"/>
    <cellStyle name="Normal 2 5 6 2 2 2" xfId="14993" xr:uid="{CB0110CF-50CE-4E26-ABF1-5165458FF035}"/>
    <cellStyle name="Normal 2 5 6 2 3" xfId="6164" xr:uid="{D23A9EDB-7570-430A-A85D-785A07927A26}"/>
    <cellStyle name="Normal 2 5 6 2 3 2" xfId="14994" xr:uid="{DE98B7D8-7B2E-4B1A-92CF-7B9329F8CB70}"/>
    <cellStyle name="Normal 2 5 6 2 4" xfId="14992" xr:uid="{406DF9BC-F8CB-4DA2-9752-997882422751}"/>
    <cellStyle name="Normal 2 5 6 3" xfId="6165" xr:uid="{9EDC1BF9-4481-41A4-81E4-0CE58D3667E7}"/>
    <cellStyle name="Normal 2 5 6 3 2" xfId="14995" xr:uid="{1CF83B2E-4601-4700-B22D-41E9416DB9C7}"/>
    <cellStyle name="Normal 2 5 6 4" xfId="6166" xr:uid="{BDEF4956-EF2B-433C-8F23-631C7D91398B}"/>
    <cellStyle name="Normal 2 5 6 4 2" xfId="14996" xr:uid="{13B43A2F-78DA-4FE6-B479-3C5634D1CFEB}"/>
    <cellStyle name="Normal 2 5 6 5" xfId="14991" xr:uid="{160BAF46-D57C-4F08-BB2B-67504C5922DE}"/>
    <cellStyle name="Normal 2 5 60" xfId="6167" xr:uid="{F159613F-8AC0-4866-B746-814951F26E1E}"/>
    <cellStyle name="Normal 2 5 60 2" xfId="6168" xr:uid="{6F25C145-C9F3-477E-AB17-67C178CDA500}"/>
    <cellStyle name="Normal 2 5 60 2 2" xfId="6169" xr:uid="{5F402255-7B19-429F-A137-C6C8853B5690}"/>
    <cellStyle name="Normal 2 5 60 2 2 2" xfId="14999" xr:uid="{0C5824CF-DA85-4E51-ADE7-B90334B0EC72}"/>
    <cellStyle name="Normal 2 5 60 2 3" xfId="6170" xr:uid="{6A13269A-25BE-4DCA-A223-B607EA83C9A0}"/>
    <cellStyle name="Normal 2 5 60 2 3 2" xfId="15000" xr:uid="{EA7BC1DA-3A28-493C-82A7-CE125F68749C}"/>
    <cellStyle name="Normal 2 5 60 2 4" xfId="14998" xr:uid="{BD066DD0-7459-40CC-A607-7261AD403813}"/>
    <cellStyle name="Normal 2 5 60 3" xfId="6171" xr:uid="{E0E7E43F-AB91-43EB-B11D-3892FD515119}"/>
    <cellStyle name="Normal 2 5 60 3 2" xfId="15001" xr:uid="{60E0838B-C973-4D44-B31B-3D9CF6B91944}"/>
    <cellStyle name="Normal 2 5 60 4" xfId="6172" xr:uid="{AAEC5C4A-1A0A-49A1-8B97-D215EA9F0A41}"/>
    <cellStyle name="Normal 2 5 60 4 2" xfId="15002" xr:uid="{8E4A0BCE-2ADB-48A1-A8E6-1CD3EF00EDFB}"/>
    <cellStyle name="Normal 2 5 60 5" xfId="14997" xr:uid="{F8205A0F-36E9-4755-85A4-B21C5640D8B5}"/>
    <cellStyle name="Normal 2 5 61" xfId="6173" xr:uid="{AF41550F-77C6-4B35-98BF-DE6B15F91CE7}"/>
    <cellStyle name="Normal 2 5 61 2" xfId="6174" xr:uid="{24A732F0-D72F-4158-B2B6-3885997ACB52}"/>
    <cellStyle name="Normal 2 5 61 2 2" xfId="15004" xr:uid="{CDB926FD-31BD-4F2E-8520-43B2B9EA035C}"/>
    <cellStyle name="Normal 2 5 61 3" xfId="6175" xr:uid="{D4CE92AF-58CF-402D-A44E-A905A14006AD}"/>
    <cellStyle name="Normal 2 5 61 3 2" xfId="15005" xr:uid="{32F8506F-91B5-470A-8197-87C943067EB9}"/>
    <cellStyle name="Normal 2 5 61 4" xfId="15003" xr:uid="{D1AB5723-BDC1-487F-B916-F9C708DC2E06}"/>
    <cellStyle name="Normal 2 5 62" xfId="6176" xr:uid="{31D85AA0-3E23-430C-97C0-D4BB3B1E445A}"/>
    <cellStyle name="Normal 2 5 62 2" xfId="15006" xr:uid="{57FCCA98-CD7A-43B6-AD0D-6355107D4BBE}"/>
    <cellStyle name="Normal 2 5 63" xfId="6177" xr:uid="{52C7957C-701B-4A08-AB68-090E916264B6}"/>
    <cellStyle name="Normal 2 5 63 2" xfId="15007" xr:uid="{48FF75A5-D8A8-46F9-B949-A992D04541DB}"/>
    <cellStyle name="Normal 2 5 64" xfId="6178" xr:uid="{ADB84F9A-5785-4C70-B2AE-FBCAD7C2EC60}"/>
    <cellStyle name="Normal 2 5 65" xfId="6179" xr:uid="{FE50B8AD-1DDF-430C-B64F-7461E6A2F4A5}"/>
    <cellStyle name="Normal 2 5 65 2" xfId="15008" xr:uid="{6D903F39-7F2C-44B2-A8A7-18118A82945F}"/>
    <cellStyle name="Normal 2 5 66" xfId="6180" xr:uid="{A5CD33B2-6A5C-4661-B1EC-9CFC7808E807}"/>
    <cellStyle name="Normal 2 5 67" xfId="13658" xr:uid="{9EE6628C-75DF-4E16-AC6E-BFB0BB79870C}"/>
    <cellStyle name="Normal 2 5 7" xfId="6181" xr:uid="{6011C2D1-AAEA-44A6-B28B-3778A1914BAB}"/>
    <cellStyle name="Normal 2 5 7 2" xfId="6182" xr:uid="{F14A5DC7-4039-46AA-8583-45D173503995}"/>
    <cellStyle name="Normal 2 5 7 2 2" xfId="6183" xr:uid="{6EC173DB-2676-4D87-B8CE-4BEFE8B76A13}"/>
    <cellStyle name="Normal 2 5 7 2 2 2" xfId="15011" xr:uid="{A7E2AF77-79F5-4F4E-991E-C45FB29FD181}"/>
    <cellStyle name="Normal 2 5 7 2 3" xfId="6184" xr:uid="{6072C332-6370-4392-9F5A-9F39A959EE3E}"/>
    <cellStyle name="Normal 2 5 7 2 3 2" xfId="15012" xr:uid="{93DB0CC9-0E2C-42AF-AC41-8D35365EC540}"/>
    <cellStyle name="Normal 2 5 7 2 4" xfId="15010" xr:uid="{11E80BDA-0FA0-4335-B8F9-EF728D424B66}"/>
    <cellStyle name="Normal 2 5 7 3" xfId="6185" xr:uid="{A0E48743-54E8-4112-B7A2-6A4E54093766}"/>
    <cellStyle name="Normal 2 5 7 3 2" xfId="15013" xr:uid="{813DCB12-D136-4AA8-9DE4-4E481AA48A88}"/>
    <cellStyle name="Normal 2 5 7 4" xfId="6186" xr:uid="{367183A0-215E-40AD-A784-C13F304BBE12}"/>
    <cellStyle name="Normal 2 5 7 4 2" xfId="15014" xr:uid="{BDE5AE34-2D12-4C19-A1BB-3B5BDCF1E11D}"/>
    <cellStyle name="Normal 2 5 7 5" xfId="15009" xr:uid="{709F68F7-15EF-41A4-8C9D-7179E6F23AE4}"/>
    <cellStyle name="Normal 2 5 8" xfId="6187" xr:uid="{15F13172-603B-43E1-8FD4-D60D432F9E2F}"/>
    <cellStyle name="Normal 2 5 8 2" xfId="6188" xr:uid="{A3C420AC-F649-4257-9F6E-B9BF73F1617E}"/>
    <cellStyle name="Normal 2 5 8 2 2" xfId="6189" xr:uid="{DF7221A2-AF2B-418A-9748-D49066C33596}"/>
    <cellStyle name="Normal 2 5 8 2 2 2" xfId="15017" xr:uid="{9D59C488-9170-4E86-8F1E-BA862F4DEB62}"/>
    <cellStyle name="Normal 2 5 8 2 3" xfId="6190" xr:uid="{E9523E69-D3F1-4750-9EA3-CABEC9A5B698}"/>
    <cellStyle name="Normal 2 5 8 2 3 2" xfId="15018" xr:uid="{94FCDE0C-1E48-4C86-9DD8-0B554E4E2CBA}"/>
    <cellStyle name="Normal 2 5 8 2 4" xfId="15016" xr:uid="{2235C193-8CBD-4007-84AB-CABA02873BDF}"/>
    <cellStyle name="Normal 2 5 8 3" xfId="6191" xr:uid="{747B1715-9FC2-47D6-A021-A2535B78B89A}"/>
    <cellStyle name="Normal 2 5 8 3 2" xfId="15019" xr:uid="{EE8B07B1-A4AD-4424-A284-7304AD57F1E4}"/>
    <cellStyle name="Normal 2 5 8 4" xfId="6192" xr:uid="{E6E81DAD-60F6-4124-9B55-C7C4703831E3}"/>
    <cellStyle name="Normal 2 5 8 4 2" xfId="15020" xr:uid="{3EE91678-1591-42E7-B0BA-A02EE31385A6}"/>
    <cellStyle name="Normal 2 5 8 5" xfId="15015" xr:uid="{B230B734-66E8-4181-A533-E5268C1339E4}"/>
    <cellStyle name="Normal 2 5 9" xfId="6193" xr:uid="{84E6524A-A2B9-4550-B376-F20234DBEDA6}"/>
    <cellStyle name="Normal 2 5 9 2" xfId="6194" xr:uid="{22233E2B-3E24-4FCA-BD99-38617960E60F}"/>
    <cellStyle name="Normal 2 5 9 2 2" xfId="6195" xr:uid="{B7CBCA34-9449-4408-B7F5-99C85D95B7CF}"/>
    <cellStyle name="Normal 2 5 9 2 2 2" xfId="15023" xr:uid="{27F30B8B-48EA-4072-88C4-C97399860462}"/>
    <cellStyle name="Normal 2 5 9 2 3" xfId="6196" xr:uid="{4160E39C-5D1A-4969-926B-6C3E0048F865}"/>
    <cellStyle name="Normal 2 5 9 2 3 2" xfId="15024" xr:uid="{E8578813-64C6-4A03-ABE8-056229B8512C}"/>
    <cellStyle name="Normal 2 5 9 2 4" xfId="15022" xr:uid="{136FE46F-62D3-45F5-A8CA-78C1E973F657}"/>
    <cellStyle name="Normal 2 5 9 3" xfId="6197" xr:uid="{C5DA1D53-54C2-43E1-A007-7A736FAFCE7B}"/>
    <cellStyle name="Normal 2 5 9 3 2" xfId="15025" xr:uid="{BFCEB23A-BF44-41D8-856F-E91CC9E8FDAB}"/>
    <cellStyle name="Normal 2 5 9 4" xfId="6198" xr:uid="{E8CB5F25-ADE0-43FA-837D-1404DF125701}"/>
    <cellStyle name="Normal 2 5 9 4 2" xfId="15026" xr:uid="{1A62E7DB-175D-4A08-BE7F-C07643ADDEEF}"/>
    <cellStyle name="Normal 2 5 9 5" xfId="15021" xr:uid="{DA8DD9C1-60A8-4378-825B-515DB163F46A}"/>
    <cellStyle name="Normal 2 50" xfId="6199" xr:uid="{714A33F1-B588-4C4E-B8D4-0D6CBBB42F09}"/>
    <cellStyle name="Normal 2 50 2" xfId="6200" xr:uid="{E41CC3F3-EAF2-4FD5-8EE9-E445FBC07DAC}"/>
    <cellStyle name="Normal 2 50 2 2" xfId="6201" xr:uid="{AABEB84D-1487-43FD-8A5C-A960363AF2E4}"/>
    <cellStyle name="Normal 2 50 2 2 2" xfId="15029" xr:uid="{67CB48B6-9AA4-4820-A1A7-47A52A66583D}"/>
    <cellStyle name="Normal 2 50 2 3" xfId="6202" xr:uid="{81EB3673-5EDE-4F23-AEA3-0BC53CD94121}"/>
    <cellStyle name="Normal 2 50 2 3 2" xfId="15030" xr:uid="{95E509F9-824E-4A2E-9F04-0511CF63E51E}"/>
    <cellStyle name="Normal 2 50 2 4" xfId="15028" xr:uid="{456C94C3-88DB-48AB-A2B0-6D97F40D9024}"/>
    <cellStyle name="Normal 2 50 3" xfId="6203" xr:uid="{4531C881-B2D1-4F3C-8A16-81A011D4063D}"/>
    <cellStyle name="Normal 2 50 3 2" xfId="15031" xr:uid="{CD7EF107-041E-4BA5-8A47-0AE99AF540C0}"/>
    <cellStyle name="Normal 2 50 4" xfId="6204" xr:uid="{A76E0B7B-57EF-4A25-9F3B-9E93B0C77308}"/>
    <cellStyle name="Normal 2 50 4 2" xfId="15032" xr:uid="{2C545DA2-F36F-4FE0-BC8E-0A85FB0F58D0}"/>
    <cellStyle name="Normal 2 50 5" xfId="15027" xr:uid="{F76DEC05-EB53-4B19-8E67-99C0C85659F4}"/>
    <cellStyle name="Normal 2 51" xfId="6205" xr:uid="{A4B3073D-9347-4ABA-A076-1EEAA02829FB}"/>
    <cellStyle name="Normal 2 51 2" xfId="6206" xr:uid="{84EFA101-F05A-4A1C-8A08-EB57408D03EC}"/>
    <cellStyle name="Normal 2 51 2 2" xfId="6207" xr:uid="{5B6E77D5-F671-4BA7-8804-2F3CDAF69292}"/>
    <cellStyle name="Normal 2 51 2 2 2" xfId="15035" xr:uid="{B3B96CE0-D649-4663-961F-79DBE17343A0}"/>
    <cellStyle name="Normal 2 51 2 3" xfId="6208" xr:uid="{52FED907-8F59-4A9F-973A-22ABAB0EC83A}"/>
    <cellStyle name="Normal 2 51 2 3 2" xfId="15036" xr:uid="{87C8DA62-12F4-4EF4-BBCB-900457F81034}"/>
    <cellStyle name="Normal 2 51 2 4" xfId="15034" xr:uid="{FDBAB03D-8EFF-4EC7-8AD2-E1C15811F983}"/>
    <cellStyle name="Normal 2 51 3" xfId="6209" xr:uid="{0EA1360F-B904-43D4-9D9E-54E4FEEA5B3D}"/>
    <cellStyle name="Normal 2 51 3 2" xfId="15037" xr:uid="{56A29893-1482-4E60-A2F7-3E2A16A0585D}"/>
    <cellStyle name="Normal 2 51 4" xfId="6210" xr:uid="{546958DC-72A5-4261-8C17-1C178151CF3F}"/>
    <cellStyle name="Normal 2 51 4 2" xfId="15038" xr:uid="{F0B27642-FE35-4CC1-BB2E-C5D4E284A4BE}"/>
    <cellStyle name="Normal 2 51 5" xfId="15033" xr:uid="{B2466853-A5EB-4EAC-A56B-82E14B40AE66}"/>
    <cellStyle name="Normal 2 52" xfId="6211" xr:uid="{514B7270-B3B9-46C9-B431-C5FB82ACF5B4}"/>
    <cellStyle name="Normal 2 52 2" xfId="6212" xr:uid="{4B04F792-AF4F-4C48-8A76-DDFAE825AEAA}"/>
    <cellStyle name="Normal 2 52 2 2" xfId="6213" xr:uid="{463B4108-ED89-4B0B-91ED-96F6F9BECCF0}"/>
    <cellStyle name="Normal 2 52 2 2 2" xfId="15041" xr:uid="{212B6DEA-613A-4B61-810B-562BE1340583}"/>
    <cellStyle name="Normal 2 52 2 3" xfId="6214" xr:uid="{BC172EF6-545D-41D1-9BF2-05B333874BD3}"/>
    <cellStyle name="Normal 2 52 2 3 2" xfId="15042" xr:uid="{3267DDC0-9726-4B9B-8E9D-F9DDC29DD28E}"/>
    <cellStyle name="Normal 2 52 2 4" xfId="15040" xr:uid="{E88EF26A-40AF-4401-8836-63BE19FC1B76}"/>
    <cellStyle name="Normal 2 52 3" xfId="6215" xr:uid="{F2F94B78-35DA-4580-8EBF-BCCD1890D6BF}"/>
    <cellStyle name="Normal 2 52 3 2" xfId="15043" xr:uid="{92BE6215-8E71-41ED-9394-BE76EA8B5043}"/>
    <cellStyle name="Normal 2 52 4" xfId="6216" xr:uid="{C42E15CD-B7F6-4659-9A67-B6A751EDBA01}"/>
    <cellStyle name="Normal 2 52 4 2" xfId="15044" xr:uid="{F3D71E94-05A4-4712-8A33-D6EE86C1505A}"/>
    <cellStyle name="Normal 2 52 5" xfId="15039" xr:uid="{F8241AB1-7134-4A73-A3F7-9089F2CE0B72}"/>
    <cellStyle name="Normal 2 53" xfId="6217" xr:uid="{F37B3E78-9013-4593-88E1-9748654BB6D3}"/>
    <cellStyle name="Normal 2 53 2" xfId="6218" xr:uid="{65CFCA73-A005-41CA-B1CF-F1E1B71C9B36}"/>
    <cellStyle name="Normal 2 53 2 2" xfId="6219" xr:uid="{E283BFC0-1E4A-49CA-9199-43646051940F}"/>
    <cellStyle name="Normal 2 53 2 2 2" xfId="15047" xr:uid="{D14609A3-E21C-4E51-A8CA-E8F98A78A27E}"/>
    <cellStyle name="Normal 2 53 2 3" xfId="6220" xr:uid="{657BEC9B-4405-4FC7-B6CA-4AE89A375371}"/>
    <cellStyle name="Normal 2 53 2 3 2" xfId="15048" xr:uid="{EC94D330-EEF8-4009-A378-27AA1B2E581F}"/>
    <cellStyle name="Normal 2 53 2 4" xfId="15046" xr:uid="{3FBADBAD-82D4-4A51-A7EF-09D39DBEE140}"/>
    <cellStyle name="Normal 2 53 3" xfId="6221" xr:uid="{CA563355-BD5C-448D-993F-56441E835FFA}"/>
    <cellStyle name="Normal 2 53 3 2" xfId="15049" xr:uid="{FC392EB0-F503-477B-BF00-A596B8FCAFB1}"/>
    <cellStyle name="Normal 2 53 4" xfId="6222" xr:uid="{8D82D281-5688-469B-9214-2048C747B21E}"/>
    <cellStyle name="Normal 2 53 4 2" xfId="15050" xr:uid="{ACEF270C-DE48-470E-A123-2D34A5170CC8}"/>
    <cellStyle name="Normal 2 53 5" xfId="15045" xr:uid="{EA8BB69C-DA85-4794-9442-8DB70BFB35F2}"/>
    <cellStyle name="Normal 2 54" xfId="6223" xr:uid="{50895CEA-139A-4FF3-9C5B-EC02E53AEE11}"/>
    <cellStyle name="Normal 2 54 2" xfId="6224" xr:uid="{891CE04D-D80C-493B-A7A9-09265CA7CB01}"/>
    <cellStyle name="Normal 2 54 2 2" xfId="6225" xr:uid="{E9D37D96-7A90-461E-B2F0-A313D5C210E2}"/>
    <cellStyle name="Normal 2 54 2 2 2" xfId="15053" xr:uid="{88F74C35-247C-4B23-BAF1-AB67BD8FFF14}"/>
    <cellStyle name="Normal 2 54 2 3" xfId="6226" xr:uid="{33F2B84E-1BFA-4449-A943-8C982D182005}"/>
    <cellStyle name="Normal 2 54 2 3 2" xfId="15054" xr:uid="{F513F62E-E698-46BD-8004-5A44AFDD53F1}"/>
    <cellStyle name="Normal 2 54 2 4" xfId="15052" xr:uid="{E02323E2-8CA9-49BB-990D-ED3225A9B220}"/>
    <cellStyle name="Normal 2 54 3" xfId="6227" xr:uid="{9B726F2F-0E38-45D9-9775-42FDA3182C45}"/>
    <cellStyle name="Normal 2 54 3 2" xfId="15055" xr:uid="{F3DD0D43-3879-45FB-9AC4-9364ED9D8318}"/>
    <cellStyle name="Normal 2 54 4" xfId="6228" xr:uid="{AB01FA1B-B164-495A-BEB6-6B0DC2519619}"/>
    <cellStyle name="Normal 2 54 4 2" xfId="15056" xr:uid="{FD1D7617-EDF1-43C4-A909-E5ADC0745D6D}"/>
    <cellStyle name="Normal 2 54 5" xfId="15051" xr:uid="{F75851D5-F1FA-4660-906B-8D4DF9073F3D}"/>
    <cellStyle name="Normal 2 55" xfId="6229" xr:uid="{0F448076-BCF4-493C-A180-A15A857FC482}"/>
    <cellStyle name="Normal 2 55 2" xfId="6230" xr:uid="{C4DD690E-8181-4914-BB0F-810126FC4A18}"/>
    <cellStyle name="Normal 2 55 2 2" xfId="6231" xr:uid="{84D3A5F2-A542-42C7-846A-BB60FC1A687B}"/>
    <cellStyle name="Normal 2 55 2 2 2" xfId="15059" xr:uid="{B0B2F067-EF2C-4718-9F45-50DFBAE87918}"/>
    <cellStyle name="Normal 2 55 2 3" xfId="6232" xr:uid="{10F94F21-6141-43B0-9E7C-94CC5C9BE168}"/>
    <cellStyle name="Normal 2 55 2 3 2" xfId="15060" xr:uid="{E35C26A0-16C0-431A-91FA-86136C2D941F}"/>
    <cellStyle name="Normal 2 55 2 4" xfId="15058" xr:uid="{F97260A9-A3A0-45B3-904B-4353F982B39E}"/>
    <cellStyle name="Normal 2 55 3" xfId="6233" xr:uid="{4F9FB9D7-30C3-46DF-95B8-F8D314992BB9}"/>
    <cellStyle name="Normal 2 55 3 2" xfId="15061" xr:uid="{8D475327-0557-4C2F-9D40-FC176D96F759}"/>
    <cellStyle name="Normal 2 55 4" xfId="6234" xr:uid="{2CCF09CB-2CAF-4E5B-BB47-E1A9E6291F62}"/>
    <cellStyle name="Normal 2 55 4 2" xfId="15062" xr:uid="{075A828E-0922-401C-B0E9-BA53333B3AE1}"/>
    <cellStyle name="Normal 2 55 5" xfId="15057" xr:uid="{E14077ED-9CE2-47C2-96A6-09AD4B5A3023}"/>
    <cellStyle name="Normal 2 56" xfId="6235" xr:uid="{388DC521-00A2-48CE-B191-A37A7D717897}"/>
    <cellStyle name="Normal 2 56 2" xfId="6236" xr:uid="{8341DEA8-BB20-4466-836E-2EE87316AC36}"/>
    <cellStyle name="Normal 2 56 2 2" xfId="6237" xr:uid="{01F5F8FF-8DCE-4791-A9A9-074219FFC473}"/>
    <cellStyle name="Normal 2 56 2 2 2" xfId="15065" xr:uid="{8C2A73D5-A823-4475-A740-3A994F23E674}"/>
    <cellStyle name="Normal 2 56 2 3" xfId="6238" xr:uid="{F41934F1-586E-4FCE-9FC0-D8ADC6CC4E4F}"/>
    <cellStyle name="Normal 2 56 2 3 2" xfId="15066" xr:uid="{F82F6C48-7868-47BF-B5D6-48D6C17C988D}"/>
    <cellStyle name="Normal 2 56 2 4" xfId="15064" xr:uid="{53E0AE43-3DC1-4DF3-B209-1917F1BF6E6E}"/>
    <cellStyle name="Normal 2 56 3" xfId="6239" xr:uid="{891C47A0-CB0B-42E0-931C-761570256689}"/>
    <cellStyle name="Normal 2 56 3 2" xfId="15067" xr:uid="{D43ED23E-2682-4694-9152-6572A513116E}"/>
    <cellStyle name="Normal 2 56 4" xfId="6240" xr:uid="{6611E572-68B4-41BC-8CB7-C554470E1A94}"/>
    <cellStyle name="Normal 2 56 4 2" xfId="15068" xr:uid="{2F9DB87D-5FE8-4179-87C9-966FB13EC46B}"/>
    <cellStyle name="Normal 2 56 5" xfId="15063" xr:uid="{6863CF07-07C3-41B2-A927-2B8CF152D0AB}"/>
    <cellStyle name="Normal 2 57" xfId="6241" xr:uid="{C1A64057-28A6-4BAD-B852-2F6D73008B4C}"/>
    <cellStyle name="Normal 2 57 2" xfId="6242" xr:uid="{58359DAF-8820-4DF4-8119-906E01D2E2FE}"/>
    <cellStyle name="Normal 2 57 2 2" xfId="6243" xr:uid="{2DE868CB-5E79-41D9-956C-4C6456A0268E}"/>
    <cellStyle name="Normal 2 57 2 2 2" xfId="15071" xr:uid="{947FECA7-6CD3-40C7-995C-5FD42466AAE7}"/>
    <cellStyle name="Normal 2 57 2 3" xfId="6244" xr:uid="{34B128BD-496B-44FB-98F6-E53070A517CC}"/>
    <cellStyle name="Normal 2 57 2 3 2" xfId="15072" xr:uid="{1E5A8F67-0E67-40BA-8B8E-64FAE5DEA677}"/>
    <cellStyle name="Normal 2 57 2 4" xfId="15070" xr:uid="{3D60C6C8-0B96-4C86-BDA2-C35A382DA4FD}"/>
    <cellStyle name="Normal 2 57 3" xfId="6245" xr:uid="{A0157755-598D-4394-9771-7C7CCCC2AFD5}"/>
    <cellStyle name="Normal 2 57 3 2" xfId="15073" xr:uid="{CB4F1CBF-6662-4835-B385-DDAEFF94FCCB}"/>
    <cellStyle name="Normal 2 57 4" xfId="6246" xr:uid="{1D9260F0-F2B9-4E61-8ED5-867C1821A7E9}"/>
    <cellStyle name="Normal 2 57 4 2" xfId="15074" xr:uid="{11560D1B-0C8E-44C1-BCDB-8508647E5597}"/>
    <cellStyle name="Normal 2 57 5" xfId="15069" xr:uid="{77FDB96E-EC3F-4FCC-9D41-FD9E0B5D4B80}"/>
    <cellStyle name="Normal 2 58" xfId="6247" xr:uid="{8B1F161A-1CCF-4139-A739-FE356447A371}"/>
    <cellStyle name="Normal 2 58 2" xfId="6248" xr:uid="{D9991FE7-E7B7-475A-926B-704F1AE5D796}"/>
    <cellStyle name="Normal 2 58 2 2" xfId="6249" xr:uid="{2F2E8C49-23DC-4D4B-8F80-09523C8414A4}"/>
    <cellStyle name="Normal 2 58 2 2 2" xfId="15077" xr:uid="{7FCA4351-3A3E-499A-8E5D-33955573A5AC}"/>
    <cellStyle name="Normal 2 58 2 3" xfId="6250" xr:uid="{3503A790-38E2-4DB5-8CCF-6D65594D7B41}"/>
    <cellStyle name="Normal 2 58 2 3 2" xfId="15078" xr:uid="{F831ED64-4E6E-4DB7-B5D6-9F5C6314844D}"/>
    <cellStyle name="Normal 2 58 2 4" xfId="15076" xr:uid="{2ACBC35F-5422-4DA0-A8D8-7E78E7A42855}"/>
    <cellStyle name="Normal 2 58 3" xfId="6251" xr:uid="{C8CA1672-6678-450D-9D37-8EE79383DC32}"/>
    <cellStyle name="Normal 2 58 3 2" xfId="15079" xr:uid="{4670D4A3-F382-4D5F-941C-4C9D240C34D8}"/>
    <cellStyle name="Normal 2 58 4" xfId="6252" xr:uid="{9248D63D-E248-4B69-8536-EF9DB2C5CCAE}"/>
    <cellStyle name="Normal 2 58 4 2" xfId="15080" xr:uid="{51F964FA-D701-4B60-90B2-EF7203788730}"/>
    <cellStyle name="Normal 2 58 5" xfId="15075" xr:uid="{9743EBD3-C8EA-4826-BAA9-0C94A7C35127}"/>
    <cellStyle name="Normal 2 59" xfId="6253" xr:uid="{F7C36FF5-241A-4430-92BB-E26F5E9D3819}"/>
    <cellStyle name="Normal 2 59 2" xfId="6254" xr:uid="{2F5250B2-B3D5-41DE-AE86-BE2DC89680A9}"/>
    <cellStyle name="Normal 2 59 2 2" xfId="6255" xr:uid="{31BD4CA5-8E66-4CA5-8BA2-D820C346162B}"/>
    <cellStyle name="Normal 2 59 2 2 2" xfId="15083" xr:uid="{713D788A-9E93-46A5-BBC4-FCC81B6FE67D}"/>
    <cellStyle name="Normal 2 59 2 3" xfId="6256" xr:uid="{D017624E-C91C-4C00-A522-445AF27F36BA}"/>
    <cellStyle name="Normal 2 59 2 3 2" xfId="15084" xr:uid="{F7767A09-87EC-425F-91A1-824DAF0A0A8A}"/>
    <cellStyle name="Normal 2 59 2 4" xfId="15082" xr:uid="{16242B2D-56DB-463B-902C-A38E068D5E8A}"/>
    <cellStyle name="Normal 2 59 3" xfId="6257" xr:uid="{5F9CE85E-20F3-494B-93DC-6E05641A6CED}"/>
    <cellStyle name="Normal 2 59 3 2" xfId="15085" xr:uid="{F7106778-BEC0-4315-B0BC-E71D83C89322}"/>
    <cellStyle name="Normal 2 59 4" xfId="6258" xr:uid="{43C2CD5E-DBBB-4401-806F-5ED82A53C46A}"/>
    <cellStyle name="Normal 2 59 4 2" xfId="15086" xr:uid="{AD7FF85B-03FE-4A24-BCAD-22134568D05D}"/>
    <cellStyle name="Normal 2 59 5" xfId="15081" xr:uid="{140C7D57-91BF-4765-9993-A6F065712F14}"/>
    <cellStyle name="Normal 2 6" xfId="6259" xr:uid="{4B24B113-09AA-454C-9308-97E047BE4EBB}"/>
    <cellStyle name="Normal 2 6 10" xfId="6260" xr:uid="{CEF9CEBB-CA64-489E-8064-D5B850651500}"/>
    <cellStyle name="Normal 2 6 10 2" xfId="6261" xr:uid="{B68E96B3-F7AF-4B05-8D5D-FAFAD57546AA}"/>
    <cellStyle name="Normal 2 6 10 2 2" xfId="6262" xr:uid="{D6F92E7E-6C53-4F74-91AA-DACB63EED5C6}"/>
    <cellStyle name="Normal 2 6 10 2 2 2" xfId="15090" xr:uid="{CB618714-E3C5-4349-A62D-26158257C9C8}"/>
    <cellStyle name="Normal 2 6 10 2 3" xfId="6263" xr:uid="{A5523997-B3E5-45BC-BBAB-D4BC62CCEB88}"/>
    <cellStyle name="Normal 2 6 10 2 3 2" xfId="15091" xr:uid="{DA57B634-34F1-4CDB-A90B-F09CF42D9F71}"/>
    <cellStyle name="Normal 2 6 10 2 4" xfId="15089" xr:uid="{5FB55899-4BEA-4816-AE2C-9FF010E6CECE}"/>
    <cellStyle name="Normal 2 6 10 3" xfId="6264" xr:uid="{18F72214-3EEA-463D-917B-98370951314D}"/>
    <cellStyle name="Normal 2 6 10 3 2" xfId="15092" xr:uid="{8222CF86-D093-4AD9-BA0C-7550E56A386F}"/>
    <cellStyle name="Normal 2 6 10 4" xfId="6265" xr:uid="{2ADD1EE1-7C90-47DB-AF42-EAD280A6D80A}"/>
    <cellStyle name="Normal 2 6 10 4 2" xfId="15093" xr:uid="{F4AFF7D9-23E9-44FA-B0E4-AB607ADA6DEF}"/>
    <cellStyle name="Normal 2 6 10 5" xfId="15088" xr:uid="{9FD15020-C851-4A3D-B1AA-6F57E6810A4A}"/>
    <cellStyle name="Normal 2 6 11" xfId="6266" xr:uid="{313E70C9-3A32-4756-BED3-09CA7F6815F0}"/>
    <cellStyle name="Normal 2 6 11 2" xfId="6267" xr:uid="{9D6F97BE-9A7B-4ECD-98DD-0353E1AAECD3}"/>
    <cellStyle name="Normal 2 6 11 2 2" xfId="6268" xr:uid="{6C2E95ED-E846-4278-B668-89D50D44579A}"/>
    <cellStyle name="Normal 2 6 11 2 2 2" xfId="15096" xr:uid="{3DB8411C-2D9E-4471-9FE1-27C5E7BE4B96}"/>
    <cellStyle name="Normal 2 6 11 2 3" xfId="6269" xr:uid="{8072100E-53D0-4CFD-87B7-C6C7A2BD64EB}"/>
    <cellStyle name="Normal 2 6 11 2 3 2" xfId="15097" xr:uid="{ACBAC993-92A1-4DD3-8B62-B753EB0FA83F}"/>
    <cellStyle name="Normal 2 6 11 2 4" xfId="15095" xr:uid="{2A19CC50-BD31-4DB2-9F7E-EBA0ABEE4283}"/>
    <cellStyle name="Normal 2 6 11 3" xfId="6270" xr:uid="{3A0896A3-676F-4A34-961D-0EE70AC91389}"/>
    <cellStyle name="Normal 2 6 11 3 2" xfId="15098" xr:uid="{1AB8AF20-6BB9-4A75-971C-23F432E5BCA8}"/>
    <cellStyle name="Normal 2 6 11 4" xfId="6271" xr:uid="{2D73DCDC-C8E9-41FF-BC5B-9D237EA0DCBA}"/>
    <cellStyle name="Normal 2 6 11 4 2" xfId="15099" xr:uid="{7F2DA7AC-D33B-4B5F-A892-6DAA2A21003C}"/>
    <cellStyle name="Normal 2 6 11 5" xfId="15094" xr:uid="{87539BA6-69A2-4BC3-9FB2-22F8120FF40E}"/>
    <cellStyle name="Normal 2 6 12" xfId="6272" xr:uid="{8944BAA8-8836-4140-98DE-EEF660AC3CFD}"/>
    <cellStyle name="Normal 2 6 12 2" xfId="6273" xr:uid="{13266F63-6A85-4BE3-BA91-29A7B0225930}"/>
    <cellStyle name="Normal 2 6 12 2 2" xfId="6274" xr:uid="{781675C1-9343-4BEA-9C49-A3941C3F7A46}"/>
    <cellStyle name="Normal 2 6 12 2 2 2" xfId="15102" xr:uid="{061B38BD-CF6B-46A7-9907-CF90C3EEAB93}"/>
    <cellStyle name="Normal 2 6 12 2 3" xfId="6275" xr:uid="{85447C3B-4A7D-4D3D-8CB0-3C855ED49462}"/>
    <cellStyle name="Normal 2 6 12 2 3 2" xfId="15103" xr:uid="{47765D17-CF79-4E06-A8E5-8608243EB37F}"/>
    <cellStyle name="Normal 2 6 12 2 4" xfId="15101" xr:uid="{923C71DE-6071-4156-8210-289D5D8BD386}"/>
    <cellStyle name="Normal 2 6 12 3" xfId="6276" xr:uid="{D7F34C85-D4BE-4BDE-BCD0-5DF43AFBD3CD}"/>
    <cellStyle name="Normal 2 6 12 3 2" xfId="15104" xr:uid="{7730D2B3-4791-4AC1-B2E7-51FAAE93D7E8}"/>
    <cellStyle name="Normal 2 6 12 4" xfId="6277" xr:uid="{B21BB413-2B99-414F-A7DB-24ABC91CFA6F}"/>
    <cellStyle name="Normal 2 6 12 4 2" xfId="15105" xr:uid="{56150F0A-DB80-4763-9FCA-CEFAB8C6C339}"/>
    <cellStyle name="Normal 2 6 12 5" xfId="15100" xr:uid="{07F77302-9507-43E4-871F-EF13083B5465}"/>
    <cellStyle name="Normal 2 6 13" xfId="6278" xr:uid="{7C80C0A0-7D83-4FD9-B23A-82BCD614782B}"/>
    <cellStyle name="Normal 2 6 13 2" xfId="6279" xr:uid="{FBBA712B-EA12-4A79-912F-3CAC1E5D8DC8}"/>
    <cellStyle name="Normal 2 6 13 2 2" xfId="6280" xr:uid="{92409929-9FF9-43C0-B6E3-66EDF3E2CC2A}"/>
    <cellStyle name="Normal 2 6 13 2 2 2" xfId="15108" xr:uid="{37D2FEB8-EF71-49D7-AFB1-0E82DA80D6BB}"/>
    <cellStyle name="Normal 2 6 13 2 3" xfId="6281" xr:uid="{CF65715F-D74A-4FDD-A61A-AE1838E56AA9}"/>
    <cellStyle name="Normal 2 6 13 2 3 2" xfId="15109" xr:uid="{2FBAE7B1-0B99-4CD4-AD3B-40A3A8441668}"/>
    <cellStyle name="Normal 2 6 13 2 4" xfId="15107" xr:uid="{B8F417E6-0AD4-401E-8E26-8A734F3A9E0F}"/>
    <cellStyle name="Normal 2 6 13 3" xfId="6282" xr:uid="{83B09990-CE68-4C3C-9BAE-826F74A2F992}"/>
    <cellStyle name="Normal 2 6 13 3 2" xfId="15110" xr:uid="{FAC2DD1D-A9AE-445A-A968-28E46A9E9184}"/>
    <cellStyle name="Normal 2 6 13 4" xfId="6283" xr:uid="{0F5D6D59-9068-4B81-A348-A7AF864FFB59}"/>
    <cellStyle name="Normal 2 6 13 4 2" xfId="15111" xr:uid="{6C4DCFAD-D34F-49C3-AFB6-E5FFEC16CB9B}"/>
    <cellStyle name="Normal 2 6 13 5" xfId="15106" xr:uid="{A0D4BB48-3B1C-4E6F-8164-996005DA6A09}"/>
    <cellStyle name="Normal 2 6 14" xfId="6284" xr:uid="{1EB3318D-93E4-41D4-818A-F4A58C14FE55}"/>
    <cellStyle name="Normal 2 6 14 2" xfId="6285" xr:uid="{50656E5C-5FA0-4D12-A35E-8796D8DF993F}"/>
    <cellStyle name="Normal 2 6 14 2 2" xfId="6286" xr:uid="{67AB5C93-6241-4BD5-B62C-71DA5CD27B68}"/>
    <cellStyle name="Normal 2 6 14 2 2 2" xfId="15114" xr:uid="{3E6340EA-E0E5-49FE-8545-E683E7249BB9}"/>
    <cellStyle name="Normal 2 6 14 2 3" xfId="6287" xr:uid="{7BF0DBF5-53DA-4DDB-99D5-FBA10C0C8391}"/>
    <cellStyle name="Normal 2 6 14 2 3 2" xfId="15115" xr:uid="{1A10EAFD-2114-4214-8799-9AC54232077D}"/>
    <cellStyle name="Normal 2 6 14 2 4" xfId="15113" xr:uid="{C3AAD6C3-BCC6-459F-A9D2-5B145101F317}"/>
    <cellStyle name="Normal 2 6 14 3" xfId="6288" xr:uid="{A29124B9-902B-494F-AEFC-6A3D122D92A8}"/>
    <cellStyle name="Normal 2 6 14 3 2" xfId="15116" xr:uid="{D8AC6690-CDBF-4AAB-9D94-687B31F5E067}"/>
    <cellStyle name="Normal 2 6 14 4" xfId="6289" xr:uid="{7E60A93A-7794-4925-8A56-DC27E0F259DE}"/>
    <cellStyle name="Normal 2 6 14 4 2" xfId="15117" xr:uid="{C7BB39EC-35ED-4FE2-BCD1-0FC3D6B1E84D}"/>
    <cellStyle name="Normal 2 6 14 5" xfId="15112" xr:uid="{1B30CC08-76C1-4BCB-8CC2-1F8227572CB9}"/>
    <cellStyle name="Normal 2 6 15" xfId="6290" xr:uid="{3FC54584-FC0B-47B4-A08C-1DC68CDB5105}"/>
    <cellStyle name="Normal 2 6 15 2" xfId="6291" xr:uid="{7F2E2320-2484-4689-93C3-D4D5221CAE99}"/>
    <cellStyle name="Normal 2 6 15 2 2" xfId="6292" xr:uid="{9C2514F5-AAA9-4202-816E-A84903AC5A97}"/>
    <cellStyle name="Normal 2 6 15 2 2 2" xfId="15120" xr:uid="{A9658DFC-2B31-4626-87CE-4B60FF332945}"/>
    <cellStyle name="Normal 2 6 15 2 3" xfId="6293" xr:uid="{A1DBA3A2-D92C-4D0F-9FC0-11C93345EFEE}"/>
    <cellStyle name="Normal 2 6 15 2 3 2" xfId="15121" xr:uid="{AE68E9BC-1AC9-4684-BE0B-EAC681D390D6}"/>
    <cellStyle name="Normal 2 6 15 2 4" xfId="15119" xr:uid="{BC479BEC-7ECF-4ABD-B3ED-6C20FC8912F9}"/>
    <cellStyle name="Normal 2 6 15 3" xfId="6294" xr:uid="{391DD498-6430-425A-AFFC-AFB6B00F963F}"/>
    <cellStyle name="Normal 2 6 15 3 2" xfId="15122" xr:uid="{34AF0CC7-CDCF-4CF3-A10D-E71CF776C87C}"/>
    <cellStyle name="Normal 2 6 15 4" xfId="6295" xr:uid="{941EBD69-3A00-4018-B6D5-7E3CEC818C25}"/>
    <cellStyle name="Normal 2 6 15 4 2" xfId="15123" xr:uid="{B1262274-328A-4E48-B3C0-726CD77D2FA0}"/>
    <cellStyle name="Normal 2 6 15 5" xfId="15118" xr:uid="{FE52C788-E19A-4232-8B40-F2600ECB84AE}"/>
    <cellStyle name="Normal 2 6 16" xfId="6296" xr:uid="{E17D9982-356B-41FD-B869-30831CB6126B}"/>
    <cellStyle name="Normal 2 6 16 2" xfId="6297" xr:uid="{9B75CC11-63BA-4680-90AE-2124BC5B756B}"/>
    <cellStyle name="Normal 2 6 16 2 2" xfId="6298" xr:uid="{656C6DF3-1E9E-45A2-A7DE-56870FCB7CF0}"/>
    <cellStyle name="Normal 2 6 16 2 2 2" xfId="15126" xr:uid="{290F61B5-4265-48C5-B340-D8511844F319}"/>
    <cellStyle name="Normal 2 6 16 2 3" xfId="6299" xr:uid="{559BCC48-6E2F-4767-A5D1-8F125CBE5BE6}"/>
    <cellStyle name="Normal 2 6 16 2 3 2" xfId="15127" xr:uid="{1C3D90B7-E19B-4168-B0E0-02EE64F27D70}"/>
    <cellStyle name="Normal 2 6 16 2 4" xfId="15125" xr:uid="{F5A6F8D8-FA13-41AF-879F-98AF2B899856}"/>
    <cellStyle name="Normal 2 6 16 3" xfId="6300" xr:uid="{08AF9E08-8100-48AD-80CB-9334320D3884}"/>
    <cellStyle name="Normal 2 6 16 3 2" xfId="15128" xr:uid="{525E721B-464A-4D20-9C1F-E3FF42E8CCE1}"/>
    <cellStyle name="Normal 2 6 16 4" xfId="6301" xr:uid="{2595DE13-7F03-4A8F-BF3A-F6BEDEFE2BD0}"/>
    <cellStyle name="Normal 2 6 16 4 2" xfId="15129" xr:uid="{3BDF94F8-53E3-49DE-967F-B45D8F013E27}"/>
    <cellStyle name="Normal 2 6 16 5" xfId="15124" xr:uid="{14760B66-7BCF-43D6-B714-81398D39C2D1}"/>
    <cellStyle name="Normal 2 6 17" xfId="6302" xr:uid="{80E316AB-A264-4AB7-9B7A-A91E59D3E868}"/>
    <cellStyle name="Normal 2 6 17 2" xfId="6303" xr:uid="{79FBC6E2-41B3-456C-A4A2-CA577092ED36}"/>
    <cellStyle name="Normal 2 6 17 2 2" xfId="6304" xr:uid="{674B56F0-35BC-4E3A-BD1D-F17B3E69FB99}"/>
    <cellStyle name="Normal 2 6 17 2 2 2" xfId="15132" xr:uid="{4E0230EB-5F04-4687-A24E-C1C404E68C6B}"/>
    <cellStyle name="Normal 2 6 17 2 3" xfId="6305" xr:uid="{8568CE71-0E8A-4600-B1B6-5FC0F9E740D2}"/>
    <cellStyle name="Normal 2 6 17 2 3 2" xfId="15133" xr:uid="{10DDCB4B-3EF1-4C0C-90C5-34653EDBC16A}"/>
    <cellStyle name="Normal 2 6 17 2 4" xfId="15131" xr:uid="{9CB98C2B-19F1-4811-8490-73C1E0940938}"/>
    <cellStyle name="Normal 2 6 17 3" xfId="6306" xr:uid="{30803D19-95A8-4419-ADAF-C7C91F928624}"/>
    <cellStyle name="Normal 2 6 17 3 2" xfId="15134" xr:uid="{B70E8A93-5E7C-47BA-85EE-E55A35A61E49}"/>
    <cellStyle name="Normal 2 6 17 4" xfId="6307" xr:uid="{301DB2AA-C310-4264-AFFB-2ADB42D057C8}"/>
    <cellStyle name="Normal 2 6 17 4 2" xfId="15135" xr:uid="{EB3E6F23-226A-4382-B74B-17506CB09089}"/>
    <cellStyle name="Normal 2 6 17 5" xfId="15130" xr:uid="{3BBFCB0A-07D7-47D4-9C77-57042CBBCC1A}"/>
    <cellStyle name="Normal 2 6 18" xfId="6308" xr:uid="{5DF7FF4F-C527-49A4-93F3-8FD8165B01EB}"/>
    <cellStyle name="Normal 2 6 18 2" xfId="6309" xr:uid="{E207776C-CA8B-4A0B-B8C1-459A5D049E39}"/>
    <cellStyle name="Normal 2 6 18 2 2" xfId="6310" xr:uid="{ABF4D57F-7727-4F23-9C5B-9457DE06A20E}"/>
    <cellStyle name="Normal 2 6 18 2 2 2" xfId="15138" xr:uid="{493EEB30-F552-4CFA-BDE0-E99ABF98849D}"/>
    <cellStyle name="Normal 2 6 18 2 3" xfId="6311" xr:uid="{AECC32BF-EC59-45B5-AAE0-C762B62A8635}"/>
    <cellStyle name="Normal 2 6 18 2 3 2" xfId="15139" xr:uid="{1B6D5A42-BC89-4AAA-8AA7-94DA8025AFA1}"/>
    <cellStyle name="Normal 2 6 18 2 4" xfId="15137" xr:uid="{9177E7A8-623C-482D-8FCA-134EC2A69943}"/>
    <cellStyle name="Normal 2 6 18 3" xfId="6312" xr:uid="{AE919CB7-1521-4022-9F37-A497D6189C69}"/>
    <cellStyle name="Normal 2 6 18 3 2" xfId="15140" xr:uid="{F2038ECD-FD7D-4830-80E9-A0F6E938B843}"/>
    <cellStyle name="Normal 2 6 18 4" xfId="6313" xr:uid="{BF498210-B20E-4F14-9648-96135569B3E0}"/>
    <cellStyle name="Normal 2 6 18 4 2" xfId="15141" xr:uid="{A4B0FCAF-C003-49B0-98A4-BCF59DF87895}"/>
    <cellStyle name="Normal 2 6 18 5" xfId="15136" xr:uid="{5C6879E4-8975-4264-BB0D-7352A88C4222}"/>
    <cellStyle name="Normal 2 6 19" xfId="6314" xr:uid="{1AFBE36F-3EF0-4132-91D2-F246382989FE}"/>
    <cellStyle name="Normal 2 6 19 2" xfId="6315" xr:uid="{A311DCAB-3EA0-4696-BA4F-05EF0A911A23}"/>
    <cellStyle name="Normal 2 6 19 2 2" xfId="6316" xr:uid="{FA376F4F-9732-47A8-A18F-0BF408E5D6C3}"/>
    <cellStyle name="Normal 2 6 19 2 2 2" xfId="15144" xr:uid="{8E248F20-E15E-4373-80BD-E1D983EF3460}"/>
    <cellStyle name="Normal 2 6 19 2 3" xfId="6317" xr:uid="{E8228C47-E4A1-46CA-BDDF-45A8A5B6B130}"/>
    <cellStyle name="Normal 2 6 19 2 3 2" xfId="15145" xr:uid="{3CE3D79D-1B87-4C48-BC08-A927DA41EDFC}"/>
    <cellStyle name="Normal 2 6 19 2 4" xfId="15143" xr:uid="{A11F33AD-D1F8-4E28-AEF8-8BF2D47361CF}"/>
    <cellStyle name="Normal 2 6 19 3" xfId="6318" xr:uid="{2F360AC4-E6F8-446F-A038-A4AE0AB9CD30}"/>
    <cellStyle name="Normal 2 6 19 3 2" xfId="15146" xr:uid="{8B17BBFF-36F6-40C8-9F6B-7E45D4EE2D04}"/>
    <cellStyle name="Normal 2 6 19 4" xfId="6319" xr:uid="{8282A73D-DF7E-41B1-A52C-19631AD732D2}"/>
    <cellStyle name="Normal 2 6 19 4 2" xfId="15147" xr:uid="{DA775FE3-B10C-452A-B72C-6983C4E79D2C}"/>
    <cellStyle name="Normal 2 6 19 5" xfId="15142" xr:uid="{1FFDD885-2909-4091-B5AE-0D8872B4BBA1}"/>
    <cellStyle name="Normal 2 6 2" xfId="6320" xr:uid="{33F7A267-2B03-4FC5-B272-2AA50D8F804B}"/>
    <cellStyle name="Normal 2 6 2 10" xfId="6321" xr:uid="{7C812432-F12D-4B8D-B204-86ABF8AA150A}"/>
    <cellStyle name="Normal 2 6 2 10 2" xfId="6322" xr:uid="{73E47ED2-3F39-4AFB-9245-62D3A1A92196}"/>
    <cellStyle name="Normal 2 6 2 10 2 2" xfId="6323" xr:uid="{59431630-111A-42F9-85BF-F84F55B80D59}"/>
    <cellStyle name="Normal 2 6 2 10 2 2 2" xfId="15151" xr:uid="{1CBD5592-4780-4688-AA64-4281C9B69C60}"/>
    <cellStyle name="Normal 2 6 2 10 2 3" xfId="6324" xr:uid="{3BD0CE9A-4840-4096-9A29-D23B4CA43236}"/>
    <cellStyle name="Normal 2 6 2 10 2 3 2" xfId="15152" xr:uid="{B5609FF4-EDA8-49FB-8C9C-59DEC3EFEAAF}"/>
    <cellStyle name="Normal 2 6 2 10 2 4" xfId="15150" xr:uid="{9C92E298-5B68-4252-B716-9482B2E07951}"/>
    <cellStyle name="Normal 2 6 2 10 3" xfId="6325" xr:uid="{19FDA5AB-3B11-43F7-A4DC-C7C3AD78ED25}"/>
    <cellStyle name="Normal 2 6 2 10 3 2" xfId="15153" xr:uid="{B9951411-9F8E-490B-A474-7623DE53514C}"/>
    <cellStyle name="Normal 2 6 2 10 4" xfId="6326" xr:uid="{A7D79FCC-E838-489F-BB97-72308A5A0757}"/>
    <cellStyle name="Normal 2 6 2 10 4 2" xfId="15154" xr:uid="{26BB2867-19E0-40D3-8CC7-92D850C61AE1}"/>
    <cellStyle name="Normal 2 6 2 10 5" xfId="15149" xr:uid="{FCF7BC1F-13E4-4D47-BEA7-3E657006DFE6}"/>
    <cellStyle name="Normal 2 6 2 11" xfId="6327" xr:uid="{A207ED49-049A-4461-83CF-387D615EAC3A}"/>
    <cellStyle name="Normal 2 6 2 11 2" xfId="6328" xr:uid="{8A230D4D-FF89-4BD7-B83F-B6D0C33A3446}"/>
    <cellStyle name="Normal 2 6 2 11 2 2" xfId="6329" xr:uid="{A4F7CAD3-A8CA-4ABE-BC9D-B9B33D913A31}"/>
    <cellStyle name="Normal 2 6 2 11 2 2 2" xfId="15157" xr:uid="{15A3F0E4-B6FA-4136-956A-87B7FC580631}"/>
    <cellStyle name="Normal 2 6 2 11 2 3" xfId="6330" xr:uid="{E9A722C8-8FD6-4FBB-9DC8-F29CEA4F5D59}"/>
    <cellStyle name="Normal 2 6 2 11 2 3 2" xfId="15158" xr:uid="{3D40F190-8819-47E0-8DDA-9312374B9803}"/>
    <cellStyle name="Normal 2 6 2 11 2 4" xfId="15156" xr:uid="{B6C6A0EE-4AA8-4BEA-B805-34AAFF380A2A}"/>
    <cellStyle name="Normal 2 6 2 11 3" xfId="6331" xr:uid="{AC0C039E-49DD-497A-82EE-CC8EE84AD694}"/>
    <cellStyle name="Normal 2 6 2 11 3 2" xfId="15159" xr:uid="{90032E56-650E-46EB-868F-44DFEF322DD3}"/>
    <cellStyle name="Normal 2 6 2 11 4" xfId="6332" xr:uid="{DAE26EA5-77A7-4B4B-B287-1123AB29FD22}"/>
    <cellStyle name="Normal 2 6 2 11 4 2" xfId="15160" xr:uid="{C1E1673D-0599-43CA-95B4-98A60CFC0892}"/>
    <cellStyle name="Normal 2 6 2 11 5" xfId="15155" xr:uid="{20D18FAE-5398-4CEB-82D2-A7D8FEA46530}"/>
    <cellStyle name="Normal 2 6 2 12" xfId="6333" xr:uid="{91198EF7-B1A2-4DF7-8D55-14E5B5A3FA89}"/>
    <cellStyle name="Normal 2 6 2 12 2" xfId="6334" xr:uid="{06601E46-F480-41D6-85B3-F858E5984223}"/>
    <cellStyle name="Normal 2 6 2 12 2 2" xfId="6335" xr:uid="{F874F7C2-C51E-4C93-9D05-E01F79918D5E}"/>
    <cellStyle name="Normal 2 6 2 12 2 2 2" xfId="15163" xr:uid="{7FB26F8F-92AA-41CF-91E3-FFA11FE4648A}"/>
    <cellStyle name="Normal 2 6 2 12 2 3" xfId="6336" xr:uid="{9BC6A25E-35FD-477B-9E55-A5AD9820CA22}"/>
    <cellStyle name="Normal 2 6 2 12 2 3 2" xfId="15164" xr:uid="{FCF2F555-95E1-48AA-892A-FB63C73B90DB}"/>
    <cellStyle name="Normal 2 6 2 12 2 4" xfId="15162" xr:uid="{A3F897E6-7E4D-4073-BE90-240C2E68012B}"/>
    <cellStyle name="Normal 2 6 2 12 3" xfId="6337" xr:uid="{B7E98F56-CBA4-47E5-9901-B03B8B924B1B}"/>
    <cellStyle name="Normal 2 6 2 12 3 2" xfId="15165" xr:uid="{16BF7DB6-EBAF-47F2-AC8F-B8BE4F9419BC}"/>
    <cellStyle name="Normal 2 6 2 12 4" xfId="6338" xr:uid="{E65CB615-4406-42BE-A67C-4388402B5A73}"/>
    <cellStyle name="Normal 2 6 2 12 4 2" xfId="15166" xr:uid="{26524BD9-19D0-4599-B9CA-D05336D90E95}"/>
    <cellStyle name="Normal 2 6 2 12 5" xfId="15161" xr:uid="{2375D928-FCFA-47F0-80AA-C5E0BFD3D9D3}"/>
    <cellStyle name="Normal 2 6 2 13" xfId="6339" xr:uid="{3AF07584-54B3-43B1-8B70-6B757EED8FF5}"/>
    <cellStyle name="Normal 2 6 2 13 2" xfId="6340" xr:uid="{548D31C0-2D8E-4193-9974-632B878753CC}"/>
    <cellStyle name="Normal 2 6 2 13 2 2" xfId="6341" xr:uid="{039208A0-220F-4D03-8B5E-66CCE14F4017}"/>
    <cellStyle name="Normal 2 6 2 13 2 2 2" xfId="15169" xr:uid="{E45D1216-784F-41D2-A245-EFF54474F7A6}"/>
    <cellStyle name="Normal 2 6 2 13 2 3" xfId="6342" xr:uid="{02CEAECD-636C-486E-B5ED-623F5D5D0EA4}"/>
    <cellStyle name="Normal 2 6 2 13 2 3 2" xfId="15170" xr:uid="{7B290372-1FCC-40CF-A188-7B3046559EF6}"/>
    <cellStyle name="Normal 2 6 2 13 2 4" xfId="15168" xr:uid="{BFF2A854-1E99-471D-AAB4-DA1AB39B4525}"/>
    <cellStyle name="Normal 2 6 2 13 3" xfId="6343" xr:uid="{CCDDF31E-75D6-44E5-9765-9B059FA2477A}"/>
    <cellStyle name="Normal 2 6 2 13 3 2" xfId="15171" xr:uid="{186894E8-7747-4404-84C8-1E9FFEB3E6D0}"/>
    <cellStyle name="Normal 2 6 2 13 4" xfId="6344" xr:uid="{77ADF8C0-3F16-4E4C-9289-E31BAB99C2A2}"/>
    <cellStyle name="Normal 2 6 2 13 4 2" xfId="15172" xr:uid="{EF80169C-3985-4304-A60F-B1FAC2270323}"/>
    <cellStyle name="Normal 2 6 2 13 5" xfId="15167" xr:uid="{391DF06B-F8F9-47A8-B647-72CEAEA37CB0}"/>
    <cellStyle name="Normal 2 6 2 14" xfId="6345" xr:uid="{981CF297-E727-4E04-AEED-A78242DBB1DE}"/>
    <cellStyle name="Normal 2 6 2 14 2" xfId="6346" xr:uid="{3242A5A9-0B18-40A7-9AF5-2447220D2579}"/>
    <cellStyle name="Normal 2 6 2 14 2 2" xfId="6347" xr:uid="{594CEAF3-283D-4F60-82DD-93037CBA3EA9}"/>
    <cellStyle name="Normal 2 6 2 14 2 2 2" xfId="15175" xr:uid="{6CBF030E-D826-4029-8353-5C95A0315A64}"/>
    <cellStyle name="Normal 2 6 2 14 2 3" xfId="6348" xr:uid="{D4FD3EFC-E9A5-42C6-94F7-A6C5AC2C607D}"/>
    <cellStyle name="Normal 2 6 2 14 2 3 2" xfId="15176" xr:uid="{112E0495-59A5-479F-B06C-5C7CEFDC5D42}"/>
    <cellStyle name="Normal 2 6 2 14 2 4" xfId="15174" xr:uid="{A3AB4A0C-5892-4C0A-8FED-D79B62792B36}"/>
    <cellStyle name="Normal 2 6 2 14 3" xfId="6349" xr:uid="{63FF8133-F142-4FFC-9E96-EA6C1B70B22B}"/>
    <cellStyle name="Normal 2 6 2 14 3 2" xfId="15177" xr:uid="{69F4F801-D6E2-4DF0-A28F-98722BC58168}"/>
    <cellStyle name="Normal 2 6 2 14 4" xfId="6350" xr:uid="{AEABF9BA-3ADB-4EFB-81CB-E8087FDD44D0}"/>
    <cellStyle name="Normal 2 6 2 14 4 2" xfId="15178" xr:uid="{192AFDC3-BC44-430C-8F01-380CDB83297B}"/>
    <cellStyle name="Normal 2 6 2 14 5" xfId="15173" xr:uid="{40B94386-59B3-4A98-9FC3-FDD354A0CEC4}"/>
    <cellStyle name="Normal 2 6 2 15" xfId="6351" xr:uid="{99CB1005-FB22-41FD-A38E-7E7C4BAEBCE6}"/>
    <cellStyle name="Normal 2 6 2 15 2" xfId="6352" xr:uid="{CEE9D306-E7AF-40C6-A813-F211A023DB5B}"/>
    <cellStyle name="Normal 2 6 2 15 2 2" xfId="6353" xr:uid="{625FD85F-82A7-467E-B8A9-08137BE37291}"/>
    <cellStyle name="Normal 2 6 2 15 2 2 2" xfId="15181" xr:uid="{985FD816-3058-432B-B2CB-4B864098D65E}"/>
    <cellStyle name="Normal 2 6 2 15 2 3" xfId="6354" xr:uid="{45E4C176-BAFB-444C-9DA4-62B2AD1DE5F7}"/>
    <cellStyle name="Normal 2 6 2 15 2 3 2" xfId="15182" xr:uid="{BF8DCED3-BF24-4B49-9C83-D8860E89717F}"/>
    <cellStyle name="Normal 2 6 2 15 2 4" xfId="15180" xr:uid="{46EEAC26-0C8B-4191-A1F5-863EF9076FF3}"/>
    <cellStyle name="Normal 2 6 2 15 3" xfId="6355" xr:uid="{8489A590-629F-4125-ACB6-8D58C44397C1}"/>
    <cellStyle name="Normal 2 6 2 15 3 2" xfId="15183" xr:uid="{2AFE0743-4DBA-4736-B238-FD509AC41EAF}"/>
    <cellStyle name="Normal 2 6 2 15 4" xfId="6356" xr:uid="{D88AA37B-2D4D-4EDD-A4F0-59733BD0545D}"/>
    <cellStyle name="Normal 2 6 2 15 4 2" xfId="15184" xr:uid="{6CA4A25F-BCC2-4768-8D31-F89A25178602}"/>
    <cellStyle name="Normal 2 6 2 15 5" xfId="15179" xr:uid="{479658F2-DF21-44AA-A5D3-FB4A2E7BE71A}"/>
    <cellStyle name="Normal 2 6 2 16" xfId="6357" xr:uid="{073EA729-438C-445F-88BE-25474FD510FC}"/>
    <cellStyle name="Normal 2 6 2 16 2" xfId="6358" xr:uid="{7EE463AC-B3AF-46C9-ACEE-7E0134098ED6}"/>
    <cellStyle name="Normal 2 6 2 16 2 2" xfId="6359" xr:uid="{1A205C64-0506-4873-A03F-D2C7D45D99F3}"/>
    <cellStyle name="Normal 2 6 2 16 2 2 2" xfId="15187" xr:uid="{24AC87B7-2348-4B71-99B9-287777E70EE3}"/>
    <cellStyle name="Normal 2 6 2 16 2 3" xfId="6360" xr:uid="{D86561D2-E6F2-4CF7-A4B6-D2D758BC7847}"/>
    <cellStyle name="Normal 2 6 2 16 2 3 2" xfId="15188" xr:uid="{FB9A4CC6-A759-4B61-83A5-35B988D0D9F9}"/>
    <cellStyle name="Normal 2 6 2 16 2 4" xfId="15186" xr:uid="{6A9AB094-B2B3-4F3F-AE97-B05B2D31283A}"/>
    <cellStyle name="Normal 2 6 2 16 3" xfId="6361" xr:uid="{F4D39572-1432-4F8B-BB52-D67C41AE47A7}"/>
    <cellStyle name="Normal 2 6 2 16 3 2" xfId="15189" xr:uid="{DF65549F-7F16-43D0-99E7-A55322A88E04}"/>
    <cellStyle name="Normal 2 6 2 16 4" xfId="6362" xr:uid="{A0787142-6100-4F0E-968D-591F6CA275B3}"/>
    <cellStyle name="Normal 2 6 2 16 4 2" xfId="15190" xr:uid="{2B0F3172-50A9-4CF3-832A-9EE99D80F77B}"/>
    <cellStyle name="Normal 2 6 2 16 5" xfId="15185" xr:uid="{6F6E39D5-3861-47D4-A591-E9CD0E508030}"/>
    <cellStyle name="Normal 2 6 2 17" xfId="6363" xr:uid="{252CD3D7-49FD-44CE-B9DE-D620E8258D97}"/>
    <cellStyle name="Normal 2 6 2 17 2" xfId="6364" xr:uid="{3B2BD6FA-255A-43BE-BE1A-BA8AC73B2265}"/>
    <cellStyle name="Normal 2 6 2 17 2 2" xfId="6365" xr:uid="{3B16EDE0-B254-4C5E-9775-57EC182E4E76}"/>
    <cellStyle name="Normal 2 6 2 17 2 2 2" xfId="15193" xr:uid="{B476A0F4-9077-40D7-9103-8AE43843DEC5}"/>
    <cellStyle name="Normal 2 6 2 17 2 3" xfId="6366" xr:uid="{9F19232C-9D4E-4796-9DAC-3A608F8FF615}"/>
    <cellStyle name="Normal 2 6 2 17 2 3 2" xfId="15194" xr:uid="{6EA0429A-0A5D-4020-B879-CA4A9C02137F}"/>
    <cellStyle name="Normal 2 6 2 17 2 4" xfId="15192" xr:uid="{2893518B-CF91-496A-8364-A09FA61D039E}"/>
    <cellStyle name="Normal 2 6 2 17 3" xfId="6367" xr:uid="{91CDED6B-334F-46EA-8707-654D2549AC82}"/>
    <cellStyle name="Normal 2 6 2 17 3 2" xfId="15195" xr:uid="{93F33386-863C-4693-AD61-F1CE8EBAE475}"/>
    <cellStyle name="Normal 2 6 2 17 4" xfId="6368" xr:uid="{8022B186-30C9-4852-9EE2-100B5C336915}"/>
    <cellStyle name="Normal 2 6 2 17 4 2" xfId="15196" xr:uid="{00C440A1-AA11-4000-947C-DD5F405EB7D2}"/>
    <cellStyle name="Normal 2 6 2 17 5" xfId="15191" xr:uid="{82F31DC6-38A6-4288-90B6-021CB40FB174}"/>
    <cellStyle name="Normal 2 6 2 18" xfId="6369" xr:uid="{26242A2A-EEBD-499D-BCC0-CFD4A51AD4A2}"/>
    <cellStyle name="Normal 2 6 2 18 2" xfId="6370" xr:uid="{57399245-B077-45E9-B2DE-9B8D61149D48}"/>
    <cellStyle name="Normal 2 6 2 18 2 2" xfId="6371" xr:uid="{A7CDAA98-8A22-4B25-AC7D-F5949247A820}"/>
    <cellStyle name="Normal 2 6 2 18 2 2 2" xfId="15199" xr:uid="{19C1E588-70BF-417A-BE93-F598BEB7484F}"/>
    <cellStyle name="Normal 2 6 2 18 2 3" xfId="6372" xr:uid="{02821CAA-B191-4E97-8ECA-CC3D7BECED38}"/>
    <cellStyle name="Normal 2 6 2 18 2 3 2" xfId="15200" xr:uid="{3396FB2C-06B1-430A-9710-8F65E41A550E}"/>
    <cellStyle name="Normal 2 6 2 18 2 4" xfId="15198" xr:uid="{DD496C95-818D-403D-ABD1-A64A138CBAA8}"/>
    <cellStyle name="Normal 2 6 2 18 3" xfId="6373" xr:uid="{1C407787-392A-40FD-B3B4-F13D89F3DB4A}"/>
    <cellStyle name="Normal 2 6 2 18 3 2" xfId="15201" xr:uid="{545B8B32-E69F-4F00-9599-48743427CBE9}"/>
    <cellStyle name="Normal 2 6 2 18 4" xfId="6374" xr:uid="{7DAC8040-4CFD-4556-B3FC-763E905433B9}"/>
    <cellStyle name="Normal 2 6 2 18 4 2" xfId="15202" xr:uid="{358789DD-7221-4DB9-8790-21DD51C28E69}"/>
    <cellStyle name="Normal 2 6 2 18 5" xfId="15197" xr:uid="{A3ED8DDE-83DE-4A18-AB02-0DE0D53ED466}"/>
    <cellStyle name="Normal 2 6 2 19" xfId="6375" xr:uid="{C7BD7085-DB00-4AA1-B0AD-6610EE6ED87E}"/>
    <cellStyle name="Normal 2 6 2 19 2" xfId="6376" xr:uid="{455B0431-01B5-4669-A558-F1F39EE7F2EC}"/>
    <cellStyle name="Normal 2 6 2 19 2 2" xfId="6377" xr:uid="{F2DD9B88-CDED-470F-B467-017FAB0E2230}"/>
    <cellStyle name="Normal 2 6 2 19 2 2 2" xfId="15205" xr:uid="{64166844-9F2B-41AF-ABEE-810A42FDD0AF}"/>
    <cellStyle name="Normal 2 6 2 19 2 3" xfId="6378" xr:uid="{1413080E-9C0A-4124-8A16-BAD4D122C507}"/>
    <cellStyle name="Normal 2 6 2 19 2 3 2" xfId="15206" xr:uid="{3EF2751F-D3CE-4960-9562-554020251D9A}"/>
    <cellStyle name="Normal 2 6 2 19 2 4" xfId="15204" xr:uid="{A7CEE41E-0280-43DE-A323-CE0316966E83}"/>
    <cellStyle name="Normal 2 6 2 19 3" xfId="6379" xr:uid="{B429380E-2CA2-4F0C-941A-72C334504445}"/>
    <cellStyle name="Normal 2 6 2 19 3 2" xfId="15207" xr:uid="{331C4268-360B-4947-952C-B555CA646F2B}"/>
    <cellStyle name="Normal 2 6 2 19 4" xfId="6380" xr:uid="{E8001157-C465-4F0C-8422-383B78F238EA}"/>
    <cellStyle name="Normal 2 6 2 19 4 2" xfId="15208" xr:uid="{DEEA0FD0-DFCF-4F96-AC62-93DF6D7F11B5}"/>
    <cellStyle name="Normal 2 6 2 19 5" xfId="15203" xr:uid="{0BA8ACAD-6517-49C4-99ED-A58C8AC9A7D2}"/>
    <cellStyle name="Normal 2 6 2 2" xfId="6381" xr:uid="{4C72727D-FB8D-49CD-B2DB-6D234D0B6045}"/>
    <cellStyle name="Normal 2 6 2 2 2" xfId="6382" xr:uid="{BFA2771D-88E2-475D-94D0-AA86F4387A35}"/>
    <cellStyle name="Normal 2 6 2 2 2 2" xfId="6383" xr:uid="{46DA70A9-0DDB-476B-8E81-5C3247E2E1D8}"/>
    <cellStyle name="Normal 2 6 2 2 2 2 2" xfId="15211" xr:uid="{A4A6658E-6B8E-4E00-BE39-4DE8050C23EB}"/>
    <cellStyle name="Normal 2 6 2 2 2 3" xfId="6384" xr:uid="{E4E1162D-5DB7-438B-BC4A-BFF445BFD7C3}"/>
    <cellStyle name="Normal 2 6 2 2 2 3 2" xfId="15212" xr:uid="{E404CB82-A149-4E39-B045-E836328EE1D7}"/>
    <cellStyle name="Normal 2 6 2 2 2 4" xfId="15210" xr:uid="{1442CA18-7B43-4D21-9F08-43C2435C58AE}"/>
    <cellStyle name="Normal 2 6 2 2 3" xfId="6385" xr:uid="{A13F314D-CEAB-43FD-90A8-7307CC06F3FE}"/>
    <cellStyle name="Normal 2 6 2 2 3 2" xfId="15213" xr:uid="{B75B9F4E-7131-4CE1-9C21-BE8AD3ABA5D8}"/>
    <cellStyle name="Normal 2 6 2 2 4" xfId="6386" xr:uid="{14CFE5A7-3A18-41C0-B94F-0E25330419CC}"/>
    <cellStyle name="Normal 2 6 2 2 4 2" xfId="15214" xr:uid="{45B8CB0F-0A5A-4B73-A7CE-C408CCF7C0A2}"/>
    <cellStyle name="Normal 2 6 2 2 5" xfId="15209" xr:uid="{057D86B6-BACA-459C-88A9-28BDA03C5B08}"/>
    <cellStyle name="Normal 2 6 2 20" xfId="6387" xr:uid="{EFEAE934-0BF6-471F-88DF-7B87D0961292}"/>
    <cellStyle name="Normal 2 6 2 20 2" xfId="6388" xr:uid="{0B184E68-95A2-44BF-A3C6-DB4EF82A21E0}"/>
    <cellStyle name="Normal 2 6 2 20 2 2" xfId="6389" xr:uid="{3637B952-3AE8-42B4-A116-9F78385383B0}"/>
    <cellStyle name="Normal 2 6 2 20 2 2 2" xfId="15217" xr:uid="{88760071-2EDE-414C-B3CC-E976EA8B7D24}"/>
    <cellStyle name="Normal 2 6 2 20 2 3" xfId="6390" xr:uid="{14DF5428-FC73-4B32-AE5E-8685A9E4B024}"/>
    <cellStyle name="Normal 2 6 2 20 2 3 2" xfId="15218" xr:uid="{B142FB4D-861A-4FE5-838C-CDE2304770D2}"/>
    <cellStyle name="Normal 2 6 2 20 2 4" xfId="15216" xr:uid="{1B44C8F7-D7CC-4592-B845-A2661445F249}"/>
    <cellStyle name="Normal 2 6 2 20 3" xfId="6391" xr:uid="{E8A0E550-2F70-4DFC-ADC1-FC3927D7F292}"/>
    <cellStyle name="Normal 2 6 2 20 3 2" xfId="15219" xr:uid="{BB6EA73D-F981-48A6-B5D5-134198A7840B}"/>
    <cellStyle name="Normal 2 6 2 20 4" xfId="6392" xr:uid="{EEA87FC9-7220-4359-BCA4-C0A8D0428E57}"/>
    <cellStyle name="Normal 2 6 2 20 4 2" xfId="15220" xr:uid="{1D660398-0F6F-42A3-9B11-56657D73A328}"/>
    <cellStyle name="Normal 2 6 2 20 5" xfId="15215" xr:uid="{012EB094-C99D-4BD0-8C43-8FC71A88AF1E}"/>
    <cellStyle name="Normal 2 6 2 21" xfId="6393" xr:uid="{5450CF7C-E192-4349-8C1B-E474469E9E48}"/>
    <cellStyle name="Normal 2 6 2 21 2" xfId="6394" xr:uid="{8B2F2C2F-3D45-4E6C-B695-05893B8C4238}"/>
    <cellStyle name="Normal 2 6 2 21 2 2" xfId="6395" xr:uid="{B93DFD41-BBD4-4C22-98E1-32D13B110686}"/>
    <cellStyle name="Normal 2 6 2 21 2 2 2" xfId="15223" xr:uid="{6BE4C58D-6AA6-4EF5-97EB-CDEC24091F1C}"/>
    <cellStyle name="Normal 2 6 2 21 2 3" xfId="6396" xr:uid="{683230EA-E2CF-4401-8F2F-8A2BCFB9AF94}"/>
    <cellStyle name="Normal 2 6 2 21 2 3 2" xfId="15224" xr:uid="{0BD5A104-0A52-4BB0-B59E-BA41729EFA83}"/>
    <cellStyle name="Normal 2 6 2 21 2 4" xfId="15222" xr:uid="{F9366818-E5FA-4E57-84EB-71ADEBCA5BD8}"/>
    <cellStyle name="Normal 2 6 2 21 3" xfId="6397" xr:uid="{D39E8E12-0007-4DA4-A412-3375465C6299}"/>
    <cellStyle name="Normal 2 6 2 21 3 2" xfId="15225" xr:uid="{4C5EAE9D-C4B6-4478-907B-355D1F933166}"/>
    <cellStyle name="Normal 2 6 2 21 4" xfId="6398" xr:uid="{122B90A5-AEE9-4D52-8E34-C01B816D494D}"/>
    <cellStyle name="Normal 2 6 2 21 4 2" xfId="15226" xr:uid="{F7C57ABD-61D6-48EC-87B5-A7A4D1DE29D5}"/>
    <cellStyle name="Normal 2 6 2 21 5" xfId="15221" xr:uid="{75FDC72D-2836-46F0-8009-A3573310090B}"/>
    <cellStyle name="Normal 2 6 2 22" xfId="6399" xr:uid="{9B681A8F-60B2-45E7-8FB4-BBFAFABF63B7}"/>
    <cellStyle name="Normal 2 6 2 22 2" xfId="6400" xr:uid="{A20323C2-EA22-488E-BBB3-8B8C0CA5563B}"/>
    <cellStyle name="Normal 2 6 2 22 2 2" xfId="6401" xr:uid="{A0FC69EA-EB87-4F3D-9ECC-487A6FBD09B1}"/>
    <cellStyle name="Normal 2 6 2 22 2 2 2" xfId="15229" xr:uid="{852C5574-65DD-4151-A565-7F6E21B20EC3}"/>
    <cellStyle name="Normal 2 6 2 22 2 3" xfId="6402" xr:uid="{968239C1-72AE-4F03-AE07-DFAA04B0A538}"/>
    <cellStyle name="Normal 2 6 2 22 2 3 2" xfId="15230" xr:uid="{E4D275F6-412E-4465-A0D0-5DCA8A7765FE}"/>
    <cellStyle name="Normal 2 6 2 22 2 4" xfId="15228" xr:uid="{9A19420C-F92D-47D7-8282-D046DF7711E7}"/>
    <cellStyle name="Normal 2 6 2 22 3" xfId="6403" xr:uid="{6BD01256-8C41-4965-8D09-1C67DEF4B135}"/>
    <cellStyle name="Normal 2 6 2 22 3 2" xfId="15231" xr:uid="{22D6BC4E-C0A6-4720-9D86-80F1F6824AC3}"/>
    <cellStyle name="Normal 2 6 2 22 4" xfId="6404" xr:uid="{610CFF40-1A85-4B13-B349-C38DA7555457}"/>
    <cellStyle name="Normal 2 6 2 22 4 2" xfId="15232" xr:uid="{6176D79B-61EF-43FB-8047-0FABE42B4E27}"/>
    <cellStyle name="Normal 2 6 2 22 5" xfId="15227" xr:uid="{7086489E-88C3-44C4-B22C-F7F420AD4847}"/>
    <cellStyle name="Normal 2 6 2 23" xfId="6405" xr:uid="{9E7C3AF9-8776-424C-A931-6BC8A93B7E8E}"/>
    <cellStyle name="Normal 2 6 2 23 2" xfId="6406" xr:uid="{F187FC32-172C-4D37-B2FE-C4D8AF389270}"/>
    <cellStyle name="Normal 2 6 2 23 2 2" xfId="6407" xr:uid="{1D053DF7-9363-4791-9321-36E0D72491AC}"/>
    <cellStyle name="Normal 2 6 2 23 2 2 2" xfId="15235" xr:uid="{C5C3A569-3FC1-433B-A5D6-2777DE0DE808}"/>
    <cellStyle name="Normal 2 6 2 23 2 3" xfId="6408" xr:uid="{94583C3A-B114-4773-A2AB-E121FD9C5BDE}"/>
    <cellStyle name="Normal 2 6 2 23 2 3 2" xfId="15236" xr:uid="{409724E5-6B95-4DDE-8E19-87A06797FBA0}"/>
    <cellStyle name="Normal 2 6 2 23 2 4" xfId="15234" xr:uid="{41828E68-6559-4F5D-AFD2-E4B716C8192F}"/>
    <cellStyle name="Normal 2 6 2 23 3" xfId="6409" xr:uid="{2000DFA2-157F-46E6-BC3C-E23988D514CE}"/>
    <cellStyle name="Normal 2 6 2 23 3 2" xfId="15237" xr:uid="{E85EB4DF-AB46-407E-9BFF-E31F680DFEC2}"/>
    <cellStyle name="Normal 2 6 2 23 4" xfId="6410" xr:uid="{8E704448-5C44-4FC3-A08F-170C83E62C9D}"/>
    <cellStyle name="Normal 2 6 2 23 4 2" xfId="15238" xr:uid="{3B8BCB12-D0E1-4BC3-A36F-539BA3226CC5}"/>
    <cellStyle name="Normal 2 6 2 23 5" xfId="15233" xr:uid="{27D9E7B3-6C16-4408-9839-62240CFFED4B}"/>
    <cellStyle name="Normal 2 6 2 24" xfId="6411" xr:uid="{631B7FD2-D466-4C01-BCE1-C2141F985069}"/>
    <cellStyle name="Normal 2 6 2 24 2" xfId="6412" xr:uid="{59A38B76-92C8-4777-ADC7-D65722330A9A}"/>
    <cellStyle name="Normal 2 6 2 24 2 2" xfId="6413" xr:uid="{4D0405BB-DC47-4535-A365-BC1709E67390}"/>
    <cellStyle name="Normal 2 6 2 24 2 2 2" xfId="15241" xr:uid="{DF4C23FD-5D19-4D83-97AF-C9721F80815D}"/>
    <cellStyle name="Normal 2 6 2 24 2 3" xfId="6414" xr:uid="{B210EE38-258C-47E5-B3D6-2EC338813AD4}"/>
    <cellStyle name="Normal 2 6 2 24 2 3 2" xfId="15242" xr:uid="{7CC0FF93-A7FB-492B-96B4-D58DCB77D94C}"/>
    <cellStyle name="Normal 2 6 2 24 2 4" xfId="15240" xr:uid="{82BB1C35-16AB-480D-814A-B708E72C7A18}"/>
    <cellStyle name="Normal 2 6 2 24 3" xfId="6415" xr:uid="{34C80E8D-67E7-480B-B695-004516C5F38B}"/>
    <cellStyle name="Normal 2 6 2 24 3 2" xfId="15243" xr:uid="{1B8DE491-8C76-4F60-87AF-8A772C8CAB7A}"/>
    <cellStyle name="Normal 2 6 2 24 4" xfId="6416" xr:uid="{AE9ED5DC-32D1-4C9E-AF75-03E99F48FCB0}"/>
    <cellStyle name="Normal 2 6 2 24 4 2" xfId="15244" xr:uid="{56E8045A-CB41-419A-8D5D-E2304E0AAC68}"/>
    <cellStyle name="Normal 2 6 2 24 5" xfId="15239" xr:uid="{93256756-7050-4F7C-B52E-A95570843DD2}"/>
    <cellStyle name="Normal 2 6 2 25" xfId="6417" xr:uid="{37CBE4E1-251C-41B3-86AE-7777C373AC24}"/>
    <cellStyle name="Normal 2 6 2 25 2" xfId="6418" xr:uid="{4A79F2BA-4559-4B7C-88CE-B7B0FD5B98F2}"/>
    <cellStyle name="Normal 2 6 2 25 2 2" xfId="6419" xr:uid="{CEB76397-BC0D-4608-BACE-E41DBE4E1AA1}"/>
    <cellStyle name="Normal 2 6 2 25 2 2 2" xfId="15247" xr:uid="{3673E52D-B2FD-44A4-A86A-3E471C6CCA3A}"/>
    <cellStyle name="Normal 2 6 2 25 2 3" xfId="6420" xr:uid="{08AF6CA5-05A4-42A0-9A0E-0D1CC08627D5}"/>
    <cellStyle name="Normal 2 6 2 25 2 3 2" xfId="15248" xr:uid="{F2FF4635-8019-4088-8092-63DE3B61BF24}"/>
    <cellStyle name="Normal 2 6 2 25 2 4" xfId="15246" xr:uid="{5D207024-D125-4A72-99C0-C2FBD765E4CB}"/>
    <cellStyle name="Normal 2 6 2 25 3" xfId="6421" xr:uid="{81CFCD6A-6DAB-4548-A756-09F50E269437}"/>
    <cellStyle name="Normal 2 6 2 25 3 2" xfId="15249" xr:uid="{ABECF7D1-8DFF-456C-A28C-97CA6D843896}"/>
    <cellStyle name="Normal 2 6 2 25 4" xfId="6422" xr:uid="{AC8F1699-550E-442B-8B31-0F6CC083FB71}"/>
    <cellStyle name="Normal 2 6 2 25 4 2" xfId="15250" xr:uid="{8959546D-F382-4C64-A185-45C657CBDB03}"/>
    <cellStyle name="Normal 2 6 2 25 5" xfId="15245" xr:uid="{5F1E65A3-7D0E-4446-8953-945943C44C38}"/>
    <cellStyle name="Normal 2 6 2 26" xfId="6423" xr:uid="{E0673A00-A6EE-4B11-A62D-FE4145B0BEE7}"/>
    <cellStyle name="Normal 2 6 2 26 2" xfId="6424" xr:uid="{EC66FCF1-27CE-49DA-9181-8F2330F7EF64}"/>
    <cellStyle name="Normal 2 6 2 26 2 2" xfId="6425" xr:uid="{52ED713D-276D-474E-9B2E-EC3A774C7DC3}"/>
    <cellStyle name="Normal 2 6 2 26 2 2 2" xfId="15253" xr:uid="{0C3EB4EF-007C-41BB-A858-BC5B7709C1B3}"/>
    <cellStyle name="Normal 2 6 2 26 2 3" xfId="6426" xr:uid="{0C5672D0-D3E9-4AB6-9E4E-F8A57B7BE0ED}"/>
    <cellStyle name="Normal 2 6 2 26 2 3 2" xfId="15254" xr:uid="{32E6C656-DF0A-4371-9822-A99E2055555B}"/>
    <cellStyle name="Normal 2 6 2 26 2 4" xfId="15252" xr:uid="{C52139C3-3471-4007-8DF5-D99AC0D49498}"/>
    <cellStyle name="Normal 2 6 2 26 3" xfId="6427" xr:uid="{943F89BC-5C0D-4C99-9563-0B0D4BC09646}"/>
    <cellStyle name="Normal 2 6 2 26 3 2" xfId="15255" xr:uid="{0A0EA494-316B-4A54-A066-7932BCE80309}"/>
    <cellStyle name="Normal 2 6 2 26 4" xfId="6428" xr:uid="{C56D56AA-30FB-4DAC-92BF-912FE72BAFC6}"/>
    <cellStyle name="Normal 2 6 2 26 4 2" xfId="15256" xr:uid="{C098D59D-712C-4868-8602-CF4B1697AB45}"/>
    <cellStyle name="Normal 2 6 2 26 5" xfId="15251" xr:uid="{8EBA8115-C654-4A03-9E58-3051C4FF969B}"/>
    <cellStyle name="Normal 2 6 2 27" xfId="6429" xr:uid="{322C0EE2-A788-4174-8FE8-6D534FADD8E5}"/>
    <cellStyle name="Normal 2 6 2 27 2" xfId="6430" xr:uid="{8AD4427C-9AB5-41B4-8EC1-73AA74E89CCD}"/>
    <cellStyle name="Normal 2 6 2 27 2 2" xfId="6431" xr:uid="{77C7E1A7-CF8E-4835-BA0A-50FE5B15019A}"/>
    <cellStyle name="Normal 2 6 2 27 2 2 2" xfId="15259" xr:uid="{9DFD80B1-8CB6-49C9-BDE2-D68820E22E02}"/>
    <cellStyle name="Normal 2 6 2 27 2 3" xfId="6432" xr:uid="{BCFE6685-FB45-4E18-8E79-FC4EB605E5F7}"/>
    <cellStyle name="Normal 2 6 2 27 2 3 2" xfId="15260" xr:uid="{9B44B692-18D3-42C3-AD03-25329AB1C598}"/>
    <cellStyle name="Normal 2 6 2 27 2 4" xfId="15258" xr:uid="{0563ACF2-0217-44AD-82B0-5F3AE8C2C2F6}"/>
    <cellStyle name="Normal 2 6 2 27 3" xfId="6433" xr:uid="{B96365E9-5445-4548-8ED3-6B063BA186CC}"/>
    <cellStyle name="Normal 2 6 2 27 3 2" xfId="15261" xr:uid="{2B480C3A-6D9F-40D8-9F24-78797CB1BF22}"/>
    <cellStyle name="Normal 2 6 2 27 4" xfId="6434" xr:uid="{FD9DBE1D-D6F2-4750-92A2-F32CD56BB3ED}"/>
    <cellStyle name="Normal 2 6 2 27 4 2" xfId="15262" xr:uid="{C3E001F5-92BC-4A36-99B9-FDF52CD4EC6E}"/>
    <cellStyle name="Normal 2 6 2 27 5" xfId="15257" xr:uid="{487E1CB0-6C07-4E79-B7C4-4DB66057E99C}"/>
    <cellStyle name="Normal 2 6 2 28" xfId="6435" xr:uid="{9E3B2A0C-4869-4484-A209-94229DA848DF}"/>
    <cellStyle name="Normal 2 6 2 28 2" xfId="6436" xr:uid="{B8A4D7C4-74EA-48A6-A5ED-EBCD96D76885}"/>
    <cellStyle name="Normal 2 6 2 28 2 2" xfId="6437" xr:uid="{D593D154-14DF-4FE1-9C94-EF19FB966488}"/>
    <cellStyle name="Normal 2 6 2 28 2 2 2" xfId="15265" xr:uid="{1CB6F0D9-5A56-48B7-8C91-B180A8080A76}"/>
    <cellStyle name="Normal 2 6 2 28 2 3" xfId="6438" xr:uid="{F65F9BC3-113A-41C9-8DE1-1044FF5FC0CB}"/>
    <cellStyle name="Normal 2 6 2 28 2 3 2" xfId="15266" xr:uid="{60D4748B-71D2-4204-8B12-A40E55F799DF}"/>
    <cellStyle name="Normal 2 6 2 28 2 4" xfId="15264" xr:uid="{42BB8EC5-1549-42B4-BC97-119C04890D96}"/>
    <cellStyle name="Normal 2 6 2 28 3" xfId="6439" xr:uid="{CC2BBCF5-DEAD-4F13-B4EB-0BF1FB1986F5}"/>
    <cellStyle name="Normal 2 6 2 28 3 2" xfId="15267" xr:uid="{79DED8A3-5F28-4BC6-919D-757C11E6236C}"/>
    <cellStyle name="Normal 2 6 2 28 4" xfId="6440" xr:uid="{11EA593F-A4BA-4A71-B7B7-D902A7F68B0F}"/>
    <cellStyle name="Normal 2 6 2 28 4 2" xfId="15268" xr:uid="{EACEAB75-9D63-4D16-87EB-D18BE112160B}"/>
    <cellStyle name="Normal 2 6 2 28 5" xfId="15263" xr:uid="{FD7184FA-CDA6-4546-B6BE-1593C8AA642F}"/>
    <cellStyle name="Normal 2 6 2 29" xfId="6441" xr:uid="{4146B347-9D48-487B-986D-36EEA418A969}"/>
    <cellStyle name="Normal 2 6 2 29 2" xfId="6442" xr:uid="{0B124FB0-723A-4137-AE7D-398112072FDA}"/>
    <cellStyle name="Normal 2 6 2 29 2 2" xfId="6443" xr:uid="{6F3078FD-5F43-45D3-9C08-E0935E34DD00}"/>
    <cellStyle name="Normal 2 6 2 29 2 2 2" xfId="15271" xr:uid="{A1DB8C3B-19EA-4D64-BC07-0020C2E4BF12}"/>
    <cellStyle name="Normal 2 6 2 29 2 3" xfId="6444" xr:uid="{66537EA3-E7B9-497D-BC01-0677ABDAF5D2}"/>
    <cellStyle name="Normal 2 6 2 29 2 3 2" xfId="15272" xr:uid="{4A2B1113-11F8-4743-B835-FD22449252E7}"/>
    <cellStyle name="Normal 2 6 2 29 2 4" xfId="15270" xr:uid="{99E3A9B3-C352-4C97-975E-9527FE907DCF}"/>
    <cellStyle name="Normal 2 6 2 29 3" xfId="6445" xr:uid="{A75F74ED-6AD4-4186-AE36-386C2D31A1B6}"/>
    <cellStyle name="Normal 2 6 2 29 3 2" xfId="15273" xr:uid="{F12CA273-4C15-4B18-BDA5-F00543F85C46}"/>
    <cellStyle name="Normal 2 6 2 29 4" xfId="6446" xr:uid="{1F43F6DE-3EA4-4129-BFA3-E5A23ACC407C}"/>
    <cellStyle name="Normal 2 6 2 29 4 2" xfId="15274" xr:uid="{E73AE7DC-B5B7-4118-98A8-34EBBF308F8B}"/>
    <cellStyle name="Normal 2 6 2 29 5" xfId="15269" xr:uid="{493A16E8-F8D3-46C7-9933-04B0573F7FA1}"/>
    <cellStyle name="Normal 2 6 2 3" xfId="6447" xr:uid="{C19A6433-3C87-40C8-9931-E8EF2B9AACBB}"/>
    <cellStyle name="Normal 2 6 2 3 2" xfId="6448" xr:uid="{94BD7FBA-933F-404B-9AB9-9522CF895C39}"/>
    <cellStyle name="Normal 2 6 2 3 2 2" xfId="6449" xr:uid="{7080E11B-469C-43CD-ACD7-EF9855761193}"/>
    <cellStyle name="Normal 2 6 2 3 2 2 2" xfId="15277" xr:uid="{1757833C-E594-4202-B00D-BED8DD215152}"/>
    <cellStyle name="Normal 2 6 2 3 2 3" xfId="6450" xr:uid="{D0F0672D-ECDC-4AC3-A574-E01421FB9260}"/>
    <cellStyle name="Normal 2 6 2 3 2 3 2" xfId="15278" xr:uid="{6F4FF850-288B-4935-AD7D-9DADE1E027D7}"/>
    <cellStyle name="Normal 2 6 2 3 2 4" xfId="15276" xr:uid="{5173DC0A-DEFB-479F-BF73-B4F66B596379}"/>
    <cellStyle name="Normal 2 6 2 3 3" xfId="6451" xr:uid="{3230F54B-BA75-48E0-B86A-2F29F2D5CD47}"/>
    <cellStyle name="Normal 2 6 2 3 3 2" xfId="15279" xr:uid="{BBCA404D-B1E7-4070-A58C-ED5254B469A1}"/>
    <cellStyle name="Normal 2 6 2 3 4" xfId="6452" xr:uid="{0F8508D1-7394-4C5D-9121-51FF0713ACF5}"/>
    <cellStyle name="Normal 2 6 2 3 4 2" xfId="15280" xr:uid="{EFE0CE9B-B5BF-4C08-BAF1-E61FBE9430AB}"/>
    <cellStyle name="Normal 2 6 2 3 5" xfId="15275" xr:uid="{7787E7AD-9BF5-4893-8FAE-65DBCDA4B405}"/>
    <cellStyle name="Normal 2 6 2 30" xfId="6453" xr:uid="{970C578A-6CB7-42D1-AC07-247BD1433EAD}"/>
    <cellStyle name="Normal 2 6 2 30 2" xfId="6454" xr:uid="{FAD52F89-B0B4-4D80-A8AF-8098E741EE8C}"/>
    <cellStyle name="Normal 2 6 2 30 2 2" xfId="6455" xr:uid="{25661815-4AD0-4248-8176-1AC992AC0157}"/>
    <cellStyle name="Normal 2 6 2 30 2 2 2" xfId="15283" xr:uid="{F3C9EAA1-B80A-485C-AF29-20778570B059}"/>
    <cellStyle name="Normal 2 6 2 30 2 3" xfId="6456" xr:uid="{70D30649-E6B7-417F-A824-6AC0EC3EAA76}"/>
    <cellStyle name="Normal 2 6 2 30 2 3 2" xfId="15284" xr:uid="{5FBCB5CE-0E53-40B9-82AD-3B3E663D983A}"/>
    <cellStyle name="Normal 2 6 2 30 2 4" xfId="15282" xr:uid="{86907B54-FAFF-4BBF-98CF-ECB891359FB8}"/>
    <cellStyle name="Normal 2 6 2 30 3" xfId="6457" xr:uid="{14939495-C6E7-4EE8-9364-63CAFA58AC87}"/>
    <cellStyle name="Normal 2 6 2 30 3 2" xfId="15285" xr:uid="{D11E0DAE-DCAD-4FA1-925B-5ACC296FE093}"/>
    <cellStyle name="Normal 2 6 2 30 4" xfId="6458" xr:uid="{256C135A-E157-4A79-B4B5-58D5C717775A}"/>
    <cellStyle name="Normal 2 6 2 30 4 2" xfId="15286" xr:uid="{7900E332-0821-4808-87E8-529773BA45B9}"/>
    <cellStyle name="Normal 2 6 2 30 5" xfId="15281" xr:uid="{4E576CCC-AFEB-4AD2-B521-0543E2C08DDE}"/>
    <cellStyle name="Normal 2 6 2 31" xfId="6459" xr:uid="{FC38D4B6-A955-44D5-BDCC-F46C5382F955}"/>
    <cellStyle name="Normal 2 6 2 31 2" xfId="6460" xr:uid="{0E888852-3986-4C5F-9063-7ED6229E8F8A}"/>
    <cellStyle name="Normal 2 6 2 31 2 2" xfId="6461" xr:uid="{745FCEBA-1DA0-4DA5-BD13-2B6DF01B6710}"/>
    <cellStyle name="Normal 2 6 2 31 2 2 2" xfId="15289" xr:uid="{74AE6ACB-AD8A-4CAA-8E1C-EA1A339F8BA3}"/>
    <cellStyle name="Normal 2 6 2 31 2 3" xfId="6462" xr:uid="{2A724DBE-A94C-4925-9E8A-8F764472B507}"/>
    <cellStyle name="Normal 2 6 2 31 2 3 2" xfId="15290" xr:uid="{6A6769CD-4616-4695-B0F5-E70130306086}"/>
    <cellStyle name="Normal 2 6 2 31 2 4" xfId="15288" xr:uid="{66D1723E-F2E0-422E-97AF-C065AF3F99CD}"/>
    <cellStyle name="Normal 2 6 2 31 3" xfId="6463" xr:uid="{DE2FC828-40CC-4AC6-9ACC-4DBCCDF56B63}"/>
    <cellStyle name="Normal 2 6 2 31 3 2" xfId="15291" xr:uid="{2968F953-E7EC-4C29-90C5-B19D244C2994}"/>
    <cellStyle name="Normal 2 6 2 31 4" xfId="6464" xr:uid="{7460DE72-DBEB-476A-9A53-3058E32F84D2}"/>
    <cellStyle name="Normal 2 6 2 31 4 2" xfId="15292" xr:uid="{703714E4-32C2-4B0D-96AA-502CBA8CB41F}"/>
    <cellStyle name="Normal 2 6 2 31 5" xfId="15287" xr:uid="{F9B3885E-2A6C-4552-8B6E-B9E0BA0DF9F8}"/>
    <cellStyle name="Normal 2 6 2 32" xfId="6465" xr:uid="{ABCA8228-9608-4017-A093-EF91096C31D4}"/>
    <cellStyle name="Normal 2 6 2 32 2" xfId="6466" xr:uid="{0B2DF131-9746-4775-8058-BE565BB0F36B}"/>
    <cellStyle name="Normal 2 6 2 32 2 2" xfId="6467" xr:uid="{8D164D5B-58E0-435C-B9C3-498EEC72DFAA}"/>
    <cellStyle name="Normal 2 6 2 32 2 2 2" xfId="15295" xr:uid="{3C6745C7-8D01-47FB-8AFB-DCCF1366B0E8}"/>
    <cellStyle name="Normal 2 6 2 32 2 3" xfId="6468" xr:uid="{931D4E9F-D8A5-4EB8-A721-C0D919C4C969}"/>
    <cellStyle name="Normal 2 6 2 32 2 3 2" xfId="15296" xr:uid="{F99396F1-F6EF-41F9-9B28-1E28234197EE}"/>
    <cellStyle name="Normal 2 6 2 32 2 4" xfId="15294" xr:uid="{F39F3192-71D9-453C-A093-22E38D28CA4F}"/>
    <cellStyle name="Normal 2 6 2 32 3" xfId="6469" xr:uid="{357E646A-4E72-4904-A1A0-4884300DC223}"/>
    <cellStyle name="Normal 2 6 2 32 3 2" xfId="15297" xr:uid="{99D8C17F-6D9C-48F2-845C-F485A63836F4}"/>
    <cellStyle name="Normal 2 6 2 32 4" xfId="6470" xr:uid="{1BE3F550-AAE9-46F7-831D-8FE073ED27FF}"/>
    <cellStyle name="Normal 2 6 2 32 4 2" xfId="15298" xr:uid="{73163FDE-2875-45FE-90DE-4E8A61CCB080}"/>
    <cellStyle name="Normal 2 6 2 32 5" xfId="15293" xr:uid="{060B5AFC-9C52-41B1-AD7C-301721E12B25}"/>
    <cellStyle name="Normal 2 6 2 33" xfId="6471" xr:uid="{923F73E2-9D4D-4A38-A518-59C4B90450C6}"/>
    <cellStyle name="Normal 2 6 2 33 2" xfId="6472" xr:uid="{E0F77BBC-48AD-4439-9DBC-4702A85C332E}"/>
    <cellStyle name="Normal 2 6 2 33 2 2" xfId="6473" xr:uid="{61A889EF-8D35-4249-9FDD-90E1263C439F}"/>
    <cellStyle name="Normal 2 6 2 33 2 2 2" xfId="15301" xr:uid="{17C92747-8517-40B3-B27A-60F114C2BC9E}"/>
    <cellStyle name="Normal 2 6 2 33 2 3" xfId="6474" xr:uid="{C8C7BA8E-9B06-46F9-8D76-827F295567E5}"/>
    <cellStyle name="Normal 2 6 2 33 2 3 2" xfId="15302" xr:uid="{0640FBB8-5BD3-4E28-9DA3-63DA1FDA8620}"/>
    <cellStyle name="Normal 2 6 2 33 2 4" xfId="15300" xr:uid="{03CCB5CB-7C40-49FF-A833-3D88101F4C62}"/>
    <cellStyle name="Normal 2 6 2 33 3" xfId="6475" xr:uid="{E1B331E2-C36C-4C4F-9A2E-1AD3F1456D05}"/>
    <cellStyle name="Normal 2 6 2 33 3 2" xfId="15303" xr:uid="{D8D92F62-16D6-4E51-AED9-5090FAEE707F}"/>
    <cellStyle name="Normal 2 6 2 33 4" xfId="6476" xr:uid="{1A4F3C12-F4DE-4A77-8E68-9BFB2EBBDC2E}"/>
    <cellStyle name="Normal 2 6 2 33 4 2" xfId="15304" xr:uid="{1F4306B1-4815-417B-9E04-71876321834D}"/>
    <cellStyle name="Normal 2 6 2 33 5" xfId="15299" xr:uid="{CE1B73C2-AEF1-4273-8C50-ED462747BA77}"/>
    <cellStyle name="Normal 2 6 2 34" xfId="6477" xr:uid="{FC3E4AE9-C50E-48B7-A78E-B8E48EDC5B7A}"/>
    <cellStyle name="Normal 2 6 2 34 2" xfId="6478" xr:uid="{3654D127-183D-4071-AA32-7FDF2EB6D56B}"/>
    <cellStyle name="Normal 2 6 2 34 2 2" xfId="6479" xr:uid="{3E2B8FEE-6436-4557-BAE5-ED2959FD75CE}"/>
    <cellStyle name="Normal 2 6 2 34 2 2 2" xfId="15307" xr:uid="{D72F3733-63A8-4BBA-8ABF-F8A7248E039D}"/>
    <cellStyle name="Normal 2 6 2 34 2 3" xfId="6480" xr:uid="{1FD186C0-360A-42BD-8FC5-60D80194F911}"/>
    <cellStyle name="Normal 2 6 2 34 2 3 2" xfId="15308" xr:uid="{B5B33799-D332-4BFC-8FE5-B63535C18CFE}"/>
    <cellStyle name="Normal 2 6 2 34 2 4" xfId="15306" xr:uid="{870D27A3-58A7-48E7-AE73-794AC9EB91D4}"/>
    <cellStyle name="Normal 2 6 2 34 3" xfId="6481" xr:uid="{B0126DF3-D2B0-4406-A5F4-D42F12FCCB1B}"/>
    <cellStyle name="Normal 2 6 2 34 3 2" xfId="15309" xr:uid="{E8AD48CC-123C-408E-AB69-39F47B08122B}"/>
    <cellStyle name="Normal 2 6 2 34 4" xfId="6482" xr:uid="{E45C364A-F749-4926-A9B4-262AB18F50FE}"/>
    <cellStyle name="Normal 2 6 2 34 4 2" xfId="15310" xr:uid="{E9AFECA8-BDD8-494A-B604-86C69DCFD390}"/>
    <cellStyle name="Normal 2 6 2 34 5" xfId="15305" xr:uid="{321C88C6-56A6-4B44-BBD0-DDDFA72AABC7}"/>
    <cellStyle name="Normal 2 6 2 35" xfId="6483" xr:uid="{F0208BB1-BF12-4E83-886A-E371B702E7D8}"/>
    <cellStyle name="Normal 2 6 2 35 2" xfId="6484" xr:uid="{5E7891A6-F6A4-46C0-88DE-7B70299C5718}"/>
    <cellStyle name="Normal 2 6 2 35 2 2" xfId="6485" xr:uid="{7D9D54C1-3C96-4015-AC60-3656B214F858}"/>
    <cellStyle name="Normal 2 6 2 35 2 2 2" xfId="15313" xr:uid="{624262C3-7646-44E2-8877-92D00B9F29E6}"/>
    <cellStyle name="Normal 2 6 2 35 2 3" xfId="6486" xr:uid="{2CEEBD2C-558F-4447-8C52-7421264DC36C}"/>
    <cellStyle name="Normal 2 6 2 35 2 3 2" xfId="15314" xr:uid="{87A671AD-F327-4225-B658-828B94481699}"/>
    <cellStyle name="Normal 2 6 2 35 2 4" xfId="15312" xr:uid="{91B59C33-B88D-45AA-8708-D4AAB2A25029}"/>
    <cellStyle name="Normal 2 6 2 35 3" xfId="6487" xr:uid="{4940EF4B-59F6-4687-BAE1-2C7795D9029F}"/>
    <cellStyle name="Normal 2 6 2 35 3 2" xfId="15315" xr:uid="{305B00BA-69A1-49BF-8FF3-A898D33AF17C}"/>
    <cellStyle name="Normal 2 6 2 35 4" xfId="6488" xr:uid="{4AD76421-54C1-4CB4-88B9-7E135A4671C0}"/>
    <cellStyle name="Normal 2 6 2 35 4 2" xfId="15316" xr:uid="{4E03AF49-C693-421B-8D8A-2CB70F509995}"/>
    <cellStyle name="Normal 2 6 2 35 5" xfId="15311" xr:uid="{9A744630-AB51-404F-BA74-763931AF7C0C}"/>
    <cellStyle name="Normal 2 6 2 36" xfId="6489" xr:uid="{12AF07E6-ECC0-44E9-8B7E-9EE53907DCA5}"/>
    <cellStyle name="Normal 2 6 2 36 2" xfId="6490" xr:uid="{BB1A6840-E026-4935-87DE-04A170FD857C}"/>
    <cellStyle name="Normal 2 6 2 36 2 2" xfId="6491" xr:uid="{051D4E52-C342-44DF-93D6-83F2D7A34058}"/>
    <cellStyle name="Normal 2 6 2 36 2 2 2" xfId="15319" xr:uid="{3719E965-1C6E-4C76-ACBE-5FF2CAB138B5}"/>
    <cellStyle name="Normal 2 6 2 36 2 3" xfId="6492" xr:uid="{2F4F4D16-7580-4DF0-8751-227344A5582F}"/>
    <cellStyle name="Normal 2 6 2 36 2 3 2" xfId="15320" xr:uid="{5BAE8D27-1A4F-4108-9550-F4B932622907}"/>
    <cellStyle name="Normal 2 6 2 36 2 4" xfId="15318" xr:uid="{39D0B297-1EEE-4492-8A93-9905F7080C49}"/>
    <cellStyle name="Normal 2 6 2 36 3" xfId="6493" xr:uid="{9C6EE15E-E8E2-4BE9-A003-4063EAC4AE3E}"/>
    <cellStyle name="Normal 2 6 2 36 3 2" xfId="15321" xr:uid="{C6D5B3E7-7BE1-4EA9-A3B4-D3B9C54D495C}"/>
    <cellStyle name="Normal 2 6 2 36 4" xfId="6494" xr:uid="{F09FC9C7-C763-47C0-9251-39983A3D53EA}"/>
    <cellStyle name="Normal 2 6 2 36 4 2" xfId="15322" xr:uid="{0875B5EC-6454-4788-84AB-85C21EB0B08A}"/>
    <cellStyle name="Normal 2 6 2 36 5" xfId="15317" xr:uid="{311F8944-A508-4CDE-A382-8FE3C9A9B2F6}"/>
    <cellStyle name="Normal 2 6 2 37" xfId="6495" xr:uid="{C4E6ECCD-15FD-4FEC-845F-52120745B13E}"/>
    <cellStyle name="Normal 2 6 2 37 2" xfId="6496" xr:uid="{5DCAE934-FEDC-4D41-8304-07D97922874B}"/>
    <cellStyle name="Normal 2 6 2 37 2 2" xfId="6497" xr:uid="{D5F35074-6E64-4151-94D8-4293B31789F5}"/>
    <cellStyle name="Normal 2 6 2 37 2 2 2" xfId="15325" xr:uid="{0A812A4A-F5CF-4734-B61D-D01EF5F24A3C}"/>
    <cellStyle name="Normal 2 6 2 37 2 3" xfId="6498" xr:uid="{EF9AB0F4-1474-4BD1-AFE5-9A3231D6B7A6}"/>
    <cellStyle name="Normal 2 6 2 37 2 3 2" xfId="15326" xr:uid="{5F9937FF-BC3D-4FE4-AC46-4D653E4D3CF7}"/>
    <cellStyle name="Normal 2 6 2 37 2 4" xfId="15324" xr:uid="{9E6A0F15-35FC-45D8-AC5B-BDE169BD1EB8}"/>
    <cellStyle name="Normal 2 6 2 37 3" xfId="6499" xr:uid="{880DE71C-6BAB-4C5A-A5BC-A85A2F6305A5}"/>
    <cellStyle name="Normal 2 6 2 37 3 2" xfId="15327" xr:uid="{9E6B3F95-B696-45F1-BFFB-E3BEBF2B04D5}"/>
    <cellStyle name="Normal 2 6 2 37 4" xfId="6500" xr:uid="{F1659598-D807-4B73-A04E-13219F1C70A1}"/>
    <cellStyle name="Normal 2 6 2 37 4 2" xfId="15328" xr:uid="{B16B834E-230E-4502-8A43-8D1B668A897D}"/>
    <cellStyle name="Normal 2 6 2 37 5" xfId="15323" xr:uid="{5E54F7B5-BE9A-4CD0-B5EE-57BA523F2FEA}"/>
    <cellStyle name="Normal 2 6 2 38" xfId="6501" xr:uid="{8F9E11B2-DAF3-4EEC-AE18-60CF3BF1C506}"/>
    <cellStyle name="Normal 2 6 2 38 2" xfId="6502" xr:uid="{C287258B-88D1-48B1-A2B6-823CE76B8BE5}"/>
    <cellStyle name="Normal 2 6 2 38 2 2" xfId="6503" xr:uid="{95C9D074-433F-48BB-8BEB-13B35EA7A377}"/>
    <cellStyle name="Normal 2 6 2 38 2 2 2" xfId="15331" xr:uid="{128B4F2A-8301-45ED-A5DA-350360FC7244}"/>
    <cellStyle name="Normal 2 6 2 38 2 3" xfId="6504" xr:uid="{5E08B944-C4D8-4CAF-8574-7E993E3A4636}"/>
    <cellStyle name="Normal 2 6 2 38 2 3 2" xfId="15332" xr:uid="{76BDC035-A519-462C-8428-443546109EBA}"/>
    <cellStyle name="Normal 2 6 2 38 2 4" xfId="15330" xr:uid="{BBC64724-6FF0-46A2-8537-72D7F5CFC971}"/>
    <cellStyle name="Normal 2 6 2 38 3" xfId="6505" xr:uid="{3F73B118-60AF-4833-B4F4-8BF7CB704E74}"/>
    <cellStyle name="Normal 2 6 2 38 3 2" xfId="15333" xr:uid="{96F09338-D904-41E2-A16C-7E891BAE867B}"/>
    <cellStyle name="Normal 2 6 2 38 4" xfId="6506" xr:uid="{7E8DE018-989F-4FC7-8D92-2402AC0D3020}"/>
    <cellStyle name="Normal 2 6 2 38 4 2" xfId="15334" xr:uid="{323EBBDE-82EE-4B11-BED8-4868E4D884F2}"/>
    <cellStyle name="Normal 2 6 2 38 5" xfId="15329" xr:uid="{722B9A56-C068-49D5-B6A3-BE3D08ABB85C}"/>
    <cellStyle name="Normal 2 6 2 39" xfId="6507" xr:uid="{093FDBDD-8753-4712-B890-50ABFD92042A}"/>
    <cellStyle name="Normal 2 6 2 39 2" xfId="6508" xr:uid="{3710FD94-9963-4F3F-B853-D2393C6CF9CE}"/>
    <cellStyle name="Normal 2 6 2 39 2 2" xfId="6509" xr:uid="{5213BDE0-F5FF-4724-B3BA-ACD1933AA075}"/>
    <cellStyle name="Normal 2 6 2 39 2 2 2" xfId="15337" xr:uid="{5B187ECC-73C2-463E-9617-CA457A356B28}"/>
    <cellStyle name="Normal 2 6 2 39 2 3" xfId="6510" xr:uid="{8F968FD2-52A8-4D05-8009-2C0BDDF35814}"/>
    <cellStyle name="Normal 2 6 2 39 2 3 2" xfId="15338" xr:uid="{9A021849-3B34-40D5-8F30-FF4891EA998D}"/>
    <cellStyle name="Normal 2 6 2 39 2 4" xfId="15336" xr:uid="{BC9923E9-BB74-4B3A-8B84-5D368628D199}"/>
    <cellStyle name="Normal 2 6 2 39 3" xfId="6511" xr:uid="{DC00FFFE-8EC8-42F3-B7E7-932CAA029707}"/>
    <cellStyle name="Normal 2 6 2 39 3 2" xfId="15339" xr:uid="{8BA88EFA-CCF4-4333-8EBF-9B30FD450EDF}"/>
    <cellStyle name="Normal 2 6 2 39 4" xfId="6512" xr:uid="{48A7AC58-B58F-4AE7-8186-471A85218A2F}"/>
    <cellStyle name="Normal 2 6 2 39 4 2" xfId="15340" xr:uid="{3820256C-754C-40B0-AB20-1CBD55970D00}"/>
    <cellStyle name="Normal 2 6 2 39 5" xfId="15335" xr:uid="{5C98CD0F-12B0-497A-A340-5F22C5AAEF28}"/>
    <cellStyle name="Normal 2 6 2 4" xfId="6513" xr:uid="{DB1C4619-A4C3-431C-B0D9-F2B7C5D07402}"/>
    <cellStyle name="Normal 2 6 2 4 2" xfId="6514" xr:uid="{8EEE7975-AB04-4F66-AC86-F27D44669941}"/>
    <cellStyle name="Normal 2 6 2 4 2 2" xfId="6515" xr:uid="{00E1FB8A-EE62-4E77-8478-DA560BCC3D85}"/>
    <cellStyle name="Normal 2 6 2 4 2 2 2" xfId="15343" xr:uid="{740BD5D5-5B76-4A81-8874-561925ED3E05}"/>
    <cellStyle name="Normal 2 6 2 4 2 3" xfId="6516" xr:uid="{0AFE0FB3-CA70-4878-AC18-056E3EF2227A}"/>
    <cellStyle name="Normal 2 6 2 4 2 3 2" xfId="15344" xr:uid="{EECE5487-DBF7-49C2-A7CD-246FA8864C5A}"/>
    <cellStyle name="Normal 2 6 2 4 2 4" xfId="15342" xr:uid="{44A75777-E0BA-4BF2-BE5C-D160B3F18A51}"/>
    <cellStyle name="Normal 2 6 2 4 3" xfId="6517" xr:uid="{8534BDB6-DA3F-4382-BE4A-F085436DDFCF}"/>
    <cellStyle name="Normal 2 6 2 4 3 2" xfId="15345" xr:uid="{B970449A-0784-4BB8-AEDA-F267FEB8A02A}"/>
    <cellStyle name="Normal 2 6 2 4 4" xfId="6518" xr:uid="{C1DF64D5-8B99-4755-AE01-74FCE6F6B8FB}"/>
    <cellStyle name="Normal 2 6 2 4 4 2" xfId="15346" xr:uid="{D35705AD-80C5-45D4-A672-CFC39B44E1BD}"/>
    <cellStyle name="Normal 2 6 2 4 5" xfId="15341" xr:uid="{8F4B07BF-1F6B-430C-80C7-CFEF9705896A}"/>
    <cellStyle name="Normal 2 6 2 40" xfId="6519" xr:uid="{81A0A0C3-1A25-4A8B-A44E-24E3EEC5C47A}"/>
    <cellStyle name="Normal 2 6 2 40 2" xfId="6520" xr:uid="{55847A27-1343-4D92-ADE2-82B711D2037C}"/>
    <cellStyle name="Normal 2 6 2 40 2 2" xfId="6521" xr:uid="{28187F4D-A42B-4963-8A7D-A801E17ED6B7}"/>
    <cellStyle name="Normal 2 6 2 40 2 2 2" xfId="15349" xr:uid="{B12F9937-DF07-416F-BEFB-114E5E5CB990}"/>
    <cellStyle name="Normal 2 6 2 40 2 3" xfId="6522" xr:uid="{6B3F3B31-2611-4B16-9C49-14D973A81E43}"/>
    <cellStyle name="Normal 2 6 2 40 2 3 2" xfId="15350" xr:uid="{94851334-F83A-4F10-BBDF-86A21360DF47}"/>
    <cellStyle name="Normal 2 6 2 40 2 4" xfId="15348" xr:uid="{B8D2E086-5823-4653-A273-AABAF4BCAAFA}"/>
    <cellStyle name="Normal 2 6 2 40 3" xfId="6523" xr:uid="{F6A8152F-E8AF-4137-B851-153BDCC31DA4}"/>
    <cellStyle name="Normal 2 6 2 40 3 2" xfId="15351" xr:uid="{1DEFD0F8-96EC-4B06-8CB4-06FDCF7528D7}"/>
    <cellStyle name="Normal 2 6 2 40 4" xfId="6524" xr:uid="{E0D6F86B-8595-42A2-886F-8754A68D5A64}"/>
    <cellStyle name="Normal 2 6 2 40 4 2" xfId="15352" xr:uid="{5F133ACB-EED8-4630-94E3-36CCD65BEFF7}"/>
    <cellStyle name="Normal 2 6 2 40 5" xfId="15347" xr:uid="{05464243-BF00-4A89-A3B0-752D0C6C600D}"/>
    <cellStyle name="Normal 2 6 2 41" xfId="6525" xr:uid="{6BE17C5C-864F-4D90-A01F-E43477961D40}"/>
    <cellStyle name="Normal 2 6 2 41 2" xfId="6526" xr:uid="{20B0D2FF-6A53-4311-98AD-4CAD5B9C45D3}"/>
    <cellStyle name="Normal 2 6 2 41 2 2" xfId="6527" xr:uid="{568D2633-B0AA-4889-A312-C19E22EEECD9}"/>
    <cellStyle name="Normal 2 6 2 41 2 2 2" xfId="15355" xr:uid="{55985C2D-65E2-463D-B77D-6B3CC06BA660}"/>
    <cellStyle name="Normal 2 6 2 41 2 3" xfId="6528" xr:uid="{A6CB84E7-90F2-4C2B-97E4-220F9C7C7845}"/>
    <cellStyle name="Normal 2 6 2 41 2 3 2" xfId="15356" xr:uid="{3A8B036B-4478-4F5A-9F87-B9EA10D8D1C7}"/>
    <cellStyle name="Normal 2 6 2 41 2 4" xfId="15354" xr:uid="{D07B5364-A9EC-4986-B4FA-96F1B00BE368}"/>
    <cellStyle name="Normal 2 6 2 41 3" xfId="6529" xr:uid="{69FE7B5D-EA28-4DAE-9D31-2854BBD15E06}"/>
    <cellStyle name="Normal 2 6 2 41 3 2" xfId="15357" xr:uid="{CDAE04D6-3F6F-4240-BBBD-E2504137B873}"/>
    <cellStyle name="Normal 2 6 2 41 4" xfId="6530" xr:uid="{7C516474-4406-45D2-BF71-D1BA6759E12B}"/>
    <cellStyle name="Normal 2 6 2 41 4 2" xfId="15358" xr:uid="{7021048A-602F-4B8D-A7A5-2292BBBFDBD0}"/>
    <cellStyle name="Normal 2 6 2 41 5" xfId="15353" xr:uid="{CD8E2DCE-05F2-4FBD-902F-DB427693E749}"/>
    <cellStyle name="Normal 2 6 2 42" xfId="6531" xr:uid="{D3C99BD5-377D-4930-92DC-424BD0A405D8}"/>
    <cellStyle name="Normal 2 6 2 42 2" xfId="6532" xr:uid="{34886493-CB58-4AA5-8485-D5CA4376DD9C}"/>
    <cellStyle name="Normal 2 6 2 42 2 2" xfId="6533" xr:uid="{0D994C9F-7259-4BB7-92BE-4A9ECC5312F1}"/>
    <cellStyle name="Normal 2 6 2 42 2 2 2" xfId="15361" xr:uid="{842388B0-3E0F-49FC-951A-72B3A803E677}"/>
    <cellStyle name="Normal 2 6 2 42 2 3" xfId="6534" xr:uid="{7B362CE3-9170-481F-A612-367C07B6C454}"/>
    <cellStyle name="Normal 2 6 2 42 2 3 2" xfId="15362" xr:uid="{BA7519B1-FF65-4249-980C-4194EBCD6D12}"/>
    <cellStyle name="Normal 2 6 2 42 2 4" xfId="15360" xr:uid="{362163AC-8CC9-40B4-98AD-857C5F230960}"/>
    <cellStyle name="Normal 2 6 2 42 3" xfId="6535" xr:uid="{E0106255-A692-4B65-A726-0BA5347A510D}"/>
    <cellStyle name="Normal 2 6 2 42 3 2" xfId="15363" xr:uid="{61CEF30B-ECEB-49F1-B86D-2773A88F1480}"/>
    <cellStyle name="Normal 2 6 2 42 4" xfId="6536" xr:uid="{D390F042-9C9A-40BD-A675-94AE2EFA062A}"/>
    <cellStyle name="Normal 2 6 2 42 4 2" xfId="15364" xr:uid="{3D2D55A1-AB07-49CE-81AE-6BF71ABE32EB}"/>
    <cellStyle name="Normal 2 6 2 42 5" xfId="15359" xr:uid="{4D249015-FC86-4E6E-835F-834FD0743F6E}"/>
    <cellStyle name="Normal 2 6 2 43" xfId="6537" xr:uid="{41DFAA28-9F49-4E2C-89BC-26374FA0EE22}"/>
    <cellStyle name="Normal 2 6 2 43 2" xfId="6538" xr:uid="{4AD9DAFF-A732-4D1F-9C7D-983230EE52A3}"/>
    <cellStyle name="Normal 2 6 2 43 2 2" xfId="6539" xr:uid="{27329EE6-C0AC-4578-9A80-DF4AD96C785A}"/>
    <cellStyle name="Normal 2 6 2 43 2 2 2" xfId="15367" xr:uid="{1A9886AA-94B7-4B50-B784-850C3B3DDBB4}"/>
    <cellStyle name="Normal 2 6 2 43 2 3" xfId="6540" xr:uid="{F220565C-D6AA-47C5-AF9A-947BC0705457}"/>
    <cellStyle name="Normal 2 6 2 43 2 3 2" xfId="15368" xr:uid="{EFB86AED-4E39-4E70-A0A9-56E9E259977E}"/>
    <cellStyle name="Normal 2 6 2 43 2 4" xfId="15366" xr:uid="{CD42E377-42DB-4D08-ACE5-F4209CE7F09E}"/>
    <cellStyle name="Normal 2 6 2 43 3" xfId="6541" xr:uid="{F135B919-35AE-48CE-A463-5A63D0AB2352}"/>
    <cellStyle name="Normal 2 6 2 43 3 2" xfId="15369" xr:uid="{3C7F7E4A-CA92-412C-A85D-B6841BE9FF46}"/>
    <cellStyle name="Normal 2 6 2 43 4" xfId="6542" xr:uid="{5AB1FA5F-D378-40EB-B801-413ABF3004FD}"/>
    <cellStyle name="Normal 2 6 2 43 4 2" xfId="15370" xr:uid="{41C59C5B-E49E-4FF1-AFF9-DDDEB2262D29}"/>
    <cellStyle name="Normal 2 6 2 43 5" xfId="15365" xr:uid="{C54F090F-0EA7-4B93-8989-346A1187C1AE}"/>
    <cellStyle name="Normal 2 6 2 44" xfId="6543" xr:uid="{14A6D39E-A11D-4E83-82C9-E5B329E174D1}"/>
    <cellStyle name="Normal 2 6 2 44 2" xfId="6544" xr:uid="{53F54D86-678C-4C23-AADE-E565D1BEBAB2}"/>
    <cellStyle name="Normal 2 6 2 44 2 2" xfId="15372" xr:uid="{C21EA80F-9FA8-4367-B112-2CBBE95944B3}"/>
    <cellStyle name="Normal 2 6 2 44 3" xfId="6545" xr:uid="{EFB11449-34E7-4302-8E63-E59C38C1098F}"/>
    <cellStyle name="Normal 2 6 2 44 3 2" xfId="15373" xr:uid="{0A3AEAEE-0B3E-42DE-8580-6328B8A70E1D}"/>
    <cellStyle name="Normal 2 6 2 44 4" xfId="15371" xr:uid="{CFA3F818-6DF7-4D09-B520-C964F91965C7}"/>
    <cellStyle name="Normal 2 6 2 45" xfId="6546" xr:uid="{FBE9A019-79A2-419E-8079-67F326980E79}"/>
    <cellStyle name="Normal 2 6 2 45 2" xfId="15374" xr:uid="{5DF12EBD-F69A-44B6-82E0-2EE471D1FD15}"/>
    <cellStyle name="Normal 2 6 2 46" xfId="6547" xr:uid="{3C2DA0F3-9E24-4052-8114-4BFBAF74296C}"/>
    <cellStyle name="Normal 2 6 2 46 2" xfId="15375" xr:uid="{D62517B3-2889-46B4-90F1-35EAFD15A321}"/>
    <cellStyle name="Normal 2 6 2 47" xfId="15148" xr:uid="{252FBB1B-3A57-4026-B2BE-2218B508B689}"/>
    <cellStyle name="Normal 2 6 2 5" xfId="6548" xr:uid="{DBF1E41E-51F9-4553-8738-8319831A9D42}"/>
    <cellStyle name="Normal 2 6 2 5 2" xfId="6549" xr:uid="{B84C076B-B722-461F-A86B-4064D6118E8C}"/>
    <cellStyle name="Normal 2 6 2 5 2 2" xfId="6550" xr:uid="{5F5B961D-2B93-42AC-A0B1-7D5064D28835}"/>
    <cellStyle name="Normal 2 6 2 5 2 2 2" xfId="15378" xr:uid="{2D29C833-6D45-4E95-BCF5-851181667A06}"/>
    <cellStyle name="Normal 2 6 2 5 2 3" xfId="6551" xr:uid="{56707840-218F-4896-B139-DCBDA2760780}"/>
    <cellStyle name="Normal 2 6 2 5 2 3 2" xfId="15379" xr:uid="{0EF7347F-42AD-492F-B5F4-FB8FEC85434A}"/>
    <cellStyle name="Normal 2 6 2 5 2 4" xfId="15377" xr:uid="{99F4386C-E932-4151-8457-E4A11FAC13BC}"/>
    <cellStyle name="Normal 2 6 2 5 3" xfId="6552" xr:uid="{314C37C8-2EFE-4022-8076-3CECBE66CD43}"/>
    <cellStyle name="Normal 2 6 2 5 3 2" xfId="15380" xr:uid="{06C28E2A-2128-4E68-A38D-51F3EA7A4A59}"/>
    <cellStyle name="Normal 2 6 2 5 4" xfId="6553" xr:uid="{BE8751D6-466C-4B63-8C88-1C8A3BF67EC3}"/>
    <cellStyle name="Normal 2 6 2 5 4 2" xfId="15381" xr:uid="{C85F98F2-3959-444C-9A26-AA01E5DF4C26}"/>
    <cellStyle name="Normal 2 6 2 5 5" xfId="15376" xr:uid="{A4200716-91B3-4607-83B4-8A5DA9835DAD}"/>
    <cellStyle name="Normal 2 6 2 6" xfId="6554" xr:uid="{184D6098-5E4D-4FB7-8C76-1078A1AB97E4}"/>
    <cellStyle name="Normal 2 6 2 6 2" xfId="6555" xr:uid="{B1F1CAA8-9116-4356-840D-B4DF68030A71}"/>
    <cellStyle name="Normal 2 6 2 6 2 2" xfId="6556" xr:uid="{58131D44-B779-49E8-B090-58C3C6BFEEC5}"/>
    <cellStyle name="Normal 2 6 2 6 2 2 2" xfId="15384" xr:uid="{8FBF71E1-6F8B-4FBD-9A73-DC8A2F203CFB}"/>
    <cellStyle name="Normal 2 6 2 6 2 3" xfId="6557" xr:uid="{0D872F6D-A6B9-4E2A-86E7-F38528A2AE81}"/>
    <cellStyle name="Normal 2 6 2 6 2 3 2" xfId="15385" xr:uid="{169B38D1-7A85-4135-85A8-3EB655736B35}"/>
    <cellStyle name="Normal 2 6 2 6 2 4" xfId="15383" xr:uid="{E2A2456E-BDA3-411E-A2BC-BAE41CDD2091}"/>
    <cellStyle name="Normal 2 6 2 6 3" xfId="6558" xr:uid="{8EA72E15-A3A7-4A44-84D9-4B1B9009D7E4}"/>
    <cellStyle name="Normal 2 6 2 6 3 2" xfId="15386" xr:uid="{FC735C34-9425-4E2B-A034-11CEC4D8B8EB}"/>
    <cellStyle name="Normal 2 6 2 6 4" xfId="6559" xr:uid="{E9D61D3A-D455-4F66-BF46-5925621239B8}"/>
    <cellStyle name="Normal 2 6 2 6 4 2" xfId="15387" xr:uid="{B7172D2C-4D11-4FC4-98D0-A73DF88CB99A}"/>
    <cellStyle name="Normal 2 6 2 6 5" xfId="15382" xr:uid="{E5A5FBDF-6D60-4BE6-B3BD-2DE7BD898909}"/>
    <cellStyle name="Normal 2 6 2 7" xfId="6560" xr:uid="{A540A82D-53E3-4F47-8708-34160BACF6C9}"/>
    <cellStyle name="Normal 2 6 2 7 2" xfId="6561" xr:uid="{B7572B5B-34D0-4D04-AF6B-FC3CA6E0C076}"/>
    <cellStyle name="Normal 2 6 2 7 2 2" xfId="6562" xr:uid="{A0835A66-490F-409F-85FF-0329B7CC4C45}"/>
    <cellStyle name="Normal 2 6 2 7 2 2 2" xfId="15390" xr:uid="{F4F1FF08-F416-4EB0-B734-56AC49328B9D}"/>
    <cellStyle name="Normal 2 6 2 7 2 3" xfId="6563" xr:uid="{6379954B-F7D4-4978-AEA9-A7229333AEAB}"/>
    <cellStyle name="Normal 2 6 2 7 2 3 2" xfId="15391" xr:uid="{48C34E67-CD80-4DE8-AA5E-679ED021AE9A}"/>
    <cellStyle name="Normal 2 6 2 7 2 4" xfId="15389" xr:uid="{5EB74B51-8B1B-4112-B132-F0C9FEF6AB76}"/>
    <cellStyle name="Normal 2 6 2 7 3" xfId="6564" xr:uid="{804B47AB-AF5C-4EF2-8BDD-AF759CEF3FF1}"/>
    <cellStyle name="Normal 2 6 2 7 3 2" xfId="15392" xr:uid="{59733978-86BE-47FA-9D93-1FBAA7FE4B11}"/>
    <cellStyle name="Normal 2 6 2 7 4" xfId="6565" xr:uid="{0E06DA44-2045-40EE-80DE-EA1A0FB103BB}"/>
    <cellStyle name="Normal 2 6 2 7 4 2" xfId="15393" xr:uid="{BF1CC2F4-514D-4A3F-B00E-3A350EBF4B04}"/>
    <cellStyle name="Normal 2 6 2 7 5" xfId="15388" xr:uid="{111DA812-47AB-41AF-B814-E44EBE66B5FE}"/>
    <cellStyle name="Normal 2 6 2 8" xfId="6566" xr:uid="{2A429647-8A02-468F-8602-810C2A0DD6F5}"/>
    <cellStyle name="Normal 2 6 2 8 2" xfId="6567" xr:uid="{A4F71C62-4562-4A16-A911-FA9BE059F28E}"/>
    <cellStyle name="Normal 2 6 2 8 2 2" xfId="6568" xr:uid="{6A90657B-F77E-406E-B94D-853D9C393F79}"/>
    <cellStyle name="Normal 2 6 2 8 2 2 2" xfId="15396" xr:uid="{387D4C6A-9CB3-4B21-BB64-375EE5287506}"/>
    <cellStyle name="Normal 2 6 2 8 2 3" xfId="6569" xr:uid="{409915FD-4B04-4460-A509-9CD489D778AF}"/>
    <cellStyle name="Normal 2 6 2 8 2 3 2" xfId="15397" xr:uid="{C96C1DD0-6913-4DCC-9E53-25FD69FBE1F4}"/>
    <cellStyle name="Normal 2 6 2 8 2 4" xfId="15395" xr:uid="{F4E73F73-38F1-466D-BDC7-3BF2BF60590E}"/>
    <cellStyle name="Normal 2 6 2 8 3" xfId="6570" xr:uid="{C34689A1-93F5-4496-9400-256531A35CC7}"/>
    <cellStyle name="Normal 2 6 2 8 3 2" xfId="15398" xr:uid="{AAC0B385-B90C-4546-8974-05AED1A47232}"/>
    <cellStyle name="Normal 2 6 2 8 4" xfId="6571" xr:uid="{394C293E-FF64-44B8-9E8F-35DA7A6FFCEE}"/>
    <cellStyle name="Normal 2 6 2 8 4 2" xfId="15399" xr:uid="{3DDED9D8-EEBA-4373-B864-123B90B83739}"/>
    <cellStyle name="Normal 2 6 2 8 5" xfId="15394" xr:uid="{94CD854B-74E8-4F4D-A2C2-FFC08F65091A}"/>
    <cellStyle name="Normal 2 6 2 9" xfId="6572" xr:uid="{2BE6BB54-A667-4431-8A9D-334D4A4929F2}"/>
    <cellStyle name="Normal 2 6 2 9 2" xfId="6573" xr:uid="{5F333895-6EF8-4648-9AA8-532076EAD4A9}"/>
    <cellStyle name="Normal 2 6 2 9 2 2" xfId="6574" xr:uid="{5A2A8839-56BA-4AC4-8FB0-656B51E61AE8}"/>
    <cellStyle name="Normal 2 6 2 9 2 2 2" xfId="15402" xr:uid="{0039F05B-4EEC-49D3-BEF6-89E8EAEEB54C}"/>
    <cellStyle name="Normal 2 6 2 9 2 3" xfId="6575" xr:uid="{8B60F973-5E25-4C54-9375-E71DBFB459F8}"/>
    <cellStyle name="Normal 2 6 2 9 2 3 2" xfId="15403" xr:uid="{EF2EC914-E94A-4473-A71D-83E71346BCB4}"/>
    <cellStyle name="Normal 2 6 2 9 2 4" xfId="15401" xr:uid="{2460580A-78E8-4015-BFCE-D5D10FB50654}"/>
    <cellStyle name="Normal 2 6 2 9 3" xfId="6576" xr:uid="{5CD5B38D-949C-4633-AE3D-AA13D3D32CF2}"/>
    <cellStyle name="Normal 2 6 2 9 3 2" xfId="15404" xr:uid="{D145FDF4-B4AF-4728-8B10-888684136B3F}"/>
    <cellStyle name="Normal 2 6 2 9 4" xfId="6577" xr:uid="{9D1D54DE-46DF-40CF-803B-9C45E0E138EA}"/>
    <cellStyle name="Normal 2 6 2 9 4 2" xfId="15405" xr:uid="{5D1C8AF6-0A15-4672-815F-ED57CE5AC805}"/>
    <cellStyle name="Normal 2 6 2 9 5" xfId="15400" xr:uid="{CB9D9728-0E5C-44E9-B8E9-E4F0E4842053}"/>
    <cellStyle name="Normal 2 6 20" xfId="6578" xr:uid="{DFBB291E-8C33-46E1-9D76-C9ECCD851B2D}"/>
    <cellStyle name="Normal 2 6 20 2" xfId="6579" xr:uid="{76EECECB-F37A-4C8E-98B1-B343C8D54B17}"/>
    <cellStyle name="Normal 2 6 20 2 2" xfId="6580" xr:uid="{3FB8A7F5-50DD-49AD-95E4-FAD045B30435}"/>
    <cellStyle name="Normal 2 6 20 2 2 2" xfId="15408" xr:uid="{98EB7394-1E88-4276-A154-3FA9AB6AFDA1}"/>
    <cellStyle name="Normal 2 6 20 2 3" xfId="6581" xr:uid="{C8739BC4-F2A5-4C66-B924-06151AB66B39}"/>
    <cellStyle name="Normal 2 6 20 2 3 2" xfId="15409" xr:uid="{5F09D0DB-DBEE-487C-B0A6-FEA6A9A87C9B}"/>
    <cellStyle name="Normal 2 6 20 2 4" xfId="15407" xr:uid="{7BA269C1-E772-4524-8C25-3E216905517F}"/>
    <cellStyle name="Normal 2 6 20 3" xfId="6582" xr:uid="{C60366E1-E899-49C9-8FDD-CD50D5359666}"/>
    <cellStyle name="Normal 2 6 20 3 2" xfId="15410" xr:uid="{B7CAB879-5931-432D-AEC6-99C4D7CEF219}"/>
    <cellStyle name="Normal 2 6 20 4" xfId="6583" xr:uid="{8CC88D94-E17A-4207-B486-3CE15A987FAC}"/>
    <cellStyle name="Normal 2 6 20 4 2" xfId="15411" xr:uid="{D8636F39-F53F-433F-A245-65D56C82DC49}"/>
    <cellStyle name="Normal 2 6 20 5" xfId="15406" xr:uid="{2711E86E-A0AB-4484-A9F7-7D0946B31511}"/>
    <cellStyle name="Normal 2 6 21" xfId="6584" xr:uid="{93FA0D8C-162C-4B35-8210-E8CDB549EC78}"/>
    <cellStyle name="Normal 2 6 21 2" xfId="6585" xr:uid="{7588E3E0-1365-42B3-B2D7-C24BBEDC2C76}"/>
    <cellStyle name="Normal 2 6 21 2 2" xfId="6586" xr:uid="{05BD313A-3920-47B1-B76E-17985FCF4C7F}"/>
    <cellStyle name="Normal 2 6 21 2 2 2" xfId="15414" xr:uid="{D1F87DCF-988B-4A41-A24D-500A48A6FAA1}"/>
    <cellStyle name="Normal 2 6 21 2 3" xfId="6587" xr:uid="{CE077E11-9B25-4A69-8A83-240DF27806C0}"/>
    <cellStyle name="Normal 2 6 21 2 3 2" xfId="15415" xr:uid="{E4469813-30E5-4018-B5A8-8518F55EBE3F}"/>
    <cellStyle name="Normal 2 6 21 2 4" xfId="15413" xr:uid="{FFFD4502-39B4-4EA5-A948-26C9B2BF50F9}"/>
    <cellStyle name="Normal 2 6 21 3" xfId="6588" xr:uid="{4F38B21A-3548-4CBA-A6D1-3AE1EC4249DE}"/>
    <cellStyle name="Normal 2 6 21 3 2" xfId="15416" xr:uid="{82F754E9-DCEE-4B08-AE00-41A429A5506C}"/>
    <cellStyle name="Normal 2 6 21 4" xfId="6589" xr:uid="{C6B6BE0C-E1AA-45C6-8966-3B5786C619B1}"/>
    <cellStyle name="Normal 2 6 21 4 2" xfId="15417" xr:uid="{BD60C850-808F-48AE-9F49-CAFA2B2096D1}"/>
    <cellStyle name="Normal 2 6 21 5" xfId="15412" xr:uid="{5672143F-436B-44A7-A282-02BB0C91E030}"/>
    <cellStyle name="Normal 2 6 22" xfId="6590" xr:uid="{8B14B6A9-7554-46C1-A019-12B57595AB43}"/>
    <cellStyle name="Normal 2 6 22 2" xfId="6591" xr:uid="{641DF00D-D6DD-4415-BBC5-DC1FE61913FF}"/>
    <cellStyle name="Normal 2 6 22 2 2" xfId="6592" xr:uid="{E35703EE-7D1E-4E4F-97FB-96C92DF7916F}"/>
    <cellStyle name="Normal 2 6 22 2 2 2" xfId="15420" xr:uid="{2CCE797E-7C7A-4B5A-905F-95611344A1F4}"/>
    <cellStyle name="Normal 2 6 22 2 3" xfId="6593" xr:uid="{28F49EC8-F0BB-4CA4-96EA-8EABB4CAF392}"/>
    <cellStyle name="Normal 2 6 22 2 3 2" xfId="15421" xr:uid="{0FF04BCF-C080-4B20-8E10-4354297CAB5C}"/>
    <cellStyle name="Normal 2 6 22 2 4" xfId="15419" xr:uid="{6EAA25A7-A353-4B3F-A920-5BE7FDA49E85}"/>
    <cellStyle name="Normal 2 6 22 3" xfId="6594" xr:uid="{69BD5C26-7566-4862-8E75-D00C420ADCD1}"/>
    <cellStyle name="Normal 2 6 22 3 2" xfId="15422" xr:uid="{1F9E292D-CB59-451F-A596-F5EC17674423}"/>
    <cellStyle name="Normal 2 6 22 4" xfId="6595" xr:uid="{314E2363-C375-431E-98FC-44B305DA5844}"/>
    <cellStyle name="Normal 2 6 22 4 2" xfId="15423" xr:uid="{2A24C918-83ED-463C-98D0-42FE1B9FEEFF}"/>
    <cellStyle name="Normal 2 6 22 5" xfId="15418" xr:uid="{AC864622-A851-424A-814F-B89CE25BFE1D}"/>
    <cellStyle name="Normal 2 6 23" xfId="6596" xr:uid="{89366FAB-B0D9-49DE-8FE4-69A6829DFCD9}"/>
    <cellStyle name="Normal 2 6 23 2" xfId="6597" xr:uid="{8FCF8B2B-3B84-42E6-8305-F82674A08EB6}"/>
    <cellStyle name="Normal 2 6 23 2 2" xfId="6598" xr:uid="{83EF2590-394F-45B1-8F97-1702F9F343A1}"/>
    <cellStyle name="Normal 2 6 23 2 2 2" xfId="15426" xr:uid="{805B4280-5FA3-4030-9F66-BA2BC7397914}"/>
    <cellStyle name="Normal 2 6 23 2 3" xfId="6599" xr:uid="{1661D862-3417-4F07-A8C2-50F86DA7C251}"/>
    <cellStyle name="Normal 2 6 23 2 3 2" xfId="15427" xr:uid="{72D1EDB5-C96E-4592-80A5-B13A45864B99}"/>
    <cellStyle name="Normal 2 6 23 2 4" xfId="15425" xr:uid="{517998C8-C89D-4370-B525-647964C6DDE9}"/>
    <cellStyle name="Normal 2 6 23 3" xfId="6600" xr:uid="{BB5618FE-A800-423D-B343-E5EB66E48906}"/>
    <cellStyle name="Normal 2 6 23 3 2" xfId="15428" xr:uid="{44193A68-55CA-4A4F-AB05-67021F5E4685}"/>
    <cellStyle name="Normal 2 6 23 4" xfId="6601" xr:uid="{3785177F-9558-4704-B93A-950D5BD101C0}"/>
    <cellStyle name="Normal 2 6 23 4 2" xfId="15429" xr:uid="{CF8E5FB3-D251-4250-885B-CCDA572DDCD5}"/>
    <cellStyle name="Normal 2 6 23 5" xfId="15424" xr:uid="{7C60F09C-7945-472C-9212-A72439B46122}"/>
    <cellStyle name="Normal 2 6 24" xfId="6602" xr:uid="{8CF6A74D-E983-48A6-9685-DE2A5B133745}"/>
    <cellStyle name="Normal 2 6 24 2" xfId="6603" xr:uid="{E8A74488-643F-4FAD-A29A-98385417E88C}"/>
    <cellStyle name="Normal 2 6 24 2 2" xfId="6604" xr:uid="{367988C1-2AE7-474A-8E2C-D9006521C38E}"/>
    <cellStyle name="Normal 2 6 24 2 2 2" xfId="15432" xr:uid="{224F0320-04F9-4CEC-A519-F4C4C894C442}"/>
    <cellStyle name="Normal 2 6 24 2 3" xfId="6605" xr:uid="{E6605107-DA47-4420-8DC7-3FB83812361A}"/>
    <cellStyle name="Normal 2 6 24 2 3 2" xfId="15433" xr:uid="{6775C02E-35CB-49F8-9A32-4F21C298A290}"/>
    <cellStyle name="Normal 2 6 24 2 4" xfId="15431" xr:uid="{76C05E9C-5433-479A-9661-4FD63373A068}"/>
    <cellStyle name="Normal 2 6 24 3" xfId="6606" xr:uid="{8B854CB2-8D1A-4141-975B-C33EAE4995C3}"/>
    <cellStyle name="Normal 2 6 24 3 2" xfId="15434" xr:uid="{DAE82459-350C-46BD-B39A-B84730608F8D}"/>
    <cellStyle name="Normal 2 6 24 4" xfId="6607" xr:uid="{95AD23B5-BF43-4046-84FC-47EEEFC381EC}"/>
    <cellStyle name="Normal 2 6 24 4 2" xfId="15435" xr:uid="{E7390FE2-E37C-4CCA-823B-99ABCB572580}"/>
    <cellStyle name="Normal 2 6 24 5" xfId="15430" xr:uid="{4DCC1848-7D4B-42C5-BAB9-FF5B6001104C}"/>
    <cellStyle name="Normal 2 6 25" xfId="6608" xr:uid="{80CF6834-6394-4197-A4DA-4E090E1BF71B}"/>
    <cellStyle name="Normal 2 6 25 2" xfId="6609" xr:uid="{6C614BFB-C916-4191-B886-27B4188F12E4}"/>
    <cellStyle name="Normal 2 6 25 2 2" xfId="6610" xr:uid="{1C4510B0-6370-4DF8-95AA-887B17F11A54}"/>
    <cellStyle name="Normal 2 6 25 2 2 2" xfId="15438" xr:uid="{E4387DCC-C6F9-4DFA-BB2E-C7945714FE1D}"/>
    <cellStyle name="Normal 2 6 25 2 3" xfId="6611" xr:uid="{8FD33AD5-F185-4930-BC69-873A2ED8463B}"/>
    <cellStyle name="Normal 2 6 25 2 3 2" xfId="15439" xr:uid="{CC1496A8-0CAD-4655-9178-969CDA396A9E}"/>
    <cellStyle name="Normal 2 6 25 2 4" xfId="15437" xr:uid="{85091A0F-8329-4DDF-BD77-EE34828E91EA}"/>
    <cellStyle name="Normal 2 6 25 3" xfId="6612" xr:uid="{9A919191-6D04-4921-8CD5-22CAB5E19BE9}"/>
    <cellStyle name="Normal 2 6 25 3 2" xfId="15440" xr:uid="{E6246D70-4231-43C7-B424-841B2567C7EA}"/>
    <cellStyle name="Normal 2 6 25 4" xfId="6613" xr:uid="{BF3099E7-083C-45B0-B405-6E576BC96BD8}"/>
    <cellStyle name="Normal 2 6 25 4 2" xfId="15441" xr:uid="{A415D27C-BE77-408D-8E5F-79DFCE5A4F25}"/>
    <cellStyle name="Normal 2 6 25 5" xfId="15436" xr:uid="{4631A1F2-387D-48C0-9FA1-4B385A1ADC3C}"/>
    <cellStyle name="Normal 2 6 26" xfId="6614" xr:uid="{E1753508-C1DD-4F36-A8D0-76A32475C3FE}"/>
    <cellStyle name="Normal 2 6 26 2" xfId="6615" xr:uid="{5FA90C4D-56F7-4FC2-B616-756C881B072A}"/>
    <cellStyle name="Normal 2 6 26 2 2" xfId="6616" xr:uid="{08A02B3C-1369-4AB7-9721-C580037F216B}"/>
    <cellStyle name="Normal 2 6 26 2 2 2" xfId="15444" xr:uid="{080B51FE-A750-4585-85ED-31723F6019FA}"/>
    <cellStyle name="Normal 2 6 26 2 3" xfId="6617" xr:uid="{A75C0AED-53FA-4B55-8AD6-C4EBA122D3A7}"/>
    <cellStyle name="Normal 2 6 26 2 3 2" xfId="15445" xr:uid="{EFACBE5F-BD7A-47E7-B3D1-DC6AA49D4D24}"/>
    <cellStyle name="Normal 2 6 26 2 4" xfId="15443" xr:uid="{FE80C4FC-1342-4091-9E28-825C8D84E59B}"/>
    <cellStyle name="Normal 2 6 26 3" xfId="6618" xr:uid="{58B48DAF-2270-4F30-A10D-3AACF1F78BAB}"/>
    <cellStyle name="Normal 2 6 26 3 2" xfId="15446" xr:uid="{C84ABF57-900C-4CE3-8F9F-3100992F1117}"/>
    <cellStyle name="Normal 2 6 26 4" xfId="6619" xr:uid="{64338385-6821-4A24-8BE1-7FD406126300}"/>
    <cellStyle name="Normal 2 6 26 4 2" xfId="15447" xr:uid="{8BD3EE31-01A5-48BB-9DD7-7CBB46C0D4C1}"/>
    <cellStyle name="Normal 2 6 26 5" xfId="15442" xr:uid="{AA6291AF-1639-43C3-93C2-E0E523C7F515}"/>
    <cellStyle name="Normal 2 6 27" xfId="6620" xr:uid="{C9626E6A-277B-4401-9DD3-16AE9622EF84}"/>
    <cellStyle name="Normal 2 6 27 2" xfId="6621" xr:uid="{010B5D0E-CACF-4936-BBA7-BC0568120666}"/>
    <cellStyle name="Normal 2 6 27 2 2" xfId="6622" xr:uid="{DFE79683-3E68-4FE0-9F67-4596BB24FFCC}"/>
    <cellStyle name="Normal 2 6 27 2 2 2" xfId="15450" xr:uid="{74FF97A3-4596-43E3-9723-8712173CF29F}"/>
    <cellStyle name="Normal 2 6 27 2 3" xfId="6623" xr:uid="{F4B4CA60-C260-4146-8B34-380DD8EC7F18}"/>
    <cellStyle name="Normal 2 6 27 2 3 2" xfId="15451" xr:uid="{E86A3B16-887B-47C6-A2C5-0C7E41D73847}"/>
    <cellStyle name="Normal 2 6 27 2 4" xfId="15449" xr:uid="{AFBE9614-D25C-4001-B076-CAB022ABE114}"/>
    <cellStyle name="Normal 2 6 27 3" xfId="6624" xr:uid="{4F97467E-2108-4AE3-B831-1115C6C75C37}"/>
    <cellStyle name="Normal 2 6 27 3 2" xfId="15452" xr:uid="{84BB2B32-B02D-417C-A455-41FE17713A41}"/>
    <cellStyle name="Normal 2 6 27 4" xfId="6625" xr:uid="{4772F119-E286-4960-9742-4DF68ECD820C}"/>
    <cellStyle name="Normal 2 6 27 4 2" xfId="15453" xr:uid="{6BC6C65A-3D92-4F55-B7C6-2CBBB8853048}"/>
    <cellStyle name="Normal 2 6 27 5" xfId="15448" xr:uid="{FF472BB9-D2E5-4912-921A-13189E30F84F}"/>
    <cellStyle name="Normal 2 6 28" xfId="6626" xr:uid="{33A27BFA-D1AD-4839-A40D-B77ECFB8F759}"/>
    <cellStyle name="Normal 2 6 28 2" xfId="6627" xr:uid="{0DCABDAA-7FC4-49E7-92AA-7AD9A3604021}"/>
    <cellStyle name="Normal 2 6 28 2 2" xfId="6628" xr:uid="{8B731180-A11F-4F8F-90BD-2BCF20F352A4}"/>
    <cellStyle name="Normal 2 6 28 2 2 2" xfId="15456" xr:uid="{27CD2C17-97B8-44B3-B818-0A811FA88D60}"/>
    <cellStyle name="Normal 2 6 28 2 3" xfId="6629" xr:uid="{B632E00E-EE72-4D2D-B799-B4EA86558399}"/>
    <cellStyle name="Normal 2 6 28 2 3 2" xfId="15457" xr:uid="{B2316BDA-9C56-4848-8EBC-93BDF8E54CCC}"/>
    <cellStyle name="Normal 2 6 28 2 4" xfId="15455" xr:uid="{69E43AA4-9AA1-42E6-94A5-6156007F0EDF}"/>
    <cellStyle name="Normal 2 6 28 3" xfId="6630" xr:uid="{D5109B5D-0388-42DE-AD47-916CC8D177B6}"/>
    <cellStyle name="Normal 2 6 28 3 2" xfId="15458" xr:uid="{CAFD2871-6F50-4671-8F94-486B1EBC92BD}"/>
    <cellStyle name="Normal 2 6 28 4" xfId="6631" xr:uid="{34B5F9DF-5E9D-4891-BDE0-54367BA8342E}"/>
    <cellStyle name="Normal 2 6 28 4 2" xfId="15459" xr:uid="{298DEEA4-6C99-47CD-BABF-D54BAF11B1C3}"/>
    <cellStyle name="Normal 2 6 28 5" xfId="15454" xr:uid="{6D91441C-E17D-495C-A0FD-975F3A877AE0}"/>
    <cellStyle name="Normal 2 6 29" xfId="6632" xr:uid="{5827A476-78EB-4C70-911D-BA326F76C5D2}"/>
    <cellStyle name="Normal 2 6 29 2" xfId="6633" xr:uid="{57A7BD1B-43D5-4767-A249-A758B8FC4854}"/>
    <cellStyle name="Normal 2 6 29 2 2" xfId="6634" xr:uid="{C11E9AB4-D7A8-402D-9E48-5E450F8F8A57}"/>
    <cellStyle name="Normal 2 6 29 2 2 2" xfId="15462" xr:uid="{AE5B8665-3EFD-42BA-9605-6F626DA08BFF}"/>
    <cellStyle name="Normal 2 6 29 2 3" xfId="6635" xr:uid="{2F7AF6DF-848A-4A0D-9A0B-58B33435ABBB}"/>
    <cellStyle name="Normal 2 6 29 2 3 2" xfId="15463" xr:uid="{8D729058-E7A0-47FF-BB93-2BB207CD6E36}"/>
    <cellStyle name="Normal 2 6 29 2 4" xfId="15461" xr:uid="{5D9FD68F-7FF6-453E-9DFB-F8083D2DF976}"/>
    <cellStyle name="Normal 2 6 29 3" xfId="6636" xr:uid="{C13BF4B9-46C1-4D0A-A34A-E310DA0C53C5}"/>
    <cellStyle name="Normal 2 6 29 3 2" xfId="15464" xr:uid="{E08F9990-B191-4F62-AF3A-61A48F66A1BE}"/>
    <cellStyle name="Normal 2 6 29 4" xfId="6637" xr:uid="{54C94258-5482-4B82-BB9C-8DCFBE90187E}"/>
    <cellStyle name="Normal 2 6 29 4 2" xfId="15465" xr:uid="{7A77A77F-E3EF-49B3-B15A-937F459B864C}"/>
    <cellStyle name="Normal 2 6 29 5" xfId="15460" xr:uid="{528E18E3-8660-4CF4-A082-3406F28AF33C}"/>
    <cellStyle name="Normal 2 6 3" xfId="6638" xr:uid="{DD3FA9BA-C199-43AE-8BCC-2996CDD71522}"/>
    <cellStyle name="Normal 2 6 3 10" xfId="6639" xr:uid="{FE0B258B-699F-4058-84BC-6E8EE338824C}"/>
    <cellStyle name="Normal 2 6 3 10 2" xfId="6640" xr:uid="{19351E22-8EEE-4113-AD9A-BB95507C41D7}"/>
    <cellStyle name="Normal 2 6 3 10 2 2" xfId="6641" xr:uid="{D1DAE130-AF4A-415D-B84D-74EDA9FA9885}"/>
    <cellStyle name="Normal 2 6 3 10 2 2 2" xfId="15469" xr:uid="{E292E783-719A-4619-A4CF-D1E7065D1533}"/>
    <cellStyle name="Normal 2 6 3 10 2 3" xfId="6642" xr:uid="{517D8733-68C9-4A4C-B8E3-6DADAAE44FE4}"/>
    <cellStyle name="Normal 2 6 3 10 2 3 2" xfId="15470" xr:uid="{820E2158-C366-445F-872F-05928900BC65}"/>
    <cellStyle name="Normal 2 6 3 10 2 4" xfId="15468" xr:uid="{2D5EF35F-C245-4B7E-A412-CEF1D7275A2E}"/>
    <cellStyle name="Normal 2 6 3 10 3" xfId="6643" xr:uid="{7E9B311E-6811-4701-8BF1-F9DE36FEBE26}"/>
    <cellStyle name="Normal 2 6 3 10 3 2" xfId="15471" xr:uid="{DE4D3318-2F03-4145-BD94-E5A6F28535F0}"/>
    <cellStyle name="Normal 2 6 3 10 4" xfId="6644" xr:uid="{6A732783-2541-4902-B4F9-9A20BADA3C9C}"/>
    <cellStyle name="Normal 2 6 3 10 4 2" xfId="15472" xr:uid="{AE82A7CA-799D-4F9B-B347-BCF906CBB33A}"/>
    <cellStyle name="Normal 2 6 3 10 5" xfId="15467" xr:uid="{7B63CEA6-1E6F-4DF4-ACF7-0330A78CD74A}"/>
    <cellStyle name="Normal 2 6 3 11" xfId="6645" xr:uid="{6EBB533B-4E36-4A77-AB5D-2537F24699AB}"/>
    <cellStyle name="Normal 2 6 3 11 2" xfId="6646" xr:uid="{4403AC3F-3AE3-480C-9DB2-A79566D85D1B}"/>
    <cellStyle name="Normal 2 6 3 11 2 2" xfId="6647" xr:uid="{AAC773D5-55FE-496D-BEE1-AEDCF245592F}"/>
    <cellStyle name="Normal 2 6 3 11 2 2 2" xfId="15475" xr:uid="{1C91562B-2A73-4B90-AAB6-58C8C37DFF35}"/>
    <cellStyle name="Normal 2 6 3 11 2 3" xfId="6648" xr:uid="{4888EA37-2427-43A8-A11D-07E161B691CE}"/>
    <cellStyle name="Normal 2 6 3 11 2 3 2" xfId="15476" xr:uid="{3696E70D-D147-4FF2-9CFA-7A982DE1EB01}"/>
    <cellStyle name="Normal 2 6 3 11 2 4" xfId="15474" xr:uid="{585A1126-860C-40EA-962F-338D5FB3E662}"/>
    <cellStyle name="Normal 2 6 3 11 3" xfId="6649" xr:uid="{FFD24BA2-0F24-49C4-A762-099ED27AB18F}"/>
    <cellStyle name="Normal 2 6 3 11 3 2" xfId="15477" xr:uid="{D4F64311-8F2C-4C0B-841F-6FF17832E791}"/>
    <cellStyle name="Normal 2 6 3 11 4" xfId="6650" xr:uid="{69F11A3B-8AA7-4452-9DCC-3799916BF207}"/>
    <cellStyle name="Normal 2 6 3 11 4 2" xfId="15478" xr:uid="{6FC12681-EF6E-4983-8F3E-9159481BDB83}"/>
    <cellStyle name="Normal 2 6 3 11 5" xfId="15473" xr:uid="{A8270BE9-92EE-4206-8631-0D2337A64EDF}"/>
    <cellStyle name="Normal 2 6 3 12" xfId="6651" xr:uid="{1C3B3697-783B-4899-A343-79295E7B80DC}"/>
    <cellStyle name="Normal 2 6 3 12 2" xfId="6652" xr:uid="{98C5FB16-9A8E-4873-B00A-0BAFF35CA525}"/>
    <cellStyle name="Normal 2 6 3 12 2 2" xfId="6653" xr:uid="{B9982D96-B196-4FF6-B007-25AAFF5B79EF}"/>
    <cellStyle name="Normal 2 6 3 12 2 2 2" xfId="15481" xr:uid="{C6FB05D2-7D43-4F92-81EC-FCF2DFE4BF0F}"/>
    <cellStyle name="Normal 2 6 3 12 2 3" xfId="6654" xr:uid="{51588858-981C-450E-946E-8DC3BE6E49C2}"/>
    <cellStyle name="Normal 2 6 3 12 2 3 2" xfId="15482" xr:uid="{ED71ECC0-1CD4-4FC3-8E08-52B1046AD459}"/>
    <cellStyle name="Normal 2 6 3 12 2 4" xfId="15480" xr:uid="{BF3B68F9-7F93-4925-8C94-81F79604707A}"/>
    <cellStyle name="Normal 2 6 3 12 3" xfId="6655" xr:uid="{F363D0A0-C5EC-411D-89EE-BDD19EEB0A86}"/>
    <cellStyle name="Normal 2 6 3 12 3 2" xfId="15483" xr:uid="{D4BFAD2C-3BEB-409A-BE1F-5E46375D739D}"/>
    <cellStyle name="Normal 2 6 3 12 4" xfId="6656" xr:uid="{601F7122-CBE1-42FF-87BD-0193B27A03F3}"/>
    <cellStyle name="Normal 2 6 3 12 4 2" xfId="15484" xr:uid="{CBE29445-6775-46FB-8005-0FE59B715CF3}"/>
    <cellStyle name="Normal 2 6 3 12 5" xfId="15479" xr:uid="{138D872D-EEFD-4658-949C-AA948DA65E1B}"/>
    <cellStyle name="Normal 2 6 3 13" xfId="6657" xr:uid="{EAA2CFD0-0D9F-41EA-BEA0-249E78227BA5}"/>
    <cellStyle name="Normal 2 6 3 13 2" xfId="6658" xr:uid="{C9756172-B6B6-4AA2-B9CC-0B3493E4C5A1}"/>
    <cellStyle name="Normal 2 6 3 13 2 2" xfId="6659" xr:uid="{E9F2EAE9-1B59-481E-A27C-869E8F2FD03D}"/>
    <cellStyle name="Normal 2 6 3 13 2 2 2" xfId="15487" xr:uid="{0B0ADBD5-5CDA-4F50-9B87-66AB77A7DD80}"/>
    <cellStyle name="Normal 2 6 3 13 2 3" xfId="6660" xr:uid="{43CDA9A5-BFE7-47B3-A35F-A2BD8DFA1827}"/>
    <cellStyle name="Normal 2 6 3 13 2 3 2" xfId="15488" xr:uid="{87058B7A-B33C-4905-AB87-33811EEABF4F}"/>
    <cellStyle name="Normal 2 6 3 13 2 4" xfId="15486" xr:uid="{CBE48383-0E98-4521-9A39-0CE02DF96F41}"/>
    <cellStyle name="Normal 2 6 3 13 3" xfId="6661" xr:uid="{F1DDF89C-F487-4943-BE09-248F8859BD7F}"/>
    <cellStyle name="Normal 2 6 3 13 3 2" xfId="15489" xr:uid="{9D8843B2-A2AE-4D1B-8236-C8B881A3EC1D}"/>
    <cellStyle name="Normal 2 6 3 13 4" xfId="6662" xr:uid="{D9E8C9E1-C296-414D-BC2F-4780D1BBC4BC}"/>
    <cellStyle name="Normal 2 6 3 13 4 2" xfId="15490" xr:uid="{060E2790-F5A3-4C4D-A360-CE690860A9C8}"/>
    <cellStyle name="Normal 2 6 3 13 5" xfId="15485" xr:uid="{D5B26EFA-80DF-4BE9-A2CB-D999CD87FF14}"/>
    <cellStyle name="Normal 2 6 3 14" xfId="6663" xr:uid="{B9ABFB60-E5D7-487D-8EC8-9A3594563616}"/>
    <cellStyle name="Normal 2 6 3 14 2" xfId="6664" xr:uid="{40CC8883-39B6-4061-95F1-04F6B6909795}"/>
    <cellStyle name="Normal 2 6 3 14 2 2" xfId="6665" xr:uid="{5062A414-5B10-4690-9C25-6EBF2B4B292F}"/>
    <cellStyle name="Normal 2 6 3 14 2 2 2" xfId="15493" xr:uid="{017E02F2-5E05-43DB-A7CC-70999E923B7B}"/>
    <cellStyle name="Normal 2 6 3 14 2 3" xfId="6666" xr:uid="{02E7B52B-1F7D-4863-9A74-55FC73B8A632}"/>
    <cellStyle name="Normal 2 6 3 14 2 3 2" xfId="15494" xr:uid="{266C66BC-6385-4DFD-BAC3-6F16BFBC61A3}"/>
    <cellStyle name="Normal 2 6 3 14 2 4" xfId="15492" xr:uid="{DC69002F-9834-4DB9-A12D-CDA0AB8A0ED9}"/>
    <cellStyle name="Normal 2 6 3 14 3" xfId="6667" xr:uid="{C94C2BE9-B026-4663-BC08-0B449C6FC9C8}"/>
    <cellStyle name="Normal 2 6 3 14 3 2" xfId="15495" xr:uid="{1105BFC7-E27B-4ADD-9C00-29931CAFD6CE}"/>
    <cellStyle name="Normal 2 6 3 14 4" xfId="6668" xr:uid="{B008AB91-37C4-4BE2-9F2B-548C7815A923}"/>
    <cellStyle name="Normal 2 6 3 14 4 2" xfId="15496" xr:uid="{35A7412B-4B9B-4DDD-9253-DC2995B59B52}"/>
    <cellStyle name="Normal 2 6 3 14 5" xfId="15491" xr:uid="{04D10B54-54B5-49C9-8A1A-839BA6EBFBFB}"/>
    <cellStyle name="Normal 2 6 3 15" xfId="6669" xr:uid="{59C0F748-9827-4BB7-8B7C-3026AB29CBDE}"/>
    <cellStyle name="Normal 2 6 3 15 2" xfId="6670" xr:uid="{7CD5BEB8-054C-4D7A-B19E-406788DC1945}"/>
    <cellStyle name="Normal 2 6 3 15 2 2" xfId="6671" xr:uid="{6FA28E1C-895B-45DF-9871-12585E73065A}"/>
    <cellStyle name="Normal 2 6 3 15 2 2 2" xfId="15499" xr:uid="{A2E37181-1F08-43FE-80D4-F08CE2CD171D}"/>
    <cellStyle name="Normal 2 6 3 15 2 3" xfId="6672" xr:uid="{880FEEB9-F6F1-4B9B-9A16-D673F99A876C}"/>
    <cellStyle name="Normal 2 6 3 15 2 3 2" xfId="15500" xr:uid="{6FBCACA0-1F42-4629-8DC4-97845AE747C5}"/>
    <cellStyle name="Normal 2 6 3 15 2 4" xfId="15498" xr:uid="{DDDD0249-1CE0-4BB1-91A0-85AD03F61655}"/>
    <cellStyle name="Normal 2 6 3 15 3" xfId="6673" xr:uid="{CED97E86-9B2A-4812-8097-7184226FF85F}"/>
    <cellStyle name="Normal 2 6 3 15 3 2" xfId="15501" xr:uid="{6F321BDC-5C5C-4635-8ADD-768A6E1B2155}"/>
    <cellStyle name="Normal 2 6 3 15 4" xfId="6674" xr:uid="{CAC83155-1541-4409-98CE-C20F3EA06AE6}"/>
    <cellStyle name="Normal 2 6 3 15 4 2" xfId="15502" xr:uid="{6BF43671-CCBA-4FF5-BB15-F3A24AD7362D}"/>
    <cellStyle name="Normal 2 6 3 15 5" xfId="15497" xr:uid="{333CC7E3-2328-46F8-8942-69214A036B83}"/>
    <cellStyle name="Normal 2 6 3 16" xfId="6675" xr:uid="{071685C4-15D8-44A0-9F5A-0DB71AD1376E}"/>
    <cellStyle name="Normal 2 6 3 16 2" xfId="6676" xr:uid="{E8296224-DFE3-4DC6-97DB-5231011DF85D}"/>
    <cellStyle name="Normal 2 6 3 16 2 2" xfId="6677" xr:uid="{0ACC655F-2679-476E-807A-295FADA1CAE0}"/>
    <cellStyle name="Normal 2 6 3 16 2 2 2" xfId="15505" xr:uid="{C59EAC05-86AA-4AF7-875A-B587A15A1744}"/>
    <cellStyle name="Normal 2 6 3 16 2 3" xfId="6678" xr:uid="{3D9787F7-4C5A-4103-8BD7-8182BD2FFBCF}"/>
    <cellStyle name="Normal 2 6 3 16 2 3 2" xfId="15506" xr:uid="{F5CA99AE-DA9A-4F76-8B1B-2D70F4DC916D}"/>
    <cellStyle name="Normal 2 6 3 16 2 4" xfId="15504" xr:uid="{D370F719-135A-4FC8-B854-132C83EA2D2C}"/>
    <cellStyle name="Normal 2 6 3 16 3" xfId="6679" xr:uid="{5FBCA472-738A-41A8-BD22-03B48A75EF56}"/>
    <cellStyle name="Normal 2 6 3 16 3 2" xfId="15507" xr:uid="{13410E24-53E2-4047-9132-9E04F269D0E8}"/>
    <cellStyle name="Normal 2 6 3 16 4" xfId="6680" xr:uid="{181057BA-432B-4B58-92E3-FC20817C6623}"/>
    <cellStyle name="Normal 2 6 3 16 4 2" xfId="15508" xr:uid="{208A333F-D8DE-4939-B2AD-2AD14D9A65C9}"/>
    <cellStyle name="Normal 2 6 3 16 5" xfId="15503" xr:uid="{A0126FC2-A1AB-4520-9207-D724B3E13CAB}"/>
    <cellStyle name="Normal 2 6 3 17" xfId="6681" xr:uid="{981C123C-CBFB-4F6E-B296-C7D876DCB0A6}"/>
    <cellStyle name="Normal 2 6 3 17 2" xfId="6682" xr:uid="{1D334AB7-B484-4962-81F8-0941A40C1A84}"/>
    <cellStyle name="Normal 2 6 3 17 2 2" xfId="6683" xr:uid="{7DC335FD-3D8E-47FF-BD9A-EB6DBE4728DD}"/>
    <cellStyle name="Normal 2 6 3 17 2 2 2" xfId="15511" xr:uid="{F6137DB1-F947-4A58-8091-41B478406E4A}"/>
    <cellStyle name="Normal 2 6 3 17 2 3" xfId="6684" xr:uid="{C8AF25F9-2FA3-4E29-9FD3-2EF67E7FF1B1}"/>
    <cellStyle name="Normal 2 6 3 17 2 3 2" xfId="15512" xr:uid="{C7C7D8C5-AE88-4D12-8443-6424FC4CC786}"/>
    <cellStyle name="Normal 2 6 3 17 2 4" xfId="15510" xr:uid="{ABDD095F-8E58-4EF7-9858-DAC49AB6E912}"/>
    <cellStyle name="Normal 2 6 3 17 3" xfId="6685" xr:uid="{55A71DF6-1DD7-48DF-8A7C-FC33F3D2BE2F}"/>
    <cellStyle name="Normal 2 6 3 17 3 2" xfId="15513" xr:uid="{63BAFB18-A161-459C-B68A-55054B91D4B2}"/>
    <cellStyle name="Normal 2 6 3 17 4" xfId="6686" xr:uid="{3976E02C-D9E7-45BF-AC4F-888196F17F6A}"/>
    <cellStyle name="Normal 2 6 3 17 4 2" xfId="15514" xr:uid="{99A55465-48D4-4AAF-A7A8-9C9FFADF66C5}"/>
    <cellStyle name="Normal 2 6 3 17 5" xfId="15509" xr:uid="{08CF5F46-41AD-4722-81F8-EE120D0AFD71}"/>
    <cellStyle name="Normal 2 6 3 18" xfId="6687" xr:uid="{C5B46ECF-8CC3-41BC-BA99-C6083449A28D}"/>
    <cellStyle name="Normal 2 6 3 18 2" xfId="6688" xr:uid="{0E404F97-F876-4B2E-A3E2-FC7E07B4C675}"/>
    <cellStyle name="Normal 2 6 3 18 2 2" xfId="6689" xr:uid="{E6B1EBCA-1666-4945-9C3C-7120B5B4E793}"/>
    <cellStyle name="Normal 2 6 3 18 2 2 2" xfId="15517" xr:uid="{FC895513-C9BD-4795-B5C9-41CB14B0CDB0}"/>
    <cellStyle name="Normal 2 6 3 18 2 3" xfId="6690" xr:uid="{10505F8F-A84E-46F0-9126-97508FAAB84C}"/>
    <cellStyle name="Normal 2 6 3 18 2 3 2" xfId="15518" xr:uid="{6A51CE76-BAEA-4721-927D-9ED5E0978867}"/>
    <cellStyle name="Normal 2 6 3 18 2 4" xfId="15516" xr:uid="{E35397AC-3826-47DE-8609-AB5CBDE2176D}"/>
    <cellStyle name="Normal 2 6 3 18 3" xfId="6691" xr:uid="{EC793B0A-49D4-495B-AC72-901AA7198ED5}"/>
    <cellStyle name="Normal 2 6 3 18 3 2" xfId="15519" xr:uid="{CD8B79CF-0C1A-4BC0-A805-F868AE9AB443}"/>
    <cellStyle name="Normal 2 6 3 18 4" xfId="6692" xr:uid="{5F9E4331-C165-46FA-847E-BD54C384BCEE}"/>
    <cellStyle name="Normal 2 6 3 18 4 2" xfId="15520" xr:uid="{332A90C0-75D3-43AB-BDA7-75F3783054B4}"/>
    <cellStyle name="Normal 2 6 3 18 5" xfId="15515" xr:uid="{78DD984B-73CB-421A-A2EC-D97DEB01C9C0}"/>
    <cellStyle name="Normal 2 6 3 19" xfId="6693" xr:uid="{738F3139-AAAC-4386-BE19-BEC034F16E97}"/>
    <cellStyle name="Normal 2 6 3 19 2" xfId="6694" xr:uid="{E254EA8C-F4DE-4E37-A71D-38673153AEF7}"/>
    <cellStyle name="Normal 2 6 3 19 2 2" xfId="6695" xr:uid="{48E3B74F-D68A-4220-A065-40C9D08600A0}"/>
    <cellStyle name="Normal 2 6 3 19 2 2 2" xfId="15523" xr:uid="{39838AB7-03B9-4B58-A175-D6CA2CEEDB0D}"/>
    <cellStyle name="Normal 2 6 3 19 2 3" xfId="6696" xr:uid="{92E5D9DC-7727-4C58-B51B-A3BB5166A771}"/>
    <cellStyle name="Normal 2 6 3 19 2 3 2" xfId="15524" xr:uid="{5F370A91-8170-4629-AC17-0DA02669BC22}"/>
    <cellStyle name="Normal 2 6 3 19 2 4" xfId="15522" xr:uid="{DB0A1035-49AA-4EFC-A917-2BA2207C67AE}"/>
    <cellStyle name="Normal 2 6 3 19 3" xfId="6697" xr:uid="{6718D355-2601-4A98-8112-C42C5ACC70F8}"/>
    <cellStyle name="Normal 2 6 3 19 3 2" xfId="15525" xr:uid="{70386C7A-7231-4AFD-8A00-65B5A3830211}"/>
    <cellStyle name="Normal 2 6 3 19 4" xfId="6698" xr:uid="{0DF8D610-2C0C-46C6-90A2-C0E9F4ADEED2}"/>
    <cellStyle name="Normal 2 6 3 19 4 2" xfId="15526" xr:uid="{3920BEFF-883D-4293-86C8-9D8999AB4942}"/>
    <cellStyle name="Normal 2 6 3 19 5" xfId="15521" xr:uid="{ACD48478-986F-4F90-ACB4-E5DBEE5BBE55}"/>
    <cellStyle name="Normal 2 6 3 2" xfId="6699" xr:uid="{221C58F8-03DA-4941-941A-45429C946A7F}"/>
    <cellStyle name="Normal 2 6 3 2 2" xfId="6700" xr:uid="{592DCF91-377D-4EBD-A4D5-174DB9D1E5B7}"/>
    <cellStyle name="Normal 2 6 3 2 2 2" xfId="6701" xr:uid="{BEF8F54F-9B26-4632-BE58-6688A00DE76B}"/>
    <cellStyle name="Normal 2 6 3 2 2 2 2" xfId="15529" xr:uid="{BC14AF29-30CF-4683-B782-6CF0BA031920}"/>
    <cellStyle name="Normal 2 6 3 2 2 3" xfId="6702" xr:uid="{D104D4A0-27CC-4A0D-BD26-DF9EE97A36B3}"/>
    <cellStyle name="Normal 2 6 3 2 2 3 2" xfId="15530" xr:uid="{74ED2804-5507-475E-B2BA-E8078E264C25}"/>
    <cellStyle name="Normal 2 6 3 2 2 4" xfId="15528" xr:uid="{6C8C170A-38CA-453E-985A-B718E8456BD0}"/>
    <cellStyle name="Normal 2 6 3 2 3" xfId="6703" xr:uid="{AF4E2F0D-BEAD-4AEE-AEBD-2E8C00A17973}"/>
    <cellStyle name="Normal 2 6 3 2 3 2" xfId="15531" xr:uid="{CBF8DAC5-7226-46B8-95AC-DC47D121BB09}"/>
    <cellStyle name="Normal 2 6 3 2 4" xfId="6704" xr:uid="{DD40E986-FBB9-4CE3-BB8D-B89CB70AF4D8}"/>
    <cellStyle name="Normal 2 6 3 2 4 2" xfId="15532" xr:uid="{27ABC543-DB58-44E6-980D-C1BC353B9657}"/>
    <cellStyle name="Normal 2 6 3 2 5" xfId="15527" xr:uid="{E3413E4D-DA3F-4C99-9D2D-A2E921948001}"/>
    <cellStyle name="Normal 2 6 3 20" xfId="6705" xr:uid="{3D899023-4A2E-4C60-A76A-E85A7438D674}"/>
    <cellStyle name="Normal 2 6 3 20 2" xfId="6706" xr:uid="{674D78C1-2550-4356-B740-E855C4E3E55C}"/>
    <cellStyle name="Normal 2 6 3 20 2 2" xfId="6707" xr:uid="{0940C4DD-C4C2-481F-882B-723161B7999C}"/>
    <cellStyle name="Normal 2 6 3 20 2 2 2" xfId="15535" xr:uid="{E07A105B-93C8-40F8-90EF-0B6050D8F526}"/>
    <cellStyle name="Normal 2 6 3 20 2 3" xfId="6708" xr:uid="{FCDC6FF8-7809-44CB-9D65-3D292BE38B43}"/>
    <cellStyle name="Normal 2 6 3 20 2 3 2" xfId="15536" xr:uid="{A267946F-F25D-4830-ACC0-6A09817176AD}"/>
    <cellStyle name="Normal 2 6 3 20 2 4" xfId="15534" xr:uid="{48EBA8FF-F839-48B6-A990-9856BCEE88E5}"/>
    <cellStyle name="Normal 2 6 3 20 3" xfId="6709" xr:uid="{CBB390A2-F1C0-4376-80B7-08E6ADBFA11A}"/>
    <cellStyle name="Normal 2 6 3 20 3 2" xfId="15537" xr:uid="{3F3CEDB7-F277-4060-9040-CF232483C337}"/>
    <cellStyle name="Normal 2 6 3 20 4" xfId="6710" xr:uid="{96EE4F79-AEAC-4C3D-B1EA-936C05C7CC00}"/>
    <cellStyle name="Normal 2 6 3 20 4 2" xfId="15538" xr:uid="{E7B06ACA-F669-4BBC-A056-806829EDDD2C}"/>
    <cellStyle name="Normal 2 6 3 20 5" xfId="15533" xr:uid="{99CDBA0E-6D5D-4C5E-8BF3-F83E95013477}"/>
    <cellStyle name="Normal 2 6 3 21" xfId="6711" xr:uid="{3061028B-DFE7-4F03-A307-CCC142C339FD}"/>
    <cellStyle name="Normal 2 6 3 21 2" xfId="6712" xr:uid="{F6FC8017-9AF1-4A3C-9C30-68EE2D7466FF}"/>
    <cellStyle name="Normal 2 6 3 21 2 2" xfId="6713" xr:uid="{359C659B-ADC8-43D4-8D7E-C19BB887B1A6}"/>
    <cellStyle name="Normal 2 6 3 21 2 2 2" xfId="15541" xr:uid="{0A4C1618-66E2-4DF7-A970-CCC7599FFDB8}"/>
    <cellStyle name="Normal 2 6 3 21 2 3" xfId="6714" xr:uid="{848412CF-F7B7-4A39-ABCD-3FF5939E76D0}"/>
    <cellStyle name="Normal 2 6 3 21 2 3 2" xfId="15542" xr:uid="{2D03B716-B2C9-40A3-A2B3-0730C2C34056}"/>
    <cellStyle name="Normal 2 6 3 21 2 4" xfId="15540" xr:uid="{FD35096F-EDA0-4415-8EB8-CBC41421E89C}"/>
    <cellStyle name="Normal 2 6 3 21 3" xfId="6715" xr:uid="{8B369D31-606A-4E2B-A74C-605853766D00}"/>
    <cellStyle name="Normal 2 6 3 21 3 2" xfId="15543" xr:uid="{65688C31-84D4-4766-9566-31EE64C86E56}"/>
    <cellStyle name="Normal 2 6 3 21 4" xfId="6716" xr:uid="{4C49DEC4-D76E-421B-934C-451107DF3A80}"/>
    <cellStyle name="Normal 2 6 3 21 4 2" xfId="15544" xr:uid="{3DED923C-CFCA-4C48-86CC-1703D0F22325}"/>
    <cellStyle name="Normal 2 6 3 21 5" xfId="15539" xr:uid="{5ABECE3B-DBF2-4516-9C05-794AF37B26F7}"/>
    <cellStyle name="Normal 2 6 3 22" xfId="6717" xr:uid="{7571F7C0-D055-417A-B1EA-B6A7C8CDCD52}"/>
    <cellStyle name="Normal 2 6 3 22 2" xfId="6718" xr:uid="{0BD11022-9D37-4112-8179-EC11D9E26C4A}"/>
    <cellStyle name="Normal 2 6 3 22 2 2" xfId="6719" xr:uid="{980D1CDE-3780-4C21-B666-934498DC33F4}"/>
    <cellStyle name="Normal 2 6 3 22 2 2 2" xfId="15547" xr:uid="{464BE075-F3E2-4D98-ABAB-2E493F987B5C}"/>
    <cellStyle name="Normal 2 6 3 22 2 3" xfId="6720" xr:uid="{85EA0F7D-1A83-47C8-A52C-D0FCA26A8002}"/>
    <cellStyle name="Normal 2 6 3 22 2 3 2" xfId="15548" xr:uid="{C1DAA897-B4BB-4239-BF04-AEFB285B2B4D}"/>
    <cellStyle name="Normal 2 6 3 22 2 4" xfId="15546" xr:uid="{F9278F7B-1305-4F6B-AFFF-722C836C0BF7}"/>
    <cellStyle name="Normal 2 6 3 22 3" xfId="6721" xr:uid="{65F3200B-6B76-4DFC-9908-0596F0C6617F}"/>
    <cellStyle name="Normal 2 6 3 22 3 2" xfId="15549" xr:uid="{E14D5252-F01A-4A43-9529-83444FEED001}"/>
    <cellStyle name="Normal 2 6 3 22 4" xfId="6722" xr:uid="{7F152841-B113-475E-941B-803335A1F614}"/>
    <cellStyle name="Normal 2 6 3 22 4 2" xfId="15550" xr:uid="{D50F88A2-9819-4262-9424-8F297FAF6603}"/>
    <cellStyle name="Normal 2 6 3 22 5" xfId="15545" xr:uid="{0D9867FB-1621-47F7-A151-EF54CDF07498}"/>
    <cellStyle name="Normal 2 6 3 23" xfId="6723" xr:uid="{5A1CCD5E-25FC-4B7C-A01B-BF75E1F45AB4}"/>
    <cellStyle name="Normal 2 6 3 23 2" xfId="6724" xr:uid="{A7217529-B3E3-4AD3-9B2F-B3C5B0033C7F}"/>
    <cellStyle name="Normal 2 6 3 23 2 2" xfId="6725" xr:uid="{22647B80-9C54-463A-B9C1-5693DD5350ED}"/>
    <cellStyle name="Normal 2 6 3 23 2 2 2" xfId="15553" xr:uid="{3F48FFFE-587A-471A-87B5-EC1E6D12B583}"/>
    <cellStyle name="Normal 2 6 3 23 2 3" xfId="6726" xr:uid="{66E0D5DC-64EB-49C7-867D-065DA7EA05BF}"/>
    <cellStyle name="Normal 2 6 3 23 2 3 2" xfId="15554" xr:uid="{EC9F3C1A-A3AD-453D-93E7-98175A09AB33}"/>
    <cellStyle name="Normal 2 6 3 23 2 4" xfId="15552" xr:uid="{DC700A48-8D0D-410C-85FA-D910263E06E4}"/>
    <cellStyle name="Normal 2 6 3 23 3" xfId="6727" xr:uid="{0664D44F-1D12-4B37-8F37-896C00BDB1B2}"/>
    <cellStyle name="Normal 2 6 3 23 3 2" xfId="15555" xr:uid="{63153903-6C79-43F1-A234-15C25321D7B4}"/>
    <cellStyle name="Normal 2 6 3 23 4" xfId="6728" xr:uid="{53DA607B-645D-4E7C-A4F3-647A844310F0}"/>
    <cellStyle name="Normal 2 6 3 23 4 2" xfId="15556" xr:uid="{58C60034-034B-49CF-A027-BEADEF8564AD}"/>
    <cellStyle name="Normal 2 6 3 23 5" xfId="15551" xr:uid="{06C3D974-349A-48FB-B482-9CA1960DD919}"/>
    <cellStyle name="Normal 2 6 3 24" xfId="6729" xr:uid="{32A7788C-7C16-4F08-93B4-6EAA192FF5A0}"/>
    <cellStyle name="Normal 2 6 3 24 2" xfId="6730" xr:uid="{350DFFDE-7FCB-4B87-896B-0751935CA582}"/>
    <cellStyle name="Normal 2 6 3 24 2 2" xfId="6731" xr:uid="{51FBAC1B-E069-41EE-8DC5-4BEB21880DEB}"/>
    <cellStyle name="Normal 2 6 3 24 2 2 2" xfId="15559" xr:uid="{335D9CDF-55C2-4656-AAEB-D37D0C9EA9BA}"/>
    <cellStyle name="Normal 2 6 3 24 2 3" xfId="6732" xr:uid="{103E7A76-C4FC-4A9B-9A2F-773EB85D1E41}"/>
    <cellStyle name="Normal 2 6 3 24 2 3 2" xfId="15560" xr:uid="{4D08CC51-E899-4621-AB43-42B84BBD3342}"/>
    <cellStyle name="Normal 2 6 3 24 2 4" xfId="15558" xr:uid="{0AD5CA58-3448-419F-B149-8F2EFB0D2CB6}"/>
    <cellStyle name="Normal 2 6 3 24 3" xfId="6733" xr:uid="{5249BE0F-6B2E-44CE-B583-5AD668EC96CC}"/>
    <cellStyle name="Normal 2 6 3 24 3 2" xfId="15561" xr:uid="{D10ADB27-91E7-4B72-A563-47A19B2EC300}"/>
    <cellStyle name="Normal 2 6 3 24 4" xfId="6734" xr:uid="{68C29AF8-972C-4717-BA3D-79A6841957B7}"/>
    <cellStyle name="Normal 2 6 3 24 4 2" xfId="15562" xr:uid="{44B8CFD9-26D5-4B26-8D47-251AC0D82A83}"/>
    <cellStyle name="Normal 2 6 3 24 5" xfId="15557" xr:uid="{9C1178F0-DF33-40C0-9E3E-A06F525B3616}"/>
    <cellStyle name="Normal 2 6 3 25" xfId="6735" xr:uid="{CED26DCE-D6A1-48EB-8B8B-90B99FA808F3}"/>
    <cellStyle name="Normal 2 6 3 25 2" xfId="6736" xr:uid="{5AB97242-D22E-4973-AFF2-A157A96451CB}"/>
    <cellStyle name="Normal 2 6 3 25 2 2" xfId="6737" xr:uid="{D2EA476F-E2A3-4223-B0D4-D16FA5F3C00D}"/>
    <cellStyle name="Normal 2 6 3 25 2 2 2" xfId="15565" xr:uid="{48D61036-BB69-4B32-BD2C-466B6187923A}"/>
    <cellStyle name="Normal 2 6 3 25 2 3" xfId="6738" xr:uid="{2E9DC84F-9965-4BD6-9483-9E6FBAEE003D}"/>
    <cellStyle name="Normal 2 6 3 25 2 3 2" xfId="15566" xr:uid="{0AAD296B-819A-41A4-8D73-517C4558DFA1}"/>
    <cellStyle name="Normal 2 6 3 25 2 4" xfId="15564" xr:uid="{4D958EBC-102D-457E-893A-8DC143AA6FCF}"/>
    <cellStyle name="Normal 2 6 3 25 3" xfId="6739" xr:uid="{5790947F-D713-47F6-9C02-BDE696964F8F}"/>
    <cellStyle name="Normal 2 6 3 25 3 2" xfId="15567" xr:uid="{85F6880D-6032-4BA2-AB5B-5B88B64F89BB}"/>
    <cellStyle name="Normal 2 6 3 25 4" xfId="6740" xr:uid="{1EC90E79-ED94-428A-8646-29E1A31717E1}"/>
    <cellStyle name="Normal 2 6 3 25 4 2" xfId="15568" xr:uid="{EED8AE04-7C8D-447F-B22B-8920636746C0}"/>
    <cellStyle name="Normal 2 6 3 25 5" xfId="15563" xr:uid="{F5418B12-E86C-4DF9-9F4E-A2245D858A33}"/>
    <cellStyle name="Normal 2 6 3 26" xfId="6741" xr:uid="{F17584D1-D9F2-40B4-9446-4DF9429FD0F3}"/>
    <cellStyle name="Normal 2 6 3 26 2" xfId="6742" xr:uid="{93119919-1069-4CAB-8131-668538FBED18}"/>
    <cellStyle name="Normal 2 6 3 26 2 2" xfId="6743" xr:uid="{BFA621B0-329E-460D-8C69-593A5F590BFF}"/>
    <cellStyle name="Normal 2 6 3 26 2 2 2" xfId="15571" xr:uid="{9ADEA910-7CA5-4E74-B70F-11C765BAB1D1}"/>
    <cellStyle name="Normal 2 6 3 26 2 3" xfId="6744" xr:uid="{0EAB76CC-ED89-4993-A0EF-C2B0598F55CD}"/>
    <cellStyle name="Normal 2 6 3 26 2 3 2" xfId="15572" xr:uid="{8E65D7BD-A39C-4ACF-AF82-6B7B5EFD6A97}"/>
    <cellStyle name="Normal 2 6 3 26 2 4" xfId="15570" xr:uid="{5913644D-E9C8-47B2-B65D-022559B2E386}"/>
    <cellStyle name="Normal 2 6 3 26 3" xfId="6745" xr:uid="{EDBDC54C-6EAF-4D5C-B766-3297B8F195D0}"/>
    <cellStyle name="Normal 2 6 3 26 3 2" xfId="15573" xr:uid="{B4F93F6B-01E0-4FE8-9B5D-64462D31D58B}"/>
    <cellStyle name="Normal 2 6 3 26 4" xfId="6746" xr:uid="{13CBACE1-086A-484C-8217-74C0ED7DD398}"/>
    <cellStyle name="Normal 2 6 3 26 4 2" xfId="15574" xr:uid="{2CAF25B4-784A-40B7-B586-EAFD193BA339}"/>
    <cellStyle name="Normal 2 6 3 26 5" xfId="15569" xr:uid="{D6F89AE9-25B8-46D8-BB9C-DA3D4917FC5D}"/>
    <cellStyle name="Normal 2 6 3 27" xfId="6747" xr:uid="{CDECD54A-F420-4DC5-89C4-7C7A3392FAD4}"/>
    <cellStyle name="Normal 2 6 3 27 2" xfId="6748" xr:uid="{4B8A5925-E8C3-434A-9949-18C1579ACBE1}"/>
    <cellStyle name="Normal 2 6 3 27 2 2" xfId="6749" xr:uid="{E7560017-9018-4DCA-9945-E6B2D1F86AC8}"/>
    <cellStyle name="Normal 2 6 3 27 2 2 2" xfId="15577" xr:uid="{5F7A5EBE-DAE3-4DBD-AF83-BC60F207C089}"/>
    <cellStyle name="Normal 2 6 3 27 2 3" xfId="6750" xr:uid="{2226CE67-46CA-4736-AE96-53D23801C43C}"/>
    <cellStyle name="Normal 2 6 3 27 2 3 2" xfId="15578" xr:uid="{DD040E6A-925B-4357-A19F-510075C2F5FC}"/>
    <cellStyle name="Normal 2 6 3 27 2 4" xfId="15576" xr:uid="{3580BE9A-D15B-46DD-873A-9CC30BD6F87A}"/>
    <cellStyle name="Normal 2 6 3 27 3" xfId="6751" xr:uid="{6D8BFD5C-DF05-46C0-9C1D-4397172C61F8}"/>
    <cellStyle name="Normal 2 6 3 27 3 2" xfId="15579" xr:uid="{43FD68E4-0437-48C3-8551-577C9D544490}"/>
    <cellStyle name="Normal 2 6 3 27 4" xfId="6752" xr:uid="{40374C47-C99A-4C3F-AA28-52A7D6F2BFB0}"/>
    <cellStyle name="Normal 2 6 3 27 4 2" xfId="15580" xr:uid="{8DB609B3-320E-4BFF-BB8A-9F996A3C812B}"/>
    <cellStyle name="Normal 2 6 3 27 5" xfId="15575" xr:uid="{93BAE593-35A0-43F5-9DF5-7CF6C57CA50C}"/>
    <cellStyle name="Normal 2 6 3 28" xfId="6753" xr:uid="{145CF28F-0050-4F76-96CD-50B1E6E50708}"/>
    <cellStyle name="Normal 2 6 3 28 2" xfId="6754" xr:uid="{C3626CF6-13BA-4B24-AA25-36DE95D63113}"/>
    <cellStyle name="Normal 2 6 3 28 2 2" xfId="6755" xr:uid="{8B9219EB-B53C-4A63-874D-493A14389720}"/>
    <cellStyle name="Normal 2 6 3 28 2 2 2" xfId="15583" xr:uid="{11EC3122-3116-4AC3-86A1-ACA3C1952430}"/>
    <cellStyle name="Normal 2 6 3 28 2 3" xfId="6756" xr:uid="{C6572C10-16C6-49E7-94A9-056879EFDF30}"/>
    <cellStyle name="Normal 2 6 3 28 2 3 2" xfId="15584" xr:uid="{61116D61-89FC-48EF-BDD6-CA60A068752A}"/>
    <cellStyle name="Normal 2 6 3 28 2 4" xfId="15582" xr:uid="{4BCEA70F-EE86-49DD-9FDB-A3CB138186FA}"/>
    <cellStyle name="Normal 2 6 3 28 3" xfId="6757" xr:uid="{15C663E4-077E-43D8-815A-2097DE61B3D1}"/>
    <cellStyle name="Normal 2 6 3 28 3 2" xfId="15585" xr:uid="{14B7A598-6F5A-4A17-9B2D-354FEBE51D41}"/>
    <cellStyle name="Normal 2 6 3 28 4" xfId="6758" xr:uid="{E470118F-CF10-4595-84F1-C661363B825A}"/>
    <cellStyle name="Normal 2 6 3 28 4 2" xfId="15586" xr:uid="{B401E262-2E9D-4AEE-ADFB-B38D127BC2E3}"/>
    <cellStyle name="Normal 2 6 3 28 5" xfId="15581" xr:uid="{1931CB38-ADB7-4A01-9457-8DFFB22A3BAA}"/>
    <cellStyle name="Normal 2 6 3 29" xfId="6759" xr:uid="{1E20D600-7B46-43E4-A05E-DF9EC7C2800F}"/>
    <cellStyle name="Normal 2 6 3 29 2" xfId="6760" xr:uid="{FEE4470F-BF7D-4096-B9D0-2B22E39C365E}"/>
    <cellStyle name="Normal 2 6 3 29 2 2" xfId="6761" xr:uid="{53FA7AE8-94FD-4BB0-B432-BB7D0EC93D39}"/>
    <cellStyle name="Normal 2 6 3 29 2 2 2" xfId="15589" xr:uid="{B61AF111-2B66-48EA-A5B8-297181B5DD99}"/>
    <cellStyle name="Normal 2 6 3 29 2 3" xfId="6762" xr:uid="{C59C1983-2443-474F-94A5-5E91855140D7}"/>
    <cellStyle name="Normal 2 6 3 29 2 3 2" xfId="15590" xr:uid="{4758909B-11C7-48D8-BEE1-11BBC1515E79}"/>
    <cellStyle name="Normal 2 6 3 29 2 4" xfId="15588" xr:uid="{C010A149-F7D3-44B1-927F-3768F6E912AB}"/>
    <cellStyle name="Normal 2 6 3 29 3" xfId="6763" xr:uid="{7593F0AF-780C-45E7-A0D5-46F36AC47F06}"/>
    <cellStyle name="Normal 2 6 3 29 3 2" xfId="15591" xr:uid="{678240FD-0BA5-46D3-BEBC-6EB0D7B287CC}"/>
    <cellStyle name="Normal 2 6 3 29 4" xfId="6764" xr:uid="{90389861-258C-4A1A-8733-4C6A9219CD9A}"/>
    <cellStyle name="Normal 2 6 3 29 4 2" xfId="15592" xr:uid="{0F41B2C4-054B-492A-89FD-08AC0FE226E6}"/>
    <cellStyle name="Normal 2 6 3 29 5" xfId="15587" xr:uid="{179FD154-32D2-407D-87B6-E683249A318C}"/>
    <cellStyle name="Normal 2 6 3 3" xfId="6765" xr:uid="{DC28AEF4-DD25-4571-86D1-49D53FDEF3C9}"/>
    <cellStyle name="Normal 2 6 3 3 2" xfId="6766" xr:uid="{121E7906-F207-4AFC-96CD-72E5187ED271}"/>
    <cellStyle name="Normal 2 6 3 3 2 2" xfId="6767" xr:uid="{0F2D3B12-D393-46F3-9043-C78E5928E12C}"/>
    <cellStyle name="Normal 2 6 3 3 2 2 2" xfId="15595" xr:uid="{6A73AD4B-930B-409C-B768-A520ED950E07}"/>
    <cellStyle name="Normal 2 6 3 3 2 3" xfId="6768" xr:uid="{247EEB33-F440-4E55-A883-A02AF65C5D95}"/>
    <cellStyle name="Normal 2 6 3 3 2 3 2" xfId="15596" xr:uid="{50199D03-8419-4470-886A-F8E9E17B7F62}"/>
    <cellStyle name="Normal 2 6 3 3 2 4" xfId="15594" xr:uid="{4301EA13-E3E9-4E63-848A-1BB07B181AD7}"/>
    <cellStyle name="Normal 2 6 3 3 3" xfId="6769" xr:uid="{F3FAD308-B261-4BBE-B233-52F6394BB6F5}"/>
    <cellStyle name="Normal 2 6 3 3 3 2" xfId="15597" xr:uid="{6FA9AB53-C9F1-46A7-B30A-2F33D6361272}"/>
    <cellStyle name="Normal 2 6 3 3 4" xfId="6770" xr:uid="{2FEA8438-3B56-443D-83A9-8E39BEA4FA84}"/>
    <cellStyle name="Normal 2 6 3 3 4 2" xfId="15598" xr:uid="{A955B646-B18C-4857-8A4A-71F62C7A6F4A}"/>
    <cellStyle name="Normal 2 6 3 3 5" xfId="15593" xr:uid="{D187B705-911A-4D58-B669-14B71B8E737E}"/>
    <cellStyle name="Normal 2 6 3 30" xfId="6771" xr:uid="{A90D4B2A-0640-4E19-96D7-BA5B51268DC5}"/>
    <cellStyle name="Normal 2 6 3 30 2" xfId="6772" xr:uid="{0418CB95-F587-4F98-81D3-759DC94DA2A1}"/>
    <cellStyle name="Normal 2 6 3 30 2 2" xfId="6773" xr:uid="{54A9F71B-723F-4603-AAF8-8DD8DD4C3099}"/>
    <cellStyle name="Normal 2 6 3 30 2 2 2" xfId="15601" xr:uid="{1181271C-2990-40B7-9665-D25830E3A2EA}"/>
    <cellStyle name="Normal 2 6 3 30 2 3" xfId="6774" xr:uid="{D352BCB8-C10E-4ADA-95DB-AEF4DB78DB08}"/>
    <cellStyle name="Normal 2 6 3 30 2 3 2" xfId="15602" xr:uid="{D3AC2DFC-9DE5-4098-B0BD-F335380BB7F3}"/>
    <cellStyle name="Normal 2 6 3 30 2 4" xfId="15600" xr:uid="{61E1AD91-E13B-4329-B6A8-E7B2F0348287}"/>
    <cellStyle name="Normal 2 6 3 30 3" xfId="6775" xr:uid="{7E23C5F9-6486-4085-AB8C-22327A2A4190}"/>
    <cellStyle name="Normal 2 6 3 30 3 2" xfId="15603" xr:uid="{B0D6903B-6315-4E3C-8964-3DC638079734}"/>
    <cellStyle name="Normal 2 6 3 30 4" xfId="6776" xr:uid="{3477E5B6-20FE-41E8-97FB-E5591371B5CE}"/>
    <cellStyle name="Normal 2 6 3 30 4 2" xfId="15604" xr:uid="{63EB5AA5-2A01-4008-87EB-B081960752A1}"/>
    <cellStyle name="Normal 2 6 3 30 5" xfId="15599" xr:uid="{F22C9F19-0E02-470F-A916-472A216F3174}"/>
    <cellStyle name="Normal 2 6 3 31" xfId="6777" xr:uid="{65AFB1D0-4902-4513-B425-777C55AE5D1B}"/>
    <cellStyle name="Normal 2 6 3 31 2" xfId="6778" xr:uid="{854B4EAF-30C6-49FA-A37A-D97381863566}"/>
    <cellStyle name="Normal 2 6 3 31 2 2" xfId="6779" xr:uid="{D0FC8153-9ABE-4B94-9C96-E8EB6B1F35E4}"/>
    <cellStyle name="Normal 2 6 3 31 2 2 2" xfId="15607" xr:uid="{FE8B0354-573F-498B-9DFB-6AE58EB65CD5}"/>
    <cellStyle name="Normal 2 6 3 31 2 3" xfId="6780" xr:uid="{47EFDC9B-5FD7-45F0-8E96-49CA77CF3B3B}"/>
    <cellStyle name="Normal 2 6 3 31 2 3 2" xfId="15608" xr:uid="{E250D678-B8F7-4213-8DB8-95C3C395F65A}"/>
    <cellStyle name="Normal 2 6 3 31 2 4" xfId="15606" xr:uid="{5F00849D-D897-4B8E-AF2B-EC0B0125DC1A}"/>
    <cellStyle name="Normal 2 6 3 31 3" xfId="6781" xr:uid="{04073D1D-3AF0-455C-A2F5-F297FB9E2BB9}"/>
    <cellStyle name="Normal 2 6 3 31 3 2" xfId="15609" xr:uid="{A66BAF32-FBFA-4ADE-ACD5-73B14590786C}"/>
    <cellStyle name="Normal 2 6 3 31 4" xfId="6782" xr:uid="{BFB4E0A5-0D10-4C08-BF2D-843BE5EBCFB3}"/>
    <cellStyle name="Normal 2 6 3 31 4 2" xfId="15610" xr:uid="{824296F0-1C31-4A6A-A036-CC0C83BCA341}"/>
    <cellStyle name="Normal 2 6 3 31 5" xfId="15605" xr:uid="{C2F14DFD-5A8A-48B6-A3F8-C962FFD3085C}"/>
    <cellStyle name="Normal 2 6 3 32" xfId="6783" xr:uid="{EDC8CBA3-502A-4CD4-BF30-89FA939E4775}"/>
    <cellStyle name="Normal 2 6 3 32 2" xfId="6784" xr:uid="{19EEC22D-C25A-42F2-B91C-3644A855DACA}"/>
    <cellStyle name="Normal 2 6 3 32 2 2" xfId="6785" xr:uid="{272FA7D5-54E0-4E93-9740-6A0AA9F56C52}"/>
    <cellStyle name="Normal 2 6 3 32 2 2 2" xfId="15613" xr:uid="{491C3FC2-9EBB-4275-8D3E-02C8FF23B09C}"/>
    <cellStyle name="Normal 2 6 3 32 2 3" xfId="6786" xr:uid="{495415E3-E11D-4F43-9E89-EB920A3DD377}"/>
    <cellStyle name="Normal 2 6 3 32 2 3 2" xfId="15614" xr:uid="{C9FF2AE2-D841-42B6-8F75-F75744B2C031}"/>
    <cellStyle name="Normal 2 6 3 32 2 4" xfId="15612" xr:uid="{6331C0F2-0270-48EA-883C-F627309C569B}"/>
    <cellStyle name="Normal 2 6 3 32 3" xfId="6787" xr:uid="{8F52F951-26F5-453F-B274-E525265C0567}"/>
    <cellStyle name="Normal 2 6 3 32 3 2" xfId="15615" xr:uid="{AFF89B45-F2F1-4330-977F-04CA08BDD49B}"/>
    <cellStyle name="Normal 2 6 3 32 4" xfId="6788" xr:uid="{FA24A997-C814-4BE7-BD02-5FCBC228D987}"/>
    <cellStyle name="Normal 2 6 3 32 4 2" xfId="15616" xr:uid="{D724B34F-1B05-4030-9862-BF7C67C755B8}"/>
    <cellStyle name="Normal 2 6 3 32 5" xfId="15611" xr:uid="{D3CC3D07-924D-45B6-84FF-387DB8892449}"/>
    <cellStyle name="Normal 2 6 3 33" xfId="6789" xr:uid="{6279AE5B-2E8A-4030-BBE2-B1A3C2DE8D7D}"/>
    <cellStyle name="Normal 2 6 3 33 2" xfId="6790" xr:uid="{42C7E449-4CD6-4E25-B652-231B29B85DFE}"/>
    <cellStyle name="Normal 2 6 3 33 2 2" xfId="6791" xr:uid="{6BE616B3-D8EB-4F93-8D44-8021C0DABF17}"/>
    <cellStyle name="Normal 2 6 3 33 2 2 2" xfId="15619" xr:uid="{537C18F1-5BD9-461A-8A79-F7B7986E696E}"/>
    <cellStyle name="Normal 2 6 3 33 2 3" xfId="6792" xr:uid="{D5CBBCB1-10BA-40C8-A72D-62EB74A4EFA3}"/>
    <cellStyle name="Normal 2 6 3 33 2 3 2" xfId="15620" xr:uid="{10C53395-15F1-4642-AF7A-4701FA77FF4A}"/>
    <cellStyle name="Normal 2 6 3 33 2 4" xfId="15618" xr:uid="{DE27DF47-163B-4962-82FB-9F0E3F82295A}"/>
    <cellStyle name="Normal 2 6 3 33 3" xfId="6793" xr:uid="{0E157E14-B073-4F86-AAB1-AE45856A7139}"/>
    <cellStyle name="Normal 2 6 3 33 3 2" xfId="15621" xr:uid="{68EB3245-DC4C-44DA-9806-0A71A13C9B88}"/>
    <cellStyle name="Normal 2 6 3 33 4" xfId="6794" xr:uid="{1CB96A4B-B28E-4B04-936F-F941973FC04F}"/>
    <cellStyle name="Normal 2 6 3 33 4 2" xfId="15622" xr:uid="{D2F82776-7304-4857-80CD-9CAEFEC27872}"/>
    <cellStyle name="Normal 2 6 3 33 5" xfId="15617" xr:uid="{8318B3A7-E47E-4203-AD83-3769F1782F17}"/>
    <cellStyle name="Normal 2 6 3 34" xfId="6795" xr:uid="{26B92730-C698-4EE0-869E-B774D792D77E}"/>
    <cellStyle name="Normal 2 6 3 34 2" xfId="6796" xr:uid="{A5415601-5DB1-4359-8505-055242363ADF}"/>
    <cellStyle name="Normal 2 6 3 34 2 2" xfId="6797" xr:uid="{758F6AFE-B069-4C6D-A2C3-AA8432F19718}"/>
    <cellStyle name="Normal 2 6 3 34 2 2 2" xfId="15625" xr:uid="{FA9060E7-77AF-440D-8994-5349BF5F5DAB}"/>
    <cellStyle name="Normal 2 6 3 34 2 3" xfId="6798" xr:uid="{7EFCCA86-E80B-475B-A85F-525F5936382E}"/>
    <cellStyle name="Normal 2 6 3 34 2 3 2" xfId="15626" xr:uid="{D2AB5514-A35A-4BA1-B552-75E7E52ACEB1}"/>
    <cellStyle name="Normal 2 6 3 34 2 4" xfId="15624" xr:uid="{BF85616D-5707-4AC2-9727-1E55256C886A}"/>
    <cellStyle name="Normal 2 6 3 34 3" xfId="6799" xr:uid="{392786F4-7CDC-435B-A5C9-609552F0EAB8}"/>
    <cellStyle name="Normal 2 6 3 34 3 2" xfId="15627" xr:uid="{4206B624-1DE4-4CE9-8203-C0EB27E0F095}"/>
    <cellStyle name="Normal 2 6 3 34 4" xfId="6800" xr:uid="{2D20F5C9-A7A2-4BF8-B890-614F4C040984}"/>
    <cellStyle name="Normal 2 6 3 34 4 2" xfId="15628" xr:uid="{0D4CFF6F-2340-43E8-831E-E44A738895D6}"/>
    <cellStyle name="Normal 2 6 3 34 5" xfId="15623" xr:uid="{711523BD-4FC5-4DB4-9895-75AE3B911F28}"/>
    <cellStyle name="Normal 2 6 3 35" xfId="6801" xr:uid="{4B8759E9-6D27-45CB-96E7-6D8F91026579}"/>
    <cellStyle name="Normal 2 6 3 35 2" xfId="6802" xr:uid="{3EA95398-48F0-4513-B4A8-2E8FDC60F419}"/>
    <cellStyle name="Normal 2 6 3 35 2 2" xfId="6803" xr:uid="{2E536109-0B61-4647-BBAC-DB9EE2400796}"/>
    <cellStyle name="Normal 2 6 3 35 2 2 2" xfId="15631" xr:uid="{1C01E14A-7229-45BC-A308-DE68C8C0FFC6}"/>
    <cellStyle name="Normal 2 6 3 35 2 3" xfId="6804" xr:uid="{5442A4E7-D264-47B6-B182-AB92181A51C0}"/>
    <cellStyle name="Normal 2 6 3 35 2 3 2" xfId="15632" xr:uid="{481F45E1-1CE2-45B1-9590-B30F8E2ADD10}"/>
    <cellStyle name="Normal 2 6 3 35 2 4" xfId="15630" xr:uid="{87427845-66A6-418C-9A8C-54FCEF32F884}"/>
    <cellStyle name="Normal 2 6 3 35 3" xfId="6805" xr:uid="{8581D45B-D62C-479C-B89F-2CCD0E39DE0D}"/>
    <cellStyle name="Normal 2 6 3 35 3 2" xfId="15633" xr:uid="{56C752A1-C145-4474-A636-BD77BFA86A52}"/>
    <cellStyle name="Normal 2 6 3 35 4" xfId="6806" xr:uid="{96E3D1C8-2E02-45A1-AC4F-90950851F44E}"/>
    <cellStyle name="Normal 2 6 3 35 4 2" xfId="15634" xr:uid="{AC0DE24A-66EA-4CDF-BBC6-9904888B9B23}"/>
    <cellStyle name="Normal 2 6 3 35 5" xfId="15629" xr:uid="{B87D0192-8CE2-461B-AAB1-A80485D5B407}"/>
    <cellStyle name="Normal 2 6 3 36" xfId="6807" xr:uid="{1376520D-CAA9-45C6-8689-00B6FAFAC28B}"/>
    <cellStyle name="Normal 2 6 3 36 2" xfId="6808" xr:uid="{B4ADAAD0-C27A-46D9-B906-DE5922F9C956}"/>
    <cellStyle name="Normal 2 6 3 36 2 2" xfId="6809" xr:uid="{83061687-9458-4D90-BEB3-8373F2F1A1A1}"/>
    <cellStyle name="Normal 2 6 3 36 2 2 2" xfId="15637" xr:uid="{F658DE55-7345-4EF4-A81B-0319233A99F5}"/>
    <cellStyle name="Normal 2 6 3 36 2 3" xfId="6810" xr:uid="{20E8793A-DE42-4E2C-8517-C6E408B97FF6}"/>
    <cellStyle name="Normal 2 6 3 36 2 3 2" xfId="15638" xr:uid="{1B689B24-9955-4082-B901-0A36F2468ACE}"/>
    <cellStyle name="Normal 2 6 3 36 2 4" xfId="15636" xr:uid="{DAF4D101-E9F5-48AF-AC73-005ED037A0AC}"/>
    <cellStyle name="Normal 2 6 3 36 3" xfId="6811" xr:uid="{632FFF04-3F24-4D38-8E12-D312F70FA89A}"/>
    <cellStyle name="Normal 2 6 3 36 3 2" xfId="15639" xr:uid="{6DE2CB46-B0D6-46D4-B071-DBD3FC9E06A4}"/>
    <cellStyle name="Normal 2 6 3 36 4" xfId="6812" xr:uid="{6A89AE2A-3C87-4D3B-9F59-2DAEEF113882}"/>
    <cellStyle name="Normal 2 6 3 36 4 2" xfId="15640" xr:uid="{55B712B3-7F98-438C-81E3-2C89C8C2CEAF}"/>
    <cellStyle name="Normal 2 6 3 36 5" xfId="15635" xr:uid="{7721D6D9-EF26-40DC-88FF-86129657C5AF}"/>
    <cellStyle name="Normal 2 6 3 37" xfId="6813" xr:uid="{2C82758D-2E48-452D-995A-49784BB1149F}"/>
    <cellStyle name="Normal 2 6 3 37 2" xfId="6814" xr:uid="{E566C07C-5F1D-4623-9CF4-58B05E892F52}"/>
    <cellStyle name="Normal 2 6 3 37 2 2" xfId="6815" xr:uid="{75113694-668E-4783-A8E6-E61627A6A457}"/>
    <cellStyle name="Normal 2 6 3 37 2 2 2" xfId="15643" xr:uid="{751AD313-442B-4240-8B5B-73F333BEDE39}"/>
    <cellStyle name="Normal 2 6 3 37 2 3" xfId="6816" xr:uid="{C39A5B76-AD31-4E6B-BA6B-0DE3AB3704C6}"/>
    <cellStyle name="Normal 2 6 3 37 2 3 2" xfId="15644" xr:uid="{A16F6F06-A481-4FF0-8FFD-393BAC533CDE}"/>
    <cellStyle name="Normal 2 6 3 37 2 4" xfId="15642" xr:uid="{14F11F13-3D57-470E-83AD-CE7E1325CEC8}"/>
    <cellStyle name="Normal 2 6 3 37 3" xfId="6817" xr:uid="{FBE97460-0D75-485B-BFC4-E80F6002D2C8}"/>
    <cellStyle name="Normal 2 6 3 37 3 2" xfId="15645" xr:uid="{9E7027AD-4646-42AC-B710-8DB0ACFCE19C}"/>
    <cellStyle name="Normal 2 6 3 37 4" xfId="6818" xr:uid="{FED5E70F-38D3-4264-8513-17F0FD362D1B}"/>
    <cellStyle name="Normal 2 6 3 37 4 2" xfId="15646" xr:uid="{B4AC9B21-D69E-47BA-86FE-F5575B117085}"/>
    <cellStyle name="Normal 2 6 3 37 5" xfId="15641" xr:uid="{5FB95FF6-2868-42DB-AA6A-50F3F16711A1}"/>
    <cellStyle name="Normal 2 6 3 38" xfId="6819" xr:uid="{9644E66C-8274-4DAF-B90A-B143EB5B1350}"/>
    <cellStyle name="Normal 2 6 3 38 2" xfId="6820" xr:uid="{8688B131-ECE3-4945-A8C6-EA9AB6D00964}"/>
    <cellStyle name="Normal 2 6 3 38 2 2" xfId="6821" xr:uid="{553F7707-CD92-45E0-B68A-D3816E393E1B}"/>
    <cellStyle name="Normal 2 6 3 38 2 2 2" xfId="15649" xr:uid="{D5E0DF6C-2584-4132-887F-A2B17E944C71}"/>
    <cellStyle name="Normal 2 6 3 38 2 3" xfId="6822" xr:uid="{FED11E8D-C059-4F19-BD63-8C0BDBA6A53E}"/>
    <cellStyle name="Normal 2 6 3 38 2 3 2" xfId="15650" xr:uid="{1B154113-D08F-4D02-85B4-5892D368CE0D}"/>
    <cellStyle name="Normal 2 6 3 38 2 4" xfId="15648" xr:uid="{AE191E14-4480-46C9-A116-6DDFD06C628B}"/>
    <cellStyle name="Normal 2 6 3 38 3" xfId="6823" xr:uid="{708CE3C2-C4FC-4B8F-BAD9-1F03EE097397}"/>
    <cellStyle name="Normal 2 6 3 38 3 2" xfId="15651" xr:uid="{B636BDFB-F56E-46CF-BDFD-D29E760F1E8E}"/>
    <cellStyle name="Normal 2 6 3 38 4" xfId="6824" xr:uid="{F7C149CE-5587-4145-92FC-6A274BB47F0D}"/>
    <cellStyle name="Normal 2 6 3 38 4 2" xfId="15652" xr:uid="{4B1674BD-642E-431C-8C60-08DFA0163C13}"/>
    <cellStyle name="Normal 2 6 3 38 5" xfId="15647" xr:uid="{4077A093-9532-4CA6-B910-CA38B767E6F7}"/>
    <cellStyle name="Normal 2 6 3 39" xfId="6825" xr:uid="{601A5A98-A979-4A40-BC3F-96D2645E4EE5}"/>
    <cellStyle name="Normal 2 6 3 39 2" xfId="6826" xr:uid="{0AFB76C6-C452-4FB5-BAD1-E098ED4822A1}"/>
    <cellStyle name="Normal 2 6 3 39 2 2" xfId="6827" xr:uid="{DDF6EBFD-164C-4995-96F7-FE9BA58F2CBC}"/>
    <cellStyle name="Normal 2 6 3 39 2 2 2" xfId="15655" xr:uid="{3D64F50D-8922-4893-8C2D-F32FC58EC57A}"/>
    <cellStyle name="Normal 2 6 3 39 2 3" xfId="6828" xr:uid="{A97C9620-CD0E-432F-8494-1CC8C23E5B19}"/>
    <cellStyle name="Normal 2 6 3 39 2 3 2" xfId="15656" xr:uid="{7A9DC1B3-7922-4151-BF73-862F65689CD8}"/>
    <cellStyle name="Normal 2 6 3 39 2 4" xfId="15654" xr:uid="{9C602E2C-F64F-49CF-BC6C-99813EB6F05A}"/>
    <cellStyle name="Normal 2 6 3 39 3" xfId="6829" xr:uid="{D1AAA9B6-0D0B-423D-8A12-D2986CC9CC20}"/>
    <cellStyle name="Normal 2 6 3 39 3 2" xfId="15657" xr:uid="{D68381DE-BD4D-45A5-A3B7-9518DE13D784}"/>
    <cellStyle name="Normal 2 6 3 39 4" xfId="6830" xr:uid="{CA34BE55-0640-4295-9AE8-00B14532C8DB}"/>
    <cellStyle name="Normal 2 6 3 39 4 2" xfId="15658" xr:uid="{DAC144BE-8A7B-42A9-B816-B6F6B54B85C3}"/>
    <cellStyle name="Normal 2 6 3 39 5" xfId="15653" xr:uid="{1A892FA3-3E9C-424C-B897-9D30325AA84C}"/>
    <cellStyle name="Normal 2 6 3 4" xfId="6831" xr:uid="{3479E101-A084-4DF2-BC9D-79859AE84DC1}"/>
    <cellStyle name="Normal 2 6 3 4 2" xfId="6832" xr:uid="{8F742919-E51E-4F0D-9B71-103145DB0494}"/>
    <cellStyle name="Normal 2 6 3 4 2 2" xfId="6833" xr:uid="{DBC30DF5-3C0D-4A16-91D9-7A30DE0B351C}"/>
    <cellStyle name="Normal 2 6 3 4 2 2 2" xfId="15661" xr:uid="{9D710B4C-6DF9-4FCA-92F5-95D574E3B23D}"/>
    <cellStyle name="Normal 2 6 3 4 2 3" xfId="6834" xr:uid="{90B17E22-6164-40D3-9306-704E911CC8BD}"/>
    <cellStyle name="Normal 2 6 3 4 2 3 2" xfId="15662" xr:uid="{F198F680-E363-4B18-A1EB-C1E8A853674A}"/>
    <cellStyle name="Normal 2 6 3 4 2 4" xfId="15660" xr:uid="{84B8CBF3-3695-479D-995E-AF60E14994DD}"/>
    <cellStyle name="Normal 2 6 3 4 3" xfId="6835" xr:uid="{C837E389-7617-45EA-BCBF-D12191B41342}"/>
    <cellStyle name="Normal 2 6 3 4 3 2" xfId="15663" xr:uid="{4D7A9BC8-7D9C-43CA-9410-77DE2F0284CB}"/>
    <cellStyle name="Normal 2 6 3 4 4" xfId="6836" xr:uid="{635626F2-A665-4745-B432-B013C4BFEF4E}"/>
    <cellStyle name="Normal 2 6 3 4 4 2" xfId="15664" xr:uid="{2E50FFF7-856F-499A-BAEC-D7C47B8C19A7}"/>
    <cellStyle name="Normal 2 6 3 4 5" xfId="15659" xr:uid="{C07D3F03-2F2D-4AD3-B4EC-A9F10B85600C}"/>
    <cellStyle name="Normal 2 6 3 40" xfId="6837" xr:uid="{6AB9D529-9A90-4C5E-9898-44A07BE61DBA}"/>
    <cellStyle name="Normal 2 6 3 40 2" xfId="6838" xr:uid="{713A4406-7CD0-4F0B-BC21-7A3E583A2C07}"/>
    <cellStyle name="Normal 2 6 3 40 2 2" xfId="6839" xr:uid="{2A5DC0A4-C657-4676-8E7B-8435DEC0A02C}"/>
    <cellStyle name="Normal 2 6 3 40 2 2 2" xfId="15667" xr:uid="{4D88933D-B1A1-49FC-8EBC-52F25DC442BE}"/>
    <cellStyle name="Normal 2 6 3 40 2 3" xfId="6840" xr:uid="{4993628F-B23C-4C4C-9BAC-FE1C4CB8418D}"/>
    <cellStyle name="Normal 2 6 3 40 2 3 2" xfId="15668" xr:uid="{CBE770BF-864D-4514-B597-1FAF85B536F3}"/>
    <cellStyle name="Normal 2 6 3 40 2 4" xfId="15666" xr:uid="{6F411FD7-3149-4EA3-918E-1913F54BA120}"/>
    <cellStyle name="Normal 2 6 3 40 3" xfId="6841" xr:uid="{E424B38D-0F7B-43E9-8941-3F83670962D2}"/>
    <cellStyle name="Normal 2 6 3 40 3 2" xfId="15669" xr:uid="{4D0E894D-CEC7-41D8-8B21-6B044C12F58A}"/>
    <cellStyle name="Normal 2 6 3 40 4" xfId="6842" xr:uid="{1428B7F4-B769-4185-A85C-1F3E8F224046}"/>
    <cellStyle name="Normal 2 6 3 40 4 2" xfId="15670" xr:uid="{85096C91-8471-4E45-8895-BAB92F9B6F8C}"/>
    <cellStyle name="Normal 2 6 3 40 5" xfId="15665" xr:uid="{8F6EC680-BF18-460F-A40B-62A06A1408C4}"/>
    <cellStyle name="Normal 2 6 3 41" xfId="6843" xr:uid="{A5483AE3-0243-4041-BC06-4BDD389D6380}"/>
    <cellStyle name="Normal 2 6 3 41 2" xfId="6844" xr:uid="{8E8A5FAE-F976-4FB3-B085-8BD908D78374}"/>
    <cellStyle name="Normal 2 6 3 41 2 2" xfId="6845" xr:uid="{CA3A1F43-AE21-49FA-8F23-EDCBE7E96FC2}"/>
    <cellStyle name="Normal 2 6 3 41 2 2 2" xfId="15673" xr:uid="{9B341376-3BA7-47CB-AEDD-040404C30695}"/>
    <cellStyle name="Normal 2 6 3 41 2 3" xfId="6846" xr:uid="{AF9BEE2A-F518-46AC-AF21-EB9B125A87E3}"/>
    <cellStyle name="Normal 2 6 3 41 2 3 2" xfId="15674" xr:uid="{A9132331-94BE-46D9-B791-65B10141D6C9}"/>
    <cellStyle name="Normal 2 6 3 41 2 4" xfId="15672" xr:uid="{5ED8095B-AB7A-4077-86A6-4DB01237B0A9}"/>
    <cellStyle name="Normal 2 6 3 41 3" xfId="6847" xr:uid="{C08A8EE8-CD91-44DF-857A-EDE0585BCA6B}"/>
    <cellStyle name="Normal 2 6 3 41 3 2" xfId="15675" xr:uid="{70491CA6-18CD-42B4-9DC9-6C7365003DCA}"/>
    <cellStyle name="Normal 2 6 3 41 4" xfId="6848" xr:uid="{74F58CA3-7A22-47A1-B9E6-9E59EF66832C}"/>
    <cellStyle name="Normal 2 6 3 41 4 2" xfId="15676" xr:uid="{229487EE-2525-4498-B859-367FEF827CBB}"/>
    <cellStyle name="Normal 2 6 3 41 5" xfId="15671" xr:uid="{6E008D1F-0360-4634-B7C8-275E0E427BE6}"/>
    <cellStyle name="Normal 2 6 3 42" xfId="6849" xr:uid="{7B5B368E-9AB7-4170-9BB8-38E179663DF9}"/>
    <cellStyle name="Normal 2 6 3 42 2" xfId="6850" xr:uid="{64D7F33D-FDE8-4D35-A1F8-DD4F86DF12C8}"/>
    <cellStyle name="Normal 2 6 3 42 2 2" xfId="6851" xr:uid="{F7EB0F9F-8701-4825-96EF-3BC27ABA4BB4}"/>
    <cellStyle name="Normal 2 6 3 42 2 2 2" xfId="15679" xr:uid="{65685FFD-4897-47C3-AFBD-1D3087656728}"/>
    <cellStyle name="Normal 2 6 3 42 2 3" xfId="6852" xr:uid="{0D3A1AC0-CA83-40E3-9E2D-ED0EE9D24F0B}"/>
    <cellStyle name="Normal 2 6 3 42 2 3 2" xfId="15680" xr:uid="{9C82F835-A57D-440B-93F4-CA005718C3DE}"/>
    <cellStyle name="Normal 2 6 3 42 2 4" xfId="15678" xr:uid="{E86DE421-B90F-4EA4-B28C-44A5D48EAA8C}"/>
    <cellStyle name="Normal 2 6 3 42 3" xfId="6853" xr:uid="{11D1DD80-EB28-400C-BD76-2B982920C70F}"/>
    <cellStyle name="Normal 2 6 3 42 3 2" xfId="15681" xr:uid="{22FF9731-7CCF-468E-84B9-5BA04B41EB76}"/>
    <cellStyle name="Normal 2 6 3 42 4" xfId="6854" xr:uid="{2F58AFC3-8271-4120-8407-D20B869A2138}"/>
    <cellStyle name="Normal 2 6 3 42 4 2" xfId="15682" xr:uid="{CEA028E7-8BBC-4DC6-AF85-C07A8102A257}"/>
    <cellStyle name="Normal 2 6 3 42 5" xfId="15677" xr:uid="{55A534B0-4CA6-45D0-A915-C3B8E435D75D}"/>
    <cellStyle name="Normal 2 6 3 43" xfId="6855" xr:uid="{507C8E48-6C0C-4DF6-919D-D6A4C6C32831}"/>
    <cellStyle name="Normal 2 6 3 43 2" xfId="6856" xr:uid="{00E472E2-685E-42C7-A736-73806D9E458C}"/>
    <cellStyle name="Normal 2 6 3 43 2 2" xfId="6857" xr:uid="{A6470FDB-874D-49C8-B7B5-356779A4E4C3}"/>
    <cellStyle name="Normal 2 6 3 43 2 2 2" xfId="15685" xr:uid="{1A319C82-B8C7-44C4-8E42-8211D19FDF48}"/>
    <cellStyle name="Normal 2 6 3 43 2 3" xfId="6858" xr:uid="{30DBE501-6B3A-454E-BEF1-89A56CF192BA}"/>
    <cellStyle name="Normal 2 6 3 43 2 3 2" xfId="15686" xr:uid="{5093556E-7A0D-4F8B-AE5E-20DE9641A494}"/>
    <cellStyle name="Normal 2 6 3 43 2 4" xfId="15684" xr:uid="{D4678C5F-21DD-4FB0-9599-5400D3368806}"/>
    <cellStyle name="Normal 2 6 3 43 3" xfId="6859" xr:uid="{C6DBF5D1-CCE9-4E5F-B904-993406EAED14}"/>
    <cellStyle name="Normal 2 6 3 43 3 2" xfId="15687" xr:uid="{7F09EEC4-F14D-44E3-88DC-81939B5F6835}"/>
    <cellStyle name="Normal 2 6 3 43 4" xfId="6860" xr:uid="{D4EDD49A-26E1-4E20-9702-AD8CA6F7FE6A}"/>
    <cellStyle name="Normal 2 6 3 43 4 2" xfId="15688" xr:uid="{F6AE5B78-8F93-40CF-B044-AEB51E0215B5}"/>
    <cellStyle name="Normal 2 6 3 43 5" xfId="15683" xr:uid="{3069CD3D-D27D-4C9A-AC1B-186071462F90}"/>
    <cellStyle name="Normal 2 6 3 44" xfId="6861" xr:uid="{CFE07822-672E-4858-B729-29BDF8F0E8AF}"/>
    <cellStyle name="Normal 2 6 3 44 2" xfId="6862" xr:uid="{76494F05-B79A-4FC4-B592-DA1C7AB3B010}"/>
    <cellStyle name="Normal 2 6 3 44 2 2" xfId="15690" xr:uid="{C8FCA325-3F0C-4156-AB7D-38558C3BA866}"/>
    <cellStyle name="Normal 2 6 3 44 3" xfId="6863" xr:uid="{36E3BD9C-A308-42CF-8E1C-086A4FA14D46}"/>
    <cellStyle name="Normal 2 6 3 44 3 2" xfId="15691" xr:uid="{362ACF8A-165C-47B8-A69D-AB265C3E8B3B}"/>
    <cellStyle name="Normal 2 6 3 44 4" xfId="15689" xr:uid="{BE9A925D-51DD-412F-B2AA-832DF29F7A77}"/>
    <cellStyle name="Normal 2 6 3 45" xfId="6864" xr:uid="{7CDA0FA0-1619-46FE-907D-222D873435DA}"/>
    <cellStyle name="Normal 2 6 3 45 2" xfId="15692" xr:uid="{853B0D31-32A7-4992-ABA5-0F3CF73D43FE}"/>
    <cellStyle name="Normal 2 6 3 46" xfId="6865" xr:uid="{08585691-A88E-4011-89AE-01E24994D79C}"/>
    <cellStyle name="Normal 2 6 3 46 2" xfId="15693" xr:uid="{C6788394-1CF2-4D32-933B-F2CAC37625DA}"/>
    <cellStyle name="Normal 2 6 3 47" xfId="15466" xr:uid="{E3DFD60A-8EE7-40B8-BBEB-F0BF9AF5E870}"/>
    <cellStyle name="Normal 2 6 3 5" xfId="6866" xr:uid="{9B6F79B1-1FFE-4D56-A19C-A33EDC51AC75}"/>
    <cellStyle name="Normal 2 6 3 5 2" xfId="6867" xr:uid="{5F37FD14-2FB9-4B0D-A204-67228683DD23}"/>
    <cellStyle name="Normal 2 6 3 5 2 2" xfId="6868" xr:uid="{B6C3F657-4232-40C6-8E9B-C7651AA568C8}"/>
    <cellStyle name="Normal 2 6 3 5 2 2 2" xfId="15696" xr:uid="{503EA114-5B3B-408C-88AF-722D6E8E0A77}"/>
    <cellStyle name="Normal 2 6 3 5 2 3" xfId="6869" xr:uid="{E4FF0712-8F56-4152-8CBD-E94409DC00D2}"/>
    <cellStyle name="Normal 2 6 3 5 2 3 2" xfId="15697" xr:uid="{38F4C12B-42B2-4887-836B-7910FC2C69B6}"/>
    <cellStyle name="Normal 2 6 3 5 2 4" xfId="15695" xr:uid="{A67E3CCF-F8F6-4DF8-95E7-45232B896E55}"/>
    <cellStyle name="Normal 2 6 3 5 3" xfId="6870" xr:uid="{7B926E3A-18AE-4C0E-B136-E6B179E7D156}"/>
    <cellStyle name="Normal 2 6 3 5 3 2" xfId="15698" xr:uid="{2476C65C-6481-49F6-8C59-4DCE2650C0B8}"/>
    <cellStyle name="Normal 2 6 3 5 4" xfId="6871" xr:uid="{E50AD986-97ED-4DCE-97CF-01B10621E500}"/>
    <cellStyle name="Normal 2 6 3 5 4 2" xfId="15699" xr:uid="{EAA69710-9472-416E-9720-D246A4E76309}"/>
    <cellStyle name="Normal 2 6 3 5 5" xfId="15694" xr:uid="{93C7777F-A359-4D95-9B08-CC98D4DA5D7D}"/>
    <cellStyle name="Normal 2 6 3 6" xfId="6872" xr:uid="{8F724EC2-CA72-432B-89A6-BC712848D23A}"/>
    <cellStyle name="Normal 2 6 3 6 2" xfId="6873" xr:uid="{2B7839C4-B0D2-435A-A853-5EE143EC884D}"/>
    <cellStyle name="Normal 2 6 3 6 2 2" xfId="6874" xr:uid="{B16C4108-2546-4DBE-BC32-8963121D66DF}"/>
    <cellStyle name="Normal 2 6 3 6 2 2 2" xfId="15702" xr:uid="{64085053-C451-477E-80CA-CF5EE5041540}"/>
    <cellStyle name="Normal 2 6 3 6 2 3" xfId="6875" xr:uid="{887FDC73-D771-40A6-B1A6-858F7AB6EE65}"/>
    <cellStyle name="Normal 2 6 3 6 2 3 2" xfId="15703" xr:uid="{F6C0FB7D-8633-4AC9-8454-E831F327C878}"/>
    <cellStyle name="Normal 2 6 3 6 2 4" xfId="15701" xr:uid="{16E9FEB0-95B7-4631-80F8-5607B6C3C939}"/>
    <cellStyle name="Normal 2 6 3 6 3" xfId="6876" xr:uid="{0D7E62CF-6D4C-4672-ACAB-4545EC5C3338}"/>
    <cellStyle name="Normal 2 6 3 6 3 2" xfId="15704" xr:uid="{A8F55E5C-54BE-4388-964A-9A2326894632}"/>
    <cellStyle name="Normal 2 6 3 6 4" xfId="6877" xr:uid="{E31929B3-72EB-46DB-BD8F-349E1EAB8737}"/>
    <cellStyle name="Normal 2 6 3 6 4 2" xfId="15705" xr:uid="{95DC218B-4EEA-4344-9966-5B4FB4EF9788}"/>
    <cellStyle name="Normal 2 6 3 6 5" xfId="15700" xr:uid="{3495EAEB-0330-4E14-883E-FB1C82797FEA}"/>
    <cellStyle name="Normal 2 6 3 7" xfId="6878" xr:uid="{3CA0737B-5D4C-4DC7-B0DC-966CF128AC76}"/>
    <cellStyle name="Normal 2 6 3 7 2" xfId="6879" xr:uid="{42179781-B997-465D-BD1F-BFAD1A39671F}"/>
    <cellStyle name="Normal 2 6 3 7 2 2" xfId="6880" xr:uid="{9DD46671-BB71-4B57-BD73-1BE19F489B6C}"/>
    <cellStyle name="Normal 2 6 3 7 2 2 2" xfId="15708" xr:uid="{D4C97AA8-2CB2-4A69-8C4E-4E18A22699F7}"/>
    <cellStyle name="Normal 2 6 3 7 2 3" xfId="6881" xr:uid="{DCBF1EA6-C8CF-4815-BC38-ABB176D40411}"/>
    <cellStyle name="Normal 2 6 3 7 2 3 2" xfId="15709" xr:uid="{ED5BE280-FD7B-4EC8-820D-732FA6BFC5E3}"/>
    <cellStyle name="Normal 2 6 3 7 2 4" xfId="15707" xr:uid="{4A07A140-2F9E-4D8F-B59A-5F90659C2BA7}"/>
    <cellStyle name="Normal 2 6 3 7 3" xfId="6882" xr:uid="{E98393BC-EC4C-4757-A1D5-F2ADA9302910}"/>
    <cellStyle name="Normal 2 6 3 7 3 2" xfId="15710" xr:uid="{BDFFA3E9-A2D7-4750-AD8D-75A6245399DA}"/>
    <cellStyle name="Normal 2 6 3 7 4" xfId="6883" xr:uid="{EC6283A0-1B69-427B-947C-6464BEF9607D}"/>
    <cellStyle name="Normal 2 6 3 7 4 2" xfId="15711" xr:uid="{775D20BF-69AA-42F8-8601-15BB746AB78F}"/>
    <cellStyle name="Normal 2 6 3 7 5" xfId="15706" xr:uid="{EE58C96E-990C-4F43-B43F-32BB716D8ED1}"/>
    <cellStyle name="Normal 2 6 3 8" xfId="6884" xr:uid="{482FA1FE-62D9-4470-AD13-AAE04FD3C718}"/>
    <cellStyle name="Normal 2 6 3 8 2" xfId="6885" xr:uid="{54999F42-C485-4231-8ED9-B4138D784B74}"/>
    <cellStyle name="Normal 2 6 3 8 2 2" xfId="6886" xr:uid="{632F5BB7-A362-4B1D-95CB-FE9BB0C5BB35}"/>
    <cellStyle name="Normal 2 6 3 8 2 2 2" xfId="15714" xr:uid="{2E905C13-378C-4977-AD7A-CE51400BF99A}"/>
    <cellStyle name="Normal 2 6 3 8 2 3" xfId="6887" xr:uid="{0A38FF92-FA08-4B95-8BF0-EA6C12F4BB04}"/>
    <cellStyle name="Normal 2 6 3 8 2 3 2" xfId="15715" xr:uid="{363CE41E-DD70-4E5A-8EBC-48C9095B73BF}"/>
    <cellStyle name="Normal 2 6 3 8 2 4" xfId="15713" xr:uid="{501EAFAD-611A-486A-891E-669081E1CA7F}"/>
    <cellStyle name="Normal 2 6 3 8 3" xfId="6888" xr:uid="{A3A48B8F-4101-45D2-92EB-49C2DCBE1D5E}"/>
    <cellStyle name="Normal 2 6 3 8 3 2" xfId="15716" xr:uid="{14A68A3B-34B9-45BA-A071-06764BA48EB6}"/>
    <cellStyle name="Normal 2 6 3 8 4" xfId="6889" xr:uid="{FB13CC9D-AA5B-4FD2-A704-BB3938883D4E}"/>
    <cellStyle name="Normal 2 6 3 8 4 2" xfId="15717" xr:uid="{8D398DCB-F09B-42AB-B8C9-10B5437B4311}"/>
    <cellStyle name="Normal 2 6 3 8 5" xfId="15712" xr:uid="{28F91576-A2FB-4184-959E-EC6F09ADFA05}"/>
    <cellStyle name="Normal 2 6 3 9" xfId="6890" xr:uid="{10E69AFA-AD8E-412E-A87C-C6B90F907F8E}"/>
    <cellStyle name="Normal 2 6 3 9 2" xfId="6891" xr:uid="{040D53A4-A9D0-4FC1-8119-86267B77DCAF}"/>
    <cellStyle name="Normal 2 6 3 9 2 2" xfId="6892" xr:uid="{BD70E552-0020-46EA-9652-3B9FA6DFF3B9}"/>
    <cellStyle name="Normal 2 6 3 9 2 2 2" xfId="15720" xr:uid="{9A54C4D4-C2E2-4A68-B12E-688C59E01B51}"/>
    <cellStyle name="Normal 2 6 3 9 2 3" xfId="6893" xr:uid="{3B522715-CE96-408E-A99B-825784465980}"/>
    <cellStyle name="Normal 2 6 3 9 2 3 2" xfId="15721" xr:uid="{EC65DE4F-D1F5-4F38-90E0-E0D755965949}"/>
    <cellStyle name="Normal 2 6 3 9 2 4" xfId="15719" xr:uid="{3AC58481-E52A-4AB6-BFE4-155CFF178E64}"/>
    <cellStyle name="Normal 2 6 3 9 3" xfId="6894" xr:uid="{C9726757-54A5-481F-85A8-95678F7A713B}"/>
    <cellStyle name="Normal 2 6 3 9 3 2" xfId="15722" xr:uid="{13DCAC0A-7500-4868-A9B9-3E0216DE46EF}"/>
    <cellStyle name="Normal 2 6 3 9 4" xfId="6895" xr:uid="{F4362A8A-8F40-4C17-99E5-8DADC3D2D0B2}"/>
    <cellStyle name="Normal 2 6 3 9 4 2" xfId="15723" xr:uid="{6D3D3B58-AA96-4A6B-8C72-F2E1BFD552DE}"/>
    <cellStyle name="Normal 2 6 3 9 5" xfId="15718" xr:uid="{C3616CFC-67B3-4665-8963-BFAEF748B78A}"/>
    <cellStyle name="Normal 2 6 30" xfId="6896" xr:uid="{B5A63FF1-AC9B-438F-A4FC-EEF89198A72E}"/>
    <cellStyle name="Normal 2 6 30 2" xfId="6897" xr:uid="{F801E9C1-D462-4EB2-AE76-AAB4C8E47B90}"/>
    <cellStyle name="Normal 2 6 30 2 2" xfId="6898" xr:uid="{C4F58899-EFA2-4CDE-BE59-378485939A85}"/>
    <cellStyle name="Normal 2 6 30 2 2 2" xfId="15726" xr:uid="{CEADC825-81B4-4974-B3C6-730A1C4EC930}"/>
    <cellStyle name="Normal 2 6 30 2 3" xfId="6899" xr:uid="{C76189FE-4C96-400A-8269-7C665161E447}"/>
    <cellStyle name="Normal 2 6 30 2 3 2" xfId="15727" xr:uid="{599757D7-3A51-4133-BFAE-C2C952C5C080}"/>
    <cellStyle name="Normal 2 6 30 2 4" xfId="15725" xr:uid="{B4E59A10-A973-4427-9360-9B58D9CBDD65}"/>
    <cellStyle name="Normal 2 6 30 3" xfId="6900" xr:uid="{8B30122F-0DB8-4735-A82D-4AA3554FA14E}"/>
    <cellStyle name="Normal 2 6 30 3 2" xfId="15728" xr:uid="{B4BD36BA-C76C-4700-880C-05FBEBDF60FD}"/>
    <cellStyle name="Normal 2 6 30 4" xfId="6901" xr:uid="{ED28BA1D-4402-4C8D-A8CF-03C08996D418}"/>
    <cellStyle name="Normal 2 6 30 4 2" xfId="15729" xr:uid="{907F4CE7-9A4A-4A23-8F78-336C635909BE}"/>
    <cellStyle name="Normal 2 6 30 5" xfId="15724" xr:uid="{0203E476-C780-46D3-B730-5AD1AAF92F9B}"/>
    <cellStyle name="Normal 2 6 31" xfId="6902" xr:uid="{8C473F86-1B07-4DEF-BA1F-C45365ABB1CF}"/>
    <cellStyle name="Normal 2 6 31 2" xfId="6903" xr:uid="{88EE817C-1D2F-40B1-B648-5CBD868C1081}"/>
    <cellStyle name="Normal 2 6 31 2 2" xfId="6904" xr:uid="{AC1D7FE7-5672-4F20-9DDA-83965E32D761}"/>
    <cellStyle name="Normal 2 6 31 2 2 2" xfId="15732" xr:uid="{A04B5B1D-0BC0-4D1E-8EEB-36D5C378F048}"/>
    <cellStyle name="Normal 2 6 31 2 3" xfId="6905" xr:uid="{14FE6724-A7C1-40CD-9F70-8EB8E4D3D234}"/>
    <cellStyle name="Normal 2 6 31 2 3 2" xfId="15733" xr:uid="{014BCFEA-4F28-4EC4-9500-1D18AA76B45D}"/>
    <cellStyle name="Normal 2 6 31 2 4" xfId="15731" xr:uid="{5EC40CFB-C266-4F6F-BA2F-3832480F9904}"/>
    <cellStyle name="Normal 2 6 31 3" xfId="6906" xr:uid="{D72DAC4B-76CA-44E6-9869-681C7AE377C0}"/>
    <cellStyle name="Normal 2 6 31 3 2" xfId="15734" xr:uid="{F1BA71A1-7F31-40C2-B85B-AEDAA020165E}"/>
    <cellStyle name="Normal 2 6 31 4" xfId="6907" xr:uid="{EBD5FBF3-D61F-407D-8E71-83687CED59D1}"/>
    <cellStyle name="Normal 2 6 31 4 2" xfId="15735" xr:uid="{2E27FBE8-F096-430C-B624-12B594758BCA}"/>
    <cellStyle name="Normal 2 6 31 5" xfId="15730" xr:uid="{1BB9687F-E973-4F5F-BC1E-17974A26F836}"/>
    <cellStyle name="Normal 2 6 32" xfId="6908" xr:uid="{241EA5BE-7E4B-4BBE-A018-FB0BA57DB808}"/>
    <cellStyle name="Normal 2 6 32 2" xfId="6909" xr:uid="{CB6BA33A-2A52-4CDA-8663-B610EC7AC08C}"/>
    <cellStyle name="Normal 2 6 32 2 2" xfId="6910" xr:uid="{B920CEEE-F0B5-4BBC-8232-64018D74A9AE}"/>
    <cellStyle name="Normal 2 6 32 2 2 2" xfId="15738" xr:uid="{933E5C95-A06A-4B52-A908-B5CBA2FE3F65}"/>
    <cellStyle name="Normal 2 6 32 2 3" xfId="6911" xr:uid="{93E63A7B-F81D-4565-AF69-59C4DE60B71B}"/>
    <cellStyle name="Normal 2 6 32 2 3 2" xfId="15739" xr:uid="{C854D5C7-65C6-4C03-865C-C0B4A6135E86}"/>
    <cellStyle name="Normal 2 6 32 2 4" xfId="15737" xr:uid="{6634CAA0-DE1B-4F7B-A93F-421185B9F141}"/>
    <cellStyle name="Normal 2 6 32 3" xfId="6912" xr:uid="{5B58AF0E-2CEC-44B4-98D0-923D8CADAC57}"/>
    <cellStyle name="Normal 2 6 32 3 2" xfId="15740" xr:uid="{866A4B2B-C241-4EE7-955B-6C83170791D1}"/>
    <cellStyle name="Normal 2 6 32 4" xfId="6913" xr:uid="{223BD675-39F9-419F-A157-39C1FD08CEA0}"/>
    <cellStyle name="Normal 2 6 32 4 2" xfId="15741" xr:uid="{B22F79F2-267A-42A6-85BD-13AEE2F4D350}"/>
    <cellStyle name="Normal 2 6 32 5" xfId="15736" xr:uid="{14229469-89A8-4DC1-93F5-D73C7FCC46EB}"/>
    <cellStyle name="Normal 2 6 33" xfId="6914" xr:uid="{8601FA97-2446-4606-A8FC-107AE0119914}"/>
    <cellStyle name="Normal 2 6 33 2" xfId="6915" xr:uid="{A5B01450-5D85-4291-B5C1-AA5B2B7039FA}"/>
    <cellStyle name="Normal 2 6 33 2 2" xfId="6916" xr:uid="{8008FBF3-F368-478A-BC96-032730DF8B35}"/>
    <cellStyle name="Normal 2 6 33 2 2 2" xfId="15744" xr:uid="{B62CBB7B-A6F5-4B54-8220-B877D35EFB7B}"/>
    <cellStyle name="Normal 2 6 33 2 3" xfId="6917" xr:uid="{0EE36890-7DDB-4790-A2BB-84C959D74676}"/>
    <cellStyle name="Normal 2 6 33 2 3 2" xfId="15745" xr:uid="{294980D0-02E5-480F-A978-E982307E2187}"/>
    <cellStyle name="Normal 2 6 33 2 4" xfId="15743" xr:uid="{63A8FBCD-9F6B-4258-AD2D-46CF2887FD6A}"/>
    <cellStyle name="Normal 2 6 33 3" xfId="6918" xr:uid="{C569A14A-0A2C-4A38-B857-4D2EF1D6490C}"/>
    <cellStyle name="Normal 2 6 33 3 2" xfId="15746" xr:uid="{2AA05FA7-DCC2-438A-8357-377E91447E4E}"/>
    <cellStyle name="Normal 2 6 33 4" xfId="6919" xr:uid="{24C66489-BB69-46A7-95DF-4B0A0172DD2B}"/>
    <cellStyle name="Normal 2 6 33 4 2" xfId="15747" xr:uid="{EC163265-8789-48ED-97CB-0405B41104C1}"/>
    <cellStyle name="Normal 2 6 33 5" xfId="15742" xr:uid="{EFD2995C-7864-4297-99AF-F1D406D130ED}"/>
    <cellStyle name="Normal 2 6 34" xfId="6920" xr:uid="{C15099D1-C712-4D0B-9E07-832892F36FCA}"/>
    <cellStyle name="Normal 2 6 34 2" xfId="6921" xr:uid="{D732417D-7DBF-416C-9CFD-289AC41F653A}"/>
    <cellStyle name="Normal 2 6 34 2 2" xfId="6922" xr:uid="{D85F0B6A-C852-463B-ADDE-66B2F38CFA6A}"/>
    <cellStyle name="Normal 2 6 34 2 2 2" xfId="15750" xr:uid="{4FC3BE1E-ACA4-4D85-8997-04E91F5FB4FC}"/>
    <cellStyle name="Normal 2 6 34 2 3" xfId="6923" xr:uid="{98730698-575F-4D6F-90D7-CD81C1E2BE12}"/>
    <cellStyle name="Normal 2 6 34 2 3 2" xfId="15751" xr:uid="{446D76DC-2512-4C7C-A9E0-0C751E3BDDF8}"/>
    <cellStyle name="Normal 2 6 34 2 4" xfId="15749" xr:uid="{CAA6C5CD-F2BB-47AC-B32D-A817CADA0894}"/>
    <cellStyle name="Normal 2 6 34 3" xfId="6924" xr:uid="{AB102923-8F00-4873-8A0B-36BBCC6F596C}"/>
    <cellStyle name="Normal 2 6 34 3 2" xfId="15752" xr:uid="{411B1E4C-C572-4ED8-ADC4-81C2F631E8A1}"/>
    <cellStyle name="Normal 2 6 34 4" xfId="6925" xr:uid="{512542C7-F934-47DD-B573-A85BBCD64D4C}"/>
    <cellStyle name="Normal 2 6 34 4 2" xfId="15753" xr:uid="{2C765815-C60E-4D19-9051-48D5389B16C5}"/>
    <cellStyle name="Normal 2 6 34 5" xfId="15748" xr:uid="{4DCAE796-194B-4BA0-980A-5EFD055629E0}"/>
    <cellStyle name="Normal 2 6 35" xfId="6926" xr:uid="{0D27AF28-9BC3-469A-81EB-E1C71CDDDBBC}"/>
    <cellStyle name="Normal 2 6 35 2" xfId="6927" xr:uid="{10F62982-AEA8-48AC-9B06-C8568827EF66}"/>
    <cellStyle name="Normal 2 6 35 2 2" xfId="6928" xr:uid="{D37057B7-37E4-418F-B0AF-EDFCC7FB6364}"/>
    <cellStyle name="Normal 2 6 35 2 2 2" xfId="15756" xr:uid="{90514051-2D7D-4BBC-BCF4-124336C8E3C3}"/>
    <cellStyle name="Normal 2 6 35 2 3" xfId="6929" xr:uid="{D6FAEFCB-9DF5-49C6-AC9F-5DDFD0DA9EA0}"/>
    <cellStyle name="Normal 2 6 35 2 3 2" xfId="15757" xr:uid="{7A5BD876-7894-429E-9C73-5DA705EDAC49}"/>
    <cellStyle name="Normal 2 6 35 2 4" xfId="15755" xr:uid="{0DDC2D06-6903-4B7B-80C3-86CCCFD096F2}"/>
    <cellStyle name="Normal 2 6 35 3" xfId="6930" xr:uid="{6DEDAECD-D739-47DF-9F4C-447D037C1C4F}"/>
    <cellStyle name="Normal 2 6 35 3 2" xfId="15758" xr:uid="{82B0FB34-F11A-475B-B8CD-6A8707E0BD2E}"/>
    <cellStyle name="Normal 2 6 35 4" xfId="6931" xr:uid="{730D0F62-9297-4D54-ADEB-B7C3D6699898}"/>
    <cellStyle name="Normal 2 6 35 4 2" xfId="15759" xr:uid="{9948D04C-85F2-491C-8A9A-03BF6EEE9BE5}"/>
    <cellStyle name="Normal 2 6 35 5" xfId="15754" xr:uid="{7D47D03B-D678-4386-9871-750A385889D7}"/>
    <cellStyle name="Normal 2 6 36" xfId="6932" xr:uid="{F356BECD-6A16-4112-86C1-21B7E31629AD}"/>
    <cellStyle name="Normal 2 6 36 2" xfId="6933" xr:uid="{73E08E03-89C8-4D6D-A457-AFA8E297A4C9}"/>
    <cellStyle name="Normal 2 6 36 2 2" xfId="6934" xr:uid="{BE89478A-0F81-4842-9CC8-F4FF03E75F63}"/>
    <cellStyle name="Normal 2 6 36 2 2 2" xfId="15762" xr:uid="{963BC85A-399B-48BE-AB01-1DFC51188DF4}"/>
    <cellStyle name="Normal 2 6 36 2 3" xfId="6935" xr:uid="{1F3870F8-4A84-45B6-B82A-C1C64D6BFAC2}"/>
    <cellStyle name="Normal 2 6 36 2 3 2" xfId="15763" xr:uid="{12BFFD99-F553-4E11-8332-9BC60391604D}"/>
    <cellStyle name="Normal 2 6 36 2 4" xfId="15761" xr:uid="{C31CB3B5-1982-4CCD-AA40-32B086EE316D}"/>
    <cellStyle name="Normal 2 6 36 3" xfId="6936" xr:uid="{F767D12B-D411-4880-B29F-7F6BFB024A7D}"/>
    <cellStyle name="Normal 2 6 36 3 2" xfId="15764" xr:uid="{14D6DFC7-8010-473A-8C30-8A82A2AAF757}"/>
    <cellStyle name="Normal 2 6 36 4" xfId="6937" xr:uid="{52E2783B-C4A2-49F5-9860-10CBA2AC2F0A}"/>
    <cellStyle name="Normal 2 6 36 4 2" xfId="15765" xr:uid="{4BA950E7-4270-4926-962D-33105DC04151}"/>
    <cellStyle name="Normal 2 6 36 5" xfId="15760" xr:uid="{F3351407-0A51-4318-86BC-3D8E53068DBA}"/>
    <cellStyle name="Normal 2 6 37" xfId="6938" xr:uid="{EAE6415B-A3A7-4AC0-94DA-9934285DC341}"/>
    <cellStyle name="Normal 2 6 37 2" xfId="6939" xr:uid="{F498EE55-E971-4E44-948A-AFB47ADC90DD}"/>
    <cellStyle name="Normal 2 6 37 2 2" xfId="6940" xr:uid="{D3D7A207-24F1-4837-AEAA-02CA5E586B9B}"/>
    <cellStyle name="Normal 2 6 37 2 2 2" xfId="15768" xr:uid="{AC4F5014-826A-4029-9699-81D29810F7D6}"/>
    <cellStyle name="Normal 2 6 37 2 3" xfId="6941" xr:uid="{0C9A2053-758B-4C8D-85B0-4BC273616855}"/>
    <cellStyle name="Normal 2 6 37 2 3 2" xfId="15769" xr:uid="{D9210851-FB8D-4D48-AA2C-466A4ECE6FCD}"/>
    <cellStyle name="Normal 2 6 37 2 4" xfId="15767" xr:uid="{CBB0F9CC-128D-4D8A-8B5B-D2EA63C74FAF}"/>
    <cellStyle name="Normal 2 6 37 3" xfId="6942" xr:uid="{CE1BA014-F876-4CE0-8832-2B13DBC0C31D}"/>
    <cellStyle name="Normal 2 6 37 3 2" xfId="15770" xr:uid="{23DCBD91-0B2E-49CA-804F-D7F3D1A73DFC}"/>
    <cellStyle name="Normal 2 6 37 4" xfId="6943" xr:uid="{B34A208E-A671-4517-AADD-027B6D381100}"/>
    <cellStyle name="Normal 2 6 37 4 2" xfId="15771" xr:uid="{1855503D-3884-410E-B8CB-6ECF8181B54F}"/>
    <cellStyle name="Normal 2 6 37 5" xfId="15766" xr:uid="{D22C75E7-EC24-4974-BC3C-E4D9CD7E732F}"/>
    <cellStyle name="Normal 2 6 38" xfId="6944" xr:uid="{78223E80-F78A-4926-BFFF-E9F42A229012}"/>
    <cellStyle name="Normal 2 6 38 2" xfId="6945" xr:uid="{B8994A13-DCB3-4845-B9AD-F355212BB0F9}"/>
    <cellStyle name="Normal 2 6 38 2 2" xfId="6946" xr:uid="{61C23EC4-4D69-4EEE-97C4-6CB8E2BB823C}"/>
    <cellStyle name="Normal 2 6 38 2 2 2" xfId="15774" xr:uid="{F9D6FA8B-16DA-4470-B204-DC0E5DCD9A9D}"/>
    <cellStyle name="Normal 2 6 38 2 3" xfId="6947" xr:uid="{02C4DD8E-D96C-4A90-AA2C-A7C054B9E421}"/>
    <cellStyle name="Normal 2 6 38 2 3 2" xfId="15775" xr:uid="{3916BC7B-A6EF-4388-B882-9E1664E6A6F6}"/>
    <cellStyle name="Normal 2 6 38 2 4" xfId="15773" xr:uid="{56050ED0-E757-44CF-A068-340C68C9222A}"/>
    <cellStyle name="Normal 2 6 38 3" xfId="6948" xr:uid="{38ED31D8-BAC9-4E13-99F0-47FF6D075624}"/>
    <cellStyle name="Normal 2 6 38 3 2" xfId="15776" xr:uid="{79EE5EAE-D133-4812-8B58-619526581AD7}"/>
    <cellStyle name="Normal 2 6 38 4" xfId="6949" xr:uid="{D7A00F1B-92D1-487C-96EC-A16E15C75A5D}"/>
    <cellStyle name="Normal 2 6 38 4 2" xfId="15777" xr:uid="{4E268DC5-04A7-4115-8D30-1A8C855CB0BE}"/>
    <cellStyle name="Normal 2 6 38 5" xfId="15772" xr:uid="{8CE20F59-DADF-4CE3-B4B7-11AF123D8F6B}"/>
    <cellStyle name="Normal 2 6 39" xfId="6950" xr:uid="{206B3AA4-2757-4657-92DA-4F7EA4D19AC8}"/>
    <cellStyle name="Normal 2 6 39 2" xfId="6951" xr:uid="{3E6B1A50-CFE2-4EE7-879E-6A876EFDBF65}"/>
    <cellStyle name="Normal 2 6 39 2 2" xfId="6952" xr:uid="{056D51E7-EB8E-4D12-8DB8-F4E61A19A353}"/>
    <cellStyle name="Normal 2 6 39 2 2 2" xfId="15780" xr:uid="{33D91095-FBFA-4C68-BA5F-1D64558F377A}"/>
    <cellStyle name="Normal 2 6 39 2 3" xfId="6953" xr:uid="{EE923672-27B0-4130-9944-F4BA0CAE8C57}"/>
    <cellStyle name="Normal 2 6 39 2 3 2" xfId="15781" xr:uid="{A8300C4E-8FFF-4F00-8142-08F094301BF0}"/>
    <cellStyle name="Normal 2 6 39 2 4" xfId="15779" xr:uid="{82843D2F-98C5-49DF-BC86-BA7583A409E8}"/>
    <cellStyle name="Normal 2 6 39 3" xfId="6954" xr:uid="{60C8EA86-57B7-454E-A016-FB8BD3F516B8}"/>
    <cellStyle name="Normal 2 6 39 3 2" xfId="15782" xr:uid="{966BF02F-D0B3-47E1-804F-FCAC0B5D2FBD}"/>
    <cellStyle name="Normal 2 6 39 4" xfId="6955" xr:uid="{04AEF46F-2069-4B7A-8C47-A5A568C92D5F}"/>
    <cellStyle name="Normal 2 6 39 4 2" xfId="15783" xr:uid="{A9C9361D-1FDE-44E2-B235-E38EB250BF38}"/>
    <cellStyle name="Normal 2 6 39 5" xfId="15778" xr:uid="{28E29C88-853C-48B7-B9D4-6B85772293B2}"/>
    <cellStyle name="Normal 2 6 4" xfId="6956" xr:uid="{FCEC2204-78B0-4F55-B29C-65428ED8A834}"/>
    <cellStyle name="Normal 2 6 4 10" xfId="6957" xr:uid="{12BFBEA8-F824-45AB-BF33-5E25C26DCC4F}"/>
    <cellStyle name="Normal 2 6 4 10 2" xfId="6958" xr:uid="{419059D3-DB0F-41AA-9EB6-2BD0E8F771FC}"/>
    <cellStyle name="Normal 2 6 4 10 2 2" xfId="6959" xr:uid="{25E9B995-E84D-45FA-818A-0956DE815623}"/>
    <cellStyle name="Normal 2 6 4 10 2 2 2" xfId="15787" xr:uid="{58C8FB07-9A03-4660-B985-06272FA39780}"/>
    <cellStyle name="Normal 2 6 4 10 2 3" xfId="6960" xr:uid="{5CB576C0-23AE-41B6-9F3B-D36C4B5234CF}"/>
    <cellStyle name="Normal 2 6 4 10 2 3 2" xfId="15788" xr:uid="{F9D212C2-8764-4C41-913C-DDAB8F8A244C}"/>
    <cellStyle name="Normal 2 6 4 10 2 4" xfId="15786" xr:uid="{712FD38A-26F9-4753-A37D-64C83CB7086C}"/>
    <cellStyle name="Normal 2 6 4 10 3" xfId="6961" xr:uid="{2E6B5C8B-29BA-48EB-995F-451FDCA82B82}"/>
    <cellStyle name="Normal 2 6 4 10 3 2" xfId="15789" xr:uid="{36ED11F6-01A1-4630-9ACF-25A7F60A5BDB}"/>
    <cellStyle name="Normal 2 6 4 10 4" xfId="6962" xr:uid="{CF3E24F4-EEA2-4DB4-B2C5-A54121E1684B}"/>
    <cellStyle name="Normal 2 6 4 10 4 2" xfId="15790" xr:uid="{91F28F92-F0C2-4224-8134-64D810186AE4}"/>
    <cellStyle name="Normal 2 6 4 10 5" xfId="15785" xr:uid="{905B30F4-3066-4155-BAC1-EE4249AEF4B5}"/>
    <cellStyle name="Normal 2 6 4 11" xfId="6963" xr:uid="{C29D68B6-477D-4026-AAE8-4D020C78FC78}"/>
    <cellStyle name="Normal 2 6 4 11 2" xfId="6964" xr:uid="{E6706387-E8A4-4FE5-8E87-2DAED4C220EA}"/>
    <cellStyle name="Normal 2 6 4 11 2 2" xfId="6965" xr:uid="{F23AD650-7FB0-47FA-A34B-790A232D70E6}"/>
    <cellStyle name="Normal 2 6 4 11 2 2 2" xfId="15793" xr:uid="{38F5C454-CEE8-4CA5-BB21-8D512EC52D19}"/>
    <cellStyle name="Normal 2 6 4 11 2 3" xfId="6966" xr:uid="{8AA35918-563E-4D6F-8888-0A3A67FB79A6}"/>
    <cellStyle name="Normal 2 6 4 11 2 3 2" xfId="15794" xr:uid="{63B4808D-1FCE-4C17-A6C6-755B3E9B8EE9}"/>
    <cellStyle name="Normal 2 6 4 11 2 4" xfId="15792" xr:uid="{833837FC-92B3-475E-AC58-F93211D3C98D}"/>
    <cellStyle name="Normal 2 6 4 11 3" xfId="6967" xr:uid="{484EBC5C-B7C8-492F-8093-1BA59062B84B}"/>
    <cellStyle name="Normal 2 6 4 11 3 2" xfId="15795" xr:uid="{06DF5B99-EDD5-4349-9FEC-18F3BFBBB562}"/>
    <cellStyle name="Normal 2 6 4 11 4" xfId="6968" xr:uid="{C49545EE-470B-48D3-A5A7-5A162DC042A7}"/>
    <cellStyle name="Normal 2 6 4 11 4 2" xfId="15796" xr:uid="{5F4545BD-BA79-4EB8-BADF-005C7F129C25}"/>
    <cellStyle name="Normal 2 6 4 11 5" xfId="15791" xr:uid="{982F3D5E-C754-46B7-9728-81BF38DA6F1D}"/>
    <cellStyle name="Normal 2 6 4 12" xfId="6969" xr:uid="{46F9568A-6510-456C-847C-6EA1229B2EB6}"/>
    <cellStyle name="Normal 2 6 4 12 2" xfId="6970" xr:uid="{A547F956-F388-40B0-AD7E-469A4CAB50AB}"/>
    <cellStyle name="Normal 2 6 4 12 2 2" xfId="6971" xr:uid="{00C63E94-05DC-4E8B-AD6E-88958975F42B}"/>
    <cellStyle name="Normal 2 6 4 12 2 2 2" xfId="15799" xr:uid="{7D04BF41-CA09-4AE5-B923-F12BF3EEDF88}"/>
    <cellStyle name="Normal 2 6 4 12 2 3" xfId="6972" xr:uid="{256C749F-1DD1-4CDB-8221-839108E5CD9D}"/>
    <cellStyle name="Normal 2 6 4 12 2 3 2" xfId="15800" xr:uid="{36EA63E0-04BE-4719-AEBF-24CAD8E867A0}"/>
    <cellStyle name="Normal 2 6 4 12 2 4" xfId="15798" xr:uid="{8EDEEBFB-FD13-4D00-A81C-0C6ED4165442}"/>
    <cellStyle name="Normal 2 6 4 12 3" xfId="6973" xr:uid="{031EC545-60EC-4BF3-AC0A-E774665B6C5A}"/>
    <cellStyle name="Normal 2 6 4 12 3 2" xfId="15801" xr:uid="{81BF7990-3144-4E78-912D-C53866AC3786}"/>
    <cellStyle name="Normal 2 6 4 12 4" xfId="6974" xr:uid="{CC8534D7-4CCE-45E1-9A48-DF49488E9995}"/>
    <cellStyle name="Normal 2 6 4 12 4 2" xfId="15802" xr:uid="{F25EF336-2E9C-46DE-A14E-A52580587D61}"/>
    <cellStyle name="Normal 2 6 4 12 5" xfId="15797" xr:uid="{20455293-697D-4590-971A-B96EB3BC2021}"/>
    <cellStyle name="Normal 2 6 4 13" xfId="6975" xr:uid="{0F0ABDB4-71E4-45DE-B1E1-928D39C89ABE}"/>
    <cellStyle name="Normal 2 6 4 13 2" xfId="6976" xr:uid="{CA3BB98B-51E0-4987-8D7C-34070AC05FD0}"/>
    <cellStyle name="Normal 2 6 4 13 2 2" xfId="6977" xr:uid="{D0AA1255-0097-40E1-AEFD-9681AEC26AF4}"/>
    <cellStyle name="Normal 2 6 4 13 2 2 2" xfId="15805" xr:uid="{500CD63F-8A14-4F97-B95E-9F1DFF172487}"/>
    <cellStyle name="Normal 2 6 4 13 2 3" xfId="6978" xr:uid="{B930688C-D0E8-4C70-812D-4A762EB44BE9}"/>
    <cellStyle name="Normal 2 6 4 13 2 3 2" xfId="15806" xr:uid="{8EB6CA3A-8D27-4F88-8E94-8A6506F2B29A}"/>
    <cellStyle name="Normal 2 6 4 13 2 4" xfId="15804" xr:uid="{2ED62E7F-9FAA-4BED-82AE-EF92F4770619}"/>
    <cellStyle name="Normal 2 6 4 13 3" xfId="6979" xr:uid="{B41AD716-D6DC-48C4-9F06-74C3386F436A}"/>
    <cellStyle name="Normal 2 6 4 13 3 2" xfId="15807" xr:uid="{A8B9F47A-39F7-4A24-839C-3FAEF8298399}"/>
    <cellStyle name="Normal 2 6 4 13 4" xfId="6980" xr:uid="{29812EB3-4ED6-49D2-8F69-EEC5FDA35F8D}"/>
    <cellStyle name="Normal 2 6 4 13 4 2" xfId="15808" xr:uid="{BDBDD038-8AFB-4046-A890-E68A80A324F8}"/>
    <cellStyle name="Normal 2 6 4 13 5" xfId="15803" xr:uid="{AB21EC69-A6E2-4C30-8402-E53762297367}"/>
    <cellStyle name="Normal 2 6 4 14" xfId="6981" xr:uid="{BE79D124-DA20-4CFD-B8FB-8617690F42F7}"/>
    <cellStyle name="Normal 2 6 4 14 2" xfId="6982" xr:uid="{F7E29CE4-CA26-410E-8915-5EE14E6BE309}"/>
    <cellStyle name="Normal 2 6 4 14 2 2" xfId="6983" xr:uid="{84B5514C-7238-495B-B3DB-E9CBE302D8F6}"/>
    <cellStyle name="Normal 2 6 4 14 2 2 2" xfId="15811" xr:uid="{67E2461E-22BC-413F-BE2A-D12025D2A134}"/>
    <cellStyle name="Normal 2 6 4 14 2 3" xfId="6984" xr:uid="{12681E3F-0546-42D5-AE9C-28051466C485}"/>
    <cellStyle name="Normal 2 6 4 14 2 3 2" xfId="15812" xr:uid="{912B164D-91A8-46AE-970E-B1D5955F6D5F}"/>
    <cellStyle name="Normal 2 6 4 14 2 4" xfId="15810" xr:uid="{FA56D002-3087-4BF4-9995-5E10C993EB3C}"/>
    <cellStyle name="Normal 2 6 4 14 3" xfId="6985" xr:uid="{C062DBAB-F938-441B-8F41-194E29B90210}"/>
    <cellStyle name="Normal 2 6 4 14 3 2" xfId="15813" xr:uid="{C6D8DC8E-D6AD-43BC-BDEA-4938482C2BA4}"/>
    <cellStyle name="Normal 2 6 4 14 4" xfId="6986" xr:uid="{0537A04C-AEA1-4114-B9AE-CB52084C3015}"/>
    <cellStyle name="Normal 2 6 4 14 4 2" xfId="15814" xr:uid="{DF83A6BA-CFAD-42F7-96F4-AB1766B2EEC5}"/>
    <cellStyle name="Normal 2 6 4 14 5" xfId="15809" xr:uid="{C355677D-B347-4A3C-83F2-9E0A567A5709}"/>
    <cellStyle name="Normal 2 6 4 15" xfId="6987" xr:uid="{826355F9-2941-44F7-BF96-B82A42381E35}"/>
    <cellStyle name="Normal 2 6 4 15 2" xfId="6988" xr:uid="{82BDA078-21F1-4BD2-BC55-DCA96676F3CA}"/>
    <cellStyle name="Normal 2 6 4 15 2 2" xfId="6989" xr:uid="{88D7AB9E-FEF7-4B4B-883E-25DD93EC1F7D}"/>
    <cellStyle name="Normal 2 6 4 15 2 2 2" xfId="15817" xr:uid="{C683DA98-F501-425B-81C8-EF86580B596C}"/>
    <cellStyle name="Normal 2 6 4 15 2 3" xfId="6990" xr:uid="{550A6A21-1D5D-4286-806B-034BEAFE3745}"/>
    <cellStyle name="Normal 2 6 4 15 2 3 2" xfId="15818" xr:uid="{BD3F395F-7620-484B-B017-967B737ACEFA}"/>
    <cellStyle name="Normal 2 6 4 15 2 4" xfId="15816" xr:uid="{B502538C-CD21-42F5-97FF-59B8E44BE1B2}"/>
    <cellStyle name="Normal 2 6 4 15 3" xfId="6991" xr:uid="{7D9F606F-0638-4731-900D-9F4736A485AA}"/>
    <cellStyle name="Normal 2 6 4 15 3 2" xfId="15819" xr:uid="{7CC46C9C-E0D0-4B4A-8FC8-4B1050DD5038}"/>
    <cellStyle name="Normal 2 6 4 15 4" xfId="6992" xr:uid="{96D95E64-2AA1-4598-935A-1ED1AB4B0E0B}"/>
    <cellStyle name="Normal 2 6 4 15 4 2" xfId="15820" xr:uid="{594A0D2A-B211-4A88-9820-994268BF03AF}"/>
    <cellStyle name="Normal 2 6 4 15 5" xfId="15815" xr:uid="{3A4217F4-A29D-46D5-B187-7DFBA5AF83E4}"/>
    <cellStyle name="Normal 2 6 4 16" xfId="6993" xr:uid="{AED30917-862C-4192-B787-48C24BFDF14D}"/>
    <cellStyle name="Normal 2 6 4 16 2" xfId="6994" xr:uid="{1B63E837-7559-461B-9D12-57CB917C7FFB}"/>
    <cellStyle name="Normal 2 6 4 16 2 2" xfId="6995" xr:uid="{F5552031-D94D-41C6-81D4-9E4C77704CA6}"/>
    <cellStyle name="Normal 2 6 4 16 2 2 2" xfId="15823" xr:uid="{A5A37826-B525-4BA2-9ECB-805620C1F91B}"/>
    <cellStyle name="Normal 2 6 4 16 2 3" xfId="6996" xr:uid="{D4709556-E285-462B-945C-A29F92AF9F19}"/>
    <cellStyle name="Normal 2 6 4 16 2 3 2" xfId="15824" xr:uid="{A65AFD4E-9956-47A6-972F-4B5D5CD1CE00}"/>
    <cellStyle name="Normal 2 6 4 16 2 4" xfId="15822" xr:uid="{8C762D96-C994-4649-BF4B-551C100B2B09}"/>
    <cellStyle name="Normal 2 6 4 16 3" xfId="6997" xr:uid="{850CE416-ADE4-4D49-B97F-38283C588514}"/>
    <cellStyle name="Normal 2 6 4 16 3 2" xfId="15825" xr:uid="{F1DE300F-23A2-458A-808E-00C9219166DA}"/>
    <cellStyle name="Normal 2 6 4 16 4" xfId="6998" xr:uid="{CE5E20B7-545C-4C43-A5F5-F07BF2780230}"/>
    <cellStyle name="Normal 2 6 4 16 4 2" xfId="15826" xr:uid="{6308AB78-7E7A-471D-92DC-26669F92F337}"/>
    <cellStyle name="Normal 2 6 4 16 5" xfId="15821" xr:uid="{F5A31D65-85C1-4D93-AE72-9B0D28F19BA1}"/>
    <cellStyle name="Normal 2 6 4 17" xfId="6999" xr:uid="{666DEF10-BAD6-4E55-B89F-C697BB17A8EC}"/>
    <cellStyle name="Normal 2 6 4 17 2" xfId="7000" xr:uid="{97EF8EE6-E129-474A-A305-C33819274B4A}"/>
    <cellStyle name="Normal 2 6 4 17 2 2" xfId="7001" xr:uid="{F85EFB9A-E358-4074-9026-C05DE5E1DF84}"/>
    <cellStyle name="Normal 2 6 4 17 2 2 2" xfId="15829" xr:uid="{DCA96D5A-6FDB-455C-BCE0-A79AA0DEC71A}"/>
    <cellStyle name="Normal 2 6 4 17 2 3" xfId="7002" xr:uid="{181F6429-6D88-4F86-B8A8-413E29FEF8E1}"/>
    <cellStyle name="Normal 2 6 4 17 2 3 2" xfId="15830" xr:uid="{E861162B-FE3C-4951-B787-C24579AAB970}"/>
    <cellStyle name="Normal 2 6 4 17 2 4" xfId="15828" xr:uid="{5EA096A8-D2CF-446C-8E0A-D8EF9A611EBE}"/>
    <cellStyle name="Normal 2 6 4 17 3" xfId="7003" xr:uid="{4F3BB4AD-08F5-4237-8DFA-FD9BFAB43A4D}"/>
    <cellStyle name="Normal 2 6 4 17 3 2" xfId="15831" xr:uid="{47C70A12-7F62-4A05-B851-7C22F1723D2D}"/>
    <cellStyle name="Normal 2 6 4 17 4" xfId="7004" xr:uid="{AB926F30-9EBD-4394-A1C8-0A1DF6994B32}"/>
    <cellStyle name="Normal 2 6 4 17 4 2" xfId="15832" xr:uid="{E0C01451-FAF1-4332-BB9E-CEDB11E7C540}"/>
    <cellStyle name="Normal 2 6 4 17 5" xfId="15827" xr:uid="{EE45F9EC-B5E9-4A84-AC9E-D0AB1DCD837D}"/>
    <cellStyle name="Normal 2 6 4 18" xfId="7005" xr:uid="{050DCC26-0C11-44F4-969F-6D5A3D42801B}"/>
    <cellStyle name="Normal 2 6 4 18 2" xfId="7006" xr:uid="{19606122-B0B1-4D1D-B05E-C1886362401F}"/>
    <cellStyle name="Normal 2 6 4 18 2 2" xfId="7007" xr:uid="{BF4A5ADF-FD11-4BEE-87AC-8550C9C5EA0D}"/>
    <cellStyle name="Normal 2 6 4 18 2 2 2" xfId="15835" xr:uid="{B98B5F31-5CC0-4338-925D-9F000301FF64}"/>
    <cellStyle name="Normal 2 6 4 18 2 3" xfId="7008" xr:uid="{5E12725B-7044-4D8C-B1CD-D78AEB2FEBC7}"/>
    <cellStyle name="Normal 2 6 4 18 2 3 2" xfId="15836" xr:uid="{AB7EDF84-61A6-4C1C-84D3-B079AF3083A0}"/>
    <cellStyle name="Normal 2 6 4 18 2 4" xfId="15834" xr:uid="{73F93DC1-D194-4DD8-996E-D484ACE13871}"/>
    <cellStyle name="Normal 2 6 4 18 3" xfId="7009" xr:uid="{D22B4926-88DA-4FE7-B898-7BF8E50D8316}"/>
    <cellStyle name="Normal 2 6 4 18 3 2" xfId="15837" xr:uid="{E8E068B2-6428-4439-A245-421BD2594BC7}"/>
    <cellStyle name="Normal 2 6 4 18 4" xfId="7010" xr:uid="{C91F9F8A-F2BF-44EE-9537-070F33493BD2}"/>
    <cellStyle name="Normal 2 6 4 18 4 2" xfId="15838" xr:uid="{AFEB65E5-79EC-4366-9C4B-6C21CC2F545B}"/>
    <cellStyle name="Normal 2 6 4 18 5" xfId="15833" xr:uid="{F093B842-756C-4D91-BE46-B9676F4C51EA}"/>
    <cellStyle name="Normal 2 6 4 19" xfId="7011" xr:uid="{96BEC742-9EAA-4396-95FC-A249E7440DF9}"/>
    <cellStyle name="Normal 2 6 4 19 2" xfId="7012" xr:uid="{47E3E705-CC68-42BC-AEDE-2A8956E492F0}"/>
    <cellStyle name="Normal 2 6 4 19 2 2" xfId="7013" xr:uid="{92583DF0-70AB-489A-810B-A068DA895537}"/>
    <cellStyle name="Normal 2 6 4 19 2 2 2" xfId="15841" xr:uid="{DE1599CF-57FA-461C-81A2-FEF75CAD63FB}"/>
    <cellStyle name="Normal 2 6 4 19 2 3" xfId="7014" xr:uid="{30A02389-4545-4CE8-ABA4-E836F8775E61}"/>
    <cellStyle name="Normal 2 6 4 19 2 3 2" xfId="15842" xr:uid="{F1B1C0B5-F74A-4293-876F-3B89958F79B6}"/>
    <cellStyle name="Normal 2 6 4 19 2 4" xfId="15840" xr:uid="{861F7313-0568-41E3-BDD5-033FBB71C370}"/>
    <cellStyle name="Normal 2 6 4 19 3" xfId="7015" xr:uid="{025D8887-A617-451A-A643-709A7C8CD2F6}"/>
    <cellStyle name="Normal 2 6 4 19 3 2" xfId="15843" xr:uid="{4E9453D1-AF74-4C5C-9E67-45544BA90555}"/>
    <cellStyle name="Normal 2 6 4 19 4" xfId="7016" xr:uid="{69EDE4EA-E5C8-4B52-906D-AB4A3E510146}"/>
    <cellStyle name="Normal 2 6 4 19 4 2" xfId="15844" xr:uid="{22EE948F-C0D6-4A06-AB95-17ECB932346A}"/>
    <cellStyle name="Normal 2 6 4 19 5" xfId="15839" xr:uid="{31563682-A4C4-4E63-AAE8-0FB1854B0241}"/>
    <cellStyle name="Normal 2 6 4 2" xfId="7017" xr:uid="{CE946CD4-2AE4-427A-B0F0-7BAA9AA57BEB}"/>
    <cellStyle name="Normal 2 6 4 2 2" xfId="7018" xr:uid="{C8EE7833-261E-43B1-B3D8-EAF3BBD550C2}"/>
    <cellStyle name="Normal 2 6 4 2 2 2" xfId="7019" xr:uid="{51793CD6-E4D8-4ED9-A549-AE1757B57EAA}"/>
    <cellStyle name="Normal 2 6 4 2 2 2 2" xfId="15847" xr:uid="{45DE9744-6448-4375-8633-BA9C23BA2E34}"/>
    <cellStyle name="Normal 2 6 4 2 2 3" xfId="7020" xr:uid="{D2B9F3B0-CAFD-4E76-A639-F0E2B768D302}"/>
    <cellStyle name="Normal 2 6 4 2 2 3 2" xfId="15848" xr:uid="{FA6954A3-AA6D-437B-AA38-5618ADC320CF}"/>
    <cellStyle name="Normal 2 6 4 2 2 4" xfId="15846" xr:uid="{A6A6C7FC-C875-4B27-BCEC-B568F97BC079}"/>
    <cellStyle name="Normal 2 6 4 2 3" xfId="7021" xr:uid="{3696CED4-8AD5-43AC-BA76-2586A2DBAAFE}"/>
    <cellStyle name="Normal 2 6 4 2 3 2" xfId="15849" xr:uid="{6774E1CF-7472-408D-8F58-6F13B73185D1}"/>
    <cellStyle name="Normal 2 6 4 2 4" xfId="7022" xr:uid="{78DD1B43-595D-4806-AD24-D3C6E0E6FF56}"/>
    <cellStyle name="Normal 2 6 4 2 4 2" xfId="15850" xr:uid="{60CB1CBE-C696-42C5-9159-47D834C57F35}"/>
    <cellStyle name="Normal 2 6 4 2 5" xfId="15845" xr:uid="{8A867894-CB7C-4B06-8670-AA38A7B1A736}"/>
    <cellStyle name="Normal 2 6 4 20" xfId="7023" xr:uid="{52A940BC-969A-4ED8-82A8-5E4AFBEB5337}"/>
    <cellStyle name="Normal 2 6 4 20 2" xfId="7024" xr:uid="{F90A156C-8242-4A13-97DC-32B67D25177E}"/>
    <cellStyle name="Normal 2 6 4 20 2 2" xfId="7025" xr:uid="{10D686A8-1704-4180-846C-3240A7951328}"/>
    <cellStyle name="Normal 2 6 4 20 2 2 2" xfId="15853" xr:uid="{5280D4F5-6C65-4B2C-B320-8BDBE209739F}"/>
    <cellStyle name="Normal 2 6 4 20 2 3" xfId="7026" xr:uid="{BB8B4890-FDA4-4F1B-BCA0-51ACA6C58066}"/>
    <cellStyle name="Normal 2 6 4 20 2 3 2" xfId="15854" xr:uid="{AA4C072E-791C-4B15-98AE-2DEA49A2AFCC}"/>
    <cellStyle name="Normal 2 6 4 20 2 4" xfId="15852" xr:uid="{72125906-FD74-4391-8782-29D4B8823323}"/>
    <cellStyle name="Normal 2 6 4 20 3" xfId="7027" xr:uid="{B45BFAD1-5EB6-4FBE-A375-33C88B508A6E}"/>
    <cellStyle name="Normal 2 6 4 20 3 2" xfId="15855" xr:uid="{AC4DF581-295B-407F-891D-443407CA568D}"/>
    <cellStyle name="Normal 2 6 4 20 4" xfId="7028" xr:uid="{CAC36325-6955-4515-8294-560A81A3C356}"/>
    <cellStyle name="Normal 2 6 4 20 4 2" xfId="15856" xr:uid="{5DE8AF60-057C-4E14-8A53-64BE3AF5B837}"/>
    <cellStyle name="Normal 2 6 4 20 5" xfId="15851" xr:uid="{1F7CD4BC-D2F2-4FEA-91E9-A91DA2C71A8F}"/>
    <cellStyle name="Normal 2 6 4 21" xfId="7029" xr:uid="{A253A55F-2F1C-46D6-8924-3558284594E8}"/>
    <cellStyle name="Normal 2 6 4 21 2" xfId="7030" xr:uid="{3FE68CD4-409C-495B-9493-0DB9F16DD928}"/>
    <cellStyle name="Normal 2 6 4 21 2 2" xfId="7031" xr:uid="{497DBF99-F20B-40CA-8AA7-F5D7961E9780}"/>
    <cellStyle name="Normal 2 6 4 21 2 2 2" xfId="15859" xr:uid="{B6BC2C1E-635E-4A0F-92E4-BBCEB1B14F87}"/>
    <cellStyle name="Normal 2 6 4 21 2 3" xfId="7032" xr:uid="{B5F70478-35B5-4996-B827-FF2A5A109CF6}"/>
    <cellStyle name="Normal 2 6 4 21 2 3 2" xfId="15860" xr:uid="{BF0086E6-C045-48CE-892D-7A125A355C65}"/>
    <cellStyle name="Normal 2 6 4 21 2 4" xfId="15858" xr:uid="{5665EE44-D666-48FF-8326-9FAACDADD0A2}"/>
    <cellStyle name="Normal 2 6 4 21 3" xfId="7033" xr:uid="{EC127A46-7516-4B6E-A30F-4C515715C66C}"/>
    <cellStyle name="Normal 2 6 4 21 3 2" xfId="15861" xr:uid="{61214340-69F5-4FA8-8603-EF9B21E0350A}"/>
    <cellStyle name="Normal 2 6 4 21 4" xfId="7034" xr:uid="{C5652530-F003-43ED-8AB3-D3BC6F8DC674}"/>
    <cellStyle name="Normal 2 6 4 21 4 2" xfId="15862" xr:uid="{679BF9C9-C7E6-4893-B89B-30FA00B405F4}"/>
    <cellStyle name="Normal 2 6 4 21 5" xfId="15857" xr:uid="{15315299-FBF4-4C29-9044-74FCF8B6D7BC}"/>
    <cellStyle name="Normal 2 6 4 22" xfId="7035" xr:uid="{21320754-A171-4C37-8FDC-1345A06E50F4}"/>
    <cellStyle name="Normal 2 6 4 22 2" xfId="7036" xr:uid="{AF2F0D7C-3393-4902-9BB4-CEE9C9431CC7}"/>
    <cellStyle name="Normal 2 6 4 22 2 2" xfId="7037" xr:uid="{77626874-E07C-4AEA-A950-8D1321D4B0E5}"/>
    <cellStyle name="Normal 2 6 4 22 2 2 2" xfId="15865" xr:uid="{6475BDA1-652F-467C-A63A-81792CE1FDB5}"/>
    <cellStyle name="Normal 2 6 4 22 2 3" xfId="7038" xr:uid="{795AC539-BBC7-41C8-992C-6E8B53839EC0}"/>
    <cellStyle name="Normal 2 6 4 22 2 3 2" xfId="15866" xr:uid="{B06E9EDE-69FC-4AFE-8328-0EB575E43AF9}"/>
    <cellStyle name="Normal 2 6 4 22 2 4" xfId="15864" xr:uid="{27871C6E-A8C1-4245-8C19-8809DC592C78}"/>
    <cellStyle name="Normal 2 6 4 22 3" xfId="7039" xr:uid="{FDFFFCDE-A1C2-400E-B607-DCBD4EB4DFB9}"/>
    <cellStyle name="Normal 2 6 4 22 3 2" xfId="15867" xr:uid="{42F88AF6-0909-42BE-A518-1E93019CA314}"/>
    <cellStyle name="Normal 2 6 4 22 4" xfId="7040" xr:uid="{21915A22-E846-4969-B244-62EFA554842C}"/>
    <cellStyle name="Normal 2 6 4 22 4 2" xfId="15868" xr:uid="{08E08A37-AB9B-4D4C-BE73-81EE41B714B7}"/>
    <cellStyle name="Normal 2 6 4 22 5" xfId="15863" xr:uid="{D000CD36-AF9C-44F6-8C84-7615D0C50B2E}"/>
    <cellStyle name="Normal 2 6 4 23" xfId="7041" xr:uid="{ECF03968-5BE3-4D0E-AE53-2B04B08F0CD4}"/>
    <cellStyle name="Normal 2 6 4 23 2" xfId="7042" xr:uid="{DDA18DDC-1529-440F-ABE2-A9033656BBB7}"/>
    <cellStyle name="Normal 2 6 4 23 2 2" xfId="7043" xr:uid="{39B9B26F-255B-456B-A3A9-9D7EBC3681B8}"/>
    <cellStyle name="Normal 2 6 4 23 2 2 2" xfId="15871" xr:uid="{AA6C9952-11FB-4B20-90BC-E2374847977F}"/>
    <cellStyle name="Normal 2 6 4 23 2 3" xfId="7044" xr:uid="{03F50FCD-C3A2-49E0-8A52-17E512862D22}"/>
    <cellStyle name="Normal 2 6 4 23 2 3 2" xfId="15872" xr:uid="{B444C52C-6D36-45D2-BB73-26BBDC5B2A10}"/>
    <cellStyle name="Normal 2 6 4 23 2 4" xfId="15870" xr:uid="{3A0A5F0F-4400-4C5A-961F-44FBCE064F04}"/>
    <cellStyle name="Normal 2 6 4 23 3" xfId="7045" xr:uid="{4DF1217F-69DE-4E9B-AD23-45E92064765E}"/>
    <cellStyle name="Normal 2 6 4 23 3 2" xfId="15873" xr:uid="{FE62BBD8-2ECB-4EF4-9522-9CC543CC3E0D}"/>
    <cellStyle name="Normal 2 6 4 23 4" xfId="7046" xr:uid="{34EA6BA1-2EDE-4882-86AA-1A79E0EC90A4}"/>
    <cellStyle name="Normal 2 6 4 23 4 2" xfId="15874" xr:uid="{5D9C0EB3-5CB7-4635-A407-93C0AB0E264C}"/>
    <cellStyle name="Normal 2 6 4 23 5" xfId="15869" xr:uid="{4F2CE9D1-C16D-45F7-9EF8-997F1243C42E}"/>
    <cellStyle name="Normal 2 6 4 24" xfId="7047" xr:uid="{1D862302-A03D-4E8A-8E36-A02A7BB7EF90}"/>
    <cellStyle name="Normal 2 6 4 24 2" xfId="7048" xr:uid="{D6FE36D0-5231-40C6-B3B1-2F78B74A11C3}"/>
    <cellStyle name="Normal 2 6 4 24 2 2" xfId="7049" xr:uid="{514B0CCE-7056-49AF-89F7-08C7D23CF2DB}"/>
    <cellStyle name="Normal 2 6 4 24 2 2 2" xfId="15877" xr:uid="{A6F44E87-7A3D-4BB0-8DD1-86903EBE3A55}"/>
    <cellStyle name="Normal 2 6 4 24 2 3" xfId="7050" xr:uid="{369CAA8D-98A7-473D-BEE1-2A573FCA1BCA}"/>
    <cellStyle name="Normal 2 6 4 24 2 3 2" xfId="15878" xr:uid="{AEF44EE3-FA3F-49AB-9DF9-97A95CD4A248}"/>
    <cellStyle name="Normal 2 6 4 24 2 4" xfId="15876" xr:uid="{89B937BB-156F-4414-AC4A-45073655FEBE}"/>
    <cellStyle name="Normal 2 6 4 24 3" xfId="7051" xr:uid="{468541A0-B6EA-472F-BD5F-3711C33E6D9C}"/>
    <cellStyle name="Normal 2 6 4 24 3 2" xfId="15879" xr:uid="{3F12DE4D-4DFA-4949-8FE0-725FAAEC3CDD}"/>
    <cellStyle name="Normal 2 6 4 24 4" xfId="7052" xr:uid="{B634B5B1-96D8-44A7-8599-2880A6F329A0}"/>
    <cellStyle name="Normal 2 6 4 24 4 2" xfId="15880" xr:uid="{41CE7758-250F-408F-95B5-267A7AD3583C}"/>
    <cellStyle name="Normal 2 6 4 24 5" xfId="15875" xr:uid="{53C952FD-960F-4759-8125-F6494AC0D4A3}"/>
    <cellStyle name="Normal 2 6 4 25" xfId="7053" xr:uid="{01A6825D-DE31-4050-AA5D-660675B40A7D}"/>
    <cellStyle name="Normal 2 6 4 25 2" xfId="7054" xr:uid="{75554D16-58D4-4AE5-915E-7B4970348065}"/>
    <cellStyle name="Normal 2 6 4 25 2 2" xfId="7055" xr:uid="{2401FC7C-C48F-4D5D-9226-BFCBD056FF5D}"/>
    <cellStyle name="Normal 2 6 4 25 2 2 2" xfId="15883" xr:uid="{3C4186EB-5A4C-436A-8D73-F06B0560491F}"/>
    <cellStyle name="Normal 2 6 4 25 2 3" xfId="7056" xr:uid="{6D346F24-D8AB-4B40-A18D-4AFBA295243A}"/>
    <cellStyle name="Normal 2 6 4 25 2 3 2" xfId="15884" xr:uid="{031447EC-DDDA-4F5A-A68E-847CE7358B0B}"/>
    <cellStyle name="Normal 2 6 4 25 2 4" xfId="15882" xr:uid="{C7876E49-80C1-4BF3-BC33-1AE0A76B7017}"/>
    <cellStyle name="Normal 2 6 4 25 3" xfId="7057" xr:uid="{8602C436-8634-4FED-9D06-719FDFE8EB75}"/>
    <cellStyle name="Normal 2 6 4 25 3 2" xfId="15885" xr:uid="{C6BFD5B2-6C2B-4285-AA48-A706E7F4B98A}"/>
    <cellStyle name="Normal 2 6 4 25 4" xfId="7058" xr:uid="{77306EDB-005A-4E05-B0B1-22DE51A4B61E}"/>
    <cellStyle name="Normal 2 6 4 25 4 2" xfId="15886" xr:uid="{9A9F2FEA-1487-4BEF-BD64-98BA4C5FE4FA}"/>
    <cellStyle name="Normal 2 6 4 25 5" xfId="15881" xr:uid="{F58CEEFD-0649-4331-92DD-64A3BA3E2DE0}"/>
    <cellStyle name="Normal 2 6 4 26" xfId="7059" xr:uid="{01964628-F599-4BBD-A577-0CF30F629768}"/>
    <cellStyle name="Normal 2 6 4 26 2" xfId="7060" xr:uid="{1FE59812-2A51-4E5F-A171-8CB6C484CD99}"/>
    <cellStyle name="Normal 2 6 4 26 2 2" xfId="7061" xr:uid="{DD0A0D71-091E-41E7-AA44-121182F161A2}"/>
    <cellStyle name="Normal 2 6 4 26 2 2 2" xfId="15889" xr:uid="{01372727-96EE-408C-8EBF-DBED0A4F55FC}"/>
    <cellStyle name="Normal 2 6 4 26 2 3" xfId="7062" xr:uid="{B5531B44-0622-45E4-8CC3-59EC20EFD89F}"/>
    <cellStyle name="Normal 2 6 4 26 2 3 2" xfId="15890" xr:uid="{D0D53E23-52C9-4F23-BD8A-292393F7E8CE}"/>
    <cellStyle name="Normal 2 6 4 26 2 4" xfId="15888" xr:uid="{4B5AC754-10AD-4B78-A2B5-FC5F772C1FA8}"/>
    <cellStyle name="Normal 2 6 4 26 3" xfId="7063" xr:uid="{9762400E-B6C3-47DD-97B4-A8021217E6BB}"/>
    <cellStyle name="Normal 2 6 4 26 3 2" xfId="15891" xr:uid="{F80FA50B-9BA0-403E-AF5D-2C0306DA1E1D}"/>
    <cellStyle name="Normal 2 6 4 26 4" xfId="7064" xr:uid="{6A50763E-C3AE-4BF7-9D1C-36C4906BC901}"/>
    <cellStyle name="Normal 2 6 4 26 4 2" xfId="15892" xr:uid="{F6303EB2-560D-4C01-B5EF-26C6CBAFAF22}"/>
    <cellStyle name="Normal 2 6 4 26 5" xfId="15887" xr:uid="{D11113ED-DCA8-4B36-B36C-C8516DBA1B4E}"/>
    <cellStyle name="Normal 2 6 4 27" xfId="7065" xr:uid="{3EBE1D2A-B4DA-48BA-9755-86C43D176128}"/>
    <cellStyle name="Normal 2 6 4 27 2" xfId="7066" xr:uid="{3BF3BB13-3FFD-42CE-AD94-0A5E93099F35}"/>
    <cellStyle name="Normal 2 6 4 27 2 2" xfId="7067" xr:uid="{FB3F8E59-572D-4023-8E77-A45926928345}"/>
    <cellStyle name="Normal 2 6 4 27 2 2 2" xfId="15895" xr:uid="{B639A3DE-6F95-4BB5-9040-DCF12CC4FCAC}"/>
    <cellStyle name="Normal 2 6 4 27 2 3" xfId="7068" xr:uid="{1E8C7CB1-704F-447B-921E-C9CF0DEDE00C}"/>
    <cellStyle name="Normal 2 6 4 27 2 3 2" xfId="15896" xr:uid="{C8296F77-3C2A-4328-AB84-F2F43926E5D3}"/>
    <cellStyle name="Normal 2 6 4 27 2 4" xfId="15894" xr:uid="{13E2F7E4-8D65-4517-87B0-C2DB7E8B2817}"/>
    <cellStyle name="Normal 2 6 4 27 3" xfId="7069" xr:uid="{C0C131CC-90D9-43B5-A81B-0B8955857845}"/>
    <cellStyle name="Normal 2 6 4 27 3 2" xfId="15897" xr:uid="{1D526515-32FD-4367-A385-E77755738662}"/>
    <cellStyle name="Normal 2 6 4 27 4" xfId="7070" xr:uid="{2783E1DE-8A50-476D-A1DF-209669CE8B51}"/>
    <cellStyle name="Normal 2 6 4 27 4 2" xfId="15898" xr:uid="{B3719AFF-EA0F-402F-90DB-E4064427DB1A}"/>
    <cellStyle name="Normal 2 6 4 27 5" xfId="15893" xr:uid="{4C5A1E1C-27E8-4E19-9FF0-14319863ADD7}"/>
    <cellStyle name="Normal 2 6 4 28" xfId="7071" xr:uid="{1FECB4DD-D603-40EA-8D3A-BA22EF71DF6F}"/>
    <cellStyle name="Normal 2 6 4 28 2" xfId="7072" xr:uid="{9E977AE0-91BF-42C9-9139-3B8AE6E133A6}"/>
    <cellStyle name="Normal 2 6 4 28 2 2" xfId="7073" xr:uid="{3F3A9125-B0E7-4B4D-8FE4-C51DE3DFC8F1}"/>
    <cellStyle name="Normal 2 6 4 28 2 2 2" xfId="15901" xr:uid="{3DD60792-335A-4A7E-833D-F2E1AC1EB2A5}"/>
    <cellStyle name="Normal 2 6 4 28 2 3" xfId="7074" xr:uid="{38DA26FD-BE13-467C-8A37-50EFBCAD5DF5}"/>
    <cellStyle name="Normal 2 6 4 28 2 3 2" xfId="15902" xr:uid="{69ADF1F3-DD02-4269-BA36-4585ED454B59}"/>
    <cellStyle name="Normal 2 6 4 28 2 4" xfId="15900" xr:uid="{06CD9AE6-F460-43FE-B4FF-823206552E3C}"/>
    <cellStyle name="Normal 2 6 4 28 3" xfId="7075" xr:uid="{A927181C-973A-47AF-84D4-D983D47BD768}"/>
    <cellStyle name="Normal 2 6 4 28 3 2" xfId="15903" xr:uid="{55387690-70E0-4EB6-B0BE-1C8E95F98FA8}"/>
    <cellStyle name="Normal 2 6 4 28 4" xfId="7076" xr:uid="{7AF9C454-85DE-4946-89F7-112463EA0DE2}"/>
    <cellStyle name="Normal 2 6 4 28 4 2" xfId="15904" xr:uid="{76EE807E-F33E-4575-9119-D0FA1580C8C3}"/>
    <cellStyle name="Normal 2 6 4 28 5" xfId="15899" xr:uid="{771075B2-A1B1-48D5-B12B-5109E063C4CB}"/>
    <cellStyle name="Normal 2 6 4 29" xfId="7077" xr:uid="{82507CAF-E498-4BC6-80F7-8638E4D3F41A}"/>
    <cellStyle name="Normal 2 6 4 29 2" xfId="7078" xr:uid="{2E8702B9-FF8B-441F-8D67-630A21BEB657}"/>
    <cellStyle name="Normal 2 6 4 29 2 2" xfId="7079" xr:uid="{99BFFA76-2713-4864-A7E5-87264B2F306C}"/>
    <cellStyle name="Normal 2 6 4 29 2 2 2" xfId="15907" xr:uid="{30AF2385-7D17-41FA-AD91-13AE7C6B2B7F}"/>
    <cellStyle name="Normal 2 6 4 29 2 3" xfId="7080" xr:uid="{A778EA46-64A4-4CF0-B848-FB44ECA93D00}"/>
    <cellStyle name="Normal 2 6 4 29 2 3 2" xfId="15908" xr:uid="{7137F0CD-E327-43EA-B5DE-B5311970CAFD}"/>
    <cellStyle name="Normal 2 6 4 29 2 4" xfId="15906" xr:uid="{658C5D7D-E6EA-497B-9F21-7FA20C92C133}"/>
    <cellStyle name="Normal 2 6 4 29 3" xfId="7081" xr:uid="{63B59136-2CCC-4F77-A2E1-5E2E9EF5B570}"/>
    <cellStyle name="Normal 2 6 4 29 3 2" xfId="15909" xr:uid="{8A2FB9A5-C857-4FB1-8097-D0710A717917}"/>
    <cellStyle name="Normal 2 6 4 29 4" xfId="7082" xr:uid="{103AD610-1AD5-4FB0-A7D6-E875A723C5DC}"/>
    <cellStyle name="Normal 2 6 4 29 4 2" xfId="15910" xr:uid="{A26BC819-B875-4F18-9447-08F69AC5BBBB}"/>
    <cellStyle name="Normal 2 6 4 29 5" xfId="15905" xr:uid="{D1035CBB-09A8-4B32-9DD4-FC03907B3437}"/>
    <cellStyle name="Normal 2 6 4 3" xfId="7083" xr:uid="{567C843E-970E-4160-9E30-B0B07C41C2CC}"/>
    <cellStyle name="Normal 2 6 4 3 2" xfId="7084" xr:uid="{4636E1AD-CEE5-40E2-B8C1-2D172D59AE88}"/>
    <cellStyle name="Normal 2 6 4 3 2 2" xfId="7085" xr:uid="{E06D06A8-0386-470A-AE73-21C52058AE05}"/>
    <cellStyle name="Normal 2 6 4 3 2 2 2" xfId="15913" xr:uid="{135AC90F-1341-4FF8-97D3-EB904D66F91F}"/>
    <cellStyle name="Normal 2 6 4 3 2 3" xfId="7086" xr:uid="{0E9CA3A8-2D80-40EF-AD79-2098758288D8}"/>
    <cellStyle name="Normal 2 6 4 3 2 3 2" xfId="15914" xr:uid="{7D41AA04-248A-42EA-B369-8259CE62CC27}"/>
    <cellStyle name="Normal 2 6 4 3 2 4" xfId="15912" xr:uid="{F199EE52-605A-429F-B1E3-937C2ACD0767}"/>
    <cellStyle name="Normal 2 6 4 3 3" xfId="7087" xr:uid="{3F99022F-F0DC-40DD-94A1-530C9695DD24}"/>
    <cellStyle name="Normal 2 6 4 3 3 2" xfId="15915" xr:uid="{5F04E2C4-BE72-4602-9133-61F9563E2941}"/>
    <cellStyle name="Normal 2 6 4 3 4" xfId="7088" xr:uid="{8BB8A2C3-E4BE-42E3-9B87-7D40A0B61E37}"/>
    <cellStyle name="Normal 2 6 4 3 4 2" xfId="15916" xr:uid="{95B9E1AF-E275-4FF0-A9C9-A73AFF689C3A}"/>
    <cellStyle name="Normal 2 6 4 3 5" xfId="15911" xr:uid="{B51D0FD6-8A4B-4A85-89EA-620BCCFD1124}"/>
    <cellStyle name="Normal 2 6 4 30" xfId="7089" xr:uid="{56C86F0F-35D3-4CEE-94E7-8B3A6E0A87C0}"/>
    <cellStyle name="Normal 2 6 4 30 2" xfId="7090" xr:uid="{F419A7B9-3C3C-4A4B-9108-ED2474F862CB}"/>
    <cellStyle name="Normal 2 6 4 30 2 2" xfId="7091" xr:uid="{A4A21B14-E5C3-40ED-8CB0-9D77300197A0}"/>
    <cellStyle name="Normal 2 6 4 30 2 2 2" xfId="15919" xr:uid="{405F61B6-9630-48DF-90A0-88F5C4C32DF1}"/>
    <cellStyle name="Normal 2 6 4 30 2 3" xfId="7092" xr:uid="{3DD0FA83-C8D1-400E-B13F-D951C45D903A}"/>
    <cellStyle name="Normal 2 6 4 30 2 3 2" xfId="15920" xr:uid="{BFDD4BAB-242F-4BF3-88E4-F64135512648}"/>
    <cellStyle name="Normal 2 6 4 30 2 4" xfId="15918" xr:uid="{4A4E7671-15E9-43C8-8C42-DBBE21A933D6}"/>
    <cellStyle name="Normal 2 6 4 30 3" xfId="7093" xr:uid="{0CF21BFB-89F9-49F8-ABC5-FF1F4F9111CF}"/>
    <cellStyle name="Normal 2 6 4 30 3 2" xfId="15921" xr:uid="{90FA9639-8BD5-4AA5-B9F5-9EB36FC08646}"/>
    <cellStyle name="Normal 2 6 4 30 4" xfId="7094" xr:uid="{3F7162DA-5B53-4331-82E8-5B033C89E57E}"/>
    <cellStyle name="Normal 2 6 4 30 4 2" xfId="15922" xr:uid="{BF5DA0B7-AC0A-4F51-98EF-5D0E7A56A443}"/>
    <cellStyle name="Normal 2 6 4 30 5" xfId="15917" xr:uid="{9768C7CE-A641-49DC-9B6C-9329ADDF05FE}"/>
    <cellStyle name="Normal 2 6 4 31" xfId="7095" xr:uid="{77EADBB4-F0F2-45B3-85FA-C4BB56E5477E}"/>
    <cellStyle name="Normal 2 6 4 31 2" xfId="7096" xr:uid="{29B19C88-5787-4F30-BAD0-01D6B7A728AD}"/>
    <cellStyle name="Normal 2 6 4 31 2 2" xfId="7097" xr:uid="{8FA9344D-F289-4830-8BFB-77CD91E93396}"/>
    <cellStyle name="Normal 2 6 4 31 2 2 2" xfId="15925" xr:uid="{F0D1A66F-B71D-49C9-BF64-64FDA5A0C8F5}"/>
    <cellStyle name="Normal 2 6 4 31 2 3" xfId="7098" xr:uid="{C6CEE772-5296-4A4D-9155-08635FE690B4}"/>
    <cellStyle name="Normal 2 6 4 31 2 3 2" xfId="15926" xr:uid="{A83146EF-1A7C-4918-BA18-B1F989CE450D}"/>
    <cellStyle name="Normal 2 6 4 31 2 4" xfId="15924" xr:uid="{322AAC12-1AEF-4656-9DC5-F3E4686AD241}"/>
    <cellStyle name="Normal 2 6 4 31 3" xfId="7099" xr:uid="{236F93F5-7F9E-4700-85DD-3132803BB0D7}"/>
    <cellStyle name="Normal 2 6 4 31 3 2" xfId="15927" xr:uid="{407AB9B8-47E7-4D5D-9AEC-44AC13163D18}"/>
    <cellStyle name="Normal 2 6 4 31 4" xfId="7100" xr:uid="{071E90BE-A1FB-4691-9CE0-797BBA4D8F16}"/>
    <cellStyle name="Normal 2 6 4 31 4 2" xfId="15928" xr:uid="{17264624-3C71-4D13-B126-12E45CAB4DC7}"/>
    <cellStyle name="Normal 2 6 4 31 5" xfId="15923" xr:uid="{A2CF60A6-47DE-41E2-BCB5-59C6B2847A94}"/>
    <cellStyle name="Normal 2 6 4 32" xfId="7101" xr:uid="{C2F96C5A-A908-4908-9A3C-9D5DFA2487B5}"/>
    <cellStyle name="Normal 2 6 4 32 2" xfId="7102" xr:uid="{96C53882-C66C-4D55-B7D3-6D55B76173A1}"/>
    <cellStyle name="Normal 2 6 4 32 2 2" xfId="7103" xr:uid="{D0684578-8F91-4948-860C-310FC411A13D}"/>
    <cellStyle name="Normal 2 6 4 32 2 2 2" xfId="15931" xr:uid="{AC9150AA-BD8C-4724-9003-070B1E30EF06}"/>
    <cellStyle name="Normal 2 6 4 32 2 3" xfId="7104" xr:uid="{3F0801A4-41C1-4637-9888-3FEFB98AEE77}"/>
    <cellStyle name="Normal 2 6 4 32 2 3 2" xfId="15932" xr:uid="{EC5E2A0C-A7DD-4CD2-B224-9558D33B3F95}"/>
    <cellStyle name="Normal 2 6 4 32 2 4" xfId="15930" xr:uid="{F4EC3926-CF52-4B8A-8C82-B816E32CD7FE}"/>
    <cellStyle name="Normal 2 6 4 32 3" xfId="7105" xr:uid="{F72D74F8-0E24-4DD4-B9B7-4CCEADE5E6D0}"/>
    <cellStyle name="Normal 2 6 4 32 3 2" xfId="15933" xr:uid="{68B2C76B-85A5-4251-9071-7585B7F31BCD}"/>
    <cellStyle name="Normal 2 6 4 32 4" xfId="7106" xr:uid="{EDAD1B2C-A14E-4D7F-9544-78BC79DD2713}"/>
    <cellStyle name="Normal 2 6 4 32 4 2" xfId="15934" xr:uid="{D422896B-B58B-4533-9611-ACC3BB0C6F8F}"/>
    <cellStyle name="Normal 2 6 4 32 5" xfId="15929" xr:uid="{A17C9B8C-04D3-4F75-8AA2-8503A7715EA4}"/>
    <cellStyle name="Normal 2 6 4 33" xfId="7107" xr:uid="{7BAB0D32-AB24-4918-AE10-00331503C308}"/>
    <cellStyle name="Normal 2 6 4 33 2" xfId="7108" xr:uid="{87F14345-1F84-4412-84CF-B2CD26BE6B35}"/>
    <cellStyle name="Normal 2 6 4 33 2 2" xfId="7109" xr:uid="{674ACC86-BE1D-4F5F-8375-8DCFF035922B}"/>
    <cellStyle name="Normal 2 6 4 33 2 2 2" xfId="15937" xr:uid="{DD7C0F57-C056-4CD4-899A-2E9E0E9DD785}"/>
    <cellStyle name="Normal 2 6 4 33 2 3" xfId="7110" xr:uid="{97C49A95-B592-4FE4-AB19-C6D3551D7C77}"/>
    <cellStyle name="Normal 2 6 4 33 2 3 2" xfId="15938" xr:uid="{EF414AF3-B597-45AE-AB63-D30DFC4A0EFF}"/>
    <cellStyle name="Normal 2 6 4 33 2 4" xfId="15936" xr:uid="{3186AB8B-42AC-426E-9634-CDC3B2BAE947}"/>
    <cellStyle name="Normal 2 6 4 33 3" xfId="7111" xr:uid="{F5F0F871-5BCE-46F7-8B3E-980F372845FB}"/>
    <cellStyle name="Normal 2 6 4 33 3 2" xfId="15939" xr:uid="{657EF773-279C-4E2D-8936-8D8AF1C591FA}"/>
    <cellStyle name="Normal 2 6 4 33 4" xfId="7112" xr:uid="{D3884B17-4C0D-4893-BAD4-8E3AB528EBF8}"/>
    <cellStyle name="Normal 2 6 4 33 4 2" xfId="15940" xr:uid="{D288F0A4-61BD-4837-8190-8752B1B8D910}"/>
    <cellStyle name="Normal 2 6 4 33 5" xfId="15935" xr:uid="{4C7DBB1B-E787-4BF5-AB31-1B0AB91824A2}"/>
    <cellStyle name="Normal 2 6 4 34" xfId="7113" xr:uid="{7426FADC-755D-40F5-84A6-127A5A2066E6}"/>
    <cellStyle name="Normal 2 6 4 34 2" xfId="7114" xr:uid="{6507C81A-643E-41BA-A197-06E1B4DCDA55}"/>
    <cellStyle name="Normal 2 6 4 34 2 2" xfId="7115" xr:uid="{8945215E-B24A-479E-A858-622739E00ECB}"/>
    <cellStyle name="Normal 2 6 4 34 2 2 2" xfId="15943" xr:uid="{D2039102-D8A0-43FE-82E3-D549AD4528E8}"/>
    <cellStyle name="Normal 2 6 4 34 2 3" xfId="7116" xr:uid="{83E8BE79-E922-4F13-BBE4-FAF452A34550}"/>
    <cellStyle name="Normal 2 6 4 34 2 3 2" xfId="15944" xr:uid="{85E2560A-26D3-41DB-9C27-F2543F195223}"/>
    <cellStyle name="Normal 2 6 4 34 2 4" xfId="15942" xr:uid="{16852975-66A4-4E19-9521-6E92809524DF}"/>
    <cellStyle name="Normal 2 6 4 34 3" xfId="7117" xr:uid="{8C81C6F7-0908-44CD-A489-568F8326DD56}"/>
    <cellStyle name="Normal 2 6 4 34 3 2" xfId="15945" xr:uid="{8601ACFB-8B36-49F7-B22E-45FB64D244AE}"/>
    <cellStyle name="Normal 2 6 4 34 4" xfId="7118" xr:uid="{9762455B-031B-4433-A8AF-1E6909040A62}"/>
    <cellStyle name="Normal 2 6 4 34 4 2" xfId="15946" xr:uid="{EB53995E-835A-4BC8-A326-09789B935B7B}"/>
    <cellStyle name="Normal 2 6 4 34 5" xfId="15941" xr:uid="{5B935340-522C-4EC0-A199-953C8A510D0D}"/>
    <cellStyle name="Normal 2 6 4 35" xfId="7119" xr:uid="{64E55DB7-7C5F-4C7B-ABCD-D2BDF2116E63}"/>
    <cellStyle name="Normal 2 6 4 35 2" xfId="7120" xr:uid="{76F8D99D-C85F-433C-B802-85FE6FD8C80B}"/>
    <cellStyle name="Normal 2 6 4 35 2 2" xfId="7121" xr:uid="{65B9DEB6-F469-4E78-B2FF-FB0CF69D056C}"/>
    <cellStyle name="Normal 2 6 4 35 2 2 2" xfId="15949" xr:uid="{F067C229-217E-4C67-84ED-104C4659211D}"/>
    <cellStyle name="Normal 2 6 4 35 2 3" xfId="7122" xr:uid="{58976C2C-1151-47E5-9B88-3DE2E8D05530}"/>
    <cellStyle name="Normal 2 6 4 35 2 3 2" xfId="15950" xr:uid="{034ACE11-0309-4ACE-B7C1-3512635350CA}"/>
    <cellStyle name="Normal 2 6 4 35 2 4" xfId="15948" xr:uid="{AD4B6D44-6AA4-47FD-A9B0-28F845B31A63}"/>
    <cellStyle name="Normal 2 6 4 35 3" xfId="7123" xr:uid="{CF743295-9C88-43C8-BE7D-8A35BFEFA161}"/>
    <cellStyle name="Normal 2 6 4 35 3 2" xfId="15951" xr:uid="{71640F7A-006C-4739-AE67-AF558DD7FB37}"/>
    <cellStyle name="Normal 2 6 4 35 4" xfId="7124" xr:uid="{B7E4ECFA-75CD-4D15-9927-11A92B6EA19A}"/>
    <cellStyle name="Normal 2 6 4 35 4 2" xfId="15952" xr:uid="{5323868B-0D54-4F92-B7CE-32270FC29181}"/>
    <cellStyle name="Normal 2 6 4 35 5" xfId="15947" xr:uid="{51589A27-F7A6-4E05-BF32-F4E2F95E0BD9}"/>
    <cellStyle name="Normal 2 6 4 36" xfId="7125" xr:uid="{B7277100-8C26-4806-9FC8-838916619F7D}"/>
    <cellStyle name="Normal 2 6 4 36 2" xfId="7126" xr:uid="{5C7F7F92-0A92-454D-910F-8E2E56CEDB65}"/>
    <cellStyle name="Normal 2 6 4 36 2 2" xfId="7127" xr:uid="{3257548E-6D12-4100-8B29-313BBDEDFAB0}"/>
    <cellStyle name="Normal 2 6 4 36 2 2 2" xfId="15955" xr:uid="{82FF199F-355A-4099-97E3-DBBD199C05BB}"/>
    <cellStyle name="Normal 2 6 4 36 2 3" xfId="7128" xr:uid="{83EC5959-5A2F-41D7-B700-3AF484973C65}"/>
    <cellStyle name="Normal 2 6 4 36 2 3 2" xfId="15956" xr:uid="{8F293127-FE74-47A3-ACA7-02A50A2198B8}"/>
    <cellStyle name="Normal 2 6 4 36 2 4" xfId="15954" xr:uid="{304F6D28-27CD-4DE8-B307-0F1E8D42A834}"/>
    <cellStyle name="Normal 2 6 4 36 3" xfId="7129" xr:uid="{5485C918-2876-4E38-AD96-DC949ECD43CF}"/>
    <cellStyle name="Normal 2 6 4 36 3 2" xfId="15957" xr:uid="{3670E7F1-6FD2-4E13-BA84-55DDDAC2F187}"/>
    <cellStyle name="Normal 2 6 4 36 4" xfId="7130" xr:uid="{103A6205-DA35-475D-89C1-D3899B2E8E3B}"/>
    <cellStyle name="Normal 2 6 4 36 4 2" xfId="15958" xr:uid="{A2055CC3-4F4C-4DF1-A695-751A3B74B522}"/>
    <cellStyle name="Normal 2 6 4 36 5" xfId="15953" xr:uid="{F377D203-4E9B-470C-97E5-569E45D7854D}"/>
    <cellStyle name="Normal 2 6 4 37" xfId="7131" xr:uid="{B81E7F46-C02E-43BE-85A2-A5CE4DDB2CEC}"/>
    <cellStyle name="Normal 2 6 4 37 2" xfId="7132" xr:uid="{7643F27C-F1AF-4A48-8BAF-D3E48A370BEE}"/>
    <cellStyle name="Normal 2 6 4 37 2 2" xfId="7133" xr:uid="{1BA872DA-CCAF-47E1-945F-BC732FB5CA12}"/>
    <cellStyle name="Normal 2 6 4 37 2 2 2" xfId="15961" xr:uid="{C085B0E3-E019-48BF-937C-77E96CD906F6}"/>
    <cellStyle name="Normal 2 6 4 37 2 3" xfId="7134" xr:uid="{9F600720-34C0-4A6F-B19E-5B2E1BE7FC49}"/>
    <cellStyle name="Normal 2 6 4 37 2 3 2" xfId="15962" xr:uid="{C374627C-FD1B-4AA0-AD12-97EE6A38E1BF}"/>
    <cellStyle name="Normal 2 6 4 37 2 4" xfId="15960" xr:uid="{3028F7BB-C8A0-4B4C-883F-E5EAA653B9C2}"/>
    <cellStyle name="Normal 2 6 4 37 3" xfId="7135" xr:uid="{8EFC14EA-773F-4652-9F20-6185787F1842}"/>
    <cellStyle name="Normal 2 6 4 37 3 2" xfId="15963" xr:uid="{4D80D02C-992E-436F-ACD6-A4A9CD302D5D}"/>
    <cellStyle name="Normal 2 6 4 37 4" xfId="7136" xr:uid="{C3383836-7533-44F4-A52A-3306FA7405DD}"/>
    <cellStyle name="Normal 2 6 4 37 4 2" xfId="15964" xr:uid="{28C9B1FC-9384-4CCA-AB33-555EE6065643}"/>
    <cellStyle name="Normal 2 6 4 37 5" xfId="15959" xr:uid="{43E073F0-BD04-4554-9FA1-4690DDD234E3}"/>
    <cellStyle name="Normal 2 6 4 38" xfId="7137" xr:uid="{FAEEBAA2-6556-47BD-B98B-3C09D8C4E8CC}"/>
    <cellStyle name="Normal 2 6 4 38 2" xfId="7138" xr:uid="{FFB55565-2B92-40F4-A501-ED73436740A6}"/>
    <cellStyle name="Normal 2 6 4 38 2 2" xfId="7139" xr:uid="{31F090EF-A5F2-460E-9034-C20296EF03D5}"/>
    <cellStyle name="Normal 2 6 4 38 2 2 2" xfId="15967" xr:uid="{6DA81080-7FEF-4280-A7A4-F6BA53FF7C49}"/>
    <cellStyle name="Normal 2 6 4 38 2 3" xfId="7140" xr:uid="{92B78A71-E7F4-4444-8F55-6532149BC4B0}"/>
    <cellStyle name="Normal 2 6 4 38 2 3 2" xfId="15968" xr:uid="{1FA7B5D8-A21F-4D3D-8F09-2BD407E78D59}"/>
    <cellStyle name="Normal 2 6 4 38 2 4" xfId="15966" xr:uid="{CF224D86-501E-46B6-A398-23C1C120DBC5}"/>
    <cellStyle name="Normal 2 6 4 38 3" xfId="7141" xr:uid="{2D233EED-C005-4A46-B377-E05DBA676B5A}"/>
    <cellStyle name="Normal 2 6 4 38 3 2" xfId="15969" xr:uid="{235E0281-3218-463D-B330-63FC09230FC9}"/>
    <cellStyle name="Normal 2 6 4 38 4" xfId="7142" xr:uid="{5CE07936-1D9B-4F7F-845D-E8A5D29829D2}"/>
    <cellStyle name="Normal 2 6 4 38 4 2" xfId="15970" xr:uid="{EF9B9DB8-D110-4F3F-BC40-45158D7FAB4D}"/>
    <cellStyle name="Normal 2 6 4 38 5" xfId="15965" xr:uid="{47E8E07C-455F-4D5B-A6B7-ACA263835509}"/>
    <cellStyle name="Normal 2 6 4 39" xfId="7143" xr:uid="{3F937822-CFF8-4415-B1AA-6C239469AD74}"/>
    <cellStyle name="Normal 2 6 4 39 2" xfId="7144" xr:uid="{82B8B4F1-6E9B-4662-A36F-5BAAB367318A}"/>
    <cellStyle name="Normal 2 6 4 39 2 2" xfId="7145" xr:uid="{1BE41245-4F03-4E07-B7B9-4B08AF8128DC}"/>
    <cellStyle name="Normal 2 6 4 39 2 2 2" xfId="15973" xr:uid="{7B9A0975-55BC-4B11-937F-553D9C810E9A}"/>
    <cellStyle name="Normal 2 6 4 39 2 3" xfId="7146" xr:uid="{0745E025-CE51-41C4-AB59-14B420D57228}"/>
    <cellStyle name="Normal 2 6 4 39 2 3 2" xfId="15974" xr:uid="{7DAE009D-BB10-4C04-9A80-0AFA20299EAD}"/>
    <cellStyle name="Normal 2 6 4 39 2 4" xfId="15972" xr:uid="{8C86C240-C65E-43C0-9026-016C5319149A}"/>
    <cellStyle name="Normal 2 6 4 39 3" xfId="7147" xr:uid="{D4A925A1-9B8B-46E8-8B17-8EE41ECE4E0F}"/>
    <cellStyle name="Normal 2 6 4 39 3 2" xfId="15975" xr:uid="{EDB08636-C125-44CD-A45A-56A4F953F42C}"/>
    <cellStyle name="Normal 2 6 4 39 4" xfId="7148" xr:uid="{1995A477-8DFF-428F-9098-32FE2C36B817}"/>
    <cellStyle name="Normal 2 6 4 39 4 2" xfId="15976" xr:uid="{1F73852B-9941-44DE-B32D-5F6BDC5A66D6}"/>
    <cellStyle name="Normal 2 6 4 39 5" xfId="15971" xr:uid="{E3FB1632-1E79-4478-A454-9DC230DF848D}"/>
    <cellStyle name="Normal 2 6 4 4" xfId="7149" xr:uid="{9BE1F65F-ACD8-4F4A-BB21-56D66423C6F3}"/>
    <cellStyle name="Normal 2 6 4 4 2" xfId="7150" xr:uid="{F3676FFA-0561-4F7B-9D61-631CC58942AF}"/>
    <cellStyle name="Normal 2 6 4 4 2 2" xfId="7151" xr:uid="{C0B59A35-2A82-47B4-A747-FDC10DC57CEC}"/>
    <cellStyle name="Normal 2 6 4 4 2 2 2" xfId="15979" xr:uid="{CABD1184-563C-4BD5-A3A0-D1CD854C4F95}"/>
    <cellStyle name="Normal 2 6 4 4 2 3" xfId="7152" xr:uid="{3ACCD674-AD24-45D3-850A-0371394236EE}"/>
    <cellStyle name="Normal 2 6 4 4 2 3 2" xfId="15980" xr:uid="{EF332127-0935-4CED-B198-50B74E800551}"/>
    <cellStyle name="Normal 2 6 4 4 2 4" xfId="15978" xr:uid="{B7031439-4DE7-462F-BA2D-DE8F5C8AA718}"/>
    <cellStyle name="Normal 2 6 4 4 3" xfId="7153" xr:uid="{73E70775-6EA1-4999-9A6D-0DD951DA7F35}"/>
    <cellStyle name="Normal 2 6 4 4 3 2" xfId="15981" xr:uid="{6D961900-F136-4B40-9AF0-4806712181E0}"/>
    <cellStyle name="Normal 2 6 4 4 4" xfId="7154" xr:uid="{E5DA572F-7703-4C0C-8BA7-FBA458AADCB3}"/>
    <cellStyle name="Normal 2 6 4 4 4 2" xfId="15982" xr:uid="{EF9ED65B-A23B-456F-A165-6039ABADB9EE}"/>
    <cellStyle name="Normal 2 6 4 4 5" xfId="15977" xr:uid="{687B33CB-E596-4EFC-B811-19E175E50F85}"/>
    <cellStyle name="Normal 2 6 4 40" xfId="7155" xr:uid="{873E4E7E-A04D-41AD-98B6-B649947479FF}"/>
    <cellStyle name="Normal 2 6 4 40 2" xfId="7156" xr:uid="{A608760F-623B-4AAA-95F6-ECBD49F91E45}"/>
    <cellStyle name="Normal 2 6 4 40 2 2" xfId="7157" xr:uid="{252FCFB4-747A-4E3A-B33C-09EF0296F531}"/>
    <cellStyle name="Normal 2 6 4 40 2 2 2" xfId="15985" xr:uid="{EAF9D0DC-736E-452E-9543-99C3603A5F75}"/>
    <cellStyle name="Normal 2 6 4 40 2 3" xfId="7158" xr:uid="{A655DF50-ACAD-43CF-AEC4-5EA37997336B}"/>
    <cellStyle name="Normal 2 6 4 40 2 3 2" xfId="15986" xr:uid="{0E52EB6C-65EB-448B-9677-D57B1C6173C7}"/>
    <cellStyle name="Normal 2 6 4 40 2 4" xfId="15984" xr:uid="{CF35B55F-AB9C-4747-B0BC-452C3D2072C6}"/>
    <cellStyle name="Normal 2 6 4 40 3" xfId="7159" xr:uid="{69077381-02AC-4F16-A835-04F70AC31E68}"/>
    <cellStyle name="Normal 2 6 4 40 3 2" xfId="15987" xr:uid="{CCB7ACA0-C320-4BD7-BFA0-89FC5F4D57C7}"/>
    <cellStyle name="Normal 2 6 4 40 4" xfId="7160" xr:uid="{B47485DC-194D-4E4A-A742-3EB1E0C02701}"/>
    <cellStyle name="Normal 2 6 4 40 4 2" xfId="15988" xr:uid="{BC687C03-E0E0-4A6B-AD9C-7B450327BBD5}"/>
    <cellStyle name="Normal 2 6 4 40 5" xfId="15983" xr:uid="{DFB8C3C9-F5A6-4F27-AAE2-BAB0CD19D066}"/>
    <cellStyle name="Normal 2 6 4 41" xfId="7161" xr:uid="{801CD858-7F34-44A8-BB8F-E0CD9F0093EF}"/>
    <cellStyle name="Normal 2 6 4 41 2" xfId="7162" xr:uid="{E7208211-423F-454E-A314-5F8387BAB816}"/>
    <cellStyle name="Normal 2 6 4 41 2 2" xfId="7163" xr:uid="{B18E5F13-BBAE-4446-8C71-869B40C80F42}"/>
    <cellStyle name="Normal 2 6 4 41 2 2 2" xfId="15991" xr:uid="{158E7299-F3E5-4B11-855B-D073824994F9}"/>
    <cellStyle name="Normal 2 6 4 41 2 3" xfId="7164" xr:uid="{3632E2D4-E072-49F9-BBE4-C3E543F93A97}"/>
    <cellStyle name="Normal 2 6 4 41 2 3 2" xfId="15992" xr:uid="{A6AB373F-4A77-4DD4-B76C-F1F530BBD31B}"/>
    <cellStyle name="Normal 2 6 4 41 2 4" xfId="15990" xr:uid="{DD28D52B-EBF5-4F6D-9B14-7DC0852756C7}"/>
    <cellStyle name="Normal 2 6 4 41 3" xfId="7165" xr:uid="{B4EFF5F2-8319-4584-9B3B-18DB03D5A4E5}"/>
    <cellStyle name="Normal 2 6 4 41 3 2" xfId="15993" xr:uid="{56AEC2A2-ACE1-4D8A-A11A-E2D47582E8D7}"/>
    <cellStyle name="Normal 2 6 4 41 4" xfId="7166" xr:uid="{68E45C37-84EC-4752-AEAA-DD22155FAF5B}"/>
    <cellStyle name="Normal 2 6 4 41 4 2" xfId="15994" xr:uid="{133F04D7-95C6-4C87-B4EF-FD9300ADDF4D}"/>
    <cellStyle name="Normal 2 6 4 41 5" xfId="15989" xr:uid="{86100FB7-688E-4F60-A49D-282267E822E1}"/>
    <cellStyle name="Normal 2 6 4 42" xfId="7167" xr:uid="{F209D829-B5B6-4BF3-B47B-B78D8F6E1D5A}"/>
    <cellStyle name="Normal 2 6 4 42 2" xfId="7168" xr:uid="{A213F676-A55C-457B-AC1B-6A01F0BAE88D}"/>
    <cellStyle name="Normal 2 6 4 42 2 2" xfId="7169" xr:uid="{1D8990BD-B233-49C6-94DE-BD6C7CA178B9}"/>
    <cellStyle name="Normal 2 6 4 42 2 2 2" xfId="15997" xr:uid="{4255CCE3-B3CF-4CA0-876F-42142E935532}"/>
    <cellStyle name="Normal 2 6 4 42 2 3" xfId="7170" xr:uid="{24EAD070-DE1C-4A5D-87C1-4374ACF5CC8A}"/>
    <cellStyle name="Normal 2 6 4 42 2 3 2" xfId="15998" xr:uid="{CB651848-6EEC-4187-BDB4-C5BF9ABC9F40}"/>
    <cellStyle name="Normal 2 6 4 42 2 4" xfId="15996" xr:uid="{3320002F-D8AD-4FB2-B3DC-524C62A481D5}"/>
    <cellStyle name="Normal 2 6 4 42 3" xfId="7171" xr:uid="{B19C7EEA-D06A-4861-B999-46ECD04DAA9D}"/>
    <cellStyle name="Normal 2 6 4 42 3 2" xfId="15999" xr:uid="{9B6A669D-CC6A-4F20-8728-07B500189568}"/>
    <cellStyle name="Normal 2 6 4 42 4" xfId="7172" xr:uid="{FC94A6CC-23B7-4E27-A2E0-D2C13E120169}"/>
    <cellStyle name="Normal 2 6 4 42 4 2" xfId="16000" xr:uid="{0DD67828-6022-4A21-A176-69A7DF9694BC}"/>
    <cellStyle name="Normal 2 6 4 42 5" xfId="15995" xr:uid="{3AA9E784-3397-4571-BD80-708E21F0C245}"/>
    <cellStyle name="Normal 2 6 4 43" xfId="7173" xr:uid="{A385096E-42B6-4BEC-884D-461A059AC0B6}"/>
    <cellStyle name="Normal 2 6 4 43 2" xfId="7174" xr:uid="{5D327811-C2D5-4557-9911-020989EB771F}"/>
    <cellStyle name="Normal 2 6 4 43 2 2" xfId="7175" xr:uid="{76769D03-1CA5-43BC-BF42-09C27BE1F94B}"/>
    <cellStyle name="Normal 2 6 4 43 2 2 2" xfId="16003" xr:uid="{19CA7AFB-1E81-42DF-941C-97547DEE54FB}"/>
    <cellStyle name="Normal 2 6 4 43 2 3" xfId="7176" xr:uid="{5085CB3E-3F69-4E9A-BC6D-3C21E8B75CE6}"/>
    <cellStyle name="Normal 2 6 4 43 2 3 2" xfId="16004" xr:uid="{D1C7AA85-E6FA-4F9D-B995-F6590038449B}"/>
    <cellStyle name="Normal 2 6 4 43 2 4" xfId="16002" xr:uid="{45A8A2F2-07B9-4C83-B1D0-E2AA587BC438}"/>
    <cellStyle name="Normal 2 6 4 43 3" xfId="7177" xr:uid="{D07BD0ED-0FA3-4BC4-8821-672EE5B4D8C3}"/>
    <cellStyle name="Normal 2 6 4 43 3 2" xfId="16005" xr:uid="{7AC3F9C1-25A8-4BE3-A090-75D9837B9470}"/>
    <cellStyle name="Normal 2 6 4 43 4" xfId="7178" xr:uid="{11D6093C-5EAA-4858-8905-3857421B4EDD}"/>
    <cellStyle name="Normal 2 6 4 43 4 2" xfId="16006" xr:uid="{2EA9B256-C99A-419A-993C-0C890B129088}"/>
    <cellStyle name="Normal 2 6 4 43 5" xfId="16001" xr:uid="{CEBA98DF-54C7-46E2-AA8F-F2E6BF9BEE8B}"/>
    <cellStyle name="Normal 2 6 4 44" xfId="7179" xr:uid="{D9C7E57C-D7F3-429D-AAFD-8E295C79B9F2}"/>
    <cellStyle name="Normal 2 6 4 44 2" xfId="7180" xr:uid="{174EE438-E0A0-4BDF-9FED-2B6B7ECD23BA}"/>
    <cellStyle name="Normal 2 6 4 44 2 2" xfId="16008" xr:uid="{55E735AA-D346-46D7-9BF8-621EC65A0D8F}"/>
    <cellStyle name="Normal 2 6 4 44 3" xfId="7181" xr:uid="{937839C6-A373-44FE-8C69-BADBFF95CD10}"/>
    <cellStyle name="Normal 2 6 4 44 3 2" xfId="16009" xr:uid="{D42D0B25-3983-4022-8755-0978A1068CAF}"/>
    <cellStyle name="Normal 2 6 4 44 4" xfId="16007" xr:uid="{02A5F6FF-EC44-4F23-A10E-37E24C6783F4}"/>
    <cellStyle name="Normal 2 6 4 45" xfId="7182" xr:uid="{E31C8EE9-996F-4B84-A375-B886D6193527}"/>
    <cellStyle name="Normal 2 6 4 45 2" xfId="16010" xr:uid="{976F51EC-ADC4-4689-B1A9-D845483813F5}"/>
    <cellStyle name="Normal 2 6 4 46" xfId="7183" xr:uid="{46669112-E2CE-4CC2-AB07-BA5D45503909}"/>
    <cellStyle name="Normal 2 6 4 46 2" xfId="16011" xr:uid="{82FB364A-ADC6-4807-B8E1-9B059F85B47C}"/>
    <cellStyle name="Normal 2 6 4 47" xfId="15784" xr:uid="{33A0EFED-FADF-42FD-86C3-D40DBFDF3E0F}"/>
    <cellStyle name="Normal 2 6 4 5" xfId="7184" xr:uid="{4B7B5B66-BFF3-4FD4-A2D4-B13066969228}"/>
    <cellStyle name="Normal 2 6 4 5 2" xfId="7185" xr:uid="{D4FA0952-4C18-4CEF-B24A-702966BC087C}"/>
    <cellStyle name="Normal 2 6 4 5 2 2" xfId="7186" xr:uid="{F57F3D9B-6165-4FAB-B760-EA6D8E7FB855}"/>
    <cellStyle name="Normal 2 6 4 5 2 2 2" xfId="16014" xr:uid="{733C7B4A-A705-463B-9E59-05F3FF83D831}"/>
    <cellStyle name="Normal 2 6 4 5 2 3" xfId="7187" xr:uid="{F4BA01DB-F0DB-40AF-B829-F225208A21C6}"/>
    <cellStyle name="Normal 2 6 4 5 2 3 2" xfId="16015" xr:uid="{B04F4B7B-6A41-4157-8608-E8280988028F}"/>
    <cellStyle name="Normal 2 6 4 5 2 4" xfId="16013" xr:uid="{1ABA4682-09C6-415D-AC9A-84F734959C5B}"/>
    <cellStyle name="Normal 2 6 4 5 3" xfId="7188" xr:uid="{AE2E6A5B-4926-40F4-BE6F-27B03ABC7533}"/>
    <cellStyle name="Normal 2 6 4 5 3 2" xfId="16016" xr:uid="{F854039F-DFC8-4842-A13B-189CBBEAE6DB}"/>
    <cellStyle name="Normal 2 6 4 5 4" xfId="7189" xr:uid="{277E13E9-7E2C-4A6B-9B9B-7AD698552977}"/>
    <cellStyle name="Normal 2 6 4 5 4 2" xfId="16017" xr:uid="{10BD7BD1-C726-4196-8667-57687521353B}"/>
    <cellStyle name="Normal 2 6 4 5 5" xfId="16012" xr:uid="{0124BD21-2141-4550-987B-70F387EF746C}"/>
    <cellStyle name="Normal 2 6 4 6" xfId="7190" xr:uid="{4D32B6F9-1BA7-4E23-A101-F3AC53B14E71}"/>
    <cellStyle name="Normal 2 6 4 6 2" xfId="7191" xr:uid="{7CE30003-8D9D-4F45-9DCE-3BD9C10BAC54}"/>
    <cellStyle name="Normal 2 6 4 6 2 2" xfId="7192" xr:uid="{B5515297-FAA8-40CC-8CE8-748009486EC0}"/>
    <cellStyle name="Normal 2 6 4 6 2 2 2" xfId="16020" xr:uid="{EF1DF075-F8FE-4097-B4D4-A59608B6F08E}"/>
    <cellStyle name="Normal 2 6 4 6 2 3" xfId="7193" xr:uid="{FEAFA662-0ABE-4EC9-A1A2-B1FD212CA65C}"/>
    <cellStyle name="Normal 2 6 4 6 2 3 2" xfId="16021" xr:uid="{B58D4977-BAF3-47CD-8224-9664EAA82393}"/>
    <cellStyle name="Normal 2 6 4 6 2 4" xfId="16019" xr:uid="{BEAE24C3-BA97-4F2D-AE60-C6AFB16C4258}"/>
    <cellStyle name="Normal 2 6 4 6 3" xfId="7194" xr:uid="{D9709432-6BD9-4A10-A6FF-9622A6F9330E}"/>
    <cellStyle name="Normal 2 6 4 6 3 2" xfId="16022" xr:uid="{BD9FF90B-71EC-49E2-BD3F-1187FCFD4E8C}"/>
    <cellStyle name="Normal 2 6 4 6 4" xfId="7195" xr:uid="{FBE5F517-9F79-4E1B-A32A-5C1BA626FB86}"/>
    <cellStyle name="Normal 2 6 4 6 4 2" xfId="16023" xr:uid="{C2778228-A286-4236-8296-61A18270CC9D}"/>
    <cellStyle name="Normal 2 6 4 6 5" xfId="16018" xr:uid="{9728B712-78DA-43CA-BFE5-3813DAE27216}"/>
    <cellStyle name="Normal 2 6 4 7" xfId="7196" xr:uid="{1A78C032-F3CE-4F37-933F-7F8B7B296027}"/>
    <cellStyle name="Normal 2 6 4 7 2" xfId="7197" xr:uid="{7BD2E9EB-A04E-41E2-A64C-21797E8AC63A}"/>
    <cellStyle name="Normal 2 6 4 7 2 2" xfId="7198" xr:uid="{F414A9F0-C98B-4F92-B5FE-685D34CE723F}"/>
    <cellStyle name="Normal 2 6 4 7 2 2 2" xfId="16026" xr:uid="{C1CF0693-74A2-4B62-9D69-B759663386B9}"/>
    <cellStyle name="Normal 2 6 4 7 2 3" xfId="7199" xr:uid="{AAF2577E-0671-490E-98E8-DC9AD2B1BBF0}"/>
    <cellStyle name="Normal 2 6 4 7 2 3 2" xfId="16027" xr:uid="{2C1C0CFE-747C-43D7-838A-FA45401001D4}"/>
    <cellStyle name="Normal 2 6 4 7 2 4" xfId="16025" xr:uid="{5BC1A5D2-EFBB-44A6-A889-7BD7AF23D35F}"/>
    <cellStyle name="Normal 2 6 4 7 3" xfId="7200" xr:uid="{CA8CFF68-9D15-490D-ADF3-956438CCCA31}"/>
    <cellStyle name="Normal 2 6 4 7 3 2" xfId="16028" xr:uid="{DBC63E70-F60A-4296-841E-77234DB7664B}"/>
    <cellStyle name="Normal 2 6 4 7 4" xfId="7201" xr:uid="{BE15E115-04C2-45B1-ABC4-9C08AFDB4192}"/>
    <cellStyle name="Normal 2 6 4 7 4 2" xfId="16029" xr:uid="{A2F33010-A0D3-4E63-872C-D1576D74E611}"/>
    <cellStyle name="Normal 2 6 4 7 5" xfId="16024" xr:uid="{E6CC1FD2-F2C4-4653-A2FA-B28E14AD653F}"/>
    <cellStyle name="Normal 2 6 4 8" xfId="7202" xr:uid="{3748AD49-1407-4597-AB97-CA9467EEBD15}"/>
    <cellStyle name="Normal 2 6 4 8 2" xfId="7203" xr:uid="{3297A768-7A28-4F42-84CB-AAE3D5F598F1}"/>
    <cellStyle name="Normal 2 6 4 8 2 2" xfId="7204" xr:uid="{7A6392B6-6604-4163-A218-EE6DD6A35DA7}"/>
    <cellStyle name="Normal 2 6 4 8 2 2 2" xfId="16032" xr:uid="{2CE6DBE5-EDF7-444B-B993-C02E04BD99AB}"/>
    <cellStyle name="Normal 2 6 4 8 2 3" xfId="7205" xr:uid="{48BD46BD-06A8-41FE-B827-A35FDA807342}"/>
    <cellStyle name="Normal 2 6 4 8 2 3 2" xfId="16033" xr:uid="{545663A3-9D07-4008-ABC0-ADFBCAE02CE4}"/>
    <cellStyle name="Normal 2 6 4 8 2 4" xfId="16031" xr:uid="{EBACE7EE-A630-4D24-85BE-9428D592494D}"/>
    <cellStyle name="Normal 2 6 4 8 3" xfId="7206" xr:uid="{8519AAF9-2043-4E3F-A68B-65702AF9F0DF}"/>
    <cellStyle name="Normal 2 6 4 8 3 2" xfId="16034" xr:uid="{E541334E-873C-4820-90C8-E0F7C3C84DA0}"/>
    <cellStyle name="Normal 2 6 4 8 4" xfId="7207" xr:uid="{7DBD1F9D-8853-4797-9158-D0D2EEE4FE6E}"/>
    <cellStyle name="Normal 2 6 4 8 4 2" xfId="16035" xr:uid="{E55494EB-2A31-4F05-B1DB-D42DDB0B67AA}"/>
    <cellStyle name="Normal 2 6 4 8 5" xfId="16030" xr:uid="{FC5C39DC-4032-4537-92AE-845248F7CF90}"/>
    <cellStyle name="Normal 2 6 4 9" xfId="7208" xr:uid="{65E76909-C44F-4710-A079-A1EB54D81760}"/>
    <cellStyle name="Normal 2 6 4 9 2" xfId="7209" xr:uid="{685AA607-A39E-4C6B-9395-E9E97926FEDD}"/>
    <cellStyle name="Normal 2 6 4 9 2 2" xfId="7210" xr:uid="{475E0B83-6A31-4676-A918-58E6F795B14E}"/>
    <cellStyle name="Normal 2 6 4 9 2 2 2" xfId="16038" xr:uid="{FED65B0A-A262-4065-A374-7C732B5A3BD9}"/>
    <cellStyle name="Normal 2 6 4 9 2 3" xfId="7211" xr:uid="{CB97AB13-DEC1-4D5B-8D68-9A2E4938D240}"/>
    <cellStyle name="Normal 2 6 4 9 2 3 2" xfId="16039" xr:uid="{737AB3DC-B6EB-4E1A-B82D-13656B1753F2}"/>
    <cellStyle name="Normal 2 6 4 9 2 4" xfId="16037" xr:uid="{E45ADF31-91A4-4374-973C-505FDC81400F}"/>
    <cellStyle name="Normal 2 6 4 9 3" xfId="7212" xr:uid="{294CED85-7300-418A-9F69-98B86A92F940}"/>
    <cellStyle name="Normal 2 6 4 9 3 2" xfId="16040" xr:uid="{C3D54F30-764E-4EEA-B9F3-AA4855A43DDE}"/>
    <cellStyle name="Normal 2 6 4 9 4" xfId="7213" xr:uid="{DE8B9DD2-1AB1-4994-B695-158EF0312372}"/>
    <cellStyle name="Normal 2 6 4 9 4 2" xfId="16041" xr:uid="{4DC624B3-99E2-49BC-90BE-C3C87AAD5AC5}"/>
    <cellStyle name="Normal 2 6 4 9 5" xfId="16036" xr:uid="{ADABD4E3-C85C-4D9C-AD1A-99B2A74AF5D2}"/>
    <cellStyle name="Normal 2 6 40" xfId="7214" xr:uid="{6038E04F-8365-4CB6-895C-49E0325CB871}"/>
    <cellStyle name="Normal 2 6 40 2" xfId="7215" xr:uid="{53896F65-4D95-45B1-B28B-5FC0F4FA9A62}"/>
    <cellStyle name="Normal 2 6 40 2 2" xfId="7216" xr:uid="{A57E2605-89D1-4F3C-AF44-31B4406664D2}"/>
    <cellStyle name="Normal 2 6 40 2 2 2" xfId="16044" xr:uid="{08078547-2D8F-4A91-8E11-FA5ADBF8E356}"/>
    <cellStyle name="Normal 2 6 40 2 3" xfId="7217" xr:uid="{AB2A3710-03C8-4539-8456-6C50B6F88767}"/>
    <cellStyle name="Normal 2 6 40 2 3 2" xfId="16045" xr:uid="{B4F994ED-21A1-4041-B24F-160D085895C6}"/>
    <cellStyle name="Normal 2 6 40 2 4" xfId="16043" xr:uid="{2E7D821A-4AA6-4399-A003-C902897FAC9B}"/>
    <cellStyle name="Normal 2 6 40 3" xfId="7218" xr:uid="{B604BC12-4E7C-4B39-A3B3-3C876385DE90}"/>
    <cellStyle name="Normal 2 6 40 3 2" xfId="16046" xr:uid="{DAB5E443-C899-459B-ADE5-D1A149FAF3CF}"/>
    <cellStyle name="Normal 2 6 40 4" xfId="7219" xr:uid="{0A121CB8-A38F-47F0-BF4C-3C6CBAE47C2E}"/>
    <cellStyle name="Normal 2 6 40 4 2" xfId="16047" xr:uid="{5410610F-7ACF-424F-9E4C-BD1D9893D7E3}"/>
    <cellStyle name="Normal 2 6 40 5" xfId="16042" xr:uid="{A7599F5F-23DB-4E5F-85EF-F44255C53721}"/>
    <cellStyle name="Normal 2 6 41" xfId="7220" xr:uid="{F0932A98-F4CD-420F-A0AA-0471E1554591}"/>
    <cellStyle name="Normal 2 6 41 2" xfId="7221" xr:uid="{6844E3C0-F6B8-48FE-907F-EB9760684AA4}"/>
    <cellStyle name="Normal 2 6 41 2 2" xfId="7222" xr:uid="{F73D550E-F3BA-4507-8197-DE9176730269}"/>
    <cellStyle name="Normal 2 6 41 2 2 2" xfId="16050" xr:uid="{C518E753-5DE6-4443-BC43-84AEC521AC14}"/>
    <cellStyle name="Normal 2 6 41 2 3" xfId="7223" xr:uid="{A4E39ACC-E287-470D-93EA-CBD6B2FEFF28}"/>
    <cellStyle name="Normal 2 6 41 2 3 2" xfId="16051" xr:uid="{887A111F-558F-4C85-931A-9BD2354FCC5C}"/>
    <cellStyle name="Normal 2 6 41 2 4" xfId="16049" xr:uid="{5EF3AB59-EE9E-4994-AEFB-CC5B4BAA64CE}"/>
    <cellStyle name="Normal 2 6 41 3" xfId="7224" xr:uid="{4A284C5C-F3C2-478D-93DF-8C0CA72C437C}"/>
    <cellStyle name="Normal 2 6 41 3 2" xfId="16052" xr:uid="{2AF17A96-DC04-4D02-BB74-AC27E54CCC17}"/>
    <cellStyle name="Normal 2 6 41 4" xfId="7225" xr:uid="{FE04A16B-6E0F-47A7-A416-E74EFADDA3F8}"/>
    <cellStyle name="Normal 2 6 41 4 2" xfId="16053" xr:uid="{3ACAC461-32B1-4C7C-958C-8D26E5515597}"/>
    <cellStyle name="Normal 2 6 41 5" xfId="16048" xr:uid="{122C5810-03C5-4CB4-995F-39ED8F0C40E5}"/>
    <cellStyle name="Normal 2 6 42" xfId="7226" xr:uid="{B1DA9AF5-D0D5-41AB-9082-6300C05E0607}"/>
    <cellStyle name="Normal 2 6 42 2" xfId="7227" xr:uid="{F13854E5-E62C-46A7-867A-035536F80357}"/>
    <cellStyle name="Normal 2 6 42 2 2" xfId="7228" xr:uid="{87A96743-DD5B-460B-A959-2764528D7FE7}"/>
    <cellStyle name="Normal 2 6 42 2 2 2" xfId="16056" xr:uid="{3FD8F915-0FEF-412C-90D0-6F15FDA50F63}"/>
    <cellStyle name="Normal 2 6 42 2 3" xfId="7229" xr:uid="{4F468016-DFBF-4111-8C3D-3ED39D298F3C}"/>
    <cellStyle name="Normal 2 6 42 2 3 2" xfId="16057" xr:uid="{0E436DE2-0FBC-4EE5-9311-10C6E47D2E47}"/>
    <cellStyle name="Normal 2 6 42 2 4" xfId="16055" xr:uid="{DDDCC7BF-6CB7-428E-B8AC-6ECBBF9247C6}"/>
    <cellStyle name="Normal 2 6 42 3" xfId="7230" xr:uid="{44EAD681-AEFA-4B24-984E-17FBAC0D8958}"/>
    <cellStyle name="Normal 2 6 42 3 2" xfId="16058" xr:uid="{4223AA87-79A6-4330-AD1A-3FA2613F1A01}"/>
    <cellStyle name="Normal 2 6 42 4" xfId="7231" xr:uid="{180F2F6F-4E75-4616-84CC-82A178194197}"/>
    <cellStyle name="Normal 2 6 42 4 2" xfId="16059" xr:uid="{BBFC8111-1E11-4F95-A269-903F3456734F}"/>
    <cellStyle name="Normal 2 6 42 5" xfId="16054" xr:uid="{C00EA33A-B81F-42C5-A0FB-03CAF2964887}"/>
    <cellStyle name="Normal 2 6 43" xfId="7232" xr:uid="{174E3D17-FA85-4781-9E86-04CDB00BF1DB}"/>
    <cellStyle name="Normal 2 6 43 2" xfId="7233" xr:uid="{F49D41AF-5144-45D8-9F76-7EE712E81850}"/>
    <cellStyle name="Normal 2 6 43 2 2" xfId="7234" xr:uid="{4BFE829D-D210-4342-84A7-CAFBC2CE6CB3}"/>
    <cellStyle name="Normal 2 6 43 2 2 2" xfId="16062" xr:uid="{5AA093D6-0E58-4BA7-99F3-89D9147D076B}"/>
    <cellStyle name="Normal 2 6 43 2 3" xfId="7235" xr:uid="{5B232F4A-D75D-4B0C-A20D-F180A97F43AB}"/>
    <cellStyle name="Normal 2 6 43 2 3 2" xfId="16063" xr:uid="{C7F0FDD1-4B51-411C-A8A6-8D735A3E3F80}"/>
    <cellStyle name="Normal 2 6 43 2 4" xfId="16061" xr:uid="{BE685A6E-8FD5-441F-93CF-E3E459D691D7}"/>
    <cellStyle name="Normal 2 6 43 3" xfId="7236" xr:uid="{B429130E-6EC2-47F9-AFA1-97C5F04BEBE8}"/>
    <cellStyle name="Normal 2 6 43 3 2" xfId="16064" xr:uid="{89D3644F-3472-4653-A0E8-231EDE4E954C}"/>
    <cellStyle name="Normal 2 6 43 4" xfId="7237" xr:uid="{EA7AC9EE-BB6D-4E05-BE7C-BC3E591E8E6D}"/>
    <cellStyle name="Normal 2 6 43 4 2" xfId="16065" xr:uid="{14C8C70D-47FB-4584-8905-1B107FA31EBE}"/>
    <cellStyle name="Normal 2 6 43 5" xfId="16060" xr:uid="{6CD954FD-8652-40DB-BF61-421A298B3CF3}"/>
    <cellStyle name="Normal 2 6 44" xfId="7238" xr:uid="{6D7245FB-34A1-491C-91E9-DFCDFEB241B9}"/>
    <cellStyle name="Normal 2 6 44 2" xfId="7239" xr:uid="{FFEBF677-B6A1-40BB-A7AB-732DA31102B6}"/>
    <cellStyle name="Normal 2 6 44 2 2" xfId="7240" xr:uid="{D734E630-950D-4DB4-AE8D-125437E556CF}"/>
    <cellStyle name="Normal 2 6 44 2 2 2" xfId="16068" xr:uid="{63FC298D-DD84-42A5-8ED7-45C2FD22B535}"/>
    <cellStyle name="Normal 2 6 44 2 3" xfId="7241" xr:uid="{A0374A40-514E-499E-8B0D-982BC194E52A}"/>
    <cellStyle name="Normal 2 6 44 2 3 2" xfId="16069" xr:uid="{88656CBB-B2BB-42A9-8C77-A2F3B4AC1ABC}"/>
    <cellStyle name="Normal 2 6 44 2 4" xfId="16067" xr:uid="{DB449F76-8338-4B72-8671-C3404A30AC74}"/>
    <cellStyle name="Normal 2 6 44 3" xfId="7242" xr:uid="{ED8D9A5A-B4EB-4CC6-BD7F-2D883733359F}"/>
    <cellStyle name="Normal 2 6 44 3 2" xfId="16070" xr:uid="{3CBEAB02-B21C-4878-97C7-C75E48491D22}"/>
    <cellStyle name="Normal 2 6 44 4" xfId="7243" xr:uid="{0D0E9F17-9E68-4ABE-95DA-8A6F59F728B7}"/>
    <cellStyle name="Normal 2 6 44 4 2" xfId="16071" xr:uid="{6986A06F-484E-4768-AB58-9AF301A748AB}"/>
    <cellStyle name="Normal 2 6 44 5" xfId="16066" xr:uid="{6DE35FE2-E162-410E-BF43-A96DC671D50A}"/>
    <cellStyle name="Normal 2 6 45" xfId="7244" xr:uid="{B4042AC1-90D1-4BCF-AF90-4153B1D6DCD8}"/>
    <cellStyle name="Normal 2 6 45 2" xfId="7245" xr:uid="{649BB705-65C0-45D3-ABC6-7E63D6499BFD}"/>
    <cellStyle name="Normal 2 6 45 2 2" xfId="7246" xr:uid="{182A8F58-A316-47DF-9C97-A4C823B7A3FF}"/>
    <cellStyle name="Normal 2 6 45 2 2 2" xfId="16074" xr:uid="{4F1A0BE0-7CA2-4364-9180-A07A9257D293}"/>
    <cellStyle name="Normal 2 6 45 2 3" xfId="7247" xr:uid="{17EFD537-9018-4AD0-8341-C6179DD69559}"/>
    <cellStyle name="Normal 2 6 45 2 3 2" xfId="16075" xr:uid="{D6C3202B-E871-4643-BF13-642DDDD68E7D}"/>
    <cellStyle name="Normal 2 6 45 2 4" xfId="16073" xr:uid="{A6CE4736-FBAB-4A1A-8EED-CBC159B14896}"/>
    <cellStyle name="Normal 2 6 45 3" xfId="7248" xr:uid="{4680DEA3-73EA-42CC-B793-EBB2302C7BD8}"/>
    <cellStyle name="Normal 2 6 45 3 2" xfId="16076" xr:uid="{B496FCCD-11ED-4083-B032-338DFD6148EF}"/>
    <cellStyle name="Normal 2 6 45 4" xfId="7249" xr:uid="{4878E9E6-CE08-48EC-8F17-E18F5F2F1147}"/>
    <cellStyle name="Normal 2 6 45 4 2" xfId="16077" xr:uid="{3D3C20DA-E8A7-4911-B9B8-DBAEAB5B1FBB}"/>
    <cellStyle name="Normal 2 6 45 5" xfId="16072" xr:uid="{D0696D31-B25B-468B-A9EB-8E023F04C95C}"/>
    <cellStyle name="Normal 2 6 46" xfId="7250" xr:uid="{10259CE0-7822-4E74-9E1C-30063E505DAC}"/>
    <cellStyle name="Normal 2 6 46 2" xfId="7251" xr:uid="{BD946DE3-89FA-47F6-864D-A72ACED547E9}"/>
    <cellStyle name="Normal 2 6 46 2 2" xfId="7252" xr:uid="{1203DABC-DE79-4BDB-A80A-4947A1403095}"/>
    <cellStyle name="Normal 2 6 46 2 2 2" xfId="16080" xr:uid="{1D453D14-869B-4B69-9E7B-ADD77F08A352}"/>
    <cellStyle name="Normal 2 6 46 2 3" xfId="7253" xr:uid="{E3F408C3-FFD2-46E8-8A88-96A8E851E76E}"/>
    <cellStyle name="Normal 2 6 46 2 3 2" xfId="16081" xr:uid="{11A5796A-88D9-4FD7-A8D5-EB7ECE1462E9}"/>
    <cellStyle name="Normal 2 6 46 2 4" xfId="16079" xr:uid="{235BDEF1-A128-4EE3-A1F4-961758251C08}"/>
    <cellStyle name="Normal 2 6 46 3" xfId="7254" xr:uid="{D086119B-42D9-452D-BE72-EB1C86287BD8}"/>
    <cellStyle name="Normal 2 6 46 3 2" xfId="16082" xr:uid="{83568BD6-698A-428B-8DDF-208BCEC62511}"/>
    <cellStyle name="Normal 2 6 46 4" xfId="7255" xr:uid="{FB4D9B8B-629B-4277-9051-8A18A88B770C}"/>
    <cellStyle name="Normal 2 6 46 4 2" xfId="16083" xr:uid="{1DE75E06-8A0E-4AF4-A83E-55DAB0C0934E}"/>
    <cellStyle name="Normal 2 6 46 5" xfId="16078" xr:uid="{AC106CF1-4248-4FB4-9BF1-CC14E466918B}"/>
    <cellStyle name="Normal 2 6 47" xfId="7256" xr:uid="{F78FC59B-D6BF-432A-8229-A7CC08FD0F8D}"/>
    <cellStyle name="Normal 2 6 47 2" xfId="7257" xr:uid="{340714F5-AEBB-4D1E-8CE9-35E999B275A6}"/>
    <cellStyle name="Normal 2 6 47 2 2" xfId="7258" xr:uid="{CF3AFF56-00B7-479C-B62B-A830C5AAC725}"/>
    <cellStyle name="Normal 2 6 47 2 2 2" xfId="16086" xr:uid="{E205BA69-CD45-475D-8267-52909BBAA1C5}"/>
    <cellStyle name="Normal 2 6 47 2 3" xfId="7259" xr:uid="{BB281602-261D-4512-869D-627AC8E2253C}"/>
    <cellStyle name="Normal 2 6 47 2 3 2" xfId="16087" xr:uid="{DB81FED7-CB6B-4268-892F-4D1FA00BBF24}"/>
    <cellStyle name="Normal 2 6 47 2 4" xfId="16085" xr:uid="{8AD14C10-F07B-4AB8-8BBA-6220C0ABEB0A}"/>
    <cellStyle name="Normal 2 6 47 3" xfId="7260" xr:uid="{0E0320EA-1C33-4189-AF13-2564B9993B73}"/>
    <cellStyle name="Normal 2 6 47 3 2" xfId="16088" xr:uid="{AAD27DAD-6320-4484-B022-A1A10F4F975B}"/>
    <cellStyle name="Normal 2 6 47 4" xfId="7261" xr:uid="{016265F3-12C1-4295-BD5B-6843BED188E4}"/>
    <cellStyle name="Normal 2 6 47 4 2" xfId="16089" xr:uid="{BB19E779-E811-4897-8F77-63BF51D39C7B}"/>
    <cellStyle name="Normal 2 6 47 5" xfId="16084" xr:uid="{2011039F-7232-492E-9CA3-41F0C1FD432C}"/>
    <cellStyle name="Normal 2 6 48" xfId="7262" xr:uid="{E7CBA641-2F7C-4B4E-82B8-306EF46622E3}"/>
    <cellStyle name="Normal 2 6 48 2" xfId="7263" xr:uid="{4F43FE7B-0142-4347-A3B3-8CEA9FD0EE99}"/>
    <cellStyle name="Normal 2 6 48 2 2" xfId="7264" xr:uid="{11BDAAF1-81EE-4482-B63B-10005080505B}"/>
    <cellStyle name="Normal 2 6 48 2 2 2" xfId="16092" xr:uid="{4B078D77-09EC-4695-86CA-0DD4B0BA3151}"/>
    <cellStyle name="Normal 2 6 48 2 3" xfId="7265" xr:uid="{6100EDFA-7B9D-4651-9BC0-F9C20F0C6689}"/>
    <cellStyle name="Normal 2 6 48 2 3 2" xfId="16093" xr:uid="{B0B48353-1F35-4A4C-8F41-2B010E423E9A}"/>
    <cellStyle name="Normal 2 6 48 2 4" xfId="16091" xr:uid="{E7DA8FAE-4900-4572-A9E3-66ECC49A209F}"/>
    <cellStyle name="Normal 2 6 48 3" xfId="7266" xr:uid="{0F174998-3B37-4704-836D-B688F776A3CC}"/>
    <cellStyle name="Normal 2 6 48 3 2" xfId="16094" xr:uid="{725B4074-B2B7-43C4-8D50-5DA5E94E9094}"/>
    <cellStyle name="Normal 2 6 48 4" xfId="7267" xr:uid="{ABB84419-FB6F-41AB-B488-C16FDBEE1B71}"/>
    <cellStyle name="Normal 2 6 48 4 2" xfId="16095" xr:uid="{782D5849-A1F9-470F-8309-D115D9216941}"/>
    <cellStyle name="Normal 2 6 48 5" xfId="16090" xr:uid="{01651C91-D800-4172-8FAD-5343EB7AFD52}"/>
    <cellStyle name="Normal 2 6 49" xfId="7268" xr:uid="{A6C9E7E0-B489-4241-B893-AC9CC91F424A}"/>
    <cellStyle name="Normal 2 6 49 2" xfId="7269" xr:uid="{B4BA988D-A03D-4D48-AE87-32EF236BEF86}"/>
    <cellStyle name="Normal 2 6 49 2 2" xfId="7270" xr:uid="{1CC2FAA3-5610-4542-B6F7-A4DBE0769223}"/>
    <cellStyle name="Normal 2 6 49 2 2 2" xfId="16098" xr:uid="{F2A9B4A0-8E1F-45DA-A584-8DBFC60E9E9E}"/>
    <cellStyle name="Normal 2 6 49 2 3" xfId="7271" xr:uid="{897CBA59-1325-452E-A3F3-E27EB09ABCE5}"/>
    <cellStyle name="Normal 2 6 49 2 3 2" xfId="16099" xr:uid="{28976273-3A72-4BDB-9E07-B258D9CBB9F7}"/>
    <cellStyle name="Normal 2 6 49 2 4" xfId="16097" xr:uid="{C3A7505F-CF6D-48CA-A603-DC4AAEB8220F}"/>
    <cellStyle name="Normal 2 6 49 3" xfId="7272" xr:uid="{4D6D7AEA-8DEE-4845-9DB6-1DA9BE832542}"/>
    <cellStyle name="Normal 2 6 49 3 2" xfId="16100" xr:uid="{A72F69D7-3FAD-475E-8463-5A515BBB02FD}"/>
    <cellStyle name="Normal 2 6 49 4" xfId="7273" xr:uid="{DDEF58C3-84D3-4C7E-B08B-D9F86391D676}"/>
    <cellStyle name="Normal 2 6 49 4 2" xfId="16101" xr:uid="{B06E0474-4974-40F2-9F1B-CC56CF711A77}"/>
    <cellStyle name="Normal 2 6 49 5" xfId="16096" xr:uid="{91521FC4-3E0D-4CF7-9D3D-9BF3DBC9D521}"/>
    <cellStyle name="Normal 2 6 5" xfId="7274" xr:uid="{C7166ACC-306E-43DC-9DFA-DAD57FBA648C}"/>
    <cellStyle name="Normal 2 6 5 10" xfId="7275" xr:uid="{1086AEDF-709B-4D89-83A4-437ABA8EBD06}"/>
    <cellStyle name="Normal 2 6 5 10 2" xfId="7276" xr:uid="{24E8CE08-C3A2-40A8-A98F-642919181514}"/>
    <cellStyle name="Normal 2 6 5 10 2 2" xfId="7277" xr:uid="{1FB730F4-089C-47D2-8222-DAADCF6C9B4E}"/>
    <cellStyle name="Normal 2 6 5 10 2 2 2" xfId="16105" xr:uid="{3AEA0031-B9DE-442C-9937-65C4E3C1F0B9}"/>
    <cellStyle name="Normal 2 6 5 10 2 3" xfId="7278" xr:uid="{7203A1AA-F910-4709-BEA3-4974CF2B611D}"/>
    <cellStyle name="Normal 2 6 5 10 2 3 2" xfId="16106" xr:uid="{04A87079-CF20-4661-B84F-EEA378E7FFB5}"/>
    <cellStyle name="Normal 2 6 5 10 2 4" xfId="16104" xr:uid="{61342FC3-D1B6-4F99-9CA0-6B861F567C4D}"/>
    <cellStyle name="Normal 2 6 5 10 3" xfId="7279" xr:uid="{FA3A0EF1-4460-4720-9451-240A2DCAA54C}"/>
    <cellStyle name="Normal 2 6 5 10 3 2" xfId="16107" xr:uid="{B156B9B3-708C-4A1E-BB23-A9B55E71BB83}"/>
    <cellStyle name="Normal 2 6 5 10 4" xfId="7280" xr:uid="{BFB10F62-0896-4D65-A3E5-2E4674E58A15}"/>
    <cellStyle name="Normal 2 6 5 10 4 2" xfId="16108" xr:uid="{58E7A9F5-CA62-4333-82DA-895B7548806C}"/>
    <cellStyle name="Normal 2 6 5 10 5" xfId="16103" xr:uid="{52C26E4A-CDA4-43B2-814B-D140EED043B2}"/>
    <cellStyle name="Normal 2 6 5 11" xfId="7281" xr:uid="{E53C744C-CAEC-43F7-8892-EA34C22E6BEE}"/>
    <cellStyle name="Normal 2 6 5 11 2" xfId="7282" xr:uid="{51090DDD-6C6C-4226-9130-95AE59E2F4D3}"/>
    <cellStyle name="Normal 2 6 5 11 2 2" xfId="7283" xr:uid="{B371058D-D6C5-4F14-A4F9-DFBE5F0C4578}"/>
    <cellStyle name="Normal 2 6 5 11 2 2 2" xfId="16111" xr:uid="{48AF3AB4-C317-4A29-9C2B-7F8C0D898724}"/>
    <cellStyle name="Normal 2 6 5 11 2 3" xfId="7284" xr:uid="{2F31216A-EB51-4F95-A808-6B85C322D5CA}"/>
    <cellStyle name="Normal 2 6 5 11 2 3 2" xfId="16112" xr:uid="{4F54BE6A-5B04-436D-8D35-6EB969B63357}"/>
    <cellStyle name="Normal 2 6 5 11 2 4" xfId="16110" xr:uid="{7E1F9A96-A80D-49E9-B913-BF1E2917EB4C}"/>
    <cellStyle name="Normal 2 6 5 11 3" xfId="7285" xr:uid="{2A2058FF-D45F-4797-B315-EF83E27171FC}"/>
    <cellStyle name="Normal 2 6 5 11 3 2" xfId="16113" xr:uid="{7624E090-2895-4D11-9FD1-676C2C0166FD}"/>
    <cellStyle name="Normal 2 6 5 11 4" xfId="7286" xr:uid="{73E3BDE3-9C58-40EB-8C35-DA82C6ED797F}"/>
    <cellStyle name="Normal 2 6 5 11 4 2" xfId="16114" xr:uid="{AC0787EA-CA9F-46C4-9A39-17CDECC35160}"/>
    <cellStyle name="Normal 2 6 5 11 5" xfId="16109" xr:uid="{66A70162-D3C5-4582-A2C5-10F367F6E8F4}"/>
    <cellStyle name="Normal 2 6 5 12" xfId="7287" xr:uid="{74D2436C-457D-4B54-BE61-9CF378E323B2}"/>
    <cellStyle name="Normal 2 6 5 12 2" xfId="7288" xr:uid="{85E34999-2A50-4E21-8FA6-905F9C26BA6D}"/>
    <cellStyle name="Normal 2 6 5 12 2 2" xfId="7289" xr:uid="{458145F6-DFBF-4BF6-A6A1-945CDE127DF3}"/>
    <cellStyle name="Normal 2 6 5 12 2 2 2" xfId="16117" xr:uid="{C043FD0F-A2FE-4952-A5DE-D69092CB688F}"/>
    <cellStyle name="Normal 2 6 5 12 2 3" xfId="7290" xr:uid="{F80D83B0-1055-461F-A4C3-487551FA1889}"/>
    <cellStyle name="Normal 2 6 5 12 2 3 2" xfId="16118" xr:uid="{48BEBB83-CB88-4554-80BD-AAAA9739CDA6}"/>
    <cellStyle name="Normal 2 6 5 12 2 4" xfId="16116" xr:uid="{D1D95D16-C94B-4A7F-A4A0-689B524F40FA}"/>
    <cellStyle name="Normal 2 6 5 12 3" xfId="7291" xr:uid="{693DF839-C695-42BF-B890-F2D681DFD5A3}"/>
    <cellStyle name="Normal 2 6 5 12 3 2" xfId="16119" xr:uid="{786D9A37-8639-408D-B589-2AC45FD50489}"/>
    <cellStyle name="Normal 2 6 5 12 4" xfId="7292" xr:uid="{20B66341-C903-4E00-AD0E-69446CEC6DC0}"/>
    <cellStyle name="Normal 2 6 5 12 4 2" xfId="16120" xr:uid="{A1872E23-1566-4E65-A5A8-8DF280328427}"/>
    <cellStyle name="Normal 2 6 5 12 5" xfId="16115" xr:uid="{49B05286-7002-4C36-AD8E-5C8B77C74F59}"/>
    <cellStyle name="Normal 2 6 5 13" xfId="7293" xr:uid="{32133A9B-FFB7-42EB-BC54-D05AE3BFD875}"/>
    <cellStyle name="Normal 2 6 5 13 2" xfId="7294" xr:uid="{81927F31-3F05-4FE2-8737-5AB28D693781}"/>
    <cellStyle name="Normal 2 6 5 13 2 2" xfId="7295" xr:uid="{138C0635-B0B3-45D0-8E2B-6C7C84FCEC69}"/>
    <cellStyle name="Normal 2 6 5 13 2 2 2" xfId="16123" xr:uid="{07BE1DA7-E490-4A73-8FA0-F9A84545B8E1}"/>
    <cellStyle name="Normal 2 6 5 13 2 3" xfId="7296" xr:uid="{DED2BF50-7E47-492D-8C8C-9A67F57F5DB6}"/>
    <cellStyle name="Normal 2 6 5 13 2 3 2" xfId="16124" xr:uid="{E4113C69-B9B6-4C1E-BE5F-A59BCC263F5E}"/>
    <cellStyle name="Normal 2 6 5 13 2 4" xfId="16122" xr:uid="{752B626D-2328-4DD2-9328-9016DA70F8A3}"/>
    <cellStyle name="Normal 2 6 5 13 3" xfId="7297" xr:uid="{B1890F4E-5479-43E7-872C-C29C3D2FAA22}"/>
    <cellStyle name="Normal 2 6 5 13 3 2" xfId="16125" xr:uid="{39D2D963-6379-4FAB-A1E3-70D5C4AA3400}"/>
    <cellStyle name="Normal 2 6 5 13 4" xfId="7298" xr:uid="{D30D26E2-90F8-474C-B68E-970C694EBA0C}"/>
    <cellStyle name="Normal 2 6 5 13 4 2" xfId="16126" xr:uid="{AEFD66B2-1493-44AC-BB86-DF6F50BEFD1C}"/>
    <cellStyle name="Normal 2 6 5 13 5" xfId="16121" xr:uid="{1B0A4ED3-27AD-43F6-86BB-D1F55AA7385F}"/>
    <cellStyle name="Normal 2 6 5 14" xfId="7299" xr:uid="{58FFE57F-7679-4857-9E2E-DECA0350D68A}"/>
    <cellStyle name="Normal 2 6 5 14 2" xfId="7300" xr:uid="{BED2B153-ED65-41FB-BF00-C782B879A5D5}"/>
    <cellStyle name="Normal 2 6 5 14 2 2" xfId="7301" xr:uid="{4B693C00-1E3C-4E10-9E87-E522A16C2FF9}"/>
    <cellStyle name="Normal 2 6 5 14 2 2 2" xfId="16129" xr:uid="{F038163C-6EBF-423D-B273-29AF23467580}"/>
    <cellStyle name="Normal 2 6 5 14 2 3" xfId="7302" xr:uid="{748A4F99-0126-4E2E-9827-82DA53D09FC1}"/>
    <cellStyle name="Normal 2 6 5 14 2 3 2" xfId="16130" xr:uid="{BAEF6E79-6C65-484A-BFC4-1A866B891254}"/>
    <cellStyle name="Normal 2 6 5 14 2 4" xfId="16128" xr:uid="{21A8B4A2-B27A-417A-A8F8-9226A3E3E246}"/>
    <cellStyle name="Normal 2 6 5 14 3" xfId="7303" xr:uid="{F0D5CB5C-48BA-4DD5-8095-7DB226DE8741}"/>
    <cellStyle name="Normal 2 6 5 14 3 2" xfId="16131" xr:uid="{2D4C8391-346D-45CD-8997-6FBC36F84735}"/>
    <cellStyle name="Normal 2 6 5 14 4" xfId="7304" xr:uid="{E44AE655-D435-40CA-A7C0-E23D1F3B9B75}"/>
    <cellStyle name="Normal 2 6 5 14 4 2" xfId="16132" xr:uid="{56AD16B1-2CCA-4AD0-A8EF-F3BCEE69F8D4}"/>
    <cellStyle name="Normal 2 6 5 14 5" xfId="16127" xr:uid="{489505A0-9AAE-4517-8D9B-85CA1B36EC1D}"/>
    <cellStyle name="Normal 2 6 5 15" xfId="7305" xr:uid="{2CC3B419-EFC4-4836-BD48-C78AC73A2908}"/>
    <cellStyle name="Normal 2 6 5 15 2" xfId="7306" xr:uid="{2848C9BC-7478-4215-AB2C-C6089413548B}"/>
    <cellStyle name="Normal 2 6 5 15 2 2" xfId="7307" xr:uid="{E4F1FF23-39AC-41EC-8E0D-B27EFD7245F2}"/>
    <cellStyle name="Normal 2 6 5 15 2 2 2" xfId="16135" xr:uid="{4CBCD655-1A75-4A75-8A0A-86A61C48B302}"/>
    <cellStyle name="Normal 2 6 5 15 2 3" xfId="7308" xr:uid="{9C87D45C-1DF8-4AE5-BC02-4AF43B450AD7}"/>
    <cellStyle name="Normal 2 6 5 15 2 3 2" xfId="16136" xr:uid="{170D4580-3569-4021-941E-B802D72251CD}"/>
    <cellStyle name="Normal 2 6 5 15 2 4" xfId="16134" xr:uid="{CACB3A63-ED74-421E-AD98-02930E3C0079}"/>
    <cellStyle name="Normal 2 6 5 15 3" xfId="7309" xr:uid="{9CE3DE23-6EED-4E5C-8024-FF4CDFDAF9C6}"/>
    <cellStyle name="Normal 2 6 5 15 3 2" xfId="16137" xr:uid="{7F42ED0E-E3CD-43D7-A52B-89FBDE55FBEB}"/>
    <cellStyle name="Normal 2 6 5 15 4" xfId="7310" xr:uid="{5996A793-1DA0-4507-88AA-D9F24D02D06D}"/>
    <cellStyle name="Normal 2 6 5 15 4 2" xfId="16138" xr:uid="{6B22C503-C204-46EA-B54E-C330ECA0CA2E}"/>
    <cellStyle name="Normal 2 6 5 15 5" xfId="16133" xr:uid="{5F186AF3-BCE2-4472-97D8-C85ADD0617EB}"/>
    <cellStyle name="Normal 2 6 5 16" xfId="7311" xr:uid="{0B50E7E2-8996-484F-8F8E-1F314506D00C}"/>
    <cellStyle name="Normal 2 6 5 16 2" xfId="7312" xr:uid="{2F9EEDFA-14DA-4CB6-A746-AE6EF1AF646C}"/>
    <cellStyle name="Normal 2 6 5 16 2 2" xfId="7313" xr:uid="{5078D246-C385-49E4-9D91-0FD7D1BEFCE6}"/>
    <cellStyle name="Normal 2 6 5 16 2 2 2" xfId="16141" xr:uid="{25E03EB7-1352-4BAE-B7CF-A9836C9FA3A2}"/>
    <cellStyle name="Normal 2 6 5 16 2 3" xfId="7314" xr:uid="{93A006B4-5B53-4B15-9F52-41C6FA3DF216}"/>
    <cellStyle name="Normal 2 6 5 16 2 3 2" xfId="16142" xr:uid="{87338C4B-94FB-441C-9AB2-C69C3B133563}"/>
    <cellStyle name="Normal 2 6 5 16 2 4" xfId="16140" xr:uid="{C9817CF5-0F22-4DBA-A5BB-F01654DBB821}"/>
    <cellStyle name="Normal 2 6 5 16 3" xfId="7315" xr:uid="{17CA2FCE-D0D7-49A5-BB9C-14DF1A78EB14}"/>
    <cellStyle name="Normal 2 6 5 16 3 2" xfId="16143" xr:uid="{02F478E0-5B59-476A-946E-506E6525AA06}"/>
    <cellStyle name="Normal 2 6 5 16 4" xfId="7316" xr:uid="{8C6F1ECD-A421-4792-9C29-2F8B2C43E13E}"/>
    <cellStyle name="Normal 2 6 5 16 4 2" xfId="16144" xr:uid="{428744D6-7EF5-4D9D-BEAD-82CF7EA85C4B}"/>
    <cellStyle name="Normal 2 6 5 16 5" xfId="16139" xr:uid="{C2795C93-BFB8-4C48-B20E-73227947F16D}"/>
    <cellStyle name="Normal 2 6 5 17" xfId="7317" xr:uid="{47D5B3D1-8398-4C88-AF4B-24BFBB7F9E7B}"/>
    <cellStyle name="Normal 2 6 5 17 2" xfId="7318" xr:uid="{6035A123-B31B-49BE-8B3F-48FE146902F7}"/>
    <cellStyle name="Normal 2 6 5 17 2 2" xfId="7319" xr:uid="{FADFC71C-516C-497B-8FAB-4B93B63B4F00}"/>
    <cellStyle name="Normal 2 6 5 17 2 2 2" xfId="16147" xr:uid="{4DD22B87-4E80-4B4E-ABF1-94AFA0CE363A}"/>
    <cellStyle name="Normal 2 6 5 17 2 3" xfId="7320" xr:uid="{B2CE9CF4-0449-4555-9A62-21E753DD2A6C}"/>
    <cellStyle name="Normal 2 6 5 17 2 3 2" xfId="16148" xr:uid="{187898FC-F909-4656-8663-B63DC82976E7}"/>
    <cellStyle name="Normal 2 6 5 17 2 4" xfId="16146" xr:uid="{04F02F68-CCCC-4889-8017-A1AA7063E4D7}"/>
    <cellStyle name="Normal 2 6 5 17 3" xfId="7321" xr:uid="{D415D126-B7DA-47B8-BC55-CA2017C08D42}"/>
    <cellStyle name="Normal 2 6 5 17 3 2" xfId="16149" xr:uid="{E07CBA66-FDA0-49F9-AFE6-AF6A565C96B2}"/>
    <cellStyle name="Normal 2 6 5 17 4" xfId="7322" xr:uid="{0EF193E5-60B8-4C4D-A00A-E1B2C2F1560C}"/>
    <cellStyle name="Normal 2 6 5 17 4 2" xfId="16150" xr:uid="{508B3E2B-FB5E-434D-8D52-56668A9AA360}"/>
    <cellStyle name="Normal 2 6 5 17 5" xfId="16145" xr:uid="{2FF1CF4D-4733-42D8-822E-0F618335CC14}"/>
    <cellStyle name="Normal 2 6 5 18" xfId="7323" xr:uid="{88CF8926-8C05-4D15-A055-4D5D687CEC5A}"/>
    <cellStyle name="Normal 2 6 5 18 2" xfId="7324" xr:uid="{14216E00-67E6-46CE-BCFB-B401CF439E68}"/>
    <cellStyle name="Normal 2 6 5 18 2 2" xfId="7325" xr:uid="{FEC84963-8D03-44B6-A0B8-F81D68F51772}"/>
    <cellStyle name="Normal 2 6 5 18 2 2 2" xfId="16153" xr:uid="{4E84AD7D-4474-49AB-929D-479036EDBFBC}"/>
    <cellStyle name="Normal 2 6 5 18 2 3" xfId="7326" xr:uid="{454FFACB-7CA4-4CD4-B282-960490F15A85}"/>
    <cellStyle name="Normal 2 6 5 18 2 3 2" xfId="16154" xr:uid="{D19464CB-090B-4F3F-A1DB-904E39528C8F}"/>
    <cellStyle name="Normal 2 6 5 18 2 4" xfId="16152" xr:uid="{EF219FEE-C717-477E-A361-E620B178290A}"/>
    <cellStyle name="Normal 2 6 5 18 3" xfId="7327" xr:uid="{308F050E-1137-4DA7-91F4-9C9FFA0B18AE}"/>
    <cellStyle name="Normal 2 6 5 18 3 2" xfId="16155" xr:uid="{5ECB8BB1-FF5A-4C35-B6CE-73F9A5405E52}"/>
    <cellStyle name="Normal 2 6 5 18 4" xfId="7328" xr:uid="{2AE0B18D-7F00-448D-A1B4-1EAB76FF3768}"/>
    <cellStyle name="Normal 2 6 5 18 4 2" xfId="16156" xr:uid="{E71EF2DA-4434-4348-B0F3-A686C5CE15E3}"/>
    <cellStyle name="Normal 2 6 5 18 5" xfId="16151" xr:uid="{7135CD93-7355-43B7-AD2C-4B3A6FDA2FF3}"/>
    <cellStyle name="Normal 2 6 5 19" xfId="7329" xr:uid="{A44F4D5F-12A5-4444-82B3-02336F3C4D9C}"/>
    <cellStyle name="Normal 2 6 5 19 2" xfId="7330" xr:uid="{DB01BD65-92AE-4CB0-B921-5FE1E1FDDF5A}"/>
    <cellStyle name="Normal 2 6 5 19 2 2" xfId="7331" xr:uid="{3EB013D9-04CC-4013-8339-4F0064B5FCDA}"/>
    <cellStyle name="Normal 2 6 5 19 2 2 2" xfId="16159" xr:uid="{E75C11D5-BB69-4910-B6A7-51D04D5B19F2}"/>
    <cellStyle name="Normal 2 6 5 19 2 3" xfId="7332" xr:uid="{C5B6C608-5D17-41C0-8D0B-4022D14C9623}"/>
    <cellStyle name="Normal 2 6 5 19 2 3 2" xfId="16160" xr:uid="{9E48A297-6AD4-4528-BB3A-7C1DA62EB4FC}"/>
    <cellStyle name="Normal 2 6 5 19 2 4" xfId="16158" xr:uid="{2BE3991B-25EB-42F3-8447-9B5FC1BA499E}"/>
    <cellStyle name="Normal 2 6 5 19 3" xfId="7333" xr:uid="{3B5F1574-0D5C-4D2C-A39C-06F384A808D4}"/>
    <cellStyle name="Normal 2 6 5 19 3 2" xfId="16161" xr:uid="{2D8A49C2-61EF-4A24-9924-CD3DE52EDB69}"/>
    <cellStyle name="Normal 2 6 5 19 4" xfId="7334" xr:uid="{1A484AF7-3707-47B7-A930-EFA922495809}"/>
    <cellStyle name="Normal 2 6 5 19 4 2" xfId="16162" xr:uid="{3C76779A-6E3D-4CD4-8B61-88FE1B429A4F}"/>
    <cellStyle name="Normal 2 6 5 19 5" xfId="16157" xr:uid="{017AC931-938E-4396-B350-0991CAE92B08}"/>
    <cellStyle name="Normal 2 6 5 2" xfId="7335" xr:uid="{74F8CEDF-8C92-43B4-A7B6-7D284939E7D2}"/>
    <cellStyle name="Normal 2 6 5 2 2" xfId="7336" xr:uid="{A2D0DCCB-A180-4F22-95C4-67801FF351AA}"/>
    <cellStyle name="Normal 2 6 5 2 2 2" xfId="7337" xr:uid="{524A0428-5C74-4AAB-8890-021FBD4803D7}"/>
    <cellStyle name="Normal 2 6 5 2 2 2 2" xfId="16165" xr:uid="{16220E74-5D3D-4883-AB87-8E0FE4AC5A26}"/>
    <cellStyle name="Normal 2 6 5 2 2 3" xfId="7338" xr:uid="{7300DDA9-9897-40E6-BE3E-035A409FADCE}"/>
    <cellStyle name="Normal 2 6 5 2 2 3 2" xfId="16166" xr:uid="{E3975258-4BB9-4F00-842E-7CF953F3D8D8}"/>
    <cellStyle name="Normal 2 6 5 2 2 4" xfId="16164" xr:uid="{DA290A56-FAF0-41A9-87BC-3E4427323712}"/>
    <cellStyle name="Normal 2 6 5 2 3" xfId="7339" xr:uid="{FC230DFB-837E-410B-898F-AE3F4D9AAB59}"/>
    <cellStyle name="Normal 2 6 5 2 3 2" xfId="16167" xr:uid="{6B92D672-F39E-4259-89B7-214323650E90}"/>
    <cellStyle name="Normal 2 6 5 2 4" xfId="7340" xr:uid="{BEA9485C-7B36-4AD8-89E3-65A76A6F774F}"/>
    <cellStyle name="Normal 2 6 5 2 4 2" xfId="16168" xr:uid="{62E12025-5529-4CB4-B752-E585AE24F3A1}"/>
    <cellStyle name="Normal 2 6 5 2 5" xfId="16163" xr:uid="{549767C5-6084-4406-91B7-24FF2E5D051A}"/>
    <cellStyle name="Normal 2 6 5 20" xfId="7341" xr:uid="{1C6351BD-20B7-4F7E-9DBC-3627C8BD4F12}"/>
    <cellStyle name="Normal 2 6 5 20 2" xfId="7342" xr:uid="{EF23554E-EDE1-475D-8B8F-E2D7BD8D83CA}"/>
    <cellStyle name="Normal 2 6 5 20 2 2" xfId="7343" xr:uid="{B8D0C265-8EF6-465C-BF7A-FCEB911D9045}"/>
    <cellStyle name="Normal 2 6 5 20 2 2 2" xfId="16171" xr:uid="{1283FCF6-D0E0-4CEB-A082-1E42244A63C5}"/>
    <cellStyle name="Normal 2 6 5 20 2 3" xfId="7344" xr:uid="{45C79910-070E-45E7-99F9-CCA147467F7D}"/>
    <cellStyle name="Normal 2 6 5 20 2 3 2" xfId="16172" xr:uid="{AE2FCA6D-ECDC-41C4-BDEE-401E3FA204D3}"/>
    <cellStyle name="Normal 2 6 5 20 2 4" xfId="16170" xr:uid="{47958D40-A2DD-44C6-BCB6-BC9AEB7BF290}"/>
    <cellStyle name="Normal 2 6 5 20 3" xfId="7345" xr:uid="{9983B8B1-6E49-45C1-A712-9F1F82495204}"/>
    <cellStyle name="Normal 2 6 5 20 3 2" xfId="16173" xr:uid="{883FA076-EB9C-43BD-BA13-AD251F5BB698}"/>
    <cellStyle name="Normal 2 6 5 20 4" xfId="7346" xr:uid="{A6B79A5D-E5F4-4B62-94F0-D1D250034068}"/>
    <cellStyle name="Normal 2 6 5 20 4 2" xfId="16174" xr:uid="{C8D78643-CC67-492C-9961-DE8558D0D0E3}"/>
    <cellStyle name="Normal 2 6 5 20 5" xfId="16169" xr:uid="{C72E976B-8D05-4152-BE9E-7F3905D82210}"/>
    <cellStyle name="Normal 2 6 5 21" xfId="7347" xr:uid="{4B07580C-8ED5-4B5F-B357-F77A4562C3E0}"/>
    <cellStyle name="Normal 2 6 5 21 2" xfId="7348" xr:uid="{CE191BE6-C6D9-4C17-B494-DF4C057E6094}"/>
    <cellStyle name="Normal 2 6 5 21 2 2" xfId="7349" xr:uid="{1BE87FA8-7B61-43BC-BF36-D9756BCA5CB7}"/>
    <cellStyle name="Normal 2 6 5 21 2 2 2" xfId="16177" xr:uid="{7CE7B9EA-7483-44D6-B4DC-13EAEB585B94}"/>
    <cellStyle name="Normal 2 6 5 21 2 3" xfId="7350" xr:uid="{A5DCCA3F-71C0-4F70-9C9B-B34B77FD5244}"/>
    <cellStyle name="Normal 2 6 5 21 2 3 2" xfId="16178" xr:uid="{FCF5E056-72CE-47CD-BB26-DEEEC6A0DD01}"/>
    <cellStyle name="Normal 2 6 5 21 2 4" xfId="16176" xr:uid="{6FC1E719-47CD-4591-A1A9-124914EEC950}"/>
    <cellStyle name="Normal 2 6 5 21 3" xfId="7351" xr:uid="{C127C2D0-6FE5-4440-832D-0EB7B074EDDB}"/>
    <cellStyle name="Normal 2 6 5 21 3 2" xfId="16179" xr:uid="{818F5C38-AE3B-446C-8448-5FE36805E213}"/>
    <cellStyle name="Normal 2 6 5 21 4" xfId="7352" xr:uid="{78B515D6-C1E3-4E93-A12B-EC0CE40C76F2}"/>
    <cellStyle name="Normal 2 6 5 21 4 2" xfId="16180" xr:uid="{3E56B8BD-C04C-4278-9DA1-0850F64F61FE}"/>
    <cellStyle name="Normal 2 6 5 21 5" xfId="16175" xr:uid="{2EFA90DA-4A7E-45FB-B3BF-35F6BD153697}"/>
    <cellStyle name="Normal 2 6 5 22" xfId="7353" xr:uid="{E159FF5E-DBF7-4542-9F63-ACE2D83E61B9}"/>
    <cellStyle name="Normal 2 6 5 22 2" xfId="7354" xr:uid="{4520F08B-B661-4B11-A742-48FBC7A6C928}"/>
    <cellStyle name="Normal 2 6 5 22 2 2" xfId="7355" xr:uid="{5BFA14B2-7519-44A4-AEE3-F7F0F5DF9D33}"/>
    <cellStyle name="Normal 2 6 5 22 2 2 2" xfId="16183" xr:uid="{5788B32F-48B2-49B4-8C8A-EEADCBCF055E}"/>
    <cellStyle name="Normal 2 6 5 22 2 3" xfId="7356" xr:uid="{F30C9DAB-9E36-44A9-A669-1053D1E431C4}"/>
    <cellStyle name="Normal 2 6 5 22 2 3 2" xfId="16184" xr:uid="{5FEBB603-4355-4F52-BDC0-87EC2BDCD084}"/>
    <cellStyle name="Normal 2 6 5 22 2 4" xfId="16182" xr:uid="{3987D65A-D57F-4973-AF79-7DE379287936}"/>
    <cellStyle name="Normal 2 6 5 22 3" xfId="7357" xr:uid="{9BFE404B-37C2-4DC3-AA91-F62A2998BB98}"/>
    <cellStyle name="Normal 2 6 5 22 3 2" xfId="16185" xr:uid="{9AB930AD-C918-4C67-B231-2104F39F72B0}"/>
    <cellStyle name="Normal 2 6 5 22 4" xfId="7358" xr:uid="{79BAF2A8-74A5-4D1B-BCEB-6BBBA1B9F666}"/>
    <cellStyle name="Normal 2 6 5 22 4 2" xfId="16186" xr:uid="{C893BA90-C1FD-4A38-B455-F729CEA43673}"/>
    <cellStyle name="Normal 2 6 5 22 5" xfId="16181" xr:uid="{313FDB64-DFB5-4915-A1A3-7874DE51D707}"/>
    <cellStyle name="Normal 2 6 5 23" xfId="7359" xr:uid="{670B03A4-773D-4CA0-8804-52402DA67304}"/>
    <cellStyle name="Normal 2 6 5 23 2" xfId="7360" xr:uid="{11A026CF-231C-44A1-B8CF-3199E83379D2}"/>
    <cellStyle name="Normal 2 6 5 23 2 2" xfId="7361" xr:uid="{BD7AED5F-B6E6-4753-92EE-B064FFC24FED}"/>
    <cellStyle name="Normal 2 6 5 23 2 2 2" xfId="16189" xr:uid="{11D39A83-0A98-4039-9906-00086A939C82}"/>
    <cellStyle name="Normal 2 6 5 23 2 3" xfId="7362" xr:uid="{DCCC6ABF-2A89-429F-9BA9-08D91A65EA82}"/>
    <cellStyle name="Normal 2 6 5 23 2 3 2" xfId="16190" xr:uid="{D0641B56-6631-46F1-BEFD-2216AC38EA59}"/>
    <cellStyle name="Normal 2 6 5 23 2 4" xfId="16188" xr:uid="{8580FBFD-A3AB-4F33-A864-8DE551853526}"/>
    <cellStyle name="Normal 2 6 5 23 3" xfId="7363" xr:uid="{5C658123-E83F-4ADB-A22B-7B6C1922D93D}"/>
    <cellStyle name="Normal 2 6 5 23 3 2" xfId="16191" xr:uid="{687B3149-9492-4EA7-8AB5-8D9218A881BE}"/>
    <cellStyle name="Normal 2 6 5 23 4" xfId="7364" xr:uid="{48CBEA39-119D-4CC0-9EBB-62072569842D}"/>
    <cellStyle name="Normal 2 6 5 23 4 2" xfId="16192" xr:uid="{B5C57205-B661-4E2A-B9F7-853397E7B8A4}"/>
    <cellStyle name="Normal 2 6 5 23 5" xfId="16187" xr:uid="{F2726229-3FBC-4401-ADD0-946C77B64180}"/>
    <cellStyle name="Normal 2 6 5 24" xfId="7365" xr:uid="{03D84CB3-5C22-4A24-834F-DCB78094B7CC}"/>
    <cellStyle name="Normal 2 6 5 24 2" xfId="7366" xr:uid="{85FA8779-1746-4139-81BA-5115AB8852D8}"/>
    <cellStyle name="Normal 2 6 5 24 2 2" xfId="7367" xr:uid="{530FF905-4C59-4FA1-A25F-18005E6D55E9}"/>
    <cellStyle name="Normal 2 6 5 24 2 2 2" xfId="16195" xr:uid="{0B8F72E6-E9EB-4748-AF60-3D1031FF8A7B}"/>
    <cellStyle name="Normal 2 6 5 24 2 3" xfId="7368" xr:uid="{861A8447-4E87-4A79-83C6-5FCDD74F6FCB}"/>
    <cellStyle name="Normal 2 6 5 24 2 3 2" xfId="16196" xr:uid="{D1082D44-9035-498B-8231-FE86EAA5CA07}"/>
    <cellStyle name="Normal 2 6 5 24 2 4" xfId="16194" xr:uid="{075950BA-FDD2-43F9-970C-52559F0E2438}"/>
    <cellStyle name="Normal 2 6 5 24 3" xfId="7369" xr:uid="{C116F4B3-9E0F-4F79-ABFB-95E49CF4EB09}"/>
    <cellStyle name="Normal 2 6 5 24 3 2" xfId="16197" xr:uid="{81A864CE-D1C2-4499-AF99-66EAF7E1A1C1}"/>
    <cellStyle name="Normal 2 6 5 24 4" xfId="7370" xr:uid="{830137BA-7839-4F70-8738-C3962C53762E}"/>
    <cellStyle name="Normal 2 6 5 24 4 2" xfId="16198" xr:uid="{A6D6742A-68C7-4F95-B882-90319CCF1160}"/>
    <cellStyle name="Normal 2 6 5 24 5" xfId="16193" xr:uid="{C9781A23-9EBE-488B-A4C2-7349901A0C9F}"/>
    <cellStyle name="Normal 2 6 5 25" xfId="7371" xr:uid="{FDC14886-365B-460C-A5D0-5ECA0D25BDB4}"/>
    <cellStyle name="Normal 2 6 5 25 2" xfId="7372" xr:uid="{AF3FA695-B11F-40C8-B0B3-E724AB73752A}"/>
    <cellStyle name="Normal 2 6 5 25 2 2" xfId="7373" xr:uid="{566C4B7C-0EF9-4C1D-8EF9-E18C3B0EF867}"/>
    <cellStyle name="Normal 2 6 5 25 2 2 2" xfId="16201" xr:uid="{D4268D4D-DE7C-4752-949D-7E7761B4E0CB}"/>
    <cellStyle name="Normal 2 6 5 25 2 3" xfId="7374" xr:uid="{EBFDE020-1D5A-4A93-85C1-FE62CBA292F0}"/>
    <cellStyle name="Normal 2 6 5 25 2 3 2" xfId="16202" xr:uid="{B2D57ECE-382E-45DE-B174-46E3C57AD681}"/>
    <cellStyle name="Normal 2 6 5 25 2 4" xfId="16200" xr:uid="{2BB82549-06A7-442F-A5F4-DE72191A98BA}"/>
    <cellStyle name="Normal 2 6 5 25 3" xfId="7375" xr:uid="{E6BDF9C4-63CC-4278-86FD-56C4410F21E2}"/>
    <cellStyle name="Normal 2 6 5 25 3 2" xfId="16203" xr:uid="{31D465FE-ECB5-40D2-A66C-ADD5FC308F52}"/>
    <cellStyle name="Normal 2 6 5 25 4" xfId="7376" xr:uid="{7B52DA81-06C0-4E46-A2DE-081C776893CE}"/>
    <cellStyle name="Normal 2 6 5 25 4 2" xfId="16204" xr:uid="{4BA25FC4-F322-4308-A48B-2C195EE641E6}"/>
    <cellStyle name="Normal 2 6 5 25 5" xfId="16199" xr:uid="{F5EB29BF-10DF-40D9-98BA-7717EC2C1846}"/>
    <cellStyle name="Normal 2 6 5 26" xfId="7377" xr:uid="{1A2FBA1F-F7FC-4D84-8D33-4BF43284EEB6}"/>
    <cellStyle name="Normal 2 6 5 26 2" xfId="7378" xr:uid="{AA25B864-E72D-461C-B95C-477738C0CA65}"/>
    <cellStyle name="Normal 2 6 5 26 2 2" xfId="7379" xr:uid="{5D6526F6-8CB6-48BB-BC15-B26878A12655}"/>
    <cellStyle name="Normal 2 6 5 26 2 2 2" xfId="16207" xr:uid="{BC5C04C6-D136-45F6-B272-08D261F57FA9}"/>
    <cellStyle name="Normal 2 6 5 26 2 3" xfId="7380" xr:uid="{AFC68383-5825-44E7-9F1C-808978AF2E24}"/>
    <cellStyle name="Normal 2 6 5 26 2 3 2" xfId="16208" xr:uid="{D31F3352-5CF2-4A7E-ACD6-FC9B75BAE1A5}"/>
    <cellStyle name="Normal 2 6 5 26 2 4" xfId="16206" xr:uid="{8A4D23D9-A38A-475E-BE8B-E3F57603C013}"/>
    <cellStyle name="Normal 2 6 5 26 3" xfId="7381" xr:uid="{F4150037-767F-43FB-AF05-3C16FEBD3DB0}"/>
    <cellStyle name="Normal 2 6 5 26 3 2" xfId="16209" xr:uid="{B0A329B0-057B-44D3-95F7-349ABFFEEAFA}"/>
    <cellStyle name="Normal 2 6 5 26 4" xfId="7382" xr:uid="{EF584D5B-7F29-41A3-BF90-7B603E0EC4AF}"/>
    <cellStyle name="Normal 2 6 5 26 4 2" xfId="16210" xr:uid="{5D77B109-E049-4A2B-9E8B-4E6458F3AA92}"/>
    <cellStyle name="Normal 2 6 5 26 5" xfId="16205" xr:uid="{537128E4-09E1-47B9-B93D-9B372C930771}"/>
    <cellStyle name="Normal 2 6 5 27" xfId="7383" xr:uid="{5DE50523-C91E-48B8-BFCB-67F701368A50}"/>
    <cellStyle name="Normal 2 6 5 27 2" xfId="7384" xr:uid="{2A83C3EF-BD62-4F18-BDAF-29BD1B3E6E31}"/>
    <cellStyle name="Normal 2 6 5 27 2 2" xfId="7385" xr:uid="{BCF29664-5020-4625-9518-04333FBD6899}"/>
    <cellStyle name="Normal 2 6 5 27 2 2 2" xfId="16213" xr:uid="{6D222DDB-6342-4D72-B205-D8148B86EE60}"/>
    <cellStyle name="Normal 2 6 5 27 2 3" xfId="7386" xr:uid="{304B1B06-A1AB-4845-AD50-70E980B253A0}"/>
    <cellStyle name="Normal 2 6 5 27 2 3 2" xfId="16214" xr:uid="{49A05F79-0D66-4F34-BC28-7C91EF71F41A}"/>
    <cellStyle name="Normal 2 6 5 27 2 4" xfId="16212" xr:uid="{9D41DE79-B122-4F38-BF34-1BF8CA76F03B}"/>
    <cellStyle name="Normal 2 6 5 27 3" xfId="7387" xr:uid="{B39412B5-E563-4095-A292-D571E4A90C81}"/>
    <cellStyle name="Normal 2 6 5 27 3 2" xfId="16215" xr:uid="{BD96C848-1437-43E5-B47F-8A19AA988093}"/>
    <cellStyle name="Normal 2 6 5 27 4" xfId="7388" xr:uid="{F2EDAACE-3C4C-4C43-B1DF-D51B711CADA4}"/>
    <cellStyle name="Normal 2 6 5 27 4 2" xfId="16216" xr:uid="{61741175-2338-4CB6-AF51-9CF19ED3DDD9}"/>
    <cellStyle name="Normal 2 6 5 27 5" xfId="16211" xr:uid="{D996C17F-7200-4D82-8E09-0A1A403C5C7A}"/>
    <cellStyle name="Normal 2 6 5 28" xfId="7389" xr:uid="{A8194B5A-B26C-4588-9F8F-80E29FAFCD9B}"/>
    <cellStyle name="Normal 2 6 5 28 2" xfId="7390" xr:uid="{47EC1DC7-2732-4409-ACD8-EA4DE2DA17F3}"/>
    <cellStyle name="Normal 2 6 5 28 2 2" xfId="7391" xr:uid="{C7E30E8C-868F-4519-86E8-1FEDA0880722}"/>
    <cellStyle name="Normal 2 6 5 28 2 2 2" xfId="16219" xr:uid="{AFDDDE87-CFCD-48BB-AE2C-8B085E48C794}"/>
    <cellStyle name="Normal 2 6 5 28 2 3" xfId="7392" xr:uid="{443B911A-7538-4386-9CF5-ECBB9AAE5DF3}"/>
    <cellStyle name="Normal 2 6 5 28 2 3 2" xfId="16220" xr:uid="{DA962F36-4CCC-49EC-9EC5-A790B7AD2516}"/>
    <cellStyle name="Normal 2 6 5 28 2 4" xfId="16218" xr:uid="{F595746E-4E83-4C0A-9E2F-39A287FDAC9B}"/>
    <cellStyle name="Normal 2 6 5 28 3" xfId="7393" xr:uid="{B36C96B3-C02B-46C0-9AEA-8B8D89A9387D}"/>
    <cellStyle name="Normal 2 6 5 28 3 2" xfId="16221" xr:uid="{99E88695-FF57-450B-85C4-E66806F7D166}"/>
    <cellStyle name="Normal 2 6 5 28 4" xfId="7394" xr:uid="{6A8882C0-76EC-4D85-AB32-53226991B918}"/>
    <cellStyle name="Normal 2 6 5 28 4 2" xfId="16222" xr:uid="{3FA1CB7B-47DF-4C18-A79A-B796BB25AD5F}"/>
    <cellStyle name="Normal 2 6 5 28 5" xfId="16217" xr:uid="{4613305E-8F45-478C-BA77-AB6840BCEFA6}"/>
    <cellStyle name="Normal 2 6 5 29" xfId="7395" xr:uid="{1F160843-AAB3-45F8-AC9B-125BB5BBB4F4}"/>
    <cellStyle name="Normal 2 6 5 29 2" xfId="7396" xr:uid="{8F5B126D-111C-4CD8-806B-FDC108F8B340}"/>
    <cellStyle name="Normal 2 6 5 29 2 2" xfId="7397" xr:uid="{5324CF4F-7A7A-4721-B03B-4AAAF6E8DD00}"/>
    <cellStyle name="Normal 2 6 5 29 2 2 2" xfId="16225" xr:uid="{7DED6B00-15E1-42D6-AD9A-D537F15CC9E9}"/>
    <cellStyle name="Normal 2 6 5 29 2 3" xfId="7398" xr:uid="{D84DA098-8EDB-4884-B1A3-436545612E99}"/>
    <cellStyle name="Normal 2 6 5 29 2 3 2" xfId="16226" xr:uid="{E136199F-E175-472B-9FC4-70E250F5F2C0}"/>
    <cellStyle name="Normal 2 6 5 29 2 4" xfId="16224" xr:uid="{93F4A378-7159-450D-A61A-1F9250B6293B}"/>
    <cellStyle name="Normal 2 6 5 29 3" xfId="7399" xr:uid="{E505859C-F486-4F64-9F74-CEBB17FB574C}"/>
    <cellStyle name="Normal 2 6 5 29 3 2" xfId="16227" xr:uid="{ACE8598D-3BEC-498E-AD72-94511F17C93B}"/>
    <cellStyle name="Normal 2 6 5 29 4" xfId="7400" xr:uid="{2C7CF242-53FB-4BD2-B32C-FF9472A1DF10}"/>
    <cellStyle name="Normal 2 6 5 29 4 2" xfId="16228" xr:uid="{2A5EE01C-248E-4788-B5FA-694CA4DBBCFE}"/>
    <cellStyle name="Normal 2 6 5 29 5" xfId="16223" xr:uid="{48363F5A-730F-4370-9723-2627B9E9738E}"/>
    <cellStyle name="Normal 2 6 5 3" xfId="7401" xr:uid="{677F0F34-69A1-4006-98F1-7AD548FA33F6}"/>
    <cellStyle name="Normal 2 6 5 3 2" xfId="7402" xr:uid="{6E7C5A4B-7B20-49C7-B5BF-8816C5C5D0DD}"/>
    <cellStyle name="Normal 2 6 5 3 2 2" xfId="7403" xr:uid="{D07B44D8-8EC9-457F-82F6-207B36B85F6A}"/>
    <cellStyle name="Normal 2 6 5 3 2 2 2" xfId="16231" xr:uid="{5902292B-0165-425F-9791-26FD7F889F72}"/>
    <cellStyle name="Normal 2 6 5 3 2 3" xfId="7404" xr:uid="{710F448D-F814-4252-98D4-80355908E940}"/>
    <cellStyle name="Normal 2 6 5 3 2 3 2" xfId="16232" xr:uid="{989FA730-0B48-40BF-8710-EFAF75190A5B}"/>
    <cellStyle name="Normal 2 6 5 3 2 4" xfId="16230" xr:uid="{C0F10D88-B161-499B-AAB8-5A17D2D01DDC}"/>
    <cellStyle name="Normal 2 6 5 3 3" xfId="7405" xr:uid="{E7FE16BD-2337-418B-ACCD-5EB1365ADBEE}"/>
    <cellStyle name="Normal 2 6 5 3 3 2" xfId="16233" xr:uid="{CDAC8360-7FF2-4D9A-996C-2A067960B721}"/>
    <cellStyle name="Normal 2 6 5 3 4" xfId="7406" xr:uid="{26FEFE23-5014-4578-84DA-D3AB470D14D7}"/>
    <cellStyle name="Normal 2 6 5 3 4 2" xfId="16234" xr:uid="{E6A1CAFB-3C92-4E6C-B175-20BC4D08AB6E}"/>
    <cellStyle name="Normal 2 6 5 3 5" xfId="16229" xr:uid="{5BA1667D-5768-4E2E-96B2-36A6026F2023}"/>
    <cellStyle name="Normal 2 6 5 30" xfId="7407" xr:uid="{B2EEE295-D73D-411D-97CD-89C572E7CA89}"/>
    <cellStyle name="Normal 2 6 5 30 2" xfId="7408" xr:uid="{B4C18B41-CDD1-4ECE-BE91-941456F5C70A}"/>
    <cellStyle name="Normal 2 6 5 30 2 2" xfId="7409" xr:uid="{30372094-F8EC-4A95-A070-1F7111E94944}"/>
    <cellStyle name="Normal 2 6 5 30 2 2 2" xfId="16237" xr:uid="{20FF5E95-246B-4400-A5A1-339CD28BC608}"/>
    <cellStyle name="Normal 2 6 5 30 2 3" xfId="7410" xr:uid="{3D87E4D8-80AF-4E09-93B5-8DFF187E4396}"/>
    <cellStyle name="Normal 2 6 5 30 2 3 2" xfId="16238" xr:uid="{585D871C-D3A4-44CD-B7DD-C844D9D5B735}"/>
    <cellStyle name="Normal 2 6 5 30 2 4" xfId="16236" xr:uid="{D491C101-1632-4745-9120-ADCFA96FBADB}"/>
    <cellStyle name="Normal 2 6 5 30 3" xfId="7411" xr:uid="{030ACA9A-6CBF-4BEA-8D0E-FB48F3ED3A9F}"/>
    <cellStyle name="Normal 2 6 5 30 3 2" xfId="16239" xr:uid="{8C9A1C84-3136-405A-B2BC-E9F9A832F479}"/>
    <cellStyle name="Normal 2 6 5 30 4" xfId="7412" xr:uid="{FC19D979-334D-4BC5-82E5-33A3828C92A5}"/>
    <cellStyle name="Normal 2 6 5 30 4 2" xfId="16240" xr:uid="{2AFD0551-21A9-425E-9251-4B3065ED74B1}"/>
    <cellStyle name="Normal 2 6 5 30 5" xfId="16235" xr:uid="{87761ECA-7B88-4364-80E1-5494E9268EE2}"/>
    <cellStyle name="Normal 2 6 5 31" xfId="7413" xr:uid="{DB35D393-CA25-4CD6-BFEB-2EAC8EAB078F}"/>
    <cellStyle name="Normal 2 6 5 31 2" xfId="7414" xr:uid="{4E3E60CC-7486-4E56-AF83-26D7101026E1}"/>
    <cellStyle name="Normal 2 6 5 31 2 2" xfId="7415" xr:uid="{BE7FB360-9B46-490F-843D-61AC361D0737}"/>
    <cellStyle name="Normal 2 6 5 31 2 2 2" xfId="16243" xr:uid="{AF9B9B2A-FC55-4004-84AB-52C46608EFF7}"/>
    <cellStyle name="Normal 2 6 5 31 2 3" xfId="7416" xr:uid="{BB23E5EE-FA18-4B8D-8B6A-10CF3041F809}"/>
    <cellStyle name="Normal 2 6 5 31 2 3 2" xfId="16244" xr:uid="{0D01C566-0517-460B-9250-910A04F57AC2}"/>
    <cellStyle name="Normal 2 6 5 31 2 4" xfId="16242" xr:uid="{0C222FB2-8C2B-439E-9A38-BE43CBB14766}"/>
    <cellStyle name="Normal 2 6 5 31 3" xfId="7417" xr:uid="{9A151611-1CC4-48D1-869D-F497F3023E38}"/>
    <cellStyle name="Normal 2 6 5 31 3 2" xfId="16245" xr:uid="{99E8E3F7-99C1-4A9C-AD05-62FCC80022A9}"/>
    <cellStyle name="Normal 2 6 5 31 4" xfId="7418" xr:uid="{BC57B0FB-6364-4D4E-991F-58B6B752F891}"/>
    <cellStyle name="Normal 2 6 5 31 4 2" xfId="16246" xr:uid="{0BC05D62-1267-4105-A645-43DE92190B62}"/>
    <cellStyle name="Normal 2 6 5 31 5" xfId="16241" xr:uid="{DB70947C-9C09-42B1-9D8F-E5B174870B1A}"/>
    <cellStyle name="Normal 2 6 5 32" xfId="7419" xr:uid="{B08E385A-9C7A-431A-94DA-4BB38ECF693F}"/>
    <cellStyle name="Normal 2 6 5 32 2" xfId="7420" xr:uid="{97F68E70-9AA8-416A-A35C-8823D5FDCF56}"/>
    <cellStyle name="Normal 2 6 5 32 2 2" xfId="7421" xr:uid="{66FD32AB-D0BF-48AC-AA7A-0A4A49161D51}"/>
    <cellStyle name="Normal 2 6 5 32 2 2 2" xfId="16249" xr:uid="{B8D5A0C5-B46B-48C1-A695-CBE8802F35EB}"/>
    <cellStyle name="Normal 2 6 5 32 2 3" xfId="7422" xr:uid="{204EEA07-844B-471E-A0E5-C5A7C470A6A6}"/>
    <cellStyle name="Normal 2 6 5 32 2 3 2" xfId="16250" xr:uid="{1E7419DB-0BAC-4CA6-AA4E-48C8A216ED5A}"/>
    <cellStyle name="Normal 2 6 5 32 2 4" xfId="16248" xr:uid="{46177890-2788-4F65-AC13-98DD6CDEE309}"/>
    <cellStyle name="Normal 2 6 5 32 3" xfId="7423" xr:uid="{F62C9097-D2A2-481F-8CE0-7B5279236AA7}"/>
    <cellStyle name="Normal 2 6 5 32 3 2" xfId="16251" xr:uid="{9722D863-B69C-4885-B71D-9911FCE27C4A}"/>
    <cellStyle name="Normal 2 6 5 32 4" xfId="7424" xr:uid="{1EC2897C-3C57-48BE-8877-8EB78DC1F500}"/>
    <cellStyle name="Normal 2 6 5 32 4 2" xfId="16252" xr:uid="{02ADED25-EC73-4F9E-8111-8D156AA35ACD}"/>
    <cellStyle name="Normal 2 6 5 32 5" xfId="16247" xr:uid="{7BED3991-96DE-487A-96DA-5496D22787DE}"/>
    <cellStyle name="Normal 2 6 5 33" xfId="7425" xr:uid="{D1EC616C-66A1-4CDC-B249-52756A194B59}"/>
    <cellStyle name="Normal 2 6 5 33 2" xfId="7426" xr:uid="{F7DA176F-8F43-40B5-ABB0-209B2658065A}"/>
    <cellStyle name="Normal 2 6 5 33 2 2" xfId="7427" xr:uid="{CB779F42-37D9-4968-A82D-18DFD8175323}"/>
    <cellStyle name="Normal 2 6 5 33 2 2 2" xfId="16255" xr:uid="{F160C765-0AAB-4DAE-A04A-C15D385EBD9E}"/>
    <cellStyle name="Normal 2 6 5 33 2 3" xfId="7428" xr:uid="{C9AF8F75-3A10-430A-9B2B-8F2728E20A50}"/>
    <cellStyle name="Normal 2 6 5 33 2 3 2" xfId="16256" xr:uid="{D6F41FDE-5F62-4264-B01D-2C3316173C43}"/>
    <cellStyle name="Normal 2 6 5 33 2 4" xfId="16254" xr:uid="{2F31203A-9145-4602-A3D7-8BBC353A2671}"/>
    <cellStyle name="Normal 2 6 5 33 3" xfId="7429" xr:uid="{3984F856-C43E-45DD-B384-A8C7237E8F77}"/>
    <cellStyle name="Normal 2 6 5 33 3 2" xfId="16257" xr:uid="{D0CCEB0B-6E9F-4E05-AFD0-47C4D5B0C701}"/>
    <cellStyle name="Normal 2 6 5 33 4" xfId="7430" xr:uid="{3ACB8CA9-1645-4185-9E4B-9F60D10FA37D}"/>
    <cellStyle name="Normal 2 6 5 33 4 2" xfId="16258" xr:uid="{012906C6-0371-41AD-A4E8-35F1332A351B}"/>
    <cellStyle name="Normal 2 6 5 33 5" xfId="16253" xr:uid="{B1F84E2D-0620-4312-B04C-2D935887D0B4}"/>
    <cellStyle name="Normal 2 6 5 34" xfId="7431" xr:uid="{46DC3A18-61BF-4A36-8C1F-A7D2C4AECE64}"/>
    <cellStyle name="Normal 2 6 5 34 2" xfId="7432" xr:uid="{F847B00D-76CC-43B9-8B5F-C46FC3CFFE20}"/>
    <cellStyle name="Normal 2 6 5 34 2 2" xfId="7433" xr:uid="{C14F73FA-78F0-4B20-8414-523039C18F45}"/>
    <cellStyle name="Normal 2 6 5 34 2 2 2" xfId="16261" xr:uid="{AA97F107-122E-42EE-9C5F-B7DFBA125D68}"/>
    <cellStyle name="Normal 2 6 5 34 2 3" xfId="7434" xr:uid="{E64CC72B-79E0-4383-8B8C-5FF4E4B33880}"/>
    <cellStyle name="Normal 2 6 5 34 2 3 2" xfId="16262" xr:uid="{65FB01B2-324F-4997-993D-D788B5AC8E22}"/>
    <cellStyle name="Normal 2 6 5 34 2 4" xfId="16260" xr:uid="{C38B0FB7-CF9A-484B-A9C4-D782D4AC9040}"/>
    <cellStyle name="Normal 2 6 5 34 3" xfId="7435" xr:uid="{11F7FA94-6D2A-49B4-BC02-DB133FBFE130}"/>
    <cellStyle name="Normal 2 6 5 34 3 2" xfId="16263" xr:uid="{B641BB2E-06D3-46E0-A439-0CFC8A03A444}"/>
    <cellStyle name="Normal 2 6 5 34 4" xfId="7436" xr:uid="{F8397A28-FE15-4DD7-A545-59BCC9E57A5A}"/>
    <cellStyle name="Normal 2 6 5 34 4 2" xfId="16264" xr:uid="{FC64E951-4FE6-4CC7-97CD-04C500309B59}"/>
    <cellStyle name="Normal 2 6 5 34 5" xfId="16259" xr:uid="{967AAF72-50EC-467D-8A04-253FB5EF149F}"/>
    <cellStyle name="Normal 2 6 5 35" xfId="7437" xr:uid="{93199D56-2B0A-4BEA-A2A2-6A60DAFC9F5B}"/>
    <cellStyle name="Normal 2 6 5 35 2" xfId="7438" xr:uid="{555C4B30-85E6-414C-9057-5B795F9222E5}"/>
    <cellStyle name="Normal 2 6 5 35 2 2" xfId="7439" xr:uid="{8A71D1A7-70D8-4995-AD8C-F5F9D3EAE035}"/>
    <cellStyle name="Normal 2 6 5 35 2 2 2" xfId="16267" xr:uid="{8DD077E4-8355-4F61-BCB3-0E980DB8B371}"/>
    <cellStyle name="Normal 2 6 5 35 2 3" xfId="7440" xr:uid="{97ED3972-A947-4EF6-A34E-CE92EEC70881}"/>
    <cellStyle name="Normal 2 6 5 35 2 3 2" xfId="16268" xr:uid="{D6E18383-CA3C-4D6C-A950-79ECC3BD2585}"/>
    <cellStyle name="Normal 2 6 5 35 2 4" xfId="16266" xr:uid="{47DD3595-8E4A-413A-BB5F-87BD130F3D6A}"/>
    <cellStyle name="Normal 2 6 5 35 3" xfId="7441" xr:uid="{ED3073BA-C388-492B-8F06-2986000EDF2E}"/>
    <cellStyle name="Normal 2 6 5 35 3 2" xfId="16269" xr:uid="{E75214E4-14ED-4248-B4C6-D076CBDF5AAE}"/>
    <cellStyle name="Normal 2 6 5 35 4" xfId="7442" xr:uid="{D2555801-B6C9-4DA8-AFF6-90CF19C29AFC}"/>
    <cellStyle name="Normal 2 6 5 35 4 2" xfId="16270" xr:uid="{A682A34E-0ABA-4268-82F5-23FEF1FD958B}"/>
    <cellStyle name="Normal 2 6 5 35 5" xfId="16265" xr:uid="{587B0C1B-3A73-43AF-93B7-822140451319}"/>
    <cellStyle name="Normal 2 6 5 36" xfId="7443" xr:uid="{30F1C1FC-6259-460D-AE0D-A9B56ADE953A}"/>
    <cellStyle name="Normal 2 6 5 36 2" xfId="7444" xr:uid="{D656FB4E-C08E-4A43-B6E8-6A68358C0D50}"/>
    <cellStyle name="Normal 2 6 5 36 2 2" xfId="7445" xr:uid="{BF947C43-EF99-4DEE-AD69-45A76B1488BC}"/>
    <cellStyle name="Normal 2 6 5 36 2 2 2" xfId="16273" xr:uid="{566FDC08-BE49-44E3-9DA6-B5DFEFD49F10}"/>
    <cellStyle name="Normal 2 6 5 36 2 3" xfId="7446" xr:uid="{D4B62C34-003F-4ABE-897F-E4A1D7CCE4C2}"/>
    <cellStyle name="Normal 2 6 5 36 2 3 2" xfId="16274" xr:uid="{047D79B5-A7A5-40F0-B972-EA2351CD8E35}"/>
    <cellStyle name="Normal 2 6 5 36 2 4" xfId="16272" xr:uid="{917C73CC-C123-426A-AB5F-77F1D266DB53}"/>
    <cellStyle name="Normal 2 6 5 36 3" xfId="7447" xr:uid="{08BB6746-C3BD-4B46-9909-D9D612292542}"/>
    <cellStyle name="Normal 2 6 5 36 3 2" xfId="16275" xr:uid="{A1121864-4672-41B9-A723-7465D8079AEA}"/>
    <cellStyle name="Normal 2 6 5 36 4" xfId="7448" xr:uid="{6532CE3B-6777-4261-A391-E8105A70F55C}"/>
    <cellStyle name="Normal 2 6 5 36 4 2" xfId="16276" xr:uid="{7E49657D-EC81-4FFC-9FB7-FC3E3FC707B5}"/>
    <cellStyle name="Normal 2 6 5 36 5" xfId="16271" xr:uid="{8AC4E275-7799-43F0-BC13-2A8B4A7107E9}"/>
    <cellStyle name="Normal 2 6 5 37" xfId="7449" xr:uid="{6A0FB05B-CB7C-4F39-877C-133B936D8177}"/>
    <cellStyle name="Normal 2 6 5 37 2" xfId="7450" xr:uid="{EF70797F-5DAF-4B4A-A848-56A9DCA87043}"/>
    <cellStyle name="Normal 2 6 5 37 2 2" xfId="7451" xr:uid="{D815CADC-9A6F-4A50-A405-9FEC1E8FE28A}"/>
    <cellStyle name="Normal 2 6 5 37 2 2 2" xfId="16279" xr:uid="{AD08C0E0-B15E-4A3C-AA9E-510E847C6049}"/>
    <cellStyle name="Normal 2 6 5 37 2 3" xfId="7452" xr:uid="{A2CEE03F-6035-4164-9EF8-7DE5C611BE02}"/>
    <cellStyle name="Normal 2 6 5 37 2 3 2" xfId="16280" xr:uid="{A2D6CAC5-78DF-4CC1-A35F-2673D0CF4D18}"/>
    <cellStyle name="Normal 2 6 5 37 2 4" xfId="16278" xr:uid="{3EFBDE85-2033-4C79-B873-C8FE5887B869}"/>
    <cellStyle name="Normal 2 6 5 37 3" xfId="7453" xr:uid="{9E4069C1-F559-4CC0-8FE5-6AB2F597C966}"/>
    <cellStyle name="Normal 2 6 5 37 3 2" xfId="16281" xr:uid="{2EA540AD-2348-42AF-91F1-184DE013C9ED}"/>
    <cellStyle name="Normal 2 6 5 37 4" xfId="7454" xr:uid="{0AFD27F4-F71A-44C8-9569-B7EA2749960C}"/>
    <cellStyle name="Normal 2 6 5 37 4 2" xfId="16282" xr:uid="{D93D1350-A022-444D-BB41-D249BE3A1E90}"/>
    <cellStyle name="Normal 2 6 5 37 5" xfId="16277" xr:uid="{05853B9A-8BD6-43AC-98A8-AB3721D8712B}"/>
    <cellStyle name="Normal 2 6 5 38" xfId="7455" xr:uid="{5BBC286A-9AA5-40CE-ABB0-96C15CBC68BA}"/>
    <cellStyle name="Normal 2 6 5 38 2" xfId="7456" xr:uid="{156FF5B3-029E-4D77-946A-ADC14D3707C8}"/>
    <cellStyle name="Normal 2 6 5 38 2 2" xfId="7457" xr:uid="{364B1505-166D-4FEC-81EE-79170C3A1C95}"/>
    <cellStyle name="Normal 2 6 5 38 2 2 2" xfId="16285" xr:uid="{12EE9321-A32B-4645-ACAE-87185392A369}"/>
    <cellStyle name="Normal 2 6 5 38 2 3" xfId="7458" xr:uid="{2F3172C7-111B-4D8E-96DE-D67B20428673}"/>
    <cellStyle name="Normal 2 6 5 38 2 3 2" xfId="16286" xr:uid="{7C500AEC-BA61-4FFD-89DA-B58EE4A3710C}"/>
    <cellStyle name="Normal 2 6 5 38 2 4" xfId="16284" xr:uid="{74BD77E5-751F-4C4F-A551-69705124381A}"/>
    <cellStyle name="Normal 2 6 5 38 3" xfId="7459" xr:uid="{22E53AA8-61BF-4A5D-B015-5828F228CE94}"/>
    <cellStyle name="Normal 2 6 5 38 3 2" xfId="16287" xr:uid="{9B38C3F4-46D2-4E6D-B6EA-36064C3EA522}"/>
    <cellStyle name="Normal 2 6 5 38 4" xfId="7460" xr:uid="{3444DFF4-53EC-49E9-B942-F5726CE52A52}"/>
    <cellStyle name="Normal 2 6 5 38 4 2" xfId="16288" xr:uid="{6E8A3338-D57B-4374-8E66-02391F0119CD}"/>
    <cellStyle name="Normal 2 6 5 38 5" xfId="16283" xr:uid="{A39AEE0F-776A-4A1F-91EF-9153327784DC}"/>
    <cellStyle name="Normal 2 6 5 39" xfId="7461" xr:uid="{15AD058C-B0EF-44F8-943F-DEAC42D8D2A4}"/>
    <cellStyle name="Normal 2 6 5 39 2" xfId="7462" xr:uid="{1A82DE94-B719-4DC5-B4E2-4CA52860BB9F}"/>
    <cellStyle name="Normal 2 6 5 39 2 2" xfId="7463" xr:uid="{4FEF56E4-141F-4FFB-8768-15F4718E213E}"/>
    <cellStyle name="Normal 2 6 5 39 2 2 2" xfId="16291" xr:uid="{B8382954-F9BB-4A81-A955-5644D7F3B4C0}"/>
    <cellStyle name="Normal 2 6 5 39 2 3" xfId="7464" xr:uid="{A014178B-497C-4B5D-A807-0911F0DBEE63}"/>
    <cellStyle name="Normal 2 6 5 39 2 3 2" xfId="16292" xr:uid="{FCC99668-ACC2-4600-BE03-45DB4B4DDC6C}"/>
    <cellStyle name="Normal 2 6 5 39 2 4" xfId="16290" xr:uid="{BF90B796-B233-48BE-BF98-169AA9952B37}"/>
    <cellStyle name="Normal 2 6 5 39 3" xfId="7465" xr:uid="{224FCD4E-E66C-46D3-9006-221D2D52F784}"/>
    <cellStyle name="Normal 2 6 5 39 3 2" xfId="16293" xr:uid="{FE3E30DB-B79A-4969-B9AC-9B0F757FC9FF}"/>
    <cellStyle name="Normal 2 6 5 39 4" xfId="7466" xr:uid="{27014BA7-8860-4E7D-9E3C-A03D84727CD8}"/>
    <cellStyle name="Normal 2 6 5 39 4 2" xfId="16294" xr:uid="{D0693E21-8679-4F08-B40C-1EFA5DF352B4}"/>
    <cellStyle name="Normal 2 6 5 39 5" xfId="16289" xr:uid="{3EF611FA-CA72-45F9-AAEC-9B64A57E286F}"/>
    <cellStyle name="Normal 2 6 5 4" xfId="7467" xr:uid="{60FB28E4-DCF8-400B-91E9-54A35CF093A3}"/>
    <cellStyle name="Normal 2 6 5 4 2" xfId="7468" xr:uid="{738CFB11-3F9B-4146-B668-C21CD502588D}"/>
    <cellStyle name="Normal 2 6 5 4 2 2" xfId="7469" xr:uid="{72932CD4-3761-4CCA-BC22-ACB9AD1A7137}"/>
    <cellStyle name="Normal 2 6 5 4 2 2 2" xfId="16297" xr:uid="{BF1E4291-BBBF-44EE-995F-BF89DC98D9E8}"/>
    <cellStyle name="Normal 2 6 5 4 2 3" xfId="7470" xr:uid="{FAAEB8C7-57DF-46E4-92AB-4F3AF42FCEB7}"/>
    <cellStyle name="Normal 2 6 5 4 2 3 2" xfId="16298" xr:uid="{528A8293-876C-4949-94D9-A8549E40A9E7}"/>
    <cellStyle name="Normal 2 6 5 4 2 4" xfId="16296" xr:uid="{44A4CAC7-00AE-4C11-86CE-BE11CDF023A6}"/>
    <cellStyle name="Normal 2 6 5 4 3" xfId="7471" xr:uid="{C38EEB68-30E1-4953-9785-FC9A585162CB}"/>
    <cellStyle name="Normal 2 6 5 4 3 2" xfId="16299" xr:uid="{C6518E9E-9893-4310-9FFC-13D2209AC0EF}"/>
    <cellStyle name="Normal 2 6 5 4 4" xfId="7472" xr:uid="{ACC6A45B-0212-478B-85A7-44EDAABB8D33}"/>
    <cellStyle name="Normal 2 6 5 4 4 2" xfId="16300" xr:uid="{42BDCDC2-26ED-406F-A3DE-1C612537D6B4}"/>
    <cellStyle name="Normal 2 6 5 4 5" xfId="16295" xr:uid="{C10E2BFE-5EF7-4FD0-933F-4E5A1CC486CF}"/>
    <cellStyle name="Normal 2 6 5 40" xfId="7473" xr:uid="{50A32B3F-F3C7-46E1-A014-8C072950A849}"/>
    <cellStyle name="Normal 2 6 5 40 2" xfId="7474" xr:uid="{DC8CF3D3-80A6-45B8-948E-C049B6A95341}"/>
    <cellStyle name="Normal 2 6 5 40 2 2" xfId="7475" xr:uid="{F7834C0F-E364-4AA4-B090-5C0FACEBB423}"/>
    <cellStyle name="Normal 2 6 5 40 2 2 2" xfId="16303" xr:uid="{291551E1-C732-4B9C-8B7A-131EC4F4BEB9}"/>
    <cellStyle name="Normal 2 6 5 40 2 3" xfId="7476" xr:uid="{5503E8F5-2CFA-4533-8DBE-E8EF4DE84174}"/>
    <cellStyle name="Normal 2 6 5 40 2 3 2" xfId="16304" xr:uid="{2145B947-189F-4A82-B482-DFC45A7617EC}"/>
    <cellStyle name="Normal 2 6 5 40 2 4" xfId="16302" xr:uid="{62D351FD-3A00-4B2A-B514-AF63CE26FCF2}"/>
    <cellStyle name="Normal 2 6 5 40 3" xfId="7477" xr:uid="{79978618-9C35-4244-A405-37C9BFAB9A2B}"/>
    <cellStyle name="Normal 2 6 5 40 3 2" xfId="16305" xr:uid="{502AE24D-5427-48F1-B5A3-C23E7792ABAB}"/>
    <cellStyle name="Normal 2 6 5 40 4" xfId="7478" xr:uid="{87FACEAA-4FB2-41CD-87CC-619FF47FF9C7}"/>
    <cellStyle name="Normal 2 6 5 40 4 2" xfId="16306" xr:uid="{DD23721E-DD46-4507-84F6-6EED2E69A522}"/>
    <cellStyle name="Normal 2 6 5 40 5" xfId="16301" xr:uid="{40004A0C-155C-4D76-BD14-3744C45DB632}"/>
    <cellStyle name="Normal 2 6 5 41" xfId="7479" xr:uid="{05379150-707B-4172-B343-897776E78AB6}"/>
    <cellStyle name="Normal 2 6 5 41 2" xfId="7480" xr:uid="{F50EC4AF-337E-4ABB-9993-3403CB4B2E93}"/>
    <cellStyle name="Normal 2 6 5 41 2 2" xfId="7481" xr:uid="{E5658D77-8B8C-40AF-A8BE-F54FF0C023A3}"/>
    <cellStyle name="Normal 2 6 5 41 2 2 2" xfId="16309" xr:uid="{5A5F6DE1-29F4-453C-BC8C-FAF6B758B7B1}"/>
    <cellStyle name="Normal 2 6 5 41 2 3" xfId="7482" xr:uid="{3030A352-96ED-48B5-8368-16E78BD02511}"/>
    <cellStyle name="Normal 2 6 5 41 2 3 2" xfId="16310" xr:uid="{DA1BDADD-8E80-46FD-9892-96FC5062F44A}"/>
    <cellStyle name="Normal 2 6 5 41 2 4" xfId="16308" xr:uid="{3533F845-6668-4616-ADDF-231CDF97E681}"/>
    <cellStyle name="Normal 2 6 5 41 3" xfId="7483" xr:uid="{57B58A55-EFAA-4AA1-942A-D3B71920E3D6}"/>
    <cellStyle name="Normal 2 6 5 41 3 2" xfId="16311" xr:uid="{8A59E5A7-E595-4DB4-B065-C1FE9DA7494B}"/>
    <cellStyle name="Normal 2 6 5 41 4" xfId="7484" xr:uid="{F0FB1FE8-37FA-422C-B700-C89C39CFDA42}"/>
    <cellStyle name="Normal 2 6 5 41 4 2" xfId="16312" xr:uid="{2A73A1A9-E6AB-40E8-87BF-143E9B87699C}"/>
    <cellStyle name="Normal 2 6 5 41 5" xfId="16307" xr:uid="{E51669DB-E2F2-44B6-8C5D-72B15BD4E10F}"/>
    <cellStyle name="Normal 2 6 5 42" xfId="7485" xr:uid="{EEB99C99-D416-4EF7-8E40-819A9FEB3AA1}"/>
    <cellStyle name="Normal 2 6 5 42 2" xfId="7486" xr:uid="{D12B5DAF-F2E2-49FD-A2A4-EA0953298D42}"/>
    <cellStyle name="Normal 2 6 5 42 2 2" xfId="7487" xr:uid="{E36F5412-2452-44EF-8F21-E30DF7F880DE}"/>
    <cellStyle name="Normal 2 6 5 42 2 2 2" xfId="16315" xr:uid="{495C45EA-99F9-4072-87E4-3C6B692CF278}"/>
    <cellStyle name="Normal 2 6 5 42 2 3" xfId="7488" xr:uid="{ACD60730-9E4A-4A78-8E57-FC554C958A8B}"/>
    <cellStyle name="Normal 2 6 5 42 2 3 2" xfId="16316" xr:uid="{25AB1C87-ABAA-49C3-BB87-DDE917A45D48}"/>
    <cellStyle name="Normal 2 6 5 42 2 4" xfId="16314" xr:uid="{A180A306-2036-46BE-8643-8246F21C9658}"/>
    <cellStyle name="Normal 2 6 5 42 3" xfId="7489" xr:uid="{9C42E7C8-E2D7-4960-9B00-C17F9C324CD3}"/>
    <cellStyle name="Normal 2 6 5 42 3 2" xfId="16317" xr:uid="{E0658E7F-1257-4465-88B5-DCDE03738475}"/>
    <cellStyle name="Normal 2 6 5 42 4" xfId="7490" xr:uid="{D66BD144-BD7D-42B0-A0F1-E7624924F74D}"/>
    <cellStyle name="Normal 2 6 5 42 4 2" xfId="16318" xr:uid="{F073C949-14D6-4884-8D47-6D45D2676272}"/>
    <cellStyle name="Normal 2 6 5 42 5" xfId="16313" xr:uid="{18F7E1C1-CA0C-495C-8C50-3366AE161D07}"/>
    <cellStyle name="Normal 2 6 5 43" xfId="7491" xr:uid="{3609D33C-0958-4DBD-AB8E-EC222BBA2AA0}"/>
    <cellStyle name="Normal 2 6 5 43 2" xfId="7492" xr:uid="{DDB5829E-37D9-4BC9-8F10-878D49028608}"/>
    <cellStyle name="Normal 2 6 5 43 2 2" xfId="7493" xr:uid="{FB067819-1701-446A-8358-3C245647973F}"/>
    <cellStyle name="Normal 2 6 5 43 2 2 2" xfId="16321" xr:uid="{0BB83036-B86B-412F-A7FE-9351F79E5EA8}"/>
    <cellStyle name="Normal 2 6 5 43 2 3" xfId="7494" xr:uid="{1F7520A3-6401-4B10-9365-4C2832328B38}"/>
    <cellStyle name="Normal 2 6 5 43 2 3 2" xfId="16322" xr:uid="{5A6C31CA-7025-44BB-B196-C76D2F0834E4}"/>
    <cellStyle name="Normal 2 6 5 43 2 4" xfId="16320" xr:uid="{C5A36A10-1584-442B-9C8D-A7F3F2A850AC}"/>
    <cellStyle name="Normal 2 6 5 43 3" xfId="7495" xr:uid="{FC1080A1-1A42-47D5-8140-3D2CDF066D7F}"/>
    <cellStyle name="Normal 2 6 5 43 3 2" xfId="16323" xr:uid="{3742CE75-BF71-4288-975F-1CDEFDE3734A}"/>
    <cellStyle name="Normal 2 6 5 43 4" xfId="7496" xr:uid="{27D06079-A1FA-4BCC-ADDA-A3F67EB8AF04}"/>
    <cellStyle name="Normal 2 6 5 43 4 2" xfId="16324" xr:uid="{FFF598F8-C973-4347-AF43-543DDA11A3D2}"/>
    <cellStyle name="Normal 2 6 5 43 5" xfId="16319" xr:uid="{D035E4F6-23E5-4421-BAB1-25844D7B6F38}"/>
    <cellStyle name="Normal 2 6 5 44" xfId="7497" xr:uid="{CA5CCE9D-F592-4A8A-BACC-28FF01C56CAA}"/>
    <cellStyle name="Normal 2 6 5 44 2" xfId="7498" xr:uid="{2934B952-9C24-4AF2-87A7-45A2EA2A812B}"/>
    <cellStyle name="Normal 2 6 5 44 2 2" xfId="16326" xr:uid="{EEE47F97-AAF2-417B-9581-A6736A163234}"/>
    <cellStyle name="Normal 2 6 5 44 3" xfId="7499" xr:uid="{684858C0-0B0E-4293-9274-C294BEAB7283}"/>
    <cellStyle name="Normal 2 6 5 44 3 2" xfId="16327" xr:uid="{5EA88005-ABFF-4689-A709-DED16CDE2CF9}"/>
    <cellStyle name="Normal 2 6 5 44 4" xfId="16325" xr:uid="{D2348F35-0FCE-4596-AABA-B2056896A934}"/>
    <cellStyle name="Normal 2 6 5 45" xfId="7500" xr:uid="{6A97CAFE-884E-4B57-B8C7-C36A99A0080B}"/>
    <cellStyle name="Normal 2 6 5 45 2" xfId="16328" xr:uid="{37E80359-40B2-4995-990D-74E76CA39030}"/>
    <cellStyle name="Normal 2 6 5 46" xfId="7501" xr:uid="{A1C5E661-D46A-430E-82F4-6FAB69A518CD}"/>
    <cellStyle name="Normal 2 6 5 46 2" xfId="16329" xr:uid="{1ACBC1BB-132C-48F1-A5FB-24624CA73997}"/>
    <cellStyle name="Normal 2 6 5 47" xfId="16102" xr:uid="{5AF2E72F-1C56-423C-85B1-FAF10097E78C}"/>
    <cellStyle name="Normal 2 6 5 5" xfId="7502" xr:uid="{BE8B904E-4A90-472B-B47D-125539D76B76}"/>
    <cellStyle name="Normal 2 6 5 5 2" xfId="7503" xr:uid="{1449D839-5D29-4D29-BE42-047DDF3D472B}"/>
    <cellStyle name="Normal 2 6 5 5 2 2" xfId="7504" xr:uid="{56AFE2C3-759F-4202-92DE-2441D36A10A7}"/>
    <cellStyle name="Normal 2 6 5 5 2 2 2" xfId="16332" xr:uid="{5CDD4E28-619A-4678-BB46-E53A23D59B4D}"/>
    <cellStyle name="Normal 2 6 5 5 2 3" xfId="7505" xr:uid="{BEF98F48-E14E-439E-8EE9-121FC2E80A3E}"/>
    <cellStyle name="Normal 2 6 5 5 2 3 2" xfId="16333" xr:uid="{971A0B5A-0C53-48D9-A749-BAAC21BA2901}"/>
    <cellStyle name="Normal 2 6 5 5 2 4" xfId="16331" xr:uid="{E79943AB-5D87-46D2-AC32-15CCC48B3DA5}"/>
    <cellStyle name="Normal 2 6 5 5 3" xfId="7506" xr:uid="{12D1DF23-4980-4179-A070-F3AC047AB91C}"/>
    <cellStyle name="Normal 2 6 5 5 3 2" xfId="16334" xr:uid="{1E63EDB3-D164-445B-8F7C-FD32FB45D013}"/>
    <cellStyle name="Normal 2 6 5 5 4" xfId="7507" xr:uid="{3B3325CE-9199-49BA-A691-260B3BE7D244}"/>
    <cellStyle name="Normal 2 6 5 5 4 2" xfId="16335" xr:uid="{C9B8979D-706D-445B-9761-B3EA917708DA}"/>
    <cellStyle name="Normal 2 6 5 5 5" xfId="16330" xr:uid="{98978B15-7AA3-4D7A-B5D9-2207D9082157}"/>
    <cellStyle name="Normal 2 6 5 6" xfId="7508" xr:uid="{FB4AD4C2-D5FC-43AD-8420-5C03793908FF}"/>
    <cellStyle name="Normal 2 6 5 6 2" xfId="7509" xr:uid="{5D22A292-6C1C-46F7-BD61-76741C237D80}"/>
    <cellStyle name="Normal 2 6 5 6 2 2" xfId="7510" xr:uid="{43626CC4-4B86-4668-9B31-A0ADA3632F34}"/>
    <cellStyle name="Normal 2 6 5 6 2 2 2" xfId="16338" xr:uid="{5E6386E0-185E-43E1-98C5-1EBE31E148C5}"/>
    <cellStyle name="Normal 2 6 5 6 2 3" xfId="7511" xr:uid="{66354441-74EE-4142-BC96-7E9FD61978BC}"/>
    <cellStyle name="Normal 2 6 5 6 2 3 2" xfId="16339" xr:uid="{50A39EC2-1DCE-4C24-B7CE-E2401E6FA256}"/>
    <cellStyle name="Normal 2 6 5 6 2 4" xfId="16337" xr:uid="{227CC1F4-FA36-4EC8-B90A-1B354E825F42}"/>
    <cellStyle name="Normal 2 6 5 6 3" xfId="7512" xr:uid="{610949A5-654C-4756-A302-BED782DBEB0A}"/>
    <cellStyle name="Normal 2 6 5 6 3 2" xfId="16340" xr:uid="{A13357E7-A28A-430D-BF9D-719E7BECABB3}"/>
    <cellStyle name="Normal 2 6 5 6 4" xfId="7513" xr:uid="{9589751D-7CA1-428C-9B86-69CC61F94D12}"/>
    <cellStyle name="Normal 2 6 5 6 4 2" xfId="16341" xr:uid="{4FC22B77-0F6C-4703-9A73-E7EAACD86E9E}"/>
    <cellStyle name="Normal 2 6 5 6 5" xfId="16336" xr:uid="{D0B0FDE7-0637-4E4E-8C28-193AB2A03565}"/>
    <cellStyle name="Normal 2 6 5 7" xfId="7514" xr:uid="{12F19E00-C293-4FAC-B012-47B5321088B9}"/>
    <cellStyle name="Normal 2 6 5 7 2" xfId="7515" xr:uid="{57C31347-F4AA-44BB-9AB9-BC876F8D8106}"/>
    <cellStyle name="Normal 2 6 5 7 2 2" xfId="7516" xr:uid="{CCC9C2D2-EC71-4BCD-AB10-6F198A0E3AE2}"/>
    <cellStyle name="Normal 2 6 5 7 2 2 2" xfId="16344" xr:uid="{A7F0FE60-3D37-422A-BF55-44739F8E7436}"/>
    <cellStyle name="Normal 2 6 5 7 2 3" xfId="7517" xr:uid="{3586E95D-AF30-4959-8DC0-8E44473111DE}"/>
    <cellStyle name="Normal 2 6 5 7 2 3 2" xfId="16345" xr:uid="{007B500C-6843-443A-8BBA-685D43A75B8F}"/>
    <cellStyle name="Normal 2 6 5 7 2 4" xfId="16343" xr:uid="{F522DC9E-3822-4DA9-9E7B-2996E653EC71}"/>
    <cellStyle name="Normal 2 6 5 7 3" xfId="7518" xr:uid="{AED2CCC7-EDC9-4553-A664-19D7A4809A23}"/>
    <cellStyle name="Normal 2 6 5 7 3 2" xfId="16346" xr:uid="{C123EA37-3202-4451-8BDE-E6767E76A8FF}"/>
    <cellStyle name="Normal 2 6 5 7 4" xfId="7519" xr:uid="{1BFB70FB-07DD-48C2-8175-3403D76FF2E1}"/>
    <cellStyle name="Normal 2 6 5 7 4 2" xfId="16347" xr:uid="{6A4F79C5-5987-4B15-A765-57B87C232FFC}"/>
    <cellStyle name="Normal 2 6 5 7 5" xfId="16342" xr:uid="{BB5897CB-560C-4D5F-BDCD-9BD1972A31CE}"/>
    <cellStyle name="Normal 2 6 5 8" xfId="7520" xr:uid="{B89393F7-FFAB-4401-9C0A-C45D3C595190}"/>
    <cellStyle name="Normal 2 6 5 8 2" xfId="7521" xr:uid="{A3138F50-5EB1-428A-80C7-57114556DDD9}"/>
    <cellStyle name="Normal 2 6 5 8 2 2" xfId="7522" xr:uid="{BEB1219C-B3FC-4A35-A711-517F89BF35DB}"/>
    <cellStyle name="Normal 2 6 5 8 2 2 2" xfId="16350" xr:uid="{01B8EC68-75EF-4F55-8771-1088904F492F}"/>
    <cellStyle name="Normal 2 6 5 8 2 3" xfId="7523" xr:uid="{10D25875-077E-4530-8BF6-9B70A3D2D5DC}"/>
    <cellStyle name="Normal 2 6 5 8 2 3 2" xfId="16351" xr:uid="{582C7A35-D9E4-4CDE-A8C2-B386891DEFE0}"/>
    <cellStyle name="Normal 2 6 5 8 2 4" xfId="16349" xr:uid="{9A5787CF-EFB4-4006-827A-656AC8546BC6}"/>
    <cellStyle name="Normal 2 6 5 8 3" xfId="7524" xr:uid="{57AC3E3C-16B1-44D8-928F-EEB24FAB8995}"/>
    <cellStyle name="Normal 2 6 5 8 3 2" xfId="16352" xr:uid="{E03A229C-11ED-4A49-8CB2-1E9A4EACEF11}"/>
    <cellStyle name="Normal 2 6 5 8 4" xfId="7525" xr:uid="{C076EBCA-3DE5-4743-B99F-1522F4541EA3}"/>
    <cellStyle name="Normal 2 6 5 8 4 2" xfId="16353" xr:uid="{DEF6D24C-3BD7-41BB-9BB9-C5A99988C545}"/>
    <cellStyle name="Normal 2 6 5 8 5" xfId="16348" xr:uid="{ABC7697E-029D-46D2-B29C-B81D80463F9B}"/>
    <cellStyle name="Normal 2 6 5 9" xfId="7526" xr:uid="{FD86F03A-26A8-48E8-AFCE-D2891ECE7DB9}"/>
    <cellStyle name="Normal 2 6 5 9 2" xfId="7527" xr:uid="{4BB6E5B4-FEBE-4348-824B-D87B04F39236}"/>
    <cellStyle name="Normal 2 6 5 9 2 2" xfId="7528" xr:uid="{1F77D0A9-1EBF-4DA4-ACA8-B4112877D87C}"/>
    <cellStyle name="Normal 2 6 5 9 2 2 2" xfId="16356" xr:uid="{8C5C4706-ACF3-436E-B4D9-400BBD94140D}"/>
    <cellStyle name="Normal 2 6 5 9 2 3" xfId="7529" xr:uid="{BF0A58B2-5F8D-48E8-BA55-A0EBD187D1B6}"/>
    <cellStyle name="Normal 2 6 5 9 2 3 2" xfId="16357" xr:uid="{5502C30E-8948-4F76-839D-738E1F73E1B4}"/>
    <cellStyle name="Normal 2 6 5 9 2 4" xfId="16355" xr:uid="{08BC21A3-805C-4A0E-8C1C-8E3375E04D48}"/>
    <cellStyle name="Normal 2 6 5 9 3" xfId="7530" xr:uid="{C88EDD96-C473-4080-A2FE-CEA8FA1C8BA9}"/>
    <cellStyle name="Normal 2 6 5 9 3 2" xfId="16358" xr:uid="{952F43F5-C076-4F20-AAC7-236F16D0BB73}"/>
    <cellStyle name="Normal 2 6 5 9 4" xfId="7531" xr:uid="{27D74473-251F-4E1D-8A0A-06396C6EE425}"/>
    <cellStyle name="Normal 2 6 5 9 4 2" xfId="16359" xr:uid="{AF03F0E5-5B3A-46EE-AFD1-30A5CDDE4AC3}"/>
    <cellStyle name="Normal 2 6 5 9 5" xfId="16354" xr:uid="{EED22451-E1F8-41E1-A7A8-D453F9115CA0}"/>
    <cellStyle name="Normal 2 6 50" xfId="7532" xr:uid="{07D95B7A-7069-4ED1-A120-451B1C9537A7}"/>
    <cellStyle name="Normal 2 6 50 2" xfId="7533" xr:uid="{8113DC53-5AA7-48ED-AD17-BE73B231129A}"/>
    <cellStyle name="Normal 2 6 50 2 2" xfId="7534" xr:uid="{DF18E648-09F9-4B58-A26A-B3DEB6E27724}"/>
    <cellStyle name="Normal 2 6 50 2 2 2" xfId="16362" xr:uid="{05B2C85F-0DD1-47DC-BC4F-9C5C7BCA8D10}"/>
    <cellStyle name="Normal 2 6 50 2 3" xfId="7535" xr:uid="{403AA429-61C2-4A5B-945F-D804ECFA10B1}"/>
    <cellStyle name="Normal 2 6 50 2 3 2" xfId="16363" xr:uid="{B1742FFE-3A8F-4435-A926-6388FA131512}"/>
    <cellStyle name="Normal 2 6 50 2 4" xfId="16361" xr:uid="{2168870E-606F-485B-8296-D818ABB54D40}"/>
    <cellStyle name="Normal 2 6 50 3" xfId="7536" xr:uid="{44406564-C934-4DD7-B711-E882D68155AE}"/>
    <cellStyle name="Normal 2 6 50 3 2" xfId="16364" xr:uid="{1A244412-8446-414F-95CA-94DA2CA2040D}"/>
    <cellStyle name="Normal 2 6 50 4" xfId="7537" xr:uid="{5364F86F-2220-434C-B6EA-207484327EA5}"/>
    <cellStyle name="Normal 2 6 50 4 2" xfId="16365" xr:uid="{2D300E52-7C75-42F2-A7C6-4029A1B44B9F}"/>
    <cellStyle name="Normal 2 6 50 5" xfId="16360" xr:uid="{C606E859-9835-43AA-9136-8687CEDC5CC0}"/>
    <cellStyle name="Normal 2 6 51" xfId="7538" xr:uid="{951BAF97-F4D5-4EBC-A953-CD7D2A00C2A7}"/>
    <cellStyle name="Normal 2 6 51 2" xfId="7539" xr:uid="{6820FEEA-18AD-4845-8145-CE61F924EF1A}"/>
    <cellStyle name="Normal 2 6 51 2 2" xfId="7540" xr:uid="{A0942948-E493-4825-B0F5-7C5D6C93CDB3}"/>
    <cellStyle name="Normal 2 6 51 2 2 2" xfId="16368" xr:uid="{F2611609-138A-4530-9727-DD1AE82553BC}"/>
    <cellStyle name="Normal 2 6 51 2 3" xfId="7541" xr:uid="{FC5DABE6-A3C3-42D5-A78F-2C878D49F964}"/>
    <cellStyle name="Normal 2 6 51 2 3 2" xfId="16369" xr:uid="{1469D6D9-FE5D-4408-8109-62D7C11C381F}"/>
    <cellStyle name="Normal 2 6 51 2 4" xfId="16367" xr:uid="{2F0A38ED-D068-4E6F-9AC4-258D8EFB6EA7}"/>
    <cellStyle name="Normal 2 6 51 3" xfId="7542" xr:uid="{53EF1011-EA66-42C0-970D-ED6E626AB2C6}"/>
    <cellStyle name="Normal 2 6 51 3 2" xfId="16370" xr:uid="{AD794C7F-08C7-434F-A4CF-A876D8DA8B2A}"/>
    <cellStyle name="Normal 2 6 51 4" xfId="7543" xr:uid="{BC2564E7-660D-436B-BA40-20D65365794B}"/>
    <cellStyle name="Normal 2 6 51 4 2" xfId="16371" xr:uid="{98FFD598-0935-47CB-9C52-2A512BC69E15}"/>
    <cellStyle name="Normal 2 6 51 5" xfId="16366" xr:uid="{7509702D-FC35-4E4D-956E-01D0A2C4C971}"/>
    <cellStyle name="Normal 2 6 52" xfId="7544" xr:uid="{BE4953D1-3F10-442D-B62F-57B23D127767}"/>
    <cellStyle name="Normal 2 6 52 2" xfId="7545" xr:uid="{ADBAC4B2-5B28-415A-B23E-0ADCF791E4A8}"/>
    <cellStyle name="Normal 2 6 52 2 2" xfId="7546" xr:uid="{5E53E276-EAD1-4390-BFED-69C92966A008}"/>
    <cellStyle name="Normal 2 6 52 2 2 2" xfId="16374" xr:uid="{F9039251-B365-479A-943E-9322DEC803D7}"/>
    <cellStyle name="Normal 2 6 52 2 3" xfId="7547" xr:uid="{79F61B5B-4E5E-430F-8BFF-46AF65BE687F}"/>
    <cellStyle name="Normal 2 6 52 2 3 2" xfId="16375" xr:uid="{E42CC0A4-F460-4C13-954F-629CC03BFD19}"/>
    <cellStyle name="Normal 2 6 52 2 4" xfId="16373" xr:uid="{92C401DA-E990-4862-BFCA-DE00E75C4229}"/>
    <cellStyle name="Normal 2 6 52 3" xfId="7548" xr:uid="{83FC43F9-23D7-4CA9-ABC5-A6D5A3D7BC2D}"/>
    <cellStyle name="Normal 2 6 52 3 2" xfId="16376" xr:uid="{46FB0D57-9A91-4569-8B20-B2E220A96128}"/>
    <cellStyle name="Normal 2 6 52 4" xfId="7549" xr:uid="{84787627-278A-432C-A47D-00D9AF891E50}"/>
    <cellStyle name="Normal 2 6 52 4 2" xfId="16377" xr:uid="{B7233DF9-A6A3-46DF-8E43-117BFDF26DCE}"/>
    <cellStyle name="Normal 2 6 52 5" xfId="16372" xr:uid="{9B9E6DFD-8B7E-45D9-8EB0-A53FF9E8B407}"/>
    <cellStyle name="Normal 2 6 53" xfId="7550" xr:uid="{67BB8EED-0EDD-470A-AB14-A950D71C4386}"/>
    <cellStyle name="Normal 2 6 53 2" xfId="7551" xr:uid="{5D410D02-C424-4750-8B78-9CC5E1AD67C1}"/>
    <cellStyle name="Normal 2 6 53 2 2" xfId="7552" xr:uid="{18D7E26E-2003-4DF3-AE98-05ACB76522ED}"/>
    <cellStyle name="Normal 2 6 53 2 2 2" xfId="16380" xr:uid="{5BD7F9DD-FB17-414B-A459-AD7D121325D6}"/>
    <cellStyle name="Normal 2 6 53 2 3" xfId="7553" xr:uid="{CF3C9DD4-CF13-47C4-ADDE-165D572AAD5A}"/>
    <cellStyle name="Normal 2 6 53 2 3 2" xfId="16381" xr:uid="{8F331028-03A2-4FF3-9677-4AFD73392523}"/>
    <cellStyle name="Normal 2 6 53 2 4" xfId="16379" xr:uid="{1A804965-0C0C-4C4D-BDA4-9EB9991E08C4}"/>
    <cellStyle name="Normal 2 6 53 3" xfId="7554" xr:uid="{380A51C4-B6BD-4AFF-89F7-A99530C49B6B}"/>
    <cellStyle name="Normal 2 6 53 3 2" xfId="16382" xr:uid="{437E04F9-2665-4D8D-BAD8-250F6C54F7B1}"/>
    <cellStyle name="Normal 2 6 53 4" xfId="7555" xr:uid="{C41CC605-6A17-4839-A1B3-2A3C5A5BC79E}"/>
    <cellStyle name="Normal 2 6 53 4 2" xfId="16383" xr:uid="{4B9ACDE8-7A10-44E4-B969-099241B3AB07}"/>
    <cellStyle name="Normal 2 6 53 5" xfId="16378" xr:uid="{1E22693A-3806-480E-8629-3712473C1AED}"/>
    <cellStyle name="Normal 2 6 54" xfId="7556" xr:uid="{89C2A050-DC5F-4B95-A6D7-EB244FD4294C}"/>
    <cellStyle name="Normal 2 6 54 2" xfId="7557" xr:uid="{43DE1731-7936-4F29-9872-E361A701199F}"/>
    <cellStyle name="Normal 2 6 54 2 2" xfId="7558" xr:uid="{6D645CD1-DDD9-46AD-8001-CA380D7AD377}"/>
    <cellStyle name="Normal 2 6 54 2 2 2" xfId="16386" xr:uid="{A62925B4-6638-4C78-85A9-A184E4518386}"/>
    <cellStyle name="Normal 2 6 54 2 3" xfId="7559" xr:uid="{022FE1A0-0895-4FAC-BEA2-262FEB071487}"/>
    <cellStyle name="Normal 2 6 54 2 3 2" xfId="16387" xr:uid="{C51FC233-3DCA-478D-AA46-B83EA5EFEC29}"/>
    <cellStyle name="Normal 2 6 54 2 4" xfId="16385" xr:uid="{AA5A00A5-C26E-4504-85C9-A31EBAB71C5D}"/>
    <cellStyle name="Normal 2 6 54 3" xfId="7560" xr:uid="{B130B2E8-CCB5-4CB1-AE2D-3358C6106653}"/>
    <cellStyle name="Normal 2 6 54 3 2" xfId="16388" xr:uid="{01266FA4-1081-4373-BC82-C188A5107110}"/>
    <cellStyle name="Normal 2 6 54 4" xfId="7561" xr:uid="{DE2E2D11-4B30-4D49-9B91-4D50E9B030FF}"/>
    <cellStyle name="Normal 2 6 54 4 2" xfId="16389" xr:uid="{A9817BA9-BE10-4EA4-87F0-BB4FDDCED609}"/>
    <cellStyle name="Normal 2 6 54 5" xfId="16384" xr:uid="{D5C2B4C0-B28D-4E0B-B9B1-781DF9C3C5E6}"/>
    <cellStyle name="Normal 2 6 55" xfId="7562" xr:uid="{C94D74A8-9464-43AA-85B3-B8033C685B37}"/>
    <cellStyle name="Normal 2 6 55 2" xfId="7563" xr:uid="{ABCD0FBB-27F6-4D66-88DB-5641A64065DA}"/>
    <cellStyle name="Normal 2 6 55 2 2" xfId="7564" xr:uid="{4CFFB28F-2D60-406C-9486-1FCDE5993C0F}"/>
    <cellStyle name="Normal 2 6 55 2 2 2" xfId="16392" xr:uid="{7C2F7C9D-8309-458E-8C2F-BAB70762FDA7}"/>
    <cellStyle name="Normal 2 6 55 2 3" xfId="7565" xr:uid="{5AFC9206-F801-4438-B480-FC754156ECC5}"/>
    <cellStyle name="Normal 2 6 55 2 3 2" xfId="16393" xr:uid="{1D7A0ECD-814B-4F6D-8EFB-C40F0A936AD1}"/>
    <cellStyle name="Normal 2 6 55 2 4" xfId="16391" xr:uid="{1E950CF1-A888-497D-B566-8F7DCED6B62F}"/>
    <cellStyle name="Normal 2 6 55 3" xfId="7566" xr:uid="{B1240F21-1EEC-4895-8769-78D203EFDABB}"/>
    <cellStyle name="Normal 2 6 55 3 2" xfId="16394" xr:uid="{9EFF78DD-0450-4191-B6B4-2E071B76E610}"/>
    <cellStyle name="Normal 2 6 55 4" xfId="7567" xr:uid="{E0BE2742-12CB-449F-8D31-02D773230A42}"/>
    <cellStyle name="Normal 2 6 55 4 2" xfId="16395" xr:uid="{BEDB9ABC-7AC2-4A79-9E86-0663941D33C7}"/>
    <cellStyle name="Normal 2 6 55 5" xfId="16390" xr:uid="{C8E5C207-CD58-415E-AE81-D56FAB2E7CC6}"/>
    <cellStyle name="Normal 2 6 56" xfId="7568" xr:uid="{196B66DE-6E10-4570-B67D-128C0566B1F5}"/>
    <cellStyle name="Normal 2 6 56 2" xfId="7569" xr:uid="{AF25ECF1-81CD-40CA-9A95-75C6772CF8AE}"/>
    <cellStyle name="Normal 2 6 56 2 2" xfId="7570" xr:uid="{59B1B87B-1856-443D-B234-8184F237CC10}"/>
    <cellStyle name="Normal 2 6 56 2 2 2" xfId="16398" xr:uid="{552408CD-E3A7-429A-9981-4A15CBF16F5A}"/>
    <cellStyle name="Normal 2 6 56 2 3" xfId="7571" xr:uid="{A2C94F8C-B282-4F66-9FE5-39D98F61629B}"/>
    <cellStyle name="Normal 2 6 56 2 3 2" xfId="16399" xr:uid="{5BCB3EDB-B2E2-4FFE-A312-CCB56D1815EE}"/>
    <cellStyle name="Normal 2 6 56 2 4" xfId="16397" xr:uid="{32194442-9596-4B41-B397-A9C5045C7AD5}"/>
    <cellStyle name="Normal 2 6 56 3" xfId="7572" xr:uid="{B64A38F3-4F6F-42EC-AC8E-40231756E820}"/>
    <cellStyle name="Normal 2 6 56 3 2" xfId="16400" xr:uid="{2F9D887F-BA68-461C-B5D5-976BE71C5C5D}"/>
    <cellStyle name="Normal 2 6 56 4" xfId="7573" xr:uid="{12D2148C-7521-4D2A-9416-29876699464E}"/>
    <cellStyle name="Normal 2 6 56 4 2" xfId="16401" xr:uid="{1CDA5FB6-B391-4CD7-95E1-01F1B22E3935}"/>
    <cellStyle name="Normal 2 6 56 5" xfId="16396" xr:uid="{5D607620-BCF5-48BB-B40F-F26799B6896A}"/>
    <cellStyle name="Normal 2 6 57" xfId="7574" xr:uid="{0618869F-17A3-4115-98B7-76A9329E0154}"/>
    <cellStyle name="Normal 2 6 57 2" xfId="7575" xr:uid="{7AB3912B-1E93-4A20-B389-8C47DAB80C4D}"/>
    <cellStyle name="Normal 2 6 57 2 2" xfId="7576" xr:uid="{CF5A6A92-4580-4C19-BCD6-BBCDF2BEE441}"/>
    <cellStyle name="Normal 2 6 57 2 2 2" xfId="16404" xr:uid="{B8F14B2C-E661-44BE-B5AB-99EF37BD00CC}"/>
    <cellStyle name="Normal 2 6 57 2 3" xfId="7577" xr:uid="{51F54B24-C2E3-4755-9F15-F02C08C8757F}"/>
    <cellStyle name="Normal 2 6 57 2 3 2" xfId="16405" xr:uid="{DADF6EAF-502E-40E4-8DBF-2133C12D85EA}"/>
    <cellStyle name="Normal 2 6 57 2 4" xfId="16403" xr:uid="{005FF1D2-9C05-491F-8A1D-43EF8DA35681}"/>
    <cellStyle name="Normal 2 6 57 3" xfId="7578" xr:uid="{CF8E9E3E-DC04-4394-8F6D-728B2C5FCC60}"/>
    <cellStyle name="Normal 2 6 57 3 2" xfId="16406" xr:uid="{4EB3FEF2-065A-4DD8-BFF8-C3159C2E66DD}"/>
    <cellStyle name="Normal 2 6 57 4" xfId="7579" xr:uid="{D9D36380-BFAB-4A7B-8873-17F09579C0C9}"/>
    <cellStyle name="Normal 2 6 57 4 2" xfId="16407" xr:uid="{24D69032-0154-4703-AF67-68AB89422C0D}"/>
    <cellStyle name="Normal 2 6 57 5" xfId="16402" xr:uid="{33BB303B-69B9-4D2A-9604-DEF0052DC3C7}"/>
    <cellStyle name="Normal 2 6 58" xfId="7580" xr:uid="{56D59875-DB10-4E10-9B00-B006741D28A9}"/>
    <cellStyle name="Normal 2 6 58 2" xfId="7581" xr:uid="{32A29B73-8985-4759-9C29-982EC4BF2B65}"/>
    <cellStyle name="Normal 2 6 58 2 2" xfId="7582" xr:uid="{22326D60-6608-433A-8C65-6FF295A61440}"/>
    <cellStyle name="Normal 2 6 58 2 2 2" xfId="16410" xr:uid="{BB44BF87-F8A3-4DD7-AEA5-042FABDAC1E8}"/>
    <cellStyle name="Normal 2 6 58 2 3" xfId="7583" xr:uid="{E347EA04-FAC1-41C9-B7BD-2D4583F7168F}"/>
    <cellStyle name="Normal 2 6 58 2 3 2" xfId="16411" xr:uid="{85366A44-60A7-4DB0-9BBE-CEFBB60BEB2F}"/>
    <cellStyle name="Normal 2 6 58 2 4" xfId="16409" xr:uid="{78CC0185-EAC1-44D3-A5ED-43B64FD3117B}"/>
    <cellStyle name="Normal 2 6 58 3" xfId="7584" xr:uid="{02E1B1E6-7C4A-4D8D-9585-3E4B23B8A522}"/>
    <cellStyle name="Normal 2 6 58 3 2" xfId="16412" xr:uid="{47ED1CD1-0CC5-4DD9-9DA0-B546D0C6E454}"/>
    <cellStyle name="Normal 2 6 58 4" xfId="7585" xr:uid="{22251B85-9AEF-4DD8-878E-47905D2B27D6}"/>
    <cellStyle name="Normal 2 6 58 4 2" xfId="16413" xr:uid="{9B3AB35B-C217-4D74-9365-AE68F307A122}"/>
    <cellStyle name="Normal 2 6 58 5" xfId="16408" xr:uid="{6120C0A0-4FB1-4CC2-92C0-1D6B77AAD0C1}"/>
    <cellStyle name="Normal 2 6 59" xfId="7586" xr:uid="{A8B978D2-971C-41F4-941A-3E510C118B18}"/>
    <cellStyle name="Normal 2 6 59 2" xfId="7587" xr:uid="{FBB63CF2-3F10-4657-9F0E-00FB2877F76B}"/>
    <cellStyle name="Normal 2 6 59 2 2" xfId="7588" xr:uid="{DE1B61D4-A96A-4408-89D0-1B4E24D51A68}"/>
    <cellStyle name="Normal 2 6 59 2 2 2" xfId="16416" xr:uid="{4BC4A88C-E503-49B2-A7A4-AEC85960069C}"/>
    <cellStyle name="Normal 2 6 59 2 3" xfId="7589" xr:uid="{2A562157-D946-4E75-933B-77BCC9BB9A79}"/>
    <cellStyle name="Normal 2 6 59 2 3 2" xfId="16417" xr:uid="{C997D6C0-C7A9-406E-B5AE-1E5DD34B6199}"/>
    <cellStyle name="Normal 2 6 59 2 4" xfId="16415" xr:uid="{B44C90E6-8A15-4044-AA40-00E7E86A388F}"/>
    <cellStyle name="Normal 2 6 59 3" xfId="7590" xr:uid="{C8B05B19-CD16-4E69-BAF6-FD6AFC9330F8}"/>
    <cellStyle name="Normal 2 6 59 3 2" xfId="16418" xr:uid="{4EDF52A6-14FE-480A-8C4F-15A03DB305F3}"/>
    <cellStyle name="Normal 2 6 59 4" xfId="7591" xr:uid="{E9F38B86-AC2F-4BA8-9382-A9C6BBA28AF4}"/>
    <cellStyle name="Normal 2 6 59 4 2" xfId="16419" xr:uid="{8D600484-A459-4E8C-85C1-97C49C6D9024}"/>
    <cellStyle name="Normal 2 6 59 5" xfId="16414" xr:uid="{8E20F9FD-FF59-4FB8-A10E-6B01726185D4}"/>
    <cellStyle name="Normal 2 6 6" xfId="7592" xr:uid="{25A29340-6951-4A81-9526-C6EC65E2089E}"/>
    <cellStyle name="Normal 2 6 6 2" xfId="7593" xr:uid="{8BE4B253-23B1-4AC5-8993-EAC6A5F4D45F}"/>
    <cellStyle name="Normal 2 6 6 2 2" xfId="7594" xr:uid="{DD2F91A1-800D-4778-A466-725B3A780B74}"/>
    <cellStyle name="Normal 2 6 6 2 2 2" xfId="16422" xr:uid="{EA15FCBD-15F0-480C-876A-6935A6AD63FE}"/>
    <cellStyle name="Normal 2 6 6 2 3" xfId="7595" xr:uid="{783EBB1B-78AF-425F-B9CB-D342ADBE0D6C}"/>
    <cellStyle name="Normal 2 6 6 2 3 2" xfId="16423" xr:uid="{4360049C-ADA8-4F25-B783-557ECBA72A76}"/>
    <cellStyle name="Normal 2 6 6 2 4" xfId="16421" xr:uid="{B2469F01-8FE0-4755-B879-D283A2F7BDD8}"/>
    <cellStyle name="Normal 2 6 6 3" xfId="7596" xr:uid="{03B5ED8A-A725-49D3-A740-E395A3E4532E}"/>
    <cellStyle name="Normal 2 6 6 3 2" xfId="16424" xr:uid="{575389B2-282B-4C61-A5B8-22562F259232}"/>
    <cellStyle name="Normal 2 6 6 4" xfId="7597" xr:uid="{856C53CD-6195-417E-8BC8-9DEBD56C59DC}"/>
    <cellStyle name="Normal 2 6 6 4 2" xfId="16425" xr:uid="{D762806D-F27D-4278-82F8-281D42B4846E}"/>
    <cellStyle name="Normal 2 6 6 5" xfId="16420" xr:uid="{5FFE90CE-70E5-495C-B9EB-E285D60D468F}"/>
    <cellStyle name="Normal 2 6 60" xfId="7598" xr:uid="{7A7F70F0-E0DF-4CE4-894C-4B21879EEB9B}"/>
    <cellStyle name="Normal 2 6 60 2" xfId="7599" xr:uid="{3017614A-FC2D-4931-92AE-A515FC4E47FA}"/>
    <cellStyle name="Normal 2 6 60 2 2" xfId="7600" xr:uid="{68BC15BC-43E0-4316-988D-80280058F70B}"/>
    <cellStyle name="Normal 2 6 60 2 2 2" xfId="16428" xr:uid="{2D1E1571-A303-462C-8256-B802E4660531}"/>
    <cellStyle name="Normal 2 6 60 2 3" xfId="7601" xr:uid="{7CFCB8CA-DB1E-4153-A917-FEA2A0C58E01}"/>
    <cellStyle name="Normal 2 6 60 2 3 2" xfId="16429" xr:uid="{2EC378AA-CC2C-4D83-97A0-A9A46BD823F1}"/>
    <cellStyle name="Normal 2 6 60 2 4" xfId="16427" xr:uid="{CF00F97C-F6B1-44A3-A18C-B3EBCDA85681}"/>
    <cellStyle name="Normal 2 6 60 3" xfId="7602" xr:uid="{DDD9DB3E-39CF-4628-8E4B-83AC36038E38}"/>
    <cellStyle name="Normal 2 6 60 3 2" xfId="16430" xr:uid="{31EE132B-397B-48BD-B5E0-A83B9679AD62}"/>
    <cellStyle name="Normal 2 6 60 4" xfId="7603" xr:uid="{CFCD53FB-C4A6-4998-A9DF-FBEA14ADD395}"/>
    <cellStyle name="Normal 2 6 60 4 2" xfId="16431" xr:uid="{EE5B0D61-7F85-4CD0-8B52-9DDC6CBEBB28}"/>
    <cellStyle name="Normal 2 6 60 5" xfId="16426" xr:uid="{15164207-8B42-4751-BDEE-FFC48AE92B12}"/>
    <cellStyle name="Normal 2 6 61" xfId="7604" xr:uid="{CC0C21AF-A567-4D47-A76A-6782AF03A43B}"/>
    <cellStyle name="Normal 2 6 61 2" xfId="7605" xr:uid="{429DEB6F-3537-4C4D-9CDF-FB3DE0ABDDB0}"/>
    <cellStyle name="Normal 2 6 61 2 2" xfId="16433" xr:uid="{94A2F8AD-6DD1-472B-8A07-9258DB0FD970}"/>
    <cellStyle name="Normal 2 6 61 3" xfId="7606" xr:uid="{AB6FBEB8-3269-462E-9709-553A16CC6C3D}"/>
    <cellStyle name="Normal 2 6 61 3 2" xfId="16434" xr:uid="{D3D3874F-899A-4B76-84C6-74B85C7F0A6F}"/>
    <cellStyle name="Normal 2 6 61 4" xfId="16432" xr:uid="{0C6366BB-6461-4367-B77D-0F12900430AD}"/>
    <cellStyle name="Normal 2 6 62" xfId="7607" xr:uid="{9774C432-2FBA-424F-BC60-145F7B306A62}"/>
    <cellStyle name="Normal 2 6 62 2" xfId="16435" xr:uid="{6C71B3C2-A84F-4C54-AEDD-347FDEEF227E}"/>
    <cellStyle name="Normal 2 6 63" xfId="7608" xr:uid="{D0B6FA77-0094-40A0-8C58-AB3145F49478}"/>
    <cellStyle name="Normal 2 6 63 2" xfId="16436" xr:uid="{2F590F23-BA44-4F7F-827D-A2F943782273}"/>
    <cellStyle name="Normal 2 6 64" xfId="15087" xr:uid="{79A3FD51-F045-4F30-9F0B-39EEAB8D7588}"/>
    <cellStyle name="Normal 2 6 7" xfId="7609" xr:uid="{0DBBA242-7122-43A9-8881-F4A0D30A8B8A}"/>
    <cellStyle name="Normal 2 6 7 2" xfId="7610" xr:uid="{CD6C1131-3E82-4B25-8C40-0F0679403FB2}"/>
    <cellStyle name="Normal 2 6 7 2 2" xfId="7611" xr:uid="{A98AA487-B705-49C7-80D3-0D8FCB200D2D}"/>
    <cellStyle name="Normal 2 6 7 2 2 2" xfId="16439" xr:uid="{9A439519-5728-440E-AA8D-A86CF821D4A8}"/>
    <cellStyle name="Normal 2 6 7 2 3" xfId="7612" xr:uid="{406DF739-E4AF-4222-93EB-22CC2E11ACE4}"/>
    <cellStyle name="Normal 2 6 7 2 3 2" xfId="16440" xr:uid="{534A6849-221A-46E0-B453-3FE06DD8C7FD}"/>
    <cellStyle name="Normal 2 6 7 2 4" xfId="16438" xr:uid="{0CBA6BDC-5F98-434E-87CC-93557E4F0D35}"/>
    <cellStyle name="Normal 2 6 7 3" xfId="7613" xr:uid="{1900A1E9-9A26-4E38-95B8-1672BBD06730}"/>
    <cellStyle name="Normal 2 6 7 3 2" xfId="16441" xr:uid="{CDFB751B-390E-4311-8215-0FCB9072E545}"/>
    <cellStyle name="Normal 2 6 7 4" xfId="7614" xr:uid="{D718EA84-439B-4AB6-9A05-457AE09A6BF0}"/>
    <cellStyle name="Normal 2 6 7 4 2" xfId="16442" xr:uid="{32531AA3-EB7F-465B-BF51-480A6C275BFB}"/>
    <cellStyle name="Normal 2 6 7 5" xfId="16437" xr:uid="{554395DC-13C9-4BAF-A7BB-B4F0C0917777}"/>
    <cellStyle name="Normal 2 6 8" xfId="7615" xr:uid="{2ED60351-D256-4BE4-8996-089897D2AECA}"/>
    <cellStyle name="Normal 2 6 8 2" xfId="7616" xr:uid="{CEDFD782-EE0F-4BE1-BF10-2756BFE7E2E9}"/>
    <cellStyle name="Normal 2 6 8 2 2" xfId="7617" xr:uid="{015FC502-E925-475A-AFD8-885538D24633}"/>
    <cellStyle name="Normal 2 6 8 2 2 2" xfId="16445" xr:uid="{61C22C83-EAA1-45D6-AA0B-CA1D4DFB93B7}"/>
    <cellStyle name="Normal 2 6 8 2 3" xfId="7618" xr:uid="{365302B6-60F1-4F43-A8A4-595E8F65647D}"/>
    <cellStyle name="Normal 2 6 8 2 3 2" xfId="16446" xr:uid="{0D10C3A0-3C17-4AAD-B2E6-123EBFD3C94A}"/>
    <cellStyle name="Normal 2 6 8 2 4" xfId="16444" xr:uid="{576FB55B-9F06-43E6-AFA9-209CCE27E9B4}"/>
    <cellStyle name="Normal 2 6 8 3" xfId="7619" xr:uid="{62CC163C-E91A-4521-9BC9-9977FF2B0DF1}"/>
    <cellStyle name="Normal 2 6 8 3 2" xfId="16447" xr:uid="{CB20336F-8359-4AD7-AA7E-06CED6FA0917}"/>
    <cellStyle name="Normal 2 6 8 4" xfId="7620" xr:uid="{0B195950-E97C-4221-B411-DFD04DB6D296}"/>
    <cellStyle name="Normal 2 6 8 4 2" xfId="16448" xr:uid="{F708F21E-4D3F-49B5-ADCA-434D40EE3240}"/>
    <cellStyle name="Normal 2 6 8 5" xfId="16443" xr:uid="{A90EAC22-FF0D-4114-89E1-C8BA7952193A}"/>
    <cellStyle name="Normal 2 6 9" xfId="7621" xr:uid="{0E8065D9-49D4-427A-8BD8-38DD06A2BC33}"/>
    <cellStyle name="Normal 2 6 9 2" xfId="7622" xr:uid="{1901742F-16F9-42BD-A8CE-572BE7E7B860}"/>
    <cellStyle name="Normal 2 6 9 2 2" xfId="7623" xr:uid="{990F74D9-FA20-4703-9697-47A02B14DF5B}"/>
    <cellStyle name="Normal 2 6 9 2 2 2" xfId="16451" xr:uid="{589B04D1-8F68-4730-85C8-DCA8A8A88635}"/>
    <cellStyle name="Normal 2 6 9 2 3" xfId="7624" xr:uid="{F82FAA0C-9F6F-46BE-840B-3F28FD6961B1}"/>
    <cellStyle name="Normal 2 6 9 2 3 2" xfId="16452" xr:uid="{E1C07DB9-CDBA-4644-ADA9-151BA5D3E990}"/>
    <cellStyle name="Normal 2 6 9 2 4" xfId="16450" xr:uid="{488DAFA9-ED1A-437B-AB62-06B5453291EA}"/>
    <cellStyle name="Normal 2 6 9 3" xfId="7625" xr:uid="{712602F2-A3C3-46C3-A383-19AD1E3ED686}"/>
    <cellStyle name="Normal 2 6 9 3 2" xfId="16453" xr:uid="{9CC8C5B0-650A-457C-A95A-0166E7D01862}"/>
    <cellStyle name="Normal 2 6 9 4" xfId="7626" xr:uid="{1277F114-7BD6-4DFE-9195-F12AA0891956}"/>
    <cellStyle name="Normal 2 6 9 4 2" xfId="16454" xr:uid="{159C724C-79E2-4100-90ED-85C5A4A73363}"/>
    <cellStyle name="Normal 2 6 9 5" xfId="16449" xr:uid="{219C0972-9242-4FD4-BC53-13B039A09C2B}"/>
    <cellStyle name="Normal 2 60" xfId="7627" xr:uid="{643C0B1C-1965-4E2B-BDC9-BE4B4B3004E3}"/>
    <cellStyle name="Normal 2 60 2" xfId="7628" xr:uid="{9AA28DEE-7677-4CFB-BFD7-B2C558299707}"/>
    <cellStyle name="Normal 2 60 2 2" xfId="7629" xr:uid="{A984BDF9-8100-483E-A30F-14311CE89AA8}"/>
    <cellStyle name="Normal 2 60 2 2 2" xfId="16457" xr:uid="{A5228BB6-54CF-4C5C-88AD-260C516DDEE8}"/>
    <cellStyle name="Normal 2 60 2 3" xfId="7630" xr:uid="{BBB36859-4C42-4D83-868C-89EBAC15319C}"/>
    <cellStyle name="Normal 2 60 2 3 2" xfId="16458" xr:uid="{BA07A106-1C20-43E9-9B32-266520D4AD09}"/>
    <cellStyle name="Normal 2 60 2 4" xfId="16456" xr:uid="{85606005-D0B2-428E-9392-20BD50364B3C}"/>
    <cellStyle name="Normal 2 60 3" xfId="7631" xr:uid="{5D05B0B5-A076-4CF2-8110-4DE3E00A1A19}"/>
    <cellStyle name="Normal 2 60 3 2" xfId="16459" xr:uid="{D0A7DB61-B082-4F58-B0FC-D7796D7DF663}"/>
    <cellStyle name="Normal 2 60 4" xfId="7632" xr:uid="{1981C945-E73B-468D-8A30-03E4D8253F9B}"/>
    <cellStyle name="Normal 2 60 4 2" xfId="16460" xr:uid="{05D6FF42-2F9E-4A41-8FF8-8E25E8DC604B}"/>
    <cellStyle name="Normal 2 60 5" xfId="16455" xr:uid="{D3A5608E-C724-4E2A-9584-FAD9B52B26F4}"/>
    <cellStyle name="Normal 2 61" xfId="7633" xr:uid="{7C9CCAAF-B876-4EC6-940A-74E832B01B1A}"/>
    <cellStyle name="Normal 2 61 2" xfId="7634" xr:uid="{BC6E8F24-AE03-4B2C-B9AA-A6DDBDEED42F}"/>
    <cellStyle name="Normal 2 61 2 2" xfId="7635" xr:uid="{79C7693B-1637-4765-839F-89E0ACFAF254}"/>
    <cellStyle name="Normal 2 61 2 2 2" xfId="16463" xr:uid="{9A097910-592A-4F58-829E-738411E4B6D7}"/>
    <cellStyle name="Normal 2 61 2 3" xfId="7636" xr:uid="{6F85F5C8-8ABE-4E84-8AB9-9B69273AE8E8}"/>
    <cellStyle name="Normal 2 61 2 3 2" xfId="16464" xr:uid="{B61559F6-7203-4A49-92A2-C380C50D4805}"/>
    <cellStyle name="Normal 2 61 2 4" xfId="16462" xr:uid="{40892F6F-1D7E-40CC-8CBA-08D0BF813432}"/>
    <cellStyle name="Normal 2 61 3" xfId="7637" xr:uid="{B3246587-26AA-489B-B780-473991547C90}"/>
    <cellStyle name="Normal 2 61 3 2" xfId="16465" xr:uid="{8351A9EB-E390-4D20-A30D-AFF017CC1A67}"/>
    <cellStyle name="Normal 2 61 4" xfId="7638" xr:uid="{5441FA67-A148-4C7E-866C-82D1DAA9F5E8}"/>
    <cellStyle name="Normal 2 61 4 2" xfId="16466" xr:uid="{AE2A3975-6133-40B8-8EE4-F1FF022DD53B}"/>
    <cellStyle name="Normal 2 61 5" xfId="16461" xr:uid="{2B2CE011-98F1-466B-BD8A-23FDFC651E40}"/>
    <cellStyle name="Normal 2 62" xfId="7639" xr:uid="{075BCD7A-30C1-460D-BBF7-1BAA9FEF164E}"/>
    <cellStyle name="Normal 2 62 2" xfId="7640" xr:uid="{156FE60C-CEC2-4172-8369-FE0904B4027C}"/>
    <cellStyle name="Normal 2 62 2 2" xfId="7641" xr:uid="{640C85E3-4BCE-4EB3-9352-403FF319722B}"/>
    <cellStyle name="Normal 2 62 2 2 2" xfId="16469" xr:uid="{B980C10E-9E05-4CCD-8F56-DA058F47EC4A}"/>
    <cellStyle name="Normal 2 62 2 3" xfId="7642" xr:uid="{C1648674-E060-4C10-9D86-CAC3925D4E03}"/>
    <cellStyle name="Normal 2 62 2 3 2" xfId="16470" xr:uid="{1D924814-77FB-4B96-924F-DF59BDA44FC7}"/>
    <cellStyle name="Normal 2 62 2 4" xfId="16468" xr:uid="{EA90CF27-7307-4000-A3C4-61B9D00B7E49}"/>
    <cellStyle name="Normal 2 62 3" xfId="7643" xr:uid="{81101A0F-826B-4CFC-9213-6963B6FA146C}"/>
    <cellStyle name="Normal 2 62 3 2" xfId="16471" xr:uid="{8AF6F9C8-362A-410F-82FB-A7C62AEF814E}"/>
    <cellStyle name="Normal 2 62 4" xfId="7644" xr:uid="{1D6294CC-217D-42B1-A322-033B5FAEE208}"/>
    <cellStyle name="Normal 2 62 4 2" xfId="16472" xr:uid="{F2798CFC-CCA5-4F0F-BDA3-5D19E5D8E46A}"/>
    <cellStyle name="Normal 2 62 5" xfId="16467" xr:uid="{72804F2B-7E28-47E4-9CE6-C8F92A093445}"/>
    <cellStyle name="Normal 2 63" xfId="7645" xr:uid="{C4AB3F92-5194-41E9-8C3F-B2D49F850616}"/>
    <cellStyle name="Normal 2 63 2" xfId="7646" xr:uid="{F5980CBB-E626-4F8F-90C1-CAFCC2D481CF}"/>
    <cellStyle name="Normal 2 63 2 2" xfId="7647" xr:uid="{F8533E59-4D10-4B82-ADBC-5E1F4135EB07}"/>
    <cellStyle name="Normal 2 63 2 2 2" xfId="16475" xr:uid="{E41B5FE1-A46C-4C5C-9AA4-A00C93B4B8F0}"/>
    <cellStyle name="Normal 2 63 2 3" xfId="7648" xr:uid="{4ADD3554-638A-4440-B620-FD5DC1D9FC9B}"/>
    <cellStyle name="Normal 2 63 2 3 2" xfId="16476" xr:uid="{BECCD01E-9921-46F7-A4F3-7821667E9E08}"/>
    <cellStyle name="Normal 2 63 2 4" xfId="16474" xr:uid="{BE11D0DA-D82C-4059-A337-DB37F9B144F6}"/>
    <cellStyle name="Normal 2 63 3" xfId="7649" xr:uid="{DD3FF128-D059-4479-900D-D8727496EC45}"/>
    <cellStyle name="Normal 2 63 3 2" xfId="16477" xr:uid="{D21A5A0E-2638-4933-A044-174856C58B33}"/>
    <cellStyle name="Normal 2 63 4" xfId="7650" xr:uid="{6ACCFC7A-D788-46D5-8566-04B721E71C5C}"/>
    <cellStyle name="Normal 2 63 4 2" xfId="16478" xr:uid="{3BE82ABE-0D88-4375-9756-4F13D64EDB3C}"/>
    <cellStyle name="Normal 2 63 5" xfId="16473" xr:uid="{66BB9B7B-9260-4BBC-8297-6F978804C8C6}"/>
    <cellStyle name="Normal 2 64" xfId="7651" xr:uid="{A24017B2-25A0-4FE8-80E0-C22A26A5F37F}"/>
    <cellStyle name="Normal 2 64 2" xfId="7652" xr:uid="{4B9D7992-6728-475E-BD64-269690F4C751}"/>
    <cellStyle name="Normal 2 64 2 2" xfId="7653" xr:uid="{DACC5776-9B5A-41DA-A5A0-8AEBE309537F}"/>
    <cellStyle name="Normal 2 64 2 2 2" xfId="16481" xr:uid="{26C5B505-BB8D-490C-863C-992D8A893736}"/>
    <cellStyle name="Normal 2 64 2 3" xfId="7654" xr:uid="{01439F95-1E98-4A7D-BB70-F2F5D043C247}"/>
    <cellStyle name="Normal 2 64 2 3 2" xfId="16482" xr:uid="{253C0B7A-1A72-45C3-8100-1EC7B61CE9AB}"/>
    <cellStyle name="Normal 2 64 2 4" xfId="16480" xr:uid="{D1558FAE-B138-4026-9A90-1811F8666825}"/>
    <cellStyle name="Normal 2 64 3" xfId="7655" xr:uid="{95416972-F841-4CA9-984D-52E1F130F9EF}"/>
    <cellStyle name="Normal 2 64 3 2" xfId="16483" xr:uid="{75818AD9-3E62-4D14-A332-056C362252A9}"/>
    <cellStyle name="Normal 2 64 4" xfId="7656" xr:uid="{9A8A15D5-0B69-4C39-B9A5-B149872E9D50}"/>
    <cellStyle name="Normal 2 64 4 2" xfId="16484" xr:uid="{02C96EB8-C172-485B-81B6-CC32C9F2561C}"/>
    <cellStyle name="Normal 2 64 5" xfId="16479" xr:uid="{7910D633-A199-4390-9BAB-4AD98DC7E712}"/>
    <cellStyle name="Normal 2 65" xfId="7657" xr:uid="{E34A3FDF-BFD1-456D-9DCA-048C0765ABF7}"/>
    <cellStyle name="Normal 2 65 2" xfId="7658" xr:uid="{DAF7980A-2199-43BD-9B54-8E423E9F3F9D}"/>
    <cellStyle name="Normal 2 65 2 2" xfId="7659" xr:uid="{22F88BFD-F63F-4B99-91A2-CE393455CA3E}"/>
    <cellStyle name="Normal 2 65 2 2 2" xfId="16487" xr:uid="{DA82C098-79C8-46E4-93D3-3496336B25DA}"/>
    <cellStyle name="Normal 2 65 2 3" xfId="7660" xr:uid="{9E0ACFB3-7541-437A-AA77-00D4F529926A}"/>
    <cellStyle name="Normal 2 65 2 3 2" xfId="16488" xr:uid="{47075AEC-03D5-4FCF-B1AA-80757B491115}"/>
    <cellStyle name="Normal 2 65 2 4" xfId="16486" xr:uid="{A15147BF-63B2-4EFE-917A-70C6552ABD28}"/>
    <cellStyle name="Normal 2 65 3" xfId="7661" xr:uid="{3C21CBAC-C002-48BD-B775-2B5400777A34}"/>
    <cellStyle name="Normal 2 65 3 2" xfId="16489" xr:uid="{C1C59678-ED20-49CB-BF2F-77D7EB5AAFAC}"/>
    <cellStyle name="Normal 2 65 4" xfId="7662" xr:uid="{B8EBE658-0B65-49E9-8B4A-0EB99C776FAA}"/>
    <cellStyle name="Normal 2 65 4 2" xfId="16490" xr:uid="{FB10C37E-3EFF-4D46-BE2E-11A492E68F71}"/>
    <cellStyle name="Normal 2 65 5" xfId="16485" xr:uid="{A3B58FCC-C429-401C-9D03-630F05D05698}"/>
    <cellStyle name="Normal 2 66" xfId="7663" xr:uid="{56857967-5B2F-41F1-B1EB-2C9BF1D5FF8C}"/>
    <cellStyle name="Normal 2 66 2" xfId="7664" xr:uid="{2FA547CF-2EA0-48F5-B255-FBC669FD8566}"/>
    <cellStyle name="Normal 2 66 2 2" xfId="16492" xr:uid="{74BF4107-047C-4531-9CA2-EF362C269A7B}"/>
    <cellStyle name="Normal 2 66 3" xfId="7665" xr:uid="{8E8C2907-26BB-45D3-ADF6-3CA8E2A2FA6A}"/>
    <cellStyle name="Normal 2 66 3 2" xfId="16493" xr:uid="{31662FB9-EB59-4FA5-B6A1-003E6283100B}"/>
    <cellStyle name="Normal 2 66 4" xfId="16491" xr:uid="{077C4FEF-7539-4BF8-9AEF-07E1B3ECEA4E}"/>
    <cellStyle name="Normal 2 67" xfId="7666" xr:uid="{BA021A67-C019-45D0-967B-35A2586CAF2B}"/>
    <cellStyle name="Normal 2 67 2" xfId="16494" xr:uid="{D1EF54ED-93C4-42EA-8AB7-938711E3C7F6}"/>
    <cellStyle name="Normal 2 68" xfId="7667" xr:uid="{D8979CD6-DD05-40AC-ACC4-01F2E2D3F5F1}"/>
    <cellStyle name="Normal 2 68 2" xfId="7668" xr:uid="{64E5F3BC-0DFF-4C0D-A054-A3EF3FC145F4}"/>
    <cellStyle name="Normal 2 68 2 2" xfId="16495" xr:uid="{65AE68FA-62C3-48D9-9213-38C9CDAF8BDB}"/>
    <cellStyle name="Normal 2 69" xfId="7669" xr:uid="{89F95FC1-CE42-46D7-9326-A0735BBC303A}"/>
    <cellStyle name="Normal 2 7" xfId="7670" xr:uid="{6744AEEA-3165-4A0E-B2F8-D2EB4278BBE5}"/>
    <cellStyle name="Normal 2 7 10" xfId="7671" xr:uid="{3D61C7F5-7C50-4DFB-903F-94F22698DA35}"/>
    <cellStyle name="Normal 2 7 10 2" xfId="7672" xr:uid="{DA32CC62-75DB-42D5-AF58-87744C488410}"/>
    <cellStyle name="Normal 2 7 10 2 2" xfId="7673" xr:uid="{A1BE3C03-F5DA-455D-AA8F-E50DBD517189}"/>
    <cellStyle name="Normal 2 7 10 2 2 2" xfId="16499" xr:uid="{4BBAE494-8361-4187-A751-43891CDAA095}"/>
    <cellStyle name="Normal 2 7 10 2 3" xfId="7674" xr:uid="{893E5202-8765-400F-9E56-179496CB40E1}"/>
    <cellStyle name="Normal 2 7 10 2 3 2" xfId="16500" xr:uid="{84CF9ADC-D3CF-4BFA-886E-425642467F63}"/>
    <cellStyle name="Normal 2 7 10 2 4" xfId="16498" xr:uid="{38BC2B6D-EC0B-44DB-A4C4-167B1CF2850F}"/>
    <cellStyle name="Normal 2 7 10 3" xfId="7675" xr:uid="{91D4C234-4BA6-4CE2-9624-C6950DCEEAC7}"/>
    <cellStyle name="Normal 2 7 10 3 2" xfId="16501" xr:uid="{75EB730D-8202-4077-9392-1085F28A1A40}"/>
    <cellStyle name="Normal 2 7 10 4" xfId="7676" xr:uid="{8C131AEC-113F-4C7B-A8CF-3D18BAC506CA}"/>
    <cellStyle name="Normal 2 7 10 4 2" xfId="16502" xr:uid="{25070213-2B4D-49EF-ABC6-FB0C0922538F}"/>
    <cellStyle name="Normal 2 7 10 5" xfId="16497" xr:uid="{294AC75D-FDD8-455D-A452-9F56BCCB5973}"/>
    <cellStyle name="Normal 2 7 11" xfId="7677" xr:uid="{F537CD7A-DC1A-46C3-91DD-4B9DE6E3A527}"/>
    <cellStyle name="Normal 2 7 11 2" xfId="7678" xr:uid="{C575DE6E-B339-48A3-82DE-3A42917FBCFA}"/>
    <cellStyle name="Normal 2 7 11 2 2" xfId="7679" xr:uid="{14A65393-6D9B-429B-A519-7994F9C307EB}"/>
    <cellStyle name="Normal 2 7 11 2 2 2" xfId="16505" xr:uid="{8156E71D-7D45-4C68-BEDE-8D2291D525C4}"/>
    <cellStyle name="Normal 2 7 11 2 3" xfId="7680" xr:uid="{0732B103-28D7-4C72-88B4-4B22DB846262}"/>
    <cellStyle name="Normal 2 7 11 2 3 2" xfId="16506" xr:uid="{B1421E5F-F12B-41C6-8DE3-C747301A5966}"/>
    <cellStyle name="Normal 2 7 11 2 4" xfId="16504" xr:uid="{5847EBE9-74AA-4BF6-BCC4-61D505224EBF}"/>
    <cellStyle name="Normal 2 7 11 3" xfId="7681" xr:uid="{02A24A57-0E81-4264-878A-455B4C40C5A7}"/>
    <cellStyle name="Normal 2 7 11 3 2" xfId="16507" xr:uid="{088C7DB6-0C15-4381-B30B-52BBD5F87950}"/>
    <cellStyle name="Normal 2 7 11 4" xfId="7682" xr:uid="{329524C0-D9CB-4E44-BDD1-D1B1B88EF767}"/>
    <cellStyle name="Normal 2 7 11 4 2" xfId="16508" xr:uid="{D65B7BFA-F3C2-458A-B8F3-8DA58302A8DC}"/>
    <cellStyle name="Normal 2 7 11 5" xfId="16503" xr:uid="{200328FC-8701-4340-8B5A-73E20798CBB0}"/>
    <cellStyle name="Normal 2 7 12" xfId="7683" xr:uid="{15C0BCB1-5AA0-41F9-B6A0-A21AE48A5302}"/>
    <cellStyle name="Normal 2 7 12 2" xfId="7684" xr:uid="{297CEECD-A38F-4625-B785-46EC133AF633}"/>
    <cellStyle name="Normal 2 7 12 2 2" xfId="7685" xr:uid="{C2011902-4B67-4E31-ADA0-F5F6ABD0D1D8}"/>
    <cellStyle name="Normal 2 7 12 2 2 2" xfId="16511" xr:uid="{6B73DC3E-741F-4EA6-891C-D27E65BC9ABD}"/>
    <cellStyle name="Normal 2 7 12 2 3" xfId="7686" xr:uid="{865FC9AB-C6F3-479F-8ACA-9794FD9C249E}"/>
    <cellStyle name="Normal 2 7 12 2 3 2" xfId="16512" xr:uid="{9F06AF9B-DFAC-4AC5-A063-410745A9E5BD}"/>
    <cellStyle name="Normal 2 7 12 2 4" xfId="16510" xr:uid="{4E4E76AA-DA53-4896-AC30-BEE583F45B0E}"/>
    <cellStyle name="Normal 2 7 12 3" xfId="7687" xr:uid="{DE9AF503-5687-47FD-ACEF-F7BC46A0EDF0}"/>
    <cellStyle name="Normal 2 7 12 3 2" xfId="16513" xr:uid="{09D7146D-07B4-430D-9C4A-50BBE1790B45}"/>
    <cellStyle name="Normal 2 7 12 4" xfId="7688" xr:uid="{86C57AC4-AB74-4D6B-A77D-2B9AF1910871}"/>
    <cellStyle name="Normal 2 7 12 4 2" xfId="16514" xr:uid="{14A07AD3-63B5-45F1-BDF9-90AC8FE06266}"/>
    <cellStyle name="Normal 2 7 12 5" xfId="16509" xr:uid="{9CF83A7B-E147-4C42-B055-519D3888E416}"/>
    <cellStyle name="Normal 2 7 13" xfId="7689" xr:uid="{B17E16E7-F45D-44F2-BC58-6D0BC9A020B3}"/>
    <cellStyle name="Normal 2 7 13 2" xfId="7690" xr:uid="{4F8806D1-6FCE-4C4E-9262-BEED5FBA058A}"/>
    <cellStyle name="Normal 2 7 13 2 2" xfId="7691" xr:uid="{77F91906-11DD-45A7-89AF-F0E34A32CEC7}"/>
    <cellStyle name="Normal 2 7 13 2 2 2" xfId="16517" xr:uid="{F37B22B4-45B3-4F17-8ED8-F991F1018C0A}"/>
    <cellStyle name="Normal 2 7 13 2 3" xfId="7692" xr:uid="{0CA12BCB-A491-45EE-A37A-36351BEBE228}"/>
    <cellStyle name="Normal 2 7 13 2 3 2" xfId="16518" xr:uid="{F3A0FAF1-9B4D-4F51-946A-2F63B41DF8F5}"/>
    <cellStyle name="Normal 2 7 13 2 4" xfId="16516" xr:uid="{E143FD92-DE1A-4EB4-81E7-85B3583FE691}"/>
    <cellStyle name="Normal 2 7 13 3" xfId="7693" xr:uid="{09725279-A7C4-4F9C-8C6B-3E5CA1DF7D59}"/>
    <cellStyle name="Normal 2 7 13 3 2" xfId="16519" xr:uid="{AD23063B-4D1D-4DEE-91B4-5448BDA8F3D2}"/>
    <cellStyle name="Normal 2 7 13 4" xfId="7694" xr:uid="{7E038061-C4B1-4DB2-8A5F-E16B52A38A79}"/>
    <cellStyle name="Normal 2 7 13 4 2" xfId="16520" xr:uid="{E4564280-0DAA-430D-85D2-8EC4937B35AF}"/>
    <cellStyle name="Normal 2 7 13 5" xfId="16515" xr:uid="{8A0C78AE-D5A8-4DD5-AED2-F15169FCDD4A}"/>
    <cellStyle name="Normal 2 7 14" xfId="7695" xr:uid="{043F9F5D-67F3-4DB9-96CD-902376241877}"/>
    <cellStyle name="Normal 2 7 14 2" xfId="7696" xr:uid="{F49F7E45-2B5B-4A9E-BB6B-D1E712D7136C}"/>
    <cellStyle name="Normal 2 7 14 2 2" xfId="7697" xr:uid="{48665E85-FA05-4C66-9AC1-46105637F4C5}"/>
    <cellStyle name="Normal 2 7 14 2 2 2" xfId="16523" xr:uid="{16470EB6-4668-4047-A885-C1723319FDAE}"/>
    <cellStyle name="Normal 2 7 14 2 3" xfId="7698" xr:uid="{2B38D392-CCD6-4863-A60F-A5663606E80B}"/>
    <cellStyle name="Normal 2 7 14 2 3 2" xfId="16524" xr:uid="{FDDB3DDD-78C5-4B63-8395-1661927D907F}"/>
    <cellStyle name="Normal 2 7 14 2 4" xfId="16522" xr:uid="{950358AA-3F07-4B64-8B4B-ADF948F9681B}"/>
    <cellStyle name="Normal 2 7 14 3" xfId="7699" xr:uid="{151A5F51-FECC-4A0B-BF78-E2A6EB3B74F2}"/>
    <cellStyle name="Normal 2 7 14 3 2" xfId="16525" xr:uid="{09D37DCA-63E9-4017-9815-282B7F3FD7AD}"/>
    <cellStyle name="Normal 2 7 14 4" xfId="7700" xr:uid="{06FB91DD-8A08-439F-87D5-514E7F9C44FD}"/>
    <cellStyle name="Normal 2 7 14 4 2" xfId="16526" xr:uid="{23E2C0F6-F576-4B71-95D6-E7E23EAB759F}"/>
    <cellStyle name="Normal 2 7 14 5" xfId="16521" xr:uid="{D3DF3CCC-543C-4954-B437-3E1F7DE07670}"/>
    <cellStyle name="Normal 2 7 15" xfId="7701" xr:uid="{E247E516-64D7-40B9-A7C5-E8D6F6F8209E}"/>
    <cellStyle name="Normal 2 7 15 2" xfId="7702" xr:uid="{A15CB63B-2D74-4A6A-87C1-C69B75A8F03E}"/>
    <cellStyle name="Normal 2 7 15 2 2" xfId="7703" xr:uid="{1D10F69F-00AB-4F24-BF77-CC9D8E5DF21D}"/>
    <cellStyle name="Normal 2 7 15 2 2 2" xfId="16529" xr:uid="{966744C9-1FB3-4D0E-9A2F-E06BF0D40A3B}"/>
    <cellStyle name="Normal 2 7 15 2 3" xfId="7704" xr:uid="{A486A4D3-FDEB-4D27-B324-D5C032FC2D82}"/>
    <cellStyle name="Normal 2 7 15 2 3 2" xfId="16530" xr:uid="{1F50632C-56F8-4A2D-9BD1-5702E2F945F8}"/>
    <cellStyle name="Normal 2 7 15 2 4" xfId="16528" xr:uid="{0CC18EC1-B120-4157-BEFC-3E3322A40AE8}"/>
    <cellStyle name="Normal 2 7 15 3" xfId="7705" xr:uid="{B06B0334-6062-4D35-BED9-199652FBD60B}"/>
    <cellStyle name="Normal 2 7 15 3 2" xfId="16531" xr:uid="{46EDD65D-186C-46E0-B00F-EDA41DDBCCD5}"/>
    <cellStyle name="Normal 2 7 15 4" xfId="7706" xr:uid="{1026A7C0-7B58-45A2-9EFC-26D87B1DEE7B}"/>
    <cellStyle name="Normal 2 7 15 4 2" xfId="16532" xr:uid="{FA6BDDE6-6F53-465A-A6F8-F2DE425D88F0}"/>
    <cellStyle name="Normal 2 7 15 5" xfId="16527" xr:uid="{796C001D-9BDF-4E14-97E2-1A548913FD73}"/>
    <cellStyle name="Normal 2 7 16" xfId="7707" xr:uid="{63FAF05D-6AD3-4952-A240-6F905E813504}"/>
    <cellStyle name="Normal 2 7 16 2" xfId="7708" xr:uid="{3D5EFD8E-E4B1-4093-B078-67EC22244A98}"/>
    <cellStyle name="Normal 2 7 16 2 2" xfId="7709" xr:uid="{3B588FF6-6D03-44D8-8443-0CEA5D6EDBDD}"/>
    <cellStyle name="Normal 2 7 16 2 2 2" xfId="16535" xr:uid="{8E0380B5-8511-4EE9-B215-080E9BAA3497}"/>
    <cellStyle name="Normal 2 7 16 2 3" xfId="7710" xr:uid="{2636E723-764A-44D4-8937-D516D27F767A}"/>
    <cellStyle name="Normal 2 7 16 2 3 2" xfId="16536" xr:uid="{2BDC46AC-48A7-487C-98B2-157E16DDA147}"/>
    <cellStyle name="Normal 2 7 16 2 4" xfId="16534" xr:uid="{3C398500-943B-44E5-B204-FDB6B8CBE5C4}"/>
    <cellStyle name="Normal 2 7 16 3" xfId="7711" xr:uid="{8A55F55B-BB66-4BF9-AEBE-4CC96422A0F2}"/>
    <cellStyle name="Normal 2 7 16 3 2" xfId="16537" xr:uid="{FDECA8D6-84A2-4A46-83CD-171962611F4B}"/>
    <cellStyle name="Normal 2 7 16 4" xfId="7712" xr:uid="{545FA29D-AED7-473C-AB69-890606C6C7A5}"/>
    <cellStyle name="Normal 2 7 16 4 2" xfId="16538" xr:uid="{3733DBA3-E8C5-451E-BC65-8A7C4F5542D7}"/>
    <cellStyle name="Normal 2 7 16 5" xfId="16533" xr:uid="{140BF93A-11D7-411E-8BD6-3ED8719A1F28}"/>
    <cellStyle name="Normal 2 7 17" xfId="7713" xr:uid="{2FA90043-598B-4A46-8670-75BB9EBEA16D}"/>
    <cellStyle name="Normal 2 7 17 2" xfId="7714" xr:uid="{BEE3D94D-70E5-42C9-A5F1-5D37731D3077}"/>
    <cellStyle name="Normal 2 7 17 2 2" xfId="7715" xr:uid="{B0C373B4-7571-4052-BFB5-709BDE13C312}"/>
    <cellStyle name="Normal 2 7 17 2 2 2" xfId="16541" xr:uid="{6E48EE4A-B348-46E4-B5AA-9E38B8869737}"/>
    <cellStyle name="Normal 2 7 17 2 3" xfId="7716" xr:uid="{4CE803DE-FA32-4CBA-86FD-0F44E77846D9}"/>
    <cellStyle name="Normal 2 7 17 2 3 2" xfId="16542" xr:uid="{01E353E9-7C74-41EE-8848-C55D98373CBC}"/>
    <cellStyle name="Normal 2 7 17 2 4" xfId="16540" xr:uid="{27888A6C-9D4D-458F-9F8B-EF982478EFAC}"/>
    <cellStyle name="Normal 2 7 17 3" xfId="7717" xr:uid="{2F439023-31F1-4837-8125-F3A1BD564D90}"/>
    <cellStyle name="Normal 2 7 17 3 2" xfId="16543" xr:uid="{E8D35B15-5A34-41F4-9491-592D40942604}"/>
    <cellStyle name="Normal 2 7 17 4" xfId="7718" xr:uid="{07A1DA77-3E62-457C-8860-27A7F0EED328}"/>
    <cellStyle name="Normal 2 7 17 4 2" xfId="16544" xr:uid="{5E6E6B53-8904-4B20-B19E-DEC6EAF83A99}"/>
    <cellStyle name="Normal 2 7 17 5" xfId="16539" xr:uid="{B241CF6B-97B4-466D-B82E-57F4737574D2}"/>
    <cellStyle name="Normal 2 7 18" xfId="7719" xr:uid="{3FF97C23-EBCD-428B-B32C-7DB82DDD451E}"/>
    <cellStyle name="Normal 2 7 18 2" xfId="7720" xr:uid="{C0242820-27B9-4BE8-B5DF-7260491F213B}"/>
    <cellStyle name="Normal 2 7 18 2 2" xfId="7721" xr:uid="{2C1D63A3-9AA2-4B41-911B-B3A07C88ECC7}"/>
    <cellStyle name="Normal 2 7 18 2 2 2" xfId="16547" xr:uid="{DCC0A769-06BA-4534-9BAD-276198B83F81}"/>
    <cellStyle name="Normal 2 7 18 2 3" xfId="7722" xr:uid="{5EA255F6-4627-4654-AB69-12709C27C9D8}"/>
    <cellStyle name="Normal 2 7 18 2 3 2" xfId="16548" xr:uid="{FD56C28E-B12A-4535-A25A-845F7C835F99}"/>
    <cellStyle name="Normal 2 7 18 2 4" xfId="16546" xr:uid="{2C949385-11D8-4D71-9AAA-7E89B5319216}"/>
    <cellStyle name="Normal 2 7 18 3" xfId="7723" xr:uid="{8517D98A-D116-4D8A-A91E-E9796E03ADF7}"/>
    <cellStyle name="Normal 2 7 18 3 2" xfId="16549" xr:uid="{BCA23912-A83A-4594-B792-376A2913ACA8}"/>
    <cellStyle name="Normal 2 7 18 4" xfId="7724" xr:uid="{2DFDCF77-78CE-44D7-AECC-4CF64B8ACAAE}"/>
    <cellStyle name="Normal 2 7 18 4 2" xfId="16550" xr:uid="{CA88551B-7662-4D76-BD67-EE765FEBC662}"/>
    <cellStyle name="Normal 2 7 18 5" xfId="16545" xr:uid="{0ED56CFB-5878-4B12-8240-B54E1959C838}"/>
    <cellStyle name="Normal 2 7 19" xfId="7725" xr:uid="{B6760065-7070-4AAF-9A42-281FD9E8D668}"/>
    <cellStyle name="Normal 2 7 19 2" xfId="7726" xr:uid="{69937804-626F-40B5-80CA-EF475783C85D}"/>
    <cellStyle name="Normal 2 7 19 2 2" xfId="7727" xr:uid="{BC52D778-16FB-492D-8AE3-ABE9D0957CDA}"/>
    <cellStyle name="Normal 2 7 19 2 2 2" xfId="16553" xr:uid="{46276F12-1A7E-449C-AD7D-17237E75768D}"/>
    <cellStyle name="Normal 2 7 19 2 3" xfId="7728" xr:uid="{03C1C351-9462-4444-9705-0EC228A2459E}"/>
    <cellStyle name="Normal 2 7 19 2 3 2" xfId="16554" xr:uid="{176397A6-9729-4415-91FC-7436E59D85EE}"/>
    <cellStyle name="Normal 2 7 19 2 4" xfId="16552" xr:uid="{52943F7C-4088-4B82-9DA3-76DC410F4190}"/>
    <cellStyle name="Normal 2 7 19 3" xfId="7729" xr:uid="{0579A761-471B-4C23-B198-F681534C9990}"/>
    <cellStyle name="Normal 2 7 19 3 2" xfId="16555" xr:uid="{FF1A31FF-1538-40ED-89D6-FEC3CCBEAA86}"/>
    <cellStyle name="Normal 2 7 19 4" xfId="7730" xr:uid="{76DC42F8-B20D-4A27-A520-9C8C5E045445}"/>
    <cellStyle name="Normal 2 7 19 4 2" xfId="16556" xr:uid="{B7B6BB41-239E-47EC-8445-47F115E7A7F3}"/>
    <cellStyle name="Normal 2 7 19 5" xfId="16551" xr:uid="{E0D15121-6DC3-4FD3-9845-BE076E7F6014}"/>
    <cellStyle name="Normal 2 7 2" xfId="7731" xr:uid="{E2690CB1-ACA2-498F-A0C7-8E45805D677F}"/>
    <cellStyle name="Normal 2 7 2 10" xfId="7732" xr:uid="{C41AABE0-B8F0-422C-830B-94A1BB9449E6}"/>
    <cellStyle name="Normal 2 7 2 10 2" xfId="7733" xr:uid="{98C8B862-BF98-4C87-9011-CA492FB4EDC1}"/>
    <cellStyle name="Normal 2 7 2 10 3" xfId="7734" xr:uid="{9FC122C1-D65D-470C-9384-A1297AE9C653}"/>
    <cellStyle name="Normal 2 7 2 10 4" xfId="7735" xr:uid="{75BDF98B-32EA-48C7-965B-A4FE5F2C1C7A}"/>
    <cellStyle name="Normal 2 7 2 11" xfId="7736" xr:uid="{4F32BFBF-873D-4C20-BE86-53B5F15C6F58}"/>
    <cellStyle name="Normal 2 7 2 11 2" xfId="7737" xr:uid="{A69871BA-BA1C-4BAE-9BFD-CECABB567091}"/>
    <cellStyle name="Normal 2 7 2 11 3" xfId="7738" xr:uid="{5BE869BA-C331-4BA9-B299-869837B96783}"/>
    <cellStyle name="Normal 2 7 2 11 4" xfId="7739" xr:uid="{999CC685-667F-4FCB-B40F-EBBFEFA2F157}"/>
    <cellStyle name="Normal 2 7 2 12" xfId="7740" xr:uid="{58BFC57C-1E94-4083-AD52-CEB6179F59AF}"/>
    <cellStyle name="Normal 2 7 2 12 2" xfId="7741" xr:uid="{3F185454-7E04-4702-8B47-C865D8267CD8}"/>
    <cellStyle name="Normal 2 7 2 12 3" xfId="7742" xr:uid="{8512F936-0A5E-412A-8BC9-7AEEC243B554}"/>
    <cellStyle name="Normal 2 7 2 12 4" xfId="7743" xr:uid="{19C9BA84-B30C-40DE-85AD-70227608CD4F}"/>
    <cellStyle name="Normal 2 7 2 13" xfId="7744" xr:uid="{EA6C3CF3-0F3F-4A4F-8230-961A2FF37171}"/>
    <cellStyle name="Normal 2 7 2 13 2" xfId="7745" xr:uid="{74B1E3B3-DB30-4373-BEE9-F7446D7C1712}"/>
    <cellStyle name="Normal 2 7 2 13 3" xfId="7746" xr:uid="{BDFCBA05-05E5-488F-9EDA-95AC3876D95D}"/>
    <cellStyle name="Normal 2 7 2 13 4" xfId="7747" xr:uid="{B0E506DD-28CB-470E-97A8-C3C0E562BEFD}"/>
    <cellStyle name="Normal 2 7 2 14" xfId="7748" xr:uid="{2903DCC4-7B5B-4F6A-985B-C7AA29E52913}"/>
    <cellStyle name="Normal 2 7 2 14 2" xfId="7749" xr:uid="{890246EA-C411-4E05-8BDC-673DF3E7231D}"/>
    <cellStyle name="Normal 2 7 2 14 3" xfId="7750" xr:uid="{6B15766B-53EB-498F-A15C-4A8B8B9AFF14}"/>
    <cellStyle name="Normal 2 7 2 14 4" xfId="7751" xr:uid="{8756035D-E4AC-44B6-ADF1-2C21D7AAF5F5}"/>
    <cellStyle name="Normal 2 7 2 15" xfId="7752" xr:uid="{D85BBE91-5180-4BC7-8E75-8A8BE911E6DB}"/>
    <cellStyle name="Normal 2 7 2 15 2" xfId="7753" xr:uid="{938BE48C-A2F6-41B2-BA3F-E975F0826B25}"/>
    <cellStyle name="Normal 2 7 2 15 3" xfId="7754" xr:uid="{27557321-3514-4002-871F-594A6E8844A0}"/>
    <cellStyle name="Normal 2 7 2 15 4" xfId="7755" xr:uid="{B054982D-C49F-40A7-8FF7-AFB0ACE7709D}"/>
    <cellStyle name="Normal 2 7 2 16" xfId="7756" xr:uid="{6E24333A-0D94-4E1E-9831-5294D53B6B95}"/>
    <cellStyle name="Normal 2 7 2 16 2" xfId="7757" xr:uid="{CA0DAA9E-4E70-45BE-892E-D094D0B6BFBC}"/>
    <cellStyle name="Normal 2 7 2 16 3" xfId="7758" xr:uid="{6F32E886-8442-4838-AEEB-79CB25D2C3B3}"/>
    <cellStyle name="Normal 2 7 2 16 4" xfId="7759" xr:uid="{F45F2730-0A95-4AC7-977F-586FDF210107}"/>
    <cellStyle name="Normal 2 7 2 17" xfId="7760" xr:uid="{F7F962D8-B22D-43C9-BFF4-120921B09503}"/>
    <cellStyle name="Normal 2 7 2 17 2" xfId="7761" xr:uid="{9CDC8F24-5DCB-4628-9D68-509F21EF12A3}"/>
    <cellStyle name="Normal 2 7 2 17 3" xfId="7762" xr:uid="{181BA65D-01D2-47DB-9619-7463CAA1D677}"/>
    <cellStyle name="Normal 2 7 2 17 4" xfId="7763" xr:uid="{A4FBB2A8-BB9D-4A49-B0E7-C25195CC1B3D}"/>
    <cellStyle name="Normal 2 7 2 18" xfId="7764" xr:uid="{EB5FBC6E-3A8F-4BD6-877C-3D1C7A32EDF9}"/>
    <cellStyle name="Normal 2 7 2 18 2" xfId="7765" xr:uid="{767F20F6-D7DA-491B-B06A-72174A03973C}"/>
    <cellStyle name="Normal 2 7 2 18 3" xfId="7766" xr:uid="{5D603825-EC21-47FE-93C3-B845A1889394}"/>
    <cellStyle name="Normal 2 7 2 18 4" xfId="7767" xr:uid="{369B9C00-C9B9-48D3-9E0A-28E7C44E7CE0}"/>
    <cellStyle name="Normal 2 7 2 19" xfId="7768" xr:uid="{50B00712-807F-402C-A66A-5C06D19D2BC8}"/>
    <cellStyle name="Normal 2 7 2 19 2" xfId="7769" xr:uid="{C1264A99-3B4E-4450-8030-F078A71A017D}"/>
    <cellStyle name="Normal 2 7 2 19 3" xfId="7770" xr:uid="{9899098B-BA99-47A3-A1AC-C0B6EA443158}"/>
    <cellStyle name="Normal 2 7 2 19 4" xfId="7771" xr:uid="{6BBC3709-DD72-49D3-836E-231238303F32}"/>
    <cellStyle name="Normal 2 7 2 2" xfId="7772" xr:uid="{9EEC8B23-BA10-4B83-82E3-57FCDC5486D4}"/>
    <cellStyle name="Normal 2 7 2 2 2" xfId="7773" xr:uid="{9DB349B0-EBD3-45B7-9CFD-819AA0A13A8D}"/>
    <cellStyle name="Normal 2 7 2 2 3" xfId="7774" xr:uid="{76A894CA-0002-4AF6-B9A7-A2D90BB636F5}"/>
    <cellStyle name="Normal 2 7 2 2 4" xfId="7775" xr:uid="{A19DD589-467B-4C46-A2A2-05C590C330F6}"/>
    <cellStyle name="Normal 2 7 2 20" xfId="7776" xr:uid="{6251E632-98E4-4D6D-A363-C3F2CEFDAF0A}"/>
    <cellStyle name="Normal 2 7 2 20 2" xfId="7777" xr:uid="{BDD79E52-B2F9-4441-AD50-55A3F632329D}"/>
    <cellStyle name="Normal 2 7 2 20 3" xfId="7778" xr:uid="{C6EEA32A-E35A-4D62-8506-A4B3EB7EF0A4}"/>
    <cellStyle name="Normal 2 7 2 20 4" xfId="7779" xr:uid="{7F5B1ECB-4AC6-4D90-BACE-2D2B052B9940}"/>
    <cellStyle name="Normal 2 7 2 21" xfId="7780" xr:uid="{80004432-464F-4DCF-B6D6-1C288E695B8C}"/>
    <cellStyle name="Normal 2 7 2 21 2" xfId="7781" xr:uid="{A9DC56DF-514F-4D52-BEDA-DBFD0D0A78FC}"/>
    <cellStyle name="Normal 2 7 2 21 3" xfId="7782" xr:uid="{88FF832D-351F-47F6-B6C0-F79BF575978D}"/>
    <cellStyle name="Normal 2 7 2 21 4" xfId="7783" xr:uid="{06222EEA-ED08-4E2E-ADFE-C25B8E94BC19}"/>
    <cellStyle name="Normal 2 7 2 22" xfId="7784" xr:uid="{16EE60DB-5379-46C4-BF8B-DBDB5E289997}"/>
    <cellStyle name="Normal 2 7 2 22 2" xfId="7785" xr:uid="{D2B7CCE3-2671-4050-9334-993253F96886}"/>
    <cellStyle name="Normal 2 7 2 22 3" xfId="7786" xr:uid="{17F544EE-FD43-4C33-81C8-39B1C16E694B}"/>
    <cellStyle name="Normal 2 7 2 22 4" xfId="7787" xr:uid="{3E33425D-6D80-4D16-ADCD-469F11DA35BD}"/>
    <cellStyle name="Normal 2 7 2 23" xfId="7788" xr:uid="{26D8F27D-05B5-4E7F-99FF-3811757CF3D7}"/>
    <cellStyle name="Normal 2 7 2 23 2" xfId="7789" xr:uid="{6E1799EC-61D1-4F37-8DDF-899846D078C7}"/>
    <cellStyle name="Normal 2 7 2 23 3" xfId="7790" xr:uid="{592470ED-8B40-4A92-8DD3-0F685FBE7D63}"/>
    <cellStyle name="Normal 2 7 2 23 4" xfId="7791" xr:uid="{DEDD51F1-D2B6-4FA6-A0E2-7D5CB5717891}"/>
    <cellStyle name="Normal 2 7 2 24" xfId="7792" xr:uid="{53CFA325-ECC9-4029-B79C-97EB226BAED2}"/>
    <cellStyle name="Normal 2 7 2 24 2" xfId="7793" xr:uid="{308EF365-BABA-4494-A54A-16A88B9D9A05}"/>
    <cellStyle name="Normal 2 7 2 24 3" xfId="7794" xr:uid="{27694E94-C112-411A-BE63-F2FD44D0683A}"/>
    <cellStyle name="Normal 2 7 2 24 4" xfId="7795" xr:uid="{F88A83C7-FEA3-4ED3-917D-4376F153CD8E}"/>
    <cellStyle name="Normal 2 7 2 25" xfId="7796" xr:uid="{738AC88E-06B7-4501-A0E0-D55A7ED32FA7}"/>
    <cellStyle name="Normal 2 7 2 25 2" xfId="7797" xr:uid="{D508A266-72CB-45CA-A7D4-CD378F1E78C7}"/>
    <cellStyle name="Normal 2 7 2 25 3" xfId="7798" xr:uid="{0934EF38-40A1-46FA-AB44-30D2A78B75A7}"/>
    <cellStyle name="Normal 2 7 2 25 4" xfId="7799" xr:uid="{CCAF9CC8-5088-4445-BF69-6F743972A5D8}"/>
    <cellStyle name="Normal 2 7 2 26" xfId="7800" xr:uid="{B23BD779-C58D-4721-B6AF-865A78AF1FA6}"/>
    <cellStyle name="Normal 2 7 2 26 2" xfId="7801" xr:uid="{51F68A49-22DC-416D-9B5F-E97B9BDC3015}"/>
    <cellStyle name="Normal 2 7 2 26 3" xfId="7802" xr:uid="{B380F26A-51EB-45DC-9BD2-BAB848455F75}"/>
    <cellStyle name="Normal 2 7 2 26 4" xfId="7803" xr:uid="{59E834F5-55DE-4467-A1AC-1E945F8117B1}"/>
    <cellStyle name="Normal 2 7 2 27" xfId="7804" xr:uid="{B6F97702-8B9A-42F6-957F-ACB7EA6E35B8}"/>
    <cellStyle name="Normal 2 7 2 27 2" xfId="7805" xr:uid="{87E3BA7C-B420-4579-B55D-3829DD749DF1}"/>
    <cellStyle name="Normal 2 7 2 27 3" xfId="7806" xr:uid="{73B32283-A3FF-4FCA-8AB7-931A7A8835CC}"/>
    <cellStyle name="Normal 2 7 2 27 4" xfId="7807" xr:uid="{E693B7A7-EDF8-4A49-B9D8-DC849970B766}"/>
    <cellStyle name="Normal 2 7 2 28" xfId="7808" xr:uid="{5435428D-5705-4DB7-9355-AD6668207C75}"/>
    <cellStyle name="Normal 2 7 2 28 2" xfId="7809" xr:uid="{C45DA8F7-A500-457E-AB58-21E51205C9F2}"/>
    <cellStyle name="Normal 2 7 2 28 3" xfId="7810" xr:uid="{CE5726AA-E780-44E7-A7B0-A539A2728BDD}"/>
    <cellStyle name="Normal 2 7 2 28 4" xfId="7811" xr:uid="{13D77BCD-409A-4EBD-B067-04B3A11D2532}"/>
    <cellStyle name="Normal 2 7 2 29" xfId="7812" xr:uid="{57483D79-6A5E-4EC7-8E9B-84AC1982017D}"/>
    <cellStyle name="Normal 2 7 2 29 2" xfId="7813" xr:uid="{A20999AB-0644-4C01-94A7-332A3A8422E9}"/>
    <cellStyle name="Normal 2 7 2 29 3" xfId="7814" xr:uid="{C45F9647-3002-4F3D-91A4-DA52F3658DF9}"/>
    <cellStyle name="Normal 2 7 2 29 4" xfId="7815" xr:uid="{2E7E3DB5-679A-42C0-9B98-203775DF1420}"/>
    <cellStyle name="Normal 2 7 2 3" xfId="7816" xr:uid="{2F97138C-17A3-4DB6-B735-6975B9C7D1A2}"/>
    <cellStyle name="Normal 2 7 2 3 2" xfId="7817" xr:uid="{2F52E91D-505A-4717-9B2C-F9FBE49E7893}"/>
    <cellStyle name="Normal 2 7 2 3 3" xfId="7818" xr:uid="{005F3E90-794C-48CD-8F04-B557EBF73C15}"/>
    <cellStyle name="Normal 2 7 2 3 4" xfId="7819" xr:uid="{FCC8F201-86B8-4137-8628-3A29E75DB63A}"/>
    <cellStyle name="Normal 2 7 2 30" xfId="7820" xr:uid="{0CDB0DB1-6A90-4B62-BC4F-88003ED4D5FB}"/>
    <cellStyle name="Normal 2 7 2 30 2" xfId="7821" xr:uid="{AA49F3E4-3078-4D40-B919-6012A6A9A4B2}"/>
    <cellStyle name="Normal 2 7 2 30 3" xfId="7822" xr:uid="{4629F4C5-75C7-46F0-92B6-8F21675277B0}"/>
    <cellStyle name="Normal 2 7 2 30 4" xfId="7823" xr:uid="{5BC685F6-B133-49AE-B4AE-07E90771C229}"/>
    <cellStyle name="Normal 2 7 2 31" xfId="7824" xr:uid="{3661B485-E490-47A4-ACBE-62534D878048}"/>
    <cellStyle name="Normal 2 7 2 31 2" xfId="7825" xr:uid="{5F0CD7A3-5D9D-4024-8546-6FA009A6D4E8}"/>
    <cellStyle name="Normal 2 7 2 31 3" xfId="7826" xr:uid="{216B3776-D390-4D41-ACEE-82BCCC238319}"/>
    <cellStyle name="Normal 2 7 2 31 4" xfId="7827" xr:uid="{80E1680C-C1EB-4BE7-959D-299EDB942C85}"/>
    <cellStyle name="Normal 2 7 2 32" xfId="7828" xr:uid="{B233C551-FF79-436C-99EF-D69ED6209446}"/>
    <cellStyle name="Normal 2 7 2 32 2" xfId="7829" xr:uid="{09CED846-24E3-4D7D-9086-57DACB43D2E8}"/>
    <cellStyle name="Normal 2 7 2 32 3" xfId="7830" xr:uid="{525E68BA-8005-4DE5-9172-3B31C25F85ED}"/>
    <cellStyle name="Normal 2 7 2 32 4" xfId="7831" xr:uid="{BCB03272-97DB-4D67-9F7B-95148BA832DF}"/>
    <cellStyle name="Normal 2 7 2 33" xfId="7832" xr:uid="{BDFA3AD5-4EFE-438D-8884-2DD06E5FD6C5}"/>
    <cellStyle name="Normal 2 7 2 33 2" xfId="7833" xr:uid="{2A53D3D4-0EC7-43FF-920A-1C3515332FEB}"/>
    <cellStyle name="Normal 2 7 2 33 3" xfId="7834" xr:uid="{8D9F4553-8068-41DA-BE3D-15343072AD81}"/>
    <cellStyle name="Normal 2 7 2 33 4" xfId="7835" xr:uid="{594C7C96-39BF-4797-8D07-98558C13B2D8}"/>
    <cellStyle name="Normal 2 7 2 34" xfId="7836" xr:uid="{5AABDEB0-659F-4257-847C-E11719D23A6F}"/>
    <cellStyle name="Normal 2 7 2 34 2" xfId="7837" xr:uid="{2E605524-F79B-4DD7-ABA9-CCE2E19D529C}"/>
    <cellStyle name="Normal 2 7 2 34 3" xfId="7838" xr:uid="{F090E382-E316-4A74-B3BC-6F8507497965}"/>
    <cellStyle name="Normal 2 7 2 34 4" xfId="7839" xr:uid="{C4FDB758-B989-4C48-B007-7257A9CE8ACF}"/>
    <cellStyle name="Normal 2 7 2 35" xfId="7840" xr:uid="{9A33C2A9-C297-4FE8-9A32-39A060D11F3A}"/>
    <cellStyle name="Normal 2 7 2 35 2" xfId="7841" xr:uid="{37364F10-6E7B-4ADF-AB6C-E65A9933437B}"/>
    <cellStyle name="Normal 2 7 2 35 3" xfId="7842" xr:uid="{416B8624-C4EE-4776-A0F1-E25330387F18}"/>
    <cellStyle name="Normal 2 7 2 35 4" xfId="7843" xr:uid="{00AE4BDB-CC45-4A1E-8759-2ACC860FA2EC}"/>
    <cellStyle name="Normal 2 7 2 36" xfId="7844" xr:uid="{97024A78-E0F6-4A8E-8296-3FABAFA4337A}"/>
    <cellStyle name="Normal 2 7 2 36 2" xfId="7845" xr:uid="{73E7DD55-EA7B-4DE1-BE95-21AEAC17D06E}"/>
    <cellStyle name="Normal 2 7 2 36 3" xfId="7846" xr:uid="{230738B8-98DF-4D94-8587-3651928351AF}"/>
    <cellStyle name="Normal 2 7 2 36 4" xfId="7847" xr:uid="{0508BFFE-B775-4A4B-B156-85EEB90A4CAF}"/>
    <cellStyle name="Normal 2 7 2 37" xfId="7848" xr:uid="{28798627-2089-44DC-BA4E-CC2D4ECBA7A2}"/>
    <cellStyle name="Normal 2 7 2 37 2" xfId="7849" xr:uid="{1CA436C1-AC25-47E7-858A-7769AAEC80A3}"/>
    <cellStyle name="Normal 2 7 2 37 3" xfId="7850" xr:uid="{82E4EC01-3A5A-4DB5-8F85-91920E9B2660}"/>
    <cellStyle name="Normal 2 7 2 37 4" xfId="7851" xr:uid="{B8747530-8688-45E2-B055-02DD22A2F809}"/>
    <cellStyle name="Normal 2 7 2 38" xfId="7852" xr:uid="{B6CA6E09-F860-455E-82F2-4145D4C64931}"/>
    <cellStyle name="Normal 2 7 2 38 2" xfId="7853" xr:uid="{B707610E-75B8-4EA5-B996-7597376757F4}"/>
    <cellStyle name="Normal 2 7 2 38 3" xfId="7854" xr:uid="{A98C5BDF-7E0D-4FFD-BA7A-7D8E64D3626C}"/>
    <cellStyle name="Normal 2 7 2 38 4" xfId="7855" xr:uid="{0BB9F2DD-F85C-4A4D-AEB4-85EBD7CE6EA6}"/>
    <cellStyle name="Normal 2 7 2 39" xfId="7856" xr:uid="{8D9B3AB7-B5F3-4823-935B-2278BE237269}"/>
    <cellStyle name="Normal 2 7 2 39 2" xfId="7857" xr:uid="{C42C4A2B-07B5-4437-927D-338B69AAA9B0}"/>
    <cellStyle name="Normal 2 7 2 39 3" xfId="7858" xr:uid="{07566784-C01B-4DBD-A677-A420AEA1B5ED}"/>
    <cellStyle name="Normal 2 7 2 39 4" xfId="7859" xr:uid="{FE458422-B576-4A34-9A26-D0C432D199FE}"/>
    <cellStyle name="Normal 2 7 2 4" xfId="7860" xr:uid="{F466D3E6-767F-46CB-9C62-B6046D7FAFBC}"/>
    <cellStyle name="Normal 2 7 2 4 2" xfId="7861" xr:uid="{A891208C-1AAF-47C6-95CA-D452162CD5FB}"/>
    <cellStyle name="Normal 2 7 2 4 3" xfId="7862" xr:uid="{2FF3BE10-AFD1-44E8-A56C-224953928D24}"/>
    <cellStyle name="Normal 2 7 2 4 4" xfId="7863" xr:uid="{FB90E13A-6738-4653-B77F-1FDCBBC5B828}"/>
    <cellStyle name="Normal 2 7 2 40" xfId="7864" xr:uid="{85527D93-A33B-473B-9836-4D03B33CC12E}"/>
    <cellStyle name="Normal 2 7 2 40 2" xfId="7865" xr:uid="{C2AE6FBD-DE9F-4AE1-80CA-A248102C4842}"/>
    <cellStyle name="Normal 2 7 2 40 3" xfId="7866" xr:uid="{18E2A457-2A82-48CF-BE29-549892579DEA}"/>
    <cellStyle name="Normal 2 7 2 40 4" xfId="7867" xr:uid="{CF3DD673-C49E-4CB9-84B8-EC55C58710CA}"/>
    <cellStyle name="Normal 2 7 2 41" xfId="7868" xr:uid="{3E75EEFB-C496-4599-8196-A409B566B8DA}"/>
    <cellStyle name="Normal 2 7 2 41 2" xfId="7869" xr:uid="{3AC56F79-D546-495A-AE33-1935780802D1}"/>
    <cellStyle name="Normal 2 7 2 41 3" xfId="7870" xr:uid="{7F77081E-6935-4382-A536-909C2BB251D5}"/>
    <cellStyle name="Normal 2 7 2 41 4" xfId="7871" xr:uid="{18F30EE0-4F5A-4404-9A50-579F7EE1499B}"/>
    <cellStyle name="Normal 2 7 2 42" xfId="7872" xr:uid="{4E64E731-FBB6-4BDB-94B0-261294722742}"/>
    <cellStyle name="Normal 2 7 2 42 2" xfId="7873" xr:uid="{E11084C9-6A95-4853-9CA7-7DE1554E431D}"/>
    <cellStyle name="Normal 2 7 2 42 3" xfId="7874" xr:uid="{5BED8E5B-87D0-41BD-962A-BE5A3CBF1EB4}"/>
    <cellStyle name="Normal 2 7 2 42 4" xfId="7875" xr:uid="{CAE1C1A7-E38A-4C04-9596-8C124F7D5120}"/>
    <cellStyle name="Normal 2 7 2 43" xfId="7876" xr:uid="{D9D9A1F4-4F1D-4F18-BDF9-E5B813B2953F}"/>
    <cellStyle name="Normal 2 7 2 43 2" xfId="7877" xr:uid="{4611F8DD-F98E-4F25-915A-2AB19146AD51}"/>
    <cellStyle name="Normal 2 7 2 43 3" xfId="7878" xr:uid="{347C12C1-F639-45B2-BD9B-6CA0CCD6D3ED}"/>
    <cellStyle name="Normal 2 7 2 43 4" xfId="7879" xr:uid="{83B17A1B-B65F-4EB2-B31A-E249FF9DA8D1}"/>
    <cellStyle name="Normal 2 7 2 44" xfId="7880" xr:uid="{51DCBCF8-5E6F-46C0-847B-C700987F7152}"/>
    <cellStyle name="Normal 2 7 2 44 2" xfId="7881" xr:uid="{47A6B9F2-F6F1-4F82-B00F-65EFBBCDF396}"/>
    <cellStyle name="Normal 2 7 2 44 3" xfId="7882" xr:uid="{3F3A04DC-1CD6-4CBD-AEC6-4B76C93B0DC3}"/>
    <cellStyle name="Normal 2 7 2 44 4" xfId="7883" xr:uid="{43EE92E2-CC52-4BE5-A508-B455D9EC13A3}"/>
    <cellStyle name="Normal 2 7 2 45" xfId="7884" xr:uid="{6A8301A7-CEFE-467D-892C-C5E03E99D173}"/>
    <cellStyle name="Normal 2 7 2 45 2" xfId="7885" xr:uid="{3ADB95BA-558D-4F52-9EAD-EFF9A7F4419E}"/>
    <cellStyle name="Normal 2 7 2 45 3" xfId="7886" xr:uid="{B5F48201-02C1-4309-8508-5FE9EE809523}"/>
    <cellStyle name="Normal 2 7 2 45 4" xfId="7887" xr:uid="{12A88DDA-1CD4-4FE3-ACE5-723BEED7F6F1}"/>
    <cellStyle name="Normal 2 7 2 46" xfId="7888" xr:uid="{4279F288-0672-4138-A6C5-CFEBB0ECBF4A}"/>
    <cellStyle name="Normal 2 7 2 46 2" xfId="7889" xr:uid="{3097F472-A734-452A-BFB1-90D31F391A6D}"/>
    <cellStyle name="Normal 2 7 2 46 3" xfId="7890" xr:uid="{F3BA8A80-E543-444B-8161-B7B3D3B1F38F}"/>
    <cellStyle name="Normal 2 7 2 46 4" xfId="7891" xr:uid="{203D1FC6-2567-40B3-A560-A5B398491818}"/>
    <cellStyle name="Normal 2 7 2 47" xfId="7892" xr:uid="{79EB948C-365B-4EC2-9992-B5543408397B}"/>
    <cellStyle name="Normal 2 7 2 47 2" xfId="7893" xr:uid="{9789C25F-7F9D-4F12-990C-30FA992605C0}"/>
    <cellStyle name="Normal 2 7 2 47 3" xfId="7894" xr:uid="{4EE02A83-A974-43B7-832F-8EFF2D305E13}"/>
    <cellStyle name="Normal 2 7 2 47 4" xfId="7895" xr:uid="{297EB2AD-0D5E-4087-9131-5560AC986B81}"/>
    <cellStyle name="Normal 2 7 2 48" xfId="7896" xr:uid="{904266F8-AC65-4B44-8A82-2FC822676D1D}"/>
    <cellStyle name="Normal 2 7 2 48 2" xfId="7897" xr:uid="{ACB291FA-534C-4029-831D-848CB9D5D3B1}"/>
    <cellStyle name="Normal 2 7 2 48 3" xfId="7898" xr:uid="{62E1DC49-6CC1-47BD-8447-1632CD0AEEED}"/>
    <cellStyle name="Normal 2 7 2 48 4" xfId="7899" xr:uid="{FBA91DB4-E846-42A1-A613-65D7271F3182}"/>
    <cellStyle name="Normal 2 7 2 49" xfId="7900" xr:uid="{B133016E-1367-443F-A879-A1EE7249536D}"/>
    <cellStyle name="Normal 2 7 2 49 2" xfId="7901" xr:uid="{FE6FFE62-E6EE-4D23-A6FF-3528EDA4DC64}"/>
    <cellStyle name="Normal 2 7 2 49 3" xfId="7902" xr:uid="{2DDDC32A-2C13-4321-AE24-68599D0D0616}"/>
    <cellStyle name="Normal 2 7 2 49 4" xfId="7903" xr:uid="{D28878AF-7409-428F-83CB-8114378A2C06}"/>
    <cellStyle name="Normal 2 7 2 5" xfId="7904" xr:uid="{B8368689-3C97-4929-B862-969C2F1680F9}"/>
    <cellStyle name="Normal 2 7 2 5 2" xfId="7905" xr:uid="{B3518BDB-5317-4ABA-AFB8-F73ED05A88AA}"/>
    <cellStyle name="Normal 2 7 2 5 3" xfId="7906" xr:uid="{DAE04C35-AFF8-483E-8946-221319DE2E8C}"/>
    <cellStyle name="Normal 2 7 2 5 4" xfId="7907" xr:uid="{9370CB6F-3EBC-45AE-90E6-F4027C9FB893}"/>
    <cellStyle name="Normal 2 7 2 50" xfId="7908" xr:uid="{4CC6E438-40C8-4CE6-9FF7-F51461C62679}"/>
    <cellStyle name="Normal 2 7 2 50 2" xfId="7909" xr:uid="{DC622C1D-2B2B-4EF3-8A42-E03B23DB381D}"/>
    <cellStyle name="Normal 2 7 2 50 3" xfId="7910" xr:uid="{D8763F30-8CFA-4B29-944B-25B5A1661ACF}"/>
    <cellStyle name="Normal 2 7 2 50 4" xfId="7911" xr:uid="{E5966BED-3FCD-45F1-AA41-1D3E7CE53EAF}"/>
    <cellStyle name="Normal 2 7 2 51" xfId="7912" xr:uid="{9DA4F0E0-D18E-4B0F-9120-CDF28EEA0D41}"/>
    <cellStyle name="Normal 2 7 2 51 2" xfId="7913" xr:uid="{685EDEA6-6D74-4099-A4E7-D7466E042712}"/>
    <cellStyle name="Normal 2 7 2 51 3" xfId="7914" xr:uid="{15AA6A70-BFAD-4D27-97BC-8FA9C43460E7}"/>
    <cellStyle name="Normal 2 7 2 51 4" xfId="7915" xr:uid="{6B5B538C-337D-44E4-A8AE-F6EBACA0BF6E}"/>
    <cellStyle name="Normal 2 7 2 52" xfId="7916" xr:uid="{82B42C34-4E8B-4EB5-AC4A-CBB84EB6090E}"/>
    <cellStyle name="Normal 2 7 2 52 2" xfId="7917" xr:uid="{80009960-E8C9-4793-B766-0672A1C0D10E}"/>
    <cellStyle name="Normal 2 7 2 52 3" xfId="7918" xr:uid="{0FF44D24-2FB6-44D6-8189-36ACC898E705}"/>
    <cellStyle name="Normal 2 7 2 52 4" xfId="7919" xr:uid="{AE83C749-6783-41ED-B76B-240FE827738C}"/>
    <cellStyle name="Normal 2 7 2 53" xfId="7920" xr:uid="{D0E351C9-C43A-43F5-8D0E-CF1FC1346E62}"/>
    <cellStyle name="Normal 2 7 2 53 2" xfId="7921" xr:uid="{18F7C2EE-1373-453D-9559-9F811872906F}"/>
    <cellStyle name="Normal 2 7 2 53 3" xfId="7922" xr:uid="{D2090ABF-F9DD-42BA-9DDE-C9E1C500AE11}"/>
    <cellStyle name="Normal 2 7 2 53 4" xfId="7923" xr:uid="{90823D66-D5F4-476C-898A-DE8F3789C14B}"/>
    <cellStyle name="Normal 2 7 2 54" xfId="7924" xr:uid="{C0709A47-7DBB-4CAC-892E-943E2534F6B1}"/>
    <cellStyle name="Normal 2 7 2 54 2" xfId="7925" xr:uid="{A2F446EF-E9F7-4E0A-B00A-EA1D009FE60E}"/>
    <cellStyle name="Normal 2 7 2 54 3" xfId="7926" xr:uid="{C8331133-DC5C-42C9-9424-EFA6B70BEB89}"/>
    <cellStyle name="Normal 2 7 2 54 4" xfId="7927" xr:uid="{AD44B9D2-8805-4990-B9FD-6A57EA6D341B}"/>
    <cellStyle name="Normal 2 7 2 55" xfId="7928" xr:uid="{FA10DD10-EF72-4C43-9CE5-15BBC750C7D4}"/>
    <cellStyle name="Normal 2 7 2 55 2" xfId="7929" xr:uid="{ADD41015-48D1-49E6-B1F4-87997DD9FD4B}"/>
    <cellStyle name="Normal 2 7 2 55 3" xfId="7930" xr:uid="{5B3AC175-E71D-4337-8749-2F01D7AE7544}"/>
    <cellStyle name="Normal 2 7 2 55 4" xfId="7931" xr:uid="{BF910518-076E-41C6-A0AD-9E53D1B316A1}"/>
    <cellStyle name="Normal 2 7 2 56" xfId="7932" xr:uid="{7BB4CDF5-CB3D-4C2F-B350-C30441CE54B7}"/>
    <cellStyle name="Normal 2 7 2 56 2" xfId="7933" xr:uid="{6DAAE88E-0490-489A-826F-E1F8565E7E19}"/>
    <cellStyle name="Normal 2 7 2 56 3" xfId="7934" xr:uid="{C63F5EB9-6306-4352-BE0A-C007CFF56947}"/>
    <cellStyle name="Normal 2 7 2 56 4" xfId="7935" xr:uid="{5B41D71A-737B-49FD-ABDD-101407DD115F}"/>
    <cellStyle name="Normal 2 7 2 57" xfId="7936" xr:uid="{ACF641EF-308B-4825-B9FB-AFD53DCC6243}"/>
    <cellStyle name="Normal 2 7 2 57 2" xfId="7937" xr:uid="{5ACDB8E0-684E-4A32-BCE3-94DD5D257D49}"/>
    <cellStyle name="Normal 2 7 2 57 3" xfId="7938" xr:uid="{57A994BF-96C8-4AF3-BF56-F5CC7421A9AC}"/>
    <cellStyle name="Normal 2 7 2 57 4" xfId="7939" xr:uid="{8CF80D56-179C-432D-A704-6986853F0B48}"/>
    <cellStyle name="Normal 2 7 2 58" xfId="7940" xr:uid="{9729C03C-3038-47F6-9BC9-C64D1DCC5D4B}"/>
    <cellStyle name="Normal 2 7 2 59" xfId="7941" xr:uid="{743BCAB1-E590-4C08-B1AF-8471F166EA22}"/>
    <cellStyle name="Normal 2 7 2 6" xfId="7942" xr:uid="{73DEF4D8-AADD-4DDD-B2D1-99C6D012487C}"/>
    <cellStyle name="Normal 2 7 2 6 2" xfId="7943" xr:uid="{F9849EB7-19D5-4EAA-9B39-5D1472C8E7CB}"/>
    <cellStyle name="Normal 2 7 2 6 3" xfId="7944" xr:uid="{2D159B0B-0EA0-4440-A219-596512A784A5}"/>
    <cellStyle name="Normal 2 7 2 6 4" xfId="7945" xr:uid="{70B838F5-B6EF-4915-BBBD-587DE9ECE5A1}"/>
    <cellStyle name="Normal 2 7 2 60" xfId="7946" xr:uid="{4FAC0D14-60E8-481F-87FF-1B69EF87613F}"/>
    <cellStyle name="Normal 2 7 2 7" xfId="7947" xr:uid="{4583391A-56B7-4FD0-899D-68B881FEF5AB}"/>
    <cellStyle name="Normal 2 7 2 7 2" xfId="7948" xr:uid="{E1C3F8B7-145C-423C-A194-EAB722930919}"/>
    <cellStyle name="Normal 2 7 2 7 3" xfId="7949" xr:uid="{347502F2-844C-4215-8A04-F7FEE20F7B34}"/>
    <cellStyle name="Normal 2 7 2 7 4" xfId="7950" xr:uid="{0198C726-85F1-49BF-9095-76E61B28DE67}"/>
    <cellStyle name="Normal 2 7 2 8" xfId="7951" xr:uid="{65272610-0843-49A5-9F2B-83E98EDC9A01}"/>
    <cellStyle name="Normal 2 7 2 8 2" xfId="7952" xr:uid="{92318433-679E-48BA-ACE8-5059CF3CDC6A}"/>
    <cellStyle name="Normal 2 7 2 8 3" xfId="7953" xr:uid="{0836EFBF-1A3F-499B-A7E8-BC207B49E8C4}"/>
    <cellStyle name="Normal 2 7 2 8 4" xfId="7954" xr:uid="{AF4CE847-973D-4E07-A9A8-C246D5B6A421}"/>
    <cellStyle name="Normal 2 7 2 9" xfId="7955" xr:uid="{2207FE40-D4EF-4255-977E-C046A683A9F0}"/>
    <cellStyle name="Normal 2 7 2 9 2" xfId="7956" xr:uid="{0B295EDD-C7F8-4476-A06D-4975EF9731E7}"/>
    <cellStyle name="Normal 2 7 2 9 3" xfId="7957" xr:uid="{71851E62-4CD4-44A8-9C21-A0A819CC67ED}"/>
    <cellStyle name="Normal 2 7 2 9 4" xfId="7958" xr:uid="{2C50B22F-BF49-4795-BA13-D1860C53D838}"/>
    <cellStyle name="Normal 2 7 20" xfId="7959" xr:uid="{E64F8DB8-EDD0-45C3-8741-6BA7D730F0CE}"/>
    <cellStyle name="Normal 2 7 20 2" xfId="7960" xr:uid="{C70C8A86-F2C9-40F5-A419-CF76316894EF}"/>
    <cellStyle name="Normal 2 7 20 2 2" xfId="7961" xr:uid="{DC32F3D8-B782-44B7-88CB-C100289C2D43}"/>
    <cellStyle name="Normal 2 7 20 2 2 2" xfId="16559" xr:uid="{3BF767C1-B3FD-4E1B-8B89-F645A259B1AE}"/>
    <cellStyle name="Normal 2 7 20 2 3" xfId="7962" xr:uid="{DF345577-ACFD-44C2-B39A-6BA40A5E5086}"/>
    <cellStyle name="Normal 2 7 20 2 3 2" xfId="16560" xr:uid="{FF03A73A-4379-43E1-99E0-A9EB7D203BF2}"/>
    <cellStyle name="Normal 2 7 20 2 4" xfId="16558" xr:uid="{461C9C5C-56E3-469C-ABD7-75B71E99AF96}"/>
    <cellStyle name="Normal 2 7 20 3" xfId="7963" xr:uid="{F3D2BDDD-E3A3-4B6B-94C3-59D9E93BC941}"/>
    <cellStyle name="Normal 2 7 20 3 2" xfId="16561" xr:uid="{B9D7F8C5-EC63-4376-937F-5CF76744FE01}"/>
    <cellStyle name="Normal 2 7 20 4" xfId="7964" xr:uid="{449DB06D-4104-481E-9433-359F5FBE1929}"/>
    <cellStyle name="Normal 2 7 20 4 2" xfId="16562" xr:uid="{01876D79-2736-4D2B-8ADF-6A21CCA60963}"/>
    <cellStyle name="Normal 2 7 20 5" xfId="16557" xr:uid="{5C3D6F5A-D7A0-4A79-A4A4-9D1770710A66}"/>
    <cellStyle name="Normal 2 7 21" xfId="7965" xr:uid="{D6457CB5-0DB0-46D2-B458-FD29CA9B1F52}"/>
    <cellStyle name="Normal 2 7 21 2" xfId="7966" xr:uid="{38D6767E-1E5B-4F98-B109-73373078C95E}"/>
    <cellStyle name="Normal 2 7 21 2 2" xfId="7967" xr:uid="{68A6A5AA-1F70-4B50-BBD0-4E2DD2D85987}"/>
    <cellStyle name="Normal 2 7 21 2 2 2" xfId="16565" xr:uid="{F533A5BB-814F-4953-8403-A2AA35843BC8}"/>
    <cellStyle name="Normal 2 7 21 2 3" xfId="7968" xr:uid="{6C06AA8C-2BE5-434D-BC23-C353577403B8}"/>
    <cellStyle name="Normal 2 7 21 2 3 2" xfId="16566" xr:uid="{4FAF5BA1-1F58-4245-9EA4-261D6BCDD9E8}"/>
    <cellStyle name="Normal 2 7 21 2 4" xfId="16564" xr:uid="{278F76FF-8954-4AB1-A088-A1B4D546FBCC}"/>
    <cellStyle name="Normal 2 7 21 3" xfId="7969" xr:uid="{97D72C58-3042-41F5-AC89-FF43143F5AB5}"/>
    <cellStyle name="Normal 2 7 21 3 2" xfId="16567" xr:uid="{FA7D295C-3D81-4723-989F-3303BF4608B9}"/>
    <cellStyle name="Normal 2 7 21 4" xfId="7970" xr:uid="{46593F44-2875-42FB-B186-F7A27AD1C057}"/>
    <cellStyle name="Normal 2 7 21 4 2" xfId="16568" xr:uid="{9379DD9A-8CF6-43F0-83E8-379546050FE3}"/>
    <cellStyle name="Normal 2 7 21 5" xfId="16563" xr:uid="{07865E0D-AF59-421E-BBB6-54F91A505E49}"/>
    <cellStyle name="Normal 2 7 22" xfId="7971" xr:uid="{05B24701-7026-4917-A87F-829FBB36B5EC}"/>
    <cellStyle name="Normal 2 7 22 2" xfId="7972" xr:uid="{556343BD-9E4F-4252-8C3F-AA84C7F46BF8}"/>
    <cellStyle name="Normal 2 7 22 2 2" xfId="7973" xr:uid="{9BBC0D3A-CAEF-44E4-B8D9-4AAA2D43CF3E}"/>
    <cellStyle name="Normal 2 7 22 2 2 2" xfId="16571" xr:uid="{5F16266E-F482-4615-9507-1CD6BDD22931}"/>
    <cellStyle name="Normal 2 7 22 2 3" xfId="7974" xr:uid="{F773890E-EFED-439D-8C8A-CBA04BBB5D53}"/>
    <cellStyle name="Normal 2 7 22 2 3 2" xfId="16572" xr:uid="{1E583BB9-566E-4C1A-848C-DC8DB1DBC815}"/>
    <cellStyle name="Normal 2 7 22 2 4" xfId="16570" xr:uid="{1ADCA44A-715A-4B6D-B46B-7832E095F173}"/>
    <cellStyle name="Normal 2 7 22 3" xfId="7975" xr:uid="{ED3BCA5B-263C-4319-87A3-C644334C1983}"/>
    <cellStyle name="Normal 2 7 22 3 2" xfId="16573" xr:uid="{2E060F50-9A10-43CF-B7DA-EFB7CE83C00A}"/>
    <cellStyle name="Normal 2 7 22 4" xfId="7976" xr:uid="{54A99B3E-6B6D-43B3-898A-22CDE34C7366}"/>
    <cellStyle name="Normal 2 7 22 4 2" xfId="16574" xr:uid="{6774A893-C35C-4014-9C61-FB8AAF6DE119}"/>
    <cellStyle name="Normal 2 7 22 5" xfId="16569" xr:uid="{E54D186F-9391-437B-8611-6C14A9B2A5DC}"/>
    <cellStyle name="Normal 2 7 23" xfId="7977" xr:uid="{7D7B663B-9675-4CD3-A287-438D079A1A83}"/>
    <cellStyle name="Normal 2 7 23 2" xfId="7978" xr:uid="{7E4D8951-5AD7-429B-9DA9-B32839657F0E}"/>
    <cellStyle name="Normal 2 7 23 2 2" xfId="7979" xr:uid="{8303E091-A66C-4474-B39A-4E0ABC5459D8}"/>
    <cellStyle name="Normal 2 7 23 2 2 2" xfId="16577" xr:uid="{7D23E76B-D3F8-40A7-BC21-5BD4F579268A}"/>
    <cellStyle name="Normal 2 7 23 2 3" xfId="7980" xr:uid="{B474F709-A100-41C9-83C3-29335AB50BE6}"/>
    <cellStyle name="Normal 2 7 23 2 3 2" xfId="16578" xr:uid="{3B2B0151-BBF3-4A23-A612-24593B11EBA4}"/>
    <cellStyle name="Normal 2 7 23 2 4" xfId="16576" xr:uid="{538DAAC1-CA50-4424-B632-AC199E833A5F}"/>
    <cellStyle name="Normal 2 7 23 3" xfId="7981" xr:uid="{D7905235-2C7F-4454-8AE6-787AC6EE7D89}"/>
    <cellStyle name="Normal 2 7 23 3 2" xfId="16579" xr:uid="{1A152288-EA56-4969-B5C1-4460F3827CB0}"/>
    <cellStyle name="Normal 2 7 23 4" xfId="7982" xr:uid="{DF476AA3-8555-44B4-8513-E1DB6AE0B550}"/>
    <cellStyle name="Normal 2 7 23 4 2" xfId="16580" xr:uid="{B04DC083-62AC-413D-A845-E6A55EE38E21}"/>
    <cellStyle name="Normal 2 7 23 5" xfId="16575" xr:uid="{13C0943E-3E24-4312-B0F4-39DFAAC1B13F}"/>
    <cellStyle name="Normal 2 7 24" xfId="7983" xr:uid="{FB489968-A1C7-4B88-A00A-E801D3110727}"/>
    <cellStyle name="Normal 2 7 24 2" xfId="7984" xr:uid="{B795CFE8-D2C2-4196-BA9D-4A7BFE1EEC0E}"/>
    <cellStyle name="Normal 2 7 24 2 2" xfId="7985" xr:uid="{01C38F8F-0FEE-4FBF-AAEA-AAD4A649675F}"/>
    <cellStyle name="Normal 2 7 24 2 2 2" xfId="16583" xr:uid="{8A702815-D2A1-42C4-87D5-746670FB1A2F}"/>
    <cellStyle name="Normal 2 7 24 2 3" xfId="7986" xr:uid="{1688C5D7-3FC1-4A9C-87B2-73A13889E167}"/>
    <cellStyle name="Normal 2 7 24 2 3 2" xfId="16584" xr:uid="{42BF049F-9F30-4CED-B709-748D65F7D965}"/>
    <cellStyle name="Normal 2 7 24 2 4" xfId="16582" xr:uid="{5E7B3AE9-F161-483A-8309-8206A0DDA5B8}"/>
    <cellStyle name="Normal 2 7 24 3" xfId="7987" xr:uid="{48DE157A-C69C-4E93-96FF-FD4AABA49823}"/>
    <cellStyle name="Normal 2 7 24 3 2" xfId="16585" xr:uid="{92127DD6-072A-4C7D-83DF-4ADB00C7B5C4}"/>
    <cellStyle name="Normal 2 7 24 4" xfId="7988" xr:uid="{AAA559CB-03E2-4649-A55C-2E2CEF904FFB}"/>
    <cellStyle name="Normal 2 7 24 4 2" xfId="16586" xr:uid="{4796317D-882F-4E37-ABA7-73DBA2533806}"/>
    <cellStyle name="Normal 2 7 24 5" xfId="16581" xr:uid="{D6CE13E8-4CAB-45B7-AA97-E456F4B86ACA}"/>
    <cellStyle name="Normal 2 7 25" xfId="7989" xr:uid="{15028F04-342F-45A1-8D83-268C1BBDF16A}"/>
    <cellStyle name="Normal 2 7 25 2" xfId="7990" xr:uid="{01B346EA-6571-440A-A890-6F0AD8F2B89C}"/>
    <cellStyle name="Normal 2 7 25 2 2" xfId="7991" xr:uid="{711A4DE6-6C9D-475A-BB53-8B8CD98597AE}"/>
    <cellStyle name="Normal 2 7 25 2 2 2" xfId="16589" xr:uid="{AF71F3BD-2FE5-4074-997B-ED958B10CE99}"/>
    <cellStyle name="Normal 2 7 25 2 3" xfId="7992" xr:uid="{1EDFCFF1-FF6F-486E-BEE0-E7F1FD14B401}"/>
    <cellStyle name="Normal 2 7 25 2 3 2" xfId="16590" xr:uid="{927D773F-9FEA-4E3C-8BCF-4CE9EDED4C1F}"/>
    <cellStyle name="Normal 2 7 25 2 4" xfId="16588" xr:uid="{92319CF5-A965-4A1B-9FF0-74BE0743D3B1}"/>
    <cellStyle name="Normal 2 7 25 3" xfId="7993" xr:uid="{BF8AC585-3FF2-4D3B-8031-02B2F5759C0A}"/>
    <cellStyle name="Normal 2 7 25 3 2" xfId="16591" xr:uid="{0EB99553-1007-49FC-BC94-487443A45804}"/>
    <cellStyle name="Normal 2 7 25 4" xfId="7994" xr:uid="{3F942861-695D-4611-ACF8-B1B9691D615D}"/>
    <cellStyle name="Normal 2 7 25 4 2" xfId="16592" xr:uid="{F5C2564D-93F8-4B62-A97A-DB0580E83236}"/>
    <cellStyle name="Normal 2 7 25 5" xfId="16587" xr:uid="{FC84108B-B2BF-4333-BAA4-2240E2B8AD60}"/>
    <cellStyle name="Normal 2 7 26" xfId="7995" xr:uid="{F5CE2028-DC51-4FF0-BB13-4FBBF1FA36B8}"/>
    <cellStyle name="Normal 2 7 26 2" xfId="7996" xr:uid="{8AC3BCB5-15E6-41A0-B2A6-8A236FEA579F}"/>
    <cellStyle name="Normal 2 7 26 2 2" xfId="7997" xr:uid="{F79CE397-C5CE-49EA-AFB9-B39731A1C1A0}"/>
    <cellStyle name="Normal 2 7 26 2 2 2" xfId="16595" xr:uid="{7FEEC270-ECBE-4B74-B5E9-CF74C6018616}"/>
    <cellStyle name="Normal 2 7 26 2 3" xfId="7998" xr:uid="{C6DF664F-51FA-49BB-A686-8FE45748B45D}"/>
    <cellStyle name="Normal 2 7 26 2 3 2" xfId="16596" xr:uid="{F52AFD4B-0B0F-4E3C-84C9-BACE5B960EF0}"/>
    <cellStyle name="Normal 2 7 26 2 4" xfId="16594" xr:uid="{0F8ACF5F-536A-417B-9180-B46AFB572E5F}"/>
    <cellStyle name="Normal 2 7 26 3" xfId="7999" xr:uid="{E87014FF-2625-4E0D-91C0-C27664B56DD5}"/>
    <cellStyle name="Normal 2 7 26 3 2" xfId="16597" xr:uid="{D0BF42A2-6DC3-4B8D-BCF3-4D7FFF120C7B}"/>
    <cellStyle name="Normal 2 7 26 4" xfId="8000" xr:uid="{F4222CFE-D96D-4EB8-BF11-B93C19124170}"/>
    <cellStyle name="Normal 2 7 26 4 2" xfId="16598" xr:uid="{0BE16A57-FCDD-4FE6-BD40-B7C0907289D6}"/>
    <cellStyle name="Normal 2 7 26 5" xfId="16593" xr:uid="{ECC41231-EDD2-4284-8FA7-D18AC83CD121}"/>
    <cellStyle name="Normal 2 7 27" xfId="8001" xr:uid="{C7504D52-53B0-4D44-A714-C901DAD89F63}"/>
    <cellStyle name="Normal 2 7 27 2" xfId="8002" xr:uid="{07197B80-0600-481F-BB6B-F262D6F757F3}"/>
    <cellStyle name="Normal 2 7 27 2 2" xfId="8003" xr:uid="{34963F9E-2D11-40CE-ABC2-9AA78FF15442}"/>
    <cellStyle name="Normal 2 7 27 2 2 2" xfId="16601" xr:uid="{6B0E3725-75D2-4E2B-ADC6-A7E5758AD6F4}"/>
    <cellStyle name="Normal 2 7 27 2 3" xfId="8004" xr:uid="{F6D20915-1838-46EB-B6AC-9027331658C0}"/>
    <cellStyle name="Normal 2 7 27 2 3 2" xfId="16602" xr:uid="{27328132-84F2-4293-8215-551DBCF05F25}"/>
    <cellStyle name="Normal 2 7 27 2 4" xfId="16600" xr:uid="{D2E0E7AB-6A97-49D8-B6F1-E4C7969DD7E4}"/>
    <cellStyle name="Normal 2 7 27 3" xfId="8005" xr:uid="{E51F350A-79BF-4FD3-B4B2-838111253F84}"/>
    <cellStyle name="Normal 2 7 27 3 2" xfId="16603" xr:uid="{DBC8A0D0-3122-44DA-A09D-4433D08C4CE1}"/>
    <cellStyle name="Normal 2 7 27 4" xfId="8006" xr:uid="{D63A1830-EADA-4FD5-9564-890873C973B9}"/>
    <cellStyle name="Normal 2 7 27 4 2" xfId="16604" xr:uid="{B931A098-F2C6-419E-B255-91F0E84C8002}"/>
    <cellStyle name="Normal 2 7 27 5" xfId="16599" xr:uid="{9D89E43E-4FC5-4D8C-A80E-760ADCC19D51}"/>
    <cellStyle name="Normal 2 7 28" xfId="8007" xr:uid="{131910F0-8AF0-4DCA-BB13-4957E8E4B13C}"/>
    <cellStyle name="Normal 2 7 28 2" xfId="8008" xr:uid="{99DF96F4-00CA-4110-9DA2-68316E44227E}"/>
    <cellStyle name="Normal 2 7 28 2 2" xfId="8009" xr:uid="{6AA0CA20-4366-4CB0-A510-3868DA29DE4C}"/>
    <cellStyle name="Normal 2 7 28 2 2 2" xfId="16607" xr:uid="{3A3D233A-7A83-46E4-A7F6-AB99295631F6}"/>
    <cellStyle name="Normal 2 7 28 2 3" xfId="8010" xr:uid="{D9D004DC-2984-4A59-90CA-89A44F905086}"/>
    <cellStyle name="Normal 2 7 28 2 3 2" xfId="16608" xr:uid="{DD58B507-A2B1-46BD-8586-CEBF2DB0F4C6}"/>
    <cellStyle name="Normal 2 7 28 2 4" xfId="16606" xr:uid="{C8A02526-6CE3-4078-9119-9BC36EC007E9}"/>
    <cellStyle name="Normal 2 7 28 3" xfId="8011" xr:uid="{8F3E3B87-AD36-4015-8A13-369D7553F7E1}"/>
    <cellStyle name="Normal 2 7 28 3 2" xfId="16609" xr:uid="{EB5491B0-EEC7-43DD-9C4D-4C8B62DD5343}"/>
    <cellStyle name="Normal 2 7 28 4" xfId="8012" xr:uid="{F57C5F02-69E0-4BFD-9E7A-1B976E4634FA}"/>
    <cellStyle name="Normal 2 7 28 4 2" xfId="16610" xr:uid="{E6BE28F0-CD7F-4E1A-B78B-E11D4A3FD8D2}"/>
    <cellStyle name="Normal 2 7 28 5" xfId="16605" xr:uid="{1CFC5F68-0B1C-42B8-8DE4-8B90CD6F7116}"/>
    <cellStyle name="Normal 2 7 29" xfId="8013" xr:uid="{8DFCCF9C-BEA1-4E9C-80BD-9384275ED26F}"/>
    <cellStyle name="Normal 2 7 29 2" xfId="8014" xr:uid="{3DE202D4-B6C5-43AE-88E2-BA52875EB5EF}"/>
    <cellStyle name="Normal 2 7 29 2 2" xfId="8015" xr:uid="{36706A84-DE34-4441-B225-CC7CB3BC8890}"/>
    <cellStyle name="Normal 2 7 29 2 2 2" xfId="16613" xr:uid="{AB08B32B-BF65-4F39-8001-E9DDD5DD0809}"/>
    <cellStyle name="Normal 2 7 29 2 3" xfId="8016" xr:uid="{3674D4BB-B703-46F8-9F17-8D427F93FBFC}"/>
    <cellStyle name="Normal 2 7 29 2 3 2" xfId="16614" xr:uid="{13C73DC0-77A8-42C6-AC96-6D431EAAA89A}"/>
    <cellStyle name="Normal 2 7 29 2 4" xfId="16612" xr:uid="{4BFA376A-4C72-4D1F-97F3-EE864BDAEDC6}"/>
    <cellStyle name="Normal 2 7 29 3" xfId="8017" xr:uid="{3476F762-724E-4546-BF29-789CFD853D48}"/>
    <cellStyle name="Normal 2 7 29 3 2" xfId="16615" xr:uid="{F1F5668C-967E-4988-BC1A-3D8A21ADC9AD}"/>
    <cellStyle name="Normal 2 7 29 4" xfId="8018" xr:uid="{2B838CB0-2207-4FBF-A776-D5CEE64B7D50}"/>
    <cellStyle name="Normal 2 7 29 4 2" xfId="16616" xr:uid="{30B5B501-21ED-4AA1-9A4A-70B05CE22EE3}"/>
    <cellStyle name="Normal 2 7 29 5" xfId="16611" xr:uid="{04C41C32-FF15-499A-9287-8726BF2DADA3}"/>
    <cellStyle name="Normal 2 7 3" xfId="8019" xr:uid="{BDD229BF-9A28-45AE-8998-47CD4E17D23E}"/>
    <cellStyle name="Normal 2 7 3 2" xfId="8020" xr:uid="{61A7B13C-7E8E-4C26-9756-9BCE497EE9C2}"/>
    <cellStyle name="Normal 2 7 3 3" xfId="8021" xr:uid="{9AE64575-011D-4F8F-B91D-D375FB8E65AD}"/>
    <cellStyle name="Normal 2 7 3 4" xfId="8022" xr:uid="{6EF65CB6-E011-4CF3-987A-16A125AE87D8}"/>
    <cellStyle name="Normal 2 7 30" xfId="8023" xr:uid="{D09A8619-DF7B-4588-95FB-571BF94F1F94}"/>
    <cellStyle name="Normal 2 7 30 2" xfId="8024" xr:uid="{2A16548E-4C8A-4627-9382-8C912B90B4F6}"/>
    <cellStyle name="Normal 2 7 30 2 2" xfId="8025" xr:uid="{927B71C0-6341-4E34-A486-6189DF21221C}"/>
    <cellStyle name="Normal 2 7 30 2 2 2" xfId="16619" xr:uid="{222CC60B-4E52-40FD-A913-0241A65766D5}"/>
    <cellStyle name="Normal 2 7 30 2 3" xfId="8026" xr:uid="{613BDC60-EFE7-458E-95E1-EE349A85C42C}"/>
    <cellStyle name="Normal 2 7 30 2 3 2" xfId="16620" xr:uid="{2BCCB10F-2680-4BCB-9F7B-B5CE5B3B1847}"/>
    <cellStyle name="Normal 2 7 30 2 4" xfId="16618" xr:uid="{BF98574B-0ED5-4850-BC83-647425AC30AD}"/>
    <cellStyle name="Normal 2 7 30 3" xfId="8027" xr:uid="{0A67E3F1-6A5F-4DC3-9EF0-5A277709D1D0}"/>
    <cellStyle name="Normal 2 7 30 3 2" xfId="16621" xr:uid="{081CE985-6D85-4F98-8608-86AD8FDE0FC3}"/>
    <cellStyle name="Normal 2 7 30 4" xfId="8028" xr:uid="{76615293-2B88-44C3-B78C-5D07344E2F7F}"/>
    <cellStyle name="Normal 2 7 30 4 2" xfId="16622" xr:uid="{8AB60C5B-74B8-458F-B854-9D76472735CE}"/>
    <cellStyle name="Normal 2 7 30 5" xfId="16617" xr:uid="{ECBF462A-D853-4607-BC88-F2311445639E}"/>
    <cellStyle name="Normal 2 7 31" xfId="8029" xr:uid="{2C6CD63F-A4BA-444E-BE4E-251C98A415DE}"/>
    <cellStyle name="Normal 2 7 31 2" xfId="8030" xr:uid="{30D09E6D-173C-4496-B32B-AA13167A0D79}"/>
    <cellStyle name="Normal 2 7 31 2 2" xfId="8031" xr:uid="{68F46F7B-5FA9-4086-B9D8-22F7B67AFD2A}"/>
    <cellStyle name="Normal 2 7 31 2 2 2" xfId="16625" xr:uid="{87CE157B-5D64-45E3-B2C6-6247613F1201}"/>
    <cellStyle name="Normal 2 7 31 2 3" xfId="8032" xr:uid="{40097A0D-D051-49AD-AAA5-C7C4D57666D6}"/>
    <cellStyle name="Normal 2 7 31 2 3 2" xfId="16626" xr:uid="{5B8F68FD-D616-46A4-B7C2-4C4BCF9B15B5}"/>
    <cellStyle name="Normal 2 7 31 2 4" xfId="16624" xr:uid="{5EA64149-BA23-4526-B19A-EF63C03A2014}"/>
    <cellStyle name="Normal 2 7 31 3" xfId="8033" xr:uid="{0F3476F0-F2B1-43FA-BB4E-529EBEB1B1FD}"/>
    <cellStyle name="Normal 2 7 31 3 2" xfId="16627" xr:uid="{B164845A-934E-408D-B034-AFE2E944A346}"/>
    <cellStyle name="Normal 2 7 31 4" xfId="8034" xr:uid="{2CCE5A4A-D31E-497E-8CDF-F6D10E9DFD06}"/>
    <cellStyle name="Normal 2 7 31 4 2" xfId="16628" xr:uid="{55B3929C-4A93-404A-A44A-574A41924951}"/>
    <cellStyle name="Normal 2 7 31 5" xfId="16623" xr:uid="{5042778B-F3B8-4DCA-9E7A-75D7A200841F}"/>
    <cellStyle name="Normal 2 7 32" xfId="8035" xr:uid="{95DE4643-417B-488D-AE21-2E54813F6003}"/>
    <cellStyle name="Normal 2 7 32 2" xfId="8036" xr:uid="{345CB5BC-9202-4C5E-89E7-B25AFBFB8EF6}"/>
    <cellStyle name="Normal 2 7 32 2 2" xfId="8037" xr:uid="{206DB231-9598-4EFB-B756-9F8CA692672C}"/>
    <cellStyle name="Normal 2 7 32 2 2 2" xfId="16631" xr:uid="{9950D303-28B9-4704-89F2-D2909C6AB1D5}"/>
    <cellStyle name="Normal 2 7 32 2 3" xfId="8038" xr:uid="{A6EFC2DA-3169-4EDE-8FD4-96DECB6E8817}"/>
    <cellStyle name="Normal 2 7 32 2 3 2" xfId="16632" xr:uid="{A1CFE967-2436-46C2-8F62-33E781CFEC74}"/>
    <cellStyle name="Normal 2 7 32 2 4" xfId="16630" xr:uid="{FC3CB8F1-E640-427B-BDBE-49EA651EE883}"/>
    <cellStyle name="Normal 2 7 32 3" xfId="8039" xr:uid="{2845BAC0-D8FE-4CE5-AFD2-D82EEA4C93D6}"/>
    <cellStyle name="Normal 2 7 32 3 2" xfId="16633" xr:uid="{752B8060-871B-4173-81B3-D0F52DE67003}"/>
    <cellStyle name="Normal 2 7 32 4" xfId="8040" xr:uid="{6CECE15E-C704-4869-9F95-9E931D4EE5BC}"/>
    <cellStyle name="Normal 2 7 32 4 2" xfId="16634" xr:uid="{9AF37F1A-1174-4E7B-9904-1D4CB82F9D14}"/>
    <cellStyle name="Normal 2 7 32 5" xfId="16629" xr:uid="{1D198685-B293-4754-80E9-81226F91939B}"/>
    <cellStyle name="Normal 2 7 33" xfId="8041" xr:uid="{9F6A165E-FCE2-4BF7-8B4C-CDA862748A04}"/>
    <cellStyle name="Normal 2 7 33 2" xfId="8042" xr:uid="{D3D819AC-A306-43A1-8437-3FC4A9F2DDD5}"/>
    <cellStyle name="Normal 2 7 33 2 2" xfId="8043" xr:uid="{5DE99FE8-AD56-4205-B390-DB6F39B90D37}"/>
    <cellStyle name="Normal 2 7 33 2 2 2" xfId="16637" xr:uid="{0EA7791A-F02A-49BA-AE08-E11EBD5BED0E}"/>
    <cellStyle name="Normal 2 7 33 2 3" xfId="8044" xr:uid="{BEDCF017-DB26-4193-A563-EE755C5F6F7A}"/>
    <cellStyle name="Normal 2 7 33 2 3 2" xfId="16638" xr:uid="{A0D393C7-D732-41A4-8DE1-67B34C6042D2}"/>
    <cellStyle name="Normal 2 7 33 2 4" xfId="16636" xr:uid="{0C7F44B4-E48E-4C5D-8B8B-45AEA18FDAA5}"/>
    <cellStyle name="Normal 2 7 33 3" xfId="8045" xr:uid="{26225F1E-59C2-4485-927B-185952BE5F39}"/>
    <cellStyle name="Normal 2 7 33 3 2" xfId="16639" xr:uid="{09D723C8-3168-49EC-871C-E1084C5FB366}"/>
    <cellStyle name="Normal 2 7 33 4" xfId="8046" xr:uid="{CBFABC55-57D8-435A-9493-E97E353CCBFC}"/>
    <cellStyle name="Normal 2 7 33 4 2" xfId="16640" xr:uid="{1A689B18-3347-4425-B482-D8920C6557D1}"/>
    <cellStyle name="Normal 2 7 33 5" xfId="16635" xr:uid="{8D1A7BEE-38AC-4817-8A89-A2F1738F029B}"/>
    <cellStyle name="Normal 2 7 34" xfId="8047" xr:uid="{56A0B9F3-9E9E-4DD1-8634-274C6D949705}"/>
    <cellStyle name="Normal 2 7 34 2" xfId="8048" xr:uid="{D22FA004-27B1-4A4A-925B-0CB3B7E9C013}"/>
    <cellStyle name="Normal 2 7 34 2 2" xfId="8049" xr:uid="{2494AE29-1CF9-4911-A454-8B43A6F4302A}"/>
    <cellStyle name="Normal 2 7 34 2 2 2" xfId="16643" xr:uid="{D3286AD6-62F4-47D1-ACDC-92A79DC3D479}"/>
    <cellStyle name="Normal 2 7 34 2 3" xfId="8050" xr:uid="{CCAD4271-6DFD-471A-87AD-D5C0F340BA63}"/>
    <cellStyle name="Normal 2 7 34 2 3 2" xfId="16644" xr:uid="{00DE00DF-3EBD-49C8-A447-B1EB6A70C789}"/>
    <cellStyle name="Normal 2 7 34 2 4" xfId="16642" xr:uid="{536867C6-D665-4B46-8C12-19A4FA53C9F5}"/>
    <cellStyle name="Normal 2 7 34 3" xfId="8051" xr:uid="{F78E3657-24AD-4BF8-86E7-8E69065A9938}"/>
    <cellStyle name="Normal 2 7 34 3 2" xfId="16645" xr:uid="{0E8FF6A3-3FF8-45FC-B497-2AA1BFBA0723}"/>
    <cellStyle name="Normal 2 7 34 4" xfId="8052" xr:uid="{A0CEA48B-36C4-4309-BB3B-DFE5CFBFFF13}"/>
    <cellStyle name="Normal 2 7 34 4 2" xfId="16646" xr:uid="{771A7C32-015E-4B31-8EA1-F0A1B1BA478C}"/>
    <cellStyle name="Normal 2 7 34 5" xfId="16641" xr:uid="{6125BD55-0B6D-4200-82B3-2BB2991CCD87}"/>
    <cellStyle name="Normal 2 7 35" xfId="8053" xr:uid="{774D71E2-5F44-4FA3-887A-D792AFF665C4}"/>
    <cellStyle name="Normal 2 7 35 2" xfId="8054" xr:uid="{38338EDA-BAAF-4351-B5BB-4DE0D8F970AC}"/>
    <cellStyle name="Normal 2 7 35 2 2" xfId="8055" xr:uid="{59AEBB3C-A6B6-4D77-A286-3DC85542E6AC}"/>
    <cellStyle name="Normal 2 7 35 2 2 2" xfId="16649" xr:uid="{FC6E1152-3F27-489E-8E63-A43C1509A3E6}"/>
    <cellStyle name="Normal 2 7 35 2 3" xfId="8056" xr:uid="{02F6FD4C-C491-4C75-B1B5-7D4377BF816D}"/>
    <cellStyle name="Normal 2 7 35 2 3 2" xfId="16650" xr:uid="{82787606-75DA-42A9-A706-E95E6755F293}"/>
    <cellStyle name="Normal 2 7 35 2 4" xfId="16648" xr:uid="{8C9AAA3F-F0AD-447A-9B26-84514EB06339}"/>
    <cellStyle name="Normal 2 7 35 3" xfId="8057" xr:uid="{B19F411D-EC7F-4F14-9A0E-C08CF850B588}"/>
    <cellStyle name="Normal 2 7 35 3 2" xfId="16651" xr:uid="{9819A924-A2A1-44A9-857C-4E83A60DD034}"/>
    <cellStyle name="Normal 2 7 35 4" xfId="8058" xr:uid="{D584020F-E83C-400B-AC98-5A6582414B26}"/>
    <cellStyle name="Normal 2 7 35 4 2" xfId="16652" xr:uid="{6B31E63D-1C2E-4119-B46C-4CBEED7C4511}"/>
    <cellStyle name="Normal 2 7 35 5" xfId="16647" xr:uid="{CB58AEAE-9CC8-478A-BF65-CF4DF8309AF7}"/>
    <cellStyle name="Normal 2 7 36" xfId="8059" xr:uid="{356D5BF6-29BF-4CC1-B31A-156BB5F3F052}"/>
    <cellStyle name="Normal 2 7 36 2" xfId="8060" xr:uid="{7468EE94-F726-4D1E-A44A-660EF4097D6D}"/>
    <cellStyle name="Normal 2 7 36 2 2" xfId="8061" xr:uid="{A84DBF6F-9387-4DCF-90B2-147DD70C4A7D}"/>
    <cellStyle name="Normal 2 7 36 2 2 2" xfId="16655" xr:uid="{04F30FE7-E230-4A0A-B808-78FE329725EF}"/>
    <cellStyle name="Normal 2 7 36 2 3" xfId="8062" xr:uid="{D0ECC536-7A59-4771-B394-F801670E1368}"/>
    <cellStyle name="Normal 2 7 36 2 3 2" xfId="16656" xr:uid="{68B30E3E-8ECF-4BCC-9CE0-0411E9344F33}"/>
    <cellStyle name="Normal 2 7 36 2 4" xfId="16654" xr:uid="{8B8B070C-817D-42CC-98D3-64EC5C7AEF67}"/>
    <cellStyle name="Normal 2 7 36 3" xfId="8063" xr:uid="{1025BCDD-FB5F-4FF4-8850-63BA769324B9}"/>
    <cellStyle name="Normal 2 7 36 3 2" xfId="16657" xr:uid="{1AB23BF1-2A59-45D4-84EB-1FB30CD9BB90}"/>
    <cellStyle name="Normal 2 7 36 4" xfId="8064" xr:uid="{2E3DE5B5-6D81-48F9-A469-76076AD5132D}"/>
    <cellStyle name="Normal 2 7 36 4 2" xfId="16658" xr:uid="{DEB1F740-75A3-4599-9F68-FD5DCBBBFB5E}"/>
    <cellStyle name="Normal 2 7 36 5" xfId="16653" xr:uid="{A135B362-720A-4330-A980-6368C00C76A0}"/>
    <cellStyle name="Normal 2 7 37" xfId="8065" xr:uid="{EADCAD67-24A8-4324-8BE6-E048CD7CDE73}"/>
    <cellStyle name="Normal 2 7 37 2" xfId="8066" xr:uid="{70E6B6B6-F61C-436A-B8FB-1357D947E3BF}"/>
    <cellStyle name="Normal 2 7 37 2 2" xfId="8067" xr:uid="{02E35741-2303-435D-8729-E1A14F71CC2F}"/>
    <cellStyle name="Normal 2 7 37 2 2 2" xfId="16661" xr:uid="{62474FDC-BD4A-4002-9575-78B2EAE4DAE1}"/>
    <cellStyle name="Normal 2 7 37 2 3" xfId="8068" xr:uid="{BCF436C6-068B-42BF-991F-F9D058D2A0AC}"/>
    <cellStyle name="Normal 2 7 37 2 3 2" xfId="16662" xr:uid="{E05DBB01-2591-4A78-9ED0-A35908313DF8}"/>
    <cellStyle name="Normal 2 7 37 2 4" xfId="16660" xr:uid="{3AAC9321-D69D-42E5-ABBA-6DA24AE5BD74}"/>
    <cellStyle name="Normal 2 7 37 3" xfId="8069" xr:uid="{08860B1E-D56D-4067-8B07-3444C33A91F1}"/>
    <cellStyle name="Normal 2 7 37 3 2" xfId="16663" xr:uid="{0D3A1D5B-5DEE-41CB-A9F9-1D3CE9F31CD8}"/>
    <cellStyle name="Normal 2 7 37 4" xfId="8070" xr:uid="{6E961146-7376-4212-82E2-B3BD65052FBC}"/>
    <cellStyle name="Normal 2 7 37 4 2" xfId="16664" xr:uid="{5EC31CC3-A8CF-41B3-920A-ED29DC4412F7}"/>
    <cellStyle name="Normal 2 7 37 5" xfId="16659" xr:uid="{DBF4E6DD-7155-4F62-9057-4DBE1D3CEE87}"/>
    <cellStyle name="Normal 2 7 38" xfId="8071" xr:uid="{2D4E1640-259C-4AF7-A825-C0DE94C3CAB5}"/>
    <cellStyle name="Normal 2 7 38 2" xfId="8072" xr:uid="{15965756-7D67-4099-9588-2EEC95DA1085}"/>
    <cellStyle name="Normal 2 7 38 2 2" xfId="8073" xr:uid="{54DAA3ED-6AE5-4FBD-9E97-759F929D9A96}"/>
    <cellStyle name="Normal 2 7 38 2 2 2" xfId="16667" xr:uid="{09322085-F3A3-4839-9714-C9AB83483518}"/>
    <cellStyle name="Normal 2 7 38 2 3" xfId="8074" xr:uid="{EFC597A1-BA40-403D-B477-C72334AB77B5}"/>
    <cellStyle name="Normal 2 7 38 2 3 2" xfId="16668" xr:uid="{CB85ABB2-BF06-4986-A63A-F9C0DAFB1AAC}"/>
    <cellStyle name="Normal 2 7 38 2 4" xfId="16666" xr:uid="{6D06375B-A65F-4F9E-BF59-D870B838132D}"/>
    <cellStyle name="Normal 2 7 38 3" xfId="8075" xr:uid="{236AC16D-7C6A-4D8B-B22B-8BC3A3DD5BA8}"/>
    <cellStyle name="Normal 2 7 38 3 2" xfId="16669" xr:uid="{28ABBFEC-C3E6-4057-A967-3B5ACECEC6C7}"/>
    <cellStyle name="Normal 2 7 38 4" xfId="8076" xr:uid="{A60765EE-B214-45C1-96D0-7C0C5D6C66DB}"/>
    <cellStyle name="Normal 2 7 38 4 2" xfId="16670" xr:uid="{876DEA2D-07CB-4211-90F3-BE356D770EB2}"/>
    <cellStyle name="Normal 2 7 38 5" xfId="16665" xr:uid="{98A9FB59-A3BD-49ED-BF54-1A6ED6DECBB9}"/>
    <cellStyle name="Normal 2 7 39" xfId="8077" xr:uid="{67892708-1C24-455C-AA26-987921EAB58B}"/>
    <cellStyle name="Normal 2 7 39 2" xfId="8078" xr:uid="{7945479C-FE84-4FA9-85D6-EF9E494559DB}"/>
    <cellStyle name="Normal 2 7 39 2 2" xfId="8079" xr:uid="{F3110221-2069-4EF1-B633-B78CAAF4DE67}"/>
    <cellStyle name="Normal 2 7 39 2 2 2" xfId="16673" xr:uid="{58382036-A88C-4D2D-AD89-A6ED8216F13A}"/>
    <cellStyle name="Normal 2 7 39 2 3" xfId="8080" xr:uid="{8ADEFAF8-C515-4654-9C21-AEF3F348F5C1}"/>
    <cellStyle name="Normal 2 7 39 2 3 2" xfId="16674" xr:uid="{C1C137F4-F4F1-4595-855A-635244F684D0}"/>
    <cellStyle name="Normal 2 7 39 2 4" xfId="16672" xr:uid="{9F3AB2DD-5629-42AC-8466-08C6FAAB6A67}"/>
    <cellStyle name="Normal 2 7 39 3" xfId="8081" xr:uid="{A417AA52-6FDB-498C-9ACD-0EA635C54688}"/>
    <cellStyle name="Normal 2 7 39 3 2" xfId="16675" xr:uid="{C4DA201D-0DD6-47F2-A41C-7BB5717E30B0}"/>
    <cellStyle name="Normal 2 7 39 4" xfId="8082" xr:uid="{DBC8F049-35CE-4003-8F24-842C520B69E6}"/>
    <cellStyle name="Normal 2 7 39 4 2" xfId="16676" xr:uid="{C0709F46-7BEE-4CDC-A3B6-3AB23122E293}"/>
    <cellStyle name="Normal 2 7 39 5" xfId="16671" xr:uid="{0D2B689C-49BF-4948-9BB2-247E300A6F8E}"/>
    <cellStyle name="Normal 2 7 4" xfId="8083" xr:uid="{5AA6966D-51D3-4E19-A684-3F6C3251B2D2}"/>
    <cellStyle name="Normal 2 7 4 2" xfId="8084" xr:uid="{B8F1F2BE-3F9D-4166-827F-98B1A096DD19}"/>
    <cellStyle name="Normal 2 7 4 3" xfId="8085" xr:uid="{8C25FC15-76BE-46DB-8FBA-AE7776EDDCF2}"/>
    <cellStyle name="Normal 2 7 4 4" xfId="8086" xr:uid="{99969925-4F67-4B23-ACF0-757BA56AF55A}"/>
    <cellStyle name="Normal 2 7 40" xfId="8087" xr:uid="{73FE895F-5C6A-4DA3-BA30-14E878A54B0F}"/>
    <cellStyle name="Normal 2 7 40 2" xfId="8088" xr:uid="{B52BF950-812E-4A64-8CC3-EAB34BD16F64}"/>
    <cellStyle name="Normal 2 7 40 2 2" xfId="8089" xr:uid="{EA0FECCD-59DF-47CC-BAD3-E5C043BC0A85}"/>
    <cellStyle name="Normal 2 7 40 2 2 2" xfId="16679" xr:uid="{91A23E5D-7E34-4F2F-811A-2CA5D756CC4B}"/>
    <cellStyle name="Normal 2 7 40 2 3" xfId="8090" xr:uid="{19A19422-7F02-446D-8CF4-52CD4BEB18C7}"/>
    <cellStyle name="Normal 2 7 40 2 3 2" xfId="16680" xr:uid="{56719B67-655D-4176-90F8-EB30A969E673}"/>
    <cellStyle name="Normal 2 7 40 2 4" xfId="16678" xr:uid="{F8EE8CD1-F72D-46B6-98D9-C68B21D28ADA}"/>
    <cellStyle name="Normal 2 7 40 3" xfId="8091" xr:uid="{D19050BF-99AB-4C49-A9BA-D68C4BFDD4DF}"/>
    <cellStyle name="Normal 2 7 40 3 2" xfId="16681" xr:uid="{31F07DA8-4176-4120-8FF4-480175DD82FE}"/>
    <cellStyle name="Normal 2 7 40 4" xfId="8092" xr:uid="{05D2257A-29A8-46FD-9EF6-DB1B4EBC182A}"/>
    <cellStyle name="Normal 2 7 40 4 2" xfId="16682" xr:uid="{5906828C-AC73-4C95-ACA7-DB983CC8A1D7}"/>
    <cellStyle name="Normal 2 7 40 5" xfId="16677" xr:uid="{0547FD54-B9E0-418B-BFE2-5F59EDBBED31}"/>
    <cellStyle name="Normal 2 7 41" xfId="8093" xr:uid="{EE317E1A-27B3-414E-A028-8D16B37AEE08}"/>
    <cellStyle name="Normal 2 7 41 2" xfId="8094" xr:uid="{FC437416-1D58-4259-AB48-8F957F84CE5B}"/>
    <cellStyle name="Normal 2 7 41 2 2" xfId="8095" xr:uid="{3BA4E35E-F093-4AE7-A1B0-24FFD4CC6D6E}"/>
    <cellStyle name="Normal 2 7 41 2 2 2" xfId="16685" xr:uid="{430D2E42-70CF-446F-BEA4-07BB2C3D53E7}"/>
    <cellStyle name="Normal 2 7 41 2 3" xfId="8096" xr:uid="{DDF590E6-5E0A-4AE6-8070-066A66BD2432}"/>
    <cellStyle name="Normal 2 7 41 2 3 2" xfId="16686" xr:uid="{BD1C6DD0-DE0D-4BBB-BB1C-52CA65E157BA}"/>
    <cellStyle name="Normal 2 7 41 2 4" xfId="16684" xr:uid="{C5067A73-28AF-461A-B64E-4E7FC18C0C9A}"/>
    <cellStyle name="Normal 2 7 41 3" xfId="8097" xr:uid="{7617C530-FB07-4B59-A96D-27B82A3AF051}"/>
    <cellStyle name="Normal 2 7 41 3 2" xfId="16687" xr:uid="{AEA1296C-88A7-42C7-AD61-9A23C9E95A71}"/>
    <cellStyle name="Normal 2 7 41 4" xfId="8098" xr:uid="{2A4E756C-EF9E-467C-AB1C-B873B1856DB0}"/>
    <cellStyle name="Normal 2 7 41 4 2" xfId="16688" xr:uid="{D6956155-45D7-4806-8104-733468B646DE}"/>
    <cellStyle name="Normal 2 7 41 5" xfId="16683" xr:uid="{B6F4C643-4B07-4778-A3B3-0A002D2056C2}"/>
    <cellStyle name="Normal 2 7 42" xfId="8099" xr:uid="{F3E55426-06B9-4EA0-9006-E8EE029C46BB}"/>
    <cellStyle name="Normal 2 7 42 2" xfId="8100" xr:uid="{E60CAB9F-F95C-4632-9826-37042DADD076}"/>
    <cellStyle name="Normal 2 7 42 2 2" xfId="8101" xr:uid="{7C00F472-A793-486F-BEDD-3D5EA3ED9590}"/>
    <cellStyle name="Normal 2 7 42 2 2 2" xfId="16691" xr:uid="{AA624B88-115A-41AE-89EE-278D37EF0D03}"/>
    <cellStyle name="Normal 2 7 42 2 3" xfId="8102" xr:uid="{2C4FE5C4-A45B-4A3E-8271-3B2954224DA4}"/>
    <cellStyle name="Normal 2 7 42 2 3 2" xfId="16692" xr:uid="{5F81E5A0-AB36-475A-A96F-0AD1A0E194B7}"/>
    <cellStyle name="Normal 2 7 42 2 4" xfId="16690" xr:uid="{57A9CB9B-688E-4516-87C7-8DA62FF8DED9}"/>
    <cellStyle name="Normal 2 7 42 3" xfId="8103" xr:uid="{D15AA079-62AB-4EB1-9918-E45F228DDB23}"/>
    <cellStyle name="Normal 2 7 42 3 2" xfId="16693" xr:uid="{199ABC0B-95A4-4347-8758-AE14DA56CB75}"/>
    <cellStyle name="Normal 2 7 42 4" xfId="8104" xr:uid="{AA2BDF86-6FE5-4BF1-A6A8-4ACC507E0AA1}"/>
    <cellStyle name="Normal 2 7 42 4 2" xfId="16694" xr:uid="{31D4328F-B486-4B0A-822F-2DBB6CA456CD}"/>
    <cellStyle name="Normal 2 7 42 5" xfId="16689" xr:uid="{A1437F6A-B72B-4D25-81FC-0B8AB5CCA098}"/>
    <cellStyle name="Normal 2 7 43" xfId="8105" xr:uid="{1B3981D2-449F-48D7-AA7F-C120F6D61F57}"/>
    <cellStyle name="Normal 2 7 43 2" xfId="8106" xr:uid="{F8214934-EB4F-4DAF-B6C1-B08D65613F93}"/>
    <cellStyle name="Normal 2 7 43 2 2" xfId="8107" xr:uid="{A022E252-F120-4E96-A233-C59AFF3FF4CE}"/>
    <cellStyle name="Normal 2 7 43 2 2 2" xfId="16697" xr:uid="{0D445D46-B926-4A78-AD4D-1C41811D5187}"/>
    <cellStyle name="Normal 2 7 43 2 3" xfId="8108" xr:uid="{75BE031C-7E57-4C9C-8BB1-052502386288}"/>
    <cellStyle name="Normal 2 7 43 2 3 2" xfId="16698" xr:uid="{965A98BB-0181-4FD7-AD72-186AC6736ED3}"/>
    <cellStyle name="Normal 2 7 43 2 4" xfId="16696" xr:uid="{5D840254-912A-4376-A696-92F41DAB6AE7}"/>
    <cellStyle name="Normal 2 7 43 3" xfId="8109" xr:uid="{2FEEE3AB-7A2B-41ED-8691-782E80DA9278}"/>
    <cellStyle name="Normal 2 7 43 3 2" xfId="16699" xr:uid="{A2C55249-4E8F-40DD-ACB7-8AD83A123B52}"/>
    <cellStyle name="Normal 2 7 43 4" xfId="8110" xr:uid="{7FBFB905-C7C0-4106-AB34-0F7492225C9D}"/>
    <cellStyle name="Normal 2 7 43 4 2" xfId="16700" xr:uid="{BFC984E0-E1A3-45A7-AE47-88F399BEBC16}"/>
    <cellStyle name="Normal 2 7 43 5" xfId="16695" xr:uid="{DF59E1B5-E837-4F11-B9A3-7E4B25EDF5BB}"/>
    <cellStyle name="Normal 2 7 44" xfId="8111" xr:uid="{9E8838CF-1890-47B9-94C7-2A57FCD1C351}"/>
    <cellStyle name="Normal 2 7 44 2" xfId="8112" xr:uid="{BF1FB92C-6F83-4599-9845-82824653F2B2}"/>
    <cellStyle name="Normal 2 7 44 2 2" xfId="8113" xr:uid="{5AF58891-B4D6-4351-AB84-868F9BFFEE09}"/>
    <cellStyle name="Normal 2 7 44 2 2 2" xfId="16703" xr:uid="{827E6BC6-9E30-4B35-915A-891A736FD98D}"/>
    <cellStyle name="Normal 2 7 44 2 3" xfId="8114" xr:uid="{ABE83DEC-4BA0-4C01-A15D-FFAA626237B4}"/>
    <cellStyle name="Normal 2 7 44 2 3 2" xfId="16704" xr:uid="{14E54287-4A16-49E4-9F17-5ED36081B641}"/>
    <cellStyle name="Normal 2 7 44 2 4" xfId="16702" xr:uid="{D50804F6-0463-4A58-9BCC-B1E6B43FA238}"/>
    <cellStyle name="Normal 2 7 44 3" xfId="8115" xr:uid="{08371B26-D70B-4FDC-A801-F3AEDFC5A7AE}"/>
    <cellStyle name="Normal 2 7 44 3 2" xfId="16705" xr:uid="{CABAA28D-D2C1-4863-855C-7CEBBCC77C1C}"/>
    <cellStyle name="Normal 2 7 44 4" xfId="8116" xr:uid="{803DFEEA-6AA7-41CD-98E2-7662B56AEE14}"/>
    <cellStyle name="Normal 2 7 44 4 2" xfId="16706" xr:uid="{50089D06-5E5C-4059-AC9A-84FAF71ECB27}"/>
    <cellStyle name="Normal 2 7 44 5" xfId="16701" xr:uid="{C1E59AEE-9260-4A02-8E2A-B5F8AF58AB70}"/>
    <cellStyle name="Normal 2 7 45" xfId="8117" xr:uid="{10C8E185-6EA7-4718-9537-C8E968AE60A3}"/>
    <cellStyle name="Normal 2 7 45 2" xfId="8118" xr:uid="{602585BA-A346-4B92-ACA1-86E63C4A9EB8}"/>
    <cellStyle name="Normal 2 7 45 2 2" xfId="8119" xr:uid="{FC2C8EB6-A333-41BD-9A5C-E6E1FDFAFFDE}"/>
    <cellStyle name="Normal 2 7 45 2 2 2" xfId="16709" xr:uid="{45470944-D29F-474C-9007-1429F3D60013}"/>
    <cellStyle name="Normal 2 7 45 2 3" xfId="8120" xr:uid="{71931758-3474-47DC-AE4D-AE365B4696B8}"/>
    <cellStyle name="Normal 2 7 45 2 3 2" xfId="16710" xr:uid="{92B1D2EE-17AE-44AB-AAF7-1F2E1FD19623}"/>
    <cellStyle name="Normal 2 7 45 2 4" xfId="16708" xr:uid="{034733D2-58DB-4350-A75A-CC5C14D14ED0}"/>
    <cellStyle name="Normal 2 7 45 3" xfId="8121" xr:uid="{93A1679D-8D14-4538-B458-62FA6A947321}"/>
    <cellStyle name="Normal 2 7 45 3 2" xfId="16711" xr:uid="{2EE603F2-EEF6-4A85-9C28-784CC0450768}"/>
    <cellStyle name="Normal 2 7 45 4" xfId="8122" xr:uid="{3C351EA0-ACF7-448B-BF50-746A4B617B3B}"/>
    <cellStyle name="Normal 2 7 45 4 2" xfId="16712" xr:uid="{B4143D4C-2368-473E-80AB-42A1FAF41142}"/>
    <cellStyle name="Normal 2 7 45 5" xfId="16707" xr:uid="{C154DDCC-72A2-4C89-A1B8-B3933D3DF420}"/>
    <cellStyle name="Normal 2 7 46" xfId="8123" xr:uid="{DDB2CDFF-69D4-460E-8679-207A47988995}"/>
    <cellStyle name="Normal 2 7 46 2" xfId="8124" xr:uid="{4C7F2E6B-CBF4-4F61-A379-98A3F1FAF887}"/>
    <cellStyle name="Normal 2 7 46 2 2" xfId="8125" xr:uid="{ECC6A79F-162E-47A9-BD25-8EEED382C460}"/>
    <cellStyle name="Normal 2 7 46 2 2 2" xfId="16715" xr:uid="{FC7AC060-416F-4F51-B146-D74DEF9DADC4}"/>
    <cellStyle name="Normal 2 7 46 2 3" xfId="8126" xr:uid="{BAE9E94D-B03E-4E31-91DF-7F2067101FE8}"/>
    <cellStyle name="Normal 2 7 46 2 3 2" xfId="16716" xr:uid="{3D3A3B60-0DC2-4814-8A64-46E9BC77E101}"/>
    <cellStyle name="Normal 2 7 46 2 4" xfId="16714" xr:uid="{BF9B951C-9DEF-4122-8C9A-5A0D2316A5F1}"/>
    <cellStyle name="Normal 2 7 46 3" xfId="8127" xr:uid="{A35E0F51-6158-4DEA-90B2-034844BEA579}"/>
    <cellStyle name="Normal 2 7 46 3 2" xfId="16717" xr:uid="{59C49E5C-BC2D-4D07-B672-6450016FA3F4}"/>
    <cellStyle name="Normal 2 7 46 4" xfId="8128" xr:uid="{DC776DCD-AA79-4CDD-A40F-ED084752C51A}"/>
    <cellStyle name="Normal 2 7 46 4 2" xfId="16718" xr:uid="{237DEC7B-A443-4B66-BC76-7F5AB249314D}"/>
    <cellStyle name="Normal 2 7 46 5" xfId="16713" xr:uid="{932B4583-F4C1-4319-9228-F3E351EF5619}"/>
    <cellStyle name="Normal 2 7 47" xfId="8129" xr:uid="{48E8EF80-EE86-4C73-AB91-6B9D8C7CAA40}"/>
    <cellStyle name="Normal 2 7 47 2" xfId="8130" xr:uid="{9B2FA02A-7A86-4EFD-9932-8D6972CF3172}"/>
    <cellStyle name="Normal 2 7 47 2 2" xfId="8131" xr:uid="{E9528310-874E-4F1E-8442-17013D132281}"/>
    <cellStyle name="Normal 2 7 47 2 2 2" xfId="16721" xr:uid="{A0B7D332-C10D-462A-80E6-CC7B3BA65652}"/>
    <cellStyle name="Normal 2 7 47 2 3" xfId="8132" xr:uid="{CEC091FD-E906-4C92-8A02-20DCE6034C92}"/>
    <cellStyle name="Normal 2 7 47 2 3 2" xfId="16722" xr:uid="{B4924A2A-02F6-4181-9AD3-1C67C7661ACB}"/>
    <cellStyle name="Normal 2 7 47 2 4" xfId="16720" xr:uid="{E1B4B12E-90E6-4768-A2EB-58D51BEBD9FB}"/>
    <cellStyle name="Normal 2 7 47 3" xfId="8133" xr:uid="{DCC863E3-8658-47BF-A784-C47589ADE2BE}"/>
    <cellStyle name="Normal 2 7 47 3 2" xfId="16723" xr:uid="{436C5AC1-B9B9-48B1-85D5-AD73509E1336}"/>
    <cellStyle name="Normal 2 7 47 4" xfId="8134" xr:uid="{9DAF21F9-8F32-49B5-AB24-92B9BE58AD8F}"/>
    <cellStyle name="Normal 2 7 47 4 2" xfId="16724" xr:uid="{B71CBCBE-0261-4A61-A6AC-F685BD19A700}"/>
    <cellStyle name="Normal 2 7 47 5" xfId="16719" xr:uid="{13F37C34-165C-4AC2-ABB0-8B0EC27ADAC2}"/>
    <cellStyle name="Normal 2 7 48" xfId="8135" xr:uid="{8FABA49C-999F-4E99-B483-6B434A43671C}"/>
    <cellStyle name="Normal 2 7 48 2" xfId="8136" xr:uid="{CADC5E1A-7E63-4D1C-95AB-9920A5CD6AD7}"/>
    <cellStyle name="Normal 2 7 48 2 2" xfId="8137" xr:uid="{1799A680-7940-4879-971B-1F83EEF77F3D}"/>
    <cellStyle name="Normal 2 7 48 2 2 2" xfId="16727" xr:uid="{3F92BB1C-C843-4F92-8ECE-CAB5B807F2EA}"/>
    <cellStyle name="Normal 2 7 48 2 3" xfId="8138" xr:uid="{80CAB799-8B1C-4EC2-8DA2-96BC250AC7F0}"/>
    <cellStyle name="Normal 2 7 48 2 3 2" xfId="16728" xr:uid="{85CD7C54-12FC-4AB3-89E0-7EB08F286383}"/>
    <cellStyle name="Normal 2 7 48 2 4" xfId="16726" xr:uid="{7B2447F9-723D-47C3-B331-C4539C856D41}"/>
    <cellStyle name="Normal 2 7 48 3" xfId="8139" xr:uid="{4746B736-1B12-4958-B92D-2E206A990F9D}"/>
    <cellStyle name="Normal 2 7 48 3 2" xfId="16729" xr:uid="{D2ABAC01-ED61-4D49-857C-D46EB6033730}"/>
    <cellStyle name="Normal 2 7 48 4" xfId="8140" xr:uid="{3EA2EF68-7A20-459E-9B21-90638D07230F}"/>
    <cellStyle name="Normal 2 7 48 4 2" xfId="16730" xr:uid="{B353D331-D11D-4EEC-B125-2126735AAE75}"/>
    <cellStyle name="Normal 2 7 48 5" xfId="16725" xr:uid="{7698270A-0EE0-41FC-9903-F95B3598AF59}"/>
    <cellStyle name="Normal 2 7 49" xfId="8141" xr:uid="{B6472C9B-CA36-42FE-8321-E024838C2F17}"/>
    <cellStyle name="Normal 2 7 49 2" xfId="8142" xr:uid="{BDED53F7-1489-4382-8DD6-0EBFF4F9571B}"/>
    <cellStyle name="Normal 2 7 49 2 2" xfId="8143" xr:uid="{C42AAC48-155C-4D2B-AF66-29DDE71AC756}"/>
    <cellStyle name="Normal 2 7 49 2 2 2" xfId="16733" xr:uid="{989E99FB-4C51-439F-84A6-C54067BB697C}"/>
    <cellStyle name="Normal 2 7 49 2 3" xfId="8144" xr:uid="{3C4118C3-56F9-49CB-B760-5CBEAAC332F2}"/>
    <cellStyle name="Normal 2 7 49 2 3 2" xfId="16734" xr:uid="{58688EA4-0199-417E-8E37-3EEFA65069E8}"/>
    <cellStyle name="Normal 2 7 49 2 4" xfId="16732" xr:uid="{454160F3-C5EE-4B4E-9F76-29FD7595350E}"/>
    <cellStyle name="Normal 2 7 49 3" xfId="8145" xr:uid="{FDE98CD2-A7E7-4885-A68C-656864048651}"/>
    <cellStyle name="Normal 2 7 49 3 2" xfId="16735" xr:uid="{417B8C34-49A2-4075-9C6A-966975CE2ED3}"/>
    <cellStyle name="Normal 2 7 49 4" xfId="8146" xr:uid="{FC652678-D2D5-4E34-80EC-D283227BEC5D}"/>
    <cellStyle name="Normal 2 7 49 4 2" xfId="16736" xr:uid="{94DE6C84-3280-413B-9FED-E73D5F37CBD6}"/>
    <cellStyle name="Normal 2 7 49 5" xfId="16731" xr:uid="{D1427931-3E6E-453A-94C3-5499DEC9F476}"/>
    <cellStyle name="Normal 2 7 5" xfId="8147" xr:uid="{BC787CA0-761D-4756-B366-6FF8B4A54F24}"/>
    <cellStyle name="Normal 2 7 5 2" xfId="8148" xr:uid="{E0F7E4BD-23F4-48D3-B329-7CB3CDCE5A2D}"/>
    <cellStyle name="Normal 2 7 5 3" xfId="8149" xr:uid="{B000A53A-779B-4FAC-AC7C-049891320479}"/>
    <cellStyle name="Normal 2 7 5 4" xfId="8150" xr:uid="{7C19ACE4-374B-4A3C-AF08-C431605FDA00}"/>
    <cellStyle name="Normal 2 7 50" xfId="8151" xr:uid="{58A549D3-91A4-47DF-98D5-A59823D369AC}"/>
    <cellStyle name="Normal 2 7 50 2" xfId="8152" xr:uid="{6F712C8E-8B87-4851-ADC5-2F07E12E01D0}"/>
    <cellStyle name="Normal 2 7 50 2 2" xfId="8153" xr:uid="{F96AE349-B365-4DBF-AAA7-F8390A35F256}"/>
    <cellStyle name="Normal 2 7 50 2 2 2" xfId="16739" xr:uid="{818E775A-31BA-40E5-9BEE-D687E0E75B77}"/>
    <cellStyle name="Normal 2 7 50 2 3" xfId="8154" xr:uid="{D07DD978-302B-41E5-9F2B-93BCB8F74362}"/>
    <cellStyle name="Normal 2 7 50 2 3 2" xfId="16740" xr:uid="{C021F06D-F415-4B7A-9B6E-6F7CE2E388A5}"/>
    <cellStyle name="Normal 2 7 50 2 4" xfId="16738" xr:uid="{1FABC9BF-A592-46C2-B3E5-88CF07F119BA}"/>
    <cellStyle name="Normal 2 7 50 3" xfId="8155" xr:uid="{52527D02-78FC-4B5D-A187-37DEBA6AC9BE}"/>
    <cellStyle name="Normal 2 7 50 3 2" xfId="16741" xr:uid="{81761F50-9F33-4497-8D8E-1922917D6D8F}"/>
    <cellStyle name="Normal 2 7 50 4" xfId="8156" xr:uid="{A82D2F1B-F3F6-4956-BC75-DDC2A86B6FFC}"/>
    <cellStyle name="Normal 2 7 50 4 2" xfId="16742" xr:uid="{CE7C6DB5-FD49-4A60-B0D7-E6D57D7DA1F7}"/>
    <cellStyle name="Normal 2 7 50 5" xfId="16737" xr:uid="{D030E16E-4C1A-4845-874D-04882DF6B1E2}"/>
    <cellStyle name="Normal 2 7 51" xfId="8157" xr:uid="{34A0713A-F89F-4142-9380-BF006D4EBE52}"/>
    <cellStyle name="Normal 2 7 51 2" xfId="8158" xr:uid="{07B0097B-C758-4C59-AF7C-D8BF9A18E8A4}"/>
    <cellStyle name="Normal 2 7 51 2 2" xfId="8159" xr:uid="{322F081C-103B-4AB1-87FA-B9C06F470B1F}"/>
    <cellStyle name="Normal 2 7 51 2 2 2" xfId="16745" xr:uid="{8B97390B-5761-4525-B4CB-098C658AAF18}"/>
    <cellStyle name="Normal 2 7 51 2 3" xfId="8160" xr:uid="{A1823CD9-9430-4710-85C0-DECC44998428}"/>
    <cellStyle name="Normal 2 7 51 2 3 2" xfId="16746" xr:uid="{DF25FA8D-7E73-48E7-993C-D10310CCE9C9}"/>
    <cellStyle name="Normal 2 7 51 2 4" xfId="16744" xr:uid="{FCD25729-6261-47F2-9C57-78837BD71A29}"/>
    <cellStyle name="Normal 2 7 51 3" xfId="8161" xr:uid="{1345577E-4563-48E3-AB5F-B98F1464DB0B}"/>
    <cellStyle name="Normal 2 7 51 3 2" xfId="16747" xr:uid="{5154F297-A69C-418E-B49D-1FC6D6B5BEA3}"/>
    <cellStyle name="Normal 2 7 51 4" xfId="8162" xr:uid="{B75BE926-3BFB-4BE6-B50B-D6D8F970D684}"/>
    <cellStyle name="Normal 2 7 51 4 2" xfId="16748" xr:uid="{4039B661-4228-41A3-A210-6B18F2FF5E83}"/>
    <cellStyle name="Normal 2 7 51 5" xfId="16743" xr:uid="{7445DCA3-5AC6-4480-BA5C-EF4778D23249}"/>
    <cellStyle name="Normal 2 7 52" xfId="8163" xr:uid="{719157EC-88AE-4C21-9D7F-EC6F2917E58A}"/>
    <cellStyle name="Normal 2 7 52 2" xfId="8164" xr:uid="{318F6305-BEA3-478B-AEFF-A309D608A9A7}"/>
    <cellStyle name="Normal 2 7 52 2 2" xfId="8165" xr:uid="{A29798EB-01B4-47FE-A845-6B542DEBDB87}"/>
    <cellStyle name="Normal 2 7 52 2 2 2" xfId="16751" xr:uid="{C50C08D6-445A-412E-AC0E-3B784F8C32BF}"/>
    <cellStyle name="Normal 2 7 52 2 3" xfId="8166" xr:uid="{26285879-DEE1-48FD-92EB-E5F89CDA06C1}"/>
    <cellStyle name="Normal 2 7 52 2 3 2" xfId="16752" xr:uid="{2D103440-C51A-47C6-8A22-A32BE66157EC}"/>
    <cellStyle name="Normal 2 7 52 2 4" xfId="16750" xr:uid="{6F541DC4-67D8-46F9-A326-1FB5E1FD75F5}"/>
    <cellStyle name="Normal 2 7 52 3" xfId="8167" xr:uid="{7C20A913-2AFA-4BA8-B67A-70D02DEED5D0}"/>
    <cellStyle name="Normal 2 7 52 3 2" xfId="16753" xr:uid="{D2EB9AFC-23E5-4312-8392-220E249426FE}"/>
    <cellStyle name="Normal 2 7 52 4" xfId="8168" xr:uid="{1706CB4B-4F6A-4980-931D-AC677229EEA6}"/>
    <cellStyle name="Normal 2 7 52 4 2" xfId="16754" xr:uid="{C66EC083-DC98-41AA-A7FD-9F2909C6A823}"/>
    <cellStyle name="Normal 2 7 52 5" xfId="16749" xr:uid="{FF2D6187-9289-4E9E-A72C-7A324C7FCC01}"/>
    <cellStyle name="Normal 2 7 53" xfId="8169" xr:uid="{D5518179-FFF5-47A8-B885-6F8B1AC7903E}"/>
    <cellStyle name="Normal 2 7 53 2" xfId="8170" xr:uid="{47A6D7D4-58BF-4428-AE33-681D8B98DCD8}"/>
    <cellStyle name="Normal 2 7 53 2 2" xfId="8171" xr:uid="{70AE04B7-0C8E-462D-80DC-177E3FA1AA3D}"/>
    <cellStyle name="Normal 2 7 53 2 2 2" xfId="16757" xr:uid="{7A1B78C0-20DC-45DC-8B60-B80EA9448A01}"/>
    <cellStyle name="Normal 2 7 53 2 3" xfId="8172" xr:uid="{F76980DC-DA2B-48E1-9165-59042436F043}"/>
    <cellStyle name="Normal 2 7 53 2 3 2" xfId="16758" xr:uid="{0E5FF544-69FE-4687-B128-D5CCB69BE1B2}"/>
    <cellStyle name="Normal 2 7 53 2 4" xfId="16756" xr:uid="{1F206904-D3F9-4C7B-91FF-748C63998931}"/>
    <cellStyle name="Normal 2 7 53 3" xfId="8173" xr:uid="{6E0BB77A-E496-43EE-A9A6-4D126CA7CD64}"/>
    <cellStyle name="Normal 2 7 53 3 2" xfId="16759" xr:uid="{6745635D-2149-4BD9-8A5E-4BC11DD69101}"/>
    <cellStyle name="Normal 2 7 53 4" xfId="8174" xr:uid="{66C119D4-9A84-481E-B46D-107AFCE15C51}"/>
    <cellStyle name="Normal 2 7 53 4 2" xfId="16760" xr:uid="{E152C97F-3AD3-4946-A903-F6514AB06247}"/>
    <cellStyle name="Normal 2 7 53 5" xfId="16755" xr:uid="{37AF4DB7-3418-4111-A36A-8D0BB98C898D}"/>
    <cellStyle name="Normal 2 7 54" xfId="8175" xr:uid="{B5D9809C-C228-42C8-B059-5ACC04DAA425}"/>
    <cellStyle name="Normal 2 7 54 2" xfId="8176" xr:uid="{A1BD2035-C053-4D1D-9CB2-83653C35A502}"/>
    <cellStyle name="Normal 2 7 54 2 2" xfId="8177" xr:uid="{800F6A32-1EB9-4E58-BE8A-862315352C2F}"/>
    <cellStyle name="Normal 2 7 54 2 2 2" xfId="16763" xr:uid="{5D5BD26F-67D7-4667-93B8-8A1A9BE04174}"/>
    <cellStyle name="Normal 2 7 54 2 3" xfId="8178" xr:uid="{667DF592-2262-4A49-A908-68D20C806A04}"/>
    <cellStyle name="Normal 2 7 54 2 3 2" xfId="16764" xr:uid="{55FC9472-CB92-44C2-BD31-79FA78F0BA61}"/>
    <cellStyle name="Normal 2 7 54 2 4" xfId="16762" xr:uid="{C68C0494-6622-4A35-8D03-3992CD895F33}"/>
    <cellStyle name="Normal 2 7 54 3" xfId="8179" xr:uid="{B13B0884-2633-48FE-9C44-C9A9C94F1561}"/>
    <cellStyle name="Normal 2 7 54 3 2" xfId="16765" xr:uid="{9E8EE919-04E6-4519-B3F4-CBEF0777777D}"/>
    <cellStyle name="Normal 2 7 54 4" xfId="8180" xr:uid="{99B1F173-C5C3-4058-84C1-2886978EB05C}"/>
    <cellStyle name="Normal 2 7 54 4 2" xfId="16766" xr:uid="{F922681E-C468-47C1-B7D5-9FBEA92730B1}"/>
    <cellStyle name="Normal 2 7 54 5" xfId="16761" xr:uid="{C3EA2F86-D3A8-4E92-B21A-B0A3D0CB3093}"/>
    <cellStyle name="Normal 2 7 55" xfId="8181" xr:uid="{801207B8-159B-49F1-89A3-FB9A046C996A}"/>
    <cellStyle name="Normal 2 7 55 2" xfId="8182" xr:uid="{7926CF02-B868-4EBC-94DA-9A58A6582608}"/>
    <cellStyle name="Normal 2 7 55 2 2" xfId="8183" xr:uid="{B304B426-4792-4C9A-9A3A-E841197BF26B}"/>
    <cellStyle name="Normal 2 7 55 2 2 2" xfId="16769" xr:uid="{875CC128-8340-4810-9584-66F388077012}"/>
    <cellStyle name="Normal 2 7 55 2 3" xfId="8184" xr:uid="{4F159455-04FA-4EE3-A7A7-0B0605B2795F}"/>
    <cellStyle name="Normal 2 7 55 2 3 2" xfId="16770" xr:uid="{ADD1639E-0D5C-4BED-ADAD-617BDA3524AC}"/>
    <cellStyle name="Normal 2 7 55 2 4" xfId="16768" xr:uid="{E49A05A6-5CEE-453D-B698-DA1201223A19}"/>
    <cellStyle name="Normal 2 7 55 3" xfId="8185" xr:uid="{D3C712FD-3121-497C-90C3-FA9BF7E4E461}"/>
    <cellStyle name="Normal 2 7 55 3 2" xfId="16771" xr:uid="{25D20702-A82B-499A-96DC-0502FCEF8CC0}"/>
    <cellStyle name="Normal 2 7 55 4" xfId="8186" xr:uid="{228ABD6C-4D10-48B1-AA0F-B22DBBE4DC43}"/>
    <cellStyle name="Normal 2 7 55 4 2" xfId="16772" xr:uid="{E35226A0-FBDE-471E-9207-33E925FD1690}"/>
    <cellStyle name="Normal 2 7 55 5" xfId="16767" xr:uid="{A50658F7-2A1E-4C97-BBED-4A554C31731D}"/>
    <cellStyle name="Normal 2 7 56" xfId="8187" xr:uid="{C063895E-411D-45FA-95F2-9C49C49B63EC}"/>
    <cellStyle name="Normal 2 7 56 2" xfId="8188" xr:uid="{0A1D211B-C2BD-4B60-B20A-17EA31E69EA5}"/>
    <cellStyle name="Normal 2 7 56 2 2" xfId="8189" xr:uid="{C932F41E-3BEA-4EDB-AE0A-60A2645F6770}"/>
    <cellStyle name="Normal 2 7 56 2 2 2" xfId="16775" xr:uid="{C0036AA0-5A78-42DA-900F-D544AC8E8BC2}"/>
    <cellStyle name="Normal 2 7 56 2 3" xfId="8190" xr:uid="{17D3B02E-EE51-49B2-8409-25443E7511F9}"/>
    <cellStyle name="Normal 2 7 56 2 3 2" xfId="16776" xr:uid="{6D8BDFA6-8C01-4FA3-8151-DEE2DD9BB2A5}"/>
    <cellStyle name="Normal 2 7 56 2 4" xfId="16774" xr:uid="{379EA32D-86CA-401A-AED5-A3371A001097}"/>
    <cellStyle name="Normal 2 7 56 3" xfId="8191" xr:uid="{AAB00AD0-0429-4835-B283-B9EEBA2177CF}"/>
    <cellStyle name="Normal 2 7 56 3 2" xfId="16777" xr:uid="{4C0E790A-FD2E-4169-9DF8-C0A42F0633AF}"/>
    <cellStyle name="Normal 2 7 56 4" xfId="8192" xr:uid="{E57741A3-9B64-469A-81B6-CE299E529BF8}"/>
    <cellStyle name="Normal 2 7 56 4 2" xfId="16778" xr:uid="{FE2FFF75-FB26-49DD-B93B-5954B015CDD9}"/>
    <cellStyle name="Normal 2 7 56 5" xfId="16773" xr:uid="{781B803A-69FE-43CE-A93C-C12C734A55BB}"/>
    <cellStyle name="Normal 2 7 57" xfId="8193" xr:uid="{DA4E8726-18CF-4A14-8817-85802AB19DEF}"/>
    <cellStyle name="Normal 2 7 57 2" xfId="8194" xr:uid="{B2F4A12D-77F6-4863-B258-D79DB47A28A7}"/>
    <cellStyle name="Normal 2 7 57 2 2" xfId="8195" xr:uid="{139AC213-2DFE-47E7-9FA9-526AF7AA63DD}"/>
    <cellStyle name="Normal 2 7 57 2 2 2" xfId="16781" xr:uid="{FCDECAF6-FB05-4F2F-A11A-2DD53FE8E1DF}"/>
    <cellStyle name="Normal 2 7 57 2 3" xfId="8196" xr:uid="{CF8DAF1A-938C-4CB1-92FE-352EC2D533D8}"/>
    <cellStyle name="Normal 2 7 57 2 3 2" xfId="16782" xr:uid="{0C21F318-EBF2-4F62-8675-51C93F7A722C}"/>
    <cellStyle name="Normal 2 7 57 2 4" xfId="16780" xr:uid="{EB38AB9F-E56F-4971-BB23-AF24097CA637}"/>
    <cellStyle name="Normal 2 7 57 3" xfId="8197" xr:uid="{8C165399-F755-4481-9E0D-9A9DAC24B0F2}"/>
    <cellStyle name="Normal 2 7 57 3 2" xfId="16783" xr:uid="{266042E0-AD7F-4D02-B8F3-632CCCFA2F00}"/>
    <cellStyle name="Normal 2 7 57 4" xfId="8198" xr:uid="{125D743C-DDFF-49D1-B9E3-9F853E18D236}"/>
    <cellStyle name="Normal 2 7 57 4 2" xfId="16784" xr:uid="{BA3552F3-C09D-4232-B5FC-AD6D034D2BDC}"/>
    <cellStyle name="Normal 2 7 57 5" xfId="16779" xr:uid="{1B652B5A-535F-45AA-BDB8-0791D9DAB822}"/>
    <cellStyle name="Normal 2 7 58" xfId="8199" xr:uid="{B5EAD8E2-9F07-4C6C-8E65-E76E44663357}"/>
    <cellStyle name="Normal 2 7 58 2" xfId="8200" xr:uid="{6759E818-950F-454B-94EA-96F08854D21F}"/>
    <cellStyle name="Normal 2 7 58 2 2" xfId="8201" xr:uid="{953AD7D1-7049-4D35-AA9A-06A96044A4D7}"/>
    <cellStyle name="Normal 2 7 58 2 2 2" xfId="16787" xr:uid="{7728B1D5-2631-4B0D-BC29-6EB8D2F862F0}"/>
    <cellStyle name="Normal 2 7 58 2 3" xfId="8202" xr:uid="{9DC98F21-BD14-4BB6-BCE3-A3492860B021}"/>
    <cellStyle name="Normal 2 7 58 2 3 2" xfId="16788" xr:uid="{5F80C1E1-FC17-477F-B9D7-1B96C58EEB20}"/>
    <cellStyle name="Normal 2 7 58 2 4" xfId="16786" xr:uid="{3D2F96BA-6239-4524-AE5E-97D80C81525B}"/>
    <cellStyle name="Normal 2 7 58 3" xfId="8203" xr:uid="{6FFA9734-56E7-4E0B-9036-5B2DBEBE71BA}"/>
    <cellStyle name="Normal 2 7 58 3 2" xfId="16789" xr:uid="{E56CA506-F0F9-4873-AA63-D19282FAB7F0}"/>
    <cellStyle name="Normal 2 7 58 4" xfId="8204" xr:uid="{69A38590-A692-44AE-8191-8F97FAE69E87}"/>
    <cellStyle name="Normal 2 7 58 4 2" xfId="16790" xr:uid="{89B7E53C-E3D0-4620-B827-B3ED9E87DCB3}"/>
    <cellStyle name="Normal 2 7 58 5" xfId="16785" xr:uid="{C8962651-828B-49C4-AAA3-6D4EC4512FCA}"/>
    <cellStyle name="Normal 2 7 59" xfId="8205" xr:uid="{2E5A28B2-3ECF-4018-8C7D-5608FD9DEF52}"/>
    <cellStyle name="Normal 2 7 59 2" xfId="8206" xr:uid="{6C70F55F-E866-4761-8D2D-38A66892E452}"/>
    <cellStyle name="Normal 2 7 59 2 2" xfId="8207" xr:uid="{E5D19336-7944-41BD-9B66-981B5B2A0A28}"/>
    <cellStyle name="Normal 2 7 59 2 2 2" xfId="16793" xr:uid="{AB61C9A7-FF07-4FFC-86F0-F6F62F59CC4E}"/>
    <cellStyle name="Normal 2 7 59 2 3" xfId="8208" xr:uid="{53BB4504-03D0-400D-94EF-B663A160E89B}"/>
    <cellStyle name="Normal 2 7 59 2 3 2" xfId="16794" xr:uid="{4E4EDAC0-2F78-4587-9D77-06655B2492CD}"/>
    <cellStyle name="Normal 2 7 59 2 4" xfId="16792" xr:uid="{9A34DFA5-F977-4369-8559-53F42B99596E}"/>
    <cellStyle name="Normal 2 7 59 3" xfId="8209" xr:uid="{9688FDBE-C709-47D9-9767-53ED48654D75}"/>
    <cellStyle name="Normal 2 7 59 3 2" xfId="16795" xr:uid="{6E8E8F85-F1E5-4DA9-BA22-A0FA0F8B4917}"/>
    <cellStyle name="Normal 2 7 59 4" xfId="8210" xr:uid="{D34C1222-A97E-4D2E-BA67-A441E258428D}"/>
    <cellStyle name="Normal 2 7 59 4 2" xfId="16796" xr:uid="{52805F4E-95AF-4F05-A3D1-A8C3F2DE5BD4}"/>
    <cellStyle name="Normal 2 7 59 5" xfId="16791" xr:uid="{CA1A90D1-DEA4-4D14-A822-F5A5EBB0A3E8}"/>
    <cellStyle name="Normal 2 7 6" xfId="8211" xr:uid="{00B028E6-3EE3-46F6-9140-C952190A92A4}"/>
    <cellStyle name="Normal 2 7 6 2" xfId="8212" xr:uid="{2563DF07-AFEC-47CA-82F7-F1B2240F5CE4}"/>
    <cellStyle name="Normal 2 7 6 3" xfId="8213" xr:uid="{1C18E2B6-ADCD-41B5-B314-C2ABE630DEE1}"/>
    <cellStyle name="Normal 2 7 6 4" xfId="8214" xr:uid="{79160FFA-5783-4096-AE35-DA29EDBAAECC}"/>
    <cellStyle name="Normal 2 7 60" xfId="8215" xr:uid="{ECB47DA9-28FC-4AE1-A576-26C33452193B}"/>
    <cellStyle name="Normal 2 7 60 2" xfId="8216" xr:uid="{78035480-84C9-490B-89E8-A429AE795DDA}"/>
    <cellStyle name="Normal 2 7 60 2 2" xfId="8217" xr:uid="{7D766136-EBE5-45DC-AC58-2B4A7F162C01}"/>
    <cellStyle name="Normal 2 7 60 2 2 2" xfId="16799" xr:uid="{01522472-B798-4F17-A91E-E447ACAC5502}"/>
    <cellStyle name="Normal 2 7 60 2 3" xfId="8218" xr:uid="{CAF65C1A-D1E6-4AAF-8232-052CC63B2C7B}"/>
    <cellStyle name="Normal 2 7 60 2 3 2" xfId="16800" xr:uid="{B8063C56-E28A-4A0D-A6F5-BAD4535DF54F}"/>
    <cellStyle name="Normal 2 7 60 2 4" xfId="16798" xr:uid="{8F3EFE23-6EEB-4235-BF41-E36B61119ADB}"/>
    <cellStyle name="Normal 2 7 60 3" xfId="8219" xr:uid="{7D253EBE-283D-4B64-9CAC-11D33B78F8A5}"/>
    <cellStyle name="Normal 2 7 60 3 2" xfId="16801" xr:uid="{8CAEF9CF-394E-4408-8661-905C4B624260}"/>
    <cellStyle name="Normal 2 7 60 4" xfId="8220" xr:uid="{1FDA8D11-3888-4993-B43A-60278AF554B5}"/>
    <cellStyle name="Normal 2 7 60 4 2" xfId="16802" xr:uid="{CFA87741-E2D1-468E-8536-6FD9A105B1F3}"/>
    <cellStyle name="Normal 2 7 60 5" xfId="16797" xr:uid="{93066AA3-0075-428B-8244-6CFF16A8304F}"/>
    <cellStyle name="Normal 2 7 61" xfId="8221" xr:uid="{75F0FE10-2DF1-4714-95AF-9756908D42E1}"/>
    <cellStyle name="Normal 2 7 61 2" xfId="8222" xr:uid="{55D5555E-EBAF-47DC-9B8B-1ED02404601F}"/>
    <cellStyle name="Normal 2 7 61 2 2" xfId="16804" xr:uid="{4E0E32C7-76C2-445D-8289-988479A8C918}"/>
    <cellStyle name="Normal 2 7 61 3" xfId="8223" xr:uid="{7C53B171-B695-46FE-A9E5-E860B125F6DC}"/>
    <cellStyle name="Normal 2 7 61 3 2" xfId="16805" xr:uid="{5D8ECE29-193F-45BA-8C47-193FA6E6226B}"/>
    <cellStyle name="Normal 2 7 61 4" xfId="16803" xr:uid="{6367D0EA-51F5-45ED-B1E8-894B6762919C}"/>
    <cellStyle name="Normal 2 7 62" xfId="8224" xr:uid="{2F4F812B-C0C3-4CBD-BA23-B66D69F1313B}"/>
    <cellStyle name="Normal 2 7 62 2" xfId="16806" xr:uid="{16002A42-F236-4447-B3B2-E1340B43BE0B}"/>
    <cellStyle name="Normal 2 7 63" xfId="8225" xr:uid="{F0E41B9D-D0BF-42EA-9B76-EBF242CB7C84}"/>
    <cellStyle name="Normal 2 7 63 2" xfId="16807" xr:uid="{11FCE803-ECC4-48F5-BF28-5019E06F4ED6}"/>
    <cellStyle name="Normal 2 7 64" xfId="16496" xr:uid="{ACF80A39-8978-4D83-B663-A39482ABEBE5}"/>
    <cellStyle name="Normal 2 7 7" xfId="8226" xr:uid="{E3D876A5-E0C4-4BA8-8961-20E23AD82427}"/>
    <cellStyle name="Normal 2 7 7 2" xfId="8227" xr:uid="{769167CE-0D5B-46AF-AE0A-ED4D602C417A}"/>
    <cellStyle name="Normal 2 7 7 3" xfId="8228" xr:uid="{8F74C1DE-DF31-49EF-9EB8-8AD2744C3F0A}"/>
    <cellStyle name="Normal 2 7 7 4" xfId="8229" xr:uid="{8F799787-4D83-4C99-9ED3-8513B9D011AA}"/>
    <cellStyle name="Normal 2 7 8" xfId="8230" xr:uid="{622940C2-B680-437B-A782-2ADA2DD9B29C}"/>
    <cellStyle name="Normal 2 7 8 2" xfId="8231" xr:uid="{472AC3BB-01BD-43BB-94A4-9670E797C972}"/>
    <cellStyle name="Normal 2 7 8 3" xfId="8232" xr:uid="{459CACFD-6FA9-4469-ACA3-E57791D6AA90}"/>
    <cellStyle name="Normal 2 7 8 4" xfId="8233" xr:uid="{B714FB66-BBF7-4BB0-9E3D-E3C18C1FC24D}"/>
    <cellStyle name="Normal 2 7 9" xfId="8234" xr:uid="{9E486190-878A-4BF4-A00F-072AF71E8913}"/>
    <cellStyle name="Normal 2 7 9 2" xfId="8235" xr:uid="{47C8645E-9CFB-4E74-9C78-F2646539703A}"/>
    <cellStyle name="Normal 2 7 9 3" xfId="8236" xr:uid="{00C04080-824F-4387-8179-AA11396EB962}"/>
    <cellStyle name="Normal 2 7 9 4" xfId="8237" xr:uid="{FD9CF86E-CBDC-4546-9C06-DD39034DF884}"/>
    <cellStyle name="Normal 2 8" xfId="8238" xr:uid="{0785BCEB-4E74-439A-8675-9F3536A13210}"/>
    <cellStyle name="Normal 2 8 10" xfId="8239" xr:uid="{B57B0811-F37D-434A-82DE-951FAD09DBC8}"/>
    <cellStyle name="Normal 2 8 10 2" xfId="8240" xr:uid="{DB54EBA5-5C9D-4FC5-8B5C-C2C7C91B2263}"/>
    <cellStyle name="Normal 2 8 10 2 2" xfId="8241" xr:uid="{9FC674CB-0ECA-4508-83C6-F6ACDD5F7F8A}"/>
    <cellStyle name="Normal 2 8 10 2 2 2" xfId="16811" xr:uid="{71C0822A-0B27-4610-AC1E-E43ADEF63604}"/>
    <cellStyle name="Normal 2 8 10 2 3" xfId="8242" xr:uid="{F03375D0-398F-4A9B-988E-C453B59BE8F1}"/>
    <cellStyle name="Normal 2 8 10 2 3 2" xfId="16812" xr:uid="{DC1B25B4-99D4-4EA0-881C-CFF4CFE280A2}"/>
    <cellStyle name="Normal 2 8 10 2 4" xfId="16810" xr:uid="{85261B8C-6E4E-4697-A9E7-8298277AAD37}"/>
    <cellStyle name="Normal 2 8 10 3" xfId="8243" xr:uid="{DC33DAB8-DBB4-4B8E-9CEF-10A6272526B8}"/>
    <cellStyle name="Normal 2 8 10 3 2" xfId="16813" xr:uid="{C85C658B-11BB-4357-B8E9-F109CA869FB8}"/>
    <cellStyle name="Normal 2 8 10 4" xfId="8244" xr:uid="{55C98E3A-A742-42B6-B8DF-4E9A622FBF14}"/>
    <cellStyle name="Normal 2 8 10 4 2" xfId="16814" xr:uid="{E513831B-3B83-4FA3-B36C-55155634C493}"/>
    <cellStyle name="Normal 2 8 10 5" xfId="16809" xr:uid="{3AD8CF6A-4D75-4C30-8515-26D5D3816E93}"/>
    <cellStyle name="Normal 2 8 11" xfId="8245" xr:uid="{5F2265DC-7064-4D7C-AA1F-34E29AE0D87E}"/>
    <cellStyle name="Normal 2 8 11 2" xfId="8246" xr:uid="{F762E33E-BF64-42B6-ACFB-7F0BFB00F009}"/>
    <cellStyle name="Normal 2 8 11 2 2" xfId="8247" xr:uid="{6DA190DF-A7C4-4B99-9689-09205D2C0E31}"/>
    <cellStyle name="Normal 2 8 11 2 2 2" xfId="16817" xr:uid="{2C5D5CF5-ED53-4CA0-A791-E558003CAF16}"/>
    <cellStyle name="Normal 2 8 11 2 3" xfId="8248" xr:uid="{10779A08-EEDD-437F-A919-070B3B34A209}"/>
    <cellStyle name="Normal 2 8 11 2 3 2" xfId="16818" xr:uid="{A33B2E8A-4B8E-4B6C-AC80-B20905E611D2}"/>
    <cellStyle name="Normal 2 8 11 2 4" xfId="16816" xr:uid="{4A011C55-B778-42A3-BC07-6CF360B1553C}"/>
    <cellStyle name="Normal 2 8 11 3" xfId="8249" xr:uid="{F303D2B7-1EDC-44DC-A980-0F6D2304C04C}"/>
    <cellStyle name="Normal 2 8 11 3 2" xfId="16819" xr:uid="{7E13D281-3CAC-4293-8019-C8D0DBF50367}"/>
    <cellStyle name="Normal 2 8 11 4" xfId="8250" xr:uid="{25068C77-5EDD-43D8-9FD3-0DB5B0FD6CDF}"/>
    <cellStyle name="Normal 2 8 11 4 2" xfId="16820" xr:uid="{3D55A310-70C6-450E-975A-B9B9F59B7B26}"/>
    <cellStyle name="Normal 2 8 11 5" xfId="16815" xr:uid="{81981957-9BAC-42E6-8C49-FCD71635D1AC}"/>
    <cellStyle name="Normal 2 8 12" xfId="8251" xr:uid="{152D4C5D-3081-41E8-A3EC-5EBEA4E6A42D}"/>
    <cellStyle name="Normal 2 8 12 2" xfId="8252" xr:uid="{BA10BC23-DA02-4263-B917-5BC211ABFB40}"/>
    <cellStyle name="Normal 2 8 12 2 2" xfId="8253" xr:uid="{9717BA03-1403-477E-BBD8-B97E29730579}"/>
    <cellStyle name="Normal 2 8 12 2 2 2" xfId="16823" xr:uid="{86FD593D-AB53-4F05-B422-6B3860E31B52}"/>
    <cellStyle name="Normal 2 8 12 2 3" xfId="8254" xr:uid="{A54B61D9-73D6-41C1-A710-22CB71EE06C1}"/>
    <cellStyle name="Normal 2 8 12 2 3 2" xfId="16824" xr:uid="{FABC63C5-E8B5-4E6D-9B69-5D4D5D6F0065}"/>
    <cellStyle name="Normal 2 8 12 2 4" xfId="16822" xr:uid="{FD034F5C-90B4-48DF-A491-F1AFD8B6BD4D}"/>
    <cellStyle name="Normal 2 8 12 3" xfId="8255" xr:uid="{B145E032-2A2E-4423-B1AC-30A3D495A546}"/>
    <cellStyle name="Normal 2 8 12 3 2" xfId="16825" xr:uid="{5B145BC8-EB76-47B6-9EF6-7B79953A1FD6}"/>
    <cellStyle name="Normal 2 8 12 4" xfId="8256" xr:uid="{D1668DA6-DB82-4BF9-BE40-A165C5041135}"/>
    <cellStyle name="Normal 2 8 12 4 2" xfId="16826" xr:uid="{6AEF23A1-48A4-4190-AC91-972D2EB5EFC0}"/>
    <cellStyle name="Normal 2 8 12 5" xfId="16821" xr:uid="{098C603F-17F1-4318-9750-8332BCFD5B4B}"/>
    <cellStyle name="Normal 2 8 13" xfId="8257" xr:uid="{7A678095-E9DC-4BF4-89ED-260E08FE5C50}"/>
    <cellStyle name="Normal 2 8 13 2" xfId="8258" xr:uid="{25CCE1BD-5A35-4D5A-906B-842236922F76}"/>
    <cellStyle name="Normal 2 8 13 2 2" xfId="8259" xr:uid="{59A6FBE4-44FD-40A2-8676-D781AECBD071}"/>
    <cellStyle name="Normal 2 8 13 2 2 2" xfId="16829" xr:uid="{841DAE4F-7B1F-4C7C-AA84-10B1F388BDF1}"/>
    <cellStyle name="Normal 2 8 13 2 3" xfId="8260" xr:uid="{9280AA88-5CF1-4364-9B4F-EB5D01A4D6CF}"/>
    <cellStyle name="Normal 2 8 13 2 3 2" xfId="16830" xr:uid="{38D3C653-A53A-4B97-8D9D-B5DFBE733C32}"/>
    <cellStyle name="Normal 2 8 13 2 4" xfId="16828" xr:uid="{43AF4DA9-F463-463A-89B9-C375DC9D4B21}"/>
    <cellStyle name="Normal 2 8 13 3" xfId="8261" xr:uid="{5B27A418-ED8A-457D-8961-10A6A789A7F3}"/>
    <cellStyle name="Normal 2 8 13 3 2" xfId="16831" xr:uid="{79DEF204-96EF-4378-8F07-45A3BFD93C06}"/>
    <cellStyle name="Normal 2 8 13 4" xfId="8262" xr:uid="{1A7C27C7-D955-4EDB-8500-EFA4A3AC8DE7}"/>
    <cellStyle name="Normal 2 8 13 4 2" xfId="16832" xr:uid="{BAD5EA38-FCC7-49F5-B295-05915582E6D5}"/>
    <cellStyle name="Normal 2 8 13 5" xfId="16827" xr:uid="{438A9FFA-20C0-488C-ADDB-63809982BA87}"/>
    <cellStyle name="Normal 2 8 14" xfId="8263" xr:uid="{3CF146BB-FE55-48A1-8ADC-CCF66CC3946C}"/>
    <cellStyle name="Normal 2 8 14 2" xfId="8264" xr:uid="{E950FD6E-FBB4-4C70-90CA-BDB641BD3DF1}"/>
    <cellStyle name="Normal 2 8 14 2 2" xfId="8265" xr:uid="{42BAB57F-3E52-4E2E-A5BB-C68BD359CAB8}"/>
    <cellStyle name="Normal 2 8 14 2 2 2" xfId="16835" xr:uid="{4D02A157-85F7-4065-ADE8-9A10326F7DAA}"/>
    <cellStyle name="Normal 2 8 14 2 3" xfId="8266" xr:uid="{AA2A92F4-23F7-497F-B109-5B346B4172C5}"/>
    <cellStyle name="Normal 2 8 14 2 3 2" xfId="16836" xr:uid="{9C5A724F-D721-4847-80DB-4828A660DB00}"/>
    <cellStyle name="Normal 2 8 14 2 4" xfId="16834" xr:uid="{923A8FDD-65AF-4FA1-A0EF-EBC88341849C}"/>
    <cellStyle name="Normal 2 8 14 3" xfId="8267" xr:uid="{3461D672-7DE3-4A7E-BBD1-E8AE3C9DF423}"/>
    <cellStyle name="Normal 2 8 14 3 2" xfId="16837" xr:uid="{FB28A22C-0203-42DA-86BB-EBD2A396BD63}"/>
    <cellStyle name="Normal 2 8 14 4" xfId="8268" xr:uid="{680C1FCF-B3F3-4D06-B737-B9D289D5B59E}"/>
    <cellStyle name="Normal 2 8 14 4 2" xfId="16838" xr:uid="{8701B627-E172-4356-A01F-EE00769F0627}"/>
    <cellStyle name="Normal 2 8 14 5" xfId="16833" xr:uid="{349F6A37-703D-4A22-9984-ACED3E708BF6}"/>
    <cellStyle name="Normal 2 8 15" xfId="8269" xr:uid="{7F728117-96FE-46D5-AB9C-E2FBE59A92CE}"/>
    <cellStyle name="Normal 2 8 15 2" xfId="8270" xr:uid="{6022C3CD-7CE0-4918-8555-5BBC06313A5A}"/>
    <cellStyle name="Normal 2 8 15 2 2" xfId="8271" xr:uid="{3653B693-14C5-48B7-9222-D108806D825F}"/>
    <cellStyle name="Normal 2 8 15 2 2 2" xfId="16841" xr:uid="{5342B0C3-8325-47DB-9E75-17A78F4C57AA}"/>
    <cellStyle name="Normal 2 8 15 2 3" xfId="8272" xr:uid="{B9452F90-6DAA-44B4-A897-AF565F1411D7}"/>
    <cellStyle name="Normal 2 8 15 2 3 2" xfId="16842" xr:uid="{2D2B2F38-FBBD-41B8-808D-C86615C44539}"/>
    <cellStyle name="Normal 2 8 15 2 4" xfId="16840" xr:uid="{B17099E5-2D35-42FE-8793-B26668288791}"/>
    <cellStyle name="Normal 2 8 15 3" xfId="8273" xr:uid="{D844D085-65F0-497C-A540-C643888E2C6D}"/>
    <cellStyle name="Normal 2 8 15 3 2" xfId="16843" xr:uid="{72AEEB40-914C-4A31-84D1-9605C0F2DD60}"/>
    <cellStyle name="Normal 2 8 15 4" xfId="8274" xr:uid="{C78B44A9-FA0D-407A-BBEC-C40001D0E81D}"/>
    <cellStyle name="Normal 2 8 15 4 2" xfId="16844" xr:uid="{9326B49F-337E-43DE-A498-DF923372A4D3}"/>
    <cellStyle name="Normal 2 8 15 5" xfId="16839" xr:uid="{D5FA528B-8396-40C7-B004-67B994C17F47}"/>
    <cellStyle name="Normal 2 8 16" xfId="8275" xr:uid="{58EBECFE-F6A6-401B-86EF-4821E7E21608}"/>
    <cellStyle name="Normal 2 8 16 2" xfId="8276" xr:uid="{BD55390D-63BC-4273-937B-71B6A001C29A}"/>
    <cellStyle name="Normal 2 8 16 2 2" xfId="8277" xr:uid="{8073013F-94B3-4ABF-A002-B68199D81349}"/>
    <cellStyle name="Normal 2 8 16 2 2 2" xfId="16847" xr:uid="{1C96A300-1064-4283-AAD6-007D86E2D050}"/>
    <cellStyle name="Normal 2 8 16 2 3" xfId="8278" xr:uid="{269AB1FB-361D-4F4F-A82E-2E72038B85DF}"/>
    <cellStyle name="Normal 2 8 16 2 3 2" xfId="16848" xr:uid="{E1D3D1FE-CE3B-4A87-B8D3-C1EBB31F0A2A}"/>
    <cellStyle name="Normal 2 8 16 2 4" xfId="16846" xr:uid="{F34877AE-A622-4CFA-B0FC-9D9A6757C94A}"/>
    <cellStyle name="Normal 2 8 16 3" xfId="8279" xr:uid="{9164F279-DD82-474D-A5B5-6B21C414118E}"/>
    <cellStyle name="Normal 2 8 16 3 2" xfId="16849" xr:uid="{E36582C6-8792-49A2-AB03-8319549AD5BA}"/>
    <cellStyle name="Normal 2 8 16 4" xfId="8280" xr:uid="{0AD78A8C-E2AC-4DCD-A52E-50BCB67FF3F7}"/>
    <cellStyle name="Normal 2 8 16 4 2" xfId="16850" xr:uid="{212B6026-A04C-4BC6-B4E8-1A50981C6115}"/>
    <cellStyle name="Normal 2 8 16 5" xfId="16845" xr:uid="{22A1DA57-E6D2-480A-9D19-AD783F5EBA21}"/>
    <cellStyle name="Normal 2 8 17" xfId="8281" xr:uid="{8FC04851-23B1-4E13-B966-84647A68470B}"/>
    <cellStyle name="Normal 2 8 17 2" xfId="8282" xr:uid="{5057DE4D-5C64-46FB-AE8B-5EB8A531B78C}"/>
    <cellStyle name="Normal 2 8 17 2 2" xfId="8283" xr:uid="{81067B4D-22BB-4063-857B-6275C79DD81C}"/>
    <cellStyle name="Normal 2 8 17 2 2 2" xfId="16853" xr:uid="{42F827B5-6A02-4030-AE04-1F5AE58CC795}"/>
    <cellStyle name="Normal 2 8 17 2 3" xfId="8284" xr:uid="{670DC369-450F-43DF-8085-89A4519DFE43}"/>
    <cellStyle name="Normal 2 8 17 2 3 2" xfId="16854" xr:uid="{D222289B-11A9-4B5F-AF90-2970C81DAE0C}"/>
    <cellStyle name="Normal 2 8 17 2 4" xfId="16852" xr:uid="{8464C1CF-5816-4C58-BD10-C607B816D694}"/>
    <cellStyle name="Normal 2 8 17 3" xfId="8285" xr:uid="{D92A8212-50D4-44FF-B9ED-6673A59A3CC4}"/>
    <cellStyle name="Normal 2 8 17 3 2" xfId="16855" xr:uid="{08391A6E-D528-45CE-91D7-EB25D31F0F5B}"/>
    <cellStyle name="Normal 2 8 17 4" xfId="8286" xr:uid="{D3378332-974B-46AD-A4EC-1E85E8BDABE1}"/>
    <cellStyle name="Normal 2 8 17 4 2" xfId="16856" xr:uid="{853C69E4-252C-4BF1-A031-3C06066F705D}"/>
    <cellStyle name="Normal 2 8 17 5" xfId="16851" xr:uid="{5A2164DF-BA00-420E-A4A9-F8DEF191596A}"/>
    <cellStyle name="Normal 2 8 18" xfId="8287" xr:uid="{52871618-6BCB-431C-93DC-4BC6EDF64B4A}"/>
    <cellStyle name="Normal 2 8 18 2" xfId="8288" xr:uid="{D51B6A6E-CD7A-46F0-8730-09366484CF02}"/>
    <cellStyle name="Normal 2 8 18 2 2" xfId="8289" xr:uid="{85EDA402-F44E-488B-A15C-230BBF3C15DD}"/>
    <cellStyle name="Normal 2 8 18 2 2 2" xfId="16859" xr:uid="{D6A68FD7-DB5A-440C-A2D4-A46443BC49A2}"/>
    <cellStyle name="Normal 2 8 18 2 3" xfId="8290" xr:uid="{9E1F82C4-6516-4CE8-B2A0-CD285C081EBD}"/>
    <cellStyle name="Normal 2 8 18 2 3 2" xfId="16860" xr:uid="{4212A73F-B899-4965-A370-1393B8C5D294}"/>
    <cellStyle name="Normal 2 8 18 2 4" xfId="16858" xr:uid="{C118CB80-A063-4695-93C9-F39A70599327}"/>
    <cellStyle name="Normal 2 8 18 3" xfId="8291" xr:uid="{BB5C1E68-D47F-4DFE-BB7C-4949D858F788}"/>
    <cellStyle name="Normal 2 8 18 3 2" xfId="16861" xr:uid="{C8CD1C65-B89C-4478-A73B-3CD8B1C41234}"/>
    <cellStyle name="Normal 2 8 18 4" xfId="8292" xr:uid="{D36C4958-AB9D-4944-A02C-3A3E1AB753AD}"/>
    <cellStyle name="Normal 2 8 18 4 2" xfId="16862" xr:uid="{4BD7A83A-1B73-44FF-A6F0-481CECD47642}"/>
    <cellStyle name="Normal 2 8 18 5" xfId="16857" xr:uid="{8AE8D15E-0303-462F-84E7-9205F0EF8AAF}"/>
    <cellStyle name="Normal 2 8 19" xfId="8293" xr:uid="{DB0F6863-1856-4F0D-9797-0202086028B6}"/>
    <cellStyle name="Normal 2 8 19 2" xfId="8294" xr:uid="{471BF163-7E04-4E0F-A047-ECCA91523FF9}"/>
    <cellStyle name="Normal 2 8 19 2 2" xfId="8295" xr:uid="{9AC22262-7A02-4046-B79F-3CB71D75EC41}"/>
    <cellStyle name="Normal 2 8 19 2 2 2" xfId="16865" xr:uid="{629AA1A3-1435-4DA3-8DE0-2C3F40C276D7}"/>
    <cellStyle name="Normal 2 8 19 2 3" xfId="8296" xr:uid="{76643D58-987D-4153-B587-33CB1A4C1B3E}"/>
    <cellStyle name="Normal 2 8 19 2 3 2" xfId="16866" xr:uid="{37A4F537-447E-456D-88EE-F54744984497}"/>
    <cellStyle name="Normal 2 8 19 2 4" xfId="16864" xr:uid="{E7A64235-4AE3-4C25-848D-17D208CE88C3}"/>
    <cellStyle name="Normal 2 8 19 3" xfId="8297" xr:uid="{9648FEE1-179A-4F4C-B0CD-5CA34A696841}"/>
    <cellStyle name="Normal 2 8 19 3 2" xfId="16867" xr:uid="{5343BF21-ED40-4CE9-A305-7C751D73317A}"/>
    <cellStyle name="Normal 2 8 19 4" xfId="8298" xr:uid="{C6179F5C-646E-4CA3-9AA8-8205B1FAD6B0}"/>
    <cellStyle name="Normal 2 8 19 4 2" xfId="16868" xr:uid="{05C46068-0B20-4FED-B453-6CBF34E9F876}"/>
    <cellStyle name="Normal 2 8 19 5" xfId="16863" xr:uid="{12113AB6-E44A-400D-A66F-01820A7E8C30}"/>
    <cellStyle name="Normal 2 8 2" xfId="8299" xr:uid="{48BB52A8-1F37-4504-BDF4-F591275A546F}"/>
    <cellStyle name="Normal 2 8 2 2" xfId="8300" xr:uid="{63FB1AFD-49B6-4182-9689-71360E8D0851}"/>
    <cellStyle name="Normal 2 8 2 2 2" xfId="8301" xr:uid="{2C705FBE-959F-4AC6-BA5F-3B567CC0DD91}"/>
    <cellStyle name="Normal 2 8 2 2 2 2" xfId="16871" xr:uid="{4C3C5DF1-C8E3-4D6D-B2EC-7D06AB3E284E}"/>
    <cellStyle name="Normal 2 8 2 2 3" xfId="8302" xr:uid="{AF80427D-5F51-4BCD-84D9-71BCAF7B1A03}"/>
    <cellStyle name="Normal 2 8 2 2 3 2" xfId="16872" xr:uid="{0B9589C2-418F-402B-8C8B-913976DFAA60}"/>
    <cellStyle name="Normal 2 8 2 2 4" xfId="16870" xr:uid="{9C6D7F5A-5EC2-4E64-B0FF-4712D511C675}"/>
    <cellStyle name="Normal 2 8 2 3" xfId="8303" xr:uid="{17AD03DA-18C3-48E0-B675-453E0F7E962B}"/>
    <cellStyle name="Normal 2 8 2 3 2" xfId="16873" xr:uid="{FC73A3CB-5661-4ABB-BBF8-667C16B64C51}"/>
    <cellStyle name="Normal 2 8 2 4" xfId="8304" xr:uid="{B07BCDAD-0CCE-4F70-BAA4-7A26113185B2}"/>
    <cellStyle name="Normal 2 8 2 4 2" xfId="16874" xr:uid="{21EC4B53-54C9-442E-8686-B7C03184CAE5}"/>
    <cellStyle name="Normal 2 8 2 5" xfId="16869" xr:uid="{9927AA26-C2B1-4C1F-809B-23D287AB8105}"/>
    <cellStyle name="Normal 2 8 20" xfId="8305" xr:uid="{5B1A3928-D0BF-40BF-BBAA-18CAC8964517}"/>
    <cellStyle name="Normal 2 8 20 2" xfId="8306" xr:uid="{3B667FA8-0302-4DF1-A671-2D5F5C512916}"/>
    <cellStyle name="Normal 2 8 20 2 2" xfId="8307" xr:uid="{F88BA7DE-7B46-4A28-8F6B-EC4023FA7B34}"/>
    <cellStyle name="Normal 2 8 20 2 2 2" xfId="16877" xr:uid="{DC146311-34B5-4E0A-8335-0FE4EF9C1E3A}"/>
    <cellStyle name="Normal 2 8 20 2 3" xfId="8308" xr:uid="{6DE67F41-57D8-4E97-820E-BA22E62633F2}"/>
    <cellStyle name="Normal 2 8 20 2 3 2" xfId="16878" xr:uid="{D94BCA65-3506-418A-9277-B41B002F615B}"/>
    <cellStyle name="Normal 2 8 20 2 4" xfId="16876" xr:uid="{EE3EF89B-BBBA-4E18-84CF-D06D33D83155}"/>
    <cellStyle name="Normal 2 8 20 3" xfId="8309" xr:uid="{3E6FD8F8-8B8B-4F31-9DAA-1C767B5204FF}"/>
    <cellStyle name="Normal 2 8 20 3 2" xfId="16879" xr:uid="{00EA08F5-5335-406B-8962-0A20509C49F7}"/>
    <cellStyle name="Normal 2 8 20 4" xfId="8310" xr:uid="{B6F2BE2A-45BB-49B0-A2DB-5C8855E0C3EF}"/>
    <cellStyle name="Normal 2 8 20 4 2" xfId="16880" xr:uid="{4BB0346B-E668-4D00-9714-73B3679AA9CD}"/>
    <cellStyle name="Normal 2 8 20 5" xfId="16875" xr:uid="{CE122EFB-08BD-434F-B781-EDB4DCD96FC0}"/>
    <cellStyle name="Normal 2 8 21" xfId="8311" xr:uid="{BBAE910A-4CA3-4D4D-B86F-D19CAE3EFCDE}"/>
    <cellStyle name="Normal 2 8 21 2" xfId="8312" xr:uid="{25BBF07F-99B3-46D0-B43E-60C0CDE57638}"/>
    <cellStyle name="Normal 2 8 21 2 2" xfId="8313" xr:uid="{569A08D2-E028-4C67-B72D-F2C4F59DBE42}"/>
    <cellStyle name="Normal 2 8 21 2 2 2" xfId="16883" xr:uid="{AAFA878E-247B-4946-B7B4-5A7A5DA0BC2B}"/>
    <cellStyle name="Normal 2 8 21 2 3" xfId="8314" xr:uid="{9533BE2B-CEB2-46DE-A40C-5AF022FF5DE3}"/>
    <cellStyle name="Normal 2 8 21 2 3 2" xfId="16884" xr:uid="{15C1D427-3C94-4D01-ACE3-263F8919330D}"/>
    <cellStyle name="Normal 2 8 21 2 4" xfId="16882" xr:uid="{AE6C8E5F-EB9F-49A1-ADD9-9F7CC6855917}"/>
    <cellStyle name="Normal 2 8 21 3" xfId="8315" xr:uid="{62BB11D0-F181-499F-B176-F28F9BACDEAA}"/>
    <cellStyle name="Normal 2 8 21 3 2" xfId="16885" xr:uid="{E74B7353-9D13-4E78-B603-7F8AFA60D418}"/>
    <cellStyle name="Normal 2 8 21 4" xfId="8316" xr:uid="{D21841B2-1678-4377-BBE4-22918EAC285A}"/>
    <cellStyle name="Normal 2 8 21 4 2" xfId="16886" xr:uid="{D3FC7136-8EAD-44ED-827C-EA7EBF23C7BF}"/>
    <cellStyle name="Normal 2 8 21 5" xfId="16881" xr:uid="{532FE0C6-356C-47A9-A47F-3CBBDDFEDDAB}"/>
    <cellStyle name="Normal 2 8 22" xfId="8317" xr:uid="{E808A44C-DC4B-4281-8394-F2899C49CBF6}"/>
    <cellStyle name="Normal 2 8 22 2" xfId="8318" xr:uid="{66C84881-8767-4A9E-BA63-B5DF63B9A77D}"/>
    <cellStyle name="Normal 2 8 22 2 2" xfId="8319" xr:uid="{086C57E6-FDC1-4D22-A964-3CD5386E1BFC}"/>
    <cellStyle name="Normal 2 8 22 2 2 2" xfId="16889" xr:uid="{66F7D024-182A-40E0-9D97-75D22798EF86}"/>
    <cellStyle name="Normal 2 8 22 2 3" xfId="8320" xr:uid="{90831963-C331-4CF8-8050-466CB196337A}"/>
    <cellStyle name="Normal 2 8 22 2 3 2" xfId="16890" xr:uid="{C1E1398A-DEDF-462C-82D9-D8F970F213B3}"/>
    <cellStyle name="Normal 2 8 22 2 4" xfId="16888" xr:uid="{2F7DC04F-1218-4401-821B-794034E2EEE9}"/>
    <cellStyle name="Normal 2 8 22 3" xfId="8321" xr:uid="{A3ABE664-2699-4E3A-9D01-A33ECD1810E3}"/>
    <cellStyle name="Normal 2 8 22 3 2" xfId="16891" xr:uid="{EC25AFE5-5906-4F98-9B2D-86615A5D547C}"/>
    <cellStyle name="Normal 2 8 22 4" xfId="8322" xr:uid="{580229C7-C442-4CC2-9200-146426730AB6}"/>
    <cellStyle name="Normal 2 8 22 4 2" xfId="16892" xr:uid="{F1B558F0-9E65-4BBF-96BF-88450CA3F967}"/>
    <cellStyle name="Normal 2 8 22 5" xfId="16887" xr:uid="{A6F9BD82-B9D6-4A2A-9BFD-B7E054E2133A}"/>
    <cellStyle name="Normal 2 8 23" xfId="8323" xr:uid="{25D02CC7-9E5D-4128-AC81-72F195BBFCEE}"/>
    <cellStyle name="Normal 2 8 23 2" xfId="8324" xr:uid="{028B2E27-B82E-4306-9078-C9F144950818}"/>
    <cellStyle name="Normal 2 8 23 2 2" xfId="8325" xr:uid="{D21E127B-5F8D-4D45-8397-19AEF15C3F6C}"/>
    <cellStyle name="Normal 2 8 23 2 2 2" xfId="16895" xr:uid="{5D8B327B-920A-406F-A134-041AC9F41D44}"/>
    <cellStyle name="Normal 2 8 23 2 3" xfId="8326" xr:uid="{03C372D1-AB01-44B7-9370-59540346A0E7}"/>
    <cellStyle name="Normal 2 8 23 2 3 2" xfId="16896" xr:uid="{DB7F8496-13EC-46C4-8887-97D88CFE94FC}"/>
    <cellStyle name="Normal 2 8 23 2 4" xfId="16894" xr:uid="{B6629AF4-1665-4023-8B9F-D30427F9B692}"/>
    <cellStyle name="Normal 2 8 23 3" xfId="8327" xr:uid="{72BFEA5F-6AB9-436A-B5B6-152A16258D01}"/>
    <cellStyle name="Normal 2 8 23 3 2" xfId="16897" xr:uid="{A88B13E1-7000-4EF7-AF0E-86475750DA7D}"/>
    <cellStyle name="Normal 2 8 23 4" xfId="8328" xr:uid="{AD9D5549-F095-480F-9CFF-A003CFCA1B15}"/>
    <cellStyle name="Normal 2 8 23 4 2" xfId="16898" xr:uid="{CE033824-1C8D-4D9C-A624-0743F03B66EC}"/>
    <cellStyle name="Normal 2 8 23 5" xfId="16893" xr:uid="{2934811C-7591-4B1F-A85F-5188EFBF94EA}"/>
    <cellStyle name="Normal 2 8 24" xfId="8329" xr:uid="{83A86A32-436C-4542-9B76-281B0FB480EA}"/>
    <cellStyle name="Normal 2 8 24 2" xfId="8330" xr:uid="{0EF4D7FB-1935-473F-BE77-C7694AACDB33}"/>
    <cellStyle name="Normal 2 8 24 2 2" xfId="8331" xr:uid="{5EB61587-D91B-47AF-83C7-EA7E3E58B9D8}"/>
    <cellStyle name="Normal 2 8 24 2 2 2" xfId="16901" xr:uid="{96F4EF9C-6A3B-4970-B335-C2EB7FACE6FF}"/>
    <cellStyle name="Normal 2 8 24 2 3" xfId="8332" xr:uid="{F4328274-5198-4C2E-BCA7-9C23EBD44D73}"/>
    <cellStyle name="Normal 2 8 24 2 3 2" xfId="16902" xr:uid="{3214F8E5-7E46-49DE-A8A1-A9C6284C740B}"/>
    <cellStyle name="Normal 2 8 24 2 4" xfId="16900" xr:uid="{4DFF131D-2BF4-44CE-B671-0E9166CBEEA9}"/>
    <cellStyle name="Normal 2 8 24 3" xfId="8333" xr:uid="{6A43E489-9EC8-4E67-9202-09C5F129D988}"/>
    <cellStyle name="Normal 2 8 24 3 2" xfId="16903" xr:uid="{1C57FE47-6162-4998-A736-4F5757F48E86}"/>
    <cellStyle name="Normal 2 8 24 4" xfId="8334" xr:uid="{275D7875-2095-4CAF-8463-2DDDB1E49065}"/>
    <cellStyle name="Normal 2 8 24 4 2" xfId="16904" xr:uid="{43DD8763-8524-4184-8AAF-99128BE0D6D0}"/>
    <cellStyle name="Normal 2 8 24 5" xfId="16899" xr:uid="{F6FFFC18-4185-4284-B946-EDC2A7B50607}"/>
    <cellStyle name="Normal 2 8 25" xfId="8335" xr:uid="{1FF9ABA9-35B9-4C2B-BD31-D4E3A7C43113}"/>
    <cellStyle name="Normal 2 8 25 2" xfId="8336" xr:uid="{EE39E9C7-664C-49FD-A612-C87386530E83}"/>
    <cellStyle name="Normal 2 8 25 2 2" xfId="8337" xr:uid="{8994BDD5-7157-4734-8244-9E959DCE1A53}"/>
    <cellStyle name="Normal 2 8 25 2 2 2" xfId="16907" xr:uid="{51CD5817-2468-48FD-AB77-5EF04A5C7F2B}"/>
    <cellStyle name="Normal 2 8 25 2 3" xfId="8338" xr:uid="{6986BB19-6A3B-4F8B-8116-4B07A4B45340}"/>
    <cellStyle name="Normal 2 8 25 2 3 2" xfId="16908" xr:uid="{806A13D4-FD72-40C1-87AA-2491EA470371}"/>
    <cellStyle name="Normal 2 8 25 2 4" xfId="16906" xr:uid="{CE77C296-4B10-45D2-A3DB-512103F74D0A}"/>
    <cellStyle name="Normal 2 8 25 3" xfId="8339" xr:uid="{E0AA4EE5-2BA1-4AED-A9AE-DD1C948265C5}"/>
    <cellStyle name="Normal 2 8 25 3 2" xfId="16909" xr:uid="{BF3157D2-6137-486A-AF68-5854913FFFEF}"/>
    <cellStyle name="Normal 2 8 25 4" xfId="8340" xr:uid="{2821A6D7-65D0-43C3-B7BA-54A621227069}"/>
    <cellStyle name="Normal 2 8 25 4 2" xfId="16910" xr:uid="{2C7775AE-474F-4769-8ADC-66B46DA8C25C}"/>
    <cellStyle name="Normal 2 8 25 5" xfId="16905" xr:uid="{B2BFA899-1DE2-47E9-8A46-04164C57060E}"/>
    <cellStyle name="Normal 2 8 26" xfId="8341" xr:uid="{280215F0-56B6-42C6-9393-F87A23A67670}"/>
    <cellStyle name="Normal 2 8 26 2" xfId="8342" xr:uid="{6FC9226A-3F5C-499A-82BF-8C04ACA0746E}"/>
    <cellStyle name="Normal 2 8 26 2 2" xfId="8343" xr:uid="{9EBB9CDE-5629-4613-856F-53992CC9A592}"/>
    <cellStyle name="Normal 2 8 26 2 2 2" xfId="16913" xr:uid="{4115345C-F972-45E7-B167-45EF4F11187B}"/>
    <cellStyle name="Normal 2 8 26 2 3" xfId="8344" xr:uid="{6B30C2F1-1D5D-4DED-BA42-65503B5CFD39}"/>
    <cellStyle name="Normal 2 8 26 2 3 2" xfId="16914" xr:uid="{B982B50A-091E-40A5-AC30-EE35BA036508}"/>
    <cellStyle name="Normal 2 8 26 2 4" xfId="16912" xr:uid="{774B2A28-D28A-40C5-86D0-26FEC41B438F}"/>
    <cellStyle name="Normal 2 8 26 3" xfId="8345" xr:uid="{0840E10E-298A-42C6-BDB9-71B28A146FBE}"/>
    <cellStyle name="Normal 2 8 26 3 2" xfId="16915" xr:uid="{E2304292-883B-4D04-A269-6CDA16F7A70A}"/>
    <cellStyle name="Normal 2 8 26 4" xfId="8346" xr:uid="{928579BE-9EB6-4380-81E8-E012B68C4635}"/>
    <cellStyle name="Normal 2 8 26 4 2" xfId="16916" xr:uid="{373C3B21-4FDE-43EC-A81F-0A832298600F}"/>
    <cellStyle name="Normal 2 8 26 5" xfId="16911" xr:uid="{08F6440B-C83F-4F89-8CDF-EDC092944887}"/>
    <cellStyle name="Normal 2 8 27" xfId="8347" xr:uid="{854E90C0-6E08-43C7-99B4-B4845512D608}"/>
    <cellStyle name="Normal 2 8 27 2" xfId="8348" xr:uid="{2477E910-04C0-462F-8EE8-53739B559943}"/>
    <cellStyle name="Normal 2 8 27 2 2" xfId="8349" xr:uid="{841E5FDC-A681-47AC-B86C-7A3794CA852C}"/>
    <cellStyle name="Normal 2 8 27 2 2 2" xfId="16919" xr:uid="{79EC66AA-9A07-4637-B0A4-637224D57E29}"/>
    <cellStyle name="Normal 2 8 27 2 3" xfId="8350" xr:uid="{2FA1A896-1D9A-437F-BEFD-78F8A6F3541A}"/>
    <cellStyle name="Normal 2 8 27 2 3 2" xfId="16920" xr:uid="{302DFDD0-26C7-4973-8181-FC612CECBB0A}"/>
    <cellStyle name="Normal 2 8 27 2 4" xfId="16918" xr:uid="{2659A060-5C5F-43CC-AD4C-62A2E59030F9}"/>
    <cellStyle name="Normal 2 8 27 3" xfId="8351" xr:uid="{EF796631-ED54-4E45-9CEA-3E4F2A6071BF}"/>
    <cellStyle name="Normal 2 8 27 3 2" xfId="16921" xr:uid="{EBF63CB2-CD95-461A-B5B9-D86E2ECBA5F9}"/>
    <cellStyle name="Normal 2 8 27 4" xfId="8352" xr:uid="{B8A5E047-5FA9-4232-AAAB-85A0CE27351C}"/>
    <cellStyle name="Normal 2 8 27 4 2" xfId="16922" xr:uid="{A05C9E44-3F19-4986-91F7-C586318979BC}"/>
    <cellStyle name="Normal 2 8 27 5" xfId="16917" xr:uid="{549E7ED3-AF2A-4FD6-9621-66D221F3858E}"/>
    <cellStyle name="Normal 2 8 28" xfId="8353" xr:uid="{CCDA1229-8885-43F8-B4BD-EBE7BF8CAD7F}"/>
    <cellStyle name="Normal 2 8 28 2" xfId="8354" xr:uid="{7A622BC1-A6B6-46F4-ACBB-E94034A22E65}"/>
    <cellStyle name="Normal 2 8 28 2 2" xfId="8355" xr:uid="{725626DE-6AA7-4253-A334-06460D0AF5D6}"/>
    <cellStyle name="Normal 2 8 28 2 2 2" xfId="16925" xr:uid="{BF402621-0207-4C0F-97DA-EC0A299BF6C2}"/>
    <cellStyle name="Normal 2 8 28 2 3" xfId="8356" xr:uid="{1352C60C-AA31-4112-891A-A61C19D1A38A}"/>
    <cellStyle name="Normal 2 8 28 2 3 2" xfId="16926" xr:uid="{E71A1138-B804-45EA-BE66-F9EAC9E25F34}"/>
    <cellStyle name="Normal 2 8 28 2 4" xfId="16924" xr:uid="{5C84EB80-360D-470B-94F5-DEEA9E0B44CC}"/>
    <cellStyle name="Normal 2 8 28 3" xfId="8357" xr:uid="{115F03D6-40DC-4CB6-BDF0-A4532E9628DF}"/>
    <cellStyle name="Normal 2 8 28 3 2" xfId="16927" xr:uid="{E518CE41-4917-4C01-9898-4E6379A6D339}"/>
    <cellStyle name="Normal 2 8 28 4" xfId="8358" xr:uid="{6B27C6A9-C494-4AA0-BCD4-4EEBB618F5D4}"/>
    <cellStyle name="Normal 2 8 28 4 2" xfId="16928" xr:uid="{7C818AB0-EF93-4ED2-A806-A045F0E870A6}"/>
    <cellStyle name="Normal 2 8 28 5" xfId="16923" xr:uid="{7B3FFDC8-A6D4-49C7-80C7-A64EBD0BD75E}"/>
    <cellStyle name="Normal 2 8 29" xfId="8359" xr:uid="{C99EA09B-1626-47D6-9DF2-E948A5331CD3}"/>
    <cellStyle name="Normal 2 8 29 2" xfId="8360" xr:uid="{3352FD2C-2E05-4DBF-9007-C8C265711F18}"/>
    <cellStyle name="Normal 2 8 29 2 2" xfId="8361" xr:uid="{36990A70-F24C-45AC-BA3F-5AEED335D381}"/>
    <cellStyle name="Normal 2 8 29 2 2 2" xfId="16931" xr:uid="{B49F3178-6476-40A8-AC22-056F895D5406}"/>
    <cellStyle name="Normal 2 8 29 2 3" xfId="8362" xr:uid="{6571D4B8-C0B8-4FC7-9CD6-42A3DEA37A70}"/>
    <cellStyle name="Normal 2 8 29 2 3 2" xfId="16932" xr:uid="{B33A1DDC-4552-468E-AF33-C62E207DFBD5}"/>
    <cellStyle name="Normal 2 8 29 2 4" xfId="16930" xr:uid="{796F3F6A-F46E-45FA-A1B3-1DD0B11F245B}"/>
    <cellStyle name="Normal 2 8 29 3" xfId="8363" xr:uid="{F1F79580-05AD-41D4-AE53-B7E3561F4D35}"/>
    <cellStyle name="Normal 2 8 29 3 2" xfId="16933" xr:uid="{67CD02BE-E3AF-4B4C-977F-9BCC52E6F89B}"/>
    <cellStyle name="Normal 2 8 29 4" xfId="8364" xr:uid="{C6A5C691-F173-49CE-A70B-0FA088C0E586}"/>
    <cellStyle name="Normal 2 8 29 4 2" xfId="16934" xr:uid="{406B81A0-D526-4402-AD02-15D13A5A4A18}"/>
    <cellStyle name="Normal 2 8 29 5" xfId="16929" xr:uid="{5203C319-4290-43BD-A7D6-E5D6B2D7F160}"/>
    <cellStyle name="Normal 2 8 3" xfId="8365" xr:uid="{D210FD2D-C765-43C5-8F5F-FD0FE7E32685}"/>
    <cellStyle name="Normal 2 8 3 2" xfId="8366" xr:uid="{339BD324-87A8-4DEC-B390-325D5B85D027}"/>
    <cellStyle name="Normal 2 8 3 2 2" xfId="8367" xr:uid="{63AA3183-DFFE-459A-A371-3DED52670C92}"/>
    <cellStyle name="Normal 2 8 3 2 2 2" xfId="16937" xr:uid="{99435D76-459F-4E28-844E-A8E32C567432}"/>
    <cellStyle name="Normal 2 8 3 2 3" xfId="8368" xr:uid="{B4E3394E-0798-4755-BF05-FDAF4EFFB7C2}"/>
    <cellStyle name="Normal 2 8 3 2 3 2" xfId="16938" xr:uid="{B0ACA234-6A9D-4260-9DB0-1C2043E1BD94}"/>
    <cellStyle name="Normal 2 8 3 2 4" xfId="16936" xr:uid="{EAFFCD4B-C2A6-4785-970D-47AE6800CCA8}"/>
    <cellStyle name="Normal 2 8 3 3" xfId="8369" xr:uid="{ED922605-DA57-4198-84A1-5462F5018B6F}"/>
    <cellStyle name="Normal 2 8 3 3 2" xfId="16939" xr:uid="{CF4E4266-3851-4A97-AF03-F7B9BF2E7F1E}"/>
    <cellStyle name="Normal 2 8 3 4" xfId="8370" xr:uid="{3B5696BF-953C-4B5C-9675-984520AC06BD}"/>
    <cellStyle name="Normal 2 8 3 4 2" xfId="16940" xr:uid="{0BCDED2F-A68B-4685-8EC5-B6ACE677D3E0}"/>
    <cellStyle name="Normal 2 8 3 5" xfId="16935" xr:uid="{96F84339-6F18-4533-BAE3-271B64DA4A60}"/>
    <cellStyle name="Normal 2 8 30" xfId="8371" xr:uid="{5A55789B-E9A2-4FB1-9878-AA825737A23D}"/>
    <cellStyle name="Normal 2 8 30 2" xfId="8372" xr:uid="{CD89F307-89A0-4527-A070-3141125DA052}"/>
    <cellStyle name="Normal 2 8 30 2 2" xfId="8373" xr:uid="{3D4D74D2-5684-4696-9D8F-35EC8D13C5B2}"/>
    <cellStyle name="Normal 2 8 30 2 2 2" xfId="16943" xr:uid="{582ABCE2-F9EF-4970-BE41-4BAC7FBBBD4B}"/>
    <cellStyle name="Normal 2 8 30 2 3" xfId="8374" xr:uid="{05430F1E-901D-4F83-94C9-98E2D7168B29}"/>
    <cellStyle name="Normal 2 8 30 2 3 2" xfId="16944" xr:uid="{94ECCB0B-E8DF-44CD-ACC8-FEF1ABBE04AA}"/>
    <cellStyle name="Normal 2 8 30 2 4" xfId="16942" xr:uid="{1DC3DE99-8B8A-4166-A672-1BF8AC577FD1}"/>
    <cellStyle name="Normal 2 8 30 3" xfId="8375" xr:uid="{3316E692-B31B-4A53-97DE-807AE7F92CD2}"/>
    <cellStyle name="Normal 2 8 30 3 2" xfId="16945" xr:uid="{6458695E-915A-4FCB-9CD1-9753F3278E61}"/>
    <cellStyle name="Normal 2 8 30 4" xfId="8376" xr:uid="{CD438D21-2EF7-4C3B-B523-90F08499A409}"/>
    <cellStyle name="Normal 2 8 30 4 2" xfId="16946" xr:uid="{A2F3358F-9B9F-4F6D-86A6-28A5255F0E48}"/>
    <cellStyle name="Normal 2 8 30 5" xfId="16941" xr:uid="{430B6FCA-37DD-432C-A695-C605E2AD02CA}"/>
    <cellStyle name="Normal 2 8 31" xfId="8377" xr:uid="{38B524D3-5723-4B60-8991-707EBDDC46C4}"/>
    <cellStyle name="Normal 2 8 31 2" xfId="8378" xr:uid="{0703F978-3689-4892-BB33-3702FE5AA022}"/>
    <cellStyle name="Normal 2 8 31 2 2" xfId="8379" xr:uid="{A6684FCF-AECE-4F8A-8D28-5573C5CE85B5}"/>
    <cellStyle name="Normal 2 8 31 2 2 2" xfId="16949" xr:uid="{AE3C5FFE-EE11-494E-B957-330E14A822E6}"/>
    <cellStyle name="Normal 2 8 31 2 3" xfId="8380" xr:uid="{1DFEE6EF-1F80-4DC8-98A8-12183091BE8B}"/>
    <cellStyle name="Normal 2 8 31 2 3 2" xfId="16950" xr:uid="{1B91DEAA-2548-4689-94B8-C2EC56E14B25}"/>
    <cellStyle name="Normal 2 8 31 2 4" xfId="16948" xr:uid="{ED71D138-C9C6-4032-BE6F-2A03C350B38C}"/>
    <cellStyle name="Normal 2 8 31 3" xfId="8381" xr:uid="{E3B5A7D3-E383-4799-94E5-996FC09130D5}"/>
    <cellStyle name="Normal 2 8 31 3 2" xfId="16951" xr:uid="{49AD28AB-2BCC-459B-9232-329CCF46971C}"/>
    <cellStyle name="Normal 2 8 31 4" xfId="8382" xr:uid="{1903C4D0-C495-4877-9691-B374C3CDD988}"/>
    <cellStyle name="Normal 2 8 31 4 2" xfId="16952" xr:uid="{9E2240B9-96FD-4A36-892C-CEE5BE4F63A9}"/>
    <cellStyle name="Normal 2 8 31 5" xfId="16947" xr:uid="{8CF463DC-44A8-4DC7-8AF2-57E845C8F110}"/>
    <cellStyle name="Normal 2 8 32" xfId="8383" xr:uid="{B8FA3C30-DC2F-4031-AC57-6D4BACB57AD5}"/>
    <cellStyle name="Normal 2 8 32 2" xfId="8384" xr:uid="{E5FF0912-7C46-4F30-B539-FB6F1AC1FC3B}"/>
    <cellStyle name="Normal 2 8 32 2 2" xfId="8385" xr:uid="{17A5CEB9-C34E-4B43-AB80-5732D20EBA52}"/>
    <cellStyle name="Normal 2 8 32 2 2 2" xfId="16955" xr:uid="{7630D98A-008D-41DA-B457-827E9462A47B}"/>
    <cellStyle name="Normal 2 8 32 2 3" xfId="8386" xr:uid="{A62AA205-B20F-4074-8F0E-CB865843070C}"/>
    <cellStyle name="Normal 2 8 32 2 3 2" xfId="16956" xr:uid="{49BE96A9-EF92-4BEA-9545-139638F4DA3E}"/>
    <cellStyle name="Normal 2 8 32 2 4" xfId="16954" xr:uid="{C18A490C-2733-4D16-9C54-96AEA8A02C05}"/>
    <cellStyle name="Normal 2 8 32 3" xfId="8387" xr:uid="{54EABC38-8296-461C-9B9F-482DC98C12D8}"/>
    <cellStyle name="Normal 2 8 32 3 2" xfId="16957" xr:uid="{A7253A1C-703D-4A27-8F46-21C73E2EBB84}"/>
    <cellStyle name="Normal 2 8 32 4" xfId="8388" xr:uid="{5DFA7C9F-82A1-4D3F-B275-7C8D097E9F5C}"/>
    <cellStyle name="Normal 2 8 32 4 2" xfId="16958" xr:uid="{2DE5C793-2DB5-4B17-9AC7-E45EEDC37A85}"/>
    <cellStyle name="Normal 2 8 32 5" xfId="16953" xr:uid="{2E2869CE-4734-4348-B103-FA2823F6B6AB}"/>
    <cellStyle name="Normal 2 8 33" xfId="8389" xr:uid="{61D5B6FB-888D-4CBE-B13B-CF62B436628C}"/>
    <cellStyle name="Normal 2 8 33 2" xfId="8390" xr:uid="{6413DA5D-ED5D-4957-AE4E-785D5DE24E55}"/>
    <cellStyle name="Normal 2 8 33 2 2" xfId="8391" xr:uid="{93F2B197-00A2-4153-A785-CAE67668AAE0}"/>
    <cellStyle name="Normal 2 8 33 2 2 2" xfId="16961" xr:uid="{02090560-7C60-4C46-8C90-B19D65C5FED3}"/>
    <cellStyle name="Normal 2 8 33 2 3" xfId="8392" xr:uid="{C9BB5F98-85F3-42D2-8209-58AC5A3F98CC}"/>
    <cellStyle name="Normal 2 8 33 2 3 2" xfId="16962" xr:uid="{19E252C8-B2F8-4381-B74A-22184A8E3CC1}"/>
    <cellStyle name="Normal 2 8 33 2 4" xfId="16960" xr:uid="{E028D618-3BDF-4A06-8108-79F6CB35D122}"/>
    <cellStyle name="Normal 2 8 33 3" xfId="8393" xr:uid="{5AC7B5F8-DEF9-45F0-80BD-0DD242EF871F}"/>
    <cellStyle name="Normal 2 8 33 3 2" xfId="16963" xr:uid="{3143941E-75C6-4503-A6B5-42460CC53A48}"/>
    <cellStyle name="Normal 2 8 33 4" xfId="8394" xr:uid="{64B2A80B-0502-4869-800A-763CF9CF2343}"/>
    <cellStyle name="Normal 2 8 33 4 2" xfId="16964" xr:uid="{3162C4F8-9FBA-4F9F-BA61-547918F9C98A}"/>
    <cellStyle name="Normal 2 8 33 5" xfId="16959" xr:uid="{E99DA363-3498-48A3-8171-AE8F215D0467}"/>
    <cellStyle name="Normal 2 8 34" xfId="8395" xr:uid="{F5C28553-8D4F-4B96-AFB1-EF3E1DB03EA0}"/>
    <cellStyle name="Normal 2 8 34 2" xfId="8396" xr:uid="{97C3E8B6-3807-4D01-B010-77935C437769}"/>
    <cellStyle name="Normal 2 8 34 2 2" xfId="8397" xr:uid="{1C37E1E1-EF91-45E7-91F8-97B6C92836DE}"/>
    <cellStyle name="Normal 2 8 34 2 2 2" xfId="16967" xr:uid="{98645076-6D90-4081-96CC-93B7AEAB2EEA}"/>
    <cellStyle name="Normal 2 8 34 2 3" xfId="8398" xr:uid="{F903324F-A9C8-4413-9D95-671FDF11A871}"/>
    <cellStyle name="Normal 2 8 34 2 3 2" xfId="16968" xr:uid="{D44431E1-CDC1-42B2-80A3-585C1F0E2483}"/>
    <cellStyle name="Normal 2 8 34 2 4" xfId="16966" xr:uid="{2C2BEC15-91B1-444E-BACA-00582BEA9361}"/>
    <cellStyle name="Normal 2 8 34 3" xfId="8399" xr:uid="{BDF16842-83BD-47C5-9850-90B94FACD781}"/>
    <cellStyle name="Normal 2 8 34 3 2" xfId="16969" xr:uid="{81F326D2-AE1B-41CB-8CE8-6FBF9A0817AD}"/>
    <cellStyle name="Normal 2 8 34 4" xfId="8400" xr:uid="{71C5F278-1194-405C-8222-728F7EE20EFA}"/>
    <cellStyle name="Normal 2 8 34 4 2" xfId="16970" xr:uid="{A6981B73-1D02-47D1-87CA-7EE898CE58BC}"/>
    <cellStyle name="Normal 2 8 34 5" xfId="16965" xr:uid="{1B025E9C-55CA-47CA-ABF3-0CCB269C4590}"/>
    <cellStyle name="Normal 2 8 35" xfId="8401" xr:uid="{9E4E349B-6B4D-484D-9018-E815A3656CE1}"/>
    <cellStyle name="Normal 2 8 35 2" xfId="8402" xr:uid="{9CCE344E-3FF8-40CD-9621-734BD6A7CDB9}"/>
    <cellStyle name="Normal 2 8 35 2 2" xfId="8403" xr:uid="{BDFD19A2-FF16-4C6D-A8A8-A4EAD71E9554}"/>
    <cellStyle name="Normal 2 8 35 2 2 2" xfId="16973" xr:uid="{5DA9E632-EF84-4FAD-93DF-93F0745856E6}"/>
    <cellStyle name="Normal 2 8 35 2 3" xfId="8404" xr:uid="{9ADCD5DD-A245-475C-997F-CE6A77320C86}"/>
    <cellStyle name="Normal 2 8 35 2 3 2" xfId="16974" xr:uid="{E4D609F5-297E-4CFC-BACC-E2320B77E04D}"/>
    <cellStyle name="Normal 2 8 35 2 4" xfId="16972" xr:uid="{D3449ABA-65AF-4CA2-8132-BB9699B1A583}"/>
    <cellStyle name="Normal 2 8 35 3" xfId="8405" xr:uid="{1FED9BA0-0C2E-4A61-9FE2-429874381002}"/>
    <cellStyle name="Normal 2 8 35 3 2" xfId="16975" xr:uid="{7B4EE277-C5CD-4137-B632-D996B86BD9D8}"/>
    <cellStyle name="Normal 2 8 35 4" xfId="8406" xr:uid="{8E7ECAE9-049E-45CA-AC53-71431D5BEE90}"/>
    <cellStyle name="Normal 2 8 35 4 2" xfId="16976" xr:uid="{6F3424A7-1A4C-4C92-955E-FEC76C7273F7}"/>
    <cellStyle name="Normal 2 8 35 5" xfId="16971" xr:uid="{32712AF2-94F7-4B42-B298-7D014E492E60}"/>
    <cellStyle name="Normal 2 8 36" xfId="8407" xr:uid="{D490D416-CB9C-4D21-B1A4-23E34A954CB7}"/>
    <cellStyle name="Normal 2 8 36 2" xfId="8408" xr:uid="{0555F82A-17D7-46C0-BE6E-64EA59C08027}"/>
    <cellStyle name="Normal 2 8 36 2 2" xfId="8409" xr:uid="{94E6D4F2-8BCD-4D37-B789-D59C38B555C6}"/>
    <cellStyle name="Normal 2 8 36 2 2 2" xfId="16979" xr:uid="{67ECA408-4023-4A17-9D6A-0A5C3EFF9E71}"/>
    <cellStyle name="Normal 2 8 36 2 3" xfId="8410" xr:uid="{359DB9C2-7038-4969-BA79-ED52FFA506D5}"/>
    <cellStyle name="Normal 2 8 36 2 3 2" xfId="16980" xr:uid="{459805F4-BC9B-4E4F-8CA6-6A4667766F6E}"/>
    <cellStyle name="Normal 2 8 36 2 4" xfId="16978" xr:uid="{8F9E3ACC-0ABA-4785-97F2-ADAF379E4895}"/>
    <cellStyle name="Normal 2 8 36 3" xfId="8411" xr:uid="{2A43A1C4-04E5-44C5-82F7-2015779A0172}"/>
    <cellStyle name="Normal 2 8 36 3 2" xfId="16981" xr:uid="{48C4E3DB-6F06-4440-9858-6CBE5E3CD7F8}"/>
    <cellStyle name="Normal 2 8 36 4" xfId="8412" xr:uid="{BB50DBA6-697E-49FA-8FA7-2DB56430EA34}"/>
    <cellStyle name="Normal 2 8 36 4 2" xfId="16982" xr:uid="{ACF248F7-F47E-40C6-A158-BBFACA5E06CD}"/>
    <cellStyle name="Normal 2 8 36 5" xfId="16977" xr:uid="{D5626711-A3D1-4174-91E9-2848CF20B67A}"/>
    <cellStyle name="Normal 2 8 37" xfId="8413" xr:uid="{353BD320-112C-40FA-B2ED-937D3EACDE5E}"/>
    <cellStyle name="Normal 2 8 37 2" xfId="8414" xr:uid="{2C72E97C-8F78-4D3C-88BE-01291D52CF4D}"/>
    <cellStyle name="Normal 2 8 37 2 2" xfId="8415" xr:uid="{FDB10BD3-C944-4792-93A8-C1EB84B12380}"/>
    <cellStyle name="Normal 2 8 37 2 2 2" xfId="16985" xr:uid="{7252760B-1400-4A9D-A86C-A1E120804D6E}"/>
    <cellStyle name="Normal 2 8 37 2 3" xfId="8416" xr:uid="{B45785C0-3046-4796-B498-965BB546B0D9}"/>
    <cellStyle name="Normal 2 8 37 2 3 2" xfId="16986" xr:uid="{FAB51AD7-143B-45B1-A941-DF2625160F16}"/>
    <cellStyle name="Normal 2 8 37 2 4" xfId="16984" xr:uid="{83B43F12-FCA5-4745-9F18-B5013BD6EC6F}"/>
    <cellStyle name="Normal 2 8 37 3" xfId="8417" xr:uid="{ABA90EBD-CE0E-4E34-908C-975F584EAF86}"/>
    <cellStyle name="Normal 2 8 37 3 2" xfId="16987" xr:uid="{ACC57754-CBB6-46A7-A727-DA3A845574D7}"/>
    <cellStyle name="Normal 2 8 37 4" xfId="8418" xr:uid="{18058AA3-CE02-4AF5-B354-3B66A6C87F4C}"/>
    <cellStyle name="Normal 2 8 37 4 2" xfId="16988" xr:uid="{91C8CA5A-A91E-4332-B6D3-6D100A31BA89}"/>
    <cellStyle name="Normal 2 8 37 5" xfId="16983" xr:uid="{8B4995E9-33B9-4F9C-8282-9AB5770EB4E9}"/>
    <cellStyle name="Normal 2 8 38" xfId="8419" xr:uid="{8E7489E7-6B8A-47AB-8E17-083B627D5CE4}"/>
    <cellStyle name="Normal 2 8 38 2" xfId="8420" xr:uid="{F8B1566B-B319-4D9E-BF1D-6E186229761E}"/>
    <cellStyle name="Normal 2 8 38 2 2" xfId="8421" xr:uid="{87BE2CF3-FF6F-4E5C-8BFA-3BEFF67D54B5}"/>
    <cellStyle name="Normal 2 8 38 2 2 2" xfId="16991" xr:uid="{FC3C27E4-44CB-4104-BBC4-3C5861E3CC9C}"/>
    <cellStyle name="Normal 2 8 38 2 3" xfId="8422" xr:uid="{09918F27-3421-4DD8-A0C1-CD223B3E32A7}"/>
    <cellStyle name="Normal 2 8 38 2 3 2" xfId="16992" xr:uid="{E7C0BCB4-F2BD-40D7-9BE1-34CB60ED6CB1}"/>
    <cellStyle name="Normal 2 8 38 2 4" xfId="16990" xr:uid="{B4427A46-74DE-420E-A429-8D9E3673E597}"/>
    <cellStyle name="Normal 2 8 38 3" xfId="8423" xr:uid="{F5CDFE32-3630-454A-8B9B-9671F809B691}"/>
    <cellStyle name="Normal 2 8 38 3 2" xfId="16993" xr:uid="{2E7BAD81-4BC2-41A9-8C8D-A313E892DD9D}"/>
    <cellStyle name="Normal 2 8 38 4" xfId="8424" xr:uid="{58FBAE11-345A-46A3-9AAD-B0DDA4C5A19A}"/>
    <cellStyle name="Normal 2 8 38 4 2" xfId="16994" xr:uid="{CF501777-58F6-4978-86FE-94FB9870E48D}"/>
    <cellStyle name="Normal 2 8 38 5" xfId="16989" xr:uid="{12B6AF87-6256-4E07-AC46-EEA018789E7B}"/>
    <cellStyle name="Normal 2 8 39" xfId="8425" xr:uid="{39EF2766-B619-4899-AEBC-1EB9B4ACFE83}"/>
    <cellStyle name="Normal 2 8 39 2" xfId="8426" xr:uid="{9A6CC181-A76E-4B51-902C-0F116355D2BC}"/>
    <cellStyle name="Normal 2 8 39 2 2" xfId="8427" xr:uid="{F10D17DB-837D-4FDD-8E0E-AFE7EA21A7D9}"/>
    <cellStyle name="Normal 2 8 39 2 2 2" xfId="16997" xr:uid="{73D6CA20-159F-4CFC-87E6-BD202702CFBC}"/>
    <cellStyle name="Normal 2 8 39 2 3" xfId="8428" xr:uid="{BA1D8124-A11E-4ED4-B242-57A7D99EF6A0}"/>
    <cellStyle name="Normal 2 8 39 2 3 2" xfId="16998" xr:uid="{1FB00B77-FA29-45AF-9865-C740AEB31413}"/>
    <cellStyle name="Normal 2 8 39 2 4" xfId="16996" xr:uid="{47ACC82B-0CC0-444C-A7A1-101C07787361}"/>
    <cellStyle name="Normal 2 8 39 3" xfId="8429" xr:uid="{A62A9D4F-7A12-43E1-9ACD-CCD813BAF3BD}"/>
    <cellStyle name="Normal 2 8 39 3 2" xfId="16999" xr:uid="{57F84A53-A13D-48D5-BF19-02D6EDDFD133}"/>
    <cellStyle name="Normal 2 8 39 4" xfId="8430" xr:uid="{A897F99C-7EBD-4C6F-BC49-2D1921C0327E}"/>
    <cellStyle name="Normal 2 8 39 4 2" xfId="17000" xr:uid="{E502E745-FCD2-4C89-ADDA-EA5C88A5E0D9}"/>
    <cellStyle name="Normal 2 8 39 5" xfId="16995" xr:uid="{C8D4DE31-43EF-41EE-805D-BCD711B85ED0}"/>
    <cellStyle name="Normal 2 8 4" xfId="8431" xr:uid="{C2687F2D-3508-40E7-9DD2-7ADA14577019}"/>
    <cellStyle name="Normal 2 8 4 2" xfId="8432" xr:uid="{56034666-A3FC-4E2E-A799-BA012798C54F}"/>
    <cellStyle name="Normal 2 8 4 2 2" xfId="8433" xr:uid="{F030DC0B-A766-4B95-A53E-80BD73F2B203}"/>
    <cellStyle name="Normal 2 8 4 2 2 2" xfId="17003" xr:uid="{5AF8CAAF-2C43-4E2D-9008-B69EC647E7DF}"/>
    <cellStyle name="Normal 2 8 4 2 3" xfId="8434" xr:uid="{B45F33E1-6265-4AAB-B0BD-7D3BED14A026}"/>
    <cellStyle name="Normal 2 8 4 2 3 2" xfId="17004" xr:uid="{AAA18D40-41AF-46DA-A641-496719E18766}"/>
    <cellStyle name="Normal 2 8 4 2 4" xfId="17002" xr:uid="{425D68F7-3A46-4CA7-B9B1-030440C85930}"/>
    <cellStyle name="Normal 2 8 4 3" xfId="8435" xr:uid="{CFDD575A-2868-486C-B425-CB23DD190D71}"/>
    <cellStyle name="Normal 2 8 4 3 2" xfId="17005" xr:uid="{D3CCD8AD-A3AC-4860-9E88-6AB044C2AB0A}"/>
    <cellStyle name="Normal 2 8 4 4" xfId="8436" xr:uid="{EE2F67B3-9C91-46E1-B357-9CA7C5082D91}"/>
    <cellStyle name="Normal 2 8 4 4 2" xfId="17006" xr:uid="{985407F4-C9A7-446D-8BA1-065E2085E39A}"/>
    <cellStyle name="Normal 2 8 4 5" xfId="17001" xr:uid="{7432E2F4-A38C-4E99-8E5E-18B6A4FBE943}"/>
    <cellStyle name="Normal 2 8 40" xfId="8437" xr:uid="{B356653C-64F5-405E-8DFD-9125E1C0D5A2}"/>
    <cellStyle name="Normal 2 8 40 2" xfId="8438" xr:uid="{DD146D0B-A19F-4A54-AA82-1B1631735D0D}"/>
    <cellStyle name="Normal 2 8 40 2 2" xfId="8439" xr:uid="{4B5E59F5-6C5C-4F54-B541-598E49AD0D9B}"/>
    <cellStyle name="Normal 2 8 40 2 2 2" xfId="17009" xr:uid="{A2E143D1-D4D0-4780-8EDF-B75539E8B63B}"/>
    <cellStyle name="Normal 2 8 40 2 3" xfId="8440" xr:uid="{05D9FC2A-23A5-4D95-946B-DB100832BC7F}"/>
    <cellStyle name="Normal 2 8 40 2 3 2" xfId="17010" xr:uid="{D135C5B2-F9D5-4860-B25F-6EACA2E10E86}"/>
    <cellStyle name="Normal 2 8 40 2 4" xfId="17008" xr:uid="{7A88710B-0666-40AA-8DC3-3EBDCCF050D2}"/>
    <cellStyle name="Normal 2 8 40 3" xfId="8441" xr:uid="{E8CDEC2C-11AD-43B5-A274-43EA9F49D7C9}"/>
    <cellStyle name="Normal 2 8 40 3 2" xfId="17011" xr:uid="{8BAE92F6-B948-45ED-B16E-E5871E184610}"/>
    <cellStyle name="Normal 2 8 40 4" xfId="8442" xr:uid="{64224336-4B95-428C-ADBB-1E9465EC0371}"/>
    <cellStyle name="Normal 2 8 40 4 2" xfId="17012" xr:uid="{61A2E4E6-4B19-4B13-BE9F-1E702CD99E88}"/>
    <cellStyle name="Normal 2 8 40 5" xfId="17007" xr:uid="{A26947B2-A134-4647-9967-B42588D7E56C}"/>
    <cellStyle name="Normal 2 8 41" xfId="8443" xr:uid="{A761010D-83E1-4CBA-A2AC-D930444AC41E}"/>
    <cellStyle name="Normal 2 8 41 2" xfId="8444" xr:uid="{9D873230-73E0-462B-A2FF-EF6AC72CFFA8}"/>
    <cellStyle name="Normal 2 8 41 2 2" xfId="8445" xr:uid="{E284AC27-7C9D-40E6-B466-BB79222E9A02}"/>
    <cellStyle name="Normal 2 8 41 2 2 2" xfId="17015" xr:uid="{E67CBE0F-B7D7-4C85-8525-FE8851A369B7}"/>
    <cellStyle name="Normal 2 8 41 2 3" xfId="8446" xr:uid="{8D6D4B07-3F5C-49FC-891C-1BFC0518FD36}"/>
    <cellStyle name="Normal 2 8 41 2 3 2" xfId="17016" xr:uid="{2FC42AA9-5C8A-4630-BFBB-369F545DD091}"/>
    <cellStyle name="Normal 2 8 41 2 4" xfId="17014" xr:uid="{B557683D-7734-4A45-AB2F-95AB0B542914}"/>
    <cellStyle name="Normal 2 8 41 3" xfId="8447" xr:uid="{75C831D0-23F8-4EDF-B969-E05CC941EB3E}"/>
    <cellStyle name="Normal 2 8 41 3 2" xfId="17017" xr:uid="{5CA692C0-495B-41AF-817C-D93445ED9B4E}"/>
    <cellStyle name="Normal 2 8 41 4" xfId="8448" xr:uid="{F12CB2C2-61D3-4B9B-8602-EBC1D2C81D45}"/>
    <cellStyle name="Normal 2 8 41 4 2" xfId="17018" xr:uid="{172AAA46-C6CD-4F63-9A93-0315BEBEBBF2}"/>
    <cellStyle name="Normal 2 8 41 5" xfId="17013" xr:uid="{46DF0D26-1E68-4CA3-A192-ED65BA5EEE66}"/>
    <cellStyle name="Normal 2 8 42" xfId="8449" xr:uid="{249E34D1-8AAE-461C-A8BC-83ED8B038471}"/>
    <cellStyle name="Normal 2 8 42 2" xfId="8450" xr:uid="{FE64E2AA-FFC8-4491-A531-E12B36D9C924}"/>
    <cellStyle name="Normal 2 8 42 2 2" xfId="8451" xr:uid="{E586A776-A22B-4C03-B44A-114C898C3F2D}"/>
    <cellStyle name="Normal 2 8 42 2 2 2" xfId="17021" xr:uid="{15ADD6A3-B729-4C75-9223-B664F5BC3428}"/>
    <cellStyle name="Normal 2 8 42 2 3" xfId="8452" xr:uid="{9D9B7A2B-112A-45D7-BACE-2204D536CF8E}"/>
    <cellStyle name="Normal 2 8 42 2 3 2" xfId="17022" xr:uid="{19A52A5F-F1C9-4DB4-BA32-6DC29C068804}"/>
    <cellStyle name="Normal 2 8 42 2 4" xfId="17020" xr:uid="{7D7BB04D-B8A7-4130-A325-0151A370F46C}"/>
    <cellStyle name="Normal 2 8 42 3" xfId="8453" xr:uid="{F9EF236B-CDF5-48C6-8599-00E936EC1E4E}"/>
    <cellStyle name="Normal 2 8 42 3 2" xfId="17023" xr:uid="{80EA4B76-F837-4195-8B11-ED8BBAC1A021}"/>
    <cellStyle name="Normal 2 8 42 4" xfId="8454" xr:uid="{2B31A465-5467-4A98-B032-8A380135891C}"/>
    <cellStyle name="Normal 2 8 42 4 2" xfId="17024" xr:uid="{ECA4C599-B4FC-47C0-AC0F-D5AE7920B784}"/>
    <cellStyle name="Normal 2 8 42 5" xfId="17019" xr:uid="{3C65B1AD-6945-4CBD-994A-E37956DE8CE7}"/>
    <cellStyle name="Normal 2 8 43" xfId="8455" xr:uid="{4ACD12B4-C927-4BD2-A486-1E5F5B731509}"/>
    <cellStyle name="Normal 2 8 43 2" xfId="8456" xr:uid="{A36F211D-2A6A-4295-B44F-A4690FFAA524}"/>
    <cellStyle name="Normal 2 8 43 2 2" xfId="8457" xr:uid="{319D8705-9A5B-4E6E-BEFF-69C904D65353}"/>
    <cellStyle name="Normal 2 8 43 2 2 2" xfId="17027" xr:uid="{7660492E-0CCD-4307-B65B-CF624970BCC7}"/>
    <cellStyle name="Normal 2 8 43 2 3" xfId="8458" xr:uid="{CF07A400-20EE-4179-9CB5-20AAEF15E0F5}"/>
    <cellStyle name="Normal 2 8 43 2 3 2" xfId="17028" xr:uid="{24B82F7C-49C3-421B-940F-548F08E8B827}"/>
    <cellStyle name="Normal 2 8 43 2 4" xfId="17026" xr:uid="{3AA2A888-7CB2-4D09-847A-2C9FA5A16382}"/>
    <cellStyle name="Normal 2 8 43 3" xfId="8459" xr:uid="{8388D663-9A89-40E8-A29A-0DA486ABC79E}"/>
    <cellStyle name="Normal 2 8 43 3 2" xfId="17029" xr:uid="{AF8BE7B1-EE97-47E7-98A1-E01DCE8D43D8}"/>
    <cellStyle name="Normal 2 8 43 4" xfId="8460" xr:uid="{88C10A44-61D9-43C9-B940-62AF34675A27}"/>
    <cellStyle name="Normal 2 8 43 4 2" xfId="17030" xr:uid="{9FF67E33-FCED-4086-8078-57E9F97D1577}"/>
    <cellStyle name="Normal 2 8 43 5" xfId="17025" xr:uid="{FEF0359A-6DEF-4582-B07E-E33820467DB5}"/>
    <cellStyle name="Normal 2 8 44" xfId="8461" xr:uid="{A75B4EE3-2E44-4A3C-B7BF-5478AEEAE350}"/>
    <cellStyle name="Normal 2 8 44 2" xfId="8462" xr:uid="{2C3C0D3F-28BA-48AC-920D-5CA34A60F186}"/>
    <cellStyle name="Normal 2 8 44 2 2" xfId="17032" xr:uid="{EDFCABF4-619C-45F3-9CFA-A5F39278A7FC}"/>
    <cellStyle name="Normal 2 8 44 3" xfId="8463" xr:uid="{7C61E612-AA82-4503-BC37-7AD33C135DA6}"/>
    <cellStyle name="Normal 2 8 44 3 2" xfId="17033" xr:uid="{34F11CCB-0032-4FE4-A3FF-3624953E8E6E}"/>
    <cellStyle name="Normal 2 8 44 4" xfId="17031" xr:uid="{11A68F86-1358-4110-AA84-3BCEBBA3F8E1}"/>
    <cellStyle name="Normal 2 8 45" xfId="8464" xr:uid="{40D64757-E341-40DF-BF6E-896B955A2F62}"/>
    <cellStyle name="Normal 2 8 45 2" xfId="17034" xr:uid="{4953B1AA-5411-4750-951D-0F51DCA021B1}"/>
    <cellStyle name="Normal 2 8 46" xfId="8465" xr:uid="{DD7BFB96-0F6F-4C84-BA00-A6A89D5CF1CA}"/>
    <cellStyle name="Normal 2 8 46 2" xfId="17035" xr:uid="{BFAB3778-2160-4880-9A95-4A419BC61B82}"/>
    <cellStyle name="Normal 2 8 47" xfId="16808" xr:uid="{20F881D0-F244-40E1-A598-B6F17A41EB84}"/>
    <cellStyle name="Normal 2 8 5" xfId="8466" xr:uid="{AF4E8155-DDE1-472A-83B9-37D384FE3024}"/>
    <cellStyle name="Normal 2 8 5 2" xfId="8467" xr:uid="{D7900619-E6E2-4A4D-A3A2-D580B426CE46}"/>
    <cellStyle name="Normal 2 8 5 2 2" xfId="8468" xr:uid="{77F865E2-0D82-4106-B641-6B674001B703}"/>
    <cellStyle name="Normal 2 8 5 2 2 2" xfId="17038" xr:uid="{CA232012-98C3-4385-B523-222B20CD5EDD}"/>
    <cellStyle name="Normal 2 8 5 2 3" xfId="8469" xr:uid="{091655A9-6350-4CAF-B254-D04E1FAE5F9A}"/>
    <cellStyle name="Normal 2 8 5 2 3 2" xfId="17039" xr:uid="{454D9CB0-ED45-43CC-98FC-97A05837A498}"/>
    <cellStyle name="Normal 2 8 5 2 4" xfId="17037" xr:uid="{753E5250-BD0C-41C6-A10B-C85F2E2F10BD}"/>
    <cellStyle name="Normal 2 8 5 3" xfId="8470" xr:uid="{BDBAE14A-996E-43E0-8C2A-11F848819B53}"/>
    <cellStyle name="Normal 2 8 5 3 2" xfId="17040" xr:uid="{1FF51AAA-8CF3-4242-9D0C-A819A162A169}"/>
    <cellStyle name="Normal 2 8 5 4" xfId="8471" xr:uid="{A25B2C94-2B0C-40C9-B320-74D7AD15DBF3}"/>
    <cellStyle name="Normal 2 8 5 4 2" xfId="17041" xr:uid="{6BEEB755-8CDF-4603-8ED0-F11BB2D633DE}"/>
    <cellStyle name="Normal 2 8 5 5" xfId="17036" xr:uid="{BA6F2C60-169D-4C1C-B228-4663E9C4D6DA}"/>
    <cellStyle name="Normal 2 8 6" xfId="8472" xr:uid="{DDF37515-644A-4FC9-AF8F-E7A7C567FCCA}"/>
    <cellStyle name="Normal 2 8 6 2" xfId="8473" xr:uid="{D919A9C0-58F1-4E2A-8C98-4025C4815F93}"/>
    <cellStyle name="Normal 2 8 6 2 2" xfId="8474" xr:uid="{1E34C2E1-0E35-44E4-B0BE-2014ECEF8897}"/>
    <cellStyle name="Normal 2 8 6 2 2 2" xfId="17044" xr:uid="{6D442B2B-CFC7-4505-8293-91B9214D9E05}"/>
    <cellStyle name="Normal 2 8 6 2 3" xfId="8475" xr:uid="{3ECA8D4C-FBAD-4A9F-8462-016174702140}"/>
    <cellStyle name="Normal 2 8 6 2 3 2" xfId="17045" xr:uid="{9E66A20B-516C-49A8-AEAE-AA45789B936C}"/>
    <cellStyle name="Normal 2 8 6 2 4" xfId="17043" xr:uid="{BF8D97AB-9A23-4136-90E5-9F3EFE1069D5}"/>
    <cellStyle name="Normal 2 8 6 3" xfId="8476" xr:uid="{DD8D020C-1179-4765-90B9-60FFDB7777D6}"/>
    <cellStyle name="Normal 2 8 6 3 2" xfId="17046" xr:uid="{9F7D9F1F-6E16-41E6-8DFE-E17B32D722D3}"/>
    <cellStyle name="Normal 2 8 6 4" xfId="8477" xr:uid="{3ED4B136-C68C-4B3B-8F9D-DC966BAC2220}"/>
    <cellStyle name="Normal 2 8 6 4 2" xfId="17047" xr:uid="{03E7DBA9-7742-4655-8971-BC4C9FE32AB4}"/>
    <cellStyle name="Normal 2 8 6 5" xfId="17042" xr:uid="{DBBC44F7-A509-4C4D-85A6-57985FCE7B4E}"/>
    <cellStyle name="Normal 2 8 7" xfId="8478" xr:uid="{654B3312-21F9-4AA6-BE19-0D768D33EB7B}"/>
    <cellStyle name="Normal 2 8 7 2" xfId="8479" xr:uid="{92334F8C-E543-4AA6-8CA2-A56DB2B20959}"/>
    <cellStyle name="Normal 2 8 7 2 2" xfId="8480" xr:uid="{04CF0147-CE8B-4CDD-9055-24201B1A262A}"/>
    <cellStyle name="Normal 2 8 7 2 2 2" xfId="17050" xr:uid="{9FCE1616-E927-4043-8BF5-E763E05E08E3}"/>
    <cellStyle name="Normal 2 8 7 2 3" xfId="8481" xr:uid="{266563CB-CA40-48DE-92C3-894B9440DA95}"/>
    <cellStyle name="Normal 2 8 7 2 3 2" xfId="17051" xr:uid="{2C5B6425-AE9F-4972-B0F4-23014D968284}"/>
    <cellStyle name="Normal 2 8 7 2 4" xfId="17049" xr:uid="{CCAFEEE9-45B7-478B-A9AF-B9872312F3BA}"/>
    <cellStyle name="Normal 2 8 7 3" xfId="8482" xr:uid="{80A054A2-93DB-430B-A4E2-61BA718EB581}"/>
    <cellStyle name="Normal 2 8 7 3 2" xfId="17052" xr:uid="{D2791228-F637-48FD-9E37-ECE02D31DD54}"/>
    <cellStyle name="Normal 2 8 7 4" xfId="8483" xr:uid="{19348514-8E82-459A-B3F4-67182B13F419}"/>
    <cellStyle name="Normal 2 8 7 4 2" xfId="17053" xr:uid="{42975CF8-0EF0-4DF3-836C-CC27CF984E8C}"/>
    <cellStyle name="Normal 2 8 7 5" xfId="17048" xr:uid="{3776F66A-EED2-4F57-B929-F15336F44740}"/>
    <cellStyle name="Normal 2 8 8" xfId="8484" xr:uid="{6E898354-2FA6-43F8-8E77-4652C3FACB52}"/>
    <cellStyle name="Normal 2 8 8 2" xfId="8485" xr:uid="{A32C1047-E082-4D7F-8CE2-0CEA1B982D9A}"/>
    <cellStyle name="Normal 2 8 8 2 2" xfId="8486" xr:uid="{8C7259A5-3088-4F2A-94C8-1CAA87A9CA66}"/>
    <cellStyle name="Normal 2 8 8 2 2 2" xfId="17056" xr:uid="{3948DEC6-AE05-4351-8394-E53A1BABDF2E}"/>
    <cellStyle name="Normal 2 8 8 2 3" xfId="8487" xr:uid="{061D65F5-0104-4F70-839A-688A86BF4F76}"/>
    <cellStyle name="Normal 2 8 8 2 3 2" xfId="17057" xr:uid="{D7F1F87F-232D-4A8A-B073-66A85FE8128B}"/>
    <cellStyle name="Normal 2 8 8 2 4" xfId="17055" xr:uid="{E3105FED-EA82-43A6-8279-B7A4EC5F962E}"/>
    <cellStyle name="Normal 2 8 8 3" xfId="8488" xr:uid="{19463F6E-1C6A-4A47-9E6A-7E00DA3CABDA}"/>
    <cellStyle name="Normal 2 8 8 3 2" xfId="17058" xr:uid="{61C210F1-531E-4A1F-AFB2-900DEDF37D0B}"/>
    <cellStyle name="Normal 2 8 8 4" xfId="8489" xr:uid="{69FD3E2E-B71E-4854-9520-ADB2D4CFEC44}"/>
    <cellStyle name="Normal 2 8 8 4 2" xfId="17059" xr:uid="{587FD545-AD6C-4317-ADDB-CAC63D947C37}"/>
    <cellStyle name="Normal 2 8 8 5" xfId="17054" xr:uid="{F3CFF3D7-202D-4E7D-80DE-2E9562894955}"/>
    <cellStyle name="Normal 2 8 9" xfId="8490" xr:uid="{A2EAE624-7BE9-4D7C-A431-9691C9575D9A}"/>
    <cellStyle name="Normal 2 8 9 2" xfId="8491" xr:uid="{E55236F8-5F71-4A05-87D9-8A3B99AF5363}"/>
    <cellStyle name="Normal 2 8 9 2 2" xfId="8492" xr:uid="{F083638E-1A34-47AC-9FBB-31DA7F16CE83}"/>
    <cellStyle name="Normal 2 8 9 2 2 2" xfId="17062" xr:uid="{67A9245D-43EA-4BE3-8717-789DC22AAA56}"/>
    <cellStyle name="Normal 2 8 9 2 3" xfId="8493" xr:uid="{0B4E1E9C-FB87-410A-B003-CD7AF6F309E5}"/>
    <cellStyle name="Normal 2 8 9 2 3 2" xfId="17063" xr:uid="{314F012E-06DB-4741-B2D1-BB22B525B8B0}"/>
    <cellStyle name="Normal 2 8 9 2 4" xfId="17061" xr:uid="{D21EE183-3729-4A3F-AA8F-849DAD06CF71}"/>
    <cellStyle name="Normal 2 8 9 3" xfId="8494" xr:uid="{93A69826-DEDD-4E15-96C2-2341A036B8F8}"/>
    <cellStyle name="Normal 2 8 9 3 2" xfId="17064" xr:uid="{8E7304FE-45CE-422E-A2E3-F70F2E7D22E1}"/>
    <cellStyle name="Normal 2 8 9 4" xfId="8495" xr:uid="{EECD37DA-F89F-443D-9AA6-7C75C9FCDB2E}"/>
    <cellStyle name="Normal 2 8 9 4 2" xfId="17065" xr:uid="{1965D89A-ED76-46C7-80D0-D96C2C63BF49}"/>
    <cellStyle name="Normal 2 8 9 5" xfId="17060" xr:uid="{4826D6A8-2128-4396-93F0-9DA4B83CDEF0}"/>
    <cellStyle name="Normal 2 9" xfId="8496" xr:uid="{281FEA75-39F5-474F-B1C5-3C74CE9E4EC5}"/>
    <cellStyle name="Normal 2 9 10" xfId="8497" xr:uid="{297AFD99-B70D-4969-8B9B-5087274559D9}"/>
    <cellStyle name="Normal 2 9 10 2" xfId="8498" xr:uid="{926C6760-55DC-441C-945B-9C65DAC350A5}"/>
    <cellStyle name="Normal 2 9 10 2 2" xfId="8499" xr:uid="{DFCA3B85-4E93-4E2E-A1A5-5C802E299A42}"/>
    <cellStyle name="Normal 2 9 10 2 2 2" xfId="17069" xr:uid="{73EB2BCE-04B2-4E13-885E-CA6DA7FD6176}"/>
    <cellStyle name="Normal 2 9 10 2 3" xfId="8500" xr:uid="{EFAC6CC5-82C9-4986-997E-812A0A08AF47}"/>
    <cellStyle name="Normal 2 9 10 2 3 2" xfId="17070" xr:uid="{CEE343DB-46CA-46A5-A26E-F3E3F76DA4CD}"/>
    <cellStyle name="Normal 2 9 10 2 4" xfId="17068" xr:uid="{F7B60172-517B-485C-A471-0D8B78469529}"/>
    <cellStyle name="Normal 2 9 10 3" xfId="8501" xr:uid="{D064589F-21C1-4AFD-804A-BB559F5F07B7}"/>
    <cellStyle name="Normal 2 9 10 3 2" xfId="17071" xr:uid="{46BA80EF-CE60-4A1C-9806-703B97B86309}"/>
    <cellStyle name="Normal 2 9 10 4" xfId="8502" xr:uid="{CACAC4A9-E588-42F2-A32E-7FF663FD6BFF}"/>
    <cellStyle name="Normal 2 9 10 4 2" xfId="17072" xr:uid="{FB26CC84-E30C-45EE-A6C6-AD92B9774BB6}"/>
    <cellStyle name="Normal 2 9 10 5" xfId="17067" xr:uid="{B36F6F20-A48D-4BB3-8421-A2AF61942D7A}"/>
    <cellStyle name="Normal 2 9 11" xfId="8503" xr:uid="{7EC5ADDD-6893-477B-8ADA-D2262405F408}"/>
    <cellStyle name="Normal 2 9 11 2" xfId="8504" xr:uid="{50B81A56-17BC-4485-8E7A-FD1ED8D7B040}"/>
    <cellStyle name="Normal 2 9 11 2 2" xfId="8505" xr:uid="{D66C7FAE-3C68-4489-A0FA-C441CA604401}"/>
    <cellStyle name="Normal 2 9 11 2 2 2" xfId="17075" xr:uid="{BC07C222-60FD-42A0-8A5B-5B9DB0ED3144}"/>
    <cellStyle name="Normal 2 9 11 2 3" xfId="8506" xr:uid="{16D3989F-2BF0-4E4A-B4A2-AAA0426C5E1E}"/>
    <cellStyle name="Normal 2 9 11 2 3 2" xfId="17076" xr:uid="{E755CC57-6521-4DB1-B546-C362A9052F2F}"/>
    <cellStyle name="Normal 2 9 11 2 4" xfId="17074" xr:uid="{E39966BD-AFAC-434E-8EC2-3B186EDCE8B5}"/>
    <cellStyle name="Normal 2 9 11 3" xfId="8507" xr:uid="{97CD4DBF-BADF-476B-9A4C-151B44BE8D2B}"/>
    <cellStyle name="Normal 2 9 11 3 2" xfId="17077" xr:uid="{1099A36F-B663-4853-A333-10FC634DA39B}"/>
    <cellStyle name="Normal 2 9 11 4" xfId="8508" xr:uid="{1D3E0361-CC3F-457D-A248-E793573D3B37}"/>
    <cellStyle name="Normal 2 9 11 4 2" xfId="17078" xr:uid="{F7457834-AFE2-47A6-821B-1DE8FE9CC88E}"/>
    <cellStyle name="Normal 2 9 11 5" xfId="17073" xr:uid="{8D4E424A-4B15-4915-85BE-EE5833D362A6}"/>
    <cellStyle name="Normal 2 9 12" xfId="8509" xr:uid="{051E309E-FC78-4CA1-B0C3-AD11ABAA0C11}"/>
    <cellStyle name="Normal 2 9 12 2" xfId="8510" xr:uid="{AF253B74-2569-4775-ACF2-EA99D99DFD8E}"/>
    <cellStyle name="Normal 2 9 12 2 2" xfId="8511" xr:uid="{512F2428-BE4F-473C-B82E-B18B4A8F1D94}"/>
    <cellStyle name="Normal 2 9 12 2 2 2" xfId="17081" xr:uid="{7E7446E8-8425-468C-BB36-5E0960C09D8D}"/>
    <cellStyle name="Normal 2 9 12 2 3" xfId="8512" xr:uid="{AB3F5087-9F5F-40DA-830F-3F050D26C8A3}"/>
    <cellStyle name="Normal 2 9 12 2 3 2" xfId="17082" xr:uid="{6D8A30E8-1CE8-46C0-840B-CA5FBE588265}"/>
    <cellStyle name="Normal 2 9 12 2 4" xfId="17080" xr:uid="{065AAE3B-B158-41F7-B1D0-698020C7A761}"/>
    <cellStyle name="Normal 2 9 12 3" xfId="8513" xr:uid="{5643FA05-EA1C-4FA0-9971-8B24ABA658CF}"/>
    <cellStyle name="Normal 2 9 12 3 2" xfId="17083" xr:uid="{3AFDC7A5-0058-49D5-B666-125683C6445C}"/>
    <cellStyle name="Normal 2 9 12 4" xfId="8514" xr:uid="{3C764677-FD78-4CCD-BE1A-EA3B9351A271}"/>
    <cellStyle name="Normal 2 9 12 4 2" xfId="17084" xr:uid="{175A6116-18C6-417F-999C-69FD525CAD00}"/>
    <cellStyle name="Normal 2 9 12 5" xfId="17079" xr:uid="{60020C4B-895A-4441-95C0-6BFBA9C2CE03}"/>
    <cellStyle name="Normal 2 9 13" xfId="8515" xr:uid="{777F474F-38F0-4ABB-B60C-0CC91EC2D1A1}"/>
    <cellStyle name="Normal 2 9 13 2" xfId="8516" xr:uid="{27214C3F-DABC-4352-9DE7-1ACBBA43112C}"/>
    <cellStyle name="Normal 2 9 13 2 2" xfId="8517" xr:uid="{76C86A09-2DB8-4AC0-9EC0-8EDA42726D3D}"/>
    <cellStyle name="Normal 2 9 13 2 2 2" xfId="17087" xr:uid="{59892675-12D4-472B-A712-88D3F7DEB58C}"/>
    <cellStyle name="Normal 2 9 13 2 3" xfId="8518" xr:uid="{A9D824A1-E63F-4112-83C2-496EF17D3B15}"/>
    <cellStyle name="Normal 2 9 13 2 3 2" xfId="17088" xr:uid="{B99802B8-3A9B-4F92-964A-C276EF9272F6}"/>
    <cellStyle name="Normal 2 9 13 2 4" xfId="17086" xr:uid="{C606DB2E-79EF-4030-A5FF-34601BD5407A}"/>
    <cellStyle name="Normal 2 9 13 3" xfId="8519" xr:uid="{8AE711ED-7CD0-4283-876B-4DFD4C48C5CD}"/>
    <cellStyle name="Normal 2 9 13 3 2" xfId="17089" xr:uid="{25C0B8EF-450A-426D-8956-245ED4E4F6D3}"/>
    <cellStyle name="Normal 2 9 13 4" xfId="8520" xr:uid="{CEC4F63B-23AC-4E7E-98A4-9F1A641AA3F4}"/>
    <cellStyle name="Normal 2 9 13 4 2" xfId="17090" xr:uid="{04D753EA-EB64-4419-9B5C-C4FECA000210}"/>
    <cellStyle name="Normal 2 9 13 5" xfId="17085" xr:uid="{055CA941-1C0F-4A84-9B94-00BF8F7497C6}"/>
    <cellStyle name="Normal 2 9 14" xfId="8521" xr:uid="{A9959907-F54E-4FCE-9719-746A9C028EA4}"/>
    <cellStyle name="Normal 2 9 14 2" xfId="8522" xr:uid="{6342AE27-4F25-46C8-9665-2C418D76D30C}"/>
    <cellStyle name="Normal 2 9 14 2 2" xfId="8523" xr:uid="{B35446B0-9F51-4537-98F1-16A0F907B050}"/>
    <cellStyle name="Normal 2 9 14 2 2 2" xfId="17093" xr:uid="{329D997F-00C3-4524-AA2C-49A5B6219940}"/>
    <cellStyle name="Normal 2 9 14 2 3" xfId="8524" xr:uid="{C50FA154-F549-4A41-8EB5-1E13ADCEFB7D}"/>
    <cellStyle name="Normal 2 9 14 2 3 2" xfId="17094" xr:uid="{44398505-4ADC-4536-A94D-D17BD3644242}"/>
    <cellStyle name="Normal 2 9 14 2 4" xfId="17092" xr:uid="{CD777905-81F3-4BF6-89C0-441CAB772D48}"/>
    <cellStyle name="Normal 2 9 14 3" xfId="8525" xr:uid="{95B58F59-221E-489D-B749-3EC0164BD286}"/>
    <cellStyle name="Normal 2 9 14 3 2" xfId="17095" xr:uid="{45D68280-3376-49AA-85DD-B15C6CBB5799}"/>
    <cellStyle name="Normal 2 9 14 4" xfId="8526" xr:uid="{42065472-705B-4C51-90C4-AD72275C58A2}"/>
    <cellStyle name="Normal 2 9 14 4 2" xfId="17096" xr:uid="{3A855BF4-145D-45DF-B97D-FF9740FF2BEC}"/>
    <cellStyle name="Normal 2 9 14 5" xfId="17091" xr:uid="{9319D102-4165-4F47-A64A-154713AE6668}"/>
    <cellStyle name="Normal 2 9 15" xfId="8527" xr:uid="{41219BFE-D461-4071-913E-3BE5D04B8DA7}"/>
    <cellStyle name="Normal 2 9 15 2" xfId="8528" xr:uid="{5ED35A4D-EEC8-4FF4-9A90-C09FEB459621}"/>
    <cellStyle name="Normal 2 9 15 2 2" xfId="8529" xr:uid="{AF6F4E97-7BA8-4EB7-9B9D-B73AB151594B}"/>
    <cellStyle name="Normal 2 9 15 2 2 2" xfId="17099" xr:uid="{AC0B9258-A704-4CFA-9025-350034908DFB}"/>
    <cellStyle name="Normal 2 9 15 2 3" xfId="8530" xr:uid="{FE9EC12B-D44B-409A-8FA7-176B2D9409FB}"/>
    <cellStyle name="Normal 2 9 15 2 3 2" xfId="17100" xr:uid="{6C40E3C9-C34A-4377-9C5E-4BED9AE62D4C}"/>
    <cellStyle name="Normal 2 9 15 2 4" xfId="17098" xr:uid="{840C4D9D-76C6-44B6-8068-D5B67B747A7D}"/>
    <cellStyle name="Normal 2 9 15 3" xfId="8531" xr:uid="{9298E8DE-E366-49C8-8297-BD90B1BE4231}"/>
    <cellStyle name="Normal 2 9 15 3 2" xfId="17101" xr:uid="{5CB79FD5-654A-42EA-BBB7-81ACA2F221ED}"/>
    <cellStyle name="Normal 2 9 15 4" xfId="8532" xr:uid="{2A2FF371-AB5F-4C9C-86B5-1C0D25498A79}"/>
    <cellStyle name="Normal 2 9 15 4 2" xfId="17102" xr:uid="{2659E0F6-48C7-4B6A-8608-8AEC09F734F2}"/>
    <cellStyle name="Normal 2 9 15 5" xfId="17097" xr:uid="{2A2B9198-A093-4A4A-9894-173CD89C5BDA}"/>
    <cellStyle name="Normal 2 9 16" xfId="8533" xr:uid="{96E2F76E-8B0D-4B36-A9FE-9A68C1CAB70D}"/>
    <cellStyle name="Normal 2 9 16 2" xfId="8534" xr:uid="{2001E6AC-5980-4422-A059-9E42428F356E}"/>
    <cellStyle name="Normal 2 9 16 2 2" xfId="8535" xr:uid="{0C3E7935-09EB-44FA-BCD6-FE879976AB12}"/>
    <cellStyle name="Normal 2 9 16 2 2 2" xfId="17105" xr:uid="{8094F729-7C79-4352-A4F9-7B5C924F0D15}"/>
    <cellStyle name="Normal 2 9 16 2 3" xfId="8536" xr:uid="{06C3BB41-5D2B-4FD3-B030-05B83BA43103}"/>
    <cellStyle name="Normal 2 9 16 2 3 2" xfId="17106" xr:uid="{60F83D2A-AF37-4A3F-B751-620B6F8B5277}"/>
    <cellStyle name="Normal 2 9 16 2 4" xfId="17104" xr:uid="{1030E360-30F0-48B7-9576-2AA68B2683E2}"/>
    <cellStyle name="Normal 2 9 16 3" xfId="8537" xr:uid="{FBA3A9EA-8610-462F-81D5-2D7EB6490A5B}"/>
    <cellStyle name="Normal 2 9 16 3 2" xfId="17107" xr:uid="{50A9E247-FF17-4797-9323-CD67D1287E34}"/>
    <cellStyle name="Normal 2 9 16 4" xfId="8538" xr:uid="{5BE0CC43-8C6C-48E6-B556-D048A896EA35}"/>
    <cellStyle name="Normal 2 9 16 4 2" xfId="17108" xr:uid="{2E46EAA2-B813-4834-BB9C-CE504D809ED1}"/>
    <cellStyle name="Normal 2 9 16 5" xfId="17103" xr:uid="{E62C0A28-FBA8-42AB-A235-4DC394DCBA5D}"/>
    <cellStyle name="Normal 2 9 17" xfId="8539" xr:uid="{40D8FCE1-B07D-4643-8DC9-A279886BA9FE}"/>
    <cellStyle name="Normal 2 9 17 2" xfId="8540" xr:uid="{A85A5505-1958-416F-BF7B-2DEF8782AE3D}"/>
    <cellStyle name="Normal 2 9 17 2 2" xfId="8541" xr:uid="{F6F3EB57-3F4C-4771-8383-1F7CB3B40765}"/>
    <cellStyle name="Normal 2 9 17 2 2 2" xfId="17111" xr:uid="{61F89E4A-319C-4649-A466-9DBE764C62BC}"/>
    <cellStyle name="Normal 2 9 17 2 3" xfId="8542" xr:uid="{CADCB841-59E1-486D-B089-297AFD68C315}"/>
    <cellStyle name="Normal 2 9 17 2 3 2" xfId="17112" xr:uid="{68383143-3A41-4DCD-A854-BB42BDB4AEA6}"/>
    <cellStyle name="Normal 2 9 17 2 4" xfId="17110" xr:uid="{798410E3-8512-4E5C-BDF5-8A3A11759AC9}"/>
    <cellStyle name="Normal 2 9 17 3" xfId="8543" xr:uid="{AFB68B9C-61E7-413D-B046-3C9011C187DC}"/>
    <cellStyle name="Normal 2 9 17 3 2" xfId="17113" xr:uid="{BCC055CD-CF60-4081-9788-B52B239908D0}"/>
    <cellStyle name="Normal 2 9 17 4" xfId="8544" xr:uid="{5D34836D-1399-43FA-ABBB-1A8943ECC1EE}"/>
    <cellStyle name="Normal 2 9 17 4 2" xfId="17114" xr:uid="{00EED95C-6EC5-49D2-AD83-E48A85072DB6}"/>
    <cellStyle name="Normal 2 9 17 5" xfId="17109" xr:uid="{A002B46C-3677-4570-A159-7ADB17E7A608}"/>
    <cellStyle name="Normal 2 9 18" xfId="8545" xr:uid="{C8A4FE84-034D-4B0B-9552-B02F17B772B9}"/>
    <cellStyle name="Normal 2 9 18 2" xfId="8546" xr:uid="{5246CE5E-B7C3-4644-8C6D-F800D04A7627}"/>
    <cellStyle name="Normal 2 9 18 2 2" xfId="8547" xr:uid="{8C4093DF-120A-497A-81F7-730F604308B8}"/>
    <cellStyle name="Normal 2 9 18 2 2 2" xfId="17117" xr:uid="{0C60D3DB-DE19-4BA8-A43A-0FC0064E05D6}"/>
    <cellStyle name="Normal 2 9 18 2 3" xfId="8548" xr:uid="{E78BCAB4-2826-4F77-B1B7-936580EA30C2}"/>
    <cellStyle name="Normal 2 9 18 2 3 2" xfId="17118" xr:uid="{12F63501-7E1A-45BB-AA2A-2DA75F8C4FA0}"/>
    <cellStyle name="Normal 2 9 18 2 4" xfId="17116" xr:uid="{C662F9FB-BB3E-4CDE-8F65-C1F914B8115D}"/>
    <cellStyle name="Normal 2 9 18 3" xfId="8549" xr:uid="{D78A6877-46A5-4520-BAB2-80BE0F63A313}"/>
    <cellStyle name="Normal 2 9 18 3 2" xfId="17119" xr:uid="{9583479A-D797-49DE-8E6A-CF8790DB29EE}"/>
    <cellStyle name="Normal 2 9 18 4" xfId="8550" xr:uid="{F02E3C80-DDEC-44A7-BE3F-60AB0BB2BB14}"/>
    <cellStyle name="Normal 2 9 18 4 2" xfId="17120" xr:uid="{3CB98CB0-4F0F-47CB-9272-D551A198CFF3}"/>
    <cellStyle name="Normal 2 9 18 5" xfId="17115" xr:uid="{2115A294-956D-44F6-9289-5D0D874E9C09}"/>
    <cellStyle name="Normal 2 9 19" xfId="8551" xr:uid="{B35307F5-B4F3-4152-B27E-1637F538726C}"/>
    <cellStyle name="Normal 2 9 19 2" xfId="8552" xr:uid="{9C64EEC0-A71D-4A6E-9C1B-6C03D76C20A3}"/>
    <cellStyle name="Normal 2 9 19 2 2" xfId="8553" xr:uid="{EBB4AE25-0ADB-4B11-85A4-739EDACD8E15}"/>
    <cellStyle name="Normal 2 9 19 2 2 2" xfId="17123" xr:uid="{727EC814-167D-4001-A602-84CC9F312C81}"/>
    <cellStyle name="Normal 2 9 19 2 3" xfId="8554" xr:uid="{EA0247BA-9726-48F4-93C2-7AEBEEA7DB9E}"/>
    <cellStyle name="Normal 2 9 19 2 3 2" xfId="17124" xr:uid="{75B2A4D4-DA9F-4BF9-920D-8CB870573BB4}"/>
    <cellStyle name="Normal 2 9 19 2 4" xfId="17122" xr:uid="{0A7C6118-DD60-4382-81CD-CE41AE1B8511}"/>
    <cellStyle name="Normal 2 9 19 3" xfId="8555" xr:uid="{04B63B6A-963C-4B65-B196-F880F7C2008D}"/>
    <cellStyle name="Normal 2 9 19 3 2" xfId="17125" xr:uid="{5344C2BB-3FE8-4E45-8A9B-24047717C34B}"/>
    <cellStyle name="Normal 2 9 19 4" xfId="8556" xr:uid="{C280647F-44E1-4F7D-91EC-523A1FF912F0}"/>
    <cellStyle name="Normal 2 9 19 4 2" xfId="17126" xr:uid="{D2BDFD4D-7D7C-4AE2-A2BE-11622B6C4FD8}"/>
    <cellStyle name="Normal 2 9 19 5" xfId="17121" xr:uid="{7393DBC0-8BE4-4151-B377-ED35D41A7131}"/>
    <cellStyle name="Normal 2 9 2" xfId="8557" xr:uid="{A60527D3-5FC2-4B57-90B2-3CF09B2152C7}"/>
    <cellStyle name="Normal 2 9 2 2" xfId="8558" xr:uid="{25A7FC1C-5C2A-4A59-8E62-531CDF995C99}"/>
    <cellStyle name="Normal 2 9 2 2 2" xfId="8559" xr:uid="{68A117FD-56B7-4A00-B449-A4C8FF478188}"/>
    <cellStyle name="Normal 2 9 2 2 2 2" xfId="17129" xr:uid="{B178FB13-DFBA-4B3C-ADC9-83340B8F48D8}"/>
    <cellStyle name="Normal 2 9 2 2 3" xfId="8560" xr:uid="{2873B57F-10B5-4ED3-AE36-4F3D6420D879}"/>
    <cellStyle name="Normal 2 9 2 2 3 2" xfId="17130" xr:uid="{99C1AD35-0D63-4DF1-B53D-E57EFDF72D77}"/>
    <cellStyle name="Normal 2 9 2 2 4" xfId="17128" xr:uid="{604C81DC-9E08-4C86-A586-161087A4ECAC}"/>
    <cellStyle name="Normal 2 9 2 3" xfId="8561" xr:uid="{A2099BD7-ECBB-4D06-AEAA-91EE72E4EF47}"/>
    <cellStyle name="Normal 2 9 2 3 2" xfId="17131" xr:uid="{EFBF6F11-B2F8-415A-8854-E352F3772304}"/>
    <cellStyle name="Normal 2 9 2 4" xfId="8562" xr:uid="{BD691EF3-A675-4613-B991-2C131D681A1E}"/>
    <cellStyle name="Normal 2 9 2 4 2" xfId="17132" xr:uid="{C1B3F2EF-CF97-4D60-A975-9C60042600AE}"/>
    <cellStyle name="Normal 2 9 2 5" xfId="17127" xr:uid="{D8FCF694-ED6E-4D53-8F34-A1526AC4C731}"/>
    <cellStyle name="Normal 2 9 20" xfId="8563" xr:uid="{14AE4DB8-5CF1-4D38-BC62-A8F11F23E4D1}"/>
    <cellStyle name="Normal 2 9 20 2" xfId="8564" xr:uid="{67E53D21-07E8-42B0-9183-F9AA2F3145FA}"/>
    <cellStyle name="Normal 2 9 20 2 2" xfId="8565" xr:uid="{FB839C6C-B672-42FB-8EC8-B4EB231D9049}"/>
    <cellStyle name="Normal 2 9 20 2 2 2" xfId="17135" xr:uid="{0B32EBF8-F42B-4BC1-8389-81936D3A3DDF}"/>
    <cellStyle name="Normal 2 9 20 2 3" xfId="8566" xr:uid="{D9AEB33C-961E-4E5A-912B-FE8146712B98}"/>
    <cellStyle name="Normal 2 9 20 2 3 2" xfId="17136" xr:uid="{FA6A471A-8017-485A-ADDF-5BC0E3F6B06A}"/>
    <cellStyle name="Normal 2 9 20 2 4" xfId="17134" xr:uid="{EF93CC5B-BFC8-4DE6-BDEA-4127436ACDBB}"/>
    <cellStyle name="Normal 2 9 20 3" xfId="8567" xr:uid="{886BC14E-F998-4D6B-83B1-66219C0CF354}"/>
    <cellStyle name="Normal 2 9 20 3 2" xfId="17137" xr:uid="{B9368ED7-1111-429D-9A19-538FD650B718}"/>
    <cellStyle name="Normal 2 9 20 4" xfId="8568" xr:uid="{7D0AECA1-DDE8-4AAE-9BB0-10D5E827E874}"/>
    <cellStyle name="Normal 2 9 20 4 2" xfId="17138" xr:uid="{49FC7279-CED1-4727-BB96-0D9E48E0E310}"/>
    <cellStyle name="Normal 2 9 20 5" xfId="17133" xr:uid="{E3E1024B-1C7D-4FCA-A125-6603DC5B8625}"/>
    <cellStyle name="Normal 2 9 21" xfId="8569" xr:uid="{B269FA04-C7B0-4D84-9216-B2EF4154DB0B}"/>
    <cellStyle name="Normal 2 9 21 2" xfId="8570" xr:uid="{3800249B-AD62-400A-9338-E42B4F6F2435}"/>
    <cellStyle name="Normal 2 9 21 2 2" xfId="8571" xr:uid="{643B5B05-44B9-4C70-B3AE-2CFD3AFEA1F0}"/>
    <cellStyle name="Normal 2 9 21 2 2 2" xfId="17141" xr:uid="{6E01D749-EB04-40F5-9D83-CCA9AE796F28}"/>
    <cellStyle name="Normal 2 9 21 2 3" xfId="8572" xr:uid="{B712D9FA-4B27-4671-9FD6-C523845574CE}"/>
    <cellStyle name="Normal 2 9 21 2 3 2" xfId="17142" xr:uid="{22AA981E-E53A-4302-B259-AAEFCB3C3798}"/>
    <cellStyle name="Normal 2 9 21 2 4" xfId="17140" xr:uid="{622E455E-05A2-4FEF-B956-CEDAFAB67B90}"/>
    <cellStyle name="Normal 2 9 21 3" xfId="8573" xr:uid="{453B7E55-4085-44DF-BACE-E53567E5361E}"/>
    <cellStyle name="Normal 2 9 21 3 2" xfId="17143" xr:uid="{55EC7DA4-1332-4F93-9FFA-A21A15024832}"/>
    <cellStyle name="Normal 2 9 21 4" xfId="8574" xr:uid="{D6ED977E-095A-4CEC-886F-7F1D4EB1688D}"/>
    <cellStyle name="Normal 2 9 21 4 2" xfId="17144" xr:uid="{A4FD8251-398F-499C-855C-B7C120355E53}"/>
    <cellStyle name="Normal 2 9 21 5" xfId="17139" xr:uid="{D91A798B-A09D-4007-AB2A-6093BFF753D9}"/>
    <cellStyle name="Normal 2 9 22" xfId="8575" xr:uid="{3C5C1A8F-5104-49DB-B0F6-1DAC4668B9D2}"/>
    <cellStyle name="Normal 2 9 22 2" xfId="8576" xr:uid="{B0E982E4-B4DA-4A16-822A-A3F29AA1A2B3}"/>
    <cellStyle name="Normal 2 9 22 2 2" xfId="8577" xr:uid="{1BF081C4-C399-4BC0-A4D7-516606AB965F}"/>
    <cellStyle name="Normal 2 9 22 2 2 2" xfId="17147" xr:uid="{7AFD7192-6849-4B59-B4A0-CF9D3048932D}"/>
    <cellStyle name="Normal 2 9 22 2 3" xfId="8578" xr:uid="{9DEDEDBE-3D82-4880-B703-3D9FCBB83C4A}"/>
    <cellStyle name="Normal 2 9 22 2 3 2" xfId="17148" xr:uid="{B7BB0B5E-BD46-4674-BDB4-5A050D18F265}"/>
    <cellStyle name="Normal 2 9 22 2 4" xfId="17146" xr:uid="{7A7010D8-D07C-4DF8-A664-7C92B58E81C9}"/>
    <cellStyle name="Normal 2 9 22 3" xfId="8579" xr:uid="{02973A24-5673-4877-B13A-B55BFAD97575}"/>
    <cellStyle name="Normal 2 9 22 3 2" xfId="17149" xr:uid="{2214C641-F88B-476D-A7B2-013631BCBA7D}"/>
    <cellStyle name="Normal 2 9 22 4" xfId="8580" xr:uid="{8E7D1A49-8A6E-424B-B76A-D2EA55386524}"/>
    <cellStyle name="Normal 2 9 22 4 2" xfId="17150" xr:uid="{3AE53B40-9159-4487-9242-061BF7E055B5}"/>
    <cellStyle name="Normal 2 9 22 5" xfId="17145" xr:uid="{7337F9D0-0030-4E36-AF80-5835DFADF566}"/>
    <cellStyle name="Normal 2 9 23" xfId="8581" xr:uid="{28202B57-3C63-4FE1-92AC-BA276ADD805F}"/>
    <cellStyle name="Normal 2 9 23 2" xfId="8582" xr:uid="{18BA4EC8-C655-4CC6-8E2B-99F1B95111F3}"/>
    <cellStyle name="Normal 2 9 23 2 2" xfId="8583" xr:uid="{7F675B41-A4E6-4FDA-8826-15DF560B272A}"/>
    <cellStyle name="Normal 2 9 23 2 2 2" xfId="17153" xr:uid="{D28021E2-D0C2-4C08-A252-7B82ABB215E6}"/>
    <cellStyle name="Normal 2 9 23 2 3" xfId="8584" xr:uid="{8DAD272C-B3B4-4188-9B38-B3C6D7DBBFAA}"/>
    <cellStyle name="Normal 2 9 23 2 3 2" xfId="17154" xr:uid="{ECEBF945-C411-4A3D-8182-D7EAFED31D69}"/>
    <cellStyle name="Normal 2 9 23 2 4" xfId="17152" xr:uid="{C3A76D0A-5D71-4316-87F6-5AEF17CE37EF}"/>
    <cellStyle name="Normal 2 9 23 3" xfId="8585" xr:uid="{8EB19AA6-9539-4CED-A0DA-7B1BDC5DF8BB}"/>
    <cellStyle name="Normal 2 9 23 3 2" xfId="17155" xr:uid="{CD736744-7308-4940-8E32-F5F8E27F3EFE}"/>
    <cellStyle name="Normal 2 9 23 4" xfId="8586" xr:uid="{99561B5E-B5F6-46AD-9569-D4A49EE63612}"/>
    <cellStyle name="Normal 2 9 23 4 2" xfId="17156" xr:uid="{766C2D53-0B88-4879-8E05-E9887699AF2C}"/>
    <cellStyle name="Normal 2 9 23 5" xfId="17151" xr:uid="{FD1D9D48-2968-4A73-AF1E-21FDC3C6EAF9}"/>
    <cellStyle name="Normal 2 9 24" xfId="8587" xr:uid="{3F9634FF-1956-4F23-9234-2F5603CDD720}"/>
    <cellStyle name="Normal 2 9 24 2" xfId="8588" xr:uid="{FF96E392-E94C-4077-B6BF-1027648E4BD3}"/>
    <cellStyle name="Normal 2 9 24 2 2" xfId="8589" xr:uid="{E583D288-F5E0-45BA-8D31-4DD5C492CE74}"/>
    <cellStyle name="Normal 2 9 24 2 2 2" xfId="17159" xr:uid="{B71D092E-E618-48D1-89F5-90DB5E369333}"/>
    <cellStyle name="Normal 2 9 24 2 3" xfId="8590" xr:uid="{C6BB3588-A971-4344-B2F5-091B9412A20A}"/>
    <cellStyle name="Normal 2 9 24 2 3 2" xfId="17160" xr:uid="{E7019ED3-316D-4D08-9B61-3C900EF426EC}"/>
    <cellStyle name="Normal 2 9 24 2 4" xfId="17158" xr:uid="{452269F7-1572-4A7F-A39E-450CBC5A01A1}"/>
    <cellStyle name="Normal 2 9 24 3" xfId="8591" xr:uid="{96794ADD-A0F7-472E-822A-130ED274BA7C}"/>
    <cellStyle name="Normal 2 9 24 3 2" xfId="17161" xr:uid="{C5735640-4C59-449F-B7BE-4147DDE71C1A}"/>
    <cellStyle name="Normal 2 9 24 4" xfId="8592" xr:uid="{F59471D7-AABF-4DDC-A9B9-390D44247A7E}"/>
    <cellStyle name="Normal 2 9 24 4 2" xfId="17162" xr:uid="{1B66B21C-5D60-4238-9743-F0E10A27A7EA}"/>
    <cellStyle name="Normal 2 9 24 5" xfId="17157" xr:uid="{300DF55F-BCD1-49FE-B75C-8A98208FA567}"/>
    <cellStyle name="Normal 2 9 25" xfId="8593" xr:uid="{43A81FDB-7B3E-404E-8E2E-182F59B21057}"/>
    <cellStyle name="Normal 2 9 25 2" xfId="8594" xr:uid="{B4CCBFF8-1FAE-4E68-82BF-65539364DC5D}"/>
    <cellStyle name="Normal 2 9 25 2 2" xfId="8595" xr:uid="{0B47EE3D-95CC-4445-9425-09F01A197172}"/>
    <cellStyle name="Normal 2 9 25 2 2 2" xfId="17165" xr:uid="{C350F053-3E52-4BDB-83E7-BDCA87F7A6F5}"/>
    <cellStyle name="Normal 2 9 25 2 3" xfId="8596" xr:uid="{1B8B56D3-B55B-4CD8-BC7E-3CED9CA979DA}"/>
    <cellStyle name="Normal 2 9 25 2 3 2" xfId="17166" xr:uid="{63D1B135-B90A-4FEC-96BE-CB46DDD59454}"/>
    <cellStyle name="Normal 2 9 25 2 4" xfId="17164" xr:uid="{B802513E-5233-4CE1-9371-3E152B784D07}"/>
    <cellStyle name="Normal 2 9 25 3" xfId="8597" xr:uid="{DD6E27C6-F138-4084-B55B-D459854CA5C1}"/>
    <cellStyle name="Normal 2 9 25 3 2" xfId="17167" xr:uid="{8D3345BE-94C0-4C6B-BF11-6A5A4FAFBFC2}"/>
    <cellStyle name="Normal 2 9 25 4" xfId="8598" xr:uid="{4A183BFE-9773-4C83-BDBB-077E610D2780}"/>
    <cellStyle name="Normal 2 9 25 4 2" xfId="17168" xr:uid="{250E0E1E-3300-4184-95F0-3BC3C4CCDBD7}"/>
    <cellStyle name="Normal 2 9 25 5" xfId="17163" xr:uid="{12D6B12F-3858-4FBC-B1CA-ED921292131A}"/>
    <cellStyle name="Normal 2 9 26" xfId="8599" xr:uid="{88B6E203-A43F-4A08-BB36-B3635C51279C}"/>
    <cellStyle name="Normal 2 9 26 2" xfId="8600" xr:uid="{CC38D740-1DA3-477E-95FE-1F5C1EE3F875}"/>
    <cellStyle name="Normal 2 9 26 2 2" xfId="8601" xr:uid="{1A010872-8E28-4361-964C-41A4501925FE}"/>
    <cellStyle name="Normal 2 9 26 2 2 2" xfId="17171" xr:uid="{B897B9DE-DAF4-4BCE-ADBF-64F21BFA34B1}"/>
    <cellStyle name="Normal 2 9 26 2 3" xfId="8602" xr:uid="{55A08322-E471-445F-96C7-BF26C0899861}"/>
    <cellStyle name="Normal 2 9 26 2 3 2" xfId="17172" xr:uid="{30467125-6439-4D63-B342-D949AB0C8BA1}"/>
    <cellStyle name="Normal 2 9 26 2 4" xfId="17170" xr:uid="{3B4D55E7-E1A1-4C5F-8EA8-4910B49EC62A}"/>
    <cellStyle name="Normal 2 9 26 3" xfId="8603" xr:uid="{108A101E-57F0-4757-97DB-503F3F6AAADF}"/>
    <cellStyle name="Normal 2 9 26 3 2" xfId="17173" xr:uid="{1790DCF3-B734-4FE0-9340-45A8B23A3516}"/>
    <cellStyle name="Normal 2 9 26 4" xfId="8604" xr:uid="{3AF4EFB7-3305-4126-9B57-0B51718BAEDB}"/>
    <cellStyle name="Normal 2 9 26 4 2" xfId="17174" xr:uid="{0FDAB296-16BF-43A7-84CB-D241C9D5298C}"/>
    <cellStyle name="Normal 2 9 26 5" xfId="17169" xr:uid="{E668FC90-AB0F-4527-8B8C-88EE941149A8}"/>
    <cellStyle name="Normal 2 9 27" xfId="8605" xr:uid="{24B9B3FB-3826-4308-A73B-DD17ADC3861C}"/>
    <cellStyle name="Normal 2 9 27 2" xfId="8606" xr:uid="{48ACB306-AD41-46B5-8309-AF5CBE015D15}"/>
    <cellStyle name="Normal 2 9 27 2 2" xfId="8607" xr:uid="{6BC1DE36-BBF8-48D3-8A02-5E4CBB58A876}"/>
    <cellStyle name="Normal 2 9 27 2 2 2" xfId="17177" xr:uid="{C2246F8D-0E29-4664-BAB1-3C226E7F1714}"/>
    <cellStyle name="Normal 2 9 27 2 3" xfId="8608" xr:uid="{E9002E4A-370E-427A-A60F-800292B97294}"/>
    <cellStyle name="Normal 2 9 27 2 3 2" xfId="17178" xr:uid="{242E792F-3FF8-4A2D-BD42-B7A8EF59E229}"/>
    <cellStyle name="Normal 2 9 27 2 4" xfId="17176" xr:uid="{78CD0CD5-00CF-4F30-970C-0F439112F6F6}"/>
    <cellStyle name="Normal 2 9 27 3" xfId="8609" xr:uid="{A531CACA-367E-4C7C-8607-9D1A8790E8F5}"/>
    <cellStyle name="Normal 2 9 27 3 2" xfId="17179" xr:uid="{D9B36F20-DBAE-4173-B7ED-B7F745F36742}"/>
    <cellStyle name="Normal 2 9 27 4" xfId="8610" xr:uid="{E4C7DE2C-63D1-4EC7-932B-2CF0DDC1088F}"/>
    <cellStyle name="Normal 2 9 27 4 2" xfId="17180" xr:uid="{4D3D1816-BCC6-4B9D-97E7-0C0931AC73A6}"/>
    <cellStyle name="Normal 2 9 27 5" xfId="17175" xr:uid="{7D5D95AA-760F-492D-8470-FE9DE22AB17B}"/>
    <cellStyle name="Normal 2 9 28" xfId="8611" xr:uid="{2350F197-63B9-4C3C-ABC2-72C396195A91}"/>
    <cellStyle name="Normal 2 9 28 2" xfId="8612" xr:uid="{EBF2ADAE-139E-41A5-B9B5-CD04546EEC7B}"/>
    <cellStyle name="Normal 2 9 28 2 2" xfId="8613" xr:uid="{3A735270-0138-4215-85E3-798026799105}"/>
    <cellStyle name="Normal 2 9 28 2 2 2" xfId="17183" xr:uid="{E5361A78-C643-40E0-9E81-5A5E58370A5F}"/>
    <cellStyle name="Normal 2 9 28 2 3" xfId="8614" xr:uid="{EACB27DA-CC3E-4C62-AE52-C3A095101874}"/>
    <cellStyle name="Normal 2 9 28 2 3 2" xfId="17184" xr:uid="{B313CACF-9C9C-4B80-A8B6-83070D8F3631}"/>
    <cellStyle name="Normal 2 9 28 2 4" xfId="17182" xr:uid="{19F66AE5-AD27-4C21-B395-5C208ED1D14D}"/>
    <cellStyle name="Normal 2 9 28 3" xfId="8615" xr:uid="{8F03D015-B4C3-4C5B-86E6-C357E025D4C0}"/>
    <cellStyle name="Normal 2 9 28 3 2" xfId="17185" xr:uid="{F40B69F4-D2A9-424A-8BA1-55C4983CB753}"/>
    <cellStyle name="Normal 2 9 28 4" xfId="8616" xr:uid="{574A0120-D397-461A-8231-07E5C6E5267C}"/>
    <cellStyle name="Normal 2 9 28 4 2" xfId="17186" xr:uid="{BD7D72F3-36B9-4480-B029-2505A5C603E1}"/>
    <cellStyle name="Normal 2 9 28 5" xfId="17181" xr:uid="{E90F1662-AB29-4EBD-9D2B-8C8DDE6AC06E}"/>
    <cellStyle name="Normal 2 9 29" xfId="8617" xr:uid="{C4E0AF8B-BFE8-42BD-BB96-72581EC11242}"/>
    <cellStyle name="Normal 2 9 29 2" xfId="8618" xr:uid="{72A3B8A5-B36C-4096-A7D1-C9D20B37CB4E}"/>
    <cellStyle name="Normal 2 9 29 2 2" xfId="8619" xr:uid="{80510A26-CC5E-466D-A7CB-3753713F6E42}"/>
    <cellStyle name="Normal 2 9 29 2 2 2" xfId="17189" xr:uid="{F7B04989-FE7D-4CBC-A24A-257C48A5091B}"/>
    <cellStyle name="Normal 2 9 29 2 3" xfId="8620" xr:uid="{A4356636-64A1-4A62-8AA0-8896C4B255B2}"/>
    <cellStyle name="Normal 2 9 29 2 3 2" xfId="17190" xr:uid="{64A2EDAA-F931-4814-A1BD-85514BD35C6E}"/>
    <cellStyle name="Normal 2 9 29 2 4" xfId="17188" xr:uid="{7BA0AE51-FA35-448B-B808-9F7E4E1328F0}"/>
    <cellStyle name="Normal 2 9 29 3" xfId="8621" xr:uid="{6B578FF0-51C2-4714-A317-5728AD800BBA}"/>
    <cellStyle name="Normal 2 9 29 3 2" xfId="17191" xr:uid="{3BF3BAE8-01AC-4EF5-8D67-0E945785DD7F}"/>
    <cellStyle name="Normal 2 9 29 4" xfId="8622" xr:uid="{C952AF0A-29E9-41AD-9731-0C5D27BDEABA}"/>
    <cellStyle name="Normal 2 9 29 4 2" xfId="17192" xr:uid="{F230354D-B03B-4996-9563-99D73E558983}"/>
    <cellStyle name="Normal 2 9 29 5" xfId="17187" xr:uid="{81BFA526-2C66-4D69-B153-0A48A9E8733A}"/>
    <cellStyle name="Normal 2 9 3" xfId="8623" xr:uid="{2265DD35-92B9-43AB-901F-00BA9E3B5835}"/>
    <cellStyle name="Normal 2 9 3 2" xfId="8624" xr:uid="{723038EB-D28F-4409-B3C9-0697FE09F0FD}"/>
    <cellStyle name="Normal 2 9 3 2 2" xfId="8625" xr:uid="{E89A3967-3D60-4F9E-AC6D-B7C9BA34F50C}"/>
    <cellStyle name="Normal 2 9 3 2 2 2" xfId="17195" xr:uid="{D2BBFFDB-110A-4B6F-BC11-49D60DC70214}"/>
    <cellStyle name="Normal 2 9 3 2 3" xfId="8626" xr:uid="{5BE82FCE-D688-4AD0-9AB4-85A0BBFDC40D}"/>
    <cellStyle name="Normal 2 9 3 2 3 2" xfId="17196" xr:uid="{ECFD4E8B-56C1-406F-A6EA-3BB163CF2C30}"/>
    <cellStyle name="Normal 2 9 3 2 4" xfId="17194" xr:uid="{C86ADFF4-D6C9-4F21-8B97-4D484F98BFC5}"/>
    <cellStyle name="Normal 2 9 3 3" xfId="8627" xr:uid="{45ED6029-61C5-41CC-8201-10682E7EC56A}"/>
    <cellStyle name="Normal 2 9 3 3 2" xfId="17197" xr:uid="{42585C97-04F0-4163-BA35-916635E666D1}"/>
    <cellStyle name="Normal 2 9 3 4" xfId="8628" xr:uid="{BC1614FF-C648-4031-8712-41491DC10442}"/>
    <cellStyle name="Normal 2 9 3 4 2" xfId="17198" xr:uid="{DD69A922-C036-42BD-9B2F-6BEAE2AAC36C}"/>
    <cellStyle name="Normal 2 9 3 5" xfId="17193" xr:uid="{318959DB-6DB7-4513-84AD-BEE93A36B79A}"/>
    <cellStyle name="Normal 2 9 30" xfId="8629" xr:uid="{7FFE3C4E-EE68-4F8F-A271-4220F1ADEEAC}"/>
    <cellStyle name="Normal 2 9 30 2" xfId="8630" xr:uid="{AF4A3233-7244-4454-A9F7-A8939D9060BD}"/>
    <cellStyle name="Normal 2 9 30 2 2" xfId="8631" xr:uid="{64C29FF7-0362-4752-B684-76B5DF00E866}"/>
    <cellStyle name="Normal 2 9 30 2 2 2" xfId="17201" xr:uid="{6A03D79D-CCD1-4C30-9E32-9C3B35321B6D}"/>
    <cellStyle name="Normal 2 9 30 2 3" xfId="8632" xr:uid="{2136F9A1-7E81-473C-AAD4-75617E2AEA43}"/>
    <cellStyle name="Normal 2 9 30 2 3 2" xfId="17202" xr:uid="{3E873986-BB47-4B06-939F-81776382DFF2}"/>
    <cellStyle name="Normal 2 9 30 2 4" xfId="17200" xr:uid="{D94CEC16-FE41-4F0B-BAC9-3BE4EAC80056}"/>
    <cellStyle name="Normal 2 9 30 3" xfId="8633" xr:uid="{A037EDF7-F702-49C2-BB94-51B8C6FA65E5}"/>
    <cellStyle name="Normal 2 9 30 3 2" xfId="17203" xr:uid="{24BA379F-C389-4882-BB7B-3EEEBED63247}"/>
    <cellStyle name="Normal 2 9 30 4" xfId="8634" xr:uid="{FF090345-2B5E-49C7-9C3D-405558A89277}"/>
    <cellStyle name="Normal 2 9 30 4 2" xfId="17204" xr:uid="{A283250C-E469-44CA-8B2D-3ACB815AF5A5}"/>
    <cellStyle name="Normal 2 9 30 5" xfId="17199" xr:uid="{23E026D0-8680-4D40-9820-83A0E1A39A81}"/>
    <cellStyle name="Normal 2 9 31" xfId="8635" xr:uid="{8E45797B-21DE-46C8-B2F4-328705AD3D48}"/>
    <cellStyle name="Normal 2 9 31 2" xfId="8636" xr:uid="{B7187EED-A685-4675-9B53-392C250B2FD0}"/>
    <cellStyle name="Normal 2 9 31 2 2" xfId="8637" xr:uid="{D6B4DF81-4C22-44B2-8889-2642397B13A6}"/>
    <cellStyle name="Normal 2 9 31 2 2 2" xfId="17207" xr:uid="{61C9A218-6282-4A4A-906E-23236C948CCB}"/>
    <cellStyle name="Normal 2 9 31 2 3" xfId="8638" xr:uid="{CDCE27E2-A264-45C8-B50B-C66C079F3103}"/>
    <cellStyle name="Normal 2 9 31 2 3 2" xfId="17208" xr:uid="{24225EF2-4B80-4F36-A1D6-1D4E8296568C}"/>
    <cellStyle name="Normal 2 9 31 2 4" xfId="17206" xr:uid="{F1540D65-3B5D-4556-9179-E373D8901CC5}"/>
    <cellStyle name="Normal 2 9 31 3" xfId="8639" xr:uid="{6894766A-39DE-4AE3-ADB1-3BE06A386782}"/>
    <cellStyle name="Normal 2 9 31 3 2" xfId="17209" xr:uid="{CFE8EB68-28BA-4608-AF28-1FD4BF61C93B}"/>
    <cellStyle name="Normal 2 9 31 4" xfId="8640" xr:uid="{51FA7654-C927-4879-9B6F-9CEDC75E59C1}"/>
    <cellStyle name="Normal 2 9 31 4 2" xfId="17210" xr:uid="{A8B220BC-B8FA-4CCB-B267-BA3174294350}"/>
    <cellStyle name="Normal 2 9 31 5" xfId="17205" xr:uid="{D3010BF6-1015-413B-9508-6F3055248711}"/>
    <cellStyle name="Normal 2 9 32" xfId="8641" xr:uid="{EF2D7AE4-CC84-45AC-97CF-B35F9CA35D88}"/>
    <cellStyle name="Normal 2 9 32 2" xfId="8642" xr:uid="{FF00D166-0F24-41CF-9280-AC6966DB2507}"/>
    <cellStyle name="Normal 2 9 32 2 2" xfId="8643" xr:uid="{65C62FBB-B775-4B08-BD8C-84FCA2D4616C}"/>
    <cellStyle name="Normal 2 9 32 2 2 2" xfId="17213" xr:uid="{07C43D69-F528-446D-AEE4-A9391FFB6791}"/>
    <cellStyle name="Normal 2 9 32 2 3" xfId="8644" xr:uid="{95265EFA-5B23-46AE-B915-D29D6561A8D0}"/>
    <cellStyle name="Normal 2 9 32 2 3 2" xfId="17214" xr:uid="{55BA241B-4BFA-43C2-A5FA-6792A09D47C1}"/>
    <cellStyle name="Normal 2 9 32 2 4" xfId="17212" xr:uid="{014CB72F-AA77-4253-A884-61104F043474}"/>
    <cellStyle name="Normal 2 9 32 3" xfId="8645" xr:uid="{7DDB9B2F-BD9F-48CB-B4D5-DB79485D46A8}"/>
    <cellStyle name="Normal 2 9 32 3 2" xfId="17215" xr:uid="{6A0D027B-1E95-4762-8CF3-ECB2A78FAA8F}"/>
    <cellStyle name="Normal 2 9 32 4" xfId="8646" xr:uid="{74EDE51B-DD50-4D54-9A00-B5994EB04DCA}"/>
    <cellStyle name="Normal 2 9 32 4 2" xfId="17216" xr:uid="{28C86E55-7FD8-4D0D-8DD5-799E6F87DF6E}"/>
    <cellStyle name="Normal 2 9 32 5" xfId="17211" xr:uid="{646D0A76-3443-4265-BF7C-51D1CE17631F}"/>
    <cellStyle name="Normal 2 9 33" xfId="8647" xr:uid="{B74CD257-F7AA-47FE-B41B-0DB223506D68}"/>
    <cellStyle name="Normal 2 9 33 2" xfId="8648" xr:uid="{F92AB47C-1523-46B5-9AB4-EDC89E8733E0}"/>
    <cellStyle name="Normal 2 9 33 2 2" xfId="8649" xr:uid="{659EA24E-F505-4822-9A50-8727B81C88C3}"/>
    <cellStyle name="Normal 2 9 33 2 2 2" xfId="17219" xr:uid="{9DE6499B-77E8-430A-A946-31CE070A1C11}"/>
    <cellStyle name="Normal 2 9 33 2 3" xfId="8650" xr:uid="{D0DC5922-01AD-46A1-B7FB-EC1A42F247CF}"/>
    <cellStyle name="Normal 2 9 33 2 3 2" xfId="17220" xr:uid="{4C1D3468-02DE-4D0C-A341-6DA73D724D72}"/>
    <cellStyle name="Normal 2 9 33 2 4" xfId="17218" xr:uid="{2266E65A-3C28-4849-8845-C2CAF533CB14}"/>
    <cellStyle name="Normal 2 9 33 3" xfId="8651" xr:uid="{B2E97C43-55D6-4A27-B24F-F02C88920C47}"/>
    <cellStyle name="Normal 2 9 33 3 2" xfId="17221" xr:uid="{F073B80C-38CD-40E5-9D6E-64C07D60992C}"/>
    <cellStyle name="Normal 2 9 33 4" xfId="8652" xr:uid="{981EA4BE-3692-4798-BE2E-700AF29F850D}"/>
    <cellStyle name="Normal 2 9 33 4 2" xfId="17222" xr:uid="{A13B2395-3C29-4CF0-A212-038E70F3FD00}"/>
    <cellStyle name="Normal 2 9 33 5" xfId="17217" xr:uid="{977EB1DD-469A-462B-B8FC-EDA287AC0653}"/>
    <cellStyle name="Normal 2 9 34" xfId="8653" xr:uid="{AA8555FF-2025-4FAF-BEF3-A564CC4366C2}"/>
    <cellStyle name="Normal 2 9 34 2" xfId="8654" xr:uid="{AE5614EC-26CC-4C72-BDEB-BDC8293D5B20}"/>
    <cellStyle name="Normal 2 9 34 2 2" xfId="8655" xr:uid="{01B11BF8-6C5B-4BB0-B5CF-0C6BD9385416}"/>
    <cellStyle name="Normal 2 9 34 2 2 2" xfId="17225" xr:uid="{460BC8D0-2E77-49F6-A93F-DA8E54648197}"/>
    <cellStyle name="Normal 2 9 34 2 3" xfId="8656" xr:uid="{988FA60D-B79E-44BD-AD76-24BB3B7CDD33}"/>
    <cellStyle name="Normal 2 9 34 2 3 2" xfId="17226" xr:uid="{C623B78F-BE53-4809-9323-82C2426794B3}"/>
    <cellStyle name="Normal 2 9 34 2 4" xfId="17224" xr:uid="{5DD4B9B6-8FAC-4B1E-8070-2D9B420D7A02}"/>
    <cellStyle name="Normal 2 9 34 3" xfId="8657" xr:uid="{4FA7B77D-1A06-456F-AE8A-82245C3779A2}"/>
    <cellStyle name="Normal 2 9 34 3 2" xfId="17227" xr:uid="{10808BAD-8C2D-4DD3-8A6E-47A85917EA9B}"/>
    <cellStyle name="Normal 2 9 34 4" xfId="8658" xr:uid="{27F5F94B-DD70-4D6E-93AA-3C38D1D80689}"/>
    <cellStyle name="Normal 2 9 34 4 2" xfId="17228" xr:uid="{360AFF5D-1B71-4162-AFA4-8FA4F7F85027}"/>
    <cellStyle name="Normal 2 9 34 5" xfId="17223" xr:uid="{6C8F86EF-C27D-4A64-B664-F4385D068496}"/>
    <cellStyle name="Normal 2 9 35" xfId="8659" xr:uid="{DB72502E-5146-4536-9274-7EA1E70F4FB2}"/>
    <cellStyle name="Normal 2 9 35 2" xfId="8660" xr:uid="{623BA7BC-6C07-4C4E-A4E0-9F8EAFF89230}"/>
    <cellStyle name="Normal 2 9 35 2 2" xfId="8661" xr:uid="{5560F3C4-DF4D-4D0D-8080-0231F3C0FBDB}"/>
    <cellStyle name="Normal 2 9 35 2 2 2" xfId="17231" xr:uid="{FE9FDC12-11C2-40C5-9676-B34848D2B518}"/>
    <cellStyle name="Normal 2 9 35 2 3" xfId="8662" xr:uid="{6B3E995A-FDC8-48C2-9169-1CE09AC2CFAA}"/>
    <cellStyle name="Normal 2 9 35 2 3 2" xfId="17232" xr:uid="{FF842AD8-58B0-4666-B109-2812D04DEEE2}"/>
    <cellStyle name="Normal 2 9 35 2 4" xfId="17230" xr:uid="{0366EBAF-EFA4-4CDD-B445-AE045B7B8769}"/>
    <cellStyle name="Normal 2 9 35 3" xfId="8663" xr:uid="{3DA810BF-6CE7-47AE-8713-4DE3CBE7D5A2}"/>
    <cellStyle name="Normal 2 9 35 3 2" xfId="17233" xr:uid="{50D4868D-95D7-473C-A240-C4B1A65B7C8E}"/>
    <cellStyle name="Normal 2 9 35 4" xfId="8664" xr:uid="{408EA0D0-1F09-414A-AE67-51AEE80BCE8E}"/>
    <cellStyle name="Normal 2 9 35 4 2" xfId="17234" xr:uid="{A82ED877-9BC0-4E55-9579-DC796CDD4A50}"/>
    <cellStyle name="Normal 2 9 35 5" xfId="17229" xr:uid="{22F04495-6C9B-4B23-8450-223F65CE13B7}"/>
    <cellStyle name="Normal 2 9 36" xfId="8665" xr:uid="{E0494F25-DAC0-4635-BDF3-30038803689D}"/>
    <cellStyle name="Normal 2 9 36 2" xfId="8666" xr:uid="{0EFFEE59-8647-4893-AFAC-9637FBD82BC1}"/>
    <cellStyle name="Normal 2 9 36 2 2" xfId="8667" xr:uid="{E15228A2-4BF3-4C3F-8B39-C19C04494CEB}"/>
    <cellStyle name="Normal 2 9 36 2 2 2" xfId="17237" xr:uid="{9170CC48-F918-48AA-8C14-8998AA2ACEDA}"/>
    <cellStyle name="Normal 2 9 36 2 3" xfId="8668" xr:uid="{730F9E3E-772B-433B-92C7-7B2E5BA52C87}"/>
    <cellStyle name="Normal 2 9 36 2 3 2" xfId="17238" xr:uid="{96E1DFDA-F12D-45DE-B0D2-F4BF0CBA74D7}"/>
    <cellStyle name="Normal 2 9 36 2 4" xfId="17236" xr:uid="{73307B57-5F9C-478C-AAAA-8390F36F9162}"/>
    <cellStyle name="Normal 2 9 36 3" xfId="8669" xr:uid="{5FBAB964-DC85-4A63-A3ED-1CA1254B48CB}"/>
    <cellStyle name="Normal 2 9 36 3 2" xfId="17239" xr:uid="{BC48DF00-3BC3-4EEA-B740-E65003BDF5CE}"/>
    <cellStyle name="Normal 2 9 36 4" xfId="8670" xr:uid="{1EEF2A8F-98C6-44C6-A444-1ADB2937E9E3}"/>
    <cellStyle name="Normal 2 9 36 4 2" xfId="17240" xr:uid="{8BA23A02-FC1A-4DA4-A378-75E33F6B77DF}"/>
    <cellStyle name="Normal 2 9 36 5" xfId="17235" xr:uid="{A8192C51-1F03-47C8-8197-96FA921FE1C0}"/>
    <cellStyle name="Normal 2 9 37" xfId="8671" xr:uid="{4836A8D8-8B06-494D-9BF3-0510BB42E74B}"/>
    <cellStyle name="Normal 2 9 37 2" xfId="8672" xr:uid="{1B67CF02-01D5-4C5F-B8DA-DCD3027D9E6C}"/>
    <cellStyle name="Normal 2 9 37 2 2" xfId="8673" xr:uid="{5BC7E3E5-A777-453C-AB58-A22B3AB3CEC9}"/>
    <cellStyle name="Normal 2 9 37 2 2 2" xfId="17243" xr:uid="{3C8F54BA-B2FE-4C95-9995-C55DAF219C34}"/>
    <cellStyle name="Normal 2 9 37 2 3" xfId="8674" xr:uid="{ECA15637-D42C-4F7F-8312-26BA372DB997}"/>
    <cellStyle name="Normal 2 9 37 2 3 2" xfId="17244" xr:uid="{4015D481-293E-4299-A5DC-F748295FD21D}"/>
    <cellStyle name="Normal 2 9 37 2 4" xfId="17242" xr:uid="{965FAF7A-8773-43FB-9772-AB977CDBB116}"/>
    <cellStyle name="Normal 2 9 37 3" xfId="8675" xr:uid="{F1C0509C-D3AC-4393-A829-7B9440192E45}"/>
    <cellStyle name="Normal 2 9 37 3 2" xfId="17245" xr:uid="{8E9CC41E-367E-44CE-A43F-9363FEC727A5}"/>
    <cellStyle name="Normal 2 9 37 4" xfId="8676" xr:uid="{62187087-C8A4-4334-B80F-BD64853AC185}"/>
    <cellStyle name="Normal 2 9 37 4 2" xfId="17246" xr:uid="{912B4B60-4782-4E53-ADF6-8383377E9349}"/>
    <cellStyle name="Normal 2 9 37 5" xfId="17241" xr:uid="{1457EC13-AE33-4DDE-91F8-A5C24092AB46}"/>
    <cellStyle name="Normal 2 9 38" xfId="8677" xr:uid="{935AC504-F8A8-4CFD-AF46-5B14D7ECA739}"/>
    <cellStyle name="Normal 2 9 38 2" xfId="8678" xr:uid="{AFA83A7A-2130-45F8-93E4-E8A335C99068}"/>
    <cellStyle name="Normal 2 9 38 2 2" xfId="8679" xr:uid="{CD621E7B-969A-4C1B-B91F-35EA3FC71BF2}"/>
    <cellStyle name="Normal 2 9 38 2 2 2" xfId="17249" xr:uid="{4EAD4D79-291B-4864-9208-A4A01097032A}"/>
    <cellStyle name="Normal 2 9 38 2 3" xfId="8680" xr:uid="{036F1E89-4721-4CF4-881F-415F8D9572FE}"/>
    <cellStyle name="Normal 2 9 38 2 3 2" xfId="17250" xr:uid="{BB57C07D-C9EE-4777-9177-E2C8136730FC}"/>
    <cellStyle name="Normal 2 9 38 2 4" xfId="17248" xr:uid="{254DDE0A-96A2-4C7B-8D26-F4C09364CF76}"/>
    <cellStyle name="Normal 2 9 38 3" xfId="8681" xr:uid="{88F27640-6D97-459F-B9CA-B80E69AA144C}"/>
    <cellStyle name="Normal 2 9 38 3 2" xfId="17251" xr:uid="{14AAD61A-665E-42FB-82EB-44C1336BEC81}"/>
    <cellStyle name="Normal 2 9 38 4" xfId="8682" xr:uid="{0FAB80D7-EBBB-4389-8F2C-179744144A20}"/>
    <cellStyle name="Normal 2 9 38 4 2" xfId="17252" xr:uid="{A89CA3AB-69C9-4710-BDD9-AD8A1EE16C3F}"/>
    <cellStyle name="Normal 2 9 38 5" xfId="17247" xr:uid="{EB630C46-8551-4869-89E2-FA0352BFF154}"/>
    <cellStyle name="Normal 2 9 39" xfId="8683" xr:uid="{70488AA5-22B7-4E51-B819-8F59D6025E9B}"/>
    <cellStyle name="Normal 2 9 39 2" xfId="8684" xr:uid="{44DF6AE6-A75D-4454-9F11-62DD3C26939C}"/>
    <cellStyle name="Normal 2 9 39 2 2" xfId="8685" xr:uid="{5B39F850-3CA8-4D2D-92DC-1E886BA195B4}"/>
    <cellStyle name="Normal 2 9 39 2 2 2" xfId="17255" xr:uid="{2827ABA1-1B0A-43FF-BC1E-95D6F73F63B6}"/>
    <cellStyle name="Normal 2 9 39 2 3" xfId="8686" xr:uid="{82CD420A-789E-4CD8-8967-5149BCFDABD7}"/>
    <cellStyle name="Normal 2 9 39 2 3 2" xfId="17256" xr:uid="{61DEF6E8-2268-41BB-95A4-A659218442EB}"/>
    <cellStyle name="Normal 2 9 39 2 4" xfId="17254" xr:uid="{106E6E94-B7B0-4C07-8001-70E6C51AD8AD}"/>
    <cellStyle name="Normal 2 9 39 3" xfId="8687" xr:uid="{F08AC2FF-1303-4F0A-ACF0-0FEA7FFFBBEC}"/>
    <cellStyle name="Normal 2 9 39 3 2" xfId="17257" xr:uid="{94DC1F8D-4917-4BF6-B0BA-7F407EBAC983}"/>
    <cellStyle name="Normal 2 9 39 4" xfId="8688" xr:uid="{3EE2D73A-84B7-422C-B7A8-20663590A299}"/>
    <cellStyle name="Normal 2 9 39 4 2" xfId="17258" xr:uid="{CF273678-75E5-4416-BDBC-020B81F95E6F}"/>
    <cellStyle name="Normal 2 9 39 5" xfId="17253" xr:uid="{54990F48-79AB-48C1-AB80-DD73D631729E}"/>
    <cellStyle name="Normal 2 9 4" xfId="8689" xr:uid="{FD969761-69E8-46E9-B886-33DA67A618F7}"/>
    <cellStyle name="Normal 2 9 4 2" xfId="8690" xr:uid="{8400D1F9-F276-4FF4-98B8-6B0B49FE9946}"/>
    <cellStyle name="Normal 2 9 4 2 2" xfId="8691" xr:uid="{867E06E5-A66F-4D91-B8A1-C6D273D1ACBD}"/>
    <cellStyle name="Normal 2 9 4 2 2 2" xfId="17261" xr:uid="{B21D37B8-18EC-4C17-97B8-051E64AD6A63}"/>
    <cellStyle name="Normal 2 9 4 2 3" xfId="8692" xr:uid="{0E4C59B4-A7D9-4465-AD8C-79E713F26F80}"/>
    <cellStyle name="Normal 2 9 4 2 3 2" xfId="17262" xr:uid="{226B32CB-785F-48FD-89CE-5EC9C5D6F164}"/>
    <cellStyle name="Normal 2 9 4 2 4" xfId="17260" xr:uid="{41BF2856-93E6-43AC-BC12-05CDA7588A20}"/>
    <cellStyle name="Normal 2 9 4 3" xfId="8693" xr:uid="{C69A07CD-E33D-47A0-AE29-0A6A510AE3C8}"/>
    <cellStyle name="Normal 2 9 4 3 2" xfId="17263" xr:uid="{4AE75A49-13D4-425C-83F6-98E3D9ABC2BC}"/>
    <cellStyle name="Normal 2 9 4 4" xfId="8694" xr:uid="{2DFD1DB2-F748-4724-84E7-55B3BB077BFD}"/>
    <cellStyle name="Normal 2 9 4 4 2" xfId="17264" xr:uid="{29B3CA8C-C672-4099-B9DC-DDD4401E8BD2}"/>
    <cellStyle name="Normal 2 9 4 5" xfId="17259" xr:uid="{35132860-38AD-4A7B-AA53-3F2A89925260}"/>
    <cellStyle name="Normal 2 9 40" xfId="8695" xr:uid="{F0475CB0-63FC-4BCF-A25B-41DA1B3D5069}"/>
    <cellStyle name="Normal 2 9 40 2" xfId="8696" xr:uid="{DDAA73B4-107D-442D-A2DA-5195F4E84934}"/>
    <cellStyle name="Normal 2 9 40 2 2" xfId="8697" xr:uid="{403C0878-B8E3-43AF-9BEB-E29DC60A7410}"/>
    <cellStyle name="Normal 2 9 40 2 2 2" xfId="17267" xr:uid="{B2CEAA14-4E0F-4694-9C27-9810F08D1745}"/>
    <cellStyle name="Normal 2 9 40 2 3" xfId="8698" xr:uid="{0655F982-E26C-417C-B206-39C92D2FD2F6}"/>
    <cellStyle name="Normal 2 9 40 2 3 2" xfId="17268" xr:uid="{BB0B818A-F500-40EC-A037-4B0991C607F0}"/>
    <cellStyle name="Normal 2 9 40 2 4" xfId="17266" xr:uid="{8EE83933-2309-4CC4-BDB3-A557C8D4E572}"/>
    <cellStyle name="Normal 2 9 40 3" xfId="8699" xr:uid="{9F7E41CE-F0A3-4259-89F4-4F9229FF9EA1}"/>
    <cellStyle name="Normal 2 9 40 3 2" xfId="17269" xr:uid="{BA7EC60F-8470-4620-8955-FC4E17F5F5AA}"/>
    <cellStyle name="Normal 2 9 40 4" xfId="8700" xr:uid="{9F7EDE35-87B5-490B-9776-13C8711FC440}"/>
    <cellStyle name="Normal 2 9 40 4 2" xfId="17270" xr:uid="{56D1E0EE-CDFF-421D-BF6D-31E56E16E16B}"/>
    <cellStyle name="Normal 2 9 40 5" xfId="17265" xr:uid="{D6629AFD-7861-496E-8033-9747943AC435}"/>
    <cellStyle name="Normal 2 9 41" xfId="8701" xr:uid="{A4AA265D-73CB-48C3-A19B-CEDD216916C7}"/>
    <cellStyle name="Normal 2 9 41 2" xfId="8702" xr:uid="{B5048B90-0FCE-4236-B373-D8CD5C568332}"/>
    <cellStyle name="Normal 2 9 41 2 2" xfId="8703" xr:uid="{E0DE4A0D-CF4D-4527-8325-B2CC60533037}"/>
    <cellStyle name="Normal 2 9 41 2 2 2" xfId="17273" xr:uid="{30D350C5-BCE5-48C8-8DB1-C5485C9D9434}"/>
    <cellStyle name="Normal 2 9 41 2 3" xfId="8704" xr:uid="{61079345-C82E-43B3-8737-7A05E5730724}"/>
    <cellStyle name="Normal 2 9 41 2 3 2" xfId="17274" xr:uid="{09FA63D1-ABAA-4CA2-A12E-A512568368A4}"/>
    <cellStyle name="Normal 2 9 41 2 4" xfId="17272" xr:uid="{644D2986-9AA6-48B7-B686-F96FDBC0BC12}"/>
    <cellStyle name="Normal 2 9 41 3" xfId="8705" xr:uid="{69B9EAB2-D10D-4A19-AE44-4AFAA4207957}"/>
    <cellStyle name="Normal 2 9 41 3 2" xfId="17275" xr:uid="{67253C92-7D23-4F61-9600-1F161809058D}"/>
    <cellStyle name="Normal 2 9 41 4" xfId="8706" xr:uid="{6B1E6514-A4F1-4D64-9F0E-ADAC5BBC0EC7}"/>
    <cellStyle name="Normal 2 9 41 4 2" xfId="17276" xr:uid="{565B7AA8-516E-4689-9CBC-0832AC699EC7}"/>
    <cellStyle name="Normal 2 9 41 5" xfId="17271" xr:uid="{A4EE1D82-D418-4D19-990F-0588D5E527A1}"/>
    <cellStyle name="Normal 2 9 42" xfId="8707" xr:uid="{F49D18CF-8C97-4B31-A3C5-35CD8E7EFCF5}"/>
    <cellStyle name="Normal 2 9 42 2" xfId="8708" xr:uid="{81732414-FFEB-4164-80F0-74BFE817E57D}"/>
    <cellStyle name="Normal 2 9 42 2 2" xfId="8709" xr:uid="{02CD0EF5-8E1F-4C12-BF1A-591B6C581149}"/>
    <cellStyle name="Normal 2 9 42 2 2 2" xfId="17279" xr:uid="{12797DD6-F391-445C-B085-7C9F233263D1}"/>
    <cellStyle name="Normal 2 9 42 2 3" xfId="8710" xr:uid="{CB639330-2444-4F4A-80D6-17BC83A9F080}"/>
    <cellStyle name="Normal 2 9 42 2 3 2" xfId="17280" xr:uid="{5643EA39-7391-47DF-A4F1-464D802266A0}"/>
    <cellStyle name="Normal 2 9 42 2 4" xfId="17278" xr:uid="{87B395E8-0A15-4BB8-B350-61AAAC89CE4E}"/>
    <cellStyle name="Normal 2 9 42 3" xfId="8711" xr:uid="{C24EE349-318D-4821-B72F-ADAA8045823C}"/>
    <cellStyle name="Normal 2 9 42 3 2" xfId="17281" xr:uid="{C71D1552-AE49-4F26-B03B-92FF78374A93}"/>
    <cellStyle name="Normal 2 9 42 4" xfId="8712" xr:uid="{CBA4BE7E-2DD9-41E7-8F39-DA9FC9CE1663}"/>
    <cellStyle name="Normal 2 9 42 4 2" xfId="17282" xr:uid="{A7A09E2B-E384-4D83-B13A-5E341920AAC9}"/>
    <cellStyle name="Normal 2 9 42 5" xfId="17277" xr:uid="{8AC2F1EB-EC74-42D0-8360-913921269EBB}"/>
    <cellStyle name="Normal 2 9 43" xfId="8713" xr:uid="{BE762F5F-D251-4068-93DB-7790652C28D8}"/>
    <cellStyle name="Normal 2 9 43 2" xfId="8714" xr:uid="{9A50D857-A275-4F28-8EDF-E6542D4A201D}"/>
    <cellStyle name="Normal 2 9 43 2 2" xfId="8715" xr:uid="{893909BB-EF38-4013-A5BE-3C7C18800C06}"/>
    <cellStyle name="Normal 2 9 43 2 2 2" xfId="17285" xr:uid="{CAB47263-7162-4460-BF54-308DEF64D557}"/>
    <cellStyle name="Normal 2 9 43 2 3" xfId="8716" xr:uid="{0FB2F0D3-BBEF-4157-A13D-8B42B320100B}"/>
    <cellStyle name="Normal 2 9 43 2 3 2" xfId="17286" xr:uid="{6F32EB51-85D5-4FE0-85B2-A07B09F214AD}"/>
    <cellStyle name="Normal 2 9 43 2 4" xfId="17284" xr:uid="{8ECB19C6-293D-4187-891E-67F7FAB11070}"/>
    <cellStyle name="Normal 2 9 43 3" xfId="8717" xr:uid="{A1D97B88-FE9A-4477-ABAC-7822D75814DC}"/>
    <cellStyle name="Normal 2 9 43 3 2" xfId="17287" xr:uid="{8A6E07F0-B459-45D7-AC77-F99BA1118622}"/>
    <cellStyle name="Normal 2 9 43 4" xfId="8718" xr:uid="{82318E53-4999-4FC1-A83E-0EB361D93864}"/>
    <cellStyle name="Normal 2 9 43 4 2" xfId="17288" xr:uid="{DB19B423-FF03-4AA7-BA59-E54A0FF1D63B}"/>
    <cellStyle name="Normal 2 9 43 5" xfId="17283" xr:uid="{D2C3CC86-6133-4A1F-87E8-88FE102265EC}"/>
    <cellStyle name="Normal 2 9 44" xfId="8719" xr:uid="{46EE16A5-90AD-42CF-BC64-AEA5BB24E682}"/>
    <cellStyle name="Normal 2 9 44 2" xfId="8720" xr:uid="{BFDE3CB2-31FA-43C1-88E9-F26352D3437E}"/>
    <cellStyle name="Normal 2 9 44 2 2" xfId="17290" xr:uid="{2066C908-5BBE-4FCC-9000-731C3A318B31}"/>
    <cellStyle name="Normal 2 9 44 3" xfId="8721" xr:uid="{71BD6E6F-9F05-4990-A64C-F6B724435074}"/>
    <cellStyle name="Normal 2 9 44 3 2" xfId="17291" xr:uid="{AB3D5A06-7E3B-4E24-AD27-A36201E4DC10}"/>
    <cellStyle name="Normal 2 9 44 4" xfId="17289" xr:uid="{797BA3E2-36AA-4972-B2B4-B8536663B91F}"/>
    <cellStyle name="Normal 2 9 45" xfId="8722" xr:uid="{87B0DEE8-68D6-4983-8DF8-25CEA27149F2}"/>
    <cellStyle name="Normal 2 9 45 2" xfId="17292" xr:uid="{4E7C9D98-FFC6-47F9-8761-45198009F373}"/>
    <cellStyle name="Normal 2 9 46" xfId="8723" xr:uid="{8A718D17-1E40-4D33-960A-485F2676B7AE}"/>
    <cellStyle name="Normal 2 9 46 2" xfId="17293" xr:uid="{0BDCD060-CA8C-4167-A3EF-BE02483B12E5}"/>
    <cellStyle name="Normal 2 9 47" xfId="17066" xr:uid="{E0BA8FEE-3006-4904-9DAA-9F37E15F0DEE}"/>
    <cellStyle name="Normal 2 9 5" xfId="8724" xr:uid="{26B13F2C-ABEB-4C65-B97F-C20D7D01A1D0}"/>
    <cellStyle name="Normal 2 9 5 2" xfId="8725" xr:uid="{5A831633-874C-4F19-805F-23A2471B4303}"/>
    <cellStyle name="Normal 2 9 5 2 2" xfId="8726" xr:uid="{4D9CF4E6-D035-45D5-8338-2B8E7C744002}"/>
    <cellStyle name="Normal 2 9 5 2 2 2" xfId="17296" xr:uid="{03D04F8C-C1C0-46A7-86C5-C2E5FF3AE684}"/>
    <cellStyle name="Normal 2 9 5 2 3" xfId="8727" xr:uid="{27F5688E-1E2B-4056-8700-AC858057B6CF}"/>
    <cellStyle name="Normal 2 9 5 2 3 2" xfId="17297" xr:uid="{34102A8C-EE51-457F-B58E-BE5E750FE486}"/>
    <cellStyle name="Normal 2 9 5 2 4" xfId="17295" xr:uid="{F21E70C0-A0F9-4B8B-A03C-DF158E22E64C}"/>
    <cellStyle name="Normal 2 9 5 3" xfId="8728" xr:uid="{0A3A0F58-E07A-45DE-BDE8-DF5D25BB6B19}"/>
    <cellStyle name="Normal 2 9 5 3 2" xfId="17298" xr:uid="{E9FF345F-6D88-4F4B-A523-559669D027F4}"/>
    <cellStyle name="Normal 2 9 5 4" xfId="8729" xr:uid="{873005ED-0355-4CB1-88B2-A9A56C78290A}"/>
    <cellStyle name="Normal 2 9 5 4 2" xfId="17299" xr:uid="{F7C8D78C-8A47-43BD-89C1-FC215B86C567}"/>
    <cellStyle name="Normal 2 9 5 5" xfId="17294" xr:uid="{BB6DF6A3-C229-4B12-A465-C0DDFCDE75FD}"/>
    <cellStyle name="Normal 2 9 6" xfId="8730" xr:uid="{328C8729-4FFE-4339-853A-94A9ADB75347}"/>
    <cellStyle name="Normal 2 9 6 2" xfId="8731" xr:uid="{F7E43D1E-9BA8-43E9-90E0-98CBCF34F65F}"/>
    <cellStyle name="Normal 2 9 6 2 2" xfId="8732" xr:uid="{EEAE2948-E857-4E81-89E5-C8A661CCA117}"/>
    <cellStyle name="Normal 2 9 6 2 2 2" xfId="17302" xr:uid="{E663CC27-6E49-4B1F-8CE7-590D0F2EA67F}"/>
    <cellStyle name="Normal 2 9 6 2 3" xfId="8733" xr:uid="{882918FC-F599-4F61-94AB-DEC42BBE1968}"/>
    <cellStyle name="Normal 2 9 6 2 3 2" xfId="17303" xr:uid="{2CBBC5E5-E3A4-4E26-BC2B-D8AA6FD1E680}"/>
    <cellStyle name="Normal 2 9 6 2 4" xfId="17301" xr:uid="{3609B438-6CA0-41D5-925E-72795B29BE44}"/>
    <cellStyle name="Normal 2 9 6 3" xfId="8734" xr:uid="{48C3F1B8-6287-4A48-B16C-4FB5CA184EDB}"/>
    <cellStyle name="Normal 2 9 6 3 2" xfId="17304" xr:uid="{53A17718-39E8-41AC-B307-857DB69C9B15}"/>
    <cellStyle name="Normal 2 9 6 4" xfId="8735" xr:uid="{C7AF5CEE-B0D7-4410-B82E-507DE6615A8D}"/>
    <cellStyle name="Normal 2 9 6 4 2" xfId="17305" xr:uid="{BE5AB5A7-3D43-43DD-9EFA-AF59FBDCF6C5}"/>
    <cellStyle name="Normal 2 9 6 5" xfId="17300" xr:uid="{9321E7FD-A706-4146-A4F4-F5566736641A}"/>
    <cellStyle name="Normal 2 9 7" xfId="8736" xr:uid="{34B0E513-8BF8-427E-BC12-84144A65D30E}"/>
    <cellStyle name="Normal 2 9 7 2" xfId="8737" xr:uid="{7677AC9B-6C79-4440-A639-F74EE1BA3F49}"/>
    <cellStyle name="Normal 2 9 7 2 2" xfId="8738" xr:uid="{62B92F30-8E38-4A03-89BD-D4FAFCC59348}"/>
    <cellStyle name="Normal 2 9 7 2 2 2" xfId="17308" xr:uid="{A70248C4-2113-44CB-8B89-2BF2BC1FCD89}"/>
    <cellStyle name="Normal 2 9 7 2 3" xfId="8739" xr:uid="{CE4C700B-E60D-4DD8-A5C5-42E9746487F3}"/>
    <cellStyle name="Normal 2 9 7 2 3 2" xfId="17309" xr:uid="{444D628B-8301-46A8-97AA-0D21BD8E69F5}"/>
    <cellStyle name="Normal 2 9 7 2 4" xfId="17307" xr:uid="{0088B336-DB9F-4BDC-A00C-CB321022057B}"/>
    <cellStyle name="Normal 2 9 7 3" xfId="8740" xr:uid="{9D879A6A-607B-4329-A594-0CA8C04A17C3}"/>
    <cellStyle name="Normal 2 9 7 3 2" xfId="17310" xr:uid="{D5851EE4-1509-4AF1-92B5-48A7EF77ABB7}"/>
    <cellStyle name="Normal 2 9 7 4" xfId="8741" xr:uid="{2D12BE2C-C43B-42E7-AA17-E3ED0E6F7DB2}"/>
    <cellStyle name="Normal 2 9 7 4 2" xfId="17311" xr:uid="{39BA17E1-428B-4003-BDFF-E9BA14076055}"/>
    <cellStyle name="Normal 2 9 7 5" xfId="17306" xr:uid="{E92ED316-D528-41AB-BB23-71CC0606C153}"/>
    <cellStyle name="Normal 2 9 8" xfId="8742" xr:uid="{AFFA7CE1-721D-40BB-AEB2-3D56ED5F6A07}"/>
    <cellStyle name="Normal 2 9 8 2" xfId="8743" xr:uid="{0421AC90-9B6C-45DC-B50E-CB7EA2465398}"/>
    <cellStyle name="Normal 2 9 8 2 2" xfId="8744" xr:uid="{3860CDB4-B397-46D7-85F9-2971432FD3D7}"/>
    <cellStyle name="Normal 2 9 8 2 2 2" xfId="17314" xr:uid="{5C3041C2-D9FD-4782-A347-3EA0B3C79B1E}"/>
    <cellStyle name="Normal 2 9 8 2 3" xfId="8745" xr:uid="{0930E858-E804-4CC9-BF8B-ED7EDC47AA4C}"/>
    <cellStyle name="Normal 2 9 8 2 3 2" xfId="17315" xr:uid="{3786BD9A-ABFA-44A2-8CEB-D4FB025C238D}"/>
    <cellStyle name="Normal 2 9 8 2 4" xfId="17313" xr:uid="{82ACC23D-7244-43D0-9204-8A6F26FEDBB4}"/>
    <cellStyle name="Normal 2 9 8 3" xfId="8746" xr:uid="{F596E4F2-81D8-49D0-BFA7-B9710EE73056}"/>
    <cellStyle name="Normal 2 9 8 3 2" xfId="17316" xr:uid="{6038BAC9-B1B5-4077-8F3C-B2F7972DD9C2}"/>
    <cellStyle name="Normal 2 9 8 4" xfId="8747" xr:uid="{1A7F78EA-E6B4-459D-A1BD-61C955095E3C}"/>
    <cellStyle name="Normal 2 9 8 4 2" xfId="17317" xr:uid="{85506860-378F-4844-9630-09DF20124CFC}"/>
    <cellStyle name="Normal 2 9 8 5" xfId="17312" xr:uid="{29D97D4F-163C-4332-AF7F-F6CEEA13FFB7}"/>
    <cellStyle name="Normal 2 9 9" xfId="8748" xr:uid="{A61AD715-FBEA-4335-98ED-0369A3BFE822}"/>
    <cellStyle name="Normal 2 9 9 2" xfId="8749" xr:uid="{F7B87A0D-D0A8-496C-AC5C-631F46827352}"/>
    <cellStyle name="Normal 2 9 9 2 2" xfId="8750" xr:uid="{CE0AB992-7B45-4F1B-B1DC-8029A1EC0A45}"/>
    <cellStyle name="Normal 2 9 9 2 2 2" xfId="17320" xr:uid="{583F218C-20EE-4D28-88CC-8DE6524E64C5}"/>
    <cellStyle name="Normal 2 9 9 2 3" xfId="8751" xr:uid="{5320AB48-4D10-4EAA-82C1-34FB845BE67C}"/>
    <cellStyle name="Normal 2 9 9 2 3 2" xfId="17321" xr:uid="{7DA27FEF-8F7F-4301-AA2F-F4C5D33CEB53}"/>
    <cellStyle name="Normal 2 9 9 2 4" xfId="17319" xr:uid="{3BD5CBB8-7C1E-4891-81B2-73040875920F}"/>
    <cellStyle name="Normal 2 9 9 3" xfId="8752" xr:uid="{33846571-615A-4B5D-BA4D-74ADAB1BF7AD}"/>
    <cellStyle name="Normal 2 9 9 3 2" xfId="17322" xr:uid="{D93A855D-5CFA-4592-A3E7-3F959C1D7A39}"/>
    <cellStyle name="Normal 2 9 9 4" xfId="8753" xr:uid="{48E1B7CE-92DA-474F-B0B6-3843B14B182B}"/>
    <cellStyle name="Normal 2 9 9 4 2" xfId="17323" xr:uid="{13303029-AA5C-461F-AB96-D9AB29811414}"/>
    <cellStyle name="Normal 2 9 9 5" xfId="17318" xr:uid="{CD33748C-6F82-49F9-B49C-F444C12AE4D1}"/>
    <cellStyle name="Normal 20" xfId="8754" xr:uid="{F6C27D9B-9909-40BB-A7C2-7C942475D126}"/>
    <cellStyle name="Normal 21" xfId="8755" xr:uid="{6AE8CD58-A85F-47F7-AE6E-4236937E8B22}"/>
    <cellStyle name="Normal 22" xfId="20" xr:uid="{EAB29CE1-F273-481C-9B76-42D1E8104508}"/>
    <cellStyle name="Normal 23" xfId="8995" xr:uid="{5346A9CA-06D5-46EF-812B-DD5F98A614F3}"/>
    <cellStyle name="Normal 2DP" xfId="8756" xr:uid="{605BF23F-D1A9-4EA0-97C4-24089BA146BA}"/>
    <cellStyle name="Normal 2DP 2" xfId="8757" xr:uid="{6165759D-322B-4872-9D72-44254050A035}"/>
    <cellStyle name="Normal 2DP 3" xfId="8758" xr:uid="{9DCAF150-0C97-410E-8472-72B16375AF26}"/>
    <cellStyle name="Normal 2DP 4" xfId="8759" xr:uid="{CBAA43B8-2233-425B-90B1-1C914AEAA8D4}"/>
    <cellStyle name="Normal 2DP 5" xfId="8760" xr:uid="{86D9356D-6A2D-4460-BAD8-797E68149B05}"/>
    <cellStyle name="Normal 2DP 6" xfId="8761" xr:uid="{A99222F6-63CF-4ACD-AE44-B2BB8FD11C59}"/>
    <cellStyle name="Normal 2DP 7" xfId="8762" xr:uid="{7E5C1A03-E1DE-45C2-B924-D45C29B16C31}"/>
    <cellStyle name="Normal 3" xfId="11" xr:uid="{00000000-0005-0000-0000-000004000000}"/>
    <cellStyle name="Normal 3 10" xfId="8763" xr:uid="{B32D74DE-4ED1-49FE-A0D4-FFFFE00023CC}"/>
    <cellStyle name="Normal 3 11" xfId="13" xr:uid="{1E2399A2-ABDD-4686-B600-D6E104D618E9}"/>
    <cellStyle name="Normal 3 11 2" xfId="8952" xr:uid="{8B838FC5-5A24-49F7-8D8A-73B50D5198DC}"/>
    <cellStyle name="Normal 3 12" xfId="8953" xr:uid="{7DB49378-C0DE-4CBC-9499-E99A2106C4CC}"/>
    <cellStyle name="Normal 3 2" xfId="14" xr:uid="{15B02C1F-AC3B-417C-997D-CC1BD91BC022}"/>
    <cellStyle name="Normal 3 2 2" xfId="8765" xr:uid="{179A6FE0-3D19-4AFE-8F9A-0AE4B9443606}"/>
    <cellStyle name="Normal 3 2 3" xfId="8766" xr:uid="{64C4E879-7058-40BA-8E75-90131DB3F56E}"/>
    <cellStyle name="Normal 3 2 3 2" xfId="8767" xr:uid="{BCD5F9E7-4CB6-4328-ABA7-B6D8641FFC1E}"/>
    <cellStyle name="Normal 3 2 3 3" xfId="8768" xr:uid="{B31310DD-FA7B-4BAE-A45D-CA0705908C15}"/>
    <cellStyle name="Normal 3 2 3 4" xfId="8769" xr:uid="{49E24E87-CE51-480C-B576-5CAB40B4B0A8}"/>
    <cellStyle name="Normal 3 2 4" xfId="8770" xr:uid="{B3CF1856-60D7-492E-9747-18248961920A}"/>
    <cellStyle name="Normal 3 2 5" xfId="8771" xr:uid="{624F66D9-AAD3-433F-A6A1-A22CF7DC9682}"/>
    <cellStyle name="Normal 3 2 6" xfId="8772" xr:uid="{49AD9B30-00BD-400B-BABA-D86190BB502F}"/>
    <cellStyle name="Normal 3 2 7" xfId="8764" xr:uid="{ACF982B6-FB82-410A-9B3F-D3DBE0214159}"/>
    <cellStyle name="Normal 3 3" xfId="8773" xr:uid="{EA778A1E-4932-4404-8074-E9DBCD367A11}"/>
    <cellStyle name="Normal 3 3 2" xfId="8774" xr:uid="{E448C520-C867-4948-AB95-3037993EA32C}"/>
    <cellStyle name="Normal 3 3 3" xfId="8775" xr:uid="{C8431324-82F2-4555-8871-722E4DA2D7C8}"/>
    <cellStyle name="Normal 3 3 3 2" xfId="8776" xr:uid="{63330A96-108B-4289-B769-5026B4EEF389}"/>
    <cellStyle name="Normal 3 3 3 3" xfId="8777" xr:uid="{32792ADB-EB38-45EF-83C3-B53B6E8159BC}"/>
    <cellStyle name="Normal 3 3 3 3 2" xfId="17326" xr:uid="{82C89D1A-A603-42A9-B09E-A6273CAEBC14}"/>
    <cellStyle name="Normal 3 3 3 4" xfId="17325" xr:uid="{6EF7A425-E08E-4490-844C-64B02ADE58AB}"/>
    <cellStyle name="Normal 3 3 4" xfId="8778" xr:uid="{B88F7076-36F4-4A53-AC70-4E3F8151041C}"/>
    <cellStyle name="Normal 3 3 5" xfId="8779" xr:uid="{9CFC05AE-E150-467F-AB23-9C210A3881D2}"/>
    <cellStyle name="Normal 3 3 6" xfId="8780" xr:uid="{10ACF649-E718-4411-97CD-530FF2FD9C7F}"/>
    <cellStyle name="Normal 3 3 6 2" xfId="17327" xr:uid="{9AD55BE0-B0DF-402A-A461-85282CA13861}"/>
    <cellStyle name="Normal 3 3 7" xfId="8781" xr:uid="{B785BF0C-82E3-4D98-A1EB-5708391668D2}"/>
    <cellStyle name="Normal 3 3 8" xfId="17324" xr:uid="{E6F82E43-A64E-4F1E-84C8-A35C1933FDF4}"/>
    <cellStyle name="Normal 3 4" xfId="8782" xr:uid="{C2851E1F-6E34-4153-B7AE-3C65A8744741}"/>
    <cellStyle name="Normal 3 4 2" xfId="8783" xr:uid="{E089BCB9-E674-4A85-ADF6-7697DD1D7E0D}"/>
    <cellStyle name="Normal 3 4 3" xfId="8784" xr:uid="{0DBCEB65-FFBB-494F-BA26-3782B0D2DE8C}"/>
    <cellStyle name="Normal 3 5" xfId="8785" xr:uid="{EFA51C22-6D24-4E1B-A9B3-B429555963E7}"/>
    <cellStyle name="Normal 3 5 2" xfId="8786" xr:uid="{D4F9A8BE-667A-4CC3-9094-D664DDE1851F}"/>
    <cellStyle name="Normal 3 5 2 2" xfId="17328" xr:uid="{E74A9408-D704-4468-8215-8722C2215337}"/>
    <cellStyle name="Normal 3 5 3" xfId="8787" xr:uid="{776E124F-E3EC-4766-90AB-4ECFD2CBE0B6}"/>
    <cellStyle name="Normal 3 5 4" xfId="8788" xr:uid="{AE1512CB-46AE-4E79-8F30-8F20E04D8F28}"/>
    <cellStyle name="Normal 3 5 4 2" xfId="17329" xr:uid="{F3A038EF-2CC0-471A-97DE-2938E0817317}"/>
    <cellStyle name="Normal 3 6" xfId="8789" xr:uid="{B0D82CED-6C87-436B-8BB7-2823CF895991}"/>
    <cellStyle name="Normal 3 6 2" xfId="8790" xr:uid="{6DAF2F34-6190-401E-8FF4-7106B90360E0}"/>
    <cellStyle name="Normal 3 7" xfId="8791" xr:uid="{BD6E502C-F9DE-4401-97E1-965E1EB378EE}"/>
    <cellStyle name="Normal 3 7 2" xfId="8792" xr:uid="{C1732274-4E31-4EB2-991E-9452E865AA5D}"/>
    <cellStyle name="Normal 3 7 2 2" xfId="8793" xr:uid="{29FE064D-863B-4697-B0AC-24759140FEB0}"/>
    <cellStyle name="Normal 3 7 2 3" xfId="8794" xr:uid="{4373B3C9-DE71-42F2-9097-9393A21EE67D}"/>
    <cellStyle name="Normal 3 7 3" xfId="8795" xr:uid="{4AB88441-0C3D-46EA-87F6-E13256548414}"/>
    <cellStyle name="Normal 3 8" xfId="8796" xr:uid="{A5ADD8D2-BEAD-4FDC-8E9A-603B05288655}"/>
    <cellStyle name="Normal 3 8 2" xfId="8797" xr:uid="{04CF43DB-406D-443F-97A3-FDCAB43532CC}"/>
    <cellStyle name="Normal 3 8 3" xfId="8798" xr:uid="{34E908EA-CB49-41C5-9436-C1278814E003}"/>
    <cellStyle name="Normal 3 8 4" xfId="8799" xr:uid="{E2A1294B-3C65-4B11-B2A6-3C61289716CE}"/>
    <cellStyle name="Normal 3 9" xfId="8800" xr:uid="{71BBFAB1-3AAB-449F-85A3-5320D7AA53E6}"/>
    <cellStyle name="Normal 4" xfId="12" xr:uid="{2815618F-9793-4433-BBA3-0495EAD05261}"/>
    <cellStyle name="Normal 4 10" xfId="8802" xr:uid="{8D52297B-B053-451F-B2D4-1C66382FC5FB}"/>
    <cellStyle name="Normal 4 10 2" xfId="8803" xr:uid="{42A4C4B9-A577-4610-838B-7C78348CAE54}"/>
    <cellStyle name="Normal 4 11" xfId="8804" xr:uid="{FA3A535B-0C6D-4C8F-9CA7-FAA9598214DB}"/>
    <cellStyle name="Normal 4 11 2" xfId="8805" xr:uid="{44506B65-A403-426E-8045-5A4DC8DC0EC0}"/>
    <cellStyle name="Normal 4 11 2 2" xfId="8806" xr:uid="{E744BB81-4F5A-4B8F-B57E-49822A5C6104}"/>
    <cellStyle name="Normal 4 11 3" xfId="8807" xr:uid="{654D4309-0ADE-4443-A0DD-B57375C6CE9F}"/>
    <cellStyle name="Normal 4 12" xfId="8808" xr:uid="{0784C03C-11C4-4A44-B539-6A0630AA1E4A}"/>
    <cellStyle name="Normal 4 13" xfId="8809" xr:uid="{FC1A62FC-8249-46E3-A11D-36326FB78A9A}"/>
    <cellStyle name="Normal 4 13 2" xfId="17330" xr:uid="{D88A7A9F-6DAA-43C0-83B5-2E1B65A6C262}"/>
    <cellStyle name="Normal 4 14" xfId="8801" xr:uid="{2D603EAA-4A35-4BB3-9E05-DA6AC48CEDEB}"/>
    <cellStyle name="Normal 4 2" xfId="21" xr:uid="{A75F8E48-6B89-4405-8BE2-B09E0196CE12}"/>
    <cellStyle name="Normal 4 2 2" xfId="8810" xr:uid="{E948C13D-FD0A-4707-981C-5F3D8AB5923E}"/>
    <cellStyle name="Normal 4 3" xfId="8811" xr:uid="{7F65F9EA-FCF3-472D-ADC0-E0B1A8480C64}"/>
    <cellStyle name="Normal 4 3 2" xfId="8812" xr:uid="{91CE5512-EDF3-414E-9B66-38435F407AC7}"/>
    <cellStyle name="Normal 4 3 2 2" xfId="8954" xr:uid="{E0F89416-4BFC-4BA9-810F-91D5495F7A59}"/>
    <cellStyle name="Normal 4 3 2 2 2" xfId="17394" xr:uid="{0D777867-BA28-4BC9-9936-ED871CE909A1}"/>
    <cellStyle name="Normal 4 3 3" xfId="8955" xr:uid="{2AD9A252-70EC-45DE-BA39-4C23CF339954}"/>
    <cellStyle name="Normal 4 3 3 2" xfId="17395" xr:uid="{D1F1C6B6-077D-45BB-962D-8E7A110DCB75}"/>
    <cellStyle name="Normal 4 4" xfId="8813" xr:uid="{E5AD01C2-09B9-4E31-A37A-80FCFA77C0FD}"/>
    <cellStyle name="Normal 4 4 2" xfId="8814" xr:uid="{059F211B-5E3A-4CD5-879E-EB980FF61006}"/>
    <cellStyle name="Normal 4 4 3" xfId="8956" xr:uid="{832AECB1-F7E9-4933-9041-4EB28DD914D4}"/>
    <cellStyle name="Normal 4 4 3 2" xfId="17396" xr:uid="{C3D900F0-9791-489F-9F18-72FDD88D9188}"/>
    <cellStyle name="Normal 4 5" xfId="8815" xr:uid="{568A3FA7-DDDA-4882-B71A-D15CF48F5AEA}"/>
    <cellStyle name="Normal 4 5 2" xfId="8816" xr:uid="{AEFB2143-3F34-4BAB-8850-54AAE0861404}"/>
    <cellStyle name="Normal 4 6" xfId="8817" xr:uid="{B32CC65B-DC9B-4CFD-ACE8-23D068E74BCB}"/>
    <cellStyle name="Normal 4 6 2" xfId="8818" xr:uid="{ED8709D2-97B9-44A7-9407-E70474100030}"/>
    <cellStyle name="Normal 4 6 3" xfId="8819" xr:uid="{F02C6684-C486-4056-A012-A7232646361F}"/>
    <cellStyle name="Normal 4 7" xfId="8820" xr:uid="{9DF3601E-C309-40A6-B768-1BE1C5A28239}"/>
    <cellStyle name="Normal 4 8" xfId="8821" xr:uid="{62606269-07F3-47DA-B283-05FED1222131}"/>
    <cellStyle name="Normal 4 9" xfId="8822" xr:uid="{C8209554-7F8F-4CD7-9A30-0492047AB3E6}"/>
    <cellStyle name="Normal 5" xfId="17" xr:uid="{ED27DFDC-A317-4B3E-B700-70C4838867F5}"/>
    <cellStyle name="Normal 5 10" xfId="8824" xr:uid="{1A88150E-7919-4C00-97B5-9EBA3AAC089B}"/>
    <cellStyle name="Normal 5 11" xfId="8825" xr:uid="{A7E1C59A-38A2-4513-A303-98C92645CD6B}"/>
    <cellStyle name="Normal 5 11 2" xfId="8826" xr:uid="{7D96977F-99F7-4485-8027-47B9B3B65455}"/>
    <cellStyle name="Normal 5 11 2 2" xfId="17331" xr:uid="{3FBF19B4-DA9A-4F64-BF55-F35558BEC047}"/>
    <cellStyle name="Normal 5 11 3" xfId="8827" xr:uid="{291AAE44-84BA-4C6E-A98B-BDE9B0AB858F}"/>
    <cellStyle name="Normal 5 12" xfId="8828" xr:uid="{2487990F-C71E-4288-9888-542B5914A020}"/>
    <cellStyle name="Normal 5 13" xfId="8823" xr:uid="{FF5E1B5E-65DE-493B-AF72-CF909F09DB60}"/>
    <cellStyle name="Normal 5 2" xfId="8829" xr:uid="{8C761CC8-6B6B-4535-B607-4773C8774CAE}"/>
    <cellStyle name="Normal 5 2 10" xfId="17332" xr:uid="{F4E85124-308A-4733-9D8A-3EA09B99B51F}"/>
    <cellStyle name="Normal 5 2 2" xfId="8830" xr:uid="{31706840-1731-4398-85E1-49D780930212}"/>
    <cellStyle name="Normal 5 2 2 2" xfId="8831" xr:uid="{23F352B6-AC2A-4FFF-A24C-D937202D0373}"/>
    <cellStyle name="Normal 5 2 2 2 2" xfId="17334" xr:uid="{B0795022-1E62-473E-BE6E-E07F0798E57F}"/>
    <cellStyle name="Normal 5 2 2 3" xfId="17333" xr:uid="{13E6167D-97F2-4302-99D4-0058CEFB0353}"/>
    <cellStyle name="Normal 5 2 3" xfId="8832" xr:uid="{E8DF2D74-F948-421E-9F74-53AC5B434DC8}"/>
    <cellStyle name="Normal 5 2 3 2" xfId="17335" xr:uid="{7499D4DA-FCD2-49E1-B1C3-25DD614B1F9B}"/>
    <cellStyle name="Normal 5 2 4" xfId="8833" xr:uid="{D3C86734-0DF4-4CA7-B6B2-30F6FE7D4003}"/>
    <cellStyle name="Normal 5 2 4 2" xfId="17336" xr:uid="{FE726299-6912-4B7C-8382-33951635057D}"/>
    <cellStyle name="Normal 5 2 5" xfId="8834" xr:uid="{7116FD7F-88BD-44B3-BD20-6F9BDADD2618}"/>
    <cellStyle name="Normal 5 2 5 2" xfId="17337" xr:uid="{58032DE8-6DED-4D9A-8F02-60F4B38D9FDB}"/>
    <cellStyle name="Normal 5 2 6" xfId="8835" xr:uid="{D9C36BEE-6178-4BD2-8200-43FAFC574E87}"/>
    <cellStyle name="Normal 5 2 6 2" xfId="17338" xr:uid="{A8643F19-6E06-445E-A243-8FB1C806B4AD}"/>
    <cellStyle name="Normal 5 2 7" xfId="8836" xr:uid="{799FDFE4-51C7-46B3-95D4-083A38D93CA6}"/>
    <cellStyle name="Normal 5 2 7 2" xfId="17339" xr:uid="{B326076B-5BA3-4EEA-BBE1-F5187239617B}"/>
    <cellStyle name="Normal 5 2 8" xfId="8837" xr:uid="{161E66F0-A42F-4E64-8A70-02ED956314EC}"/>
    <cellStyle name="Normal 5 2 9" xfId="8838" xr:uid="{9CAE937F-282D-468C-B86E-9C0C0EB843AF}"/>
    <cellStyle name="Normal 5 2 9 2" xfId="17340" xr:uid="{DE60A06C-3EC2-4C44-B1B8-F6B4819B885B}"/>
    <cellStyle name="Normal 5 3" xfId="8839" xr:uid="{5E44D94E-836C-402E-8F2F-AFC559015FDA}"/>
    <cellStyle name="Normal 5 3 2" xfId="8840" xr:uid="{9F691F3E-5026-45E1-ACF7-22C714BF6149}"/>
    <cellStyle name="Normal 5 3 2 2" xfId="17342" xr:uid="{4B8AF8F6-9C8C-4253-BBDF-A3243CB654EF}"/>
    <cellStyle name="Normal 5 3 3" xfId="8841" xr:uid="{FCC23D96-8786-4483-8213-43478A8B6A47}"/>
    <cellStyle name="Normal 5 3 3 2" xfId="17343" xr:uid="{634D14E0-ECDC-4147-B9CF-4ACFFB1BB050}"/>
    <cellStyle name="Normal 5 3 4" xfId="8842" xr:uid="{BDD5542D-2970-458B-94C5-F37A29D251CD}"/>
    <cellStyle name="Normal 5 3 4 2" xfId="17344" xr:uid="{18F97741-C924-4B06-8EE5-200475815815}"/>
    <cellStyle name="Normal 5 3 5" xfId="8843" xr:uid="{8E0D8509-FC64-4850-97B0-1D65A38EBB04}"/>
    <cellStyle name="Normal 5 3 5 2" xfId="17345" xr:uid="{DD499F4B-FD47-49B3-B091-196AE9888379}"/>
    <cellStyle name="Normal 5 3 6" xfId="8844" xr:uid="{2A957404-8113-42A7-A988-7B43DFC3DEF6}"/>
    <cellStyle name="Normal 5 3 6 2" xfId="17346" xr:uid="{E8998B2C-8773-4C68-9E55-079AA707C326}"/>
    <cellStyle name="Normal 5 3 7" xfId="8845" xr:uid="{EEEB7176-1E30-4E65-B80F-5CCFAC45C70D}"/>
    <cellStyle name="Normal 5 3 7 2" xfId="17347" xr:uid="{E9047F9F-7DAD-49B0-8920-62DB1B54C046}"/>
    <cellStyle name="Normal 5 3 8" xfId="17341" xr:uid="{ED073CBE-3FD8-4977-B212-2737426E3C3B}"/>
    <cellStyle name="Normal 5 4" xfId="8846" xr:uid="{AA17E0CB-32BA-4C76-84CF-CC82C2745C24}"/>
    <cellStyle name="Normal 5 4 2" xfId="17348" xr:uid="{B3D1F7C4-B05B-42E4-B56C-521EBE7BE71A}"/>
    <cellStyle name="Normal 5 5" xfId="8847" xr:uid="{BC005E68-9980-487A-8E0B-A55595617FF9}"/>
    <cellStyle name="Normal 5 5 2" xfId="8848" xr:uid="{18F4A2E7-9E5C-41F3-B363-1AAEF2735323}"/>
    <cellStyle name="Normal 5 5 3" xfId="8849" xr:uid="{26C170AA-868F-47C8-A833-64645C4F8597}"/>
    <cellStyle name="Normal 5 5 3 2" xfId="17350" xr:uid="{64E9A126-C1ED-40A9-A4AE-C02A633694F2}"/>
    <cellStyle name="Normal 5 5 4" xfId="8850" xr:uid="{4326551C-4498-4E0E-9284-BAD4CFD5D5CE}"/>
    <cellStyle name="Normal 5 5 5" xfId="17349" xr:uid="{D25F2DD9-F47F-48EC-BEF8-478B1A82CB17}"/>
    <cellStyle name="Normal 5 6" xfId="8851" xr:uid="{95F65B92-50ED-47C4-AEE2-0C4B0B45D5AD}"/>
    <cellStyle name="Normal 5 6 2" xfId="17351" xr:uid="{F4830DF3-0439-4F78-A5A1-51DFF500163F}"/>
    <cellStyle name="Normal 5 7" xfId="8852" xr:uid="{5532758D-242F-4890-94D7-D4909417D0CD}"/>
    <cellStyle name="Normal 5 7 2" xfId="17352" xr:uid="{3AE45A50-86CB-4516-80CF-F9B64E45A702}"/>
    <cellStyle name="Normal 5 8" xfId="8853" xr:uid="{33C2BC18-1390-4110-BD5B-F4900CC2CD70}"/>
    <cellStyle name="Normal 5 8 2" xfId="17353" xr:uid="{F46EACEC-5D2D-42EB-8DDF-4FA86F9E6E28}"/>
    <cellStyle name="Normal 5 9" xfId="8854" xr:uid="{32AB5831-D712-491A-A84F-5F93FF147ED4}"/>
    <cellStyle name="Normal 5 9 2" xfId="17354" xr:uid="{6FC9E0E8-C37F-4B6E-8800-A41861B5C168}"/>
    <cellStyle name="Normal 6" xfId="8855" xr:uid="{C428389E-43A3-47D5-B000-574D3A52E6DF}"/>
    <cellStyle name="Normal 6 10" xfId="8856" xr:uid="{FC4F7A96-4CBA-4F32-AD4B-090D3CBC419A}"/>
    <cellStyle name="Normal 6 11" xfId="8957" xr:uid="{331D2EEB-8F15-48D9-8681-5A51C624DFE6}"/>
    <cellStyle name="Normal 6 2" xfId="8857" xr:uid="{BB595E61-1780-43A1-B8B6-FED68A5053E7}"/>
    <cellStyle name="Normal 6 2 2" xfId="8858" xr:uid="{96EB82B6-D3E7-4555-B39F-32895EDE2E72}"/>
    <cellStyle name="Normal 6 2 3" xfId="8859" xr:uid="{2AC19A5B-55E8-4B4B-A22B-391076C08151}"/>
    <cellStyle name="Normal 6 2 3 2" xfId="17355" xr:uid="{6FEC5608-C015-4BAB-9D79-2F584F6B2184}"/>
    <cellStyle name="Normal 6 3" xfId="8860" xr:uid="{D3A4709C-19D4-46AE-83B7-29899A369BF1}"/>
    <cellStyle name="Normal 6 3 2" xfId="8861" xr:uid="{0131E9B3-F85D-4920-AACA-5E1FCE9DBDE0}"/>
    <cellStyle name="Normal 6 3 2 2" xfId="8862" xr:uid="{319ADE60-6661-4C25-87D4-05ABDF8B3290}"/>
    <cellStyle name="Normal 6 3 2 2 2" xfId="17356" xr:uid="{6149A3C1-E708-4111-9FF9-A7DB448C590E}"/>
    <cellStyle name="Normal 6 3 2 3" xfId="8863" xr:uid="{1E531993-91F6-4E6D-8AED-CB33AFB1D058}"/>
    <cellStyle name="Normal 6 3 3" xfId="8864" xr:uid="{3A89445D-01B0-442A-8969-25D622BF75EF}"/>
    <cellStyle name="Normal 6 3 3 2" xfId="17357" xr:uid="{0EE78ECD-20DF-41BC-B0B5-BDBCF7A86AAA}"/>
    <cellStyle name="Normal 6 3 4" xfId="8865" xr:uid="{43FC39CC-B2B9-4C64-B032-2D79C35283C6}"/>
    <cellStyle name="Normal 6 3 4 2" xfId="17358" xr:uid="{911893AA-3405-4539-AD6B-FFE598967536}"/>
    <cellStyle name="Normal 6 4" xfId="8866" xr:uid="{1969730C-8991-49B9-A034-4EF5C77F7EE7}"/>
    <cellStyle name="Normal 6 4 2" xfId="8867" xr:uid="{724C1C8A-8578-4578-B1A6-E97680D678D6}"/>
    <cellStyle name="Normal 6 4 3" xfId="8868" xr:uid="{FD5B644B-0319-4005-A42C-82F7D58C2399}"/>
    <cellStyle name="Normal 6 4 3 2" xfId="17359" xr:uid="{D9A49D39-B7CF-43DE-B39D-C91648253863}"/>
    <cellStyle name="Normal 6 5" xfId="8869" xr:uid="{C4354397-CC89-4496-A4F6-FD11B9F2C8ED}"/>
    <cellStyle name="Normal 6 5 2" xfId="17360" xr:uid="{F11328E8-0450-4ACD-8CC4-0D9FCBD44161}"/>
    <cellStyle name="Normal 6 6" xfId="8870" xr:uid="{175A9237-979F-4917-9146-745AE5DA25B1}"/>
    <cellStyle name="Normal 6 6 2" xfId="17361" xr:uid="{7C0AB329-27C4-44B1-91B0-1D9FF6C083F2}"/>
    <cellStyle name="Normal 6 7" xfId="8871" xr:uid="{3E287722-3ABF-455F-B6E5-E257FB7470EA}"/>
    <cellStyle name="Normal 6 7 2" xfId="17362" xr:uid="{D7D65AE5-5C2D-4940-B3E3-4B20142E74C0}"/>
    <cellStyle name="Normal 6 8" xfId="8872" xr:uid="{5A21C5D1-2E28-450E-9043-FEFFDA7F072D}"/>
    <cellStyle name="Normal 6 9" xfId="8873" xr:uid="{F91DFE38-CCB5-4B69-AE17-B892E6A76C9B}"/>
    <cellStyle name="Normal 7" xfId="8874" xr:uid="{D3D96A81-AD5C-47B8-841F-4B5F36E494CC}"/>
    <cellStyle name="Normal 7 2" xfId="8875" xr:uid="{50CAFE81-3FD4-48A6-BCF8-1F5DE88BE9B9}"/>
    <cellStyle name="Normal 7 2 2" xfId="8876" xr:uid="{BDF55EFE-3D14-4822-BE5B-17FBB09360E2}"/>
    <cellStyle name="Normal 7 2 2 2" xfId="17363" xr:uid="{8064E1B1-E585-4153-AC5A-0C7E2BE8C75D}"/>
    <cellStyle name="Normal 7 2 3" xfId="8877" xr:uid="{AAC88223-74C5-43A1-80B2-07AE48A8C030}"/>
    <cellStyle name="Normal 7 2 4" xfId="8878" xr:uid="{418D3DC7-9FCA-4947-B197-A82F72EF6BD9}"/>
    <cellStyle name="Normal 7 2 4 2" xfId="17364" xr:uid="{F98EA657-009C-4085-8A19-C579C565670B}"/>
    <cellStyle name="Normal 7 3" xfId="8879" xr:uid="{EE5BC88C-6373-4C08-90F2-840511CBA730}"/>
    <cellStyle name="Normal 7 3 2" xfId="8880" xr:uid="{1D79FDFE-26B1-4631-A130-EEAD454D264D}"/>
    <cellStyle name="Normal 7 3 2 2" xfId="17365" xr:uid="{DCDE0B1F-7A36-4689-97B5-DB9219ADA8E9}"/>
    <cellStyle name="Normal 7 4" xfId="8881" xr:uid="{DC238431-F8DD-4EF4-BE80-20AFBE6C66AD}"/>
    <cellStyle name="Normal 7 4 2" xfId="8882" xr:uid="{D3720E84-BFDD-4370-B8D5-1ADD3DD5D94C}"/>
    <cellStyle name="Normal 7 4 2 2" xfId="17366" xr:uid="{5F79C7C1-3234-48DD-AC6C-D6D8154ED1E5}"/>
    <cellStyle name="Normal 7 5" xfId="8883" xr:uid="{F8FDC886-AC19-4FF2-AA6D-13006EC88CE4}"/>
    <cellStyle name="Normal 7 5 2" xfId="17367" xr:uid="{7EB72B1A-CA26-4955-99C7-4FBAAD6763D9}"/>
    <cellStyle name="Normal 7 6" xfId="8884" xr:uid="{56E48FC8-5364-4C24-8A37-AAD5FD569920}"/>
    <cellStyle name="Normal 7 6 2" xfId="17368" xr:uid="{67CFA21A-272E-4F2E-AD6B-14144E67453E}"/>
    <cellStyle name="Normal 7 7" xfId="8885" xr:uid="{328B512B-0B8E-468B-8FC8-03EFF64AE30A}"/>
    <cellStyle name="Normal 7 7 2" xfId="17369" xr:uid="{9EE6264E-39F9-45A6-AB3B-856FA555635F}"/>
    <cellStyle name="Normal 7 8" xfId="8886" xr:uid="{7856ADD0-259B-4110-AA28-0E3BD2920BA3}"/>
    <cellStyle name="Normal 7 9" xfId="8887" xr:uid="{9DB67178-A6CB-4F67-8377-04A5B5DDD3DE}"/>
    <cellStyle name="Normal 8" xfId="8888" xr:uid="{DC39F1C4-1D19-4045-86FE-D523386D646F}"/>
    <cellStyle name="Normal 8 10" xfId="8889" xr:uid="{57484E4D-7FC7-4EDE-8805-AE365549CFFB}"/>
    <cellStyle name="Normal 8 2" xfId="8890" xr:uid="{6CCC89F1-5231-4D48-8ED6-641E4F664CB1}"/>
    <cellStyle name="Normal 8 2 2" xfId="8891" xr:uid="{BB42B03E-879A-48A1-B2E0-78F97FD3D4E1}"/>
    <cellStyle name="Normal 8 2 2 2" xfId="17370" xr:uid="{DD1541F1-9197-45F9-91C1-5DB14C10BB1C}"/>
    <cellStyle name="Normal 8 2 3" xfId="8892" xr:uid="{068C3A6F-EDE4-41C9-97B3-6E95D86CD383}"/>
    <cellStyle name="Normal 8 2 4" xfId="8893" xr:uid="{44D96C02-17BC-4986-B883-50E900DC50D6}"/>
    <cellStyle name="Normal 8 2 4 2" xfId="17371" xr:uid="{81C4364A-040F-43F3-BDB8-1E3AA5C216DA}"/>
    <cellStyle name="Normal 8 3" xfId="8894" xr:uid="{4608FF54-BA5B-4D3B-BA33-304E5B059873}"/>
    <cellStyle name="Normal 8 3 2" xfId="8895" xr:uid="{21C78212-6F17-478F-8F50-8D0791B87DF0}"/>
    <cellStyle name="Normal 8 3 2 2" xfId="17372" xr:uid="{D90C2C9E-3956-4BE5-A2D9-CB11E9DAC4C4}"/>
    <cellStyle name="Normal 8 3 3" xfId="8896" xr:uid="{6871C3AF-CC86-4320-A77E-C494A927C3EF}"/>
    <cellStyle name="Normal 8 3 4" xfId="8897" xr:uid="{EB1687AD-6954-46EA-A939-5D9D11A5D896}"/>
    <cellStyle name="Normal 8 3 4 2" xfId="17373" xr:uid="{D64B7CBF-C9D8-45A9-BEF3-C08CF43D9FE7}"/>
    <cellStyle name="Normal 8 4" xfId="8898" xr:uid="{9EA8F548-9812-4671-940D-B9496773402F}"/>
    <cellStyle name="Normal 8 4 2" xfId="8899" xr:uid="{0C471542-E1E5-4796-9997-9525DDC042A9}"/>
    <cellStyle name="Normal 8 4 2 2" xfId="17374" xr:uid="{BDAAA5AE-3C23-4547-883C-67262018BCDD}"/>
    <cellStyle name="Normal 8 4 3" xfId="8900" xr:uid="{45F32AF2-EBAF-404C-BDC6-A3C7337D0F79}"/>
    <cellStyle name="Normal 8 4 4" xfId="8901" xr:uid="{0935A544-8A75-4E13-9D82-FE00A524DF8D}"/>
    <cellStyle name="Normal 8 4 4 2" xfId="17375" xr:uid="{CE0F4CDB-D08F-4709-959C-87B315412CE8}"/>
    <cellStyle name="Normal 8 5" xfId="8902" xr:uid="{2A8FED5F-54CD-4590-9EEE-E46493572BC6}"/>
    <cellStyle name="Normal 8 5 2" xfId="17376" xr:uid="{A5619332-BB3B-43A3-803D-B7EEDCBE6F71}"/>
    <cellStyle name="Normal 8 6" xfId="8903" xr:uid="{BFDD0AE1-D062-4F19-9328-8E6B47124D7B}"/>
    <cellStyle name="Normal 8 6 2" xfId="17377" xr:uid="{7B264C0A-E89E-4798-8536-B03C225D7088}"/>
    <cellStyle name="Normal 8 7" xfId="8904" xr:uid="{681B52BF-BEB4-4B64-B9AD-1AB889554FDB}"/>
    <cellStyle name="Normal 8 7 2" xfId="17378" xr:uid="{95756261-79C3-4D89-B5B6-089CC239A8F7}"/>
    <cellStyle name="Normal 8 8" xfId="8905" xr:uid="{27669F0B-FEBF-41A0-9056-EA71F251B264}"/>
    <cellStyle name="Normal 8 8 2" xfId="17379" xr:uid="{186AF4BF-F794-465A-926E-4362982FB58A}"/>
    <cellStyle name="Normal 8 9" xfId="8906" xr:uid="{00037358-07F6-4E66-814E-14E54374AAA1}"/>
    <cellStyle name="Normal 9" xfId="8907" xr:uid="{EB329549-6D7E-40D3-A4F2-92FE864F611E}"/>
    <cellStyle name="Normal 9 2" xfId="8908" xr:uid="{817A47AD-1261-4195-B6BC-064E8E07FE8F}"/>
    <cellStyle name="Normal 9 2 2" xfId="8909" xr:uid="{D02B6B96-8746-4BA5-B4AA-F433C22A5F6F}"/>
    <cellStyle name="Normal 9 2 3" xfId="8958" xr:uid="{EB0C24E7-044A-4A6C-B0AD-AFB5AC5E6944}"/>
    <cellStyle name="Normal 9 2 3 2" xfId="17397" xr:uid="{24F478F4-FA75-4070-908C-D22C68109F6F}"/>
    <cellStyle name="Normal 9 3" xfId="8910" xr:uid="{8026B29D-E79F-4F08-9DB5-386DE0610CC2}"/>
    <cellStyle name="Normal 9 4" xfId="8911" xr:uid="{2051E331-7B9E-430F-A167-9BCD67EE3305}"/>
    <cellStyle name="Normal 9 4 2" xfId="8912" xr:uid="{19083CC0-94CA-4294-AF93-83AA0D227952}"/>
    <cellStyle name="Normal 9 4 2 2" xfId="17380" xr:uid="{2371052D-F711-4CD6-A85D-BB7671F0BD5A}"/>
    <cellStyle name="Normal 9 4 3" xfId="8913" xr:uid="{D2F9CD96-693C-4407-A873-B8BAE3C7ABFB}"/>
    <cellStyle name="Normal 9 4 4" xfId="8914" xr:uid="{6F121AA4-33B7-4ED8-9C98-AD64A0D9C180}"/>
    <cellStyle name="Normal 9 4 4 2" xfId="17381" xr:uid="{CFCBB4B7-D28E-4D42-A41B-9AAD618B5CB0}"/>
    <cellStyle name="Normal 9 5" xfId="8915" xr:uid="{C050C3D3-0EFA-43FC-818E-A8E373B78461}"/>
    <cellStyle name="Normal_BLOCKS" xfId="3" xr:uid="{00000000-0005-0000-0000-000005000000}"/>
    <cellStyle name="Normal_CABLE" xfId="4" xr:uid="{00000000-0005-0000-0000-000006000000}"/>
    <cellStyle name="Normal_E11_0126_Seabank_Hotel_Electrical" xfId="5" xr:uid="{00000000-0005-0000-0000-000007000000}"/>
    <cellStyle name="Normal_Estimate" xfId="6" xr:uid="{00000000-0005-0000-0000-000008000000}"/>
    <cellStyle name="Normal_Estimate 2" xfId="10" xr:uid="{00000000-0005-0000-0000-000009000000}"/>
    <cellStyle name="Normal_Mark_up" xfId="7" xr:uid="{00000000-0005-0000-0000-00000A000000}"/>
    <cellStyle name="Normal_RATES" xfId="19" xr:uid="{5143C27D-D8CA-4C8F-B3CD-16157516D60A}"/>
    <cellStyle name="Normal_STANDARD" xfId="8" xr:uid="{00000000-0005-0000-0000-00000B000000}"/>
    <cellStyle name="normální_BBITVR96" xfId="8916" xr:uid="{17B3B844-A3D3-4895-A278-734B705681C8}"/>
    <cellStyle name="Note 2" xfId="8917" xr:uid="{703FC7AA-5EBD-452D-BA7C-6543599516F9}"/>
    <cellStyle name="Note 2 2" xfId="8959" xr:uid="{2866DBA4-08B0-4AE7-AF5D-EBBEB26F86F3}"/>
    <cellStyle name="Note 2 2 2" xfId="8983" xr:uid="{84EF5978-7707-429B-B721-6BE673D2FA46}"/>
    <cellStyle name="Note 2 2 3" xfId="8989" xr:uid="{2F5E3CBE-E0C7-4822-831E-96D93539D214}"/>
    <cellStyle name="Note 2 2 4" xfId="17398" xr:uid="{E994F3B7-4B0E-46C7-AD71-73CA48613346}"/>
    <cellStyle name="Note 2 3" xfId="8960" xr:uid="{BAF3F735-1FFA-416D-B66A-5B05964AA8D1}"/>
    <cellStyle name="Note 2 3 2" xfId="8984" xr:uid="{7366DE71-BEE1-4D50-BACB-CEC5D6F1A6E2}"/>
    <cellStyle name="Note 2 3 3" xfId="8990" xr:uid="{B4B0F4DE-22B7-4DC2-8DC3-0E26E7AB39EC}"/>
    <cellStyle name="Note 2 3 4" xfId="17399" xr:uid="{9D6B5FC3-6857-46C6-B4D4-E17AE69D13B9}"/>
    <cellStyle name="Note 2 4" xfId="8976" xr:uid="{A94AC018-A199-401F-B761-88178DCBF024}"/>
    <cellStyle name="Note 2 5" xfId="8972" xr:uid="{BA15F22F-276F-4A2A-BF2F-57F7569FD561}"/>
    <cellStyle name="Note 2 6" xfId="17382" xr:uid="{05F4412E-D1BD-4E8D-9AA3-55CDA1B48090}"/>
    <cellStyle name="Output 2" xfId="8918" xr:uid="{4D94EB1A-74D3-49BD-A0B2-52E652139800}"/>
    <cellStyle name="Output 2 2" xfId="8961" xr:uid="{E565184F-2499-48B1-B593-644976842EA6}"/>
    <cellStyle name="Output 2 2 2" xfId="8985" xr:uid="{B4EEB017-36AC-4B13-8D0C-4D0BA3674109}"/>
    <cellStyle name="Output 2 2 3" xfId="8991" xr:uid="{1A8DB1F0-9815-4F53-9F6C-2B18454D1FDC}"/>
    <cellStyle name="Output 2 2 4" xfId="17400" xr:uid="{4066ADD9-0483-4915-A12B-9AA87D1FF393}"/>
    <cellStyle name="Output 2 3" xfId="8962" xr:uid="{7A8F285B-1B12-4A45-A198-82178B597D3E}"/>
    <cellStyle name="Output 2 3 2" xfId="8986" xr:uid="{BBB5F03C-95F8-457E-A4BA-D41A947D87E5}"/>
    <cellStyle name="Output 2 3 3" xfId="8992" xr:uid="{3E0AA524-968B-4F34-A2CB-0843B7AF8F39}"/>
    <cellStyle name="Output 2 3 4" xfId="17401" xr:uid="{4BF21E9A-0F08-4A92-AF44-3AC496F52213}"/>
    <cellStyle name="Output 2 4" xfId="8977" xr:uid="{8274203C-2427-4E9F-BE92-2F91721DFDDC}"/>
    <cellStyle name="Output 2 5" xfId="8971" xr:uid="{92F74FF8-9F6E-4D9D-9C85-5514C9644032}"/>
    <cellStyle name="Output 2 6" xfId="17383" xr:uid="{BA72560B-4189-4384-B739-1819A4453772}"/>
    <cellStyle name="Percent 2" xfId="8919" xr:uid="{A7DC97EF-890D-4494-86BC-96BF71C50EC5}"/>
    <cellStyle name="Percent 2 2" xfId="8920" xr:uid="{BD4828CA-B68F-4B8E-A2D0-B2D1AE5C2369}"/>
    <cellStyle name="Percent 2 3" xfId="8921" xr:uid="{024B23CA-E114-48A7-9383-DF2CEC6324D0}"/>
    <cellStyle name="Percent 2 3 2" xfId="17384" xr:uid="{DE6FC3B7-B07F-4923-8AEF-43FB83108890}"/>
    <cellStyle name="Percent 2 4" xfId="8922" xr:uid="{54E0DE3A-D877-4F8D-BACD-54E4606F581C}"/>
    <cellStyle name="Percent 2 5" xfId="8923" xr:uid="{3B519D08-5DCC-4090-A9FD-885615FB06F8}"/>
    <cellStyle name="Percent 3" xfId="8924" xr:uid="{A2E04C36-F546-4155-8EE4-2E7C24193751}"/>
    <cellStyle name="Percent 4" xfId="8925" xr:uid="{48F33C14-015B-47E6-B402-6559F6CBF67A}"/>
    <cellStyle name="Percent 5" xfId="8926" xr:uid="{26033758-7184-4233-98F3-96490165F4A9}"/>
    <cellStyle name="SAPMemberCell" xfId="8927" xr:uid="{C8CEF550-C981-46C0-80F5-F8AF328BDA9A}"/>
    <cellStyle name="Standard 2" xfId="8928" xr:uid="{0F97E280-209D-4184-B431-385AD389C15A}"/>
    <cellStyle name="Standard_EV2001 Euro02" xfId="8929" xr:uid="{F1AEDFDB-8AC4-44FE-94C8-F5A47ADD0A80}"/>
    <cellStyle name="Style 1" xfId="8930" xr:uid="{A775F1FD-4051-4502-9874-591350BC39A6}"/>
    <cellStyle name="Title 2" xfId="8931" xr:uid="{D178A826-F8D1-4139-8268-5B379F0B73DF}"/>
    <cellStyle name="Total 2" xfId="8932" xr:uid="{7F013BA5-D57D-49AB-ABAD-DEB493D00357}"/>
    <cellStyle name="Total 2 2" xfId="8963" xr:uid="{9F00F073-CD2F-4361-A2D2-A21CD2C27B2E}"/>
    <cellStyle name="Total 2 2 2" xfId="8987" xr:uid="{20106DA5-2E97-490F-91C6-9C24F5B30052}"/>
    <cellStyle name="Total 2 2 3" xfId="8993" xr:uid="{2DB71A52-4868-417C-8BF3-2539D3C4A138}"/>
    <cellStyle name="Total 2 2 4" xfId="17402" xr:uid="{79CD602F-75B8-4C43-8067-4014E993B605}"/>
    <cellStyle name="Total 2 3" xfId="8964" xr:uid="{1063D2AB-F904-422C-8399-C314BC58BA35}"/>
    <cellStyle name="Total 2 3 2" xfId="8988" xr:uid="{AE457ADC-05ED-458F-826E-B1A9BE2F6D5C}"/>
    <cellStyle name="Total 2 3 3" xfId="8994" xr:uid="{B18C05F4-4D49-4842-9448-E6ABD029D152}"/>
    <cellStyle name="Total 2 3 4" xfId="17403" xr:uid="{E4474E30-F064-4C9F-AED0-EC611C28BA17}"/>
    <cellStyle name="Total 2 4" xfId="8978" xr:uid="{7D7D5B16-317D-4DD2-AEB2-71CA99B95848}"/>
    <cellStyle name="Total 2 5" xfId="8969" xr:uid="{90CF943A-8752-4603-99D8-E83C17059485}"/>
    <cellStyle name="Total 2 6" xfId="17385" xr:uid="{41DB9EC6-4FA0-44E1-8298-88157AF41B6B}"/>
    <cellStyle name="Valuta [0] 2" xfId="8933" xr:uid="{A9E2E5A7-3DA8-4D5E-BA1F-712F9BCC9E1B}"/>
    <cellStyle name="Warning Text 2" xfId="8934" xr:uid="{9637BDBA-8D75-43C6-98D4-F72655CD23BC}"/>
    <cellStyle name="常规 2" xfId="8935" xr:uid="{EB87EEA2-41FD-4231-8619-BBA976ED1D14}"/>
    <cellStyle name="常规 2 2" xfId="8936" xr:uid="{6FF4C299-3A25-46D2-897E-EEA6DBF0D84F}"/>
    <cellStyle name="常规 2 2 2" xfId="8937" xr:uid="{9E0DC49B-7BDF-412B-9B27-C2ACCA5D680E}"/>
    <cellStyle name="常规 2 3" xfId="17386" xr:uid="{D193C415-C555-4896-9FAD-3852ECE71DFB}"/>
  </cellStyles>
  <dxfs count="24">
    <dxf>
      <font>
        <condense val="0"/>
        <extend val="0"/>
        <color indexed="56"/>
      </font>
    </dxf>
    <dxf>
      <font>
        <condense val="0"/>
        <extend val="0"/>
        <color indexed="10"/>
      </font>
    </dxf>
    <dxf>
      <font>
        <condense val="0"/>
        <extend val="0"/>
        <color indexed="55"/>
      </font>
      <fill>
        <patternFill>
          <bgColor indexed="9"/>
        </patternFill>
      </fill>
    </dxf>
    <dxf>
      <font>
        <condense val="0"/>
        <extend val="0"/>
        <color indexed="12"/>
      </font>
      <fill>
        <patternFill>
          <fgColor indexed="43"/>
          <bgColor indexed="43"/>
        </patternFill>
      </fill>
    </dxf>
    <dxf>
      <font>
        <b/>
        <i val="0"/>
        <condense val="0"/>
        <extend val="0"/>
        <color indexed="43"/>
      </font>
      <fill>
        <patternFill>
          <bgColor indexed="10"/>
        </patternFill>
      </fill>
    </dxf>
    <dxf>
      <font>
        <b/>
        <i/>
        <condense val="0"/>
        <extend val="0"/>
        <color auto="1"/>
      </font>
    </dxf>
    <dxf>
      <font>
        <b/>
        <i val="0"/>
        <condense val="0"/>
        <extend val="0"/>
        <color indexed="9"/>
      </font>
      <fill>
        <patternFill>
          <bgColor indexed="10"/>
        </patternFill>
      </fill>
    </dxf>
    <dxf>
      <font>
        <condense val="0"/>
        <extend val="0"/>
        <color indexed="55"/>
      </font>
      <fill>
        <patternFill>
          <bgColor indexed="9"/>
        </patternFill>
      </fill>
    </dxf>
    <dxf>
      <font>
        <condense val="0"/>
        <extend val="0"/>
        <color indexed="10"/>
      </font>
      <fill>
        <patternFill>
          <fgColor indexed="43"/>
          <bgColor indexed="43"/>
        </patternFill>
      </fill>
    </dxf>
    <dxf>
      <font>
        <b val="0"/>
        <i val="0"/>
        <condense val="0"/>
        <extend val="0"/>
        <color indexed="9"/>
      </font>
      <fill>
        <patternFill>
          <bgColor indexed="10"/>
        </patternFill>
      </fill>
    </dxf>
    <dxf>
      <font>
        <b/>
        <i val="0"/>
        <condense val="0"/>
        <extend val="0"/>
        <color indexed="9"/>
      </font>
      <fill>
        <patternFill>
          <bgColor indexed="10"/>
        </patternFill>
      </fill>
    </dxf>
    <dxf>
      <font>
        <condense val="0"/>
        <extend val="0"/>
        <color indexed="9"/>
      </font>
    </dxf>
    <dxf>
      <font>
        <b/>
        <i val="0"/>
        <condense val="0"/>
        <extend val="0"/>
        <color indexed="13"/>
      </font>
      <fill>
        <patternFill>
          <bgColor indexed="10"/>
        </patternFill>
      </fill>
    </dxf>
    <dxf>
      <font>
        <condense val="0"/>
        <extend val="0"/>
        <color indexed="56"/>
      </font>
    </dxf>
    <dxf>
      <font>
        <condense val="0"/>
        <extend val="0"/>
        <color indexed="10"/>
      </font>
    </dxf>
    <dxf>
      <font>
        <b/>
        <i val="0"/>
        <condense val="0"/>
        <extend val="0"/>
        <color indexed="9"/>
      </font>
      <fill>
        <patternFill>
          <bgColor indexed="10"/>
        </patternFill>
      </fill>
    </dxf>
    <dxf>
      <fill>
        <patternFill>
          <bgColor indexed="10"/>
        </patternFill>
      </fill>
    </dxf>
    <dxf>
      <fill>
        <patternFill>
          <bgColor indexed="9"/>
        </patternFill>
      </fill>
    </dxf>
    <dxf>
      <fill>
        <patternFill>
          <bgColor indexed="13"/>
        </patternFill>
      </fill>
      <border>
        <left/>
        <right/>
        <top/>
        <bottom/>
      </border>
    </dxf>
    <dxf>
      <font>
        <b val="0"/>
        <i/>
        <condense val="0"/>
        <extend val="0"/>
      </font>
    </dxf>
    <dxf>
      <font>
        <b/>
        <i val="0"/>
        <condense val="0"/>
        <extend val="0"/>
        <color indexed="9"/>
      </font>
      <fill>
        <patternFill>
          <bgColor indexed="10"/>
        </patternFill>
      </fill>
    </dxf>
    <dxf>
      <font>
        <condense val="0"/>
        <extend val="0"/>
        <color indexed="56"/>
      </font>
    </dxf>
    <dxf>
      <font>
        <condense val="0"/>
        <extend val="0"/>
        <color indexed="10"/>
      </font>
    </dxf>
    <dxf>
      <font>
        <b/>
        <i val="0"/>
        <condense val="0"/>
        <extend val="0"/>
      </font>
      <fill>
        <patternFill>
          <bgColor indexed="34"/>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15.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0.xml"/><Relationship Id="rId20"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9.xml"/><Relationship Id="rId23" Type="http://schemas.openxmlformats.org/officeDocument/2006/relationships/theme" Target="theme/theme1.xml"/><Relationship Id="rId10" Type="http://schemas.openxmlformats.org/officeDocument/2006/relationships/externalLink" Target="externalLinks/externalLink4.xml"/><Relationship Id="rId19"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 Id="rId22" Type="http://schemas.openxmlformats.org/officeDocument/2006/relationships/externalLink" Target="externalLinks/externalLink16.xml"/></Relationships>
</file>

<file path=xl/ctrlProps/ctrlProp1.xml><?xml version="1.0" encoding="utf-8"?>
<formControlPr xmlns="http://schemas.microsoft.com/office/spreadsheetml/2009/9/main" objectType="CheckBox" checked="Checked" fmlaLink="$G$1" lockText="1" noThreeD="1"/>
</file>

<file path=xl/ctrlProps/ctrlProp2.xml><?xml version="1.0" encoding="utf-8"?>
<formControlPr xmlns="http://schemas.microsoft.com/office/spreadsheetml/2009/9/main" objectType="CheckBox" checked="Checked" fmlaLink="$G$2" lockText="1" noThreeD="1"/>
</file>

<file path=xl/ctrlProps/ctrlProp3.xml><?xml version="1.0" encoding="utf-8"?>
<formControlPr xmlns="http://schemas.microsoft.com/office/spreadsheetml/2009/9/main" objectType="CheckBox" checked="Checked" fmlaLink="$G$3" lockText="1" noThreeD="1"/>
</file>

<file path=xl/ctrlProps/ctrlProp4.xml><?xml version="1.0" encoding="utf-8"?>
<formControlPr xmlns="http://schemas.microsoft.com/office/spreadsheetml/2009/9/main" objectType="CheckBox" checked="Checked" fmlaLink="$G$4" lockText="1" noThreeD="1"/>
</file>

<file path=xl/ctrlProps/ctrlProp5.xml><?xml version="1.0" encoding="utf-8"?>
<formControlPr xmlns="http://schemas.microsoft.com/office/spreadsheetml/2009/9/main" objectType="CheckBox" checked="Checked" fmlaLink="$G$5" lockText="1" noThreeD="1"/>
</file>

<file path=xl/ctrlProps/ctrlProp6.xml><?xml version="1.0" encoding="utf-8"?>
<formControlPr xmlns="http://schemas.microsoft.com/office/spreadsheetml/2009/9/main" objectType="CheckBox" checked="Checked" fmlaLink="$G$6" lockText="1" noThreeD="1"/>
</file>

<file path=xl/ctrlProps/ctrlProp7.xml><?xml version="1.0" encoding="utf-8"?>
<formControlPr xmlns="http://schemas.microsoft.com/office/spreadsheetml/2009/9/main" objectType="CheckBox" checked="Checked" fmlaLink="$G$7" lockText="1" noThreeD="1"/>
</file>

<file path=xl/ctrlProps/ctrlProp8.xml><?xml version="1.0" encoding="utf-8"?>
<formControlPr xmlns="http://schemas.microsoft.com/office/spreadsheetml/2009/9/main" objectType="CheckBox" checked="Checked" fmlaLink="$G$8" lockText="1" noThreeD="1"/>
</file>

<file path=xl/ctrlProps/ctrlProp9.xml><?xml version="1.0" encoding="utf-8"?>
<formControlPr xmlns="http://schemas.microsoft.com/office/spreadsheetml/2009/9/main" objectType="CheckBox" checked="Checked" fmlaLink="$G$9" lockText="1" noThreeD="1"/>
</file>

<file path=xl/ctrlProps/ctrlProp10.xml><?xml version="1.0" encoding="utf-8"?>
<formControlPr xmlns="http://schemas.microsoft.com/office/spreadsheetml/2009/9/main" objectType="CheckBox" checked="Checked" fmlaLink="$H$1" lockText="1" noThreeD="1"/>
</file>

<file path=xl/ctrlProps/ctrlProp11.xml><?xml version="1.0" encoding="utf-8"?>
<formControlPr xmlns="http://schemas.microsoft.com/office/spreadsheetml/2009/9/main" objectType="CheckBox" checked="Checked" fmlaLink="$G$10" lockText="1" noThreeD="1"/>
</file>

<file path=xl/drawings/drawing1.xml><?xml version="1.0" encoding="utf-8"?>
<xdr:wsDr xmlns:xdr="http://schemas.openxmlformats.org/drawingml/2006/spreadsheetDrawing" xmlns:a="http://schemas.openxmlformats.org/drawingml/2006/main">
  <xdr:twoCellAnchor>
    <xdr:from>
      <xdr:col>0</xdr:col>
      <xdr:colOff>26670</xdr:colOff>
      <xdr:row>24</xdr:row>
      <xdr:rowOff>15240</xdr:rowOff>
    </xdr:from>
    <xdr:to>
      <xdr:col>20</xdr:col>
      <xdr:colOff>102870</xdr:colOff>
      <xdr:row>48</xdr:row>
      <xdr:rowOff>15240</xdr:rowOff>
    </xdr:to>
    <xdr:sp macro="" textlink="">
      <xdr:nvSpPr>
        <xdr:cNvPr id="2" name="Text 4">
          <a:extLst>
            <a:ext uri="{FF2B5EF4-FFF2-40B4-BE49-F238E27FC236}">
              <a16:creationId xmlns:a16="http://schemas.microsoft.com/office/drawing/2014/main" id="{00000000-0008-0000-0900-000002000000}"/>
            </a:ext>
          </a:extLst>
        </xdr:cNvPr>
        <xdr:cNvSpPr txBox="1">
          <a:spLocks noChangeArrowheads="1"/>
        </xdr:cNvSpPr>
      </xdr:nvSpPr>
      <xdr:spPr bwMode="auto">
        <a:xfrm>
          <a:off x="26670" y="4368165"/>
          <a:ext cx="6543675" cy="41148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rtl="0"/>
          <a:r>
            <a:rPr lang="en-GB" sz="1100" b="1" i="0" u="sng" baseline="0">
              <a:effectLst/>
              <a:latin typeface="+mn-lt"/>
              <a:ea typeface="+mn-ea"/>
              <a:cs typeface="+mn-cs"/>
            </a:rPr>
            <a:t>CONDITIONS:</a:t>
          </a:r>
          <a:endParaRPr lang="en-MT" sz="1000">
            <a:effectLst/>
          </a:endParaRPr>
        </a:p>
        <a:p>
          <a:pPr rtl="0"/>
          <a:r>
            <a:rPr lang="en-GB" sz="1100" b="0" i="0" baseline="0">
              <a:effectLst/>
              <a:latin typeface="+mn-lt"/>
              <a:ea typeface="+mn-ea"/>
              <a:cs typeface="+mn-cs"/>
            </a:rPr>
            <a:t>1) Payment - 100% on completion.</a:t>
          </a:r>
          <a:endParaRPr lang="en-MT" sz="1000">
            <a:effectLst/>
          </a:endParaRPr>
        </a:p>
        <a:p>
          <a:pPr rtl="0"/>
          <a:r>
            <a:rPr lang="en-GB" sz="1100" b="0" i="0" baseline="0">
              <a:effectLst/>
              <a:latin typeface="+mn-lt"/>
              <a:ea typeface="+mn-ea"/>
              <a:cs typeface="+mn-cs"/>
            </a:rPr>
            <a:t>2) Quote is valid for 30 days from above date.</a:t>
          </a:r>
          <a:endParaRPr lang="en-MT" sz="1000">
            <a:effectLst/>
          </a:endParaRPr>
        </a:p>
        <a:p>
          <a:pPr rtl="0"/>
          <a:r>
            <a:rPr lang="en-GB" sz="1100" b="0" i="0" baseline="0">
              <a:effectLst/>
              <a:latin typeface="+mn-lt"/>
              <a:ea typeface="+mn-ea"/>
              <a:cs typeface="+mn-cs"/>
            </a:rPr>
            <a:t>3) Commencement - to be confirmed at time of order.</a:t>
          </a:r>
          <a:endParaRPr lang="en-MT" sz="1000">
            <a:effectLst/>
          </a:endParaRPr>
        </a:p>
        <a:p>
          <a:pPr rtl="0"/>
          <a:r>
            <a:rPr lang="en-GB" sz="1100" b="0" i="0" baseline="0">
              <a:effectLst/>
              <a:latin typeface="+mn-lt"/>
              <a:ea typeface="+mn-ea"/>
              <a:cs typeface="+mn-cs"/>
            </a:rPr>
            <a:t>4) Works await approval in order to proceed.</a:t>
          </a:r>
          <a:endParaRPr lang="en-MT" sz="1000">
            <a:effectLst/>
          </a:endParaRPr>
        </a:p>
        <a:p>
          <a:pPr rtl="0"/>
          <a:r>
            <a:rPr lang="en-GB" sz="1100" b="0" i="0" baseline="0">
              <a:effectLst/>
              <a:latin typeface="+mn-lt"/>
              <a:ea typeface="+mn-ea"/>
              <a:cs typeface="+mn-cs"/>
            </a:rPr>
            <a:t>5) Execution Approx. 2-3 working weeks</a:t>
          </a:r>
          <a:endParaRPr lang="en-MT" sz="1000">
            <a:effectLst/>
          </a:endParaRPr>
        </a:p>
        <a:p>
          <a:pPr rtl="0" eaLnBrk="1" fontAlgn="auto" latinLnBrk="0" hangingPunct="1"/>
          <a:r>
            <a:rPr lang="en-GB" sz="1100" b="0" i="0" baseline="0">
              <a:effectLst/>
              <a:latin typeface="+mn-lt"/>
              <a:ea typeface="+mn-ea"/>
              <a:cs typeface="+mn-cs"/>
            </a:rPr>
            <a:t>6) BOQ Item 1.03, </a:t>
          </a:r>
          <a:r>
            <a:rPr lang="en-US" b="0"/>
            <a:t>Termination materials, glands, and lugs are also included in this item.</a:t>
          </a:r>
        </a:p>
        <a:p>
          <a:pPr marL="0" marR="0" lvl="0" indent="0" defTabSz="914400" rtl="0" eaLnBrk="1" fontAlgn="auto" latinLnBrk="0" hangingPunct="1">
            <a:lnSpc>
              <a:spcPct val="100000"/>
            </a:lnSpc>
            <a:spcBef>
              <a:spcPts val="0"/>
            </a:spcBef>
            <a:spcAft>
              <a:spcPts val="0"/>
            </a:spcAft>
            <a:buClrTx/>
            <a:buSzTx/>
            <a:buFontTx/>
            <a:buNone/>
            <a:tabLst/>
            <a:defRPr/>
          </a:pPr>
          <a:r>
            <a:rPr lang="en-GB" sz="1100" b="0" i="0" baseline="0">
              <a:effectLst/>
              <a:latin typeface="+mn-lt"/>
              <a:ea typeface="+mn-ea"/>
              <a:cs typeface="+mn-cs"/>
            </a:rPr>
            <a:t>7) BOQ Item 2.01 </a:t>
          </a:r>
          <a:r>
            <a:rPr lang="en-US"/>
            <a:t>provides for the termination of cables only. It is assumed that the MCCs will be supplied complete with the correct circuit breaker units.</a:t>
          </a:r>
          <a:r>
            <a:rPr lang="en-GB" sz="1100" b="0" i="0" baseline="0">
              <a:effectLst/>
              <a:latin typeface="+mn-lt"/>
              <a:ea typeface="+mn-ea"/>
              <a:cs typeface="+mn-cs"/>
            </a:rPr>
            <a:t> </a:t>
          </a:r>
          <a:r>
            <a:rPr lang="en-US" sz="1100" b="0">
              <a:effectLst/>
              <a:latin typeface="+mn-lt"/>
              <a:ea typeface="+mn-ea"/>
              <a:cs typeface="+mn-cs"/>
            </a:rPr>
            <a:t>.</a:t>
          </a:r>
          <a:endParaRPr lang="en-GB" sz="1100" b="0" i="0" baseline="0">
            <a:effectLst/>
            <a:latin typeface="+mn-lt"/>
            <a:ea typeface="+mn-ea"/>
            <a:cs typeface="+mn-cs"/>
          </a:endParaRPr>
        </a:p>
        <a:p>
          <a:pPr rtl="0" eaLnBrk="1" fontAlgn="auto" latinLnBrk="0" hangingPunct="1"/>
          <a:r>
            <a:rPr lang="en-GB" sz="1100" b="0" i="0" baseline="0">
              <a:effectLst/>
              <a:latin typeface="+mn-lt"/>
              <a:ea typeface="+mn-ea"/>
              <a:cs typeface="+mn-cs"/>
            </a:rPr>
            <a:t>8) </a:t>
          </a:r>
          <a:r>
            <a:rPr lang="en-GB" sz="1100" b="0" i="0" baseline="0">
              <a:solidFill>
                <a:schemeClr val="tx1"/>
              </a:solidFill>
              <a:effectLst/>
              <a:latin typeface="+mn-lt"/>
              <a:ea typeface="+mn-ea"/>
              <a:cs typeface="+mn-cs"/>
            </a:rPr>
            <a:t>Delivery of Equipment - Legrand Cable Trays 4 weeks, most other materials are available ex-stock, subject to being unsold.</a:t>
          </a:r>
          <a:endParaRPr lang="en-MT" sz="1000">
            <a:solidFill>
              <a:schemeClr val="tx1"/>
            </a:solidFill>
            <a:effectLst/>
          </a:endParaRPr>
        </a:p>
        <a:p>
          <a:pPr rtl="0"/>
          <a:r>
            <a:rPr lang="en-GB" sz="1100" b="0" i="0" baseline="0">
              <a:effectLst/>
              <a:latin typeface="+mn-lt"/>
              <a:ea typeface="+mn-ea"/>
              <a:cs typeface="+mn-cs"/>
            </a:rPr>
            <a:t>9) We have assumed that we will be allowed to work unhindered between 7.00 to 15.30 on weekdays.</a:t>
          </a:r>
        </a:p>
        <a:p>
          <a:pPr rtl="0"/>
          <a:endParaRPr lang="en-MT" sz="1000">
            <a:effectLst/>
          </a:endParaRPr>
        </a:p>
        <a:p>
          <a:pPr rtl="0"/>
          <a:r>
            <a:rPr lang="en-GB" sz="1100" b="1" i="0" u="sng" baseline="0">
              <a:effectLst/>
              <a:latin typeface="+mn-lt"/>
              <a:ea typeface="+mn-ea"/>
              <a:cs typeface="+mn-cs"/>
            </a:rPr>
            <a:t>EXCLUSIONS:</a:t>
          </a:r>
          <a:endParaRPr lang="en-MT" sz="1000">
            <a:effectLst/>
          </a:endParaRPr>
        </a:p>
        <a:p>
          <a:pPr rtl="0"/>
          <a:r>
            <a:rPr lang="en-GB" sz="1100" b="0" i="0" baseline="0">
              <a:effectLst/>
              <a:latin typeface="+mn-lt"/>
              <a:ea typeface="+mn-ea"/>
              <a:cs typeface="+mn-cs"/>
            </a:rPr>
            <a:t>1) Any builders' work except conduit chases in walls / as per contract.</a:t>
          </a:r>
          <a:endParaRPr lang="en-MT" sz="1000">
            <a:effectLst/>
          </a:endParaRPr>
        </a:p>
        <a:p>
          <a:pPr rtl="0"/>
          <a:r>
            <a:rPr lang="en-GB" sz="1100" b="0" i="0" baseline="0">
              <a:effectLst/>
              <a:latin typeface="+mn-lt"/>
              <a:ea typeface="+mn-ea"/>
              <a:cs typeface="+mn-cs"/>
            </a:rPr>
            <a:t>2) Work outside our normal working hours.</a:t>
          </a:r>
          <a:endParaRPr lang="en-MT" sz="1000">
            <a:effectLst/>
          </a:endParaRPr>
        </a:p>
        <a:p>
          <a:pPr rtl="0"/>
          <a:r>
            <a:rPr lang="en-GB" sz="1100" b="0" i="0" baseline="0">
              <a:effectLst/>
              <a:latin typeface="+mn-lt"/>
              <a:ea typeface="+mn-ea"/>
              <a:cs typeface="+mn-cs"/>
            </a:rPr>
            <a:t>3) Security of the works after normal working hours.</a:t>
          </a:r>
          <a:endParaRPr lang="en-MT" sz="1000">
            <a:effectLst/>
          </a:endParaRPr>
        </a:p>
        <a:p>
          <a:pPr rtl="0"/>
          <a:r>
            <a:rPr lang="en-GB" sz="1100" b="0" i="0" baseline="0">
              <a:effectLst/>
              <a:latin typeface="+mn-lt"/>
              <a:ea typeface="+mn-ea"/>
              <a:cs typeface="+mn-cs"/>
            </a:rPr>
            <a:t>4) Cutting of holes in gypsum partitions or false ceilings to accommodate electrical devices.</a:t>
          </a:r>
          <a:endParaRPr lang="en-MT" sz="1000">
            <a:effectLst/>
          </a:endParaRPr>
        </a:p>
        <a:p>
          <a:pPr rtl="0"/>
          <a:r>
            <a:rPr lang="en-GB" sz="1100" b="0" i="0" baseline="0">
              <a:effectLst/>
              <a:latin typeface="+mn-lt"/>
              <a:ea typeface="+mn-ea"/>
              <a:cs typeface="+mn-cs"/>
            </a:rPr>
            <a:t>5) Dismantling of any existing installation / false ceiling / furnishings unless included in attached BOQ.</a:t>
          </a:r>
          <a:endParaRPr lang="en-MT" sz="1000">
            <a:effectLst/>
          </a:endParaRPr>
        </a:p>
        <a:p>
          <a:pPr rtl="0"/>
          <a:r>
            <a:rPr lang="en-GB" sz="1100" b="0" i="0" baseline="0">
              <a:effectLst/>
              <a:latin typeface="+mn-lt"/>
              <a:ea typeface="+mn-ea"/>
              <a:cs typeface="+mn-cs"/>
            </a:rPr>
            <a:t>6) Anything not mentioned in our Bill of Quantities.</a:t>
          </a:r>
          <a:endParaRPr lang="en-MT" sz="1000">
            <a:effectLst/>
          </a:endParaRPr>
        </a:p>
        <a:p>
          <a:pPr algn="l" rtl="0">
            <a:lnSpc>
              <a:spcPts val="1100"/>
            </a:lnSpc>
            <a:defRPr sz="1000"/>
          </a:pPr>
          <a:endParaRPr lang="en-GB" sz="1000" b="0" i="0" u="none" strike="noStrike" baseline="0">
            <a:solidFill>
              <a:srgbClr val="000000"/>
            </a:solidFill>
            <a:latin typeface="Arial"/>
            <a:cs typeface="Arial"/>
          </a:endParaRPr>
        </a:p>
      </xdr:txBody>
    </xdr:sp>
    <xdr:clientData fLocksWithSheet="0"/>
  </xdr:twoCellAnchor>
  <xdr:twoCellAnchor>
    <xdr:from>
      <xdr:col>0</xdr:col>
      <xdr:colOff>28575</xdr:colOff>
      <xdr:row>10</xdr:row>
      <xdr:rowOff>76200</xdr:rowOff>
    </xdr:from>
    <xdr:to>
      <xdr:col>20</xdr:col>
      <xdr:colOff>28575</xdr:colOff>
      <xdr:row>19</xdr:row>
      <xdr:rowOff>66675</xdr:rowOff>
    </xdr:to>
    <xdr:sp macro="" textlink="">
      <xdr:nvSpPr>
        <xdr:cNvPr id="3" name="Text 6">
          <a:extLst>
            <a:ext uri="{FF2B5EF4-FFF2-40B4-BE49-F238E27FC236}">
              <a16:creationId xmlns:a16="http://schemas.microsoft.com/office/drawing/2014/main" id="{00000000-0008-0000-0900-000003000000}"/>
            </a:ext>
          </a:extLst>
        </xdr:cNvPr>
        <xdr:cNvSpPr txBox="1">
          <a:spLocks noChangeArrowheads="1"/>
        </xdr:cNvSpPr>
      </xdr:nvSpPr>
      <xdr:spPr bwMode="auto">
        <a:xfrm>
          <a:off x="28575" y="1962150"/>
          <a:ext cx="6134100" cy="14478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GB" sz="1000" b="1" i="0" u="sng" strike="noStrike" baseline="0">
              <a:solidFill>
                <a:srgbClr val="000000"/>
              </a:solidFill>
              <a:latin typeface="Mark Pro Book" panose="020B0604020201010104" pitchFamily="34" charset="0"/>
              <a:cs typeface="Arial"/>
            </a:rPr>
            <a:t>DESCRIPTION OF WORKS / SPECIFICATIONS:</a:t>
          </a:r>
        </a:p>
        <a:p>
          <a:pPr rtl="0"/>
          <a:r>
            <a:rPr lang="en-GB" sz="1100" b="0" i="0" baseline="0">
              <a:effectLst/>
              <a:latin typeface="+mn-lt"/>
              <a:ea typeface="+mn-ea"/>
              <a:cs typeface="+mn-cs"/>
            </a:rPr>
            <a:t>1) As per the attached BOQ.</a:t>
          </a:r>
          <a:endParaRPr lang="en-MT" sz="1100" b="0" i="0" baseline="0">
            <a:effectLst/>
            <a:latin typeface="+mn-lt"/>
            <a:ea typeface="+mn-ea"/>
            <a:cs typeface="+mn-cs"/>
          </a:endParaRPr>
        </a:p>
        <a:p>
          <a:pPr rtl="0"/>
          <a:r>
            <a:rPr lang="en-GB" sz="1100" b="0" i="0" baseline="0">
              <a:effectLst/>
              <a:latin typeface="+mn-lt"/>
              <a:ea typeface="+mn-ea"/>
              <a:cs typeface="+mn-cs"/>
            </a:rPr>
            <a:t>2) Technical literature for the items offered is attached.</a:t>
          </a:r>
          <a:endParaRPr lang="en-MT" sz="1000">
            <a:effectLst/>
          </a:endParaRPr>
        </a:p>
      </xdr:txBody>
    </xdr:sp>
    <xdr:clientData fLocksWithSheet="0"/>
  </xdr:twoCellAnchor>
</xdr:wsDr>
</file>

<file path=xl/drawings/drawing2.xml><?xml version="1.0" encoding="utf-8"?>
<xdr:wsDr xmlns:xdr="http://schemas.openxmlformats.org/drawingml/2006/spreadsheetDrawing" xmlns:a="http://schemas.openxmlformats.org/drawingml/2006/main">
  <xdr:twoCellAnchor>
    <xdr:from>
      <xdr:col>16</xdr:col>
      <xdr:colOff>285750</xdr:colOff>
      <xdr:row>70</xdr:row>
      <xdr:rowOff>152400</xdr:rowOff>
    </xdr:from>
    <xdr:to>
      <xdr:col>19</xdr:col>
      <xdr:colOff>561975</xdr:colOff>
      <xdr:row>75</xdr:row>
      <xdr:rowOff>0</xdr:rowOff>
    </xdr:to>
    <xdr:sp macro="" textlink="">
      <xdr:nvSpPr>
        <xdr:cNvPr id="1059" name="Text Box 35">
          <a:extLst>
            <a:ext uri="{FF2B5EF4-FFF2-40B4-BE49-F238E27FC236}">
              <a16:creationId xmlns:a16="http://schemas.microsoft.com/office/drawing/2014/main" id="{00000000-0008-0000-0800-000023040000}"/>
            </a:ext>
          </a:extLst>
        </xdr:cNvPr>
        <xdr:cNvSpPr txBox="1">
          <a:spLocks noChangeArrowheads="1"/>
        </xdr:cNvSpPr>
      </xdr:nvSpPr>
      <xdr:spPr bwMode="auto">
        <a:xfrm>
          <a:off x="4181475" y="12944475"/>
          <a:ext cx="2362200" cy="6858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GB" sz="1000" b="0" i="0" u="sng" strike="noStrike" baseline="0">
              <a:solidFill>
                <a:srgbClr val="000000"/>
              </a:solidFill>
              <a:latin typeface="Arial"/>
              <a:cs typeface="Arial"/>
            </a:rPr>
            <a:t>Comment / Change in Scope</a:t>
          </a:r>
        </a:p>
        <a:p>
          <a:pPr algn="l" rtl="0">
            <a:defRPr sz="1000"/>
          </a:pPr>
          <a:endParaRPr lang="en-GB" sz="1000" b="0" i="0" u="sng" strike="noStrike" baseline="0">
            <a:solidFill>
              <a:srgbClr val="000000"/>
            </a:solidFill>
            <a:latin typeface="Arial"/>
            <a:cs typeface="Arial"/>
          </a:endParaRPr>
        </a:p>
        <a:p>
          <a:pPr algn="l" rtl="0">
            <a:defRPr sz="1000"/>
          </a:pPr>
          <a:endParaRPr lang="en-GB" sz="1000" b="0" i="0" u="sng"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1</xdr:row>
          <xdr:rowOff>106680</xdr:rowOff>
        </xdr:from>
        <xdr:to>
          <xdr:col>1</xdr:col>
          <xdr:colOff>266700</xdr:colOff>
          <xdr:row>2</xdr:row>
          <xdr:rowOff>45720</xdr:rowOff>
        </xdr:to>
        <xdr:sp macro="" textlink="">
          <xdr:nvSpPr>
            <xdr:cNvPr id="1272" name="Check Box 248" hidden="1">
              <a:extLst>
                <a:ext uri="{63B3BB69-23CF-44E3-9099-C40C66FF867C}">
                  <a14:compatExt spid="_x0000_s1272"/>
                </a:ext>
                <a:ext uri="{FF2B5EF4-FFF2-40B4-BE49-F238E27FC236}">
                  <a16:creationId xmlns:a16="http://schemas.microsoft.com/office/drawing/2014/main" id="{00000000-0008-0000-0200-0000F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MT" sz="800" b="0" i="0" u="none" strike="noStrike" baseline="0">
                  <a:solidFill>
                    <a:srgbClr val="000000"/>
                  </a:solidFill>
                  <a:latin typeface="Tahoma"/>
                  <a:ea typeface="Tahoma"/>
                  <a:cs typeface="Tahoma"/>
                </a:rPr>
                <a:t>1.Form/0Mat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0</xdr:rowOff>
        </xdr:from>
        <xdr:to>
          <xdr:col>0</xdr:col>
          <xdr:colOff>525780</xdr:colOff>
          <xdr:row>2</xdr:row>
          <xdr:rowOff>220980</xdr:rowOff>
        </xdr:to>
        <xdr:sp macro="" textlink="">
          <xdr:nvSpPr>
            <xdr:cNvPr id="1273" name="Check Box 249" hidden="1">
              <a:extLst>
                <a:ext uri="{63B3BB69-23CF-44E3-9099-C40C66FF867C}">
                  <a14:compatExt spid="_x0000_s1273"/>
                </a:ext>
                <a:ext uri="{FF2B5EF4-FFF2-40B4-BE49-F238E27FC236}">
                  <a16:creationId xmlns:a16="http://schemas.microsoft.com/office/drawing/2014/main" id="{00000000-0008-0000-0200-0000F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MT" sz="800" b="0" i="0" u="none" strike="noStrike" baseline="0">
                  <a:solidFill>
                    <a:srgbClr val="000000"/>
                  </a:solidFill>
                  <a:latin typeface="Tahoma"/>
                  <a:ea typeface="Tahoma"/>
                  <a:cs typeface="Tahoma"/>
                </a:rPr>
                <a:t>2.VAT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182880</xdr:rowOff>
        </xdr:from>
        <xdr:to>
          <xdr:col>1</xdr:col>
          <xdr:colOff>137160</xdr:colOff>
          <xdr:row>3</xdr:row>
          <xdr:rowOff>137160</xdr:rowOff>
        </xdr:to>
        <xdr:sp macro="" textlink="">
          <xdr:nvSpPr>
            <xdr:cNvPr id="1274" name="Check Box 250" hidden="1">
              <a:extLst>
                <a:ext uri="{63B3BB69-23CF-44E3-9099-C40C66FF867C}">
                  <a14:compatExt spid="_x0000_s1274"/>
                </a:ext>
                <a:ext uri="{FF2B5EF4-FFF2-40B4-BE49-F238E27FC236}">
                  <a16:creationId xmlns:a16="http://schemas.microsoft.com/office/drawing/2014/main" id="{00000000-0008-0000-0200-0000F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MT" sz="800" b="0" i="0" u="none" strike="noStrike" baseline="0">
                  <a:solidFill>
                    <a:srgbClr val="000000"/>
                  </a:solidFill>
                  <a:latin typeface="Tahoma"/>
                  <a:ea typeface="Tahoma"/>
                  <a:cs typeface="Tahoma"/>
                </a:rPr>
                <a:t>3.DiscyA-J</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xdr:row>
          <xdr:rowOff>68580</xdr:rowOff>
        </xdr:from>
        <xdr:to>
          <xdr:col>1</xdr:col>
          <xdr:colOff>342900</xdr:colOff>
          <xdr:row>4</xdr:row>
          <xdr:rowOff>83820</xdr:rowOff>
        </xdr:to>
        <xdr:sp macro="" textlink="">
          <xdr:nvSpPr>
            <xdr:cNvPr id="1275" name="Check Box 251" hidden="1">
              <a:extLst>
                <a:ext uri="{63B3BB69-23CF-44E3-9099-C40C66FF867C}">
                  <a14:compatExt spid="_x0000_s1275"/>
                </a:ext>
                <a:ext uri="{FF2B5EF4-FFF2-40B4-BE49-F238E27FC236}">
                  <a16:creationId xmlns:a16="http://schemas.microsoft.com/office/drawing/2014/main" id="{00000000-0008-0000-0200-0000F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MT" sz="800" b="0" i="0" u="none" strike="noStrike" baseline="0">
                  <a:solidFill>
                    <a:srgbClr val="000000"/>
                  </a:solidFill>
                  <a:latin typeface="Tahoma"/>
                  <a:ea typeface="Tahoma"/>
                  <a:cs typeface="Tahoma"/>
                </a:rPr>
                <a:t>4.MU/LabRate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7620</xdr:rowOff>
        </xdr:from>
        <xdr:to>
          <xdr:col>1</xdr:col>
          <xdr:colOff>335280</xdr:colOff>
          <xdr:row>5</xdr:row>
          <xdr:rowOff>60960</xdr:rowOff>
        </xdr:to>
        <xdr:sp macro="" textlink="">
          <xdr:nvSpPr>
            <xdr:cNvPr id="1276" name="Check Box 252" hidden="1">
              <a:extLst>
                <a:ext uri="{63B3BB69-23CF-44E3-9099-C40C66FF867C}">
                  <a14:compatExt spid="_x0000_s1276"/>
                </a:ext>
                <a:ext uri="{FF2B5EF4-FFF2-40B4-BE49-F238E27FC236}">
                  <a16:creationId xmlns:a16="http://schemas.microsoft.com/office/drawing/2014/main" id="{00000000-0008-0000-0200-0000F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MT" sz="800" b="0" i="0" u="none" strike="noStrike" baseline="0">
                  <a:solidFill>
                    <a:srgbClr val="000000"/>
                  </a:solidFill>
                  <a:latin typeface="Tahoma"/>
                  <a:ea typeface="Tahoma"/>
                  <a:cs typeface="Tahoma"/>
                </a:rPr>
                <a:t>5.Ov.Dsct/MU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152400</xdr:rowOff>
        </xdr:from>
        <xdr:to>
          <xdr:col>1</xdr:col>
          <xdr:colOff>274320</xdr:colOff>
          <xdr:row>6</xdr:row>
          <xdr:rowOff>30480</xdr:rowOff>
        </xdr:to>
        <xdr:sp macro="" textlink="">
          <xdr:nvSpPr>
            <xdr:cNvPr id="1277" name="Check Box 253" hidden="1">
              <a:extLst>
                <a:ext uri="{63B3BB69-23CF-44E3-9099-C40C66FF867C}">
                  <a14:compatExt spid="_x0000_s1277"/>
                </a:ext>
                <a:ext uri="{FF2B5EF4-FFF2-40B4-BE49-F238E27FC236}">
                  <a16:creationId xmlns:a16="http://schemas.microsoft.com/office/drawing/2014/main" id="{00000000-0008-0000-0200-0000F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MT" sz="800" b="0" i="0" u="none" strike="noStrike" baseline="0">
                  <a:solidFill>
                    <a:srgbClr val="000000"/>
                  </a:solidFill>
                  <a:latin typeface="Tahoma"/>
                  <a:ea typeface="Tahoma"/>
                  <a:cs typeface="Tahoma"/>
                </a:rPr>
                <a:t>6ab.Lab.Cont.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xdr:row>
          <xdr:rowOff>137160</xdr:rowOff>
        </xdr:from>
        <xdr:to>
          <xdr:col>1</xdr:col>
          <xdr:colOff>251460</xdr:colOff>
          <xdr:row>7</xdr:row>
          <xdr:rowOff>7620</xdr:rowOff>
        </xdr:to>
        <xdr:sp macro="" textlink="">
          <xdr:nvSpPr>
            <xdr:cNvPr id="1278" name="Check Box 254" hidden="1">
              <a:extLst>
                <a:ext uri="{63B3BB69-23CF-44E3-9099-C40C66FF867C}">
                  <a14:compatExt spid="_x0000_s1278"/>
                </a:ext>
                <a:ext uri="{FF2B5EF4-FFF2-40B4-BE49-F238E27FC236}">
                  <a16:creationId xmlns:a16="http://schemas.microsoft.com/office/drawing/2014/main" id="{00000000-0008-0000-0200-0000F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MT" sz="800" b="0" i="0" u="none" strike="noStrike" baseline="0">
                  <a:solidFill>
                    <a:srgbClr val="000000"/>
                  </a:solidFill>
                  <a:latin typeface="Tahoma"/>
                  <a:ea typeface="Tahoma"/>
                  <a:cs typeface="Tahoma"/>
                </a:rPr>
                <a:t>7.Mat.Cont.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xdr:row>
          <xdr:rowOff>114300</xdr:rowOff>
        </xdr:from>
        <xdr:to>
          <xdr:col>0</xdr:col>
          <xdr:colOff>502920</xdr:colOff>
          <xdr:row>7</xdr:row>
          <xdr:rowOff>160020</xdr:rowOff>
        </xdr:to>
        <xdr:sp macro="" textlink="">
          <xdr:nvSpPr>
            <xdr:cNvPr id="1279" name="Check Box 255" hidden="1">
              <a:extLst>
                <a:ext uri="{63B3BB69-23CF-44E3-9099-C40C66FF867C}">
                  <a14:compatExt spid="_x0000_s1279"/>
                </a:ext>
                <a:ext uri="{FF2B5EF4-FFF2-40B4-BE49-F238E27FC236}">
                  <a16:creationId xmlns:a16="http://schemas.microsoft.com/office/drawing/2014/main" id="{00000000-0008-0000-0200-0000F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MT" sz="800" b="0" i="0" u="none" strike="noStrike" baseline="0">
                  <a:solidFill>
                    <a:srgbClr val="000000"/>
                  </a:solidFill>
                  <a:latin typeface="Tahoma"/>
                  <a:ea typeface="Tahoma"/>
                  <a:cs typeface="Tahoma"/>
                </a:rPr>
                <a:t>8.BOQ</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xdr:row>
          <xdr:rowOff>99060</xdr:rowOff>
        </xdr:from>
        <xdr:to>
          <xdr:col>1</xdr:col>
          <xdr:colOff>68580</xdr:colOff>
          <xdr:row>8</xdr:row>
          <xdr:rowOff>144780</xdr:rowOff>
        </xdr:to>
        <xdr:sp macro="" textlink="">
          <xdr:nvSpPr>
            <xdr:cNvPr id="1280" name="Check Box 256" hidden="1">
              <a:extLst>
                <a:ext uri="{63B3BB69-23CF-44E3-9099-C40C66FF867C}">
                  <a14:compatExt spid="_x0000_s1280"/>
                </a:ext>
                <a:ext uri="{FF2B5EF4-FFF2-40B4-BE49-F238E27FC236}">
                  <a16:creationId xmlns:a16="http://schemas.microsoft.com/office/drawing/2014/main" id="{00000000-0008-0000-0200-00000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MT" sz="800" b="0" i="0" u="none" strike="noStrike" baseline="0">
                  <a:solidFill>
                    <a:srgbClr val="000000"/>
                  </a:solidFill>
                  <a:latin typeface="Tahoma"/>
                  <a:ea typeface="Tahoma"/>
                  <a:cs typeface="Tahoma"/>
                </a:rPr>
                <a:t>9.Recon.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xdr:row>
          <xdr:rowOff>76200</xdr:rowOff>
        </xdr:from>
        <xdr:to>
          <xdr:col>1</xdr:col>
          <xdr:colOff>190500</xdr:colOff>
          <xdr:row>10</xdr:row>
          <xdr:rowOff>121920</xdr:rowOff>
        </xdr:to>
        <xdr:sp macro="" textlink="">
          <xdr:nvSpPr>
            <xdr:cNvPr id="1286" name="Check Box 262" hidden="1">
              <a:extLst>
                <a:ext uri="{63B3BB69-23CF-44E3-9099-C40C66FF867C}">
                  <a14:compatExt spid="_x0000_s1286"/>
                </a:ext>
                <a:ext uri="{FF2B5EF4-FFF2-40B4-BE49-F238E27FC236}">
                  <a16:creationId xmlns:a16="http://schemas.microsoft.com/office/drawing/2014/main" id="{00000000-0008-0000-0200-00000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MT" sz="800" b="0" i="0" u="none" strike="noStrike" baseline="0">
                  <a:solidFill>
                    <a:srgbClr val="000000"/>
                  </a:solidFill>
                  <a:latin typeface="Tahoma"/>
                  <a:ea typeface="Tahoma"/>
                  <a:cs typeface="Tahoma"/>
                </a:rPr>
                <a:t>11.ValsOnly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xdr:row>
          <xdr:rowOff>76200</xdr:rowOff>
        </xdr:from>
        <xdr:to>
          <xdr:col>1</xdr:col>
          <xdr:colOff>563880</xdr:colOff>
          <xdr:row>9</xdr:row>
          <xdr:rowOff>121920</xdr:rowOff>
        </xdr:to>
        <xdr:sp macro="" textlink="">
          <xdr:nvSpPr>
            <xdr:cNvPr id="1299" name="Check Box 275" hidden="1">
              <a:extLst>
                <a:ext uri="{63B3BB69-23CF-44E3-9099-C40C66FF867C}">
                  <a14:compatExt spid="_x0000_s1299"/>
                </a:ext>
                <a:ext uri="{FF2B5EF4-FFF2-40B4-BE49-F238E27FC236}">
                  <a16:creationId xmlns:a16="http://schemas.microsoft.com/office/drawing/2014/main" id="{00000000-0008-0000-0200-00001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MT" sz="800" b="0" i="0" u="none" strike="noStrike" baseline="0">
                  <a:solidFill>
                    <a:srgbClr val="000000"/>
                  </a:solidFill>
                  <a:latin typeface="Tahoma"/>
                  <a:ea typeface="Tahoma"/>
                  <a:cs typeface="Tahoma"/>
                </a:rPr>
                <a:t>10.Avg.Rates OK?</a:t>
              </a:r>
            </a:p>
          </xdr:txBody>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Documents%20and%20Settings\ebusuttil\My%20Documents\TIGNE%20T8%20&amp;%20T9\Valuations\T8%20&amp;%20T9%20-%20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MECH\ADRIAN\PROJECTS\2004\Prince%20of%20Wales\Prince_Es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clnas\ele\est\BOV\Bov_proc\Copy%20of%20BOV_BMS9_xp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clnas\ele\est\CBOM\Annex%20II\Estimates\E14_XXXX_Estimate_LightningProtection.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Bernard%20Grech\AppData\Local\Microsoft\Windows\INetCache\Content.Outlook\ZPBB5CW0\L-4740-%20Fire%20Fighting%20Costing%20Tool.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SPACEPROJECT\Prj%20Magt\Documents%20and%20Settings\_spaceproject\Desktop\G33a\MoW_1020_01\G33a_MoW_1020_01_0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Josef\PW\My%20Documents\Golden%20Sands%20Resort%20---%20C%201065\Piece%20Work\Masons\Masons%20Imqieda\Joe%20Borg%20&amp;%20Brian%20Galea\hilton\Tower%20BQ%20Alf.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Google%20Drive\shared%20c_c\Work\BZ%20-%20Clive\BOQ's\00389_Marsa\Submission\001_%20Valuation.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hilton\Tower%20BQ%20Alf.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Users\stephen.cachia\Desktop\Consolidated%20BoQ_NoRates.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A:\My%20Documents\Golden%20Sands%20Resort%20---%20C%201065\Piece%20Work\Masons\Masons%20Imqieda\Joe%20Borg%20&amp;%20Brian%20Galea\hilton\Tower%20BQ%20Alf.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U:\01%20%20spaceproject%20projects\00%20%20Standards\02%20Cost\04%20Measurement%20of%20Work\MoW_1020\MoW_1010.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U:\c.users\a%20-%20current%20projects\P06%20-%20Jojo%20Paris\P06a%20san%20gwann\5.%20Contract%20Management\P06a_1010_Demolition,%20Site%20Clearance%20and%20Excavation\03%20Measurement%20of%20Works\B%20Payment%20Assessments\P06a_MoW_1010_0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WINDOWS\Temporary%20Internet%20Files\Content.IE5\CLERY7QZ\Estimate%20and%20BOQ.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A:\Spiru%20Borg%20&amp;%20Anthony%20Cassar\hilton\Tower%20BQ%20Alf.xls"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file:///K:\est\Wembley_office_block_A_Tenant\Estimates\Variations\EL25_0051_wembley_block_A_VRF_OUTDOOR.xlsx" TargetMode="External"/><Relationship Id="rId1" Type="http://schemas.openxmlformats.org/officeDocument/2006/relationships/externalLinkPath" Target="/est/Wembley_office_block_A_Tenant/Estimates/Variations/EL25_0051_wembley_block_A_VRF_OUTDOO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 Summary"/>
      <sheetName val="T8&amp;T9 Bill"/>
      <sheetName val="Reservoir"/>
      <sheetName val="T4T7T9 basement bills"/>
      <sheetName val="Main Summary"/>
      <sheetName val="T8&amp;T9 Summary"/>
      <sheetName val="Reservoir Summary"/>
      <sheetName val="T4,T7&amp;T9 Basement bill Summary"/>
      <sheetName val="Codes"/>
      <sheetName val="Table 8 &amp; 9"/>
      <sheetName val="Table 8 &amp; 9 Qnt"/>
      <sheetName val="Takeoff 8 &amp; 9"/>
      <sheetName val="Takeoff 9P"/>
      <sheetName val="Gen_Summary"/>
      <sheetName val="T8&amp;T9_Bill"/>
      <sheetName val="T4T7T9_basement_bills"/>
      <sheetName val="Main_Summary"/>
      <sheetName val="T8&amp;T9_Summary"/>
      <sheetName val="Reservoir_Summary"/>
      <sheetName val="T4,T7&amp;T9_Basement_bill_Summary"/>
      <sheetName val="Table_8_&amp;_9"/>
      <sheetName val="Table_8_&amp;_9_Qnt"/>
      <sheetName val="Takeoff_8_&amp;_9"/>
      <sheetName val="Takeoff_9P"/>
      <sheetName val="Gen_Summary1"/>
      <sheetName val="T8&amp;T9_Bill1"/>
      <sheetName val="T4T7T9_basement_bills1"/>
      <sheetName val="Main_Summary1"/>
      <sheetName val="T8&amp;T9_Summary1"/>
      <sheetName val="Reservoir_Summary1"/>
      <sheetName val="T4,T7&amp;T9_Basement_bill_Summary1"/>
      <sheetName val="Table_8_&amp;_91"/>
      <sheetName val="Table_8_&amp;_9_Qnt1"/>
      <sheetName val="Takeoff_8_&amp;_91"/>
      <sheetName val="Takeoff_9P1"/>
    </sheetNames>
    <sheetDataSet>
      <sheetData sheetId="0"/>
      <sheetData sheetId="1"/>
      <sheetData sheetId="2"/>
      <sheetData sheetId="3"/>
      <sheetData sheetId="4"/>
      <sheetData sheetId="5"/>
      <sheetData sheetId="6"/>
      <sheetData sheetId="7"/>
      <sheetData sheetId="8"/>
      <sheetData sheetId="9">
        <row r="4">
          <cell r="B4">
            <v>1</v>
          </cell>
          <cell r="C4" t="str">
            <v>D1</v>
          </cell>
          <cell r="D4">
            <v>346.04455385</v>
          </cell>
        </row>
        <row r="5">
          <cell r="B5">
            <v>2</v>
          </cell>
          <cell r="C5" t="str">
            <v>D2</v>
          </cell>
          <cell r="D5">
            <v>81.52945204000001</v>
          </cell>
        </row>
        <row r="6">
          <cell r="B6">
            <v>3</v>
          </cell>
          <cell r="C6" t="str">
            <v>D3</v>
          </cell>
          <cell r="D6">
            <v>427.57400589000002</v>
          </cell>
        </row>
        <row r="7">
          <cell r="B7">
            <v>4</v>
          </cell>
          <cell r="C7" t="str">
            <v>D4</v>
          </cell>
          <cell r="D7">
            <v>0</v>
          </cell>
        </row>
        <row r="8">
          <cell r="B8">
            <v>5</v>
          </cell>
          <cell r="C8" t="str">
            <v>D5</v>
          </cell>
          <cell r="D8">
            <v>19.676399999999997</v>
          </cell>
        </row>
        <row r="9">
          <cell r="B9">
            <v>6</v>
          </cell>
          <cell r="C9" t="str">
            <v>D6</v>
          </cell>
          <cell r="D9">
            <v>92.1</v>
          </cell>
        </row>
        <row r="10">
          <cell r="B10">
            <v>7</v>
          </cell>
          <cell r="C10" t="str">
            <v>D7</v>
          </cell>
          <cell r="D10">
            <v>0</v>
          </cell>
        </row>
        <row r="11">
          <cell r="B11">
            <v>8</v>
          </cell>
          <cell r="C11" t="str">
            <v>D8</v>
          </cell>
          <cell r="D11">
            <v>0</v>
          </cell>
        </row>
        <row r="12">
          <cell r="B12">
            <v>9</v>
          </cell>
          <cell r="C12" t="str">
            <v>D9</v>
          </cell>
          <cell r="D12">
            <v>0</v>
          </cell>
        </row>
        <row r="13">
          <cell r="B13">
            <v>10</v>
          </cell>
          <cell r="C13" t="str">
            <v>D10</v>
          </cell>
          <cell r="D13">
            <v>0</v>
          </cell>
        </row>
        <row r="14">
          <cell r="B14">
            <v>11</v>
          </cell>
          <cell r="C14" t="str">
            <v>D11</v>
          </cell>
          <cell r="D14">
            <v>0</v>
          </cell>
        </row>
        <row r="15">
          <cell r="B15">
            <v>12</v>
          </cell>
          <cell r="C15" t="str">
            <v>D12</v>
          </cell>
          <cell r="D15">
            <v>0</v>
          </cell>
        </row>
        <row r="16">
          <cell r="B16">
            <v>13</v>
          </cell>
          <cell r="C16" t="str">
            <v>D13</v>
          </cell>
          <cell r="D16">
            <v>0</v>
          </cell>
        </row>
        <row r="17">
          <cell r="B17">
            <v>14</v>
          </cell>
          <cell r="C17" t="str">
            <v>D14</v>
          </cell>
          <cell r="D17">
            <v>0</v>
          </cell>
        </row>
        <row r="18">
          <cell r="B18">
            <v>15</v>
          </cell>
          <cell r="C18" t="str">
            <v>D15</v>
          </cell>
          <cell r="D18">
            <v>0</v>
          </cell>
        </row>
        <row r="19">
          <cell r="B19">
            <v>16</v>
          </cell>
          <cell r="C19" t="str">
            <v>E1</v>
          </cell>
          <cell r="D19">
            <v>0</v>
          </cell>
        </row>
        <row r="20">
          <cell r="B20">
            <v>17</v>
          </cell>
          <cell r="C20" t="str">
            <v>E2</v>
          </cell>
          <cell r="D20">
            <v>0</v>
          </cell>
        </row>
        <row r="21">
          <cell r="B21">
            <v>18</v>
          </cell>
          <cell r="C21" t="str">
            <v>E3</v>
          </cell>
          <cell r="D21">
            <v>74.575032999999991</v>
          </cell>
        </row>
        <row r="22">
          <cell r="B22">
            <v>19</v>
          </cell>
          <cell r="C22" t="str">
            <v>E4</v>
          </cell>
          <cell r="D22">
            <v>66.946215499999994</v>
          </cell>
        </row>
        <row r="23">
          <cell r="B23">
            <v>20</v>
          </cell>
          <cell r="C23" t="str">
            <v>E5</v>
          </cell>
          <cell r="D23">
            <v>123.17799999999998</v>
          </cell>
        </row>
        <row r="24">
          <cell r="B24">
            <v>21</v>
          </cell>
          <cell r="C24" t="str">
            <v>E6</v>
          </cell>
          <cell r="D24">
            <v>0</v>
          </cell>
        </row>
        <row r="25">
          <cell r="B25">
            <v>22</v>
          </cell>
          <cell r="C25" t="str">
            <v>E7</v>
          </cell>
          <cell r="D25">
            <v>160.29162764000009</v>
          </cell>
        </row>
        <row r="26">
          <cell r="B26">
            <v>23</v>
          </cell>
          <cell r="C26" t="str">
            <v>E8</v>
          </cell>
          <cell r="D26">
            <v>168.27153850000002</v>
          </cell>
        </row>
        <row r="27">
          <cell r="B27">
            <v>24</v>
          </cell>
          <cell r="C27" t="str">
            <v>E9</v>
          </cell>
          <cell r="D27">
            <v>0</v>
          </cell>
        </row>
        <row r="28">
          <cell r="B28">
            <v>25</v>
          </cell>
          <cell r="C28" t="str">
            <v>E10</v>
          </cell>
          <cell r="D28">
            <v>396.00943199999995</v>
          </cell>
        </row>
        <row r="29">
          <cell r="B29">
            <v>26</v>
          </cell>
          <cell r="C29" t="str">
            <v>E11</v>
          </cell>
          <cell r="D29">
            <v>0</v>
          </cell>
        </row>
        <row r="30">
          <cell r="B30">
            <v>27</v>
          </cell>
          <cell r="C30" t="str">
            <v>E12</v>
          </cell>
          <cell r="D30">
            <v>0</v>
          </cell>
        </row>
        <row r="31">
          <cell r="B31">
            <v>28</v>
          </cell>
          <cell r="C31" t="str">
            <v>E13</v>
          </cell>
          <cell r="D31">
            <v>15.114381000000002</v>
          </cell>
        </row>
        <row r="32">
          <cell r="B32">
            <v>29</v>
          </cell>
          <cell r="C32" t="str">
            <v>E14</v>
          </cell>
          <cell r="D32">
            <v>40.652950000000018</v>
          </cell>
        </row>
        <row r="33">
          <cell r="B33">
            <v>30</v>
          </cell>
          <cell r="C33" t="str">
            <v>E15</v>
          </cell>
          <cell r="D33">
            <v>0</v>
          </cell>
        </row>
        <row r="34">
          <cell r="B34">
            <v>31</v>
          </cell>
          <cell r="C34" t="str">
            <v>E16</v>
          </cell>
          <cell r="D34">
            <v>61.4380825</v>
          </cell>
        </row>
        <row r="35">
          <cell r="B35">
            <v>32</v>
          </cell>
          <cell r="C35" t="str">
            <v>E17</v>
          </cell>
          <cell r="D35">
            <v>0</v>
          </cell>
        </row>
        <row r="36">
          <cell r="B36">
            <v>33</v>
          </cell>
          <cell r="C36" t="str">
            <v>E18</v>
          </cell>
          <cell r="D36">
            <v>0</v>
          </cell>
        </row>
        <row r="37">
          <cell r="B37">
            <v>34</v>
          </cell>
          <cell r="C37" t="str">
            <v>E19</v>
          </cell>
          <cell r="D37">
            <v>0</v>
          </cell>
        </row>
        <row r="38">
          <cell r="B38">
            <v>35</v>
          </cell>
          <cell r="C38" t="str">
            <v>E20</v>
          </cell>
          <cell r="D38">
            <v>0</v>
          </cell>
        </row>
        <row r="39">
          <cell r="B39">
            <v>36</v>
          </cell>
          <cell r="C39" t="str">
            <v>E21</v>
          </cell>
          <cell r="D39">
            <v>0</v>
          </cell>
        </row>
        <row r="40">
          <cell r="B40">
            <v>37</v>
          </cell>
          <cell r="C40" t="str">
            <v>E22</v>
          </cell>
          <cell r="D40">
            <v>0</v>
          </cell>
        </row>
        <row r="41">
          <cell r="B41">
            <v>38</v>
          </cell>
          <cell r="C41" t="str">
            <v>E23</v>
          </cell>
          <cell r="D41">
            <v>0</v>
          </cell>
        </row>
        <row r="42">
          <cell r="B42">
            <v>39</v>
          </cell>
          <cell r="C42" t="str">
            <v>E24</v>
          </cell>
          <cell r="D42">
            <v>0</v>
          </cell>
        </row>
        <row r="43">
          <cell r="B43">
            <v>40</v>
          </cell>
          <cell r="C43" t="str">
            <v>E25</v>
          </cell>
          <cell r="D43">
            <v>0</v>
          </cell>
        </row>
        <row r="44">
          <cell r="B44">
            <v>41</v>
          </cell>
          <cell r="C44" t="str">
            <v>E26</v>
          </cell>
          <cell r="D44">
            <v>0</v>
          </cell>
        </row>
        <row r="45">
          <cell r="B45">
            <v>42</v>
          </cell>
          <cell r="C45" t="str">
            <v>E27</v>
          </cell>
          <cell r="D45">
            <v>0</v>
          </cell>
        </row>
        <row r="46">
          <cell r="B46">
            <v>43</v>
          </cell>
          <cell r="C46" t="str">
            <v>E28</v>
          </cell>
          <cell r="D46">
            <v>0</v>
          </cell>
        </row>
        <row r="47">
          <cell r="B47">
            <v>44</v>
          </cell>
          <cell r="C47" t="str">
            <v>E29</v>
          </cell>
          <cell r="D47">
            <v>0</v>
          </cell>
        </row>
        <row r="48">
          <cell r="B48">
            <v>45</v>
          </cell>
          <cell r="C48" t="str">
            <v>E30</v>
          </cell>
          <cell r="D48">
            <v>0</v>
          </cell>
        </row>
        <row r="49">
          <cell r="B49">
            <v>46</v>
          </cell>
          <cell r="C49" t="str">
            <v>E31</v>
          </cell>
          <cell r="D49">
            <v>0</v>
          </cell>
        </row>
        <row r="50">
          <cell r="B50">
            <v>47</v>
          </cell>
          <cell r="C50" t="str">
            <v>E32</v>
          </cell>
          <cell r="D50">
            <v>0</v>
          </cell>
        </row>
        <row r="51">
          <cell r="B51">
            <v>48</v>
          </cell>
          <cell r="C51" t="str">
            <v>E33</v>
          </cell>
          <cell r="D51">
            <v>0</v>
          </cell>
        </row>
        <row r="52">
          <cell r="B52">
            <v>49</v>
          </cell>
          <cell r="C52" t="str">
            <v>E34</v>
          </cell>
          <cell r="D52">
            <v>0</v>
          </cell>
        </row>
        <row r="53">
          <cell r="B53">
            <v>50</v>
          </cell>
          <cell r="C53" t="str">
            <v>E35</v>
          </cell>
          <cell r="D53">
            <v>0</v>
          </cell>
        </row>
        <row r="54">
          <cell r="B54">
            <v>51</v>
          </cell>
          <cell r="C54" t="str">
            <v>E36</v>
          </cell>
          <cell r="D54">
            <v>0</v>
          </cell>
        </row>
        <row r="55">
          <cell r="B55">
            <v>52</v>
          </cell>
          <cell r="C55" t="str">
            <v>E37</v>
          </cell>
          <cell r="D55">
            <v>0</v>
          </cell>
        </row>
        <row r="56">
          <cell r="B56">
            <v>53</v>
          </cell>
          <cell r="C56" t="str">
            <v>E38</v>
          </cell>
          <cell r="D56">
            <v>0</v>
          </cell>
        </row>
        <row r="57">
          <cell r="B57">
            <v>54</v>
          </cell>
          <cell r="C57" t="str">
            <v>E39</v>
          </cell>
          <cell r="D57">
            <v>0</v>
          </cell>
        </row>
        <row r="58">
          <cell r="B58">
            <v>55</v>
          </cell>
          <cell r="C58" t="str">
            <v>E40</v>
          </cell>
          <cell r="D58">
            <v>208.97274600000003</v>
          </cell>
        </row>
        <row r="59">
          <cell r="B59">
            <v>56</v>
          </cell>
          <cell r="C59" t="str">
            <v>E41</v>
          </cell>
          <cell r="D59">
            <v>0</v>
          </cell>
        </row>
        <row r="60">
          <cell r="B60">
            <v>57</v>
          </cell>
          <cell r="C60" t="str">
            <v>E42</v>
          </cell>
          <cell r="D60">
            <v>279.54700000000008</v>
          </cell>
        </row>
        <row r="61">
          <cell r="B61">
            <v>58</v>
          </cell>
          <cell r="C61" t="str">
            <v>E43</v>
          </cell>
          <cell r="D61">
            <v>0</v>
          </cell>
        </row>
        <row r="62">
          <cell r="B62">
            <v>59</v>
          </cell>
          <cell r="C62" t="str">
            <v>E44</v>
          </cell>
          <cell r="D62">
            <v>0</v>
          </cell>
        </row>
        <row r="63">
          <cell r="B63">
            <v>60</v>
          </cell>
          <cell r="C63" t="str">
            <v>E45</v>
          </cell>
          <cell r="D63">
            <v>0</v>
          </cell>
        </row>
        <row r="64">
          <cell r="B64">
            <v>61</v>
          </cell>
          <cell r="C64" t="str">
            <v>E46</v>
          </cell>
          <cell r="D64">
            <v>0</v>
          </cell>
        </row>
        <row r="65">
          <cell r="B65">
            <v>62</v>
          </cell>
          <cell r="C65" t="str">
            <v>E47</v>
          </cell>
          <cell r="D65">
            <v>0</v>
          </cell>
        </row>
        <row r="66">
          <cell r="B66">
            <v>63</v>
          </cell>
          <cell r="C66" t="str">
            <v>E48</v>
          </cell>
          <cell r="D66">
            <v>423.7396</v>
          </cell>
        </row>
        <row r="67">
          <cell r="B67">
            <v>64</v>
          </cell>
          <cell r="C67" t="str">
            <v>E49</v>
          </cell>
          <cell r="D67">
            <v>0</v>
          </cell>
        </row>
        <row r="68">
          <cell r="B68">
            <v>65</v>
          </cell>
          <cell r="C68" t="str">
            <v>E50</v>
          </cell>
          <cell r="D68">
            <v>0</v>
          </cell>
        </row>
        <row r="69">
          <cell r="B69">
            <v>66</v>
          </cell>
          <cell r="C69" t="str">
            <v>E51</v>
          </cell>
          <cell r="D69">
            <v>0</v>
          </cell>
        </row>
        <row r="70">
          <cell r="B70">
            <v>67</v>
          </cell>
          <cell r="C70" t="str">
            <v>E52</v>
          </cell>
          <cell r="D70">
            <v>0</v>
          </cell>
        </row>
        <row r="71">
          <cell r="B71">
            <v>68</v>
          </cell>
          <cell r="C71" t="str">
            <v>E53</v>
          </cell>
          <cell r="D71">
            <v>0</v>
          </cell>
        </row>
        <row r="72">
          <cell r="B72">
            <v>69</v>
          </cell>
          <cell r="C72" t="str">
            <v>E54</v>
          </cell>
          <cell r="D72">
            <v>0</v>
          </cell>
        </row>
        <row r="73">
          <cell r="B73">
            <v>70</v>
          </cell>
          <cell r="C73" t="str">
            <v>E55</v>
          </cell>
          <cell r="D73">
            <v>3.5</v>
          </cell>
        </row>
        <row r="74">
          <cell r="B74">
            <v>71</v>
          </cell>
          <cell r="C74" t="str">
            <v>E56</v>
          </cell>
          <cell r="D74">
            <v>0</v>
          </cell>
        </row>
        <row r="75">
          <cell r="B75">
            <v>72</v>
          </cell>
          <cell r="C75" t="str">
            <v>E57</v>
          </cell>
          <cell r="D75">
            <v>0</v>
          </cell>
        </row>
        <row r="76">
          <cell r="B76">
            <v>73</v>
          </cell>
          <cell r="C76" t="str">
            <v>E58</v>
          </cell>
          <cell r="D76">
            <v>0</v>
          </cell>
        </row>
        <row r="77">
          <cell r="B77">
            <v>74</v>
          </cell>
          <cell r="C77" t="str">
            <v>E59</v>
          </cell>
          <cell r="D77">
            <v>0</v>
          </cell>
        </row>
        <row r="78">
          <cell r="B78">
            <v>75</v>
          </cell>
          <cell r="C78" t="str">
            <v>E60</v>
          </cell>
          <cell r="D78">
            <v>487.49855500000001</v>
          </cell>
        </row>
        <row r="79">
          <cell r="B79">
            <v>76</v>
          </cell>
          <cell r="C79" t="str">
            <v>E61</v>
          </cell>
          <cell r="D79">
            <v>208.97274600000003</v>
          </cell>
        </row>
        <row r="80">
          <cell r="B80">
            <v>77</v>
          </cell>
          <cell r="C80" t="str">
            <v>E62</v>
          </cell>
          <cell r="D80">
            <v>0</v>
          </cell>
        </row>
        <row r="81">
          <cell r="B81">
            <v>78</v>
          </cell>
          <cell r="C81" t="str">
            <v>E63</v>
          </cell>
          <cell r="D81">
            <v>423.7396</v>
          </cell>
        </row>
        <row r="82">
          <cell r="B82">
            <v>79</v>
          </cell>
          <cell r="C82" t="str">
            <v>E64</v>
          </cell>
          <cell r="D82">
            <v>0</v>
          </cell>
        </row>
        <row r="83">
          <cell r="B83">
            <v>80</v>
          </cell>
          <cell r="C83" t="str">
            <v>E65</v>
          </cell>
          <cell r="D83">
            <v>0</v>
          </cell>
        </row>
        <row r="84">
          <cell r="B84">
            <v>81</v>
          </cell>
          <cell r="C84" t="str">
            <v>E66</v>
          </cell>
          <cell r="D84">
            <v>0</v>
          </cell>
        </row>
        <row r="85">
          <cell r="B85">
            <v>82</v>
          </cell>
          <cell r="C85" t="str">
            <v>E67</v>
          </cell>
          <cell r="D85">
            <v>0</v>
          </cell>
        </row>
        <row r="86">
          <cell r="B86">
            <v>83</v>
          </cell>
          <cell r="C86" t="str">
            <v>E68</v>
          </cell>
          <cell r="D86">
            <v>0</v>
          </cell>
        </row>
        <row r="87">
          <cell r="B87">
            <v>84</v>
          </cell>
          <cell r="C87" t="str">
            <v>E69</v>
          </cell>
          <cell r="D87">
            <v>0</v>
          </cell>
        </row>
        <row r="88">
          <cell r="B88">
            <v>85</v>
          </cell>
          <cell r="C88" t="str">
            <v>E70</v>
          </cell>
          <cell r="D88">
            <v>0</v>
          </cell>
        </row>
        <row r="89">
          <cell r="B89">
            <v>86</v>
          </cell>
          <cell r="C89" t="str">
            <v>E71</v>
          </cell>
          <cell r="D89">
            <v>0</v>
          </cell>
        </row>
        <row r="90">
          <cell r="B90">
            <v>87</v>
          </cell>
          <cell r="C90" t="str">
            <v>E72</v>
          </cell>
          <cell r="D90">
            <v>0</v>
          </cell>
        </row>
        <row r="91">
          <cell r="B91">
            <v>88</v>
          </cell>
          <cell r="C91" t="str">
            <v>E73</v>
          </cell>
          <cell r="D91">
            <v>0</v>
          </cell>
        </row>
        <row r="92">
          <cell r="B92">
            <v>89</v>
          </cell>
          <cell r="C92" t="str">
            <v>E74</v>
          </cell>
          <cell r="D92">
            <v>0</v>
          </cell>
        </row>
        <row r="93">
          <cell r="B93">
            <v>90</v>
          </cell>
          <cell r="C93" t="str">
            <v>E75</v>
          </cell>
          <cell r="D93">
            <v>0</v>
          </cell>
        </row>
        <row r="94">
          <cell r="B94">
            <v>91</v>
          </cell>
          <cell r="C94" t="str">
            <v>E76</v>
          </cell>
          <cell r="D94">
            <v>0</v>
          </cell>
        </row>
        <row r="95">
          <cell r="B95">
            <v>92</v>
          </cell>
          <cell r="C95" t="str">
            <v>E77</v>
          </cell>
          <cell r="D95">
            <v>0</v>
          </cell>
        </row>
        <row r="96">
          <cell r="B96">
            <v>93</v>
          </cell>
          <cell r="C96" t="str">
            <v>E78</v>
          </cell>
          <cell r="D96">
            <v>0</v>
          </cell>
        </row>
        <row r="97">
          <cell r="B97">
            <v>94</v>
          </cell>
          <cell r="C97" t="str">
            <v>E79</v>
          </cell>
          <cell r="D97">
            <v>0</v>
          </cell>
        </row>
        <row r="98">
          <cell r="B98">
            <v>95</v>
          </cell>
          <cell r="C98" t="str">
            <v>E80</v>
          </cell>
          <cell r="D98">
            <v>0</v>
          </cell>
        </row>
        <row r="99">
          <cell r="B99">
            <v>96</v>
          </cell>
          <cell r="C99" t="str">
            <v>E81</v>
          </cell>
          <cell r="D99">
            <v>0</v>
          </cell>
        </row>
        <row r="100">
          <cell r="B100">
            <v>97</v>
          </cell>
          <cell r="C100" t="str">
            <v>E82</v>
          </cell>
          <cell r="D100">
            <v>0</v>
          </cell>
        </row>
        <row r="101">
          <cell r="B101">
            <v>98</v>
          </cell>
          <cell r="C101" t="str">
            <v>E83</v>
          </cell>
          <cell r="D101">
            <v>0</v>
          </cell>
        </row>
        <row r="102">
          <cell r="B102">
            <v>99</v>
          </cell>
          <cell r="C102" t="str">
            <v>E84</v>
          </cell>
          <cell r="D102">
            <v>0</v>
          </cell>
        </row>
        <row r="103">
          <cell r="B103">
            <v>100</v>
          </cell>
          <cell r="C103" t="str">
            <v>E85</v>
          </cell>
          <cell r="D103">
            <v>0</v>
          </cell>
        </row>
        <row r="104">
          <cell r="B104">
            <v>101</v>
          </cell>
          <cell r="C104" t="str">
            <v>E86</v>
          </cell>
          <cell r="D104">
            <v>0</v>
          </cell>
        </row>
        <row r="105">
          <cell r="B105">
            <v>102</v>
          </cell>
          <cell r="C105" t="str">
            <v>E87</v>
          </cell>
          <cell r="D105">
            <v>0</v>
          </cell>
        </row>
        <row r="106">
          <cell r="B106">
            <v>103</v>
          </cell>
          <cell r="C106" t="str">
            <v>E88</v>
          </cell>
          <cell r="D106">
            <v>0</v>
          </cell>
        </row>
        <row r="107">
          <cell r="B107">
            <v>104</v>
          </cell>
          <cell r="C107" t="str">
            <v>E89</v>
          </cell>
          <cell r="D107">
            <v>0</v>
          </cell>
        </row>
        <row r="108">
          <cell r="B108">
            <v>105</v>
          </cell>
          <cell r="C108" t="str">
            <v>E90</v>
          </cell>
          <cell r="D108">
            <v>0</v>
          </cell>
        </row>
        <row r="109">
          <cell r="B109">
            <v>106</v>
          </cell>
          <cell r="C109" t="str">
            <v>E91</v>
          </cell>
          <cell r="D109">
            <v>0</v>
          </cell>
        </row>
        <row r="110">
          <cell r="B110">
            <v>107</v>
          </cell>
          <cell r="C110" t="str">
            <v>E92</v>
          </cell>
          <cell r="D110">
            <v>0</v>
          </cell>
        </row>
        <row r="111">
          <cell r="B111">
            <v>108</v>
          </cell>
          <cell r="C111" t="str">
            <v>E93</v>
          </cell>
          <cell r="D111">
            <v>0</v>
          </cell>
        </row>
        <row r="112">
          <cell r="B112">
            <v>109</v>
          </cell>
          <cell r="C112" t="str">
            <v>E94</v>
          </cell>
          <cell r="D112">
            <v>0</v>
          </cell>
        </row>
        <row r="113">
          <cell r="B113">
            <v>110</v>
          </cell>
          <cell r="C113" t="str">
            <v>E95</v>
          </cell>
          <cell r="D113">
            <v>0</v>
          </cell>
        </row>
        <row r="114">
          <cell r="B114">
            <v>111</v>
          </cell>
          <cell r="C114" t="str">
            <v>E96</v>
          </cell>
          <cell r="D114">
            <v>0</v>
          </cell>
        </row>
        <row r="115">
          <cell r="B115">
            <v>112</v>
          </cell>
          <cell r="C115" t="str">
            <v>E97</v>
          </cell>
          <cell r="D115">
            <v>0</v>
          </cell>
        </row>
        <row r="116">
          <cell r="B116">
            <v>113</v>
          </cell>
          <cell r="C116" t="str">
            <v>E98</v>
          </cell>
          <cell r="D116">
            <v>0</v>
          </cell>
        </row>
        <row r="117">
          <cell r="B117">
            <v>114</v>
          </cell>
          <cell r="C117" t="str">
            <v>E99</v>
          </cell>
          <cell r="D117">
            <v>974.99711000000002</v>
          </cell>
        </row>
        <row r="118">
          <cell r="B118">
            <v>115</v>
          </cell>
          <cell r="C118" t="str">
            <v>E100</v>
          </cell>
          <cell r="D118">
            <v>0</v>
          </cell>
        </row>
        <row r="119">
          <cell r="B119">
            <v>116</v>
          </cell>
          <cell r="C119" t="str">
            <v>E101</v>
          </cell>
          <cell r="D119">
            <v>487.49855500000001</v>
          </cell>
        </row>
        <row r="120">
          <cell r="B120">
            <v>117</v>
          </cell>
          <cell r="C120" t="str">
            <v>E102</v>
          </cell>
          <cell r="D120">
            <v>508.94725</v>
          </cell>
        </row>
        <row r="121">
          <cell r="B121">
            <v>118</v>
          </cell>
          <cell r="C121" t="str">
            <v>E103</v>
          </cell>
          <cell r="D121">
            <v>175.96</v>
          </cell>
        </row>
        <row r="122">
          <cell r="B122">
            <v>119</v>
          </cell>
          <cell r="C122" t="str">
            <v>E104</v>
          </cell>
          <cell r="D122">
            <v>487.49855500000001</v>
          </cell>
        </row>
        <row r="123">
          <cell r="B123">
            <v>120</v>
          </cell>
          <cell r="C123" t="str">
            <v>E105</v>
          </cell>
          <cell r="D123">
            <v>487.49855500000001</v>
          </cell>
        </row>
        <row r="124">
          <cell r="B124">
            <v>121</v>
          </cell>
          <cell r="C124" t="str">
            <v>E106</v>
          </cell>
          <cell r="D124">
            <v>0</v>
          </cell>
        </row>
        <row r="125">
          <cell r="B125">
            <v>122</v>
          </cell>
          <cell r="C125" t="str">
            <v>E107</v>
          </cell>
          <cell r="D125">
            <v>0</v>
          </cell>
        </row>
        <row r="126">
          <cell r="B126">
            <v>123</v>
          </cell>
          <cell r="C126" t="str">
            <v>E108</v>
          </cell>
          <cell r="D126">
            <v>0</v>
          </cell>
        </row>
        <row r="127">
          <cell r="B127">
            <v>124</v>
          </cell>
          <cell r="C127" t="str">
            <v>E109</v>
          </cell>
          <cell r="D127">
            <v>0</v>
          </cell>
        </row>
        <row r="128">
          <cell r="B128">
            <v>125</v>
          </cell>
          <cell r="C128" t="str">
            <v>E110</v>
          </cell>
          <cell r="D128">
            <v>0</v>
          </cell>
        </row>
        <row r="129">
          <cell r="B129">
            <v>126</v>
          </cell>
          <cell r="C129" t="str">
            <v>F1</v>
          </cell>
          <cell r="D129">
            <v>0</v>
          </cell>
        </row>
        <row r="130">
          <cell r="B130">
            <v>127</v>
          </cell>
          <cell r="C130" t="str">
            <v>F2</v>
          </cell>
          <cell r="D130">
            <v>0</v>
          </cell>
        </row>
        <row r="131">
          <cell r="B131">
            <v>128</v>
          </cell>
          <cell r="C131" t="str">
            <v>F3</v>
          </cell>
          <cell r="D131">
            <v>0</v>
          </cell>
        </row>
        <row r="132">
          <cell r="B132">
            <v>129</v>
          </cell>
          <cell r="C132" t="str">
            <v>F4</v>
          </cell>
          <cell r="D132">
            <v>32.64217</v>
          </cell>
        </row>
        <row r="133">
          <cell r="B133">
            <v>130</v>
          </cell>
          <cell r="C133" t="str">
            <v>F5</v>
          </cell>
          <cell r="D133">
            <v>0</v>
          </cell>
        </row>
        <row r="134">
          <cell r="B134">
            <v>131</v>
          </cell>
          <cell r="C134" t="str">
            <v>F6</v>
          </cell>
          <cell r="D134">
            <v>261.84755999999999</v>
          </cell>
        </row>
        <row r="135">
          <cell r="B135">
            <v>132</v>
          </cell>
          <cell r="C135" t="str">
            <v>F7</v>
          </cell>
          <cell r="D135">
            <v>782.92447999999979</v>
          </cell>
        </row>
        <row r="136">
          <cell r="B136">
            <v>133</v>
          </cell>
          <cell r="C136" t="str">
            <v>F8</v>
          </cell>
          <cell r="D136">
            <v>61.183200000000006</v>
          </cell>
        </row>
        <row r="137">
          <cell r="B137">
            <v>134</v>
          </cell>
          <cell r="C137" t="str">
            <v>F9</v>
          </cell>
          <cell r="D137">
            <v>0</v>
          </cell>
        </row>
        <row r="138">
          <cell r="B138">
            <v>135</v>
          </cell>
          <cell r="C138" t="str">
            <v>F10</v>
          </cell>
          <cell r="D138">
            <v>0</v>
          </cell>
        </row>
        <row r="139">
          <cell r="B139">
            <v>136</v>
          </cell>
          <cell r="C139" t="str">
            <v>F11</v>
          </cell>
          <cell r="D139">
            <v>0</v>
          </cell>
        </row>
        <row r="140">
          <cell r="B140">
            <v>137</v>
          </cell>
          <cell r="C140" t="str">
            <v>F12</v>
          </cell>
          <cell r="D140">
            <v>0</v>
          </cell>
        </row>
        <row r="141">
          <cell r="B141">
            <v>138</v>
          </cell>
          <cell r="C141" t="str">
            <v>F13</v>
          </cell>
          <cell r="D141">
            <v>0</v>
          </cell>
        </row>
        <row r="142">
          <cell r="B142">
            <v>139</v>
          </cell>
          <cell r="C142" t="str">
            <v>F14</v>
          </cell>
          <cell r="D142">
            <v>0</v>
          </cell>
        </row>
        <row r="143">
          <cell r="B143">
            <v>140</v>
          </cell>
          <cell r="C143" t="str">
            <v>F15</v>
          </cell>
          <cell r="D143">
            <v>0</v>
          </cell>
        </row>
        <row r="144">
          <cell r="B144">
            <v>141</v>
          </cell>
          <cell r="C144" t="str">
            <v>F16</v>
          </cell>
          <cell r="D144">
            <v>0</v>
          </cell>
        </row>
        <row r="145">
          <cell r="B145">
            <v>142</v>
          </cell>
          <cell r="C145" t="str">
            <v>F17</v>
          </cell>
          <cell r="D145">
            <v>0</v>
          </cell>
        </row>
        <row r="146">
          <cell r="B146">
            <v>143</v>
          </cell>
          <cell r="C146" t="str">
            <v>F18</v>
          </cell>
          <cell r="D146">
            <v>0</v>
          </cell>
        </row>
        <row r="147">
          <cell r="B147">
            <v>144</v>
          </cell>
          <cell r="C147" t="str">
            <v>F19</v>
          </cell>
          <cell r="D147">
            <v>294</v>
          </cell>
        </row>
        <row r="148">
          <cell r="B148">
            <v>145</v>
          </cell>
          <cell r="C148" t="str">
            <v>F20</v>
          </cell>
          <cell r="D148">
            <v>0</v>
          </cell>
        </row>
        <row r="149">
          <cell r="B149">
            <v>146</v>
          </cell>
          <cell r="C149" t="str">
            <v>F21</v>
          </cell>
          <cell r="D149">
            <v>0</v>
          </cell>
        </row>
        <row r="150">
          <cell r="B150">
            <v>147</v>
          </cell>
          <cell r="C150" t="str">
            <v>F22</v>
          </cell>
          <cell r="D150">
            <v>0</v>
          </cell>
        </row>
        <row r="151">
          <cell r="B151">
            <v>148</v>
          </cell>
          <cell r="C151" t="str">
            <v>F23</v>
          </cell>
          <cell r="D151">
            <v>0</v>
          </cell>
        </row>
        <row r="152">
          <cell r="B152">
            <v>149</v>
          </cell>
          <cell r="C152" t="str">
            <v>F24</v>
          </cell>
          <cell r="D152">
            <v>0</v>
          </cell>
        </row>
        <row r="153">
          <cell r="B153">
            <v>150</v>
          </cell>
          <cell r="C153" t="str">
            <v>F25</v>
          </cell>
          <cell r="D153">
            <v>0</v>
          </cell>
        </row>
        <row r="154">
          <cell r="B154">
            <v>151</v>
          </cell>
          <cell r="C154" t="str">
            <v>F26</v>
          </cell>
          <cell r="D154">
            <v>0</v>
          </cell>
        </row>
        <row r="155">
          <cell r="B155">
            <v>152</v>
          </cell>
          <cell r="C155" t="str">
            <v>F27</v>
          </cell>
          <cell r="D155">
            <v>0</v>
          </cell>
        </row>
        <row r="156">
          <cell r="B156">
            <v>153</v>
          </cell>
          <cell r="C156" t="str">
            <v>F28</v>
          </cell>
          <cell r="D156">
            <v>0</v>
          </cell>
        </row>
        <row r="157">
          <cell r="B157">
            <v>154</v>
          </cell>
          <cell r="C157" t="str">
            <v>F29</v>
          </cell>
          <cell r="D157">
            <v>0</v>
          </cell>
        </row>
        <row r="158">
          <cell r="B158">
            <v>155</v>
          </cell>
          <cell r="C158" t="str">
            <v>F30</v>
          </cell>
          <cell r="D158">
            <v>0</v>
          </cell>
        </row>
        <row r="159">
          <cell r="B159">
            <v>156</v>
          </cell>
          <cell r="C159" t="str">
            <v>J1</v>
          </cell>
          <cell r="D159">
            <v>0</v>
          </cell>
        </row>
        <row r="160">
          <cell r="B160">
            <v>157</v>
          </cell>
          <cell r="C160" t="str">
            <v>J2</v>
          </cell>
          <cell r="D160">
            <v>0</v>
          </cell>
        </row>
        <row r="161">
          <cell r="B161">
            <v>158</v>
          </cell>
          <cell r="C161" t="str">
            <v>J3</v>
          </cell>
          <cell r="D161">
            <v>544.16043500000001</v>
          </cell>
        </row>
        <row r="162">
          <cell r="B162">
            <v>159</v>
          </cell>
          <cell r="C162" t="str">
            <v>J4</v>
          </cell>
          <cell r="D162">
            <v>36.884819999999991</v>
          </cell>
        </row>
        <row r="163">
          <cell r="B163">
            <v>160</v>
          </cell>
          <cell r="C163" t="str">
            <v>J5</v>
          </cell>
          <cell r="D163">
            <v>0</v>
          </cell>
        </row>
        <row r="164">
          <cell r="B164">
            <v>161</v>
          </cell>
          <cell r="C164" t="str">
            <v>J6</v>
          </cell>
          <cell r="D164">
            <v>78.358000000000004</v>
          </cell>
        </row>
        <row r="165">
          <cell r="B165">
            <v>162</v>
          </cell>
          <cell r="C165" t="str">
            <v>J7</v>
          </cell>
          <cell r="D165">
            <v>0</v>
          </cell>
        </row>
        <row r="166">
          <cell r="B166">
            <v>163</v>
          </cell>
          <cell r="C166" t="str">
            <v>J8</v>
          </cell>
          <cell r="D166">
            <v>0</v>
          </cell>
        </row>
        <row r="167">
          <cell r="B167">
            <v>164</v>
          </cell>
          <cell r="C167" t="str">
            <v>J9</v>
          </cell>
          <cell r="D167">
            <v>0</v>
          </cell>
        </row>
        <row r="168">
          <cell r="B168">
            <v>165</v>
          </cell>
          <cell r="C168" t="str">
            <v>J10</v>
          </cell>
          <cell r="D168">
            <v>0</v>
          </cell>
        </row>
        <row r="169">
          <cell r="B169">
            <v>166</v>
          </cell>
          <cell r="C169" t="str">
            <v>J11</v>
          </cell>
          <cell r="D169">
            <v>0</v>
          </cell>
        </row>
        <row r="170">
          <cell r="B170">
            <v>167</v>
          </cell>
          <cell r="C170" t="str">
            <v>J12</v>
          </cell>
          <cell r="D170">
            <v>0</v>
          </cell>
        </row>
        <row r="171">
          <cell r="B171">
            <v>168</v>
          </cell>
          <cell r="C171" t="str">
            <v>J13</v>
          </cell>
          <cell r="D171">
            <v>0</v>
          </cell>
        </row>
        <row r="172">
          <cell r="B172">
            <v>169</v>
          </cell>
          <cell r="C172" t="str">
            <v>J14</v>
          </cell>
          <cell r="D172">
            <v>0</v>
          </cell>
        </row>
        <row r="173">
          <cell r="B173">
            <v>170</v>
          </cell>
          <cell r="C173" t="str">
            <v>J15</v>
          </cell>
          <cell r="D173">
            <v>0</v>
          </cell>
        </row>
        <row r="174">
          <cell r="B174">
            <v>171</v>
          </cell>
          <cell r="C174" t="str">
            <v>M1</v>
          </cell>
          <cell r="D174">
            <v>0</v>
          </cell>
        </row>
        <row r="175">
          <cell r="B175">
            <v>172</v>
          </cell>
          <cell r="C175" t="str">
            <v>M2</v>
          </cell>
          <cell r="D175">
            <v>0</v>
          </cell>
        </row>
        <row r="176">
          <cell r="B176">
            <v>173</v>
          </cell>
          <cell r="C176" t="str">
            <v>M3</v>
          </cell>
          <cell r="D176">
            <v>0</v>
          </cell>
        </row>
        <row r="177">
          <cell r="B177">
            <v>174</v>
          </cell>
          <cell r="C177" t="str">
            <v>M4</v>
          </cell>
          <cell r="D177">
            <v>0</v>
          </cell>
        </row>
        <row r="178">
          <cell r="B178">
            <v>175</v>
          </cell>
          <cell r="C178" t="str">
            <v>M5</v>
          </cell>
          <cell r="D178">
            <v>0</v>
          </cell>
        </row>
        <row r="179">
          <cell r="B179">
            <v>176</v>
          </cell>
          <cell r="C179" t="str">
            <v>M6</v>
          </cell>
          <cell r="D179">
            <v>0</v>
          </cell>
        </row>
        <row r="180">
          <cell r="B180">
            <v>177</v>
          </cell>
          <cell r="C180" t="str">
            <v>M7</v>
          </cell>
          <cell r="D180">
            <v>0</v>
          </cell>
        </row>
        <row r="181">
          <cell r="B181">
            <v>178</v>
          </cell>
          <cell r="C181" t="str">
            <v>M8</v>
          </cell>
          <cell r="D181">
            <v>0</v>
          </cell>
        </row>
        <row r="182">
          <cell r="B182">
            <v>179</v>
          </cell>
          <cell r="C182" t="str">
            <v>M9</v>
          </cell>
          <cell r="D182">
            <v>0</v>
          </cell>
        </row>
        <row r="183">
          <cell r="B183">
            <v>180</v>
          </cell>
          <cell r="C183" t="str">
            <v>M10</v>
          </cell>
          <cell r="D183">
            <v>0</v>
          </cell>
        </row>
        <row r="184">
          <cell r="B184">
            <v>181</v>
          </cell>
          <cell r="C184" t="str">
            <v>R1</v>
          </cell>
          <cell r="D184">
            <v>0</v>
          </cell>
        </row>
        <row r="185">
          <cell r="B185">
            <v>182</v>
          </cell>
          <cell r="C185" t="str">
            <v>R2</v>
          </cell>
          <cell r="D185">
            <v>0</v>
          </cell>
        </row>
        <row r="186">
          <cell r="B186">
            <v>183</v>
          </cell>
          <cell r="C186" t="str">
            <v>R3</v>
          </cell>
          <cell r="D186">
            <v>0</v>
          </cell>
        </row>
        <row r="187">
          <cell r="B187">
            <v>184</v>
          </cell>
          <cell r="C187" t="str">
            <v>R4</v>
          </cell>
          <cell r="D187">
            <v>0</v>
          </cell>
        </row>
        <row r="188">
          <cell r="B188">
            <v>185</v>
          </cell>
          <cell r="C188" t="str">
            <v>R5</v>
          </cell>
          <cell r="D188">
            <v>0</v>
          </cell>
        </row>
        <row r="189">
          <cell r="B189">
            <v>186</v>
          </cell>
          <cell r="C189" t="str">
            <v>R6</v>
          </cell>
          <cell r="D189">
            <v>0</v>
          </cell>
        </row>
        <row r="190">
          <cell r="B190">
            <v>187</v>
          </cell>
          <cell r="C190" t="str">
            <v>R7</v>
          </cell>
          <cell r="D190">
            <v>0</v>
          </cell>
        </row>
        <row r="191">
          <cell r="B191">
            <v>188</v>
          </cell>
          <cell r="C191" t="str">
            <v>R8</v>
          </cell>
          <cell r="D191">
            <v>0</v>
          </cell>
        </row>
        <row r="192">
          <cell r="B192">
            <v>189</v>
          </cell>
          <cell r="C192" t="str">
            <v>R9</v>
          </cell>
          <cell r="D192">
            <v>0</v>
          </cell>
        </row>
        <row r="193">
          <cell r="B193">
            <v>190</v>
          </cell>
          <cell r="C193" t="str">
            <v>R10</v>
          </cell>
          <cell r="D193">
            <v>0</v>
          </cell>
        </row>
        <row r="194">
          <cell r="B194">
            <v>191</v>
          </cell>
          <cell r="C194" t="str">
            <v>R11</v>
          </cell>
          <cell r="D194">
            <v>0</v>
          </cell>
        </row>
        <row r="195">
          <cell r="B195">
            <v>192</v>
          </cell>
          <cell r="C195" t="str">
            <v>R12</v>
          </cell>
          <cell r="D195">
            <v>0</v>
          </cell>
        </row>
        <row r="196">
          <cell r="B196">
            <v>193</v>
          </cell>
          <cell r="C196" t="str">
            <v>R13</v>
          </cell>
          <cell r="D196">
            <v>0</v>
          </cell>
        </row>
        <row r="197">
          <cell r="B197">
            <v>194</v>
          </cell>
          <cell r="C197" t="str">
            <v>R14</v>
          </cell>
          <cell r="D197">
            <v>0</v>
          </cell>
        </row>
        <row r="198">
          <cell r="B198">
            <v>195</v>
          </cell>
          <cell r="C198" t="str">
            <v>R15</v>
          </cell>
          <cell r="D198">
            <v>0</v>
          </cell>
        </row>
        <row r="199">
          <cell r="B199">
            <v>196</v>
          </cell>
          <cell r="C199" t="str">
            <v>R16</v>
          </cell>
          <cell r="D199">
            <v>0</v>
          </cell>
        </row>
        <row r="200">
          <cell r="B200">
            <v>197</v>
          </cell>
          <cell r="C200" t="str">
            <v>R17</v>
          </cell>
          <cell r="D200">
            <v>0</v>
          </cell>
        </row>
        <row r="201">
          <cell r="B201">
            <v>198</v>
          </cell>
          <cell r="C201" t="str">
            <v>R18</v>
          </cell>
          <cell r="D201">
            <v>0</v>
          </cell>
        </row>
        <row r="202">
          <cell r="B202">
            <v>199</v>
          </cell>
          <cell r="C202" t="str">
            <v>R19</v>
          </cell>
          <cell r="D202">
            <v>0</v>
          </cell>
        </row>
        <row r="203">
          <cell r="B203">
            <v>200</v>
          </cell>
          <cell r="C203" t="str">
            <v>R20</v>
          </cell>
          <cell r="D203">
            <v>0</v>
          </cell>
        </row>
        <row r="204">
          <cell r="B204">
            <v>201</v>
          </cell>
          <cell r="C204" t="str">
            <v>R21</v>
          </cell>
          <cell r="D204">
            <v>0</v>
          </cell>
        </row>
        <row r="205">
          <cell r="B205">
            <v>202</v>
          </cell>
          <cell r="C205" t="str">
            <v>R22</v>
          </cell>
          <cell r="D205">
            <v>0</v>
          </cell>
        </row>
        <row r="206">
          <cell r="B206">
            <v>203</v>
          </cell>
          <cell r="C206" t="str">
            <v>R23</v>
          </cell>
          <cell r="D206">
            <v>0</v>
          </cell>
        </row>
        <row r="207">
          <cell r="B207">
            <v>204</v>
          </cell>
          <cell r="C207" t="str">
            <v>R24</v>
          </cell>
          <cell r="D207">
            <v>0</v>
          </cell>
        </row>
        <row r="208">
          <cell r="B208">
            <v>205</v>
          </cell>
          <cell r="C208" t="str">
            <v>R25</v>
          </cell>
          <cell r="D208">
            <v>0</v>
          </cell>
        </row>
        <row r="209">
          <cell r="B209">
            <v>206</v>
          </cell>
          <cell r="C209" t="str">
            <v>R26</v>
          </cell>
          <cell r="D209">
            <v>0</v>
          </cell>
        </row>
        <row r="210">
          <cell r="B210">
            <v>207</v>
          </cell>
          <cell r="C210" t="str">
            <v>R27</v>
          </cell>
          <cell r="D210">
            <v>0</v>
          </cell>
        </row>
        <row r="211">
          <cell r="B211">
            <v>208</v>
          </cell>
          <cell r="C211" t="str">
            <v>R28</v>
          </cell>
          <cell r="D211">
            <v>0</v>
          </cell>
        </row>
        <row r="212">
          <cell r="B212">
            <v>209</v>
          </cell>
          <cell r="C212" t="str">
            <v>R29</v>
          </cell>
          <cell r="D212">
            <v>0</v>
          </cell>
        </row>
        <row r="213">
          <cell r="B213">
            <v>210</v>
          </cell>
          <cell r="C213" t="str">
            <v>R30</v>
          </cell>
          <cell r="D213">
            <v>0</v>
          </cell>
        </row>
        <row r="214">
          <cell r="B214">
            <v>211</v>
          </cell>
          <cell r="C214" t="str">
            <v>R31</v>
          </cell>
          <cell r="D214">
            <v>0</v>
          </cell>
        </row>
        <row r="215">
          <cell r="B215">
            <v>212</v>
          </cell>
          <cell r="C215" t="str">
            <v>R32</v>
          </cell>
          <cell r="D215">
            <v>0</v>
          </cell>
        </row>
        <row r="216">
          <cell r="B216">
            <v>213</v>
          </cell>
          <cell r="C216" t="str">
            <v>R33</v>
          </cell>
          <cell r="D216">
            <v>0</v>
          </cell>
        </row>
        <row r="217">
          <cell r="B217">
            <v>214</v>
          </cell>
          <cell r="C217" t="str">
            <v>R34</v>
          </cell>
          <cell r="D217">
            <v>0</v>
          </cell>
        </row>
        <row r="218">
          <cell r="B218">
            <v>215</v>
          </cell>
          <cell r="C218" t="str">
            <v>R35</v>
          </cell>
          <cell r="D218">
            <v>0</v>
          </cell>
        </row>
        <row r="219">
          <cell r="B219">
            <v>216</v>
          </cell>
          <cell r="C219" t="str">
            <v>R36</v>
          </cell>
          <cell r="D219">
            <v>0</v>
          </cell>
        </row>
        <row r="220">
          <cell r="B220">
            <v>217</v>
          </cell>
          <cell r="C220" t="str">
            <v>R37</v>
          </cell>
          <cell r="D220">
            <v>0</v>
          </cell>
        </row>
        <row r="221">
          <cell r="B221">
            <v>218</v>
          </cell>
          <cell r="C221" t="str">
            <v>R38</v>
          </cell>
          <cell r="D221">
            <v>0</v>
          </cell>
        </row>
        <row r="222">
          <cell r="B222">
            <v>219</v>
          </cell>
          <cell r="C222" t="str">
            <v>R39</v>
          </cell>
          <cell r="D222">
            <v>0</v>
          </cell>
        </row>
        <row r="223">
          <cell r="B223">
            <v>220</v>
          </cell>
          <cell r="C223" t="str">
            <v>R40</v>
          </cell>
          <cell r="D223">
            <v>0</v>
          </cell>
        </row>
        <row r="224">
          <cell r="B224">
            <v>221</v>
          </cell>
          <cell r="C224" t="str">
            <v>R41</v>
          </cell>
          <cell r="D224">
            <v>0</v>
          </cell>
        </row>
        <row r="225">
          <cell r="B225">
            <v>222</v>
          </cell>
          <cell r="C225" t="str">
            <v>R42</v>
          </cell>
          <cell r="D225">
            <v>0</v>
          </cell>
        </row>
        <row r="226">
          <cell r="B226">
            <v>223</v>
          </cell>
          <cell r="C226" t="str">
            <v>R43</v>
          </cell>
          <cell r="D226">
            <v>0</v>
          </cell>
        </row>
        <row r="227">
          <cell r="B227">
            <v>224</v>
          </cell>
          <cell r="C227" t="str">
            <v>R44</v>
          </cell>
          <cell r="D227">
            <v>0</v>
          </cell>
        </row>
        <row r="228">
          <cell r="B228">
            <v>225</v>
          </cell>
          <cell r="C228" t="str">
            <v>R45</v>
          </cell>
          <cell r="D228">
            <v>0</v>
          </cell>
        </row>
        <row r="229">
          <cell r="B229">
            <v>226</v>
          </cell>
          <cell r="C229" t="str">
            <v>R46</v>
          </cell>
          <cell r="D229">
            <v>0</v>
          </cell>
        </row>
        <row r="230">
          <cell r="B230">
            <v>227</v>
          </cell>
          <cell r="C230" t="str">
            <v>R47</v>
          </cell>
          <cell r="D230">
            <v>0</v>
          </cell>
        </row>
        <row r="231">
          <cell r="B231">
            <v>228</v>
          </cell>
          <cell r="C231" t="str">
            <v>R48</v>
          </cell>
          <cell r="D231">
            <v>0</v>
          </cell>
        </row>
        <row r="232">
          <cell r="B232">
            <v>229</v>
          </cell>
          <cell r="C232" t="str">
            <v>R49</v>
          </cell>
          <cell r="D232">
            <v>0</v>
          </cell>
        </row>
        <row r="233">
          <cell r="B233">
            <v>230</v>
          </cell>
          <cell r="C233" t="str">
            <v>R50</v>
          </cell>
          <cell r="D233">
            <v>0</v>
          </cell>
        </row>
        <row r="234">
          <cell r="B234">
            <v>231</v>
          </cell>
          <cell r="C234" t="str">
            <v>R51</v>
          </cell>
          <cell r="D234">
            <v>0</v>
          </cell>
        </row>
        <row r="235">
          <cell r="B235">
            <v>232</v>
          </cell>
          <cell r="C235" t="str">
            <v>R52</v>
          </cell>
          <cell r="D235">
            <v>0</v>
          </cell>
        </row>
        <row r="236">
          <cell r="B236">
            <v>233</v>
          </cell>
          <cell r="C236" t="str">
            <v>R53</v>
          </cell>
          <cell r="D236">
            <v>0</v>
          </cell>
        </row>
        <row r="237">
          <cell r="B237">
            <v>234</v>
          </cell>
          <cell r="C237" t="str">
            <v>R54</v>
          </cell>
          <cell r="D237">
            <v>0</v>
          </cell>
        </row>
        <row r="238">
          <cell r="B238">
            <v>235</v>
          </cell>
          <cell r="C238" t="str">
            <v>R55</v>
          </cell>
          <cell r="D238">
            <v>0</v>
          </cell>
        </row>
        <row r="239">
          <cell r="B239">
            <v>236</v>
          </cell>
          <cell r="C239" t="str">
            <v>R56</v>
          </cell>
          <cell r="D239">
            <v>0</v>
          </cell>
        </row>
        <row r="240">
          <cell r="B240">
            <v>237</v>
          </cell>
          <cell r="C240" t="str">
            <v>R57</v>
          </cell>
          <cell r="D240">
            <v>0</v>
          </cell>
        </row>
        <row r="241">
          <cell r="B241">
            <v>238</v>
          </cell>
          <cell r="C241" t="str">
            <v>R58</v>
          </cell>
          <cell r="D241">
            <v>0</v>
          </cell>
        </row>
        <row r="242">
          <cell r="B242">
            <v>239</v>
          </cell>
          <cell r="C242" t="str">
            <v>R59</v>
          </cell>
          <cell r="D242">
            <v>0</v>
          </cell>
        </row>
        <row r="243">
          <cell r="B243">
            <v>240</v>
          </cell>
          <cell r="C243" t="str">
            <v>R60</v>
          </cell>
          <cell r="D243">
            <v>0</v>
          </cell>
        </row>
        <row r="244">
          <cell r="B244">
            <v>241</v>
          </cell>
          <cell r="C244" t="str">
            <v>R61</v>
          </cell>
          <cell r="D244">
            <v>0</v>
          </cell>
        </row>
        <row r="245">
          <cell r="B245">
            <v>242</v>
          </cell>
          <cell r="C245" t="str">
            <v>R62</v>
          </cell>
          <cell r="D245">
            <v>0</v>
          </cell>
        </row>
        <row r="246">
          <cell r="B246">
            <v>243</v>
          </cell>
          <cell r="C246" t="str">
            <v>R63</v>
          </cell>
          <cell r="D246">
            <v>0</v>
          </cell>
        </row>
        <row r="247">
          <cell r="B247">
            <v>244</v>
          </cell>
          <cell r="C247" t="str">
            <v>R64</v>
          </cell>
          <cell r="D247">
            <v>0</v>
          </cell>
        </row>
        <row r="248">
          <cell r="B248">
            <v>245</v>
          </cell>
          <cell r="C248" t="str">
            <v>R65</v>
          </cell>
          <cell r="D248">
            <v>0</v>
          </cell>
        </row>
        <row r="249">
          <cell r="B249">
            <v>246</v>
          </cell>
          <cell r="C249" t="str">
            <v>R66</v>
          </cell>
          <cell r="D249">
            <v>0</v>
          </cell>
        </row>
        <row r="250">
          <cell r="B250">
            <v>247</v>
          </cell>
          <cell r="C250" t="str">
            <v>R67</v>
          </cell>
          <cell r="D250">
            <v>136.39999999999998</v>
          </cell>
        </row>
        <row r="251">
          <cell r="B251">
            <v>248</v>
          </cell>
          <cell r="C251" t="str">
            <v>R68</v>
          </cell>
          <cell r="D251">
            <v>32</v>
          </cell>
        </row>
        <row r="252">
          <cell r="B252">
            <v>249</v>
          </cell>
          <cell r="C252" t="str">
            <v>R69</v>
          </cell>
          <cell r="D252">
            <v>0</v>
          </cell>
        </row>
        <row r="253">
          <cell r="B253">
            <v>250</v>
          </cell>
          <cell r="C253" t="str">
            <v>R70</v>
          </cell>
          <cell r="D253">
            <v>8</v>
          </cell>
        </row>
        <row r="254">
          <cell r="B254">
            <v>251</v>
          </cell>
          <cell r="C254" t="str">
            <v>R71</v>
          </cell>
          <cell r="D254">
            <v>0</v>
          </cell>
        </row>
        <row r="255">
          <cell r="B255">
            <v>252</v>
          </cell>
          <cell r="C255" t="str">
            <v>R72</v>
          </cell>
          <cell r="D255">
            <v>0</v>
          </cell>
        </row>
        <row r="256">
          <cell r="B256">
            <v>253</v>
          </cell>
          <cell r="C256" t="str">
            <v>R73</v>
          </cell>
          <cell r="D256">
            <v>4</v>
          </cell>
        </row>
        <row r="257">
          <cell r="B257">
            <v>254</v>
          </cell>
          <cell r="C257" t="str">
            <v>R74</v>
          </cell>
          <cell r="D257">
            <v>0</v>
          </cell>
        </row>
        <row r="258">
          <cell r="B258">
            <v>255</v>
          </cell>
          <cell r="C258" t="str">
            <v>R75</v>
          </cell>
          <cell r="D258">
            <v>0</v>
          </cell>
        </row>
        <row r="259">
          <cell r="B259">
            <v>256</v>
          </cell>
          <cell r="C259" t="str">
            <v>R76</v>
          </cell>
          <cell r="D259">
            <v>18</v>
          </cell>
        </row>
        <row r="260">
          <cell r="B260">
            <v>257</v>
          </cell>
          <cell r="C260" t="str">
            <v>R77</v>
          </cell>
          <cell r="D260">
            <v>0</v>
          </cell>
        </row>
        <row r="261">
          <cell r="B261">
            <v>258</v>
          </cell>
          <cell r="C261" t="str">
            <v>R78</v>
          </cell>
          <cell r="D261">
            <v>40</v>
          </cell>
        </row>
        <row r="262">
          <cell r="B262">
            <v>259</v>
          </cell>
          <cell r="C262" t="str">
            <v>R79</v>
          </cell>
          <cell r="D262">
            <v>0</v>
          </cell>
        </row>
        <row r="263">
          <cell r="B263">
            <v>260</v>
          </cell>
          <cell r="C263" t="str">
            <v>R80</v>
          </cell>
          <cell r="D263">
            <v>0</v>
          </cell>
        </row>
        <row r="264">
          <cell r="B264">
            <v>261</v>
          </cell>
          <cell r="C264" t="str">
            <v>R81</v>
          </cell>
          <cell r="D264">
            <v>0</v>
          </cell>
        </row>
        <row r="265">
          <cell r="B265">
            <v>262</v>
          </cell>
          <cell r="C265" t="str">
            <v>R82</v>
          </cell>
          <cell r="D265">
            <v>0</v>
          </cell>
        </row>
        <row r="266">
          <cell r="B266">
            <v>263</v>
          </cell>
          <cell r="C266" t="str">
            <v>R83</v>
          </cell>
          <cell r="D266">
            <v>0</v>
          </cell>
        </row>
        <row r="267">
          <cell r="B267">
            <v>264</v>
          </cell>
          <cell r="C267" t="str">
            <v>R84</v>
          </cell>
          <cell r="D267">
            <v>0</v>
          </cell>
        </row>
        <row r="268">
          <cell r="B268">
            <v>265</v>
          </cell>
          <cell r="C268" t="str">
            <v>R85</v>
          </cell>
          <cell r="D268">
            <v>0</v>
          </cell>
        </row>
        <row r="269">
          <cell r="B269">
            <v>266</v>
          </cell>
          <cell r="C269" t="str">
            <v>R86</v>
          </cell>
          <cell r="D269">
            <v>0</v>
          </cell>
        </row>
        <row r="270">
          <cell r="B270">
            <v>267</v>
          </cell>
          <cell r="C270" t="str">
            <v>R87</v>
          </cell>
          <cell r="D270">
            <v>0</v>
          </cell>
        </row>
        <row r="271">
          <cell r="B271">
            <v>268</v>
          </cell>
          <cell r="C271" t="str">
            <v>R88</v>
          </cell>
          <cell r="D271">
            <v>0</v>
          </cell>
        </row>
        <row r="272">
          <cell r="B272">
            <v>269</v>
          </cell>
          <cell r="C272" t="str">
            <v>R89</v>
          </cell>
          <cell r="D272">
            <v>0</v>
          </cell>
        </row>
        <row r="273">
          <cell r="B273">
            <v>270</v>
          </cell>
          <cell r="C273" t="str">
            <v>R90</v>
          </cell>
          <cell r="D273">
            <v>0</v>
          </cell>
        </row>
        <row r="274">
          <cell r="B274">
            <v>271</v>
          </cell>
          <cell r="C274" t="str">
            <v>R91</v>
          </cell>
          <cell r="D274">
            <v>0</v>
          </cell>
        </row>
        <row r="275">
          <cell r="B275">
            <v>272</v>
          </cell>
          <cell r="C275" t="str">
            <v>R92</v>
          </cell>
          <cell r="D275">
            <v>0</v>
          </cell>
        </row>
        <row r="276">
          <cell r="B276">
            <v>273</v>
          </cell>
          <cell r="C276" t="str">
            <v>R93</v>
          </cell>
          <cell r="D276">
            <v>0</v>
          </cell>
        </row>
        <row r="277">
          <cell r="B277">
            <v>274</v>
          </cell>
          <cell r="C277" t="str">
            <v>R94</v>
          </cell>
          <cell r="D277">
            <v>0</v>
          </cell>
        </row>
        <row r="278">
          <cell r="B278">
            <v>275</v>
          </cell>
          <cell r="C278" t="str">
            <v>R95</v>
          </cell>
          <cell r="D278">
            <v>0</v>
          </cell>
        </row>
        <row r="279">
          <cell r="B279">
            <v>276</v>
          </cell>
          <cell r="C279" t="str">
            <v>R96</v>
          </cell>
          <cell r="D279">
            <v>0</v>
          </cell>
        </row>
        <row r="280">
          <cell r="B280">
            <v>277</v>
          </cell>
          <cell r="C280" t="str">
            <v>R97</v>
          </cell>
          <cell r="D280">
            <v>0</v>
          </cell>
        </row>
        <row r="281">
          <cell r="B281">
            <v>278</v>
          </cell>
          <cell r="C281" t="str">
            <v>R98</v>
          </cell>
          <cell r="D281">
            <v>0</v>
          </cell>
        </row>
        <row r="282">
          <cell r="B282">
            <v>279</v>
          </cell>
          <cell r="C282" t="str">
            <v>R99</v>
          </cell>
          <cell r="D282">
            <v>0</v>
          </cell>
        </row>
        <row r="283">
          <cell r="B283">
            <v>280</v>
          </cell>
          <cell r="C283" t="str">
            <v>R100</v>
          </cell>
          <cell r="D283">
            <v>0</v>
          </cell>
        </row>
        <row r="284">
          <cell r="B284">
            <v>281</v>
          </cell>
          <cell r="C284" t="str">
            <v>R101</v>
          </cell>
          <cell r="D284">
            <v>0</v>
          </cell>
        </row>
        <row r="285">
          <cell r="B285">
            <v>282</v>
          </cell>
          <cell r="C285" t="str">
            <v>R102</v>
          </cell>
          <cell r="D285">
            <v>0</v>
          </cell>
        </row>
        <row r="286">
          <cell r="B286">
            <v>283</v>
          </cell>
          <cell r="C286" t="str">
            <v>R103</v>
          </cell>
          <cell r="D286">
            <v>0</v>
          </cell>
        </row>
        <row r="287">
          <cell r="B287">
            <v>284</v>
          </cell>
          <cell r="C287" t="str">
            <v>R104</v>
          </cell>
          <cell r="D287">
            <v>0</v>
          </cell>
        </row>
        <row r="288">
          <cell r="B288">
            <v>285</v>
          </cell>
          <cell r="C288" t="str">
            <v>R105</v>
          </cell>
          <cell r="D288">
            <v>0</v>
          </cell>
        </row>
        <row r="289">
          <cell r="B289">
            <v>286</v>
          </cell>
          <cell r="C289" t="str">
            <v>R106</v>
          </cell>
          <cell r="D289">
            <v>0</v>
          </cell>
        </row>
        <row r="290">
          <cell r="B290">
            <v>287</v>
          </cell>
          <cell r="C290" t="str">
            <v>R107</v>
          </cell>
          <cell r="D290">
            <v>0</v>
          </cell>
        </row>
        <row r="291">
          <cell r="B291">
            <v>288</v>
          </cell>
          <cell r="C291" t="str">
            <v>R108</v>
          </cell>
          <cell r="D291">
            <v>0</v>
          </cell>
        </row>
        <row r="292">
          <cell r="B292">
            <v>289</v>
          </cell>
          <cell r="C292" t="str">
            <v>R109</v>
          </cell>
          <cell r="D292">
            <v>0</v>
          </cell>
        </row>
        <row r="293">
          <cell r="B293">
            <v>290</v>
          </cell>
          <cell r="C293" t="str">
            <v>R110</v>
          </cell>
          <cell r="D293">
            <v>136.39999999999998</v>
          </cell>
        </row>
        <row r="294">
          <cell r="B294">
            <v>291</v>
          </cell>
          <cell r="C294" t="str">
            <v>R111</v>
          </cell>
          <cell r="D294">
            <v>0</v>
          </cell>
        </row>
        <row r="295">
          <cell r="B295">
            <v>292</v>
          </cell>
          <cell r="C295" t="str">
            <v>R112</v>
          </cell>
          <cell r="D295">
            <v>0</v>
          </cell>
        </row>
        <row r="296">
          <cell r="B296">
            <v>293</v>
          </cell>
          <cell r="C296" t="str">
            <v>R113</v>
          </cell>
          <cell r="D296">
            <v>0</v>
          </cell>
        </row>
        <row r="297">
          <cell r="B297">
            <v>294</v>
          </cell>
          <cell r="C297" t="str">
            <v>R114</v>
          </cell>
          <cell r="D297">
            <v>0</v>
          </cell>
        </row>
        <row r="298">
          <cell r="B298">
            <v>295</v>
          </cell>
          <cell r="C298" t="str">
            <v>R115</v>
          </cell>
          <cell r="D298">
            <v>0</v>
          </cell>
        </row>
        <row r="299">
          <cell r="B299">
            <v>296</v>
          </cell>
          <cell r="C299" t="str">
            <v>R116</v>
          </cell>
          <cell r="D299">
            <v>0</v>
          </cell>
        </row>
        <row r="300">
          <cell r="B300">
            <v>297</v>
          </cell>
          <cell r="C300" t="str">
            <v>R117</v>
          </cell>
          <cell r="D300">
            <v>0</v>
          </cell>
        </row>
        <row r="301">
          <cell r="B301">
            <v>298</v>
          </cell>
          <cell r="C301" t="str">
            <v>R118</v>
          </cell>
          <cell r="D301">
            <v>0</v>
          </cell>
        </row>
        <row r="302">
          <cell r="B302">
            <v>299</v>
          </cell>
          <cell r="C302" t="str">
            <v>R119</v>
          </cell>
          <cell r="D302">
            <v>0</v>
          </cell>
        </row>
        <row r="303">
          <cell r="B303">
            <v>300</v>
          </cell>
          <cell r="C303" t="str">
            <v>R120</v>
          </cell>
          <cell r="D303">
            <v>0</v>
          </cell>
        </row>
        <row r="304">
          <cell r="B304">
            <v>301</v>
          </cell>
          <cell r="C304" t="str">
            <v>R121</v>
          </cell>
          <cell r="D304">
            <v>0</v>
          </cell>
        </row>
        <row r="305">
          <cell r="B305">
            <v>302</v>
          </cell>
          <cell r="C305" t="str">
            <v>R122</v>
          </cell>
          <cell r="D305">
            <v>0</v>
          </cell>
        </row>
        <row r="306">
          <cell r="B306">
            <v>303</v>
          </cell>
          <cell r="C306" t="str">
            <v>R123</v>
          </cell>
          <cell r="D306">
            <v>0</v>
          </cell>
        </row>
        <row r="307">
          <cell r="B307">
            <v>304</v>
          </cell>
          <cell r="C307" t="str">
            <v>R124</v>
          </cell>
          <cell r="D307">
            <v>0</v>
          </cell>
        </row>
        <row r="308">
          <cell r="B308">
            <v>305</v>
          </cell>
          <cell r="C308" t="str">
            <v>R125</v>
          </cell>
          <cell r="D308">
            <v>0</v>
          </cell>
        </row>
        <row r="309">
          <cell r="B309">
            <v>306</v>
          </cell>
          <cell r="C309" t="str">
            <v>R126</v>
          </cell>
          <cell r="D309">
            <v>0</v>
          </cell>
        </row>
        <row r="310">
          <cell r="B310">
            <v>307</v>
          </cell>
          <cell r="C310" t="str">
            <v>R127</v>
          </cell>
          <cell r="D310">
            <v>0</v>
          </cell>
        </row>
        <row r="311">
          <cell r="B311">
            <v>308</v>
          </cell>
          <cell r="C311" t="str">
            <v>R128</v>
          </cell>
          <cell r="D311">
            <v>0</v>
          </cell>
        </row>
        <row r="312">
          <cell r="B312">
            <v>309</v>
          </cell>
          <cell r="C312" t="str">
            <v>R129</v>
          </cell>
          <cell r="D312">
            <v>0</v>
          </cell>
        </row>
        <row r="313">
          <cell r="B313">
            <v>310</v>
          </cell>
          <cell r="C313" t="str">
            <v>R130</v>
          </cell>
          <cell r="D313">
            <v>0</v>
          </cell>
        </row>
        <row r="314">
          <cell r="B314">
            <v>311</v>
          </cell>
          <cell r="C314" t="str">
            <v>R131</v>
          </cell>
          <cell r="D314">
            <v>0</v>
          </cell>
        </row>
        <row r="315">
          <cell r="B315">
            <v>312</v>
          </cell>
          <cell r="C315" t="str">
            <v>R132</v>
          </cell>
          <cell r="D315">
            <v>0</v>
          </cell>
        </row>
        <row r="316">
          <cell r="B316">
            <v>313</v>
          </cell>
          <cell r="C316" t="str">
            <v>R133</v>
          </cell>
          <cell r="D316">
            <v>0</v>
          </cell>
        </row>
        <row r="317">
          <cell r="B317">
            <v>314</v>
          </cell>
          <cell r="C317" t="str">
            <v>R134</v>
          </cell>
          <cell r="D317">
            <v>0</v>
          </cell>
        </row>
        <row r="318">
          <cell r="B318">
            <v>315</v>
          </cell>
          <cell r="C318" t="str">
            <v>R135</v>
          </cell>
          <cell r="D318">
            <v>0</v>
          </cell>
        </row>
        <row r="319">
          <cell r="B319">
            <v>316</v>
          </cell>
          <cell r="C319" t="str">
            <v>R136</v>
          </cell>
          <cell r="D319">
            <v>0</v>
          </cell>
        </row>
        <row r="320">
          <cell r="B320">
            <v>317</v>
          </cell>
          <cell r="C320" t="str">
            <v>R137</v>
          </cell>
          <cell r="D320">
            <v>0</v>
          </cell>
        </row>
        <row r="321">
          <cell r="B321">
            <v>318</v>
          </cell>
          <cell r="C321" t="str">
            <v>R138</v>
          </cell>
          <cell r="D321">
            <v>0</v>
          </cell>
        </row>
        <row r="322">
          <cell r="B322">
            <v>319</v>
          </cell>
          <cell r="C322" t="str">
            <v>R139</v>
          </cell>
          <cell r="D322">
            <v>0</v>
          </cell>
        </row>
        <row r="323">
          <cell r="B323">
            <v>320</v>
          </cell>
          <cell r="C323" t="str">
            <v>R140</v>
          </cell>
          <cell r="D323">
            <v>0</v>
          </cell>
        </row>
        <row r="324">
          <cell r="B324">
            <v>321</v>
          </cell>
          <cell r="C324" t="str">
            <v>Y1</v>
          </cell>
          <cell r="D324">
            <v>0</v>
          </cell>
        </row>
        <row r="325">
          <cell r="B325">
            <v>322</v>
          </cell>
          <cell r="C325" t="str">
            <v>Y2</v>
          </cell>
          <cell r="D325">
            <v>0</v>
          </cell>
        </row>
        <row r="326">
          <cell r="B326">
            <v>323</v>
          </cell>
          <cell r="C326" t="str">
            <v>Y3</v>
          </cell>
          <cell r="D326">
            <v>0</v>
          </cell>
        </row>
        <row r="327">
          <cell r="B327">
            <v>324</v>
          </cell>
          <cell r="C327" t="str">
            <v>Y4</v>
          </cell>
          <cell r="D327">
            <v>0</v>
          </cell>
        </row>
        <row r="328">
          <cell r="B328">
            <v>325</v>
          </cell>
          <cell r="C328" t="str">
            <v>Y5</v>
          </cell>
          <cell r="D328">
            <v>0</v>
          </cell>
        </row>
        <row r="329">
          <cell r="B329">
            <v>326</v>
          </cell>
          <cell r="C329" t="str">
            <v>New1</v>
          </cell>
          <cell r="D329">
            <v>0</v>
          </cell>
        </row>
        <row r="330">
          <cell r="B330">
            <v>327</v>
          </cell>
          <cell r="C330" t="str">
            <v>New2</v>
          </cell>
          <cell r="D330">
            <v>0</v>
          </cell>
        </row>
        <row r="331">
          <cell r="B331">
            <v>328</v>
          </cell>
          <cell r="C331" t="str">
            <v>New3</v>
          </cell>
          <cell r="D331">
            <v>0</v>
          </cell>
        </row>
        <row r="332">
          <cell r="B332">
            <v>329</v>
          </cell>
          <cell r="C332" t="str">
            <v>New4</v>
          </cell>
          <cell r="D332">
            <v>0</v>
          </cell>
        </row>
        <row r="333">
          <cell r="B333">
            <v>330</v>
          </cell>
          <cell r="C333" t="str">
            <v>New5</v>
          </cell>
          <cell r="D333">
            <v>0</v>
          </cell>
        </row>
        <row r="334">
          <cell r="B334">
            <v>331</v>
          </cell>
          <cell r="C334" t="str">
            <v>New6</v>
          </cell>
          <cell r="D334">
            <v>0</v>
          </cell>
        </row>
        <row r="335">
          <cell r="B335">
            <v>332</v>
          </cell>
          <cell r="C335" t="str">
            <v>New7</v>
          </cell>
          <cell r="D335">
            <v>0</v>
          </cell>
        </row>
        <row r="336">
          <cell r="B336">
            <v>333</v>
          </cell>
          <cell r="C336" t="str">
            <v>New8</v>
          </cell>
          <cell r="D336">
            <v>0</v>
          </cell>
        </row>
        <row r="337">
          <cell r="B337">
            <v>334</v>
          </cell>
          <cell r="C337" t="str">
            <v>New9</v>
          </cell>
          <cell r="D337">
            <v>0</v>
          </cell>
        </row>
        <row r="338">
          <cell r="B338">
            <v>335</v>
          </cell>
          <cell r="C338" t="str">
            <v>New10</v>
          </cell>
          <cell r="D338">
            <v>0</v>
          </cell>
        </row>
        <row r="339">
          <cell r="B339">
            <v>336</v>
          </cell>
          <cell r="C339" t="str">
            <v>New11</v>
          </cell>
          <cell r="D339">
            <v>0</v>
          </cell>
        </row>
        <row r="340">
          <cell r="B340">
            <v>337</v>
          </cell>
          <cell r="C340" t="str">
            <v>New12</v>
          </cell>
          <cell r="D340">
            <v>0</v>
          </cell>
        </row>
        <row r="341">
          <cell r="B341">
            <v>338</v>
          </cell>
          <cell r="C341" t="str">
            <v>New13</v>
          </cell>
          <cell r="D341">
            <v>0</v>
          </cell>
        </row>
        <row r="342">
          <cell r="B342">
            <v>339</v>
          </cell>
          <cell r="C342" t="str">
            <v>New14</v>
          </cell>
          <cell r="D342">
            <v>0</v>
          </cell>
        </row>
        <row r="343">
          <cell r="B343">
            <v>340</v>
          </cell>
          <cell r="C343" t="str">
            <v>New15</v>
          </cell>
          <cell r="D343">
            <v>0</v>
          </cell>
        </row>
        <row r="344">
          <cell r="B344">
            <v>341</v>
          </cell>
          <cell r="C344" t="str">
            <v>New16</v>
          </cell>
          <cell r="D344">
            <v>0</v>
          </cell>
        </row>
        <row r="345">
          <cell r="B345">
            <v>342</v>
          </cell>
          <cell r="C345" t="str">
            <v>New17</v>
          </cell>
          <cell r="D345">
            <v>0</v>
          </cell>
        </row>
        <row r="346">
          <cell r="B346">
            <v>343</v>
          </cell>
          <cell r="C346" t="str">
            <v>New18</v>
          </cell>
          <cell r="D346">
            <v>0</v>
          </cell>
        </row>
        <row r="347">
          <cell r="B347">
            <v>344</v>
          </cell>
          <cell r="C347" t="str">
            <v>New19</v>
          </cell>
          <cell r="D347">
            <v>0</v>
          </cell>
        </row>
        <row r="348">
          <cell r="B348">
            <v>345</v>
          </cell>
          <cell r="C348" t="str">
            <v>New20</v>
          </cell>
          <cell r="D348">
            <v>0</v>
          </cell>
        </row>
        <row r="349">
          <cell r="B349">
            <v>346</v>
          </cell>
          <cell r="C349" t="str">
            <v>New21</v>
          </cell>
          <cell r="D349">
            <v>0</v>
          </cell>
        </row>
        <row r="350">
          <cell r="B350">
            <v>347</v>
          </cell>
          <cell r="C350" t="str">
            <v>New22</v>
          </cell>
          <cell r="D350">
            <v>0</v>
          </cell>
        </row>
        <row r="351">
          <cell r="B351">
            <v>348</v>
          </cell>
          <cell r="C351" t="str">
            <v>New23</v>
          </cell>
          <cell r="D351">
            <v>0</v>
          </cell>
        </row>
        <row r="352">
          <cell r="B352">
            <v>349</v>
          </cell>
          <cell r="C352" t="str">
            <v>New24</v>
          </cell>
          <cell r="D352">
            <v>0</v>
          </cell>
        </row>
        <row r="353">
          <cell r="B353">
            <v>350</v>
          </cell>
          <cell r="C353" t="str">
            <v>New25</v>
          </cell>
          <cell r="D353">
            <v>0</v>
          </cell>
        </row>
        <row r="354">
          <cell r="B354">
            <v>351</v>
          </cell>
          <cell r="C354" t="str">
            <v>New26</v>
          </cell>
          <cell r="D354">
            <v>0</v>
          </cell>
        </row>
        <row r="355">
          <cell r="B355">
            <v>352</v>
          </cell>
          <cell r="C355" t="str">
            <v>New27</v>
          </cell>
          <cell r="D355">
            <v>0</v>
          </cell>
        </row>
        <row r="356">
          <cell r="B356">
            <v>353</v>
          </cell>
          <cell r="C356" t="str">
            <v>New28</v>
          </cell>
          <cell r="D356">
            <v>0</v>
          </cell>
        </row>
        <row r="357">
          <cell r="B357">
            <v>354</v>
          </cell>
          <cell r="C357" t="str">
            <v>New29</v>
          </cell>
          <cell r="D357">
            <v>0</v>
          </cell>
        </row>
        <row r="358">
          <cell r="B358">
            <v>355</v>
          </cell>
          <cell r="C358" t="str">
            <v>New30</v>
          </cell>
          <cell r="D358">
            <v>0</v>
          </cell>
        </row>
        <row r="359">
          <cell r="B359">
            <v>356</v>
          </cell>
          <cell r="C359" t="str">
            <v>New31</v>
          </cell>
          <cell r="D359">
            <v>0</v>
          </cell>
        </row>
        <row r="360">
          <cell r="B360">
            <v>357</v>
          </cell>
          <cell r="C360" t="str">
            <v>New32</v>
          </cell>
          <cell r="D360">
            <v>0</v>
          </cell>
        </row>
        <row r="361">
          <cell r="B361">
            <v>358</v>
          </cell>
          <cell r="C361" t="str">
            <v>New33</v>
          </cell>
          <cell r="D361">
            <v>0</v>
          </cell>
        </row>
        <row r="362">
          <cell r="B362">
            <v>359</v>
          </cell>
          <cell r="C362" t="str">
            <v>New34</v>
          </cell>
          <cell r="D362">
            <v>0</v>
          </cell>
        </row>
        <row r="363">
          <cell r="B363">
            <v>360</v>
          </cell>
          <cell r="C363" t="str">
            <v>New35</v>
          </cell>
          <cell r="D363">
            <v>0</v>
          </cell>
        </row>
        <row r="364">
          <cell r="B364">
            <v>361</v>
          </cell>
          <cell r="C364" t="str">
            <v>New36</v>
          </cell>
          <cell r="D364">
            <v>0</v>
          </cell>
        </row>
        <row r="365">
          <cell r="B365">
            <v>362</v>
          </cell>
          <cell r="C365" t="str">
            <v>New37</v>
          </cell>
          <cell r="D365">
            <v>0</v>
          </cell>
        </row>
        <row r="366">
          <cell r="B366">
            <v>363</v>
          </cell>
          <cell r="C366" t="str">
            <v>New38</v>
          </cell>
          <cell r="D366">
            <v>0</v>
          </cell>
        </row>
        <row r="367">
          <cell r="B367">
            <v>364</v>
          </cell>
          <cell r="C367" t="str">
            <v>New39</v>
          </cell>
          <cell r="D367">
            <v>0</v>
          </cell>
        </row>
        <row r="368">
          <cell r="B368">
            <v>365</v>
          </cell>
          <cell r="C368" t="str">
            <v>New40</v>
          </cell>
          <cell r="D368">
            <v>0</v>
          </cell>
        </row>
        <row r="369">
          <cell r="B369">
            <v>366</v>
          </cell>
          <cell r="C369" t="str">
            <v>New41</v>
          </cell>
          <cell r="D369">
            <v>0</v>
          </cell>
        </row>
        <row r="370">
          <cell r="B370">
            <v>367</v>
          </cell>
          <cell r="C370" t="str">
            <v>New42</v>
          </cell>
          <cell r="D370">
            <v>0</v>
          </cell>
        </row>
        <row r="371">
          <cell r="B371">
            <v>368</v>
          </cell>
          <cell r="C371" t="str">
            <v>New43</v>
          </cell>
          <cell r="D371">
            <v>0</v>
          </cell>
        </row>
        <row r="372">
          <cell r="B372">
            <v>369</v>
          </cell>
          <cell r="C372" t="str">
            <v>New44</v>
          </cell>
          <cell r="D372">
            <v>0</v>
          </cell>
        </row>
        <row r="373">
          <cell r="B373">
            <v>370</v>
          </cell>
          <cell r="C373" t="str">
            <v>New45</v>
          </cell>
          <cell r="D373">
            <v>0</v>
          </cell>
        </row>
        <row r="374">
          <cell r="B374">
            <v>371</v>
          </cell>
          <cell r="C374" t="str">
            <v>New46</v>
          </cell>
          <cell r="D374">
            <v>0</v>
          </cell>
        </row>
        <row r="375">
          <cell r="B375">
            <v>372</v>
          </cell>
          <cell r="C375" t="str">
            <v>New47</v>
          </cell>
          <cell r="D375">
            <v>0</v>
          </cell>
        </row>
        <row r="376">
          <cell r="B376">
            <v>373</v>
          </cell>
          <cell r="C376" t="str">
            <v>New48</v>
          </cell>
          <cell r="D376">
            <v>0</v>
          </cell>
        </row>
        <row r="377">
          <cell r="B377">
            <v>374</v>
          </cell>
          <cell r="C377" t="str">
            <v>New49</v>
          </cell>
          <cell r="D377">
            <v>0</v>
          </cell>
        </row>
        <row r="378">
          <cell r="B378">
            <v>375</v>
          </cell>
          <cell r="C378" t="str">
            <v>New50</v>
          </cell>
          <cell r="D378">
            <v>0</v>
          </cell>
        </row>
        <row r="379">
          <cell r="B379">
            <v>376</v>
          </cell>
          <cell r="C379" t="str">
            <v>New51</v>
          </cell>
          <cell r="D379">
            <v>0</v>
          </cell>
        </row>
        <row r="380">
          <cell r="B380">
            <v>377</v>
          </cell>
          <cell r="C380" t="str">
            <v>New52</v>
          </cell>
          <cell r="D380">
            <v>0</v>
          </cell>
        </row>
        <row r="381">
          <cell r="B381">
            <v>378</v>
          </cell>
          <cell r="C381" t="str">
            <v>New53</v>
          </cell>
          <cell r="D381">
            <v>0</v>
          </cell>
        </row>
        <row r="382">
          <cell r="B382">
            <v>379</v>
          </cell>
          <cell r="C382" t="str">
            <v>New54</v>
          </cell>
          <cell r="D382">
            <v>0</v>
          </cell>
        </row>
        <row r="383">
          <cell r="B383">
            <v>380</v>
          </cell>
          <cell r="C383" t="str">
            <v>New55</v>
          </cell>
          <cell r="D383">
            <v>0</v>
          </cell>
        </row>
        <row r="384">
          <cell r="B384">
            <v>381</v>
          </cell>
          <cell r="C384" t="str">
            <v>New56</v>
          </cell>
          <cell r="D384">
            <v>0</v>
          </cell>
        </row>
        <row r="385">
          <cell r="B385">
            <v>382</v>
          </cell>
          <cell r="C385" t="str">
            <v>New57</v>
          </cell>
          <cell r="D385">
            <v>0</v>
          </cell>
        </row>
        <row r="386">
          <cell r="B386">
            <v>383</v>
          </cell>
          <cell r="C386" t="str">
            <v>New58</v>
          </cell>
          <cell r="D386">
            <v>0</v>
          </cell>
        </row>
        <row r="387">
          <cell r="B387">
            <v>384</v>
          </cell>
          <cell r="C387" t="str">
            <v>New59</v>
          </cell>
          <cell r="D387">
            <v>0</v>
          </cell>
        </row>
        <row r="388">
          <cell r="B388">
            <v>385</v>
          </cell>
          <cell r="C388" t="str">
            <v>New60</v>
          </cell>
          <cell r="D388">
            <v>0</v>
          </cell>
        </row>
        <row r="389">
          <cell r="B389">
            <v>386</v>
          </cell>
          <cell r="C389" t="str">
            <v>New61</v>
          </cell>
          <cell r="D389">
            <v>0</v>
          </cell>
        </row>
        <row r="390">
          <cell r="B390">
            <v>387</v>
          </cell>
          <cell r="C390" t="str">
            <v>New62</v>
          </cell>
          <cell r="D390">
            <v>0</v>
          </cell>
        </row>
        <row r="391">
          <cell r="B391">
            <v>388</v>
          </cell>
          <cell r="C391" t="str">
            <v>New63</v>
          </cell>
          <cell r="D391">
            <v>0</v>
          </cell>
        </row>
        <row r="392">
          <cell r="B392">
            <v>389</v>
          </cell>
          <cell r="C392" t="str">
            <v>New64</v>
          </cell>
          <cell r="D392">
            <v>0</v>
          </cell>
        </row>
        <row r="393">
          <cell r="B393">
            <v>390</v>
          </cell>
          <cell r="C393" t="str">
            <v>New65</v>
          </cell>
          <cell r="D393">
            <v>0</v>
          </cell>
        </row>
        <row r="394">
          <cell r="B394">
            <v>391</v>
          </cell>
          <cell r="C394" t="str">
            <v>New66</v>
          </cell>
          <cell r="D394">
            <v>0</v>
          </cell>
        </row>
        <row r="395">
          <cell r="B395">
            <v>392</v>
          </cell>
          <cell r="C395" t="str">
            <v>New67</v>
          </cell>
          <cell r="D395">
            <v>0</v>
          </cell>
        </row>
        <row r="396">
          <cell r="B396">
            <v>393</v>
          </cell>
          <cell r="C396" t="str">
            <v>New68</v>
          </cell>
          <cell r="D396">
            <v>0</v>
          </cell>
        </row>
        <row r="397">
          <cell r="B397">
            <v>394</v>
          </cell>
          <cell r="C397" t="str">
            <v>New69</v>
          </cell>
          <cell r="D397">
            <v>0</v>
          </cell>
        </row>
        <row r="398">
          <cell r="B398">
            <v>395</v>
          </cell>
          <cell r="C398" t="str">
            <v>New70</v>
          </cell>
          <cell r="D398">
            <v>0</v>
          </cell>
        </row>
        <row r="399">
          <cell r="B399">
            <v>396</v>
          </cell>
          <cell r="C399" t="str">
            <v>New71</v>
          </cell>
          <cell r="D399">
            <v>0</v>
          </cell>
        </row>
        <row r="400">
          <cell r="B400">
            <v>397</v>
          </cell>
          <cell r="C400" t="str">
            <v>New72</v>
          </cell>
          <cell r="D400">
            <v>0</v>
          </cell>
        </row>
        <row r="401">
          <cell r="B401">
            <v>398</v>
          </cell>
          <cell r="C401" t="str">
            <v>New73</v>
          </cell>
          <cell r="D401">
            <v>0</v>
          </cell>
        </row>
        <row r="402">
          <cell r="B402">
            <v>399</v>
          </cell>
          <cell r="C402" t="str">
            <v>New74</v>
          </cell>
          <cell r="D402">
            <v>0</v>
          </cell>
        </row>
        <row r="403">
          <cell r="B403">
            <v>400</v>
          </cell>
          <cell r="C403" t="str">
            <v>New75</v>
          </cell>
          <cell r="D403">
            <v>0</v>
          </cell>
        </row>
        <row r="404">
          <cell r="B404">
            <v>401</v>
          </cell>
          <cell r="C404" t="str">
            <v>New76</v>
          </cell>
          <cell r="D404">
            <v>0</v>
          </cell>
        </row>
        <row r="405">
          <cell r="B405">
            <v>402</v>
          </cell>
          <cell r="C405" t="str">
            <v>New77</v>
          </cell>
          <cell r="D405">
            <v>0</v>
          </cell>
        </row>
        <row r="406">
          <cell r="B406">
            <v>403</v>
          </cell>
          <cell r="C406" t="str">
            <v>New78</v>
          </cell>
          <cell r="D406">
            <v>0</v>
          </cell>
        </row>
        <row r="407">
          <cell r="B407">
            <v>404</v>
          </cell>
          <cell r="C407" t="str">
            <v>New79</v>
          </cell>
          <cell r="D407">
            <v>0</v>
          </cell>
        </row>
        <row r="408">
          <cell r="B408">
            <v>405</v>
          </cell>
          <cell r="C408" t="str">
            <v>New80</v>
          </cell>
          <cell r="D408">
            <v>0</v>
          </cell>
        </row>
        <row r="409">
          <cell r="B409">
            <v>406</v>
          </cell>
          <cell r="C409" t="str">
            <v>New81</v>
          </cell>
          <cell r="D409">
            <v>0</v>
          </cell>
        </row>
        <row r="410">
          <cell r="B410">
            <v>407</v>
          </cell>
          <cell r="C410" t="str">
            <v>New82</v>
          </cell>
          <cell r="D410">
            <v>0</v>
          </cell>
        </row>
        <row r="411">
          <cell r="B411">
            <v>408</v>
          </cell>
          <cell r="C411" t="str">
            <v>New83</v>
          </cell>
          <cell r="D411">
            <v>0</v>
          </cell>
        </row>
        <row r="412">
          <cell r="B412">
            <v>409</v>
          </cell>
          <cell r="C412" t="str">
            <v>New84</v>
          </cell>
          <cell r="D412">
            <v>0</v>
          </cell>
        </row>
        <row r="413">
          <cell r="B413">
            <v>410</v>
          </cell>
          <cell r="C413" t="str">
            <v>New85</v>
          </cell>
          <cell r="D413">
            <v>0</v>
          </cell>
        </row>
        <row r="414">
          <cell r="B414">
            <v>411</v>
          </cell>
          <cell r="C414" t="str">
            <v>New86</v>
          </cell>
          <cell r="D414">
            <v>0</v>
          </cell>
        </row>
        <row r="415">
          <cell r="B415">
            <v>412</v>
          </cell>
          <cell r="C415" t="str">
            <v>New87</v>
          </cell>
          <cell r="D415">
            <v>0</v>
          </cell>
        </row>
        <row r="416">
          <cell r="B416">
            <v>413</v>
          </cell>
          <cell r="C416" t="str">
            <v>New88</v>
          </cell>
          <cell r="D416">
            <v>0</v>
          </cell>
        </row>
        <row r="417">
          <cell r="B417">
            <v>414</v>
          </cell>
          <cell r="C417" t="str">
            <v>New89</v>
          </cell>
          <cell r="D417">
            <v>0</v>
          </cell>
        </row>
        <row r="418">
          <cell r="B418">
            <v>415</v>
          </cell>
          <cell r="C418" t="str">
            <v>New90</v>
          </cell>
          <cell r="D418">
            <v>0</v>
          </cell>
        </row>
        <row r="419">
          <cell r="B419">
            <v>416</v>
          </cell>
          <cell r="C419" t="str">
            <v>New91</v>
          </cell>
          <cell r="D419">
            <v>0</v>
          </cell>
        </row>
        <row r="420">
          <cell r="B420">
            <v>417</v>
          </cell>
          <cell r="C420" t="str">
            <v>New92</v>
          </cell>
          <cell r="D420">
            <v>0</v>
          </cell>
        </row>
        <row r="421">
          <cell r="B421">
            <v>418</v>
          </cell>
          <cell r="C421" t="str">
            <v>New93</v>
          </cell>
          <cell r="D421">
            <v>0</v>
          </cell>
        </row>
        <row r="422">
          <cell r="B422">
            <v>419</v>
          </cell>
          <cell r="C422" t="str">
            <v>New94</v>
          </cell>
          <cell r="D422">
            <v>0</v>
          </cell>
        </row>
        <row r="423">
          <cell r="B423">
            <v>420</v>
          </cell>
          <cell r="C423" t="str">
            <v>New95</v>
          </cell>
          <cell r="D423">
            <v>0</v>
          </cell>
        </row>
        <row r="424">
          <cell r="B424">
            <v>421</v>
          </cell>
          <cell r="C424" t="str">
            <v>New96</v>
          </cell>
          <cell r="D424">
            <v>0</v>
          </cell>
        </row>
        <row r="425">
          <cell r="B425">
            <v>422</v>
          </cell>
          <cell r="C425" t="str">
            <v>New97</v>
          </cell>
          <cell r="D425">
            <v>0</v>
          </cell>
        </row>
        <row r="426">
          <cell r="B426">
            <v>423</v>
          </cell>
          <cell r="C426" t="str">
            <v>New98</v>
          </cell>
          <cell r="D426">
            <v>0</v>
          </cell>
        </row>
        <row r="427">
          <cell r="B427">
            <v>424</v>
          </cell>
          <cell r="C427" t="str">
            <v>New99</v>
          </cell>
          <cell r="D427">
            <v>0</v>
          </cell>
        </row>
        <row r="428">
          <cell r="B428">
            <v>425</v>
          </cell>
          <cell r="C428" t="str">
            <v>New100</v>
          </cell>
          <cell r="D428">
            <v>0</v>
          </cell>
        </row>
      </sheetData>
      <sheetData sheetId="10"/>
      <sheetData sheetId="11"/>
      <sheetData sheetId="12"/>
      <sheetData sheetId="13" refreshError="1"/>
      <sheetData sheetId="14"/>
      <sheetData sheetId="15"/>
      <sheetData sheetId="16"/>
      <sheetData sheetId="17"/>
      <sheetData sheetId="18"/>
      <sheetData sheetId="19"/>
      <sheetData sheetId="20">
        <row r="4">
          <cell r="B4">
            <v>1</v>
          </cell>
        </row>
      </sheetData>
      <sheetData sheetId="21"/>
      <sheetData sheetId="22"/>
      <sheetData sheetId="23"/>
      <sheetData sheetId="24"/>
      <sheetData sheetId="25"/>
      <sheetData sheetId="26"/>
      <sheetData sheetId="27"/>
      <sheetData sheetId="28"/>
      <sheetData sheetId="29"/>
      <sheetData sheetId="30"/>
      <sheetData sheetId="31">
        <row r="4">
          <cell r="B4">
            <v>1</v>
          </cell>
        </row>
      </sheetData>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
      <sheetName val="Rates"/>
      <sheetName val="Summary Sheet."/>
      <sheetName val="Variations."/>
      <sheetName val="Input document"/>
      <sheetName val="EstimatedLabour"/>
      <sheetName val="Estimate_Sheet_"/>
      <sheetName val="Summary_Sheet_"/>
      <sheetName val="Variations_"/>
      <sheetName val="Input_document"/>
      <sheetName val="Estimate_Sheet_1"/>
      <sheetName val="Summary_Sheet_1"/>
      <sheetName val="Variations_1"/>
      <sheetName val="Input_document1"/>
      <sheetName val="Estimate_Sheet_2"/>
      <sheetName val="Summary_Sheet_2"/>
      <sheetName val="Variations_2"/>
      <sheetName val="Input_document2"/>
      <sheetName val="Estimate_Sheet_3"/>
      <sheetName val="Summary_Sheet_3"/>
      <sheetName val="Variations_3"/>
      <sheetName val="Input_document3"/>
      <sheetName val="Estimate_Sheet_4"/>
      <sheetName val="Summary_Sheet_4"/>
      <sheetName val="Variations_4"/>
      <sheetName val="Input_document4"/>
      <sheetName val="Estimate_Sheet_5"/>
      <sheetName val="Summary_Sheet_5"/>
      <sheetName val="Variations_5"/>
      <sheetName val="Input_document5"/>
      <sheetName val="Estimate_Sheet_6"/>
      <sheetName val="Summary_Sheet_6"/>
      <sheetName val="Variations_6"/>
      <sheetName val="Input_document6"/>
      <sheetName val="Summary of Tasks-M"/>
      <sheetName val="Summary of Tasks-E"/>
      <sheetName val="Summary of Tasks-A"/>
      <sheetName val="WK-Ending- xx.xx.xx"/>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bels (2)"/>
      <sheetName val="Labels"/>
      <sheetName val="Lapp"/>
      <sheetName val="BMS_cables"/>
      <sheetName val="Sheet1"/>
      <sheetName val="BMS_Material"/>
      <sheetName val="BMS_Schem"/>
      <sheetName val="MCPs_Power_Rates"/>
      <sheetName val="BMS_Rates"/>
      <sheetName val="MCPs_Power"/>
      <sheetName val="BMS_Estimate"/>
      <sheetName val="Lighting_Panels"/>
      <sheetName val="BMS9_BOQ"/>
      <sheetName val="ML_Sum"/>
      <sheetName val="Int_Quo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ML_Sum"/>
      <sheetName val="Quote"/>
      <sheetName val="Elec_Rates"/>
      <sheetName val="Elec_Est"/>
      <sheetName val="LP_BOQ"/>
      <sheetName val="COMM_BOQ"/>
    </sheetNames>
    <sheetDataSet>
      <sheetData sheetId="0" refreshError="1"/>
      <sheetData sheetId="1">
        <row r="1">
          <cell r="X1" t="str">
            <v>x</v>
          </cell>
          <cell r="Y1" t="str">
            <v>x</v>
          </cell>
          <cell r="Z1" t="str">
            <v>x</v>
          </cell>
          <cell r="AA1" t="str">
            <v>x</v>
          </cell>
          <cell r="AB1" t="str">
            <v>x</v>
          </cell>
          <cell r="AC1" t="str">
            <v>x</v>
          </cell>
          <cell r="AD1" t="str">
            <v>x</v>
          </cell>
        </row>
        <row r="2">
          <cell r="X2" t="str">
            <v>x</v>
          </cell>
          <cell r="Y2" t="str">
            <v>x</v>
          </cell>
          <cell r="Z2" t="str">
            <v>x</v>
          </cell>
          <cell r="AA2" t="str">
            <v>x</v>
          </cell>
          <cell r="AB2" t="str">
            <v>x</v>
          </cell>
          <cell r="AC2" t="str">
            <v>x</v>
          </cell>
          <cell r="AD2" t="str">
            <v>x</v>
          </cell>
        </row>
        <row r="3">
          <cell r="X3" t="str">
            <v>x</v>
          </cell>
          <cell r="Y3" t="str">
            <v>x</v>
          </cell>
          <cell r="Z3" t="str">
            <v>x</v>
          </cell>
          <cell r="AA3" t="str">
            <v>x</v>
          </cell>
          <cell r="AB3" t="str">
            <v>x</v>
          </cell>
          <cell r="AC3" t="str">
            <v>x</v>
          </cell>
          <cell r="AD3" t="str">
            <v>x</v>
          </cell>
        </row>
        <row r="4">
          <cell r="X4" t="str">
            <v>x</v>
          </cell>
          <cell r="Y4" t="str">
            <v>x</v>
          </cell>
          <cell r="Z4" t="str">
            <v>x</v>
          </cell>
          <cell r="AA4" t="str">
            <v>x</v>
          </cell>
          <cell r="AB4" t="str">
            <v>x</v>
          </cell>
          <cell r="AC4" t="str">
            <v>x</v>
          </cell>
          <cell r="AD4" t="str">
            <v>x</v>
          </cell>
        </row>
        <row r="5">
          <cell r="X5" t="str">
            <v>x</v>
          </cell>
          <cell r="Y5" t="str">
            <v>x</v>
          </cell>
          <cell r="Z5" t="str">
            <v>x</v>
          </cell>
          <cell r="AA5" t="str">
            <v>x</v>
          </cell>
          <cell r="AB5" t="str">
            <v>x</v>
          </cell>
          <cell r="AC5" t="str">
            <v>x</v>
          </cell>
          <cell r="AD5" t="str">
            <v>x</v>
          </cell>
        </row>
        <row r="6">
          <cell r="X6" t="str">
            <v>x</v>
          </cell>
          <cell r="Y6" t="str">
            <v>x</v>
          </cell>
          <cell r="Z6" t="str">
            <v>x</v>
          </cell>
          <cell r="AA6" t="str">
            <v>x</v>
          </cell>
          <cell r="AB6" t="str">
            <v>x</v>
          </cell>
          <cell r="AC6" t="str">
            <v>x</v>
          </cell>
          <cell r="AD6" t="str">
            <v>x</v>
          </cell>
        </row>
        <row r="7">
          <cell r="X7" t="str">
            <v>x</v>
          </cell>
          <cell r="Y7" t="str">
            <v>x</v>
          </cell>
          <cell r="Z7" t="str">
            <v>x</v>
          </cell>
          <cell r="AA7" t="str">
            <v>x</v>
          </cell>
          <cell r="AB7" t="str">
            <v>x</v>
          </cell>
          <cell r="AC7" t="str">
            <v>x</v>
          </cell>
          <cell r="AD7" t="str">
            <v>x</v>
          </cell>
        </row>
        <row r="8">
          <cell r="X8" t="str">
            <v>x</v>
          </cell>
          <cell r="Y8" t="str">
            <v>x</v>
          </cell>
          <cell r="Z8" t="str">
            <v>x</v>
          </cell>
          <cell r="AA8" t="str">
            <v>x</v>
          </cell>
          <cell r="AB8" t="str">
            <v>x</v>
          </cell>
          <cell r="AC8" t="str">
            <v>x</v>
          </cell>
          <cell r="AD8" t="str">
            <v>x</v>
          </cell>
        </row>
        <row r="9">
          <cell r="X9" t="str">
            <v>x</v>
          </cell>
          <cell r="Y9" t="str">
            <v>x</v>
          </cell>
          <cell r="Z9" t="str">
            <v>x</v>
          </cell>
          <cell r="AA9" t="str">
            <v>x</v>
          </cell>
          <cell r="AB9" t="str">
            <v>x</v>
          </cell>
          <cell r="AC9" t="str">
            <v>x</v>
          </cell>
          <cell r="AD9" t="str">
            <v>x</v>
          </cell>
        </row>
        <row r="10">
          <cell r="X10" t="str">
            <v>x</v>
          </cell>
          <cell r="Y10" t="str">
            <v>x</v>
          </cell>
          <cell r="Z10" t="str">
            <v>x</v>
          </cell>
          <cell r="AA10" t="str">
            <v>x</v>
          </cell>
          <cell r="AB10" t="str">
            <v>x</v>
          </cell>
          <cell r="AC10" t="str">
            <v>x</v>
          </cell>
          <cell r="AD10" t="str">
            <v>x</v>
          </cell>
        </row>
        <row r="11">
          <cell r="X11" t="str">
            <v>x</v>
          </cell>
          <cell r="Y11" t="str">
            <v>x</v>
          </cell>
          <cell r="Z11" t="str">
            <v>x</v>
          </cell>
          <cell r="AA11" t="str">
            <v>x</v>
          </cell>
          <cell r="AB11" t="str">
            <v>x</v>
          </cell>
          <cell r="AC11" t="str">
            <v>x</v>
          </cell>
          <cell r="AD11" t="str">
            <v>x</v>
          </cell>
        </row>
        <row r="12">
          <cell r="X12" t="str">
            <v>x</v>
          </cell>
          <cell r="Y12" t="str">
            <v>x</v>
          </cell>
          <cell r="Z12" t="str">
            <v>x</v>
          </cell>
          <cell r="AA12" t="str">
            <v>x</v>
          </cell>
          <cell r="AB12" t="str">
            <v>x</v>
          </cell>
          <cell r="AC12" t="str">
            <v>x</v>
          </cell>
          <cell r="AD12" t="str">
            <v>x</v>
          </cell>
        </row>
        <row r="14">
          <cell r="X14" t="str">
            <v>x</v>
          </cell>
          <cell r="Y14" t="str">
            <v>x</v>
          </cell>
          <cell r="Z14" t="str">
            <v>x</v>
          </cell>
          <cell r="AA14" t="str">
            <v>x</v>
          </cell>
          <cell r="AB14" t="str">
            <v>x</v>
          </cell>
          <cell r="AC14" t="str">
            <v>x</v>
          </cell>
          <cell r="AD14" t="str">
            <v>x</v>
          </cell>
        </row>
        <row r="15">
          <cell r="X15" t="str">
            <v>x</v>
          </cell>
          <cell r="Y15" t="str">
            <v>x</v>
          </cell>
          <cell r="Z15" t="str">
            <v>x</v>
          </cell>
          <cell r="AA15" t="str">
            <v>x</v>
          </cell>
          <cell r="AB15" t="str">
            <v>x</v>
          </cell>
          <cell r="AC15" t="str">
            <v>x</v>
          </cell>
          <cell r="AD15" t="str">
            <v>x</v>
          </cell>
        </row>
        <row r="16">
          <cell r="X16" t="str">
            <v>x</v>
          </cell>
          <cell r="Y16" t="str">
            <v>x</v>
          </cell>
          <cell r="Z16" t="str">
            <v>x</v>
          </cell>
          <cell r="AA16" t="str">
            <v>x</v>
          </cell>
          <cell r="AB16" t="str">
            <v>x</v>
          </cell>
          <cell r="AC16" t="str">
            <v>x</v>
          </cell>
          <cell r="AD16" t="str">
            <v>x</v>
          </cell>
        </row>
      </sheetData>
      <sheetData sheetId="2" refreshError="1"/>
      <sheetData sheetId="3" refreshError="1"/>
      <sheetData sheetId="4"/>
      <sheetData sheetId="5" refreshError="1"/>
      <sheetData sheetId="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liminaries"/>
      <sheetName val="Check"/>
      <sheetName val="BOQ Item Counter"/>
      <sheetName val="Fire Fighting"/>
      <sheetName val="BOQ - Workings P"/>
      <sheetName val="Data Upload P"/>
      <sheetName val="BOQ - Workings D"/>
      <sheetName val="Data Upload D"/>
    </sheetNames>
    <sheetDataSet>
      <sheetData sheetId="0"/>
      <sheetData sheetId="1"/>
      <sheetData sheetId="2"/>
      <sheetData sheetId="3"/>
      <sheetData sheetId="4">
        <row r="8">
          <cell r="F8">
            <v>684121.97000000009</v>
          </cell>
        </row>
      </sheetData>
      <sheetData sheetId="5"/>
      <sheetData sheetId="6"/>
      <sheetData sheetId="7">
        <row r="8">
          <cell r="E8" t="b">
            <v>1</v>
          </cell>
        </row>
        <row r="9">
          <cell r="E9" t="b">
            <v>0</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Comparative CS "/>
      <sheetName val="Cumulative CS_IPC no.1"/>
      <sheetName val="BoQ_1020"/>
      <sheetName val="CP.Supporting Docs."/>
      <sheetName val="Bill 3 - Masonry Works"/>
      <sheetName val="Bill 4 - Concrete Works"/>
      <sheetName val="Bill 5 - Steel Reinforcement"/>
      <sheetName val="Bill 6 - Roofing Works"/>
      <sheetName val="Bill 7 - Waterproofing Works"/>
      <sheetName val="LIST"/>
      <sheetName val="Bill 9 - Additional Works "/>
    </sheetNames>
    <sheetDataSet>
      <sheetData sheetId="0" refreshError="1"/>
      <sheetData sheetId="1"/>
      <sheetData sheetId="2"/>
      <sheetData sheetId="3">
        <row r="638">
          <cell r="B638" t="str">
            <v>Supply, hoist, spread and level imported fill (excavated rock) in foundations.</v>
          </cell>
        </row>
        <row r="640">
          <cell r="B640" t="str">
            <v>Supply, hoist, spread and level imported fill (zrar tal- franka) to the required levels.</v>
          </cell>
        </row>
        <row r="642">
          <cell r="B642" t="str">
            <v>Supply, hoist, spread and level imported fill (zrar tal- qawwi) to the required levels.</v>
          </cell>
        </row>
      </sheetData>
      <sheetData sheetId="4" refreshError="1"/>
      <sheetData sheetId="5" refreshError="1"/>
      <sheetData sheetId="6" refreshError="1"/>
      <sheetData sheetId="7" refreshError="1"/>
      <sheetData sheetId="8" refreshError="1"/>
      <sheetData sheetId="9" refreshError="1"/>
      <sheetData sheetId="10">
        <row r="57">
          <cell r="B57" t="str">
            <v>230mm tk softstone wall, quarry faced both sides in foundations.</v>
          </cell>
        </row>
        <row r="59">
          <cell r="B59" t="str">
            <v>Composite wall - 460mm tk softstone, quarry faced both sides; comprising two skins 230mm tk with no cavity in foundations.</v>
          </cell>
        </row>
        <row r="61">
          <cell r="B61" t="str">
            <v>150/ 180mm tk softstone wall, fair faced &amp; flush pointed both sides.</v>
          </cell>
        </row>
        <row r="63">
          <cell r="B63" t="str">
            <v>230mm tk softstone wall, fair faced &amp; flush pointed both sides.</v>
          </cell>
        </row>
        <row r="65">
          <cell r="B65" t="str">
            <v>Composite wall - 460mm tk softstone, fair faced &amp; flush pointed both sides; comprising two skins 230mm tk and 150mm tk with 80mm cavity.</v>
          </cell>
        </row>
        <row r="67">
          <cell r="B67" t="str">
            <v>Composite wall - 460mm tk softstone, fair faced &amp; flush pointed both sides; comprising two skins 230mm tk with no cavity.</v>
          </cell>
        </row>
        <row r="69">
          <cell r="B69" t="str">
            <v>150/ 180mm tk HCB wall, facework &amp; flush pointed both sides.</v>
          </cell>
        </row>
        <row r="71">
          <cell r="B71" t="str">
            <v>230mm tk HCB wall single density type, facework &amp; flush pointed both sides.</v>
          </cell>
        </row>
        <row r="73">
          <cell r="B73" t="str">
            <v>230mm tk HCB wall double density type, facework &amp; flush pointed both sides.</v>
          </cell>
        </row>
        <row r="75">
          <cell r="B75" t="str">
            <v>Composite wall - 460mm tk HCB, facework &amp; flush pointed both sides; comprising two skins 230mm tk single density with no cavity.</v>
          </cell>
        </row>
        <row r="77">
          <cell r="B77" t="str">
            <v>Composite wall - 460mm tk HCB, facework &amp; flush pointed both sides; comprising two skins 230mm tk double density  with no cavity.</v>
          </cell>
        </row>
        <row r="79">
          <cell r="B79" t="str">
            <v>Extra over for concrete Grade C20 infill to 230mm tk HCB single density.</v>
          </cell>
        </row>
        <row r="81">
          <cell r="B81" t="str">
            <v>Extra over for formation of angles, skewed corners (each skin measured seperately, any thickness, HCB &amp; softstone).</v>
          </cell>
        </row>
        <row r="83">
          <cell r="B83" t="str">
            <v xml:space="preserve">Extra over for toothing new soft stone walls to existing walls.    </v>
          </cell>
        </row>
        <row r="85">
          <cell r="B85" t="str">
            <v>Extra over for formation of chase (ingall) to accommodate suspended slab.</v>
          </cell>
        </row>
        <row r="87">
          <cell r="B87" t="str">
            <v>Extra over for formation of soft stone horizontal /vertical moulded course(plain square mould).</v>
          </cell>
        </row>
        <row r="89">
          <cell r="B89" t="str">
            <v>Extra over for formation of 'membri' (vertical &amp; horizontal, any thickness, HCB &amp; softstone).</v>
          </cell>
        </row>
        <row r="91">
          <cell r="B91" t="str">
            <v>Extra over for formation of softstone dressing (tlibissa) to balconies.</v>
          </cell>
        </row>
        <row r="93">
          <cell r="B93" t="str">
            <v>Extra over per face single skin walls curved on-plan.</v>
          </cell>
        </row>
        <row r="95">
          <cell r="B95" t="str">
            <v>Extra over for formation of softstone recess (imbrol).</v>
          </cell>
        </row>
        <row r="97">
          <cell r="B97" t="str">
            <v>Extra over for formation of sofstone strips, bands (faxex lixxi).</v>
          </cell>
        </row>
        <row r="99">
          <cell r="B99" t="str">
            <v>Extra over for pointed type (fuq il-fil) masonry finish.</v>
          </cell>
        </row>
        <row r="101">
          <cell r="B101" t="str">
            <v>Extra over for formation of splayed edges.</v>
          </cell>
        </row>
        <row r="103">
          <cell r="B103">
            <v>0</v>
          </cell>
        </row>
        <row r="105">
          <cell r="B105">
            <v>0</v>
          </cell>
        </row>
        <row r="107">
          <cell r="B107">
            <v>0</v>
          </cell>
        </row>
        <row r="109">
          <cell r="B109">
            <v>0</v>
          </cell>
        </row>
        <row r="111">
          <cell r="B111">
            <v>0</v>
          </cell>
        </row>
        <row r="113">
          <cell r="B113">
            <v>0</v>
          </cell>
        </row>
        <row r="117">
          <cell r="B117" t="str">
            <v>Grade C15, tk not exceeding 150mm, unreinforced, poured on or against earth or unbinded hardcore.</v>
          </cell>
        </row>
        <row r="119">
          <cell r="B119" t="str">
            <v>Grade C15, tk not exceeding 150mm, unreinforced, laid to falls on or against earth or unbinded hardcore.</v>
          </cell>
        </row>
        <row r="121">
          <cell r="B121" t="str">
            <v>Grade C15, mass, unreinforced, between HCB and rock face.</v>
          </cell>
        </row>
        <row r="123">
          <cell r="B123" t="str">
            <v>Grade C20, reinforced, unreinforced, cavity filling (reinforcement measured seperately).</v>
          </cell>
        </row>
        <row r="125">
          <cell r="B125" t="str">
            <v>Grade C25, reinforced, in strip footings inclusive of all necessary formwork (reinforcement measured seperately).</v>
          </cell>
        </row>
        <row r="127">
          <cell r="B127" t="str">
            <v>75mm x 75mm sand cement fillet.</v>
          </cell>
        </row>
        <row r="129">
          <cell r="B129" t="str">
            <v>Grade C25, reinforced, in isolated foundations inclusive of all necessary formwork (reinforcement measured seperately).</v>
          </cell>
        </row>
        <row r="131">
          <cell r="B131" t="str">
            <v>Grade C25, reinforced, in beds inclusive of all necessary formwork (reinforcement measured seperately).</v>
          </cell>
        </row>
        <row r="133">
          <cell r="B133" t="str">
            <v>Grade C30, reinforced, in ground beams inclusive of all necessary formwork (reinforcement measured seperately).</v>
          </cell>
        </row>
        <row r="135">
          <cell r="B135" t="str">
            <v>Grade C25, tk not exceeding 200mm, reinforced, in ground slab inclusive of all necessary formwork (reinforcement measured seperately).</v>
          </cell>
        </row>
        <row r="137">
          <cell r="B137" t="str">
            <v>Grade C20, unreinforced, tk not exceeding 100mm, to 230mm tk walls, in made-up piece over ground slab to receive wall inclusive of all necessary formwork.</v>
          </cell>
        </row>
        <row r="139">
          <cell r="B139" t="str">
            <v>Grade C30, reinforced, in rectangular columns inclusive of all necessary formwork (reinforcement measured separately).</v>
          </cell>
        </row>
        <row r="141">
          <cell r="B141" t="str">
            <v>Extra over, ditto for circular columns.</v>
          </cell>
        </row>
        <row r="143">
          <cell r="B143" t="str">
            <v>Grade C20, part course to 230mm tk walls, in padstones (suletta) inclusive of all necessary formwork (reinforcement measured separately).</v>
          </cell>
        </row>
        <row r="145">
          <cell r="B145" t="str">
            <v>Grade C30, reinforced, in lintols inclusive of all necessary formwork (reinforcement measured separately).</v>
          </cell>
        </row>
        <row r="147">
          <cell r="B147" t="str">
            <v>Grade C30, reinforced, in upstand/ down stand beams inclusive of all necessary formwork (reinforcement measured separately).</v>
          </cell>
        </row>
        <row r="149">
          <cell r="B149" t="str">
            <v>Grade C30, tk not exceeding 150mm, in suspended slab inclusive of all necessary formwork (reinforcement measured separately).</v>
          </cell>
        </row>
        <row r="151">
          <cell r="B151" t="str">
            <v>Extra  over for addition 25mm Grade C30, tk in suspended slab.</v>
          </cell>
        </row>
        <row r="153">
          <cell r="B153" t="str">
            <v>Extra over, ditto for cantilevering slabs (balconies).</v>
          </cell>
        </row>
        <row r="155">
          <cell r="B155" t="str">
            <v>Grade C25, reinforced, in straight stairs and landings inclusive of all necessary formworks (reinforcement measured separately).</v>
          </cell>
        </row>
        <row r="157">
          <cell r="B157" t="str">
            <v>Extra over, ditto for circular stairs.</v>
          </cell>
        </row>
        <row r="159">
          <cell r="B159" t="str">
            <v>Grade C35, tk not exceeding 125mm, reinforced, in topping inclusive of all necessary formwork (reinforcement measured seperately).</v>
          </cell>
        </row>
        <row r="161">
          <cell r="B161" t="str">
            <v>Grade C20, 100mm tk to 230mm tk walls, unreinforced,  in coping inclusive of all necessary formwork, splayed top edge.</v>
          </cell>
        </row>
        <row r="163">
          <cell r="B163" t="str">
            <v>Extra over for using Concrete:</v>
          </cell>
        </row>
        <row r="164">
          <cell r="B164" t="str">
            <v>C35 instead of C30.</v>
          </cell>
        </row>
        <row r="165">
          <cell r="B165" t="str">
            <v>C30 instead of C25.</v>
          </cell>
        </row>
        <row r="166">
          <cell r="B166" t="str">
            <v>C25 instead of C20.</v>
          </cell>
        </row>
        <row r="167">
          <cell r="B167" t="str">
            <v>C20 instead of C15.</v>
          </cell>
        </row>
        <row r="169">
          <cell r="B169" t="str">
            <v>Extra over for application of approved surface hardener.</v>
          </cell>
        </row>
        <row r="171">
          <cell r="B171" t="str">
            <v>Extra over for power float surface finish to slabs.</v>
          </cell>
        </row>
        <row r="173">
          <cell r="B173" t="str">
            <v>Extra over for broom surface finish to slabs.</v>
          </cell>
        </row>
        <row r="175">
          <cell r="B175" t="str">
            <v>Extra over for trowelling of concrete surface, to take self-adhesive membrane.</v>
          </cell>
        </row>
        <row r="177">
          <cell r="B177" t="str">
            <v>Extra over for fair faced formwork finish for in-situ concrete.</v>
          </cell>
        </row>
        <row r="179">
          <cell r="B179" t="str">
            <v>Extra over for formwork left in place rate.</v>
          </cell>
        </row>
        <row r="181">
          <cell r="B181" t="str">
            <v>Extra over for formation of ramps/slopes.</v>
          </cell>
        </row>
        <row r="183">
          <cell r="B183" t="str">
            <v>Extra over for erection of scaffolding exceed 3.00m for construction of concrete elements.</v>
          </cell>
        </row>
        <row r="185">
          <cell r="B185" t="str">
            <v>Extra over for formation of recess (drip moulds) in cantilevered balconies.</v>
          </cell>
        </row>
        <row r="187">
          <cell r="B187" t="str">
            <v>Extra over for formation of chamfered edges to concrete elements.</v>
          </cell>
        </row>
        <row r="189">
          <cell r="B189" t="str">
            <v>Formation of saw cut expansion joints (filling with approved material measured separately).</v>
          </cell>
        </row>
        <row r="191">
          <cell r="B191" t="str">
            <v>Supply, cut and installation of polystyrene 50mm thick sheeting placed between beams and walls (maximum width 230mm).</v>
          </cell>
        </row>
        <row r="193">
          <cell r="B193" t="str">
            <v>Construction of concrete C20 jambs to hollow concrete walls.</v>
          </cell>
        </row>
        <row r="195">
          <cell r="B195" t="str">
            <v>Extra over for Sika 1.</v>
          </cell>
        </row>
        <row r="197">
          <cell r="B197" t="str">
            <v>Extra over for Plastocrete N.</v>
          </cell>
        </row>
        <row r="199">
          <cell r="B199">
            <v>0</v>
          </cell>
        </row>
        <row r="201">
          <cell r="B201">
            <v>0</v>
          </cell>
        </row>
        <row r="203">
          <cell r="B203">
            <v>0</v>
          </cell>
        </row>
        <row r="205">
          <cell r="B205">
            <v>0</v>
          </cell>
        </row>
        <row r="207">
          <cell r="B207">
            <v>0</v>
          </cell>
        </row>
        <row r="209">
          <cell r="B209">
            <v>0</v>
          </cell>
        </row>
        <row r="211">
          <cell r="B211">
            <v>0</v>
          </cell>
        </row>
        <row r="213">
          <cell r="B213">
            <v>0</v>
          </cell>
        </row>
        <row r="215">
          <cell r="B215">
            <v>0</v>
          </cell>
        </row>
        <row r="217">
          <cell r="B217">
            <v>0</v>
          </cell>
        </row>
        <row r="219">
          <cell r="B219">
            <v>0</v>
          </cell>
        </row>
        <row r="221">
          <cell r="B221">
            <v>0</v>
          </cell>
        </row>
        <row r="226">
          <cell r="B226" t="str">
            <v>Supply, cut, bend and fix steel bar reinforcement:</v>
          </cell>
        </row>
        <row r="228">
          <cell r="B228" t="str">
            <v>10mm diameter</v>
          </cell>
        </row>
        <row r="229">
          <cell r="B229" t="str">
            <v>12mm diameter</v>
          </cell>
        </row>
        <row r="230">
          <cell r="B230" t="str">
            <v>16mm diameter</v>
          </cell>
        </row>
        <row r="231">
          <cell r="B231" t="str">
            <v>20mm diameter</v>
          </cell>
        </row>
        <row r="232">
          <cell r="B232" t="str">
            <v>25mm diameter</v>
          </cell>
        </row>
        <row r="233">
          <cell r="B233" t="str">
            <v>32mm diameter</v>
          </cell>
        </row>
        <row r="235">
          <cell r="B235" t="str">
            <v>Supply, cut, bend and fix steel mesh fabric reinforcement:</v>
          </cell>
        </row>
        <row r="237">
          <cell r="B237" t="str">
            <v>A 98; weighing 1.54kg/m2; lapped a minimum of 150mm</v>
          </cell>
        </row>
        <row r="238">
          <cell r="B238" t="str">
            <v>A252; weighing 3.95kg/m2; lapped a minimum of 150mm</v>
          </cell>
        </row>
        <row r="239">
          <cell r="B239" t="str">
            <v>A393; weighing 6.16kg/m2; lapped a minimum of 150mm</v>
          </cell>
        </row>
        <row r="240">
          <cell r="B240" t="str">
            <v>A503; weighing 7.90kg/m2; lapped a minimum of 150mm</v>
          </cell>
        </row>
        <row r="241">
          <cell r="B241" t="str">
            <v>B503; weighing 5.93kg/m2; lapped a minimum of 150mm</v>
          </cell>
        </row>
        <row r="242">
          <cell r="B242" t="str">
            <v>C503; weighing 4.34kg/m2; lapped a minimum of 150mm</v>
          </cell>
        </row>
        <row r="244">
          <cell r="B244">
            <v>0</v>
          </cell>
        </row>
        <row r="246">
          <cell r="B246">
            <v>0</v>
          </cell>
        </row>
        <row r="248">
          <cell r="B248">
            <v>0</v>
          </cell>
        </row>
        <row r="250">
          <cell r="B250">
            <v>0</v>
          </cell>
        </row>
        <row r="252">
          <cell r="B252">
            <v>0</v>
          </cell>
        </row>
        <row r="254">
          <cell r="B254">
            <v>0</v>
          </cell>
        </row>
        <row r="256">
          <cell r="B256">
            <v>0</v>
          </cell>
        </row>
        <row r="258">
          <cell r="B258">
            <v>0</v>
          </cell>
        </row>
        <row r="260">
          <cell r="B260">
            <v>0</v>
          </cell>
        </row>
        <row r="262">
          <cell r="B262">
            <v>0</v>
          </cell>
        </row>
        <row r="264">
          <cell r="B264">
            <v>0</v>
          </cell>
        </row>
        <row r="266">
          <cell r="B266">
            <v>0</v>
          </cell>
        </row>
        <row r="268">
          <cell r="B268">
            <v>0</v>
          </cell>
        </row>
        <row r="270">
          <cell r="B270">
            <v>0</v>
          </cell>
        </row>
        <row r="272">
          <cell r="B272">
            <v>0</v>
          </cell>
        </row>
        <row r="274">
          <cell r="B274">
            <v>0</v>
          </cell>
        </row>
        <row r="276">
          <cell r="B276">
            <v>0</v>
          </cell>
        </row>
        <row r="278">
          <cell r="B278">
            <v>0</v>
          </cell>
        </row>
        <row r="280">
          <cell r="B280">
            <v>0</v>
          </cell>
        </row>
        <row r="282">
          <cell r="B282">
            <v>0</v>
          </cell>
        </row>
        <row r="284">
          <cell r="B284">
            <v>0</v>
          </cell>
        </row>
        <row r="286">
          <cell r="B286">
            <v>0</v>
          </cell>
        </row>
        <row r="288">
          <cell r="B288" t="e">
            <v>#REF!</v>
          </cell>
        </row>
        <row r="290">
          <cell r="B290">
            <v>0</v>
          </cell>
        </row>
        <row r="294">
          <cell r="B294" t="str">
            <v>Supply and installation of 50mm tk polystyrene insulation layer.</v>
          </cell>
        </row>
        <row r="296">
          <cell r="B296" t="str">
            <v>Supply, spread and level 80mm average tk torba laid to falls (3/8" and sand).</v>
          </cell>
        </row>
        <row r="298">
          <cell r="B298" t="str">
            <v xml:space="preserve">75mm tk unreinforced concrete grade C20 in roof screed laid to falls. </v>
          </cell>
        </row>
        <row r="300">
          <cell r="B300" t="str">
            <v>Formation of 75 x 75mm cement sand triangular fillet at junction between roofer and parapet walls.</v>
          </cell>
        </row>
        <row r="302">
          <cell r="B302" t="str">
            <v>Chase soft stone parapet walls to accommodate water proofing membrane.</v>
          </cell>
        </row>
        <row r="304">
          <cell r="B304" t="str">
            <v>Supply and installation hot weld 4.0mm proof membrane including 2 coats of liquid bitumen to roof screed, over-laps and turn-ups.</v>
          </cell>
        </row>
        <row r="306">
          <cell r="B306">
            <v>0</v>
          </cell>
        </row>
        <row r="308">
          <cell r="B308">
            <v>0</v>
          </cell>
        </row>
        <row r="310">
          <cell r="B310">
            <v>0</v>
          </cell>
        </row>
        <row r="312">
          <cell r="B312">
            <v>0</v>
          </cell>
        </row>
        <row r="314">
          <cell r="B314">
            <v>0</v>
          </cell>
        </row>
        <row r="316">
          <cell r="B316">
            <v>0</v>
          </cell>
        </row>
        <row r="318">
          <cell r="B318">
            <v>0</v>
          </cell>
        </row>
        <row r="320">
          <cell r="B320">
            <v>0</v>
          </cell>
        </row>
        <row r="322">
          <cell r="B322">
            <v>0</v>
          </cell>
        </row>
        <row r="324">
          <cell r="B324">
            <v>0</v>
          </cell>
        </row>
        <row r="326">
          <cell r="B326">
            <v>0</v>
          </cell>
        </row>
        <row r="328">
          <cell r="B328">
            <v>0</v>
          </cell>
        </row>
        <row r="330">
          <cell r="B330">
            <v>0</v>
          </cell>
        </row>
        <row r="332">
          <cell r="B332">
            <v>0</v>
          </cell>
        </row>
        <row r="334">
          <cell r="B334">
            <v>0</v>
          </cell>
        </row>
        <row r="336">
          <cell r="B336">
            <v>0</v>
          </cell>
        </row>
        <row r="338">
          <cell r="B338">
            <v>0</v>
          </cell>
        </row>
        <row r="340">
          <cell r="B340">
            <v>0</v>
          </cell>
        </row>
        <row r="342">
          <cell r="B342">
            <v>0</v>
          </cell>
        </row>
        <row r="344">
          <cell r="B344">
            <v>0</v>
          </cell>
        </row>
        <row r="346">
          <cell r="B346">
            <v>0</v>
          </cell>
        </row>
        <row r="348">
          <cell r="B348">
            <v>0</v>
          </cell>
        </row>
        <row r="350">
          <cell r="B350">
            <v>0</v>
          </cell>
        </row>
        <row r="352">
          <cell r="B352">
            <v>0</v>
          </cell>
        </row>
        <row r="354">
          <cell r="B354" t="e">
            <v>#REF!</v>
          </cell>
        </row>
        <row r="356">
          <cell r="B356" t="e">
            <v>#REF!</v>
          </cell>
        </row>
        <row r="361">
          <cell r="B361" t="str">
            <v>Supply and installation of 4mm thick damp proof membrane in foundations: Horizontally</v>
          </cell>
        </row>
        <row r="363">
          <cell r="B363" t="str">
            <v>Supply and installation of 4mm thick damp proof membrane in foundations: Vertically</v>
          </cell>
        </row>
        <row r="365">
          <cell r="B365" t="str">
            <v xml:space="preserve">Supply, lay, bond and tie geotextile: Horizontally/ vertically </v>
          </cell>
        </row>
        <row r="367">
          <cell r="B367" t="str">
            <v>Supply, lay, bond and tie geotextile: To french drains</v>
          </cell>
        </row>
        <row r="369">
          <cell r="B369" t="str">
            <v>Supply and lay gauge 1000 polythene sheeting</v>
          </cell>
        </row>
        <row r="371">
          <cell r="B371" t="str">
            <v xml:space="preserve">Supply and lay damp proof course: Plastic type     </v>
          </cell>
        </row>
        <row r="372">
          <cell r="B372" t="str">
            <v xml:space="preserve">                                                           </v>
          </cell>
        </row>
        <row r="373">
          <cell r="B373" t="str">
            <v xml:space="preserve">Supply and lay damp proof course: Lead type     </v>
          </cell>
        </row>
        <row r="375">
          <cell r="B375" t="str">
            <v>Supply and installation of 2 coats of liquid bitumen to structure to recieve water proof mebrane</v>
          </cell>
        </row>
        <row r="377">
          <cell r="B377" t="e">
            <v>#REF!</v>
          </cell>
        </row>
        <row r="379">
          <cell r="B379">
            <v>0</v>
          </cell>
        </row>
        <row r="381">
          <cell r="B381">
            <v>0</v>
          </cell>
        </row>
        <row r="383">
          <cell r="B383">
            <v>0</v>
          </cell>
        </row>
        <row r="385">
          <cell r="B385">
            <v>0</v>
          </cell>
        </row>
        <row r="387">
          <cell r="B387">
            <v>0</v>
          </cell>
        </row>
        <row r="389">
          <cell r="B389">
            <v>0</v>
          </cell>
        </row>
        <row r="391">
          <cell r="B391">
            <v>0</v>
          </cell>
        </row>
        <row r="393">
          <cell r="B393">
            <v>0</v>
          </cell>
        </row>
        <row r="395">
          <cell r="B395">
            <v>0</v>
          </cell>
        </row>
        <row r="397">
          <cell r="B397">
            <v>0</v>
          </cell>
        </row>
        <row r="399">
          <cell r="B399">
            <v>0</v>
          </cell>
        </row>
        <row r="401">
          <cell r="B401">
            <v>0</v>
          </cell>
        </row>
        <row r="403">
          <cell r="B403">
            <v>0</v>
          </cell>
        </row>
        <row r="405">
          <cell r="B405">
            <v>0</v>
          </cell>
        </row>
        <row r="407">
          <cell r="B407">
            <v>0</v>
          </cell>
        </row>
        <row r="409">
          <cell r="B409">
            <v>0</v>
          </cell>
        </row>
        <row r="411">
          <cell r="B411">
            <v>0</v>
          </cell>
        </row>
        <row r="413">
          <cell r="B413">
            <v>0</v>
          </cell>
        </row>
        <row r="415">
          <cell r="B415">
            <v>0</v>
          </cell>
        </row>
        <row r="417">
          <cell r="B417">
            <v>0</v>
          </cell>
        </row>
        <row r="419">
          <cell r="B419">
            <v>0</v>
          </cell>
        </row>
        <row r="421">
          <cell r="B421" t="e">
            <v>#REF!</v>
          </cell>
        </row>
        <row r="423">
          <cell r="B423">
            <v>0</v>
          </cell>
        </row>
      </sheetData>
      <sheetData sheetId="1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5"/>
      <sheetName val="Data"/>
      <sheetName val="BOQ"/>
      <sheetName val="Pivot"/>
      <sheetName val="Sheet2"/>
      <sheetName val="BOQ (2)"/>
      <sheetName val="Sheet3"/>
      <sheetName val="BOQ_(2)"/>
      <sheetName val="BOQ_(2)1"/>
      <sheetName val="BOQ_(2)2"/>
      <sheetName val="BOQ_(2)3"/>
      <sheetName val="BOQ_(2)4"/>
      <sheetName val="BOQ_(2)5"/>
      <sheetName val="BOQ_(2)6"/>
      <sheetName val="BOQ_(2)7"/>
      <sheetName val="BOQ_(2)8"/>
      <sheetName val="BOQ_(2)9"/>
    </sheetNames>
    <sheetDataSet>
      <sheetData sheetId="0"/>
      <sheetData sheetId="1">
        <row r="1">
          <cell r="A1" t="str">
            <v>Item</v>
          </cell>
          <cell r="B1" t="str">
            <v>Location</v>
          </cell>
          <cell r="C1" t="str">
            <v>Level</v>
          </cell>
          <cell r="D1" t="str">
            <v>Multiplier</v>
          </cell>
          <cell r="E1" t="str">
            <v>Length</v>
          </cell>
          <cell r="F1" t="str">
            <v>Width</v>
          </cell>
          <cell r="G1" t="str">
            <v>Height</v>
          </cell>
          <cell r="H1" t="str">
            <v>Total</v>
          </cell>
        </row>
        <row r="2">
          <cell r="A2">
            <v>2.23</v>
          </cell>
          <cell r="B2" t="str">
            <v>wall XX,YY,ZZ</v>
          </cell>
          <cell r="C2">
            <v>-5</v>
          </cell>
          <cell r="D2">
            <v>3</v>
          </cell>
          <cell r="E2">
            <v>4.0999999999999996</v>
          </cell>
          <cell r="G2">
            <v>3.0950000000000002</v>
          </cell>
          <cell r="H2">
            <v>38.0685</v>
          </cell>
        </row>
        <row r="3">
          <cell r="A3">
            <v>2.23</v>
          </cell>
          <cell r="B3" t="str">
            <v>wall XX,YY,ZZ</v>
          </cell>
          <cell r="C3">
            <v>-5</v>
          </cell>
          <cell r="D3">
            <v>3</v>
          </cell>
          <cell r="E3">
            <v>3.9</v>
          </cell>
          <cell r="G3">
            <v>3.0950000000000002</v>
          </cell>
          <cell r="H3">
            <v>36.211500000000001</v>
          </cell>
        </row>
        <row r="4">
          <cell r="A4">
            <v>2.23</v>
          </cell>
          <cell r="B4" t="str">
            <v>Core 1-5</v>
          </cell>
          <cell r="C4">
            <v>-5</v>
          </cell>
          <cell r="D4">
            <v>1</v>
          </cell>
          <cell r="E4">
            <v>12.5</v>
          </cell>
          <cell r="G4">
            <v>3.0950000000000002</v>
          </cell>
          <cell r="H4">
            <v>38.6875</v>
          </cell>
        </row>
        <row r="5">
          <cell r="A5">
            <v>2.23</v>
          </cell>
          <cell r="B5" t="str">
            <v>Core  3-5</v>
          </cell>
          <cell r="C5">
            <v>-5</v>
          </cell>
          <cell r="D5">
            <v>1</v>
          </cell>
          <cell r="E5">
            <v>6.8</v>
          </cell>
          <cell r="G5">
            <v>3.0950000000000002</v>
          </cell>
          <cell r="H5">
            <v>21.045999999999999</v>
          </cell>
        </row>
        <row r="6">
          <cell r="A6">
            <v>2.23</v>
          </cell>
          <cell r="B6" t="str">
            <v>Core 7/ 10-12</v>
          </cell>
          <cell r="C6">
            <v>-5</v>
          </cell>
          <cell r="D6">
            <v>1</v>
          </cell>
          <cell r="E6">
            <v>5</v>
          </cell>
          <cell r="G6">
            <v>3.0950000000000002</v>
          </cell>
          <cell r="H6">
            <v>15.475000000000001</v>
          </cell>
        </row>
        <row r="7">
          <cell r="A7">
            <v>2.23</v>
          </cell>
          <cell r="B7" t="str">
            <v>Core 2/7a</v>
          </cell>
          <cell r="C7">
            <v>-5</v>
          </cell>
          <cell r="D7">
            <v>1</v>
          </cell>
          <cell r="E7">
            <v>2.4</v>
          </cell>
          <cell r="G7">
            <v>3.0950000000000002</v>
          </cell>
          <cell r="H7">
            <v>7.4279999999999999</v>
          </cell>
        </row>
        <row r="8">
          <cell r="A8">
            <v>2.23</v>
          </cell>
          <cell r="B8" t="str">
            <v>Core (1-6)-(7-8)</v>
          </cell>
          <cell r="C8">
            <v>-5</v>
          </cell>
          <cell r="D8">
            <v>2</v>
          </cell>
          <cell r="E8">
            <v>2.2999999999999998</v>
          </cell>
          <cell r="G8">
            <v>3.0950000000000002</v>
          </cell>
          <cell r="H8">
            <v>14.237</v>
          </cell>
        </row>
        <row r="9">
          <cell r="A9">
            <v>2.23</v>
          </cell>
          <cell r="B9" t="str">
            <v>Core(6-6a)-(6a-8)</v>
          </cell>
          <cell r="C9">
            <v>-5</v>
          </cell>
          <cell r="D9">
            <v>2</v>
          </cell>
          <cell r="E9">
            <v>2.2999999999999998</v>
          </cell>
          <cell r="G9">
            <v>3.0950000000000002</v>
          </cell>
          <cell r="H9">
            <v>14.237</v>
          </cell>
        </row>
        <row r="10">
          <cell r="A10">
            <v>2.23</v>
          </cell>
          <cell r="B10" t="str">
            <v>Core 8 -18</v>
          </cell>
          <cell r="C10">
            <v>-5</v>
          </cell>
          <cell r="D10">
            <v>1</v>
          </cell>
          <cell r="E10">
            <v>4.8</v>
          </cell>
          <cell r="G10">
            <v>3.0950000000000002</v>
          </cell>
          <cell r="H10">
            <v>14.856</v>
          </cell>
        </row>
        <row r="11">
          <cell r="A11">
            <v>2.23</v>
          </cell>
          <cell r="B11" t="str">
            <v>Core (10-12)-18</v>
          </cell>
          <cell r="C11">
            <v>-5</v>
          </cell>
          <cell r="D11">
            <v>1</v>
          </cell>
          <cell r="E11">
            <v>5</v>
          </cell>
          <cell r="G11">
            <v>3.0950000000000002</v>
          </cell>
          <cell r="H11">
            <v>15.475000000000001</v>
          </cell>
        </row>
        <row r="12">
          <cell r="A12">
            <v>2.23</v>
          </cell>
          <cell r="B12" t="str">
            <v>Core(19-(1-6)-2-18)</v>
          </cell>
          <cell r="C12">
            <v>-5</v>
          </cell>
          <cell r="D12">
            <v>2</v>
          </cell>
          <cell r="E12">
            <v>10.5</v>
          </cell>
          <cell r="G12">
            <v>3.0950000000000002</v>
          </cell>
          <cell r="H12">
            <v>64.995000000000005</v>
          </cell>
        </row>
        <row r="13">
          <cell r="A13">
            <v>2.23</v>
          </cell>
          <cell r="B13" t="str">
            <v xml:space="preserve"> 2-3</v>
          </cell>
          <cell r="C13">
            <v>-5</v>
          </cell>
          <cell r="D13">
            <v>1</v>
          </cell>
          <cell r="E13">
            <v>3</v>
          </cell>
          <cell r="G13">
            <v>3.0950000000000002</v>
          </cell>
          <cell r="H13">
            <v>9.2850000000000001</v>
          </cell>
        </row>
        <row r="14">
          <cell r="A14">
            <v>2.23</v>
          </cell>
          <cell r="B14" t="str">
            <v>(3-4) - (4-5)</v>
          </cell>
          <cell r="C14">
            <v>-5</v>
          </cell>
          <cell r="D14">
            <v>2</v>
          </cell>
          <cell r="E14">
            <v>2.2999999999999998</v>
          </cell>
          <cell r="G14">
            <v>3.0950000000000002</v>
          </cell>
          <cell r="H14">
            <v>14.237</v>
          </cell>
        </row>
        <row r="15">
          <cell r="A15">
            <v>2.23</v>
          </cell>
          <cell r="B15">
            <v>5</v>
          </cell>
          <cell r="C15">
            <v>-5</v>
          </cell>
          <cell r="D15">
            <v>1</v>
          </cell>
          <cell r="E15">
            <v>4.5</v>
          </cell>
          <cell r="G15">
            <v>3.0950000000000002</v>
          </cell>
          <cell r="H15">
            <v>13.9275</v>
          </cell>
        </row>
        <row r="16">
          <cell r="A16">
            <v>2.23</v>
          </cell>
          <cell r="B16" t="str">
            <v>(8-10)-(11-12)</v>
          </cell>
          <cell r="C16">
            <v>-5</v>
          </cell>
          <cell r="D16">
            <v>2</v>
          </cell>
          <cell r="E16">
            <v>5.9</v>
          </cell>
          <cell r="G16">
            <v>3.0950000000000002</v>
          </cell>
          <cell r="H16">
            <v>36.521000000000008</v>
          </cell>
        </row>
        <row r="17">
          <cell r="A17">
            <v>2.23</v>
          </cell>
          <cell r="B17" t="str">
            <v>Core 10-11</v>
          </cell>
          <cell r="C17">
            <v>-5</v>
          </cell>
          <cell r="D17">
            <v>1</v>
          </cell>
          <cell r="E17">
            <v>4.7</v>
          </cell>
          <cell r="G17">
            <v>3.0950000000000002</v>
          </cell>
          <cell r="H17">
            <v>14.546500000000002</v>
          </cell>
        </row>
        <row r="18">
          <cell r="A18">
            <v>2.23</v>
          </cell>
          <cell r="B18" t="str">
            <v>Core 7a - 8</v>
          </cell>
          <cell r="C18">
            <v>-5</v>
          </cell>
          <cell r="D18">
            <v>1</v>
          </cell>
          <cell r="E18">
            <v>2.7</v>
          </cell>
          <cell r="G18">
            <v>3.0950000000000002</v>
          </cell>
          <cell r="H18">
            <v>8.3565000000000005</v>
          </cell>
        </row>
        <row r="19">
          <cell r="A19">
            <v>2.23</v>
          </cell>
          <cell r="C19">
            <v>-5</v>
          </cell>
          <cell r="D19">
            <v>-1</v>
          </cell>
          <cell r="E19">
            <v>1</v>
          </cell>
          <cell r="G19">
            <v>2</v>
          </cell>
          <cell r="H19">
            <v>-2</v>
          </cell>
        </row>
        <row r="20">
          <cell r="A20">
            <v>2.23</v>
          </cell>
          <cell r="C20">
            <v>-5</v>
          </cell>
          <cell r="D20">
            <v>1</v>
          </cell>
          <cell r="E20">
            <v>4.0999999999999996</v>
          </cell>
          <cell r="G20">
            <v>0.27500000000000002</v>
          </cell>
          <cell r="H20">
            <v>1.1274999999999999</v>
          </cell>
        </row>
        <row r="21">
          <cell r="A21">
            <v>2.23</v>
          </cell>
          <cell r="C21">
            <v>-5</v>
          </cell>
          <cell r="D21">
            <v>1</v>
          </cell>
          <cell r="E21">
            <v>0.75</v>
          </cell>
          <cell r="G21">
            <v>0.27500000000000002</v>
          </cell>
          <cell r="H21">
            <v>0.20625000000000002</v>
          </cell>
        </row>
        <row r="22">
          <cell r="A22">
            <v>2.23</v>
          </cell>
          <cell r="B22" t="str">
            <v>wall XX,YY,ZZ</v>
          </cell>
          <cell r="C22">
            <v>-4</v>
          </cell>
          <cell r="D22">
            <v>3</v>
          </cell>
          <cell r="E22">
            <v>4.0999999999999996</v>
          </cell>
          <cell r="G22">
            <v>2.65</v>
          </cell>
          <cell r="H22">
            <v>32.594999999999999</v>
          </cell>
        </row>
        <row r="23">
          <cell r="A23">
            <v>2.23</v>
          </cell>
          <cell r="B23" t="str">
            <v>wall XX,YY,ZZ</v>
          </cell>
          <cell r="C23">
            <v>-4</v>
          </cell>
          <cell r="D23">
            <v>3</v>
          </cell>
          <cell r="E23">
            <v>3.9</v>
          </cell>
          <cell r="G23">
            <v>2.65</v>
          </cell>
          <cell r="H23">
            <v>31.004999999999995</v>
          </cell>
        </row>
        <row r="24">
          <cell r="A24">
            <v>2.23</v>
          </cell>
          <cell r="B24" t="str">
            <v>Core 2-5</v>
          </cell>
          <cell r="C24">
            <v>-4</v>
          </cell>
          <cell r="D24">
            <v>1</v>
          </cell>
          <cell r="E24">
            <v>9.73</v>
          </cell>
          <cell r="G24">
            <v>2.7250000000000001</v>
          </cell>
          <cell r="H24">
            <v>26.514250000000001</v>
          </cell>
        </row>
        <row r="25">
          <cell r="A25">
            <v>2.23</v>
          </cell>
          <cell r="B25" t="str">
            <v>Core 2-7a</v>
          </cell>
          <cell r="C25">
            <v>-4</v>
          </cell>
          <cell r="D25">
            <v>1</v>
          </cell>
          <cell r="E25">
            <v>2.4</v>
          </cell>
          <cell r="G25">
            <v>2.7250000000000001</v>
          </cell>
          <cell r="H25">
            <v>6.54</v>
          </cell>
        </row>
        <row r="26">
          <cell r="A26">
            <v>2.23</v>
          </cell>
          <cell r="B26" t="str">
            <v>Core 7 / 3-5</v>
          </cell>
          <cell r="C26">
            <v>-4</v>
          </cell>
          <cell r="D26">
            <v>1</v>
          </cell>
          <cell r="E26">
            <v>6.83</v>
          </cell>
          <cell r="G26">
            <v>2.7250000000000001</v>
          </cell>
          <cell r="H26">
            <v>18.611750000000001</v>
          </cell>
        </row>
        <row r="27">
          <cell r="A27">
            <v>2.23</v>
          </cell>
          <cell r="B27" t="str">
            <v>Core 1 - 6 / 6 - 6a</v>
          </cell>
          <cell r="C27">
            <v>-4</v>
          </cell>
          <cell r="D27">
            <v>2</v>
          </cell>
          <cell r="E27">
            <v>2.2999999999999998</v>
          </cell>
          <cell r="G27">
            <v>2.7250000000000001</v>
          </cell>
          <cell r="H27">
            <v>12.535</v>
          </cell>
        </row>
        <row r="28">
          <cell r="A28">
            <v>2.23</v>
          </cell>
          <cell r="B28" t="str">
            <v>Core 7 - 8</v>
          </cell>
          <cell r="C28">
            <v>-4</v>
          </cell>
          <cell r="D28">
            <v>1</v>
          </cell>
          <cell r="E28">
            <v>2.2999999999999998</v>
          </cell>
          <cell r="G28">
            <v>2.7250000000000001</v>
          </cell>
          <cell r="H28">
            <v>6.2675000000000001</v>
          </cell>
        </row>
        <row r="29">
          <cell r="A29">
            <v>2.23</v>
          </cell>
          <cell r="B29" t="str">
            <v>Core 7 - (10-12)</v>
          </cell>
          <cell r="C29">
            <v>-4</v>
          </cell>
          <cell r="D29">
            <v>1</v>
          </cell>
          <cell r="E29">
            <v>4.9800000000000004</v>
          </cell>
          <cell r="G29">
            <v>2.7250000000000001</v>
          </cell>
          <cell r="H29">
            <v>13.570500000000001</v>
          </cell>
        </row>
        <row r="30">
          <cell r="A30">
            <v>2.23</v>
          </cell>
          <cell r="B30" t="str">
            <v>Core (8-7a) - 18</v>
          </cell>
          <cell r="C30">
            <v>-4</v>
          </cell>
          <cell r="D30">
            <v>1</v>
          </cell>
          <cell r="E30">
            <v>4.75</v>
          </cell>
          <cell r="G30">
            <v>2.7250000000000001</v>
          </cell>
          <cell r="H30">
            <v>12.94375</v>
          </cell>
        </row>
        <row r="31">
          <cell r="A31">
            <v>2.23</v>
          </cell>
          <cell r="B31" t="str">
            <v>Core (10-12)-18</v>
          </cell>
          <cell r="C31">
            <v>-4</v>
          </cell>
          <cell r="D31">
            <v>1</v>
          </cell>
          <cell r="E31">
            <v>3.43</v>
          </cell>
          <cell r="G31">
            <v>2.7250000000000001</v>
          </cell>
          <cell r="H31">
            <v>9.3467500000000001</v>
          </cell>
        </row>
        <row r="32">
          <cell r="A32">
            <v>2.23</v>
          </cell>
          <cell r="B32" t="str">
            <v>Core (1-6)-(2-7a)</v>
          </cell>
          <cell r="C32">
            <v>-4</v>
          </cell>
          <cell r="D32">
            <v>1</v>
          </cell>
          <cell r="E32">
            <v>8.2850000000000001</v>
          </cell>
          <cell r="G32">
            <v>2.7250000000000001</v>
          </cell>
          <cell r="H32">
            <v>22.576625</v>
          </cell>
        </row>
        <row r="33">
          <cell r="A33">
            <v>2.23</v>
          </cell>
          <cell r="B33" t="str">
            <v xml:space="preserve"> 2- 3</v>
          </cell>
          <cell r="C33">
            <v>-4</v>
          </cell>
          <cell r="D33">
            <v>1</v>
          </cell>
          <cell r="E33">
            <v>3.25</v>
          </cell>
          <cell r="G33">
            <v>2.7250000000000001</v>
          </cell>
          <cell r="H33">
            <v>8.8562500000000011</v>
          </cell>
        </row>
        <row r="34">
          <cell r="A34">
            <v>2.23</v>
          </cell>
          <cell r="B34" t="str">
            <v>(3-4) - (4-5)</v>
          </cell>
          <cell r="C34">
            <v>-4</v>
          </cell>
          <cell r="D34">
            <v>2</v>
          </cell>
          <cell r="E34">
            <v>2.2999999999999998</v>
          </cell>
          <cell r="G34">
            <v>2.7250000000000001</v>
          </cell>
          <cell r="H34">
            <v>12.535</v>
          </cell>
        </row>
        <row r="35">
          <cell r="A35">
            <v>2.23</v>
          </cell>
          <cell r="B35" t="str">
            <v xml:space="preserve"> 5 - 7</v>
          </cell>
          <cell r="C35">
            <v>-4</v>
          </cell>
          <cell r="D35">
            <v>1</v>
          </cell>
          <cell r="E35">
            <v>4.71</v>
          </cell>
          <cell r="G35">
            <v>2.7250000000000001</v>
          </cell>
          <cell r="H35">
            <v>12.83475</v>
          </cell>
        </row>
        <row r="36">
          <cell r="A36">
            <v>2.23</v>
          </cell>
          <cell r="B36" t="str">
            <v>7a - 8</v>
          </cell>
          <cell r="C36">
            <v>-4</v>
          </cell>
          <cell r="D36">
            <v>1</v>
          </cell>
          <cell r="E36">
            <v>2.65</v>
          </cell>
          <cell r="G36">
            <v>2.7250000000000001</v>
          </cell>
          <cell r="H36">
            <v>7.2212500000000004</v>
          </cell>
        </row>
        <row r="37">
          <cell r="A37">
            <v>2.23</v>
          </cell>
          <cell r="B37" t="str">
            <v>Core 10 - 8</v>
          </cell>
          <cell r="C37">
            <v>-4</v>
          </cell>
          <cell r="D37">
            <v>1</v>
          </cell>
          <cell r="E37">
            <v>4.2850000000000001</v>
          </cell>
          <cell r="G37">
            <v>2.7250000000000001</v>
          </cell>
          <cell r="H37">
            <v>11.676625000000001</v>
          </cell>
        </row>
        <row r="38">
          <cell r="A38">
            <v>2.23</v>
          </cell>
          <cell r="B38" t="str">
            <v xml:space="preserve"> 10-11</v>
          </cell>
          <cell r="C38">
            <v>-4</v>
          </cell>
          <cell r="D38">
            <v>1</v>
          </cell>
          <cell r="E38">
            <v>4.71</v>
          </cell>
          <cell r="G38">
            <v>2.7250000000000001</v>
          </cell>
          <cell r="H38">
            <v>12.83475</v>
          </cell>
        </row>
        <row r="39">
          <cell r="A39">
            <v>2.23</v>
          </cell>
          <cell r="B39" t="str">
            <v xml:space="preserve"> 11 - 12</v>
          </cell>
          <cell r="C39">
            <v>-4</v>
          </cell>
          <cell r="D39">
            <v>1</v>
          </cell>
          <cell r="E39">
            <v>5.91</v>
          </cell>
          <cell r="G39">
            <v>2.7250000000000001</v>
          </cell>
          <cell r="H39">
            <v>16.104749999999999</v>
          </cell>
        </row>
        <row r="40">
          <cell r="A40">
            <v>2.23</v>
          </cell>
          <cell r="B40" t="str">
            <v>1 - 6a</v>
          </cell>
          <cell r="C40">
            <v>-4</v>
          </cell>
          <cell r="D40">
            <v>1</v>
          </cell>
          <cell r="E40">
            <v>8.92</v>
          </cell>
          <cell r="G40">
            <v>2.65</v>
          </cell>
          <cell r="H40">
            <v>23.637999999999998</v>
          </cell>
        </row>
        <row r="41">
          <cell r="A41">
            <v>2.23</v>
          </cell>
          <cell r="B41" t="str">
            <v>6a - 18</v>
          </cell>
          <cell r="C41">
            <v>-4</v>
          </cell>
          <cell r="D41">
            <v>1</v>
          </cell>
          <cell r="E41">
            <v>2.2999999999999998</v>
          </cell>
          <cell r="G41">
            <v>2.65</v>
          </cell>
          <cell r="H41">
            <v>6.0949999999999998</v>
          </cell>
        </row>
        <row r="42">
          <cell r="A42">
            <v>2.23</v>
          </cell>
          <cell r="B42" t="str">
            <v>6a - 18</v>
          </cell>
          <cell r="C42">
            <v>-4</v>
          </cell>
          <cell r="D42">
            <v>1</v>
          </cell>
          <cell r="E42">
            <v>2.1749999999999998</v>
          </cell>
          <cell r="G42">
            <v>2.65</v>
          </cell>
          <cell r="H42">
            <v>5.763749999999999</v>
          </cell>
        </row>
        <row r="43">
          <cell r="A43">
            <v>2.23</v>
          </cell>
          <cell r="B43" t="str">
            <v xml:space="preserve"> 18 - 10</v>
          </cell>
          <cell r="C43">
            <v>-4</v>
          </cell>
          <cell r="D43">
            <v>1</v>
          </cell>
          <cell r="E43">
            <v>1.875</v>
          </cell>
          <cell r="G43">
            <v>2.65</v>
          </cell>
          <cell r="H43">
            <v>4.96875</v>
          </cell>
        </row>
        <row r="44">
          <cell r="A44">
            <v>2.23</v>
          </cell>
          <cell r="B44" t="str">
            <v xml:space="preserve"> 18 - 10</v>
          </cell>
          <cell r="C44">
            <v>-4</v>
          </cell>
          <cell r="D44">
            <v>1</v>
          </cell>
          <cell r="E44">
            <v>0.5</v>
          </cell>
          <cell r="G44">
            <v>2.65</v>
          </cell>
          <cell r="H44">
            <v>1.325</v>
          </cell>
        </row>
        <row r="45">
          <cell r="A45">
            <v>2.23</v>
          </cell>
          <cell r="B45">
            <v>1</v>
          </cell>
          <cell r="C45">
            <v>-4</v>
          </cell>
          <cell r="D45">
            <v>1</v>
          </cell>
          <cell r="E45">
            <v>1.54</v>
          </cell>
          <cell r="G45">
            <v>2.9249999999999998</v>
          </cell>
          <cell r="H45">
            <v>4.5045000000000002</v>
          </cell>
        </row>
        <row r="46">
          <cell r="A46">
            <v>2.23</v>
          </cell>
          <cell r="B46">
            <v>1</v>
          </cell>
          <cell r="C46">
            <v>-4</v>
          </cell>
          <cell r="D46">
            <v>1</v>
          </cell>
          <cell r="E46">
            <v>2.5499999999999998</v>
          </cell>
          <cell r="G46">
            <v>2.9249999999999998</v>
          </cell>
          <cell r="H46">
            <v>7.4587499999999993</v>
          </cell>
        </row>
        <row r="47">
          <cell r="A47">
            <v>2.23</v>
          </cell>
          <cell r="B47">
            <v>12</v>
          </cell>
          <cell r="C47">
            <v>-4</v>
          </cell>
          <cell r="D47">
            <v>1</v>
          </cell>
          <cell r="E47">
            <v>0.75</v>
          </cell>
          <cell r="G47">
            <v>2.9249999999999998</v>
          </cell>
          <cell r="H47">
            <v>2.1937499999999996</v>
          </cell>
        </row>
        <row r="48">
          <cell r="A48">
            <v>4.01</v>
          </cell>
          <cell r="C48">
            <v>-5</v>
          </cell>
          <cell r="D48">
            <v>1</v>
          </cell>
          <cell r="E48">
            <v>27.2</v>
          </cell>
          <cell r="F48">
            <v>23.1</v>
          </cell>
          <cell r="H48">
            <v>628.32000000000005</v>
          </cell>
        </row>
        <row r="49">
          <cell r="A49">
            <v>4.01</v>
          </cell>
          <cell r="C49">
            <v>-5</v>
          </cell>
          <cell r="D49">
            <v>1</v>
          </cell>
          <cell r="E49">
            <v>20.27</v>
          </cell>
          <cell r="F49">
            <v>1.9</v>
          </cell>
          <cell r="H49">
            <v>38.512999999999998</v>
          </cell>
        </row>
        <row r="50">
          <cell r="A50">
            <v>4.01</v>
          </cell>
          <cell r="C50">
            <v>-5</v>
          </cell>
          <cell r="D50">
            <v>1</v>
          </cell>
          <cell r="E50">
            <v>4.8</v>
          </cell>
          <cell r="F50">
            <v>1</v>
          </cell>
          <cell r="H50">
            <v>4.8</v>
          </cell>
        </row>
        <row r="51">
          <cell r="A51">
            <v>4.01</v>
          </cell>
          <cell r="C51">
            <v>-5</v>
          </cell>
          <cell r="D51">
            <v>1</v>
          </cell>
          <cell r="E51">
            <v>106.94</v>
          </cell>
          <cell r="G51">
            <v>2.27</v>
          </cell>
          <cell r="H51">
            <v>242.75379999999998</v>
          </cell>
        </row>
        <row r="52">
          <cell r="A52">
            <v>4.01</v>
          </cell>
          <cell r="C52">
            <v>-5</v>
          </cell>
          <cell r="D52">
            <v>-1</v>
          </cell>
          <cell r="E52">
            <v>7.55</v>
          </cell>
          <cell r="G52">
            <v>0.81</v>
          </cell>
          <cell r="H52">
            <v>-6.1154999999999999</v>
          </cell>
        </row>
        <row r="53">
          <cell r="A53">
            <v>4.05</v>
          </cell>
          <cell r="B53" t="str">
            <v>North side</v>
          </cell>
          <cell r="C53">
            <v>-5</v>
          </cell>
          <cell r="D53">
            <v>1</v>
          </cell>
          <cell r="E53">
            <v>27.2</v>
          </cell>
          <cell r="H53">
            <v>27.2</v>
          </cell>
        </row>
        <row r="54">
          <cell r="A54">
            <v>4.05</v>
          </cell>
          <cell r="B54" t="str">
            <v>West side</v>
          </cell>
          <cell r="C54">
            <v>-5</v>
          </cell>
          <cell r="D54">
            <v>1</v>
          </cell>
          <cell r="E54">
            <v>24.9</v>
          </cell>
          <cell r="H54">
            <v>24.9</v>
          </cell>
        </row>
        <row r="55">
          <cell r="A55">
            <v>4.05</v>
          </cell>
          <cell r="B55" t="str">
            <v>South side</v>
          </cell>
          <cell r="C55">
            <v>-5</v>
          </cell>
          <cell r="D55">
            <v>1</v>
          </cell>
          <cell r="E55">
            <v>15.57</v>
          </cell>
          <cell r="H55">
            <v>15.57</v>
          </cell>
        </row>
        <row r="56">
          <cell r="A56">
            <v>4.05</v>
          </cell>
          <cell r="C56">
            <v>-5</v>
          </cell>
          <cell r="D56">
            <v>1</v>
          </cell>
          <cell r="E56">
            <v>1</v>
          </cell>
          <cell r="H56">
            <v>1</v>
          </cell>
        </row>
        <row r="57">
          <cell r="A57">
            <v>4.05</v>
          </cell>
          <cell r="C57">
            <v>-5</v>
          </cell>
          <cell r="D57">
            <v>1</v>
          </cell>
          <cell r="E57">
            <v>4.8</v>
          </cell>
          <cell r="H57">
            <v>4.8</v>
          </cell>
        </row>
        <row r="58">
          <cell r="A58">
            <v>4.05</v>
          </cell>
          <cell r="B58" t="str">
            <v>East side</v>
          </cell>
          <cell r="C58">
            <v>-5</v>
          </cell>
          <cell r="D58">
            <v>1</v>
          </cell>
          <cell r="E58">
            <v>2.9</v>
          </cell>
          <cell r="H58">
            <v>2.9</v>
          </cell>
        </row>
        <row r="59">
          <cell r="A59">
            <v>4.05</v>
          </cell>
          <cell r="C59">
            <v>-5</v>
          </cell>
          <cell r="D59">
            <v>1</v>
          </cell>
          <cell r="E59">
            <v>7.5</v>
          </cell>
          <cell r="H59">
            <v>7.5</v>
          </cell>
        </row>
        <row r="60">
          <cell r="A60">
            <v>4.05</v>
          </cell>
          <cell r="C60">
            <v>-5</v>
          </cell>
          <cell r="D60">
            <v>1</v>
          </cell>
          <cell r="E60">
            <v>23.1</v>
          </cell>
          <cell r="H60">
            <v>23.1</v>
          </cell>
        </row>
        <row r="61">
          <cell r="A61">
            <v>3.03</v>
          </cell>
          <cell r="B61" t="str">
            <v>North Side</v>
          </cell>
          <cell r="C61">
            <v>-5</v>
          </cell>
          <cell r="D61">
            <v>2</v>
          </cell>
          <cell r="E61">
            <v>26.9</v>
          </cell>
          <cell r="G61">
            <v>1.89</v>
          </cell>
          <cell r="H61">
            <v>101.68199999999999</v>
          </cell>
        </row>
        <row r="62">
          <cell r="A62">
            <v>3.03</v>
          </cell>
          <cell r="B62" t="str">
            <v>West Side</v>
          </cell>
          <cell r="C62">
            <v>-5</v>
          </cell>
          <cell r="D62">
            <v>2</v>
          </cell>
          <cell r="E62">
            <v>25.5</v>
          </cell>
          <cell r="G62">
            <v>1.89</v>
          </cell>
          <cell r="H62">
            <v>96.39</v>
          </cell>
        </row>
        <row r="63">
          <cell r="A63">
            <v>3.03</v>
          </cell>
          <cell r="B63" t="str">
            <v>South Side</v>
          </cell>
          <cell r="C63">
            <v>-5</v>
          </cell>
          <cell r="D63">
            <v>2</v>
          </cell>
          <cell r="E63">
            <v>15.27</v>
          </cell>
          <cell r="G63">
            <v>1.89</v>
          </cell>
          <cell r="H63">
            <v>57.720599999999997</v>
          </cell>
        </row>
        <row r="64">
          <cell r="A64">
            <v>3.03</v>
          </cell>
          <cell r="C64">
            <v>-5</v>
          </cell>
          <cell r="D64">
            <v>2</v>
          </cell>
          <cell r="E64">
            <v>1</v>
          </cell>
          <cell r="G64">
            <v>1.08</v>
          </cell>
          <cell r="H64">
            <v>2.16</v>
          </cell>
        </row>
        <row r="65">
          <cell r="A65">
            <v>3.03</v>
          </cell>
          <cell r="C65">
            <v>-5</v>
          </cell>
          <cell r="D65">
            <v>2</v>
          </cell>
          <cell r="E65">
            <v>4.5</v>
          </cell>
          <cell r="G65">
            <v>1.08</v>
          </cell>
          <cell r="H65">
            <v>9.7200000000000006</v>
          </cell>
        </row>
        <row r="66">
          <cell r="A66">
            <v>3.03</v>
          </cell>
          <cell r="B66" t="str">
            <v>East Side</v>
          </cell>
          <cell r="C66">
            <v>-5</v>
          </cell>
          <cell r="D66">
            <v>2</v>
          </cell>
          <cell r="E66">
            <v>1.75</v>
          </cell>
          <cell r="G66">
            <v>1.08</v>
          </cell>
          <cell r="H66">
            <v>3.7800000000000002</v>
          </cell>
        </row>
        <row r="67">
          <cell r="A67">
            <v>3.03</v>
          </cell>
          <cell r="C67">
            <v>-5</v>
          </cell>
          <cell r="D67">
            <v>2</v>
          </cell>
          <cell r="E67">
            <v>1.45</v>
          </cell>
          <cell r="G67">
            <v>1.89</v>
          </cell>
          <cell r="H67">
            <v>5.4809999999999999</v>
          </cell>
        </row>
        <row r="68">
          <cell r="A68">
            <v>3.03</v>
          </cell>
          <cell r="C68">
            <v>-5</v>
          </cell>
          <cell r="D68">
            <v>2</v>
          </cell>
          <cell r="E68">
            <v>7.5</v>
          </cell>
          <cell r="G68">
            <v>1.89</v>
          </cell>
          <cell r="H68">
            <v>28.349999999999998</v>
          </cell>
        </row>
        <row r="69">
          <cell r="A69">
            <v>3.03</v>
          </cell>
          <cell r="C69">
            <v>-5</v>
          </cell>
          <cell r="D69">
            <v>2</v>
          </cell>
          <cell r="E69">
            <v>23.4</v>
          </cell>
          <cell r="G69">
            <v>1.89</v>
          </cell>
          <cell r="H69">
            <v>88.451999999999984</v>
          </cell>
        </row>
        <row r="70">
          <cell r="A70">
            <v>3.03</v>
          </cell>
          <cell r="C70">
            <v>-5</v>
          </cell>
          <cell r="D70">
            <v>-1</v>
          </cell>
          <cell r="E70">
            <v>7</v>
          </cell>
          <cell r="G70">
            <v>1.89</v>
          </cell>
          <cell r="H70">
            <v>-13.229999999999999</v>
          </cell>
        </row>
        <row r="71">
          <cell r="A71">
            <v>2.2999999999999998</v>
          </cell>
          <cell r="B71">
            <v>2</v>
          </cell>
          <cell r="C71">
            <v>-5</v>
          </cell>
          <cell r="D71">
            <v>1</v>
          </cell>
          <cell r="E71">
            <v>3.25</v>
          </cell>
          <cell r="F71">
            <v>2.65</v>
          </cell>
          <cell r="H71">
            <v>8.6124999999999989</v>
          </cell>
        </row>
        <row r="72">
          <cell r="A72">
            <v>2.2999999999999998</v>
          </cell>
          <cell r="B72" t="str">
            <v xml:space="preserve"> 3 - 5</v>
          </cell>
          <cell r="C72">
            <v>-5</v>
          </cell>
          <cell r="D72">
            <v>1</v>
          </cell>
          <cell r="E72">
            <v>7.33</v>
          </cell>
          <cell r="F72">
            <v>2.8</v>
          </cell>
          <cell r="H72">
            <v>20.523999999999997</v>
          </cell>
        </row>
        <row r="73">
          <cell r="A73">
            <v>2.2999999999999998</v>
          </cell>
          <cell r="B73">
            <v>7</v>
          </cell>
          <cell r="C73">
            <v>-5</v>
          </cell>
          <cell r="D73">
            <v>1</v>
          </cell>
          <cell r="E73">
            <v>4.9800000000000004</v>
          </cell>
          <cell r="F73">
            <v>2.15</v>
          </cell>
          <cell r="H73">
            <v>10.707000000000001</v>
          </cell>
        </row>
        <row r="74">
          <cell r="A74">
            <v>2.2999999999999998</v>
          </cell>
          <cell r="B74" t="str">
            <v>7c</v>
          </cell>
          <cell r="C74">
            <v>-5</v>
          </cell>
          <cell r="D74">
            <v>1</v>
          </cell>
          <cell r="E74">
            <v>2.835</v>
          </cell>
          <cell r="F74">
            <v>2.35</v>
          </cell>
          <cell r="H74">
            <v>6.6622500000000002</v>
          </cell>
        </row>
        <row r="75">
          <cell r="A75">
            <v>2.2999999999999998</v>
          </cell>
          <cell r="B75" t="str">
            <v xml:space="preserve">7a </v>
          </cell>
          <cell r="C75">
            <v>-5</v>
          </cell>
          <cell r="D75">
            <v>1</v>
          </cell>
          <cell r="E75">
            <v>2.65</v>
          </cell>
          <cell r="F75">
            <v>2.39</v>
          </cell>
          <cell r="H75">
            <v>6.3334999999999999</v>
          </cell>
        </row>
        <row r="76">
          <cell r="A76">
            <v>2.2999999999999998</v>
          </cell>
          <cell r="B76">
            <v>1</v>
          </cell>
          <cell r="C76">
            <v>-5</v>
          </cell>
          <cell r="D76">
            <v>1</v>
          </cell>
          <cell r="E76">
            <v>2.2999999999999998</v>
          </cell>
          <cell r="F76">
            <v>1.95</v>
          </cell>
          <cell r="H76">
            <v>4.4849999999999994</v>
          </cell>
        </row>
        <row r="77">
          <cell r="A77">
            <v>2.2999999999999998</v>
          </cell>
          <cell r="B77" t="str">
            <v xml:space="preserve"> 6-7a-8</v>
          </cell>
          <cell r="C77">
            <v>-5</v>
          </cell>
          <cell r="D77">
            <v>1</v>
          </cell>
          <cell r="E77">
            <v>2.9</v>
          </cell>
          <cell r="F77">
            <v>7.55</v>
          </cell>
          <cell r="H77">
            <v>21.895</v>
          </cell>
        </row>
        <row r="78">
          <cell r="A78">
            <v>2.2999999999999998</v>
          </cell>
          <cell r="B78">
            <v>10</v>
          </cell>
          <cell r="C78">
            <v>-5</v>
          </cell>
          <cell r="D78">
            <v>1</v>
          </cell>
          <cell r="E78">
            <v>2.36</v>
          </cell>
          <cell r="F78">
            <v>2.0099999999999998</v>
          </cell>
          <cell r="H78">
            <v>4.7435999999999989</v>
          </cell>
        </row>
        <row r="79">
          <cell r="A79">
            <v>2.2999999999999998</v>
          </cell>
          <cell r="B79">
            <v>11</v>
          </cell>
          <cell r="C79">
            <v>-5</v>
          </cell>
          <cell r="D79">
            <v>1</v>
          </cell>
          <cell r="E79">
            <v>1.62</v>
          </cell>
          <cell r="F79">
            <v>6.16</v>
          </cell>
          <cell r="H79">
            <v>9.9792000000000005</v>
          </cell>
        </row>
        <row r="80">
          <cell r="A80">
            <v>2.31</v>
          </cell>
          <cell r="C80">
            <v>-5</v>
          </cell>
          <cell r="D80">
            <v>1</v>
          </cell>
          <cell r="E80">
            <v>5.25</v>
          </cell>
          <cell r="F80">
            <v>2.1800000000000002</v>
          </cell>
          <cell r="H80">
            <v>11.445</v>
          </cell>
        </row>
        <row r="81">
          <cell r="A81">
            <v>2.31</v>
          </cell>
          <cell r="C81">
            <v>-5</v>
          </cell>
          <cell r="D81">
            <v>1</v>
          </cell>
          <cell r="E81">
            <v>11.27</v>
          </cell>
          <cell r="F81">
            <v>8.3000000000000007</v>
          </cell>
          <cell r="H81">
            <v>93.541000000000011</v>
          </cell>
        </row>
        <row r="82">
          <cell r="A82">
            <v>2.31</v>
          </cell>
          <cell r="C82">
            <v>-5</v>
          </cell>
          <cell r="D82">
            <v>1</v>
          </cell>
          <cell r="E82">
            <v>19.32</v>
          </cell>
          <cell r="F82">
            <v>11.27</v>
          </cell>
          <cell r="H82">
            <v>217.7364</v>
          </cell>
        </row>
        <row r="83">
          <cell r="A83">
            <v>2.31</v>
          </cell>
          <cell r="C83">
            <v>-5</v>
          </cell>
          <cell r="D83">
            <v>-2</v>
          </cell>
          <cell r="E83">
            <v>10.119999999999999</v>
          </cell>
          <cell r="F83">
            <v>0.44</v>
          </cell>
          <cell r="H83">
            <v>-8.9055999999999997</v>
          </cell>
        </row>
        <row r="84">
          <cell r="A84">
            <v>2.31</v>
          </cell>
          <cell r="C84">
            <v>-5</v>
          </cell>
          <cell r="D84">
            <v>-1</v>
          </cell>
          <cell r="E84">
            <v>0.45</v>
          </cell>
          <cell r="F84">
            <v>1.8</v>
          </cell>
          <cell r="H84">
            <v>-0.81</v>
          </cell>
        </row>
        <row r="85">
          <cell r="A85" t="str">
            <v>2.28a</v>
          </cell>
          <cell r="C85">
            <v>-5</v>
          </cell>
          <cell r="D85">
            <v>6</v>
          </cell>
          <cell r="E85">
            <v>0.45</v>
          </cell>
          <cell r="F85">
            <v>0.45</v>
          </cell>
          <cell r="G85">
            <v>3.0950000000000002</v>
          </cell>
          <cell r="H85">
            <v>3.7604250000000006</v>
          </cell>
        </row>
        <row r="86">
          <cell r="A86" t="str">
            <v>2.28b</v>
          </cell>
          <cell r="C86">
            <v>-5</v>
          </cell>
          <cell r="D86">
            <v>6</v>
          </cell>
          <cell r="E86">
            <v>0.85</v>
          </cell>
          <cell r="F86">
            <v>0.5</v>
          </cell>
          <cell r="G86">
            <v>3.0950000000000002</v>
          </cell>
          <cell r="H86">
            <v>7.8922499999999998</v>
          </cell>
        </row>
        <row r="87">
          <cell r="A87" t="str">
            <v>2.28c</v>
          </cell>
          <cell r="C87">
            <v>-5</v>
          </cell>
          <cell r="D87">
            <v>3</v>
          </cell>
          <cell r="E87">
            <v>1.1000000000000001</v>
          </cell>
          <cell r="F87">
            <v>1.1000000000000001</v>
          </cell>
          <cell r="G87">
            <v>3.0950000000000002</v>
          </cell>
          <cell r="H87">
            <v>11.234850000000003</v>
          </cell>
        </row>
        <row r="88">
          <cell r="A88">
            <v>2.15</v>
          </cell>
          <cell r="C88">
            <v>-5</v>
          </cell>
          <cell r="D88">
            <v>1</v>
          </cell>
          <cell r="E88">
            <v>26.9</v>
          </cell>
          <cell r="F88">
            <v>22.8</v>
          </cell>
          <cell r="G88">
            <v>1.75</v>
          </cell>
          <cell r="H88">
            <v>1073.31</v>
          </cell>
        </row>
        <row r="89">
          <cell r="A89">
            <v>2.15</v>
          </cell>
          <cell r="C89">
            <v>-5</v>
          </cell>
          <cell r="D89">
            <v>1</v>
          </cell>
          <cell r="E89">
            <v>19.399999999999999</v>
          </cell>
          <cell r="F89">
            <v>2.1</v>
          </cell>
          <cell r="G89">
            <v>1.75</v>
          </cell>
          <cell r="H89">
            <v>71.295000000000002</v>
          </cell>
        </row>
        <row r="90">
          <cell r="A90">
            <v>2.15</v>
          </cell>
          <cell r="C90">
            <v>-5</v>
          </cell>
          <cell r="D90">
            <v>1</v>
          </cell>
          <cell r="E90">
            <v>1</v>
          </cell>
          <cell r="F90">
            <v>4.5</v>
          </cell>
          <cell r="G90">
            <v>1.75</v>
          </cell>
          <cell r="H90">
            <v>7.875</v>
          </cell>
        </row>
        <row r="91">
          <cell r="A91">
            <v>2.15</v>
          </cell>
          <cell r="C91">
            <v>-5</v>
          </cell>
          <cell r="D91">
            <v>-1</v>
          </cell>
          <cell r="E91">
            <v>4.5</v>
          </cell>
          <cell r="F91">
            <v>1.139</v>
          </cell>
          <cell r="G91">
            <v>0.75</v>
          </cell>
          <cell r="H91">
            <v>-3.844125</v>
          </cell>
        </row>
        <row r="92">
          <cell r="A92">
            <v>2.15</v>
          </cell>
          <cell r="C92">
            <v>-5</v>
          </cell>
          <cell r="D92">
            <v>-1</v>
          </cell>
          <cell r="E92">
            <v>3.1</v>
          </cell>
          <cell r="F92">
            <v>2.37</v>
          </cell>
          <cell r="G92">
            <v>0.75</v>
          </cell>
          <cell r="H92">
            <v>-5.5102500000000001</v>
          </cell>
        </row>
        <row r="93">
          <cell r="A93">
            <v>2.31</v>
          </cell>
          <cell r="C93">
            <v>-4</v>
          </cell>
          <cell r="D93">
            <v>1</v>
          </cell>
          <cell r="E93">
            <v>5.25</v>
          </cell>
          <cell r="F93">
            <v>2.1800000000000002</v>
          </cell>
          <cell r="H93">
            <v>11.445</v>
          </cell>
        </row>
        <row r="94">
          <cell r="A94">
            <v>2.31</v>
          </cell>
          <cell r="C94">
            <v>-4</v>
          </cell>
          <cell r="D94">
            <v>1</v>
          </cell>
          <cell r="E94">
            <v>11.27</v>
          </cell>
          <cell r="F94">
            <v>8.3000000000000007</v>
          </cell>
          <cell r="H94">
            <v>93.541000000000011</v>
          </cell>
        </row>
        <row r="95">
          <cell r="A95">
            <v>2.31</v>
          </cell>
          <cell r="C95">
            <v>-4</v>
          </cell>
          <cell r="D95">
            <v>1</v>
          </cell>
          <cell r="E95">
            <v>19.32</v>
          </cell>
          <cell r="F95">
            <v>11.27</v>
          </cell>
          <cell r="H95">
            <v>217.7364</v>
          </cell>
        </row>
        <row r="96">
          <cell r="A96">
            <v>2.31</v>
          </cell>
          <cell r="C96">
            <v>-4</v>
          </cell>
          <cell r="D96">
            <v>-2</v>
          </cell>
          <cell r="E96">
            <v>10.119999999999999</v>
          </cell>
          <cell r="F96">
            <v>0.44</v>
          </cell>
          <cell r="H96">
            <v>-8.9055999999999997</v>
          </cell>
        </row>
        <row r="97">
          <cell r="A97">
            <v>2.31</v>
          </cell>
          <cell r="C97">
            <v>-4</v>
          </cell>
          <cell r="D97">
            <v>-1</v>
          </cell>
          <cell r="E97">
            <v>0.45</v>
          </cell>
          <cell r="F97">
            <v>1.8</v>
          </cell>
          <cell r="H97">
            <v>-0.81</v>
          </cell>
        </row>
        <row r="98">
          <cell r="A98">
            <v>2.2999999999999998</v>
          </cell>
          <cell r="B98">
            <v>2</v>
          </cell>
          <cell r="C98">
            <v>-4</v>
          </cell>
          <cell r="D98">
            <v>1</v>
          </cell>
          <cell r="E98">
            <v>3.25</v>
          </cell>
          <cell r="F98">
            <v>2.65</v>
          </cell>
          <cell r="H98">
            <v>8.6124999999999989</v>
          </cell>
        </row>
        <row r="99">
          <cell r="A99">
            <v>2.2999999999999998</v>
          </cell>
          <cell r="B99" t="str">
            <v xml:space="preserve"> 3 - 5</v>
          </cell>
          <cell r="C99">
            <v>-4</v>
          </cell>
          <cell r="D99">
            <v>1</v>
          </cell>
          <cell r="E99">
            <v>7.33</v>
          </cell>
          <cell r="F99">
            <v>2.8</v>
          </cell>
          <cell r="H99">
            <v>20.523999999999997</v>
          </cell>
        </row>
        <row r="100">
          <cell r="A100">
            <v>2.2999999999999998</v>
          </cell>
          <cell r="B100">
            <v>7</v>
          </cell>
          <cell r="C100">
            <v>-4</v>
          </cell>
          <cell r="D100">
            <v>1</v>
          </cell>
          <cell r="E100">
            <v>4.9800000000000004</v>
          </cell>
          <cell r="F100">
            <v>2.15</v>
          </cell>
          <cell r="H100">
            <v>10.707000000000001</v>
          </cell>
        </row>
        <row r="101">
          <cell r="A101">
            <v>2.2999999999999998</v>
          </cell>
          <cell r="B101" t="str">
            <v>7c</v>
          </cell>
          <cell r="C101">
            <v>-4</v>
          </cell>
          <cell r="D101">
            <v>1</v>
          </cell>
          <cell r="E101">
            <v>2.835</v>
          </cell>
          <cell r="F101">
            <v>2.35</v>
          </cell>
          <cell r="H101">
            <v>6.6622500000000002</v>
          </cell>
        </row>
        <row r="102">
          <cell r="A102">
            <v>2.2999999999999998</v>
          </cell>
          <cell r="B102" t="str">
            <v xml:space="preserve">7a </v>
          </cell>
          <cell r="C102">
            <v>-4</v>
          </cell>
          <cell r="D102">
            <v>1</v>
          </cell>
          <cell r="E102">
            <v>2.65</v>
          </cell>
          <cell r="F102">
            <v>2.39</v>
          </cell>
          <cell r="H102">
            <v>6.3334999999999999</v>
          </cell>
        </row>
        <row r="103">
          <cell r="A103">
            <v>2.2999999999999998</v>
          </cell>
          <cell r="B103">
            <v>1</v>
          </cell>
          <cell r="C103">
            <v>-4</v>
          </cell>
          <cell r="D103">
            <v>1</v>
          </cell>
          <cell r="E103">
            <v>2.2999999999999998</v>
          </cell>
          <cell r="F103">
            <v>1.95</v>
          </cell>
          <cell r="H103">
            <v>4.4849999999999994</v>
          </cell>
        </row>
        <row r="104">
          <cell r="A104">
            <v>2.2999999999999998</v>
          </cell>
          <cell r="B104" t="str">
            <v xml:space="preserve"> 6-7a-8</v>
          </cell>
          <cell r="C104">
            <v>-4</v>
          </cell>
          <cell r="D104">
            <v>1</v>
          </cell>
          <cell r="E104">
            <v>2.9</v>
          </cell>
          <cell r="F104">
            <v>7.55</v>
          </cell>
          <cell r="H104">
            <v>21.895</v>
          </cell>
        </row>
        <row r="105">
          <cell r="A105">
            <v>2.2999999999999998</v>
          </cell>
          <cell r="B105">
            <v>10</v>
          </cell>
          <cell r="C105">
            <v>-4</v>
          </cell>
          <cell r="D105">
            <v>1</v>
          </cell>
          <cell r="E105">
            <v>2.36</v>
          </cell>
          <cell r="F105">
            <v>2.0099999999999998</v>
          </cell>
          <cell r="H105">
            <v>4.7435999999999989</v>
          </cell>
        </row>
        <row r="106">
          <cell r="A106">
            <v>2.2999999999999998</v>
          </cell>
          <cell r="B106">
            <v>11</v>
          </cell>
          <cell r="C106">
            <v>-4</v>
          </cell>
          <cell r="D106">
            <v>1</v>
          </cell>
          <cell r="E106">
            <v>1.62</v>
          </cell>
          <cell r="F106">
            <v>6.16</v>
          </cell>
          <cell r="H106">
            <v>9.9792000000000005</v>
          </cell>
        </row>
        <row r="107">
          <cell r="A107">
            <v>2.4300000000000002</v>
          </cell>
          <cell r="C107">
            <v>-4</v>
          </cell>
          <cell r="D107">
            <v>1</v>
          </cell>
          <cell r="E107">
            <v>313.07</v>
          </cell>
          <cell r="F107">
            <v>1</v>
          </cell>
          <cell r="H107">
            <v>313.07</v>
          </cell>
        </row>
        <row r="108">
          <cell r="A108">
            <v>2.4300000000000002</v>
          </cell>
          <cell r="C108">
            <v>-4</v>
          </cell>
          <cell r="D108">
            <v>-3</v>
          </cell>
          <cell r="E108">
            <v>1.1000000000000001</v>
          </cell>
          <cell r="F108">
            <v>1.1000000000000001</v>
          </cell>
          <cell r="H108">
            <v>-3.6300000000000008</v>
          </cell>
        </row>
        <row r="109">
          <cell r="A109">
            <v>2.4300000000000002</v>
          </cell>
          <cell r="C109">
            <v>-4</v>
          </cell>
          <cell r="D109">
            <v>-6</v>
          </cell>
          <cell r="E109">
            <v>0.85</v>
          </cell>
          <cell r="F109">
            <v>0.5</v>
          </cell>
          <cell r="H109">
            <v>-2.5499999999999998</v>
          </cell>
        </row>
        <row r="110">
          <cell r="A110">
            <v>2.4300000000000002</v>
          </cell>
          <cell r="C110">
            <v>-4</v>
          </cell>
          <cell r="D110">
            <v>-6</v>
          </cell>
          <cell r="E110">
            <v>0.45</v>
          </cell>
          <cell r="F110">
            <v>0.45</v>
          </cell>
          <cell r="H110">
            <v>-1.2150000000000001</v>
          </cell>
        </row>
        <row r="111">
          <cell r="A111">
            <v>2.4300000000000002</v>
          </cell>
          <cell r="C111">
            <v>-4</v>
          </cell>
          <cell r="D111">
            <v>-6</v>
          </cell>
          <cell r="E111">
            <v>3.9750000000000001</v>
          </cell>
          <cell r="F111">
            <v>0.25</v>
          </cell>
          <cell r="H111">
            <v>-5.9625000000000004</v>
          </cell>
        </row>
        <row r="112">
          <cell r="A112" t="str">
            <v>2.28a</v>
          </cell>
          <cell r="C112">
            <v>-4</v>
          </cell>
          <cell r="D112">
            <v>6</v>
          </cell>
          <cell r="E112">
            <v>0.45</v>
          </cell>
          <cell r="F112">
            <v>0.45</v>
          </cell>
          <cell r="G112">
            <v>2.65</v>
          </cell>
          <cell r="H112">
            <v>3.2197499999999999</v>
          </cell>
        </row>
        <row r="113">
          <cell r="A113" t="str">
            <v>2.28b</v>
          </cell>
          <cell r="C113">
            <v>-4</v>
          </cell>
          <cell r="D113">
            <v>6</v>
          </cell>
          <cell r="E113">
            <v>0.85</v>
          </cell>
          <cell r="F113">
            <v>0.5</v>
          </cell>
          <cell r="G113">
            <v>2.65</v>
          </cell>
          <cell r="H113">
            <v>6.7574999999999994</v>
          </cell>
        </row>
        <row r="114">
          <cell r="A114" t="str">
            <v>2.28c</v>
          </cell>
          <cell r="C114">
            <v>-4</v>
          </cell>
          <cell r="D114">
            <v>3</v>
          </cell>
          <cell r="E114">
            <v>1.1000000000000001</v>
          </cell>
          <cell r="F114">
            <v>1.1000000000000001</v>
          </cell>
          <cell r="G114">
            <v>2.65</v>
          </cell>
          <cell r="H114">
            <v>9.6195000000000022</v>
          </cell>
        </row>
        <row r="116">
          <cell r="H116">
            <v>0</v>
          </cell>
        </row>
        <row r="117">
          <cell r="H117">
            <v>0</v>
          </cell>
        </row>
        <row r="118">
          <cell r="H118">
            <v>0</v>
          </cell>
        </row>
        <row r="119">
          <cell r="H119">
            <v>0</v>
          </cell>
        </row>
        <row r="120">
          <cell r="H120">
            <v>0</v>
          </cell>
        </row>
        <row r="121">
          <cell r="H121">
            <v>0</v>
          </cell>
        </row>
        <row r="122">
          <cell r="H122">
            <v>0</v>
          </cell>
        </row>
        <row r="123">
          <cell r="H123">
            <v>0</v>
          </cell>
        </row>
        <row r="124">
          <cell r="H124">
            <v>0</v>
          </cell>
        </row>
        <row r="125">
          <cell r="H125">
            <v>0</v>
          </cell>
        </row>
        <row r="126">
          <cell r="H126">
            <v>0</v>
          </cell>
        </row>
        <row r="127">
          <cell r="H127">
            <v>0</v>
          </cell>
        </row>
        <row r="128">
          <cell r="H128">
            <v>0</v>
          </cell>
        </row>
        <row r="338">
          <cell r="H338">
            <v>0</v>
          </cell>
        </row>
        <row r="339">
          <cell r="H339">
            <v>0</v>
          </cell>
        </row>
        <row r="340">
          <cell r="H340">
            <v>0</v>
          </cell>
        </row>
        <row r="341">
          <cell r="H341">
            <v>0</v>
          </cell>
        </row>
        <row r="342">
          <cell r="H342">
            <v>0</v>
          </cell>
        </row>
        <row r="343">
          <cell r="H343">
            <v>0</v>
          </cell>
        </row>
        <row r="344">
          <cell r="H344">
            <v>0</v>
          </cell>
        </row>
        <row r="345">
          <cell r="H345">
            <v>0</v>
          </cell>
        </row>
        <row r="346">
          <cell r="H346">
            <v>0</v>
          </cell>
        </row>
        <row r="347">
          <cell r="H347">
            <v>0</v>
          </cell>
        </row>
        <row r="348">
          <cell r="H348">
            <v>0</v>
          </cell>
        </row>
        <row r="349">
          <cell r="H349">
            <v>0</v>
          </cell>
        </row>
        <row r="350">
          <cell r="H350">
            <v>0</v>
          </cell>
        </row>
        <row r="351">
          <cell r="H351">
            <v>0</v>
          </cell>
        </row>
        <row r="352">
          <cell r="H352">
            <v>0</v>
          </cell>
        </row>
        <row r="353">
          <cell r="H353">
            <v>0</v>
          </cell>
        </row>
        <row r="354">
          <cell r="H354">
            <v>0</v>
          </cell>
        </row>
        <row r="355">
          <cell r="H355">
            <v>0</v>
          </cell>
        </row>
        <row r="356">
          <cell r="H356">
            <v>0</v>
          </cell>
        </row>
        <row r="357">
          <cell r="H357">
            <v>0</v>
          </cell>
        </row>
        <row r="358">
          <cell r="H358">
            <v>0</v>
          </cell>
        </row>
        <row r="359">
          <cell r="H359">
            <v>0</v>
          </cell>
        </row>
        <row r="360">
          <cell r="H360">
            <v>0</v>
          </cell>
        </row>
        <row r="361">
          <cell r="H361">
            <v>0</v>
          </cell>
        </row>
        <row r="362">
          <cell r="H362">
            <v>0</v>
          </cell>
        </row>
        <row r="363">
          <cell r="H363">
            <v>0</v>
          </cell>
        </row>
        <row r="364">
          <cell r="H364">
            <v>0</v>
          </cell>
        </row>
        <row r="365">
          <cell r="H365">
            <v>0</v>
          </cell>
        </row>
        <row r="366">
          <cell r="H366">
            <v>0</v>
          </cell>
        </row>
        <row r="367">
          <cell r="H367">
            <v>0</v>
          </cell>
        </row>
        <row r="368">
          <cell r="H368">
            <v>0</v>
          </cell>
        </row>
        <row r="369">
          <cell r="H369">
            <v>0</v>
          </cell>
        </row>
        <row r="370">
          <cell r="H370">
            <v>0</v>
          </cell>
        </row>
        <row r="371">
          <cell r="H371">
            <v>0</v>
          </cell>
        </row>
        <row r="372">
          <cell r="H372">
            <v>0</v>
          </cell>
        </row>
        <row r="373">
          <cell r="H373">
            <v>0</v>
          </cell>
        </row>
        <row r="374">
          <cell r="H374">
            <v>0</v>
          </cell>
        </row>
        <row r="375">
          <cell r="H375">
            <v>0</v>
          </cell>
        </row>
        <row r="376">
          <cell r="H376">
            <v>0</v>
          </cell>
        </row>
        <row r="377">
          <cell r="H377">
            <v>0</v>
          </cell>
        </row>
        <row r="378">
          <cell r="H378">
            <v>0</v>
          </cell>
        </row>
        <row r="379">
          <cell r="H379">
            <v>0</v>
          </cell>
        </row>
        <row r="380">
          <cell r="H380">
            <v>0</v>
          </cell>
        </row>
        <row r="381">
          <cell r="H381">
            <v>0</v>
          </cell>
        </row>
        <row r="382">
          <cell r="H382">
            <v>0</v>
          </cell>
        </row>
        <row r="383">
          <cell r="H383">
            <v>0</v>
          </cell>
        </row>
        <row r="384">
          <cell r="H384">
            <v>0</v>
          </cell>
        </row>
        <row r="385">
          <cell r="H385">
            <v>0</v>
          </cell>
        </row>
        <row r="386">
          <cell r="H386">
            <v>0</v>
          </cell>
        </row>
        <row r="387">
          <cell r="H387">
            <v>0</v>
          </cell>
        </row>
        <row r="388">
          <cell r="H388">
            <v>0</v>
          </cell>
        </row>
        <row r="389">
          <cell r="H389">
            <v>0</v>
          </cell>
        </row>
        <row r="390">
          <cell r="H390">
            <v>0</v>
          </cell>
        </row>
        <row r="391">
          <cell r="H391">
            <v>0</v>
          </cell>
        </row>
        <row r="392">
          <cell r="H392">
            <v>0</v>
          </cell>
        </row>
        <row r="393">
          <cell r="H393">
            <v>0</v>
          </cell>
        </row>
        <row r="394">
          <cell r="H394">
            <v>0</v>
          </cell>
        </row>
        <row r="395">
          <cell r="H395">
            <v>0</v>
          </cell>
        </row>
        <row r="396">
          <cell r="H396">
            <v>0</v>
          </cell>
        </row>
        <row r="397">
          <cell r="H397">
            <v>0</v>
          </cell>
        </row>
        <row r="398">
          <cell r="H398">
            <v>0</v>
          </cell>
        </row>
        <row r="399">
          <cell r="H399">
            <v>0</v>
          </cell>
        </row>
        <row r="400">
          <cell r="H400">
            <v>0</v>
          </cell>
        </row>
        <row r="401">
          <cell r="H401">
            <v>0</v>
          </cell>
        </row>
        <row r="402">
          <cell r="H402">
            <v>0</v>
          </cell>
        </row>
        <row r="403">
          <cell r="H403">
            <v>0</v>
          </cell>
        </row>
        <row r="404">
          <cell r="H404">
            <v>0</v>
          </cell>
        </row>
        <row r="405">
          <cell r="H405">
            <v>0</v>
          </cell>
        </row>
        <row r="406">
          <cell r="H406">
            <v>0</v>
          </cell>
        </row>
        <row r="407">
          <cell r="H407">
            <v>0</v>
          </cell>
        </row>
        <row r="408">
          <cell r="H408">
            <v>0</v>
          </cell>
        </row>
        <row r="409">
          <cell r="H409">
            <v>0</v>
          </cell>
        </row>
        <row r="410">
          <cell r="H410">
            <v>0</v>
          </cell>
        </row>
        <row r="411">
          <cell r="H411">
            <v>0</v>
          </cell>
        </row>
        <row r="412">
          <cell r="H412">
            <v>0</v>
          </cell>
        </row>
        <row r="413">
          <cell r="H413">
            <v>0</v>
          </cell>
        </row>
        <row r="414">
          <cell r="H414">
            <v>0</v>
          </cell>
        </row>
        <row r="415">
          <cell r="H415">
            <v>0</v>
          </cell>
        </row>
        <row r="416">
          <cell r="H416">
            <v>0</v>
          </cell>
        </row>
        <row r="417">
          <cell r="H417">
            <v>0</v>
          </cell>
        </row>
        <row r="418">
          <cell r="H418">
            <v>0</v>
          </cell>
        </row>
        <row r="419">
          <cell r="H419">
            <v>0</v>
          </cell>
        </row>
        <row r="420">
          <cell r="H420">
            <v>0</v>
          </cell>
        </row>
        <row r="421">
          <cell r="H421">
            <v>0</v>
          </cell>
        </row>
        <row r="422">
          <cell r="H422">
            <v>0</v>
          </cell>
        </row>
        <row r="423">
          <cell r="H423">
            <v>0</v>
          </cell>
        </row>
        <row r="424">
          <cell r="H424">
            <v>0</v>
          </cell>
        </row>
        <row r="425">
          <cell r="H425">
            <v>0</v>
          </cell>
        </row>
        <row r="426">
          <cell r="H426">
            <v>0</v>
          </cell>
        </row>
        <row r="427">
          <cell r="H427">
            <v>0</v>
          </cell>
        </row>
        <row r="428">
          <cell r="H428">
            <v>0</v>
          </cell>
        </row>
        <row r="429">
          <cell r="H429">
            <v>0</v>
          </cell>
        </row>
        <row r="430">
          <cell r="H430">
            <v>0</v>
          </cell>
        </row>
        <row r="431">
          <cell r="H431">
            <v>0</v>
          </cell>
        </row>
        <row r="432">
          <cell r="H432">
            <v>0</v>
          </cell>
        </row>
        <row r="433">
          <cell r="H433">
            <v>0</v>
          </cell>
        </row>
        <row r="434">
          <cell r="H434">
            <v>0</v>
          </cell>
        </row>
        <row r="435">
          <cell r="H435">
            <v>0</v>
          </cell>
        </row>
        <row r="436">
          <cell r="H436">
            <v>0</v>
          </cell>
        </row>
        <row r="437">
          <cell r="H437">
            <v>0</v>
          </cell>
        </row>
        <row r="438">
          <cell r="H438">
            <v>0</v>
          </cell>
        </row>
        <row r="439">
          <cell r="H439">
            <v>0</v>
          </cell>
        </row>
        <row r="440">
          <cell r="H440">
            <v>0</v>
          </cell>
        </row>
        <row r="441">
          <cell r="H441">
            <v>0</v>
          </cell>
        </row>
        <row r="442">
          <cell r="H442">
            <v>0</v>
          </cell>
        </row>
        <row r="443">
          <cell r="H443">
            <v>0</v>
          </cell>
        </row>
        <row r="444">
          <cell r="H444">
            <v>0</v>
          </cell>
        </row>
        <row r="445">
          <cell r="H445">
            <v>0</v>
          </cell>
        </row>
        <row r="446">
          <cell r="H446">
            <v>0</v>
          </cell>
        </row>
        <row r="447">
          <cell r="H447">
            <v>0</v>
          </cell>
        </row>
        <row r="448">
          <cell r="H448">
            <v>0</v>
          </cell>
        </row>
        <row r="449">
          <cell r="H449">
            <v>0</v>
          </cell>
        </row>
        <row r="450">
          <cell r="H450">
            <v>0</v>
          </cell>
        </row>
        <row r="451">
          <cell r="H451">
            <v>0</v>
          </cell>
        </row>
        <row r="452">
          <cell r="H452">
            <v>0</v>
          </cell>
        </row>
        <row r="453">
          <cell r="H453">
            <v>0</v>
          </cell>
        </row>
        <row r="454">
          <cell r="H454">
            <v>0</v>
          </cell>
        </row>
        <row r="455">
          <cell r="H455">
            <v>0</v>
          </cell>
        </row>
        <row r="456">
          <cell r="H456">
            <v>0</v>
          </cell>
        </row>
        <row r="457">
          <cell r="H457">
            <v>0</v>
          </cell>
        </row>
        <row r="458">
          <cell r="H458">
            <v>0</v>
          </cell>
        </row>
        <row r="459">
          <cell r="H459">
            <v>0</v>
          </cell>
        </row>
        <row r="460">
          <cell r="H460">
            <v>0</v>
          </cell>
        </row>
        <row r="461">
          <cell r="H461">
            <v>0</v>
          </cell>
        </row>
        <row r="462">
          <cell r="H462">
            <v>0</v>
          </cell>
        </row>
        <row r="463">
          <cell r="H463">
            <v>0</v>
          </cell>
        </row>
        <row r="464">
          <cell r="H464">
            <v>0</v>
          </cell>
        </row>
        <row r="465">
          <cell r="H465">
            <v>0</v>
          </cell>
        </row>
        <row r="466">
          <cell r="H466">
            <v>0</v>
          </cell>
        </row>
        <row r="467">
          <cell r="H467">
            <v>0</v>
          </cell>
        </row>
        <row r="468">
          <cell r="H468">
            <v>0</v>
          </cell>
        </row>
        <row r="469">
          <cell r="H469">
            <v>0</v>
          </cell>
        </row>
        <row r="470">
          <cell r="H470">
            <v>0</v>
          </cell>
        </row>
        <row r="471">
          <cell r="H471">
            <v>0</v>
          </cell>
        </row>
        <row r="472">
          <cell r="H472">
            <v>0</v>
          </cell>
        </row>
        <row r="473">
          <cell r="H473">
            <v>0</v>
          </cell>
        </row>
        <row r="474">
          <cell r="H474">
            <v>0</v>
          </cell>
        </row>
        <row r="475">
          <cell r="H475">
            <v>0</v>
          </cell>
        </row>
        <row r="476">
          <cell r="H476">
            <v>0</v>
          </cell>
        </row>
        <row r="477">
          <cell r="H477">
            <v>0</v>
          </cell>
        </row>
        <row r="478">
          <cell r="H478">
            <v>0</v>
          </cell>
        </row>
        <row r="479">
          <cell r="H479">
            <v>0</v>
          </cell>
        </row>
        <row r="480">
          <cell r="H480">
            <v>0</v>
          </cell>
        </row>
        <row r="481">
          <cell r="H481">
            <v>0</v>
          </cell>
        </row>
        <row r="482">
          <cell r="H482">
            <v>0</v>
          </cell>
        </row>
        <row r="483">
          <cell r="H483">
            <v>0</v>
          </cell>
        </row>
        <row r="484">
          <cell r="H484">
            <v>0</v>
          </cell>
        </row>
        <row r="485">
          <cell r="H485">
            <v>0</v>
          </cell>
        </row>
        <row r="486">
          <cell r="H486">
            <v>0</v>
          </cell>
        </row>
        <row r="487">
          <cell r="H487">
            <v>0</v>
          </cell>
        </row>
        <row r="488">
          <cell r="H488">
            <v>0</v>
          </cell>
        </row>
        <row r="489">
          <cell r="H489">
            <v>0</v>
          </cell>
        </row>
        <row r="490">
          <cell r="H490">
            <v>0</v>
          </cell>
        </row>
        <row r="491">
          <cell r="H491">
            <v>0</v>
          </cell>
        </row>
        <row r="492">
          <cell r="H492">
            <v>0</v>
          </cell>
        </row>
        <row r="493">
          <cell r="H493">
            <v>0</v>
          </cell>
        </row>
        <row r="494">
          <cell r="H494">
            <v>0</v>
          </cell>
        </row>
        <row r="495">
          <cell r="H495">
            <v>0</v>
          </cell>
        </row>
        <row r="496">
          <cell r="H496">
            <v>0</v>
          </cell>
        </row>
        <row r="497">
          <cell r="H497">
            <v>0</v>
          </cell>
        </row>
        <row r="498">
          <cell r="H498">
            <v>0</v>
          </cell>
        </row>
        <row r="499">
          <cell r="H499">
            <v>0</v>
          </cell>
        </row>
        <row r="500">
          <cell r="H500">
            <v>0</v>
          </cell>
        </row>
        <row r="501">
          <cell r="H501">
            <v>0</v>
          </cell>
        </row>
        <row r="502">
          <cell r="H502">
            <v>0</v>
          </cell>
        </row>
        <row r="503">
          <cell r="H503">
            <v>0</v>
          </cell>
        </row>
        <row r="504">
          <cell r="H504">
            <v>0</v>
          </cell>
        </row>
        <row r="505">
          <cell r="H505">
            <v>0</v>
          </cell>
        </row>
        <row r="506">
          <cell r="H506">
            <v>0</v>
          </cell>
        </row>
        <row r="507">
          <cell r="H507">
            <v>0</v>
          </cell>
        </row>
        <row r="508">
          <cell r="H508">
            <v>0</v>
          </cell>
        </row>
        <row r="509">
          <cell r="H509">
            <v>0</v>
          </cell>
        </row>
        <row r="510">
          <cell r="H510">
            <v>0</v>
          </cell>
        </row>
        <row r="511">
          <cell r="H511">
            <v>0</v>
          </cell>
        </row>
        <row r="512">
          <cell r="H512">
            <v>0</v>
          </cell>
        </row>
        <row r="513">
          <cell r="H513">
            <v>0</v>
          </cell>
        </row>
        <row r="514">
          <cell r="H514">
            <v>0</v>
          </cell>
        </row>
        <row r="515">
          <cell r="H515">
            <v>0</v>
          </cell>
        </row>
        <row r="516">
          <cell r="H516">
            <v>0</v>
          </cell>
        </row>
        <row r="517">
          <cell r="H517">
            <v>0</v>
          </cell>
        </row>
        <row r="518">
          <cell r="H518">
            <v>0</v>
          </cell>
        </row>
        <row r="519">
          <cell r="H519">
            <v>0</v>
          </cell>
        </row>
        <row r="520">
          <cell r="H520">
            <v>0</v>
          </cell>
        </row>
        <row r="521">
          <cell r="H521">
            <v>0</v>
          </cell>
        </row>
        <row r="522">
          <cell r="H522">
            <v>0</v>
          </cell>
        </row>
        <row r="523">
          <cell r="H523">
            <v>0</v>
          </cell>
        </row>
        <row r="524">
          <cell r="H524">
            <v>0</v>
          </cell>
        </row>
        <row r="525">
          <cell r="H525">
            <v>0</v>
          </cell>
        </row>
        <row r="526">
          <cell r="H526">
            <v>0</v>
          </cell>
        </row>
        <row r="527">
          <cell r="H527">
            <v>0</v>
          </cell>
        </row>
        <row r="528">
          <cell r="H528">
            <v>0</v>
          </cell>
        </row>
        <row r="529">
          <cell r="H529">
            <v>0</v>
          </cell>
        </row>
        <row r="530">
          <cell r="H530">
            <v>0</v>
          </cell>
        </row>
        <row r="531">
          <cell r="H531">
            <v>0</v>
          </cell>
        </row>
        <row r="532">
          <cell r="H532">
            <v>0</v>
          </cell>
        </row>
        <row r="533">
          <cell r="H533">
            <v>0</v>
          </cell>
        </row>
        <row r="534">
          <cell r="H534">
            <v>0</v>
          </cell>
        </row>
        <row r="535">
          <cell r="H535">
            <v>0</v>
          </cell>
        </row>
        <row r="536">
          <cell r="H536">
            <v>0</v>
          </cell>
        </row>
        <row r="537">
          <cell r="H537">
            <v>0</v>
          </cell>
        </row>
        <row r="538">
          <cell r="H538">
            <v>0</v>
          </cell>
        </row>
        <row r="539">
          <cell r="H539">
            <v>0</v>
          </cell>
        </row>
        <row r="540">
          <cell r="H540">
            <v>0</v>
          </cell>
        </row>
        <row r="541">
          <cell r="H541">
            <v>0</v>
          </cell>
        </row>
        <row r="542">
          <cell r="H542">
            <v>0</v>
          </cell>
        </row>
        <row r="543">
          <cell r="H543">
            <v>0</v>
          </cell>
        </row>
        <row r="544">
          <cell r="H544">
            <v>0</v>
          </cell>
        </row>
        <row r="545">
          <cell r="H545">
            <v>0</v>
          </cell>
        </row>
        <row r="546">
          <cell r="H546">
            <v>0</v>
          </cell>
        </row>
        <row r="547">
          <cell r="H547">
            <v>0</v>
          </cell>
        </row>
        <row r="548">
          <cell r="H548">
            <v>0</v>
          </cell>
        </row>
        <row r="549">
          <cell r="H549">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Cover Sheet"/>
      <sheetName val="1. Bill Summary"/>
      <sheetName val="1. Bills of Quantities"/>
      <sheetName val="1. Takeoff_Cumulative"/>
      <sheetName val="0. Takeoff_Previous"/>
      <sheetName val="REF"/>
    </sheetNames>
    <sheetDataSet>
      <sheetData sheetId="0">
        <row r="11">
          <cell r="C11">
            <v>0</v>
          </cell>
        </row>
      </sheetData>
      <sheetData sheetId="1"/>
      <sheetData sheetId="2"/>
      <sheetData sheetId="3"/>
      <sheetData sheetId="4"/>
      <sheetData sheetId="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5"/>
      <sheetName val="Data"/>
      <sheetName val="BOQ"/>
      <sheetName val="Pivot"/>
      <sheetName val="Sheet2"/>
      <sheetName val="BOQ (2)"/>
      <sheetName val="Sheet3"/>
      <sheetName val="BOQ_(2)"/>
      <sheetName val="BOQ_(2)1"/>
      <sheetName val="BOQ_(2)2"/>
      <sheetName val="BOQ_(2)3"/>
      <sheetName val="BOQ_(2)4"/>
      <sheetName val="BOQ_(2)5"/>
      <sheetName val="BOQ_(2)6"/>
      <sheetName val="BOQ_(2)7"/>
      <sheetName val="BOQ_(2)8"/>
      <sheetName val="BOQ_(2)9"/>
      <sheetName val="BOQ_(2)10"/>
      <sheetName val="BOQ_(2)11"/>
    </sheetNames>
    <sheetDataSet>
      <sheetData sheetId="0"/>
      <sheetData sheetId="1" refreshError="1">
        <row r="1">
          <cell r="A1" t="str">
            <v>Item</v>
          </cell>
          <cell r="B1" t="str">
            <v>Location</v>
          </cell>
          <cell r="C1" t="str">
            <v>Level</v>
          </cell>
          <cell r="D1" t="str">
            <v>Multiplier</v>
          </cell>
          <cell r="E1" t="str">
            <v>Length</v>
          </cell>
          <cell r="F1" t="str">
            <v>Width</v>
          </cell>
          <cell r="G1" t="str">
            <v>Height</v>
          </cell>
          <cell r="H1" t="str">
            <v>Total</v>
          </cell>
        </row>
        <row r="2">
          <cell r="A2">
            <v>2.23</v>
          </cell>
          <cell r="B2" t="str">
            <v>wall XX,YY,ZZ</v>
          </cell>
          <cell r="C2">
            <v>-5</v>
          </cell>
          <cell r="D2">
            <v>3</v>
          </cell>
          <cell r="E2">
            <v>4.0999999999999996</v>
          </cell>
          <cell r="G2">
            <v>3.0950000000000002</v>
          </cell>
          <cell r="H2">
            <v>38.0685</v>
          </cell>
        </row>
        <row r="3">
          <cell r="A3">
            <v>2.23</v>
          </cell>
          <cell r="B3" t="str">
            <v>wall XX,YY,ZZ</v>
          </cell>
          <cell r="C3">
            <v>-5</v>
          </cell>
          <cell r="D3">
            <v>3</v>
          </cell>
          <cell r="E3">
            <v>3.9</v>
          </cell>
          <cell r="G3">
            <v>3.0950000000000002</v>
          </cell>
          <cell r="H3">
            <v>36.211500000000001</v>
          </cell>
        </row>
        <row r="4">
          <cell r="A4">
            <v>2.23</v>
          </cell>
          <cell r="B4" t="str">
            <v>Core 1-5</v>
          </cell>
          <cell r="C4">
            <v>-5</v>
          </cell>
          <cell r="D4">
            <v>1</v>
          </cell>
          <cell r="E4">
            <v>12.5</v>
          </cell>
          <cell r="G4">
            <v>3.0950000000000002</v>
          </cell>
          <cell r="H4">
            <v>38.6875</v>
          </cell>
        </row>
        <row r="5">
          <cell r="A5">
            <v>2.23</v>
          </cell>
          <cell r="B5" t="str">
            <v>Core  3-5</v>
          </cell>
          <cell r="C5">
            <v>-5</v>
          </cell>
          <cell r="D5">
            <v>1</v>
          </cell>
          <cell r="E5">
            <v>6.8</v>
          </cell>
          <cell r="G5">
            <v>3.0950000000000002</v>
          </cell>
          <cell r="H5">
            <v>21.045999999999999</v>
          </cell>
        </row>
        <row r="6">
          <cell r="A6">
            <v>2.23</v>
          </cell>
          <cell r="B6" t="str">
            <v>Core 7/ 10-12</v>
          </cell>
          <cell r="C6">
            <v>-5</v>
          </cell>
          <cell r="D6">
            <v>1</v>
          </cell>
          <cell r="E6">
            <v>5</v>
          </cell>
          <cell r="G6">
            <v>3.0950000000000002</v>
          </cell>
          <cell r="H6">
            <v>15.475000000000001</v>
          </cell>
        </row>
        <row r="7">
          <cell r="A7">
            <v>2.23</v>
          </cell>
          <cell r="B7" t="str">
            <v>Core 2/7a</v>
          </cell>
          <cell r="C7">
            <v>-5</v>
          </cell>
          <cell r="D7">
            <v>1</v>
          </cell>
          <cell r="E7">
            <v>2.4</v>
          </cell>
          <cell r="G7">
            <v>3.0950000000000002</v>
          </cell>
          <cell r="H7">
            <v>7.4279999999999999</v>
          </cell>
        </row>
        <row r="8">
          <cell r="A8">
            <v>2.23</v>
          </cell>
          <cell r="B8" t="str">
            <v>Core (1-6)-(7-8)</v>
          </cell>
          <cell r="C8">
            <v>-5</v>
          </cell>
          <cell r="D8">
            <v>2</v>
          </cell>
          <cell r="E8">
            <v>2.2999999999999998</v>
          </cell>
          <cell r="G8">
            <v>3.0950000000000002</v>
          </cell>
          <cell r="H8">
            <v>14.237</v>
          </cell>
        </row>
        <row r="9">
          <cell r="A9">
            <v>2.23</v>
          </cell>
          <cell r="B9" t="str">
            <v>Core(6-6a)-(6a-8)</v>
          </cell>
          <cell r="C9">
            <v>-5</v>
          </cell>
          <cell r="D9">
            <v>2</v>
          </cell>
          <cell r="E9">
            <v>2.2999999999999998</v>
          </cell>
          <cell r="G9">
            <v>3.0950000000000002</v>
          </cell>
          <cell r="H9">
            <v>14.237</v>
          </cell>
        </row>
        <row r="10">
          <cell r="A10">
            <v>2.23</v>
          </cell>
          <cell r="B10" t="str">
            <v>Core 8 -18</v>
          </cell>
          <cell r="C10">
            <v>-5</v>
          </cell>
          <cell r="D10">
            <v>1</v>
          </cell>
          <cell r="E10">
            <v>4.8</v>
          </cell>
          <cell r="G10">
            <v>3.0950000000000002</v>
          </cell>
          <cell r="H10">
            <v>14.856</v>
          </cell>
        </row>
        <row r="11">
          <cell r="A11">
            <v>2.23</v>
          </cell>
          <cell r="B11" t="str">
            <v>Core (10-12)-18</v>
          </cell>
          <cell r="C11">
            <v>-5</v>
          </cell>
          <cell r="D11">
            <v>1</v>
          </cell>
          <cell r="E11">
            <v>5</v>
          </cell>
          <cell r="G11">
            <v>3.0950000000000002</v>
          </cell>
          <cell r="H11">
            <v>15.475000000000001</v>
          </cell>
        </row>
        <row r="12">
          <cell r="A12">
            <v>2.23</v>
          </cell>
          <cell r="B12" t="str">
            <v>Core(19-(1-6)-2-18)</v>
          </cell>
          <cell r="C12">
            <v>-5</v>
          </cell>
          <cell r="D12">
            <v>2</v>
          </cell>
          <cell r="E12">
            <v>10.5</v>
          </cell>
          <cell r="G12">
            <v>3.0950000000000002</v>
          </cell>
          <cell r="H12">
            <v>64.995000000000005</v>
          </cell>
        </row>
        <row r="13">
          <cell r="A13">
            <v>2.23</v>
          </cell>
          <cell r="B13" t="str">
            <v xml:space="preserve"> 2-3</v>
          </cell>
          <cell r="C13">
            <v>-5</v>
          </cell>
          <cell r="D13">
            <v>1</v>
          </cell>
          <cell r="E13">
            <v>3</v>
          </cell>
          <cell r="G13">
            <v>3.0950000000000002</v>
          </cell>
          <cell r="H13">
            <v>9.2850000000000001</v>
          </cell>
        </row>
        <row r="14">
          <cell r="A14">
            <v>2.23</v>
          </cell>
          <cell r="B14" t="str">
            <v>(3-4) - (4-5)</v>
          </cell>
          <cell r="C14">
            <v>-5</v>
          </cell>
          <cell r="D14">
            <v>2</v>
          </cell>
          <cell r="E14">
            <v>2.2999999999999998</v>
          </cell>
          <cell r="G14">
            <v>3.0950000000000002</v>
          </cell>
          <cell r="H14">
            <v>14.237</v>
          </cell>
        </row>
        <row r="15">
          <cell r="A15">
            <v>2.23</v>
          </cell>
          <cell r="B15">
            <v>5</v>
          </cell>
          <cell r="C15">
            <v>-5</v>
          </cell>
          <cell r="D15">
            <v>1</v>
          </cell>
          <cell r="E15">
            <v>4.5</v>
          </cell>
          <cell r="G15">
            <v>3.0950000000000002</v>
          </cell>
          <cell r="H15">
            <v>13.9275</v>
          </cell>
        </row>
        <row r="16">
          <cell r="A16">
            <v>2.23</v>
          </cell>
          <cell r="B16" t="str">
            <v>(8-10)-(11-12)</v>
          </cell>
          <cell r="C16">
            <v>-5</v>
          </cell>
          <cell r="D16">
            <v>2</v>
          </cell>
          <cell r="E16">
            <v>5.9</v>
          </cell>
          <cell r="G16">
            <v>3.0950000000000002</v>
          </cell>
          <cell r="H16">
            <v>36.521000000000008</v>
          </cell>
        </row>
        <row r="17">
          <cell r="A17">
            <v>2.23</v>
          </cell>
          <cell r="B17" t="str">
            <v>Core 10-11</v>
          </cell>
          <cell r="C17">
            <v>-5</v>
          </cell>
          <cell r="D17">
            <v>1</v>
          </cell>
          <cell r="E17">
            <v>4.7</v>
          </cell>
          <cell r="G17">
            <v>3.0950000000000002</v>
          </cell>
          <cell r="H17">
            <v>14.546500000000002</v>
          </cell>
        </row>
        <row r="18">
          <cell r="A18">
            <v>2.23</v>
          </cell>
          <cell r="B18" t="str">
            <v>Core 7a - 8</v>
          </cell>
          <cell r="C18">
            <v>-5</v>
          </cell>
          <cell r="D18">
            <v>1</v>
          </cell>
          <cell r="E18">
            <v>2.7</v>
          </cell>
          <cell r="G18">
            <v>3.0950000000000002</v>
          </cell>
          <cell r="H18">
            <v>8.3565000000000005</v>
          </cell>
        </row>
        <row r="19">
          <cell r="A19">
            <v>2.23</v>
          </cell>
          <cell r="C19">
            <v>-5</v>
          </cell>
          <cell r="D19">
            <v>-1</v>
          </cell>
          <cell r="E19">
            <v>1</v>
          </cell>
          <cell r="G19">
            <v>2</v>
          </cell>
          <cell r="H19">
            <v>-2</v>
          </cell>
        </row>
        <row r="20">
          <cell r="A20">
            <v>2.23</v>
          </cell>
          <cell r="C20">
            <v>-5</v>
          </cell>
          <cell r="D20">
            <v>1</v>
          </cell>
          <cell r="E20">
            <v>4.0999999999999996</v>
          </cell>
          <cell r="G20">
            <v>0.27500000000000002</v>
          </cell>
          <cell r="H20">
            <v>1.1274999999999999</v>
          </cell>
        </row>
        <row r="21">
          <cell r="A21">
            <v>2.23</v>
          </cell>
          <cell r="C21">
            <v>-5</v>
          </cell>
          <cell r="D21">
            <v>1</v>
          </cell>
          <cell r="E21">
            <v>0.75</v>
          </cell>
          <cell r="G21">
            <v>0.27500000000000002</v>
          </cell>
          <cell r="H21">
            <v>0.20625000000000002</v>
          </cell>
        </row>
        <row r="22">
          <cell r="A22">
            <v>2.23</v>
          </cell>
          <cell r="B22" t="str">
            <v>wall XX,YY,ZZ</v>
          </cell>
          <cell r="C22">
            <v>-4</v>
          </cell>
          <cell r="D22">
            <v>3</v>
          </cell>
          <cell r="E22">
            <v>4.0999999999999996</v>
          </cell>
          <cell r="G22">
            <v>2.65</v>
          </cell>
          <cell r="H22">
            <v>32.594999999999999</v>
          </cell>
        </row>
        <row r="23">
          <cell r="A23">
            <v>2.23</v>
          </cell>
          <cell r="B23" t="str">
            <v>wall XX,YY,ZZ</v>
          </cell>
          <cell r="C23">
            <v>-4</v>
          </cell>
          <cell r="D23">
            <v>3</v>
          </cell>
          <cell r="E23">
            <v>3.9</v>
          </cell>
          <cell r="G23">
            <v>2.65</v>
          </cell>
          <cell r="H23">
            <v>31.004999999999995</v>
          </cell>
        </row>
        <row r="24">
          <cell r="A24">
            <v>2.23</v>
          </cell>
          <cell r="B24" t="str">
            <v>Core 2-5</v>
          </cell>
          <cell r="C24">
            <v>-4</v>
          </cell>
          <cell r="D24">
            <v>1</v>
          </cell>
          <cell r="E24">
            <v>9.73</v>
          </cell>
          <cell r="G24">
            <v>2.7250000000000001</v>
          </cell>
          <cell r="H24">
            <v>26.514250000000001</v>
          </cell>
        </row>
        <row r="25">
          <cell r="A25">
            <v>2.23</v>
          </cell>
          <cell r="B25" t="str">
            <v>Core 2-7a</v>
          </cell>
          <cell r="C25">
            <v>-4</v>
          </cell>
          <cell r="D25">
            <v>1</v>
          </cell>
          <cell r="E25">
            <v>2.4</v>
          </cell>
          <cell r="G25">
            <v>2.7250000000000001</v>
          </cell>
          <cell r="H25">
            <v>6.54</v>
          </cell>
        </row>
        <row r="26">
          <cell r="A26">
            <v>2.23</v>
          </cell>
          <cell r="B26" t="str">
            <v>Core 7 / 3-5</v>
          </cell>
          <cell r="C26">
            <v>-4</v>
          </cell>
          <cell r="D26">
            <v>1</v>
          </cell>
          <cell r="E26">
            <v>6.83</v>
          </cell>
          <cell r="G26">
            <v>2.7250000000000001</v>
          </cell>
          <cell r="H26">
            <v>18.611750000000001</v>
          </cell>
        </row>
        <row r="27">
          <cell r="A27">
            <v>2.23</v>
          </cell>
          <cell r="B27" t="str">
            <v>Core 1 - 6 / 6 - 6a</v>
          </cell>
          <cell r="C27">
            <v>-4</v>
          </cell>
          <cell r="D27">
            <v>2</v>
          </cell>
          <cell r="E27">
            <v>2.2999999999999998</v>
          </cell>
          <cell r="G27">
            <v>2.7250000000000001</v>
          </cell>
          <cell r="H27">
            <v>12.535</v>
          </cell>
        </row>
        <row r="28">
          <cell r="A28">
            <v>2.23</v>
          </cell>
          <cell r="B28" t="str">
            <v>Core 7 - 8</v>
          </cell>
          <cell r="C28">
            <v>-4</v>
          </cell>
          <cell r="D28">
            <v>1</v>
          </cell>
          <cell r="E28">
            <v>2.2999999999999998</v>
          </cell>
          <cell r="G28">
            <v>2.7250000000000001</v>
          </cell>
          <cell r="H28">
            <v>6.2675000000000001</v>
          </cell>
        </row>
        <row r="29">
          <cell r="A29">
            <v>2.23</v>
          </cell>
          <cell r="B29" t="str">
            <v>Core 7 - (10-12)</v>
          </cell>
          <cell r="C29">
            <v>-4</v>
          </cell>
          <cell r="D29">
            <v>1</v>
          </cell>
          <cell r="E29">
            <v>4.9800000000000004</v>
          </cell>
          <cell r="G29">
            <v>2.7250000000000001</v>
          </cell>
          <cell r="H29">
            <v>13.570500000000001</v>
          </cell>
        </row>
        <row r="30">
          <cell r="A30">
            <v>2.23</v>
          </cell>
          <cell r="B30" t="str">
            <v>Core (8-7a) - 18</v>
          </cell>
          <cell r="C30">
            <v>-4</v>
          </cell>
          <cell r="D30">
            <v>1</v>
          </cell>
          <cell r="E30">
            <v>4.75</v>
          </cell>
          <cell r="G30">
            <v>2.7250000000000001</v>
          </cell>
          <cell r="H30">
            <v>12.94375</v>
          </cell>
        </row>
        <row r="31">
          <cell r="A31">
            <v>2.23</v>
          </cell>
          <cell r="B31" t="str">
            <v>Core (10-12)-18</v>
          </cell>
          <cell r="C31">
            <v>-4</v>
          </cell>
          <cell r="D31">
            <v>1</v>
          </cell>
          <cell r="E31">
            <v>3.43</v>
          </cell>
          <cell r="G31">
            <v>2.7250000000000001</v>
          </cell>
          <cell r="H31">
            <v>9.3467500000000001</v>
          </cell>
        </row>
        <row r="32">
          <cell r="A32">
            <v>2.23</v>
          </cell>
          <cell r="B32" t="str">
            <v>Core (1-6)-(2-7a)</v>
          </cell>
          <cell r="C32">
            <v>-4</v>
          </cell>
          <cell r="D32">
            <v>1</v>
          </cell>
          <cell r="E32">
            <v>8.2850000000000001</v>
          </cell>
          <cell r="G32">
            <v>2.7250000000000001</v>
          </cell>
          <cell r="H32">
            <v>22.576625</v>
          </cell>
        </row>
        <row r="33">
          <cell r="A33">
            <v>2.23</v>
          </cell>
          <cell r="B33" t="str">
            <v xml:space="preserve"> 2- 3</v>
          </cell>
          <cell r="C33">
            <v>-4</v>
          </cell>
          <cell r="D33">
            <v>1</v>
          </cell>
          <cell r="E33">
            <v>3.25</v>
          </cell>
          <cell r="G33">
            <v>2.7250000000000001</v>
          </cell>
          <cell r="H33">
            <v>8.8562500000000011</v>
          </cell>
        </row>
        <row r="34">
          <cell r="A34">
            <v>2.23</v>
          </cell>
          <cell r="B34" t="str">
            <v>(3-4) - (4-5)</v>
          </cell>
          <cell r="C34">
            <v>-4</v>
          </cell>
          <cell r="D34">
            <v>2</v>
          </cell>
          <cell r="E34">
            <v>2.2999999999999998</v>
          </cell>
          <cell r="G34">
            <v>2.7250000000000001</v>
          </cell>
          <cell r="H34">
            <v>12.535</v>
          </cell>
        </row>
        <row r="35">
          <cell r="A35">
            <v>2.23</v>
          </cell>
          <cell r="B35" t="str">
            <v xml:space="preserve"> 5 - 7</v>
          </cell>
          <cell r="C35">
            <v>-4</v>
          </cell>
          <cell r="D35">
            <v>1</v>
          </cell>
          <cell r="E35">
            <v>4.71</v>
          </cell>
          <cell r="G35">
            <v>2.7250000000000001</v>
          </cell>
          <cell r="H35">
            <v>12.83475</v>
          </cell>
        </row>
        <row r="36">
          <cell r="A36">
            <v>2.23</v>
          </cell>
          <cell r="B36" t="str">
            <v>7a - 8</v>
          </cell>
          <cell r="C36">
            <v>-4</v>
          </cell>
          <cell r="D36">
            <v>1</v>
          </cell>
          <cell r="E36">
            <v>2.65</v>
          </cell>
          <cell r="G36">
            <v>2.7250000000000001</v>
          </cell>
          <cell r="H36">
            <v>7.2212500000000004</v>
          </cell>
        </row>
        <row r="37">
          <cell r="A37">
            <v>2.23</v>
          </cell>
          <cell r="B37" t="str">
            <v>Core 10 - 8</v>
          </cell>
          <cell r="C37">
            <v>-4</v>
          </cell>
          <cell r="D37">
            <v>1</v>
          </cell>
          <cell r="E37">
            <v>4.2850000000000001</v>
          </cell>
          <cell r="G37">
            <v>2.7250000000000001</v>
          </cell>
          <cell r="H37">
            <v>11.676625000000001</v>
          </cell>
        </row>
        <row r="38">
          <cell r="A38">
            <v>2.23</v>
          </cell>
          <cell r="B38" t="str">
            <v xml:space="preserve"> 10-11</v>
          </cell>
          <cell r="C38">
            <v>-4</v>
          </cell>
          <cell r="D38">
            <v>1</v>
          </cell>
          <cell r="E38">
            <v>4.71</v>
          </cell>
          <cell r="G38">
            <v>2.7250000000000001</v>
          </cell>
          <cell r="H38">
            <v>12.83475</v>
          </cell>
        </row>
        <row r="39">
          <cell r="A39">
            <v>2.23</v>
          </cell>
          <cell r="B39" t="str">
            <v xml:space="preserve"> 11 - 12</v>
          </cell>
          <cell r="C39">
            <v>-4</v>
          </cell>
          <cell r="D39">
            <v>1</v>
          </cell>
          <cell r="E39">
            <v>5.91</v>
          </cell>
          <cell r="G39">
            <v>2.7250000000000001</v>
          </cell>
          <cell r="H39">
            <v>16.104749999999999</v>
          </cell>
        </row>
        <row r="40">
          <cell r="A40">
            <v>2.23</v>
          </cell>
          <cell r="B40" t="str">
            <v>1 - 6a</v>
          </cell>
          <cell r="C40">
            <v>-4</v>
          </cell>
          <cell r="D40">
            <v>1</v>
          </cell>
          <cell r="E40">
            <v>8.92</v>
          </cell>
          <cell r="G40">
            <v>2.65</v>
          </cell>
          <cell r="H40">
            <v>23.637999999999998</v>
          </cell>
        </row>
        <row r="41">
          <cell r="A41">
            <v>2.23</v>
          </cell>
          <cell r="B41" t="str">
            <v>6a - 18</v>
          </cell>
          <cell r="C41">
            <v>-4</v>
          </cell>
          <cell r="D41">
            <v>1</v>
          </cell>
          <cell r="E41">
            <v>2.2999999999999998</v>
          </cell>
          <cell r="G41">
            <v>2.65</v>
          </cell>
          <cell r="H41">
            <v>6.0949999999999998</v>
          </cell>
        </row>
        <row r="42">
          <cell r="A42">
            <v>2.23</v>
          </cell>
          <cell r="B42" t="str">
            <v>6a - 18</v>
          </cell>
          <cell r="C42">
            <v>-4</v>
          </cell>
          <cell r="D42">
            <v>1</v>
          </cell>
          <cell r="E42">
            <v>2.1749999999999998</v>
          </cell>
          <cell r="G42">
            <v>2.65</v>
          </cell>
          <cell r="H42">
            <v>5.763749999999999</v>
          </cell>
        </row>
        <row r="43">
          <cell r="A43">
            <v>2.23</v>
          </cell>
          <cell r="B43" t="str">
            <v xml:space="preserve"> 18 - 10</v>
          </cell>
          <cell r="C43">
            <v>-4</v>
          </cell>
          <cell r="D43">
            <v>1</v>
          </cell>
          <cell r="E43">
            <v>1.875</v>
          </cell>
          <cell r="G43">
            <v>2.65</v>
          </cell>
          <cell r="H43">
            <v>4.96875</v>
          </cell>
        </row>
        <row r="44">
          <cell r="A44">
            <v>2.23</v>
          </cell>
          <cell r="B44" t="str">
            <v xml:space="preserve"> 18 - 10</v>
          </cell>
          <cell r="C44">
            <v>-4</v>
          </cell>
          <cell r="D44">
            <v>1</v>
          </cell>
          <cell r="E44">
            <v>0.5</v>
          </cell>
          <cell r="G44">
            <v>2.65</v>
          </cell>
          <cell r="H44">
            <v>1.325</v>
          </cell>
        </row>
        <row r="45">
          <cell r="A45">
            <v>2.23</v>
          </cell>
          <cell r="B45">
            <v>1</v>
          </cell>
          <cell r="C45">
            <v>-4</v>
          </cell>
          <cell r="D45">
            <v>1</v>
          </cell>
          <cell r="E45">
            <v>1.54</v>
          </cell>
          <cell r="G45">
            <v>2.9249999999999998</v>
          </cell>
          <cell r="H45">
            <v>4.5045000000000002</v>
          </cell>
        </row>
        <row r="46">
          <cell r="A46">
            <v>2.23</v>
          </cell>
          <cell r="B46">
            <v>1</v>
          </cell>
          <cell r="C46">
            <v>-4</v>
          </cell>
          <cell r="D46">
            <v>1</v>
          </cell>
          <cell r="E46">
            <v>2.5499999999999998</v>
          </cell>
          <cell r="G46">
            <v>2.9249999999999998</v>
          </cell>
          <cell r="H46">
            <v>7.4587499999999993</v>
          </cell>
        </row>
        <row r="47">
          <cell r="A47">
            <v>2.23</v>
          </cell>
          <cell r="B47">
            <v>12</v>
          </cell>
          <cell r="C47">
            <v>-4</v>
          </cell>
          <cell r="D47">
            <v>1</v>
          </cell>
          <cell r="E47">
            <v>0.75</v>
          </cell>
          <cell r="G47">
            <v>2.9249999999999998</v>
          </cell>
          <cell r="H47">
            <v>2.1937499999999996</v>
          </cell>
        </row>
        <row r="48">
          <cell r="A48">
            <v>4.01</v>
          </cell>
          <cell r="C48">
            <v>-5</v>
          </cell>
          <cell r="D48">
            <v>1</v>
          </cell>
          <cell r="E48">
            <v>27.2</v>
          </cell>
          <cell r="F48">
            <v>23.1</v>
          </cell>
          <cell r="H48">
            <v>628.32000000000005</v>
          </cell>
        </row>
        <row r="49">
          <cell r="A49">
            <v>4.01</v>
          </cell>
          <cell r="C49">
            <v>-5</v>
          </cell>
          <cell r="D49">
            <v>1</v>
          </cell>
          <cell r="E49">
            <v>20.27</v>
          </cell>
          <cell r="F49">
            <v>1.9</v>
          </cell>
          <cell r="H49">
            <v>38.512999999999998</v>
          </cell>
        </row>
        <row r="50">
          <cell r="A50">
            <v>4.01</v>
          </cell>
          <cell r="C50">
            <v>-5</v>
          </cell>
          <cell r="D50">
            <v>1</v>
          </cell>
          <cell r="E50">
            <v>4.8</v>
          </cell>
          <cell r="F50">
            <v>1</v>
          </cell>
          <cell r="H50">
            <v>4.8</v>
          </cell>
        </row>
        <row r="51">
          <cell r="A51">
            <v>4.01</v>
          </cell>
          <cell r="C51">
            <v>-5</v>
          </cell>
          <cell r="D51">
            <v>1</v>
          </cell>
          <cell r="E51">
            <v>106.94</v>
          </cell>
          <cell r="G51">
            <v>2.27</v>
          </cell>
          <cell r="H51">
            <v>242.75379999999998</v>
          </cell>
        </row>
        <row r="52">
          <cell r="A52">
            <v>4.01</v>
          </cell>
          <cell r="C52">
            <v>-5</v>
          </cell>
          <cell r="D52">
            <v>-1</v>
          </cell>
          <cell r="E52">
            <v>7.55</v>
          </cell>
          <cell r="G52">
            <v>0.81</v>
          </cell>
          <cell r="H52">
            <v>-6.1154999999999999</v>
          </cell>
        </row>
        <row r="53">
          <cell r="A53">
            <v>4.05</v>
          </cell>
          <cell r="B53" t="str">
            <v>North side</v>
          </cell>
          <cell r="C53">
            <v>-5</v>
          </cell>
          <cell r="D53">
            <v>1</v>
          </cell>
          <cell r="E53">
            <v>27.2</v>
          </cell>
          <cell r="H53">
            <v>27.2</v>
          </cell>
        </row>
        <row r="54">
          <cell r="A54">
            <v>4.05</v>
          </cell>
          <cell r="B54" t="str">
            <v>West side</v>
          </cell>
          <cell r="C54">
            <v>-5</v>
          </cell>
          <cell r="D54">
            <v>1</v>
          </cell>
          <cell r="E54">
            <v>24.9</v>
          </cell>
          <cell r="H54">
            <v>24.9</v>
          </cell>
        </row>
        <row r="55">
          <cell r="A55">
            <v>4.05</v>
          </cell>
          <cell r="B55" t="str">
            <v>South side</v>
          </cell>
          <cell r="C55">
            <v>-5</v>
          </cell>
          <cell r="D55">
            <v>1</v>
          </cell>
          <cell r="E55">
            <v>15.57</v>
          </cell>
          <cell r="H55">
            <v>15.57</v>
          </cell>
        </row>
        <row r="56">
          <cell r="A56">
            <v>4.05</v>
          </cell>
          <cell r="C56">
            <v>-5</v>
          </cell>
          <cell r="D56">
            <v>1</v>
          </cell>
          <cell r="E56">
            <v>1</v>
          </cell>
          <cell r="H56">
            <v>1</v>
          </cell>
        </row>
        <row r="57">
          <cell r="A57">
            <v>4.05</v>
          </cell>
          <cell r="C57">
            <v>-5</v>
          </cell>
          <cell r="D57">
            <v>1</v>
          </cell>
          <cell r="E57">
            <v>4.8</v>
          </cell>
          <cell r="H57">
            <v>4.8</v>
          </cell>
        </row>
        <row r="58">
          <cell r="A58">
            <v>4.05</v>
          </cell>
          <cell r="B58" t="str">
            <v>East side</v>
          </cell>
          <cell r="C58">
            <v>-5</v>
          </cell>
          <cell r="D58">
            <v>1</v>
          </cell>
          <cell r="E58">
            <v>2.9</v>
          </cell>
          <cell r="H58">
            <v>2.9</v>
          </cell>
        </row>
        <row r="59">
          <cell r="A59">
            <v>4.05</v>
          </cell>
          <cell r="C59">
            <v>-5</v>
          </cell>
          <cell r="D59">
            <v>1</v>
          </cell>
          <cell r="E59">
            <v>7.5</v>
          </cell>
          <cell r="H59">
            <v>7.5</v>
          </cell>
        </row>
        <row r="60">
          <cell r="A60">
            <v>4.05</v>
          </cell>
          <cell r="C60">
            <v>-5</v>
          </cell>
          <cell r="D60">
            <v>1</v>
          </cell>
          <cell r="E60">
            <v>23.1</v>
          </cell>
          <cell r="H60">
            <v>23.1</v>
          </cell>
        </row>
        <row r="61">
          <cell r="A61">
            <v>3.03</v>
          </cell>
          <cell r="B61" t="str">
            <v>North Side</v>
          </cell>
          <cell r="C61">
            <v>-5</v>
          </cell>
          <cell r="D61">
            <v>2</v>
          </cell>
          <cell r="E61">
            <v>26.9</v>
          </cell>
          <cell r="G61">
            <v>1.89</v>
          </cell>
          <cell r="H61">
            <v>101.68199999999999</v>
          </cell>
        </row>
        <row r="62">
          <cell r="A62">
            <v>3.03</v>
          </cell>
          <cell r="B62" t="str">
            <v>West Side</v>
          </cell>
          <cell r="C62">
            <v>-5</v>
          </cell>
          <cell r="D62">
            <v>2</v>
          </cell>
          <cell r="E62">
            <v>25.5</v>
          </cell>
          <cell r="G62">
            <v>1.89</v>
          </cell>
          <cell r="H62">
            <v>96.39</v>
          </cell>
        </row>
        <row r="63">
          <cell r="A63">
            <v>3.03</v>
          </cell>
          <cell r="B63" t="str">
            <v>South Side</v>
          </cell>
          <cell r="C63">
            <v>-5</v>
          </cell>
          <cell r="D63">
            <v>2</v>
          </cell>
          <cell r="E63">
            <v>15.27</v>
          </cell>
          <cell r="G63">
            <v>1.89</v>
          </cell>
          <cell r="H63">
            <v>57.720599999999997</v>
          </cell>
        </row>
        <row r="64">
          <cell r="A64">
            <v>3.03</v>
          </cell>
          <cell r="C64">
            <v>-5</v>
          </cell>
          <cell r="D64">
            <v>2</v>
          </cell>
          <cell r="E64">
            <v>1</v>
          </cell>
          <cell r="G64">
            <v>1.08</v>
          </cell>
          <cell r="H64">
            <v>2.16</v>
          </cell>
        </row>
        <row r="65">
          <cell r="A65">
            <v>3.03</v>
          </cell>
          <cell r="C65">
            <v>-5</v>
          </cell>
          <cell r="D65">
            <v>2</v>
          </cell>
          <cell r="E65">
            <v>4.5</v>
          </cell>
          <cell r="G65">
            <v>1.08</v>
          </cell>
          <cell r="H65">
            <v>9.7200000000000006</v>
          </cell>
        </row>
        <row r="66">
          <cell r="A66">
            <v>3.03</v>
          </cell>
          <cell r="B66" t="str">
            <v>East Side</v>
          </cell>
          <cell r="C66">
            <v>-5</v>
          </cell>
          <cell r="D66">
            <v>2</v>
          </cell>
          <cell r="E66">
            <v>1.75</v>
          </cell>
          <cell r="G66">
            <v>1.08</v>
          </cell>
          <cell r="H66">
            <v>3.7800000000000002</v>
          </cell>
        </row>
        <row r="67">
          <cell r="A67">
            <v>3.03</v>
          </cell>
          <cell r="C67">
            <v>-5</v>
          </cell>
          <cell r="D67">
            <v>2</v>
          </cell>
          <cell r="E67">
            <v>1.45</v>
          </cell>
          <cell r="G67">
            <v>1.89</v>
          </cell>
          <cell r="H67">
            <v>5.4809999999999999</v>
          </cell>
        </row>
        <row r="68">
          <cell r="A68">
            <v>3.03</v>
          </cell>
          <cell r="C68">
            <v>-5</v>
          </cell>
          <cell r="D68">
            <v>2</v>
          </cell>
          <cell r="E68">
            <v>7.5</v>
          </cell>
          <cell r="G68">
            <v>1.89</v>
          </cell>
          <cell r="H68">
            <v>28.349999999999998</v>
          </cell>
        </row>
        <row r="69">
          <cell r="A69">
            <v>3.03</v>
          </cell>
          <cell r="C69">
            <v>-5</v>
          </cell>
          <cell r="D69">
            <v>2</v>
          </cell>
          <cell r="E69">
            <v>23.4</v>
          </cell>
          <cell r="G69">
            <v>1.89</v>
          </cell>
          <cell r="H69">
            <v>88.451999999999984</v>
          </cell>
        </row>
        <row r="70">
          <cell r="A70">
            <v>3.03</v>
          </cell>
          <cell r="C70">
            <v>-5</v>
          </cell>
          <cell r="D70">
            <v>-1</v>
          </cell>
          <cell r="E70">
            <v>7</v>
          </cell>
          <cell r="G70">
            <v>1.89</v>
          </cell>
          <cell r="H70">
            <v>-13.229999999999999</v>
          </cell>
        </row>
        <row r="71">
          <cell r="A71">
            <v>2.2999999999999998</v>
          </cell>
          <cell r="B71">
            <v>2</v>
          </cell>
          <cell r="C71">
            <v>-5</v>
          </cell>
          <cell r="D71">
            <v>1</v>
          </cell>
          <cell r="E71">
            <v>3.25</v>
          </cell>
          <cell r="F71">
            <v>2.65</v>
          </cell>
          <cell r="H71">
            <v>8.6124999999999989</v>
          </cell>
        </row>
        <row r="72">
          <cell r="A72">
            <v>2.2999999999999998</v>
          </cell>
          <cell r="B72" t="str">
            <v xml:space="preserve"> 3 - 5</v>
          </cell>
          <cell r="C72">
            <v>-5</v>
          </cell>
          <cell r="D72">
            <v>1</v>
          </cell>
          <cell r="E72">
            <v>7.33</v>
          </cell>
          <cell r="F72">
            <v>2.8</v>
          </cell>
          <cell r="H72">
            <v>20.523999999999997</v>
          </cell>
        </row>
        <row r="73">
          <cell r="A73">
            <v>2.2999999999999998</v>
          </cell>
          <cell r="B73">
            <v>7</v>
          </cell>
          <cell r="C73">
            <v>-5</v>
          </cell>
          <cell r="D73">
            <v>1</v>
          </cell>
          <cell r="E73">
            <v>4.9800000000000004</v>
          </cell>
          <cell r="F73">
            <v>2.15</v>
          </cell>
          <cell r="H73">
            <v>10.707000000000001</v>
          </cell>
        </row>
        <row r="74">
          <cell r="A74">
            <v>2.2999999999999998</v>
          </cell>
          <cell r="B74" t="str">
            <v>7c</v>
          </cell>
          <cell r="C74">
            <v>-5</v>
          </cell>
          <cell r="D74">
            <v>1</v>
          </cell>
          <cell r="E74">
            <v>2.835</v>
          </cell>
          <cell r="F74">
            <v>2.35</v>
          </cell>
          <cell r="H74">
            <v>6.6622500000000002</v>
          </cell>
        </row>
        <row r="75">
          <cell r="A75">
            <v>2.2999999999999998</v>
          </cell>
          <cell r="B75" t="str">
            <v xml:space="preserve">7a </v>
          </cell>
          <cell r="C75">
            <v>-5</v>
          </cell>
          <cell r="D75">
            <v>1</v>
          </cell>
          <cell r="E75">
            <v>2.65</v>
          </cell>
          <cell r="F75">
            <v>2.39</v>
          </cell>
          <cell r="H75">
            <v>6.3334999999999999</v>
          </cell>
        </row>
        <row r="76">
          <cell r="A76">
            <v>2.2999999999999998</v>
          </cell>
          <cell r="B76">
            <v>1</v>
          </cell>
          <cell r="C76">
            <v>-5</v>
          </cell>
          <cell r="D76">
            <v>1</v>
          </cell>
          <cell r="E76">
            <v>2.2999999999999998</v>
          </cell>
          <cell r="F76">
            <v>1.95</v>
          </cell>
          <cell r="H76">
            <v>4.4849999999999994</v>
          </cell>
        </row>
        <row r="77">
          <cell r="A77">
            <v>2.2999999999999998</v>
          </cell>
          <cell r="B77" t="str">
            <v xml:space="preserve"> 6-7a-8</v>
          </cell>
          <cell r="C77">
            <v>-5</v>
          </cell>
          <cell r="D77">
            <v>1</v>
          </cell>
          <cell r="E77">
            <v>2.9</v>
          </cell>
          <cell r="F77">
            <v>7.55</v>
          </cell>
          <cell r="H77">
            <v>21.895</v>
          </cell>
        </row>
        <row r="78">
          <cell r="A78">
            <v>2.2999999999999998</v>
          </cell>
          <cell r="B78">
            <v>10</v>
          </cell>
          <cell r="C78">
            <v>-5</v>
          </cell>
          <cell r="D78">
            <v>1</v>
          </cell>
          <cell r="E78">
            <v>2.36</v>
          </cell>
          <cell r="F78">
            <v>2.0099999999999998</v>
          </cell>
          <cell r="H78">
            <v>4.7435999999999989</v>
          </cell>
        </row>
        <row r="79">
          <cell r="A79">
            <v>2.2999999999999998</v>
          </cell>
          <cell r="B79">
            <v>11</v>
          </cell>
          <cell r="C79">
            <v>-5</v>
          </cell>
          <cell r="D79">
            <v>1</v>
          </cell>
          <cell r="E79">
            <v>1.62</v>
          </cell>
          <cell r="F79">
            <v>6.16</v>
          </cell>
          <cell r="H79">
            <v>9.9792000000000005</v>
          </cell>
        </row>
        <row r="80">
          <cell r="A80">
            <v>2.31</v>
          </cell>
          <cell r="C80">
            <v>-5</v>
          </cell>
          <cell r="D80">
            <v>1</v>
          </cell>
          <cell r="E80">
            <v>5.25</v>
          </cell>
          <cell r="F80">
            <v>2.1800000000000002</v>
          </cell>
          <cell r="H80">
            <v>11.445</v>
          </cell>
        </row>
        <row r="81">
          <cell r="A81">
            <v>2.31</v>
          </cell>
          <cell r="C81">
            <v>-5</v>
          </cell>
          <cell r="D81">
            <v>1</v>
          </cell>
          <cell r="E81">
            <v>11.27</v>
          </cell>
          <cell r="F81">
            <v>8.3000000000000007</v>
          </cell>
          <cell r="H81">
            <v>93.541000000000011</v>
          </cell>
        </row>
        <row r="82">
          <cell r="A82">
            <v>2.31</v>
          </cell>
          <cell r="C82">
            <v>-5</v>
          </cell>
          <cell r="D82">
            <v>1</v>
          </cell>
          <cell r="E82">
            <v>19.32</v>
          </cell>
          <cell r="F82">
            <v>11.27</v>
          </cell>
          <cell r="H82">
            <v>217.7364</v>
          </cell>
        </row>
        <row r="83">
          <cell r="A83">
            <v>2.31</v>
          </cell>
          <cell r="C83">
            <v>-5</v>
          </cell>
          <cell r="D83">
            <v>-2</v>
          </cell>
          <cell r="E83">
            <v>10.119999999999999</v>
          </cell>
          <cell r="F83">
            <v>0.44</v>
          </cell>
          <cell r="H83">
            <v>-8.9055999999999997</v>
          </cell>
        </row>
        <row r="84">
          <cell r="A84">
            <v>2.31</v>
          </cell>
          <cell r="C84">
            <v>-5</v>
          </cell>
          <cell r="D84">
            <v>-1</v>
          </cell>
          <cell r="E84">
            <v>0.45</v>
          </cell>
          <cell r="F84">
            <v>1.8</v>
          </cell>
          <cell r="H84">
            <v>-0.81</v>
          </cell>
        </row>
        <row r="85">
          <cell r="A85" t="str">
            <v>2.28a</v>
          </cell>
          <cell r="C85">
            <v>-5</v>
          </cell>
          <cell r="D85">
            <v>6</v>
          </cell>
          <cell r="E85">
            <v>0.45</v>
          </cell>
          <cell r="F85">
            <v>0.45</v>
          </cell>
          <cell r="G85">
            <v>3.0950000000000002</v>
          </cell>
          <cell r="H85">
            <v>3.7604250000000006</v>
          </cell>
        </row>
        <row r="86">
          <cell r="A86" t="str">
            <v>2.28b</v>
          </cell>
          <cell r="C86">
            <v>-5</v>
          </cell>
          <cell r="D86">
            <v>6</v>
          </cell>
          <cell r="E86">
            <v>0.85</v>
          </cell>
          <cell r="F86">
            <v>0.5</v>
          </cell>
          <cell r="G86">
            <v>3.0950000000000002</v>
          </cell>
          <cell r="H86">
            <v>7.8922499999999998</v>
          </cell>
        </row>
        <row r="87">
          <cell r="A87" t="str">
            <v>2.28c</v>
          </cell>
          <cell r="C87">
            <v>-5</v>
          </cell>
          <cell r="D87">
            <v>3</v>
          </cell>
          <cell r="E87">
            <v>1.1000000000000001</v>
          </cell>
          <cell r="F87">
            <v>1.1000000000000001</v>
          </cell>
          <cell r="G87">
            <v>3.0950000000000002</v>
          </cell>
          <cell r="H87">
            <v>11.234850000000003</v>
          </cell>
        </row>
        <row r="88">
          <cell r="A88">
            <v>2.15</v>
          </cell>
          <cell r="C88">
            <v>-5</v>
          </cell>
          <cell r="D88">
            <v>1</v>
          </cell>
          <cell r="E88">
            <v>26.9</v>
          </cell>
          <cell r="F88">
            <v>22.8</v>
          </cell>
          <cell r="G88">
            <v>1.75</v>
          </cell>
          <cell r="H88">
            <v>1073.31</v>
          </cell>
        </row>
        <row r="89">
          <cell r="A89">
            <v>2.15</v>
          </cell>
          <cell r="C89">
            <v>-5</v>
          </cell>
          <cell r="D89">
            <v>1</v>
          </cell>
          <cell r="E89">
            <v>19.399999999999999</v>
          </cell>
          <cell r="F89">
            <v>2.1</v>
          </cell>
          <cell r="G89">
            <v>1.75</v>
          </cell>
          <cell r="H89">
            <v>71.295000000000002</v>
          </cell>
        </row>
        <row r="90">
          <cell r="A90">
            <v>2.15</v>
          </cell>
          <cell r="C90">
            <v>-5</v>
          </cell>
          <cell r="D90">
            <v>1</v>
          </cell>
          <cell r="E90">
            <v>1</v>
          </cell>
          <cell r="F90">
            <v>4.5</v>
          </cell>
          <cell r="G90">
            <v>1.75</v>
          </cell>
          <cell r="H90">
            <v>7.875</v>
          </cell>
        </row>
        <row r="91">
          <cell r="A91">
            <v>2.15</v>
          </cell>
          <cell r="C91">
            <v>-5</v>
          </cell>
          <cell r="D91">
            <v>-1</v>
          </cell>
          <cell r="E91">
            <v>4.5</v>
          </cell>
          <cell r="F91">
            <v>1.139</v>
          </cell>
          <cell r="G91">
            <v>0.75</v>
          </cell>
          <cell r="H91">
            <v>-3.844125</v>
          </cell>
        </row>
        <row r="92">
          <cell r="A92">
            <v>2.15</v>
          </cell>
          <cell r="C92">
            <v>-5</v>
          </cell>
          <cell r="D92">
            <v>-1</v>
          </cell>
          <cell r="E92">
            <v>3.1</v>
          </cell>
          <cell r="F92">
            <v>2.37</v>
          </cell>
          <cell r="G92">
            <v>0.75</v>
          </cell>
          <cell r="H92">
            <v>-5.5102500000000001</v>
          </cell>
        </row>
        <row r="93">
          <cell r="A93">
            <v>2.31</v>
          </cell>
          <cell r="C93">
            <v>-4</v>
          </cell>
          <cell r="D93">
            <v>1</v>
          </cell>
          <cell r="E93">
            <v>5.25</v>
          </cell>
          <cell r="F93">
            <v>2.1800000000000002</v>
          </cell>
          <cell r="H93">
            <v>11.445</v>
          </cell>
        </row>
        <row r="94">
          <cell r="A94">
            <v>2.31</v>
          </cell>
          <cell r="C94">
            <v>-4</v>
          </cell>
          <cell r="D94">
            <v>1</v>
          </cell>
          <cell r="E94">
            <v>11.27</v>
          </cell>
          <cell r="F94">
            <v>8.3000000000000007</v>
          </cell>
          <cell r="H94">
            <v>93.541000000000011</v>
          </cell>
        </row>
        <row r="95">
          <cell r="A95">
            <v>2.31</v>
          </cell>
          <cell r="C95">
            <v>-4</v>
          </cell>
          <cell r="D95">
            <v>1</v>
          </cell>
          <cell r="E95">
            <v>19.32</v>
          </cell>
          <cell r="F95">
            <v>11.27</v>
          </cell>
          <cell r="H95">
            <v>217.7364</v>
          </cell>
        </row>
        <row r="96">
          <cell r="A96">
            <v>2.31</v>
          </cell>
          <cell r="C96">
            <v>-4</v>
          </cell>
          <cell r="D96">
            <v>-2</v>
          </cell>
          <cell r="E96">
            <v>10.119999999999999</v>
          </cell>
          <cell r="F96">
            <v>0.44</v>
          </cell>
          <cell r="H96">
            <v>-8.9055999999999997</v>
          </cell>
        </row>
        <row r="97">
          <cell r="A97">
            <v>2.31</v>
          </cell>
          <cell r="C97">
            <v>-4</v>
          </cell>
          <cell r="D97">
            <v>-1</v>
          </cell>
          <cell r="E97">
            <v>0.45</v>
          </cell>
          <cell r="F97">
            <v>1.8</v>
          </cell>
          <cell r="H97">
            <v>-0.81</v>
          </cell>
        </row>
        <row r="98">
          <cell r="A98">
            <v>2.2999999999999998</v>
          </cell>
          <cell r="B98">
            <v>2</v>
          </cell>
          <cell r="C98">
            <v>-4</v>
          </cell>
          <cell r="D98">
            <v>1</v>
          </cell>
          <cell r="E98">
            <v>3.25</v>
          </cell>
          <cell r="F98">
            <v>2.65</v>
          </cell>
          <cell r="H98">
            <v>8.6124999999999989</v>
          </cell>
        </row>
        <row r="99">
          <cell r="A99">
            <v>2.2999999999999998</v>
          </cell>
          <cell r="B99" t="str">
            <v xml:space="preserve"> 3 - 5</v>
          </cell>
          <cell r="C99">
            <v>-4</v>
          </cell>
          <cell r="D99">
            <v>1</v>
          </cell>
          <cell r="E99">
            <v>7.33</v>
          </cell>
          <cell r="F99">
            <v>2.8</v>
          </cell>
          <cell r="H99">
            <v>20.523999999999997</v>
          </cell>
        </row>
        <row r="100">
          <cell r="A100">
            <v>2.2999999999999998</v>
          </cell>
          <cell r="B100">
            <v>7</v>
          </cell>
          <cell r="C100">
            <v>-4</v>
          </cell>
          <cell r="D100">
            <v>1</v>
          </cell>
          <cell r="E100">
            <v>4.9800000000000004</v>
          </cell>
          <cell r="F100">
            <v>2.15</v>
          </cell>
          <cell r="H100">
            <v>10.707000000000001</v>
          </cell>
        </row>
        <row r="101">
          <cell r="A101">
            <v>2.2999999999999998</v>
          </cell>
          <cell r="B101" t="str">
            <v>7c</v>
          </cell>
          <cell r="C101">
            <v>-4</v>
          </cell>
          <cell r="D101">
            <v>1</v>
          </cell>
          <cell r="E101">
            <v>2.835</v>
          </cell>
          <cell r="F101">
            <v>2.35</v>
          </cell>
          <cell r="H101">
            <v>6.6622500000000002</v>
          </cell>
        </row>
        <row r="102">
          <cell r="A102">
            <v>2.2999999999999998</v>
          </cell>
          <cell r="B102" t="str">
            <v xml:space="preserve">7a </v>
          </cell>
          <cell r="C102">
            <v>-4</v>
          </cell>
          <cell r="D102">
            <v>1</v>
          </cell>
          <cell r="E102">
            <v>2.65</v>
          </cell>
          <cell r="F102">
            <v>2.39</v>
          </cell>
          <cell r="H102">
            <v>6.3334999999999999</v>
          </cell>
        </row>
        <row r="103">
          <cell r="A103">
            <v>2.2999999999999998</v>
          </cell>
          <cell r="B103">
            <v>1</v>
          </cell>
          <cell r="C103">
            <v>-4</v>
          </cell>
          <cell r="D103">
            <v>1</v>
          </cell>
          <cell r="E103">
            <v>2.2999999999999998</v>
          </cell>
          <cell r="F103">
            <v>1.95</v>
          </cell>
          <cell r="H103">
            <v>4.4849999999999994</v>
          </cell>
        </row>
        <row r="104">
          <cell r="A104">
            <v>2.2999999999999998</v>
          </cell>
          <cell r="B104" t="str">
            <v xml:space="preserve"> 6-7a-8</v>
          </cell>
          <cell r="C104">
            <v>-4</v>
          </cell>
          <cell r="D104">
            <v>1</v>
          </cell>
          <cell r="E104">
            <v>2.9</v>
          </cell>
          <cell r="F104">
            <v>7.55</v>
          </cell>
          <cell r="H104">
            <v>21.895</v>
          </cell>
        </row>
        <row r="105">
          <cell r="A105">
            <v>2.2999999999999998</v>
          </cell>
          <cell r="B105">
            <v>10</v>
          </cell>
          <cell r="C105">
            <v>-4</v>
          </cell>
          <cell r="D105">
            <v>1</v>
          </cell>
          <cell r="E105">
            <v>2.36</v>
          </cell>
          <cell r="F105">
            <v>2.0099999999999998</v>
          </cell>
          <cell r="H105">
            <v>4.7435999999999989</v>
          </cell>
        </row>
        <row r="106">
          <cell r="A106">
            <v>2.2999999999999998</v>
          </cell>
          <cell r="B106">
            <v>11</v>
          </cell>
          <cell r="C106">
            <v>-4</v>
          </cell>
          <cell r="D106">
            <v>1</v>
          </cell>
          <cell r="E106">
            <v>1.62</v>
          </cell>
          <cell r="F106">
            <v>6.16</v>
          </cell>
          <cell r="H106">
            <v>9.9792000000000005</v>
          </cell>
        </row>
        <row r="107">
          <cell r="A107">
            <v>2.4300000000000002</v>
          </cell>
          <cell r="C107">
            <v>-4</v>
          </cell>
          <cell r="D107">
            <v>1</v>
          </cell>
          <cell r="E107">
            <v>313.07</v>
          </cell>
          <cell r="F107">
            <v>1</v>
          </cell>
          <cell r="H107">
            <v>313.07</v>
          </cell>
        </row>
        <row r="108">
          <cell r="A108">
            <v>2.4300000000000002</v>
          </cell>
          <cell r="C108">
            <v>-4</v>
          </cell>
          <cell r="D108">
            <v>-3</v>
          </cell>
          <cell r="E108">
            <v>1.1000000000000001</v>
          </cell>
          <cell r="F108">
            <v>1.1000000000000001</v>
          </cell>
          <cell r="H108">
            <v>-3.6300000000000008</v>
          </cell>
        </row>
        <row r="109">
          <cell r="A109">
            <v>2.4300000000000002</v>
          </cell>
          <cell r="C109">
            <v>-4</v>
          </cell>
          <cell r="D109">
            <v>-6</v>
          </cell>
          <cell r="E109">
            <v>0.85</v>
          </cell>
          <cell r="F109">
            <v>0.5</v>
          </cell>
          <cell r="H109">
            <v>-2.5499999999999998</v>
          </cell>
        </row>
        <row r="110">
          <cell r="A110">
            <v>2.4300000000000002</v>
          </cell>
          <cell r="C110">
            <v>-4</v>
          </cell>
          <cell r="D110">
            <v>-6</v>
          </cell>
          <cell r="E110">
            <v>0.45</v>
          </cell>
          <cell r="F110">
            <v>0.45</v>
          </cell>
          <cell r="H110">
            <v>-1.2150000000000001</v>
          </cell>
        </row>
        <row r="111">
          <cell r="A111">
            <v>2.4300000000000002</v>
          </cell>
          <cell r="C111">
            <v>-4</v>
          </cell>
          <cell r="D111">
            <v>-6</v>
          </cell>
          <cell r="E111">
            <v>3.9750000000000001</v>
          </cell>
          <cell r="F111">
            <v>0.25</v>
          </cell>
          <cell r="H111">
            <v>-5.9625000000000004</v>
          </cell>
        </row>
        <row r="112">
          <cell r="A112" t="str">
            <v>2.28a</v>
          </cell>
          <cell r="C112">
            <v>-4</v>
          </cell>
          <cell r="D112">
            <v>6</v>
          </cell>
          <cell r="E112">
            <v>0.45</v>
          </cell>
          <cell r="F112">
            <v>0.45</v>
          </cell>
          <cell r="G112">
            <v>2.65</v>
          </cell>
          <cell r="H112">
            <v>3.2197499999999999</v>
          </cell>
        </row>
        <row r="113">
          <cell r="A113" t="str">
            <v>2.28b</v>
          </cell>
          <cell r="C113">
            <v>-4</v>
          </cell>
          <cell r="D113">
            <v>6</v>
          </cell>
          <cell r="E113">
            <v>0.85</v>
          </cell>
          <cell r="F113">
            <v>0.5</v>
          </cell>
          <cell r="G113">
            <v>2.65</v>
          </cell>
          <cell r="H113">
            <v>6.7574999999999994</v>
          </cell>
        </row>
        <row r="114">
          <cell r="A114" t="str">
            <v>2.28c</v>
          </cell>
          <cell r="C114">
            <v>-4</v>
          </cell>
          <cell r="D114">
            <v>3</v>
          </cell>
          <cell r="E114">
            <v>1.1000000000000001</v>
          </cell>
          <cell r="F114">
            <v>1.1000000000000001</v>
          </cell>
          <cell r="G114">
            <v>2.65</v>
          </cell>
          <cell r="H114">
            <v>9.6195000000000022</v>
          </cell>
        </row>
        <row r="116">
          <cell r="H116">
            <v>0</v>
          </cell>
        </row>
        <row r="117">
          <cell r="H117">
            <v>0</v>
          </cell>
        </row>
        <row r="118">
          <cell r="H118">
            <v>0</v>
          </cell>
        </row>
        <row r="119">
          <cell r="H119">
            <v>0</v>
          </cell>
        </row>
        <row r="120">
          <cell r="H120">
            <v>0</v>
          </cell>
        </row>
        <row r="121">
          <cell r="H121">
            <v>0</v>
          </cell>
        </row>
        <row r="122">
          <cell r="H122">
            <v>0</v>
          </cell>
        </row>
        <row r="123">
          <cell r="H123">
            <v>0</v>
          </cell>
        </row>
        <row r="124">
          <cell r="H124">
            <v>0</v>
          </cell>
        </row>
        <row r="125">
          <cell r="H125">
            <v>0</v>
          </cell>
        </row>
        <row r="126">
          <cell r="H126">
            <v>0</v>
          </cell>
        </row>
        <row r="127">
          <cell r="H127">
            <v>0</v>
          </cell>
        </row>
        <row r="128">
          <cell r="H128">
            <v>0</v>
          </cell>
        </row>
        <row r="338">
          <cell r="H338">
            <v>0</v>
          </cell>
        </row>
        <row r="339">
          <cell r="H339">
            <v>0</v>
          </cell>
        </row>
        <row r="340">
          <cell r="H340">
            <v>0</v>
          </cell>
        </row>
        <row r="341">
          <cell r="H341">
            <v>0</v>
          </cell>
        </row>
        <row r="342">
          <cell r="H342">
            <v>0</v>
          </cell>
        </row>
        <row r="343">
          <cell r="H343">
            <v>0</v>
          </cell>
        </row>
        <row r="344">
          <cell r="H344">
            <v>0</v>
          </cell>
        </row>
        <row r="345">
          <cell r="H345">
            <v>0</v>
          </cell>
        </row>
        <row r="346">
          <cell r="H346">
            <v>0</v>
          </cell>
        </row>
        <row r="347">
          <cell r="H347">
            <v>0</v>
          </cell>
        </row>
        <row r="348">
          <cell r="H348">
            <v>0</v>
          </cell>
        </row>
        <row r="349">
          <cell r="H349">
            <v>0</v>
          </cell>
        </row>
        <row r="350">
          <cell r="H350">
            <v>0</v>
          </cell>
        </row>
        <row r="351">
          <cell r="H351">
            <v>0</v>
          </cell>
        </row>
        <row r="352">
          <cell r="H352">
            <v>0</v>
          </cell>
        </row>
        <row r="353">
          <cell r="H353">
            <v>0</v>
          </cell>
        </row>
        <row r="354">
          <cell r="H354">
            <v>0</v>
          </cell>
        </row>
        <row r="355">
          <cell r="H355">
            <v>0</v>
          </cell>
        </row>
        <row r="356">
          <cell r="H356">
            <v>0</v>
          </cell>
        </row>
        <row r="357">
          <cell r="H357">
            <v>0</v>
          </cell>
        </row>
        <row r="358">
          <cell r="H358">
            <v>0</v>
          </cell>
        </row>
        <row r="359">
          <cell r="H359">
            <v>0</v>
          </cell>
        </row>
        <row r="360">
          <cell r="H360">
            <v>0</v>
          </cell>
        </row>
        <row r="361">
          <cell r="H361">
            <v>0</v>
          </cell>
        </row>
        <row r="362">
          <cell r="H362">
            <v>0</v>
          </cell>
        </row>
        <row r="363">
          <cell r="H363">
            <v>0</v>
          </cell>
        </row>
        <row r="364">
          <cell r="H364">
            <v>0</v>
          </cell>
        </row>
        <row r="365">
          <cell r="H365">
            <v>0</v>
          </cell>
        </row>
        <row r="366">
          <cell r="H366">
            <v>0</v>
          </cell>
        </row>
        <row r="367">
          <cell r="H367">
            <v>0</v>
          </cell>
        </row>
        <row r="368">
          <cell r="H368">
            <v>0</v>
          </cell>
        </row>
        <row r="369">
          <cell r="H369">
            <v>0</v>
          </cell>
        </row>
        <row r="370">
          <cell r="H370">
            <v>0</v>
          </cell>
        </row>
        <row r="371">
          <cell r="H371">
            <v>0</v>
          </cell>
        </row>
        <row r="372">
          <cell r="H372">
            <v>0</v>
          </cell>
        </row>
        <row r="373">
          <cell r="H373">
            <v>0</v>
          </cell>
        </row>
        <row r="374">
          <cell r="H374">
            <v>0</v>
          </cell>
        </row>
        <row r="375">
          <cell r="H375">
            <v>0</v>
          </cell>
        </row>
        <row r="376">
          <cell r="H376">
            <v>0</v>
          </cell>
        </row>
        <row r="377">
          <cell r="H377">
            <v>0</v>
          </cell>
        </row>
        <row r="378">
          <cell r="H378">
            <v>0</v>
          </cell>
        </row>
        <row r="379">
          <cell r="H379">
            <v>0</v>
          </cell>
        </row>
        <row r="380">
          <cell r="H380">
            <v>0</v>
          </cell>
        </row>
        <row r="381">
          <cell r="H381">
            <v>0</v>
          </cell>
        </row>
        <row r="382">
          <cell r="H382">
            <v>0</v>
          </cell>
        </row>
        <row r="383">
          <cell r="H383">
            <v>0</v>
          </cell>
        </row>
        <row r="384">
          <cell r="H384">
            <v>0</v>
          </cell>
        </row>
        <row r="385">
          <cell r="H385">
            <v>0</v>
          </cell>
        </row>
        <row r="386">
          <cell r="H386">
            <v>0</v>
          </cell>
        </row>
        <row r="387">
          <cell r="H387">
            <v>0</v>
          </cell>
        </row>
        <row r="388">
          <cell r="H388">
            <v>0</v>
          </cell>
        </row>
        <row r="389">
          <cell r="H389">
            <v>0</v>
          </cell>
        </row>
        <row r="390">
          <cell r="H390">
            <v>0</v>
          </cell>
        </row>
        <row r="391">
          <cell r="H391">
            <v>0</v>
          </cell>
        </row>
        <row r="392">
          <cell r="H392">
            <v>0</v>
          </cell>
        </row>
        <row r="393">
          <cell r="H393">
            <v>0</v>
          </cell>
        </row>
        <row r="394">
          <cell r="H394">
            <v>0</v>
          </cell>
        </row>
        <row r="395">
          <cell r="H395">
            <v>0</v>
          </cell>
        </row>
        <row r="396">
          <cell r="H396">
            <v>0</v>
          </cell>
        </row>
        <row r="397">
          <cell r="H397">
            <v>0</v>
          </cell>
        </row>
        <row r="398">
          <cell r="H398">
            <v>0</v>
          </cell>
        </row>
        <row r="399">
          <cell r="H399">
            <v>0</v>
          </cell>
        </row>
        <row r="400">
          <cell r="H400">
            <v>0</v>
          </cell>
        </row>
        <row r="401">
          <cell r="H401">
            <v>0</v>
          </cell>
        </row>
        <row r="402">
          <cell r="H402">
            <v>0</v>
          </cell>
        </row>
        <row r="403">
          <cell r="H403">
            <v>0</v>
          </cell>
        </row>
        <row r="404">
          <cell r="H404">
            <v>0</v>
          </cell>
        </row>
        <row r="405">
          <cell r="H405">
            <v>0</v>
          </cell>
        </row>
        <row r="406">
          <cell r="H406">
            <v>0</v>
          </cell>
        </row>
        <row r="407">
          <cell r="H407">
            <v>0</v>
          </cell>
        </row>
        <row r="408">
          <cell r="H408">
            <v>0</v>
          </cell>
        </row>
        <row r="409">
          <cell r="H409">
            <v>0</v>
          </cell>
        </row>
        <row r="410">
          <cell r="H410">
            <v>0</v>
          </cell>
        </row>
        <row r="411">
          <cell r="H411">
            <v>0</v>
          </cell>
        </row>
        <row r="412">
          <cell r="H412">
            <v>0</v>
          </cell>
        </row>
        <row r="413">
          <cell r="H413">
            <v>0</v>
          </cell>
        </row>
        <row r="414">
          <cell r="H414">
            <v>0</v>
          </cell>
        </row>
        <row r="415">
          <cell r="H415">
            <v>0</v>
          </cell>
        </row>
        <row r="416">
          <cell r="H416">
            <v>0</v>
          </cell>
        </row>
        <row r="417">
          <cell r="H417">
            <v>0</v>
          </cell>
        </row>
        <row r="418">
          <cell r="H418">
            <v>0</v>
          </cell>
        </row>
        <row r="419">
          <cell r="H419">
            <v>0</v>
          </cell>
        </row>
        <row r="420">
          <cell r="H420">
            <v>0</v>
          </cell>
        </row>
        <row r="421">
          <cell r="H421">
            <v>0</v>
          </cell>
        </row>
        <row r="422">
          <cell r="H422">
            <v>0</v>
          </cell>
        </row>
        <row r="423">
          <cell r="H423">
            <v>0</v>
          </cell>
        </row>
        <row r="424">
          <cell r="H424">
            <v>0</v>
          </cell>
        </row>
        <row r="425">
          <cell r="H425">
            <v>0</v>
          </cell>
        </row>
        <row r="426">
          <cell r="H426">
            <v>0</v>
          </cell>
        </row>
        <row r="427">
          <cell r="H427">
            <v>0</v>
          </cell>
        </row>
        <row r="428">
          <cell r="H428">
            <v>0</v>
          </cell>
        </row>
        <row r="429">
          <cell r="H429">
            <v>0</v>
          </cell>
        </row>
        <row r="430">
          <cell r="H430">
            <v>0</v>
          </cell>
        </row>
        <row r="431">
          <cell r="H431">
            <v>0</v>
          </cell>
        </row>
        <row r="432">
          <cell r="H432">
            <v>0</v>
          </cell>
        </row>
        <row r="433">
          <cell r="H433">
            <v>0</v>
          </cell>
        </row>
        <row r="434">
          <cell r="H434">
            <v>0</v>
          </cell>
        </row>
        <row r="435">
          <cell r="H435">
            <v>0</v>
          </cell>
        </row>
        <row r="436">
          <cell r="H436">
            <v>0</v>
          </cell>
        </row>
        <row r="437">
          <cell r="H437">
            <v>0</v>
          </cell>
        </row>
        <row r="438">
          <cell r="H438">
            <v>0</v>
          </cell>
        </row>
        <row r="439">
          <cell r="H439">
            <v>0</v>
          </cell>
        </row>
        <row r="440">
          <cell r="H440">
            <v>0</v>
          </cell>
        </row>
        <row r="441">
          <cell r="H441">
            <v>0</v>
          </cell>
        </row>
        <row r="442">
          <cell r="H442">
            <v>0</v>
          </cell>
        </row>
        <row r="443">
          <cell r="H443">
            <v>0</v>
          </cell>
        </row>
        <row r="444">
          <cell r="H444">
            <v>0</v>
          </cell>
        </row>
        <row r="445">
          <cell r="H445">
            <v>0</v>
          </cell>
        </row>
        <row r="446">
          <cell r="H446">
            <v>0</v>
          </cell>
        </row>
        <row r="447">
          <cell r="H447">
            <v>0</v>
          </cell>
        </row>
        <row r="448">
          <cell r="H448">
            <v>0</v>
          </cell>
        </row>
        <row r="449">
          <cell r="H449">
            <v>0</v>
          </cell>
        </row>
        <row r="450">
          <cell r="H450">
            <v>0</v>
          </cell>
        </row>
        <row r="451">
          <cell r="H451">
            <v>0</v>
          </cell>
        </row>
        <row r="452">
          <cell r="H452">
            <v>0</v>
          </cell>
        </row>
        <row r="453">
          <cell r="H453">
            <v>0</v>
          </cell>
        </row>
        <row r="454">
          <cell r="H454">
            <v>0</v>
          </cell>
        </row>
        <row r="455">
          <cell r="H455">
            <v>0</v>
          </cell>
        </row>
        <row r="456">
          <cell r="H456">
            <v>0</v>
          </cell>
        </row>
        <row r="457">
          <cell r="H457">
            <v>0</v>
          </cell>
        </row>
        <row r="458">
          <cell r="H458">
            <v>0</v>
          </cell>
        </row>
        <row r="459">
          <cell r="H459">
            <v>0</v>
          </cell>
        </row>
        <row r="460">
          <cell r="H460">
            <v>0</v>
          </cell>
        </row>
        <row r="461">
          <cell r="H461">
            <v>0</v>
          </cell>
        </row>
        <row r="462">
          <cell r="H462">
            <v>0</v>
          </cell>
        </row>
        <row r="463">
          <cell r="H463">
            <v>0</v>
          </cell>
        </row>
        <row r="464">
          <cell r="H464">
            <v>0</v>
          </cell>
        </row>
        <row r="465">
          <cell r="H465">
            <v>0</v>
          </cell>
        </row>
        <row r="466">
          <cell r="H466">
            <v>0</v>
          </cell>
        </row>
        <row r="467">
          <cell r="H467">
            <v>0</v>
          </cell>
        </row>
        <row r="468">
          <cell r="H468">
            <v>0</v>
          </cell>
        </row>
        <row r="469">
          <cell r="H469">
            <v>0</v>
          </cell>
        </row>
        <row r="470">
          <cell r="H470">
            <v>0</v>
          </cell>
        </row>
        <row r="471">
          <cell r="H471">
            <v>0</v>
          </cell>
        </row>
        <row r="472">
          <cell r="H472">
            <v>0</v>
          </cell>
        </row>
        <row r="473">
          <cell r="H473">
            <v>0</v>
          </cell>
        </row>
        <row r="474">
          <cell r="H474">
            <v>0</v>
          </cell>
        </row>
        <row r="475">
          <cell r="H475">
            <v>0</v>
          </cell>
        </row>
        <row r="476">
          <cell r="H476">
            <v>0</v>
          </cell>
        </row>
        <row r="477">
          <cell r="H477">
            <v>0</v>
          </cell>
        </row>
        <row r="478">
          <cell r="H478">
            <v>0</v>
          </cell>
        </row>
        <row r="479">
          <cell r="H479">
            <v>0</v>
          </cell>
        </row>
        <row r="480">
          <cell r="H480">
            <v>0</v>
          </cell>
        </row>
        <row r="481">
          <cell r="H481">
            <v>0</v>
          </cell>
        </row>
        <row r="482">
          <cell r="H482">
            <v>0</v>
          </cell>
        </row>
        <row r="483">
          <cell r="H483">
            <v>0</v>
          </cell>
        </row>
        <row r="484">
          <cell r="H484">
            <v>0</v>
          </cell>
        </row>
        <row r="485">
          <cell r="H485">
            <v>0</v>
          </cell>
        </row>
        <row r="486">
          <cell r="H486">
            <v>0</v>
          </cell>
        </row>
        <row r="487">
          <cell r="H487">
            <v>0</v>
          </cell>
        </row>
        <row r="488">
          <cell r="H488">
            <v>0</v>
          </cell>
        </row>
        <row r="489">
          <cell r="H489">
            <v>0</v>
          </cell>
        </row>
        <row r="490">
          <cell r="H490">
            <v>0</v>
          </cell>
        </row>
        <row r="491">
          <cell r="H491">
            <v>0</v>
          </cell>
        </row>
        <row r="492">
          <cell r="H492">
            <v>0</v>
          </cell>
        </row>
        <row r="493">
          <cell r="H493">
            <v>0</v>
          </cell>
        </row>
        <row r="494">
          <cell r="H494">
            <v>0</v>
          </cell>
        </row>
        <row r="495">
          <cell r="H495">
            <v>0</v>
          </cell>
        </row>
        <row r="496">
          <cell r="H496">
            <v>0</v>
          </cell>
        </row>
        <row r="497">
          <cell r="H497">
            <v>0</v>
          </cell>
        </row>
        <row r="498">
          <cell r="H498">
            <v>0</v>
          </cell>
        </row>
        <row r="499">
          <cell r="H499">
            <v>0</v>
          </cell>
        </row>
        <row r="500">
          <cell r="H500">
            <v>0</v>
          </cell>
        </row>
        <row r="501">
          <cell r="H501">
            <v>0</v>
          </cell>
        </row>
        <row r="502">
          <cell r="H502">
            <v>0</v>
          </cell>
        </row>
        <row r="503">
          <cell r="H503">
            <v>0</v>
          </cell>
        </row>
        <row r="504">
          <cell r="H504">
            <v>0</v>
          </cell>
        </row>
        <row r="505">
          <cell r="H505">
            <v>0</v>
          </cell>
        </row>
        <row r="506">
          <cell r="H506">
            <v>0</v>
          </cell>
        </row>
        <row r="507">
          <cell r="H507">
            <v>0</v>
          </cell>
        </row>
        <row r="508">
          <cell r="H508">
            <v>0</v>
          </cell>
        </row>
        <row r="509">
          <cell r="H509">
            <v>0</v>
          </cell>
        </row>
        <row r="510">
          <cell r="H510">
            <v>0</v>
          </cell>
        </row>
        <row r="511">
          <cell r="H511">
            <v>0</v>
          </cell>
        </row>
        <row r="512">
          <cell r="H512">
            <v>0</v>
          </cell>
        </row>
        <row r="513">
          <cell r="H513">
            <v>0</v>
          </cell>
        </row>
        <row r="514">
          <cell r="H514">
            <v>0</v>
          </cell>
        </row>
        <row r="515">
          <cell r="H515">
            <v>0</v>
          </cell>
        </row>
        <row r="516">
          <cell r="H516">
            <v>0</v>
          </cell>
        </row>
        <row r="517">
          <cell r="H517">
            <v>0</v>
          </cell>
        </row>
        <row r="518">
          <cell r="H518">
            <v>0</v>
          </cell>
        </row>
        <row r="519">
          <cell r="H519">
            <v>0</v>
          </cell>
        </row>
        <row r="520">
          <cell r="H520">
            <v>0</v>
          </cell>
        </row>
        <row r="521">
          <cell r="H521">
            <v>0</v>
          </cell>
        </row>
        <row r="522">
          <cell r="H522">
            <v>0</v>
          </cell>
        </row>
        <row r="523">
          <cell r="H523">
            <v>0</v>
          </cell>
        </row>
        <row r="524">
          <cell r="H524">
            <v>0</v>
          </cell>
        </row>
        <row r="525">
          <cell r="H525">
            <v>0</v>
          </cell>
        </row>
        <row r="526">
          <cell r="H526">
            <v>0</v>
          </cell>
        </row>
        <row r="527">
          <cell r="H527">
            <v>0</v>
          </cell>
        </row>
        <row r="528">
          <cell r="H528">
            <v>0</v>
          </cell>
        </row>
        <row r="529">
          <cell r="H529">
            <v>0</v>
          </cell>
        </row>
        <row r="530">
          <cell r="H530">
            <v>0</v>
          </cell>
        </row>
        <row r="531">
          <cell r="H531">
            <v>0</v>
          </cell>
        </row>
        <row r="532">
          <cell r="H532">
            <v>0</v>
          </cell>
        </row>
        <row r="533">
          <cell r="H533">
            <v>0</v>
          </cell>
        </row>
        <row r="534">
          <cell r="H534">
            <v>0</v>
          </cell>
        </row>
        <row r="535">
          <cell r="H535">
            <v>0</v>
          </cell>
        </row>
        <row r="536">
          <cell r="H536">
            <v>0</v>
          </cell>
        </row>
        <row r="537">
          <cell r="H537">
            <v>0</v>
          </cell>
        </row>
        <row r="538">
          <cell r="H538">
            <v>0</v>
          </cell>
        </row>
        <row r="539">
          <cell r="H539">
            <v>0</v>
          </cell>
        </row>
        <row r="540">
          <cell r="H540">
            <v>0</v>
          </cell>
        </row>
        <row r="541">
          <cell r="H541">
            <v>0</v>
          </cell>
        </row>
        <row r="542">
          <cell r="H542">
            <v>0</v>
          </cell>
        </row>
        <row r="543">
          <cell r="H543">
            <v>0</v>
          </cell>
        </row>
        <row r="544">
          <cell r="H544">
            <v>0</v>
          </cell>
        </row>
        <row r="545">
          <cell r="H545">
            <v>0</v>
          </cell>
        </row>
        <row r="546">
          <cell r="H546">
            <v>0</v>
          </cell>
        </row>
        <row r="547">
          <cell r="H547">
            <v>0</v>
          </cell>
        </row>
        <row r="548">
          <cell r="H548">
            <v>0</v>
          </cell>
        </row>
        <row r="549">
          <cell r="H549">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FPC"/>
      <sheetName val="IPC"/>
      <sheetName val="IPC (60%)"/>
      <sheetName val="IPC (40%)"/>
      <sheetName val="CP"/>
      <sheetName val="CCS"/>
      <sheetName val="CCCS"/>
      <sheetName val="CMoW"/>
      <sheetName val="CP (M)"/>
      <sheetName val="CCS (X)"/>
      <sheetName val="CSR (X)"/>
      <sheetName val="MoW (X)"/>
      <sheetName val="CP (L)"/>
      <sheetName val="CCS (+XXX)"/>
      <sheetName val="MoW (+XXX)"/>
      <sheetName val="SDCP"/>
      <sheetName val="3"/>
      <sheetName val="4"/>
      <sheetName val="5"/>
      <sheetName val="6"/>
      <sheetName val="7"/>
      <sheetName val="8"/>
      <sheetName val="9"/>
      <sheetName val="10"/>
      <sheetName val="11"/>
      <sheetName val="12"/>
      <sheetName val="RBC CP"/>
      <sheetName val="Contractor's CCS"/>
      <sheetName val="CSR"/>
      <sheetName val="List"/>
    </sheetNames>
    <sheetDataSet>
      <sheetData sheetId="0">
        <row r="31">
          <cell r="C31">
            <v>42486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3">
          <cell r="B3" t="str">
            <v>230mm tk softstone wall, quarry faced both sides in foundations.</v>
          </cell>
        </row>
        <row r="161">
          <cell r="B161" t="str">
            <v>Supply, cut, bend and fix steel bar reinforcement:</v>
          </cell>
        </row>
        <row r="162">
          <cell r="B162">
            <v>0</v>
          </cell>
        </row>
        <row r="163">
          <cell r="B163" t="str">
            <v>10mm diameter</v>
          </cell>
        </row>
        <row r="164">
          <cell r="B164" t="str">
            <v>12mm diameter</v>
          </cell>
        </row>
        <row r="165">
          <cell r="B165" t="str">
            <v>16mm diameter</v>
          </cell>
        </row>
        <row r="166">
          <cell r="B166" t="str">
            <v>20mm diameter</v>
          </cell>
        </row>
        <row r="167">
          <cell r="B167" t="str">
            <v>25mm diameter</v>
          </cell>
        </row>
        <row r="168">
          <cell r="B168" t="str">
            <v>32mm diameter</v>
          </cell>
        </row>
        <row r="169">
          <cell r="B169" t="str">
            <v>Extra over for stirrups</v>
          </cell>
        </row>
        <row r="170">
          <cell r="B170">
            <v>0</v>
          </cell>
        </row>
        <row r="171">
          <cell r="B171" t="str">
            <v>Supply, cut, bend and fix steel mesh fabric reinforcement:</v>
          </cell>
        </row>
        <row r="172">
          <cell r="B172">
            <v>0</v>
          </cell>
        </row>
        <row r="173">
          <cell r="B173" t="str">
            <v>A 98; weighing 1.54kg/m2; lapped a minimum of 150mm</v>
          </cell>
        </row>
        <row r="174">
          <cell r="B174" t="str">
            <v>A252; weighing 3.95kg/m2; lapped a minimum of 150mm</v>
          </cell>
        </row>
        <row r="175">
          <cell r="B175" t="str">
            <v>A393; weighing 6.16kg/m2; lapped a minimum of 150mm</v>
          </cell>
        </row>
        <row r="176">
          <cell r="B176" t="str">
            <v>A503; weighing 7.90kg/m2; lapped a minimum of 150mm</v>
          </cell>
        </row>
        <row r="177">
          <cell r="B177" t="str">
            <v>B503; weighing 5.93kg/m2; lapped a minimum of 150mm</v>
          </cell>
        </row>
        <row r="178">
          <cell r="B178" t="str">
            <v>C503; weighing 4.34kg/m2; lapped a minimum of 150mm</v>
          </cell>
        </row>
        <row r="275">
          <cell r="B275" t="str">
            <v>Bill No.3 : EXCAVATION</v>
          </cell>
        </row>
        <row r="276">
          <cell r="B276">
            <v>0</v>
          </cell>
        </row>
        <row r="277">
          <cell r="B277" t="str">
            <v>Excavate in loose material and cartaway all resulting materials off-site to an approved tipping site.</v>
          </cell>
        </row>
        <row r="278">
          <cell r="B278">
            <v>0</v>
          </cell>
        </row>
        <row r="279">
          <cell r="B279" t="str">
            <v>Excavate in existing soil load and store for eventual use.</v>
          </cell>
        </row>
        <row r="280">
          <cell r="B280">
            <v>0</v>
          </cell>
        </row>
        <row r="281">
          <cell r="B281" t="str">
            <v>Excavate in rock to reduce level and cartaway all resulting materials offsite to an aprroved tipping site.</v>
          </cell>
        </row>
        <row r="282">
          <cell r="B282">
            <v>0</v>
          </cell>
        </row>
        <row r="283">
          <cell r="B283" t="str">
            <v>Excavate trench in rock including cleaning to receive blinding and cart-away all resultant materials off-site (maximum depth of 1.00m) to an aprroved tipping site.</v>
          </cell>
        </row>
        <row r="284">
          <cell r="B284">
            <v>0</v>
          </cell>
        </row>
        <row r="285">
          <cell r="B285" t="str">
            <v>Excavate to form pits, reservoir and footings including cleaning to receive blinding and cartingaway of all resulting materials offsite to an aprroved tipping site.</v>
          </cell>
        </row>
        <row r="286">
          <cell r="B286">
            <v>0</v>
          </cell>
        </row>
        <row r="287">
          <cell r="B287" t="str">
            <v>TRIMMING FACES EXCAVATED IN ROCK INCLUDING REMOVAL OF UNSTABLE GROUND, FLAKING STONE, MAKING GOOD FISSURES ETC ALL SIZES AND SHAPES AND IRREGULARITIES</v>
          </cell>
        </row>
        <row r="288">
          <cell r="B288">
            <v>0</v>
          </cell>
        </row>
        <row r="289">
          <cell r="B289" t="str">
            <v>Horizontal trimming in rock and cartaway all resulting materials offsite to an aprroved tipping site.</v>
          </cell>
        </row>
        <row r="290">
          <cell r="B290">
            <v>0</v>
          </cell>
        </row>
        <row r="291">
          <cell r="B291" t="str">
            <v>Vertical trimming in rock and cartaway all resulting materials offsite
2 to an aprroved tipping site.</v>
          </cell>
        </row>
        <row r="292">
          <cell r="B292">
            <v>0</v>
          </cell>
        </row>
        <row r="293">
          <cell r="B293" t="str">
            <v>BACKFILLING</v>
          </cell>
        </row>
        <row r="294">
          <cell r="B294">
            <v>0</v>
          </cell>
        </row>
        <row r="295">
          <cell r="B295" t="str">
            <v>Supply, hoist, spread and level approved hardcore fill to the required levels</v>
          </cell>
        </row>
        <row r="296">
          <cell r="B296">
            <v>0</v>
          </cell>
        </row>
        <row r="297">
          <cell r="B297" t="str">
            <v>Supply, hoist, spread and level imported fill (stone chippings) in foundations.</v>
          </cell>
        </row>
        <row r="298">
          <cell r="B298">
            <v>0</v>
          </cell>
        </row>
        <row r="299">
          <cell r="B299" t="str">
            <v>Supply, hoist, lay, spread and level vegetable soil as instructed.</v>
          </cell>
        </row>
        <row r="300">
          <cell r="B300">
            <v>0</v>
          </cell>
        </row>
        <row r="301">
          <cell r="B301" t="str">
            <v>Supply, hoist, spread and level imported fill (excavated rock) in foundations.</v>
          </cell>
        </row>
        <row r="302">
          <cell r="B302">
            <v>0</v>
          </cell>
        </row>
        <row r="303">
          <cell r="B303" t="str">
            <v>Supply, hoist, spread and level imported fill (zrar tal- franka) to the required levels.</v>
          </cell>
        </row>
        <row r="304">
          <cell r="B304">
            <v>0</v>
          </cell>
        </row>
        <row r="305">
          <cell r="B305" t="str">
            <v>Supply, hoist, spread and level imported fill (zrar tal- qawwi) to the required levels.</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5"/>
      <sheetName val="Data"/>
      <sheetName val="BOQ"/>
      <sheetName val="Pivot"/>
      <sheetName val="Sheet2"/>
      <sheetName val="BOQ (2)"/>
      <sheetName val="Sheet3"/>
      <sheetName val="BOQ_(2)"/>
      <sheetName val="BOQ_(2)1"/>
      <sheetName val="BOQ_(2)2"/>
      <sheetName val="BOQ_(2)3"/>
      <sheetName val="BOQ_(2)4"/>
      <sheetName val="BOQ_(2)5"/>
      <sheetName val="BOQ_(2)6"/>
      <sheetName val="BOQ_(2)7"/>
      <sheetName val="BOQ_(2)8"/>
      <sheetName val="BOQ_(2)9"/>
      <sheetName val="BOQ_(2)10"/>
      <sheetName val="BOQ_(2)11"/>
    </sheetNames>
    <sheetDataSet>
      <sheetData sheetId="0"/>
      <sheetData sheetId="1">
        <row r="1">
          <cell r="A1" t="str">
            <v>Item</v>
          </cell>
          <cell r="B1" t="str">
            <v>Location</v>
          </cell>
          <cell r="C1" t="str">
            <v>Level</v>
          </cell>
          <cell r="D1" t="str">
            <v>Multiplier</v>
          </cell>
          <cell r="E1" t="str">
            <v>Length</v>
          </cell>
          <cell r="F1" t="str">
            <v>Width</v>
          </cell>
          <cell r="G1" t="str">
            <v>Height</v>
          </cell>
          <cell r="H1" t="str">
            <v>Total</v>
          </cell>
        </row>
        <row r="2">
          <cell r="A2">
            <v>2.23</v>
          </cell>
          <cell r="B2" t="str">
            <v>wall XX,YY,ZZ</v>
          </cell>
          <cell r="C2">
            <v>-5</v>
          </cell>
          <cell r="D2">
            <v>3</v>
          </cell>
          <cell r="E2">
            <v>4.0999999999999996</v>
          </cell>
          <cell r="G2">
            <v>3.0950000000000002</v>
          </cell>
          <cell r="H2">
            <v>38.0685</v>
          </cell>
        </row>
        <row r="3">
          <cell r="A3">
            <v>2.23</v>
          </cell>
          <cell r="B3" t="str">
            <v>wall XX,YY,ZZ</v>
          </cell>
          <cell r="C3">
            <v>-5</v>
          </cell>
          <cell r="D3">
            <v>3</v>
          </cell>
          <cell r="E3">
            <v>3.9</v>
          </cell>
          <cell r="G3">
            <v>3.0950000000000002</v>
          </cell>
          <cell r="H3">
            <v>36.211500000000001</v>
          </cell>
        </row>
        <row r="4">
          <cell r="A4">
            <v>2.23</v>
          </cell>
          <cell r="B4" t="str">
            <v>Core 1-5</v>
          </cell>
          <cell r="C4">
            <v>-5</v>
          </cell>
          <cell r="D4">
            <v>1</v>
          </cell>
          <cell r="E4">
            <v>12.5</v>
          </cell>
          <cell r="G4">
            <v>3.0950000000000002</v>
          </cell>
          <cell r="H4">
            <v>38.6875</v>
          </cell>
        </row>
        <row r="5">
          <cell r="A5">
            <v>2.23</v>
          </cell>
          <cell r="B5" t="str">
            <v>Core  3-5</v>
          </cell>
          <cell r="C5">
            <v>-5</v>
          </cell>
          <cell r="D5">
            <v>1</v>
          </cell>
          <cell r="E5">
            <v>6.8</v>
          </cell>
          <cell r="G5">
            <v>3.0950000000000002</v>
          </cell>
          <cell r="H5">
            <v>21.045999999999999</v>
          </cell>
        </row>
        <row r="6">
          <cell r="A6">
            <v>2.23</v>
          </cell>
          <cell r="B6" t="str">
            <v>Core 7/ 10-12</v>
          </cell>
          <cell r="C6">
            <v>-5</v>
          </cell>
          <cell r="D6">
            <v>1</v>
          </cell>
          <cell r="E6">
            <v>5</v>
          </cell>
          <cell r="G6">
            <v>3.0950000000000002</v>
          </cell>
          <cell r="H6">
            <v>15.475000000000001</v>
          </cell>
        </row>
        <row r="7">
          <cell r="A7">
            <v>2.23</v>
          </cell>
          <cell r="B7" t="str">
            <v>Core 2/7a</v>
          </cell>
          <cell r="C7">
            <v>-5</v>
          </cell>
          <cell r="D7">
            <v>1</v>
          </cell>
          <cell r="E7">
            <v>2.4</v>
          </cell>
          <cell r="G7">
            <v>3.0950000000000002</v>
          </cell>
          <cell r="H7">
            <v>7.4279999999999999</v>
          </cell>
        </row>
        <row r="8">
          <cell r="A8">
            <v>2.23</v>
          </cell>
          <cell r="B8" t="str">
            <v>Core (1-6)-(7-8)</v>
          </cell>
          <cell r="C8">
            <v>-5</v>
          </cell>
          <cell r="D8">
            <v>2</v>
          </cell>
          <cell r="E8">
            <v>2.2999999999999998</v>
          </cell>
          <cell r="G8">
            <v>3.0950000000000002</v>
          </cell>
          <cell r="H8">
            <v>14.237</v>
          </cell>
        </row>
        <row r="9">
          <cell r="A9">
            <v>2.23</v>
          </cell>
          <cell r="B9" t="str">
            <v>Core(6-6a)-(6a-8)</v>
          </cell>
          <cell r="C9">
            <v>-5</v>
          </cell>
          <cell r="D9">
            <v>2</v>
          </cell>
          <cell r="E9">
            <v>2.2999999999999998</v>
          </cell>
          <cell r="G9">
            <v>3.0950000000000002</v>
          </cell>
          <cell r="H9">
            <v>14.237</v>
          </cell>
        </row>
        <row r="10">
          <cell r="A10">
            <v>2.23</v>
          </cell>
          <cell r="B10" t="str">
            <v>Core 8 -18</v>
          </cell>
          <cell r="C10">
            <v>-5</v>
          </cell>
          <cell r="D10">
            <v>1</v>
          </cell>
          <cell r="E10">
            <v>4.8</v>
          </cell>
          <cell r="G10">
            <v>3.0950000000000002</v>
          </cell>
          <cell r="H10">
            <v>14.856</v>
          </cell>
        </row>
        <row r="11">
          <cell r="A11">
            <v>2.23</v>
          </cell>
          <cell r="B11" t="str">
            <v>Core (10-12)-18</v>
          </cell>
          <cell r="C11">
            <v>-5</v>
          </cell>
          <cell r="D11">
            <v>1</v>
          </cell>
          <cell r="E11">
            <v>5</v>
          </cell>
          <cell r="G11">
            <v>3.0950000000000002</v>
          </cell>
          <cell r="H11">
            <v>15.475000000000001</v>
          </cell>
        </row>
        <row r="12">
          <cell r="A12">
            <v>2.23</v>
          </cell>
          <cell r="B12" t="str">
            <v>Core(19-(1-6)-2-18)</v>
          </cell>
          <cell r="C12">
            <v>-5</v>
          </cell>
          <cell r="D12">
            <v>2</v>
          </cell>
          <cell r="E12">
            <v>10.5</v>
          </cell>
          <cell r="G12">
            <v>3.0950000000000002</v>
          </cell>
          <cell r="H12">
            <v>64.995000000000005</v>
          </cell>
        </row>
        <row r="13">
          <cell r="A13">
            <v>2.23</v>
          </cell>
          <cell r="B13" t="str">
            <v xml:space="preserve"> 2-3</v>
          </cell>
          <cell r="C13">
            <v>-5</v>
          </cell>
          <cell r="D13">
            <v>1</v>
          </cell>
          <cell r="E13">
            <v>3</v>
          </cell>
          <cell r="G13">
            <v>3.0950000000000002</v>
          </cell>
          <cell r="H13">
            <v>9.2850000000000001</v>
          </cell>
        </row>
        <row r="14">
          <cell r="A14">
            <v>2.23</v>
          </cell>
          <cell r="B14" t="str">
            <v>(3-4) - (4-5)</v>
          </cell>
          <cell r="C14">
            <v>-5</v>
          </cell>
          <cell r="D14">
            <v>2</v>
          </cell>
          <cell r="E14">
            <v>2.2999999999999998</v>
          </cell>
          <cell r="G14">
            <v>3.0950000000000002</v>
          </cell>
          <cell r="H14">
            <v>14.237</v>
          </cell>
        </row>
        <row r="15">
          <cell r="A15">
            <v>2.23</v>
          </cell>
          <cell r="B15">
            <v>5</v>
          </cell>
          <cell r="C15">
            <v>-5</v>
          </cell>
          <cell r="D15">
            <v>1</v>
          </cell>
          <cell r="E15">
            <v>4.5</v>
          </cell>
          <cell r="G15">
            <v>3.0950000000000002</v>
          </cell>
          <cell r="H15">
            <v>13.9275</v>
          </cell>
        </row>
        <row r="16">
          <cell r="A16">
            <v>2.23</v>
          </cell>
          <cell r="B16" t="str">
            <v>(8-10)-(11-12)</v>
          </cell>
          <cell r="C16">
            <v>-5</v>
          </cell>
          <cell r="D16">
            <v>2</v>
          </cell>
          <cell r="E16">
            <v>5.9</v>
          </cell>
          <cell r="G16">
            <v>3.0950000000000002</v>
          </cell>
          <cell r="H16">
            <v>36.521000000000008</v>
          </cell>
        </row>
        <row r="17">
          <cell r="A17">
            <v>2.23</v>
          </cell>
          <cell r="B17" t="str">
            <v>Core 10-11</v>
          </cell>
          <cell r="C17">
            <v>-5</v>
          </cell>
          <cell r="D17">
            <v>1</v>
          </cell>
          <cell r="E17">
            <v>4.7</v>
          </cell>
          <cell r="G17">
            <v>3.0950000000000002</v>
          </cell>
          <cell r="H17">
            <v>14.546500000000002</v>
          </cell>
        </row>
        <row r="18">
          <cell r="A18">
            <v>2.23</v>
          </cell>
          <cell r="B18" t="str">
            <v>Core 7a - 8</v>
          </cell>
          <cell r="C18">
            <v>-5</v>
          </cell>
          <cell r="D18">
            <v>1</v>
          </cell>
          <cell r="E18">
            <v>2.7</v>
          </cell>
          <cell r="G18">
            <v>3.0950000000000002</v>
          </cell>
          <cell r="H18">
            <v>8.3565000000000005</v>
          </cell>
        </row>
        <row r="19">
          <cell r="A19">
            <v>2.23</v>
          </cell>
          <cell r="C19">
            <v>-5</v>
          </cell>
          <cell r="D19">
            <v>-1</v>
          </cell>
          <cell r="E19">
            <v>1</v>
          </cell>
          <cell r="G19">
            <v>2</v>
          </cell>
          <cell r="H19">
            <v>-2</v>
          </cell>
        </row>
        <row r="20">
          <cell r="A20">
            <v>2.23</v>
          </cell>
          <cell r="C20">
            <v>-5</v>
          </cell>
          <cell r="D20">
            <v>1</v>
          </cell>
          <cell r="E20">
            <v>4.0999999999999996</v>
          </cell>
          <cell r="G20">
            <v>0.27500000000000002</v>
          </cell>
          <cell r="H20">
            <v>1.1274999999999999</v>
          </cell>
        </row>
        <row r="21">
          <cell r="A21">
            <v>2.23</v>
          </cell>
          <cell r="C21">
            <v>-5</v>
          </cell>
          <cell r="D21">
            <v>1</v>
          </cell>
          <cell r="E21">
            <v>0.75</v>
          </cell>
          <cell r="G21">
            <v>0.27500000000000002</v>
          </cell>
          <cell r="H21">
            <v>0.20625000000000002</v>
          </cell>
        </row>
        <row r="22">
          <cell r="A22">
            <v>2.23</v>
          </cell>
          <cell r="B22" t="str">
            <v>wall XX,YY,ZZ</v>
          </cell>
          <cell r="C22">
            <v>-4</v>
          </cell>
          <cell r="D22">
            <v>3</v>
          </cell>
          <cell r="E22">
            <v>4.0999999999999996</v>
          </cell>
          <cell r="G22">
            <v>2.65</v>
          </cell>
          <cell r="H22">
            <v>32.594999999999999</v>
          </cell>
        </row>
        <row r="23">
          <cell r="A23">
            <v>2.23</v>
          </cell>
          <cell r="B23" t="str">
            <v>wall XX,YY,ZZ</v>
          </cell>
          <cell r="C23">
            <v>-4</v>
          </cell>
          <cell r="D23">
            <v>3</v>
          </cell>
          <cell r="E23">
            <v>3.9</v>
          </cell>
          <cell r="G23">
            <v>2.65</v>
          </cell>
          <cell r="H23">
            <v>31.004999999999995</v>
          </cell>
        </row>
        <row r="24">
          <cell r="A24">
            <v>2.23</v>
          </cell>
          <cell r="B24" t="str">
            <v>Core 2-5</v>
          </cell>
          <cell r="C24">
            <v>-4</v>
          </cell>
          <cell r="D24">
            <v>1</v>
          </cell>
          <cell r="E24">
            <v>9.73</v>
          </cell>
          <cell r="G24">
            <v>2.7250000000000001</v>
          </cell>
          <cell r="H24">
            <v>26.514250000000001</v>
          </cell>
        </row>
        <row r="25">
          <cell r="A25">
            <v>2.23</v>
          </cell>
          <cell r="B25" t="str">
            <v>Core 2-7a</v>
          </cell>
          <cell r="C25">
            <v>-4</v>
          </cell>
          <cell r="D25">
            <v>1</v>
          </cell>
          <cell r="E25">
            <v>2.4</v>
          </cell>
          <cell r="G25">
            <v>2.7250000000000001</v>
          </cell>
          <cell r="H25">
            <v>6.54</v>
          </cell>
        </row>
        <row r="26">
          <cell r="A26">
            <v>2.23</v>
          </cell>
          <cell r="B26" t="str">
            <v>Core 7 / 3-5</v>
          </cell>
          <cell r="C26">
            <v>-4</v>
          </cell>
          <cell r="D26">
            <v>1</v>
          </cell>
          <cell r="E26">
            <v>6.83</v>
          </cell>
          <cell r="G26">
            <v>2.7250000000000001</v>
          </cell>
          <cell r="H26">
            <v>18.611750000000001</v>
          </cell>
        </row>
        <row r="27">
          <cell r="A27">
            <v>2.23</v>
          </cell>
          <cell r="B27" t="str">
            <v>Core 1 - 6 / 6 - 6a</v>
          </cell>
          <cell r="C27">
            <v>-4</v>
          </cell>
          <cell r="D27">
            <v>2</v>
          </cell>
          <cell r="E27">
            <v>2.2999999999999998</v>
          </cell>
          <cell r="G27">
            <v>2.7250000000000001</v>
          </cell>
          <cell r="H27">
            <v>12.535</v>
          </cell>
        </row>
        <row r="28">
          <cell r="A28">
            <v>2.23</v>
          </cell>
          <cell r="B28" t="str">
            <v>Core 7 - 8</v>
          </cell>
          <cell r="C28">
            <v>-4</v>
          </cell>
          <cell r="D28">
            <v>1</v>
          </cell>
          <cell r="E28">
            <v>2.2999999999999998</v>
          </cell>
          <cell r="G28">
            <v>2.7250000000000001</v>
          </cell>
          <cell r="H28">
            <v>6.2675000000000001</v>
          </cell>
        </row>
        <row r="29">
          <cell r="A29">
            <v>2.23</v>
          </cell>
          <cell r="B29" t="str">
            <v>Core 7 - (10-12)</v>
          </cell>
          <cell r="C29">
            <v>-4</v>
          </cell>
          <cell r="D29">
            <v>1</v>
          </cell>
          <cell r="E29">
            <v>4.9800000000000004</v>
          </cell>
          <cell r="G29">
            <v>2.7250000000000001</v>
          </cell>
          <cell r="H29">
            <v>13.570500000000001</v>
          </cell>
        </row>
        <row r="30">
          <cell r="A30">
            <v>2.23</v>
          </cell>
          <cell r="B30" t="str">
            <v>Core (8-7a) - 18</v>
          </cell>
          <cell r="C30">
            <v>-4</v>
          </cell>
          <cell r="D30">
            <v>1</v>
          </cell>
          <cell r="E30">
            <v>4.75</v>
          </cell>
          <cell r="G30">
            <v>2.7250000000000001</v>
          </cell>
          <cell r="H30">
            <v>12.94375</v>
          </cell>
        </row>
        <row r="31">
          <cell r="A31">
            <v>2.23</v>
          </cell>
          <cell r="B31" t="str">
            <v>Core (10-12)-18</v>
          </cell>
          <cell r="C31">
            <v>-4</v>
          </cell>
          <cell r="D31">
            <v>1</v>
          </cell>
          <cell r="E31">
            <v>3.43</v>
          </cell>
          <cell r="G31">
            <v>2.7250000000000001</v>
          </cell>
          <cell r="H31">
            <v>9.3467500000000001</v>
          </cell>
        </row>
        <row r="32">
          <cell r="A32">
            <v>2.23</v>
          </cell>
          <cell r="B32" t="str">
            <v>Core (1-6)-(2-7a)</v>
          </cell>
          <cell r="C32">
            <v>-4</v>
          </cell>
          <cell r="D32">
            <v>1</v>
          </cell>
          <cell r="E32">
            <v>8.2850000000000001</v>
          </cell>
          <cell r="G32">
            <v>2.7250000000000001</v>
          </cell>
          <cell r="H32">
            <v>22.576625</v>
          </cell>
        </row>
        <row r="33">
          <cell r="A33">
            <v>2.23</v>
          </cell>
          <cell r="B33" t="str">
            <v xml:space="preserve"> 2- 3</v>
          </cell>
          <cell r="C33">
            <v>-4</v>
          </cell>
          <cell r="D33">
            <v>1</v>
          </cell>
          <cell r="E33">
            <v>3.25</v>
          </cell>
          <cell r="G33">
            <v>2.7250000000000001</v>
          </cell>
          <cell r="H33">
            <v>8.8562500000000011</v>
          </cell>
        </row>
        <row r="34">
          <cell r="A34">
            <v>2.23</v>
          </cell>
          <cell r="B34" t="str">
            <v>(3-4) - (4-5)</v>
          </cell>
          <cell r="C34">
            <v>-4</v>
          </cell>
          <cell r="D34">
            <v>2</v>
          </cell>
          <cell r="E34">
            <v>2.2999999999999998</v>
          </cell>
          <cell r="G34">
            <v>2.7250000000000001</v>
          </cell>
          <cell r="H34">
            <v>12.535</v>
          </cell>
        </row>
        <row r="35">
          <cell r="A35">
            <v>2.23</v>
          </cell>
          <cell r="B35" t="str">
            <v xml:space="preserve"> 5 - 7</v>
          </cell>
          <cell r="C35">
            <v>-4</v>
          </cell>
          <cell r="D35">
            <v>1</v>
          </cell>
          <cell r="E35">
            <v>4.71</v>
          </cell>
          <cell r="G35">
            <v>2.7250000000000001</v>
          </cell>
          <cell r="H35">
            <v>12.83475</v>
          </cell>
        </row>
        <row r="36">
          <cell r="A36">
            <v>2.23</v>
          </cell>
          <cell r="B36" t="str">
            <v>7a - 8</v>
          </cell>
          <cell r="C36">
            <v>-4</v>
          </cell>
          <cell r="D36">
            <v>1</v>
          </cell>
          <cell r="E36">
            <v>2.65</v>
          </cell>
          <cell r="G36">
            <v>2.7250000000000001</v>
          </cell>
          <cell r="H36">
            <v>7.2212500000000004</v>
          </cell>
        </row>
        <row r="37">
          <cell r="A37">
            <v>2.23</v>
          </cell>
          <cell r="B37" t="str">
            <v>Core 10 - 8</v>
          </cell>
          <cell r="C37">
            <v>-4</v>
          </cell>
          <cell r="D37">
            <v>1</v>
          </cell>
          <cell r="E37">
            <v>4.2850000000000001</v>
          </cell>
          <cell r="G37">
            <v>2.7250000000000001</v>
          </cell>
          <cell r="H37">
            <v>11.676625000000001</v>
          </cell>
        </row>
        <row r="38">
          <cell r="A38">
            <v>2.23</v>
          </cell>
          <cell r="B38" t="str">
            <v xml:space="preserve"> 10-11</v>
          </cell>
          <cell r="C38">
            <v>-4</v>
          </cell>
          <cell r="D38">
            <v>1</v>
          </cell>
          <cell r="E38">
            <v>4.71</v>
          </cell>
          <cell r="G38">
            <v>2.7250000000000001</v>
          </cell>
          <cell r="H38">
            <v>12.83475</v>
          </cell>
        </row>
        <row r="39">
          <cell r="A39">
            <v>2.23</v>
          </cell>
          <cell r="B39" t="str">
            <v xml:space="preserve"> 11 - 12</v>
          </cell>
          <cell r="C39">
            <v>-4</v>
          </cell>
          <cell r="D39">
            <v>1</v>
          </cell>
          <cell r="E39">
            <v>5.91</v>
          </cell>
          <cell r="G39">
            <v>2.7250000000000001</v>
          </cell>
          <cell r="H39">
            <v>16.104749999999999</v>
          </cell>
        </row>
        <row r="40">
          <cell r="A40">
            <v>2.23</v>
          </cell>
          <cell r="B40" t="str">
            <v>1 - 6a</v>
          </cell>
          <cell r="C40">
            <v>-4</v>
          </cell>
          <cell r="D40">
            <v>1</v>
          </cell>
          <cell r="E40">
            <v>8.92</v>
          </cell>
          <cell r="G40">
            <v>2.65</v>
          </cell>
          <cell r="H40">
            <v>23.637999999999998</v>
          </cell>
        </row>
        <row r="41">
          <cell r="A41">
            <v>2.23</v>
          </cell>
          <cell r="B41" t="str">
            <v>6a - 18</v>
          </cell>
          <cell r="C41">
            <v>-4</v>
          </cell>
          <cell r="D41">
            <v>1</v>
          </cell>
          <cell r="E41">
            <v>2.2999999999999998</v>
          </cell>
          <cell r="G41">
            <v>2.65</v>
          </cell>
          <cell r="H41">
            <v>6.0949999999999998</v>
          </cell>
        </row>
        <row r="42">
          <cell r="A42">
            <v>2.23</v>
          </cell>
          <cell r="B42" t="str">
            <v>6a - 18</v>
          </cell>
          <cell r="C42">
            <v>-4</v>
          </cell>
          <cell r="D42">
            <v>1</v>
          </cell>
          <cell r="E42">
            <v>2.1749999999999998</v>
          </cell>
          <cell r="G42">
            <v>2.65</v>
          </cell>
          <cell r="H42">
            <v>5.763749999999999</v>
          </cell>
        </row>
        <row r="43">
          <cell r="A43">
            <v>2.23</v>
          </cell>
          <cell r="B43" t="str">
            <v xml:space="preserve"> 18 - 10</v>
          </cell>
          <cell r="C43">
            <v>-4</v>
          </cell>
          <cell r="D43">
            <v>1</v>
          </cell>
          <cell r="E43">
            <v>1.875</v>
          </cell>
          <cell r="G43">
            <v>2.65</v>
          </cell>
          <cell r="H43">
            <v>4.96875</v>
          </cell>
        </row>
        <row r="44">
          <cell r="A44">
            <v>2.23</v>
          </cell>
          <cell r="B44" t="str">
            <v xml:space="preserve"> 18 - 10</v>
          </cell>
          <cell r="C44">
            <v>-4</v>
          </cell>
          <cell r="D44">
            <v>1</v>
          </cell>
          <cell r="E44">
            <v>0.5</v>
          </cell>
          <cell r="G44">
            <v>2.65</v>
          </cell>
          <cell r="H44">
            <v>1.325</v>
          </cell>
        </row>
        <row r="45">
          <cell r="A45">
            <v>2.23</v>
          </cell>
          <cell r="B45">
            <v>1</v>
          </cell>
          <cell r="C45">
            <v>-4</v>
          </cell>
          <cell r="D45">
            <v>1</v>
          </cell>
          <cell r="E45">
            <v>1.54</v>
          </cell>
          <cell r="G45">
            <v>2.9249999999999998</v>
          </cell>
          <cell r="H45">
            <v>4.5045000000000002</v>
          </cell>
        </row>
        <row r="46">
          <cell r="A46">
            <v>2.23</v>
          </cell>
          <cell r="B46">
            <v>1</v>
          </cell>
          <cell r="C46">
            <v>-4</v>
          </cell>
          <cell r="D46">
            <v>1</v>
          </cell>
          <cell r="E46">
            <v>2.5499999999999998</v>
          </cell>
          <cell r="G46">
            <v>2.9249999999999998</v>
          </cell>
          <cell r="H46">
            <v>7.4587499999999993</v>
          </cell>
        </row>
        <row r="47">
          <cell r="A47">
            <v>2.23</v>
          </cell>
          <cell r="B47">
            <v>12</v>
          </cell>
          <cell r="C47">
            <v>-4</v>
          </cell>
          <cell r="D47">
            <v>1</v>
          </cell>
          <cell r="E47">
            <v>0.75</v>
          </cell>
          <cell r="G47">
            <v>2.9249999999999998</v>
          </cell>
          <cell r="H47">
            <v>2.1937499999999996</v>
          </cell>
        </row>
        <row r="48">
          <cell r="A48">
            <v>4.01</v>
          </cell>
          <cell r="C48">
            <v>-5</v>
          </cell>
          <cell r="D48">
            <v>1</v>
          </cell>
          <cell r="E48">
            <v>27.2</v>
          </cell>
          <cell r="F48">
            <v>23.1</v>
          </cell>
          <cell r="H48">
            <v>628.32000000000005</v>
          </cell>
        </row>
        <row r="49">
          <cell r="A49">
            <v>4.01</v>
          </cell>
          <cell r="C49">
            <v>-5</v>
          </cell>
          <cell r="D49">
            <v>1</v>
          </cell>
          <cell r="E49">
            <v>20.27</v>
          </cell>
          <cell r="F49">
            <v>1.9</v>
          </cell>
          <cell r="H49">
            <v>38.512999999999998</v>
          </cell>
        </row>
        <row r="50">
          <cell r="A50">
            <v>4.01</v>
          </cell>
          <cell r="C50">
            <v>-5</v>
          </cell>
          <cell r="D50">
            <v>1</v>
          </cell>
          <cell r="E50">
            <v>4.8</v>
          </cell>
          <cell r="F50">
            <v>1</v>
          </cell>
          <cell r="H50">
            <v>4.8</v>
          </cell>
        </row>
        <row r="51">
          <cell r="A51">
            <v>4.01</v>
          </cell>
          <cell r="C51">
            <v>-5</v>
          </cell>
          <cell r="D51">
            <v>1</v>
          </cell>
          <cell r="E51">
            <v>106.94</v>
          </cell>
          <cell r="G51">
            <v>2.27</v>
          </cell>
          <cell r="H51">
            <v>242.75379999999998</v>
          </cell>
        </row>
        <row r="52">
          <cell r="A52">
            <v>4.01</v>
          </cell>
          <cell r="C52">
            <v>-5</v>
          </cell>
          <cell r="D52">
            <v>-1</v>
          </cell>
          <cell r="E52">
            <v>7.55</v>
          </cell>
          <cell r="G52">
            <v>0.81</v>
          </cell>
          <cell r="H52">
            <v>-6.1154999999999999</v>
          </cell>
        </row>
        <row r="53">
          <cell r="A53">
            <v>4.05</v>
          </cell>
          <cell r="B53" t="str">
            <v>North side</v>
          </cell>
          <cell r="C53">
            <v>-5</v>
          </cell>
          <cell r="D53">
            <v>1</v>
          </cell>
          <cell r="E53">
            <v>27.2</v>
          </cell>
          <cell r="H53">
            <v>27.2</v>
          </cell>
        </row>
        <row r="54">
          <cell r="A54">
            <v>4.05</v>
          </cell>
          <cell r="B54" t="str">
            <v>West side</v>
          </cell>
          <cell r="C54">
            <v>-5</v>
          </cell>
          <cell r="D54">
            <v>1</v>
          </cell>
          <cell r="E54">
            <v>24.9</v>
          </cell>
          <cell r="H54">
            <v>24.9</v>
          </cell>
        </row>
        <row r="55">
          <cell r="A55">
            <v>4.05</v>
          </cell>
          <cell r="B55" t="str">
            <v>South side</v>
          </cell>
          <cell r="C55">
            <v>-5</v>
          </cell>
          <cell r="D55">
            <v>1</v>
          </cell>
          <cell r="E55">
            <v>15.57</v>
          </cell>
          <cell r="H55">
            <v>15.57</v>
          </cell>
        </row>
        <row r="56">
          <cell r="A56">
            <v>4.05</v>
          </cell>
          <cell r="C56">
            <v>-5</v>
          </cell>
          <cell r="D56">
            <v>1</v>
          </cell>
          <cell r="E56">
            <v>1</v>
          </cell>
          <cell r="H56">
            <v>1</v>
          </cell>
        </row>
        <row r="57">
          <cell r="A57">
            <v>4.05</v>
          </cell>
          <cell r="C57">
            <v>-5</v>
          </cell>
          <cell r="D57">
            <v>1</v>
          </cell>
          <cell r="E57">
            <v>4.8</v>
          </cell>
          <cell r="H57">
            <v>4.8</v>
          </cell>
        </row>
        <row r="58">
          <cell r="A58">
            <v>4.05</v>
          </cell>
          <cell r="B58" t="str">
            <v>East side</v>
          </cell>
          <cell r="C58">
            <v>-5</v>
          </cell>
          <cell r="D58">
            <v>1</v>
          </cell>
          <cell r="E58">
            <v>2.9</v>
          </cell>
          <cell r="H58">
            <v>2.9</v>
          </cell>
        </row>
        <row r="59">
          <cell r="A59">
            <v>4.05</v>
          </cell>
          <cell r="C59">
            <v>-5</v>
          </cell>
          <cell r="D59">
            <v>1</v>
          </cell>
          <cell r="E59">
            <v>7.5</v>
          </cell>
          <cell r="H59">
            <v>7.5</v>
          </cell>
        </row>
        <row r="60">
          <cell r="A60">
            <v>4.05</v>
          </cell>
          <cell r="C60">
            <v>-5</v>
          </cell>
          <cell r="D60">
            <v>1</v>
          </cell>
          <cell r="E60">
            <v>23.1</v>
          </cell>
          <cell r="H60">
            <v>23.1</v>
          </cell>
        </row>
        <row r="61">
          <cell r="A61">
            <v>3.03</v>
          </cell>
          <cell r="B61" t="str">
            <v>North Side</v>
          </cell>
          <cell r="C61">
            <v>-5</v>
          </cell>
          <cell r="D61">
            <v>2</v>
          </cell>
          <cell r="E61">
            <v>26.9</v>
          </cell>
          <cell r="G61">
            <v>1.89</v>
          </cell>
          <cell r="H61">
            <v>101.68199999999999</v>
          </cell>
        </row>
        <row r="62">
          <cell r="A62">
            <v>3.03</v>
          </cell>
          <cell r="B62" t="str">
            <v>West Side</v>
          </cell>
          <cell r="C62">
            <v>-5</v>
          </cell>
          <cell r="D62">
            <v>2</v>
          </cell>
          <cell r="E62">
            <v>25.5</v>
          </cell>
          <cell r="G62">
            <v>1.89</v>
          </cell>
          <cell r="H62">
            <v>96.39</v>
          </cell>
        </row>
        <row r="63">
          <cell r="A63">
            <v>3.03</v>
          </cell>
          <cell r="B63" t="str">
            <v>South Side</v>
          </cell>
          <cell r="C63">
            <v>-5</v>
          </cell>
          <cell r="D63">
            <v>2</v>
          </cell>
          <cell r="E63">
            <v>15.27</v>
          </cell>
          <cell r="G63">
            <v>1.89</v>
          </cell>
          <cell r="H63">
            <v>57.720599999999997</v>
          </cell>
        </row>
        <row r="64">
          <cell r="A64">
            <v>3.03</v>
          </cell>
          <cell r="C64">
            <v>-5</v>
          </cell>
          <cell r="D64">
            <v>2</v>
          </cell>
          <cell r="E64">
            <v>1</v>
          </cell>
          <cell r="G64">
            <v>1.08</v>
          </cell>
          <cell r="H64">
            <v>2.16</v>
          </cell>
        </row>
        <row r="65">
          <cell r="A65">
            <v>3.03</v>
          </cell>
          <cell r="C65">
            <v>-5</v>
          </cell>
          <cell r="D65">
            <v>2</v>
          </cell>
          <cell r="E65">
            <v>4.5</v>
          </cell>
          <cell r="G65">
            <v>1.08</v>
          </cell>
          <cell r="H65">
            <v>9.7200000000000006</v>
          </cell>
        </row>
        <row r="66">
          <cell r="A66">
            <v>3.03</v>
          </cell>
          <cell r="B66" t="str">
            <v>East Side</v>
          </cell>
          <cell r="C66">
            <v>-5</v>
          </cell>
          <cell r="D66">
            <v>2</v>
          </cell>
          <cell r="E66">
            <v>1.75</v>
          </cell>
          <cell r="G66">
            <v>1.08</v>
          </cell>
          <cell r="H66">
            <v>3.7800000000000002</v>
          </cell>
        </row>
        <row r="67">
          <cell r="A67">
            <v>3.03</v>
          </cell>
          <cell r="C67">
            <v>-5</v>
          </cell>
          <cell r="D67">
            <v>2</v>
          </cell>
          <cell r="E67">
            <v>1.45</v>
          </cell>
          <cell r="G67">
            <v>1.89</v>
          </cell>
          <cell r="H67">
            <v>5.4809999999999999</v>
          </cell>
        </row>
        <row r="68">
          <cell r="A68">
            <v>3.03</v>
          </cell>
          <cell r="C68">
            <v>-5</v>
          </cell>
          <cell r="D68">
            <v>2</v>
          </cell>
          <cell r="E68">
            <v>7.5</v>
          </cell>
          <cell r="G68">
            <v>1.89</v>
          </cell>
          <cell r="H68">
            <v>28.349999999999998</v>
          </cell>
        </row>
        <row r="69">
          <cell r="A69">
            <v>3.03</v>
          </cell>
          <cell r="C69">
            <v>-5</v>
          </cell>
          <cell r="D69">
            <v>2</v>
          </cell>
          <cell r="E69">
            <v>23.4</v>
          </cell>
          <cell r="G69">
            <v>1.89</v>
          </cell>
          <cell r="H69">
            <v>88.451999999999984</v>
          </cell>
        </row>
        <row r="70">
          <cell r="A70">
            <v>3.03</v>
          </cell>
          <cell r="C70">
            <v>-5</v>
          </cell>
          <cell r="D70">
            <v>-1</v>
          </cell>
          <cell r="E70">
            <v>7</v>
          </cell>
          <cell r="G70">
            <v>1.89</v>
          </cell>
          <cell r="H70">
            <v>-13.229999999999999</v>
          </cell>
        </row>
        <row r="71">
          <cell r="A71">
            <v>2.2999999999999998</v>
          </cell>
          <cell r="B71">
            <v>2</v>
          </cell>
          <cell r="C71">
            <v>-5</v>
          </cell>
          <cell r="D71">
            <v>1</v>
          </cell>
          <cell r="E71">
            <v>3.25</v>
          </cell>
          <cell r="F71">
            <v>2.65</v>
          </cell>
          <cell r="H71">
            <v>8.6124999999999989</v>
          </cell>
        </row>
        <row r="72">
          <cell r="A72">
            <v>2.2999999999999998</v>
          </cell>
          <cell r="B72" t="str">
            <v xml:space="preserve"> 3 - 5</v>
          </cell>
          <cell r="C72">
            <v>-5</v>
          </cell>
          <cell r="D72">
            <v>1</v>
          </cell>
          <cell r="E72">
            <v>7.33</v>
          </cell>
          <cell r="F72">
            <v>2.8</v>
          </cell>
          <cell r="H72">
            <v>20.523999999999997</v>
          </cell>
        </row>
        <row r="73">
          <cell r="A73">
            <v>2.2999999999999998</v>
          </cell>
          <cell r="B73">
            <v>7</v>
          </cell>
          <cell r="C73">
            <v>-5</v>
          </cell>
          <cell r="D73">
            <v>1</v>
          </cell>
          <cell r="E73">
            <v>4.9800000000000004</v>
          </cell>
          <cell r="F73">
            <v>2.15</v>
          </cell>
          <cell r="H73">
            <v>10.707000000000001</v>
          </cell>
        </row>
        <row r="74">
          <cell r="A74">
            <v>2.2999999999999998</v>
          </cell>
          <cell r="B74" t="str">
            <v>7c</v>
          </cell>
          <cell r="C74">
            <v>-5</v>
          </cell>
          <cell r="D74">
            <v>1</v>
          </cell>
          <cell r="E74">
            <v>2.835</v>
          </cell>
          <cell r="F74">
            <v>2.35</v>
          </cell>
          <cell r="H74">
            <v>6.6622500000000002</v>
          </cell>
        </row>
        <row r="75">
          <cell r="A75">
            <v>2.2999999999999998</v>
          </cell>
          <cell r="B75" t="str">
            <v xml:space="preserve">7a </v>
          </cell>
          <cell r="C75">
            <v>-5</v>
          </cell>
          <cell r="D75">
            <v>1</v>
          </cell>
          <cell r="E75">
            <v>2.65</v>
          </cell>
          <cell r="F75">
            <v>2.39</v>
          </cell>
          <cell r="H75">
            <v>6.3334999999999999</v>
          </cell>
        </row>
        <row r="76">
          <cell r="A76">
            <v>2.2999999999999998</v>
          </cell>
          <cell r="B76">
            <v>1</v>
          </cell>
          <cell r="C76">
            <v>-5</v>
          </cell>
          <cell r="D76">
            <v>1</v>
          </cell>
          <cell r="E76">
            <v>2.2999999999999998</v>
          </cell>
          <cell r="F76">
            <v>1.95</v>
          </cell>
          <cell r="H76">
            <v>4.4849999999999994</v>
          </cell>
        </row>
        <row r="77">
          <cell r="A77">
            <v>2.2999999999999998</v>
          </cell>
          <cell r="B77" t="str">
            <v xml:space="preserve"> 6-7a-8</v>
          </cell>
          <cell r="C77">
            <v>-5</v>
          </cell>
          <cell r="D77">
            <v>1</v>
          </cell>
          <cell r="E77">
            <v>2.9</v>
          </cell>
          <cell r="F77">
            <v>7.55</v>
          </cell>
          <cell r="H77">
            <v>21.895</v>
          </cell>
        </row>
        <row r="78">
          <cell r="A78">
            <v>2.2999999999999998</v>
          </cell>
          <cell r="B78">
            <v>10</v>
          </cell>
          <cell r="C78">
            <v>-5</v>
          </cell>
          <cell r="D78">
            <v>1</v>
          </cell>
          <cell r="E78">
            <v>2.36</v>
          </cell>
          <cell r="F78">
            <v>2.0099999999999998</v>
          </cell>
          <cell r="H78">
            <v>4.7435999999999989</v>
          </cell>
        </row>
        <row r="79">
          <cell r="A79">
            <v>2.2999999999999998</v>
          </cell>
          <cell r="B79">
            <v>11</v>
          </cell>
          <cell r="C79">
            <v>-5</v>
          </cell>
          <cell r="D79">
            <v>1</v>
          </cell>
          <cell r="E79">
            <v>1.62</v>
          </cell>
          <cell r="F79">
            <v>6.16</v>
          </cell>
          <cell r="H79">
            <v>9.9792000000000005</v>
          </cell>
        </row>
        <row r="80">
          <cell r="A80">
            <v>2.31</v>
          </cell>
          <cell r="C80">
            <v>-5</v>
          </cell>
          <cell r="D80">
            <v>1</v>
          </cell>
          <cell r="E80">
            <v>5.25</v>
          </cell>
          <cell r="F80">
            <v>2.1800000000000002</v>
          </cell>
          <cell r="H80">
            <v>11.445</v>
          </cell>
        </row>
        <row r="81">
          <cell r="A81">
            <v>2.31</v>
          </cell>
          <cell r="C81">
            <v>-5</v>
          </cell>
          <cell r="D81">
            <v>1</v>
          </cell>
          <cell r="E81">
            <v>11.27</v>
          </cell>
          <cell r="F81">
            <v>8.3000000000000007</v>
          </cell>
          <cell r="H81">
            <v>93.541000000000011</v>
          </cell>
        </row>
        <row r="82">
          <cell r="A82">
            <v>2.31</v>
          </cell>
          <cell r="C82">
            <v>-5</v>
          </cell>
          <cell r="D82">
            <v>1</v>
          </cell>
          <cell r="E82">
            <v>19.32</v>
          </cell>
          <cell r="F82">
            <v>11.27</v>
          </cell>
          <cell r="H82">
            <v>217.7364</v>
          </cell>
        </row>
        <row r="83">
          <cell r="A83">
            <v>2.31</v>
          </cell>
          <cell r="C83">
            <v>-5</v>
          </cell>
          <cell r="D83">
            <v>-2</v>
          </cell>
          <cell r="E83">
            <v>10.119999999999999</v>
          </cell>
          <cell r="F83">
            <v>0.44</v>
          </cell>
          <cell r="H83">
            <v>-8.9055999999999997</v>
          </cell>
        </row>
        <row r="84">
          <cell r="A84">
            <v>2.31</v>
          </cell>
          <cell r="C84">
            <v>-5</v>
          </cell>
          <cell r="D84">
            <v>-1</v>
          </cell>
          <cell r="E84">
            <v>0.45</v>
          </cell>
          <cell r="F84">
            <v>1.8</v>
          </cell>
          <cell r="H84">
            <v>-0.81</v>
          </cell>
        </row>
        <row r="85">
          <cell r="A85" t="str">
            <v>2.28a</v>
          </cell>
          <cell r="C85">
            <v>-5</v>
          </cell>
          <cell r="D85">
            <v>6</v>
          </cell>
          <cell r="E85">
            <v>0.45</v>
          </cell>
          <cell r="F85">
            <v>0.45</v>
          </cell>
          <cell r="G85">
            <v>3.0950000000000002</v>
          </cell>
          <cell r="H85">
            <v>3.7604250000000006</v>
          </cell>
        </row>
        <row r="86">
          <cell r="A86" t="str">
            <v>2.28b</v>
          </cell>
          <cell r="C86">
            <v>-5</v>
          </cell>
          <cell r="D86">
            <v>6</v>
          </cell>
          <cell r="E86">
            <v>0.85</v>
          </cell>
          <cell r="F86">
            <v>0.5</v>
          </cell>
          <cell r="G86">
            <v>3.0950000000000002</v>
          </cell>
          <cell r="H86">
            <v>7.8922499999999998</v>
          </cell>
        </row>
        <row r="87">
          <cell r="A87" t="str">
            <v>2.28c</v>
          </cell>
          <cell r="C87">
            <v>-5</v>
          </cell>
          <cell r="D87">
            <v>3</v>
          </cell>
          <cell r="E87">
            <v>1.1000000000000001</v>
          </cell>
          <cell r="F87">
            <v>1.1000000000000001</v>
          </cell>
          <cell r="G87">
            <v>3.0950000000000002</v>
          </cell>
          <cell r="H87">
            <v>11.234850000000003</v>
          </cell>
        </row>
        <row r="88">
          <cell r="A88">
            <v>2.15</v>
          </cell>
          <cell r="C88">
            <v>-5</v>
          </cell>
          <cell r="D88">
            <v>1</v>
          </cell>
          <cell r="E88">
            <v>26.9</v>
          </cell>
          <cell r="F88">
            <v>22.8</v>
          </cell>
          <cell r="G88">
            <v>1.75</v>
          </cell>
          <cell r="H88">
            <v>1073.31</v>
          </cell>
        </row>
        <row r="89">
          <cell r="A89">
            <v>2.15</v>
          </cell>
          <cell r="C89">
            <v>-5</v>
          </cell>
          <cell r="D89">
            <v>1</v>
          </cell>
          <cell r="E89">
            <v>19.399999999999999</v>
          </cell>
          <cell r="F89">
            <v>2.1</v>
          </cell>
          <cell r="G89">
            <v>1.75</v>
          </cell>
          <cell r="H89">
            <v>71.295000000000002</v>
          </cell>
        </row>
        <row r="90">
          <cell r="A90">
            <v>2.15</v>
          </cell>
          <cell r="C90">
            <v>-5</v>
          </cell>
          <cell r="D90">
            <v>1</v>
          </cell>
          <cell r="E90">
            <v>1</v>
          </cell>
          <cell r="F90">
            <v>4.5</v>
          </cell>
          <cell r="G90">
            <v>1.75</v>
          </cell>
          <cell r="H90">
            <v>7.875</v>
          </cell>
        </row>
        <row r="91">
          <cell r="A91">
            <v>2.15</v>
          </cell>
          <cell r="C91">
            <v>-5</v>
          </cell>
          <cell r="D91">
            <v>-1</v>
          </cell>
          <cell r="E91">
            <v>4.5</v>
          </cell>
          <cell r="F91">
            <v>1.139</v>
          </cell>
          <cell r="G91">
            <v>0.75</v>
          </cell>
          <cell r="H91">
            <v>-3.844125</v>
          </cell>
        </row>
        <row r="92">
          <cell r="A92">
            <v>2.15</v>
          </cell>
          <cell r="C92">
            <v>-5</v>
          </cell>
          <cell r="D92">
            <v>-1</v>
          </cell>
          <cell r="E92">
            <v>3.1</v>
          </cell>
          <cell r="F92">
            <v>2.37</v>
          </cell>
          <cell r="G92">
            <v>0.75</v>
          </cell>
          <cell r="H92">
            <v>-5.5102500000000001</v>
          </cell>
        </row>
        <row r="93">
          <cell r="A93">
            <v>2.31</v>
          </cell>
          <cell r="C93">
            <v>-4</v>
          </cell>
          <cell r="D93">
            <v>1</v>
          </cell>
          <cell r="E93">
            <v>5.25</v>
          </cell>
          <cell r="F93">
            <v>2.1800000000000002</v>
          </cell>
          <cell r="H93">
            <v>11.445</v>
          </cell>
        </row>
        <row r="94">
          <cell r="A94">
            <v>2.31</v>
          </cell>
          <cell r="C94">
            <v>-4</v>
          </cell>
          <cell r="D94">
            <v>1</v>
          </cell>
          <cell r="E94">
            <v>11.27</v>
          </cell>
          <cell r="F94">
            <v>8.3000000000000007</v>
          </cell>
          <cell r="H94">
            <v>93.541000000000011</v>
          </cell>
        </row>
        <row r="95">
          <cell r="A95">
            <v>2.31</v>
          </cell>
          <cell r="C95">
            <v>-4</v>
          </cell>
          <cell r="D95">
            <v>1</v>
          </cell>
          <cell r="E95">
            <v>19.32</v>
          </cell>
          <cell r="F95">
            <v>11.27</v>
          </cell>
          <cell r="H95">
            <v>217.7364</v>
          </cell>
        </row>
        <row r="96">
          <cell r="A96">
            <v>2.31</v>
          </cell>
          <cell r="C96">
            <v>-4</v>
          </cell>
          <cell r="D96">
            <v>-2</v>
          </cell>
          <cell r="E96">
            <v>10.119999999999999</v>
          </cell>
          <cell r="F96">
            <v>0.44</v>
          </cell>
          <cell r="H96">
            <v>-8.9055999999999997</v>
          </cell>
        </row>
        <row r="97">
          <cell r="A97">
            <v>2.31</v>
          </cell>
          <cell r="C97">
            <v>-4</v>
          </cell>
          <cell r="D97">
            <v>-1</v>
          </cell>
          <cell r="E97">
            <v>0.45</v>
          </cell>
          <cell r="F97">
            <v>1.8</v>
          </cell>
          <cell r="H97">
            <v>-0.81</v>
          </cell>
        </row>
        <row r="98">
          <cell r="A98">
            <v>2.2999999999999998</v>
          </cell>
          <cell r="B98">
            <v>2</v>
          </cell>
          <cell r="C98">
            <v>-4</v>
          </cell>
          <cell r="D98">
            <v>1</v>
          </cell>
          <cell r="E98">
            <v>3.25</v>
          </cell>
          <cell r="F98">
            <v>2.65</v>
          </cell>
          <cell r="H98">
            <v>8.6124999999999989</v>
          </cell>
        </row>
        <row r="99">
          <cell r="A99">
            <v>2.2999999999999998</v>
          </cell>
          <cell r="B99" t="str">
            <v xml:space="preserve"> 3 - 5</v>
          </cell>
          <cell r="C99">
            <v>-4</v>
          </cell>
          <cell r="D99">
            <v>1</v>
          </cell>
          <cell r="E99">
            <v>7.33</v>
          </cell>
          <cell r="F99">
            <v>2.8</v>
          </cell>
          <cell r="H99">
            <v>20.523999999999997</v>
          </cell>
        </row>
        <row r="100">
          <cell r="A100">
            <v>2.2999999999999998</v>
          </cell>
          <cell r="B100">
            <v>7</v>
          </cell>
          <cell r="C100">
            <v>-4</v>
          </cell>
          <cell r="D100">
            <v>1</v>
          </cell>
          <cell r="E100">
            <v>4.9800000000000004</v>
          </cell>
          <cell r="F100">
            <v>2.15</v>
          </cell>
          <cell r="H100">
            <v>10.707000000000001</v>
          </cell>
        </row>
        <row r="101">
          <cell r="A101">
            <v>2.2999999999999998</v>
          </cell>
          <cell r="B101" t="str">
            <v>7c</v>
          </cell>
          <cell r="C101">
            <v>-4</v>
          </cell>
          <cell r="D101">
            <v>1</v>
          </cell>
          <cell r="E101">
            <v>2.835</v>
          </cell>
          <cell r="F101">
            <v>2.35</v>
          </cell>
          <cell r="H101">
            <v>6.6622500000000002</v>
          </cell>
        </row>
        <row r="102">
          <cell r="A102">
            <v>2.2999999999999998</v>
          </cell>
          <cell r="B102" t="str">
            <v xml:space="preserve">7a </v>
          </cell>
          <cell r="C102">
            <v>-4</v>
          </cell>
          <cell r="D102">
            <v>1</v>
          </cell>
          <cell r="E102">
            <v>2.65</v>
          </cell>
          <cell r="F102">
            <v>2.39</v>
          </cell>
          <cell r="H102">
            <v>6.3334999999999999</v>
          </cell>
        </row>
        <row r="103">
          <cell r="A103">
            <v>2.2999999999999998</v>
          </cell>
          <cell r="B103">
            <v>1</v>
          </cell>
          <cell r="C103">
            <v>-4</v>
          </cell>
          <cell r="D103">
            <v>1</v>
          </cell>
          <cell r="E103">
            <v>2.2999999999999998</v>
          </cell>
          <cell r="F103">
            <v>1.95</v>
          </cell>
          <cell r="H103">
            <v>4.4849999999999994</v>
          </cell>
        </row>
        <row r="104">
          <cell r="A104">
            <v>2.2999999999999998</v>
          </cell>
          <cell r="B104" t="str">
            <v xml:space="preserve"> 6-7a-8</v>
          </cell>
          <cell r="C104">
            <v>-4</v>
          </cell>
          <cell r="D104">
            <v>1</v>
          </cell>
          <cell r="E104">
            <v>2.9</v>
          </cell>
          <cell r="F104">
            <v>7.55</v>
          </cell>
          <cell r="H104">
            <v>21.895</v>
          </cell>
        </row>
        <row r="105">
          <cell r="A105">
            <v>2.2999999999999998</v>
          </cell>
          <cell r="B105">
            <v>10</v>
          </cell>
          <cell r="C105">
            <v>-4</v>
          </cell>
          <cell r="D105">
            <v>1</v>
          </cell>
          <cell r="E105">
            <v>2.36</v>
          </cell>
          <cell r="F105">
            <v>2.0099999999999998</v>
          </cell>
          <cell r="H105">
            <v>4.7435999999999989</v>
          </cell>
        </row>
        <row r="106">
          <cell r="A106">
            <v>2.2999999999999998</v>
          </cell>
          <cell r="B106">
            <v>11</v>
          </cell>
          <cell r="C106">
            <v>-4</v>
          </cell>
          <cell r="D106">
            <v>1</v>
          </cell>
          <cell r="E106">
            <v>1.62</v>
          </cell>
          <cell r="F106">
            <v>6.16</v>
          </cell>
          <cell r="H106">
            <v>9.9792000000000005</v>
          </cell>
        </row>
        <row r="107">
          <cell r="A107">
            <v>2.4300000000000002</v>
          </cell>
          <cell r="C107">
            <v>-4</v>
          </cell>
          <cell r="D107">
            <v>1</v>
          </cell>
          <cell r="E107">
            <v>313.07</v>
          </cell>
          <cell r="F107">
            <v>1</v>
          </cell>
          <cell r="H107">
            <v>313.07</v>
          </cell>
        </row>
        <row r="108">
          <cell r="A108">
            <v>2.4300000000000002</v>
          </cell>
          <cell r="C108">
            <v>-4</v>
          </cell>
          <cell r="D108">
            <v>-3</v>
          </cell>
          <cell r="E108">
            <v>1.1000000000000001</v>
          </cell>
          <cell r="F108">
            <v>1.1000000000000001</v>
          </cell>
          <cell r="H108">
            <v>-3.6300000000000008</v>
          </cell>
        </row>
        <row r="109">
          <cell r="A109">
            <v>2.4300000000000002</v>
          </cell>
          <cell r="C109">
            <v>-4</v>
          </cell>
          <cell r="D109">
            <v>-6</v>
          </cell>
          <cell r="E109">
            <v>0.85</v>
          </cell>
          <cell r="F109">
            <v>0.5</v>
          </cell>
          <cell r="H109">
            <v>-2.5499999999999998</v>
          </cell>
        </row>
        <row r="110">
          <cell r="A110">
            <v>2.4300000000000002</v>
          </cell>
          <cell r="C110">
            <v>-4</v>
          </cell>
          <cell r="D110">
            <v>-6</v>
          </cell>
          <cell r="E110">
            <v>0.45</v>
          </cell>
          <cell r="F110">
            <v>0.45</v>
          </cell>
          <cell r="H110">
            <v>-1.2150000000000001</v>
          </cell>
        </row>
        <row r="111">
          <cell r="A111">
            <v>2.4300000000000002</v>
          </cell>
          <cell r="C111">
            <v>-4</v>
          </cell>
          <cell r="D111">
            <v>-6</v>
          </cell>
          <cell r="E111">
            <v>3.9750000000000001</v>
          </cell>
          <cell r="F111">
            <v>0.25</v>
          </cell>
          <cell r="H111">
            <v>-5.9625000000000004</v>
          </cell>
        </row>
        <row r="112">
          <cell r="A112" t="str">
            <v>2.28a</v>
          </cell>
          <cell r="C112">
            <v>-4</v>
          </cell>
          <cell r="D112">
            <v>6</v>
          </cell>
          <cell r="E112">
            <v>0.45</v>
          </cell>
          <cell r="F112">
            <v>0.45</v>
          </cell>
          <cell r="G112">
            <v>2.65</v>
          </cell>
          <cell r="H112">
            <v>3.2197499999999999</v>
          </cell>
        </row>
        <row r="113">
          <cell r="A113" t="str">
            <v>2.28b</v>
          </cell>
          <cell r="C113">
            <v>-4</v>
          </cell>
          <cell r="D113">
            <v>6</v>
          </cell>
          <cell r="E113">
            <v>0.85</v>
          </cell>
          <cell r="F113">
            <v>0.5</v>
          </cell>
          <cell r="G113">
            <v>2.65</v>
          </cell>
          <cell r="H113">
            <v>6.7574999999999994</v>
          </cell>
        </row>
        <row r="114">
          <cell r="A114" t="str">
            <v>2.28c</v>
          </cell>
          <cell r="C114">
            <v>-4</v>
          </cell>
          <cell r="D114">
            <v>3</v>
          </cell>
          <cell r="E114">
            <v>1.1000000000000001</v>
          </cell>
          <cell r="F114">
            <v>1.1000000000000001</v>
          </cell>
          <cell r="G114">
            <v>2.65</v>
          </cell>
          <cell r="H114">
            <v>9.6195000000000022</v>
          </cell>
        </row>
        <row r="116">
          <cell r="H116">
            <v>0</v>
          </cell>
        </row>
        <row r="117">
          <cell r="H117">
            <v>0</v>
          </cell>
        </row>
        <row r="118">
          <cell r="H118">
            <v>0</v>
          </cell>
        </row>
        <row r="119">
          <cell r="H119">
            <v>0</v>
          </cell>
        </row>
        <row r="120">
          <cell r="H120">
            <v>0</v>
          </cell>
        </row>
        <row r="121">
          <cell r="H121">
            <v>0</v>
          </cell>
        </row>
        <row r="122">
          <cell r="H122">
            <v>0</v>
          </cell>
        </row>
        <row r="123">
          <cell r="H123">
            <v>0</v>
          </cell>
        </row>
        <row r="124">
          <cell r="H124">
            <v>0</v>
          </cell>
        </row>
        <row r="125">
          <cell r="H125">
            <v>0</v>
          </cell>
        </row>
        <row r="126">
          <cell r="H126">
            <v>0</v>
          </cell>
        </row>
        <row r="127">
          <cell r="H127">
            <v>0</v>
          </cell>
        </row>
        <row r="128">
          <cell r="H128">
            <v>0</v>
          </cell>
        </row>
        <row r="338">
          <cell r="H338">
            <v>0</v>
          </cell>
        </row>
        <row r="339">
          <cell r="H339">
            <v>0</v>
          </cell>
        </row>
        <row r="340">
          <cell r="H340">
            <v>0</v>
          </cell>
        </row>
        <row r="341">
          <cell r="H341">
            <v>0</v>
          </cell>
        </row>
        <row r="342">
          <cell r="H342">
            <v>0</v>
          </cell>
        </row>
        <row r="343">
          <cell r="H343">
            <v>0</v>
          </cell>
        </row>
        <row r="344">
          <cell r="H344">
            <v>0</v>
          </cell>
        </row>
        <row r="345">
          <cell r="H345">
            <v>0</v>
          </cell>
        </row>
        <row r="346">
          <cell r="H346">
            <v>0</v>
          </cell>
        </row>
        <row r="347">
          <cell r="H347">
            <v>0</v>
          </cell>
        </row>
        <row r="348">
          <cell r="H348">
            <v>0</v>
          </cell>
        </row>
        <row r="349">
          <cell r="H349">
            <v>0</v>
          </cell>
        </row>
        <row r="350">
          <cell r="H350">
            <v>0</v>
          </cell>
        </row>
        <row r="351">
          <cell r="H351">
            <v>0</v>
          </cell>
        </row>
        <row r="352">
          <cell r="H352">
            <v>0</v>
          </cell>
        </row>
        <row r="353">
          <cell r="H353">
            <v>0</v>
          </cell>
        </row>
        <row r="354">
          <cell r="H354">
            <v>0</v>
          </cell>
        </row>
        <row r="355">
          <cell r="H355">
            <v>0</v>
          </cell>
        </row>
        <row r="356">
          <cell r="H356">
            <v>0</v>
          </cell>
        </row>
        <row r="357">
          <cell r="H357">
            <v>0</v>
          </cell>
        </row>
        <row r="358">
          <cell r="H358">
            <v>0</v>
          </cell>
        </row>
        <row r="359">
          <cell r="H359">
            <v>0</v>
          </cell>
        </row>
        <row r="360">
          <cell r="H360">
            <v>0</v>
          </cell>
        </row>
        <row r="361">
          <cell r="H361">
            <v>0</v>
          </cell>
        </row>
        <row r="362">
          <cell r="H362">
            <v>0</v>
          </cell>
        </row>
        <row r="363">
          <cell r="H363">
            <v>0</v>
          </cell>
        </row>
        <row r="364">
          <cell r="H364">
            <v>0</v>
          </cell>
        </row>
        <row r="365">
          <cell r="H365">
            <v>0</v>
          </cell>
        </row>
        <row r="366">
          <cell r="H366">
            <v>0</v>
          </cell>
        </row>
        <row r="367">
          <cell r="H367">
            <v>0</v>
          </cell>
        </row>
        <row r="368">
          <cell r="H368">
            <v>0</v>
          </cell>
        </row>
        <row r="369">
          <cell r="H369">
            <v>0</v>
          </cell>
        </row>
        <row r="370">
          <cell r="H370">
            <v>0</v>
          </cell>
        </row>
        <row r="371">
          <cell r="H371">
            <v>0</v>
          </cell>
        </row>
        <row r="372">
          <cell r="H372">
            <v>0</v>
          </cell>
        </row>
        <row r="373">
          <cell r="H373">
            <v>0</v>
          </cell>
        </row>
        <row r="374">
          <cell r="H374">
            <v>0</v>
          </cell>
        </row>
        <row r="375">
          <cell r="H375">
            <v>0</v>
          </cell>
        </row>
        <row r="376">
          <cell r="H376">
            <v>0</v>
          </cell>
        </row>
        <row r="377">
          <cell r="H377">
            <v>0</v>
          </cell>
        </row>
        <row r="378">
          <cell r="H378">
            <v>0</v>
          </cell>
        </row>
        <row r="379">
          <cell r="H379">
            <v>0</v>
          </cell>
        </row>
        <row r="380">
          <cell r="H380">
            <v>0</v>
          </cell>
        </row>
        <row r="381">
          <cell r="H381">
            <v>0</v>
          </cell>
        </row>
        <row r="382">
          <cell r="H382">
            <v>0</v>
          </cell>
        </row>
        <row r="383">
          <cell r="H383">
            <v>0</v>
          </cell>
        </row>
        <row r="384">
          <cell r="H384">
            <v>0</v>
          </cell>
        </row>
        <row r="385">
          <cell r="H385">
            <v>0</v>
          </cell>
        </row>
        <row r="386">
          <cell r="H386">
            <v>0</v>
          </cell>
        </row>
        <row r="387">
          <cell r="H387">
            <v>0</v>
          </cell>
        </row>
        <row r="388">
          <cell r="H388">
            <v>0</v>
          </cell>
        </row>
        <row r="389">
          <cell r="H389">
            <v>0</v>
          </cell>
        </row>
        <row r="390">
          <cell r="H390">
            <v>0</v>
          </cell>
        </row>
        <row r="391">
          <cell r="H391">
            <v>0</v>
          </cell>
        </row>
        <row r="392">
          <cell r="H392">
            <v>0</v>
          </cell>
        </row>
        <row r="393">
          <cell r="H393">
            <v>0</v>
          </cell>
        </row>
        <row r="394">
          <cell r="H394">
            <v>0</v>
          </cell>
        </row>
        <row r="395">
          <cell r="H395">
            <v>0</v>
          </cell>
        </row>
        <row r="396">
          <cell r="H396">
            <v>0</v>
          </cell>
        </row>
        <row r="397">
          <cell r="H397">
            <v>0</v>
          </cell>
        </row>
        <row r="398">
          <cell r="H398">
            <v>0</v>
          </cell>
        </row>
        <row r="399">
          <cell r="H399">
            <v>0</v>
          </cell>
        </row>
        <row r="400">
          <cell r="H400">
            <v>0</v>
          </cell>
        </row>
        <row r="401">
          <cell r="H401">
            <v>0</v>
          </cell>
        </row>
        <row r="402">
          <cell r="H402">
            <v>0</v>
          </cell>
        </row>
        <row r="403">
          <cell r="H403">
            <v>0</v>
          </cell>
        </row>
        <row r="404">
          <cell r="H404">
            <v>0</v>
          </cell>
        </row>
        <row r="405">
          <cell r="H405">
            <v>0</v>
          </cell>
        </row>
        <row r="406">
          <cell r="H406">
            <v>0</v>
          </cell>
        </row>
        <row r="407">
          <cell r="H407">
            <v>0</v>
          </cell>
        </row>
        <row r="408">
          <cell r="H408">
            <v>0</v>
          </cell>
        </row>
        <row r="409">
          <cell r="H409">
            <v>0</v>
          </cell>
        </row>
        <row r="410">
          <cell r="H410">
            <v>0</v>
          </cell>
        </row>
        <row r="411">
          <cell r="H411">
            <v>0</v>
          </cell>
        </row>
        <row r="412">
          <cell r="H412">
            <v>0</v>
          </cell>
        </row>
        <row r="413">
          <cell r="H413">
            <v>0</v>
          </cell>
        </row>
        <row r="414">
          <cell r="H414">
            <v>0</v>
          </cell>
        </row>
        <row r="415">
          <cell r="H415">
            <v>0</v>
          </cell>
        </row>
        <row r="416">
          <cell r="H416">
            <v>0</v>
          </cell>
        </row>
        <row r="417">
          <cell r="H417">
            <v>0</v>
          </cell>
        </row>
        <row r="418">
          <cell r="H418">
            <v>0</v>
          </cell>
        </row>
        <row r="419">
          <cell r="H419">
            <v>0</v>
          </cell>
        </row>
        <row r="420">
          <cell r="H420">
            <v>0</v>
          </cell>
        </row>
        <row r="421">
          <cell r="H421">
            <v>0</v>
          </cell>
        </row>
        <row r="422">
          <cell r="H422">
            <v>0</v>
          </cell>
        </row>
        <row r="423">
          <cell r="H423">
            <v>0</v>
          </cell>
        </row>
        <row r="424">
          <cell r="H424">
            <v>0</v>
          </cell>
        </row>
        <row r="425">
          <cell r="H425">
            <v>0</v>
          </cell>
        </row>
        <row r="426">
          <cell r="H426">
            <v>0</v>
          </cell>
        </row>
        <row r="427">
          <cell r="H427">
            <v>0</v>
          </cell>
        </row>
        <row r="428">
          <cell r="H428">
            <v>0</v>
          </cell>
        </row>
        <row r="429">
          <cell r="H429">
            <v>0</v>
          </cell>
        </row>
        <row r="430">
          <cell r="H430">
            <v>0</v>
          </cell>
        </row>
        <row r="431">
          <cell r="H431">
            <v>0</v>
          </cell>
        </row>
        <row r="432">
          <cell r="H432">
            <v>0</v>
          </cell>
        </row>
        <row r="433">
          <cell r="H433">
            <v>0</v>
          </cell>
        </row>
        <row r="434">
          <cell r="H434">
            <v>0</v>
          </cell>
        </row>
        <row r="435">
          <cell r="H435">
            <v>0</v>
          </cell>
        </row>
        <row r="436">
          <cell r="H436">
            <v>0</v>
          </cell>
        </row>
        <row r="437">
          <cell r="H437">
            <v>0</v>
          </cell>
        </row>
        <row r="438">
          <cell r="H438">
            <v>0</v>
          </cell>
        </row>
        <row r="439">
          <cell r="H439">
            <v>0</v>
          </cell>
        </row>
        <row r="440">
          <cell r="H440">
            <v>0</v>
          </cell>
        </row>
        <row r="441">
          <cell r="H441">
            <v>0</v>
          </cell>
        </row>
        <row r="442">
          <cell r="H442">
            <v>0</v>
          </cell>
        </row>
        <row r="443">
          <cell r="H443">
            <v>0</v>
          </cell>
        </row>
        <row r="444">
          <cell r="H444">
            <v>0</v>
          </cell>
        </row>
        <row r="445">
          <cell r="H445">
            <v>0</v>
          </cell>
        </row>
        <row r="446">
          <cell r="H446">
            <v>0</v>
          </cell>
        </row>
        <row r="447">
          <cell r="H447">
            <v>0</v>
          </cell>
        </row>
        <row r="448">
          <cell r="H448">
            <v>0</v>
          </cell>
        </row>
        <row r="449">
          <cell r="H449">
            <v>0</v>
          </cell>
        </row>
        <row r="450">
          <cell r="H450">
            <v>0</v>
          </cell>
        </row>
        <row r="451">
          <cell r="H451">
            <v>0</v>
          </cell>
        </row>
        <row r="452">
          <cell r="H452">
            <v>0</v>
          </cell>
        </row>
        <row r="453">
          <cell r="H453">
            <v>0</v>
          </cell>
        </row>
        <row r="454">
          <cell r="H454">
            <v>0</v>
          </cell>
        </row>
        <row r="455">
          <cell r="H455">
            <v>0</v>
          </cell>
        </row>
        <row r="456">
          <cell r="H456">
            <v>0</v>
          </cell>
        </row>
        <row r="457">
          <cell r="H457">
            <v>0</v>
          </cell>
        </row>
        <row r="458">
          <cell r="H458">
            <v>0</v>
          </cell>
        </row>
        <row r="459">
          <cell r="H459">
            <v>0</v>
          </cell>
        </row>
        <row r="460">
          <cell r="H460">
            <v>0</v>
          </cell>
        </row>
        <row r="461">
          <cell r="H461">
            <v>0</v>
          </cell>
        </row>
        <row r="462">
          <cell r="H462">
            <v>0</v>
          </cell>
        </row>
        <row r="463">
          <cell r="H463">
            <v>0</v>
          </cell>
        </row>
        <row r="464">
          <cell r="H464">
            <v>0</v>
          </cell>
        </row>
        <row r="465">
          <cell r="H465">
            <v>0</v>
          </cell>
        </row>
        <row r="466">
          <cell r="H466">
            <v>0</v>
          </cell>
        </row>
        <row r="467">
          <cell r="H467">
            <v>0</v>
          </cell>
        </row>
        <row r="468">
          <cell r="H468">
            <v>0</v>
          </cell>
        </row>
        <row r="469">
          <cell r="H469">
            <v>0</v>
          </cell>
        </row>
        <row r="470">
          <cell r="H470">
            <v>0</v>
          </cell>
        </row>
        <row r="471">
          <cell r="H471">
            <v>0</v>
          </cell>
        </row>
        <row r="472">
          <cell r="H472">
            <v>0</v>
          </cell>
        </row>
        <row r="473">
          <cell r="H473">
            <v>0</v>
          </cell>
        </row>
        <row r="474">
          <cell r="H474">
            <v>0</v>
          </cell>
        </row>
        <row r="475">
          <cell r="H475">
            <v>0</v>
          </cell>
        </row>
        <row r="476">
          <cell r="H476">
            <v>0</v>
          </cell>
        </row>
        <row r="477">
          <cell r="H477">
            <v>0</v>
          </cell>
        </row>
        <row r="478">
          <cell r="H478">
            <v>0</v>
          </cell>
        </row>
        <row r="479">
          <cell r="H479">
            <v>0</v>
          </cell>
        </row>
        <row r="480">
          <cell r="H480">
            <v>0</v>
          </cell>
        </row>
        <row r="481">
          <cell r="H481">
            <v>0</v>
          </cell>
        </row>
        <row r="482">
          <cell r="H482">
            <v>0</v>
          </cell>
        </row>
        <row r="483">
          <cell r="H483">
            <v>0</v>
          </cell>
        </row>
        <row r="484">
          <cell r="H484">
            <v>0</v>
          </cell>
        </row>
        <row r="485">
          <cell r="H485">
            <v>0</v>
          </cell>
        </row>
        <row r="486">
          <cell r="H486">
            <v>0</v>
          </cell>
        </row>
        <row r="487">
          <cell r="H487">
            <v>0</v>
          </cell>
        </row>
        <row r="488">
          <cell r="H488">
            <v>0</v>
          </cell>
        </row>
        <row r="489">
          <cell r="H489">
            <v>0</v>
          </cell>
        </row>
        <row r="490">
          <cell r="H490">
            <v>0</v>
          </cell>
        </row>
        <row r="491">
          <cell r="H491">
            <v>0</v>
          </cell>
        </row>
        <row r="492">
          <cell r="H492">
            <v>0</v>
          </cell>
        </row>
        <row r="493">
          <cell r="H493">
            <v>0</v>
          </cell>
        </row>
        <row r="494">
          <cell r="H494">
            <v>0</v>
          </cell>
        </row>
        <row r="495">
          <cell r="H495">
            <v>0</v>
          </cell>
        </row>
        <row r="496">
          <cell r="H496">
            <v>0</v>
          </cell>
        </row>
        <row r="497">
          <cell r="H497">
            <v>0</v>
          </cell>
        </row>
        <row r="498">
          <cell r="H498">
            <v>0</v>
          </cell>
        </row>
        <row r="499">
          <cell r="H499">
            <v>0</v>
          </cell>
        </row>
        <row r="500">
          <cell r="H500">
            <v>0</v>
          </cell>
        </row>
        <row r="501">
          <cell r="H501">
            <v>0</v>
          </cell>
        </row>
        <row r="502">
          <cell r="H502">
            <v>0</v>
          </cell>
        </row>
        <row r="503">
          <cell r="H503">
            <v>0</v>
          </cell>
        </row>
        <row r="504">
          <cell r="H504">
            <v>0</v>
          </cell>
        </row>
        <row r="505">
          <cell r="H505">
            <v>0</v>
          </cell>
        </row>
        <row r="506">
          <cell r="H506">
            <v>0</v>
          </cell>
        </row>
        <row r="507">
          <cell r="H507">
            <v>0</v>
          </cell>
        </row>
        <row r="508">
          <cell r="H508">
            <v>0</v>
          </cell>
        </row>
        <row r="509">
          <cell r="H509">
            <v>0</v>
          </cell>
        </row>
        <row r="510">
          <cell r="H510">
            <v>0</v>
          </cell>
        </row>
        <row r="511">
          <cell r="H511">
            <v>0</v>
          </cell>
        </row>
        <row r="512">
          <cell r="H512">
            <v>0</v>
          </cell>
        </row>
        <row r="513">
          <cell r="H513">
            <v>0</v>
          </cell>
        </row>
        <row r="514">
          <cell r="H514">
            <v>0</v>
          </cell>
        </row>
        <row r="515">
          <cell r="H515">
            <v>0</v>
          </cell>
        </row>
        <row r="516">
          <cell r="H516">
            <v>0</v>
          </cell>
        </row>
        <row r="517">
          <cell r="H517">
            <v>0</v>
          </cell>
        </row>
        <row r="518">
          <cell r="H518">
            <v>0</v>
          </cell>
        </row>
        <row r="519">
          <cell r="H519">
            <v>0</v>
          </cell>
        </row>
        <row r="520">
          <cell r="H520">
            <v>0</v>
          </cell>
        </row>
        <row r="521">
          <cell r="H521">
            <v>0</v>
          </cell>
        </row>
        <row r="522">
          <cell r="H522">
            <v>0</v>
          </cell>
        </row>
        <row r="523">
          <cell r="H523">
            <v>0</v>
          </cell>
        </row>
        <row r="524">
          <cell r="H524">
            <v>0</v>
          </cell>
        </row>
        <row r="525">
          <cell r="H525">
            <v>0</v>
          </cell>
        </row>
        <row r="526">
          <cell r="H526">
            <v>0</v>
          </cell>
        </row>
        <row r="527">
          <cell r="H527">
            <v>0</v>
          </cell>
        </row>
        <row r="528">
          <cell r="H528">
            <v>0</v>
          </cell>
        </row>
        <row r="529">
          <cell r="H529">
            <v>0</v>
          </cell>
        </row>
        <row r="530">
          <cell r="H530">
            <v>0</v>
          </cell>
        </row>
        <row r="531">
          <cell r="H531">
            <v>0</v>
          </cell>
        </row>
        <row r="532">
          <cell r="H532">
            <v>0</v>
          </cell>
        </row>
        <row r="533">
          <cell r="H533">
            <v>0</v>
          </cell>
        </row>
        <row r="534">
          <cell r="H534">
            <v>0</v>
          </cell>
        </row>
        <row r="535">
          <cell r="H535">
            <v>0</v>
          </cell>
        </row>
        <row r="536">
          <cell r="H536">
            <v>0</v>
          </cell>
        </row>
        <row r="537">
          <cell r="H537">
            <v>0</v>
          </cell>
        </row>
        <row r="538">
          <cell r="H538">
            <v>0</v>
          </cell>
        </row>
        <row r="539">
          <cell r="H539">
            <v>0</v>
          </cell>
        </row>
        <row r="540">
          <cell r="H540">
            <v>0</v>
          </cell>
        </row>
        <row r="541">
          <cell r="H541">
            <v>0</v>
          </cell>
        </row>
        <row r="542">
          <cell r="H542">
            <v>0</v>
          </cell>
        </row>
        <row r="543">
          <cell r="H543">
            <v>0</v>
          </cell>
        </row>
        <row r="544">
          <cell r="H544">
            <v>0</v>
          </cell>
        </row>
        <row r="545">
          <cell r="H545">
            <v>0</v>
          </cell>
        </row>
        <row r="546">
          <cell r="H546">
            <v>0</v>
          </cell>
        </row>
        <row r="547">
          <cell r="H547">
            <v>0</v>
          </cell>
        </row>
        <row r="548">
          <cell r="H548">
            <v>0</v>
          </cell>
        </row>
        <row r="549">
          <cell r="H549">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Comparative CS "/>
      <sheetName val="Cumulative CS "/>
      <sheetName val="MoW 1010"/>
      <sheetName val="CP.Supporting Docs."/>
      <sheetName val="Bill 3- Earthworks"/>
      <sheetName val="List"/>
      <sheetName val="workings"/>
      <sheetName val="CP.Contractors Docs. (2)"/>
    </sheetNames>
    <sheetDataSet>
      <sheetData sheetId="0"/>
      <sheetData sheetId="1"/>
      <sheetData sheetId="2"/>
      <sheetData sheetId="3"/>
      <sheetData sheetId="4"/>
      <sheetData sheetId="5"/>
      <sheetData sheetId="6"/>
      <sheetData sheetId="7">
        <row r="5">
          <cell r="K5" t="str">
            <v>Loose Material</v>
          </cell>
        </row>
        <row r="6">
          <cell r="K6" t="str">
            <v>Rock Excavation</v>
          </cell>
        </row>
      </sheetData>
      <sheetData sheetId="8"/>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COST SUMMARY "/>
      <sheetName val="MoW 1010"/>
      <sheetName val="Bill 3- Earthworks"/>
      <sheetName val="S04-IPC-001"/>
      <sheetName val="List"/>
    </sheetNames>
    <sheetDataSet>
      <sheetData sheetId="0"/>
      <sheetData sheetId="1"/>
      <sheetData sheetId="2">
        <row r="161">
          <cell r="B161" t="str">
            <v>EXCAVATION BY MANUAL/ MECHANICAL MEANS INCLUDING EARTHWORK SUPPORT TO UNSTABLE GROUND CONDITIONS</v>
          </cell>
        </row>
        <row r="163">
          <cell r="B163" t="str">
            <v>Excavate in loose material and cart-away all resulting materials off-site to an approved tipping site.</v>
          </cell>
        </row>
        <row r="165">
          <cell r="B165" t="str">
            <v>Excavate in existing soil load and store for eventual use.</v>
          </cell>
        </row>
        <row r="167">
          <cell r="B167" t="str">
            <v>Excavate in rock to reduce level and cart-away all resulting materials off-site to an aprroved tipping site.</v>
          </cell>
        </row>
        <row r="169">
          <cell r="B169" t="str">
            <v>Excavate trench in rock including cleaning to receive blinding and cart-away all resultant materials off-site (maximum depth of 1.00 m) to an aprroved tipping site.</v>
          </cell>
        </row>
        <row r="171">
          <cell r="B171" t="str">
            <v>Excavate to form pits, reservoir and footings including cleaning to receive blinding and carting-away of all resulting materials off-site to an aprroved tipping site.</v>
          </cell>
        </row>
        <row r="173">
          <cell r="B173" t="str">
            <v>TRIMMING FACES EXCAVATED IN ROCK INCLUDING REMOVAL OF UNSTABLE GROUND, FLAKING STONE, MAKING GOOD FISSURES ETC ALL SIZES AND SHAPES AND IRREGULARITIES</v>
          </cell>
        </row>
        <row r="175">
          <cell r="B175" t="str">
            <v>Horizontal trimming in rock and cart-away all resulting materials off-site to an aprroved tipping site.</v>
          </cell>
        </row>
        <row r="177">
          <cell r="B177" t="str">
            <v>Vertical trimming in rock and cart-away all resulting materials off-site to an aprroved tipping site.</v>
          </cell>
        </row>
        <row r="179">
          <cell r="B179" t="str">
            <v>Supply, hoist, spread and level imported fill (zrar tal- franka) to the required levels.</v>
          </cell>
        </row>
        <row r="181">
          <cell r="B181" t="str">
            <v>Supply, hoist, spread and level imported fill (zrar tal- qawwi) to the required levels.</v>
          </cell>
        </row>
        <row r="183">
          <cell r="B183" t="str">
            <v>Supply, hoist, lay, spread and level vegetable soil as instructed.</v>
          </cell>
        </row>
      </sheetData>
      <sheetData sheetId="3"/>
      <sheetData sheetId="4"/>
      <sheetData sheetId="5">
        <row r="2">
          <cell r="C2" t="str">
            <v>m</v>
          </cell>
        </row>
        <row r="3">
          <cell r="C3" t="str">
            <v>m²</v>
          </cell>
        </row>
        <row r="4">
          <cell r="C4" t="str">
            <v>m³</v>
          </cell>
        </row>
        <row r="5">
          <cell r="C5" t="str">
            <v>kg.</v>
          </cell>
        </row>
        <row r="6">
          <cell r="C6" t="str">
            <v>t.</v>
          </cell>
        </row>
        <row r="7">
          <cell r="C7" t="str">
            <v>Nr.</v>
          </cell>
        </row>
        <row r="8">
          <cell r="C8" t="str">
            <v>Sum</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BOQ"/>
      <sheetName val="Summary Page"/>
      <sheetName val="Rates"/>
      <sheetName val="Codes"/>
      <sheetName val="SummarySheet"/>
      <sheetName val="CostCoding"/>
      <sheetName val="Input document"/>
      <sheetName val="EstimatedLabour"/>
      <sheetName val="Cost Codes"/>
      <sheetName val="PriceLists"/>
      <sheetName val="Price Factors"/>
      <sheetName val="Adjustments"/>
      <sheetName val="MU Adjustments"/>
      <sheetName val="Stores"/>
      <sheetName val="Stocks"/>
      <sheetName val="Workings"/>
      <sheetName val="Est_Form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5"/>
      <sheetName val="Data"/>
      <sheetName val="BOQ"/>
      <sheetName val="Pivot"/>
      <sheetName val="Sheet2"/>
      <sheetName val="BOQ (2)"/>
      <sheetName val="Sheet3"/>
      <sheetName val="BOQ_(2)"/>
      <sheetName val="BOQ_(2)1"/>
      <sheetName val="BOQ_(2)2"/>
      <sheetName val="BOQ_(2)3"/>
      <sheetName val="BOQ_(2)4"/>
      <sheetName val="BOQ_(2)5"/>
      <sheetName val="BOQ_(2)6"/>
      <sheetName val="BOQ_(2)7"/>
      <sheetName val="BOQ_(2)8"/>
      <sheetName val="BOQ_(2)9"/>
      <sheetName val="BOQ_(2)10"/>
      <sheetName val="BOQ_(2)11"/>
    </sheetNames>
    <sheetDataSet>
      <sheetData sheetId="0"/>
      <sheetData sheetId="1">
        <row r="1">
          <cell r="A1" t="str">
            <v>Item</v>
          </cell>
          <cell r="B1" t="str">
            <v>Location</v>
          </cell>
          <cell r="C1" t="str">
            <v>Level</v>
          </cell>
          <cell r="D1" t="str">
            <v>Multiplier</v>
          </cell>
          <cell r="E1" t="str">
            <v>Length</v>
          </cell>
          <cell r="F1" t="str">
            <v>Width</v>
          </cell>
          <cell r="G1" t="str">
            <v>Height</v>
          </cell>
          <cell r="H1" t="str">
            <v>Total</v>
          </cell>
        </row>
        <row r="2">
          <cell r="A2">
            <v>2.23</v>
          </cell>
          <cell r="B2" t="str">
            <v>wall XX,YY,ZZ</v>
          </cell>
          <cell r="C2">
            <v>-5</v>
          </cell>
          <cell r="D2">
            <v>3</v>
          </cell>
          <cell r="E2">
            <v>4.0999999999999996</v>
          </cell>
          <cell r="G2">
            <v>3.0950000000000002</v>
          </cell>
          <cell r="H2">
            <v>38.0685</v>
          </cell>
        </row>
        <row r="3">
          <cell r="A3">
            <v>2.23</v>
          </cell>
          <cell r="B3" t="str">
            <v>wall XX,YY,ZZ</v>
          </cell>
          <cell r="C3">
            <v>-5</v>
          </cell>
          <cell r="D3">
            <v>3</v>
          </cell>
          <cell r="E3">
            <v>3.9</v>
          </cell>
          <cell r="G3">
            <v>3.0950000000000002</v>
          </cell>
          <cell r="H3">
            <v>36.211500000000001</v>
          </cell>
        </row>
        <row r="4">
          <cell r="A4">
            <v>2.23</v>
          </cell>
          <cell r="B4" t="str">
            <v>Core 1-5</v>
          </cell>
          <cell r="C4">
            <v>-5</v>
          </cell>
          <cell r="D4">
            <v>1</v>
          </cell>
          <cell r="E4">
            <v>12.5</v>
          </cell>
          <cell r="G4">
            <v>3.0950000000000002</v>
          </cell>
          <cell r="H4">
            <v>38.6875</v>
          </cell>
        </row>
        <row r="5">
          <cell r="A5">
            <v>2.23</v>
          </cell>
          <cell r="B5" t="str">
            <v>Core  3-5</v>
          </cell>
          <cell r="C5">
            <v>-5</v>
          </cell>
          <cell r="D5">
            <v>1</v>
          </cell>
          <cell r="E5">
            <v>6.8</v>
          </cell>
          <cell r="G5">
            <v>3.0950000000000002</v>
          </cell>
          <cell r="H5">
            <v>21.045999999999999</v>
          </cell>
        </row>
        <row r="6">
          <cell r="A6">
            <v>2.23</v>
          </cell>
          <cell r="B6" t="str">
            <v>Core 7/ 10-12</v>
          </cell>
          <cell r="C6">
            <v>-5</v>
          </cell>
          <cell r="D6">
            <v>1</v>
          </cell>
          <cell r="E6">
            <v>5</v>
          </cell>
          <cell r="G6">
            <v>3.0950000000000002</v>
          </cell>
          <cell r="H6">
            <v>15.475000000000001</v>
          </cell>
        </row>
        <row r="7">
          <cell r="A7">
            <v>2.23</v>
          </cell>
          <cell r="B7" t="str">
            <v>Core 2/7a</v>
          </cell>
          <cell r="C7">
            <v>-5</v>
          </cell>
          <cell r="D7">
            <v>1</v>
          </cell>
          <cell r="E7">
            <v>2.4</v>
          </cell>
          <cell r="G7">
            <v>3.0950000000000002</v>
          </cell>
          <cell r="H7">
            <v>7.4279999999999999</v>
          </cell>
        </row>
        <row r="8">
          <cell r="A8">
            <v>2.23</v>
          </cell>
          <cell r="B8" t="str">
            <v>Core (1-6)-(7-8)</v>
          </cell>
          <cell r="C8">
            <v>-5</v>
          </cell>
          <cell r="D8">
            <v>2</v>
          </cell>
          <cell r="E8">
            <v>2.2999999999999998</v>
          </cell>
          <cell r="G8">
            <v>3.0950000000000002</v>
          </cell>
          <cell r="H8">
            <v>14.237</v>
          </cell>
        </row>
        <row r="9">
          <cell r="A9">
            <v>2.23</v>
          </cell>
          <cell r="B9" t="str">
            <v>Core(6-6a)-(6a-8)</v>
          </cell>
          <cell r="C9">
            <v>-5</v>
          </cell>
          <cell r="D9">
            <v>2</v>
          </cell>
          <cell r="E9">
            <v>2.2999999999999998</v>
          </cell>
          <cell r="G9">
            <v>3.0950000000000002</v>
          </cell>
          <cell r="H9">
            <v>14.237</v>
          </cell>
        </row>
        <row r="10">
          <cell r="A10">
            <v>2.23</v>
          </cell>
          <cell r="B10" t="str">
            <v>Core 8 -18</v>
          </cell>
          <cell r="C10">
            <v>-5</v>
          </cell>
          <cell r="D10">
            <v>1</v>
          </cell>
          <cell r="E10">
            <v>4.8</v>
          </cell>
          <cell r="G10">
            <v>3.0950000000000002</v>
          </cell>
          <cell r="H10">
            <v>14.856</v>
          </cell>
        </row>
        <row r="11">
          <cell r="A11">
            <v>2.23</v>
          </cell>
          <cell r="B11" t="str">
            <v>Core (10-12)-18</v>
          </cell>
          <cell r="C11">
            <v>-5</v>
          </cell>
          <cell r="D11">
            <v>1</v>
          </cell>
          <cell r="E11">
            <v>5</v>
          </cell>
          <cell r="G11">
            <v>3.0950000000000002</v>
          </cell>
          <cell r="H11">
            <v>15.475000000000001</v>
          </cell>
        </row>
        <row r="12">
          <cell r="A12">
            <v>2.23</v>
          </cell>
          <cell r="B12" t="str">
            <v>Core(19-(1-6)-2-18)</v>
          </cell>
          <cell r="C12">
            <v>-5</v>
          </cell>
          <cell r="D12">
            <v>2</v>
          </cell>
          <cell r="E12">
            <v>10.5</v>
          </cell>
          <cell r="G12">
            <v>3.0950000000000002</v>
          </cell>
          <cell r="H12">
            <v>64.995000000000005</v>
          </cell>
        </row>
        <row r="13">
          <cell r="A13">
            <v>2.23</v>
          </cell>
          <cell r="B13" t="str">
            <v xml:space="preserve"> 2-3</v>
          </cell>
          <cell r="C13">
            <v>-5</v>
          </cell>
          <cell r="D13">
            <v>1</v>
          </cell>
          <cell r="E13">
            <v>3</v>
          </cell>
          <cell r="G13">
            <v>3.0950000000000002</v>
          </cell>
          <cell r="H13">
            <v>9.2850000000000001</v>
          </cell>
        </row>
        <row r="14">
          <cell r="A14">
            <v>2.23</v>
          </cell>
          <cell r="B14" t="str">
            <v>(3-4) - (4-5)</v>
          </cell>
          <cell r="C14">
            <v>-5</v>
          </cell>
          <cell r="D14">
            <v>2</v>
          </cell>
          <cell r="E14">
            <v>2.2999999999999998</v>
          </cell>
          <cell r="G14">
            <v>3.0950000000000002</v>
          </cell>
          <cell r="H14">
            <v>14.237</v>
          </cell>
        </row>
        <row r="15">
          <cell r="A15">
            <v>2.23</v>
          </cell>
          <cell r="B15">
            <v>5</v>
          </cell>
          <cell r="C15">
            <v>-5</v>
          </cell>
          <cell r="D15">
            <v>1</v>
          </cell>
          <cell r="E15">
            <v>4.5</v>
          </cell>
          <cell r="G15">
            <v>3.0950000000000002</v>
          </cell>
          <cell r="H15">
            <v>13.9275</v>
          </cell>
        </row>
        <row r="16">
          <cell r="A16">
            <v>2.23</v>
          </cell>
          <cell r="B16" t="str">
            <v>(8-10)-(11-12)</v>
          </cell>
          <cell r="C16">
            <v>-5</v>
          </cell>
          <cell r="D16">
            <v>2</v>
          </cell>
          <cell r="E16">
            <v>5.9</v>
          </cell>
          <cell r="G16">
            <v>3.0950000000000002</v>
          </cell>
          <cell r="H16">
            <v>36.521000000000008</v>
          </cell>
        </row>
        <row r="17">
          <cell r="A17">
            <v>2.23</v>
          </cell>
          <cell r="B17" t="str">
            <v>Core 10-11</v>
          </cell>
          <cell r="C17">
            <v>-5</v>
          </cell>
          <cell r="D17">
            <v>1</v>
          </cell>
          <cell r="E17">
            <v>4.7</v>
          </cell>
          <cell r="G17">
            <v>3.0950000000000002</v>
          </cell>
          <cell r="H17">
            <v>14.546500000000002</v>
          </cell>
        </row>
        <row r="18">
          <cell r="A18">
            <v>2.23</v>
          </cell>
          <cell r="B18" t="str">
            <v>Core 7a - 8</v>
          </cell>
          <cell r="C18">
            <v>-5</v>
          </cell>
          <cell r="D18">
            <v>1</v>
          </cell>
          <cell r="E18">
            <v>2.7</v>
          </cell>
          <cell r="G18">
            <v>3.0950000000000002</v>
          </cell>
          <cell r="H18">
            <v>8.3565000000000005</v>
          </cell>
        </row>
        <row r="19">
          <cell r="A19">
            <v>2.23</v>
          </cell>
          <cell r="C19">
            <v>-5</v>
          </cell>
          <cell r="D19">
            <v>-1</v>
          </cell>
          <cell r="E19">
            <v>1</v>
          </cell>
          <cell r="G19">
            <v>2</v>
          </cell>
          <cell r="H19">
            <v>-2</v>
          </cell>
        </row>
        <row r="20">
          <cell r="A20">
            <v>2.23</v>
          </cell>
          <cell r="C20">
            <v>-5</v>
          </cell>
          <cell r="D20">
            <v>1</v>
          </cell>
          <cell r="E20">
            <v>4.0999999999999996</v>
          </cell>
          <cell r="G20">
            <v>0.27500000000000002</v>
          </cell>
          <cell r="H20">
            <v>1.1274999999999999</v>
          </cell>
        </row>
        <row r="21">
          <cell r="A21">
            <v>2.23</v>
          </cell>
          <cell r="C21">
            <v>-5</v>
          </cell>
          <cell r="D21">
            <v>1</v>
          </cell>
          <cell r="E21">
            <v>0.75</v>
          </cell>
          <cell r="G21">
            <v>0.27500000000000002</v>
          </cell>
          <cell r="H21">
            <v>0.20625000000000002</v>
          </cell>
        </row>
        <row r="22">
          <cell r="A22">
            <v>2.23</v>
          </cell>
          <cell r="B22" t="str">
            <v>wall XX,YY,ZZ</v>
          </cell>
          <cell r="C22">
            <v>-4</v>
          </cell>
          <cell r="D22">
            <v>3</v>
          </cell>
          <cell r="E22">
            <v>4.0999999999999996</v>
          </cell>
          <cell r="G22">
            <v>2.65</v>
          </cell>
          <cell r="H22">
            <v>32.594999999999999</v>
          </cell>
        </row>
        <row r="23">
          <cell r="A23">
            <v>2.23</v>
          </cell>
          <cell r="B23" t="str">
            <v>wall XX,YY,ZZ</v>
          </cell>
          <cell r="C23">
            <v>-4</v>
          </cell>
          <cell r="D23">
            <v>3</v>
          </cell>
          <cell r="E23">
            <v>3.9</v>
          </cell>
          <cell r="G23">
            <v>2.65</v>
          </cell>
          <cell r="H23">
            <v>31.004999999999995</v>
          </cell>
        </row>
        <row r="24">
          <cell r="A24">
            <v>2.23</v>
          </cell>
          <cell r="B24" t="str">
            <v>Core 2-5</v>
          </cell>
          <cell r="C24">
            <v>-4</v>
          </cell>
          <cell r="D24">
            <v>1</v>
          </cell>
          <cell r="E24">
            <v>9.73</v>
          </cell>
          <cell r="G24">
            <v>2.7250000000000001</v>
          </cell>
          <cell r="H24">
            <v>26.514250000000001</v>
          </cell>
        </row>
        <row r="25">
          <cell r="A25">
            <v>2.23</v>
          </cell>
          <cell r="B25" t="str">
            <v>Core 2-7a</v>
          </cell>
          <cell r="C25">
            <v>-4</v>
          </cell>
          <cell r="D25">
            <v>1</v>
          </cell>
          <cell r="E25">
            <v>2.4</v>
          </cell>
          <cell r="G25">
            <v>2.7250000000000001</v>
          </cell>
          <cell r="H25">
            <v>6.54</v>
          </cell>
        </row>
        <row r="26">
          <cell r="A26">
            <v>2.23</v>
          </cell>
          <cell r="B26" t="str">
            <v>Core 7 / 3-5</v>
          </cell>
          <cell r="C26">
            <v>-4</v>
          </cell>
          <cell r="D26">
            <v>1</v>
          </cell>
          <cell r="E26">
            <v>6.83</v>
          </cell>
          <cell r="G26">
            <v>2.7250000000000001</v>
          </cell>
          <cell r="H26">
            <v>18.611750000000001</v>
          </cell>
        </row>
        <row r="27">
          <cell r="A27">
            <v>2.23</v>
          </cell>
          <cell r="B27" t="str">
            <v>Core 1 - 6 / 6 - 6a</v>
          </cell>
          <cell r="C27">
            <v>-4</v>
          </cell>
          <cell r="D27">
            <v>2</v>
          </cell>
          <cell r="E27">
            <v>2.2999999999999998</v>
          </cell>
          <cell r="G27">
            <v>2.7250000000000001</v>
          </cell>
          <cell r="H27">
            <v>12.535</v>
          </cell>
        </row>
        <row r="28">
          <cell r="A28">
            <v>2.23</v>
          </cell>
          <cell r="B28" t="str">
            <v>Core 7 - 8</v>
          </cell>
          <cell r="C28">
            <v>-4</v>
          </cell>
          <cell r="D28">
            <v>1</v>
          </cell>
          <cell r="E28">
            <v>2.2999999999999998</v>
          </cell>
          <cell r="G28">
            <v>2.7250000000000001</v>
          </cell>
          <cell r="H28">
            <v>6.2675000000000001</v>
          </cell>
        </row>
        <row r="29">
          <cell r="A29">
            <v>2.23</v>
          </cell>
          <cell r="B29" t="str">
            <v>Core 7 - (10-12)</v>
          </cell>
          <cell r="C29">
            <v>-4</v>
          </cell>
          <cell r="D29">
            <v>1</v>
          </cell>
          <cell r="E29">
            <v>4.9800000000000004</v>
          </cell>
          <cell r="G29">
            <v>2.7250000000000001</v>
          </cell>
          <cell r="H29">
            <v>13.570500000000001</v>
          </cell>
        </row>
        <row r="30">
          <cell r="A30">
            <v>2.23</v>
          </cell>
          <cell r="B30" t="str">
            <v>Core (8-7a) - 18</v>
          </cell>
          <cell r="C30">
            <v>-4</v>
          </cell>
          <cell r="D30">
            <v>1</v>
          </cell>
          <cell r="E30">
            <v>4.75</v>
          </cell>
          <cell r="G30">
            <v>2.7250000000000001</v>
          </cell>
          <cell r="H30">
            <v>12.94375</v>
          </cell>
        </row>
        <row r="31">
          <cell r="A31">
            <v>2.23</v>
          </cell>
          <cell r="B31" t="str">
            <v>Core (10-12)-18</v>
          </cell>
          <cell r="C31">
            <v>-4</v>
          </cell>
          <cell r="D31">
            <v>1</v>
          </cell>
          <cell r="E31">
            <v>3.43</v>
          </cell>
          <cell r="G31">
            <v>2.7250000000000001</v>
          </cell>
          <cell r="H31">
            <v>9.3467500000000001</v>
          </cell>
        </row>
        <row r="32">
          <cell r="A32">
            <v>2.23</v>
          </cell>
          <cell r="B32" t="str">
            <v>Core (1-6)-(2-7a)</v>
          </cell>
          <cell r="C32">
            <v>-4</v>
          </cell>
          <cell r="D32">
            <v>1</v>
          </cell>
          <cell r="E32">
            <v>8.2850000000000001</v>
          </cell>
          <cell r="G32">
            <v>2.7250000000000001</v>
          </cell>
          <cell r="H32">
            <v>22.576625</v>
          </cell>
        </row>
        <row r="33">
          <cell r="A33">
            <v>2.23</v>
          </cell>
          <cell r="B33" t="str">
            <v xml:space="preserve"> 2- 3</v>
          </cell>
          <cell r="C33">
            <v>-4</v>
          </cell>
          <cell r="D33">
            <v>1</v>
          </cell>
          <cell r="E33">
            <v>3.25</v>
          </cell>
          <cell r="G33">
            <v>2.7250000000000001</v>
          </cell>
          <cell r="H33">
            <v>8.8562500000000011</v>
          </cell>
        </row>
        <row r="34">
          <cell r="A34">
            <v>2.23</v>
          </cell>
          <cell r="B34" t="str">
            <v>(3-4) - (4-5)</v>
          </cell>
          <cell r="C34">
            <v>-4</v>
          </cell>
          <cell r="D34">
            <v>2</v>
          </cell>
          <cell r="E34">
            <v>2.2999999999999998</v>
          </cell>
          <cell r="G34">
            <v>2.7250000000000001</v>
          </cell>
          <cell r="H34">
            <v>12.535</v>
          </cell>
        </row>
        <row r="35">
          <cell r="A35">
            <v>2.23</v>
          </cell>
          <cell r="B35" t="str">
            <v xml:space="preserve"> 5 - 7</v>
          </cell>
          <cell r="C35">
            <v>-4</v>
          </cell>
          <cell r="D35">
            <v>1</v>
          </cell>
          <cell r="E35">
            <v>4.71</v>
          </cell>
          <cell r="G35">
            <v>2.7250000000000001</v>
          </cell>
          <cell r="H35">
            <v>12.83475</v>
          </cell>
        </row>
        <row r="36">
          <cell r="A36">
            <v>2.23</v>
          </cell>
          <cell r="B36" t="str">
            <v>7a - 8</v>
          </cell>
          <cell r="C36">
            <v>-4</v>
          </cell>
          <cell r="D36">
            <v>1</v>
          </cell>
          <cell r="E36">
            <v>2.65</v>
          </cell>
          <cell r="G36">
            <v>2.7250000000000001</v>
          </cell>
          <cell r="H36">
            <v>7.2212500000000004</v>
          </cell>
        </row>
        <row r="37">
          <cell r="A37">
            <v>2.23</v>
          </cell>
          <cell r="B37" t="str">
            <v>Core 10 - 8</v>
          </cell>
          <cell r="C37">
            <v>-4</v>
          </cell>
          <cell r="D37">
            <v>1</v>
          </cell>
          <cell r="E37">
            <v>4.2850000000000001</v>
          </cell>
          <cell r="G37">
            <v>2.7250000000000001</v>
          </cell>
          <cell r="H37">
            <v>11.676625000000001</v>
          </cell>
        </row>
        <row r="38">
          <cell r="A38">
            <v>2.23</v>
          </cell>
          <cell r="B38" t="str">
            <v xml:space="preserve"> 10-11</v>
          </cell>
          <cell r="C38">
            <v>-4</v>
          </cell>
          <cell r="D38">
            <v>1</v>
          </cell>
          <cell r="E38">
            <v>4.71</v>
          </cell>
          <cell r="G38">
            <v>2.7250000000000001</v>
          </cell>
          <cell r="H38">
            <v>12.83475</v>
          </cell>
        </row>
        <row r="39">
          <cell r="A39">
            <v>2.23</v>
          </cell>
          <cell r="B39" t="str">
            <v xml:space="preserve"> 11 - 12</v>
          </cell>
          <cell r="C39">
            <v>-4</v>
          </cell>
          <cell r="D39">
            <v>1</v>
          </cell>
          <cell r="E39">
            <v>5.91</v>
          </cell>
          <cell r="G39">
            <v>2.7250000000000001</v>
          </cell>
          <cell r="H39">
            <v>16.104749999999999</v>
          </cell>
        </row>
        <row r="40">
          <cell r="A40">
            <v>2.23</v>
          </cell>
          <cell r="B40" t="str">
            <v>1 - 6a</v>
          </cell>
          <cell r="C40">
            <v>-4</v>
          </cell>
          <cell r="D40">
            <v>1</v>
          </cell>
          <cell r="E40">
            <v>8.92</v>
          </cell>
          <cell r="G40">
            <v>2.65</v>
          </cell>
          <cell r="H40">
            <v>23.637999999999998</v>
          </cell>
        </row>
        <row r="41">
          <cell r="A41">
            <v>2.23</v>
          </cell>
          <cell r="B41" t="str">
            <v>6a - 18</v>
          </cell>
          <cell r="C41">
            <v>-4</v>
          </cell>
          <cell r="D41">
            <v>1</v>
          </cell>
          <cell r="E41">
            <v>2.2999999999999998</v>
          </cell>
          <cell r="G41">
            <v>2.65</v>
          </cell>
          <cell r="H41">
            <v>6.0949999999999998</v>
          </cell>
        </row>
        <row r="42">
          <cell r="A42">
            <v>2.23</v>
          </cell>
          <cell r="B42" t="str">
            <v>6a - 18</v>
          </cell>
          <cell r="C42">
            <v>-4</v>
          </cell>
          <cell r="D42">
            <v>1</v>
          </cell>
          <cell r="E42">
            <v>2.1749999999999998</v>
          </cell>
          <cell r="G42">
            <v>2.65</v>
          </cell>
          <cell r="H42">
            <v>5.763749999999999</v>
          </cell>
        </row>
        <row r="43">
          <cell r="A43">
            <v>2.23</v>
          </cell>
          <cell r="B43" t="str">
            <v xml:space="preserve"> 18 - 10</v>
          </cell>
          <cell r="C43">
            <v>-4</v>
          </cell>
          <cell r="D43">
            <v>1</v>
          </cell>
          <cell r="E43">
            <v>1.875</v>
          </cell>
          <cell r="G43">
            <v>2.65</v>
          </cell>
          <cell r="H43">
            <v>4.96875</v>
          </cell>
        </row>
        <row r="44">
          <cell r="A44">
            <v>2.23</v>
          </cell>
          <cell r="B44" t="str">
            <v xml:space="preserve"> 18 - 10</v>
          </cell>
          <cell r="C44">
            <v>-4</v>
          </cell>
          <cell r="D44">
            <v>1</v>
          </cell>
          <cell r="E44">
            <v>0.5</v>
          </cell>
          <cell r="G44">
            <v>2.65</v>
          </cell>
          <cell r="H44">
            <v>1.325</v>
          </cell>
        </row>
        <row r="45">
          <cell r="A45">
            <v>2.23</v>
          </cell>
          <cell r="B45">
            <v>1</v>
          </cell>
          <cell r="C45">
            <v>-4</v>
          </cell>
          <cell r="D45">
            <v>1</v>
          </cell>
          <cell r="E45">
            <v>1.54</v>
          </cell>
          <cell r="G45">
            <v>2.9249999999999998</v>
          </cell>
          <cell r="H45">
            <v>4.5045000000000002</v>
          </cell>
        </row>
        <row r="46">
          <cell r="A46">
            <v>2.23</v>
          </cell>
          <cell r="B46">
            <v>1</v>
          </cell>
          <cell r="C46">
            <v>-4</v>
          </cell>
          <cell r="D46">
            <v>1</v>
          </cell>
          <cell r="E46">
            <v>2.5499999999999998</v>
          </cell>
          <cell r="G46">
            <v>2.9249999999999998</v>
          </cell>
          <cell r="H46">
            <v>7.4587499999999993</v>
          </cell>
        </row>
        <row r="47">
          <cell r="A47">
            <v>2.23</v>
          </cell>
          <cell r="B47">
            <v>12</v>
          </cell>
          <cell r="C47">
            <v>-4</v>
          </cell>
          <cell r="D47">
            <v>1</v>
          </cell>
          <cell r="E47">
            <v>0.75</v>
          </cell>
          <cell r="G47">
            <v>2.9249999999999998</v>
          </cell>
          <cell r="H47">
            <v>2.1937499999999996</v>
          </cell>
        </row>
        <row r="48">
          <cell r="A48">
            <v>4.01</v>
          </cell>
          <cell r="C48">
            <v>-5</v>
          </cell>
          <cell r="D48">
            <v>1</v>
          </cell>
          <cell r="E48">
            <v>27.2</v>
          </cell>
          <cell r="F48">
            <v>23.1</v>
          </cell>
          <cell r="H48">
            <v>628.32000000000005</v>
          </cell>
        </row>
        <row r="49">
          <cell r="A49">
            <v>4.01</v>
          </cell>
          <cell r="C49">
            <v>-5</v>
          </cell>
          <cell r="D49">
            <v>1</v>
          </cell>
          <cell r="E49">
            <v>20.27</v>
          </cell>
          <cell r="F49">
            <v>1.9</v>
          </cell>
          <cell r="H49">
            <v>38.512999999999998</v>
          </cell>
        </row>
        <row r="50">
          <cell r="A50">
            <v>4.01</v>
          </cell>
          <cell r="C50">
            <v>-5</v>
          </cell>
          <cell r="D50">
            <v>1</v>
          </cell>
          <cell r="E50">
            <v>4.8</v>
          </cell>
          <cell r="F50">
            <v>1</v>
          </cell>
          <cell r="H50">
            <v>4.8</v>
          </cell>
        </row>
        <row r="51">
          <cell r="A51">
            <v>4.01</v>
          </cell>
          <cell r="C51">
            <v>-5</v>
          </cell>
          <cell r="D51">
            <v>1</v>
          </cell>
          <cell r="E51">
            <v>106.94</v>
          </cell>
          <cell r="G51">
            <v>2.27</v>
          </cell>
          <cell r="H51">
            <v>242.75379999999998</v>
          </cell>
        </row>
        <row r="52">
          <cell r="A52">
            <v>4.01</v>
          </cell>
          <cell r="C52">
            <v>-5</v>
          </cell>
          <cell r="D52">
            <v>-1</v>
          </cell>
          <cell r="E52">
            <v>7.55</v>
          </cell>
          <cell r="G52">
            <v>0.81</v>
          </cell>
          <cell r="H52">
            <v>-6.1154999999999999</v>
          </cell>
        </row>
        <row r="53">
          <cell r="A53">
            <v>4.05</v>
          </cell>
          <cell r="B53" t="str">
            <v>North side</v>
          </cell>
          <cell r="C53">
            <v>-5</v>
          </cell>
          <cell r="D53">
            <v>1</v>
          </cell>
          <cell r="E53">
            <v>27.2</v>
          </cell>
          <cell r="H53">
            <v>27.2</v>
          </cell>
        </row>
        <row r="54">
          <cell r="A54">
            <v>4.05</v>
          </cell>
          <cell r="B54" t="str">
            <v>West side</v>
          </cell>
          <cell r="C54">
            <v>-5</v>
          </cell>
          <cell r="D54">
            <v>1</v>
          </cell>
          <cell r="E54">
            <v>24.9</v>
          </cell>
          <cell r="H54">
            <v>24.9</v>
          </cell>
        </row>
        <row r="55">
          <cell r="A55">
            <v>4.05</v>
          </cell>
          <cell r="B55" t="str">
            <v>South side</v>
          </cell>
          <cell r="C55">
            <v>-5</v>
          </cell>
          <cell r="D55">
            <v>1</v>
          </cell>
          <cell r="E55">
            <v>15.57</v>
          </cell>
          <cell r="H55">
            <v>15.57</v>
          </cell>
        </row>
        <row r="56">
          <cell r="A56">
            <v>4.05</v>
          </cell>
          <cell r="C56">
            <v>-5</v>
          </cell>
          <cell r="D56">
            <v>1</v>
          </cell>
          <cell r="E56">
            <v>1</v>
          </cell>
          <cell r="H56">
            <v>1</v>
          </cell>
        </row>
        <row r="57">
          <cell r="A57">
            <v>4.05</v>
          </cell>
          <cell r="C57">
            <v>-5</v>
          </cell>
          <cell r="D57">
            <v>1</v>
          </cell>
          <cell r="E57">
            <v>4.8</v>
          </cell>
          <cell r="H57">
            <v>4.8</v>
          </cell>
        </row>
        <row r="58">
          <cell r="A58">
            <v>4.05</v>
          </cell>
          <cell r="B58" t="str">
            <v>East side</v>
          </cell>
          <cell r="C58">
            <v>-5</v>
          </cell>
          <cell r="D58">
            <v>1</v>
          </cell>
          <cell r="E58">
            <v>2.9</v>
          </cell>
          <cell r="H58">
            <v>2.9</v>
          </cell>
        </row>
        <row r="59">
          <cell r="A59">
            <v>4.05</v>
          </cell>
          <cell r="C59">
            <v>-5</v>
          </cell>
          <cell r="D59">
            <v>1</v>
          </cell>
          <cell r="E59">
            <v>7.5</v>
          </cell>
          <cell r="H59">
            <v>7.5</v>
          </cell>
        </row>
        <row r="60">
          <cell r="A60">
            <v>4.05</v>
          </cell>
          <cell r="C60">
            <v>-5</v>
          </cell>
          <cell r="D60">
            <v>1</v>
          </cell>
          <cell r="E60">
            <v>23.1</v>
          </cell>
          <cell r="H60">
            <v>23.1</v>
          </cell>
        </row>
        <row r="61">
          <cell r="A61">
            <v>3.03</v>
          </cell>
          <cell r="B61" t="str">
            <v>North Side</v>
          </cell>
          <cell r="C61">
            <v>-5</v>
          </cell>
          <cell r="D61">
            <v>2</v>
          </cell>
          <cell r="E61">
            <v>26.9</v>
          </cell>
          <cell r="G61">
            <v>1.89</v>
          </cell>
          <cell r="H61">
            <v>101.68199999999999</v>
          </cell>
        </row>
        <row r="62">
          <cell r="A62">
            <v>3.03</v>
          </cell>
          <cell r="B62" t="str">
            <v>West Side</v>
          </cell>
          <cell r="C62">
            <v>-5</v>
          </cell>
          <cell r="D62">
            <v>2</v>
          </cell>
          <cell r="E62">
            <v>25.5</v>
          </cell>
          <cell r="G62">
            <v>1.89</v>
          </cell>
          <cell r="H62">
            <v>96.39</v>
          </cell>
        </row>
        <row r="63">
          <cell r="A63">
            <v>3.03</v>
          </cell>
          <cell r="B63" t="str">
            <v>South Side</v>
          </cell>
          <cell r="C63">
            <v>-5</v>
          </cell>
          <cell r="D63">
            <v>2</v>
          </cell>
          <cell r="E63">
            <v>15.27</v>
          </cell>
          <cell r="G63">
            <v>1.89</v>
          </cell>
          <cell r="H63">
            <v>57.720599999999997</v>
          </cell>
        </row>
        <row r="64">
          <cell r="A64">
            <v>3.03</v>
          </cell>
          <cell r="C64">
            <v>-5</v>
          </cell>
          <cell r="D64">
            <v>2</v>
          </cell>
          <cell r="E64">
            <v>1</v>
          </cell>
          <cell r="G64">
            <v>1.08</v>
          </cell>
          <cell r="H64">
            <v>2.16</v>
          </cell>
        </row>
        <row r="65">
          <cell r="A65">
            <v>3.03</v>
          </cell>
          <cell r="C65">
            <v>-5</v>
          </cell>
          <cell r="D65">
            <v>2</v>
          </cell>
          <cell r="E65">
            <v>4.5</v>
          </cell>
          <cell r="G65">
            <v>1.08</v>
          </cell>
          <cell r="H65">
            <v>9.7200000000000006</v>
          </cell>
        </row>
        <row r="66">
          <cell r="A66">
            <v>3.03</v>
          </cell>
          <cell r="B66" t="str">
            <v>East Side</v>
          </cell>
          <cell r="C66">
            <v>-5</v>
          </cell>
          <cell r="D66">
            <v>2</v>
          </cell>
          <cell r="E66">
            <v>1.75</v>
          </cell>
          <cell r="G66">
            <v>1.08</v>
          </cell>
          <cell r="H66">
            <v>3.7800000000000002</v>
          </cell>
        </row>
        <row r="67">
          <cell r="A67">
            <v>3.03</v>
          </cell>
          <cell r="C67">
            <v>-5</v>
          </cell>
          <cell r="D67">
            <v>2</v>
          </cell>
          <cell r="E67">
            <v>1.45</v>
          </cell>
          <cell r="G67">
            <v>1.89</v>
          </cell>
          <cell r="H67">
            <v>5.4809999999999999</v>
          </cell>
        </row>
        <row r="68">
          <cell r="A68">
            <v>3.03</v>
          </cell>
          <cell r="C68">
            <v>-5</v>
          </cell>
          <cell r="D68">
            <v>2</v>
          </cell>
          <cell r="E68">
            <v>7.5</v>
          </cell>
          <cell r="G68">
            <v>1.89</v>
          </cell>
          <cell r="H68">
            <v>28.349999999999998</v>
          </cell>
        </row>
        <row r="69">
          <cell r="A69">
            <v>3.03</v>
          </cell>
          <cell r="C69">
            <v>-5</v>
          </cell>
          <cell r="D69">
            <v>2</v>
          </cell>
          <cell r="E69">
            <v>23.4</v>
          </cell>
          <cell r="G69">
            <v>1.89</v>
          </cell>
          <cell r="H69">
            <v>88.451999999999984</v>
          </cell>
        </row>
        <row r="70">
          <cell r="A70">
            <v>3.03</v>
          </cell>
          <cell r="C70">
            <v>-5</v>
          </cell>
          <cell r="D70">
            <v>-1</v>
          </cell>
          <cell r="E70">
            <v>7</v>
          </cell>
          <cell r="G70">
            <v>1.89</v>
          </cell>
          <cell r="H70">
            <v>-13.229999999999999</v>
          </cell>
        </row>
        <row r="71">
          <cell r="A71">
            <v>2.2999999999999998</v>
          </cell>
          <cell r="B71">
            <v>2</v>
          </cell>
          <cell r="C71">
            <v>-5</v>
          </cell>
          <cell r="D71">
            <v>1</v>
          </cell>
          <cell r="E71">
            <v>3.25</v>
          </cell>
          <cell r="F71">
            <v>2.65</v>
          </cell>
          <cell r="H71">
            <v>8.6124999999999989</v>
          </cell>
        </row>
        <row r="72">
          <cell r="A72">
            <v>2.2999999999999998</v>
          </cell>
          <cell r="B72" t="str">
            <v xml:space="preserve"> 3 - 5</v>
          </cell>
          <cell r="C72">
            <v>-5</v>
          </cell>
          <cell r="D72">
            <v>1</v>
          </cell>
          <cell r="E72">
            <v>7.33</v>
          </cell>
          <cell r="F72">
            <v>2.8</v>
          </cell>
          <cell r="H72">
            <v>20.523999999999997</v>
          </cell>
        </row>
        <row r="73">
          <cell r="A73">
            <v>2.2999999999999998</v>
          </cell>
          <cell r="B73">
            <v>7</v>
          </cell>
          <cell r="C73">
            <v>-5</v>
          </cell>
          <cell r="D73">
            <v>1</v>
          </cell>
          <cell r="E73">
            <v>4.9800000000000004</v>
          </cell>
          <cell r="F73">
            <v>2.15</v>
          </cell>
          <cell r="H73">
            <v>10.707000000000001</v>
          </cell>
        </row>
        <row r="74">
          <cell r="A74">
            <v>2.2999999999999998</v>
          </cell>
          <cell r="B74" t="str">
            <v>7c</v>
          </cell>
          <cell r="C74">
            <v>-5</v>
          </cell>
          <cell r="D74">
            <v>1</v>
          </cell>
          <cell r="E74">
            <v>2.835</v>
          </cell>
          <cell r="F74">
            <v>2.35</v>
          </cell>
          <cell r="H74">
            <v>6.6622500000000002</v>
          </cell>
        </row>
        <row r="75">
          <cell r="A75">
            <v>2.2999999999999998</v>
          </cell>
          <cell r="B75" t="str">
            <v xml:space="preserve">7a </v>
          </cell>
          <cell r="C75">
            <v>-5</v>
          </cell>
          <cell r="D75">
            <v>1</v>
          </cell>
          <cell r="E75">
            <v>2.65</v>
          </cell>
          <cell r="F75">
            <v>2.39</v>
          </cell>
          <cell r="H75">
            <v>6.3334999999999999</v>
          </cell>
        </row>
        <row r="76">
          <cell r="A76">
            <v>2.2999999999999998</v>
          </cell>
          <cell r="B76">
            <v>1</v>
          </cell>
          <cell r="C76">
            <v>-5</v>
          </cell>
          <cell r="D76">
            <v>1</v>
          </cell>
          <cell r="E76">
            <v>2.2999999999999998</v>
          </cell>
          <cell r="F76">
            <v>1.95</v>
          </cell>
          <cell r="H76">
            <v>4.4849999999999994</v>
          </cell>
        </row>
        <row r="77">
          <cell r="A77">
            <v>2.2999999999999998</v>
          </cell>
          <cell r="B77" t="str">
            <v xml:space="preserve"> 6-7a-8</v>
          </cell>
          <cell r="C77">
            <v>-5</v>
          </cell>
          <cell r="D77">
            <v>1</v>
          </cell>
          <cell r="E77">
            <v>2.9</v>
          </cell>
          <cell r="F77">
            <v>7.55</v>
          </cell>
          <cell r="H77">
            <v>21.895</v>
          </cell>
        </row>
        <row r="78">
          <cell r="A78">
            <v>2.2999999999999998</v>
          </cell>
          <cell r="B78">
            <v>10</v>
          </cell>
          <cell r="C78">
            <v>-5</v>
          </cell>
          <cell r="D78">
            <v>1</v>
          </cell>
          <cell r="E78">
            <v>2.36</v>
          </cell>
          <cell r="F78">
            <v>2.0099999999999998</v>
          </cell>
          <cell r="H78">
            <v>4.7435999999999989</v>
          </cell>
        </row>
        <row r="79">
          <cell r="A79">
            <v>2.2999999999999998</v>
          </cell>
          <cell r="B79">
            <v>11</v>
          </cell>
          <cell r="C79">
            <v>-5</v>
          </cell>
          <cell r="D79">
            <v>1</v>
          </cell>
          <cell r="E79">
            <v>1.62</v>
          </cell>
          <cell r="F79">
            <v>6.16</v>
          </cell>
          <cell r="H79">
            <v>9.9792000000000005</v>
          </cell>
        </row>
        <row r="80">
          <cell r="A80">
            <v>2.31</v>
          </cell>
          <cell r="C80">
            <v>-5</v>
          </cell>
          <cell r="D80">
            <v>1</v>
          </cell>
          <cell r="E80">
            <v>5.25</v>
          </cell>
          <cell r="F80">
            <v>2.1800000000000002</v>
          </cell>
          <cell r="H80">
            <v>11.445</v>
          </cell>
        </row>
        <row r="81">
          <cell r="A81">
            <v>2.31</v>
          </cell>
          <cell r="C81">
            <v>-5</v>
          </cell>
          <cell r="D81">
            <v>1</v>
          </cell>
          <cell r="E81">
            <v>11.27</v>
          </cell>
          <cell r="F81">
            <v>8.3000000000000007</v>
          </cell>
          <cell r="H81">
            <v>93.541000000000011</v>
          </cell>
        </row>
        <row r="82">
          <cell r="A82">
            <v>2.31</v>
          </cell>
          <cell r="C82">
            <v>-5</v>
          </cell>
          <cell r="D82">
            <v>1</v>
          </cell>
          <cell r="E82">
            <v>19.32</v>
          </cell>
          <cell r="F82">
            <v>11.27</v>
          </cell>
          <cell r="H82">
            <v>217.7364</v>
          </cell>
        </row>
        <row r="83">
          <cell r="A83">
            <v>2.31</v>
          </cell>
          <cell r="C83">
            <v>-5</v>
          </cell>
          <cell r="D83">
            <v>-2</v>
          </cell>
          <cell r="E83">
            <v>10.119999999999999</v>
          </cell>
          <cell r="F83">
            <v>0.44</v>
          </cell>
          <cell r="H83">
            <v>-8.9055999999999997</v>
          </cell>
        </row>
        <row r="84">
          <cell r="A84">
            <v>2.31</v>
          </cell>
          <cell r="C84">
            <v>-5</v>
          </cell>
          <cell r="D84">
            <v>-1</v>
          </cell>
          <cell r="E84">
            <v>0.45</v>
          </cell>
          <cell r="F84">
            <v>1.8</v>
          </cell>
          <cell r="H84">
            <v>-0.81</v>
          </cell>
        </row>
        <row r="85">
          <cell r="A85" t="str">
            <v>2.28a</v>
          </cell>
          <cell r="C85">
            <v>-5</v>
          </cell>
          <cell r="D85">
            <v>6</v>
          </cell>
          <cell r="E85">
            <v>0.45</v>
          </cell>
          <cell r="F85">
            <v>0.45</v>
          </cell>
          <cell r="G85">
            <v>3.0950000000000002</v>
          </cell>
          <cell r="H85">
            <v>3.7604250000000006</v>
          </cell>
        </row>
        <row r="86">
          <cell r="A86" t="str">
            <v>2.28b</v>
          </cell>
          <cell r="C86">
            <v>-5</v>
          </cell>
          <cell r="D86">
            <v>6</v>
          </cell>
          <cell r="E86">
            <v>0.85</v>
          </cell>
          <cell r="F86">
            <v>0.5</v>
          </cell>
          <cell r="G86">
            <v>3.0950000000000002</v>
          </cell>
          <cell r="H86">
            <v>7.8922499999999998</v>
          </cell>
        </row>
        <row r="87">
          <cell r="A87" t="str">
            <v>2.28c</v>
          </cell>
          <cell r="C87">
            <v>-5</v>
          </cell>
          <cell r="D87">
            <v>3</v>
          </cell>
          <cell r="E87">
            <v>1.1000000000000001</v>
          </cell>
          <cell r="F87">
            <v>1.1000000000000001</v>
          </cell>
          <cell r="G87">
            <v>3.0950000000000002</v>
          </cell>
          <cell r="H87">
            <v>11.234850000000003</v>
          </cell>
        </row>
        <row r="88">
          <cell r="A88">
            <v>2.15</v>
          </cell>
          <cell r="C88">
            <v>-5</v>
          </cell>
          <cell r="D88">
            <v>1</v>
          </cell>
          <cell r="E88">
            <v>26.9</v>
          </cell>
          <cell r="F88">
            <v>22.8</v>
          </cell>
          <cell r="G88">
            <v>1.75</v>
          </cell>
          <cell r="H88">
            <v>1073.31</v>
          </cell>
        </row>
        <row r="89">
          <cell r="A89">
            <v>2.15</v>
          </cell>
          <cell r="C89">
            <v>-5</v>
          </cell>
          <cell r="D89">
            <v>1</v>
          </cell>
          <cell r="E89">
            <v>19.399999999999999</v>
          </cell>
          <cell r="F89">
            <v>2.1</v>
          </cell>
          <cell r="G89">
            <v>1.75</v>
          </cell>
          <cell r="H89">
            <v>71.295000000000002</v>
          </cell>
        </row>
        <row r="90">
          <cell r="A90">
            <v>2.15</v>
          </cell>
          <cell r="C90">
            <v>-5</v>
          </cell>
          <cell r="D90">
            <v>1</v>
          </cell>
          <cell r="E90">
            <v>1</v>
          </cell>
          <cell r="F90">
            <v>4.5</v>
          </cell>
          <cell r="G90">
            <v>1.75</v>
          </cell>
          <cell r="H90">
            <v>7.875</v>
          </cell>
        </row>
        <row r="91">
          <cell r="A91">
            <v>2.15</v>
          </cell>
          <cell r="C91">
            <v>-5</v>
          </cell>
          <cell r="D91">
            <v>-1</v>
          </cell>
          <cell r="E91">
            <v>4.5</v>
          </cell>
          <cell r="F91">
            <v>1.139</v>
          </cell>
          <cell r="G91">
            <v>0.75</v>
          </cell>
          <cell r="H91">
            <v>-3.844125</v>
          </cell>
        </row>
        <row r="92">
          <cell r="A92">
            <v>2.15</v>
          </cell>
          <cell r="C92">
            <v>-5</v>
          </cell>
          <cell r="D92">
            <v>-1</v>
          </cell>
          <cell r="E92">
            <v>3.1</v>
          </cell>
          <cell r="F92">
            <v>2.37</v>
          </cell>
          <cell r="G92">
            <v>0.75</v>
          </cell>
          <cell r="H92">
            <v>-5.5102500000000001</v>
          </cell>
        </row>
        <row r="93">
          <cell r="A93">
            <v>2.31</v>
          </cell>
          <cell r="C93">
            <v>-4</v>
          </cell>
          <cell r="D93">
            <v>1</v>
          </cell>
          <cell r="E93">
            <v>5.25</v>
          </cell>
          <cell r="F93">
            <v>2.1800000000000002</v>
          </cell>
          <cell r="H93">
            <v>11.445</v>
          </cell>
        </row>
        <row r="94">
          <cell r="A94">
            <v>2.31</v>
          </cell>
          <cell r="C94">
            <v>-4</v>
          </cell>
          <cell r="D94">
            <v>1</v>
          </cell>
          <cell r="E94">
            <v>11.27</v>
          </cell>
          <cell r="F94">
            <v>8.3000000000000007</v>
          </cell>
          <cell r="H94">
            <v>93.541000000000011</v>
          </cell>
        </row>
        <row r="95">
          <cell r="A95">
            <v>2.31</v>
          </cell>
          <cell r="C95">
            <v>-4</v>
          </cell>
          <cell r="D95">
            <v>1</v>
          </cell>
          <cell r="E95">
            <v>19.32</v>
          </cell>
          <cell r="F95">
            <v>11.27</v>
          </cell>
          <cell r="H95">
            <v>217.7364</v>
          </cell>
        </row>
        <row r="96">
          <cell r="A96">
            <v>2.31</v>
          </cell>
          <cell r="C96">
            <v>-4</v>
          </cell>
          <cell r="D96">
            <v>-2</v>
          </cell>
          <cell r="E96">
            <v>10.119999999999999</v>
          </cell>
          <cell r="F96">
            <v>0.44</v>
          </cell>
          <cell r="H96">
            <v>-8.9055999999999997</v>
          </cell>
        </row>
        <row r="97">
          <cell r="A97">
            <v>2.31</v>
          </cell>
          <cell r="C97">
            <v>-4</v>
          </cell>
          <cell r="D97">
            <v>-1</v>
          </cell>
          <cell r="E97">
            <v>0.45</v>
          </cell>
          <cell r="F97">
            <v>1.8</v>
          </cell>
          <cell r="H97">
            <v>-0.81</v>
          </cell>
        </row>
        <row r="98">
          <cell r="A98">
            <v>2.2999999999999998</v>
          </cell>
          <cell r="B98">
            <v>2</v>
          </cell>
          <cell r="C98">
            <v>-4</v>
          </cell>
          <cell r="D98">
            <v>1</v>
          </cell>
          <cell r="E98">
            <v>3.25</v>
          </cell>
          <cell r="F98">
            <v>2.65</v>
          </cell>
          <cell r="H98">
            <v>8.6124999999999989</v>
          </cell>
        </row>
        <row r="99">
          <cell r="A99">
            <v>2.2999999999999998</v>
          </cell>
          <cell r="B99" t="str">
            <v xml:space="preserve"> 3 - 5</v>
          </cell>
          <cell r="C99">
            <v>-4</v>
          </cell>
          <cell r="D99">
            <v>1</v>
          </cell>
          <cell r="E99">
            <v>7.33</v>
          </cell>
          <cell r="F99">
            <v>2.8</v>
          </cell>
          <cell r="H99">
            <v>20.523999999999997</v>
          </cell>
        </row>
        <row r="100">
          <cell r="A100">
            <v>2.2999999999999998</v>
          </cell>
          <cell r="B100">
            <v>7</v>
          </cell>
          <cell r="C100">
            <v>-4</v>
          </cell>
          <cell r="D100">
            <v>1</v>
          </cell>
          <cell r="E100">
            <v>4.9800000000000004</v>
          </cell>
          <cell r="F100">
            <v>2.15</v>
          </cell>
          <cell r="H100">
            <v>10.707000000000001</v>
          </cell>
        </row>
        <row r="101">
          <cell r="A101">
            <v>2.2999999999999998</v>
          </cell>
          <cell r="B101" t="str">
            <v>7c</v>
          </cell>
          <cell r="C101">
            <v>-4</v>
          </cell>
          <cell r="D101">
            <v>1</v>
          </cell>
          <cell r="E101">
            <v>2.835</v>
          </cell>
          <cell r="F101">
            <v>2.35</v>
          </cell>
          <cell r="H101">
            <v>6.6622500000000002</v>
          </cell>
        </row>
        <row r="102">
          <cell r="A102">
            <v>2.2999999999999998</v>
          </cell>
          <cell r="B102" t="str">
            <v xml:space="preserve">7a </v>
          </cell>
          <cell r="C102">
            <v>-4</v>
          </cell>
          <cell r="D102">
            <v>1</v>
          </cell>
          <cell r="E102">
            <v>2.65</v>
          </cell>
          <cell r="F102">
            <v>2.39</v>
          </cell>
          <cell r="H102">
            <v>6.3334999999999999</v>
          </cell>
        </row>
        <row r="103">
          <cell r="A103">
            <v>2.2999999999999998</v>
          </cell>
          <cell r="B103">
            <v>1</v>
          </cell>
          <cell r="C103">
            <v>-4</v>
          </cell>
          <cell r="D103">
            <v>1</v>
          </cell>
          <cell r="E103">
            <v>2.2999999999999998</v>
          </cell>
          <cell r="F103">
            <v>1.95</v>
          </cell>
          <cell r="H103">
            <v>4.4849999999999994</v>
          </cell>
        </row>
        <row r="104">
          <cell r="A104">
            <v>2.2999999999999998</v>
          </cell>
          <cell r="B104" t="str">
            <v xml:space="preserve"> 6-7a-8</v>
          </cell>
          <cell r="C104">
            <v>-4</v>
          </cell>
          <cell r="D104">
            <v>1</v>
          </cell>
          <cell r="E104">
            <v>2.9</v>
          </cell>
          <cell r="F104">
            <v>7.55</v>
          </cell>
          <cell r="H104">
            <v>21.895</v>
          </cell>
        </row>
        <row r="105">
          <cell r="A105">
            <v>2.2999999999999998</v>
          </cell>
          <cell r="B105">
            <v>10</v>
          </cell>
          <cell r="C105">
            <v>-4</v>
          </cell>
          <cell r="D105">
            <v>1</v>
          </cell>
          <cell r="E105">
            <v>2.36</v>
          </cell>
          <cell r="F105">
            <v>2.0099999999999998</v>
          </cell>
          <cell r="H105">
            <v>4.7435999999999989</v>
          </cell>
        </row>
        <row r="106">
          <cell r="A106">
            <v>2.2999999999999998</v>
          </cell>
          <cell r="B106">
            <v>11</v>
          </cell>
          <cell r="C106">
            <v>-4</v>
          </cell>
          <cell r="D106">
            <v>1</v>
          </cell>
          <cell r="E106">
            <v>1.62</v>
          </cell>
          <cell r="F106">
            <v>6.16</v>
          </cell>
          <cell r="H106">
            <v>9.9792000000000005</v>
          </cell>
        </row>
        <row r="107">
          <cell r="A107">
            <v>2.4300000000000002</v>
          </cell>
          <cell r="C107">
            <v>-4</v>
          </cell>
          <cell r="D107">
            <v>1</v>
          </cell>
          <cell r="E107">
            <v>313.07</v>
          </cell>
          <cell r="F107">
            <v>1</v>
          </cell>
          <cell r="H107">
            <v>313.07</v>
          </cell>
        </row>
        <row r="108">
          <cell r="A108">
            <v>2.4300000000000002</v>
          </cell>
          <cell r="C108">
            <v>-4</v>
          </cell>
          <cell r="D108">
            <v>-3</v>
          </cell>
          <cell r="E108">
            <v>1.1000000000000001</v>
          </cell>
          <cell r="F108">
            <v>1.1000000000000001</v>
          </cell>
          <cell r="H108">
            <v>-3.6300000000000008</v>
          </cell>
        </row>
        <row r="109">
          <cell r="A109">
            <v>2.4300000000000002</v>
          </cell>
          <cell r="C109">
            <v>-4</v>
          </cell>
          <cell r="D109">
            <v>-6</v>
          </cell>
          <cell r="E109">
            <v>0.85</v>
          </cell>
          <cell r="F109">
            <v>0.5</v>
          </cell>
          <cell r="H109">
            <v>-2.5499999999999998</v>
          </cell>
        </row>
        <row r="110">
          <cell r="A110">
            <v>2.4300000000000002</v>
          </cell>
          <cell r="C110">
            <v>-4</v>
          </cell>
          <cell r="D110">
            <v>-6</v>
          </cell>
          <cell r="E110">
            <v>0.45</v>
          </cell>
          <cell r="F110">
            <v>0.45</v>
          </cell>
          <cell r="H110">
            <v>-1.2150000000000001</v>
          </cell>
        </row>
        <row r="111">
          <cell r="A111">
            <v>2.4300000000000002</v>
          </cell>
          <cell r="C111">
            <v>-4</v>
          </cell>
          <cell r="D111">
            <v>-6</v>
          </cell>
          <cell r="E111">
            <v>3.9750000000000001</v>
          </cell>
          <cell r="F111">
            <v>0.25</v>
          </cell>
          <cell r="H111">
            <v>-5.9625000000000004</v>
          </cell>
        </row>
        <row r="112">
          <cell r="A112" t="str">
            <v>2.28a</v>
          </cell>
          <cell r="C112">
            <v>-4</v>
          </cell>
          <cell r="D112">
            <v>6</v>
          </cell>
          <cell r="E112">
            <v>0.45</v>
          </cell>
          <cell r="F112">
            <v>0.45</v>
          </cell>
          <cell r="G112">
            <v>2.65</v>
          </cell>
          <cell r="H112">
            <v>3.2197499999999999</v>
          </cell>
        </row>
        <row r="113">
          <cell r="A113" t="str">
            <v>2.28b</v>
          </cell>
          <cell r="C113">
            <v>-4</v>
          </cell>
          <cell r="D113">
            <v>6</v>
          </cell>
          <cell r="E113">
            <v>0.85</v>
          </cell>
          <cell r="F113">
            <v>0.5</v>
          </cell>
          <cell r="G113">
            <v>2.65</v>
          </cell>
          <cell r="H113">
            <v>6.7574999999999994</v>
          </cell>
        </row>
        <row r="114">
          <cell r="A114" t="str">
            <v>2.28c</v>
          </cell>
          <cell r="C114">
            <v>-4</v>
          </cell>
          <cell r="D114">
            <v>3</v>
          </cell>
          <cell r="E114">
            <v>1.1000000000000001</v>
          </cell>
          <cell r="F114">
            <v>1.1000000000000001</v>
          </cell>
          <cell r="G114">
            <v>2.65</v>
          </cell>
          <cell r="H114">
            <v>9.6195000000000022</v>
          </cell>
        </row>
        <row r="116">
          <cell r="H116">
            <v>0</v>
          </cell>
        </row>
        <row r="117">
          <cell r="H117">
            <v>0</v>
          </cell>
        </row>
        <row r="118">
          <cell r="H118">
            <v>0</v>
          </cell>
        </row>
        <row r="119">
          <cell r="H119">
            <v>0</v>
          </cell>
        </row>
        <row r="120">
          <cell r="H120">
            <v>0</v>
          </cell>
        </row>
        <row r="121">
          <cell r="H121">
            <v>0</v>
          </cell>
        </row>
        <row r="122">
          <cell r="H122">
            <v>0</v>
          </cell>
        </row>
        <row r="123">
          <cell r="H123">
            <v>0</v>
          </cell>
        </row>
        <row r="124">
          <cell r="H124">
            <v>0</v>
          </cell>
        </row>
        <row r="125">
          <cell r="H125">
            <v>0</v>
          </cell>
        </row>
        <row r="126">
          <cell r="H126">
            <v>0</v>
          </cell>
        </row>
        <row r="127">
          <cell r="H127">
            <v>0</v>
          </cell>
        </row>
        <row r="128">
          <cell r="H128">
            <v>0</v>
          </cell>
        </row>
        <row r="338">
          <cell r="H338">
            <v>0</v>
          </cell>
        </row>
        <row r="339">
          <cell r="H339">
            <v>0</v>
          </cell>
        </row>
        <row r="340">
          <cell r="H340">
            <v>0</v>
          </cell>
        </row>
        <row r="341">
          <cell r="H341">
            <v>0</v>
          </cell>
        </row>
        <row r="342">
          <cell r="H342">
            <v>0</v>
          </cell>
        </row>
        <row r="343">
          <cell r="H343">
            <v>0</v>
          </cell>
        </row>
        <row r="344">
          <cell r="H344">
            <v>0</v>
          </cell>
        </row>
        <row r="345">
          <cell r="H345">
            <v>0</v>
          </cell>
        </row>
        <row r="346">
          <cell r="H346">
            <v>0</v>
          </cell>
        </row>
        <row r="347">
          <cell r="H347">
            <v>0</v>
          </cell>
        </row>
        <row r="348">
          <cell r="H348">
            <v>0</v>
          </cell>
        </row>
        <row r="349">
          <cell r="H349">
            <v>0</v>
          </cell>
        </row>
        <row r="350">
          <cell r="H350">
            <v>0</v>
          </cell>
        </row>
        <row r="351">
          <cell r="H351">
            <v>0</v>
          </cell>
        </row>
        <row r="352">
          <cell r="H352">
            <v>0</v>
          </cell>
        </row>
        <row r="353">
          <cell r="H353">
            <v>0</v>
          </cell>
        </row>
        <row r="354">
          <cell r="H354">
            <v>0</v>
          </cell>
        </row>
        <row r="355">
          <cell r="H355">
            <v>0</v>
          </cell>
        </row>
        <row r="356">
          <cell r="H356">
            <v>0</v>
          </cell>
        </row>
        <row r="357">
          <cell r="H357">
            <v>0</v>
          </cell>
        </row>
        <row r="358">
          <cell r="H358">
            <v>0</v>
          </cell>
        </row>
        <row r="359">
          <cell r="H359">
            <v>0</v>
          </cell>
        </row>
        <row r="360">
          <cell r="H360">
            <v>0</v>
          </cell>
        </row>
        <row r="361">
          <cell r="H361">
            <v>0</v>
          </cell>
        </row>
        <row r="362">
          <cell r="H362">
            <v>0</v>
          </cell>
        </row>
        <row r="363">
          <cell r="H363">
            <v>0</v>
          </cell>
        </row>
        <row r="364">
          <cell r="H364">
            <v>0</v>
          </cell>
        </row>
        <row r="365">
          <cell r="H365">
            <v>0</v>
          </cell>
        </row>
        <row r="366">
          <cell r="H366">
            <v>0</v>
          </cell>
        </row>
        <row r="367">
          <cell r="H367">
            <v>0</v>
          </cell>
        </row>
        <row r="368">
          <cell r="H368">
            <v>0</v>
          </cell>
        </row>
        <row r="369">
          <cell r="H369">
            <v>0</v>
          </cell>
        </row>
        <row r="370">
          <cell r="H370">
            <v>0</v>
          </cell>
        </row>
        <row r="371">
          <cell r="H371">
            <v>0</v>
          </cell>
        </row>
        <row r="372">
          <cell r="H372">
            <v>0</v>
          </cell>
        </row>
        <row r="373">
          <cell r="H373">
            <v>0</v>
          </cell>
        </row>
        <row r="374">
          <cell r="H374">
            <v>0</v>
          </cell>
        </row>
        <row r="375">
          <cell r="H375">
            <v>0</v>
          </cell>
        </row>
        <row r="376">
          <cell r="H376">
            <v>0</v>
          </cell>
        </row>
        <row r="377">
          <cell r="H377">
            <v>0</v>
          </cell>
        </row>
        <row r="378">
          <cell r="H378">
            <v>0</v>
          </cell>
        </row>
        <row r="379">
          <cell r="H379">
            <v>0</v>
          </cell>
        </row>
        <row r="380">
          <cell r="H380">
            <v>0</v>
          </cell>
        </row>
        <row r="381">
          <cell r="H381">
            <v>0</v>
          </cell>
        </row>
        <row r="382">
          <cell r="H382">
            <v>0</v>
          </cell>
        </row>
        <row r="383">
          <cell r="H383">
            <v>0</v>
          </cell>
        </row>
        <row r="384">
          <cell r="H384">
            <v>0</v>
          </cell>
        </row>
        <row r="385">
          <cell r="H385">
            <v>0</v>
          </cell>
        </row>
        <row r="386">
          <cell r="H386">
            <v>0</v>
          </cell>
        </row>
        <row r="387">
          <cell r="H387">
            <v>0</v>
          </cell>
        </row>
        <row r="388">
          <cell r="H388">
            <v>0</v>
          </cell>
        </row>
        <row r="389">
          <cell r="H389">
            <v>0</v>
          </cell>
        </row>
        <row r="390">
          <cell r="H390">
            <v>0</v>
          </cell>
        </row>
        <row r="391">
          <cell r="H391">
            <v>0</v>
          </cell>
        </row>
        <row r="392">
          <cell r="H392">
            <v>0</v>
          </cell>
        </row>
        <row r="393">
          <cell r="H393">
            <v>0</v>
          </cell>
        </row>
        <row r="394">
          <cell r="H394">
            <v>0</v>
          </cell>
        </row>
        <row r="395">
          <cell r="H395">
            <v>0</v>
          </cell>
        </row>
        <row r="396">
          <cell r="H396">
            <v>0</v>
          </cell>
        </row>
        <row r="397">
          <cell r="H397">
            <v>0</v>
          </cell>
        </row>
        <row r="398">
          <cell r="H398">
            <v>0</v>
          </cell>
        </row>
        <row r="399">
          <cell r="H399">
            <v>0</v>
          </cell>
        </row>
        <row r="400">
          <cell r="H400">
            <v>0</v>
          </cell>
        </row>
        <row r="401">
          <cell r="H401">
            <v>0</v>
          </cell>
        </row>
        <row r="402">
          <cell r="H402">
            <v>0</v>
          </cell>
        </row>
        <row r="403">
          <cell r="H403">
            <v>0</v>
          </cell>
        </row>
        <row r="404">
          <cell r="H404">
            <v>0</v>
          </cell>
        </row>
        <row r="405">
          <cell r="H405">
            <v>0</v>
          </cell>
        </row>
        <row r="406">
          <cell r="H406">
            <v>0</v>
          </cell>
        </row>
        <row r="407">
          <cell r="H407">
            <v>0</v>
          </cell>
        </row>
        <row r="408">
          <cell r="H408">
            <v>0</v>
          </cell>
        </row>
        <row r="409">
          <cell r="H409">
            <v>0</v>
          </cell>
        </row>
        <row r="410">
          <cell r="H410">
            <v>0</v>
          </cell>
        </row>
        <row r="411">
          <cell r="H411">
            <v>0</v>
          </cell>
        </row>
        <row r="412">
          <cell r="H412">
            <v>0</v>
          </cell>
        </row>
        <row r="413">
          <cell r="H413">
            <v>0</v>
          </cell>
        </row>
        <row r="414">
          <cell r="H414">
            <v>0</v>
          </cell>
        </row>
        <row r="415">
          <cell r="H415">
            <v>0</v>
          </cell>
        </row>
        <row r="416">
          <cell r="H416">
            <v>0</v>
          </cell>
        </row>
        <row r="417">
          <cell r="H417">
            <v>0</v>
          </cell>
        </row>
        <row r="418">
          <cell r="H418">
            <v>0</v>
          </cell>
        </row>
        <row r="419">
          <cell r="H419">
            <v>0</v>
          </cell>
        </row>
        <row r="420">
          <cell r="H420">
            <v>0</v>
          </cell>
        </row>
        <row r="421">
          <cell r="H421">
            <v>0</v>
          </cell>
        </row>
        <row r="422">
          <cell r="H422">
            <v>0</v>
          </cell>
        </row>
        <row r="423">
          <cell r="H423">
            <v>0</v>
          </cell>
        </row>
        <row r="424">
          <cell r="H424">
            <v>0</v>
          </cell>
        </row>
        <row r="425">
          <cell r="H425">
            <v>0</v>
          </cell>
        </row>
        <row r="426">
          <cell r="H426">
            <v>0</v>
          </cell>
        </row>
        <row r="427">
          <cell r="H427">
            <v>0</v>
          </cell>
        </row>
        <row r="428">
          <cell r="H428">
            <v>0</v>
          </cell>
        </row>
        <row r="429">
          <cell r="H429">
            <v>0</v>
          </cell>
        </row>
        <row r="430">
          <cell r="H430">
            <v>0</v>
          </cell>
        </row>
        <row r="431">
          <cell r="H431">
            <v>0</v>
          </cell>
        </row>
        <row r="432">
          <cell r="H432">
            <v>0</v>
          </cell>
        </row>
        <row r="433">
          <cell r="H433">
            <v>0</v>
          </cell>
        </row>
        <row r="434">
          <cell r="H434">
            <v>0</v>
          </cell>
        </row>
        <row r="435">
          <cell r="H435">
            <v>0</v>
          </cell>
        </row>
        <row r="436">
          <cell r="H436">
            <v>0</v>
          </cell>
        </row>
        <row r="437">
          <cell r="H437">
            <v>0</v>
          </cell>
        </row>
        <row r="438">
          <cell r="H438">
            <v>0</v>
          </cell>
        </row>
        <row r="439">
          <cell r="H439">
            <v>0</v>
          </cell>
        </row>
        <row r="440">
          <cell r="H440">
            <v>0</v>
          </cell>
        </row>
        <row r="441">
          <cell r="H441">
            <v>0</v>
          </cell>
        </row>
        <row r="442">
          <cell r="H442">
            <v>0</v>
          </cell>
        </row>
        <row r="443">
          <cell r="H443">
            <v>0</v>
          </cell>
        </row>
        <row r="444">
          <cell r="H444">
            <v>0</v>
          </cell>
        </row>
        <row r="445">
          <cell r="H445">
            <v>0</v>
          </cell>
        </row>
        <row r="446">
          <cell r="H446">
            <v>0</v>
          </cell>
        </row>
        <row r="447">
          <cell r="H447">
            <v>0</v>
          </cell>
        </row>
        <row r="448">
          <cell r="H448">
            <v>0</v>
          </cell>
        </row>
        <row r="449">
          <cell r="H449">
            <v>0</v>
          </cell>
        </row>
        <row r="450">
          <cell r="H450">
            <v>0</v>
          </cell>
        </row>
        <row r="451">
          <cell r="H451">
            <v>0</v>
          </cell>
        </row>
        <row r="452">
          <cell r="H452">
            <v>0</v>
          </cell>
        </row>
        <row r="453">
          <cell r="H453">
            <v>0</v>
          </cell>
        </row>
        <row r="454">
          <cell r="H454">
            <v>0</v>
          </cell>
        </row>
        <row r="455">
          <cell r="H455">
            <v>0</v>
          </cell>
        </row>
        <row r="456">
          <cell r="H456">
            <v>0</v>
          </cell>
        </row>
        <row r="457">
          <cell r="H457">
            <v>0</v>
          </cell>
        </row>
        <row r="458">
          <cell r="H458">
            <v>0</v>
          </cell>
        </row>
        <row r="459">
          <cell r="H459">
            <v>0</v>
          </cell>
        </row>
        <row r="460">
          <cell r="H460">
            <v>0</v>
          </cell>
        </row>
        <row r="461">
          <cell r="H461">
            <v>0</v>
          </cell>
        </row>
        <row r="462">
          <cell r="H462">
            <v>0</v>
          </cell>
        </row>
        <row r="463">
          <cell r="H463">
            <v>0</v>
          </cell>
        </row>
        <row r="464">
          <cell r="H464">
            <v>0</v>
          </cell>
        </row>
        <row r="465">
          <cell r="H465">
            <v>0</v>
          </cell>
        </row>
        <row r="466">
          <cell r="H466">
            <v>0</v>
          </cell>
        </row>
        <row r="467">
          <cell r="H467">
            <v>0</v>
          </cell>
        </row>
        <row r="468">
          <cell r="H468">
            <v>0</v>
          </cell>
        </row>
        <row r="469">
          <cell r="H469">
            <v>0</v>
          </cell>
        </row>
        <row r="470">
          <cell r="H470">
            <v>0</v>
          </cell>
        </row>
        <row r="471">
          <cell r="H471">
            <v>0</v>
          </cell>
        </row>
        <row r="472">
          <cell r="H472">
            <v>0</v>
          </cell>
        </row>
        <row r="473">
          <cell r="H473">
            <v>0</v>
          </cell>
        </row>
        <row r="474">
          <cell r="H474">
            <v>0</v>
          </cell>
        </row>
        <row r="475">
          <cell r="H475">
            <v>0</v>
          </cell>
        </row>
        <row r="476">
          <cell r="H476">
            <v>0</v>
          </cell>
        </row>
        <row r="477">
          <cell r="H477">
            <v>0</v>
          </cell>
        </row>
        <row r="478">
          <cell r="H478">
            <v>0</v>
          </cell>
        </row>
        <row r="479">
          <cell r="H479">
            <v>0</v>
          </cell>
        </row>
        <row r="480">
          <cell r="H480">
            <v>0</v>
          </cell>
        </row>
        <row r="481">
          <cell r="H481">
            <v>0</v>
          </cell>
        </row>
        <row r="482">
          <cell r="H482">
            <v>0</v>
          </cell>
        </row>
        <row r="483">
          <cell r="H483">
            <v>0</v>
          </cell>
        </row>
        <row r="484">
          <cell r="H484">
            <v>0</v>
          </cell>
        </row>
        <row r="485">
          <cell r="H485">
            <v>0</v>
          </cell>
        </row>
        <row r="486">
          <cell r="H486">
            <v>0</v>
          </cell>
        </row>
        <row r="487">
          <cell r="H487">
            <v>0</v>
          </cell>
        </row>
        <row r="488">
          <cell r="H488">
            <v>0</v>
          </cell>
        </row>
        <row r="489">
          <cell r="H489">
            <v>0</v>
          </cell>
        </row>
        <row r="490">
          <cell r="H490">
            <v>0</v>
          </cell>
        </row>
        <row r="491">
          <cell r="H491">
            <v>0</v>
          </cell>
        </row>
        <row r="492">
          <cell r="H492">
            <v>0</v>
          </cell>
        </row>
        <row r="493">
          <cell r="H493">
            <v>0</v>
          </cell>
        </row>
        <row r="494">
          <cell r="H494">
            <v>0</v>
          </cell>
        </row>
        <row r="495">
          <cell r="H495">
            <v>0</v>
          </cell>
        </row>
        <row r="496">
          <cell r="H496">
            <v>0</v>
          </cell>
        </row>
        <row r="497">
          <cell r="H497">
            <v>0</v>
          </cell>
        </row>
        <row r="498">
          <cell r="H498">
            <v>0</v>
          </cell>
        </row>
        <row r="499">
          <cell r="H499">
            <v>0</v>
          </cell>
        </row>
        <row r="500">
          <cell r="H500">
            <v>0</v>
          </cell>
        </row>
        <row r="501">
          <cell r="H501">
            <v>0</v>
          </cell>
        </row>
        <row r="502">
          <cell r="H502">
            <v>0</v>
          </cell>
        </row>
        <row r="503">
          <cell r="H503">
            <v>0</v>
          </cell>
        </row>
        <row r="504">
          <cell r="H504">
            <v>0</v>
          </cell>
        </row>
        <row r="505">
          <cell r="H505">
            <v>0</v>
          </cell>
        </row>
        <row r="506">
          <cell r="H506">
            <v>0</v>
          </cell>
        </row>
        <row r="507">
          <cell r="H507">
            <v>0</v>
          </cell>
        </row>
        <row r="508">
          <cell r="H508">
            <v>0</v>
          </cell>
        </row>
        <row r="509">
          <cell r="H509">
            <v>0</v>
          </cell>
        </row>
        <row r="510">
          <cell r="H510">
            <v>0</v>
          </cell>
        </row>
        <row r="511">
          <cell r="H511">
            <v>0</v>
          </cell>
        </row>
        <row r="512">
          <cell r="H512">
            <v>0</v>
          </cell>
        </row>
        <row r="513">
          <cell r="H513">
            <v>0</v>
          </cell>
        </row>
        <row r="514">
          <cell r="H514">
            <v>0</v>
          </cell>
        </row>
        <row r="515">
          <cell r="H515">
            <v>0</v>
          </cell>
        </row>
        <row r="516">
          <cell r="H516">
            <v>0</v>
          </cell>
        </row>
        <row r="517">
          <cell r="H517">
            <v>0</v>
          </cell>
        </row>
        <row r="518">
          <cell r="H518">
            <v>0</v>
          </cell>
        </row>
        <row r="519">
          <cell r="H519">
            <v>0</v>
          </cell>
        </row>
        <row r="520">
          <cell r="H520">
            <v>0</v>
          </cell>
        </row>
        <row r="521">
          <cell r="H521">
            <v>0</v>
          </cell>
        </row>
        <row r="522">
          <cell r="H522">
            <v>0</v>
          </cell>
        </row>
        <row r="523">
          <cell r="H523">
            <v>0</v>
          </cell>
        </row>
        <row r="524">
          <cell r="H524">
            <v>0</v>
          </cell>
        </row>
        <row r="525">
          <cell r="H525">
            <v>0</v>
          </cell>
        </row>
        <row r="526">
          <cell r="H526">
            <v>0</v>
          </cell>
        </row>
        <row r="527">
          <cell r="H527">
            <v>0</v>
          </cell>
        </row>
        <row r="528">
          <cell r="H528">
            <v>0</v>
          </cell>
        </row>
        <row r="529">
          <cell r="H529">
            <v>0</v>
          </cell>
        </row>
        <row r="530">
          <cell r="H530">
            <v>0</v>
          </cell>
        </row>
        <row r="531">
          <cell r="H531">
            <v>0</v>
          </cell>
        </row>
        <row r="532">
          <cell r="H532">
            <v>0</v>
          </cell>
        </row>
        <row r="533">
          <cell r="H533">
            <v>0</v>
          </cell>
        </row>
        <row r="534">
          <cell r="H534">
            <v>0</v>
          </cell>
        </row>
        <row r="535">
          <cell r="H535">
            <v>0</v>
          </cell>
        </row>
        <row r="536">
          <cell r="H536">
            <v>0</v>
          </cell>
        </row>
        <row r="537">
          <cell r="H537">
            <v>0</v>
          </cell>
        </row>
        <row r="538">
          <cell r="H538">
            <v>0</v>
          </cell>
        </row>
        <row r="539">
          <cell r="H539">
            <v>0</v>
          </cell>
        </row>
        <row r="540">
          <cell r="H540">
            <v>0</v>
          </cell>
        </row>
        <row r="541">
          <cell r="H541">
            <v>0</v>
          </cell>
        </row>
        <row r="542">
          <cell r="H542">
            <v>0</v>
          </cell>
        </row>
        <row r="543">
          <cell r="H543">
            <v>0</v>
          </cell>
        </row>
        <row r="544">
          <cell r="H544">
            <v>0</v>
          </cell>
        </row>
        <row r="545">
          <cell r="H545">
            <v>0</v>
          </cell>
        </row>
        <row r="546">
          <cell r="H546">
            <v>0</v>
          </cell>
        </row>
        <row r="547">
          <cell r="H547">
            <v>0</v>
          </cell>
        </row>
        <row r="548">
          <cell r="H548">
            <v>0</v>
          </cell>
        </row>
        <row r="549">
          <cell r="H549">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otes"/>
      <sheetName val="ML_Sum"/>
      <sheetName val="Quote"/>
      <sheetName val="Elec_Rates"/>
      <sheetName val="Elec_Est"/>
      <sheetName val="E_BOQ"/>
    </sheetNames>
    <sheetDataSet>
      <sheetData sheetId="0"/>
      <sheetData sheetId="1">
        <row r="6">
          <cell r="D6" t="str">
            <v>VAT EXCL.</v>
          </cell>
        </row>
      </sheetData>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3.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omments" Target="../comments1.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indexed="52"/>
  </sheetPr>
  <dimension ref="A1:C28"/>
  <sheetViews>
    <sheetView workbookViewId="0">
      <selection activeCell="B10" sqref="B10"/>
    </sheetView>
  </sheetViews>
  <sheetFormatPr defaultRowHeight="13.2"/>
  <cols>
    <col min="1" max="1" width="11.5546875" style="488" bestFit="1" customWidth="1"/>
    <col min="2" max="2" width="89.6640625" customWidth="1"/>
    <col min="4" max="4" width="9.5546875" customWidth="1"/>
    <col min="6" max="6" width="10.109375" customWidth="1"/>
    <col min="9" max="9" width="7.6640625" customWidth="1"/>
  </cols>
  <sheetData>
    <row r="1" spans="1:3" ht="17.399999999999999">
      <c r="A1" s="489" t="s">
        <v>322</v>
      </c>
      <c r="C1" s="319"/>
    </row>
    <row r="3" spans="1:3">
      <c r="A3" s="169"/>
    </row>
    <row r="13" spans="1:3">
      <c r="A13" s="169"/>
    </row>
    <row r="28" spans="2:2">
      <c r="B28" s="615"/>
    </row>
  </sheetData>
  <phoneticPr fontId="37"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indexed="43"/>
  </sheetPr>
  <dimension ref="A1:U58"/>
  <sheetViews>
    <sheetView workbookViewId="0">
      <selection activeCell="AB32" sqref="AB32"/>
    </sheetView>
  </sheetViews>
  <sheetFormatPr defaultColWidth="9.109375" defaultRowHeight="13.2"/>
  <cols>
    <col min="1" max="1" width="4.6640625" style="691" customWidth="1"/>
    <col min="2" max="2" width="6.109375" style="691" customWidth="1"/>
    <col min="3" max="3" width="3.88671875" style="691" hidden="1" customWidth="1"/>
    <col min="4" max="4" width="15.6640625" style="691" customWidth="1"/>
    <col min="5" max="6" width="12.6640625" style="691" customWidth="1"/>
    <col min="7" max="7" width="9.6640625" style="691" hidden="1" customWidth="1"/>
    <col min="8" max="8" width="7.6640625" style="691" hidden="1" customWidth="1"/>
    <col min="9" max="11" width="8.6640625" style="691" hidden="1" customWidth="1"/>
    <col min="12" max="12" width="6.6640625" style="691" hidden="1" customWidth="1"/>
    <col min="13" max="16" width="8.6640625" style="691" hidden="1" customWidth="1"/>
    <col min="17" max="17" width="12.88671875" style="691" customWidth="1"/>
    <col min="18" max="18" width="8.6640625" style="691" customWidth="1"/>
    <col min="19" max="19" width="12.6640625" style="691" customWidth="1"/>
    <col min="20" max="20" width="8.33203125" style="691" customWidth="1"/>
    <col min="21" max="16384" width="9.109375" style="691"/>
  </cols>
  <sheetData>
    <row r="1" spans="1:21" s="688" customFormat="1" ht="28.8">
      <c r="A1" s="834" t="str">
        <f>IF(AND(UPPER(LEFT(TRIM($D$8),11))="01",UPPER(LEFT(TRIM($D$9),3))&lt;&gt;"ELM"),"PANTA RETAIL LTD.","PANTA CONTRACTING LIMITED")</f>
        <v>PANTA CONTRACTING LIMITED</v>
      </c>
      <c r="B1" s="834"/>
      <c r="C1" s="834"/>
      <c r="D1" s="834"/>
      <c r="E1" s="834"/>
      <c r="F1" s="834"/>
      <c r="G1" s="834"/>
      <c r="H1" s="834"/>
      <c r="I1" s="834"/>
      <c r="J1" s="834"/>
      <c r="K1" s="834"/>
      <c r="L1" s="834"/>
      <c r="M1" s="834"/>
      <c r="N1" s="834"/>
      <c r="O1" s="834"/>
      <c r="P1" s="834"/>
      <c r="Q1" s="834"/>
      <c r="R1" s="834"/>
      <c r="S1" s="834"/>
      <c r="T1" s="834"/>
      <c r="U1" s="687"/>
    </row>
    <row r="2" spans="1:21" s="688" customFormat="1" ht="17.399999999999999">
      <c r="A2" s="835" t="str">
        <f>IF(UPPER(LEFT(TRIM($D$9),3))="ELM","ELEC-FOR-MECH INTERNAL QUOTATION","ELECTRICAL INTERNAL QUOTATION")</f>
        <v>ELECTRICAL INTERNAL QUOTATION</v>
      </c>
      <c r="B2" s="835"/>
      <c r="C2" s="835"/>
      <c r="D2" s="835"/>
      <c r="E2" s="835"/>
      <c r="F2" s="835"/>
      <c r="G2" s="835"/>
      <c r="H2" s="835"/>
      <c r="I2" s="835"/>
      <c r="J2" s="835"/>
      <c r="K2" s="835"/>
      <c r="L2" s="835"/>
      <c r="M2" s="835"/>
      <c r="N2" s="835"/>
      <c r="O2" s="835"/>
      <c r="P2" s="835"/>
      <c r="Q2" s="835"/>
      <c r="R2" s="835"/>
      <c r="S2" s="835"/>
      <c r="T2" s="835"/>
    </row>
    <row r="3" spans="1:21" s="688" customFormat="1">
      <c r="A3" s="689"/>
      <c r="B3" s="690"/>
      <c r="C3" s="689"/>
      <c r="D3" s="689"/>
      <c r="E3" s="689"/>
      <c r="F3" s="689"/>
      <c r="G3" s="691"/>
      <c r="H3" s="691"/>
      <c r="I3" s="691"/>
      <c r="J3" s="691"/>
      <c r="K3" s="689"/>
      <c r="Q3" s="689"/>
      <c r="R3" s="689"/>
      <c r="S3" s="689"/>
      <c r="T3" s="689"/>
    </row>
    <row r="4" spans="1:21" s="688" customFormat="1">
      <c r="A4" s="691"/>
      <c r="B4" s="691"/>
      <c r="C4" s="691"/>
      <c r="D4" s="691"/>
      <c r="E4" s="691"/>
      <c r="F4" s="691"/>
      <c r="G4" s="691"/>
      <c r="H4" s="691"/>
      <c r="I4" s="691"/>
      <c r="J4" s="691"/>
      <c r="K4" s="691"/>
      <c r="L4" s="691"/>
      <c r="M4" s="691"/>
      <c r="N4" s="691"/>
      <c r="O4" s="691"/>
      <c r="P4" s="691"/>
      <c r="Q4" s="691"/>
      <c r="R4" s="691"/>
      <c r="S4" s="691"/>
      <c r="T4" s="691"/>
    </row>
    <row r="5" spans="1:21" s="688" customFormat="1">
      <c r="A5" s="689"/>
      <c r="B5" s="692" t="s">
        <v>228</v>
      </c>
      <c r="C5" s="691"/>
      <c r="D5" s="693" t="str">
        <f>IF(A2="Internal Quotation", "Mechanical Division","")</f>
        <v/>
      </c>
      <c r="E5" s="691"/>
      <c r="F5" s="691"/>
      <c r="G5" s="694"/>
      <c r="H5" s="694"/>
      <c r="I5" s="695"/>
      <c r="J5" s="695"/>
      <c r="K5" s="694"/>
      <c r="L5" s="696"/>
      <c r="M5" s="696"/>
      <c r="N5" s="696"/>
      <c r="O5" s="696"/>
      <c r="P5" s="696"/>
      <c r="Q5" s="691"/>
      <c r="R5" s="697" t="s">
        <v>190</v>
      </c>
      <c r="S5" s="698">
        <f ca="1">NOW()</f>
        <v>45903.548805439816</v>
      </c>
      <c r="T5" s="691"/>
    </row>
    <row r="6" spans="1:21" s="688" customFormat="1">
      <c r="A6" s="699"/>
      <c r="B6" s="699" t="s">
        <v>0</v>
      </c>
      <c r="C6" s="700" t="s">
        <v>229</v>
      </c>
      <c r="D6" s="689" t="str">
        <f>ML_Sum!D1</f>
        <v>ST Microelectronics (Malta) Ltd.</v>
      </c>
      <c r="E6" s="689"/>
      <c r="F6" s="689"/>
      <c r="G6" s="691"/>
      <c r="H6" s="691"/>
      <c r="I6" s="691"/>
      <c r="J6" s="691"/>
      <c r="K6" s="689"/>
      <c r="Q6" s="689"/>
      <c r="R6" s="691"/>
      <c r="S6" s="691"/>
      <c r="T6" s="691"/>
    </row>
    <row r="7" spans="1:21" s="688" customFormat="1">
      <c r="A7" s="699"/>
      <c r="B7" s="699" t="s">
        <v>2</v>
      </c>
      <c r="C7" s="700" t="s">
        <v>230</v>
      </c>
      <c r="D7" s="689" t="str">
        <f>ML_Sum!D2</f>
        <v xml:space="preserve">KK2 General Exhaust Replacement </v>
      </c>
      <c r="E7" s="689"/>
      <c r="F7" s="689"/>
      <c r="G7" s="691"/>
      <c r="H7" s="691"/>
      <c r="I7" s="691"/>
      <c r="J7" s="691"/>
      <c r="K7" s="689"/>
      <c r="Q7" s="689"/>
      <c r="R7" s="691"/>
      <c r="S7" s="691"/>
      <c r="T7" s="691"/>
    </row>
    <row r="8" spans="1:21" s="688" customFormat="1">
      <c r="A8" s="699"/>
      <c r="B8" s="699" t="s">
        <v>4</v>
      </c>
      <c r="C8" s="700" t="s">
        <v>231</v>
      </c>
      <c r="D8" s="689" t="str">
        <f>ML_Sum!D3</f>
        <v>Electrical Supply and Installation</v>
      </c>
      <c r="E8" s="689"/>
      <c r="F8" s="689"/>
      <c r="G8" s="691"/>
      <c r="H8" s="691"/>
      <c r="I8" s="691"/>
      <c r="J8" s="691"/>
      <c r="K8" s="689"/>
      <c r="Q8" s="689"/>
      <c r="R8" s="691"/>
      <c r="S8" s="691"/>
      <c r="T8" s="691"/>
    </row>
    <row r="9" spans="1:21" s="688" customFormat="1">
      <c r="A9" s="691"/>
      <c r="B9" s="692" t="s">
        <v>6</v>
      </c>
      <c r="C9" s="700" t="s">
        <v>232</v>
      </c>
      <c r="D9" s="689" t="str">
        <f>ML_Sum!D4</f>
        <v>EL25-0559</v>
      </c>
      <c r="E9" s="689"/>
      <c r="F9" s="689"/>
      <c r="G9" s="691"/>
      <c r="H9" s="691"/>
      <c r="I9" s="691"/>
      <c r="J9" s="691"/>
      <c r="K9" s="689"/>
      <c r="Q9" s="689"/>
      <c r="R9" s="689"/>
      <c r="S9" s="689"/>
      <c r="T9" s="689"/>
    </row>
    <row r="10" spans="1:21" s="688" customFormat="1">
      <c r="A10" s="691"/>
      <c r="B10" s="701" t="s">
        <v>182</v>
      </c>
      <c r="C10" s="700" t="s">
        <v>233</v>
      </c>
      <c r="D10" s="689" t="str">
        <f>ML_Sum!D5</f>
        <v>Tender</v>
      </c>
      <c r="E10" s="691"/>
      <c r="F10" s="691"/>
      <c r="G10" s="691"/>
      <c r="H10" s="691"/>
      <c r="I10" s="691"/>
      <c r="J10" s="691"/>
      <c r="K10" s="691"/>
      <c r="L10" s="691"/>
      <c r="M10" s="691"/>
      <c r="N10" s="691"/>
      <c r="O10" s="691"/>
      <c r="P10" s="691"/>
      <c r="Q10" s="691"/>
      <c r="R10" s="691"/>
      <c r="S10" s="691"/>
      <c r="T10" s="691"/>
    </row>
    <row r="11" spans="1:21" s="688" customFormat="1">
      <c r="A11" s="691"/>
      <c r="B11" s="691"/>
      <c r="C11" s="694"/>
      <c r="D11" s="691"/>
      <c r="E11" s="691"/>
      <c r="F11" s="691"/>
      <c r="G11" s="691"/>
      <c r="H11" s="691"/>
      <c r="I11" s="691"/>
      <c r="J11" s="691"/>
      <c r="K11" s="691"/>
      <c r="L11" s="691"/>
      <c r="M11" s="691"/>
      <c r="N11" s="691"/>
      <c r="O11" s="691"/>
      <c r="P11" s="691"/>
      <c r="Q11" s="691"/>
      <c r="R11" s="691"/>
      <c r="S11" s="691"/>
      <c r="T11" s="691"/>
    </row>
    <row r="12" spans="1:21" s="688" customFormat="1">
      <c r="A12" s="689"/>
      <c r="B12" s="689"/>
      <c r="C12" s="689"/>
      <c r="D12" s="691"/>
      <c r="E12" s="691"/>
      <c r="F12" s="691"/>
      <c r="G12" s="691"/>
      <c r="H12" s="691"/>
      <c r="I12" s="691"/>
      <c r="J12" s="691"/>
      <c r="K12" s="691"/>
      <c r="L12" s="691"/>
      <c r="M12" s="691"/>
      <c r="N12" s="691"/>
      <c r="O12" s="691"/>
      <c r="P12" s="691"/>
      <c r="Q12" s="691"/>
      <c r="R12" s="691"/>
      <c r="S12" s="691"/>
      <c r="T12" s="691"/>
    </row>
    <row r="13" spans="1:21" s="688" customFormat="1">
      <c r="A13" s="702"/>
      <c r="B13" s="689"/>
      <c r="C13" s="689"/>
      <c r="D13" s="691"/>
      <c r="E13" s="691"/>
      <c r="F13" s="691"/>
      <c r="G13" s="691"/>
      <c r="H13" s="691"/>
      <c r="I13" s="691"/>
      <c r="J13" s="691"/>
      <c r="K13" s="691"/>
      <c r="L13" s="691"/>
      <c r="M13" s="691"/>
      <c r="N13" s="691"/>
      <c r="O13" s="691"/>
      <c r="P13" s="691"/>
      <c r="Q13" s="691"/>
      <c r="R13" s="691"/>
      <c r="S13" s="691"/>
      <c r="T13" s="691"/>
    </row>
    <row r="14" spans="1:21" s="688" customFormat="1">
      <c r="A14" s="689"/>
      <c r="B14" s="689"/>
      <c r="C14" s="689"/>
      <c r="D14" s="689"/>
      <c r="E14" s="689"/>
      <c r="F14" s="689"/>
      <c r="G14" s="691"/>
      <c r="H14" s="691"/>
      <c r="I14" s="691"/>
      <c r="J14" s="691"/>
      <c r="K14" s="689"/>
      <c r="Q14" s="689"/>
      <c r="R14" s="689"/>
      <c r="S14" s="689"/>
      <c r="T14" s="689"/>
    </row>
    <row r="15" spans="1:21" s="688" customFormat="1">
      <c r="A15" s="689"/>
      <c r="B15" s="689"/>
      <c r="C15" s="689"/>
      <c r="D15" s="689"/>
      <c r="E15" s="689"/>
      <c r="F15" s="689"/>
      <c r="G15" s="691"/>
      <c r="H15" s="691"/>
      <c r="I15" s="691"/>
      <c r="J15" s="691"/>
      <c r="K15" s="689"/>
      <c r="Q15" s="689"/>
      <c r="R15" s="689"/>
      <c r="S15" s="689"/>
      <c r="T15" s="689"/>
    </row>
    <row r="16" spans="1:21" s="688" customFormat="1">
      <c r="A16" s="689"/>
      <c r="B16" s="689"/>
      <c r="C16" s="689"/>
      <c r="D16" s="689"/>
      <c r="E16" s="689"/>
      <c r="F16" s="689"/>
      <c r="G16" s="691"/>
      <c r="H16" s="691"/>
      <c r="I16" s="691"/>
      <c r="J16" s="691"/>
      <c r="K16" s="689"/>
      <c r="Q16" s="689"/>
      <c r="R16" s="689"/>
      <c r="S16" s="689"/>
      <c r="T16" s="689"/>
    </row>
    <row r="17" spans="1:20" s="688" customFormat="1">
      <c r="A17" s="689"/>
      <c r="B17" s="689"/>
      <c r="C17" s="689"/>
      <c r="D17" s="689"/>
      <c r="E17" s="689"/>
      <c r="F17" s="689"/>
      <c r="G17" s="691"/>
      <c r="H17" s="691"/>
      <c r="I17" s="691"/>
      <c r="J17" s="691"/>
      <c r="K17" s="689"/>
      <c r="Q17" s="689"/>
      <c r="R17" s="689"/>
      <c r="S17" s="689"/>
      <c r="T17" s="689"/>
    </row>
    <row r="18" spans="1:20" s="688" customFormat="1">
      <c r="A18" s="689"/>
      <c r="B18" s="689"/>
      <c r="C18" s="689"/>
      <c r="D18" s="689"/>
      <c r="E18" s="689"/>
      <c r="F18" s="689"/>
      <c r="G18" s="691"/>
      <c r="H18" s="691"/>
      <c r="I18" s="691"/>
      <c r="J18" s="691"/>
      <c r="K18" s="689"/>
      <c r="Q18" s="689"/>
      <c r="R18" s="689"/>
      <c r="S18" s="689"/>
      <c r="T18" s="689"/>
    </row>
    <row r="19" spans="1:20" s="688" customFormat="1">
      <c r="A19" s="689"/>
      <c r="B19" s="689"/>
      <c r="C19" s="689"/>
      <c r="D19" s="689"/>
      <c r="E19" s="689"/>
      <c r="F19" s="689"/>
      <c r="G19" s="691"/>
      <c r="H19" s="691"/>
      <c r="I19" s="691"/>
      <c r="J19" s="691"/>
      <c r="K19" s="689"/>
      <c r="Q19" s="689"/>
      <c r="R19" s="689"/>
      <c r="S19" s="689"/>
      <c r="T19" s="689"/>
    </row>
    <row r="20" spans="1:20" s="688" customFormat="1">
      <c r="A20" s="689"/>
      <c r="B20" s="689"/>
      <c r="C20" s="689"/>
      <c r="D20" s="689"/>
      <c r="E20" s="689"/>
      <c r="F20" s="689"/>
      <c r="G20" s="691"/>
      <c r="H20" s="691"/>
      <c r="I20" s="691"/>
      <c r="J20" s="691"/>
      <c r="K20" s="689"/>
      <c r="Q20" s="689"/>
      <c r="R20" s="689"/>
      <c r="S20" s="689"/>
      <c r="T20" s="689"/>
    </row>
    <row r="21" spans="1:20" s="688" customFormat="1">
      <c r="A21" s="689"/>
      <c r="B21" s="689"/>
      <c r="C21" s="689"/>
      <c r="D21" s="689"/>
      <c r="E21" s="689"/>
      <c r="F21" s="689"/>
      <c r="G21" s="691"/>
      <c r="H21" s="691"/>
      <c r="I21" s="691"/>
      <c r="J21" s="691"/>
      <c r="K21" s="689"/>
      <c r="Q21" s="689"/>
      <c r="R21" s="689"/>
      <c r="S21" s="689"/>
      <c r="T21" s="689"/>
    </row>
    <row r="22" spans="1:20" s="688" customFormat="1">
      <c r="A22" s="691"/>
      <c r="B22" s="691"/>
      <c r="C22" s="691"/>
      <c r="D22" s="703" t="s">
        <v>239</v>
      </c>
      <c r="E22" s="704">
        <f ca="1">ML_Sum!E35</f>
        <v>12486.23</v>
      </c>
      <c r="F22" s="700" t="str">
        <f>ML_Sum!D6</f>
        <v>VAT EXCL.</v>
      </c>
      <c r="G22" s="705" t="s">
        <v>191</v>
      </c>
      <c r="H22" s="705" t="s">
        <v>191</v>
      </c>
      <c r="I22" s="705" t="s">
        <v>191</v>
      </c>
      <c r="J22" s="705" t="s">
        <v>191</v>
      </c>
      <c r="K22" s="705" t="s">
        <v>191</v>
      </c>
      <c r="L22" s="705" t="s">
        <v>191</v>
      </c>
      <c r="M22" s="705" t="s">
        <v>191</v>
      </c>
      <c r="N22" s="705" t="s">
        <v>191</v>
      </c>
      <c r="O22" s="705" t="s">
        <v>191</v>
      </c>
      <c r="P22" s="705" t="s">
        <v>191</v>
      </c>
      <c r="Q22" s="706"/>
      <c r="R22" s="691"/>
      <c r="S22" s="691"/>
      <c r="T22" s="691"/>
    </row>
    <row r="23" spans="1:20" s="688" customFormat="1">
      <c r="A23" s="691"/>
      <c r="B23" s="691"/>
      <c r="C23" s="691"/>
      <c r="D23" s="707"/>
      <c r="E23" s="708"/>
      <c r="F23" s="708"/>
      <c r="G23" s="706"/>
      <c r="H23" s="706"/>
      <c r="I23" s="706"/>
      <c r="J23" s="706"/>
      <c r="K23" s="706"/>
      <c r="L23" s="706"/>
      <c r="M23" s="706"/>
      <c r="N23" s="706"/>
      <c r="O23" s="706"/>
      <c r="P23" s="706"/>
      <c r="Q23" s="706"/>
      <c r="R23" s="689"/>
      <c r="S23" s="691"/>
      <c r="T23" s="689"/>
    </row>
    <row r="24" spans="1:20" s="688" customFormat="1">
      <c r="A24" s="691"/>
      <c r="B24" s="691"/>
      <c r="C24" s="691"/>
      <c r="D24" s="709"/>
      <c r="E24" s="706"/>
      <c r="F24" s="706"/>
      <c r="G24" s="706"/>
      <c r="H24" s="706"/>
      <c r="I24" s="706"/>
      <c r="J24" s="706"/>
      <c r="K24" s="706"/>
      <c r="L24" s="706"/>
      <c r="M24" s="706"/>
      <c r="N24" s="706"/>
      <c r="O24" s="706"/>
      <c r="P24" s="706"/>
      <c r="Q24" s="706"/>
      <c r="R24" s="689"/>
      <c r="S24" s="691"/>
      <c r="T24" s="689"/>
    </row>
    <row r="25" spans="1:20" s="688" customFormat="1">
      <c r="A25" s="710"/>
      <c r="B25" s="711"/>
      <c r="C25" s="711"/>
      <c r="D25" s="691"/>
      <c r="E25" s="691"/>
      <c r="F25" s="691"/>
      <c r="G25" s="691"/>
      <c r="H25" s="691"/>
      <c r="I25" s="691"/>
      <c r="J25" s="691"/>
      <c r="K25" s="691"/>
      <c r="L25" s="691"/>
      <c r="M25" s="691"/>
      <c r="N25" s="691"/>
      <c r="O25" s="691"/>
      <c r="P25" s="691"/>
      <c r="Q25" s="691"/>
      <c r="R25" s="689"/>
      <c r="S25" s="689"/>
      <c r="T25" s="689"/>
    </row>
    <row r="26" spans="1:20" s="688" customFormat="1">
      <c r="A26" s="693"/>
      <c r="B26" s="689"/>
      <c r="C26" s="689"/>
      <c r="D26" s="689"/>
      <c r="E26" s="689"/>
      <c r="F26" s="689"/>
      <c r="G26" s="691"/>
      <c r="H26" s="691"/>
      <c r="I26" s="691"/>
      <c r="J26" s="691"/>
      <c r="K26" s="689"/>
      <c r="Q26" s="689"/>
      <c r="R26" s="689"/>
      <c r="S26" s="689"/>
      <c r="T26" s="689"/>
    </row>
    <row r="27" spans="1:20" s="688" customFormat="1">
      <c r="A27" s="693"/>
      <c r="B27" s="689"/>
      <c r="C27" s="689"/>
      <c r="D27" s="689"/>
      <c r="E27" s="689"/>
      <c r="F27" s="689"/>
      <c r="G27" s="691"/>
      <c r="H27" s="691"/>
      <c r="I27" s="691"/>
      <c r="J27" s="691"/>
      <c r="K27" s="689"/>
      <c r="Q27" s="689"/>
      <c r="R27" s="689"/>
      <c r="S27" s="689"/>
      <c r="T27" s="689"/>
    </row>
    <row r="28" spans="1:20" s="688" customFormat="1">
      <c r="A28" s="693"/>
      <c r="B28" s="689"/>
      <c r="C28" s="689"/>
      <c r="D28" s="689"/>
      <c r="E28" s="689"/>
      <c r="F28" s="689"/>
      <c r="G28" s="691"/>
      <c r="H28" s="691"/>
      <c r="I28" s="691"/>
      <c r="J28" s="691"/>
      <c r="K28" s="689"/>
      <c r="Q28" s="689"/>
      <c r="R28" s="689"/>
      <c r="S28" s="689"/>
      <c r="T28" s="689"/>
    </row>
    <row r="29" spans="1:20" s="688" customFormat="1">
      <c r="A29" s="693"/>
      <c r="B29" s="689"/>
      <c r="C29" s="689"/>
      <c r="D29" s="689"/>
      <c r="E29" s="689"/>
      <c r="F29" s="689"/>
      <c r="G29" s="691"/>
      <c r="H29" s="691"/>
      <c r="I29" s="691"/>
      <c r="J29" s="691"/>
      <c r="K29" s="689"/>
      <c r="Q29" s="689"/>
      <c r="R29" s="689"/>
      <c r="S29" s="689"/>
      <c r="T29" s="689"/>
    </row>
    <row r="30" spans="1:20" s="688" customFormat="1">
      <c r="A30" s="693"/>
      <c r="B30" s="689"/>
      <c r="C30" s="689"/>
      <c r="D30" s="689"/>
      <c r="E30" s="689"/>
      <c r="F30" s="689"/>
      <c r="G30" s="691"/>
      <c r="H30" s="691"/>
      <c r="I30" s="691"/>
      <c r="J30" s="691"/>
      <c r="K30" s="689"/>
      <c r="Q30" s="689"/>
      <c r="R30" s="689"/>
      <c r="S30" s="689"/>
      <c r="T30" s="689"/>
    </row>
    <row r="31" spans="1:20" s="688" customFormat="1">
      <c r="A31" s="693"/>
      <c r="B31" s="689"/>
      <c r="C31" s="689"/>
      <c r="D31" s="689"/>
      <c r="E31" s="689"/>
      <c r="F31" s="689"/>
      <c r="G31" s="691"/>
      <c r="H31" s="691"/>
      <c r="I31" s="691"/>
      <c r="J31" s="691"/>
      <c r="K31" s="689"/>
      <c r="Q31" s="689"/>
      <c r="R31" s="689"/>
      <c r="S31" s="689"/>
      <c r="T31" s="689"/>
    </row>
    <row r="32" spans="1:20" s="688" customFormat="1">
      <c r="A32" s="693"/>
      <c r="B32" s="689"/>
      <c r="C32" s="689"/>
      <c r="D32" s="689"/>
      <c r="E32" s="689"/>
      <c r="F32" s="689"/>
      <c r="G32" s="691"/>
      <c r="H32" s="691"/>
      <c r="I32" s="691"/>
      <c r="J32" s="691"/>
      <c r="K32" s="689"/>
      <c r="Q32" s="689"/>
      <c r="R32" s="689"/>
      <c r="S32" s="689"/>
      <c r="T32" s="689"/>
    </row>
    <row r="33" spans="1:20" s="688" customFormat="1">
      <c r="A33" s="689"/>
      <c r="B33" s="689"/>
      <c r="C33" s="689"/>
      <c r="D33" s="689"/>
      <c r="E33" s="689"/>
      <c r="F33" s="689"/>
      <c r="G33" s="691"/>
      <c r="H33" s="691"/>
      <c r="I33" s="691"/>
      <c r="J33" s="691"/>
      <c r="K33" s="689"/>
      <c r="Q33" s="689"/>
      <c r="R33" s="689"/>
      <c r="S33" s="689"/>
      <c r="T33" s="689"/>
    </row>
    <row r="34" spans="1:20" s="688" customFormat="1">
      <c r="A34" s="691"/>
      <c r="B34" s="691"/>
      <c r="C34" s="691"/>
      <c r="D34" s="691"/>
      <c r="E34" s="691"/>
      <c r="F34" s="691"/>
      <c r="G34" s="691"/>
      <c r="H34" s="691"/>
      <c r="I34" s="691"/>
      <c r="J34" s="691"/>
      <c r="K34" s="691"/>
      <c r="L34" s="691"/>
      <c r="M34" s="691"/>
      <c r="N34" s="691"/>
      <c r="O34" s="691"/>
      <c r="P34" s="691"/>
      <c r="Q34" s="691"/>
      <c r="R34" s="691"/>
      <c r="S34" s="691"/>
      <c r="T34" s="691"/>
    </row>
    <row r="35" spans="1:20" s="688" customFormat="1">
      <c r="A35" s="691"/>
      <c r="B35" s="691"/>
      <c r="C35" s="691"/>
      <c r="D35" s="691"/>
      <c r="E35" s="691"/>
      <c r="F35" s="691"/>
      <c r="G35" s="691"/>
      <c r="H35" s="691"/>
      <c r="I35" s="691"/>
      <c r="J35" s="691"/>
      <c r="K35" s="691"/>
      <c r="L35" s="691"/>
      <c r="M35" s="691"/>
      <c r="N35" s="691"/>
      <c r="O35" s="691"/>
      <c r="P35" s="691"/>
      <c r="Q35" s="691"/>
      <c r="R35" s="691"/>
      <c r="S35" s="691"/>
      <c r="T35" s="691"/>
    </row>
    <row r="36" spans="1:20" s="688" customFormat="1">
      <c r="A36" s="691"/>
      <c r="B36" s="691"/>
      <c r="C36" s="691"/>
      <c r="D36" s="691"/>
      <c r="E36" s="691"/>
      <c r="F36" s="691"/>
      <c r="G36" s="691"/>
      <c r="H36" s="691"/>
      <c r="I36" s="691"/>
      <c r="J36" s="691"/>
      <c r="K36" s="691"/>
      <c r="L36" s="691"/>
      <c r="M36" s="691"/>
      <c r="N36" s="691"/>
      <c r="O36" s="691"/>
      <c r="P36" s="691"/>
      <c r="Q36" s="691"/>
      <c r="R36" s="691"/>
      <c r="S36" s="691"/>
      <c r="T36" s="691"/>
    </row>
    <row r="37" spans="1:20" s="688" customFormat="1">
      <c r="A37" s="689"/>
      <c r="B37" s="689"/>
      <c r="C37" s="689"/>
      <c r="D37" s="689"/>
      <c r="E37" s="689"/>
      <c r="F37" s="689"/>
      <c r="G37" s="691"/>
      <c r="H37" s="691"/>
      <c r="I37" s="691"/>
      <c r="J37" s="691"/>
      <c r="K37" s="689"/>
      <c r="Q37" s="689"/>
      <c r="R37" s="689"/>
      <c r="S37" s="689"/>
      <c r="T37" s="689"/>
    </row>
    <row r="38" spans="1:20" s="688" customFormat="1">
      <c r="A38" s="702"/>
      <c r="B38" s="712"/>
      <c r="C38" s="689"/>
      <c r="D38" s="689"/>
      <c r="E38" s="689"/>
      <c r="F38" s="689"/>
      <c r="G38" s="691"/>
      <c r="H38" s="691"/>
      <c r="I38" s="691"/>
      <c r="J38" s="691"/>
      <c r="K38" s="689"/>
      <c r="Q38" s="689"/>
      <c r="R38" s="689"/>
      <c r="S38" s="689"/>
      <c r="T38" s="689"/>
    </row>
    <row r="39" spans="1:20" s="688" customFormat="1">
      <c r="A39" s="693"/>
      <c r="B39" s="689"/>
      <c r="C39" s="689"/>
      <c r="D39" s="689"/>
      <c r="E39" s="689"/>
      <c r="F39" s="689"/>
      <c r="G39" s="691"/>
      <c r="H39" s="691"/>
      <c r="I39" s="691"/>
      <c r="J39" s="691"/>
      <c r="K39" s="689"/>
      <c r="Q39" s="689"/>
      <c r="R39" s="689"/>
      <c r="S39" s="689"/>
      <c r="T39" s="689"/>
    </row>
    <row r="40" spans="1:20" s="688" customFormat="1">
      <c r="A40" s="693"/>
      <c r="B40" s="689"/>
      <c r="C40" s="689"/>
      <c r="D40" s="689"/>
      <c r="E40" s="689"/>
      <c r="F40" s="689"/>
      <c r="G40" s="691"/>
      <c r="H40" s="691"/>
      <c r="I40" s="691"/>
      <c r="J40" s="691"/>
      <c r="K40" s="689"/>
      <c r="Q40" s="689"/>
      <c r="R40" s="689"/>
      <c r="S40" s="689"/>
      <c r="T40" s="689"/>
    </row>
    <row r="41" spans="1:20" s="688" customFormat="1">
      <c r="A41" s="693"/>
      <c r="B41" s="689"/>
      <c r="C41" s="689"/>
      <c r="D41" s="689"/>
      <c r="E41" s="689"/>
      <c r="F41" s="689"/>
      <c r="G41" s="691"/>
      <c r="H41" s="691"/>
      <c r="I41" s="691"/>
      <c r="J41" s="691"/>
      <c r="K41" s="689"/>
      <c r="Q41" s="689"/>
      <c r="R41" s="689"/>
      <c r="S41" s="689"/>
      <c r="T41" s="689"/>
    </row>
    <row r="42" spans="1:20" s="688" customFormat="1">
      <c r="A42" s="693"/>
      <c r="B42" s="689"/>
      <c r="C42" s="689"/>
      <c r="D42" s="689"/>
      <c r="E42" s="689"/>
      <c r="F42" s="689"/>
      <c r="G42" s="691"/>
      <c r="H42" s="691"/>
      <c r="I42" s="691"/>
      <c r="J42" s="691"/>
      <c r="K42" s="689"/>
      <c r="Q42" s="689"/>
      <c r="R42" s="689"/>
      <c r="S42" s="689"/>
      <c r="T42" s="689"/>
    </row>
    <row r="43" spans="1:20" s="688" customFormat="1">
      <c r="A43" s="693"/>
      <c r="B43" s="689"/>
      <c r="C43" s="689"/>
      <c r="D43" s="689"/>
      <c r="E43" s="689"/>
      <c r="F43" s="689"/>
      <c r="G43" s="691"/>
      <c r="H43" s="691"/>
      <c r="I43" s="691"/>
      <c r="J43" s="691"/>
      <c r="K43" s="689"/>
      <c r="Q43" s="689"/>
      <c r="R43" s="689"/>
      <c r="S43" s="689"/>
      <c r="T43" s="689"/>
    </row>
    <row r="44" spans="1:20" s="688" customFormat="1">
      <c r="A44" s="693"/>
      <c r="B44" s="689"/>
      <c r="C44" s="689"/>
      <c r="D44" s="689"/>
      <c r="E44" s="689"/>
      <c r="F44" s="689"/>
      <c r="G44" s="691"/>
      <c r="H44" s="691"/>
      <c r="I44" s="691"/>
      <c r="J44" s="691"/>
      <c r="K44" s="689"/>
      <c r="Q44" s="689"/>
      <c r="R44" s="689"/>
      <c r="S44" s="689"/>
      <c r="T44" s="689"/>
    </row>
    <row r="45" spans="1:20" s="688" customFormat="1">
      <c r="A45" s="693"/>
      <c r="B45" s="689"/>
      <c r="C45" s="689"/>
      <c r="D45" s="689"/>
      <c r="E45" s="689"/>
      <c r="F45" s="689"/>
      <c r="G45" s="691"/>
      <c r="H45" s="691"/>
      <c r="I45" s="691"/>
      <c r="J45" s="691"/>
      <c r="K45" s="689"/>
      <c r="Q45" s="689"/>
      <c r="R45" s="689"/>
      <c r="S45" s="689"/>
      <c r="T45" s="689"/>
    </row>
    <row r="46" spans="1:20" s="688" customFormat="1">
      <c r="A46" s="693"/>
      <c r="B46" s="689"/>
      <c r="C46" s="689"/>
      <c r="D46" s="689"/>
      <c r="E46" s="689"/>
      <c r="F46" s="689"/>
      <c r="G46" s="691"/>
      <c r="H46" s="691"/>
      <c r="I46" s="691"/>
      <c r="J46" s="691"/>
      <c r="K46" s="689"/>
      <c r="Q46" s="689"/>
      <c r="R46" s="689"/>
      <c r="S46" s="689"/>
      <c r="T46" s="689"/>
    </row>
    <row r="47" spans="1:20" s="688" customFormat="1">
      <c r="A47" s="693"/>
      <c r="B47" s="689"/>
      <c r="C47" s="689"/>
      <c r="D47" s="689"/>
      <c r="E47" s="689"/>
      <c r="F47" s="689"/>
      <c r="G47" s="691"/>
      <c r="H47" s="691"/>
      <c r="I47" s="691"/>
      <c r="J47" s="691"/>
      <c r="K47" s="689"/>
      <c r="Q47" s="689"/>
      <c r="R47" s="689"/>
      <c r="S47" s="689"/>
      <c r="T47" s="689"/>
    </row>
    <row r="48" spans="1:20" s="688" customFormat="1">
      <c r="A48" s="689"/>
      <c r="B48" s="689"/>
      <c r="C48" s="689"/>
      <c r="D48" s="689"/>
      <c r="E48" s="689"/>
      <c r="F48" s="689"/>
      <c r="G48" s="691"/>
      <c r="H48" s="691"/>
      <c r="I48" s="691"/>
      <c r="J48" s="691"/>
      <c r="K48" s="689"/>
      <c r="Q48" s="689"/>
      <c r="R48" s="689"/>
      <c r="S48" s="689"/>
      <c r="T48" s="689"/>
    </row>
    <row r="49" spans="1:20" s="688" customFormat="1">
      <c r="A49" s="689"/>
      <c r="B49" s="689"/>
      <c r="C49" s="689"/>
      <c r="D49" s="689"/>
      <c r="E49" s="689"/>
      <c r="F49" s="689"/>
      <c r="G49" s="691"/>
      <c r="H49" s="691"/>
      <c r="I49" s="691"/>
      <c r="J49" s="691"/>
      <c r="K49" s="689"/>
      <c r="Q49" s="689"/>
      <c r="R49" s="689"/>
      <c r="S49" s="689"/>
      <c r="T49" s="689"/>
    </row>
    <row r="50" spans="1:20" s="688" customFormat="1">
      <c r="A50" s="694"/>
      <c r="B50" s="694"/>
      <c r="C50" s="694"/>
      <c r="D50" s="689"/>
      <c r="E50" s="689"/>
      <c r="F50" s="689"/>
      <c r="G50" s="691"/>
      <c r="H50" s="691"/>
      <c r="I50" s="691"/>
      <c r="J50" s="691"/>
      <c r="K50" s="689"/>
      <c r="Q50" s="694"/>
      <c r="R50" s="694"/>
      <c r="S50" s="694"/>
      <c r="T50" s="689"/>
    </row>
    <row r="51" spans="1:20" s="688" customFormat="1">
      <c r="A51" s="689" t="s">
        <v>131</v>
      </c>
      <c r="B51" s="689"/>
      <c r="C51" s="689"/>
      <c r="D51" s="713"/>
      <c r="E51" s="689"/>
      <c r="F51" s="689"/>
      <c r="G51" s="691"/>
      <c r="H51" s="691"/>
      <c r="I51" s="691"/>
      <c r="J51" s="691"/>
      <c r="K51" s="689"/>
      <c r="Q51" s="689" t="s">
        <v>131</v>
      </c>
      <c r="R51" s="689"/>
      <c r="S51" s="689"/>
      <c r="T51" s="689"/>
    </row>
    <row r="52" spans="1:20" s="688" customFormat="1">
      <c r="A52" s="689" t="s">
        <v>132</v>
      </c>
      <c r="B52" s="689"/>
      <c r="C52" s="689"/>
      <c r="D52" s="689"/>
      <c r="E52" s="689"/>
      <c r="F52" s="689"/>
      <c r="G52" s="691"/>
      <c r="H52" s="691"/>
      <c r="I52" s="691"/>
      <c r="J52" s="691"/>
      <c r="K52" s="689"/>
      <c r="Q52" s="689" t="s">
        <v>192</v>
      </c>
      <c r="R52" s="689"/>
      <c r="S52" s="689"/>
      <c r="T52" s="689"/>
    </row>
    <row r="53" spans="1:20" s="688" customFormat="1" ht="13.8" thickBot="1">
      <c r="B53" s="689"/>
      <c r="C53" s="689"/>
      <c r="D53" s="689"/>
      <c r="E53" s="689"/>
      <c r="F53" s="689"/>
      <c r="G53" s="691"/>
      <c r="H53" s="691"/>
      <c r="I53" s="691"/>
      <c r="J53" s="691"/>
      <c r="K53" s="689"/>
      <c r="S53" s="689"/>
      <c r="T53" s="689"/>
    </row>
    <row r="54" spans="1:20" s="688" customFormat="1">
      <c r="B54" s="689"/>
      <c r="C54" s="689"/>
      <c r="D54" s="689"/>
      <c r="E54" s="689"/>
      <c r="F54" s="689"/>
      <c r="G54" s="691"/>
      <c r="H54" s="691"/>
      <c r="I54" s="691"/>
      <c r="J54" s="691"/>
      <c r="K54" s="689"/>
      <c r="Q54" s="714" t="s">
        <v>193</v>
      </c>
      <c r="R54" s="715"/>
      <c r="S54" s="689"/>
      <c r="T54" s="689"/>
    </row>
    <row r="55" spans="1:20" s="688" customFormat="1">
      <c r="A55" s="689"/>
      <c r="B55" s="689"/>
      <c r="C55" s="689"/>
      <c r="D55" s="689"/>
      <c r="E55" s="689"/>
      <c r="F55" s="689"/>
      <c r="G55" s="691"/>
      <c r="H55" s="691"/>
      <c r="I55" s="691"/>
      <c r="J55" s="691"/>
      <c r="K55" s="689"/>
      <c r="Q55" s="716" t="s">
        <v>270</v>
      </c>
      <c r="R55" s="717"/>
      <c r="S55" s="689"/>
      <c r="T55" s="689"/>
    </row>
    <row r="56" spans="1:20" s="688" customFormat="1">
      <c r="A56" s="689"/>
      <c r="B56" s="689"/>
      <c r="C56" s="689"/>
      <c r="D56" s="689"/>
      <c r="E56" s="689"/>
      <c r="F56" s="689"/>
      <c r="G56" s="691"/>
      <c r="H56" s="691"/>
      <c r="I56" s="691"/>
      <c r="J56" s="691"/>
      <c r="K56" s="689"/>
      <c r="Q56" s="716"/>
      <c r="R56" s="717"/>
      <c r="S56" s="689"/>
      <c r="T56" s="689"/>
    </row>
    <row r="57" spans="1:20" s="688" customFormat="1" ht="13.8" thickBot="1">
      <c r="A57" s="718"/>
      <c r="B57" s="689"/>
      <c r="C57" s="689"/>
      <c r="D57" s="689"/>
      <c r="E57" s="689"/>
      <c r="F57" s="689"/>
      <c r="G57" s="689"/>
      <c r="H57" s="689"/>
      <c r="I57" s="689"/>
      <c r="J57" s="689"/>
      <c r="K57" s="689"/>
      <c r="Q57" s="719" t="s">
        <v>194</v>
      </c>
      <c r="R57" s="720"/>
      <c r="S57" s="689"/>
      <c r="T57" s="689"/>
    </row>
    <row r="58" spans="1:20" s="688" customFormat="1">
      <c r="A58" s="721"/>
      <c r="B58" s="722"/>
      <c r="C58" s="722"/>
      <c r="D58" s="722"/>
      <c r="E58" s="722"/>
      <c r="F58" s="722"/>
      <c r="G58" s="689"/>
      <c r="H58" s="689"/>
      <c r="I58" s="689"/>
      <c r="J58" s="689"/>
      <c r="K58" s="689"/>
    </row>
  </sheetData>
  <sheetProtection formatCells="0" formatColumns="0" formatRows="0" insertColumns="0" insertRows="0"/>
  <mergeCells count="2">
    <mergeCell ref="A1:T1"/>
    <mergeCell ref="A2:T2"/>
  </mergeCells>
  <conditionalFormatting sqref="A1:T1">
    <cfRule type="cellIs" dxfId="23" priority="3" stopIfTrue="1" operator="equal">
      <formula>"PANTA RETAIL LTD."</formula>
    </cfRule>
  </conditionalFormatting>
  <conditionalFormatting sqref="C6:C10 F22">
    <cfRule type="cellIs" dxfId="22" priority="1" stopIfTrue="1" operator="equal">
      <formula>"VAT INCLUDED"</formula>
    </cfRule>
    <cfRule type="cellIs" dxfId="21" priority="2" stopIfTrue="1" operator="equal">
      <formula>"VAT EXCLUDED"</formula>
    </cfRule>
  </conditionalFormatting>
  <pageMargins left="0.75" right="0.32" top="0.37" bottom="0.6" header="0.26" footer="0.31"/>
  <pageSetup paperSize="9" orientation="portrait" horizontalDpi="300" verticalDpi="300" r:id="rId1"/>
  <headerFooter alignWithMargins="0"/>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indexed="10"/>
  </sheetPr>
  <dimension ref="A1:AD176"/>
  <sheetViews>
    <sheetView workbookViewId="0">
      <selection activeCell="F44" sqref="F44"/>
    </sheetView>
  </sheetViews>
  <sheetFormatPr defaultColWidth="9.109375" defaultRowHeight="13.2"/>
  <cols>
    <col min="1" max="1" width="8.33203125" style="36" customWidth="1"/>
    <col min="2" max="2" width="12.44140625" style="182" customWidth="1"/>
    <col min="3" max="3" width="6.6640625" style="36" hidden="1" customWidth="1"/>
    <col min="4" max="4" width="11.5546875" style="36" customWidth="1"/>
    <col min="5" max="5" width="13" style="36" customWidth="1"/>
    <col min="6" max="6" width="13.109375" style="36" customWidth="1"/>
    <col min="7" max="7" width="10" style="36" hidden="1" customWidth="1"/>
    <col min="8" max="14" width="8.6640625" style="36" hidden="1" customWidth="1"/>
    <col min="15" max="15" width="5.33203125" style="36" hidden="1" customWidth="1"/>
    <col min="16" max="16" width="7.6640625" style="36" hidden="1" customWidth="1"/>
    <col min="17" max="17" width="8" style="36" customWidth="1"/>
    <col min="18" max="18" width="12.109375" style="36" customWidth="1"/>
    <col min="19" max="19" width="11.109375" style="36" customWidth="1"/>
    <col min="20" max="20" width="10.5546875" style="36" customWidth="1"/>
    <col min="21" max="21" width="8.6640625" style="36" customWidth="1"/>
    <col min="22" max="22" width="14" style="36" customWidth="1"/>
    <col min="23" max="23" width="6.6640625" style="36" customWidth="1"/>
    <col min="24" max="24" width="11.44140625" style="36" customWidth="1"/>
    <col min="25" max="16384" width="9.109375" style="36"/>
  </cols>
  <sheetData>
    <row r="1" spans="1:30" ht="19.5" customHeight="1">
      <c r="B1" s="502" t="s">
        <v>0</v>
      </c>
      <c r="C1" s="499">
        <v>1</v>
      </c>
      <c r="D1" s="850" t="s">
        <v>308</v>
      </c>
      <c r="E1" s="851"/>
      <c r="G1" s="500" t="b">
        <v>1</v>
      </c>
      <c r="H1" s="500" t="b">
        <v>1</v>
      </c>
      <c r="I1" s="313">
        <v>1</v>
      </c>
      <c r="J1" s="314">
        <f t="shared" ref="J1:J10" si="0">$Q109</f>
        <v>1</v>
      </c>
      <c r="K1" s="314">
        <f t="shared" ref="K1:K10" si="1">$Q119</f>
        <v>1</v>
      </c>
      <c r="L1" s="314">
        <f t="shared" ref="L1:L10" si="2">$Q129</f>
        <v>1</v>
      </c>
      <c r="M1" s="314">
        <f t="shared" ref="M1:M10" si="3">$Q139</f>
        <v>1</v>
      </c>
      <c r="N1" s="314">
        <f t="shared" ref="N1:N9" si="4">$Q149</f>
        <v>1</v>
      </c>
      <c r="O1" s="314">
        <f t="shared" ref="O1:O6" si="5">$Q159</f>
        <v>1</v>
      </c>
      <c r="P1" s="11"/>
      <c r="Q1" s="471" t="str">
        <f>IF(C1=1,"€","Curr?")</f>
        <v>€</v>
      </c>
      <c r="R1" s="410" t="s">
        <v>218</v>
      </c>
      <c r="S1" s="490" t="str">
        <f>IF($S$39="PRINT","R","Do Not Print")</f>
        <v>R</v>
      </c>
      <c r="T1" s="530">
        <v>1.25</v>
      </c>
      <c r="V1" s="170">
        <f t="array" ref="V1">IF(OR(X1=AREAS),1,0)</f>
        <v>1</v>
      </c>
      <c r="W1" s="487" t="s">
        <v>187</v>
      </c>
      <c r="X1" s="171" t="s">
        <v>184</v>
      </c>
      <c r="Y1" s="171" t="s">
        <v>184</v>
      </c>
      <c r="Z1" s="171" t="s">
        <v>184</v>
      </c>
      <c r="AA1" s="171" t="s">
        <v>184</v>
      </c>
      <c r="AB1" s="171" t="s">
        <v>184</v>
      </c>
      <c r="AC1" s="171" t="s">
        <v>184</v>
      </c>
      <c r="AD1" s="171" t="s">
        <v>184</v>
      </c>
    </row>
    <row r="2" spans="1:30" ht="21.75" customHeight="1">
      <c r="A2" s="492"/>
      <c r="B2" s="502" t="s">
        <v>2</v>
      </c>
      <c r="C2" s="498">
        <f>IF($D$6="VAT INCLUDED",1.18,1)*(1-$Q2)*$C$1</f>
        <v>1</v>
      </c>
      <c r="D2" s="850" t="s">
        <v>370</v>
      </c>
      <c r="E2" s="851"/>
      <c r="F2" s="403" t="s">
        <v>199</v>
      </c>
      <c r="G2" s="500" t="b">
        <v>1</v>
      </c>
      <c r="I2" s="313">
        <v>2</v>
      </c>
      <c r="J2" s="314">
        <f t="shared" si="0"/>
        <v>1</v>
      </c>
      <c r="K2" s="314">
        <f t="shared" si="1"/>
        <v>1</v>
      </c>
      <c r="L2" s="314">
        <f t="shared" si="2"/>
        <v>1</v>
      </c>
      <c r="M2" s="314">
        <f t="shared" si="3"/>
        <v>1</v>
      </c>
      <c r="N2" s="314">
        <f t="shared" si="4"/>
        <v>1</v>
      </c>
      <c r="O2" s="314">
        <f t="shared" si="5"/>
        <v>1</v>
      </c>
      <c r="P2" s="11"/>
      <c r="Q2" s="353"/>
      <c r="R2" s="368" t="str">
        <f>"A) " &amp; IF($S2=0,"",ROUND($S2,2) &amp; "-" &amp; ROUND($T2/$D$9,2))</f>
        <v>A) 1.25-1.25</v>
      </c>
      <c r="S2" s="344">
        <v>1.25</v>
      </c>
      <c r="T2" s="344">
        <f>$S2*$D$9</f>
        <v>34.325000000000003</v>
      </c>
      <c r="V2" s="179"/>
      <c r="W2" s="179"/>
      <c r="X2" s="171" t="s">
        <v>184</v>
      </c>
      <c r="Y2" s="171" t="s">
        <v>184</v>
      </c>
      <c r="Z2" s="171" t="s">
        <v>184</v>
      </c>
      <c r="AA2" s="171" t="s">
        <v>184</v>
      </c>
      <c r="AB2" s="171" t="s">
        <v>184</v>
      </c>
      <c r="AC2" s="171" t="s">
        <v>184</v>
      </c>
      <c r="AD2" s="171" t="s">
        <v>184</v>
      </c>
    </row>
    <row r="3" spans="1:30" ht="21" customHeight="1">
      <c r="A3" s="493"/>
      <c r="B3" s="502" t="s">
        <v>4</v>
      </c>
      <c r="C3" s="498">
        <f t="shared" ref="C3:C12" si="6">IF($D$6="VAT INCLUDED",1.18,1)*(1-$Q3)*$C$1</f>
        <v>1</v>
      </c>
      <c r="D3" s="850" t="s">
        <v>351</v>
      </c>
      <c r="E3" s="851"/>
      <c r="F3" s="403" t="s">
        <v>409</v>
      </c>
      <c r="G3" s="500" t="b">
        <v>1</v>
      </c>
      <c r="I3" s="313">
        <v>3</v>
      </c>
      <c r="J3" s="314">
        <f t="shared" si="0"/>
        <v>1</v>
      </c>
      <c r="K3" s="314">
        <f t="shared" si="1"/>
        <v>1</v>
      </c>
      <c r="L3" s="314">
        <f t="shared" si="2"/>
        <v>1</v>
      </c>
      <c r="M3" s="314">
        <f t="shared" si="3"/>
        <v>1</v>
      </c>
      <c r="N3" s="314">
        <f t="shared" si="4"/>
        <v>1</v>
      </c>
      <c r="O3" s="314">
        <f t="shared" si="5"/>
        <v>1</v>
      </c>
      <c r="P3" s="11"/>
      <c r="Q3" s="353"/>
      <c r="R3" s="369" t="str">
        <f>"B) " &amp; IF($S3=0,"",ROUND($S3,2) &amp; "-" &amp; ROUND($T3/$D$9,2))</f>
        <v>B) 1.25-1.25</v>
      </c>
      <c r="S3" s="344">
        <v>1.25</v>
      </c>
      <c r="T3" s="344">
        <f>$S3*$D$9</f>
        <v>34.325000000000003</v>
      </c>
      <c r="V3" s="179"/>
      <c r="W3" s="179"/>
      <c r="X3" s="171" t="s">
        <v>184</v>
      </c>
      <c r="Y3" s="171" t="s">
        <v>184</v>
      </c>
      <c r="Z3" s="171" t="s">
        <v>184</v>
      </c>
      <c r="AA3" s="171" t="s">
        <v>184</v>
      </c>
      <c r="AB3" s="171" t="s">
        <v>184</v>
      </c>
      <c r="AC3" s="171" t="s">
        <v>184</v>
      </c>
      <c r="AD3" s="171" t="s">
        <v>184</v>
      </c>
    </row>
    <row r="4" spans="1:30" ht="15.75" customHeight="1">
      <c r="A4" s="494"/>
      <c r="B4" s="503" t="s">
        <v>252</v>
      </c>
      <c r="C4" s="424">
        <f t="shared" si="6"/>
        <v>1</v>
      </c>
      <c r="D4" s="13" t="s">
        <v>407</v>
      </c>
      <c r="E4" s="330"/>
      <c r="F4" s="403"/>
      <c r="G4" s="500" t="b">
        <v>1</v>
      </c>
      <c r="I4" s="313">
        <v>4</v>
      </c>
      <c r="J4" s="314">
        <f t="shared" si="0"/>
        <v>1</v>
      </c>
      <c r="K4" s="314">
        <f t="shared" si="1"/>
        <v>1</v>
      </c>
      <c r="L4" s="314">
        <f t="shared" si="2"/>
        <v>1</v>
      </c>
      <c r="M4" s="314">
        <f t="shared" si="3"/>
        <v>1</v>
      </c>
      <c r="N4" s="314">
        <f t="shared" si="4"/>
        <v>1</v>
      </c>
      <c r="O4" s="314">
        <f t="shared" si="5"/>
        <v>1</v>
      </c>
      <c r="P4" s="11"/>
      <c r="Q4" s="353"/>
      <c r="R4" s="370" t="str">
        <f>"C) " &amp; IF($S4=0,"",ROUND($S4,2) &amp; "-" &amp; ROUND($T4/$D$9,2))</f>
        <v xml:space="preserve">C) </v>
      </c>
      <c r="S4" s="344"/>
      <c r="T4" s="344"/>
      <c r="V4" s="179"/>
      <c r="W4" s="179"/>
      <c r="X4" s="171" t="s">
        <v>184</v>
      </c>
      <c r="Y4" s="171" t="s">
        <v>184</v>
      </c>
      <c r="Z4" s="171" t="s">
        <v>184</v>
      </c>
      <c r="AA4" s="171" t="s">
        <v>184</v>
      </c>
      <c r="AB4" s="171" t="s">
        <v>184</v>
      </c>
      <c r="AC4" s="171" t="s">
        <v>184</v>
      </c>
      <c r="AD4" s="171" t="s">
        <v>184</v>
      </c>
    </row>
    <row r="5" spans="1:30" ht="13.8">
      <c r="A5" s="492"/>
      <c r="B5" s="504" t="s">
        <v>197</v>
      </c>
      <c r="C5" s="424">
        <f t="shared" si="6"/>
        <v>1</v>
      </c>
      <c r="D5" s="13" t="s">
        <v>309</v>
      </c>
      <c r="E5" s="354"/>
      <c r="F5" s="403"/>
      <c r="G5" s="500" t="b">
        <v>1</v>
      </c>
      <c r="I5" s="313">
        <v>5</v>
      </c>
      <c r="J5" s="314">
        <f t="shared" si="0"/>
        <v>1</v>
      </c>
      <c r="K5" s="314">
        <f t="shared" si="1"/>
        <v>1</v>
      </c>
      <c r="L5" s="314">
        <f t="shared" si="2"/>
        <v>1</v>
      </c>
      <c r="M5" s="314">
        <f t="shared" si="3"/>
        <v>1</v>
      </c>
      <c r="N5" s="314">
        <f t="shared" si="4"/>
        <v>1</v>
      </c>
      <c r="O5" s="314">
        <f t="shared" si="5"/>
        <v>1</v>
      </c>
      <c r="P5" s="12"/>
      <c r="Q5" s="353"/>
      <c r="R5" s="371" t="str">
        <f>"D) " &amp; IF($S5=0,"",ROUND($S5,2) &amp; "-" &amp; ROUND($T5/$D$9,2))</f>
        <v xml:space="preserve">D) </v>
      </c>
      <c r="S5" s="344"/>
      <c r="T5" s="344"/>
      <c r="V5" s="179"/>
      <c r="W5" s="179"/>
      <c r="X5" s="171" t="s">
        <v>184</v>
      </c>
      <c r="Y5" s="171" t="s">
        <v>184</v>
      </c>
      <c r="Z5" s="171" t="s">
        <v>184</v>
      </c>
      <c r="AA5" s="171" t="s">
        <v>184</v>
      </c>
      <c r="AB5" s="171" t="s">
        <v>184</v>
      </c>
      <c r="AC5" s="171" t="s">
        <v>184</v>
      </c>
      <c r="AD5" s="171" t="s">
        <v>184</v>
      </c>
    </row>
    <row r="6" spans="1:30" ht="13.8">
      <c r="A6" s="494"/>
      <c r="B6" s="504" t="s">
        <v>248</v>
      </c>
      <c r="C6" s="424">
        <f t="shared" si="6"/>
        <v>1</v>
      </c>
      <c r="D6" s="425" t="s">
        <v>213</v>
      </c>
      <c r="E6"/>
      <c r="F6" s="403"/>
      <c r="G6" s="500" t="b">
        <v>1</v>
      </c>
      <c r="I6" s="313">
        <v>6</v>
      </c>
      <c r="J6" s="314">
        <f t="shared" si="0"/>
        <v>1</v>
      </c>
      <c r="K6" s="314">
        <f t="shared" si="1"/>
        <v>1</v>
      </c>
      <c r="L6" s="314">
        <f t="shared" si="2"/>
        <v>1</v>
      </c>
      <c r="M6" s="314">
        <f t="shared" si="3"/>
        <v>1</v>
      </c>
      <c r="N6" s="314">
        <f t="shared" si="4"/>
        <v>1</v>
      </c>
      <c r="O6" s="314">
        <f t="shared" si="5"/>
        <v>1</v>
      </c>
      <c r="P6" s="12"/>
      <c r="Q6" s="353"/>
      <c r="R6" s="372" t="str">
        <f>"E) " &amp; IF($S6=0,"",ROUND($S6,2) &amp; "-" &amp; ROUND($T6/$D$9,2))</f>
        <v xml:space="preserve">E) </v>
      </c>
      <c r="S6" s="344"/>
      <c r="T6" s="344"/>
      <c r="V6" s="179"/>
      <c r="W6" s="179"/>
      <c r="X6" s="171" t="s">
        <v>184</v>
      </c>
      <c r="Y6" s="171" t="s">
        <v>184</v>
      </c>
      <c r="Z6" s="171" t="s">
        <v>184</v>
      </c>
      <c r="AA6" s="171" t="s">
        <v>184</v>
      </c>
      <c r="AB6" s="171" t="s">
        <v>184</v>
      </c>
      <c r="AC6" s="171" t="s">
        <v>184</v>
      </c>
      <c r="AD6" s="171" t="s">
        <v>184</v>
      </c>
    </row>
    <row r="7" spans="1:30" ht="13.8">
      <c r="A7" s="494"/>
      <c r="B7" s="504" t="s">
        <v>11</v>
      </c>
      <c r="C7" s="424">
        <f t="shared" si="6"/>
        <v>1</v>
      </c>
      <c r="D7" s="14">
        <v>45897</v>
      </c>
      <c r="E7"/>
      <c r="F7" s="403"/>
      <c r="G7" s="500" t="b">
        <v>1</v>
      </c>
      <c r="I7" s="313">
        <v>7</v>
      </c>
      <c r="J7" s="314">
        <f t="shared" si="0"/>
        <v>1</v>
      </c>
      <c r="K7" s="314">
        <f t="shared" si="1"/>
        <v>1</v>
      </c>
      <c r="L7" s="314">
        <f t="shared" si="2"/>
        <v>1</v>
      </c>
      <c r="M7" s="314">
        <f t="shared" si="3"/>
        <v>1</v>
      </c>
      <c r="N7" s="314">
        <f t="shared" si="4"/>
        <v>1</v>
      </c>
      <c r="O7" s="314"/>
      <c r="P7" s="181"/>
      <c r="Q7" s="353"/>
      <c r="R7" s="373" t="str">
        <f>"F) " &amp; IF($S7=0,"",ROUND($S7,2) &amp; "-" &amp; ROUND($T7/$D$9,2))</f>
        <v xml:space="preserve">F) </v>
      </c>
      <c r="S7" s="344"/>
      <c r="T7" s="344"/>
      <c r="V7" s="179"/>
      <c r="W7" s="179"/>
      <c r="X7" s="171" t="s">
        <v>184</v>
      </c>
      <c r="Y7" s="171" t="s">
        <v>184</v>
      </c>
      <c r="Z7" s="171" t="s">
        <v>184</v>
      </c>
      <c r="AA7" s="171" t="s">
        <v>184</v>
      </c>
      <c r="AB7" s="171" t="s">
        <v>184</v>
      </c>
      <c r="AC7" s="171" t="s">
        <v>184</v>
      </c>
      <c r="AD7" s="171" t="s">
        <v>184</v>
      </c>
    </row>
    <row r="8" spans="1:30" ht="13.8">
      <c r="A8" s="492"/>
      <c r="B8" s="504" t="s">
        <v>13</v>
      </c>
      <c r="C8" s="424">
        <f t="shared" si="6"/>
        <v>1</v>
      </c>
      <c r="D8" s="15" t="s">
        <v>323</v>
      </c>
      <c r="E8"/>
      <c r="F8" s="403"/>
      <c r="G8" s="500" t="b">
        <v>1</v>
      </c>
      <c r="I8" s="313">
        <v>8</v>
      </c>
      <c r="J8" s="314">
        <f t="shared" si="0"/>
        <v>1</v>
      </c>
      <c r="K8" s="314">
        <f t="shared" si="1"/>
        <v>1</v>
      </c>
      <c r="L8" s="314">
        <f t="shared" si="2"/>
        <v>1</v>
      </c>
      <c r="M8" s="314">
        <f t="shared" si="3"/>
        <v>1</v>
      </c>
      <c r="N8" s="314">
        <f t="shared" si="4"/>
        <v>1</v>
      </c>
      <c r="O8" s="314"/>
      <c r="P8" s="16"/>
      <c r="Q8" s="353"/>
      <c r="R8" s="374" t="str">
        <f>"G) " &amp; IF($S8=0,"",ROUND($S8,2) &amp; "-" &amp; ROUND($T8/$D$9,2))</f>
        <v xml:space="preserve">G) </v>
      </c>
      <c r="S8" s="344"/>
      <c r="T8" s="344"/>
      <c r="V8" s="179"/>
      <c r="W8" s="179"/>
      <c r="X8" s="171" t="s">
        <v>184</v>
      </c>
      <c r="Y8" s="171" t="s">
        <v>184</v>
      </c>
      <c r="Z8" s="171" t="s">
        <v>184</v>
      </c>
      <c r="AA8" s="171" t="s">
        <v>184</v>
      </c>
      <c r="AB8" s="171" t="s">
        <v>184</v>
      </c>
      <c r="AC8" s="171" t="s">
        <v>184</v>
      </c>
      <c r="AD8" s="171" t="s">
        <v>184</v>
      </c>
    </row>
    <row r="9" spans="1:30" ht="13.8">
      <c r="A9" s="494"/>
      <c r="B9" s="504" t="s">
        <v>249</v>
      </c>
      <c r="C9" s="424">
        <f t="shared" si="6"/>
        <v>1</v>
      </c>
      <c r="D9" s="617">
        <v>27.46</v>
      </c>
      <c r="E9" s="178"/>
      <c r="F9" s="403"/>
      <c r="G9" s="500" t="b">
        <v>1</v>
      </c>
      <c r="I9" s="313">
        <v>9</v>
      </c>
      <c r="J9" s="314">
        <f t="shared" si="0"/>
        <v>1</v>
      </c>
      <c r="K9" s="314">
        <f t="shared" si="1"/>
        <v>1</v>
      </c>
      <c r="L9" s="314">
        <f t="shared" si="2"/>
        <v>1</v>
      </c>
      <c r="M9" s="314">
        <f t="shared" si="3"/>
        <v>1</v>
      </c>
      <c r="N9" s="314">
        <f t="shared" si="4"/>
        <v>1</v>
      </c>
      <c r="O9" s="314"/>
      <c r="P9" s="16"/>
      <c r="Q9" s="353"/>
      <c r="R9" s="375" t="str">
        <f>"H) " &amp; IF($S9=0,"",ROUND($S9,2) &amp; "-" &amp; ROUND($T9/$D$9,2))</f>
        <v xml:space="preserve">H) </v>
      </c>
      <c r="S9" s="344"/>
      <c r="T9" s="344"/>
      <c r="V9" s="179"/>
      <c r="W9" s="179"/>
      <c r="X9" s="171" t="s">
        <v>184</v>
      </c>
      <c r="Y9" s="171" t="s">
        <v>184</v>
      </c>
      <c r="Z9" s="171" t="s">
        <v>184</v>
      </c>
      <c r="AA9" s="171" t="s">
        <v>184</v>
      </c>
      <c r="AB9" s="171" t="s">
        <v>184</v>
      </c>
      <c r="AC9" s="171" t="s">
        <v>184</v>
      </c>
      <c r="AD9" s="171" t="s">
        <v>184</v>
      </c>
    </row>
    <row r="10" spans="1:30" ht="13.8">
      <c r="A10" s="494"/>
      <c r="B10" s="505"/>
      <c r="C10" s="424">
        <f t="shared" si="6"/>
        <v>1</v>
      </c>
      <c r="D10" s="676"/>
      <c r="F10" s="403"/>
      <c r="G10" s="500" t="b">
        <v>1</v>
      </c>
      <c r="I10" s="313">
        <v>10</v>
      </c>
      <c r="J10" s="314">
        <f t="shared" si="0"/>
        <v>1</v>
      </c>
      <c r="K10" s="314">
        <f t="shared" si="1"/>
        <v>1</v>
      </c>
      <c r="L10" s="314">
        <f t="shared" si="2"/>
        <v>1</v>
      </c>
      <c r="M10" s="314">
        <f t="shared" si="3"/>
        <v>1</v>
      </c>
      <c r="N10" s="314">
        <f>$Q158</f>
        <v>1</v>
      </c>
      <c r="O10" s="314">
        <f>Q108</f>
        <v>1</v>
      </c>
      <c r="P10" s="16"/>
      <c r="Q10" s="353"/>
      <c r="R10" s="376" t="str">
        <f>" I) " &amp; IF($S10=0,"",ROUND($S10,2) &amp; "-" &amp; ROUND($T10/$D$9,2))</f>
        <v xml:space="preserve"> I) </v>
      </c>
      <c r="S10" s="344"/>
      <c r="T10" s="344"/>
      <c r="V10" s="179"/>
      <c r="W10" s="179"/>
      <c r="X10" s="171" t="s">
        <v>184</v>
      </c>
      <c r="Y10" s="171" t="s">
        <v>184</v>
      </c>
      <c r="Z10" s="171" t="s">
        <v>184</v>
      </c>
      <c r="AA10" s="171" t="s">
        <v>184</v>
      </c>
      <c r="AB10" s="171" t="s">
        <v>184</v>
      </c>
      <c r="AC10" s="171" t="s">
        <v>184</v>
      </c>
      <c r="AD10" s="171" t="s">
        <v>184</v>
      </c>
    </row>
    <row r="11" spans="1:30" ht="13.8">
      <c r="A11" s="495"/>
      <c r="B11" s="506"/>
      <c r="C11" s="424">
        <f t="shared" si="6"/>
        <v>1</v>
      </c>
      <c r="D11"/>
      <c r="E11"/>
      <c r="F11" s="496"/>
      <c r="H11"/>
      <c r="I11" s="315"/>
      <c r="J11" s="315"/>
      <c r="K11" s="315"/>
      <c r="L11" s="315"/>
      <c r="M11" s="315"/>
      <c r="N11" s="315"/>
      <c r="O11" s="315"/>
      <c r="P11" s="177"/>
      <c r="Q11" s="353"/>
      <c r="R11" s="377" t="str">
        <f>"J) " &amp; IF($S11=0,"",ROUND($S11,2) &amp; "-" &amp; ROUND($T11/$D$9,2))</f>
        <v xml:space="preserve">J) </v>
      </c>
      <c r="S11" s="344"/>
      <c r="T11" s="344"/>
      <c r="X11" s="171" t="s">
        <v>184</v>
      </c>
      <c r="Y11" s="171" t="s">
        <v>184</v>
      </c>
      <c r="Z11" s="171" t="s">
        <v>184</v>
      </c>
      <c r="AA11" s="171" t="s">
        <v>184</v>
      </c>
      <c r="AB11" s="171" t="s">
        <v>184</v>
      </c>
      <c r="AC11" s="171" t="s">
        <v>184</v>
      </c>
      <c r="AD11" s="171" t="s">
        <v>184</v>
      </c>
    </row>
    <row r="12" spans="1:30" ht="12.75" customHeight="1" thickBot="1">
      <c r="A12" s="492"/>
      <c r="B12"/>
      <c r="C12" s="424">
        <f t="shared" si="6"/>
        <v>1</v>
      </c>
      <c r="D12" s="360"/>
      <c r="E12" s="361"/>
      <c r="F12" s="404"/>
      <c r="G12" s="329" t="s">
        <v>28</v>
      </c>
      <c r="H12" s="329" t="s">
        <v>28</v>
      </c>
      <c r="I12" s="329" t="s">
        <v>28</v>
      </c>
      <c r="J12" s="329" t="s">
        <v>28</v>
      </c>
      <c r="K12" s="329" t="s">
        <v>28</v>
      </c>
      <c r="L12" s="329" t="s">
        <v>28</v>
      </c>
      <c r="M12" s="329" t="s">
        <v>28</v>
      </c>
      <c r="N12" s="329" t="s">
        <v>28</v>
      </c>
      <c r="O12" s="329" t="s">
        <v>28</v>
      </c>
      <c r="P12" s="329" t="s">
        <v>28</v>
      </c>
      <c r="Q12" s="441"/>
      <c r="R12" s="408" t="s">
        <v>219</v>
      </c>
      <c r="S12" s="473" t="s">
        <v>30</v>
      </c>
      <c r="T12" s="474" t="s">
        <v>31</v>
      </c>
      <c r="X12" s="171" t="s">
        <v>184</v>
      </c>
      <c r="Y12" s="171" t="s">
        <v>184</v>
      </c>
      <c r="Z12" s="171" t="s">
        <v>184</v>
      </c>
      <c r="AA12" s="171" t="s">
        <v>184</v>
      </c>
      <c r="AB12" s="171" t="s">
        <v>184</v>
      </c>
      <c r="AC12" s="171" t="s">
        <v>184</v>
      </c>
      <c r="AD12" s="171" t="s">
        <v>184</v>
      </c>
    </row>
    <row r="13" spans="1:30" ht="17.25" customHeight="1" thickBot="1">
      <c r="A13" s="435"/>
      <c r="B13" s="436" t="s">
        <v>227</v>
      </c>
      <c r="C13" s="437"/>
      <c r="D13" s="438"/>
      <c r="E13" s="439"/>
      <c r="F13" s="440"/>
      <c r="G13" s="362" t="s">
        <v>207</v>
      </c>
      <c r="H13" s="363" t="s">
        <v>208</v>
      </c>
      <c r="I13" s="364" t="s">
        <v>20</v>
      </c>
      <c r="J13" s="364" t="s">
        <v>21</v>
      </c>
      <c r="K13" s="365" t="s">
        <v>22</v>
      </c>
      <c r="L13" s="362" t="s">
        <v>23</v>
      </c>
      <c r="M13" s="362" t="s">
        <v>24</v>
      </c>
      <c r="N13" s="363" t="s">
        <v>209</v>
      </c>
      <c r="O13" s="362" t="s">
        <v>26</v>
      </c>
      <c r="P13" s="366" t="s">
        <v>27</v>
      </c>
      <c r="Q13" s="433" t="s">
        <v>205</v>
      </c>
      <c r="R13" s="409" t="s">
        <v>220</v>
      </c>
      <c r="S13" s="475" t="s">
        <v>246</v>
      </c>
      <c r="T13" s="507">
        <f>SUM(Q108:Q164)/57</f>
        <v>1</v>
      </c>
      <c r="X13" s="171"/>
      <c r="Y13" s="171"/>
      <c r="Z13" s="171"/>
      <c r="AA13" s="171"/>
      <c r="AB13" s="171"/>
      <c r="AC13" s="171"/>
      <c r="AD13" s="171"/>
    </row>
    <row r="14" spans="1:30" ht="27.75" customHeight="1">
      <c r="A14" s="180"/>
      <c r="B14" s="853" t="str">
        <f>IF($D$6&lt;&gt;"VAT EXCL.", "QUOTE ISSUED WITH                    VAT INCLUDED", "")</f>
        <v/>
      </c>
      <c r="C14" s="853"/>
      <c r="D14" s="853"/>
      <c r="E14" s="853"/>
      <c r="F14" s="7"/>
      <c r="G14" s="7"/>
      <c r="H14" s="7"/>
      <c r="I14" s="7"/>
      <c r="J14" s="7"/>
      <c r="K14" s="7"/>
      <c r="L14" s="7"/>
      <c r="M14" s="7"/>
      <c r="N14" s="7"/>
      <c r="O14" s="7"/>
      <c r="P14" s="7"/>
      <c r="Q14" s="7"/>
      <c r="R14" s="183"/>
      <c r="S14"/>
      <c r="T14" s="184"/>
      <c r="X14" s="171" t="s">
        <v>184</v>
      </c>
      <c r="Y14" s="171" t="s">
        <v>184</v>
      </c>
      <c r="Z14" s="171" t="s">
        <v>184</v>
      </c>
      <c r="AA14" s="171" t="s">
        <v>184</v>
      </c>
      <c r="AB14" s="171" t="s">
        <v>184</v>
      </c>
      <c r="AC14" s="171" t="s">
        <v>184</v>
      </c>
      <c r="AD14" s="171" t="s">
        <v>184</v>
      </c>
    </row>
    <row r="15" spans="1:30" ht="14.25" customHeight="1">
      <c r="A15" s="352"/>
      <c r="B15" s="853"/>
      <c r="C15" s="853"/>
      <c r="D15" s="853"/>
      <c r="E15" s="853"/>
      <c r="F15" s="352"/>
      <c r="G15" s="352"/>
      <c r="H15" s="352"/>
      <c r="I15" s="352"/>
      <c r="J15" s="352"/>
      <c r="K15" s="352"/>
      <c r="L15" s="352"/>
      <c r="M15" s="352"/>
      <c r="N15" s="352"/>
      <c r="O15" s="352"/>
      <c r="P15" s="352"/>
      <c r="Q15" s="452">
        <f ca="1">(C72-F35)/C72</f>
        <v>0</v>
      </c>
      <c r="R15" s="339" t="s">
        <v>225</v>
      </c>
      <c r="S15" s="337"/>
      <c r="T15" s="338"/>
      <c r="X15" s="171" t="s">
        <v>184</v>
      </c>
      <c r="Y15" s="171" t="s">
        <v>184</v>
      </c>
      <c r="Z15" s="171" t="s">
        <v>184</v>
      </c>
      <c r="AA15" s="171" t="s">
        <v>184</v>
      </c>
      <c r="AB15" s="171" t="s">
        <v>184</v>
      </c>
      <c r="AC15" s="171" t="s">
        <v>184</v>
      </c>
      <c r="AD15" s="171" t="s">
        <v>184</v>
      </c>
    </row>
    <row r="16" spans="1:30" ht="13.5" customHeight="1">
      <c r="A16" s="180"/>
      <c r="B16" s="852" t="str">
        <f>IF($W$1&lt;&gt;"BOQ", "DIFF SET TO " &amp; W1,"")</f>
        <v/>
      </c>
      <c r="C16" s="852"/>
      <c r="D16" s="852"/>
      <c r="E16" s="852"/>
      <c r="F16" s="178"/>
      <c r="G16" s="178"/>
      <c r="H16" s="178"/>
      <c r="I16" s="178"/>
      <c r="J16" s="178"/>
      <c r="K16" s="178"/>
      <c r="L16" s="178"/>
      <c r="M16" s="178"/>
      <c r="N16" s="178"/>
      <c r="O16" s="178"/>
      <c r="P16" s="178"/>
      <c r="Q16" s="453">
        <f ca="1">(F35-E35)/F35</f>
        <v>0</v>
      </c>
      <c r="R16" s="345" t="s">
        <v>226</v>
      </c>
      <c r="S16" s="346"/>
      <c r="T16" s="347"/>
      <c r="X16" s="171" t="s">
        <v>184</v>
      </c>
      <c r="Y16" s="171" t="s">
        <v>184</v>
      </c>
      <c r="Z16" s="171" t="s">
        <v>184</v>
      </c>
      <c r="AA16" s="171" t="s">
        <v>184</v>
      </c>
      <c r="AB16" s="171" t="s">
        <v>184</v>
      </c>
      <c r="AC16" s="171" t="s">
        <v>184</v>
      </c>
      <c r="AD16" s="171" t="s">
        <v>184</v>
      </c>
    </row>
    <row r="17" spans="1:24" ht="13.5" customHeight="1">
      <c r="B17" s="852"/>
      <c r="C17" s="852"/>
      <c r="D17" s="852"/>
      <c r="E17" s="852"/>
      <c r="G17" s="8"/>
      <c r="H17" s="8"/>
      <c r="I17" s="8"/>
      <c r="J17" s="8"/>
      <c r="K17" s="8"/>
      <c r="L17" s="8"/>
      <c r="M17" s="8"/>
      <c r="N17" s="8"/>
      <c r="O17" s="8"/>
      <c r="P17" s="8"/>
      <c r="Q17" s="454">
        <f ca="1">F74</f>
        <v>0</v>
      </c>
      <c r="R17" s="348" t="s">
        <v>223</v>
      </c>
      <c r="S17" s="349"/>
      <c r="T17" s="392"/>
    </row>
    <row r="18" spans="1:24" ht="18.75" customHeight="1">
      <c r="A18" s="412"/>
      <c r="B18" s="836" t="str">
        <f>IF(AND(G1,G2,G3,G4,G5,G6,G7,G8,G9,G10,H1)=TRUE, "", "CHECKLIST INCOMPLETE !" )</f>
        <v/>
      </c>
      <c r="C18" s="836"/>
      <c r="D18" s="836"/>
      <c r="E18" s="836"/>
      <c r="F18" s="412"/>
      <c r="G18"/>
      <c r="H18"/>
      <c r="I18"/>
      <c r="J18"/>
      <c r="K18"/>
      <c r="L18"/>
      <c r="M18"/>
      <c r="N18"/>
      <c r="O18"/>
      <c r="P18"/>
      <c r="Q18" s="848"/>
      <c r="R18" s="848"/>
      <c r="S18" s="848"/>
      <c r="T18" s="848"/>
    </row>
    <row r="19" spans="1:24" ht="18" customHeight="1">
      <c r="B19" s="849" t="str">
        <f ca="1">IF(ABS(SUM(A23:A32))&gt;100,"[Discy A-J] are high, Check it out."," ")</f>
        <v xml:space="preserve"> </v>
      </c>
      <c r="C19" s="849"/>
      <c r="D19" s="849"/>
      <c r="E19" s="849"/>
      <c r="G19"/>
      <c r="H19"/>
      <c r="I19"/>
      <c r="J19"/>
      <c r="K19"/>
      <c r="L19"/>
      <c r="M19"/>
      <c r="N19"/>
      <c r="O19"/>
      <c r="P19"/>
      <c r="Q19" s="455">
        <f ca="1">R83</f>
        <v>1.2502523476131946</v>
      </c>
      <c r="R19" s="348" t="s">
        <v>224</v>
      </c>
      <c r="S19" s="419"/>
      <c r="T19" s="420"/>
    </row>
    <row r="20" spans="1:24" ht="12.75" customHeight="1">
      <c r="A20" s="497"/>
      <c r="B20" s="497"/>
      <c r="C20" s="497"/>
      <c r="D20" s="497"/>
      <c r="E20" s="497"/>
      <c r="F20"/>
      <c r="G20"/>
      <c r="H20"/>
      <c r="I20"/>
      <c r="J20"/>
      <c r="K20"/>
      <c r="L20"/>
      <c r="M20"/>
      <c r="N20"/>
      <c r="O20"/>
      <c r="P20"/>
      <c r="Q20"/>
      <c r="R20"/>
      <c r="S20"/>
      <c r="T20"/>
    </row>
    <row r="21" spans="1:24" ht="13.8">
      <c r="A21"/>
      <c r="B21" s="186"/>
      <c r="C21" s="187"/>
      <c r="D21" s="340"/>
      <c r="E21" s="350" t="s">
        <v>201</v>
      </c>
      <c r="F21" s="331" t="s">
        <v>32</v>
      </c>
      <c r="G21" s="122"/>
      <c r="H21" s="122"/>
      <c r="I21" s="122"/>
      <c r="J21" s="122"/>
      <c r="K21" s="122"/>
      <c r="L21" s="122"/>
      <c r="M21" s="122"/>
      <c r="N21" s="122"/>
      <c r="O21" s="122"/>
      <c r="P21" s="122"/>
      <c r="Q21" s="341" t="s">
        <v>203</v>
      </c>
      <c r="R21" s="331" t="s">
        <v>33</v>
      </c>
      <c r="S21" s="122"/>
      <c r="T21" s="331" t="s">
        <v>34</v>
      </c>
      <c r="V21"/>
      <c r="W21"/>
      <c r="X21"/>
    </row>
    <row r="22" spans="1:24">
      <c r="A22" s="406" t="s">
        <v>214</v>
      </c>
      <c r="B22" s="367" t="s">
        <v>204</v>
      </c>
      <c r="C22"/>
      <c r="D22" s="340"/>
      <c r="E22" s="351" t="str">
        <f>"SELLING  " &amp; $Q$1</f>
        <v>SELLING  €</v>
      </c>
      <c r="F22" s="459" t="str">
        <f>$Q$1</f>
        <v>€</v>
      </c>
      <c r="G22" s="333" t="s">
        <v>261</v>
      </c>
      <c r="H22" s="571" t="s">
        <v>258</v>
      </c>
      <c r="I22" s="571" t="s">
        <v>259</v>
      </c>
      <c r="J22" s="572" t="s">
        <v>260</v>
      </c>
      <c r="K22" s="333"/>
      <c r="L22" s="333"/>
      <c r="M22" s="333"/>
      <c r="N22" s="333"/>
      <c r="O22" s="333"/>
      <c r="P22" s="333"/>
      <c r="Q22" s="342" t="s">
        <v>202</v>
      </c>
      <c r="R22" s="334" t="s">
        <v>240</v>
      </c>
      <c r="S22" s="333"/>
      <c r="T22" s="332" t="s">
        <v>241</v>
      </c>
      <c r="V22"/>
      <c r="W22"/>
      <c r="X22"/>
    </row>
    <row r="23" spans="1:24">
      <c r="A23" s="421">
        <f ca="1">IF($F23=0,"",($F23/$C2)-($R23*$S2+$T23*$T2))</f>
        <v>0.25249999999869033</v>
      </c>
      <c r="B23" s="368" t="str">
        <f ca="1">IF(F23=0,"",IF(R23=0,"A) "&amp;"---,    "&amp;ROUND(($F23/$C2-($R23*$S2))/$T23,2),IF(T23=0,"A) "&amp;ROUND(($F23/$C2)/$R23,2),"A) "&amp;ROUND(($F23/$C2-($T23*$T2))/$R23,2)&amp;", "
&amp;ROUND(($F23/$C2-($R23*$S2))/$T23,2))))</f>
        <v>A) 1.25, 34.33</v>
      </c>
      <c r="C23"/>
      <c r="D23" s="405" t="str">
        <f>IF($F2="","",$F2)</f>
        <v>Electrical</v>
      </c>
      <c r="E23" s="510">
        <f ca="1">F23*(1-Q23)</f>
        <v>8500.5299999999988</v>
      </c>
      <c r="F23" s="509">
        <f ca="1">Elec_Est!F105</f>
        <v>8500.5299999999988</v>
      </c>
      <c r="G23" s="320">
        <f>C2</f>
        <v>1</v>
      </c>
      <c r="H23" s="407">
        <f>$S2</f>
        <v>1.25</v>
      </c>
      <c r="I23" s="407">
        <f>$T2</f>
        <v>34.325000000000003</v>
      </c>
      <c r="J23" s="320">
        <f>$D$9</f>
        <v>27.46</v>
      </c>
      <c r="K23" s="320"/>
      <c r="L23" s="320"/>
      <c r="M23" s="320"/>
      <c r="N23" s="320"/>
      <c r="O23" s="320"/>
      <c r="P23" s="320"/>
      <c r="Q23" s="343"/>
      <c r="R23" s="509">
        <f ca="1">Elec_Est!R105</f>
        <v>4584.2</v>
      </c>
      <c r="S23" s="320"/>
      <c r="T23" s="513">
        <f ca="1">Elec_Est!T105</f>
        <v>80.7</v>
      </c>
      <c r="V23"/>
      <c r="W23"/>
      <c r="X23"/>
    </row>
    <row r="24" spans="1:24">
      <c r="A24" s="422">
        <f t="shared" ref="A24:A32" ca="1" si="7">IF($F24=0,"",($F24/$C3)-($R24*$S3+$T24*$T3))</f>
        <v>1.2499999999818101E-2</v>
      </c>
      <c r="B24" s="369" t="str">
        <f t="shared" ref="B24:B32" ca="1" si="8">IF(F24=0,"",IF(R24=0,"A) "&amp;"---,    "&amp;ROUND(($F24/$C3-($R24*$S3))/$T24,2),IF(T24=0,"A) "&amp;ROUND(($F24/$C3)/$R24,2),"A) "&amp;ROUND(($F24/$C3-($T24*$T3))/$R24,2)&amp;", "
&amp;ROUND(($F24/$C3-($R24*$S3))/$T24,2))))</f>
        <v>A) 1.25, 34.33</v>
      </c>
      <c r="C24"/>
      <c r="D24" s="405" t="str">
        <f t="shared" ref="D24:D32" si="9">IF($F3="","",$F3)</f>
        <v>Controls</v>
      </c>
      <c r="E24" s="510">
        <f t="shared" ref="E24:E32" ca="1" si="10">F24*(1-Q24)</f>
        <v>3985.7</v>
      </c>
      <c r="F24" s="509">
        <f ca="1">Elec_Est!F106</f>
        <v>3985.7</v>
      </c>
      <c r="G24" s="320">
        <f t="shared" ref="G24:G32" si="11">C3</f>
        <v>1</v>
      </c>
      <c r="H24" s="407">
        <f t="shared" ref="H24:H32" si="12">$S3</f>
        <v>1.25</v>
      </c>
      <c r="I24" s="407">
        <f t="shared" ref="I24:I32" si="13">$T3</f>
        <v>34.325000000000003</v>
      </c>
      <c r="J24" s="320">
        <f t="shared" ref="J24:J32" si="14">$D$9</f>
        <v>27.46</v>
      </c>
      <c r="K24" s="320"/>
      <c r="L24" s="320"/>
      <c r="M24" s="320"/>
      <c r="N24" s="320"/>
      <c r="O24" s="320"/>
      <c r="P24" s="320"/>
      <c r="Q24" s="343"/>
      <c r="R24" s="509">
        <f>Elec_Est!R106</f>
        <v>2629</v>
      </c>
      <c r="S24" s="320"/>
      <c r="T24" s="512">
        <f>Elec_Est!T106</f>
        <v>20.376911871813547</v>
      </c>
      <c r="V24"/>
      <c r="W24"/>
      <c r="X24"/>
    </row>
    <row r="25" spans="1:24">
      <c r="A25" s="422" t="str">
        <f t="shared" si="7"/>
        <v/>
      </c>
      <c r="B25" s="370" t="str">
        <f t="shared" si="8"/>
        <v/>
      </c>
      <c r="C25"/>
      <c r="D25" s="405" t="str">
        <f t="shared" si="9"/>
        <v/>
      </c>
      <c r="E25" s="510">
        <f t="shared" si="10"/>
        <v>0</v>
      </c>
      <c r="F25" s="509">
        <f>Elec_Est!F107</f>
        <v>0</v>
      </c>
      <c r="G25" s="320">
        <f t="shared" si="11"/>
        <v>1</v>
      </c>
      <c r="H25" s="407">
        <f t="shared" si="12"/>
        <v>0</v>
      </c>
      <c r="I25" s="407">
        <f t="shared" si="13"/>
        <v>0</v>
      </c>
      <c r="J25" s="320">
        <f t="shared" si="14"/>
        <v>27.46</v>
      </c>
      <c r="K25" s="320"/>
      <c r="L25" s="320"/>
      <c r="M25" s="320"/>
      <c r="N25" s="320"/>
      <c r="O25" s="320"/>
      <c r="P25" s="320"/>
      <c r="Q25" s="343"/>
      <c r="R25" s="509">
        <f>Elec_Est!R107</f>
        <v>0</v>
      </c>
      <c r="S25" s="320"/>
      <c r="T25" s="512">
        <f>Elec_Est!T107</f>
        <v>0</v>
      </c>
      <c r="V25"/>
      <c r="W25"/>
      <c r="X25"/>
    </row>
    <row r="26" spans="1:24">
      <c r="A26" s="422" t="str">
        <f t="shared" si="7"/>
        <v/>
      </c>
      <c r="B26" s="371" t="str">
        <f t="shared" si="8"/>
        <v/>
      </c>
      <c r="C26"/>
      <c r="D26" s="405" t="str">
        <f t="shared" si="9"/>
        <v/>
      </c>
      <c r="E26" s="510">
        <f t="shared" si="10"/>
        <v>0</v>
      </c>
      <c r="F26" s="509">
        <f>Elec_Est!F108</f>
        <v>0</v>
      </c>
      <c r="G26" s="320">
        <f t="shared" si="11"/>
        <v>1</v>
      </c>
      <c r="H26" s="407">
        <f t="shared" si="12"/>
        <v>0</v>
      </c>
      <c r="I26" s="407">
        <f t="shared" si="13"/>
        <v>0</v>
      </c>
      <c r="J26" s="320">
        <f t="shared" si="14"/>
        <v>27.46</v>
      </c>
      <c r="K26" s="320"/>
      <c r="L26" s="320"/>
      <c r="M26" s="320"/>
      <c r="N26" s="320"/>
      <c r="O26" s="320"/>
      <c r="P26" s="320"/>
      <c r="Q26" s="343"/>
      <c r="R26" s="509">
        <f>Elec_Est!R108</f>
        <v>0</v>
      </c>
      <c r="S26" s="320"/>
      <c r="T26" s="512">
        <f>Elec_Est!T108</f>
        <v>0</v>
      </c>
      <c r="V26"/>
      <c r="W26"/>
      <c r="X26"/>
    </row>
    <row r="27" spans="1:24">
      <c r="A27" s="422" t="str">
        <f t="shared" si="7"/>
        <v/>
      </c>
      <c r="B27" s="372" t="str">
        <f t="shared" si="8"/>
        <v/>
      </c>
      <c r="C27"/>
      <c r="D27" s="405" t="str">
        <f t="shared" si="9"/>
        <v/>
      </c>
      <c r="E27" s="510">
        <f t="shared" si="10"/>
        <v>0</v>
      </c>
      <c r="F27" s="509">
        <f>Elec_Est!F109</f>
        <v>0</v>
      </c>
      <c r="G27" s="320">
        <f t="shared" si="11"/>
        <v>1</v>
      </c>
      <c r="H27" s="407">
        <f t="shared" si="12"/>
        <v>0</v>
      </c>
      <c r="I27" s="407">
        <f t="shared" si="13"/>
        <v>0</v>
      </c>
      <c r="J27" s="320">
        <f t="shared" si="14"/>
        <v>27.46</v>
      </c>
      <c r="K27" s="320"/>
      <c r="L27" s="320"/>
      <c r="M27" s="320"/>
      <c r="N27" s="320"/>
      <c r="O27" s="320"/>
      <c r="P27" s="320"/>
      <c r="Q27" s="343"/>
      <c r="R27" s="509">
        <f>Elec_Est!R109</f>
        <v>0</v>
      </c>
      <c r="S27" s="320"/>
      <c r="T27" s="512">
        <f>Elec_Est!T109</f>
        <v>0</v>
      </c>
      <c r="V27"/>
      <c r="W27"/>
      <c r="X27"/>
    </row>
    <row r="28" spans="1:24">
      <c r="A28" s="422" t="str">
        <f t="shared" si="7"/>
        <v/>
      </c>
      <c r="B28" s="373" t="str">
        <f t="shared" si="8"/>
        <v/>
      </c>
      <c r="C28"/>
      <c r="D28" s="405" t="str">
        <f t="shared" si="9"/>
        <v/>
      </c>
      <c r="E28" s="510">
        <f t="shared" si="10"/>
        <v>0</v>
      </c>
      <c r="F28" s="509">
        <f>Elec_Est!F110</f>
        <v>0</v>
      </c>
      <c r="G28" s="320">
        <f t="shared" si="11"/>
        <v>1</v>
      </c>
      <c r="H28" s="407">
        <f t="shared" si="12"/>
        <v>0</v>
      </c>
      <c r="I28" s="407">
        <f t="shared" si="13"/>
        <v>0</v>
      </c>
      <c r="J28" s="320">
        <f t="shared" si="14"/>
        <v>27.46</v>
      </c>
      <c r="K28" s="320"/>
      <c r="L28" s="320"/>
      <c r="M28" s="320"/>
      <c r="N28" s="320"/>
      <c r="O28" s="320"/>
      <c r="P28" s="320"/>
      <c r="Q28" s="343"/>
      <c r="R28" s="509">
        <f>Elec_Est!R110</f>
        <v>0</v>
      </c>
      <c r="S28" s="320"/>
      <c r="T28" s="512">
        <f>Elec_Est!T110</f>
        <v>0</v>
      </c>
      <c r="V28"/>
      <c r="W28"/>
      <c r="X28"/>
    </row>
    <row r="29" spans="1:24">
      <c r="A29" s="422" t="str">
        <f t="shared" si="7"/>
        <v/>
      </c>
      <c r="B29" s="374" t="str">
        <f t="shared" si="8"/>
        <v/>
      </c>
      <c r="C29"/>
      <c r="D29" s="405" t="str">
        <f t="shared" si="9"/>
        <v/>
      </c>
      <c r="E29" s="510">
        <f t="shared" si="10"/>
        <v>0</v>
      </c>
      <c r="F29" s="509">
        <f>Elec_Est!F111</f>
        <v>0</v>
      </c>
      <c r="G29" s="320">
        <f t="shared" si="11"/>
        <v>1</v>
      </c>
      <c r="H29" s="407">
        <f t="shared" si="12"/>
        <v>0</v>
      </c>
      <c r="I29" s="407">
        <f t="shared" si="13"/>
        <v>0</v>
      </c>
      <c r="J29" s="320">
        <f t="shared" si="14"/>
        <v>27.46</v>
      </c>
      <c r="K29" s="320"/>
      <c r="L29" s="320"/>
      <c r="M29" s="320"/>
      <c r="N29" s="320"/>
      <c r="O29" s="320"/>
      <c r="P29" s="320"/>
      <c r="Q29" s="343"/>
      <c r="R29" s="509">
        <f>Elec_Est!R111</f>
        <v>0</v>
      </c>
      <c r="S29" s="320"/>
      <c r="T29" s="511">
        <f>Elec_Est!T111</f>
        <v>0</v>
      </c>
      <c r="V29"/>
      <c r="W29"/>
      <c r="X29"/>
    </row>
    <row r="30" spans="1:24">
      <c r="A30" s="422" t="str">
        <f t="shared" si="7"/>
        <v/>
      </c>
      <c r="B30" s="375" t="str">
        <f t="shared" si="8"/>
        <v/>
      </c>
      <c r="C30"/>
      <c r="D30" s="405" t="str">
        <f t="shared" si="9"/>
        <v/>
      </c>
      <c r="E30" s="510">
        <f t="shared" si="10"/>
        <v>0</v>
      </c>
      <c r="F30" s="509">
        <f>Elec_Est!F112</f>
        <v>0</v>
      </c>
      <c r="G30" s="320">
        <f t="shared" si="11"/>
        <v>1</v>
      </c>
      <c r="H30" s="407">
        <f t="shared" si="12"/>
        <v>0</v>
      </c>
      <c r="I30" s="407">
        <f t="shared" si="13"/>
        <v>0</v>
      </c>
      <c r="J30" s="320">
        <f t="shared" si="14"/>
        <v>27.46</v>
      </c>
      <c r="K30" s="320"/>
      <c r="L30" s="320"/>
      <c r="M30" s="320"/>
      <c r="N30" s="320"/>
      <c r="O30" s="320"/>
      <c r="P30" s="320"/>
      <c r="Q30" s="343"/>
      <c r="R30" s="509">
        <f>Elec_Est!R112</f>
        <v>0</v>
      </c>
      <c r="S30" s="320"/>
      <c r="T30" s="511">
        <f>Elec_Est!T112</f>
        <v>0</v>
      </c>
      <c r="V30"/>
      <c r="W30"/>
      <c r="X30"/>
    </row>
    <row r="31" spans="1:24">
      <c r="A31" s="422" t="str">
        <f t="shared" si="7"/>
        <v/>
      </c>
      <c r="B31" s="376" t="str">
        <f t="shared" si="8"/>
        <v/>
      </c>
      <c r="C31"/>
      <c r="D31" s="405" t="str">
        <f t="shared" si="9"/>
        <v/>
      </c>
      <c r="E31" s="510">
        <f t="shared" si="10"/>
        <v>0</v>
      </c>
      <c r="F31" s="509">
        <f>Elec_Est!F113</f>
        <v>0</v>
      </c>
      <c r="G31" s="320">
        <f t="shared" si="11"/>
        <v>1</v>
      </c>
      <c r="H31" s="407">
        <f t="shared" si="12"/>
        <v>0</v>
      </c>
      <c r="I31" s="407">
        <f t="shared" si="13"/>
        <v>0</v>
      </c>
      <c r="J31" s="320">
        <f t="shared" si="14"/>
        <v>27.46</v>
      </c>
      <c r="K31" s="320"/>
      <c r="L31" s="320"/>
      <c r="M31" s="320"/>
      <c r="N31" s="320"/>
      <c r="O31" s="320"/>
      <c r="P31" s="320"/>
      <c r="Q31" s="343"/>
      <c r="R31" s="509">
        <f>Elec_Est!R113</f>
        <v>0</v>
      </c>
      <c r="S31" s="320"/>
      <c r="T31" s="511">
        <f>Elec_Est!T113</f>
        <v>0</v>
      </c>
      <c r="V31"/>
      <c r="W31"/>
      <c r="X31"/>
    </row>
    <row r="32" spans="1:24">
      <c r="A32" s="423" t="str">
        <f t="shared" si="7"/>
        <v/>
      </c>
      <c r="B32" s="476" t="str">
        <f t="shared" si="8"/>
        <v/>
      </c>
      <c r="C32"/>
      <c r="D32" s="405" t="str">
        <f t="shared" si="9"/>
        <v/>
      </c>
      <c r="E32" s="510">
        <f t="shared" si="10"/>
        <v>0</v>
      </c>
      <c r="F32" s="509">
        <f>Elec_Est!F114</f>
        <v>0</v>
      </c>
      <c r="G32" s="320">
        <f t="shared" si="11"/>
        <v>1</v>
      </c>
      <c r="H32" s="407">
        <f t="shared" si="12"/>
        <v>0</v>
      </c>
      <c r="I32" s="407">
        <f t="shared" si="13"/>
        <v>0</v>
      </c>
      <c r="J32" s="320">
        <f t="shared" si="14"/>
        <v>27.46</v>
      </c>
      <c r="K32" s="320"/>
      <c r="L32" s="320"/>
      <c r="M32" s="320"/>
      <c r="N32" s="320"/>
      <c r="O32" s="320"/>
      <c r="P32" s="320"/>
      <c r="Q32" s="343"/>
      <c r="R32" s="509">
        <f ca="1">Elec_Est!R114</f>
        <v>0</v>
      </c>
      <c r="S32" s="320"/>
      <c r="T32" s="511">
        <f>Elec_Est!T114</f>
        <v>0</v>
      </c>
      <c r="V32"/>
      <c r="W32"/>
      <c r="X32"/>
    </row>
    <row r="33" spans="1:27">
      <c r="B33"/>
      <c r="C33" s="383" t="s">
        <v>210</v>
      </c>
      <c r="D33"/>
      <c r="E33"/>
      <c r="F33" s="382"/>
      <c r="G33" s="320"/>
      <c r="H33" s="320"/>
      <c r="I33" s="320"/>
      <c r="J33" s="320"/>
      <c r="K33" s="320"/>
      <c r="L33" s="320"/>
      <c r="M33" s="320"/>
      <c r="N33" s="320"/>
      <c r="O33" s="320"/>
      <c r="P33" s="320"/>
      <c r="R33" s="383"/>
      <c r="S33" s="320"/>
      <c r="T33" s="382"/>
      <c r="V33"/>
      <c r="W33"/>
      <c r="X33"/>
    </row>
    <row r="34" spans="1:27" ht="13.8" thickBot="1">
      <c r="B34" s="36"/>
      <c r="C34"/>
      <c r="R34" s="328"/>
      <c r="S34" s="328"/>
      <c r="T34" s="328"/>
      <c r="V34"/>
      <c r="W34"/>
      <c r="X34"/>
    </row>
    <row r="35" spans="1:27">
      <c r="A35" s="477" t="s">
        <v>215</v>
      </c>
      <c r="B35" s="481">
        <f ca="1">E_BOQ!F48</f>
        <v>12486.23</v>
      </c>
      <c r="E35" s="510">
        <f ca="1">SUM(E23:E32)</f>
        <v>12486.23</v>
      </c>
      <c r="F35" s="509">
        <f ca="1">SUM(F23:F32)</f>
        <v>12486.23</v>
      </c>
      <c r="G35" s="321"/>
      <c r="H35" s="321"/>
      <c r="I35" s="321"/>
      <c r="J35" s="321"/>
      <c r="K35" s="321"/>
      <c r="L35" s="321"/>
      <c r="M35" s="321"/>
      <c r="N35" s="321"/>
      <c r="O35" s="321"/>
      <c r="P35" s="321"/>
      <c r="Q35" s="322"/>
      <c r="R35" s="326">
        <f ca="1">SUM(R23:R32)</f>
        <v>7213.2</v>
      </c>
      <c r="S35" s="323"/>
      <c r="T35" s="326">
        <f ca="1">SUM(T23:T32)</f>
        <v>101.07691187181355</v>
      </c>
      <c r="V35" s="724"/>
      <c r="W35"/>
      <c r="X35"/>
    </row>
    <row r="36" spans="1:27" ht="14.4" thickBot="1">
      <c r="A36" s="478" t="str">
        <f xml:space="preserve"> IF(A39=0,"0.00",A39-(A38*A37))</f>
        <v>0.00</v>
      </c>
      <c r="B36" s="480" t="s">
        <v>247</v>
      </c>
      <c r="E36" s="570" t="str">
        <f>"ESTIM TOTAL (" &amp; $Q$1 &amp; ")"</f>
        <v>ESTIM TOTAL (€)</v>
      </c>
      <c r="G36" s="321"/>
      <c r="H36" s="321"/>
      <c r="I36" s="321"/>
      <c r="J36" s="321"/>
      <c r="K36" s="321"/>
      <c r="L36" s="321"/>
      <c r="M36" s="321"/>
      <c r="N36" s="321"/>
      <c r="O36" s="321"/>
      <c r="P36" s="321"/>
      <c r="Q36" s="322"/>
      <c r="V36"/>
      <c r="W36"/>
      <c r="X36"/>
    </row>
    <row r="37" spans="1:27" ht="13.8">
      <c r="A37" s="414">
        <v>1.125</v>
      </c>
      <c r="B37" s="479" t="s">
        <v>237</v>
      </c>
      <c r="C37" s="303"/>
      <c r="D37"/>
      <c r="E37" s="418"/>
      <c r="G37"/>
      <c r="H37"/>
      <c r="I37"/>
      <c r="J37"/>
      <c r="K37"/>
      <c r="L37"/>
      <c r="M37"/>
      <c r="N37"/>
      <c r="O37"/>
      <c r="P37"/>
      <c r="Q37"/>
      <c r="R37" s="461">
        <f ca="1">R165</f>
        <v>7213.4553500000011</v>
      </c>
      <c r="S37" s="462" t="s">
        <v>206</v>
      </c>
      <c r="T37" s="460">
        <f ca="1">T165</f>
        <v>101.00191187181355</v>
      </c>
      <c r="V37"/>
      <c r="W37"/>
      <c r="X37"/>
    </row>
    <row r="38" spans="1:27">
      <c r="A38" s="416"/>
      <c r="B38" s="415" t="s">
        <v>235</v>
      </c>
      <c r="C38"/>
      <c r="D38"/>
      <c r="G38"/>
      <c r="H38"/>
      <c r="I38"/>
      <c r="J38"/>
      <c r="K38"/>
      <c r="L38"/>
      <c r="M38"/>
      <c r="N38"/>
      <c r="O38"/>
      <c r="P38"/>
      <c r="Q38"/>
      <c r="R38"/>
      <c r="S38"/>
      <c r="T38"/>
    </row>
    <row r="39" spans="1:27">
      <c r="A39" s="417"/>
      <c r="B39" s="415" t="s">
        <v>236</v>
      </c>
      <c r="C39"/>
      <c r="D39"/>
      <c r="E39"/>
      <c r="F39"/>
      <c r="G39" s="302"/>
      <c r="H39" s="302"/>
      <c r="I39" s="302"/>
      <c r="J39" s="302"/>
      <c r="K39" s="302"/>
      <c r="L39" s="302"/>
      <c r="M39" s="302"/>
      <c r="N39" s="302"/>
      <c r="O39" s="302"/>
      <c r="P39" s="302"/>
      <c r="Q39" s="413" t="s">
        <v>216</v>
      </c>
      <c r="R39" s="463">
        <f ca="1">R37-R35</f>
        <v>0.25535000000127184</v>
      </c>
      <c r="S39" s="491" t="s">
        <v>406</v>
      </c>
      <c r="T39" s="464">
        <f ca="1">T37-T35</f>
        <v>-7.5000000000002842E-2</v>
      </c>
    </row>
    <row r="40" spans="1:27" ht="14.25" customHeight="1">
      <c r="S40" s="501"/>
    </row>
    <row r="41" spans="1:27">
      <c r="B41" s="465" t="s">
        <v>238</v>
      </c>
      <c r="C41" s="466"/>
      <c r="D41" s="457">
        <v>45897</v>
      </c>
      <c r="E41" s="467">
        <v>12486.23</v>
      </c>
      <c r="F41" s="467">
        <v>12486.23</v>
      </c>
      <c r="G41" s="468"/>
      <c r="H41" s="468"/>
      <c r="I41" s="468"/>
      <c r="J41" s="468"/>
      <c r="K41" s="468"/>
      <c r="L41" s="468"/>
      <c r="M41" s="468"/>
      <c r="N41" s="468"/>
      <c r="O41" s="468"/>
      <c r="P41" s="468"/>
      <c r="Q41" s="469"/>
      <c r="R41" s="467">
        <v>7213.2</v>
      </c>
      <c r="S41" s="469"/>
      <c r="T41" s="467">
        <v>101.07691187181355</v>
      </c>
    </row>
    <row r="42" spans="1:27">
      <c r="B42" s="465"/>
      <c r="C42"/>
      <c r="D42" s="457"/>
      <c r="E42" s="467"/>
      <c r="F42" s="467"/>
      <c r="G42" s="468"/>
      <c r="H42" s="468"/>
      <c r="I42" s="468"/>
      <c r="J42" s="468"/>
      <c r="K42" s="468"/>
      <c r="L42" s="468"/>
      <c r="M42" s="468"/>
      <c r="N42" s="468"/>
      <c r="O42" s="468"/>
      <c r="P42" s="468"/>
      <c r="Q42" s="469"/>
      <c r="R42" s="467"/>
      <c r="S42" s="469"/>
      <c r="T42" s="467"/>
      <c r="U42" s="616"/>
    </row>
    <row r="43" spans="1:27">
      <c r="B43" s="465"/>
      <c r="C43"/>
      <c r="D43" s="457"/>
      <c r="E43" s="467"/>
      <c r="F43" s="467"/>
      <c r="G43" s="468"/>
      <c r="H43" s="468"/>
      <c r="I43" s="468"/>
      <c r="J43" s="468"/>
      <c r="K43" s="468"/>
      <c r="L43" s="468"/>
      <c r="M43" s="468"/>
      <c r="N43" s="468"/>
      <c r="O43" s="468"/>
      <c r="P43" s="468"/>
      <c r="Q43" s="469"/>
      <c r="R43" s="467"/>
      <c r="S43" s="469"/>
      <c r="T43" s="467"/>
      <c r="U43" s="616"/>
      <c r="X43" s="616"/>
      <c r="AA43" s="616"/>
    </row>
    <row r="44" spans="1:27">
      <c r="B44" s="304"/>
      <c r="C44" s="305"/>
      <c r="D44" s="305"/>
    </row>
    <row r="45" spans="1:27" s="195" customFormat="1" ht="14.25" customHeight="1">
      <c r="A45" s="191"/>
      <c r="B45" s="192"/>
      <c r="C45" s="189"/>
      <c r="D45" s="189"/>
      <c r="E45" s="686"/>
    </row>
    <row r="46" spans="1:27" s="195" customFormat="1" ht="13.8">
      <c r="A46" s="411" t="s">
        <v>35</v>
      </c>
      <c r="C46" s="36"/>
      <c r="D46" s="36"/>
      <c r="E46" s="685"/>
    </row>
    <row r="47" spans="1:27" s="195" customFormat="1" ht="14.25" customHeight="1">
      <c r="A47" s="847" t="s">
        <v>221</v>
      </c>
      <c r="B47" s="847"/>
      <c r="C47" s="847"/>
      <c r="D47" s="847"/>
      <c r="E47" s="847"/>
      <c r="F47" s="847"/>
      <c r="G47" s="847"/>
      <c r="H47" s="847"/>
      <c r="I47" s="847"/>
      <c r="J47" s="847"/>
      <c r="K47" s="847"/>
      <c r="L47" s="847"/>
      <c r="M47" s="847"/>
      <c r="N47" s="847"/>
      <c r="O47" s="847"/>
      <c r="P47" s="847"/>
      <c r="Q47" s="847"/>
      <c r="R47" s="847"/>
      <c r="S47" s="847"/>
    </row>
    <row r="48" spans="1:27" s="195" customFormat="1" ht="14.25" customHeight="1">
      <c r="A48" s="847" t="s">
        <v>222</v>
      </c>
      <c r="B48" s="847"/>
      <c r="C48" s="847"/>
      <c r="D48" s="847"/>
      <c r="E48" s="847"/>
      <c r="F48" s="847"/>
      <c r="G48" s="847"/>
      <c r="H48" s="847"/>
      <c r="I48" s="847"/>
      <c r="J48" s="847"/>
      <c r="K48" s="847"/>
      <c r="L48" s="847"/>
      <c r="M48" s="847"/>
      <c r="N48" s="847"/>
      <c r="O48" s="847"/>
      <c r="P48" s="847"/>
      <c r="Q48" s="847"/>
      <c r="R48" s="847"/>
      <c r="S48" s="847"/>
      <c r="T48" s="36"/>
    </row>
    <row r="49" spans="1:20" s="195" customFormat="1" ht="13.8">
      <c r="A49" s="36"/>
      <c r="B49" s="182"/>
      <c r="C49" s="36"/>
      <c r="D49" s="36"/>
      <c r="E49" s="36"/>
      <c r="F49" s="36"/>
      <c r="G49" s="36"/>
      <c r="H49" s="36"/>
      <c r="I49" s="36"/>
      <c r="J49" s="36"/>
      <c r="K49" s="36"/>
      <c r="L49" s="36"/>
      <c r="M49" s="36"/>
      <c r="N49" s="36"/>
      <c r="O49" s="36"/>
      <c r="P49" s="36"/>
      <c r="Q49" s="36"/>
      <c r="R49" s="36"/>
      <c r="S49" s="36"/>
      <c r="T49" s="36"/>
    </row>
    <row r="50" spans="1:20" s="195" customFormat="1" ht="13.5" customHeight="1">
      <c r="A50" s="178"/>
      <c r="B50" s="189"/>
      <c r="C50" s="178"/>
      <c r="D50" s="178"/>
      <c r="E50" s="178"/>
      <c r="F50" s="178"/>
      <c r="G50" s="178"/>
      <c r="H50" s="178"/>
      <c r="I50" s="178"/>
      <c r="J50" s="178"/>
      <c r="K50" s="178"/>
      <c r="L50" s="178"/>
      <c r="M50" s="178"/>
      <c r="N50" s="178"/>
      <c r="O50" s="178"/>
      <c r="P50" s="178"/>
      <c r="Q50" s="178"/>
      <c r="R50" s="178"/>
      <c r="S50" s="178"/>
      <c r="T50" s="178"/>
    </row>
    <row r="51" spans="1:20" s="195" customFormat="1" ht="13.5" customHeight="1" thickBot="1">
      <c r="A51" s="196" t="s">
        <v>36</v>
      </c>
      <c r="B51" s="197"/>
      <c r="C51" s="198"/>
      <c r="D51" s="198" t="str">
        <f>D8</f>
        <v>Umut Kaymak</v>
      </c>
      <c r="E51" s="178"/>
      <c r="F51" s="199"/>
      <c r="G51" s="200"/>
      <c r="H51" s="200"/>
      <c r="I51" s="200"/>
      <c r="J51" s="200"/>
      <c r="K51" s="200"/>
      <c r="L51" s="200"/>
      <c r="M51" s="178"/>
      <c r="N51" s="178"/>
      <c r="O51" s="178"/>
      <c r="P51" s="178"/>
      <c r="Q51" s="196" t="s">
        <v>37</v>
      </c>
      <c r="R51" s="198"/>
      <c r="S51" s="198"/>
      <c r="T51" s="198"/>
    </row>
    <row r="52" spans="1:20" s="195" customFormat="1" ht="13.5" customHeight="1" thickTop="1">
      <c r="A52" s="201"/>
      <c r="B52" s="189"/>
      <c r="C52" s="178"/>
      <c r="D52" s="178"/>
      <c r="E52" s="178"/>
      <c r="F52" s="178"/>
      <c r="G52" s="178"/>
      <c r="H52" s="178"/>
      <c r="I52" s="178"/>
      <c r="J52" s="178"/>
      <c r="K52" s="178"/>
      <c r="L52" s="178"/>
      <c r="M52" s="178"/>
      <c r="N52" s="178"/>
      <c r="O52" s="178"/>
      <c r="P52" s="178"/>
      <c r="Q52" s="201"/>
      <c r="R52" s="178"/>
      <c r="S52" s="178"/>
      <c r="T52" s="178"/>
    </row>
    <row r="53" spans="1:20" s="195" customFormat="1" ht="13.5" customHeight="1" thickBot="1">
      <c r="A53" s="202" t="s">
        <v>38</v>
      </c>
      <c r="B53" s="198"/>
      <c r="C53" s="198"/>
      <c r="D53" s="198"/>
      <c r="E53" s="178"/>
      <c r="F53" s="199"/>
      <c r="G53" s="200"/>
      <c r="H53" s="200"/>
      <c r="I53" s="200"/>
      <c r="J53" s="200"/>
      <c r="K53" s="200"/>
      <c r="L53" s="200"/>
      <c r="M53" s="178"/>
      <c r="N53" s="178"/>
      <c r="O53" s="178"/>
      <c r="P53" s="178"/>
      <c r="Q53" s="201" t="s">
        <v>39</v>
      </c>
      <c r="R53" s="178"/>
      <c r="S53" s="198"/>
      <c r="T53" s="198"/>
    </row>
    <row r="54" spans="1:20" s="195" customFormat="1" ht="13.5" customHeight="1" thickTop="1">
      <c r="A54" s="202"/>
      <c r="B54" s="189"/>
      <c r="C54" s="178"/>
      <c r="D54" s="178"/>
      <c r="E54" s="178"/>
      <c r="F54" s="199"/>
      <c r="G54" s="178"/>
      <c r="H54" s="178"/>
      <c r="I54" s="178"/>
      <c r="J54" s="178"/>
      <c r="K54" s="178"/>
      <c r="L54" s="178"/>
      <c r="M54" s="178"/>
      <c r="N54" s="178"/>
      <c r="O54" s="178"/>
      <c r="P54" s="178"/>
      <c r="Q54" s="201"/>
      <c r="R54" s="178"/>
      <c r="S54" s="178"/>
      <c r="T54" s="178"/>
    </row>
    <row r="55" spans="1:20" s="195" customFormat="1" ht="13.5" customHeight="1">
      <c r="A55" s="846" t="s">
        <v>196</v>
      </c>
      <c r="B55" s="846"/>
      <c r="C55" s="12"/>
      <c r="D55" s="400" t="str">
        <f ca="1" xml:space="preserve"> CELL("filename")</f>
        <v>K:\est\ST Microelectronics Malta\Estimates\[E25_0559_ST_Electronics_Exhaust_Replacement_Est_.xlsx]Elec_Est</v>
      </c>
      <c r="E55" s="305"/>
      <c r="F55" s="401"/>
      <c r="G55" s="305"/>
      <c r="H55" s="305"/>
      <c r="I55" s="305"/>
      <c r="J55" s="305"/>
      <c r="K55" s="305"/>
      <c r="L55" s="305"/>
      <c r="M55" s="305"/>
      <c r="N55" s="305"/>
      <c r="O55" s="305"/>
      <c r="P55" s="305"/>
      <c r="Q55" s="402"/>
      <c r="R55" s="178"/>
      <c r="S55" s="178"/>
      <c r="T55" s="178"/>
    </row>
    <row r="56" spans="1:20" s="195" customFormat="1" ht="12.75" customHeight="1">
      <c r="A56" s="316"/>
      <c r="B56" s="316"/>
      <c r="C56" s="12"/>
      <c r="D56" s="13"/>
      <c r="E56" s="178"/>
      <c r="F56" s="199"/>
      <c r="G56" s="178"/>
      <c r="H56" s="178"/>
      <c r="I56" s="178"/>
      <c r="J56" s="178"/>
      <c r="K56" s="178"/>
      <c r="L56" s="178"/>
      <c r="M56" s="178"/>
      <c r="N56" s="178"/>
      <c r="O56" s="178"/>
      <c r="P56" s="178"/>
      <c r="Q56" s="201"/>
      <c r="R56" s="178"/>
      <c r="S56" s="178"/>
      <c r="T56" s="178"/>
    </row>
    <row r="57" spans="1:20" ht="21" customHeight="1">
      <c r="B57" s="839" t="s">
        <v>40</v>
      </c>
      <c r="C57" s="840"/>
      <c r="D57" s="840"/>
      <c r="E57" s="840"/>
      <c r="F57" s="840"/>
      <c r="G57" s="840"/>
      <c r="H57" s="840"/>
      <c r="I57" s="840"/>
      <c r="J57" s="840"/>
      <c r="K57" s="840"/>
      <c r="L57" s="840"/>
      <c r="M57" s="840"/>
      <c r="N57" s="840"/>
      <c r="O57" s="840"/>
      <c r="P57" s="840"/>
      <c r="Q57" s="840"/>
      <c r="R57" s="840"/>
      <c r="S57" s="840"/>
      <c r="T57" s="841"/>
    </row>
    <row r="58" spans="1:20" ht="18" customHeight="1">
      <c r="B58" s="842" t="s">
        <v>41</v>
      </c>
      <c r="C58" s="843"/>
      <c r="D58" s="843"/>
      <c r="E58" s="843"/>
      <c r="F58" s="843"/>
      <c r="G58" s="843"/>
      <c r="H58" s="843"/>
      <c r="I58" s="843"/>
      <c r="J58" s="843"/>
      <c r="K58" s="843"/>
      <c r="L58" s="843"/>
      <c r="M58" s="843"/>
      <c r="N58" s="843"/>
      <c r="O58" s="843"/>
      <c r="P58" s="843"/>
      <c r="Q58" s="843"/>
      <c r="R58" s="843"/>
      <c r="S58" s="844"/>
      <c r="T58" s="845"/>
    </row>
    <row r="59" spans="1:20">
      <c r="B59" s="203"/>
      <c r="S59" s="204" t="s">
        <v>42</v>
      </c>
      <c r="T59" s="190"/>
    </row>
    <row r="60" spans="1:20">
      <c r="B60" s="203"/>
      <c r="D60" s="205" t="s">
        <v>43</v>
      </c>
      <c r="E60" s="306" t="str">
        <f>D1</f>
        <v>ST Microelectronics (Malta) Ltd.</v>
      </c>
      <c r="F60" s="307"/>
      <c r="G60" s="134"/>
      <c r="H60" s="134"/>
      <c r="I60" s="134"/>
      <c r="J60" s="134"/>
      <c r="K60" s="134"/>
      <c r="L60" s="134"/>
      <c r="M60" s="134"/>
      <c r="N60" s="134"/>
      <c r="O60" s="134"/>
      <c r="P60" s="134"/>
      <c r="Q60" s="308"/>
      <c r="R60" s="134"/>
      <c r="S60" s="204" t="s">
        <v>324</v>
      </c>
      <c r="T60" s="190"/>
    </row>
    <row r="61" spans="1:20">
      <c r="B61" s="203"/>
      <c r="D61" s="206" t="s">
        <v>44</v>
      </c>
      <c r="E61" s="306" t="str">
        <f>D2</f>
        <v xml:space="preserve">KK2 General Exhaust Replacement </v>
      </c>
      <c r="F61" s="307"/>
      <c r="G61" s="134"/>
      <c r="H61" s="134"/>
      <c r="I61" s="134"/>
      <c r="J61" s="134"/>
      <c r="K61" s="134"/>
      <c r="L61" s="134"/>
      <c r="M61" s="134"/>
      <c r="N61" s="134"/>
      <c r="O61" s="134"/>
      <c r="P61" s="134"/>
      <c r="Q61" s="308"/>
      <c r="R61" s="134"/>
      <c r="S61" s="204" t="s">
        <v>270</v>
      </c>
      <c r="T61" s="190"/>
    </row>
    <row r="62" spans="1:20">
      <c r="B62" s="203"/>
      <c r="D62" s="205" t="s">
        <v>45</v>
      </c>
      <c r="E62" s="306" t="str">
        <f>D3</f>
        <v>Electrical Supply and Installation</v>
      </c>
      <c r="F62" s="307"/>
      <c r="G62" s="134"/>
      <c r="H62" s="134"/>
      <c r="I62" s="134"/>
      <c r="J62" s="134"/>
      <c r="K62" s="134"/>
      <c r="L62" s="134"/>
      <c r="M62" s="134"/>
      <c r="N62" s="134"/>
      <c r="O62" s="134"/>
      <c r="P62" s="134"/>
      <c r="Q62" s="308"/>
      <c r="R62" s="134"/>
      <c r="S62" s="204" t="s">
        <v>325</v>
      </c>
      <c r="T62" s="190"/>
    </row>
    <row r="63" spans="1:20">
      <c r="B63" s="203"/>
      <c r="D63" s="207" t="s">
        <v>48</v>
      </c>
      <c r="E63" s="306" t="str">
        <f>D4</f>
        <v>EL25-0559</v>
      </c>
      <c r="F63" s="307"/>
      <c r="G63" s="134"/>
      <c r="H63" s="134"/>
      <c r="I63" s="134"/>
      <c r="J63" s="134"/>
      <c r="K63" s="134"/>
      <c r="L63" s="134"/>
      <c r="M63" s="134"/>
      <c r="N63" s="134"/>
      <c r="O63" s="134"/>
      <c r="P63" s="134"/>
      <c r="Q63" s="308"/>
      <c r="R63" s="134"/>
      <c r="S63" s="204"/>
      <c r="T63" s="190"/>
    </row>
    <row r="64" spans="1:20">
      <c r="B64" s="203"/>
      <c r="D64" s="207" t="s">
        <v>49</v>
      </c>
      <c r="E64" s="306" t="str">
        <f>D5</f>
        <v>Tender</v>
      </c>
      <c r="F64" s="307"/>
      <c r="G64" s="134"/>
      <c r="H64" s="134"/>
      <c r="I64" s="134"/>
      <c r="J64" s="134"/>
      <c r="K64" s="134"/>
      <c r="L64" s="134"/>
      <c r="M64" s="134"/>
      <c r="N64" s="134"/>
      <c r="O64" s="134"/>
      <c r="P64" s="134"/>
      <c r="Q64" s="308"/>
      <c r="R64" s="134"/>
      <c r="S64" s="204"/>
      <c r="T64" s="190"/>
    </row>
    <row r="65" spans="2:20">
      <c r="B65" s="203"/>
      <c r="S65" s="204" t="s">
        <v>47</v>
      </c>
      <c r="T65" s="190"/>
    </row>
    <row r="66" spans="2:20">
      <c r="B66" s="203"/>
      <c r="D66" s="207" t="s">
        <v>46</v>
      </c>
      <c r="E66" s="208"/>
      <c r="F66" s="208"/>
      <c r="G66" s="209"/>
      <c r="H66" s="209"/>
      <c r="I66" s="209"/>
      <c r="J66" s="209"/>
      <c r="K66" s="209"/>
      <c r="L66" s="209"/>
      <c r="M66" s="209"/>
      <c r="N66" s="209"/>
      <c r="O66" s="209"/>
      <c r="P66" s="209"/>
      <c r="S66" s="210"/>
      <c r="T66" s="211"/>
    </row>
    <row r="67" spans="2:20">
      <c r="B67" s="203"/>
      <c r="D67" s="207" t="s">
        <v>251</v>
      </c>
      <c r="E67" s="208"/>
      <c r="F67" s="208"/>
      <c r="G67" s="209"/>
      <c r="H67" s="209"/>
      <c r="I67" s="209"/>
      <c r="J67" s="209"/>
      <c r="K67" s="209"/>
      <c r="L67" s="209"/>
      <c r="M67" s="209"/>
      <c r="N67" s="209"/>
      <c r="O67" s="209"/>
      <c r="P67" s="209"/>
      <c r="S67" s="210"/>
      <c r="T67" s="211"/>
    </row>
    <row r="68" spans="2:20">
      <c r="B68" s="212"/>
      <c r="C68" s="102"/>
      <c r="D68" s="102"/>
      <c r="E68" s="102"/>
      <c r="F68" s="102"/>
      <c r="G68" s="102"/>
      <c r="H68" s="102"/>
      <c r="I68" s="102"/>
      <c r="J68" s="102"/>
      <c r="K68" s="102"/>
      <c r="L68" s="102"/>
      <c r="M68" s="102"/>
      <c r="N68" s="102"/>
      <c r="O68" s="102"/>
      <c r="P68" s="102"/>
      <c r="Q68" s="102"/>
      <c r="R68" s="102"/>
      <c r="S68" s="102"/>
      <c r="T68" s="213"/>
    </row>
    <row r="69" spans="2:20" ht="14.25" customHeight="1">
      <c r="B69" s="203"/>
      <c r="T69" s="211"/>
    </row>
    <row r="70" spans="2:20" ht="15.6">
      <c r="B70" s="203"/>
      <c r="E70" s="214" t="s">
        <v>200</v>
      </c>
      <c r="F70" s="188"/>
      <c r="G70" s="188"/>
      <c r="H70" s="188"/>
      <c r="I70" s="188"/>
      <c r="J70" s="188"/>
      <c r="K70" s="188"/>
      <c r="L70" s="188"/>
      <c r="M70" s="188"/>
      <c r="N70" s="188"/>
      <c r="O70" s="188"/>
      <c r="P70" s="188"/>
      <c r="Q70" s="188"/>
      <c r="R70" s="188"/>
      <c r="S70" s="112"/>
      <c r="T70" s="211"/>
    </row>
    <row r="71" spans="2:20">
      <c r="B71" s="203"/>
      <c r="E71" s="216"/>
      <c r="F71" s="188"/>
      <c r="G71" s="188"/>
      <c r="H71" s="188"/>
      <c r="I71" s="188"/>
      <c r="J71" s="188"/>
      <c r="K71" s="188"/>
      <c r="L71" s="188"/>
      <c r="M71" s="188"/>
      <c r="N71" s="188"/>
      <c r="O71" s="188"/>
      <c r="P71" s="188"/>
      <c r="Q71" s="188"/>
      <c r="R71" s="188"/>
      <c r="S71" s="112"/>
      <c r="T71" s="211"/>
    </row>
    <row r="72" spans="2:20">
      <c r="B72" s="335"/>
      <c r="C72" s="381">
        <f ca="1">IF($A$33="MIXED",F23/(1-Q2)+F24/(1-Q3)+F25/(1-Q4)+F26/(1-Q5)+F27/(1-Q6)+F28/(1-Q7)+F29/(1-Q8)+F30/(1-Q9)+F31/(1-Q10)+F32/(1-Q11)-SUM(A23:A32),   F23/(1-Q2)+F24/(1-Q3)+F25/(1-Q4)+F26/(1-Q5)+F27/(1-Q6)+F28/(1-Q7)+F29/(1-Q8)+F30/(1-Q9)+F31/(1-Q10)+F32/(1-Q11))</f>
        <v>12486.23</v>
      </c>
      <c r="E72" s="185" t="s">
        <v>244</v>
      </c>
      <c r="F72" s="442">
        <f ca="1">IF(D6="VAT INCLUDED",C72/($C$1*1.18),C72/$C$1)</f>
        <v>12486.23</v>
      </c>
      <c r="G72" s="188"/>
      <c r="H72" s="188"/>
      <c r="I72" s="188"/>
      <c r="J72" s="188"/>
      <c r="K72" s="188"/>
      <c r="L72" s="188"/>
      <c r="M72" s="188"/>
      <c r="N72" s="188"/>
      <c r="O72" s="188"/>
      <c r="P72" s="188"/>
      <c r="Q72" s="188"/>
      <c r="R72" s="188"/>
      <c r="S72" s="112"/>
      <c r="T72" s="211"/>
    </row>
    <row r="73" spans="2:20">
      <c r="B73" s="203"/>
      <c r="F73" s="448"/>
      <c r="G73" s="188"/>
      <c r="H73" s="188"/>
      <c r="I73" s="188"/>
      <c r="J73" s="188"/>
      <c r="K73" s="188"/>
      <c r="L73" s="188"/>
      <c r="M73" s="188"/>
      <c r="N73" s="188"/>
      <c r="O73" s="188"/>
      <c r="P73" s="188"/>
      <c r="Q73" s="188"/>
      <c r="R73" s="188"/>
      <c r="S73" s="112"/>
      <c r="T73" s="211"/>
    </row>
    <row r="74" spans="2:20" ht="15" customHeight="1">
      <c r="B74" s="335"/>
      <c r="E74" s="451" t="s">
        <v>245</v>
      </c>
      <c r="F74" s="449">
        <f ca="1">(F72-F75)/F72</f>
        <v>0</v>
      </c>
      <c r="G74" s="217"/>
      <c r="H74" s="217"/>
      <c r="I74" s="217"/>
      <c r="J74" s="217"/>
      <c r="K74" s="217"/>
      <c r="L74" s="217"/>
      <c r="M74" s="217"/>
      <c r="N74" s="217"/>
      <c r="O74" s="217"/>
      <c r="P74" s="217"/>
      <c r="Q74" s="218"/>
      <c r="T74" s="211"/>
    </row>
    <row r="75" spans="2:20">
      <c r="B75" s="336"/>
      <c r="E75" s="206" t="s">
        <v>243</v>
      </c>
      <c r="F75" s="450">
        <f ca="1">IF(D6="VAT INCLUDED",E35/($C$1*1.18),E35/$C$1)</f>
        <v>12486.23</v>
      </c>
      <c r="T75" s="211"/>
    </row>
    <row r="76" spans="2:20" ht="14.25" customHeight="1">
      <c r="B76" s="203"/>
      <c r="E76" s="185"/>
      <c r="F76" s="309"/>
      <c r="R76" s="185"/>
      <c r="T76" s="211"/>
    </row>
    <row r="77" spans="2:20" ht="15.6">
      <c r="B77" s="219"/>
      <c r="C77" s="220"/>
      <c r="E77" s="221" t="s">
        <v>198</v>
      </c>
      <c r="F77" s="470">
        <f>$D$9</f>
        <v>27.46</v>
      </c>
      <c r="G77" s="222"/>
      <c r="H77" s="223"/>
      <c r="I77" s="224"/>
      <c r="J77" s="225"/>
      <c r="K77" s="225"/>
      <c r="L77" s="225"/>
      <c r="M77" s="225"/>
      <c r="N77" s="225"/>
      <c r="O77" s="225"/>
      <c r="P77" s="225"/>
      <c r="Q77" s="226"/>
      <c r="R77" s="185" t="s">
        <v>179</v>
      </c>
      <c r="S77" s="215"/>
      <c r="T77" s="211"/>
    </row>
    <row r="78" spans="2:20" ht="15.6">
      <c r="B78" s="219"/>
      <c r="C78" s="220"/>
      <c r="E78" s="227"/>
      <c r="F78" s="228"/>
      <c r="G78" s="229"/>
      <c r="H78" s="230"/>
      <c r="I78" s="231"/>
      <c r="J78" s="226"/>
      <c r="K78" s="226"/>
      <c r="L78" s="226"/>
      <c r="M78" s="226"/>
      <c r="N78" s="226"/>
      <c r="O78" s="226"/>
      <c r="P78" s="226"/>
      <c r="Q78" s="226"/>
      <c r="T78" s="211"/>
    </row>
    <row r="79" spans="2:20" ht="15.6">
      <c r="B79" s="219"/>
      <c r="C79" s="220"/>
      <c r="E79" s="227"/>
      <c r="F79" s="228"/>
      <c r="G79" s="229"/>
      <c r="H79" s="230"/>
      <c r="I79" s="231"/>
      <c r="J79" s="226"/>
      <c r="K79" s="226"/>
      <c r="L79" s="226"/>
      <c r="M79" s="226"/>
      <c r="N79" s="226"/>
      <c r="O79" s="226"/>
      <c r="P79" s="226"/>
      <c r="Q79" s="226"/>
      <c r="T79" s="211"/>
    </row>
    <row r="80" spans="2:20" ht="15">
      <c r="B80" s="219"/>
      <c r="C80" s="220"/>
      <c r="D80" s="232" t="s">
        <v>50</v>
      </c>
      <c r="E80" s="233" t="s">
        <v>67</v>
      </c>
      <c r="F80" s="234" t="s">
        <v>51</v>
      </c>
      <c r="G80" s="235"/>
      <c r="H80" s="235"/>
      <c r="I80" s="235"/>
      <c r="J80" s="235"/>
      <c r="K80" s="235"/>
      <c r="L80" s="235"/>
      <c r="M80" s="235"/>
      <c r="N80" s="235"/>
      <c r="O80" s="235"/>
      <c r="P80" s="235"/>
      <c r="Q80" s="235"/>
      <c r="R80" s="233" t="s">
        <v>234</v>
      </c>
      <c r="S80" s="236"/>
      <c r="T80" s="211"/>
    </row>
    <row r="81" spans="2:20" ht="13.8">
      <c r="B81" s="203"/>
      <c r="D81" s="237" t="s">
        <v>240</v>
      </c>
      <c r="E81" s="122" t="s">
        <v>242</v>
      </c>
      <c r="F81" s="238" t="s">
        <v>240</v>
      </c>
      <c r="R81" s="318"/>
      <c r="S81" s="211"/>
      <c r="T81" s="239"/>
    </row>
    <row r="82" spans="2:20">
      <c r="B82" s="203"/>
      <c r="D82" s="240"/>
      <c r="S82" s="241"/>
      <c r="T82" s="211"/>
    </row>
    <row r="83" spans="2:20">
      <c r="B83" s="203"/>
      <c r="D83" s="443">
        <f ca="1">R165</f>
        <v>7213.4553500000011</v>
      </c>
      <c r="E83" s="444">
        <f ca="1">T165</f>
        <v>101.00191187181355</v>
      </c>
      <c r="F83" s="445">
        <f ca="1">R165+S165</f>
        <v>9986.9678500000009</v>
      </c>
      <c r="G83" s="446"/>
      <c r="H83" s="446"/>
      <c r="I83" s="446"/>
      <c r="J83" s="446"/>
      <c r="K83" s="446"/>
      <c r="L83" s="446"/>
      <c r="M83" s="446"/>
      <c r="N83" s="446"/>
      <c r="O83" s="446"/>
      <c r="P83" s="446"/>
      <c r="Q83" s="446"/>
      <c r="R83" s="447">
        <f ca="1">IF(F83=0,0,F75/F83)</f>
        <v>1.2502523476131946</v>
      </c>
      <c r="S83" s="241"/>
      <c r="T83" s="211"/>
    </row>
    <row r="84" spans="2:20">
      <c r="B84" s="203"/>
      <c r="D84" s="837" t="s">
        <v>180</v>
      </c>
      <c r="E84" s="838"/>
      <c r="S84" s="211"/>
      <c r="T84" s="241"/>
    </row>
    <row r="85" spans="2:20" ht="15">
      <c r="B85" s="203"/>
      <c r="D85" s="242"/>
      <c r="E85" s="102"/>
      <c r="F85" s="102"/>
      <c r="G85" s="102"/>
      <c r="H85" s="243"/>
      <c r="I85" s="244"/>
      <c r="J85" s="102"/>
      <c r="K85" s="102"/>
      <c r="L85" s="102"/>
      <c r="M85" s="102"/>
      <c r="N85" s="102"/>
      <c r="O85" s="102"/>
      <c r="P85" s="102"/>
      <c r="Q85" s="102"/>
      <c r="R85" s="102"/>
      <c r="S85" s="213"/>
      <c r="T85" s="211"/>
    </row>
    <row r="86" spans="2:20" ht="15">
      <c r="B86" s="203"/>
      <c r="H86" s="245"/>
      <c r="I86" s="220"/>
      <c r="T86" s="211"/>
    </row>
    <row r="87" spans="2:20" ht="15">
      <c r="B87" s="203"/>
      <c r="H87" s="245"/>
      <c r="I87" s="220"/>
      <c r="R87" s="185" t="s">
        <v>52</v>
      </c>
      <c r="S87" s="246"/>
      <c r="T87" s="211"/>
    </row>
    <row r="88" spans="2:20" ht="15">
      <c r="B88" s="203"/>
      <c r="H88" s="245"/>
      <c r="I88" s="220"/>
      <c r="R88" s="185" t="s">
        <v>53</v>
      </c>
      <c r="S88" s="246"/>
      <c r="T88" s="211"/>
    </row>
    <row r="89" spans="2:20" ht="15">
      <c r="B89" s="203"/>
      <c r="H89" s="245"/>
      <c r="I89" s="220"/>
      <c r="R89" s="185"/>
      <c r="S89" s="247"/>
      <c r="T89" s="211"/>
    </row>
    <row r="90" spans="2:20" ht="15">
      <c r="B90" s="203"/>
      <c r="H90" s="245"/>
      <c r="I90" s="220"/>
      <c r="R90" s="185" t="s">
        <v>54</v>
      </c>
      <c r="S90" s="248"/>
      <c r="T90" s="211"/>
    </row>
    <row r="91" spans="2:20" ht="15">
      <c r="B91" s="203"/>
      <c r="I91" s="220"/>
      <c r="R91" s="185" t="s">
        <v>55</v>
      </c>
      <c r="S91" s="249"/>
      <c r="T91" s="211"/>
    </row>
    <row r="92" spans="2:20" ht="15">
      <c r="B92" s="203"/>
      <c r="I92" s="220"/>
      <c r="J92" s="250"/>
      <c r="K92" s="251"/>
      <c r="L92" s="251"/>
      <c r="M92" s="251"/>
      <c r="N92" s="251"/>
      <c r="O92" s="251"/>
      <c r="P92" s="251"/>
      <c r="Q92" s="251"/>
      <c r="R92" s="185" t="s">
        <v>56</v>
      </c>
      <c r="S92" s="249"/>
      <c r="T92" s="211"/>
    </row>
    <row r="93" spans="2:20" ht="15">
      <c r="B93" s="203"/>
      <c r="D93" s="252" t="s">
        <v>57</v>
      </c>
      <c r="G93" s="253"/>
      <c r="I93" s="220"/>
      <c r="J93" s="250"/>
      <c r="K93" s="251"/>
      <c r="L93" s="251"/>
      <c r="M93" s="251"/>
      <c r="N93" s="251"/>
      <c r="O93" s="251"/>
      <c r="P93" s="251"/>
      <c r="Q93" s="251"/>
      <c r="R93" s="185"/>
      <c r="T93" s="211"/>
    </row>
    <row r="94" spans="2:20" ht="15.6">
      <c r="B94" s="203"/>
      <c r="D94" s="254" t="s">
        <v>326</v>
      </c>
      <c r="G94" s="253"/>
      <c r="I94" s="220"/>
      <c r="J94" s="250"/>
      <c r="K94" s="251"/>
      <c r="L94" s="251"/>
      <c r="M94" s="251"/>
      <c r="N94" s="251"/>
      <c r="O94" s="251"/>
      <c r="P94" s="251"/>
      <c r="Q94" s="251"/>
      <c r="R94" s="185" t="s">
        <v>58</v>
      </c>
      <c r="S94" s="249"/>
      <c r="T94" s="211"/>
    </row>
    <row r="95" spans="2:20" ht="15">
      <c r="B95" s="203"/>
      <c r="D95" s="725">
        <f ca="1">NOW()</f>
        <v>45903.548805439816</v>
      </c>
      <c r="G95" s="253"/>
      <c r="I95" s="220"/>
      <c r="J95" s="250"/>
      <c r="K95" s="251"/>
      <c r="L95" s="251"/>
      <c r="M95" s="251"/>
      <c r="N95" s="251"/>
      <c r="O95" s="251"/>
      <c r="P95" s="251"/>
      <c r="Q95" s="251"/>
      <c r="R95" s="251"/>
      <c r="T95" s="211"/>
    </row>
    <row r="96" spans="2:20" s="259" customFormat="1" ht="15">
      <c r="B96" s="212"/>
      <c r="C96" s="102"/>
      <c r="D96" s="102"/>
      <c r="E96" s="102"/>
      <c r="F96" s="102"/>
      <c r="G96" s="102"/>
      <c r="H96" s="102"/>
      <c r="I96" s="244"/>
      <c r="J96" s="255"/>
      <c r="K96" s="256"/>
      <c r="L96" s="256"/>
      <c r="M96" s="256"/>
      <c r="N96" s="256"/>
      <c r="O96" s="256"/>
      <c r="P96" s="256"/>
      <c r="Q96" s="256"/>
      <c r="R96" s="256"/>
      <c r="S96" s="257"/>
      <c r="T96" s="258"/>
    </row>
    <row r="97" spans="1:20" s="259" customFormat="1" ht="12" customHeight="1">
      <c r="B97" s="182"/>
      <c r="C97" s="36"/>
      <c r="D97" s="36"/>
      <c r="E97" s="36"/>
      <c r="F97" s="36"/>
      <c r="G97" s="36"/>
      <c r="H97" s="220"/>
      <c r="I97" s="220"/>
      <c r="J97" s="250"/>
      <c r="K97" s="251"/>
      <c r="L97" s="251"/>
      <c r="M97" s="251"/>
      <c r="N97" s="251"/>
      <c r="O97" s="251"/>
      <c r="P97" s="251"/>
      <c r="Q97" s="251"/>
      <c r="R97" s="251"/>
      <c r="S97" s="195"/>
      <c r="T97" s="195"/>
    </row>
    <row r="98" spans="1:20" ht="21" customHeight="1">
      <c r="B98" s="260"/>
      <c r="C98" s="261"/>
      <c r="D98" s="261" t="s">
        <v>40</v>
      </c>
      <c r="E98" s="262"/>
      <c r="F98" s="262"/>
      <c r="G98" s="262"/>
      <c r="H98" s="263"/>
      <c r="I98" s="264"/>
      <c r="J98" s="265"/>
      <c r="K98" s="265"/>
      <c r="L98" s="265"/>
      <c r="M98" s="265"/>
      <c r="N98" s="265"/>
      <c r="O98" s="265"/>
      <c r="P98" s="265"/>
      <c r="Q98" s="265"/>
      <c r="R98" s="265"/>
      <c r="S98" s="266"/>
      <c r="T98" s="267"/>
    </row>
    <row r="99" spans="1:20" ht="15">
      <c r="B99" s="268"/>
      <c r="C99" s="269"/>
      <c r="D99" s="269" t="s">
        <v>59</v>
      </c>
      <c r="E99" s="270"/>
      <c r="F99" s="270"/>
      <c r="G99" s="270"/>
      <c r="H99" s="271"/>
      <c r="I99" s="243"/>
      <c r="J99" s="272"/>
      <c r="K99" s="272"/>
      <c r="L99" s="272"/>
      <c r="M99" s="272"/>
      <c r="N99" s="272"/>
      <c r="O99" s="272"/>
      <c r="P99" s="272"/>
      <c r="Q99" s="272"/>
      <c r="R99" s="272"/>
      <c r="S99" s="272"/>
      <c r="T99" s="273"/>
    </row>
    <row r="100" spans="1:20" ht="15">
      <c r="B100" s="274"/>
      <c r="C100" s="275"/>
      <c r="D100" s="276"/>
      <c r="E100" s="188"/>
      <c r="F100" s="188"/>
      <c r="G100" s="188"/>
      <c r="H100" s="253"/>
      <c r="I100" s="245"/>
      <c r="J100" s="277"/>
      <c r="K100" s="277"/>
      <c r="L100" s="277"/>
      <c r="M100" s="277"/>
      <c r="N100" s="277"/>
      <c r="O100" s="277"/>
      <c r="P100" s="277"/>
      <c r="Q100" s="277"/>
      <c r="R100" s="277"/>
      <c r="S100" s="277"/>
      <c r="T100" s="278"/>
    </row>
    <row r="101" spans="1:20" ht="15">
      <c r="B101" s="203"/>
      <c r="D101" s="279" t="s">
        <v>60</v>
      </c>
      <c r="E101" s="310" t="str">
        <f>E61</f>
        <v xml:space="preserve">KK2 General Exhaust Replacement </v>
      </c>
      <c r="F101" s="308"/>
      <c r="G101" s="311"/>
      <c r="H101" s="312"/>
      <c r="I101" s="312"/>
      <c r="J101" s="308"/>
      <c r="K101" s="308"/>
      <c r="L101" s="308"/>
      <c r="M101" s="308"/>
      <c r="N101" s="308"/>
      <c r="O101" s="308"/>
      <c r="P101" s="308"/>
      <c r="Q101" s="308"/>
      <c r="R101" s="308"/>
      <c r="S101" s="134"/>
      <c r="T101" s="211"/>
    </row>
    <row r="102" spans="1:20" ht="15">
      <c r="B102" s="203"/>
      <c r="D102" s="279" t="s">
        <v>61</v>
      </c>
      <c r="E102" s="310" t="str">
        <f>E62</f>
        <v>Electrical Supply and Installation</v>
      </c>
      <c r="F102" s="308"/>
      <c r="G102" s="311"/>
      <c r="H102" s="312"/>
      <c r="I102" s="312"/>
      <c r="J102" s="308"/>
      <c r="K102" s="308"/>
      <c r="L102" s="308"/>
      <c r="M102" s="308"/>
      <c r="N102" s="308"/>
      <c r="O102" s="308"/>
      <c r="P102" s="308"/>
      <c r="Q102" s="308"/>
      <c r="R102" s="308"/>
      <c r="S102" s="134"/>
      <c r="T102" s="211"/>
    </row>
    <row r="103" spans="1:20" ht="15">
      <c r="B103" s="280"/>
      <c r="C103" s="281"/>
      <c r="D103" s="207" t="s">
        <v>49</v>
      </c>
      <c r="E103" s="310" t="str">
        <f>E64</f>
        <v>Tender</v>
      </c>
      <c r="F103" s="134"/>
      <c r="G103" s="134"/>
      <c r="H103" s="312"/>
      <c r="I103" s="312"/>
      <c r="J103" s="134"/>
      <c r="K103" s="134"/>
      <c r="L103" s="134"/>
      <c r="M103" s="134"/>
      <c r="N103" s="134"/>
      <c r="O103" s="134"/>
      <c r="P103" s="134"/>
      <c r="Q103" s="134"/>
      <c r="R103" s="134"/>
      <c r="S103" s="134"/>
      <c r="T103" s="211"/>
    </row>
    <row r="104" spans="1:20" ht="15">
      <c r="B104" s="280"/>
      <c r="C104" s="281"/>
      <c r="D104" s="282"/>
      <c r="F104" s="283"/>
      <c r="G104" s="180"/>
      <c r="H104" s="220"/>
      <c r="I104" s="220"/>
      <c r="T104" s="284"/>
    </row>
    <row r="105" spans="1:20">
      <c r="B105" s="285"/>
      <c r="C105" s="235"/>
      <c r="D105" s="235"/>
      <c r="E105" s="235"/>
      <c r="F105" s="286"/>
      <c r="G105" s="235"/>
      <c r="H105" s="235"/>
      <c r="I105" s="235"/>
      <c r="J105" s="235"/>
      <c r="K105" s="235"/>
      <c r="L105" s="235"/>
      <c r="M105" s="235"/>
      <c r="N105" s="235"/>
      <c r="O105" s="235"/>
      <c r="P105" s="235"/>
      <c r="Q105" s="286"/>
      <c r="R105" s="236"/>
      <c r="S105" s="236"/>
      <c r="T105" s="236"/>
    </row>
    <row r="106" spans="1:20">
      <c r="B106" s="203"/>
      <c r="D106" s="123" t="s">
        <v>62</v>
      </c>
      <c r="F106" s="428" t="s">
        <v>63</v>
      </c>
      <c r="G106" s="429"/>
      <c r="H106" s="430"/>
      <c r="I106" s="430"/>
      <c r="J106" s="430"/>
      <c r="K106" s="430"/>
      <c r="L106" s="430"/>
      <c r="M106" s="430"/>
      <c r="N106" s="430"/>
      <c r="O106" s="430"/>
      <c r="P106" s="431"/>
      <c r="Q106" s="428" t="s">
        <v>64</v>
      </c>
      <c r="R106" s="427" t="s">
        <v>65</v>
      </c>
      <c r="S106" s="427" t="s">
        <v>66</v>
      </c>
      <c r="T106" s="427" t="s">
        <v>67</v>
      </c>
    </row>
    <row r="107" spans="1:20" ht="13.8">
      <c r="B107" s="287"/>
      <c r="C107" s="288"/>
      <c r="D107" s="6"/>
      <c r="F107" s="428" t="s">
        <v>68</v>
      </c>
      <c r="G107" s="429"/>
      <c r="H107" s="430"/>
      <c r="I107" s="430"/>
      <c r="J107" s="430"/>
      <c r="K107" s="430"/>
      <c r="L107" s="430"/>
      <c r="M107" s="430"/>
      <c r="N107" s="430"/>
      <c r="O107" s="430"/>
      <c r="P107" s="432"/>
      <c r="Q107" s="428" t="s">
        <v>69</v>
      </c>
      <c r="R107" s="289" t="s">
        <v>240</v>
      </c>
      <c r="S107" s="458">
        <f>$D$9</f>
        <v>27.46</v>
      </c>
      <c r="T107" s="289" t="s">
        <v>242</v>
      </c>
    </row>
    <row r="108" spans="1:20">
      <c r="B108" s="508" t="s">
        <v>70</v>
      </c>
      <c r="C108" s="102"/>
      <c r="D108" s="380" t="s">
        <v>217</v>
      </c>
      <c r="E108" s="102"/>
      <c r="F108" s="290"/>
      <c r="P108" s="391" t="s">
        <v>26</v>
      </c>
      <c r="Q108" s="327">
        <v>1</v>
      </c>
      <c r="R108" s="213"/>
      <c r="S108" s="213"/>
      <c r="T108" s="213"/>
    </row>
    <row r="109" spans="1:20">
      <c r="A109" s="211"/>
      <c r="B109" s="527" t="s">
        <v>71</v>
      </c>
      <c r="C109" s="6" t="s">
        <v>72</v>
      </c>
      <c r="D109" s="36" t="s">
        <v>73</v>
      </c>
      <c r="E109" s="211"/>
      <c r="F109" s="399">
        <v>501</v>
      </c>
      <c r="G109" s="108"/>
      <c r="P109" s="389">
        <v>1</v>
      </c>
      <c r="Q109" s="291">
        <v>1</v>
      </c>
      <c r="R109" s="325">
        <f ca="1">Elec_Est!R126</f>
        <v>2142.4450000000006</v>
      </c>
      <c r="S109" s="426">
        <f ca="1">T109*$D$9</f>
        <v>514.875</v>
      </c>
      <c r="T109" s="325">
        <f ca="1">Elec_Est!T126</f>
        <v>18.75</v>
      </c>
    </row>
    <row r="110" spans="1:20">
      <c r="A110" s="211"/>
      <c r="B110" s="527">
        <v>2</v>
      </c>
      <c r="C110" s="6" t="s">
        <v>72</v>
      </c>
      <c r="D110" s="36" t="s">
        <v>74</v>
      </c>
      <c r="E110" s="211"/>
      <c r="F110" s="399">
        <v>505</v>
      </c>
      <c r="G110" s="108"/>
      <c r="P110" s="389">
        <v>1</v>
      </c>
      <c r="Q110" s="291">
        <v>1</v>
      </c>
      <c r="R110" s="325">
        <f>Elec_Est!R127</f>
        <v>0</v>
      </c>
      <c r="S110" s="426">
        <f t="shared" ref="S110:S164" si="15">T110*$D$9</f>
        <v>0</v>
      </c>
      <c r="T110" s="325">
        <f>Elec_Est!T127</f>
        <v>0</v>
      </c>
    </row>
    <row r="111" spans="1:20">
      <c r="A111" s="211"/>
      <c r="B111" s="527">
        <v>3</v>
      </c>
      <c r="C111" s="6" t="s">
        <v>72</v>
      </c>
      <c r="D111" s="36" t="s">
        <v>75</v>
      </c>
      <c r="E111" s="211"/>
      <c r="F111" s="399">
        <v>510</v>
      </c>
      <c r="G111" s="108"/>
      <c r="P111" s="389">
        <v>2</v>
      </c>
      <c r="Q111" s="291">
        <v>1</v>
      </c>
      <c r="R111" s="325">
        <f>Elec_Est!R128</f>
        <v>0</v>
      </c>
      <c r="S111" s="426">
        <f t="shared" si="15"/>
        <v>0</v>
      </c>
      <c r="T111" s="325">
        <f>Elec_Est!T128</f>
        <v>0</v>
      </c>
    </row>
    <row r="112" spans="1:20">
      <c r="A112" s="211"/>
      <c r="B112" s="527">
        <v>4</v>
      </c>
      <c r="C112" s="6" t="s">
        <v>72</v>
      </c>
      <c r="D112" s="36" t="s">
        <v>76</v>
      </c>
      <c r="E112" s="211"/>
      <c r="F112" s="399">
        <v>511</v>
      </c>
      <c r="G112" s="108"/>
      <c r="P112" s="389">
        <v>2</v>
      </c>
      <c r="Q112" s="291">
        <v>1</v>
      </c>
      <c r="R112" s="325">
        <f>Elec_Est!R129</f>
        <v>0</v>
      </c>
      <c r="S112" s="426">
        <f t="shared" si="15"/>
        <v>0</v>
      </c>
      <c r="T112" s="325">
        <f>Elec_Est!T129</f>
        <v>0</v>
      </c>
    </row>
    <row r="113" spans="1:26">
      <c r="A113" s="211"/>
      <c r="B113" s="527">
        <v>5</v>
      </c>
      <c r="C113" s="6" t="s">
        <v>72</v>
      </c>
      <c r="D113" s="36" t="s">
        <v>77</v>
      </c>
      <c r="E113" s="211"/>
      <c r="F113" s="399">
        <v>512</v>
      </c>
      <c r="G113" s="108"/>
      <c r="P113" s="389">
        <v>2</v>
      </c>
      <c r="Q113" s="291">
        <v>1</v>
      </c>
      <c r="R113" s="325">
        <f>Elec_Est!R130</f>
        <v>2629</v>
      </c>
      <c r="S113" s="426">
        <f t="shared" si="15"/>
        <v>834.15000000000009</v>
      </c>
      <c r="T113" s="325">
        <f>Elec_Est!T130</f>
        <v>30.376911871813547</v>
      </c>
    </row>
    <row r="114" spans="1:26">
      <c r="A114" s="211"/>
      <c r="B114" s="527">
        <v>6</v>
      </c>
      <c r="C114" s="6" t="s">
        <v>72</v>
      </c>
      <c r="D114" s="36" t="s">
        <v>78</v>
      </c>
      <c r="E114" s="211"/>
      <c r="F114" s="399">
        <v>520</v>
      </c>
      <c r="G114" s="108"/>
      <c r="P114" s="389">
        <v>1</v>
      </c>
      <c r="Q114" s="291">
        <v>1</v>
      </c>
      <c r="R114" s="325">
        <f>Elec_Est!R131</f>
        <v>0</v>
      </c>
      <c r="S114" s="426">
        <f t="shared" si="15"/>
        <v>0</v>
      </c>
      <c r="T114" s="325">
        <f>Elec_Est!T131</f>
        <v>0</v>
      </c>
    </row>
    <row r="115" spans="1:26">
      <c r="A115" s="211"/>
      <c r="B115" s="527">
        <v>7</v>
      </c>
      <c r="C115" s="6" t="s">
        <v>72</v>
      </c>
      <c r="D115" s="36" t="s">
        <v>79</v>
      </c>
      <c r="E115" s="211"/>
      <c r="F115" s="399">
        <v>530</v>
      </c>
      <c r="G115" s="108"/>
      <c r="P115" s="389">
        <v>2</v>
      </c>
      <c r="Q115" s="291">
        <v>1</v>
      </c>
      <c r="R115" s="325">
        <f>Elec_Est!R132</f>
        <v>0</v>
      </c>
      <c r="S115" s="426">
        <f t="shared" si="15"/>
        <v>0</v>
      </c>
      <c r="T115" s="325">
        <f>Elec_Est!T132</f>
        <v>0</v>
      </c>
    </row>
    <row r="116" spans="1:26">
      <c r="A116" s="211"/>
      <c r="B116" s="527">
        <v>8</v>
      </c>
      <c r="C116" s="6" t="s">
        <v>72</v>
      </c>
      <c r="D116" s="36" t="s">
        <v>80</v>
      </c>
      <c r="E116" s="211"/>
      <c r="F116" s="399">
        <v>550</v>
      </c>
      <c r="G116" s="108"/>
      <c r="P116" s="389">
        <v>2</v>
      </c>
      <c r="Q116" s="291">
        <v>1</v>
      </c>
      <c r="R116" s="325">
        <f>Elec_Est!R133</f>
        <v>0</v>
      </c>
      <c r="S116" s="426">
        <f t="shared" si="15"/>
        <v>0</v>
      </c>
      <c r="T116" s="325">
        <f>Elec_Est!T133</f>
        <v>0</v>
      </c>
    </row>
    <row r="117" spans="1:26">
      <c r="A117" s="211"/>
      <c r="B117" s="527">
        <v>9</v>
      </c>
      <c r="C117" s="6" t="s">
        <v>72</v>
      </c>
      <c r="D117" s="36" t="s">
        <v>81</v>
      </c>
      <c r="E117" s="211"/>
      <c r="F117" s="399">
        <v>570</v>
      </c>
      <c r="G117" s="108"/>
      <c r="P117" s="389">
        <v>2</v>
      </c>
      <c r="Q117" s="291">
        <v>1</v>
      </c>
      <c r="R117" s="325">
        <f>Elec_Est!R134</f>
        <v>0</v>
      </c>
      <c r="S117" s="426">
        <f t="shared" si="15"/>
        <v>0</v>
      </c>
      <c r="T117" s="325">
        <f>Elec_Est!T134</f>
        <v>0</v>
      </c>
    </row>
    <row r="118" spans="1:26">
      <c r="A118" s="211"/>
      <c r="B118" s="527">
        <v>10</v>
      </c>
      <c r="C118" s="6" t="s">
        <v>72</v>
      </c>
      <c r="D118" s="36" t="s">
        <v>82</v>
      </c>
      <c r="E118" s="211"/>
      <c r="F118" s="399">
        <v>615</v>
      </c>
      <c r="G118" s="108"/>
      <c r="P118" s="389">
        <v>2</v>
      </c>
      <c r="Q118" s="291">
        <v>1</v>
      </c>
      <c r="R118" s="325">
        <f>Elec_Est!R135</f>
        <v>0</v>
      </c>
      <c r="S118" s="426">
        <f t="shared" si="15"/>
        <v>0</v>
      </c>
      <c r="T118" s="325">
        <f>Elec_Est!T135</f>
        <v>0</v>
      </c>
      <c r="X118" s="616"/>
      <c r="Y118" s="723"/>
    </row>
    <row r="119" spans="1:26">
      <c r="A119" s="211"/>
      <c r="B119" s="527" t="s">
        <v>83</v>
      </c>
      <c r="C119" s="6" t="s">
        <v>72</v>
      </c>
      <c r="D119" s="36" t="s">
        <v>84</v>
      </c>
      <c r="E119" s="211"/>
      <c r="F119" s="399">
        <v>616</v>
      </c>
      <c r="G119" s="108"/>
      <c r="P119" s="389">
        <v>2</v>
      </c>
      <c r="Q119" s="291">
        <v>1</v>
      </c>
      <c r="R119" s="325">
        <f>Elec_Est!R136</f>
        <v>540</v>
      </c>
      <c r="S119" s="426">
        <f t="shared" si="15"/>
        <v>102.97500000000001</v>
      </c>
      <c r="T119" s="325">
        <f>Elec_Est!T136</f>
        <v>3.75</v>
      </c>
      <c r="X119" s="616"/>
      <c r="Y119" s="723"/>
    </row>
    <row r="120" spans="1:26">
      <c r="A120" s="211"/>
      <c r="B120" s="527">
        <v>12</v>
      </c>
      <c r="C120" s="6" t="s">
        <v>72</v>
      </c>
      <c r="D120" s="36" t="s">
        <v>85</v>
      </c>
      <c r="E120" s="211"/>
      <c r="F120" s="399">
        <v>617</v>
      </c>
      <c r="G120" s="108"/>
      <c r="P120" s="389">
        <v>2</v>
      </c>
      <c r="Q120" s="291">
        <v>1</v>
      </c>
      <c r="R120" s="325">
        <f>Elec_Est!R137</f>
        <v>0</v>
      </c>
      <c r="S120" s="426">
        <f t="shared" si="15"/>
        <v>0</v>
      </c>
      <c r="T120" s="325">
        <f>Elec_Est!T137</f>
        <v>0</v>
      </c>
      <c r="X120" s="616"/>
      <c r="Y120" s="723"/>
      <c r="Z120" s="723"/>
    </row>
    <row r="121" spans="1:26">
      <c r="A121" s="211"/>
      <c r="B121" s="527">
        <v>13</v>
      </c>
      <c r="C121" s="6" t="s">
        <v>72</v>
      </c>
      <c r="D121" s="36" t="s">
        <v>86</v>
      </c>
      <c r="E121" s="211"/>
      <c r="F121" s="399">
        <v>620</v>
      </c>
      <c r="G121" s="108"/>
      <c r="P121" s="389">
        <v>2</v>
      </c>
      <c r="Q121" s="291">
        <v>1</v>
      </c>
      <c r="R121" s="325">
        <f>Elec_Est!R138</f>
        <v>119</v>
      </c>
      <c r="S121" s="426">
        <f t="shared" si="15"/>
        <v>240.27500000000001</v>
      </c>
      <c r="T121" s="325">
        <f>Elec_Est!T138</f>
        <v>8.75</v>
      </c>
    </row>
    <row r="122" spans="1:26">
      <c r="A122" s="211"/>
      <c r="B122" s="527">
        <v>14</v>
      </c>
      <c r="C122" s="6" t="s">
        <v>72</v>
      </c>
      <c r="D122" s="36" t="s">
        <v>87</v>
      </c>
      <c r="E122" s="211"/>
      <c r="F122" s="399">
        <v>650</v>
      </c>
      <c r="G122" s="108"/>
      <c r="P122" s="389">
        <v>1</v>
      </c>
      <c r="Q122" s="291">
        <v>1</v>
      </c>
      <c r="R122" s="325">
        <f ca="1">Elec_Est!R139</f>
        <v>1683.0103500000005</v>
      </c>
      <c r="S122" s="426">
        <f t="shared" ca="1" si="15"/>
        <v>669.33749999999998</v>
      </c>
      <c r="T122" s="325">
        <f ca="1">Elec_Est!T139</f>
        <v>24.375</v>
      </c>
    </row>
    <row r="123" spans="1:26">
      <c r="A123" s="211"/>
      <c r="B123" s="527">
        <v>15</v>
      </c>
      <c r="C123" s="6" t="s">
        <v>72</v>
      </c>
      <c r="D123" s="36" t="s">
        <v>88</v>
      </c>
      <c r="E123" s="211"/>
      <c r="F123" s="399">
        <v>651</v>
      </c>
      <c r="G123" s="108"/>
      <c r="P123" s="389">
        <v>1</v>
      </c>
      <c r="Q123" s="291">
        <v>1</v>
      </c>
      <c r="R123" s="325">
        <f>Elec_Est!R140</f>
        <v>0</v>
      </c>
      <c r="S123" s="426">
        <f t="shared" si="15"/>
        <v>0</v>
      </c>
      <c r="T123" s="325">
        <f>Elec_Est!T140</f>
        <v>0</v>
      </c>
    </row>
    <row r="124" spans="1:26">
      <c r="A124" s="211"/>
      <c r="B124" s="527">
        <v>16</v>
      </c>
      <c r="C124" s="6" t="s">
        <v>72</v>
      </c>
      <c r="D124" s="36" t="s">
        <v>89</v>
      </c>
      <c r="E124" s="211"/>
      <c r="F124" s="399">
        <v>652</v>
      </c>
      <c r="G124" s="108"/>
      <c r="P124" s="389">
        <v>1</v>
      </c>
      <c r="Q124" s="291">
        <v>1</v>
      </c>
      <c r="R124" s="325">
        <f>Elec_Est!R141</f>
        <v>0</v>
      </c>
      <c r="S124" s="426">
        <f t="shared" si="15"/>
        <v>0</v>
      </c>
      <c r="T124" s="325">
        <f>Elec_Est!T141</f>
        <v>0</v>
      </c>
    </row>
    <row r="125" spans="1:26">
      <c r="A125" s="211"/>
      <c r="B125" s="527">
        <v>17</v>
      </c>
      <c r="C125" s="6" t="s">
        <v>72</v>
      </c>
      <c r="D125" s="36" t="s">
        <v>90</v>
      </c>
      <c r="E125" s="211"/>
      <c r="F125" s="399">
        <v>654</v>
      </c>
      <c r="G125" s="108"/>
      <c r="P125" s="389">
        <v>1</v>
      </c>
      <c r="Q125" s="291">
        <v>1</v>
      </c>
      <c r="R125" s="325">
        <f>Elec_Est!R142</f>
        <v>0</v>
      </c>
      <c r="S125" s="426">
        <f t="shared" si="15"/>
        <v>0</v>
      </c>
      <c r="T125" s="325">
        <f>Elec_Est!T142</f>
        <v>0</v>
      </c>
    </row>
    <row r="126" spans="1:26">
      <c r="A126" s="211"/>
      <c r="B126" s="527">
        <v>18</v>
      </c>
      <c r="C126" s="6" t="s">
        <v>72</v>
      </c>
      <c r="D126" s="36" t="s">
        <v>91</v>
      </c>
      <c r="E126" s="211"/>
      <c r="F126" s="399">
        <v>675</v>
      </c>
      <c r="G126" s="108"/>
      <c r="P126" s="389">
        <v>1</v>
      </c>
      <c r="Q126" s="291">
        <v>1</v>
      </c>
      <c r="R126" s="325">
        <f>Elec_Est!R143</f>
        <v>0</v>
      </c>
      <c r="S126" s="426">
        <f t="shared" si="15"/>
        <v>0</v>
      </c>
      <c r="T126" s="325">
        <f>Elec_Est!T143</f>
        <v>0</v>
      </c>
    </row>
    <row r="127" spans="1:26">
      <c r="A127" s="211"/>
      <c r="B127" s="527">
        <v>19</v>
      </c>
      <c r="C127" s="6" t="s">
        <v>72</v>
      </c>
      <c r="D127" s="36" t="s">
        <v>92</v>
      </c>
      <c r="E127" s="211"/>
      <c r="F127" s="399">
        <v>676</v>
      </c>
      <c r="G127" s="108"/>
      <c r="P127" s="389">
        <v>1</v>
      </c>
      <c r="Q127" s="291">
        <v>1</v>
      </c>
      <c r="R127" s="325">
        <f>Elec_Est!R144</f>
        <v>0</v>
      </c>
      <c r="S127" s="426">
        <f t="shared" si="15"/>
        <v>0</v>
      </c>
      <c r="T127" s="325">
        <f>Elec_Est!T144</f>
        <v>0</v>
      </c>
    </row>
    <row r="128" spans="1:26">
      <c r="A128" s="211"/>
      <c r="B128" s="527">
        <v>20</v>
      </c>
      <c r="C128" s="6" t="s">
        <v>72</v>
      </c>
      <c r="D128" s="36" t="s">
        <v>93</v>
      </c>
      <c r="E128" s="211"/>
      <c r="F128" s="399">
        <v>680</v>
      </c>
      <c r="G128" s="108"/>
      <c r="P128" s="389">
        <v>1</v>
      </c>
      <c r="Q128" s="291">
        <v>1</v>
      </c>
      <c r="R128" s="325">
        <f>Elec_Est!R145</f>
        <v>0</v>
      </c>
      <c r="S128" s="426">
        <f t="shared" si="15"/>
        <v>0</v>
      </c>
      <c r="T128" s="325">
        <f>Elec_Est!T145</f>
        <v>0</v>
      </c>
    </row>
    <row r="129" spans="1:20">
      <c r="A129" s="211"/>
      <c r="B129" s="527" t="s">
        <v>94</v>
      </c>
      <c r="C129" s="6" t="s">
        <v>72</v>
      </c>
      <c r="D129" s="36" t="s">
        <v>95</v>
      </c>
      <c r="E129" s="211"/>
      <c r="F129" s="399">
        <v>681</v>
      </c>
      <c r="G129" s="108"/>
      <c r="P129" s="389">
        <v>1</v>
      </c>
      <c r="Q129" s="291">
        <v>1</v>
      </c>
      <c r="R129" s="325">
        <f>Elec_Est!R146</f>
        <v>0</v>
      </c>
      <c r="S129" s="426">
        <f t="shared" si="15"/>
        <v>0</v>
      </c>
      <c r="T129" s="325">
        <f>Elec_Est!T146</f>
        <v>0</v>
      </c>
    </row>
    <row r="130" spans="1:20">
      <c r="A130" s="211"/>
      <c r="B130" s="527">
        <v>22</v>
      </c>
      <c r="C130" s="6" t="s">
        <v>72</v>
      </c>
      <c r="D130" s="36" t="s">
        <v>96</v>
      </c>
      <c r="E130" s="211"/>
      <c r="F130" s="399">
        <v>690</v>
      </c>
      <c r="G130" s="108"/>
      <c r="P130" s="389">
        <v>1</v>
      </c>
      <c r="Q130" s="291">
        <v>1</v>
      </c>
      <c r="R130" s="325">
        <f>Elec_Est!R147</f>
        <v>0</v>
      </c>
      <c r="S130" s="426">
        <f t="shared" si="15"/>
        <v>0</v>
      </c>
      <c r="T130" s="325">
        <f>Elec_Est!T147</f>
        <v>0</v>
      </c>
    </row>
    <row r="131" spans="1:20">
      <c r="A131" s="211"/>
      <c r="B131" s="527">
        <v>23</v>
      </c>
      <c r="C131" s="6" t="s">
        <v>72</v>
      </c>
      <c r="D131" s="36" t="s">
        <v>97</v>
      </c>
      <c r="E131" s="211"/>
      <c r="F131" s="399">
        <v>700</v>
      </c>
      <c r="G131" s="108"/>
      <c r="P131" s="389">
        <v>1</v>
      </c>
      <c r="Q131" s="291">
        <v>1</v>
      </c>
      <c r="R131" s="325">
        <f>Elec_Est!R148</f>
        <v>0</v>
      </c>
      <c r="S131" s="426">
        <f t="shared" si="15"/>
        <v>0</v>
      </c>
      <c r="T131" s="325">
        <f>Elec_Est!T148</f>
        <v>0</v>
      </c>
    </row>
    <row r="132" spans="1:20">
      <c r="A132" s="211"/>
      <c r="B132" s="527">
        <v>24</v>
      </c>
      <c r="C132" s="6" t="s">
        <v>72</v>
      </c>
      <c r="D132" s="36" t="s">
        <v>98</v>
      </c>
      <c r="E132" s="211"/>
      <c r="F132" s="399">
        <v>705</v>
      </c>
      <c r="G132" s="108"/>
      <c r="P132" s="389">
        <v>3</v>
      </c>
      <c r="Q132" s="291">
        <v>1</v>
      </c>
      <c r="R132" s="325">
        <f>Elec_Est!R149</f>
        <v>0</v>
      </c>
      <c r="S132" s="426">
        <f t="shared" si="15"/>
        <v>0</v>
      </c>
      <c r="T132" s="325">
        <f>Elec_Est!T149</f>
        <v>0</v>
      </c>
    </row>
    <row r="133" spans="1:20">
      <c r="A133" s="211"/>
      <c r="B133" s="527">
        <v>25</v>
      </c>
      <c r="C133" s="6" t="s">
        <v>72</v>
      </c>
      <c r="D133" s="36" t="s">
        <v>99</v>
      </c>
      <c r="E133" s="211"/>
      <c r="F133" s="399">
        <v>706</v>
      </c>
      <c r="G133" s="108"/>
      <c r="P133" s="389">
        <v>3</v>
      </c>
      <c r="Q133" s="291">
        <v>1</v>
      </c>
      <c r="R133" s="325">
        <f>Elec_Est!R150</f>
        <v>0</v>
      </c>
      <c r="S133" s="426">
        <f t="shared" si="15"/>
        <v>0</v>
      </c>
      <c r="T133" s="325">
        <f>Elec_Est!T150</f>
        <v>0</v>
      </c>
    </row>
    <row r="134" spans="1:20">
      <c r="A134" s="211"/>
      <c r="B134" s="527">
        <v>26</v>
      </c>
      <c r="C134" s="6" t="s">
        <v>72</v>
      </c>
      <c r="D134" s="36" t="s">
        <v>100</v>
      </c>
      <c r="E134" s="211"/>
      <c r="F134" s="399">
        <v>725</v>
      </c>
      <c r="G134" s="108"/>
      <c r="P134" s="389">
        <v>3</v>
      </c>
      <c r="Q134" s="291">
        <v>1</v>
      </c>
      <c r="R134" s="325">
        <f>Elec_Est!R151</f>
        <v>0</v>
      </c>
      <c r="S134" s="426">
        <f t="shared" si="15"/>
        <v>0</v>
      </c>
      <c r="T134" s="325">
        <f>Elec_Est!T151</f>
        <v>0</v>
      </c>
    </row>
    <row r="135" spans="1:20">
      <c r="A135" s="211"/>
      <c r="B135" s="527">
        <v>27</v>
      </c>
      <c r="C135" s="6" t="s">
        <v>72</v>
      </c>
      <c r="D135" s="36" t="s">
        <v>101</v>
      </c>
      <c r="E135" s="211"/>
      <c r="F135" s="399">
        <v>726</v>
      </c>
      <c r="G135" s="108"/>
      <c r="P135" s="389">
        <v>3</v>
      </c>
      <c r="Q135" s="291">
        <v>1</v>
      </c>
      <c r="R135" s="325">
        <f>Elec_Est!R152</f>
        <v>0</v>
      </c>
      <c r="S135" s="426">
        <f t="shared" si="15"/>
        <v>0</v>
      </c>
      <c r="T135" s="325">
        <f>Elec_Est!T152</f>
        <v>0</v>
      </c>
    </row>
    <row r="136" spans="1:20">
      <c r="A136" s="211"/>
      <c r="B136" s="527">
        <v>28</v>
      </c>
      <c r="C136" s="6" t="s">
        <v>72</v>
      </c>
      <c r="D136" s="36" t="s">
        <v>102</v>
      </c>
      <c r="E136" s="211"/>
      <c r="F136" s="399">
        <v>750</v>
      </c>
      <c r="G136" s="108"/>
      <c r="P136" s="389">
        <v>3</v>
      </c>
      <c r="Q136" s="291">
        <v>1</v>
      </c>
      <c r="R136" s="325">
        <f>Elec_Est!R153</f>
        <v>0</v>
      </c>
      <c r="S136" s="426">
        <f t="shared" si="15"/>
        <v>0</v>
      </c>
      <c r="T136" s="325">
        <f>Elec_Est!T153</f>
        <v>0</v>
      </c>
    </row>
    <row r="137" spans="1:20">
      <c r="A137" s="211"/>
      <c r="B137" s="527">
        <v>29</v>
      </c>
      <c r="C137" s="6" t="s">
        <v>72</v>
      </c>
      <c r="D137" s="36" t="s">
        <v>103</v>
      </c>
      <c r="E137" s="211"/>
      <c r="F137" s="399">
        <v>751</v>
      </c>
      <c r="G137" s="108"/>
      <c r="P137" s="389">
        <v>3</v>
      </c>
      <c r="Q137" s="291">
        <v>1</v>
      </c>
      <c r="R137" s="325">
        <f>Elec_Est!R154</f>
        <v>0</v>
      </c>
      <c r="S137" s="426">
        <f t="shared" si="15"/>
        <v>0</v>
      </c>
      <c r="T137" s="325">
        <f>Elec_Est!T154</f>
        <v>0</v>
      </c>
    </row>
    <row r="138" spans="1:20">
      <c r="A138" s="211"/>
      <c r="B138" s="527">
        <v>30</v>
      </c>
      <c r="C138" s="6" t="s">
        <v>72</v>
      </c>
      <c r="D138" s="36" t="s">
        <v>104</v>
      </c>
      <c r="E138" s="211"/>
      <c r="F138" s="399">
        <v>752</v>
      </c>
      <c r="G138" s="108"/>
      <c r="P138" s="389">
        <v>3</v>
      </c>
      <c r="Q138" s="291">
        <v>1</v>
      </c>
      <c r="R138" s="325">
        <f>Elec_Est!R155</f>
        <v>0</v>
      </c>
      <c r="S138" s="426">
        <f t="shared" si="15"/>
        <v>0</v>
      </c>
      <c r="T138" s="325">
        <f>Elec_Est!T155</f>
        <v>0</v>
      </c>
    </row>
    <row r="139" spans="1:20">
      <c r="A139" s="211"/>
      <c r="B139" s="527" t="s">
        <v>105</v>
      </c>
      <c r="C139" s="6" t="s">
        <v>72</v>
      </c>
      <c r="D139" s="616" t="s">
        <v>269</v>
      </c>
      <c r="E139" s="211"/>
      <c r="F139" s="399">
        <v>753</v>
      </c>
      <c r="G139" s="108"/>
      <c r="P139" s="389">
        <v>3</v>
      </c>
      <c r="Q139" s="291">
        <v>1</v>
      </c>
      <c r="R139" s="325">
        <f>Elec_Est!R156</f>
        <v>0</v>
      </c>
      <c r="S139" s="426">
        <f t="shared" si="15"/>
        <v>0</v>
      </c>
      <c r="T139" s="325">
        <f>Elec_Est!T156</f>
        <v>0</v>
      </c>
    </row>
    <row r="140" spans="1:20">
      <c r="A140" s="211"/>
      <c r="B140" s="527">
        <v>32</v>
      </c>
      <c r="C140" s="6" t="s">
        <v>72</v>
      </c>
      <c r="D140" s="36" t="s">
        <v>106</v>
      </c>
      <c r="E140" s="211"/>
      <c r="F140" s="399">
        <v>770</v>
      </c>
      <c r="G140" s="108"/>
      <c r="P140" s="389">
        <v>3</v>
      </c>
      <c r="Q140" s="291">
        <v>1</v>
      </c>
      <c r="R140" s="325">
        <f>Elec_Est!R157</f>
        <v>0</v>
      </c>
      <c r="S140" s="426">
        <f t="shared" si="15"/>
        <v>0</v>
      </c>
      <c r="T140" s="325">
        <f>Elec_Est!T157</f>
        <v>0</v>
      </c>
    </row>
    <row r="141" spans="1:20">
      <c r="A141" s="211"/>
      <c r="B141" s="527">
        <v>33</v>
      </c>
      <c r="C141" s="6" t="s">
        <v>72</v>
      </c>
      <c r="D141" s="36" t="s">
        <v>107</v>
      </c>
      <c r="E141" s="211"/>
      <c r="F141" s="399">
        <v>790</v>
      </c>
      <c r="G141" s="108"/>
      <c r="P141" s="389">
        <v>3</v>
      </c>
      <c r="Q141" s="291">
        <v>1</v>
      </c>
      <c r="R141" s="325">
        <f>Elec_Est!R158</f>
        <v>0</v>
      </c>
      <c r="S141" s="426">
        <f t="shared" si="15"/>
        <v>0</v>
      </c>
      <c r="T141" s="325">
        <f>Elec_Est!T158</f>
        <v>0</v>
      </c>
    </row>
    <row r="142" spans="1:20">
      <c r="A142" s="211"/>
      <c r="B142" s="527">
        <v>34</v>
      </c>
      <c r="C142" s="6" t="s">
        <v>72</v>
      </c>
      <c r="D142" s="36" t="s">
        <v>108</v>
      </c>
      <c r="E142" s="211"/>
      <c r="F142" s="399">
        <v>791</v>
      </c>
      <c r="G142" s="108"/>
      <c r="P142" s="389">
        <v>3</v>
      </c>
      <c r="Q142" s="291">
        <v>1</v>
      </c>
      <c r="R142" s="325">
        <f>Elec_Est!R159</f>
        <v>0</v>
      </c>
      <c r="S142" s="426">
        <f t="shared" si="15"/>
        <v>0</v>
      </c>
      <c r="T142" s="325">
        <f>Elec_Est!T159</f>
        <v>0</v>
      </c>
    </row>
    <row r="143" spans="1:20">
      <c r="A143" s="211"/>
      <c r="B143" s="527">
        <v>35</v>
      </c>
      <c r="C143" s="6" t="s">
        <v>72</v>
      </c>
      <c r="D143" s="36" t="s">
        <v>109</v>
      </c>
      <c r="E143" s="211"/>
      <c r="F143" s="399">
        <v>810</v>
      </c>
      <c r="G143" s="108"/>
      <c r="P143" s="389">
        <v>3</v>
      </c>
      <c r="Q143" s="291">
        <v>1</v>
      </c>
      <c r="R143" s="325">
        <f>Elec_Est!R160</f>
        <v>0</v>
      </c>
      <c r="S143" s="426">
        <f t="shared" si="15"/>
        <v>0</v>
      </c>
      <c r="T143" s="325">
        <f>Elec_Est!T160</f>
        <v>0</v>
      </c>
    </row>
    <row r="144" spans="1:20">
      <c r="A144" s="211"/>
      <c r="B144" s="527">
        <v>36</v>
      </c>
      <c r="C144" s="6" t="s">
        <v>72</v>
      </c>
      <c r="D144" s="36" t="s">
        <v>110</v>
      </c>
      <c r="E144" s="211"/>
      <c r="F144" s="399">
        <v>815</v>
      </c>
      <c r="G144" s="108"/>
      <c r="P144" s="389">
        <v>3</v>
      </c>
      <c r="Q144" s="291">
        <v>1</v>
      </c>
      <c r="R144" s="325">
        <f>Elec_Est!R161</f>
        <v>0</v>
      </c>
      <c r="S144" s="426">
        <f t="shared" si="15"/>
        <v>0</v>
      </c>
      <c r="T144" s="325">
        <f>Elec_Est!T161</f>
        <v>0</v>
      </c>
    </row>
    <row r="145" spans="1:20">
      <c r="A145" s="211"/>
      <c r="B145" s="527">
        <v>37</v>
      </c>
      <c r="C145" s="6" t="s">
        <v>72</v>
      </c>
      <c r="D145" s="36" t="s">
        <v>111</v>
      </c>
      <c r="E145" s="211"/>
      <c r="F145" s="399">
        <v>820</v>
      </c>
      <c r="G145" s="108"/>
      <c r="P145" s="389">
        <v>2</v>
      </c>
      <c r="Q145" s="291">
        <v>1</v>
      </c>
      <c r="R145" s="325">
        <f>Elec_Est!R162</f>
        <v>0</v>
      </c>
      <c r="S145" s="426">
        <f t="shared" si="15"/>
        <v>0</v>
      </c>
      <c r="T145" s="325">
        <f>Elec_Est!T162</f>
        <v>0</v>
      </c>
    </row>
    <row r="146" spans="1:20">
      <c r="A146" s="211"/>
      <c r="B146" s="527">
        <v>38</v>
      </c>
      <c r="C146" s="6" t="s">
        <v>72</v>
      </c>
      <c r="D146" s="36" t="s">
        <v>112</v>
      </c>
      <c r="E146" s="211"/>
      <c r="F146" s="399">
        <v>821</v>
      </c>
      <c r="G146" s="108"/>
      <c r="P146" s="389">
        <v>3</v>
      </c>
      <c r="Q146" s="291">
        <v>1</v>
      </c>
      <c r="R146" s="325">
        <f>Elec_Est!R163</f>
        <v>0</v>
      </c>
      <c r="S146" s="426">
        <f t="shared" si="15"/>
        <v>0</v>
      </c>
      <c r="T146" s="325">
        <f>Elec_Est!T163</f>
        <v>0</v>
      </c>
    </row>
    <row r="147" spans="1:20">
      <c r="A147" s="211"/>
      <c r="B147" s="527">
        <v>39</v>
      </c>
      <c r="C147" s="6" t="s">
        <v>72</v>
      </c>
      <c r="D147" s="36" t="s">
        <v>113</v>
      </c>
      <c r="E147" s="211"/>
      <c r="F147" s="399">
        <v>835</v>
      </c>
      <c r="G147" s="108"/>
      <c r="P147" s="389">
        <v>3</v>
      </c>
      <c r="Q147" s="291">
        <v>1</v>
      </c>
      <c r="R147" s="325">
        <f>Elec_Est!R164</f>
        <v>0</v>
      </c>
      <c r="S147" s="426">
        <f t="shared" si="15"/>
        <v>0</v>
      </c>
      <c r="T147" s="325">
        <f>Elec_Est!T164</f>
        <v>0</v>
      </c>
    </row>
    <row r="148" spans="1:20">
      <c r="A148" s="211"/>
      <c r="B148" s="527">
        <v>40</v>
      </c>
      <c r="C148" s="6" t="s">
        <v>72</v>
      </c>
      <c r="D148" s="36" t="s">
        <v>114</v>
      </c>
      <c r="E148" s="211"/>
      <c r="F148" s="399">
        <v>845</v>
      </c>
      <c r="G148" s="108"/>
      <c r="P148" s="389">
        <v>2</v>
      </c>
      <c r="Q148" s="291">
        <v>1</v>
      </c>
      <c r="R148" s="325">
        <f>Elec_Est!R165</f>
        <v>0</v>
      </c>
      <c r="S148" s="426">
        <f t="shared" si="15"/>
        <v>0</v>
      </c>
      <c r="T148" s="325">
        <f>Elec_Est!T165</f>
        <v>0</v>
      </c>
    </row>
    <row r="149" spans="1:20">
      <c r="A149" s="211"/>
      <c r="B149" s="527" t="s">
        <v>115</v>
      </c>
      <c r="C149" s="6" t="s">
        <v>72</v>
      </c>
      <c r="D149" s="36" t="s">
        <v>116</v>
      </c>
      <c r="E149" s="211"/>
      <c r="F149" s="399">
        <v>855</v>
      </c>
      <c r="G149" s="108"/>
      <c r="P149" s="389">
        <v>3</v>
      </c>
      <c r="Q149" s="291">
        <v>1</v>
      </c>
      <c r="R149" s="325">
        <f>Elec_Est!R166</f>
        <v>0</v>
      </c>
      <c r="S149" s="426">
        <f t="shared" si="15"/>
        <v>0</v>
      </c>
      <c r="T149" s="325">
        <f>Elec_Est!T166</f>
        <v>0</v>
      </c>
    </row>
    <row r="150" spans="1:20">
      <c r="A150" s="211"/>
      <c r="B150" s="527">
        <v>42</v>
      </c>
      <c r="C150" s="6" t="s">
        <v>72</v>
      </c>
      <c r="D150" s="36" t="s">
        <v>117</v>
      </c>
      <c r="E150" s="211"/>
      <c r="F150" s="399">
        <v>856</v>
      </c>
      <c r="G150" s="108"/>
      <c r="P150" s="389">
        <v>3</v>
      </c>
      <c r="Q150" s="291">
        <v>1</v>
      </c>
      <c r="R150" s="325">
        <f>Elec_Est!R167</f>
        <v>0</v>
      </c>
      <c r="S150" s="426">
        <f t="shared" si="15"/>
        <v>0</v>
      </c>
      <c r="T150" s="325">
        <f>Elec_Est!T167</f>
        <v>0</v>
      </c>
    </row>
    <row r="151" spans="1:20">
      <c r="A151" s="211"/>
      <c r="B151" s="527">
        <v>43</v>
      </c>
      <c r="C151" s="6" t="s">
        <v>72</v>
      </c>
      <c r="D151" s="36" t="s">
        <v>250</v>
      </c>
      <c r="E151" s="211"/>
      <c r="F151" s="399">
        <v>857</v>
      </c>
      <c r="G151" s="108"/>
      <c r="P151" s="389">
        <v>4</v>
      </c>
      <c r="Q151" s="291">
        <v>1</v>
      </c>
      <c r="R151" s="325">
        <f>Elec_Est!R168</f>
        <v>0</v>
      </c>
      <c r="S151" s="426">
        <f t="shared" si="15"/>
        <v>0</v>
      </c>
      <c r="T151" s="325">
        <f>Elec_Est!T168</f>
        <v>0</v>
      </c>
    </row>
    <row r="152" spans="1:20">
      <c r="A152" s="211"/>
      <c r="B152" s="527">
        <v>44</v>
      </c>
      <c r="C152" s="6" t="s">
        <v>72</v>
      </c>
      <c r="D152" s="36" t="s">
        <v>118</v>
      </c>
      <c r="E152" s="211"/>
      <c r="F152" s="399">
        <v>858</v>
      </c>
      <c r="G152" s="108"/>
      <c r="P152" s="389">
        <v>3</v>
      </c>
      <c r="Q152" s="291">
        <v>1</v>
      </c>
      <c r="R152" s="325">
        <f>Elec_Est!R169</f>
        <v>0</v>
      </c>
      <c r="S152" s="426">
        <f t="shared" si="15"/>
        <v>0</v>
      </c>
      <c r="T152" s="325">
        <f>Elec_Est!T169</f>
        <v>0</v>
      </c>
    </row>
    <row r="153" spans="1:20">
      <c r="A153" s="211"/>
      <c r="B153" s="527">
        <v>45</v>
      </c>
      <c r="C153" s="6" t="s">
        <v>72</v>
      </c>
      <c r="D153" s="36" t="s">
        <v>119</v>
      </c>
      <c r="E153" s="211"/>
      <c r="F153" s="399">
        <v>865</v>
      </c>
      <c r="G153" s="108"/>
      <c r="P153" s="389">
        <v>3</v>
      </c>
      <c r="Q153" s="291">
        <v>1</v>
      </c>
      <c r="R153" s="325">
        <f>Elec_Est!R170</f>
        <v>0</v>
      </c>
      <c r="S153" s="426">
        <f t="shared" si="15"/>
        <v>0</v>
      </c>
      <c r="T153" s="325">
        <f>Elec_Est!T170</f>
        <v>0</v>
      </c>
    </row>
    <row r="154" spans="1:20">
      <c r="A154" s="211"/>
      <c r="B154" s="527">
        <v>46</v>
      </c>
      <c r="C154" s="6" t="s">
        <v>72</v>
      </c>
      <c r="D154" s="36" t="s">
        <v>120</v>
      </c>
      <c r="E154" s="211"/>
      <c r="F154" s="399">
        <v>870</v>
      </c>
      <c r="G154" s="108"/>
      <c r="P154" s="389">
        <v>4</v>
      </c>
      <c r="Q154" s="291">
        <v>1</v>
      </c>
      <c r="R154" s="325">
        <f>Elec_Est!R171</f>
        <v>0</v>
      </c>
      <c r="S154" s="426">
        <f t="shared" si="15"/>
        <v>0</v>
      </c>
      <c r="T154" s="325">
        <f>Elec_Est!T171</f>
        <v>0</v>
      </c>
    </row>
    <row r="155" spans="1:20">
      <c r="A155" s="211"/>
      <c r="B155" s="527">
        <v>47</v>
      </c>
      <c r="C155" s="6" t="s">
        <v>72</v>
      </c>
      <c r="D155" s="36" t="s">
        <v>121</v>
      </c>
      <c r="E155" s="211"/>
      <c r="F155" s="399">
        <v>875</v>
      </c>
      <c r="G155" s="108"/>
      <c r="P155" s="389">
        <v>1</v>
      </c>
      <c r="Q155" s="291">
        <v>1</v>
      </c>
      <c r="R155" s="325">
        <f>Elec_Est!R172</f>
        <v>0</v>
      </c>
      <c r="S155" s="426">
        <f t="shared" si="15"/>
        <v>0</v>
      </c>
      <c r="T155" s="325">
        <f>Elec_Est!T172</f>
        <v>0</v>
      </c>
    </row>
    <row r="156" spans="1:20">
      <c r="A156" s="211"/>
      <c r="B156" s="527">
        <v>48</v>
      </c>
      <c r="C156" s="6" t="s">
        <v>72</v>
      </c>
      <c r="D156" s="36" t="s">
        <v>122</v>
      </c>
      <c r="E156" s="211"/>
      <c r="F156" s="399">
        <v>880</v>
      </c>
      <c r="G156" s="108"/>
      <c r="P156" s="389">
        <v>3</v>
      </c>
      <c r="Q156" s="291">
        <v>1</v>
      </c>
      <c r="R156" s="325">
        <f>Elec_Est!R173</f>
        <v>0</v>
      </c>
      <c r="S156" s="426">
        <f t="shared" si="15"/>
        <v>0</v>
      </c>
      <c r="T156" s="325">
        <f>Elec_Est!T173</f>
        <v>0</v>
      </c>
    </row>
    <row r="157" spans="1:20">
      <c r="A157" s="211"/>
      <c r="B157" s="527">
        <v>49</v>
      </c>
      <c r="C157" s="6" t="s">
        <v>72</v>
      </c>
      <c r="D157" s="36" t="s">
        <v>123</v>
      </c>
      <c r="E157" s="211"/>
      <c r="F157" s="399">
        <v>885</v>
      </c>
      <c r="G157" s="108"/>
      <c r="P157" s="389">
        <v>4</v>
      </c>
      <c r="Q157" s="291">
        <v>1</v>
      </c>
      <c r="R157" s="325">
        <f>Elec_Est!R174</f>
        <v>0</v>
      </c>
      <c r="S157" s="426">
        <f t="shared" si="15"/>
        <v>0</v>
      </c>
      <c r="T157" s="325">
        <f>Elec_Est!T174</f>
        <v>0</v>
      </c>
    </row>
    <row r="158" spans="1:20">
      <c r="A158" s="211"/>
      <c r="B158" s="527">
        <v>50</v>
      </c>
      <c r="C158" s="6" t="s">
        <v>72</v>
      </c>
      <c r="D158" s="36" t="s">
        <v>67</v>
      </c>
      <c r="E158" s="211"/>
      <c r="F158" s="399">
        <v>900</v>
      </c>
      <c r="G158" s="108"/>
      <c r="P158" s="389">
        <v>3</v>
      </c>
      <c r="Q158" s="291">
        <v>1</v>
      </c>
      <c r="R158" s="325">
        <f>Elec_Est!R175</f>
        <v>0</v>
      </c>
      <c r="S158" s="426">
        <f t="shared" si="15"/>
        <v>411.90000000000003</v>
      </c>
      <c r="T158" s="325">
        <f>Elec_Est!T175</f>
        <v>15</v>
      </c>
    </row>
    <row r="159" spans="1:20">
      <c r="A159" s="211"/>
      <c r="B159" s="527" t="s">
        <v>124</v>
      </c>
      <c r="C159" s="6" t="s">
        <v>72</v>
      </c>
      <c r="D159" s="36" t="s">
        <v>125</v>
      </c>
      <c r="E159" s="211"/>
      <c r="F159" s="399">
        <v>901</v>
      </c>
      <c r="G159" s="108"/>
      <c r="P159" s="389">
        <v>1</v>
      </c>
      <c r="Q159" s="291">
        <v>1</v>
      </c>
      <c r="R159" s="325">
        <f>Elec_Est!R176</f>
        <v>0</v>
      </c>
      <c r="S159" s="426">
        <f t="shared" si="15"/>
        <v>0</v>
      </c>
      <c r="T159" s="325">
        <f>Elec_Est!T176</f>
        <v>0</v>
      </c>
    </row>
    <row r="160" spans="1:20">
      <c r="A160" s="211"/>
      <c r="B160" s="527">
        <v>52</v>
      </c>
      <c r="C160" s="6" t="s">
        <v>72</v>
      </c>
      <c r="D160" s="36" t="s">
        <v>126</v>
      </c>
      <c r="E160" s="211"/>
      <c r="F160" s="399">
        <v>902</v>
      </c>
      <c r="G160" s="108"/>
      <c r="P160" s="389">
        <v>3</v>
      </c>
      <c r="Q160" s="291">
        <v>1</v>
      </c>
      <c r="R160" s="325">
        <f>Elec_Est!R177</f>
        <v>0</v>
      </c>
      <c r="S160" s="426">
        <f t="shared" si="15"/>
        <v>0</v>
      </c>
      <c r="T160" s="325">
        <f>Elec_Est!T177</f>
        <v>0</v>
      </c>
    </row>
    <row r="161" spans="1:28">
      <c r="A161" s="211"/>
      <c r="B161" s="527">
        <v>53</v>
      </c>
      <c r="C161" s="6" t="s">
        <v>72</v>
      </c>
      <c r="D161" s="112" t="s">
        <v>127</v>
      </c>
      <c r="E161" s="211"/>
      <c r="F161" s="399">
        <v>960</v>
      </c>
      <c r="G161" s="108"/>
      <c r="P161" s="389">
        <v>4</v>
      </c>
      <c r="Q161" s="291">
        <v>1</v>
      </c>
      <c r="R161" s="325">
        <f ca="1">Elec_Est!R178</f>
        <v>100</v>
      </c>
      <c r="S161" s="426">
        <f t="shared" ca="1" si="15"/>
        <v>0</v>
      </c>
      <c r="T161" s="325">
        <f ca="1">Elec_Est!T178</f>
        <v>0</v>
      </c>
    </row>
    <row r="162" spans="1:28">
      <c r="A162" s="211"/>
      <c r="B162" s="527">
        <v>54</v>
      </c>
      <c r="C162" s="6" t="s">
        <v>72</v>
      </c>
      <c r="D162" s="112" t="s">
        <v>128</v>
      </c>
      <c r="E162" s="211"/>
      <c r="F162" s="399">
        <v>961</v>
      </c>
      <c r="G162" s="108"/>
      <c r="P162" s="389">
        <v>3</v>
      </c>
      <c r="Q162" s="291">
        <v>1</v>
      </c>
      <c r="R162" s="325">
        <f>Elec_Est!R179</f>
        <v>0</v>
      </c>
      <c r="S162" s="426">
        <f t="shared" si="15"/>
        <v>0</v>
      </c>
      <c r="T162" s="325">
        <f>Elec_Est!T179</f>
        <v>0</v>
      </c>
    </row>
    <row r="163" spans="1:28">
      <c r="A163" s="211"/>
      <c r="B163" s="527">
        <v>55</v>
      </c>
      <c r="C163" s="6" t="s">
        <v>72</v>
      </c>
      <c r="D163" s="112" t="s">
        <v>129</v>
      </c>
      <c r="E163" s="211"/>
      <c r="F163" s="399">
        <v>962</v>
      </c>
      <c r="G163" s="108"/>
      <c r="P163" s="389">
        <v>1</v>
      </c>
      <c r="Q163" s="291">
        <v>1</v>
      </c>
      <c r="R163" s="325">
        <f>Elec_Est!R180</f>
        <v>0</v>
      </c>
      <c r="S163" s="426">
        <f t="shared" si="15"/>
        <v>0</v>
      </c>
      <c r="T163" s="325">
        <f>Elec_Est!T180</f>
        <v>0</v>
      </c>
    </row>
    <row r="164" spans="1:28">
      <c r="A164" s="211"/>
      <c r="B164" s="527">
        <v>56</v>
      </c>
      <c r="C164" s="6" t="s">
        <v>72</v>
      </c>
      <c r="D164" s="292" t="s">
        <v>130</v>
      </c>
      <c r="E164" s="211"/>
      <c r="F164" s="399">
        <v>970</v>
      </c>
      <c r="G164" s="293"/>
      <c r="H164" s="102"/>
      <c r="I164" s="102"/>
      <c r="J164" s="294"/>
      <c r="K164" s="294"/>
      <c r="L164" s="294"/>
      <c r="M164" s="294"/>
      <c r="N164" s="294"/>
      <c r="O164" s="294"/>
      <c r="P164" s="390">
        <v>4</v>
      </c>
      <c r="Q164" s="295">
        <v>1</v>
      </c>
      <c r="R164" s="325">
        <f>Elec_Est!R181</f>
        <v>0</v>
      </c>
      <c r="S164" s="426">
        <f t="shared" si="15"/>
        <v>0</v>
      </c>
      <c r="T164" s="325">
        <f>Elec_Est!T181</f>
        <v>0</v>
      </c>
    </row>
    <row r="165" spans="1:28" ht="13.8" thickBot="1">
      <c r="A165" s="211"/>
      <c r="B165" s="398"/>
      <c r="C165" s="296"/>
      <c r="D165" s="297" t="s">
        <v>181</v>
      </c>
      <c r="E165" s="298"/>
      <c r="F165" s="130"/>
      <c r="G165" s="117"/>
      <c r="H165" s="117"/>
      <c r="I165" s="117"/>
      <c r="J165" s="299"/>
      <c r="K165" s="299"/>
      <c r="L165" s="299"/>
      <c r="M165" s="299"/>
      <c r="N165" s="299"/>
      <c r="O165" s="299"/>
      <c r="P165" s="299"/>
      <c r="Q165" s="300"/>
      <c r="R165" s="324">
        <f ca="1">SUM(R109:R164)</f>
        <v>7213.4553500000011</v>
      </c>
      <c r="S165" s="324">
        <f ca="1">SUM(S109:S164)</f>
        <v>2773.5125000000003</v>
      </c>
      <c r="T165" s="324">
        <f ca="1">SUM(T109:T164)</f>
        <v>101.00191187181355</v>
      </c>
    </row>
    <row r="166" spans="1:28" ht="14.4" hidden="1" thickTop="1">
      <c r="A166" s="107"/>
      <c r="B166" s="387"/>
      <c r="C166" s="6" t="s">
        <v>72</v>
      </c>
      <c r="D166" s="123"/>
      <c r="F166" s="124" t="s">
        <v>157</v>
      </c>
      <c r="G166" s="125"/>
      <c r="H166" s="36">
        <v>1</v>
      </c>
      <c r="O166" s="109"/>
      <c r="R166" s="395">
        <f ca="1">SUMIF($P109:$P164,1,R109:R164)</f>
        <v>3825.4553500000011</v>
      </c>
      <c r="T166" s="393">
        <f ca="1">SUMIF($P109:$P164,1,T109:T164)</f>
        <v>43.125</v>
      </c>
      <c r="V166" s="359"/>
      <c r="W166" s="359"/>
      <c r="X166" s="359"/>
      <c r="Y166" s="359"/>
      <c r="Z166" s="359"/>
      <c r="AA166" s="359"/>
      <c r="AB166" s="359"/>
    </row>
    <row r="167" spans="1:28" ht="13.8" hidden="1">
      <c r="A167" s="107"/>
      <c r="B167" s="237"/>
      <c r="C167" s="6" t="s">
        <v>72</v>
      </c>
      <c r="D167" s="123"/>
      <c r="F167" s="124" t="s">
        <v>158</v>
      </c>
      <c r="G167" s="125"/>
      <c r="H167" s="36">
        <v>2</v>
      </c>
      <c r="O167" s="109"/>
      <c r="R167" s="395">
        <f>SUMIF($P109:$P164,2,R109:R164)</f>
        <v>3288</v>
      </c>
      <c r="T167" s="394">
        <f>SUMIF($P109:$P164,2,T109:T164)</f>
        <v>42.876911871813547</v>
      </c>
      <c r="V167" s="359"/>
      <c r="W167" s="359"/>
      <c r="X167" s="359"/>
      <c r="Y167" s="359"/>
      <c r="Z167" s="359"/>
      <c r="AA167" s="359"/>
      <c r="AB167" s="359"/>
    </row>
    <row r="168" spans="1:28" ht="13.8" hidden="1">
      <c r="A168" s="107"/>
      <c r="B168" s="237"/>
      <c r="C168" s="6" t="s">
        <v>72</v>
      </c>
      <c r="D168" s="123"/>
      <c r="F168" s="124" t="s">
        <v>159</v>
      </c>
      <c r="G168" s="125"/>
      <c r="H168" s="36">
        <v>2</v>
      </c>
      <c r="O168" s="109"/>
      <c r="R168" s="395">
        <f>SUMIF($P109:$P164,3,R109:R164)</f>
        <v>0</v>
      </c>
      <c r="T168" s="394">
        <f>SUMIF($P109:$P164,3,T109:T164)</f>
        <v>15</v>
      </c>
      <c r="V168" s="359"/>
      <c r="W168" s="359"/>
      <c r="X168" s="359"/>
      <c r="Y168" s="359"/>
      <c r="Z168" s="359"/>
      <c r="AA168" s="359"/>
      <c r="AB168" s="359"/>
    </row>
    <row r="169" spans="1:28" ht="13.8" hidden="1">
      <c r="A169" s="107"/>
      <c r="B169" s="237"/>
      <c r="C169" s="6" t="s">
        <v>72</v>
      </c>
      <c r="D169" s="123"/>
      <c r="F169" s="124" t="s">
        <v>160</v>
      </c>
      <c r="G169" s="125"/>
      <c r="H169" s="36">
        <v>3</v>
      </c>
      <c r="O169" s="109"/>
      <c r="R169" s="395">
        <f ca="1">SUMIF($P109:$P164,4,R109:R164)</f>
        <v>100</v>
      </c>
      <c r="T169" s="394">
        <f ca="1">SUMIF($P109:$P164,4,T109:T164)</f>
        <v>0</v>
      </c>
      <c r="V169" s="359"/>
      <c r="W169" s="359"/>
      <c r="X169" s="359"/>
      <c r="Y169" s="359"/>
      <c r="Z169" s="359"/>
      <c r="AA169" s="359"/>
      <c r="AB169" s="359"/>
    </row>
    <row r="170" spans="1:28" ht="14.4" hidden="1" thickBot="1">
      <c r="A170" s="107"/>
      <c r="B170" s="388"/>
      <c r="C170" s="115" t="s">
        <v>72</v>
      </c>
      <c r="D170" s="127"/>
      <c r="E170" s="117"/>
      <c r="F170" s="128" t="s">
        <v>161</v>
      </c>
      <c r="G170" s="129"/>
      <c r="H170" s="130"/>
      <c r="I170" s="130"/>
      <c r="J170" s="130"/>
      <c r="K170" s="130"/>
      <c r="L170" s="130"/>
      <c r="M170" s="130"/>
      <c r="N170" s="130"/>
      <c r="O170" s="131"/>
      <c r="P170" s="130"/>
      <c r="Q170" s="130"/>
      <c r="R170" s="396">
        <f ca="1">SUM(R166:R169)</f>
        <v>7213.4553500000011</v>
      </c>
      <c r="S170" s="133"/>
      <c r="T170" s="397">
        <f ca="1">SUM(T166:T169)</f>
        <v>101.00191187181355</v>
      </c>
      <c r="V170" s="359"/>
      <c r="W170" s="359"/>
      <c r="X170" s="359"/>
      <c r="Y170" s="359"/>
      <c r="Z170" s="359"/>
      <c r="AA170" s="359"/>
      <c r="AB170" s="359"/>
    </row>
    <row r="171" spans="1:28" ht="14.4" thickTop="1">
      <c r="B171" s="36"/>
      <c r="E171" s="193"/>
      <c r="F171" s="194"/>
      <c r="G171" s="178"/>
      <c r="H171" s="178"/>
      <c r="I171" s="178"/>
      <c r="J171" s="178"/>
      <c r="K171" s="178"/>
      <c r="L171" s="178"/>
      <c r="M171" s="178"/>
      <c r="N171" s="178"/>
      <c r="O171" s="178"/>
      <c r="P171" s="178"/>
      <c r="Q171" s="194"/>
      <c r="R171" s="194"/>
      <c r="S171" s="194"/>
      <c r="T171" s="194"/>
    </row>
    <row r="172" spans="1:28">
      <c r="C172" s="34"/>
      <c r="D172" s="34"/>
      <c r="E172" s="34"/>
      <c r="F172" s="34"/>
      <c r="G172" s="34"/>
      <c r="J172" s="34"/>
      <c r="K172" s="34"/>
      <c r="L172" s="34"/>
      <c r="M172" s="34"/>
      <c r="N172" s="34"/>
      <c r="O172" s="34"/>
      <c r="P172" s="34"/>
      <c r="Q172" s="34"/>
      <c r="R172" s="34"/>
      <c r="S172" s="34"/>
      <c r="T172" s="34"/>
    </row>
    <row r="173" spans="1:28">
      <c r="D173" s="36" t="s">
        <v>57</v>
      </c>
      <c r="E173" s="10"/>
      <c r="F173" s="188"/>
      <c r="G173" s="2"/>
      <c r="S173" s="33"/>
      <c r="T173" s="33"/>
    </row>
    <row r="174" spans="1:28" ht="15.6">
      <c r="D174" s="254" t="s">
        <v>326</v>
      </c>
    </row>
    <row r="175" spans="1:28">
      <c r="D175" s="301">
        <f ca="1">D95</f>
        <v>45903.548805439816</v>
      </c>
    </row>
    <row r="176" spans="1:28">
      <c r="A176" s="34"/>
    </row>
  </sheetData>
  <sheetProtection formatCells="0" formatColumns="0" formatRows="0" insertHyperlinks="0"/>
  <mergeCells count="14">
    <mergeCell ref="D1:E1"/>
    <mergeCell ref="D2:E2"/>
    <mergeCell ref="D3:E3"/>
    <mergeCell ref="B16:E17"/>
    <mergeCell ref="B14:E15"/>
    <mergeCell ref="B18:E18"/>
    <mergeCell ref="D84:E84"/>
    <mergeCell ref="B57:T57"/>
    <mergeCell ref="B58:T58"/>
    <mergeCell ref="A55:B55"/>
    <mergeCell ref="A48:S48"/>
    <mergeCell ref="Q18:T18"/>
    <mergeCell ref="A47:S47"/>
    <mergeCell ref="B19:E19"/>
  </mergeCells>
  <phoneticPr fontId="37" type="noConversion"/>
  <conditionalFormatting sqref="B11">
    <cfRule type="cellIs" dxfId="20" priority="15" stopIfTrue="1" operator="equal">
      <formula>"CHECKLIST IS INCOMPLETE !"</formula>
    </cfRule>
    <cfRule type="cellIs" dxfId="19" priority="16" stopIfTrue="1" operator="equal">
      <formula>"CHECKLIST OK"</formula>
    </cfRule>
  </conditionalFormatting>
  <conditionalFormatting sqref="B14">
    <cfRule type="cellIs" dxfId="18" priority="7" stopIfTrue="1" operator="equal">
      <formula>"QUOTE ISSUED WITH                    VAT INCLUDED"</formula>
    </cfRule>
    <cfRule type="cellIs" dxfId="17" priority="8" stopIfTrue="1" operator="notEqual">
      <formula>"QUOTE ISSUED WITH                    VAT INCLUDED"</formula>
    </cfRule>
  </conditionalFormatting>
  <conditionalFormatting sqref="B35">
    <cfRule type="cellIs" dxfId="16" priority="19" stopIfTrue="1" operator="notEqual">
      <formula>ROUND($E$35,2)</formula>
    </cfRule>
  </conditionalFormatting>
  <conditionalFormatting sqref="B18:E18">
    <cfRule type="cellIs" dxfId="15" priority="17" stopIfTrue="1" operator="equal">
      <formula>"CHECKLIST INCOMPLETE !"</formula>
    </cfRule>
  </conditionalFormatting>
  <conditionalFormatting sqref="D6 E37">
    <cfRule type="cellIs" dxfId="14" priority="1" stopIfTrue="1" operator="equal">
      <formula>"VAT INCLUDED"</formula>
    </cfRule>
    <cfRule type="cellIs" dxfId="13" priority="2" stopIfTrue="1" operator="equal">
      <formula>"VAT EXCL."</formula>
    </cfRule>
  </conditionalFormatting>
  <conditionalFormatting sqref="E36">
    <cfRule type="cellIs" dxfId="12" priority="10" stopIfTrue="1" operator="equal">
      <formula>"Final Sell Curr?"</formula>
    </cfRule>
  </conditionalFormatting>
  <conditionalFormatting sqref="E24:F32 R24:R32 T24:T32">
    <cfRule type="cellIs" dxfId="11" priority="18" stopIfTrue="1" operator="equal">
      <formula>0</formula>
    </cfRule>
  </conditionalFormatting>
  <conditionalFormatting sqref="F11">
    <cfRule type="cellIs" dxfId="10" priority="14" stopIfTrue="1" operator="equal">
      <formula>"CHECKLIST IS STILL INCOMPLETE"</formula>
    </cfRule>
  </conditionalFormatting>
  <conditionalFormatting sqref="Q1">
    <cfRule type="cellIs" dxfId="9" priority="9" stopIfTrue="1" operator="notEqual">
      <formula>"€"</formula>
    </cfRule>
  </conditionalFormatting>
  <conditionalFormatting sqref="Q2:Q12 Q23:Q32">
    <cfRule type="cellIs" dxfId="8" priority="3" stopIfTrue="1" operator="greaterThan">
      <formula>0</formula>
    </cfRule>
    <cfRule type="cellIs" dxfId="7" priority="4" stopIfTrue="1" operator="equal">
      <formula>0</formula>
    </cfRule>
  </conditionalFormatting>
  <conditionalFormatting sqref="S1">
    <cfRule type="cellIs" dxfId="6" priority="12" stopIfTrue="1" operator="notEqual">
      <formula>"R"</formula>
    </cfRule>
    <cfRule type="cellIs" dxfId="5" priority="13" stopIfTrue="1" operator="equal">
      <formula>"R"</formula>
    </cfRule>
  </conditionalFormatting>
  <conditionalFormatting sqref="S39">
    <cfRule type="cellIs" dxfId="4" priority="11" stopIfTrue="1" operator="notEqual">
      <formula>"PRINT"</formula>
    </cfRule>
  </conditionalFormatting>
  <conditionalFormatting sqref="S2:T11">
    <cfRule type="cellIs" dxfId="3" priority="5" stopIfTrue="1" operator="greaterThan">
      <formula>0</formula>
    </cfRule>
    <cfRule type="cellIs" dxfId="2" priority="6" stopIfTrue="1" operator="equal">
      <formula>0</formula>
    </cfRule>
  </conditionalFormatting>
  <dataValidations xWindow="275" yWindow="522" count="8">
    <dataValidation type="list" allowBlank="1" showInputMessage="1" showErrorMessage="1" sqref="D6" xr:uid="{00000000-0002-0000-0100-000001000000}">
      <formula1>"VAT EXCL., VAT INCLUDED, VAT IN MARKUPS"</formula1>
    </dataValidation>
    <dataValidation type="list" allowBlank="1" showInputMessage="1" showErrorMessage="1" sqref="W1" xr:uid="{00000000-0002-0000-0100-000002000000}">
      <formula1>"BOQ,TDWG,ACT,DIF_TD,DIF_A"</formula1>
    </dataValidation>
    <dataValidation type="textLength" showInputMessage="1" showErrorMessage="1" sqref="S1" xr:uid="{00000000-0002-0000-0100-000003000000}">
      <formula1>1</formula1>
      <formula2>20</formula2>
    </dataValidation>
    <dataValidation type="list" allowBlank="1" showErrorMessage="1" promptTitle="Recon Button" prompt="Select &lt;Test for 0.00&gt; and confirm that DiscyT are both 0.00, then make sure that you select PRINT again before printing." sqref="S39" xr:uid="{00000000-0002-0000-0100-000004000000}">
      <formula1>"PRINT,Test for 0.00,"</formula1>
    </dataValidation>
    <dataValidation type="list" allowBlank="1" showInputMessage="1" showErrorMessage="1" sqref="A33" xr:uid="{00000000-0002-0000-0100-000005000000}">
      <formula1>"MIXED, ,"</formula1>
    </dataValidation>
    <dataValidation type="list" allowBlank="1" showInputMessage="1" showErrorMessage="1" sqref="Q1" xr:uid="{00000000-0002-0000-0100-000006000000}">
      <formula1>"Lm,€,$US,CIF,LibDin,"</formula1>
    </dataValidation>
    <dataValidation type="list" allowBlank="1" showInputMessage="1" showErrorMessage="1" sqref="D8" xr:uid="{79BB1C5A-4057-4856-AD50-E38F3C3B90AB}">
      <formula1>"M.Scicluna,Umut Kaymak,,T.Sammut,R.Farrugia,G.Mifsud,C.Gidulski,R.Raphel"</formula1>
    </dataValidation>
    <dataValidation type="list" allowBlank="1" showInputMessage="1" showErrorMessage="1" promptTitle="ATTENTION" prompt="-------------------_x000a_€22.96 for 2013_x000a_€23.02 for 2014_x000a_€23.52 for 2015_x000a_€22.42 for 2016_x000a_€21.57 for 2016/05_x000a_€24.39 for 2018_x000a_€23.36 for 2018/09_x000a_€23.23 for 2019_x000a_€23.75 for 2021_x000a_€23.95 for 2022_x000a_€24.50 for 2023_x000a_€26.30 for 2024_x000a_€27.46 for 2025" sqref="D9" xr:uid="{C8843AB4-81F5-4385-889F-B10C7FAE46A7}">
      <formula1>"27.46,24.50,23.95,22.96,23.02,23.52,22.42,21.57,24.39,23.36,23.23,24.10,23.75,26.30,not used"</formula1>
    </dataValidation>
  </dataValidations>
  <pageMargins left="0.26" right="0.19685039370078741" top="0.48" bottom="0.34" header="0.3" footer="0.19685039370078741"/>
  <pageSetup paperSize="9" fitToHeight="0" orientation="portrait" r:id="rId1"/>
  <headerFooter alignWithMargins="0">
    <oddFooter>Page &amp;P</oddFooter>
  </headerFooter>
  <rowBreaks count="2" manualBreakCount="2">
    <brk id="56" max="16383" man="1"/>
    <brk id="96"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1272" r:id="rId4" name="Check Box 248">
              <controlPr defaultSize="0" autoFill="0" autoLine="0" autoPict="0">
                <anchor moveWithCells="1">
                  <from>
                    <xdr:col>0</xdr:col>
                    <xdr:colOff>0</xdr:colOff>
                    <xdr:row>1</xdr:row>
                    <xdr:rowOff>106680</xdr:rowOff>
                  </from>
                  <to>
                    <xdr:col>1</xdr:col>
                    <xdr:colOff>266700</xdr:colOff>
                    <xdr:row>2</xdr:row>
                    <xdr:rowOff>45720</xdr:rowOff>
                  </to>
                </anchor>
              </controlPr>
            </control>
          </mc:Choice>
        </mc:AlternateContent>
        <mc:AlternateContent xmlns:mc="http://schemas.openxmlformats.org/markup-compatibility/2006">
          <mc:Choice Requires="x14">
            <control shapeId="1273" r:id="rId5" name="Check Box 249">
              <controlPr defaultSize="0" autoFill="0" autoLine="0" autoPict="0">
                <anchor moveWithCells="1">
                  <from>
                    <xdr:col>0</xdr:col>
                    <xdr:colOff>0</xdr:colOff>
                    <xdr:row>2</xdr:row>
                    <xdr:rowOff>0</xdr:rowOff>
                  </from>
                  <to>
                    <xdr:col>0</xdr:col>
                    <xdr:colOff>525780</xdr:colOff>
                    <xdr:row>2</xdr:row>
                    <xdr:rowOff>220980</xdr:rowOff>
                  </to>
                </anchor>
              </controlPr>
            </control>
          </mc:Choice>
        </mc:AlternateContent>
        <mc:AlternateContent xmlns:mc="http://schemas.openxmlformats.org/markup-compatibility/2006">
          <mc:Choice Requires="x14">
            <control shapeId="1274" r:id="rId6" name="Check Box 250">
              <controlPr defaultSize="0" autoFill="0" autoLine="0" autoPict="0">
                <anchor moveWithCells="1">
                  <from>
                    <xdr:col>0</xdr:col>
                    <xdr:colOff>0</xdr:colOff>
                    <xdr:row>2</xdr:row>
                    <xdr:rowOff>182880</xdr:rowOff>
                  </from>
                  <to>
                    <xdr:col>1</xdr:col>
                    <xdr:colOff>137160</xdr:colOff>
                    <xdr:row>3</xdr:row>
                    <xdr:rowOff>137160</xdr:rowOff>
                  </to>
                </anchor>
              </controlPr>
            </control>
          </mc:Choice>
        </mc:AlternateContent>
        <mc:AlternateContent xmlns:mc="http://schemas.openxmlformats.org/markup-compatibility/2006">
          <mc:Choice Requires="x14">
            <control shapeId="1275" r:id="rId7" name="Check Box 251">
              <controlPr defaultSize="0" autoFill="0" autoLine="0" autoPict="0">
                <anchor moveWithCells="1">
                  <from>
                    <xdr:col>0</xdr:col>
                    <xdr:colOff>0</xdr:colOff>
                    <xdr:row>3</xdr:row>
                    <xdr:rowOff>68580</xdr:rowOff>
                  </from>
                  <to>
                    <xdr:col>1</xdr:col>
                    <xdr:colOff>342900</xdr:colOff>
                    <xdr:row>4</xdr:row>
                    <xdr:rowOff>83820</xdr:rowOff>
                  </to>
                </anchor>
              </controlPr>
            </control>
          </mc:Choice>
        </mc:AlternateContent>
        <mc:AlternateContent xmlns:mc="http://schemas.openxmlformats.org/markup-compatibility/2006">
          <mc:Choice Requires="x14">
            <control shapeId="1276" r:id="rId8" name="Check Box 252">
              <controlPr defaultSize="0" autoFill="0" autoLine="0" autoPict="0">
                <anchor moveWithCells="1">
                  <from>
                    <xdr:col>0</xdr:col>
                    <xdr:colOff>0</xdr:colOff>
                    <xdr:row>4</xdr:row>
                    <xdr:rowOff>7620</xdr:rowOff>
                  </from>
                  <to>
                    <xdr:col>1</xdr:col>
                    <xdr:colOff>335280</xdr:colOff>
                    <xdr:row>5</xdr:row>
                    <xdr:rowOff>60960</xdr:rowOff>
                  </to>
                </anchor>
              </controlPr>
            </control>
          </mc:Choice>
        </mc:AlternateContent>
        <mc:AlternateContent xmlns:mc="http://schemas.openxmlformats.org/markup-compatibility/2006">
          <mc:Choice Requires="x14">
            <control shapeId="1277" r:id="rId9" name="Check Box 253">
              <controlPr defaultSize="0" autoFill="0" autoLine="0" autoPict="0">
                <anchor moveWithCells="1">
                  <from>
                    <xdr:col>0</xdr:col>
                    <xdr:colOff>0</xdr:colOff>
                    <xdr:row>4</xdr:row>
                    <xdr:rowOff>152400</xdr:rowOff>
                  </from>
                  <to>
                    <xdr:col>1</xdr:col>
                    <xdr:colOff>274320</xdr:colOff>
                    <xdr:row>6</xdr:row>
                    <xdr:rowOff>30480</xdr:rowOff>
                  </to>
                </anchor>
              </controlPr>
            </control>
          </mc:Choice>
        </mc:AlternateContent>
        <mc:AlternateContent xmlns:mc="http://schemas.openxmlformats.org/markup-compatibility/2006">
          <mc:Choice Requires="x14">
            <control shapeId="1278" r:id="rId10" name="Check Box 254">
              <controlPr defaultSize="0" autoFill="0" autoLine="0" autoPict="0">
                <anchor moveWithCells="1">
                  <from>
                    <xdr:col>0</xdr:col>
                    <xdr:colOff>0</xdr:colOff>
                    <xdr:row>5</xdr:row>
                    <xdr:rowOff>137160</xdr:rowOff>
                  </from>
                  <to>
                    <xdr:col>1</xdr:col>
                    <xdr:colOff>251460</xdr:colOff>
                    <xdr:row>7</xdr:row>
                    <xdr:rowOff>7620</xdr:rowOff>
                  </to>
                </anchor>
              </controlPr>
            </control>
          </mc:Choice>
        </mc:AlternateContent>
        <mc:AlternateContent xmlns:mc="http://schemas.openxmlformats.org/markup-compatibility/2006">
          <mc:Choice Requires="x14">
            <control shapeId="1279" r:id="rId11" name="Check Box 255">
              <controlPr defaultSize="0" autoFill="0" autoLine="0" autoPict="0">
                <anchor moveWithCells="1">
                  <from>
                    <xdr:col>0</xdr:col>
                    <xdr:colOff>0</xdr:colOff>
                    <xdr:row>6</xdr:row>
                    <xdr:rowOff>114300</xdr:rowOff>
                  </from>
                  <to>
                    <xdr:col>0</xdr:col>
                    <xdr:colOff>502920</xdr:colOff>
                    <xdr:row>7</xdr:row>
                    <xdr:rowOff>160020</xdr:rowOff>
                  </to>
                </anchor>
              </controlPr>
            </control>
          </mc:Choice>
        </mc:AlternateContent>
        <mc:AlternateContent xmlns:mc="http://schemas.openxmlformats.org/markup-compatibility/2006">
          <mc:Choice Requires="x14">
            <control shapeId="1280" r:id="rId12" name="Check Box 256">
              <controlPr defaultSize="0" autoFill="0" autoLine="0" autoPict="0">
                <anchor moveWithCells="1">
                  <from>
                    <xdr:col>0</xdr:col>
                    <xdr:colOff>0</xdr:colOff>
                    <xdr:row>7</xdr:row>
                    <xdr:rowOff>99060</xdr:rowOff>
                  </from>
                  <to>
                    <xdr:col>1</xdr:col>
                    <xdr:colOff>68580</xdr:colOff>
                    <xdr:row>8</xdr:row>
                    <xdr:rowOff>144780</xdr:rowOff>
                  </to>
                </anchor>
              </controlPr>
            </control>
          </mc:Choice>
        </mc:AlternateContent>
        <mc:AlternateContent xmlns:mc="http://schemas.openxmlformats.org/markup-compatibility/2006">
          <mc:Choice Requires="x14">
            <control shapeId="1286" r:id="rId13" name="Check Box 262">
              <controlPr defaultSize="0" autoFill="0" autoLine="0" autoPict="0">
                <anchor moveWithCells="1">
                  <from>
                    <xdr:col>0</xdr:col>
                    <xdr:colOff>0</xdr:colOff>
                    <xdr:row>9</xdr:row>
                    <xdr:rowOff>76200</xdr:rowOff>
                  </from>
                  <to>
                    <xdr:col>1</xdr:col>
                    <xdr:colOff>190500</xdr:colOff>
                    <xdr:row>10</xdr:row>
                    <xdr:rowOff>121920</xdr:rowOff>
                  </to>
                </anchor>
              </controlPr>
            </control>
          </mc:Choice>
        </mc:AlternateContent>
        <mc:AlternateContent xmlns:mc="http://schemas.openxmlformats.org/markup-compatibility/2006">
          <mc:Choice Requires="x14">
            <control shapeId="1299" r:id="rId14" name="Check Box 275">
              <controlPr defaultSize="0" autoFill="0" autoLine="0" autoPict="0">
                <anchor moveWithCells="1">
                  <from>
                    <xdr:col>0</xdr:col>
                    <xdr:colOff>0</xdr:colOff>
                    <xdr:row>8</xdr:row>
                    <xdr:rowOff>76200</xdr:rowOff>
                  </from>
                  <to>
                    <xdr:col>1</xdr:col>
                    <xdr:colOff>563880</xdr:colOff>
                    <xdr:row>9</xdr:row>
                    <xdr:rowOff>121920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indexed="14"/>
    <pageSetUpPr fitToPage="1"/>
  </sheetPr>
  <dimension ref="A1:AE193"/>
  <sheetViews>
    <sheetView workbookViewId="0">
      <selection activeCell="D30" sqref="D30"/>
    </sheetView>
  </sheetViews>
  <sheetFormatPr defaultColWidth="9.109375" defaultRowHeight="13.2"/>
  <cols>
    <col min="1" max="1" width="15.5546875" style="36" customWidth="1"/>
    <col min="2" max="2" width="10.33203125" style="36" customWidth="1"/>
    <col min="3" max="3" width="4.33203125" style="36" hidden="1" customWidth="1"/>
    <col min="4" max="4" width="21.6640625" style="36" customWidth="1"/>
    <col min="5" max="5" width="30.33203125" style="36" customWidth="1"/>
    <col min="6" max="6" width="28.33203125" style="36" customWidth="1"/>
    <col min="7" max="7" width="9.6640625" style="36" hidden="1" customWidth="1"/>
    <col min="8" max="8" width="7.6640625" style="36" customWidth="1"/>
    <col min="9" max="11" width="8.6640625" style="36" hidden="1" customWidth="1"/>
    <col min="12" max="12" width="6.6640625" style="36" hidden="1" customWidth="1"/>
    <col min="13" max="16" width="8.6640625" style="36" hidden="1" customWidth="1"/>
    <col min="17" max="20" width="14.88671875" style="36" customWidth="1"/>
    <col min="21" max="21" width="4.88671875" style="36" customWidth="1"/>
    <col min="22" max="22" width="4.33203125" style="36" customWidth="1"/>
    <col min="23" max="23" width="6.33203125" style="36" bestFit="1" customWidth="1"/>
    <col min="24" max="24" width="5.6640625" style="36" customWidth="1"/>
    <col min="25" max="28" width="4.33203125" style="36" customWidth="1"/>
    <col min="29" max="29" width="18.6640625" style="36" bestFit="1" customWidth="1"/>
    <col min="30" max="30" width="9.109375" style="238"/>
    <col min="31" max="31" width="10" style="238" bestFit="1" customWidth="1"/>
    <col min="32" max="16384" width="9.109375" style="36"/>
  </cols>
  <sheetData>
    <row r="1" spans="1:31" s="32" customFormat="1" ht="13.8">
      <c r="A1" s="531"/>
      <c r="B1" s="532" t="s">
        <v>0</v>
      </c>
      <c r="C1" s="533">
        <f>ML_Sum!$C1</f>
        <v>1</v>
      </c>
      <c r="D1" s="534" t="str">
        <f>ML_Sum!$D1</f>
        <v>ST Microelectronics (Malta) Ltd.</v>
      </c>
      <c r="E1" s="535"/>
      <c r="F1" s="536">
        <f>ML_Sum!$F1</f>
        <v>0</v>
      </c>
      <c r="G1" s="537"/>
      <c r="H1"/>
      <c r="I1" s="313">
        <v>1</v>
      </c>
      <c r="J1" s="314">
        <f>ML_Sum!$J1</f>
        <v>1</v>
      </c>
      <c r="K1" s="314">
        <f>ML_Sum!$K1</f>
        <v>1</v>
      </c>
      <c r="L1" s="314">
        <f>ML_Sum!$L1</f>
        <v>1</v>
      </c>
      <c r="M1" s="314">
        <f>ML_Sum!$M1</f>
        <v>1</v>
      </c>
      <c r="N1" s="314">
        <f>ML_Sum!$N1</f>
        <v>1</v>
      </c>
      <c r="O1" s="314">
        <f>ML_Sum!$O1</f>
        <v>1</v>
      </c>
      <c r="P1"/>
      <c r="Q1" s="379" t="str">
        <f>ML_Sum!$Q1</f>
        <v>€</v>
      </c>
      <c r="R1" s="317" t="s">
        <v>1</v>
      </c>
      <c r="S1" s="378" t="str">
        <f>ML_Sum!$S1</f>
        <v>R</v>
      </c>
      <c r="T1" s="17">
        <f>ML_Sum!$T1</f>
        <v>1.25</v>
      </c>
      <c r="U1" s="238" t="str">
        <f>ML_Sum!W1</f>
        <v>BOQ</v>
      </c>
      <c r="V1" s="172" t="s">
        <v>195</v>
      </c>
      <c r="W1" s="173" t="s">
        <v>185</v>
      </c>
      <c r="X1" s="174" t="s">
        <v>186</v>
      </c>
      <c r="Y1" s="175" t="s">
        <v>187</v>
      </c>
      <c r="Z1" s="176" t="s">
        <v>183</v>
      </c>
      <c r="AA1" s="176" t="s">
        <v>188</v>
      </c>
      <c r="AB1" s="173" t="s">
        <v>189</v>
      </c>
      <c r="AD1" s="677"/>
      <c r="AE1" s="677"/>
    </row>
    <row r="2" spans="1:31" s="32" customFormat="1" ht="13.8">
      <c r="A2" s="531"/>
      <c r="B2" s="532" t="s">
        <v>2</v>
      </c>
      <c r="C2" s="533">
        <f>ML_Sum!$C2</f>
        <v>1</v>
      </c>
      <c r="D2" s="534" t="str">
        <f>ML_Sum!$D2</f>
        <v xml:space="preserve">KK2 General Exhaust Replacement </v>
      </c>
      <c r="E2" s="538"/>
      <c r="F2" s="536" t="str">
        <f>ML_Sum!$F2</f>
        <v>Electrical</v>
      </c>
      <c r="G2" s="537"/>
      <c r="H2"/>
      <c r="I2" s="313">
        <v>2</v>
      </c>
      <c r="J2" s="314">
        <f>ML_Sum!$J2</f>
        <v>1</v>
      </c>
      <c r="K2" s="314">
        <f>ML_Sum!$K2</f>
        <v>1</v>
      </c>
      <c r="L2" s="314">
        <f>ML_Sum!$L2</f>
        <v>1</v>
      </c>
      <c r="M2" s="314">
        <f>ML_Sum!$M2</f>
        <v>1</v>
      </c>
      <c r="N2" s="314">
        <f>ML_Sum!$N2</f>
        <v>1</v>
      </c>
      <c r="O2" s="314">
        <f>ML_Sum!$O2</f>
        <v>1</v>
      </c>
      <c r="P2"/>
      <c r="Q2" s="384">
        <f>ML_Sum!$Q2</f>
        <v>0</v>
      </c>
      <c r="R2" s="18" t="s">
        <v>3</v>
      </c>
      <c r="S2" s="385">
        <f>ML_Sum!$S2</f>
        <v>1.25</v>
      </c>
      <c r="T2" s="386">
        <f>ML_Sum!$T2</f>
        <v>34.325000000000003</v>
      </c>
      <c r="V2" s="358"/>
      <c r="W2" s="358"/>
      <c r="X2" s="358"/>
      <c r="Y2" s="358"/>
      <c r="Z2" s="358"/>
      <c r="AA2" s="358"/>
      <c r="AB2" s="358"/>
      <c r="AD2" s="677"/>
      <c r="AE2" s="677"/>
    </row>
    <row r="3" spans="1:31" s="32" customFormat="1" ht="13.8">
      <c r="A3" s="539"/>
      <c r="B3" s="540" t="s">
        <v>4</v>
      </c>
      <c r="C3" s="533">
        <f>ML_Sum!$C3</f>
        <v>1</v>
      </c>
      <c r="D3" s="534" t="str">
        <f>ML_Sum!$D3</f>
        <v>Electrical Supply and Installation</v>
      </c>
      <c r="E3" s="539"/>
      <c r="F3" s="536" t="str">
        <f>ML_Sum!$F3</f>
        <v>Controls</v>
      </c>
      <c r="G3" s="541"/>
      <c r="H3"/>
      <c r="I3" s="313">
        <v>3</v>
      </c>
      <c r="J3" s="314">
        <f>ML_Sum!$J3</f>
        <v>1</v>
      </c>
      <c r="K3" s="314">
        <f>ML_Sum!$K3</f>
        <v>1</v>
      </c>
      <c r="L3" s="314">
        <f>ML_Sum!$L3</f>
        <v>1</v>
      </c>
      <c r="M3" s="314">
        <f>ML_Sum!$M3</f>
        <v>1</v>
      </c>
      <c r="N3" s="314">
        <f>ML_Sum!$N3</f>
        <v>1</v>
      </c>
      <c r="O3" s="314">
        <f>ML_Sum!$O3</f>
        <v>1</v>
      </c>
      <c r="P3"/>
      <c r="Q3" s="384">
        <f>ML_Sum!$Q3</f>
        <v>0</v>
      </c>
      <c r="R3" s="19" t="s">
        <v>5</v>
      </c>
      <c r="S3" s="385">
        <f>ML_Sum!$S3</f>
        <v>1.25</v>
      </c>
      <c r="T3" s="386">
        <f>ML_Sum!$T3</f>
        <v>34.325000000000003</v>
      </c>
      <c r="V3" s="358"/>
      <c r="W3" s="358"/>
      <c r="X3" s="358"/>
      <c r="Y3" s="358"/>
      <c r="Z3" s="358"/>
      <c r="AA3" s="358"/>
      <c r="AB3" s="358"/>
      <c r="AD3" s="677"/>
      <c r="AE3" s="678"/>
    </row>
    <row r="4" spans="1:31" s="32" customFormat="1" ht="13.8">
      <c r="A4" s="542"/>
      <c r="B4" s="532" t="s">
        <v>6</v>
      </c>
      <c r="C4" s="533">
        <f>ML_Sum!$C4</f>
        <v>1</v>
      </c>
      <c r="D4" s="534" t="str">
        <f>ML_Sum!$D4</f>
        <v>EL25-0559</v>
      </c>
      <c r="E4" s="539"/>
      <c r="F4" s="536">
        <f>ML_Sum!$F4</f>
        <v>0</v>
      </c>
      <c r="G4" s="541"/>
      <c r="H4"/>
      <c r="I4" s="313">
        <v>4</v>
      </c>
      <c r="J4" s="314">
        <f>ML_Sum!$J4</f>
        <v>1</v>
      </c>
      <c r="K4" s="314">
        <f>ML_Sum!$K4</f>
        <v>1</v>
      </c>
      <c r="L4" s="314">
        <f>ML_Sum!$L4</f>
        <v>1</v>
      </c>
      <c r="M4" s="314">
        <f>ML_Sum!$M4</f>
        <v>1</v>
      </c>
      <c r="N4" s="314">
        <f>ML_Sum!$N4</f>
        <v>1</v>
      </c>
      <c r="O4" s="314">
        <f>ML_Sum!$O4</f>
        <v>1</v>
      </c>
      <c r="P4"/>
      <c r="Q4" s="384">
        <f>ML_Sum!$Q4</f>
        <v>0</v>
      </c>
      <c r="R4" s="20" t="s">
        <v>7</v>
      </c>
      <c r="S4" s="385">
        <f>ML_Sum!$S4</f>
        <v>0</v>
      </c>
      <c r="T4" s="386">
        <f>ML_Sum!$T4</f>
        <v>0</v>
      </c>
      <c r="V4" s="358"/>
      <c r="W4" s="358"/>
      <c r="X4" s="358"/>
      <c r="Y4" s="358"/>
      <c r="Z4" s="358"/>
      <c r="AA4" s="358"/>
      <c r="AB4" s="358"/>
      <c r="AD4" s="677"/>
      <c r="AE4" s="679"/>
    </row>
    <row r="5" spans="1:31" s="32" customFormat="1" ht="13.8">
      <c r="A5" s="542"/>
      <c r="B5" s="532" t="s">
        <v>197</v>
      </c>
      <c r="C5" s="533">
        <f>ML_Sum!$C5</f>
        <v>1</v>
      </c>
      <c r="D5" s="534" t="str">
        <f>ML_Sum!$D5</f>
        <v>Tender</v>
      </c>
      <c r="E5" s="539"/>
      <c r="F5" s="536">
        <f>ML_Sum!$F5</f>
        <v>0</v>
      </c>
      <c r="G5" s="543"/>
      <c r="H5"/>
      <c r="I5" s="313">
        <v>5</v>
      </c>
      <c r="J5" s="314">
        <f>ML_Sum!$J5</f>
        <v>1</v>
      </c>
      <c r="K5" s="314">
        <f>ML_Sum!$K5</f>
        <v>1</v>
      </c>
      <c r="L5" s="314">
        <f>ML_Sum!$L5</f>
        <v>1</v>
      </c>
      <c r="M5" s="314">
        <f>ML_Sum!$M5</f>
        <v>1</v>
      </c>
      <c r="N5" s="314">
        <f>ML_Sum!$N5</f>
        <v>1</v>
      </c>
      <c r="O5" s="314">
        <f>ML_Sum!$O5</f>
        <v>1</v>
      </c>
      <c r="P5"/>
      <c r="Q5" s="384">
        <f>ML_Sum!$Q5</f>
        <v>0</v>
      </c>
      <c r="R5" s="21" t="s">
        <v>9</v>
      </c>
      <c r="S5" s="385">
        <f>ML_Sum!$S5</f>
        <v>0</v>
      </c>
      <c r="T5" s="386">
        <f>ML_Sum!$T5</f>
        <v>0</v>
      </c>
      <c r="V5" s="358"/>
      <c r="W5" s="358"/>
      <c r="X5" s="358"/>
      <c r="Y5" s="358"/>
      <c r="Z5" s="358"/>
      <c r="AA5" s="358"/>
      <c r="AB5" s="358"/>
      <c r="AD5" s="677"/>
      <c r="AE5" s="679"/>
    </row>
    <row r="6" spans="1:31" s="32" customFormat="1" ht="13.8">
      <c r="A6"/>
      <c r="B6" s="540" t="s">
        <v>8</v>
      </c>
      <c r="C6" s="533">
        <f>ML_Sum!$C6</f>
        <v>1</v>
      </c>
      <c r="D6" s="534" t="str">
        <f>ML_Sum!$D6</f>
        <v>VAT EXCL.</v>
      </c>
      <c r="E6"/>
      <c r="F6" s="536">
        <f>ML_Sum!$F6</f>
        <v>0</v>
      </c>
      <c r="G6" s="543"/>
      <c r="H6"/>
      <c r="I6" s="313">
        <v>6</v>
      </c>
      <c r="J6" s="314">
        <f>ML_Sum!$J6</f>
        <v>1</v>
      </c>
      <c r="K6" s="314">
        <f>ML_Sum!$K6</f>
        <v>1</v>
      </c>
      <c r="L6" s="314">
        <f>ML_Sum!$L6</f>
        <v>1</v>
      </c>
      <c r="M6" s="314">
        <f>ML_Sum!$M6</f>
        <v>1</v>
      </c>
      <c r="N6" s="314">
        <f>ML_Sum!$N6</f>
        <v>1</v>
      </c>
      <c r="O6" s="314">
        <f>ML_Sum!$O6</f>
        <v>1</v>
      </c>
      <c r="P6"/>
      <c r="Q6" s="384">
        <f>ML_Sum!$Q6</f>
        <v>0</v>
      </c>
      <c r="R6" s="22" t="s">
        <v>10</v>
      </c>
      <c r="S6" s="385">
        <f>ML_Sum!$S6</f>
        <v>0</v>
      </c>
      <c r="T6" s="386">
        <f>ML_Sum!$T6</f>
        <v>0</v>
      </c>
      <c r="V6" s="358"/>
      <c r="W6" s="358"/>
      <c r="X6" s="358"/>
      <c r="Y6" s="358"/>
      <c r="Z6" s="358"/>
      <c r="AA6" s="358"/>
      <c r="AB6" s="358"/>
      <c r="AD6" s="677"/>
      <c r="AE6" s="340"/>
    </row>
    <row r="7" spans="1:31" s="32" customFormat="1" ht="13.8">
      <c r="A7" s="531"/>
      <c r="B7" s="540" t="s">
        <v>11</v>
      </c>
      <c r="C7" s="533">
        <f>ML_Sum!$C7</f>
        <v>1</v>
      </c>
      <c r="D7" s="544">
        <v>39364</v>
      </c>
      <c r="E7" s="545"/>
      <c r="F7" s="536">
        <f>ML_Sum!$F7</f>
        <v>0</v>
      </c>
      <c r="G7" s="546"/>
      <c r="H7"/>
      <c r="I7" s="313">
        <v>7</v>
      </c>
      <c r="J7" s="314">
        <f>ML_Sum!$J7</f>
        <v>1</v>
      </c>
      <c r="K7" s="314">
        <f>ML_Sum!$K7</f>
        <v>1</v>
      </c>
      <c r="L7" s="314">
        <f>ML_Sum!$L7</f>
        <v>1</v>
      </c>
      <c r="M7" s="314">
        <f>ML_Sum!$M7</f>
        <v>1</v>
      </c>
      <c r="N7" s="314">
        <f>ML_Sum!$N7</f>
        <v>1</v>
      </c>
      <c r="O7" s="314">
        <f>ML_Sum!$O7</f>
        <v>0</v>
      </c>
      <c r="P7"/>
      <c r="Q7" s="384">
        <f>ML_Sum!$Q7</f>
        <v>0</v>
      </c>
      <c r="R7" s="23" t="s">
        <v>12</v>
      </c>
      <c r="S7" s="385">
        <f>ML_Sum!$S7</f>
        <v>0</v>
      </c>
      <c r="T7" s="386">
        <f>ML_Sum!$T7</f>
        <v>0</v>
      </c>
      <c r="V7" s="358"/>
      <c r="W7" s="358"/>
      <c r="X7" s="358"/>
      <c r="Y7" s="358"/>
      <c r="Z7" s="358"/>
      <c r="AA7" s="358"/>
      <c r="AB7" s="358"/>
      <c r="AD7" s="677"/>
      <c r="AE7" s="677"/>
    </row>
    <row r="8" spans="1:31" s="32" customFormat="1" ht="13.8">
      <c r="A8" s="542"/>
      <c r="B8" s="540" t="s">
        <v>13</v>
      </c>
      <c r="C8" s="533">
        <f>ML_Sum!$C8</f>
        <v>1</v>
      </c>
      <c r="D8" s="534" t="str">
        <f>ML_Sum!$D8</f>
        <v>Umut Kaymak</v>
      </c>
      <c r="E8" s="539"/>
      <c r="F8" s="536">
        <f>ML_Sum!$F8</f>
        <v>0</v>
      </c>
      <c r="G8" s="547"/>
      <c r="H8"/>
      <c r="I8" s="313">
        <v>8</v>
      </c>
      <c r="J8" s="314">
        <f>ML_Sum!$J8</f>
        <v>1</v>
      </c>
      <c r="K8" s="314">
        <f>ML_Sum!$K8</f>
        <v>1</v>
      </c>
      <c r="L8" s="314">
        <f>ML_Sum!$L8</f>
        <v>1</v>
      </c>
      <c r="M8" s="314">
        <f>ML_Sum!$M8</f>
        <v>1</v>
      </c>
      <c r="N8" s="314">
        <f>ML_Sum!$N8</f>
        <v>1</v>
      </c>
      <c r="O8" s="314">
        <f>ML_Sum!$O8</f>
        <v>0</v>
      </c>
      <c r="P8"/>
      <c r="Q8" s="384">
        <f>ML_Sum!$Q8</f>
        <v>0</v>
      </c>
      <c r="R8" s="24" t="s">
        <v>14</v>
      </c>
      <c r="S8" s="385">
        <f>ML_Sum!$S8</f>
        <v>0</v>
      </c>
      <c r="T8" s="386">
        <f>ML_Sum!$T8</f>
        <v>0</v>
      </c>
      <c r="V8" s="358"/>
      <c r="W8" s="358"/>
      <c r="X8" s="358"/>
      <c r="Y8" s="358"/>
      <c r="Z8" s="358"/>
      <c r="AA8" s="358"/>
      <c r="AB8" s="358"/>
      <c r="AD8" s="677"/>
      <c r="AE8" s="679"/>
    </row>
    <row r="9" spans="1:31" s="32" customFormat="1" ht="13.8">
      <c r="A9" s="542"/>
      <c r="B9" s="540" t="s">
        <v>268</v>
      </c>
      <c r="C9" s="533">
        <f>ML_Sum!$C9</f>
        <v>1</v>
      </c>
      <c r="D9" s="534">
        <f>ML_Sum!$D9</f>
        <v>27.46</v>
      </c>
      <c r="E9" s="539"/>
      <c r="F9" s="536">
        <f>ML_Sum!$F9</f>
        <v>0</v>
      </c>
      <c r="G9" s="547"/>
      <c r="H9"/>
      <c r="I9" s="313">
        <v>9</v>
      </c>
      <c r="J9" s="314">
        <f>ML_Sum!$J9</f>
        <v>1</v>
      </c>
      <c r="K9" s="314">
        <f>ML_Sum!$K9</f>
        <v>1</v>
      </c>
      <c r="L9" s="314">
        <f>ML_Sum!$L9</f>
        <v>1</v>
      </c>
      <c r="M9" s="314">
        <f>ML_Sum!$M9</f>
        <v>1</v>
      </c>
      <c r="N9" s="314">
        <f>ML_Sum!$N9</f>
        <v>1</v>
      </c>
      <c r="O9" s="314">
        <f>ML_Sum!$O9</f>
        <v>0</v>
      </c>
      <c r="P9"/>
      <c r="Q9" s="384">
        <f>ML_Sum!$Q9</f>
        <v>0</v>
      </c>
      <c r="R9" s="25" t="s">
        <v>15</v>
      </c>
      <c r="S9" s="385">
        <f>ML_Sum!$S9</f>
        <v>0</v>
      </c>
      <c r="T9" s="386">
        <f>ML_Sum!$T9</f>
        <v>0</v>
      </c>
      <c r="V9" s="358"/>
      <c r="W9" s="358"/>
      <c r="X9" s="358"/>
      <c r="Y9" s="358"/>
      <c r="Z9" s="358"/>
      <c r="AA9" s="358"/>
      <c r="AB9" s="358"/>
      <c r="AD9" s="677"/>
      <c r="AE9" s="679"/>
    </row>
    <row r="10" spans="1:31" s="32" customFormat="1" ht="13.8">
      <c r="A10" s="542"/>
      <c r="B10" s="531"/>
      <c r="C10" s="533">
        <f>ML_Sum!$C10</f>
        <v>1</v>
      </c>
      <c r="D10" s="531"/>
      <c r="E10" s="539"/>
      <c r="F10" s="536">
        <f>ML_Sum!$F10</f>
        <v>0</v>
      </c>
      <c r="G10" s="547"/>
      <c r="H10"/>
      <c r="I10" s="313">
        <v>10</v>
      </c>
      <c r="J10" s="314">
        <f>ML_Sum!$J10</f>
        <v>1</v>
      </c>
      <c r="K10" s="314">
        <f>ML_Sum!$K10</f>
        <v>1</v>
      </c>
      <c r="L10" s="314">
        <f>ML_Sum!$L10</f>
        <v>1</v>
      </c>
      <c r="M10" s="314">
        <f>ML_Sum!$M10</f>
        <v>1</v>
      </c>
      <c r="N10" s="314">
        <f>ML_Sum!$N10</f>
        <v>1</v>
      </c>
      <c r="O10" s="314">
        <f>ML_Sum!$O10</f>
        <v>1</v>
      </c>
      <c r="P10"/>
      <c r="Q10" s="384">
        <f>ML_Sum!$Q10</f>
        <v>0</v>
      </c>
      <c r="R10" s="26" t="s">
        <v>16</v>
      </c>
      <c r="S10" s="385">
        <f>ML_Sum!$S10</f>
        <v>0</v>
      </c>
      <c r="T10" s="386">
        <f>ML_Sum!$T10</f>
        <v>0</v>
      </c>
      <c r="V10" s="358"/>
      <c r="W10" s="358"/>
      <c r="X10" s="358"/>
      <c r="Y10" s="358"/>
      <c r="Z10" s="358"/>
      <c r="AA10" s="358"/>
      <c r="AB10" s="358"/>
      <c r="AD10" s="677"/>
      <c r="AE10" s="679"/>
    </row>
    <row r="11" spans="1:31" s="32" customFormat="1" ht="13.8">
      <c r="A11" s="542"/>
      <c r="B11" s="531"/>
      <c r="C11" s="533">
        <f>ML_Sum!$C11</f>
        <v>1</v>
      </c>
      <c r="D11" s="531"/>
      <c r="E11" s="539"/>
      <c r="F11" s="536">
        <f>ML_Sum!$F11</f>
        <v>0</v>
      </c>
      <c r="G11" s="547"/>
      <c r="H11" s="547"/>
      <c r="I11" s="531"/>
      <c r="J11" s="531"/>
      <c r="K11" s="531"/>
      <c r="L11" s="531"/>
      <c r="M11" s="531"/>
      <c r="N11" s="531"/>
      <c r="O11" s="531"/>
      <c r="P11" s="547"/>
      <c r="Q11" s="384">
        <f>ML_Sum!$Q11</f>
        <v>0</v>
      </c>
      <c r="R11" s="27" t="s">
        <v>17</v>
      </c>
      <c r="S11" s="385">
        <f>ML_Sum!$S11</f>
        <v>0</v>
      </c>
      <c r="T11" s="386">
        <f>ML_Sum!$T11</f>
        <v>0</v>
      </c>
      <c r="V11" s="358"/>
      <c r="W11" s="358"/>
      <c r="X11" s="358"/>
      <c r="Y11" s="358"/>
      <c r="Z11" s="358"/>
      <c r="AA11" s="358"/>
      <c r="AB11" s="358"/>
      <c r="AD11" s="677"/>
      <c r="AE11" s="679"/>
    </row>
    <row r="12" spans="1:31" s="32" customFormat="1" ht="13.8">
      <c r="A12" s="542"/>
      <c r="B12" s="531"/>
      <c r="C12" s="533">
        <f>ML_Sum!$C12</f>
        <v>1</v>
      </c>
      <c r="D12" s="531"/>
      <c r="E12" s="539"/>
      <c r="F12" s="536">
        <f>ML_Sum!$F12</f>
        <v>0</v>
      </c>
      <c r="G12" s="547"/>
      <c r="H12" s="547"/>
      <c r="I12" s="531"/>
      <c r="J12" s="531"/>
      <c r="K12" s="531"/>
      <c r="L12" s="531"/>
      <c r="M12" s="531"/>
      <c r="N12" s="531"/>
      <c r="O12" s="531"/>
      <c r="P12" s="547"/>
      <c r="Q12" s="384">
        <f>ML_Sum!$Q12</f>
        <v>0</v>
      </c>
      <c r="R12" s="434" t="s">
        <v>210</v>
      </c>
      <c r="S12" s="385" t="str">
        <f>ML_Sum!$S12</f>
        <v>MAT MU</v>
      </c>
      <c r="T12" s="386" t="str">
        <f>ML_Sum!$T12</f>
        <v>LAB RATE</v>
      </c>
      <c r="V12" s="358"/>
      <c r="W12" s="358"/>
      <c r="X12" s="358"/>
      <c r="Y12" s="358"/>
      <c r="Z12" s="358"/>
      <c r="AA12" s="358"/>
      <c r="AB12" s="358"/>
      <c r="AD12" s="677"/>
      <c r="AE12" s="679"/>
    </row>
    <row r="13" spans="1:31" s="32" customFormat="1" ht="14.4" thickBot="1">
      <c r="A13" s="548"/>
      <c r="B13" s="549"/>
      <c r="C13" s="550"/>
      <c r="D13" s="551"/>
      <c r="E13" s="552"/>
      <c r="F13" s="553"/>
      <c r="G13" s="554" t="s">
        <v>18</v>
      </c>
      <c r="H13" s="554" t="s">
        <v>19</v>
      </c>
      <c r="I13" s="554" t="s">
        <v>20</v>
      </c>
      <c r="J13" s="554" t="s">
        <v>21</v>
      </c>
      <c r="K13" s="554" t="s">
        <v>22</v>
      </c>
      <c r="L13" s="554" t="s">
        <v>23</v>
      </c>
      <c r="M13" s="554" t="s">
        <v>24</v>
      </c>
      <c r="N13" s="554" t="s">
        <v>25</v>
      </c>
      <c r="O13" s="554" t="s">
        <v>26</v>
      </c>
      <c r="P13" s="554" t="s">
        <v>27</v>
      </c>
      <c r="Q13" s="28" t="s">
        <v>205</v>
      </c>
      <c r="R13" s="29" t="s">
        <v>29</v>
      </c>
      <c r="S13" s="30" t="s">
        <v>30</v>
      </c>
      <c r="T13" s="31" t="s">
        <v>31</v>
      </c>
      <c r="V13" s="358"/>
      <c r="W13" s="358"/>
      <c r="X13" s="358"/>
      <c r="Y13" s="358"/>
      <c r="Z13" s="358"/>
      <c r="AA13" s="358"/>
      <c r="AB13" s="358"/>
      <c r="AD13" s="677"/>
      <c r="AE13" s="680"/>
    </row>
    <row r="14" spans="1:31" customFormat="1">
      <c r="AD14" s="340"/>
      <c r="AE14" s="340"/>
    </row>
    <row r="15" spans="1:31">
      <c r="A15" s="33"/>
      <c r="B15" s="33"/>
      <c r="C15" s="33" t="s">
        <v>134</v>
      </c>
      <c r="D15" s="37" t="s">
        <v>135</v>
      </c>
      <c r="E15" s="33"/>
      <c r="F15" s="33"/>
      <c r="G15" s="33"/>
      <c r="H15" s="33"/>
      <c r="I15" s="33"/>
      <c r="J15" s="33"/>
      <c r="K15" s="33"/>
      <c r="L15" s="33"/>
      <c r="M15" s="33"/>
      <c r="N15" s="33"/>
      <c r="O15" s="35"/>
      <c r="P15" s="33"/>
      <c r="Q15" s="33"/>
      <c r="R15" s="33"/>
      <c r="S15" s="33"/>
      <c r="T15" s="33"/>
    </row>
    <row r="16" spans="1:31">
      <c r="A16" s="33"/>
      <c r="B16" s="33"/>
      <c r="C16" s="33"/>
      <c r="D16" s="37" t="s">
        <v>136</v>
      </c>
      <c r="E16" s="33"/>
      <c r="F16" s="33"/>
      <c r="G16" s="33"/>
      <c r="H16" s="33"/>
      <c r="I16" s="33"/>
      <c r="J16" s="33"/>
      <c r="K16" s="33"/>
      <c r="L16" s="33"/>
      <c r="M16" s="33"/>
      <c r="N16" s="33"/>
      <c r="O16" s="35"/>
      <c r="P16" s="33"/>
      <c r="Q16" s="33"/>
      <c r="R16" s="33"/>
      <c r="S16" s="38"/>
      <c r="T16" s="38"/>
    </row>
    <row r="17" spans="1:31" ht="13.8" thickBot="1">
      <c r="A17" s="39"/>
      <c r="B17" s="34"/>
      <c r="C17" s="34"/>
      <c r="D17" s="34"/>
      <c r="E17" s="34"/>
      <c r="F17" s="34"/>
      <c r="G17" s="34"/>
      <c r="H17" s="34"/>
      <c r="I17" s="34"/>
      <c r="J17" s="34"/>
      <c r="K17" s="34"/>
      <c r="L17" s="34"/>
      <c r="M17" s="34"/>
      <c r="N17" s="34"/>
      <c r="O17" s="40"/>
      <c r="P17" s="34"/>
      <c r="Q17" s="34"/>
      <c r="R17" s="34"/>
      <c r="S17" s="34"/>
      <c r="T17" s="34"/>
    </row>
    <row r="18" spans="1:31" s="1" customFormat="1" ht="12" thickTop="1">
      <c r="A18" s="33"/>
      <c r="B18" s="33"/>
      <c r="C18" s="33"/>
      <c r="D18" s="33"/>
      <c r="E18" s="33"/>
      <c r="F18" s="33"/>
      <c r="G18" s="33"/>
      <c r="H18" s="33"/>
      <c r="I18" s="33"/>
      <c r="J18" s="33"/>
      <c r="K18" s="33"/>
      <c r="L18" s="33"/>
      <c r="M18" s="33"/>
      <c r="N18" s="33"/>
      <c r="O18" s="35"/>
      <c r="P18" s="33"/>
      <c r="Q18" s="42" t="s">
        <v>168</v>
      </c>
      <c r="R18" s="33"/>
      <c r="S18" s="13"/>
      <c r="T18" s="33"/>
      <c r="AD18" s="681"/>
      <c r="AE18" s="681"/>
    </row>
    <row r="19" spans="1:31" s="1" customFormat="1" ht="12.6" thickBot="1">
      <c r="A19" s="135">
        <v>1850</v>
      </c>
      <c r="B19" s="136">
        <f ca="1">Elec_Est!B190</f>
        <v>0</v>
      </c>
      <c r="C19" s="137"/>
      <c r="D19" s="138" t="s">
        <v>310</v>
      </c>
      <c r="E19" s="139"/>
      <c r="F19" s="139"/>
      <c r="G19" s="140"/>
      <c r="H19" s="140"/>
      <c r="I19" s="141"/>
      <c r="J19" s="140"/>
      <c r="K19" s="142" t="s">
        <v>169</v>
      </c>
      <c r="L19" s="143" t="s">
        <v>169</v>
      </c>
      <c r="M19" s="143"/>
      <c r="N19" s="143"/>
      <c r="O19" s="143"/>
      <c r="P19" s="143"/>
      <c r="Q19" s="144">
        <f ca="1">B19/A19</f>
        <v>0</v>
      </c>
      <c r="R19" s="145">
        <f ca="1">IF($B19=0,0,IF($S$1="R",ROUND(R24/$B19,2),R24/$B19))</f>
        <v>0</v>
      </c>
      <c r="S19" s="146"/>
      <c r="T19" s="145">
        <f ca="1">IF($B19=0,0,IF($S$1="R",ROUND(T24/$B19,2),T24/$B19))</f>
        <v>0</v>
      </c>
      <c r="AD19" s="681"/>
      <c r="AE19" s="681"/>
    </row>
    <row r="20" spans="1:31" s="1" customFormat="1" ht="13.8" thickTop="1">
      <c r="A20" s="44"/>
      <c r="B20" s="3"/>
      <c r="C20" s="3"/>
      <c r="D20" s="147" t="s">
        <v>170</v>
      </c>
      <c r="E20" s="3"/>
      <c r="F20" s="3"/>
      <c r="G20" s="3"/>
      <c r="H20" s="3"/>
      <c r="I20" s="3"/>
      <c r="J20" s="3"/>
      <c r="K20" s="3"/>
      <c r="L20" s="3"/>
      <c r="M20" s="3"/>
      <c r="N20" s="3"/>
      <c r="O20" s="148"/>
      <c r="P20" s="3"/>
      <c r="Q20" s="3"/>
      <c r="R20" s="3"/>
      <c r="S20" s="3"/>
      <c r="T20" s="3"/>
      <c r="AC20" s="675"/>
      <c r="AD20" s="681"/>
      <c r="AE20" s="681"/>
    </row>
    <row r="21" spans="1:31" s="1" customFormat="1">
      <c r="A21" s="44"/>
      <c r="B21" s="3"/>
      <c r="C21" s="3"/>
      <c r="D21" s="635" t="s">
        <v>327</v>
      </c>
      <c r="E21" s="3"/>
      <c r="F21" s="3"/>
      <c r="G21" s="3"/>
      <c r="H21" s="3"/>
      <c r="I21" s="3"/>
      <c r="J21" s="3"/>
      <c r="K21" s="3"/>
      <c r="L21" s="3"/>
      <c r="M21" s="3"/>
      <c r="N21" s="3"/>
      <c r="O21" s="148"/>
      <c r="P21" s="3"/>
      <c r="Q21" s="3"/>
      <c r="R21" s="3"/>
      <c r="S21" s="3"/>
      <c r="T21" s="3"/>
      <c r="AC21" s="675"/>
      <c r="AD21" s="682"/>
      <c r="AE21" s="682"/>
    </row>
    <row r="22" spans="1:31" s="627" customFormat="1">
      <c r="A22" s="668"/>
      <c r="D22" s="635" t="s">
        <v>315</v>
      </c>
      <c r="G22" s="628"/>
      <c r="H22" s="629"/>
      <c r="O22" s="630"/>
      <c r="P22" s="631"/>
      <c r="Q22" s="633"/>
      <c r="R22" s="632"/>
      <c r="S22" s="633"/>
      <c r="T22" s="634"/>
      <c r="AD22" s="683"/>
      <c r="AE22" s="683"/>
    </row>
    <row r="23" spans="1:31" s="1" customFormat="1">
      <c r="A23" s="4"/>
      <c r="B23" s="3"/>
      <c r="C23" s="4" t="s">
        <v>171</v>
      </c>
      <c r="D23" s="3"/>
      <c r="E23" s="4"/>
      <c r="F23" s="2"/>
      <c r="G23" s="4"/>
      <c r="H23" s="4"/>
      <c r="I23" s="5"/>
      <c r="J23" s="4"/>
      <c r="K23" s="4"/>
      <c r="L23" s="4"/>
      <c r="M23" s="4"/>
      <c r="N23" s="4"/>
      <c r="O23" s="4"/>
      <c r="P23" s="4"/>
      <c r="Q23" s="5"/>
      <c r="R23" s="149">
        <f t="shared" ref="R23" si="0">$A23*Q23</f>
        <v>0</v>
      </c>
      <c r="S23" s="5"/>
      <c r="T23" s="150">
        <f t="shared" ref="T23" si="1">$A23*S23*$T$1</f>
        <v>0</v>
      </c>
      <c r="AD23" s="681"/>
      <c r="AE23" s="681"/>
    </row>
    <row r="24" spans="1:31" s="1" customFormat="1" ht="12.6" thickBot="1">
      <c r="A24" s="46" t="s">
        <v>142</v>
      </c>
      <c r="B24" s="47">
        <f>(R24+T24)-SUM(R20:R23,T20:T23)</f>
        <v>0</v>
      </c>
      <c r="C24" s="48"/>
      <c r="D24" s="151" t="s">
        <v>172</v>
      </c>
      <c r="E24" s="525">
        <f ca="1">IF($B19=0,0,ROUND(ROUND(($R24*$S$2+($T24*$T$2))/$B19, 2)*$C$2,2))</f>
        <v>0</v>
      </c>
      <c r="F24" s="526">
        <f ca="1">ROUND($B19*$E24,2)</f>
        <v>0</v>
      </c>
      <c r="G24" s="48"/>
      <c r="H24" s="48"/>
      <c r="I24" s="49"/>
      <c r="J24" s="48"/>
      <c r="K24" s="152" t="s">
        <v>141</v>
      </c>
      <c r="L24" s="153" t="s">
        <v>141</v>
      </c>
      <c r="M24" s="153"/>
      <c r="N24" s="153"/>
      <c r="O24" s="153"/>
      <c r="P24" s="153"/>
      <c r="Q24" s="154"/>
      <c r="R24" s="155">
        <f>SUM(R20:R23)</f>
        <v>0</v>
      </c>
      <c r="S24" s="156"/>
      <c r="T24" s="155">
        <f>SUM(T20:T23)</f>
        <v>0</v>
      </c>
      <c r="U24" s="472"/>
      <c r="V24" s="472"/>
      <c r="W24" s="472"/>
      <c r="X24" s="472"/>
      <c r="Y24" s="472"/>
      <c r="Z24" s="472"/>
      <c r="AA24" s="472"/>
      <c r="AB24" s="472"/>
      <c r="AD24" s="681"/>
      <c r="AE24" s="681"/>
    </row>
    <row r="25" spans="1:31" s="586" customFormat="1" ht="12" thickTop="1">
      <c r="A25" s="57"/>
      <c r="B25" s="57"/>
      <c r="C25" s="57"/>
      <c r="D25" s="57"/>
      <c r="E25" s="57"/>
      <c r="F25" s="57"/>
      <c r="G25" s="57"/>
      <c r="H25" s="57"/>
      <c r="I25" s="57"/>
      <c r="J25" s="57"/>
      <c r="K25" s="57"/>
      <c r="L25" s="57"/>
      <c r="M25" s="57"/>
      <c r="N25" s="57"/>
      <c r="O25" s="58"/>
      <c r="P25" s="57"/>
      <c r="Q25" s="42" t="s">
        <v>168</v>
      </c>
      <c r="R25" s="57"/>
      <c r="S25" s="13"/>
      <c r="T25" s="57"/>
      <c r="AD25" s="684"/>
      <c r="AE25" s="684"/>
    </row>
    <row r="26" spans="1:31" s="586" customFormat="1" ht="12" customHeight="1" thickBot="1">
      <c r="A26" s="654">
        <v>150</v>
      </c>
      <c r="B26" s="655">
        <f ca="1">Elec_Est!B191</f>
        <v>30</v>
      </c>
      <c r="C26" s="656"/>
      <c r="D26" s="657" t="s">
        <v>401</v>
      </c>
      <c r="E26" s="658"/>
      <c r="F26" s="658"/>
      <c r="G26" s="595"/>
      <c r="H26" s="595"/>
      <c r="I26" s="659"/>
      <c r="J26" s="595"/>
      <c r="K26" s="656" t="s">
        <v>169</v>
      </c>
      <c r="L26" s="660" t="s">
        <v>169</v>
      </c>
      <c r="M26" s="660"/>
      <c r="N26" s="660"/>
      <c r="O26" s="660"/>
      <c r="P26" s="660"/>
      <c r="Q26" s="661">
        <f ca="1">B26/A26</f>
        <v>0.2</v>
      </c>
      <c r="R26" s="662">
        <f ca="1">IF($B26=0,0,IF($S$1="R",ROUND(R39/$B26,2),R39/$B26))</f>
        <v>59.43</v>
      </c>
      <c r="S26" s="663"/>
      <c r="T26" s="662">
        <f ca="1">IF($B26=0,0,IF($S$1="R",ROUND(T39/$B26,2),T39/$B26))</f>
        <v>0.81</v>
      </c>
      <c r="AD26" s="684"/>
      <c r="AE26" s="684"/>
    </row>
    <row r="27" spans="1:31" s="586" customFormat="1" ht="13.8" thickTop="1">
      <c r="A27" s="591"/>
      <c r="B27" s="3"/>
      <c r="C27" s="3"/>
      <c r="D27" s="147" t="s">
        <v>170</v>
      </c>
      <c r="E27" s="3"/>
      <c r="F27" s="3"/>
      <c r="G27" s="3"/>
      <c r="H27" s="3"/>
      <c r="I27" s="3"/>
      <c r="J27" s="3"/>
      <c r="K27" s="3"/>
      <c r="L27" s="3"/>
      <c r="M27" s="3"/>
      <c r="N27" s="3"/>
      <c r="O27" s="148"/>
      <c r="P27" s="3"/>
      <c r="Q27" s="3"/>
      <c r="R27" s="3"/>
      <c r="S27" s="3"/>
      <c r="T27" s="3"/>
      <c r="AD27" s="684"/>
      <c r="AE27" s="684"/>
    </row>
    <row r="28" spans="1:31" s="627" customFormat="1">
      <c r="A28" s="668">
        <f ca="1">$Q$26 *(150)</f>
        <v>30</v>
      </c>
      <c r="B28" s="627" t="s">
        <v>272</v>
      </c>
      <c r="D28" s="627" t="s">
        <v>360</v>
      </c>
      <c r="F28" s="627" t="s">
        <v>345</v>
      </c>
      <c r="G28" s="628" t="s">
        <v>287</v>
      </c>
      <c r="H28" s="629">
        <v>650</v>
      </c>
      <c r="I28" s="627" t="s">
        <v>279</v>
      </c>
      <c r="O28" s="630">
        <v>1</v>
      </c>
      <c r="P28" s="631">
        <v>36897</v>
      </c>
      <c r="Q28" s="633">
        <f>1.477*32.11/3</f>
        <v>15.808823333333335</v>
      </c>
      <c r="R28" s="632">
        <f ca="1">$A28*Q28</f>
        <v>474.26470000000006</v>
      </c>
      <c r="S28" s="633">
        <v>0.3</v>
      </c>
      <c r="T28" s="634">
        <f ca="1">$A28*S28*$T$1</f>
        <v>11.25</v>
      </c>
      <c r="AD28" s="683"/>
      <c r="AE28" s="683"/>
    </row>
    <row r="29" spans="1:31" s="627" customFormat="1">
      <c r="A29" s="668">
        <f ca="1">$Q$26 *(150)</f>
        <v>30</v>
      </c>
      <c r="B29" s="627" t="s">
        <v>272</v>
      </c>
      <c r="D29" s="627" t="s">
        <v>361</v>
      </c>
      <c r="F29" s="627" t="s">
        <v>345</v>
      </c>
      <c r="G29" s="628" t="s">
        <v>292</v>
      </c>
      <c r="H29" s="629">
        <v>650</v>
      </c>
      <c r="I29" s="627" t="s">
        <v>279</v>
      </c>
      <c r="O29" s="630">
        <v>1</v>
      </c>
      <c r="P29" s="631"/>
      <c r="Q29" s="633">
        <f>1.477*48.6/3</f>
        <v>23.927400000000002</v>
      </c>
      <c r="R29" s="632">
        <f ca="1">$A29*Q29</f>
        <v>717.82200000000012</v>
      </c>
      <c r="S29" s="633">
        <v>0.3</v>
      </c>
      <c r="T29" s="634">
        <f ca="1">$A29*S29*$T$1</f>
        <v>11.25</v>
      </c>
      <c r="AD29" s="683"/>
      <c r="AE29" s="683"/>
    </row>
    <row r="30" spans="1:31" s="627" customFormat="1">
      <c r="A30" s="668">
        <f ca="1">$Q$26 *(150*2)</f>
        <v>60</v>
      </c>
      <c r="B30" s="627" t="s">
        <v>272</v>
      </c>
      <c r="D30" s="627" t="s">
        <v>362</v>
      </c>
      <c r="F30" s="627" t="s">
        <v>345</v>
      </c>
      <c r="G30" s="628" t="s">
        <v>292</v>
      </c>
      <c r="H30" s="629">
        <v>650</v>
      </c>
      <c r="I30" s="627" t="s">
        <v>279</v>
      </c>
      <c r="O30" s="630">
        <v>1</v>
      </c>
      <c r="P30" s="631"/>
      <c r="Q30" s="633">
        <f>1.477*2.2</f>
        <v>3.2494000000000005</v>
      </c>
      <c r="R30" s="632">
        <f ca="1">$A30*Q30</f>
        <v>194.96400000000003</v>
      </c>
      <c r="S30" s="633"/>
      <c r="T30" s="634">
        <f ca="1">$A30*S30*$T$1</f>
        <v>0</v>
      </c>
      <c r="AD30" s="683"/>
      <c r="AE30" s="683"/>
    </row>
    <row r="31" spans="1:31" s="586" customFormat="1" ht="11.4">
      <c r="A31" s="669">
        <f ca="1">$Q$26 *(150/3)</f>
        <v>10</v>
      </c>
      <c r="B31" s="582" t="s">
        <v>273</v>
      </c>
      <c r="C31" s="582"/>
      <c r="D31" s="627" t="s">
        <v>363</v>
      </c>
      <c r="E31" s="582"/>
      <c r="F31" s="627" t="s">
        <v>345</v>
      </c>
      <c r="G31" s="582"/>
      <c r="H31" s="629">
        <v>650</v>
      </c>
      <c r="I31" s="584"/>
      <c r="J31" s="582"/>
      <c r="K31" s="582"/>
      <c r="L31" s="582"/>
      <c r="M31" s="582"/>
      <c r="N31" s="582"/>
      <c r="O31" s="582"/>
      <c r="P31" s="582"/>
      <c r="Q31" s="633">
        <f>1.477*2.48</f>
        <v>3.66296</v>
      </c>
      <c r="R31" s="632">
        <f t="shared" ref="R31:R36" ca="1" si="2">$A31*Q31</f>
        <v>36.629599999999996</v>
      </c>
      <c r="S31" s="633">
        <v>0.02</v>
      </c>
      <c r="T31" s="634">
        <f t="shared" ref="T31:T36" ca="1" si="3">$A31*S31*$T$1</f>
        <v>0.25</v>
      </c>
      <c r="AD31" s="684"/>
      <c r="AE31" s="684"/>
    </row>
    <row r="32" spans="1:31" s="627" customFormat="1" ht="11.4">
      <c r="A32" s="669">
        <f ca="1">$Q$26 *(15)</f>
        <v>3</v>
      </c>
      <c r="B32" s="627" t="s">
        <v>272</v>
      </c>
      <c r="D32" s="627" t="s">
        <v>340</v>
      </c>
      <c r="F32" s="627" t="s">
        <v>345</v>
      </c>
      <c r="G32" s="628" t="s">
        <v>292</v>
      </c>
      <c r="H32" s="629">
        <v>650</v>
      </c>
      <c r="I32" s="627" t="s">
        <v>279</v>
      </c>
      <c r="O32" s="630">
        <v>1</v>
      </c>
      <c r="P32" s="631"/>
      <c r="Q32" s="633">
        <f>1.477*26.65</f>
        <v>39.362050000000004</v>
      </c>
      <c r="R32" s="632">
        <f ca="1">$A32*Q32</f>
        <v>118.08615</v>
      </c>
      <c r="S32" s="633">
        <v>0.3</v>
      </c>
      <c r="T32" s="634">
        <f ca="1">$A32*S32*$T$1</f>
        <v>1.125</v>
      </c>
      <c r="AD32" s="683"/>
      <c r="AE32" s="683"/>
    </row>
    <row r="33" spans="1:31" s="627" customFormat="1" ht="11.4">
      <c r="A33" s="669">
        <v>1</v>
      </c>
      <c r="B33" s="627" t="s">
        <v>272</v>
      </c>
      <c r="D33" s="627" t="s">
        <v>364</v>
      </c>
      <c r="F33" s="627" t="s">
        <v>345</v>
      </c>
      <c r="G33" s="628" t="s">
        <v>292</v>
      </c>
      <c r="H33" s="629">
        <v>650</v>
      </c>
      <c r="I33" s="627" t="s">
        <v>279</v>
      </c>
      <c r="O33" s="630">
        <v>1</v>
      </c>
      <c r="P33" s="631"/>
      <c r="Q33" s="633">
        <f>1.477*14.91</f>
        <v>22.022070000000003</v>
      </c>
      <c r="R33" s="632">
        <f>$A33*Q33</f>
        <v>22.022070000000003</v>
      </c>
      <c r="S33" s="633"/>
      <c r="T33" s="634">
        <f>$A33*S33*$T$1</f>
        <v>0</v>
      </c>
      <c r="AD33" s="683"/>
      <c r="AE33" s="683"/>
    </row>
    <row r="34" spans="1:31" s="627" customFormat="1" ht="11.4">
      <c r="A34" s="669">
        <v>1</v>
      </c>
      <c r="B34" s="627" t="s">
        <v>272</v>
      </c>
      <c r="D34" s="627" t="s">
        <v>342</v>
      </c>
      <c r="F34" s="627" t="s">
        <v>345</v>
      </c>
      <c r="G34" s="628" t="s">
        <v>292</v>
      </c>
      <c r="H34" s="629">
        <v>650</v>
      </c>
      <c r="I34" s="627" t="s">
        <v>279</v>
      </c>
      <c r="O34" s="630">
        <v>1</v>
      </c>
      <c r="P34" s="631"/>
      <c r="Q34" s="633">
        <f>1.477*35.79</f>
        <v>52.861830000000005</v>
      </c>
      <c r="R34" s="632">
        <f>$A34*Q34</f>
        <v>52.861830000000005</v>
      </c>
      <c r="S34" s="633">
        <v>0.3</v>
      </c>
      <c r="T34" s="634">
        <f>$A34*S34*$T$1</f>
        <v>0.375</v>
      </c>
      <c r="AD34" s="683"/>
      <c r="AE34" s="683"/>
    </row>
    <row r="35" spans="1:31" s="586" customFormat="1" ht="11.4">
      <c r="A35" s="669">
        <f ca="1">$Q$26 *(150/3)</f>
        <v>10</v>
      </c>
      <c r="B35" s="582" t="s">
        <v>273</v>
      </c>
      <c r="C35" s="582"/>
      <c r="D35" s="627" t="s">
        <v>289</v>
      </c>
      <c r="E35" s="582"/>
      <c r="F35" s="627" t="s">
        <v>321</v>
      </c>
      <c r="G35" s="582"/>
      <c r="H35" s="629">
        <v>650</v>
      </c>
      <c r="I35" s="584"/>
      <c r="J35" s="582"/>
      <c r="K35" s="582"/>
      <c r="L35" s="582"/>
      <c r="M35" s="582"/>
      <c r="N35" s="582"/>
      <c r="O35" s="582"/>
      <c r="P35" s="582"/>
      <c r="Q35" s="633">
        <v>1.5960000000000001</v>
      </c>
      <c r="R35" s="632">
        <f t="shared" ca="1" si="2"/>
        <v>15.96</v>
      </c>
      <c r="S35" s="633">
        <v>0.01</v>
      </c>
      <c r="T35" s="634">
        <f t="shared" ca="1" si="3"/>
        <v>0.125</v>
      </c>
      <c r="AD35" s="684"/>
      <c r="AE35" s="684"/>
    </row>
    <row r="36" spans="1:31" s="586" customFormat="1" ht="11.4">
      <c r="A36" s="669">
        <f ca="1">$Q$26 *(150*8)</f>
        <v>240</v>
      </c>
      <c r="B36" s="582" t="s">
        <v>273</v>
      </c>
      <c r="C36" s="582"/>
      <c r="D36" s="627" t="s">
        <v>290</v>
      </c>
      <c r="E36" s="582"/>
      <c r="F36" s="627" t="s">
        <v>339</v>
      </c>
      <c r="G36" s="582"/>
      <c r="H36" s="629">
        <v>650</v>
      </c>
      <c r="I36" s="584"/>
      <c r="J36" s="582"/>
      <c r="K36" s="582"/>
      <c r="L36" s="582"/>
      <c r="M36" s="582"/>
      <c r="N36" s="582"/>
      <c r="O36" s="582"/>
      <c r="P36" s="582"/>
      <c r="Q36" s="633">
        <v>0.21</v>
      </c>
      <c r="R36" s="632">
        <f t="shared" ca="1" si="2"/>
        <v>50.4</v>
      </c>
      <c r="S36" s="584"/>
      <c r="T36" s="634">
        <f t="shared" ca="1" si="3"/>
        <v>0</v>
      </c>
      <c r="AD36" s="684"/>
      <c r="AE36" s="684"/>
    </row>
    <row r="37" spans="1:31" s="627" customFormat="1" ht="11.4">
      <c r="A37" s="669">
        <f ca="1">$Q$26 *(1)</f>
        <v>0.2</v>
      </c>
      <c r="B37" s="627" t="s">
        <v>285</v>
      </c>
      <c r="D37" s="627" t="s">
        <v>312</v>
      </c>
      <c r="E37" s="582"/>
      <c r="F37" s="627" t="s">
        <v>346</v>
      </c>
      <c r="G37" s="628" t="s">
        <v>313</v>
      </c>
      <c r="H37" s="629">
        <v>960</v>
      </c>
      <c r="I37" s="627" t="s">
        <v>284</v>
      </c>
      <c r="O37" s="630">
        <v>4</v>
      </c>
      <c r="P37" s="631">
        <v>38274</v>
      </c>
      <c r="Q37" s="633">
        <v>500</v>
      </c>
      <c r="R37" s="632">
        <f ca="1">$A37*Q37</f>
        <v>100</v>
      </c>
      <c r="S37" s="633"/>
      <c r="T37" s="634">
        <f ca="1">$A37*S37*$T$1</f>
        <v>0</v>
      </c>
      <c r="AD37" s="683"/>
      <c r="AE37" s="683"/>
    </row>
    <row r="38" spans="1:31" s="586" customFormat="1">
      <c r="A38" s="582"/>
      <c r="B38" s="3"/>
      <c r="C38" s="582" t="s">
        <v>171</v>
      </c>
      <c r="D38" s="3"/>
      <c r="E38" s="582"/>
      <c r="F38" s="583"/>
      <c r="G38" s="582"/>
      <c r="H38" s="582"/>
      <c r="I38" s="584"/>
      <c r="J38" s="582"/>
      <c r="K38" s="582"/>
      <c r="L38" s="582"/>
      <c r="M38" s="582"/>
      <c r="N38" s="582"/>
      <c r="O38" s="582"/>
      <c r="P38" s="582"/>
      <c r="Q38" s="584"/>
      <c r="R38" s="643">
        <f t="shared" ref="R38" si="4">$A38*Q38</f>
        <v>0</v>
      </c>
      <c r="S38" s="584"/>
      <c r="T38" s="585">
        <f t="shared" ref="T38" si="5">$A38*S38*$T$1</f>
        <v>0</v>
      </c>
      <c r="AD38" s="684"/>
      <c r="AE38" s="684"/>
    </row>
    <row r="39" spans="1:31" s="586" customFormat="1" ht="12.6" thickBot="1">
      <c r="A39" s="606" t="s">
        <v>142</v>
      </c>
      <c r="B39" s="607">
        <f>(R38+T38)</f>
        <v>0</v>
      </c>
      <c r="C39" s="608"/>
      <c r="D39" s="664" t="s">
        <v>172</v>
      </c>
      <c r="E39" s="525">
        <f ca="1">IF($B26=0,0,ROUND(ROUND(($R39*$S$2+($T39*$T$2))/$B26, 2)*$C$2,2))</f>
        <v>102.18</v>
      </c>
      <c r="F39" s="526">
        <f ca="1">ROUND($B26*$E39,2)</f>
        <v>3065.4</v>
      </c>
      <c r="G39" s="608"/>
      <c r="H39" s="608"/>
      <c r="I39" s="610"/>
      <c r="J39" s="608"/>
      <c r="K39" s="665" t="s">
        <v>141</v>
      </c>
      <c r="L39" s="611" t="s">
        <v>141</v>
      </c>
      <c r="M39" s="611"/>
      <c r="N39" s="611"/>
      <c r="O39" s="611"/>
      <c r="P39" s="611"/>
      <c r="Q39" s="665"/>
      <c r="R39" s="666">
        <f ca="1">SUM(R27:R38)</f>
        <v>1783.0103500000005</v>
      </c>
      <c r="S39" s="667"/>
      <c r="T39" s="666">
        <f ca="1">SUM(T27:T38)</f>
        <v>24.375</v>
      </c>
      <c r="U39" s="614"/>
      <c r="V39" s="614"/>
      <c r="W39" s="614"/>
      <c r="X39" s="614"/>
      <c r="Y39" s="614"/>
      <c r="Z39" s="614"/>
      <c r="AA39" s="614"/>
      <c r="AB39" s="614"/>
      <c r="AD39" s="684"/>
      <c r="AE39" s="684"/>
    </row>
    <row r="40" spans="1:31" s="586" customFormat="1" ht="12" thickTop="1">
      <c r="A40" s="57"/>
      <c r="B40" s="57"/>
      <c r="C40" s="57"/>
      <c r="D40" s="57"/>
      <c r="E40" s="57"/>
      <c r="F40" s="57"/>
      <c r="G40" s="57"/>
      <c r="H40" s="57"/>
      <c r="I40" s="57"/>
      <c r="J40" s="57"/>
      <c r="K40" s="57"/>
      <c r="L40" s="57"/>
      <c r="M40" s="57"/>
      <c r="N40" s="57"/>
      <c r="O40" s="58"/>
      <c r="P40" s="57"/>
      <c r="Q40" s="42" t="s">
        <v>168</v>
      </c>
      <c r="R40" s="57"/>
      <c r="S40" s="13"/>
      <c r="T40" s="57"/>
      <c r="AD40" s="684"/>
      <c r="AE40" s="684"/>
    </row>
    <row r="41" spans="1:31" s="586" customFormat="1" ht="12" customHeight="1" thickBot="1">
      <c r="A41" s="654">
        <v>150</v>
      </c>
      <c r="B41" s="655">
        <f ca="1">Elec_Est!B192</f>
        <v>30</v>
      </c>
      <c r="C41" s="656"/>
      <c r="D41" s="657" t="s">
        <v>311</v>
      </c>
      <c r="E41" s="658"/>
      <c r="F41" s="658"/>
      <c r="G41" s="595"/>
      <c r="H41" s="595"/>
      <c r="I41" s="659"/>
      <c r="J41" s="595"/>
      <c r="K41" s="656" t="s">
        <v>169</v>
      </c>
      <c r="L41" s="660" t="s">
        <v>169</v>
      </c>
      <c r="M41" s="660"/>
      <c r="N41" s="660"/>
      <c r="O41" s="660"/>
      <c r="P41" s="660"/>
      <c r="Q41" s="661">
        <f ca="1">B41/A41</f>
        <v>0.2</v>
      </c>
      <c r="R41" s="662">
        <f ca="1">IF($B41=0,0,IF($S$1="R",ROUND(R108/$B41,2),R108/$B41))</f>
        <v>71.41</v>
      </c>
      <c r="S41" s="663"/>
      <c r="T41" s="662">
        <f ca="1">IF($B41=0,0,IF($S$1="R",ROUND(T108/$B41,2),T108/$B41))</f>
        <v>0.63</v>
      </c>
      <c r="AD41" s="684"/>
      <c r="AE41" s="684"/>
    </row>
    <row r="42" spans="1:31" s="586" customFormat="1" ht="13.8" thickTop="1">
      <c r="A42" s="591"/>
      <c r="B42" s="3"/>
      <c r="C42" s="3"/>
      <c r="D42" s="147" t="s">
        <v>314</v>
      </c>
      <c r="E42" s="3"/>
      <c r="F42" s="3"/>
      <c r="G42" s="3"/>
      <c r="H42" s="3"/>
      <c r="I42" s="3"/>
      <c r="J42" s="3"/>
      <c r="K42" s="3"/>
      <c r="L42" s="3"/>
      <c r="M42" s="3"/>
      <c r="N42" s="3"/>
      <c r="O42" s="148"/>
      <c r="P42" s="3"/>
      <c r="Q42" s="3"/>
      <c r="R42" s="3"/>
      <c r="S42" s="3"/>
      <c r="T42" s="3"/>
      <c r="AD42" s="684"/>
      <c r="AE42" s="684"/>
    </row>
    <row r="43" spans="1:31" s="586" customFormat="1">
      <c r="A43" s="591"/>
      <c r="B43" s="3"/>
      <c r="C43" s="3"/>
      <c r="D43" s="670" t="s">
        <v>333</v>
      </c>
      <c r="E43" s="3"/>
      <c r="F43" s="583" t="s">
        <v>332</v>
      </c>
      <c r="G43" s="3"/>
      <c r="H43" s="3"/>
      <c r="I43" s="3"/>
      <c r="J43" s="3"/>
      <c r="K43" s="3"/>
      <c r="L43" s="3"/>
      <c r="M43" s="3"/>
      <c r="N43" s="3"/>
      <c r="O43" s="148"/>
      <c r="P43" s="3"/>
      <c r="Q43" s="3"/>
      <c r="R43" s="632">
        <f>$A43*Q43</f>
        <v>0</v>
      </c>
      <c r="S43" s="3"/>
      <c r="T43" s="634">
        <f>$A43*S43*$T$1</f>
        <v>0</v>
      </c>
      <c r="W43">
        <v>2</v>
      </c>
      <c r="X43" s="627"/>
      <c r="AD43" s="573"/>
      <c r="AE43" s="573"/>
    </row>
    <row r="44" spans="1:31" s="627" customFormat="1">
      <c r="A44" s="668">
        <f ca="1">$Q$41 *(2)</f>
        <v>0.4</v>
      </c>
      <c r="B44" s="582" t="s">
        <v>272</v>
      </c>
      <c r="D44" s="627" t="s">
        <v>347</v>
      </c>
      <c r="F44" s="627" t="s">
        <v>297</v>
      </c>
      <c r="G44" s="628" t="s">
        <v>293</v>
      </c>
      <c r="H44" s="629">
        <v>501</v>
      </c>
      <c r="I44" s="627" t="s">
        <v>294</v>
      </c>
      <c r="J44" s="627" t="s">
        <v>295</v>
      </c>
      <c r="K44" s="627" t="s">
        <v>296</v>
      </c>
      <c r="O44" s="630">
        <v>1</v>
      </c>
      <c r="P44" s="631">
        <v>36175</v>
      </c>
      <c r="Q44" s="633">
        <v>15.65</v>
      </c>
      <c r="R44" s="632">
        <f ca="1">$A44*Q44</f>
        <v>6.2600000000000007</v>
      </c>
      <c r="S44" s="633"/>
      <c r="T44" s="634">
        <f ca="1">$A44*S44*$T$1</f>
        <v>0</v>
      </c>
      <c r="W44" s="582">
        <v>10</v>
      </c>
      <c r="X44" s="633"/>
      <c r="AD44" s="633"/>
      <c r="AE44" s="633"/>
    </row>
    <row r="45" spans="1:31" s="586" customFormat="1" ht="11.4">
      <c r="A45" s="669">
        <f t="shared" ref="A45:A50" ca="1" si="6">$Q$41 *(10)</f>
        <v>2</v>
      </c>
      <c r="B45" s="582" t="s">
        <v>273</v>
      </c>
      <c r="C45" s="582"/>
      <c r="D45" s="627" t="s">
        <v>348</v>
      </c>
      <c r="E45" s="582"/>
      <c r="F45" s="627" t="s">
        <v>297</v>
      </c>
      <c r="G45" s="582"/>
      <c r="H45" s="629">
        <v>501</v>
      </c>
      <c r="I45" s="584"/>
      <c r="J45" s="582"/>
      <c r="K45" s="582"/>
      <c r="L45" s="582"/>
      <c r="M45" s="582"/>
      <c r="N45" s="582"/>
      <c r="O45" s="582"/>
      <c r="P45" s="582"/>
      <c r="Q45" s="633">
        <v>0.15</v>
      </c>
      <c r="R45" s="632">
        <f t="shared" ref="R45:R50" ca="1" si="7">$A45*Q45</f>
        <v>0.3</v>
      </c>
      <c r="S45" s="584"/>
      <c r="T45" s="634">
        <f t="shared" ref="T45:T50" ca="1" si="8">$A45*S45*$T$1</f>
        <v>0</v>
      </c>
      <c r="W45" s="582">
        <v>10</v>
      </c>
      <c r="X45" s="633"/>
      <c r="AD45" s="633"/>
      <c r="AE45" s="633"/>
    </row>
    <row r="46" spans="1:31" s="586" customFormat="1" ht="11.4">
      <c r="A46" s="669">
        <f t="shared" ca="1" si="6"/>
        <v>2</v>
      </c>
      <c r="B46" s="582" t="s">
        <v>273</v>
      </c>
      <c r="C46" s="582"/>
      <c r="D46" s="627" t="s">
        <v>298</v>
      </c>
      <c r="E46" s="582"/>
      <c r="F46" s="627" t="s">
        <v>297</v>
      </c>
      <c r="G46" s="582"/>
      <c r="H46" s="629">
        <v>501</v>
      </c>
      <c r="I46" s="584"/>
      <c r="J46" s="582"/>
      <c r="K46" s="582"/>
      <c r="L46" s="582"/>
      <c r="M46" s="582"/>
      <c r="N46" s="582"/>
      <c r="O46" s="582"/>
      <c r="P46" s="582"/>
      <c r="Q46" s="633">
        <v>0.31</v>
      </c>
      <c r="R46" s="632">
        <f t="shared" ca="1" si="7"/>
        <v>0.62</v>
      </c>
      <c r="S46" s="584"/>
      <c r="T46" s="634">
        <f t="shared" ca="1" si="8"/>
        <v>0</v>
      </c>
      <c r="W46" s="582">
        <v>10</v>
      </c>
      <c r="X46" s="633"/>
      <c r="AD46" s="633"/>
      <c r="AE46" s="633"/>
    </row>
    <row r="47" spans="1:31" s="586" customFormat="1" ht="11.4">
      <c r="A47" s="669">
        <f t="shared" ca="1" si="6"/>
        <v>2</v>
      </c>
      <c r="B47" s="582" t="s">
        <v>273</v>
      </c>
      <c r="C47" s="582"/>
      <c r="D47" s="627" t="s">
        <v>300</v>
      </c>
      <c r="E47" s="582"/>
      <c r="F47" s="627" t="s">
        <v>297</v>
      </c>
      <c r="G47" s="582"/>
      <c r="H47" s="629">
        <v>501</v>
      </c>
      <c r="I47" s="584"/>
      <c r="J47" s="582"/>
      <c r="K47" s="582"/>
      <c r="L47" s="582"/>
      <c r="M47" s="582"/>
      <c r="N47" s="582"/>
      <c r="O47" s="582"/>
      <c r="P47" s="582"/>
      <c r="Q47" s="633">
        <v>0.66</v>
      </c>
      <c r="R47" s="632">
        <f t="shared" ca="1" si="7"/>
        <v>1.32</v>
      </c>
      <c r="S47" s="584"/>
      <c r="T47" s="634">
        <f t="shared" ca="1" si="8"/>
        <v>0</v>
      </c>
      <c r="W47" s="582">
        <v>10</v>
      </c>
      <c r="X47" s="633"/>
      <c r="AD47" s="633"/>
      <c r="AE47" s="633"/>
    </row>
    <row r="48" spans="1:31" s="586" customFormat="1" ht="11.4">
      <c r="A48" s="669">
        <f t="shared" ca="1" si="6"/>
        <v>2</v>
      </c>
      <c r="B48" s="582" t="s">
        <v>273</v>
      </c>
      <c r="C48" s="582"/>
      <c r="D48" s="627" t="s">
        <v>301</v>
      </c>
      <c r="E48" s="582"/>
      <c r="F48" s="627" t="s">
        <v>297</v>
      </c>
      <c r="G48" s="582"/>
      <c r="H48" s="629">
        <v>501</v>
      </c>
      <c r="I48" s="584"/>
      <c r="J48" s="582"/>
      <c r="K48" s="582"/>
      <c r="L48" s="582"/>
      <c r="M48" s="582"/>
      <c r="N48" s="582"/>
      <c r="O48" s="582"/>
      <c r="P48" s="582"/>
      <c r="Q48" s="633">
        <v>0.05</v>
      </c>
      <c r="R48" s="632">
        <f t="shared" ca="1" si="7"/>
        <v>0.1</v>
      </c>
      <c r="S48" s="584"/>
      <c r="T48" s="634">
        <f t="shared" ca="1" si="8"/>
        <v>0</v>
      </c>
      <c r="W48" s="582">
        <v>10</v>
      </c>
      <c r="X48" s="633"/>
      <c r="AD48" s="633"/>
      <c r="AE48" s="633"/>
    </row>
    <row r="49" spans="1:31" s="586" customFormat="1" ht="11.4">
      <c r="A49" s="669">
        <f t="shared" ca="1" si="6"/>
        <v>2</v>
      </c>
      <c r="B49" s="582" t="s">
        <v>273</v>
      </c>
      <c r="C49" s="582"/>
      <c r="D49" s="627" t="s">
        <v>329</v>
      </c>
      <c r="E49" s="582"/>
      <c r="F49" s="627" t="s">
        <v>297</v>
      </c>
      <c r="G49" s="582"/>
      <c r="H49" s="629">
        <v>501</v>
      </c>
      <c r="I49" s="584"/>
      <c r="J49" s="582"/>
      <c r="K49" s="582"/>
      <c r="L49" s="582"/>
      <c r="M49" s="582"/>
      <c r="N49" s="582"/>
      <c r="O49" s="582"/>
      <c r="P49" s="582"/>
      <c r="Q49" s="633">
        <v>0.05</v>
      </c>
      <c r="R49" s="632">
        <f t="shared" ca="1" si="7"/>
        <v>0.1</v>
      </c>
      <c r="S49" s="584"/>
      <c r="T49" s="634">
        <f t="shared" ca="1" si="8"/>
        <v>0</v>
      </c>
      <c r="W49" s="582">
        <v>10</v>
      </c>
      <c r="X49" s="633"/>
      <c r="AD49" s="633"/>
      <c r="AE49" s="633"/>
    </row>
    <row r="50" spans="1:31" s="586" customFormat="1" ht="11.4">
      <c r="A50" s="669">
        <f t="shared" ca="1" si="6"/>
        <v>2</v>
      </c>
      <c r="B50" s="582" t="s">
        <v>273</v>
      </c>
      <c r="C50" s="582"/>
      <c r="D50" s="627" t="s">
        <v>302</v>
      </c>
      <c r="E50" s="582"/>
      <c r="F50" s="627"/>
      <c r="G50" s="582"/>
      <c r="H50" s="629">
        <v>501</v>
      </c>
      <c r="I50" s="584"/>
      <c r="J50" s="582"/>
      <c r="K50" s="582"/>
      <c r="L50" s="582"/>
      <c r="M50" s="582"/>
      <c r="N50" s="582"/>
      <c r="O50" s="582"/>
      <c r="P50" s="582"/>
      <c r="Q50" s="633">
        <v>0.01</v>
      </c>
      <c r="R50" s="632">
        <f t="shared" ca="1" si="7"/>
        <v>0.02</v>
      </c>
      <c r="S50" s="584"/>
      <c r="T50" s="634">
        <f t="shared" ca="1" si="8"/>
        <v>0</v>
      </c>
      <c r="W50" s="591"/>
      <c r="X50" s="633"/>
      <c r="AD50" s="633"/>
      <c r="AE50" s="633"/>
    </row>
    <row r="51" spans="1:31" s="586" customFormat="1">
      <c r="A51" s="591"/>
      <c r="B51" s="3"/>
      <c r="C51" s="3"/>
      <c r="D51" s="670" t="s">
        <v>334</v>
      </c>
      <c r="E51" s="3"/>
      <c r="F51" s="583" t="s">
        <v>328</v>
      </c>
      <c r="G51" s="3"/>
      <c r="H51" s="3"/>
      <c r="I51" s="3"/>
      <c r="J51" s="3"/>
      <c r="K51" s="3"/>
      <c r="L51" s="3"/>
      <c r="M51" s="3"/>
      <c r="N51" s="3"/>
      <c r="O51" s="148"/>
      <c r="P51" s="3"/>
      <c r="Q51" s="3"/>
      <c r="R51" s="632">
        <f>$A51*Q51</f>
        <v>0</v>
      </c>
      <c r="S51" s="3"/>
      <c r="T51" s="634">
        <f>$A51*S51*$T$1</f>
        <v>0</v>
      </c>
      <c r="W51">
        <v>7.5</v>
      </c>
      <c r="X51" s="627"/>
      <c r="AD51" s="573"/>
      <c r="AE51" s="573"/>
    </row>
    <row r="52" spans="1:31" s="627" customFormat="1">
      <c r="A52" s="668">
        <f ca="1">$Q$41 *(7.5)</f>
        <v>1.5</v>
      </c>
      <c r="B52" s="582" t="s">
        <v>272</v>
      </c>
      <c r="D52" s="627" t="s">
        <v>347</v>
      </c>
      <c r="F52" s="627" t="s">
        <v>297</v>
      </c>
      <c r="G52" s="628" t="s">
        <v>293</v>
      </c>
      <c r="H52" s="629">
        <v>501</v>
      </c>
      <c r="I52" s="627" t="s">
        <v>294</v>
      </c>
      <c r="J52" s="627" t="s">
        <v>295</v>
      </c>
      <c r="K52" s="627" t="s">
        <v>296</v>
      </c>
      <c r="O52" s="630">
        <v>1</v>
      </c>
      <c r="P52" s="631">
        <v>36175</v>
      </c>
      <c r="Q52" s="633">
        <v>15.65</v>
      </c>
      <c r="R52" s="632">
        <f ca="1">$A52*Q52</f>
        <v>23.475000000000001</v>
      </c>
      <c r="S52" s="633"/>
      <c r="T52" s="634">
        <f ca="1">$A52*S52*$T$1</f>
        <v>0</v>
      </c>
      <c r="W52" s="582">
        <v>15</v>
      </c>
      <c r="X52" s="633"/>
      <c r="AD52" s="633"/>
      <c r="AE52" s="633"/>
    </row>
    <row r="53" spans="1:31" s="586" customFormat="1" ht="11.4">
      <c r="A53" s="669">
        <f ca="1">$Q$41 *(15)</f>
        <v>3</v>
      </c>
      <c r="B53" s="582" t="s">
        <v>273</v>
      </c>
      <c r="C53" s="582"/>
      <c r="D53" s="627" t="s">
        <v>348</v>
      </c>
      <c r="E53" s="582"/>
      <c r="F53" s="627" t="s">
        <v>297</v>
      </c>
      <c r="G53" s="582"/>
      <c r="H53" s="629">
        <v>501</v>
      </c>
      <c r="I53" s="584"/>
      <c r="J53" s="582"/>
      <c r="K53" s="582"/>
      <c r="L53" s="582"/>
      <c r="M53" s="582"/>
      <c r="N53" s="582"/>
      <c r="O53" s="582"/>
      <c r="P53" s="582"/>
      <c r="Q53" s="633">
        <v>0.15</v>
      </c>
      <c r="R53" s="632">
        <f t="shared" ref="R53:R60" ca="1" si="9">$A53*Q53</f>
        <v>0.44999999999999996</v>
      </c>
      <c r="S53" s="584"/>
      <c r="T53" s="634">
        <f t="shared" ref="T53:T60" ca="1" si="10">$A53*S53*$T$1</f>
        <v>0</v>
      </c>
      <c r="W53" s="582">
        <v>15</v>
      </c>
      <c r="X53" s="633"/>
      <c r="AC53" s="619"/>
      <c r="AD53" s="633"/>
      <c r="AE53" s="633"/>
    </row>
    <row r="54" spans="1:31" s="586" customFormat="1" ht="11.4">
      <c r="A54" s="669">
        <f ca="1">$Q$41 *(15)</f>
        <v>3</v>
      </c>
      <c r="B54" s="582" t="s">
        <v>273</v>
      </c>
      <c r="C54" s="582"/>
      <c r="D54" s="627" t="s">
        <v>349</v>
      </c>
      <c r="E54" s="582"/>
      <c r="F54" s="627" t="s">
        <v>297</v>
      </c>
      <c r="G54" s="582"/>
      <c r="H54" s="629">
        <v>501</v>
      </c>
      <c r="I54" s="584"/>
      <c r="J54" s="582"/>
      <c r="K54" s="582"/>
      <c r="L54" s="582"/>
      <c r="M54" s="582"/>
      <c r="N54" s="582"/>
      <c r="O54" s="582"/>
      <c r="P54" s="582"/>
      <c r="Q54" s="633">
        <v>14.47</v>
      </c>
      <c r="R54" s="632">
        <f t="shared" ca="1" si="9"/>
        <v>43.410000000000004</v>
      </c>
      <c r="S54" s="584"/>
      <c r="T54" s="634">
        <f t="shared" ca="1" si="10"/>
        <v>0</v>
      </c>
      <c r="W54" s="582">
        <v>60</v>
      </c>
      <c r="X54" s="633"/>
      <c r="AD54" s="633"/>
      <c r="AE54" s="633"/>
    </row>
    <row r="55" spans="1:31" s="586" customFormat="1" ht="11.4">
      <c r="A55" s="669">
        <f ca="1">$Q$41 *(60)</f>
        <v>12</v>
      </c>
      <c r="B55" s="582" t="s">
        <v>273</v>
      </c>
      <c r="C55" s="582"/>
      <c r="D55" s="627" t="s">
        <v>298</v>
      </c>
      <c r="E55" s="582"/>
      <c r="F55" s="627" t="s">
        <v>297</v>
      </c>
      <c r="G55" s="582"/>
      <c r="H55" s="629">
        <v>501</v>
      </c>
      <c r="I55" s="584"/>
      <c r="J55" s="582"/>
      <c r="K55" s="582"/>
      <c r="L55" s="582"/>
      <c r="M55" s="582"/>
      <c r="N55" s="582"/>
      <c r="O55" s="582"/>
      <c r="P55" s="582"/>
      <c r="Q55" s="633">
        <v>0.31</v>
      </c>
      <c r="R55" s="632">
        <f t="shared" ca="1" si="9"/>
        <v>3.7199999999999998</v>
      </c>
      <c r="S55" s="584"/>
      <c r="T55" s="634">
        <f t="shared" ca="1" si="10"/>
        <v>0</v>
      </c>
      <c r="W55" s="582">
        <v>60</v>
      </c>
      <c r="X55" s="633"/>
      <c r="AD55" s="633"/>
      <c r="AE55" s="633"/>
    </row>
    <row r="56" spans="1:31" s="586" customFormat="1" ht="11.4">
      <c r="A56" s="669">
        <f ca="1">$Q$41 *(60)</f>
        <v>12</v>
      </c>
      <c r="B56" s="582" t="s">
        <v>273</v>
      </c>
      <c r="C56" s="582"/>
      <c r="D56" s="627" t="s">
        <v>299</v>
      </c>
      <c r="E56" s="582"/>
      <c r="F56" s="627" t="s">
        <v>297</v>
      </c>
      <c r="G56" s="582"/>
      <c r="H56" s="629">
        <v>501</v>
      </c>
      <c r="I56" s="584"/>
      <c r="J56" s="582"/>
      <c r="K56" s="582"/>
      <c r="L56" s="582"/>
      <c r="M56" s="582"/>
      <c r="N56" s="582"/>
      <c r="O56" s="582"/>
      <c r="P56" s="582"/>
      <c r="Q56" s="633">
        <v>2.52</v>
      </c>
      <c r="R56" s="632">
        <f t="shared" ca="1" si="9"/>
        <v>30.240000000000002</v>
      </c>
      <c r="S56" s="584"/>
      <c r="T56" s="634">
        <f t="shared" ca="1" si="10"/>
        <v>0</v>
      </c>
      <c r="W56" s="582">
        <v>30</v>
      </c>
      <c r="X56" s="633"/>
      <c r="AD56" s="633"/>
      <c r="AE56" s="633"/>
    </row>
    <row r="57" spans="1:31" s="586" customFormat="1" ht="11.4">
      <c r="A57" s="669">
        <f ca="1">$Q$41 *(30)</f>
        <v>6</v>
      </c>
      <c r="B57" s="582" t="s">
        <v>273</v>
      </c>
      <c r="C57" s="582"/>
      <c r="D57" s="627" t="s">
        <v>300</v>
      </c>
      <c r="E57" s="582"/>
      <c r="F57" s="627" t="s">
        <v>297</v>
      </c>
      <c r="G57" s="582"/>
      <c r="H57" s="629">
        <v>501</v>
      </c>
      <c r="I57" s="584"/>
      <c r="J57" s="582"/>
      <c r="K57" s="582"/>
      <c r="L57" s="582"/>
      <c r="M57" s="582"/>
      <c r="N57" s="582"/>
      <c r="O57" s="582"/>
      <c r="P57" s="582"/>
      <c r="Q57" s="633">
        <v>0.66</v>
      </c>
      <c r="R57" s="632">
        <f t="shared" ca="1" si="9"/>
        <v>3.96</v>
      </c>
      <c r="S57" s="584"/>
      <c r="T57" s="634">
        <f t="shared" ca="1" si="10"/>
        <v>0</v>
      </c>
      <c r="W57" s="582">
        <v>30</v>
      </c>
      <c r="X57" s="633"/>
      <c r="AD57" s="633"/>
      <c r="AE57" s="633"/>
    </row>
    <row r="58" spans="1:31" s="586" customFormat="1" ht="11.4">
      <c r="A58" s="669">
        <f ca="1">$Q$41 *(30)</f>
        <v>6</v>
      </c>
      <c r="B58" s="582" t="s">
        <v>273</v>
      </c>
      <c r="C58" s="582"/>
      <c r="D58" s="627" t="s">
        <v>301</v>
      </c>
      <c r="E58" s="582"/>
      <c r="F58" s="627" t="s">
        <v>297</v>
      </c>
      <c r="G58" s="582"/>
      <c r="H58" s="629">
        <v>501</v>
      </c>
      <c r="I58" s="584"/>
      <c r="J58" s="582"/>
      <c r="K58" s="582"/>
      <c r="L58" s="582"/>
      <c r="M58" s="582"/>
      <c r="N58" s="582"/>
      <c r="O58" s="582"/>
      <c r="P58" s="582"/>
      <c r="Q58" s="633">
        <v>0.05</v>
      </c>
      <c r="R58" s="632">
        <f t="shared" ca="1" si="9"/>
        <v>0.30000000000000004</v>
      </c>
      <c r="S58" s="584"/>
      <c r="T58" s="634">
        <f t="shared" ca="1" si="10"/>
        <v>0</v>
      </c>
      <c r="W58" s="582">
        <v>30</v>
      </c>
      <c r="X58" s="633"/>
      <c r="AD58" s="633"/>
      <c r="AE58" s="633"/>
    </row>
    <row r="59" spans="1:31" s="586" customFormat="1" ht="11.4">
      <c r="A59" s="669">
        <f ca="1">$Q$41 *(30)</f>
        <v>6</v>
      </c>
      <c r="B59" s="582" t="s">
        <v>273</v>
      </c>
      <c r="C59" s="582"/>
      <c r="D59" s="627" t="s">
        <v>329</v>
      </c>
      <c r="E59" s="582"/>
      <c r="F59" s="627" t="s">
        <v>297</v>
      </c>
      <c r="G59" s="582"/>
      <c r="H59" s="629">
        <v>501</v>
      </c>
      <c r="I59" s="584"/>
      <c r="J59" s="582"/>
      <c r="K59" s="582"/>
      <c r="L59" s="582"/>
      <c r="M59" s="582"/>
      <c r="N59" s="582"/>
      <c r="O59" s="582"/>
      <c r="P59" s="582"/>
      <c r="Q59" s="633">
        <v>0.05</v>
      </c>
      <c r="R59" s="632">
        <f t="shared" ref="R59" ca="1" si="11">$A59*Q59</f>
        <v>0.30000000000000004</v>
      </c>
      <c r="S59" s="584"/>
      <c r="T59" s="634">
        <f t="shared" ref="T59" ca="1" si="12">$A59*S59*$T$1</f>
        <v>0</v>
      </c>
      <c r="W59" s="582">
        <v>30</v>
      </c>
      <c r="X59" s="633"/>
      <c r="AD59" s="633"/>
      <c r="AE59" s="633"/>
    </row>
    <row r="60" spans="1:31" s="586" customFormat="1" ht="11.4">
      <c r="A60" s="669">
        <f ca="1">$Q$41 *(30)</f>
        <v>6</v>
      </c>
      <c r="B60" s="582" t="s">
        <v>273</v>
      </c>
      <c r="C60" s="582"/>
      <c r="D60" s="627" t="s">
        <v>302</v>
      </c>
      <c r="E60" s="582"/>
      <c r="F60" s="627"/>
      <c r="G60" s="582"/>
      <c r="H60" s="629">
        <v>501</v>
      </c>
      <c r="I60" s="584"/>
      <c r="J60" s="582"/>
      <c r="K60" s="582"/>
      <c r="L60" s="582"/>
      <c r="M60" s="582"/>
      <c r="N60" s="582"/>
      <c r="O60" s="582"/>
      <c r="P60" s="582"/>
      <c r="Q60" s="633">
        <v>0.01</v>
      </c>
      <c r="R60" s="632">
        <f t="shared" ca="1" si="9"/>
        <v>0.06</v>
      </c>
      <c r="S60" s="584"/>
      <c r="T60" s="634">
        <f t="shared" ca="1" si="10"/>
        <v>0</v>
      </c>
      <c r="W60" s="591"/>
      <c r="X60" s="633"/>
      <c r="AD60" s="633"/>
      <c r="AE60" s="633"/>
    </row>
    <row r="61" spans="1:31" s="586" customFormat="1">
      <c r="A61" s="591"/>
      <c r="B61" s="3"/>
      <c r="C61" s="3"/>
      <c r="D61" s="670" t="s">
        <v>334</v>
      </c>
      <c r="E61" s="3"/>
      <c r="F61" s="583" t="s">
        <v>330</v>
      </c>
      <c r="G61" s="3"/>
      <c r="H61" s="3"/>
      <c r="I61" s="3"/>
      <c r="J61" s="3"/>
      <c r="K61" s="3"/>
      <c r="L61" s="3"/>
      <c r="M61" s="3"/>
      <c r="N61" s="3"/>
      <c r="O61" s="148"/>
      <c r="P61" s="3"/>
      <c r="Q61" s="3"/>
      <c r="R61" s="632">
        <f>$A61*Q61</f>
        <v>0</v>
      </c>
      <c r="S61" s="3"/>
      <c r="T61" s="634">
        <f>$A61*S61*$T$1</f>
        <v>0</v>
      </c>
      <c r="W61">
        <v>112</v>
      </c>
      <c r="X61" s="627"/>
      <c r="AD61" s="573"/>
      <c r="AE61" s="573"/>
    </row>
    <row r="62" spans="1:31" s="627" customFormat="1">
      <c r="A62" s="668">
        <f ca="1">$Q$41 *(112)</f>
        <v>22.400000000000002</v>
      </c>
      <c r="B62" s="582" t="s">
        <v>272</v>
      </c>
      <c r="D62" s="627" t="s">
        <v>347</v>
      </c>
      <c r="F62" s="627" t="s">
        <v>297</v>
      </c>
      <c r="G62" s="628" t="s">
        <v>293</v>
      </c>
      <c r="H62" s="629">
        <v>501</v>
      </c>
      <c r="I62" s="627" t="s">
        <v>294</v>
      </c>
      <c r="J62" s="627" t="s">
        <v>295</v>
      </c>
      <c r="K62" s="627" t="s">
        <v>296</v>
      </c>
      <c r="O62" s="630">
        <v>1</v>
      </c>
      <c r="P62" s="631">
        <v>36175</v>
      </c>
      <c r="Q62" s="633">
        <v>15.65</v>
      </c>
      <c r="R62" s="632">
        <f ca="1">$A62*Q62</f>
        <v>350.56000000000006</v>
      </c>
      <c r="S62" s="633"/>
      <c r="T62" s="634">
        <f ca="1">$A62*S62*$T$1</f>
        <v>0</v>
      </c>
      <c r="W62" s="582">
        <v>140</v>
      </c>
      <c r="X62" s="633"/>
      <c r="AD62" s="633"/>
      <c r="AE62" s="633"/>
    </row>
    <row r="63" spans="1:31" s="586" customFormat="1" ht="11.4">
      <c r="A63" s="669">
        <f ca="1">$Q$41 *(140)</f>
        <v>28</v>
      </c>
      <c r="B63" s="582" t="s">
        <v>273</v>
      </c>
      <c r="C63" s="582"/>
      <c r="D63" s="627" t="s">
        <v>348</v>
      </c>
      <c r="E63" s="582"/>
      <c r="F63" s="627" t="s">
        <v>297</v>
      </c>
      <c r="G63" s="582"/>
      <c r="H63" s="629">
        <v>501</v>
      </c>
      <c r="I63" s="584"/>
      <c r="J63" s="582"/>
      <c r="K63" s="582"/>
      <c r="L63" s="582"/>
      <c r="M63" s="582"/>
      <c r="N63" s="582"/>
      <c r="O63" s="582"/>
      <c r="P63" s="582"/>
      <c r="Q63" s="633">
        <v>0.15</v>
      </c>
      <c r="R63" s="632">
        <f t="shared" ref="R63:R71" ca="1" si="13">$A63*Q63</f>
        <v>4.2</v>
      </c>
      <c r="S63" s="584"/>
      <c r="T63" s="634">
        <f t="shared" ref="T63:T71" ca="1" si="14">$A63*S63*$T$1</f>
        <v>0</v>
      </c>
      <c r="W63" s="582">
        <v>140</v>
      </c>
      <c r="X63" s="633"/>
      <c r="AD63" s="633"/>
      <c r="AE63" s="633"/>
    </row>
    <row r="64" spans="1:31" s="586" customFormat="1" ht="11.4">
      <c r="A64" s="669">
        <f ca="1">$Q$41 *(140)</f>
        <v>28</v>
      </c>
      <c r="B64" s="582" t="s">
        <v>273</v>
      </c>
      <c r="C64" s="582"/>
      <c r="D64" s="627" t="s">
        <v>350</v>
      </c>
      <c r="E64" s="582"/>
      <c r="F64" s="627" t="s">
        <v>297</v>
      </c>
      <c r="G64" s="582"/>
      <c r="H64" s="629">
        <v>501</v>
      </c>
      <c r="I64" s="584"/>
      <c r="J64" s="582"/>
      <c r="K64" s="582"/>
      <c r="L64" s="582"/>
      <c r="M64" s="582"/>
      <c r="N64" s="582"/>
      <c r="O64" s="582"/>
      <c r="P64" s="582"/>
      <c r="Q64" s="633">
        <v>5.39</v>
      </c>
      <c r="R64" s="632">
        <f t="shared" ca="1" si="13"/>
        <v>150.91999999999999</v>
      </c>
      <c r="S64" s="584"/>
      <c r="T64" s="634">
        <f t="shared" ca="1" si="14"/>
        <v>0</v>
      </c>
      <c r="W64" s="582">
        <v>140</v>
      </c>
      <c r="X64" s="633"/>
      <c r="AD64" s="633"/>
      <c r="AE64" s="633"/>
    </row>
    <row r="65" spans="1:31" s="586" customFormat="1" ht="11.4">
      <c r="A65" s="669">
        <f ca="1">$Q$41 *(140)</f>
        <v>28</v>
      </c>
      <c r="B65" s="582" t="s">
        <v>273</v>
      </c>
      <c r="C65" s="582"/>
      <c r="D65" s="627" t="s">
        <v>349</v>
      </c>
      <c r="E65" s="582"/>
      <c r="F65" s="627" t="s">
        <v>297</v>
      </c>
      <c r="G65" s="582"/>
      <c r="H65" s="629">
        <v>501</v>
      </c>
      <c r="I65" s="584"/>
      <c r="J65" s="582"/>
      <c r="K65" s="582"/>
      <c r="L65" s="582"/>
      <c r="M65" s="582"/>
      <c r="N65" s="582"/>
      <c r="O65" s="582"/>
      <c r="P65" s="582"/>
      <c r="Q65" s="633">
        <v>14.47</v>
      </c>
      <c r="R65" s="632">
        <f t="shared" ca="1" si="13"/>
        <v>405.16</v>
      </c>
      <c r="S65" s="584"/>
      <c r="T65" s="634">
        <f t="shared" ca="1" si="14"/>
        <v>0</v>
      </c>
      <c r="W65" s="582">
        <v>280</v>
      </c>
      <c r="X65" s="633"/>
      <c r="AD65" s="633"/>
      <c r="AE65" s="633"/>
    </row>
    <row r="66" spans="1:31" s="586" customFormat="1" ht="11.4">
      <c r="A66" s="669">
        <f ca="1">$Q$41 *(280)</f>
        <v>56</v>
      </c>
      <c r="B66" s="582" t="s">
        <v>273</v>
      </c>
      <c r="C66" s="582"/>
      <c r="D66" s="627" t="s">
        <v>298</v>
      </c>
      <c r="E66" s="582"/>
      <c r="F66" s="627" t="s">
        <v>297</v>
      </c>
      <c r="G66" s="582"/>
      <c r="H66" s="629">
        <v>501</v>
      </c>
      <c r="I66" s="584"/>
      <c r="J66" s="582"/>
      <c r="K66" s="582"/>
      <c r="L66" s="582"/>
      <c r="M66" s="582"/>
      <c r="N66" s="582"/>
      <c r="O66" s="582"/>
      <c r="P66" s="582"/>
      <c r="Q66" s="633">
        <v>0.31</v>
      </c>
      <c r="R66" s="632">
        <f t="shared" ca="1" si="13"/>
        <v>17.36</v>
      </c>
      <c r="S66" s="584"/>
      <c r="T66" s="634">
        <f t="shared" ca="1" si="14"/>
        <v>0</v>
      </c>
      <c r="W66" s="582">
        <v>140</v>
      </c>
      <c r="X66" s="633"/>
      <c r="AD66" s="633"/>
      <c r="AE66" s="633"/>
    </row>
    <row r="67" spans="1:31" s="586" customFormat="1" ht="11.4">
      <c r="A67" s="669">
        <f ca="1">$Q$41 *(8*70)</f>
        <v>112</v>
      </c>
      <c r="B67" s="582" t="s">
        <v>273</v>
      </c>
      <c r="C67" s="582"/>
      <c r="D67" s="627" t="s">
        <v>299</v>
      </c>
      <c r="E67" s="582"/>
      <c r="F67" s="627" t="s">
        <v>297</v>
      </c>
      <c r="G67" s="582"/>
      <c r="H67" s="629">
        <v>501</v>
      </c>
      <c r="I67" s="584"/>
      <c r="J67" s="582"/>
      <c r="K67" s="582"/>
      <c r="L67" s="582"/>
      <c r="M67" s="582"/>
      <c r="N67" s="582"/>
      <c r="O67" s="582"/>
      <c r="P67" s="582"/>
      <c r="Q67" s="633">
        <v>2.52</v>
      </c>
      <c r="R67" s="632">
        <f t="shared" ca="1" si="13"/>
        <v>282.24</v>
      </c>
      <c r="S67" s="584"/>
      <c r="T67" s="634">
        <f t="shared" ca="1" si="14"/>
        <v>0</v>
      </c>
      <c r="W67" s="582">
        <v>30</v>
      </c>
      <c r="X67" s="633"/>
      <c r="AD67" s="633"/>
      <c r="AE67" s="633"/>
    </row>
    <row r="68" spans="1:31" s="586" customFormat="1" ht="11.4">
      <c r="A68" s="669">
        <f ca="1">$Q$41 *(140)</f>
        <v>28</v>
      </c>
      <c r="B68" s="582" t="s">
        <v>273</v>
      </c>
      <c r="C68" s="582"/>
      <c r="D68" s="627" t="s">
        <v>300</v>
      </c>
      <c r="E68" s="582"/>
      <c r="F68" s="627" t="s">
        <v>297</v>
      </c>
      <c r="G68" s="582"/>
      <c r="H68" s="629">
        <v>501</v>
      </c>
      <c r="I68" s="584"/>
      <c r="J68" s="582"/>
      <c r="K68" s="582"/>
      <c r="L68" s="582"/>
      <c r="M68" s="582"/>
      <c r="N68" s="582"/>
      <c r="O68" s="582"/>
      <c r="P68" s="582"/>
      <c r="Q68" s="633">
        <v>0.66</v>
      </c>
      <c r="R68" s="632">
        <f t="shared" ca="1" si="13"/>
        <v>18.48</v>
      </c>
      <c r="S68" s="584"/>
      <c r="T68" s="634">
        <f t="shared" ca="1" si="14"/>
        <v>0</v>
      </c>
      <c r="W68" s="582">
        <v>140</v>
      </c>
      <c r="X68" s="633"/>
      <c r="AD68" s="633"/>
      <c r="AE68" s="633"/>
    </row>
    <row r="69" spans="1:31" s="586" customFormat="1" ht="11.4">
      <c r="A69" s="669">
        <f ca="1">$Q$41 *(140)</f>
        <v>28</v>
      </c>
      <c r="B69" s="582" t="s">
        <v>273</v>
      </c>
      <c r="C69" s="582"/>
      <c r="D69" s="627" t="s">
        <v>301</v>
      </c>
      <c r="E69" s="582"/>
      <c r="F69" s="627" t="s">
        <v>297</v>
      </c>
      <c r="G69" s="582"/>
      <c r="H69" s="629">
        <v>501</v>
      </c>
      <c r="I69" s="584"/>
      <c r="J69" s="582"/>
      <c r="K69" s="582"/>
      <c r="L69" s="582"/>
      <c r="M69" s="582"/>
      <c r="N69" s="582"/>
      <c r="O69" s="582"/>
      <c r="P69" s="582"/>
      <c r="Q69" s="633">
        <v>0.05</v>
      </c>
      <c r="R69" s="632">
        <f t="shared" ca="1" si="13"/>
        <v>1.4000000000000001</v>
      </c>
      <c r="S69" s="584"/>
      <c r="T69" s="634">
        <f t="shared" ca="1" si="14"/>
        <v>0</v>
      </c>
      <c r="W69" s="582">
        <v>140</v>
      </c>
      <c r="X69" s="633"/>
      <c r="AD69" s="633"/>
      <c r="AE69" s="633"/>
    </row>
    <row r="70" spans="1:31" s="586" customFormat="1" ht="11.4">
      <c r="A70" s="669">
        <f ca="1">$Q$41 *(140)</f>
        <v>28</v>
      </c>
      <c r="B70" s="582" t="s">
        <v>273</v>
      </c>
      <c r="C70" s="582"/>
      <c r="D70" s="627" t="s">
        <v>329</v>
      </c>
      <c r="E70" s="582"/>
      <c r="F70" s="627" t="s">
        <v>297</v>
      </c>
      <c r="G70" s="582"/>
      <c r="H70" s="629">
        <v>501</v>
      </c>
      <c r="I70" s="584"/>
      <c r="J70" s="582"/>
      <c r="K70" s="582"/>
      <c r="L70" s="582"/>
      <c r="M70" s="582"/>
      <c r="N70" s="582"/>
      <c r="O70" s="582"/>
      <c r="P70" s="582"/>
      <c r="Q70" s="633">
        <v>0.05</v>
      </c>
      <c r="R70" s="632">
        <f t="shared" ca="1" si="13"/>
        <v>1.4000000000000001</v>
      </c>
      <c r="S70" s="584"/>
      <c r="T70" s="634">
        <f t="shared" ca="1" si="14"/>
        <v>0</v>
      </c>
      <c r="W70" s="582">
        <v>140</v>
      </c>
      <c r="X70" s="633"/>
      <c r="AD70" s="633"/>
      <c r="AE70" s="633"/>
    </row>
    <row r="71" spans="1:31" s="586" customFormat="1" ht="11.4">
      <c r="A71" s="669">
        <f ca="1">$Q$41 *(140)</f>
        <v>28</v>
      </c>
      <c r="B71" s="582" t="s">
        <v>273</v>
      </c>
      <c r="C71" s="582"/>
      <c r="D71" s="627" t="s">
        <v>302</v>
      </c>
      <c r="E71" s="582"/>
      <c r="F71" s="627"/>
      <c r="G71" s="582"/>
      <c r="H71" s="629">
        <v>501</v>
      </c>
      <c r="I71" s="584"/>
      <c r="J71" s="582"/>
      <c r="K71" s="582"/>
      <c r="L71" s="582"/>
      <c r="M71" s="582"/>
      <c r="N71" s="582"/>
      <c r="O71" s="582"/>
      <c r="P71" s="582"/>
      <c r="Q71" s="633">
        <v>0.01</v>
      </c>
      <c r="R71" s="632">
        <f t="shared" ca="1" si="13"/>
        <v>0.28000000000000003</v>
      </c>
      <c r="S71" s="584"/>
      <c r="T71" s="634">
        <f t="shared" ca="1" si="14"/>
        <v>0</v>
      </c>
      <c r="W71" s="591"/>
      <c r="X71" s="633"/>
      <c r="AD71" s="633"/>
      <c r="AE71" s="633"/>
    </row>
    <row r="72" spans="1:31" s="586" customFormat="1">
      <c r="A72" s="591"/>
      <c r="B72" s="3"/>
      <c r="C72" s="3"/>
      <c r="D72" s="670" t="s">
        <v>335</v>
      </c>
      <c r="E72" s="3"/>
      <c r="F72" s="583" t="s">
        <v>338</v>
      </c>
      <c r="G72" s="3"/>
      <c r="H72" s="3"/>
      <c r="I72" s="3"/>
      <c r="J72" s="3"/>
      <c r="K72" s="3"/>
      <c r="L72" s="3"/>
      <c r="M72" s="3"/>
      <c r="N72" s="3"/>
      <c r="O72" s="148"/>
      <c r="P72" s="3"/>
      <c r="Q72" s="3"/>
      <c r="R72" s="632">
        <f>$A72*Q72</f>
        <v>0</v>
      </c>
      <c r="S72" s="3"/>
      <c r="T72" s="634">
        <f>$A72*S72*$T$1</f>
        <v>0</v>
      </c>
      <c r="W72" s="582">
        <v>48</v>
      </c>
      <c r="X72" s="627"/>
      <c r="AD72" s="573"/>
      <c r="AE72" s="573"/>
    </row>
    <row r="73" spans="1:31" s="627" customFormat="1" ht="11.4">
      <c r="A73" s="669">
        <f ca="1">$Q$41 *(48)</f>
        <v>9.6000000000000014</v>
      </c>
      <c r="B73" s="582" t="s">
        <v>272</v>
      </c>
      <c r="D73" s="627" t="s">
        <v>347</v>
      </c>
      <c r="F73" s="627" t="s">
        <v>297</v>
      </c>
      <c r="G73" s="628" t="s">
        <v>293</v>
      </c>
      <c r="H73" s="629">
        <v>501</v>
      </c>
      <c r="I73" s="627" t="s">
        <v>294</v>
      </c>
      <c r="J73" s="627" t="s">
        <v>295</v>
      </c>
      <c r="K73" s="627" t="s">
        <v>296</v>
      </c>
      <c r="O73" s="630">
        <v>1</v>
      </c>
      <c r="P73" s="631">
        <v>36175</v>
      </c>
      <c r="Q73" s="633">
        <v>15.65</v>
      </c>
      <c r="R73" s="632">
        <f ca="1">$A73*Q73</f>
        <v>150.24000000000004</v>
      </c>
      <c r="S73" s="633"/>
      <c r="T73" s="634">
        <f ca="1">$A73*S73*$T$1</f>
        <v>0</v>
      </c>
      <c r="W73" s="582">
        <v>30</v>
      </c>
      <c r="X73" s="633"/>
      <c r="AD73" s="633"/>
      <c r="AE73" s="633"/>
    </row>
    <row r="74" spans="1:31" s="586" customFormat="1" ht="11.4">
      <c r="A74" s="669">
        <f ca="1">$Q$41 *(30)</f>
        <v>6</v>
      </c>
      <c r="B74" s="582" t="s">
        <v>273</v>
      </c>
      <c r="C74" s="582"/>
      <c r="D74" s="627" t="s">
        <v>348</v>
      </c>
      <c r="E74" s="582"/>
      <c r="F74" s="627" t="s">
        <v>297</v>
      </c>
      <c r="G74" s="582"/>
      <c r="H74" s="629">
        <v>501</v>
      </c>
      <c r="I74" s="584"/>
      <c r="J74" s="582"/>
      <c r="K74" s="582"/>
      <c r="L74" s="582"/>
      <c r="M74" s="582"/>
      <c r="N74" s="582"/>
      <c r="O74" s="582"/>
      <c r="P74" s="582"/>
      <c r="Q74" s="633">
        <v>0.15</v>
      </c>
      <c r="R74" s="632">
        <f t="shared" ref="R74:R82" ca="1" si="15">$A74*Q74</f>
        <v>0.89999999999999991</v>
      </c>
      <c r="S74" s="584"/>
      <c r="T74" s="634">
        <f t="shared" ref="T74:T82" ca="1" si="16">$A74*S74*$T$1</f>
        <v>0</v>
      </c>
      <c r="W74" s="582">
        <v>30</v>
      </c>
      <c r="X74" s="633"/>
      <c r="AD74" s="633"/>
      <c r="AE74" s="633"/>
    </row>
    <row r="75" spans="1:31" s="586" customFormat="1" ht="11.4">
      <c r="A75" s="669">
        <f ca="1">$Q$41 *(30)</f>
        <v>6</v>
      </c>
      <c r="B75" s="582" t="s">
        <v>273</v>
      </c>
      <c r="C75" s="582"/>
      <c r="D75" s="627" t="s">
        <v>350</v>
      </c>
      <c r="E75" s="582"/>
      <c r="F75" s="627" t="s">
        <v>297</v>
      </c>
      <c r="G75" s="582"/>
      <c r="H75" s="629">
        <v>501</v>
      </c>
      <c r="I75" s="584"/>
      <c r="J75" s="582"/>
      <c r="K75" s="582"/>
      <c r="L75" s="582"/>
      <c r="M75" s="582"/>
      <c r="N75" s="582"/>
      <c r="O75" s="582"/>
      <c r="P75" s="582"/>
      <c r="Q75" s="633">
        <v>5.39</v>
      </c>
      <c r="R75" s="632">
        <f t="shared" ca="1" si="15"/>
        <v>32.339999999999996</v>
      </c>
      <c r="S75" s="584"/>
      <c r="T75" s="634">
        <f t="shared" ca="1" si="16"/>
        <v>0</v>
      </c>
      <c r="W75" s="582">
        <v>30</v>
      </c>
      <c r="X75" s="633"/>
      <c r="AD75" s="633"/>
      <c r="AE75" s="633"/>
    </row>
    <row r="76" spans="1:31" s="586" customFormat="1" ht="11.4">
      <c r="A76" s="669">
        <f ca="1">$Q$41 *(30)</f>
        <v>6</v>
      </c>
      <c r="B76" s="582" t="s">
        <v>273</v>
      </c>
      <c r="C76" s="582"/>
      <c r="D76" s="627" t="s">
        <v>349</v>
      </c>
      <c r="E76" s="582"/>
      <c r="F76" s="627" t="s">
        <v>297</v>
      </c>
      <c r="G76" s="582"/>
      <c r="H76" s="629">
        <v>501</v>
      </c>
      <c r="I76" s="584"/>
      <c r="J76" s="582"/>
      <c r="K76" s="582"/>
      <c r="L76" s="582"/>
      <c r="M76" s="582"/>
      <c r="N76" s="582"/>
      <c r="O76" s="582"/>
      <c r="P76" s="582"/>
      <c r="Q76" s="633">
        <v>14.47</v>
      </c>
      <c r="R76" s="632">
        <f t="shared" ca="1" si="15"/>
        <v>86.820000000000007</v>
      </c>
      <c r="S76" s="584"/>
      <c r="T76" s="634">
        <f t="shared" ca="1" si="16"/>
        <v>0</v>
      </c>
      <c r="W76" s="582">
        <v>60</v>
      </c>
      <c r="X76" s="633"/>
      <c r="AD76" s="633"/>
      <c r="AE76" s="633"/>
    </row>
    <row r="77" spans="1:31" s="586" customFormat="1" ht="11.4">
      <c r="A77" s="669">
        <f ca="1">$Q$41 *(60)</f>
        <v>12</v>
      </c>
      <c r="B77" s="582" t="s">
        <v>273</v>
      </c>
      <c r="C77" s="582"/>
      <c r="D77" s="627" t="s">
        <v>298</v>
      </c>
      <c r="E77" s="582"/>
      <c r="F77" s="627" t="s">
        <v>297</v>
      </c>
      <c r="G77" s="582"/>
      <c r="H77" s="629">
        <v>501</v>
      </c>
      <c r="I77" s="584"/>
      <c r="J77" s="582"/>
      <c r="K77" s="582"/>
      <c r="L77" s="582"/>
      <c r="M77" s="582"/>
      <c r="N77" s="582"/>
      <c r="O77" s="582"/>
      <c r="P77" s="582"/>
      <c r="Q77" s="633">
        <v>0.31</v>
      </c>
      <c r="R77" s="632">
        <f t="shared" ca="1" si="15"/>
        <v>3.7199999999999998</v>
      </c>
      <c r="S77" s="584"/>
      <c r="T77" s="634">
        <f t="shared" ca="1" si="16"/>
        <v>0</v>
      </c>
      <c r="W77" s="582">
        <v>30</v>
      </c>
      <c r="X77" s="633"/>
      <c r="AD77" s="633"/>
      <c r="AE77" s="633"/>
    </row>
    <row r="78" spans="1:31" s="586" customFormat="1" ht="11.4">
      <c r="A78" s="669">
        <f ca="1">$Q$41 *(8*15)</f>
        <v>24</v>
      </c>
      <c r="B78" s="582" t="s">
        <v>273</v>
      </c>
      <c r="C78" s="582"/>
      <c r="D78" s="627" t="s">
        <v>299</v>
      </c>
      <c r="E78" s="582"/>
      <c r="F78" s="627" t="s">
        <v>297</v>
      </c>
      <c r="G78" s="582"/>
      <c r="H78" s="629">
        <v>501</v>
      </c>
      <c r="I78" s="584"/>
      <c r="J78" s="582"/>
      <c r="K78" s="582"/>
      <c r="L78" s="582"/>
      <c r="M78" s="582"/>
      <c r="N78" s="582"/>
      <c r="O78" s="582"/>
      <c r="P78" s="582"/>
      <c r="Q78" s="633">
        <v>2.52</v>
      </c>
      <c r="R78" s="632">
        <f t="shared" ca="1" si="15"/>
        <v>60.480000000000004</v>
      </c>
      <c r="S78" s="584"/>
      <c r="T78" s="634">
        <f t="shared" ca="1" si="16"/>
        <v>0</v>
      </c>
      <c r="W78" s="582">
        <v>30</v>
      </c>
      <c r="X78" s="633"/>
      <c r="AD78" s="633"/>
      <c r="AE78" s="633"/>
    </row>
    <row r="79" spans="1:31" s="586" customFormat="1" ht="11.4">
      <c r="A79" s="669">
        <f ca="1">$Q$41 *(30)</f>
        <v>6</v>
      </c>
      <c r="B79" s="582" t="s">
        <v>273</v>
      </c>
      <c r="C79" s="582"/>
      <c r="D79" s="627" t="s">
        <v>300</v>
      </c>
      <c r="E79" s="582"/>
      <c r="F79" s="627" t="s">
        <v>297</v>
      </c>
      <c r="G79" s="582"/>
      <c r="H79" s="629">
        <v>501</v>
      </c>
      <c r="I79" s="584"/>
      <c r="J79" s="582"/>
      <c r="K79" s="582"/>
      <c r="L79" s="582"/>
      <c r="M79" s="582"/>
      <c r="N79" s="582"/>
      <c r="O79" s="582"/>
      <c r="P79" s="582"/>
      <c r="Q79" s="633">
        <v>0.66</v>
      </c>
      <c r="R79" s="632">
        <f t="shared" ca="1" si="15"/>
        <v>3.96</v>
      </c>
      <c r="S79" s="584"/>
      <c r="T79" s="634">
        <f t="shared" ca="1" si="16"/>
        <v>0</v>
      </c>
      <c r="W79" s="582">
        <v>30</v>
      </c>
      <c r="X79" s="633"/>
      <c r="AD79" s="633"/>
      <c r="AE79" s="633"/>
    </row>
    <row r="80" spans="1:31" s="586" customFormat="1" ht="11.4">
      <c r="A80" s="669">
        <f ca="1">$Q$41 *(30)</f>
        <v>6</v>
      </c>
      <c r="B80" s="582" t="s">
        <v>273</v>
      </c>
      <c r="C80" s="582"/>
      <c r="D80" s="627" t="s">
        <v>301</v>
      </c>
      <c r="E80" s="582"/>
      <c r="F80" s="627" t="s">
        <v>297</v>
      </c>
      <c r="G80" s="582"/>
      <c r="H80" s="629">
        <v>501</v>
      </c>
      <c r="I80" s="584"/>
      <c r="J80" s="582"/>
      <c r="K80" s="582"/>
      <c r="L80" s="582"/>
      <c r="M80" s="582"/>
      <c r="N80" s="582"/>
      <c r="O80" s="582"/>
      <c r="P80" s="582"/>
      <c r="Q80" s="633">
        <v>0.05</v>
      </c>
      <c r="R80" s="632">
        <f t="shared" ca="1" si="15"/>
        <v>0.30000000000000004</v>
      </c>
      <c r="S80" s="584"/>
      <c r="T80" s="634">
        <f t="shared" ca="1" si="16"/>
        <v>0</v>
      </c>
      <c r="W80" s="582">
        <v>30</v>
      </c>
      <c r="X80" s="633"/>
      <c r="AD80" s="633"/>
      <c r="AE80" s="633"/>
    </row>
    <row r="81" spans="1:31" s="586" customFormat="1" ht="11.4">
      <c r="A81" s="669">
        <f ca="1">$Q$41 *(30)</f>
        <v>6</v>
      </c>
      <c r="B81" s="582" t="s">
        <v>273</v>
      </c>
      <c r="C81" s="582"/>
      <c r="D81" s="627" t="s">
        <v>329</v>
      </c>
      <c r="E81" s="582"/>
      <c r="F81" s="627" t="s">
        <v>297</v>
      </c>
      <c r="G81" s="582"/>
      <c r="H81" s="629">
        <v>501</v>
      </c>
      <c r="I81" s="584"/>
      <c r="J81" s="582"/>
      <c r="K81" s="582"/>
      <c r="L81" s="582"/>
      <c r="M81" s="582"/>
      <c r="N81" s="582"/>
      <c r="O81" s="582"/>
      <c r="P81" s="582"/>
      <c r="Q81" s="633">
        <v>0.05</v>
      </c>
      <c r="R81" s="632">
        <f t="shared" ca="1" si="15"/>
        <v>0.30000000000000004</v>
      </c>
      <c r="S81" s="584"/>
      <c r="T81" s="634">
        <f t="shared" ca="1" si="16"/>
        <v>0</v>
      </c>
      <c r="W81" s="582">
        <v>30</v>
      </c>
      <c r="X81" s="633"/>
      <c r="AD81" s="633"/>
      <c r="AE81" s="633"/>
    </row>
    <row r="82" spans="1:31" s="586" customFormat="1" ht="11.4">
      <c r="A82" s="669">
        <f ca="1">$Q$41 *(30)</f>
        <v>6</v>
      </c>
      <c r="B82" s="582" t="s">
        <v>273</v>
      </c>
      <c r="C82" s="582"/>
      <c r="D82" s="627" t="s">
        <v>302</v>
      </c>
      <c r="E82" s="582"/>
      <c r="F82" s="627"/>
      <c r="G82" s="582"/>
      <c r="H82" s="629">
        <v>501</v>
      </c>
      <c r="I82" s="584"/>
      <c r="J82" s="582"/>
      <c r="K82" s="582"/>
      <c r="L82" s="582"/>
      <c r="M82" s="582"/>
      <c r="N82" s="582"/>
      <c r="O82" s="582"/>
      <c r="P82" s="582"/>
      <c r="Q82" s="633">
        <v>0.01</v>
      </c>
      <c r="R82" s="632">
        <f t="shared" ca="1" si="15"/>
        <v>0.06</v>
      </c>
      <c r="S82" s="584"/>
      <c r="T82" s="634">
        <f t="shared" ca="1" si="16"/>
        <v>0</v>
      </c>
      <c r="W82" s="591"/>
      <c r="X82" s="633"/>
      <c r="AB82" s="586" t="s">
        <v>353</v>
      </c>
      <c r="AC82" s="586">
        <v>11250</v>
      </c>
      <c r="AD82" s="633"/>
      <c r="AE82" s="633"/>
    </row>
    <row r="83" spans="1:31" s="586" customFormat="1">
      <c r="A83" s="591"/>
      <c r="B83" s="3"/>
      <c r="C83" s="3"/>
      <c r="D83" s="670" t="s">
        <v>336</v>
      </c>
      <c r="E83" s="3"/>
      <c r="F83" s="583" t="s">
        <v>331</v>
      </c>
      <c r="G83" s="3"/>
      <c r="H83" s="3"/>
      <c r="I83" s="3"/>
      <c r="J83" s="3"/>
      <c r="K83" s="3"/>
      <c r="L83" s="3"/>
      <c r="M83" s="3"/>
      <c r="N83" s="3"/>
      <c r="O83" s="148"/>
      <c r="P83" s="3"/>
      <c r="Q83" s="3"/>
      <c r="R83" s="632">
        <f>$A83*Q83</f>
        <v>0</v>
      </c>
      <c r="S83" s="3"/>
      <c r="T83" s="634">
        <f>$A83*S83*$T$1</f>
        <v>0</v>
      </c>
      <c r="W83" s="582">
        <v>14</v>
      </c>
      <c r="X83" s="627"/>
      <c r="AB83" s="586" t="s">
        <v>354</v>
      </c>
      <c r="AD83" s="573"/>
      <c r="AE83" s="573"/>
    </row>
    <row r="84" spans="1:31" s="627" customFormat="1" ht="11.4">
      <c r="A84" s="669">
        <f ca="1">$Q$41 *(14)</f>
        <v>2.8000000000000003</v>
      </c>
      <c r="B84" s="582" t="s">
        <v>272</v>
      </c>
      <c r="D84" s="627" t="s">
        <v>347</v>
      </c>
      <c r="F84" s="627" t="s">
        <v>297</v>
      </c>
      <c r="G84" s="628" t="s">
        <v>293</v>
      </c>
      <c r="H84" s="629">
        <v>501</v>
      </c>
      <c r="I84" s="627" t="s">
        <v>294</v>
      </c>
      <c r="J84" s="627" t="s">
        <v>295</v>
      </c>
      <c r="K84" s="627" t="s">
        <v>296</v>
      </c>
      <c r="O84" s="630">
        <v>1</v>
      </c>
      <c r="P84" s="631">
        <v>36175</v>
      </c>
      <c r="Q84" s="633">
        <v>15.65</v>
      </c>
      <c r="R84" s="632">
        <f ca="1">$A84*Q84</f>
        <v>43.820000000000007</v>
      </c>
      <c r="S84" s="633"/>
      <c r="T84" s="634">
        <f ca="1">$A84*S84*$T$1</f>
        <v>0</v>
      </c>
      <c r="W84" s="582">
        <v>40</v>
      </c>
      <c r="X84" s="633"/>
      <c r="AD84" s="633"/>
      <c r="AE84" s="633"/>
    </row>
    <row r="85" spans="1:31" s="586" customFormat="1" ht="11.4">
      <c r="A85" s="669">
        <f ca="1">$Q$41 *(40)</f>
        <v>8</v>
      </c>
      <c r="B85" s="582" t="s">
        <v>273</v>
      </c>
      <c r="C85" s="582"/>
      <c r="D85" s="627" t="s">
        <v>348</v>
      </c>
      <c r="E85" s="582"/>
      <c r="F85" s="627" t="s">
        <v>297</v>
      </c>
      <c r="G85" s="582"/>
      <c r="H85" s="629">
        <v>501</v>
      </c>
      <c r="I85" s="584"/>
      <c r="J85" s="582"/>
      <c r="K85" s="582"/>
      <c r="L85" s="582"/>
      <c r="M85" s="582"/>
      <c r="N85" s="582"/>
      <c r="O85" s="582"/>
      <c r="P85" s="582"/>
      <c r="Q85" s="633">
        <v>0.15</v>
      </c>
      <c r="R85" s="632">
        <f t="shared" ref="R85:R93" ca="1" si="17">$A85*Q85</f>
        <v>1.2</v>
      </c>
      <c r="S85" s="584"/>
      <c r="T85" s="634">
        <f t="shared" ref="T85:T93" ca="1" si="18">$A85*S85*$T$1</f>
        <v>0</v>
      </c>
      <c r="W85" s="582">
        <v>40</v>
      </c>
      <c r="X85" s="633"/>
      <c r="AD85" s="633"/>
      <c r="AE85" s="633"/>
    </row>
    <row r="86" spans="1:31" s="586" customFormat="1" ht="11.4">
      <c r="A86" s="669">
        <f ca="1">$Q$41 *(40)</f>
        <v>8</v>
      </c>
      <c r="B86" s="582" t="s">
        <v>273</v>
      </c>
      <c r="C86" s="582"/>
      <c r="D86" s="627" t="s">
        <v>350</v>
      </c>
      <c r="E86" s="582"/>
      <c r="F86" s="627" t="s">
        <v>297</v>
      </c>
      <c r="G86" s="582"/>
      <c r="H86" s="629">
        <v>501</v>
      </c>
      <c r="I86" s="584"/>
      <c r="J86" s="582"/>
      <c r="K86" s="582"/>
      <c r="L86" s="582"/>
      <c r="M86" s="582"/>
      <c r="N86" s="582"/>
      <c r="O86" s="582"/>
      <c r="P86" s="582"/>
      <c r="Q86" s="633">
        <v>5.39</v>
      </c>
      <c r="R86" s="632">
        <f t="shared" ca="1" si="17"/>
        <v>43.12</v>
      </c>
      <c r="S86" s="584"/>
      <c r="T86" s="634">
        <f t="shared" ca="1" si="18"/>
        <v>0</v>
      </c>
      <c r="W86" s="582">
        <v>40</v>
      </c>
      <c r="X86" s="633"/>
      <c r="AD86" s="633"/>
      <c r="AE86" s="633"/>
    </row>
    <row r="87" spans="1:31" s="586" customFormat="1" ht="11.4">
      <c r="A87" s="669">
        <f ca="1">$Q$41 *(40)</f>
        <v>8</v>
      </c>
      <c r="B87" s="582" t="s">
        <v>273</v>
      </c>
      <c r="C87" s="582"/>
      <c r="D87" s="627" t="s">
        <v>349</v>
      </c>
      <c r="E87" s="582"/>
      <c r="F87" s="627" t="s">
        <v>297</v>
      </c>
      <c r="G87" s="582"/>
      <c r="H87" s="629">
        <v>501</v>
      </c>
      <c r="I87" s="584"/>
      <c r="J87" s="582"/>
      <c r="K87" s="582"/>
      <c r="L87" s="582"/>
      <c r="M87" s="582"/>
      <c r="N87" s="582"/>
      <c r="O87" s="582"/>
      <c r="P87" s="582"/>
      <c r="Q87" s="633">
        <v>14.47</v>
      </c>
      <c r="R87" s="632">
        <f t="shared" ca="1" si="17"/>
        <v>115.76</v>
      </c>
      <c r="S87" s="584"/>
      <c r="T87" s="634">
        <f t="shared" ca="1" si="18"/>
        <v>0</v>
      </c>
      <c r="W87" s="582">
        <v>80</v>
      </c>
      <c r="X87" s="633"/>
      <c r="AD87" s="633"/>
      <c r="AE87" s="633"/>
    </row>
    <row r="88" spans="1:31" s="586" customFormat="1" ht="11.4">
      <c r="A88" s="669">
        <f ca="1">$Q$41 *(80)</f>
        <v>16</v>
      </c>
      <c r="B88" s="582" t="s">
        <v>273</v>
      </c>
      <c r="C88" s="582"/>
      <c r="D88" s="627" t="s">
        <v>298</v>
      </c>
      <c r="E88" s="582"/>
      <c r="F88" s="627" t="s">
        <v>297</v>
      </c>
      <c r="G88" s="582"/>
      <c r="H88" s="629">
        <v>501</v>
      </c>
      <c r="I88" s="584"/>
      <c r="J88" s="582"/>
      <c r="K88" s="582"/>
      <c r="L88" s="582"/>
      <c r="M88" s="582"/>
      <c r="N88" s="582"/>
      <c r="O88" s="582"/>
      <c r="P88" s="582"/>
      <c r="Q88" s="633">
        <v>0.31</v>
      </c>
      <c r="R88" s="632">
        <f t="shared" ca="1" si="17"/>
        <v>4.96</v>
      </c>
      <c r="S88" s="584"/>
      <c r="T88" s="634">
        <f t="shared" ca="1" si="18"/>
        <v>0</v>
      </c>
      <c r="W88" s="582">
        <v>40</v>
      </c>
      <c r="X88" s="633"/>
      <c r="AD88" s="633"/>
      <c r="AE88" s="633"/>
    </row>
    <row r="89" spans="1:31" s="586" customFormat="1" ht="11.4">
      <c r="A89" s="669">
        <f ca="1">$Q$41 *(8*20)</f>
        <v>32</v>
      </c>
      <c r="B89" s="582" t="s">
        <v>273</v>
      </c>
      <c r="C89" s="582"/>
      <c r="D89" s="627" t="s">
        <v>299</v>
      </c>
      <c r="E89" s="582"/>
      <c r="F89" s="627" t="s">
        <v>297</v>
      </c>
      <c r="G89" s="582"/>
      <c r="H89" s="629">
        <v>501</v>
      </c>
      <c r="I89" s="584"/>
      <c r="J89" s="582"/>
      <c r="K89" s="582"/>
      <c r="L89" s="582"/>
      <c r="M89" s="582"/>
      <c r="N89" s="582"/>
      <c r="O89" s="582"/>
      <c r="P89" s="582"/>
      <c r="Q89" s="633">
        <v>2.52</v>
      </c>
      <c r="R89" s="632">
        <f t="shared" ca="1" si="17"/>
        <v>80.64</v>
      </c>
      <c r="S89" s="584"/>
      <c r="T89" s="634">
        <f t="shared" ca="1" si="18"/>
        <v>0</v>
      </c>
      <c r="W89" s="582">
        <v>30</v>
      </c>
      <c r="X89" s="633"/>
      <c r="AD89" s="633"/>
      <c r="AE89" s="633"/>
    </row>
    <row r="90" spans="1:31" s="586" customFormat="1" ht="11.4">
      <c r="A90" s="669">
        <f ca="1">$Q$41 *(40)</f>
        <v>8</v>
      </c>
      <c r="B90" s="582" t="s">
        <v>273</v>
      </c>
      <c r="C90" s="582"/>
      <c r="D90" s="627" t="s">
        <v>300</v>
      </c>
      <c r="E90" s="582"/>
      <c r="F90" s="627" t="s">
        <v>297</v>
      </c>
      <c r="G90" s="582"/>
      <c r="H90" s="629">
        <v>501</v>
      </c>
      <c r="I90" s="584"/>
      <c r="J90" s="582"/>
      <c r="K90" s="582"/>
      <c r="L90" s="582"/>
      <c r="M90" s="582"/>
      <c r="N90" s="582"/>
      <c r="O90" s="582"/>
      <c r="P90" s="582"/>
      <c r="Q90" s="633">
        <v>0.66</v>
      </c>
      <c r="R90" s="632">
        <f t="shared" ca="1" si="17"/>
        <v>5.28</v>
      </c>
      <c r="S90" s="584"/>
      <c r="T90" s="634">
        <f t="shared" ca="1" si="18"/>
        <v>0</v>
      </c>
      <c r="W90" s="582">
        <v>40</v>
      </c>
      <c r="X90" s="633"/>
      <c r="AD90" s="633"/>
      <c r="AE90" s="633"/>
    </row>
    <row r="91" spans="1:31" s="586" customFormat="1" ht="11.4">
      <c r="A91" s="669">
        <f ca="1">$Q$41 *(40)</f>
        <v>8</v>
      </c>
      <c r="B91" s="582" t="s">
        <v>273</v>
      </c>
      <c r="C91" s="582"/>
      <c r="D91" s="627" t="s">
        <v>301</v>
      </c>
      <c r="E91" s="582"/>
      <c r="F91" s="627" t="s">
        <v>297</v>
      </c>
      <c r="G91" s="582"/>
      <c r="H91" s="629">
        <v>501</v>
      </c>
      <c r="I91" s="584"/>
      <c r="J91" s="582"/>
      <c r="K91" s="582"/>
      <c r="L91" s="582"/>
      <c r="M91" s="582"/>
      <c r="N91" s="582"/>
      <c r="O91" s="582"/>
      <c r="P91" s="582"/>
      <c r="Q91" s="633">
        <v>0.05</v>
      </c>
      <c r="R91" s="632">
        <f t="shared" ca="1" si="17"/>
        <v>0.4</v>
      </c>
      <c r="S91" s="584"/>
      <c r="T91" s="634">
        <f t="shared" ca="1" si="18"/>
        <v>0</v>
      </c>
      <c r="W91" s="582">
        <v>40</v>
      </c>
      <c r="X91" s="633"/>
      <c r="AD91" s="633"/>
      <c r="AE91" s="633"/>
    </row>
    <row r="92" spans="1:31" s="586" customFormat="1" ht="11.4">
      <c r="A92" s="669">
        <f ca="1">$Q$41 *(40)</f>
        <v>8</v>
      </c>
      <c r="B92" s="582" t="s">
        <v>273</v>
      </c>
      <c r="C92" s="582"/>
      <c r="D92" s="627" t="s">
        <v>329</v>
      </c>
      <c r="E92" s="582"/>
      <c r="F92" s="627" t="s">
        <v>297</v>
      </c>
      <c r="G92" s="582"/>
      <c r="H92" s="629">
        <v>501</v>
      </c>
      <c r="I92" s="584"/>
      <c r="J92" s="582"/>
      <c r="K92" s="582"/>
      <c r="L92" s="582"/>
      <c r="M92" s="582"/>
      <c r="N92" s="582"/>
      <c r="O92" s="582"/>
      <c r="P92" s="582"/>
      <c r="Q92" s="633">
        <v>0.05</v>
      </c>
      <c r="R92" s="632">
        <f t="shared" ca="1" si="17"/>
        <v>0.4</v>
      </c>
      <c r="S92" s="584"/>
      <c r="T92" s="634">
        <f t="shared" ca="1" si="18"/>
        <v>0</v>
      </c>
      <c r="W92" s="582">
        <v>40</v>
      </c>
      <c r="X92" s="633"/>
      <c r="AD92" s="633"/>
      <c r="AE92" s="633"/>
    </row>
    <row r="93" spans="1:31" s="586" customFormat="1" ht="11.4">
      <c r="A93" s="669">
        <f ca="1">$Q$41 *(40)</f>
        <v>8</v>
      </c>
      <c r="B93" s="582" t="s">
        <v>273</v>
      </c>
      <c r="C93" s="582"/>
      <c r="D93" s="627" t="s">
        <v>302</v>
      </c>
      <c r="E93" s="582"/>
      <c r="F93" s="627"/>
      <c r="G93" s="582"/>
      <c r="H93" s="629">
        <v>501</v>
      </c>
      <c r="I93" s="584"/>
      <c r="J93" s="582"/>
      <c r="K93" s="582"/>
      <c r="L93" s="582"/>
      <c r="M93" s="582"/>
      <c r="N93" s="582"/>
      <c r="O93" s="582"/>
      <c r="P93" s="582"/>
      <c r="Q93" s="633">
        <v>0.01</v>
      </c>
      <c r="R93" s="632">
        <f t="shared" ca="1" si="17"/>
        <v>0.08</v>
      </c>
      <c r="S93" s="584"/>
      <c r="T93" s="634">
        <f t="shared" ca="1" si="18"/>
        <v>0</v>
      </c>
      <c r="W93" s="591"/>
      <c r="X93" s="633"/>
      <c r="AD93" s="633"/>
      <c r="AE93" s="633"/>
    </row>
    <row r="94" spans="1:31" s="586" customFormat="1">
      <c r="A94" s="591"/>
      <c r="B94" s="3"/>
      <c r="C94" s="3"/>
      <c r="D94" s="670" t="s">
        <v>337</v>
      </c>
      <c r="E94" s="3"/>
      <c r="F94" s="583" t="s">
        <v>352</v>
      </c>
      <c r="G94" s="3"/>
      <c r="H94" s="3"/>
      <c r="I94" s="3"/>
      <c r="J94" s="3"/>
      <c r="K94" s="3"/>
      <c r="L94" s="3"/>
      <c r="M94" s="3"/>
      <c r="N94" s="3"/>
      <c r="O94" s="148"/>
      <c r="P94" s="3"/>
      <c r="Q94" s="3"/>
      <c r="R94" s="632">
        <f>$A94*Q94</f>
        <v>0</v>
      </c>
      <c r="S94" s="3"/>
      <c r="T94" s="634">
        <f>$A94*S94*$T$1</f>
        <v>0</v>
      </c>
      <c r="W94" s="582">
        <v>17</v>
      </c>
      <c r="X94" s="627"/>
      <c r="AD94" s="573"/>
      <c r="AE94" s="573"/>
    </row>
    <row r="95" spans="1:31" s="627" customFormat="1" ht="11.4">
      <c r="A95" s="669">
        <f ca="1">$Q$41 *(17)</f>
        <v>3.4000000000000004</v>
      </c>
      <c r="B95" s="582" t="s">
        <v>272</v>
      </c>
      <c r="D95" s="627" t="s">
        <v>347</v>
      </c>
      <c r="F95" s="627" t="s">
        <v>297</v>
      </c>
      <c r="G95" s="628" t="s">
        <v>293</v>
      </c>
      <c r="H95" s="629">
        <v>501</v>
      </c>
      <c r="I95" s="627" t="s">
        <v>294</v>
      </c>
      <c r="J95" s="627" t="s">
        <v>295</v>
      </c>
      <c r="K95" s="627" t="s">
        <v>296</v>
      </c>
      <c r="O95" s="630">
        <v>1</v>
      </c>
      <c r="P95" s="631">
        <v>36175</v>
      </c>
      <c r="Q95" s="633">
        <v>15.65</v>
      </c>
      <c r="R95" s="632">
        <f ca="1">$A95*Q95</f>
        <v>53.210000000000008</v>
      </c>
      <c r="S95" s="633"/>
      <c r="T95" s="634">
        <f ca="1">$A95*S95*$T$1</f>
        <v>0</v>
      </c>
      <c r="W95" s="582">
        <v>30</v>
      </c>
      <c r="X95" s="633"/>
      <c r="AD95" s="633"/>
      <c r="AE95" s="633"/>
    </row>
    <row r="96" spans="1:31" s="586" customFormat="1" ht="11.4">
      <c r="A96" s="669">
        <f ca="1">$Q$41 *(30)</f>
        <v>6</v>
      </c>
      <c r="B96" s="582" t="s">
        <v>273</v>
      </c>
      <c r="C96" s="582"/>
      <c r="D96" s="627" t="s">
        <v>348</v>
      </c>
      <c r="E96" s="582"/>
      <c r="F96" s="627" t="s">
        <v>297</v>
      </c>
      <c r="G96" s="582"/>
      <c r="H96" s="629">
        <v>501</v>
      </c>
      <c r="I96" s="584"/>
      <c r="J96" s="582"/>
      <c r="K96" s="582"/>
      <c r="L96" s="582"/>
      <c r="M96" s="582"/>
      <c r="N96" s="582"/>
      <c r="O96" s="582"/>
      <c r="P96" s="582"/>
      <c r="Q96" s="633">
        <v>0.15</v>
      </c>
      <c r="R96" s="632">
        <f t="shared" ref="R96:R104" ca="1" si="19">$A96*Q96</f>
        <v>0.89999999999999991</v>
      </c>
      <c r="S96" s="584"/>
      <c r="T96" s="634">
        <f t="shared" ref="T96:T104" ca="1" si="20">$A96*S96*$T$1</f>
        <v>0</v>
      </c>
      <c r="W96" s="582">
        <v>34</v>
      </c>
      <c r="X96" s="633"/>
      <c r="AD96" s="633"/>
      <c r="AE96" s="633"/>
    </row>
    <row r="97" spans="1:31" s="586" customFormat="1" ht="11.4">
      <c r="A97" s="669">
        <f ca="1">$Q$41 *(34)</f>
        <v>6.8000000000000007</v>
      </c>
      <c r="B97" s="582" t="s">
        <v>273</v>
      </c>
      <c r="C97" s="582"/>
      <c r="D97" s="627" t="s">
        <v>350</v>
      </c>
      <c r="E97" s="582"/>
      <c r="F97" s="627" t="s">
        <v>297</v>
      </c>
      <c r="G97" s="582"/>
      <c r="H97" s="629">
        <v>501</v>
      </c>
      <c r="I97" s="584"/>
      <c r="J97" s="582"/>
      <c r="K97" s="582"/>
      <c r="L97" s="582"/>
      <c r="M97" s="582"/>
      <c r="N97" s="582"/>
      <c r="O97" s="582"/>
      <c r="P97" s="582"/>
      <c r="Q97" s="633">
        <v>5.39</v>
      </c>
      <c r="R97" s="632">
        <f t="shared" ca="1" si="19"/>
        <v>36.652000000000001</v>
      </c>
      <c r="S97" s="584"/>
      <c r="T97" s="634">
        <f t="shared" ca="1" si="20"/>
        <v>0</v>
      </c>
      <c r="W97" s="582">
        <v>16</v>
      </c>
      <c r="X97" s="633"/>
      <c r="AD97" s="633"/>
      <c r="AE97" s="633"/>
    </row>
    <row r="98" spans="1:31" s="586" customFormat="1" ht="11.4">
      <c r="A98" s="669">
        <f ca="1">$Q$41 *(16)</f>
        <v>3.2</v>
      </c>
      <c r="B98" s="582" t="s">
        <v>273</v>
      </c>
      <c r="C98" s="582"/>
      <c r="D98" s="627" t="s">
        <v>349</v>
      </c>
      <c r="E98" s="582"/>
      <c r="F98" s="627" t="s">
        <v>297</v>
      </c>
      <c r="G98" s="582"/>
      <c r="H98" s="629">
        <v>501</v>
      </c>
      <c r="I98" s="584"/>
      <c r="J98" s="582"/>
      <c r="K98" s="582"/>
      <c r="L98" s="582"/>
      <c r="M98" s="582"/>
      <c r="N98" s="582"/>
      <c r="O98" s="582"/>
      <c r="P98" s="582"/>
      <c r="Q98" s="633">
        <v>14.47</v>
      </c>
      <c r="R98" s="632">
        <f t="shared" ca="1" si="19"/>
        <v>46.304000000000002</v>
      </c>
      <c r="S98" s="584"/>
      <c r="T98" s="634">
        <f t="shared" ca="1" si="20"/>
        <v>0</v>
      </c>
      <c r="W98" s="582">
        <v>32</v>
      </c>
      <c r="X98" s="633"/>
      <c r="AD98" s="633"/>
      <c r="AE98" s="633"/>
    </row>
    <row r="99" spans="1:31" s="586" customFormat="1" ht="11.4">
      <c r="A99" s="669">
        <f ca="1">$Q$41 *(32)</f>
        <v>6.4</v>
      </c>
      <c r="B99" s="582" t="s">
        <v>273</v>
      </c>
      <c r="C99" s="582"/>
      <c r="D99" s="627" t="s">
        <v>298</v>
      </c>
      <c r="E99" s="582"/>
      <c r="F99" s="627" t="s">
        <v>297</v>
      </c>
      <c r="G99" s="582"/>
      <c r="H99" s="629">
        <v>501</v>
      </c>
      <c r="I99" s="584"/>
      <c r="J99" s="582"/>
      <c r="K99" s="582"/>
      <c r="L99" s="582"/>
      <c r="M99" s="582"/>
      <c r="N99" s="582"/>
      <c r="O99" s="582"/>
      <c r="P99" s="582"/>
      <c r="Q99" s="633">
        <v>0.31</v>
      </c>
      <c r="R99" s="632">
        <f t="shared" ca="1" si="19"/>
        <v>1.984</v>
      </c>
      <c r="S99" s="584"/>
      <c r="T99" s="634">
        <f t="shared" ca="1" si="20"/>
        <v>0</v>
      </c>
      <c r="W99" s="582">
        <v>38</v>
      </c>
      <c r="X99" s="633"/>
      <c r="AD99" s="633"/>
      <c r="AE99" s="633"/>
    </row>
    <row r="100" spans="1:31" s="586" customFormat="1" ht="11.4">
      <c r="A100" s="669">
        <f ca="1">$Q$41 *(32)</f>
        <v>6.4</v>
      </c>
      <c r="B100" s="582" t="s">
        <v>273</v>
      </c>
      <c r="C100" s="582"/>
      <c r="D100" s="627" t="s">
        <v>299</v>
      </c>
      <c r="E100" s="582"/>
      <c r="F100" s="627" t="s">
        <v>297</v>
      </c>
      <c r="G100" s="582"/>
      <c r="H100" s="629">
        <v>501</v>
      </c>
      <c r="I100" s="584"/>
      <c r="J100" s="582"/>
      <c r="K100" s="582"/>
      <c r="L100" s="582"/>
      <c r="M100" s="582"/>
      <c r="N100" s="582"/>
      <c r="O100" s="582"/>
      <c r="P100" s="582"/>
      <c r="Q100" s="633">
        <v>2.52</v>
      </c>
      <c r="R100" s="632">
        <f t="shared" ca="1" si="19"/>
        <v>16.128</v>
      </c>
      <c r="S100" s="584"/>
      <c r="T100" s="634">
        <f t="shared" ca="1" si="20"/>
        <v>0</v>
      </c>
      <c r="W100" s="582">
        <v>30</v>
      </c>
      <c r="X100" s="633"/>
      <c r="AD100" s="633"/>
      <c r="AE100" s="633"/>
    </row>
    <row r="101" spans="1:31" s="586" customFormat="1" ht="11.4">
      <c r="A101" s="669">
        <f ca="1">$Q$41 *(38)</f>
        <v>7.6000000000000005</v>
      </c>
      <c r="B101" s="582" t="s">
        <v>273</v>
      </c>
      <c r="C101" s="582"/>
      <c r="D101" s="627" t="s">
        <v>300</v>
      </c>
      <c r="E101" s="582"/>
      <c r="F101" s="627" t="s">
        <v>297</v>
      </c>
      <c r="G101" s="582"/>
      <c r="H101" s="629">
        <v>501</v>
      </c>
      <c r="I101" s="584"/>
      <c r="J101" s="582"/>
      <c r="K101" s="582"/>
      <c r="L101" s="582"/>
      <c r="M101" s="582"/>
      <c r="N101" s="582"/>
      <c r="O101" s="582"/>
      <c r="P101" s="582"/>
      <c r="Q101" s="633">
        <v>0.66</v>
      </c>
      <c r="R101" s="632">
        <f t="shared" ca="1" si="19"/>
        <v>5.0160000000000009</v>
      </c>
      <c r="S101" s="584"/>
      <c r="T101" s="634">
        <f t="shared" ca="1" si="20"/>
        <v>0</v>
      </c>
      <c r="W101" s="582">
        <v>38</v>
      </c>
      <c r="X101" s="633"/>
      <c r="AD101" s="633"/>
      <c r="AE101" s="633"/>
    </row>
    <row r="102" spans="1:31" s="586" customFormat="1" ht="11.4">
      <c r="A102" s="669">
        <f ca="1">$Q$41 *(38)</f>
        <v>7.6000000000000005</v>
      </c>
      <c r="B102" s="582" t="s">
        <v>273</v>
      </c>
      <c r="C102" s="582"/>
      <c r="D102" s="627" t="s">
        <v>301</v>
      </c>
      <c r="E102" s="582"/>
      <c r="F102" s="627" t="s">
        <v>297</v>
      </c>
      <c r="G102" s="582"/>
      <c r="H102" s="629">
        <v>501</v>
      </c>
      <c r="I102" s="584"/>
      <c r="J102" s="582"/>
      <c r="K102" s="582"/>
      <c r="L102" s="582"/>
      <c r="M102" s="582"/>
      <c r="N102" s="582"/>
      <c r="O102" s="582"/>
      <c r="P102" s="582"/>
      <c r="Q102" s="633">
        <v>0.05</v>
      </c>
      <c r="R102" s="632">
        <f t="shared" ca="1" si="19"/>
        <v>0.38000000000000006</v>
      </c>
      <c r="S102" s="584"/>
      <c r="T102" s="634">
        <f t="shared" ca="1" si="20"/>
        <v>0</v>
      </c>
      <c r="W102" s="582">
        <v>38</v>
      </c>
      <c r="X102" s="633"/>
      <c r="AD102" s="633"/>
      <c r="AE102" s="633"/>
    </row>
    <row r="103" spans="1:31" s="586" customFormat="1" ht="11.4">
      <c r="A103" s="669">
        <f ca="1">$Q$41 *(38)</f>
        <v>7.6000000000000005</v>
      </c>
      <c r="B103" s="582" t="s">
        <v>273</v>
      </c>
      <c r="C103" s="582"/>
      <c r="D103" s="627" t="s">
        <v>329</v>
      </c>
      <c r="E103" s="582"/>
      <c r="F103" s="627" t="s">
        <v>297</v>
      </c>
      <c r="G103" s="582"/>
      <c r="H103" s="629">
        <v>501</v>
      </c>
      <c r="I103" s="584"/>
      <c r="J103" s="582"/>
      <c r="K103" s="582"/>
      <c r="L103" s="582"/>
      <c r="M103" s="582"/>
      <c r="N103" s="582"/>
      <c r="O103" s="582"/>
      <c r="P103" s="582"/>
      <c r="Q103" s="633">
        <v>0.05</v>
      </c>
      <c r="R103" s="632">
        <f t="shared" ca="1" si="19"/>
        <v>0.38000000000000006</v>
      </c>
      <c r="S103" s="584"/>
      <c r="T103" s="634">
        <f t="shared" ca="1" si="20"/>
        <v>0</v>
      </c>
      <c r="W103" s="582">
        <v>38</v>
      </c>
      <c r="X103" s="633"/>
      <c r="AD103" s="633"/>
      <c r="AE103" s="633"/>
    </row>
    <row r="104" spans="1:31" s="586" customFormat="1" ht="11.4">
      <c r="A104" s="669">
        <f ca="1">$Q$41 *(38)</f>
        <v>7.6000000000000005</v>
      </c>
      <c r="B104" s="582" t="s">
        <v>273</v>
      </c>
      <c r="C104" s="582"/>
      <c r="D104" s="627" t="s">
        <v>302</v>
      </c>
      <c r="E104" s="582"/>
      <c r="F104" s="627"/>
      <c r="G104" s="582"/>
      <c r="H104" s="629">
        <v>501</v>
      </c>
      <c r="I104" s="584"/>
      <c r="J104" s="582"/>
      <c r="K104" s="582"/>
      <c r="L104" s="582"/>
      <c r="M104" s="582"/>
      <c r="N104" s="582"/>
      <c r="O104" s="582"/>
      <c r="P104" s="582"/>
      <c r="Q104" s="633">
        <v>0.01</v>
      </c>
      <c r="R104" s="632">
        <f t="shared" ca="1" si="19"/>
        <v>7.6000000000000012E-2</v>
      </c>
      <c r="S104" s="584"/>
      <c r="T104" s="634">
        <f t="shared" ca="1" si="20"/>
        <v>0</v>
      </c>
      <c r="W104" s="582">
        <v>150</v>
      </c>
      <c r="X104" s="633"/>
      <c r="AD104" s="633"/>
      <c r="AE104" s="633"/>
    </row>
    <row r="105" spans="1:31" s="627" customFormat="1" ht="11.4">
      <c r="A105" s="669">
        <f ca="1">$Q$41 *(150)</f>
        <v>30</v>
      </c>
      <c r="B105" s="582" t="s">
        <v>285</v>
      </c>
      <c r="D105" s="627" t="s">
        <v>303</v>
      </c>
      <c r="F105" s="627" t="s">
        <v>316</v>
      </c>
      <c r="G105" s="628" t="s">
        <v>293</v>
      </c>
      <c r="H105" s="629">
        <v>501</v>
      </c>
      <c r="I105" s="627" t="s">
        <v>294</v>
      </c>
      <c r="J105" s="627" t="s">
        <v>295</v>
      </c>
      <c r="K105" s="627" t="s">
        <v>296</v>
      </c>
      <c r="O105" s="630">
        <v>1</v>
      </c>
      <c r="P105" s="631">
        <v>36175</v>
      </c>
      <c r="Q105" s="671">
        <v>0</v>
      </c>
      <c r="R105" s="632">
        <f ca="1">$A105*Q105</f>
        <v>0</v>
      </c>
      <c r="S105" s="633">
        <v>0.25</v>
      </c>
      <c r="T105" s="634">
        <f ca="1">$A105*S105*$T$1</f>
        <v>9.375</v>
      </c>
      <c r="W105" s="582">
        <v>150</v>
      </c>
      <c r="AD105" s="633"/>
      <c r="AE105" s="633"/>
    </row>
    <row r="106" spans="1:31" s="627" customFormat="1" ht="11.4">
      <c r="A106" s="669">
        <f ca="1">$Q$41 *(150)</f>
        <v>30</v>
      </c>
      <c r="B106" s="582" t="s">
        <v>285</v>
      </c>
      <c r="D106" s="627" t="s">
        <v>303</v>
      </c>
      <c r="F106" s="627" t="s">
        <v>317</v>
      </c>
      <c r="G106" s="628" t="s">
        <v>293</v>
      </c>
      <c r="H106" s="629">
        <v>501</v>
      </c>
      <c r="I106" s="627" t="s">
        <v>294</v>
      </c>
      <c r="J106" s="627" t="s">
        <v>295</v>
      </c>
      <c r="K106" s="627" t="s">
        <v>296</v>
      </c>
      <c r="O106" s="630">
        <v>1</v>
      </c>
      <c r="P106" s="631">
        <v>36175</v>
      </c>
      <c r="Q106" s="671">
        <v>0</v>
      </c>
      <c r="R106" s="632">
        <f ca="1">$A106*Q106</f>
        <v>0</v>
      </c>
      <c r="S106" s="633">
        <v>0.25</v>
      </c>
      <c r="T106" s="634">
        <f ca="1">$A106*S106*$T$1</f>
        <v>9.375</v>
      </c>
      <c r="AD106" s="633"/>
      <c r="AE106" s="633"/>
    </row>
    <row r="107" spans="1:31" s="586" customFormat="1">
      <c r="A107" s="582"/>
      <c r="B107" s="3"/>
      <c r="C107" s="582" t="s">
        <v>171</v>
      </c>
      <c r="D107" s="3"/>
      <c r="E107" s="582"/>
      <c r="F107" s="583"/>
      <c r="G107" s="582"/>
      <c r="H107" s="582"/>
      <c r="I107" s="584"/>
      <c r="J107" s="582"/>
      <c r="K107" s="582"/>
      <c r="L107" s="582"/>
      <c r="M107" s="582"/>
      <c r="N107" s="582"/>
      <c r="O107" s="582"/>
      <c r="P107" s="582"/>
      <c r="Q107" s="684"/>
      <c r="R107" s="632">
        <f t="shared" ref="R107" si="21">$A107*Q107</f>
        <v>0</v>
      </c>
      <c r="S107" s="584"/>
      <c r="T107" s="634">
        <f t="shared" ref="T107" si="22">$A107*S107*$T$1</f>
        <v>0</v>
      </c>
      <c r="AD107" s="684"/>
      <c r="AE107" s="684"/>
    </row>
    <row r="108" spans="1:31" s="586" customFormat="1" ht="12.6" thickBot="1">
      <c r="A108" s="606" t="s">
        <v>142</v>
      </c>
      <c r="B108" s="607">
        <f>(R107+T107)</f>
        <v>0</v>
      </c>
      <c r="C108" s="608"/>
      <c r="D108" s="664" t="s">
        <v>172</v>
      </c>
      <c r="E108" s="525">
        <f ca="1">IF($B41=0,0,ROUND(ROUND(($R108*$S$2+($T108*$T$2))/$B41, 2)*$C$2,2))</f>
        <v>110.72</v>
      </c>
      <c r="F108" s="526">
        <f ca="1">ROUND($B41*$E108,2)</f>
        <v>3321.6</v>
      </c>
      <c r="G108" s="608"/>
      <c r="H108" s="608"/>
      <c r="I108" s="610"/>
      <c r="J108" s="608"/>
      <c r="K108" s="665" t="s">
        <v>141</v>
      </c>
      <c r="L108" s="611" t="s">
        <v>141</v>
      </c>
      <c r="M108" s="611"/>
      <c r="N108" s="611"/>
      <c r="O108" s="611"/>
      <c r="P108" s="611"/>
      <c r="Q108" s="665"/>
      <c r="R108" s="666">
        <f ca="1">SUM(R42:R107)</f>
        <v>2142.4450000000006</v>
      </c>
      <c r="S108" s="667"/>
      <c r="T108" s="666">
        <f ca="1">SUM(T42:T107)</f>
        <v>18.75</v>
      </c>
      <c r="U108" s="614"/>
      <c r="V108" s="614"/>
      <c r="W108" s="614"/>
      <c r="X108" s="614"/>
      <c r="Y108" s="614"/>
      <c r="Z108" s="614"/>
      <c r="AA108" s="614"/>
      <c r="AB108" s="614"/>
      <c r="AD108" s="684"/>
      <c r="AE108" s="684"/>
    </row>
    <row r="109" spans="1:31" s="586" customFormat="1" ht="12" thickTop="1">
      <c r="A109" s="57"/>
      <c r="B109" s="57"/>
      <c r="C109" s="57"/>
      <c r="D109" s="57"/>
      <c r="E109" s="57"/>
      <c r="F109" s="57"/>
      <c r="G109" s="57"/>
      <c r="H109" s="57"/>
      <c r="I109" s="57"/>
      <c r="J109" s="57"/>
      <c r="K109" s="57"/>
      <c r="L109" s="57"/>
      <c r="M109" s="57"/>
      <c r="N109" s="57"/>
      <c r="O109" s="58"/>
      <c r="P109" s="57"/>
      <c r="Q109" s="42" t="s">
        <v>168</v>
      </c>
      <c r="R109" s="57"/>
      <c r="S109" s="13"/>
      <c r="T109" s="57"/>
      <c r="AD109" s="684"/>
      <c r="AE109" s="684"/>
    </row>
    <row r="110" spans="1:31" s="586" customFormat="1" ht="12" customHeight="1" thickBot="1">
      <c r="A110" s="654">
        <v>150</v>
      </c>
      <c r="B110" s="655">
        <f ca="1">Elec_Est!B193</f>
        <v>0</v>
      </c>
      <c r="C110" s="656"/>
      <c r="D110" s="657" t="s">
        <v>355</v>
      </c>
      <c r="E110" s="658"/>
      <c r="F110" s="658"/>
      <c r="G110" s="595"/>
      <c r="H110" s="595"/>
      <c r="I110" s="659"/>
      <c r="J110" s="595"/>
      <c r="K110" s="656" t="s">
        <v>169</v>
      </c>
      <c r="L110" s="660" t="s">
        <v>169</v>
      </c>
      <c r="M110" s="660"/>
      <c r="N110" s="660"/>
      <c r="O110" s="660"/>
      <c r="P110" s="660"/>
      <c r="Q110" s="661">
        <f ca="1">B110/A110</f>
        <v>0</v>
      </c>
      <c r="R110" s="662">
        <f ca="1">IF($B110=0,0,IF($S$1="R",ROUND(R123/$B110,2),R123/$B110))</f>
        <v>0</v>
      </c>
      <c r="S110" s="663"/>
      <c r="T110" s="662">
        <f ca="1">IF($B110=0,0,IF($S$1="R",ROUND(T123/$B110,2),T123/$B110))</f>
        <v>0</v>
      </c>
      <c r="AD110" s="684"/>
      <c r="AE110" s="684"/>
    </row>
    <row r="111" spans="1:31" s="586" customFormat="1" ht="13.8" thickTop="1">
      <c r="A111" s="591"/>
      <c r="B111" s="3"/>
      <c r="C111" s="3"/>
      <c r="D111" s="147" t="s">
        <v>170</v>
      </c>
      <c r="E111" s="3"/>
      <c r="F111" s="3"/>
      <c r="G111" s="3"/>
      <c r="H111" s="3"/>
      <c r="I111" s="3"/>
      <c r="J111" s="3"/>
      <c r="K111" s="3"/>
      <c r="L111" s="3"/>
      <c r="M111" s="3"/>
      <c r="N111" s="3"/>
      <c r="O111" s="148"/>
      <c r="P111" s="3"/>
      <c r="Q111" s="3"/>
      <c r="R111" s="3"/>
      <c r="S111" s="3"/>
      <c r="T111" s="3"/>
      <c r="AD111" s="684"/>
      <c r="AE111" s="684"/>
    </row>
    <row r="112" spans="1:31" s="627" customFormat="1">
      <c r="A112" s="668">
        <f ca="1">$Q$110 *(150)</f>
        <v>0</v>
      </c>
      <c r="B112" s="627" t="s">
        <v>272</v>
      </c>
      <c r="D112" s="627" t="s">
        <v>286</v>
      </c>
      <c r="F112" s="627" t="s">
        <v>345</v>
      </c>
      <c r="G112" s="628" t="s">
        <v>287</v>
      </c>
      <c r="H112" s="629">
        <v>650</v>
      </c>
      <c r="I112" s="627" t="s">
        <v>279</v>
      </c>
      <c r="O112" s="630">
        <v>1</v>
      </c>
      <c r="P112" s="631">
        <v>36897</v>
      </c>
      <c r="Q112" s="727">
        <v>0</v>
      </c>
      <c r="R112" s="632">
        <f ca="1">$A112*Q112</f>
        <v>0</v>
      </c>
      <c r="S112" s="633">
        <v>0.25</v>
      </c>
      <c r="T112" s="634">
        <f ca="1">$A112*S112*$T$1</f>
        <v>0</v>
      </c>
      <c r="AD112" s="683"/>
      <c r="AE112" s="683"/>
    </row>
    <row r="113" spans="1:31" s="627" customFormat="1">
      <c r="A113" s="668">
        <f ca="1">$Q$110 *(150)</f>
        <v>0</v>
      </c>
      <c r="B113" s="627" t="s">
        <v>272</v>
      </c>
      <c r="D113" s="627" t="s">
        <v>291</v>
      </c>
      <c r="F113" s="627" t="s">
        <v>345</v>
      </c>
      <c r="G113" s="628" t="s">
        <v>292</v>
      </c>
      <c r="H113" s="629">
        <v>650</v>
      </c>
      <c r="I113" s="627" t="s">
        <v>279</v>
      </c>
      <c r="O113" s="630">
        <v>1</v>
      </c>
      <c r="P113" s="631"/>
      <c r="Q113" s="727">
        <v>0</v>
      </c>
      <c r="R113" s="632">
        <f ca="1">$A113*Q113</f>
        <v>0</v>
      </c>
      <c r="S113" s="633">
        <v>0.25</v>
      </c>
      <c r="T113" s="634">
        <f ca="1">$A113*S113*$T$1</f>
        <v>0</v>
      </c>
      <c r="AD113" s="683"/>
      <c r="AE113" s="683"/>
    </row>
    <row r="114" spans="1:31" s="627" customFormat="1">
      <c r="A114" s="668">
        <f ca="1">$Q$110 *(150*2)</f>
        <v>0</v>
      </c>
      <c r="B114" s="627" t="s">
        <v>272</v>
      </c>
      <c r="D114" s="627" t="s">
        <v>318</v>
      </c>
      <c r="F114" s="627" t="s">
        <v>345</v>
      </c>
      <c r="G114" s="628" t="s">
        <v>292</v>
      </c>
      <c r="H114" s="629">
        <v>650</v>
      </c>
      <c r="I114" s="627" t="s">
        <v>279</v>
      </c>
      <c r="O114" s="630">
        <v>1</v>
      </c>
      <c r="P114" s="631"/>
      <c r="Q114" s="633">
        <v>3.11</v>
      </c>
      <c r="R114" s="632">
        <f ca="1">$A114*Q114</f>
        <v>0</v>
      </c>
      <c r="S114" s="633"/>
      <c r="T114" s="634">
        <f ca="1">$A114*S114*$T$1</f>
        <v>0</v>
      </c>
      <c r="AD114" s="683"/>
      <c r="AE114" s="683"/>
    </row>
    <row r="115" spans="1:31" s="586" customFormat="1" ht="11.4">
      <c r="A115" s="669">
        <f ca="1">$Q$110 *(150/3)</f>
        <v>0</v>
      </c>
      <c r="B115" s="582" t="s">
        <v>273</v>
      </c>
      <c r="C115" s="582"/>
      <c r="D115" s="627" t="s">
        <v>288</v>
      </c>
      <c r="E115" s="582"/>
      <c r="F115" s="627" t="s">
        <v>345</v>
      </c>
      <c r="G115" s="582"/>
      <c r="H115" s="629">
        <v>650</v>
      </c>
      <c r="I115" s="584"/>
      <c r="J115" s="582"/>
      <c r="K115" s="582"/>
      <c r="L115" s="582"/>
      <c r="M115" s="582"/>
      <c r="N115" s="582"/>
      <c r="O115" s="582"/>
      <c r="P115" s="582"/>
      <c r="Q115" s="633">
        <v>3.43</v>
      </c>
      <c r="R115" s="632">
        <f t="shared" ref="R115" ca="1" si="23">$A115*Q115</f>
        <v>0</v>
      </c>
      <c r="S115" s="633">
        <v>0.02</v>
      </c>
      <c r="T115" s="634">
        <f t="shared" ref="T115" ca="1" si="24">$A115*S115*$T$1</f>
        <v>0</v>
      </c>
      <c r="AD115" s="684"/>
      <c r="AE115" s="684"/>
    </row>
    <row r="116" spans="1:31" s="627" customFormat="1" ht="11.4">
      <c r="A116" s="669">
        <f ca="1">$Q$110 *(15)</f>
        <v>0</v>
      </c>
      <c r="B116" s="627" t="s">
        <v>272</v>
      </c>
      <c r="D116" s="627" t="s">
        <v>340</v>
      </c>
      <c r="F116" s="627" t="s">
        <v>345</v>
      </c>
      <c r="G116" s="628" t="s">
        <v>292</v>
      </c>
      <c r="H116" s="629">
        <v>650</v>
      </c>
      <c r="I116" s="627" t="s">
        <v>279</v>
      </c>
      <c r="O116" s="630">
        <v>1</v>
      </c>
      <c r="P116" s="631"/>
      <c r="Q116" s="633">
        <v>43.16</v>
      </c>
      <c r="R116" s="632">
        <f ca="1">$A116*Q116</f>
        <v>0</v>
      </c>
      <c r="S116" s="633">
        <v>0.25</v>
      </c>
      <c r="T116" s="634">
        <f ca="1">$A116*S116*$T$1</f>
        <v>0</v>
      </c>
      <c r="AD116" s="683"/>
      <c r="AE116" s="683"/>
    </row>
    <row r="117" spans="1:31" s="627" customFormat="1" ht="11.4">
      <c r="A117" s="669">
        <f ca="1">$Q$110 *(12)</f>
        <v>0</v>
      </c>
      <c r="B117" s="627" t="s">
        <v>272</v>
      </c>
      <c r="D117" s="627" t="s">
        <v>341</v>
      </c>
      <c r="F117" s="627" t="s">
        <v>345</v>
      </c>
      <c r="G117" s="628" t="s">
        <v>292</v>
      </c>
      <c r="H117" s="629">
        <v>650</v>
      </c>
      <c r="I117" s="627" t="s">
        <v>279</v>
      </c>
      <c r="O117" s="630">
        <v>1</v>
      </c>
      <c r="P117" s="631"/>
      <c r="Q117" s="633">
        <v>21.49</v>
      </c>
      <c r="R117" s="632">
        <f ca="1">$A117*Q117</f>
        <v>0</v>
      </c>
      <c r="S117" s="633"/>
      <c r="T117" s="634">
        <f ca="1">$A117*S117*$T$1</f>
        <v>0</v>
      </c>
      <c r="AD117" s="683"/>
      <c r="AE117" s="683"/>
    </row>
    <row r="118" spans="1:31" s="627" customFormat="1" ht="11.4">
      <c r="A118" s="669">
        <f ca="1">$Q$110 *(1)</f>
        <v>0</v>
      </c>
      <c r="B118" s="627" t="s">
        <v>272</v>
      </c>
      <c r="D118" s="627" t="s">
        <v>342</v>
      </c>
      <c r="F118" s="627" t="s">
        <v>345</v>
      </c>
      <c r="G118" s="628" t="s">
        <v>292</v>
      </c>
      <c r="H118" s="629">
        <v>650</v>
      </c>
      <c r="I118" s="627" t="s">
        <v>279</v>
      </c>
      <c r="O118" s="630">
        <v>1</v>
      </c>
      <c r="P118" s="631"/>
      <c r="Q118" s="633">
        <v>54.52</v>
      </c>
      <c r="R118" s="632">
        <f ca="1">$A118*Q118</f>
        <v>0</v>
      </c>
      <c r="S118" s="633">
        <v>0.25</v>
      </c>
      <c r="T118" s="634">
        <f ca="1">$A118*S118*$T$1</f>
        <v>0</v>
      </c>
      <c r="AD118" s="683"/>
      <c r="AE118" s="683"/>
    </row>
    <row r="119" spans="1:31" s="586" customFormat="1" ht="11.4">
      <c r="A119" s="669">
        <f ca="1">$Q$110 *(150/3)</f>
        <v>0</v>
      </c>
      <c r="B119" s="582" t="s">
        <v>273</v>
      </c>
      <c r="C119" s="582"/>
      <c r="D119" s="627" t="s">
        <v>289</v>
      </c>
      <c r="E119" s="582"/>
      <c r="F119" s="627" t="s">
        <v>321</v>
      </c>
      <c r="G119" s="582"/>
      <c r="H119" s="629">
        <v>650</v>
      </c>
      <c r="I119" s="584"/>
      <c r="J119" s="582"/>
      <c r="K119" s="582"/>
      <c r="L119" s="582"/>
      <c r="M119" s="582"/>
      <c r="N119" s="582"/>
      <c r="O119" s="582"/>
      <c r="P119" s="582"/>
      <c r="Q119" s="633">
        <v>1.5960000000000001</v>
      </c>
      <c r="R119" s="632">
        <f t="shared" ref="R119:R120" ca="1" si="25">$A119*Q119</f>
        <v>0</v>
      </c>
      <c r="S119" s="633">
        <v>0.01</v>
      </c>
      <c r="T119" s="634">
        <f t="shared" ref="T119:T120" ca="1" si="26">$A119*S119*$T$1</f>
        <v>0</v>
      </c>
      <c r="AD119" s="684"/>
      <c r="AE119" s="684"/>
    </row>
    <row r="120" spans="1:31" s="586" customFormat="1" ht="11.4">
      <c r="A120" s="669">
        <f ca="1">$Q$110 *(150*8)</f>
        <v>0</v>
      </c>
      <c r="B120" s="582" t="s">
        <v>273</v>
      </c>
      <c r="C120" s="582"/>
      <c r="D120" s="627" t="s">
        <v>290</v>
      </c>
      <c r="E120" s="582"/>
      <c r="F120" s="627" t="s">
        <v>339</v>
      </c>
      <c r="G120" s="582"/>
      <c r="H120" s="629">
        <v>650</v>
      </c>
      <c r="I120" s="584"/>
      <c r="J120" s="582"/>
      <c r="K120" s="582"/>
      <c r="L120" s="582"/>
      <c r="M120" s="582"/>
      <c r="N120" s="582"/>
      <c r="O120" s="582"/>
      <c r="P120" s="582"/>
      <c r="Q120" s="633">
        <v>0.21</v>
      </c>
      <c r="R120" s="632">
        <f t="shared" ca="1" si="25"/>
        <v>0</v>
      </c>
      <c r="S120" s="584"/>
      <c r="T120" s="634">
        <f t="shared" ca="1" si="26"/>
        <v>0</v>
      </c>
      <c r="AD120" s="684"/>
      <c r="AE120" s="684"/>
    </row>
    <row r="121" spans="1:31" s="627" customFormat="1" ht="11.4">
      <c r="A121" s="669">
        <f ca="1">$Q$110 *(1)</f>
        <v>0</v>
      </c>
      <c r="B121" s="627" t="s">
        <v>285</v>
      </c>
      <c r="D121" s="627" t="s">
        <v>312</v>
      </c>
      <c r="E121" s="582"/>
      <c r="F121" s="627" t="s">
        <v>346</v>
      </c>
      <c r="G121" s="628" t="s">
        <v>313</v>
      </c>
      <c r="H121" s="629">
        <v>960</v>
      </c>
      <c r="I121" s="627" t="s">
        <v>284</v>
      </c>
      <c r="O121" s="630">
        <v>4</v>
      </c>
      <c r="P121" s="631">
        <v>38274</v>
      </c>
      <c r="Q121" s="633">
        <v>500</v>
      </c>
      <c r="R121" s="632">
        <f ca="1">$A121*Q121</f>
        <v>0</v>
      </c>
      <c r="S121" s="633"/>
      <c r="T121" s="634">
        <f ca="1">$A121*S121*$T$1</f>
        <v>0</v>
      </c>
      <c r="AD121" s="683"/>
      <c r="AE121" s="683"/>
    </row>
    <row r="122" spans="1:31" s="586" customFormat="1">
      <c r="A122" s="582"/>
      <c r="B122" s="3"/>
      <c r="C122" s="582" t="s">
        <v>171</v>
      </c>
      <c r="D122" s="3"/>
      <c r="E122" s="582"/>
      <c r="F122" s="583"/>
      <c r="G122" s="582"/>
      <c r="H122" s="582"/>
      <c r="I122" s="584"/>
      <c r="J122" s="582"/>
      <c r="K122" s="582"/>
      <c r="L122" s="582"/>
      <c r="M122" s="582"/>
      <c r="N122" s="582"/>
      <c r="O122" s="582"/>
      <c r="P122" s="582"/>
      <c r="Q122" s="584"/>
      <c r="R122" s="643">
        <f t="shared" ref="R122" si="27">$A122*Q122</f>
        <v>0</v>
      </c>
      <c r="S122" s="584"/>
      <c r="T122" s="585">
        <f t="shared" ref="T122" si="28">$A122*S122*$T$1</f>
        <v>0</v>
      </c>
      <c r="AD122" s="684"/>
      <c r="AE122" s="684"/>
    </row>
    <row r="123" spans="1:31" s="586" customFormat="1" ht="12.6" thickBot="1">
      <c r="A123" s="606" t="s">
        <v>142</v>
      </c>
      <c r="B123" s="607">
        <f>(R122+T122)</f>
        <v>0</v>
      </c>
      <c r="C123" s="608"/>
      <c r="D123" s="664" t="s">
        <v>172</v>
      </c>
      <c r="E123" s="525">
        <f ca="1">IF($B110=0,0,ROUND(ROUND(($R123*$S$2+($T123*$T$2))/$B110, 2)*$C$2,2))</f>
        <v>0</v>
      </c>
      <c r="F123" s="526">
        <f ca="1">ROUND($B110*$E123,2)</f>
        <v>0</v>
      </c>
      <c r="G123" s="608"/>
      <c r="H123" s="608"/>
      <c r="I123" s="610"/>
      <c r="J123" s="608"/>
      <c r="K123" s="665" t="s">
        <v>141</v>
      </c>
      <c r="L123" s="611" t="s">
        <v>141</v>
      </c>
      <c r="M123" s="611"/>
      <c r="N123" s="611"/>
      <c r="O123" s="611"/>
      <c r="P123" s="611"/>
      <c r="Q123" s="665"/>
      <c r="R123" s="666">
        <f ca="1">SUM(R111:R122)</f>
        <v>0</v>
      </c>
      <c r="S123" s="667"/>
      <c r="T123" s="666">
        <f ca="1">SUM(T111:T122)</f>
        <v>0</v>
      </c>
      <c r="U123" s="614"/>
      <c r="V123" s="614"/>
      <c r="W123" s="614"/>
      <c r="X123" s="614"/>
      <c r="Y123" s="614"/>
      <c r="Z123" s="614"/>
      <c r="AA123" s="614"/>
      <c r="AB123" s="614"/>
      <c r="AD123" s="684"/>
      <c r="AE123" s="684"/>
    </row>
    <row r="124" spans="1:31" ht="13.8" thickTop="1">
      <c r="A124" s="50" t="s">
        <v>154</v>
      </c>
      <c r="B124"/>
      <c r="C124"/>
      <c r="D124"/>
      <c r="E124"/>
      <c r="F124"/>
      <c r="G124"/>
      <c r="H124"/>
      <c r="I124"/>
      <c r="J124"/>
      <c r="K124"/>
      <c r="L124"/>
      <c r="M124"/>
      <c r="N124"/>
      <c r="O124" s="157"/>
      <c r="P124"/>
      <c r="Q124"/>
      <c r="R124"/>
      <c r="S124"/>
      <c r="T124"/>
    </row>
    <row r="125" spans="1:31" ht="14.4" thickBot="1">
      <c r="A125" s="50" t="s">
        <v>154</v>
      </c>
      <c r="B125" s="1"/>
      <c r="C125" s="33"/>
      <c r="D125" s="158" t="s">
        <v>173</v>
      </c>
      <c r="E125" s="1"/>
      <c r="F125" s="3"/>
      <c r="G125" s="3"/>
      <c r="H125" s="3"/>
      <c r="I125" s="3"/>
      <c r="J125" s="3"/>
      <c r="K125" s="3"/>
      <c r="L125" s="3"/>
      <c r="M125" s="3"/>
      <c r="N125" s="3"/>
      <c r="O125" s="148"/>
      <c r="P125" s="3"/>
      <c r="Q125" s="3"/>
      <c r="R125" s="159" t="s">
        <v>33</v>
      </c>
      <c r="S125" s="160"/>
      <c r="T125" s="159" t="s">
        <v>34</v>
      </c>
    </row>
    <row r="126" spans="1:31" ht="13.8" thickTop="1">
      <c r="A126" s="50" t="s">
        <v>154</v>
      </c>
      <c r="B126" s="3"/>
      <c r="C126" s="33"/>
      <c r="D126" s="1"/>
      <c r="E126" s="1"/>
      <c r="F126" s="33"/>
      <c r="G126" s="1"/>
      <c r="H126" s="1"/>
      <c r="I126" s="1"/>
      <c r="J126" s="1"/>
      <c r="K126" s="3"/>
      <c r="L126" s="1"/>
      <c r="M126" s="1"/>
      <c r="N126" s="1"/>
      <c r="O126" s="161"/>
      <c r="P126" s="1"/>
      <c r="Q126" s="1"/>
      <c r="R126" s="1"/>
      <c r="S126" s="1"/>
      <c r="T126" s="1"/>
    </row>
    <row r="127" spans="1:31" ht="13.8" thickBot="1">
      <c r="A127" s="50" t="s">
        <v>154</v>
      </c>
      <c r="B127" s="3"/>
      <c r="C127" s="33"/>
      <c r="D127" s="83" t="s">
        <v>174</v>
      </c>
      <c r="E127" s="1"/>
      <c r="F127" s="1"/>
      <c r="G127" s="33"/>
      <c r="H127" s="33"/>
      <c r="I127" s="33"/>
      <c r="J127" s="33"/>
      <c r="K127" s="3"/>
      <c r="L127" s="162" t="s">
        <v>175</v>
      </c>
      <c r="M127" s="162"/>
      <c r="N127" s="162"/>
      <c r="O127" s="163"/>
      <c r="P127" s="162"/>
      <c r="Q127" s="33"/>
      <c r="R127" s="164">
        <f ca="1">SUMIF($L$12:$L125,"",R$12:R125)</f>
        <v>3925.4553500000025</v>
      </c>
      <c r="S127" s="165"/>
      <c r="T127" s="164">
        <f ca="1">SUMIF($L$12:$L125,"",T$12:T125)</f>
        <v>43.125</v>
      </c>
    </row>
    <row r="128" spans="1:31" ht="13.8" thickBot="1">
      <c r="A128" s="50" t="s">
        <v>154</v>
      </c>
      <c r="B128" s="3"/>
      <c r="C128" s="33"/>
      <c r="D128" s="83" t="s">
        <v>176</v>
      </c>
      <c r="E128" s="1"/>
      <c r="F128" s="3"/>
      <c r="G128" s="3"/>
      <c r="H128" s="3"/>
      <c r="I128" s="3"/>
      <c r="J128" s="3"/>
      <c r="K128" s="3"/>
      <c r="L128" s="162" t="s">
        <v>177</v>
      </c>
      <c r="M128" s="162"/>
      <c r="N128" s="162"/>
      <c r="O128" s="163"/>
      <c r="P128" s="162"/>
      <c r="Q128" s="3"/>
      <c r="R128" s="166">
        <f ca="1">SUMIF($L$12:$L125,"ITEM",R$12:R125)</f>
        <v>3925.4553500000011</v>
      </c>
      <c r="S128" s="167"/>
      <c r="T128" s="166">
        <f ca="1">SUMIF($L$12:$L125,"ITEM",T$12:T125)</f>
        <v>43.125</v>
      </c>
    </row>
    <row r="129" spans="1:28" ht="13.8" thickBot="1">
      <c r="A129" s="97" t="s">
        <v>144</v>
      </c>
      <c r="B129" s="9"/>
      <c r="C129" s="53"/>
      <c r="D129" s="9"/>
      <c r="E129" s="9"/>
      <c r="F129" s="9"/>
      <c r="G129" s="9"/>
      <c r="H129" s="9"/>
      <c r="I129" s="9"/>
      <c r="J129" s="9"/>
      <c r="K129" s="9"/>
      <c r="L129" s="9"/>
      <c r="M129" s="9"/>
      <c r="N129" s="9"/>
      <c r="O129" s="168"/>
      <c r="P129" s="9"/>
      <c r="Q129" s="9"/>
      <c r="R129" s="9"/>
      <c r="S129" s="9"/>
      <c r="T129" s="9"/>
      <c r="U129" s="117"/>
      <c r="V129" s="117"/>
      <c r="W129" s="117"/>
      <c r="X129" s="117"/>
      <c r="Y129" s="117"/>
      <c r="Z129" s="117"/>
      <c r="AA129" s="117"/>
      <c r="AB129" s="117"/>
    </row>
    <row r="130" spans="1:28" ht="13.8" thickTop="1">
      <c r="A130" s="99"/>
      <c r="B130" s="508" t="s">
        <v>70</v>
      </c>
      <c r="C130" s="6"/>
      <c r="D130" s="100"/>
      <c r="E130" s="101" t="s">
        <v>155</v>
      </c>
      <c r="F130" s="102"/>
      <c r="G130" s="102"/>
      <c r="H130" s="102"/>
      <c r="I130" s="102"/>
      <c r="J130" s="102"/>
      <c r="K130" s="102"/>
      <c r="L130" s="102"/>
      <c r="M130" s="102"/>
      <c r="N130" s="102"/>
      <c r="O130" s="103"/>
      <c r="P130" s="102"/>
      <c r="Q130" s="104"/>
      <c r="R130" s="105">
        <f ca="1">SUM(R131:R186)</f>
        <v>3925.4553500000011</v>
      </c>
      <c r="S130" s="106"/>
      <c r="T130" s="105">
        <f ca="1">SUM(T131:T186)</f>
        <v>43.125</v>
      </c>
    </row>
    <row r="131" spans="1:28">
      <c r="A131" s="107"/>
      <c r="B131" s="528">
        <v>1</v>
      </c>
      <c r="C131" s="6" t="s">
        <v>72</v>
      </c>
      <c r="D131" s="36" t="s">
        <v>73</v>
      </c>
      <c r="F131" s="108">
        <v>501</v>
      </c>
      <c r="O131" s="109"/>
      <c r="P131" s="36">
        <v>1</v>
      </c>
      <c r="R131" s="110">
        <f t="shared" ref="R131:R162" ca="1" si="29">SUMIF($H$12:$H$124,$F131,R$12:R$124)</f>
        <v>2142.4450000000006</v>
      </c>
      <c r="S131" s="111"/>
      <c r="T131" s="110">
        <f t="shared" ref="T131:T162" ca="1" si="30">SUMIF($H$12:$H$124,$F131,T$12:T$124)</f>
        <v>18.75</v>
      </c>
    </row>
    <row r="132" spans="1:28" hidden="1">
      <c r="A132" s="107"/>
      <c r="B132" s="528">
        <v>2</v>
      </c>
      <c r="C132" s="6" t="s">
        <v>72</v>
      </c>
      <c r="D132" s="36" t="s">
        <v>74</v>
      </c>
      <c r="F132" s="108">
        <v>505</v>
      </c>
      <c r="O132" s="109"/>
      <c r="P132" s="36">
        <v>1</v>
      </c>
      <c r="R132" s="110">
        <f t="shared" si="29"/>
        <v>0</v>
      </c>
      <c r="S132" s="111"/>
      <c r="T132" s="110">
        <f t="shared" si="30"/>
        <v>0</v>
      </c>
    </row>
    <row r="133" spans="1:28" hidden="1">
      <c r="A133" s="107"/>
      <c r="B133" s="528">
        <v>3</v>
      </c>
      <c r="C133" s="6" t="s">
        <v>72</v>
      </c>
      <c r="D133" s="36" t="s">
        <v>75</v>
      </c>
      <c r="F133" s="108">
        <v>510</v>
      </c>
      <c r="O133" s="109"/>
      <c r="P133" s="36">
        <v>2</v>
      </c>
      <c r="R133" s="110">
        <f t="shared" si="29"/>
        <v>0</v>
      </c>
      <c r="S133" s="111"/>
      <c r="T133" s="110">
        <f t="shared" si="30"/>
        <v>0</v>
      </c>
    </row>
    <row r="134" spans="1:28" hidden="1">
      <c r="A134" s="107"/>
      <c r="B134" s="528">
        <v>4</v>
      </c>
      <c r="C134" s="6" t="s">
        <v>72</v>
      </c>
      <c r="D134" s="36" t="s">
        <v>76</v>
      </c>
      <c r="F134" s="108">
        <v>511</v>
      </c>
      <c r="O134" s="109"/>
      <c r="P134" s="36">
        <v>2</v>
      </c>
      <c r="R134" s="110">
        <f t="shared" si="29"/>
        <v>0</v>
      </c>
      <c r="S134" s="111"/>
      <c r="T134" s="110">
        <f t="shared" si="30"/>
        <v>0</v>
      </c>
    </row>
    <row r="135" spans="1:28" hidden="1">
      <c r="A135" s="107"/>
      <c r="B135" s="528">
        <v>5</v>
      </c>
      <c r="C135" s="6" t="s">
        <v>72</v>
      </c>
      <c r="D135" s="36" t="s">
        <v>77</v>
      </c>
      <c r="F135" s="108">
        <v>512</v>
      </c>
      <c r="O135" s="109"/>
      <c r="P135" s="36">
        <v>2</v>
      </c>
      <c r="R135" s="110">
        <f t="shared" si="29"/>
        <v>0</v>
      </c>
      <c r="S135" s="111"/>
      <c r="T135" s="110">
        <f t="shared" si="30"/>
        <v>0</v>
      </c>
    </row>
    <row r="136" spans="1:28" hidden="1">
      <c r="A136" s="107"/>
      <c r="B136" s="528">
        <v>6</v>
      </c>
      <c r="C136" s="6" t="s">
        <v>72</v>
      </c>
      <c r="D136" s="36" t="s">
        <v>78</v>
      </c>
      <c r="F136" s="108">
        <v>520</v>
      </c>
      <c r="O136" s="109"/>
      <c r="P136" s="36">
        <v>1</v>
      </c>
      <c r="R136" s="110">
        <f t="shared" si="29"/>
        <v>0</v>
      </c>
      <c r="S136" s="111"/>
      <c r="T136" s="110">
        <f t="shared" si="30"/>
        <v>0</v>
      </c>
    </row>
    <row r="137" spans="1:28" hidden="1">
      <c r="A137" s="107"/>
      <c r="B137" s="528">
        <v>7</v>
      </c>
      <c r="C137" s="6" t="s">
        <v>72</v>
      </c>
      <c r="D137" s="36" t="s">
        <v>79</v>
      </c>
      <c r="F137" s="108">
        <v>530</v>
      </c>
      <c r="O137" s="109"/>
      <c r="P137" s="36">
        <v>2</v>
      </c>
      <c r="R137" s="110">
        <f t="shared" si="29"/>
        <v>0</v>
      </c>
      <c r="S137" s="111"/>
      <c r="T137" s="110">
        <f t="shared" si="30"/>
        <v>0</v>
      </c>
    </row>
    <row r="138" spans="1:28" hidden="1">
      <c r="A138" s="107"/>
      <c r="B138" s="528">
        <v>8</v>
      </c>
      <c r="C138" s="6" t="s">
        <v>72</v>
      </c>
      <c r="D138" s="36" t="s">
        <v>80</v>
      </c>
      <c r="F138" s="108">
        <v>550</v>
      </c>
      <c r="O138" s="109"/>
      <c r="P138" s="36">
        <v>2</v>
      </c>
      <c r="R138" s="110">
        <f t="shared" si="29"/>
        <v>0</v>
      </c>
      <c r="S138" s="111"/>
      <c r="T138" s="110">
        <f t="shared" si="30"/>
        <v>0</v>
      </c>
    </row>
    <row r="139" spans="1:28" hidden="1">
      <c r="A139" s="107"/>
      <c r="B139" s="528">
        <v>9</v>
      </c>
      <c r="C139" s="6" t="s">
        <v>72</v>
      </c>
      <c r="D139" s="36" t="s">
        <v>81</v>
      </c>
      <c r="F139" s="108">
        <v>570</v>
      </c>
      <c r="O139" s="109"/>
      <c r="P139" s="36">
        <v>2</v>
      </c>
      <c r="R139" s="110">
        <f t="shared" si="29"/>
        <v>0</v>
      </c>
      <c r="S139" s="111"/>
      <c r="T139" s="110">
        <f t="shared" si="30"/>
        <v>0</v>
      </c>
    </row>
    <row r="140" spans="1:28" hidden="1">
      <c r="A140" s="107"/>
      <c r="B140" s="528">
        <v>10</v>
      </c>
      <c r="C140" s="6" t="s">
        <v>72</v>
      </c>
      <c r="D140" s="36" t="s">
        <v>82</v>
      </c>
      <c r="F140" s="108">
        <v>615</v>
      </c>
      <c r="O140" s="109"/>
      <c r="P140" s="36">
        <v>2</v>
      </c>
      <c r="R140" s="110">
        <f t="shared" si="29"/>
        <v>0</v>
      </c>
      <c r="S140" s="111"/>
      <c r="T140" s="110">
        <f t="shared" si="30"/>
        <v>0</v>
      </c>
    </row>
    <row r="141" spans="1:28" hidden="1">
      <c r="A141" s="107"/>
      <c r="B141" s="528">
        <v>11</v>
      </c>
      <c r="C141" s="6" t="s">
        <v>72</v>
      </c>
      <c r="D141" s="36" t="s">
        <v>84</v>
      </c>
      <c r="F141" s="108">
        <v>616</v>
      </c>
      <c r="O141" s="109"/>
      <c r="P141" s="36">
        <v>2</v>
      </c>
      <c r="R141" s="110">
        <f t="shared" si="29"/>
        <v>0</v>
      </c>
      <c r="S141" s="111"/>
      <c r="T141" s="110">
        <f t="shared" si="30"/>
        <v>0</v>
      </c>
    </row>
    <row r="142" spans="1:28" hidden="1">
      <c r="A142" s="107"/>
      <c r="B142" s="528">
        <v>12</v>
      </c>
      <c r="C142" s="6" t="s">
        <v>72</v>
      </c>
      <c r="D142" s="36" t="s">
        <v>85</v>
      </c>
      <c r="F142" s="108">
        <v>617</v>
      </c>
      <c r="O142" s="109"/>
      <c r="P142" s="36">
        <v>2</v>
      </c>
      <c r="R142" s="110">
        <f t="shared" si="29"/>
        <v>0</v>
      </c>
      <c r="S142" s="111"/>
      <c r="T142" s="110">
        <f t="shared" si="30"/>
        <v>0</v>
      </c>
    </row>
    <row r="143" spans="1:28">
      <c r="A143" s="107"/>
      <c r="B143" s="528">
        <v>13</v>
      </c>
      <c r="C143" s="6" t="s">
        <v>72</v>
      </c>
      <c r="D143" s="36" t="s">
        <v>156</v>
      </c>
      <c r="F143" s="108">
        <v>620</v>
      </c>
      <c r="O143" s="109"/>
      <c r="P143" s="36">
        <v>2</v>
      </c>
      <c r="R143" s="110">
        <f t="shared" si="29"/>
        <v>0</v>
      </c>
      <c r="S143" s="111"/>
      <c r="T143" s="110">
        <f t="shared" si="30"/>
        <v>0</v>
      </c>
    </row>
    <row r="144" spans="1:28">
      <c r="A144" s="107"/>
      <c r="B144" s="528">
        <v>14</v>
      </c>
      <c r="C144" s="6" t="s">
        <v>72</v>
      </c>
      <c r="D144" s="36" t="s">
        <v>87</v>
      </c>
      <c r="F144" s="108">
        <v>650</v>
      </c>
      <c r="O144" s="109"/>
      <c r="P144" s="36">
        <v>1</v>
      </c>
      <c r="R144" s="110">
        <f t="shared" ca="1" si="29"/>
        <v>1683.0103500000005</v>
      </c>
      <c r="S144" s="111"/>
      <c r="T144" s="110">
        <f t="shared" ca="1" si="30"/>
        <v>24.375</v>
      </c>
    </row>
    <row r="145" spans="1:20" hidden="1">
      <c r="A145" s="107"/>
      <c r="B145" s="528">
        <v>15</v>
      </c>
      <c r="C145" s="6" t="s">
        <v>72</v>
      </c>
      <c r="D145" s="36" t="s">
        <v>88</v>
      </c>
      <c r="F145" s="108">
        <v>651</v>
      </c>
      <c r="O145" s="109"/>
      <c r="P145" s="36">
        <v>1</v>
      </c>
      <c r="R145" s="110">
        <f t="shared" si="29"/>
        <v>0</v>
      </c>
      <c r="S145" s="111"/>
      <c r="T145" s="110">
        <f t="shared" si="30"/>
        <v>0</v>
      </c>
    </row>
    <row r="146" spans="1:20" hidden="1">
      <c r="A146" s="107"/>
      <c r="B146" s="528">
        <v>16</v>
      </c>
      <c r="C146" s="6" t="s">
        <v>72</v>
      </c>
      <c r="D146" s="36" t="s">
        <v>89</v>
      </c>
      <c r="F146" s="108">
        <v>652</v>
      </c>
      <c r="O146" s="109"/>
      <c r="P146" s="36">
        <v>1</v>
      </c>
      <c r="R146" s="110">
        <f t="shared" si="29"/>
        <v>0</v>
      </c>
      <c r="S146" s="111"/>
      <c r="T146" s="110">
        <f t="shared" si="30"/>
        <v>0</v>
      </c>
    </row>
    <row r="147" spans="1:20" hidden="1">
      <c r="A147" s="107"/>
      <c r="B147" s="528">
        <v>17</v>
      </c>
      <c r="C147" s="6" t="s">
        <v>72</v>
      </c>
      <c r="D147" s="36" t="s">
        <v>90</v>
      </c>
      <c r="F147" s="108">
        <v>654</v>
      </c>
      <c r="O147" s="109"/>
      <c r="P147" s="36">
        <v>1</v>
      </c>
      <c r="R147" s="110">
        <f t="shared" si="29"/>
        <v>0</v>
      </c>
      <c r="S147" s="111"/>
      <c r="T147" s="110">
        <f t="shared" si="30"/>
        <v>0</v>
      </c>
    </row>
    <row r="148" spans="1:20" hidden="1">
      <c r="A148" s="107"/>
      <c r="B148" s="528">
        <v>18</v>
      </c>
      <c r="C148" s="6" t="s">
        <v>72</v>
      </c>
      <c r="D148" s="36" t="s">
        <v>91</v>
      </c>
      <c r="F148" s="108">
        <v>675</v>
      </c>
      <c r="O148" s="109"/>
      <c r="P148" s="36">
        <v>1</v>
      </c>
      <c r="R148" s="110">
        <f t="shared" si="29"/>
        <v>0</v>
      </c>
      <c r="S148" s="111"/>
      <c r="T148" s="110">
        <f t="shared" si="30"/>
        <v>0</v>
      </c>
    </row>
    <row r="149" spans="1:20" hidden="1">
      <c r="A149" s="107"/>
      <c r="B149" s="528">
        <v>19</v>
      </c>
      <c r="C149" s="6" t="s">
        <v>72</v>
      </c>
      <c r="D149" s="36" t="s">
        <v>92</v>
      </c>
      <c r="F149" s="108">
        <v>676</v>
      </c>
      <c r="O149" s="109"/>
      <c r="P149" s="36">
        <v>1</v>
      </c>
      <c r="R149" s="110">
        <f t="shared" si="29"/>
        <v>0</v>
      </c>
      <c r="S149" s="111"/>
      <c r="T149" s="110">
        <f t="shared" si="30"/>
        <v>0</v>
      </c>
    </row>
    <row r="150" spans="1:20" hidden="1">
      <c r="A150" s="107"/>
      <c r="B150" s="528">
        <v>20</v>
      </c>
      <c r="C150" s="6" t="s">
        <v>72</v>
      </c>
      <c r="D150" s="36" t="s">
        <v>93</v>
      </c>
      <c r="F150" s="108">
        <v>680</v>
      </c>
      <c r="O150" s="109"/>
      <c r="P150" s="36">
        <v>1</v>
      </c>
      <c r="R150" s="110">
        <f t="shared" si="29"/>
        <v>0</v>
      </c>
      <c r="S150" s="111"/>
      <c r="T150" s="110">
        <f t="shared" si="30"/>
        <v>0</v>
      </c>
    </row>
    <row r="151" spans="1:20" hidden="1">
      <c r="A151" s="107"/>
      <c r="B151" s="528">
        <v>21</v>
      </c>
      <c r="C151" s="6" t="s">
        <v>72</v>
      </c>
      <c r="D151" s="36" t="s">
        <v>95</v>
      </c>
      <c r="F151" s="108">
        <v>681</v>
      </c>
      <c r="O151" s="109"/>
      <c r="P151" s="36">
        <v>1</v>
      </c>
      <c r="R151" s="110">
        <f t="shared" si="29"/>
        <v>0</v>
      </c>
      <c r="S151" s="111"/>
      <c r="T151" s="110">
        <f t="shared" si="30"/>
        <v>0</v>
      </c>
    </row>
    <row r="152" spans="1:20" hidden="1">
      <c r="A152" s="107"/>
      <c r="B152" s="528">
        <v>22</v>
      </c>
      <c r="C152" s="6" t="s">
        <v>72</v>
      </c>
      <c r="D152" s="36" t="s">
        <v>96</v>
      </c>
      <c r="F152" s="108">
        <v>690</v>
      </c>
      <c r="O152" s="109"/>
      <c r="P152" s="36">
        <v>1</v>
      </c>
      <c r="R152" s="110">
        <f t="shared" si="29"/>
        <v>0</v>
      </c>
      <c r="S152" s="111"/>
      <c r="T152" s="110">
        <f t="shared" si="30"/>
        <v>0</v>
      </c>
    </row>
    <row r="153" spans="1:20" hidden="1">
      <c r="A153" s="107"/>
      <c r="B153" s="528">
        <v>23</v>
      </c>
      <c r="C153" s="6" t="s">
        <v>72</v>
      </c>
      <c r="D153" s="36" t="s">
        <v>97</v>
      </c>
      <c r="F153" s="108">
        <v>700</v>
      </c>
      <c r="O153" s="109"/>
      <c r="P153" s="36">
        <v>1</v>
      </c>
      <c r="R153" s="110">
        <f t="shared" si="29"/>
        <v>0</v>
      </c>
      <c r="S153" s="111"/>
      <c r="T153" s="110">
        <f t="shared" si="30"/>
        <v>0</v>
      </c>
    </row>
    <row r="154" spans="1:20" hidden="1">
      <c r="A154" s="107"/>
      <c r="B154" s="528">
        <v>24</v>
      </c>
      <c r="C154" s="6" t="s">
        <v>72</v>
      </c>
      <c r="D154" s="36" t="s">
        <v>98</v>
      </c>
      <c r="F154" s="108">
        <v>705</v>
      </c>
      <c r="O154" s="109"/>
      <c r="P154" s="36">
        <v>3</v>
      </c>
      <c r="R154" s="110">
        <f t="shared" si="29"/>
        <v>0</v>
      </c>
      <c r="S154" s="111"/>
      <c r="T154" s="110">
        <f t="shared" si="30"/>
        <v>0</v>
      </c>
    </row>
    <row r="155" spans="1:20" hidden="1">
      <c r="A155" s="107"/>
      <c r="B155" s="528">
        <v>25</v>
      </c>
      <c r="C155" s="6" t="s">
        <v>72</v>
      </c>
      <c r="D155" s="36" t="s">
        <v>99</v>
      </c>
      <c r="F155" s="108">
        <v>706</v>
      </c>
      <c r="O155" s="109"/>
      <c r="P155" s="36">
        <v>3</v>
      </c>
      <c r="R155" s="110">
        <f t="shared" si="29"/>
        <v>0</v>
      </c>
      <c r="S155" s="111"/>
      <c r="T155" s="110">
        <f t="shared" si="30"/>
        <v>0</v>
      </c>
    </row>
    <row r="156" spans="1:20" hidden="1">
      <c r="A156" s="107"/>
      <c r="B156" s="528">
        <v>26</v>
      </c>
      <c r="C156" s="6" t="s">
        <v>72</v>
      </c>
      <c r="D156" s="36" t="s">
        <v>100</v>
      </c>
      <c r="F156" s="108">
        <v>725</v>
      </c>
      <c r="O156" s="109"/>
      <c r="P156" s="36">
        <v>3</v>
      </c>
      <c r="R156" s="110">
        <f t="shared" si="29"/>
        <v>0</v>
      </c>
      <c r="S156" s="111"/>
      <c r="T156" s="110">
        <f t="shared" si="30"/>
        <v>0</v>
      </c>
    </row>
    <row r="157" spans="1:20" hidden="1">
      <c r="A157" s="107"/>
      <c r="B157" s="528">
        <v>27</v>
      </c>
      <c r="C157" s="6" t="s">
        <v>72</v>
      </c>
      <c r="D157" s="36" t="s">
        <v>101</v>
      </c>
      <c r="F157" s="108">
        <v>726</v>
      </c>
      <c r="O157" s="109"/>
      <c r="P157" s="36">
        <v>3</v>
      </c>
      <c r="R157" s="110">
        <f t="shared" si="29"/>
        <v>0</v>
      </c>
      <c r="S157" s="111"/>
      <c r="T157" s="110">
        <f t="shared" si="30"/>
        <v>0</v>
      </c>
    </row>
    <row r="158" spans="1:20" hidden="1">
      <c r="A158" s="107"/>
      <c r="B158" s="528">
        <v>28</v>
      </c>
      <c r="C158" s="6" t="s">
        <v>72</v>
      </c>
      <c r="D158" s="36" t="s">
        <v>102</v>
      </c>
      <c r="F158" s="108">
        <v>750</v>
      </c>
      <c r="O158" s="109"/>
      <c r="P158" s="36">
        <v>3</v>
      </c>
      <c r="R158" s="110">
        <f t="shared" si="29"/>
        <v>0</v>
      </c>
      <c r="S158" s="111"/>
      <c r="T158" s="110">
        <f t="shared" si="30"/>
        <v>0</v>
      </c>
    </row>
    <row r="159" spans="1:20" hidden="1">
      <c r="A159" s="107"/>
      <c r="B159" s="528">
        <v>29</v>
      </c>
      <c r="C159" s="6" t="s">
        <v>72</v>
      </c>
      <c r="D159" s="36" t="s">
        <v>103</v>
      </c>
      <c r="F159" s="108">
        <v>751</v>
      </c>
      <c r="O159" s="109"/>
      <c r="P159" s="36">
        <v>3</v>
      </c>
      <c r="R159" s="110">
        <f t="shared" si="29"/>
        <v>0</v>
      </c>
      <c r="S159" s="111"/>
      <c r="T159" s="110">
        <f t="shared" si="30"/>
        <v>0</v>
      </c>
    </row>
    <row r="160" spans="1:20" hidden="1">
      <c r="A160" s="107"/>
      <c r="B160" s="528">
        <v>30</v>
      </c>
      <c r="C160" s="6" t="s">
        <v>72</v>
      </c>
      <c r="D160" s="36" t="s">
        <v>104</v>
      </c>
      <c r="F160" s="108">
        <v>752</v>
      </c>
      <c r="O160" s="109"/>
      <c r="P160" s="36">
        <v>3</v>
      </c>
      <c r="R160" s="110">
        <f t="shared" si="29"/>
        <v>0</v>
      </c>
      <c r="S160" s="111"/>
      <c r="T160" s="110">
        <f t="shared" si="30"/>
        <v>0</v>
      </c>
    </row>
    <row r="161" spans="1:20" hidden="1">
      <c r="A161" s="107"/>
      <c r="B161" s="528">
        <v>31</v>
      </c>
      <c r="C161" s="6" t="s">
        <v>72</v>
      </c>
      <c r="D161" s="616" t="s">
        <v>269</v>
      </c>
      <c r="F161" s="108">
        <v>753</v>
      </c>
      <c r="O161" s="109"/>
      <c r="P161" s="36">
        <v>3</v>
      </c>
      <c r="R161" s="110">
        <f t="shared" si="29"/>
        <v>0</v>
      </c>
      <c r="S161" s="111"/>
      <c r="T161" s="110">
        <f t="shared" si="30"/>
        <v>0</v>
      </c>
    </row>
    <row r="162" spans="1:20" hidden="1">
      <c r="A162" s="107"/>
      <c r="B162" s="528">
        <v>32</v>
      </c>
      <c r="C162" s="6" t="s">
        <v>72</v>
      </c>
      <c r="D162" s="36" t="s">
        <v>106</v>
      </c>
      <c r="F162" s="108">
        <v>770</v>
      </c>
      <c r="O162" s="109"/>
      <c r="P162" s="36">
        <v>3</v>
      </c>
      <c r="R162" s="110">
        <f t="shared" si="29"/>
        <v>0</v>
      </c>
      <c r="S162" s="111"/>
      <c r="T162" s="110">
        <f t="shared" si="30"/>
        <v>0</v>
      </c>
    </row>
    <row r="163" spans="1:20" hidden="1">
      <c r="A163" s="107"/>
      <c r="B163" s="528">
        <v>33</v>
      </c>
      <c r="C163" s="6" t="s">
        <v>72</v>
      </c>
      <c r="D163" s="36" t="s">
        <v>107</v>
      </c>
      <c r="F163" s="108">
        <v>790</v>
      </c>
      <c r="O163" s="109"/>
      <c r="P163" s="36">
        <v>3</v>
      </c>
      <c r="R163" s="110">
        <f t="shared" ref="R163:R186" si="31">SUMIF($H$12:$H$124,$F163,R$12:R$124)</f>
        <v>0</v>
      </c>
      <c r="S163" s="111"/>
      <c r="T163" s="110">
        <f t="shared" ref="T163:T186" si="32">SUMIF($H$12:$H$124,$F163,T$12:T$124)</f>
        <v>0</v>
      </c>
    </row>
    <row r="164" spans="1:20" hidden="1">
      <c r="A164" s="107"/>
      <c r="B164" s="528">
        <v>34</v>
      </c>
      <c r="C164" s="6" t="s">
        <v>72</v>
      </c>
      <c r="D164" s="36" t="s">
        <v>108</v>
      </c>
      <c r="F164" s="108">
        <v>791</v>
      </c>
      <c r="O164" s="109"/>
      <c r="P164" s="36">
        <v>3</v>
      </c>
      <c r="R164" s="110">
        <f t="shared" si="31"/>
        <v>0</v>
      </c>
      <c r="S164" s="111"/>
      <c r="T164" s="110">
        <f t="shared" si="32"/>
        <v>0</v>
      </c>
    </row>
    <row r="165" spans="1:20" hidden="1">
      <c r="A165" s="107"/>
      <c r="B165" s="528">
        <v>35</v>
      </c>
      <c r="C165" s="6" t="s">
        <v>72</v>
      </c>
      <c r="D165" s="36" t="s">
        <v>109</v>
      </c>
      <c r="F165" s="108">
        <v>810</v>
      </c>
      <c r="O165" s="109"/>
      <c r="P165" s="36">
        <v>3</v>
      </c>
      <c r="R165" s="110">
        <f t="shared" si="31"/>
        <v>0</v>
      </c>
      <c r="S165" s="111"/>
      <c r="T165" s="110">
        <f t="shared" si="32"/>
        <v>0</v>
      </c>
    </row>
    <row r="166" spans="1:20" hidden="1">
      <c r="A166" s="107"/>
      <c r="B166" s="528">
        <v>36</v>
      </c>
      <c r="C166" s="6" t="s">
        <v>72</v>
      </c>
      <c r="D166" s="36" t="s">
        <v>110</v>
      </c>
      <c r="F166" s="108">
        <v>815</v>
      </c>
      <c r="O166" s="109"/>
      <c r="P166" s="36">
        <v>3</v>
      </c>
      <c r="R166" s="110">
        <f t="shared" si="31"/>
        <v>0</v>
      </c>
      <c r="S166" s="111"/>
      <c r="T166" s="110">
        <f t="shared" si="32"/>
        <v>0</v>
      </c>
    </row>
    <row r="167" spans="1:20" hidden="1">
      <c r="A167" s="107"/>
      <c r="B167" s="528">
        <v>37</v>
      </c>
      <c r="C167" s="6" t="s">
        <v>72</v>
      </c>
      <c r="D167" s="36" t="s">
        <v>111</v>
      </c>
      <c r="F167" s="108">
        <v>820</v>
      </c>
      <c r="O167" s="109"/>
      <c r="P167" s="36">
        <v>2</v>
      </c>
      <c r="R167" s="110">
        <f t="shared" si="31"/>
        <v>0</v>
      </c>
      <c r="S167" s="111"/>
      <c r="T167" s="110">
        <f t="shared" si="32"/>
        <v>0</v>
      </c>
    </row>
    <row r="168" spans="1:20" hidden="1">
      <c r="A168" s="107"/>
      <c r="B168" s="528">
        <v>38</v>
      </c>
      <c r="C168" s="6" t="s">
        <v>72</v>
      </c>
      <c r="D168" s="36" t="s">
        <v>112</v>
      </c>
      <c r="F168" s="108">
        <v>821</v>
      </c>
      <c r="O168" s="109"/>
      <c r="P168" s="36">
        <v>3</v>
      </c>
      <c r="R168" s="110">
        <f t="shared" si="31"/>
        <v>0</v>
      </c>
      <c r="S168" s="111"/>
      <c r="T168" s="110">
        <f t="shared" si="32"/>
        <v>0</v>
      </c>
    </row>
    <row r="169" spans="1:20" hidden="1">
      <c r="A169" s="107"/>
      <c r="B169" s="528">
        <v>39</v>
      </c>
      <c r="C169" s="6" t="s">
        <v>72</v>
      </c>
      <c r="D169" s="36" t="s">
        <v>113</v>
      </c>
      <c r="F169" s="108">
        <v>835</v>
      </c>
      <c r="O169" s="109"/>
      <c r="P169" s="36">
        <v>3</v>
      </c>
      <c r="R169" s="110">
        <f t="shared" si="31"/>
        <v>0</v>
      </c>
      <c r="S169" s="111"/>
      <c r="T169" s="110">
        <f t="shared" si="32"/>
        <v>0</v>
      </c>
    </row>
    <row r="170" spans="1:20" hidden="1">
      <c r="A170" s="107"/>
      <c r="B170" s="528">
        <v>40</v>
      </c>
      <c r="C170" s="6" t="s">
        <v>72</v>
      </c>
      <c r="D170" s="36" t="s">
        <v>114</v>
      </c>
      <c r="F170" s="108">
        <v>845</v>
      </c>
      <c r="O170" s="109"/>
      <c r="P170" s="36">
        <v>2</v>
      </c>
      <c r="R170" s="110">
        <f t="shared" si="31"/>
        <v>0</v>
      </c>
      <c r="S170" s="111"/>
      <c r="T170" s="110">
        <f t="shared" si="32"/>
        <v>0</v>
      </c>
    </row>
    <row r="171" spans="1:20" hidden="1">
      <c r="A171" s="107"/>
      <c r="B171" s="528">
        <v>41</v>
      </c>
      <c r="C171" s="6" t="s">
        <v>72</v>
      </c>
      <c r="D171" s="36" t="s">
        <v>116</v>
      </c>
      <c r="F171" s="108">
        <v>855</v>
      </c>
      <c r="O171" s="109"/>
      <c r="P171" s="36">
        <v>3</v>
      </c>
      <c r="R171" s="110">
        <f t="shared" si="31"/>
        <v>0</v>
      </c>
      <c r="S171" s="111"/>
      <c r="T171" s="110">
        <f t="shared" si="32"/>
        <v>0</v>
      </c>
    </row>
    <row r="172" spans="1:20" hidden="1">
      <c r="A172" s="107"/>
      <c r="B172" s="528">
        <v>42</v>
      </c>
      <c r="C172" s="6" t="s">
        <v>72</v>
      </c>
      <c r="D172" s="36" t="s">
        <v>117</v>
      </c>
      <c r="F172" s="108">
        <v>856</v>
      </c>
      <c r="O172" s="109"/>
      <c r="P172" s="36">
        <v>3</v>
      </c>
      <c r="R172" s="110">
        <f t="shared" si="31"/>
        <v>0</v>
      </c>
      <c r="S172" s="111"/>
      <c r="T172" s="110">
        <f t="shared" si="32"/>
        <v>0</v>
      </c>
    </row>
    <row r="173" spans="1:20" hidden="1">
      <c r="A173" s="107"/>
      <c r="B173" s="528">
        <v>43</v>
      </c>
      <c r="C173" s="6" t="s">
        <v>72</v>
      </c>
      <c r="D173" s="36" t="s">
        <v>250</v>
      </c>
      <c r="F173" s="108">
        <v>857</v>
      </c>
      <c r="O173" s="109"/>
      <c r="P173" s="36">
        <v>3</v>
      </c>
      <c r="R173" s="110">
        <f t="shared" si="31"/>
        <v>0</v>
      </c>
      <c r="S173" s="111"/>
      <c r="T173" s="110">
        <f t="shared" si="32"/>
        <v>0</v>
      </c>
    </row>
    <row r="174" spans="1:20" hidden="1">
      <c r="A174" s="107"/>
      <c r="B174" s="528">
        <v>44</v>
      </c>
      <c r="C174" s="6" t="s">
        <v>72</v>
      </c>
      <c r="D174" s="36" t="s">
        <v>118</v>
      </c>
      <c r="F174" s="108">
        <v>858</v>
      </c>
      <c r="O174" s="109"/>
      <c r="P174" s="36">
        <v>3</v>
      </c>
      <c r="R174" s="110">
        <f t="shared" si="31"/>
        <v>0</v>
      </c>
      <c r="S174" s="111"/>
      <c r="T174" s="110">
        <f t="shared" si="32"/>
        <v>0</v>
      </c>
    </row>
    <row r="175" spans="1:20" hidden="1">
      <c r="A175" s="107"/>
      <c r="B175" s="528">
        <v>45</v>
      </c>
      <c r="C175" s="6" t="s">
        <v>72</v>
      </c>
      <c r="D175" s="36" t="s">
        <v>119</v>
      </c>
      <c r="F175" s="108">
        <v>865</v>
      </c>
      <c r="O175" s="109"/>
      <c r="P175" s="36">
        <v>3</v>
      </c>
      <c r="R175" s="110">
        <f t="shared" si="31"/>
        <v>0</v>
      </c>
      <c r="S175" s="111"/>
      <c r="T175" s="110">
        <f t="shared" si="32"/>
        <v>0</v>
      </c>
    </row>
    <row r="176" spans="1:20" hidden="1">
      <c r="A176" s="107"/>
      <c r="B176" s="528">
        <v>46</v>
      </c>
      <c r="C176" s="6" t="s">
        <v>72</v>
      </c>
      <c r="D176" s="36" t="s">
        <v>120</v>
      </c>
      <c r="F176" s="108">
        <v>870</v>
      </c>
      <c r="O176" s="109"/>
      <c r="P176" s="36">
        <v>4</v>
      </c>
      <c r="R176" s="110">
        <f t="shared" si="31"/>
        <v>0</v>
      </c>
      <c r="S176" s="111"/>
      <c r="T176" s="110">
        <f t="shared" si="32"/>
        <v>0</v>
      </c>
    </row>
    <row r="177" spans="1:28">
      <c r="A177" s="107"/>
      <c r="B177" s="528">
        <v>47</v>
      </c>
      <c r="C177" s="6" t="s">
        <v>72</v>
      </c>
      <c r="D177" s="36" t="s">
        <v>121</v>
      </c>
      <c r="F177" s="108">
        <v>875</v>
      </c>
      <c r="O177" s="109"/>
      <c r="P177" s="36">
        <v>1</v>
      </c>
      <c r="R177" s="110">
        <f t="shared" si="31"/>
        <v>0</v>
      </c>
      <c r="S177" s="111"/>
      <c r="T177" s="110">
        <f t="shared" si="32"/>
        <v>0</v>
      </c>
    </row>
    <row r="178" spans="1:28" hidden="1">
      <c r="A178" s="107"/>
      <c r="B178" s="528">
        <v>48</v>
      </c>
      <c r="C178" s="6" t="s">
        <v>72</v>
      </c>
      <c r="D178" s="36" t="s">
        <v>122</v>
      </c>
      <c r="F178" s="108">
        <v>880</v>
      </c>
      <c r="O178" s="109"/>
      <c r="P178" s="36">
        <v>3</v>
      </c>
      <c r="R178" s="110">
        <f t="shared" si="31"/>
        <v>0</v>
      </c>
      <c r="S178" s="111"/>
      <c r="T178" s="110">
        <f t="shared" si="32"/>
        <v>0</v>
      </c>
    </row>
    <row r="179" spans="1:28" hidden="1">
      <c r="A179" s="107"/>
      <c r="B179" s="528">
        <v>49</v>
      </c>
      <c r="C179" s="6" t="s">
        <v>72</v>
      </c>
      <c r="D179" s="36" t="s">
        <v>123</v>
      </c>
      <c r="F179" s="108">
        <v>885</v>
      </c>
      <c r="O179" s="109"/>
      <c r="P179" s="36">
        <v>4</v>
      </c>
      <c r="R179" s="110">
        <f t="shared" si="31"/>
        <v>0</v>
      </c>
      <c r="S179" s="111"/>
      <c r="T179" s="110">
        <f t="shared" si="32"/>
        <v>0</v>
      </c>
    </row>
    <row r="180" spans="1:28">
      <c r="A180" s="107"/>
      <c r="B180" s="528">
        <v>50</v>
      </c>
      <c r="C180" s="6" t="s">
        <v>72</v>
      </c>
      <c r="D180" s="36" t="s">
        <v>67</v>
      </c>
      <c r="F180" s="108">
        <v>900</v>
      </c>
      <c r="O180" s="109"/>
      <c r="P180" s="36">
        <v>3</v>
      </c>
      <c r="R180" s="110">
        <f t="shared" si="31"/>
        <v>0</v>
      </c>
      <c r="S180" s="111"/>
      <c r="T180" s="110">
        <f t="shared" si="32"/>
        <v>0</v>
      </c>
    </row>
    <row r="181" spans="1:28" hidden="1">
      <c r="A181" s="107"/>
      <c r="B181" s="528">
        <v>51</v>
      </c>
      <c r="C181" s="6" t="s">
        <v>72</v>
      </c>
      <c r="D181" s="36" t="s">
        <v>125</v>
      </c>
      <c r="F181" s="108">
        <v>901</v>
      </c>
      <c r="O181" s="109"/>
      <c r="P181" s="36">
        <v>1</v>
      </c>
      <c r="R181" s="110">
        <f t="shared" si="31"/>
        <v>0</v>
      </c>
      <c r="S181" s="111"/>
      <c r="T181" s="110">
        <f t="shared" si="32"/>
        <v>0</v>
      </c>
    </row>
    <row r="182" spans="1:28" hidden="1">
      <c r="A182" s="107"/>
      <c r="B182" s="528">
        <v>52</v>
      </c>
      <c r="C182" s="6" t="s">
        <v>72</v>
      </c>
      <c r="D182" s="36" t="s">
        <v>126</v>
      </c>
      <c r="F182" s="108">
        <v>902</v>
      </c>
      <c r="O182" s="109"/>
      <c r="P182" s="36">
        <v>3</v>
      </c>
      <c r="R182" s="110">
        <f t="shared" si="31"/>
        <v>0</v>
      </c>
      <c r="S182" s="111"/>
      <c r="T182" s="110">
        <f t="shared" si="32"/>
        <v>0</v>
      </c>
    </row>
    <row r="183" spans="1:28">
      <c r="A183" s="107"/>
      <c r="B183" s="528">
        <v>53</v>
      </c>
      <c r="C183" s="6" t="s">
        <v>72</v>
      </c>
      <c r="D183" s="112" t="s">
        <v>127</v>
      </c>
      <c r="F183" s="108">
        <v>960</v>
      </c>
      <c r="O183" s="109"/>
      <c r="P183" s="36">
        <v>4</v>
      </c>
      <c r="R183" s="110">
        <f t="shared" ca="1" si="31"/>
        <v>100</v>
      </c>
      <c r="S183" s="111"/>
      <c r="T183" s="110">
        <f t="shared" ca="1" si="32"/>
        <v>0</v>
      </c>
    </row>
    <row r="184" spans="1:28" hidden="1">
      <c r="A184" s="107"/>
      <c r="B184" s="528">
        <v>54</v>
      </c>
      <c r="C184" s="6" t="s">
        <v>72</v>
      </c>
      <c r="D184" s="112" t="s">
        <v>128</v>
      </c>
      <c r="F184" s="108">
        <v>961</v>
      </c>
      <c r="O184" s="109"/>
      <c r="P184" s="36">
        <v>3</v>
      </c>
      <c r="R184" s="110">
        <f t="shared" si="31"/>
        <v>0</v>
      </c>
      <c r="S184" s="111"/>
      <c r="T184" s="110">
        <f t="shared" si="32"/>
        <v>0</v>
      </c>
    </row>
    <row r="185" spans="1:28" hidden="1">
      <c r="A185" s="107"/>
      <c r="B185" s="528">
        <v>55</v>
      </c>
      <c r="C185" s="6" t="s">
        <v>72</v>
      </c>
      <c r="D185" s="112" t="s">
        <v>129</v>
      </c>
      <c r="F185" s="108">
        <v>962</v>
      </c>
      <c r="O185" s="109"/>
      <c r="P185" s="36">
        <v>1</v>
      </c>
      <c r="R185" s="110">
        <f t="shared" si="31"/>
        <v>0</v>
      </c>
      <c r="S185" s="111"/>
      <c r="T185" s="110">
        <f t="shared" si="32"/>
        <v>0</v>
      </c>
    </row>
    <row r="186" spans="1:28" hidden="1">
      <c r="A186" s="107"/>
      <c r="B186" s="528">
        <v>56</v>
      </c>
      <c r="C186" s="6" t="s">
        <v>72</v>
      </c>
      <c r="D186" s="112" t="s">
        <v>130</v>
      </c>
      <c r="F186" s="108">
        <v>970</v>
      </c>
      <c r="O186" s="109"/>
      <c r="P186" s="36">
        <v>4</v>
      </c>
      <c r="R186" s="110">
        <f t="shared" si="31"/>
        <v>0</v>
      </c>
      <c r="S186" s="111"/>
      <c r="T186" s="110">
        <f t="shared" si="32"/>
        <v>0</v>
      </c>
    </row>
    <row r="187" spans="1:28" ht="13.8" thickBot="1">
      <c r="A187" s="113"/>
      <c r="B187" s="114"/>
      <c r="C187" s="115"/>
      <c r="D187" s="116"/>
      <c r="E187" s="117"/>
      <c r="F187" s="118"/>
      <c r="G187" s="117"/>
      <c r="H187" s="117"/>
      <c r="I187" s="117"/>
      <c r="J187" s="117"/>
      <c r="K187" s="117"/>
      <c r="L187" s="117"/>
      <c r="M187" s="117"/>
      <c r="N187" s="117"/>
      <c r="O187" s="119"/>
      <c r="P187" s="117"/>
      <c r="Q187" s="117"/>
      <c r="R187" s="120"/>
      <c r="S187" s="121"/>
      <c r="T187" s="120"/>
      <c r="U187" s="117"/>
      <c r="V187" s="117"/>
      <c r="W187" s="117"/>
      <c r="X187" s="117"/>
      <c r="Y187" s="117"/>
      <c r="Z187" s="117"/>
      <c r="AA187" s="117"/>
      <c r="AB187" s="117"/>
    </row>
    <row r="188" spans="1:28" ht="13.8" thickTop="1">
      <c r="A188" s="107"/>
      <c r="B188" s="122"/>
      <c r="C188" s="6" t="s">
        <v>72</v>
      </c>
      <c r="D188" s="123"/>
      <c r="F188" s="124" t="s">
        <v>157</v>
      </c>
      <c r="G188" s="125"/>
      <c r="H188" s="36">
        <v>1</v>
      </c>
      <c r="O188" s="109"/>
      <c r="R188" s="110">
        <f ca="1">SUMIF($P131:$P186,1,R131:R186)</f>
        <v>3825.4553500000011</v>
      </c>
      <c r="T188" s="110">
        <f ca="1">SUMIF($P131:$P186,1,T131:T186)</f>
        <v>43.125</v>
      </c>
    </row>
    <row r="189" spans="1:28">
      <c r="A189" s="107"/>
      <c r="B189" s="122"/>
      <c r="C189" s="6" t="s">
        <v>72</v>
      </c>
      <c r="D189" s="123"/>
      <c r="F189" s="124" t="s">
        <v>158</v>
      </c>
      <c r="G189" s="125"/>
      <c r="H189" s="36">
        <v>2</v>
      </c>
      <c r="O189" s="109"/>
      <c r="R189" s="110">
        <f>SUMIF($P131:$P186,2,R131:R186)</f>
        <v>0</v>
      </c>
      <c r="T189" s="110">
        <f>SUMIF($P131:$P186,2,T131:T186)</f>
        <v>0</v>
      </c>
    </row>
    <row r="190" spans="1:28">
      <c r="A190" s="107"/>
      <c r="B190" s="122"/>
      <c r="C190" s="6" t="s">
        <v>72</v>
      </c>
      <c r="D190" s="123"/>
      <c r="F190" s="124" t="s">
        <v>159</v>
      </c>
      <c r="G190" s="125"/>
      <c r="H190" s="36">
        <v>2</v>
      </c>
      <c r="O190" s="109"/>
      <c r="R190" s="110">
        <f>SUMIF($P131:$P186,3,R131:R186)</f>
        <v>0</v>
      </c>
      <c r="T190" s="110">
        <f>SUMIF($P131:$P186,3,T131:T186)</f>
        <v>0</v>
      </c>
    </row>
    <row r="191" spans="1:28">
      <c r="A191" s="107"/>
      <c r="B191" s="122"/>
      <c r="C191" s="6" t="s">
        <v>72</v>
      </c>
      <c r="D191" s="123"/>
      <c r="F191" s="124" t="s">
        <v>160</v>
      </c>
      <c r="G191" s="125"/>
      <c r="H191" s="36">
        <v>3</v>
      </c>
      <c r="O191" s="109"/>
      <c r="R191" s="110">
        <f ca="1">SUMIF($P131:$P186,4,R131:R186)</f>
        <v>100</v>
      </c>
      <c r="T191" s="110">
        <f ca="1">SUMIF($P131:$P186,4,T131:T186)</f>
        <v>0</v>
      </c>
    </row>
    <row r="192" spans="1:28" ht="13.8" thickBot="1">
      <c r="A192" s="113"/>
      <c r="B192" s="126"/>
      <c r="C192" s="115" t="s">
        <v>72</v>
      </c>
      <c r="D192" s="127"/>
      <c r="E192" s="117"/>
      <c r="F192" s="128" t="s">
        <v>161</v>
      </c>
      <c r="G192" s="129"/>
      <c r="H192" s="130"/>
      <c r="I192" s="130"/>
      <c r="J192" s="130"/>
      <c r="K192" s="130"/>
      <c r="L192" s="130"/>
      <c r="M192" s="130"/>
      <c r="N192" s="130"/>
      <c r="O192" s="131"/>
      <c r="P192" s="130"/>
      <c r="Q192" s="130"/>
      <c r="R192" s="132">
        <f ca="1">SUM(R188:R191)</f>
        <v>3925.4553500000011</v>
      </c>
      <c r="S192" s="133"/>
      <c r="T192" s="132">
        <f ca="1">SUM(T188:T191)</f>
        <v>43.125</v>
      </c>
      <c r="U192" s="117"/>
      <c r="V192" s="117"/>
      <c r="W192" s="117"/>
      <c r="X192" s="117"/>
      <c r="Y192" s="117"/>
      <c r="Z192" s="117"/>
      <c r="AA192" s="117"/>
      <c r="AB192" s="117"/>
    </row>
    <row r="193" ht="13.8" thickTop="1"/>
  </sheetData>
  <sheetProtection formatCells="0" formatColumns="0" formatRows="0" insertColumns="0" insertRows="0" insertHyperlinks="0" deleteColumns="0" deleteRows="0" sort="0" autoFilter="0" pivotTables="0"/>
  <phoneticPr fontId="37" type="noConversion"/>
  <conditionalFormatting sqref="D6">
    <cfRule type="cellIs" dxfId="1" priority="2" stopIfTrue="1" operator="equal">
      <formula>"VAT INCLUDED"</formula>
    </cfRule>
    <cfRule type="cellIs" dxfId="0" priority="3" stopIfTrue="1" operator="equal">
      <formula>"VAT EXCLUDED"</formula>
    </cfRule>
  </conditionalFormatting>
  <printOptions gridLines="1"/>
  <pageMargins left="0.31496062992125984" right="0.17" top="0.43307086614173229" bottom="0.59055118110236227" header="0.23622047244094491" footer="0.23622047244094491"/>
  <pageSetup paperSize="9" scale="40" orientation="portrait" r:id="rId1"/>
  <headerFooter alignWithMargins="0">
    <oddHeader>&amp;A</oddHeader>
    <oddFooter>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indexed="14"/>
  </sheetPr>
  <dimension ref="A1:AP195"/>
  <sheetViews>
    <sheetView tabSelected="1" topLeftCell="A57" zoomScaleNormal="100" workbookViewId="0">
      <selection activeCell="D67" sqref="D67:T67"/>
    </sheetView>
  </sheetViews>
  <sheetFormatPr defaultColWidth="9.109375" defaultRowHeight="13.8"/>
  <cols>
    <col min="1" max="2" width="10.33203125" style="36" customWidth="1"/>
    <col min="3" max="3" width="1.109375" style="36" hidden="1" customWidth="1"/>
    <col min="4" max="4" width="27.88671875" style="36" customWidth="1"/>
    <col min="5" max="5" width="41" style="36" bestFit="1" customWidth="1"/>
    <col min="6" max="6" width="30.88671875" style="36" customWidth="1"/>
    <col min="7" max="7" width="9.6640625" style="36" hidden="1" customWidth="1"/>
    <col min="8" max="8" width="7.6640625" style="36" hidden="1" customWidth="1"/>
    <col min="9" max="11" width="8.6640625" style="36" hidden="1" customWidth="1"/>
    <col min="12" max="12" width="6.6640625" style="36" hidden="1" customWidth="1"/>
    <col min="13" max="16" width="8.6640625" style="36" hidden="1" customWidth="1"/>
    <col min="17" max="20" width="14.6640625" style="36" customWidth="1"/>
    <col min="21" max="21" width="6.33203125" style="36" customWidth="1"/>
    <col min="22" max="22" width="4.6640625" style="359" customWidth="1"/>
    <col min="23" max="23" width="5" style="359" bestFit="1" customWidth="1"/>
    <col min="24" max="24" width="8.5546875" style="359" bestFit="1" customWidth="1"/>
    <col min="25" max="25" width="7.6640625" style="359" customWidth="1"/>
    <col min="26" max="26" width="11.44140625" style="359" customWidth="1"/>
    <col min="27" max="27" width="4" style="359" customWidth="1"/>
    <col min="28" max="28" width="4.109375" style="359" customWidth="1"/>
    <col min="29" max="32" width="9.109375" style="36" customWidth="1"/>
    <col min="33" max="33" width="12.88671875" style="36" hidden="1" customWidth="1"/>
    <col min="34" max="34" width="10.6640625" style="36" hidden="1" customWidth="1"/>
    <col min="35" max="35" width="11.44140625" style="36" hidden="1" customWidth="1"/>
    <col min="36" max="36" width="9.109375" style="36" hidden="1" customWidth="1"/>
    <col min="37" max="37" width="13.6640625" style="36" hidden="1" customWidth="1"/>
    <col min="38" max="38" width="9.109375" style="36" hidden="1" customWidth="1"/>
    <col min="39" max="40" width="12" style="36" hidden="1" customWidth="1"/>
    <col min="41" max="41" width="11.109375" style="36" hidden="1" customWidth="1"/>
    <col min="42" max="42" width="9.109375" style="36" hidden="1" customWidth="1"/>
    <col min="43" max="16384" width="9.109375" style="36"/>
  </cols>
  <sheetData>
    <row r="1" spans="1:42" s="32" customFormat="1" ht="15.6">
      <c r="A1" s="555"/>
      <c r="B1" s="532" t="s">
        <v>0</v>
      </c>
      <c r="C1" s="533">
        <f>ML_Sum!$C1</f>
        <v>1</v>
      </c>
      <c r="D1" s="534" t="str">
        <f>ML_Sum!$D1</f>
        <v>ST Microelectronics (Malta) Ltd.</v>
      </c>
      <c r="E1" s="535"/>
      <c r="F1" s="536">
        <f>ML_Sum!$F1</f>
        <v>0</v>
      </c>
      <c r="G1" s="576"/>
      <c r="H1"/>
      <c r="I1" s="313">
        <v>1</v>
      </c>
      <c r="J1" s="314">
        <f>ML_Sum!$J1</f>
        <v>1</v>
      </c>
      <c r="K1" s="314">
        <f>ML_Sum!$K1</f>
        <v>1</v>
      </c>
      <c r="L1" s="314">
        <f>ML_Sum!$L1</f>
        <v>1</v>
      </c>
      <c r="M1" s="314">
        <f>ML_Sum!$M1</f>
        <v>1</v>
      </c>
      <c r="N1" s="314">
        <f>ML_Sum!$N1</f>
        <v>1</v>
      </c>
      <c r="O1" s="314">
        <f>ML_Sum!$O1</f>
        <v>1</v>
      </c>
      <c r="P1"/>
      <c r="Q1" s="379" t="str">
        <f>ML_Sum!$Q1</f>
        <v>€</v>
      </c>
      <c r="R1" s="317" t="s">
        <v>1</v>
      </c>
      <c r="S1" s="378" t="str">
        <f>ML_Sum!$S1</f>
        <v>R</v>
      </c>
      <c r="T1" s="482">
        <f>ML_Sum!$T1</f>
        <v>1.25</v>
      </c>
      <c r="U1" s="483" t="str">
        <f>ML_Sum!W1</f>
        <v>BOQ</v>
      </c>
      <c r="V1" s="484" t="s">
        <v>195</v>
      </c>
      <c r="W1" s="556" t="s">
        <v>185</v>
      </c>
      <c r="X1" s="485" t="s">
        <v>186</v>
      </c>
      <c r="Y1" s="557" t="s">
        <v>187</v>
      </c>
      <c r="Z1" s="486" t="s">
        <v>183</v>
      </c>
      <c r="AA1" s="486" t="s">
        <v>188</v>
      </c>
      <c r="AB1" s="556" t="s">
        <v>189</v>
      </c>
      <c r="AG1" s="573"/>
      <c r="AH1" s="573"/>
      <c r="AI1" s="573"/>
      <c r="AJ1" s="573"/>
      <c r="AK1" s="574"/>
    </row>
    <row r="2" spans="1:42" s="32" customFormat="1">
      <c r="A2" s="531"/>
      <c r="B2" s="532" t="s">
        <v>2</v>
      </c>
      <c r="C2" s="533">
        <f>ML_Sum!$C2</f>
        <v>1</v>
      </c>
      <c r="D2" s="534" t="str">
        <f>ML_Sum!$D2</f>
        <v xml:space="preserve">KK2 General Exhaust Replacement </v>
      </c>
      <c r="E2" s="538"/>
      <c r="F2" s="536" t="str">
        <f>ML_Sum!$F2</f>
        <v>Electrical</v>
      </c>
      <c r="G2" s="537"/>
      <c r="H2"/>
      <c r="I2" s="313">
        <v>2</v>
      </c>
      <c r="J2" s="314">
        <f>ML_Sum!$J2</f>
        <v>1</v>
      </c>
      <c r="K2" s="314">
        <f>ML_Sum!$K2</f>
        <v>1</v>
      </c>
      <c r="L2" s="314">
        <f>ML_Sum!$L2</f>
        <v>1</v>
      </c>
      <c r="M2" s="314">
        <f>ML_Sum!$M2</f>
        <v>1</v>
      </c>
      <c r="N2" s="314">
        <f>ML_Sum!$N2</f>
        <v>1</v>
      </c>
      <c r="O2" s="314">
        <f>ML_Sum!$O2</f>
        <v>1</v>
      </c>
      <c r="P2"/>
      <c r="Q2" s="384">
        <f>ML_Sum!$Q2</f>
        <v>0</v>
      </c>
      <c r="R2" s="18" t="s">
        <v>3</v>
      </c>
      <c r="S2" s="385">
        <f>ML_Sum!$S2</f>
        <v>1.25</v>
      </c>
      <c r="T2" s="386">
        <f>ML_Sum!$T2</f>
        <v>34.325000000000003</v>
      </c>
      <c r="V2" s="359"/>
      <c r="W2" s="359"/>
      <c r="X2" s="359"/>
      <c r="Y2" s="359"/>
      <c r="Z2" s="359"/>
      <c r="AA2" s="359"/>
      <c r="AB2" s="359"/>
    </row>
    <row r="3" spans="1:42" s="32" customFormat="1">
      <c r="A3" s="539"/>
      <c r="B3" s="540" t="s">
        <v>4</v>
      </c>
      <c r="C3" s="533">
        <f>ML_Sum!$C3</f>
        <v>1</v>
      </c>
      <c r="D3" s="534" t="str">
        <f>ML_Sum!$D3</f>
        <v>Electrical Supply and Installation</v>
      </c>
      <c r="E3" s="539"/>
      <c r="F3" s="536" t="str">
        <f>ML_Sum!$F3</f>
        <v>Controls</v>
      </c>
      <c r="G3" s="541"/>
      <c r="H3"/>
      <c r="I3" s="313">
        <v>3</v>
      </c>
      <c r="J3" s="314">
        <f>ML_Sum!$J3</f>
        <v>1</v>
      </c>
      <c r="K3" s="314">
        <f>ML_Sum!$K3</f>
        <v>1</v>
      </c>
      <c r="L3" s="314">
        <f>ML_Sum!$L3</f>
        <v>1</v>
      </c>
      <c r="M3" s="314">
        <f>ML_Sum!$M3</f>
        <v>1</v>
      </c>
      <c r="N3" s="314">
        <f>ML_Sum!$N3</f>
        <v>1</v>
      </c>
      <c r="O3" s="314">
        <f>ML_Sum!$O3</f>
        <v>1</v>
      </c>
      <c r="P3"/>
      <c r="Q3" s="384">
        <f>ML_Sum!$Q3</f>
        <v>0</v>
      </c>
      <c r="R3" s="19" t="s">
        <v>5</v>
      </c>
      <c r="S3" s="385">
        <f>ML_Sum!$S3</f>
        <v>1.25</v>
      </c>
      <c r="T3" s="386">
        <f>ML_Sum!$T3</f>
        <v>34.325000000000003</v>
      </c>
      <c r="V3" s="359"/>
      <c r="W3" s="359"/>
      <c r="X3" s="359"/>
      <c r="Y3" s="359"/>
      <c r="Z3" s="359"/>
      <c r="AA3" s="359"/>
      <c r="AB3" s="359"/>
    </row>
    <row r="4" spans="1:42" s="32" customFormat="1">
      <c r="A4" s="542"/>
      <c r="B4" s="532" t="s">
        <v>6</v>
      </c>
      <c r="C4" s="533">
        <f>ML_Sum!$C4</f>
        <v>1</v>
      </c>
      <c r="D4" s="534" t="str">
        <f>ML_Sum!$D4</f>
        <v>EL25-0559</v>
      </c>
      <c r="E4" s="539"/>
      <c r="F4" s="536">
        <f>ML_Sum!$F4</f>
        <v>0</v>
      </c>
      <c r="G4" s="541"/>
      <c r="H4"/>
      <c r="I4" s="313">
        <v>4</v>
      </c>
      <c r="J4" s="314">
        <f>ML_Sum!$J4</f>
        <v>1</v>
      </c>
      <c r="K4" s="314">
        <f>ML_Sum!$K4</f>
        <v>1</v>
      </c>
      <c r="L4" s="314">
        <f>ML_Sum!$L4</f>
        <v>1</v>
      </c>
      <c r="M4" s="314">
        <f>ML_Sum!$M4</f>
        <v>1</v>
      </c>
      <c r="N4" s="314">
        <f>ML_Sum!$N4</f>
        <v>1</v>
      </c>
      <c r="O4" s="314">
        <f>ML_Sum!$O4</f>
        <v>1</v>
      </c>
      <c r="P4"/>
      <c r="Q4" s="384">
        <f>ML_Sum!$Q4</f>
        <v>0</v>
      </c>
      <c r="R4" s="20" t="s">
        <v>7</v>
      </c>
      <c r="S4" s="385">
        <f>ML_Sum!$S4</f>
        <v>0</v>
      </c>
      <c r="T4" s="386">
        <f>ML_Sum!$T4</f>
        <v>0</v>
      </c>
      <c r="V4" s="359"/>
      <c r="W4" s="359"/>
      <c r="X4" s="359"/>
      <c r="Y4" s="359"/>
      <c r="Z4" s="359"/>
      <c r="AA4" s="359"/>
      <c r="AB4" s="359"/>
    </row>
    <row r="5" spans="1:42" s="32" customFormat="1">
      <c r="A5" s="542"/>
      <c r="B5" s="532" t="s">
        <v>197</v>
      </c>
      <c r="C5" s="533">
        <f>ML_Sum!$C5</f>
        <v>1</v>
      </c>
      <c r="D5" s="534" t="str">
        <f>ML_Sum!$D5</f>
        <v>Tender</v>
      </c>
      <c r="E5" s="539"/>
      <c r="F5" s="536">
        <f>ML_Sum!$F5</f>
        <v>0</v>
      </c>
      <c r="G5" s="543"/>
      <c r="H5"/>
      <c r="I5" s="313">
        <v>5</v>
      </c>
      <c r="J5" s="314">
        <f>ML_Sum!$J5</f>
        <v>1</v>
      </c>
      <c r="K5" s="314">
        <f>ML_Sum!$K5</f>
        <v>1</v>
      </c>
      <c r="L5" s="314">
        <f>ML_Sum!$L5</f>
        <v>1</v>
      </c>
      <c r="M5" s="314">
        <f>ML_Sum!$M5</f>
        <v>1</v>
      </c>
      <c r="N5" s="314">
        <f>ML_Sum!$N5</f>
        <v>1</v>
      </c>
      <c r="O5" s="314">
        <f>ML_Sum!$O5</f>
        <v>1</v>
      </c>
      <c r="P5"/>
      <c r="Q5" s="384">
        <f>ML_Sum!$Q5</f>
        <v>0</v>
      </c>
      <c r="R5" s="21" t="s">
        <v>9</v>
      </c>
      <c r="S5" s="385">
        <f>ML_Sum!$S5</f>
        <v>0</v>
      </c>
      <c r="T5" s="386">
        <f>ML_Sum!$T5</f>
        <v>0</v>
      </c>
      <c r="V5" s="359"/>
      <c r="W5" s="359"/>
      <c r="X5" s="359"/>
      <c r="Y5" s="359"/>
      <c r="Z5" s="359"/>
      <c r="AA5" s="359"/>
      <c r="AB5" s="359"/>
    </row>
    <row r="6" spans="1:42" s="32" customFormat="1">
      <c r="A6"/>
      <c r="B6" s="540" t="s">
        <v>8</v>
      </c>
      <c r="C6" s="533">
        <f>ML_Sum!$C6</f>
        <v>1</v>
      </c>
      <c r="D6" s="534" t="str">
        <f>ML_Sum!$D6</f>
        <v>VAT EXCL.</v>
      </c>
      <c r="E6"/>
      <c r="F6" s="536">
        <f>ML_Sum!$F6</f>
        <v>0</v>
      </c>
      <c r="G6" s="543"/>
      <c r="H6"/>
      <c r="I6" s="313">
        <v>6</v>
      </c>
      <c r="J6" s="314">
        <f>ML_Sum!$J6</f>
        <v>1</v>
      </c>
      <c r="K6" s="314">
        <f>ML_Sum!$K6</f>
        <v>1</v>
      </c>
      <c r="L6" s="314">
        <f>ML_Sum!$L6</f>
        <v>1</v>
      </c>
      <c r="M6" s="314">
        <f>ML_Sum!$M6</f>
        <v>1</v>
      </c>
      <c r="N6" s="314">
        <f>ML_Sum!$N6</f>
        <v>1</v>
      </c>
      <c r="O6" s="314">
        <f>ML_Sum!$O6</f>
        <v>1</v>
      </c>
      <c r="P6"/>
      <c r="Q6" s="384">
        <f>ML_Sum!$Q6</f>
        <v>0</v>
      </c>
      <c r="R6" s="22" t="s">
        <v>10</v>
      </c>
      <c r="S6" s="385">
        <f>ML_Sum!$S6</f>
        <v>0</v>
      </c>
      <c r="T6" s="386">
        <f>ML_Sum!$T6</f>
        <v>0</v>
      </c>
      <c r="V6" s="359"/>
      <c r="W6" s="359"/>
      <c r="X6" s="359"/>
      <c r="Y6" s="359"/>
      <c r="Z6" s="359"/>
      <c r="AA6" s="359"/>
      <c r="AB6" s="359"/>
    </row>
    <row r="7" spans="1:42" s="32" customFormat="1">
      <c r="A7" s="531"/>
      <c r="B7" s="540" t="s">
        <v>11</v>
      </c>
      <c r="C7" s="533">
        <f>ML_Sum!$C7</f>
        <v>1</v>
      </c>
      <c r="D7" s="544">
        <v>39364</v>
      </c>
      <c r="E7" s="545"/>
      <c r="F7" s="536">
        <f>ML_Sum!$F7</f>
        <v>0</v>
      </c>
      <c r="G7" s="546"/>
      <c r="H7"/>
      <c r="I7" s="313">
        <v>7</v>
      </c>
      <c r="J7" s="314">
        <f>ML_Sum!$J7</f>
        <v>1</v>
      </c>
      <c r="K7" s="314">
        <f>ML_Sum!$K7</f>
        <v>1</v>
      </c>
      <c r="L7" s="314">
        <f>ML_Sum!$L7</f>
        <v>1</v>
      </c>
      <c r="M7" s="314">
        <f>ML_Sum!$M7</f>
        <v>1</v>
      </c>
      <c r="N7" s="314">
        <f>ML_Sum!$N7</f>
        <v>1</v>
      </c>
      <c r="O7" s="314">
        <f>ML_Sum!$O7</f>
        <v>0</v>
      </c>
      <c r="P7"/>
      <c r="Q7" s="384">
        <f>ML_Sum!$Q7</f>
        <v>0</v>
      </c>
      <c r="R7" s="23" t="s">
        <v>12</v>
      </c>
      <c r="S7" s="385">
        <f>ML_Sum!$S7</f>
        <v>0</v>
      </c>
      <c r="T7" s="386">
        <f>ML_Sum!$T7</f>
        <v>0</v>
      </c>
      <c r="V7" s="359"/>
      <c r="W7" s="359"/>
      <c r="X7" s="359"/>
      <c r="Y7" s="359"/>
      <c r="Z7" s="359"/>
      <c r="AA7" s="359"/>
      <c r="AB7" s="359"/>
    </row>
    <row r="8" spans="1:42" s="32" customFormat="1">
      <c r="A8" s="542"/>
      <c r="B8" s="540" t="s">
        <v>13</v>
      </c>
      <c r="C8" s="533">
        <f>ML_Sum!$C8</f>
        <v>1</v>
      </c>
      <c r="D8" s="534" t="str">
        <f>ML_Sum!$D8</f>
        <v>Umut Kaymak</v>
      </c>
      <c r="E8" s="539"/>
      <c r="F8" s="536">
        <f>ML_Sum!$F8</f>
        <v>0</v>
      </c>
      <c r="G8" s="547"/>
      <c r="H8"/>
      <c r="I8" s="313">
        <v>8</v>
      </c>
      <c r="J8" s="314">
        <f>ML_Sum!$J8</f>
        <v>1</v>
      </c>
      <c r="K8" s="314">
        <f>ML_Sum!$K8</f>
        <v>1</v>
      </c>
      <c r="L8" s="314">
        <f>ML_Sum!$L8</f>
        <v>1</v>
      </c>
      <c r="M8" s="314">
        <f>ML_Sum!$M8</f>
        <v>1</v>
      </c>
      <c r="N8" s="314">
        <f>ML_Sum!$N8</f>
        <v>1</v>
      </c>
      <c r="O8" s="314">
        <f>ML_Sum!$O8</f>
        <v>0</v>
      </c>
      <c r="P8"/>
      <c r="Q8" s="384">
        <f>ML_Sum!$Q8</f>
        <v>0</v>
      </c>
      <c r="R8" s="24" t="s">
        <v>14</v>
      </c>
      <c r="S8" s="385">
        <f>ML_Sum!$S8</f>
        <v>0</v>
      </c>
      <c r="T8" s="386">
        <f>ML_Sum!$T8</f>
        <v>0</v>
      </c>
      <c r="V8" s="359"/>
      <c r="W8" s="359"/>
      <c r="X8" s="359"/>
      <c r="Y8" s="359"/>
      <c r="Z8" s="359"/>
      <c r="AA8" s="359"/>
      <c r="AB8" s="359"/>
    </row>
    <row r="9" spans="1:42" s="32" customFormat="1">
      <c r="A9" s="542"/>
      <c r="B9" s="540" t="s">
        <v>268</v>
      </c>
      <c r="C9" s="533">
        <f>ML_Sum!$C9</f>
        <v>1</v>
      </c>
      <c r="D9" s="534">
        <f>ML_Sum!$D9</f>
        <v>27.46</v>
      </c>
      <c r="E9" s="539"/>
      <c r="F9" s="536">
        <f>ML_Sum!$F9</f>
        <v>0</v>
      </c>
      <c r="G9" s="547"/>
      <c r="H9"/>
      <c r="I9" s="313">
        <v>9</v>
      </c>
      <c r="J9" s="314">
        <f>ML_Sum!$J9</f>
        <v>1</v>
      </c>
      <c r="K9" s="314">
        <f>ML_Sum!$K9</f>
        <v>1</v>
      </c>
      <c r="L9" s="314">
        <f>ML_Sum!$L9</f>
        <v>1</v>
      </c>
      <c r="M9" s="314">
        <f>ML_Sum!$M9</f>
        <v>1</v>
      </c>
      <c r="N9" s="314">
        <f>ML_Sum!$N9</f>
        <v>1</v>
      </c>
      <c r="O9" s="314">
        <f>ML_Sum!$O9</f>
        <v>0</v>
      </c>
      <c r="P9"/>
      <c r="Q9" s="384">
        <f>ML_Sum!$Q9</f>
        <v>0</v>
      </c>
      <c r="R9" s="25" t="s">
        <v>15</v>
      </c>
      <c r="S9" s="385">
        <f>ML_Sum!$S9</f>
        <v>0</v>
      </c>
      <c r="T9" s="386">
        <f>ML_Sum!$T9</f>
        <v>0</v>
      </c>
      <c r="V9" s="359"/>
      <c r="W9" s="359"/>
      <c r="X9" s="359"/>
      <c r="Y9" s="359"/>
      <c r="Z9" s="359"/>
      <c r="AA9" s="359"/>
      <c r="AB9" s="359"/>
    </row>
    <row r="10" spans="1:42" s="32" customFormat="1">
      <c r="A10" s="542"/>
      <c r="B10" s="531"/>
      <c r="C10" s="533">
        <f>ML_Sum!$C10</f>
        <v>1</v>
      </c>
      <c r="D10" s="531"/>
      <c r="E10" s="539"/>
      <c r="F10" s="536">
        <f>ML_Sum!$F10</f>
        <v>0</v>
      </c>
      <c r="G10" s="547"/>
      <c r="H10"/>
      <c r="I10" s="313">
        <v>10</v>
      </c>
      <c r="J10" s="314">
        <f>ML_Sum!$J10</f>
        <v>1</v>
      </c>
      <c r="K10" s="314">
        <f>ML_Sum!$K10</f>
        <v>1</v>
      </c>
      <c r="L10" s="314">
        <f>ML_Sum!$L10</f>
        <v>1</v>
      </c>
      <c r="M10" s="314">
        <f>ML_Sum!$M10</f>
        <v>1</v>
      </c>
      <c r="N10" s="314">
        <f>ML_Sum!$N10</f>
        <v>1</v>
      </c>
      <c r="O10" s="314">
        <f>ML_Sum!$O10</f>
        <v>1</v>
      </c>
      <c r="P10"/>
      <c r="Q10" s="384">
        <f>ML_Sum!$Q10</f>
        <v>0</v>
      </c>
      <c r="R10" s="26" t="s">
        <v>16</v>
      </c>
      <c r="S10" s="385">
        <f>ML_Sum!$S10</f>
        <v>0</v>
      </c>
      <c r="T10" s="386">
        <f>ML_Sum!$T10</f>
        <v>0</v>
      </c>
      <c r="V10" s="359"/>
      <c r="W10" s="359"/>
      <c r="X10" s="359"/>
      <c r="Y10" s="359"/>
      <c r="Z10" s="359"/>
      <c r="AA10" s="359"/>
      <c r="AB10" s="359"/>
    </row>
    <row r="11" spans="1:42" s="32" customFormat="1">
      <c r="A11" s="542"/>
      <c r="B11" s="531"/>
      <c r="C11" s="533">
        <f>ML_Sum!$C11</f>
        <v>1</v>
      </c>
      <c r="D11" s="531"/>
      <c r="E11" s="539"/>
      <c r="F11" s="536">
        <f>ML_Sum!$F11</f>
        <v>0</v>
      </c>
      <c r="G11" s="547"/>
      <c r="H11" s="547"/>
      <c r="I11" s="531"/>
      <c r="J11" s="531"/>
      <c r="K11" s="531"/>
      <c r="L11" s="531"/>
      <c r="M11" s="531"/>
      <c r="N11" s="531"/>
      <c r="O11" s="531"/>
      <c r="P11" s="547"/>
      <c r="Q11" s="384">
        <f>ML_Sum!$Q11</f>
        <v>0</v>
      </c>
      <c r="R11" s="27" t="s">
        <v>17</v>
      </c>
      <c r="S11" s="385">
        <f>ML_Sum!$S11</f>
        <v>0</v>
      </c>
      <c r="T11" s="386">
        <f>ML_Sum!$T11</f>
        <v>0</v>
      </c>
      <c r="V11" s="359"/>
      <c r="W11" s="359"/>
      <c r="X11" s="359"/>
      <c r="Y11" s="359"/>
      <c r="Z11" s="359"/>
      <c r="AA11" s="359"/>
      <c r="AB11" s="359"/>
    </row>
    <row r="12" spans="1:42" s="32" customFormat="1" ht="14.4" thickBot="1">
      <c r="A12" s="542"/>
      <c r="B12" s="531"/>
      <c r="C12" s="533">
        <f>ML_Sum!$C12</f>
        <v>1</v>
      </c>
      <c r="D12" s="531"/>
      <c r="E12" s="539"/>
      <c r="F12" s="536">
        <f>ML_Sum!$F12</f>
        <v>0</v>
      </c>
      <c r="G12" s="547"/>
      <c r="H12" s="547"/>
      <c r="I12" s="531"/>
      <c r="J12" s="531"/>
      <c r="K12" s="531"/>
      <c r="L12" s="531"/>
      <c r="M12" s="531"/>
      <c r="N12" s="531"/>
      <c r="O12" s="531"/>
      <c r="P12" s="547"/>
      <c r="Q12" s="384">
        <f>ML_Sum!$Q12</f>
        <v>0</v>
      </c>
      <c r="R12" s="434" t="s">
        <v>210</v>
      </c>
      <c r="S12" s="385" t="str">
        <f>ML_Sum!$S12</f>
        <v>MAT MU</v>
      </c>
      <c r="T12" s="386" t="str">
        <f>ML_Sum!$T12</f>
        <v>LAB RATE</v>
      </c>
      <c r="V12" s="359"/>
      <c r="W12" s="359"/>
      <c r="X12" s="359"/>
      <c r="Y12" s="359"/>
      <c r="Z12" s="359"/>
      <c r="AA12" s="359"/>
      <c r="AB12" s="359"/>
    </row>
    <row r="13" spans="1:42" s="32" customFormat="1" ht="14.4" thickBot="1">
      <c r="A13" s="548"/>
      <c r="B13" s="549"/>
      <c r="C13" s="550"/>
      <c r="D13" s="551"/>
      <c r="E13" s="552"/>
      <c r="F13" s="553"/>
      <c r="G13" s="554" t="s">
        <v>140</v>
      </c>
      <c r="H13" s="554" t="s">
        <v>19</v>
      </c>
      <c r="I13" s="554" t="s">
        <v>20</v>
      </c>
      <c r="J13" s="554" t="s">
        <v>21</v>
      </c>
      <c r="K13" s="554" t="s">
        <v>22</v>
      </c>
      <c r="L13" s="554" t="s">
        <v>23</v>
      </c>
      <c r="M13" s="554" t="s">
        <v>24</v>
      </c>
      <c r="N13" s="554" t="s">
        <v>25</v>
      </c>
      <c r="O13" s="554" t="s">
        <v>26</v>
      </c>
      <c r="P13" s="554" t="s">
        <v>27</v>
      </c>
      <c r="Q13" s="28" t="s">
        <v>205</v>
      </c>
      <c r="R13" s="29" t="s">
        <v>29</v>
      </c>
      <c r="S13" s="30" t="s">
        <v>30</v>
      </c>
      <c r="T13" s="31" t="s">
        <v>31</v>
      </c>
      <c r="V13" s="359"/>
      <c r="W13" s="359"/>
      <c r="X13" s="359"/>
      <c r="Y13" s="359"/>
      <c r="Z13" s="359"/>
      <c r="AA13" s="359"/>
      <c r="AB13" s="359"/>
      <c r="AG13"/>
      <c r="AH13"/>
      <c r="AI13"/>
      <c r="AJ13"/>
      <c r="AK13"/>
      <c r="AM13" s="577" t="s">
        <v>264</v>
      </c>
      <c r="AN13" s="581" t="s">
        <v>271</v>
      </c>
      <c r="AO13" s="581" t="s">
        <v>265</v>
      </c>
      <c r="AP13" s="578" t="s">
        <v>262</v>
      </c>
    </row>
    <row r="14" spans="1:42" s="586" customFormat="1" ht="13.2">
      <c r="A14" s="57"/>
      <c r="B14" s="57"/>
      <c r="C14" s="3"/>
      <c r="D14" s="3"/>
      <c r="E14" s="57"/>
      <c r="F14" s="57"/>
      <c r="G14" s="57"/>
      <c r="H14" s="57"/>
      <c r="I14" s="57"/>
      <c r="J14" s="57"/>
      <c r="K14" s="57" t="s">
        <v>133</v>
      </c>
      <c r="L14" s="57"/>
      <c r="M14" s="57"/>
      <c r="N14" s="57"/>
      <c r="O14" s="58"/>
      <c r="P14" s="57"/>
      <c r="Q14" s="57"/>
      <c r="R14" s="57"/>
      <c r="S14" s="57"/>
      <c r="T14" s="57"/>
    </row>
    <row r="15" spans="1:42" s="586" customFormat="1" ht="12">
      <c r="A15" s="57"/>
      <c r="B15" s="57"/>
      <c r="C15" s="57" t="s">
        <v>134</v>
      </c>
      <c r="D15" s="37" t="s">
        <v>135</v>
      </c>
      <c r="E15" s="57"/>
      <c r="F15" s="57"/>
      <c r="G15" s="57"/>
      <c r="H15" s="57"/>
      <c r="I15" s="57"/>
      <c r="J15" s="57"/>
      <c r="K15" s="57"/>
      <c r="L15" s="57"/>
      <c r="M15" s="57"/>
      <c r="N15" s="57"/>
      <c r="O15" s="58"/>
      <c r="P15" s="57"/>
      <c r="Q15" s="57"/>
      <c r="R15" s="57"/>
      <c r="S15" s="57"/>
      <c r="T15" s="57"/>
    </row>
    <row r="16" spans="1:42" s="586" customFormat="1" ht="12">
      <c r="A16" s="57"/>
      <c r="B16" s="57"/>
      <c r="C16" s="57"/>
      <c r="D16" s="37" t="s">
        <v>356</v>
      </c>
      <c r="E16" s="57"/>
      <c r="F16" s="57"/>
      <c r="G16" s="57"/>
      <c r="H16" s="57"/>
      <c r="I16" s="57"/>
      <c r="J16" s="57"/>
      <c r="K16" s="57"/>
      <c r="L16" s="57"/>
      <c r="M16" s="57"/>
      <c r="N16" s="57"/>
      <c r="O16" s="58"/>
      <c r="P16" s="57"/>
      <c r="Q16" s="57"/>
      <c r="R16" s="57"/>
      <c r="S16" s="38"/>
      <c r="T16" s="38"/>
    </row>
    <row r="17" spans="1:41" s="3" customFormat="1" thickBot="1">
      <c r="A17" s="614"/>
      <c r="O17" s="148"/>
    </row>
    <row r="18" spans="1:41" s="586" customFormat="1" ht="12" thickTop="1">
      <c r="A18" s="57"/>
      <c r="B18" s="41"/>
      <c r="C18" s="57"/>
      <c r="E18" s="42" t="s">
        <v>137</v>
      </c>
      <c r="F18" s="42" t="s">
        <v>138</v>
      </c>
      <c r="G18" s="57"/>
      <c r="H18" s="57"/>
      <c r="I18" s="57"/>
      <c r="J18" s="57"/>
      <c r="K18" s="57" t="s">
        <v>139</v>
      </c>
      <c r="L18" s="57"/>
      <c r="M18" s="57"/>
      <c r="N18" s="57"/>
      <c r="O18" s="58"/>
      <c r="P18" s="57"/>
      <c r="Q18" s="57"/>
      <c r="R18" s="57"/>
      <c r="S18" s="57"/>
      <c r="T18" s="41"/>
      <c r="AG18" s="587" t="s">
        <v>253</v>
      </c>
      <c r="AH18" s="587" t="s">
        <v>254</v>
      </c>
      <c r="AI18" s="587" t="s">
        <v>255</v>
      </c>
      <c r="AJ18" s="587" t="s">
        <v>256</v>
      </c>
      <c r="AK18" s="587" t="s">
        <v>257</v>
      </c>
      <c r="AM18" s="579" t="s">
        <v>266</v>
      </c>
      <c r="AN18" s="580" t="s">
        <v>267</v>
      </c>
      <c r="AO18" s="588" t="s">
        <v>263</v>
      </c>
    </row>
    <row r="19" spans="1:41" s="586" customFormat="1" ht="12" customHeight="1">
      <c r="A19" s="589">
        <v>30</v>
      </c>
      <c r="B19" s="590" t="s">
        <v>365</v>
      </c>
      <c r="C19" s="591"/>
      <c r="D19" s="592" t="s">
        <v>274</v>
      </c>
      <c r="E19" s="593">
        <f ca="1">IF(AND($A19=0,$A$1="DIF"),0, ROUND(ROUND(($R26*$S$2+($T26*$T$2))/A19,2)*$C$2,2))</f>
        <v>212.98</v>
      </c>
      <c r="F19" s="594">
        <f ca="1">ROUND($A19*$E19,2)</f>
        <v>6389.4</v>
      </c>
      <c r="G19" s="595" t="s">
        <v>140</v>
      </c>
      <c r="H19" s="583"/>
      <c r="I19" s="596"/>
      <c r="J19" s="583"/>
      <c r="K19" s="583" t="s">
        <v>3</v>
      </c>
      <c r="L19" s="597" t="s">
        <v>141</v>
      </c>
      <c r="M19" s="597"/>
      <c r="N19" s="597"/>
      <c r="O19" s="597"/>
      <c r="P19" s="597"/>
      <c r="Q19" s="653"/>
      <c r="T19" s="598" t="str">
        <f ca="1">IF(AND($R26=0,$T26=0),"0.00","mu :" &amp; ROUND($F19/$C$2/($R26+$T26*$D$9),2))</f>
        <v>mu :1.25</v>
      </c>
      <c r="W19" s="599"/>
      <c r="AG19" s="529">
        <f ca="1">IF($E19=0,0,ROUND($R26*$S$2*$C$2/$A19,2))</f>
        <v>163.55000000000001</v>
      </c>
      <c r="AH19" s="529">
        <f ca="1">$AG19*$A19</f>
        <v>4906.5</v>
      </c>
      <c r="AI19" s="600">
        <f ca="1">$E19-$AG19</f>
        <v>49.429999999999978</v>
      </c>
      <c r="AJ19" s="600">
        <f ca="1">$A19*$AI19</f>
        <v>1482.8999999999994</v>
      </c>
      <c r="AK19" s="601">
        <f ca="1">ROUND(($AG19+$AI19)*$A19,2)</f>
        <v>6389.4</v>
      </c>
      <c r="AM19" s="602">
        <f ca="1">ROUND(R26,2)</f>
        <v>3925.2</v>
      </c>
      <c r="AN19" s="603">
        <f ca="1">ROUND(T26,2)</f>
        <v>43.2</v>
      </c>
      <c r="AO19" s="604">
        <f ca="1">ROUND(AM19+AN19,2)*A19</f>
        <v>119052</v>
      </c>
    </row>
    <row r="20" spans="1:41" s="586" customFormat="1" ht="40.200000000000003" customHeight="1">
      <c r="A20" s="591"/>
      <c r="B20"/>
      <c r="C20" s="591"/>
      <c r="D20" s="854" t="s">
        <v>357</v>
      </c>
      <c r="E20" s="855"/>
      <c r="F20" s="855"/>
      <c r="G20" s="855"/>
      <c r="H20" s="855"/>
      <c r="I20" s="855"/>
      <c r="J20" s="855"/>
      <c r="K20" s="855"/>
      <c r="L20" s="855"/>
      <c r="M20" s="855"/>
      <c r="N20" s="855"/>
      <c r="O20" s="855"/>
      <c r="P20" s="855"/>
      <c r="Q20" s="855"/>
      <c r="R20" s="855"/>
      <c r="S20" s="855"/>
      <c r="T20" s="855"/>
    </row>
    <row r="21" spans="1:41" s="645" customFormat="1" ht="13.2">
      <c r="A21"/>
      <c r="B21" s="636"/>
      <c r="C21" s="636" t="s">
        <v>280</v>
      </c>
      <c r="D21" s="636" t="str">
        <f ca="1">CELL("Address",Elec_Rates!D$26)</f>
        <v>[E25_0559_ST_Electronics_Exhaust_Replacement_Est_.xlsx]Elec_Rates!$D$26</v>
      </c>
      <c r="E21" s="637"/>
      <c r="F21" s="637"/>
      <c r="G21" s="638" t="s">
        <v>281</v>
      </c>
      <c r="H21" s="638"/>
      <c r="I21" s="638"/>
      <c r="J21" s="638"/>
      <c r="K21" s="639"/>
      <c r="L21" s="637"/>
      <c r="M21" s="637"/>
      <c r="N21" s="637"/>
      <c r="O21" s="640"/>
      <c r="P21" s="637"/>
      <c r="Q21" s="641"/>
      <c r="R21" s="642"/>
      <c r="S21" s="641"/>
      <c r="T21" s="643"/>
      <c r="U21" s="644"/>
    </row>
    <row r="22" spans="1:41" s="645" customFormat="1" ht="11.4">
      <c r="A22" s="646">
        <v>30</v>
      </c>
      <c r="B22" s="647">
        <v>1</v>
      </c>
      <c r="C22" s="647">
        <f>$A22*$B22</f>
        <v>30</v>
      </c>
      <c r="D22" s="648" t="str">
        <f>Elec_Rates!$D$26</f>
        <v>002# 200mm galvanised steel cable tray complete with cover</v>
      </c>
      <c r="E22" s="648"/>
      <c r="F22" s="648" t="s">
        <v>282</v>
      </c>
      <c r="G22" s="649" t="s">
        <v>283</v>
      </c>
      <c r="H22" s="649"/>
      <c r="I22" s="649"/>
      <c r="J22" s="649"/>
      <c r="K22" s="650"/>
      <c r="L22" s="644"/>
      <c r="M22" s="644"/>
      <c r="N22" s="644"/>
      <c r="O22" s="651"/>
      <c r="P22" s="648"/>
      <c r="Q22" s="652">
        <f ca="1">$B22*Elec_Rates!$R$26</f>
        <v>59.43</v>
      </c>
      <c r="R22" s="642">
        <f ca="1">$A22*Q22</f>
        <v>1782.9</v>
      </c>
      <c r="S22" s="652">
        <f ca="1">$B22*Elec_Rates!$T$26</f>
        <v>0.81</v>
      </c>
      <c r="T22" s="643">
        <f ca="1">$A22*S22</f>
        <v>24.3</v>
      </c>
      <c r="U22" s="563"/>
    </row>
    <row r="23" spans="1:41" s="645" customFormat="1" ht="13.2">
      <c r="A23"/>
      <c r="B23" s="636"/>
      <c r="C23" s="636" t="s">
        <v>280</v>
      </c>
      <c r="D23" s="636" t="str">
        <f ca="1">CELL("Address",Elec_Rates!D$41)</f>
        <v>[E25_0559_ST_Electronics_Exhaust_Replacement_Est_.xlsx]Elec_Rates!$D$41</v>
      </c>
      <c r="E23" s="637"/>
      <c r="F23" s="637"/>
      <c r="G23" s="638" t="s">
        <v>281</v>
      </c>
      <c r="H23" s="638"/>
      <c r="I23" s="638"/>
      <c r="J23" s="638"/>
      <c r="K23" s="639"/>
      <c r="L23" s="637"/>
      <c r="M23" s="637"/>
      <c r="N23" s="637"/>
      <c r="O23" s="640"/>
      <c r="P23" s="637"/>
      <c r="Q23" s="641"/>
      <c r="R23" s="642"/>
      <c r="S23" s="641"/>
      <c r="T23" s="643"/>
      <c r="U23" s="644"/>
    </row>
    <row r="24" spans="1:41" s="645" customFormat="1" ht="11.4">
      <c r="A24" s="646">
        <v>30</v>
      </c>
      <c r="B24" s="647">
        <v>1</v>
      </c>
      <c r="C24" s="647">
        <f>$A24*$B24</f>
        <v>30</v>
      </c>
      <c r="D24" s="648" t="str">
        <f>Elec_Rates!$D$41</f>
        <v>003# Cable Containment Support</v>
      </c>
      <c r="E24" s="648"/>
      <c r="F24" s="648" t="s">
        <v>282</v>
      </c>
      <c r="G24" s="649" t="s">
        <v>283</v>
      </c>
      <c r="H24" s="649"/>
      <c r="I24" s="649"/>
      <c r="J24" s="649"/>
      <c r="K24" s="650"/>
      <c r="L24" s="644"/>
      <c r="M24" s="644"/>
      <c r="N24" s="644"/>
      <c r="O24" s="651"/>
      <c r="P24" s="648"/>
      <c r="Q24" s="652">
        <f ca="1">$B24*Elec_Rates!$R$41</f>
        <v>71.41</v>
      </c>
      <c r="R24" s="642">
        <f ca="1">$A24*Q24</f>
        <v>2142.2999999999997</v>
      </c>
      <c r="S24" s="652">
        <f ca="1">$B24*Elec_Rates!$T$41</f>
        <v>0.63</v>
      </c>
      <c r="T24" s="643">
        <f ca="1">$A24*S24</f>
        <v>18.899999999999999</v>
      </c>
      <c r="U24" s="563"/>
    </row>
    <row r="25" spans="1:41" s="586" customFormat="1" ht="12">
      <c r="A25" s="582"/>
      <c r="B25" s="582"/>
      <c r="C25" s="582"/>
      <c r="D25" s="582"/>
      <c r="E25" s="582"/>
      <c r="F25" s="583"/>
      <c r="G25" s="582"/>
      <c r="H25" s="582"/>
      <c r="I25" s="584"/>
      <c r="J25" s="582"/>
      <c r="K25" s="582"/>
      <c r="L25" s="582"/>
      <c r="M25" s="582"/>
      <c r="N25" s="582"/>
      <c r="O25" s="582"/>
      <c r="P25" s="582"/>
      <c r="Q25" s="584"/>
      <c r="R25" s="605">
        <f t="shared" ref="R25" si="0">$A25*Q25</f>
        <v>0</v>
      </c>
      <c r="S25" s="584"/>
      <c r="T25" s="585">
        <f t="shared" ref="T25" si="1">$A25*S25*$T$1</f>
        <v>0</v>
      </c>
    </row>
    <row r="26" spans="1:41" s="586" customFormat="1" ht="12.6" thickBot="1">
      <c r="A26" s="606" t="s">
        <v>142</v>
      </c>
      <c r="B26" s="607">
        <f>(R25+T25)</f>
        <v>0</v>
      </c>
      <c r="C26" s="608"/>
      <c r="D26" s="608"/>
      <c r="E26" s="608"/>
      <c r="F26" s="609"/>
      <c r="G26" s="608" t="s">
        <v>143</v>
      </c>
      <c r="H26" s="608"/>
      <c r="I26" s="610"/>
      <c r="J26" s="608"/>
      <c r="K26" s="608" t="s">
        <v>3</v>
      </c>
      <c r="L26" s="611" t="s">
        <v>141</v>
      </c>
      <c r="M26" s="611"/>
      <c r="N26" s="611"/>
      <c r="O26" s="611"/>
      <c r="P26" s="611"/>
      <c r="Q26" s="612"/>
      <c r="R26" s="613">
        <f ca="1">SUM(R20:R25)</f>
        <v>3925.2</v>
      </c>
      <c r="S26" s="608"/>
      <c r="T26" s="613">
        <f ca="1">SUM(T20:T25)</f>
        <v>43.2</v>
      </c>
      <c r="U26" s="614"/>
      <c r="V26" s="614"/>
      <c r="W26" s="614"/>
      <c r="X26" s="614"/>
      <c r="Y26" s="614"/>
      <c r="Z26" s="614"/>
      <c r="AA26" s="614"/>
      <c r="AB26" s="614"/>
      <c r="AC26" s="614"/>
      <c r="AD26" s="614"/>
      <c r="AE26" s="614"/>
      <c r="AF26" s="614"/>
      <c r="AG26" s="614"/>
      <c r="AH26" s="614"/>
      <c r="AI26" s="614"/>
      <c r="AJ26" s="614"/>
      <c r="AK26" s="614"/>
      <c r="AL26" s="614"/>
      <c r="AM26" s="614"/>
      <c r="AN26" s="614"/>
      <c r="AO26" s="614"/>
    </row>
    <row r="27" spans="1:41" s="586" customFormat="1" ht="12" thickTop="1">
      <c r="A27" s="57"/>
      <c r="B27" s="41"/>
      <c r="C27" s="57"/>
      <c r="E27" s="42" t="s">
        <v>137</v>
      </c>
      <c r="F27" s="42" t="s">
        <v>138</v>
      </c>
      <c r="G27" s="57"/>
      <c r="H27" s="57"/>
      <c r="I27" s="57"/>
      <c r="J27" s="57"/>
      <c r="K27" s="57" t="s">
        <v>139</v>
      </c>
      <c r="L27" s="57"/>
      <c r="M27" s="57"/>
      <c r="N27" s="57"/>
      <c r="O27" s="58"/>
      <c r="P27" s="57"/>
      <c r="Q27" s="57"/>
      <c r="R27" s="57"/>
      <c r="S27" s="57"/>
      <c r="T27" s="41"/>
      <c r="AG27" s="587" t="s">
        <v>253</v>
      </c>
      <c r="AH27" s="587" t="s">
        <v>254</v>
      </c>
      <c r="AI27" s="587" t="s">
        <v>255</v>
      </c>
      <c r="AJ27" s="587" t="s">
        <v>256</v>
      </c>
      <c r="AK27" s="587" t="s">
        <v>257</v>
      </c>
      <c r="AM27" s="579" t="s">
        <v>266</v>
      </c>
      <c r="AN27" s="580" t="s">
        <v>267</v>
      </c>
      <c r="AO27" s="588" t="s">
        <v>263</v>
      </c>
    </row>
    <row r="28" spans="1:41" s="586" customFormat="1" ht="12" customHeight="1">
      <c r="A28" s="589">
        <v>1</v>
      </c>
      <c r="B28" s="590" t="s">
        <v>285</v>
      </c>
      <c r="C28" s="591"/>
      <c r="D28" s="592" t="s">
        <v>275</v>
      </c>
      <c r="E28" s="593">
        <f>IF(AND($A28=0,$A$1="DIF"),0, ROUND(ROUND(($R32*$S$2+($T32*$T$2))/A28,2)*$C$2,2))</f>
        <v>0</v>
      </c>
      <c r="F28" s="594">
        <f>ROUND($A28*$E28,2)</f>
        <v>0</v>
      </c>
      <c r="G28" s="595" t="s">
        <v>140</v>
      </c>
      <c r="H28" s="583"/>
      <c r="I28" s="596"/>
      <c r="J28" s="583"/>
      <c r="K28" s="583" t="s">
        <v>3</v>
      </c>
      <c r="L28" s="597" t="s">
        <v>141</v>
      </c>
      <c r="M28" s="597"/>
      <c r="N28" s="597"/>
      <c r="O28" s="597"/>
      <c r="P28" s="597"/>
      <c r="Q28" s="653" t="s">
        <v>366</v>
      </c>
      <c r="T28" s="598" t="str">
        <f>IF(AND($R32=0,$T32=0),"0.00","mu :" &amp; ROUND($F28/$C$2/($R32+$T32*$D$9),2))</f>
        <v>0.00</v>
      </c>
      <c r="W28" s="599"/>
      <c r="AG28" s="529">
        <f>IF($E28=0,0,ROUND($R32*$S$2*$C$2/$A28,2))</f>
        <v>0</v>
      </c>
      <c r="AH28" s="529">
        <f>$AG28*$A28</f>
        <v>0</v>
      </c>
      <c r="AI28" s="600">
        <f>$E28-$AG28</f>
        <v>0</v>
      </c>
      <c r="AJ28" s="600">
        <f>$A28*$AI28</f>
        <v>0</v>
      </c>
      <c r="AK28" s="601">
        <f>ROUND(($AG28+$AI28)*$A28,2)</f>
        <v>0</v>
      </c>
      <c r="AM28" s="602">
        <f>ROUND(R32,2)</f>
        <v>0</v>
      </c>
      <c r="AN28" s="603">
        <f>ROUND(T32,2)</f>
        <v>0</v>
      </c>
      <c r="AO28" s="604">
        <f>ROUND(AM28+AN28,2)*A28</f>
        <v>0</v>
      </c>
    </row>
    <row r="29" spans="1:41" s="586" customFormat="1" ht="13.2">
      <c r="A29" s="591"/>
      <c r="B29"/>
      <c r="C29" s="591"/>
      <c r="D29" s="854" t="s">
        <v>358</v>
      </c>
      <c r="E29" s="855"/>
      <c r="F29" s="855"/>
      <c r="G29" s="855"/>
      <c r="H29" s="855"/>
      <c r="I29" s="855"/>
      <c r="J29" s="855"/>
      <c r="K29" s="855"/>
      <c r="L29" s="855"/>
      <c r="M29" s="855"/>
      <c r="N29" s="855"/>
      <c r="O29" s="855"/>
      <c r="P29" s="855"/>
      <c r="Q29" s="855"/>
      <c r="R29" s="855"/>
      <c r="S29" s="855"/>
      <c r="T29" s="855"/>
    </row>
    <row r="30" spans="1:41" s="627" customFormat="1" ht="13.2">
      <c r="A30" s="157"/>
      <c r="G30" s="628"/>
      <c r="H30" s="629"/>
      <c r="O30" s="630"/>
      <c r="P30" s="631"/>
      <c r="Q30" s="633"/>
      <c r="R30" s="632"/>
      <c r="S30" s="633"/>
      <c r="T30" s="634"/>
    </row>
    <row r="31" spans="1:41" s="586" customFormat="1" ht="12">
      <c r="A31" s="582"/>
      <c r="B31" s="582"/>
      <c r="C31" s="582"/>
      <c r="D31" s="582"/>
      <c r="E31" s="582"/>
      <c r="F31" s="583"/>
      <c r="G31" s="582"/>
      <c r="H31" s="582"/>
      <c r="I31" s="584"/>
      <c r="J31" s="582"/>
      <c r="K31" s="582"/>
      <c r="L31" s="582"/>
      <c r="M31" s="582"/>
      <c r="N31" s="582"/>
      <c r="O31" s="582"/>
      <c r="P31" s="582"/>
      <c r="Q31" s="584"/>
      <c r="R31" s="605">
        <f t="shared" ref="R31" si="2">$A31*Q31</f>
        <v>0</v>
      </c>
      <c r="S31" s="584"/>
      <c r="T31" s="585">
        <f t="shared" ref="T31" si="3">$A31*S31*$T$1</f>
        <v>0</v>
      </c>
    </row>
    <row r="32" spans="1:41" s="586" customFormat="1" ht="12.6" thickBot="1">
      <c r="A32" s="606" t="s">
        <v>142</v>
      </c>
      <c r="B32" s="607">
        <f>(R31+T31)</f>
        <v>0</v>
      </c>
      <c r="C32" s="608"/>
      <c r="D32" s="608"/>
      <c r="E32" s="608"/>
      <c r="F32" s="609"/>
      <c r="G32" s="608" t="s">
        <v>143</v>
      </c>
      <c r="H32" s="608"/>
      <c r="I32" s="610"/>
      <c r="J32" s="608"/>
      <c r="K32" s="608" t="s">
        <v>3</v>
      </c>
      <c r="L32" s="611" t="s">
        <v>141</v>
      </c>
      <c r="M32" s="611"/>
      <c r="N32" s="611"/>
      <c r="O32" s="611"/>
      <c r="P32" s="611"/>
      <c r="Q32" s="612"/>
      <c r="R32" s="613">
        <f>SUM(R29:R31)</f>
        <v>0</v>
      </c>
      <c r="S32" s="608"/>
      <c r="T32" s="613">
        <f>SUM(T29:T31)</f>
        <v>0</v>
      </c>
      <c r="U32" s="614"/>
      <c r="V32" s="614"/>
      <c r="W32" s="614"/>
      <c r="X32" s="614"/>
      <c r="Y32" s="614"/>
      <c r="Z32" s="614"/>
      <c r="AA32" s="614"/>
      <c r="AB32" s="614"/>
      <c r="AC32" s="614"/>
      <c r="AD32" s="614"/>
      <c r="AE32" s="614"/>
      <c r="AF32" s="614"/>
      <c r="AG32" s="614"/>
      <c r="AH32" s="614"/>
      <c r="AI32" s="614"/>
      <c r="AJ32" s="614"/>
      <c r="AK32" s="614"/>
      <c r="AL32" s="614"/>
      <c r="AM32" s="614"/>
      <c r="AN32" s="614"/>
      <c r="AO32" s="614"/>
    </row>
    <row r="33" spans="1:41" s="586" customFormat="1" thickTop="1">
      <c r="A33" s="57"/>
      <c r="B33" s="57"/>
      <c r="C33" s="3"/>
      <c r="D33" s="3"/>
      <c r="E33" s="57"/>
      <c r="F33" s="57"/>
      <c r="G33" s="57"/>
      <c r="H33" s="57"/>
      <c r="I33" s="57"/>
      <c r="J33" s="57"/>
      <c r="K33" s="57" t="s">
        <v>133</v>
      </c>
      <c r="L33" s="57"/>
      <c r="M33" s="57"/>
      <c r="N33" s="57"/>
      <c r="O33" s="58"/>
      <c r="P33" s="57"/>
      <c r="Q33" s="57"/>
      <c r="R33" s="57"/>
      <c r="S33" s="57"/>
      <c r="T33" s="57"/>
    </row>
    <row r="34" spans="1:41" s="586" customFormat="1" ht="12">
      <c r="A34" s="57"/>
      <c r="B34" s="57"/>
      <c r="C34" s="57" t="s">
        <v>134</v>
      </c>
      <c r="D34" s="37" t="s">
        <v>135</v>
      </c>
      <c r="E34" s="57"/>
      <c r="F34" s="57"/>
      <c r="G34" s="57"/>
      <c r="H34" s="57"/>
      <c r="I34" s="57"/>
      <c r="J34" s="57"/>
      <c r="K34" s="57"/>
      <c r="L34" s="57"/>
      <c r="M34" s="57"/>
      <c r="N34" s="57"/>
      <c r="O34" s="58"/>
      <c r="P34" s="57"/>
      <c r="Q34" s="57"/>
      <c r="R34" s="57"/>
      <c r="S34" s="57"/>
      <c r="T34" s="57"/>
    </row>
    <row r="35" spans="1:41" s="586" customFormat="1" ht="12">
      <c r="A35" s="57"/>
      <c r="B35" s="57"/>
      <c r="C35" s="57"/>
      <c r="D35" s="37" t="s">
        <v>390</v>
      </c>
      <c r="E35" s="57"/>
      <c r="F35" s="57"/>
      <c r="G35" s="57"/>
      <c r="H35" s="57"/>
      <c r="I35" s="57"/>
      <c r="J35" s="57"/>
      <c r="K35" s="57"/>
      <c r="L35" s="57"/>
      <c r="M35" s="57"/>
      <c r="N35" s="57"/>
      <c r="O35" s="58"/>
      <c r="P35" s="57"/>
      <c r="Q35" s="57"/>
      <c r="R35" s="57"/>
      <c r="S35" s="38"/>
      <c r="T35" s="38"/>
    </row>
    <row r="36" spans="1:41" s="3" customFormat="1" thickBot="1">
      <c r="A36" s="614"/>
      <c r="O36" s="148"/>
    </row>
    <row r="37" spans="1:41" s="586" customFormat="1" ht="12" thickTop="1">
      <c r="A37" s="57"/>
      <c r="B37" s="41"/>
      <c r="C37" s="57"/>
      <c r="E37" s="42" t="s">
        <v>137</v>
      </c>
      <c r="F37" s="42" t="s">
        <v>138</v>
      </c>
      <c r="G37" s="57"/>
      <c r="H37" s="57"/>
      <c r="I37" s="57"/>
      <c r="J37" s="57"/>
      <c r="K37" s="57" t="s">
        <v>139</v>
      </c>
      <c r="L37" s="57"/>
      <c r="M37" s="57"/>
      <c r="N37" s="57"/>
      <c r="O37" s="58"/>
      <c r="P37" s="57"/>
      <c r="Q37" s="57"/>
      <c r="R37" s="57"/>
      <c r="S37" s="57"/>
      <c r="T37" s="41"/>
      <c r="AG37" s="587" t="s">
        <v>253</v>
      </c>
      <c r="AH37" s="587" t="s">
        <v>254</v>
      </c>
      <c r="AI37" s="587" t="s">
        <v>255</v>
      </c>
      <c r="AJ37" s="587" t="s">
        <v>256</v>
      </c>
      <c r="AK37" s="587" t="s">
        <v>257</v>
      </c>
      <c r="AM37" s="579" t="s">
        <v>266</v>
      </c>
      <c r="AN37" s="580" t="s">
        <v>267</v>
      </c>
      <c r="AO37" s="588" t="s">
        <v>263</v>
      </c>
    </row>
    <row r="38" spans="1:41" s="586" customFormat="1" ht="12" customHeight="1">
      <c r="A38" s="589">
        <v>50</v>
      </c>
      <c r="B38" s="590" t="s">
        <v>365</v>
      </c>
      <c r="C38" s="591"/>
      <c r="D38" s="592" t="s">
        <v>405</v>
      </c>
      <c r="E38" s="593">
        <f>IF(AND($A38=0,$A$1="DIF"),0, ROUND(ROUND(($R44*$S$2+($T44*$T$2))/A38,2)*$C$2,2))</f>
        <v>24.51</v>
      </c>
      <c r="F38" s="594">
        <f>ROUND($A38*$E38,2)</f>
        <v>1225.5</v>
      </c>
      <c r="G38" s="595" t="s">
        <v>140</v>
      </c>
      <c r="H38" s="583"/>
      <c r="I38" s="596"/>
      <c r="J38" s="583"/>
      <c r="K38" s="583" t="s">
        <v>3</v>
      </c>
      <c r="L38" s="597" t="s">
        <v>141</v>
      </c>
      <c r="M38" s="597"/>
      <c r="N38" s="597"/>
      <c r="O38" s="597"/>
      <c r="P38" s="597"/>
      <c r="Q38" s="653"/>
      <c r="T38" s="598" t="str">
        <f>IF(AND($R44=0,$T44=0),"0.00","mu :" &amp; ROUND($F38/$C$2/($R44+$T44*$D$9),2))</f>
        <v>mu :1.25</v>
      </c>
      <c r="W38" s="599"/>
      <c r="AG38" s="529">
        <f>IF($E38=0,0,ROUND($R44*$S$2*$C$2/$A38,2))</f>
        <v>16.440000000000001</v>
      </c>
      <c r="AH38" s="529">
        <f>$AG38*$A38</f>
        <v>822.00000000000011</v>
      </c>
      <c r="AI38" s="600">
        <f>$E38-$AG38</f>
        <v>8.07</v>
      </c>
      <c r="AJ38" s="600">
        <f>$A38*$AI38</f>
        <v>403.5</v>
      </c>
      <c r="AK38" s="601">
        <f>ROUND(($AG38+$AI38)*$A38,2)</f>
        <v>1225.5</v>
      </c>
      <c r="AM38" s="602">
        <f>ROUND(R44,2)</f>
        <v>657.6</v>
      </c>
      <c r="AN38" s="603">
        <f>ROUND(T44,2)</f>
        <v>11.75</v>
      </c>
      <c r="AO38" s="604">
        <f>ROUND(AM38+AN38,2)*A38</f>
        <v>33467.5</v>
      </c>
    </row>
    <row r="39" spans="1:41" s="586" customFormat="1" ht="40.200000000000003" customHeight="1">
      <c r="A39" s="591"/>
      <c r="B39"/>
      <c r="C39" s="591"/>
      <c r="D39" s="854" t="s">
        <v>359</v>
      </c>
      <c r="E39" s="855"/>
      <c r="F39" s="855"/>
      <c r="G39" s="855"/>
      <c r="H39" s="855"/>
      <c r="I39" s="855"/>
      <c r="J39" s="855"/>
      <c r="K39" s="855"/>
      <c r="L39" s="855"/>
      <c r="M39" s="855"/>
      <c r="N39" s="855"/>
      <c r="O39" s="855"/>
      <c r="P39" s="855"/>
      <c r="Q39" s="855"/>
      <c r="R39" s="855"/>
      <c r="S39" s="855"/>
      <c r="T39" s="855"/>
    </row>
    <row r="40" spans="1:41" s="627" customFormat="1" ht="13.2">
      <c r="A40">
        <v>50</v>
      </c>
      <c r="B40" s="627" t="s">
        <v>272</v>
      </c>
      <c r="D40" s="627" t="s">
        <v>377</v>
      </c>
      <c r="E40" s="627" t="s">
        <v>382</v>
      </c>
      <c r="F40" s="627" t="s">
        <v>344</v>
      </c>
      <c r="G40" s="628" t="s">
        <v>367</v>
      </c>
      <c r="H40" s="629">
        <v>616</v>
      </c>
      <c r="I40" s="627" t="s">
        <v>279</v>
      </c>
      <c r="J40" s="627" t="s">
        <v>368</v>
      </c>
      <c r="K40" s="627" t="s">
        <v>369</v>
      </c>
      <c r="O40" s="630">
        <v>2</v>
      </c>
      <c r="P40" s="631">
        <v>38434</v>
      </c>
      <c r="Q40" s="633">
        <v>10.8</v>
      </c>
      <c r="R40" s="632">
        <f>$A40*Q40</f>
        <v>540</v>
      </c>
      <c r="S40" s="633">
        <v>0.06</v>
      </c>
      <c r="T40" s="634">
        <f>$A40*S40*$T$1</f>
        <v>3.75</v>
      </c>
    </row>
    <row r="41" spans="1:41" s="627" customFormat="1" ht="13.2">
      <c r="A41">
        <v>40</v>
      </c>
      <c r="B41" s="627" t="s">
        <v>277</v>
      </c>
      <c r="D41" s="627" t="s">
        <v>378</v>
      </c>
      <c r="G41" s="628" t="s">
        <v>379</v>
      </c>
      <c r="H41" s="629">
        <v>620</v>
      </c>
      <c r="I41" s="627" t="s">
        <v>278</v>
      </c>
      <c r="O41" s="630">
        <v>2</v>
      </c>
      <c r="P41" s="631">
        <v>34669</v>
      </c>
      <c r="Q41" s="726">
        <v>0.14000000000000001</v>
      </c>
      <c r="R41" s="632">
        <f>$A41*Q41</f>
        <v>5.6000000000000005</v>
      </c>
      <c r="S41" s="633">
        <v>0.06</v>
      </c>
      <c r="T41" s="634">
        <f>$A41*S41*$T$1</f>
        <v>3</v>
      </c>
    </row>
    <row r="42" spans="1:41" s="627" customFormat="1" ht="13.2">
      <c r="A42">
        <v>8</v>
      </c>
      <c r="B42" s="627" t="s">
        <v>277</v>
      </c>
      <c r="D42" s="627" t="s">
        <v>380</v>
      </c>
      <c r="G42" s="628" t="s">
        <v>381</v>
      </c>
      <c r="H42" s="629">
        <v>620</v>
      </c>
      <c r="I42" s="627" t="s">
        <v>343</v>
      </c>
      <c r="O42" s="630">
        <v>2</v>
      </c>
      <c r="P42" s="631">
        <v>35431</v>
      </c>
      <c r="Q42" s="726">
        <v>14</v>
      </c>
      <c r="R42" s="632">
        <f>$A42*Q42</f>
        <v>112</v>
      </c>
      <c r="S42" s="633">
        <v>0.5</v>
      </c>
      <c r="T42" s="634">
        <f>$A42*S42*$T$1</f>
        <v>5</v>
      </c>
    </row>
    <row r="43" spans="1:41" s="586" customFormat="1" ht="12">
      <c r="A43" s="582"/>
      <c r="B43" s="582"/>
      <c r="C43" s="582"/>
      <c r="D43" s="582"/>
      <c r="E43" s="582"/>
      <c r="F43" s="583"/>
      <c r="G43" s="582"/>
      <c r="H43" s="582"/>
      <c r="I43" s="584"/>
      <c r="J43" s="582"/>
      <c r="K43" s="582"/>
      <c r="L43" s="582"/>
      <c r="M43" s="582"/>
      <c r="N43" s="582"/>
      <c r="O43" s="582"/>
      <c r="P43" s="582"/>
      <c r="Q43" s="584"/>
      <c r="R43" s="605">
        <f t="shared" ref="R43" si="4">$A43*Q43</f>
        <v>0</v>
      </c>
      <c r="S43" s="584"/>
      <c r="T43" s="585">
        <f t="shared" ref="T43" si="5">$A43*S43*$T$1</f>
        <v>0</v>
      </c>
    </row>
    <row r="44" spans="1:41" s="586" customFormat="1" ht="12.6" thickBot="1">
      <c r="A44" s="606" t="s">
        <v>142</v>
      </c>
      <c r="B44" s="607">
        <f>(R43+T43)</f>
        <v>0</v>
      </c>
      <c r="C44" s="608"/>
      <c r="D44" s="608"/>
      <c r="E44" s="608"/>
      <c r="F44" s="609"/>
      <c r="G44" s="608" t="s">
        <v>143</v>
      </c>
      <c r="H44" s="608"/>
      <c r="I44" s="610"/>
      <c r="J44" s="608"/>
      <c r="K44" s="608" t="s">
        <v>3</v>
      </c>
      <c r="L44" s="611" t="s">
        <v>141</v>
      </c>
      <c r="M44" s="611"/>
      <c r="N44" s="611"/>
      <c r="O44" s="611"/>
      <c r="P44" s="611"/>
      <c r="Q44" s="612"/>
      <c r="R44" s="613">
        <f>SUM(R39:R43)</f>
        <v>657.6</v>
      </c>
      <c r="S44" s="608"/>
      <c r="T44" s="613">
        <f>SUM(T39:T43)</f>
        <v>11.75</v>
      </c>
      <c r="U44" s="614"/>
      <c r="V44" s="614"/>
      <c r="W44" s="614"/>
      <c r="X44" s="614"/>
      <c r="Y44" s="614"/>
      <c r="Z44" s="614"/>
      <c r="AA44" s="614"/>
      <c r="AB44" s="614"/>
      <c r="AC44" s="614"/>
      <c r="AD44" s="614"/>
      <c r="AE44" s="614"/>
      <c r="AF44" s="614"/>
      <c r="AG44" s="614"/>
      <c r="AH44" s="614"/>
      <c r="AI44" s="614"/>
      <c r="AJ44" s="614"/>
      <c r="AK44" s="614"/>
      <c r="AL44" s="614"/>
      <c r="AM44" s="614"/>
      <c r="AN44" s="614"/>
      <c r="AO44" s="614"/>
    </row>
    <row r="45" spans="1:41" s="586" customFormat="1" thickTop="1">
      <c r="A45" s="57"/>
      <c r="B45" s="57"/>
      <c r="C45" s="3"/>
      <c r="D45" s="3"/>
      <c r="E45" s="57"/>
      <c r="F45" s="57"/>
      <c r="G45" s="57"/>
      <c r="H45" s="57"/>
      <c r="I45" s="57"/>
      <c r="J45" s="57"/>
      <c r="K45" s="57" t="s">
        <v>133</v>
      </c>
      <c r="L45" s="57"/>
      <c r="M45" s="57"/>
      <c r="N45" s="57"/>
      <c r="O45" s="58"/>
      <c r="P45" s="57"/>
      <c r="Q45" s="57"/>
      <c r="R45" s="57"/>
      <c r="S45" s="57"/>
      <c r="T45" s="57"/>
    </row>
    <row r="46" spans="1:41" s="586" customFormat="1" ht="12">
      <c r="A46" s="57"/>
      <c r="B46" s="57"/>
      <c r="C46" s="57" t="s">
        <v>134</v>
      </c>
      <c r="D46" s="37" t="s">
        <v>135</v>
      </c>
      <c r="E46" s="57"/>
      <c r="F46" s="57"/>
      <c r="G46" s="57"/>
      <c r="H46" s="57"/>
      <c r="I46" s="57"/>
      <c r="J46" s="57"/>
      <c r="K46" s="57"/>
      <c r="L46" s="57"/>
      <c r="M46" s="57"/>
      <c r="N46" s="57"/>
      <c r="O46" s="58"/>
      <c r="P46" s="57"/>
      <c r="Q46" s="57"/>
      <c r="R46" s="57"/>
      <c r="S46" s="57"/>
      <c r="T46" s="57"/>
    </row>
    <row r="47" spans="1:41" s="586" customFormat="1" ht="12">
      <c r="A47" s="57"/>
      <c r="B47" s="57"/>
      <c r="C47" s="57"/>
      <c r="D47" s="37" t="s">
        <v>389</v>
      </c>
      <c r="E47" s="57"/>
      <c r="F47" s="57"/>
      <c r="G47" s="57"/>
      <c r="H47" s="57"/>
      <c r="I47" s="57"/>
      <c r="J47" s="57"/>
      <c r="K47" s="57"/>
      <c r="L47" s="57"/>
      <c r="M47" s="57"/>
      <c r="N47" s="57"/>
      <c r="O47" s="58"/>
      <c r="P47" s="57"/>
      <c r="Q47" s="57"/>
      <c r="R47" s="57"/>
      <c r="S47" s="38"/>
      <c r="T47" s="38"/>
    </row>
    <row r="48" spans="1:41" s="3" customFormat="1" thickBot="1">
      <c r="A48" s="614"/>
      <c r="O48" s="148"/>
    </row>
    <row r="49" spans="1:41" s="586" customFormat="1" ht="12" thickTop="1">
      <c r="A49" s="57"/>
      <c r="B49" s="41"/>
      <c r="C49" s="57"/>
      <c r="E49" s="42" t="s">
        <v>137</v>
      </c>
      <c r="F49" s="42" t="s">
        <v>138</v>
      </c>
      <c r="G49" s="57"/>
      <c r="H49" s="57"/>
      <c r="I49" s="57"/>
      <c r="J49" s="57"/>
      <c r="K49" s="57" t="s">
        <v>139</v>
      </c>
      <c r="L49" s="57"/>
      <c r="M49" s="57"/>
      <c r="N49" s="57"/>
      <c r="O49" s="58"/>
      <c r="P49" s="57"/>
      <c r="Q49" s="57"/>
      <c r="R49" s="57"/>
      <c r="S49" s="57"/>
      <c r="T49" s="41"/>
      <c r="AG49" s="587" t="s">
        <v>253</v>
      </c>
      <c r="AH49" s="587" t="s">
        <v>254</v>
      </c>
      <c r="AI49" s="587" t="s">
        <v>255</v>
      </c>
      <c r="AJ49" s="587" t="s">
        <v>256</v>
      </c>
      <c r="AK49" s="587" t="s">
        <v>257</v>
      </c>
      <c r="AM49" s="579" t="s">
        <v>266</v>
      </c>
      <c r="AN49" s="580" t="s">
        <v>267</v>
      </c>
      <c r="AO49" s="588" t="s">
        <v>263</v>
      </c>
    </row>
    <row r="50" spans="1:41" s="586" customFormat="1" ht="12" customHeight="1">
      <c r="A50" s="589">
        <v>2</v>
      </c>
      <c r="B50" s="590" t="s">
        <v>277</v>
      </c>
      <c r="C50" s="591"/>
      <c r="D50" s="592" t="s">
        <v>383</v>
      </c>
      <c r="E50" s="593">
        <f>IF(AND($A50=0,$A$1="DIF"),0, ROUND(ROUND(($R54*$S$2+($T54*$T$2))/A50,2)*$C$2,2))</f>
        <v>42.91</v>
      </c>
      <c r="F50" s="594">
        <f>ROUND($A50*$E50,2)</f>
        <v>85.82</v>
      </c>
      <c r="G50" s="595" t="s">
        <v>140</v>
      </c>
      <c r="H50" s="583"/>
      <c r="I50" s="596"/>
      <c r="J50" s="583"/>
      <c r="K50" s="583" t="s">
        <v>3</v>
      </c>
      <c r="L50" s="597" t="s">
        <v>141</v>
      </c>
      <c r="M50" s="597"/>
      <c r="N50" s="597"/>
      <c r="O50" s="597"/>
      <c r="P50" s="597"/>
      <c r="Q50" s="653"/>
      <c r="T50" s="598" t="str">
        <f>IF(AND($R54=0,$T54=0),"0.00","mu :" &amp; ROUND($F50/$C$2/($R54+$T54*$D$9),2))</f>
        <v>mu :1.25</v>
      </c>
      <c r="W50" s="599"/>
      <c r="AG50" s="529">
        <f>IF($E50=0,0,ROUND($R54*$S$2*$C$2/$A50,2))</f>
        <v>0</v>
      </c>
      <c r="AH50" s="529">
        <f>$AG50*$A50</f>
        <v>0</v>
      </c>
      <c r="AI50" s="600">
        <f>$E50-$AG50</f>
        <v>42.91</v>
      </c>
      <c r="AJ50" s="600">
        <f>$A50*$AI50</f>
        <v>85.82</v>
      </c>
      <c r="AK50" s="601">
        <f>ROUND(($AG50+$AI50)*$A50,2)</f>
        <v>85.82</v>
      </c>
      <c r="AM50" s="602">
        <f>ROUND(R54,2)</f>
        <v>0</v>
      </c>
      <c r="AN50" s="603">
        <f>ROUND(T54,2)</f>
        <v>2.5</v>
      </c>
      <c r="AO50" s="604">
        <f>ROUND(AM50+AN50,2)*A50</f>
        <v>5</v>
      </c>
    </row>
    <row r="51" spans="1:41" s="586" customFormat="1" ht="40.200000000000003" customHeight="1">
      <c r="A51" s="591"/>
      <c r="B51"/>
      <c r="C51" s="591"/>
      <c r="D51" s="854" t="s">
        <v>408</v>
      </c>
      <c r="E51" s="855"/>
      <c r="F51" s="855"/>
      <c r="G51" s="855"/>
      <c r="H51" s="855"/>
      <c r="I51" s="855"/>
      <c r="J51" s="855"/>
      <c r="K51" s="855"/>
      <c r="L51" s="855"/>
      <c r="M51" s="855"/>
      <c r="N51" s="855"/>
      <c r="O51" s="855"/>
      <c r="P51" s="855"/>
      <c r="Q51" s="855"/>
      <c r="R51" s="855"/>
      <c r="S51" s="855"/>
      <c r="T51" s="855"/>
    </row>
    <row r="52" spans="1:41" s="627" customFormat="1" ht="13.2">
      <c r="A52">
        <v>2</v>
      </c>
      <c r="B52" s="627" t="s">
        <v>277</v>
      </c>
      <c r="D52" s="627" t="s">
        <v>404</v>
      </c>
      <c r="G52" s="628" t="s">
        <v>385</v>
      </c>
      <c r="H52" s="629">
        <v>900</v>
      </c>
      <c r="I52" s="627" t="s">
        <v>284</v>
      </c>
      <c r="O52" s="630">
        <v>1</v>
      </c>
      <c r="P52" s="631"/>
      <c r="Q52" s="633">
        <v>0</v>
      </c>
      <c r="R52" s="632">
        <f>$A52*Q52</f>
        <v>0</v>
      </c>
      <c r="S52" s="633">
        <v>1</v>
      </c>
      <c r="T52" s="634">
        <f>$A52*S52*$T$1</f>
        <v>2.5</v>
      </c>
    </row>
    <row r="53" spans="1:41" s="586" customFormat="1" ht="12">
      <c r="A53" s="582"/>
      <c r="B53" s="582"/>
      <c r="C53" s="582"/>
      <c r="D53" s="582"/>
      <c r="E53" s="582"/>
      <c r="F53" s="583"/>
      <c r="G53" s="582"/>
      <c r="H53" s="582"/>
      <c r="I53" s="584"/>
      <c r="J53" s="582"/>
      <c r="K53" s="582"/>
      <c r="L53" s="582"/>
      <c r="M53" s="582"/>
      <c r="N53" s="582"/>
      <c r="O53" s="582"/>
      <c r="P53" s="582"/>
      <c r="Q53" s="584"/>
      <c r="R53" s="605">
        <f t="shared" ref="R53" si="6">$A53*Q53</f>
        <v>0</v>
      </c>
      <c r="S53" s="584"/>
      <c r="T53" s="585">
        <f t="shared" ref="T53" si="7">$A53*S53*$T$1</f>
        <v>0</v>
      </c>
    </row>
    <row r="54" spans="1:41" s="586" customFormat="1" ht="12.6" thickBot="1">
      <c r="A54" s="606" t="s">
        <v>142</v>
      </c>
      <c r="B54" s="607">
        <f>(R53+T53)</f>
        <v>0</v>
      </c>
      <c r="C54" s="608"/>
      <c r="D54" s="608"/>
      <c r="E54" s="608"/>
      <c r="F54" s="609"/>
      <c r="G54" s="608" t="s">
        <v>143</v>
      </c>
      <c r="H54" s="608"/>
      <c r="I54" s="610"/>
      <c r="J54" s="608"/>
      <c r="K54" s="608" t="s">
        <v>3</v>
      </c>
      <c r="L54" s="611" t="s">
        <v>141</v>
      </c>
      <c r="M54" s="611"/>
      <c r="N54" s="611"/>
      <c r="O54" s="611"/>
      <c r="P54" s="611"/>
      <c r="Q54" s="612"/>
      <c r="R54" s="613">
        <f>SUM(R51:R53)</f>
        <v>0</v>
      </c>
      <c r="S54" s="608"/>
      <c r="T54" s="613">
        <f>SUM(T51:T53)</f>
        <v>2.5</v>
      </c>
      <c r="U54" s="614"/>
      <c r="V54" s="614"/>
      <c r="W54" s="614"/>
      <c r="X54" s="614"/>
      <c r="Y54" s="614"/>
      <c r="Z54" s="614"/>
      <c r="AA54" s="614"/>
      <c r="AB54" s="614"/>
      <c r="AC54" s="614"/>
      <c r="AD54" s="614"/>
      <c r="AE54" s="614"/>
      <c r="AF54" s="614"/>
      <c r="AG54" s="614"/>
      <c r="AH54" s="614"/>
      <c r="AI54" s="614"/>
      <c r="AJ54" s="614"/>
      <c r="AK54" s="614"/>
      <c r="AL54" s="614"/>
      <c r="AM54" s="614"/>
      <c r="AN54" s="614"/>
      <c r="AO54" s="614"/>
    </row>
    <row r="55" spans="1:41" s="586" customFormat="1" thickTop="1">
      <c r="A55" s="57"/>
      <c r="B55" s="57"/>
      <c r="C55" s="3"/>
      <c r="D55" s="3"/>
      <c r="E55" s="57"/>
      <c r="F55" s="57"/>
      <c r="G55" s="57"/>
      <c r="H55" s="57"/>
      <c r="I55" s="57"/>
      <c r="J55" s="57"/>
      <c r="K55" s="57" t="s">
        <v>133</v>
      </c>
      <c r="L55" s="57"/>
      <c r="M55" s="57"/>
      <c r="N55" s="57"/>
      <c r="O55" s="58"/>
      <c r="P55" s="57"/>
      <c r="Q55" s="57"/>
      <c r="R55" s="57"/>
      <c r="S55" s="57"/>
      <c r="T55" s="57"/>
    </row>
    <row r="56" spans="1:41" s="586" customFormat="1" ht="12">
      <c r="A56" s="57"/>
      <c r="B56" s="57"/>
      <c r="C56" s="57" t="s">
        <v>134</v>
      </c>
      <c r="D56" s="37" t="s">
        <v>135</v>
      </c>
      <c r="E56" s="57"/>
      <c r="F56" s="57"/>
      <c r="G56" s="57"/>
      <c r="H56" s="57"/>
      <c r="I56" s="57"/>
      <c r="J56" s="57"/>
      <c r="K56" s="57"/>
      <c r="L56" s="57"/>
      <c r="M56" s="57"/>
      <c r="N56" s="57"/>
      <c r="O56" s="58"/>
      <c r="P56" s="57"/>
      <c r="Q56" s="57"/>
      <c r="R56" s="57"/>
      <c r="S56" s="57"/>
      <c r="T56" s="57"/>
    </row>
    <row r="57" spans="1:41" s="586" customFormat="1" ht="12">
      <c r="A57" s="57"/>
      <c r="B57" s="57"/>
      <c r="C57" s="57"/>
      <c r="D57" s="37" t="s">
        <v>402</v>
      </c>
      <c r="E57" s="57"/>
      <c r="F57" s="57"/>
      <c r="G57" s="57"/>
      <c r="H57" s="57"/>
      <c r="I57" s="57"/>
      <c r="J57" s="57"/>
      <c r="K57" s="57"/>
      <c r="L57" s="57"/>
      <c r="M57" s="57"/>
      <c r="N57" s="57"/>
      <c r="O57" s="58"/>
      <c r="P57" s="57"/>
      <c r="Q57" s="57"/>
      <c r="R57" s="57"/>
      <c r="S57" s="38"/>
      <c r="T57" s="38"/>
    </row>
    <row r="58" spans="1:41" s="3" customFormat="1" thickBot="1">
      <c r="A58" s="614"/>
      <c r="O58" s="148"/>
    </row>
    <row r="59" spans="1:41" s="586" customFormat="1" ht="12" thickTop="1">
      <c r="A59" s="57"/>
      <c r="B59" s="41"/>
      <c r="C59" s="57"/>
      <c r="E59" s="42" t="s">
        <v>137</v>
      </c>
      <c r="F59" s="42" t="s">
        <v>138</v>
      </c>
      <c r="G59" s="57"/>
      <c r="H59" s="57"/>
      <c r="I59" s="57"/>
      <c r="J59" s="57"/>
      <c r="K59" s="57" t="s">
        <v>139</v>
      </c>
      <c r="L59" s="57"/>
      <c r="M59" s="57"/>
      <c r="N59" s="57"/>
      <c r="O59" s="58"/>
      <c r="P59" s="57"/>
      <c r="Q59" s="57"/>
      <c r="R59" s="57"/>
      <c r="S59" s="57"/>
      <c r="T59" s="41"/>
      <c r="AG59" s="587" t="s">
        <v>253</v>
      </c>
      <c r="AH59" s="587" t="s">
        <v>254</v>
      </c>
      <c r="AI59" s="587" t="s">
        <v>255</v>
      </c>
      <c r="AJ59" s="587" t="s">
        <v>256</v>
      </c>
      <c r="AK59" s="587" t="s">
        <v>257</v>
      </c>
      <c r="AM59" s="579" t="s">
        <v>266</v>
      </c>
      <c r="AN59" s="580" t="s">
        <v>267</v>
      </c>
      <c r="AO59" s="588" t="s">
        <v>263</v>
      </c>
    </row>
    <row r="60" spans="1:41" s="586" customFormat="1" ht="12" customHeight="1">
      <c r="A60" s="589">
        <v>1</v>
      </c>
      <c r="B60" s="590" t="s">
        <v>285</v>
      </c>
      <c r="C60" s="591"/>
      <c r="D60" s="592" t="s">
        <v>383</v>
      </c>
      <c r="E60" s="593">
        <f>IF(AND($A60=0,$A$1="DIF"),0, ROUND(ROUND(($R64*$S$2+($T64*$T$2))/A60,2)*$C$2,2))</f>
        <v>257.44</v>
      </c>
      <c r="F60" s="594">
        <f>ROUND($A60*$E60,2)</f>
        <v>257.44</v>
      </c>
      <c r="G60" s="595" t="s">
        <v>140</v>
      </c>
      <c r="H60" s="583"/>
      <c r="I60" s="596"/>
      <c r="J60" s="583"/>
      <c r="K60" s="583" t="s">
        <v>3</v>
      </c>
      <c r="L60" s="597" t="s">
        <v>141</v>
      </c>
      <c r="M60" s="597"/>
      <c r="N60" s="597"/>
      <c r="O60" s="597"/>
      <c r="P60" s="597"/>
      <c r="Q60" s="653"/>
      <c r="T60" s="598" t="str">
        <f>IF(AND($R64=0,$T64=0),"0.00","mu :" &amp; ROUND($F60/$C$2/($R64+$T64*$D$9),2))</f>
        <v>mu :1.25</v>
      </c>
      <c r="W60" s="599"/>
      <c r="AG60" s="529">
        <f>IF($E60=0,0,ROUND($R64*$S$2*$C$2/$A60,2))</f>
        <v>0</v>
      </c>
      <c r="AH60" s="529">
        <f>$AG60*$A60</f>
        <v>0</v>
      </c>
      <c r="AI60" s="600">
        <f>$E60-$AG60</f>
        <v>257.44</v>
      </c>
      <c r="AJ60" s="600">
        <f>$A60*$AI60</f>
        <v>257.44</v>
      </c>
      <c r="AK60" s="601">
        <f>ROUND(($AG60+$AI60)*$A60,2)</f>
        <v>257.44</v>
      </c>
      <c r="AM60" s="602">
        <f>ROUND(R64,2)</f>
        <v>0</v>
      </c>
      <c r="AN60" s="603">
        <f>ROUND(T64,2)</f>
        <v>7.5</v>
      </c>
      <c r="AO60" s="604">
        <f>ROUND(AM60+AN60,2)*A60</f>
        <v>7.5</v>
      </c>
    </row>
    <row r="61" spans="1:41" s="586" customFormat="1" ht="40.200000000000003" customHeight="1">
      <c r="A61" s="591"/>
      <c r="B61"/>
      <c r="C61" s="591"/>
      <c r="D61" s="854" t="s">
        <v>384</v>
      </c>
      <c r="E61" s="855"/>
      <c r="F61" s="855"/>
      <c r="G61" s="855"/>
      <c r="H61" s="855"/>
      <c r="I61" s="855"/>
      <c r="J61" s="855"/>
      <c r="K61" s="855"/>
      <c r="L61" s="855"/>
      <c r="M61" s="855"/>
      <c r="N61" s="855"/>
      <c r="O61" s="855"/>
      <c r="P61" s="855"/>
      <c r="Q61" s="855"/>
      <c r="R61" s="855"/>
      <c r="S61" s="855"/>
      <c r="T61" s="855"/>
    </row>
    <row r="62" spans="1:41" s="627" customFormat="1" ht="13.2">
      <c r="A62">
        <v>1</v>
      </c>
      <c r="B62" s="627" t="s">
        <v>285</v>
      </c>
      <c r="D62" s="627" t="s">
        <v>386</v>
      </c>
      <c r="G62" s="628" t="s">
        <v>385</v>
      </c>
      <c r="H62" s="629">
        <v>900</v>
      </c>
      <c r="I62" s="627" t="s">
        <v>284</v>
      </c>
      <c r="O62" s="630">
        <v>1</v>
      </c>
      <c r="P62" s="631"/>
      <c r="Q62" s="633"/>
      <c r="R62" s="632">
        <f>$A62*Q62</f>
        <v>0</v>
      </c>
      <c r="S62" s="633">
        <v>6</v>
      </c>
      <c r="T62" s="634">
        <f>$A62*S62*$T$1</f>
        <v>7.5</v>
      </c>
    </row>
    <row r="63" spans="1:41" s="586" customFormat="1" ht="12">
      <c r="A63" s="582"/>
      <c r="B63" s="582"/>
      <c r="C63" s="582"/>
      <c r="D63" s="582"/>
      <c r="E63" s="582"/>
      <c r="F63" s="583"/>
      <c r="G63" s="582"/>
      <c r="H63" s="582"/>
      <c r="I63" s="584"/>
      <c r="J63" s="582"/>
      <c r="K63" s="582"/>
      <c r="L63" s="582"/>
      <c r="M63" s="582"/>
      <c r="N63" s="582"/>
      <c r="O63" s="582"/>
      <c r="P63" s="582"/>
      <c r="Q63" s="584"/>
      <c r="R63" s="605">
        <f t="shared" ref="R63" si="8">$A63*Q63</f>
        <v>0</v>
      </c>
      <c r="S63" s="584"/>
      <c r="T63" s="585">
        <f t="shared" ref="T63" si="9">$A63*S63*$T$1</f>
        <v>0</v>
      </c>
    </row>
    <row r="64" spans="1:41" s="586" customFormat="1" ht="12.6" thickBot="1">
      <c r="A64" s="606" t="s">
        <v>142</v>
      </c>
      <c r="B64" s="607">
        <f>(R63+T63)</f>
        <v>0</v>
      </c>
      <c r="C64" s="608"/>
      <c r="D64" s="608"/>
      <c r="E64" s="608"/>
      <c r="F64" s="609"/>
      <c r="G64" s="608" t="s">
        <v>143</v>
      </c>
      <c r="H64" s="608"/>
      <c r="I64" s="610"/>
      <c r="J64" s="608"/>
      <c r="K64" s="608" t="s">
        <v>3</v>
      </c>
      <c r="L64" s="611" t="s">
        <v>141</v>
      </c>
      <c r="M64" s="611"/>
      <c r="N64" s="611"/>
      <c r="O64" s="611"/>
      <c r="P64" s="611"/>
      <c r="Q64" s="612"/>
      <c r="R64" s="613">
        <f>SUM(R61:R63)</f>
        <v>0</v>
      </c>
      <c r="S64" s="608"/>
      <c r="T64" s="613">
        <f>SUM(T61:T63)</f>
        <v>7.5</v>
      </c>
      <c r="U64" s="614"/>
      <c r="V64" s="614"/>
      <c r="W64" s="614"/>
      <c r="X64" s="614"/>
      <c r="Y64" s="614"/>
      <c r="Z64" s="614"/>
      <c r="AA64" s="614"/>
      <c r="AB64" s="614"/>
      <c r="AC64" s="614"/>
      <c r="AD64" s="614"/>
      <c r="AE64" s="614"/>
      <c r="AF64" s="614"/>
      <c r="AG64" s="614"/>
      <c r="AH64" s="614"/>
      <c r="AI64" s="614"/>
      <c r="AJ64" s="614"/>
      <c r="AK64" s="614"/>
      <c r="AL64" s="614"/>
      <c r="AM64" s="614"/>
      <c r="AN64" s="614"/>
      <c r="AO64" s="614"/>
    </row>
    <row r="65" spans="1:41" s="586" customFormat="1" ht="12" thickTop="1">
      <c r="A65" s="57"/>
      <c r="B65" s="41"/>
      <c r="C65" s="57"/>
      <c r="E65" s="42" t="s">
        <v>137</v>
      </c>
      <c r="F65" s="42" t="s">
        <v>138</v>
      </c>
      <c r="G65" s="57"/>
      <c r="H65" s="57"/>
      <c r="I65" s="57"/>
      <c r="J65" s="57"/>
      <c r="K65" s="57" t="s">
        <v>139</v>
      </c>
      <c r="L65" s="57"/>
      <c r="M65" s="57"/>
      <c r="N65" s="57"/>
      <c r="O65" s="58"/>
      <c r="P65" s="57"/>
      <c r="Q65" s="57"/>
      <c r="R65" s="57"/>
      <c r="S65" s="57"/>
      <c r="T65" s="41"/>
      <c r="AG65" s="587" t="s">
        <v>253</v>
      </c>
      <c r="AH65" s="587" t="s">
        <v>254</v>
      </c>
      <c r="AI65" s="587" t="s">
        <v>255</v>
      </c>
      <c r="AJ65" s="587" t="s">
        <v>256</v>
      </c>
      <c r="AK65" s="587" t="s">
        <v>257</v>
      </c>
      <c r="AM65" s="579" t="s">
        <v>266</v>
      </c>
      <c r="AN65" s="580" t="s">
        <v>267</v>
      </c>
      <c r="AO65" s="588" t="s">
        <v>263</v>
      </c>
    </row>
    <row r="66" spans="1:41" s="586" customFormat="1" ht="12" customHeight="1">
      <c r="A66" s="589">
        <v>1</v>
      </c>
      <c r="B66" s="590" t="s">
        <v>285</v>
      </c>
      <c r="C66" s="591"/>
      <c r="D66" s="592" t="s">
        <v>387</v>
      </c>
      <c r="E66" s="593">
        <f>IF(AND($A66=0,$A$1="DIF"),0, ROUND(ROUND(($R70*$S$2+($T70*$T$2))/A66,2)*$C$2,2))</f>
        <v>171.63</v>
      </c>
      <c r="F66" s="594">
        <f>ROUND($A66*$E66,2)</f>
        <v>171.63</v>
      </c>
      <c r="G66" s="595" t="s">
        <v>140</v>
      </c>
      <c r="H66" s="583"/>
      <c r="I66" s="596"/>
      <c r="J66" s="583"/>
      <c r="K66" s="583" t="s">
        <v>3</v>
      </c>
      <c r="L66" s="597" t="s">
        <v>141</v>
      </c>
      <c r="M66" s="597"/>
      <c r="N66" s="597"/>
      <c r="O66" s="597"/>
      <c r="P66" s="597"/>
      <c r="Q66" s="653"/>
      <c r="T66" s="598" t="str">
        <f>IF(AND($R70=0,$T70=0),"0.00","mu :" &amp; ROUND($F66/$C$2/($R70+$T70*$D$9),2))</f>
        <v>mu :1.25</v>
      </c>
      <c r="W66" s="599"/>
      <c r="AG66" s="529">
        <f>IF($E66=0,0,ROUND($R70*$S$2*$C$2/$A66,2))</f>
        <v>0</v>
      </c>
      <c r="AH66" s="529">
        <f>$AG66*$A66</f>
        <v>0</v>
      </c>
      <c r="AI66" s="600">
        <f>$E66-$AG66</f>
        <v>171.63</v>
      </c>
      <c r="AJ66" s="600">
        <f>$A66*$AI66</f>
        <v>171.63</v>
      </c>
      <c r="AK66" s="601">
        <f>ROUND(($AG66+$AI66)*$A66,2)</f>
        <v>171.63</v>
      </c>
      <c r="AM66" s="602">
        <f>ROUND(R70,2)</f>
        <v>0</v>
      </c>
      <c r="AN66" s="603">
        <f>ROUND(T70,2)</f>
        <v>5</v>
      </c>
      <c r="AO66" s="604">
        <f>ROUND(AM66+AN66,2)*A66</f>
        <v>5</v>
      </c>
    </row>
    <row r="67" spans="1:41" s="586" customFormat="1" ht="40.200000000000003" customHeight="1">
      <c r="A67" s="591"/>
      <c r="B67"/>
      <c r="C67" s="591"/>
      <c r="D67" s="854" t="s">
        <v>403</v>
      </c>
      <c r="E67" s="855"/>
      <c r="F67" s="855"/>
      <c r="G67" s="855"/>
      <c r="H67" s="855"/>
      <c r="I67" s="855"/>
      <c r="J67" s="855"/>
      <c r="K67" s="855"/>
      <c r="L67" s="855"/>
      <c r="M67" s="855"/>
      <c r="N67" s="855"/>
      <c r="O67" s="855"/>
      <c r="P67" s="855"/>
      <c r="Q67" s="855"/>
      <c r="R67" s="855"/>
      <c r="S67" s="855"/>
      <c r="T67" s="855"/>
    </row>
    <row r="68" spans="1:41" s="627" customFormat="1" ht="13.2">
      <c r="A68">
        <v>1</v>
      </c>
      <c r="B68" s="627" t="s">
        <v>285</v>
      </c>
      <c r="D68" s="627" t="s">
        <v>388</v>
      </c>
      <c r="G68" s="628" t="s">
        <v>385</v>
      </c>
      <c r="H68" s="629">
        <v>900</v>
      </c>
      <c r="I68" s="627" t="s">
        <v>284</v>
      </c>
      <c r="O68" s="630">
        <v>1</v>
      </c>
      <c r="P68" s="631"/>
      <c r="Q68" s="633"/>
      <c r="R68" s="632">
        <f>$A68*Q68</f>
        <v>0</v>
      </c>
      <c r="S68" s="633">
        <v>4</v>
      </c>
      <c r="T68" s="634">
        <f>$A68*S68*$T$1</f>
        <v>5</v>
      </c>
    </row>
    <row r="69" spans="1:41" s="586" customFormat="1" ht="12">
      <c r="A69" s="582"/>
      <c r="B69" s="582"/>
      <c r="C69" s="582"/>
      <c r="D69" s="582"/>
      <c r="E69" s="582"/>
      <c r="F69" s="583"/>
      <c r="G69" s="582"/>
      <c r="H69" s="582"/>
      <c r="I69" s="584"/>
      <c r="J69" s="582"/>
      <c r="K69" s="582"/>
      <c r="L69" s="582"/>
      <c r="M69" s="582"/>
      <c r="N69" s="582"/>
      <c r="O69" s="582"/>
      <c r="P69" s="582"/>
      <c r="Q69" s="584"/>
      <c r="R69" s="605">
        <f t="shared" ref="R69" si="10">$A69*Q69</f>
        <v>0</v>
      </c>
      <c r="S69" s="584"/>
      <c r="T69" s="585">
        <f t="shared" ref="T69" si="11">$A69*S69*$T$1</f>
        <v>0</v>
      </c>
    </row>
    <row r="70" spans="1:41" s="586" customFormat="1" ht="12.6" thickBot="1">
      <c r="A70" s="606" t="s">
        <v>142</v>
      </c>
      <c r="B70" s="607">
        <f>(R69+T69)</f>
        <v>0</v>
      </c>
      <c r="C70" s="608"/>
      <c r="D70" s="608"/>
      <c r="E70" s="608"/>
      <c r="F70" s="609"/>
      <c r="G70" s="608" t="s">
        <v>143</v>
      </c>
      <c r="H70" s="608"/>
      <c r="I70" s="610"/>
      <c r="J70" s="608"/>
      <c r="K70" s="608" t="s">
        <v>3</v>
      </c>
      <c r="L70" s="611" t="s">
        <v>141</v>
      </c>
      <c r="M70" s="611"/>
      <c r="N70" s="611"/>
      <c r="O70" s="611"/>
      <c r="P70" s="611"/>
      <c r="Q70" s="612"/>
      <c r="R70" s="613">
        <f>SUM(R67:R69)</f>
        <v>0</v>
      </c>
      <c r="S70" s="608"/>
      <c r="T70" s="613">
        <f>SUM(T67:T69)</f>
        <v>5</v>
      </c>
      <c r="U70" s="614"/>
      <c r="V70" s="614"/>
      <c r="W70" s="614"/>
      <c r="X70" s="614"/>
      <c r="Y70" s="614"/>
      <c r="Z70" s="614"/>
      <c r="AA70" s="614"/>
      <c r="AB70" s="614"/>
      <c r="AC70" s="614"/>
      <c r="AD70" s="614"/>
      <c r="AE70" s="614"/>
      <c r="AF70" s="614"/>
      <c r="AG70" s="614"/>
      <c r="AH70" s="614"/>
      <c r="AI70" s="614"/>
      <c r="AJ70" s="614"/>
      <c r="AK70" s="614"/>
      <c r="AL70" s="614"/>
      <c r="AM70" s="614"/>
      <c r="AN70" s="614"/>
      <c r="AO70" s="614"/>
    </row>
    <row r="71" spans="1:41" s="586" customFormat="1" thickTop="1">
      <c r="A71" s="57"/>
      <c r="B71" s="57"/>
      <c r="C71" s="3"/>
      <c r="D71" s="3"/>
      <c r="E71" s="57"/>
      <c r="F71" s="57"/>
      <c r="G71" s="57"/>
      <c r="H71" s="57"/>
      <c r="I71" s="57"/>
      <c r="J71" s="57"/>
      <c r="K71" s="57" t="s">
        <v>133</v>
      </c>
      <c r="L71" s="57"/>
      <c r="M71" s="57"/>
      <c r="N71" s="57"/>
      <c r="O71" s="58"/>
      <c r="P71" s="57"/>
      <c r="Q71" s="57"/>
      <c r="R71" s="57"/>
      <c r="S71" s="57"/>
      <c r="T71" s="57"/>
    </row>
    <row r="72" spans="1:41" s="586" customFormat="1" ht="12">
      <c r="A72" s="57"/>
      <c r="B72" s="57"/>
      <c r="C72" s="57" t="s">
        <v>134</v>
      </c>
      <c r="D72" s="37" t="s">
        <v>135</v>
      </c>
      <c r="E72" s="57"/>
      <c r="F72" s="57"/>
      <c r="G72" s="57"/>
      <c r="H72" s="57"/>
      <c r="I72" s="57"/>
      <c r="J72" s="57"/>
      <c r="K72" s="57"/>
      <c r="L72" s="57"/>
      <c r="M72" s="57"/>
      <c r="N72" s="57"/>
      <c r="O72" s="58"/>
      <c r="P72" s="57"/>
      <c r="Q72" s="57"/>
      <c r="R72" s="57"/>
      <c r="S72" s="57"/>
      <c r="T72" s="57"/>
    </row>
    <row r="73" spans="1:41" s="586" customFormat="1" ht="12">
      <c r="A73" s="57"/>
      <c r="B73" s="57"/>
      <c r="C73" s="57"/>
      <c r="D73" s="37" t="s">
        <v>395</v>
      </c>
      <c r="E73" s="57"/>
      <c r="F73" s="57"/>
      <c r="G73" s="57"/>
      <c r="H73" s="57"/>
      <c r="I73" s="57"/>
      <c r="J73" s="57"/>
      <c r="K73" s="57"/>
      <c r="L73" s="57"/>
      <c r="M73" s="57"/>
      <c r="N73" s="57"/>
      <c r="O73" s="58"/>
      <c r="P73" s="57"/>
      <c r="Q73" s="57"/>
      <c r="R73" s="57"/>
      <c r="S73" s="38"/>
      <c r="T73" s="38"/>
    </row>
    <row r="74" spans="1:41" s="3" customFormat="1" thickBot="1">
      <c r="A74" s="614"/>
      <c r="O74" s="148"/>
    </row>
    <row r="75" spans="1:41" s="586" customFormat="1" thickTop="1">
      <c r="A75" s="57"/>
      <c r="B75" s="41"/>
      <c r="C75" s="57"/>
      <c r="E75" s="42" t="s">
        <v>137</v>
      </c>
      <c r="F75" s="42" t="s">
        <v>138</v>
      </c>
      <c r="G75" s="57"/>
      <c r="H75" s="57"/>
      <c r="I75" s="57"/>
      <c r="J75" s="57"/>
      <c r="K75" s="57" t="s">
        <v>139</v>
      </c>
      <c r="L75" s="769"/>
      <c r="M75" s="57"/>
      <c r="N75" s="57"/>
      <c r="O75" s="58"/>
      <c r="P75" s="57"/>
      <c r="Q75"/>
      <c r="R75"/>
      <c r="S75"/>
      <c r="T75" s="41"/>
      <c r="AG75" s="587" t="s">
        <v>253</v>
      </c>
      <c r="AH75" s="587" t="s">
        <v>254</v>
      </c>
      <c r="AI75" s="587" t="s">
        <v>255</v>
      </c>
      <c r="AJ75" s="587" t="s">
        <v>256</v>
      </c>
      <c r="AK75" s="587" t="s">
        <v>257</v>
      </c>
      <c r="AM75" s="579" t="s">
        <v>266</v>
      </c>
      <c r="AN75" s="580" t="s">
        <v>267</v>
      </c>
      <c r="AO75" s="588" t="s">
        <v>263</v>
      </c>
    </row>
    <row r="76" spans="1:41" s="586" customFormat="1" ht="13.2">
      <c r="A76" s="589">
        <v>2</v>
      </c>
      <c r="B76" s="590" t="s">
        <v>277</v>
      </c>
      <c r="C76" s="591"/>
      <c r="D76" s="592" t="s">
        <v>396</v>
      </c>
      <c r="E76" s="770">
        <f>IF(AND($A76=0,$A$1="DIF"),0, ROUND(ROUND(SUMIF($L78:$L86,"SUBI",$E78:$E86)/$A76,2)*$C$12,2))</f>
        <v>2178.2199999999998</v>
      </c>
      <c r="F76" s="771">
        <f>ROUND($A76*$E76,2)</f>
        <v>4356.4399999999996</v>
      </c>
      <c r="G76" s="595" t="s">
        <v>140</v>
      </c>
      <c r="H76" s="583"/>
      <c r="I76" s="596"/>
      <c r="J76" s="583"/>
      <c r="K76" s="772"/>
      <c r="L76" s="773" t="s">
        <v>141</v>
      </c>
      <c r="M76" s="597"/>
      <c r="N76" s="597"/>
      <c r="O76" s="597"/>
      <c r="P76" s="597"/>
      <c r="Q76"/>
      <c r="R76"/>
      <c r="S76"/>
      <c r="T76" s="774" t="str">
        <f>IF(AND($R91=0,$T91=0),"0.00","mu :" &amp; ROUND($F76/$C$12/($R91+$T91*$D$9),2))</f>
        <v>mu :1.25</v>
      </c>
      <c r="W76" s="599"/>
      <c r="AG76" s="775">
        <f>IF(A76=0,0,ROUND(SUM(AG78:AG91)/A76,2))</f>
        <v>1644</v>
      </c>
      <c r="AH76" s="775">
        <f>$AG76*$A76</f>
        <v>3288</v>
      </c>
      <c r="AI76" s="775">
        <f>$E76-$AG76</f>
        <v>534.2199999999998</v>
      </c>
      <c r="AJ76" s="775">
        <f>$A76*$AI76</f>
        <v>1068.4399999999996</v>
      </c>
      <c r="AK76" s="776">
        <f>ROUND(($AG76+$AI76)*$A76,2)</f>
        <v>4356.4399999999996</v>
      </c>
      <c r="AM76" s="602">
        <f>ROUND(R91,2)</f>
        <v>2630.4</v>
      </c>
      <c r="AN76" s="603">
        <f>ROUND(T91,2)</f>
        <v>31.13</v>
      </c>
      <c r="AO76" s="604">
        <f>ROUND(AM76+AN76,2)*A76</f>
        <v>5323.06</v>
      </c>
    </row>
    <row r="77" spans="1:41" s="586" customFormat="1" ht="19.95" customHeight="1">
      <c r="A77" s="777"/>
      <c r="B77" s="778"/>
      <c r="C77" s="591"/>
      <c r="D77" s="779" t="s">
        <v>410</v>
      </c>
      <c r="F77" s="583"/>
      <c r="G77" s="583"/>
      <c r="H77" s="583"/>
      <c r="I77" s="596"/>
      <c r="J77" s="583"/>
      <c r="K77" s="583" t="s">
        <v>391</v>
      </c>
      <c r="L77" s="780"/>
      <c r="M77" s="583"/>
      <c r="N77" s="583"/>
      <c r="O77" s="583"/>
      <c r="P77" s="583"/>
      <c r="Q77" s="57"/>
      <c r="R77" s="781"/>
      <c r="S77" s="782"/>
      <c r="T77" s="583"/>
    </row>
    <row r="78" spans="1:41" s="586" customFormat="1" ht="12">
      <c r="A78" s="783"/>
      <c r="B78" s="784"/>
      <c r="C78" s="582"/>
      <c r="D78" s="583"/>
      <c r="E78" s="785">
        <f>F76/$C$12-SUMIF($L75:$L91,"SUBI",$E75:$E91)</f>
        <v>9.999999999308784E-3</v>
      </c>
      <c r="F78" s="786" t="s">
        <v>392</v>
      </c>
      <c r="G78" s="787"/>
      <c r="H78" s="787"/>
      <c r="I78" s="788"/>
      <c r="J78" s="787"/>
      <c r="K78" s="787"/>
      <c r="L78" s="789"/>
      <c r="M78" s="790"/>
      <c r="N78" s="790"/>
      <c r="O78" s="790"/>
      <c r="P78" s="790"/>
      <c r="Q78" s="791"/>
      <c r="R78" s="792"/>
      <c r="S78" s="791"/>
      <c r="T78" s="793"/>
    </row>
    <row r="79" spans="1:41" s="586" customFormat="1" ht="12" customHeight="1">
      <c r="A79" s="794"/>
      <c r="B79" s="795"/>
      <c r="C79" s="796"/>
      <c r="D79" s="796" t="str">
        <f>$F$2</f>
        <v>Electrical</v>
      </c>
      <c r="E79" s="796">
        <f>ROUND(($R85*$S$2 + ($T85*$T$2)), 2)</f>
        <v>370.74</v>
      </c>
      <c r="F79" s="797">
        <f>$E79*$C$12</f>
        <v>370.74</v>
      </c>
      <c r="G79" s="781"/>
      <c r="H79" s="798"/>
      <c r="I79" s="781"/>
      <c r="J79" s="58"/>
      <c r="K79" s="799" t="s">
        <v>3</v>
      </c>
      <c r="L79" s="800" t="s">
        <v>393</v>
      </c>
      <c r="M79" s="781"/>
      <c r="N79" s="781"/>
      <c r="O79" s="58"/>
      <c r="P79" s="781"/>
      <c r="Q79" s="781"/>
      <c r="R79"/>
      <c r="S79"/>
      <c r="T79"/>
    </row>
    <row r="80" spans="1:41" s="586" customFormat="1" ht="13.95" customHeight="1">
      <c r="A80" s="64"/>
      <c r="B80" s="801" t="s">
        <v>394</v>
      </c>
      <c r="C80" s="781"/>
      <c r="D80" s="781"/>
      <c r="E80" s="781"/>
      <c r="F80" s="781"/>
      <c r="G80" s="781"/>
      <c r="H80" s="798"/>
      <c r="I80" s="781"/>
      <c r="J80" s="58"/>
      <c r="K80" s="802"/>
      <c r="L80" s="803"/>
      <c r="M80" s="781"/>
      <c r="N80" s="781"/>
      <c r="O80" s="58"/>
      <c r="P80" s="781"/>
      <c r="Q80" s="781"/>
      <c r="R80" s="804">
        <f>$A80*Q80</f>
        <v>0</v>
      </c>
      <c r="S80" s="781"/>
      <c r="T80" s="585">
        <f>$A80*S80*$T$1</f>
        <v>0</v>
      </c>
    </row>
    <row r="81" spans="1:41" s="627" customFormat="1" ht="13.2">
      <c r="A81">
        <v>2</v>
      </c>
      <c r="B81" s="627" t="s">
        <v>277</v>
      </c>
      <c r="D81" s="627" t="s">
        <v>399</v>
      </c>
      <c r="G81" s="628" t="s">
        <v>397</v>
      </c>
      <c r="H81" s="629">
        <v>512</v>
      </c>
      <c r="I81" s="627" t="s">
        <v>279</v>
      </c>
      <c r="O81" s="630">
        <v>3</v>
      </c>
      <c r="P81" s="631"/>
      <c r="Q81" s="633">
        <v>0</v>
      </c>
      <c r="R81" s="632">
        <f>$A81*Q81</f>
        <v>0</v>
      </c>
      <c r="S81" s="633">
        <v>3</v>
      </c>
      <c r="T81" s="634">
        <f>$A81*S81*$T$1</f>
        <v>7.5</v>
      </c>
    </row>
    <row r="82" spans="1:41" s="627" customFormat="1" ht="13.2">
      <c r="A82">
        <v>2</v>
      </c>
      <c r="B82" s="627" t="s">
        <v>277</v>
      </c>
      <c r="D82" s="627" t="s">
        <v>400</v>
      </c>
      <c r="G82" s="628" t="s">
        <v>397</v>
      </c>
      <c r="H82" s="629">
        <v>512</v>
      </c>
      <c r="I82" s="627" t="s">
        <v>279</v>
      </c>
      <c r="O82" s="630">
        <v>3</v>
      </c>
      <c r="P82" s="631"/>
      <c r="Q82" s="633">
        <v>0</v>
      </c>
      <c r="R82" s="632">
        <f>$A82*Q82</f>
        <v>0</v>
      </c>
      <c r="S82" s="633">
        <v>1</v>
      </c>
      <c r="T82" s="634">
        <f>$A82*S82*$T$1</f>
        <v>2.5</v>
      </c>
    </row>
    <row r="83" spans="1:41" s="627" customFormat="1" ht="13.2">
      <c r="A83">
        <v>10</v>
      </c>
      <c r="B83" s="627" t="s">
        <v>277</v>
      </c>
      <c r="D83" s="627" t="s">
        <v>378</v>
      </c>
      <c r="G83" s="628" t="s">
        <v>379</v>
      </c>
      <c r="H83" s="629">
        <v>620</v>
      </c>
      <c r="I83" s="627" t="s">
        <v>278</v>
      </c>
      <c r="O83" s="630">
        <v>2</v>
      </c>
      <c r="P83" s="631">
        <v>34669</v>
      </c>
      <c r="Q83" s="726">
        <v>0.14000000000000001</v>
      </c>
      <c r="R83" s="632">
        <f>$A83*Q83</f>
        <v>1.4000000000000001</v>
      </c>
      <c r="S83" s="633">
        <v>0.06</v>
      </c>
      <c r="T83" s="634">
        <f>$A83*S83*$T$1</f>
        <v>0.75</v>
      </c>
    </row>
    <row r="84" spans="1:41" s="586" customFormat="1" ht="13.95" customHeight="1">
      <c r="A84" s="64"/>
      <c r="B84" s="781"/>
      <c r="C84" s="781"/>
      <c r="D84" s="781"/>
      <c r="E84" s="781"/>
      <c r="F84" s="781"/>
      <c r="G84" s="781"/>
      <c r="H84" s="798"/>
      <c r="I84" s="781"/>
      <c r="J84" s="58"/>
      <c r="K84" s="802"/>
      <c r="L84" s="803"/>
      <c r="M84" s="781"/>
      <c r="N84" s="781"/>
      <c r="O84" s="58"/>
      <c r="P84" s="781"/>
      <c r="Q84" s="781"/>
      <c r="R84" s="804">
        <f>$A84*Q84</f>
        <v>0</v>
      </c>
      <c r="S84" s="781"/>
      <c r="T84" s="585">
        <f>$A84*S84*$T$1</f>
        <v>0</v>
      </c>
    </row>
    <row r="85" spans="1:41" s="586" customFormat="1" ht="12">
      <c r="A85" s="805" t="s">
        <v>142</v>
      </c>
      <c r="B85" s="806">
        <f>(R84+T84)</f>
        <v>0</v>
      </c>
      <c r="C85" s="582"/>
      <c r="G85" s="807"/>
      <c r="H85" s="807"/>
      <c r="I85" s="807"/>
      <c r="J85" s="807"/>
      <c r="K85" s="808" t="s">
        <v>3</v>
      </c>
      <c r="L85" s="809" t="s">
        <v>393</v>
      </c>
      <c r="M85" s="807"/>
      <c r="N85" s="807"/>
      <c r="O85" s="807"/>
      <c r="P85" s="807"/>
      <c r="Q85" s="810"/>
      <c r="R85" s="811">
        <f>SUM(R79:R84)</f>
        <v>1.4000000000000001</v>
      </c>
      <c r="S85" s="812"/>
      <c r="T85" s="811">
        <f>SUM(T79:T84)</f>
        <v>10.75</v>
      </c>
      <c r="AG85" s="813">
        <f>ROUND($R85*$S$2,2)</f>
        <v>1.75</v>
      </c>
    </row>
    <row r="86" spans="1:41" s="586" customFormat="1" ht="12" customHeight="1">
      <c r="A86" s="814"/>
      <c r="B86" s="815"/>
      <c r="C86" s="816"/>
      <c r="D86" s="816" t="str">
        <f>$F$3</f>
        <v>Controls</v>
      </c>
      <c r="E86" s="816">
        <f>ROUND(($R89*$S$3 + ($T89*$T$3)), 2)</f>
        <v>3985.69</v>
      </c>
      <c r="F86" s="817">
        <f ca="1">$F76-SUMIF($L78:$P83,"SUBI",$F78:$F83)</f>
        <v>3985.7</v>
      </c>
      <c r="G86" s="584"/>
      <c r="H86" s="584"/>
      <c r="I86" s="584"/>
      <c r="J86" s="584"/>
      <c r="K86" s="799" t="s">
        <v>5</v>
      </c>
      <c r="L86" s="800" t="s">
        <v>393</v>
      </c>
      <c r="M86" s="584"/>
      <c r="N86" s="584"/>
      <c r="O86" s="584"/>
      <c r="P86" s="584"/>
      <c r="Q86" s="584"/>
      <c r="R86" s="818"/>
      <c r="S86" s="584"/>
      <c r="T86" s="818"/>
    </row>
    <row r="87" spans="1:41" s="627" customFormat="1" ht="13.2">
      <c r="A87">
        <v>2</v>
      </c>
      <c r="B87" s="627" t="s">
        <v>277</v>
      </c>
      <c r="D87" s="627" t="s">
        <v>398</v>
      </c>
      <c r="G87" s="628" t="s">
        <v>397</v>
      </c>
      <c r="H87" s="629">
        <v>512</v>
      </c>
      <c r="I87" s="627" t="s">
        <v>279</v>
      </c>
      <c r="O87" s="630">
        <v>3</v>
      </c>
      <c r="P87" s="631"/>
      <c r="Q87" s="633">
        <f>2629/2</f>
        <v>1314.5</v>
      </c>
      <c r="R87" s="632">
        <f>$A87*Q87</f>
        <v>2629</v>
      </c>
      <c r="S87" s="633">
        <f>4*35/27.46+2*41.91/27.46</f>
        <v>8.1507647487254182</v>
      </c>
      <c r="T87" s="634">
        <f>$A87*S87*$T$1</f>
        <v>20.376911871813547</v>
      </c>
    </row>
    <row r="88" spans="1:41" s="586" customFormat="1" ht="13.2">
      <c r="A88" s="64"/>
      <c r="B88" s="781"/>
      <c r="C88" s="781"/>
      <c r="D88" s="3"/>
      <c r="E88" s="781"/>
      <c r="F88" s="781"/>
      <c r="G88" s="781"/>
      <c r="H88" s="781"/>
      <c r="I88" s="781"/>
      <c r="J88" s="781"/>
      <c r="K88" s="781"/>
      <c r="L88" s="803"/>
      <c r="M88" s="781"/>
      <c r="N88" s="781"/>
      <c r="O88" s="781"/>
      <c r="P88" s="781"/>
      <c r="Q88" s="781"/>
      <c r="R88" s="804">
        <f>$A88*Q88</f>
        <v>0</v>
      </c>
      <c r="S88" s="781"/>
      <c r="T88" s="585">
        <f>$A88*S88*$T$1</f>
        <v>0</v>
      </c>
    </row>
    <row r="89" spans="1:41" s="586" customFormat="1" ht="12" customHeight="1">
      <c r="A89" s="819" t="s">
        <v>142</v>
      </c>
      <c r="B89" s="820">
        <f>(R88+T88)</f>
        <v>0</v>
      </c>
      <c r="C89" s="821"/>
      <c r="D89" s="821"/>
      <c r="E89" s="821"/>
      <c r="F89" s="821"/>
      <c r="G89" s="810"/>
      <c r="H89" s="810"/>
      <c r="I89" s="810"/>
      <c r="J89" s="810"/>
      <c r="K89" s="822" t="s">
        <v>5</v>
      </c>
      <c r="L89" s="823" t="s">
        <v>393</v>
      </c>
      <c r="M89" s="810"/>
      <c r="N89" s="810"/>
      <c r="O89" s="810"/>
      <c r="P89" s="810"/>
      <c r="Q89" s="810"/>
      <c r="R89" s="811">
        <f>SUM(R86:R88)</f>
        <v>2629</v>
      </c>
      <c r="S89" s="812"/>
      <c r="T89" s="811">
        <f>SUM(T86:T88)</f>
        <v>20.376911871813547</v>
      </c>
      <c r="AG89" s="824">
        <f>ROUND($R89*$S$3,2)</f>
        <v>3286.25</v>
      </c>
    </row>
    <row r="90" spans="1:41" s="586" customFormat="1" ht="12.75" customHeight="1">
      <c r="A90" s="825"/>
      <c r="B90" s="826"/>
      <c r="E90" s="582"/>
      <c r="F90" s="827"/>
      <c r="G90" s="582"/>
      <c r="H90" s="582"/>
      <c r="I90" s="584"/>
      <c r="J90" s="582"/>
      <c r="K90" s="582"/>
      <c r="L90" s="828"/>
      <c r="M90" s="829"/>
      <c r="N90" s="829"/>
      <c r="O90" s="829"/>
      <c r="P90" s="829"/>
      <c r="Q90" s="618"/>
      <c r="R90" s="818"/>
      <c r="S90" s="582"/>
      <c r="T90" s="818"/>
    </row>
    <row r="91" spans="1:41" s="586" customFormat="1" ht="13.5" customHeight="1" thickBot="1">
      <c r="A91" s="830"/>
      <c r="B91" s="831"/>
      <c r="C91" s="614"/>
      <c r="D91" s="614"/>
      <c r="E91" s="608"/>
      <c r="F91" s="609"/>
      <c r="G91" s="608" t="s">
        <v>143</v>
      </c>
      <c r="H91" s="608"/>
      <c r="I91" s="610"/>
      <c r="J91" s="608"/>
      <c r="K91" s="608"/>
      <c r="L91" s="832" t="s">
        <v>141</v>
      </c>
      <c r="M91" s="611"/>
      <c r="N91" s="611"/>
      <c r="O91" s="611"/>
      <c r="P91" s="611"/>
      <c r="Q91" s="612"/>
      <c r="R91" s="833">
        <f>SUMIF($L77:$L90,"SUBI",R77:R90)</f>
        <v>2630.4</v>
      </c>
      <c r="S91" s="608"/>
      <c r="T91" s="833">
        <f>SUMIF($L77:$L90,"SUBI",T77:T90)</f>
        <v>31.126911871813547</v>
      </c>
      <c r="U91" s="614"/>
      <c r="V91" s="614"/>
      <c r="W91" s="614"/>
      <c r="X91" s="614"/>
      <c r="Y91" s="614"/>
      <c r="Z91" s="614"/>
      <c r="AA91" s="614"/>
      <c r="AB91" s="614"/>
      <c r="AC91" s="614"/>
      <c r="AD91" s="614"/>
      <c r="AE91" s="614"/>
      <c r="AF91" s="614"/>
      <c r="AG91" s="614"/>
      <c r="AH91" s="614"/>
      <c r="AI91" s="614"/>
      <c r="AJ91" s="614"/>
      <c r="AK91" s="614"/>
      <c r="AL91" s="614"/>
      <c r="AM91" s="614"/>
      <c r="AN91" s="614"/>
      <c r="AO91" s="614"/>
    </row>
    <row r="92" spans="1:41" s="586" customFormat="1" ht="12" thickTop="1">
      <c r="A92" s="50" t="s">
        <v>151</v>
      </c>
      <c r="D92" s="13"/>
      <c r="E92" s="42"/>
      <c r="O92" s="619"/>
    </row>
    <row r="93" spans="1:41" s="586" customFormat="1" ht="13.2">
      <c r="B93" s="3"/>
      <c r="O93" s="619"/>
    </row>
    <row r="94" spans="1:41" s="586" customFormat="1" ht="12">
      <c r="B94" s="620">
        <f ca="1">$F94/$C$2-($R94*$S$2+$T94*$T$2)</f>
        <v>0.26499999999941792</v>
      </c>
      <c r="D94" s="621" t="s">
        <v>319</v>
      </c>
      <c r="E94" s="622"/>
      <c r="F94" s="623">
        <f ca="1">SUMIF($L14:$L92,"ITEM",F14:F92)</f>
        <v>12486.23</v>
      </c>
      <c r="G94" s="582"/>
      <c r="H94" s="582"/>
      <c r="I94" s="584"/>
      <c r="J94" s="582"/>
      <c r="K94" s="582"/>
      <c r="L94" s="597" t="s">
        <v>162</v>
      </c>
      <c r="M94" s="597"/>
      <c r="N94" s="597"/>
      <c r="O94" s="597"/>
      <c r="P94" s="597"/>
      <c r="R94" s="623">
        <f ca="1">SUMIF($L14:$L92,"ITEM",R14:R92)</f>
        <v>7213.2000000000007</v>
      </c>
      <c r="S94" s="65"/>
      <c r="T94" s="623">
        <f ca="1">SUMIF($L14:$L92,"ITEM",T14:T92)</f>
        <v>101.07691187181355</v>
      </c>
    </row>
    <row r="95" spans="1:41" s="586" customFormat="1" ht="13.2">
      <c r="A95" s="57"/>
      <c r="B95" s="51" t="s">
        <v>276</v>
      </c>
      <c r="C95" s="57"/>
      <c r="D95" s="3"/>
      <c r="F95" s="624" t="s">
        <v>163</v>
      </c>
      <c r="G95" s="582"/>
      <c r="H95" s="582"/>
      <c r="I95" s="584"/>
      <c r="J95" s="582"/>
      <c r="K95" s="582"/>
      <c r="L95" s="582"/>
      <c r="M95" s="582"/>
      <c r="N95" s="582"/>
      <c r="O95" s="582"/>
      <c r="P95" s="582"/>
      <c r="Q95" s="618"/>
      <c r="R95" s="624" t="s">
        <v>164</v>
      </c>
      <c r="S95" s="38"/>
      <c r="T95" s="624" t="s">
        <v>165</v>
      </c>
    </row>
    <row r="96" spans="1:41" s="586" customFormat="1" ht="13.2">
      <c r="A96" s="582"/>
      <c r="B96" s="3"/>
      <c r="C96" s="582"/>
      <c r="D96" s="3"/>
      <c r="E96" s="3"/>
      <c r="G96" s="3"/>
      <c r="H96" s="3"/>
      <c r="I96" s="3"/>
      <c r="J96" s="3"/>
      <c r="K96" s="3"/>
      <c r="L96" s="3"/>
      <c r="M96" s="3"/>
      <c r="N96" s="3"/>
      <c r="O96" s="148"/>
      <c r="P96" s="3"/>
      <c r="Q96" s="3"/>
      <c r="R96" s="3"/>
      <c r="S96" s="3"/>
      <c r="T96" s="3"/>
    </row>
    <row r="97" spans="1:37" s="586" customFormat="1" ht="12" thickBot="1">
      <c r="A97" s="614"/>
      <c r="B97" s="608"/>
      <c r="C97" s="608"/>
      <c r="D97" s="614"/>
      <c r="E97" s="39"/>
      <c r="F97" s="625"/>
      <c r="G97" s="608"/>
      <c r="H97" s="608"/>
      <c r="I97" s="610"/>
      <c r="J97" s="608"/>
      <c r="K97" s="608"/>
      <c r="L97" s="611"/>
      <c r="M97" s="611"/>
      <c r="N97" s="611"/>
      <c r="O97" s="611"/>
      <c r="P97" s="611"/>
      <c r="Q97" s="612"/>
      <c r="R97" s="625"/>
      <c r="S97" s="626"/>
      <c r="T97" s="625"/>
      <c r="U97" s="614"/>
      <c r="V97" s="614"/>
      <c r="W97" s="614"/>
      <c r="X97" s="614"/>
      <c r="Y97" s="614"/>
      <c r="Z97" s="614"/>
      <c r="AA97" s="614"/>
      <c r="AB97" s="614"/>
      <c r="AC97" s="614"/>
      <c r="AD97" s="614"/>
      <c r="AE97" s="614"/>
      <c r="AF97" s="614"/>
      <c r="AG97" s="614"/>
      <c r="AH97" s="614"/>
      <c r="AI97" s="614"/>
      <c r="AJ97" s="614"/>
      <c r="AK97" s="614"/>
    </row>
    <row r="98" spans="1:37" s="586" customFormat="1" thickTop="1">
      <c r="A98" s="50" t="s">
        <v>151</v>
      </c>
      <c r="B98" s="3"/>
      <c r="C98" s="57"/>
      <c r="D98" s="57"/>
      <c r="E98" s="3"/>
      <c r="F98" s="57"/>
      <c r="G98" s="57"/>
      <c r="H98" s="57"/>
      <c r="I98" s="57"/>
      <c r="J98" s="57"/>
      <c r="K98" s="57"/>
      <c r="L98" s="57"/>
      <c r="M98" s="57"/>
      <c r="N98" s="57"/>
      <c r="O98" s="58"/>
      <c r="P98" s="57"/>
      <c r="Q98" s="57"/>
      <c r="R98" s="57"/>
      <c r="S98" s="57"/>
      <c r="T98" s="57"/>
    </row>
    <row r="99" spans="1:37" s="586" customFormat="1" ht="13.2">
      <c r="A99" s="57"/>
      <c r="B99" s="3"/>
      <c r="C99" s="3"/>
      <c r="F99" s="3"/>
      <c r="G99" s="3"/>
      <c r="H99" s="3"/>
      <c r="I99" s="3"/>
      <c r="J99" s="3"/>
      <c r="K99" s="3"/>
      <c r="L99" s="3"/>
      <c r="M99" s="3"/>
      <c r="N99" s="3"/>
      <c r="O99" s="148"/>
      <c r="P99" s="3"/>
      <c r="Q99" s="3"/>
      <c r="R99" s="3"/>
      <c r="S99" s="3"/>
      <c r="T99" s="3"/>
    </row>
    <row r="100" spans="1:37" s="586" customFormat="1" ht="12">
      <c r="A100" s="57"/>
      <c r="B100" s="620">
        <f ca="1">$F100/$C$2-($R100*$S$2+$T100*$T$2)</f>
        <v>0.26499999999941792</v>
      </c>
      <c r="C100" s="57"/>
      <c r="D100" s="672" t="s">
        <v>320</v>
      </c>
      <c r="E100" s="622"/>
      <c r="F100" s="673">
        <f ca="1">SUMIF($L92:$L98,"PAGE",F92:F98)</f>
        <v>12486.23</v>
      </c>
      <c r="G100" s="582"/>
      <c r="H100" s="582"/>
      <c r="I100" s="584"/>
      <c r="J100" s="582"/>
      <c r="K100" s="582"/>
      <c r="L100" s="162" t="s">
        <v>304</v>
      </c>
      <c r="M100" s="162"/>
      <c r="N100" s="162"/>
      <c r="O100" s="163"/>
      <c r="P100" s="162"/>
      <c r="Q100" s="57"/>
      <c r="R100" s="673">
        <f ca="1">SUMIF($L92:$L98,"PAGE",R92:R98)</f>
        <v>7213.2000000000007</v>
      </c>
      <c r="S100" s="57"/>
      <c r="T100" s="673">
        <f ca="1">SUMIF($L92:$L98,"PAGE",T92:T98)</f>
        <v>101.07691187181355</v>
      </c>
    </row>
    <row r="101" spans="1:37" s="586" customFormat="1" ht="12">
      <c r="A101" s="57"/>
      <c r="B101" s="51" t="s">
        <v>276</v>
      </c>
      <c r="C101" s="57"/>
      <c r="D101" s="672"/>
      <c r="F101" s="674" t="s">
        <v>305</v>
      </c>
      <c r="G101" s="582"/>
      <c r="H101" s="582"/>
      <c r="I101" s="584"/>
      <c r="J101" s="582"/>
      <c r="K101" s="582"/>
      <c r="L101" s="57"/>
      <c r="M101" s="57"/>
      <c r="N101" s="57"/>
      <c r="O101" s="58"/>
      <c r="P101" s="57"/>
      <c r="Q101" s="57"/>
      <c r="R101" s="674" t="s">
        <v>306</v>
      </c>
      <c r="S101" s="38"/>
      <c r="T101" s="674" t="s">
        <v>307</v>
      </c>
    </row>
    <row r="102" spans="1:37" s="586" customFormat="1" ht="11.4">
      <c r="O102" s="619"/>
    </row>
    <row r="103" spans="1:37" s="586" customFormat="1" ht="12" thickBot="1">
      <c r="A103" s="608"/>
      <c r="B103" s="608"/>
      <c r="C103" s="608"/>
      <c r="D103" s="608"/>
      <c r="E103" s="608"/>
      <c r="F103" s="39"/>
      <c r="G103" s="614"/>
      <c r="H103" s="614"/>
      <c r="I103" s="614"/>
      <c r="J103" s="614"/>
      <c r="K103" s="614"/>
      <c r="L103" s="608"/>
      <c r="M103" s="608"/>
      <c r="N103" s="608"/>
      <c r="O103" s="608"/>
      <c r="P103" s="608"/>
      <c r="Q103" s="612"/>
      <c r="R103" s="39"/>
      <c r="S103" s="39"/>
      <c r="T103" s="39"/>
      <c r="U103" s="614"/>
      <c r="V103" s="614"/>
      <c r="W103" s="614"/>
      <c r="X103" s="614"/>
      <c r="Y103" s="614"/>
      <c r="Z103" s="614"/>
      <c r="AA103" s="614"/>
      <c r="AB103" s="614"/>
      <c r="AC103" s="614"/>
      <c r="AD103" s="614"/>
      <c r="AE103" s="614"/>
      <c r="AF103" s="614"/>
      <c r="AG103" s="614"/>
      <c r="AH103" s="614"/>
      <c r="AI103" s="614"/>
      <c r="AJ103" s="614"/>
      <c r="AK103" s="614"/>
    </row>
    <row r="104" spans="1:37" ht="15" thickTop="1" thickBot="1">
      <c r="A104" s="355" t="s">
        <v>144</v>
      </c>
      <c r="B104" s="4"/>
      <c r="C104" s="4"/>
      <c r="D104" s="4"/>
      <c r="E104" s="4"/>
      <c r="F104" s="2"/>
      <c r="G104" s="140"/>
      <c r="H104" s="33"/>
      <c r="I104" s="33"/>
      <c r="J104" s="33"/>
      <c r="K104" s="33"/>
      <c r="L104" s="4"/>
      <c r="M104" s="4"/>
      <c r="N104" s="4"/>
      <c r="O104" s="4"/>
      <c r="P104" s="4"/>
      <c r="Q104" s="52"/>
      <c r="R104" s="33"/>
      <c r="S104" s="33"/>
      <c r="T104" s="33"/>
      <c r="AH104" s="569" t="e">
        <f>SUM(#REF!)</f>
        <v>#REF!</v>
      </c>
      <c r="AJ104" s="569" t="e">
        <f>SUM(#REF!)</f>
        <v>#REF!</v>
      </c>
      <c r="AK104" s="569" t="e">
        <f>SUM(#REF!)</f>
        <v>#REF!</v>
      </c>
    </row>
    <row r="105" spans="1:37" ht="14.4" thickTop="1">
      <c r="A105" s="57"/>
      <c r="B105" s="55">
        <f ca="1">$F105/$C$2-($R105*$S$2+$T105*$T$2)</f>
        <v>0.25249999999869033</v>
      </c>
      <c r="C105" s="33" t="s">
        <v>72</v>
      </c>
      <c r="D105" s="56"/>
      <c r="E105" s="56" t="str">
        <f>$F$2 &amp; " (mu_A) :"</f>
        <v>Electrical (mu_A) :</v>
      </c>
      <c r="F105" s="514">
        <f ca="1">SUMIF($K$13:$K104,"mu_A",F$13:F104)</f>
        <v>8500.5299999999988</v>
      </c>
      <c r="G105" s="57"/>
      <c r="H105" s="57"/>
      <c r="I105" s="57"/>
      <c r="J105" s="57"/>
      <c r="K105" s="57"/>
      <c r="L105" s="57"/>
      <c r="M105" s="57"/>
      <c r="N105" s="57"/>
      <c r="O105" s="58"/>
      <c r="P105" s="57"/>
      <c r="Q105" s="57"/>
      <c r="R105" s="59">
        <f ca="1">SUMIF($K$13:$K104,"mu_A",R$13:R$104)</f>
        <v>4584.2</v>
      </c>
      <c r="S105" s="57"/>
      <c r="T105" s="59">
        <f ca="1">SUMIF($K$13:$K104,"mu_A",T$13:T$104)</f>
        <v>80.7</v>
      </c>
      <c r="AG105" s="1"/>
      <c r="AH105" s="514">
        <f ca="1">R105*$S$2</f>
        <v>5730.25</v>
      </c>
      <c r="AI105" s="1"/>
      <c r="AJ105" s="514">
        <f ca="1">T105*$T$2</f>
        <v>2770.0275000000001</v>
      </c>
      <c r="AK105" s="1"/>
    </row>
    <row r="106" spans="1:37">
      <c r="A106" s="57"/>
      <c r="B106" s="55">
        <f ca="1">$F106/$C$3-($R106*$S$3+$T106*$T$3)</f>
        <v>1.2499999999818101E-2</v>
      </c>
      <c r="C106" s="33" t="s">
        <v>72</v>
      </c>
      <c r="D106" s="56"/>
      <c r="E106" s="56" t="str">
        <f>$F$3&amp; " (mu_B) :"</f>
        <v>Controls (mu_B) :</v>
      </c>
      <c r="F106" s="515">
        <f ca="1">SUMIF($K$13:$K104,"mu_B",F$13:F104)</f>
        <v>3985.7</v>
      </c>
      <c r="G106" s="60"/>
      <c r="H106" s="60"/>
      <c r="I106" s="61"/>
      <c r="J106" s="60"/>
      <c r="K106" s="60"/>
      <c r="L106" s="60"/>
      <c r="M106" s="60"/>
      <c r="N106" s="60"/>
      <c r="O106" s="60"/>
      <c r="P106" s="60"/>
      <c r="Q106" s="62"/>
      <c r="R106" s="63">
        <f>SUMIF($K$13:$K104,"mu_B",R$13:R104)</f>
        <v>2629</v>
      </c>
      <c r="S106" s="64"/>
      <c r="T106" s="63">
        <f>SUMIF($K$13:$K104,"mu_B",T$13:T104)</f>
        <v>20.376911871813547</v>
      </c>
      <c r="AG106" s="1"/>
      <c r="AH106" s="515">
        <f>R106*$S$3</f>
        <v>3286.25</v>
      </c>
      <c r="AI106" s="1"/>
      <c r="AJ106" s="515">
        <f>T106*$T$3</f>
        <v>699.43750000000011</v>
      </c>
      <c r="AK106" s="1"/>
    </row>
    <row r="107" spans="1:37">
      <c r="A107" s="57"/>
      <c r="B107" s="55">
        <f>$F107/$C$4-($R107*$S$4+$T107*$T$4)</f>
        <v>0</v>
      </c>
      <c r="C107" s="33" t="s">
        <v>72</v>
      </c>
      <c r="D107" s="56"/>
      <c r="E107" s="56" t="str">
        <f>$F$4&amp; " (mu_C) :"</f>
        <v>0 (mu_C) :</v>
      </c>
      <c r="F107" s="516">
        <f>SUMIF($K$13:$K104,"mu_C",F$13:F104)</f>
        <v>0</v>
      </c>
      <c r="G107" s="60"/>
      <c r="H107" s="60"/>
      <c r="I107" s="61"/>
      <c r="J107" s="60"/>
      <c r="K107" s="60"/>
      <c r="L107" s="60"/>
      <c r="M107" s="60"/>
      <c r="N107" s="60"/>
      <c r="O107" s="60"/>
      <c r="P107" s="60"/>
      <c r="Q107" s="57"/>
      <c r="R107" s="63">
        <f>SUMIF($K$13:$K104,"mu_C",R$13:R104)</f>
        <v>0</v>
      </c>
      <c r="S107" s="65"/>
      <c r="T107" s="63">
        <f>SUMIF($K$13:$K104,"mu_C",T$13:T104)</f>
        <v>0</v>
      </c>
      <c r="AG107" s="1"/>
      <c r="AH107" s="516">
        <f>R107*$S$4</f>
        <v>0</v>
      </c>
      <c r="AI107" s="1"/>
      <c r="AJ107" s="516">
        <f>T107*$T$4</f>
        <v>0</v>
      </c>
      <c r="AK107" s="1"/>
    </row>
    <row r="108" spans="1:37">
      <c r="A108" s="57"/>
      <c r="B108" s="55">
        <f>$F108/$C$5-($R108*$S$5+$T108*$T$5)</f>
        <v>0</v>
      </c>
      <c r="C108" s="33" t="s">
        <v>72</v>
      </c>
      <c r="D108" s="56"/>
      <c r="E108" s="56" t="str">
        <f>$F$5&amp; " (mu_D) :"</f>
        <v>0 (mu_D) :</v>
      </c>
      <c r="F108" s="517">
        <f>SUMIF($K$13:$K104,"mu_D",F$13:F104)</f>
        <v>0</v>
      </c>
      <c r="G108" s="60"/>
      <c r="H108" s="60"/>
      <c r="I108" s="61"/>
      <c r="J108" s="60"/>
      <c r="K108" s="60"/>
      <c r="L108" s="60"/>
      <c r="M108" s="60"/>
      <c r="N108" s="60"/>
      <c r="O108" s="60"/>
      <c r="P108" s="60"/>
      <c r="Q108" s="57"/>
      <c r="R108" s="63">
        <f>SUMIF($K$13:$K104,"mu_D",R$13:R104)</f>
        <v>0</v>
      </c>
      <c r="S108" s="65"/>
      <c r="T108" s="63">
        <f>SUMIF($K$13:$K104,"mu_D",T$13:T104)</f>
        <v>0</v>
      </c>
      <c r="AG108" s="1"/>
      <c r="AH108" s="517">
        <f>R108*$S$5</f>
        <v>0</v>
      </c>
      <c r="AI108" s="1"/>
      <c r="AJ108" s="517">
        <f>T108*$T$5</f>
        <v>0</v>
      </c>
      <c r="AK108" s="1"/>
    </row>
    <row r="109" spans="1:37">
      <c r="A109" s="57"/>
      <c r="B109" s="55">
        <f>$F109/$C$6-($R109*$S$6+$T109*$T$6)</f>
        <v>0</v>
      </c>
      <c r="C109" s="33" t="s">
        <v>72</v>
      </c>
      <c r="D109" s="56"/>
      <c r="E109" s="56" t="str">
        <f>$F$6&amp; " (mu_E) :"</f>
        <v>0 (mu_E) :</v>
      </c>
      <c r="F109" s="518">
        <f>SUMIF($K$13:$K104,"mu_E",F$13:F104)</f>
        <v>0</v>
      </c>
      <c r="G109" s="60"/>
      <c r="H109" s="60"/>
      <c r="I109" s="61"/>
      <c r="J109" s="60"/>
      <c r="K109" s="60"/>
      <c r="L109" s="60"/>
      <c r="M109" s="60"/>
      <c r="N109" s="60"/>
      <c r="O109" s="60"/>
      <c r="P109" s="60"/>
      <c r="Q109" s="57"/>
      <c r="R109" s="63">
        <f>SUMIF($K$13:$K104,"mu_E",R$13:R104)</f>
        <v>0</v>
      </c>
      <c r="S109" s="65"/>
      <c r="T109" s="63">
        <f>SUMIF($K$13:$K104,"mu_E",T$13:T104)</f>
        <v>0</v>
      </c>
      <c r="AG109" s="1"/>
      <c r="AH109" s="518">
        <f>R109*$S$6</f>
        <v>0</v>
      </c>
      <c r="AI109" s="1"/>
      <c r="AJ109" s="518">
        <f>T109*$T$6</f>
        <v>0</v>
      </c>
      <c r="AK109" s="1"/>
    </row>
    <row r="110" spans="1:37">
      <c r="A110" s="57"/>
      <c r="B110" s="55">
        <f>$F110/$C$7-($R110*$S$7+$T110*$T$7)</f>
        <v>0</v>
      </c>
      <c r="C110" s="33" t="s">
        <v>72</v>
      </c>
      <c r="D110" s="56"/>
      <c r="E110" s="56" t="str">
        <f>$F$7&amp; " (mu_F) :"</f>
        <v>0 (mu_F) :</v>
      </c>
      <c r="F110" s="519">
        <f>SUMIF($K$13:$K104,"mu_F",F$13:F104)</f>
        <v>0</v>
      </c>
      <c r="G110" s="60"/>
      <c r="H110" s="60"/>
      <c r="I110" s="61"/>
      <c r="J110" s="60"/>
      <c r="K110" s="60"/>
      <c r="L110" s="60"/>
      <c r="M110" s="60"/>
      <c r="N110" s="60"/>
      <c r="O110" s="60"/>
      <c r="P110" s="60"/>
      <c r="Q110" s="57"/>
      <c r="R110" s="63">
        <f>SUMIF($K$13:$K104,"mu_F",R$13:R104)</f>
        <v>0</v>
      </c>
      <c r="S110" s="65"/>
      <c r="T110" s="63">
        <f>SUMIF($K$13:$K104,"mu_F",T$13:T104)</f>
        <v>0</v>
      </c>
      <c r="AG110" s="1"/>
      <c r="AH110" s="519">
        <f>R110*$S$7</f>
        <v>0</v>
      </c>
      <c r="AI110" s="1"/>
      <c r="AJ110" s="519">
        <f>T110*$T$7</f>
        <v>0</v>
      </c>
      <c r="AK110" s="1"/>
    </row>
    <row r="111" spans="1:37">
      <c r="A111" s="57"/>
      <c r="B111" s="55">
        <f>$F111/$C$8-($R111*$S$8+$T111*$T$8)</f>
        <v>0</v>
      </c>
      <c r="C111" s="33" t="s">
        <v>72</v>
      </c>
      <c r="D111" s="56"/>
      <c r="E111" s="56" t="str">
        <f>$F$8&amp; " (mu_G) :"</f>
        <v>0 (mu_G) :</v>
      </c>
      <c r="F111" s="520">
        <f>SUMIF($K$13:$K104,"mu_G",F$13:F104)</f>
        <v>0</v>
      </c>
      <c r="G111" s="60"/>
      <c r="H111" s="60"/>
      <c r="I111" s="61"/>
      <c r="J111" s="60"/>
      <c r="K111" s="60"/>
      <c r="L111" s="60"/>
      <c r="M111" s="60"/>
      <c r="N111" s="60"/>
      <c r="O111" s="60"/>
      <c r="P111" s="60"/>
      <c r="Q111" s="57"/>
      <c r="R111" s="63">
        <f>SUMIF($K$13:$K104,"mu_G",R$13:R104)</f>
        <v>0</v>
      </c>
      <c r="S111" s="65"/>
      <c r="T111" s="63">
        <f>SUMIF($K$13:$K104,"mu_G",T$13:T104)</f>
        <v>0</v>
      </c>
      <c r="AG111" s="1"/>
      <c r="AH111" s="520">
        <f>R111*$S$8</f>
        <v>0</v>
      </c>
      <c r="AI111" s="1"/>
      <c r="AJ111" s="520">
        <f>T111*$T$8</f>
        <v>0</v>
      </c>
      <c r="AK111" s="1"/>
    </row>
    <row r="112" spans="1:37">
      <c r="A112" s="57"/>
      <c r="B112" s="55">
        <f>$F112/$C$9-($R112*$S$9+$T112*$T$9)</f>
        <v>0</v>
      </c>
      <c r="C112" s="33" t="s">
        <v>72</v>
      </c>
      <c r="D112" s="56"/>
      <c r="E112" s="56" t="str">
        <f>$F$9&amp; " (mu_H) :"</f>
        <v>0 (mu_H) :</v>
      </c>
      <c r="F112" s="558">
        <f>SUMIF($K$13:$K104,"mu_H",F$13:F104)</f>
        <v>0</v>
      </c>
      <c r="G112" s="60"/>
      <c r="H112" s="60"/>
      <c r="I112" s="61"/>
      <c r="J112" s="60"/>
      <c r="K112" s="60"/>
      <c r="L112" s="60"/>
      <c r="M112" s="60"/>
      <c r="N112" s="60"/>
      <c r="O112" s="60"/>
      <c r="P112" s="60"/>
      <c r="Q112" s="57"/>
      <c r="R112" s="63">
        <f>SUMIF($K$13:$K104,"mu_H",R$13:R104)</f>
        <v>0</v>
      </c>
      <c r="S112" s="65"/>
      <c r="T112" s="63">
        <f>SUMIF($K$13:$K104,"mu_H",T$13:T104)</f>
        <v>0</v>
      </c>
      <c r="AG112" s="1"/>
      <c r="AH112" s="558">
        <f>R112*$S$9</f>
        <v>0</v>
      </c>
      <c r="AI112" s="1"/>
      <c r="AJ112" s="558">
        <f>T112*$T$9</f>
        <v>0</v>
      </c>
      <c r="AK112" s="1"/>
    </row>
    <row r="113" spans="1:37">
      <c r="A113" s="57"/>
      <c r="B113" s="55">
        <f>$F113/$C$10-($R113*$S$10+$T113*$T$10)</f>
        <v>0</v>
      </c>
      <c r="C113" s="33" t="s">
        <v>72</v>
      </c>
      <c r="D113" s="56"/>
      <c r="E113" s="56" t="str">
        <f>$F$10&amp; " (mu_I) :"</f>
        <v>0 (mu_I) :</v>
      </c>
      <c r="F113" s="559">
        <f>SUMIF($K$13:$K104,"mu_I",F$13:F104)</f>
        <v>0</v>
      </c>
      <c r="G113" s="60"/>
      <c r="H113" s="60"/>
      <c r="I113" s="61"/>
      <c r="J113" s="60"/>
      <c r="K113" s="60"/>
      <c r="L113" s="60"/>
      <c r="M113" s="60"/>
      <c r="N113" s="60"/>
      <c r="O113" s="60"/>
      <c r="P113" s="60"/>
      <c r="Q113" s="57"/>
      <c r="R113" s="63">
        <f>SUMIF($K$13:$K104,"mu_I",R$13:R104)</f>
        <v>0</v>
      </c>
      <c r="S113" s="65"/>
      <c r="T113" s="63">
        <f>SUMIF($K$13:$K104,"mu_I",T$13:T104)</f>
        <v>0</v>
      </c>
      <c r="AG113" s="1"/>
      <c r="AH113" s="559">
        <f>R113*$S$10</f>
        <v>0</v>
      </c>
      <c r="AI113" s="1"/>
      <c r="AJ113" s="559">
        <f>T113*$T$10</f>
        <v>0</v>
      </c>
      <c r="AK113" s="1"/>
    </row>
    <row r="114" spans="1:37">
      <c r="A114" s="57"/>
      <c r="B114" s="55">
        <f ca="1">$F114/$C$11-($R114*$S$11+$T114*$T$11)</f>
        <v>0</v>
      </c>
      <c r="C114" s="33"/>
      <c r="D114" s="56"/>
      <c r="E114" s="56" t="str">
        <f>$F$11&amp; " (mu_J) :"</f>
        <v>0 (mu_J) :</v>
      </c>
      <c r="F114" s="560">
        <f>SUMIF($K$13:$K105,"mu_J",F$13:F105)</f>
        <v>0</v>
      </c>
      <c r="G114" s="60"/>
      <c r="H114" s="60"/>
      <c r="I114" s="61"/>
      <c r="J114" s="60"/>
      <c r="K114" s="60"/>
      <c r="L114" s="60"/>
      <c r="M114" s="60"/>
      <c r="N114" s="60"/>
      <c r="O114" s="60"/>
      <c r="P114" s="60"/>
      <c r="Q114" s="57"/>
      <c r="R114" s="63">
        <f ca="1">SUMIF($K$13:$K105,"mu_J",R$13:R104)</f>
        <v>0</v>
      </c>
      <c r="S114" s="65"/>
      <c r="T114" s="63">
        <f>SUMIF($K$13:$K105,"mu_J",T$13:T105)</f>
        <v>0</v>
      </c>
      <c r="AG114" s="1"/>
      <c r="AH114" s="560">
        <f ca="1">R114*$S$11</f>
        <v>0</v>
      </c>
      <c r="AI114" s="1"/>
      <c r="AJ114" s="560">
        <f>T114*$T$11</f>
        <v>0</v>
      </c>
      <c r="AK114" s="1"/>
    </row>
    <row r="115" spans="1:37" ht="15" thickBot="1">
      <c r="A115" s="66"/>
      <c r="B115" s="66"/>
      <c r="C115" s="67" t="s">
        <v>145</v>
      </c>
      <c r="D115" s="68"/>
      <c r="E115" s="69" t="s">
        <v>146</v>
      </c>
      <c r="F115" s="521">
        <f ca="1">SUM(F105:F114)</f>
        <v>12486.23</v>
      </c>
      <c r="G115" s="575" t="s">
        <v>140</v>
      </c>
      <c r="H115" s="70"/>
      <c r="I115" s="71"/>
      <c r="J115" s="70"/>
      <c r="K115" s="70"/>
      <c r="L115" s="70"/>
      <c r="M115" s="70"/>
      <c r="N115" s="70"/>
      <c r="O115" s="70"/>
      <c r="P115" s="70"/>
      <c r="Q115" s="72"/>
      <c r="R115" s="72">
        <f ca="1">SUM(R105:R114)</f>
        <v>7213.2</v>
      </c>
      <c r="S115" s="73"/>
      <c r="T115" s="72">
        <f ca="1">SUM(T105:T114)</f>
        <v>101.07691187181355</v>
      </c>
      <c r="U115" s="117"/>
      <c r="V115" s="456"/>
      <c r="W115" s="456"/>
      <c r="X115" s="456"/>
      <c r="Y115" s="456"/>
      <c r="Z115" s="456"/>
      <c r="AA115" s="456"/>
      <c r="AB115" s="456"/>
      <c r="AC115" s="117"/>
      <c r="AD115" s="117"/>
      <c r="AE115" s="117"/>
      <c r="AF115" s="117"/>
      <c r="AG115" s="568"/>
      <c r="AH115" s="569">
        <f ca="1">SUM(AH105:AH114)</f>
        <v>9016.5</v>
      </c>
      <c r="AI115" s="568"/>
      <c r="AJ115" s="569">
        <f ca="1">SUM(AJ105:AJ114)</f>
        <v>3469.4650000000001</v>
      </c>
      <c r="AK115" s="569">
        <f ca="1">AH115+AJ115</f>
        <v>12485.965</v>
      </c>
    </row>
    <row r="116" spans="1:37" ht="15" thickTop="1">
      <c r="A116" s="74"/>
      <c r="B116" s="74"/>
      <c r="C116" s="75"/>
      <c r="D116" s="76"/>
      <c r="E116" s="77"/>
      <c r="F116" s="78"/>
      <c r="G116" s="79"/>
      <c r="H116" s="79"/>
      <c r="I116" s="79"/>
      <c r="J116" s="79"/>
      <c r="K116" s="79"/>
      <c r="L116" s="79"/>
      <c r="M116" s="79"/>
      <c r="N116" s="79"/>
      <c r="O116" s="79"/>
      <c r="P116" s="79"/>
      <c r="Q116" s="78"/>
      <c r="R116" s="78"/>
      <c r="S116" s="80"/>
      <c r="T116" s="78"/>
      <c r="AH116" s="567" t="e">
        <f ca="1">AH104-AH115</f>
        <v>#REF!</v>
      </c>
      <c r="AJ116" s="567" t="e">
        <f ca="1">AJ104-AJ115</f>
        <v>#REF!</v>
      </c>
      <c r="AK116" s="567" t="e">
        <f ca="1">AK104-AK115</f>
        <v>#REF!</v>
      </c>
    </row>
    <row r="117" spans="1:37" ht="14.4" thickBot="1">
      <c r="A117" s="81"/>
      <c r="B117" s="82" t="s">
        <v>212</v>
      </c>
      <c r="C117" s="33"/>
      <c r="D117" s="83"/>
      <c r="E117" s="77" t="s">
        <v>167</v>
      </c>
      <c r="F117" s="45"/>
      <c r="G117" s="45"/>
      <c r="H117" s="45"/>
      <c r="I117" s="45"/>
      <c r="J117" s="45"/>
      <c r="K117" s="45"/>
      <c r="L117" s="84" t="s">
        <v>147</v>
      </c>
      <c r="M117" s="84"/>
      <c r="N117" s="84"/>
      <c r="O117" s="84"/>
      <c r="P117" s="84"/>
      <c r="Q117" s="45"/>
      <c r="R117" s="85">
        <f ca="1">SUMIF($L$13:$L104,"",R$13:R104)</f>
        <v>7213.2</v>
      </c>
      <c r="S117" s="85"/>
      <c r="T117" s="85">
        <f ca="1">SUMIF($L$13:$L104,"",T$13:T104)</f>
        <v>101.07691187181355</v>
      </c>
    </row>
    <row r="118" spans="1:37">
      <c r="A118" s="86"/>
      <c r="B118" s="87" t="s">
        <v>211</v>
      </c>
      <c r="C118" s="33"/>
      <c r="D118" s="33"/>
      <c r="E118" s="64"/>
      <c r="F118" s="45"/>
      <c r="G118" s="45"/>
      <c r="H118" s="45"/>
      <c r="I118" s="45"/>
      <c r="J118" s="45"/>
      <c r="K118" s="45"/>
      <c r="L118" s="45"/>
      <c r="M118" s="45"/>
      <c r="N118" s="45"/>
      <c r="O118" s="45"/>
      <c r="P118" s="45"/>
      <c r="Q118" s="45"/>
      <c r="R118" s="45"/>
      <c r="S118" s="45"/>
      <c r="T118" s="45"/>
    </row>
    <row r="119" spans="1:37" ht="14.4" thickBot="1">
      <c r="A119" s="356"/>
      <c r="B119" s="88">
        <f ca="1">$F119/$C$2-($R119*$S$2+$T119*$T$2)</f>
        <v>0.26499999999941792</v>
      </c>
      <c r="C119" s="33"/>
      <c r="D119" s="83"/>
      <c r="E119" s="77" t="s">
        <v>166</v>
      </c>
      <c r="F119" s="522">
        <f ca="1">SUMIF($L$13:$L104,"ITEM",F$13:F104)</f>
        <v>12486.23</v>
      </c>
      <c r="G119" s="45"/>
      <c r="H119" s="45"/>
      <c r="I119" s="45"/>
      <c r="J119" s="45"/>
      <c r="K119" s="45"/>
      <c r="L119" s="84" t="s">
        <v>148</v>
      </c>
      <c r="M119" s="84"/>
      <c r="N119" s="84"/>
      <c r="O119" s="84"/>
      <c r="P119" s="84"/>
      <c r="Q119" s="85"/>
      <c r="R119" s="89">
        <f ca="1">SUMIF($L$13:$L104,"ITEM",R$13:R104)</f>
        <v>7213.2000000000007</v>
      </c>
      <c r="S119" s="90"/>
      <c r="T119" s="89">
        <f ca="1">SUMIF($L$13:$L104,"ITEM",T$13:T104)</f>
        <v>101.07691187181355</v>
      </c>
    </row>
    <row r="120" spans="1:37">
      <c r="A120" s="356"/>
      <c r="B120" s="91"/>
      <c r="C120" s="4"/>
      <c r="D120" s="33"/>
      <c r="E120" s="64"/>
      <c r="F120" s="45"/>
      <c r="G120" s="45"/>
      <c r="H120" s="45"/>
      <c r="I120" s="45"/>
      <c r="J120" s="45"/>
      <c r="K120" s="45"/>
      <c r="L120" s="45"/>
      <c r="M120" s="45"/>
      <c r="N120" s="45"/>
      <c r="O120" s="45"/>
      <c r="P120" s="45"/>
      <c r="Q120" s="45"/>
      <c r="R120" s="45"/>
      <c r="S120" s="45"/>
      <c r="T120" s="45"/>
    </row>
    <row r="121" spans="1:37" ht="14.4" thickBot="1">
      <c r="A121" s="356"/>
      <c r="B121" s="88">
        <f ca="1">$F121/$C$2-($R121*$S$2+$T121*$T$2)</f>
        <v>0.26499999999941792</v>
      </c>
      <c r="C121" s="33"/>
      <c r="D121" s="92"/>
      <c r="E121" s="93" t="s">
        <v>149</v>
      </c>
      <c r="F121" s="523">
        <f ca="1">SUMIF($L$13:$L104,"PAGE",F$13:F104)</f>
        <v>12486.23</v>
      </c>
      <c r="G121" s="5"/>
      <c r="H121" s="5"/>
      <c r="I121" s="5"/>
      <c r="J121" s="5"/>
      <c r="K121" s="45"/>
      <c r="L121" s="43" t="s">
        <v>150</v>
      </c>
      <c r="M121" s="43"/>
      <c r="N121" s="43"/>
      <c r="O121" s="43"/>
      <c r="P121" s="43"/>
      <c r="Q121" s="85"/>
      <c r="R121" s="94">
        <f ca="1">SUMIF($L$13:$L104,"PAGE",R$13:R104)</f>
        <v>7213.2000000000007</v>
      </c>
      <c r="S121" s="95"/>
      <c r="T121" s="94">
        <f ca="1">SUMIF($L$13:$L104,"PAGE",T$13:T104)</f>
        <v>101.07691187181355</v>
      </c>
    </row>
    <row r="122" spans="1:37">
      <c r="A122" s="356"/>
      <c r="B122" s="88"/>
      <c r="C122" s="33"/>
      <c r="D122" s="33"/>
      <c r="E122" s="64"/>
      <c r="F122" s="45"/>
      <c r="G122" s="45"/>
      <c r="H122" s="45"/>
      <c r="I122" s="45"/>
      <c r="J122" s="45"/>
      <c r="K122" s="45"/>
      <c r="L122" s="45"/>
      <c r="M122" s="45"/>
      <c r="N122" s="45"/>
      <c r="O122" s="45"/>
      <c r="P122" s="45"/>
      <c r="Q122" s="45"/>
      <c r="R122" s="45"/>
      <c r="S122" s="45"/>
      <c r="T122" s="45"/>
    </row>
    <row r="123" spans="1:37" ht="14.4" thickBot="1">
      <c r="A123" s="357" t="s">
        <v>151</v>
      </c>
      <c r="B123" s="88">
        <f ca="1">$F123/$C$2-($R123*$S$2+$T123*$T$2)</f>
        <v>0.26499999999941792</v>
      </c>
      <c r="C123" s="33"/>
      <c r="D123" s="2"/>
      <c r="E123" s="93" t="s">
        <v>152</v>
      </c>
      <c r="F123" s="524">
        <f ca="1">SUMIF($L$13:$L104,"SECT",F$13:F104)</f>
        <v>12486.23</v>
      </c>
      <c r="G123" s="5"/>
      <c r="H123" s="5"/>
      <c r="I123" s="5"/>
      <c r="J123" s="5"/>
      <c r="K123" s="45"/>
      <c r="L123" s="84" t="s">
        <v>153</v>
      </c>
      <c r="M123" s="84"/>
      <c r="N123" s="84"/>
      <c r="O123" s="84"/>
      <c r="P123" s="84"/>
      <c r="Q123" s="85"/>
      <c r="R123" s="96">
        <f ca="1">SUMIF($L$13:$L104,"SECT",R$13:R104)</f>
        <v>7213.2000000000007</v>
      </c>
      <c r="S123" s="85"/>
      <c r="T123" s="96">
        <f ca="1">SUMIF($L$13:$L104,"SECT",T$13:T104)</f>
        <v>101.07691187181355</v>
      </c>
    </row>
    <row r="124" spans="1:37" ht="14.4" thickBot="1">
      <c r="A124" s="97" t="s">
        <v>154</v>
      </c>
      <c r="B124" s="53"/>
      <c r="C124" s="34"/>
      <c r="D124" s="53"/>
      <c r="E124" s="39"/>
      <c r="F124" s="98"/>
      <c r="G124" s="54"/>
      <c r="H124" s="54"/>
      <c r="I124" s="54"/>
      <c r="J124" s="54"/>
      <c r="K124" s="54"/>
      <c r="L124" s="54"/>
      <c r="M124" s="54"/>
      <c r="N124" s="54"/>
      <c r="O124" s="54"/>
      <c r="P124" s="54"/>
      <c r="Q124" s="54"/>
      <c r="R124" s="98"/>
      <c r="S124" s="98"/>
      <c r="T124" s="98"/>
      <c r="U124" s="117"/>
      <c r="V124" s="456"/>
      <c r="W124" s="456"/>
      <c r="X124" s="456"/>
      <c r="Y124" s="456"/>
      <c r="Z124" s="456"/>
      <c r="AA124" s="456"/>
      <c r="AB124" s="456"/>
      <c r="AC124" s="117"/>
      <c r="AD124" s="117"/>
      <c r="AE124" s="117"/>
      <c r="AF124" s="117"/>
      <c r="AG124" s="117"/>
      <c r="AH124" s="117"/>
      <c r="AI124" s="117"/>
      <c r="AJ124" s="117"/>
      <c r="AK124" s="117"/>
    </row>
    <row r="125" spans="1:37" ht="14.4" thickTop="1">
      <c r="A125" s="99"/>
      <c r="B125" s="561" t="s">
        <v>70</v>
      </c>
      <c r="C125" s="6"/>
      <c r="D125" s="100"/>
      <c r="E125" s="101" t="s">
        <v>155</v>
      </c>
      <c r="F125" s="102"/>
      <c r="G125" s="102"/>
      <c r="H125" s="102"/>
      <c r="I125" s="102"/>
      <c r="J125" s="102"/>
      <c r="K125" s="102"/>
      <c r="L125" s="102"/>
      <c r="M125" s="102"/>
      <c r="N125" s="102"/>
      <c r="O125" s="103"/>
      <c r="P125" s="102"/>
      <c r="Q125" s="104"/>
      <c r="R125" s="105">
        <f ca="1">SUM(R126:R181)</f>
        <v>7213.4553500000011</v>
      </c>
      <c r="S125" s="106"/>
      <c r="T125" s="105">
        <f ca="1">SUM(T126:T181)</f>
        <v>101.00191187181355</v>
      </c>
    </row>
    <row r="126" spans="1:37">
      <c r="A126" s="107"/>
      <c r="B126" s="528">
        <v>1</v>
      </c>
      <c r="C126" s="6" t="s">
        <v>72</v>
      </c>
      <c r="D126" s="36" t="s">
        <v>73</v>
      </c>
      <c r="F126" s="108">
        <v>501</v>
      </c>
      <c r="O126" s="109"/>
      <c r="P126" s="36">
        <v>1</v>
      </c>
      <c r="R126" s="110">
        <f ca="1">SUMIF($H$13:$H$104,$F126,R$13:R$104)+Elec_Rates!R131</f>
        <v>2142.4450000000006</v>
      </c>
      <c r="S126" s="111"/>
      <c r="T126" s="110">
        <f ca="1">SUMIF($H$13:$H$104,$F126,T$13:T$104)+Elec_Rates!T131</f>
        <v>18.75</v>
      </c>
    </row>
    <row r="127" spans="1:37" hidden="1">
      <c r="A127" s="107"/>
      <c r="B127" s="528">
        <v>2</v>
      </c>
      <c r="C127" s="6" t="s">
        <v>72</v>
      </c>
      <c r="D127" s="36" t="s">
        <v>74</v>
      </c>
      <c r="F127" s="108">
        <v>505</v>
      </c>
      <c r="O127" s="109"/>
      <c r="P127" s="36">
        <v>1</v>
      </c>
      <c r="R127" s="110">
        <f>SUMIF($H$13:$H$104,$F127,R$13:R$104)+Elec_Rates!R132</f>
        <v>0</v>
      </c>
      <c r="S127" s="111"/>
      <c r="T127" s="110">
        <f>SUMIF($H$13:$H$104,$F127,T$13:T$104)+Elec_Rates!T132</f>
        <v>0</v>
      </c>
    </row>
    <row r="128" spans="1:37" hidden="1">
      <c r="A128" s="107"/>
      <c r="B128" s="528">
        <v>3</v>
      </c>
      <c r="C128" s="6" t="s">
        <v>72</v>
      </c>
      <c r="D128" s="36" t="s">
        <v>75</v>
      </c>
      <c r="F128" s="108">
        <v>510</v>
      </c>
      <c r="O128" s="109"/>
      <c r="P128" s="36">
        <v>2</v>
      </c>
      <c r="R128" s="110">
        <f>SUMIF($H$13:$H$104,$F128,R$13:R$104)+Elec_Rates!R133</f>
        <v>0</v>
      </c>
      <c r="S128" s="111"/>
      <c r="T128" s="110">
        <f>SUMIF($H$13:$H$104,$F128,T$13:T$104)+Elec_Rates!T133</f>
        <v>0</v>
      </c>
    </row>
    <row r="129" spans="1:20" hidden="1">
      <c r="A129" s="107"/>
      <c r="B129" s="528">
        <v>4</v>
      </c>
      <c r="C129" s="6" t="s">
        <v>72</v>
      </c>
      <c r="D129" s="36" t="s">
        <v>76</v>
      </c>
      <c r="F129" s="108">
        <v>511</v>
      </c>
      <c r="O129" s="109"/>
      <c r="P129" s="36">
        <v>2</v>
      </c>
      <c r="R129" s="110">
        <f>SUMIF($H$13:$H$104,$F129,R$13:R$104)+Elec_Rates!R134</f>
        <v>0</v>
      </c>
      <c r="S129" s="111"/>
      <c r="T129" s="110">
        <f>SUMIF($H$13:$H$104,$F129,T$13:T$104)+Elec_Rates!T134</f>
        <v>0</v>
      </c>
    </row>
    <row r="130" spans="1:20" hidden="1">
      <c r="A130" s="107"/>
      <c r="B130" s="528">
        <v>5</v>
      </c>
      <c r="C130" s="6" t="s">
        <v>72</v>
      </c>
      <c r="D130" s="36" t="s">
        <v>77</v>
      </c>
      <c r="F130" s="108">
        <v>512</v>
      </c>
      <c r="O130" s="109"/>
      <c r="P130" s="36">
        <v>2</v>
      </c>
      <c r="R130" s="110">
        <f>SUMIF($H$13:$H$104,$F130,R$13:R$104)+Elec_Rates!R135</f>
        <v>2629</v>
      </c>
      <c r="S130" s="111"/>
      <c r="T130" s="110">
        <f>SUMIF($H$13:$H$104,$F130,T$13:T$104)+Elec_Rates!T135</f>
        <v>30.376911871813547</v>
      </c>
    </row>
    <row r="131" spans="1:20" hidden="1">
      <c r="A131" s="107"/>
      <c r="B131" s="528">
        <v>6</v>
      </c>
      <c r="C131" s="6" t="s">
        <v>72</v>
      </c>
      <c r="D131" s="36" t="s">
        <v>78</v>
      </c>
      <c r="F131" s="108">
        <v>520</v>
      </c>
      <c r="O131" s="109"/>
      <c r="P131" s="36">
        <v>1</v>
      </c>
      <c r="R131" s="110">
        <f>SUMIF($H$13:$H$104,$F131,R$13:R$104)+Elec_Rates!R136</f>
        <v>0</v>
      </c>
      <c r="S131" s="111"/>
      <c r="T131" s="110">
        <f>SUMIF($H$13:$H$104,$F131,T$13:T$104)+Elec_Rates!T136</f>
        <v>0</v>
      </c>
    </row>
    <row r="132" spans="1:20" hidden="1">
      <c r="A132" s="107"/>
      <c r="B132" s="528">
        <v>7</v>
      </c>
      <c r="C132" s="6" t="s">
        <v>72</v>
      </c>
      <c r="D132" s="36" t="s">
        <v>79</v>
      </c>
      <c r="F132" s="108">
        <v>530</v>
      </c>
      <c r="O132" s="109"/>
      <c r="P132" s="36">
        <v>2</v>
      </c>
      <c r="R132" s="110">
        <f>SUMIF($H$13:$H$104,$F132,R$13:R$104)+Elec_Rates!R137</f>
        <v>0</v>
      </c>
      <c r="S132" s="111"/>
      <c r="T132" s="110">
        <f>SUMIF($H$13:$H$104,$F132,T$13:T$104)+Elec_Rates!T137</f>
        <v>0</v>
      </c>
    </row>
    <row r="133" spans="1:20" hidden="1">
      <c r="A133" s="107"/>
      <c r="B133" s="528">
        <v>8</v>
      </c>
      <c r="C133" s="6" t="s">
        <v>72</v>
      </c>
      <c r="D133" s="36" t="s">
        <v>80</v>
      </c>
      <c r="F133" s="108">
        <v>550</v>
      </c>
      <c r="O133" s="109"/>
      <c r="P133" s="36">
        <v>2</v>
      </c>
      <c r="R133" s="110">
        <f>SUMIF($H$13:$H$104,$F133,R$13:R$104)+Elec_Rates!R138</f>
        <v>0</v>
      </c>
      <c r="S133" s="111"/>
      <c r="T133" s="110">
        <f>SUMIF($H$13:$H$104,$F133,T$13:T$104)+Elec_Rates!T138</f>
        <v>0</v>
      </c>
    </row>
    <row r="134" spans="1:20" hidden="1">
      <c r="A134" s="107"/>
      <c r="B134" s="528">
        <v>9</v>
      </c>
      <c r="C134" s="6" t="s">
        <v>72</v>
      </c>
      <c r="D134" s="36" t="s">
        <v>81</v>
      </c>
      <c r="F134" s="108">
        <v>570</v>
      </c>
      <c r="O134" s="109"/>
      <c r="P134" s="36">
        <v>2</v>
      </c>
      <c r="R134" s="110">
        <f>SUMIF($H$13:$H$104,$F134,R$13:R$104)+Elec_Rates!R139</f>
        <v>0</v>
      </c>
      <c r="S134" s="111"/>
      <c r="T134" s="110">
        <f>SUMIF($H$13:$H$104,$F134,T$13:T$104)+Elec_Rates!T139</f>
        <v>0</v>
      </c>
    </row>
    <row r="135" spans="1:20" hidden="1">
      <c r="A135" s="107"/>
      <c r="B135" s="528">
        <v>10</v>
      </c>
      <c r="C135" s="6" t="s">
        <v>72</v>
      </c>
      <c r="D135" s="36" t="s">
        <v>82</v>
      </c>
      <c r="F135" s="108">
        <v>615</v>
      </c>
      <c r="O135" s="109"/>
      <c r="P135" s="36">
        <v>2</v>
      </c>
      <c r="R135" s="110">
        <f>SUMIF($H$13:$H$104,$F135,R$13:R$104)+Elec_Rates!R140</f>
        <v>0</v>
      </c>
      <c r="S135" s="111"/>
      <c r="T135" s="110">
        <f>SUMIF($H$13:$H$104,$F135,T$13:T$104)+Elec_Rates!T140</f>
        <v>0</v>
      </c>
    </row>
    <row r="136" spans="1:20">
      <c r="A136" s="107"/>
      <c r="B136" s="528">
        <v>11</v>
      </c>
      <c r="C136" s="6" t="s">
        <v>72</v>
      </c>
      <c r="D136" s="36" t="s">
        <v>84</v>
      </c>
      <c r="F136" s="108">
        <v>616</v>
      </c>
      <c r="O136" s="109"/>
      <c r="P136" s="36">
        <v>2</v>
      </c>
      <c r="R136" s="110">
        <f>SUMIF($H$13:$H$104,$F136,R$13:R$104)+Elec_Rates!R141</f>
        <v>540</v>
      </c>
      <c r="S136" s="111"/>
      <c r="T136" s="110">
        <f>SUMIF($H$13:$H$104,$F136,T$13:T$104)+Elec_Rates!T141</f>
        <v>3.75</v>
      </c>
    </row>
    <row r="137" spans="1:20" hidden="1">
      <c r="A137" s="107"/>
      <c r="B137" s="528">
        <v>12</v>
      </c>
      <c r="C137" s="6" t="s">
        <v>72</v>
      </c>
      <c r="D137" s="36" t="s">
        <v>85</v>
      </c>
      <c r="F137" s="108">
        <v>617</v>
      </c>
      <c r="O137" s="109"/>
      <c r="P137" s="36">
        <v>2</v>
      </c>
      <c r="R137" s="110">
        <f>SUMIF($H$13:$H$104,$F137,R$13:R$104)+Elec_Rates!R142</f>
        <v>0</v>
      </c>
      <c r="S137" s="111"/>
      <c r="T137" s="110">
        <f>SUMIF($H$13:$H$104,$F137,T$13:T$104)+Elec_Rates!T142</f>
        <v>0</v>
      </c>
    </row>
    <row r="138" spans="1:20">
      <c r="A138" s="107"/>
      <c r="B138" s="528">
        <v>13</v>
      </c>
      <c r="C138" s="6" t="s">
        <v>72</v>
      </c>
      <c r="D138" s="36" t="s">
        <v>156</v>
      </c>
      <c r="F138" s="108">
        <v>620</v>
      </c>
      <c r="O138" s="109"/>
      <c r="P138" s="36">
        <v>2</v>
      </c>
      <c r="R138" s="110">
        <f>SUMIF($H$13:$H$104,$F138,R$13:R$104)+Elec_Rates!R143</f>
        <v>119</v>
      </c>
      <c r="S138" s="111"/>
      <c r="T138" s="110">
        <f>SUMIF($H$13:$H$104,$F138,T$13:T$104)+Elec_Rates!T143</f>
        <v>8.75</v>
      </c>
    </row>
    <row r="139" spans="1:20">
      <c r="A139" s="107"/>
      <c r="B139" s="528">
        <v>14</v>
      </c>
      <c r="C139" s="6" t="s">
        <v>72</v>
      </c>
      <c r="D139" s="36" t="s">
        <v>87</v>
      </c>
      <c r="F139" s="108">
        <v>650</v>
      </c>
      <c r="O139" s="109"/>
      <c r="P139" s="36">
        <v>1</v>
      </c>
      <c r="R139" s="110">
        <f ca="1">SUMIF($H$13:$H$104,$F139,R$13:R$104)+Elec_Rates!R144</f>
        <v>1683.0103500000005</v>
      </c>
      <c r="S139" s="111"/>
      <c r="T139" s="110">
        <f ca="1">SUMIF($H$13:$H$104,$F139,T$13:T$104)+Elec_Rates!T144</f>
        <v>24.375</v>
      </c>
    </row>
    <row r="140" spans="1:20" hidden="1">
      <c r="A140" s="107"/>
      <c r="B140" s="528">
        <v>15</v>
      </c>
      <c r="C140" s="6" t="s">
        <v>72</v>
      </c>
      <c r="D140" s="36" t="s">
        <v>88</v>
      </c>
      <c r="F140" s="108">
        <v>651</v>
      </c>
      <c r="O140" s="109"/>
      <c r="P140" s="36">
        <v>1</v>
      </c>
      <c r="R140" s="110">
        <f>SUMIF($H$13:$H$104,$F140,R$13:R$104)+Elec_Rates!R145</f>
        <v>0</v>
      </c>
      <c r="S140" s="111"/>
      <c r="T140" s="110">
        <f>SUMIF($H$13:$H$104,$F140,T$13:T$104)+Elec_Rates!T145</f>
        <v>0</v>
      </c>
    </row>
    <row r="141" spans="1:20" hidden="1">
      <c r="A141" s="107"/>
      <c r="B141" s="528">
        <v>16</v>
      </c>
      <c r="C141" s="6" t="s">
        <v>72</v>
      </c>
      <c r="D141" s="36" t="s">
        <v>89</v>
      </c>
      <c r="F141" s="108">
        <v>652</v>
      </c>
      <c r="O141" s="109"/>
      <c r="P141" s="36">
        <v>1</v>
      </c>
      <c r="R141" s="110">
        <f>SUMIF($H$13:$H$104,$F141,R$13:R$104)+Elec_Rates!R146</f>
        <v>0</v>
      </c>
      <c r="S141" s="111"/>
      <c r="T141" s="110">
        <f>SUMIF($H$13:$H$104,$F141,T$13:T$104)+Elec_Rates!T146</f>
        <v>0</v>
      </c>
    </row>
    <row r="142" spans="1:20" hidden="1">
      <c r="A142" s="107"/>
      <c r="B142" s="528">
        <v>17</v>
      </c>
      <c r="C142" s="6" t="s">
        <v>72</v>
      </c>
      <c r="D142" s="36" t="s">
        <v>90</v>
      </c>
      <c r="F142" s="108">
        <v>654</v>
      </c>
      <c r="O142" s="109"/>
      <c r="P142" s="36">
        <v>1</v>
      </c>
      <c r="R142" s="110">
        <f>SUMIF($H$13:$H$104,$F142,R$13:R$104)+Elec_Rates!R147</f>
        <v>0</v>
      </c>
      <c r="S142" s="111"/>
      <c r="T142" s="110">
        <f>SUMIF($H$13:$H$104,$F142,T$13:T$104)+Elec_Rates!T147</f>
        <v>0</v>
      </c>
    </row>
    <row r="143" spans="1:20" hidden="1">
      <c r="A143" s="107"/>
      <c r="B143" s="528">
        <v>18</v>
      </c>
      <c r="C143" s="6" t="s">
        <v>72</v>
      </c>
      <c r="D143" s="36" t="s">
        <v>91</v>
      </c>
      <c r="F143" s="108">
        <v>675</v>
      </c>
      <c r="O143" s="109"/>
      <c r="P143" s="36">
        <v>1</v>
      </c>
      <c r="R143" s="110">
        <f>SUMIF($H$13:$H$104,$F143,R$13:R$104)+Elec_Rates!R148</f>
        <v>0</v>
      </c>
      <c r="S143" s="111"/>
      <c r="T143" s="110">
        <f>SUMIF($H$13:$H$104,$F143,T$13:T$104)+Elec_Rates!T148</f>
        <v>0</v>
      </c>
    </row>
    <row r="144" spans="1:20" hidden="1">
      <c r="A144" s="107"/>
      <c r="B144" s="528">
        <v>19</v>
      </c>
      <c r="C144" s="6" t="s">
        <v>72</v>
      </c>
      <c r="D144" s="36" t="s">
        <v>92</v>
      </c>
      <c r="F144" s="108">
        <v>676</v>
      </c>
      <c r="O144" s="109"/>
      <c r="P144" s="36">
        <v>1</v>
      </c>
      <c r="R144" s="110">
        <f>SUMIF($H$13:$H$104,$F144,R$13:R$104)+Elec_Rates!R149</f>
        <v>0</v>
      </c>
      <c r="S144" s="111"/>
      <c r="T144" s="110">
        <f>SUMIF($H$13:$H$104,$F144,T$13:T$104)+Elec_Rates!T149</f>
        <v>0</v>
      </c>
    </row>
    <row r="145" spans="1:20" hidden="1">
      <c r="A145" s="107"/>
      <c r="B145" s="528">
        <v>20</v>
      </c>
      <c r="C145" s="6" t="s">
        <v>72</v>
      </c>
      <c r="D145" s="36" t="s">
        <v>93</v>
      </c>
      <c r="F145" s="108">
        <v>680</v>
      </c>
      <c r="O145" s="109"/>
      <c r="P145" s="36">
        <v>1</v>
      </c>
      <c r="R145" s="110">
        <f>SUMIF($H$13:$H$104,$F145,R$13:R$104)+Elec_Rates!R150</f>
        <v>0</v>
      </c>
      <c r="S145" s="111"/>
      <c r="T145" s="110">
        <f>SUMIF($H$13:$H$104,$F145,T$13:T$104)+Elec_Rates!T150</f>
        <v>0</v>
      </c>
    </row>
    <row r="146" spans="1:20" hidden="1">
      <c r="A146" s="107"/>
      <c r="B146" s="528">
        <v>21</v>
      </c>
      <c r="C146" s="6" t="s">
        <v>72</v>
      </c>
      <c r="D146" s="36" t="s">
        <v>95</v>
      </c>
      <c r="F146" s="108">
        <v>681</v>
      </c>
      <c r="O146" s="109"/>
      <c r="P146" s="36">
        <v>1</v>
      </c>
      <c r="R146" s="110">
        <f>SUMIF($H$13:$H$104,$F146,R$13:R$104)+Elec_Rates!R151</f>
        <v>0</v>
      </c>
      <c r="S146" s="111"/>
      <c r="T146" s="110">
        <f>SUMIF($H$13:$H$104,$F146,T$13:T$104)+Elec_Rates!T151</f>
        <v>0</v>
      </c>
    </row>
    <row r="147" spans="1:20" hidden="1">
      <c r="A147" s="107"/>
      <c r="B147" s="528">
        <v>22</v>
      </c>
      <c r="C147" s="6" t="s">
        <v>72</v>
      </c>
      <c r="D147" s="36" t="s">
        <v>96</v>
      </c>
      <c r="F147" s="108">
        <v>690</v>
      </c>
      <c r="O147" s="109"/>
      <c r="P147" s="36">
        <v>1</v>
      </c>
      <c r="R147" s="110">
        <f>SUMIF($H$13:$H$104,$F147,R$13:R$104)+Elec_Rates!R152</f>
        <v>0</v>
      </c>
      <c r="S147" s="111"/>
      <c r="T147" s="110">
        <f>SUMIF($H$13:$H$104,$F147,T$13:T$104)+Elec_Rates!T152</f>
        <v>0</v>
      </c>
    </row>
    <row r="148" spans="1:20" hidden="1">
      <c r="A148" s="107"/>
      <c r="B148" s="528">
        <v>23</v>
      </c>
      <c r="C148" s="6" t="s">
        <v>72</v>
      </c>
      <c r="D148" s="36" t="s">
        <v>97</v>
      </c>
      <c r="F148" s="108">
        <v>700</v>
      </c>
      <c r="O148" s="109"/>
      <c r="P148" s="36">
        <v>1</v>
      </c>
      <c r="R148" s="110">
        <f>SUMIF($H$13:$H$104,$F148,R$13:R$104)+Elec_Rates!R153</f>
        <v>0</v>
      </c>
      <c r="S148" s="111"/>
      <c r="T148" s="110">
        <f>SUMIF($H$13:$H$104,$F148,T$13:T$104)+Elec_Rates!T153</f>
        <v>0</v>
      </c>
    </row>
    <row r="149" spans="1:20" hidden="1">
      <c r="A149" s="107"/>
      <c r="B149" s="528">
        <v>24</v>
      </c>
      <c r="C149" s="6" t="s">
        <v>72</v>
      </c>
      <c r="D149" s="36" t="s">
        <v>98</v>
      </c>
      <c r="F149" s="108">
        <v>705</v>
      </c>
      <c r="O149" s="109"/>
      <c r="P149" s="36">
        <v>3</v>
      </c>
      <c r="R149" s="110">
        <f>SUMIF($H$13:$H$104,$F149,R$13:R$104)+Elec_Rates!R154</f>
        <v>0</v>
      </c>
      <c r="S149" s="111"/>
      <c r="T149" s="110">
        <f>SUMIF($H$13:$H$104,$F149,T$13:T$104)+Elec_Rates!T154</f>
        <v>0</v>
      </c>
    </row>
    <row r="150" spans="1:20" hidden="1">
      <c r="A150" s="107"/>
      <c r="B150" s="528">
        <v>25</v>
      </c>
      <c r="C150" s="6" t="s">
        <v>72</v>
      </c>
      <c r="D150" s="36" t="s">
        <v>99</v>
      </c>
      <c r="F150" s="108">
        <v>706</v>
      </c>
      <c r="O150" s="109"/>
      <c r="P150" s="36">
        <v>3</v>
      </c>
      <c r="R150" s="110">
        <f>SUMIF($H$13:$H$104,$F150,R$13:R$104)+Elec_Rates!R155</f>
        <v>0</v>
      </c>
      <c r="S150" s="111"/>
      <c r="T150" s="110">
        <f>SUMIF($H$13:$H$104,$F150,T$13:T$104)+Elec_Rates!T155</f>
        <v>0</v>
      </c>
    </row>
    <row r="151" spans="1:20" hidden="1">
      <c r="A151" s="107"/>
      <c r="B151" s="528">
        <v>26</v>
      </c>
      <c r="C151" s="6" t="s">
        <v>72</v>
      </c>
      <c r="D151" s="36" t="s">
        <v>100</v>
      </c>
      <c r="F151" s="108">
        <v>725</v>
      </c>
      <c r="O151" s="109"/>
      <c r="P151" s="36">
        <v>3</v>
      </c>
      <c r="R151" s="110">
        <f>SUMIF($H$13:$H$104,$F151,R$13:R$104)+Elec_Rates!R156</f>
        <v>0</v>
      </c>
      <c r="S151" s="111"/>
      <c r="T151" s="110">
        <f>SUMIF($H$13:$H$104,$F151,T$13:T$104)+Elec_Rates!T156</f>
        <v>0</v>
      </c>
    </row>
    <row r="152" spans="1:20" hidden="1">
      <c r="A152" s="107"/>
      <c r="B152" s="528">
        <v>27</v>
      </c>
      <c r="C152" s="6" t="s">
        <v>72</v>
      </c>
      <c r="D152" s="36" t="s">
        <v>101</v>
      </c>
      <c r="F152" s="108">
        <v>726</v>
      </c>
      <c r="O152" s="109"/>
      <c r="P152" s="36">
        <v>3</v>
      </c>
      <c r="R152" s="110">
        <f>SUMIF($H$13:$H$104,$F152,R$13:R$104)+Elec_Rates!R157</f>
        <v>0</v>
      </c>
      <c r="S152" s="111"/>
      <c r="T152" s="110">
        <f>SUMIF($H$13:$H$104,$F152,T$13:T$104)+Elec_Rates!T157</f>
        <v>0</v>
      </c>
    </row>
    <row r="153" spans="1:20" hidden="1">
      <c r="A153" s="107"/>
      <c r="B153" s="528">
        <v>28</v>
      </c>
      <c r="C153" s="6" t="s">
        <v>72</v>
      </c>
      <c r="D153" s="36" t="s">
        <v>102</v>
      </c>
      <c r="F153" s="108">
        <v>750</v>
      </c>
      <c r="O153" s="109"/>
      <c r="P153" s="36">
        <v>3</v>
      </c>
      <c r="R153" s="110">
        <f>SUMIF($H$13:$H$104,$F153,R$13:R$104)+Elec_Rates!R158</f>
        <v>0</v>
      </c>
      <c r="S153" s="111"/>
      <c r="T153" s="110">
        <f>SUMIF($H$13:$H$104,$F153,T$13:T$104)+Elec_Rates!T158</f>
        <v>0</v>
      </c>
    </row>
    <row r="154" spans="1:20" hidden="1">
      <c r="A154" s="107"/>
      <c r="B154" s="528">
        <v>29</v>
      </c>
      <c r="C154" s="6" t="s">
        <v>72</v>
      </c>
      <c r="D154" s="36" t="s">
        <v>103</v>
      </c>
      <c r="F154" s="108">
        <v>751</v>
      </c>
      <c r="O154" s="109"/>
      <c r="P154" s="36">
        <v>3</v>
      </c>
      <c r="R154" s="110">
        <f>SUMIF($H$13:$H$104,$F154,R$13:R$104)+Elec_Rates!R159</f>
        <v>0</v>
      </c>
      <c r="S154" s="111"/>
      <c r="T154" s="110">
        <f>SUMIF($H$13:$H$104,$F154,T$13:T$104)+Elec_Rates!T159</f>
        <v>0</v>
      </c>
    </row>
    <row r="155" spans="1:20" hidden="1">
      <c r="A155" s="107"/>
      <c r="B155" s="528">
        <v>30</v>
      </c>
      <c r="C155" s="6" t="s">
        <v>72</v>
      </c>
      <c r="D155" s="36" t="s">
        <v>104</v>
      </c>
      <c r="F155" s="108">
        <v>752</v>
      </c>
      <c r="O155" s="109"/>
      <c r="P155" s="36">
        <v>3</v>
      </c>
      <c r="R155" s="110">
        <f>SUMIF($H$13:$H$104,$F155,R$13:R$104)+Elec_Rates!R160</f>
        <v>0</v>
      </c>
      <c r="S155" s="111"/>
      <c r="T155" s="110">
        <f>SUMIF($H$13:$H$104,$F155,T$13:T$104)+Elec_Rates!T160</f>
        <v>0</v>
      </c>
    </row>
    <row r="156" spans="1:20" hidden="1">
      <c r="A156" s="107"/>
      <c r="B156" s="528">
        <v>31</v>
      </c>
      <c r="C156" s="6" t="s">
        <v>72</v>
      </c>
      <c r="D156" s="616" t="s">
        <v>269</v>
      </c>
      <c r="F156" s="108">
        <v>753</v>
      </c>
      <c r="O156" s="109"/>
      <c r="P156" s="36">
        <v>3</v>
      </c>
      <c r="R156" s="110">
        <f>SUMIF($H$13:$H$104,$F156,R$13:R$104)+Elec_Rates!R161</f>
        <v>0</v>
      </c>
      <c r="S156" s="111"/>
      <c r="T156" s="110">
        <f>SUMIF($H$13:$H$104,$F156,T$13:T$104)+Elec_Rates!T161</f>
        <v>0</v>
      </c>
    </row>
    <row r="157" spans="1:20" hidden="1">
      <c r="A157" s="107"/>
      <c r="B157" s="528">
        <v>32</v>
      </c>
      <c r="C157" s="6" t="s">
        <v>72</v>
      </c>
      <c r="D157" s="36" t="s">
        <v>106</v>
      </c>
      <c r="F157" s="108">
        <v>770</v>
      </c>
      <c r="O157" s="109"/>
      <c r="P157" s="36">
        <v>3</v>
      </c>
      <c r="R157" s="110">
        <f>SUMIF($H$13:$H$104,$F157,R$13:R$104)+Elec_Rates!R162</f>
        <v>0</v>
      </c>
      <c r="S157" s="111"/>
      <c r="T157" s="110">
        <f>SUMIF($H$13:$H$104,$F157,T$13:T$104)+Elec_Rates!T162</f>
        <v>0</v>
      </c>
    </row>
    <row r="158" spans="1:20" hidden="1">
      <c r="A158" s="107"/>
      <c r="B158" s="528">
        <v>33</v>
      </c>
      <c r="C158" s="6" t="s">
        <v>72</v>
      </c>
      <c r="D158" s="36" t="s">
        <v>107</v>
      </c>
      <c r="F158" s="108">
        <v>790</v>
      </c>
      <c r="O158" s="109"/>
      <c r="P158" s="36">
        <v>3</v>
      </c>
      <c r="R158" s="110">
        <f>SUMIF($H$13:$H$104,$F158,R$13:R$104)+Elec_Rates!R163</f>
        <v>0</v>
      </c>
      <c r="S158" s="111"/>
      <c r="T158" s="110">
        <f>SUMIF($H$13:$H$104,$F158,T$13:T$104)+Elec_Rates!T163</f>
        <v>0</v>
      </c>
    </row>
    <row r="159" spans="1:20" hidden="1">
      <c r="A159" s="107"/>
      <c r="B159" s="528">
        <v>34</v>
      </c>
      <c r="C159" s="6" t="s">
        <v>72</v>
      </c>
      <c r="D159" s="36" t="s">
        <v>108</v>
      </c>
      <c r="F159" s="108">
        <v>791</v>
      </c>
      <c r="O159" s="109"/>
      <c r="P159" s="36">
        <v>3</v>
      </c>
      <c r="R159" s="110">
        <f>SUMIF($H$13:$H$104,$F159,R$13:R$104)+Elec_Rates!R164</f>
        <v>0</v>
      </c>
      <c r="S159" s="111"/>
      <c r="T159" s="110">
        <f>SUMIF($H$13:$H$104,$F159,T$13:T$104)+Elec_Rates!T164</f>
        <v>0</v>
      </c>
    </row>
    <row r="160" spans="1:20" hidden="1">
      <c r="A160" s="107"/>
      <c r="B160" s="528">
        <v>35</v>
      </c>
      <c r="C160" s="6" t="s">
        <v>72</v>
      </c>
      <c r="D160" s="36" t="s">
        <v>109</v>
      </c>
      <c r="F160" s="108">
        <v>810</v>
      </c>
      <c r="O160" s="109"/>
      <c r="P160" s="36">
        <v>3</v>
      </c>
      <c r="R160" s="110">
        <f>SUMIF($H$13:$H$104,$F160,R$13:R$104)+Elec_Rates!R165</f>
        <v>0</v>
      </c>
      <c r="S160" s="111"/>
      <c r="T160" s="110">
        <f>SUMIF($H$13:$H$104,$F160,T$13:T$104)+Elec_Rates!T165</f>
        <v>0</v>
      </c>
    </row>
    <row r="161" spans="1:20" hidden="1">
      <c r="A161" s="107"/>
      <c r="B161" s="528">
        <v>36</v>
      </c>
      <c r="C161" s="6" t="s">
        <v>72</v>
      </c>
      <c r="D161" s="36" t="s">
        <v>110</v>
      </c>
      <c r="F161" s="108">
        <v>815</v>
      </c>
      <c r="O161" s="109"/>
      <c r="P161" s="36">
        <v>3</v>
      </c>
      <c r="R161" s="110">
        <f>SUMIF($H$13:$H$104,$F161,R$13:R$104)+Elec_Rates!R166</f>
        <v>0</v>
      </c>
      <c r="S161" s="111"/>
      <c r="T161" s="110">
        <f>SUMIF($H$13:$H$104,$F161,T$13:T$104)+Elec_Rates!T166</f>
        <v>0</v>
      </c>
    </row>
    <row r="162" spans="1:20" hidden="1">
      <c r="A162" s="107"/>
      <c r="B162" s="528">
        <v>37</v>
      </c>
      <c r="C162" s="6" t="s">
        <v>72</v>
      </c>
      <c r="D162" s="36" t="s">
        <v>111</v>
      </c>
      <c r="F162" s="108">
        <v>820</v>
      </c>
      <c r="O162" s="109"/>
      <c r="P162" s="36">
        <v>2</v>
      </c>
      <c r="R162" s="110">
        <f>SUMIF($H$13:$H$104,$F162,R$13:R$104)+Elec_Rates!R167</f>
        <v>0</v>
      </c>
      <c r="S162" s="111"/>
      <c r="T162" s="110">
        <f>SUMIF($H$13:$H$104,$F162,T$13:T$104)+Elec_Rates!T167</f>
        <v>0</v>
      </c>
    </row>
    <row r="163" spans="1:20" hidden="1">
      <c r="A163" s="107"/>
      <c r="B163" s="528">
        <v>38</v>
      </c>
      <c r="C163" s="6" t="s">
        <v>72</v>
      </c>
      <c r="D163" s="36" t="s">
        <v>112</v>
      </c>
      <c r="F163" s="108">
        <v>821</v>
      </c>
      <c r="O163" s="109"/>
      <c r="P163" s="36">
        <v>3</v>
      </c>
      <c r="R163" s="110">
        <f>SUMIF($H$13:$H$104,$F163,R$13:R$104)+Elec_Rates!R168</f>
        <v>0</v>
      </c>
      <c r="S163" s="111"/>
      <c r="T163" s="110">
        <f>SUMIF($H$13:$H$104,$F163,T$13:T$104)+Elec_Rates!T168</f>
        <v>0</v>
      </c>
    </row>
    <row r="164" spans="1:20" hidden="1">
      <c r="A164" s="107"/>
      <c r="B164" s="528">
        <v>39</v>
      </c>
      <c r="C164" s="6" t="s">
        <v>72</v>
      </c>
      <c r="D164" s="36" t="s">
        <v>113</v>
      </c>
      <c r="F164" s="108">
        <v>835</v>
      </c>
      <c r="O164" s="109"/>
      <c r="P164" s="36">
        <v>3</v>
      </c>
      <c r="R164" s="110">
        <f>SUMIF($H$13:$H$104,$F164,R$13:R$104)+Elec_Rates!R169</f>
        <v>0</v>
      </c>
      <c r="S164" s="111"/>
      <c r="T164" s="110">
        <f>SUMIF($H$13:$H$104,$F164,T$13:T$104)+Elec_Rates!T169</f>
        <v>0</v>
      </c>
    </row>
    <row r="165" spans="1:20" hidden="1">
      <c r="A165" s="107"/>
      <c r="B165" s="528">
        <v>40</v>
      </c>
      <c r="C165" s="6" t="s">
        <v>72</v>
      </c>
      <c r="D165" s="36" t="s">
        <v>114</v>
      </c>
      <c r="F165" s="108">
        <v>845</v>
      </c>
      <c r="O165" s="109"/>
      <c r="P165" s="36">
        <v>2</v>
      </c>
      <c r="R165" s="110">
        <f>SUMIF($H$13:$H$104,$F165,R$13:R$104)+Elec_Rates!R170</f>
        <v>0</v>
      </c>
      <c r="S165" s="111"/>
      <c r="T165" s="110">
        <f>SUMIF($H$13:$H$104,$F165,T$13:T$104)+Elec_Rates!T170</f>
        <v>0</v>
      </c>
    </row>
    <row r="166" spans="1:20" hidden="1">
      <c r="A166" s="107"/>
      <c r="B166" s="528">
        <v>41</v>
      </c>
      <c r="C166" s="6" t="s">
        <v>72</v>
      </c>
      <c r="D166" s="36" t="s">
        <v>116</v>
      </c>
      <c r="F166" s="108">
        <v>855</v>
      </c>
      <c r="O166" s="109"/>
      <c r="P166" s="36">
        <v>3</v>
      </c>
      <c r="R166" s="110">
        <f>SUMIF($H$13:$H$104,$F166,R$13:R$104)+Elec_Rates!R171</f>
        <v>0</v>
      </c>
      <c r="S166" s="111"/>
      <c r="T166" s="110">
        <f>SUMIF($H$13:$H$104,$F166,T$13:T$104)+Elec_Rates!T171</f>
        <v>0</v>
      </c>
    </row>
    <row r="167" spans="1:20" hidden="1">
      <c r="A167" s="107"/>
      <c r="B167" s="528">
        <v>42</v>
      </c>
      <c r="C167" s="6" t="s">
        <v>72</v>
      </c>
      <c r="D167" s="36" t="s">
        <v>117</v>
      </c>
      <c r="F167" s="108">
        <v>856</v>
      </c>
      <c r="O167" s="109"/>
      <c r="P167" s="36">
        <v>3</v>
      </c>
      <c r="R167" s="110">
        <f>SUMIF($H$13:$H$104,$F167,R$13:R$104)+Elec_Rates!R172</f>
        <v>0</v>
      </c>
      <c r="S167" s="111"/>
      <c r="T167" s="110">
        <f>SUMIF($H$13:$H$104,$F167,T$13:T$104)+Elec_Rates!T172</f>
        <v>0</v>
      </c>
    </row>
    <row r="168" spans="1:20" hidden="1">
      <c r="A168" s="107"/>
      <c r="B168" s="528">
        <v>43</v>
      </c>
      <c r="C168" s="6" t="s">
        <v>72</v>
      </c>
      <c r="D168" s="36" t="s">
        <v>250</v>
      </c>
      <c r="F168" s="108">
        <v>857</v>
      </c>
      <c r="O168" s="109"/>
      <c r="P168" s="36">
        <v>3</v>
      </c>
      <c r="R168" s="110">
        <f>SUMIF($H$13:$H$104,$F168,R$13:R$104)+Elec_Rates!R173</f>
        <v>0</v>
      </c>
      <c r="S168" s="111"/>
      <c r="T168" s="110">
        <f>SUMIF($H$13:$H$104,$F168,T$13:T$104)+Elec_Rates!T173</f>
        <v>0</v>
      </c>
    </row>
    <row r="169" spans="1:20" hidden="1">
      <c r="A169" s="107"/>
      <c r="B169" s="528">
        <v>44</v>
      </c>
      <c r="C169" s="6" t="s">
        <v>72</v>
      </c>
      <c r="D169" s="36" t="s">
        <v>118</v>
      </c>
      <c r="F169" s="108">
        <v>858</v>
      </c>
      <c r="O169" s="109"/>
      <c r="P169" s="36">
        <v>3</v>
      </c>
      <c r="R169" s="110">
        <f>SUMIF($H$13:$H$104,$F169,R$13:R$104)+Elec_Rates!R174</f>
        <v>0</v>
      </c>
      <c r="S169" s="111"/>
      <c r="T169" s="110">
        <f>SUMIF($H$13:$H$104,$F169,T$13:T$104)+Elec_Rates!T174</f>
        <v>0</v>
      </c>
    </row>
    <row r="170" spans="1:20" hidden="1">
      <c r="A170" s="107"/>
      <c r="B170" s="528">
        <v>45</v>
      </c>
      <c r="C170" s="6" t="s">
        <v>72</v>
      </c>
      <c r="D170" s="36" t="s">
        <v>119</v>
      </c>
      <c r="F170" s="108">
        <v>865</v>
      </c>
      <c r="O170" s="109"/>
      <c r="P170" s="36">
        <v>3</v>
      </c>
      <c r="R170" s="110">
        <f>SUMIF($H$13:$H$104,$F170,R$13:R$104)+Elec_Rates!R175</f>
        <v>0</v>
      </c>
      <c r="S170" s="111"/>
      <c r="T170" s="110">
        <f>SUMIF($H$13:$H$104,$F170,T$13:T$104)+Elec_Rates!T175</f>
        <v>0</v>
      </c>
    </row>
    <row r="171" spans="1:20" hidden="1">
      <c r="A171" s="107"/>
      <c r="B171" s="528">
        <v>46</v>
      </c>
      <c r="C171" s="6" t="s">
        <v>72</v>
      </c>
      <c r="D171" s="36" t="s">
        <v>120</v>
      </c>
      <c r="F171" s="108">
        <v>870</v>
      </c>
      <c r="O171" s="109"/>
      <c r="P171" s="36">
        <v>4</v>
      </c>
      <c r="R171" s="110">
        <f>SUMIF($H$13:$H$104,$F171,R$13:R$104)+Elec_Rates!R176</f>
        <v>0</v>
      </c>
      <c r="S171" s="111"/>
      <c r="T171" s="110">
        <f>SUMIF($H$13:$H$104,$F171,T$13:T$104)+Elec_Rates!T176</f>
        <v>0</v>
      </c>
    </row>
    <row r="172" spans="1:20">
      <c r="A172" s="107"/>
      <c r="B172" s="528">
        <v>47</v>
      </c>
      <c r="C172" s="6" t="s">
        <v>72</v>
      </c>
      <c r="D172" s="36" t="s">
        <v>121</v>
      </c>
      <c r="F172" s="108">
        <v>875</v>
      </c>
      <c r="O172" s="109"/>
      <c r="P172" s="36">
        <v>1</v>
      </c>
      <c r="R172" s="110">
        <f>SUMIF($H$13:$H$104,$F172,R$13:R$104)+Elec_Rates!R177</f>
        <v>0</v>
      </c>
      <c r="S172" s="111"/>
      <c r="T172" s="110">
        <f>SUMIF($H$13:$H$104,$F172,T$13:T$104)+Elec_Rates!T177</f>
        <v>0</v>
      </c>
    </row>
    <row r="173" spans="1:20" hidden="1">
      <c r="A173" s="107"/>
      <c r="B173" s="528">
        <v>48</v>
      </c>
      <c r="C173" s="6" t="s">
        <v>72</v>
      </c>
      <c r="D173" s="36" t="s">
        <v>122</v>
      </c>
      <c r="F173" s="108">
        <v>880</v>
      </c>
      <c r="O173" s="109"/>
      <c r="P173" s="36">
        <v>3</v>
      </c>
      <c r="R173" s="110">
        <f>SUMIF($H$13:$H$104,$F173,R$13:R$104)+Elec_Rates!R178</f>
        <v>0</v>
      </c>
      <c r="S173" s="111"/>
      <c r="T173" s="110">
        <f>SUMIF($H$13:$H$104,$F173,T$13:T$104)+Elec_Rates!T178</f>
        <v>0</v>
      </c>
    </row>
    <row r="174" spans="1:20" hidden="1">
      <c r="A174" s="107"/>
      <c r="B174" s="528">
        <v>49</v>
      </c>
      <c r="C174" s="6" t="s">
        <v>72</v>
      </c>
      <c r="D174" s="36" t="s">
        <v>123</v>
      </c>
      <c r="F174" s="108">
        <v>885</v>
      </c>
      <c r="O174" s="109"/>
      <c r="P174" s="36">
        <v>4</v>
      </c>
      <c r="R174" s="110">
        <f>SUMIF($H$13:$H$104,$F174,R$13:R$104)+Elec_Rates!R179</f>
        <v>0</v>
      </c>
      <c r="S174" s="111"/>
      <c r="T174" s="110">
        <f>SUMIF($H$13:$H$104,$F174,T$13:T$104)+Elec_Rates!T179</f>
        <v>0</v>
      </c>
    </row>
    <row r="175" spans="1:20">
      <c r="A175" s="107"/>
      <c r="B175" s="528">
        <v>50</v>
      </c>
      <c r="C175" s="6" t="s">
        <v>72</v>
      </c>
      <c r="D175" s="36" t="s">
        <v>67</v>
      </c>
      <c r="F175" s="108">
        <v>900</v>
      </c>
      <c r="O175" s="109"/>
      <c r="P175" s="36">
        <v>3</v>
      </c>
      <c r="R175" s="110">
        <f>SUMIF($H$13:$H$104,$F175,R$13:R$104)+Elec_Rates!R180</f>
        <v>0</v>
      </c>
      <c r="S175" s="111"/>
      <c r="T175" s="110">
        <f>SUMIF($H$13:$H$104,$F175,T$13:T$104)+Elec_Rates!T180</f>
        <v>15</v>
      </c>
    </row>
    <row r="176" spans="1:20" hidden="1">
      <c r="A176" s="107"/>
      <c r="B176" s="528">
        <v>51</v>
      </c>
      <c r="C176" s="6" t="s">
        <v>72</v>
      </c>
      <c r="D176" s="36" t="s">
        <v>125</v>
      </c>
      <c r="F176" s="108">
        <v>901</v>
      </c>
      <c r="O176" s="109"/>
      <c r="P176" s="36">
        <v>1</v>
      </c>
      <c r="R176" s="110">
        <f>SUMIF($H$13:$H$104,$F176,R$13:R$104)+Elec_Rates!R181</f>
        <v>0</v>
      </c>
      <c r="S176" s="111"/>
      <c r="T176" s="110">
        <f>SUMIF($H$13:$H$104,$F176,T$13:T$104)+Elec_Rates!T181</f>
        <v>0</v>
      </c>
    </row>
    <row r="177" spans="1:37" hidden="1">
      <c r="A177" s="107"/>
      <c r="B177" s="528">
        <v>52</v>
      </c>
      <c r="C177" s="6" t="s">
        <v>72</v>
      </c>
      <c r="D177" s="36" t="s">
        <v>126</v>
      </c>
      <c r="F177" s="108">
        <v>902</v>
      </c>
      <c r="O177" s="109"/>
      <c r="P177" s="36">
        <v>3</v>
      </c>
      <c r="R177" s="110">
        <f>SUMIF($H$13:$H$104,$F177,R$13:R$104)+Elec_Rates!R182</f>
        <v>0</v>
      </c>
      <c r="S177" s="111"/>
      <c r="T177" s="110">
        <f>SUMIF($H$13:$H$104,$F177,T$13:T$104)+Elec_Rates!T182</f>
        <v>0</v>
      </c>
    </row>
    <row r="178" spans="1:37">
      <c r="A178" s="107"/>
      <c r="B178" s="528">
        <v>53</v>
      </c>
      <c r="C178" s="6" t="s">
        <v>72</v>
      </c>
      <c r="D178" s="112" t="s">
        <v>127</v>
      </c>
      <c r="F178" s="108">
        <v>960</v>
      </c>
      <c r="O178" s="109"/>
      <c r="P178" s="36">
        <v>4</v>
      </c>
      <c r="R178" s="110">
        <f ca="1">SUMIF($H$13:$H$104,$F178,R$13:R$104)+Elec_Rates!R183</f>
        <v>100</v>
      </c>
      <c r="S178" s="111"/>
      <c r="T178" s="110">
        <f ca="1">SUMIF($H$13:$H$104,$F178,T$13:T$104)+Elec_Rates!T183</f>
        <v>0</v>
      </c>
    </row>
    <row r="179" spans="1:37" hidden="1">
      <c r="A179" s="107"/>
      <c r="B179" s="528">
        <v>54</v>
      </c>
      <c r="C179" s="6" t="s">
        <v>72</v>
      </c>
      <c r="D179" s="112" t="s">
        <v>128</v>
      </c>
      <c r="F179" s="108">
        <v>961</v>
      </c>
      <c r="O179" s="109"/>
      <c r="P179" s="36">
        <v>3</v>
      </c>
      <c r="R179" s="110">
        <f>SUMIF($H$13:$H$104,$F179,R$13:R$104)+Elec_Rates!R184</f>
        <v>0</v>
      </c>
      <c r="S179" s="111"/>
      <c r="T179" s="110">
        <f>SUMIF($H$13:$H$104,$F179,T$13:T$104)+Elec_Rates!T184</f>
        <v>0</v>
      </c>
    </row>
    <row r="180" spans="1:37" hidden="1">
      <c r="A180" s="107"/>
      <c r="B180" s="528">
        <v>55</v>
      </c>
      <c r="C180" s="6" t="s">
        <v>72</v>
      </c>
      <c r="D180" s="112" t="s">
        <v>129</v>
      </c>
      <c r="F180" s="108">
        <v>962</v>
      </c>
      <c r="O180" s="109"/>
      <c r="P180" s="36">
        <v>1</v>
      </c>
      <c r="R180" s="110">
        <f>SUMIF($H$13:$H$104,$F180,R$13:R$104)+Elec_Rates!R185</f>
        <v>0</v>
      </c>
      <c r="S180" s="111"/>
      <c r="T180" s="110">
        <f>SUMIF($H$13:$H$104,$F180,T$13:T$104)+Elec_Rates!T185</f>
        <v>0</v>
      </c>
    </row>
    <row r="181" spans="1:37" hidden="1">
      <c r="A181" s="107"/>
      <c r="B181" s="528">
        <v>56</v>
      </c>
      <c r="C181" s="6" t="s">
        <v>72</v>
      </c>
      <c r="D181" s="112" t="s">
        <v>130</v>
      </c>
      <c r="F181" s="108">
        <v>970</v>
      </c>
      <c r="O181" s="109"/>
      <c r="P181" s="36">
        <v>4</v>
      </c>
      <c r="R181" s="110">
        <f>SUMIF($H$13:$H$104,$F181,R$13:R$104)+Elec_Rates!R186</f>
        <v>0</v>
      </c>
      <c r="S181" s="111"/>
      <c r="T181" s="110">
        <f>SUMIF($H$13:$H$104,$F181,T$13:T$104)+Elec_Rates!T186</f>
        <v>0</v>
      </c>
    </row>
    <row r="182" spans="1:37" ht="14.4" thickBot="1">
      <c r="A182" s="113"/>
      <c r="B182" s="114"/>
      <c r="C182" s="115"/>
      <c r="D182" s="116"/>
      <c r="E182" s="117"/>
      <c r="F182" s="118"/>
      <c r="G182" s="117"/>
      <c r="H182" s="117"/>
      <c r="I182" s="117"/>
      <c r="J182" s="117"/>
      <c r="K182" s="117"/>
      <c r="L182" s="117"/>
      <c r="M182" s="117"/>
      <c r="N182" s="117"/>
      <c r="O182" s="119"/>
      <c r="P182" s="117"/>
      <c r="Q182" s="117"/>
      <c r="R182" s="120"/>
      <c r="S182" s="121"/>
      <c r="T182" s="120"/>
      <c r="U182" s="117"/>
      <c r="V182" s="456"/>
      <c r="W182" s="456"/>
      <c r="X182" s="456"/>
      <c r="Y182" s="456"/>
      <c r="Z182" s="456"/>
      <c r="AA182" s="456"/>
      <c r="AB182" s="456"/>
      <c r="AC182" s="117"/>
      <c r="AD182" s="117"/>
      <c r="AE182" s="117"/>
      <c r="AF182" s="117"/>
      <c r="AG182" s="117"/>
      <c r="AH182" s="117"/>
      <c r="AI182" s="117"/>
      <c r="AJ182" s="117"/>
      <c r="AK182" s="117"/>
    </row>
    <row r="183" spans="1:37" ht="14.4" thickTop="1">
      <c r="A183" s="107"/>
      <c r="B183" s="122"/>
      <c r="C183" s="6" t="s">
        <v>72</v>
      </c>
      <c r="D183" s="123"/>
      <c r="F183" s="124" t="s">
        <v>157</v>
      </c>
      <c r="G183" s="125"/>
      <c r="H183" s="36">
        <v>1</v>
      </c>
      <c r="O183" s="109"/>
      <c r="R183" s="110">
        <f ca="1">SUMIF($P126:$P181,1,R126:R181)</f>
        <v>3825.4553500000011</v>
      </c>
      <c r="T183" s="110">
        <f ca="1">SUMIF($P126:$P181,1,T126:T181)</f>
        <v>43.125</v>
      </c>
    </row>
    <row r="184" spans="1:37">
      <c r="A184" s="107"/>
      <c r="B184" s="122"/>
      <c r="C184" s="6" t="s">
        <v>72</v>
      </c>
      <c r="D184" s="123"/>
      <c r="F184" s="124" t="s">
        <v>158</v>
      </c>
      <c r="G184" s="125"/>
      <c r="H184" s="36">
        <v>2</v>
      </c>
      <c r="O184" s="109"/>
      <c r="R184" s="110">
        <f>SUMIF($P126:$P181,2,R126:R181)</f>
        <v>3288</v>
      </c>
      <c r="T184" s="110">
        <f>SUMIF($P126:$P181,2,T126:T181)</f>
        <v>42.876911871813547</v>
      </c>
    </row>
    <row r="185" spans="1:37">
      <c r="A185" s="107"/>
      <c r="B185" s="122"/>
      <c r="C185" s="6" t="s">
        <v>72</v>
      </c>
      <c r="D185" s="123"/>
      <c r="F185" s="124" t="s">
        <v>159</v>
      </c>
      <c r="G185" s="125"/>
      <c r="H185" s="36">
        <v>2</v>
      </c>
      <c r="O185" s="109"/>
      <c r="R185" s="110">
        <f>SUMIF($P126:$P181,3,R126:R181)</f>
        <v>0</v>
      </c>
      <c r="T185" s="110">
        <f>SUMIF($P126:$P181,3,T126:T181)</f>
        <v>15</v>
      </c>
    </row>
    <row r="186" spans="1:37">
      <c r="A186" s="107"/>
      <c r="B186" s="122"/>
      <c r="C186" s="6" t="s">
        <v>72</v>
      </c>
      <c r="D186" s="123"/>
      <c r="F186" s="124" t="s">
        <v>160</v>
      </c>
      <c r="G186" s="125"/>
      <c r="H186" s="36">
        <v>3</v>
      </c>
      <c r="O186" s="109"/>
      <c r="R186" s="110">
        <f ca="1">SUMIF($P126:$P181,4,R126:R181)</f>
        <v>100</v>
      </c>
      <c r="T186" s="110">
        <f ca="1">SUMIF($P126:$P181,4,T126:T181)</f>
        <v>0</v>
      </c>
    </row>
    <row r="187" spans="1:37" ht="14.4" thickBot="1">
      <c r="A187" s="113"/>
      <c r="B187" s="126"/>
      <c r="C187" s="115" t="s">
        <v>72</v>
      </c>
      <c r="D187" s="127"/>
      <c r="E187" s="117"/>
      <c r="F187" s="128" t="s">
        <v>161</v>
      </c>
      <c r="G187" s="129"/>
      <c r="H187" s="130"/>
      <c r="I187" s="130"/>
      <c r="J187" s="130"/>
      <c r="K187" s="130"/>
      <c r="L187" s="130"/>
      <c r="M187" s="130"/>
      <c r="N187" s="130"/>
      <c r="O187" s="131"/>
      <c r="P187" s="130"/>
      <c r="Q187" s="130"/>
      <c r="R187" s="132">
        <f ca="1">SUM(R183:R186)</f>
        <v>7213.4553500000011</v>
      </c>
      <c r="S187" s="133"/>
      <c r="T187" s="132">
        <f ca="1">SUM(T183:T186)</f>
        <v>101.00191187181355</v>
      </c>
      <c r="U187" s="117"/>
      <c r="V187" s="456"/>
      <c r="W187" s="456"/>
      <c r="X187" s="456"/>
      <c r="Y187" s="456"/>
      <c r="Z187" s="456"/>
      <c r="AA187" s="456"/>
      <c r="AB187" s="456"/>
      <c r="AC187" s="117"/>
      <c r="AD187" s="117"/>
      <c r="AE187" s="117"/>
      <c r="AF187" s="117"/>
      <c r="AG187" s="117"/>
      <c r="AH187" s="117"/>
      <c r="AI187" s="117"/>
      <c r="AJ187" s="117"/>
      <c r="AK187" s="117"/>
    </row>
    <row r="188" spans="1:37" ht="14.4" thickTop="1">
      <c r="A188" s="57"/>
      <c r="B188" s="562" t="s">
        <v>178</v>
      </c>
      <c r="C188" s="123" t="s">
        <v>178</v>
      </c>
      <c r="D188" s="123"/>
      <c r="O188" s="109"/>
    </row>
    <row r="189" spans="1:37">
      <c r="A189" s="563"/>
      <c r="O189" s="109"/>
    </row>
    <row r="190" spans="1:37">
      <c r="A190" s="563"/>
      <c r="B190" s="564">
        <f ca="1">SUMIF($D$13:$D$104,D190,$C$13:$C$104)</f>
        <v>0</v>
      </c>
      <c r="C190" s="112"/>
      <c r="D190" s="565" t="str">
        <f>Elec_Rates!$D$19</f>
        <v>001# 1c x 240sqmm FG160M1 cables</v>
      </c>
      <c r="O190" s="109"/>
      <c r="Q190" s="33"/>
    </row>
    <row r="191" spans="1:37">
      <c r="A191" s="563"/>
      <c r="B191" s="564">
        <f ca="1">SUMIF($D$13:$D$104,D191,$C$13:$C$104)</f>
        <v>30</v>
      </c>
      <c r="C191" s="112"/>
      <c r="D191" s="565" t="str">
        <f>Elec_Rates!$D$26</f>
        <v>002# 200mm galvanised steel cable tray complete with cover</v>
      </c>
      <c r="O191" s="109"/>
    </row>
    <row r="192" spans="1:37">
      <c r="A192" s="563"/>
      <c r="B192" s="564">
        <f ca="1">SUMIF($D$13:$D$104,D192,$C$13:$C$104)</f>
        <v>30</v>
      </c>
      <c r="C192" s="112"/>
      <c r="D192" s="565" t="str">
        <f>Elec_Rates!$D$41</f>
        <v>003# Cable Containment Support</v>
      </c>
      <c r="O192" s="109"/>
    </row>
    <row r="193" spans="1:37">
      <c r="A193" s="563"/>
      <c r="B193" s="564">
        <f ca="1">SUMIF($D$13:$D$104,D193,$C$13:$C$104)</f>
        <v>0</v>
      </c>
      <c r="C193" s="112"/>
      <c r="D193" s="565" t="str">
        <f>Elec_Rates!D110</f>
        <v>004# 300mm Without Matterial galvanised steel cable tray complete with cover</v>
      </c>
      <c r="O193" s="109"/>
    </row>
    <row r="194" spans="1:37" ht="14.4" thickBot="1">
      <c r="A194" s="566"/>
      <c r="B194" s="117"/>
      <c r="C194" s="117"/>
      <c r="D194" s="117"/>
      <c r="E194" s="117"/>
      <c r="F194" s="117"/>
      <c r="G194" s="117"/>
      <c r="H194" s="117"/>
      <c r="I194" s="117"/>
      <c r="J194" s="117"/>
      <c r="K194" s="117"/>
      <c r="L194" s="117"/>
      <c r="M194" s="117"/>
      <c r="N194" s="117"/>
      <c r="O194" s="119"/>
      <c r="P194" s="117"/>
      <c r="Q194" s="117"/>
      <c r="R194" s="117"/>
      <c r="S194" s="117"/>
      <c r="T194" s="117"/>
      <c r="U194" s="117"/>
      <c r="V194" s="456"/>
      <c r="W194" s="456"/>
      <c r="X194" s="456"/>
      <c r="Y194" s="456"/>
      <c r="Z194" s="456"/>
      <c r="AA194" s="456"/>
      <c r="AB194" s="456"/>
      <c r="AC194" s="117"/>
      <c r="AD194" s="117"/>
      <c r="AE194" s="117"/>
      <c r="AF194" s="117"/>
      <c r="AG194" s="117"/>
      <c r="AH194" s="117"/>
      <c r="AI194" s="117"/>
      <c r="AJ194" s="117"/>
      <c r="AK194" s="117"/>
    </row>
    <row r="195" spans="1:37" ht="14.4" thickTop="1">
      <c r="A195" s="355" t="s">
        <v>144</v>
      </c>
      <c r="B195" s="4"/>
      <c r="C195" s="4"/>
      <c r="D195" s="4"/>
      <c r="E195" s="4"/>
      <c r="F195" s="2"/>
      <c r="G195" s="33"/>
      <c r="H195" s="33"/>
      <c r="I195" s="33"/>
      <c r="J195" s="33"/>
      <c r="K195" s="33"/>
      <c r="L195" s="4"/>
      <c r="M195" s="4"/>
      <c r="N195" s="4"/>
      <c r="O195" s="4"/>
      <c r="P195" s="4"/>
      <c r="Q195" s="52"/>
      <c r="R195" s="33"/>
      <c r="S195" s="33"/>
      <c r="T195" s="33"/>
    </row>
  </sheetData>
  <sheetProtection formatCells="0" formatColumns="0" formatRows="0" insertColumns="0" insertRows="0" insertHyperlinks="0" deleteColumns="0" deleteRows="0" sort="0" autoFilter="0" pivotTables="0"/>
  <mergeCells count="6">
    <mergeCell ref="D20:T20"/>
    <mergeCell ref="D29:T29"/>
    <mergeCell ref="D39:T39"/>
    <mergeCell ref="D61:T61"/>
    <mergeCell ref="D67:T67"/>
    <mergeCell ref="D51:T51"/>
  </mergeCells>
  <phoneticPr fontId="37" type="noConversion"/>
  <printOptions gridLines="1"/>
  <pageMargins left="0.31496062992125984" right="0.17" top="0.43307086614173229" bottom="0.59055118110236227" header="0.23622047244094491" footer="0.23622047244094491"/>
  <pageSetup paperSize="9" orientation="portrait" r:id="rId1"/>
  <headerFooter alignWithMargins="0">
    <oddHeader>&amp;A</oddHeader>
    <oddFooter>Page &amp;P</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F8C1B-5FE8-430D-8541-DCAC18DB010C}">
  <sheetPr>
    <tabColor indexed="41"/>
  </sheetPr>
  <dimension ref="A1:T50"/>
  <sheetViews>
    <sheetView zoomScaleNormal="100" workbookViewId="0">
      <selection activeCell="I13" sqref="I13"/>
    </sheetView>
  </sheetViews>
  <sheetFormatPr defaultRowHeight="13.2"/>
  <cols>
    <col min="1" max="1" width="11" style="764" customWidth="1"/>
    <col min="2" max="2" width="47.44140625" style="765" customWidth="1"/>
    <col min="3" max="3" width="9.44140625" style="766" customWidth="1"/>
    <col min="4" max="4" width="6.44140625" style="766" customWidth="1"/>
    <col min="5" max="5" width="9.6640625" style="767" customWidth="1"/>
    <col min="6" max="6" width="9.88671875" style="768" customWidth="1"/>
    <col min="7" max="16" width="8.88671875" style="731" customWidth="1"/>
    <col min="17" max="256" width="8.88671875" style="731"/>
    <col min="257" max="257" width="11" style="731" customWidth="1"/>
    <col min="258" max="258" width="47.44140625" style="731" customWidth="1"/>
    <col min="259" max="259" width="9.44140625" style="731" customWidth="1"/>
    <col min="260" max="260" width="6.44140625" style="731" customWidth="1"/>
    <col min="261" max="261" width="9.6640625" style="731" customWidth="1"/>
    <col min="262" max="262" width="9.88671875" style="731" customWidth="1"/>
    <col min="263" max="272" width="0" style="731" hidden="1" customWidth="1"/>
    <col min="273" max="512" width="8.88671875" style="731"/>
    <col min="513" max="513" width="11" style="731" customWidth="1"/>
    <col min="514" max="514" width="47.44140625" style="731" customWidth="1"/>
    <col min="515" max="515" width="9.44140625" style="731" customWidth="1"/>
    <col min="516" max="516" width="6.44140625" style="731" customWidth="1"/>
    <col min="517" max="517" width="9.6640625" style="731" customWidth="1"/>
    <col min="518" max="518" width="9.88671875" style="731" customWidth="1"/>
    <col min="519" max="528" width="0" style="731" hidden="1" customWidth="1"/>
    <col min="529" max="768" width="8.88671875" style="731"/>
    <col min="769" max="769" width="11" style="731" customWidth="1"/>
    <col min="770" max="770" width="47.44140625" style="731" customWidth="1"/>
    <col min="771" max="771" width="9.44140625" style="731" customWidth="1"/>
    <col min="772" max="772" width="6.44140625" style="731" customWidth="1"/>
    <col min="773" max="773" width="9.6640625" style="731" customWidth="1"/>
    <col min="774" max="774" width="9.88671875" style="731" customWidth="1"/>
    <col min="775" max="784" width="0" style="731" hidden="1" customWidth="1"/>
    <col min="785" max="1024" width="8.88671875" style="731"/>
    <col min="1025" max="1025" width="11" style="731" customWidth="1"/>
    <col min="1026" max="1026" width="47.44140625" style="731" customWidth="1"/>
    <col min="1027" max="1027" width="9.44140625" style="731" customWidth="1"/>
    <col min="1028" max="1028" width="6.44140625" style="731" customWidth="1"/>
    <col min="1029" max="1029" width="9.6640625" style="731" customWidth="1"/>
    <col min="1030" max="1030" width="9.88671875" style="731" customWidth="1"/>
    <col min="1031" max="1040" width="0" style="731" hidden="1" customWidth="1"/>
    <col min="1041" max="1280" width="8.88671875" style="731"/>
    <col min="1281" max="1281" width="11" style="731" customWidth="1"/>
    <col min="1282" max="1282" width="47.44140625" style="731" customWidth="1"/>
    <col min="1283" max="1283" width="9.44140625" style="731" customWidth="1"/>
    <col min="1284" max="1284" width="6.44140625" style="731" customWidth="1"/>
    <col min="1285" max="1285" width="9.6640625" style="731" customWidth="1"/>
    <col min="1286" max="1286" width="9.88671875" style="731" customWidth="1"/>
    <col min="1287" max="1296" width="0" style="731" hidden="1" customWidth="1"/>
    <col min="1297" max="1536" width="8.88671875" style="731"/>
    <col min="1537" max="1537" width="11" style="731" customWidth="1"/>
    <col min="1538" max="1538" width="47.44140625" style="731" customWidth="1"/>
    <col min="1539" max="1539" width="9.44140625" style="731" customWidth="1"/>
    <col min="1540" max="1540" width="6.44140625" style="731" customWidth="1"/>
    <col min="1541" max="1541" width="9.6640625" style="731" customWidth="1"/>
    <col min="1542" max="1542" width="9.88671875" style="731" customWidth="1"/>
    <col min="1543" max="1552" width="0" style="731" hidden="1" customWidth="1"/>
    <col min="1553" max="1792" width="8.88671875" style="731"/>
    <col min="1793" max="1793" width="11" style="731" customWidth="1"/>
    <col min="1794" max="1794" width="47.44140625" style="731" customWidth="1"/>
    <col min="1795" max="1795" width="9.44140625" style="731" customWidth="1"/>
    <col min="1796" max="1796" width="6.44140625" style="731" customWidth="1"/>
    <col min="1797" max="1797" width="9.6640625" style="731" customWidth="1"/>
    <col min="1798" max="1798" width="9.88671875" style="731" customWidth="1"/>
    <col min="1799" max="1808" width="0" style="731" hidden="1" customWidth="1"/>
    <col min="1809" max="2048" width="8.88671875" style="731"/>
    <col min="2049" max="2049" width="11" style="731" customWidth="1"/>
    <col min="2050" max="2050" width="47.44140625" style="731" customWidth="1"/>
    <col min="2051" max="2051" width="9.44140625" style="731" customWidth="1"/>
    <col min="2052" max="2052" width="6.44140625" style="731" customWidth="1"/>
    <col min="2053" max="2053" width="9.6640625" style="731" customWidth="1"/>
    <col min="2054" max="2054" width="9.88671875" style="731" customWidth="1"/>
    <col min="2055" max="2064" width="0" style="731" hidden="1" customWidth="1"/>
    <col min="2065" max="2304" width="8.88671875" style="731"/>
    <col min="2305" max="2305" width="11" style="731" customWidth="1"/>
    <col min="2306" max="2306" width="47.44140625" style="731" customWidth="1"/>
    <col min="2307" max="2307" width="9.44140625" style="731" customWidth="1"/>
    <col min="2308" max="2308" width="6.44140625" style="731" customWidth="1"/>
    <col min="2309" max="2309" width="9.6640625" style="731" customWidth="1"/>
    <col min="2310" max="2310" width="9.88671875" style="731" customWidth="1"/>
    <col min="2311" max="2320" width="0" style="731" hidden="1" customWidth="1"/>
    <col min="2321" max="2560" width="8.88671875" style="731"/>
    <col min="2561" max="2561" width="11" style="731" customWidth="1"/>
    <col min="2562" max="2562" width="47.44140625" style="731" customWidth="1"/>
    <col min="2563" max="2563" width="9.44140625" style="731" customWidth="1"/>
    <col min="2564" max="2564" width="6.44140625" style="731" customWidth="1"/>
    <col min="2565" max="2565" width="9.6640625" style="731" customWidth="1"/>
    <col min="2566" max="2566" width="9.88671875" style="731" customWidth="1"/>
    <col min="2567" max="2576" width="0" style="731" hidden="1" customWidth="1"/>
    <col min="2577" max="2816" width="8.88671875" style="731"/>
    <col min="2817" max="2817" width="11" style="731" customWidth="1"/>
    <col min="2818" max="2818" width="47.44140625" style="731" customWidth="1"/>
    <col min="2819" max="2819" width="9.44140625" style="731" customWidth="1"/>
    <col min="2820" max="2820" width="6.44140625" style="731" customWidth="1"/>
    <col min="2821" max="2821" width="9.6640625" style="731" customWidth="1"/>
    <col min="2822" max="2822" width="9.88671875" style="731" customWidth="1"/>
    <col min="2823" max="2832" width="0" style="731" hidden="1" customWidth="1"/>
    <col min="2833" max="3072" width="8.88671875" style="731"/>
    <col min="3073" max="3073" width="11" style="731" customWidth="1"/>
    <col min="3074" max="3074" width="47.44140625" style="731" customWidth="1"/>
    <col min="3075" max="3075" width="9.44140625" style="731" customWidth="1"/>
    <col min="3076" max="3076" width="6.44140625" style="731" customWidth="1"/>
    <col min="3077" max="3077" width="9.6640625" style="731" customWidth="1"/>
    <col min="3078" max="3078" width="9.88671875" style="731" customWidth="1"/>
    <col min="3079" max="3088" width="0" style="731" hidden="1" customWidth="1"/>
    <col min="3089" max="3328" width="8.88671875" style="731"/>
    <col min="3329" max="3329" width="11" style="731" customWidth="1"/>
    <col min="3330" max="3330" width="47.44140625" style="731" customWidth="1"/>
    <col min="3331" max="3331" width="9.44140625" style="731" customWidth="1"/>
    <col min="3332" max="3332" width="6.44140625" style="731" customWidth="1"/>
    <col min="3333" max="3333" width="9.6640625" style="731" customWidth="1"/>
    <col min="3334" max="3334" width="9.88671875" style="731" customWidth="1"/>
    <col min="3335" max="3344" width="0" style="731" hidden="1" customWidth="1"/>
    <col min="3345" max="3584" width="8.88671875" style="731"/>
    <col min="3585" max="3585" width="11" style="731" customWidth="1"/>
    <col min="3586" max="3586" width="47.44140625" style="731" customWidth="1"/>
    <col min="3587" max="3587" width="9.44140625" style="731" customWidth="1"/>
    <col min="3588" max="3588" width="6.44140625" style="731" customWidth="1"/>
    <col min="3589" max="3589" width="9.6640625" style="731" customWidth="1"/>
    <col min="3590" max="3590" width="9.88671875" style="731" customWidth="1"/>
    <col min="3591" max="3600" width="0" style="731" hidden="1" customWidth="1"/>
    <col min="3601" max="3840" width="8.88671875" style="731"/>
    <col min="3841" max="3841" width="11" style="731" customWidth="1"/>
    <col min="3842" max="3842" width="47.44140625" style="731" customWidth="1"/>
    <col min="3843" max="3843" width="9.44140625" style="731" customWidth="1"/>
    <col min="3844" max="3844" width="6.44140625" style="731" customWidth="1"/>
    <col min="3845" max="3845" width="9.6640625" style="731" customWidth="1"/>
    <col min="3846" max="3846" width="9.88671875" style="731" customWidth="1"/>
    <col min="3847" max="3856" width="0" style="731" hidden="1" customWidth="1"/>
    <col min="3857" max="4096" width="8.88671875" style="731"/>
    <col min="4097" max="4097" width="11" style="731" customWidth="1"/>
    <col min="4098" max="4098" width="47.44140625" style="731" customWidth="1"/>
    <col min="4099" max="4099" width="9.44140625" style="731" customWidth="1"/>
    <col min="4100" max="4100" width="6.44140625" style="731" customWidth="1"/>
    <col min="4101" max="4101" width="9.6640625" style="731" customWidth="1"/>
    <col min="4102" max="4102" width="9.88671875" style="731" customWidth="1"/>
    <col min="4103" max="4112" width="0" style="731" hidden="1" customWidth="1"/>
    <col min="4113" max="4352" width="8.88671875" style="731"/>
    <col min="4353" max="4353" width="11" style="731" customWidth="1"/>
    <col min="4354" max="4354" width="47.44140625" style="731" customWidth="1"/>
    <col min="4355" max="4355" width="9.44140625" style="731" customWidth="1"/>
    <col min="4356" max="4356" width="6.44140625" style="731" customWidth="1"/>
    <col min="4357" max="4357" width="9.6640625" style="731" customWidth="1"/>
    <col min="4358" max="4358" width="9.88671875" style="731" customWidth="1"/>
    <col min="4359" max="4368" width="0" style="731" hidden="1" customWidth="1"/>
    <col min="4369" max="4608" width="8.88671875" style="731"/>
    <col min="4609" max="4609" width="11" style="731" customWidth="1"/>
    <col min="4610" max="4610" width="47.44140625" style="731" customWidth="1"/>
    <col min="4611" max="4611" width="9.44140625" style="731" customWidth="1"/>
    <col min="4612" max="4612" width="6.44140625" style="731" customWidth="1"/>
    <col min="4613" max="4613" width="9.6640625" style="731" customWidth="1"/>
    <col min="4614" max="4614" width="9.88671875" style="731" customWidth="1"/>
    <col min="4615" max="4624" width="0" style="731" hidden="1" customWidth="1"/>
    <col min="4625" max="4864" width="8.88671875" style="731"/>
    <col min="4865" max="4865" width="11" style="731" customWidth="1"/>
    <col min="4866" max="4866" width="47.44140625" style="731" customWidth="1"/>
    <col min="4867" max="4867" width="9.44140625" style="731" customWidth="1"/>
    <col min="4868" max="4868" width="6.44140625" style="731" customWidth="1"/>
    <col min="4869" max="4869" width="9.6640625" style="731" customWidth="1"/>
    <col min="4870" max="4870" width="9.88671875" style="731" customWidth="1"/>
    <col min="4871" max="4880" width="0" style="731" hidden="1" customWidth="1"/>
    <col min="4881" max="5120" width="8.88671875" style="731"/>
    <col min="5121" max="5121" width="11" style="731" customWidth="1"/>
    <col min="5122" max="5122" width="47.44140625" style="731" customWidth="1"/>
    <col min="5123" max="5123" width="9.44140625" style="731" customWidth="1"/>
    <col min="5124" max="5124" width="6.44140625" style="731" customWidth="1"/>
    <col min="5125" max="5125" width="9.6640625" style="731" customWidth="1"/>
    <col min="5126" max="5126" width="9.88671875" style="731" customWidth="1"/>
    <col min="5127" max="5136" width="0" style="731" hidden="1" customWidth="1"/>
    <col min="5137" max="5376" width="8.88671875" style="731"/>
    <col min="5377" max="5377" width="11" style="731" customWidth="1"/>
    <col min="5378" max="5378" width="47.44140625" style="731" customWidth="1"/>
    <col min="5379" max="5379" width="9.44140625" style="731" customWidth="1"/>
    <col min="5380" max="5380" width="6.44140625" style="731" customWidth="1"/>
    <col min="5381" max="5381" width="9.6640625" style="731" customWidth="1"/>
    <col min="5382" max="5382" width="9.88671875" style="731" customWidth="1"/>
    <col min="5383" max="5392" width="0" style="731" hidden="1" customWidth="1"/>
    <col min="5393" max="5632" width="8.88671875" style="731"/>
    <col min="5633" max="5633" width="11" style="731" customWidth="1"/>
    <col min="5634" max="5634" width="47.44140625" style="731" customWidth="1"/>
    <col min="5635" max="5635" width="9.44140625" style="731" customWidth="1"/>
    <col min="5636" max="5636" width="6.44140625" style="731" customWidth="1"/>
    <col min="5637" max="5637" width="9.6640625" style="731" customWidth="1"/>
    <col min="5638" max="5638" width="9.88671875" style="731" customWidth="1"/>
    <col min="5639" max="5648" width="0" style="731" hidden="1" customWidth="1"/>
    <col min="5649" max="5888" width="8.88671875" style="731"/>
    <col min="5889" max="5889" width="11" style="731" customWidth="1"/>
    <col min="5890" max="5890" width="47.44140625" style="731" customWidth="1"/>
    <col min="5891" max="5891" width="9.44140625" style="731" customWidth="1"/>
    <col min="5892" max="5892" width="6.44140625" style="731" customWidth="1"/>
    <col min="5893" max="5893" width="9.6640625" style="731" customWidth="1"/>
    <col min="5894" max="5894" width="9.88671875" style="731" customWidth="1"/>
    <col min="5895" max="5904" width="0" style="731" hidden="1" customWidth="1"/>
    <col min="5905" max="6144" width="8.88671875" style="731"/>
    <col min="6145" max="6145" width="11" style="731" customWidth="1"/>
    <col min="6146" max="6146" width="47.44140625" style="731" customWidth="1"/>
    <col min="6147" max="6147" width="9.44140625" style="731" customWidth="1"/>
    <col min="6148" max="6148" width="6.44140625" style="731" customWidth="1"/>
    <col min="6149" max="6149" width="9.6640625" style="731" customWidth="1"/>
    <col min="6150" max="6150" width="9.88671875" style="731" customWidth="1"/>
    <col min="6151" max="6160" width="0" style="731" hidden="1" customWidth="1"/>
    <col min="6161" max="6400" width="8.88671875" style="731"/>
    <col min="6401" max="6401" width="11" style="731" customWidth="1"/>
    <col min="6402" max="6402" width="47.44140625" style="731" customWidth="1"/>
    <col min="6403" max="6403" width="9.44140625" style="731" customWidth="1"/>
    <col min="6404" max="6404" width="6.44140625" style="731" customWidth="1"/>
    <col min="6405" max="6405" width="9.6640625" style="731" customWidth="1"/>
    <col min="6406" max="6406" width="9.88671875" style="731" customWidth="1"/>
    <col min="6407" max="6416" width="0" style="731" hidden="1" customWidth="1"/>
    <col min="6417" max="6656" width="8.88671875" style="731"/>
    <col min="6657" max="6657" width="11" style="731" customWidth="1"/>
    <col min="6658" max="6658" width="47.44140625" style="731" customWidth="1"/>
    <col min="6659" max="6659" width="9.44140625" style="731" customWidth="1"/>
    <col min="6660" max="6660" width="6.44140625" style="731" customWidth="1"/>
    <col min="6661" max="6661" width="9.6640625" style="731" customWidth="1"/>
    <col min="6662" max="6662" width="9.88671875" style="731" customWidth="1"/>
    <col min="6663" max="6672" width="0" style="731" hidden="1" customWidth="1"/>
    <col min="6673" max="6912" width="8.88671875" style="731"/>
    <col min="6913" max="6913" width="11" style="731" customWidth="1"/>
    <col min="6914" max="6914" width="47.44140625" style="731" customWidth="1"/>
    <col min="6915" max="6915" width="9.44140625" style="731" customWidth="1"/>
    <col min="6916" max="6916" width="6.44140625" style="731" customWidth="1"/>
    <col min="6917" max="6917" width="9.6640625" style="731" customWidth="1"/>
    <col min="6918" max="6918" width="9.88671875" style="731" customWidth="1"/>
    <col min="6919" max="6928" width="0" style="731" hidden="1" customWidth="1"/>
    <col min="6929" max="7168" width="8.88671875" style="731"/>
    <col min="7169" max="7169" width="11" style="731" customWidth="1"/>
    <col min="7170" max="7170" width="47.44140625" style="731" customWidth="1"/>
    <col min="7171" max="7171" width="9.44140625" style="731" customWidth="1"/>
    <col min="7172" max="7172" width="6.44140625" style="731" customWidth="1"/>
    <col min="7173" max="7173" width="9.6640625" style="731" customWidth="1"/>
    <col min="7174" max="7174" width="9.88671875" style="731" customWidth="1"/>
    <col min="7175" max="7184" width="0" style="731" hidden="1" customWidth="1"/>
    <col min="7185" max="7424" width="8.88671875" style="731"/>
    <col min="7425" max="7425" width="11" style="731" customWidth="1"/>
    <col min="7426" max="7426" width="47.44140625" style="731" customWidth="1"/>
    <col min="7427" max="7427" width="9.44140625" style="731" customWidth="1"/>
    <col min="7428" max="7428" width="6.44140625" style="731" customWidth="1"/>
    <col min="7429" max="7429" width="9.6640625" style="731" customWidth="1"/>
    <col min="7430" max="7430" width="9.88671875" style="731" customWidth="1"/>
    <col min="7431" max="7440" width="0" style="731" hidden="1" customWidth="1"/>
    <col min="7441" max="7680" width="8.88671875" style="731"/>
    <col min="7681" max="7681" width="11" style="731" customWidth="1"/>
    <col min="7682" max="7682" width="47.44140625" style="731" customWidth="1"/>
    <col min="7683" max="7683" width="9.44140625" style="731" customWidth="1"/>
    <col min="7684" max="7684" width="6.44140625" style="731" customWidth="1"/>
    <col min="7685" max="7685" width="9.6640625" style="731" customWidth="1"/>
    <col min="7686" max="7686" width="9.88671875" style="731" customWidth="1"/>
    <col min="7687" max="7696" width="0" style="731" hidden="1" customWidth="1"/>
    <col min="7697" max="7936" width="8.88671875" style="731"/>
    <col min="7937" max="7937" width="11" style="731" customWidth="1"/>
    <col min="7938" max="7938" width="47.44140625" style="731" customWidth="1"/>
    <col min="7939" max="7939" width="9.44140625" style="731" customWidth="1"/>
    <col min="7940" max="7940" width="6.44140625" style="731" customWidth="1"/>
    <col min="7941" max="7941" width="9.6640625" style="731" customWidth="1"/>
    <col min="7942" max="7942" width="9.88671875" style="731" customWidth="1"/>
    <col min="7943" max="7952" width="0" style="731" hidden="1" customWidth="1"/>
    <col min="7953" max="8192" width="8.88671875" style="731"/>
    <col min="8193" max="8193" width="11" style="731" customWidth="1"/>
    <col min="8194" max="8194" width="47.44140625" style="731" customWidth="1"/>
    <col min="8195" max="8195" width="9.44140625" style="731" customWidth="1"/>
    <col min="8196" max="8196" width="6.44140625" style="731" customWidth="1"/>
    <col min="8197" max="8197" width="9.6640625" style="731" customWidth="1"/>
    <col min="8198" max="8198" width="9.88671875" style="731" customWidth="1"/>
    <col min="8199" max="8208" width="0" style="731" hidden="1" customWidth="1"/>
    <col min="8209" max="8448" width="8.88671875" style="731"/>
    <col min="8449" max="8449" width="11" style="731" customWidth="1"/>
    <col min="8450" max="8450" width="47.44140625" style="731" customWidth="1"/>
    <col min="8451" max="8451" width="9.44140625" style="731" customWidth="1"/>
    <col min="8452" max="8452" width="6.44140625" style="731" customWidth="1"/>
    <col min="8453" max="8453" width="9.6640625" style="731" customWidth="1"/>
    <col min="8454" max="8454" width="9.88671875" style="731" customWidth="1"/>
    <col min="8455" max="8464" width="0" style="731" hidden="1" customWidth="1"/>
    <col min="8465" max="8704" width="8.88671875" style="731"/>
    <col min="8705" max="8705" width="11" style="731" customWidth="1"/>
    <col min="8706" max="8706" width="47.44140625" style="731" customWidth="1"/>
    <col min="8707" max="8707" width="9.44140625" style="731" customWidth="1"/>
    <col min="8708" max="8708" width="6.44140625" style="731" customWidth="1"/>
    <col min="8709" max="8709" width="9.6640625" style="731" customWidth="1"/>
    <col min="8710" max="8710" width="9.88671875" style="731" customWidth="1"/>
    <col min="8711" max="8720" width="0" style="731" hidden="1" customWidth="1"/>
    <col min="8721" max="8960" width="8.88671875" style="731"/>
    <col min="8961" max="8961" width="11" style="731" customWidth="1"/>
    <col min="8962" max="8962" width="47.44140625" style="731" customWidth="1"/>
    <col min="8963" max="8963" width="9.44140625" style="731" customWidth="1"/>
    <col min="8964" max="8964" width="6.44140625" style="731" customWidth="1"/>
    <col min="8965" max="8965" width="9.6640625" style="731" customWidth="1"/>
    <col min="8966" max="8966" width="9.88671875" style="731" customWidth="1"/>
    <col min="8967" max="8976" width="0" style="731" hidden="1" customWidth="1"/>
    <col min="8977" max="9216" width="8.88671875" style="731"/>
    <col min="9217" max="9217" width="11" style="731" customWidth="1"/>
    <col min="9218" max="9218" width="47.44140625" style="731" customWidth="1"/>
    <col min="9219" max="9219" width="9.44140625" style="731" customWidth="1"/>
    <col min="9220" max="9220" width="6.44140625" style="731" customWidth="1"/>
    <col min="9221" max="9221" width="9.6640625" style="731" customWidth="1"/>
    <col min="9222" max="9222" width="9.88671875" style="731" customWidth="1"/>
    <col min="9223" max="9232" width="0" style="731" hidden="1" customWidth="1"/>
    <col min="9233" max="9472" width="8.88671875" style="731"/>
    <col min="9473" max="9473" width="11" style="731" customWidth="1"/>
    <col min="9474" max="9474" width="47.44140625" style="731" customWidth="1"/>
    <col min="9475" max="9475" width="9.44140625" style="731" customWidth="1"/>
    <col min="9476" max="9476" width="6.44140625" style="731" customWidth="1"/>
    <col min="9477" max="9477" width="9.6640625" style="731" customWidth="1"/>
    <col min="9478" max="9478" width="9.88671875" style="731" customWidth="1"/>
    <col min="9479" max="9488" width="0" style="731" hidden="1" customWidth="1"/>
    <col min="9489" max="9728" width="8.88671875" style="731"/>
    <col min="9729" max="9729" width="11" style="731" customWidth="1"/>
    <col min="9730" max="9730" width="47.44140625" style="731" customWidth="1"/>
    <col min="9731" max="9731" width="9.44140625" style="731" customWidth="1"/>
    <col min="9732" max="9732" width="6.44140625" style="731" customWidth="1"/>
    <col min="9733" max="9733" width="9.6640625" style="731" customWidth="1"/>
    <col min="9734" max="9734" width="9.88671875" style="731" customWidth="1"/>
    <col min="9735" max="9744" width="0" style="731" hidden="1" customWidth="1"/>
    <col min="9745" max="9984" width="8.88671875" style="731"/>
    <col min="9985" max="9985" width="11" style="731" customWidth="1"/>
    <col min="9986" max="9986" width="47.44140625" style="731" customWidth="1"/>
    <col min="9987" max="9987" width="9.44140625" style="731" customWidth="1"/>
    <col min="9988" max="9988" width="6.44140625" style="731" customWidth="1"/>
    <col min="9989" max="9989" width="9.6640625" style="731" customWidth="1"/>
    <col min="9990" max="9990" width="9.88671875" style="731" customWidth="1"/>
    <col min="9991" max="10000" width="0" style="731" hidden="1" customWidth="1"/>
    <col min="10001" max="10240" width="8.88671875" style="731"/>
    <col min="10241" max="10241" width="11" style="731" customWidth="1"/>
    <col min="10242" max="10242" width="47.44140625" style="731" customWidth="1"/>
    <col min="10243" max="10243" width="9.44140625" style="731" customWidth="1"/>
    <col min="10244" max="10244" width="6.44140625" style="731" customWidth="1"/>
    <col min="10245" max="10245" width="9.6640625" style="731" customWidth="1"/>
    <col min="10246" max="10246" width="9.88671875" style="731" customWidth="1"/>
    <col min="10247" max="10256" width="0" style="731" hidden="1" customWidth="1"/>
    <col min="10257" max="10496" width="8.88671875" style="731"/>
    <col min="10497" max="10497" width="11" style="731" customWidth="1"/>
    <col min="10498" max="10498" width="47.44140625" style="731" customWidth="1"/>
    <col min="10499" max="10499" width="9.44140625" style="731" customWidth="1"/>
    <col min="10500" max="10500" width="6.44140625" style="731" customWidth="1"/>
    <col min="10501" max="10501" width="9.6640625" style="731" customWidth="1"/>
    <col min="10502" max="10502" width="9.88671875" style="731" customWidth="1"/>
    <col min="10503" max="10512" width="0" style="731" hidden="1" customWidth="1"/>
    <col min="10513" max="10752" width="8.88671875" style="731"/>
    <col min="10753" max="10753" width="11" style="731" customWidth="1"/>
    <col min="10754" max="10754" width="47.44140625" style="731" customWidth="1"/>
    <col min="10755" max="10755" width="9.44140625" style="731" customWidth="1"/>
    <col min="10756" max="10756" width="6.44140625" style="731" customWidth="1"/>
    <col min="10757" max="10757" width="9.6640625" style="731" customWidth="1"/>
    <col min="10758" max="10758" width="9.88671875" style="731" customWidth="1"/>
    <col min="10759" max="10768" width="0" style="731" hidden="1" customWidth="1"/>
    <col min="10769" max="11008" width="8.88671875" style="731"/>
    <col min="11009" max="11009" width="11" style="731" customWidth="1"/>
    <col min="11010" max="11010" width="47.44140625" style="731" customWidth="1"/>
    <col min="11011" max="11011" width="9.44140625" style="731" customWidth="1"/>
    <col min="11012" max="11012" width="6.44140625" style="731" customWidth="1"/>
    <col min="11013" max="11013" width="9.6640625" style="731" customWidth="1"/>
    <col min="11014" max="11014" width="9.88671875" style="731" customWidth="1"/>
    <col min="11015" max="11024" width="0" style="731" hidden="1" customWidth="1"/>
    <col min="11025" max="11264" width="8.88671875" style="731"/>
    <col min="11265" max="11265" width="11" style="731" customWidth="1"/>
    <col min="11266" max="11266" width="47.44140625" style="731" customWidth="1"/>
    <col min="11267" max="11267" width="9.44140625" style="731" customWidth="1"/>
    <col min="11268" max="11268" width="6.44140625" style="731" customWidth="1"/>
    <col min="11269" max="11269" width="9.6640625" style="731" customWidth="1"/>
    <col min="11270" max="11270" width="9.88671875" style="731" customWidth="1"/>
    <col min="11271" max="11280" width="0" style="731" hidden="1" customWidth="1"/>
    <col min="11281" max="11520" width="8.88671875" style="731"/>
    <col min="11521" max="11521" width="11" style="731" customWidth="1"/>
    <col min="11522" max="11522" width="47.44140625" style="731" customWidth="1"/>
    <col min="11523" max="11523" width="9.44140625" style="731" customWidth="1"/>
    <col min="11524" max="11524" width="6.44140625" style="731" customWidth="1"/>
    <col min="11525" max="11525" width="9.6640625" style="731" customWidth="1"/>
    <col min="11526" max="11526" width="9.88671875" style="731" customWidth="1"/>
    <col min="11527" max="11536" width="0" style="731" hidden="1" customWidth="1"/>
    <col min="11537" max="11776" width="8.88671875" style="731"/>
    <col min="11777" max="11777" width="11" style="731" customWidth="1"/>
    <col min="11778" max="11778" width="47.44140625" style="731" customWidth="1"/>
    <col min="11779" max="11779" width="9.44140625" style="731" customWidth="1"/>
    <col min="11780" max="11780" width="6.44140625" style="731" customWidth="1"/>
    <col min="11781" max="11781" width="9.6640625" style="731" customWidth="1"/>
    <col min="11782" max="11782" width="9.88671875" style="731" customWidth="1"/>
    <col min="11783" max="11792" width="0" style="731" hidden="1" customWidth="1"/>
    <col min="11793" max="12032" width="8.88671875" style="731"/>
    <col min="12033" max="12033" width="11" style="731" customWidth="1"/>
    <col min="12034" max="12034" width="47.44140625" style="731" customWidth="1"/>
    <col min="12035" max="12035" width="9.44140625" style="731" customWidth="1"/>
    <col min="12036" max="12036" width="6.44140625" style="731" customWidth="1"/>
    <col min="12037" max="12037" width="9.6640625" style="731" customWidth="1"/>
    <col min="12038" max="12038" width="9.88671875" style="731" customWidth="1"/>
    <col min="12039" max="12048" width="0" style="731" hidden="1" customWidth="1"/>
    <col min="12049" max="12288" width="8.88671875" style="731"/>
    <col min="12289" max="12289" width="11" style="731" customWidth="1"/>
    <col min="12290" max="12290" width="47.44140625" style="731" customWidth="1"/>
    <col min="12291" max="12291" width="9.44140625" style="731" customWidth="1"/>
    <col min="12292" max="12292" width="6.44140625" style="731" customWidth="1"/>
    <col min="12293" max="12293" width="9.6640625" style="731" customWidth="1"/>
    <col min="12294" max="12294" width="9.88671875" style="731" customWidth="1"/>
    <col min="12295" max="12304" width="0" style="731" hidden="1" customWidth="1"/>
    <col min="12305" max="12544" width="8.88671875" style="731"/>
    <col min="12545" max="12545" width="11" style="731" customWidth="1"/>
    <col min="12546" max="12546" width="47.44140625" style="731" customWidth="1"/>
    <col min="12547" max="12547" width="9.44140625" style="731" customWidth="1"/>
    <col min="12548" max="12548" width="6.44140625" style="731" customWidth="1"/>
    <col min="12549" max="12549" width="9.6640625" style="731" customWidth="1"/>
    <col min="12550" max="12550" width="9.88671875" style="731" customWidth="1"/>
    <col min="12551" max="12560" width="0" style="731" hidden="1" customWidth="1"/>
    <col min="12561" max="12800" width="8.88671875" style="731"/>
    <col min="12801" max="12801" width="11" style="731" customWidth="1"/>
    <col min="12802" max="12802" width="47.44140625" style="731" customWidth="1"/>
    <col min="12803" max="12803" width="9.44140625" style="731" customWidth="1"/>
    <col min="12804" max="12804" width="6.44140625" style="731" customWidth="1"/>
    <col min="12805" max="12805" width="9.6640625" style="731" customWidth="1"/>
    <col min="12806" max="12806" width="9.88671875" style="731" customWidth="1"/>
    <col min="12807" max="12816" width="0" style="731" hidden="1" customWidth="1"/>
    <col min="12817" max="13056" width="8.88671875" style="731"/>
    <col min="13057" max="13057" width="11" style="731" customWidth="1"/>
    <col min="13058" max="13058" width="47.44140625" style="731" customWidth="1"/>
    <col min="13059" max="13059" width="9.44140625" style="731" customWidth="1"/>
    <col min="13060" max="13060" width="6.44140625" style="731" customWidth="1"/>
    <col min="13061" max="13061" width="9.6640625" style="731" customWidth="1"/>
    <col min="13062" max="13062" width="9.88671875" style="731" customWidth="1"/>
    <col min="13063" max="13072" width="0" style="731" hidden="1" customWidth="1"/>
    <col min="13073" max="13312" width="8.88671875" style="731"/>
    <col min="13313" max="13313" width="11" style="731" customWidth="1"/>
    <col min="13314" max="13314" width="47.44140625" style="731" customWidth="1"/>
    <col min="13315" max="13315" width="9.44140625" style="731" customWidth="1"/>
    <col min="13316" max="13316" width="6.44140625" style="731" customWidth="1"/>
    <col min="13317" max="13317" width="9.6640625" style="731" customWidth="1"/>
    <col min="13318" max="13318" width="9.88671875" style="731" customWidth="1"/>
    <col min="13319" max="13328" width="0" style="731" hidden="1" customWidth="1"/>
    <col min="13329" max="13568" width="8.88671875" style="731"/>
    <col min="13569" max="13569" width="11" style="731" customWidth="1"/>
    <col min="13570" max="13570" width="47.44140625" style="731" customWidth="1"/>
    <col min="13571" max="13571" width="9.44140625" style="731" customWidth="1"/>
    <col min="13572" max="13572" width="6.44140625" style="731" customWidth="1"/>
    <col min="13573" max="13573" width="9.6640625" style="731" customWidth="1"/>
    <col min="13574" max="13574" width="9.88671875" style="731" customWidth="1"/>
    <col min="13575" max="13584" width="0" style="731" hidden="1" customWidth="1"/>
    <col min="13585" max="13824" width="8.88671875" style="731"/>
    <col min="13825" max="13825" width="11" style="731" customWidth="1"/>
    <col min="13826" max="13826" width="47.44140625" style="731" customWidth="1"/>
    <col min="13827" max="13827" width="9.44140625" style="731" customWidth="1"/>
    <col min="13828" max="13828" width="6.44140625" style="731" customWidth="1"/>
    <col min="13829" max="13829" width="9.6640625" style="731" customWidth="1"/>
    <col min="13830" max="13830" width="9.88671875" style="731" customWidth="1"/>
    <col min="13831" max="13840" width="0" style="731" hidden="1" customWidth="1"/>
    <col min="13841" max="14080" width="8.88671875" style="731"/>
    <col min="14081" max="14081" width="11" style="731" customWidth="1"/>
    <col min="14082" max="14082" width="47.44140625" style="731" customWidth="1"/>
    <col min="14083" max="14083" width="9.44140625" style="731" customWidth="1"/>
    <col min="14084" max="14084" width="6.44140625" style="731" customWidth="1"/>
    <col min="14085" max="14085" width="9.6640625" style="731" customWidth="1"/>
    <col min="14086" max="14086" width="9.88671875" style="731" customWidth="1"/>
    <col min="14087" max="14096" width="0" style="731" hidden="1" customWidth="1"/>
    <col min="14097" max="14336" width="8.88671875" style="731"/>
    <col min="14337" max="14337" width="11" style="731" customWidth="1"/>
    <col min="14338" max="14338" width="47.44140625" style="731" customWidth="1"/>
    <col min="14339" max="14339" width="9.44140625" style="731" customWidth="1"/>
    <col min="14340" max="14340" width="6.44140625" style="731" customWidth="1"/>
    <col min="14341" max="14341" width="9.6640625" style="731" customWidth="1"/>
    <col min="14342" max="14342" width="9.88671875" style="731" customWidth="1"/>
    <col min="14343" max="14352" width="0" style="731" hidden="1" customWidth="1"/>
    <col min="14353" max="14592" width="8.88671875" style="731"/>
    <col min="14593" max="14593" width="11" style="731" customWidth="1"/>
    <col min="14594" max="14594" width="47.44140625" style="731" customWidth="1"/>
    <col min="14595" max="14595" width="9.44140625" style="731" customWidth="1"/>
    <col min="14596" max="14596" width="6.44140625" style="731" customWidth="1"/>
    <col min="14597" max="14597" width="9.6640625" style="731" customWidth="1"/>
    <col min="14598" max="14598" width="9.88671875" style="731" customWidth="1"/>
    <col min="14599" max="14608" width="0" style="731" hidden="1" customWidth="1"/>
    <col min="14609" max="14848" width="8.88671875" style="731"/>
    <col min="14849" max="14849" width="11" style="731" customWidth="1"/>
    <col min="14850" max="14850" width="47.44140625" style="731" customWidth="1"/>
    <col min="14851" max="14851" width="9.44140625" style="731" customWidth="1"/>
    <col min="14852" max="14852" width="6.44140625" style="731" customWidth="1"/>
    <col min="14853" max="14853" width="9.6640625" style="731" customWidth="1"/>
    <col min="14854" max="14854" width="9.88671875" style="731" customWidth="1"/>
    <col min="14855" max="14864" width="0" style="731" hidden="1" customWidth="1"/>
    <col min="14865" max="15104" width="8.88671875" style="731"/>
    <col min="15105" max="15105" width="11" style="731" customWidth="1"/>
    <col min="15106" max="15106" width="47.44140625" style="731" customWidth="1"/>
    <col min="15107" max="15107" width="9.44140625" style="731" customWidth="1"/>
    <col min="15108" max="15108" width="6.44140625" style="731" customWidth="1"/>
    <col min="15109" max="15109" width="9.6640625" style="731" customWidth="1"/>
    <col min="15110" max="15110" width="9.88671875" style="731" customWidth="1"/>
    <col min="15111" max="15120" width="0" style="731" hidden="1" customWidth="1"/>
    <col min="15121" max="15360" width="8.88671875" style="731"/>
    <col min="15361" max="15361" width="11" style="731" customWidth="1"/>
    <col min="15362" max="15362" width="47.44140625" style="731" customWidth="1"/>
    <col min="15363" max="15363" width="9.44140625" style="731" customWidth="1"/>
    <col min="15364" max="15364" width="6.44140625" style="731" customWidth="1"/>
    <col min="15365" max="15365" width="9.6640625" style="731" customWidth="1"/>
    <col min="15366" max="15366" width="9.88671875" style="731" customWidth="1"/>
    <col min="15367" max="15376" width="0" style="731" hidden="1" customWidth="1"/>
    <col min="15377" max="15616" width="8.88671875" style="731"/>
    <col min="15617" max="15617" width="11" style="731" customWidth="1"/>
    <col min="15618" max="15618" width="47.44140625" style="731" customWidth="1"/>
    <col min="15619" max="15619" width="9.44140625" style="731" customWidth="1"/>
    <col min="15620" max="15620" width="6.44140625" style="731" customWidth="1"/>
    <col min="15621" max="15621" width="9.6640625" style="731" customWidth="1"/>
    <col min="15622" max="15622" width="9.88671875" style="731" customWidth="1"/>
    <col min="15623" max="15632" width="0" style="731" hidden="1" customWidth="1"/>
    <col min="15633" max="15872" width="8.88671875" style="731"/>
    <col min="15873" max="15873" width="11" style="731" customWidth="1"/>
    <col min="15874" max="15874" width="47.44140625" style="731" customWidth="1"/>
    <col min="15875" max="15875" width="9.44140625" style="731" customWidth="1"/>
    <col min="15876" max="15876" width="6.44140625" style="731" customWidth="1"/>
    <col min="15877" max="15877" width="9.6640625" style="731" customWidth="1"/>
    <col min="15878" max="15878" width="9.88671875" style="731" customWidth="1"/>
    <col min="15879" max="15888" width="0" style="731" hidden="1" customWidth="1"/>
    <col min="15889" max="16128" width="8.88671875" style="731"/>
    <col min="16129" max="16129" width="11" style="731" customWidth="1"/>
    <col min="16130" max="16130" width="47.44140625" style="731" customWidth="1"/>
    <col min="16131" max="16131" width="9.44140625" style="731" customWidth="1"/>
    <col min="16132" max="16132" width="6.44140625" style="731" customWidth="1"/>
    <col min="16133" max="16133" width="9.6640625" style="731" customWidth="1"/>
    <col min="16134" max="16134" width="9.88671875" style="731" customWidth="1"/>
    <col min="16135" max="16144" width="0" style="731" hidden="1" customWidth="1"/>
    <col min="16145" max="16384" width="8.88671875" style="731"/>
  </cols>
  <sheetData>
    <row r="1" spans="1:20" ht="16.5" customHeight="1">
      <c r="A1" s="728" t="s">
        <v>371</v>
      </c>
      <c r="B1" s="729" t="s">
        <v>372</v>
      </c>
      <c r="C1" s="729" t="s">
        <v>373</v>
      </c>
      <c r="D1" s="729" t="s">
        <v>374</v>
      </c>
      <c r="E1" s="730" t="s">
        <v>375</v>
      </c>
      <c r="F1" s="730" t="s">
        <v>161</v>
      </c>
    </row>
    <row r="2" spans="1:20" s="736" customFormat="1">
      <c r="A2" s="732"/>
      <c r="B2" s="733"/>
      <c r="C2" s="734"/>
      <c r="D2" s="734"/>
      <c r="E2" s="735" t="s">
        <v>240</v>
      </c>
      <c r="F2" s="735" t="s">
        <v>240</v>
      </c>
    </row>
    <row r="3" spans="1:20" s="736" customFormat="1" ht="23.25" customHeight="1">
      <c r="A3" s="737" t="str">
        <f>TRIM(MID(Elec_Est!D15,6,30))</f>
        <v/>
      </c>
      <c r="B3" s="738" t="str">
        <f>Elec_Est!D16</f>
        <v>Cable Tray Supply &amp; Installation</v>
      </c>
      <c r="C3" s="739"/>
      <c r="D3" s="739"/>
      <c r="E3" s="740"/>
      <c r="F3" s="740"/>
    </row>
    <row r="4" spans="1:20" s="736" customFormat="1">
      <c r="A4" s="741"/>
      <c r="B4" s="742"/>
      <c r="C4" s="743"/>
      <c r="D4" s="744"/>
      <c r="E4" s="745"/>
      <c r="F4" s="745"/>
      <c r="R4" s="746"/>
      <c r="T4" s="746"/>
    </row>
    <row r="5" spans="1:20" s="746" customFormat="1" ht="26.4">
      <c r="A5" s="741" t="str">
        <f>TRIM(MID(Elec_Est!D19,6,30))</f>
        <v>1.01</v>
      </c>
      <c r="B5" s="747" t="str">
        <f>Elec_Est!D20</f>
        <v>Hot diped Galvenized Cable tray 200*50mm complete with brackets with lids</v>
      </c>
      <c r="C5" s="743">
        <f>Elec_Est!A19</f>
        <v>30</v>
      </c>
      <c r="D5" s="744" t="str">
        <f>Elec_Est!B19</f>
        <v>MT</v>
      </c>
      <c r="E5" s="745">
        <f ca="1">Elec_Est!E19</f>
        <v>212.98</v>
      </c>
      <c r="F5" s="745">
        <f ca="1">C5*E5</f>
        <v>6389.4</v>
      </c>
    </row>
    <row r="6" spans="1:20" s="746" customFormat="1">
      <c r="A6" s="748"/>
      <c r="B6" s="747"/>
      <c r="C6" s="743"/>
      <c r="D6" s="744"/>
      <c r="E6" s="745"/>
      <c r="F6" s="745"/>
    </row>
    <row r="7" spans="1:20" s="746" customFormat="1">
      <c r="A7" s="748" t="str">
        <f>TRIM(MID(Elec_Est!D28,6,30))</f>
        <v>1.02</v>
      </c>
      <c r="B7" s="747" t="str">
        <f>Elec_Est!D29</f>
        <v>Hot Diped galvanized Hilti structures</v>
      </c>
      <c r="C7" s="743">
        <f>Elec_Est!A28</f>
        <v>1</v>
      </c>
      <c r="D7" s="744" t="str">
        <f>Elec_Est!B28</f>
        <v>LS</v>
      </c>
      <c r="E7" s="745">
        <f>Elec_Est!E28</f>
        <v>0</v>
      </c>
      <c r="F7" s="745">
        <f>C7*E7</f>
        <v>0</v>
      </c>
    </row>
    <row r="8" spans="1:20" s="746" customFormat="1">
      <c r="A8" s="748"/>
      <c r="B8" s="747"/>
      <c r="C8" s="743"/>
      <c r="D8" s="744"/>
      <c r="E8" s="745"/>
      <c r="F8" s="745"/>
    </row>
    <row r="9" spans="1:20" s="746" customFormat="1">
      <c r="A9" s="748"/>
      <c r="B9" s="738"/>
      <c r="C9" s="743"/>
      <c r="D9" s="744"/>
      <c r="E9" s="745"/>
      <c r="F9" s="745"/>
    </row>
    <row r="10" spans="1:20" s="749" customFormat="1" ht="23.25" customHeight="1">
      <c r="A10" s="741" t="str">
        <f>TRIM(MID(Elec_Est!D34,6,30))</f>
        <v/>
      </c>
      <c r="B10" s="742" t="str">
        <f>Elec_Est!D35</f>
        <v>Power Cable Supply, Laying &amp; Wiring</v>
      </c>
      <c r="C10" s="743"/>
      <c r="D10" s="743"/>
      <c r="E10" s="745"/>
      <c r="F10" s="745"/>
    </row>
    <row r="11" spans="1:20" s="746" customFormat="1">
      <c r="A11" s="748"/>
      <c r="B11" s="747"/>
      <c r="C11" s="743"/>
      <c r="D11" s="744"/>
      <c r="E11" s="745"/>
      <c r="F11" s="745"/>
    </row>
    <row r="12" spans="1:20" s="746" customFormat="1" ht="26.4">
      <c r="A12" s="748" t="str">
        <f>TRIM(MID(Elec_Est!D38,6,30))</f>
        <v>1.03</v>
      </c>
      <c r="B12" s="747" t="str">
        <f>Elec_Est!D39</f>
        <v>FG16OM16 0,6/1 Kmtr grn lszh 5g16 MMSQ fg160m1 .6/1V</v>
      </c>
      <c r="C12" s="743">
        <f>Elec_Est!A38</f>
        <v>50</v>
      </c>
      <c r="D12" s="743" t="str">
        <f>Elec_Est!B38</f>
        <v>MT</v>
      </c>
      <c r="E12" s="745">
        <f>Elec_Est!E38</f>
        <v>24.51</v>
      </c>
      <c r="F12" s="745">
        <f>C12*E12</f>
        <v>1225.5</v>
      </c>
    </row>
    <row r="13" spans="1:20" s="746" customFormat="1">
      <c r="A13" s="748"/>
      <c r="B13" s="747"/>
      <c r="C13" s="743"/>
      <c r="D13" s="744"/>
      <c r="E13" s="745"/>
      <c r="F13" s="745"/>
    </row>
    <row r="14" spans="1:20" s="746" customFormat="1">
      <c r="A14" s="748"/>
      <c r="B14" s="747"/>
      <c r="C14" s="743"/>
      <c r="D14" s="744"/>
      <c r="E14" s="745"/>
      <c r="F14" s="745"/>
    </row>
    <row r="15" spans="1:20" s="749" customFormat="1" ht="23.25" customHeight="1">
      <c r="A15" s="741" t="str">
        <f>TRIM(MID(Elec_Est!D46,6,30))</f>
        <v/>
      </c>
      <c r="B15" s="738" t="str">
        <f>Elec_Est!D47</f>
        <v>Termination of the Power Cables to Existing MCCs</v>
      </c>
      <c r="C15" s="743"/>
      <c r="D15" s="743"/>
      <c r="E15" s="745"/>
      <c r="F15" s="745"/>
    </row>
    <row r="16" spans="1:20" s="749" customFormat="1">
      <c r="A16" s="748"/>
      <c r="B16" s="738"/>
      <c r="C16" s="743"/>
      <c r="D16" s="743"/>
      <c r="E16" s="745"/>
      <c r="F16" s="745"/>
    </row>
    <row r="17" spans="1:6" s="749" customFormat="1" ht="26.4">
      <c r="A17" s="748" t="str">
        <f>TRIM(MID(Elec_Est!D50,6,30))</f>
        <v>2.01</v>
      </c>
      <c r="B17" s="747" t="str">
        <f>Elec_Est!D51</f>
        <v>Termination of the FG16OM16 0,6/1 Kmtr grn lszh 5g16 MMSQ fg160m1 .6/1V Cable to Existing MCCs</v>
      </c>
      <c r="C17" s="743">
        <f>Elec_Est!A50</f>
        <v>2</v>
      </c>
      <c r="D17" s="744" t="str">
        <f>Elec_Est!B50</f>
        <v>No</v>
      </c>
      <c r="E17" s="745">
        <f>Elec_Est!E50</f>
        <v>42.91</v>
      </c>
      <c r="F17" s="745">
        <f>C17*E17</f>
        <v>85.82</v>
      </c>
    </row>
    <row r="18" spans="1:6" s="749" customFormat="1">
      <c r="A18" s="748"/>
      <c r="B18" s="747"/>
      <c r="C18" s="743"/>
      <c r="D18" s="743"/>
      <c r="E18" s="745"/>
      <c r="F18" s="745"/>
    </row>
    <row r="19" spans="1:6" s="749" customFormat="1">
      <c r="A19" s="748"/>
      <c r="B19" s="747"/>
      <c r="C19" s="743"/>
      <c r="D19" s="744"/>
      <c r="E19" s="745"/>
      <c r="F19" s="745"/>
    </row>
    <row r="20" spans="1:6" s="749" customFormat="1" ht="23.25" customHeight="1">
      <c r="A20" s="741" t="str">
        <f>TRIM(MID(Elec_Est!D56,6,30))</f>
        <v/>
      </c>
      <c r="B20" s="742" t="str">
        <f>Elec_Est!D57</f>
        <v>Dismantling Existing Distribution Board</v>
      </c>
      <c r="C20" s="743"/>
      <c r="D20" s="743"/>
      <c r="E20" s="745"/>
      <c r="F20" s="745"/>
    </row>
    <row r="21" spans="1:6" s="749" customFormat="1">
      <c r="A21" s="748"/>
      <c r="B21" s="747"/>
      <c r="C21" s="743"/>
      <c r="D21" s="744"/>
      <c r="E21" s="745"/>
      <c r="F21" s="745"/>
    </row>
    <row r="22" spans="1:6" s="749" customFormat="1">
      <c r="A22" s="748" t="str">
        <f>TRIM(MID(Elec_Est!D60,6,30))</f>
        <v>2.01</v>
      </c>
      <c r="B22" s="747" t="str">
        <f>Elec_Est!D61</f>
        <v>Dismantling the existing Board</v>
      </c>
      <c r="C22" s="743">
        <f>Elec_Est!A60</f>
        <v>1</v>
      </c>
      <c r="D22" s="743" t="str">
        <f>Elec_Est!B60</f>
        <v>LS</v>
      </c>
      <c r="E22" s="745">
        <f>Elec_Est!E60</f>
        <v>257.44</v>
      </c>
      <c r="F22" s="745">
        <f>C22*E22</f>
        <v>257.44</v>
      </c>
    </row>
    <row r="23" spans="1:6" s="749" customFormat="1">
      <c r="A23" s="748"/>
      <c r="B23" s="747"/>
      <c r="C23" s="743"/>
      <c r="D23" s="744"/>
      <c r="E23" s="745"/>
      <c r="F23" s="745"/>
    </row>
    <row r="24" spans="1:6" s="749" customFormat="1" ht="26.4">
      <c r="A24" s="748" t="str">
        <f>TRIM(MID(Elec_Est!D66,6,30))</f>
        <v>2.02</v>
      </c>
      <c r="B24" s="747" t="str">
        <f>Elec_Est!D67</f>
        <v>Terminating the Dismantled cables to existing control panel adjacent to distribution board</v>
      </c>
      <c r="C24" s="743">
        <f>Elec_Est!A66</f>
        <v>1</v>
      </c>
      <c r="D24" s="743" t="str">
        <f>Elec_Est!B66</f>
        <v>LS</v>
      </c>
      <c r="E24" s="745">
        <f>Elec_Est!E66</f>
        <v>171.63</v>
      </c>
      <c r="F24" s="745">
        <f>C24*E24</f>
        <v>171.63</v>
      </c>
    </row>
    <row r="25" spans="1:6" s="749" customFormat="1">
      <c r="A25" s="748"/>
      <c r="B25" s="747"/>
      <c r="C25" s="743"/>
      <c r="D25" s="744"/>
      <c r="E25" s="745"/>
      <c r="F25" s="745"/>
    </row>
    <row r="26" spans="1:6" s="749" customFormat="1">
      <c r="A26" s="748"/>
      <c r="B26" s="750"/>
      <c r="C26" s="743"/>
      <c r="D26" s="743"/>
      <c r="E26" s="745"/>
      <c r="F26" s="745"/>
    </row>
    <row r="27" spans="1:6" s="749" customFormat="1" ht="23.25" customHeight="1">
      <c r="A27" s="741" t="str">
        <f>TRIM(MID(Elec_Est!D72,6,30))</f>
        <v/>
      </c>
      <c r="B27" s="742" t="str">
        <f>Elec_Est!D73</f>
        <v>VRFs Supply and Installation</v>
      </c>
      <c r="C27" s="743"/>
      <c r="D27" s="744"/>
      <c r="E27" s="745"/>
      <c r="F27" s="745"/>
    </row>
    <row r="28" spans="1:6" s="749" customFormat="1">
      <c r="A28" s="748"/>
      <c r="B28" s="750"/>
      <c r="C28" s="743"/>
      <c r="D28" s="743"/>
      <c r="E28" s="745"/>
      <c r="F28" s="745"/>
    </row>
    <row r="29" spans="1:6" s="749" customFormat="1">
      <c r="A29" s="748" t="str">
        <f>TRIM(MID(Elec_Est!D76,6,30))</f>
        <v>3.01</v>
      </c>
      <c r="B29" s="747" t="str">
        <f>Elec_Est!D77</f>
        <v>Supply and Install VRFs</v>
      </c>
      <c r="C29" s="743">
        <f>Elec_Est!A76</f>
        <v>2</v>
      </c>
      <c r="D29" s="744" t="str">
        <f>Elec_Est!B76</f>
        <v>No</v>
      </c>
      <c r="E29" s="745">
        <f>Elec_Est!E76</f>
        <v>2178.2199999999998</v>
      </c>
      <c r="F29" s="745">
        <f>C29*E29</f>
        <v>4356.4399999999996</v>
      </c>
    </row>
    <row r="30" spans="1:6" s="749" customFormat="1">
      <c r="A30" s="748"/>
      <c r="B30" s="750"/>
      <c r="C30" s="743"/>
      <c r="D30" s="743"/>
      <c r="E30" s="745"/>
      <c r="F30" s="745"/>
    </row>
    <row r="31" spans="1:6" s="749" customFormat="1">
      <c r="A31" s="748"/>
      <c r="B31" s="751"/>
      <c r="C31" s="744"/>
      <c r="D31" s="744"/>
      <c r="E31" s="745"/>
      <c r="F31" s="745"/>
    </row>
    <row r="32" spans="1:6" s="749" customFormat="1">
      <c r="A32" s="748"/>
      <c r="B32" s="750"/>
      <c r="C32" s="743"/>
      <c r="D32" s="743"/>
      <c r="E32" s="745"/>
      <c r="F32" s="745"/>
    </row>
    <row r="33" spans="1:20" s="749" customFormat="1">
      <c r="A33" s="748"/>
      <c r="B33" s="750"/>
      <c r="C33" s="743"/>
      <c r="D33" s="743"/>
      <c r="E33" s="745"/>
      <c r="F33" s="745"/>
    </row>
    <row r="34" spans="1:20" s="749" customFormat="1">
      <c r="A34" s="748"/>
      <c r="B34" s="750"/>
      <c r="C34" s="743"/>
      <c r="D34" s="743"/>
      <c r="E34" s="745"/>
      <c r="F34" s="745"/>
    </row>
    <row r="35" spans="1:20" s="749" customFormat="1">
      <c r="A35" s="748"/>
      <c r="B35" s="750"/>
      <c r="C35" s="743"/>
      <c r="D35" s="743"/>
      <c r="E35" s="745"/>
      <c r="F35" s="745"/>
    </row>
    <row r="36" spans="1:20" s="749" customFormat="1">
      <c r="A36" s="748"/>
      <c r="B36" s="750"/>
      <c r="C36" s="743"/>
      <c r="D36" s="743"/>
      <c r="E36" s="745"/>
      <c r="F36" s="745"/>
    </row>
    <row r="37" spans="1:20" s="749" customFormat="1">
      <c r="A37" s="748"/>
      <c r="B37" s="750"/>
      <c r="C37" s="743"/>
      <c r="D37" s="743"/>
      <c r="E37" s="745"/>
      <c r="F37" s="745"/>
    </row>
    <row r="38" spans="1:20" s="749" customFormat="1">
      <c r="A38" s="748"/>
      <c r="B38" s="750"/>
      <c r="C38" s="743"/>
      <c r="D38" s="743"/>
      <c r="E38" s="745"/>
      <c r="F38" s="745"/>
    </row>
    <row r="39" spans="1:20" s="749" customFormat="1">
      <c r="A39" s="748"/>
      <c r="B39" s="750"/>
      <c r="C39" s="743"/>
      <c r="D39" s="743"/>
      <c r="E39" s="745"/>
      <c r="F39" s="745"/>
    </row>
    <row r="40" spans="1:20" s="749" customFormat="1">
      <c r="A40" s="748"/>
      <c r="B40" s="750"/>
      <c r="C40" s="743"/>
      <c r="D40" s="743"/>
      <c r="E40" s="745"/>
      <c r="F40" s="745"/>
    </row>
    <row r="41" spans="1:20" s="749" customFormat="1">
      <c r="A41" s="748"/>
      <c r="B41" s="751"/>
      <c r="C41" s="744"/>
      <c r="D41" s="744"/>
      <c r="E41" s="745"/>
      <c r="F41" s="745"/>
    </row>
    <row r="42" spans="1:20" s="749" customFormat="1">
      <c r="A42" s="748"/>
      <c r="B42" s="751"/>
      <c r="C42" s="744"/>
      <c r="D42" s="744"/>
      <c r="E42" s="745"/>
      <c r="F42" s="745"/>
    </row>
    <row r="43" spans="1:20" s="749" customFormat="1">
      <c r="A43" s="748"/>
      <c r="B43" s="751"/>
      <c r="C43" s="744"/>
      <c r="D43" s="744"/>
      <c r="E43" s="745"/>
      <c r="F43" s="745"/>
      <c r="R43" s="731"/>
      <c r="T43" s="731"/>
    </row>
    <row r="44" spans="1:20" s="749" customFormat="1">
      <c r="A44" s="748"/>
      <c r="B44" s="752"/>
      <c r="C44" s="744"/>
      <c r="D44" s="744"/>
      <c r="E44" s="745"/>
      <c r="F44" s="745"/>
      <c r="R44" s="731"/>
      <c r="T44" s="731"/>
    </row>
    <row r="45" spans="1:20" s="749" customFormat="1">
      <c r="A45" s="748"/>
      <c r="B45" s="753"/>
      <c r="C45" s="744"/>
      <c r="D45" s="744"/>
      <c r="E45" s="745"/>
      <c r="F45" s="745"/>
      <c r="R45" s="731"/>
      <c r="T45" s="731"/>
    </row>
    <row r="46" spans="1:20" s="749" customFormat="1">
      <c r="A46" s="748"/>
      <c r="B46" s="752"/>
      <c r="C46" s="744"/>
      <c r="D46" s="744"/>
      <c r="E46" s="745"/>
      <c r="F46" s="745"/>
      <c r="R46" s="731"/>
      <c r="T46" s="731"/>
    </row>
    <row r="47" spans="1:20">
      <c r="A47" s="754"/>
      <c r="B47" s="755"/>
      <c r="C47" s="756"/>
      <c r="D47" s="756"/>
      <c r="E47" s="757"/>
      <c r="F47" s="757"/>
      <c r="G47" s="749"/>
      <c r="H47" s="749"/>
      <c r="I47" s="749"/>
      <c r="J47" s="749"/>
      <c r="K47" s="749"/>
      <c r="L47" s="749"/>
      <c r="M47" s="749"/>
      <c r="N47" s="749"/>
      <c r="O47" s="749"/>
      <c r="P47" s="749"/>
      <c r="Q47" s="749"/>
    </row>
    <row r="48" spans="1:20">
      <c r="A48" s="758" t="s">
        <v>151</v>
      </c>
      <c r="B48" s="759" t="s">
        <v>376</v>
      </c>
      <c r="C48" s="760"/>
      <c r="D48" s="761" t="str">
        <f>[16]ML_Sum!D6</f>
        <v>VAT EXCL.</v>
      </c>
      <c r="E48" s="762" t="s">
        <v>240</v>
      </c>
      <c r="F48" s="763">
        <f ca="1">SUM(F4:F47)</f>
        <v>12486.23</v>
      </c>
      <c r="G48" s="749"/>
      <c r="H48" s="749"/>
      <c r="I48" s="749"/>
      <c r="J48" s="749"/>
      <c r="K48" s="749"/>
      <c r="L48" s="749"/>
      <c r="M48" s="749"/>
      <c r="N48" s="749"/>
      <c r="O48" s="749"/>
      <c r="P48" s="749"/>
      <c r="Q48" s="749"/>
    </row>
    <row r="49" spans="7:17">
      <c r="G49" s="749"/>
      <c r="H49" s="749"/>
      <c r="I49" s="749"/>
      <c r="J49" s="749"/>
      <c r="K49" s="749"/>
      <c r="L49" s="749"/>
      <c r="M49" s="749"/>
      <c r="N49" s="749"/>
      <c r="O49" s="749"/>
      <c r="P49" s="749"/>
      <c r="Q49" s="749"/>
    </row>
    <row r="50" spans="7:17">
      <c r="G50" s="749"/>
      <c r="H50" s="749"/>
      <c r="I50" s="749"/>
      <c r="J50" s="749"/>
      <c r="K50" s="749"/>
      <c r="L50" s="749"/>
      <c r="M50" s="749"/>
      <c r="N50" s="749"/>
      <c r="O50" s="749"/>
      <c r="P50" s="749"/>
      <c r="Q50" s="749"/>
    </row>
  </sheetData>
  <pageMargins left="0.59055118110236227" right="0.23622047244094491" top="1.1023622047244095" bottom="0.62992125984251968" header="0.35433070866141736" footer="0.23622047244094491"/>
  <pageSetup paperSize="9" scale="99" orientation="portrait" r:id="rId1"/>
  <headerFooter alignWithMargins="0">
    <oddHeader>&amp;LPanta Contracting Ltd.&amp;C&amp;"Arial,Bold"WEMBLEY OFFICES
Additional Works for Block A VRF Outdoor Units.&amp;R&amp;8&amp;D</oddHeader>
    <oddFooter>&amp;C&amp;9Page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Notes</vt:lpstr>
      <vt:lpstr>Quote</vt:lpstr>
      <vt:lpstr>ML_Sum</vt:lpstr>
      <vt:lpstr>Elec_Rates</vt:lpstr>
      <vt:lpstr>Elec_Est</vt:lpstr>
      <vt:lpstr>E_BOQ</vt:lpstr>
      <vt:lpstr>AREAS</vt:lpstr>
      <vt:lpstr>CHILLERS</vt:lpstr>
      <vt:lpstr>E_BOQ!Print_Area</vt:lpstr>
      <vt:lpstr>Elec_Est!Print_Area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Empty Estimate Linked to Quote &amp; CCodes</dc:title>
  <dc:creator>Michael Vella</dc:creator>
  <cp:lastModifiedBy>Umut Can Kaymak</cp:lastModifiedBy>
  <cp:lastPrinted>2025-09-03T10:56:08Z</cp:lastPrinted>
  <dcterms:created xsi:type="dcterms:W3CDTF">2004-05-27T15:45:27Z</dcterms:created>
  <dcterms:modified xsi:type="dcterms:W3CDTF">2025-09-03T11:10:17Z</dcterms:modified>
  <cp:contentStatus/>
</cp:coreProperties>
</file>