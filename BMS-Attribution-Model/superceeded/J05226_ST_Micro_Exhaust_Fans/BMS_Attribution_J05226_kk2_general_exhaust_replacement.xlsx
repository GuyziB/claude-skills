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ion_Log" sheetId="1" state="visible" r:id="rId1"/>
    <sheet name="Labou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7F3F00"/>
      <sz val="9"/>
    </font>
    <font>
      <name val="Arial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9"/>
    </font>
    <font>
      <name val="Arial"/>
      <color rgb="00595959"/>
      <sz val="8"/>
    </font>
    <font>
      <name val="Arial"/>
      <b val="1"/>
      <color rgb="00FFFFFF"/>
      <sz val="11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EEAF1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4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4" fontId="11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0" fontId="0" fillId="9" borderId="1" pivotButton="0" quotePrefix="0" xfId="0"/>
    <xf numFmtId="165" fontId="7" fillId="9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  <xf numFmtId="4" fontId="11" fillId="7" borderId="1" applyAlignment="1" pivotButton="0" quotePrefix="0" xfId="0">
      <alignment horizontal="right" vertical="center"/>
    </xf>
    <xf numFmtId="0" fontId="0" fillId="7" borderId="1" pivotButton="0" quotePrefix="0" xfId="0"/>
    <xf numFmtId="164" fontId="11" fillId="7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0" fontId="0" fillId="6" borderId="1" pivotButton="0" quotePrefix="0" xfId="0"/>
    <xf numFmtId="165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P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14" customWidth="1" min="4" max="4"/>
    <col width="44" customWidth="1" min="5" max="5"/>
    <col width="14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4" customWidth="1" min="14" max="14"/>
    <col width="9" customWidth="1" min="15" max="15"/>
    <col width="12" customWidth="1" min="16" max="16"/>
  </cols>
  <sheetData>
    <row r="1" ht="22" customHeight="1">
      <c r="A1" s="1" t="inlineStr">
        <is>
          <t>PANTA CONTRACTING LIMITED — BMS Attribution Log   |   KK2 General Exhaust Replacement   |   v3.1</t>
        </is>
      </c>
    </row>
    <row r="2" ht="22" customHeight="1">
      <c r="A2" s="2" t="inlineStr">
        <is>
          <t>ISELL/ICOST Cluster Scan   |   02 April 2026   |   Includes Labour Hours &amp; P&amp;L   |   All hours are BMS team hours</t>
        </is>
      </c>
    </row>
    <row r="3" ht="13" customHeight="1">
      <c r="A3" s="3" t="inlineStr">
        <is>
          <t>Colour:  Green = BMS cluster rule (512/617)   |   Amber = Manual flag   |   Yellow = Maintenance (outside revenue scope)   |   mu_A/B/C = pricing rate bands — all hours are BMS team hours</t>
        </is>
      </c>
    </row>
    <row r="4" ht="40" customHeight="1">
      <c r="A4" s="2" t="inlineStr">
        <is>
          <t>Log_ID</t>
        </is>
      </c>
      <c r="B4" s="2" t="inlineStr">
        <is>
          <t>Source_File</t>
        </is>
      </c>
      <c r="C4" s="2" t="inlineStr">
        <is>
          <t>Excel_Row</t>
        </is>
      </c>
      <c r="D4" s="2" t="inlineStr">
        <is>
          <t>Item_Number</t>
        </is>
      </c>
      <c r="E4" s="2" t="inlineStr">
        <is>
          <t>Item_Name</t>
        </is>
      </c>
      <c r="F4" s="2" t="inlineStr">
        <is>
          <t>BMS_Trigger</t>
        </is>
      </c>
      <c r="G4" s="2" t="inlineStr">
        <is>
          <t>Sell_Total
(€)</t>
        </is>
      </c>
      <c r="H4" s="2" t="inlineStr">
        <is>
          <t>Mat_Cost
(€)</t>
        </is>
      </c>
      <c r="I4" s="2" t="inlineStr">
        <is>
          <t>Total
Lab Hrs</t>
        </is>
      </c>
      <c r="J4" s="2" t="inlineStr">
        <is>
          <t>mu_A Hrs</t>
        </is>
      </c>
      <c r="K4" s="2" t="inlineStr">
        <is>
          <t>mu_B Hrs</t>
        </is>
      </c>
      <c r="L4" s="2" t="inlineStr">
        <is>
          <t>mu_C Hrs</t>
        </is>
      </c>
      <c r="M4" s="2" t="inlineStr">
        <is>
          <t>Lab_Cost
(€)</t>
        </is>
      </c>
      <c r="N4" s="2" t="inlineStr">
        <is>
          <t>Gross_Profit
(€)</t>
        </is>
      </c>
      <c r="O4" s="2" t="inlineStr">
        <is>
          <t>Margin
%</t>
        </is>
      </c>
      <c r="P4" s="2" t="inlineStr">
        <is>
          <t>Hour
Check</t>
        </is>
      </c>
    </row>
    <row r="5" ht="22" customHeight="1">
      <c r="A5" s="4" t="n">
        <v>1</v>
      </c>
      <c r="B5" s="5" t="inlineStr">
        <is>
          <t>E25-0559 (EL)</t>
        </is>
      </c>
      <c r="C5" s="6" t="n">
        <v>76</v>
      </c>
      <c r="D5" s="6" t="inlineStr">
        <is>
          <t>Item: 3.01</t>
        </is>
      </c>
      <c r="E5" s="5" t="inlineStr">
        <is>
          <t>Supply and Install VRFs</t>
        </is>
      </c>
      <c r="F5" s="6" t="inlineStr">
        <is>
          <t>512</t>
        </is>
      </c>
      <c r="G5" s="7" t="n">
        <v>4356.44</v>
      </c>
      <c r="H5" s="7" t="n">
        <v>2630.4</v>
      </c>
      <c r="I5" s="8" t="n">
        <v>31.13</v>
      </c>
      <c r="J5" s="8" t="n">
        <v>10.75</v>
      </c>
      <c r="K5" s="8" t="n">
        <v>20.37691187181355</v>
      </c>
      <c r="L5" s="8" t="n">
        <v>0</v>
      </c>
      <c r="M5" s="7" t="n">
        <v>854.7450000000001</v>
      </c>
      <c r="N5" s="7" t="n">
        <v>871.2949999999994</v>
      </c>
      <c r="O5" s="9" t="n">
        <v>0.2000016068165749</v>
      </c>
      <c r="P5" s="6" t="inlineStr">
        <is>
          <t>OK</t>
        </is>
      </c>
    </row>
    <row r="6" ht="22" customHeight="1">
      <c r="A6" s="4" t="n">
        <v>2</v>
      </c>
      <c r="B6" s="5" t="inlineStr">
        <is>
          <t>ELM25-0560 (ELM)</t>
        </is>
      </c>
      <c r="C6" s="6" t="n">
        <v>48</v>
      </c>
      <c r="D6" s="6" t="inlineStr">
        <is>
          <t>Item: 1.04</t>
        </is>
      </c>
      <c r="E6" s="5" t="inlineStr">
        <is>
          <t>Flowmeter</t>
        </is>
      </c>
      <c r="F6" s="6" t="inlineStr">
        <is>
          <t>512,617</t>
        </is>
      </c>
      <c r="G6" s="7" t="n">
        <v>3450.94</v>
      </c>
      <c r="H6" s="7" t="n">
        <v>3010.39</v>
      </c>
      <c r="I6" s="8" t="n">
        <v>16.04</v>
      </c>
      <c r="J6" s="8" t="n">
        <v>6.67</v>
      </c>
      <c r="K6" s="8" t="n">
        <v>9.373379461034231</v>
      </c>
      <c r="L6" s="8" t="n">
        <v>0</v>
      </c>
      <c r="M6" s="7" t="n">
        <v>440.5512</v>
      </c>
      <c r="N6" s="7" t="n">
        <v>-0.001199999999812462</v>
      </c>
      <c r="O6" s="9" t="n">
        <v>-3.477313427102361e-07</v>
      </c>
      <c r="P6" s="6" t="inlineStr">
        <is>
          <t>OK</t>
        </is>
      </c>
    </row>
    <row r="7" ht="22" customHeight="1">
      <c r="A7" s="4" t="n">
        <v>3</v>
      </c>
      <c r="B7" s="5" t="inlineStr">
        <is>
          <t>ELM25-0560 (ELM)</t>
        </is>
      </c>
      <c r="C7" s="6" t="n">
        <v>69</v>
      </c>
      <c r="D7" s="6" t="inlineStr">
        <is>
          <t>Item: 1.05</t>
        </is>
      </c>
      <c r="E7" s="5" t="inlineStr">
        <is>
          <t>Delta Pressure Sensor</t>
        </is>
      </c>
      <c r="F7" s="6" t="inlineStr">
        <is>
          <t>512,617</t>
        </is>
      </c>
      <c r="G7" s="7" t="n">
        <v>577.92</v>
      </c>
      <c r="H7" s="7" t="n">
        <v>249.45</v>
      </c>
      <c r="I7" s="8" t="n">
        <v>11.96</v>
      </c>
      <c r="J7" s="8" t="n">
        <v>5.52</v>
      </c>
      <c r="K7" s="8" t="n">
        <v>6.441842680262199</v>
      </c>
      <c r="L7" s="8" t="n">
        <v>0</v>
      </c>
      <c r="M7" s="7" t="n">
        <v>328.4721999999999</v>
      </c>
      <c r="N7" s="7" t="n">
        <v>-0.002199999999959346</v>
      </c>
      <c r="O7" s="9" t="n">
        <v>-3.806755260173286e-06</v>
      </c>
      <c r="P7" s="6" t="inlineStr">
        <is>
          <t>OK</t>
        </is>
      </c>
    </row>
    <row r="8" ht="22" customHeight="1">
      <c r="A8" s="4" t="n">
        <v>4</v>
      </c>
      <c r="B8" s="5" t="inlineStr">
        <is>
          <t>ELM25-0560 (ELM)</t>
        </is>
      </c>
      <c r="C8" s="6" t="n">
        <v>89</v>
      </c>
      <c r="D8" s="6" t="inlineStr">
        <is>
          <t>Item: 1.06</t>
        </is>
      </c>
      <c r="E8" s="5" t="inlineStr">
        <is>
          <t>Damper</t>
        </is>
      </c>
      <c r="F8" s="6" t="inlineStr">
        <is>
          <t>512,617</t>
        </is>
      </c>
      <c r="G8" s="7" t="n">
        <v>772.76</v>
      </c>
      <c r="H8" s="7" t="n">
        <v>387.45</v>
      </c>
      <c r="I8" s="8" t="n">
        <v>14.03</v>
      </c>
      <c r="J8" s="8" t="n">
        <v>7.59</v>
      </c>
      <c r="K8" s="8" t="n">
        <v>6.441842680262199</v>
      </c>
      <c r="L8" s="8" t="n">
        <v>0</v>
      </c>
      <c r="M8" s="7" t="n">
        <v>385.3144</v>
      </c>
      <c r="N8" s="7" t="n">
        <v>-0.004399999999975535</v>
      </c>
      <c r="O8" s="9" t="n">
        <v>-5.693876494610919e-06</v>
      </c>
      <c r="P8" s="6" t="inlineStr">
        <is>
          <t>OK</t>
        </is>
      </c>
    </row>
    <row r="9" ht="18" customHeight="1">
      <c r="A9" s="10" t="inlineStr">
        <is>
          <t>TOTALS — All BMS Clusters</t>
        </is>
      </c>
      <c r="G9" s="11">
        <f>SUM(G5:G8)</f>
        <v/>
      </c>
      <c r="H9" s="11">
        <f>SUM(H5:H8)</f>
        <v/>
      </c>
      <c r="I9" s="12">
        <f>SUM(I5:I8)</f>
        <v/>
      </c>
      <c r="J9" s="12">
        <f>SUM(J5:J8)</f>
        <v/>
      </c>
      <c r="K9" s="12">
        <f>SUM(K5:K8)</f>
        <v/>
      </c>
      <c r="L9" s="12">
        <f>SUM(L5:L8)</f>
        <v/>
      </c>
      <c r="M9" s="11">
        <f>SUM(M5:M8)</f>
        <v/>
      </c>
      <c r="N9" s="11">
        <f>SUM(N5:N8)</f>
        <v/>
      </c>
      <c r="O9" s="13">
        <f>IF(G9&gt;0,N9/G9,0)</f>
        <v/>
      </c>
    </row>
  </sheetData>
  <mergeCells count="4">
    <mergeCell ref="A1:P1"/>
    <mergeCell ref="A9:F9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  <col width="13" customWidth="1" min="4" max="4"/>
    <col width="11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</cols>
  <sheetData>
    <row r="1" ht="22" customHeight="1">
      <c r="A1" s="1" t="inlineStr">
        <is>
          <t>PANTA CONTRACTING LIMITED — BMS Labour Hours &amp; P&amp;L Summary   |   KK2 General Exhaust Replacement</t>
        </is>
      </c>
    </row>
    <row r="2" ht="22" customHeight="1">
      <c r="A2" s="2" t="inlineStr">
        <is>
          <t>All hours are BMS team hours — mu_A/B/C are pricing rate bands only   |   02 April 2026</t>
        </is>
      </c>
    </row>
    <row r="3" ht="24" customHeight="1">
      <c r="A3" s="14" t="inlineStr">
        <is>
          <t>IMPORTANT: The BMS department is entitled to the full revenue, hours and profit for all clusters shown. mu_A/B/C indicate which labour rate was used for pricing — they do NOT indicate who performed the work. All work within a BMS cluster is BMS scope.</t>
        </is>
      </c>
    </row>
    <row r="4" ht="16" customHeight="1">
      <c r="A4" s="15" t="inlineStr">
        <is>
          <t xml:space="preserve">  E25-0559 (EL) — EL</t>
        </is>
      </c>
    </row>
    <row r="5" ht="13" customHeight="1">
      <c r="A5" s="16" t="inlineStr">
        <is>
          <t>mu_A = Electrical (cost €27.46/hr, sell €34.33/hr [ML_Sum (matches derived)])  |  mu_B = Controls (cost €27.46/hr, sell €34.33/hr [Derived (sell÷markup)])  |  mu_C = 0 (cost €0.00/hr, sell €0.00/hr [Derived (sell÷markup)])</t>
        </is>
      </c>
    </row>
    <row r="6" ht="36" customHeight="1">
      <c r="A6" s="2" t="inlineStr">
        <is>
          <t>Item</t>
        </is>
      </c>
      <c r="B6" s="2" t="inlineStr">
        <is>
          <t>Item Name</t>
        </is>
      </c>
      <c r="C6" s="2" t="inlineStr">
        <is>
          <t>Sell Total
(€)</t>
        </is>
      </c>
      <c r="D6" s="2" t="inlineStr">
        <is>
          <t>Mat Cost
(€)</t>
        </is>
      </c>
      <c r="E6" s="2" t="inlineStr">
        <is>
          <t>Lab Hrs
Total</t>
        </is>
      </c>
      <c r="F6" s="2" t="inlineStr">
        <is>
          <t>mu_A
Electrical</t>
        </is>
      </c>
      <c r="G6" s="2" t="inlineStr">
        <is>
          <t>mu_B
Controls</t>
        </is>
      </c>
      <c r="H6" s="2" t="inlineStr">
        <is>
          <t>mu_C
0</t>
        </is>
      </c>
      <c r="I6" s="2" t="inlineStr">
        <is>
          <t>Lab Cost
(€)</t>
        </is>
      </c>
      <c r="J6" s="2" t="inlineStr">
        <is>
          <t>Gross Profit
(€)</t>
        </is>
      </c>
    </row>
    <row r="7" ht="14" customHeight="1">
      <c r="A7" s="4" t="inlineStr">
        <is>
          <t>Item: 3.01</t>
        </is>
      </c>
      <c r="B7" s="5" t="inlineStr">
        <is>
          <t>Supply and Install VRFs</t>
        </is>
      </c>
      <c r="C7" s="7" t="n">
        <v>4356.44</v>
      </c>
      <c r="D7" s="7" t="n">
        <v>2630.4</v>
      </c>
      <c r="E7" s="8" t="n">
        <v>31.13</v>
      </c>
      <c r="F7" s="8" t="n">
        <v>10.75</v>
      </c>
      <c r="G7" s="8" t="n">
        <v>20.37691187181355</v>
      </c>
      <c r="H7" s="8" t="n">
        <v>0</v>
      </c>
      <c r="I7" s="7" t="n">
        <v>854.7450000000001</v>
      </c>
      <c r="J7" s="7" t="n">
        <v>871.2949999999994</v>
      </c>
    </row>
    <row r="8" ht="16" customHeight="1">
      <c r="A8" s="17" t="inlineStr">
        <is>
          <t>SUBTOTAL (in-scope)</t>
        </is>
      </c>
      <c r="B8" s="17">
        <f>IF(C8&gt;0,"Margin "&amp;TEXT(J8/C8,"0.0%"),"Margin —")</f>
        <v/>
      </c>
      <c r="C8" s="11">
        <f>SUM(C7:C7)</f>
        <v/>
      </c>
      <c r="D8" s="11">
        <f>SUM(D7:D7)</f>
        <v/>
      </c>
      <c r="E8" s="12">
        <f>SUM(E7:E7)</f>
        <v/>
      </c>
      <c r="F8" s="12">
        <f>SUM(F7:F7)</f>
        <v/>
      </c>
      <c r="G8" s="12">
        <f>SUM(G7:G7)</f>
        <v/>
      </c>
      <c r="H8" s="12">
        <f>SUM(H7:H7)</f>
        <v/>
      </c>
      <c r="I8" s="11">
        <f>SUM(I7:I7)</f>
        <v/>
      </c>
      <c r="J8" s="11">
        <f>SUM(J7:J7)</f>
        <v/>
      </c>
    </row>
    <row r="10" ht="16" customHeight="1">
      <c r="A10" s="15" t="inlineStr">
        <is>
          <t xml:space="preserve">  ELM25-0560 (ELM) — ELM</t>
        </is>
      </c>
    </row>
    <row r="11" ht="13" customHeight="1">
      <c r="A11" s="16" t="inlineStr">
        <is>
          <t>mu_A = Electrical (cost €27.46/hr, sell €27.46/hr [ML_Sum (matches derived)])  |  mu_B = Controls (cost €27.46/hr, sell €27.46/hr [Derived (sell÷markup)])  |  mu_C = Controls (cost €27.46/hr, sell €27.46/hr [Derived (sell÷markup)])</t>
        </is>
      </c>
    </row>
    <row r="12" ht="36" customHeight="1">
      <c r="A12" s="2" t="inlineStr">
        <is>
          <t>Item</t>
        </is>
      </c>
      <c r="B12" s="2" t="inlineStr">
        <is>
          <t>Item Name</t>
        </is>
      </c>
      <c r="C12" s="2" t="inlineStr">
        <is>
          <t>Sell Total
(€)</t>
        </is>
      </c>
      <c r="D12" s="2" t="inlineStr">
        <is>
          <t>Mat Cost
(€)</t>
        </is>
      </c>
      <c r="E12" s="2" t="inlineStr">
        <is>
          <t>Lab Hrs
Total</t>
        </is>
      </c>
      <c r="F12" s="2" t="inlineStr">
        <is>
          <t>mu_A
Electrical</t>
        </is>
      </c>
      <c r="G12" s="2" t="inlineStr">
        <is>
          <t>mu_B
Controls</t>
        </is>
      </c>
      <c r="H12" s="2" t="inlineStr">
        <is>
          <t>mu_C
Controls</t>
        </is>
      </c>
      <c r="I12" s="2" t="inlineStr">
        <is>
          <t>Lab Cost
(€)</t>
        </is>
      </c>
      <c r="J12" s="2" t="inlineStr">
        <is>
          <t>Gross Profit
(€)</t>
        </is>
      </c>
    </row>
    <row r="13" ht="14" customHeight="1">
      <c r="A13" s="4" t="inlineStr">
        <is>
          <t>Item: 1.04</t>
        </is>
      </c>
      <c r="B13" s="5" t="inlineStr">
        <is>
          <t>Flowmeter</t>
        </is>
      </c>
      <c r="C13" s="7" t="n">
        <v>3450.94</v>
      </c>
      <c r="D13" s="7" t="n">
        <v>3010.39</v>
      </c>
      <c r="E13" s="8" t="n">
        <v>16.04</v>
      </c>
      <c r="F13" s="8" t="n">
        <v>6.67</v>
      </c>
      <c r="G13" s="8" t="n">
        <v>9.373379461034231</v>
      </c>
      <c r="H13" s="8" t="n">
        <v>0</v>
      </c>
      <c r="I13" s="7" t="n">
        <v>440.5512</v>
      </c>
      <c r="J13" s="7" t="n">
        <v>-0.001199999999812462</v>
      </c>
    </row>
    <row r="14" ht="14" customHeight="1">
      <c r="A14" s="4" t="inlineStr">
        <is>
          <t>Item: 1.05</t>
        </is>
      </c>
      <c r="B14" s="5" t="inlineStr">
        <is>
          <t>Delta Pressure Sensor</t>
        </is>
      </c>
      <c r="C14" s="7" t="n">
        <v>577.92</v>
      </c>
      <c r="D14" s="7" t="n">
        <v>249.45</v>
      </c>
      <c r="E14" s="8" t="n">
        <v>11.96</v>
      </c>
      <c r="F14" s="8" t="n">
        <v>5.52</v>
      </c>
      <c r="G14" s="8" t="n">
        <v>6.441842680262199</v>
      </c>
      <c r="H14" s="8" t="n">
        <v>0</v>
      </c>
      <c r="I14" s="7" t="n">
        <v>328.4721999999999</v>
      </c>
      <c r="J14" s="7" t="n">
        <v>-0.002199999999959346</v>
      </c>
    </row>
    <row r="15" ht="14" customHeight="1">
      <c r="A15" s="4" t="inlineStr">
        <is>
          <t>Item: 1.06</t>
        </is>
      </c>
      <c r="B15" s="5" t="inlineStr">
        <is>
          <t>Damper</t>
        </is>
      </c>
      <c r="C15" s="7" t="n">
        <v>772.76</v>
      </c>
      <c r="D15" s="7" t="n">
        <v>387.45</v>
      </c>
      <c r="E15" s="8" t="n">
        <v>14.03</v>
      </c>
      <c r="F15" s="8" t="n">
        <v>7.59</v>
      </c>
      <c r="G15" s="8" t="n">
        <v>6.441842680262199</v>
      </c>
      <c r="H15" s="8" t="n">
        <v>0</v>
      </c>
      <c r="I15" s="7" t="n">
        <v>385.3144</v>
      </c>
      <c r="J15" s="7" t="n">
        <v>-0.004399999999975535</v>
      </c>
    </row>
    <row r="16" ht="16" customHeight="1">
      <c r="A16" s="17" t="inlineStr">
        <is>
          <t>SUBTOTAL (in-scope)</t>
        </is>
      </c>
      <c r="B16" s="17">
        <f>IF(C16&gt;0,"Margin "&amp;TEXT(J16/C16,"0.0%"),"Margin —")</f>
        <v/>
      </c>
      <c r="C16" s="11">
        <f>SUM(C13:C15)</f>
        <v/>
      </c>
      <c r="D16" s="11">
        <f>SUM(D13:D15)</f>
        <v/>
      </c>
      <c r="E16" s="12">
        <f>SUM(E13:E15)</f>
        <v/>
      </c>
      <c r="F16" s="12">
        <f>SUM(F13:F15)</f>
        <v/>
      </c>
      <c r="G16" s="12">
        <f>SUM(G13:G15)</f>
        <v/>
      </c>
      <c r="H16" s="12">
        <f>SUM(H13:H15)</f>
        <v/>
      </c>
      <c r="I16" s="11">
        <f>SUM(I13:I15)</f>
        <v/>
      </c>
      <c r="J16" s="11">
        <f>SUM(J13:J15)</f>
        <v/>
      </c>
    </row>
    <row r="18" ht="20" customHeight="1">
      <c r="A18" s="18" t="inlineStr">
        <is>
          <t xml:space="preserve">  COMBINED BMS P&amp;L — KK2 General Exhaust Replacement (excl. Maintenance)</t>
        </is>
      </c>
    </row>
    <row r="19" ht="16" customHeight="1">
      <c r="A19" s="19" t="inlineStr">
        <is>
          <t>Combined Project Revenue</t>
        </is>
      </c>
      <c r="C19" s="20">
        <f>19919.33</f>
        <v/>
      </c>
      <c r="D19" s="21" t="n"/>
      <c r="E19" s="21" t="n"/>
      <c r="F19" s="21" t="n"/>
      <c r="G19" s="21" t="n"/>
      <c r="H19" s="21" t="n"/>
      <c r="I19" s="21" t="n"/>
      <c r="J19" s="21" t="n"/>
    </row>
    <row r="20" ht="16" customHeight="1">
      <c r="A20" s="22" t="inlineStr">
        <is>
          <t>BMS Revenue (in-scope)</t>
        </is>
      </c>
      <c r="C20" s="23">
        <f>C8+C16</f>
        <v/>
      </c>
      <c r="D20" s="24" t="n"/>
      <c r="E20" s="24" t="n"/>
      <c r="F20" s="24" t="n"/>
      <c r="G20" s="24" t="n"/>
      <c r="H20" s="24" t="n"/>
      <c r="I20" s="24" t="n"/>
      <c r="J20" s="24" t="n"/>
    </row>
    <row r="21" ht="16" customHeight="1">
      <c r="A21" s="22" t="inlineStr">
        <is>
          <t>BMS Attribution %</t>
        </is>
      </c>
      <c r="C21" s="25">
        <f>IF(C19&gt;0,C20/C19,0)</f>
        <v/>
      </c>
      <c r="D21" s="24" t="n"/>
      <c r="E21" s="24" t="n"/>
      <c r="F21" s="24" t="n"/>
      <c r="G21" s="24" t="n"/>
      <c r="H21" s="24" t="n"/>
      <c r="I21" s="24" t="n"/>
      <c r="J21" s="24" t="n"/>
    </row>
    <row r="22" ht="16" customHeight="1">
      <c r="A22" s="26" t="inlineStr">
        <is>
          <t>BMS Material Cost</t>
        </is>
      </c>
      <c r="C22" s="27">
        <f>D8+D16</f>
        <v/>
      </c>
      <c r="D22" s="28" t="n"/>
      <c r="E22" s="28" t="n"/>
      <c r="F22" s="28" t="n"/>
      <c r="G22" s="28" t="n"/>
      <c r="H22" s="28" t="n"/>
      <c r="I22" s="28" t="n"/>
      <c r="J22" s="28" t="n"/>
    </row>
    <row r="23" ht="16" customHeight="1">
      <c r="A23" s="26" t="inlineStr">
        <is>
          <t>BMS Labour Hours — Total</t>
        </is>
      </c>
      <c r="C23" s="29">
        <f>E8+E16</f>
        <v/>
      </c>
      <c r="D23" s="28" t="n"/>
      <c r="E23" s="28" t="n"/>
      <c r="F23" s="28" t="n"/>
      <c r="G23" s="28" t="n"/>
      <c r="H23" s="28" t="n"/>
      <c r="I23" s="28" t="n"/>
      <c r="J23" s="28" t="n"/>
    </row>
    <row r="24" ht="16" customHeight="1">
      <c r="A24" s="19" t="inlineStr">
        <is>
          <t xml:space="preserve">  Electrical (mu_A)</t>
        </is>
      </c>
      <c r="C24" s="30">
        <f>F8+F16</f>
        <v/>
      </c>
      <c r="D24" s="21" t="n"/>
      <c r="E24" s="21" t="n"/>
      <c r="F24" s="21" t="n"/>
      <c r="G24" s="21" t="n"/>
      <c r="H24" s="21" t="n"/>
      <c r="I24" s="21" t="n"/>
      <c r="J24" s="21" t="n"/>
    </row>
    <row r="25" ht="16" customHeight="1">
      <c r="A25" s="19" t="inlineStr">
        <is>
          <t xml:space="preserve">  Controls (mu_B)</t>
        </is>
      </c>
      <c r="C25" s="30">
        <f>G8+G16</f>
        <v/>
      </c>
      <c r="D25" s="21" t="n"/>
      <c r="E25" s="21" t="n"/>
      <c r="F25" s="21" t="n"/>
      <c r="G25" s="21" t="n"/>
      <c r="H25" s="21" t="n"/>
      <c r="I25" s="21" t="n"/>
      <c r="J25" s="21" t="n"/>
    </row>
    <row r="26" ht="16" customHeight="1">
      <c r="A26" s="19" t="inlineStr">
        <is>
          <t xml:space="preserve">  0 (mu_C)</t>
        </is>
      </c>
      <c r="C26" s="30">
        <f>H8+H16</f>
        <v/>
      </c>
      <c r="D26" s="21" t="n"/>
      <c r="E26" s="21" t="n"/>
      <c r="F26" s="21" t="n"/>
      <c r="G26" s="21" t="n"/>
      <c r="H26" s="21" t="n"/>
      <c r="I26" s="21" t="n"/>
      <c r="J26" s="21" t="n"/>
    </row>
    <row r="27" ht="16" customHeight="1">
      <c r="A27" s="26" t="inlineStr">
        <is>
          <t>BMS Labour Cost</t>
        </is>
      </c>
      <c r="C27" s="27">
        <f>I8+I16</f>
        <v/>
      </c>
      <c r="D27" s="28" t="n"/>
      <c r="E27" s="28" t="n"/>
      <c r="F27" s="28" t="n"/>
      <c r="G27" s="28" t="n"/>
      <c r="H27" s="28" t="n"/>
      <c r="I27" s="28" t="n"/>
      <c r="J27" s="28" t="n"/>
    </row>
    <row r="28" ht="16" customHeight="1">
      <c r="A28" s="17" t="inlineStr">
        <is>
          <t>BMS Gross Profit</t>
        </is>
      </c>
      <c r="C28" s="11">
        <f>C20-C22-C27</f>
        <v/>
      </c>
      <c r="D28" s="31" t="n"/>
      <c r="E28" s="31" t="n"/>
      <c r="F28" s="31" t="n"/>
      <c r="G28" s="31" t="n"/>
      <c r="H28" s="31" t="n"/>
      <c r="I28" s="31" t="n"/>
      <c r="J28" s="31" t="n"/>
    </row>
    <row r="29" ht="16" customHeight="1">
      <c r="A29" s="17" t="inlineStr">
        <is>
          <t>BMS Gross Margin</t>
        </is>
      </c>
      <c r="C29" s="32">
        <f>IF(C20&gt;0,C28/C20,0)</f>
        <v/>
      </c>
      <c r="D29" s="31" t="n"/>
      <c r="E29" s="31" t="n"/>
      <c r="F29" s="31" t="n"/>
      <c r="G29" s="31" t="n"/>
      <c r="H29" s="31" t="n"/>
      <c r="I29" s="31" t="n"/>
      <c r="J29" s="31" t="n"/>
    </row>
  </sheetData>
  <mergeCells count="19">
    <mergeCell ref="A5:J5"/>
    <mergeCell ref="A24:B24"/>
    <mergeCell ref="A4:J4"/>
    <mergeCell ref="A10:J10"/>
    <mergeCell ref="A25:B25"/>
    <mergeCell ref="A27:B27"/>
    <mergeCell ref="A11:J11"/>
    <mergeCell ref="A1:J1"/>
    <mergeCell ref="A21:B21"/>
    <mergeCell ref="A26:B26"/>
    <mergeCell ref="A23:B23"/>
    <mergeCell ref="A22:B22"/>
    <mergeCell ref="A20:B20"/>
    <mergeCell ref="A29:B29"/>
    <mergeCell ref="A18:J18"/>
    <mergeCell ref="A19:B19"/>
    <mergeCell ref="A3:J3"/>
    <mergeCell ref="A28:B2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2026-04-02T06:25:42Z</dcterms:created>
  <dcterms:modified xsi:type="dcterms:W3CDTF">2026-04-02T06:25:42Z</dcterms:modified>
</cp:coreProperties>
</file>